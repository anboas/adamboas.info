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flankspeed.sharepoint-mil.us/sites/NASSigonellaBOSSolicitation-PPIs/Shared Documents/General/Revised PWS for Amendment/"/>
    </mc:Choice>
  </mc:AlternateContent>
  <xr:revisionPtr revIDLastSave="1745" documentId="13_ncr:1_{F726009F-E6AD-4650-A899-6E4B3E6016C7}" xr6:coauthVersionLast="47" xr6:coauthVersionMax="47" xr10:uidLastSave="{A704DC78-3E32-4B64-B0BF-35C29FCE12D3}"/>
  <bookViews>
    <workbookView xWindow="22944" yWindow="-96" windowWidth="23232" windowHeight="12432" xr2:uid="{93185F46-30BE-42C9-9372-4E50371AD235}"/>
  </bookViews>
  <sheets>
    <sheet name="CLIN 001 - Base Period - RW " sheetId="1" r:id="rId1"/>
    <sheet name="CLIN 002 - Base Period - NRW" sheetId="2" r:id="rId2"/>
    <sheet name="CLIN 003 - 1st OP - RW" sheetId="3" r:id="rId3"/>
    <sheet name="CLIN 004 - 1st OP - NRW" sheetId="4" r:id="rId4"/>
    <sheet name="CLIN 005 - 2nd OP - RW" sheetId="5" r:id="rId5"/>
    <sheet name="CLIN 006 - 2nd OP - NRW" sheetId="6" r:id="rId6"/>
    <sheet name="CLIN 007 - 3rd OP - RW" sheetId="7" r:id="rId7"/>
    <sheet name="CLIN 008 - 3rd OP - NRW" sheetId="8" r:id="rId8"/>
    <sheet name="CLIN 009 - 4th OP - RW" sheetId="9" r:id="rId9"/>
    <sheet name="CLIN 010 - 4th OP - NRW" sheetId="10" r:id="rId10"/>
    <sheet name="CLIN 011 - 5th OP - RW" sheetId="11" r:id="rId11"/>
    <sheet name="CLIN 012 - 5th OP - NRW" sheetId="12" r:id="rId12"/>
    <sheet name="CLIN 013 - 6th OP - RW" sheetId="13" r:id="rId13"/>
    <sheet name="CLIN 014 - 6th OP - NRW" sheetId="14" r:id="rId14"/>
    <sheet name="CLIN 015 - 7th OP - RW" sheetId="15" r:id="rId15"/>
    <sheet name="CLIN 016 - 7th OP - NRW" sheetId="16" r:id="rId16"/>
    <sheet name="CLIN 017 - 8th OP - RW (6 Mos) " sheetId="17" r:id="rId17"/>
    <sheet name="CLIN 018 - 8th OP - NRW (6 Mos)" sheetId="18" r:id="rId18"/>
    <sheet name="C&amp;P Sum (Recap)" sheetId="19" r:id="rId19"/>
  </sheets>
  <externalReferences>
    <externalReference r:id="rId20"/>
    <externalReference r:id="rId21"/>
    <externalReference r:id="rId22"/>
  </externalReferences>
  <definedNames>
    <definedName name="_xlnm._FilterDatabase" localSheetId="0" hidden="1">'CLIN 001 - Base Period - RW '!$D$15:$D$403</definedName>
    <definedName name="_xlnm._FilterDatabase" localSheetId="2" hidden="1">'CLIN 003 - 1st OP - RW'!$A$13:$A$455</definedName>
    <definedName name="_xlnm._FilterDatabase" localSheetId="4" hidden="1">'CLIN 005 - 2nd OP - RW'!$A$13:$A$455</definedName>
    <definedName name="_xlnm._FilterDatabase" localSheetId="6" hidden="1">'CLIN 007 - 3rd OP - RW'!$A$13:$A$455</definedName>
    <definedName name="_xlnm._FilterDatabase" localSheetId="8" hidden="1">'CLIN 009 - 4th OP - RW'!$A$13:$A$455</definedName>
    <definedName name="_xlnm._FilterDatabase" localSheetId="10" hidden="1">'CLIN 011 - 5th OP - RW'!$A$13:$A$455</definedName>
    <definedName name="_xlnm._FilterDatabase" localSheetId="12" hidden="1">'CLIN 013 - 6th OP - RW'!$A$13:$A$455</definedName>
    <definedName name="_xlnm._FilterDatabase" localSheetId="14" hidden="1">'CLIN 015 - 7th OP - RW'!$A$13:$A$455</definedName>
    <definedName name="_xlnm._FilterDatabase" localSheetId="16" hidden="1">'CLIN 017 - 8th OP - RW (6 Mos) '!$A$13:$A$455</definedName>
    <definedName name="a0" localSheetId="18">#REF!</definedName>
    <definedName name="a0" localSheetId="0">#REF!</definedName>
    <definedName name="a0" localSheetId="2">#REF!</definedName>
    <definedName name="a0" localSheetId="4">#REF!</definedName>
    <definedName name="a0" localSheetId="6">#REF!</definedName>
    <definedName name="a0" localSheetId="8">#REF!</definedName>
    <definedName name="a0" localSheetId="10">#REF!</definedName>
    <definedName name="a0" localSheetId="12">#REF!</definedName>
    <definedName name="a0" localSheetId="14">#REF!</definedName>
    <definedName name="a0" localSheetId="16">#REF!</definedName>
    <definedName name="a0">#REF!</definedName>
    <definedName name="A003AC" localSheetId="18">#REF!</definedName>
    <definedName name="A003AC" localSheetId="0">#REF!</definedName>
    <definedName name="A003AC" localSheetId="2">#REF!</definedName>
    <definedName name="A003AC" localSheetId="4">#REF!</definedName>
    <definedName name="A003AC" localSheetId="6">#REF!</definedName>
    <definedName name="A003AC" localSheetId="8">#REF!</definedName>
    <definedName name="A003AC" localSheetId="10">#REF!</definedName>
    <definedName name="A003AC" localSheetId="12">#REF!</definedName>
    <definedName name="A003AC" localSheetId="14">#REF!</definedName>
    <definedName name="A003AC" localSheetId="16">#REF!</definedName>
    <definedName name="A003AC">#REF!</definedName>
    <definedName name="BASE">'[1]JB-1 BASE'!$A$12:$R$183</definedName>
    <definedName name="cost2003" localSheetId="18">#REF!</definedName>
    <definedName name="cost2003" localSheetId="0">#REF!</definedName>
    <definedName name="cost2003" localSheetId="2">#REF!</definedName>
    <definedName name="cost2003" localSheetId="4">#REF!</definedName>
    <definedName name="cost2003" localSheetId="6">#REF!</definedName>
    <definedName name="cost2003" localSheetId="8">#REF!</definedName>
    <definedName name="cost2003" localSheetId="10">#REF!</definedName>
    <definedName name="cost2003" localSheetId="12">#REF!</definedName>
    <definedName name="cost2003" localSheetId="14">#REF!</definedName>
    <definedName name="cost2003" localSheetId="16">#REF!</definedName>
    <definedName name="cost2003">#REF!</definedName>
    <definedName name="cost2023" localSheetId="18">#REF!</definedName>
    <definedName name="cRI" localSheetId="18">#REF!</definedName>
    <definedName name="_xlnm.Criteria" localSheetId="18">#REF!</definedName>
    <definedName name="_xlnm.Criteria" localSheetId="0">#REF!</definedName>
    <definedName name="_xlnm.Criteria" localSheetId="2">#REF!</definedName>
    <definedName name="_xlnm.Criteria" localSheetId="4">#REF!</definedName>
    <definedName name="_xlnm.Criteria" localSheetId="6">#REF!</definedName>
    <definedName name="_xlnm.Criteria" localSheetId="8">#REF!</definedName>
    <definedName name="_xlnm.Criteria" localSheetId="10">#REF!</definedName>
    <definedName name="_xlnm.Criteria" localSheetId="12">#REF!</definedName>
    <definedName name="_xlnm.Criteria" localSheetId="14">#REF!</definedName>
    <definedName name="_xlnm.Criteria" localSheetId="16">#REF!</definedName>
    <definedName name="_xlnm.Criteria">#REF!</definedName>
    <definedName name="_xlnm.Database" localSheetId="18">#REF!</definedName>
    <definedName name="_xlnm.Database" localSheetId="0">#REF!</definedName>
    <definedName name="_xlnm.Database" localSheetId="2">#REF!</definedName>
    <definedName name="_xlnm.Database" localSheetId="4">#REF!</definedName>
    <definedName name="_xlnm.Database" localSheetId="6">#REF!</definedName>
    <definedName name="_xlnm.Database" localSheetId="8">#REF!</definedName>
    <definedName name="_xlnm.Database" localSheetId="10">#REF!</definedName>
    <definedName name="_xlnm.Database" localSheetId="12">#REF!</definedName>
    <definedName name="_xlnm.Database" localSheetId="14">#REF!</definedName>
    <definedName name="_xlnm.Database" localSheetId="16">#REF!</definedName>
    <definedName name="_xlnm.Database">#REF!</definedName>
    <definedName name="databases" localSheetId="18">#REF!</definedName>
    <definedName name="Description">'[2]Working Sheet'!$A$11:$A$227</definedName>
    <definedName name="_xlnm.Extract" localSheetId="18">#REF!</definedName>
    <definedName name="_xlnm.Extract" localSheetId="0">#REF!</definedName>
    <definedName name="_xlnm.Extract" localSheetId="2">#REF!</definedName>
    <definedName name="_xlnm.Extract" localSheetId="4">#REF!</definedName>
    <definedName name="_xlnm.Extract" localSheetId="6">#REF!</definedName>
    <definedName name="_xlnm.Extract" localSheetId="8">#REF!</definedName>
    <definedName name="_xlnm.Extract" localSheetId="10">#REF!</definedName>
    <definedName name="_xlnm.Extract" localSheetId="12">#REF!</definedName>
    <definedName name="_xlnm.Extract" localSheetId="14">#REF!</definedName>
    <definedName name="_xlnm.Extract" localSheetId="16">#REF!</definedName>
    <definedName name="_xlnm.Extract">#REF!</definedName>
    <definedName name="MEANS">'[3]MEANS PM'!$A:$IV</definedName>
    <definedName name="MPEN" localSheetId="18">#REF!</definedName>
    <definedName name="MPEN" localSheetId="0">#REF!</definedName>
    <definedName name="MPEN" localSheetId="2">#REF!</definedName>
    <definedName name="MPEN" localSheetId="4">#REF!</definedName>
    <definedName name="MPEN" localSheetId="6">#REF!</definedName>
    <definedName name="MPEN" localSheetId="8">#REF!</definedName>
    <definedName name="MPEN" localSheetId="10">#REF!</definedName>
    <definedName name="MPEN" localSheetId="12">#REF!</definedName>
    <definedName name="MPEN" localSheetId="14">#REF!</definedName>
    <definedName name="MPEN" localSheetId="16">#REF!</definedName>
    <definedName name="MPEN">#REF!</definedName>
    <definedName name="NR">#REF!</definedName>
    <definedName name="_xlnm.Print_Area" localSheetId="0">'CLIN 001 - Base Period - RW '!$A$1:$H$471</definedName>
    <definedName name="_xlnm.Print_Area" localSheetId="1">'CLIN 002 - Base Period - NRW'!$A$1:$H$309</definedName>
    <definedName name="_xlnm.Print_Area" localSheetId="2">'CLIN 003 - 1st OP - RW'!$A$1:$H$471</definedName>
    <definedName name="_xlnm.Print_Area" localSheetId="3">'CLIN 004 - 1st OP - NRW'!$A$1:$H$309</definedName>
    <definedName name="_xlnm.Print_Area" localSheetId="4">'CLIN 005 - 2nd OP - RW'!$A$1:$H$471</definedName>
    <definedName name="_xlnm.Print_Area" localSheetId="5">'CLIN 006 - 2nd OP - NRW'!$A$1:$H$309</definedName>
    <definedName name="_xlnm.Print_Area" localSheetId="6">'CLIN 007 - 3rd OP - RW'!$A$1:$H$471</definedName>
    <definedName name="_xlnm.Print_Area" localSheetId="7">'CLIN 008 - 3rd OP - NRW'!$A$1:$H$309</definedName>
    <definedName name="_xlnm.Print_Area" localSheetId="8">'CLIN 009 - 4th OP - RW'!$A$1:$H$471</definedName>
    <definedName name="_xlnm.Print_Area" localSheetId="9">'CLIN 010 - 4th OP - NRW'!$A$1:$H$309</definedName>
    <definedName name="_xlnm.Print_Area" localSheetId="10">'CLIN 011 - 5th OP - RW'!$A$1:$H$471</definedName>
    <definedName name="_xlnm.Print_Area" localSheetId="11">'CLIN 012 - 5th OP - NRW'!$A$1:$H$309</definedName>
    <definedName name="_xlnm.Print_Area" localSheetId="12">'CLIN 013 - 6th OP - RW'!$A$1:$H$471</definedName>
    <definedName name="_xlnm.Print_Area" localSheetId="13">'CLIN 014 - 6th OP - NRW'!$A$1:$H$309</definedName>
    <definedName name="_xlnm.Print_Area" localSheetId="14">'CLIN 015 - 7th OP - RW'!$A$1:$H$471</definedName>
    <definedName name="_xlnm.Print_Area" localSheetId="15">'CLIN 016 - 7th OP - NRW'!$A$1:$H$309</definedName>
    <definedName name="_xlnm.Print_Area" localSheetId="16">'CLIN 017 - 8th OP - RW (6 Mos) '!$A$1:$H$471</definedName>
    <definedName name="_xlnm.Print_Area" localSheetId="17">'CLIN 018 - 8th OP - NRW (6 Mos)'!$A$1:$H$309</definedName>
    <definedName name="_xlnm.Print_Titles" localSheetId="0">'CLIN 001 - Base Period - RW '!$11:$12</definedName>
    <definedName name="_xlnm.Print_Titles" localSheetId="1">'CLIN 002 - Base Period - NRW'!$11:$11</definedName>
    <definedName name="_xlnm.Print_Titles" localSheetId="2">'CLIN 003 - 1st OP - RW'!$11:$12</definedName>
    <definedName name="_xlnm.Print_Titles" localSheetId="3">'CLIN 004 - 1st OP - NRW'!$11:$11</definedName>
    <definedName name="_xlnm.Print_Titles" localSheetId="4">'CLIN 005 - 2nd OP - RW'!$11:$12</definedName>
    <definedName name="_xlnm.Print_Titles" localSheetId="5">'CLIN 006 - 2nd OP - NRW'!$11:$11</definedName>
    <definedName name="_xlnm.Print_Titles" localSheetId="6">'CLIN 007 - 3rd OP - RW'!$11:$12</definedName>
    <definedName name="_xlnm.Print_Titles" localSheetId="7">'CLIN 008 - 3rd OP - NRW'!$11:$11</definedName>
    <definedName name="_xlnm.Print_Titles" localSheetId="8">'CLIN 009 - 4th OP - RW'!$11:$12</definedName>
    <definedName name="_xlnm.Print_Titles" localSheetId="9">'CLIN 010 - 4th OP - NRW'!$11:$11</definedName>
    <definedName name="_xlnm.Print_Titles" localSheetId="10">'CLIN 011 - 5th OP - RW'!$11:$12</definedName>
    <definedName name="_xlnm.Print_Titles" localSheetId="11">'CLIN 012 - 5th OP - NRW'!$11:$11</definedName>
    <definedName name="_xlnm.Print_Titles" localSheetId="12">'CLIN 013 - 6th OP - RW'!$11:$12</definedName>
    <definedName name="_xlnm.Print_Titles" localSheetId="13">'CLIN 014 - 6th OP - NRW'!$11:$11</definedName>
    <definedName name="_xlnm.Print_Titles" localSheetId="14">'CLIN 015 - 7th OP - RW'!$11:$12</definedName>
    <definedName name="_xlnm.Print_Titles" localSheetId="15">'CLIN 016 - 7th OP - NRW'!$11:$11</definedName>
    <definedName name="_xlnm.Print_Titles" localSheetId="16">'CLIN 017 - 8th OP - RW (6 Mos) '!$11:$12</definedName>
    <definedName name="_xlnm.Print_Titles" localSheetId="17">'CLIN 018 - 8th OP - NRW (6 Mos)'!$11:$11</definedName>
    <definedName name="SSSS" localSheetId="18">#REF!</definedName>
    <definedName name="UH">#REF!</definedName>
    <definedName name="UHW" localSheetId="18">#REF!</definedName>
    <definedName name="UHW" localSheetId="0">#REF!</definedName>
    <definedName name="UHW" localSheetId="2">#REF!</definedName>
    <definedName name="UHW" localSheetId="4">#REF!</definedName>
    <definedName name="UHW" localSheetId="6">#REF!</definedName>
    <definedName name="UHW" localSheetId="8">#REF!</definedName>
    <definedName name="UHW" localSheetId="10">#REF!</definedName>
    <definedName name="UHW" localSheetId="12">#REF!</definedName>
    <definedName name="UHW" localSheetId="14">#REF!</definedName>
    <definedName name="UHW" localSheetId="16">#REF!</definedName>
    <definedName name="UHW">#REF!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9" i="17" l="1"/>
  <c r="H49" i="15"/>
  <c r="H49" i="13"/>
  <c r="H49" i="3"/>
  <c r="H49" i="5"/>
  <c r="H49" i="7"/>
  <c r="H49" i="9"/>
  <c r="H49" i="11"/>
  <c r="H468" i="9" l="1"/>
  <c r="H333" i="7"/>
  <c r="H266" i="6"/>
  <c r="H462" i="5"/>
  <c r="H467" i="17"/>
  <c r="H468" i="17" s="1"/>
  <c r="H461" i="17"/>
  <c r="H460" i="17"/>
  <c r="H462" i="17" s="1"/>
  <c r="H419" i="17"/>
  <c r="H344" i="17"/>
  <c r="H343" i="17"/>
  <c r="H342" i="17"/>
  <c r="H341" i="17"/>
  <c r="H340" i="17"/>
  <c r="H327" i="17"/>
  <c r="H326" i="17"/>
  <c r="H325" i="17"/>
  <c r="H324" i="17"/>
  <c r="H295" i="17"/>
  <c r="H294" i="17"/>
  <c r="H293" i="17"/>
  <c r="H292" i="17"/>
  <c r="H291" i="17"/>
  <c r="H69" i="17"/>
  <c r="H68" i="17"/>
  <c r="H467" i="15"/>
  <c r="H468" i="15" s="1"/>
  <c r="H461" i="15"/>
  <c r="H460" i="15"/>
  <c r="H462" i="15" s="1"/>
  <c r="H419" i="15"/>
  <c r="H343" i="15"/>
  <c r="H342" i="15"/>
  <c r="H341" i="15"/>
  <c r="H340" i="15"/>
  <c r="H327" i="15"/>
  <c r="H326" i="15"/>
  <c r="H325" i="15"/>
  <c r="H324" i="15"/>
  <c r="H295" i="15"/>
  <c r="H294" i="15"/>
  <c r="H293" i="15"/>
  <c r="H292" i="15"/>
  <c r="H291" i="15"/>
  <c r="H69" i="15"/>
  <c r="H68" i="15"/>
  <c r="H467" i="13"/>
  <c r="H468" i="13" s="1"/>
  <c r="H461" i="13"/>
  <c r="H460" i="13"/>
  <c r="H462" i="13" s="1"/>
  <c r="H419" i="13"/>
  <c r="H343" i="13"/>
  <c r="H342" i="13"/>
  <c r="H341" i="13"/>
  <c r="H340" i="13"/>
  <c r="H327" i="13"/>
  <c r="H326" i="13"/>
  <c r="H325" i="13"/>
  <c r="H324" i="13"/>
  <c r="H295" i="13"/>
  <c r="H294" i="13"/>
  <c r="H293" i="13"/>
  <c r="H292" i="13"/>
  <c r="H291" i="13"/>
  <c r="H116" i="13"/>
  <c r="H115" i="13"/>
  <c r="H114" i="13"/>
  <c r="H69" i="13"/>
  <c r="H68" i="13"/>
  <c r="H467" i="11"/>
  <c r="H468" i="11" s="1"/>
  <c r="H461" i="11"/>
  <c r="H460" i="11"/>
  <c r="H462" i="11" s="1"/>
  <c r="H419" i="11"/>
  <c r="H343" i="11"/>
  <c r="H342" i="11"/>
  <c r="H341" i="11"/>
  <c r="H340" i="11"/>
  <c r="H327" i="11"/>
  <c r="H326" i="11"/>
  <c r="H325" i="11"/>
  <c r="H324" i="11"/>
  <c r="H295" i="11"/>
  <c r="H294" i="11"/>
  <c r="H293" i="11"/>
  <c r="H292" i="11"/>
  <c r="H291" i="11"/>
  <c r="H116" i="11"/>
  <c r="H115" i="11"/>
  <c r="H114" i="11"/>
  <c r="H69" i="11"/>
  <c r="H68" i="11"/>
  <c r="H467" i="9"/>
  <c r="H461" i="9"/>
  <c r="H462" i="9" s="1"/>
  <c r="H460" i="9"/>
  <c r="H419" i="9"/>
  <c r="H343" i="9"/>
  <c r="H342" i="9"/>
  <c r="H341" i="9"/>
  <c r="H340" i="9"/>
  <c r="H327" i="9"/>
  <c r="H326" i="9"/>
  <c r="H325" i="9"/>
  <c r="H324" i="9"/>
  <c r="H302" i="9"/>
  <c r="H300" i="9"/>
  <c r="H299" i="9"/>
  <c r="H297" i="9"/>
  <c r="H295" i="9"/>
  <c r="H294" i="9"/>
  <c r="H293" i="9"/>
  <c r="H292" i="9"/>
  <c r="H291" i="9"/>
  <c r="H69" i="9"/>
  <c r="H68" i="9"/>
  <c r="H467" i="7"/>
  <c r="H468" i="7" s="1"/>
  <c r="H461" i="7"/>
  <c r="H460" i="7"/>
  <c r="H462" i="7" s="1"/>
  <c r="H419" i="7"/>
  <c r="H343" i="7"/>
  <c r="H342" i="7"/>
  <c r="H341" i="7"/>
  <c r="H340" i="7"/>
  <c r="H327" i="7"/>
  <c r="H326" i="7"/>
  <c r="H325" i="7"/>
  <c r="H324" i="7"/>
  <c r="H302" i="7"/>
  <c r="H300" i="7"/>
  <c r="H299" i="7"/>
  <c r="H297" i="7"/>
  <c r="H295" i="7"/>
  <c r="H294" i="7"/>
  <c r="H293" i="7"/>
  <c r="H292" i="7"/>
  <c r="H291" i="7"/>
  <c r="H69" i="7"/>
  <c r="H68" i="7"/>
  <c r="H68" i="3"/>
  <c r="H68" i="5"/>
  <c r="H419" i="5"/>
  <c r="H344" i="5"/>
  <c r="H343" i="5"/>
  <c r="H342" i="5"/>
  <c r="H341" i="5"/>
  <c r="H340" i="5"/>
  <c r="H333" i="5"/>
  <c r="H327" i="5"/>
  <c r="H326" i="5"/>
  <c r="H325" i="5"/>
  <c r="H324" i="5"/>
  <c r="H295" i="5"/>
  <c r="H294" i="5"/>
  <c r="H293" i="5"/>
  <c r="H292" i="5"/>
  <c r="H291" i="5"/>
  <c r="H467" i="5"/>
  <c r="H468" i="5" s="1"/>
  <c r="H461" i="5"/>
  <c r="H460" i="5"/>
  <c r="H467" i="3" l="1"/>
  <c r="H468" i="3" s="1"/>
  <c r="H461" i="3"/>
  <c r="H460" i="3"/>
  <c r="H467" i="1"/>
  <c r="H468" i="1" s="1"/>
  <c r="H461" i="1"/>
  <c r="H460" i="1"/>
  <c r="H462" i="3" l="1"/>
  <c r="H462" i="1"/>
  <c r="H451" i="17"/>
  <c r="H451" i="15"/>
  <c r="H451" i="13"/>
  <c r="H451" i="11"/>
  <c r="H451" i="9"/>
  <c r="H451" i="7"/>
  <c r="H451" i="5"/>
  <c r="H451" i="3"/>
  <c r="H419" i="3" l="1"/>
  <c r="H343" i="3"/>
  <c r="H342" i="3"/>
  <c r="H341" i="3"/>
  <c r="H340" i="3"/>
  <c r="H333" i="3"/>
  <c r="H327" i="3"/>
  <c r="H326" i="3"/>
  <c r="H325" i="3"/>
  <c r="H324" i="3"/>
  <c r="H343" i="1"/>
  <c r="H342" i="1"/>
  <c r="H341" i="1"/>
  <c r="H340" i="1"/>
  <c r="H68" i="1"/>
  <c r="H419" i="1"/>
  <c r="H324" i="1" l="1"/>
  <c r="H327" i="1"/>
  <c r="H326" i="1"/>
  <c r="H325" i="1"/>
  <c r="E45" i="19"/>
  <c r="C44" i="19"/>
  <c r="E35" i="19"/>
  <c r="E37" i="19"/>
  <c r="C39" i="19"/>
  <c r="C34" i="19"/>
  <c r="E30" i="19"/>
  <c r="C29" i="19"/>
  <c r="E25" i="19"/>
  <c r="C24" i="19"/>
  <c r="E22" i="19"/>
  <c r="E20" i="19"/>
  <c r="C19" i="19"/>
  <c r="C51" i="19"/>
  <c r="E12" i="19"/>
  <c r="E10" i="19"/>
  <c r="C9" i="19"/>
  <c r="C50" i="19"/>
  <c r="H262" i="18"/>
  <c r="H261" i="18"/>
  <c r="H258" i="18"/>
  <c r="H257" i="18"/>
  <c r="H256" i="18"/>
  <c r="H255" i="18"/>
  <c r="H254" i="18"/>
  <c r="H253" i="18"/>
  <c r="H252" i="18"/>
  <c r="H251" i="18"/>
  <c r="H250" i="18"/>
  <c r="H249" i="18"/>
  <c r="H248" i="18"/>
  <c r="H247" i="18"/>
  <c r="H246" i="18"/>
  <c r="H245" i="18"/>
  <c r="H244" i="18"/>
  <c r="H243" i="18"/>
  <c r="H242" i="18"/>
  <c r="H241" i="18"/>
  <c r="H240" i="18"/>
  <c r="H239" i="18"/>
  <c r="H238" i="18"/>
  <c r="H237" i="18"/>
  <c r="H236" i="18"/>
  <c r="H235" i="18"/>
  <c r="H234" i="18"/>
  <c r="H233" i="18"/>
  <c r="H232" i="18"/>
  <c r="H231" i="18"/>
  <c r="H230" i="18"/>
  <c r="H229" i="18"/>
  <c r="H228" i="18"/>
  <c r="H227" i="18"/>
  <c r="H226" i="18"/>
  <c r="H225" i="18"/>
  <c r="H224" i="18"/>
  <c r="H223" i="18"/>
  <c r="H222" i="18"/>
  <c r="H221" i="18"/>
  <c r="H220" i="18"/>
  <c r="H219" i="18"/>
  <c r="H218" i="18"/>
  <c r="H217" i="18"/>
  <c r="H216" i="18"/>
  <c r="H215" i="18"/>
  <c r="H214" i="18"/>
  <c r="H213" i="18"/>
  <c r="H212" i="18"/>
  <c r="H211" i="18"/>
  <c r="H210" i="18"/>
  <c r="H209" i="18"/>
  <c r="H208" i="18"/>
  <c r="H207" i="18"/>
  <c r="H206" i="18"/>
  <c r="H205" i="18"/>
  <c r="H204" i="18"/>
  <c r="H203" i="18"/>
  <c r="H202" i="18"/>
  <c r="H201" i="18"/>
  <c r="H200" i="18"/>
  <c r="H199" i="18"/>
  <c r="H198" i="18"/>
  <c r="H197" i="18"/>
  <c r="H196" i="18"/>
  <c r="H195" i="18"/>
  <c r="H194" i="18"/>
  <c r="H193" i="18"/>
  <c r="H192" i="18"/>
  <c r="H191" i="18"/>
  <c r="H190" i="18"/>
  <c r="H189" i="18"/>
  <c r="H188" i="18"/>
  <c r="H187" i="18"/>
  <c r="H186" i="18"/>
  <c r="H185" i="18"/>
  <c r="H184" i="18"/>
  <c r="H183" i="18"/>
  <c r="H182" i="18"/>
  <c r="H181" i="18"/>
  <c r="H180" i="18"/>
  <c r="H179" i="18"/>
  <c r="H178" i="18"/>
  <c r="H177" i="18"/>
  <c r="H176" i="18"/>
  <c r="H175" i="18"/>
  <c r="H174" i="18"/>
  <c r="H173" i="18"/>
  <c r="H172" i="18"/>
  <c r="H171" i="18"/>
  <c r="H170" i="18"/>
  <c r="H169" i="18"/>
  <c r="H168" i="18"/>
  <c r="H167" i="18"/>
  <c r="H166" i="18"/>
  <c r="H165" i="18"/>
  <c r="H164" i="18"/>
  <c r="H163" i="18"/>
  <c r="H162" i="18"/>
  <c r="H161" i="18"/>
  <c r="H160" i="18"/>
  <c r="H159" i="18"/>
  <c r="H158" i="18"/>
  <c r="H157" i="18"/>
  <c r="H156" i="18"/>
  <c r="H155" i="18"/>
  <c r="H154" i="18"/>
  <c r="H153" i="18"/>
  <c r="H152" i="18"/>
  <c r="H151" i="18"/>
  <c r="H150" i="18"/>
  <c r="H149" i="18"/>
  <c r="H148" i="18"/>
  <c r="H147" i="18"/>
  <c r="H146" i="18"/>
  <c r="H145" i="18"/>
  <c r="H142" i="18"/>
  <c r="H141" i="18"/>
  <c r="H138" i="18"/>
  <c r="H137" i="18"/>
  <c r="H134" i="18"/>
  <c r="H133" i="18"/>
  <c r="H132" i="18"/>
  <c r="H131" i="18"/>
  <c r="H130" i="18"/>
  <c r="H129" i="18"/>
  <c r="H128" i="18"/>
  <c r="H127" i="18"/>
  <c r="H126" i="18"/>
  <c r="H125" i="18"/>
  <c r="H124" i="18"/>
  <c r="H123" i="18"/>
  <c r="H122" i="18"/>
  <c r="H121" i="18"/>
  <c r="H120" i="18"/>
  <c r="H119" i="18"/>
  <c r="H118" i="18"/>
  <c r="H117" i="18"/>
  <c r="H116" i="18"/>
  <c r="H115" i="18"/>
  <c r="H112" i="18"/>
  <c r="H111" i="18"/>
  <c r="H110" i="18"/>
  <c r="H109" i="18"/>
  <c r="H108" i="18"/>
  <c r="H107" i="18"/>
  <c r="H106" i="18"/>
  <c r="H105" i="18"/>
  <c r="H104" i="18"/>
  <c r="H103" i="18"/>
  <c r="H102" i="18"/>
  <c r="H101" i="18"/>
  <c r="H100" i="18"/>
  <c r="H99" i="18"/>
  <c r="H98" i="18"/>
  <c r="H97" i="18"/>
  <c r="H96" i="18"/>
  <c r="H95" i="18"/>
  <c r="H94" i="18"/>
  <c r="H93" i="18"/>
  <c r="H92" i="18"/>
  <c r="H89" i="18"/>
  <c r="H88" i="18"/>
  <c r="H87" i="18"/>
  <c r="H86" i="18"/>
  <c r="H85" i="18"/>
  <c r="H84" i="18"/>
  <c r="H83" i="18"/>
  <c r="H82" i="18"/>
  <c r="H81" i="18"/>
  <c r="H80" i="18"/>
  <c r="H79" i="18"/>
  <c r="H78" i="18"/>
  <c r="H77" i="18"/>
  <c r="H74" i="18"/>
  <c r="H73" i="18"/>
  <c r="H72" i="18"/>
  <c r="H71" i="18"/>
  <c r="H70" i="18"/>
  <c r="H69" i="18"/>
  <c r="H68" i="18"/>
  <c r="H67" i="18"/>
  <c r="H66" i="18"/>
  <c r="H65" i="18"/>
  <c r="H64" i="18"/>
  <c r="H63" i="18"/>
  <c r="H62" i="18"/>
  <c r="H61" i="18"/>
  <c r="H60" i="18"/>
  <c r="H59" i="18"/>
  <c r="H58" i="18"/>
  <c r="H57" i="18"/>
  <c r="H54" i="18"/>
  <c r="H53" i="18"/>
  <c r="H52" i="18"/>
  <c r="H51" i="18"/>
  <c r="H50" i="18"/>
  <c r="H49" i="18"/>
  <c r="H48" i="18"/>
  <c r="H47" i="18"/>
  <c r="H46" i="18"/>
  <c r="H45" i="18"/>
  <c r="H44" i="18"/>
  <c r="H43" i="18"/>
  <c r="H42" i="18"/>
  <c r="H41" i="18"/>
  <c r="H40" i="18"/>
  <c r="H39" i="18"/>
  <c r="H38" i="18"/>
  <c r="H35" i="18"/>
  <c r="H34" i="18"/>
  <c r="H33" i="18"/>
  <c r="H32" i="18"/>
  <c r="H29" i="18"/>
  <c r="H28" i="18"/>
  <c r="H27" i="18"/>
  <c r="H26" i="18"/>
  <c r="H25" i="18"/>
  <c r="H24" i="18"/>
  <c r="H23" i="18"/>
  <c r="H22" i="18"/>
  <c r="H21" i="18"/>
  <c r="H20" i="18"/>
  <c r="H19" i="18"/>
  <c r="H18" i="18"/>
  <c r="H15" i="18"/>
  <c r="H454" i="17"/>
  <c r="H453" i="17"/>
  <c r="H455" i="17" s="1"/>
  <c r="H446" i="17"/>
  <c r="H444" i="17"/>
  <c r="H443" i="17"/>
  <c r="H442" i="17"/>
  <c r="H440" i="17"/>
  <c r="H438" i="17"/>
  <c r="H437" i="17"/>
  <c r="H435" i="17"/>
  <c r="H434" i="17"/>
  <c r="H433" i="17"/>
  <c r="H431" i="17"/>
  <c r="H430" i="17"/>
  <c r="H429" i="17"/>
  <c r="H427" i="17"/>
  <c r="H426" i="17"/>
  <c r="H425" i="17"/>
  <c r="H417" i="17"/>
  <c r="H415" i="17"/>
  <c r="H413" i="17"/>
  <c r="H412" i="17"/>
  <c r="H411" i="17"/>
  <c r="H420" i="17" s="1"/>
  <c r="H405" i="17"/>
  <c r="H403" i="17"/>
  <c r="H402" i="17"/>
  <c r="H401" i="17"/>
  <c r="H406" i="17" s="1"/>
  <c r="H395" i="17"/>
  <c r="H393" i="17"/>
  <c r="H387" i="17"/>
  <c r="H385" i="17"/>
  <c r="H384" i="17"/>
  <c r="H383" i="17"/>
  <c r="H381" i="17"/>
  <c r="H379" i="17"/>
  <c r="H378" i="17"/>
  <c r="H377" i="17"/>
  <c r="H376" i="17"/>
  <c r="H375" i="17"/>
  <c r="H374" i="17"/>
  <c r="H372" i="17"/>
  <c r="H370" i="17"/>
  <c r="H369" i="17"/>
  <c r="H368" i="17"/>
  <c r="H366" i="17"/>
  <c r="H365" i="17"/>
  <c r="H364" i="17"/>
  <c r="H363" i="17"/>
  <c r="H362" i="17"/>
  <c r="H361" i="17"/>
  <c r="H360" i="17"/>
  <c r="H359" i="17"/>
  <c r="H358" i="17"/>
  <c r="H357" i="17"/>
  <c r="H356" i="17"/>
  <c r="H355" i="17"/>
  <c r="H354" i="17"/>
  <c r="H352" i="17"/>
  <c r="H351" i="17"/>
  <c r="H350" i="17"/>
  <c r="H338" i="17"/>
  <c r="H345" i="17" s="1"/>
  <c r="H333" i="17"/>
  <c r="H331" i="17"/>
  <c r="H329" i="17"/>
  <c r="H322" i="17"/>
  <c r="H320" i="17"/>
  <c r="H319" i="17"/>
  <c r="H317" i="17"/>
  <c r="H316" i="17"/>
  <c r="H314" i="17"/>
  <c r="H311" i="17"/>
  <c r="H310" i="17"/>
  <c r="H309" i="17"/>
  <c r="H308" i="17"/>
  <c r="H302" i="17"/>
  <c r="H300" i="17"/>
  <c r="H299" i="17"/>
  <c r="H297" i="17"/>
  <c r="H290" i="17"/>
  <c r="H288" i="17"/>
  <c r="H287" i="17"/>
  <c r="H286" i="17"/>
  <c r="H280" i="17"/>
  <c r="H279" i="17"/>
  <c r="H278" i="17"/>
  <c r="H276" i="17"/>
  <c r="H281" i="17" s="1"/>
  <c r="H271" i="17"/>
  <c r="H269" i="17"/>
  <c r="H268" i="17"/>
  <c r="H267" i="17"/>
  <c r="H265" i="17"/>
  <c r="H264" i="17"/>
  <c r="H263" i="17"/>
  <c r="H261" i="17"/>
  <c r="H259" i="17"/>
  <c r="H257" i="17"/>
  <c r="H256" i="17"/>
  <c r="H254" i="17"/>
  <c r="H253" i="17"/>
  <c r="H252" i="17"/>
  <c r="H246" i="17"/>
  <c r="H247" i="17" s="1"/>
  <c r="H241" i="17"/>
  <c r="H242" i="17" s="1"/>
  <c r="H235" i="17"/>
  <c r="H233" i="17"/>
  <c r="H232" i="17"/>
  <c r="H231" i="17"/>
  <c r="H229" i="17"/>
  <c r="H227" i="17"/>
  <c r="H225" i="17"/>
  <c r="H223" i="17"/>
  <c r="H221" i="17"/>
  <c r="H236" i="17" s="1"/>
  <c r="H215" i="17"/>
  <c r="H214" i="17"/>
  <c r="H212" i="17"/>
  <c r="H210" i="17"/>
  <c r="H209" i="17"/>
  <c r="H207" i="17"/>
  <c r="H206" i="17"/>
  <c r="H204" i="17"/>
  <c r="H203" i="17"/>
  <c r="H202" i="17"/>
  <c r="H201" i="17"/>
  <c r="H200" i="17"/>
  <c r="H198" i="17"/>
  <c r="H197" i="17"/>
  <c r="H195" i="17"/>
  <c r="H194" i="17"/>
  <c r="H193" i="17"/>
  <c r="H191" i="17"/>
  <c r="H190" i="17"/>
  <c r="H189" i="17"/>
  <c r="H188" i="17"/>
  <c r="H187" i="17"/>
  <c r="H186" i="17"/>
  <c r="H185" i="17"/>
  <c r="H184" i="17"/>
  <c r="H183" i="17"/>
  <c r="H182" i="17"/>
  <c r="H181" i="17"/>
  <c r="H180" i="17"/>
  <c r="H179" i="17"/>
  <c r="H178" i="17"/>
  <c r="H177" i="17"/>
  <c r="H176" i="17"/>
  <c r="H175" i="17"/>
  <c r="H174" i="17"/>
  <c r="H172" i="17"/>
  <c r="H171" i="17"/>
  <c r="H170" i="17"/>
  <c r="H164" i="17"/>
  <c r="H162" i="17"/>
  <c r="H161" i="17"/>
  <c r="H160" i="17"/>
  <c r="H158" i="17"/>
  <c r="H156" i="17"/>
  <c r="H155" i="17"/>
  <c r="H165" i="17" s="1"/>
  <c r="H149" i="17"/>
  <c r="H147" i="17"/>
  <c r="H150" i="17" s="1"/>
  <c r="H142" i="17"/>
  <c r="H140" i="17"/>
  <c r="H135" i="17"/>
  <c r="H133" i="17"/>
  <c r="H132" i="17"/>
  <c r="H131" i="17"/>
  <c r="H129" i="17"/>
  <c r="H127" i="17"/>
  <c r="H136" i="17" s="1"/>
  <c r="H121" i="17"/>
  <c r="H120" i="17"/>
  <c r="H118" i="17"/>
  <c r="H116" i="17"/>
  <c r="H115" i="17"/>
  <c r="H114" i="17"/>
  <c r="H112" i="17"/>
  <c r="H110" i="17"/>
  <c r="H109" i="17"/>
  <c r="H108" i="17"/>
  <c r="H101" i="17"/>
  <c r="H103" i="17" s="1"/>
  <c r="H96" i="17"/>
  <c r="H94" i="17"/>
  <c r="H92" i="17"/>
  <c r="H91" i="17"/>
  <c r="H90" i="17"/>
  <c r="H88" i="17"/>
  <c r="H87" i="17"/>
  <c r="H85" i="17"/>
  <c r="H83" i="17"/>
  <c r="H81" i="17"/>
  <c r="H78" i="17"/>
  <c r="H77" i="17"/>
  <c r="H76" i="17"/>
  <c r="H75" i="17"/>
  <c r="H72" i="17"/>
  <c r="H71" i="17"/>
  <c r="H67" i="17"/>
  <c r="H66" i="17"/>
  <c r="H65" i="17"/>
  <c r="H64" i="17"/>
  <c r="H62" i="17"/>
  <c r="H61" i="17"/>
  <c r="H59" i="17"/>
  <c r="H58" i="17"/>
  <c r="H57" i="17"/>
  <c r="H55" i="17"/>
  <c r="H54" i="17"/>
  <c r="H52" i="17"/>
  <c r="H51" i="17"/>
  <c r="H50" i="17"/>
  <c r="H48" i="17"/>
  <c r="H47" i="17"/>
  <c r="H46" i="17"/>
  <c r="H45" i="17"/>
  <c r="H44" i="17"/>
  <c r="H43" i="17"/>
  <c r="H42" i="17"/>
  <c r="H41" i="17"/>
  <c r="H39" i="17"/>
  <c r="H37" i="17"/>
  <c r="H36" i="17"/>
  <c r="H35" i="17"/>
  <c r="H33" i="17"/>
  <c r="H32" i="17"/>
  <c r="H31" i="17"/>
  <c r="H30" i="17"/>
  <c r="H29" i="17"/>
  <c r="H28" i="17"/>
  <c r="H27" i="17"/>
  <c r="H26" i="17"/>
  <c r="H25" i="17"/>
  <c r="H24" i="17"/>
  <c r="H22" i="17"/>
  <c r="H20" i="17"/>
  <c r="H19" i="17"/>
  <c r="H18" i="17"/>
  <c r="H15" i="17"/>
  <c r="H262" i="16"/>
  <c r="H261" i="16"/>
  <c r="H258" i="16"/>
  <c r="H257" i="16"/>
  <c r="H256" i="16"/>
  <c r="H255" i="16"/>
  <c r="H254" i="16"/>
  <c r="H253" i="16"/>
  <c r="H252" i="16"/>
  <c r="H251" i="16"/>
  <c r="H250" i="16"/>
  <c r="H249" i="16"/>
  <c r="H248" i="16"/>
  <c r="H247" i="16"/>
  <c r="H246" i="16"/>
  <c r="H245" i="16"/>
  <c r="H244" i="16"/>
  <c r="H243" i="16"/>
  <c r="H242" i="16"/>
  <c r="H241" i="16"/>
  <c r="H240" i="16"/>
  <c r="H239" i="16"/>
  <c r="H238" i="16"/>
  <c r="H237" i="16"/>
  <c r="H236" i="16"/>
  <c r="H235" i="16"/>
  <c r="H234" i="16"/>
  <c r="H233" i="16"/>
  <c r="H232" i="16"/>
  <c r="H231" i="16"/>
  <c r="H230" i="16"/>
  <c r="H229" i="16"/>
  <c r="H228" i="16"/>
  <c r="H227" i="16"/>
  <c r="H226" i="16"/>
  <c r="H225" i="16"/>
  <c r="H224" i="16"/>
  <c r="H223" i="16"/>
  <c r="H222" i="16"/>
  <c r="H221" i="16"/>
  <c r="H220" i="16"/>
  <c r="H219" i="16"/>
  <c r="H218" i="16"/>
  <c r="H217" i="16"/>
  <c r="H216" i="16"/>
  <c r="H215" i="16"/>
  <c r="H214" i="16"/>
  <c r="H213" i="16"/>
  <c r="H212" i="16"/>
  <c r="H211" i="16"/>
  <c r="H210" i="16"/>
  <c r="H209" i="16"/>
  <c r="H208" i="16"/>
  <c r="H207" i="16"/>
  <c r="H206" i="16"/>
  <c r="H205" i="16"/>
  <c r="H204" i="16"/>
  <c r="H203" i="16"/>
  <c r="H202" i="16"/>
  <c r="H201" i="16"/>
  <c r="H200" i="16"/>
  <c r="H199" i="16"/>
  <c r="H198" i="16"/>
  <c r="H197" i="16"/>
  <c r="H196" i="16"/>
  <c r="H195" i="16"/>
  <c r="H194" i="16"/>
  <c r="H193" i="16"/>
  <c r="H192" i="16"/>
  <c r="H191" i="16"/>
  <c r="H190" i="16"/>
  <c r="H189" i="16"/>
  <c r="H188" i="16"/>
  <c r="H187" i="16"/>
  <c r="H186" i="16"/>
  <c r="H185" i="16"/>
  <c r="H184" i="16"/>
  <c r="H183" i="16"/>
  <c r="H182" i="16"/>
  <c r="H181" i="16"/>
  <c r="H180" i="16"/>
  <c r="H179" i="16"/>
  <c r="H178" i="16"/>
  <c r="H177" i="16"/>
  <c r="H176" i="16"/>
  <c r="H175" i="16"/>
  <c r="H174" i="16"/>
  <c r="H173" i="16"/>
  <c r="H172" i="16"/>
  <c r="H171" i="16"/>
  <c r="H170" i="16"/>
  <c r="H169" i="16"/>
  <c r="H168" i="16"/>
  <c r="H167" i="16"/>
  <c r="H166" i="16"/>
  <c r="H165" i="16"/>
  <c r="H164" i="16"/>
  <c r="H163" i="16"/>
  <c r="H162" i="16"/>
  <c r="H161" i="16"/>
  <c r="H160" i="16"/>
  <c r="H159" i="16"/>
  <c r="H158" i="16"/>
  <c r="H157" i="16"/>
  <c r="H156" i="16"/>
  <c r="H155" i="16"/>
  <c r="H154" i="16"/>
  <c r="H153" i="16"/>
  <c r="H152" i="16"/>
  <c r="H151" i="16"/>
  <c r="H150" i="16"/>
  <c r="H149" i="16"/>
  <c r="H148" i="16"/>
  <c r="H147" i="16"/>
  <c r="H146" i="16"/>
  <c r="H145" i="16"/>
  <c r="H142" i="16"/>
  <c r="H141" i="16"/>
  <c r="H138" i="16"/>
  <c r="H137" i="16"/>
  <c r="H134" i="16"/>
  <c r="H133" i="16"/>
  <c r="H132" i="16"/>
  <c r="H131" i="16"/>
  <c r="H130" i="16"/>
  <c r="H129" i="16"/>
  <c r="H128" i="16"/>
  <c r="H127" i="16"/>
  <c r="H126" i="16"/>
  <c r="H125" i="16"/>
  <c r="H124" i="16"/>
  <c r="H123" i="16"/>
  <c r="H122" i="16"/>
  <c r="H121" i="16"/>
  <c r="H120" i="16"/>
  <c r="H119" i="16"/>
  <c r="H118" i="16"/>
  <c r="H117" i="16"/>
  <c r="H116" i="16"/>
  <c r="H115" i="16"/>
  <c r="H112" i="16"/>
  <c r="H111" i="16"/>
  <c r="H110" i="16"/>
  <c r="H109" i="16"/>
  <c r="H108" i="16"/>
  <c r="H107" i="16"/>
  <c r="H106" i="16"/>
  <c r="H105" i="16"/>
  <c r="H104" i="16"/>
  <c r="H103" i="16"/>
  <c r="H102" i="16"/>
  <c r="H101" i="16"/>
  <c r="H100" i="16"/>
  <c r="H99" i="16"/>
  <c r="H98" i="16"/>
  <c r="H97" i="16"/>
  <c r="H96" i="16"/>
  <c r="H95" i="16"/>
  <c r="H94" i="16"/>
  <c r="H93" i="16"/>
  <c r="H92" i="16"/>
  <c r="H89" i="16"/>
  <c r="H88" i="16"/>
  <c r="H87" i="16"/>
  <c r="H86" i="16"/>
  <c r="H85" i="16"/>
  <c r="H84" i="16"/>
  <c r="H83" i="16"/>
  <c r="H82" i="16"/>
  <c r="H81" i="16"/>
  <c r="H80" i="16"/>
  <c r="H79" i="16"/>
  <c r="H78" i="16"/>
  <c r="H77" i="16"/>
  <c r="H74" i="16"/>
  <c r="H73" i="16"/>
  <c r="H72" i="16"/>
  <c r="H71" i="16"/>
  <c r="H70" i="16"/>
  <c r="H69" i="16"/>
  <c r="H68" i="16"/>
  <c r="H67" i="16"/>
  <c r="H66" i="16"/>
  <c r="H65" i="16"/>
  <c r="H64" i="16"/>
  <c r="H63" i="16"/>
  <c r="H62" i="16"/>
  <c r="H61" i="16"/>
  <c r="H60" i="16"/>
  <c r="H59" i="16"/>
  <c r="H58" i="16"/>
  <c r="H57" i="16"/>
  <c r="H54" i="16"/>
  <c r="H53" i="16"/>
  <c r="H52" i="16"/>
  <c r="H51" i="16"/>
  <c r="H50" i="16"/>
  <c r="H49" i="16"/>
  <c r="H48" i="16"/>
  <c r="H47" i="16"/>
  <c r="H46" i="16"/>
  <c r="H45" i="16"/>
  <c r="H44" i="16"/>
  <c r="H43" i="16"/>
  <c r="H42" i="16"/>
  <c r="H41" i="16"/>
  <c r="H40" i="16"/>
  <c r="H39" i="16"/>
  <c r="H38" i="16"/>
  <c r="H35" i="16"/>
  <c r="H34" i="16"/>
  <c r="H33" i="16"/>
  <c r="H32" i="16"/>
  <c r="H29" i="16"/>
  <c r="H28" i="16"/>
  <c r="H27" i="16"/>
  <c r="H26" i="16"/>
  <c r="H25" i="16"/>
  <c r="H24" i="16"/>
  <c r="H23" i="16"/>
  <c r="H22" i="16"/>
  <c r="H21" i="16"/>
  <c r="H20" i="16"/>
  <c r="H19" i="16"/>
  <c r="H18" i="16"/>
  <c r="H15" i="16"/>
  <c r="H454" i="15"/>
  <c r="H453" i="15"/>
  <c r="H455" i="15" s="1"/>
  <c r="H446" i="15"/>
  <c r="H444" i="15"/>
  <c r="H443" i="15"/>
  <c r="H442" i="15"/>
  <c r="H440" i="15"/>
  <c r="H438" i="15"/>
  <c r="H437" i="15"/>
  <c r="H435" i="15"/>
  <c r="H434" i="15"/>
  <c r="H433" i="15"/>
  <c r="H431" i="15"/>
  <c r="H430" i="15"/>
  <c r="H429" i="15"/>
  <c r="H427" i="15"/>
  <c r="H426" i="15"/>
  <c r="H425" i="15"/>
  <c r="H417" i="15"/>
  <c r="H415" i="15"/>
  <c r="H413" i="15"/>
  <c r="H412" i="15"/>
  <c r="H411" i="15"/>
  <c r="H420" i="15" s="1"/>
  <c r="H405" i="15"/>
  <c r="H403" i="15"/>
  <c r="H402" i="15"/>
  <c r="H401" i="15"/>
  <c r="H406" i="15" s="1"/>
  <c r="H395" i="15"/>
  <c r="H393" i="15"/>
  <c r="H396" i="15" s="1"/>
  <c r="H387" i="15"/>
  <c r="H385" i="15"/>
  <c r="H384" i="15"/>
  <c r="H383" i="15"/>
  <c r="H381" i="15"/>
  <c r="H379" i="15"/>
  <c r="H378" i="15"/>
  <c r="H377" i="15"/>
  <c r="H376" i="15"/>
  <c r="H375" i="15"/>
  <c r="H374" i="15"/>
  <c r="H372" i="15"/>
  <c r="H370" i="15"/>
  <c r="H369" i="15"/>
  <c r="H368" i="15"/>
  <c r="H366" i="15"/>
  <c r="H365" i="15"/>
  <c r="H364" i="15"/>
  <c r="H363" i="15"/>
  <c r="H362" i="15"/>
  <c r="H361" i="15"/>
  <c r="H360" i="15"/>
  <c r="H359" i="15"/>
  <c r="H358" i="15"/>
  <c r="H357" i="15"/>
  <c r="H356" i="15"/>
  <c r="H355" i="15"/>
  <c r="H354" i="15"/>
  <c r="H352" i="15"/>
  <c r="H351" i="15"/>
  <c r="H350" i="15"/>
  <c r="H344" i="15"/>
  <c r="H338" i="15"/>
  <c r="H345" i="15" s="1"/>
  <c r="H333" i="15"/>
  <c r="H331" i="15"/>
  <c r="H329" i="15"/>
  <c r="H322" i="15"/>
  <c r="H320" i="15"/>
  <c r="H319" i="15"/>
  <c r="H317" i="15"/>
  <c r="H316" i="15"/>
  <c r="H314" i="15"/>
  <c r="H311" i="15"/>
  <c r="H310" i="15"/>
  <c r="H309" i="15"/>
  <c r="H308" i="15"/>
  <c r="H302" i="15"/>
  <c r="H300" i="15"/>
  <c r="H299" i="15"/>
  <c r="H297" i="15"/>
  <c r="H290" i="15"/>
  <c r="H288" i="15"/>
  <c r="H287" i="15"/>
  <c r="H286" i="15"/>
  <c r="H303" i="15" s="1"/>
  <c r="H280" i="15"/>
  <c r="H279" i="15"/>
  <c r="H278" i="15"/>
  <c r="H276" i="15"/>
  <c r="H281" i="15" s="1"/>
  <c r="H271" i="15"/>
  <c r="H269" i="15"/>
  <c r="H268" i="15"/>
  <c r="H267" i="15"/>
  <c r="H265" i="15"/>
  <c r="H264" i="15"/>
  <c r="H263" i="15"/>
  <c r="H261" i="15"/>
  <c r="H259" i="15"/>
  <c r="H257" i="15"/>
  <c r="H256" i="15"/>
  <c r="H254" i="15"/>
  <c r="H253" i="15"/>
  <c r="H252" i="15"/>
  <c r="H246" i="15"/>
  <c r="H247" i="15" s="1"/>
  <c r="H241" i="15"/>
  <c r="H242" i="15" s="1"/>
  <c r="H235" i="15"/>
  <c r="H233" i="15"/>
  <c r="H232" i="15"/>
  <c r="H231" i="15"/>
  <c r="H229" i="15"/>
  <c r="H227" i="15"/>
  <c r="H225" i="15"/>
  <c r="H223" i="15"/>
  <c r="H221" i="15"/>
  <c r="H215" i="15"/>
  <c r="H214" i="15"/>
  <c r="H212" i="15"/>
  <c r="H210" i="15"/>
  <c r="H209" i="15"/>
  <c r="H207" i="15"/>
  <c r="H206" i="15"/>
  <c r="H216" i="15" s="1"/>
  <c r="H204" i="15"/>
  <c r="H203" i="15"/>
  <c r="H202" i="15"/>
  <c r="H201" i="15"/>
  <c r="H200" i="15"/>
  <c r="H198" i="15"/>
  <c r="H197" i="15"/>
  <c r="H195" i="15"/>
  <c r="H194" i="15"/>
  <c r="H193" i="15"/>
  <c r="H191" i="15"/>
  <c r="H190" i="15"/>
  <c r="H189" i="15"/>
  <c r="H188" i="15"/>
  <c r="H187" i="15"/>
  <c r="H186" i="15"/>
  <c r="H185" i="15"/>
  <c r="H184" i="15"/>
  <c r="H183" i="15"/>
  <c r="H182" i="15"/>
  <c r="H181" i="15"/>
  <c r="H180" i="15"/>
  <c r="H179" i="15"/>
  <c r="H178" i="15"/>
  <c r="H177" i="15"/>
  <c r="H176" i="15"/>
  <c r="H175" i="15"/>
  <c r="H174" i="15"/>
  <c r="H172" i="15"/>
  <c r="H171" i="15"/>
  <c r="H170" i="15"/>
  <c r="H164" i="15"/>
  <c r="H162" i="15"/>
  <c r="H161" i="15"/>
  <c r="H160" i="15"/>
  <c r="H158" i="15"/>
  <c r="H156" i="15"/>
  <c r="H155" i="15"/>
  <c r="H149" i="15"/>
  <c r="H147" i="15"/>
  <c r="H150" i="15" s="1"/>
  <c r="H142" i="15"/>
  <c r="H140" i="15"/>
  <c r="H143" i="15" s="1"/>
  <c r="H135" i="15"/>
  <c r="H133" i="15"/>
  <c r="H132" i="15"/>
  <c r="H131" i="15"/>
  <c r="H129" i="15"/>
  <c r="H127" i="15"/>
  <c r="H136" i="15" s="1"/>
  <c r="H121" i="15"/>
  <c r="H120" i="15"/>
  <c r="H118" i="15"/>
  <c r="H116" i="15"/>
  <c r="H115" i="15"/>
  <c r="H114" i="15"/>
  <c r="H112" i="15"/>
  <c r="H110" i="15"/>
  <c r="H109" i="15"/>
  <c r="H108" i="15"/>
  <c r="H122" i="15" s="1"/>
  <c r="H101" i="15"/>
  <c r="H103" i="15" s="1"/>
  <c r="H96" i="15"/>
  <c r="H94" i="15"/>
  <c r="H92" i="15"/>
  <c r="H91" i="15"/>
  <c r="H90" i="15"/>
  <c r="H88" i="15"/>
  <c r="H87" i="15"/>
  <c r="H85" i="15"/>
  <c r="H83" i="15"/>
  <c r="H81" i="15"/>
  <c r="H78" i="15"/>
  <c r="H77" i="15"/>
  <c r="H76" i="15"/>
  <c r="H75" i="15"/>
  <c r="H72" i="15"/>
  <c r="H71" i="15"/>
  <c r="H67" i="15"/>
  <c r="H66" i="15"/>
  <c r="H65" i="15"/>
  <c r="H64" i="15"/>
  <c r="H62" i="15"/>
  <c r="H61" i="15"/>
  <c r="H59" i="15"/>
  <c r="H58" i="15"/>
  <c r="H57" i="15"/>
  <c r="H55" i="15"/>
  <c r="H54" i="15"/>
  <c r="H52" i="15"/>
  <c r="H51" i="15"/>
  <c r="H50" i="15"/>
  <c r="H48" i="15"/>
  <c r="H47" i="15"/>
  <c r="H46" i="15"/>
  <c r="H45" i="15"/>
  <c r="H44" i="15"/>
  <c r="H43" i="15"/>
  <c r="H42" i="15"/>
  <c r="H41" i="15"/>
  <c r="H39" i="15"/>
  <c r="H37" i="15"/>
  <c r="H36" i="15"/>
  <c r="H35" i="15"/>
  <c r="H33" i="15"/>
  <c r="H32" i="15"/>
  <c r="H31" i="15"/>
  <c r="H30" i="15"/>
  <c r="H29" i="15"/>
  <c r="H28" i="15"/>
  <c r="H27" i="15"/>
  <c r="H26" i="15"/>
  <c r="H25" i="15"/>
  <c r="H24" i="15"/>
  <c r="H22" i="15"/>
  <c r="H20" i="15"/>
  <c r="H19" i="15"/>
  <c r="H18" i="15"/>
  <c r="H15" i="15"/>
  <c r="H262" i="14"/>
  <c r="H261" i="14"/>
  <c r="H258" i="14"/>
  <c r="H257" i="14"/>
  <c r="H256" i="14"/>
  <c r="H255" i="14"/>
  <c r="H254" i="14"/>
  <c r="H253" i="14"/>
  <c r="H252" i="14"/>
  <c r="H251" i="14"/>
  <c r="H250" i="14"/>
  <c r="H249" i="14"/>
  <c r="H248" i="14"/>
  <c r="H247" i="14"/>
  <c r="H246" i="14"/>
  <c r="H245" i="14"/>
  <c r="H244" i="14"/>
  <c r="H243" i="14"/>
  <c r="H242" i="14"/>
  <c r="H241" i="14"/>
  <c r="H240" i="14"/>
  <c r="H239" i="14"/>
  <c r="H238" i="14"/>
  <c r="H237" i="14"/>
  <c r="H236" i="14"/>
  <c r="H235" i="14"/>
  <c r="H234" i="14"/>
  <c r="H233" i="14"/>
  <c r="H232" i="14"/>
  <c r="H231" i="14"/>
  <c r="H230" i="14"/>
  <c r="H229" i="14"/>
  <c r="H228" i="14"/>
  <c r="H227" i="14"/>
  <c r="H226" i="14"/>
  <c r="H225" i="14"/>
  <c r="H224" i="14"/>
  <c r="H223" i="14"/>
  <c r="H222" i="14"/>
  <c r="H221" i="14"/>
  <c r="H220" i="14"/>
  <c r="H219" i="14"/>
  <c r="H218" i="14"/>
  <c r="H217" i="14"/>
  <c r="H216" i="14"/>
  <c r="H215" i="14"/>
  <c r="H214" i="14"/>
  <c r="H213" i="14"/>
  <c r="H212" i="14"/>
  <c r="H211" i="14"/>
  <c r="H210" i="14"/>
  <c r="H209" i="14"/>
  <c r="H208" i="14"/>
  <c r="H207" i="14"/>
  <c r="H206" i="14"/>
  <c r="H205" i="14"/>
  <c r="H204" i="14"/>
  <c r="H203" i="14"/>
  <c r="H202" i="14"/>
  <c r="H201" i="14"/>
  <c r="H200" i="14"/>
  <c r="H199" i="14"/>
  <c r="H198" i="14"/>
  <c r="H197" i="14"/>
  <c r="H196" i="14"/>
  <c r="H195" i="14"/>
  <c r="H194" i="14"/>
  <c r="H193" i="14"/>
  <c r="H192" i="14"/>
  <c r="H191" i="14"/>
  <c r="H190" i="14"/>
  <c r="H189" i="14"/>
  <c r="H188" i="14"/>
  <c r="H187" i="14"/>
  <c r="H186" i="14"/>
  <c r="H185" i="14"/>
  <c r="H184" i="14"/>
  <c r="H183" i="14"/>
  <c r="H182" i="14"/>
  <c r="H181" i="14"/>
  <c r="H180" i="14"/>
  <c r="H179" i="14"/>
  <c r="H178" i="14"/>
  <c r="H177" i="14"/>
  <c r="H176" i="14"/>
  <c r="H175" i="14"/>
  <c r="H174" i="14"/>
  <c r="H173" i="14"/>
  <c r="H172" i="14"/>
  <c r="H171" i="14"/>
  <c r="H170" i="14"/>
  <c r="H169" i="14"/>
  <c r="H168" i="14"/>
  <c r="H167" i="14"/>
  <c r="H166" i="14"/>
  <c r="H165" i="14"/>
  <c r="H164" i="14"/>
  <c r="H163" i="14"/>
  <c r="H162" i="14"/>
  <c r="H161" i="14"/>
  <c r="H160" i="14"/>
  <c r="H159" i="14"/>
  <c r="H158" i="14"/>
  <c r="H157" i="14"/>
  <c r="H156" i="14"/>
  <c r="H155" i="14"/>
  <c r="H154" i="14"/>
  <c r="H153" i="14"/>
  <c r="H152" i="14"/>
  <c r="H151" i="14"/>
  <c r="H150" i="14"/>
  <c r="H149" i="14"/>
  <c r="H148" i="14"/>
  <c r="H147" i="14"/>
  <c r="H146" i="14"/>
  <c r="H145" i="14"/>
  <c r="H142" i="14"/>
  <c r="H141" i="14"/>
  <c r="H138" i="14"/>
  <c r="H137" i="14"/>
  <c r="H134" i="14"/>
  <c r="H133" i="14"/>
  <c r="H132" i="14"/>
  <c r="H131" i="14"/>
  <c r="H130" i="14"/>
  <c r="H129" i="14"/>
  <c r="H128" i="14"/>
  <c r="H127" i="14"/>
  <c r="H126" i="14"/>
  <c r="H125" i="14"/>
  <c r="H124" i="14"/>
  <c r="H123" i="14"/>
  <c r="H122" i="14"/>
  <c r="H121" i="14"/>
  <c r="H120" i="14"/>
  <c r="H119" i="14"/>
  <c r="H118" i="14"/>
  <c r="H117" i="14"/>
  <c r="H116" i="14"/>
  <c r="H115" i="14"/>
  <c r="H112" i="14"/>
  <c r="H111" i="14"/>
  <c r="H110" i="14"/>
  <c r="H109" i="14"/>
  <c r="H108" i="14"/>
  <c r="H107" i="14"/>
  <c r="H106" i="14"/>
  <c r="H105" i="14"/>
  <c r="H104" i="14"/>
  <c r="H103" i="14"/>
  <c r="H102" i="14"/>
  <c r="H101" i="14"/>
  <c r="H100" i="14"/>
  <c r="H99" i="14"/>
  <c r="H98" i="14"/>
  <c r="H97" i="14"/>
  <c r="H96" i="14"/>
  <c r="H95" i="14"/>
  <c r="H94" i="14"/>
  <c r="H93" i="14"/>
  <c r="H92" i="14"/>
  <c r="H89" i="14"/>
  <c r="H88" i="14"/>
  <c r="H87" i="14"/>
  <c r="H86" i="14"/>
  <c r="H85" i="14"/>
  <c r="H84" i="14"/>
  <c r="H83" i="14"/>
  <c r="H82" i="14"/>
  <c r="H81" i="14"/>
  <c r="H80" i="14"/>
  <c r="H79" i="14"/>
  <c r="H78" i="14"/>
  <c r="H77" i="14"/>
  <c r="H74" i="14"/>
  <c r="H73" i="14"/>
  <c r="H72" i="14"/>
  <c r="H71" i="14"/>
  <c r="H70" i="14"/>
  <c r="H69" i="14"/>
  <c r="H68" i="14"/>
  <c r="H67" i="14"/>
  <c r="H66" i="14"/>
  <c r="H65" i="14"/>
  <c r="H64" i="14"/>
  <c r="H63" i="14"/>
  <c r="H62" i="14"/>
  <c r="H61" i="14"/>
  <c r="H60" i="14"/>
  <c r="H59" i="14"/>
  <c r="H58" i="14"/>
  <c r="H57" i="14"/>
  <c r="H54" i="14"/>
  <c r="H53" i="14"/>
  <c r="H52" i="14"/>
  <c r="H51" i="14"/>
  <c r="H50" i="14"/>
  <c r="H49" i="14"/>
  <c r="H48" i="14"/>
  <c r="H47" i="14"/>
  <c r="H46" i="14"/>
  <c r="H45" i="14"/>
  <c r="H44" i="14"/>
  <c r="H43" i="14"/>
  <c r="H42" i="14"/>
  <c r="H41" i="14"/>
  <c r="H40" i="14"/>
  <c r="H39" i="14"/>
  <c r="H38" i="14"/>
  <c r="H35" i="14"/>
  <c r="H34" i="14"/>
  <c r="H33" i="14"/>
  <c r="H32" i="14"/>
  <c r="H29" i="14"/>
  <c r="H28" i="14"/>
  <c r="H27" i="14"/>
  <c r="H26" i="14"/>
  <c r="H25" i="14"/>
  <c r="H24" i="14"/>
  <c r="H23" i="14"/>
  <c r="H22" i="14"/>
  <c r="H21" i="14"/>
  <c r="H20" i="14"/>
  <c r="H19" i="14"/>
  <c r="H18" i="14"/>
  <c r="H15" i="14"/>
  <c r="H454" i="13"/>
  <c r="H453" i="13"/>
  <c r="H455" i="13" s="1"/>
  <c r="H446" i="13"/>
  <c r="H444" i="13"/>
  <c r="H443" i="13"/>
  <c r="H442" i="13"/>
  <c r="H440" i="13"/>
  <c r="H438" i="13"/>
  <c r="H437" i="13"/>
  <c r="H435" i="13"/>
  <c r="H434" i="13"/>
  <c r="H433" i="13"/>
  <c r="H431" i="13"/>
  <c r="H430" i="13"/>
  <c r="H429" i="13"/>
  <c r="H427" i="13"/>
  <c r="H426" i="13"/>
  <c r="H425" i="13"/>
  <c r="H417" i="13"/>
  <c r="H415" i="13"/>
  <c r="H413" i="13"/>
  <c r="H412" i="13"/>
  <c r="H411" i="13"/>
  <c r="H405" i="13"/>
  <c r="H403" i="13"/>
  <c r="H402" i="13"/>
  <c r="H401" i="13"/>
  <c r="H406" i="13" s="1"/>
  <c r="H395" i="13"/>
  <c r="H393" i="13"/>
  <c r="H387" i="13"/>
  <c r="H385" i="13"/>
  <c r="H384" i="13"/>
  <c r="H383" i="13"/>
  <c r="H381" i="13"/>
  <c r="H379" i="13"/>
  <c r="H378" i="13"/>
  <c r="H377" i="13"/>
  <c r="H376" i="13"/>
  <c r="H375" i="13"/>
  <c r="H374" i="13"/>
  <c r="H372" i="13"/>
  <c r="H370" i="13"/>
  <c r="H369" i="13"/>
  <c r="H368" i="13"/>
  <c r="H366" i="13"/>
  <c r="H365" i="13"/>
  <c r="H364" i="13"/>
  <c r="H363" i="13"/>
  <c r="H362" i="13"/>
  <c r="H361" i="13"/>
  <c r="H360" i="13"/>
  <c r="H359" i="13"/>
  <c r="H358" i="13"/>
  <c r="H357" i="13"/>
  <c r="H356" i="13"/>
  <c r="H355" i="13"/>
  <c r="H354" i="13"/>
  <c r="H352" i="13"/>
  <c r="H351" i="13"/>
  <c r="H350" i="13"/>
  <c r="H344" i="13"/>
  <c r="H338" i="13"/>
  <c r="H345" i="13" s="1"/>
  <c r="H333" i="13"/>
  <c r="H331" i="13"/>
  <c r="H329" i="13"/>
  <c r="H322" i="13"/>
  <c r="H320" i="13"/>
  <c r="H319" i="13"/>
  <c r="H317" i="13"/>
  <c r="H316" i="13"/>
  <c r="H314" i="13"/>
  <c r="H311" i="13"/>
  <c r="H310" i="13"/>
  <c r="H309" i="13"/>
  <c r="H308" i="13"/>
  <c r="H302" i="13"/>
  <c r="H300" i="13"/>
  <c r="H299" i="13"/>
  <c r="H297" i="13"/>
  <c r="H290" i="13"/>
  <c r="H288" i="13"/>
  <c r="H287" i="13"/>
  <c r="H286" i="13"/>
  <c r="H280" i="13"/>
  <c r="H279" i="13"/>
  <c r="H278" i="13"/>
  <c r="H276" i="13"/>
  <c r="H281" i="13" s="1"/>
  <c r="H271" i="13"/>
  <c r="H269" i="13"/>
  <c r="H268" i="13"/>
  <c r="H267" i="13"/>
  <c r="H265" i="13"/>
  <c r="H264" i="13"/>
  <c r="H263" i="13"/>
  <c r="H261" i="13"/>
  <c r="H259" i="13"/>
  <c r="H257" i="13"/>
  <c r="H256" i="13"/>
  <c r="H254" i="13"/>
  <c r="H253" i="13"/>
  <c r="H252" i="13"/>
  <c r="H246" i="13"/>
  <c r="H247" i="13" s="1"/>
  <c r="H241" i="13"/>
  <c r="H242" i="13" s="1"/>
  <c r="H235" i="13"/>
  <c r="H233" i="13"/>
  <c r="H232" i="13"/>
  <c r="H231" i="13"/>
  <c r="H229" i="13"/>
  <c r="H227" i="13"/>
  <c r="H225" i="13"/>
  <c r="H223" i="13"/>
  <c r="H221" i="13"/>
  <c r="H236" i="13" s="1"/>
  <c r="H215" i="13"/>
  <c r="H214" i="13"/>
  <c r="H212" i="13"/>
  <c r="H210" i="13"/>
  <c r="H209" i="13"/>
  <c r="H207" i="13"/>
  <c r="H206" i="13"/>
  <c r="H204" i="13"/>
  <c r="H203" i="13"/>
  <c r="H202" i="13"/>
  <c r="H201" i="13"/>
  <c r="H200" i="13"/>
  <c r="H198" i="13"/>
  <c r="H197" i="13"/>
  <c r="H195" i="13"/>
  <c r="H194" i="13"/>
  <c r="H193" i="13"/>
  <c r="H191" i="13"/>
  <c r="H190" i="13"/>
  <c r="H189" i="13"/>
  <c r="H188" i="13"/>
  <c r="H187" i="13"/>
  <c r="H186" i="13"/>
  <c r="H185" i="13"/>
  <c r="H184" i="13"/>
  <c r="H183" i="13"/>
  <c r="H182" i="13"/>
  <c r="H181" i="13"/>
  <c r="H180" i="13"/>
  <c r="H179" i="13"/>
  <c r="H178" i="13"/>
  <c r="H177" i="13"/>
  <c r="H176" i="13"/>
  <c r="H175" i="13"/>
  <c r="H174" i="13"/>
  <c r="H172" i="13"/>
  <c r="H171" i="13"/>
  <c r="H170" i="13"/>
  <c r="H164" i="13"/>
  <c r="H162" i="13"/>
  <c r="H161" i="13"/>
  <c r="H160" i="13"/>
  <c r="H158" i="13"/>
  <c r="H156" i="13"/>
  <c r="H155" i="13"/>
  <c r="H149" i="13"/>
  <c r="H147" i="13"/>
  <c r="H150" i="13" s="1"/>
  <c r="H142" i="13"/>
  <c r="H140" i="13"/>
  <c r="H135" i="13"/>
  <c r="H133" i="13"/>
  <c r="H132" i="13"/>
  <c r="H131" i="13"/>
  <c r="H129" i="13"/>
  <c r="H127" i="13"/>
  <c r="H121" i="13"/>
  <c r="H120" i="13"/>
  <c r="H118" i="13"/>
  <c r="H112" i="13"/>
  <c r="H110" i="13"/>
  <c r="H109" i="13"/>
  <c r="H108" i="13"/>
  <c r="H122" i="13" s="1"/>
  <c r="H101" i="13"/>
  <c r="H103" i="13" s="1"/>
  <c r="H96" i="13"/>
  <c r="H94" i="13"/>
  <c r="H92" i="13"/>
  <c r="H91" i="13"/>
  <c r="H90" i="13"/>
  <c r="H88" i="13"/>
  <c r="H87" i="13"/>
  <c r="H85" i="13"/>
  <c r="H83" i="13"/>
  <c r="H81" i="13"/>
  <c r="H78" i="13"/>
  <c r="H77" i="13"/>
  <c r="H76" i="13"/>
  <c r="H75" i="13"/>
  <c r="H72" i="13"/>
  <c r="H71" i="13"/>
  <c r="H67" i="13"/>
  <c r="H66" i="13"/>
  <c r="H65" i="13"/>
  <c r="H64" i="13"/>
  <c r="H62" i="13"/>
  <c r="H61" i="13"/>
  <c r="H59" i="13"/>
  <c r="H58" i="13"/>
  <c r="H57" i="13"/>
  <c r="H55" i="13"/>
  <c r="H54" i="13"/>
  <c r="H52" i="13"/>
  <c r="H51" i="13"/>
  <c r="H50" i="13"/>
  <c r="H48" i="13"/>
  <c r="H47" i="13"/>
  <c r="H46" i="13"/>
  <c r="H45" i="13"/>
  <c r="H44" i="13"/>
  <c r="H43" i="13"/>
  <c r="H42" i="13"/>
  <c r="H41" i="13"/>
  <c r="H39" i="13"/>
  <c r="H37" i="13"/>
  <c r="H36" i="13"/>
  <c r="H35" i="13"/>
  <c r="H33" i="13"/>
  <c r="H32" i="13"/>
  <c r="H31" i="13"/>
  <c r="H30" i="13"/>
  <c r="H29" i="13"/>
  <c r="H28" i="13"/>
  <c r="H27" i="13"/>
  <c r="H26" i="13"/>
  <c r="H25" i="13"/>
  <c r="H24" i="13"/>
  <c r="H22" i="13"/>
  <c r="H20" i="13"/>
  <c r="H19" i="13"/>
  <c r="H18" i="13"/>
  <c r="H15" i="13"/>
  <c r="H262" i="12"/>
  <c r="H261" i="12"/>
  <c r="H258" i="12"/>
  <c r="H257" i="12"/>
  <c r="H256" i="12"/>
  <c r="H255" i="12"/>
  <c r="H254" i="12"/>
  <c r="H253" i="12"/>
  <c r="H252" i="12"/>
  <c r="H251" i="12"/>
  <c r="H250" i="12"/>
  <c r="H249" i="12"/>
  <c r="H248" i="12"/>
  <c r="H247" i="12"/>
  <c r="H246" i="12"/>
  <c r="H245" i="12"/>
  <c r="H244" i="12"/>
  <c r="H243" i="12"/>
  <c r="H242" i="12"/>
  <c r="H241" i="12"/>
  <c r="H240" i="12"/>
  <c r="H239" i="12"/>
  <c r="H238" i="12"/>
  <c r="H237" i="12"/>
  <c r="H236" i="12"/>
  <c r="H235" i="12"/>
  <c r="H234" i="12"/>
  <c r="H233" i="12"/>
  <c r="H232" i="12"/>
  <c r="H231" i="12"/>
  <c r="H230" i="12"/>
  <c r="H229" i="12"/>
  <c r="H228" i="12"/>
  <c r="H227" i="12"/>
  <c r="H226" i="12"/>
  <c r="H225" i="12"/>
  <c r="H224" i="12"/>
  <c r="H223" i="12"/>
  <c r="H222" i="12"/>
  <c r="H221" i="12"/>
  <c r="H220" i="12"/>
  <c r="H219" i="12"/>
  <c r="H218" i="12"/>
  <c r="H217" i="12"/>
  <c r="H216" i="12"/>
  <c r="H215" i="12"/>
  <c r="H214" i="12"/>
  <c r="H213" i="12"/>
  <c r="H212" i="12"/>
  <c r="H211" i="12"/>
  <c r="H210" i="12"/>
  <c r="H209" i="12"/>
  <c r="H208" i="12"/>
  <c r="H207" i="12"/>
  <c r="H206" i="12"/>
  <c r="H205" i="12"/>
  <c r="H204" i="12"/>
  <c r="H203" i="12"/>
  <c r="H202" i="12"/>
  <c r="H201" i="12"/>
  <c r="H200" i="12"/>
  <c r="H199" i="12"/>
  <c r="H198" i="12"/>
  <c r="H197" i="12"/>
  <c r="H196" i="12"/>
  <c r="H195" i="12"/>
  <c r="H194" i="12"/>
  <c r="H193" i="12"/>
  <c r="H192" i="12"/>
  <c r="H191" i="12"/>
  <c r="H190" i="12"/>
  <c r="H189" i="12"/>
  <c r="H188" i="12"/>
  <c r="H187" i="12"/>
  <c r="H186" i="12"/>
  <c r="H185" i="12"/>
  <c r="H184" i="12"/>
  <c r="H183" i="12"/>
  <c r="H182" i="12"/>
  <c r="H181" i="12"/>
  <c r="H180" i="12"/>
  <c r="H179" i="12"/>
  <c r="H178" i="12"/>
  <c r="H177" i="12"/>
  <c r="H176" i="12"/>
  <c r="H175" i="12"/>
  <c r="H174" i="12"/>
  <c r="H173" i="12"/>
  <c r="H172" i="12"/>
  <c r="H171" i="12"/>
  <c r="H170" i="12"/>
  <c r="H169" i="12"/>
  <c r="H168" i="12"/>
  <c r="H167" i="12"/>
  <c r="H166" i="12"/>
  <c r="H165" i="12"/>
  <c r="H164" i="12"/>
  <c r="H163" i="12"/>
  <c r="H162" i="12"/>
  <c r="H161" i="12"/>
  <c r="H160" i="12"/>
  <c r="H159" i="12"/>
  <c r="H158" i="12"/>
  <c r="H157" i="12"/>
  <c r="H156" i="12"/>
  <c r="H155" i="12"/>
  <c r="H154" i="12"/>
  <c r="H153" i="12"/>
  <c r="H152" i="12"/>
  <c r="H151" i="12"/>
  <c r="H150" i="12"/>
  <c r="H149" i="12"/>
  <c r="H148" i="12"/>
  <c r="H147" i="12"/>
  <c r="H146" i="12"/>
  <c r="H145" i="12"/>
  <c r="H142" i="12"/>
  <c r="H141" i="12"/>
  <c r="H138" i="12"/>
  <c r="H137" i="12"/>
  <c r="H134" i="12"/>
  <c r="H133" i="12"/>
  <c r="H132" i="12"/>
  <c r="H131" i="12"/>
  <c r="H130" i="12"/>
  <c r="H129" i="12"/>
  <c r="H128" i="12"/>
  <c r="H127" i="12"/>
  <c r="H126" i="12"/>
  <c r="H125" i="12"/>
  <c r="H124" i="12"/>
  <c r="H123" i="12"/>
  <c r="H122" i="12"/>
  <c r="H121" i="12"/>
  <c r="H120" i="12"/>
  <c r="H119" i="12"/>
  <c r="H118" i="12"/>
  <c r="H117" i="12"/>
  <c r="H116" i="12"/>
  <c r="H115" i="12"/>
  <c r="H112" i="12"/>
  <c r="H111" i="12"/>
  <c r="H110" i="12"/>
  <c r="H109" i="12"/>
  <c r="H108" i="12"/>
  <c r="H107" i="12"/>
  <c r="H106" i="12"/>
  <c r="H105" i="12"/>
  <c r="H104" i="12"/>
  <c r="H103" i="12"/>
  <c r="H102" i="12"/>
  <c r="H101" i="12"/>
  <c r="H100" i="12"/>
  <c r="H99" i="12"/>
  <c r="H98" i="12"/>
  <c r="H97" i="12"/>
  <c r="H96" i="12"/>
  <c r="H95" i="12"/>
  <c r="H94" i="12"/>
  <c r="H93" i="12"/>
  <c r="H92" i="12"/>
  <c r="H89" i="12"/>
  <c r="H88" i="12"/>
  <c r="H87" i="12"/>
  <c r="H86" i="12"/>
  <c r="H85" i="12"/>
  <c r="H84" i="12"/>
  <c r="H83" i="12"/>
  <c r="H82" i="12"/>
  <c r="H81" i="12"/>
  <c r="H80" i="12"/>
  <c r="H79" i="12"/>
  <c r="H78" i="12"/>
  <c r="H77" i="12"/>
  <c r="H74" i="12"/>
  <c r="H73" i="12"/>
  <c r="H72" i="12"/>
  <c r="H71" i="12"/>
  <c r="H70" i="12"/>
  <c r="H69" i="12"/>
  <c r="H68" i="12"/>
  <c r="H67" i="12"/>
  <c r="H66" i="12"/>
  <c r="H65" i="12"/>
  <c r="H64" i="12"/>
  <c r="H63" i="12"/>
  <c r="H62" i="12"/>
  <c r="H61" i="12"/>
  <c r="H60" i="12"/>
  <c r="H59" i="12"/>
  <c r="H58" i="12"/>
  <c r="H57" i="12"/>
  <c r="H54" i="12"/>
  <c r="H53" i="12"/>
  <c r="H52" i="12"/>
  <c r="H51" i="12"/>
  <c r="H50" i="12"/>
  <c r="H49" i="12"/>
  <c r="H48" i="12"/>
  <c r="H47" i="12"/>
  <c r="H46" i="12"/>
  <c r="H45" i="12"/>
  <c r="H44" i="12"/>
  <c r="H43" i="12"/>
  <c r="H42" i="12"/>
  <c r="H41" i="12"/>
  <c r="H40" i="12"/>
  <c r="H39" i="12"/>
  <c r="H38" i="12"/>
  <c r="H35" i="12"/>
  <c r="H34" i="12"/>
  <c r="H33" i="12"/>
  <c r="H32" i="12"/>
  <c r="H29" i="12"/>
  <c r="H28" i="12"/>
  <c r="H27" i="12"/>
  <c r="H26" i="12"/>
  <c r="H25" i="12"/>
  <c r="H24" i="12"/>
  <c r="H23" i="12"/>
  <c r="H22" i="12"/>
  <c r="H21" i="12"/>
  <c r="H20" i="12"/>
  <c r="H19" i="12"/>
  <c r="H18" i="12"/>
  <c r="H15" i="12"/>
  <c r="H454" i="11"/>
  <c r="H453" i="11"/>
  <c r="H455" i="11" s="1"/>
  <c r="H446" i="11"/>
  <c r="H444" i="11"/>
  <c r="H443" i="11"/>
  <c r="H442" i="11"/>
  <c r="H440" i="11"/>
  <c r="H438" i="11"/>
  <c r="H437" i="11"/>
  <c r="H435" i="11"/>
  <c r="H434" i="11"/>
  <c r="H433" i="11"/>
  <c r="H431" i="11"/>
  <c r="H430" i="11"/>
  <c r="H429" i="11"/>
  <c r="H427" i="11"/>
  <c r="H426" i="11"/>
  <c r="H425" i="11"/>
  <c r="H417" i="11"/>
  <c r="H415" i="11"/>
  <c r="H413" i="11"/>
  <c r="H412" i="11"/>
  <c r="H411" i="11"/>
  <c r="H420" i="11" s="1"/>
  <c r="H405" i="11"/>
  <c r="H403" i="11"/>
  <c r="H402" i="11"/>
  <c r="H401" i="11"/>
  <c r="H395" i="11"/>
  <c r="H393" i="11"/>
  <c r="H396" i="11" s="1"/>
  <c r="H387" i="11"/>
  <c r="H385" i="11"/>
  <c r="H384" i="11"/>
  <c r="H383" i="11"/>
  <c r="H381" i="11"/>
  <c r="H379" i="11"/>
  <c r="H378" i="11"/>
  <c r="H377" i="11"/>
  <c r="H376" i="11"/>
  <c r="H375" i="11"/>
  <c r="H374" i="11"/>
  <c r="H372" i="11"/>
  <c r="H370" i="11"/>
  <c r="H369" i="11"/>
  <c r="H368" i="11"/>
  <c r="H366" i="11"/>
  <c r="H365" i="11"/>
  <c r="H364" i="11"/>
  <c r="H363" i="11"/>
  <c r="H362" i="11"/>
  <c r="H361" i="11"/>
  <c r="H360" i="11"/>
  <c r="H359" i="11"/>
  <c r="H358" i="11"/>
  <c r="H357" i="11"/>
  <c r="H356" i="11"/>
  <c r="H355" i="11"/>
  <c r="H354" i="11"/>
  <c r="H352" i="11"/>
  <c r="H351" i="11"/>
  <c r="H350" i="11"/>
  <c r="H344" i="11"/>
  <c r="H338" i="11"/>
  <c r="H333" i="11"/>
  <c r="H331" i="11"/>
  <c r="H329" i="11"/>
  <c r="H322" i="11"/>
  <c r="H320" i="11"/>
  <c r="H319" i="11"/>
  <c r="H317" i="11"/>
  <c r="H316" i="11"/>
  <c r="H314" i="11"/>
  <c r="H311" i="11"/>
  <c r="H310" i="11"/>
  <c r="H309" i="11"/>
  <c r="H308" i="11"/>
  <c r="H302" i="11"/>
  <c r="H300" i="11"/>
  <c r="H299" i="11"/>
  <c r="H297" i="11"/>
  <c r="H290" i="11"/>
  <c r="H288" i="11"/>
  <c r="H287" i="11"/>
  <c r="H286" i="11"/>
  <c r="H280" i="11"/>
  <c r="H279" i="11"/>
  <c r="H278" i="11"/>
  <c r="H276" i="11"/>
  <c r="H271" i="11"/>
  <c r="H269" i="11"/>
  <c r="H268" i="11"/>
  <c r="H267" i="11"/>
  <c r="H265" i="11"/>
  <c r="H264" i="11"/>
  <c r="H263" i="11"/>
  <c r="H261" i="11"/>
  <c r="H259" i="11"/>
  <c r="H257" i="11"/>
  <c r="H256" i="11"/>
  <c r="H254" i="11"/>
  <c r="H253" i="11"/>
  <c r="H252" i="11"/>
  <c r="H272" i="11" s="1"/>
  <c r="H246" i="11"/>
  <c r="H247" i="11" s="1"/>
  <c r="H241" i="11"/>
  <c r="H242" i="11" s="1"/>
  <c r="H235" i="11"/>
  <c r="H233" i="11"/>
  <c r="H232" i="11"/>
  <c r="H231" i="11"/>
  <c r="H229" i="11"/>
  <c r="H227" i="11"/>
  <c r="H225" i="11"/>
  <c r="H223" i="11"/>
  <c r="H221" i="11"/>
  <c r="H215" i="11"/>
  <c r="H214" i="11"/>
  <c r="H212" i="11"/>
  <c r="H210" i="11"/>
  <c r="H209" i="11"/>
  <c r="H207" i="11"/>
  <c r="H206" i="11"/>
  <c r="H204" i="11"/>
  <c r="H203" i="11"/>
  <c r="H202" i="11"/>
  <c r="H201" i="11"/>
  <c r="H200" i="11"/>
  <c r="H198" i="11"/>
  <c r="H197" i="11"/>
  <c r="H195" i="11"/>
  <c r="H194" i="11"/>
  <c r="H193" i="11"/>
  <c r="H191" i="11"/>
  <c r="H190" i="11"/>
  <c r="H189" i="11"/>
  <c r="H188" i="11"/>
  <c r="H187" i="11"/>
  <c r="H186" i="11"/>
  <c r="H185" i="11"/>
  <c r="H184" i="11"/>
  <c r="H183" i="11"/>
  <c r="H182" i="11"/>
  <c r="H181" i="11"/>
  <c r="H180" i="11"/>
  <c r="H179" i="11"/>
  <c r="H178" i="11"/>
  <c r="H177" i="11"/>
  <c r="H176" i="11"/>
  <c r="H175" i="11"/>
  <c r="H174" i="11"/>
  <c r="H172" i="11"/>
  <c r="H171" i="11"/>
  <c r="H170" i="11"/>
  <c r="H164" i="11"/>
  <c r="H162" i="11"/>
  <c r="H161" i="11"/>
  <c r="H160" i="11"/>
  <c r="H158" i="11"/>
  <c r="H156" i="11"/>
  <c r="H155" i="11"/>
  <c r="H149" i="11"/>
  <c r="H147" i="11"/>
  <c r="H142" i="11"/>
  <c r="H140" i="11"/>
  <c r="H143" i="11" s="1"/>
  <c r="H135" i="11"/>
  <c r="H133" i="11"/>
  <c r="H132" i="11"/>
  <c r="H131" i="11"/>
  <c r="H129" i="11"/>
  <c r="H127" i="11"/>
  <c r="H136" i="11" s="1"/>
  <c r="H121" i="11"/>
  <c r="H120" i="11"/>
  <c r="H118" i="11"/>
  <c r="H112" i="11"/>
  <c r="H110" i="11"/>
  <c r="H109" i="11"/>
  <c r="H108" i="11"/>
  <c r="H101" i="11"/>
  <c r="H103" i="11" s="1"/>
  <c r="H96" i="11"/>
  <c r="H94" i="11"/>
  <c r="H92" i="11"/>
  <c r="H91" i="11"/>
  <c r="H90" i="11"/>
  <c r="H88" i="11"/>
  <c r="H87" i="11"/>
  <c r="H85" i="11"/>
  <c r="H83" i="11"/>
  <c r="H81" i="11"/>
  <c r="H78" i="11"/>
  <c r="H77" i="11"/>
  <c r="H76" i="11"/>
  <c r="H75" i="11"/>
  <c r="H72" i="11"/>
  <c r="H71" i="11"/>
  <c r="H67" i="11"/>
  <c r="H66" i="11"/>
  <c r="H65" i="11"/>
  <c r="H64" i="11"/>
  <c r="H62" i="11"/>
  <c r="H61" i="11"/>
  <c r="H59" i="11"/>
  <c r="H58" i="11"/>
  <c r="H57" i="11"/>
  <c r="H55" i="11"/>
  <c r="H54" i="11"/>
  <c r="H52" i="11"/>
  <c r="H51" i="11"/>
  <c r="H50" i="11"/>
  <c r="H48" i="11"/>
  <c r="H47" i="11"/>
  <c r="H46" i="11"/>
  <c r="H45" i="11"/>
  <c r="H44" i="11"/>
  <c r="H43" i="11"/>
  <c r="H42" i="11"/>
  <c r="H41" i="11"/>
  <c r="H39" i="11"/>
  <c r="H37" i="11"/>
  <c r="H36" i="11"/>
  <c r="H35" i="11"/>
  <c r="H33" i="11"/>
  <c r="H32" i="11"/>
  <c r="H31" i="11"/>
  <c r="H30" i="11"/>
  <c r="H29" i="11"/>
  <c r="H28" i="11"/>
  <c r="H27" i="11"/>
  <c r="H26" i="11"/>
  <c r="H25" i="11"/>
  <c r="H24" i="11"/>
  <c r="H22" i="11"/>
  <c r="H20" i="11"/>
  <c r="H19" i="11"/>
  <c r="H18" i="11"/>
  <c r="H15" i="11"/>
  <c r="H262" i="10"/>
  <c r="H261" i="10"/>
  <c r="H258" i="10"/>
  <c r="H257" i="10"/>
  <c r="H256" i="10"/>
  <c r="H255" i="10"/>
  <c r="H254" i="10"/>
  <c r="H253" i="10"/>
  <c r="H252" i="10"/>
  <c r="H251" i="10"/>
  <c r="H250" i="10"/>
  <c r="H249" i="10"/>
  <c r="H248" i="10"/>
  <c r="H247" i="10"/>
  <c r="H246" i="10"/>
  <c r="H245" i="10"/>
  <c r="H244" i="10"/>
  <c r="H243" i="10"/>
  <c r="H242" i="10"/>
  <c r="H241" i="10"/>
  <c r="H240" i="10"/>
  <c r="H239" i="10"/>
  <c r="H238" i="10"/>
  <c r="H237" i="10"/>
  <c r="H236" i="10"/>
  <c r="H235" i="10"/>
  <c r="H234" i="10"/>
  <c r="H233" i="10"/>
  <c r="H232" i="10"/>
  <c r="H231" i="10"/>
  <c r="H230" i="10"/>
  <c r="H229" i="10"/>
  <c r="H228" i="10"/>
  <c r="H227" i="10"/>
  <c r="H226" i="10"/>
  <c r="H225" i="10"/>
  <c r="H224" i="10"/>
  <c r="H223" i="10"/>
  <c r="H222" i="10"/>
  <c r="H221" i="10"/>
  <c r="H220" i="10"/>
  <c r="H219" i="10"/>
  <c r="H218" i="10"/>
  <c r="H217" i="10"/>
  <c r="H216" i="10"/>
  <c r="H215" i="10"/>
  <c r="H214" i="10"/>
  <c r="H213" i="10"/>
  <c r="H212" i="10"/>
  <c r="H211" i="10"/>
  <c r="H210" i="10"/>
  <c r="H209" i="10"/>
  <c r="H208" i="10"/>
  <c r="H207" i="10"/>
  <c r="H206" i="10"/>
  <c r="H205" i="10"/>
  <c r="H204" i="10"/>
  <c r="H203" i="10"/>
  <c r="H202" i="10"/>
  <c r="H201" i="10"/>
  <c r="H200" i="10"/>
  <c r="H199" i="10"/>
  <c r="H198" i="10"/>
  <c r="H197" i="10"/>
  <c r="H196" i="10"/>
  <c r="H195" i="10"/>
  <c r="H194" i="10"/>
  <c r="H193" i="10"/>
  <c r="H192" i="10"/>
  <c r="H191" i="10"/>
  <c r="H190" i="10"/>
  <c r="H189" i="10"/>
  <c r="H188" i="10"/>
  <c r="H187" i="10"/>
  <c r="H186" i="10"/>
  <c r="H185" i="10"/>
  <c r="H184" i="10"/>
  <c r="H183" i="10"/>
  <c r="H182" i="10"/>
  <c r="H181" i="10"/>
  <c r="H180" i="10"/>
  <c r="H179" i="10"/>
  <c r="H178" i="10"/>
  <c r="H177" i="10"/>
  <c r="H176" i="10"/>
  <c r="H175" i="10"/>
  <c r="H174" i="10"/>
  <c r="H173" i="10"/>
  <c r="H172" i="10"/>
  <c r="H171" i="10"/>
  <c r="H170" i="10"/>
  <c r="H169" i="10"/>
  <c r="H168" i="10"/>
  <c r="H167" i="10"/>
  <c r="H166" i="10"/>
  <c r="H165" i="10"/>
  <c r="H164" i="10"/>
  <c r="H163" i="10"/>
  <c r="H162" i="10"/>
  <c r="H161" i="10"/>
  <c r="H160" i="10"/>
  <c r="H159" i="10"/>
  <c r="H158" i="10"/>
  <c r="H157" i="10"/>
  <c r="H156" i="10"/>
  <c r="H155" i="10"/>
  <c r="H154" i="10"/>
  <c r="H153" i="10"/>
  <c r="H152" i="10"/>
  <c r="H151" i="10"/>
  <c r="H150" i="10"/>
  <c r="H149" i="10"/>
  <c r="H148" i="10"/>
  <c r="H147" i="10"/>
  <c r="H146" i="10"/>
  <c r="H145" i="10"/>
  <c r="H142" i="10"/>
  <c r="H141" i="10"/>
  <c r="H138" i="10"/>
  <c r="H137" i="10"/>
  <c r="H134" i="10"/>
  <c r="H133" i="10"/>
  <c r="H132" i="10"/>
  <c r="H131" i="10"/>
  <c r="H130" i="10"/>
  <c r="H129" i="10"/>
  <c r="H128" i="10"/>
  <c r="H127" i="10"/>
  <c r="H126" i="10"/>
  <c r="H125" i="10"/>
  <c r="H124" i="10"/>
  <c r="H123" i="10"/>
  <c r="H122" i="10"/>
  <c r="H121" i="10"/>
  <c r="H120" i="10"/>
  <c r="H119" i="10"/>
  <c r="H118" i="10"/>
  <c r="H117" i="10"/>
  <c r="H116" i="10"/>
  <c r="H115" i="10"/>
  <c r="H112" i="10"/>
  <c r="H111" i="10"/>
  <c r="H110" i="10"/>
  <c r="H109" i="10"/>
  <c r="H108" i="10"/>
  <c r="H107" i="10"/>
  <c r="H106" i="10"/>
  <c r="H105" i="10"/>
  <c r="H104" i="10"/>
  <c r="H103" i="10"/>
  <c r="H102" i="10"/>
  <c r="H101" i="10"/>
  <c r="H100" i="10"/>
  <c r="H99" i="10"/>
  <c r="H98" i="10"/>
  <c r="H97" i="10"/>
  <c r="H96" i="10"/>
  <c r="H95" i="10"/>
  <c r="H94" i="10"/>
  <c r="H93" i="10"/>
  <c r="H92" i="10"/>
  <c r="H89" i="10"/>
  <c r="H88" i="10"/>
  <c r="H87" i="10"/>
  <c r="H86" i="10"/>
  <c r="H85" i="10"/>
  <c r="H84" i="10"/>
  <c r="H83" i="10"/>
  <c r="H82" i="10"/>
  <c r="H81" i="10"/>
  <c r="H80" i="10"/>
  <c r="H79" i="10"/>
  <c r="H78" i="10"/>
  <c r="H77" i="10"/>
  <c r="H74" i="10"/>
  <c r="H73" i="10"/>
  <c r="H72" i="10"/>
  <c r="H71" i="10"/>
  <c r="H70" i="10"/>
  <c r="H69" i="10"/>
  <c r="H68" i="10"/>
  <c r="H67" i="10"/>
  <c r="H66" i="10"/>
  <c r="H65" i="10"/>
  <c r="H64" i="10"/>
  <c r="H63" i="10"/>
  <c r="H62" i="10"/>
  <c r="H61" i="10"/>
  <c r="H60" i="10"/>
  <c r="H59" i="10"/>
  <c r="H58" i="10"/>
  <c r="H57" i="10"/>
  <c r="H54" i="10"/>
  <c r="H53" i="10"/>
  <c r="H52" i="10"/>
  <c r="H51" i="10"/>
  <c r="H50" i="10"/>
  <c r="H49" i="10"/>
  <c r="H48" i="10"/>
  <c r="H47" i="10"/>
  <c r="H46" i="10"/>
  <c r="H45" i="10"/>
  <c r="H44" i="10"/>
  <c r="H43" i="10"/>
  <c r="H42" i="10"/>
  <c r="H41" i="10"/>
  <c r="H40" i="10"/>
  <c r="H39" i="10"/>
  <c r="H38" i="10"/>
  <c r="H35" i="10"/>
  <c r="H34" i="10"/>
  <c r="H33" i="10"/>
  <c r="H32" i="10"/>
  <c r="H29" i="10"/>
  <c r="H28" i="10"/>
  <c r="H27" i="10"/>
  <c r="H26" i="10"/>
  <c r="H25" i="10"/>
  <c r="H24" i="10"/>
  <c r="H23" i="10"/>
  <c r="H22" i="10"/>
  <c r="H21" i="10"/>
  <c r="H20" i="10"/>
  <c r="H19" i="10"/>
  <c r="H18" i="10"/>
  <c r="H15" i="10"/>
  <c r="H454" i="9"/>
  <c r="H453" i="9"/>
  <c r="H446" i="9"/>
  <c r="H444" i="9"/>
  <c r="H443" i="9"/>
  <c r="H442" i="9"/>
  <c r="H440" i="9"/>
  <c r="H438" i="9"/>
  <c r="H437" i="9"/>
  <c r="H435" i="9"/>
  <c r="H434" i="9"/>
  <c r="H433" i="9"/>
  <c r="H431" i="9"/>
  <c r="H430" i="9"/>
  <c r="H429" i="9"/>
  <c r="H427" i="9"/>
  <c r="H426" i="9"/>
  <c r="H425" i="9"/>
  <c r="H417" i="9"/>
  <c r="H415" i="9"/>
  <c r="H413" i="9"/>
  <c r="H412" i="9"/>
  <c r="H411" i="9"/>
  <c r="H405" i="9"/>
  <c r="H403" i="9"/>
  <c r="H402" i="9"/>
  <c r="H401" i="9"/>
  <c r="H395" i="9"/>
  <c r="H393" i="9"/>
  <c r="H387" i="9"/>
  <c r="H385" i="9"/>
  <c r="H384" i="9"/>
  <c r="H383" i="9"/>
  <c r="H381" i="9"/>
  <c r="H379" i="9"/>
  <c r="H378" i="9"/>
  <c r="H377" i="9"/>
  <c r="H376" i="9"/>
  <c r="H375" i="9"/>
  <c r="H374" i="9"/>
  <c r="H372" i="9"/>
  <c r="H370" i="9"/>
  <c r="H369" i="9"/>
  <c r="H368" i="9"/>
  <c r="H366" i="9"/>
  <c r="H365" i="9"/>
  <c r="H364" i="9"/>
  <c r="H363" i="9"/>
  <c r="H362" i="9"/>
  <c r="H361" i="9"/>
  <c r="H360" i="9"/>
  <c r="H359" i="9"/>
  <c r="H358" i="9"/>
  <c r="H357" i="9"/>
  <c r="H356" i="9"/>
  <c r="H355" i="9"/>
  <c r="H354" i="9"/>
  <c r="H352" i="9"/>
  <c r="H351" i="9"/>
  <c r="H350" i="9"/>
  <c r="H344" i="9"/>
  <c r="H338" i="9"/>
  <c r="H333" i="9"/>
  <c r="H331" i="9"/>
  <c r="H329" i="9"/>
  <c r="H322" i="9"/>
  <c r="H320" i="9"/>
  <c r="H319" i="9"/>
  <c r="H317" i="9"/>
  <c r="H316" i="9"/>
  <c r="H314" i="9"/>
  <c r="H311" i="9"/>
  <c r="H310" i="9"/>
  <c r="H309" i="9"/>
  <c r="H308" i="9"/>
  <c r="H290" i="9"/>
  <c r="H288" i="9"/>
  <c r="H287" i="9"/>
  <c r="H286" i="9"/>
  <c r="H280" i="9"/>
  <c r="H279" i="9"/>
  <c r="H278" i="9"/>
  <c r="H276" i="9"/>
  <c r="H271" i="9"/>
  <c r="H269" i="9"/>
  <c r="H268" i="9"/>
  <c r="H267" i="9"/>
  <c r="H265" i="9"/>
  <c r="H264" i="9"/>
  <c r="H263" i="9"/>
  <c r="H261" i="9"/>
  <c r="H259" i="9"/>
  <c r="H257" i="9"/>
  <c r="H256" i="9"/>
  <c r="H254" i="9"/>
  <c r="H253" i="9"/>
  <c r="H252" i="9"/>
  <c r="H246" i="9"/>
  <c r="H247" i="9" s="1"/>
  <c r="H241" i="9"/>
  <c r="H242" i="9" s="1"/>
  <c r="H235" i="9"/>
  <c r="H233" i="9"/>
  <c r="H232" i="9"/>
  <c r="H231" i="9"/>
  <c r="H229" i="9"/>
  <c r="H227" i="9"/>
  <c r="H225" i="9"/>
  <c r="H223" i="9"/>
  <c r="H221" i="9"/>
  <c r="H215" i="9"/>
  <c r="H214" i="9"/>
  <c r="H212" i="9"/>
  <c r="H210" i="9"/>
  <c r="H209" i="9"/>
  <c r="H207" i="9"/>
  <c r="H206" i="9"/>
  <c r="H204" i="9"/>
  <c r="H203" i="9"/>
  <c r="H202" i="9"/>
  <c r="H201" i="9"/>
  <c r="H200" i="9"/>
  <c r="H198" i="9"/>
  <c r="H197" i="9"/>
  <c r="H195" i="9"/>
  <c r="H194" i="9"/>
  <c r="H193" i="9"/>
  <c r="H191" i="9"/>
  <c r="H190" i="9"/>
  <c r="H189" i="9"/>
  <c r="H188" i="9"/>
  <c r="H187" i="9"/>
  <c r="H186" i="9"/>
  <c r="H185" i="9"/>
  <c r="H184" i="9"/>
  <c r="H183" i="9"/>
  <c r="H182" i="9"/>
  <c r="H181" i="9"/>
  <c r="H180" i="9"/>
  <c r="H179" i="9"/>
  <c r="H178" i="9"/>
  <c r="H177" i="9"/>
  <c r="H176" i="9"/>
  <c r="H175" i="9"/>
  <c r="H174" i="9"/>
  <c r="H172" i="9"/>
  <c r="H171" i="9"/>
  <c r="H170" i="9"/>
  <c r="H164" i="9"/>
  <c r="H162" i="9"/>
  <c r="H161" i="9"/>
  <c r="H160" i="9"/>
  <c r="H158" i="9"/>
  <c r="H156" i="9"/>
  <c r="H155" i="9"/>
  <c r="H149" i="9"/>
  <c r="H147" i="9"/>
  <c r="H142" i="9"/>
  <c r="H140" i="9"/>
  <c r="H135" i="9"/>
  <c r="H133" i="9"/>
  <c r="H132" i="9"/>
  <c r="H131" i="9"/>
  <c r="H129" i="9"/>
  <c r="H127" i="9"/>
  <c r="H121" i="9"/>
  <c r="H120" i="9"/>
  <c r="H118" i="9"/>
  <c r="H116" i="9"/>
  <c r="H115" i="9"/>
  <c r="H114" i="9"/>
  <c r="H112" i="9"/>
  <c r="H110" i="9"/>
  <c r="H109" i="9"/>
  <c r="H108" i="9"/>
  <c r="H101" i="9"/>
  <c r="H103" i="9" s="1"/>
  <c r="H96" i="9"/>
  <c r="H94" i="9"/>
  <c r="H92" i="9"/>
  <c r="H91" i="9"/>
  <c r="H90" i="9"/>
  <c r="H88" i="9"/>
  <c r="H87" i="9"/>
  <c r="H85" i="9"/>
  <c r="H83" i="9"/>
  <c r="H81" i="9"/>
  <c r="H78" i="9"/>
  <c r="H77" i="9"/>
  <c r="H76" i="9"/>
  <c r="H75" i="9"/>
  <c r="H72" i="9"/>
  <c r="H71" i="9"/>
  <c r="H67" i="9"/>
  <c r="H66" i="9"/>
  <c r="H65" i="9"/>
  <c r="H64" i="9"/>
  <c r="H62" i="9"/>
  <c r="H61" i="9"/>
  <c r="H59" i="9"/>
  <c r="H58" i="9"/>
  <c r="H57" i="9"/>
  <c r="H55" i="9"/>
  <c r="H54" i="9"/>
  <c r="H52" i="9"/>
  <c r="H51" i="9"/>
  <c r="H50" i="9"/>
  <c r="H48" i="9"/>
  <c r="H47" i="9"/>
  <c r="H46" i="9"/>
  <c r="H45" i="9"/>
  <c r="H44" i="9"/>
  <c r="H43" i="9"/>
  <c r="H42" i="9"/>
  <c r="H41" i="9"/>
  <c r="H39" i="9"/>
  <c r="H37" i="9"/>
  <c r="H36" i="9"/>
  <c r="H35" i="9"/>
  <c r="H33" i="9"/>
  <c r="H32" i="9"/>
  <c r="H31" i="9"/>
  <c r="H30" i="9"/>
  <c r="H29" i="9"/>
  <c r="H28" i="9"/>
  <c r="H27" i="9"/>
  <c r="H26" i="9"/>
  <c r="H25" i="9"/>
  <c r="H24" i="9"/>
  <c r="H22" i="9"/>
  <c r="H20" i="9"/>
  <c r="H19" i="9"/>
  <c r="H18" i="9"/>
  <c r="H15" i="9"/>
  <c r="H262" i="8"/>
  <c r="H261" i="8"/>
  <c r="H258" i="8"/>
  <c r="H257" i="8"/>
  <c r="H256" i="8"/>
  <c r="H255" i="8"/>
  <c r="H254" i="8"/>
  <c r="H253" i="8"/>
  <c r="H252" i="8"/>
  <c r="H251" i="8"/>
  <c r="H250" i="8"/>
  <c r="H249" i="8"/>
  <c r="H248" i="8"/>
  <c r="H247" i="8"/>
  <c r="H246" i="8"/>
  <c r="H245" i="8"/>
  <c r="H244" i="8"/>
  <c r="H243" i="8"/>
  <c r="H242" i="8"/>
  <c r="H241" i="8"/>
  <c r="H240" i="8"/>
  <c r="H239" i="8"/>
  <c r="H238" i="8"/>
  <c r="H237" i="8"/>
  <c r="H236" i="8"/>
  <c r="H235" i="8"/>
  <c r="H234" i="8"/>
  <c r="H233" i="8"/>
  <c r="H232" i="8"/>
  <c r="H231" i="8"/>
  <c r="H230" i="8"/>
  <c r="H229" i="8"/>
  <c r="H228" i="8"/>
  <c r="H227" i="8"/>
  <c r="H226" i="8"/>
  <c r="H225" i="8"/>
  <c r="H224" i="8"/>
  <c r="H223" i="8"/>
  <c r="H222" i="8"/>
  <c r="H221" i="8"/>
  <c r="H220" i="8"/>
  <c r="H219" i="8"/>
  <c r="H218" i="8"/>
  <c r="H217" i="8"/>
  <c r="H216" i="8"/>
  <c r="H215" i="8"/>
  <c r="H214" i="8"/>
  <c r="H213" i="8"/>
  <c r="H212" i="8"/>
  <c r="H211" i="8"/>
  <c r="H210" i="8"/>
  <c r="H209" i="8"/>
  <c r="H208" i="8"/>
  <c r="H207" i="8"/>
  <c r="H206" i="8"/>
  <c r="H205" i="8"/>
  <c r="H204" i="8"/>
  <c r="H203" i="8"/>
  <c r="H202" i="8"/>
  <c r="H201" i="8"/>
  <c r="H200" i="8"/>
  <c r="H199" i="8"/>
  <c r="H198" i="8"/>
  <c r="H197" i="8"/>
  <c r="H196" i="8"/>
  <c r="H195" i="8"/>
  <c r="H194" i="8"/>
  <c r="H193" i="8"/>
  <c r="H192" i="8"/>
  <c r="H191" i="8"/>
  <c r="H190" i="8"/>
  <c r="H189" i="8"/>
  <c r="H188" i="8"/>
  <c r="H187" i="8"/>
  <c r="H186" i="8"/>
  <c r="H185" i="8"/>
  <c r="H184" i="8"/>
  <c r="H183" i="8"/>
  <c r="H182" i="8"/>
  <c r="H181" i="8"/>
  <c r="H180" i="8"/>
  <c r="H179" i="8"/>
  <c r="H178" i="8"/>
  <c r="H177" i="8"/>
  <c r="H176" i="8"/>
  <c r="H175" i="8"/>
  <c r="H174" i="8"/>
  <c r="H173" i="8"/>
  <c r="H172" i="8"/>
  <c r="H171" i="8"/>
  <c r="H170" i="8"/>
  <c r="H169" i="8"/>
  <c r="H168" i="8"/>
  <c r="H167" i="8"/>
  <c r="H166" i="8"/>
  <c r="H165" i="8"/>
  <c r="H164" i="8"/>
  <c r="H163" i="8"/>
  <c r="H162" i="8"/>
  <c r="H161" i="8"/>
  <c r="H160" i="8"/>
  <c r="H159" i="8"/>
  <c r="H158" i="8"/>
  <c r="H157" i="8"/>
  <c r="H156" i="8"/>
  <c r="H155" i="8"/>
  <c r="H154" i="8"/>
  <c r="H153" i="8"/>
  <c r="H152" i="8"/>
  <c r="H151" i="8"/>
  <c r="H150" i="8"/>
  <c r="H149" i="8"/>
  <c r="H148" i="8"/>
  <c r="H147" i="8"/>
  <c r="H146" i="8"/>
  <c r="H145" i="8"/>
  <c r="H142" i="8"/>
  <c r="H141" i="8"/>
  <c r="H138" i="8"/>
  <c r="H137" i="8"/>
  <c r="H134" i="8"/>
  <c r="H133" i="8"/>
  <c r="H132" i="8"/>
  <c r="H131" i="8"/>
  <c r="H130" i="8"/>
  <c r="H129" i="8"/>
  <c r="H128" i="8"/>
  <c r="H127" i="8"/>
  <c r="H126" i="8"/>
  <c r="H125" i="8"/>
  <c r="H124" i="8"/>
  <c r="H123" i="8"/>
  <c r="H122" i="8"/>
  <c r="H121" i="8"/>
  <c r="H120" i="8"/>
  <c r="H119" i="8"/>
  <c r="H118" i="8"/>
  <c r="H117" i="8"/>
  <c r="H116" i="8"/>
  <c r="H115" i="8"/>
  <c r="H112" i="8"/>
  <c r="H111" i="8"/>
  <c r="H110" i="8"/>
  <c r="H109" i="8"/>
  <c r="H108" i="8"/>
  <c r="H107" i="8"/>
  <c r="H106" i="8"/>
  <c r="H105" i="8"/>
  <c r="H104" i="8"/>
  <c r="H103" i="8"/>
  <c r="H102" i="8"/>
  <c r="H101" i="8"/>
  <c r="H100" i="8"/>
  <c r="H99" i="8"/>
  <c r="H98" i="8"/>
  <c r="H97" i="8"/>
  <c r="H96" i="8"/>
  <c r="H95" i="8"/>
  <c r="H94" i="8"/>
  <c r="H93" i="8"/>
  <c r="H92" i="8"/>
  <c r="H89" i="8"/>
  <c r="H88" i="8"/>
  <c r="H87" i="8"/>
  <c r="H86" i="8"/>
  <c r="H85" i="8"/>
  <c r="H84" i="8"/>
  <c r="H83" i="8"/>
  <c r="H82" i="8"/>
  <c r="H81" i="8"/>
  <c r="H80" i="8"/>
  <c r="H79" i="8"/>
  <c r="H78" i="8"/>
  <c r="H77" i="8"/>
  <c r="H74" i="8"/>
  <c r="H73" i="8"/>
  <c r="H72" i="8"/>
  <c r="H71" i="8"/>
  <c r="H70" i="8"/>
  <c r="H69" i="8"/>
  <c r="H68" i="8"/>
  <c r="H67" i="8"/>
  <c r="H66" i="8"/>
  <c r="H65" i="8"/>
  <c r="H64" i="8"/>
  <c r="H63" i="8"/>
  <c r="H62" i="8"/>
  <c r="H61" i="8"/>
  <c r="H60" i="8"/>
  <c r="H59" i="8"/>
  <c r="H58" i="8"/>
  <c r="H57" i="8"/>
  <c r="H54" i="8"/>
  <c r="H53" i="8"/>
  <c r="H52" i="8"/>
  <c r="H51" i="8"/>
  <c r="H50" i="8"/>
  <c r="H49" i="8"/>
  <c r="H48" i="8"/>
  <c r="H47" i="8"/>
  <c r="H46" i="8"/>
  <c r="H45" i="8"/>
  <c r="H44" i="8"/>
  <c r="H43" i="8"/>
  <c r="H42" i="8"/>
  <c r="H41" i="8"/>
  <c r="H40" i="8"/>
  <c r="H39" i="8"/>
  <c r="H38" i="8"/>
  <c r="H35" i="8"/>
  <c r="H34" i="8"/>
  <c r="H33" i="8"/>
  <c r="H32" i="8"/>
  <c r="H29" i="8"/>
  <c r="H28" i="8"/>
  <c r="H27" i="8"/>
  <c r="H26" i="8"/>
  <c r="H25" i="8"/>
  <c r="H24" i="8"/>
  <c r="H23" i="8"/>
  <c r="H22" i="8"/>
  <c r="H21" i="8"/>
  <c r="H20" i="8"/>
  <c r="H19" i="8"/>
  <c r="H18" i="8"/>
  <c r="H15" i="8"/>
  <c r="H454" i="7"/>
  <c r="H453" i="7"/>
  <c r="H455" i="7" s="1"/>
  <c r="H446" i="7"/>
  <c r="H444" i="7"/>
  <c r="H443" i="7"/>
  <c r="H442" i="7"/>
  <c r="H440" i="7"/>
  <c r="H438" i="7"/>
  <c r="H437" i="7"/>
  <c r="H435" i="7"/>
  <c r="H434" i="7"/>
  <c r="H433" i="7"/>
  <c r="H431" i="7"/>
  <c r="H430" i="7"/>
  <c r="H429" i="7"/>
  <c r="H427" i="7"/>
  <c r="H426" i="7"/>
  <c r="H425" i="7"/>
  <c r="H417" i="7"/>
  <c r="H415" i="7"/>
  <c r="H413" i="7"/>
  <c r="H412" i="7"/>
  <c r="H411" i="7"/>
  <c r="H420" i="7" s="1"/>
  <c r="H405" i="7"/>
  <c r="H403" i="7"/>
  <c r="H402" i="7"/>
  <c r="H401" i="7"/>
  <c r="H395" i="7"/>
  <c r="H393" i="7"/>
  <c r="H396" i="7" s="1"/>
  <c r="H387" i="7"/>
  <c r="H385" i="7"/>
  <c r="H384" i="7"/>
  <c r="H383" i="7"/>
  <c r="H381" i="7"/>
  <c r="H379" i="7"/>
  <c r="H378" i="7"/>
  <c r="H377" i="7"/>
  <c r="H376" i="7"/>
  <c r="H375" i="7"/>
  <c r="H374" i="7"/>
  <c r="H372" i="7"/>
  <c r="H370" i="7"/>
  <c r="H369" i="7"/>
  <c r="H368" i="7"/>
  <c r="H366" i="7"/>
  <c r="H365" i="7"/>
  <c r="H364" i="7"/>
  <c r="H363" i="7"/>
  <c r="H362" i="7"/>
  <c r="H361" i="7"/>
  <c r="H360" i="7"/>
  <c r="H359" i="7"/>
  <c r="H358" i="7"/>
  <c r="H357" i="7"/>
  <c r="H356" i="7"/>
  <c r="H355" i="7"/>
  <c r="H354" i="7"/>
  <c r="H352" i="7"/>
  <c r="H351" i="7"/>
  <c r="H350" i="7"/>
  <c r="H344" i="7"/>
  <c r="H338" i="7"/>
  <c r="H345" i="7" s="1"/>
  <c r="H331" i="7"/>
  <c r="H329" i="7"/>
  <c r="H322" i="7"/>
  <c r="H320" i="7"/>
  <c r="H319" i="7"/>
  <c r="H317" i="7"/>
  <c r="H316" i="7"/>
  <c r="H314" i="7"/>
  <c r="H311" i="7"/>
  <c r="H310" i="7"/>
  <c r="H309" i="7"/>
  <c r="H308" i="7"/>
  <c r="H334" i="7" s="1"/>
  <c r="H290" i="7"/>
  <c r="H288" i="7"/>
  <c r="H287" i="7"/>
  <c r="H286" i="7"/>
  <c r="H280" i="7"/>
  <c r="H279" i="7"/>
  <c r="H278" i="7"/>
  <c r="H276" i="7"/>
  <c r="H271" i="7"/>
  <c r="H269" i="7"/>
  <c r="H268" i="7"/>
  <c r="H267" i="7"/>
  <c r="H265" i="7"/>
  <c r="H264" i="7"/>
  <c r="H263" i="7"/>
  <c r="H261" i="7"/>
  <c r="H259" i="7"/>
  <c r="H257" i="7"/>
  <c r="H256" i="7"/>
  <c r="H254" i="7"/>
  <c r="H253" i="7"/>
  <c r="H252" i="7"/>
  <c r="H246" i="7"/>
  <c r="H247" i="7" s="1"/>
  <c r="H241" i="7"/>
  <c r="H242" i="7" s="1"/>
  <c r="H235" i="7"/>
  <c r="H233" i="7"/>
  <c r="H232" i="7"/>
  <c r="H231" i="7"/>
  <c r="H229" i="7"/>
  <c r="H227" i="7"/>
  <c r="H225" i="7"/>
  <c r="H223" i="7"/>
  <c r="H221" i="7"/>
  <c r="H236" i="7" s="1"/>
  <c r="H215" i="7"/>
  <c r="H214" i="7"/>
  <c r="H212" i="7"/>
  <c r="H210" i="7"/>
  <c r="H209" i="7"/>
  <c r="H207" i="7"/>
  <c r="H206" i="7"/>
  <c r="H204" i="7"/>
  <c r="H203" i="7"/>
  <c r="H202" i="7"/>
  <c r="H201" i="7"/>
  <c r="H200" i="7"/>
  <c r="H198" i="7"/>
  <c r="H197" i="7"/>
  <c r="H195" i="7"/>
  <c r="H194" i="7"/>
  <c r="H193" i="7"/>
  <c r="H191" i="7"/>
  <c r="H190" i="7"/>
  <c r="H189" i="7"/>
  <c r="H188" i="7"/>
  <c r="H187" i="7"/>
  <c r="H186" i="7"/>
  <c r="H185" i="7"/>
  <c r="H184" i="7"/>
  <c r="H183" i="7"/>
  <c r="H182" i="7"/>
  <c r="H181" i="7"/>
  <c r="H180" i="7"/>
  <c r="H179" i="7"/>
  <c r="H178" i="7"/>
  <c r="H177" i="7"/>
  <c r="H176" i="7"/>
  <c r="H175" i="7"/>
  <c r="H174" i="7"/>
  <c r="H172" i="7"/>
  <c r="H171" i="7"/>
  <c r="H170" i="7"/>
  <c r="H164" i="7"/>
  <c r="H162" i="7"/>
  <c r="H161" i="7"/>
  <c r="H160" i="7"/>
  <c r="H158" i="7"/>
  <c r="H156" i="7"/>
  <c r="H155" i="7"/>
  <c r="H149" i="7"/>
  <c r="H147" i="7"/>
  <c r="H142" i="7"/>
  <c r="H140" i="7"/>
  <c r="H135" i="7"/>
  <c r="H133" i="7"/>
  <c r="H132" i="7"/>
  <c r="H131" i="7"/>
  <c r="H129" i="7"/>
  <c r="H127" i="7"/>
  <c r="H121" i="7"/>
  <c r="H120" i="7"/>
  <c r="H118" i="7"/>
  <c r="H116" i="7"/>
  <c r="H115" i="7"/>
  <c r="H114" i="7"/>
  <c r="H112" i="7"/>
  <c r="H110" i="7"/>
  <c r="H109" i="7"/>
  <c r="H108" i="7"/>
  <c r="H101" i="7"/>
  <c r="H103" i="7" s="1"/>
  <c r="H96" i="7"/>
  <c r="H94" i="7"/>
  <c r="H92" i="7"/>
  <c r="H91" i="7"/>
  <c r="H90" i="7"/>
  <c r="H88" i="7"/>
  <c r="H87" i="7"/>
  <c r="H85" i="7"/>
  <c r="H83" i="7"/>
  <c r="H81" i="7"/>
  <c r="H78" i="7"/>
  <c r="H77" i="7"/>
  <c r="H76" i="7"/>
  <c r="H75" i="7"/>
  <c r="H72" i="7"/>
  <c r="H71" i="7"/>
  <c r="H67" i="7"/>
  <c r="H66" i="7"/>
  <c r="H65" i="7"/>
  <c r="H64" i="7"/>
  <c r="H62" i="7"/>
  <c r="H61" i="7"/>
  <c r="H59" i="7"/>
  <c r="H58" i="7"/>
  <c r="H57" i="7"/>
  <c r="H55" i="7"/>
  <c r="H54" i="7"/>
  <c r="H52" i="7"/>
  <c r="H51" i="7"/>
  <c r="H50" i="7"/>
  <c r="H48" i="7"/>
  <c r="H47" i="7"/>
  <c r="H46" i="7"/>
  <c r="H45" i="7"/>
  <c r="H44" i="7"/>
  <c r="H43" i="7"/>
  <c r="H42" i="7"/>
  <c r="H41" i="7"/>
  <c r="H39" i="7"/>
  <c r="H37" i="7"/>
  <c r="H36" i="7"/>
  <c r="H35" i="7"/>
  <c r="H33" i="7"/>
  <c r="H32" i="7"/>
  <c r="H31" i="7"/>
  <c r="H30" i="7"/>
  <c r="H29" i="7"/>
  <c r="H28" i="7"/>
  <c r="H27" i="7"/>
  <c r="H26" i="7"/>
  <c r="H25" i="7"/>
  <c r="H24" i="7"/>
  <c r="H22" i="7"/>
  <c r="H20" i="7"/>
  <c r="H19" i="7"/>
  <c r="H18" i="7"/>
  <c r="H15" i="7"/>
  <c r="H97" i="7" s="1"/>
  <c r="H262" i="6"/>
  <c r="H261" i="6"/>
  <c r="H258" i="6"/>
  <c r="H257" i="6"/>
  <c r="H256" i="6"/>
  <c r="H255" i="6"/>
  <c r="H254" i="6"/>
  <c r="H253" i="6"/>
  <c r="H252" i="6"/>
  <c r="H251" i="6"/>
  <c r="H250" i="6"/>
  <c r="H249" i="6"/>
  <c r="H248" i="6"/>
  <c r="H247" i="6"/>
  <c r="H246" i="6"/>
  <c r="H245" i="6"/>
  <c r="H244" i="6"/>
  <c r="H243" i="6"/>
  <c r="H242" i="6"/>
  <c r="H241" i="6"/>
  <c r="H240" i="6"/>
  <c r="H239" i="6"/>
  <c r="H238" i="6"/>
  <c r="H237" i="6"/>
  <c r="H236" i="6"/>
  <c r="H235" i="6"/>
  <c r="H234" i="6"/>
  <c r="H233" i="6"/>
  <c r="H232" i="6"/>
  <c r="H231" i="6"/>
  <c r="H230" i="6"/>
  <c r="H229" i="6"/>
  <c r="H228" i="6"/>
  <c r="H227" i="6"/>
  <c r="H226" i="6"/>
  <c r="H225" i="6"/>
  <c r="H224" i="6"/>
  <c r="H223" i="6"/>
  <c r="H222" i="6"/>
  <c r="H221" i="6"/>
  <c r="H220" i="6"/>
  <c r="H219" i="6"/>
  <c r="H218" i="6"/>
  <c r="H217" i="6"/>
  <c r="H216" i="6"/>
  <c r="H215" i="6"/>
  <c r="H214" i="6"/>
  <c r="H213" i="6"/>
  <c r="H212" i="6"/>
  <c r="H211" i="6"/>
  <c r="H210" i="6"/>
  <c r="H209" i="6"/>
  <c r="H208" i="6"/>
  <c r="H207" i="6"/>
  <c r="H206" i="6"/>
  <c r="H205" i="6"/>
  <c r="H204" i="6"/>
  <c r="H203" i="6"/>
  <c r="H202" i="6"/>
  <c r="H201" i="6"/>
  <c r="H200" i="6"/>
  <c r="H199" i="6"/>
  <c r="H198" i="6"/>
  <c r="H197" i="6"/>
  <c r="H196" i="6"/>
  <c r="H195" i="6"/>
  <c r="H194" i="6"/>
  <c r="H193" i="6"/>
  <c r="H192" i="6"/>
  <c r="H191" i="6"/>
  <c r="H190" i="6"/>
  <c r="H189" i="6"/>
  <c r="H188" i="6"/>
  <c r="H187" i="6"/>
  <c r="H186" i="6"/>
  <c r="H185" i="6"/>
  <c r="H184" i="6"/>
  <c r="H183" i="6"/>
  <c r="H182" i="6"/>
  <c r="H181" i="6"/>
  <c r="H180" i="6"/>
  <c r="H179" i="6"/>
  <c r="H178" i="6"/>
  <c r="H177" i="6"/>
  <c r="H176" i="6"/>
  <c r="H175" i="6"/>
  <c r="H174" i="6"/>
  <c r="H173" i="6"/>
  <c r="H172" i="6"/>
  <c r="H171" i="6"/>
  <c r="H170" i="6"/>
  <c r="H169" i="6"/>
  <c r="H168" i="6"/>
  <c r="H167" i="6"/>
  <c r="H166" i="6"/>
  <c r="H165" i="6"/>
  <c r="H164" i="6"/>
  <c r="H163" i="6"/>
  <c r="H162" i="6"/>
  <c r="H161" i="6"/>
  <c r="H160" i="6"/>
  <c r="H159" i="6"/>
  <c r="H158" i="6"/>
  <c r="H157" i="6"/>
  <c r="H156" i="6"/>
  <c r="H155" i="6"/>
  <c r="H154" i="6"/>
  <c r="H153" i="6"/>
  <c r="H152" i="6"/>
  <c r="H151" i="6"/>
  <c r="H150" i="6"/>
  <c r="H149" i="6"/>
  <c r="H148" i="6"/>
  <c r="H147" i="6"/>
  <c r="H146" i="6"/>
  <c r="H145" i="6"/>
  <c r="H142" i="6"/>
  <c r="H141" i="6"/>
  <c r="H138" i="6"/>
  <c r="H137" i="6"/>
  <c r="H134" i="6"/>
  <c r="H133" i="6"/>
  <c r="H132" i="6"/>
  <c r="H131" i="6"/>
  <c r="H130" i="6"/>
  <c r="H129" i="6"/>
  <c r="H128" i="6"/>
  <c r="H127" i="6"/>
  <c r="H126" i="6"/>
  <c r="H125" i="6"/>
  <c r="H124" i="6"/>
  <c r="H123" i="6"/>
  <c r="H122" i="6"/>
  <c r="H121" i="6"/>
  <c r="H120" i="6"/>
  <c r="H119" i="6"/>
  <c r="H118" i="6"/>
  <c r="H117" i="6"/>
  <c r="H116" i="6"/>
  <c r="H115" i="6"/>
  <c r="H112" i="6"/>
  <c r="H111" i="6"/>
  <c r="H110" i="6"/>
  <c r="H109" i="6"/>
  <c r="H108" i="6"/>
  <c r="H107" i="6"/>
  <c r="H106" i="6"/>
  <c r="H105" i="6"/>
  <c r="H104" i="6"/>
  <c r="H103" i="6"/>
  <c r="H102" i="6"/>
  <c r="H101" i="6"/>
  <c r="H100" i="6"/>
  <c r="H99" i="6"/>
  <c r="H98" i="6"/>
  <c r="H97" i="6"/>
  <c r="H96" i="6"/>
  <c r="H95" i="6"/>
  <c r="H94" i="6"/>
  <c r="H93" i="6"/>
  <c r="H92" i="6"/>
  <c r="H89" i="6"/>
  <c r="H88" i="6"/>
  <c r="H87" i="6"/>
  <c r="H86" i="6"/>
  <c r="H85" i="6"/>
  <c r="H84" i="6"/>
  <c r="H83" i="6"/>
  <c r="H82" i="6"/>
  <c r="H81" i="6"/>
  <c r="H80" i="6"/>
  <c r="H79" i="6"/>
  <c r="H78" i="6"/>
  <c r="H77" i="6"/>
  <c r="H74" i="6"/>
  <c r="H73" i="6"/>
  <c r="H72" i="6"/>
  <c r="H71" i="6"/>
  <c r="H70" i="6"/>
  <c r="H69" i="6"/>
  <c r="H68" i="6"/>
  <c r="H67" i="6"/>
  <c r="H66" i="6"/>
  <c r="H65" i="6"/>
  <c r="H64" i="6"/>
  <c r="H63" i="6"/>
  <c r="H62" i="6"/>
  <c r="H61" i="6"/>
  <c r="H60" i="6"/>
  <c r="H59" i="6"/>
  <c r="H58" i="6"/>
  <c r="H57" i="6"/>
  <c r="H54" i="6"/>
  <c r="H53" i="6"/>
  <c r="H52" i="6"/>
  <c r="H51" i="6"/>
  <c r="H50" i="6"/>
  <c r="H49" i="6"/>
  <c r="H48" i="6"/>
  <c r="H47" i="6"/>
  <c r="H46" i="6"/>
  <c r="H45" i="6"/>
  <c r="H44" i="6"/>
  <c r="H43" i="6"/>
  <c r="H42" i="6"/>
  <c r="H41" i="6"/>
  <c r="H40" i="6"/>
  <c r="H39" i="6"/>
  <c r="H38" i="6"/>
  <c r="H35" i="6"/>
  <c r="H34" i="6"/>
  <c r="H33" i="6"/>
  <c r="H32" i="6"/>
  <c r="H29" i="6"/>
  <c r="H28" i="6"/>
  <c r="H27" i="6"/>
  <c r="H26" i="6"/>
  <c r="H25" i="6"/>
  <c r="H24" i="6"/>
  <c r="H23" i="6"/>
  <c r="H22" i="6"/>
  <c r="H21" i="6"/>
  <c r="H20" i="6"/>
  <c r="H19" i="6"/>
  <c r="H18" i="6"/>
  <c r="H15" i="6"/>
  <c r="H454" i="5"/>
  <c r="H453" i="5"/>
  <c r="H446" i="5"/>
  <c r="H444" i="5"/>
  <c r="H443" i="5"/>
  <c r="H442" i="5"/>
  <c r="H440" i="5"/>
  <c r="H438" i="5"/>
  <c r="H437" i="5"/>
  <c r="H435" i="5"/>
  <c r="H434" i="5"/>
  <c r="H433" i="5"/>
  <c r="H431" i="5"/>
  <c r="H430" i="5"/>
  <c r="H429" i="5"/>
  <c r="H427" i="5"/>
  <c r="H426" i="5"/>
  <c r="H425" i="5"/>
  <c r="H417" i="5"/>
  <c r="H415" i="5"/>
  <c r="H413" i="5"/>
  <c r="H412" i="5"/>
  <c r="H411" i="5"/>
  <c r="H420" i="5" s="1"/>
  <c r="H405" i="5"/>
  <c r="H403" i="5"/>
  <c r="H402" i="5"/>
  <c r="H401" i="5"/>
  <c r="H395" i="5"/>
  <c r="H393" i="5"/>
  <c r="H396" i="5" s="1"/>
  <c r="H387" i="5"/>
  <c r="H385" i="5"/>
  <c r="H384" i="5"/>
  <c r="H383" i="5"/>
  <c r="H381" i="5"/>
  <c r="H379" i="5"/>
  <c r="H378" i="5"/>
  <c r="H377" i="5"/>
  <c r="H376" i="5"/>
  <c r="H375" i="5"/>
  <c r="H374" i="5"/>
  <c r="H372" i="5"/>
  <c r="H370" i="5"/>
  <c r="H369" i="5"/>
  <c r="H368" i="5"/>
  <c r="H366" i="5"/>
  <c r="H365" i="5"/>
  <c r="H364" i="5"/>
  <c r="H363" i="5"/>
  <c r="H362" i="5"/>
  <c r="H361" i="5"/>
  <c r="H360" i="5"/>
  <c r="H359" i="5"/>
  <c r="H358" i="5"/>
  <c r="H357" i="5"/>
  <c r="H356" i="5"/>
  <c r="H355" i="5"/>
  <c r="H354" i="5"/>
  <c r="H352" i="5"/>
  <c r="H351" i="5"/>
  <c r="H350" i="5"/>
  <c r="H338" i="5"/>
  <c r="H345" i="5" s="1"/>
  <c r="H331" i="5"/>
  <c r="H329" i="5"/>
  <c r="H322" i="5"/>
  <c r="H320" i="5"/>
  <c r="H319" i="5"/>
  <c r="H317" i="5"/>
  <c r="H316" i="5"/>
  <c r="H314" i="5"/>
  <c r="H311" i="5"/>
  <c r="H310" i="5"/>
  <c r="H309" i="5"/>
  <c r="H308" i="5"/>
  <c r="H302" i="5"/>
  <c r="H300" i="5"/>
  <c r="H299" i="5"/>
  <c r="H297" i="5"/>
  <c r="H290" i="5"/>
  <c r="H288" i="5"/>
  <c r="H287" i="5"/>
  <c r="H286" i="5"/>
  <c r="H280" i="5"/>
  <c r="H279" i="5"/>
  <c r="H278" i="5"/>
  <c r="H276" i="5"/>
  <c r="H271" i="5"/>
  <c r="H269" i="5"/>
  <c r="H268" i="5"/>
  <c r="H267" i="5"/>
  <c r="H265" i="5"/>
  <c r="H264" i="5"/>
  <c r="H263" i="5"/>
  <c r="H261" i="5"/>
  <c r="H259" i="5"/>
  <c r="H257" i="5"/>
  <c r="H256" i="5"/>
  <c r="H254" i="5"/>
  <c r="H253" i="5"/>
  <c r="H252" i="5"/>
  <c r="H246" i="5"/>
  <c r="H247" i="5" s="1"/>
  <c r="H241" i="5"/>
  <c r="H242" i="5" s="1"/>
  <c r="H235" i="5"/>
  <c r="H233" i="5"/>
  <c r="H232" i="5"/>
  <c r="H231" i="5"/>
  <c r="H229" i="5"/>
  <c r="H227" i="5"/>
  <c r="H225" i="5"/>
  <c r="H223" i="5"/>
  <c r="H221" i="5"/>
  <c r="H215" i="5"/>
  <c r="H214" i="5"/>
  <c r="H212" i="5"/>
  <c r="H210" i="5"/>
  <c r="H209" i="5"/>
  <c r="H207" i="5"/>
  <c r="H206" i="5"/>
  <c r="H204" i="5"/>
  <c r="H203" i="5"/>
  <c r="H202" i="5"/>
  <c r="H201" i="5"/>
  <c r="H200" i="5"/>
  <c r="H198" i="5"/>
  <c r="H197" i="5"/>
  <c r="H195" i="5"/>
  <c r="H194" i="5"/>
  <c r="H193" i="5"/>
  <c r="H191" i="5"/>
  <c r="H190" i="5"/>
  <c r="H189" i="5"/>
  <c r="H188" i="5"/>
  <c r="H187" i="5"/>
  <c r="H186" i="5"/>
  <c r="H185" i="5"/>
  <c r="H184" i="5"/>
  <c r="H183" i="5"/>
  <c r="H182" i="5"/>
  <c r="H181" i="5"/>
  <c r="H180" i="5"/>
  <c r="H179" i="5"/>
  <c r="H178" i="5"/>
  <c r="H177" i="5"/>
  <c r="H176" i="5"/>
  <c r="H175" i="5"/>
  <c r="H174" i="5"/>
  <c r="H172" i="5"/>
  <c r="H171" i="5"/>
  <c r="H170" i="5"/>
  <c r="H164" i="5"/>
  <c r="H162" i="5"/>
  <c r="H161" i="5"/>
  <c r="H160" i="5"/>
  <c r="H158" i="5"/>
  <c r="H156" i="5"/>
  <c r="H155" i="5"/>
  <c r="H165" i="5" s="1"/>
  <c r="H149" i="5"/>
  <c r="H147" i="5"/>
  <c r="H150" i="5" s="1"/>
  <c r="H142" i="5"/>
  <c r="H140" i="5"/>
  <c r="H135" i="5"/>
  <c r="H133" i="5"/>
  <c r="H132" i="5"/>
  <c r="H131" i="5"/>
  <c r="H129" i="5"/>
  <c r="H127" i="5"/>
  <c r="H136" i="5" s="1"/>
  <c r="H121" i="5"/>
  <c r="H120" i="5"/>
  <c r="H118" i="5"/>
  <c r="H116" i="5"/>
  <c r="H115" i="5"/>
  <c r="H114" i="5"/>
  <c r="H112" i="5"/>
  <c r="H110" i="5"/>
  <c r="H109" i="5"/>
  <c r="H108" i="5"/>
  <c r="H101" i="5"/>
  <c r="H103" i="5" s="1"/>
  <c r="H96" i="5"/>
  <c r="H94" i="5"/>
  <c r="H92" i="5"/>
  <c r="H91" i="5"/>
  <c r="H90" i="5"/>
  <c r="H88" i="5"/>
  <c r="H87" i="5"/>
  <c r="H85" i="5"/>
  <c r="H83" i="5"/>
  <c r="H81" i="5"/>
  <c r="H78" i="5"/>
  <c r="H77" i="5"/>
  <c r="H76" i="5"/>
  <c r="H75" i="5"/>
  <c r="H72" i="5"/>
  <c r="H71" i="5"/>
  <c r="H69" i="5"/>
  <c r="H67" i="5"/>
  <c r="H66" i="5"/>
  <c r="H65" i="5"/>
  <c r="H64" i="5"/>
  <c r="H62" i="5"/>
  <c r="H61" i="5"/>
  <c r="H59" i="5"/>
  <c r="H58" i="5"/>
  <c r="H57" i="5"/>
  <c r="H55" i="5"/>
  <c r="H54" i="5"/>
  <c r="H52" i="5"/>
  <c r="H51" i="5"/>
  <c r="H50" i="5"/>
  <c r="H48" i="5"/>
  <c r="H47" i="5"/>
  <c r="H46" i="5"/>
  <c r="H45" i="5"/>
  <c r="H44" i="5"/>
  <c r="H43" i="5"/>
  <c r="H42" i="5"/>
  <c r="H41" i="5"/>
  <c r="H39" i="5"/>
  <c r="H37" i="5"/>
  <c r="H36" i="5"/>
  <c r="H35" i="5"/>
  <c r="H33" i="5"/>
  <c r="H32" i="5"/>
  <c r="H31" i="5"/>
  <c r="H30" i="5"/>
  <c r="H29" i="5"/>
  <c r="H28" i="5"/>
  <c r="H27" i="5"/>
  <c r="H26" i="5"/>
  <c r="H25" i="5"/>
  <c r="H24" i="5"/>
  <c r="H22" i="5"/>
  <c r="H20" i="5"/>
  <c r="H19" i="5"/>
  <c r="H18" i="5"/>
  <c r="H15" i="5"/>
  <c r="H262" i="4"/>
  <c r="H261" i="4"/>
  <c r="H258" i="4"/>
  <c r="H257" i="4"/>
  <c r="H256" i="4"/>
  <c r="H255" i="4"/>
  <c r="H254" i="4"/>
  <c r="H253" i="4"/>
  <c r="H252" i="4"/>
  <c r="H251" i="4"/>
  <c r="H250" i="4"/>
  <c r="H249" i="4"/>
  <c r="H248" i="4"/>
  <c r="H247" i="4"/>
  <c r="H246" i="4"/>
  <c r="H245" i="4"/>
  <c r="H244" i="4"/>
  <c r="H243" i="4"/>
  <c r="H242" i="4"/>
  <c r="H241" i="4"/>
  <c r="H240" i="4"/>
  <c r="H239" i="4"/>
  <c r="H238" i="4"/>
  <c r="H237" i="4"/>
  <c r="H236" i="4"/>
  <c r="H235" i="4"/>
  <c r="H234" i="4"/>
  <c r="H233" i="4"/>
  <c r="H232" i="4"/>
  <c r="H231" i="4"/>
  <c r="H230" i="4"/>
  <c r="H229" i="4"/>
  <c r="H228" i="4"/>
  <c r="H227" i="4"/>
  <c r="H226" i="4"/>
  <c r="H225" i="4"/>
  <c r="H224" i="4"/>
  <c r="H223" i="4"/>
  <c r="H222" i="4"/>
  <c r="H221" i="4"/>
  <c r="H220" i="4"/>
  <c r="H219" i="4"/>
  <c r="H218" i="4"/>
  <c r="H217" i="4"/>
  <c r="H216" i="4"/>
  <c r="H215" i="4"/>
  <c r="H214" i="4"/>
  <c r="H213" i="4"/>
  <c r="H212" i="4"/>
  <c r="H211" i="4"/>
  <c r="H210" i="4"/>
  <c r="H209" i="4"/>
  <c r="H208" i="4"/>
  <c r="H207" i="4"/>
  <c r="H206" i="4"/>
  <c r="H205" i="4"/>
  <c r="H204" i="4"/>
  <c r="H203" i="4"/>
  <c r="H202" i="4"/>
  <c r="H201" i="4"/>
  <c r="H200" i="4"/>
  <c r="H199" i="4"/>
  <c r="H198" i="4"/>
  <c r="H197" i="4"/>
  <c r="H196" i="4"/>
  <c r="H195" i="4"/>
  <c r="H194" i="4"/>
  <c r="H193" i="4"/>
  <c r="H192" i="4"/>
  <c r="H191" i="4"/>
  <c r="H190" i="4"/>
  <c r="H189" i="4"/>
  <c r="H188" i="4"/>
  <c r="H187" i="4"/>
  <c r="H186" i="4"/>
  <c r="H185" i="4"/>
  <c r="H184" i="4"/>
  <c r="H183" i="4"/>
  <c r="H182" i="4"/>
  <c r="H181" i="4"/>
  <c r="H180" i="4"/>
  <c r="H179" i="4"/>
  <c r="H178" i="4"/>
  <c r="H177" i="4"/>
  <c r="H176" i="4"/>
  <c r="H175" i="4"/>
  <c r="H174" i="4"/>
  <c r="H173" i="4"/>
  <c r="H172" i="4"/>
  <c r="H171" i="4"/>
  <c r="H170" i="4"/>
  <c r="H169" i="4"/>
  <c r="H168" i="4"/>
  <c r="H167" i="4"/>
  <c r="H166" i="4"/>
  <c r="H165" i="4"/>
  <c r="H164" i="4"/>
  <c r="H163" i="4"/>
  <c r="H162" i="4"/>
  <c r="H161" i="4"/>
  <c r="H160" i="4"/>
  <c r="H159" i="4"/>
  <c r="H158" i="4"/>
  <c r="H157" i="4"/>
  <c r="H156" i="4"/>
  <c r="H155" i="4"/>
  <c r="H154" i="4"/>
  <c r="H153" i="4"/>
  <c r="H152" i="4"/>
  <c r="H151" i="4"/>
  <c r="H150" i="4"/>
  <c r="H149" i="4"/>
  <c r="H148" i="4"/>
  <c r="H147" i="4"/>
  <c r="H146" i="4"/>
  <c r="H145" i="4"/>
  <c r="H142" i="4"/>
  <c r="H141" i="4"/>
  <c r="H138" i="4"/>
  <c r="H137" i="4"/>
  <c r="H134" i="4"/>
  <c r="H133" i="4"/>
  <c r="H132" i="4"/>
  <c r="H131" i="4"/>
  <c r="H130" i="4"/>
  <c r="H129" i="4"/>
  <c r="H128" i="4"/>
  <c r="H127" i="4"/>
  <c r="H126" i="4"/>
  <c r="H125" i="4"/>
  <c r="H124" i="4"/>
  <c r="H123" i="4"/>
  <c r="H122" i="4"/>
  <c r="H121" i="4"/>
  <c r="H120" i="4"/>
  <c r="H119" i="4"/>
  <c r="H118" i="4"/>
  <c r="H117" i="4"/>
  <c r="H116" i="4"/>
  <c r="H115" i="4"/>
  <c r="H112" i="4"/>
  <c r="H111" i="4"/>
  <c r="H110" i="4"/>
  <c r="H109" i="4"/>
  <c r="H108" i="4"/>
  <c r="H107" i="4"/>
  <c r="H106" i="4"/>
  <c r="H105" i="4"/>
  <c r="H104" i="4"/>
  <c r="H103" i="4"/>
  <c r="H102" i="4"/>
  <c r="H101" i="4"/>
  <c r="H100" i="4"/>
  <c r="H99" i="4"/>
  <c r="H98" i="4"/>
  <c r="H97" i="4"/>
  <c r="H96" i="4"/>
  <c r="H95" i="4"/>
  <c r="H94" i="4"/>
  <c r="H93" i="4"/>
  <c r="H92" i="4"/>
  <c r="H89" i="4"/>
  <c r="H88" i="4"/>
  <c r="H87" i="4"/>
  <c r="H86" i="4"/>
  <c r="H85" i="4"/>
  <c r="H84" i="4"/>
  <c r="H83" i="4"/>
  <c r="H82" i="4"/>
  <c r="H81" i="4"/>
  <c r="H80" i="4"/>
  <c r="H79" i="4"/>
  <c r="H78" i="4"/>
  <c r="H77" i="4"/>
  <c r="H74" i="4"/>
  <c r="H73" i="4"/>
  <c r="H72" i="4"/>
  <c r="H71" i="4"/>
  <c r="H70" i="4"/>
  <c r="H69" i="4"/>
  <c r="H68" i="4"/>
  <c r="H67" i="4"/>
  <c r="H66" i="4"/>
  <c r="H65" i="4"/>
  <c r="H64" i="4"/>
  <c r="H63" i="4"/>
  <c r="H62" i="4"/>
  <c r="H61" i="4"/>
  <c r="H60" i="4"/>
  <c r="H59" i="4"/>
  <c r="H58" i="4"/>
  <c r="H57" i="4"/>
  <c r="H54" i="4"/>
  <c r="H53" i="4"/>
  <c r="H52" i="4"/>
  <c r="H51" i="4"/>
  <c r="H50" i="4"/>
  <c r="H49" i="4"/>
  <c r="H48" i="4"/>
  <c r="H47" i="4"/>
  <c r="H46" i="4"/>
  <c r="H45" i="4"/>
  <c r="H44" i="4"/>
  <c r="H43" i="4"/>
  <c r="H42" i="4"/>
  <c r="H41" i="4"/>
  <c r="H40" i="4"/>
  <c r="H39" i="4"/>
  <c r="H38" i="4"/>
  <c r="H35" i="4"/>
  <c r="H34" i="4"/>
  <c r="H33" i="4"/>
  <c r="H32" i="4"/>
  <c r="H29" i="4"/>
  <c r="H28" i="4"/>
  <c r="H27" i="4"/>
  <c r="H26" i="4"/>
  <c r="H25" i="4"/>
  <c r="H24" i="4"/>
  <c r="H23" i="4"/>
  <c r="H22" i="4"/>
  <c r="H21" i="4"/>
  <c r="H20" i="4"/>
  <c r="H19" i="4"/>
  <c r="H18" i="4"/>
  <c r="H15" i="4"/>
  <c r="H454" i="3"/>
  <c r="H453" i="3"/>
  <c r="H446" i="3"/>
  <c r="H444" i="3"/>
  <c r="H443" i="3"/>
  <c r="H442" i="3"/>
  <c r="H440" i="3"/>
  <c r="H438" i="3"/>
  <c r="H437" i="3"/>
  <c r="H435" i="3"/>
  <c r="H434" i="3"/>
  <c r="H433" i="3"/>
  <c r="H431" i="3"/>
  <c r="H430" i="3"/>
  <c r="H429" i="3"/>
  <c r="H427" i="3"/>
  <c r="H426" i="3"/>
  <c r="H425" i="3"/>
  <c r="H417" i="3"/>
  <c r="H415" i="3"/>
  <c r="H413" i="3"/>
  <c r="H412" i="3"/>
  <c r="H411" i="3"/>
  <c r="H405" i="3"/>
  <c r="H403" i="3"/>
  <c r="H402" i="3"/>
  <c r="H401" i="3"/>
  <c r="H395" i="3"/>
  <c r="H393" i="3"/>
  <c r="H387" i="3"/>
  <c r="H385" i="3"/>
  <c r="H384" i="3"/>
  <c r="H383" i="3"/>
  <c r="H381" i="3"/>
  <c r="H379" i="3"/>
  <c r="H378" i="3"/>
  <c r="H377" i="3"/>
  <c r="H376" i="3"/>
  <c r="H375" i="3"/>
  <c r="H374" i="3"/>
  <c r="H372" i="3"/>
  <c r="H370" i="3"/>
  <c r="H369" i="3"/>
  <c r="H368" i="3"/>
  <c r="H366" i="3"/>
  <c r="H365" i="3"/>
  <c r="H364" i="3"/>
  <c r="H363" i="3"/>
  <c r="H362" i="3"/>
  <c r="H361" i="3"/>
  <c r="H360" i="3"/>
  <c r="H359" i="3"/>
  <c r="H358" i="3"/>
  <c r="H357" i="3"/>
  <c r="H356" i="3"/>
  <c r="H355" i="3"/>
  <c r="H354" i="3"/>
  <c r="H352" i="3"/>
  <c r="H351" i="3"/>
  <c r="H350" i="3"/>
  <c r="H344" i="3"/>
  <c r="H338" i="3"/>
  <c r="H331" i="3"/>
  <c r="H329" i="3"/>
  <c r="H322" i="3"/>
  <c r="H320" i="3"/>
  <c r="H319" i="3"/>
  <c r="H317" i="3"/>
  <c r="H316" i="3"/>
  <c r="H314" i="3"/>
  <c r="H311" i="3"/>
  <c r="H310" i="3"/>
  <c r="H309" i="3"/>
  <c r="H308" i="3"/>
  <c r="H302" i="3"/>
  <c r="H300" i="3"/>
  <c r="H299" i="3"/>
  <c r="H297" i="3"/>
  <c r="H295" i="3"/>
  <c r="H294" i="3"/>
  <c r="H293" i="3"/>
  <c r="H292" i="3"/>
  <c r="H291" i="3"/>
  <c r="H290" i="3"/>
  <c r="H288" i="3"/>
  <c r="H287" i="3"/>
  <c r="H286" i="3"/>
  <c r="H280" i="3"/>
  <c r="H279" i="3"/>
  <c r="H278" i="3"/>
  <c r="H276" i="3"/>
  <c r="H271" i="3"/>
  <c r="H269" i="3"/>
  <c r="H268" i="3"/>
  <c r="H267" i="3"/>
  <c r="H265" i="3"/>
  <c r="H264" i="3"/>
  <c r="H263" i="3"/>
  <c r="H261" i="3"/>
  <c r="H259" i="3"/>
  <c r="H257" i="3"/>
  <c r="H256" i="3"/>
  <c r="H254" i="3"/>
  <c r="H253" i="3"/>
  <c r="H252" i="3"/>
  <c r="H246" i="3"/>
  <c r="H247" i="3" s="1"/>
  <c r="H241" i="3"/>
  <c r="H242" i="3" s="1"/>
  <c r="H235" i="3"/>
  <c r="H233" i="3"/>
  <c r="H232" i="3"/>
  <c r="H231" i="3"/>
  <c r="H229" i="3"/>
  <c r="H227" i="3"/>
  <c r="H225" i="3"/>
  <c r="H223" i="3"/>
  <c r="H221" i="3"/>
  <c r="H215" i="3"/>
  <c r="H214" i="3"/>
  <c r="H212" i="3"/>
  <c r="H210" i="3"/>
  <c r="H209" i="3"/>
  <c r="H207" i="3"/>
  <c r="H206" i="3"/>
  <c r="H204" i="3"/>
  <c r="H203" i="3"/>
  <c r="H202" i="3"/>
  <c r="H201" i="3"/>
  <c r="H200" i="3"/>
  <c r="H198" i="3"/>
  <c r="H197" i="3"/>
  <c r="H195" i="3"/>
  <c r="H194" i="3"/>
  <c r="H193" i="3"/>
  <c r="H191" i="3"/>
  <c r="H190" i="3"/>
  <c r="H189" i="3"/>
  <c r="H188" i="3"/>
  <c r="H187" i="3"/>
  <c r="H186" i="3"/>
  <c r="H185" i="3"/>
  <c r="H184" i="3"/>
  <c r="H183" i="3"/>
  <c r="H182" i="3"/>
  <c r="H181" i="3"/>
  <c r="H180" i="3"/>
  <c r="H179" i="3"/>
  <c r="H178" i="3"/>
  <c r="H177" i="3"/>
  <c r="H176" i="3"/>
  <c r="H175" i="3"/>
  <c r="H174" i="3"/>
  <c r="H172" i="3"/>
  <c r="H171" i="3"/>
  <c r="H170" i="3"/>
  <c r="H164" i="3"/>
  <c r="H162" i="3"/>
  <c r="H161" i="3"/>
  <c r="H160" i="3"/>
  <c r="H158" i="3"/>
  <c r="H156" i="3"/>
  <c r="H155" i="3"/>
  <c r="H149" i="3"/>
  <c r="H147" i="3"/>
  <c r="H142" i="3"/>
  <c r="H140" i="3"/>
  <c r="H143" i="3" s="1"/>
  <c r="H135" i="3"/>
  <c r="H133" i="3"/>
  <c r="H132" i="3"/>
  <c r="H131" i="3"/>
  <c r="H129" i="3"/>
  <c r="H127" i="3"/>
  <c r="H121" i="3"/>
  <c r="H120" i="3"/>
  <c r="H118" i="3"/>
  <c r="H116" i="3"/>
  <c r="H115" i="3"/>
  <c r="H114" i="3"/>
  <c r="H112" i="3"/>
  <c r="H110" i="3"/>
  <c r="H109" i="3"/>
  <c r="H108" i="3"/>
  <c r="H101" i="3"/>
  <c r="H103" i="3" s="1"/>
  <c r="H96" i="3"/>
  <c r="H94" i="3"/>
  <c r="H92" i="3"/>
  <c r="H91" i="3"/>
  <c r="H90" i="3"/>
  <c r="H88" i="3"/>
  <c r="H87" i="3"/>
  <c r="H85" i="3"/>
  <c r="H83" i="3"/>
  <c r="H81" i="3"/>
  <c r="H78" i="3"/>
  <c r="H77" i="3"/>
  <c r="H76" i="3"/>
  <c r="H75" i="3"/>
  <c r="H72" i="3"/>
  <c r="H71" i="3"/>
  <c r="H69" i="3"/>
  <c r="H67" i="3"/>
  <c r="H66" i="3"/>
  <c r="H65" i="3"/>
  <c r="H64" i="3"/>
  <c r="H62" i="3"/>
  <c r="H61" i="3"/>
  <c r="H59" i="3"/>
  <c r="H58" i="3"/>
  <c r="H57" i="3"/>
  <c r="H55" i="3"/>
  <c r="H54" i="3"/>
  <c r="H52" i="3"/>
  <c r="H51" i="3"/>
  <c r="H50" i="3"/>
  <c r="H48" i="3"/>
  <c r="H47" i="3"/>
  <c r="H46" i="3"/>
  <c r="H45" i="3"/>
  <c r="H44" i="3"/>
  <c r="H43" i="3"/>
  <c r="H42" i="3"/>
  <c r="H41" i="3"/>
  <c r="H39" i="3"/>
  <c r="H37" i="3"/>
  <c r="H36" i="3"/>
  <c r="H35" i="3"/>
  <c r="H33" i="3"/>
  <c r="H32" i="3"/>
  <c r="H31" i="3"/>
  <c r="H30" i="3"/>
  <c r="H29" i="3"/>
  <c r="H28" i="3"/>
  <c r="H27" i="3"/>
  <c r="H26" i="3"/>
  <c r="H25" i="3"/>
  <c r="H24" i="3"/>
  <c r="H22" i="3"/>
  <c r="H20" i="3"/>
  <c r="H19" i="3"/>
  <c r="H18" i="3"/>
  <c r="H15" i="3"/>
  <c r="H262" i="2"/>
  <c r="H261" i="2"/>
  <c r="H258" i="2"/>
  <c r="H257" i="2"/>
  <c r="H256" i="2"/>
  <c r="H255" i="2"/>
  <c r="H254" i="2"/>
  <c r="H253" i="2"/>
  <c r="H252" i="2"/>
  <c r="H251" i="2"/>
  <c r="H250" i="2"/>
  <c r="H249" i="2"/>
  <c r="H248" i="2"/>
  <c r="H247" i="2"/>
  <c r="H246" i="2"/>
  <c r="H245" i="2"/>
  <c r="H244" i="2"/>
  <c r="H243" i="2"/>
  <c r="H242" i="2"/>
  <c r="H241" i="2"/>
  <c r="H240" i="2"/>
  <c r="H239" i="2"/>
  <c r="H238" i="2"/>
  <c r="H237" i="2"/>
  <c r="H236" i="2"/>
  <c r="H235" i="2"/>
  <c r="H234" i="2"/>
  <c r="H233" i="2"/>
  <c r="H232" i="2"/>
  <c r="H231" i="2"/>
  <c r="H230" i="2"/>
  <c r="H229" i="2"/>
  <c r="H228" i="2"/>
  <c r="H227" i="2"/>
  <c r="H226" i="2"/>
  <c r="H225" i="2"/>
  <c r="H224" i="2"/>
  <c r="H223" i="2"/>
  <c r="H222" i="2"/>
  <c r="H221" i="2"/>
  <c r="H220" i="2"/>
  <c r="H219" i="2"/>
  <c r="H218" i="2"/>
  <c r="H217" i="2"/>
  <c r="H216" i="2"/>
  <c r="H215" i="2"/>
  <c r="H214" i="2"/>
  <c r="H213" i="2"/>
  <c r="H212" i="2"/>
  <c r="H211" i="2"/>
  <c r="H210" i="2"/>
  <c r="H209" i="2"/>
  <c r="H208" i="2"/>
  <c r="H207" i="2"/>
  <c r="H206" i="2"/>
  <c r="H205" i="2"/>
  <c r="H204" i="2"/>
  <c r="H203" i="2"/>
  <c r="H202" i="2"/>
  <c r="H201" i="2"/>
  <c r="H200" i="2"/>
  <c r="H199" i="2"/>
  <c r="H198" i="2"/>
  <c r="H197" i="2"/>
  <c r="H196" i="2"/>
  <c r="H195" i="2"/>
  <c r="H194" i="2"/>
  <c r="H193" i="2"/>
  <c r="H192" i="2"/>
  <c r="H191" i="2"/>
  <c r="H190" i="2"/>
  <c r="H189" i="2"/>
  <c r="H188" i="2"/>
  <c r="H187" i="2"/>
  <c r="H186" i="2"/>
  <c r="H185" i="2"/>
  <c r="H184" i="2"/>
  <c r="H183" i="2"/>
  <c r="H182" i="2"/>
  <c r="H181" i="2"/>
  <c r="H180" i="2"/>
  <c r="H179" i="2"/>
  <c r="H178" i="2"/>
  <c r="H177" i="2"/>
  <c r="H176"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2" i="2"/>
  <c r="H141" i="2"/>
  <c r="H138" i="2"/>
  <c r="H137" i="2"/>
  <c r="H134" i="2"/>
  <c r="H133" i="2"/>
  <c r="H132" i="2"/>
  <c r="H131" i="2"/>
  <c r="H130" i="2"/>
  <c r="H129" i="2"/>
  <c r="H128" i="2"/>
  <c r="H127" i="2"/>
  <c r="H126" i="2"/>
  <c r="H125" i="2"/>
  <c r="H124" i="2"/>
  <c r="H123" i="2"/>
  <c r="H122" i="2"/>
  <c r="H121" i="2"/>
  <c r="H120" i="2"/>
  <c r="H119" i="2"/>
  <c r="H118" i="2"/>
  <c r="H117" i="2"/>
  <c r="H116" i="2"/>
  <c r="H115" i="2"/>
  <c r="H112" i="2"/>
  <c r="H111" i="2"/>
  <c r="H110" i="2"/>
  <c r="H109" i="2"/>
  <c r="H108" i="2"/>
  <c r="H107" i="2"/>
  <c r="H106" i="2"/>
  <c r="H105" i="2"/>
  <c r="H104" i="2"/>
  <c r="H103" i="2"/>
  <c r="H102" i="2"/>
  <c r="H101" i="2"/>
  <c r="H100" i="2"/>
  <c r="H99" i="2"/>
  <c r="H98" i="2"/>
  <c r="H97" i="2"/>
  <c r="H96" i="2"/>
  <c r="H95" i="2"/>
  <c r="H94" i="2"/>
  <c r="H93" i="2"/>
  <c r="H92" i="2"/>
  <c r="H89" i="2"/>
  <c r="H88" i="2"/>
  <c r="H87" i="2"/>
  <c r="H86" i="2"/>
  <c r="H85" i="2"/>
  <c r="H84" i="2"/>
  <c r="H83" i="2"/>
  <c r="H82" i="2"/>
  <c r="H81" i="2"/>
  <c r="H80" i="2"/>
  <c r="H79" i="2"/>
  <c r="H78" i="2"/>
  <c r="H77" i="2"/>
  <c r="H74" i="2"/>
  <c r="H73" i="2"/>
  <c r="H72" i="2"/>
  <c r="H71" i="2"/>
  <c r="H70" i="2"/>
  <c r="H69" i="2"/>
  <c r="H68" i="2"/>
  <c r="H67" i="2"/>
  <c r="H66" i="2"/>
  <c r="H65" i="2"/>
  <c r="H64" i="2"/>
  <c r="H63" i="2"/>
  <c r="H62" i="2"/>
  <c r="H61" i="2"/>
  <c r="H60" i="2"/>
  <c r="H59" i="2"/>
  <c r="H58" i="2"/>
  <c r="H57" i="2"/>
  <c r="H54" i="2"/>
  <c r="H53" i="2"/>
  <c r="H52" i="2"/>
  <c r="H51" i="2"/>
  <c r="H50" i="2"/>
  <c r="H49" i="2"/>
  <c r="H48" i="2"/>
  <c r="H47" i="2"/>
  <c r="H46" i="2"/>
  <c r="H45" i="2"/>
  <c r="H44" i="2"/>
  <c r="H43" i="2"/>
  <c r="H42" i="2"/>
  <c r="H41" i="2"/>
  <c r="H40" i="2"/>
  <c r="H39" i="2"/>
  <c r="H38" i="2"/>
  <c r="H35" i="2"/>
  <c r="H34" i="2"/>
  <c r="H33" i="2"/>
  <c r="H32" i="2"/>
  <c r="H29" i="2"/>
  <c r="H28" i="2"/>
  <c r="H27" i="2"/>
  <c r="H26" i="2"/>
  <c r="H25" i="2"/>
  <c r="H24" i="2"/>
  <c r="H23" i="2"/>
  <c r="H22" i="2"/>
  <c r="H21" i="2"/>
  <c r="H20" i="2"/>
  <c r="H19" i="2"/>
  <c r="H18" i="2"/>
  <c r="H15" i="2"/>
  <c r="H454" i="1"/>
  <c r="H453" i="1"/>
  <c r="H451" i="1"/>
  <c r="H455" i="1" s="1"/>
  <c r="H446" i="1"/>
  <c r="H444" i="1"/>
  <c r="H443" i="1"/>
  <c r="H442" i="1"/>
  <c r="H440" i="1"/>
  <c r="H438" i="1"/>
  <c r="H437" i="1"/>
  <c r="H435" i="1"/>
  <c r="H434" i="1"/>
  <c r="H433" i="1"/>
  <c r="H431" i="1"/>
  <c r="H430" i="1"/>
  <c r="H429" i="1"/>
  <c r="H427" i="1"/>
  <c r="H426" i="1"/>
  <c r="H425" i="1"/>
  <c r="H417" i="1"/>
  <c r="H415" i="1"/>
  <c r="H413" i="1"/>
  <c r="H412" i="1"/>
  <c r="H411" i="1"/>
  <c r="H405" i="1"/>
  <c r="H403" i="1"/>
  <c r="H402" i="1"/>
  <c r="H401" i="1"/>
  <c r="H395" i="1"/>
  <c r="H393" i="1"/>
  <c r="H396" i="1" s="1"/>
  <c r="H387" i="1"/>
  <c r="H385" i="1"/>
  <c r="H384" i="1"/>
  <c r="H383" i="1"/>
  <c r="H381" i="1"/>
  <c r="H379" i="1"/>
  <c r="H378" i="1"/>
  <c r="H377" i="1"/>
  <c r="H376" i="1"/>
  <c r="H375" i="1"/>
  <c r="H374" i="1"/>
  <c r="H372" i="1"/>
  <c r="H370" i="1"/>
  <c r="H369" i="1"/>
  <c r="H368" i="1"/>
  <c r="H366" i="1"/>
  <c r="H365" i="1"/>
  <c r="H364" i="1"/>
  <c r="H363" i="1"/>
  <c r="H362" i="1"/>
  <c r="H361" i="1"/>
  <c r="H360" i="1"/>
  <c r="H359" i="1"/>
  <c r="H358" i="1"/>
  <c r="H357" i="1"/>
  <c r="H356" i="1"/>
  <c r="H355" i="1"/>
  <c r="H354" i="1"/>
  <c r="H352" i="1"/>
  <c r="H351" i="1"/>
  <c r="H350" i="1"/>
  <c r="H344" i="1"/>
  <c r="H338" i="1"/>
  <c r="H345" i="1" s="1"/>
  <c r="H333" i="1"/>
  <c r="H331" i="1"/>
  <c r="H329" i="1"/>
  <c r="H322" i="1"/>
  <c r="H320" i="1"/>
  <c r="H319" i="1"/>
  <c r="H317" i="1"/>
  <c r="H316" i="1"/>
  <c r="H314" i="1"/>
  <c r="H311" i="1"/>
  <c r="H310" i="1"/>
  <c r="H309" i="1"/>
  <c r="H308" i="1"/>
  <c r="H302" i="1"/>
  <c r="H300" i="1"/>
  <c r="H299" i="1"/>
  <c r="H297" i="1"/>
  <c r="H295" i="1"/>
  <c r="H294" i="1"/>
  <c r="H293" i="1"/>
  <c r="H292" i="1"/>
  <c r="H291" i="1"/>
  <c r="H290" i="1"/>
  <c r="H288" i="1"/>
  <c r="H287" i="1"/>
  <c r="H286" i="1"/>
  <c r="H280" i="1"/>
  <c r="H279" i="1"/>
  <c r="H278" i="1"/>
  <c r="H276" i="1"/>
  <c r="H281" i="1" s="1"/>
  <c r="H271" i="1"/>
  <c r="H269" i="1"/>
  <c r="H268" i="1"/>
  <c r="H267" i="1"/>
  <c r="H265" i="1"/>
  <c r="H264" i="1"/>
  <c r="H263" i="1"/>
  <c r="H261" i="1"/>
  <c r="H259" i="1"/>
  <c r="H257" i="1"/>
  <c r="H256" i="1"/>
  <c r="H254" i="1"/>
  <c r="H253" i="1"/>
  <c r="H252" i="1"/>
  <c r="H272" i="1" s="1"/>
  <c r="H246" i="1"/>
  <c r="H247" i="1" s="1"/>
  <c r="H241" i="1"/>
  <c r="H242" i="1" s="1"/>
  <c r="H235" i="1"/>
  <c r="H233" i="1"/>
  <c r="H232" i="1"/>
  <c r="H231" i="1"/>
  <c r="H229" i="1"/>
  <c r="H227" i="1"/>
  <c r="H225" i="1"/>
  <c r="H223" i="1"/>
  <c r="H221" i="1"/>
  <c r="H236" i="1" s="1"/>
  <c r="H215" i="1"/>
  <c r="H214" i="1"/>
  <c r="H212" i="1"/>
  <c r="H210" i="1"/>
  <c r="H209" i="1"/>
  <c r="H207" i="1"/>
  <c r="H206" i="1"/>
  <c r="H204" i="1"/>
  <c r="H203" i="1"/>
  <c r="H202" i="1"/>
  <c r="H201" i="1"/>
  <c r="H200" i="1"/>
  <c r="H198" i="1"/>
  <c r="H197" i="1"/>
  <c r="H195" i="1"/>
  <c r="H194" i="1"/>
  <c r="H193" i="1"/>
  <c r="H191" i="1"/>
  <c r="H190" i="1"/>
  <c r="H189" i="1"/>
  <c r="H188" i="1"/>
  <c r="H187" i="1"/>
  <c r="H186" i="1"/>
  <c r="H185" i="1"/>
  <c r="H184" i="1"/>
  <c r="H183" i="1"/>
  <c r="H182" i="1"/>
  <c r="H181" i="1"/>
  <c r="H180" i="1"/>
  <c r="H179" i="1"/>
  <c r="H178" i="1"/>
  <c r="H177" i="1"/>
  <c r="H176" i="1"/>
  <c r="H175" i="1"/>
  <c r="H174" i="1"/>
  <c r="H172" i="1"/>
  <c r="H171" i="1"/>
  <c r="H170" i="1"/>
  <c r="H164" i="1"/>
  <c r="H162" i="1"/>
  <c r="H161" i="1"/>
  <c r="H160" i="1"/>
  <c r="H158" i="1"/>
  <c r="H156" i="1"/>
  <c r="H155" i="1"/>
  <c r="H149" i="1"/>
  <c r="H147" i="1"/>
  <c r="H150" i="1" s="1"/>
  <c r="H142" i="1"/>
  <c r="H140" i="1"/>
  <c r="H143" i="1" s="1"/>
  <c r="H135" i="1"/>
  <c r="H133" i="1"/>
  <c r="H132" i="1"/>
  <c r="H131" i="1"/>
  <c r="H129" i="1"/>
  <c r="H127" i="1"/>
  <c r="H121" i="1"/>
  <c r="H120" i="1"/>
  <c r="H118" i="1"/>
  <c r="H116" i="1"/>
  <c r="H115" i="1"/>
  <c r="H114" i="1"/>
  <c r="H112" i="1"/>
  <c r="H110" i="1"/>
  <c r="H109" i="1"/>
  <c r="H108" i="1"/>
  <c r="H101" i="1"/>
  <c r="H103" i="1" s="1"/>
  <c r="H96" i="1"/>
  <c r="H94" i="1"/>
  <c r="H92" i="1"/>
  <c r="H91" i="1"/>
  <c r="H90" i="1"/>
  <c r="H88" i="1"/>
  <c r="H87" i="1"/>
  <c r="H85" i="1"/>
  <c r="H83" i="1"/>
  <c r="H81" i="1"/>
  <c r="H78" i="1"/>
  <c r="H77" i="1"/>
  <c r="H76" i="1"/>
  <c r="H75" i="1"/>
  <c r="H72" i="1"/>
  <c r="H71" i="1"/>
  <c r="H69" i="1"/>
  <c r="H67" i="1"/>
  <c r="H66" i="1"/>
  <c r="H65" i="1"/>
  <c r="H64" i="1"/>
  <c r="H62" i="1"/>
  <c r="H61" i="1"/>
  <c r="H59" i="1"/>
  <c r="H58" i="1"/>
  <c r="H57" i="1"/>
  <c r="H55" i="1"/>
  <c r="H54" i="1"/>
  <c r="H52" i="1"/>
  <c r="H51" i="1"/>
  <c r="H50" i="1"/>
  <c r="H48" i="1"/>
  <c r="H47" i="1"/>
  <c r="H46" i="1"/>
  <c r="H45" i="1"/>
  <c r="H44" i="1"/>
  <c r="H43" i="1"/>
  <c r="H42" i="1"/>
  <c r="H41" i="1"/>
  <c r="H39" i="1"/>
  <c r="H37" i="1"/>
  <c r="H36" i="1"/>
  <c r="H35" i="1"/>
  <c r="H33" i="1"/>
  <c r="H32" i="1"/>
  <c r="H31" i="1"/>
  <c r="H30" i="1"/>
  <c r="H29" i="1"/>
  <c r="H28" i="1"/>
  <c r="H27" i="1"/>
  <c r="H26" i="1"/>
  <c r="H25" i="1"/>
  <c r="H24" i="1"/>
  <c r="H22" i="1"/>
  <c r="H20" i="1"/>
  <c r="H19" i="1"/>
  <c r="H18" i="1"/>
  <c r="H15" i="1"/>
  <c r="H143" i="17" l="1"/>
  <c r="H272" i="17"/>
  <c r="H388" i="17"/>
  <c r="H334" i="17"/>
  <c r="H216" i="17"/>
  <c r="H303" i="17"/>
  <c r="H122" i="17"/>
  <c r="H97" i="17"/>
  <c r="H447" i="17"/>
  <c r="H471" i="17" s="1"/>
  <c r="H396" i="17"/>
  <c r="H388" i="15"/>
  <c r="H97" i="15"/>
  <c r="H447" i="15"/>
  <c r="H272" i="15"/>
  <c r="H236" i="15"/>
  <c r="H334" i="15"/>
  <c r="H165" i="15"/>
  <c r="H143" i="13"/>
  <c r="H272" i="13"/>
  <c r="H396" i="13"/>
  <c r="H97" i="13"/>
  <c r="H334" i="13"/>
  <c r="H216" i="13"/>
  <c r="H165" i="13"/>
  <c r="H388" i="13"/>
  <c r="H136" i="13"/>
  <c r="H303" i="13"/>
  <c r="H420" i="13"/>
  <c r="H471" i="13" s="1"/>
  <c r="H447" i="13"/>
  <c r="H97" i="11"/>
  <c r="H236" i="11"/>
  <c r="H150" i="11"/>
  <c r="H281" i="11"/>
  <c r="H334" i="11"/>
  <c r="H406" i="11"/>
  <c r="H165" i="11"/>
  <c r="H388" i="11"/>
  <c r="H303" i="11"/>
  <c r="H122" i="11"/>
  <c r="H216" i="11"/>
  <c r="H447" i="11"/>
  <c r="H471" i="11" s="1"/>
  <c r="H216" i="7"/>
  <c r="H143" i="7"/>
  <c r="H272" i="7"/>
  <c r="H388" i="7"/>
  <c r="H150" i="7"/>
  <c r="H281" i="7"/>
  <c r="H165" i="7"/>
  <c r="H136" i="7"/>
  <c r="H303" i="7"/>
  <c r="H447" i="7"/>
  <c r="H471" i="7" s="1"/>
  <c r="H122" i="7"/>
  <c r="H406" i="7"/>
  <c r="H236" i="5"/>
  <c r="H455" i="5"/>
  <c r="H281" i="5"/>
  <c r="H334" i="5"/>
  <c r="H388" i="5"/>
  <c r="H303" i="5"/>
  <c r="H122" i="5"/>
  <c r="H447" i="5"/>
  <c r="H97" i="5"/>
  <c r="H216" i="5"/>
  <c r="H143" i="5"/>
  <c r="H272" i="5"/>
  <c r="H406" i="5"/>
  <c r="H216" i="1"/>
  <c r="H420" i="1"/>
  <c r="H165" i="1"/>
  <c r="H447" i="1"/>
  <c r="H136" i="1"/>
  <c r="H303" i="1"/>
  <c r="H334" i="1"/>
  <c r="H406" i="1"/>
  <c r="H122" i="1"/>
  <c r="H97" i="1"/>
  <c r="H388" i="1"/>
  <c r="H471" i="1" s="1"/>
  <c r="H150" i="9"/>
  <c r="H150" i="3"/>
  <c r="H345" i="3"/>
  <c r="H266" i="16"/>
  <c r="H303" i="9"/>
  <c r="H122" i="9"/>
  <c r="H455" i="9"/>
  <c r="H143" i="9"/>
  <c r="H345" i="9"/>
  <c r="H122" i="3"/>
  <c r="H396" i="3"/>
  <c r="H236" i="3"/>
  <c r="E15" i="19"/>
  <c r="E27" i="19"/>
  <c r="E40" i="19"/>
  <c r="C14" i="19"/>
  <c r="C4" i="19"/>
  <c r="C52" i="19" s="1"/>
  <c r="E17" i="19"/>
  <c r="E42" i="19"/>
  <c r="E7" i="19"/>
  <c r="E32" i="19"/>
  <c r="H266" i="18"/>
  <c r="H471" i="15"/>
  <c r="H266" i="14"/>
  <c r="H266" i="12"/>
  <c r="H345" i="11"/>
  <c r="H266" i="10"/>
  <c r="H97" i="9"/>
  <c r="H165" i="9"/>
  <c r="H406" i="9"/>
  <c r="H447" i="9"/>
  <c r="H420" i="9"/>
  <c r="H236" i="9"/>
  <c r="H281" i="9"/>
  <c r="H388" i="9"/>
  <c r="H136" i="9"/>
  <c r="H216" i="9"/>
  <c r="H272" i="9"/>
  <c r="H334" i="9"/>
  <c r="H396" i="9"/>
  <c r="H266" i="8"/>
  <c r="H266" i="4"/>
  <c r="H136" i="3"/>
  <c r="H216" i="3"/>
  <c r="H406" i="3"/>
  <c r="H165" i="3"/>
  <c r="H388" i="3"/>
  <c r="H281" i="3"/>
  <c r="H334" i="3"/>
  <c r="H420" i="3"/>
  <c r="H272" i="3"/>
  <c r="H455" i="3"/>
  <c r="H97" i="3"/>
  <c r="H303" i="3"/>
  <c r="H447" i="3"/>
  <c r="H266" i="2"/>
  <c r="H471" i="9" l="1"/>
  <c r="H471" i="5"/>
  <c r="H471" i="3"/>
</calcChain>
</file>

<file path=xl/sharedStrings.xml><?xml version="1.0" encoding="utf-8"?>
<sst xmlns="http://schemas.openxmlformats.org/spreadsheetml/2006/main" count="19146" uniqueCount="5336">
  <si>
    <t>EXHIBIT LINE ITEM NUMBERS</t>
  </si>
  <si>
    <t>EXHIBIT A - BASE PERIOD - RECURRING WORK</t>
  </si>
  <si>
    <t>CLIN 0001</t>
  </si>
  <si>
    <t>Line Item 0001 - Recurring Work - Base Period</t>
  </si>
  <si>
    <t>PROVIDE PRICES TO PERFORM RECURRING WORK - IN ACCORDANCE WITH SECTION C, SPEC ITEM 3</t>
  </si>
  <si>
    <t>ELIN /         Sub ELIN</t>
  </si>
  <si>
    <t>Spec Item</t>
  </si>
  <si>
    <t>Description</t>
  </si>
  <si>
    <t>Quantity</t>
  </si>
  <si>
    <t>Unit of Issue</t>
  </si>
  <si>
    <t>Unit Price</t>
  </si>
  <si>
    <t>Total Price</t>
  </si>
  <si>
    <t>A001</t>
  </si>
  <si>
    <t>Commander Naval Region Europe (CNRE)</t>
  </si>
  <si>
    <t>Facility Management</t>
  </si>
  <si>
    <t>A001AA</t>
  </si>
  <si>
    <t>Infrastructure Condition Assessment Program (ICAP) Services</t>
  </si>
  <si>
    <t>MO</t>
  </si>
  <si>
    <t>Facility Investment</t>
  </si>
  <si>
    <t>Emergency, Urgent, and Routine (E/U/R) Work</t>
  </si>
  <si>
    <t>A001AB</t>
  </si>
  <si>
    <t>3.1.1</t>
  </si>
  <si>
    <t>Emergency</t>
  </si>
  <si>
    <t>A001AC</t>
  </si>
  <si>
    <t>3.1.2</t>
  </si>
  <si>
    <t>Urgent</t>
  </si>
  <si>
    <t>A001AD</t>
  </si>
  <si>
    <t>3.1.3</t>
  </si>
  <si>
    <t>Routine</t>
  </si>
  <si>
    <t>Facility Bullets</t>
  </si>
  <si>
    <t>A001AE</t>
  </si>
  <si>
    <t>Preventive Maintenance (PM) Program</t>
  </si>
  <si>
    <t>A001AF</t>
  </si>
  <si>
    <t>3.3.2</t>
  </si>
  <si>
    <t>Lightning Arrestors and Grounding Devices</t>
  </si>
  <si>
    <t>A001AG</t>
  </si>
  <si>
    <t>3.3.3</t>
  </si>
  <si>
    <t>Vertical Transportation Equipment (VTE)</t>
  </si>
  <si>
    <t>A001AH</t>
  </si>
  <si>
    <t>3.3.5</t>
  </si>
  <si>
    <t>Auxiliary Generator Systems</t>
  </si>
  <si>
    <t>A001AJ</t>
  </si>
  <si>
    <t>3.3.12</t>
  </si>
  <si>
    <t>Swimming Pool Maintenance</t>
  </si>
  <si>
    <t>A001AK</t>
  </si>
  <si>
    <t>3.3.15</t>
  </si>
  <si>
    <t>Aboveground (AST) and Underground (UST) Storage Tanks</t>
  </si>
  <si>
    <t>A001AL</t>
  </si>
  <si>
    <t>3.3.16</t>
  </si>
  <si>
    <t>Overhead and Roll-up Doors</t>
  </si>
  <si>
    <t>A001AM</t>
  </si>
  <si>
    <t>3.3.17</t>
  </si>
  <si>
    <t>Hangar Doors</t>
  </si>
  <si>
    <t>A001AN</t>
  </si>
  <si>
    <t>3.3.18</t>
  </si>
  <si>
    <t>Drinking Fountains/Water Coolers</t>
  </si>
  <si>
    <t>A001AP</t>
  </si>
  <si>
    <t>3.3.19</t>
  </si>
  <si>
    <t>Airfield Light Tower</t>
  </si>
  <si>
    <t>A001AQ</t>
  </si>
  <si>
    <t>3.3.21</t>
  </si>
  <si>
    <t>Irrigation System</t>
  </si>
  <si>
    <t>Integrated Maintenance Program (IMP)</t>
  </si>
  <si>
    <t>A001AR</t>
  </si>
  <si>
    <t>3.4.1</t>
  </si>
  <si>
    <t>HVAC and Refrigeration Systems</t>
  </si>
  <si>
    <t>A001AS</t>
  </si>
  <si>
    <t>3.4.2</t>
  </si>
  <si>
    <t>Fire Protection Systems</t>
  </si>
  <si>
    <t>A001AT</t>
  </si>
  <si>
    <t>3.4.3</t>
  </si>
  <si>
    <t>Boilers and UPVs</t>
  </si>
  <si>
    <t>Inspection, Testing, and Certification Program</t>
  </si>
  <si>
    <t>A001AU</t>
  </si>
  <si>
    <t>3.5.2</t>
  </si>
  <si>
    <t>Other Recurring Services Program</t>
  </si>
  <si>
    <t>A001AV</t>
  </si>
  <si>
    <t>3.6.1</t>
  </si>
  <si>
    <t>Exhaust Hoods and Ducts</t>
  </si>
  <si>
    <t>A001AW</t>
  </si>
  <si>
    <t>3.6.2</t>
  </si>
  <si>
    <t>HVAC Water Testing and Treatment Services</t>
  </si>
  <si>
    <t>A001AX</t>
  </si>
  <si>
    <t>3.6.3</t>
  </si>
  <si>
    <t>Boiler Water Testing and Treatment Services</t>
  </si>
  <si>
    <t>A001AY</t>
  </si>
  <si>
    <t>3.6.4</t>
  </si>
  <si>
    <t>Solar Panel Maintenance</t>
  </si>
  <si>
    <t>A001AZ</t>
  </si>
  <si>
    <t>3.6.5</t>
  </si>
  <si>
    <t>Gutter and Roof Inspections</t>
  </si>
  <si>
    <t>A001BA</t>
  </si>
  <si>
    <t>3.6.7</t>
  </si>
  <si>
    <t>Magnetic Key Card System Maintenance</t>
  </si>
  <si>
    <t>A001BB</t>
  </si>
  <si>
    <t>3.6.9</t>
  </si>
  <si>
    <t>Vehicle Lift Maintenance</t>
  </si>
  <si>
    <t>A001BC</t>
  </si>
  <si>
    <t>3.6.10</t>
  </si>
  <si>
    <t>Swimming Pool Water Testing and Treatment Services</t>
  </si>
  <si>
    <t>A001BD</t>
  </si>
  <si>
    <t>3.6.13</t>
  </si>
  <si>
    <t>Oil-Water Separators and Grease Traps Maintenance</t>
  </si>
  <si>
    <t>A001BE</t>
  </si>
  <si>
    <t>3.6.14</t>
  </si>
  <si>
    <t>Car Wash Water Treatment System</t>
  </si>
  <si>
    <t>A001BF</t>
  </si>
  <si>
    <t>3.6.15</t>
  </si>
  <si>
    <t>Fire Extinguisher Inspection and Maintenance</t>
  </si>
  <si>
    <t>Custodial</t>
  </si>
  <si>
    <t>A001BG</t>
  </si>
  <si>
    <t>Scheduled Services</t>
  </si>
  <si>
    <t>A001BH</t>
  </si>
  <si>
    <t>Scheduled Services for AMC (29% FX Pro-Rata)</t>
  </si>
  <si>
    <t>Pest Control</t>
  </si>
  <si>
    <t>A001BJ</t>
  </si>
  <si>
    <t>Scheduled Pest Control</t>
  </si>
  <si>
    <t>A001BK</t>
  </si>
  <si>
    <t>Pest Control Service Orders</t>
  </si>
  <si>
    <t>A001BL</t>
  </si>
  <si>
    <t>Pest Management Reporting</t>
  </si>
  <si>
    <t>Integrated Solid Waste Management</t>
  </si>
  <si>
    <t>A001BM</t>
  </si>
  <si>
    <t>3.1 - 3.5</t>
  </si>
  <si>
    <t>Recurring Work</t>
  </si>
  <si>
    <t>A001BN</t>
  </si>
  <si>
    <t>Special Collection Services</t>
  </si>
  <si>
    <t>Grounds Maintenance and Landscaping</t>
  </si>
  <si>
    <t>A001BP</t>
  </si>
  <si>
    <t>Improved Grounds</t>
  </si>
  <si>
    <t>A001BQ</t>
  </si>
  <si>
    <t>Operational Areas</t>
  </si>
  <si>
    <t>A001BR</t>
  </si>
  <si>
    <t>Storm Drainage Systems</t>
  </si>
  <si>
    <t>A001BS</t>
  </si>
  <si>
    <t>Outdoor Waste Collection</t>
  </si>
  <si>
    <t>A001BT</t>
  </si>
  <si>
    <t>Playgrounds Maintenance</t>
  </si>
  <si>
    <t>Pavement Clearance</t>
  </si>
  <si>
    <t>A001BU</t>
  </si>
  <si>
    <t>Pavement Sweeping Services</t>
  </si>
  <si>
    <t>A001BW</t>
  </si>
  <si>
    <t>Pavement Clearance Service Orders</t>
  </si>
  <si>
    <t>Utility Management</t>
  </si>
  <si>
    <t>Utility Service Orders</t>
  </si>
  <si>
    <t>A001BX</t>
  </si>
  <si>
    <t>Emergency Service Orders</t>
  </si>
  <si>
    <t>A001BY</t>
  </si>
  <si>
    <t>Routine Service Orders</t>
  </si>
  <si>
    <t>A001BZ</t>
  </si>
  <si>
    <t>Utility Operations Management</t>
  </si>
  <si>
    <t>A001CA</t>
  </si>
  <si>
    <t>Utility Infrastructure Condition Assessment (UICAP) Support</t>
  </si>
  <si>
    <t>Electrical</t>
  </si>
  <si>
    <t>`</t>
  </si>
  <si>
    <t>A001CB</t>
  </si>
  <si>
    <t>High Voltage Systems Maintenance</t>
  </si>
  <si>
    <t>A001CC</t>
  </si>
  <si>
    <t>3.2.1</t>
  </si>
  <si>
    <t>Photo Voltaic Systems Maintenance</t>
  </si>
  <si>
    <t>Natural Gas</t>
  </si>
  <si>
    <t>A001CD</t>
  </si>
  <si>
    <t>Wastewater</t>
  </si>
  <si>
    <t>A001CE</t>
  </si>
  <si>
    <t>A001CF</t>
  </si>
  <si>
    <t>Other Recurring Services</t>
  </si>
  <si>
    <t>Water (Overseas)</t>
  </si>
  <si>
    <t>A001CG</t>
  </si>
  <si>
    <t>A001CH</t>
  </si>
  <si>
    <t>Unidirectional Flushing (UDF) Plan</t>
  </si>
  <si>
    <t>Well Development and Water Treatment and Distribution System Support</t>
  </si>
  <si>
    <t>Transportation</t>
  </si>
  <si>
    <t>A001CK</t>
  </si>
  <si>
    <t>Bus Services</t>
  </si>
  <si>
    <t>Environmental</t>
  </si>
  <si>
    <t>A001CL</t>
  </si>
  <si>
    <t>Oil and Hazardous Substance (OHS) Spill Response and Cleanup Ashore</t>
  </si>
  <si>
    <t>CNRE SUBTOTAL:</t>
  </si>
  <si>
    <t>AMC - Specification 1503010, Spec Item 3</t>
  </si>
  <si>
    <t>Scheduled Custodial Services, Spec Item 3.1</t>
  </si>
  <si>
    <t>Reserved</t>
  </si>
  <si>
    <t>AMC - CNRE Funded SUBTOTAL:</t>
  </si>
  <si>
    <t>A002</t>
  </si>
  <si>
    <t>MWR (Morale, Welfare, and Recreation) - CNRE FUNDED</t>
  </si>
  <si>
    <t>A002AA</t>
  </si>
  <si>
    <t>A002AB</t>
  </si>
  <si>
    <t>A002AC</t>
  </si>
  <si>
    <t>A002AD</t>
  </si>
  <si>
    <t>A002AE</t>
  </si>
  <si>
    <t>A002AG</t>
  </si>
  <si>
    <t>MWR - SUBTOTAL:</t>
  </si>
  <si>
    <t>A003</t>
  </si>
  <si>
    <t>NEXCOM (Navy Exchange) - CNRE FUNDED</t>
  </si>
  <si>
    <t>A003AA</t>
  </si>
  <si>
    <t>A003AB</t>
  </si>
  <si>
    <t>NEXCOM - SUBTOTAL:</t>
  </si>
  <si>
    <t>A004</t>
  </si>
  <si>
    <t>HAZMIN Center  - CNRE FUNDED</t>
  </si>
  <si>
    <t>A004AA</t>
  </si>
  <si>
    <t>A004AB</t>
  </si>
  <si>
    <t>HAZMIN Center - SUBTOTAL:</t>
  </si>
  <si>
    <t>A005</t>
  </si>
  <si>
    <t>BOA (Bank of America)</t>
  </si>
  <si>
    <t>A005AA</t>
  </si>
  <si>
    <t>A005AB</t>
  </si>
  <si>
    <t>BOA SUBTOTAL:</t>
  </si>
  <si>
    <t>A006</t>
  </si>
  <si>
    <t xml:space="preserve">AMC (Air Mobility Command) </t>
  </si>
  <si>
    <t>A006AA</t>
  </si>
  <si>
    <t>A006AB</t>
  </si>
  <si>
    <t>A006AC</t>
  </si>
  <si>
    <t>A006AD</t>
  </si>
  <si>
    <t>A006AE</t>
  </si>
  <si>
    <t>A006AF</t>
  </si>
  <si>
    <t>A006AG</t>
  </si>
  <si>
    <t>AMC SUBTOTAL:</t>
  </si>
  <si>
    <t>A007</t>
  </si>
  <si>
    <t xml:space="preserve">DHA (Defense Health Agency) </t>
  </si>
  <si>
    <t>A007AA</t>
  </si>
  <si>
    <t>A007AB</t>
  </si>
  <si>
    <t>A007AC</t>
  </si>
  <si>
    <t>A007AD</t>
  </si>
  <si>
    <t>3.3.1</t>
  </si>
  <si>
    <t>Interior and Exterior Lighting Systems</t>
  </si>
  <si>
    <t>A007AE</t>
  </si>
  <si>
    <t>A007AF</t>
  </si>
  <si>
    <t>A007AG</t>
  </si>
  <si>
    <t>3.3.4</t>
  </si>
  <si>
    <t>Compressed Air Systems</t>
  </si>
  <si>
    <t>A007AH</t>
  </si>
  <si>
    <t>Auxiliary Generators</t>
  </si>
  <si>
    <t>A007AJ</t>
  </si>
  <si>
    <t>3.3.6</t>
  </si>
  <si>
    <t>Uninterruptable Power Supply Systems (UPS)</t>
  </si>
  <si>
    <t>A007AK</t>
  </si>
  <si>
    <t>3.3.7</t>
  </si>
  <si>
    <t>Medical Air, Gas, and Vacuum Systems</t>
  </si>
  <si>
    <t>A007AL</t>
  </si>
  <si>
    <t>3.3.8</t>
  </si>
  <si>
    <t>Communication Systems</t>
  </si>
  <si>
    <t>A007AM</t>
  </si>
  <si>
    <t>3.3.9</t>
  </si>
  <si>
    <t>Intrusion Detection Systems</t>
  </si>
  <si>
    <t>A007AN</t>
  </si>
  <si>
    <t>3.3.10</t>
  </si>
  <si>
    <t>Closed Circuit Surveillance Systems</t>
  </si>
  <si>
    <t>A007AP</t>
  </si>
  <si>
    <t>3.3.11</t>
  </si>
  <si>
    <t>Automatic, Fire, and Roll-Up Doors</t>
  </si>
  <si>
    <t>A007AQ</t>
  </si>
  <si>
    <t>3.3.13</t>
  </si>
  <si>
    <t>Facility Electric System</t>
  </si>
  <si>
    <t>A007AR</t>
  </si>
  <si>
    <t>3.3.14</t>
  </si>
  <si>
    <t>Reverse Osmosis and Water Purification System</t>
  </si>
  <si>
    <t>A007AS</t>
  </si>
  <si>
    <t>A007AT</t>
  </si>
  <si>
    <t>Overhead and Roll-Up Doors</t>
  </si>
  <si>
    <t>A007AU</t>
  </si>
  <si>
    <t>A007AV</t>
  </si>
  <si>
    <t>3.3.20</t>
  </si>
  <si>
    <t>Emergency Eye Wash Station</t>
  </si>
  <si>
    <t>A007AW</t>
  </si>
  <si>
    <t>A007AX</t>
  </si>
  <si>
    <t>A007AY</t>
  </si>
  <si>
    <t>A007AZ</t>
  </si>
  <si>
    <t>A007BA</t>
  </si>
  <si>
    <t>3.5.1</t>
  </si>
  <si>
    <t>A007BB</t>
  </si>
  <si>
    <t>A007BC</t>
  </si>
  <si>
    <t>A007BD</t>
  </si>
  <si>
    <t>A007BE</t>
  </si>
  <si>
    <t>A007BF</t>
  </si>
  <si>
    <t>3.6.11</t>
  </si>
  <si>
    <t>Miscellaneous Equipment</t>
  </si>
  <si>
    <t>A007BG</t>
  </si>
  <si>
    <t>3.6.16</t>
  </si>
  <si>
    <t>Lift Station Maintenance</t>
  </si>
  <si>
    <t>MTF Other/Special Cleaning Services (DHA)</t>
  </si>
  <si>
    <t>DHA SUBTOTAL:</t>
  </si>
  <si>
    <t>A008</t>
  </si>
  <si>
    <t>DeCA (Defense Commissary Agency)</t>
  </si>
  <si>
    <t>A008AA</t>
  </si>
  <si>
    <t>A008AB</t>
  </si>
  <si>
    <t>A008AC</t>
  </si>
  <si>
    <t>A008AD</t>
  </si>
  <si>
    <t>A008AE</t>
  </si>
  <si>
    <t>DeCA SUBTOTAL:</t>
  </si>
  <si>
    <t>A009</t>
  </si>
  <si>
    <t>DCS (Defense Courier Service)</t>
  </si>
  <si>
    <t>A009AA</t>
  </si>
  <si>
    <t>DCS SUBTOTAL:</t>
  </si>
  <si>
    <t>A010</t>
  </si>
  <si>
    <t>DoDEA (Department of Defense Education Activity)</t>
  </si>
  <si>
    <t>A010AA</t>
  </si>
  <si>
    <t>DoDEA SUBTOTAL:</t>
  </si>
  <si>
    <t>A011</t>
  </si>
  <si>
    <t>DLA DISTRIBUTION</t>
  </si>
  <si>
    <t>A011AA</t>
  </si>
  <si>
    <t>A011AB</t>
  </si>
  <si>
    <t>A011AC</t>
  </si>
  <si>
    <t>A011AD</t>
  </si>
  <si>
    <t>A011AE</t>
  </si>
  <si>
    <t>A011AF</t>
  </si>
  <si>
    <t>A011AG</t>
  </si>
  <si>
    <t>A011AH</t>
  </si>
  <si>
    <t>A011AJ</t>
  </si>
  <si>
    <t>A011AK</t>
  </si>
  <si>
    <t>3.6.12</t>
  </si>
  <si>
    <t>Fall Protection Lifeline Systems Inspection and Certification</t>
  </si>
  <si>
    <t>A011AL</t>
  </si>
  <si>
    <t>A011AM</t>
  </si>
  <si>
    <t>A011AN</t>
  </si>
  <si>
    <t>A011AP</t>
  </si>
  <si>
    <t>DLA DISTRIBUTION SUBTOTAL:</t>
  </si>
  <si>
    <t>A012</t>
  </si>
  <si>
    <t>DLA DISPOSITION</t>
  </si>
  <si>
    <t>A012AA</t>
  </si>
  <si>
    <t>A012AB</t>
  </si>
  <si>
    <t>A012AC</t>
  </si>
  <si>
    <t>A012AD</t>
  </si>
  <si>
    <t>DLA DISPOSITION SUBTOTAL:</t>
  </si>
  <si>
    <t>A013</t>
  </si>
  <si>
    <t>NAVSUP FUELS - DLA ENERGY FUNDED</t>
  </si>
  <si>
    <t>A013AA</t>
  </si>
  <si>
    <t>A013AB</t>
  </si>
  <si>
    <t>A013AC</t>
  </si>
  <si>
    <t>A013AD</t>
  </si>
  <si>
    <t>A013AE</t>
  </si>
  <si>
    <t>A013AF</t>
  </si>
  <si>
    <t>POL Fuel Depot Facilities and Distribution Systems</t>
  </si>
  <si>
    <t>Aviation Fuel Support Systems</t>
  </si>
  <si>
    <t>3.3.25</t>
  </si>
  <si>
    <t>Vehicle Fueling Station Systems</t>
  </si>
  <si>
    <t>NAVSUP FUELS - DLA ENERGY FUNDED SUBTOTAL:</t>
  </si>
  <si>
    <t>A014</t>
  </si>
  <si>
    <t>Family Housing</t>
  </si>
  <si>
    <t>A014AA</t>
  </si>
  <si>
    <t>Family Housing (FH) Maintenance and Repairs</t>
  </si>
  <si>
    <t>A014AB</t>
  </si>
  <si>
    <t>3.1.1.1</t>
  </si>
  <si>
    <t>A014AC</t>
  </si>
  <si>
    <t>3.1.1.2</t>
  </si>
  <si>
    <t>A014AD</t>
  </si>
  <si>
    <t>3.1.1.3</t>
  </si>
  <si>
    <t>A014AE</t>
  </si>
  <si>
    <t>Scheduled Roof Cleaning</t>
  </si>
  <si>
    <t>A014AF</t>
  </si>
  <si>
    <t>A014AG</t>
  </si>
  <si>
    <t>A014AH</t>
  </si>
  <si>
    <t>A014AJ</t>
  </si>
  <si>
    <t>A014AK</t>
  </si>
  <si>
    <t>A014AL</t>
  </si>
  <si>
    <t>A014AM</t>
  </si>
  <si>
    <t>A014AN</t>
  </si>
  <si>
    <t>A014AP</t>
  </si>
  <si>
    <t>A014AQ</t>
  </si>
  <si>
    <t>A014AR</t>
  </si>
  <si>
    <t>HOUSING SUBTOTAL:</t>
  </si>
  <si>
    <t>A015</t>
  </si>
  <si>
    <t xml:space="preserve">UNACCOMPANIED HOUSING </t>
  </si>
  <si>
    <t>A015AA</t>
  </si>
  <si>
    <t>Unaccompanied Housing (UH) Maintenance and Repairs</t>
  </si>
  <si>
    <t>A015AB</t>
  </si>
  <si>
    <t>Change of Occupancy Maintenance (COM) Services</t>
  </si>
  <si>
    <t>A015AC</t>
  </si>
  <si>
    <t>Laundry Room Servicing</t>
  </si>
  <si>
    <t>UNACCOMPANIED HOUSING SUBTOTAL:</t>
  </si>
  <si>
    <t>A016</t>
  </si>
  <si>
    <t>GLOBAL HAWK</t>
  </si>
  <si>
    <t>A016AA</t>
  </si>
  <si>
    <t>A016AB</t>
  </si>
  <si>
    <t>A016AC</t>
  </si>
  <si>
    <t>A016AD</t>
  </si>
  <si>
    <t>A016AE</t>
  </si>
  <si>
    <t>A016AF</t>
  </si>
  <si>
    <t>A016AG</t>
  </si>
  <si>
    <t>A016AH</t>
  </si>
  <si>
    <t>A016AJ</t>
  </si>
  <si>
    <t>Facility Electric Systems</t>
  </si>
  <si>
    <t>A016AK</t>
  </si>
  <si>
    <t>A016AL</t>
  </si>
  <si>
    <t>A016AM</t>
  </si>
  <si>
    <t>Hangar Door</t>
  </si>
  <si>
    <t>A016AN</t>
  </si>
  <si>
    <t>A016AP</t>
  </si>
  <si>
    <t>Emergency Eyewash Station</t>
  </si>
  <si>
    <t>A016AQ</t>
  </si>
  <si>
    <t>Vehicle Arrestor System</t>
  </si>
  <si>
    <t>A016AR</t>
  </si>
  <si>
    <t>3.3.26</t>
  </si>
  <si>
    <t>Flood Gate</t>
  </si>
  <si>
    <t>A016AS</t>
  </si>
  <si>
    <t>A016AT</t>
  </si>
  <si>
    <t>A016AU</t>
  </si>
  <si>
    <t>A016AV</t>
  </si>
  <si>
    <t>A016AW</t>
  </si>
  <si>
    <t>A016AX</t>
  </si>
  <si>
    <t>A016AY</t>
  </si>
  <si>
    <t>A016AZ</t>
  </si>
  <si>
    <t>3.6.6</t>
  </si>
  <si>
    <t>Gutter Maintenance</t>
  </si>
  <si>
    <t>A016BA</t>
  </si>
  <si>
    <t>A016BB</t>
  </si>
  <si>
    <t>A016BC</t>
  </si>
  <si>
    <t>A016BD</t>
  </si>
  <si>
    <t xml:space="preserve">Scheduled Pest Control </t>
  </si>
  <si>
    <t>A016BE</t>
  </si>
  <si>
    <t>A016BF</t>
  </si>
  <si>
    <t>A016BG</t>
  </si>
  <si>
    <t>GLOBAL HAWK SUBTOTAL:</t>
  </si>
  <si>
    <t>A017</t>
  </si>
  <si>
    <t>NCIS</t>
  </si>
  <si>
    <t>A017AA</t>
  </si>
  <si>
    <t>A017AB</t>
  </si>
  <si>
    <t>NCIS SUBTOTAL:</t>
  </si>
  <si>
    <t>A018</t>
  </si>
  <si>
    <t>NAVY LODGE</t>
  </si>
  <si>
    <t>A018AA</t>
  </si>
  <si>
    <t>A018AB</t>
  </si>
  <si>
    <t>A018AC</t>
  </si>
  <si>
    <t>A018AD</t>
  </si>
  <si>
    <t>NAVY LODGE SUBTOTAL:</t>
  </si>
  <si>
    <t>A019</t>
  </si>
  <si>
    <t>NGIS</t>
  </si>
  <si>
    <t>A019AA</t>
  </si>
  <si>
    <t>A019AB</t>
  </si>
  <si>
    <t>A019AC</t>
  </si>
  <si>
    <t>A019AD</t>
  </si>
  <si>
    <t>A019AE</t>
  </si>
  <si>
    <t>NGIS SUBTOTAL:</t>
  </si>
  <si>
    <t>A020</t>
  </si>
  <si>
    <t>SPACE FORCE</t>
  </si>
  <si>
    <t>A020AA</t>
  </si>
  <si>
    <t>A020AB</t>
  </si>
  <si>
    <t>A020AC</t>
  </si>
  <si>
    <t>A020AD</t>
  </si>
  <si>
    <t>A020AE</t>
  </si>
  <si>
    <t>A020AF</t>
  </si>
  <si>
    <t>A020AG</t>
  </si>
  <si>
    <t>A020AH</t>
  </si>
  <si>
    <t>A020AJ</t>
  </si>
  <si>
    <t>A020AK</t>
  </si>
  <si>
    <t>A020AL</t>
  </si>
  <si>
    <t>A020AM</t>
  </si>
  <si>
    <t>A020AN</t>
  </si>
  <si>
    <t>A020AP</t>
  </si>
  <si>
    <t>A020AQ</t>
  </si>
  <si>
    <t>A020AR</t>
  </si>
  <si>
    <t>SPACE FORCE SUBTOTAL:</t>
  </si>
  <si>
    <t>A021</t>
  </si>
  <si>
    <t>DLA ENERGY</t>
  </si>
  <si>
    <t>A021AA</t>
  </si>
  <si>
    <t>DLA ENERGY SUBTOTAL:</t>
  </si>
  <si>
    <t>EXHIBIT A - BASE PERIOD - NON-RECURRING WORK</t>
  </si>
  <si>
    <t>CLIN 0002</t>
  </si>
  <si>
    <t xml:space="preserve">Non-Recurring Work Price - Base Period </t>
  </si>
  <si>
    <r>
      <t xml:space="preserve">PROVIDE PRICES TO PERFORM NON-RECURRING WORK - IN ACCORDANCE WITH SECTION C, SPEC ITEM 4, </t>
    </r>
    <r>
      <rPr>
        <b/>
        <sz val="10"/>
        <rFont val="Times New Roman"/>
        <family val="1"/>
      </rPr>
      <t>AND TO PRICE ADDITIONS AND DELITIONS TO THE RECURRING WORK REQUIREMENTS</t>
    </r>
    <r>
      <rPr>
        <sz val="10"/>
        <rFont val="Times New Roman"/>
        <family val="1"/>
      </rPr>
      <t xml:space="preserve"> - IN ACCORDANCE WITH ANNEX 0200000, SPEC ITEM 2.14.1, RECURRING WORK PREPARATION OF PROPOSAL</t>
    </r>
  </si>
  <si>
    <t>ELINs A700 THROUGH A1032</t>
  </si>
  <si>
    <t>ELIN</t>
  </si>
  <si>
    <t>Annex/Sub-Annex</t>
  </si>
  <si>
    <t>Short Description</t>
  </si>
  <si>
    <t>Long Description</t>
  </si>
  <si>
    <t>Unit Price    (USD)</t>
  </si>
  <si>
    <t xml:space="preserve">Unit of Issue </t>
  </si>
  <si>
    <t>Estimated Quantities</t>
  </si>
  <si>
    <t>Extended Price (USD)</t>
  </si>
  <si>
    <t>UNIT PRICED TASK (UPT) WORK</t>
  </si>
  <si>
    <t>Management and Administration</t>
  </si>
  <si>
    <t>A700</t>
  </si>
  <si>
    <t>Naval Hospital Disaster Exercise Staff Support Requirements</t>
  </si>
  <si>
    <t>Provide labor, management, supervision, tools, material and equipment to provide onsite labor at Building 273, NAS I, to support Naval Hospital disaster exercises within response and completion times specified in J-0200000-10, Naval Hospital Disaster Exercise Support Requirements (Non-Recurring/IDIQ), Section J.  Respond within 1 working day or as specified in the orders.</t>
  </si>
  <si>
    <t>EA</t>
  </si>
  <si>
    <t>A701-A705</t>
  </si>
  <si>
    <t xml:space="preserve">Family Housing </t>
  </si>
  <si>
    <t>A706</t>
  </si>
  <si>
    <t>FH Change of Occupancy Maintenance (COM)</t>
  </si>
  <si>
    <t xml:space="preserve">Provide labor, management, supervision, tools, material and equipment to perform Change of Occupancy Maintenance including all requirements per J-1401000-07 Performance Objectives and Standards, J-1401000-08 Change of Occupancy Maintenance Notice of Vacancy and Work Completion, J-1401000-09 FH Change of Occupancy Maintenance Checklist, and J-1401000-10 Listing of FH Change of Occupancy Maintenance Tasks, Section J, at the ordered location.  Complete all work within 3 working days or as specified in the order.
</t>
  </si>
  <si>
    <t>A707</t>
  </si>
  <si>
    <t>FH Bathtub Replacement</t>
  </si>
  <si>
    <t>Provide labor, management, supervision, tools, material and equipment to replace a bathtub with a new commercial grade fixture including removal of existing tub and installation of new shower valves and caulking at the ordered location.  Where appropriate, single handle control valves shall be used.  Complete all work within 3 working days during COM or as specified in the order.</t>
  </si>
  <si>
    <t>A708</t>
  </si>
  <si>
    <t>FH Bathtub Liner Replacement</t>
  </si>
  <si>
    <t>Provide labor, management, supervision, tools, material and equipment to replace a bathtub liner with a new commercial grade to match existing tub color including removal of existing liner and caulking of joints at the ordered location.  Finished product shall be free of voids, loose spots, and cover tub from edge to edge and floor.  Complete all work within 3 working days during COM or as specified in the order.</t>
  </si>
  <si>
    <t>A709</t>
  </si>
  <si>
    <t>FH Bathtub and Shower Control Valves Replacement</t>
  </si>
  <si>
    <t>Provide labor, management, supervision, tools, material and equipment to replace bathtub and shower control valves having new commercial grade bright chrome finish to match existing including removal of existing valves and caulking of joints at the ordered location.  Complete all work within 3 working days during COM or as specified in the order.</t>
  </si>
  <si>
    <t>A710</t>
  </si>
  <si>
    <t>FH Kitchen Sink Replacement</t>
  </si>
  <si>
    <t>Provide labor, management, supervision, tools, material and equipment to replace a kitchen sink with new sink to match existing to include removal of existing sink, single chrome finish control high spout kitchen faucet with spray arm, continuous waste drain and p-trap at the ordered location.  Completed installation shall be free of leaks and present a finished appearance.  Complete all work within 3 working days during COM or as specified in the order.</t>
  </si>
  <si>
    <t>A711</t>
  </si>
  <si>
    <t>FH Countertop Replacement</t>
  </si>
  <si>
    <t>Provide labor, management, supervision, tools, material and equipment to replace a countertop to include removal of existing top, removal and reinstallation of sink, and installation of new granite top as specified, sealing/grouting of joints per manufacturer's recommendations, 10 centimeter back splash, and drip edge at the ordered location.  Complete all work within 3 working days during COM or as specified in the order.</t>
  </si>
  <si>
    <t>A712</t>
  </si>
  <si>
    <t>FH Cabinet Doors Replacement</t>
  </si>
  <si>
    <t>Provide labor, management, supervision, tools, material and equipment to replace cabinet doors with new doors to match existing door style, materials and finish to include removal of existing doors, new hinges, latch and handle hardware at the specified location.  Complete all work within 3 working days during COM or as specified in the order.</t>
  </si>
  <si>
    <t>A713</t>
  </si>
  <si>
    <t>FH Exhaust Hood Replacement</t>
  </si>
  <si>
    <t>Provide labor, management, supervision, tools, material and equipment to replace a range exhaust hood with new hood to  match existing to include removal of existing hood at the ordered location.  New hood shall be complete with removable washable filtering element, 3 speed fan, and 2 level light.  Complete all work within 3 working days during COM or as specified in the order.</t>
  </si>
  <si>
    <t>A714</t>
  </si>
  <si>
    <t>FH Screen Door Replacement</t>
  </si>
  <si>
    <t>Provide labor, management, supervision, tools, material and equipment to replace an exterior screen door with new aluminum security type door (approx. 210 x 85 centimeters) to match existing opening to include removal of existing door, new deadbolt locking system and minimum of 2 sets of keys at the ordered location.  Complete all work within 3 working days during COM or as specified in the order.</t>
  </si>
  <si>
    <t>A715</t>
  </si>
  <si>
    <t xml:space="preserve">FH Door Replacement (Exterior and Interior)  </t>
  </si>
  <si>
    <t>Provide labor, management, supervision, tools, material and equipment to replace an exterior or interior door with new door to match existing style, wood species and finish to include removal of existing door, touchup of scratches and nicks in adjoining frame, and reinstallation of existing hardware where unrepairable at the ordered location.  Exterior doors shall be solid core (not core filled) and replaced the same day work is started.  Metal exterior doors shall meet the industrial standards requirements for thermos insulated pre-factory finished exterior doors and frames.  Doors shall be plumbed and planed (to include appropriate bevel) to provide a minimum 3 millimeter finished clearance between door and adjoining head and jambs, and trimmed to provide adequate clearance above the floor.  Complete all work within 3 working days during COM or as specified in the order.</t>
  </si>
  <si>
    <t>A716</t>
  </si>
  <si>
    <t>FH Ceramic Tile Replacement</t>
  </si>
  <si>
    <t>Provide labor, management, supervision, tools, material and equipment to replace ceramic tile with new tile to match existing on floors, walls, and window stools where broken, missing, cracked or discolored to include removal of existing tiles and grouting of new tiles at the ordered location.  Marble saddles shall be replaced where damaged.  Floor tiles shall be grouted as required to provide a waterproof seal.  Where exact match is no longer available, remove and replace nondefective tiles to create a pattern to minimize visual effect of the style/color mismatch.  Complete all work within 3 working days during COM or as specified in the order.</t>
  </si>
  <si>
    <t>SM</t>
  </si>
  <si>
    <t>A717</t>
  </si>
  <si>
    <t xml:space="preserve">FH Terrazzo Tile Replacement  </t>
  </si>
  <si>
    <t>Provide labor, management, supervision, tools, material and equipment to replace terrazzo tile with new tile to match existing where broken, missing, cracked, spalled or discolored to include removal of defective tiles and grouting of new tiles at the ordered location.  Floor tiles shall be regrouted as required to provide a waterproof seal.  Where exact match is no longer available, remove and replace nondefective tiles to create a pattern to minimize visual effect of the style/color mismatch.  Complete all work within 3 working days during COM or as specified in the order.</t>
  </si>
  <si>
    <t>A718-A729</t>
  </si>
  <si>
    <t xml:space="preserve">Unaccompanied Housing </t>
  </si>
  <si>
    <t>A730</t>
  </si>
  <si>
    <t>Bachelor Quarters Small Unit COM (Single Bedroom)</t>
  </si>
  <si>
    <t>Provide labor, management, supervision, tools, material and equipment to perform complete Change of Occupancy Maintenance in a small BQ unit including all requirements per J-1402000-04 Change of Occupancy Maintenance Objectives and Standards and J-1402000-05 Listing of Change of Occupancy Maintenance Tasks in Section J at the ordered location.  Complete all work within 2 working days during COM or as specified in the order.</t>
  </si>
  <si>
    <t>A731</t>
  </si>
  <si>
    <t>Bachelor Quarters Common Area COM (Kitchette/Bathroom)</t>
  </si>
  <si>
    <t>Provide labor, management, supervision, tools, material and equipment to perform complete Change of Occupancy Maintenance in a BQ unit common area including all requirements per J-1402000-04 Change of Occupancy Maintenance Objectives and Standards and J-1402000-05 Listing of Change of Occupancy Maintenance Tasks in Section J at the ordered location.  Complete all work within 2 working days during COM or as specified in the order.</t>
  </si>
  <si>
    <t>A732</t>
  </si>
  <si>
    <t>Bachelor Quarters Small Unit Painting (Single Bedroom)</t>
  </si>
  <si>
    <t>Provide labor, management, supervision, tools, material and equipment to perform complete painting of a BQ small unit at the designated location.  Complete all work within 2 working days during COM or as specified in the order.</t>
  </si>
  <si>
    <t>A733</t>
  </si>
  <si>
    <t>Bachelor Quarters Common Area Painting (Kitchette/Bathroom)</t>
  </si>
  <si>
    <t>Provide labor, management, supervision, tools, material and equipment to perform complete painting of a BQ common area including labor and materials at the designated location.  Complete all work within 2 working days during COM or as specified in the order.</t>
  </si>
  <si>
    <t>A734-A749</t>
  </si>
  <si>
    <t>A750</t>
  </si>
  <si>
    <t>Roof Surface Cleaning</t>
  </si>
  <si>
    <t>Provide labor, management, supervision, tools, material and equipment to clean entire surfaces of a facility roof including strainer(s) at the designated location.  Complete all work within 3 working days or as specified in the order.</t>
  </si>
  <si>
    <t>A751</t>
  </si>
  <si>
    <t>Multi-story Roof Gutter Cleaning</t>
  </si>
  <si>
    <t>Provide labor, management, supervision, tools, material and equipment to clean all roof gutters on a multi-story facility roof including downspouts and any underground drainage systems at the designated location(s).  Work includes realigning and resecuring of gutters and downspouts where loose, sealing where leaking, and repair or replacement where damaged or missing.  Complete all work within 3 working days or as specified in the order.</t>
  </si>
  <si>
    <t>MR</t>
  </si>
  <si>
    <t>A752</t>
  </si>
  <si>
    <t>Interior Painting</t>
  </si>
  <si>
    <t>Provide labor, management, supervision, tools, material and equipment to paint interior surfaces of facilities using washable interior latex paint having a flat, semi-gloss or gloss finish and color as specified in the task order.  Work includes surface preparation, priming and application of 2 finish coats of paint.  All products shall be lead-free, odorless, nontoxic, and compatible with surfaces where being used.  Complete all work within 3 working days or as specified in the order.</t>
  </si>
  <si>
    <t>A753</t>
  </si>
  <si>
    <t>Exterior Painting</t>
  </si>
  <si>
    <t>Provide labor, management, supervision, tools, material and equipment to paint exterior surfaces of facilities using acrylic resin exterior type paint with and without quartz having a flat, semi-gloss or gloss finish and color as specified in the task order.  Work includes surface preparation, priming and application of 2 roller applied finish coats of paint.  All products shall be lead-free, odorless, nontoxic, and compatible with surfaces where being used.  Complete all work within 3 working days or as specified in the order.</t>
  </si>
  <si>
    <t>A754</t>
  </si>
  <si>
    <t>Septic Tank Sludge Removal</t>
  </si>
  <si>
    <t>Provide labor, management, supervision, tools, material and equipment to remove, weight and dispose of sludge from septic tanks at the designated location(s).  Work includes pumping, removal of sludge, disposal of sludge and all transportation and disposal costs.  Minimum quantity 500Kg.  Sewage pipe cleaning not included.  Complete all work within 3 working days or as specified in the order.</t>
  </si>
  <si>
    <t>KG</t>
  </si>
  <si>
    <t>A755</t>
  </si>
  <si>
    <t>Magnetic Key Card Locking Mechanism Replacement</t>
  </si>
  <si>
    <t>Provide labor, management, supervision, tools, material and equipment to replace magnetic key card locksets in doors per technical specification 1502000, Section C.   Complete all work within 1 working days or as specified in the order.</t>
  </si>
  <si>
    <t>A756</t>
  </si>
  <si>
    <t>Portable Toilet Cabin</t>
  </si>
  <si>
    <t>Provide labor, management, supervision, tools, material and equipment required to provide, deliver, clean and service portable toilet cabin(s) to specified location(s).  Unit price per day/per toilet.  General characteristics of the toilet cabins shall be as follows:  Chemical operating WC; Thermosetting plastic composition white walls; Anti-skid plastic composition footboard; Sling hook for crane; Air grids and locks; Male/female external selector; Soap and toilet paper dispensers; Cleaning brush; Pedal flush; Pedal sink faucet; Mirror, Anti-vandalism door. Autonomy: approx. 250 uses.  The Contractor shall clean and service portable toilet cabin(s) once per day as specified in the order to ensure all surfaces are cleaned, disinfected and deodorized, supplies are restocked, waste is removed and disposed of, and chemical are provided.  The Contractor shall dispose of waste resulting from the use of portable toilet cabin(s) in accordance with all applicable Italian regulations.  Portable toilet cabin(s) shall be removed within 1 working day past requirement termination.  Delivery shall be completed within 2 calendar days or as specified in the order.  Cost is based on a minimum 3 calendar days per unit (unit cost shall be per calendar day).</t>
  </si>
  <si>
    <t>A757</t>
  </si>
  <si>
    <t>Bathroom Fixtures Replacement - Soap Dispenser</t>
  </si>
  <si>
    <t>Provide labor, management, supervision, tools, material and equipment to supply and install new stainless steel soap dispenser.  Provide customer with standard pre-approved fixture cut-sheets prior to installation for review.  Complete all work within 3 working days or as specified in the order.</t>
  </si>
  <si>
    <t>A758</t>
  </si>
  <si>
    <t>Bathroom Fixtures Replacement - Paper Towel Dispenser</t>
  </si>
  <si>
    <t>Provide labor, management, supervision, tools, material and equipment to supply and install new stainless steel paper towel dispenser.  Provide customer with standard pre-approved fixture cut-sheets prior to installation for review.  Complete all work within 3 working days or as specified in the order.</t>
  </si>
  <si>
    <t>A759</t>
  </si>
  <si>
    <t>Bathroom Fixtures Replacement - Toilet Paper Dispenser</t>
  </si>
  <si>
    <t>Provide labor, management, supervision, tools, material and equipment to supply and install new stainless steel toilet paper dispenser.  Provide customer with standard pre-approved fixture cut-sheets prior to installation for review.  Complete all work within 3 working days or as specified in the order.</t>
  </si>
  <si>
    <t>A760</t>
  </si>
  <si>
    <t>Leak Detection Services</t>
  </si>
  <si>
    <t>Provide labor, management, supervision, tools, material and equipment to perform acoustic or other types of testing to find leaks and other subsurface utilities up to 100 linear meters. Contractor shall submit results of testing in duplicate hard copy format consistent with accepted standards and practices indicating locations o potential leaks.  Complete all work within 2 working days or as specified in the order.</t>
  </si>
  <si>
    <t>A761</t>
  </si>
  <si>
    <t>Video Inspection</t>
  </si>
  <si>
    <t>Provide labor, management, supervision, tools, material and equipment required to perform video inspection of pipes and other confined spaces with video equipment up to 100 linear meters.  Provide inspections results on DVD for government review and approval in duplicate prior to finalizing payment.  Complete all work within 2 working days or as specified in the order.</t>
  </si>
  <si>
    <t>A762</t>
  </si>
  <si>
    <t>Manlift Rental with Operator</t>
  </si>
  <si>
    <t>Provide labor, management, supervision, tools, material and equipment required to rent manlift including operator per day.  Manlift boom length shall be up to 35 meters.  Contractor shall submit site-specific fall protection plan and provide daily safety and operational brief for personnel. This item is restricted to Public Works Department ordering.  Complete all work within 2 working days or as specified in the order.</t>
  </si>
  <si>
    <t>DA</t>
  </si>
  <si>
    <t>A763</t>
  </si>
  <si>
    <t>Hangar High Bay LED Lighting Fixture Replacement</t>
  </si>
  <si>
    <t>Provide labor, management, supervision, tools, material and equipemnt required to replace 10-15 meters high hangar lighting.  This requirment includes the use of appropriate equipment like scissor lift, scaffolding, or bucket truck (must be able to reach between 10 and 15 meters high depending on the hangar location).  The Contractor shall follow all safety procedures for working at heights, such as using harnesses and ensuring proper fall protection is in place.  Lights are up to 2500lumen, 400W each (230V/110V depending on the location).  The Contractor shall replace entire lighting fixtures IAW manufacturers’ recommended procedures and OEM standards.  Complete all work within 2 working days or as specified in the order.</t>
  </si>
  <si>
    <t>A764</t>
  </si>
  <si>
    <t>Roads and Parking Lots Maintenance - Asphalt</t>
  </si>
  <si>
    <t>Provide labor, management, supervision, tools, material and equipemnt required to road and parking lots maintenance and reparis, to include repair of of potholes on asphal roads.  Tasks include but are not limited to:
i. Preparation:
a. - Identify and Mark:
Locate the pothole and mark the area to be repaired, usually extending slightly beyond the damaged area. 
b. Remove Debris:
 - Clear the pothole of loose material, water, and any debris that might hinder the repair. 
c. Cut and Excavate: If necessary, cut the edges of the pothole to create a square or rectangular shape and remove damaged pavement to reach a stable base. 
d. Trim and Compact Base: Ensure the base of the pothole is trimmed and compacted for proper support. 
ii. Application:
a. Tack Coat: Apply a bonding agent (tack coat) to the edges of the excavation to ensure a strong bond between the existing pavement and the new patching material. 
b. Fill with Patching Material: Backfill the pothole with appropriate patching material, which could be hot mix asphalt or a heated cold mix. 
iii. Compaction:
Compact the patching material thoroughly using a roller, plate compactor, or other suitable equipment. 
iv. Finishing:
a. Seal Joints: Seal the edges of the patch to prevent water infiltration. 
b. Clean Up: Remove any excess material or debris from the repaired area.
c. Restriping: Where needed, restripe horizontal markings (road limits, stop signs and/or pedestrian crossing lines and similar).                                                                                            Complete all work within 5 working days or as specified in the order.</t>
  </si>
  <si>
    <t>A765</t>
  </si>
  <si>
    <t>Roads and Parking Lots Maintenance</t>
  </si>
  <si>
    <t>Provide labor, management, supervision, tools, material and equipemnt required to road and parking lots maintenance and reparis, to include repair of of potholes, bumps and erosion on dirt road. Tasks include but are not limited to:
i. Grading:
Level the road surface, removing ruts and wash boarding, and reshaping the road crown
ii. Pothole Patching:
Backfill potholes with approved material for the area involved
iii Drainage Maintenance:
Clearing ditches and culverts to ensure water can flow freely away from the road surface
iv. Shoulder Maintenance:
Provide a stable edge to the road and ensure proper drainage                                                                                          Complete all work within 5 working days or as specified in the order.</t>
  </si>
  <si>
    <t>A766</t>
  </si>
  <si>
    <t>Pressure Washing Service - Dirt Road</t>
  </si>
  <si>
    <t>Provide labor, management, supervision, tools, materials, and equipment required to perform pressure washing of asphalt and concrete roads, parking areas, sidewalks, exterior stairs, and exterior walls at designated locations. This includes the removal of debris, dirt, grime, oil, grease, moss, algae, mildew, and other surface contaminants. Surfaces shall be pre-treated as necessary to ensure effective cleaning while preventing damage."  This may require work after normal working hours to prevent disruption to operations. Complete all work within 3 working days or as specified in the order.</t>
  </si>
  <si>
    <t>A767-A779</t>
  </si>
  <si>
    <t>A780</t>
  </si>
  <si>
    <t>Vacuum Carpets and Rugs</t>
  </si>
  <si>
    <t>Provide labor, management, supervision, tools, material, and equipment required to vacuum carpets and rugs to ensure they are clean.  Complete all work within 3 working days or as specified in the order.</t>
  </si>
  <si>
    <t>A781</t>
  </si>
  <si>
    <t>Carpet and Rug Deep Cleaning</t>
  </si>
  <si>
    <t>Provide labor, management, supervision, tools, material, and equipment required to carpet and rug deep cleaning.  The Contractor shall deep clean carpets and rugs to ensure that floors are clean and sightly.  Acceptable methods for deep cleaning include shampooing, chemical extraction, steam cleaning, and other similar deep cleaning processes.  Complete all work within 3 working days or as specified in the order.</t>
  </si>
  <si>
    <t>A782</t>
  </si>
  <si>
    <t>Machine Scrub Floors</t>
  </si>
  <si>
    <t>Provide labor, management, supervision, tools, material, and equipment required to machine scrub floors.  Floor surfaces, including joints and corners, are clean and sightly, without embedded dirt, cleaning solution, film debris, stains, marks, wads of gum, tar and similar substances.  Complete all work within 3 working days or as specified in the order.</t>
  </si>
  <si>
    <t>A783</t>
  </si>
  <si>
    <t>Damp Mop Floors</t>
  </si>
  <si>
    <t>Provide labor, management, supervision, tools, material, and equipment required to damp mop floors.  Kitchen and restroom floors shall be sanitized.  This service includes the floors to be swept prior to wet-mopping.  Complete all work within 3 working days or as specified in the order.</t>
  </si>
  <si>
    <t>A784</t>
  </si>
  <si>
    <t>Low Area Cleaning</t>
  </si>
  <si>
    <t>Provide labor, management, supervision, tools, material, and equipment required to clean low areas.  All dust and debris shall be removed.  Low area cleaning includes all furniture and fixtures (e.g., doors, partitions, radiators, equipment, hand railings in stairways, grills, ledges, sills, walls, doors, light fixtures, chalk and dry boards and trays, miscellaneous hardware and bright metal work, and similar dust catching surfaces) to a maximum height of 2.1 meters above floor level.  Complete all work within 3 working days or as specified in the order.</t>
  </si>
  <si>
    <t>A785</t>
  </si>
  <si>
    <t>High Area Cleaning</t>
  </si>
  <si>
    <t>Provide labor, management, supervision, tools, material, and equipment required to clean high areas.  High area cleaning includes all areas that are vertical and horizontal above 2.1 meters and can exceed 4 meters from floor level.  Cleaning may be performed with extension tools or step ladders.  All dust and debris shall be removed.  Surfaces below the work shall be protected from dust and debris.  Complete all work within 3 working days or as specified in the order.</t>
  </si>
  <si>
    <t>A786</t>
  </si>
  <si>
    <t>Interior Window Cleaning</t>
  </si>
  <si>
    <t>Provide labor, management, supervision, tools, material, and equipment required to clean interior window surfaces and adjacent areas to ensure that surfaces are clean. The Contractor's cleaning techniques and products shall protect the integrity of the glass surface and finish and adjacent areas.  Complete all work within 3 working days or as specified in the order.</t>
  </si>
  <si>
    <t>A787</t>
  </si>
  <si>
    <t>Exterior Ground Floor Window Cleaning</t>
  </si>
  <si>
    <t>Provide labor, management, supervision, tools, material, and equipment required to clean exterior window surfaces and adjacent areas to ensure that surfaces are clean. The Contractor's cleaning techniques and products shall protect the integrity of the glass surface and finish and adjacent areas.  Complete all work within 3 working days or as specified in the order.</t>
  </si>
  <si>
    <t>A788</t>
  </si>
  <si>
    <t>Exterior Elevated Floor Window Cleaning</t>
  </si>
  <si>
    <t>Provide labor, management, supervision, tools, material, and equipment required to clean exterior window surfaces above ground floors and adjacent areas to ensure that surfaces are clean.  The Contractor's cleaning techniques and products shall protect the integrity of the glass surface and finish and adjacent areas.  Complete all work within 3 working days or as specified in the order.</t>
  </si>
  <si>
    <t>A789</t>
  </si>
  <si>
    <t>Window Blinds Cleaning</t>
  </si>
  <si>
    <t>Provide labor, management, supervision, tools, material, and equipment required to remove, clean, and rehang window blinds.  Complete all work within 3 working days or as specified in the order.</t>
  </si>
  <si>
    <t>A790</t>
  </si>
  <si>
    <t>Glass Surface Cleaning</t>
  </si>
  <si>
    <t>Provide labor, management, supervision, tools, material, and equipment required to clean glass surfaces.  The Contract shall ensure that glass surfaces are sightly and free of all dirt and provide a clear, streak-, smudge- and mark-free appearance regardless of height.  Glass surfaces include but are not limited to interior doors, (including associated transoms and sidelights).  Complete all work within 3 working days or as specified in the order.</t>
  </si>
  <si>
    <t>A791</t>
  </si>
  <si>
    <t>Restroom Cleaning and Servicing</t>
  </si>
  <si>
    <t>Provide labor, management, supervision, tools, material, and equipment required to clean and servicing restrooms.  All restroom surfaces are cleaned, sanitized and deodorized.  Restroom supplies are completely restocked and all dispensers are in working condition.  After work is completed, restrooms are clean, sanitary and sightly.  Complete all work within 1 working days or as specified in the order.</t>
  </si>
  <si>
    <t>A792</t>
  </si>
  <si>
    <t>Perimeter Area Cleaning</t>
  </si>
  <si>
    <t>Provide labor, management, supervision, tools, material, and equipment required to debris removal.  The Contractor shall police the area and remove all trash and debris.  Area shall be free of all trash and debris and waste containers shall be emptied.  This service may be ordered for the interior or exterior of buildings.  Complete all work within 3 working days or as specified in the order.</t>
  </si>
  <si>
    <t>A793</t>
  </si>
  <si>
    <t>Stripping and Refinishing</t>
  </si>
  <si>
    <t>Provide labor, management, supervision, tools, material, and equipment required to stripping and refinishing floors at designated location(s).  Complete all work within 3 working days or as specified in the order.</t>
  </si>
  <si>
    <t>A794</t>
  </si>
  <si>
    <t>Cigarette Urn Cleaning</t>
  </si>
  <si>
    <t>Provide labor, management, supervision, tools, material, and equipment required to remove and disposal of cigarettes waste, clean urn and refill with sand as required.  Complete all work within 1 working days or as specified in the order.</t>
  </si>
  <si>
    <t>A795</t>
  </si>
  <si>
    <t>Shower Revitalization</t>
  </si>
  <si>
    <t>Provide labor, management, supervision, tools, material, and equipment required to deep clean floor and wall tiles and showers, clean caulk, re-grout and seal to restore wall and floor surfaces.  It includes replacing shower liners and rings.  Complete all work within 1 working days or as specified in the order.</t>
  </si>
  <si>
    <t>A796</t>
  </si>
  <si>
    <t>Additional Custodial Services</t>
  </si>
  <si>
    <t>Provide labor, management, supervision, tools, material and equipment to custodial services.  Custodial work includes but is not limited to: emptying waste containers, low dusting, water fountains cleaning, sweeping/dust mopping, vacuum carpets and rugs, walk-off mats cleaning, damp mopping, restroom cleaning and restocking.  Work shall be started within 2 hours after notification and may continue beyond government regular working hours with no price adjustments.  Complete all work within 2 working days or as specified in the order.</t>
  </si>
  <si>
    <t>HR</t>
  </si>
  <si>
    <t>A797</t>
  </si>
  <si>
    <t>Recreation Area / Furniture / Equipment Cleaning</t>
  </si>
  <si>
    <t>Provide labor, management, supervision, tools, material, and equipment required to clean recreation areas, furniture and equipment.  Areas to be serviced include courtyards for Buildings 170, 623, north canopy to Building 545 and west side of Building 318. 
- Bldg. 170:  Courtyard measures approx. 590 sm (from Exit Door of Lobby Area to the end of Bldg. 170).  There are six (6) rectangle tables, four (4) round tables, and seven (7) umbrellas.  Courtyard, tables and umbrellas shall be pressure washed and cleaned with the use of appropriate detergent from bird droppings and all types of dirt.
- Bldg. 623:  Courtyard measures approx. 1200 sm (from Exit Door of Lobby Area to the end of Bldg. 623).  There are two (2) rectangle tables, 11 round tables, and five (5) large umbrellas, seven (7) small umbrellas, and nine (9) benches.  Courtyard, tables, umbrellas and benches shall be pressure washed and cleaned with the use of appropriate detergent from bird droppings and all types of dirt.
Estimated annual cleaning events: six (6).  Complete all work within 2 working days or as specified in the order.</t>
  </si>
  <si>
    <t>A798-A809</t>
  </si>
  <si>
    <t xml:space="preserve"> Pest Control</t>
  </si>
  <si>
    <t>A810</t>
  </si>
  <si>
    <t>Adult Mosquito Surveillance</t>
  </si>
  <si>
    <t>Provide labor, management, supervision, tools, material, and equipment required to conduct surveillance for adult mosquitos using light trap(s) and deliver catches to Naval Hospital Sigonella Preventive Medicine within 2 working days following receipt of the task order.  Complete work within time periods specified in J-1503020.</t>
  </si>
  <si>
    <t>A811</t>
  </si>
  <si>
    <t>Adult Mosquito Control</t>
  </si>
  <si>
    <t xml:space="preserve">Provide labor, management, supervision, tools, material, and equipment required to apply a mosquito adulticide (ULV formulation) at the designated location(s) within time period of 24 hours to respond.  Pest control services for adult mosquitoes shall be performed in the early morning hours (between 3am-6am).  The Contractor shall nebulize and spray approved pesticide utilizing fog-generating equipment as requested in the order.  Complete work within time periods specified in J-1503020. </t>
  </si>
  <si>
    <t>KM</t>
  </si>
  <si>
    <t>A812</t>
  </si>
  <si>
    <t>Larval Mosquito Surveillance</t>
  </si>
  <si>
    <t>Provide labor, management, supervision, tools, material, and equipment required to conduct surveillance of designated mosquito breeding sites for immature mosquitoes (eggs, larvae, and pupae).  Time Period to Respond:  within 2 working days.  Complete work within time periods specified in J-1503020.</t>
  </si>
  <si>
    <t>A813</t>
  </si>
  <si>
    <t>Larval and Pupal Mosquito Control</t>
  </si>
  <si>
    <t>Provide labor, management, supervision, tools, material, and equipment required to control larval and pupal mosquitoes in designated area(s) and time periods to control within time period of 1 working day to respond. Complete work within time periods specified in J-1503020.</t>
  </si>
  <si>
    <t>A814</t>
  </si>
  <si>
    <t>Nuisance Pest Control</t>
  </si>
  <si>
    <t>Provide labor, management, supervision, tools, material, and equipment required to conduct surveillance and control ants, cockroaches, silverfish, centipedes, millipedes, beetles, fleas, spiders, and/or stored product pests at the designated location(s) per the applicable General Requirements and Performance Standards (Nuisance Pest Requirements) within time period of 3 working days to respond, 7 working days to obtain control, and 30 days to maintain control.</t>
  </si>
  <si>
    <t>A815</t>
  </si>
  <si>
    <t>Disease Vector and Health Pest Control</t>
  </si>
  <si>
    <t>Provide labor, management, supervision, tools, material, and equipment required to conduct surveillance and control bed bugs, bees, wasps, hornets, and other stinging arthropods, filth flies, and/or ticks at the designated location(s) per the applicable General Requirements and Performance Standards (Disease Vector and Health Pest Requirements) within time period of 1 working  day to respond.</t>
  </si>
  <si>
    <t>A816</t>
  </si>
  <si>
    <t>Vertebrate Pest Control</t>
  </si>
  <si>
    <t xml:space="preserve">Provide labor, management, supervision, tools, material, and equipment required to conduct surveillance and control commensal rodents, pest birds, feral dogs and cats, and snakes in and around designated location(s) per the applicable General Requirements and Performance Standards (Vertebrate Pest Requirements) within time period of 24 hours to respond, and time periods to obtain and maintain control as specified in Pest Control Section J.
</t>
  </si>
  <si>
    <t>A817</t>
  </si>
  <si>
    <t>Termite and Other Wood Destroying Organisms Survey</t>
  </si>
  <si>
    <t>Provide labor and materials to conduct surveillance in a facility for all termites species and other wood destroying organisms including fungal rots, carpenter ants, and wood boring beetles within following time periods to respond:  within 4 hours after receipt of the order if reported as a swarm, otherwise, 5 working days.  Complete work within time periods specified in J-1503020.</t>
  </si>
  <si>
    <t>A818</t>
  </si>
  <si>
    <t>Termite Control</t>
  </si>
  <si>
    <t>Provide labor, management, supervision, tools, material, and equipment required to control infestations of subterranean termites per J-1503020 (Termite Control Specifications) within time period of 5 working days after receipt of the task order to respond. Complete work within time periods specified in J-1503020.</t>
  </si>
  <si>
    <t>A819</t>
  </si>
  <si>
    <t>Weed Control (Herbicide Treatment)</t>
  </si>
  <si>
    <t>Provide labor, management, supervision, tools, material, and equipment required to perform selective herbicide treatment to the location(s) indicated on the order. Selective herbicide shall be handled and applied as indicated by the manufacturer printed directions/instructions. Herbicide products shall be registered at the Italian/Regional Ministry of Agriculture; shall be usable at locations normally frequented by persons / pets. Herbicide shall destroy only the infesting weeds without harming/damaging the surrounding ornamental vegetation (such as lawn, ornamental plants, etc.). All warning signs indicating herbicide application/contamination to limit/restrict utilization of the application areas shall be used and enforced for the decay period of the herbicide being used. Herbicide shall not be used when the environment conditions conflict with manufacturers printed directions. Herbicide products shall be submitted to the KO for approval prior their use. Use of not approved herbicide is prohibited.  Time Period to Respond: 7 working days.</t>
  </si>
  <si>
    <t>A820</t>
  </si>
  <si>
    <t>Vertebrate Carcass Removal (up to 1 Kg)</t>
  </si>
  <si>
    <t>Provide labor, management, supervision, tools, material, and equipment required to remove vertebrate carcass up to 1 Kg such as birds, cats, rats and similar size.  Complete work within 1 working day or as specified in the order.</t>
  </si>
  <si>
    <t>A821</t>
  </si>
  <si>
    <t>A822</t>
  </si>
  <si>
    <t>Stray and Feral Cats Management (live cats)</t>
  </si>
  <si>
    <t xml:space="preserve">Provide labor, management, supervision, tools, material, equipment and coordination of efforts with local authorities (ASL) for the proper management of stray and feral cats.  The Contractor shall place traps and/or outline area with portable fences/nets in locations as specified by the order.  The Contractor shall check traps/fences/nets no less than every 12 hours or more often to ensure cat welfare depending on weather conditions (high heat, rain, cold, etc.).  Traps/fences/nets shall be disabled during weekends, holidays and daily at close of business, and reopened at the beginning of the next working day.  The Contractor shall monitor traps/fences/nets for 20 working days.  Traps/fences/nets shall be re-baited and cleaned daily and maintained in proper working condition while in use. 
Upon capture of cat, the Contractor shall first scan the cat for ownership (i.e. microchip).  United States registered cats shall be kept on base, the KO will be notified with scanned ownership data, and NSA Naples will reunite these U.S. registered animals with their registered owners.  If cat ownership is determined to be Italian resident, the animal will be turned over to ASL for reuniting with the registered owner.  If ownership cannot be determined (non-microchipped cat), the Contractor shall humanely transfer the cat to the local competent authority for examination, sterilization and return to original pickup location as per Italian law.  At all times, the Contractor shall perform stray and feral cats management in full compliance with any applicable Navy policies and Italian laws, norms, decrees, and regulations in force at the time this service is ordered.  Law compliance shall include but it not limited to:  T.U.LL.SS. 1265/1934; R.P.V. – DPR 320/54; Legge 281/91 e recipient regional; Accordo Stato Regioni strutture veterinarie 2002; Accordo Stato Regioni benessere pet 2003; Legge 189/04; Decisione CE 998/04; O.M. 6.8.08 – O.M. 24.12.04 – O.M. 3.3.09.
The Contractor shall feed and humanely handle and care for the cat from the moment of capture to the moment of release.  No mistreatment of cats shall be tolerated at any time.   
Any pertinent documentation (i.e. ASL Intervention Report) shall be provided to the KO by close of business.  Time Period to Respond:  within 1 working day following receipt of the order.
</t>
  </si>
  <si>
    <t>A823-A829</t>
  </si>
  <si>
    <t>Integrated Solid Waste Management (ISWM)</t>
  </si>
  <si>
    <t>A830</t>
  </si>
  <si>
    <t>Bulky Waste Removal and Disposal</t>
  </si>
  <si>
    <t xml:space="preserve">Provide labor, management, supervision, tools, material, and equipment required to perform integrated solid waste management services.  The Contractor shall removed and dispose bulky waste at the designed location(s).  Bulky waste include appliances such as refrigerators, stoves, dishwashers, washers, driers, and electronic items such as monitors, computers, televisions, printers, and similar.  Bulky waste shall be transported, disposed or recycled in accordance with applicable Italian/Municipal laws and regulations.  Complete all work within 3 working days.  Submit documentation supporting disposal/recycling within five working days.  </t>
  </si>
  <si>
    <t>CZ</t>
  </si>
  <si>
    <t>A831</t>
  </si>
  <si>
    <t>Solid Waste Removal and Disposal - Provide Commercial Container - 10 Cubic Meters</t>
  </si>
  <si>
    <t xml:space="preserve">Provide labor, management, supervision, tools, material, and equipment required to perform integrated solid waste management services.  The Contractor shall provide and deliver 10-cubic meter container(s) at location(s) identified in the order and dispose of the entire contents of solid waste.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</si>
  <si>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A832</t>
  </si>
  <si>
    <t>Solid Waste Removal and Disposal - Provide Commercial Container - 20 Cubic Meters</t>
  </si>
  <si>
    <t xml:space="preserve">Provide labor, management, supervision, tools, material, and equipment required to perform integrated solid waste management services.  The Contractor shall provide and deliver 20-cubic meter container(s) at location(s) identified in the order and dispose of the entire contents of solid waste.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</si>
  <si>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A833</t>
  </si>
  <si>
    <t>Mixed Construction Material Waste Removal and Disposal - Provide Commercial Container - 10 Cubic Meters</t>
  </si>
  <si>
    <t xml:space="preserve">Provide labor, management, supervision, tools, material, and equipment required to perform integrated solid waste management services.  The Contractor shall provide and deliver 10-cubic meter container(s) at location(s) identified in the order and dispose of mixed construction material waste.  Mixed construction material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</si>
  <si>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A834</t>
  </si>
  <si>
    <t>Mixed Construction Material Waste Removal and Disposal - Provide Commercial Containers - 20 Cubic Meters</t>
  </si>
  <si>
    <t xml:space="preserve">Provide labor, management, supervision, tools, material, and equipment required to perform integrated solid waste management services.  The Contractor shall provide and deliver 20-cubic meter container(s) at location(s) identified in the order and dispose of mixed construction material waste.  Mixed construction material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</si>
  <si>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A835</t>
  </si>
  <si>
    <t>Grass Cutting/Vegetation Removal and Disposal - Provide Commercial Container - 10 Cubic Meters</t>
  </si>
  <si>
    <t xml:space="preserve">Provide labor, management, supervision, tools, material, and equipment required to perform integrated solid waste management services.  The Contractor shall provide and deliver 10-cubic meter container(s) at location(s) identified in the order and dispose of grass cutting/vegetation waste.  Grass cutting/vegetation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</si>
  <si>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A836</t>
  </si>
  <si>
    <t>Grass Cutting/Vegetation Removal and Disposal - Provide Commercial Container - 20 Cubic Meters</t>
  </si>
  <si>
    <t xml:space="preserve">Provide labor, management, supervision, tools, material, and equipment required to perform integrated solid waste management services.  The Contractor shall provide and deliver 20-cubic meter container(s) at location(s) identified in the order and dispose of grass cutting/vegetation waste.  Grass cutting/vegetation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</si>
  <si>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A837</t>
  </si>
  <si>
    <t>Hard Plastic Removal and Disposal - Provide Commercial Container - 10 Cubic Meters</t>
  </si>
  <si>
    <t xml:space="preserve">Provide labor, management, supervision, tools, material, and equipment required to perform integrated solid waste management services.  The Contractor shall provide and deliver 10-cubic meter container(s) at location(s) identified in the order and dispose of hard plastic waste generated by construction/demolition activities such as waster pipes, electrical conduit and similar.  Hard plastic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</si>
  <si>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A838</t>
  </si>
  <si>
    <t>Hard Plastic Removal and Disposal - Provide Commercial Container - 20 Cubic Meters</t>
  </si>
  <si>
    <t xml:space="preserve">Provide labor, management, supervision, tools, material, and equipment required to perform integrated solid waste management services.  The Contractor shall provide and deliver 20-cubic meter container(s) at location(s) identified in the order and dispose of hard plastic waste generated by construction/demolition activities such as waster pipes, electrical conduit and similar.  Hard plastic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</si>
  <si>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A839</t>
  </si>
  <si>
    <t>Insulation Material Waste Removal and Disposal - Provide Commercial Container - 10 Cubic Meters</t>
  </si>
  <si>
    <t xml:space="preserve">Provide labor, management, supervision, tools, material, and equipment required to perform integrated solid waste management services.  The Contractor shall provide and deliver 10-cubic meter container(s) at location(s) identified in the order and dispose of insulation material waste.  Insulation material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</si>
  <si>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A840</t>
  </si>
  <si>
    <t>Insulation Material Waste Removal and Disposal - Provide Commercial Container - 20 Cubic Meters</t>
  </si>
  <si>
    <t xml:space="preserve">Provide labor, management, supervision, tools, material, and equipment required to perform integrated solid waste management services.  The Contractor shall provide and deliver 20-cubic meter container(s) at location(s) identified in the order and dispose of insulation material waste.  Insulation material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</si>
  <si>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A841</t>
  </si>
  <si>
    <t>Filtering Material Waste Removal and Disposal - Provide Commercial Container - 10 Cubic Meters</t>
  </si>
  <si>
    <t xml:space="preserve">Provide labor, management, supervision, tools, material, and equipment required to perform integrated solid waste management services.  The Contractor shall provide and deliver 10-cubic meter container(s) at location(s) identified in the order and dispose of filtering material waste.  Filtering material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</si>
  <si>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A842</t>
  </si>
  <si>
    <t>Filtering Material Waste Removal and Disposal - Provide Commercial Container - 20 Cubic Meters</t>
  </si>
  <si>
    <t xml:space="preserve">Provide labor, management, supervision, tools, material, and equipment required to perform integrated solid waste management services.  The Contractor shall provide and deliver 20-cubic meter container(s) at location(s) identified in the order and dispose of filtering material waste.  Filtering material waste shall be transported, disposed or recycled in accordance with applicable Italian/Municipal laws and regulations.  Containers(s) shall be removed within 1 working day past requirement termination.  Container(s) delivery shall be completed within 2 working days.  The order will include the delivery date, location and duration.   </t>
  </si>
  <si>
    <t>A843</t>
  </si>
  <si>
    <t>Resin Filters Disposal (from reverse osmosis or similar processes)</t>
  </si>
  <si>
    <t xml:space="preserve">Provide labor, management, supervision, tools, material, and equipment required to dispose of resin filters from reverse osmosis or similar processes.  Resin filters shall be transported, disposed or recycled in accordance with applicable Italian/Municipal laws and regulations.  Complete all work within 3 working days.  Submit documentation supporting disposal/recycling within five working days.  </t>
  </si>
  <si>
    <t>A844</t>
  </si>
  <si>
    <t>Spoiled food Removal and Disposal - Food contained in can, plastic, tetra pack containers</t>
  </si>
  <si>
    <t xml:space="preserve">Provide labor, management, supervision, tools, material, and equipment required to perform integrated solid waste management services.  The Contractor shall removed and dispose spoiled food to include food contained in can, plastic, tetra pack containers at the designed location(s).  Spoiled food waste shall be transported, disposed or recycled in accordance with applicable Italian/Municipal laws and regulations.  Complete all work within 3 working days.  Submit documentation supporting disposal/recycling within five working days.  </t>
  </si>
  <si>
    <t>A845</t>
  </si>
  <si>
    <t>Spoiled food Removal and Disposal - Meat and Dairy Products</t>
  </si>
  <si>
    <t xml:space="preserve">Provide labor, management, supervision, tools, material, and equipment required to perform integrated solid waste management services.  The Contractor shall removed and dispose spoiled food to include meat and dairy products at the designed location(s).  Spoiled food waste shall be transported, disposed or recycled in accordance with applicable Italian/Municipal laws and regulations.  Complete all work within 3 working days.  Submit documentation supporting disposal/recycling within five working days.  </t>
  </si>
  <si>
    <t>A846</t>
  </si>
  <si>
    <t>Exterior Collection Point "Topsy 2000"</t>
  </si>
  <si>
    <t>Provide labor, management, supervision, tools, material, and equipment required to provide and install new exterior collection point, "Topsy 2000", which consists of 4 "Topsy" containers, pole, panel, and cigarette plate.  Respond within 2 working day from receipt of order.  Container(s) delivery shall be completed within 30 calendar days.  (**This item is available only to customers of the BOSC Custodial or Grounds Recurring Work)</t>
  </si>
  <si>
    <t>A847</t>
  </si>
  <si>
    <t>Garage Collection Point "Gemini"</t>
  </si>
  <si>
    <t>Provide labor, management, supervision, tools, material, and equipment required to provide and install new garage collection point, "Gemini", which consists of 2 "Gemini" containers and information stickers.  Respond within 2 working day from receipt of order.  Container(s) delivery shall be completed within 30 calendar days.  (**This item is available only to customers of the BOSC Custodial or Grounds Recurring Work)</t>
  </si>
  <si>
    <t>A848</t>
  </si>
  <si>
    <t>Food Court Collection Point "Nexus 200"</t>
  </si>
  <si>
    <t>Provide labor, management, supervision, tools, material, and equipment required to provide and install new food court collection point, "Nexus 200", which consists of 1 "Nexus 200" container and information stickers.  Respond within 2 working day from receipt of order.  Container(s) delivery shall be completed within 30 calendar days.  (**This item is available only to customers of the BOSC Custodial or Grounds Recurring Work)</t>
  </si>
  <si>
    <t>A849</t>
  </si>
  <si>
    <t>Interior Collection Point "Nexus 100"</t>
  </si>
  <si>
    <t>Provide labor, management, supervision, tools, material, and equipment required to provide and install new interior collection point, "Nexus 100", which consists of 1 "Nexus 100" with one stream, 1 "Nexus
100" duo for 2 streams, panel, information stickers, locks, and cardboard container for paper.  Respond within 2 working day from receipt of order.  Container(s) delivery shall be completed within 30 calendar days.  (**This item is available only to customers of the BOSC Custodial or Grounds Recurring Work)</t>
  </si>
  <si>
    <t>A850</t>
  </si>
  <si>
    <t>Mattress Pickup and Disposals</t>
  </si>
  <si>
    <t>Provide labor, management, supervision, tools, material, and equipment required to provide mattress(e) pickup and disposal, to include Twin/Single, Queen and King mattress sizes.  Mattess(s) shall be transported, disposed or recycled in accordance with applicable Italian/Municipal laws and regulations.  The order will include pickup location(s) which may be around the installation inside facilities or exteior beside waste containers.  Complete all work within 3 working days or as specified in the order.</t>
  </si>
  <si>
    <t>A851-A859</t>
  </si>
  <si>
    <t>A860</t>
  </si>
  <si>
    <t>Lawn Mowing and Trimming</t>
  </si>
  <si>
    <t>Provide labor, management, supervision, tools, material, and equipment required to mow and trim lawns.  Grass shall be mowed at a height between 5 and 7 centimeters or as specified in the order.  Grass adjacent to fencing, poles, walls, valves, trees, signs, valve boxes and other similar objects shall be trimmed to match the height and appearance of surrounding grass.  Prior to mowing or trimming, remove and appropriately dispose of debris that interferes with the mowing or trimming operation.  After cutting, grass shall have a uniform height.  Grass clippings and trimmings shall be removed from sidewalks and other paved areas the same day the grass is cut and disposed of off the activity.  Complete all work within 3 working days or as specified in the order.</t>
  </si>
  <si>
    <t>A861</t>
  </si>
  <si>
    <t>Edging</t>
  </si>
  <si>
    <t>Provide labor, management, supervision, tools, material, and equipment required to edging.  The Contractor shall edge where grass meets any concrete or asphalt surface, where grass abuts planter beds, or wherever needed to maintain a neat grass delineation.  Edging shall provide a uniform edged cut 15 mm wide and 30 mm deep, or as specified in the order.  All clippings and debris shall be removed the same day work is performed and disposed of off the activity.  Complete all work within 3 working days or as specified in the order.</t>
  </si>
  <si>
    <t>LM</t>
  </si>
  <si>
    <t>A862</t>
  </si>
  <si>
    <t>Field Mowing / Under brushing</t>
  </si>
  <si>
    <t>Provide labor, management, supervision, tools, material, and equipment required to remove vegetation per Spec Items 3.2.1, 3.2.3 and 3.2.3.1 of Section C.  Vegetation shall be mowed to a height of 6 cm or as specified in the order.  Complete all work within 3 working days or as specified in the order.</t>
  </si>
  <si>
    <t>A863</t>
  </si>
  <si>
    <t>Debris Removal</t>
  </si>
  <si>
    <t>Provide labor, management, supervision, tools, material, and equipment required to perform debris removal per Spec Item 3.1.4 of Section C.  The Contractor shall remove and properly dispose of natural debris (tree limbs, leaves, dry brush, rodent habitats, dead animals, etc.), and stray man-made trash/debris.  All debris collected shall be removed the same day and disposed of off the activity.  Complete all work within 3 working days or as specified in the order.</t>
  </si>
  <si>
    <t>A864</t>
  </si>
  <si>
    <t>Shrub and Hedges Maintenance (Stand-alone plants)</t>
  </si>
  <si>
    <t>Provide labor, management, supervision, tools, material, and equipment required to perform shrub and hedge maintenance per Spec Item 3.1.5 of Section C.  The Contractor shall prune shrubs and hedges according to their natural growth characteristics leaving them well shaped and balanced, and to promote proper health and growth.  Retain typical growth habit of individual plant with as much height and spread as is practical.  The Contractor shall prune shrubs and hedges to ensure there is no interference with pedestrians, vehicular traffic, and building encroachment.  All debris resulting from work shall be removed the same day and disposed of off the activity.  Complete all work within 3 working days or as specified in the order.</t>
  </si>
  <si>
    <t>A865</t>
  </si>
  <si>
    <t>Hedge Pruning (Continuous Hedging)</t>
  </si>
  <si>
    <t>A866</t>
  </si>
  <si>
    <t>Tree Maintenance (Small - below and including 250 cm)</t>
  </si>
  <si>
    <t>Provide labor, management, supervision, tools, material, and equipment required to perform tree maintenance per Spec Items 3.1.8 and 3.2.2 of Section C.  The Contractor shall provide tree maintenance to ensure tree health and to prevent interference with pedestrian and vehicular traffic, and structure encroachment.  Tree maintenance includes fertilization, pruning for health and safety, grass clearance, cleanup, removing dead, damaged or diseased wood, or structurally weak limbs and branches.  Remove branches that extend over buildings or power lines, and endanger roofs, windows, or hang within 2,5 meters vertically of sidewalks, parking lots, and driveways.  Trees are pruned according to their natural growth characteristics leaving them well shaped and balanced, and to promote proper health and growth.  Retain typical growth habit of individual plant with as much height and spread as is practical.  Pruning shall be accomplished by or under guidance of a certified arborist.  Climbing devices that may cause damage to trees shall not be used.  All debris resulting from work shall be removed the same day and disposed of off the activity.  Complete all work within 3 working days or as specified in the order.</t>
  </si>
  <si>
    <t>A867</t>
  </si>
  <si>
    <t>Tree Maintenance (Large - above 250 cm)</t>
  </si>
  <si>
    <t>A868</t>
  </si>
  <si>
    <t>Tree and Stump Removal (Large 46 cm DBH and above)</t>
  </si>
  <si>
    <t>Provide labor, management, supervision, tools material, and equipment required to remove trees including stumps and roots.  Remove stumps to 30 cm below ground level and remove roots to 10 cm below level ground extending to 180 cm from tree.  Treat to prevent regrowth.  Backfill all excavated holes and replant with the same type of vegetation as surrounding area.  Trees are sized by the Diameter at Breast Height (DBH).  DBH is measured at 140 cm above ground level.  Complete all work within 3 working days or as specified in the order.</t>
  </si>
  <si>
    <t>A869</t>
  </si>
  <si>
    <t>Tree and Stump Removal (Medium 15 to 46 cm DBH)</t>
  </si>
  <si>
    <t>Provide labor, management, supervision, tools material, and equipment required to remove trees including stumps and roots.  Remove stumps to 30 cm below ground level and remove roots to 10 cm below ground extending to 180 cm from tree.  Treat to prevent regrowth.  Backfill all excavated holes and replant with the same type of vegetation as surrounding area.  Trees are sized by the Diameter at Breast Height (DBH).  DBH is measured at 140 cm above ground level.  Complete all work within 3 working days or as specified in the order.</t>
  </si>
  <si>
    <t>A870</t>
  </si>
  <si>
    <t>Tree and Stump Removal (Small up to 15 cm DBH)</t>
  </si>
  <si>
    <t>A871</t>
  </si>
  <si>
    <t>Shrub and Stump Removal</t>
  </si>
  <si>
    <t>Provide labor, management, supervision, tools material, and equipment required to remove shrubs including stumps and roots.  Remove stumps to 15 cm below ground level and remove all exposed roots.  Treat to prevent regrowth.  Backfill all excavated holes and replant with the same type of vegetation as surrounding area.  Complete all work within 3 working days or as specified in the order.</t>
  </si>
  <si>
    <t>A872</t>
  </si>
  <si>
    <t>Shrub Planting (1-gallon = liters 3.78)</t>
  </si>
  <si>
    <t>Provide labor, management, supervision, tools material, and equipment required to plant new shrubs.  All shrubs shall be nursery grown and bear certification indicating species, common name, and grade.  Shrubs shall be healthy, living specimens considered number one grade stock.  Planting procedures shall be in accordance with accepted nursery standards.  The Contractor shall water and provide continuing care to ensure new plants develop properly. Shrubs established shall be of the 1-gallon (liters 3.78) size.  Shrubs shall be planted in accordance with accepted horticultural standards, including fertilization, mulching, and watering.  Shrub species shall be specified in the order.  All plants that die or fail to develop noticeable growth within 1 year of planting shall be replaced by the Contractor with plants of like size and type, at no additional cost to the Government.  Complete all work within 3 working days or as specified in the order.</t>
  </si>
  <si>
    <t>A873</t>
  </si>
  <si>
    <t>Shrub Planting (5-gallon = liters 19)</t>
  </si>
  <si>
    <t>Provide labor, management, supervision, tools material, and equipment required to plant new shrubs.  All shrubs shall be nursery grown and bear certification indicating species, common name, and grade.  Shrubs shall be healthy, living specimens considered number one grade stock.  Planting procedures shall be in accordance with accepted nursery standards.  The Contractor shall water and provide continuing care to ensure new plants develop properly. Shrubs established shall be of the 5-gallon (liters 19) size.  Shrubs shall be planted in accordance with accepted horticultural standards, including fertilization, mulching, and watering.  Shrub species shall be specified in the order.  All plants that die or fail to develop noticeable growth within 1 year of planting shall be replaced by the Contractor with plants of like size and type, at no additional cost to the Government.  Complete all work within 3 working days or as specified in the order.</t>
  </si>
  <si>
    <t>A874</t>
  </si>
  <si>
    <t>Bedding/Ornamental Plants (10 cm pot size)</t>
  </si>
  <si>
    <t>Provide labor, management, supervision, tools material, and equipment required to plant new plants.  All plants shall be nursery grown and bear certification indicating species, common name, and grade.  Plants shall be healthy, living specimens considered number one grade stock.  The Contractor shall water and provide continuing care to ensure new plants develop properly.  Planting procedures shall be in accordance with accepted horticultural standards, including fertilization, mulching, and watering.  Annuals/perennials species shall be specified in the order.  All plants that die or fail to develop noticeable growth within 90 days of planting shall be replaced by the Contractor with plants of like size and type, at no additional cost to the Government.  Start work within 3 working days or as specified in the order.</t>
  </si>
  <si>
    <t>A875</t>
  </si>
  <si>
    <t>Grassing</t>
  </si>
  <si>
    <t>Provide labor, management, supervision, tools material, and equipment required to establish and maintain grass for 1 year.  Grass variety shall be as specified in the order.  Establishment shall include watering and providing other continuing care as necessary to firmly establish new grass growth and ensure proper development.  Grassed areas that die or fail to develop noticeable growth for a period of one year after seeding shall be re-grassed by the Contractor at no additional cost to the Government.  Complete all work within 3 working days or as specified in the order.</t>
  </si>
  <si>
    <t>A876</t>
  </si>
  <si>
    <t>Sodding</t>
  </si>
  <si>
    <t>Provide labor, management, supervision, tools material, and equipment required to sod.  Sod shall be of species as specified in the order and shall be dense, uniform, weed free and have good strength and min thatch.  Sod shall be laid on properly prepared topsoil, joint staggered and butted together. On slopes sod shall be installed in a way that prevents slippage.  Sod installed shall be smooth and uniform in appearance.  Contractor shall water and provide continued care to firmly establish new grass growth and development. Areas that die/fail to develop within 90 days after sodding shall be replaced by the Contractor at no additional cost. Complete all work within 3 working days or as specified in the order.</t>
  </si>
  <si>
    <t>A877</t>
  </si>
  <si>
    <t>Fertilize</t>
  </si>
  <si>
    <t>Provide labor, management, supervision, tools material, and equipment required to fertilize per Spec Items 3 and 3.1 of Section C.  Vegetation shall be fertilized in a manner that promotes health, growth, color, and appearance.  Fertilizing applies to all vegetation existing in the areas specified on the order.  Fertilizer shall be applied in accordance with the manufacturer's printed instructions.  Organic fertilizer shall be used as the standard.  The Contractor shall comply with the Pest Management Plan (PMP).  Complete all work within 3 working days or as specified in the order.</t>
  </si>
  <si>
    <t>A878</t>
  </si>
  <si>
    <t>Gravel (1.5 - 3.0 cm diam.)</t>
  </si>
  <si>
    <t>Provide labor, management, supervision, tools material, and equipment required to gravel.  The Contractor shall place white/dark gravel where indicated by the KO. The cost includes contractor's provided heavy duty polyethylene film to be placed above grounds area to be covered with gravel. The thickness of the gravel layer shall be from 8 to 15 cm as directed by the KO. Layer shall be uniformly spread and leveled. No spread elsewhere is allowed. The Contractor shall remove all gravel spilled or spread elsewhere from the designated areas.  Complete all work within 3 working days or as specified in the order.</t>
  </si>
  <si>
    <t>A879</t>
  </si>
  <si>
    <t>Weed, Vegetation, Rocks and Other Debris Removal</t>
  </si>
  <si>
    <t>Provide labor, management, supervision, tools material, and equipment required to remove weed, vegetation, rocks and other debris.  The contractor shall eradicate and removed all weeds, unsightly vegetation, sprouts, vines, lawns, grasses, clovers, dead vegetation, etc. from underneath and within cactus type plants, ornamental plants, flower vases, planter boxes, flower beds, pots, gravel covered areas, ornamental rocks areas,  and similar. The Contractor shall replaced all soil removed to maintain smooth appearance.  Complete all work within 3 working days or as specified in the order.</t>
  </si>
  <si>
    <t>A880-A889</t>
  </si>
  <si>
    <t>A890</t>
  </si>
  <si>
    <t>Provide labor, management, supervision, tools, material, and equipment required to perform pavement clearance.  The Contractor shall sweep roads and other paved surfaces to remove volcanic ash and all other debris, and to ensure they are clear, improve the appearance and safety of paved surfaces, reduce maintenance costs by keeping the drainage systems clean and reduce pollutants entering the storm drain system.  Areas include roads, parking areas, sidewalks, walkways, porch areas, entrance/canopy areas, external stairs/steps, recreational areas, bleachers, running track, and other similar areas.  Contractor shall receive clearance from airfield ops prior to operations for airfield pavement. Contractor shall comply with FAA and DoD requirements to sweep around aircraft on ramp areas.  Contractor shall coordinate with Air Ops for FOD walk downs before sweeping.  Complete all work within 3 working days or as specified in the order. (Minimum Order: 10,000 square meters)</t>
  </si>
  <si>
    <t>A891</t>
  </si>
  <si>
    <t>Pavement Clearance - Residential Family Housing</t>
  </si>
  <si>
    <t>Provide labor, management, supervision, tools, material, and equipment required to perform pavement clearance in residential family housing areas per attachment J-1503060-03.  The Contractor shall provide pavement sweeping to remove volcanic ash deposits and all other debris, improve the appearance of paved areas, improve the safety of paved areas, reduce maintenance costs by keeping the drainage systems clean and, reduce pollutants entering the storm drain system.  Areas include roads, parking areas, sidewalks, walkways, porch areas, entrance/canopy areas, external stairs/steps, and other similar areas.  Complete all work within 3 working days or as specified in the order.  (Minimum Order: 2,000 square meters)</t>
  </si>
  <si>
    <t>A892-A897</t>
  </si>
  <si>
    <t>A898</t>
  </si>
  <si>
    <t>Unscheduled Charter Shuttle Bus Service / 19-Passenger Bus</t>
  </si>
  <si>
    <t>Provide labor, management, supervision, tools, material, and equipment required to provide unscheduled shuttle bus services in accordance with schedules provided by the Contracting Officer.  Distance in kilometers shall not exceed an average of 65 kilometers for each hour ordered.  Service will be ordered at least 6 hours in advance.  Buses shall have a minimum capacity of 19 passengers plus driver.  Unit price includes all costs such as, but not limited to, charter bus, driver, and fuel.  The exact location and start time will be specified with the order.  Respond within 1 working day from receipt of order.</t>
  </si>
  <si>
    <t>A899</t>
  </si>
  <si>
    <t>Unscheduled Charter Shuttle Bus Service / 55-Passenger Bus</t>
  </si>
  <si>
    <t>Provide labor, management, supervision, tools, material, and equipment required to provide unscheduled shuttle bus services in accordance with schedules provided by the Contracting Officer.  Distance in kilometers shall not exceed an average of 65 kilometers for each hour ordered.  Service will be ordered at least 6 hours in advance.  Buses shall have a minimum capacity of 55 passengers plus driver.  Unit price includes all costs such as, but not limited to, charter bus, driver, and fuel.  The exact location and start time will be specified with the order.  Respond within 1 working day from receipt of order.</t>
  </si>
  <si>
    <t>A900-A909</t>
  </si>
  <si>
    <t>A910</t>
  </si>
  <si>
    <t>Oil and Hazardous Substances (OHS) Spill Response - 1-100 Gallons</t>
  </si>
  <si>
    <t xml:space="preserve">Provide labor, management, supervision, tools, material and equipment, including appropriate Personal Protective Equipment (PPE), to assist Government First Responders and provide OHS spill response services to minimize environmental impact, damage to property or risk of human exposure and to ensure the installation complies with applicable Italian, DoD and Navy requirements.  The Contractor shall be responsible for responding to OHS spills using equipment, materials, and qualified personnel including but not limited to spill containment, clean-up and transport disposal of spill related wastes to a designated accumulation site, off Base.
At all times, the Contractor shall perform OHS Spill Response in full compliance with all applicable Italian laws, norms, decrees, and regulations, DoD policies, instructions and guidance in force at the time this service is ordered, including, but not limited to, OPNAVINST 5090.1 and DL152/2006.
The Contractor shall respond to spill notification within two hours.  Complete all work within one calendar day or as specified in the order.
</t>
  </si>
  <si>
    <t>A911</t>
  </si>
  <si>
    <t>Oil and Hazardous Substances (OHS) Spill Response - 101 to 500 Gallons</t>
  </si>
  <si>
    <t>A912</t>
  </si>
  <si>
    <t>Oil and Hazardous Substances (OHS) Spill Response - 501 to 2,500 Gallons</t>
  </si>
  <si>
    <t xml:space="preserve">Provide labor, management, supervision, tools, material and equipment, including appropriate Personal Protective Equipment (PPE), to assist Government First Responders and provide OHS spill response services to minimize environmental impact, damage to property or risk of human exposure and to ensure the installation complies with applicable Italian, DoD and Navy requirements.  The Contractor shall be responsible for responding to OHS spills using equipment, materials, and qualified personnel including but not limited to spill containment, clean-up and transport disposal of spill related wastes to a designated accumulation site.
At all times, the Contractor shall perform OHS Spill Response in full compliance with all applicable Italian laws, norms, decrees, and regulations, DoD policies, instructions and guidance in force at the time this service is ordered, including, but not limited to, OPNAVINST 5090.1 and DL152/2006.
The Contractor shall respond to spill notification within two hours.  Complete all work within two calendar days or as specified in the order.
</t>
  </si>
  <si>
    <t>A913</t>
  </si>
  <si>
    <t>Oil and Hazardous Substances (OHS) Spill Response - 2,501 to 5,000 Gallons</t>
  </si>
  <si>
    <t>A914</t>
  </si>
  <si>
    <t>Oil and Hazardous Substances (OHS) Spill Response - 5,001 to 15,000 Gallons</t>
  </si>
  <si>
    <t xml:space="preserve">Provide labor, management, supervision, tools, material and equipment, including appropriate Personal Protective Equipment (PPE), to assist Government First Responders and provide OHS spill response services to minimize environmental impact, damage to property or risk of human exposure and to ensure the installation complies with applicable Italian, DoD and Navy requirements.  The Contractor shall be responsible for responding to OHS spills using equipment, materials, and qualified personnel including but not limited to spill containment, clean-up and transport disposal of spill related wastes to a designated accumulation site.
At all times, the Contractor shall perform OHS Spill Response in full compliance with all applicable Italian laws, norms, decrees, and regulations, DoD policies, instructions and guidance in force at the time this service is ordered, including, but not limited to, OPNAVINST 5090.1 and DL152/2006.
The Contractor shall respond to spill notification within two hours.  Complete all work within three calendar days or as specified in the order.
</t>
  </si>
  <si>
    <t>A915</t>
  </si>
  <si>
    <t>Empty and Clean Grease Trap / Tank</t>
  </si>
  <si>
    <t>Provide labor, management, supervision, tools, material and equipment required to remove, weigh and dispose of all grease and water from the grease trap systems indicated on the order. Work includes cleaning and removing all wastes and sludge adhering to all the interior system surfaces (walls, pipes, lids, etc.).  Grease traps shall be left clean and free of any grease or debris.  complete all work within 3 working days or as specified in the order.</t>
  </si>
  <si>
    <t>A916</t>
  </si>
  <si>
    <t xml:space="preserve">Chemical Product - Commercial Grade - Sodium Hypochlorite (Carechlor)  </t>
  </si>
  <si>
    <t>A917</t>
  </si>
  <si>
    <t>Chemical Product - Commercial Grade -  Hydrochloric acid (CarepH-)</t>
  </si>
  <si>
    <t>A918</t>
  </si>
  <si>
    <t>Chemical Product - Commercial Grade - Antiscalant (Caretreat WT RO SI)</t>
  </si>
  <si>
    <t>A919</t>
  </si>
  <si>
    <t>Chemical Product - Commercial Grade - Sodium Hydroxide (CarepH+)</t>
  </si>
  <si>
    <t>A920</t>
  </si>
  <si>
    <t>Chemical Product - Calcium Carbonate (Care-Cal WT)</t>
  </si>
  <si>
    <t>A921</t>
  </si>
  <si>
    <t xml:space="preserve">Chemical Product - Commercial Grade - Sodium hypochlorite (Carechlor) </t>
  </si>
  <si>
    <t>A922</t>
  </si>
  <si>
    <t>Chemical Product - Commercial Grade - Hydrochloric acid (CarepH-)</t>
  </si>
  <si>
    <t>A923</t>
  </si>
  <si>
    <t>A924</t>
  </si>
  <si>
    <t>A925</t>
  </si>
  <si>
    <t>Chemical Product - Commercial Grade - Calcium carbonate (Care-Cal WT)</t>
  </si>
  <si>
    <t>A926</t>
  </si>
  <si>
    <t>Contaminated Oily Sludge Removal and Dispoal</t>
  </si>
  <si>
    <t>Provide labor, management, supervision, tools, material and equipment required to remove, dispose and weigh contaminated oily sludge ONLY, based on CER code 16.07.08 (Waste containing fuel contamination, cleaning of cisterns and tanks) Minimum order 500 Kg.  Complete all work within 2 working days or as specified in the order.</t>
  </si>
  <si>
    <t>A927</t>
  </si>
  <si>
    <t>Oil Water Separator Tank Cleaning</t>
  </si>
  <si>
    <t>Provide labor, management, supervision, tools, material and equipment required to clean oil water separator tanks, based on CER code 16.10.02 (Contaminated waste water).  Oil water separator tank(s) shall be cleaned and sanitized after removal of solids / liquids and ensure proper function. Contractor shall submit safety plan to Contracting Officer for working within confined spaces prior to commencing work.  Complete all work within 2 working days or as specified in the order.</t>
  </si>
  <si>
    <t>A928</t>
  </si>
  <si>
    <t>Oily Water / Waste Fuel Removal and Disposal</t>
  </si>
  <si>
    <t>Provide labor, management, supervision, tools, material and equipment to remove, weigh and dispose of oily water and waste fuel from tank(s) indicated on the order.  Work includes pumping, removal of oily water / waste fuel, disposal of oily water / waste fuel and all transportation and disposal costs. Work shall be performed per current environmental protection regulations.  Complete all work within 1 working day or as specified in the order.</t>
  </si>
  <si>
    <t>A929</t>
  </si>
  <si>
    <t>Contaminated Soil Removal and Disposal</t>
  </si>
  <si>
    <t>Provide labor, management, supervision, tools, material and equipment to remove, weigh, and dispose of contaminated soil (may be with fuel, oils, and other hazardous substances) from the location(s) indicated on the order.  Work includes the provision, laying and leveling of new soil, matching the existing, to restore the original conditions, transportation and disposal costs.  Work shall be performed per current environmental protection regulations. complete all work within 1 working day or as specified in the order (Minimum Quantity 3000 kg).</t>
  </si>
  <si>
    <t>A930</t>
  </si>
  <si>
    <t>Soil Sampling and Analysis - Metal: Antimony</t>
  </si>
  <si>
    <t xml:space="preserve">The Contractor shall conduct on-site measurements, collect soil samples and analyze them for all the parameters specified in the order as per Spec Item 3.2., Sampling and Laboratory Services.  Respond within 1 working day from receipt of order. </t>
  </si>
  <si>
    <t>A931</t>
  </si>
  <si>
    <t>Soil Sampling and Analysis - Metal: Arsenic</t>
  </si>
  <si>
    <t>A932</t>
  </si>
  <si>
    <t>Soil Sampling and Analysis - Metal: Berillim</t>
  </si>
  <si>
    <t xml:space="preserve">The Contractor shall conduct on-site mesurements, collect soil samples and analyze them for all the parameters specified in the order as per Spec Item 3.2., Sampling and Laboratory Services.  Respond within 1 working day from receipt of order. </t>
  </si>
  <si>
    <t>A933</t>
  </si>
  <si>
    <t>Soil Sampling and Analysis - Metal: Cadmium</t>
  </si>
  <si>
    <t>A934</t>
  </si>
  <si>
    <t>Soil Sampling and Analysis - Metal: Cobalt</t>
  </si>
  <si>
    <t>A935</t>
  </si>
  <si>
    <t>Soil Sampling and Analysis - Metal: Chromium (total)</t>
  </si>
  <si>
    <t>A936</t>
  </si>
  <si>
    <t>Soil Sampling and Analysis - Metal: Chromium VI</t>
  </si>
  <si>
    <t>A937</t>
  </si>
  <si>
    <t>Soil Sampling and Analysis - Metal: Mercury</t>
  </si>
  <si>
    <t>A938</t>
  </si>
  <si>
    <t>Soil Sampling and Analysis - Metal: Nickel</t>
  </si>
  <si>
    <t>A939</t>
  </si>
  <si>
    <t>Soil Sampling and Analysis - Metal: Lead</t>
  </si>
  <si>
    <t>A940</t>
  </si>
  <si>
    <t>Soil Sampling and Analysis - Metal: Cooper</t>
  </si>
  <si>
    <t>A941</t>
  </si>
  <si>
    <t>Soil Sampling and Analysis - Metal: Selenium</t>
  </si>
  <si>
    <t>A942</t>
  </si>
  <si>
    <t>Soil Sampling and Analysis - Metal: Tin</t>
  </si>
  <si>
    <t>A943</t>
  </si>
  <si>
    <t>Soil Sampling and Analysis - Metal: Thallium</t>
  </si>
  <si>
    <t>A944</t>
  </si>
  <si>
    <t>Soil Sampling and Analysis - Metal: Vanadium</t>
  </si>
  <si>
    <t>A945</t>
  </si>
  <si>
    <t>Soil Sampling and Analysis - Metal: Zinc</t>
  </si>
  <si>
    <t>A946</t>
  </si>
  <si>
    <t>Soil Sampling and Analysis - Metal: Cyanides (free)</t>
  </si>
  <si>
    <t>A947</t>
  </si>
  <si>
    <t>Soil Sampling and Analysis - Metal: Fluorides</t>
  </si>
  <si>
    <t>A948</t>
  </si>
  <si>
    <t>Soil Sampling and Analysis - Aromatic Compounds: Benzene</t>
  </si>
  <si>
    <t>A949</t>
  </si>
  <si>
    <t>Soil Sampling and Analysis - Aromatic Compounds: Ethylbenzene</t>
  </si>
  <si>
    <t>A950</t>
  </si>
  <si>
    <t>Soil Sampling and Analysis - Aromatic Compounds: Styrene</t>
  </si>
  <si>
    <t>A951</t>
  </si>
  <si>
    <t>Soil Sampling and Analysis - Aromatic Compounds: Toluene</t>
  </si>
  <si>
    <t>A952</t>
  </si>
  <si>
    <t>Soil Sampling and Analysis - Aromatic Compounds: Xylene</t>
  </si>
  <si>
    <t>A953</t>
  </si>
  <si>
    <t>Soil Sampling and Analysis - Polycyclic Aromatic Compounds: Benzo(a)anthracene</t>
  </si>
  <si>
    <t>A954</t>
  </si>
  <si>
    <t>Soil Sampling and Analysis - Polycyclic Aromatic Compounds: Benzo(a)pyrene</t>
  </si>
  <si>
    <t>A955</t>
  </si>
  <si>
    <t>Soil Sampling and Analysis - Polycyclic Aromatic Compounds: Benzo(b)fluoranthene</t>
  </si>
  <si>
    <t>A956</t>
  </si>
  <si>
    <t>Soil Sampling and Analysis - Polycyclic Aromatic Compounds: Benzo(k)fluoranthene</t>
  </si>
  <si>
    <t>A957</t>
  </si>
  <si>
    <t>Soil Sampling and Analysis - Polycyclic Aromatic Compounds: Benzo(g, h, i)perylene</t>
  </si>
  <si>
    <t>A958</t>
  </si>
  <si>
    <t>Soil Sampling and Analysis - Polycyclic Aromatic Compounds: Chrysene</t>
  </si>
  <si>
    <t>A959</t>
  </si>
  <si>
    <t>Soil Sampling and Analysis - Polycyclic Aromatic Compounds: Dibenzo(a, e)pyrene</t>
  </si>
  <si>
    <t>A960</t>
  </si>
  <si>
    <t>Soil Sampling and Analysis - Polycyclic Aromatic Compounds: Dibenzo(a, l)pyrene</t>
  </si>
  <si>
    <t>A961</t>
  </si>
  <si>
    <t>Soil Sampling and Analysis - Polycyclic Aromatic Compounds: Dibenzo(a, i)pyrene</t>
  </si>
  <si>
    <t>A962</t>
  </si>
  <si>
    <t>Soil Sampling and Analysis - Polycyclic Aromatic Compounds: Dibenzo(a, h)pyrene</t>
  </si>
  <si>
    <t>A963</t>
  </si>
  <si>
    <t>Soil Sampling and Analysis - Polycyclic Aromatic Compounds: Dibenzo(a, h)anthracene</t>
  </si>
  <si>
    <t>A964</t>
  </si>
  <si>
    <t>Soil Sampling and Analysis - Polycyclic Aromatic Compounds: Indenopyrene</t>
  </si>
  <si>
    <t>A965</t>
  </si>
  <si>
    <t>Soil Sampling and Analysis - Polycyclic Aromatic Compounds: Pyrene</t>
  </si>
  <si>
    <t>A966</t>
  </si>
  <si>
    <t>Soil Sampling and Analysis - Aliphatic Chlorinated Carcinogenic Compounds: Chloromethane</t>
  </si>
  <si>
    <t>A967</t>
  </si>
  <si>
    <t>Soil Sampling and Analysis - Aliphatic Chlorinated Carcinogenic Compounds: Dichloromethane</t>
  </si>
  <si>
    <t>A968</t>
  </si>
  <si>
    <t>Soil Sampling and Analysis - Aliphatic Chlorinated Carcinogenic Compounds: Trichloromethane</t>
  </si>
  <si>
    <t>A969</t>
  </si>
  <si>
    <t>Soil Sampling and Analysis - Aliphatic Chlorinated Carcinogenic Compounds: Vinyl Chloride</t>
  </si>
  <si>
    <t>A970</t>
  </si>
  <si>
    <t>Soil Sampling and Analysis - Aliphatic Chlorinated Carcinogenic Compounds: 1,2 - Dichloroethane</t>
  </si>
  <si>
    <t>A971</t>
  </si>
  <si>
    <t>Soil Sampling and Analysis - Aliphatic Chlorinated Carcinogenic Compounds: 1,1 - Dichloroethylene</t>
  </si>
  <si>
    <t>A972</t>
  </si>
  <si>
    <t>Soil Sampling and Analysis - Aliphatic Chlorinated Carcinogenic Compounds: Trichloroethylene</t>
  </si>
  <si>
    <t>A973</t>
  </si>
  <si>
    <t>Soil Sampling and Analysis - Aliphatic Chlorinated Carcinogenic Compounds: Tetrachloroethylene (PCE)</t>
  </si>
  <si>
    <t>A974</t>
  </si>
  <si>
    <t>Soil Sampling and Analysis - Aliphatic Chlorinated Non-Carcinogenic Compounds: 1,1 - Dichloroethane</t>
  </si>
  <si>
    <t>A975</t>
  </si>
  <si>
    <t>Soil Sampling and Analysis - Aliphatic Chlorinated Non-Carcinogenic Compounds: 1,2 - Dichloroethylene</t>
  </si>
  <si>
    <t>A976</t>
  </si>
  <si>
    <t>Soil Sampling and Analysis - Aliphatic Chlorinated Non-Carcinogenic Compounds: 1,1,1 - Trichloroethane</t>
  </si>
  <si>
    <t>A977</t>
  </si>
  <si>
    <t>Soil Sampling and Analysis - Aliphatic Chlorinated Non-Carcinogenic Compounds: 1,2 - Di chloropropane</t>
  </si>
  <si>
    <t>A978</t>
  </si>
  <si>
    <t>Soil Sampling and Analysis - Aliphatic Chlorinated Non-Carcinogenic Compounds: 1,1,2 - Trichloroethane</t>
  </si>
  <si>
    <t>A979</t>
  </si>
  <si>
    <t>Soil Sampling and Analysis - Aliphatic Chlorinated Non-Carcinogenic Compounds: 1,2,3 - Trichloro propane</t>
  </si>
  <si>
    <t>A980</t>
  </si>
  <si>
    <t>Soil Sampling and Analysis - Aliphatic Chlorinated Non-Carcinogenic Compounds: 1,1,2,2 - Tetrachloroethane</t>
  </si>
  <si>
    <t>A981</t>
  </si>
  <si>
    <t>Soil Sampling and Analysis - Aliphatic Halogenated Carcinogenic Compounds: Tribromomethane</t>
  </si>
  <si>
    <t>A982</t>
  </si>
  <si>
    <t>Soil Sampling and Analysis - Aliphatic Halogenated Carcinogenic Compounds: 1,2 - Dibromoethane</t>
  </si>
  <si>
    <t>A983</t>
  </si>
  <si>
    <t>Soil Sampling and Analysis - Aliphatic Halogenated Carcinogenic Compounds: Dibromochloromethane</t>
  </si>
  <si>
    <t>A984</t>
  </si>
  <si>
    <t>Soil Sampling and Analysis - Aliphatic Halogenated Carcinogenic Compounds: Bromodichloromethane</t>
  </si>
  <si>
    <t>A985</t>
  </si>
  <si>
    <t>Soil Sampling and Analysis - Nitroaromatic Compounds: Nitrobenzene</t>
  </si>
  <si>
    <t>A986</t>
  </si>
  <si>
    <t>Soil Sampling and Analysis - Nitroaromatic Compounds: 1,2 - Dinitrobenzene</t>
  </si>
  <si>
    <t>A987</t>
  </si>
  <si>
    <t>Soil Sampling and Analysis - Nitroaromatic Compounds: 1,3 - Dinitrobenzene</t>
  </si>
  <si>
    <t>A988</t>
  </si>
  <si>
    <t>Soil Sampling and Analysis - Nitroaromatic Compounds: Chloronitrobenzene</t>
  </si>
  <si>
    <t>A989</t>
  </si>
  <si>
    <t>Soil Sampling and Analysis - Chloroaromatic Compounds: Mon chlorobenzene</t>
  </si>
  <si>
    <t>A990</t>
  </si>
  <si>
    <t>Soil Sampling and Analysis - Chloroaromatic Compounds: Di chloroaromatic Non-Carcinogenic Compounds (1,2 - Dichlorobenzene)</t>
  </si>
  <si>
    <t>A991</t>
  </si>
  <si>
    <t>Soil Sampling and Analysis - Chloroaromatic Compounds: Di chloroaromatic Carcinogenic Compounds (1,4 - Dichlorobenzene)</t>
  </si>
  <si>
    <t>A992</t>
  </si>
  <si>
    <t>Soil Sampling and Analysis - Chloroaromatic Compounds: 1,2,4 - Trichlorobenzene</t>
  </si>
  <si>
    <t>A993</t>
  </si>
  <si>
    <t>Soil Sampling and Analysis - Chloroaromatic Compounds: 1,2,4,5 - Tetra chlorobenzene</t>
  </si>
  <si>
    <t>A994</t>
  </si>
  <si>
    <t>Soil Sampling and Analysis - Chloroaromatic Compounds: Pentachloro benzene</t>
  </si>
  <si>
    <t>A995</t>
  </si>
  <si>
    <t>Soil Sampling and Analysis - Chloroaromatic Compounds:</t>
  </si>
  <si>
    <t>A996</t>
  </si>
  <si>
    <t>Soil Sampling and Analysis - Chloroaromatic Compounds: Esa chlorobenzene</t>
  </si>
  <si>
    <t>A997</t>
  </si>
  <si>
    <t>Soil Sampling and Analysis - Non-Chlorinated Phenols: Methyl phenols (o-, m-, p-)</t>
  </si>
  <si>
    <t>A998</t>
  </si>
  <si>
    <t>Soil Sampling and Analysis - Non-Chlorinated Phenols: Phenols</t>
  </si>
  <si>
    <t>A999</t>
  </si>
  <si>
    <t>Soil Sampling and Analysis - Chlorinated Phenols: 2 - Chlorophenol</t>
  </si>
  <si>
    <t>A1000</t>
  </si>
  <si>
    <t>Soil Sampling and Analysis - Chlorinated Phenols: 2,4 - Dichlorophenol</t>
  </si>
  <si>
    <t>A1001</t>
  </si>
  <si>
    <t>Soil Sampling and Analysis - Chlorinated Phenols: 2,4, 6 - Trichlorophenol</t>
  </si>
  <si>
    <t>A1002</t>
  </si>
  <si>
    <t>Soil Sampling and Analysis - Chlorinated Phenols: Pentachlorophenol</t>
  </si>
  <si>
    <t>A1003</t>
  </si>
  <si>
    <t>Soil Sampling and Analysis - Aromatic Amines: Aniline</t>
  </si>
  <si>
    <t>A1004</t>
  </si>
  <si>
    <t>Soil Sampling and Analysis - Aromatic Amines: o - Anisidine</t>
  </si>
  <si>
    <t>A1005</t>
  </si>
  <si>
    <t>Soil Sampling and Analysis - Aromatic Amines: m,p - Anisidine</t>
  </si>
  <si>
    <t>A1006</t>
  </si>
  <si>
    <t>Soil Sampling and Analysis - Aromatic Amines: Diphenylamine</t>
  </si>
  <si>
    <t>A1007</t>
  </si>
  <si>
    <t>Soil Sampling and Analysis - Aromatic Amines: p - Toluidine</t>
  </si>
  <si>
    <t>A1008</t>
  </si>
  <si>
    <t>Soil Sampling and Analysis - Pesticides: Alachlor</t>
  </si>
  <si>
    <t>A1009</t>
  </si>
  <si>
    <t>Soil Sampling and Analysis - Pesticides: Aldrin</t>
  </si>
  <si>
    <t>A1010</t>
  </si>
  <si>
    <t>Soil Sampling and Analysis - Pesticides: Atrazine</t>
  </si>
  <si>
    <t>A1011</t>
  </si>
  <si>
    <t>Soil Sampling and Analysis - Pesticides: α - esachloroesane</t>
  </si>
  <si>
    <t>A1012</t>
  </si>
  <si>
    <t>Soil Sampling and Analysis - Pesticides: β - esachloroesane</t>
  </si>
  <si>
    <t>A1013</t>
  </si>
  <si>
    <t>Soil Sampling and Analysis - Pesticides: γ - esachloroesane (Lindane)</t>
  </si>
  <si>
    <t>A1014</t>
  </si>
  <si>
    <t>Soil Sampling and Analysis - Pesticides: Chlordane</t>
  </si>
  <si>
    <t>A1015</t>
  </si>
  <si>
    <t>Soil Sampling and Analysis - Pesticides: DDD, DDT, DDE</t>
  </si>
  <si>
    <t>A1016</t>
  </si>
  <si>
    <t>Soil Sampling and Analysis - Pesticides: Dieldrin</t>
  </si>
  <si>
    <t>A1017</t>
  </si>
  <si>
    <t>Soil Sampling and Analysis - Pesticides: Endrin</t>
  </si>
  <si>
    <t>A1018</t>
  </si>
  <si>
    <t>Soil Sampling and Analysis - Dioxins and Furans: PCDD, PCDF (total)</t>
  </si>
  <si>
    <t>A1019</t>
  </si>
  <si>
    <t>Soil Sampling and Analysis - Dioxins and Furans: PCB</t>
  </si>
  <si>
    <t>A1020</t>
  </si>
  <si>
    <t>Soil Sampling and Analysis - Hydrocarbons: ight Hydrocarbons C≤12</t>
  </si>
  <si>
    <t>A1021</t>
  </si>
  <si>
    <t>Soil Sampling and Analysis - Hydrocarbons: Heavy Hydrocarbons C&gt;12</t>
  </si>
  <si>
    <t>A1022</t>
  </si>
  <si>
    <t>Soil Sampling and Analysis: Asbestos (free fibers)</t>
  </si>
  <si>
    <t>A1023</t>
  </si>
  <si>
    <t>Soil Sampling and Analysis: Phtalic Acid's Esters</t>
  </si>
  <si>
    <t>A1024-A1029</t>
  </si>
  <si>
    <t>Unit Priced Labor (UPL) Work</t>
  </si>
  <si>
    <t>A1030</t>
  </si>
  <si>
    <t>Unit Priced Composite Skilled Labor Work -  MUST BE NEGOTIATED BY KO</t>
  </si>
  <si>
    <r>
      <t>Provide one composite skilled labor hour of work-in-place performed by substantially and highly trained, certified, and/or licensed craftsmen and technicians.  The composite labor hour rate should be an average of various trades such as carpenters, painters, electricians, plumbers, equipment mechanics, electronics technicians, and pest controllers, per the scope and delivery schedule specified in the order.</t>
    </r>
    <r>
      <rPr>
        <b/>
        <sz val="10"/>
        <rFont val="Times New Roman"/>
        <family val="1"/>
      </rPr>
      <t xml:space="preserve">
</t>
    </r>
  </si>
  <si>
    <t>A1031</t>
  </si>
  <si>
    <t>Unit Priced Composite Unskilled Labor Work -  MUST BE NEGOTIATED BY KO</t>
  </si>
  <si>
    <t xml:space="preserve">Provide one composite unskilled labor hour of work-in-place performed by minimally trained or untrained workers, including custodial and grounds maintenance workers, and common laborers per the scope and delivery schedule specified in the order. </t>
  </si>
  <si>
    <t>A1032</t>
  </si>
  <si>
    <t>Material and Equipment Costs -  MUST BE NEGOTIATED BY KO</t>
  </si>
  <si>
    <t>Provide all materials and equipment to perform Unit Priced Labor work per the scope and delivery schedule specified in the order.</t>
  </si>
  <si>
    <t>LS</t>
  </si>
  <si>
    <t>NTE</t>
  </si>
  <si>
    <t>TOTAL FOR LINE ITEM 0002 - BASE PERIOD - NON-RECURRING WORK (ELINs A700 THROUGH A1032)</t>
  </si>
  <si>
    <t>CLIN 0003</t>
  </si>
  <si>
    <t>Line Item 0003 - Recurring Work - 1st Option Period</t>
  </si>
  <si>
    <t>B001</t>
  </si>
  <si>
    <t>B001AA</t>
  </si>
  <si>
    <t>B001AB</t>
  </si>
  <si>
    <t>B001AC</t>
  </si>
  <si>
    <t>B001AD</t>
  </si>
  <si>
    <t>B001AE</t>
  </si>
  <si>
    <t>B001AF</t>
  </si>
  <si>
    <t>B001AG</t>
  </si>
  <si>
    <t>B001AH</t>
  </si>
  <si>
    <t>B001AJ</t>
  </si>
  <si>
    <t>B001AK</t>
  </si>
  <si>
    <t>B001AL</t>
  </si>
  <si>
    <t>B001AM</t>
  </si>
  <si>
    <t>B001AN</t>
  </si>
  <si>
    <t>B001AP</t>
  </si>
  <si>
    <t>B001AQ</t>
  </si>
  <si>
    <t>B001AR</t>
  </si>
  <si>
    <t>B001AS</t>
  </si>
  <si>
    <t>B001AT</t>
  </si>
  <si>
    <t>B001AU</t>
  </si>
  <si>
    <t>B001AV</t>
  </si>
  <si>
    <t>B001AW</t>
  </si>
  <si>
    <t>B001AX</t>
  </si>
  <si>
    <t>B001AY</t>
  </si>
  <si>
    <t>B001AZ</t>
  </si>
  <si>
    <t>B001BA</t>
  </si>
  <si>
    <t>B001BB</t>
  </si>
  <si>
    <t>B001BC</t>
  </si>
  <si>
    <t>B001BD</t>
  </si>
  <si>
    <t>B001BE</t>
  </si>
  <si>
    <t>B001BF</t>
  </si>
  <si>
    <t>B001BG</t>
  </si>
  <si>
    <t>B001BH</t>
  </si>
  <si>
    <t>B001BJ</t>
  </si>
  <si>
    <t>B001BK</t>
  </si>
  <si>
    <t>B001BL</t>
  </si>
  <si>
    <t>B001BM</t>
  </si>
  <si>
    <t>B001BN</t>
  </si>
  <si>
    <t>B001BP</t>
  </si>
  <si>
    <t>B001BQ</t>
  </si>
  <si>
    <t>B001BR</t>
  </si>
  <si>
    <t>B001BS</t>
  </si>
  <si>
    <t>B001BT</t>
  </si>
  <si>
    <t>B001BU</t>
  </si>
  <si>
    <t>B001BW</t>
  </si>
  <si>
    <t>B001BX</t>
  </si>
  <si>
    <t>B001BY</t>
  </si>
  <si>
    <t>B001BZ</t>
  </si>
  <si>
    <t>B001CA</t>
  </si>
  <si>
    <t>B001CB</t>
  </si>
  <si>
    <t>B001CC</t>
  </si>
  <si>
    <t>B001CD</t>
  </si>
  <si>
    <t>B001CE</t>
  </si>
  <si>
    <t>B001CF</t>
  </si>
  <si>
    <t>B001CG</t>
  </si>
  <si>
    <t>B001CH</t>
  </si>
  <si>
    <t>B001CJ</t>
  </si>
  <si>
    <t>B001CK</t>
  </si>
  <si>
    <t>B001CL</t>
  </si>
  <si>
    <t>B002</t>
  </si>
  <si>
    <t>B002AA</t>
  </si>
  <si>
    <t>B002AB</t>
  </si>
  <si>
    <t>B002AC</t>
  </si>
  <si>
    <t>B002AD</t>
  </si>
  <si>
    <t>B002AE</t>
  </si>
  <si>
    <t>B002AG</t>
  </si>
  <si>
    <t>B003</t>
  </si>
  <si>
    <t>B003AA</t>
  </si>
  <si>
    <t>B003AB</t>
  </si>
  <si>
    <t>B004</t>
  </si>
  <si>
    <t>B004AA</t>
  </si>
  <si>
    <t>B004AB</t>
  </si>
  <si>
    <t>B005</t>
  </si>
  <si>
    <t>B005AA</t>
  </si>
  <si>
    <t>B005AB</t>
  </si>
  <si>
    <t>B006</t>
  </si>
  <si>
    <t>B006AA</t>
  </si>
  <si>
    <t>B006AB</t>
  </si>
  <si>
    <t>B006AC</t>
  </si>
  <si>
    <t>B006AD</t>
  </si>
  <si>
    <t>B006AE</t>
  </si>
  <si>
    <t>B006AF</t>
  </si>
  <si>
    <t>B006AG</t>
  </si>
  <si>
    <t>B007</t>
  </si>
  <si>
    <t>B007AA</t>
  </si>
  <si>
    <t>B007AB</t>
  </si>
  <si>
    <t>B007AC</t>
  </si>
  <si>
    <t>B007AD</t>
  </si>
  <si>
    <t>B007AE</t>
  </si>
  <si>
    <t>B007AF</t>
  </si>
  <si>
    <t>B007AG</t>
  </si>
  <si>
    <t>B007AH</t>
  </si>
  <si>
    <t>B007AJ</t>
  </si>
  <si>
    <t>B007AK</t>
  </si>
  <si>
    <t>B007AL</t>
  </si>
  <si>
    <t>B007AM</t>
  </si>
  <si>
    <t>B007AN</t>
  </si>
  <si>
    <t>B007AP</t>
  </si>
  <si>
    <t>B007AQ</t>
  </si>
  <si>
    <t>B007AR</t>
  </si>
  <si>
    <t>B007AS</t>
  </si>
  <si>
    <t>B007AT</t>
  </si>
  <si>
    <t>B007AU</t>
  </si>
  <si>
    <t>B007AV</t>
  </si>
  <si>
    <t>B007AW</t>
  </si>
  <si>
    <t>B007AX</t>
  </si>
  <si>
    <t>B007AY</t>
  </si>
  <si>
    <t>B007AZ</t>
  </si>
  <si>
    <t>B007BA</t>
  </si>
  <si>
    <t>B007BB</t>
  </si>
  <si>
    <t>B007BC</t>
  </si>
  <si>
    <t>B007BD</t>
  </si>
  <si>
    <t>B007BE</t>
  </si>
  <si>
    <t>B007BF</t>
  </si>
  <si>
    <t>B007BG</t>
  </si>
  <si>
    <t>B008</t>
  </si>
  <si>
    <t>B008AA</t>
  </si>
  <si>
    <t>B008AB</t>
  </si>
  <si>
    <t>B008AC</t>
  </si>
  <si>
    <t>B008AD</t>
  </si>
  <si>
    <t>B008AE</t>
  </si>
  <si>
    <t>B009</t>
  </si>
  <si>
    <t>B009AA</t>
  </si>
  <si>
    <t>B010</t>
  </si>
  <si>
    <t>B010AA</t>
  </si>
  <si>
    <t>B011</t>
  </si>
  <si>
    <t>B011AA</t>
  </si>
  <si>
    <t>B011AB</t>
  </si>
  <si>
    <t>B011AC</t>
  </si>
  <si>
    <t>B011AD</t>
  </si>
  <si>
    <t>B011AE</t>
  </si>
  <si>
    <t>B011AF</t>
  </si>
  <si>
    <t>B011AG</t>
  </si>
  <si>
    <t>B011AH</t>
  </si>
  <si>
    <t>B011AJ</t>
  </si>
  <si>
    <t>B011AK</t>
  </si>
  <si>
    <t>B011AL</t>
  </si>
  <si>
    <t>B011AM</t>
  </si>
  <si>
    <t>B011AN</t>
  </si>
  <si>
    <t>B011AP</t>
  </si>
  <si>
    <t>B012</t>
  </si>
  <si>
    <t>B012AA</t>
  </si>
  <si>
    <t>B012AB</t>
  </si>
  <si>
    <t>B012AC</t>
  </si>
  <si>
    <t>B012AD</t>
  </si>
  <si>
    <t>B013</t>
  </si>
  <si>
    <t>B013AA</t>
  </si>
  <si>
    <t>B013AB</t>
  </si>
  <si>
    <t>B013AC</t>
  </si>
  <si>
    <t>B013AD</t>
  </si>
  <si>
    <t>B013AE</t>
  </si>
  <si>
    <t>B013AF</t>
  </si>
  <si>
    <t>B014</t>
  </si>
  <si>
    <t>B014AA</t>
  </si>
  <si>
    <t>B014AB</t>
  </si>
  <si>
    <t>B014AC</t>
  </si>
  <si>
    <t>B014AD</t>
  </si>
  <si>
    <t>B014AE</t>
  </si>
  <si>
    <t>B014AF</t>
  </si>
  <si>
    <t>B014AG</t>
  </si>
  <si>
    <t>B014AH</t>
  </si>
  <si>
    <t>B014AJ</t>
  </si>
  <si>
    <t>B014AK</t>
  </si>
  <si>
    <t>B014AL</t>
  </si>
  <si>
    <t>B014AM</t>
  </si>
  <si>
    <t>B014AN</t>
  </si>
  <si>
    <t>B014AP</t>
  </si>
  <si>
    <t>B015</t>
  </si>
  <si>
    <t>B015AA</t>
  </si>
  <si>
    <t>B015AB</t>
  </si>
  <si>
    <t>B015AC</t>
  </si>
  <si>
    <t>B016</t>
  </si>
  <si>
    <t>B016AA</t>
  </si>
  <si>
    <t>B016AB</t>
  </si>
  <si>
    <t>B016AC</t>
  </si>
  <si>
    <t>B016AD</t>
  </si>
  <si>
    <t>B016AE</t>
  </si>
  <si>
    <t>B016AF</t>
  </si>
  <si>
    <t>B016AG</t>
  </si>
  <si>
    <t>B016AH</t>
  </si>
  <si>
    <t>B016AJ</t>
  </si>
  <si>
    <t>B016AK</t>
  </si>
  <si>
    <t>B016AL</t>
  </si>
  <si>
    <t>B016AM</t>
  </si>
  <si>
    <t>B016AN</t>
  </si>
  <si>
    <t>B016AP</t>
  </si>
  <si>
    <t>B016AQ</t>
  </si>
  <si>
    <t>B016AR</t>
  </si>
  <si>
    <t>B016AS</t>
  </si>
  <si>
    <t>B016AT</t>
  </si>
  <si>
    <t>B016AU</t>
  </si>
  <si>
    <t>B016AV</t>
  </si>
  <si>
    <t>B016AW</t>
  </si>
  <si>
    <t>B016AX</t>
  </si>
  <si>
    <t>B016AY</t>
  </si>
  <si>
    <t>B016AZ</t>
  </si>
  <si>
    <t>B016BA</t>
  </si>
  <si>
    <t>B016BB</t>
  </si>
  <si>
    <t>B016BC</t>
  </si>
  <si>
    <t>B016BD</t>
  </si>
  <si>
    <t>B016BE</t>
  </si>
  <si>
    <t xml:space="preserve"> </t>
  </si>
  <si>
    <t>B016BF</t>
  </si>
  <si>
    <t>B016BG</t>
  </si>
  <si>
    <t>B017</t>
  </si>
  <si>
    <t>B017AA</t>
  </si>
  <si>
    <t>B017AB</t>
  </si>
  <si>
    <t>B018</t>
  </si>
  <si>
    <t>B018AA</t>
  </si>
  <si>
    <t>B018AB</t>
  </si>
  <si>
    <t>B018AC</t>
  </si>
  <si>
    <t>B018AD</t>
  </si>
  <si>
    <t>B019</t>
  </si>
  <si>
    <t>B019AA</t>
  </si>
  <si>
    <t>B019AB</t>
  </si>
  <si>
    <t>B019AC</t>
  </si>
  <si>
    <t>B019AD</t>
  </si>
  <si>
    <t>B019AE</t>
  </si>
  <si>
    <t>B020</t>
  </si>
  <si>
    <t>B020AA</t>
  </si>
  <si>
    <t>B020AB</t>
  </si>
  <si>
    <t>B020AC</t>
  </si>
  <si>
    <t>B020AD</t>
  </si>
  <si>
    <t>B020AE</t>
  </si>
  <si>
    <t>B020AF</t>
  </si>
  <si>
    <t>B020AG</t>
  </si>
  <si>
    <t>B020AH</t>
  </si>
  <si>
    <t>B020AJ</t>
  </si>
  <si>
    <t>B020AK</t>
  </si>
  <si>
    <t>B020AL</t>
  </si>
  <si>
    <t>B020AM</t>
  </si>
  <si>
    <t>B020AN</t>
  </si>
  <si>
    <t>B020AP</t>
  </si>
  <si>
    <t>B020AQ</t>
  </si>
  <si>
    <t>B020AR</t>
  </si>
  <si>
    <t>B021</t>
  </si>
  <si>
    <t>B021AA</t>
  </si>
  <si>
    <t>CLIN 0004</t>
  </si>
  <si>
    <t xml:space="preserve">Non-Recurring Work Price - 1st Option Period </t>
  </si>
  <si>
    <t>ELINs B700 THROUGH B1032</t>
  </si>
  <si>
    <t>B700</t>
  </si>
  <si>
    <t>B701-B705</t>
  </si>
  <si>
    <t>B706</t>
  </si>
  <si>
    <t>B707</t>
  </si>
  <si>
    <t>B708</t>
  </si>
  <si>
    <t>B709</t>
  </si>
  <si>
    <t>B710</t>
  </si>
  <si>
    <t>B711</t>
  </si>
  <si>
    <t>B712</t>
  </si>
  <si>
    <t>B713</t>
  </si>
  <si>
    <t>B714</t>
  </si>
  <si>
    <t>B715</t>
  </si>
  <si>
    <t>B716</t>
  </si>
  <si>
    <t>B717</t>
  </si>
  <si>
    <t>B718-B729</t>
  </si>
  <si>
    <t>B730</t>
  </si>
  <si>
    <t>B731</t>
  </si>
  <si>
    <t>B732</t>
  </si>
  <si>
    <t>B733</t>
  </si>
  <si>
    <t>B734-B749</t>
  </si>
  <si>
    <t>B750</t>
  </si>
  <si>
    <t>B751</t>
  </si>
  <si>
    <t>B752</t>
  </si>
  <si>
    <t>B753</t>
  </si>
  <si>
    <t>B754</t>
  </si>
  <si>
    <t>B755</t>
  </si>
  <si>
    <t>B756</t>
  </si>
  <si>
    <t>B757</t>
  </si>
  <si>
    <t>B758</t>
  </si>
  <si>
    <t>B759</t>
  </si>
  <si>
    <t>B760</t>
  </si>
  <si>
    <t>B761</t>
  </si>
  <si>
    <t>B762</t>
  </si>
  <si>
    <t>B763</t>
  </si>
  <si>
    <t>B764</t>
  </si>
  <si>
    <t>B765</t>
  </si>
  <si>
    <t>B766</t>
  </si>
  <si>
    <t>B767-B779</t>
  </si>
  <si>
    <t>B780</t>
  </si>
  <si>
    <t>B781</t>
  </si>
  <si>
    <t>B782</t>
  </si>
  <si>
    <t>B783</t>
  </si>
  <si>
    <t>B784</t>
  </si>
  <si>
    <t>B785</t>
  </si>
  <si>
    <t>B786</t>
  </si>
  <si>
    <t>B787</t>
  </si>
  <si>
    <t>B788</t>
  </si>
  <si>
    <t>B789</t>
  </si>
  <si>
    <t>B790</t>
  </si>
  <si>
    <t>B791</t>
  </si>
  <si>
    <t>B792</t>
  </si>
  <si>
    <t>B793</t>
  </si>
  <si>
    <t>B794</t>
  </si>
  <si>
    <t>B795</t>
  </si>
  <si>
    <t>B796</t>
  </si>
  <si>
    <t>B797</t>
  </si>
  <si>
    <t>B798-B809</t>
  </si>
  <si>
    <t>B810</t>
  </si>
  <si>
    <t>B811</t>
  </si>
  <si>
    <t>B812</t>
  </si>
  <si>
    <t>B813</t>
  </si>
  <si>
    <t>B814</t>
  </si>
  <si>
    <t>B815</t>
  </si>
  <si>
    <t>B816</t>
  </si>
  <si>
    <t>B817</t>
  </si>
  <si>
    <t>B818</t>
  </si>
  <si>
    <t>B819</t>
  </si>
  <si>
    <t>B820</t>
  </si>
  <si>
    <t>B821</t>
  </si>
  <si>
    <r>
      <t xml:space="preserve">Provide labor, management, supervision, tools, material, and equipment required to remove vertebrate carcass from 1 Kg up to 5 Kg such as birds, cats, rats and similar size.  Complete work within 1 working day or as specified in the order. </t>
    </r>
    <r>
      <rPr>
        <b/>
        <sz val="10"/>
        <rFont val="Times New Roman"/>
        <family val="1"/>
      </rPr>
      <t xml:space="preserve"> </t>
    </r>
  </si>
  <si>
    <t>B822</t>
  </si>
  <si>
    <t>B823-B829</t>
  </si>
  <si>
    <t>B830</t>
  </si>
  <si>
    <t>B831</t>
  </si>
  <si>
    <t>B832</t>
  </si>
  <si>
    <t>B833</t>
  </si>
  <si>
    <t>B834</t>
  </si>
  <si>
    <t>B835</t>
  </si>
  <si>
    <t>B836</t>
  </si>
  <si>
    <t>B837</t>
  </si>
  <si>
    <t>B838</t>
  </si>
  <si>
    <t>B839</t>
  </si>
  <si>
    <t>B840</t>
  </si>
  <si>
    <t>B841</t>
  </si>
  <si>
    <t>B842</t>
  </si>
  <si>
    <t>B843</t>
  </si>
  <si>
    <t>B844</t>
  </si>
  <si>
    <t>B845</t>
  </si>
  <si>
    <t>B846</t>
  </si>
  <si>
    <t>B847</t>
  </si>
  <si>
    <t>B848</t>
  </si>
  <si>
    <t>B849</t>
  </si>
  <si>
    <t>B850</t>
  </si>
  <si>
    <t>B851-B859</t>
  </si>
  <si>
    <t>B860</t>
  </si>
  <si>
    <t>B861</t>
  </si>
  <si>
    <t>B862</t>
  </si>
  <si>
    <t>B863</t>
  </si>
  <si>
    <t>B864</t>
  </si>
  <si>
    <t>B865</t>
  </si>
  <si>
    <t>B866</t>
  </si>
  <si>
    <t>B867</t>
  </si>
  <si>
    <t>B868</t>
  </si>
  <si>
    <t>B869</t>
  </si>
  <si>
    <t>B870</t>
  </si>
  <si>
    <t>B871</t>
  </si>
  <si>
    <t>B872</t>
  </si>
  <si>
    <t>B873</t>
  </si>
  <si>
    <t>B874</t>
  </si>
  <si>
    <t>B875</t>
  </si>
  <si>
    <t>B876</t>
  </si>
  <si>
    <t>B877</t>
  </si>
  <si>
    <t>B878</t>
  </si>
  <si>
    <t>B879</t>
  </si>
  <si>
    <t>B880-B889</t>
  </si>
  <si>
    <t>B890</t>
  </si>
  <si>
    <t>B891</t>
  </si>
  <si>
    <t>B892-B897</t>
  </si>
  <si>
    <t>B898</t>
  </si>
  <si>
    <t>B899</t>
  </si>
  <si>
    <t>B900-B909</t>
  </si>
  <si>
    <t>B910</t>
  </si>
  <si>
    <t>B911</t>
  </si>
  <si>
    <t>B912</t>
  </si>
  <si>
    <t>B913</t>
  </si>
  <si>
    <t>B914</t>
  </si>
  <si>
    <t>B915</t>
  </si>
  <si>
    <t>B916</t>
  </si>
  <si>
    <t>Provide labor, management, supervision, tools, material and equipment to provide chemical
products, Sodium Hypochlorite (Carechlor), for the Water Treatment Plants and the Waste Water Treatment Plants at NAS Sigonella, Sicily, Italy in accordance with the terms and conditions of this contract.  Products shall be delivered to: ROICC Sigonella, Strada Statale 417, Sigonella 95100.  Complete all work within 3 working days or as specified in the order.</t>
  </si>
  <si>
    <t>B917</t>
  </si>
  <si>
    <t>Provide labor, management, supervision, tools, material and equipment to provide chemical
products, Hydrochloric acid (CarepH-), for the Water Treatment Plants and the Waste Water Treatment Plants at NAS Sigonella, Sicily, Italy in accordance with the terms and conditions of this contract.  Products shall be delivered to: ROICC Sigonella, Strada Statale 417, Sigonella 95100.  Complete all work within 3 working days or as specified in the order.</t>
  </si>
  <si>
    <t>B918</t>
  </si>
  <si>
    <t>Provide labor, management, supervision, tools, material and equipment to provide chemical
products, Antiscalant (Caretreat WT RO SI), for the Water Treatment Plants and the Waste Water Treatment Plants at NAS Sigonella, Sicily, Italy in accordance with the terms and conditions of this contract.  Products shall be delivered to: ROICC Sigonella, Strada Statale 417, Sigonella 95100.  Complete all work within 3 working days or as specified in the order.</t>
  </si>
  <si>
    <t>B919</t>
  </si>
  <si>
    <t>Provide labor, management, supervision, tools, material and equipment to provide chemical
products, Sodium Hydroxide (CarepH+), for the Water Treatment Plants and the Waste Water Treatment Plants at NAS Sigonella, Sicily, Italy in accordance with the terms and conditions of this contract.  Products shall be delivered to: ROICC Sigonella, Strada Statale 417, Sigonella 95100.  Complete all work within 3 working days or as specified in the order.</t>
  </si>
  <si>
    <t>B920</t>
  </si>
  <si>
    <t>Provide labor, management, supervision, tools, material and equipment to provide chemical
products, Calcium Carbonate (Care-Cal WT), for the Water Treatment Plants and the Waste Water Treatment Plants at NAS Sigonella, Sicily, Italy in accordance with the terms and conditions of this contract.  Products shall be delivered to: ROICC Sigonella, Strada Statale 417, Sigonella 95100.  Complete all work within 3 working days or as specified in the order.</t>
  </si>
  <si>
    <t>B921</t>
  </si>
  <si>
    <t>Provide labor, management, supervision, tools, material and equipment to provide chemical
products, Sodium hypochlorite (Carechlor), for the Water Treatment Plants and the Waste Water Treatment Plants at NAS Sigonella, Sicily, Italy in accordance with the terms and conditions of this contract.  Products shall be delivered to: ROICC Sigonella, Strada Statale 417, Sigonella 95100.  Complete all work within 3 working days or as specified in the order.</t>
  </si>
  <si>
    <t>B922</t>
  </si>
  <si>
    <t>B923</t>
  </si>
  <si>
    <t>B924</t>
  </si>
  <si>
    <t>B925</t>
  </si>
  <si>
    <t>Provide labor, management, supervision, tools, material and equipment to provide chemical
products, Calcium carbonate (Care-Cal WT), for the Water Treatment Plants and the Waste Water Treatment Plants at NAS Sigonella, Sicily, Italy in accordance with the terms and conditions of this contract.  Products shall be delivered to: ROICC Sigonella, Strada Statale 417, Sigonella 95100.  Complete all work within 3 working days or as specified in the order.</t>
  </si>
  <si>
    <t>B926</t>
  </si>
  <si>
    <t>B927</t>
  </si>
  <si>
    <t>B928</t>
  </si>
  <si>
    <t>B929</t>
  </si>
  <si>
    <t>B930</t>
  </si>
  <si>
    <t>B931</t>
  </si>
  <si>
    <t>B932</t>
  </si>
  <si>
    <t>B933</t>
  </si>
  <si>
    <t>B934</t>
  </si>
  <si>
    <t>B935</t>
  </si>
  <si>
    <t>B936</t>
  </si>
  <si>
    <t>B937</t>
  </si>
  <si>
    <t>B938</t>
  </si>
  <si>
    <t>B939</t>
  </si>
  <si>
    <t>B940</t>
  </si>
  <si>
    <t>B941</t>
  </si>
  <si>
    <t>B942</t>
  </si>
  <si>
    <t>B943</t>
  </si>
  <si>
    <t>B944</t>
  </si>
  <si>
    <t>B945</t>
  </si>
  <si>
    <t>B946</t>
  </si>
  <si>
    <t>B947</t>
  </si>
  <si>
    <t>B948</t>
  </si>
  <si>
    <t>B949</t>
  </si>
  <si>
    <t>B950</t>
  </si>
  <si>
    <t>B951</t>
  </si>
  <si>
    <t>B952</t>
  </si>
  <si>
    <t>B953</t>
  </si>
  <si>
    <t>B954</t>
  </si>
  <si>
    <t>B955</t>
  </si>
  <si>
    <t>B956</t>
  </si>
  <si>
    <t>B957</t>
  </si>
  <si>
    <t>B958</t>
  </si>
  <si>
    <t>B959</t>
  </si>
  <si>
    <t>B960</t>
  </si>
  <si>
    <t>B961</t>
  </si>
  <si>
    <t>B962</t>
  </si>
  <si>
    <t>B963</t>
  </si>
  <si>
    <t>B964</t>
  </si>
  <si>
    <t>B965</t>
  </si>
  <si>
    <t>B966</t>
  </si>
  <si>
    <t>B967</t>
  </si>
  <si>
    <t>B968</t>
  </si>
  <si>
    <t>B969</t>
  </si>
  <si>
    <t>B970</t>
  </si>
  <si>
    <t>B971</t>
  </si>
  <si>
    <t>B972</t>
  </si>
  <si>
    <t>B973</t>
  </si>
  <si>
    <t>B974</t>
  </si>
  <si>
    <t>B975</t>
  </si>
  <si>
    <t>B976</t>
  </si>
  <si>
    <t>B977</t>
  </si>
  <si>
    <t>B978</t>
  </si>
  <si>
    <t>B979</t>
  </si>
  <si>
    <t>B980</t>
  </si>
  <si>
    <t>B981</t>
  </si>
  <si>
    <t>B982</t>
  </si>
  <si>
    <t>B983</t>
  </si>
  <si>
    <t>B984</t>
  </si>
  <si>
    <t>B985</t>
  </si>
  <si>
    <t>B986</t>
  </si>
  <si>
    <t>B987</t>
  </si>
  <si>
    <t>B988</t>
  </si>
  <si>
    <t>B989</t>
  </si>
  <si>
    <t>B990</t>
  </si>
  <si>
    <t>B991</t>
  </si>
  <si>
    <t>B992</t>
  </si>
  <si>
    <t>B993</t>
  </si>
  <si>
    <t>B994</t>
  </si>
  <si>
    <t>B995</t>
  </si>
  <si>
    <t>B996</t>
  </si>
  <si>
    <t>B997</t>
  </si>
  <si>
    <t>B998</t>
  </si>
  <si>
    <t>B999</t>
  </si>
  <si>
    <t>B1000</t>
  </si>
  <si>
    <t>B1001</t>
  </si>
  <si>
    <t>B1002</t>
  </si>
  <si>
    <t>B1003</t>
  </si>
  <si>
    <t>B1004</t>
  </si>
  <si>
    <t>B1005</t>
  </si>
  <si>
    <t>B1006</t>
  </si>
  <si>
    <t>B1007</t>
  </si>
  <si>
    <t>B1008</t>
  </si>
  <si>
    <t>B1009</t>
  </si>
  <si>
    <t>B1010</t>
  </si>
  <si>
    <t>B1011</t>
  </si>
  <si>
    <t>B1012</t>
  </si>
  <si>
    <t>B1013</t>
  </si>
  <si>
    <t>B1014</t>
  </si>
  <si>
    <t>B1015</t>
  </si>
  <si>
    <t>B1016</t>
  </si>
  <si>
    <t>B1017</t>
  </si>
  <si>
    <t>B1018</t>
  </si>
  <si>
    <t>B1019</t>
  </si>
  <si>
    <t>B1020</t>
  </si>
  <si>
    <t>B1021</t>
  </si>
  <si>
    <t>B1022</t>
  </si>
  <si>
    <t>B1023</t>
  </si>
  <si>
    <t>B1024-B1029</t>
  </si>
  <si>
    <t>B1030</t>
  </si>
  <si>
    <t>B1031</t>
  </si>
  <si>
    <t>B1032</t>
  </si>
  <si>
    <t>TOTAL FOR LINE ITEM 0004 - 1ST OPTION PERIOD - NON-RECURRING WORK (ELINs B700 THROUGH B1032)</t>
  </si>
  <si>
    <t>CLIN 0005</t>
  </si>
  <si>
    <t>Line Item 0005 - Recurring Work - 2nd Option Year</t>
  </si>
  <si>
    <t>C001</t>
  </si>
  <si>
    <t>C001AA</t>
  </si>
  <si>
    <t>C001AB</t>
  </si>
  <si>
    <t>C001AC</t>
  </si>
  <si>
    <t>C001AD</t>
  </si>
  <si>
    <t>C001AE</t>
  </si>
  <si>
    <t>C001AF</t>
  </si>
  <si>
    <t>C001AG</t>
  </si>
  <si>
    <t>C001AH</t>
  </si>
  <si>
    <t>C001AJ</t>
  </si>
  <si>
    <t>C001AK</t>
  </si>
  <si>
    <t>C001AL</t>
  </si>
  <si>
    <t>C001AM</t>
  </si>
  <si>
    <t>C001AN</t>
  </si>
  <si>
    <t>C001AP</t>
  </si>
  <si>
    <t>C001AQ</t>
  </si>
  <si>
    <t>C001AR</t>
  </si>
  <si>
    <t>C001AS</t>
  </si>
  <si>
    <t>C001AT</t>
  </si>
  <si>
    <t>C001AU</t>
  </si>
  <si>
    <t>C001AV</t>
  </si>
  <si>
    <t>C001AW</t>
  </si>
  <si>
    <t>C001AX</t>
  </si>
  <si>
    <t>C001AY</t>
  </si>
  <si>
    <t>C001AZ</t>
  </si>
  <si>
    <t>C001BA</t>
  </si>
  <si>
    <t>C001BB</t>
  </si>
  <si>
    <t>C001BC</t>
  </si>
  <si>
    <t>C001BD</t>
  </si>
  <si>
    <t>C001BE</t>
  </si>
  <si>
    <t>C001BF</t>
  </si>
  <si>
    <t>C001BG</t>
  </si>
  <si>
    <t>C001BH</t>
  </si>
  <si>
    <t>C001BJ</t>
  </si>
  <si>
    <t>C001BK</t>
  </si>
  <si>
    <t>C001BL</t>
  </si>
  <si>
    <t>C001BM</t>
  </si>
  <si>
    <t>C001BN</t>
  </si>
  <si>
    <t>C001BP</t>
  </si>
  <si>
    <t>C001BQ</t>
  </si>
  <si>
    <t>C001BR</t>
  </si>
  <si>
    <t>C001BS</t>
  </si>
  <si>
    <t>C001BT</t>
  </si>
  <si>
    <t>C001BU</t>
  </si>
  <si>
    <t>C001BW</t>
  </si>
  <si>
    <t>C001BX</t>
  </si>
  <si>
    <t>C001BY</t>
  </si>
  <si>
    <t>C001BZ</t>
  </si>
  <si>
    <t>C001CA</t>
  </si>
  <si>
    <t>C001CB</t>
  </si>
  <si>
    <t>C001CC</t>
  </si>
  <si>
    <t>C001CD</t>
  </si>
  <si>
    <t>C001CE</t>
  </si>
  <si>
    <t>C001CF</t>
  </si>
  <si>
    <t>C001CG</t>
  </si>
  <si>
    <t>C001CH</t>
  </si>
  <si>
    <t>C001CJ</t>
  </si>
  <si>
    <t>C001CK</t>
  </si>
  <si>
    <t>C001CL</t>
  </si>
  <si>
    <t>C002</t>
  </si>
  <si>
    <t>C002AA</t>
  </si>
  <si>
    <t>C002AB</t>
  </si>
  <si>
    <t>C002AC</t>
  </si>
  <si>
    <t>C002AD</t>
  </si>
  <si>
    <t>C002AE</t>
  </si>
  <si>
    <t>C002AG</t>
  </si>
  <si>
    <t>C003</t>
  </si>
  <si>
    <t>C003AA</t>
  </si>
  <si>
    <t>C003AB</t>
  </si>
  <si>
    <t>C004</t>
  </si>
  <si>
    <t>C004AA</t>
  </si>
  <si>
    <t>C004AB</t>
  </si>
  <si>
    <t>C005</t>
  </si>
  <si>
    <t>C005AA</t>
  </si>
  <si>
    <t>C005AB</t>
  </si>
  <si>
    <t>C006</t>
  </si>
  <si>
    <t>C006AA</t>
  </si>
  <si>
    <t>C006AB</t>
  </si>
  <si>
    <t>C006AC</t>
  </si>
  <si>
    <t>C006AD</t>
  </si>
  <si>
    <t>C006AE</t>
  </si>
  <si>
    <t>C006AF</t>
  </si>
  <si>
    <t>C006AG</t>
  </si>
  <si>
    <t>C007</t>
  </si>
  <si>
    <t>C007AA</t>
  </si>
  <si>
    <t>C007AB</t>
  </si>
  <si>
    <t>C007AC</t>
  </si>
  <si>
    <t>C007AD</t>
  </si>
  <si>
    <t>C007AE</t>
  </si>
  <si>
    <t>C007AF</t>
  </si>
  <si>
    <t>C007AG</t>
  </si>
  <si>
    <t>C007AH</t>
  </si>
  <si>
    <t>C007AJ</t>
  </si>
  <si>
    <t>C007AK</t>
  </si>
  <si>
    <t>C007AL</t>
  </si>
  <si>
    <t>C007AM</t>
  </si>
  <si>
    <t>C007AN</t>
  </si>
  <si>
    <t>C007AP</t>
  </si>
  <si>
    <t>C007AQ</t>
  </si>
  <si>
    <t>C007AR</t>
  </si>
  <si>
    <t>C007AS</t>
  </si>
  <si>
    <t>C007AT</t>
  </si>
  <si>
    <t>C007AU</t>
  </si>
  <si>
    <t>C007AV</t>
  </si>
  <si>
    <t>C007AW</t>
  </si>
  <si>
    <t>C007AX</t>
  </si>
  <si>
    <t>C007AY</t>
  </si>
  <si>
    <t>C007AZ</t>
  </si>
  <si>
    <t>C007BA</t>
  </si>
  <si>
    <t>C007BB</t>
  </si>
  <si>
    <t>C007BC</t>
  </si>
  <si>
    <t>C007BD</t>
  </si>
  <si>
    <t>C007BE</t>
  </si>
  <si>
    <t>C007BF</t>
  </si>
  <si>
    <t>C007BG</t>
  </si>
  <si>
    <t>C008</t>
  </si>
  <si>
    <t>C008AA</t>
  </si>
  <si>
    <t>C008AB</t>
  </si>
  <si>
    <t>C008AC</t>
  </si>
  <si>
    <t>C008AD</t>
  </si>
  <si>
    <t>C008AE</t>
  </si>
  <si>
    <t>C009</t>
  </si>
  <si>
    <t>C009AA</t>
  </si>
  <si>
    <t>C010</t>
  </si>
  <si>
    <t>C010AA</t>
  </si>
  <si>
    <t>C011</t>
  </si>
  <si>
    <t>C011AA</t>
  </si>
  <si>
    <t>C011AB</t>
  </si>
  <si>
    <t>C011AC</t>
  </si>
  <si>
    <t>C011AD</t>
  </si>
  <si>
    <t>C011AE</t>
  </si>
  <si>
    <t>C011AF</t>
  </si>
  <si>
    <t>C011AG</t>
  </si>
  <si>
    <t>C011AH</t>
  </si>
  <si>
    <t>C011AJ</t>
  </si>
  <si>
    <t>C011AK</t>
  </si>
  <si>
    <t>C011AL</t>
  </si>
  <si>
    <t>C011AM</t>
  </si>
  <si>
    <t>C011AN</t>
  </si>
  <si>
    <t>C011AP</t>
  </si>
  <si>
    <t>C012</t>
  </si>
  <si>
    <t>C012AA</t>
  </si>
  <si>
    <t>C012AB</t>
  </si>
  <si>
    <t>C012AC</t>
  </si>
  <si>
    <t>C012AD</t>
  </si>
  <si>
    <t>C013</t>
  </si>
  <si>
    <t>C013AA</t>
  </si>
  <si>
    <t>C013AB</t>
  </si>
  <si>
    <t>C013AC</t>
  </si>
  <si>
    <t>C013AD</t>
  </si>
  <si>
    <t>C013AE</t>
  </si>
  <si>
    <t>C013AF</t>
  </si>
  <si>
    <t>C014</t>
  </si>
  <si>
    <t>C014AA</t>
  </si>
  <si>
    <t>C014AB</t>
  </si>
  <si>
    <t>C014AC</t>
  </si>
  <si>
    <t>C014AD</t>
  </si>
  <si>
    <t>C014AE</t>
  </si>
  <si>
    <t>C014AF</t>
  </si>
  <si>
    <t>C014AG</t>
  </si>
  <si>
    <t>C014AH</t>
  </si>
  <si>
    <t>C014AJ</t>
  </si>
  <si>
    <t>C014AK</t>
  </si>
  <si>
    <t>C014AL</t>
  </si>
  <si>
    <t>C014AM</t>
  </si>
  <si>
    <t>C014AN</t>
  </si>
  <si>
    <t>C014AP</t>
  </si>
  <si>
    <t>C015</t>
  </si>
  <si>
    <t>C015AA</t>
  </si>
  <si>
    <t>C015AB</t>
  </si>
  <si>
    <t>C015AC</t>
  </si>
  <si>
    <t>C016</t>
  </si>
  <si>
    <t>C016AA</t>
  </si>
  <si>
    <t>C016AB</t>
  </si>
  <si>
    <t>C016AC</t>
  </si>
  <si>
    <t>C016AD</t>
  </si>
  <si>
    <t>C016AE</t>
  </si>
  <si>
    <t>C016AF</t>
  </si>
  <si>
    <t>C016AG</t>
  </si>
  <si>
    <t>C016AH</t>
  </si>
  <si>
    <t>C016AJ</t>
  </si>
  <si>
    <t>C016AK</t>
  </si>
  <si>
    <t>C016AL</t>
  </si>
  <si>
    <t>C016AM</t>
  </si>
  <si>
    <t>C016AN</t>
  </si>
  <si>
    <t>C016AP</t>
  </si>
  <si>
    <t>C016AQ</t>
  </si>
  <si>
    <t>C016AR</t>
  </si>
  <si>
    <t>C016AS</t>
  </si>
  <si>
    <t>C016AT</t>
  </si>
  <si>
    <t>C016AU</t>
  </si>
  <si>
    <t>C016AV</t>
  </si>
  <si>
    <t>C016AW</t>
  </si>
  <si>
    <t>C016AX</t>
  </si>
  <si>
    <t>C016AY</t>
  </si>
  <si>
    <t>C016AZ</t>
  </si>
  <si>
    <t>C016BA</t>
  </si>
  <si>
    <t>C016BB</t>
  </si>
  <si>
    <t>C016BC</t>
  </si>
  <si>
    <t>C016BD</t>
  </si>
  <si>
    <t>C016BE</t>
  </si>
  <si>
    <t>C016BF</t>
  </si>
  <si>
    <t>C016BG</t>
  </si>
  <si>
    <t>C017</t>
  </si>
  <si>
    <t>C017AA</t>
  </si>
  <si>
    <t>C017AB</t>
  </si>
  <si>
    <t>C018</t>
  </si>
  <si>
    <t>C018AA</t>
  </si>
  <si>
    <t>C018AB</t>
  </si>
  <si>
    <t>C018AC</t>
  </si>
  <si>
    <t>C018AD</t>
  </si>
  <si>
    <t>C019</t>
  </si>
  <si>
    <t>C019AA</t>
  </si>
  <si>
    <t>C019AB</t>
  </si>
  <si>
    <t>C019AC</t>
  </si>
  <si>
    <t>C019AD</t>
  </si>
  <si>
    <t>C019AE</t>
  </si>
  <si>
    <t>C020</t>
  </si>
  <si>
    <t>C020AA</t>
  </si>
  <si>
    <t>C020AB</t>
  </si>
  <si>
    <t>C020AC</t>
  </si>
  <si>
    <t>C020AD</t>
  </si>
  <si>
    <t>C020AE</t>
  </si>
  <si>
    <t>C020AF</t>
  </si>
  <si>
    <t>C020AG</t>
  </si>
  <si>
    <t>C020AH</t>
  </si>
  <si>
    <t>C020AJ</t>
  </si>
  <si>
    <t>C020AK</t>
  </si>
  <si>
    <t>C020AL</t>
  </si>
  <si>
    <t>C020AM</t>
  </si>
  <si>
    <t>C020AN</t>
  </si>
  <si>
    <t>C020AP</t>
  </si>
  <si>
    <t>C020AQ</t>
  </si>
  <si>
    <t>C020AR</t>
  </si>
  <si>
    <t>C021</t>
  </si>
  <si>
    <t>CLIN 0006</t>
  </si>
  <si>
    <t xml:space="preserve">Non-Recurring Work Price - 2nd Option Period </t>
  </si>
  <si>
    <t>ELINs C700 THROUGH C1032</t>
  </si>
  <si>
    <t>C700</t>
  </si>
  <si>
    <t>C701-C705</t>
  </si>
  <si>
    <t>C706</t>
  </si>
  <si>
    <t>C707</t>
  </si>
  <si>
    <t>C708</t>
  </si>
  <si>
    <t>C709</t>
  </si>
  <si>
    <t>C710</t>
  </si>
  <si>
    <t>C711</t>
  </si>
  <si>
    <t>C712</t>
  </si>
  <si>
    <t>C713</t>
  </si>
  <si>
    <t>C714</t>
  </si>
  <si>
    <t>C715</t>
  </si>
  <si>
    <t>C716</t>
  </si>
  <si>
    <t>C717</t>
  </si>
  <si>
    <t>C718-C729</t>
  </si>
  <si>
    <t>C730</t>
  </si>
  <si>
    <t>C731</t>
  </si>
  <si>
    <t>C732</t>
  </si>
  <si>
    <t>C733</t>
  </si>
  <si>
    <t>C734-C749</t>
  </si>
  <si>
    <t>C750</t>
  </si>
  <si>
    <t>C751</t>
  </si>
  <si>
    <t>C752</t>
  </si>
  <si>
    <t>C753</t>
  </si>
  <si>
    <t>C754</t>
  </si>
  <si>
    <t>C755</t>
  </si>
  <si>
    <t>C756</t>
  </si>
  <si>
    <t>C757</t>
  </si>
  <si>
    <t>C758</t>
  </si>
  <si>
    <t>C759</t>
  </si>
  <si>
    <t>C760</t>
  </si>
  <si>
    <t>C761</t>
  </si>
  <si>
    <t>C762</t>
  </si>
  <si>
    <t>C763</t>
  </si>
  <si>
    <t>C764</t>
  </si>
  <si>
    <t>C765</t>
  </si>
  <si>
    <t>C766</t>
  </si>
  <si>
    <t>C767-C779</t>
  </si>
  <si>
    <t>C780</t>
  </si>
  <si>
    <t>C781</t>
  </si>
  <si>
    <t>C782</t>
  </si>
  <si>
    <t>C783</t>
  </si>
  <si>
    <t>C784</t>
  </si>
  <si>
    <t>C785</t>
  </si>
  <si>
    <t>C786</t>
  </si>
  <si>
    <t>C787</t>
  </si>
  <si>
    <t>C788</t>
  </si>
  <si>
    <t>C789</t>
  </si>
  <si>
    <t>C790</t>
  </si>
  <si>
    <t>C791</t>
  </si>
  <si>
    <t>C792</t>
  </si>
  <si>
    <t>C793</t>
  </si>
  <si>
    <t>C794</t>
  </si>
  <si>
    <t>C795</t>
  </si>
  <si>
    <t>C796</t>
  </si>
  <si>
    <t>C797</t>
  </si>
  <si>
    <t>C798-C809</t>
  </si>
  <si>
    <t>C810</t>
  </si>
  <si>
    <t>C811</t>
  </si>
  <si>
    <t>C812</t>
  </si>
  <si>
    <t>C813</t>
  </si>
  <si>
    <t>C814</t>
  </si>
  <si>
    <t>C815</t>
  </si>
  <si>
    <t>C816</t>
  </si>
  <si>
    <t>C817</t>
  </si>
  <si>
    <t>C818</t>
  </si>
  <si>
    <t>C819</t>
  </si>
  <si>
    <t>C820</t>
  </si>
  <si>
    <t>C821</t>
  </si>
  <si>
    <t>C822</t>
  </si>
  <si>
    <t>C823-C829</t>
  </si>
  <si>
    <t>C830</t>
  </si>
  <si>
    <t>C831</t>
  </si>
  <si>
    <t>C832</t>
  </si>
  <si>
    <t>C833</t>
  </si>
  <si>
    <t>C834</t>
  </si>
  <si>
    <t>C835</t>
  </si>
  <si>
    <t>C836</t>
  </si>
  <si>
    <t>C837</t>
  </si>
  <si>
    <t>C838</t>
  </si>
  <si>
    <t>C839</t>
  </si>
  <si>
    <t>C840</t>
  </si>
  <si>
    <t>C841</t>
  </si>
  <si>
    <t>C842</t>
  </si>
  <si>
    <t>C843</t>
  </si>
  <si>
    <t>C844</t>
  </si>
  <si>
    <t>C845</t>
  </si>
  <si>
    <t>C846</t>
  </si>
  <si>
    <t>C847</t>
  </si>
  <si>
    <t>C848</t>
  </si>
  <si>
    <t>C849</t>
  </si>
  <si>
    <t>C850</t>
  </si>
  <si>
    <t>C851-C859</t>
  </si>
  <si>
    <t>C860</t>
  </si>
  <si>
    <t>C861</t>
  </si>
  <si>
    <t>C862</t>
  </si>
  <si>
    <t>C863</t>
  </si>
  <si>
    <t>C864</t>
  </si>
  <si>
    <t>C865</t>
  </si>
  <si>
    <t>C866</t>
  </si>
  <si>
    <t>C867</t>
  </si>
  <si>
    <t>C868</t>
  </si>
  <si>
    <t>C869</t>
  </si>
  <si>
    <t>C870</t>
  </si>
  <si>
    <t>C871</t>
  </si>
  <si>
    <t>C872</t>
  </si>
  <si>
    <t>C873</t>
  </si>
  <si>
    <t>C874</t>
  </si>
  <si>
    <t>C875</t>
  </si>
  <si>
    <t>C876</t>
  </si>
  <si>
    <t>C877</t>
  </si>
  <si>
    <t>C878</t>
  </si>
  <si>
    <t>C879</t>
  </si>
  <si>
    <t>C880-C889</t>
  </si>
  <si>
    <t>C890</t>
  </si>
  <si>
    <t>C891</t>
  </si>
  <si>
    <t>C892-C897</t>
  </si>
  <si>
    <t>C898</t>
  </si>
  <si>
    <t>C899</t>
  </si>
  <si>
    <t>C900-C909</t>
  </si>
  <si>
    <t>C910</t>
  </si>
  <si>
    <t>C911</t>
  </si>
  <si>
    <t>C912</t>
  </si>
  <si>
    <t>C913</t>
  </si>
  <si>
    <t>C914</t>
  </si>
  <si>
    <t>C915</t>
  </si>
  <si>
    <t>C916</t>
  </si>
  <si>
    <t>C917</t>
  </si>
  <si>
    <t>C918</t>
  </si>
  <si>
    <t>C919</t>
  </si>
  <si>
    <t>C920</t>
  </si>
  <si>
    <t>C921</t>
  </si>
  <si>
    <t>C922</t>
  </si>
  <si>
    <t>C923</t>
  </si>
  <si>
    <t>C924</t>
  </si>
  <si>
    <t>C925</t>
  </si>
  <si>
    <t>C926</t>
  </si>
  <si>
    <t>C927</t>
  </si>
  <si>
    <t>C928</t>
  </si>
  <si>
    <t>C929</t>
  </si>
  <si>
    <t>C930</t>
  </si>
  <si>
    <t>C931</t>
  </si>
  <si>
    <t>C932</t>
  </si>
  <si>
    <t>C933</t>
  </si>
  <si>
    <t>C934</t>
  </si>
  <si>
    <t>C935</t>
  </si>
  <si>
    <t>C936</t>
  </si>
  <si>
    <t>C937</t>
  </si>
  <si>
    <t>C938</t>
  </si>
  <si>
    <t>C939</t>
  </si>
  <si>
    <t>C940</t>
  </si>
  <si>
    <t>C941</t>
  </si>
  <si>
    <t>C942</t>
  </si>
  <si>
    <t>C943</t>
  </si>
  <si>
    <t>C944</t>
  </si>
  <si>
    <t>C945</t>
  </si>
  <si>
    <t>C946</t>
  </si>
  <si>
    <t>C947</t>
  </si>
  <si>
    <t>C948</t>
  </si>
  <si>
    <t>C949</t>
  </si>
  <si>
    <t>C950</t>
  </si>
  <si>
    <t>C951</t>
  </si>
  <si>
    <t>C952</t>
  </si>
  <si>
    <t>C953</t>
  </si>
  <si>
    <t>C954</t>
  </si>
  <si>
    <t>C955</t>
  </si>
  <si>
    <t>C956</t>
  </si>
  <si>
    <t>C957</t>
  </si>
  <si>
    <t>C958</t>
  </si>
  <si>
    <t>C959</t>
  </si>
  <si>
    <t>C960</t>
  </si>
  <si>
    <t>C961</t>
  </si>
  <si>
    <t>C962</t>
  </si>
  <si>
    <t>C963</t>
  </si>
  <si>
    <t>C964</t>
  </si>
  <si>
    <t>C965</t>
  </si>
  <si>
    <t>C966</t>
  </si>
  <si>
    <t>C967</t>
  </si>
  <si>
    <t>C968</t>
  </si>
  <si>
    <t>C969</t>
  </si>
  <si>
    <t>C970</t>
  </si>
  <si>
    <t>C971</t>
  </si>
  <si>
    <t>C972</t>
  </si>
  <si>
    <t>C973</t>
  </si>
  <si>
    <t>C974</t>
  </si>
  <si>
    <t>C975</t>
  </si>
  <si>
    <t>C976</t>
  </si>
  <si>
    <t>C977</t>
  </si>
  <si>
    <t>C978</t>
  </si>
  <si>
    <t>C979</t>
  </si>
  <si>
    <t>C980</t>
  </si>
  <si>
    <t>C981</t>
  </si>
  <si>
    <t>C982</t>
  </si>
  <si>
    <t>C983</t>
  </si>
  <si>
    <t>C984</t>
  </si>
  <si>
    <t>C985</t>
  </si>
  <si>
    <t>C986</t>
  </si>
  <si>
    <t>C987</t>
  </si>
  <si>
    <t>C988</t>
  </si>
  <si>
    <t>C989</t>
  </si>
  <si>
    <t>C990</t>
  </si>
  <si>
    <t>C991</t>
  </si>
  <si>
    <t>C992</t>
  </si>
  <si>
    <t>C993</t>
  </si>
  <si>
    <t>C994</t>
  </si>
  <si>
    <t>C995</t>
  </si>
  <si>
    <t>C996</t>
  </si>
  <si>
    <t>C997</t>
  </si>
  <si>
    <t>C998</t>
  </si>
  <si>
    <t>C999</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</si>
  <si>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</si>
  <si>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</si>
  <si>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</si>
  <si>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</si>
  <si>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</si>
  <si>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</si>
  <si>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</si>
  <si>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</si>
  <si>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</si>
  <si>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</si>
  <si>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</si>
  <si>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</si>
  <si>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</si>
  <si>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</si>
  <si>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</si>
  <si>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</si>
  <si>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</si>
  <si>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</si>
  <si>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</si>
  <si>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</si>
  <si>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</si>
  <si>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</si>
  <si>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</si>
  <si>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</si>
  <si>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C1024-C1029</t>
  </si>
  <si>
    <t>C1030</t>
  </si>
  <si>
    <t>C1031</t>
  </si>
  <si>
    <t>C1032</t>
  </si>
  <si>
    <t>TOTAL FOR LINE ITEM 0006 - 2ND OPTION PERIOD - NON-RECURRING WORK (ELINs C700 THROUGH C1032)</t>
  </si>
  <si>
    <t>CLIN 0007</t>
  </si>
  <si>
    <t>Line Item 0007 - Recurring Work - 3rd Option Year</t>
  </si>
  <si>
    <t>D001</t>
  </si>
  <si>
    <t>D001AA</t>
  </si>
  <si>
    <t>D001AB</t>
  </si>
  <si>
    <t>D001AC</t>
  </si>
  <si>
    <t>D001AD</t>
  </si>
  <si>
    <t>D001AE</t>
  </si>
  <si>
    <t>D001AF</t>
  </si>
  <si>
    <t>D001AG</t>
  </si>
  <si>
    <t>D001AH</t>
  </si>
  <si>
    <t>D001AJ</t>
  </si>
  <si>
    <t>D001AK</t>
  </si>
  <si>
    <t>D001AL</t>
  </si>
  <si>
    <t>D001AM</t>
  </si>
  <si>
    <t>D001AN</t>
  </si>
  <si>
    <t>D001AP</t>
  </si>
  <si>
    <t>D001AQ</t>
  </si>
  <si>
    <t>D001AR</t>
  </si>
  <si>
    <t>D001AS</t>
  </si>
  <si>
    <t>D001AT</t>
  </si>
  <si>
    <t>D001AU</t>
  </si>
  <si>
    <t>D001AV</t>
  </si>
  <si>
    <t>D001AW</t>
  </si>
  <si>
    <t>D001AX</t>
  </si>
  <si>
    <t>D001AY</t>
  </si>
  <si>
    <t>D001AZ</t>
  </si>
  <si>
    <t>D001BA</t>
  </si>
  <si>
    <t>D001BB</t>
  </si>
  <si>
    <t>D001BC</t>
  </si>
  <si>
    <t>D001BD</t>
  </si>
  <si>
    <t>D001BE</t>
  </si>
  <si>
    <t>D001BF</t>
  </si>
  <si>
    <t>D001BG</t>
  </si>
  <si>
    <t>D001BH</t>
  </si>
  <si>
    <t>D001BJ</t>
  </si>
  <si>
    <t>D001BK</t>
  </si>
  <si>
    <t>D001BL</t>
  </si>
  <si>
    <t>D001BM</t>
  </si>
  <si>
    <t>D001BN</t>
  </si>
  <si>
    <t>D001BP</t>
  </si>
  <si>
    <t>D001BQ</t>
  </si>
  <si>
    <t>D001BR</t>
  </si>
  <si>
    <t>D001BS</t>
  </si>
  <si>
    <t>D001BT</t>
  </si>
  <si>
    <t>D001BU</t>
  </si>
  <si>
    <t>D001BW</t>
  </si>
  <si>
    <t>D001BX</t>
  </si>
  <si>
    <t>D001BY</t>
  </si>
  <si>
    <t>D001BZ</t>
  </si>
  <si>
    <t>D001CA</t>
  </si>
  <si>
    <t>D001CB</t>
  </si>
  <si>
    <t>D001CC</t>
  </si>
  <si>
    <t>D001CD</t>
  </si>
  <si>
    <t>D001CE</t>
  </si>
  <si>
    <t>D001CF</t>
  </si>
  <si>
    <t>D001CG</t>
  </si>
  <si>
    <t>D001CH</t>
  </si>
  <si>
    <t>D001CJ</t>
  </si>
  <si>
    <t>D001CK</t>
  </si>
  <si>
    <t>D001CL</t>
  </si>
  <si>
    <t>D002</t>
  </si>
  <si>
    <t>D002AA</t>
  </si>
  <si>
    <t>D002AB</t>
  </si>
  <si>
    <t>D002AC</t>
  </si>
  <si>
    <t>D002AD</t>
  </si>
  <si>
    <t>D002AE</t>
  </si>
  <si>
    <t>D002AF</t>
  </si>
  <si>
    <t>D002AG</t>
  </si>
  <si>
    <t>D003</t>
  </si>
  <si>
    <t>D003AA</t>
  </si>
  <si>
    <t>D003AB</t>
  </si>
  <si>
    <t>D004</t>
  </si>
  <si>
    <t>D004AA</t>
  </si>
  <si>
    <t>D004AB</t>
  </si>
  <si>
    <t>D005</t>
  </si>
  <si>
    <t>D005AA</t>
  </si>
  <si>
    <t>D005AB</t>
  </si>
  <si>
    <t>D006</t>
  </si>
  <si>
    <t>D006AA</t>
  </si>
  <si>
    <t>D006AB</t>
  </si>
  <si>
    <t>D006AC</t>
  </si>
  <si>
    <t>D006AD</t>
  </si>
  <si>
    <t>D006AE</t>
  </si>
  <si>
    <t>D006AF</t>
  </si>
  <si>
    <t>D006AG</t>
  </si>
  <si>
    <t>D007</t>
  </si>
  <si>
    <t>D007AA</t>
  </si>
  <si>
    <t>D007AB</t>
  </si>
  <si>
    <t>D007AC</t>
  </si>
  <si>
    <t>D007AD</t>
  </si>
  <si>
    <t>D007AE</t>
  </si>
  <si>
    <t>D007AF</t>
  </si>
  <si>
    <t>D007AG</t>
  </si>
  <si>
    <t>D007AH</t>
  </si>
  <si>
    <t>D007AJ</t>
  </si>
  <si>
    <t>D007AK</t>
  </si>
  <si>
    <t>D007AL</t>
  </si>
  <si>
    <t>D007AM</t>
  </si>
  <si>
    <t>D007AN</t>
  </si>
  <si>
    <t>D007AP</t>
  </si>
  <si>
    <t>D007AQ</t>
  </si>
  <si>
    <t>D007AR</t>
  </si>
  <si>
    <t>D007AS</t>
  </si>
  <si>
    <t>D007AT</t>
  </si>
  <si>
    <t>D007AU</t>
  </si>
  <si>
    <t>D007AV</t>
  </si>
  <si>
    <t>D007AW</t>
  </si>
  <si>
    <t>D007AX</t>
  </si>
  <si>
    <t>D007AY</t>
  </si>
  <si>
    <t>D007AZ</t>
  </si>
  <si>
    <t>D007BA</t>
  </si>
  <si>
    <t>D007BB</t>
  </si>
  <si>
    <t>D007BC</t>
  </si>
  <si>
    <t>D007BD</t>
  </si>
  <si>
    <t>D007BE</t>
  </si>
  <si>
    <t>D007BF</t>
  </si>
  <si>
    <t>D007BG</t>
  </si>
  <si>
    <t>D008</t>
  </si>
  <si>
    <t>D008AA</t>
  </si>
  <si>
    <t>D008AB</t>
  </si>
  <si>
    <t>D008AC</t>
  </si>
  <si>
    <t>D008AD</t>
  </si>
  <si>
    <t>D008AE</t>
  </si>
  <si>
    <t>D009</t>
  </si>
  <si>
    <t>D009AA</t>
  </si>
  <si>
    <t>D010</t>
  </si>
  <si>
    <t>D010AA</t>
  </si>
  <si>
    <t>D011</t>
  </si>
  <si>
    <t>D011AA</t>
  </si>
  <si>
    <t>D011AB</t>
  </si>
  <si>
    <t>D011AC</t>
  </si>
  <si>
    <t>D011AD</t>
  </si>
  <si>
    <t>D011AE</t>
  </si>
  <si>
    <t>D011AF</t>
  </si>
  <si>
    <t>D011AG</t>
  </si>
  <si>
    <t>D011AH</t>
  </si>
  <si>
    <t>D011AJ</t>
  </si>
  <si>
    <t>D011AK</t>
  </si>
  <si>
    <t>D011AL</t>
  </si>
  <si>
    <t>D011AM</t>
  </si>
  <si>
    <t>D011AN</t>
  </si>
  <si>
    <t>D011AP</t>
  </si>
  <si>
    <t>D012</t>
  </si>
  <si>
    <t>D012AA</t>
  </si>
  <si>
    <t>D012AB</t>
  </si>
  <si>
    <t>D012AC</t>
  </si>
  <si>
    <t>D012AD</t>
  </si>
  <si>
    <t>D013</t>
  </si>
  <si>
    <t>D013AA</t>
  </si>
  <si>
    <t>D013AB</t>
  </si>
  <si>
    <t>D013AC</t>
  </si>
  <si>
    <t>D013AD</t>
  </si>
  <si>
    <t>D013AE</t>
  </si>
  <si>
    <t>D013AF</t>
  </si>
  <si>
    <t>D014</t>
  </si>
  <si>
    <t>D014AA</t>
  </si>
  <si>
    <t>D014AB</t>
  </si>
  <si>
    <t>D014AC</t>
  </si>
  <si>
    <t>D014AD</t>
  </si>
  <si>
    <t>D014AE</t>
  </si>
  <si>
    <t>D014AF</t>
  </si>
  <si>
    <t>D014AG</t>
  </si>
  <si>
    <t>D014AH</t>
  </si>
  <si>
    <t>D014AJ</t>
  </si>
  <si>
    <t>D014AK</t>
  </si>
  <si>
    <t>D014AL</t>
  </si>
  <si>
    <t>D014AM</t>
  </si>
  <si>
    <t>D014AN</t>
  </si>
  <si>
    <t>D014AP</t>
  </si>
  <si>
    <t>D015</t>
  </si>
  <si>
    <t>D015AA</t>
  </si>
  <si>
    <t>D015AB</t>
  </si>
  <si>
    <t>D015AC</t>
  </si>
  <si>
    <t>D016</t>
  </si>
  <si>
    <t>D016AA</t>
  </si>
  <si>
    <t>D016AB</t>
  </si>
  <si>
    <t>D016AC</t>
  </si>
  <si>
    <t>D016AD</t>
  </si>
  <si>
    <t>D016AE</t>
  </si>
  <si>
    <t>D016AF</t>
  </si>
  <si>
    <t>D016AG</t>
  </si>
  <si>
    <t>D016AH</t>
  </si>
  <si>
    <t>D016AJ</t>
  </si>
  <si>
    <t>D016AK</t>
  </si>
  <si>
    <t>D016AL</t>
  </si>
  <si>
    <t>D016AM</t>
  </si>
  <si>
    <t>D016AN</t>
  </si>
  <si>
    <t>D016AP</t>
  </si>
  <si>
    <t>D016AQ</t>
  </si>
  <si>
    <t>D016AR</t>
  </si>
  <si>
    <t>D016AS</t>
  </si>
  <si>
    <t>D016AT</t>
  </si>
  <si>
    <t>D016AU</t>
  </si>
  <si>
    <t>D016AV</t>
  </si>
  <si>
    <t>D016AW</t>
  </si>
  <si>
    <t>D016AX</t>
  </si>
  <si>
    <t>D016AY</t>
  </si>
  <si>
    <t>D016AZ</t>
  </si>
  <si>
    <t>D016BA</t>
  </si>
  <si>
    <t>D016BB</t>
  </si>
  <si>
    <t>D016BC</t>
  </si>
  <si>
    <t>D016BD</t>
  </si>
  <si>
    <t>D016BE</t>
  </si>
  <si>
    <t>D016BF</t>
  </si>
  <si>
    <t>D016BG</t>
  </si>
  <si>
    <t>D017</t>
  </si>
  <si>
    <t>D017AA</t>
  </si>
  <si>
    <t>D017AB</t>
  </si>
  <si>
    <t>D018</t>
  </si>
  <si>
    <t>D018AA</t>
  </si>
  <si>
    <t>D018AB</t>
  </si>
  <si>
    <t>D018AC</t>
  </si>
  <si>
    <t>D018AD</t>
  </si>
  <si>
    <t>D019</t>
  </si>
  <si>
    <t>D019AA</t>
  </si>
  <si>
    <t>D019AB</t>
  </si>
  <si>
    <t>D019AC</t>
  </si>
  <si>
    <t>D019AD</t>
  </si>
  <si>
    <t>D019AE</t>
  </si>
  <si>
    <t>D020</t>
  </si>
  <si>
    <t>D020AA</t>
  </si>
  <si>
    <t>D020AB</t>
  </si>
  <si>
    <t>D020AC</t>
  </si>
  <si>
    <t>D020AD</t>
  </si>
  <si>
    <t>D020AE</t>
  </si>
  <si>
    <t>D020AF</t>
  </si>
  <si>
    <t>D020AG</t>
  </si>
  <si>
    <t>D020AH</t>
  </si>
  <si>
    <t>D020AJ</t>
  </si>
  <si>
    <t>D020AK</t>
  </si>
  <si>
    <t>D020AL</t>
  </si>
  <si>
    <t>D020AM</t>
  </si>
  <si>
    <t>D020AN</t>
  </si>
  <si>
    <t>D020AP</t>
  </si>
  <si>
    <t>D020AQ</t>
  </si>
  <si>
    <t>D020AR</t>
  </si>
  <si>
    <t>D021</t>
  </si>
  <si>
    <t>CLIN 0008</t>
  </si>
  <si>
    <t xml:space="preserve">Non-Recurring Work Price - 3rd Option Period </t>
  </si>
  <si>
    <t>ELINs D700 THROUGH D1032</t>
  </si>
  <si>
    <t>D700</t>
  </si>
  <si>
    <t>D701-D705</t>
  </si>
  <si>
    <t>D706</t>
  </si>
  <si>
    <t>D707</t>
  </si>
  <si>
    <t>D708</t>
  </si>
  <si>
    <t>D709</t>
  </si>
  <si>
    <t>D710</t>
  </si>
  <si>
    <t>D711</t>
  </si>
  <si>
    <t>D712</t>
  </si>
  <si>
    <t>D713</t>
  </si>
  <si>
    <t>D714</t>
  </si>
  <si>
    <t>D715</t>
  </si>
  <si>
    <t>D716</t>
  </si>
  <si>
    <t>D717</t>
  </si>
  <si>
    <t>D718-D729</t>
  </si>
  <si>
    <t>D730</t>
  </si>
  <si>
    <t>D731</t>
  </si>
  <si>
    <t>D732</t>
  </si>
  <si>
    <t>D733</t>
  </si>
  <si>
    <t>D734-D749</t>
  </si>
  <si>
    <t>D750</t>
  </si>
  <si>
    <t>D751</t>
  </si>
  <si>
    <t>D752</t>
  </si>
  <si>
    <t>D753</t>
  </si>
  <si>
    <t>D754</t>
  </si>
  <si>
    <t>D755</t>
  </si>
  <si>
    <t>D756</t>
  </si>
  <si>
    <t>D757</t>
  </si>
  <si>
    <t>D758</t>
  </si>
  <si>
    <t>D759</t>
  </si>
  <si>
    <t>D760</t>
  </si>
  <si>
    <t>D761</t>
  </si>
  <si>
    <t>D762</t>
  </si>
  <si>
    <t>D763</t>
  </si>
  <si>
    <t>D764</t>
  </si>
  <si>
    <t>D765</t>
  </si>
  <si>
    <t>D766</t>
  </si>
  <si>
    <t>D767-D779</t>
  </si>
  <si>
    <t>D780</t>
  </si>
  <si>
    <t>D781</t>
  </si>
  <si>
    <t>D782</t>
  </si>
  <si>
    <t>D783</t>
  </si>
  <si>
    <t>D784</t>
  </si>
  <si>
    <t>D785</t>
  </si>
  <si>
    <t>D786</t>
  </si>
  <si>
    <t>D787</t>
  </si>
  <si>
    <t>D788</t>
  </si>
  <si>
    <t>D789</t>
  </si>
  <si>
    <t>D790</t>
  </si>
  <si>
    <t>D791</t>
  </si>
  <si>
    <t>D792</t>
  </si>
  <si>
    <t>D793</t>
  </si>
  <si>
    <t>D794</t>
  </si>
  <si>
    <t>D795</t>
  </si>
  <si>
    <t>D796</t>
  </si>
  <si>
    <t>D797</t>
  </si>
  <si>
    <t>D798-D809</t>
  </si>
  <si>
    <t>D810</t>
  </si>
  <si>
    <t>D811</t>
  </si>
  <si>
    <t>D812</t>
  </si>
  <si>
    <t>D813</t>
  </si>
  <si>
    <t>D814</t>
  </si>
  <si>
    <t>D815</t>
  </si>
  <si>
    <t>D816</t>
  </si>
  <si>
    <t>D817</t>
  </si>
  <si>
    <t>D818</t>
  </si>
  <si>
    <t>D819</t>
  </si>
  <si>
    <t>D820</t>
  </si>
  <si>
    <t>D821</t>
  </si>
  <si>
    <t>D822</t>
  </si>
  <si>
    <t>D823-D829</t>
  </si>
  <si>
    <t>D830</t>
  </si>
  <si>
    <t>D831</t>
  </si>
  <si>
    <t>D832</t>
  </si>
  <si>
    <t>D833</t>
  </si>
  <si>
    <t>D834</t>
  </si>
  <si>
    <t>D835</t>
  </si>
  <si>
    <t>D836</t>
  </si>
  <si>
    <t>D837</t>
  </si>
  <si>
    <t>D838</t>
  </si>
  <si>
    <t>D839</t>
  </si>
  <si>
    <t>D840</t>
  </si>
  <si>
    <t>D841</t>
  </si>
  <si>
    <t>D842</t>
  </si>
  <si>
    <t>D843</t>
  </si>
  <si>
    <t>D844</t>
  </si>
  <si>
    <t>D845</t>
  </si>
  <si>
    <t>D846</t>
  </si>
  <si>
    <t>D847</t>
  </si>
  <si>
    <t>D848</t>
  </si>
  <si>
    <t>D849</t>
  </si>
  <si>
    <t>D850</t>
  </si>
  <si>
    <t>D851-D859</t>
  </si>
  <si>
    <t>D860</t>
  </si>
  <si>
    <t>D861</t>
  </si>
  <si>
    <t>D862</t>
  </si>
  <si>
    <t>D863</t>
  </si>
  <si>
    <t>D864</t>
  </si>
  <si>
    <t>D865</t>
  </si>
  <si>
    <t>D866</t>
  </si>
  <si>
    <t>D867</t>
  </si>
  <si>
    <t>D868</t>
  </si>
  <si>
    <t>D869</t>
  </si>
  <si>
    <t>D870</t>
  </si>
  <si>
    <t>D871</t>
  </si>
  <si>
    <t>D872</t>
  </si>
  <si>
    <t>D873</t>
  </si>
  <si>
    <t>D874</t>
  </si>
  <si>
    <t>D875</t>
  </si>
  <si>
    <t>D876</t>
  </si>
  <si>
    <t>D877</t>
  </si>
  <si>
    <t>D878</t>
  </si>
  <si>
    <t>D879</t>
  </si>
  <si>
    <t>D880-D889</t>
  </si>
  <si>
    <t>D890</t>
  </si>
  <si>
    <t>D891</t>
  </si>
  <si>
    <t>D892-D897</t>
  </si>
  <si>
    <t>D898</t>
  </si>
  <si>
    <t>D899</t>
  </si>
  <si>
    <t>D900-D909</t>
  </si>
  <si>
    <t>D910</t>
  </si>
  <si>
    <t>D911</t>
  </si>
  <si>
    <t>D912</t>
  </si>
  <si>
    <t>D913</t>
  </si>
  <si>
    <t>D914</t>
  </si>
  <si>
    <t>D915</t>
  </si>
  <si>
    <t>D916</t>
  </si>
  <si>
    <t>D917</t>
  </si>
  <si>
    <t>D918</t>
  </si>
  <si>
    <t>D919</t>
  </si>
  <si>
    <t>D920</t>
  </si>
  <si>
    <t>D921</t>
  </si>
  <si>
    <t>D922</t>
  </si>
  <si>
    <t>D923</t>
  </si>
  <si>
    <t>D924</t>
  </si>
  <si>
    <t>D925</t>
  </si>
  <si>
    <t>D926</t>
  </si>
  <si>
    <t>D927</t>
  </si>
  <si>
    <t>D928</t>
  </si>
  <si>
    <t>D929</t>
  </si>
  <si>
    <t>D930</t>
  </si>
  <si>
    <t>D931</t>
  </si>
  <si>
    <t>D932</t>
  </si>
  <si>
    <t>D933</t>
  </si>
  <si>
    <t>D934</t>
  </si>
  <si>
    <t>D935</t>
  </si>
  <si>
    <t>D936</t>
  </si>
  <si>
    <t>D937</t>
  </si>
  <si>
    <t>D938</t>
  </si>
  <si>
    <t>D939</t>
  </si>
  <si>
    <t>D940</t>
  </si>
  <si>
    <t>D941</t>
  </si>
  <si>
    <t>D942</t>
  </si>
  <si>
    <t>D943</t>
  </si>
  <si>
    <t>D944</t>
  </si>
  <si>
    <t>D945</t>
  </si>
  <si>
    <t>D946</t>
  </si>
  <si>
    <t>D947</t>
  </si>
  <si>
    <t>D948</t>
  </si>
  <si>
    <t>D949</t>
  </si>
  <si>
    <t>D950</t>
  </si>
  <si>
    <t>D951</t>
  </si>
  <si>
    <t>D952</t>
  </si>
  <si>
    <t>D953</t>
  </si>
  <si>
    <t>D954</t>
  </si>
  <si>
    <t>D955</t>
  </si>
  <si>
    <t>D956</t>
  </si>
  <si>
    <t>D957</t>
  </si>
  <si>
    <t>D958</t>
  </si>
  <si>
    <t>D959</t>
  </si>
  <si>
    <t>D960</t>
  </si>
  <si>
    <t>D961</t>
  </si>
  <si>
    <t>D962</t>
  </si>
  <si>
    <t>D963</t>
  </si>
  <si>
    <t>D964</t>
  </si>
  <si>
    <t>D965</t>
  </si>
  <si>
    <t>D966</t>
  </si>
  <si>
    <t>D967</t>
  </si>
  <si>
    <t>D968</t>
  </si>
  <si>
    <t>D969</t>
  </si>
  <si>
    <t>D970</t>
  </si>
  <si>
    <t>D971</t>
  </si>
  <si>
    <t>D972</t>
  </si>
  <si>
    <t>D973</t>
  </si>
  <si>
    <t>D974</t>
  </si>
  <si>
    <t>D975</t>
  </si>
  <si>
    <t>D976</t>
  </si>
  <si>
    <t>D977</t>
  </si>
  <si>
    <t>D978</t>
  </si>
  <si>
    <t>D979</t>
  </si>
  <si>
    <t>D980</t>
  </si>
  <si>
    <t>D981</t>
  </si>
  <si>
    <t>D982</t>
  </si>
  <si>
    <t>D983</t>
  </si>
  <si>
    <t>D984</t>
  </si>
  <si>
    <t>D985</t>
  </si>
  <si>
    <t>D986</t>
  </si>
  <si>
    <t>D987</t>
  </si>
  <si>
    <t>D988</t>
  </si>
  <si>
    <t>D989</t>
  </si>
  <si>
    <t>D990</t>
  </si>
  <si>
    <t>D991</t>
  </si>
  <si>
    <t>D992</t>
  </si>
  <si>
    <t>D993</t>
  </si>
  <si>
    <t>D994</t>
  </si>
  <si>
    <t>D995</t>
  </si>
  <si>
    <t>D996</t>
  </si>
  <si>
    <t>D997</t>
  </si>
  <si>
    <t>D998</t>
  </si>
  <si>
    <t>D999</t>
  </si>
  <si>
    <t>D1000</t>
  </si>
  <si>
    <t>D1001</t>
  </si>
  <si>
    <t>D1002</t>
  </si>
  <si>
    <t>D1003</t>
  </si>
  <si>
    <t>D1004</t>
  </si>
  <si>
    <t>D1005</t>
  </si>
  <si>
    <t>D1006</t>
  </si>
  <si>
    <t>D1007</t>
  </si>
  <si>
    <t>D1008</t>
  </si>
  <si>
    <t>D1009</t>
  </si>
  <si>
    <t>D1010</t>
  </si>
  <si>
    <t>D1011</t>
  </si>
  <si>
    <t>D1012</t>
  </si>
  <si>
    <t>D1013</t>
  </si>
  <si>
    <t>D1014</t>
  </si>
  <si>
    <t>D1015</t>
  </si>
  <si>
    <t>D1016</t>
  </si>
  <si>
    <t>D1017</t>
  </si>
  <si>
    <t>D1018</t>
  </si>
  <si>
    <t>D1019</t>
  </si>
  <si>
    <t>D1020</t>
  </si>
  <si>
    <t>D1021</t>
  </si>
  <si>
    <t>D1022</t>
  </si>
  <si>
    <t>D1023</t>
  </si>
  <si>
    <t>D1024-D1029</t>
  </si>
  <si>
    <t>D1030</t>
  </si>
  <si>
    <t>D1031</t>
  </si>
  <si>
    <t>D1032</t>
  </si>
  <si>
    <t>TOTAL FOR LINE ITEM 0008 - 3RD OPTION PERIOD - NON-RECURRING WORK (ELINs D700 THROUGH D1032)</t>
  </si>
  <si>
    <t>CLIN 0009</t>
  </si>
  <si>
    <t>Line Item 0009 - Recurring Work - 4th Option Year</t>
  </si>
  <si>
    <t>E001</t>
  </si>
  <si>
    <t>E001AA</t>
  </si>
  <si>
    <t>E001AB</t>
  </si>
  <si>
    <t>E001AC</t>
  </si>
  <si>
    <t>E001AD</t>
  </si>
  <si>
    <t>E001AE</t>
  </si>
  <si>
    <t>E001AF</t>
  </si>
  <si>
    <t>E001AG</t>
  </si>
  <si>
    <t>E001AH</t>
  </si>
  <si>
    <t>E001AJ</t>
  </si>
  <si>
    <t>E001AK</t>
  </si>
  <si>
    <t>E001AL</t>
  </si>
  <si>
    <t>E001AM</t>
  </si>
  <si>
    <t>E001AN</t>
  </si>
  <si>
    <t>E001AP</t>
  </si>
  <si>
    <t>E001AQ</t>
  </si>
  <si>
    <t>E001AR</t>
  </si>
  <si>
    <t>E001AS</t>
  </si>
  <si>
    <t>E001AT</t>
  </si>
  <si>
    <t>E001AU</t>
  </si>
  <si>
    <t>E001AV</t>
  </si>
  <si>
    <t>E001AW</t>
  </si>
  <si>
    <t>E001AX</t>
  </si>
  <si>
    <t>E001AY</t>
  </si>
  <si>
    <t>E001AZ</t>
  </si>
  <si>
    <t>E001BA</t>
  </si>
  <si>
    <t>E001BB</t>
  </si>
  <si>
    <t>E001BC</t>
  </si>
  <si>
    <t>E001BD</t>
  </si>
  <si>
    <t>E001BE</t>
  </si>
  <si>
    <t>E001BF</t>
  </si>
  <si>
    <t>E001BG</t>
  </si>
  <si>
    <t>E001BH</t>
  </si>
  <si>
    <t>E001BJ</t>
  </si>
  <si>
    <t>E001BK</t>
  </si>
  <si>
    <t>E001BL</t>
  </si>
  <si>
    <t>E001BM</t>
  </si>
  <si>
    <t>E001BN</t>
  </si>
  <si>
    <t>E001BP</t>
  </si>
  <si>
    <t>E001BQ</t>
  </si>
  <si>
    <t>E001BR</t>
  </si>
  <si>
    <t>E001BS</t>
  </si>
  <si>
    <t>E001BT</t>
  </si>
  <si>
    <t>E001BU</t>
  </si>
  <si>
    <t>E001BW</t>
  </si>
  <si>
    <t>E001BX</t>
  </si>
  <si>
    <t>E001BY</t>
  </si>
  <si>
    <t>E001BZ</t>
  </si>
  <si>
    <t>E001CA</t>
  </si>
  <si>
    <t>E001CB</t>
  </si>
  <si>
    <t>E001CC</t>
  </si>
  <si>
    <t>E001CD</t>
  </si>
  <si>
    <t>E001CE</t>
  </si>
  <si>
    <t>E001CF</t>
  </si>
  <si>
    <t>E001CG</t>
  </si>
  <si>
    <t>E001CH</t>
  </si>
  <si>
    <t>E001CJ</t>
  </si>
  <si>
    <t>E001CK</t>
  </si>
  <si>
    <t>E001CL</t>
  </si>
  <si>
    <t>E002</t>
  </si>
  <si>
    <t>E002AA</t>
  </si>
  <si>
    <t>E002AB</t>
  </si>
  <si>
    <t>E002AC</t>
  </si>
  <si>
    <t>E002AD</t>
  </si>
  <si>
    <t>E002AE</t>
  </si>
  <si>
    <t>E002AF</t>
  </si>
  <si>
    <t>E002AG</t>
  </si>
  <si>
    <t>E003</t>
  </si>
  <si>
    <t>E003AA</t>
  </si>
  <si>
    <t>E003AB</t>
  </si>
  <si>
    <t>E004</t>
  </si>
  <si>
    <t>E004AA</t>
  </si>
  <si>
    <t>E004AB</t>
  </si>
  <si>
    <t>E005</t>
  </si>
  <si>
    <t>E005AA</t>
  </si>
  <si>
    <t>E005AB</t>
  </si>
  <si>
    <t>E006</t>
  </si>
  <si>
    <t>E006AA</t>
  </si>
  <si>
    <t>E006AB</t>
  </si>
  <si>
    <t>E006AC</t>
  </si>
  <si>
    <t>E006AD</t>
  </si>
  <si>
    <t>E006AE</t>
  </si>
  <si>
    <t>E006AF</t>
  </si>
  <si>
    <t>E006AG</t>
  </si>
  <si>
    <t>E007</t>
  </si>
  <si>
    <t>E007AA</t>
  </si>
  <si>
    <t>E007AB</t>
  </si>
  <si>
    <t>E007AC</t>
  </si>
  <si>
    <t>E007AD</t>
  </si>
  <si>
    <t>E007AE</t>
  </si>
  <si>
    <t>E007AF</t>
  </si>
  <si>
    <t>E007AG</t>
  </si>
  <si>
    <t>E007AH</t>
  </si>
  <si>
    <t>E007AJ</t>
  </si>
  <si>
    <t>E007AK</t>
  </si>
  <si>
    <t>E007AL</t>
  </si>
  <si>
    <t>E007AM</t>
  </si>
  <si>
    <t>E007AN</t>
  </si>
  <si>
    <t>E007AP</t>
  </si>
  <si>
    <t>E007AQ</t>
  </si>
  <si>
    <t>E007AR</t>
  </si>
  <si>
    <t>E007AS</t>
  </si>
  <si>
    <t>E007AT</t>
  </si>
  <si>
    <t>E007AU</t>
  </si>
  <si>
    <t>E007AV</t>
  </si>
  <si>
    <t>E007AW</t>
  </si>
  <si>
    <t>E007AX</t>
  </si>
  <si>
    <t>E007AY</t>
  </si>
  <si>
    <t>E007AZ</t>
  </si>
  <si>
    <t>E007BA</t>
  </si>
  <si>
    <t>E007BB</t>
  </si>
  <si>
    <t>E007BC</t>
  </si>
  <si>
    <t>E007BD</t>
  </si>
  <si>
    <t>E007BE</t>
  </si>
  <si>
    <t>E007BF</t>
  </si>
  <si>
    <t>E007BG</t>
  </si>
  <si>
    <t>E008</t>
  </si>
  <si>
    <t>E008AA</t>
  </si>
  <si>
    <t>E008AB</t>
  </si>
  <si>
    <t>E008AC</t>
  </si>
  <si>
    <t>E008AD</t>
  </si>
  <si>
    <t>E008AE</t>
  </si>
  <si>
    <t>E009</t>
  </si>
  <si>
    <t>E009AA</t>
  </si>
  <si>
    <t>E010</t>
  </si>
  <si>
    <t>E010AA</t>
  </si>
  <si>
    <t>E011</t>
  </si>
  <si>
    <t>E011AA</t>
  </si>
  <si>
    <t>E011AB</t>
  </si>
  <si>
    <t>E011AC</t>
  </si>
  <si>
    <t>E011AD</t>
  </si>
  <si>
    <t>E011AE</t>
  </si>
  <si>
    <t>E011AF</t>
  </si>
  <si>
    <t>E011AG</t>
  </si>
  <si>
    <t>E011AH</t>
  </si>
  <si>
    <t>E011AJ</t>
  </si>
  <si>
    <t>E011AK</t>
  </si>
  <si>
    <t>E011AL</t>
  </si>
  <si>
    <t>E011AM</t>
  </si>
  <si>
    <t>E011AN</t>
  </si>
  <si>
    <t>E011AP</t>
  </si>
  <si>
    <t>E012</t>
  </si>
  <si>
    <t>E012AA</t>
  </si>
  <si>
    <t>E012AB</t>
  </si>
  <si>
    <t>E012AC</t>
  </si>
  <si>
    <t>E012AD</t>
  </si>
  <si>
    <t>E013</t>
  </si>
  <si>
    <t>E013AA</t>
  </si>
  <si>
    <t>E013AB</t>
  </si>
  <si>
    <t>E013AC</t>
  </si>
  <si>
    <t>E013AD</t>
  </si>
  <si>
    <t>E013AE</t>
  </si>
  <si>
    <t>E013AF</t>
  </si>
  <si>
    <t>E014</t>
  </si>
  <si>
    <t>E014AA</t>
  </si>
  <si>
    <t>E014AB</t>
  </si>
  <si>
    <t>E014AC</t>
  </si>
  <si>
    <t>E014AD</t>
  </si>
  <si>
    <t>E014AE</t>
  </si>
  <si>
    <t>E014AF</t>
  </si>
  <si>
    <t>E014AG</t>
  </si>
  <si>
    <t>E014AH</t>
  </si>
  <si>
    <t>E014AJ</t>
  </si>
  <si>
    <t>E014AK</t>
  </si>
  <si>
    <t>E014AL</t>
  </si>
  <si>
    <t>E014AM</t>
  </si>
  <si>
    <t>E014AN</t>
  </si>
  <si>
    <t>E014AP</t>
  </si>
  <si>
    <t>E015</t>
  </si>
  <si>
    <t>E015AA</t>
  </si>
  <si>
    <t>E015AB</t>
  </si>
  <si>
    <t>E015AC</t>
  </si>
  <si>
    <t>E016</t>
  </si>
  <si>
    <t>E016AA</t>
  </si>
  <si>
    <t>E016AB</t>
  </si>
  <si>
    <t>E016AC</t>
  </si>
  <si>
    <t>E016AD</t>
  </si>
  <si>
    <t>E016AE</t>
  </si>
  <si>
    <t>E016AF</t>
  </si>
  <si>
    <t>E016AG</t>
  </si>
  <si>
    <t>E016AH</t>
  </si>
  <si>
    <t>E016AJ</t>
  </si>
  <si>
    <t>E016AK</t>
  </si>
  <si>
    <t>E016AL</t>
  </si>
  <si>
    <t>E016AM</t>
  </si>
  <si>
    <t>E016AN</t>
  </si>
  <si>
    <t>E016AP</t>
  </si>
  <si>
    <t>E016AQ</t>
  </si>
  <si>
    <t>E016AR</t>
  </si>
  <si>
    <t>E016AS</t>
  </si>
  <si>
    <t>E016AT</t>
  </si>
  <si>
    <t>E016AU</t>
  </si>
  <si>
    <t>E016AV</t>
  </si>
  <si>
    <t>E016AW</t>
  </si>
  <si>
    <t>E016AX</t>
  </si>
  <si>
    <t>E016AY</t>
  </si>
  <si>
    <t>E016AZ</t>
  </si>
  <si>
    <t>E016BA</t>
  </si>
  <si>
    <t>E016BB</t>
  </si>
  <si>
    <t>E016BC</t>
  </si>
  <si>
    <t>E016BD</t>
  </si>
  <si>
    <t>E016BE</t>
  </si>
  <si>
    <t>E016BF</t>
  </si>
  <si>
    <t>E016BG</t>
  </si>
  <si>
    <t>E017</t>
  </si>
  <si>
    <t>E017AA</t>
  </si>
  <si>
    <t>E017AB</t>
  </si>
  <si>
    <t>E018</t>
  </si>
  <si>
    <t>E018AA</t>
  </si>
  <si>
    <t>E018AB</t>
  </si>
  <si>
    <t>E018AC</t>
  </si>
  <si>
    <t>E018AD</t>
  </si>
  <si>
    <t>E019</t>
  </si>
  <si>
    <t>E019AA</t>
  </si>
  <si>
    <t>E019AB</t>
  </si>
  <si>
    <t>E019AC</t>
  </si>
  <si>
    <t>E019AD</t>
  </si>
  <si>
    <t>E019AE</t>
  </si>
  <si>
    <t>E020</t>
  </si>
  <si>
    <t>E020AA</t>
  </si>
  <si>
    <t>E020AB</t>
  </si>
  <si>
    <t>E020AC</t>
  </si>
  <si>
    <t>E020AD</t>
  </si>
  <si>
    <t>E020AE</t>
  </si>
  <si>
    <t>E020AF</t>
  </si>
  <si>
    <t>E020AG</t>
  </si>
  <si>
    <t>E020AH</t>
  </si>
  <si>
    <t>E020AJ</t>
  </si>
  <si>
    <t>E020AK</t>
  </si>
  <si>
    <t>E020AL</t>
  </si>
  <si>
    <t>E020AM</t>
  </si>
  <si>
    <t>E020AN</t>
  </si>
  <si>
    <t>E020AP</t>
  </si>
  <si>
    <t>E020AQ</t>
  </si>
  <si>
    <t>E020AR</t>
  </si>
  <si>
    <t>E021</t>
  </si>
  <si>
    <t>CLIN 0010</t>
  </si>
  <si>
    <t xml:space="preserve">Non-Recurring Work Price - 4th Option Period </t>
  </si>
  <si>
    <t>ELINs E700 THROUGH E1032</t>
  </si>
  <si>
    <t>E700</t>
  </si>
  <si>
    <t>E701-E705</t>
  </si>
  <si>
    <t>E706</t>
  </si>
  <si>
    <t>E707</t>
  </si>
  <si>
    <t>E708</t>
  </si>
  <si>
    <t>E709</t>
  </si>
  <si>
    <t>E710</t>
  </si>
  <si>
    <t>E711</t>
  </si>
  <si>
    <t>E712</t>
  </si>
  <si>
    <t>E713</t>
  </si>
  <si>
    <t>E714</t>
  </si>
  <si>
    <t>E715</t>
  </si>
  <si>
    <t>E716</t>
  </si>
  <si>
    <t>E717</t>
  </si>
  <si>
    <t>E718-E729</t>
  </si>
  <si>
    <t>E730</t>
  </si>
  <si>
    <t>E731</t>
  </si>
  <si>
    <t>E732</t>
  </si>
  <si>
    <t>E733</t>
  </si>
  <si>
    <t>E734-E749</t>
  </si>
  <si>
    <t>E750</t>
  </si>
  <si>
    <t>E751</t>
  </si>
  <si>
    <t>E752</t>
  </si>
  <si>
    <t>E753</t>
  </si>
  <si>
    <t>E754</t>
  </si>
  <si>
    <t>E755</t>
  </si>
  <si>
    <t>E756</t>
  </si>
  <si>
    <t>E757</t>
  </si>
  <si>
    <t>E758</t>
  </si>
  <si>
    <t>E759</t>
  </si>
  <si>
    <t>E760</t>
  </si>
  <si>
    <t>E761</t>
  </si>
  <si>
    <t>E762</t>
  </si>
  <si>
    <t>E763</t>
  </si>
  <si>
    <t>E764</t>
  </si>
  <si>
    <t>E765</t>
  </si>
  <si>
    <t>E766</t>
  </si>
  <si>
    <t>E767-E779</t>
  </si>
  <si>
    <t>E780</t>
  </si>
  <si>
    <t>E781</t>
  </si>
  <si>
    <t>E782</t>
  </si>
  <si>
    <t>E783</t>
  </si>
  <si>
    <t>E784</t>
  </si>
  <si>
    <t>E785</t>
  </si>
  <si>
    <t>E786</t>
  </si>
  <si>
    <t>E787</t>
  </si>
  <si>
    <t>E788</t>
  </si>
  <si>
    <t>E789</t>
  </si>
  <si>
    <t>E790</t>
  </si>
  <si>
    <t>E791</t>
  </si>
  <si>
    <t>E792</t>
  </si>
  <si>
    <t>E793</t>
  </si>
  <si>
    <t>E794</t>
  </si>
  <si>
    <t>E795</t>
  </si>
  <si>
    <t>E796</t>
  </si>
  <si>
    <t>E797</t>
  </si>
  <si>
    <t>E798-E809</t>
  </si>
  <si>
    <t>E810</t>
  </si>
  <si>
    <t>E811</t>
  </si>
  <si>
    <t>E812</t>
  </si>
  <si>
    <t>E813</t>
  </si>
  <si>
    <t>E814</t>
  </si>
  <si>
    <t>E815</t>
  </si>
  <si>
    <t>E816</t>
  </si>
  <si>
    <t>E817</t>
  </si>
  <si>
    <t>E818</t>
  </si>
  <si>
    <t>E819</t>
  </si>
  <si>
    <t>E820</t>
  </si>
  <si>
    <t>E821</t>
  </si>
  <si>
    <t>E822</t>
  </si>
  <si>
    <t>E823-E829</t>
  </si>
  <si>
    <t>E830</t>
  </si>
  <si>
    <t>E831</t>
  </si>
  <si>
    <t>E832</t>
  </si>
  <si>
    <t>E833</t>
  </si>
  <si>
    <t>E834</t>
  </si>
  <si>
    <t>E835</t>
  </si>
  <si>
    <t>E836</t>
  </si>
  <si>
    <t>E837</t>
  </si>
  <si>
    <t>E838</t>
  </si>
  <si>
    <t>E839</t>
  </si>
  <si>
    <t>E840</t>
  </si>
  <si>
    <t>E841</t>
  </si>
  <si>
    <t>E842</t>
  </si>
  <si>
    <t>E843</t>
  </si>
  <si>
    <t>E844</t>
  </si>
  <si>
    <t>E845</t>
  </si>
  <si>
    <t>E846</t>
  </si>
  <si>
    <t>E847</t>
  </si>
  <si>
    <t>E848</t>
  </si>
  <si>
    <t>E849</t>
  </si>
  <si>
    <t>E850</t>
  </si>
  <si>
    <t>E851-E859</t>
  </si>
  <si>
    <t>E860</t>
  </si>
  <si>
    <t>E861</t>
  </si>
  <si>
    <t>E862</t>
  </si>
  <si>
    <t>E863</t>
  </si>
  <si>
    <t>E864</t>
  </si>
  <si>
    <t>E865</t>
  </si>
  <si>
    <t>E866</t>
  </si>
  <si>
    <t>E867</t>
  </si>
  <si>
    <t>E868</t>
  </si>
  <si>
    <t>E869</t>
  </si>
  <si>
    <t>E870</t>
  </si>
  <si>
    <t>E871</t>
  </si>
  <si>
    <t>E872</t>
  </si>
  <si>
    <t>E873</t>
  </si>
  <si>
    <t>E874</t>
  </si>
  <si>
    <t>E875</t>
  </si>
  <si>
    <t>E876</t>
  </si>
  <si>
    <t>E877</t>
  </si>
  <si>
    <t>E878</t>
  </si>
  <si>
    <t>E879</t>
  </si>
  <si>
    <t>E880-E889</t>
  </si>
  <si>
    <t>E890</t>
  </si>
  <si>
    <t>E891</t>
  </si>
  <si>
    <t>E892-E897</t>
  </si>
  <si>
    <t>E898</t>
  </si>
  <si>
    <t>E899</t>
  </si>
  <si>
    <t>E900-E909</t>
  </si>
  <si>
    <t>E910</t>
  </si>
  <si>
    <t>E911</t>
  </si>
  <si>
    <t>E912</t>
  </si>
  <si>
    <t>E913</t>
  </si>
  <si>
    <t>E914</t>
  </si>
  <si>
    <t>E915</t>
  </si>
  <si>
    <t>E916</t>
  </si>
  <si>
    <t>E917</t>
  </si>
  <si>
    <t>E918</t>
  </si>
  <si>
    <t>E919</t>
  </si>
  <si>
    <t>E920</t>
  </si>
  <si>
    <t>E921</t>
  </si>
  <si>
    <t>E922</t>
  </si>
  <si>
    <t>E923</t>
  </si>
  <si>
    <t>E924</t>
  </si>
  <si>
    <t>E925</t>
  </si>
  <si>
    <t>E926</t>
  </si>
  <si>
    <t>E927</t>
  </si>
  <si>
    <t>E928</t>
  </si>
  <si>
    <t>E929</t>
  </si>
  <si>
    <t>E930</t>
  </si>
  <si>
    <t>E931</t>
  </si>
  <si>
    <t>E932</t>
  </si>
  <si>
    <t>E933</t>
  </si>
  <si>
    <t>E934</t>
  </si>
  <si>
    <t>E935</t>
  </si>
  <si>
    <t>E936</t>
  </si>
  <si>
    <t>E937</t>
  </si>
  <si>
    <t>E938</t>
  </si>
  <si>
    <t>E939</t>
  </si>
  <si>
    <t>E940</t>
  </si>
  <si>
    <t>E941</t>
  </si>
  <si>
    <t>E942</t>
  </si>
  <si>
    <t>E943</t>
  </si>
  <si>
    <t>E944</t>
  </si>
  <si>
    <t>E945</t>
  </si>
  <si>
    <t>E946</t>
  </si>
  <si>
    <t>E947</t>
  </si>
  <si>
    <t>E948</t>
  </si>
  <si>
    <t>E949</t>
  </si>
  <si>
    <t>E950</t>
  </si>
  <si>
    <t>E951</t>
  </si>
  <si>
    <t>E952</t>
  </si>
  <si>
    <t>E953</t>
  </si>
  <si>
    <t>E954</t>
  </si>
  <si>
    <t>E955</t>
  </si>
  <si>
    <t>E956</t>
  </si>
  <si>
    <t>E957</t>
  </si>
  <si>
    <t>E958</t>
  </si>
  <si>
    <t>E959</t>
  </si>
  <si>
    <t>E960</t>
  </si>
  <si>
    <t>E961</t>
  </si>
  <si>
    <t>E962</t>
  </si>
  <si>
    <t>E963</t>
  </si>
  <si>
    <t>E964</t>
  </si>
  <si>
    <t>E965</t>
  </si>
  <si>
    <t>E966</t>
  </si>
  <si>
    <t>E967</t>
  </si>
  <si>
    <t>E968</t>
  </si>
  <si>
    <t>E969</t>
  </si>
  <si>
    <t>E970</t>
  </si>
  <si>
    <t>E971</t>
  </si>
  <si>
    <t>E972</t>
  </si>
  <si>
    <t>E973</t>
  </si>
  <si>
    <t>E974</t>
  </si>
  <si>
    <t>E975</t>
  </si>
  <si>
    <t>E976</t>
  </si>
  <si>
    <t>E977</t>
  </si>
  <si>
    <t>E978</t>
  </si>
  <si>
    <t>E979</t>
  </si>
  <si>
    <t>E980</t>
  </si>
  <si>
    <t>E981</t>
  </si>
  <si>
    <t>E982</t>
  </si>
  <si>
    <t>E983</t>
  </si>
  <si>
    <t>E984</t>
  </si>
  <si>
    <t>E985</t>
  </si>
  <si>
    <t>E986</t>
  </si>
  <si>
    <t>E987</t>
  </si>
  <si>
    <t>E988</t>
  </si>
  <si>
    <t>E989</t>
  </si>
  <si>
    <t>E990</t>
  </si>
  <si>
    <t>E991</t>
  </si>
  <si>
    <t>E992</t>
  </si>
  <si>
    <t>E993</t>
  </si>
  <si>
    <t>E994</t>
  </si>
  <si>
    <t>E995</t>
  </si>
  <si>
    <t>E996</t>
  </si>
  <si>
    <t>E997</t>
  </si>
  <si>
    <t>E998</t>
  </si>
  <si>
    <t>E999</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</si>
  <si>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</si>
  <si>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</si>
  <si>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</si>
  <si>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</si>
  <si>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</si>
  <si>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</si>
  <si>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</si>
  <si>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</si>
  <si>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</si>
  <si>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</si>
  <si>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</si>
  <si>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</si>
  <si>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</si>
  <si>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</si>
  <si>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</si>
  <si>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</si>
  <si>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</si>
  <si>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</si>
  <si>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</si>
  <si>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</si>
  <si>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</si>
  <si>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</si>
  <si>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</si>
  <si>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</si>
  <si>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E1024-E1029</t>
  </si>
  <si>
    <t>E1030</t>
  </si>
  <si>
    <t>E1031</t>
  </si>
  <si>
    <t>E1032</t>
  </si>
  <si>
    <t>TOTAL FOR LINE ITEM 0010 - 4TH OPTION PERIOD - NON-RECURRING WORK (ELINs E700 THROUGH E1032)</t>
  </si>
  <si>
    <t>CLIN 0011</t>
  </si>
  <si>
    <t>Line Item 0011 - Recurring Work - 5th Option Year</t>
  </si>
  <si>
    <t>F001</t>
  </si>
  <si>
    <t>F001AA</t>
  </si>
  <si>
    <t>F001AB</t>
  </si>
  <si>
    <t>F001AC</t>
  </si>
  <si>
    <t>F001AD</t>
  </si>
  <si>
    <t>F001AE</t>
  </si>
  <si>
    <t>F001AF</t>
  </si>
  <si>
    <t>F001AG</t>
  </si>
  <si>
    <t>F001AH</t>
  </si>
  <si>
    <t>F001AJ</t>
  </si>
  <si>
    <t>F001AK</t>
  </si>
  <si>
    <t>F001AL</t>
  </si>
  <si>
    <t>F001AM</t>
  </si>
  <si>
    <t>F001AN</t>
  </si>
  <si>
    <t>F001AP</t>
  </si>
  <si>
    <t>F001AQ</t>
  </si>
  <si>
    <t>F001AR</t>
  </si>
  <si>
    <t>F001AS</t>
  </si>
  <si>
    <t>F001AT</t>
  </si>
  <si>
    <t>F001AU</t>
  </si>
  <si>
    <t>F001AV</t>
  </si>
  <si>
    <t>F001AW</t>
  </si>
  <si>
    <t>F001AX</t>
  </si>
  <si>
    <t>F001AY</t>
  </si>
  <si>
    <t>F001AZ</t>
  </si>
  <si>
    <t>F001BA</t>
  </si>
  <si>
    <t>F001BB</t>
  </si>
  <si>
    <t>F001BC</t>
  </si>
  <si>
    <t>F001BD</t>
  </si>
  <si>
    <t>F001BE</t>
  </si>
  <si>
    <t>F001BF</t>
  </si>
  <si>
    <t>F001BG</t>
  </si>
  <si>
    <t>F001BH</t>
  </si>
  <si>
    <t>F001BJ</t>
  </si>
  <si>
    <t>F001BK</t>
  </si>
  <si>
    <t>F001BL</t>
  </si>
  <si>
    <t>F001BM</t>
  </si>
  <si>
    <t>F001BN</t>
  </si>
  <si>
    <t>F001BP</t>
  </si>
  <si>
    <t>F001BQ</t>
  </si>
  <si>
    <t>F001BR</t>
  </si>
  <si>
    <t>F001BS</t>
  </si>
  <si>
    <t>F001BT</t>
  </si>
  <si>
    <t>F001BU</t>
  </si>
  <si>
    <t>F001BW</t>
  </si>
  <si>
    <t>F001BX</t>
  </si>
  <si>
    <t>F001BY</t>
  </si>
  <si>
    <t>F001BZ</t>
  </si>
  <si>
    <t>F001CA</t>
  </si>
  <si>
    <t>F001CB</t>
  </si>
  <si>
    <t>F001CC</t>
  </si>
  <si>
    <t>F001CD</t>
  </si>
  <si>
    <t>F001CE</t>
  </si>
  <si>
    <t>F001CF</t>
  </si>
  <si>
    <t>F001CG</t>
  </si>
  <si>
    <t>F001CH</t>
  </si>
  <si>
    <t>F001CJ</t>
  </si>
  <si>
    <t>F001CK</t>
  </si>
  <si>
    <t>F001CL</t>
  </si>
  <si>
    <t>F002</t>
  </si>
  <si>
    <t>F002AA</t>
  </si>
  <si>
    <t>F002AB</t>
  </si>
  <si>
    <t>F002AC</t>
  </si>
  <si>
    <t>F002AD</t>
  </si>
  <si>
    <t>F002AE</t>
  </si>
  <si>
    <t>F002AF</t>
  </si>
  <si>
    <t>F002AG</t>
  </si>
  <si>
    <t>F002AH</t>
  </si>
  <si>
    <t>F002AJ</t>
  </si>
  <si>
    <t>F002AK</t>
  </si>
  <si>
    <t>F003</t>
  </si>
  <si>
    <t>F003AA</t>
  </si>
  <si>
    <t>F003AB</t>
  </si>
  <si>
    <t>F004</t>
  </si>
  <si>
    <t>F004AA</t>
  </si>
  <si>
    <t>F004AB</t>
  </si>
  <si>
    <t>F005</t>
  </si>
  <si>
    <t>F005AA</t>
  </si>
  <si>
    <t>F005AB</t>
  </si>
  <si>
    <t>F006</t>
  </si>
  <si>
    <t>F006AA</t>
  </si>
  <si>
    <t>F006AB</t>
  </si>
  <si>
    <t>F006AC</t>
  </si>
  <si>
    <t>F006AD</t>
  </si>
  <si>
    <t>F006AE</t>
  </si>
  <si>
    <t>F006AF</t>
  </si>
  <si>
    <t>F006AG</t>
  </si>
  <si>
    <t>F007</t>
  </si>
  <si>
    <t>F007AA</t>
  </si>
  <si>
    <t>F007AB</t>
  </si>
  <si>
    <t>F007AC</t>
  </si>
  <si>
    <t>F007AD</t>
  </si>
  <si>
    <t>F007AE</t>
  </si>
  <si>
    <t>F007AF</t>
  </si>
  <si>
    <t>F007AG</t>
  </si>
  <si>
    <t>F007AH</t>
  </si>
  <si>
    <t>F007AJ</t>
  </si>
  <si>
    <t>F007AK</t>
  </si>
  <si>
    <t>F007AL</t>
  </si>
  <si>
    <t>F007AM</t>
  </si>
  <si>
    <t>F007AN</t>
  </si>
  <si>
    <t>F007AP</t>
  </si>
  <si>
    <t>F007AQ</t>
  </si>
  <si>
    <t>F007AR</t>
  </si>
  <si>
    <t>F007AS</t>
  </si>
  <si>
    <t>F007AT</t>
  </si>
  <si>
    <t>F007AU</t>
  </si>
  <si>
    <t>F007AV</t>
  </si>
  <si>
    <t>F007AW</t>
  </si>
  <si>
    <t>F007AX</t>
  </si>
  <si>
    <t>F007AY</t>
  </si>
  <si>
    <t>F007AZ</t>
  </si>
  <si>
    <t>F007BA</t>
  </si>
  <si>
    <t>F007BB</t>
  </si>
  <si>
    <t>F007BC</t>
  </si>
  <si>
    <t>F007BD</t>
  </si>
  <si>
    <t>F007BE</t>
  </si>
  <si>
    <t>F007BF</t>
  </si>
  <si>
    <t>F007BG</t>
  </si>
  <si>
    <t>F008</t>
  </si>
  <si>
    <t>F008AA</t>
  </si>
  <si>
    <t>F008AB</t>
  </si>
  <si>
    <t>F008AC</t>
  </si>
  <si>
    <t>F008AD</t>
  </si>
  <si>
    <t>F008AE</t>
  </si>
  <si>
    <t>F009</t>
  </si>
  <si>
    <t>F009AA</t>
  </si>
  <si>
    <t>F010</t>
  </si>
  <si>
    <t>F010AA</t>
  </si>
  <si>
    <t>F011</t>
  </si>
  <si>
    <t>F011AA</t>
  </si>
  <si>
    <t>F011AB</t>
  </si>
  <si>
    <t>F011AC</t>
  </si>
  <si>
    <t>F011AD</t>
  </si>
  <si>
    <t>F011AE</t>
  </si>
  <si>
    <t>F011AF</t>
  </si>
  <si>
    <t>F011AG</t>
  </si>
  <si>
    <t>F011AH</t>
  </si>
  <si>
    <t>F011AJ</t>
  </si>
  <si>
    <t>F011AK</t>
  </si>
  <si>
    <t>F011AL</t>
  </si>
  <si>
    <t>F011AM</t>
  </si>
  <si>
    <t>F011AN</t>
  </si>
  <si>
    <t>F011AP</t>
  </si>
  <si>
    <t>F012</t>
  </si>
  <si>
    <t>F012AA</t>
  </si>
  <si>
    <t>F012AB</t>
  </si>
  <si>
    <t>F012AC</t>
  </si>
  <si>
    <t>F012AD</t>
  </si>
  <si>
    <t>F013</t>
  </si>
  <si>
    <t>F013AA</t>
  </si>
  <si>
    <t>F013AB</t>
  </si>
  <si>
    <t>F013AC</t>
  </si>
  <si>
    <t>F013AD</t>
  </si>
  <si>
    <t>F013AE</t>
  </si>
  <si>
    <t>F013AF</t>
  </si>
  <si>
    <t>F014</t>
  </si>
  <si>
    <t>F014AA</t>
  </si>
  <si>
    <t>F014AB</t>
  </si>
  <si>
    <t>F014AC</t>
  </si>
  <si>
    <t>F014AD</t>
  </si>
  <si>
    <t>F014AE</t>
  </si>
  <si>
    <t>F014AF</t>
  </si>
  <si>
    <t>F014AG</t>
  </si>
  <si>
    <t>F014AH</t>
  </si>
  <si>
    <t>F014AJ</t>
  </si>
  <si>
    <t>F014AK</t>
  </si>
  <si>
    <t>F014AL</t>
  </si>
  <si>
    <t>F014AM</t>
  </si>
  <si>
    <t>F014AN</t>
  </si>
  <si>
    <t>F014AP</t>
  </si>
  <si>
    <t>F015</t>
  </si>
  <si>
    <t>F015AA</t>
  </si>
  <si>
    <t>F015AB</t>
  </si>
  <si>
    <t>F015AC</t>
  </si>
  <si>
    <t>F016</t>
  </si>
  <si>
    <t>F016AA</t>
  </si>
  <si>
    <t>F016AB</t>
  </si>
  <si>
    <t>F016AC</t>
  </si>
  <si>
    <t>F016AD</t>
  </si>
  <si>
    <t>F016AE</t>
  </si>
  <si>
    <t>F016AF</t>
  </si>
  <si>
    <t>F016AG</t>
  </si>
  <si>
    <t>F016AH</t>
  </si>
  <si>
    <t>F016AJ</t>
  </si>
  <si>
    <t>F016AK</t>
  </si>
  <si>
    <t>F016AL</t>
  </si>
  <si>
    <t>F016AM</t>
  </si>
  <si>
    <t>F016AN</t>
  </si>
  <si>
    <t>F016AP</t>
  </si>
  <si>
    <t>F016AQ</t>
  </si>
  <si>
    <t>F016AR</t>
  </si>
  <si>
    <t>F016AS</t>
  </si>
  <si>
    <t>F016AT</t>
  </si>
  <si>
    <t>F016AU</t>
  </si>
  <si>
    <t>F016AV</t>
  </si>
  <si>
    <t>F016AW</t>
  </si>
  <si>
    <t>F016AX</t>
  </si>
  <si>
    <t>F016AY</t>
  </si>
  <si>
    <t>F016AZ</t>
  </si>
  <si>
    <t>F016BA</t>
  </si>
  <si>
    <t>F016BB</t>
  </si>
  <si>
    <t>F016BC</t>
  </si>
  <si>
    <t>F016BD</t>
  </si>
  <si>
    <t>F016BE</t>
  </si>
  <si>
    <t>F016BF</t>
  </si>
  <si>
    <t>F016BG</t>
  </si>
  <si>
    <t>F017</t>
  </si>
  <si>
    <t>F017AA</t>
  </si>
  <si>
    <t>F017AB</t>
  </si>
  <si>
    <t>F018</t>
  </si>
  <si>
    <t>F018AA</t>
  </si>
  <si>
    <t>F018AB</t>
  </si>
  <si>
    <t>F018AC</t>
  </si>
  <si>
    <t>F018AD</t>
  </si>
  <si>
    <t>F019</t>
  </si>
  <si>
    <t>F019AA</t>
  </si>
  <si>
    <t>F019AB</t>
  </si>
  <si>
    <t>F019AC</t>
  </si>
  <si>
    <t>F019AD</t>
  </si>
  <si>
    <t>F019AE</t>
  </si>
  <si>
    <t>F020</t>
  </si>
  <si>
    <t>F020AA</t>
  </si>
  <si>
    <t>F020AB</t>
  </si>
  <si>
    <t>F020AC</t>
  </si>
  <si>
    <t>F020AD</t>
  </si>
  <si>
    <t>F020AE</t>
  </si>
  <si>
    <t>F020AF</t>
  </si>
  <si>
    <t>F020AG</t>
  </si>
  <si>
    <t>F020AH</t>
  </si>
  <si>
    <t>F020AJ</t>
  </si>
  <si>
    <t>F020AK</t>
  </si>
  <si>
    <t>F020AL</t>
  </si>
  <si>
    <t>F020AM</t>
  </si>
  <si>
    <t>F020AN</t>
  </si>
  <si>
    <t>F020AP</t>
  </si>
  <si>
    <t>F020AQ</t>
  </si>
  <si>
    <t>F020AR</t>
  </si>
  <si>
    <t>F021</t>
  </si>
  <si>
    <t>F021AB</t>
  </si>
  <si>
    <t>F021AC</t>
  </si>
  <si>
    <t>CLIN 0012</t>
  </si>
  <si>
    <t xml:space="preserve">Non-Recurring Work Price - 5th Option Period </t>
  </si>
  <si>
    <t>ELINs F700 THROUGH F1032</t>
  </si>
  <si>
    <t>F700</t>
  </si>
  <si>
    <t>F701-F705</t>
  </si>
  <si>
    <t>F706</t>
  </si>
  <si>
    <t>F707</t>
  </si>
  <si>
    <t>F708</t>
  </si>
  <si>
    <t>F709</t>
  </si>
  <si>
    <t>F710</t>
  </si>
  <si>
    <t>F711</t>
  </si>
  <si>
    <t>F712</t>
  </si>
  <si>
    <t>F713</t>
  </si>
  <si>
    <t>F714</t>
  </si>
  <si>
    <t>F715</t>
  </si>
  <si>
    <t>F716</t>
  </si>
  <si>
    <t>F717</t>
  </si>
  <si>
    <t>F718-F729</t>
  </si>
  <si>
    <t>F730</t>
  </si>
  <si>
    <t>F731</t>
  </si>
  <si>
    <t>F732</t>
  </si>
  <si>
    <t>F733</t>
  </si>
  <si>
    <t>F734-F749</t>
  </si>
  <si>
    <t>F750</t>
  </si>
  <si>
    <t>F751</t>
  </si>
  <si>
    <t>F752</t>
  </si>
  <si>
    <t>F753</t>
  </si>
  <si>
    <t>F754</t>
  </si>
  <si>
    <t>F755</t>
  </si>
  <si>
    <t>F756</t>
  </si>
  <si>
    <t>F757</t>
  </si>
  <si>
    <t>F758</t>
  </si>
  <si>
    <t>F759</t>
  </si>
  <si>
    <t>F760</t>
  </si>
  <si>
    <t>F761</t>
  </si>
  <si>
    <t>F762</t>
  </si>
  <si>
    <t>F763</t>
  </si>
  <si>
    <t>F764</t>
  </si>
  <si>
    <t>F765</t>
  </si>
  <si>
    <t>F766</t>
  </si>
  <si>
    <t>F767-F779</t>
  </si>
  <si>
    <t>F780</t>
  </si>
  <si>
    <t>F781</t>
  </si>
  <si>
    <t>F782</t>
  </si>
  <si>
    <t>F783</t>
  </si>
  <si>
    <t>F784</t>
  </si>
  <si>
    <t>F785</t>
  </si>
  <si>
    <t>F786</t>
  </si>
  <si>
    <t>F787</t>
  </si>
  <si>
    <t>F788</t>
  </si>
  <si>
    <t>F789</t>
  </si>
  <si>
    <t>F790</t>
  </si>
  <si>
    <t>F791</t>
  </si>
  <si>
    <t>F792</t>
  </si>
  <si>
    <t>F793</t>
  </si>
  <si>
    <t>F794</t>
  </si>
  <si>
    <t>F795</t>
  </si>
  <si>
    <t>F796</t>
  </si>
  <si>
    <t>F797</t>
  </si>
  <si>
    <t>F798-F809</t>
  </si>
  <si>
    <t>F810</t>
  </si>
  <si>
    <t>F811</t>
  </si>
  <si>
    <t>F812</t>
  </si>
  <si>
    <t>F813</t>
  </si>
  <si>
    <t>F814</t>
  </si>
  <si>
    <t>F815</t>
  </si>
  <si>
    <t>F816</t>
  </si>
  <si>
    <t>F817</t>
  </si>
  <si>
    <t>F818</t>
  </si>
  <si>
    <t>F819</t>
  </si>
  <si>
    <t>F820</t>
  </si>
  <si>
    <t>F821</t>
  </si>
  <si>
    <t>F822</t>
  </si>
  <si>
    <t>F823-F829</t>
  </si>
  <si>
    <t>F830</t>
  </si>
  <si>
    <t>F831</t>
  </si>
  <si>
    <t>F832</t>
  </si>
  <si>
    <t>F833</t>
  </si>
  <si>
    <t>F834</t>
  </si>
  <si>
    <t>F835</t>
  </si>
  <si>
    <t>F836</t>
  </si>
  <si>
    <t>F837</t>
  </si>
  <si>
    <t>F838</t>
  </si>
  <si>
    <t>F839</t>
  </si>
  <si>
    <t>F840</t>
  </si>
  <si>
    <t>F841</t>
  </si>
  <si>
    <t>F842</t>
  </si>
  <si>
    <t>F843</t>
  </si>
  <si>
    <t>F844</t>
  </si>
  <si>
    <t>F845</t>
  </si>
  <si>
    <t>F846</t>
  </si>
  <si>
    <t>F847</t>
  </si>
  <si>
    <t>F848</t>
  </si>
  <si>
    <t>F849</t>
  </si>
  <si>
    <t>F850</t>
  </si>
  <si>
    <t>F851-F859</t>
  </si>
  <si>
    <t>F860</t>
  </si>
  <si>
    <t>F861</t>
  </si>
  <si>
    <t>F862</t>
  </si>
  <si>
    <t>F863</t>
  </si>
  <si>
    <t>F864</t>
  </si>
  <si>
    <t>F865</t>
  </si>
  <si>
    <t>F866</t>
  </si>
  <si>
    <t>F867</t>
  </si>
  <si>
    <t>F868</t>
  </si>
  <si>
    <t>F869</t>
  </si>
  <si>
    <t>F870</t>
  </si>
  <si>
    <t>F871</t>
  </si>
  <si>
    <t>F872</t>
  </si>
  <si>
    <t>F873</t>
  </si>
  <si>
    <t>F874</t>
  </si>
  <si>
    <t>F875</t>
  </si>
  <si>
    <t>F876</t>
  </si>
  <si>
    <t>F877</t>
  </si>
  <si>
    <t>F878</t>
  </si>
  <si>
    <t>F879</t>
  </si>
  <si>
    <t>F880-F889</t>
  </si>
  <si>
    <t>F890</t>
  </si>
  <si>
    <t>F891</t>
  </si>
  <si>
    <t>F892-F897</t>
  </si>
  <si>
    <t>F898</t>
  </si>
  <si>
    <t>F899</t>
  </si>
  <si>
    <t>F900-F909</t>
  </si>
  <si>
    <t>F910</t>
  </si>
  <si>
    <t>F911</t>
  </si>
  <si>
    <t>F912</t>
  </si>
  <si>
    <t>F913</t>
  </si>
  <si>
    <t>F914</t>
  </si>
  <si>
    <t>F915</t>
  </si>
  <si>
    <t>F916</t>
  </si>
  <si>
    <t>F917</t>
  </si>
  <si>
    <t>F918</t>
  </si>
  <si>
    <t>F919</t>
  </si>
  <si>
    <t>F920</t>
  </si>
  <si>
    <t>F921</t>
  </si>
  <si>
    <t>F922</t>
  </si>
  <si>
    <t>F923</t>
  </si>
  <si>
    <t>F924</t>
  </si>
  <si>
    <t>F925</t>
  </si>
  <si>
    <t>F926</t>
  </si>
  <si>
    <t>F927</t>
  </si>
  <si>
    <t>F928</t>
  </si>
  <si>
    <t>F929</t>
  </si>
  <si>
    <t>F930</t>
  </si>
  <si>
    <t>F931</t>
  </si>
  <si>
    <t>F932</t>
  </si>
  <si>
    <t>F933</t>
  </si>
  <si>
    <t>F934</t>
  </si>
  <si>
    <t>F935</t>
  </si>
  <si>
    <t>F936</t>
  </si>
  <si>
    <t>F937</t>
  </si>
  <si>
    <t>F938</t>
  </si>
  <si>
    <t>F939</t>
  </si>
  <si>
    <t>F940</t>
  </si>
  <si>
    <t>F941</t>
  </si>
  <si>
    <t>F942</t>
  </si>
  <si>
    <t>F943</t>
  </si>
  <si>
    <t>F944</t>
  </si>
  <si>
    <t>F945</t>
  </si>
  <si>
    <t>F946</t>
  </si>
  <si>
    <t>F947</t>
  </si>
  <si>
    <t>F948</t>
  </si>
  <si>
    <t>F949</t>
  </si>
  <si>
    <t>F950</t>
  </si>
  <si>
    <t>F951</t>
  </si>
  <si>
    <t>F952</t>
  </si>
  <si>
    <t>F953</t>
  </si>
  <si>
    <t>F954</t>
  </si>
  <si>
    <t>F955</t>
  </si>
  <si>
    <t>F956</t>
  </si>
  <si>
    <t>F957</t>
  </si>
  <si>
    <t>F958</t>
  </si>
  <si>
    <t>F959</t>
  </si>
  <si>
    <t>F960</t>
  </si>
  <si>
    <t>F961</t>
  </si>
  <si>
    <t>F962</t>
  </si>
  <si>
    <t>F963</t>
  </si>
  <si>
    <t>F964</t>
  </si>
  <si>
    <t>F965</t>
  </si>
  <si>
    <t>F966</t>
  </si>
  <si>
    <t>F967</t>
  </si>
  <si>
    <t>F968</t>
  </si>
  <si>
    <t>F969</t>
  </si>
  <si>
    <t>F970</t>
  </si>
  <si>
    <t>F971</t>
  </si>
  <si>
    <t>F972</t>
  </si>
  <si>
    <t>F973</t>
  </si>
  <si>
    <t>F974</t>
  </si>
  <si>
    <t>F975</t>
  </si>
  <si>
    <t>F976</t>
  </si>
  <si>
    <t>F977</t>
  </si>
  <si>
    <t>F978</t>
  </si>
  <si>
    <t>F979</t>
  </si>
  <si>
    <t>F980</t>
  </si>
  <si>
    <t>F981</t>
  </si>
  <si>
    <t>F982</t>
  </si>
  <si>
    <t>F983</t>
  </si>
  <si>
    <t>F984</t>
  </si>
  <si>
    <t>F985</t>
  </si>
  <si>
    <t>F986</t>
  </si>
  <si>
    <t>F987</t>
  </si>
  <si>
    <t>F988</t>
  </si>
  <si>
    <t>F989</t>
  </si>
  <si>
    <t>F990</t>
  </si>
  <si>
    <t>F991</t>
  </si>
  <si>
    <t>F992</t>
  </si>
  <si>
    <t>F993</t>
  </si>
  <si>
    <t>F994</t>
  </si>
  <si>
    <t>F995</t>
  </si>
  <si>
    <t>F996</t>
  </si>
  <si>
    <t>F997</t>
  </si>
  <si>
    <t>F998</t>
  </si>
  <si>
    <t>F999</t>
  </si>
  <si>
    <t>F1000</t>
  </si>
  <si>
    <t>F1001</t>
  </si>
  <si>
    <t>F1002</t>
  </si>
  <si>
    <t>F1003</t>
  </si>
  <si>
    <t>F1004</t>
  </si>
  <si>
    <t>F1005</t>
  </si>
  <si>
    <t>F1006</t>
  </si>
  <si>
    <t>F1007</t>
  </si>
  <si>
    <t>F1008</t>
  </si>
  <si>
    <t>F1009</t>
  </si>
  <si>
    <t>F1010</t>
  </si>
  <si>
    <t>F1011</t>
  </si>
  <si>
    <t>F1012</t>
  </si>
  <si>
    <t>F1013</t>
  </si>
  <si>
    <t>F1014</t>
  </si>
  <si>
    <t>F1015</t>
  </si>
  <si>
    <t>F1016</t>
  </si>
  <si>
    <t>F1017</t>
  </si>
  <si>
    <t>F1018</t>
  </si>
  <si>
    <t>F1019</t>
  </si>
  <si>
    <t>F1020</t>
  </si>
  <si>
    <t>F1021</t>
  </si>
  <si>
    <t>F1022</t>
  </si>
  <si>
    <t>F1023</t>
  </si>
  <si>
    <t>F1024-F1029</t>
  </si>
  <si>
    <t>F1030</t>
  </si>
  <si>
    <t>F1031</t>
  </si>
  <si>
    <t>F1032</t>
  </si>
  <si>
    <t>TOTAL FOR LINE ITEM 0012 - 5TH OPTION PERIOD - NON-RECURRING WORK (ELINs F700 THROUGH F1032)</t>
  </si>
  <si>
    <t>CLIN 0013</t>
  </si>
  <si>
    <t>Line Item 0013 - Recurring Work - 6th Option Year</t>
  </si>
  <si>
    <t>G001</t>
  </si>
  <si>
    <t>G001AA</t>
  </si>
  <si>
    <t>G001AB</t>
  </si>
  <si>
    <t>G001AC</t>
  </si>
  <si>
    <t>G001AD</t>
  </si>
  <si>
    <t>G001AE</t>
  </si>
  <si>
    <t>G001AF</t>
  </si>
  <si>
    <t>G001AG</t>
  </si>
  <si>
    <t>G001AH</t>
  </si>
  <si>
    <t>G001AJ</t>
  </si>
  <si>
    <t>G001AK</t>
  </si>
  <si>
    <t>G001AL</t>
  </si>
  <si>
    <t>G001AM</t>
  </si>
  <si>
    <t>G001AN</t>
  </si>
  <si>
    <t>G001AP</t>
  </si>
  <si>
    <t>G001AQ</t>
  </si>
  <si>
    <t>G001AR</t>
  </si>
  <si>
    <t>G001AS</t>
  </si>
  <si>
    <t>G001AT</t>
  </si>
  <si>
    <t>G001AU</t>
  </si>
  <si>
    <t>G001AV</t>
  </si>
  <si>
    <t>G001AW</t>
  </si>
  <si>
    <t>G001AX</t>
  </si>
  <si>
    <t>G001AY</t>
  </si>
  <si>
    <t>G001AZ</t>
  </si>
  <si>
    <t>G001BA</t>
  </si>
  <si>
    <t>G001BB</t>
  </si>
  <si>
    <t>G001BC</t>
  </si>
  <si>
    <t>G001BD</t>
  </si>
  <si>
    <t>G001BE</t>
  </si>
  <si>
    <t>G001BF</t>
  </si>
  <si>
    <t>G001BG</t>
  </si>
  <si>
    <t>G001BH</t>
  </si>
  <si>
    <t>G001BJ</t>
  </si>
  <si>
    <t>G001BK</t>
  </si>
  <si>
    <t>G001BL</t>
  </si>
  <si>
    <t>G001BM</t>
  </si>
  <si>
    <t>G001BN</t>
  </si>
  <si>
    <t>G001BP</t>
  </si>
  <si>
    <t>G001BQ</t>
  </si>
  <si>
    <t>G001BR</t>
  </si>
  <si>
    <t>G001BS</t>
  </si>
  <si>
    <t>G001BT</t>
  </si>
  <si>
    <t>G001BU</t>
  </si>
  <si>
    <t>G001BW</t>
  </si>
  <si>
    <t>G001BX</t>
  </si>
  <si>
    <t>G001BY</t>
  </si>
  <si>
    <t>G001BZ</t>
  </si>
  <si>
    <t>G001CA</t>
  </si>
  <si>
    <t>G001CB</t>
  </si>
  <si>
    <t>G001CC</t>
  </si>
  <si>
    <t>G001CD</t>
  </si>
  <si>
    <t>G001CE</t>
  </si>
  <si>
    <t>G001CF</t>
  </si>
  <si>
    <t>G001CG</t>
  </si>
  <si>
    <t>G001CH</t>
  </si>
  <si>
    <t>G001CJ</t>
  </si>
  <si>
    <t>G001CK</t>
  </si>
  <si>
    <t>G001CL</t>
  </si>
  <si>
    <t>G002</t>
  </si>
  <si>
    <t>G002AA</t>
  </si>
  <si>
    <t>G002AB</t>
  </si>
  <si>
    <t>G002AC</t>
  </si>
  <si>
    <t>G002AD</t>
  </si>
  <si>
    <t>G002AE</t>
  </si>
  <si>
    <t>G002AG</t>
  </si>
  <si>
    <t>G002AH</t>
  </si>
  <si>
    <t>G002AJ</t>
  </si>
  <si>
    <t>G002AK</t>
  </si>
  <si>
    <t>G003</t>
  </si>
  <si>
    <t>G003AA</t>
  </si>
  <si>
    <t>G003AB</t>
  </si>
  <si>
    <t>G003AC</t>
  </si>
  <si>
    <t>G003AD</t>
  </si>
  <si>
    <t>G003AE</t>
  </si>
  <si>
    <t>G003AF</t>
  </si>
  <si>
    <t>G004</t>
  </si>
  <si>
    <t>G004AA</t>
  </si>
  <si>
    <t>G004AB</t>
  </si>
  <si>
    <t>G005</t>
  </si>
  <si>
    <t>G005AA</t>
  </si>
  <si>
    <t>G005AB</t>
  </si>
  <si>
    <t>G006</t>
  </si>
  <si>
    <t>G006AA</t>
  </si>
  <si>
    <t>G006AB</t>
  </si>
  <si>
    <t>G006AC</t>
  </si>
  <si>
    <t>G006AD</t>
  </si>
  <si>
    <t>G006AE</t>
  </si>
  <si>
    <t>G006AF</t>
  </si>
  <si>
    <t>G006AG</t>
  </si>
  <si>
    <t>G007</t>
  </si>
  <si>
    <t>G007AA</t>
  </si>
  <si>
    <t>G007AB</t>
  </si>
  <si>
    <t>G007AC</t>
  </si>
  <si>
    <t>G007AD</t>
  </si>
  <si>
    <t>G007AE</t>
  </si>
  <si>
    <t>G007AF</t>
  </si>
  <si>
    <t>G007AG</t>
  </si>
  <si>
    <t>G007AH</t>
  </si>
  <si>
    <t>G007AJ</t>
  </si>
  <si>
    <t>G007AK</t>
  </si>
  <si>
    <t>G007AL</t>
  </si>
  <si>
    <t>G007AM</t>
  </si>
  <si>
    <t>G007AN</t>
  </si>
  <si>
    <t>G007AP</t>
  </si>
  <si>
    <t>G007AQ</t>
  </si>
  <si>
    <t>G007AR</t>
  </si>
  <si>
    <t>G007AS</t>
  </si>
  <si>
    <t>G007AT</t>
  </si>
  <si>
    <t>G007AU</t>
  </si>
  <si>
    <t>G007AV</t>
  </si>
  <si>
    <t>G007AW</t>
  </si>
  <si>
    <t>G007AX</t>
  </si>
  <si>
    <t>G007AY</t>
  </si>
  <si>
    <t>G007AZ</t>
  </si>
  <si>
    <t>G007BA</t>
  </si>
  <si>
    <t>G007BB</t>
  </si>
  <si>
    <t>G007BC</t>
  </si>
  <si>
    <t>G007BD</t>
  </si>
  <si>
    <t>G007BE</t>
  </si>
  <si>
    <t>G007BF</t>
  </si>
  <si>
    <t>G007BG</t>
  </si>
  <si>
    <t>G008</t>
  </si>
  <si>
    <t>G008AA</t>
  </si>
  <si>
    <t>G008AB</t>
  </si>
  <si>
    <t>G008AC</t>
  </si>
  <si>
    <t>G008AD</t>
  </si>
  <si>
    <t>G008AE</t>
  </si>
  <si>
    <t>G009</t>
  </si>
  <si>
    <t>G009AA</t>
  </si>
  <si>
    <t>G010</t>
  </si>
  <si>
    <t>G010AA</t>
  </si>
  <si>
    <t>G011</t>
  </si>
  <si>
    <t>G011AA</t>
  </si>
  <si>
    <t>G011AB</t>
  </si>
  <si>
    <t>G011AC</t>
  </si>
  <si>
    <t>G011AD</t>
  </si>
  <si>
    <t>G011AE</t>
  </si>
  <si>
    <t>G011AF</t>
  </si>
  <si>
    <t>G011AG</t>
  </si>
  <si>
    <t>G011AH</t>
  </si>
  <si>
    <t>G011AJ</t>
  </si>
  <si>
    <t>G011AK</t>
  </si>
  <si>
    <t>G011AL</t>
  </si>
  <si>
    <t>G011AM</t>
  </si>
  <si>
    <t>G011AN</t>
  </si>
  <si>
    <t>G011AP</t>
  </si>
  <si>
    <t>G012</t>
  </si>
  <si>
    <t>G012AA</t>
  </si>
  <si>
    <t>G012AB</t>
  </si>
  <si>
    <t>G012AC</t>
  </si>
  <si>
    <t>G012AD</t>
  </si>
  <si>
    <t>G013</t>
  </si>
  <si>
    <t>G013AA</t>
  </si>
  <si>
    <t>G013AB</t>
  </si>
  <si>
    <t>G013AC</t>
  </si>
  <si>
    <t>G013AD</t>
  </si>
  <si>
    <t>G013AE</t>
  </si>
  <si>
    <t>G013AF</t>
  </si>
  <si>
    <t>G014</t>
  </si>
  <si>
    <t>G014AA</t>
  </si>
  <si>
    <t>G014AB</t>
  </si>
  <si>
    <t>G014AC</t>
  </si>
  <si>
    <t>G014AD</t>
  </si>
  <si>
    <t>G014AE</t>
  </si>
  <si>
    <t>G014AF</t>
  </si>
  <si>
    <t>G014AG</t>
  </si>
  <si>
    <t>G014AH</t>
  </si>
  <si>
    <t>G014AJ</t>
  </si>
  <si>
    <t>G014AK</t>
  </si>
  <si>
    <t>G014AL</t>
  </si>
  <si>
    <t>G014AM</t>
  </si>
  <si>
    <t>G014AN</t>
  </si>
  <si>
    <t>G014AP</t>
  </si>
  <si>
    <t>G015</t>
  </si>
  <si>
    <t>G015AA</t>
  </si>
  <si>
    <t>G015AB</t>
  </si>
  <si>
    <t>G015AC</t>
  </si>
  <si>
    <t>G016</t>
  </si>
  <si>
    <t>G016AA</t>
  </si>
  <si>
    <t>G016AB</t>
  </si>
  <si>
    <t>G016AC</t>
  </si>
  <si>
    <t>G016AD</t>
  </si>
  <si>
    <t>G016AE</t>
  </si>
  <si>
    <t>G016AF</t>
  </si>
  <si>
    <t>G016AG</t>
  </si>
  <si>
    <t>G016AH</t>
  </si>
  <si>
    <t>G016AJ</t>
  </si>
  <si>
    <t>G016AK</t>
  </si>
  <si>
    <t>G016AL</t>
  </si>
  <si>
    <t>G016AM</t>
  </si>
  <si>
    <t>G016AN</t>
  </si>
  <si>
    <t>G016AP</t>
  </si>
  <si>
    <t>G016AQ</t>
  </si>
  <si>
    <t>G016AR</t>
  </si>
  <si>
    <t>G016AS</t>
  </si>
  <si>
    <t>G016AT</t>
  </si>
  <si>
    <t>G016AU</t>
  </si>
  <si>
    <t>G016AV</t>
  </si>
  <si>
    <t>G016AW</t>
  </si>
  <si>
    <t>G016AX</t>
  </si>
  <si>
    <t>G016AY</t>
  </si>
  <si>
    <t>G016AZ</t>
  </si>
  <si>
    <t>G016BA</t>
  </si>
  <si>
    <t>G016BB</t>
  </si>
  <si>
    <t>G016BC</t>
  </si>
  <si>
    <t>G016BD</t>
  </si>
  <si>
    <t>G016BE</t>
  </si>
  <si>
    <t>G016BF</t>
  </si>
  <si>
    <t>G016BG</t>
  </si>
  <si>
    <t>G017</t>
  </si>
  <si>
    <t>G017AA</t>
  </si>
  <si>
    <t>G017AB</t>
  </si>
  <si>
    <t>G018</t>
  </si>
  <si>
    <t>G018AA</t>
  </si>
  <si>
    <t>G018AB</t>
  </si>
  <si>
    <t>G018AC</t>
  </si>
  <si>
    <t>G018AD</t>
  </si>
  <si>
    <t>G019</t>
  </si>
  <si>
    <t>G019AA</t>
  </si>
  <si>
    <t>G019AB</t>
  </si>
  <si>
    <t>G019AC</t>
  </si>
  <si>
    <t>G019AD</t>
  </si>
  <si>
    <t>G019AE</t>
  </si>
  <si>
    <t>G020</t>
  </si>
  <si>
    <t>G020AA</t>
  </si>
  <si>
    <t>G020AB</t>
  </si>
  <si>
    <t>G020AC</t>
  </si>
  <si>
    <t>G020AD</t>
  </si>
  <si>
    <t>G020AE</t>
  </si>
  <si>
    <t>G020AF</t>
  </si>
  <si>
    <t>G020AG</t>
  </si>
  <si>
    <t>G020AH</t>
  </si>
  <si>
    <t>G020AJ</t>
  </si>
  <si>
    <t>G020AK</t>
  </si>
  <si>
    <t>G020AL</t>
  </si>
  <si>
    <t>G020AM</t>
  </si>
  <si>
    <t>G020AN</t>
  </si>
  <si>
    <t>G020AP</t>
  </si>
  <si>
    <t>G020AQ</t>
  </si>
  <si>
    <t>G020AR</t>
  </si>
  <si>
    <t>G021</t>
  </si>
  <si>
    <t>G021AB</t>
  </si>
  <si>
    <t>G021AC</t>
  </si>
  <si>
    <t>CLIN 0014</t>
  </si>
  <si>
    <t xml:space="preserve">Non-Recurring Work Price - 6th Option Period </t>
  </si>
  <si>
    <t>ELINs G700 THROUGH G1032</t>
  </si>
  <si>
    <t>G700</t>
  </si>
  <si>
    <t>G701-G705</t>
  </si>
  <si>
    <t>G706</t>
  </si>
  <si>
    <t>G707</t>
  </si>
  <si>
    <t>G708</t>
  </si>
  <si>
    <t>G709</t>
  </si>
  <si>
    <t>G710</t>
  </si>
  <si>
    <t>G711</t>
  </si>
  <si>
    <t>G712</t>
  </si>
  <si>
    <t>G713</t>
  </si>
  <si>
    <t>G714</t>
  </si>
  <si>
    <t>G715</t>
  </si>
  <si>
    <t>G716</t>
  </si>
  <si>
    <t>G717</t>
  </si>
  <si>
    <t>G718-G729</t>
  </si>
  <si>
    <t>G730</t>
  </si>
  <si>
    <t>G731</t>
  </si>
  <si>
    <t>G732</t>
  </si>
  <si>
    <t>G733</t>
  </si>
  <si>
    <t>G734-G749</t>
  </si>
  <si>
    <t>G750</t>
  </si>
  <si>
    <t>G751</t>
  </si>
  <si>
    <t>G752</t>
  </si>
  <si>
    <t>G753</t>
  </si>
  <si>
    <t>G754</t>
  </si>
  <si>
    <t>G755</t>
  </si>
  <si>
    <t>G756</t>
  </si>
  <si>
    <t>G757</t>
  </si>
  <si>
    <t>G758</t>
  </si>
  <si>
    <t>G759</t>
  </si>
  <si>
    <t>G760</t>
  </si>
  <si>
    <t>G761</t>
  </si>
  <si>
    <t>G762</t>
  </si>
  <si>
    <t>G763</t>
  </si>
  <si>
    <t>G764</t>
  </si>
  <si>
    <t>G765</t>
  </si>
  <si>
    <t>G766</t>
  </si>
  <si>
    <t>G767-G779</t>
  </si>
  <si>
    <t>G780</t>
  </si>
  <si>
    <t>G781</t>
  </si>
  <si>
    <t>G782</t>
  </si>
  <si>
    <t>G783</t>
  </si>
  <si>
    <t>G784</t>
  </si>
  <si>
    <t>G785</t>
  </si>
  <si>
    <t>G786</t>
  </si>
  <si>
    <t>G787</t>
  </si>
  <si>
    <t>G788</t>
  </si>
  <si>
    <t>G789</t>
  </si>
  <si>
    <t>G790</t>
  </si>
  <si>
    <t>G791</t>
  </si>
  <si>
    <t>G792</t>
  </si>
  <si>
    <t>G793</t>
  </si>
  <si>
    <t>G794</t>
  </si>
  <si>
    <t>G795</t>
  </si>
  <si>
    <t>G796</t>
  </si>
  <si>
    <t>G797</t>
  </si>
  <si>
    <t>G798-G809</t>
  </si>
  <si>
    <t>G810</t>
  </si>
  <si>
    <t>G811</t>
  </si>
  <si>
    <t>G812</t>
  </si>
  <si>
    <t>G813</t>
  </si>
  <si>
    <t>G814</t>
  </si>
  <si>
    <t>G815</t>
  </si>
  <si>
    <t>G816</t>
  </si>
  <si>
    <t>G817</t>
  </si>
  <si>
    <t>G818</t>
  </si>
  <si>
    <t>G819</t>
  </si>
  <si>
    <t>G820</t>
  </si>
  <si>
    <t>G821</t>
  </si>
  <si>
    <t>G822</t>
  </si>
  <si>
    <t>G823-G829</t>
  </si>
  <si>
    <t>G830</t>
  </si>
  <si>
    <t>G831</t>
  </si>
  <si>
    <t>G832</t>
  </si>
  <si>
    <t>G833</t>
  </si>
  <si>
    <t>G834</t>
  </si>
  <si>
    <t>G835</t>
  </si>
  <si>
    <t>G836</t>
  </si>
  <si>
    <t>G837</t>
  </si>
  <si>
    <t>G838</t>
  </si>
  <si>
    <t>G839</t>
  </si>
  <si>
    <t>G840</t>
  </si>
  <si>
    <t>G841</t>
  </si>
  <si>
    <t>G842</t>
  </si>
  <si>
    <t>G843</t>
  </si>
  <si>
    <t>G844</t>
  </si>
  <si>
    <t>G845</t>
  </si>
  <si>
    <t>G846</t>
  </si>
  <si>
    <t>G847</t>
  </si>
  <si>
    <t>G848</t>
  </si>
  <si>
    <t>G849</t>
  </si>
  <si>
    <t>G850</t>
  </si>
  <si>
    <t>G851-G859</t>
  </si>
  <si>
    <t>G860</t>
  </si>
  <si>
    <t>G861</t>
  </si>
  <si>
    <t>G862</t>
  </si>
  <si>
    <t>G863</t>
  </si>
  <si>
    <t>G864</t>
  </si>
  <si>
    <t>G865</t>
  </si>
  <si>
    <t>G866</t>
  </si>
  <si>
    <t>G867</t>
  </si>
  <si>
    <t>G868</t>
  </si>
  <si>
    <t>G869</t>
  </si>
  <si>
    <t>G870</t>
  </si>
  <si>
    <t>G871</t>
  </si>
  <si>
    <t>G872</t>
  </si>
  <si>
    <t>G873</t>
  </si>
  <si>
    <t>G874</t>
  </si>
  <si>
    <t>G875</t>
  </si>
  <si>
    <t>G876</t>
  </si>
  <si>
    <t>G877</t>
  </si>
  <si>
    <t>G878</t>
  </si>
  <si>
    <t>G879</t>
  </si>
  <si>
    <t>G880-G889</t>
  </si>
  <si>
    <t>G890</t>
  </si>
  <si>
    <t>G891</t>
  </si>
  <si>
    <t>G892-G897</t>
  </si>
  <si>
    <t>G898</t>
  </si>
  <si>
    <t>G899</t>
  </si>
  <si>
    <t>G900-G909</t>
  </si>
  <si>
    <t>G910</t>
  </si>
  <si>
    <t>G911</t>
  </si>
  <si>
    <t>G912</t>
  </si>
  <si>
    <t>G913</t>
  </si>
  <si>
    <t>G914</t>
  </si>
  <si>
    <t>G915</t>
  </si>
  <si>
    <t>G916</t>
  </si>
  <si>
    <t>G917</t>
  </si>
  <si>
    <t>G918</t>
  </si>
  <si>
    <t>G919</t>
  </si>
  <si>
    <t>G920</t>
  </si>
  <si>
    <t>G921</t>
  </si>
  <si>
    <t>G922</t>
  </si>
  <si>
    <t>G923</t>
  </si>
  <si>
    <t>G924</t>
  </si>
  <si>
    <t>G925</t>
  </si>
  <si>
    <t>G926</t>
  </si>
  <si>
    <t>G927</t>
  </si>
  <si>
    <t>G928</t>
  </si>
  <si>
    <t>G929</t>
  </si>
  <si>
    <t>G930</t>
  </si>
  <si>
    <t>G931</t>
  </si>
  <si>
    <t>G932</t>
  </si>
  <si>
    <t>G933</t>
  </si>
  <si>
    <t>G934</t>
  </si>
  <si>
    <t>G935</t>
  </si>
  <si>
    <t>G936</t>
  </si>
  <si>
    <t>G937</t>
  </si>
  <si>
    <t>G938</t>
  </si>
  <si>
    <t>G939</t>
  </si>
  <si>
    <t>G940</t>
  </si>
  <si>
    <t>G941</t>
  </si>
  <si>
    <t>G942</t>
  </si>
  <si>
    <t>G943</t>
  </si>
  <si>
    <t>G944</t>
  </si>
  <si>
    <t>G945</t>
  </si>
  <si>
    <t>G946</t>
  </si>
  <si>
    <t>G947</t>
  </si>
  <si>
    <t>G948</t>
  </si>
  <si>
    <t>G949</t>
  </si>
  <si>
    <t>G950</t>
  </si>
  <si>
    <t>G951</t>
  </si>
  <si>
    <t>G952</t>
  </si>
  <si>
    <t>G953</t>
  </si>
  <si>
    <t>G954</t>
  </si>
  <si>
    <t>G955</t>
  </si>
  <si>
    <t>G956</t>
  </si>
  <si>
    <t>G957</t>
  </si>
  <si>
    <t>G958</t>
  </si>
  <si>
    <t>G959</t>
  </si>
  <si>
    <t>G960</t>
  </si>
  <si>
    <t>G961</t>
  </si>
  <si>
    <t>G962</t>
  </si>
  <si>
    <t>G963</t>
  </si>
  <si>
    <t>G964</t>
  </si>
  <si>
    <t>G965</t>
  </si>
  <si>
    <t>G966</t>
  </si>
  <si>
    <t>G967</t>
  </si>
  <si>
    <t>G968</t>
  </si>
  <si>
    <t>G969</t>
  </si>
  <si>
    <t>G970</t>
  </si>
  <si>
    <t>G971</t>
  </si>
  <si>
    <t>G972</t>
  </si>
  <si>
    <t>G973</t>
  </si>
  <si>
    <t>G974</t>
  </si>
  <si>
    <t>G975</t>
  </si>
  <si>
    <t>G976</t>
  </si>
  <si>
    <t>G977</t>
  </si>
  <si>
    <t>G978</t>
  </si>
  <si>
    <t>G979</t>
  </si>
  <si>
    <t>G980</t>
  </si>
  <si>
    <t>G981</t>
  </si>
  <si>
    <t>G982</t>
  </si>
  <si>
    <t>G983</t>
  </si>
  <si>
    <t>G984</t>
  </si>
  <si>
    <t>G985</t>
  </si>
  <si>
    <t>G986</t>
  </si>
  <si>
    <t>G987</t>
  </si>
  <si>
    <t>G988</t>
  </si>
  <si>
    <t>G989</t>
  </si>
  <si>
    <t>G990</t>
  </si>
  <si>
    <t>G991</t>
  </si>
  <si>
    <t>G992</t>
  </si>
  <si>
    <t>G993</t>
  </si>
  <si>
    <t>G994</t>
  </si>
  <si>
    <t>G995</t>
  </si>
  <si>
    <t>G996</t>
  </si>
  <si>
    <t>G997</t>
  </si>
  <si>
    <t>G998</t>
  </si>
  <si>
    <t>G999</t>
  </si>
  <si>
    <t>G1000</t>
  </si>
  <si>
    <t>G1001</t>
  </si>
  <si>
    <t>G1002</t>
  </si>
  <si>
    <t>G1003</t>
  </si>
  <si>
    <t>G1004</t>
  </si>
  <si>
    <t>G1005</t>
  </si>
  <si>
    <t>G1006</t>
  </si>
  <si>
    <t>G1007</t>
  </si>
  <si>
    <t>G1008</t>
  </si>
  <si>
    <t>G1009</t>
  </si>
  <si>
    <t>G1010</t>
  </si>
  <si>
    <t>G1011</t>
  </si>
  <si>
    <t>G1012</t>
  </si>
  <si>
    <t>G1013</t>
  </si>
  <si>
    <t>G1014</t>
  </si>
  <si>
    <t>G1015</t>
  </si>
  <si>
    <t>G1016</t>
  </si>
  <si>
    <t>G1017</t>
  </si>
  <si>
    <t>G1018</t>
  </si>
  <si>
    <t>G1019</t>
  </si>
  <si>
    <t>G1020</t>
  </si>
  <si>
    <t>G1021</t>
  </si>
  <si>
    <t>G1022</t>
  </si>
  <si>
    <t>G1023</t>
  </si>
  <si>
    <t>G1024-G1029</t>
  </si>
  <si>
    <t>G1030</t>
  </si>
  <si>
    <t>G1031</t>
  </si>
  <si>
    <t>G1032</t>
  </si>
  <si>
    <t>TOTAL FOR LINE ITEM 0014 - 6TH OPTION PERIOD - NON-RECURRING WORK (ELINs G700 THROUGH G1032)</t>
  </si>
  <si>
    <t>CLIN 0015</t>
  </si>
  <si>
    <t>Line Item 0015 - Recurring Work - 7th Option Year</t>
  </si>
  <si>
    <t>H001</t>
  </si>
  <si>
    <t>H001AA</t>
  </si>
  <si>
    <t>H001AB</t>
  </si>
  <si>
    <t>H001AC</t>
  </si>
  <si>
    <t>H001AD</t>
  </si>
  <si>
    <t>H001AE</t>
  </si>
  <si>
    <t>H001AF</t>
  </si>
  <si>
    <t>H001AG</t>
  </si>
  <si>
    <t>H001AH</t>
  </si>
  <si>
    <t>H001AJ</t>
  </si>
  <si>
    <t>H001AK</t>
  </si>
  <si>
    <t>H001AL</t>
  </si>
  <si>
    <t>H001AM</t>
  </si>
  <si>
    <t>H001AN</t>
  </si>
  <si>
    <t>H001AP</t>
  </si>
  <si>
    <t>H001AQ</t>
  </si>
  <si>
    <t>H001AR</t>
  </si>
  <si>
    <t>H001AS</t>
  </si>
  <si>
    <t>H001AT</t>
  </si>
  <si>
    <t>H001AU</t>
  </si>
  <si>
    <t>H001AV</t>
  </si>
  <si>
    <t>H001AW</t>
  </si>
  <si>
    <t>H001AX</t>
  </si>
  <si>
    <t>H001AY</t>
  </si>
  <si>
    <t>H001AZ</t>
  </si>
  <si>
    <t>H001BA</t>
  </si>
  <si>
    <t>H001BB</t>
  </si>
  <si>
    <t>H001BC</t>
  </si>
  <si>
    <t>H001BD</t>
  </si>
  <si>
    <t>H001BE</t>
  </si>
  <si>
    <t>H001BF</t>
  </si>
  <si>
    <t>H001BG</t>
  </si>
  <si>
    <t>H001BH</t>
  </si>
  <si>
    <t>H001BJ</t>
  </si>
  <si>
    <t>H001BK</t>
  </si>
  <si>
    <t>H001BL</t>
  </si>
  <si>
    <t>H001BM</t>
  </si>
  <si>
    <t>H001BN</t>
  </si>
  <si>
    <t>H001BP</t>
  </si>
  <si>
    <t>H001BQ</t>
  </si>
  <si>
    <t>H001BR</t>
  </si>
  <si>
    <t>H001BS</t>
  </si>
  <si>
    <t>H001BT</t>
  </si>
  <si>
    <t>H001BU</t>
  </si>
  <si>
    <t>H001BW</t>
  </si>
  <si>
    <t>H001BX</t>
  </si>
  <si>
    <t>H001BY</t>
  </si>
  <si>
    <t>H001BZ</t>
  </si>
  <si>
    <t>H001CA</t>
  </si>
  <si>
    <t>H001CB</t>
  </si>
  <si>
    <t>H001CC</t>
  </si>
  <si>
    <t>H001CD</t>
  </si>
  <si>
    <t>H001CE</t>
  </si>
  <si>
    <t>H001CF</t>
  </si>
  <si>
    <t>H001CG</t>
  </si>
  <si>
    <t>H001CH</t>
  </si>
  <si>
    <t>H001CJ</t>
  </si>
  <si>
    <t>H001CK</t>
  </si>
  <si>
    <t>H001CL</t>
  </si>
  <si>
    <t>H002</t>
  </si>
  <si>
    <t>H002AA</t>
  </si>
  <si>
    <t>H002AB</t>
  </si>
  <si>
    <t>H002AC</t>
  </si>
  <si>
    <t>H002AD</t>
  </si>
  <si>
    <t>H002AE</t>
  </si>
  <si>
    <t>H002AF</t>
  </si>
  <si>
    <t>H002AG</t>
  </si>
  <si>
    <t>H002AH</t>
  </si>
  <si>
    <t>H002AJ</t>
  </si>
  <si>
    <t>H002AK</t>
  </si>
  <si>
    <t>H003</t>
  </si>
  <si>
    <t>H003AA</t>
  </si>
  <si>
    <t>H003AB</t>
  </si>
  <si>
    <t>H003AC</t>
  </si>
  <si>
    <t>H003AD</t>
  </si>
  <si>
    <t>H003AE</t>
  </si>
  <si>
    <t>H003AF</t>
  </si>
  <si>
    <t>H004</t>
  </si>
  <si>
    <t>H004AA</t>
  </si>
  <si>
    <t>H004AB</t>
  </si>
  <si>
    <t>H005</t>
  </si>
  <si>
    <t>H005AA</t>
  </si>
  <si>
    <t>H005AB</t>
  </si>
  <si>
    <t>H006</t>
  </si>
  <si>
    <t>H006AA</t>
  </si>
  <si>
    <t>H006AB</t>
  </si>
  <si>
    <t>H006AC</t>
  </si>
  <si>
    <t>H006AD</t>
  </si>
  <si>
    <t>H006AE</t>
  </si>
  <si>
    <t>H006AF</t>
  </si>
  <si>
    <t>H006AG</t>
  </si>
  <si>
    <t>H007</t>
  </si>
  <si>
    <t>H007AA</t>
  </si>
  <si>
    <t>H007AB</t>
  </si>
  <si>
    <t>H007AC</t>
  </si>
  <si>
    <t>H007AD</t>
  </si>
  <si>
    <t>H007AE</t>
  </si>
  <si>
    <t>H007AF</t>
  </si>
  <si>
    <t>H007AG</t>
  </si>
  <si>
    <t>H007AH</t>
  </si>
  <si>
    <t>H007AJ</t>
  </si>
  <si>
    <t>H007AK</t>
  </si>
  <si>
    <t>H007AL</t>
  </si>
  <si>
    <t>H007AM</t>
  </si>
  <si>
    <t>H007AN</t>
  </si>
  <si>
    <t>H007AP</t>
  </si>
  <si>
    <t>H007AQ</t>
  </si>
  <si>
    <t>H007AR</t>
  </si>
  <si>
    <t>H007AS</t>
  </si>
  <si>
    <t>H007AT</t>
  </si>
  <si>
    <t>H007AU</t>
  </si>
  <si>
    <t>H007AV</t>
  </si>
  <si>
    <t>H007AW</t>
  </si>
  <si>
    <t>H007AX</t>
  </si>
  <si>
    <t>H007AY</t>
  </si>
  <si>
    <t>H007AZ</t>
  </si>
  <si>
    <t>H007BA</t>
  </si>
  <si>
    <t>H007BB</t>
  </si>
  <si>
    <t>H007BC</t>
  </si>
  <si>
    <t>H007BD</t>
  </si>
  <si>
    <t>H007BE</t>
  </si>
  <si>
    <t>H007BF</t>
  </si>
  <si>
    <t>H007BG</t>
  </si>
  <si>
    <t>H008</t>
  </si>
  <si>
    <t>H008AA</t>
  </si>
  <si>
    <t>H008AB</t>
  </si>
  <si>
    <t>H008AC</t>
  </si>
  <si>
    <t>H008AD</t>
  </si>
  <si>
    <t>H008AE</t>
  </si>
  <si>
    <t>H009</t>
  </si>
  <si>
    <t>H009AA</t>
  </si>
  <si>
    <t>H010</t>
  </si>
  <si>
    <t>H010AA</t>
  </si>
  <si>
    <t>H011</t>
  </si>
  <si>
    <t>H011AA</t>
  </si>
  <si>
    <t>H011AB</t>
  </si>
  <si>
    <t>H011AC</t>
  </si>
  <si>
    <t>H011AD</t>
  </si>
  <si>
    <t>H011AE</t>
  </si>
  <si>
    <t>H011AF</t>
  </si>
  <si>
    <t>H011AG</t>
  </si>
  <si>
    <t>H011AH</t>
  </si>
  <si>
    <t>H011AJ</t>
  </si>
  <si>
    <t>H011AK</t>
  </si>
  <si>
    <t>H011AL</t>
  </si>
  <si>
    <t>H011AM</t>
  </si>
  <si>
    <t>H011AN</t>
  </si>
  <si>
    <t>H011AP</t>
  </si>
  <si>
    <t>H012</t>
  </si>
  <si>
    <t>H012AA</t>
  </si>
  <si>
    <t>H012AB</t>
  </si>
  <si>
    <t>H012AC</t>
  </si>
  <si>
    <t>H012AD</t>
  </si>
  <si>
    <t>H013</t>
  </si>
  <si>
    <t>H013AA</t>
  </si>
  <si>
    <t>H013AB</t>
  </si>
  <si>
    <t>H013AC</t>
  </si>
  <si>
    <t>H013AD</t>
  </si>
  <si>
    <t>H013AE</t>
  </si>
  <si>
    <t>H013AF</t>
  </si>
  <si>
    <t>H014</t>
  </si>
  <si>
    <t>H014AA</t>
  </si>
  <si>
    <t>H014AB</t>
  </si>
  <si>
    <t>H014AC</t>
  </si>
  <si>
    <t>H014AD</t>
  </si>
  <si>
    <t>H014AE</t>
  </si>
  <si>
    <t>H014AF</t>
  </si>
  <si>
    <t>H014AG</t>
  </si>
  <si>
    <t>H014AH</t>
  </si>
  <si>
    <t>H014AJ</t>
  </si>
  <si>
    <t>H014AK</t>
  </si>
  <si>
    <t>H014AL</t>
  </si>
  <si>
    <t>H014AM</t>
  </si>
  <si>
    <t>H014AN</t>
  </si>
  <si>
    <t>H014AP</t>
  </si>
  <si>
    <t>H014AQ</t>
  </si>
  <si>
    <t>H014AR</t>
  </si>
  <si>
    <t>H015</t>
  </si>
  <si>
    <t>H015AA</t>
  </si>
  <si>
    <t>H015AB</t>
  </si>
  <si>
    <t>H015AC</t>
  </si>
  <si>
    <t>H016</t>
  </si>
  <si>
    <t>H016AA</t>
  </si>
  <si>
    <t>H016AB</t>
  </si>
  <si>
    <t>H016AC</t>
  </si>
  <si>
    <t>H016AD</t>
  </si>
  <si>
    <t>H016AE</t>
  </si>
  <si>
    <t>H016AF</t>
  </si>
  <si>
    <t>H016AG</t>
  </si>
  <si>
    <t>H016AH</t>
  </si>
  <si>
    <t>H016AJ</t>
  </si>
  <si>
    <t>H016AK</t>
  </si>
  <si>
    <t>H016AL</t>
  </si>
  <si>
    <t>H016AM</t>
  </si>
  <si>
    <t>H016AN</t>
  </si>
  <si>
    <t>H016AP</t>
  </si>
  <si>
    <t>H016AQ</t>
  </si>
  <si>
    <t>H016AR</t>
  </si>
  <si>
    <t>H016AS</t>
  </si>
  <si>
    <t>H016AT</t>
  </si>
  <si>
    <t>H016AU</t>
  </si>
  <si>
    <t>H016AV</t>
  </si>
  <si>
    <t>H016AW</t>
  </si>
  <si>
    <t>H016AX</t>
  </si>
  <si>
    <t>H016AY</t>
  </si>
  <si>
    <t>H016AZ</t>
  </si>
  <si>
    <t>H016BA</t>
  </si>
  <si>
    <t>H016BB</t>
  </si>
  <si>
    <t>H016BC</t>
  </si>
  <si>
    <t>H016BD</t>
  </si>
  <si>
    <t>H016BE</t>
  </si>
  <si>
    <t>H016BF</t>
  </si>
  <si>
    <t>H016BG</t>
  </si>
  <si>
    <t>H017</t>
  </si>
  <si>
    <t>H017AA</t>
  </si>
  <si>
    <t>H017AB</t>
  </si>
  <si>
    <t>H018</t>
  </si>
  <si>
    <t>H018AA</t>
  </si>
  <si>
    <t>H018AB</t>
  </si>
  <si>
    <t>H018AC</t>
  </si>
  <si>
    <t>H018AD</t>
  </si>
  <si>
    <t>H019</t>
  </si>
  <si>
    <t>H019AA</t>
  </si>
  <si>
    <t>H019AB</t>
  </si>
  <si>
    <t>H019AC</t>
  </si>
  <si>
    <t>H019AD</t>
  </si>
  <si>
    <t>H019AE</t>
  </si>
  <si>
    <t>H020</t>
  </si>
  <si>
    <t>H020AA</t>
  </si>
  <si>
    <t>H020AB</t>
  </si>
  <si>
    <t>H020AC</t>
  </si>
  <si>
    <t>H020AD</t>
  </si>
  <si>
    <t>H020AE</t>
  </si>
  <si>
    <t>H020AF</t>
  </si>
  <si>
    <t>H020AG</t>
  </si>
  <si>
    <t>H020AH</t>
  </si>
  <si>
    <t>H020AJ</t>
  </si>
  <si>
    <t>H020AK</t>
  </si>
  <si>
    <t>H020AL</t>
  </si>
  <si>
    <t>H020AM</t>
  </si>
  <si>
    <t>H020AN</t>
  </si>
  <si>
    <t>H020AP</t>
  </si>
  <si>
    <t>H020AQ</t>
  </si>
  <si>
    <t>H020AR</t>
  </si>
  <si>
    <t>H021</t>
  </si>
  <si>
    <t>H021AB</t>
  </si>
  <si>
    <t>H021AC</t>
  </si>
  <si>
    <t>CLIN 0016</t>
  </si>
  <si>
    <t xml:space="preserve">Non-Recurring Work Price - 7th Option Period </t>
  </si>
  <si>
    <t>ELINs H700 THROUGH H1032</t>
  </si>
  <si>
    <t>H700</t>
  </si>
  <si>
    <t>H701-H705</t>
  </si>
  <si>
    <t>H706</t>
  </si>
  <si>
    <t>H707</t>
  </si>
  <si>
    <t>H708</t>
  </si>
  <si>
    <t>H709</t>
  </si>
  <si>
    <t>H710</t>
  </si>
  <si>
    <t>H711</t>
  </si>
  <si>
    <t>H712</t>
  </si>
  <si>
    <t>H713</t>
  </si>
  <si>
    <t>H714</t>
  </si>
  <si>
    <t>H715</t>
  </si>
  <si>
    <t>H716</t>
  </si>
  <si>
    <t>H717</t>
  </si>
  <si>
    <t>H718-H729</t>
  </si>
  <si>
    <t>H730</t>
  </si>
  <si>
    <t>H731</t>
  </si>
  <si>
    <t>H732</t>
  </si>
  <si>
    <t>H733</t>
  </si>
  <si>
    <t>H734-H749</t>
  </si>
  <si>
    <t>H750</t>
  </si>
  <si>
    <t>H751</t>
  </si>
  <si>
    <t>H752</t>
  </si>
  <si>
    <t>H753</t>
  </si>
  <si>
    <t>H754</t>
  </si>
  <si>
    <t>H755</t>
  </si>
  <si>
    <t>H756</t>
  </si>
  <si>
    <t>H757</t>
  </si>
  <si>
    <t>H758</t>
  </si>
  <si>
    <t>H759</t>
  </si>
  <si>
    <t>H760</t>
  </si>
  <si>
    <t>H761</t>
  </si>
  <si>
    <t>H762</t>
  </si>
  <si>
    <t>H763</t>
  </si>
  <si>
    <t>H764</t>
  </si>
  <si>
    <t>H765</t>
  </si>
  <si>
    <t>H766</t>
  </si>
  <si>
    <t>H767-H779</t>
  </si>
  <si>
    <t>H780</t>
  </si>
  <si>
    <t>H781</t>
  </si>
  <si>
    <t>H782</t>
  </si>
  <si>
    <t>H783</t>
  </si>
  <si>
    <t>H784</t>
  </si>
  <si>
    <t>H785</t>
  </si>
  <si>
    <t>H786</t>
  </si>
  <si>
    <t>H787</t>
  </si>
  <si>
    <t>H788</t>
  </si>
  <si>
    <t>H789</t>
  </si>
  <si>
    <t>H790</t>
  </si>
  <si>
    <t>H791</t>
  </si>
  <si>
    <t>H792</t>
  </si>
  <si>
    <t>H793</t>
  </si>
  <si>
    <t>H794</t>
  </si>
  <si>
    <t>H795</t>
  </si>
  <si>
    <t>H796</t>
  </si>
  <si>
    <t>H797</t>
  </si>
  <si>
    <t>H798-H809</t>
  </si>
  <si>
    <t>H810</t>
  </si>
  <si>
    <t>H811</t>
  </si>
  <si>
    <t>H812</t>
  </si>
  <si>
    <t>H813</t>
  </si>
  <si>
    <t>H814</t>
  </si>
  <si>
    <t>H815</t>
  </si>
  <si>
    <t>H816</t>
  </si>
  <si>
    <t>H817</t>
  </si>
  <si>
    <t>H818</t>
  </si>
  <si>
    <t>H819</t>
  </si>
  <si>
    <t>H820</t>
  </si>
  <si>
    <t>H821</t>
  </si>
  <si>
    <t>H822</t>
  </si>
  <si>
    <t>H823-H829</t>
  </si>
  <si>
    <t>H830</t>
  </si>
  <si>
    <t>H831</t>
  </si>
  <si>
    <t>H832</t>
  </si>
  <si>
    <t>H833</t>
  </si>
  <si>
    <t>H834</t>
  </si>
  <si>
    <t>H835</t>
  </si>
  <si>
    <t>H836</t>
  </si>
  <si>
    <t>H837</t>
  </si>
  <si>
    <t>H838</t>
  </si>
  <si>
    <t>H839</t>
  </si>
  <si>
    <t>H840</t>
  </si>
  <si>
    <t>H841</t>
  </si>
  <si>
    <t>H842</t>
  </si>
  <si>
    <t>H843</t>
  </si>
  <si>
    <t>H844</t>
  </si>
  <si>
    <t>H845</t>
  </si>
  <si>
    <t>H846</t>
  </si>
  <si>
    <t>H847</t>
  </si>
  <si>
    <t>H848</t>
  </si>
  <si>
    <t>H849</t>
  </si>
  <si>
    <t>H850</t>
  </si>
  <si>
    <t>H851-H859</t>
  </si>
  <si>
    <t>H860</t>
  </si>
  <si>
    <t>H861</t>
  </si>
  <si>
    <t>H862</t>
  </si>
  <si>
    <t>H863</t>
  </si>
  <si>
    <t>H864</t>
  </si>
  <si>
    <t>H865</t>
  </si>
  <si>
    <t>H866</t>
  </si>
  <si>
    <t>H867</t>
  </si>
  <si>
    <t>H868</t>
  </si>
  <si>
    <t>H869</t>
  </si>
  <si>
    <t>H870</t>
  </si>
  <si>
    <t>H871</t>
  </si>
  <si>
    <t>H872</t>
  </si>
  <si>
    <t>H873</t>
  </si>
  <si>
    <t>H874</t>
  </si>
  <si>
    <t>H875</t>
  </si>
  <si>
    <t>H876</t>
  </si>
  <si>
    <t>H877</t>
  </si>
  <si>
    <t>H878</t>
  </si>
  <si>
    <t>H879</t>
  </si>
  <si>
    <t>H880-H889</t>
  </si>
  <si>
    <t>H890</t>
  </si>
  <si>
    <t>H891</t>
  </si>
  <si>
    <t>H892-H897</t>
  </si>
  <si>
    <t>H898</t>
  </si>
  <si>
    <t>H899</t>
  </si>
  <si>
    <t>H900-H909</t>
  </si>
  <si>
    <t>H910</t>
  </si>
  <si>
    <t>H911</t>
  </si>
  <si>
    <t>H912</t>
  </si>
  <si>
    <t>H913</t>
  </si>
  <si>
    <t>H914</t>
  </si>
  <si>
    <t>H915</t>
  </si>
  <si>
    <t>H916</t>
  </si>
  <si>
    <t>H917</t>
  </si>
  <si>
    <t>H918</t>
  </si>
  <si>
    <t>H919</t>
  </si>
  <si>
    <t>H920</t>
  </si>
  <si>
    <t>H921</t>
  </si>
  <si>
    <t>H922</t>
  </si>
  <si>
    <t>H923</t>
  </si>
  <si>
    <t>H924</t>
  </si>
  <si>
    <t>H925</t>
  </si>
  <si>
    <t>H926</t>
  </si>
  <si>
    <t>H927</t>
  </si>
  <si>
    <t>H928</t>
  </si>
  <si>
    <t>H929</t>
  </si>
  <si>
    <t>H930</t>
  </si>
  <si>
    <t>H931</t>
  </si>
  <si>
    <t>H932</t>
  </si>
  <si>
    <t>H933</t>
  </si>
  <si>
    <t>H934</t>
  </si>
  <si>
    <t>H935</t>
  </si>
  <si>
    <t>H936</t>
  </si>
  <si>
    <t>H937</t>
  </si>
  <si>
    <t>H938</t>
  </si>
  <si>
    <t>H939</t>
  </si>
  <si>
    <t>H940</t>
  </si>
  <si>
    <t>H941</t>
  </si>
  <si>
    <t>H942</t>
  </si>
  <si>
    <t>H943</t>
  </si>
  <si>
    <t>H944</t>
  </si>
  <si>
    <t>H945</t>
  </si>
  <si>
    <t>H946</t>
  </si>
  <si>
    <t>H947</t>
  </si>
  <si>
    <t>H948</t>
  </si>
  <si>
    <t>H949</t>
  </si>
  <si>
    <t>H950</t>
  </si>
  <si>
    <t>H951</t>
  </si>
  <si>
    <t>H952</t>
  </si>
  <si>
    <t>H953</t>
  </si>
  <si>
    <t>H954</t>
  </si>
  <si>
    <t>H955</t>
  </si>
  <si>
    <t>H956</t>
  </si>
  <si>
    <t>H957</t>
  </si>
  <si>
    <t>H958</t>
  </si>
  <si>
    <t>H959</t>
  </si>
  <si>
    <t>H960</t>
  </si>
  <si>
    <t>H961</t>
  </si>
  <si>
    <t>H962</t>
  </si>
  <si>
    <t>H963</t>
  </si>
  <si>
    <t>H964</t>
  </si>
  <si>
    <t>H965</t>
  </si>
  <si>
    <t>H966</t>
  </si>
  <si>
    <t>H967</t>
  </si>
  <si>
    <t>H968</t>
  </si>
  <si>
    <t>H969</t>
  </si>
  <si>
    <t>H970</t>
  </si>
  <si>
    <t>H971</t>
  </si>
  <si>
    <t>H972</t>
  </si>
  <si>
    <t>H973</t>
  </si>
  <si>
    <t>H974</t>
  </si>
  <si>
    <t>H975</t>
  </si>
  <si>
    <t>H976</t>
  </si>
  <si>
    <t>H977</t>
  </si>
  <si>
    <t>H978</t>
  </si>
  <si>
    <t>H979</t>
  </si>
  <si>
    <t>H980</t>
  </si>
  <si>
    <t>H981</t>
  </si>
  <si>
    <t>H982</t>
  </si>
  <si>
    <t>H983</t>
  </si>
  <si>
    <t>H984</t>
  </si>
  <si>
    <t>H985</t>
  </si>
  <si>
    <t>H986</t>
  </si>
  <si>
    <t>H987</t>
  </si>
  <si>
    <t>H988</t>
  </si>
  <si>
    <t>H989</t>
  </si>
  <si>
    <t>H990</t>
  </si>
  <si>
    <t>H991</t>
  </si>
  <si>
    <t>H992</t>
  </si>
  <si>
    <t>H993</t>
  </si>
  <si>
    <t>H994</t>
  </si>
  <si>
    <t>H995</t>
  </si>
  <si>
    <t>H996</t>
  </si>
  <si>
    <t>H997</t>
  </si>
  <si>
    <t>H998</t>
  </si>
  <si>
    <t>H999</t>
  </si>
  <si>
    <t>H1000</t>
  </si>
  <si>
    <t>H1001</t>
  </si>
  <si>
    <t>H1002</t>
  </si>
  <si>
    <t>H1003</t>
  </si>
  <si>
    <t>H1004</t>
  </si>
  <si>
    <t>H1005</t>
  </si>
  <si>
    <t>H1006</t>
  </si>
  <si>
    <t>H1007</t>
  </si>
  <si>
    <t>H1008</t>
  </si>
  <si>
    <t>H1009</t>
  </si>
  <si>
    <t>H1010</t>
  </si>
  <si>
    <t>H1011</t>
  </si>
  <si>
    <t>H1012</t>
  </si>
  <si>
    <t>H1013</t>
  </si>
  <si>
    <t>H1014</t>
  </si>
  <si>
    <t>H1015</t>
  </si>
  <si>
    <t>H1016</t>
  </si>
  <si>
    <t>H1017</t>
  </si>
  <si>
    <t>H1018</t>
  </si>
  <si>
    <t>H1019</t>
  </si>
  <si>
    <t>H1020</t>
  </si>
  <si>
    <t>H1021</t>
  </si>
  <si>
    <t>H1022</t>
  </si>
  <si>
    <t>H1023</t>
  </si>
  <si>
    <t>H1024-H1029</t>
  </si>
  <si>
    <t>H1030</t>
  </si>
  <si>
    <t>H1031</t>
  </si>
  <si>
    <t>H1032</t>
  </si>
  <si>
    <t>TOTAL FOR LINE ITEM 0016 - 7TH OPTION PERIOD - NON-RECURRING WORK (ELINs H700 THROUGH H1032)</t>
  </si>
  <si>
    <t>CLIN 0017</t>
  </si>
  <si>
    <t>Line Item 0017 - Recurring Work - 8th Option Year</t>
  </si>
  <si>
    <t>J001</t>
  </si>
  <si>
    <t>J001AA</t>
  </si>
  <si>
    <t>J001AB</t>
  </si>
  <si>
    <t>J001AC</t>
  </si>
  <si>
    <t>J001AD</t>
  </si>
  <si>
    <t>J001AE</t>
  </si>
  <si>
    <t>J001AF</t>
  </si>
  <si>
    <t>J001AG</t>
  </si>
  <si>
    <t>J001AH</t>
  </si>
  <si>
    <t>J001AJ</t>
  </si>
  <si>
    <t>J001AK</t>
  </si>
  <si>
    <t>J001AL</t>
  </si>
  <si>
    <t>J001AM</t>
  </si>
  <si>
    <t>J001AN</t>
  </si>
  <si>
    <t>J001AP</t>
  </si>
  <si>
    <t>J001AQ</t>
  </si>
  <si>
    <t>J001AR</t>
  </si>
  <si>
    <t>J001AS</t>
  </si>
  <si>
    <t>J001AT</t>
  </si>
  <si>
    <t>J001AU</t>
  </si>
  <si>
    <t>J001AV</t>
  </si>
  <si>
    <t>J001AW</t>
  </si>
  <si>
    <t>J001AX</t>
  </si>
  <si>
    <t>J001AY</t>
  </si>
  <si>
    <t>J001AZ</t>
  </si>
  <si>
    <t>J001BA</t>
  </si>
  <si>
    <t>J001BB</t>
  </si>
  <si>
    <t>J001BC</t>
  </si>
  <si>
    <t>J001BD</t>
  </si>
  <si>
    <t>J001BE</t>
  </si>
  <si>
    <t>J001BF</t>
  </si>
  <si>
    <t>J001BG</t>
  </si>
  <si>
    <t>J001BH</t>
  </si>
  <si>
    <t>J001BJ</t>
  </si>
  <si>
    <t>J001BK</t>
  </si>
  <si>
    <t>J001BL</t>
  </si>
  <si>
    <t>J001BM</t>
  </si>
  <si>
    <t>J001BN</t>
  </si>
  <si>
    <t>J001BP</t>
  </si>
  <si>
    <t>J001BQ</t>
  </si>
  <si>
    <t>J001BR</t>
  </si>
  <si>
    <t>J001BS</t>
  </si>
  <si>
    <t>J001BT</t>
  </si>
  <si>
    <t>J001BU</t>
  </si>
  <si>
    <t>J001BW</t>
  </si>
  <si>
    <t>J001BX</t>
  </si>
  <si>
    <t>J001BY</t>
  </si>
  <si>
    <t>J001BZ</t>
  </si>
  <si>
    <t>J001CA</t>
  </si>
  <si>
    <t>J001CB</t>
  </si>
  <si>
    <t>J001CC</t>
  </si>
  <si>
    <t>J001CD</t>
  </si>
  <si>
    <t>J001CE</t>
  </si>
  <si>
    <t>J001CF</t>
  </si>
  <si>
    <t>J001CG</t>
  </si>
  <si>
    <t>J001CH</t>
  </si>
  <si>
    <t>J001CJ</t>
  </si>
  <si>
    <t>J001CK</t>
  </si>
  <si>
    <t>J001CL</t>
  </si>
  <si>
    <t>J002</t>
  </si>
  <si>
    <t>J002AA</t>
  </si>
  <si>
    <t>J002AB</t>
  </si>
  <si>
    <t>J002AC</t>
  </si>
  <si>
    <t>J002AD</t>
  </si>
  <si>
    <t>J002AE</t>
  </si>
  <si>
    <t>J002AF</t>
  </si>
  <si>
    <t>J002AG</t>
  </si>
  <si>
    <t>J002AH</t>
  </si>
  <si>
    <t>J002AJ</t>
  </si>
  <si>
    <t>J002AK</t>
  </si>
  <si>
    <t>J003</t>
  </si>
  <si>
    <t>J003AA</t>
  </si>
  <si>
    <t>J003AB</t>
  </si>
  <si>
    <t>J003AC</t>
  </si>
  <si>
    <t>J003AD</t>
  </si>
  <si>
    <t>J003AE</t>
  </si>
  <si>
    <t>J003AF</t>
  </si>
  <si>
    <t>J004</t>
  </si>
  <si>
    <t>J004AA</t>
  </si>
  <si>
    <t>J004AB</t>
  </si>
  <si>
    <t>J005</t>
  </si>
  <si>
    <t>J005AA</t>
  </si>
  <si>
    <t>J005AB</t>
  </si>
  <si>
    <t>J006</t>
  </si>
  <si>
    <t>J006AA</t>
  </si>
  <si>
    <t>J006AB</t>
  </si>
  <si>
    <t>J006AC</t>
  </si>
  <si>
    <t>J006AD</t>
  </si>
  <si>
    <t>J006AE</t>
  </si>
  <si>
    <t>J006AF</t>
  </si>
  <si>
    <t>J006AG</t>
  </si>
  <si>
    <t>J007</t>
  </si>
  <si>
    <t>J007AA</t>
  </si>
  <si>
    <t>J007AB</t>
  </si>
  <si>
    <t>J007AC</t>
  </si>
  <si>
    <t>J007AD</t>
  </si>
  <si>
    <t>J007AE</t>
  </si>
  <si>
    <t>J007AF</t>
  </si>
  <si>
    <t>J007AG</t>
  </si>
  <si>
    <t>J007AH</t>
  </si>
  <si>
    <t>J007AJ</t>
  </si>
  <si>
    <t>J007AK</t>
  </si>
  <si>
    <t>J007AL</t>
  </si>
  <si>
    <t>J007AM</t>
  </si>
  <si>
    <t>J007AN</t>
  </si>
  <si>
    <t>J007AP</t>
  </si>
  <si>
    <t>J007AQ</t>
  </si>
  <si>
    <t>J007AR</t>
  </si>
  <si>
    <t>J007AS</t>
  </si>
  <si>
    <t>J007AT</t>
  </si>
  <si>
    <t>J007AU</t>
  </si>
  <si>
    <t>J007AV</t>
  </si>
  <si>
    <t>J007AW</t>
  </si>
  <si>
    <t>J007AX</t>
  </si>
  <si>
    <t>J007AY</t>
  </si>
  <si>
    <t>J007AZ</t>
  </si>
  <si>
    <t>J007BA</t>
  </si>
  <si>
    <t>J007BB</t>
  </si>
  <si>
    <t>J007BC</t>
  </si>
  <si>
    <t>J007BD</t>
  </si>
  <si>
    <t>J007BE</t>
  </si>
  <si>
    <t>J007BF</t>
  </si>
  <si>
    <t>J007BG</t>
  </si>
  <si>
    <t>J008</t>
  </si>
  <si>
    <t>J008AA</t>
  </si>
  <si>
    <t>J008AB</t>
  </si>
  <si>
    <t>J008AC</t>
  </si>
  <si>
    <t>J008AD</t>
  </si>
  <si>
    <t>J008AE</t>
  </si>
  <si>
    <t>J009</t>
  </si>
  <si>
    <t>J009AA</t>
  </si>
  <si>
    <t>J010</t>
  </si>
  <si>
    <t>J010AA</t>
  </si>
  <si>
    <t>J011</t>
  </si>
  <si>
    <t>J011AA</t>
  </si>
  <si>
    <t>J011AB</t>
  </si>
  <si>
    <t>J011AC</t>
  </si>
  <si>
    <t>J011AD</t>
  </si>
  <si>
    <t>J011AE</t>
  </si>
  <si>
    <t>J011AF</t>
  </si>
  <si>
    <t>J011AG</t>
  </si>
  <si>
    <t>J011AH</t>
  </si>
  <si>
    <t>J011AJ</t>
  </si>
  <si>
    <t>J011AK</t>
  </si>
  <si>
    <t>J011AL</t>
  </si>
  <si>
    <t>J011AM</t>
  </si>
  <si>
    <t>J011AN</t>
  </si>
  <si>
    <t>J011AP</t>
  </si>
  <si>
    <t>J012</t>
  </si>
  <si>
    <t>J012AA</t>
  </si>
  <si>
    <t>J012AB</t>
  </si>
  <si>
    <t>J012AC</t>
  </si>
  <si>
    <t>J012AD</t>
  </si>
  <si>
    <t>J013</t>
  </si>
  <si>
    <t>J013AA</t>
  </si>
  <si>
    <t>J013AB</t>
  </si>
  <si>
    <t>J013AC</t>
  </si>
  <si>
    <t>J013AD</t>
  </si>
  <si>
    <t>J013AE</t>
  </si>
  <si>
    <t>J013AF</t>
  </si>
  <si>
    <t>J014</t>
  </si>
  <si>
    <t>J014AA</t>
  </si>
  <si>
    <t>J014AB</t>
  </si>
  <si>
    <t>J014AC</t>
  </si>
  <si>
    <t>J014AD</t>
  </si>
  <si>
    <t>J014AE</t>
  </si>
  <si>
    <t>J014AF</t>
  </si>
  <si>
    <t>J014AG</t>
  </si>
  <si>
    <t>J014AH</t>
  </si>
  <si>
    <t>J014AJ</t>
  </si>
  <si>
    <t>J014AK</t>
  </si>
  <si>
    <t>J014AL</t>
  </si>
  <si>
    <t>J014AM</t>
  </si>
  <si>
    <t>J014AN</t>
  </si>
  <si>
    <t>J014AP</t>
  </si>
  <si>
    <t>J014AQ</t>
  </si>
  <si>
    <t>J014AR</t>
  </si>
  <si>
    <t>J015</t>
  </si>
  <si>
    <t>J015AA</t>
  </si>
  <si>
    <t>J015AB</t>
  </si>
  <si>
    <t>J015AC</t>
  </si>
  <si>
    <t>J016</t>
  </si>
  <si>
    <t>J016AA</t>
  </si>
  <si>
    <t>J016AB</t>
  </si>
  <si>
    <t>J016AC</t>
  </si>
  <si>
    <t>J016AD</t>
  </si>
  <si>
    <t>J016AE</t>
  </si>
  <si>
    <t>J016AF</t>
  </si>
  <si>
    <t>J016AG</t>
  </si>
  <si>
    <t>J016AH</t>
  </si>
  <si>
    <t>J016AJ</t>
  </si>
  <si>
    <t>J016AK</t>
  </si>
  <si>
    <t>J016AL</t>
  </si>
  <si>
    <t>J016AM</t>
  </si>
  <si>
    <t>J016AN</t>
  </si>
  <si>
    <t>J016AP</t>
  </si>
  <si>
    <t>J016AQ</t>
  </si>
  <si>
    <t>J016AR</t>
  </si>
  <si>
    <t>J016AS</t>
  </si>
  <si>
    <t>J016AT</t>
  </si>
  <si>
    <t>J016AU</t>
  </si>
  <si>
    <t>J016AV</t>
  </si>
  <si>
    <t>J016AW</t>
  </si>
  <si>
    <t>J016AX</t>
  </si>
  <si>
    <t>J016AY</t>
  </si>
  <si>
    <t>J016AZ</t>
  </si>
  <si>
    <t>J016BA</t>
  </si>
  <si>
    <t>J016BB</t>
  </si>
  <si>
    <t>J016BC</t>
  </si>
  <si>
    <t>J016BD</t>
  </si>
  <si>
    <t>J016BE</t>
  </si>
  <si>
    <t>J016BF</t>
  </si>
  <si>
    <t>J016BG</t>
  </si>
  <si>
    <t>J017</t>
  </si>
  <si>
    <t>J017AA</t>
  </si>
  <si>
    <t>J017AB</t>
  </si>
  <si>
    <t>J018</t>
  </si>
  <si>
    <t>J018AA</t>
  </si>
  <si>
    <t>J018AB</t>
  </si>
  <si>
    <t>J018AC</t>
  </si>
  <si>
    <t>J018AD</t>
  </si>
  <si>
    <t>J019</t>
  </si>
  <si>
    <t>J019AA</t>
  </si>
  <si>
    <t>J019AB</t>
  </si>
  <si>
    <t>J019AC</t>
  </si>
  <si>
    <t>J019AD</t>
  </si>
  <si>
    <t>J019AE</t>
  </si>
  <si>
    <t>J020</t>
  </si>
  <si>
    <t>J020AA</t>
  </si>
  <si>
    <t>J020AB</t>
  </si>
  <si>
    <t>J020AC</t>
  </si>
  <si>
    <t>J020AD</t>
  </si>
  <si>
    <t>J020AE</t>
  </si>
  <si>
    <t>J020AF</t>
  </si>
  <si>
    <t>J020AG</t>
  </si>
  <si>
    <t>J020AH</t>
  </si>
  <si>
    <t>J020AJ</t>
  </si>
  <si>
    <t>J020AK</t>
  </si>
  <si>
    <t>J020AL</t>
  </si>
  <si>
    <t>J020AM</t>
  </si>
  <si>
    <t>J020AN</t>
  </si>
  <si>
    <t>J020AP</t>
  </si>
  <si>
    <t>J020AQ</t>
  </si>
  <si>
    <t>J020AR</t>
  </si>
  <si>
    <t>J021</t>
  </si>
  <si>
    <t>J021AB</t>
  </si>
  <si>
    <t>J021AC</t>
  </si>
  <si>
    <t>CLIN 0018</t>
  </si>
  <si>
    <t xml:space="preserve">Non-Recurring Work Price - 8th Option Period </t>
  </si>
  <si>
    <t>ELINs J700 THROUGH J1032</t>
  </si>
  <si>
    <t>J700</t>
  </si>
  <si>
    <t>J701-J705</t>
  </si>
  <si>
    <t>J706</t>
  </si>
  <si>
    <t>J707</t>
  </si>
  <si>
    <t>J708</t>
  </si>
  <si>
    <t>J709</t>
  </si>
  <si>
    <t>J710</t>
  </si>
  <si>
    <t>J711</t>
  </si>
  <si>
    <t>J712</t>
  </si>
  <si>
    <t>J713</t>
  </si>
  <si>
    <t>J714</t>
  </si>
  <si>
    <t>J715</t>
  </si>
  <si>
    <t>J716</t>
  </si>
  <si>
    <t>J717</t>
  </si>
  <si>
    <t>J718-J729</t>
  </si>
  <si>
    <t>J730</t>
  </si>
  <si>
    <t>J731</t>
  </si>
  <si>
    <t>J732</t>
  </si>
  <si>
    <t>J733</t>
  </si>
  <si>
    <t>J734-J749</t>
  </si>
  <si>
    <t>J750</t>
  </si>
  <si>
    <t>J751</t>
  </si>
  <si>
    <t>J752</t>
  </si>
  <si>
    <t>J753</t>
  </si>
  <si>
    <t>J754</t>
  </si>
  <si>
    <t>J755</t>
  </si>
  <si>
    <t>J756</t>
  </si>
  <si>
    <t>J757</t>
  </si>
  <si>
    <t>J758</t>
  </si>
  <si>
    <t>J759</t>
  </si>
  <si>
    <t>J760</t>
  </si>
  <si>
    <t>J761</t>
  </si>
  <si>
    <t>J762</t>
  </si>
  <si>
    <t>J763</t>
  </si>
  <si>
    <t>J764</t>
  </si>
  <si>
    <t>J765</t>
  </si>
  <si>
    <t>J766</t>
  </si>
  <si>
    <t>J767-J779</t>
  </si>
  <si>
    <t>J780</t>
  </si>
  <si>
    <t>J781</t>
  </si>
  <si>
    <t>J782</t>
  </si>
  <si>
    <t>J783</t>
  </si>
  <si>
    <t>J784</t>
  </si>
  <si>
    <t>J785</t>
  </si>
  <si>
    <t>J786</t>
  </si>
  <si>
    <t>J787</t>
  </si>
  <si>
    <t>J788</t>
  </si>
  <si>
    <t>J789</t>
  </si>
  <si>
    <t>J790</t>
  </si>
  <si>
    <t>J791</t>
  </si>
  <si>
    <t>J792</t>
  </si>
  <si>
    <t>J793</t>
  </si>
  <si>
    <t>J794</t>
  </si>
  <si>
    <t>J795</t>
  </si>
  <si>
    <t>J796</t>
  </si>
  <si>
    <t>J797</t>
  </si>
  <si>
    <t>J798-J809</t>
  </si>
  <si>
    <t>J810</t>
  </si>
  <si>
    <t>J811</t>
  </si>
  <si>
    <t>J812</t>
  </si>
  <si>
    <t>J813</t>
  </si>
  <si>
    <t>J814</t>
  </si>
  <si>
    <t>J815</t>
  </si>
  <si>
    <t>J816</t>
  </si>
  <si>
    <t>J817</t>
  </si>
  <si>
    <t>J818</t>
  </si>
  <si>
    <t>J819</t>
  </si>
  <si>
    <t>J820</t>
  </si>
  <si>
    <t>J821</t>
  </si>
  <si>
    <t>J822</t>
  </si>
  <si>
    <t>J823-J829</t>
  </si>
  <si>
    <t>J830</t>
  </si>
  <si>
    <t>J831</t>
  </si>
  <si>
    <t>J832</t>
  </si>
  <si>
    <t>J833</t>
  </si>
  <si>
    <t>J834</t>
  </si>
  <si>
    <t>J835</t>
  </si>
  <si>
    <t>J836</t>
  </si>
  <si>
    <t>J837</t>
  </si>
  <si>
    <t>J838</t>
  </si>
  <si>
    <t>J839</t>
  </si>
  <si>
    <t>J840</t>
  </si>
  <si>
    <t>J841</t>
  </si>
  <si>
    <t>J842</t>
  </si>
  <si>
    <t>J843</t>
  </si>
  <si>
    <t>J844</t>
  </si>
  <si>
    <t>J845</t>
  </si>
  <si>
    <t>J846</t>
  </si>
  <si>
    <t>J847</t>
  </si>
  <si>
    <t>J848</t>
  </si>
  <si>
    <t>J849</t>
  </si>
  <si>
    <t>J850</t>
  </si>
  <si>
    <t>J851-J859</t>
  </si>
  <si>
    <t>J860</t>
  </si>
  <si>
    <t>J861</t>
  </si>
  <si>
    <t>J862</t>
  </si>
  <si>
    <t>J863</t>
  </si>
  <si>
    <t>J864</t>
  </si>
  <si>
    <t>J865</t>
  </si>
  <si>
    <t>J866</t>
  </si>
  <si>
    <t>J867</t>
  </si>
  <si>
    <t>J868</t>
  </si>
  <si>
    <t>J869</t>
  </si>
  <si>
    <t>J870</t>
  </si>
  <si>
    <t>J871</t>
  </si>
  <si>
    <t>J872</t>
  </si>
  <si>
    <t>J873</t>
  </si>
  <si>
    <t>J874</t>
  </si>
  <si>
    <t>J875</t>
  </si>
  <si>
    <t>J876</t>
  </si>
  <si>
    <t>J877</t>
  </si>
  <si>
    <t>J878</t>
  </si>
  <si>
    <t>J879</t>
  </si>
  <si>
    <t>J880-J889</t>
  </si>
  <si>
    <t>J890</t>
  </si>
  <si>
    <t>J891</t>
  </si>
  <si>
    <t>J892-J897</t>
  </si>
  <si>
    <t>J898</t>
  </si>
  <si>
    <t>J899</t>
  </si>
  <si>
    <t>J900-J909</t>
  </si>
  <si>
    <t>J910</t>
  </si>
  <si>
    <t>J911</t>
  </si>
  <si>
    <t>J912</t>
  </si>
  <si>
    <t>J913</t>
  </si>
  <si>
    <t>J914</t>
  </si>
  <si>
    <t>J915</t>
  </si>
  <si>
    <t>J916</t>
  </si>
  <si>
    <t>J917</t>
  </si>
  <si>
    <t>J918</t>
  </si>
  <si>
    <t>J919</t>
  </si>
  <si>
    <t>J920</t>
  </si>
  <si>
    <t>J921</t>
  </si>
  <si>
    <t>J922</t>
  </si>
  <si>
    <t>J923</t>
  </si>
  <si>
    <t>J924</t>
  </si>
  <si>
    <t>J925</t>
  </si>
  <si>
    <t>J926</t>
  </si>
  <si>
    <t>J927</t>
  </si>
  <si>
    <t>J928</t>
  </si>
  <si>
    <t>J929</t>
  </si>
  <si>
    <t>J930</t>
  </si>
  <si>
    <t>J931</t>
  </si>
  <si>
    <t>J932</t>
  </si>
  <si>
    <t>J933</t>
  </si>
  <si>
    <t>J934</t>
  </si>
  <si>
    <t>J935</t>
  </si>
  <si>
    <t>J936</t>
  </si>
  <si>
    <t>J937</t>
  </si>
  <si>
    <t>J938</t>
  </si>
  <si>
    <t>J939</t>
  </si>
  <si>
    <t>J940</t>
  </si>
  <si>
    <t>J941</t>
  </si>
  <si>
    <t>J942</t>
  </si>
  <si>
    <t>J943</t>
  </si>
  <si>
    <t>J944</t>
  </si>
  <si>
    <t>J945</t>
  </si>
  <si>
    <t>J946</t>
  </si>
  <si>
    <t>J947</t>
  </si>
  <si>
    <t>J948</t>
  </si>
  <si>
    <t>J949</t>
  </si>
  <si>
    <t>J950</t>
  </si>
  <si>
    <t>J951</t>
  </si>
  <si>
    <t>J952</t>
  </si>
  <si>
    <t>J953</t>
  </si>
  <si>
    <t>J954</t>
  </si>
  <si>
    <t>J955</t>
  </si>
  <si>
    <t>J956</t>
  </si>
  <si>
    <t>J957</t>
  </si>
  <si>
    <t>J958</t>
  </si>
  <si>
    <t>J959</t>
  </si>
  <si>
    <t>J960</t>
  </si>
  <si>
    <t>J961</t>
  </si>
  <si>
    <t>J962</t>
  </si>
  <si>
    <t>J963</t>
  </si>
  <si>
    <t>J964</t>
  </si>
  <si>
    <t>J965</t>
  </si>
  <si>
    <t>J966</t>
  </si>
  <si>
    <t>J967</t>
  </si>
  <si>
    <t>J968</t>
  </si>
  <si>
    <t>J969</t>
  </si>
  <si>
    <t>J970</t>
  </si>
  <si>
    <t>J971</t>
  </si>
  <si>
    <t>J972</t>
  </si>
  <si>
    <t>J973</t>
  </si>
  <si>
    <t>J974</t>
  </si>
  <si>
    <t>J975</t>
  </si>
  <si>
    <t>J976</t>
  </si>
  <si>
    <t>J977</t>
  </si>
  <si>
    <t>J978</t>
  </si>
  <si>
    <t>J979</t>
  </si>
  <si>
    <t>J980</t>
  </si>
  <si>
    <t>J981</t>
  </si>
  <si>
    <t>J982</t>
  </si>
  <si>
    <t>J983</t>
  </si>
  <si>
    <t>J984</t>
  </si>
  <si>
    <t>J985</t>
  </si>
  <si>
    <t>J986</t>
  </si>
  <si>
    <t>J987</t>
  </si>
  <si>
    <t>J988</t>
  </si>
  <si>
    <t>J989</t>
  </si>
  <si>
    <t>J990</t>
  </si>
  <si>
    <t>J991</t>
  </si>
  <si>
    <t>J992</t>
  </si>
  <si>
    <t>J993</t>
  </si>
  <si>
    <t>J994</t>
  </si>
  <si>
    <t>J995</t>
  </si>
  <si>
    <t>J996</t>
  </si>
  <si>
    <t>J997</t>
  </si>
  <si>
    <t>J998</t>
  </si>
  <si>
    <t>J999</t>
  </si>
  <si>
    <t>J1000</t>
  </si>
  <si>
    <t>J1001</t>
  </si>
  <si>
    <t>J1002</t>
  </si>
  <si>
    <t>J1003</t>
  </si>
  <si>
    <t>J1004</t>
  </si>
  <si>
    <t>J1005</t>
  </si>
  <si>
    <t>J1006</t>
  </si>
  <si>
    <t>J1007</t>
  </si>
  <si>
    <t>J1008</t>
  </si>
  <si>
    <t>J1009</t>
  </si>
  <si>
    <t>J1010</t>
  </si>
  <si>
    <t>J1011</t>
  </si>
  <si>
    <t>J1012</t>
  </si>
  <si>
    <t>J1013</t>
  </si>
  <si>
    <t>J1014</t>
  </si>
  <si>
    <t>J1015</t>
  </si>
  <si>
    <t>J1016</t>
  </si>
  <si>
    <t>J1017</t>
  </si>
  <si>
    <t>J1018</t>
  </si>
  <si>
    <t>J1019</t>
  </si>
  <si>
    <t>J1020</t>
  </si>
  <si>
    <t>J1021</t>
  </si>
  <si>
    <t>J1022</t>
  </si>
  <si>
    <t>J1023</t>
  </si>
  <si>
    <t>J1024-J1029</t>
  </si>
  <si>
    <t>J1030</t>
  </si>
  <si>
    <t>J1031</t>
  </si>
  <si>
    <t>J1032</t>
  </si>
  <si>
    <t>TOTAL FOR LINE ITEM 0018 - 8TH OPTION PERIOD - NON-RECURRING WORK (ELINs J700 THROUGH J1032)</t>
  </si>
  <si>
    <t>BASE YEAR</t>
  </si>
  <si>
    <t>CLIN 001 - Base Period - RW</t>
  </si>
  <si>
    <t>CLIN 002 - Base Period - NRW</t>
  </si>
  <si>
    <t>BASE PERIOD TOTAL RECURRING AND NON-RECURRING WORK</t>
  </si>
  <si>
    <t>1ST OPTION PERIOD</t>
  </si>
  <si>
    <t>CLIN 003 - First Option Period  - RW</t>
  </si>
  <si>
    <t>FFP</t>
  </si>
  <si>
    <t>CLIN 004 - First Option Period - NRW</t>
  </si>
  <si>
    <t>1ST OPTION PERIOD TOTAL RECURRING AND NON-RECURRING WORK</t>
  </si>
  <si>
    <t>IQ</t>
  </si>
  <si>
    <t>2ND OPTION PERIOD</t>
  </si>
  <si>
    <t>CLIN 005 - Second Option Period - RW</t>
  </si>
  <si>
    <t>CLIN 006 - Second Option Period - NRW</t>
  </si>
  <si>
    <t>2ND OPTION PERIOD TOTAL RECURRING AND NON-RECURRING WORK</t>
  </si>
  <si>
    <t>3RD OPTION PERIOD</t>
  </si>
  <si>
    <t>CLIN 007 - Third Option Period - RW</t>
  </si>
  <si>
    <t>CLIN 008 - Third Option Period - NRW</t>
  </si>
  <si>
    <t>3RD OPTION PERIOD TOTAL RECURRING AND NON-RECURRING WORK</t>
  </si>
  <si>
    <t>4TH OPTION PERIOD</t>
  </si>
  <si>
    <t>CLIN 009 - Fourth Option Period - RW</t>
  </si>
  <si>
    <t>CLIN 010 - Fourth Option Period - NRW</t>
  </si>
  <si>
    <t>4TH OPTION PERIOD TOTAL RECURRING AND NON-RECURRING WORK</t>
  </si>
  <si>
    <t>5TH OPTION PERIOD</t>
  </si>
  <si>
    <t>CLIN 011 - Fifth Option Period - RW</t>
  </si>
  <si>
    <t>CLIN 012 - Fifth Option Period - NRW</t>
  </si>
  <si>
    <t>5TH OPTION PERIOD TOTAL RECURRING AND NON-RECURRING WORK</t>
  </si>
  <si>
    <t>6TH OPTION PERIOD</t>
  </si>
  <si>
    <t>CLIN 013 - Sixth Option Period - RW</t>
  </si>
  <si>
    <t>CLIN 014 - Sixth Option Period - NRW</t>
  </si>
  <si>
    <t>6TH OPTION PERIOD TOTAL RECURRING AND NON-RECURRING WORK</t>
  </si>
  <si>
    <t>7TH OPTION PERIOD</t>
  </si>
  <si>
    <t>CLIN 015 - Seventh Option Period - RW</t>
  </si>
  <si>
    <t>CLIN 016 - Seventh Option Period - NRW</t>
  </si>
  <si>
    <t>7TH OPTION PERIOD TOTAL RECURRING AND NON-RECURRING WORK</t>
  </si>
  <si>
    <t>8TH OPTION PERIOD ( 6 MONTHS )</t>
  </si>
  <si>
    <t>CLIN 017 - Eighth Option Period - RW</t>
  </si>
  <si>
    <t>CLIN 018 - Eighth Option Period - NRW</t>
  </si>
  <si>
    <t>8TH OPTION PERIOD TOTAL RECURRING AND NON-RECURRING WORK</t>
  </si>
  <si>
    <t>TOTAL CONTRACT COST</t>
  </si>
  <si>
    <t>RECURRING WORK TOTAL</t>
  </si>
  <si>
    <t>NON-RECURRING TOTAL</t>
  </si>
  <si>
    <t>RECURRING + NON-RECURRING TOTAL</t>
  </si>
  <si>
    <r>
      <t>SOLICITATION/CONTRACT # N62470-</t>
    </r>
    <r>
      <rPr>
        <b/>
        <sz val="10"/>
        <color rgb="FFFF0000"/>
        <rFont val="Times New Roman"/>
        <family val="1"/>
      </rPr>
      <t xml:space="preserve">25-R-0020 </t>
    </r>
    <r>
      <rPr>
        <b/>
        <strike/>
        <sz val="10"/>
        <color rgb="FFFF0000"/>
        <rFont val="Times New Roman"/>
        <family val="1"/>
      </rPr>
      <t>XX-R-00XX</t>
    </r>
  </si>
  <si>
    <r>
      <t>ATTACHMENT J-0200000-</t>
    </r>
    <r>
      <rPr>
        <b/>
        <sz val="10"/>
        <color rgb="FFFF0000"/>
        <rFont val="Times New Roman"/>
        <family val="1"/>
      </rPr>
      <t xml:space="preserve">12 </t>
    </r>
    <r>
      <rPr>
        <b/>
        <strike/>
        <sz val="10"/>
        <color rgb="FFFF0000"/>
        <rFont val="Times New Roman"/>
        <family val="1"/>
      </rPr>
      <t>XX</t>
    </r>
  </si>
  <si>
    <r>
      <t xml:space="preserve">EXHIBIT </t>
    </r>
    <r>
      <rPr>
        <b/>
        <sz val="10"/>
        <color rgb="FFFF0000"/>
        <rFont val="Times New Roman"/>
        <family val="1"/>
      </rPr>
      <t xml:space="preserve">B </t>
    </r>
    <r>
      <rPr>
        <b/>
        <strike/>
        <sz val="10"/>
        <color rgb="FFFF0000"/>
        <rFont val="Times New Roman"/>
        <family val="1"/>
      </rPr>
      <t>A</t>
    </r>
    <r>
      <rPr>
        <b/>
        <strike/>
        <sz val="10"/>
        <rFont val="Times New Roman"/>
        <family val="1"/>
      </rPr>
      <t xml:space="preserve"> </t>
    </r>
    <r>
      <rPr>
        <b/>
        <sz val="10"/>
        <rFont val="Times New Roman"/>
        <family val="1"/>
      </rPr>
      <t xml:space="preserve">- </t>
    </r>
    <r>
      <rPr>
        <b/>
        <sz val="10"/>
        <color rgb="FFFF0000"/>
        <rFont val="Times New Roman"/>
        <family val="1"/>
      </rPr>
      <t xml:space="preserve">FIRST OPTION </t>
    </r>
    <r>
      <rPr>
        <b/>
        <strike/>
        <sz val="10"/>
        <color rgb="FFFF0000"/>
        <rFont val="Times New Roman"/>
        <family val="1"/>
      </rPr>
      <t>BASE</t>
    </r>
    <r>
      <rPr>
        <b/>
        <sz val="10"/>
        <rFont val="Times New Roman"/>
        <family val="1"/>
      </rPr>
      <t xml:space="preserve"> PERIOD - RECURRING WORK</t>
    </r>
  </si>
  <si>
    <r>
      <t xml:space="preserve">EXHIBIT </t>
    </r>
    <r>
      <rPr>
        <b/>
        <sz val="10"/>
        <color rgb="FFFF0000"/>
        <rFont val="Times New Roman"/>
        <family val="1"/>
      </rPr>
      <t xml:space="preserve">C  </t>
    </r>
    <r>
      <rPr>
        <b/>
        <strike/>
        <sz val="10"/>
        <color rgb="FFFF0000"/>
        <rFont val="Times New Roman"/>
        <family val="1"/>
      </rPr>
      <t>A</t>
    </r>
    <r>
      <rPr>
        <b/>
        <sz val="10"/>
        <rFont val="Times New Roman"/>
        <family val="1"/>
      </rPr>
      <t xml:space="preserve"> - </t>
    </r>
    <r>
      <rPr>
        <b/>
        <sz val="10"/>
        <color rgb="FFFF0000"/>
        <rFont val="Times New Roman"/>
        <family val="1"/>
      </rPr>
      <t>SECOND OPTION</t>
    </r>
    <r>
      <rPr>
        <b/>
        <strike/>
        <sz val="10"/>
        <color rgb="FFFF0000"/>
        <rFont val="Times New Roman"/>
        <family val="1"/>
      </rPr>
      <t xml:space="preserve"> BASE</t>
    </r>
    <r>
      <rPr>
        <b/>
        <sz val="10"/>
        <rFont val="Times New Roman"/>
        <family val="1"/>
      </rPr>
      <t xml:space="preserve"> PERIOD - RECURRING WORK</t>
    </r>
  </si>
  <si>
    <r>
      <t xml:space="preserve">EXHIBIT </t>
    </r>
    <r>
      <rPr>
        <b/>
        <sz val="10"/>
        <color rgb="FFFF0000"/>
        <rFont val="Times New Roman"/>
        <family val="1"/>
      </rPr>
      <t xml:space="preserve">D </t>
    </r>
    <r>
      <rPr>
        <b/>
        <strike/>
        <sz val="10"/>
        <color rgb="FFFF0000"/>
        <rFont val="Times New Roman"/>
        <family val="1"/>
      </rPr>
      <t xml:space="preserve">A </t>
    </r>
    <r>
      <rPr>
        <b/>
        <sz val="10"/>
        <rFont val="Times New Roman"/>
        <family val="1"/>
      </rPr>
      <t xml:space="preserve">- </t>
    </r>
    <r>
      <rPr>
        <b/>
        <sz val="10"/>
        <color rgb="FFFF0000"/>
        <rFont val="Times New Roman"/>
        <family val="1"/>
      </rPr>
      <t xml:space="preserve">THIRD OPTION </t>
    </r>
    <r>
      <rPr>
        <b/>
        <strike/>
        <sz val="10"/>
        <color rgb="FFFF0000"/>
        <rFont val="Times New Roman"/>
        <family val="1"/>
      </rPr>
      <t>BASE</t>
    </r>
    <r>
      <rPr>
        <b/>
        <sz val="10"/>
        <rFont val="Times New Roman"/>
        <family val="1"/>
      </rPr>
      <t xml:space="preserve"> PERIOD - RECURRING WORK</t>
    </r>
  </si>
  <si>
    <r>
      <t xml:space="preserve">EXHIBIT </t>
    </r>
    <r>
      <rPr>
        <b/>
        <sz val="10"/>
        <color rgb="FFFF0000"/>
        <rFont val="Times New Roman"/>
        <family val="1"/>
      </rPr>
      <t xml:space="preserve">E </t>
    </r>
    <r>
      <rPr>
        <b/>
        <strike/>
        <sz val="10"/>
        <color rgb="FFFF0000"/>
        <rFont val="Times New Roman"/>
        <family val="1"/>
      </rPr>
      <t>A</t>
    </r>
    <r>
      <rPr>
        <b/>
        <sz val="10"/>
        <color rgb="FFFF0000"/>
        <rFont val="Times New Roman"/>
        <family val="1"/>
      </rPr>
      <t xml:space="preserve"> </t>
    </r>
    <r>
      <rPr>
        <b/>
        <sz val="10"/>
        <rFont val="Times New Roman"/>
        <family val="1"/>
      </rPr>
      <t xml:space="preserve">- </t>
    </r>
    <r>
      <rPr>
        <b/>
        <sz val="10"/>
        <color rgb="FFFF0000"/>
        <rFont val="Times New Roman"/>
        <family val="1"/>
      </rPr>
      <t xml:space="preserve">FOURTH OPTION </t>
    </r>
    <r>
      <rPr>
        <b/>
        <strike/>
        <sz val="10"/>
        <color rgb="FFFF0000"/>
        <rFont val="Times New Roman"/>
        <family val="1"/>
      </rPr>
      <t>BASE</t>
    </r>
    <r>
      <rPr>
        <b/>
        <sz val="10"/>
        <rFont val="Times New Roman"/>
        <family val="1"/>
      </rPr>
      <t xml:space="preserve"> PERIOD - RECURRING WORK</t>
    </r>
  </si>
  <si>
    <r>
      <t>EXHIBIT</t>
    </r>
    <r>
      <rPr>
        <b/>
        <sz val="10"/>
        <color rgb="FFFF0000"/>
        <rFont val="Times New Roman"/>
        <family val="1"/>
      </rPr>
      <t xml:space="preserve"> F </t>
    </r>
    <r>
      <rPr>
        <b/>
        <strike/>
        <sz val="10"/>
        <color rgb="FFFF0000"/>
        <rFont val="Times New Roman"/>
        <family val="1"/>
      </rPr>
      <t>A</t>
    </r>
    <r>
      <rPr>
        <b/>
        <sz val="10"/>
        <rFont val="Times New Roman"/>
        <family val="1"/>
      </rPr>
      <t xml:space="preserve"> - </t>
    </r>
    <r>
      <rPr>
        <b/>
        <sz val="10"/>
        <color rgb="FFFF0000"/>
        <rFont val="Times New Roman"/>
        <family val="1"/>
      </rPr>
      <t xml:space="preserve">FIFTH OPTION </t>
    </r>
    <r>
      <rPr>
        <b/>
        <strike/>
        <sz val="10"/>
        <color rgb="FFFF0000"/>
        <rFont val="Times New Roman"/>
        <family val="1"/>
      </rPr>
      <t xml:space="preserve">BASE </t>
    </r>
    <r>
      <rPr>
        <b/>
        <sz val="10"/>
        <rFont val="Times New Roman"/>
        <family val="1"/>
      </rPr>
      <t>PERIOD - RECURRING WORK</t>
    </r>
  </si>
  <si>
    <r>
      <t xml:space="preserve">EXHIBIT </t>
    </r>
    <r>
      <rPr>
        <b/>
        <sz val="10"/>
        <color rgb="FFFF0000"/>
        <rFont val="Times New Roman"/>
        <family val="1"/>
      </rPr>
      <t xml:space="preserve">G </t>
    </r>
    <r>
      <rPr>
        <b/>
        <strike/>
        <sz val="10"/>
        <color rgb="FFFF0000"/>
        <rFont val="Times New Roman"/>
        <family val="1"/>
      </rPr>
      <t>A</t>
    </r>
    <r>
      <rPr>
        <b/>
        <sz val="10"/>
        <rFont val="Times New Roman"/>
        <family val="1"/>
      </rPr>
      <t xml:space="preserve"> - </t>
    </r>
    <r>
      <rPr>
        <b/>
        <sz val="10"/>
        <color rgb="FFFF0000"/>
        <rFont val="Times New Roman"/>
        <family val="1"/>
      </rPr>
      <t>SIXTH OPTION</t>
    </r>
    <r>
      <rPr>
        <b/>
        <strike/>
        <sz val="10"/>
        <color rgb="FFFF0000"/>
        <rFont val="Times New Roman"/>
        <family val="1"/>
      </rPr>
      <t xml:space="preserve"> BASE</t>
    </r>
    <r>
      <rPr>
        <b/>
        <sz val="10"/>
        <rFont val="Times New Roman"/>
        <family val="1"/>
      </rPr>
      <t xml:space="preserve"> PERIOD - RECURRING WORK</t>
    </r>
  </si>
  <si>
    <r>
      <t xml:space="preserve">EXHIBIT </t>
    </r>
    <r>
      <rPr>
        <b/>
        <sz val="10"/>
        <color rgb="FFFF0000"/>
        <rFont val="Times New Roman"/>
        <family val="1"/>
      </rPr>
      <t xml:space="preserve">H </t>
    </r>
    <r>
      <rPr>
        <b/>
        <strike/>
        <sz val="10"/>
        <color rgb="FFFF0000"/>
        <rFont val="Times New Roman"/>
        <family val="1"/>
      </rPr>
      <t>A</t>
    </r>
    <r>
      <rPr>
        <b/>
        <sz val="10"/>
        <color rgb="FFFF0000"/>
        <rFont val="Times New Roman"/>
        <family val="1"/>
      </rPr>
      <t xml:space="preserve"> </t>
    </r>
    <r>
      <rPr>
        <b/>
        <sz val="10"/>
        <rFont val="Times New Roman"/>
        <family val="1"/>
      </rPr>
      <t xml:space="preserve">- </t>
    </r>
    <r>
      <rPr>
        <b/>
        <sz val="10"/>
        <color rgb="FFFF0000"/>
        <rFont val="Times New Roman"/>
        <family val="1"/>
      </rPr>
      <t xml:space="preserve">SEVENTH OPTION </t>
    </r>
    <r>
      <rPr>
        <b/>
        <strike/>
        <sz val="10"/>
        <color rgb="FFFF0000"/>
        <rFont val="Times New Roman"/>
        <family val="1"/>
      </rPr>
      <t>BASE</t>
    </r>
    <r>
      <rPr>
        <b/>
        <sz val="10"/>
        <rFont val="Times New Roman"/>
        <family val="1"/>
      </rPr>
      <t xml:space="preserve"> PERIOD - RECURRING WORK</t>
    </r>
  </si>
  <si>
    <r>
      <t xml:space="preserve">EXHIBIT </t>
    </r>
    <r>
      <rPr>
        <b/>
        <sz val="10"/>
        <color rgb="FFFF0000"/>
        <rFont val="Times New Roman"/>
        <family val="1"/>
      </rPr>
      <t xml:space="preserve">J </t>
    </r>
    <r>
      <rPr>
        <b/>
        <strike/>
        <sz val="10"/>
        <color rgb="FFFF0000"/>
        <rFont val="Times New Roman"/>
        <family val="1"/>
      </rPr>
      <t>A</t>
    </r>
    <r>
      <rPr>
        <b/>
        <sz val="10"/>
        <color rgb="FFFF0000"/>
        <rFont val="Times New Roman"/>
        <family val="1"/>
      </rPr>
      <t xml:space="preserve"> </t>
    </r>
    <r>
      <rPr>
        <b/>
        <sz val="10"/>
        <rFont val="Times New Roman"/>
        <family val="1"/>
      </rPr>
      <t xml:space="preserve">- </t>
    </r>
    <r>
      <rPr>
        <b/>
        <sz val="10"/>
        <color rgb="FFFF0000"/>
        <rFont val="Times New Roman"/>
        <family val="1"/>
      </rPr>
      <t xml:space="preserve">EIGHTH OPTION </t>
    </r>
    <r>
      <rPr>
        <b/>
        <strike/>
        <sz val="10"/>
        <color rgb="FFFF0000"/>
        <rFont val="Times New Roman"/>
        <family val="1"/>
      </rPr>
      <t>BASE</t>
    </r>
    <r>
      <rPr>
        <b/>
        <sz val="10"/>
        <rFont val="Times New Roman"/>
        <family val="1"/>
      </rPr>
      <t xml:space="preserve"> PERIOD - RECURRING WORK</t>
    </r>
  </si>
  <si>
    <r>
      <t xml:space="preserve">EXHIBIT </t>
    </r>
    <r>
      <rPr>
        <b/>
        <sz val="10"/>
        <color rgb="FFFF0000"/>
        <rFont val="Times New Roman"/>
        <family val="1"/>
      </rPr>
      <t xml:space="preserve">B </t>
    </r>
    <r>
      <rPr>
        <b/>
        <strike/>
        <sz val="10"/>
        <color rgb="FFFF0000"/>
        <rFont val="Times New Roman"/>
        <family val="1"/>
      </rPr>
      <t>A</t>
    </r>
    <r>
      <rPr>
        <b/>
        <sz val="10"/>
        <color rgb="FFFF0000"/>
        <rFont val="Times New Roman"/>
        <family val="1"/>
      </rPr>
      <t xml:space="preserve"> -FIRST OPTION </t>
    </r>
    <r>
      <rPr>
        <b/>
        <strike/>
        <sz val="10"/>
        <color rgb="FFFF0000"/>
        <rFont val="Times New Roman"/>
        <family val="1"/>
      </rPr>
      <t xml:space="preserve">BASE </t>
    </r>
    <r>
      <rPr>
        <b/>
        <sz val="10"/>
        <rFont val="Times New Roman"/>
        <family val="1"/>
      </rPr>
      <t>PERIOD - NON-RECURRING WORK</t>
    </r>
  </si>
  <si>
    <t>Annex/Sub-annex</t>
  </si>
  <si>
    <r>
      <t xml:space="preserve">EXHIBIT </t>
    </r>
    <r>
      <rPr>
        <b/>
        <sz val="10"/>
        <color rgb="FFFF0000"/>
        <rFont val="Times New Roman"/>
        <family val="1"/>
      </rPr>
      <t xml:space="preserve"> D </t>
    </r>
    <r>
      <rPr>
        <b/>
        <strike/>
        <sz val="10"/>
        <color rgb="FFFF0000"/>
        <rFont val="Times New Roman"/>
        <family val="1"/>
      </rPr>
      <t>A</t>
    </r>
    <r>
      <rPr>
        <b/>
        <sz val="10"/>
        <color rgb="FFFF0000"/>
        <rFont val="Times New Roman"/>
        <family val="1"/>
      </rPr>
      <t xml:space="preserve"> - THIRD OPTION </t>
    </r>
    <r>
      <rPr>
        <b/>
        <strike/>
        <sz val="10"/>
        <color rgb="FFFF0000"/>
        <rFont val="Times New Roman"/>
        <family val="1"/>
      </rPr>
      <t>BASE</t>
    </r>
    <r>
      <rPr>
        <b/>
        <sz val="10"/>
        <rFont val="Times New Roman"/>
        <family val="1"/>
      </rPr>
      <t xml:space="preserve"> PERIOD - NON-RECURRING WORK</t>
    </r>
  </si>
  <si>
    <r>
      <t xml:space="preserve">EXHIBIT </t>
    </r>
    <r>
      <rPr>
        <b/>
        <sz val="10"/>
        <color rgb="FFFF0000"/>
        <rFont val="Times New Roman"/>
        <family val="1"/>
      </rPr>
      <t xml:space="preserve">E </t>
    </r>
    <r>
      <rPr>
        <b/>
        <strike/>
        <sz val="10"/>
        <color rgb="FFFF0000"/>
        <rFont val="Times New Roman"/>
        <family val="1"/>
      </rPr>
      <t>A</t>
    </r>
    <r>
      <rPr>
        <b/>
        <sz val="10"/>
        <color rgb="FFFF0000"/>
        <rFont val="Times New Roman"/>
        <family val="1"/>
      </rPr>
      <t xml:space="preserve"> - FOURTH OPTION </t>
    </r>
    <r>
      <rPr>
        <b/>
        <strike/>
        <sz val="10"/>
        <color rgb="FFFF0000"/>
        <rFont val="Times New Roman"/>
        <family val="1"/>
      </rPr>
      <t>BASE</t>
    </r>
    <r>
      <rPr>
        <b/>
        <sz val="10"/>
        <rFont val="Times New Roman"/>
        <family val="1"/>
      </rPr>
      <t xml:space="preserve"> PERIOD - NON-RECURRING WORK</t>
    </r>
  </si>
  <si>
    <r>
      <t xml:space="preserve">EXHIBIT </t>
    </r>
    <r>
      <rPr>
        <b/>
        <sz val="10"/>
        <color rgb="FFFF0000"/>
        <rFont val="Times New Roman"/>
        <family val="1"/>
      </rPr>
      <t xml:space="preserve">F </t>
    </r>
    <r>
      <rPr>
        <b/>
        <strike/>
        <sz val="10"/>
        <color rgb="FFFF0000"/>
        <rFont val="Times New Roman"/>
        <family val="1"/>
      </rPr>
      <t>A</t>
    </r>
    <r>
      <rPr>
        <b/>
        <sz val="10"/>
        <color rgb="FFFF0000"/>
        <rFont val="Times New Roman"/>
        <family val="1"/>
      </rPr>
      <t xml:space="preserve"> - FIFTH  OPTION </t>
    </r>
    <r>
      <rPr>
        <b/>
        <strike/>
        <sz val="10"/>
        <color rgb="FFFF0000"/>
        <rFont val="Times New Roman"/>
        <family val="1"/>
      </rPr>
      <t>BASE</t>
    </r>
    <r>
      <rPr>
        <b/>
        <sz val="10"/>
        <rFont val="Times New Roman"/>
        <family val="1"/>
      </rPr>
      <t xml:space="preserve"> PERIOD - NON-RECURRING WORK</t>
    </r>
  </si>
  <si>
    <r>
      <t xml:space="preserve">EXHIBIT </t>
    </r>
    <r>
      <rPr>
        <b/>
        <sz val="10"/>
        <color rgb="FFFF0000"/>
        <rFont val="Times New Roman"/>
        <family val="1"/>
      </rPr>
      <t xml:space="preserve">G </t>
    </r>
    <r>
      <rPr>
        <b/>
        <strike/>
        <sz val="10"/>
        <color rgb="FFFF0000"/>
        <rFont val="Times New Roman"/>
        <family val="1"/>
      </rPr>
      <t>A</t>
    </r>
    <r>
      <rPr>
        <b/>
        <sz val="10"/>
        <color rgb="FFFF0000"/>
        <rFont val="Times New Roman"/>
        <family val="1"/>
      </rPr>
      <t xml:space="preserve"> - SIXTH OPTION </t>
    </r>
    <r>
      <rPr>
        <b/>
        <strike/>
        <sz val="10"/>
        <color rgb="FFFF0000"/>
        <rFont val="Times New Roman"/>
        <family val="1"/>
      </rPr>
      <t>BASE</t>
    </r>
    <r>
      <rPr>
        <b/>
        <sz val="10"/>
        <color rgb="FFFF0000"/>
        <rFont val="Times New Roman"/>
        <family val="1"/>
      </rPr>
      <t xml:space="preserve"> PERIOD</t>
    </r>
    <r>
      <rPr>
        <b/>
        <sz val="10"/>
        <rFont val="Times New Roman"/>
        <family val="1"/>
      </rPr>
      <t xml:space="preserve"> - NON-RECURRING WORK</t>
    </r>
  </si>
  <si>
    <r>
      <t xml:space="preserve">EXHIBIT </t>
    </r>
    <r>
      <rPr>
        <b/>
        <sz val="10"/>
        <color rgb="FFFF0000"/>
        <rFont val="Times New Roman"/>
        <family val="1"/>
      </rPr>
      <t>H A - SEVENTH OPTION</t>
    </r>
    <r>
      <rPr>
        <b/>
        <strike/>
        <sz val="10"/>
        <color rgb="FFFF0000"/>
        <rFont val="Times New Roman"/>
        <family val="1"/>
      </rPr>
      <t xml:space="preserve"> BASE</t>
    </r>
    <r>
      <rPr>
        <b/>
        <sz val="10"/>
        <rFont val="Times New Roman"/>
        <family val="1"/>
      </rPr>
      <t xml:space="preserve"> PERIOD - NON-RECURRING WORK</t>
    </r>
  </si>
  <si>
    <r>
      <t xml:space="preserve">EXHIBIT J A - </t>
    </r>
    <r>
      <rPr>
        <b/>
        <sz val="10"/>
        <color rgb="FFFF0000"/>
        <rFont val="Times New Roman"/>
        <family val="1"/>
      </rPr>
      <t xml:space="preserve">EIGHTH OPTION </t>
    </r>
    <r>
      <rPr>
        <b/>
        <strike/>
        <sz val="10"/>
        <color rgb="FFFF0000"/>
        <rFont val="Times New Roman"/>
        <family val="1"/>
      </rPr>
      <t>BASE</t>
    </r>
    <r>
      <rPr>
        <b/>
        <sz val="10"/>
        <rFont val="Times New Roman"/>
        <family val="1"/>
      </rPr>
      <t xml:space="preserve"> PERIOD - NON-RECURRING WORK</t>
    </r>
  </si>
  <si>
    <r>
      <rPr>
        <b/>
        <sz val="10"/>
        <color rgb="FFFF0000"/>
        <rFont val="Times New Roman"/>
        <family val="1"/>
      </rPr>
      <t>FAMILY</t>
    </r>
    <r>
      <rPr>
        <b/>
        <sz val="10"/>
        <rFont val="Times New Roman"/>
        <family val="1"/>
      </rPr>
      <t xml:space="preserve"> HOUSING</t>
    </r>
  </si>
  <si>
    <r>
      <rPr>
        <b/>
        <sz val="10"/>
        <color rgb="FFFF0000"/>
        <rFont val="Times New Roman"/>
        <family val="1"/>
      </rPr>
      <t xml:space="preserve">FAMILY </t>
    </r>
    <r>
      <rPr>
        <b/>
        <sz val="10"/>
        <rFont val="Times New Roman"/>
        <family val="1"/>
      </rPr>
      <t>HOUSING SUBTOTAL:</t>
    </r>
  </si>
  <si>
    <t>A014AS</t>
  </si>
  <si>
    <r>
      <t xml:space="preserve">Pavement Clearance Service Orders </t>
    </r>
    <r>
      <rPr>
        <strike/>
        <sz val="10"/>
        <color rgb="FFFF0000"/>
        <rFont val="Times New Roman"/>
        <family val="1"/>
      </rPr>
      <t>Improved Grounds</t>
    </r>
  </si>
  <si>
    <r>
      <t xml:space="preserve">3.2 </t>
    </r>
    <r>
      <rPr>
        <strike/>
        <sz val="10"/>
        <color rgb="FFFF0000"/>
        <rFont val="Times New Roman"/>
        <family val="1"/>
      </rPr>
      <t>3.1</t>
    </r>
  </si>
  <si>
    <t>Ground Maintenance and Landscaping</t>
  </si>
  <si>
    <t xml:space="preserve">Unscheduled Pest Control Services </t>
  </si>
  <si>
    <r>
      <t>3.3.</t>
    </r>
    <r>
      <rPr>
        <sz val="10"/>
        <color rgb="FFFF0000"/>
        <rFont val="Times New Roman"/>
        <family val="1"/>
      </rPr>
      <t xml:space="preserve">09  </t>
    </r>
    <r>
      <rPr>
        <strike/>
        <sz val="10"/>
        <color rgb="FFFF0000"/>
        <rFont val="Times New Roman"/>
        <family val="1"/>
      </rPr>
      <t>15</t>
    </r>
  </si>
  <si>
    <r>
      <t>3.3.</t>
    </r>
    <r>
      <rPr>
        <sz val="10"/>
        <color rgb="FFFF0000"/>
        <rFont val="Times New Roman"/>
        <family val="1"/>
      </rPr>
      <t xml:space="preserve">12  </t>
    </r>
    <r>
      <rPr>
        <strike/>
        <sz val="10"/>
        <color rgb="FFFF0000"/>
        <rFont val="Times New Roman"/>
        <family val="1"/>
      </rPr>
      <t>18</t>
    </r>
  </si>
  <si>
    <r>
      <t>3.3.</t>
    </r>
    <r>
      <rPr>
        <sz val="10"/>
        <color rgb="FFFF0000"/>
        <rFont val="Times New Roman"/>
        <family val="1"/>
      </rPr>
      <t xml:space="preserve">16  </t>
    </r>
    <r>
      <rPr>
        <strike/>
        <sz val="10"/>
        <color rgb="FFFF0000"/>
        <rFont val="Times New Roman"/>
        <family val="1"/>
      </rPr>
      <t>23</t>
    </r>
  </si>
  <si>
    <r>
      <t>3.3.</t>
    </r>
    <r>
      <rPr>
        <sz val="10"/>
        <color rgb="FFFF0000"/>
        <rFont val="Times New Roman"/>
        <family val="1"/>
      </rPr>
      <t xml:space="preserve">17  </t>
    </r>
    <r>
      <rPr>
        <strike/>
        <sz val="10"/>
        <color rgb="FFFF0000"/>
        <rFont val="Times New Roman"/>
        <family val="1"/>
      </rPr>
      <t>24</t>
    </r>
  </si>
  <si>
    <r>
      <t>3.3.</t>
    </r>
    <r>
      <rPr>
        <sz val="10"/>
        <color rgb="FFFF0000"/>
        <rFont val="Times New Roman"/>
        <family val="1"/>
      </rPr>
      <t xml:space="preserve">18  </t>
    </r>
    <r>
      <rPr>
        <strike/>
        <sz val="10"/>
        <color rgb="FFFF0000"/>
        <rFont val="Times New Roman"/>
        <family val="1"/>
      </rPr>
      <t>25</t>
    </r>
  </si>
  <si>
    <r>
      <t xml:space="preserve">3.5.1 </t>
    </r>
    <r>
      <rPr>
        <strike/>
        <sz val="10"/>
        <color rgb="FFFF0000"/>
        <rFont val="Times New Roman"/>
        <family val="1"/>
      </rPr>
      <t xml:space="preserve"> 3.4.3</t>
    </r>
  </si>
  <si>
    <r>
      <rPr>
        <sz val="10"/>
        <color rgb="FFFF0000"/>
        <rFont val="Times New Roman"/>
        <family val="1"/>
      </rPr>
      <t xml:space="preserve">3.3.3 </t>
    </r>
    <r>
      <rPr>
        <strike/>
        <sz val="10"/>
        <color rgb="FFFF0000"/>
        <rFont val="Times New Roman"/>
        <family val="1"/>
      </rPr>
      <t xml:space="preserve"> 3.5.2</t>
    </r>
  </si>
  <si>
    <t>A019AF</t>
  </si>
  <si>
    <t>Outdoor Waste Collection for AMC</t>
  </si>
  <si>
    <t>A001CM</t>
  </si>
  <si>
    <r>
      <t>A007</t>
    </r>
    <r>
      <rPr>
        <sz val="10"/>
        <color rgb="FFFF0000"/>
        <rFont val="Times New Roman"/>
        <family val="1"/>
      </rPr>
      <t>AE</t>
    </r>
  </si>
  <si>
    <t xml:space="preserve">COM - Small BQ Units </t>
  </si>
  <si>
    <t xml:space="preserve">COM - Common Areas BQ Units </t>
  </si>
  <si>
    <r>
      <t>Complete Painting - Small BQ Units</t>
    </r>
    <r>
      <rPr>
        <sz val="10"/>
        <color rgb="FF000000"/>
        <rFont val="Times New Roman"/>
        <family val="1"/>
      </rPr>
      <t xml:space="preserve"> </t>
    </r>
  </si>
  <si>
    <r>
      <t>Complete Painting - Common Areas BQ Units</t>
    </r>
    <r>
      <rPr>
        <sz val="10"/>
        <color rgb="FF000000"/>
        <rFont val="Times New Roman"/>
        <family val="1"/>
      </rPr>
      <t xml:space="preserve"> </t>
    </r>
  </si>
  <si>
    <t>A015AD</t>
  </si>
  <si>
    <t>A015AE</t>
  </si>
  <si>
    <r>
      <t>EXHIBIT</t>
    </r>
    <r>
      <rPr>
        <b/>
        <sz val="10"/>
        <color rgb="FFFF0000"/>
        <rFont val="Times New Roman"/>
        <family val="1"/>
      </rPr>
      <t xml:space="preserve"> C</t>
    </r>
    <r>
      <rPr>
        <b/>
        <strike/>
        <sz val="10"/>
        <color rgb="FFFF0000"/>
        <rFont val="Times New Roman"/>
        <family val="1"/>
      </rPr>
      <t xml:space="preserve"> A</t>
    </r>
    <r>
      <rPr>
        <b/>
        <sz val="10"/>
        <color rgb="FFFF0000"/>
        <rFont val="Times New Roman"/>
        <family val="1"/>
      </rPr>
      <t xml:space="preserve"> </t>
    </r>
    <r>
      <rPr>
        <b/>
        <sz val="10"/>
        <rFont val="Times New Roman"/>
        <family val="1"/>
      </rPr>
      <t>-</t>
    </r>
    <r>
      <rPr>
        <b/>
        <sz val="10"/>
        <color rgb="FFFF0000"/>
        <rFont val="Times New Roman"/>
        <family val="1"/>
      </rPr>
      <t xml:space="preserve"> SECOND OPTION </t>
    </r>
    <r>
      <rPr>
        <b/>
        <strike/>
        <sz val="10"/>
        <color rgb="FFFF0000"/>
        <rFont val="Times New Roman"/>
        <family val="1"/>
      </rPr>
      <t>BASE</t>
    </r>
    <r>
      <rPr>
        <b/>
        <sz val="10"/>
        <rFont val="Times New Roman"/>
        <family val="1"/>
      </rPr>
      <t xml:space="preserve"> PERIOD - NON-RECURRING WORK</t>
    </r>
  </si>
  <si>
    <r>
      <t xml:space="preserve">PROVIDE PRICES TO PERFORM NON-RECURRING WORK - IN ACCORDANCE WITH SECTION C, SPEC ITEM 4, </t>
    </r>
    <r>
      <rPr>
        <b/>
        <sz val="10"/>
        <color theme="1"/>
        <rFont val="Times New Roman"/>
        <family val="1"/>
      </rPr>
      <t>AND TO PRICE ADDITIONS AND DELITIONS TO THE RECURRING WORK REQUIREMENTS</t>
    </r>
    <r>
      <rPr>
        <sz val="10"/>
        <color theme="1"/>
        <rFont val="Times New Roman"/>
        <family val="1"/>
      </rPr>
      <t xml:space="preserve"> - IN ACCORDANCE WITH ANNEX 0200000, SPEC ITEM 2.14.1, RECURRING WORK PREPARATION OF PROPOSAL</t>
    </r>
  </si>
  <si>
    <r>
      <t xml:space="preserve">Provide labor, management, supervision, tools, material, and equipment required to remove vertebrate carcass from 1 Kg up to 5 Kg such as birds, cats, rats and similar size.  Complete work within 1 working day or as specified in the order. </t>
    </r>
    <r>
      <rPr>
        <b/>
        <sz val="10"/>
        <color theme="1"/>
        <rFont val="Times New Roman"/>
        <family val="1"/>
      </rPr>
      <t xml:space="preserve"> </t>
    </r>
  </si>
  <si>
    <r>
      <t>Provide one composite skilled labor hour of work-in-place performed by substantially and highly trained, certified, and/or licensed craftsmen and technicians.  The composite labor hour rate should be an average of various trades such as carpenters, painters, electricians, plumbers, equipment mechanics, electronics technicians, and pest controllers, per the scope and delivery schedule specified in the order.</t>
    </r>
    <r>
      <rPr>
        <b/>
        <sz val="10"/>
        <color theme="1"/>
        <rFont val="Times New Roman"/>
        <family val="1"/>
      </rPr>
      <t xml:space="preserve">
</t>
    </r>
  </si>
  <si>
    <r>
      <t xml:space="preserve">3.6.14 </t>
    </r>
    <r>
      <rPr>
        <strike/>
        <sz val="10"/>
        <color rgb="FFFF0000"/>
        <rFont val="Times New Roman"/>
        <family val="1"/>
      </rPr>
      <t>15</t>
    </r>
  </si>
  <si>
    <t>A001BV</t>
  </si>
  <si>
    <t>B001BV</t>
  </si>
  <si>
    <t>B014AS</t>
  </si>
  <si>
    <t>B015AD</t>
  </si>
  <si>
    <t>B015AE</t>
  </si>
  <si>
    <t>B019AF</t>
  </si>
  <si>
    <r>
      <t>Vertebrate Carcass Removal  (</t>
    </r>
    <r>
      <rPr>
        <strike/>
        <sz val="10"/>
        <color rgb="FFFF0000"/>
        <rFont val="Times New Roman"/>
        <family val="1"/>
      </rPr>
      <t>more than</t>
    </r>
    <r>
      <rPr>
        <sz val="10"/>
        <color rgb="FFFF0000"/>
        <rFont val="Times New Roman"/>
        <family val="1"/>
      </rPr>
      <t xml:space="preserve"> up to</t>
    </r>
    <r>
      <rPr>
        <sz val="10"/>
        <color theme="1"/>
        <rFont val="Times New Roman"/>
        <family val="1"/>
      </rPr>
      <t xml:space="preserve"> 5 Kg)</t>
    </r>
  </si>
  <si>
    <r>
      <t>A021A</t>
    </r>
    <r>
      <rPr>
        <sz val="10"/>
        <color rgb="FFFF0000"/>
        <rFont val="Times New Roman"/>
        <family val="1"/>
      </rPr>
      <t>A</t>
    </r>
  </si>
  <si>
    <r>
      <t>A021A</t>
    </r>
    <r>
      <rPr>
        <sz val="10"/>
        <color rgb="FFFF0000"/>
        <rFont val="Times New Roman"/>
        <family val="1"/>
      </rPr>
      <t>B</t>
    </r>
  </si>
  <si>
    <t>MWR (Morale, Welfare, and Recreation)</t>
  </si>
  <si>
    <t>MWR SUBTOTAL:</t>
  </si>
  <si>
    <t>A022</t>
  </si>
  <si>
    <t>NEXCOM (Navy Exchange)</t>
  </si>
  <si>
    <t>NEXCOM SUBTOTAL:</t>
  </si>
  <si>
    <t>A022AE</t>
  </si>
  <si>
    <t>A022AG</t>
  </si>
  <si>
    <t>A023</t>
  </si>
  <si>
    <t>A023AA</t>
  </si>
  <si>
    <r>
      <t>A003A</t>
    </r>
    <r>
      <rPr>
        <sz val="10"/>
        <color rgb="FFFF0000"/>
        <rFont val="Times New Roman"/>
        <family val="1"/>
      </rPr>
      <t>B</t>
    </r>
  </si>
  <si>
    <r>
      <t>A003A</t>
    </r>
    <r>
      <rPr>
        <sz val="10"/>
        <color rgb="FFFF0000"/>
        <rFont val="Times New Roman"/>
        <family val="1"/>
      </rPr>
      <t>C</t>
    </r>
  </si>
  <si>
    <r>
      <t>A003A</t>
    </r>
    <r>
      <rPr>
        <sz val="10"/>
        <color rgb="FFFF0000"/>
        <rFont val="Times New Roman"/>
        <family val="1"/>
      </rPr>
      <t>D</t>
    </r>
  </si>
  <si>
    <r>
      <t>A003A</t>
    </r>
    <r>
      <rPr>
        <sz val="10"/>
        <color rgb="FFFF0000"/>
        <rFont val="Times New Roman"/>
        <family val="1"/>
      </rPr>
      <t>E</t>
    </r>
  </si>
  <si>
    <r>
      <t>A002A</t>
    </r>
    <r>
      <rPr>
        <sz val="10"/>
        <color rgb="FFFF0000"/>
        <rFont val="Times New Roman"/>
        <family val="1"/>
      </rPr>
      <t>E</t>
    </r>
  </si>
  <si>
    <r>
      <t>A002A</t>
    </r>
    <r>
      <rPr>
        <sz val="10"/>
        <color rgb="FFFF0000"/>
        <rFont val="Times New Roman"/>
        <family val="1"/>
      </rPr>
      <t>F</t>
    </r>
  </si>
  <si>
    <r>
      <t>A002A</t>
    </r>
    <r>
      <rPr>
        <sz val="10"/>
        <color rgb="FFFF0000"/>
        <rFont val="Times New Roman"/>
        <family val="1"/>
      </rPr>
      <t>G</t>
    </r>
  </si>
  <si>
    <r>
      <t>A002A</t>
    </r>
    <r>
      <rPr>
        <sz val="10"/>
        <color rgb="FFFF0000"/>
        <rFont val="Times New Roman"/>
        <family val="1"/>
      </rPr>
      <t>H</t>
    </r>
  </si>
  <si>
    <t>3.3.12  18</t>
  </si>
  <si>
    <r>
      <t>A013A</t>
    </r>
    <r>
      <rPr>
        <sz val="10"/>
        <color rgb="FFFF0000"/>
        <rFont val="Times New Roman"/>
        <family val="1"/>
      </rPr>
      <t>F</t>
    </r>
  </si>
  <si>
    <r>
      <t>A013A</t>
    </r>
    <r>
      <rPr>
        <sz val="10"/>
        <color rgb="FFFF0000"/>
        <rFont val="Times New Roman"/>
        <family val="1"/>
      </rPr>
      <t>G</t>
    </r>
  </si>
  <si>
    <r>
      <t>A013A</t>
    </r>
    <r>
      <rPr>
        <sz val="10"/>
        <color rgb="FFFF0000"/>
        <rFont val="Times New Roman"/>
        <family val="1"/>
      </rPr>
      <t>H</t>
    </r>
  </si>
  <si>
    <r>
      <t>A013A</t>
    </r>
    <r>
      <rPr>
        <sz val="10"/>
        <color rgb="FFFF0000"/>
        <rFont val="Times New Roman"/>
        <family val="1"/>
      </rPr>
      <t>J</t>
    </r>
  </si>
  <si>
    <r>
      <t>A013A</t>
    </r>
    <r>
      <rPr>
        <sz val="10"/>
        <color rgb="FFFF0000"/>
        <rFont val="Times New Roman"/>
        <family val="1"/>
      </rPr>
      <t>K</t>
    </r>
  </si>
  <si>
    <r>
      <t>A013A</t>
    </r>
    <r>
      <rPr>
        <sz val="10"/>
        <color rgb="FFFF0000"/>
        <rFont val="Times New Roman"/>
        <family val="1"/>
      </rPr>
      <t>L</t>
    </r>
  </si>
  <si>
    <r>
      <t>A013A</t>
    </r>
    <r>
      <rPr>
        <sz val="10"/>
        <color rgb="FFFF0000"/>
        <rFont val="Times New Roman"/>
        <family val="1"/>
      </rPr>
      <t>M</t>
    </r>
  </si>
  <si>
    <r>
      <t>Facility Bullet</t>
    </r>
    <r>
      <rPr>
        <sz val="10"/>
        <color rgb="FFFF0000"/>
        <rFont val="Times New Roman"/>
        <family val="1"/>
      </rPr>
      <t>s</t>
    </r>
  </si>
  <si>
    <r>
      <t>B002A</t>
    </r>
    <r>
      <rPr>
        <sz val="10"/>
        <color rgb="FFFF0000"/>
        <rFont val="Times New Roman"/>
        <family val="1"/>
      </rPr>
      <t>E</t>
    </r>
  </si>
  <si>
    <r>
      <t>B002A</t>
    </r>
    <r>
      <rPr>
        <sz val="10"/>
        <color rgb="FFFF0000"/>
        <rFont val="Times New Roman"/>
        <family val="1"/>
      </rPr>
      <t>F</t>
    </r>
  </si>
  <si>
    <r>
      <t>B002A</t>
    </r>
    <r>
      <rPr>
        <sz val="10"/>
        <color rgb="FFFF0000"/>
        <rFont val="Times New Roman"/>
        <family val="1"/>
      </rPr>
      <t>G</t>
    </r>
  </si>
  <si>
    <r>
      <t>B002A</t>
    </r>
    <r>
      <rPr>
        <sz val="10"/>
        <color rgb="FFFF0000"/>
        <rFont val="Times New Roman"/>
        <family val="1"/>
      </rPr>
      <t>H</t>
    </r>
  </si>
  <si>
    <r>
      <t>B003A</t>
    </r>
    <r>
      <rPr>
        <sz val="10"/>
        <color rgb="FFFF0000"/>
        <rFont val="Times New Roman"/>
        <family val="1"/>
      </rPr>
      <t>B</t>
    </r>
  </si>
  <si>
    <r>
      <t>B003A</t>
    </r>
    <r>
      <rPr>
        <sz val="10"/>
        <color rgb="FFFF0000"/>
        <rFont val="Times New Roman"/>
        <family val="1"/>
      </rPr>
      <t>C</t>
    </r>
  </si>
  <si>
    <r>
      <t>B003A</t>
    </r>
    <r>
      <rPr>
        <sz val="10"/>
        <color rgb="FFFF0000"/>
        <rFont val="Times New Roman"/>
        <family val="1"/>
      </rPr>
      <t>D</t>
    </r>
  </si>
  <si>
    <r>
      <t>B003A</t>
    </r>
    <r>
      <rPr>
        <sz val="10"/>
        <color rgb="FFFF0000"/>
        <rFont val="Times New Roman"/>
        <family val="1"/>
      </rPr>
      <t>E</t>
    </r>
  </si>
  <si>
    <r>
      <t>B013A</t>
    </r>
    <r>
      <rPr>
        <sz val="10"/>
        <color rgb="FFFF0000"/>
        <rFont val="Times New Roman"/>
        <family val="1"/>
      </rPr>
      <t>F</t>
    </r>
  </si>
  <si>
    <r>
      <t>B013A</t>
    </r>
    <r>
      <rPr>
        <sz val="10"/>
        <color rgb="FFFF0000"/>
        <rFont val="Times New Roman"/>
        <family val="1"/>
      </rPr>
      <t>G</t>
    </r>
  </si>
  <si>
    <r>
      <t>B013A</t>
    </r>
    <r>
      <rPr>
        <sz val="10"/>
        <color rgb="FFFF0000"/>
        <rFont val="Times New Roman"/>
        <family val="1"/>
      </rPr>
      <t>H</t>
    </r>
  </si>
  <si>
    <r>
      <t>B013A</t>
    </r>
    <r>
      <rPr>
        <sz val="10"/>
        <color rgb="FFFF0000"/>
        <rFont val="Times New Roman"/>
        <family val="1"/>
      </rPr>
      <t>I</t>
    </r>
  </si>
  <si>
    <r>
      <t>B013A</t>
    </r>
    <r>
      <rPr>
        <sz val="10"/>
        <color rgb="FFFF0000"/>
        <rFont val="Times New Roman"/>
        <family val="1"/>
      </rPr>
      <t>K</t>
    </r>
  </si>
  <si>
    <r>
      <t>B013A</t>
    </r>
    <r>
      <rPr>
        <sz val="10"/>
        <color rgb="FFFF0000"/>
        <rFont val="Times New Roman"/>
        <family val="1"/>
      </rPr>
      <t>L</t>
    </r>
  </si>
  <si>
    <r>
      <t>B013A</t>
    </r>
    <r>
      <rPr>
        <sz val="10"/>
        <color rgb="FFFF0000"/>
        <rFont val="Times New Roman"/>
        <family val="1"/>
      </rPr>
      <t>M</t>
    </r>
  </si>
  <si>
    <t>B022</t>
  </si>
  <si>
    <t>B022AE</t>
  </si>
  <si>
    <t>B022AG</t>
  </si>
  <si>
    <t>B023</t>
  </si>
  <si>
    <t>B023AA</t>
  </si>
  <si>
    <r>
      <t>TOTAL FOR LINE ITEM 0003 - 1st OPTION YEAR - RECURRING WORK (ELINs B001 THROUGH B0</t>
    </r>
    <r>
      <rPr>
        <b/>
        <sz val="12"/>
        <color rgb="FFFF0000"/>
        <rFont val="Times New Roman"/>
        <family val="1"/>
      </rPr>
      <t xml:space="preserve">23 </t>
    </r>
    <r>
      <rPr>
        <b/>
        <strike/>
        <sz val="12"/>
        <color rgb="FFFF0000"/>
        <rFont val="Times New Roman"/>
        <family val="1"/>
      </rPr>
      <t>21</t>
    </r>
    <r>
      <rPr>
        <b/>
        <sz val="12"/>
        <rFont val="Times New Roman"/>
        <family val="1"/>
      </rPr>
      <t>)</t>
    </r>
  </si>
  <si>
    <r>
      <t>TOTAL FOR LINE ITEM 0001 - BASE PERIOD - RECURRING WORK (ELINs A001 THROUGH A0</t>
    </r>
    <r>
      <rPr>
        <b/>
        <sz val="12"/>
        <color rgb="FFFF0000"/>
        <rFont val="Times New Roman"/>
        <family val="1"/>
      </rPr>
      <t xml:space="preserve">23 </t>
    </r>
    <r>
      <rPr>
        <b/>
        <strike/>
        <sz val="12"/>
        <color rgb="FFFF0000"/>
        <rFont val="Times New Roman"/>
        <family val="1"/>
      </rPr>
      <t>21</t>
    </r>
    <r>
      <rPr>
        <b/>
        <sz val="12"/>
        <rFont val="Times New Roman"/>
        <family val="1"/>
      </rPr>
      <t>)</t>
    </r>
  </si>
  <si>
    <r>
      <t xml:space="preserve">TOTAL FOR LINE ITEM 0005 - 2ND OPTION YEAR - RECURRING WORK (ELINs C001 THROUGH </t>
    </r>
    <r>
      <rPr>
        <b/>
        <sz val="12"/>
        <color rgb="FFFF0000"/>
        <rFont val="Times New Roman"/>
        <family val="1"/>
      </rPr>
      <t xml:space="preserve">C023  </t>
    </r>
    <r>
      <rPr>
        <b/>
        <strike/>
        <sz val="12"/>
        <color rgb="FFFF0000"/>
        <rFont val="Times New Roman"/>
        <family val="1"/>
      </rPr>
      <t>C021</t>
    </r>
    <r>
      <rPr>
        <b/>
        <sz val="12"/>
        <rFont val="Times New Roman"/>
        <family val="1"/>
      </rPr>
      <t>)</t>
    </r>
  </si>
  <si>
    <t>D021AA</t>
  </si>
  <si>
    <t>C021AA</t>
  </si>
  <si>
    <t>C022</t>
  </si>
  <si>
    <t>C022AE</t>
  </si>
  <si>
    <t>C022AG</t>
  </si>
  <si>
    <t>C023</t>
  </si>
  <si>
    <t>C023AA</t>
  </si>
  <si>
    <t>HAZMIN Center - CNRE FUNDED</t>
  </si>
  <si>
    <t>C001BV</t>
  </si>
  <si>
    <r>
      <t>C002A</t>
    </r>
    <r>
      <rPr>
        <sz val="10"/>
        <color rgb="FFFF0000"/>
        <rFont val="Times New Roman"/>
        <family val="1"/>
      </rPr>
      <t>E</t>
    </r>
  </si>
  <si>
    <r>
      <t>C002A</t>
    </r>
    <r>
      <rPr>
        <sz val="10"/>
        <color rgb="FFFF0000"/>
        <rFont val="Times New Roman"/>
        <family val="1"/>
      </rPr>
      <t>F</t>
    </r>
  </si>
  <si>
    <r>
      <t>C002A</t>
    </r>
    <r>
      <rPr>
        <sz val="10"/>
        <color rgb="FFFF0000"/>
        <rFont val="Times New Roman"/>
        <family val="1"/>
      </rPr>
      <t>G</t>
    </r>
  </si>
  <si>
    <r>
      <t>C002A</t>
    </r>
    <r>
      <rPr>
        <sz val="10"/>
        <color rgb="FFFF0000"/>
        <rFont val="Times New Roman"/>
        <family val="1"/>
      </rPr>
      <t>H</t>
    </r>
  </si>
  <si>
    <r>
      <t>C003A</t>
    </r>
    <r>
      <rPr>
        <sz val="10"/>
        <color rgb="FFFF0000"/>
        <rFont val="Times New Roman"/>
        <family val="1"/>
      </rPr>
      <t>B</t>
    </r>
  </si>
  <si>
    <r>
      <t>C003A</t>
    </r>
    <r>
      <rPr>
        <sz val="10"/>
        <color rgb="FFFF0000"/>
        <rFont val="Times New Roman"/>
        <family val="1"/>
      </rPr>
      <t>C</t>
    </r>
  </si>
  <si>
    <r>
      <t>C003A</t>
    </r>
    <r>
      <rPr>
        <sz val="10"/>
        <color rgb="FFFF0000"/>
        <rFont val="Times New Roman"/>
        <family val="1"/>
      </rPr>
      <t>D</t>
    </r>
  </si>
  <si>
    <r>
      <t>C003A</t>
    </r>
    <r>
      <rPr>
        <sz val="10"/>
        <color rgb="FFFF0000"/>
        <rFont val="Times New Roman"/>
        <family val="1"/>
      </rPr>
      <t>E</t>
    </r>
  </si>
  <si>
    <r>
      <t>B008A</t>
    </r>
    <r>
      <rPr>
        <sz val="10"/>
        <color rgb="FFFF0000"/>
        <rFont val="Times New Roman"/>
        <family val="1"/>
      </rPr>
      <t>E</t>
    </r>
  </si>
  <si>
    <r>
      <t>B008A</t>
    </r>
    <r>
      <rPr>
        <sz val="10"/>
        <color rgb="FFFF0000"/>
        <rFont val="Times New Roman"/>
        <family val="1"/>
      </rPr>
      <t>F</t>
    </r>
  </si>
  <si>
    <r>
      <t>B008A</t>
    </r>
    <r>
      <rPr>
        <sz val="10"/>
        <color rgb="FFFF0000"/>
        <rFont val="Times New Roman"/>
        <family val="1"/>
      </rPr>
      <t>G</t>
    </r>
  </si>
  <si>
    <r>
      <t>B008A</t>
    </r>
    <r>
      <rPr>
        <sz val="10"/>
        <color rgb="FFFF0000"/>
        <rFont val="Times New Roman"/>
        <family val="1"/>
      </rPr>
      <t>H</t>
    </r>
  </si>
  <si>
    <r>
      <t>C008A</t>
    </r>
    <r>
      <rPr>
        <sz val="10"/>
        <color rgb="FFFF0000"/>
        <rFont val="Times New Roman"/>
        <family val="1"/>
      </rPr>
      <t>E</t>
    </r>
  </si>
  <si>
    <r>
      <t>C008A</t>
    </r>
    <r>
      <rPr>
        <sz val="10"/>
        <color rgb="FFFF0000"/>
        <rFont val="Times New Roman"/>
        <family val="1"/>
      </rPr>
      <t>F</t>
    </r>
  </si>
  <si>
    <r>
      <t>C008A</t>
    </r>
    <r>
      <rPr>
        <sz val="10"/>
        <color rgb="FFFF0000"/>
        <rFont val="Times New Roman"/>
        <family val="1"/>
      </rPr>
      <t>G</t>
    </r>
  </si>
  <si>
    <r>
      <t>C008A</t>
    </r>
    <r>
      <rPr>
        <sz val="10"/>
        <color rgb="FFFF0000"/>
        <rFont val="Times New Roman"/>
        <family val="1"/>
      </rPr>
      <t>H</t>
    </r>
  </si>
  <si>
    <r>
      <t>A008A</t>
    </r>
    <r>
      <rPr>
        <sz val="10"/>
        <color rgb="FFFF0000"/>
        <rFont val="Times New Roman"/>
        <family val="1"/>
      </rPr>
      <t>E</t>
    </r>
  </si>
  <si>
    <r>
      <t>A008A</t>
    </r>
    <r>
      <rPr>
        <sz val="10"/>
        <color rgb="FFFF0000"/>
        <rFont val="Times New Roman"/>
        <family val="1"/>
      </rPr>
      <t>F</t>
    </r>
  </si>
  <si>
    <r>
      <t>A008A</t>
    </r>
    <r>
      <rPr>
        <sz val="10"/>
        <color rgb="FFFF0000"/>
        <rFont val="Times New Roman"/>
        <family val="1"/>
      </rPr>
      <t>G</t>
    </r>
  </si>
  <si>
    <r>
      <t>A008A</t>
    </r>
    <r>
      <rPr>
        <sz val="10"/>
        <color rgb="FFFF0000"/>
        <rFont val="Times New Roman"/>
        <family val="1"/>
      </rPr>
      <t>H</t>
    </r>
  </si>
  <si>
    <r>
      <t>C013A</t>
    </r>
    <r>
      <rPr>
        <sz val="10"/>
        <color rgb="FFFF0000"/>
        <rFont val="Times New Roman"/>
        <family val="1"/>
      </rPr>
      <t>F</t>
    </r>
  </si>
  <si>
    <r>
      <t>C013A</t>
    </r>
    <r>
      <rPr>
        <sz val="10"/>
        <color rgb="FFFF0000"/>
        <rFont val="Times New Roman"/>
        <family val="1"/>
      </rPr>
      <t>G</t>
    </r>
  </si>
  <si>
    <r>
      <t>C013A</t>
    </r>
    <r>
      <rPr>
        <sz val="10"/>
        <color rgb="FFFF0000"/>
        <rFont val="Times New Roman"/>
        <family val="1"/>
      </rPr>
      <t>H</t>
    </r>
  </si>
  <si>
    <r>
      <t>C013A</t>
    </r>
    <r>
      <rPr>
        <sz val="10"/>
        <color rgb="FFFF0000"/>
        <rFont val="Times New Roman"/>
        <family val="1"/>
      </rPr>
      <t>I</t>
    </r>
  </si>
  <si>
    <r>
      <t>C013A</t>
    </r>
    <r>
      <rPr>
        <sz val="10"/>
        <color rgb="FFFF0000"/>
        <rFont val="Times New Roman"/>
        <family val="1"/>
      </rPr>
      <t>K</t>
    </r>
  </si>
  <si>
    <r>
      <t>C013A</t>
    </r>
    <r>
      <rPr>
        <sz val="10"/>
        <color rgb="FFFF0000"/>
        <rFont val="Times New Roman"/>
        <family val="1"/>
      </rPr>
      <t>L</t>
    </r>
  </si>
  <si>
    <r>
      <t>C013A</t>
    </r>
    <r>
      <rPr>
        <sz val="10"/>
        <color rgb="FFFF0000"/>
        <rFont val="Times New Roman"/>
        <family val="1"/>
      </rPr>
      <t>M</t>
    </r>
  </si>
  <si>
    <r>
      <t>B014A</t>
    </r>
    <r>
      <rPr>
        <sz val="10"/>
        <color rgb="FFFF0000"/>
        <rFont val="Times New Roman"/>
        <family val="1"/>
      </rPr>
      <t>Q</t>
    </r>
  </si>
  <si>
    <r>
      <t>B014A</t>
    </r>
    <r>
      <rPr>
        <sz val="10"/>
        <color rgb="FFFF0000"/>
        <rFont val="Times New Roman"/>
        <family val="1"/>
      </rPr>
      <t>R</t>
    </r>
  </si>
  <si>
    <r>
      <t>C014A</t>
    </r>
    <r>
      <rPr>
        <sz val="10"/>
        <color rgb="FFFF0000"/>
        <rFont val="Times New Roman"/>
        <family val="1"/>
      </rPr>
      <t>Q</t>
    </r>
  </si>
  <si>
    <r>
      <t>C014A</t>
    </r>
    <r>
      <rPr>
        <sz val="10"/>
        <color rgb="FFFF0000"/>
        <rFont val="Times New Roman"/>
        <family val="1"/>
      </rPr>
      <t>R</t>
    </r>
  </si>
  <si>
    <t>C014AS</t>
  </si>
  <si>
    <t>C015AD</t>
  </si>
  <si>
    <t>C015AE</t>
  </si>
  <si>
    <t>C019AF</t>
  </si>
  <si>
    <r>
      <t>ELIN/Sub-ELINs C001 THROUGH C0</t>
    </r>
    <r>
      <rPr>
        <sz val="10"/>
        <color rgb="FFFF0000"/>
        <rFont val="Times New Roman"/>
        <family val="1"/>
      </rPr>
      <t>23</t>
    </r>
    <r>
      <rPr>
        <strike/>
        <sz val="10"/>
        <color rgb="FFFF0000"/>
        <rFont val="Times New Roman"/>
        <family val="1"/>
      </rPr>
      <t xml:space="preserve"> 21</t>
    </r>
  </si>
  <si>
    <r>
      <t>ELIN/Sub-ELINs A001 THROUGH A0</t>
    </r>
    <r>
      <rPr>
        <sz val="10"/>
        <color rgb="FFFF0000"/>
        <rFont val="Times New Roman"/>
        <family val="1"/>
      </rPr>
      <t xml:space="preserve">23 </t>
    </r>
    <r>
      <rPr>
        <strike/>
        <sz val="10"/>
        <color rgb="FFFF0000"/>
        <rFont val="Times New Roman"/>
        <family val="1"/>
      </rPr>
      <t>21</t>
    </r>
  </si>
  <si>
    <r>
      <t>ELIN/Sub-ELINs A001 THROUGH B0</t>
    </r>
    <r>
      <rPr>
        <sz val="10"/>
        <color rgb="FFFF0000"/>
        <rFont val="Times New Roman"/>
        <family val="1"/>
      </rPr>
      <t xml:space="preserve">23 </t>
    </r>
    <r>
      <rPr>
        <strike/>
        <sz val="10"/>
        <color rgb="FFFF0000"/>
        <rFont val="Times New Roman"/>
        <family val="1"/>
      </rPr>
      <t>21</t>
    </r>
  </si>
  <si>
    <r>
      <t>ELIN/Sub-ELINs C001 THROUGH D0</t>
    </r>
    <r>
      <rPr>
        <sz val="10"/>
        <color rgb="FFFF0000"/>
        <rFont val="Times New Roman"/>
        <family val="1"/>
      </rPr>
      <t>23</t>
    </r>
    <r>
      <rPr>
        <strike/>
        <sz val="10"/>
        <color rgb="FFFF0000"/>
        <rFont val="Times New Roman"/>
        <family val="1"/>
      </rPr>
      <t xml:space="preserve"> 21</t>
    </r>
  </si>
  <si>
    <t>D001BV</t>
  </si>
  <si>
    <r>
      <t>D002A</t>
    </r>
    <r>
      <rPr>
        <sz val="10"/>
        <color rgb="FFFF0000"/>
        <rFont val="Times New Roman"/>
        <family val="1"/>
      </rPr>
      <t>F</t>
    </r>
  </si>
  <si>
    <r>
      <t>D002A</t>
    </r>
    <r>
      <rPr>
        <sz val="10"/>
        <color rgb="FFFF0000"/>
        <rFont val="Times New Roman"/>
        <family val="1"/>
      </rPr>
      <t>G</t>
    </r>
  </si>
  <si>
    <r>
      <t>D002A</t>
    </r>
    <r>
      <rPr>
        <sz val="10"/>
        <color rgb="FFFF0000"/>
        <rFont val="Times New Roman"/>
        <family val="1"/>
      </rPr>
      <t>H</t>
    </r>
  </si>
  <si>
    <r>
      <t>D003A</t>
    </r>
    <r>
      <rPr>
        <sz val="10"/>
        <color rgb="FFFF0000"/>
        <rFont val="Times New Roman"/>
        <family val="1"/>
      </rPr>
      <t>B</t>
    </r>
  </si>
  <si>
    <r>
      <t>D003A</t>
    </r>
    <r>
      <rPr>
        <sz val="10"/>
        <color rgb="FFFF0000"/>
        <rFont val="Times New Roman"/>
        <family val="1"/>
      </rPr>
      <t>C</t>
    </r>
  </si>
  <si>
    <r>
      <t>D003A</t>
    </r>
    <r>
      <rPr>
        <sz val="10"/>
        <color rgb="FFFF0000"/>
        <rFont val="Times New Roman"/>
        <family val="1"/>
      </rPr>
      <t>D</t>
    </r>
  </si>
  <si>
    <r>
      <t>D003A</t>
    </r>
    <r>
      <rPr>
        <sz val="10"/>
        <color rgb="FFFF0000"/>
        <rFont val="Times New Roman"/>
        <family val="1"/>
      </rPr>
      <t>E</t>
    </r>
  </si>
  <si>
    <r>
      <t>D008A</t>
    </r>
    <r>
      <rPr>
        <sz val="10"/>
        <color rgb="FFFF0000"/>
        <rFont val="Times New Roman"/>
        <family val="1"/>
      </rPr>
      <t>E</t>
    </r>
  </si>
  <si>
    <r>
      <t>D008A</t>
    </r>
    <r>
      <rPr>
        <sz val="10"/>
        <color rgb="FFFF0000"/>
        <rFont val="Times New Roman"/>
        <family val="1"/>
      </rPr>
      <t>F</t>
    </r>
  </si>
  <si>
    <r>
      <t>D008A</t>
    </r>
    <r>
      <rPr>
        <sz val="10"/>
        <color rgb="FFFF0000"/>
        <rFont val="Times New Roman"/>
        <family val="1"/>
      </rPr>
      <t>G</t>
    </r>
  </si>
  <si>
    <r>
      <t>D008A</t>
    </r>
    <r>
      <rPr>
        <sz val="10"/>
        <color rgb="FFFF0000"/>
        <rFont val="Times New Roman"/>
        <family val="1"/>
      </rPr>
      <t>H</t>
    </r>
  </si>
  <si>
    <r>
      <t>D013A</t>
    </r>
    <r>
      <rPr>
        <sz val="10"/>
        <color rgb="FFFF0000"/>
        <rFont val="Times New Roman"/>
        <family val="1"/>
      </rPr>
      <t>F</t>
    </r>
  </si>
  <si>
    <r>
      <t>D013A</t>
    </r>
    <r>
      <rPr>
        <sz val="10"/>
        <color rgb="FFFF0000"/>
        <rFont val="Times New Roman"/>
        <family val="1"/>
      </rPr>
      <t>G</t>
    </r>
  </si>
  <si>
    <r>
      <t>D013A</t>
    </r>
    <r>
      <rPr>
        <sz val="10"/>
        <color rgb="FFFF0000"/>
        <rFont val="Times New Roman"/>
        <family val="1"/>
      </rPr>
      <t>H</t>
    </r>
  </si>
  <si>
    <r>
      <t>D013A</t>
    </r>
    <r>
      <rPr>
        <sz val="10"/>
        <color rgb="FFFF0000"/>
        <rFont val="Times New Roman"/>
        <family val="1"/>
      </rPr>
      <t>I</t>
    </r>
  </si>
  <si>
    <r>
      <t>D013A</t>
    </r>
    <r>
      <rPr>
        <sz val="10"/>
        <color rgb="FFFF0000"/>
        <rFont val="Times New Roman"/>
        <family val="1"/>
      </rPr>
      <t>K</t>
    </r>
  </si>
  <si>
    <r>
      <t>D013A</t>
    </r>
    <r>
      <rPr>
        <sz val="10"/>
        <color rgb="FFFF0000"/>
        <rFont val="Times New Roman"/>
        <family val="1"/>
      </rPr>
      <t>L</t>
    </r>
  </si>
  <si>
    <r>
      <t>D013A</t>
    </r>
    <r>
      <rPr>
        <sz val="10"/>
        <color rgb="FFFF0000"/>
        <rFont val="Times New Roman"/>
        <family val="1"/>
      </rPr>
      <t>M</t>
    </r>
  </si>
  <si>
    <r>
      <t>D014A</t>
    </r>
    <r>
      <rPr>
        <sz val="10"/>
        <color rgb="FFFF0000"/>
        <rFont val="Times New Roman"/>
        <family val="1"/>
      </rPr>
      <t>Q</t>
    </r>
  </si>
  <si>
    <r>
      <t>D014A</t>
    </r>
    <r>
      <rPr>
        <sz val="10"/>
        <color rgb="FFFF0000"/>
        <rFont val="Times New Roman"/>
        <family val="1"/>
      </rPr>
      <t>R</t>
    </r>
  </si>
  <si>
    <t>D014AS</t>
  </si>
  <si>
    <t>D015AD</t>
  </si>
  <si>
    <t>D015AE</t>
  </si>
  <si>
    <t>D019AF</t>
  </si>
  <si>
    <r>
      <t>TOTAL FOR LINE ITEM 0007 - 3RD OPTION YEAR - RECURRING WORK (ELINs D001 THROUGH D0</t>
    </r>
    <r>
      <rPr>
        <b/>
        <sz val="12"/>
        <color rgb="FFFF0000"/>
        <rFont val="Times New Roman"/>
        <family val="1"/>
      </rPr>
      <t xml:space="preserve">23 </t>
    </r>
    <r>
      <rPr>
        <b/>
        <strike/>
        <sz val="12"/>
        <color rgb="FFFF0000"/>
        <rFont val="Times New Roman"/>
        <family val="1"/>
      </rPr>
      <t>21</t>
    </r>
    <r>
      <rPr>
        <b/>
        <sz val="12"/>
        <rFont val="Times New Roman"/>
        <family val="1"/>
      </rPr>
      <t>)</t>
    </r>
  </si>
  <si>
    <t>D022</t>
  </si>
  <si>
    <t>D022AE</t>
  </si>
  <si>
    <t>D022AG</t>
  </si>
  <si>
    <t>D023</t>
  </si>
  <si>
    <t>D023AA</t>
  </si>
  <si>
    <t>E001BV</t>
  </si>
  <si>
    <r>
      <t>E002A</t>
    </r>
    <r>
      <rPr>
        <sz val="10"/>
        <color rgb="FFFF0000"/>
        <rFont val="Times New Roman"/>
        <family val="1"/>
      </rPr>
      <t>F</t>
    </r>
  </si>
  <si>
    <r>
      <t>E002A</t>
    </r>
    <r>
      <rPr>
        <sz val="10"/>
        <color rgb="FFFF0000"/>
        <rFont val="Times New Roman"/>
        <family val="1"/>
      </rPr>
      <t>G</t>
    </r>
  </si>
  <si>
    <r>
      <t>E002A</t>
    </r>
    <r>
      <rPr>
        <sz val="10"/>
        <color rgb="FFFF0000"/>
        <rFont val="Times New Roman"/>
        <family val="1"/>
      </rPr>
      <t>H</t>
    </r>
  </si>
  <si>
    <r>
      <t>E003A</t>
    </r>
    <r>
      <rPr>
        <sz val="10"/>
        <color rgb="FFFF0000"/>
        <rFont val="Times New Roman"/>
        <family val="1"/>
      </rPr>
      <t>B</t>
    </r>
  </si>
  <si>
    <r>
      <t>E003A</t>
    </r>
    <r>
      <rPr>
        <sz val="10"/>
        <color rgb="FFFF0000"/>
        <rFont val="Times New Roman"/>
        <family val="1"/>
      </rPr>
      <t>C</t>
    </r>
  </si>
  <si>
    <r>
      <t>E003A</t>
    </r>
    <r>
      <rPr>
        <sz val="10"/>
        <color rgb="FFFF0000"/>
        <rFont val="Times New Roman"/>
        <family val="1"/>
      </rPr>
      <t>D</t>
    </r>
  </si>
  <si>
    <r>
      <t>E003A</t>
    </r>
    <r>
      <rPr>
        <sz val="10"/>
        <color rgb="FFFF0000"/>
        <rFont val="Times New Roman"/>
        <family val="1"/>
      </rPr>
      <t>E</t>
    </r>
  </si>
  <si>
    <r>
      <t>E008A</t>
    </r>
    <r>
      <rPr>
        <sz val="10"/>
        <color rgb="FFFF0000"/>
        <rFont val="Times New Roman"/>
        <family val="1"/>
      </rPr>
      <t>E</t>
    </r>
  </si>
  <si>
    <r>
      <t>E008A</t>
    </r>
    <r>
      <rPr>
        <sz val="10"/>
        <color rgb="FFFF0000"/>
        <rFont val="Times New Roman"/>
        <family val="1"/>
      </rPr>
      <t>F</t>
    </r>
  </si>
  <si>
    <r>
      <t>E008A</t>
    </r>
    <r>
      <rPr>
        <sz val="10"/>
        <color rgb="FFFF0000"/>
        <rFont val="Times New Roman"/>
        <family val="1"/>
      </rPr>
      <t>G</t>
    </r>
  </si>
  <si>
    <r>
      <t>E008A</t>
    </r>
    <r>
      <rPr>
        <sz val="10"/>
        <color rgb="FFFF0000"/>
        <rFont val="Times New Roman"/>
        <family val="1"/>
      </rPr>
      <t>H</t>
    </r>
  </si>
  <si>
    <r>
      <t>E013A</t>
    </r>
    <r>
      <rPr>
        <sz val="10"/>
        <color rgb="FFFF0000"/>
        <rFont val="Times New Roman"/>
        <family val="1"/>
      </rPr>
      <t>F</t>
    </r>
  </si>
  <si>
    <r>
      <t>E013A</t>
    </r>
    <r>
      <rPr>
        <sz val="10"/>
        <color rgb="FFFF0000"/>
        <rFont val="Times New Roman"/>
        <family val="1"/>
      </rPr>
      <t>G</t>
    </r>
  </si>
  <si>
    <r>
      <t>E013A</t>
    </r>
    <r>
      <rPr>
        <sz val="10"/>
        <color rgb="FFFF0000"/>
        <rFont val="Times New Roman"/>
        <family val="1"/>
      </rPr>
      <t>H</t>
    </r>
  </si>
  <si>
    <r>
      <t>E013A</t>
    </r>
    <r>
      <rPr>
        <sz val="10"/>
        <color rgb="FFFF0000"/>
        <rFont val="Times New Roman"/>
        <family val="1"/>
      </rPr>
      <t>I</t>
    </r>
  </si>
  <si>
    <r>
      <t>E013A</t>
    </r>
    <r>
      <rPr>
        <sz val="10"/>
        <color rgb="FFFF0000"/>
        <rFont val="Times New Roman"/>
        <family val="1"/>
      </rPr>
      <t>K</t>
    </r>
  </si>
  <si>
    <r>
      <t>E013A</t>
    </r>
    <r>
      <rPr>
        <sz val="10"/>
        <color rgb="FFFF0000"/>
        <rFont val="Times New Roman"/>
        <family val="1"/>
      </rPr>
      <t>L</t>
    </r>
  </si>
  <si>
    <r>
      <t>E013A</t>
    </r>
    <r>
      <rPr>
        <sz val="10"/>
        <color rgb="FFFF0000"/>
        <rFont val="Times New Roman"/>
        <family val="1"/>
      </rPr>
      <t>M</t>
    </r>
  </si>
  <si>
    <r>
      <t>E014A</t>
    </r>
    <r>
      <rPr>
        <sz val="10"/>
        <color rgb="FFFF0000"/>
        <rFont val="Times New Roman"/>
        <family val="1"/>
      </rPr>
      <t>Q</t>
    </r>
  </si>
  <si>
    <r>
      <t>E014A</t>
    </r>
    <r>
      <rPr>
        <sz val="10"/>
        <color rgb="FFFF0000"/>
        <rFont val="Times New Roman"/>
        <family val="1"/>
      </rPr>
      <t>R</t>
    </r>
  </si>
  <si>
    <t>E014AS</t>
  </si>
  <si>
    <t>E015AD</t>
  </si>
  <si>
    <t>E015AE</t>
  </si>
  <si>
    <t>E019AF</t>
  </si>
  <si>
    <t>E021AA</t>
  </si>
  <si>
    <r>
      <t>E021A</t>
    </r>
    <r>
      <rPr>
        <sz val="10"/>
        <color rgb="FFFF0000"/>
        <rFont val="Times New Roman"/>
        <family val="1"/>
      </rPr>
      <t>A</t>
    </r>
  </si>
  <si>
    <r>
      <t>E021A</t>
    </r>
    <r>
      <rPr>
        <sz val="10"/>
        <color rgb="FFFF0000"/>
        <rFont val="Times New Roman"/>
        <family val="1"/>
      </rPr>
      <t>B</t>
    </r>
  </si>
  <si>
    <r>
      <t>D021A</t>
    </r>
    <r>
      <rPr>
        <sz val="10"/>
        <color rgb="FFFF0000"/>
        <rFont val="Times New Roman"/>
        <family val="1"/>
      </rPr>
      <t>A</t>
    </r>
  </si>
  <si>
    <r>
      <t>D021A</t>
    </r>
    <r>
      <rPr>
        <sz val="10"/>
        <color rgb="FFFF0000"/>
        <rFont val="Times New Roman"/>
        <family val="1"/>
      </rPr>
      <t>B</t>
    </r>
  </si>
  <si>
    <r>
      <t>C021A</t>
    </r>
    <r>
      <rPr>
        <sz val="10"/>
        <color rgb="FFFF0000"/>
        <rFont val="Times New Roman"/>
        <family val="1"/>
      </rPr>
      <t>A</t>
    </r>
  </si>
  <si>
    <r>
      <t>C021A</t>
    </r>
    <r>
      <rPr>
        <sz val="10"/>
        <color rgb="FFFF0000"/>
        <rFont val="Times New Roman"/>
        <family val="1"/>
      </rPr>
      <t>B</t>
    </r>
  </si>
  <si>
    <r>
      <t>B021A</t>
    </r>
    <r>
      <rPr>
        <sz val="10"/>
        <color rgb="FFFF0000"/>
        <rFont val="Times New Roman"/>
        <family val="1"/>
      </rPr>
      <t>A</t>
    </r>
  </si>
  <si>
    <r>
      <t>B021A</t>
    </r>
    <r>
      <rPr>
        <sz val="10"/>
        <color rgb="FFFF0000"/>
        <rFont val="Times New Roman"/>
        <family val="1"/>
      </rPr>
      <t>B</t>
    </r>
  </si>
  <si>
    <r>
      <t>TOTAL FOR LINE ITEM 0009 - 4TH OPTION YEAR - RECURRING WORK (ELINs E001 THROUGH E0</t>
    </r>
    <r>
      <rPr>
        <b/>
        <sz val="12"/>
        <color rgb="FFFF0000"/>
        <rFont val="Times New Roman"/>
        <family val="1"/>
      </rPr>
      <t xml:space="preserve">23 </t>
    </r>
    <r>
      <rPr>
        <b/>
        <strike/>
        <sz val="12"/>
        <color rgb="FFFF0000"/>
        <rFont val="Times New Roman"/>
        <family val="1"/>
      </rPr>
      <t>21</t>
    </r>
    <r>
      <rPr>
        <b/>
        <sz val="12"/>
        <rFont val="Times New Roman"/>
        <family val="1"/>
      </rPr>
      <t>)</t>
    </r>
  </si>
  <si>
    <t>E022</t>
  </si>
  <si>
    <t>E022AE</t>
  </si>
  <si>
    <t>E022AG</t>
  </si>
  <si>
    <t>E023</t>
  </si>
  <si>
    <t>E023AA</t>
  </si>
  <si>
    <t>F001BV</t>
  </si>
  <si>
    <r>
      <t>F003A</t>
    </r>
    <r>
      <rPr>
        <sz val="10"/>
        <color rgb="FFFF0000"/>
        <rFont val="Times New Roman"/>
        <family val="1"/>
      </rPr>
      <t>B</t>
    </r>
  </si>
  <si>
    <r>
      <t>F003A</t>
    </r>
    <r>
      <rPr>
        <sz val="10"/>
        <color rgb="FFFF0000"/>
        <rFont val="Times New Roman"/>
        <family val="1"/>
      </rPr>
      <t>C</t>
    </r>
  </si>
  <si>
    <r>
      <t>F003A</t>
    </r>
    <r>
      <rPr>
        <sz val="10"/>
        <color rgb="FFFF0000"/>
        <rFont val="Times New Roman"/>
        <family val="1"/>
      </rPr>
      <t>D</t>
    </r>
  </si>
  <si>
    <r>
      <t>F003A</t>
    </r>
    <r>
      <rPr>
        <sz val="10"/>
        <color rgb="FFFF0000"/>
        <rFont val="Times New Roman"/>
        <family val="1"/>
      </rPr>
      <t>E</t>
    </r>
  </si>
  <si>
    <r>
      <t>F008A</t>
    </r>
    <r>
      <rPr>
        <sz val="10"/>
        <color rgb="FFFF0000"/>
        <rFont val="Times New Roman"/>
        <family val="1"/>
      </rPr>
      <t>E</t>
    </r>
  </si>
  <si>
    <r>
      <t>F008A</t>
    </r>
    <r>
      <rPr>
        <sz val="10"/>
        <color rgb="FFFF0000"/>
        <rFont val="Times New Roman"/>
        <family val="1"/>
      </rPr>
      <t>F</t>
    </r>
  </si>
  <si>
    <r>
      <t>F008A</t>
    </r>
    <r>
      <rPr>
        <sz val="10"/>
        <color rgb="FFFF0000"/>
        <rFont val="Times New Roman"/>
        <family val="1"/>
      </rPr>
      <t>G</t>
    </r>
  </si>
  <si>
    <r>
      <t>F008A</t>
    </r>
    <r>
      <rPr>
        <sz val="10"/>
        <color rgb="FFFF0000"/>
        <rFont val="Times New Roman"/>
        <family val="1"/>
      </rPr>
      <t>H</t>
    </r>
  </si>
  <si>
    <r>
      <t>F013A</t>
    </r>
    <r>
      <rPr>
        <sz val="10"/>
        <color rgb="FFFF0000"/>
        <rFont val="Times New Roman"/>
        <family val="1"/>
      </rPr>
      <t>F</t>
    </r>
  </si>
  <si>
    <r>
      <t>F013A</t>
    </r>
    <r>
      <rPr>
        <sz val="10"/>
        <color rgb="FFFF0000"/>
        <rFont val="Times New Roman"/>
        <family val="1"/>
      </rPr>
      <t>G</t>
    </r>
  </si>
  <si>
    <r>
      <t>F013A</t>
    </r>
    <r>
      <rPr>
        <sz val="10"/>
        <color rgb="FFFF0000"/>
        <rFont val="Times New Roman"/>
        <family val="1"/>
      </rPr>
      <t>H</t>
    </r>
  </si>
  <si>
    <r>
      <t>F013A</t>
    </r>
    <r>
      <rPr>
        <sz val="10"/>
        <color rgb="FFFF0000"/>
        <rFont val="Times New Roman"/>
        <family val="1"/>
      </rPr>
      <t>I</t>
    </r>
  </si>
  <si>
    <r>
      <t>F013A</t>
    </r>
    <r>
      <rPr>
        <sz val="10"/>
        <color rgb="FFFF0000"/>
        <rFont val="Times New Roman"/>
        <family val="1"/>
      </rPr>
      <t>K</t>
    </r>
  </si>
  <si>
    <r>
      <t>F013A</t>
    </r>
    <r>
      <rPr>
        <sz val="10"/>
        <color rgb="FFFF0000"/>
        <rFont val="Times New Roman"/>
        <family val="1"/>
      </rPr>
      <t>L</t>
    </r>
  </si>
  <si>
    <r>
      <t>F013A</t>
    </r>
    <r>
      <rPr>
        <sz val="10"/>
        <color rgb="FFFF0000"/>
        <rFont val="Times New Roman"/>
        <family val="1"/>
      </rPr>
      <t>M</t>
    </r>
  </si>
  <si>
    <r>
      <t>F014A</t>
    </r>
    <r>
      <rPr>
        <sz val="10"/>
        <color rgb="FFFF0000"/>
        <rFont val="Times New Roman"/>
        <family val="1"/>
      </rPr>
      <t>Q</t>
    </r>
  </si>
  <si>
    <r>
      <t>F014A</t>
    </r>
    <r>
      <rPr>
        <sz val="10"/>
        <color rgb="FFFF0000"/>
        <rFont val="Times New Roman"/>
        <family val="1"/>
      </rPr>
      <t>R</t>
    </r>
  </si>
  <si>
    <t>F014AS</t>
  </si>
  <si>
    <t>F015AD</t>
  </si>
  <si>
    <t>F015AE</t>
  </si>
  <si>
    <t>F019AF</t>
  </si>
  <si>
    <t>F021AA</t>
  </si>
  <si>
    <t>F022</t>
  </si>
  <si>
    <t>F022AE</t>
  </si>
  <si>
    <t>F022AG</t>
  </si>
  <si>
    <t>F023</t>
  </si>
  <si>
    <t>F023AA</t>
  </si>
  <si>
    <r>
      <t>TOTAL FOR LINE ITEM 0011 - 5TH OPTION YEAR - RECURRING WORK (ELINs F001 THROUGH F0</t>
    </r>
    <r>
      <rPr>
        <b/>
        <sz val="12"/>
        <color rgb="FFFF0000"/>
        <rFont val="Times New Roman"/>
        <family val="1"/>
      </rPr>
      <t xml:space="preserve">23 </t>
    </r>
    <r>
      <rPr>
        <b/>
        <strike/>
        <sz val="12"/>
        <color rgb="FFFF0000"/>
        <rFont val="Times New Roman"/>
        <family val="1"/>
      </rPr>
      <t>21</t>
    </r>
    <r>
      <rPr>
        <b/>
        <sz val="12"/>
        <rFont val="Times New Roman"/>
        <family val="1"/>
      </rPr>
      <t>)</t>
    </r>
  </si>
  <si>
    <r>
      <t>ELIN/Sub-ELINs F001 THROUGH F0</t>
    </r>
    <r>
      <rPr>
        <sz val="10"/>
        <color rgb="FFFF0000"/>
        <rFont val="Times New Roman"/>
        <family val="1"/>
      </rPr>
      <t xml:space="preserve">23 </t>
    </r>
    <r>
      <rPr>
        <strike/>
        <sz val="10"/>
        <color rgb="FFFF0000"/>
        <rFont val="Times New Roman"/>
        <family val="1"/>
      </rPr>
      <t>21</t>
    </r>
  </si>
  <si>
    <r>
      <t>ELIN/Sub-ELINs E001 THROUGH E0</t>
    </r>
    <r>
      <rPr>
        <sz val="10"/>
        <color rgb="FFFF0000"/>
        <rFont val="Times New Roman"/>
        <family val="1"/>
      </rPr>
      <t xml:space="preserve">23 </t>
    </r>
    <r>
      <rPr>
        <strike/>
        <sz val="10"/>
        <color rgb="FFFF0000"/>
        <rFont val="Times New Roman"/>
        <family val="1"/>
      </rPr>
      <t>21</t>
    </r>
  </si>
  <si>
    <r>
      <t>ELIN/Sub-ELINs G001 THROUGH G0</t>
    </r>
    <r>
      <rPr>
        <sz val="10"/>
        <color rgb="FFFF0000"/>
        <rFont val="Times New Roman"/>
        <family val="1"/>
      </rPr>
      <t xml:space="preserve">23 </t>
    </r>
    <r>
      <rPr>
        <strike/>
        <sz val="10"/>
        <color rgb="FFFF0000"/>
        <rFont val="Times New Roman"/>
        <family val="1"/>
      </rPr>
      <t>21</t>
    </r>
  </si>
  <si>
    <t>G001BV</t>
  </si>
  <si>
    <r>
      <t>G013A</t>
    </r>
    <r>
      <rPr>
        <sz val="10"/>
        <color rgb="FFFF0000"/>
        <rFont val="Times New Roman"/>
        <family val="1"/>
      </rPr>
      <t>F</t>
    </r>
  </si>
  <si>
    <r>
      <t>G013A</t>
    </r>
    <r>
      <rPr>
        <sz val="10"/>
        <color rgb="FFFF0000"/>
        <rFont val="Times New Roman"/>
        <family val="1"/>
      </rPr>
      <t>G</t>
    </r>
  </si>
  <si>
    <r>
      <t>G013A</t>
    </r>
    <r>
      <rPr>
        <sz val="10"/>
        <color rgb="FFFF0000"/>
        <rFont val="Times New Roman"/>
        <family val="1"/>
      </rPr>
      <t>H</t>
    </r>
  </si>
  <si>
    <r>
      <t>G013A</t>
    </r>
    <r>
      <rPr>
        <sz val="10"/>
        <color rgb="FFFF0000"/>
        <rFont val="Times New Roman"/>
        <family val="1"/>
      </rPr>
      <t>I</t>
    </r>
  </si>
  <si>
    <r>
      <t>G013A</t>
    </r>
    <r>
      <rPr>
        <sz val="10"/>
        <color rgb="FFFF0000"/>
        <rFont val="Times New Roman"/>
        <family val="1"/>
      </rPr>
      <t>K</t>
    </r>
  </si>
  <si>
    <r>
      <t>G013A</t>
    </r>
    <r>
      <rPr>
        <sz val="10"/>
        <color rgb="FFFF0000"/>
        <rFont val="Times New Roman"/>
        <family val="1"/>
      </rPr>
      <t>L</t>
    </r>
  </si>
  <si>
    <r>
      <t>G013A</t>
    </r>
    <r>
      <rPr>
        <sz val="10"/>
        <color rgb="FFFF0000"/>
        <rFont val="Times New Roman"/>
        <family val="1"/>
      </rPr>
      <t>M</t>
    </r>
  </si>
  <si>
    <r>
      <t>G014A</t>
    </r>
    <r>
      <rPr>
        <sz val="10"/>
        <color rgb="FFFF0000"/>
        <rFont val="Times New Roman"/>
        <family val="1"/>
      </rPr>
      <t>Q</t>
    </r>
  </si>
  <si>
    <r>
      <t>G014A</t>
    </r>
    <r>
      <rPr>
        <sz val="10"/>
        <color rgb="FFFF0000"/>
        <rFont val="Times New Roman"/>
        <family val="1"/>
      </rPr>
      <t>R</t>
    </r>
  </si>
  <si>
    <t>G014AS</t>
  </si>
  <si>
    <t>G015AD</t>
  </si>
  <si>
    <t>G015AE</t>
  </si>
  <si>
    <t>G019AF</t>
  </si>
  <si>
    <t>G021AA</t>
  </si>
  <si>
    <t>G022</t>
  </si>
  <si>
    <t>G022AE</t>
  </si>
  <si>
    <t>G022AG</t>
  </si>
  <si>
    <t>G023</t>
  </si>
  <si>
    <t>G023AA</t>
  </si>
  <si>
    <r>
      <t>TOTAL FOR LINE ITEM 0011 - 6TH OPTION YEAR - RECURRING WORK (ELINs G001 THROUGH G0</t>
    </r>
    <r>
      <rPr>
        <b/>
        <sz val="12"/>
        <color rgb="FFFF0000"/>
        <rFont val="Times New Roman"/>
        <family val="1"/>
      </rPr>
      <t xml:space="preserve">23 </t>
    </r>
    <r>
      <rPr>
        <b/>
        <strike/>
        <sz val="12"/>
        <color rgb="FFFF0000"/>
        <rFont val="Times New Roman"/>
        <family val="1"/>
      </rPr>
      <t>21</t>
    </r>
    <r>
      <rPr>
        <b/>
        <sz val="12"/>
        <rFont val="Times New Roman"/>
        <family val="1"/>
      </rPr>
      <t>)</t>
    </r>
  </si>
  <si>
    <t>H001BV</t>
  </si>
  <si>
    <r>
      <t>H013A</t>
    </r>
    <r>
      <rPr>
        <sz val="10"/>
        <color rgb="FFFF0000"/>
        <rFont val="Times New Roman"/>
        <family val="1"/>
      </rPr>
      <t>F</t>
    </r>
  </si>
  <si>
    <r>
      <t>H013A</t>
    </r>
    <r>
      <rPr>
        <sz val="10"/>
        <color rgb="FFFF0000"/>
        <rFont val="Times New Roman"/>
        <family val="1"/>
      </rPr>
      <t>G</t>
    </r>
  </si>
  <si>
    <r>
      <t>H013A</t>
    </r>
    <r>
      <rPr>
        <sz val="10"/>
        <color rgb="FFFF0000"/>
        <rFont val="Times New Roman"/>
        <family val="1"/>
      </rPr>
      <t>H</t>
    </r>
  </si>
  <si>
    <r>
      <t>H013A</t>
    </r>
    <r>
      <rPr>
        <sz val="10"/>
        <color rgb="FFFF0000"/>
        <rFont val="Times New Roman"/>
        <family val="1"/>
      </rPr>
      <t>I</t>
    </r>
  </si>
  <si>
    <r>
      <t>H013A</t>
    </r>
    <r>
      <rPr>
        <sz val="10"/>
        <color rgb="FFFF0000"/>
        <rFont val="Times New Roman"/>
        <family val="1"/>
      </rPr>
      <t>K</t>
    </r>
  </si>
  <si>
    <r>
      <t>H013A</t>
    </r>
    <r>
      <rPr>
        <sz val="10"/>
        <color rgb="FFFF0000"/>
        <rFont val="Times New Roman"/>
        <family val="1"/>
      </rPr>
      <t>L</t>
    </r>
  </si>
  <si>
    <r>
      <t>H013A</t>
    </r>
    <r>
      <rPr>
        <sz val="10"/>
        <color rgb="FFFF0000"/>
        <rFont val="Times New Roman"/>
        <family val="1"/>
      </rPr>
      <t>M</t>
    </r>
  </si>
  <si>
    <t>H015AD</t>
  </si>
  <si>
    <t>H015AE</t>
  </si>
  <si>
    <t>H019AF</t>
  </si>
  <si>
    <t>H021AA</t>
  </si>
  <si>
    <r>
      <t>TOTAL FOR LINE ITEM 0015 - 7TH OPTION YEAR - RECURRING WORK (ELINs H001 THROUGH H0</t>
    </r>
    <r>
      <rPr>
        <b/>
        <sz val="12"/>
        <color rgb="FFFF0000"/>
        <rFont val="Times New Roman"/>
        <family val="1"/>
      </rPr>
      <t xml:space="preserve">23 </t>
    </r>
    <r>
      <rPr>
        <b/>
        <strike/>
        <sz val="12"/>
        <color rgb="FFFF0000"/>
        <rFont val="Times New Roman"/>
        <family val="1"/>
      </rPr>
      <t>21</t>
    </r>
    <r>
      <rPr>
        <b/>
        <sz val="12"/>
        <rFont val="Times New Roman"/>
        <family val="1"/>
      </rPr>
      <t>)</t>
    </r>
  </si>
  <si>
    <t>H022</t>
  </si>
  <si>
    <t>H022AE</t>
  </si>
  <si>
    <t>H022AG</t>
  </si>
  <si>
    <t>H023</t>
  </si>
  <si>
    <t>H023AA</t>
  </si>
  <si>
    <r>
      <t>ELIN/Sub-ELINs H001 THROUGH H0</t>
    </r>
    <r>
      <rPr>
        <sz val="10"/>
        <color rgb="FFFF0000"/>
        <rFont val="Times New Roman"/>
        <family val="1"/>
      </rPr>
      <t>23</t>
    </r>
    <r>
      <rPr>
        <strike/>
        <sz val="10"/>
        <color rgb="FFFF0000"/>
        <rFont val="Times New Roman"/>
        <family val="1"/>
      </rPr>
      <t xml:space="preserve"> 21</t>
    </r>
  </si>
  <si>
    <r>
      <t>ELIN/Sub-ELINs J001 THROUGH J0</t>
    </r>
    <r>
      <rPr>
        <sz val="10"/>
        <color rgb="FFFF0000"/>
        <rFont val="Times New Roman"/>
        <family val="1"/>
      </rPr>
      <t xml:space="preserve">23 </t>
    </r>
    <r>
      <rPr>
        <strike/>
        <sz val="10"/>
        <rFont val="Times New Roman"/>
        <family val="1"/>
      </rPr>
      <t>21</t>
    </r>
  </si>
  <si>
    <t>J001BV</t>
  </si>
  <si>
    <r>
      <t>G008A</t>
    </r>
    <r>
      <rPr>
        <sz val="10"/>
        <color rgb="FFFF0000"/>
        <rFont val="Times New Roman"/>
        <family val="1"/>
      </rPr>
      <t>E</t>
    </r>
  </si>
  <si>
    <r>
      <t>G008A</t>
    </r>
    <r>
      <rPr>
        <sz val="10"/>
        <color rgb="FFFF0000"/>
        <rFont val="Times New Roman"/>
        <family val="1"/>
      </rPr>
      <t>F</t>
    </r>
  </si>
  <si>
    <r>
      <t>G008A</t>
    </r>
    <r>
      <rPr>
        <sz val="10"/>
        <color rgb="FFFF0000"/>
        <rFont val="Times New Roman"/>
        <family val="1"/>
      </rPr>
      <t>G</t>
    </r>
  </si>
  <si>
    <r>
      <t>G008A</t>
    </r>
    <r>
      <rPr>
        <sz val="10"/>
        <color rgb="FFFF0000"/>
        <rFont val="Times New Roman"/>
        <family val="1"/>
      </rPr>
      <t>H</t>
    </r>
  </si>
  <si>
    <r>
      <t>H008A</t>
    </r>
    <r>
      <rPr>
        <sz val="10"/>
        <color rgb="FFFF0000"/>
        <rFont val="Times New Roman"/>
        <family val="1"/>
      </rPr>
      <t>E</t>
    </r>
  </si>
  <si>
    <r>
      <t>H008A</t>
    </r>
    <r>
      <rPr>
        <sz val="10"/>
        <color rgb="FFFF0000"/>
        <rFont val="Times New Roman"/>
        <family val="1"/>
      </rPr>
      <t>F</t>
    </r>
  </si>
  <si>
    <r>
      <t>H008A</t>
    </r>
    <r>
      <rPr>
        <sz val="10"/>
        <color rgb="FFFF0000"/>
        <rFont val="Times New Roman"/>
        <family val="1"/>
      </rPr>
      <t>G</t>
    </r>
  </si>
  <si>
    <r>
      <t>H008A</t>
    </r>
    <r>
      <rPr>
        <sz val="10"/>
        <color rgb="FFFF0000"/>
        <rFont val="Times New Roman"/>
        <family val="1"/>
      </rPr>
      <t>H</t>
    </r>
  </si>
  <si>
    <r>
      <t>J008A</t>
    </r>
    <r>
      <rPr>
        <sz val="10"/>
        <color rgb="FFFF0000"/>
        <rFont val="Times New Roman"/>
        <family val="1"/>
      </rPr>
      <t>E</t>
    </r>
  </si>
  <si>
    <r>
      <t>J008A</t>
    </r>
    <r>
      <rPr>
        <sz val="10"/>
        <color rgb="FFFF0000"/>
        <rFont val="Times New Roman"/>
        <family val="1"/>
      </rPr>
      <t>F</t>
    </r>
  </si>
  <si>
    <r>
      <t>J008A</t>
    </r>
    <r>
      <rPr>
        <sz val="10"/>
        <color rgb="FFFF0000"/>
        <rFont val="Times New Roman"/>
        <family val="1"/>
      </rPr>
      <t>G</t>
    </r>
  </si>
  <si>
    <r>
      <t>J008A</t>
    </r>
    <r>
      <rPr>
        <sz val="10"/>
        <color rgb="FFFF0000"/>
        <rFont val="Times New Roman"/>
        <family val="1"/>
      </rPr>
      <t>H</t>
    </r>
  </si>
  <si>
    <r>
      <t>J013A</t>
    </r>
    <r>
      <rPr>
        <sz val="10"/>
        <color rgb="FFFF0000"/>
        <rFont val="Times New Roman"/>
        <family val="1"/>
      </rPr>
      <t>F</t>
    </r>
  </si>
  <si>
    <r>
      <t>J013A</t>
    </r>
    <r>
      <rPr>
        <sz val="10"/>
        <color rgb="FFFF0000"/>
        <rFont val="Times New Roman"/>
        <family val="1"/>
      </rPr>
      <t>G</t>
    </r>
  </si>
  <si>
    <r>
      <t>J013A</t>
    </r>
    <r>
      <rPr>
        <sz val="10"/>
        <color rgb="FFFF0000"/>
        <rFont val="Times New Roman"/>
        <family val="1"/>
      </rPr>
      <t>H</t>
    </r>
  </si>
  <si>
    <r>
      <t>J013A</t>
    </r>
    <r>
      <rPr>
        <sz val="10"/>
        <color rgb="FFFF0000"/>
        <rFont val="Times New Roman"/>
        <family val="1"/>
      </rPr>
      <t>I</t>
    </r>
  </si>
  <si>
    <r>
      <t>J013A</t>
    </r>
    <r>
      <rPr>
        <sz val="10"/>
        <color rgb="FFFF0000"/>
        <rFont val="Times New Roman"/>
        <family val="1"/>
      </rPr>
      <t>K</t>
    </r>
  </si>
  <si>
    <r>
      <t>J013A</t>
    </r>
    <r>
      <rPr>
        <sz val="10"/>
        <color rgb="FFFF0000"/>
        <rFont val="Times New Roman"/>
        <family val="1"/>
      </rPr>
      <t>L</t>
    </r>
  </si>
  <si>
    <r>
      <t>J013A</t>
    </r>
    <r>
      <rPr>
        <sz val="10"/>
        <color rgb="FFFF0000"/>
        <rFont val="Times New Roman"/>
        <family val="1"/>
      </rPr>
      <t>M</t>
    </r>
  </si>
  <si>
    <r>
      <t>G015A</t>
    </r>
    <r>
      <rPr>
        <sz val="10"/>
        <color rgb="FFFF0000"/>
        <rFont val="Times New Roman"/>
        <family val="1"/>
      </rPr>
      <t>F</t>
    </r>
  </si>
  <si>
    <r>
      <t>F015A</t>
    </r>
    <r>
      <rPr>
        <sz val="10"/>
        <color rgb="FFFF0000"/>
        <rFont val="Times New Roman"/>
        <family val="1"/>
      </rPr>
      <t>F</t>
    </r>
  </si>
  <si>
    <r>
      <t>E015A</t>
    </r>
    <r>
      <rPr>
        <sz val="10"/>
        <color rgb="FFFF0000"/>
        <rFont val="Times New Roman"/>
        <family val="1"/>
      </rPr>
      <t>F</t>
    </r>
  </si>
  <si>
    <r>
      <t>D015A</t>
    </r>
    <r>
      <rPr>
        <sz val="10"/>
        <color rgb="FFFF0000"/>
        <rFont val="Times New Roman"/>
        <family val="1"/>
      </rPr>
      <t>F</t>
    </r>
  </si>
  <si>
    <r>
      <t>C015A</t>
    </r>
    <r>
      <rPr>
        <sz val="10"/>
        <color rgb="FFFF0000"/>
        <rFont val="Times New Roman"/>
        <family val="1"/>
      </rPr>
      <t>F</t>
    </r>
  </si>
  <si>
    <r>
      <t>B015A</t>
    </r>
    <r>
      <rPr>
        <sz val="10"/>
        <color rgb="FFFF0000"/>
        <rFont val="Times New Roman"/>
        <family val="1"/>
      </rPr>
      <t>F</t>
    </r>
  </si>
  <si>
    <r>
      <t>A015A</t>
    </r>
    <r>
      <rPr>
        <sz val="10"/>
        <color rgb="FFFF0000"/>
        <rFont val="Times New Roman"/>
        <family val="1"/>
      </rPr>
      <t>F</t>
    </r>
  </si>
  <si>
    <r>
      <t>H015A</t>
    </r>
    <r>
      <rPr>
        <sz val="10"/>
        <color rgb="FFFF0000"/>
        <rFont val="Times New Roman"/>
        <family val="1"/>
      </rPr>
      <t>F</t>
    </r>
  </si>
  <si>
    <t>J015AD</t>
  </si>
  <si>
    <t>J015AE</t>
  </si>
  <si>
    <r>
      <t>J015A</t>
    </r>
    <r>
      <rPr>
        <sz val="10"/>
        <color rgb="FFFF0000"/>
        <rFont val="Times New Roman"/>
        <family val="1"/>
      </rPr>
      <t>F</t>
    </r>
  </si>
  <si>
    <t>J019AF</t>
  </si>
  <si>
    <t>J021AA</t>
  </si>
  <si>
    <t>J022</t>
  </si>
  <si>
    <t>J022AE</t>
  </si>
  <si>
    <t>J022AG</t>
  </si>
  <si>
    <t>J023</t>
  </si>
  <si>
    <t>J023AA</t>
  </si>
  <si>
    <r>
      <t>TOTAL FOR LINE ITEM 0017 - 8TH OPTION YEAR - RECURRING WORK (ELINs J001 THROUGH J0</t>
    </r>
    <r>
      <rPr>
        <b/>
        <sz val="12"/>
        <color rgb="FFFF0000"/>
        <rFont val="Times New Roman"/>
        <family val="1"/>
      </rPr>
      <t xml:space="preserve">23 </t>
    </r>
    <r>
      <rPr>
        <b/>
        <strike/>
        <sz val="12"/>
        <color rgb="FFFF0000"/>
        <rFont val="Times New Roman"/>
        <family val="1"/>
      </rPr>
      <t>21</t>
    </r>
    <r>
      <rPr>
        <b/>
        <sz val="12"/>
        <rFont val="Times New Roman"/>
        <family val="1"/>
      </rPr>
      <t>)</t>
    </r>
  </si>
  <si>
    <t>A001CJ</t>
  </si>
  <si>
    <t>B001CM</t>
  </si>
  <si>
    <t>C001CM</t>
  </si>
  <si>
    <t>D001CM</t>
  </si>
  <si>
    <t>E001CM</t>
  </si>
  <si>
    <t>F001CM</t>
  </si>
  <si>
    <t>G001CM</t>
  </si>
  <si>
    <t>H001CM</t>
  </si>
  <si>
    <t>J001CM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</si>
</sst>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quot;$&quot;#,##0.00"/>
    <numFmt numFmtId="165" formatCode="_([$€-2]* #,##0.00_);_([$€-2]* \(#,##0.00\);_([$€-2]* &quot;-&quot;??_)"/>
    <numFmt numFmtId="166" formatCode="&quot;$&quot;#,##0.0"/>
    <numFmt numFmtId="167" formatCode="0.000"/>
    <numFmt numFmtId="168" formatCode="0.0000"/>
  </numFmts>
  <fonts count="33" x14ac:knownFonts="1">
    <font>
      <sz val="10"/>
      <color theme="1"/>
      <name val="Times New Roman"/>
      <family val="2"/>
    </font>
    <font>
      <sz val="10"/>
      <color theme="1"/>
      <name val="Times New Roman"/>
      <family val="2"/>
    </font>
    <font>
      <sz val="10"/>
      <name val="Arial"/>
      <family val="2"/>
    </font>
    <font>
      <b/>
      <sz val="10"/>
      <name val="Times New Roman"/>
      <family val="1"/>
    </font>
    <font>
      <sz val="10"/>
      <name val="Times New Roman"/>
      <family val="1"/>
    </font>
    <font>
      <b/>
      <sz val="8"/>
      <color theme="1"/>
      <name val="Times New Roman"/>
      <family val="1"/>
    </font>
    <font>
      <sz val="8"/>
      <name val="Times New Roman"/>
      <family val="1"/>
    </font>
    <font>
      <b/>
      <u/>
      <sz val="10"/>
      <name val="Times New Roman"/>
      <family val="1"/>
    </font>
    <font>
      <sz val="10"/>
      <color rgb="FF000000"/>
      <name val="Times New Roman"/>
      <family val="1"/>
    </font>
    <font>
      <sz val="10"/>
      <name val="Times New Roman"/>
      <family val="1"/>
      <charset val="1"/>
    </font>
    <font>
      <b/>
      <strike/>
      <sz val="10"/>
      <color rgb="FFC00000"/>
      <name val="Times New Roman"/>
      <family val="1"/>
    </font>
    <font>
      <b/>
      <strike/>
      <u/>
      <sz val="10"/>
      <color rgb="FFC00000"/>
      <name val="Times New Roman"/>
      <family val="1"/>
    </font>
    <font>
      <b/>
      <sz val="10"/>
      <color rgb="FFC00000"/>
      <name val="Times New Roman"/>
      <family val="1"/>
    </font>
    <font>
      <sz val="10"/>
      <color rgb="FFFF0000"/>
      <name val="Times New Roman"/>
      <family val="1"/>
      <charset val="1"/>
    </font>
    <font>
      <b/>
      <sz val="8"/>
      <name val="Times New Roman"/>
      <family val="1"/>
    </font>
    <font>
      <sz val="11"/>
      <color theme="1"/>
      <name val="Aptos Narrow"/>
      <family val="2"/>
      <scheme val="minor"/>
    </font>
    <font>
      <b/>
      <sz val="10"/>
      <color theme="1"/>
      <name val="Times New Roman"/>
      <family val="1"/>
    </font>
    <font>
      <b/>
      <sz val="12"/>
      <name val="Times New Roman"/>
      <family val="1"/>
    </font>
    <font>
      <sz val="10"/>
      <color theme="1"/>
      <name val="Times New Roman"/>
      <family val="1"/>
    </font>
    <font>
      <sz val="10"/>
      <color rgb="FFFF0000"/>
      <name val="Times New Roman"/>
      <family val="1"/>
    </font>
    <font>
      <sz val="11"/>
      <name val="Times New Roman"/>
      <family val="1"/>
    </font>
    <font>
      <sz val="10"/>
      <color rgb="FF002060"/>
      <name val="Times New Roman"/>
      <family val="1"/>
    </font>
    <font>
      <sz val="9"/>
      <name val="Arial"/>
      <family val="2"/>
    </font>
    <font>
      <b/>
      <sz val="10"/>
      <color rgb="FFFF0000"/>
      <name val="Times New Roman"/>
      <family val="1"/>
    </font>
    <font>
      <b/>
      <strike/>
      <sz val="10"/>
      <color rgb="FFFF0000"/>
      <name val="Times New Roman"/>
      <family val="1"/>
    </font>
    <font>
      <strike/>
      <sz val="10"/>
      <color rgb="FFFF0000"/>
      <name val="Times New Roman"/>
      <family val="1"/>
    </font>
    <font>
      <b/>
      <strike/>
      <sz val="10"/>
      <name val="Times New Roman"/>
      <family val="1"/>
    </font>
    <font>
      <sz val="10"/>
      <color theme="1"/>
      <name val="Arial"/>
      <family val="2"/>
    </font>
    <font>
      <sz val="11"/>
      <color theme="1"/>
      <name val="Times New Roman"/>
      <family val="1"/>
    </font>
    <font>
      <b/>
      <u/>
      <sz val="10"/>
      <color rgb="FFFF0000"/>
      <name val="Times New Roman"/>
      <family val="1"/>
    </font>
    <font>
      <b/>
      <sz val="12"/>
      <color rgb="FFFF0000"/>
      <name val="Times New Roman"/>
      <family val="1"/>
    </font>
    <font>
      <b/>
      <strike/>
      <sz val="12"/>
      <color rgb="FFFF0000"/>
      <name val="Times New Roman"/>
      <family val="1"/>
    </font>
    <font>
      <strike/>
      <sz val="10"/>
      <name val="Times New Roman"/>
      <family val="1"/>
    </font>
  </fonts>
  <fills count="9">
    <fill>
      <patternFill patternType="none"/>
    </fill>
    <fill>
      <patternFill patternType="gray125"/>
    </fill>
    <fill>
      <patternFill patternType="solid">
        <fgColor theme="0" tint="-4.9989318521683403E-2"/>
        <bgColor indexed="64"/>
      </patternFill>
    </fill>
    <fill>
      <patternFill patternType="solid">
        <fgColor theme="1"/>
        <bgColor indexed="64"/>
      </patternFill>
    </fill>
    <fill>
      <patternFill patternType="solid">
        <fgColor rgb="FFFFFFCC"/>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79998168889431442"/>
        <bgColor indexed="64"/>
      </patternFill>
    </fill>
    <fill>
      <patternFill patternType="solid">
        <fgColor rgb="FFFFFF99"/>
        <bgColor indexed="64"/>
      </patternFill>
    </fill>
  </fills>
  <borders count="16">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s>
  <cellStyleXfs count="17">
    <xf numFmtId="0" fontId="0" fillId="0" borderId="0"/>
    <xf numFmtId="0" fontId="2" fillId="0" borderId="0"/>
    <xf numFmtId="0" fontId="2" fillId="0" borderId="0"/>
    <xf numFmtId="0" fontId="1" fillId="0" borderId="0"/>
    <xf numFmtId="0" fontId="2" fillId="0" borderId="0"/>
    <xf numFmtId="0" fontId="1" fillId="0" borderId="0"/>
    <xf numFmtId="165" fontId="15" fillId="0" borderId="0"/>
    <xf numFmtId="165" fontId="15" fillId="0" borderId="0"/>
    <xf numFmtId="0" fontId="4" fillId="0" borderId="0">
      <alignment vertical="center" wrapText="1"/>
    </xf>
    <xf numFmtId="0" fontId="4" fillId="0" borderId="0">
      <alignment vertical="center" wrapText="1"/>
    </xf>
    <xf numFmtId="0" fontId="2" fillId="0" borderId="0"/>
    <xf numFmtId="0" fontId="2" fillId="0" borderId="0"/>
    <xf numFmtId="0" fontId="8" fillId="0" borderId="0"/>
    <xf numFmtId="0" fontId="1" fillId="0" borderId="0"/>
    <xf numFmtId="0" fontId="1" fillId="0" borderId="0"/>
    <xf numFmtId="0" fontId="1" fillId="0" borderId="0"/>
    <xf numFmtId="0" fontId="15" fillId="0" borderId="0"/>
  </cellStyleXfs>
  <cellXfs count="440">
    <xf numFmtId="0" fontId="0" fillId="0" borderId="0" xfId="0"/>
    <xf numFmtId="0" fontId="4" fillId="0" borderId="0" xfId="1" applyFont="1" applyAlignment="1">
      <alignment vertical="center"/>
    </xf>
    <xf numFmtId="0" fontId="4" fillId="0" borderId="0" xfId="2" applyFont="1" applyAlignment="1">
      <alignment vertical="center"/>
    </xf>
    <xf numFmtId="0" fontId="3" fillId="0" borderId="9" xfId="1" applyFont="1" applyBorder="1" applyAlignment="1">
      <alignment horizontal="center" vertical="center" wrapText="1"/>
    </xf>
    <xf numFmtId="0" fontId="3" fillId="0" borderId="9" xfId="3" applyFont="1" applyBorder="1" applyAlignment="1">
      <alignment horizontal="center" vertical="center" wrapText="1"/>
    </xf>
    <xf numFmtId="0" fontId="3" fillId="0" borderId="9" xfId="1" applyFont="1" applyBorder="1" applyAlignment="1">
      <alignment vertical="center" wrapText="1"/>
    </xf>
    <xf numFmtId="0" fontId="5" fillId="3" borderId="10" xfId="1" applyFont="1" applyFill="1" applyBorder="1" applyAlignment="1">
      <alignment vertical="center"/>
    </xf>
    <xf numFmtId="0" fontId="5" fillId="3" borderId="3" xfId="1" applyFont="1" applyFill="1" applyBorder="1" applyAlignment="1">
      <alignment horizontal="center" vertical="center"/>
    </xf>
    <xf numFmtId="3" fontId="5" fillId="3" borderId="3" xfId="1" applyNumberFormat="1" applyFont="1" applyFill="1" applyBorder="1" applyAlignment="1">
      <alignment horizontal="left" vertical="center"/>
    </xf>
    <xf numFmtId="164" fontId="5" fillId="3" borderId="3" xfId="1" applyNumberFormat="1" applyFont="1" applyFill="1" applyBorder="1" applyAlignment="1">
      <alignment horizontal="center" vertical="center"/>
    </xf>
    <xf numFmtId="0" fontId="6" fillId="3" borderId="4" xfId="1" applyFont="1" applyFill="1" applyBorder="1" applyAlignment="1">
      <alignment vertical="center"/>
    </xf>
    <xf numFmtId="0" fontId="6" fillId="0" borderId="0" xfId="1" applyFont="1" applyAlignment="1">
      <alignment vertical="center"/>
    </xf>
    <xf numFmtId="0" fontId="3" fillId="4" borderId="9" xfId="1" applyFont="1" applyFill="1" applyBorder="1" applyAlignment="1">
      <alignment vertical="center"/>
    </xf>
    <xf numFmtId="0" fontId="3" fillId="4" borderId="9" xfId="1" applyFont="1" applyFill="1" applyBorder="1" applyAlignment="1">
      <alignment horizontal="center" vertical="center"/>
    </xf>
    <xf numFmtId="3" fontId="7" fillId="4" borderId="1" xfId="1" applyNumberFormat="1" applyFont="1" applyFill="1" applyBorder="1" applyAlignment="1">
      <alignment horizontal="left" vertical="center"/>
    </xf>
    <xf numFmtId="0" fontId="3" fillId="4" borderId="1" xfId="1" applyFont="1" applyFill="1" applyBorder="1" applyAlignment="1">
      <alignment vertical="center"/>
    </xf>
    <xf numFmtId="0" fontId="3" fillId="5" borderId="7" xfId="1" applyFont="1" applyFill="1" applyBorder="1" applyAlignment="1">
      <alignment vertical="center"/>
    </xf>
    <xf numFmtId="0" fontId="3" fillId="5" borderId="9" xfId="3" applyFont="1" applyFill="1" applyBorder="1" applyAlignment="1">
      <alignment horizontal="center" vertical="center"/>
    </xf>
    <xf numFmtId="0" fontId="3" fillId="5" borderId="7" xfId="1" applyFont="1" applyFill="1" applyBorder="1" applyAlignment="1">
      <alignment horizontal="center" vertical="center"/>
    </xf>
    <xf numFmtId="0" fontId="3" fillId="5" borderId="9" xfId="3" applyFont="1" applyFill="1" applyBorder="1"/>
    <xf numFmtId="0" fontId="3" fillId="5" borderId="11" xfId="1" applyFont="1" applyFill="1" applyBorder="1" applyAlignment="1">
      <alignment vertical="center"/>
    </xf>
    <xf numFmtId="3" fontId="7" fillId="5" borderId="11" xfId="1" applyNumberFormat="1" applyFont="1" applyFill="1" applyBorder="1" applyAlignment="1">
      <alignment horizontal="left" vertical="center"/>
    </xf>
    <xf numFmtId="0" fontId="4" fillId="0" borderId="9" xfId="1" applyFont="1" applyBorder="1" applyAlignment="1">
      <alignment vertical="center"/>
    </xf>
    <xf numFmtId="0" fontId="4" fillId="0" borderId="9" xfId="1" applyFont="1" applyBorder="1" applyAlignment="1">
      <alignment horizontal="center" vertical="center"/>
    </xf>
    <xf numFmtId="44" fontId="4" fillId="0" borderId="9" xfId="1" applyNumberFormat="1" applyFont="1" applyBorder="1" applyAlignment="1">
      <alignment horizontal="right" vertical="center"/>
    </xf>
    <xf numFmtId="0" fontId="4" fillId="2" borderId="9" xfId="1" applyFont="1" applyFill="1" applyBorder="1" applyAlignment="1">
      <alignment vertical="center"/>
    </xf>
    <xf numFmtId="0" fontId="4" fillId="2" borderId="9" xfId="1" applyFont="1" applyFill="1" applyBorder="1" applyAlignment="1">
      <alignment horizontal="center" vertical="center"/>
    </xf>
    <xf numFmtId="0" fontId="3" fillId="2" borderId="9" xfId="1" applyFont="1" applyFill="1" applyBorder="1" applyAlignment="1">
      <alignment vertical="center" wrapText="1"/>
    </xf>
    <xf numFmtId="0" fontId="3" fillId="2" borderId="12" xfId="1" applyFont="1" applyFill="1" applyBorder="1" applyAlignment="1">
      <alignment vertical="center" wrapText="1"/>
    </xf>
    <xf numFmtId="0" fontId="4" fillId="6" borderId="9" xfId="1" applyFont="1" applyFill="1" applyBorder="1" applyAlignment="1">
      <alignment vertical="center" wrapText="1"/>
    </xf>
    <xf numFmtId="0" fontId="4" fillId="0" borderId="9" xfId="1" applyFont="1" applyBorder="1" applyAlignment="1">
      <alignment vertical="center" wrapText="1"/>
    </xf>
    <xf numFmtId="44" fontId="4" fillId="0" borderId="12" xfId="1" applyNumberFormat="1" applyFont="1" applyBorder="1" applyAlignment="1">
      <alignment vertical="center" wrapText="1"/>
    </xf>
    <xf numFmtId="0" fontId="8" fillId="0" borderId="9" xfId="1" applyFont="1" applyBorder="1" applyAlignment="1">
      <alignment vertical="center" wrapText="1"/>
    </xf>
    <xf numFmtId="0" fontId="4" fillId="0" borderId="12" xfId="1" applyFont="1" applyBorder="1" applyAlignment="1">
      <alignment horizontal="center" vertical="center"/>
    </xf>
    <xf numFmtId="0" fontId="8" fillId="0" borderId="0" xfId="3" applyFont="1" applyAlignment="1">
      <alignment horizontal="center" vertical="center"/>
    </xf>
    <xf numFmtId="0" fontId="4" fillId="0" borderId="9" xfId="4" applyFont="1" applyBorder="1" applyAlignment="1">
      <alignment vertical="center" wrapText="1"/>
    </xf>
    <xf numFmtId="0" fontId="4" fillId="0" borderId="12" xfId="1" applyFont="1" applyBorder="1" applyAlignment="1">
      <alignment vertical="center" wrapText="1"/>
    </xf>
    <xf numFmtId="0" fontId="4" fillId="2" borderId="8" xfId="1" applyFont="1" applyFill="1" applyBorder="1" applyAlignment="1">
      <alignment horizontal="center" vertical="center"/>
    </xf>
    <xf numFmtId="0" fontId="3" fillId="2" borderId="8" xfId="1" applyFont="1" applyFill="1" applyBorder="1" applyAlignment="1">
      <alignment vertical="center" wrapText="1"/>
    </xf>
    <xf numFmtId="0" fontId="4" fillId="0" borderId="12" xfId="4" applyFont="1" applyBorder="1" applyAlignment="1">
      <alignment vertical="center" wrapText="1"/>
    </xf>
    <xf numFmtId="0" fontId="3" fillId="5" borderId="9" xfId="1" applyFont="1" applyFill="1" applyBorder="1" applyAlignment="1">
      <alignment vertical="center"/>
    </xf>
    <xf numFmtId="0" fontId="3" fillId="5" borderId="9" xfId="1" applyFont="1" applyFill="1" applyBorder="1" applyAlignment="1">
      <alignment horizontal="center" vertical="center"/>
    </xf>
    <xf numFmtId="3" fontId="3" fillId="5" borderId="13" xfId="1" applyNumberFormat="1" applyFont="1" applyFill="1" applyBorder="1" applyAlignment="1">
      <alignment horizontal="left" vertical="center"/>
    </xf>
    <xf numFmtId="0" fontId="3" fillId="5" borderId="13" xfId="1" applyFont="1" applyFill="1" applyBorder="1" applyAlignment="1">
      <alignment horizontal="center" vertical="center"/>
    </xf>
    <xf numFmtId="164" fontId="3" fillId="5" borderId="13" xfId="1" applyNumberFormat="1" applyFont="1" applyFill="1" applyBorder="1" applyAlignment="1">
      <alignment horizontal="center" vertical="center"/>
    </xf>
    <xf numFmtId="0" fontId="4" fillId="5" borderId="12" xfId="1" applyFont="1" applyFill="1" applyBorder="1" applyAlignment="1">
      <alignment vertical="center"/>
    </xf>
    <xf numFmtId="0" fontId="8" fillId="0" borderId="12" xfId="1" applyFont="1" applyBorder="1" applyAlignment="1">
      <alignment vertical="center" wrapText="1"/>
    </xf>
    <xf numFmtId="0" fontId="4" fillId="6" borderId="12" xfId="1" applyFont="1" applyFill="1" applyBorder="1" applyAlignment="1">
      <alignment vertical="center" wrapText="1"/>
    </xf>
    <xf numFmtId="0" fontId="4" fillId="0" borderId="9" xfId="1" applyFont="1" applyBorder="1"/>
    <xf numFmtId="0" fontId="4" fillId="2" borderId="12" xfId="1" applyFont="1" applyFill="1" applyBorder="1" applyAlignment="1">
      <alignment horizontal="center" vertical="center"/>
    </xf>
    <xf numFmtId="0" fontId="4" fillId="5" borderId="9" xfId="1" applyFont="1" applyFill="1" applyBorder="1" applyAlignment="1">
      <alignment horizontal="center" vertical="center"/>
    </xf>
    <xf numFmtId="44" fontId="4" fillId="5" borderId="9" xfId="1" applyNumberFormat="1" applyFont="1" applyFill="1" applyBorder="1" applyAlignment="1">
      <alignment horizontal="right" vertical="center"/>
    </xf>
    <xf numFmtId="0" fontId="4" fillId="0" borderId="12" xfId="1" applyFont="1" applyBorder="1" applyAlignment="1">
      <alignment horizontal="center" vertical="center" wrapText="1"/>
    </xf>
    <xf numFmtId="44" fontId="4" fillId="0" borderId="12" xfId="1" applyNumberFormat="1" applyFont="1" applyBorder="1" applyAlignment="1">
      <alignment horizontal="center" vertical="center" wrapText="1"/>
    </xf>
    <xf numFmtId="0" fontId="3" fillId="5" borderId="9" xfId="1" applyFont="1" applyFill="1" applyBorder="1" applyAlignment="1">
      <alignment vertical="center" wrapText="1"/>
    </xf>
    <xf numFmtId="0" fontId="3" fillId="5" borderId="12" xfId="1" applyFont="1" applyFill="1" applyBorder="1" applyAlignment="1">
      <alignment vertical="center" wrapText="1"/>
    </xf>
    <xf numFmtId="0" fontId="9" fillId="0" borderId="9" xfId="1" applyFont="1" applyBorder="1"/>
    <xf numFmtId="0" fontId="4" fillId="0" borderId="13" xfId="1" applyFont="1" applyBorder="1" applyAlignment="1">
      <alignment vertical="center" wrapText="1"/>
    </xf>
    <xf numFmtId="0" fontId="4" fillId="7" borderId="9" xfId="1" applyFont="1" applyFill="1" applyBorder="1" applyAlignment="1">
      <alignment vertical="center"/>
    </xf>
    <xf numFmtId="0" fontId="4" fillId="7" borderId="9" xfId="1" applyFont="1" applyFill="1" applyBorder="1" applyAlignment="1">
      <alignment horizontal="center" vertical="center"/>
    </xf>
    <xf numFmtId="0" fontId="3" fillId="7" borderId="9" xfId="1" applyFont="1" applyFill="1" applyBorder="1" applyAlignment="1">
      <alignment horizontal="right" vertical="center"/>
    </xf>
    <xf numFmtId="44" fontId="4" fillId="7" borderId="9" xfId="1" applyNumberFormat="1" applyFont="1" applyFill="1" applyBorder="1" applyAlignment="1">
      <alignment horizontal="right" vertical="center"/>
    </xf>
    <xf numFmtId="44" fontId="3" fillId="7" borderId="9" xfId="1" applyNumberFormat="1" applyFont="1" applyFill="1" applyBorder="1" applyAlignment="1">
      <alignment horizontal="right" vertical="center"/>
    </xf>
    <xf numFmtId="0" fontId="4" fillId="3" borderId="10" xfId="1" applyFont="1" applyFill="1" applyBorder="1" applyAlignment="1">
      <alignment vertical="center"/>
    </xf>
    <xf numFmtId="0" fontId="4" fillId="3" borderId="13" xfId="1" applyFont="1" applyFill="1" applyBorder="1" applyAlignment="1">
      <alignment horizontal="center" vertical="center"/>
    </xf>
    <xf numFmtId="0" fontId="4" fillId="3" borderId="13" xfId="1" applyFont="1" applyFill="1" applyBorder="1" applyAlignment="1">
      <alignment vertical="center" wrapText="1"/>
    </xf>
    <xf numFmtId="44" fontId="4" fillId="3" borderId="13" xfId="1" applyNumberFormat="1" applyFont="1" applyFill="1" applyBorder="1" applyAlignment="1">
      <alignment horizontal="right" vertical="center"/>
    </xf>
    <xf numFmtId="0" fontId="10" fillId="4" borderId="10" xfId="1" applyFont="1" applyFill="1" applyBorder="1" applyAlignment="1">
      <alignment vertical="center"/>
    </xf>
    <xf numFmtId="0" fontId="10" fillId="4" borderId="13" xfId="1" applyFont="1" applyFill="1" applyBorder="1" applyAlignment="1">
      <alignment horizontal="center" vertical="center"/>
    </xf>
    <xf numFmtId="3" fontId="11" fillId="4" borderId="13" xfId="1" applyNumberFormat="1" applyFont="1" applyFill="1" applyBorder="1" applyAlignment="1">
      <alignment horizontal="left" vertical="center"/>
    </xf>
    <xf numFmtId="0" fontId="12" fillId="0" borderId="0" xfId="1" applyFont="1" applyAlignment="1">
      <alignment vertical="center"/>
    </xf>
    <xf numFmtId="0" fontId="10" fillId="5" borderId="9" xfId="1" applyFont="1" applyFill="1" applyBorder="1" applyAlignment="1">
      <alignment vertical="center"/>
    </xf>
    <xf numFmtId="0" fontId="10" fillId="5" borderId="13" xfId="1" applyFont="1" applyFill="1" applyBorder="1" applyAlignment="1">
      <alignment horizontal="center" vertical="center"/>
    </xf>
    <xf numFmtId="3" fontId="10" fillId="5" borderId="13" xfId="1" applyNumberFormat="1" applyFont="1" applyFill="1" applyBorder="1" applyAlignment="1">
      <alignment horizontal="left" vertical="center"/>
    </xf>
    <xf numFmtId="0" fontId="10" fillId="5" borderId="0" xfId="1" applyFont="1" applyFill="1" applyAlignment="1">
      <alignment horizontal="center" vertical="center"/>
    </xf>
    <xf numFmtId="0" fontId="10" fillId="5" borderId="0" xfId="1" applyFont="1" applyFill="1" applyAlignment="1">
      <alignment horizontal="right" vertical="center"/>
    </xf>
    <xf numFmtId="0" fontId="10" fillId="0" borderId="0" xfId="1" applyFont="1" applyAlignment="1">
      <alignment vertical="center"/>
    </xf>
    <xf numFmtId="0" fontId="10" fillId="0" borderId="0" xfId="1" applyFont="1" applyAlignment="1">
      <alignment horizontal="center" vertical="center"/>
    </xf>
    <xf numFmtId="0" fontId="10" fillId="0" borderId="0" xfId="1" applyFont="1" applyAlignment="1">
      <alignment vertical="center" wrapText="1"/>
    </xf>
    <xf numFmtId="0" fontId="10" fillId="0" borderId="9" xfId="1" applyFont="1" applyBorder="1" applyAlignment="1">
      <alignment horizontal="center" vertical="center"/>
    </xf>
    <xf numFmtId="44" fontId="10" fillId="0" borderId="9" xfId="1" applyNumberFormat="1" applyFont="1" applyBorder="1" applyAlignment="1">
      <alignment horizontal="right" vertical="center"/>
    </xf>
    <xf numFmtId="164" fontId="10" fillId="5" borderId="13" xfId="1" applyNumberFormat="1" applyFont="1" applyFill="1" applyBorder="1" applyAlignment="1">
      <alignment horizontal="center" vertical="center"/>
    </xf>
    <xf numFmtId="0" fontId="10" fillId="5" borderId="12" xfId="1" applyFont="1" applyFill="1" applyBorder="1" applyAlignment="1">
      <alignment vertical="center"/>
    </xf>
    <xf numFmtId="0" fontId="10" fillId="7" borderId="9" xfId="1" applyFont="1" applyFill="1" applyBorder="1" applyAlignment="1">
      <alignment vertical="center"/>
    </xf>
    <xf numFmtId="0" fontId="10" fillId="7" borderId="9" xfId="1" applyFont="1" applyFill="1" applyBorder="1" applyAlignment="1">
      <alignment horizontal="center" vertical="center"/>
    </xf>
    <xf numFmtId="0" fontId="10" fillId="7" borderId="9" xfId="1" applyFont="1" applyFill="1" applyBorder="1" applyAlignment="1">
      <alignment horizontal="right" vertical="center"/>
    </xf>
    <xf numFmtId="44" fontId="10" fillId="7" borderId="9" xfId="1" applyNumberFormat="1" applyFont="1" applyFill="1" applyBorder="1" applyAlignment="1">
      <alignment horizontal="right" vertical="center"/>
    </xf>
    <xf numFmtId="0" fontId="4" fillId="3" borderId="0" xfId="1" applyFont="1" applyFill="1" applyAlignment="1">
      <alignment vertical="center"/>
    </xf>
    <xf numFmtId="0" fontId="4" fillId="3" borderId="0" xfId="1" applyFont="1" applyFill="1" applyAlignment="1">
      <alignment horizontal="center" vertical="center"/>
    </xf>
    <xf numFmtId="0" fontId="4" fillId="3" borderId="0" xfId="1" applyFont="1" applyFill="1" applyAlignment="1">
      <alignment vertical="center" wrapText="1"/>
    </xf>
    <xf numFmtId="0" fontId="3" fillId="4" borderId="13" xfId="1" applyFont="1" applyFill="1" applyBorder="1" applyAlignment="1">
      <alignment horizontal="center" vertical="center"/>
    </xf>
    <xf numFmtId="3" fontId="7" fillId="4" borderId="13" xfId="1" applyNumberFormat="1" applyFont="1" applyFill="1" applyBorder="1" applyAlignment="1">
      <alignment horizontal="left" vertical="center"/>
    </xf>
    <xf numFmtId="0" fontId="3" fillId="5" borderId="10" xfId="1" applyFont="1" applyFill="1" applyBorder="1" applyAlignment="1">
      <alignment horizontal="center" vertical="center"/>
    </xf>
    <xf numFmtId="0" fontId="3" fillId="5" borderId="10" xfId="4" applyFont="1" applyFill="1" applyBorder="1" applyAlignment="1">
      <alignment vertical="center" wrapText="1"/>
    </xf>
    <xf numFmtId="0" fontId="4" fillId="3" borderId="0" xfId="1" applyFont="1" applyFill="1" applyAlignment="1">
      <alignment horizontal="right" vertical="center"/>
    </xf>
    <xf numFmtId="0" fontId="4" fillId="5" borderId="0" xfId="1" applyFont="1" applyFill="1" applyAlignment="1">
      <alignment vertical="center"/>
    </xf>
    <xf numFmtId="0" fontId="4" fillId="3" borderId="9" xfId="1" applyFont="1" applyFill="1" applyBorder="1" applyAlignment="1">
      <alignment vertical="center"/>
    </xf>
    <xf numFmtId="0" fontId="4" fillId="3" borderId="9" xfId="1" applyFont="1" applyFill="1" applyBorder="1" applyAlignment="1">
      <alignment horizontal="center" vertical="center"/>
    </xf>
    <xf numFmtId="0" fontId="13" fillId="3" borderId="9" xfId="1" applyFont="1" applyFill="1" applyBorder="1"/>
    <xf numFmtId="44" fontId="4" fillId="3" borderId="9" xfId="1" applyNumberFormat="1" applyFont="1" applyFill="1" applyBorder="1" applyAlignment="1">
      <alignment horizontal="right" vertical="center"/>
    </xf>
    <xf numFmtId="0" fontId="7" fillId="4" borderId="13" xfId="1" applyFont="1" applyFill="1" applyBorder="1" applyAlignment="1">
      <alignment horizontal="center" vertical="center"/>
    </xf>
    <xf numFmtId="164" fontId="7" fillId="4" borderId="13" xfId="1" applyNumberFormat="1" applyFont="1" applyFill="1" applyBorder="1" applyAlignment="1">
      <alignment horizontal="center" vertical="center"/>
    </xf>
    <xf numFmtId="0" fontId="4" fillId="4" borderId="12" xfId="1" applyFont="1" applyFill="1" applyBorder="1" applyAlignment="1">
      <alignment vertical="center"/>
    </xf>
    <xf numFmtId="0" fontId="3" fillId="5" borderId="10" xfId="1" applyFont="1" applyFill="1" applyBorder="1" applyAlignment="1">
      <alignment vertical="center"/>
    </xf>
    <xf numFmtId="44" fontId="4" fillId="2" borderId="9" xfId="1" applyNumberFormat="1" applyFont="1" applyFill="1" applyBorder="1" applyAlignment="1">
      <alignment horizontal="right" vertical="center"/>
    </xf>
    <xf numFmtId="0" fontId="4" fillId="0" borderId="0" xfId="1" applyFont="1" applyAlignment="1">
      <alignment horizontal="center" vertical="center"/>
    </xf>
    <xf numFmtId="0" fontId="4" fillId="0" borderId="9" xfId="4" applyFont="1" applyBorder="1" applyAlignment="1">
      <alignment vertical="top" wrapText="1"/>
    </xf>
    <xf numFmtId="0" fontId="5" fillId="3" borderId="13" xfId="1" applyFont="1" applyFill="1" applyBorder="1" applyAlignment="1">
      <alignment horizontal="center" vertical="center"/>
    </xf>
    <xf numFmtId="3" fontId="5" fillId="3" borderId="13" xfId="1" applyNumberFormat="1" applyFont="1" applyFill="1" applyBorder="1" applyAlignment="1">
      <alignment horizontal="left" vertical="center"/>
    </xf>
    <xf numFmtId="164" fontId="5" fillId="3" borderId="13" xfId="1" applyNumberFormat="1" applyFont="1" applyFill="1" applyBorder="1" applyAlignment="1">
      <alignment horizontal="center" vertical="center"/>
    </xf>
    <xf numFmtId="0" fontId="6" fillId="3" borderId="12" xfId="1" applyFont="1" applyFill="1" applyBorder="1" applyAlignment="1">
      <alignment vertical="center"/>
    </xf>
    <xf numFmtId="0" fontId="3" fillId="4" borderId="10" xfId="1" applyFont="1" applyFill="1" applyBorder="1" applyAlignment="1">
      <alignment vertical="center"/>
    </xf>
    <xf numFmtId="0" fontId="4" fillId="0" borderId="0" xfId="4" applyFont="1" applyAlignment="1">
      <alignment vertical="center"/>
    </xf>
    <xf numFmtId="0" fontId="4" fillId="0" borderId="10" xfId="1" applyFont="1" applyBorder="1" applyAlignment="1">
      <alignment horizontal="center" vertical="center"/>
    </xf>
    <xf numFmtId="0" fontId="4" fillId="0" borderId="10" xfId="4" applyFont="1" applyBorder="1" applyAlignment="1">
      <alignment vertical="top" wrapText="1"/>
    </xf>
    <xf numFmtId="164" fontId="4" fillId="0" borderId="9" xfId="1" applyNumberFormat="1" applyFont="1" applyBorder="1" applyAlignment="1">
      <alignment horizontal="center" vertical="center"/>
    </xf>
    <xf numFmtId="0" fontId="4" fillId="3" borderId="9" xfId="1" applyFont="1" applyFill="1" applyBorder="1"/>
    <xf numFmtId="0" fontId="4" fillId="0" borderId="12" xfId="4" applyFont="1" applyBorder="1" applyAlignment="1">
      <alignment horizontal="center" vertical="center"/>
    </xf>
    <xf numFmtId="0" fontId="4" fillId="0" borderId="9" xfId="4" applyFont="1" applyBorder="1" applyAlignment="1">
      <alignment horizontal="center" vertical="top"/>
    </xf>
    <xf numFmtId="44" fontId="4" fillId="0" borderId="13" xfId="1" applyNumberFormat="1" applyFont="1" applyBorder="1" applyAlignment="1">
      <alignment horizontal="right" vertical="center"/>
    </xf>
    <xf numFmtId="0" fontId="4" fillId="0" borderId="9" xfId="4" applyFont="1" applyBorder="1" applyAlignment="1">
      <alignment wrapText="1"/>
    </xf>
    <xf numFmtId="0" fontId="14" fillId="3" borderId="10" xfId="1" applyFont="1" applyFill="1" applyBorder="1" applyAlignment="1">
      <alignment vertical="center"/>
    </xf>
    <xf numFmtId="0" fontId="14" fillId="3" borderId="13" xfId="1" applyFont="1" applyFill="1" applyBorder="1" applyAlignment="1">
      <alignment horizontal="center" vertical="center"/>
    </xf>
    <xf numFmtId="3" fontId="14" fillId="3" borderId="13" xfId="1" applyNumberFormat="1" applyFont="1" applyFill="1" applyBorder="1" applyAlignment="1">
      <alignment horizontal="left" vertical="center"/>
    </xf>
    <xf numFmtId="164" fontId="14" fillId="3" borderId="13" xfId="1" applyNumberFormat="1" applyFont="1" applyFill="1" applyBorder="1" applyAlignment="1">
      <alignment horizontal="center" vertical="center"/>
    </xf>
    <xf numFmtId="0" fontId="3" fillId="2" borderId="9" xfId="1" applyFont="1" applyFill="1" applyBorder="1" applyAlignment="1">
      <alignment horizontal="center" vertical="center" wrapText="1"/>
    </xf>
    <xf numFmtId="165" fontId="4" fillId="0" borderId="0" xfId="6" applyFont="1" applyAlignment="1">
      <alignment horizontal="left"/>
    </xf>
    <xf numFmtId="165" fontId="4" fillId="0" borderId="9" xfId="7" applyFont="1" applyBorder="1" applyAlignment="1">
      <alignment horizontal="left" vertical="top"/>
    </xf>
    <xf numFmtId="44" fontId="4" fillId="0" borderId="9" xfId="1" applyNumberFormat="1" applyFont="1" applyBorder="1" applyAlignment="1">
      <alignment horizontal="center" vertical="center"/>
    </xf>
    <xf numFmtId="44" fontId="4" fillId="0" borderId="9" xfId="1" applyNumberFormat="1" applyFont="1" applyBorder="1" applyAlignment="1">
      <alignment vertical="center"/>
    </xf>
    <xf numFmtId="0" fontId="16" fillId="3" borderId="10" xfId="1" applyFont="1" applyFill="1" applyBorder="1" applyAlignment="1">
      <alignment vertical="center"/>
    </xf>
    <xf numFmtId="0" fontId="16" fillId="3" borderId="13" xfId="1" applyFont="1" applyFill="1" applyBorder="1" applyAlignment="1">
      <alignment horizontal="center" vertical="center"/>
    </xf>
    <xf numFmtId="3" fontId="16" fillId="3" borderId="13" xfId="1" applyNumberFormat="1" applyFont="1" applyFill="1" applyBorder="1" applyAlignment="1">
      <alignment horizontal="left" vertical="center"/>
    </xf>
    <xf numFmtId="164" fontId="16" fillId="3" borderId="13" xfId="1" applyNumberFormat="1" applyFont="1" applyFill="1" applyBorder="1" applyAlignment="1">
      <alignment horizontal="center" vertical="center"/>
    </xf>
    <xf numFmtId="0" fontId="4" fillId="3" borderId="12" xfId="1" applyFont="1" applyFill="1" applyBorder="1" applyAlignment="1">
      <alignment vertical="center"/>
    </xf>
    <xf numFmtId="0" fontId="17" fillId="8" borderId="10" xfId="1" applyFont="1" applyFill="1" applyBorder="1" applyAlignment="1">
      <alignment horizontal="left" vertical="center"/>
    </xf>
    <xf numFmtId="0" fontId="17" fillId="8" borderId="13" xfId="1" applyFont="1" applyFill="1" applyBorder="1" applyAlignment="1">
      <alignment horizontal="center" vertical="center"/>
    </xf>
    <xf numFmtId="0" fontId="17" fillId="8" borderId="13" xfId="1" applyFont="1" applyFill="1" applyBorder="1" applyAlignment="1">
      <alignment horizontal="left" vertical="center"/>
    </xf>
    <xf numFmtId="44" fontId="17" fillId="8" borderId="12" xfId="1" applyNumberFormat="1" applyFont="1" applyFill="1" applyBorder="1" applyAlignment="1">
      <alignment horizontal="center" vertical="center"/>
    </xf>
    <xf numFmtId="0" fontId="17" fillId="0" borderId="0" xfId="1" applyFont="1" applyAlignment="1">
      <alignment horizontal="center" vertical="center"/>
    </xf>
    <xf numFmtId="0" fontId="4" fillId="0" borderId="0" xfId="1" applyFont="1" applyAlignment="1">
      <alignment vertical="center" wrapText="1"/>
    </xf>
    <xf numFmtId="0" fontId="4" fillId="0" borderId="0" xfId="1" applyFont="1" applyAlignment="1">
      <alignment horizontal="right" vertical="center"/>
    </xf>
    <xf numFmtId="0" fontId="4" fillId="0" borderId="0" xfId="1" applyFont="1" applyAlignment="1">
      <alignment wrapText="1"/>
    </xf>
    <xf numFmtId="0" fontId="3" fillId="0" borderId="11" xfId="9" applyFont="1" applyBorder="1" applyAlignment="1">
      <alignment horizontal="left" vertical="center" wrapText="1"/>
    </xf>
    <xf numFmtId="0" fontId="3" fillId="0" borderId="9" xfId="10" applyFont="1" applyBorder="1" applyAlignment="1">
      <alignment horizontal="left" vertical="center"/>
    </xf>
    <xf numFmtId="0" fontId="3" fillId="0" borderId="9" xfId="10" applyFont="1" applyBorder="1" applyAlignment="1">
      <alignment horizontal="center" vertical="center"/>
    </xf>
    <xf numFmtId="2" fontId="3" fillId="0" borderId="9" xfId="10" applyNumberFormat="1" applyFont="1" applyBorder="1" applyAlignment="1">
      <alignment horizontal="center" vertical="center" wrapText="1"/>
    </xf>
    <xf numFmtId="0" fontId="3" fillId="0" borderId="9" xfId="10" applyFont="1" applyBorder="1" applyAlignment="1">
      <alignment horizontal="center" vertical="center" wrapText="1"/>
    </xf>
    <xf numFmtId="166" fontId="3" fillId="0" borderId="9" xfId="10" applyNumberFormat="1" applyFont="1" applyBorder="1" applyAlignment="1">
      <alignment horizontal="center" vertical="center" wrapText="1"/>
    </xf>
    <xf numFmtId="164" fontId="3" fillId="0" borderId="9" xfId="10" applyNumberFormat="1" applyFont="1" applyBorder="1" applyAlignment="1">
      <alignment horizontal="center" vertical="top" wrapText="1"/>
    </xf>
    <xf numFmtId="2" fontId="3" fillId="0" borderId="13" xfId="10" applyNumberFormat="1" applyFont="1" applyBorder="1" applyAlignment="1">
      <alignment horizontal="center" vertical="center" wrapText="1"/>
    </xf>
    <xf numFmtId="0" fontId="3" fillId="0" borderId="13" xfId="10" applyFont="1" applyBorder="1" applyAlignment="1">
      <alignment horizontal="center" vertical="center" wrapText="1"/>
    </xf>
    <xf numFmtId="166" fontId="3" fillId="0" borderId="13" xfId="10" applyNumberFormat="1" applyFont="1" applyBorder="1" applyAlignment="1">
      <alignment horizontal="center" vertical="center" wrapText="1"/>
    </xf>
    <xf numFmtId="164" fontId="3" fillId="0" borderId="12" xfId="10" applyNumberFormat="1" applyFont="1" applyBorder="1" applyAlignment="1">
      <alignment horizontal="center" vertical="top" wrapText="1"/>
    </xf>
    <xf numFmtId="0" fontId="2" fillId="3" borderId="0" xfId="1" applyFill="1" applyAlignment="1">
      <alignment horizontal="left" vertical="center" wrapText="1"/>
    </xf>
    <xf numFmtId="0" fontId="2" fillId="3" borderId="0" xfId="1" applyFill="1" applyAlignment="1">
      <alignment horizontal="center" vertical="center" wrapText="1"/>
    </xf>
    <xf numFmtId="2" fontId="2" fillId="3" borderId="0" xfId="1" applyNumberFormat="1" applyFill="1" applyAlignment="1">
      <alignment horizontal="center" vertical="center" wrapText="1"/>
    </xf>
    <xf numFmtId="3" fontId="2" fillId="3" borderId="0" xfId="1" applyNumberFormat="1" applyFill="1" applyAlignment="1">
      <alignment horizontal="center" vertical="top" wrapText="1"/>
    </xf>
    <xf numFmtId="164" fontId="3" fillId="3" borderId="0" xfId="1" applyNumberFormat="1" applyFont="1" applyFill="1" applyAlignment="1">
      <alignment horizontal="center" vertical="top" wrapText="1"/>
    </xf>
    <xf numFmtId="0" fontId="3" fillId="4" borderId="9" xfId="11" applyFont="1" applyFill="1" applyBorder="1" applyAlignment="1">
      <alignment horizontal="left" vertical="center" wrapText="1"/>
    </xf>
    <xf numFmtId="1" fontId="3" fillId="4" borderId="9" xfId="11" applyNumberFormat="1" applyFont="1" applyFill="1" applyBorder="1" applyAlignment="1">
      <alignment horizontal="left" vertical="center" wrapText="1"/>
    </xf>
    <xf numFmtId="0" fontId="3" fillId="4" borderId="13" xfId="11" applyFont="1" applyFill="1" applyBorder="1" applyAlignment="1">
      <alignment vertical="center" wrapText="1"/>
    </xf>
    <xf numFmtId="3" fontId="4" fillId="4" borderId="13" xfId="1" applyNumberFormat="1" applyFont="1" applyFill="1" applyBorder="1" applyAlignment="1">
      <alignment horizontal="center" vertical="top" wrapText="1"/>
    </xf>
    <xf numFmtId="164" fontId="4" fillId="4" borderId="12" xfId="1" applyNumberFormat="1" applyFont="1" applyFill="1" applyBorder="1" applyAlignment="1">
      <alignment vertical="top" wrapText="1"/>
    </xf>
    <xf numFmtId="0" fontId="4" fillId="0" borderId="11" xfId="4" applyFont="1" applyBorder="1" applyAlignment="1">
      <alignment horizontal="center" vertical="top" wrapText="1"/>
    </xf>
    <xf numFmtId="164" fontId="4" fillId="0" borderId="11" xfId="4" applyNumberFormat="1" applyFont="1" applyBorder="1" applyAlignment="1">
      <alignment horizontal="left" vertical="top" wrapText="1"/>
    </xf>
    <xf numFmtId="2" fontId="4" fillId="0" borderId="11" xfId="4" applyNumberFormat="1" applyFont="1" applyBorder="1" applyAlignment="1">
      <alignment horizontal="center" vertical="top" wrapText="1"/>
    </xf>
    <xf numFmtId="3" fontId="4" fillId="0" borderId="11" xfId="4" applyNumberFormat="1" applyFont="1" applyBorder="1" applyAlignment="1">
      <alignment horizontal="center" vertical="top" wrapText="1"/>
    </xf>
    <xf numFmtId="164" fontId="4" fillId="0" borderId="9" xfId="1" applyNumberFormat="1" applyFont="1" applyBorder="1" applyAlignment="1">
      <alignment vertical="top" wrapText="1"/>
    </xf>
    <xf numFmtId="2" fontId="4" fillId="0" borderId="0" xfId="1" applyNumberFormat="1" applyFont="1" applyAlignment="1">
      <alignment wrapText="1"/>
    </xf>
    <xf numFmtId="2" fontId="4" fillId="0" borderId="9" xfId="4" applyNumberFormat="1" applyFont="1" applyBorder="1" applyAlignment="1">
      <alignment horizontal="center" vertical="top" wrapText="1"/>
    </xf>
    <xf numFmtId="0" fontId="4" fillId="0" borderId="9" xfId="4" applyFont="1" applyBorder="1" applyAlignment="1">
      <alignment horizontal="center" vertical="top" wrapText="1"/>
    </xf>
    <xf numFmtId="3" fontId="4" fillId="0" borderId="9" xfId="4" applyNumberFormat="1" applyFont="1" applyBorder="1" applyAlignment="1">
      <alignment horizontal="center" vertical="top" wrapText="1"/>
    </xf>
    <xf numFmtId="0" fontId="18" fillId="0" borderId="9" xfId="4" applyFont="1" applyBorder="1" applyAlignment="1">
      <alignment horizontal="center" vertical="top" wrapText="1"/>
    </xf>
    <xf numFmtId="0" fontId="18" fillId="0" borderId="9" xfId="4" applyFont="1" applyBorder="1" applyAlignment="1">
      <alignment vertical="top" wrapText="1"/>
    </xf>
    <xf numFmtId="3" fontId="18" fillId="0" borderId="9" xfId="4" applyNumberFormat="1" applyFont="1" applyBorder="1" applyAlignment="1">
      <alignment horizontal="center" vertical="top" wrapText="1"/>
    </xf>
    <xf numFmtId="164" fontId="18" fillId="0" borderId="9" xfId="1" applyNumberFormat="1" applyFont="1" applyBorder="1" applyAlignment="1">
      <alignment vertical="top" wrapText="1"/>
    </xf>
    <xf numFmtId="0" fontId="18" fillId="0" borderId="0" xfId="1" applyFont="1" applyAlignment="1">
      <alignment wrapText="1"/>
    </xf>
    <xf numFmtId="0" fontId="4" fillId="0" borderId="9" xfId="4" applyFont="1" applyBorder="1" applyAlignment="1">
      <alignment horizontal="left" vertical="top" wrapText="1"/>
    </xf>
    <xf numFmtId="0" fontId="20" fillId="0" borderId="14" xfId="12" applyFont="1" applyBorder="1" applyAlignment="1">
      <alignment horizontal="left" vertical="top" wrapText="1"/>
    </xf>
    <xf numFmtId="0" fontId="19" fillId="0" borderId="9" xfId="4" applyFont="1" applyBorder="1" applyAlignment="1">
      <alignment vertical="top" wrapText="1"/>
    </xf>
    <xf numFmtId="0" fontId="21" fillId="0" borderId="9" xfId="4" applyFont="1" applyBorder="1" applyAlignment="1">
      <alignment horizontal="center" vertical="center" wrapText="1"/>
    </xf>
    <xf numFmtId="0" fontId="21" fillId="0" borderId="9" xfId="4" applyFont="1" applyBorder="1" applyAlignment="1">
      <alignment vertical="top" wrapText="1"/>
    </xf>
    <xf numFmtId="0" fontId="21" fillId="0" borderId="0" xfId="1" applyFont="1" applyAlignment="1">
      <alignment wrapText="1"/>
    </xf>
    <xf numFmtId="0" fontId="4" fillId="0" borderId="9" xfId="9" applyBorder="1" applyAlignment="1">
      <alignment horizontal="left" vertical="top" wrapText="1"/>
    </xf>
    <xf numFmtId="0" fontId="21" fillId="0" borderId="9" xfId="4" applyFont="1" applyBorder="1" applyAlignment="1">
      <alignment horizontal="center" vertical="top" wrapText="1"/>
    </xf>
    <xf numFmtId="0" fontId="4" fillId="0" borderId="9" xfId="1" applyFont="1" applyBorder="1" applyAlignment="1">
      <alignment vertical="top" wrapText="1"/>
    </xf>
    <xf numFmtId="0" fontId="19" fillId="0" borderId="0" xfId="1" applyFont="1" applyAlignment="1">
      <alignment wrapText="1"/>
    </xf>
    <xf numFmtId="0" fontId="4" fillId="6" borderId="9" xfId="4" applyFont="1" applyFill="1" applyBorder="1" applyAlignment="1">
      <alignment horizontal="center" vertical="top" wrapText="1"/>
    </xf>
    <xf numFmtId="0" fontId="4" fillId="0" borderId="14" xfId="12" applyFont="1" applyBorder="1" applyAlignment="1">
      <alignment horizontal="left" vertical="top" wrapText="1"/>
    </xf>
    <xf numFmtId="2" fontId="4" fillId="2" borderId="9" xfId="4" applyNumberFormat="1" applyFont="1" applyFill="1" applyBorder="1" applyAlignment="1">
      <alignment horizontal="center" vertical="top" wrapText="1"/>
    </xf>
    <xf numFmtId="0" fontId="3" fillId="0" borderId="3" xfId="4" applyFont="1" applyBorder="1" applyAlignment="1">
      <alignment horizontal="center" vertical="center" wrapText="1"/>
    </xf>
    <xf numFmtId="0" fontId="2" fillId="0" borderId="3" xfId="4" applyBorder="1" applyAlignment="1">
      <alignment horizontal="center" vertical="center" wrapText="1"/>
    </xf>
    <xf numFmtId="0" fontId="2" fillId="0" borderId="9" xfId="4" applyBorder="1" applyAlignment="1">
      <alignment horizontal="center" vertical="center" wrapText="1"/>
    </xf>
    <xf numFmtId="2" fontId="2" fillId="0" borderId="9" xfId="4" applyNumberFormat="1" applyBorder="1" applyAlignment="1">
      <alignment horizontal="center" vertical="center" wrapText="1"/>
    </xf>
    <xf numFmtId="3" fontId="4" fillId="0" borderId="9" xfId="1" applyNumberFormat="1" applyFont="1" applyBorder="1" applyAlignment="1">
      <alignment horizontal="center" vertical="top" wrapText="1"/>
    </xf>
    <xf numFmtId="0" fontId="3" fillId="4" borderId="12" xfId="1" applyFont="1" applyFill="1" applyBorder="1" applyAlignment="1">
      <alignment horizontal="center" vertical="center" wrapText="1"/>
    </xf>
    <xf numFmtId="164" fontId="3" fillId="4" borderId="9" xfId="1" applyNumberFormat="1" applyFont="1" applyFill="1" applyBorder="1" applyAlignment="1">
      <alignment horizontal="left" vertical="center" wrapText="1"/>
    </xf>
    <xf numFmtId="0" fontId="4" fillId="0" borderId="0" xfId="1" applyFont="1" applyAlignment="1">
      <alignment horizontal="left" wrapText="1"/>
    </xf>
    <xf numFmtId="0" fontId="4" fillId="0" borderId="0" xfId="1" applyFont="1" applyAlignment="1">
      <alignment horizontal="center" vertical="top" wrapText="1"/>
    </xf>
    <xf numFmtId="3" fontId="4" fillId="0" borderId="0" xfId="1" applyNumberFormat="1" applyFont="1" applyAlignment="1">
      <alignment horizontal="center" vertical="top" wrapText="1"/>
    </xf>
    <xf numFmtId="164" fontId="4" fillId="0" borderId="0" xfId="1" applyNumberFormat="1" applyFont="1" applyAlignment="1">
      <alignment vertical="top" wrapText="1"/>
    </xf>
    <xf numFmtId="0" fontId="3" fillId="0" borderId="9" xfId="5" applyFont="1" applyBorder="1" applyAlignment="1">
      <alignment horizontal="center" vertical="center" wrapText="1"/>
    </xf>
    <xf numFmtId="0" fontId="3" fillId="5" borderId="9" xfId="5" applyFont="1" applyFill="1" applyBorder="1" applyAlignment="1">
      <alignment horizontal="center" vertical="center"/>
    </xf>
    <xf numFmtId="0" fontId="3" fillId="5" borderId="9" xfId="5" applyFont="1" applyFill="1" applyBorder="1"/>
    <xf numFmtId="0" fontId="8" fillId="0" borderId="0" xfId="5" applyFont="1" applyAlignment="1">
      <alignment horizontal="center" vertical="center"/>
    </xf>
    <xf numFmtId="3" fontId="4" fillId="0" borderId="9" xfId="1" applyNumberFormat="1" applyFont="1" applyBorder="1" applyAlignment="1">
      <alignment horizontal="left" vertical="center"/>
    </xf>
    <xf numFmtId="0" fontId="4" fillId="0" borderId="0" xfId="9" applyAlignment="1">
      <alignment horizontal="center" vertical="center" wrapText="1"/>
    </xf>
    <xf numFmtId="0" fontId="4" fillId="0" borderId="0" xfId="9">
      <alignment vertical="center" wrapText="1"/>
    </xf>
    <xf numFmtId="0" fontId="3" fillId="4" borderId="9" xfId="11" applyFont="1" applyFill="1" applyBorder="1" applyAlignment="1">
      <alignment vertical="center" wrapText="1"/>
    </xf>
    <xf numFmtId="3" fontId="4" fillId="4" borderId="9" xfId="1" applyNumberFormat="1" applyFont="1" applyFill="1" applyBorder="1" applyAlignment="1">
      <alignment horizontal="center" vertical="top" wrapText="1"/>
    </xf>
    <xf numFmtId="164" fontId="4" fillId="4" borderId="9" xfId="1" applyNumberFormat="1" applyFont="1" applyFill="1" applyBorder="1" applyAlignment="1">
      <alignment vertical="top" wrapText="1"/>
    </xf>
    <xf numFmtId="0" fontId="4" fillId="0" borderId="11" xfId="9" applyBorder="1" applyAlignment="1">
      <alignment horizontal="left" vertical="top" wrapText="1"/>
    </xf>
    <xf numFmtId="0" fontId="4" fillId="0" borderId="9" xfId="4" applyFont="1" applyBorder="1" applyAlignment="1">
      <alignment horizontal="center" vertical="center" wrapText="1"/>
    </xf>
    <xf numFmtId="3" fontId="21" fillId="0" borderId="9" xfId="4" applyNumberFormat="1" applyFont="1" applyBorder="1" applyAlignment="1">
      <alignment horizontal="center" vertical="top" wrapText="1"/>
    </xf>
    <xf numFmtId="0" fontId="21" fillId="0" borderId="9" xfId="14" applyFont="1" applyBorder="1" applyAlignment="1">
      <alignment vertical="top" wrapText="1"/>
    </xf>
    <xf numFmtId="0" fontId="21" fillId="0" borderId="9" xfId="9" applyFont="1" applyBorder="1" applyAlignment="1">
      <alignment horizontal="left" vertical="top" wrapText="1"/>
    </xf>
    <xf numFmtId="0" fontId="21" fillId="0" borderId="9" xfId="9" applyFont="1" applyBorder="1" applyAlignment="1">
      <alignment horizontal="center" vertical="top" wrapText="1"/>
    </xf>
    <xf numFmtId="0" fontId="4" fillId="0" borderId="9" xfId="1" applyFont="1" applyBorder="1" applyAlignment="1">
      <alignment wrapText="1"/>
    </xf>
    <xf numFmtId="0" fontId="21" fillId="0" borderId="9" xfId="15" applyFont="1" applyBorder="1" applyAlignment="1">
      <alignment vertical="top" wrapText="1"/>
    </xf>
    <xf numFmtId="164" fontId="4" fillId="0" borderId="12" xfId="1" applyNumberFormat="1" applyFont="1" applyBorder="1" applyAlignment="1">
      <alignment vertical="top" wrapText="1"/>
    </xf>
    <xf numFmtId="0" fontId="3" fillId="0" borderId="9" xfId="13" applyFont="1" applyBorder="1" applyAlignment="1">
      <alignment horizontal="center" vertical="center" wrapText="1"/>
    </xf>
    <xf numFmtId="0" fontId="3" fillId="5" borderId="9" xfId="13" applyFont="1" applyFill="1" applyBorder="1" applyAlignment="1">
      <alignment horizontal="center" vertical="center"/>
    </xf>
    <xf numFmtId="0" fontId="3" fillId="5" borderId="9" xfId="13" applyFont="1" applyFill="1" applyBorder="1"/>
    <xf numFmtId="0" fontId="8" fillId="0" borderId="0" xfId="13" applyFont="1" applyAlignment="1">
      <alignment horizontal="center" vertical="center"/>
    </xf>
    <xf numFmtId="0" fontId="18" fillId="0" borderId="0" xfId="16" applyFont="1"/>
    <xf numFmtId="167" fontId="22" fillId="0" borderId="0" xfId="16" applyNumberFormat="1" applyFont="1"/>
    <xf numFmtId="0" fontId="22" fillId="0" borderId="0" xfId="16" applyFont="1"/>
    <xf numFmtId="168" fontId="22" fillId="0" borderId="0" xfId="16" applyNumberFormat="1" applyFont="1"/>
    <xf numFmtId="2" fontId="22" fillId="0" borderId="0" xfId="16" applyNumberFormat="1" applyFont="1"/>
    <xf numFmtId="164" fontId="18" fillId="0" borderId="0" xfId="16" applyNumberFormat="1" applyFont="1"/>
    <xf numFmtId="0" fontId="24" fillId="6" borderId="9" xfId="16" applyFont="1" applyFill="1" applyBorder="1" applyAlignment="1">
      <alignment vertical="center"/>
    </xf>
    <xf numFmtId="164" fontId="25" fillId="0" borderId="9" xfId="16" applyNumberFormat="1" applyFont="1" applyBorder="1"/>
    <xf numFmtId="0" fontId="25" fillId="6" borderId="9" xfId="16" applyFont="1" applyFill="1" applyBorder="1"/>
    <xf numFmtId="164" fontId="25" fillId="6" borderId="9" xfId="16" applyNumberFormat="1" applyFont="1" applyFill="1" applyBorder="1"/>
    <xf numFmtId="0" fontId="24" fillId="6" borderId="9" xfId="16" applyFont="1" applyFill="1" applyBorder="1"/>
    <xf numFmtId="164" fontId="24" fillId="6" borderId="9" xfId="16" applyNumberFormat="1" applyFont="1" applyFill="1" applyBorder="1"/>
    <xf numFmtId="0" fontId="25" fillId="0" borderId="0" xfId="16" applyFont="1"/>
    <xf numFmtId="164" fontId="25" fillId="6" borderId="0" xfId="16" applyNumberFormat="1" applyFont="1" applyFill="1"/>
    <xf numFmtId="0" fontId="25" fillId="0" borderId="9" xfId="16" applyFont="1" applyBorder="1"/>
    <xf numFmtId="0" fontId="24" fillId="0" borderId="9" xfId="16" applyFont="1" applyBorder="1"/>
    <xf numFmtId="0" fontId="24" fillId="6" borderId="15" xfId="16" applyFont="1" applyFill="1" applyBorder="1" applyAlignment="1">
      <alignment horizontal="center" vertical="center"/>
    </xf>
    <xf numFmtId="164" fontId="25" fillId="6" borderId="15" xfId="16" applyNumberFormat="1" applyFont="1" applyFill="1" applyBorder="1"/>
    <xf numFmtId="164" fontId="25" fillId="0" borderId="0" xfId="16" applyNumberFormat="1" applyFont="1"/>
    <xf numFmtId="0" fontId="24" fillId="0" borderId="15" xfId="16" applyFont="1" applyBorder="1"/>
    <xf numFmtId="164" fontId="24" fillId="0" borderId="15" xfId="16" applyNumberFormat="1" applyFont="1" applyBorder="1"/>
    <xf numFmtId="3" fontId="3" fillId="4" borderId="1" xfId="1" applyNumberFormat="1" applyFont="1" applyFill="1" applyBorder="1" applyAlignment="1">
      <alignment horizontal="left" vertical="center"/>
    </xf>
    <xf numFmtId="0" fontId="3" fillId="4" borderId="9" xfId="1" applyFont="1" applyFill="1" applyBorder="1" applyAlignment="1">
      <alignment vertical="center" wrapText="1"/>
    </xf>
    <xf numFmtId="0" fontId="3" fillId="7" borderId="9" xfId="1" applyFont="1" applyFill="1" applyBorder="1" applyAlignment="1">
      <alignment horizontal="right" vertical="center" wrapText="1"/>
    </xf>
    <xf numFmtId="0" fontId="19" fillId="0" borderId="9" xfId="1" applyFont="1" applyBorder="1" applyAlignment="1">
      <alignment vertical="center" wrapText="1"/>
    </xf>
    <xf numFmtId="0" fontId="19" fillId="0" borderId="12" xfId="1" applyFont="1" applyBorder="1" applyAlignment="1">
      <alignment horizontal="center" vertical="center" wrapText="1"/>
    </xf>
    <xf numFmtId="0" fontId="19" fillId="0" borderId="9" xfId="4" applyFont="1" applyBorder="1" applyAlignment="1">
      <alignment wrapText="1"/>
    </xf>
    <xf numFmtId="0" fontId="19" fillId="0" borderId="9" xfId="1" applyFont="1" applyBorder="1" applyAlignment="1">
      <alignment horizontal="center" vertical="center" wrapText="1"/>
    </xf>
    <xf numFmtId="44" fontId="19" fillId="0" borderId="9" xfId="1" applyNumberFormat="1" applyFont="1" applyBorder="1" applyAlignment="1">
      <alignment horizontal="right" vertical="center" wrapText="1"/>
    </xf>
    <xf numFmtId="0" fontId="19" fillId="0" borderId="0" xfId="1" applyFont="1" applyAlignment="1">
      <alignment vertical="center" wrapText="1"/>
    </xf>
    <xf numFmtId="0" fontId="4" fillId="0" borderId="9" xfId="1" applyFont="1" applyBorder="1" applyAlignment="1">
      <alignment horizontal="center" vertical="center" wrapText="1"/>
    </xf>
    <xf numFmtId="44" fontId="4" fillId="0" borderId="9" xfId="1" applyNumberFormat="1" applyFont="1" applyBorder="1" applyAlignment="1">
      <alignment horizontal="right" vertical="center" wrapText="1"/>
    </xf>
    <xf numFmtId="0" fontId="19" fillId="0" borderId="9" xfId="1" applyFont="1" applyBorder="1" applyAlignment="1">
      <alignment vertical="center"/>
    </xf>
    <xf numFmtId="0" fontId="25" fillId="0" borderId="9" xfId="1" applyFont="1" applyBorder="1" applyAlignment="1">
      <alignment vertical="center"/>
    </xf>
    <xf numFmtId="0" fontId="25" fillId="0" borderId="12" xfId="1" applyFont="1" applyBorder="1" applyAlignment="1">
      <alignment horizontal="center" vertical="center"/>
    </xf>
    <xf numFmtId="0" fontId="25" fillId="0" borderId="12" xfId="1" applyFont="1" applyBorder="1" applyAlignment="1">
      <alignment vertical="center" wrapText="1"/>
    </xf>
    <xf numFmtId="0" fontId="25" fillId="0" borderId="9" xfId="1" applyFont="1" applyBorder="1" applyAlignment="1">
      <alignment horizontal="center" vertical="center"/>
    </xf>
    <xf numFmtId="44" fontId="25" fillId="0" borderId="9" xfId="1" applyNumberFormat="1" applyFont="1" applyBorder="1" applyAlignment="1">
      <alignment horizontal="right" vertical="center"/>
    </xf>
    <xf numFmtId="0" fontId="25" fillId="0" borderId="0" xfId="1" applyFont="1" applyAlignment="1">
      <alignment vertical="center"/>
    </xf>
    <xf numFmtId="0" fontId="25" fillId="6" borderId="9" xfId="1" applyFont="1" applyFill="1" applyBorder="1" applyAlignment="1">
      <alignment vertical="center" wrapText="1"/>
    </xf>
    <xf numFmtId="0" fontId="25" fillId="2" borderId="9" xfId="1" applyFont="1" applyFill="1" applyBorder="1" applyAlignment="1">
      <alignment vertical="center"/>
    </xf>
    <xf numFmtId="0" fontId="25" fillId="2" borderId="9" xfId="1" applyFont="1" applyFill="1" applyBorder="1" applyAlignment="1">
      <alignment horizontal="center" vertical="center"/>
    </xf>
    <xf numFmtId="0" fontId="24" fillId="2" borderId="9" xfId="1" applyFont="1" applyFill="1" applyBorder="1" applyAlignment="1">
      <alignment vertical="center" wrapText="1"/>
    </xf>
    <xf numFmtId="0" fontId="24" fillId="2" borderId="12" xfId="1" applyFont="1" applyFill="1" applyBorder="1" applyAlignment="1">
      <alignment vertical="center" wrapText="1"/>
    </xf>
    <xf numFmtId="0" fontId="25" fillId="0" borderId="9" xfId="1" applyFont="1" applyBorder="1" applyAlignment="1">
      <alignment vertical="center" wrapText="1"/>
    </xf>
    <xf numFmtId="0" fontId="25" fillId="0" borderId="9" xfId="4" applyFont="1" applyBorder="1" applyAlignment="1">
      <alignment vertical="center" wrapText="1"/>
    </xf>
    <xf numFmtId="0" fontId="25" fillId="0" borderId="0" xfId="1" applyFont="1" applyAlignment="1">
      <alignment horizontal="center" vertical="center"/>
    </xf>
    <xf numFmtId="0" fontId="25" fillId="0" borderId="0" xfId="5" applyFont="1"/>
    <xf numFmtId="44" fontId="25" fillId="2" borderId="9" xfId="1" applyNumberFormat="1" applyFont="1" applyFill="1" applyBorder="1" applyAlignment="1">
      <alignment horizontal="right" vertical="center"/>
    </xf>
    <xf numFmtId="0" fontId="25" fillId="0" borderId="9" xfId="4" applyFont="1" applyBorder="1" applyAlignment="1">
      <alignment vertical="top" wrapText="1"/>
    </xf>
    <xf numFmtId="0" fontId="25" fillId="0" borderId="12" xfId="4" applyFont="1" applyBorder="1" applyAlignment="1">
      <alignment vertical="center" wrapText="1"/>
    </xf>
    <xf numFmtId="0" fontId="25" fillId="0" borderId="13" xfId="1" applyFont="1" applyBorder="1" applyAlignment="1">
      <alignment vertical="center" wrapText="1"/>
    </xf>
    <xf numFmtId="0" fontId="25" fillId="0" borderId="13" xfId="1" applyFont="1" applyBorder="1" applyAlignment="1">
      <alignment horizontal="center" vertical="center"/>
    </xf>
    <xf numFmtId="0" fontId="24" fillId="5" borderId="10" xfId="1" applyFont="1" applyFill="1" applyBorder="1" applyAlignment="1">
      <alignment vertical="center"/>
    </xf>
    <xf numFmtId="0" fontId="24" fillId="5" borderId="9" xfId="3" applyFont="1" applyFill="1" applyBorder="1" applyAlignment="1">
      <alignment horizontal="center" vertical="center"/>
    </xf>
    <xf numFmtId="0" fontId="24" fillId="5" borderId="7" xfId="1" applyFont="1" applyFill="1" applyBorder="1" applyAlignment="1">
      <alignment horizontal="center" vertical="center"/>
    </xf>
    <xf numFmtId="0" fontId="24" fillId="5" borderId="9" xfId="3" applyFont="1" applyFill="1" applyBorder="1"/>
    <xf numFmtId="0" fontId="24" fillId="5" borderId="13" xfId="1" applyFont="1" applyFill="1" applyBorder="1" applyAlignment="1">
      <alignment horizontal="center" vertical="center"/>
    </xf>
    <xf numFmtId="164" fontId="24" fillId="5" borderId="13" xfId="1" applyNumberFormat="1" applyFont="1" applyFill="1" applyBorder="1" applyAlignment="1">
      <alignment horizontal="center" vertical="center"/>
    </xf>
    <xf numFmtId="0" fontId="25" fillId="5" borderId="12" xfId="1" applyFont="1" applyFill="1" applyBorder="1" applyAlignment="1">
      <alignment vertical="center"/>
    </xf>
    <xf numFmtId="0" fontId="4" fillId="0" borderId="0" xfId="1" applyFont="1" applyAlignment="1">
      <alignment vertical="center"/>
    </xf>
    <xf numFmtId="0" fontId="19" fillId="0" borderId="9" xfId="1" applyFont="1" applyBorder="1" applyAlignment="1">
      <alignment horizontal="center" vertical="center"/>
    </xf>
    <xf numFmtId="0" fontId="23" fillId="5" borderId="9" xfId="1" applyFont="1" applyFill="1" applyBorder="1" applyAlignment="1">
      <alignment vertical="center"/>
    </xf>
    <xf numFmtId="0" fontId="23" fillId="5" borderId="9" xfId="1" applyFont="1" applyFill="1" applyBorder="1" applyAlignment="1">
      <alignment horizontal="center" vertical="center"/>
    </xf>
    <xf numFmtId="3" fontId="23" fillId="5" borderId="13" xfId="1" applyNumberFormat="1" applyFont="1" applyFill="1" applyBorder="1" applyAlignment="1">
      <alignment horizontal="left" vertical="center"/>
    </xf>
    <xf numFmtId="0" fontId="23" fillId="5" borderId="13" xfId="1" applyFont="1" applyFill="1" applyBorder="1" applyAlignment="1">
      <alignment horizontal="center" vertical="center"/>
    </xf>
    <xf numFmtId="164" fontId="23" fillId="5" borderId="13" xfId="1" applyNumberFormat="1" applyFont="1" applyFill="1" applyBorder="1" applyAlignment="1">
      <alignment horizontal="center" vertical="center"/>
    </xf>
    <xf numFmtId="0" fontId="19" fillId="5" borderId="12" xfId="1" applyFont="1" applyFill="1" applyBorder="1" applyAlignment="1">
      <alignment vertical="center"/>
    </xf>
    <xf numFmtId="0" fontId="19" fillId="0" borderId="0" xfId="1" applyFont="1" applyAlignment="1">
      <alignment vertical="center"/>
    </xf>
    <xf numFmtId="0" fontId="4" fillId="0" borderId="0" xfId="1" applyFont="1" applyAlignment="1">
      <alignment vertical="center"/>
    </xf>
    <xf numFmtId="0" fontId="19" fillId="0" borderId="12" xfId="1" applyFont="1" applyBorder="1" applyAlignment="1">
      <alignment vertical="center" wrapText="1"/>
    </xf>
    <xf numFmtId="0" fontId="25" fillId="0" borderId="12" xfId="1" applyFont="1" applyBorder="1" applyAlignment="1">
      <alignment horizontal="center" vertical="center" wrapText="1"/>
    </xf>
    <xf numFmtId="0" fontId="25" fillId="0" borderId="9" xfId="4" applyFont="1" applyBorder="1" applyAlignment="1">
      <alignment wrapText="1"/>
    </xf>
    <xf numFmtId="0" fontId="25" fillId="0" borderId="9" xfId="1" applyFont="1" applyBorder="1" applyAlignment="1">
      <alignment horizontal="center" vertical="center" wrapText="1"/>
    </xf>
    <xf numFmtId="44" fontId="25" fillId="0" borderId="9" xfId="1" applyNumberFormat="1" applyFont="1" applyBorder="1" applyAlignment="1">
      <alignment horizontal="right" vertical="center" wrapText="1"/>
    </xf>
    <xf numFmtId="0" fontId="25" fillId="0" borderId="0" xfId="1" applyFont="1" applyAlignment="1">
      <alignment vertical="center" wrapText="1"/>
    </xf>
    <xf numFmtId="0" fontId="19" fillId="0" borderId="12" xfId="1" applyFont="1" applyBorder="1" applyAlignment="1">
      <alignment horizontal="center" vertical="center"/>
    </xf>
    <xf numFmtId="44" fontId="19" fillId="0" borderId="9" xfId="1" applyNumberFormat="1" applyFont="1" applyBorder="1" applyAlignment="1">
      <alignment horizontal="right" vertical="center"/>
    </xf>
    <xf numFmtId="0" fontId="9" fillId="0" borderId="9" xfId="1" applyFont="1" applyBorder="1" applyAlignment="1">
      <alignment vertical="top" wrapText="1"/>
    </xf>
    <xf numFmtId="3" fontId="18" fillId="6" borderId="9" xfId="4" applyNumberFormat="1" applyFont="1" applyFill="1" applyBorder="1" applyAlignment="1">
      <alignment horizontal="center" vertical="top" wrapText="1"/>
    </xf>
    <xf numFmtId="0" fontId="18" fillId="0" borderId="11" xfId="4" applyFont="1" applyBorder="1" applyAlignment="1">
      <alignment horizontal="center" vertical="top" wrapText="1"/>
    </xf>
    <xf numFmtId="0" fontId="18" fillId="0" borderId="9" xfId="4" applyFont="1" applyBorder="1" applyAlignment="1">
      <alignment horizontal="center" vertical="top"/>
    </xf>
    <xf numFmtId="0" fontId="16" fillId="0" borderId="3" xfId="4" applyFont="1" applyBorder="1" applyAlignment="1">
      <alignment horizontal="center" vertical="top" wrapText="1"/>
    </xf>
    <xf numFmtId="0" fontId="18" fillId="0" borderId="9" xfId="15" applyFont="1" applyBorder="1" applyAlignment="1">
      <alignment vertical="top" wrapText="1"/>
    </xf>
    <xf numFmtId="0" fontId="27" fillId="3" borderId="0" xfId="1" applyFont="1" applyFill="1" applyAlignment="1">
      <alignment horizontal="center" vertical="top" wrapText="1"/>
    </xf>
    <xf numFmtId="0" fontId="16" fillId="4" borderId="9" xfId="11" applyFont="1" applyFill="1" applyBorder="1" applyAlignment="1">
      <alignment horizontal="center" vertical="top" wrapText="1"/>
    </xf>
    <xf numFmtId="0" fontId="18" fillId="0" borderId="0" xfId="1" applyFont="1" applyAlignment="1">
      <alignment horizontal="center" vertical="top" wrapText="1"/>
    </xf>
    <xf numFmtId="0" fontId="4" fillId="6" borderId="0" xfId="1" applyFont="1" applyFill="1" applyAlignment="1">
      <alignment wrapText="1"/>
    </xf>
    <xf numFmtId="2" fontId="4" fillId="6" borderId="0" xfId="1" applyNumberFormat="1" applyFont="1" applyFill="1" applyAlignment="1">
      <alignment wrapText="1"/>
    </xf>
    <xf numFmtId="0" fontId="18" fillId="6" borderId="9" xfId="4" applyFont="1" applyFill="1" applyBorder="1" applyAlignment="1">
      <alignment horizontal="center" vertical="top" wrapText="1"/>
    </xf>
    <xf numFmtId="0" fontId="18" fillId="6" borderId="9" xfId="4" applyFont="1" applyFill="1" applyBorder="1" applyAlignment="1">
      <alignment vertical="top" wrapText="1"/>
    </xf>
    <xf numFmtId="2" fontId="18" fillId="6" borderId="9" xfId="4" applyNumberFormat="1" applyFont="1" applyFill="1" applyBorder="1" applyAlignment="1">
      <alignment horizontal="center" vertical="top" wrapText="1"/>
    </xf>
    <xf numFmtId="164" fontId="18" fillId="6" borderId="9" xfId="1" applyNumberFormat="1" applyFont="1" applyFill="1" applyBorder="1" applyAlignment="1">
      <alignment vertical="top" wrapText="1"/>
    </xf>
    <xf numFmtId="0" fontId="18" fillId="6" borderId="0" xfId="1" applyFont="1" applyFill="1" applyAlignment="1">
      <alignment wrapText="1"/>
    </xf>
    <xf numFmtId="0" fontId="19" fillId="6" borderId="9" xfId="4" applyFont="1" applyFill="1" applyBorder="1" applyAlignment="1">
      <alignment horizontal="center" vertical="top" wrapText="1"/>
    </xf>
    <xf numFmtId="0" fontId="4" fillId="6" borderId="0" xfId="1" applyFont="1" applyFill="1" applyAlignment="1">
      <alignment horizontal="left" wrapText="1"/>
    </xf>
    <xf numFmtId="0" fontId="4" fillId="6" borderId="0" xfId="1" applyFont="1" applyFill="1" applyAlignment="1">
      <alignment horizontal="center" vertical="top" wrapText="1"/>
    </xf>
    <xf numFmtId="3" fontId="4" fillId="6" borderId="0" xfId="1" applyNumberFormat="1" applyFont="1" applyFill="1" applyAlignment="1">
      <alignment horizontal="center" vertical="top" wrapText="1"/>
    </xf>
    <xf numFmtId="164" fontId="4" fillId="6" borderId="0" xfId="1" applyNumberFormat="1" applyFont="1" applyFill="1" applyAlignment="1">
      <alignment vertical="top" wrapText="1"/>
    </xf>
    <xf numFmtId="0" fontId="16" fillId="6" borderId="11" xfId="9" applyFont="1" applyFill="1" applyBorder="1" applyAlignment="1">
      <alignment horizontal="left" vertical="center" wrapText="1"/>
    </xf>
    <xf numFmtId="0" fontId="16" fillId="6" borderId="9" xfId="10" applyFont="1" applyFill="1" applyBorder="1" applyAlignment="1">
      <alignment horizontal="left" vertical="center"/>
    </xf>
    <xf numFmtId="0" fontId="16" fillId="6" borderId="9" xfId="10" applyFont="1" applyFill="1" applyBorder="1" applyAlignment="1">
      <alignment horizontal="center" vertical="center"/>
    </xf>
    <xf numFmtId="2" fontId="16" fillId="6" borderId="9" xfId="10" applyNumberFormat="1" applyFont="1" applyFill="1" applyBorder="1" applyAlignment="1">
      <alignment horizontal="center" vertical="center" wrapText="1"/>
    </xf>
    <xf numFmtId="0" fontId="16" fillId="6" borderId="9" xfId="10" applyFont="1" applyFill="1" applyBorder="1" applyAlignment="1">
      <alignment horizontal="center" vertical="center" wrapText="1"/>
    </xf>
    <xf numFmtId="166" fontId="16" fillId="6" borderId="9" xfId="10" applyNumberFormat="1" applyFont="1" applyFill="1" applyBorder="1" applyAlignment="1">
      <alignment horizontal="center" vertical="center" wrapText="1"/>
    </xf>
    <xf numFmtId="0" fontId="18" fillId="6" borderId="0" xfId="8" applyFont="1" applyFill="1" applyAlignment="1">
      <alignment horizontal="center" vertical="center" wrapText="1"/>
    </xf>
    <xf numFmtId="2" fontId="16" fillId="6" borderId="13" xfId="10" applyNumberFormat="1" applyFont="1" applyFill="1" applyBorder="1" applyAlignment="1">
      <alignment horizontal="center" vertical="center" wrapText="1"/>
    </xf>
    <xf numFmtId="0" fontId="16" fillId="6" borderId="13" xfId="10" applyFont="1" applyFill="1" applyBorder="1" applyAlignment="1">
      <alignment horizontal="center" vertical="center" wrapText="1"/>
    </xf>
    <xf numFmtId="166" fontId="16" fillId="6" borderId="13" xfId="10" applyNumberFormat="1" applyFont="1" applyFill="1" applyBorder="1" applyAlignment="1">
      <alignment horizontal="center" vertical="center" wrapText="1"/>
    </xf>
    <xf numFmtId="164" fontId="16" fillId="6" borderId="12" xfId="10" applyNumberFormat="1" applyFont="1" applyFill="1" applyBorder="1" applyAlignment="1">
      <alignment horizontal="center" vertical="top" wrapText="1"/>
    </xf>
    <xf numFmtId="0" fontId="18" fillId="6" borderId="0" xfId="8" applyFont="1" applyFill="1">
      <alignment vertical="center" wrapText="1"/>
    </xf>
    <xf numFmtId="0" fontId="18" fillId="6" borderId="11" xfId="4" applyFont="1" applyFill="1" applyBorder="1" applyAlignment="1">
      <alignment horizontal="center" vertical="top" wrapText="1"/>
    </xf>
    <xf numFmtId="0" fontId="18" fillId="6" borderId="11" xfId="8" applyFont="1" applyFill="1" applyBorder="1" applyAlignment="1">
      <alignment horizontal="left" vertical="top" wrapText="1"/>
    </xf>
    <xf numFmtId="164" fontId="18" fillId="6" borderId="11" xfId="4" applyNumberFormat="1" applyFont="1" applyFill="1" applyBorder="1" applyAlignment="1">
      <alignment horizontal="left" vertical="top" wrapText="1"/>
    </xf>
    <xf numFmtId="2" fontId="18" fillId="6" borderId="11" xfId="4" applyNumberFormat="1" applyFont="1" applyFill="1" applyBorder="1" applyAlignment="1">
      <alignment horizontal="center" vertical="top" wrapText="1"/>
    </xf>
    <xf numFmtId="3" fontId="18" fillId="6" borderId="11" xfId="4" applyNumberFormat="1" applyFont="1" applyFill="1" applyBorder="1" applyAlignment="1">
      <alignment horizontal="center" vertical="top" wrapText="1"/>
    </xf>
    <xf numFmtId="2" fontId="18" fillId="6" borderId="0" xfId="1" applyNumberFormat="1" applyFont="1" applyFill="1" applyAlignment="1">
      <alignment wrapText="1"/>
    </xf>
    <xf numFmtId="0" fontId="18" fillId="6" borderId="9" xfId="4" applyFont="1" applyFill="1" applyBorder="1" applyAlignment="1">
      <alignment horizontal="center" vertical="top"/>
    </xf>
    <xf numFmtId="0" fontId="18" fillId="6" borderId="9" xfId="8" applyFont="1" applyFill="1" applyBorder="1" applyAlignment="1">
      <alignment horizontal="left" vertical="top" wrapText="1"/>
    </xf>
    <xf numFmtId="0" fontId="18" fillId="6" borderId="9" xfId="4" applyFont="1" applyFill="1" applyBorder="1" applyAlignment="1">
      <alignment wrapText="1"/>
    </xf>
    <xf numFmtId="0" fontId="18" fillId="6" borderId="9" xfId="4" applyFont="1" applyFill="1" applyBorder="1" applyAlignment="1">
      <alignment horizontal="left" vertical="top" wrapText="1"/>
    </xf>
    <xf numFmtId="0" fontId="28" fillId="6" borderId="14" xfId="12" applyFont="1" applyFill="1" applyBorder="1" applyAlignment="1">
      <alignment horizontal="left" vertical="top" wrapText="1"/>
    </xf>
    <xf numFmtId="0" fontId="18" fillId="6" borderId="9" xfId="13" applyFont="1" applyFill="1" applyBorder="1" applyAlignment="1">
      <alignment vertical="top" wrapText="1"/>
    </xf>
    <xf numFmtId="0" fontId="18" fillId="6" borderId="9" xfId="9" applyFont="1" applyFill="1" applyBorder="1" applyAlignment="1">
      <alignment horizontal="left" vertical="top" wrapText="1"/>
    </xf>
    <xf numFmtId="0" fontId="18" fillId="6" borderId="9" xfId="1" applyFont="1" applyFill="1" applyBorder="1" applyAlignment="1">
      <alignment vertical="top" wrapText="1"/>
    </xf>
    <xf numFmtId="0" fontId="18" fillId="6" borderId="14" xfId="12" applyFont="1" applyFill="1" applyBorder="1" applyAlignment="1">
      <alignment horizontal="left" vertical="top" wrapText="1"/>
    </xf>
    <xf numFmtId="0" fontId="18" fillId="6" borderId="9" xfId="9" applyFont="1" applyFill="1" applyBorder="1" applyAlignment="1">
      <alignment horizontal="center" vertical="top" wrapText="1"/>
    </xf>
    <xf numFmtId="0" fontId="16" fillId="6" borderId="3" xfId="4" applyFont="1" applyFill="1" applyBorder="1" applyAlignment="1">
      <alignment horizontal="center" vertical="center" wrapText="1"/>
    </xf>
    <xf numFmtId="0" fontId="27" fillId="6" borderId="3" xfId="4" applyFont="1" applyFill="1" applyBorder="1" applyAlignment="1">
      <alignment horizontal="center" vertical="center" wrapText="1"/>
    </xf>
    <xf numFmtId="0" fontId="27" fillId="6" borderId="9" xfId="4" applyFont="1" applyFill="1" applyBorder="1" applyAlignment="1">
      <alignment horizontal="center" vertical="center" wrapText="1"/>
    </xf>
    <xf numFmtId="2" fontId="27" fillId="6" borderId="9" xfId="4" applyNumberFormat="1" applyFont="1" applyFill="1" applyBorder="1" applyAlignment="1">
      <alignment horizontal="center" vertical="center" wrapText="1"/>
    </xf>
    <xf numFmtId="3" fontId="18" fillId="6" borderId="9" xfId="1" applyNumberFormat="1" applyFont="1" applyFill="1" applyBorder="1" applyAlignment="1">
      <alignment horizontal="center" vertical="top" wrapText="1"/>
    </xf>
    <xf numFmtId="0" fontId="18" fillId="6" borderId="0" xfId="1" applyFont="1" applyFill="1" applyAlignment="1">
      <alignment horizontal="left" wrapText="1"/>
    </xf>
    <xf numFmtId="0" fontId="18" fillId="6" borderId="0" xfId="1" applyFont="1" applyFill="1" applyAlignment="1">
      <alignment horizontal="center" vertical="top" wrapText="1"/>
    </xf>
    <xf numFmtId="3" fontId="18" fillId="6" borderId="0" xfId="1" applyNumberFormat="1" applyFont="1" applyFill="1" applyAlignment="1">
      <alignment horizontal="center" vertical="top" wrapText="1"/>
    </xf>
    <xf numFmtId="164" fontId="18" fillId="6" borderId="0" xfId="1" applyNumberFormat="1" applyFont="1" applyFill="1" applyAlignment="1">
      <alignment vertical="top" wrapText="1"/>
    </xf>
    <xf numFmtId="0" fontId="16" fillId="6" borderId="3" xfId="4" applyFont="1" applyFill="1" applyBorder="1" applyAlignment="1">
      <alignment horizontal="center" vertical="top" wrapText="1"/>
    </xf>
    <xf numFmtId="0" fontId="4" fillId="0" borderId="0" xfId="1" applyFont="1" applyAlignment="1">
      <alignment vertical="center"/>
    </xf>
    <xf numFmtId="0" fontId="19" fillId="2" borderId="9" xfId="1" applyFont="1" applyFill="1" applyBorder="1" applyAlignment="1">
      <alignment vertical="center"/>
    </xf>
    <xf numFmtId="0" fontId="24" fillId="5" borderId="9" xfId="5" applyFont="1" applyFill="1" applyBorder="1" applyAlignment="1">
      <alignment horizontal="center" vertical="center"/>
    </xf>
    <xf numFmtId="0" fontId="24" fillId="5" borderId="9" xfId="5" applyFont="1" applyFill="1" applyBorder="1"/>
    <xf numFmtId="0" fontId="4" fillId="0" borderId="0" xfId="1" applyFont="1" applyAlignment="1">
      <alignment vertical="center"/>
    </xf>
    <xf numFmtId="0" fontId="19" fillId="0" borderId="9" xfId="4" applyFont="1" applyBorder="1" applyAlignment="1">
      <alignment horizontal="center" vertical="top" wrapText="1"/>
    </xf>
    <xf numFmtId="0" fontId="24" fillId="5" borderId="9" xfId="1" applyFont="1" applyFill="1" applyBorder="1" applyAlignment="1">
      <alignment vertical="center"/>
    </xf>
    <xf numFmtId="0" fontId="24" fillId="5" borderId="9" xfId="1" applyFont="1" applyFill="1" applyBorder="1" applyAlignment="1">
      <alignment horizontal="center" vertical="center"/>
    </xf>
    <xf numFmtId="3" fontId="24" fillId="5" borderId="13" xfId="1" applyNumberFormat="1" applyFont="1" applyFill="1" applyBorder="1" applyAlignment="1">
      <alignment horizontal="left" vertical="center"/>
    </xf>
    <xf numFmtId="0" fontId="4" fillId="0" borderId="0" xfId="1" applyFont="1" applyAlignment="1">
      <alignment vertical="center"/>
    </xf>
    <xf numFmtId="0" fontId="19" fillId="0" borderId="12" xfId="4" applyFont="1" applyBorder="1" applyAlignment="1">
      <alignment vertical="center" wrapText="1"/>
    </xf>
    <xf numFmtId="0" fontId="19" fillId="2" borderId="8" xfId="1" applyFont="1" applyFill="1" applyBorder="1" applyAlignment="1">
      <alignment horizontal="center" vertical="center"/>
    </xf>
    <xf numFmtId="0" fontId="23" fillId="2" borderId="8" xfId="1" applyFont="1" applyFill="1" applyBorder="1" applyAlignment="1">
      <alignment vertical="center" wrapText="1"/>
    </xf>
    <xf numFmtId="0" fontId="23" fillId="2" borderId="12" xfId="1" applyFont="1" applyFill="1" applyBorder="1" applyAlignment="1">
      <alignment vertical="center" wrapText="1"/>
    </xf>
    <xf numFmtId="0" fontId="25" fillId="2" borderId="8" xfId="1" applyFont="1" applyFill="1" applyBorder="1" applyAlignment="1">
      <alignment horizontal="center" vertical="center"/>
    </xf>
    <xf numFmtId="0" fontId="24" fillId="2" borderId="8" xfId="1" applyFont="1" applyFill="1" applyBorder="1" applyAlignment="1">
      <alignment vertical="center" wrapText="1"/>
    </xf>
    <xf numFmtId="0" fontId="23" fillId="4" borderId="9" xfId="1" applyFont="1" applyFill="1" applyBorder="1" applyAlignment="1">
      <alignment vertical="center"/>
    </xf>
    <xf numFmtId="0" fontId="23" fillId="4" borderId="13" xfId="1" applyFont="1" applyFill="1" applyBorder="1" applyAlignment="1">
      <alignment horizontal="center" vertical="center"/>
    </xf>
    <xf numFmtId="0" fontId="23" fillId="4" borderId="9" xfId="1" applyFont="1" applyFill="1" applyBorder="1" applyAlignment="1">
      <alignment horizontal="center" vertical="center"/>
    </xf>
    <xf numFmtId="3" fontId="29" fillId="4" borderId="13" xfId="1" applyNumberFormat="1" applyFont="1" applyFill="1" applyBorder="1" applyAlignment="1">
      <alignment horizontal="left" vertical="center"/>
    </xf>
    <xf numFmtId="0" fontId="23" fillId="5" borderId="9" xfId="3" applyFont="1" applyFill="1" applyBorder="1" applyAlignment="1">
      <alignment horizontal="center" vertical="center"/>
    </xf>
    <xf numFmtId="0" fontId="23" fillId="5" borderId="7" xfId="1" applyFont="1" applyFill="1" applyBorder="1" applyAlignment="1">
      <alignment horizontal="center" vertical="center"/>
    </xf>
    <xf numFmtId="0" fontId="23" fillId="5" borderId="9" xfId="3" applyFont="1" applyFill="1" applyBorder="1"/>
    <xf numFmtId="0" fontId="19" fillId="5" borderId="9" xfId="1" applyFont="1" applyFill="1" applyBorder="1" applyAlignment="1">
      <alignment horizontal="center" vertical="center"/>
    </xf>
    <xf numFmtId="44" fontId="19" fillId="5" borderId="9" xfId="1" applyNumberFormat="1" applyFont="1" applyFill="1" applyBorder="1" applyAlignment="1">
      <alignment horizontal="right" vertical="center"/>
    </xf>
    <xf numFmtId="0" fontId="23" fillId="7" borderId="9" xfId="1" applyFont="1" applyFill="1" applyBorder="1" applyAlignment="1">
      <alignment horizontal="right" vertical="center"/>
    </xf>
    <xf numFmtId="44" fontId="23" fillId="7" borderId="9" xfId="1" applyNumberFormat="1" applyFont="1" applyFill="1" applyBorder="1" applyAlignment="1">
      <alignment horizontal="right" vertical="center"/>
    </xf>
    <xf numFmtId="0" fontId="4" fillId="0" borderId="0" xfId="1" applyFont="1" applyAlignment="1">
      <alignment vertical="center"/>
    </xf>
    <xf numFmtId="0" fontId="3" fillId="0" borderId="0" xfId="1" applyFont="1" applyAlignment="1">
      <alignment horizontal="center" vertical="center"/>
    </xf>
    <xf numFmtId="0" fontId="2" fillId="0" borderId="0" xfId="1" applyAlignment="1">
      <alignment vertical="center"/>
    </xf>
    <xf numFmtId="0" fontId="4" fillId="0" borderId="0" xfId="1" applyFont="1" applyAlignment="1">
      <alignment vertical="center"/>
    </xf>
    <xf numFmtId="0" fontId="4" fillId="2" borderId="5" xfId="2" applyFont="1" applyFill="1" applyBorder="1" applyAlignment="1">
      <alignment vertical="center"/>
    </xf>
    <xf numFmtId="0" fontId="4" fillId="2" borderId="0" xfId="2" applyFont="1" applyFill="1" applyAlignment="1">
      <alignment vertical="center"/>
    </xf>
    <xf numFmtId="0" fontId="4" fillId="2" borderId="6" xfId="2" applyFont="1" applyFill="1" applyBorder="1" applyAlignment="1">
      <alignment vertical="center"/>
    </xf>
    <xf numFmtId="0" fontId="4" fillId="2" borderId="7" xfId="2" applyFont="1" applyFill="1" applyBorder="1" applyAlignment="1">
      <alignment vertical="center"/>
    </xf>
    <xf numFmtId="0" fontId="4" fillId="2" borderId="1" xfId="2" applyFont="1" applyFill="1" applyBorder="1" applyAlignment="1">
      <alignment vertical="center"/>
    </xf>
    <xf numFmtId="0" fontId="4" fillId="2" borderId="8" xfId="2" applyFont="1" applyFill="1" applyBorder="1" applyAlignment="1">
      <alignment vertical="center"/>
    </xf>
    <xf numFmtId="0" fontId="3" fillId="0" borderId="1" xfId="1" applyFont="1" applyBorder="1" applyAlignment="1">
      <alignment horizontal="center" vertical="center"/>
    </xf>
    <xf numFmtId="0" fontId="2" fillId="0" borderId="1" xfId="1" applyBorder="1" applyAlignment="1">
      <alignment vertical="center"/>
    </xf>
    <xf numFmtId="0" fontId="3" fillId="2" borderId="2" xfId="2" applyFont="1" applyFill="1" applyBorder="1" applyAlignment="1">
      <alignment vertical="center"/>
    </xf>
    <xf numFmtId="0" fontId="3" fillId="2" borderId="3" xfId="2" applyFont="1" applyFill="1" applyBorder="1" applyAlignment="1">
      <alignment vertical="center"/>
    </xf>
    <xf numFmtId="0" fontId="4" fillId="2" borderId="3" xfId="2" applyFont="1" applyFill="1" applyBorder="1" applyAlignment="1">
      <alignment vertical="center"/>
    </xf>
    <xf numFmtId="0" fontId="4" fillId="2" borderId="4" xfId="2" applyFont="1" applyFill="1" applyBorder="1" applyAlignment="1">
      <alignment vertical="center"/>
    </xf>
    <xf numFmtId="0" fontId="3" fillId="6" borderId="0" xfId="1" applyFont="1" applyFill="1" applyAlignment="1">
      <alignment horizontal="center" wrapText="1"/>
    </xf>
    <xf numFmtId="0" fontId="3" fillId="6" borderId="0" xfId="1" applyFont="1" applyFill="1" applyAlignment="1">
      <alignment horizontal="center" vertical="center"/>
    </xf>
    <xf numFmtId="0" fontId="16" fillId="6" borderId="10" xfId="8" applyFont="1" applyFill="1" applyBorder="1" applyAlignment="1">
      <alignment horizontal="left" vertical="center" wrapText="1"/>
    </xf>
    <xf numFmtId="0" fontId="16" fillId="6" borderId="13" xfId="8" applyFont="1" applyFill="1" applyBorder="1" applyAlignment="1">
      <alignment horizontal="left" vertical="center" wrapText="1"/>
    </xf>
    <xf numFmtId="0" fontId="27" fillId="6" borderId="13" xfId="1" applyFont="1" applyFill="1" applyBorder="1" applyAlignment="1">
      <alignment vertical="center"/>
    </xf>
    <xf numFmtId="0" fontId="3" fillId="0" borderId="0" xfId="1" applyFont="1" applyAlignment="1">
      <alignment horizontal="center" wrapText="1"/>
    </xf>
    <xf numFmtId="0" fontId="3" fillId="4" borderId="10" xfId="1" applyFont="1" applyFill="1" applyBorder="1" applyAlignment="1">
      <alignment horizontal="center" vertical="center" wrapText="1"/>
    </xf>
    <xf numFmtId="0" fontId="3" fillId="4" borderId="13" xfId="1" applyFont="1" applyFill="1" applyBorder="1" applyAlignment="1">
      <alignment horizontal="center" vertical="center" wrapText="1"/>
    </xf>
    <xf numFmtId="0" fontId="3" fillId="2" borderId="2" xfId="1" applyFont="1" applyFill="1" applyBorder="1" applyAlignment="1">
      <alignment vertical="top" wrapText="1"/>
    </xf>
    <xf numFmtId="0" fontId="3" fillId="2" borderId="3" xfId="1" applyFont="1" applyFill="1" applyBorder="1" applyAlignment="1">
      <alignment vertical="top" wrapText="1"/>
    </xf>
    <xf numFmtId="0" fontId="4" fillId="2" borderId="3" xfId="1" applyFont="1" applyFill="1" applyBorder="1" applyAlignment="1">
      <alignment vertical="top" wrapText="1"/>
    </xf>
    <xf numFmtId="0" fontId="4" fillId="2" borderId="4" xfId="1" applyFont="1" applyFill="1" applyBorder="1" applyAlignment="1">
      <alignment vertical="top" wrapText="1"/>
    </xf>
    <xf numFmtId="0" fontId="4" fillId="2" borderId="5" xfId="1" applyFont="1" applyFill="1" applyBorder="1" applyAlignment="1">
      <alignment vertical="top" wrapText="1"/>
    </xf>
    <xf numFmtId="0" fontId="4" fillId="2" borderId="0" xfId="1" applyFont="1" applyFill="1" applyAlignment="1">
      <alignment vertical="top" wrapText="1"/>
    </xf>
    <xf numFmtId="0" fontId="4" fillId="2" borderId="6" xfId="1" applyFont="1" applyFill="1" applyBorder="1" applyAlignment="1">
      <alignment vertical="top" wrapText="1"/>
    </xf>
    <xf numFmtId="0" fontId="4" fillId="2" borderId="7" xfId="1" applyFont="1" applyFill="1" applyBorder="1" applyAlignment="1">
      <alignment vertical="top" wrapText="1"/>
    </xf>
    <xf numFmtId="0" fontId="4" fillId="2" borderId="1" xfId="1" applyFont="1" applyFill="1" applyBorder="1" applyAlignment="1">
      <alignment vertical="top" wrapText="1"/>
    </xf>
    <xf numFmtId="0" fontId="4" fillId="2" borderId="8" xfId="1" applyFont="1" applyFill="1" applyBorder="1" applyAlignment="1">
      <alignment vertical="top" wrapText="1"/>
    </xf>
    <xf numFmtId="0" fontId="3" fillId="0" borderId="10" xfId="9" applyFont="1" applyBorder="1" applyAlignment="1">
      <alignment horizontal="left" vertical="center" wrapText="1"/>
    </xf>
    <xf numFmtId="0" fontId="3" fillId="0" borderId="13" xfId="9" applyFont="1" applyBorder="1" applyAlignment="1">
      <alignment horizontal="left" vertical="center" wrapText="1"/>
    </xf>
    <xf numFmtId="0" fontId="2" fillId="0" borderId="13" xfId="1" applyBorder="1" applyAlignment="1">
      <alignment vertical="center"/>
    </xf>
    <xf numFmtId="0" fontId="3" fillId="4" borderId="10" xfId="11" applyFont="1" applyFill="1" applyBorder="1" applyAlignment="1">
      <alignment horizontal="left" vertical="center" wrapText="1"/>
    </xf>
    <xf numFmtId="0" fontId="3" fillId="4" borderId="13" xfId="11" applyFont="1" applyFill="1" applyBorder="1" applyAlignment="1">
      <alignment horizontal="left" vertical="center" wrapText="1"/>
    </xf>
    <xf numFmtId="0" fontId="3" fillId="4" borderId="12" xfId="11" applyFont="1" applyFill="1" applyBorder="1" applyAlignment="1">
      <alignment horizontal="left" vertical="center" wrapText="1"/>
    </xf>
    <xf numFmtId="0" fontId="3" fillId="0" borderId="0" xfId="1" applyFont="1" applyAlignment="1">
      <alignment vertical="center"/>
    </xf>
    <xf numFmtId="0" fontId="24" fillId="5" borderId="9" xfId="13" applyFont="1" applyFill="1" applyBorder="1" applyAlignment="1">
      <alignment horizontal="center" vertical="center"/>
    </xf>
    <xf numFmtId="0" fontId="24" fillId="5" borderId="9" xfId="13" applyFont="1" applyFill="1" applyBorder="1"/>
    <xf numFmtId="0" fontId="25" fillId="0" borderId="0" xfId="13" applyFont="1"/>
    <xf numFmtId="0" fontId="16" fillId="6" borderId="9" xfId="8" applyFont="1" applyFill="1" applyBorder="1" applyAlignment="1">
      <alignment horizontal="center" vertical="center" wrapText="1"/>
    </xf>
    <xf numFmtId="164" fontId="16" fillId="6" borderId="9" xfId="10" applyNumberFormat="1" applyFont="1" applyFill="1" applyBorder="1" applyAlignment="1">
      <alignment horizontal="center" vertical="center" wrapText="1"/>
    </xf>
    <xf numFmtId="0" fontId="3" fillId="0" borderId="9" xfId="9" applyFont="1" applyBorder="1" applyAlignment="1">
      <alignment horizontal="center" vertical="center" wrapText="1"/>
    </xf>
    <xf numFmtId="164" fontId="3" fillId="4" borderId="9" xfId="1" applyNumberFormat="1" applyFont="1" applyFill="1" applyBorder="1" applyAlignment="1">
      <alignment horizontal="right" vertical="center" wrapText="1"/>
    </xf>
    <xf numFmtId="164" fontId="3" fillId="3" borderId="0" xfId="1" applyNumberFormat="1" applyFont="1" applyFill="1" applyAlignment="1">
      <alignment horizontal="right" vertical="top" wrapText="1"/>
    </xf>
    <xf numFmtId="0" fontId="16" fillId="0" borderId="9" xfId="9" applyFont="1" applyBorder="1" applyAlignment="1">
      <alignment horizontal="center" vertical="center" wrapText="1"/>
    </xf>
    <xf numFmtId="164" fontId="3" fillId="0" borderId="9" xfId="10" applyNumberFormat="1" applyFont="1" applyBorder="1" applyAlignment="1">
      <alignment horizontal="center" vertical="center" wrapText="1"/>
    </xf>
  </cellXfs>
  <cellStyles count="17">
    <cellStyle name="Normal" xfId="0" builtinId="0"/>
    <cellStyle name="Normal 10 2" xfId="1" xr:uid="{F32DB63D-8CEE-40C2-90F0-01A0EFBF7C6F}"/>
    <cellStyle name="Normal 10 2 2 4" xfId="4" xr:uid="{1E600CAA-5655-4903-8C25-844309BBE3A4}"/>
    <cellStyle name="Normal 16 2" xfId="5" xr:uid="{653BCF5F-30C5-493F-842F-D9B5B756E5F6}"/>
    <cellStyle name="Normal 16 2 2" xfId="13" xr:uid="{9CD05605-4F0A-43E9-8D1F-0A9ACE2D8853}"/>
    <cellStyle name="Normal 16 2 2 2" xfId="14" xr:uid="{30D61306-8024-406D-BF44-5B6BCD0BA276}"/>
    <cellStyle name="Normal 16 2 2 3" xfId="15" xr:uid="{CC7993CF-6783-4EDC-A6BB-FA69BA63C1F0}"/>
    <cellStyle name="Normal 17 5" xfId="12" xr:uid="{CDC28262-118D-4501-9040-E9190CCF289E}"/>
    <cellStyle name="Normal 19" xfId="3" xr:uid="{F1FDAE9B-9C53-41B7-85DC-C4588362FE32}"/>
    <cellStyle name="Normal 2 2 2 2 2" xfId="10" xr:uid="{150AF362-10A0-4176-9055-33DF1AEB2365}"/>
    <cellStyle name="Normal 3" xfId="7" xr:uid="{103D40E1-B089-4A43-A993-BCCA0AF52ECB}"/>
    <cellStyle name="Normal 3 2 10 2 2 2 2 2 2 2" xfId="2" xr:uid="{38053A16-12FD-4532-9603-DBB6FC8DB4A4}"/>
    <cellStyle name="Normal 5" xfId="6" xr:uid="{038DF9DA-782D-4CB1-BFF2-9908B11962DE}"/>
    <cellStyle name="Normal 6" xfId="16" xr:uid="{F9DA2717-1C59-4515-B1D5-4723D902A820}"/>
    <cellStyle name="Normal 60" xfId="11" xr:uid="{CE551A82-339A-44FB-B428-35EDF6AD3F24}"/>
    <cellStyle name="Normal_Attachment J-0200000-07 Elins 3 2" xfId="8" xr:uid="{9D2D67E2-D914-4A48-93C3-E970AD1EDF8F}"/>
    <cellStyle name="Normal_Attachment J-0200000-07 Elins 3 2 3" xfId="9" xr:uid="{805A53B3-FB3A-4594-992B-43B1A82277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0</xdr:colOff>
      <xdr:row>55</xdr:row>
      <xdr:rowOff>0</xdr:rowOff>
    </xdr:from>
    <xdr:to>
      <xdr:col>0</xdr:col>
      <xdr:colOff>0</xdr:colOff>
      <xdr:row>55</xdr:row>
      <xdr:rowOff>0</xdr:rowOff>
    </xdr:to>
    <xdr:sp macro="" textlink="">
      <xdr:nvSpPr>
        <xdr:cNvPr id="2" name="Text Box 145">
          <a:extLst>
            <a:ext uri="{FF2B5EF4-FFF2-40B4-BE49-F238E27FC236}">
              <a16:creationId xmlns:a16="http://schemas.microsoft.com/office/drawing/2014/main" id="{02129E47-39C3-404F-A461-41F675E6612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 name="Text Box 150">
          <a:extLst>
            <a:ext uri="{FF2B5EF4-FFF2-40B4-BE49-F238E27FC236}">
              <a16:creationId xmlns:a16="http://schemas.microsoft.com/office/drawing/2014/main" id="{F3D2D679-8DC9-4894-A09E-141D74376CC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 name="Text Box 151">
          <a:extLst>
            <a:ext uri="{FF2B5EF4-FFF2-40B4-BE49-F238E27FC236}">
              <a16:creationId xmlns:a16="http://schemas.microsoft.com/office/drawing/2014/main" id="{B406CF2F-03FE-44F5-BCCC-E6886D4CD58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 name="Text Box 152">
          <a:extLst>
            <a:ext uri="{FF2B5EF4-FFF2-40B4-BE49-F238E27FC236}">
              <a16:creationId xmlns:a16="http://schemas.microsoft.com/office/drawing/2014/main" id="{5239425E-908F-447B-96E8-1C186CE49F5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6" name="Text Box 153">
          <a:extLst>
            <a:ext uri="{FF2B5EF4-FFF2-40B4-BE49-F238E27FC236}">
              <a16:creationId xmlns:a16="http://schemas.microsoft.com/office/drawing/2014/main" id="{599BD473-6DB4-43EF-8B7C-D8021B0674B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7" name="Text Box 154">
          <a:extLst>
            <a:ext uri="{FF2B5EF4-FFF2-40B4-BE49-F238E27FC236}">
              <a16:creationId xmlns:a16="http://schemas.microsoft.com/office/drawing/2014/main" id="{98B9AAC6-313C-41BB-AB61-B7EA3E1C12F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8" name="Text Box 155">
          <a:extLst>
            <a:ext uri="{FF2B5EF4-FFF2-40B4-BE49-F238E27FC236}">
              <a16:creationId xmlns:a16="http://schemas.microsoft.com/office/drawing/2014/main" id="{D1DAA097-3B61-41B2-A9C5-08E1D7FF053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9" name="Text Box 156">
          <a:extLst>
            <a:ext uri="{FF2B5EF4-FFF2-40B4-BE49-F238E27FC236}">
              <a16:creationId xmlns:a16="http://schemas.microsoft.com/office/drawing/2014/main" id="{035A8C2B-BCA5-4E90-A771-F5A1A833B0A9}"/>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0" name="Text Box 157">
          <a:extLst>
            <a:ext uri="{FF2B5EF4-FFF2-40B4-BE49-F238E27FC236}">
              <a16:creationId xmlns:a16="http://schemas.microsoft.com/office/drawing/2014/main" id="{B084BD44-DA9D-4DA7-9577-5AD9BD8B6F5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1" name="Text Box 158">
          <a:extLst>
            <a:ext uri="{FF2B5EF4-FFF2-40B4-BE49-F238E27FC236}">
              <a16:creationId xmlns:a16="http://schemas.microsoft.com/office/drawing/2014/main" id="{37B20D12-5DBB-40AB-BE11-C03CBA9CCF2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2" name="Text Box 159">
          <a:extLst>
            <a:ext uri="{FF2B5EF4-FFF2-40B4-BE49-F238E27FC236}">
              <a16:creationId xmlns:a16="http://schemas.microsoft.com/office/drawing/2014/main" id="{E0C4CBD7-A75A-4383-812C-AB564ED5A45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3" name="Text Box 160">
          <a:extLst>
            <a:ext uri="{FF2B5EF4-FFF2-40B4-BE49-F238E27FC236}">
              <a16:creationId xmlns:a16="http://schemas.microsoft.com/office/drawing/2014/main" id="{06429031-2EFB-4C23-9121-D46A256A0C3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4" name="Text Box 161">
          <a:extLst>
            <a:ext uri="{FF2B5EF4-FFF2-40B4-BE49-F238E27FC236}">
              <a16:creationId xmlns:a16="http://schemas.microsoft.com/office/drawing/2014/main" id="{721A94E3-97FB-41AC-8885-77B8F6BD935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5" name="Text Box 162">
          <a:extLst>
            <a:ext uri="{FF2B5EF4-FFF2-40B4-BE49-F238E27FC236}">
              <a16:creationId xmlns:a16="http://schemas.microsoft.com/office/drawing/2014/main" id="{301BA546-9E84-4D75-80F9-85AC171E180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6" name="Text Box 163">
          <a:extLst>
            <a:ext uri="{FF2B5EF4-FFF2-40B4-BE49-F238E27FC236}">
              <a16:creationId xmlns:a16="http://schemas.microsoft.com/office/drawing/2014/main" id="{B8469B1E-6B79-4CFB-AEFC-0378A06269E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7" name="Text Box 164">
          <a:extLst>
            <a:ext uri="{FF2B5EF4-FFF2-40B4-BE49-F238E27FC236}">
              <a16:creationId xmlns:a16="http://schemas.microsoft.com/office/drawing/2014/main" id="{9F91464A-6BAE-4AB6-A409-3D3FCFE75ED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8" name="Text Box 165">
          <a:extLst>
            <a:ext uri="{FF2B5EF4-FFF2-40B4-BE49-F238E27FC236}">
              <a16:creationId xmlns:a16="http://schemas.microsoft.com/office/drawing/2014/main" id="{110A4864-0C00-4355-B554-504E1693A11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9" name="Text Box 166">
          <a:extLst>
            <a:ext uri="{FF2B5EF4-FFF2-40B4-BE49-F238E27FC236}">
              <a16:creationId xmlns:a16="http://schemas.microsoft.com/office/drawing/2014/main" id="{AB8A2986-463A-4223-BA20-2419823E625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0" name="Text Box 167">
          <a:extLst>
            <a:ext uri="{FF2B5EF4-FFF2-40B4-BE49-F238E27FC236}">
              <a16:creationId xmlns:a16="http://schemas.microsoft.com/office/drawing/2014/main" id="{EDDE0C85-0A79-4F49-B31E-2A96255D8DB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1" name="Text Box 168">
          <a:extLst>
            <a:ext uri="{FF2B5EF4-FFF2-40B4-BE49-F238E27FC236}">
              <a16:creationId xmlns:a16="http://schemas.microsoft.com/office/drawing/2014/main" id="{21009733-992D-4D8C-91A9-9763C49DF1F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2" name="Text Box 169">
          <a:extLst>
            <a:ext uri="{FF2B5EF4-FFF2-40B4-BE49-F238E27FC236}">
              <a16:creationId xmlns:a16="http://schemas.microsoft.com/office/drawing/2014/main" id="{C5AB998D-4EBC-4213-A870-58A7840C934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3" name="Text Box 170">
          <a:extLst>
            <a:ext uri="{FF2B5EF4-FFF2-40B4-BE49-F238E27FC236}">
              <a16:creationId xmlns:a16="http://schemas.microsoft.com/office/drawing/2014/main" id="{842F0978-EC7A-4A0C-9ADB-930E2EB384E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4" name="Text Box 171">
          <a:extLst>
            <a:ext uri="{FF2B5EF4-FFF2-40B4-BE49-F238E27FC236}">
              <a16:creationId xmlns:a16="http://schemas.microsoft.com/office/drawing/2014/main" id="{5AE0442D-18A5-404C-9D87-3F4E193CABA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5" name="Text Box 172">
          <a:extLst>
            <a:ext uri="{FF2B5EF4-FFF2-40B4-BE49-F238E27FC236}">
              <a16:creationId xmlns:a16="http://schemas.microsoft.com/office/drawing/2014/main" id="{AD4BE4B2-621F-4B82-A54F-C5BA756522A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6" name="Text Box 173">
          <a:extLst>
            <a:ext uri="{FF2B5EF4-FFF2-40B4-BE49-F238E27FC236}">
              <a16:creationId xmlns:a16="http://schemas.microsoft.com/office/drawing/2014/main" id="{A1E82161-CC2E-469A-81F2-A59C60715FB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7" name="Text Box 174">
          <a:extLst>
            <a:ext uri="{FF2B5EF4-FFF2-40B4-BE49-F238E27FC236}">
              <a16:creationId xmlns:a16="http://schemas.microsoft.com/office/drawing/2014/main" id="{7FB8DAF4-9E82-4DE0-A4BA-A41CF68033D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8" name="Text Box 175">
          <a:extLst>
            <a:ext uri="{FF2B5EF4-FFF2-40B4-BE49-F238E27FC236}">
              <a16:creationId xmlns:a16="http://schemas.microsoft.com/office/drawing/2014/main" id="{79227886-00B5-4891-95C0-26F11C9E8CD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9" name="Text Box 176">
          <a:extLst>
            <a:ext uri="{FF2B5EF4-FFF2-40B4-BE49-F238E27FC236}">
              <a16:creationId xmlns:a16="http://schemas.microsoft.com/office/drawing/2014/main" id="{A97B7233-3173-445C-A626-E09599C2632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0" name="Text Box 177">
          <a:extLst>
            <a:ext uri="{FF2B5EF4-FFF2-40B4-BE49-F238E27FC236}">
              <a16:creationId xmlns:a16="http://schemas.microsoft.com/office/drawing/2014/main" id="{3088A007-76F9-43E8-8519-1D22F3508E8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1" name="Text Box 178">
          <a:extLst>
            <a:ext uri="{FF2B5EF4-FFF2-40B4-BE49-F238E27FC236}">
              <a16:creationId xmlns:a16="http://schemas.microsoft.com/office/drawing/2014/main" id="{8E0D3E5E-E1E4-4ED9-9BA5-3FC99B8BB75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2" name="Text Box 179">
          <a:extLst>
            <a:ext uri="{FF2B5EF4-FFF2-40B4-BE49-F238E27FC236}">
              <a16:creationId xmlns:a16="http://schemas.microsoft.com/office/drawing/2014/main" id="{61605641-6CB2-4CBF-9213-1EAA0CC718C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3" name="Text Box 180">
          <a:extLst>
            <a:ext uri="{FF2B5EF4-FFF2-40B4-BE49-F238E27FC236}">
              <a16:creationId xmlns:a16="http://schemas.microsoft.com/office/drawing/2014/main" id="{7D763958-DD51-4B0C-9672-F25B07C77A8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4" name="Text Box 181">
          <a:extLst>
            <a:ext uri="{FF2B5EF4-FFF2-40B4-BE49-F238E27FC236}">
              <a16:creationId xmlns:a16="http://schemas.microsoft.com/office/drawing/2014/main" id="{6C17FA79-3859-4CA9-B451-39364A0CEE8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5" name="Text Box 182">
          <a:extLst>
            <a:ext uri="{FF2B5EF4-FFF2-40B4-BE49-F238E27FC236}">
              <a16:creationId xmlns:a16="http://schemas.microsoft.com/office/drawing/2014/main" id="{47E38C12-E109-4B1B-B8C7-C66BAA35B292}"/>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6" name="Text Box 183">
          <a:extLst>
            <a:ext uri="{FF2B5EF4-FFF2-40B4-BE49-F238E27FC236}">
              <a16:creationId xmlns:a16="http://schemas.microsoft.com/office/drawing/2014/main" id="{5C7E1F7B-4B53-43CB-8FEA-82E467FC9BE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7" name="Text Box 187">
          <a:extLst>
            <a:ext uri="{FF2B5EF4-FFF2-40B4-BE49-F238E27FC236}">
              <a16:creationId xmlns:a16="http://schemas.microsoft.com/office/drawing/2014/main" id="{1453FE1A-B208-4A4F-875B-62FE732BEDE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8" name="Text Box 188">
          <a:extLst>
            <a:ext uri="{FF2B5EF4-FFF2-40B4-BE49-F238E27FC236}">
              <a16:creationId xmlns:a16="http://schemas.microsoft.com/office/drawing/2014/main" id="{6A49C77B-1DEE-43EA-8566-EE854425E6E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9" name="Text Box 189">
          <a:extLst>
            <a:ext uri="{FF2B5EF4-FFF2-40B4-BE49-F238E27FC236}">
              <a16:creationId xmlns:a16="http://schemas.microsoft.com/office/drawing/2014/main" id="{BFC3BC7E-F881-4711-96F1-E6169F6D2401}"/>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40" name="Text Box 190">
          <a:extLst>
            <a:ext uri="{FF2B5EF4-FFF2-40B4-BE49-F238E27FC236}">
              <a16:creationId xmlns:a16="http://schemas.microsoft.com/office/drawing/2014/main" id="{5240F48D-69B6-4BA5-B9F4-4C43EAFF24E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1" name="Text Box 191">
          <a:extLst>
            <a:ext uri="{FF2B5EF4-FFF2-40B4-BE49-F238E27FC236}">
              <a16:creationId xmlns:a16="http://schemas.microsoft.com/office/drawing/2014/main" id="{199D06F7-B355-49A1-AB75-F6728185B5D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2" name="Text Box 192">
          <a:extLst>
            <a:ext uri="{FF2B5EF4-FFF2-40B4-BE49-F238E27FC236}">
              <a16:creationId xmlns:a16="http://schemas.microsoft.com/office/drawing/2014/main" id="{471724D5-D5EF-4086-B52D-5D008EE3E27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3" name="Text Box 193">
          <a:extLst>
            <a:ext uri="{FF2B5EF4-FFF2-40B4-BE49-F238E27FC236}">
              <a16:creationId xmlns:a16="http://schemas.microsoft.com/office/drawing/2014/main" id="{6B67D4CF-1B08-4F7D-8968-FC7129FD656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4" name="Text Box 194">
          <a:extLst>
            <a:ext uri="{FF2B5EF4-FFF2-40B4-BE49-F238E27FC236}">
              <a16:creationId xmlns:a16="http://schemas.microsoft.com/office/drawing/2014/main" id="{56A4B2DD-ECF1-4947-8484-A5A2DBAEADE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5" name="Text Box 195">
          <a:extLst>
            <a:ext uri="{FF2B5EF4-FFF2-40B4-BE49-F238E27FC236}">
              <a16:creationId xmlns:a16="http://schemas.microsoft.com/office/drawing/2014/main" id="{C8FA8A18-9E00-413D-9859-07CCCFF2C71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6" name="Text Box 196">
          <a:extLst>
            <a:ext uri="{FF2B5EF4-FFF2-40B4-BE49-F238E27FC236}">
              <a16:creationId xmlns:a16="http://schemas.microsoft.com/office/drawing/2014/main" id="{7FC9D402-4129-48C8-8711-0EA18D10BB6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7" name="Text Box 197">
          <a:extLst>
            <a:ext uri="{FF2B5EF4-FFF2-40B4-BE49-F238E27FC236}">
              <a16:creationId xmlns:a16="http://schemas.microsoft.com/office/drawing/2014/main" id="{F0E12D06-1A4E-4708-B986-FA2A886CDCA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8" name="Text Box 198">
          <a:extLst>
            <a:ext uri="{FF2B5EF4-FFF2-40B4-BE49-F238E27FC236}">
              <a16:creationId xmlns:a16="http://schemas.microsoft.com/office/drawing/2014/main" id="{BA4524B0-9C9D-4DB0-932A-2686D2F1EB2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9" name="Text Box 199">
          <a:extLst>
            <a:ext uri="{FF2B5EF4-FFF2-40B4-BE49-F238E27FC236}">
              <a16:creationId xmlns:a16="http://schemas.microsoft.com/office/drawing/2014/main" id="{BAE8DF7D-E79A-4311-8ABF-373F2DD7ECB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0" name="Text Box 200">
          <a:extLst>
            <a:ext uri="{FF2B5EF4-FFF2-40B4-BE49-F238E27FC236}">
              <a16:creationId xmlns:a16="http://schemas.microsoft.com/office/drawing/2014/main" id="{C39B5435-E915-43E2-B4CE-0DFCE4303CD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1" name="Text Box 201">
          <a:extLst>
            <a:ext uri="{FF2B5EF4-FFF2-40B4-BE49-F238E27FC236}">
              <a16:creationId xmlns:a16="http://schemas.microsoft.com/office/drawing/2014/main" id="{66E099B7-10F7-4258-B52B-09450437F42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2" name="Text Box 202">
          <a:extLst>
            <a:ext uri="{FF2B5EF4-FFF2-40B4-BE49-F238E27FC236}">
              <a16:creationId xmlns:a16="http://schemas.microsoft.com/office/drawing/2014/main" id="{94A5D7A8-F485-4502-8355-BA5D58D52B8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55</xdr:row>
      <xdr:rowOff>0</xdr:rowOff>
    </xdr:from>
    <xdr:to>
      <xdr:col>0</xdr:col>
      <xdr:colOff>0</xdr:colOff>
      <xdr:row>55</xdr:row>
      <xdr:rowOff>0</xdr:rowOff>
    </xdr:to>
    <xdr:sp macro="" textlink="">
      <xdr:nvSpPr>
        <xdr:cNvPr id="2" name="Text Box 145">
          <a:extLst>
            <a:ext uri="{FF2B5EF4-FFF2-40B4-BE49-F238E27FC236}">
              <a16:creationId xmlns:a16="http://schemas.microsoft.com/office/drawing/2014/main" id="{86BBAB83-9DF4-461E-B77A-98F361849C6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 name="Text Box 150">
          <a:extLst>
            <a:ext uri="{FF2B5EF4-FFF2-40B4-BE49-F238E27FC236}">
              <a16:creationId xmlns:a16="http://schemas.microsoft.com/office/drawing/2014/main" id="{CAD547A7-024A-41C5-8C56-A5761299A04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 name="Text Box 151">
          <a:extLst>
            <a:ext uri="{FF2B5EF4-FFF2-40B4-BE49-F238E27FC236}">
              <a16:creationId xmlns:a16="http://schemas.microsoft.com/office/drawing/2014/main" id="{D670B3C1-D07C-479D-A71D-D61D2D320E9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 name="Text Box 152">
          <a:extLst>
            <a:ext uri="{FF2B5EF4-FFF2-40B4-BE49-F238E27FC236}">
              <a16:creationId xmlns:a16="http://schemas.microsoft.com/office/drawing/2014/main" id="{69AC4641-2098-48A9-88C7-D588997FAD9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6" name="Text Box 153">
          <a:extLst>
            <a:ext uri="{FF2B5EF4-FFF2-40B4-BE49-F238E27FC236}">
              <a16:creationId xmlns:a16="http://schemas.microsoft.com/office/drawing/2014/main" id="{4DD8823C-51AB-477D-8DDA-3F17BBB71A0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7" name="Text Box 154">
          <a:extLst>
            <a:ext uri="{FF2B5EF4-FFF2-40B4-BE49-F238E27FC236}">
              <a16:creationId xmlns:a16="http://schemas.microsoft.com/office/drawing/2014/main" id="{2397E6D9-5393-44D6-9539-54DBCE662CB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8" name="Text Box 155">
          <a:extLst>
            <a:ext uri="{FF2B5EF4-FFF2-40B4-BE49-F238E27FC236}">
              <a16:creationId xmlns:a16="http://schemas.microsoft.com/office/drawing/2014/main" id="{E0A6FF81-F1FA-4575-A76D-E14E747C10F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9" name="Text Box 156">
          <a:extLst>
            <a:ext uri="{FF2B5EF4-FFF2-40B4-BE49-F238E27FC236}">
              <a16:creationId xmlns:a16="http://schemas.microsoft.com/office/drawing/2014/main" id="{05A97FDE-2607-4698-AA12-290148157744}"/>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0" name="Text Box 157">
          <a:extLst>
            <a:ext uri="{FF2B5EF4-FFF2-40B4-BE49-F238E27FC236}">
              <a16:creationId xmlns:a16="http://schemas.microsoft.com/office/drawing/2014/main" id="{9BF58639-318A-4F3B-9742-1CDB02A2A14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1" name="Text Box 158">
          <a:extLst>
            <a:ext uri="{FF2B5EF4-FFF2-40B4-BE49-F238E27FC236}">
              <a16:creationId xmlns:a16="http://schemas.microsoft.com/office/drawing/2014/main" id="{1AF4BAEC-90D6-4228-97F3-0D97103FC25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2" name="Text Box 159">
          <a:extLst>
            <a:ext uri="{FF2B5EF4-FFF2-40B4-BE49-F238E27FC236}">
              <a16:creationId xmlns:a16="http://schemas.microsoft.com/office/drawing/2014/main" id="{A514B9F5-85AB-4A9A-9E43-043AB08E9F5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3" name="Text Box 160">
          <a:extLst>
            <a:ext uri="{FF2B5EF4-FFF2-40B4-BE49-F238E27FC236}">
              <a16:creationId xmlns:a16="http://schemas.microsoft.com/office/drawing/2014/main" id="{26969CEB-D866-4837-A35F-AA01D1B134A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4" name="Text Box 161">
          <a:extLst>
            <a:ext uri="{FF2B5EF4-FFF2-40B4-BE49-F238E27FC236}">
              <a16:creationId xmlns:a16="http://schemas.microsoft.com/office/drawing/2014/main" id="{44C13586-0D99-4C64-8BA7-A419585915E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5" name="Text Box 162">
          <a:extLst>
            <a:ext uri="{FF2B5EF4-FFF2-40B4-BE49-F238E27FC236}">
              <a16:creationId xmlns:a16="http://schemas.microsoft.com/office/drawing/2014/main" id="{398B6C44-02D3-4086-8CA9-B9107928C3E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6" name="Text Box 163">
          <a:extLst>
            <a:ext uri="{FF2B5EF4-FFF2-40B4-BE49-F238E27FC236}">
              <a16:creationId xmlns:a16="http://schemas.microsoft.com/office/drawing/2014/main" id="{C2AA9241-435E-49CD-8401-7459A3C8818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7" name="Text Box 164">
          <a:extLst>
            <a:ext uri="{FF2B5EF4-FFF2-40B4-BE49-F238E27FC236}">
              <a16:creationId xmlns:a16="http://schemas.microsoft.com/office/drawing/2014/main" id="{39C4F74F-7261-4616-8E2C-F67EEBA6BFB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8" name="Text Box 165">
          <a:extLst>
            <a:ext uri="{FF2B5EF4-FFF2-40B4-BE49-F238E27FC236}">
              <a16:creationId xmlns:a16="http://schemas.microsoft.com/office/drawing/2014/main" id="{AE888E55-1F15-435F-BBFE-53F89784640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9" name="Text Box 166">
          <a:extLst>
            <a:ext uri="{FF2B5EF4-FFF2-40B4-BE49-F238E27FC236}">
              <a16:creationId xmlns:a16="http://schemas.microsoft.com/office/drawing/2014/main" id="{63345DCB-29A6-4704-B9F2-E46ED6CE932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0" name="Text Box 167">
          <a:extLst>
            <a:ext uri="{FF2B5EF4-FFF2-40B4-BE49-F238E27FC236}">
              <a16:creationId xmlns:a16="http://schemas.microsoft.com/office/drawing/2014/main" id="{BA294C46-3932-4B82-9BC0-27D75D1F40A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1" name="Text Box 168">
          <a:extLst>
            <a:ext uri="{FF2B5EF4-FFF2-40B4-BE49-F238E27FC236}">
              <a16:creationId xmlns:a16="http://schemas.microsoft.com/office/drawing/2014/main" id="{896D067E-4D93-411C-B234-38E6E825F2B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2" name="Text Box 169">
          <a:extLst>
            <a:ext uri="{FF2B5EF4-FFF2-40B4-BE49-F238E27FC236}">
              <a16:creationId xmlns:a16="http://schemas.microsoft.com/office/drawing/2014/main" id="{E6EE9864-DC20-4B07-B623-05D60320154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3" name="Text Box 170">
          <a:extLst>
            <a:ext uri="{FF2B5EF4-FFF2-40B4-BE49-F238E27FC236}">
              <a16:creationId xmlns:a16="http://schemas.microsoft.com/office/drawing/2014/main" id="{C79BBA14-EF0F-4C32-B0B3-B40B8289DB2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4" name="Text Box 171">
          <a:extLst>
            <a:ext uri="{FF2B5EF4-FFF2-40B4-BE49-F238E27FC236}">
              <a16:creationId xmlns:a16="http://schemas.microsoft.com/office/drawing/2014/main" id="{9F006A7B-7C68-4BCF-A01D-AF3BD192033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5" name="Text Box 172">
          <a:extLst>
            <a:ext uri="{FF2B5EF4-FFF2-40B4-BE49-F238E27FC236}">
              <a16:creationId xmlns:a16="http://schemas.microsoft.com/office/drawing/2014/main" id="{B4CFCAF8-A5FC-4926-8C98-A401BF742FC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6" name="Text Box 173">
          <a:extLst>
            <a:ext uri="{FF2B5EF4-FFF2-40B4-BE49-F238E27FC236}">
              <a16:creationId xmlns:a16="http://schemas.microsoft.com/office/drawing/2014/main" id="{BC0D9D9C-93A8-471D-B2B5-9BF9C99A7F8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7" name="Text Box 174">
          <a:extLst>
            <a:ext uri="{FF2B5EF4-FFF2-40B4-BE49-F238E27FC236}">
              <a16:creationId xmlns:a16="http://schemas.microsoft.com/office/drawing/2014/main" id="{490CD6E2-0D0F-42BE-A31D-C70F96F77C4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8" name="Text Box 175">
          <a:extLst>
            <a:ext uri="{FF2B5EF4-FFF2-40B4-BE49-F238E27FC236}">
              <a16:creationId xmlns:a16="http://schemas.microsoft.com/office/drawing/2014/main" id="{32461FD3-DCE3-4D7C-88F7-BDAB747144E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9" name="Text Box 176">
          <a:extLst>
            <a:ext uri="{FF2B5EF4-FFF2-40B4-BE49-F238E27FC236}">
              <a16:creationId xmlns:a16="http://schemas.microsoft.com/office/drawing/2014/main" id="{CA1E646C-8E13-4F7C-A084-BB5DD782B06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0" name="Text Box 177">
          <a:extLst>
            <a:ext uri="{FF2B5EF4-FFF2-40B4-BE49-F238E27FC236}">
              <a16:creationId xmlns:a16="http://schemas.microsoft.com/office/drawing/2014/main" id="{DF195C46-004B-404A-828B-F74AF22E5AC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1" name="Text Box 178">
          <a:extLst>
            <a:ext uri="{FF2B5EF4-FFF2-40B4-BE49-F238E27FC236}">
              <a16:creationId xmlns:a16="http://schemas.microsoft.com/office/drawing/2014/main" id="{3DA80AA4-C666-4429-A4D9-DAA35397327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2" name="Text Box 179">
          <a:extLst>
            <a:ext uri="{FF2B5EF4-FFF2-40B4-BE49-F238E27FC236}">
              <a16:creationId xmlns:a16="http://schemas.microsoft.com/office/drawing/2014/main" id="{5364AFDF-BB1E-469E-B15D-7719D5EB4F7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3" name="Text Box 180">
          <a:extLst>
            <a:ext uri="{FF2B5EF4-FFF2-40B4-BE49-F238E27FC236}">
              <a16:creationId xmlns:a16="http://schemas.microsoft.com/office/drawing/2014/main" id="{F375C548-839D-4D74-9262-647B5EA85B1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4" name="Text Box 181">
          <a:extLst>
            <a:ext uri="{FF2B5EF4-FFF2-40B4-BE49-F238E27FC236}">
              <a16:creationId xmlns:a16="http://schemas.microsoft.com/office/drawing/2014/main" id="{53981B91-47B4-4140-9C3E-6F1CBEBD5D4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5" name="Text Box 182">
          <a:extLst>
            <a:ext uri="{FF2B5EF4-FFF2-40B4-BE49-F238E27FC236}">
              <a16:creationId xmlns:a16="http://schemas.microsoft.com/office/drawing/2014/main" id="{46E58E1E-591C-4B32-BA52-853650555D45}"/>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6" name="Text Box 183">
          <a:extLst>
            <a:ext uri="{FF2B5EF4-FFF2-40B4-BE49-F238E27FC236}">
              <a16:creationId xmlns:a16="http://schemas.microsoft.com/office/drawing/2014/main" id="{D3EEB4C2-2C3B-4E0B-81EE-F36623CD036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7" name="Text Box 187">
          <a:extLst>
            <a:ext uri="{FF2B5EF4-FFF2-40B4-BE49-F238E27FC236}">
              <a16:creationId xmlns:a16="http://schemas.microsoft.com/office/drawing/2014/main" id="{CF9B9DF2-FF41-4770-BDE0-D9020BD177A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8" name="Text Box 188">
          <a:extLst>
            <a:ext uri="{FF2B5EF4-FFF2-40B4-BE49-F238E27FC236}">
              <a16:creationId xmlns:a16="http://schemas.microsoft.com/office/drawing/2014/main" id="{21715987-4821-4546-92C0-DC88357676A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9" name="Text Box 189">
          <a:extLst>
            <a:ext uri="{FF2B5EF4-FFF2-40B4-BE49-F238E27FC236}">
              <a16:creationId xmlns:a16="http://schemas.microsoft.com/office/drawing/2014/main" id="{DBF111E6-0FB3-4375-B433-8787C3B1C275}"/>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40" name="Text Box 190">
          <a:extLst>
            <a:ext uri="{FF2B5EF4-FFF2-40B4-BE49-F238E27FC236}">
              <a16:creationId xmlns:a16="http://schemas.microsoft.com/office/drawing/2014/main" id="{ADF722EB-1874-4C8F-9689-DCE96B111A5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1" name="Text Box 191">
          <a:extLst>
            <a:ext uri="{FF2B5EF4-FFF2-40B4-BE49-F238E27FC236}">
              <a16:creationId xmlns:a16="http://schemas.microsoft.com/office/drawing/2014/main" id="{FC5460C2-D89A-44F5-9FD6-8937E884D7A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2" name="Text Box 192">
          <a:extLst>
            <a:ext uri="{FF2B5EF4-FFF2-40B4-BE49-F238E27FC236}">
              <a16:creationId xmlns:a16="http://schemas.microsoft.com/office/drawing/2014/main" id="{C4CAE8E4-6DE2-496E-9460-51260D1B24F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3" name="Text Box 193">
          <a:extLst>
            <a:ext uri="{FF2B5EF4-FFF2-40B4-BE49-F238E27FC236}">
              <a16:creationId xmlns:a16="http://schemas.microsoft.com/office/drawing/2014/main" id="{A0C2CBBF-D2EB-4AE4-A51A-01B7A27C9DF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4" name="Text Box 194">
          <a:extLst>
            <a:ext uri="{FF2B5EF4-FFF2-40B4-BE49-F238E27FC236}">
              <a16:creationId xmlns:a16="http://schemas.microsoft.com/office/drawing/2014/main" id="{2245E69B-EAB9-452A-9878-0A85EAEC5FE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5" name="Text Box 195">
          <a:extLst>
            <a:ext uri="{FF2B5EF4-FFF2-40B4-BE49-F238E27FC236}">
              <a16:creationId xmlns:a16="http://schemas.microsoft.com/office/drawing/2014/main" id="{F1689825-39C5-4B7C-80BF-430C96E6F00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6" name="Text Box 196">
          <a:extLst>
            <a:ext uri="{FF2B5EF4-FFF2-40B4-BE49-F238E27FC236}">
              <a16:creationId xmlns:a16="http://schemas.microsoft.com/office/drawing/2014/main" id="{DF41F81E-9E28-418F-AF67-0D67987672F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7" name="Text Box 197">
          <a:extLst>
            <a:ext uri="{FF2B5EF4-FFF2-40B4-BE49-F238E27FC236}">
              <a16:creationId xmlns:a16="http://schemas.microsoft.com/office/drawing/2014/main" id="{080898AD-D8FC-42A1-B096-B984BFE72D3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8" name="Text Box 198">
          <a:extLst>
            <a:ext uri="{FF2B5EF4-FFF2-40B4-BE49-F238E27FC236}">
              <a16:creationId xmlns:a16="http://schemas.microsoft.com/office/drawing/2014/main" id="{08506A73-D157-4FE5-BCDA-D18E9ABD41E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9" name="Text Box 199">
          <a:extLst>
            <a:ext uri="{FF2B5EF4-FFF2-40B4-BE49-F238E27FC236}">
              <a16:creationId xmlns:a16="http://schemas.microsoft.com/office/drawing/2014/main" id="{08861BBD-C5C6-44EC-9AFB-DB603ACB5D0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0" name="Text Box 200">
          <a:extLst>
            <a:ext uri="{FF2B5EF4-FFF2-40B4-BE49-F238E27FC236}">
              <a16:creationId xmlns:a16="http://schemas.microsoft.com/office/drawing/2014/main" id="{01271FD6-C3BB-450C-8EB4-BD931B28C57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1" name="Text Box 201">
          <a:extLst>
            <a:ext uri="{FF2B5EF4-FFF2-40B4-BE49-F238E27FC236}">
              <a16:creationId xmlns:a16="http://schemas.microsoft.com/office/drawing/2014/main" id="{CA3E46D6-73D2-425F-9DB8-191BA4AF6AC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2" name="Text Box 202">
          <a:extLst>
            <a:ext uri="{FF2B5EF4-FFF2-40B4-BE49-F238E27FC236}">
              <a16:creationId xmlns:a16="http://schemas.microsoft.com/office/drawing/2014/main" id="{796F0D63-488E-45F4-89BB-06916A23924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55</xdr:row>
      <xdr:rowOff>0</xdr:rowOff>
    </xdr:from>
    <xdr:to>
      <xdr:col>0</xdr:col>
      <xdr:colOff>0</xdr:colOff>
      <xdr:row>55</xdr:row>
      <xdr:rowOff>0</xdr:rowOff>
    </xdr:to>
    <xdr:sp macro="" textlink="">
      <xdr:nvSpPr>
        <xdr:cNvPr id="2" name="Text Box 145">
          <a:extLst>
            <a:ext uri="{FF2B5EF4-FFF2-40B4-BE49-F238E27FC236}">
              <a16:creationId xmlns:a16="http://schemas.microsoft.com/office/drawing/2014/main" id="{B73568AD-4E86-467C-B03F-6CC2B6E207A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 name="Text Box 150">
          <a:extLst>
            <a:ext uri="{FF2B5EF4-FFF2-40B4-BE49-F238E27FC236}">
              <a16:creationId xmlns:a16="http://schemas.microsoft.com/office/drawing/2014/main" id="{C2D11973-853B-4274-AEB1-A8DE0E869D9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 name="Text Box 151">
          <a:extLst>
            <a:ext uri="{FF2B5EF4-FFF2-40B4-BE49-F238E27FC236}">
              <a16:creationId xmlns:a16="http://schemas.microsoft.com/office/drawing/2014/main" id="{3CEC47DB-FCC4-4E1B-8359-19C9DC74D87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 name="Text Box 152">
          <a:extLst>
            <a:ext uri="{FF2B5EF4-FFF2-40B4-BE49-F238E27FC236}">
              <a16:creationId xmlns:a16="http://schemas.microsoft.com/office/drawing/2014/main" id="{11CE471E-A400-4A4E-B104-5952D962677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6" name="Text Box 153">
          <a:extLst>
            <a:ext uri="{FF2B5EF4-FFF2-40B4-BE49-F238E27FC236}">
              <a16:creationId xmlns:a16="http://schemas.microsoft.com/office/drawing/2014/main" id="{7CDD0FFD-9F29-46E6-826B-5724417B934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7" name="Text Box 154">
          <a:extLst>
            <a:ext uri="{FF2B5EF4-FFF2-40B4-BE49-F238E27FC236}">
              <a16:creationId xmlns:a16="http://schemas.microsoft.com/office/drawing/2014/main" id="{0776E7CC-41EF-47C9-A1A2-DAF3768DC2E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8" name="Text Box 155">
          <a:extLst>
            <a:ext uri="{FF2B5EF4-FFF2-40B4-BE49-F238E27FC236}">
              <a16:creationId xmlns:a16="http://schemas.microsoft.com/office/drawing/2014/main" id="{B2B6665B-4CAC-4CB2-B291-8FAF014C741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9" name="Text Box 156">
          <a:extLst>
            <a:ext uri="{FF2B5EF4-FFF2-40B4-BE49-F238E27FC236}">
              <a16:creationId xmlns:a16="http://schemas.microsoft.com/office/drawing/2014/main" id="{767FBAF0-3FC2-47D9-A419-4E6D773BE871}"/>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0" name="Text Box 157">
          <a:extLst>
            <a:ext uri="{FF2B5EF4-FFF2-40B4-BE49-F238E27FC236}">
              <a16:creationId xmlns:a16="http://schemas.microsoft.com/office/drawing/2014/main" id="{D2148184-E181-46C3-89C9-ADC0D7A15AE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1" name="Text Box 158">
          <a:extLst>
            <a:ext uri="{FF2B5EF4-FFF2-40B4-BE49-F238E27FC236}">
              <a16:creationId xmlns:a16="http://schemas.microsoft.com/office/drawing/2014/main" id="{319F777B-8C01-41AE-9C4A-9D7DF0D6223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2" name="Text Box 159">
          <a:extLst>
            <a:ext uri="{FF2B5EF4-FFF2-40B4-BE49-F238E27FC236}">
              <a16:creationId xmlns:a16="http://schemas.microsoft.com/office/drawing/2014/main" id="{D97359EF-143A-4D7C-A794-9D23B7C8352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3" name="Text Box 160">
          <a:extLst>
            <a:ext uri="{FF2B5EF4-FFF2-40B4-BE49-F238E27FC236}">
              <a16:creationId xmlns:a16="http://schemas.microsoft.com/office/drawing/2014/main" id="{BAED3322-DEF1-421E-A417-B5B03FDB84F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4" name="Text Box 161">
          <a:extLst>
            <a:ext uri="{FF2B5EF4-FFF2-40B4-BE49-F238E27FC236}">
              <a16:creationId xmlns:a16="http://schemas.microsoft.com/office/drawing/2014/main" id="{54E453DA-D3B7-4EB5-A535-8CAFBD85F51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5" name="Text Box 162">
          <a:extLst>
            <a:ext uri="{FF2B5EF4-FFF2-40B4-BE49-F238E27FC236}">
              <a16:creationId xmlns:a16="http://schemas.microsoft.com/office/drawing/2014/main" id="{7E1B75F5-C6C0-4645-A8FD-5B2C75E0A71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6" name="Text Box 163">
          <a:extLst>
            <a:ext uri="{FF2B5EF4-FFF2-40B4-BE49-F238E27FC236}">
              <a16:creationId xmlns:a16="http://schemas.microsoft.com/office/drawing/2014/main" id="{8B9617CE-2A8D-4C6C-935B-8A13C51072F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7" name="Text Box 164">
          <a:extLst>
            <a:ext uri="{FF2B5EF4-FFF2-40B4-BE49-F238E27FC236}">
              <a16:creationId xmlns:a16="http://schemas.microsoft.com/office/drawing/2014/main" id="{276C2DC3-A127-4E2B-B39D-2C5E2C18106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8" name="Text Box 165">
          <a:extLst>
            <a:ext uri="{FF2B5EF4-FFF2-40B4-BE49-F238E27FC236}">
              <a16:creationId xmlns:a16="http://schemas.microsoft.com/office/drawing/2014/main" id="{01E15A8A-763E-46DF-8C45-E72F52DBAD7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9" name="Text Box 166">
          <a:extLst>
            <a:ext uri="{FF2B5EF4-FFF2-40B4-BE49-F238E27FC236}">
              <a16:creationId xmlns:a16="http://schemas.microsoft.com/office/drawing/2014/main" id="{CB05837D-F1AE-4506-A5DC-9B1317039C5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0" name="Text Box 167">
          <a:extLst>
            <a:ext uri="{FF2B5EF4-FFF2-40B4-BE49-F238E27FC236}">
              <a16:creationId xmlns:a16="http://schemas.microsoft.com/office/drawing/2014/main" id="{7BE411CE-3C6F-4355-8A2B-197F9AD4DB7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1" name="Text Box 168">
          <a:extLst>
            <a:ext uri="{FF2B5EF4-FFF2-40B4-BE49-F238E27FC236}">
              <a16:creationId xmlns:a16="http://schemas.microsoft.com/office/drawing/2014/main" id="{186C797D-BF2F-4EA6-92D2-0E2F724E28D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2" name="Text Box 169">
          <a:extLst>
            <a:ext uri="{FF2B5EF4-FFF2-40B4-BE49-F238E27FC236}">
              <a16:creationId xmlns:a16="http://schemas.microsoft.com/office/drawing/2014/main" id="{35F5745B-F3B1-48D8-8F18-7D7B76BBEA5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3" name="Text Box 170">
          <a:extLst>
            <a:ext uri="{FF2B5EF4-FFF2-40B4-BE49-F238E27FC236}">
              <a16:creationId xmlns:a16="http://schemas.microsoft.com/office/drawing/2014/main" id="{3B76670B-379D-4DC4-8787-9ADD811DD75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4" name="Text Box 171">
          <a:extLst>
            <a:ext uri="{FF2B5EF4-FFF2-40B4-BE49-F238E27FC236}">
              <a16:creationId xmlns:a16="http://schemas.microsoft.com/office/drawing/2014/main" id="{C850D519-75D6-4217-923F-1753E694BF3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5" name="Text Box 172">
          <a:extLst>
            <a:ext uri="{FF2B5EF4-FFF2-40B4-BE49-F238E27FC236}">
              <a16:creationId xmlns:a16="http://schemas.microsoft.com/office/drawing/2014/main" id="{19715772-2409-49CC-9776-79E8E97E131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6" name="Text Box 173">
          <a:extLst>
            <a:ext uri="{FF2B5EF4-FFF2-40B4-BE49-F238E27FC236}">
              <a16:creationId xmlns:a16="http://schemas.microsoft.com/office/drawing/2014/main" id="{DF8CA52D-FB5C-4CB9-9020-37179513CB5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7" name="Text Box 174">
          <a:extLst>
            <a:ext uri="{FF2B5EF4-FFF2-40B4-BE49-F238E27FC236}">
              <a16:creationId xmlns:a16="http://schemas.microsoft.com/office/drawing/2014/main" id="{97D9A24D-66B4-43BA-A5D8-8A0E0CF7A2F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8" name="Text Box 175">
          <a:extLst>
            <a:ext uri="{FF2B5EF4-FFF2-40B4-BE49-F238E27FC236}">
              <a16:creationId xmlns:a16="http://schemas.microsoft.com/office/drawing/2014/main" id="{E458C62B-8767-4189-B9B3-F8C140B2D3D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9" name="Text Box 176">
          <a:extLst>
            <a:ext uri="{FF2B5EF4-FFF2-40B4-BE49-F238E27FC236}">
              <a16:creationId xmlns:a16="http://schemas.microsoft.com/office/drawing/2014/main" id="{9DF28EB1-3C73-49E6-A5B3-A1378E2AE54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0" name="Text Box 177">
          <a:extLst>
            <a:ext uri="{FF2B5EF4-FFF2-40B4-BE49-F238E27FC236}">
              <a16:creationId xmlns:a16="http://schemas.microsoft.com/office/drawing/2014/main" id="{888AA220-E5DD-4C5F-A856-57039D2C79A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1" name="Text Box 178">
          <a:extLst>
            <a:ext uri="{FF2B5EF4-FFF2-40B4-BE49-F238E27FC236}">
              <a16:creationId xmlns:a16="http://schemas.microsoft.com/office/drawing/2014/main" id="{DB9CCD85-85F3-4702-A8F0-434F449BB25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2" name="Text Box 179">
          <a:extLst>
            <a:ext uri="{FF2B5EF4-FFF2-40B4-BE49-F238E27FC236}">
              <a16:creationId xmlns:a16="http://schemas.microsoft.com/office/drawing/2014/main" id="{EB03697A-F76E-43B3-9B50-660045D469B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3" name="Text Box 180">
          <a:extLst>
            <a:ext uri="{FF2B5EF4-FFF2-40B4-BE49-F238E27FC236}">
              <a16:creationId xmlns:a16="http://schemas.microsoft.com/office/drawing/2014/main" id="{013B61C3-AF6D-4762-8A9A-852D0F040F5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4" name="Text Box 181">
          <a:extLst>
            <a:ext uri="{FF2B5EF4-FFF2-40B4-BE49-F238E27FC236}">
              <a16:creationId xmlns:a16="http://schemas.microsoft.com/office/drawing/2014/main" id="{FCF144DF-7E3C-4748-9ED9-5476F83F166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5" name="Text Box 182">
          <a:extLst>
            <a:ext uri="{FF2B5EF4-FFF2-40B4-BE49-F238E27FC236}">
              <a16:creationId xmlns:a16="http://schemas.microsoft.com/office/drawing/2014/main" id="{ADBDD42D-D445-4263-9836-CF8B664036BB}"/>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6" name="Text Box 183">
          <a:extLst>
            <a:ext uri="{FF2B5EF4-FFF2-40B4-BE49-F238E27FC236}">
              <a16:creationId xmlns:a16="http://schemas.microsoft.com/office/drawing/2014/main" id="{362F755B-257C-4FDD-8778-D70537ED59A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7" name="Text Box 187">
          <a:extLst>
            <a:ext uri="{FF2B5EF4-FFF2-40B4-BE49-F238E27FC236}">
              <a16:creationId xmlns:a16="http://schemas.microsoft.com/office/drawing/2014/main" id="{E7BFC60D-1414-447F-91B8-8F8B782C64F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8" name="Text Box 188">
          <a:extLst>
            <a:ext uri="{FF2B5EF4-FFF2-40B4-BE49-F238E27FC236}">
              <a16:creationId xmlns:a16="http://schemas.microsoft.com/office/drawing/2014/main" id="{DB037364-872D-47C9-A21A-DE5DEE1D7FE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9" name="Text Box 189">
          <a:extLst>
            <a:ext uri="{FF2B5EF4-FFF2-40B4-BE49-F238E27FC236}">
              <a16:creationId xmlns:a16="http://schemas.microsoft.com/office/drawing/2014/main" id="{45D13119-4FAC-4C54-9DE3-86C3D4A77867}"/>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40" name="Text Box 190">
          <a:extLst>
            <a:ext uri="{FF2B5EF4-FFF2-40B4-BE49-F238E27FC236}">
              <a16:creationId xmlns:a16="http://schemas.microsoft.com/office/drawing/2014/main" id="{CE46216A-1F72-487F-A49B-F3FDBDDE252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1" name="Text Box 191">
          <a:extLst>
            <a:ext uri="{FF2B5EF4-FFF2-40B4-BE49-F238E27FC236}">
              <a16:creationId xmlns:a16="http://schemas.microsoft.com/office/drawing/2014/main" id="{90EFB3F2-870F-4F68-B590-4AC0B735DAE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2" name="Text Box 192">
          <a:extLst>
            <a:ext uri="{FF2B5EF4-FFF2-40B4-BE49-F238E27FC236}">
              <a16:creationId xmlns:a16="http://schemas.microsoft.com/office/drawing/2014/main" id="{FA2FC921-45EE-4C6B-BC20-8F00C4A2EE6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3" name="Text Box 193">
          <a:extLst>
            <a:ext uri="{FF2B5EF4-FFF2-40B4-BE49-F238E27FC236}">
              <a16:creationId xmlns:a16="http://schemas.microsoft.com/office/drawing/2014/main" id="{F8A72B8C-A064-44B0-A91B-A9CB4B187D8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4" name="Text Box 194">
          <a:extLst>
            <a:ext uri="{FF2B5EF4-FFF2-40B4-BE49-F238E27FC236}">
              <a16:creationId xmlns:a16="http://schemas.microsoft.com/office/drawing/2014/main" id="{E9D4F8C2-83B9-4213-8006-465A19AB9E0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5" name="Text Box 195">
          <a:extLst>
            <a:ext uri="{FF2B5EF4-FFF2-40B4-BE49-F238E27FC236}">
              <a16:creationId xmlns:a16="http://schemas.microsoft.com/office/drawing/2014/main" id="{58E39004-C3CE-418C-81EB-D5A5CB5F81A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6" name="Text Box 196">
          <a:extLst>
            <a:ext uri="{FF2B5EF4-FFF2-40B4-BE49-F238E27FC236}">
              <a16:creationId xmlns:a16="http://schemas.microsoft.com/office/drawing/2014/main" id="{8FD8CDF6-DF88-45ED-B2C6-1FA002FF7B1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7" name="Text Box 197">
          <a:extLst>
            <a:ext uri="{FF2B5EF4-FFF2-40B4-BE49-F238E27FC236}">
              <a16:creationId xmlns:a16="http://schemas.microsoft.com/office/drawing/2014/main" id="{A60F83DC-67F1-47A0-A507-285B8DE7A80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8" name="Text Box 198">
          <a:extLst>
            <a:ext uri="{FF2B5EF4-FFF2-40B4-BE49-F238E27FC236}">
              <a16:creationId xmlns:a16="http://schemas.microsoft.com/office/drawing/2014/main" id="{FA52A31A-6376-4A4D-A06F-AC6C24B2C61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9" name="Text Box 199">
          <a:extLst>
            <a:ext uri="{FF2B5EF4-FFF2-40B4-BE49-F238E27FC236}">
              <a16:creationId xmlns:a16="http://schemas.microsoft.com/office/drawing/2014/main" id="{84FEF804-4A2B-4CA2-BB58-194EA24C69D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0" name="Text Box 200">
          <a:extLst>
            <a:ext uri="{FF2B5EF4-FFF2-40B4-BE49-F238E27FC236}">
              <a16:creationId xmlns:a16="http://schemas.microsoft.com/office/drawing/2014/main" id="{A974E692-1F62-4207-9545-ABAA8FFCAE4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1" name="Text Box 201">
          <a:extLst>
            <a:ext uri="{FF2B5EF4-FFF2-40B4-BE49-F238E27FC236}">
              <a16:creationId xmlns:a16="http://schemas.microsoft.com/office/drawing/2014/main" id="{6686029D-0AB0-403B-9173-F672C799FE4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2" name="Text Box 202">
          <a:extLst>
            <a:ext uri="{FF2B5EF4-FFF2-40B4-BE49-F238E27FC236}">
              <a16:creationId xmlns:a16="http://schemas.microsoft.com/office/drawing/2014/main" id="{E69977FF-5680-4F9E-9E0B-A5112610737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55</xdr:row>
      <xdr:rowOff>0</xdr:rowOff>
    </xdr:from>
    <xdr:to>
      <xdr:col>0</xdr:col>
      <xdr:colOff>0</xdr:colOff>
      <xdr:row>55</xdr:row>
      <xdr:rowOff>0</xdr:rowOff>
    </xdr:to>
    <xdr:sp macro="" textlink="">
      <xdr:nvSpPr>
        <xdr:cNvPr id="2" name="Text Box 145">
          <a:extLst>
            <a:ext uri="{FF2B5EF4-FFF2-40B4-BE49-F238E27FC236}">
              <a16:creationId xmlns:a16="http://schemas.microsoft.com/office/drawing/2014/main" id="{7D19F77A-E5CB-49F7-A433-A2E4BBAD5F2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 name="Text Box 150">
          <a:extLst>
            <a:ext uri="{FF2B5EF4-FFF2-40B4-BE49-F238E27FC236}">
              <a16:creationId xmlns:a16="http://schemas.microsoft.com/office/drawing/2014/main" id="{BECCA73D-15F0-442E-BBDD-3701FC1048C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 name="Text Box 151">
          <a:extLst>
            <a:ext uri="{FF2B5EF4-FFF2-40B4-BE49-F238E27FC236}">
              <a16:creationId xmlns:a16="http://schemas.microsoft.com/office/drawing/2014/main" id="{61F1D65A-95E6-47DA-8E9E-E49224101D6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 name="Text Box 152">
          <a:extLst>
            <a:ext uri="{FF2B5EF4-FFF2-40B4-BE49-F238E27FC236}">
              <a16:creationId xmlns:a16="http://schemas.microsoft.com/office/drawing/2014/main" id="{C5665466-3621-4FA7-9CE8-C60959E7A16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6" name="Text Box 153">
          <a:extLst>
            <a:ext uri="{FF2B5EF4-FFF2-40B4-BE49-F238E27FC236}">
              <a16:creationId xmlns:a16="http://schemas.microsoft.com/office/drawing/2014/main" id="{5EF24106-CD1B-480F-8C60-3FE0322CCD6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7" name="Text Box 154">
          <a:extLst>
            <a:ext uri="{FF2B5EF4-FFF2-40B4-BE49-F238E27FC236}">
              <a16:creationId xmlns:a16="http://schemas.microsoft.com/office/drawing/2014/main" id="{082D1CF8-B8FF-42A9-A72A-3C743488C7F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8" name="Text Box 155">
          <a:extLst>
            <a:ext uri="{FF2B5EF4-FFF2-40B4-BE49-F238E27FC236}">
              <a16:creationId xmlns:a16="http://schemas.microsoft.com/office/drawing/2014/main" id="{1D999D88-9160-45B1-80A9-91C9133DF3A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9" name="Text Box 156">
          <a:extLst>
            <a:ext uri="{FF2B5EF4-FFF2-40B4-BE49-F238E27FC236}">
              <a16:creationId xmlns:a16="http://schemas.microsoft.com/office/drawing/2014/main" id="{C4DB0486-FC8E-47CA-82DE-A9AA30710F5B}"/>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0" name="Text Box 157">
          <a:extLst>
            <a:ext uri="{FF2B5EF4-FFF2-40B4-BE49-F238E27FC236}">
              <a16:creationId xmlns:a16="http://schemas.microsoft.com/office/drawing/2014/main" id="{BD5887CE-F95D-4291-A888-433E9AB8AE3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1" name="Text Box 158">
          <a:extLst>
            <a:ext uri="{FF2B5EF4-FFF2-40B4-BE49-F238E27FC236}">
              <a16:creationId xmlns:a16="http://schemas.microsoft.com/office/drawing/2014/main" id="{1C0A0368-1393-41D2-841D-19ADF327E5C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2" name="Text Box 159">
          <a:extLst>
            <a:ext uri="{FF2B5EF4-FFF2-40B4-BE49-F238E27FC236}">
              <a16:creationId xmlns:a16="http://schemas.microsoft.com/office/drawing/2014/main" id="{61439841-9ABF-40C5-AA93-452F3D45257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3" name="Text Box 160">
          <a:extLst>
            <a:ext uri="{FF2B5EF4-FFF2-40B4-BE49-F238E27FC236}">
              <a16:creationId xmlns:a16="http://schemas.microsoft.com/office/drawing/2014/main" id="{FAB722F8-05B7-407C-A037-9E3DEB281C8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4" name="Text Box 161">
          <a:extLst>
            <a:ext uri="{FF2B5EF4-FFF2-40B4-BE49-F238E27FC236}">
              <a16:creationId xmlns:a16="http://schemas.microsoft.com/office/drawing/2014/main" id="{3E67CC76-C134-4D05-ACD1-1192C6A9982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5" name="Text Box 162">
          <a:extLst>
            <a:ext uri="{FF2B5EF4-FFF2-40B4-BE49-F238E27FC236}">
              <a16:creationId xmlns:a16="http://schemas.microsoft.com/office/drawing/2014/main" id="{B82F0CE3-9081-4CE4-ADAA-7C36BA9F909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6" name="Text Box 163">
          <a:extLst>
            <a:ext uri="{FF2B5EF4-FFF2-40B4-BE49-F238E27FC236}">
              <a16:creationId xmlns:a16="http://schemas.microsoft.com/office/drawing/2014/main" id="{AE5C8502-E0E9-4884-B731-0289DAD8511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7" name="Text Box 164">
          <a:extLst>
            <a:ext uri="{FF2B5EF4-FFF2-40B4-BE49-F238E27FC236}">
              <a16:creationId xmlns:a16="http://schemas.microsoft.com/office/drawing/2014/main" id="{61CA7DCA-5A01-45A8-985B-E2037F5C6BD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8" name="Text Box 165">
          <a:extLst>
            <a:ext uri="{FF2B5EF4-FFF2-40B4-BE49-F238E27FC236}">
              <a16:creationId xmlns:a16="http://schemas.microsoft.com/office/drawing/2014/main" id="{04ED2940-65F4-4DAF-A277-A38ED3F28A7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9" name="Text Box 166">
          <a:extLst>
            <a:ext uri="{FF2B5EF4-FFF2-40B4-BE49-F238E27FC236}">
              <a16:creationId xmlns:a16="http://schemas.microsoft.com/office/drawing/2014/main" id="{A37596E9-25CF-43F0-AF56-9A945A20876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0" name="Text Box 167">
          <a:extLst>
            <a:ext uri="{FF2B5EF4-FFF2-40B4-BE49-F238E27FC236}">
              <a16:creationId xmlns:a16="http://schemas.microsoft.com/office/drawing/2014/main" id="{C74AA894-E55C-49E0-9794-D594C4A7E7E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1" name="Text Box 168">
          <a:extLst>
            <a:ext uri="{FF2B5EF4-FFF2-40B4-BE49-F238E27FC236}">
              <a16:creationId xmlns:a16="http://schemas.microsoft.com/office/drawing/2014/main" id="{75637271-6A54-4E74-AAF7-71C50C3E9F4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2" name="Text Box 169">
          <a:extLst>
            <a:ext uri="{FF2B5EF4-FFF2-40B4-BE49-F238E27FC236}">
              <a16:creationId xmlns:a16="http://schemas.microsoft.com/office/drawing/2014/main" id="{E8DFA1C2-0F9C-4DD0-B310-5CF5C7BB115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3" name="Text Box 170">
          <a:extLst>
            <a:ext uri="{FF2B5EF4-FFF2-40B4-BE49-F238E27FC236}">
              <a16:creationId xmlns:a16="http://schemas.microsoft.com/office/drawing/2014/main" id="{2E4CFA13-D6F3-48EE-8BA9-F49C8594239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4" name="Text Box 171">
          <a:extLst>
            <a:ext uri="{FF2B5EF4-FFF2-40B4-BE49-F238E27FC236}">
              <a16:creationId xmlns:a16="http://schemas.microsoft.com/office/drawing/2014/main" id="{D9794B8F-D03C-4503-BF9C-5623D28C9AF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5" name="Text Box 172">
          <a:extLst>
            <a:ext uri="{FF2B5EF4-FFF2-40B4-BE49-F238E27FC236}">
              <a16:creationId xmlns:a16="http://schemas.microsoft.com/office/drawing/2014/main" id="{4FEE814B-B8F1-420D-B43B-7B62376D93C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6" name="Text Box 173">
          <a:extLst>
            <a:ext uri="{FF2B5EF4-FFF2-40B4-BE49-F238E27FC236}">
              <a16:creationId xmlns:a16="http://schemas.microsoft.com/office/drawing/2014/main" id="{0A226647-C569-449D-AA12-7BD278FE580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7" name="Text Box 174">
          <a:extLst>
            <a:ext uri="{FF2B5EF4-FFF2-40B4-BE49-F238E27FC236}">
              <a16:creationId xmlns:a16="http://schemas.microsoft.com/office/drawing/2014/main" id="{B421CCFF-B708-42AB-BA9B-A4A10D141BE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8" name="Text Box 175">
          <a:extLst>
            <a:ext uri="{FF2B5EF4-FFF2-40B4-BE49-F238E27FC236}">
              <a16:creationId xmlns:a16="http://schemas.microsoft.com/office/drawing/2014/main" id="{3BC1E31C-7B56-41C5-B190-8F434B850D0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9" name="Text Box 176">
          <a:extLst>
            <a:ext uri="{FF2B5EF4-FFF2-40B4-BE49-F238E27FC236}">
              <a16:creationId xmlns:a16="http://schemas.microsoft.com/office/drawing/2014/main" id="{02186772-938B-43EF-8E3B-6BAB68C891C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0" name="Text Box 177">
          <a:extLst>
            <a:ext uri="{FF2B5EF4-FFF2-40B4-BE49-F238E27FC236}">
              <a16:creationId xmlns:a16="http://schemas.microsoft.com/office/drawing/2014/main" id="{F23E62B5-9D9D-4CF4-B5E3-891387FA9A4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1" name="Text Box 178">
          <a:extLst>
            <a:ext uri="{FF2B5EF4-FFF2-40B4-BE49-F238E27FC236}">
              <a16:creationId xmlns:a16="http://schemas.microsoft.com/office/drawing/2014/main" id="{4832843A-45FE-4925-98E5-FB431144BCE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2" name="Text Box 179">
          <a:extLst>
            <a:ext uri="{FF2B5EF4-FFF2-40B4-BE49-F238E27FC236}">
              <a16:creationId xmlns:a16="http://schemas.microsoft.com/office/drawing/2014/main" id="{1FC0016B-49D6-425B-9C69-AB542B76EBF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3" name="Text Box 180">
          <a:extLst>
            <a:ext uri="{FF2B5EF4-FFF2-40B4-BE49-F238E27FC236}">
              <a16:creationId xmlns:a16="http://schemas.microsoft.com/office/drawing/2014/main" id="{03A78F40-A160-42E2-8C44-BACD9024C85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4" name="Text Box 181">
          <a:extLst>
            <a:ext uri="{FF2B5EF4-FFF2-40B4-BE49-F238E27FC236}">
              <a16:creationId xmlns:a16="http://schemas.microsoft.com/office/drawing/2014/main" id="{5A1894BC-F028-465B-BF57-742EC2941AA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5" name="Text Box 182">
          <a:extLst>
            <a:ext uri="{FF2B5EF4-FFF2-40B4-BE49-F238E27FC236}">
              <a16:creationId xmlns:a16="http://schemas.microsoft.com/office/drawing/2014/main" id="{5C0948B2-5C41-4151-B119-EA6BCF8448CF}"/>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6" name="Text Box 183">
          <a:extLst>
            <a:ext uri="{FF2B5EF4-FFF2-40B4-BE49-F238E27FC236}">
              <a16:creationId xmlns:a16="http://schemas.microsoft.com/office/drawing/2014/main" id="{3164BCC0-DE75-4E8B-A446-9A6F9FFFE9A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7" name="Text Box 187">
          <a:extLst>
            <a:ext uri="{FF2B5EF4-FFF2-40B4-BE49-F238E27FC236}">
              <a16:creationId xmlns:a16="http://schemas.microsoft.com/office/drawing/2014/main" id="{E4E1E66F-7B6D-4EB6-8CCB-EC0F42F9AB6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8" name="Text Box 188">
          <a:extLst>
            <a:ext uri="{FF2B5EF4-FFF2-40B4-BE49-F238E27FC236}">
              <a16:creationId xmlns:a16="http://schemas.microsoft.com/office/drawing/2014/main" id="{F7A78EDA-BC47-433C-93D5-5DE6582E2E7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9" name="Text Box 189">
          <a:extLst>
            <a:ext uri="{FF2B5EF4-FFF2-40B4-BE49-F238E27FC236}">
              <a16:creationId xmlns:a16="http://schemas.microsoft.com/office/drawing/2014/main" id="{516B7072-5D77-49AB-8365-75A855637C45}"/>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40" name="Text Box 190">
          <a:extLst>
            <a:ext uri="{FF2B5EF4-FFF2-40B4-BE49-F238E27FC236}">
              <a16:creationId xmlns:a16="http://schemas.microsoft.com/office/drawing/2014/main" id="{D249D49A-68AD-4518-B5CA-AFD21FB360F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1" name="Text Box 191">
          <a:extLst>
            <a:ext uri="{FF2B5EF4-FFF2-40B4-BE49-F238E27FC236}">
              <a16:creationId xmlns:a16="http://schemas.microsoft.com/office/drawing/2014/main" id="{74459D87-4A34-4CCB-B598-121ECF5F0A4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2" name="Text Box 192">
          <a:extLst>
            <a:ext uri="{FF2B5EF4-FFF2-40B4-BE49-F238E27FC236}">
              <a16:creationId xmlns:a16="http://schemas.microsoft.com/office/drawing/2014/main" id="{232A0B7F-635E-43D8-9FEA-9F2F90468B3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3" name="Text Box 193">
          <a:extLst>
            <a:ext uri="{FF2B5EF4-FFF2-40B4-BE49-F238E27FC236}">
              <a16:creationId xmlns:a16="http://schemas.microsoft.com/office/drawing/2014/main" id="{89D64E1A-9CCC-4177-B6DE-D358017EA39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4" name="Text Box 194">
          <a:extLst>
            <a:ext uri="{FF2B5EF4-FFF2-40B4-BE49-F238E27FC236}">
              <a16:creationId xmlns:a16="http://schemas.microsoft.com/office/drawing/2014/main" id="{162A834C-845E-43C9-BF62-05FF383A32A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5" name="Text Box 195">
          <a:extLst>
            <a:ext uri="{FF2B5EF4-FFF2-40B4-BE49-F238E27FC236}">
              <a16:creationId xmlns:a16="http://schemas.microsoft.com/office/drawing/2014/main" id="{49905876-69D8-44AF-97E0-BC04E1FD265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6" name="Text Box 196">
          <a:extLst>
            <a:ext uri="{FF2B5EF4-FFF2-40B4-BE49-F238E27FC236}">
              <a16:creationId xmlns:a16="http://schemas.microsoft.com/office/drawing/2014/main" id="{1906B286-369B-4A10-BB02-2FE2C319593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7" name="Text Box 197">
          <a:extLst>
            <a:ext uri="{FF2B5EF4-FFF2-40B4-BE49-F238E27FC236}">
              <a16:creationId xmlns:a16="http://schemas.microsoft.com/office/drawing/2014/main" id="{AB127489-742E-4F73-A327-2015BF6918C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8" name="Text Box 198">
          <a:extLst>
            <a:ext uri="{FF2B5EF4-FFF2-40B4-BE49-F238E27FC236}">
              <a16:creationId xmlns:a16="http://schemas.microsoft.com/office/drawing/2014/main" id="{3125E529-4DD7-4106-AF11-A9DB7E54BEC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9" name="Text Box 199">
          <a:extLst>
            <a:ext uri="{FF2B5EF4-FFF2-40B4-BE49-F238E27FC236}">
              <a16:creationId xmlns:a16="http://schemas.microsoft.com/office/drawing/2014/main" id="{8D89C041-E929-43B5-B12F-D629AB778A7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0" name="Text Box 200">
          <a:extLst>
            <a:ext uri="{FF2B5EF4-FFF2-40B4-BE49-F238E27FC236}">
              <a16:creationId xmlns:a16="http://schemas.microsoft.com/office/drawing/2014/main" id="{1AE0F48B-A5EF-44D5-AE75-0816BF3AA8E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1" name="Text Box 201">
          <a:extLst>
            <a:ext uri="{FF2B5EF4-FFF2-40B4-BE49-F238E27FC236}">
              <a16:creationId xmlns:a16="http://schemas.microsoft.com/office/drawing/2014/main" id="{074A963E-9EE5-476E-A440-DB4652F214E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2" name="Text Box 202">
          <a:extLst>
            <a:ext uri="{FF2B5EF4-FFF2-40B4-BE49-F238E27FC236}">
              <a16:creationId xmlns:a16="http://schemas.microsoft.com/office/drawing/2014/main" id="{57960659-A708-4ECF-B860-2DD7A46DCA3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55</xdr:row>
      <xdr:rowOff>0</xdr:rowOff>
    </xdr:from>
    <xdr:to>
      <xdr:col>0</xdr:col>
      <xdr:colOff>0</xdr:colOff>
      <xdr:row>55</xdr:row>
      <xdr:rowOff>0</xdr:rowOff>
    </xdr:to>
    <xdr:sp macro="" textlink="">
      <xdr:nvSpPr>
        <xdr:cNvPr id="2" name="Text Box 145">
          <a:extLst>
            <a:ext uri="{FF2B5EF4-FFF2-40B4-BE49-F238E27FC236}">
              <a16:creationId xmlns:a16="http://schemas.microsoft.com/office/drawing/2014/main" id="{A3B9303A-42B8-45E3-AF3B-99E056AB996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 name="Text Box 150">
          <a:extLst>
            <a:ext uri="{FF2B5EF4-FFF2-40B4-BE49-F238E27FC236}">
              <a16:creationId xmlns:a16="http://schemas.microsoft.com/office/drawing/2014/main" id="{F80CBF77-1740-4687-98FA-423CFD9DB13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 name="Text Box 151">
          <a:extLst>
            <a:ext uri="{FF2B5EF4-FFF2-40B4-BE49-F238E27FC236}">
              <a16:creationId xmlns:a16="http://schemas.microsoft.com/office/drawing/2014/main" id="{B7E319C0-FF91-47AF-B5C4-B17450C013E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 name="Text Box 152">
          <a:extLst>
            <a:ext uri="{FF2B5EF4-FFF2-40B4-BE49-F238E27FC236}">
              <a16:creationId xmlns:a16="http://schemas.microsoft.com/office/drawing/2014/main" id="{AF6D8D1A-1D20-425B-B0F0-2181642FD87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6" name="Text Box 153">
          <a:extLst>
            <a:ext uri="{FF2B5EF4-FFF2-40B4-BE49-F238E27FC236}">
              <a16:creationId xmlns:a16="http://schemas.microsoft.com/office/drawing/2014/main" id="{4C8F3F9F-C89B-4EA7-83F8-262E0E0A86D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7" name="Text Box 154">
          <a:extLst>
            <a:ext uri="{FF2B5EF4-FFF2-40B4-BE49-F238E27FC236}">
              <a16:creationId xmlns:a16="http://schemas.microsoft.com/office/drawing/2014/main" id="{96AFAF75-F360-431C-8E6E-54B02AD1D27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8" name="Text Box 155">
          <a:extLst>
            <a:ext uri="{FF2B5EF4-FFF2-40B4-BE49-F238E27FC236}">
              <a16:creationId xmlns:a16="http://schemas.microsoft.com/office/drawing/2014/main" id="{17548D89-6667-4303-83F9-44C2B139A84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9" name="Text Box 156">
          <a:extLst>
            <a:ext uri="{FF2B5EF4-FFF2-40B4-BE49-F238E27FC236}">
              <a16:creationId xmlns:a16="http://schemas.microsoft.com/office/drawing/2014/main" id="{250D7EFE-F3D7-4AAA-9E43-DEDE36CB90AC}"/>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0" name="Text Box 157">
          <a:extLst>
            <a:ext uri="{FF2B5EF4-FFF2-40B4-BE49-F238E27FC236}">
              <a16:creationId xmlns:a16="http://schemas.microsoft.com/office/drawing/2014/main" id="{0BDAACE1-0696-4BB4-A0B7-43E8BF30E12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1" name="Text Box 158">
          <a:extLst>
            <a:ext uri="{FF2B5EF4-FFF2-40B4-BE49-F238E27FC236}">
              <a16:creationId xmlns:a16="http://schemas.microsoft.com/office/drawing/2014/main" id="{CC827AE3-E7AD-4963-B37D-E81E07AFEF4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2" name="Text Box 159">
          <a:extLst>
            <a:ext uri="{FF2B5EF4-FFF2-40B4-BE49-F238E27FC236}">
              <a16:creationId xmlns:a16="http://schemas.microsoft.com/office/drawing/2014/main" id="{764610A5-C16D-4222-9087-15505F545CA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3" name="Text Box 160">
          <a:extLst>
            <a:ext uri="{FF2B5EF4-FFF2-40B4-BE49-F238E27FC236}">
              <a16:creationId xmlns:a16="http://schemas.microsoft.com/office/drawing/2014/main" id="{B4793B8F-874B-42D6-9524-15DB4888D53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4" name="Text Box 161">
          <a:extLst>
            <a:ext uri="{FF2B5EF4-FFF2-40B4-BE49-F238E27FC236}">
              <a16:creationId xmlns:a16="http://schemas.microsoft.com/office/drawing/2014/main" id="{0ACC5ADF-CE1B-4907-8139-A7C343B4589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5" name="Text Box 162">
          <a:extLst>
            <a:ext uri="{FF2B5EF4-FFF2-40B4-BE49-F238E27FC236}">
              <a16:creationId xmlns:a16="http://schemas.microsoft.com/office/drawing/2014/main" id="{D7E5822E-0C4F-4966-8823-66BAB0E947B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6" name="Text Box 163">
          <a:extLst>
            <a:ext uri="{FF2B5EF4-FFF2-40B4-BE49-F238E27FC236}">
              <a16:creationId xmlns:a16="http://schemas.microsoft.com/office/drawing/2014/main" id="{97C74A24-EA87-4574-84BF-4D0CA7A3CA0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7" name="Text Box 164">
          <a:extLst>
            <a:ext uri="{FF2B5EF4-FFF2-40B4-BE49-F238E27FC236}">
              <a16:creationId xmlns:a16="http://schemas.microsoft.com/office/drawing/2014/main" id="{60BB20BC-FDB7-4C82-835B-03B740B927B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8" name="Text Box 165">
          <a:extLst>
            <a:ext uri="{FF2B5EF4-FFF2-40B4-BE49-F238E27FC236}">
              <a16:creationId xmlns:a16="http://schemas.microsoft.com/office/drawing/2014/main" id="{607F4DCC-F2E8-48EA-9B74-C4CE891EB86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9" name="Text Box 166">
          <a:extLst>
            <a:ext uri="{FF2B5EF4-FFF2-40B4-BE49-F238E27FC236}">
              <a16:creationId xmlns:a16="http://schemas.microsoft.com/office/drawing/2014/main" id="{B675A272-CF81-4E2A-9A8A-D77BA2E02B5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0" name="Text Box 167">
          <a:extLst>
            <a:ext uri="{FF2B5EF4-FFF2-40B4-BE49-F238E27FC236}">
              <a16:creationId xmlns:a16="http://schemas.microsoft.com/office/drawing/2014/main" id="{2FF212A9-5255-41DA-A473-4D0F842CAD3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1" name="Text Box 168">
          <a:extLst>
            <a:ext uri="{FF2B5EF4-FFF2-40B4-BE49-F238E27FC236}">
              <a16:creationId xmlns:a16="http://schemas.microsoft.com/office/drawing/2014/main" id="{AFA4725F-24DB-4E67-A42A-D770460DD7B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2" name="Text Box 169">
          <a:extLst>
            <a:ext uri="{FF2B5EF4-FFF2-40B4-BE49-F238E27FC236}">
              <a16:creationId xmlns:a16="http://schemas.microsoft.com/office/drawing/2014/main" id="{6F4B26EF-BCEF-4764-BEB4-44570DE3A22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3" name="Text Box 170">
          <a:extLst>
            <a:ext uri="{FF2B5EF4-FFF2-40B4-BE49-F238E27FC236}">
              <a16:creationId xmlns:a16="http://schemas.microsoft.com/office/drawing/2014/main" id="{112663B0-74A8-4E56-93A5-8627056BDD6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4" name="Text Box 171">
          <a:extLst>
            <a:ext uri="{FF2B5EF4-FFF2-40B4-BE49-F238E27FC236}">
              <a16:creationId xmlns:a16="http://schemas.microsoft.com/office/drawing/2014/main" id="{3E4C915E-2ACD-4376-9BA1-13CAEF3B6D8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5" name="Text Box 172">
          <a:extLst>
            <a:ext uri="{FF2B5EF4-FFF2-40B4-BE49-F238E27FC236}">
              <a16:creationId xmlns:a16="http://schemas.microsoft.com/office/drawing/2014/main" id="{9E74B892-1605-4553-8D2B-584CE956F73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6" name="Text Box 173">
          <a:extLst>
            <a:ext uri="{FF2B5EF4-FFF2-40B4-BE49-F238E27FC236}">
              <a16:creationId xmlns:a16="http://schemas.microsoft.com/office/drawing/2014/main" id="{441D0925-38CE-4223-9A97-1450B5E4F96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7" name="Text Box 174">
          <a:extLst>
            <a:ext uri="{FF2B5EF4-FFF2-40B4-BE49-F238E27FC236}">
              <a16:creationId xmlns:a16="http://schemas.microsoft.com/office/drawing/2014/main" id="{DA18921E-F822-4F4A-9CA2-51CF2CD3E74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8" name="Text Box 175">
          <a:extLst>
            <a:ext uri="{FF2B5EF4-FFF2-40B4-BE49-F238E27FC236}">
              <a16:creationId xmlns:a16="http://schemas.microsoft.com/office/drawing/2014/main" id="{DC16407C-EBF7-4545-BE1F-026C1A6F558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9" name="Text Box 176">
          <a:extLst>
            <a:ext uri="{FF2B5EF4-FFF2-40B4-BE49-F238E27FC236}">
              <a16:creationId xmlns:a16="http://schemas.microsoft.com/office/drawing/2014/main" id="{F66448D5-2B10-4B66-8E76-7FCCD37FC14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0" name="Text Box 177">
          <a:extLst>
            <a:ext uri="{FF2B5EF4-FFF2-40B4-BE49-F238E27FC236}">
              <a16:creationId xmlns:a16="http://schemas.microsoft.com/office/drawing/2014/main" id="{8641695F-40A5-40CC-9B28-57E6F99D42E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1" name="Text Box 178">
          <a:extLst>
            <a:ext uri="{FF2B5EF4-FFF2-40B4-BE49-F238E27FC236}">
              <a16:creationId xmlns:a16="http://schemas.microsoft.com/office/drawing/2014/main" id="{76446DD6-A8C6-48E0-93E9-47E7BC8B4FE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2" name="Text Box 179">
          <a:extLst>
            <a:ext uri="{FF2B5EF4-FFF2-40B4-BE49-F238E27FC236}">
              <a16:creationId xmlns:a16="http://schemas.microsoft.com/office/drawing/2014/main" id="{1F1F9627-B72F-40D4-B76B-D79151E9E84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3" name="Text Box 180">
          <a:extLst>
            <a:ext uri="{FF2B5EF4-FFF2-40B4-BE49-F238E27FC236}">
              <a16:creationId xmlns:a16="http://schemas.microsoft.com/office/drawing/2014/main" id="{557D8A97-EFF3-4ED4-B185-6C63A6478DA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4" name="Text Box 181">
          <a:extLst>
            <a:ext uri="{FF2B5EF4-FFF2-40B4-BE49-F238E27FC236}">
              <a16:creationId xmlns:a16="http://schemas.microsoft.com/office/drawing/2014/main" id="{31A9CEBB-B4FE-4BC6-8302-BCF7F35D317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5" name="Text Box 182">
          <a:extLst>
            <a:ext uri="{FF2B5EF4-FFF2-40B4-BE49-F238E27FC236}">
              <a16:creationId xmlns:a16="http://schemas.microsoft.com/office/drawing/2014/main" id="{11ACAE80-95CA-4731-8CF1-A9AECFEE0617}"/>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6" name="Text Box 183">
          <a:extLst>
            <a:ext uri="{FF2B5EF4-FFF2-40B4-BE49-F238E27FC236}">
              <a16:creationId xmlns:a16="http://schemas.microsoft.com/office/drawing/2014/main" id="{0A283E0E-28B3-4767-B930-D0E63B15C8E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7" name="Text Box 187">
          <a:extLst>
            <a:ext uri="{FF2B5EF4-FFF2-40B4-BE49-F238E27FC236}">
              <a16:creationId xmlns:a16="http://schemas.microsoft.com/office/drawing/2014/main" id="{E804B0AC-7205-4ACB-A70E-446EC8A1750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8" name="Text Box 188">
          <a:extLst>
            <a:ext uri="{FF2B5EF4-FFF2-40B4-BE49-F238E27FC236}">
              <a16:creationId xmlns:a16="http://schemas.microsoft.com/office/drawing/2014/main" id="{DAA1E6B8-7E35-46BD-84E1-B68F42FE8E7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9" name="Text Box 189">
          <a:extLst>
            <a:ext uri="{FF2B5EF4-FFF2-40B4-BE49-F238E27FC236}">
              <a16:creationId xmlns:a16="http://schemas.microsoft.com/office/drawing/2014/main" id="{43DBEA8D-9B53-4F60-A84E-3186170140E0}"/>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40" name="Text Box 190">
          <a:extLst>
            <a:ext uri="{FF2B5EF4-FFF2-40B4-BE49-F238E27FC236}">
              <a16:creationId xmlns:a16="http://schemas.microsoft.com/office/drawing/2014/main" id="{B62DADAE-BC03-4287-A561-4A91C2726BA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1" name="Text Box 191">
          <a:extLst>
            <a:ext uri="{FF2B5EF4-FFF2-40B4-BE49-F238E27FC236}">
              <a16:creationId xmlns:a16="http://schemas.microsoft.com/office/drawing/2014/main" id="{FB4A72C8-CB4E-484B-97E9-2B074FE8A75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2" name="Text Box 192">
          <a:extLst>
            <a:ext uri="{FF2B5EF4-FFF2-40B4-BE49-F238E27FC236}">
              <a16:creationId xmlns:a16="http://schemas.microsoft.com/office/drawing/2014/main" id="{7091B472-D4B3-4ED4-8564-68E597C6007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3" name="Text Box 193">
          <a:extLst>
            <a:ext uri="{FF2B5EF4-FFF2-40B4-BE49-F238E27FC236}">
              <a16:creationId xmlns:a16="http://schemas.microsoft.com/office/drawing/2014/main" id="{4609A93D-2669-4A53-8832-C4A7CAA3401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4" name="Text Box 194">
          <a:extLst>
            <a:ext uri="{FF2B5EF4-FFF2-40B4-BE49-F238E27FC236}">
              <a16:creationId xmlns:a16="http://schemas.microsoft.com/office/drawing/2014/main" id="{04A3EA96-4E53-49FF-A79F-693B1BDB52F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5" name="Text Box 195">
          <a:extLst>
            <a:ext uri="{FF2B5EF4-FFF2-40B4-BE49-F238E27FC236}">
              <a16:creationId xmlns:a16="http://schemas.microsoft.com/office/drawing/2014/main" id="{068DF33B-F60D-4B5B-9BFE-DED082A0FB5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6" name="Text Box 196">
          <a:extLst>
            <a:ext uri="{FF2B5EF4-FFF2-40B4-BE49-F238E27FC236}">
              <a16:creationId xmlns:a16="http://schemas.microsoft.com/office/drawing/2014/main" id="{B5838226-39F1-49A7-AB1A-F11C2FF5C8C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7" name="Text Box 197">
          <a:extLst>
            <a:ext uri="{FF2B5EF4-FFF2-40B4-BE49-F238E27FC236}">
              <a16:creationId xmlns:a16="http://schemas.microsoft.com/office/drawing/2014/main" id="{6CF8B5EC-6AAC-4B20-8158-E3EF2C1BD0F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8" name="Text Box 198">
          <a:extLst>
            <a:ext uri="{FF2B5EF4-FFF2-40B4-BE49-F238E27FC236}">
              <a16:creationId xmlns:a16="http://schemas.microsoft.com/office/drawing/2014/main" id="{5B415280-747E-422C-9CCE-11AB71BE725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9" name="Text Box 199">
          <a:extLst>
            <a:ext uri="{FF2B5EF4-FFF2-40B4-BE49-F238E27FC236}">
              <a16:creationId xmlns:a16="http://schemas.microsoft.com/office/drawing/2014/main" id="{0F40A2F8-7017-495C-BA49-5A404081632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0" name="Text Box 200">
          <a:extLst>
            <a:ext uri="{FF2B5EF4-FFF2-40B4-BE49-F238E27FC236}">
              <a16:creationId xmlns:a16="http://schemas.microsoft.com/office/drawing/2014/main" id="{9C3460EF-8B4F-419A-A2E2-73E71888B51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1" name="Text Box 201">
          <a:extLst>
            <a:ext uri="{FF2B5EF4-FFF2-40B4-BE49-F238E27FC236}">
              <a16:creationId xmlns:a16="http://schemas.microsoft.com/office/drawing/2014/main" id="{D1D7B925-35B6-4C53-A636-A5AD804CDCE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2" name="Text Box 202">
          <a:extLst>
            <a:ext uri="{FF2B5EF4-FFF2-40B4-BE49-F238E27FC236}">
              <a16:creationId xmlns:a16="http://schemas.microsoft.com/office/drawing/2014/main" id="{CB975B84-B55D-485B-8459-7B951CFCFAA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55</xdr:row>
      <xdr:rowOff>0</xdr:rowOff>
    </xdr:from>
    <xdr:to>
      <xdr:col>0</xdr:col>
      <xdr:colOff>0</xdr:colOff>
      <xdr:row>55</xdr:row>
      <xdr:rowOff>0</xdr:rowOff>
    </xdr:to>
    <xdr:sp macro="" textlink="">
      <xdr:nvSpPr>
        <xdr:cNvPr id="2" name="Text Box 145">
          <a:extLst>
            <a:ext uri="{FF2B5EF4-FFF2-40B4-BE49-F238E27FC236}">
              <a16:creationId xmlns:a16="http://schemas.microsoft.com/office/drawing/2014/main" id="{DFF311D4-D0D9-4F23-AE09-3DD0A0E92DE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 name="Text Box 150">
          <a:extLst>
            <a:ext uri="{FF2B5EF4-FFF2-40B4-BE49-F238E27FC236}">
              <a16:creationId xmlns:a16="http://schemas.microsoft.com/office/drawing/2014/main" id="{C9894756-CE27-4813-A6C6-B1157B0912A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 name="Text Box 151">
          <a:extLst>
            <a:ext uri="{FF2B5EF4-FFF2-40B4-BE49-F238E27FC236}">
              <a16:creationId xmlns:a16="http://schemas.microsoft.com/office/drawing/2014/main" id="{6B4B8A7A-64F1-4B8A-B8B7-04BCBC7E10B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 name="Text Box 152">
          <a:extLst>
            <a:ext uri="{FF2B5EF4-FFF2-40B4-BE49-F238E27FC236}">
              <a16:creationId xmlns:a16="http://schemas.microsoft.com/office/drawing/2014/main" id="{3F43E3D8-D13F-43C3-8307-2ED633C456A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6" name="Text Box 153">
          <a:extLst>
            <a:ext uri="{FF2B5EF4-FFF2-40B4-BE49-F238E27FC236}">
              <a16:creationId xmlns:a16="http://schemas.microsoft.com/office/drawing/2014/main" id="{44A31E96-5343-42B0-8BAD-2DEDEF01929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7" name="Text Box 154">
          <a:extLst>
            <a:ext uri="{FF2B5EF4-FFF2-40B4-BE49-F238E27FC236}">
              <a16:creationId xmlns:a16="http://schemas.microsoft.com/office/drawing/2014/main" id="{38B7D46A-3298-429E-B4B2-02FCC7D5C0B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8" name="Text Box 155">
          <a:extLst>
            <a:ext uri="{FF2B5EF4-FFF2-40B4-BE49-F238E27FC236}">
              <a16:creationId xmlns:a16="http://schemas.microsoft.com/office/drawing/2014/main" id="{4EDA291A-5D1E-4F7A-983E-A03C3B12C19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9" name="Text Box 156">
          <a:extLst>
            <a:ext uri="{FF2B5EF4-FFF2-40B4-BE49-F238E27FC236}">
              <a16:creationId xmlns:a16="http://schemas.microsoft.com/office/drawing/2014/main" id="{7294C76D-1722-46FC-B49D-E6D774B9825F}"/>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0" name="Text Box 157">
          <a:extLst>
            <a:ext uri="{FF2B5EF4-FFF2-40B4-BE49-F238E27FC236}">
              <a16:creationId xmlns:a16="http://schemas.microsoft.com/office/drawing/2014/main" id="{2120A172-5198-4E8C-9186-D3B7E6A4B9D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1" name="Text Box 158">
          <a:extLst>
            <a:ext uri="{FF2B5EF4-FFF2-40B4-BE49-F238E27FC236}">
              <a16:creationId xmlns:a16="http://schemas.microsoft.com/office/drawing/2014/main" id="{A59BA07A-2469-4B46-9683-F4BC84B68C5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2" name="Text Box 159">
          <a:extLst>
            <a:ext uri="{FF2B5EF4-FFF2-40B4-BE49-F238E27FC236}">
              <a16:creationId xmlns:a16="http://schemas.microsoft.com/office/drawing/2014/main" id="{2D555201-81FA-4F95-860E-EF7B34D6426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3" name="Text Box 160">
          <a:extLst>
            <a:ext uri="{FF2B5EF4-FFF2-40B4-BE49-F238E27FC236}">
              <a16:creationId xmlns:a16="http://schemas.microsoft.com/office/drawing/2014/main" id="{E75C8566-F27D-41E9-B616-A137BAC0B4E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4" name="Text Box 161">
          <a:extLst>
            <a:ext uri="{FF2B5EF4-FFF2-40B4-BE49-F238E27FC236}">
              <a16:creationId xmlns:a16="http://schemas.microsoft.com/office/drawing/2014/main" id="{E259E1C1-5C77-4FF3-8C78-E8126B55027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5" name="Text Box 162">
          <a:extLst>
            <a:ext uri="{FF2B5EF4-FFF2-40B4-BE49-F238E27FC236}">
              <a16:creationId xmlns:a16="http://schemas.microsoft.com/office/drawing/2014/main" id="{58DEBB27-4B65-4319-864E-DD9732F595E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6" name="Text Box 163">
          <a:extLst>
            <a:ext uri="{FF2B5EF4-FFF2-40B4-BE49-F238E27FC236}">
              <a16:creationId xmlns:a16="http://schemas.microsoft.com/office/drawing/2014/main" id="{5E089DEC-0677-42F7-BCB9-3F3BC0BFD20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7" name="Text Box 164">
          <a:extLst>
            <a:ext uri="{FF2B5EF4-FFF2-40B4-BE49-F238E27FC236}">
              <a16:creationId xmlns:a16="http://schemas.microsoft.com/office/drawing/2014/main" id="{80C56C91-F45A-44FA-8E44-01412341462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8" name="Text Box 165">
          <a:extLst>
            <a:ext uri="{FF2B5EF4-FFF2-40B4-BE49-F238E27FC236}">
              <a16:creationId xmlns:a16="http://schemas.microsoft.com/office/drawing/2014/main" id="{D24C9D34-67E7-41DA-B68D-57D80652A80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9" name="Text Box 166">
          <a:extLst>
            <a:ext uri="{FF2B5EF4-FFF2-40B4-BE49-F238E27FC236}">
              <a16:creationId xmlns:a16="http://schemas.microsoft.com/office/drawing/2014/main" id="{507B6A8C-6A61-4AAD-85F8-8441859E9E2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0" name="Text Box 167">
          <a:extLst>
            <a:ext uri="{FF2B5EF4-FFF2-40B4-BE49-F238E27FC236}">
              <a16:creationId xmlns:a16="http://schemas.microsoft.com/office/drawing/2014/main" id="{DDF9AA5E-C0DA-4E8A-BD11-44B0F6A85BA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1" name="Text Box 168">
          <a:extLst>
            <a:ext uri="{FF2B5EF4-FFF2-40B4-BE49-F238E27FC236}">
              <a16:creationId xmlns:a16="http://schemas.microsoft.com/office/drawing/2014/main" id="{CB575236-0CD4-45F9-9E12-874C783FB1D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2" name="Text Box 169">
          <a:extLst>
            <a:ext uri="{FF2B5EF4-FFF2-40B4-BE49-F238E27FC236}">
              <a16:creationId xmlns:a16="http://schemas.microsoft.com/office/drawing/2014/main" id="{2A5FC93F-32B8-4ABB-BCA3-85ECFA05382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3" name="Text Box 170">
          <a:extLst>
            <a:ext uri="{FF2B5EF4-FFF2-40B4-BE49-F238E27FC236}">
              <a16:creationId xmlns:a16="http://schemas.microsoft.com/office/drawing/2014/main" id="{D5BDD84D-BB52-41CD-8A5D-497B2CA8D71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4" name="Text Box 171">
          <a:extLst>
            <a:ext uri="{FF2B5EF4-FFF2-40B4-BE49-F238E27FC236}">
              <a16:creationId xmlns:a16="http://schemas.microsoft.com/office/drawing/2014/main" id="{76EDBE5C-A0F9-4321-98FE-E1180680691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5" name="Text Box 172">
          <a:extLst>
            <a:ext uri="{FF2B5EF4-FFF2-40B4-BE49-F238E27FC236}">
              <a16:creationId xmlns:a16="http://schemas.microsoft.com/office/drawing/2014/main" id="{BAAE03B6-D2A1-43E3-88FE-BF3D4D33AFD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6" name="Text Box 173">
          <a:extLst>
            <a:ext uri="{FF2B5EF4-FFF2-40B4-BE49-F238E27FC236}">
              <a16:creationId xmlns:a16="http://schemas.microsoft.com/office/drawing/2014/main" id="{DCF9E561-6282-4EF5-98A5-B862BC08248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7" name="Text Box 174">
          <a:extLst>
            <a:ext uri="{FF2B5EF4-FFF2-40B4-BE49-F238E27FC236}">
              <a16:creationId xmlns:a16="http://schemas.microsoft.com/office/drawing/2014/main" id="{EFCFE8CD-4D9A-4C4A-A011-DE02C88DF46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8" name="Text Box 175">
          <a:extLst>
            <a:ext uri="{FF2B5EF4-FFF2-40B4-BE49-F238E27FC236}">
              <a16:creationId xmlns:a16="http://schemas.microsoft.com/office/drawing/2014/main" id="{F8D7F9C4-0835-4AF0-A5A2-DF75DDA8537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9" name="Text Box 176">
          <a:extLst>
            <a:ext uri="{FF2B5EF4-FFF2-40B4-BE49-F238E27FC236}">
              <a16:creationId xmlns:a16="http://schemas.microsoft.com/office/drawing/2014/main" id="{C8975E8D-391D-4A33-9E09-89501AC1ED2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0" name="Text Box 177">
          <a:extLst>
            <a:ext uri="{FF2B5EF4-FFF2-40B4-BE49-F238E27FC236}">
              <a16:creationId xmlns:a16="http://schemas.microsoft.com/office/drawing/2014/main" id="{9986F1D4-31D6-41DF-B810-95ECC9BF1F0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1" name="Text Box 178">
          <a:extLst>
            <a:ext uri="{FF2B5EF4-FFF2-40B4-BE49-F238E27FC236}">
              <a16:creationId xmlns:a16="http://schemas.microsoft.com/office/drawing/2014/main" id="{77159317-A0C5-480D-BFBC-EAA600339BB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2" name="Text Box 179">
          <a:extLst>
            <a:ext uri="{FF2B5EF4-FFF2-40B4-BE49-F238E27FC236}">
              <a16:creationId xmlns:a16="http://schemas.microsoft.com/office/drawing/2014/main" id="{FC5EF30B-ACE0-4C30-A949-DEDC996BC69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3" name="Text Box 180">
          <a:extLst>
            <a:ext uri="{FF2B5EF4-FFF2-40B4-BE49-F238E27FC236}">
              <a16:creationId xmlns:a16="http://schemas.microsoft.com/office/drawing/2014/main" id="{C2A7975A-4169-4A73-A14E-48EFBB32FC6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4" name="Text Box 181">
          <a:extLst>
            <a:ext uri="{FF2B5EF4-FFF2-40B4-BE49-F238E27FC236}">
              <a16:creationId xmlns:a16="http://schemas.microsoft.com/office/drawing/2014/main" id="{C18FDB2F-B5C5-426B-BE11-1DD9EF97E27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5" name="Text Box 182">
          <a:extLst>
            <a:ext uri="{FF2B5EF4-FFF2-40B4-BE49-F238E27FC236}">
              <a16:creationId xmlns:a16="http://schemas.microsoft.com/office/drawing/2014/main" id="{E4AAA168-B77D-4F20-86C0-D178B9EB794A}"/>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6" name="Text Box 183">
          <a:extLst>
            <a:ext uri="{FF2B5EF4-FFF2-40B4-BE49-F238E27FC236}">
              <a16:creationId xmlns:a16="http://schemas.microsoft.com/office/drawing/2014/main" id="{9035BE41-F157-4F94-BD95-B39E5BEB2EB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7" name="Text Box 187">
          <a:extLst>
            <a:ext uri="{FF2B5EF4-FFF2-40B4-BE49-F238E27FC236}">
              <a16:creationId xmlns:a16="http://schemas.microsoft.com/office/drawing/2014/main" id="{69E346EE-3538-4CD2-9836-1D73DFF24C0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8" name="Text Box 188">
          <a:extLst>
            <a:ext uri="{FF2B5EF4-FFF2-40B4-BE49-F238E27FC236}">
              <a16:creationId xmlns:a16="http://schemas.microsoft.com/office/drawing/2014/main" id="{C17EEE04-415A-43B4-9400-CE3124F7A4A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9" name="Text Box 189">
          <a:extLst>
            <a:ext uri="{FF2B5EF4-FFF2-40B4-BE49-F238E27FC236}">
              <a16:creationId xmlns:a16="http://schemas.microsoft.com/office/drawing/2014/main" id="{77FD8EBD-DAB9-4DF2-8CC9-48B124EE2780}"/>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40" name="Text Box 190">
          <a:extLst>
            <a:ext uri="{FF2B5EF4-FFF2-40B4-BE49-F238E27FC236}">
              <a16:creationId xmlns:a16="http://schemas.microsoft.com/office/drawing/2014/main" id="{7C48BF03-45B2-4FCD-AC2E-54E090F7E3E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1" name="Text Box 191">
          <a:extLst>
            <a:ext uri="{FF2B5EF4-FFF2-40B4-BE49-F238E27FC236}">
              <a16:creationId xmlns:a16="http://schemas.microsoft.com/office/drawing/2014/main" id="{30EC1151-3FA0-4B43-89A2-B2BF40DA907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2" name="Text Box 192">
          <a:extLst>
            <a:ext uri="{FF2B5EF4-FFF2-40B4-BE49-F238E27FC236}">
              <a16:creationId xmlns:a16="http://schemas.microsoft.com/office/drawing/2014/main" id="{4AD14A94-C9EF-4C27-8002-E363A0AA4BE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3" name="Text Box 193">
          <a:extLst>
            <a:ext uri="{FF2B5EF4-FFF2-40B4-BE49-F238E27FC236}">
              <a16:creationId xmlns:a16="http://schemas.microsoft.com/office/drawing/2014/main" id="{CF7137EB-692D-4705-8AA6-A514A3C7C29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4" name="Text Box 194">
          <a:extLst>
            <a:ext uri="{FF2B5EF4-FFF2-40B4-BE49-F238E27FC236}">
              <a16:creationId xmlns:a16="http://schemas.microsoft.com/office/drawing/2014/main" id="{AA5BE4A3-FA78-45C0-A7AE-9C84B775E5F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5" name="Text Box 195">
          <a:extLst>
            <a:ext uri="{FF2B5EF4-FFF2-40B4-BE49-F238E27FC236}">
              <a16:creationId xmlns:a16="http://schemas.microsoft.com/office/drawing/2014/main" id="{24ECA854-A343-49C1-B7F5-2C8B1FE377A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6" name="Text Box 196">
          <a:extLst>
            <a:ext uri="{FF2B5EF4-FFF2-40B4-BE49-F238E27FC236}">
              <a16:creationId xmlns:a16="http://schemas.microsoft.com/office/drawing/2014/main" id="{E5364C45-DA4D-4736-8E2B-656424F459D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7" name="Text Box 197">
          <a:extLst>
            <a:ext uri="{FF2B5EF4-FFF2-40B4-BE49-F238E27FC236}">
              <a16:creationId xmlns:a16="http://schemas.microsoft.com/office/drawing/2014/main" id="{222EABFA-C72C-4A74-BA55-AE199C48156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8" name="Text Box 198">
          <a:extLst>
            <a:ext uri="{FF2B5EF4-FFF2-40B4-BE49-F238E27FC236}">
              <a16:creationId xmlns:a16="http://schemas.microsoft.com/office/drawing/2014/main" id="{9B23F201-57D2-4AE7-8B0E-CC740DA7E94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9" name="Text Box 199">
          <a:extLst>
            <a:ext uri="{FF2B5EF4-FFF2-40B4-BE49-F238E27FC236}">
              <a16:creationId xmlns:a16="http://schemas.microsoft.com/office/drawing/2014/main" id="{159E382F-EB04-455A-BAAA-13279D539C7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0" name="Text Box 200">
          <a:extLst>
            <a:ext uri="{FF2B5EF4-FFF2-40B4-BE49-F238E27FC236}">
              <a16:creationId xmlns:a16="http://schemas.microsoft.com/office/drawing/2014/main" id="{69C816E5-F724-473A-AC04-10636B1B12C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1" name="Text Box 201">
          <a:extLst>
            <a:ext uri="{FF2B5EF4-FFF2-40B4-BE49-F238E27FC236}">
              <a16:creationId xmlns:a16="http://schemas.microsoft.com/office/drawing/2014/main" id="{9D2733DE-04E8-4503-A024-AB574EC7260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2" name="Text Box 202">
          <a:extLst>
            <a:ext uri="{FF2B5EF4-FFF2-40B4-BE49-F238E27FC236}">
              <a16:creationId xmlns:a16="http://schemas.microsoft.com/office/drawing/2014/main" id="{83D6686F-4D59-4D09-A676-A118C3F0C7D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55</xdr:row>
      <xdr:rowOff>0</xdr:rowOff>
    </xdr:from>
    <xdr:to>
      <xdr:col>0</xdr:col>
      <xdr:colOff>0</xdr:colOff>
      <xdr:row>55</xdr:row>
      <xdr:rowOff>0</xdr:rowOff>
    </xdr:to>
    <xdr:sp macro="" textlink="">
      <xdr:nvSpPr>
        <xdr:cNvPr id="2" name="Text Box 145">
          <a:extLst>
            <a:ext uri="{FF2B5EF4-FFF2-40B4-BE49-F238E27FC236}">
              <a16:creationId xmlns:a16="http://schemas.microsoft.com/office/drawing/2014/main" id="{E3069F29-4BC9-4A4E-A179-A7076871B64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 name="Text Box 150">
          <a:extLst>
            <a:ext uri="{FF2B5EF4-FFF2-40B4-BE49-F238E27FC236}">
              <a16:creationId xmlns:a16="http://schemas.microsoft.com/office/drawing/2014/main" id="{23696629-9828-4BBB-9A4E-3D7B7855CE3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 name="Text Box 151">
          <a:extLst>
            <a:ext uri="{FF2B5EF4-FFF2-40B4-BE49-F238E27FC236}">
              <a16:creationId xmlns:a16="http://schemas.microsoft.com/office/drawing/2014/main" id="{12D89127-3E71-4720-A618-CEAE9ABB432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 name="Text Box 152">
          <a:extLst>
            <a:ext uri="{FF2B5EF4-FFF2-40B4-BE49-F238E27FC236}">
              <a16:creationId xmlns:a16="http://schemas.microsoft.com/office/drawing/2014/main" id="{2FFC4563-C12A-4CDA-B6CF-FD3FA2DDCF7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6" name="Text Box 153">
          <a:extLst>
            <a:ext uri="{FF2B5EF4-FFF2-40B4-BE49-F238E27FC236}">
              <a16:creationId xmlns:a16="http://schemas.microsoft.com/office/drawing/2014/main" id="{0ED9CADC-3371-4EA7-9D89-35B3E5367E8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7" name="Text Box 154">
          <a:extLst>
            <a:ext uri="{FF2B5EF4-FFF2-40B4-BE49-F238E27FC236}">
              <a16:creationId xmlns:a16="http://schemas.microsoft.com/office/drawing/2014/main" id="{1FDE7D9D-C59D-4CD6-B6C9-CAE1A06DCB0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8" name="Text Box 155">
          <a:extLst>
            <a:ext uri="{FF2B5EF4-FFF2-40B4-BE49-F238E27FC236}">
              <a16:creationId xmlns:a16="http://schemas.microsoft.com/office/drawing/2014/main" id="{AD14E5BF-E66E-4DAE-8020-5E2B580B472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9" name="Text Box 156">
          <a:extLst>
            <a:ext uri="{FF2B5EF4-FFF2-40B4-BE49-F238E27FC236}">
              <a16:creationId xmlns:a16="http://schemas.microsoft.com/office/drawing/2014/main" id="{71D6507B-5FA6-4199-9D14-40E71A7E6E13}"/>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0" name="Text Box 157">
          <a:extLst>
            <a:ext uri="{FF2B5EF4-FFF2-40B4-BE49-F238E27FC236}">
              <a16:creationId xmlns:a16="http://schemas.microsoft.com/office/drawing/2014/main" id="{40D74344-37BB-4D00-83C1-EC812B9DF8B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1" name="Text Box 158">
          <a:extLst>
            <a:ext uri="{FF2B5EF4-FFF2-40B4-BE49-F238E27FC236}">
              <a16:creationId xmlns:a16="http://schemas.microsoft.com/office/drawing/2014/main" id="{8A6796E6-3C88-44CD-9AB9-4DD0183D007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2" name="Text Box 159">
          <a:extLst>
            <a:ext uri="{FF2B5EF4-FFF2-40B4-BE49-F238E27FC236}">
              <a16:creationId xmlns:a16="http://schemas.microsoft.com/office/drawing/2014/main" id="{B56B8195-D3FA-4E28-9A3B-D5E15336A12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3" name="Text Box 160">
          <a:extLst>
            <a:ext uri="{FF2B5EF4-FFF2-40B4-BE49-F238E27FC236}">
              <a16:creationId xmlns:a16="http://schemas.microsoft.com/office/drawing/2014/main" id="{40ABAB56-C1E4-452B-B009-A9175C9016B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4" name="Text Box 161">
          <a:extLst>
            <a:ext uri="{FF2B5EF4-FFF2-40B4-BE49-F238E27FC236}">
              <a16:creationId xmlns:a16="http://schemas.microsoft.com/office/drawing/2014/main" id="{33BE50D0-7676-4EA6-8DAA-72624AB05CA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5" name="Text Box 162">
          <a:extLst>
            <a:ext uri="{FF2B5EF4-FFF2-40B4-BE49-F238E27FC236}">
              <a16:creationId xmlns:a16="http://schemas.microsoft.com/office/drawing/2014/main" id="{06CDC474-0B9A-48E2-AC2D-1B865D4B206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6" name="Text Box 163">
          <a:extLst>
            <a:ext uri="{FF2B5EF4-FFF2-40B4-BE49-F238E27FC236}">
              <a16:creationId xmlns:a16="http://schemas.microsoft.com/office/drawing/2014/main" id="{D75CA87E-A9E0-43FB-BBC1-0F4E1099E87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7" name="Text Box 164">
          <a:extLst>
            <a:ext uri="{FF2B5EF4-FFF2-40B4-BE49-F238E27FC236}">
              <a16:creationId xmlns:a16="http://schemas.microsoft.com/office/drawing/2014/main" id="{71558A30-7EE8-47F0-9C49-700496C46AA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8" name="Text Box 165">
          <a:extLst>
            <a:ext uri="{FF2B5EF4-FFF2-40B4-BE49-F238E27FC236}">
              <a16:creationId xmlns:a16="http://schemas.microsoft.com/office/drawing/2014/main" id="{36B8B902-10F4-4B65-8316-2A321A5EB43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9" name="Text Box 166">
          <a:extLst>
            <a:ext uri="{FF2B5EF4-FFF2-40B4-BE49-F238E27FC236}">
              <a16:creationId xmlns:a16="http://schemas.microsoft.com/office/drawing/2014/main" id="{83EE52C8-CA67-433D-8ADC-C3CBF09305F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0" name="Text Box 167">
          <a:extLst>
            <a:ext uri="{FF2B5EF4-FFF2-40B4-BE49-F238E27FC236}">
              <a16:creationId xmlns:a16="http://schemas.microsoft.com/office/drawing/2014/main" id="{7EA17A8B-B885-418A-8B60-B24BD7173DD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1" name="Text Box 168">
          <a:extLst>
            <a:ext uri="{FF2B5EF4-FFF2-40B4-BE49-F238E27FC236}">
              <a16:creationId xmlns:a16="http://schemas.microsoft.com/office/drawing/2014/main" id="{DEA92861-5BAD-42E5-AC0D-FE7A8A33B2E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2" name="Text Box 169">
          <a:extLst>
            <a:ext uri="{FF2B5EF4-FFF2-40B4-BE49-F238E27FC236}">
              <a16:creationId xmlns:a16="http://schemas.microsoft.com/office/drawing/2014/main" id="{5E6361F6-4F41-4FC6-BDC6-184ABAC47EE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3" name="Text Box 170">
          <a:extLst>
            <a:ext uri="{FF2B5EF4-FFF2-40B4-BE49-F238E27FC236}">
              <a16:creationId xmlns:a16="http://schemas.microsoft.com/office/drawing/2014/main" id="{D39A4501-2188-4A76-B6F3-D017C0A444E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4" name="Text Box 171">
          <a:extLst>
            <a:ext uri="{FF2B5EF4-FFF2-40B4-BE49-F238E27FC236}">
              <a16:creationId xmlns:a16="http://schemas.microsoft.com/office/drawing/2014/main" id="{1B932075-8714-48AF-9C1D-794D889AE2E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5" name="Text Box 172">
          <a:extLst>
            <a:ext uri="{FF2B5EF4-FFF2-40B4-BE49-F238E27FC236}">
              <a16:creationId xmlns:a16="http://schemas.microsoft.com/office/drawing/2014/main" id="{2228AA40-E661-401E-BA44-B6001A56B94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6" name="Text Box 173">
          <a:extLst>
            <a:ext uri="{FF2B5EF4-FFF2-40B4-BE49-F238E27FC236}">
              <a16:creationId xmlns:a16="http://schemas.microsoft.com/office/drawing/2014/main" id="{3F233276-A316-4987-A4D2-6142D3747F7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7" name="Text Box 174">
          <a:extLst>
            <a:ext uri="{FF2B5EF4-FFF2-40B4-BE49-F238E27FC236}">
              <a16:creationId xmlns:a16="http://schemas.microsoft.com/office/drawing/2014/main" id="{3940ED2C-46AD-4757-9C5C-A1AA15362C8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8" name="Text Box 175">
          <a:extLst>
            <a:ext uri="{FF2B5EF4-FFF2-40B4-BE49-F238E27FC236}">
              <a16:creationId xmlns:a16="http://schemas.microsoft.com/office/drawing/2014/main" id="{251EA2EB-4795-4390-BEF1-7F975931076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9" name="Text Box 176">
          <a:extLst>
            <a:ext uri="{FF2B5EF4-FFF2-40B4-BE49-F238E27FC236}">
              <a16:creationId xmlns:a16="http://schemas.microsoft.com/office/drawing/2014/main" id="{17B595C6-45A0-4562-B7C3-B8BF700A0E5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0" name="Text Box 177">
          <a:extLst>
            <a:ext uri="{FF2B5EF4-FFF2-40B4-BE49-F238E27FC236}">
              <a16:creationId xmlns:a16="http://schemas.microsoft.com/office/drawing/2014/main" id="{00F7D6C0-CC3D-4F8B-B0D5-C8C3E979A52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1" name="Text Box 178">
          <a:extLst>
            <a:ext uri="{FF2B5EF4-FFF2-40B4-BE49-F238E27FC236}">
              <a16:creationId xmlns:a16="http://schemas.microsoft.com/office/drawing/2014/main" id="{898B7103-F516-44F0-A1D5-06AD2806349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2" name="Text Box 179">
          <a:extLst>
            <a:ext uri="{FF2B5EF4-FFF2-40B4-BE49-F238E27FC236}">
              <a16:creationId xmlns:a16="http://schemas.microsoft.com/office/drawing/2014/main" id="{E541DF0D-06AA-42A8-ACE6-12453C11D03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3" name="Text Box 180">
          <a:extLst>
            <a:ext uri="{FF2B5EF4-FFF2-40B4-BE49-F238E27FC236}">
              <a16:creationId xmlns:a16="http://schemas.microsoft.com/office/drawing/2014/main" id="{3B52D7DC-D93E-40DE-9D9B-7B18351997C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4" name="Text Box 181">
          <a:extLst>
            <a:ext uri="{FF2B5EF4-FFF2-40B4-BE49-F238E27FC236}">
              <a16:creationId xmlns:a16="http://schemas.microsoft.com/office/drawing/2014/main" id="{F0FEB32A-19BF-4A97-BCAA-C0CB172AE99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5" name="Text Box 182">
          <a:extLst>
            <a:ext uri="{FF2B5EF4-FFF2-40B4-BE49-F238E27FC236}">
              <a16:creationId xmlns:a16="http://schemas.microsoft.com/office/drawing/2014/main" id="{F0092B11-0767-4D53-A688-53AD9E17B110}"/>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6" name="Text Box 183">
          <a:extLst>
            <a:ext uri="{FF2B5EF4-FFF2-40B4-BE49-F238E27FC236}">
              <a16:creationId xmlns:a16="http://schemas.microsoft.com/office/drawing/2014/main" id="{BA4777D5-DB6F-4375-85AD-20DEAC69356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7" name="Text Box 187">
          <a:extLst>
            <a:ext uri="{FF2B5EF4-FFF2-40B4-BE49-F238E27FC236}">
              <a16:creationId xmlns:a16="http://schemas.microsoft.com/office/drawing/2014/main" id="{E083CEE1-2906-4183-8BED-4789528081D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8" name="Text Box 188">
          <a:extLst>
            <a:ext uri="{FF2B5EF4-FFF2-40B4-BE49-F238E27FC236}">
              <a16:creationId xmlns:a16="http://schemas.microsoft.com/office/drawing/2014/main" id="{D4B8689B-6F4A-4613-9A12-0D2343CFB3C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9" name="Text Box 189">
          <a:extLst>
            <a:ext uri="{FF2B5EF4-FFF2-40B4-BE49-F238E27FC236}">
              <a16:creationId xmlns:a16="http://schemas.microsoft.com/office/drawing/2014/main" id="{61671E1D-2620-4F3C-BEC9-B11E9ED0C96F}"/>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40" name="Text Box 190">
          <a:extLst>
            <a:ext uri="{FF2B5EF4-FFF2-40B4-BE49-F238E27FC236}">
              <a16:creationId xmlns:a16="http://schemas.microsoft.com/office/drawing/2014/main" id="{0A3607CD-BB51-4BD7-B3DE-21EF793BEE8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1" name="Text Box 191">
          <a:extLst>
            <a:ext uri="{FF2B5EF4-FFF2-40B4-BE49-F238E27FC236}">
              <a16:creationId xmlns:a16="http://schemas.microsoft.com/office/drawing/2014/main" id="{3541C7C2-2D1A-4C28-A3E6-0EF0985EC2D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2" name="Text Box 192">
          <a:extLst>
            <a:ext uri="{FF2B5EF4-FFF2-40B4-BE49-F238E27FC236}">
              <a16:creationId xmlns:a16="http://schemas.microsoft.com/office/drawing/2014/main" id="{45A2C694-3B4A-4329-80B2-1044D457E1B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3" name="Text Box 193">
          <a:extLst>
            <a:ext uri="{FF2B5EF4-FFF2-40B4-BE49-F238E27FC236}">
              <a16:creationId xmlns:a16="http://schemas.microsoft.com/office/drawing/2014/main" id="{60BEA0A3-7E84-4FFC-9DC0-A681F8D7B17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4" name="Text Box 194">
          <a:extLst>
            <a:ext uri="{FF2B5EF4-FFF2-40B4-BE49-F238E27FC236}">
              <a16:creationId xmlns:a16="http://schemas.microsoft.com/office/drawing/2014/main" id="{8E4319E0-B0A7-4B8A-85D8-9B5123309F8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5" name="Text Box 195">
          <a:extLst>
            <a:ext uri="{FF2B5EF4-FFF2-40B4-BE49-F238E27FC236}">
              <a16:creationId xmlns:a16="http://schemas.microsoft.com/office/drawing/2014/main" id="{93D2A53A-B7A1-4523-AFAE-4BC76759565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6" name="Text Box 196">
          <a:extLst>
            <a:ext uri="{FF2B5EF4-FFF2-40B4-BE49-F238E27FC236}">
              <a16:creationId xmlns:a16="http://schemas.microsoft.com/office/drawing/2014/main" id="{94DC7B07-73A4-4D36-854D-DAE36BA0425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7" name="Text Box 197">
          <a:extLst>
            <a:ext uri="{FF2B5EF4-FFF2-40B4-BE49-F238E27FC236}">
              <a16:creationId xmlns:a16="http://schemas.microsoft.com/office/drawing/2014/main" id="{B23BDCFA-9F99-4278-9FE1-BDF4CEAC94C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8" name="Text Box 198">
          <a:extLst>
            <a:ext uri="{FF2B5EF4-FFF2-40B4-BE49-F238E27FC236}">
              <a16:creationId xmlns:a16="http://schemas.microsoft.com/office/drawing/2014/main" id="{DC7B8FF4-91D4-4CD7-AF21-9CDE6973448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9" name="Text Box 199">
          <a:extLst>
            <a:ext uri="{FF2B5EF4-FFF2-40B4-BE49-F238E27FC236}">
              <a16:creationId xmlns:a16="http://schemas.microsoft.com/office/drawing/2014/main" id="{F293AC5C-D60D-439B-BB6A-828B8E13384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0" name="Text Box 200">
          <a:extLst>
            <a:ext uri="{FF2B5EF4-FFF2-40B4-BE49-F238E27FC236}">
              <a16:creationId xmlns:a16="http://schemas.microsoft.com/office/drawing/2014/main" id="{B6AE13A4-C2F3-46ED-A304-52E29C3D6FA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1" name="Text Box 201">
          <a:extLst>
            <a:ext uri="{FF2B5EF4-FFF2-40B4-BE49-F238E27FC236}">
              <a16:creationId xmlns:a16="http://schemas.microsoft.com/office/drawing/2014/main" id="{13F3F088-D8D5-4AE3-A9B9-90B64E1DA31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2" name="Text Box 202">
          <a:extLst>
            <a:ext uri="{FF2B5EF4-FFF2-40B4-BE49-F238E27FC236}">
              <a16:creationId xmlns:a16="http://schemas.microsoft.com/office/drawing/2014/main" id="{24AEC77D-E1DB-4100-80F5-E6EA0CF83DB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55</xdr:row>
      <xdr:rowOff>0</xdr:rowOff>
    </xdr:from>
    <xdr:to>
      <xdr:col>0</xdr:col>
      <xdr:colOff>0</xdr:colOff>
      <xdr:row>55</xdr:row>
      <xdr:rowOff>0</xdr:rowOff>
    </xdr:to>
    <xdr:sp macro="" textlink="">
      <xdr:nvSpPr>
        <xdr:cNvPr id="2" name="Text Box 145">
          <a:extLst>
            <a:ext uri="{FF2B5EF4-FFF2-40B4-BE49-F238E27FC236}">
              <a16:creationId xmlns:a16="http://schemas.microsoft.com/office/drawing/2014/main" id="{EB099F33-C8B6-4148-B565-C30E99771CF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 name="Text Box 150">
          <a:extLst>
            <a:ext uri="{FF2B5EF4-FFF2-40B4-BE49-F238E27FC236}">
              <a16:creationId xmlns:a16="http://schemas.microsoft.com/office/drawing/2014/main" id="{889FDEC9-43DE-485A-8080-465216E2B04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 name="Text Box 151">
          <a:extLst>
            <a:ext uri="{FF2B5EF4-FFF2-40B4-BE49-F238E27FC236}">
              <a16:creationId xmlns:a16="http://schemas.microsoft.com/office/drawing/2014/main" id="{2BB68FAC-83CE-410B-B394-FFB179641F5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 name="Text Box 152">
          <a:extLst>
            <a:ext uri="{FF2B5EF4-FFF2-40B4-BE49-F238E27FC236}">
              <a16:creationId xmlns:a16="http://schemas.microsoft.com/office/drawing/2014/main" id="{F1B687F9-1E20-4334-9FC3-34CDAA116F4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6" name="Text Box 153">
          <a:extLst>
            <a:ext uri="{FF2B5EF4-FFF2-40B4-BE49-F238E27FC236}">
              <a16:creationId xmlns:a16="http://schemas.microsoft.com/office/drawing/2014/main" id="{581492AD-353A-4625-B0AB-4329827C97B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7" name="Text Box 154">
          <a:extLst>
            <a:ext uri="{FF2B5EF4-FFF2-40B4-BE49-F238E27FC236}">
              <a16:creationId xmlns:a16="http://schemas.microsoft.com/office/drawing/2014/main" id="{39FFA22C-E8FD-42A5-AB23-3274A2808E2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8" name="Text Box 155">
          <a:extLst>
            <a:ext uri="{FF2B5EF4-FFF2-40B4-BE49-F238E27FC236}">
              <a16:creationId xmlns:a16="http://schemas.microsoft.com/office/drawing/2014/main" id="{FB10F43A-393E-4D88-8B01-037DE163C5F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9" name="Text Box 156">
          <a:extLst>
            <a:ext uri="{FF2B5EF4-FFF2-40B4-BE49-F238E27FC236}">
              <a16:creationId xmlns:a16="http://schemas.microsoft.com/office/drawing/2014/main" id="{72B7D3E6-683A-48B5-A982-D90BFF94DA94}"/>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0" name="Text Box 157">
          <a:extLst>
            <a:ext uri="{FF2B5EF4-FFF2-40B4-BE49-F238E27FC236}">
              <a16:creationId xmlns:a16="http://schemas.microsoft.com/office/drawing/2014/main" id="{5A1C25B5-426E-4D49-9E41-02AE8D046F4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1" name="Text Box 158">
          <a:extLst>
            <a:ext uri="{FF2B5EF4-FFF2-40B4-BE49-F238E27FC236}">
              <a16:creationId xmlns:a16="http://schemas.microsoft.com/office/drawing/2014/main" id="{1E57FB93-4138-488D-A5AE-997DB526C55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2" name="Text Box 159">
          <a:extLst>
            <a:ext uri="{FF2B5EF4-FFF2-40B4-BE49-F238E27FC236}">
              <a16:creationId xmlns:a16="http://schemas.microsoft.com/office/drawing/2014/main" id="{D39D9FA9-BECD-410C-8911-3BA43D14DF7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3" name="Text Box 160">
          <a:extLst>
            <a:ext uri="{FF2B5EF4-FFF2-40B4-BE49-F238E27FC236}">
              <a16:creationId xmlns:a16="http://schemas.microsoft.com/office/drawing/2014/main" id="{DD4424CC-3007-4DA9-AEAD-4C5624B3859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4" name="Text Box 161">
          <a:extLst>
            <a:ext uri="{FF2B5EF4-FFF2-40B4-BE49-F238E27FC236}">
              <a16:creationId xmlns:a16="http://schemas.microsoft.com/office/drawing/2014/main" id="{B9AAF8DE-6BB7-4336-8E2F-C499DD7FF02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5" name="Text Box 162">
          <a:extLst>
            <a:ext uri="{FF2B5EF4-FFF2-40B4-BE49-F238E27FC236}">
              <a16:creationId xmlns:a16="http://schemas.microsoft.com/office/drawing/2014/main" id="{1730F1D1-6CF5-480A-B006-550C2BDA126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6" name="Text Box 163">
          <a:extLst>
            <a:ext uri="{FF2B5EF4-FFF2-40B4-BE49-F238E27FC236}">
              <a16:creationId xmlns:a16="http://schemas.microsoft.com/office/drawing/2014/main" id="{8DC18CD6-61DA-4F07-A1E9-B31C26A92AC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7" name="Text Box 164">
          <a:extLst>
            <a:ext uri="{FF2B5EF4-FFF2-40B4-BE49-F238E27FC236}">
              <a16:creationId xmlns:a16="http://schemas.microsoft.com/office/drawing/2014/main" id="{A4424820-0E34-41F4-8A67-DFBD12730DB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8" name="Text Box 165">
          <a:extLst>
            <a:ext uri="{FF2B5EF4-FFF2-40B4-BE49-F238E27FC236}">
              <a16:creationId xmlns:a16="http://schemas.microsoft.com/office/drawing/2014/main" id="{7F5C2833-E0C3-4D35-9D9C-CBE21C89687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9" name="Text Box 166">
          <a:extLst>
            <a:ext uri="{FF2B5EF4-FFF2-40B4-BE49-F238E27FC236}">
              <a16:creationId xmlns:a16="http://schemas.microsoft.com/office/drawing/2014/main" id="{FAE07CC5-6BA8-4FC4-AF06-95B36E20349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0" name="Text Box 167">
          <a:extLst>
            <a:ext uri="{FF2B5EF4-FFF2-40B4-BE49-F238E27FC236}">
              <a16:creationId xmlns:a16="http://schemas.microsoft.com/office/drawing/2014/main" id="{66A681F9-FFBA-4D64-AC1F-88EC48ADB9E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1" name="Text Box 168">
          <a:extLst>
            <a:ext uri="{FF2B5EF4-FFF2-40B4-BE49-F238E27FC236}">
              <a16:creationId xmlns:a16="http://schemas.microsoft.com/office/drawing/2014/main" id="{AB0AD7B4-6D43-4637-BECC-FCA035F4FCE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2" name="Text Box 169">
          <a:extLst>
            <a:ext uri="{FF2B5EF4-FFF2-40B4-BE49-F238E27FC236}">
              <a16:creationId xmlns:a16="http://schemas.microsoft.com/office/drawing/2014/main" id="{ED660F87-ABA6-49CA-A0A9-1667E06375A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3" name="Text Box 170">
          <a:extLst>
            <a:ext uri="{FF2B5EF4-FFF2-40B4-BE49-F238E27FC236}">
              <a16:creationId xmlns:a16="http://schemas.microsoft.com/office/drawing/2014/main" id="{BF35A0B7-559E-4E25-9311-8B4D2B3C6BD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4" name="Text Box 171">
          <a:extLst>
            <a:ext uri="{FF2B5EF4-FFF2-40B4-BE49-F238E27FC236}">
              <a16:creationId xmlns:a16="http://schemas.microsoft.com/office/drawing/2014/main" id="{AACD2116-23DD-4EBF-9B28-2DEF453D699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5" name="Text Box 172">
          <a:extLst>
            <a:ext uri="{FF2B5EF4-FFF2-40B4-BE49-F238E27FC236}">
              <a16:creationId xmlns:a16="http://schemas.microsoft.com/office/drawing/2014/main" id="{3213C5E2-E8E4-4151-B161-D03F3DB432C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6" name="Text Box 173">
          <a:extLst>
            <a:ext uri="{FF2B5EF4-FFF2-40B4-BE49-F238E27FC236}">
              <a16:creationId xmlns:a16="http://schemas.microsoft.com/office/drawing/2014/main" id="{EF740D31-ACD8-4924-959C-B6BE411C07E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7" name="Text Box 174">
          <a:extLst>
            <a:ext uri="{FF2B5EF4-FFF2-40B4-BE49-F238E27FC236}">
              <a16:creationId xmlns:a16="http://schemas.microsoft.com/office/drawing/2014/main" id="{7BB9D8E5-FDC1-4B9A-9F56-40CE64E7589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8" name="Text Box 175">
          <a:extLst>
            <a:ext uri="{FF2B5EF4-FFF2-40B4-BE49-F238E27FC236}">
              <a16:creationId xmlns:a16="http://schemas.microsoft.com/office/drawing/2014/main" id="{C0D99E13-A301-487A-BCD9-7B0877C412D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9" name="Text Box 176">
          <a:extLst>
            <a:ext uri="{FF2B5EF4-FFF2-40B4-BE49-F238E27FC236}">
              <a16:creationId xmlns:a16="http://schemas.microsoft.com/office/drawing/2014/main" id="{23ACCC9E-4D01-4F51-9DFA-EAB08B8A7A9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0" name="Text Box 177">
          <a:extLst>
            <a:ext uri="{FF2B5EF4-FFF2-40B4-BE49-F238E27FC236}">
              <a16:creationId xmlns:a16="http://schemas.microsoft.com/office/drawing/2014/main" id="{266D9217-8FC6-4A68-9713-EAC8E097556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1" name="Text Box 178">
          <a:extLst>
            <a:ext uri="{FF2B5EF4-FFF2-40B4-BE49-F238E27FC236}">
              <a16:creationId xmlns:a16="http://schemas.microsoft.com/office/drawing/2014/main" id="{6ACB80DA-5564-4098-A44D-DA68AE05E0A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2" name="Text Box 179">
          <a:extLst>
            <a:ext uri="{FF2B5EF4-FFF2-40B4-BE49-F238E27FC236}">
              <a16:creationId xmlns:a16="http://schemas.microsoft.com/office/drawing/2014/main" id="{7FB14715-B6DD-45A7-A696-2926AE7F29B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3" name="Text Box 180">
          <a:extLst>
            <a:ext uri="{FF2B5EF4-FFF2-40B4-BE49-F238E27FC236}">
              <a16:creationId xmlns:a16="http://schemas.microsoft.com/office/drawing/2014/main" id="{8F11EB88-67AD-49E3-AA97-BF48C0710B9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4" name="Text Box 181">
          <a:extLst>
            <a:ext uri="{FF2B5EF4-FFF2-40B4-BE49-F238E27FC236}">
              <a16:creationId xmlns:a16="http://schemas.microsoft.com/office/drawing/2014/main" id="{55DD0510-38EB-4805-87C1-B9FD7173FF5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5" name="Text Box 182">
          <a:extLst>
            <a:ext uri="{FF2B5EF4-FFF2-40B4-BE49-F238E27FC236}">
              <a16:creationId xmlns:a16="http://schemas.microsoft.com/office/drawing/2014/main" id="{7ABA7E5E-3FFB-4496-B922-87070BB1BDA4}"/>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6" name="Text Box 183">
          <a:extLst>
            <a:ext uri="{FF2B5EF4-FFF2-40B4-BE49-F238E27FC236}">
              <a16:creationId xmlns:a16="http://schemas.microsoft.com/office/drawing/2014/main" id="{B5035500-997F-495D-877B-8ED2F62858C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7" name="Text Box 187">
          <a:extLst>
            <a:ext uri="{FF2B5EF4-FFF2-40B4-BE49-F238E27FC236}">
              <a16:creationId xmlns:a16="http://schemas.microsoft.com/office/drawing/2014/main" id="{17AE0779-729A-4B3D-915D-67543F66717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8" name="Text Box 188">
          <a:extLst>
            <a:ext uri="{FF2B5EF4-FFF2-40B4-BE49-F238E27FC236}">
              <a16:creationId xmlns:a16="http://schemas.microsoft.com/office/drawing/2014/main" id="{3F005342-546C-4267-9159-FECE18F8947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9" name="Text Box 189">
          <a:extLst>
            <a:ext uri="{FF2B5EF4-FFF2-40B4-BE49-F238E27FC236}">
              <a16:creationId xmlns:a16="http://schemas.microsoft.com/office/drawing/2014/main" id="{6C435876-7522-4FC5-9C2E-6D49E2D9444F}"/>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40" name="Text Box 190">
          <a:extLst>
            <a:ext uri="{FF2B5EF4-FFF2-40B4-BE49-F238E27FC236}">
              <a16:creationId xmlns:a16="http://schemas.microsoft.com/office/drawing/2014/main" id="{E35E1BFD-CFE9-4291-93E1-284D176705D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1" name="Text Box 191">
          <a:extLst>
            <a:ext uri="{FF2B5EF4-FFF2-40B4-BE49-F238E27FC236}">
              <a16:creationId xmlns:a16="http://schemas.microsoft.com/office/drawing/2014/main" id="{FC5394FF-B7E3-4236-93D8-72C8ADE07DC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2" name="Text Box 192">
          <a:extLst>
            <a:ext uri="{FF2B5EF4-FFF2-40B4-BE49-F238E27FC236}">
              <a16:creationId xmlns:a16="http://schemas.microsoft.com/office/drawing/2014/main" id="{3609FE44-05F5-4D2F-B0A4-55A5FF8003C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3" name="Text Box 193">
          <a:extLst>
            <a:ext uri="{FF2B5EF4-FFF2-40B4-BE49-F238E27FC236}">
              <a16:creationId xmlns:a16="http://schemas.microsoft.com/office/drawing/2014/main" id="{D3312089-6657-4852-A639-4BF2115AFC7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4" name="Text Box 194">
          <a:extLst>
            <a:ext uri="{FF2B5EF4-FFF2-40B4-BE49-F238E27FC236}">
              <a16:creationId xmlns:a16="http://schemas.microsoft.com/office/drawing/2014/main" id="{8161DCC6-7648-4FFF-B8E6-E493730D534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5" name="Text Box 195">
          <a:extLst>
            <a:ext uri="{FF2B5EF4-FFF2-40B4-BE49-F238E27FC236}">
              <a16:creationId xmlns:a16="http://schemas.microsoft.com/office/drawing/2014/main" id="{EFBEAE30-41A5-4D7D-A970-078F975987F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6" name="Text Box 196">
          <a:extLst>
            <a:ext uri="{FF2B5EF4-FFF2-40B4-BE49-F238E27FC236}">
              <a16:creationId xmlns:a16="http://schemas.microsoft.com/office/drawing/2014/main" id="{ADD4BB46-867E-49D1-BD36-D43C88EB9CD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7" name="Text Box 197">
          <a:extLst>
            <a:ext uri="{FF2B5EF4-FFF2-40B4-BE49-F238E27FC236}">
              <a16:creationId xmlns:a16="http://schemas.microsoft.com/office/drawing/2014/main" id="{FF69E372-DD42-4F98-8E7F-37175C9EBEF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8" name="Text Box 198">
          <a:extLst>
            <a:ext uri="{FF2B5EF4-FFF2-40B4-BE49-F238E27FC236}">
              <a16:creationId xmlns:a16="http://schemas.microsoft.com/office/drawing/2014/main" id="{D7CCB3AD-2078-4971-B5D2-F35FC5DE9CD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9" name="Text Box 199">
          <a:extLst>
            <a:ext uri="{FF2B5EF4-FFF2-40B4-BE49-F238E27FC236}">
              <a16:creationId xmlns:a16="http://schemas.microsoft.com/office/drawing/2014/main" id="{22D5EA78-A529-4013-9695-96ED06DC53E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0" name="Text Box 200">
          <a:extLst>
            <a:ext uri="{FF2B5EF4-FFF2-40B4-BE49-F238E27FC236}">
              <a16:creationId xmlns:a16="http://schemas.microsoft.com/office/drawing/2014/main" id="{615C4843-3688-494D-9706-9964C389307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1" name="Text Box 201">
          <a:extLst>
            <a:ext uri="{FF2B5EF4-FFF2-40B4-BE49-F238E27FC236}">
              <a16:creationId xmlns:a16="http://schemas.microsoft.com/office/drawing/2014/main" id="{845A68A8-9847-4B03-A34C-50C0621FBC5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2" name="Text Box 202">
          <a:extLst>
            <a:ext uri="{FF2B5EF4-FFF2-40B4-BE49-F238E27FC236}">
              <a16:creationId xmlns:a16="http://schemas.microsoft.com/office/drawing/2014/main" id="{A1ECF826-789D-413D-AF52-749D1BA6CF0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55</xdr:row>
      <xdr:rowOff>0</xdr:rowOff>
    </xdr:from>
    <xdr:to>
      <xdr:col>0</xdr:col>
      <xdr:colOff>0</xdr:colOff>
      <xdr:row>55</xdr:row>
      <xdr:rowOff>0</xdr:rowOff>
    </xdr:to>
    <xdr:sp macro="" textlink="">
      <xdr:nvSpPr>
        <xdr:cNvPr id="2" name="Text Box 145">
          <a:extLst>
            <a:ext uri="{FF2B5EF4-FFF2-40B4-BE49-F238E27FC236}">
              <a16:creationId xmlns:a16="http://schemas.microsoft.com/office/drawing/2014/main" id="{5FAECEB0-7EF9-48C6-AEFC-E854C0EEEC7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 name="Text Box 150">
          <a:extLst>
            <a:ext uri="{FF2B5EF4-FFF2-40B4-BE49-F238E27FC236}">
              <a16:creationId xmlns:a16="http://schemas.microsoft.com/office/drawing/2014/main" id="{5405678B-12B4-48A7-BC08-6CD8FF24980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 name="Text Box 151">
          <a:extLst>
            <a:ext uri="{FF2B5EF4-FFF2-40B4-BE49-F238E27FC236}">
              <a16:creationId xmlns:a16="http://schemas.microsoft.com/office/drawing/2014/main" id="{B2D457E2-613A-4F47-94C6-2279B3A4C3F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Barbwire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 name="Text Box 152">
          <a:extLst>
            <a:ext uri="{FF2B5EF4-FFF2-40B4-BE49-F238E27FC236}">
              <a16:creationId xmlns:a16="http://schemas.microsoft.com/office/drawing/2014/main" id="{E3CA8AFF-5153-462D-BDEE-0C8B7AFA4B4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6" name="Text Box 153">
          <a:extLst>
            <a:ext uri="{FF2B5EF4-FFF2-40B4-BE49-F238E27FC236}">
              <a16:creationId xmlns:a16="http://schemas.microsoft.com/office/drawing/2014/main" id="{F883DAE6-6C0E-475C-8711-12B4CC9CC7E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Ornamental Steel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7" name="Text Box 154">
          <a:extLst>
            <a:ext uri="{FF2B5EF4-FFF2-40B4-BE49-F238E27FC236}">
              <a16:creationId xmlns:a16="http://schemas.microsoft.com/office/drawing/2014/main" id="{0F0D687D-55D8-4E6B-8321-377A2F9CE0B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8" name="Text Box 155">
          <a:extLst>
            <a:ext uri="{FF2B5EF4-FFF2-40B4-BE49-F238E27FC236}">
              <a16:creationId xmlns:a16="http://schemas.microsoft.com/office/drawing/2014/main" id="{2BAEEB9D-7DF2-4C4B-8BC7-01AAF9AE85C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Reconditioning and Maintenance Service for Wood Fence.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9" name="Text Box 156">
          <a:extLst>
            <a:ext uri="{FF2B5EF4-FFF2-40B4-BE49-F238E27FC236}">
              <a16:creationId xmlns:a16="http://schemas.microsoft.com/office/drawing/2014/main" id="{5F8A19DD-0554-453F-8CCB-0A2B40F8E0DE}"/>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REMOVAL AND DISPOSAL OF FENCE COMPLETE, FENCE POSTS, BARBWIRE, BARBED TAPE.</a:t>
          </a:r>
        </a:p>
        <a:p>
          <a:pPr algn="l" rtl="0">
            <a:defRPr sz="1000"/>
          </a:pPr>
          <a:r>
            <a:rPr lang="en-US" sz="1000" b="0" i="0" u="none" strike="noStrike" baseline="0">
              <a:solidFill>
                <a:srgbClr val="000000"/>
              </a:solidFill>
              <a:latin typeface="Arial"/>
              <a:cs typeface="Arial"/>
            </a:rPr>
            <a:t>IN ACCORDANCE WITH SECTION C, C.10.1.l</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A001EW through A001FI</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0" name="Text Box 157">
          <a:extLst>
            <a:ext uri="{FF2B5EF4-FFF2-40B4-BE49-F238E27FC236}">
              <a16:creationId xmlns:a16="http://schemas.microsoft.com/office/drawing/2014/main" id="{341497C5-41D9-4E0D-BEF6-65155C96A48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1" name="Text Box 158">
          <a:extLst>
            <a:ext uri="{FF2B5EF4-FFF2-40B4-BE49-F238E27FC236}">
              <a16:creationId xmlns:a16="http://schemas.microsoft.com/office/drawing/2014/main" id="{C736218C-DEEC-423F-9E56-4B6F46D9B20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a:t>
          </a:r>
        </a:p>
        <a:p>
          <a:pPr algn="l" rtl="0">
            <a:defRPr sz="1000"/>
          </a:pPr>
          <a:r>
            <a:rPr lang="en-US" sz="1000" b="0" i="0" u="none" strike="noStrike" baseline="0">
              <a:solidFill>
                <a:srgbClr val="000000"/>
              </a:solidFill>
              <a:latin typeface="Arial"/>
              <a:cs typeface="Arial"/>
            </a:rPr>
            <a:t>Including Fabric, Posts, Gates, Rails, Tension Wire, Barbwire/Barbed Tape.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2" name="Text Box 159">
          <a:extLst>
            <a:ext uri="{FF2B5EF4-FFF2-40B4-BE49-F238E27FC236}">
              <a16:creationId xmlns:a16="http://schemas.microsoft.com/office/drawing/2014/main" id="{DA9F0CE8-4389-4EE9-8636-BF4818FAE77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3" name="Text Box 160">
          <a:extLst>
            <a:ext uri="{FF2B5EF4-FFF2-40B4-BE49-F238E27FC236}">
              <a16:creationId xmlns:a16="http://schemas.microsoft.com/office/drawing/2014/main" id="{1ADA3B36-AC00-487B-B690-25733ABFD41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Chain link Fence Gates including tracks (not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4" name="Text Box 161">
          <a:extLst>
            <a:ext uri="{FF2B5EF4-FFF2-40B4-BE49-F238E27FC236}">
              <a16:creationId xmlns:a16="http://schemas.microsoft.com/office/drawing/2014/main" id="{BED8EE67-CF67-4FC6-9B38-2CD11C6BFB2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5" name="Text Box 162">
          <a:extLst>
            <a:ext uri="{FF2B5EF4-FFF2-40B4-BE49-F238E27FC236}">
              <a16:creationId xmlns:a16="http://schemas.microsoft.com/office/drawing/2014/main" id="{303AEEF3-5227-4AF1-AF00-F6654CC9444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Ornamental Steel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6" name="Text Box 163">
          <a:extLst>
            <a:ext uri="{FF2B5EF4-FFF2-40B4-BE49-F238E27FC236}">
              <a16:creationId xmlns:a16="http://schemas.microsoft.com/office/drawing/2014/main" id="{1B23BE84-1894-4C34-AEB2-43B936EFF37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7" name="Text Box 164">
          <a:extLst>
            <a:ext uri="{FF2B5EF4-FFF2-40B4-BE49-F238E27FC236}">
              <a16:creationId xmlns:a16="http://schemas.microsoft.com/office/drawing/2014/main" id="{10B9A042-F99C-4E31-8E47-2E6C52E8D00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Wood Fence.  Including Posts and Gates.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8" name="Text Box 165">
          <a:extLst>
            <a:ext uri="{FF2B5EF4-FFF2-40B4-BE49-F238E27FC236}">
              <a16:creationId xmlns:a16="http://schemas.microsoft.com/office/drawing/2014/main" id="{20CACF8B-48AD-424B-A231-45443740F68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19" name="Text Box 166">
          <a:extLst>
            <a:ext uri="{FF2B5EF4-FFF2-40B4-BE49-F238E27FC236}">
              <a16:creationId xmlns:a16="http://schemas.microsoft.com/office/drawing/2014/main" id="{C6E07BB7-3854-4812-9D49-A9C729DBA088}"/>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Removal Service for Barbwire Fence.  Including Posts and all wire.</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0" name="Text Box 167">
          <a:extLst>
            <a:ext uri="{FF2B5EF4-FFF2-40B4-BE49-F238E27FC236}">
              <a16:creationId xmlns:a16="http://schemas.microsoft.com/office/drawing/2014/main" id="{9D954EBD-EAA7-4F8F-961B-DF8CA390843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1" name="Text Box 168">
          <a:extLst>
            <a:ext uri="{FF2B5EF4-FFF2-40B4-BE49-F238E27FC236}">
              <a16:creationId xmlns:a16="http://schemas.microsoft.com/office/drawing/2014/main" id="{C6554BF4-A196-4D2A-A5BA-2759DC7A0B6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2" name="Text Box 169">
          <a:extLst>
            <a:ext uri="{FF2B5EF4-FFF2-40B4-BE49-F238E27FC236}">
              <a16:creationId xmlns:a16="http://schemas.microsoft.com/office/drawing/2014/main" id="{3CDE877E-7F82-4612-85BB-EDAA6868A40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3" name="Text Box 170">
          <a:extLst>
            <a:ext uri="{FF2B5EF4-FFF2-40B4-BE49-F238E27FC236}">
              <a16:creationId xmlns:a16="http://schemas.microsoft.com/office/drawing/2014/main" id="{ABAB511D-CA07-4C97-8CE2-E45DA454246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Post Cut-off Flush.</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4" name="Text Box 171">
          <a:extLst>
            <a:ext uri="{FF2B5EF4-FFF2-40B4-BE49-F238E27FC236}">
              <a16:creationId xmlns:a16="http://schemas.microsoft.com/office/drawing/2014/main" id="{7865D458-D644-419A-BBC2-0DC10658A57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5" name="Text Box 172">
          <a:extLst>
            <a:ext uri="{FF2B5EF4-FFF2-40B4-BE49-F238E27FC236}">
              <a16:creationId xmlns:a16="http://schemas.microsoft.com/office/drawing/2014/main" id="{6C35E50B-1F03-442F-BFFB-5F409CFB63A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Driven Post.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6" name="Text Box 173">
          <a:extLst>
            <a:ext uri="{FF2B5EF4-FFF2-40B4-BE49-F238E27FC236}">
              <a16:creationId xmlns:a16="http://schemas.microsoft.com/office/drawing/2014/main" id="{4A4C02D9-51DF-4E48-8BE4-27B864144CEB}"/>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7" name="Text Box 174">
          <a:extLst>
            <a:ext uri="{FF2B5EF4-FFF2-40B4-BE49-F238E27FC236}">
              <a16:creationId xmlns:a16="http://schemas.microsoft.com/office/drawing/2014/main" id="{722AE5BD-75C6-4C20-8C4D-8D5A0F4B1BC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Provide Removal Service for Fence Posts.  Including Posts Footing with Braces and Supports as Required.</a:t>
          </a:r>
        </a:p>
        <a:p>
          <a:pPr algn="l" rtl="0">
            <a:defRPr sz="1000"/>
          </a:pPr>
          <a:r>
            <a:rPr lang="en-US" sz="1000" b="0" i="0" u="none" strike="noStrike" baseline="0">
              <a:solidFill>
                <a:srgbClr val="000000"/>
              </a:solidFill>
              <a:latin typeface="Arial"/>
              <a:cs typeface="Arial"/>
            </a:rPr>
            <a:t>Posts Set in Concrete/Asphalt.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8" name="Text Box 175">
          <a:extLst>
            <a:ext uri="{FF2B5EF4-FFF2-40B4-BE49-F238E27FC236}">
              <a16:creationId xmlns:a16="http://schemas.microsoft.com/office/drawing/2014/main" id="{9F2DCD43-4BDC-4595-A200-1BC3E8351B10}"/>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29" name="Text Box 176">
          <a:extLst>
            <a:ext uri="{FF2B5EF4-FFF2-40B4-BE49-F238E27FC236}">
              <a16:creationId xmlns:a16="http://schemas.microsoft.com/office/drawing/2014/main" id="{0A6646D4-9112-40A2-97A0-A5C6D3910A2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Square Foot to Patch and Refinish Concrete or Asphalt Surface.</a:t>
          </a:r>
        </a:p>
        <a:p>
          <a:pPr algn="l" rtl="0">
            <a:defRPr sz="1000"/>
          </a:pPr>
          <a:r>
            <a:rPr lang="en-US" sz="1000" b="0" i="0" u="none" strike="noStrike" baseline="0">
              <a:solidFill>
                <a:srgbClr val="000000"/>
              </a:solidFill>
              <a:latin typeface="Arial"/>
              <a:cs typeface="Arial"/>
            </a:rPr>
            <a:t>Surface Depth to Match Surrounding.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0" name="Text Box 177">
          <a:extLst>
            <a:ext uri="{FF2B5EF4-FFF2-40B4-BE49-F238E27FC236}">
              <a16:creationId xmlns:a16="http://schemas.microsoft.com/office/drawing/2014/main" id="{B9453824-628B-42C0-BD12-F130DA788D3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Single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1" name="Text Box 178">
          <a:extLst>
            <a:ext uri="{FF2B5EF4-FFF2-40B4-BE49-F238E27FC236}">
              <a16:creationId xmlns:a16="http://schemas.microsoft.com/office/drawing/2014/main" id="{469F1293-EDFA-4C00-917B-12F4E6FF14E6}"/>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Each to remove and Dispose of or Save and Store (for reuse) Barbwire Double (V) Arm Support.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2" name="Text Box 179">
          <a:extLst>
            <a:ext uri="{FF2B5EF4-FFF2-40B4-BE49-F238E27FC236}">
              <a16:creationId xmlns:a16="http://schemas.microsoft.com/office/drawing/2014/main" id="{846275AA-0B91-48B0-A66F-7B6529528E8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3" name="Text Box 180">
          <a:extLst>
            <a:ext uri="{FF2B5EF4-FFF2-40B4-BE49-F238E27FC236}">
              <a16:creationId xmlns:a16="http://schemas.microsoft.com/office/drawing/2014/main" id="{92439142-52D1-44E7-915B-D80A311F68BE}"/>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4" name="Text Box 181">
          <a:extLst>
            <a:ext uri="{FF2B5EF4-FFF2-40B4-BE49-F238E27FC236}">
              <a16:creationId xmlns:a16="http://schemas.microsoft.com/office/drawing/2014/main" id="{0638429C-6758-43BC-A2C2-4A33D6995AF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the Recycling of Removed Materials.  Based on a Percentage Added to Removal Item Ordered, ELIN A001EK to A001EW.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5" name="Text Box 182">
          <a:extLst>
            <a:ext uri="{FF2B5EF4-FFF2-40B4-BE49-F238E27FC236}">
              <a16:creationId xmlns:a16="http://schemas.microsoft.com/office/drawing/2014/main" id="{F28EE47A-2815-4D21-9A92-505AAF592A66}"/>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TO PERFORM EXPEDITED SERVICES.</a:t>
          </a:r>
        </a:p>
        <a:p>
          <a:pPr algn="l" rtl="0">
            <a:defRPr sz="1000"/>
          </a:pPr>
          <a:r>
            <a:rPr lang="en-US" sz="1000" b="0" i="0" u="none" strike="noStrike" baseline="0">
              <a:solidFill>
                <a:srgbClr val="000000"/>
              </a:solidFill>
              <a:latin typeface="Arial"/>
              <a:cs typeface="Arial"/>
            </a:rPr>
            <a:t>IN ACCORDANCE WITH SECTION C, C.10.2</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A001FJ</a:t>
          </a: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6" name="Text Box 183">
          <a:extLst>
            <a:ext uri="{FF2B5EF4-FFF2-40B4-BE49-F238E27FC236}">
              <a16:creationId xmlns:a16="http://schemas.microsoft.com/office/drawing/2014/main" id="{8B78D0A0-B822-4A97-8C5C-2DDD535B2CB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Lump Sum Price for Expedited Maintenance and Repair Services.  Based on a Percentage Added to Task Order Total. Figured on a Quantity of 1,000.  The Quantity Provided is for Establishing the Percentage Rate Only. </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37" name="Text Box 187">
          <a:extLst>
            <a:ext uri="{FF2B5EF4-FFF2-40B4-BE49-F238E27FC236}">
              <a16:creationId xmlns:a16="http://schemas.microsoft.com/office/drawing/2014/main" id="{0476082F-4F9C-49B5-BBCC-C8195C8796B2}"/>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8" name="Text Box 188">
          <a:extLst>
            <a:ext uri="{FF2B5EF4-FFF2-40B4-BE49-F238E27FC236}">
              <a16:creationId xmlns:a16="http://schemas.microsoft.com/office/drawing/2014/main" id="{C66CD4F6-7C1A-4865-A10B-F28E70D00A6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SECTION J</a:t>
          </a:r>
        </a:p>
        <a:p>
          <a:pPr algn="ctr" rtl="0">
            <a:defRPr sz="1000"/>
          </a:pPr>
          <a:endParaRPr lang="en-US" sz="1000" b="1"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EXHIBIT A</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39" name="Text Box 189">
          <a:extLst>
            <a:ext uri="{FF2B5EF4-FFF2-40B4-BE49-F238E27FC236}">
              <a16:creationId xmlns:a16="http://schemas.microsoft.com/office/drawing/2014/main" id="{7D15B613-FEB4-42CE-8C1C-CAC651734DF7}"/>
            </a:ext>
          </a:extLst>
        </xdr:cNvPr>
        <xdr:cNvSpPr txBox="1">
          <a:spLocks noChangeArrowheads="1"/>
        </xdr:cNvSpPr>
      </xdr:nvSpPr>
      <xdr:spPr bwMode="auto">
        <a:xfrm>
          <a:off x="0" y="9448800"/>
          <a:ext cx="0" cy="0"/>
        </a:xfrm>
        <a:prstGeom prst="rect">
          <a:avLst/>
        </a:prstGeom>
        <a:solidFill>
          <a:srgbClr val="CC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PROVIDE A UNIT PRICE FOR THE RENTAL OF TEMPORARY CHAIN LINK FENCE.</a:t>
          </a:r>
        </a:p>
        <a:p>
          <a:pPr algn="l" rtl="0">
            <a:defRPr sz="1000"/>
          </a:pPr>
          <a:r>
            <a:rPr lang="en-US" sz="1000" b="0" i="0" u="none" strike="noStrike" baseline="0">
              <a:solidFill>
                <a:srgbClr val="000000"/>
              </a:solidFill>
              <a:latin typeface="Arial"/>
              <a:cs typeface="Arial"/>
            </a:rPr>
            <a:t>IN ACCORDANCE WITH SECTION C, C.10.3</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ELIN A001FK THROUGH A001FP</a:t>
          </a:r>
        </a:p>
      </xdr:txBody>
    </xdr:sp>
    <xdr:clientData/>
  </xdr:twoCellAnchor>
  <xdr:twoCellAnchor>
    <xdr:from>
      <xdr:col>0</xdr:col>
      <xdr:colOff>0</xdr:colOff>
      <xdr:row>55</xdr:row>
      <xdr:rowOff>0</xdr:rowOff>
    </xdr:from>
    <xdr:to>
      <xdr:col>0</xdr:col>
      <xdr:colOff>0</xdr:colOff>
      <xdr:row>55</xdr:row>
      <xdr:rowOff>0</xdr:rowOff>
    </xdr:to>
    <xdr:sp macro="" textlink="">
      <xdr:nvSpPr>
        <xdr:cNvPr id="40" name="Text Box 190">
          <a:extLst>
            <a:ext uri="{FF2B5EF4-FFF2-40B4-BE49-F238E27FC236}">
              <a16:creationId xmlns:a16="http://schemas.microsoft.com/office/drawing/2014/main" id="{E4F9281D-4883-46E3-A8B7-5D52E0AE03B9}"/>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1" name="Text Box 191">
          <a:extLst>
            <a:ext uri="{FF2B5EF4-FFF2-40B4-BE49-F238E27FC236}">
              <a16:creationId xmlns:a16="http://schemas.microsoft.com/office/drawing/2014/main" id="{BCEEC4AD-DB5F-4B6F-805A-46C0CF3C65C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6' Fence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2" name="Text Box 192">
          <a:extLst>
            <a:ext uri="{FF2B5EF4-FFF2-40B4-BE49-F238E27FC236}">
              <a16:creationId xmlns:a16="http://schemas.microsoft.com/office/drawing/2014/main" id="{D00AF42C-CE7A-42CC-8D00-B87501A718A5}"/>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3" name="Text Box 193">
          <a:extLst>
            <a:ext uri="{FF2B5EF4-FFF2-40B4-BE49-F238E27FC236}">
              <a16:creationId xmlns:a16="http://schemas.microsoft.com/office/drawing/2014/main" id="{69964374-DD66-4D75-AFE7-DDBA0CB5F33C}"/>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4" name="Text Box 194">
          <a:extLst>
            <a:ext uri="{FF2B5EF4-FFF2-40B4-BE49-F238E27FC236}">
              <a16:creationId xmlns:a16="http://schemas.microsoft.com/office/drawing/2014/main" id="{29050333-6EB3-44C2-B268-96E8331754C7}"/>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5" name="Text Box 195">
          <a:extLst>
            <a:ext uri="{FF2B5EF4-FFF2-40B4-BE49-F238E27FC236}">
              <a16:creationId xmlns:a16="http://schemas.microsoft.com/office/drawing/2014/main" id="{2F7A707D-DE33-4F4C-BC41-70B52BC6D81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6' Height, 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6" name="Text Box 196">
          <a:extLst>
            <a:ext uri="{FF2B5EF4-FFF2-40B4-BE49-F238E27FC236}">
              <a16:creationId xmlns:a16="http://schemas.microsoft.com/office/drawing/2014/main" id="{FE71FEA9-EBF9-45A7-8AFE-8E821C43655D}"/>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7" name="Text Box 197">
          <a:extLst>
            <a:ext uri="{FF2B5EF4-FFF2-40B4-BE49-F238E27FC236}">
              <a16:creationId xmlns:a16="http://schemas.microsoft.com/office/drawing/2014/main" id="{49685B73-0733-4D5A-B3FD-A3571B9A2DB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8" name="Text Box 198">
          <a:extLst>
            <a:ext uri="{FF2B5EF4-FFF2-40B4-BE49-F238E27FC236}">
              <a16:creationId xmlns:a16="http://schemas.microsoft.com/office/drawing/2014/main" id="{0C95C497-89B6-4219-8F23-9AEA4371EB93}"/>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Driven Posts</a:t>
          </a:r>
        </a:p>
        <a:p>
          <a:pPr algn="l" rtl="0">
            <a:defRPr sz="1000"/>
          </a:pPr>
          <a:r>
            <a:rPr lang="en-US" sz="1000" b="0" i="0" u="none" strike="noStrike" baseline="0">
              <a:solidFill>
                <a:srgbClr val="000000"/>
              </a:solidFill>
              <a:latin typeface="Arial"/>
              <a:cs typeface="Arial"/>
            </a:rPr>
            <a:t>With Barbwire, 7' Fence Height</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49" name="Text Box 199">
          <a:extLst>
            <a:ext uri="{FF2B5EF4-FFF2-40B4-BE49-F238E27FC236}">
              <a16:creationId xmlns:a16="http://schemas.microsoft.com/office/drawing/2014/main" id="{BD79F639-2423-46A4-8070-1D9A22C43864}"/>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0" name="Text Box 200">
          <a:extLst>
            <a:ext uri="{FF2B5EF4-FFF2-40B4-BE49-F238E27FC236}">
              <a16:creationId xmlns:a16="http://schemas.microsoft.com/office/drawing/2014/main" id="{A5B42157-14D1-46D7-8797-DD035C3A181F}"/>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a:t>
          </a:r>
        </a:p>
        <a:p>
          <a:pPr algn="l" rtl="0">
            <a:defRPr sz="1000"/>
          </a:pPr>
          <a:r>
            <a:rPr lang="en-US" sz="1000" b="0" i="0" u="none" strike="noStrike" baseline="0">
              <a:solidFill>
                <a:srgbClr val="000000"/>
              </a:solidFill>
              <a:latin typeface="Arial"/>
              <a:cs typeface="Arial"/>
            </a:rPr>
            <a:t>Driven Posts</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1" name="Text Box 201">
          <a:extLst>
            <a:ext uri="{FF2B5EF4-FFF2-40B4-BE49-F238E27FC236}">
              <a16:creationId xmlns:a16="http://schemas.microsoft.com/office/drawing/2014/main" id="{FECB6847-4A4F-498C-99AE-47A36F6274CA}"/>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Red Wood or Cedar Fence Including Dog Ear Fence Boards, Posts, Rails, Braces and all Hardware.</a:t>
          </a:r>
        </a:p>
        <a:p>
          <a:pPr algn="l" rtl="0">
            <a:defRPr sz="1000"/>
          </a:pPr>
          <a:r>
            <a:rPr lang="en-US" sz="1000" b="0" i="0" u="none" strike="noStrike" baseline="0">
              <a:solidFill>
                <a:srgbClr val="000000"/>
              </a:solidFill>
              <a:latin typeface="Arial"/>
              <a:cs typeface="Arial"/>
            </a:rPr>
            <a:t>Fence Board Height of 6'</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twoCellAnchor>
    <xdr:from>
      <xdr:col>0</xdr:col>
      <xdr:colOff>0</xdr:colOff>
      <xdr:row>55</xdr:row>
      <xdr:rowOff>0</xdr:rowOff>
    </xdr:from>
    <xdr:to>
      <xdr:col>0</xdr:col>
      <xdr:colOff>0</xdr:colOff>
      <xdr:row>55</xdr:row>
      <xdr:rowOff>0</xdr:rowOff>
    </xdr:to>
    <xdr:sp macro="" textlink="">
      <xdr:nvSpPr>
        <xdr:cNvPr id="52" name="Text Box 202">
          <a:extLst>
            <a:ext uri="{FF2B5EF4-FFF2-40B4-BE49-F238E27FC236}">
              <a16:creationId xmlns:a16="http://schemas.microsoft.com/office/drawing/2014/main" id="{5836D1C0-B385-41B3-ABE3-859815FDCAC1}"/>
            </a:ext>
          </a:extLst>
        </xdr:cNvPr>
        <xdr:cNvSpPr txBox="1">
          <a:spLocks noChangeArrowheads="1"/>
        </xdr:cNvSpPr>
      </xdr:nvSpPr>
      <xdr:spPr bwMode="auto">
        <a:xfrm>
          <a:off x="0" y="9448800"/>
          <a:ext cx="0" cy="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Unit Price Per Linear Foot to Provide Temporary Chain link Fence.</a:t>
          </a:r>
        </a:p>
        <a:p>
          <a:pPr algn="l" rtl="0">
            <a:defRPr sz="1000"/>
          </a:pPr>
          <a:r>
            <a:rPr lang="en-US" sz="1000" b="0" i="0" u="none" strike="noStrike" baseline="0">
              <a:solidFill>
                <a:srgbClr val="000000"/>
              </a:solidFill>
              <a:latin typeface="Arial"/>
              <a:cs typeface="Arial"/>
            </a:rPr>
            <a:t>12' Panel, With Barbwire, 7' Height, </a:t>
          </a:r>
        </a:p>
        <a:p>
          <a:pPr algn="l" rtl="0">
            <a:defRPr sz="1000"/>
          </a:pPr>
          <a:r>
            <a:rPr lang="en-US" sz="1000" b="0" i="0" u="none" strike="noStrike" baseline="0">
              <a:solidFill>
                <a:srgbClr val="000000"/>
              </a:solidFill>
              <a:latin typeface="Arial"/>
              <a:cs typeface="Arial"/>
            </a:rPr>
            <a:t>Free-Standing</a:t>
          </a: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Documents%20and%20Settings\tyrone.GAHAGAN\Local%20Settings\Temporary%20Internet%20Files\Content.Outlook\RYD4SDG0\Copy%20of%20Souda_Bay_v1%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odified%20Pricing%20BOS%20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Owner\My%20Documents\Strategic%20Consulting%20Solutions\WSI\POTAX\FINALPOTINV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ionale"/>
      <sheetName val="SchB1"/>
      <sheetName val="SchB2"/>
      <sheetName val="SchB3"/>
      <sheetName val="SchB4"/>
      <sheetName val="SchB5"/>
      <sheetName val="ELIN BASE PERIOD- FFP"/>
      <sheetName val="ELIN-BASE PERIOD IQ"/>
      <sheetName val="ELIN Opt 1 FFP"/>
      <sheetName val="ELIN-Opt 1 IQ"/>
      <sheetName val="ELIN Opt 2 FFP"/>
      <sheetName val="ELIN-Opt 2 IQ"/>
      <sheetName val="ELIN Opt 3 FFP"/>
      <sheetName val="ELIN-Opt 3 IQ"/>
      <sheetName val="ELIN Opt 4 FFP"/>
      <sheetName val="ELIN-Opt 4 IQ"/>
      <sheetName val="SUM"/>
      <sheetName val="JB-1 BASE"/>
      <sheetName val="JB-1 OPT1"/>
      <sheetName val="JB-1 OPT2"/>
      <sheetName val="JB-1 OPT3"/>
      <sheetName val="JB-1 OPT4"/>
      <sheetName val="JB-2 BASE"/>
      <sheetName val="JB-2 OPT1"/>
      <sheetName val="JB-2 OPT2"/>
      <sheetName val="JB-2 OPT3"/>
      <sheetName val="JB-2 OPT4"/>
      <sheetName val="MAT"/>
      <sheetName val="EQUIP"/>
      <sheetName val="WAGE1"/>
      <sheetName val="ODC1"/>
      <sheetName val="Hours"/>
      <sheetName val="Burden"/>
      <sheetName val="ELIN"/>
      <sheetName val="Staff"/>
      <sheetName val="Cust"/>
      <sheetName val="Org"/>
      <sheetName val="Wage"/>
      <sheetName val="APH"/>
      <sheetName val="ODC"/>
      <sheetName val="Data"/>
      <sheetName val="FY 11 TC"/>
      <sheetName val="SC Sort"/>
      <sheetName val="BS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2">
          <cell r="A12" t="str">
            <v>A001AA</v>
          </cell>
          <cell r="C12" t="str">
            <v>Preventive Maintenance (PM) Program</v>
          </cell>
          <cell r="E12">
            <v>3.6250000000000004</v>
          </cell>
          <cell r="F12">
            <v>37008.428749999999</v>
          </cell>
          <cell r="G12">
            <v>4626.0600000000004</v>
          </cell>
          <cell r="H12">
            <v>0</v>
          </cell>
          <cell r="K12">
            <v>41634.488749999997</v>
          </cell>
          <cell r="L12">
            <v>39996.949999999997</v>
          </cell>
          <cell r="M12">
            <v>81631.438750000001</v>
          </cell>
          <cell r="N12">
            <v>2448.94</v>
          </cell>
          <cell r="O12">
            <v>84080.378750000003</v>
          </cell>
          <cell r="P12">
            <v>5044.82</v>
          </cell>
          <cell r="Q12">
            <v>1063.99</v>
          </cell>
          <cell r="R12">
            <v>90189.188750000016</v>
          </cell>
        </row>
        <row r="13">
          <cell r="A13" t="str">
            <v>A001AB</v>
          </cell>
          <cell r="C13" t="str">
            <v>Trouble Calls</v>
          </cell>
          <cell r="E13">
            <v>2.25</v>
          </cell>
          <cell r="F13">
            <v>22973.9575</v>
          </cell>
          <cell r="G13">
            <v>2871.88</v>
          </cell>
          <cell r="H13">
            <v>0</v>
          </cell>
          <cell r="K13">
            <v>25845.837500000001</v>
          </cell>
          <cell r="L13">
            <v>24753.81</v>
          </cell>
          <cell r="M13">
            <v>50599.647500000006</v>
          </cell>
          <cell r="N13">
            <v>1517.99</v>
          </cell>
          <cell r="O13">
            <v>52117.637500000004</v>
          </cell>
          <cell r="P13">
            <v>3127.06</v>
          </cell>
          <cell r="Q13">
            <v>660.53</v>
          </cell>
          <cell r="R13">
            <v>55905.227500000001</v>
          </cell>
        </row>
        <row r="15">
          <cell r="A15" t="str">
            <v>A002</v>
          </cell>
          <cell r="C15" t="str">
            <v>1002000 Supply Services</v>
          </cell>
        </row>
        <row r="16">
          <cell r="A16" t="str">
            <v>A002AA</v>
          </cell>
          <cell r="C16" t="str">
            <v>PPSO</v>
          </cell>
          <cell r="E16">
            <v>12.5</v>
          </cell>
          <cell r="F16">
            <v>127606.175</v>
          </cell>
          <cell r="G16">
            <v>15942.82</v>
          </cell>
          <cell r="H16">
            <v>0</v>
          </cell>
          <cell r="K16">
            <v>143548.995</v>
          </cell>
          <cell r="L16">
            <v>137839.65</v>
          </cell>
          <cell r="M16">
            <v>281388.64500000002</v>
          </cell>
          <cell r="N16">
            <v>8441.66</v>
          </cell>
          <cell r="O16">
            <v>289830.30499999999</v>
          </cell>
          <cell r="P16">
            <v>17389.82</v>
          </cell>
          <cell r="Q16">
            <v>3666.85</v>
          </cell>
          <cell r="R16">
            <v>310886.97499999998</v>
          </cell>
        </row>
        <row r="17">
          <cell r="A17" t="str">
            <v>A002AB</v>
          </cell>
          <cell r="C17" t="str">
            <v>Cargo Services</v>
          </cell>
          <cell r="E17">
            <v>6.25</v>
          </cell>
          <cell r="F17">
            <v>63807.587499999994</v>
          </cell>
          <cell r="G17">
            <v>7979.17</v>
          </cell>
          <cell r="H17">
            <v>0</v>
          </cell>
          <cell r="K17">
            <v>71786.757499999992</v>
          </cell>
          <cell r="L17">
            <v>68919.83</v>
          </cell>
          <cell r="M17">
            <v>140706.58749999999</v>
          </cell>
          <cell r="N17">
            <v>4221.2</v>
          </cell>
          <cell r="O17">
            <v>144927.78750000001</v>
          </cell>
          <cell r="P17">
            <v>8695.67</v>
          </cell>
          <cell r="Q17">
            <v>1835.21</v>
          </cell>
          <cell r="R17">
            <v>155458.66750000001</v>
          </cell>
        </row>
        <row r="18">
          <cell r="A18" t="str">
            <v>A002AC</v>
          </cell>
          <cell r="C18" t="str">
            <v>Package Services</v>
          </cell>
          <cell r="E18">
            <v>1.25</v>
          </cell>
          <cell r="F18">
            <v>12765.9375</v>
          </cell>
          <cell r="G18">
            <v>1598.94</v>
          </cell>
          <cell r="H18">
            <v>0</v>
          </cell>
          <cell r="K18">
            <v>14364.877500000001</v>
          </cell>
          <cell r="L18">
            <v>13810.02</v>
          </cell>
          <cell r="M18">
            <v>28174.897499999999</v>
          </cell>
          <cell r="N18">
            <v>845.25</v>
          </cell>
          <cell r="O18">
            <v>29020.147499999999</v>
          </cell>
          <cell r="P18">
            <v>1741.21</v>
          </cell>
          <cell r="Q18">
            <v>367.76</v>
          </cell>
          <cell r="R18">
            <v>31129.117499999997</v>
          </cell>
        </row>
        <row r="19">
          <cell r="A19" t="str">
            <v>A002AD</v>
          </cell>
          <cell r="C19" t="str">
            <v>Haz Mat</v>
          </cell>
          <cell r="E19">
            <v>1.25</v>
          </cell>
          <cell r="F19">
            <v>12765.9375</v>
          </cell>
          <cell r="G19">
            <v>1598.94</v>
          </cell>
          <cell r="H19">
            <v>0</v>
          </cell>
          <cell r="K19">
            <v>14364.877500000001</v>
          </cell>
          <cell r="L19">
            <v>13810.02</v>
          </cell>
          <cell r="M19">
            <v>28174.897499999999</v>
          </cell>
          <cell r="N19">
            <v>845.25</v>
          </cell>
          <cell r="O19">
            <v>29020.147499999999</v>
          </cell>
          <cell r="P19">
            <v>1741.21</v>
          </cell>
          <cell r="Q19">
            <v>367.76</v>
          </cell>
          <cell r="R19">
            <v>31129.117499999997</v>
          </cell>
        </row>
        <row r="21">
          <cell r="A21" t="str">
            <v>A003</v>
          </cell>
          <cell r="C21" t="str">
            <v>1300000 Galley</v>
          </cell>
        </row>
        <row r="22">
          <cell r="A22" t="str">
            <v>A003AA</v>
          </cell>
          <cell r="C22" t="str">
            <v>Galley Services</v>
          </cell>
          <cell r="E22">
            <v>29</v>
          </cell>
          <cell r="F22">
            <v>296047.25</v>
          </cell>
          <cell r="G22">
            <v>37008.46</v>
          </cell>
          <cell r="H22">
            <v>0</v>
          </cell>
          <cell r="K22">
            <v>333055.71000000002</v>
          </cell>
          <cell r="L22">
            <v>319715.03000000003</v>
          </cell>
          <cell r="M22">
            <v>652770.74</v>
          </cell>
          <cell r="N22">
            <v>19583.12</v>
          </cell>
          <cell r="O22">
            <v>672353.86</v>
          </cell>
          <cell r="P22">
            <v>40341.230000000003</v>
          </cell>
          <cell r="Q22">
            <v>8511.9500000000007</v>
          </cell>
          <cell r="R22">
            <v>721207.03999999992</v>
          </cell>
        </row>
        <row r="24">
          <cell r="A24" t="str">
            <v>A004</v>
          </cell>
          <cell r="C24" t="str">
            <v>1401000 Family Housing</v>
          </cell>
        </row>
        <row r="25">
          <cell r="A25" t="str">
            <v>A004AA</v>
          </cell>
          <cell r="C25" t="str">
            <v>Furniture Appliances and Equipment (FA&amp;E) Program Operation</v>
          </cell>
          <cell r="E25">
            <v>2.7</v>
          </cell>
          <cell r="F25">
            <v>27565.037</v>
          </cell>
          <cell r="G25">
            <v>3446.26</v>
          </cell>
          <cell r="H25">
            <v>2083.35</v>
          </cell>
          <cell r="K25">
            <v>33094.646999999997</v>
          </cell>
          <cell r="L25">
            <v>31789.11</v>
          </cell>
          <cell r="M25">
            <v>64883.756999999998</v>
          </cell>
          <cell r="N25">
            <v>1946.51</v>
          </cell>
          <cell r="O25">
            <v>66830.266999999993</v>
          </cell>
          <cell r="P25">
            <v>4009.82</v>
          </cell>
          <cell r="Q25">
            <v>1271.81</v>
          </cell>
          <cell r="R25">
            <v>72111.896999999997</v>
          </cell>
        </row>
        <row r="26">
          <cell r="A26" t="str">
            <v>A004AB</v>
          </cell>
          <cell r="C26" t="str">
            <v>FA&amp;E Storage</v>
          </cell>
          <cell r="E26">
            <v>0.30000000000000004</v>
          </cell>
          <cell r="F26">
            <v>3060.2930000000006</v>
          </cell>
          <cell r="G26">
            <v>388.09</v>
          </cell>
          <cell r="H26">
            <v>0</v>
          </cell>
          <cell r="K26">
            <v>3448.3830000000007</v>
          </cell>
          <cell r="L26">
            <v>3257.08</v>
          </cell>
          <cell r="M26">
            <v>6705.4630000000006</v>
          </cell>
          <cell r="N26">
            <v>201.16</v>
          </cell>
          <cell r="O26">
            <v>6906.6230000000005</v>
          </cell>
          <cell r="P26">
            <v>414.4</v>
          </cell>
          <cell r="Q26">
            <v>89.26</v>
          </cell>
          <cell r="R26">
            <v>7410.2830000000004</v>
          </cell>
        </row>
        <row r="27">
          <cell r="A27" t="str">
            <v>A004AC</v>
          </cell>
          <cell r="C27" t="str">
            <v>Drop off / Pick up outside regular working hours</v>
          </cell>
          <cell r="E27">
            <v>0.5</v>
          </cell>
          <cell r="F27">
            <v>5104.0149999999994</v>
          </cell>
          <cell r="G27">
            <v>636.47</v>
          </cell>
          <cell r="H27">
            <v>0</v>
          </cell>
          <cell r="K27">
            <v>5740.4849999999997</v>
          </cell>
          <cell r="L27">
            <v>5471.9</v>
          </cell>
          <cell r="M27">
            <v>11212.384999999998</v>
          </cell>
          <cell r="N27">
            <v>336.37</v>
          </cell>
          <cell r="O27">
            <v>11548.754999999999</v>
          </cell>
          <cell r="P27">
            <v>692.93</v>
          </cell>
          <cell r="Q27">
            <v>146.38999999999999</v>
          </cell>
          <cell r="R27">
            <v>12388.074999999999</v>
          </cell>
        </row>
        <row r="29">
          <cell r="A29" t="str">
            <v>A005</v>
          </cell>
          <cell r="C29" t="str">
            <v>14020000 UH Services</v>
          </cell>
        </row>
        <row r="30">
          <cell r="A30" t="str">
            <v>A005AA</v>
          </cell>
          <cell r="C30" t="str">
            <v>Bachelor Housing</v>
          </cell>
          <cell r="E30">
            <v>4.1499181222707433</v>
          </cell>
          <cell r="F30">
            <v>42364.237855622268</v>
          </cell>
          <cell r="G30">
            <v>5293.58</v>
          </cell>
          <cell r="H30">
            <v>2000</v>
          </cell>
          <cell r="J30">
            <v>5937.5</v>
          </cell>
          <cell r="K30">
            <v>55595.31785562227</v>
          </cell>
          <cell r="L30">
            <v>53416.12</v>
          </cell>
          <cell r="M30">
            <v>109011.43785562227</v>
          </cell>
          <cell r="N30">
            <v>3270.34</v>
          </cell>
          <cell r="O30">
            <v>112281.77785562226</v>
          </cell>
          <cell r="P30">
            <v>6736.91</v>
          </cell>
          <cell r="Q30">
            <v>3043.15</v>
          </cell>
          <cell r="R30">
            <v>122061.83785562226</v>
          </cell>
        </row>
        <row r="31">
          <cell r="A31" t="str">
            <v>A005AB</v>
          </cell>
          <cell r="C31" t="str">
            <v xml:space="preserve"> Bachelor Housing Service Calls</v>
          </cell>
          <cell r="E31">
            <v>0.68777292576419213</v>
          </cell>
          <cell r="F31">
            <v>7016.7127729257645</v>
          </cell>
          <cell r="G31">
            <v>884.85</v>
          </cell>
          <cell r="H31">
            <v>0</v>
          </cell>
          <cell r="K31">
            <v>7901.5627729257649</v>
          </cell>
          <cell r="L31">
            <v>7556.43</v>
          </cell>
          <cell r="M31">
            <v>15457.992772925765</v>
          </cell>
          <cell r="N31">
            <v>463.74</v>
          </cell>
          <cell r="O31">
            <v>15921.732772925765</v>
          </cell>
          <cell r="P31">
            <v>955.3</v>
          </cell>
          <cell r="Q31">
            <v>203.52</v>
          </cell>
          <cell r="R31">
            <v>17080.552772925766</v>
          </cell>
        </row>
        <row r="32">
          <cell r="A32" t="str">
            <v>A005AC</v>
          </cell>
          <cell r="C32" t="str">
            <v>NGIS</v>
          </cell>
          <cell r="E32">
            <v>5.2075791484716163</v>
          </cell>
          <cell r="F32">
            <v>53165.518847898471</v>
          </cell>
          <cell r="G32">
            <v>6644.14</v>
          </cell>
          <cell r="H32">
            <v>2000</v>
          </cell>
          <cell r="K32">
            <v>61809.65884789847</v>
          </cell>
          <cell r="L32">
            <v>59278.87</v>
          </cell>
          <cell r="M32">
            <v>121088.52884789847</v>
          </cell>
          <cell r="N32">
            <v>3632.66</v>
          </cell>
          <cell r="O32">
            <v>124721.18884789848</v>
          </cell>
          <cell r="P32">
            <v>7483.27</v>
          </cell>
          <cell r="Q32">
            <v>1988.15</v>
          </cell>
          <cell r="R32">
            <v>134192.60884789846</v>
          </cell>
        </row>
        <row r="33">
          <cell r="A33" t="str">
            <v>A005AD</v>
          </cell>
          <cell r="C33" t="str">
            <v>NGIS Service Calls</v>
          </cell>
          <cell r="E33">
            <v>0.94978165938864612</v>
          </cell>
          <cell r="F33">
            <v>9693.6147816593893</v>
          </cell>
          <cell r="G33">
            <v>1210.8499999999999</v>
          </cell>
          <cell r="H33">
            <v>0</v>
          </cell>
          <cell r="K33">
            <v>10904.46478165939</v>
          </cell>
          <cell r="L33">
            <v>10422.66</v>
          </cell>
          <cell r="M33">
            <v>21327.12478165939</v>
          </cell>
          <cell r="N33">
            <v>639.80999999999995</v>
          </cell>
          <cell r="O33">
            <v>21966.934781659391</v>
          </cell>
          <cell r="P33">
            <v>1318.02</v>
          </cell>
          <cell r="Q33">
            <v>278.5</v>
          </cell>
          <cell r="R33">
            <v>23563.454781659391</v>
          </cell>
        </row>
        <row r="35">
          <cell r="A35" t="str">
            <v>A006</v>
          </cell>
          <cell r="C35" t="str">
            <v>1502000 Facilities Investment</v>
          </cell>
        </row>
        <row r="36">
          <cell r="A36" t="str">
            <v>A006AA</v>
          </cell>
          <cell r="C36" t="str">
            <v>Service Trouble Calls</v>
          </cell>
        </row>
        <row r="37">
          <cell r="A37" t="str">
            <v>A006AA1</v>
          </cell>
          <cell r="C37" t="str">
            <v>SC for BEQ Appliances</v>
          </cell>
          <cell r="E37">
            <v>2.0747816593886463E-2</v>
          </cell>
          <cell r="F37">
            <v>212.00048531659391</v>
          </cell>
          <cell r="G37">
            <v>31.05</v>
          </cell>
          <cell r="H37">
            <v>1000</v>
          </cell>
          <cell r="K37">
            <v>1243.0504853165939</v>
          </cell>
          <cell r="L37">
            <v>1172.55</v>
          </cell>
          <cell r="M37">
            <v>2415.6004853165941</v>
          </cell>
          <cell r="N37">
            <v>72.47</v>
          </cell>
          <cell r="O37">
            <v>2488.0704853165939</v>
          </cell>
          <cell r="P37">
            <v>149.28</v>
          </cell>
          <cell r="Q37">
            <v>237.14</v>
          </cell>
          <cell r="R37">
            <v>2874.490485316594</v>
          </cell>
        </row>
        <row r="38">
          <cell r="A38" t="str">
            <v>A006AA2</v>
          </cell>
          <cell r="C38" t="str">
            <v>SC for NGIS Appliances</v>
          </cell>
          <cell r="E38">
            <v>4.9143013100436679E-2</v>
          </cell>
          <cell r="F38">
            <v>500.75835551310047</v>
          </cell>
          <cell r="G38">
            <v>62.09</v>
          </cell>
          <cell r="H38">
            <v>0</v>
          </cell>
          <cell r="K38">
            <v>562.8483555131005</v>
          </cell>
          <cell r="L38">
            <v>521.13</v>
          </cell>
          <cell r="M38">
            <v>1083.9783555131005</v>
          </cell>
          <cell r="N38">
            <v>32.520000000000003</v>
          </cell>
          <cell r="O38">
            <v>1116.4983555131005</v>
          </cell>
          <cell r="P38">
            <v>66.989999999999995</v>
          </cell>
          <cell r="Q38">
            <v>14.28</v>
          </cell>
          <cell r="R38">
            <v>1197.7683555131005</v>
          </cell>
        </row>
        <row r="39">
          <cell r="A39" t="str">
            <v>A006AA3</v>
          </cell>
          <cell r="C39" t="str">
            <v>SC CNRE</v>
          </cell>
          <cell r="E39">
            <v>8.2128820960698692E-2</v>
          </cell>
          <cell r="F39">
            <v>842.77755382096063</v>
          </cell>
          <cell r="G39">
            <v>108.67</v>
          </cell>
          <cell r="H39">
            <v>0</v>
          </cell>
          <cell r="K39">
            <v>951.44755382096059</v>
          </cell>
          <cell r="L39">
            <v>911.98</v>
          </cell>
          <cell r="M39">
            <v>1863.4275538209606</v>
          </cell>
          <cell r="N39">
            <v>55.9</v>
          </cell>
          <cell r="O39">
            <v>1919.3275538209607</v>
          </cell>
          <cell r="P39">
            <v>115.16</v>
          </cell>
          <cell r="Q39">
            <v>24.99</v>
          </cell>
          <cell r="R39">
            <v>2059.4775538209606</v>
          </cell>
        </row>
        <row r="40">
          <cell r="A40" t="str">
            <v>A006AA4</v>
          </cell>
          <cell r="C40" t="str">
            <v>SC NEX</v>
          </cell>
          <cell r="E40">
            <v>2.5103711790393016E-2</v>
          </cell>
          <cell r="F40">
            <v>252.21036621179042</v>
          </cell>
          <cell r="G40">
            <v>31.05</v>
          </cell>
          <cell r="H40">
            <v>0</v>
          </cell>
          <cell r="K40">
            <v>283.26036621179043</v>
          </cell>
          <cell r="L40">
            <v>260.57</v>
          </cell>
          <cell r="M40">
            <v>543.83036621179042</v>
          </cell>
          <cell r="N40">
            <v>16.309999999999999</v>
          </cell>
          <cell r="O40">
            <v>560.14036621179037</v>
          </cell>
          <cell r="P40">
            <v>33.61</v>
          </cell>
          <cell r="Q40">
            <v>7.14</v>
          </cell>
          <cell r="R40">
            <v>600.89036621179037</v>
          </cell>
        </row>
        <row r="41">
          <cell r="A41" t="str">
            <v>A006AA5</v>
          </cell>
          <cell r="C41" t="str">
            <v>SC MWR</v>
          </cell>
          <cell r="E41">
            <v>5.1282751091703063E-2</v>
          </cell>
          <cell r="F41">
            <v>527.03759525109172</v>
          </cell>
          <cell r="G41">
            <v>62.09</v>
          </cell>
          <cell r="H41">
            <v>0</v>
          </cell>
          <cell r="K41">
            <v>589.12759525109175</v>
          </cell>
          <cell r="L41">
            <v>521.13</v>
          </cell>
          <cell r="M41">
            <v>1110.2575952510917</v>
          </cell>
          <cell r="N41">
            <v>33.31</v>
          </cell>
          <cell r="O41">
            <v>1143.5675952510917</v>
          </cell>
          <cell r="P41">
            <v>68.61</v>
          </cell>
          <cell r="Q41">
            <v>14.28</v>
          </cell>
          <cell r="R41">
            <v>1226.4575952510916</v>
          </cell>
        </row>
        <row r="42">
          <cell r="A42" t="str">
            <v>A006AA6</v>
          </cell>
          <cell r="C42" t="str">
            <v>SC GALLEY</v>
          </cell>
          <cell r="E42">
            <v>0.10506550218340613</v>
          </cell>
          <cell r="F42">
            <v>1068.6324655021833</v>
          </cell>
          <cell r="G42">
            <v>139.71</v>
          </cell>
          <cell r="H42">
            <v>0</v>
          </cell>
          <cell r="K42">
            <v>1208.3424655021834</v>
          </cell>
          <cell r="L42">
            <v>1172.55</v>
          </cell>
          <cell r="M42">
            <v>2380.8924655021833</v>
          </cell>
          <cell r="N42">
            <v>71.430000000000007</v>
          </cell>
          <cell r="O42">
            <v>2452.3224655021831</v>
          </cell>
          <cell r="P42">
            <v>147.13999999999999</v>
          </cell>
          <cell r="Q42">
            <v>32.130000000000003</v>
          </cell>
          <cell r="R42">
            <v>2631.5924655021831</v>
          </cell>
        </row>
        <row r="43">
          <cell r="C43" t="str">
            <v xml:space="preserve">Preventive Maintenance (PM) Program </v>
          </cell>
        </row>
        <row r="44">
          <cell r="A44" t="str">
            <v>A006AB</v>
          </cell>
          <cell r="C44" t="str">
            <v xml:space="preserve"> Galley Refrigeration Equipment</v>
          </cell>
          <cell r="E44">
            <v>2.5832969432314411E-2</v>
          </cell>
          <cell r="F44">
            <v>262.80802546943227</v>
          </cell>
          <cell r="G44">
            <v>31.05</v>
          </cell>
          <cell r="H44">
            <v>1000</v>
          </cell>
          <cell r="K44">
            <v>1293.8580254694323</v>
          </cell>
          <cell r="L44">
            <v>1302.83</v>
          </cell>
          <cell r="M44">
            <v>2596.6880254694324</v>
          </cell>
          <cell r="N44">
            <v>77.900000000000006</v>
          </cell>
          <cell r="O44">
            <v>2674.5880254694325</v>
          </cell>
          <cell r="P44">
            <v>160.47999999999999</v>
          </cell>
          <cell r="Q44">
            <v>237.14</v>
          </cell>
          <cell r="R44">
            <v>3072.2080254694324</v>
          </cell>
        </row>
        <row r="45">
          <cell r="A45" t="str">
            <v>A006AC</v>
          </cell>
          <cell r="C45" t="str">
            <v xml:space="preserve"> NEX Refrigeration Equipment</v>
          </cell>
          <cell r="E45">
            <v>2.3037117903930131E-2</v>
          </cell>
          <cell r="F45">
            <v>236.32818211790399</v>
          </cell>
          <cell r="G45">
            <v>31.05</v>
          </cell>
          <cell r="H45">
            <v>0</v>
          </cell>
          <cell r="K45">
            <v>267.37818211790398</v>
          </cell>
          <cell r="L45">
            <v>260.57</v>
          </cell>
          <cell r="M45">
            <v>527.94818211790403</v>
          </cell>
          <cell r="N45">
            <v>15.84</v>
          </cell>
          <cell r="O45">
            <v>543.78818211790406</v>
          </cell>
          <cell r="P45">
            <v>32.630000000000003</v>
          </cell>
          <cell r="Q45">
            <v>7.14</v>
          </cell>
          <cell r="R45">
            <v>583.55818211790404</v>
          </cell>
        </row>
        <row r="46">
          <cell r="A46" t="str">
            <v>A006AD</v>
          </cell>
          <cell r="C46" t="str">
            <v xml:space="preserve"> MWR Refrigeration Equipment</v>
          </cell>
          <cell r="E46">
            <v>6.0215065502183404E-2</v>
          </cell>
          <cell r="F46">
            <v>617.91997256550212</v>
          </cell>
          <cell r="G46">
            <v>77.62</v>
          </cell>
          <cell r="H46">
            <v>0</v>
          </cell>
          <cell r="K46">
            <v>695.53997256550213</v>
          </cell>
          <cell r="L46">
            <v>651.41999999999996</v>
          </cell>
          <cell r="M46">
            <v>1346.9599725655021</v>
          </cell>
          <cell r="N46">
            <v>40.409999999999997</v>
          </cell>
          <cell r="O46">
            <v>1387.3699725655022</v>
          </cell>
          <cell r="P46">
            <v>83.24</v>
          </cell>
          <cell r="Q46">
            <v>17.850000000000001</v>
          </cell>
          <cell r="R46">
            <v>1488.4599725655021</v>
          </cell>
        </row>
        <row r="47">
          <cell r="A47" t="str">
            <v>A006AE</v>
          </cell>
          <cell r="C47" t="str">
            <v xml:space="preserve"> BEQ Refrigeration Equipment</v>
          </cell>
          <cell r="E47">
            <v>9.2593886462882094E-2</v>
          </cell>
          <cell r="F47">
            <v>948.33375388646289</v>
          </cell>
          <cell r="G47">
            <v>124.19</v>
          </cell>
          <cell r="H47">
            <v>0</v>
          </cell>
          <cell r="K47">
            <v>1072.5237538864628</v>
          </cell>
          <cell r="L47">
            <v>1042.27</v>
          </cell>
          <cell r="M47">
            <v>2114.7937538864626</v>
          </cell>
          <cell r="N47">
            <v>63.44</v>
          </cell>
          <cell r="O47">
            <v>2178.2337538864626</v>
          </cell>
          <cell r="P47">
            <v>130.69</v>
          </cell>
          <cell r="Q47">
            <v>28.56</v>
          </cell>
          <cell r="R47">
            <v>2337.4837538864626</v>
          </cell>
        </row>
        <row r="48">
          <cell r="A48" t="str">
            <v>A006AF</v>
          </cell>
          <cell r="C48" t="str">
            <v xml:space="preserve"> NGIS Refrigeration Equipment</v>
          </cell>
          <cell r="E48">
            <v>0.12521397379912663</v>
          </cell>
          <cell r="F48">
            <v>1279.2876739737992</v>
          </cell>
          <cell r="G48">
            <v>155.24</v>
          </cell>
          <cell r="H48">
            <v>0</v>
          </cell>
          <cell r="K48">
            <v>1434.5276739737992</v>
          </cell>
          <cell r="L48">
            <v>1433.12</v>
          </cell>
          <cell r="M48">
            <v>2867.6476739737991</v>
          </cell>
          <cell r="N48">
            <v>86.03</v>
          </cell>
          <cell r="O48">
            <v>2953.6776739737993</v>
          </cell>
          <cell r="P48">
            <v>177.22</v>
          </cell>
          <cell r="Q48">
            <v>35.71</v>
          </cell>
          <cell r="R48">
            <v>3166.6076739737991</v>
          </cell>
        </row>
        <row r="49">
          <cell r="A49" t="str">
            <v>A006AG</v>
          </cell>
          <cell r="C49" t="str">
            <v xml:space="preserve"> BEQ Ice Machine Sanitization</v>
          </cell>
          <cell r="E49">
            <v>1.1160480349344979E-2</v>
          </cell>
          <cell r="F49">
            <v>117.35895298034934</v>
          </cell>
          <cell r="G49">
            <v>15.52</v>
          </cell>
          <cell r="H49">
            <v>0</v>
          </cell>
          <cell r="K49">
            <v>132.87895298034934</v>
          </cell>
          <cell r="L49">
            <v>130.28</v>
          </cell>
          <cell r="M49">
            <v>263.15895298034934</v>
          </cell>
          <cell r="N49">
            <v>7.89</v>
          </cell>
          <cell r="O49">
            <v>271.04895298034933</v>
          </cell>
          <cell r="P49">
            <v>16.260000000000002</v>
          </cell>
          <cell r="Q49">
            <v>3.57</v>
          </cell>
          <cell r="R49">
            <v>290.87895298034931</v>
          </cell>
        </row>
        <row r="50">
          <cell r="A50" t="str">
            <v>A006AH</v>
          </cell>
          <cell r="C50" t="str">
            <v xml:space="preserve"> NGIS Ice Machine Sanitization</v>
          </cell>
          <cell r="E50">
            <v>2.0458515283842795E-3</v>
          </cell>
          <cell r="F50">
            <v>24.794660851528388</v>
          </cell>
          <cell r="G50">
            <v>0</v>
          </cell>
          <cell r="H50">
            <v>0</v>
          </cell>
          <cell r="K50">
            <v>24.794660851528388</v>
          </cell>
          <cell r="L50">
            <v>0</v>
          </cell>
          <cell r="M50">
            <v>24.794660851528388</v>
          </cell>
          <cell r="N50">
            <v>0.74</v>
          </cell>
          <cell r="O50">
            <v>25.534660851528386</v>
          </cell>
          <cell r="P50">
            <v>1.53</v>
          </cell>
          <cell r="Q50">
            <v>0</v>
          </cell>
          <cell r="R50">
            <v>27.064660851528387</v>
          </cell>
        </row>
        <row r="51">
          <cell r="A51" t="str">
            <v>A006AI</v>
          </cell>
          <cell r="C51" t="str">
            <v xml:space="preserve"> Galley Kitchen Equipment</v>
          </cell>
          <cell r="E51">
            <v>1.0423580786026201E-2</v>
          </cell>
          <cell r="F51">
            <v>105.47115358078602</v>
          </cell>
          <cell r="G51">
            <v>15.52</v>
          </cell>
          <cell r="H51">
            <v>0</v>
          </cell>
          <cell r="K51">
            <v>120.99115358078602</v>
          </cell>
          <cell r="L51">
            <v>130.28</v>
          </cell>
          <cell r="M51">
            <v>251.27115358078601</v>
          </cell>
          <cell r="N51">
            <v>7.54</v>
          </cell>
          <cell r="O51">
            <v>258.81115358078603</v>
          </cell>
          <cell r="P51">
            <v>15.53</v>
          </cell>
          <cell r="Q51">
            <v>3.57</v>
          </cell>
          <cell r="R51">
            <v>277.91115358078599</v>
          </cell>
        </row>
        <row r="52">
          <cell r="A52" t="str">
            <v>A006AJ</v>
          </cell>
          <cell r="C52" t="str">
            <v xml:space="preserve"> MWR Kitchen Equipment</v>
          </cell>
          <cell r="E52">
            <v>0.5</v>
          </cell>
          <cell r="F52">
            <v>5104.0149999999994</v>
          </cell>
          <cell r="G52">
            <v>636.47</v>
          </cell>
          <cell r="H52">
            <v>0</v>
          </cell>
          <cell r="K52">
            <v>5740.4849999999997</v>
          </cell>
          <cell r="L52">
            <v>5471.9</v>
          </cell>
          <cell r="M52">
            <v>11212.384999999998</v>
          </cell>
          <cell r="N52">
            <v>336.37</v>
          </cell>
          <cell r="O52">
            <v>11548.754999999999</v>
          </cell>
          <cell r="P52">
            <v>692.93</v>
          </cell>
          <cell r="Q52">
            <v>146.38999999999999</v>
          </cell>
          <cell r="R52">
            <v>12388.074999999999</v>
          </cell>
        </row>
        <row r="53">
          <cell r="A53" t="str">
            <v>A006AK</v>
          </cell>
          <cell r="C53" t="str">
            <v>VTE</v>
          </cell>
          <cell r="E53">
            <v>1.1160480349344979E-2</v>
          </cell>
          <cell r="F53">
            <v>117.35895298034934</v>
          </cell>
          <cell r="G53">
            <v>15.52</v>
          </cell>
          <cell r="H53">
            <v>0</v>
          </cell>
          <cell r="I53">
            <v>2500</v>
          </cell>
          <cell r="K53">
            <v>2632.8789529803494</v>
          </cell>
          <cell r="L53">
            <v>2475.38</v>
          </cell>
          <cell r="M53">
            <v>5108.2589529803499</v>
          </cell>
          <cell r="N53">
            <v>153.25</v>
          </cell>
          <cell r="O53">
            <v>5261.5089529803499</v>
          </cell>
          <cell r="P53">
            <v>315.69</v>
          </cell>
          <cell r="Q53">
            <v>578.57000000000005</v>
          </cell>
          <cell r="R53">
            <v>6155.7689529803492</v>
          </cell>
        </row>
        <row r="54">
          <cell r="A54" t="str">
            <v>A006AL</v>
          </cell>
          <cell r="C54" t="str">
            <v xml:space="preserve">Chlorine Injector System </v>
          </cell>
          <cell r="E54">
            <v>2.0458515283842795E-3</v>
          </cell>
          <cell r="F54">
            <v>24.794660851528388</v>
          </cell>
          <cell r="G54">
            <v>0</v>
          </cell>
          <cell r="H54">
            <v>0</v>
          </cell>
          <cell r="K54">
            <v>24.794660851528388</v>
          </cell>
          <cell r="L54">
            <v>0</v>
          </cell>
          <cell r="M54">
            <v>24.794660851528388</v>
          </cell>
          <cell r="N54">
            <v>0.74</v>
          </cell>
          <cell r="O54">
            <v>25.534660851528386</v>
          </cell>
          <cell r="P54">
            <v>1.53</v>
          </cell>
          <cell r="Q54">
            <v>0</v>
          </cell>
          <cell r="R54">
            <v>27.064660851528387</v>
          </cell>
        </row>
        <row r="55">
          <cell r="A55" t="str">
            <v>A006AM</v>
          </cell>
          <cell r="C55" t="str">
            <v>Pumps</v>
          </cell>
          <cell r="E55">
            <v>2.3842794759825329E-3</v>
          </cell>
          <cell r="F55">
            <v>25.533724279475983</v>
          </cell>
          <cell r="G55">
            <v>0</v>
          </cell>
          <cell r="H55">
            <v>0</v>
          </cell>
          <cell r="K55">
            <v>25.533724279475983</v>
          </cell>
          <cell r="L55">
            <v>0</v>
          </cell>
          <cell r="M55">
            <v>25.533724279475983</v>
          </cell>
          <cell r="N55">
            <v>0.77</v>
          </cell>
          <cell r="O55">
            <v>26.303724279475983</v>
          </cell>
          <cell r="P55">
            <v>1.58</v>
          </cell>
          <cell r="Q55">
            <v>0</v>
          </cell>
          <cell r="R55">
            <v>27.883724279475985</v>
          </cell>
        </row>
        <row r="56">
          <cell r="A56" t="str">
            <v>A006AN</v>
          </cell>
          <cell r="C56" t="str">
            <v>HVAC Systems - Bldg 4</v>
          </cell>
          <cell r="E56">
            <v>4.4151746724890827E-2</v>
          </cell>
          <cell r="F56">
            <v>449.16539424672487</v>
          </cell>
          <cell r="G56">
            <v>62.09</v>
          </cell>
          <cell r="H56">
            <v>0</v>
          </cell>
          <cell r="K56">
            <v>511.2553942467249</v>
          </cell>
          <cell r="L56">
            <v>521.13</v>
          </cell>
          <cell r="M56">
            <v>1032.3853942467249</v>
          </cell>
          <cell r="N56">
            <v>30.97</v>
          </cell>
          <cell r="O56">
            <v>1063.3553942467249</v>
          </cell>
          <cell r="P56">
            <v>63.8</v>
          </cell>
          <cell r="Q56">
            <v>14.28</v>
          </cell>
          <cell r="R56">
            <v>1141.4353942467249</v>
          </cell>
        </row>
        <row r="57">
          <cell r="A57" t="str">
            <v>A006AO</v>
          </cell>
          <cell r="C57" t="str">
            <v>HVAC Systems - Bldg 50</v>
          </cell>
          <cell r="E57">
            <v>4.6311135371179035E-2</v>
          </cell>
          <cell r="F57">
            <v>474.19070863537121</v>
          </cell>
          <cell r="G57">
            <v>62.09</v>
          </cell>
          <cell r="H57">
            <v>0</v>
          </cell>
          <cell r="K57">
            <v>536.28070863537118</v>
          </cell>
          <cell r="L57">
            <v>521.13</v>
          </cell>
          <cell r="M57">
            <v>1057.4107086353711</v>
          </cell>
          <cell r="N57">
            <v>31.72</v>
          </cell>
          <cell r="O57">
            <v>1089.1307086353711</v>
          </cell>
          <cell r="P57">
            <v>65.349999999999994</v>
          </cell>
          <cell r="Q57">
            <v>14.28</v>
          </cell>
          <cell r="R57">
            <v>1168.760708635371</v>
          </cell>
        </row>
        <row r="58">
          <cell r="A58" t="str">
            <v>A006AP</v>
          </cell>
          <cell r="C58" t="str">
            <v>HVAC Systems - Bldg 93</v>
          </cell>
          <cell r="E58">
            <v>4.4151746724890827E-2</v>
          </cell>
          <cell r="F58">
            <v>449.16539424672487</v>
          </cell>
          <cell r="G58">
            <v>62.09</v>
          </cell>
          <cell r="H58">
            <v>0</v>
          </cell>
          <cell r="K58">
            <v>511.2553942467249</v>
          </cell>
          <cell r="L58">
            <v>521.13</v>
          </cell>
          <cell r="M58">
            <v>1032.3853942467249</v>
          </cell>
          <cell r="N58">
            <v>30.97</v>
          </cell>
          <cell r="O58">
            <v>1063.3553942467249</v>
          </cell>
          <cell r="P58">
            <v>63.8</v>
          </cell>
          <cell r="Q58">
            <v>14.28</v>
          </cell>
          <cell r="R58">
            <v>1141.4353942467249</v>
          </cell>
        </row>
        <row r="59">
          <cell r="A59" t="str">
            <v>A006AQ</v>
          </cell>
          <cell r="C59" t="str">
            <v>Emergency Generator Systems</v>
          </cell>
          <cell r="E59">
            <v>1.7580786026200872E-2</v>
          </cell>
          <cell r="F59">
            <v>183.40812078602619</v>
          </cell>
          <cell r="G59">
            <v>15.52</v>
          </cell>
          <cell r="H59">
            <v>0</v>
          </cell>
          <cell r="K59">
            <v>198.9281207860262</v>
          </cell>
          <cell r="L59">
            <v>130.28</v>
          </cell>
          <cell r="M59">
            <v>329.2081207860262</v>
          </cell>
          <cell r="N59">
            <v>9.8800000000000008</v>
          </cell>
          <cell r="O59">
            <v>339.0881207860262</v>
          </cell>
          <cell r="P59">
            <v>20.350000000000001</v>
          </cell>
          <cell r="Q59">
            <v>3.57</v>
          </cell>
          <cell r="R59">
            <v>363.00812078602621</v>
          </cell>
        </row>
        <row r="60">
          <cell r="A60" t="str">
            <v>A006AR</v>
          </cell>
          <cell r="C60" t="str">
            <v>Emergency Generator Systems Bldg 4</v>
          </cell>
          <cell r="E60">
            <v>0.24126200873362444</v>
          </cell>
          <cell r="F60">
            <v>2464.8929720087335</v>
          </cell>
          <cell r="G60">
            <v>310.47000000000003</v>
          </cell>
          <cell r="H60">
            <v>0</v>
          </cell>
          <cell r="K60">
            <v>2775.3629720087338</v>
          </cell>
          <cell r="L60">
            <v>2605.66</v>
          </cell>
          <cell r="M60">
            <v>5381.0229720087336</v>
          </cell>
          <cell r="N60">
            <v>161.43</v>
          </cell>
          <cell r="O60">
            <v>5542.4529720087339</v>
          </cell>
          <cell r="P60">
            <v>332.55</v>
          </cell>
          <cell r="Q60">
            <v>71.41</v>
          </cell>
          <cell r="R60">
            <v>5946.412972008734</v>
          </cell>
        </row>
        <row r="61">
          <cell r="A61" t="str">
            <v>A006AS</v>
          </cell>
          <cell r="C61" t="str">
            <v>Uninterrupted Power Supply (UPS)</v>
          </cell>
          <cell r="E61">
            <v>2.5021834061135374E-2</v>
          </cell>
          <cell r="F61">
            <v>252.03172183406113</v>
          </cell>
          <cell r="G61">
            <v>31.05</v>
          </cell>
          <cell r="H61">
            <v>0</v>
          </cell>
          <cell r="K61">
            <v>283.08172183406111</v>
          </cell>
          <cell r="L61">
            <v>260.57</v>
          </cell>
          <cell r="M61">
            <v>543.65172183406116</v>
          </cell>
          <cell r="N61">
            <v>16.309999999999999</v>
          </cell>
          <cell r="O61">
            <v>559.96172183406111</v>
          </cell>
          <cell r="P61">
            <v>33.6</v>
          </cell>
          <cell r="Q61">
            <v>7.14</v>
          </cell>
          <cell r="R61">
            <v>600.70172183406112</v>
          </cell>
        </row>
        <row r="62">
          <cell r="A62" t="str">
            <v>A006AT</v>
          </cell>
          <cell r="C62" t="str">
            <v>Supplemental Weather Radar System (Doppler Radar)</v>
          </cell>
          <cell r="E62">
            <v>2.1834061135371178E-2</v>
          </cell>
          <cell r="F62">
            <v>223.39183406113537</v>
          </cell>
          <cell r="G62">
            <v>31.05</v>
          </cell>
          <cell r="H62">
            <v>0</v>
          </cell>
          <cell r="K62">
            <v>254.44183406113538</v>
          </cell>
          <cell r="L62">
            <v>260.57</v>
          </cell>
          <cell r="M62">
            <v>515.01183406113535</v>
          </cell>
          <cell r="N62">
            <v>15.45</v>
          </cell>
          <cell r="O62">
            <v>530.46183406113539</v>
          </cell>
          <cell r="P62">
            <v>31.83</v>
          </cell>
          <cell r="Q62">
            <v>7.14</v>
          </cell>
          <cell r="R62">
            <v>569.43183406113542</v>
          </cell>
        </row>
        <row r="63">
          <cell r="A63" t="str">
            <v>A006AU</v>
          </cell>
          <cell r="C63" t="str">
            <v>Fire Protection</v>
          </cell>
          <cell r="E63">
            <v>0.57625873362445412</v>
          </cell>
          <cell r="F63">
            <v>5882.983476233625</v>
          </cell>
          <cell r="G63">
            <v>729.61</v>
          </cell>
          <cell r="H63">
            <v>0</v>
          </cell>
          <cell r="K63">
            <v>6612.5934762336246</v>
          </cell>
          <cell r="L63">
            <v>6383.88</v>
          </cell>
          <cell r="M63">
            <v>12996.473476233625</v>
          </cell>
          <cell r="N63">
            <v>389.89</v>
          </cell>
          <cell r="O63">
            <v>13386.363476233624</v>
          </cell>
          <cell r="P63">
            <v>803.18</v>
          </cell>
          <cell r="Q63">
            <v>167.81</v>
          </cell>
          <cell r="R63">
            <v>14357.353476233624</v>
          </cell>
        </row>
        <row r="64">
          <cell r="A64" t="str">
            <v>A006AV</v>
          </cell>
          <cell r="C64" t="str">
            <v>Electronic Harbor Security Systems and Equipment</v>
          </cell>
          <cell r="E64">
            <v>3.4934497816593885E-2</v>
          </cell>
          <cell r="F64">
            <v>356.3549344978166</v>
          </cell>
          <cell r="G64">
            <v>46.57</v>
          </cell>
          <cell r="H64">
            <v>0</v>
          </cell>
          <cell r="K64">
            <v>402.92493449781659</v>
          </cell>
          <cell r="L64">
            <v>390.85</v>
          </cell>
          <cell r="M64">
            <v>793.77493449781662</v>
          </cell>
          <cell r="N64">
            <v>23.81</v>
          </cell>
          <cell r="O64">
            <v>817.58493449781656</v>
          </cell>
          <cell r="P64">
            <v>49.06</v>
          </cell>
          <cell r="Q64">
            <v>10.71</v>
          </cell>
          <cell r="R64">
            <v>877.35493449781666</v>
          </cell>
        </row>
        <row r="65">
          <cell r="A65" t="str">
            <v>A006AW</v>
          </cell>
          <cell r="C65" t="str">
            <v>Larissa</v>
          </cell>
          <cell r="E65">
            <v>3.4934497816593885E-2</v>
          </cell>
          <cell r="F65">
            <v>356.3549344978166</v>
          </cell>
          <cell r="G65">
            <v>46.57</v>
          </cell>
          <cell r="H65">
            <v>0</v>
          </cell>
          <cell r="K65">
            <v>402.92493449781659</v>
          </cell>
          <cell r="L65">
            <v>390.85</v>
          </cell>
          <cell r="M65">
            <v>793.77493449781662</v>
          </cell>
          <cell r="N65">
            <v>23.81</v>
          </cell>
          <cell r="O65">
            <v>817.58493449781656</v>
          </cell>
          <cell r="P65">
            <v>49.06</v>
          </cell>
          <cell r="Q65">
            <v>10.71</v>
          </cell>
          <cell r="R65">
            <v>877.35493449781666</v>
          </cell>
        </row>
        <row r="66">
          <cell r="A66" t="str">
            <v>A006AX</v>
          </cell>
          <cell r="C66" t="str">
            <v>E28 Arresting Gear</v>
          </cell>
          <cell r="E66">
            <v>1.7762008733624454E-3</v>
          </cell>
          <cell r="F66">
            <v>15.226858700873361</v>
          </cell>
          <cell r="G66">
            <v>0</v>
          </cell>
          <cell r="H66">
            <v>0</v>
          </cell>
          <cell r="K66">
            <v>15.226858700873361</v>
          </cell>
          <cell r="L66">
            <v>0</v>
          </cell>
          <cell r="M66">
            <v>15.226858700873361</v>
          </cell>
          <cell r="N66">
            <v>0.46</v>
          </cell>
          <cell r="O66">
            <v>15.686858700873362</v>
          </cell>
          <cell r="P66">
            <v>0.94</v>
          </cell>
          <cell r="Q66">
            <v>0</v>
          </cell>
          <cell r="R66">
            <v>16.626858700873363</v>
          </cell>
        </row>
        <row r="67">
          <cell r="C67" t="str">
            <v>Miscellaneous Equipment and Systems</v>
          </cell>
        </row>
        <row r="68">
          <cell r="A68" t="str">
            <v>A006AY</v>
          </cell>
          <cell r="C68" t="str">
            <v>MWR Grease Traps</v>
          </cell>
          <cell r="E68">
            <v>1.7580786026200872E-2</v>
          </cell>
          <cell r="F68">
            <v>183.40812078602619</v>
          </cell>
          <cell r="G68">
            <v>15.52</v>
          </cell>
          <cell r="H68">
            <v>0</v>
          </cell>
          <cell r="K68">
            <v>198.9281207860262</v>
          </cell>
          <cell r="L68">
            <v>130.28</v>
          </cell>
          <cell r="M68">
            <v>329.2081207860262</v>
          </cell>
          <cell r="N68">
            <v>9.8800000000000008</v>
          </cell>
          <cell r="O68">
            <v>339.0881207860262</v>
          </cell>
          <cell r="P68">
            <v>20.350000000000001</v>
          </cell>
          <cell r="Q68">
            <v>3.57</v>
          </cell>
          <cell r="R68">
            <v>363.00812078602621</v>
          </cell>
        </row>
        <row r="69">
          <cell r="A69" t="str">
            <v>A006AZ</v>
          </cell>
          <cell r="C69" t="str">
            <v xml:space="preserve">Galley Grease Traps </v>
          </cell>
          <cell r="E69">
            <v>4.0938864628820959E-2</v>
          </cell>
          <cell r="F69">
            <v>420.46218886462879</v>
          </cell>
          <cell r="G69">
            <v>46.57</v>
          </cell>
          <cell r="H69">
            <v>0</v>
          </cell>
          <cell r="K69">
            <v>467.03218886462878</v>
          </cell>
          <cell r="L69">
            <v>390.85</v>
          </cell>
          <cell r="M69">
            <v>857.8821888646288</v>
          </cell>
          <cell r="N69">
            <v>25.74</v>
          </cell>
          <cell r="O69">
            <v>883.62218886462881</v>
          </cell>
          <cell r="P69">
            <v>53.02</v>
          </cell>
          <cell r="Q69">
            <v>10.71</v>
          </cell>
          <cell r="R69">
            <v>947.35218886462883</v>
          </cell>
        </row>
        <row r="70">
          <cell r="A70" t="str">
            <v>A006BA</v>
          </cell>
          <cell r="C70" t="str">
            <v>MWR Grease Pipes</v>
          </cell>
          <cell r="E70">
            <v>2.5021834061135374E-2</v>
          </cell>
          <cell r="F70">
            <v>252.03172183406113</v>
          </cell>
          <cell r="G70">
            <v>31.05</v>
          </cell>
          <cell r="H70">
            <v>0</v>
          </cell>
          <cell r="K70">
            <v>283.08172183406111</v>
          </cell>
          <cell r="L70">
            <v>260.57</v>
          </cell>
          <cell r="M70">
            <v>543.65172183406116</v>
          </cell>
          <cell r="N70">
            <v>16.309999999999999</v>
          </cell>
          <cell r="O70">
            <v>559.96172183406111</v>
          </cell>
          <cell r="P70">
            <v>33.6</v>
          </cell>
          <cell r="Q70">
            <v>7.14</v>
          </cell>
          <cell r="R70">
            <v>600.70172183406112</v>
          </cell>
        </row>
        <row r="71">
          <cell r="A71" t="str">
            <v>A006BB</v>
          </cell>
          <cell r="C71" t="str">
            <v>Argonaut Grease Pipes</v>
          </cell>
          <cell r="E71">
            <v>0.2</v>
          </cell>
          <cell r="F71">
            <v>2043.702</v>
          </cell>
          <cell r="G71">
            <v>248.38</v>
          </cell>
          <cell r="H71">
            <v>0</v>
          </cell>
          <cell r="K71">
            <v>2292.0819999999999</v>
          </cell>
          <cell r="L71">
            <v>2214.81</v>
          </cell>
          <cell r="M71">
            <v>4506.8919999999998</v>
          </cell>
          <cell r="N71">
            <v>135.21</v>
          </cell>
          <cell r="O71">
            <v>4642.1019999999999</v>
          </cell>
          <cell r="P71">
            <v>278.52999999999997</v>
          </cell>
          <cell r="Q71">
            <v>57.13</v>
          </cell>
          <cell r="R71">
            <v>4977.7619999999997</v>
          </cell>
        </row>
        <row r="72">
          <cell r="A72" t="str">
            <v>A006BC</v>
          </cell>
          <cell r="C72" t="str">
            <v>MWR Washer/Dryers</v>
          </cell>
          <cell r="E72">
            <v>0.15677292576419213</v>
          </cell>
          <cell r="F72">
            <v>1596.6135629257642</v>
          </cell>
          <cell r="G72">
            <v>201.81</v>
          </cell>
          <cell r="H72">
            <v>0</v>
          </cell>
          <cell r="K72">
            <v>1798.4235629257641</v>
          </cell>
          <cell r="L72">
            <v>1693.68</v>
          </cell>
          <cell r="M72">
            <v>3492.103562925764</v>
          </cell>
          <cell r="N72">
            <v>104.76</v>
          </cell>
          <cell r="O72">
            <v>3596.8635629257642</v>
          </cell>
          <cell r="P72">
            <v>215.81</v>
          </cell>
          <cell r="Q72">
            <v>46.42</v>
          </cell>
          <cell r="R72">
            <v>3859.0935629257642</v>
          </cell>
        </row>
        <row r="73">
          <cell r="A73" t="str">
            <v>A006BD</v>
          </cell>
          <cell r="C73" t="str">
            <v>BEQ Washer/Dryers</v>
          </cell>
          <cell r="E73">
            <v>7.2052401746724891E-3</v>
          </cell>
          <cell r="F73">
            <v>78.04070524017466</v>
          </cell>
          <cell r="G73">
            <v>15.52</v>
          </cell>
          <cell r="H73">
            <v>0</v>
          </cell>
          <cell r="K73">
            <v>93.560705240174656</v>
          </cell>
          <cell r="L73">
            <v>130.28</v>
          </cell>
          <cell r="M73">
            <v>223.84070524017466</v>
          </cell>
          <cell r="N73">
            <v>6.72</v>
          </cell>
          <cell r="O73">
            <v>230.56070524017466</v>
          </cell>
          <cell r="P73">
            <v>13.83</v>
          </cell>
          <cell r="Q73">
            <v>3.57</v>
          </cell>
          <cell r="R73">
            <v>247.96070524017466</v>
          </cell>
        </row>
        <row r="74">
          <cell r="A74" t="str">
            <v>A006BE</v>
          </cell>
          <cell r="C74" t="str">
            <v>NGIS Washer/Dryers</v>
          </cell>
          <cell r="E74">
            <v>0.18094978165938866</v>
          </cell>
          <cell r="F74">
            <v>1846.7540747816595</v>
          </cell>
          <cell r="G74">
            <v>232.86</v>
          </cell>
          <cell r="H74">
            <v>0</v>
          </cell>
          <cell r="K74">
            <v>2079.6140747816594</v>
          </cell>
          <cell r="L74">
            <v>1954.25</v>
          </cell>
          <cell r="M74">
            <v>4033.8640747816594</v>
          </cell>
          <cell r="N74">
            <v>121.02</v>
          </cell>
          <cell r="O74">
            <v>4154.8840747816594</v>
          </cell>
          <cell r="P74">
            <v>249.29</v>
          </cell>
          <cell r="Q74">
            <v>53.56</v>
          </cell>
          <cell r="R74">
            <v>4457.7340747816597</v>
          </cell>
        </row>
        <row r="75">
          <cell r="A75" t="str">
            <v>A006BF</v>
          </cell>
          <cell r="C75" t="str">
            <v xml:space="preserve">Oil Water Separators </v>
          </cell>
          <cell r="E75">
            <v>3.2751091703056769E-2</v>
          </cell>
          <cell r="F75">
            <v>331.24775109170304</v>
          </cell>
          <cell r="G75">
            <v>46.57</v>
          </cell>
          <cell r="H75">
            <v>0</v>
          </cell>
          <cell r="K75">
            <v>377.81775109170303</v>
          </cell>
          <cell r="L75">
            <v>390.85</v>
          </cell>
          <cell r="M75">
            <v>768.66775109170305</v>
          </cell>
          <cell r="N75">
            <v>23.06</v>
          </cell>
          <cell r="O75">
            <v>791.727751091703</v>
          </cell>
          <cell r="P75">
            <v>47.5</v>
          </cell>
          <cell r="Q75">
            <v>10.71</v>
          </cell>
          <cell r="R75">
            <v>849.93775109170303</v>
          </cell>
        </row>
        <row r="76">
          <cell r="A76" t="str">
            <v>A006BG</v>
          </cell>
          <cell r="C76" t="str">
            <v xml:space="preserve">Swimming Pool Operation &amp; Maintenance </v>
          </cell>
          <cell r="E76">
            <v>3.1576965065502179E-2</v>
          </cell>
          <cell r="F76">
            <v>317.36979071506551</v>
          </cell>
          <cell r="G76">
            <v>46.57</v>
          </cell>
          <cell r="H76">
            <v>0</v>
          </cell>
          <cell r="K76">
            <v>363.9397907150655</v>
          </cell>
          <cell r="L76">
            <v>390.85</v>
          </cell>
          <cell r="M76">
            <v>754.78979071506546</v>
          </cell>
          <cell r="N76">
            <v>22.64</v>
          </cell>
          <cell r="O76">
            <v>777.42979071506545</v>
          </cell>
          <cell r="P76">
            <v>46.65</v>
          </cell>
          <cell r="Q76">
            <v>10.71</v>
          </cell>
          <cell r="R76">
            <v>834.78979071506546</v>
          </cell>
        </row>
        <row r="77">
          <cell r="A77" t="str">
            <v>A006BH</v>
          </cell>
          <cell r="C77" t="str">
            <v>Swimming Pool Lifeguards</v>
          </cell>
          <cell r="E77">
            <v>0.7740174672489083</v>
          </cell>
          <cell r="F77">
            <v>7900.171517467249</v>
          </cell>
          <cell r="G77">
            <v>993.52</v>
          </cell>
          <cell r="H77">
            <v>0</v>
          </cell>
          <cell r="K77">
            <v>8893.6915174672486</v>
          </cell>
          <cell r="L77">
            <v>8598.69</v>
          </cell>
          <cell r="M77">
            <v>17492.381517467249</v>
          </cell>
          <cell r="N77">
            <v>524.77</v>
          </cell>
          <cell r="O77">
            <v>18017.15151746725</v>
          </cell>
          <cell r="P77">
            <v>1081.03</v>
          </cell>
          <cell r="Q77">
            <v>228.51</v>
          </cell>
          <cell r="R77">
            <v>19326.691517467247</v>
          </cell>
        </row>
        <row r="78">
          <cell r="A78" t="str">
            <v>A006BI</v>
          </cell>
          <cell r="C78" t="str">
            <v>NAMFI Barracks Inspection and Repair.</v>
          </cell>
          <cell r="E78">
            <v>0.36022925764192137</v>
          </cell>
          <cell r="F78">
            <v>3679.5418042576421</v>
          </cell>
          <cell r="G78">
            <v>465.71</v>
          </cell>
          <cell r="H78">
            <v>0</v>
          </cell>
          <cell r="K78">
            <v>4145.2518042576421</v>
          </cell>
          <cell r="L78">
            <v>4038.78</v>
          </cell>
          <cell r="M78">
            <v>8184.0318042576419</v>
          </cell>
          <cell r="N78">
            <v>245.52</v>
          </cell>
          <cell r="O78">
            <v>8429.5518042576423</v>
          </cell>
          <cell r="P78">
            <v>505.77</v>
          </cell>
          <cell r="Q78">
            <v>107.11</v>
          </cell>
          <cell r="R78">
            <v>9042.4318042576433</v>
          </cell>
        </row>
        <row r="79">
          <cell r="A79" t="str">
            <v>A006BJ</v>
          </cell>
          <cell r="C79" t="str">
            <v>VTE Testing and Certification Support</v>
          </cell>
          <cell r="E79">
            <v>2.1834061135371178E-3</v>
          </cell>
          <cell r="F79">
            <v>25.107183406113538</v>
          </cell>
          <cell r="G79">
            <v>0</v>
          </cell>
          <cell r="H79">
            <v>0</v>
          </cell>
          <cell r="K79">
            <v>25.107183406113538</v>
          </cell>
          <cell r="L79">
            <v>0</v>
          </cell>
          <cell r="M79">
            <v>25.107183406113538</v>
          </cell>
          <cell r="N79">
            <v>0.75</v>
          </cell>
          <cell r="O79">
            <v>25.857183406113538</v>
          </cell>
          <cell r="P79">
            <v>1.55</v>
          </cell>
          <cell r="Q79">
            <v>0</v>
          </cell>
          <cell r="R79">
            <v>27.407183406113539</v>
          </cell>
        </row>
        <row r="80">
          <cell r="A80" t="str">
            <v>A006BK</v>
          </cell>
          <cell r="C80" t="str">
            <v>Electronic and Rollup Doors</v>
          </cell>
          <cell r="E80">
            <v>1.2172205240174672</v>
          </cell>
          <cell r="F80">
            <v>12424.362085524017</v>
          </cell>
          <cell r="G80">
            <v>1552.37</v>
          </cell>
          <cell r="H80">
            <v>0</v>
          </cell>
          <cell r="K80">
            <v>13976.732085524018</v>
          </cell>
          <cell r="L80">
            <v>13419.17</v>
          </cell>
          <cell r="M80">
            <v>27395.902085524016</v>
          </cell>
          <cell r="N80">
            <v>821.88</v>
          </cell>
          <cell r="O80">
            <v>28217.782085524017</v>
          </cell>
          <cell r="P80">
            <v>1693.07</v>
          </cell>
          <cell r="Q80">
            <v>357.05</v>
          </cell>
          <cell r="R80">
            <v>30267.902085524016</v>
          </cell>
        </row>
        <row r="81">
          <cell r="A81" t="str">
            <v>A006BL</v>
          </cell>
          <cell r="C81" t="str">
            <v>Fuel Hydrant</v>
          </cell>
          <cell r="E81">
            <v>1</v>
          </cell>
          <cell r="F81">
            <v>10209.299999999999</v>
          </cell>
          <cell r="G81">
            <v>1272.94</v>
          </cell>
          <cell r="H81">
            <v>0</v>
          </cell>
          <cell r="K81">
            <v>11482.24</v>
          </cell>
          <cell r="L81">
            <v>11074.07</v>
          </cell>
          <cell r="M81">
            <v>22556.309999999998</v>
          </cell>
          <cell r="N81">
            <v>676.69</v>
          </cell>
          <cell r="O81">
            <v>23232.999999999996</v>
          </cell>
          <cell r="P81">
            <v>1393.98</v>
          </cell>
          <cell r="Q81">
            <v>292.77999999999997</v>
          </cell>
          <cell r="R81">
            <v>24919.759999999995</v>
          </cell>
        </row>
        <row r="82">
          <cell r="A82" t="str">
            <v>A006BM</v>
          </cell>
          <cell r="C82" t="str">
            <v>LockShop</v>
          </cell>
          <cell r="E82">
            <v>0.5</v>
          </cell>
          <cell r="F82">
            <v>5104.0149999999994</v>
          </cell>
          <cell r="G82">
            <v>636.47</v>
          </cell>
          <cell r="H82">
            <v>0</v>
          </cell>
          <cell r="K82">
            <v>5740.4849999999997</v>
          </cell>
          <cell r="L82">
            <v>5471.9</v>
          </cell>
          <cell r="M82">
            <v>11212.384999999998</v>
          </cell>
          <cell r="N82">
            <v>336.37</v>
          </cell>
          <cell r="O82">
            <v>11548.754999999999</v>
          </cell>
          <cell r="P82">
            <v>692.93</v>
          </cell>
          <cell r="Q82">
            <v>146.38999999999999</v>
          </cell>
          <cell r="R82">
            <v>12388.074999999999</v>
          </cell>
        </row>
        <row r="84">
          <cell r="A84" t="str">
            <v>007</v>
          </cell>
          <cell r="C84" t="str">
            <v>1503010 Custodial Services</v>
          </cell>
        </row>
        <row r="85">
          <cell r="A85" t="str">
            <v>A007AA</v>
          </cell>
          <cell r="C85" t="str">
            <v>Scheduled Custodial Services AMC</v>
          </cell>
          <cell r="E85">
            <v>1.6181913755458517</v>
          </cell>
          <cell r="F85">
            <v>16514.964318125545</v>
          </cell>
          <cell r="G85">
            <v>2064.65</v>
          </cell>
          <cell r="H85">
            <v>0</v>
          </cell>
          <cell r="K85">
            <v>18579.614318125547</v>
          </cell>
          <cell r="L85">
            <v>17848.8</v>
          </cell>
          <cell r="M85">
            <v>36428.414318125549</v>
          </cell>
          <cell r="N85">
            <v>1092.8499999999999</v>
          </cell>
          <cell r="O85">
            <v>37521.264318125548</v>
          </cell>
          <cell r="P85">
            <v>2251.2800000000002</v>
          </cell>
          <cell r="Q85">
            <v>474.87</v>
          </cell>
          <cell r="R85">
            <v>40247.414318125549</v>
          </cell>
        </row>
        <row r="86">
          <cell r="A86" t="str">
            <v>A007AB</v>
          </cell>
          <cell r="C86" t="str">
            <v>Scheduled Custodial Services HOUSING</v>
          </cell>
          <cell r="E86">
            <v>0.23286462882096071</v>
          </cell>
          <cell r="F86">
            <v>2375.2104046288209</v>
          </cell>
          <cell r="G86">
            <v>294.95</v>
          </cell>
          <cell r="H86">
            <v>0</v>
          </cell>
          <cell r="K86">
            <v>2670.1604046288207</v>
          </cell>
          <cell r="L86">
            <v>2605.66</v>
          </cell>
          <cell r="M86">
            <v>5275.8204046288211</v>
          </cell>
          <cell r="N86">
            <v>158.27000000000001</v>
          </cell>
          <cell r="O86">
            <v>5434.0904046288215</v>
          </cell>
          <cell r="P86">
            <v>326.05</v>
          </cell>
          <cell r="Q86">
            <v>67.84</v>
          </cell>
          <cell r="R86">
            <v>5827.9804046288218</v>
          </cell>
        </row>
        <row r="87">
          <cell r="A87" t="str">
            <v>A007AC</v>
          </cell>
          <cell r="C87" t="str">
            <v>Scheduled Custodial Services MEDICAL</v>
          </cell>
          <cell r="E87">
            <v>1.1054911659388647</v>
          </cell>
          <cell r="F87">
            <v>11290.137282995938</v>
          </cell>
          <cell r="G87">
            <v>1412.66</v>
          </cell>
          <cell r="H87">
            <v>0</v>
          </cell>
          <cell r="K87">
            <v>12702.797282995938</v>
          </cell>
          <cell r="L87">
            <v>12246.62</v>
          </cell>
          <cell r="M87">
            <v>24949.417282995939</v>
          </cell>
          <cell r="N87">
            <v>748.48</v>
          </cell>
          <cell r="O87">
            <v>25697.897282995938</v>
          </cell>
          <cell r="P87">
            <v>1541.87</v>
          </cell>
          <cell r="Q87">
            <v>324.91000000000003</v>
          </cell>
          <cell r="R87">
            <v>27564.677282995937</v>
          </cell>
        </row>
        <row r="88">
          <cell r="A88" t="str">
            <v>A007AD</v>
          </cell>
          <cell r="C88" t="str">
            <v>Scheduled Custodial Services MWR</v>
          </cell>
          <cell r="E88">
            <v>5.2401746724890827E-2</v>
          </cell>
          <cell r="F88">
            <v>538.51240174672489</v>
          </cell>
          <cell r="G88">
            <v>62.09</v>
          </cell>
          <cell r="H88">
            <v>0</v>
          </cell>
          <cell r="K88">
            <v>600.60240174672492</v>
          </cell>
          <cell r="L88">
            <v>521.13</v>
          </cell>
          <cell r="M88">
            <v>1121.7324017467249</v>
          </cell>
          <cell r="N88">
            <v>33.65</v>
          </cell>
          <cell r="O88">
            <v>1155.382401746725</v>
          </cell>
          <cell r="P88">
            <v>69.319999999999993</v>
          </cell>
          <cell r="Q88">
            <v>14.28</v>
          </cell>
          <cell r="R88">
            <v>1238.9824017467249</v>
          </cell>
        </row>
        <row r="89">
          <cell r="A89" t="str">
            <v>A007AE</v>
          </cell>
          <cell r="C89" t="str">
            <v>Scheduled Custodial Services NCIS</v>
          </cell>
          <cell r="E89">
            <v>2.6603056768558956E-2</v>
          </cell>
          <cell r="F89">
            <v>275.76986205676855</v>
          </cell>
          <cell r="G89">
            <v>31.05</v>
          </cell>
          <cell r="H89">
            <v>0</v>
          </cell>
          <cell r="K89">
            <v>306.81986205676856</v>
          </cell>
          <cell r="L89">
            <v>260.57</v>
          </cell>
          <cell r="M89">
            <v>567.38986205676861</v>
          </cell>
          <cell r="N89">
            <v>17.02</v>
          </cell>
          <cell r="O89">
            <v>584.40986205676859</v>
          </cell>
          <cell r="P89">
            <v>35.06</v>
          </cell>
          <cell r="Q89">
            <v>7.14</v>
          </cell>
          <cell r="R89">
            <v>626.60986205676852</v>
          </cell>
        </row>
        <row r="90">
          <cell r="A90" t="str">
            <v>A007AF</v>
          </cell>
          <cell r="C90" t="str">
            <v>Scheduled Custodial Services NSA</v>
          </cell>
          <cell r="E90">
            <v>9.7326212117903914</v>
          </cell>
          <cell r="F90">
            <v>99355.222412136791</v>
          </cell>
          <cell r="G90">
            <v>12418.95</v>
          </cell>
          <cell r="H90">
            <v>0</v>
          </cell>
          <cell r="K90">
            <v>111774.17241213679</v>
          </cell>
          <cell r="L90">
            <v>107223.09</v>
          </cell>
          <cell r="M90">
            <v>218997.26241213677</v>
          </cell>
          <cell r="N90">
            <v>6569.92</v>
          </cell>
          <cell r="O90">
            <v>225567.18241213678</v>
          </cell>
          <cell r="P90">
            <v>13534.03</v>
          </cell>
          <cell r="Q90">
            <v>2856.36</v>
          </cell>
          <cell r="R90">
            <v>241957.57241213677</v>
          </cell>
        </row>
        <row r="91">
          <cell r="A91" t="str">
            <v>A007AG</v>
          </cell>
          <cell r="C91" t="str">
            <v xml:space="preserve">Scheduled Custodial Services GALLEY </v>
          </cell>
          <cell r="E91">
            <v>0.28056855895196509</v>
          </cell>
          <cell r="F91">
            <v>2862.4892265589519</v>
          </cell>
          <cell r="G91">
            <v>357.04</v>
          </cell>
          <cell r="H91">
            <v>0</v>
          </cell>
          <cell r="K91">
            <v>3219.5292265589519</v>
          </cell>
          <cell r="L91">
            <v>3126.8</v>
          </cell>
          <cell r="M91">
            <v>6346.3292265589516</v>
          </cell>
          <cell r="N91">
            <v>190.39</v>
          </cell>
          <cell r="O91">
            <v>6536.719226558952</v>
          </cell>
          <cell r="P91">
            <v>392.2</v>
          </cell>
          <cell r="Q91">
            <v>82.12</v>
          </cell>
          <cell r="R91">
            <v>7011.0392265589517</v>
          </cell>
        </row>
        <row r="92">
          <cell r="A92" t="str">
            <v>A007AH</v>
          </cell>
          <cell r="C92" t="str">
            <v>Scheduled Custodial Services NMC</v>
          </cell>
          <cell r="E92">
            <v>1.5</v>
          </cell>
          <cell r="F92">
            <v>15313.314999999999</v>
          </cell>
          <cell r="G92">
            <v>1909.41</v>
          </cell>
          <cell r="H92">
            <v>0</v>
          </cell>
          <cell r="K92">
            <v>17222.724999999999</v>
          </cell>
          <cell r="L92">
            <v>16545.97</v>
          </cell>
          <cell r="M92">
            <v>33768.695</v>
          </cell>
          <cell r="N92">
            <v>1013.06</v>
          </cell>
          <cell r="O92">
            <v>34781.754999999997</v>
          </cell>
          <cell r="P92">
            <v>2086.91</v>
          </cell>
          <cell r="Q92">
            <v>439.16</v>
          </cell>
          <cell r="R92">
            <v>37307.824999999997</v>
          </cell>
        </row>
        <row r="93">
          <cell r="A93" t="str">
            <v>A007AJ</v>
          </cell>
          <cell r="C93" t="str">
            <v>Scheduled Custodial Services FFSC</v>
          </cell>
          <cell r="E93">
            <v>1.5</v>
          </cell>
          <cell r="F93">
            <v>15313.314999999999</v>
          </cell>
          <cell r="G93">
            <v>1909.41</v>
          </cell>
          <cell r="H93">
            <v>0</v>
          </cell>
          <cell r="K93">
            <v>17222.724999999999</v>
          </cell>
          <cell r="L93">
            <v>16545.97</v>
          </cell>
          <cell r="M93">
            <v>33768.695</v>
          </cell>
          <cell r="N93">
            <v>1013.06</v>
          </cell>
          <cell r="O93">
            <v>34781.754999999997</v>
          </cell>
          <cell r="P93">
            <v>2086.91</v>
          </cell>
          <cell r="Q93">
            <v>439.16</v>
          </cell>
          <cell r="R93">
            <v>37307.824999999997</v>
          </cell>
        </row>
        <row r="94">
          <cell r="A94" t="str">
            <v>A007AK</v>
          </cell>
          <cell r="C94" t="str">
            <v>Scheduled Custodial Services 95TH</v>
          </cell>
          <cell r="E94">
            <v>0.99319814410480334</v>
          </cell>
          <cell r="F94">
            <v>10141.114549394106</v>
          </cell>
          <cell r="G94">
            <v>1272.94</v>
          </cell>
          <cell r="H94">
            <v>0</v>
          </cell>
          <cell r="K94">
            <v>11414.054549394106</v>
          </cell>
          <cell r="L94">
            <v>10943.79</v>
          </cell>
          <cell r="M94">
            <v>22357.844549394107</v>
          </cell>
          <cell r="N94">
            <v>670.74</v>
          </cell>
          <cell r="O94">
            <v>23028.584549394109</v>
          </cell>
          <cell r="P94">
            <v>1381.72</v>
          </cell>
          <cell r="Q94">
            <v>292.77999999999997</v>
          </cell>
          <cell r="R94">
            <v>24703.084549394109</v>
          </cell>
        </row>
        <row r="95">
          <cell r="A95" t="str">
            <v>A007AL</v>
          </cell>
          <cell r="C95" t="str">
            <v>Scheduled Custodial Services 488TH</v>
          </cell>
          <cell r="E95">
            <v>0.99319814410480334</v>
          </cell>
          <cell r="F95">
            <v>10141.114549394106</v>
          </cell>
          <cell r="G95">
            <v>1272.94</v>
          </cell>
          <cell r="H95">
            <v>0</v>
          </cell>
          <cell r="K95">
            <v>11414.054549394106</v>
          </cell>
          <cell r="L95">
            <v>10943.79</v>
          </cell>
          <cell r="M95">
            <v>22357.844549394107</v>
          </cell>
          <cell r="N95">
            <v>670.74</v>
          </cell>
          <cell r="O95">
            <v>23028.584549394109</v>
          </cell>
          <cell r="P95">
            <v>1381.72</v>
          </cell>
          <cell r="Q95">
            <v>292.77999999999997</v>
          </cell>
          <cell r="R95">
            <v>24703.084549394109</v>
          </cell>
        </row>
        <row r="96">
          <cell r="A96" t="str">
            <v>A007AM</v>
          </cell>
          <cell r="C96" t="str">
            <v>Dental Clinic</v>
          </cell>
          <cell r="E96">
            <v>7.0083170305676859E-2</v>
          </cell>
          <cell r="F96">
            <v>713.19405951030569</v>
          </cell>
          <cell r="G96">
            <v>93.14</v>
          </cell>
          <cell r="H96">
            <v>0</v>
          </cell>
          <cell r="K96">
            <v>806.33405951030568</v>
          </cell>
          <cell r="L96">
            <v>781.7</v>
          </cell>
          <cell r="M96">
            <v>1588.0340595103057</v>
          </cell>
          <cell r="N96">
            <v>47.64</v>
          </cell>
          <cell r="O96">
            <v>1635.6740595103058</v>
          </cell>
          <cell r="P96">
            <v>98.14</v>
          </cell>
          <cell r="Q96">
            <v>21.42</v>
          </cell>
          <cell r="R96">
            <v>1755.234059510306</v>
          </cell>
        </row>
        <row r="97">
          <cell r="A97" t="str">
            <v>A007AN</v>
          </cell>
          <cell r="C97" t="str">
            <v>Bus Stop Cleaning</v>
          </cell>
          <cell r="E97">
            <v>0.5</v>
          </cell>
          <cell r="F97">
            <v>5104.0149999999994</v>
          </cell>
          <cell r="G97">
            <v>636.47</v>
          </cell>
          <cell r="H97">
            <v>0</v>
          </cell>
          <cell r="K97">
            <v>5740.4849999999997</v>
          </cell>
          <cell r="L97">
            <v>5471.9</v>
          </cell>
          <cell r="M97">
            <v>11212.384999999998</v>
          </cell>
          <cell r="N97">
            <v>336.37</v>
          </cell>
          <cell r="O97">
            <v>11548.754999999999</v>
          </cell>
          <cell r="P97">
            <v>692.93</v>
          </cell>
          <cell r="Q97">
            <v>146.38999999999999</v>
          </cell>
          <cell r="R97">
            <v>12388.074999999999</v>
          </cell>
        </row>
        <row r="98">
          <cell r="A98" t="str">
            <v>A007AP</v>
          </cell>
          <cell r="C98" t="str">
            <v>Unscheduled Custodial Services</v>
          </cell>
          <cell r="E98">
            <v>1.6375545851528384E-2</v>
          </cell>
          <cell r="F98">
            <v>170.74887554585155</v>
          </cell>
          <cell r="G98">
            <v>15.52</v>
          </cell>
          <cell r="H98">
            <v>0</v>
          </cell>
          <cell r="K98">
            <v>186.26887554585156</v>
          </cell>
          <cell r="L98">
            <v>130.28</v>
          </cell>
          <cell r="M98">
            <v>316.54887554585156</v>
          </cell>
          <cell r="N98">
            <v>9.5</v>
          </cell>
          <cell r="O98">
            <v>326.04887554585156</v>
          </cell>
          <cell r="P98">
            <v>19.559999999999999</v>
          </cell>
          <cell r="Q98">
            <v>3.57</v>
          </cell>
          <cell r="R98">
            <v>349.17887554585155</v>
          </cell>
        </row>
        <row r="99">
          <cell r="A99" t="str">
            <v>A007AQ</v>
          </cell>
          <cell r="C99" t="str">
            <v>Larrissa Custodial Services</v>
          </cell>
          <cell r="E99">
            <v>4</v>
          </cell>
          <cell r="F99">
            <v>40833.629999999997</v>
          </cell>
          <cell r="G99">
            <v>5107.29</v>
          </cell>
          <cell r="H99">
            <v>0</v>
          </cell>
          <cell r="K99">
            <v>45940.92</v>
          </cell>
          <cell r="L99">
            <v>44035.73</v>
          </cell>
          <cell r="M99">
            <v>89976.65</v>
          </cell>
          <cell r="N99">
            <v>2699.3</v>
          </cell>
          <cell r="O99">
            <v>92675.95</v>
          </cell>
          <cell r="P99">
            <v>5560.56</v>
          </cell>
          <cell r="Q99">
            <v>1174.68</v>
          </cell>
          <cell r="R99">
            <v>99411.189999999988</v>
          </cell>
        </row>
        <row r="101">
          <cell r="A101" t="str">
            <v>008</v>
          </cell>
          <cell r="C101" t="str">
            <v>1503020 Pest Control</v>
          </cell>
        </row>
        <row r="102">
          <cell r="A102" t="str">
            <v>A008AA</v>
          </cell>
          <cell r="C102" t="str">
            <v>Scheduled Pest Control Services MEDICAL</v>
          </cell>
          <cell r="I102">
            <v>155.13999999999999</v>
          </cell>
          <cell r="K102">
            <v>155.13999999999999</v>
          </cell>
          <cell r="L102">
            <v>130.28</v>
          </cell>
          <cell r="M102">
            <v>285.41999999999996</v>
          </cell>
          <cell r="N102">
            <v>8.56</v>
          </cell>
          <cell r="O102">
            <v>293.97999999999996</v>
          </cell>
          <cell r="P102">
            <v>17.64</v>
          </cell>
          <cell r="Q102">
            <v>35.68</v>
          </cell>
          <cell r="R102">
            <v>347.29999999999995</v>
          </cell>
        </row>
        <row r="103">
          <cell r="A103" t="str">
            <v>A008AB</v>
          </cell>
          <cell r="C103" t="str">
            <v>Scheduled Pest Control Services MWR</v>
          </cell>
          <cell r="I103">
            <v>399</v>
          </cell>
          <cell r="K103">
            <v>399</v>
          </cell>
          <cell r="L103">
            <v>390.85</v>
          </cell>
          <cell r="M103">
            <v>789.85</v>
          </cell>
          <cell r="N103">
            <v>23.7</v>
          </cell>
          <cell r="O103">
            <v>813.55000000000007</v>
          </cell>
          <cell r="P103">
            <v>48.81</v>
          </cell>
          <cell r="Q103">
            <v>91.77</v>
          </cell>
          <cell r="R103">
            <v>954.13000000000011</v>
          </cell>
        </row>
        <row r="104">
          <cell r="A104" t="str">
            <v>A008AC</v>
          </cell>
          <cell r="C104" t="str">
            <v xml:space="preserve">Scheduled Pest Control Services NEX </v>
          </cell>
          <cell r="I104">
            <v>166.25</v>
          </cell>
          <cell r="K104">
            <v>166.25</v>
          </cell>
          <cell r="L104">
            <v>130.28</v>
          </cell>
          <cell r="M104">
            <v>296.52999999999997</v>
          </cell>
          <cell r="N104">
            <v>8.9</v>
          </cell>
          <cell r="O104">
            <v>305.42999999999995</v>
          </cell>
          <cell r="P104">
            <v>18.329999999999998</v>
          </cell>
          <cell r="Q104">
            <v>38.24</v>
          </cell>
          <cell r="R104">
            <v>361.99999999999994</v>
          </cell>
        </row>
        <row r="105">
          <cell r="A105" t="str">
            <v>A008AD</v>
          </cell>
          <cell r="C105" t="str">
            <v>Scheduled Pest Control Services CNRE</v>
          </cell>
          <cell r="I105">
            <v>166.25</v>
          </cell>
          <cell r="K105">
            <v>166.25</v>
          </cell>
          <cell r="L105">
            <v>130.28</v>
          </cell>
          <cell r="M105">
            <v>296.52999999999997</v>
          </cell>
          <cell r="N105">
            <v>8.9</v>
          </cell>
          <cell r="O105">
            <v>305.42999999999995</v>
          </cell>
          <cell r="P105">
            <v>18.329999999999998</v>
          </cell>
          <cell r="Q105">
            <v>38.24</v>
          </cell>
          <cell r="R105">
            <v>361.99999999999994</v>
          </cell>
        </row>
        <row r="106">
          <cell r="A106" t="str">
            <v>A008AE</v>
          </cell>
          <cell r="C106" t="str">
            <v>Scheduled Pest Control Services GALLEY</v>
          </cell>
          <cell r="I106">
            <v>1673.54</v>
          </cell>
          <cell r="K106">
            <v>1673.54</v>
          </cell>
          <cell r="L106">
            <v>1563.4</v>
          </cell>
          <cell r="M106">
            <v>3236.94</v>
          </cell>
          <cell r="N106">
            <v>97.11</v>
          </cell>
          <cell r="O106">
            <v>3334.05</v>
          </cell>
          <cell r="P106">
            <v>200.04</v>
          </cell>
          <cell r="Q106">
            <v>384.91</v>
          </cell>
          <cell r="R106">
            <v>3919</v>
          </cell>
        </row>
        <row r="107">
          <cell r="A107" t="str">
            <v>A008AF</v>
          </cell>
          <cell r="C107" t="str">
            <v>Scheduled Pest Control Services 95TH</v>
          </cell>
          <cell r="I107">
            <v>3325</v>
          </cell>
          <cell r="K107">
            <v>3325</v>
          </cell>
          <cell r="L107">
            <v>3126.8</v>
          </cell>
          <cell r="M107">
            <v>6451.8</v>
          </cell>
          <cell r="N107">
            <v>193.55</v>
          </cell>
          <cell r="O107">
            <v>6645.35</v>
          </cell>
          <cell r="P107">
            <v>398.72</v>
          </cell>
          <cell r="Q107">
            <v>764.75</v>
          </cell>
          <cell r="R107">
            <v>7808.8200000000006</v>
          </cell>
        </row>
        <row r="108">
          <cell r="A108" t="str">
            <v>A008AG</v>
          </cell>
          <cell r="C108" t="str">
            <v>Scheduled Pest Control Services 488TH</v>
          </cell>
          <cell r="I108">
            <v>3325</v>
          </cell>
          <cell r="K108">
            <v>3325</v>
          </cell>
          <cell r="L108">
            <v>3126.8</v>
          </cell>
          <cell r="M108">
            <v>6451.8</v>
          </cell>
          <cell r="N108">
            <v>193.55</v>
          </cell>
          <cell r="O108">
            <v>6645.35</v>
          </cell>
          <cell r="P108">
            <v>398.72</v>
          </cell>
          <cell r="Q108">
            <v>764.75</v>
          </cell>
          <cell r="R108">
            <v>7808.8200000000006</v>
          </cell>
        </row>
        <row r="109">
          <cell r="A109" t="str">
            <v>A008AH</v>
          </cell>
          <cell r="C109" t="str">
            <v>Unscheduled Pest Control Services</v>
          </cell>
          <cell r="I109">
            <v>1596</v>
          </cell>
          <cell r="K109">
            <v>1596</v>
          </cell>
          <cell r="L109">
            <v>1563.4</v>
          </cell>
          <cell r="M109">
            <v>3159.4</v>
          </cell>
          <cell r="N109">
            <v>94.78</v>
          </cell>
          <cell r="O109">
            <v>3254.1800000000003</v>
          </cell>
          <cell r="P109">
            <v>195.25</v>
          </cell>
          <cell r="Q109">
            <v>367.08</v>
          </cell>
          <cell r="R109">
            <v>3816.51</v>
          </cell>
        </row>
        <row r="111">
          <cell r="A111" t="str">
            <v>009</v>
          </cell>
          <cell r="C111" t="str">
            <v>1503030 Integrated Solid Waste Management</v>
          </cell>
        </row>
        <row r="112">
          <cell r="A112" t="str">
            <v>A009AA</v>
          </cell>
          <cell r="C112" t="str">
            <v>Solid Waste Collection and Disposal NEX</v>
          </cell>
          <cell r="E112">
            <v>0.12281659388646289</v>
          </cell>
          <cell r="F112">
            <v>1253.7165665938865</v>
          </cell>
          <cell r="G112">
            <v>155.24</v>
          </cell>
          <cell r="H112">
            <v>0</v>
          </cell>
          <cell r="K112">
            <v>1408.9565665938865</v>
          </cell>
          <cell r="L112">
            <v>1302.83</v>
          </cell>
          <cell r="M112">
            <v>2711.7865665938862</v>
          </cell>
          <cell r="N112">
            <v>81.349999999999994</v>
          </cell>
          <cell r="O112">
            <v>2793.1365665938861</v>
          </cell>
          <cell r="P112">
            <v>167.59</v>
          </cell>
          <cell r="Q112">
            <v>35.71</v>
          </cell>
          <cell r="R112">
            <v>2996.4365665938863</v>
          </cell>
        </row>
        <row r="113">
          <cell r="A113" t="str">
            <v>A009AB</v>
          </cell>
          <cell r="C113" t="str">
            <v>Solid Waste Collection and Disposal HOUSING</v>
          </cell>
          <cell r="E113">
            <v>0.30704148471615722</v>
          </cell>
          <cell r="F113">
            <v>3136.9864164847158</v>
          </cell>
          <cell r="G113">
            <v>388.09</v>
          </cell>
          <cell r="H113">
            <v>0</v>
          </cell>
          <cell r="K113">
            <v>3525.076416484716</v>
          </cell>
          <cell r="L113">
            <v>3387.36</v>
          </cell>
          <cell r="M113">
            <v>6912.4364164847157</v>
          </cell>
          <cell r="N113">
            <v>207.37</v>
          </cell>
          <cell r="O113">
            <v>7119.8064164847156</v>
          </cell>
          <cell r="P113">
            <v>427.19</v>
          </cell>
          <cell r="Q113">
            <v>89.26</v>
          </cell>
          <cell r="R113">
            <v>7636.2564164847154</v>
          </cell>
        </row>
        <row r="114">
          <cell r="A114" t="str">
            <v>A009AC</v>
          </cell>
          <cell r="C114" t="str">
            <v>Solid Waste Collection and Disposal CNRE</v>
          </cell>
          <cell r="E114">
            <v>1.2849344978165937</v>
          </cell>
          <cell r="F114">
            <v>13122.262434497816</v>
          </cell>
          <cell r="G114">
            <v>1645.51</v>
          </cell>
          <cell r="H114">
            <v>0</v>
          </cell>
          <cell r="K114">
            <v>14767.772434497816</v>
          </cell>
          <cell r="L114">
            <v>14200.87</v>
          </cell>
          <cell r="M114">
            <v>28968.642434497815</v>
          </cell>
          <cell r="N114">
            <v>869.06</v>
          </cell>
          <cell r="O114">
            <v>29837.702434497816</v>
          </cell>
          <cell r="P114">
            <v>1790.26</v>
          </cell>
          <cell r="Q114">
            <v>378.47</v>
          </cell>
          <cell r="R114">
            <v>32006.432434497816</v>
          </cell>
        </row>
        <row r="115">
          <cell r="A115" t="str">
            <v>A009AD</v>
          </cell>
          <cell r="C115" t="str">
            <v>Grease Collection and Disposal CNRE MWR</v>
          </cell>
          <cell r="E115">
            <v>1.9650655021834062E-2</v>
          </cell>
          <cell r="F115">
            <v>198.29465065502185</v>
          </cell>
          <cell r="G115">
            <v>31.05</v>
          </cell>
          <cell r="H115">
            <v>0</v>
          </cell>
          <cell r="K115">
            <v>229.34465065502187</v>
          </cell>
          <cell r="L115">
            <v>260.57</v>
          </cell>
          <cell r="M115">
            <v>489.91465065502189</v>
          </cell>
          <cell r="N115">
            <v>14.7</v>
          </cell>
          <cell r="O115">
            <v>504.61465065502188</v>
          </cell>
          <cell r="P115">
            <v>30.28</v>
          </cell>
          <cell r="Q115">
            <v>7.14</v>
          </cell>
          <cell r="R115">
            <v>542.03465065502189</v>
          </cell>
        </row>
        <row r="116">
          <cell r="A116" t="str">
            <v>A009AE</v>
          </cell>
          <cell r="C116" t="str">
            <v>Grease Collection and Disposal CNRE (GALLEY)</v>
          </cell>
          <cell r="E116">
            <v>1.3100436681222707E-2</v>
          </cell>
          <cell r="F116">
            <v>132.95310043668121</v>
          </cell>
          <cell r="G116">
            <v>15.52</v>
          </cell>
          <cell r="H116">
            <v>0</v>
          </cell>
          <cell r="K116">
            <v>148.47310043668122</v>
          </cell>
          <cell r="L116">
            <v>130.28</v>
          </cell>
          <cell r="M116">
            <v>278.75310043668122</v>
          </cell>
          <cell r="N116">
            <v>8.36</v>
          </cell>
          <cell r="O116">
            <v>287.11310043668124</v>
          </cell>
          <cell r="P116">
            <v>17.23</v>
          </cell>
          <cell r="Q116">
            <v>3.57</v>
          </cell>
          <cell r="R116">
            <v>307.91310043668125</v>
          </cell>
        </row>
        <row r="117">
          <cell r="A117" t="str">
            <v>A009AF</v>
          </cell>
          <cell r="C117" t="str">
            <v>Medical Waste Collection and Disposal</v>
          </cell>
          <cell r="E117">
            <v>0</v>
          </cell>
          <cell r="F117">
            <v>0</v>
          </cell>
          <cell r="G117">
            <v>0</v>
          </cell>
          <cell r="H117">
            <v>0</v>
          </cell>
          <cell r="I117">
            <v>3500</v>
          </cell>
          <cell r="K117">
            <v>3500</v>
          </cell>
          <cell r="L117">
            <v>3387.36</v>
          </cell>
          <cell r="M117">
            <v>6887.3600000000006</v>
          </cell>
          <cell r="N117">
            <v>206.62</v>
          </cell>
          <cell r="O117">
            <v>7093.9800000000005</v>
          </cell>
          <cell r="P117">
            <v>425.64</v>
          </cell>
          <cell r="Q117">
            <v>805</v>
          </cell>
          <cell r="R117">
            <v>8324.6200000000008</v>
          </cell>
        </row>
        <row r="119">
          <cell r="A119" t="str">
            <v>010</v>
          </cell>
          <cell r="C119" t="str">
            <v>1503050 Grounds Maintenance and Landscaping</v>
          </cell>
        </row>
        <row r="120">
          <cell r="A120" t="str">
            <v>A010AA</v>
          </cell>
          <cell r="C120" t="str">
            <v>Grounds Services (NSA)</v>
          </cell>
          <cell r="E120">
            <v>1.5</v>
          </cell>
          <cell r="F120">
            <v>15313.314999999999</v>
          </cell>
          <cell r="G120">
            <v>1909.41</v>
          </cell>
          <cell r="H120">
            <v>2000</v>
          </cell>
          <cell r="K120">
            <v>19222.724999999999</v>
          </cell>
          <cell r="L120">
            <v>18500.22</v>
          </cell>
          <cell r="M120">
            <v>37722.945</v>
          </cell>
          <cell r="N120">
            <v>1131.69</v>
          </cell>
          <cell r="O120">
            <v>38854.635000000002</v>
          </cell>
          <cell r="P120">
            <v>2331.2800000000002</v>
          </cell>
          <cell r="Q120">
            <v>899.16</v>
          </cell>
          <cell r="R120">
            <v>42085.075000000004</v>
          </cell>
        </row>
        <row r="121">
          <cell r="A121" t="str">
            <v>A010AB</v>
          </cell>
          <cell r="C121" t="str">
            <v>Irrigation Systems</v>
          </cell>
          <cell r="E121">
            <v>1</v>
          </cell>
          <cell r="F121">
            <v>10209.299999999999</v>
          </cell>
          <cell r="G121">
            <v>1272.94</v>
          </cell>
          <cell r="H121">
            <v>0</v>
          </cell>
          <cell r="K121">
            <v>11482.24</v>
          </cell>
          <cell r="L121">
            <v>11074.07</v>
          </cell>
          <cell r="M121">
            <v>22556.309999999998</v>
          </cell>
          <cell r="N121">
            <v>676.69</v>
          </cell>
          <cell r="O121">
            <v>23232.999999999996</v>
          </cell>
          <cell r="P121">
            <v>1393.98</v>
          </cell>
          <cell r="Q121">
            <v>292.77999999999997</v>
          </cell>
          <cell r="R121">
            <v>24919.759999999995</v>
          </cell>
        </row>
        <row r="122">
          <cell r="A122" t="str">
            <v>A010AC</v>
          </cell>
          <cell r="C122" t="str">
            <v>Grounds Services Larissa</v>
          </cell>
          <cell r="E122">
            <v>1</v>
          </cell>
          <cell r="F122">
            <v>10209.299999999999</v>
          </cell>
          <cell r="G122">
            <v>1272.94</v>
          </cell>
          <cell r="H122">
            <v>0</v>
          </cell>
          <cell r="K122">
            <v>11482.24</v>
          </cell>
          <cell r="L122">
            <v>11074.07</v>
          </cell>
          <cell r="M122">
            <v>22556.309999999998</v>
          </cell>
          <cell r="N122">
            <v>676.69</v>
          </cell>
          <cell r="O122">
            <v>23232.999999999996</v>
          </cell>
          <cell r="P122">
            <v>1393.98</v>
          </cell>
          <cell r="Q122">
            <v>292.77999999999997</v>
          </cell>
          <cell r="R122">
            <v>24919.759999999995</v>
          </cell>
        </row>
        <row r="124">
          <cell r="A124" t="str">
            <v>011</v>
          </cell>
          <cell r="C124" t="str">
            <v>1602000 Electrical</v>
          </cell>
        </row>
        <row r="125">
          <cell r="A125" t="str">
            <v>A011AA</v>
          </cell>
          <cell r="C125" t="str">
            <v>PM Program</v>
          </cell>
          <cell r="E125">
            <v>1</v>
          </cell>
          <cell r="F125">
            <v>10209.299999999999</v>
          </cell>
          <cell r="G125">
            <v>1272.94</v>
          </cell>
          <cell r="H125">
            <v>0</v>
          </cell>
          <cell r="K125">
            <v>11482.24</v>
          </cell>
          <cell r="L125">
            <v>11074.07</v>
          </cell>
          <cell r="M125">
            <v>22556.309999999998</v>
          </cell>
          <cell r="N125">
            <v>676.69</v>
          </cell>
          <cell r="O125">
            <v>23232.999999999996</v>
          </cell>
          <cell r="P125">
            <v>1393.98</v>
          </cell>
          <cell r="Q125">
            <v>292.77999999999997</v>
          </cell>
          <cell r="R125">
            <v>24919.759999999995</v>
          </cell>
        </row>
        <row r="127">
          <cell r="A127" t="str">
            <v>012</v>
          </cell>
          <cell r="C127" t="str">
            <v xml:space="preserve">1604000 Wastewater </v>
          </cell>
        </row>
        <row r="128">
          <cell r="A128" t="str">
            <v>A012AA</v>
          </cell>
          <cell r="C128" t="str">
            <v xml:space="preserve">Sampling and Laboratory Testing </v>
          </cell>
          <cell r="E128">
            <v>1</v>
          </cell>
          <cell r="F128">
            <v>10209.299999999999</v>
          </cell>
          <cell r="G128">
            <v>1272.94</v>
          </cell>
          <cell r="H128">
            <v>0</v>
          </cell>
          <cell r="K128">
            <v>11482.24</v>
          </cell>
          <cell r="L128">
            <v>11074.07</v>
          </cell>
          <cell r="M128">
            <v>22556.309999999998</v>
          </cell>
          <cell r="N128">
            <v>676.69</v>
          </cell>
          <cell r="O128">
            <v>23232.999999999996</v>
          </cell>
          <cell r="P128">
            <v>1393.98</v>
          </cell>
          <cell r="Q128">
            <v>292.77999999999997</v>
          </cell>
          <cell r="R128">
            <v>24919.759999999995</v>
          </cell>
        </row>
        <row r="130">
          <cell r="A130" t="str">
            <v>013</v>
          </cell>
          <cell r="C130" t="str">
            <v>1700000 BSVE</v>
          </cell>
        </row>
        <row r="131">
          <cell r="A131" t="str">
            <v>A013AA</v>
          </cell>
          <cell r="C131" t="str">
            <v>Operations</v>
          </cell>
        </row>
        <row r="132">
          <cell r="A132" t="str">
            <v>A013AA1</v>
          </cell>
          <cell r="C132" t="str">
            <v>Supply</v>
          </cell>
          <cell r="E132">
            <v>0.27456647398843931</v>
          </cell>
          <cell r="F132">
            <v>2808.6449999999995</v>
          </cell>
          <cell r="G132">
            <v>357.04</v>
          </cell>
          <cell r="H132">
            <v>0</v>
          </cell>
          <cell r="K132">
            <v>3165.6849999999995</v>
          </cell>
          <cell r="L132">
            <v>2996.51</v>
          </cell>
          <cell r="M132">
            <v>6162.1949999999997</v>
          </cell>
          <cell r="N132">
            <v>184.87</v>
          </cell>
          <cell r="O132">
            <v>6347.0649999999996</v>
          </cell>
          <cell r="P132">
            <v>380.82</v>
          </cell>
          <cell r="Q132">
            <v>82.12</v>
          </cell>
          <cell r="R132">
            <v>6810.0049999999992</v>
          </cell>
        </row>
        <row r="133">
          <cell r="A133" t="str">
            <v>A013AA2</v>
          </cell>
          <cell r="C133" t="str">
            <v>Security</v>
          </cell>
          <cell r="E133">
            <v>0.21676300578034682</v>
          </cell>
          <cell r="F133">
            <v>2215.3249999999998</v>
          </cell>
          <cell r="G133">
            <v>279.43</v>
          </cell>
          <cell r="H133">
            <v>0</v>
          </cell>
          <cell r="K133">
            <v>2494.7549999999997</v>
          </cell>
          <cell r="L133">
            <v>2345.1</v>
          </cell>
          <cell r="M133">
            <v>4839.8549999999996</v>
          </cell>
          <cell r="N133">
            <v>145.19999999999999</v>
          </cell>
          <cell r="O133">
            <v>4985.0549999999994</v>
          </cell>
          <cell r="P133">
            <v>299.10000000000002</v>
          </cell>
          <cell r="Q133">
            <v>64.27</v>
          </cell>
          <cell r="R133">
            <v>5348.4250000000002</v>
          </cell>
        </row>
        <row r="134">
          <cell r="A134" t="str">
            <v>A013AA3</v>
          </cell>
          <cell r="C134" t="str">
            <v>PWD Environmental</v>
          </cell>
          <cell r="E134">
            <v>4.3352601156069356E-2</v>
          </cell>
          <cell r="F134">
            <v>447.375</v>
          </cell>
          <cell r="G134">
            <v>62.09</v>
          </cell>
          <cell r="H134">
            <v>0</v>
          </cell>
          <cell r="K134">
            <v>509.46500000000003</v>
          </cell>
          <cell r="L134">
            <v>521.13</v>
          </cell>
          <cell r="M134">
            <v>1030.595</v>
          </cell>
          <cell r="N134">
            <v>30.92</v>
          </cell>
          <cell r="O134">
            <v>1061.5150000000001</v>
          </cell>
          <cell r="P134">
            <v>63.69</v>
          </cell>
          <cell r="Q134">
            <v>14.28</v>
          </cell>
          <cell r="R134">
            <v>1139.4850000000001</v>
          </cell>
        </row>
        <row r="135">
          <cell r="A135" t="str">
            <v>A013AA4</v>
          </cell>
          <cell r="C135" t="str">
            <v>PWD</v>
          </cell>
          <cell r="E135">
            <v>0.85260115606936415</v>
          </cell>
          <cell r="F135">
            <v>8704.5350000000017</v>
          </cell>
          <cell r="G135">
            <v>1086.6600000000001</v>
          </cell>
          <cell r="H135">
            <v>0</v>
          </cell>
          <cell r="K135">
            <v>9791.1950000000015</v>
          </cell>
          <cell r="L135">
            <v>9380.39</v>
          </cell>
          <cell r="M135">
            <v>19171.584999999999</v>
          </cell>
          <cell r="N135">
            <v>575.15</v>
          </cell>
          <cell r="O135">
            <v>19746.735000000001</v>
          </cell>
          <cell r="P135">
            <v>1184.8</v>
          </cell>
          <cell r="Q135">
            <v>249.93</v>
          </cell>
          <cell r="R135">
            <v>21181.465</v>
          </cell>
        </row>
        <row r="136">
          <cell r="A136" t="str">
            <v>A013AA5</v>
          </cell>
          <cell r="C136" t="str">
            <v>OPS</v>
          </cell>
          <cell r="E136">
            <v>8.6705202312138713E-2</v>
          </cell>
          <cell r="F136">
            <v>884.48</v>
          </cell>
          <cell r="G136">
            <v>108.67</v>
          </cell>
          <cell r="H136">
            <v>0</v>
          </cell>
          <cell r="K136">
            <v>993.15</v>
          </cell>
          <cell r="L136">
            <v>911.98</v>
          </cell>
          <cell r="M136">
            <v>1905.13</v>
          </cell>
          <cell r="N136">
            <v>57.15</v>
          </cell>
          <cell r="O136">
            <v>1962.2800000000002</v>
          </cell>
          <cell r="P136">
            <v>117.74</v>
          </cell>
          <cell r="Q136">
            <v>24.99</v>
          </cell>
          <cell r="R136">
            <v>2105.0099999999998</v>
          </cell>
        </row>
        <row r="137">
          <cell r="A137" t="str">
            <v>A013AA6</v>
          </cell>
          <cell r="C137" t="str">
            <v>NMC</v>
          </cell>
          <cell r="E137">
            <v>1.4450867052023121E-2</v>
          </cell>
          <cell r="F137">
            <v>144.94500000000002</v>
          </cell>
          <cell r="G137">
            <v>15.52</v>
          </cell>
          <cell r="H137">
            <v>0</v>
          </cell>
          <cell r="K137">
            <v>160.46500000000003</v>
          </cell>
          <cell r="L137">
            <v>130.28</v>
          </cell>
          <cell r="M137">
            <v>290.745</v>
          </cell>
          <cell r="N137">
            <v>8.7200000000000006</v>
          </cell>
          <cell r="O137">
            <v>299.46500000000003</v>
          </cell>
          <cell r="P137">
            <v>17.97</v>
          </cell>
          <cell r="Q137">
            <v>3.57</v>
          </cell>
          <cell r="R137">
            <v>321.00500000000005</v>
          </cell>
        </row>
        <row r="138">
          <cell r="A138" t="str">
            <v>A013AA7</v>
          </cell>
          <cell r="C138" t="str">
            <v>NEX</v>
          </cell>
          <cell r="E138">
            <v>1.4450867052023121E-2</v>
          </cell>
          <cell r="F138">
            <v>144.94500000000002</v>
          </cell>
          <cell r="G138">
            <v>15.52</v>
          </cell>
          <cell r="H138">
            <v>0</v>
          </cell>
          <cell r="K138">
            <v>160.46500000000003</v>
          </cell>
          <cell r="L138">
            <v>130.28</v>
          </cell>
          <cell r="M138">
            <v>290.745</v>
          </cell>
          <cell r="N138">
            <v>8.7200000000000006</v>
          </cell>
          <cell r="O138">
            <v>299.46500000000003</v>
          </cell>
          <cell r="P138">
            <v>17.97</v>
          </cell>
          <cell r="Q138">
            <v>3.57</v>
          </cell>
          <cell r="R138">
            <v>321.00500000000005</v>
          </cell>
        </row>
        <row r="139">
          <cell r="A139" t="str">
            <v>A013AA8</v>
          </cell>
          <cell r="C139" t="str">
            <v>NCTMS</v>
          </cell>
          <cell r="E139">
            <v>1.4450867052023121E-2</v>
          </cell>
          <cell r="F139">
            <v>144.94500000000002</v>
          </cell>
          <cell r="G139">
            <v>15.52</v>
          </cell>
          <cell r="H139">
            <v>0</v>
          </cell>
          <cell r="K139">
            <v>160.46500000000003</v>
          </cell>
          <cell r="L139">
            <v>130.28</v>
          </cell>
          <cell r="M139">
            <v>290.745</v>
          </cell>
          <cell r="N139">
            <v>8.7200000000000006</v>
          </cell>
          <cell r="O139">
            <v>299.46500000000003</v>
          </cell>
          <cell r="P139">
            <v>17.97</v>
          </cell>
          <cell r="Q139">
            <v>3.57</v>
          </cell>
          <cell r="R139">
            <v>321.00500000000005</v>
          </cell>
        </row>
        <row r="140">
          <cell r="A140" t="str">
            <v>A013AA9</v>
          </cell>
          <cell r="C140" t="str">
            <v>MWR</v>
          </cell>
          <cell r="E140">
            <v>0.11560693641618497</v>
          </cell>
          <cell r="F140">
            <v>1175.6600000000001</v>
          </cell>
          <cell r="G140">
            <v>155.24</v>
          </cell>
          <cell r="H140">
            <v>0</v>
          </cell>
          <cell r="K140">
            <v>1330.9</v>
          </cell>
          <cell r="L140">
            <v>1302.83</v>
          </cell>
          <cell r="M140">
            <v>2633.73</v>
          </cell>
          <cell r="N140">
            <v>79.010000000000005</v>
          </cell>
          <cell r="O140">
            <v>2712.7400000000002</v>
          </cell>
          <cell r="P140">
            <v>162.76</v>
          </cell>
          <cell r="Q140">
            <v>35.71</v>
          </cell>
          <cell r="R140">
            <v>2911.21</v>
          </cell>
        </row>
        <row r="141">
          <cell r="A141" t="str">
            <v>A013AA10</v>
          </cell>
          <cell r="C141" t="str">
            <v>Medical</v>
          </cell>
          <cell r="E141">
            <v>1.4450867052023121E-2</v>
          </cell>
          <cell r="F141">
            <v>144.94500000000002</v>
          </cell>
          <cell r="G141">
            <v>15.52</v>
          </cell>
          <cell r="H141">
            <v>0</v>
          </cell>
          <cell r="K141">
            <v>160.46500000000003</v>
          </cell>
          <cell r="L141">
            <v>130.28</v>
          </cell>
          <cell r="M141">
            <v>290.745</v>
          </cell>
          <cell r="N141">
            <v>8.7200000000000006</v>
          </cell>
          <cell r="O141">
            <v>299.46500000000003</v>
          </cell>
          <cell r="P141">
            <v>17.97</v>
          </cell>
          <cell r="Q141">
            <v>3.57</v>
          </cell>
          <cell r="R141">
            <v>321.00500000000005</v>
          </cell>
        </row>
        <row r="142">
          <cell r="A142" t="str">
            <v>A013AA11</v>
          </cell>
          <cell r="C142" t="str">
            <v>Fire Department</v>
          </cell>
          <cell r="E142">
            <v>0.28901734104046239</v>
          </cell>
          <cell r="F142">
            <v>2953.58</v>
          </cell>
          <cell r="G142">
            <v>372.57</v>
          </cell>
          <cell r="H142">
            <v>0</v>
          </cell>
          <cell r="K142">
            <v>3326.15</v>
          </cell>
          <cell r="L142">
            <v>3257.08</v>
          </cell>
          <cell r="M142">
            <v>6583.23</v>
          </cell>
          <cell r="N142">
            <v>197.5</v>
          </cell>
          <cell r="O142">
            <v>6780.73</v>
          </cell>
          <cell r="P142">
            <v>406.84</v>
          </cell>
          <cell r="Q142">
            <v>85.69</v>
          </cell>
          <cell r="R142">
            <v>7273.2599999999993</v>
          </cell>
        </row>
        <row r="143">
          <cell r="A143" t="str">
            <v>A013AA12</v>
          </cell>
          <cell r="C143" t="str">
            <v>AMC</v>
          </cell>
          <cell r="E143">
            <v>8.6705202312138713E-2</v>
          </cell>
          <cell r="F143">
            <v>884.48</v>
          </cell>
          <cell r="G143">
            <v>108.67</v>
          </cell>
          <cell r="H143">
            <v>0</v>
          </cell>
          <cell r="K143">
            <v>993.15</v>
          </cell>
          <cell r="L143">
            <v>911.98</v>
          </cell>
          <cell r="M143">
            <v>1905.13</v>
          </cell>
          <cell r="N143">
            <v>57.15</v>
          </cell>
          <cell r="O143">
            <v>1962.2800000000002</v>
          </cell>
          <cell r="P143">
            <v>117.74</v>
          </cell>
          <cell r="Q143">
            <v>24.99</v>
          </cell>
          <cell r="R143">
            <v>2105.0099999999998</v>
          </cell>
        </row>
        <row r="144">
          <cell r="A144" t="str">
            <v>A013AA13</v>
          </cell>
          <cell r="C144" t="str">
            <v>95th</v>
          </cell>
          <cell r="E144">
            <v>0.26011560693641622</v>
          </cell>
          <cell r="F144">
            <v>2652.44</v>
          </cell>
          <cell r="G144">
            <v>326</v>
          </cell>
          <cell r="H144">
            <v>0</v>
          </cell>
          <cell r="K144">
            <v>2978.44</v>
          </cell>
          <cell r="L144">
            <v>2866.23</v>
          </cell>
          <cell r="M144">
            <v>5844.67</v>
          </cell>
          <cell r="N144">
            <v>175.34</v>
          </cell>
          <cell r="O144">
            <v>6020.01</v>
          </cell>
          <cell r="P144">
            <v>361.2</v>
          </cell>
          <cell r="Q144">
            <v>74.98</v>
          </cell>
          <cell r="R144">
            <v>6456.19</v>
          </cell>
        </row>
        <row r="145">
          <cell r="A145" t="str">
            <v>A013AA14</v>
          </cell>
          <cell r="C145" t="str">
            <v>488th</v>
          </cell>
          <cell r="E145">
            <v>7.2254335260115599E-2</v>
          </cell>
          <cell r="F145">
            <v>738.53500000000008</v>
          </cell>
          <cell r="G145">
            <v>93.14</v>
          </cell>
          <cell r="H145">
            <v>0</v>
          </cell>
          <cell r="K145">
            <v>831.67500000000007</v>
          </cell>
          <cell r="L145">
            <v>781.7</v>
          </cell>
          <cell r="M145">
            <v>1613.375</v>
          </cell>
          <cell r="N145">
            <v>48.4</v>
          </cell>
          <cell r="O145">
            <v>1661.7750000000001</v>
          </cell>
          <cell r="P145">
            <v>99.71</v>
          </cell>
          <cell r="Q145">
            <v>21.42</v>
          </cell>
          <cell r="R145">
            <v>1782.9050000000002</v>
          </cell>
        </row>
        <row r="146">
          <cell r="A146" t="str">
            <v>A013AA15</v>
          </cell>
          <cell r="C146" t="str">
            <v>Admin</v>
          </cell>
          <cell r="E146">
            <v>5.7803468208092484E-2</v>
          </cell>
          <cell r="F146">
            <v>592.31000000000006</v>
          </cell>
          <cell r="G146">
            <v>77.62</v>
          </cell>
          <cell r="H146">
            <v>0</v>
          </cell>
          <cell r="K146">
            <v>669.93000000000006</v>
          </cell>
          <cell r="L146">
            <v>651.41999999999996</v>
          </cell>
          <cell r="M146">
            <v>1321.35</v>
          </cell>
          <cell r="N146">
            <v>39.64</v>
          </cell>
          <cell r="O146">
            <v>1360.99</v>
          </cell>
          <cell r="P146">
            <v>81.66</v>
          </cell>
          <cell r="Q146">
            <v>17.850000000000001</v>
          </cell>
          <cell r="R146">
            <v>1460.5</v>
          </cell>
        </row>
        <row r="147">
          <cell r="A147" t="str">
            <v>A013AA16</v>
          </cell>
          <cell r="C147" t="str">
            <v>Greek AF</v>
          </cell>
          <cell r="E147">
            <v>8.6705202312138713E-2</v>
          </cell>
          <cell r="F147">
            <v>884.48</v>
          </cell>
          <cell r="G147">
            <v>108.67</v>
          </cell>
          <cell r="H147">
            <v>0</v>
          </cell>
          <cell r="K147">
            <v>993.15</v>
          </cell>
          <cell r="L147">
            <v>911.98</v>
          </cell>
          <cell r="M147">
            <v>1905.13</v>
          </cell>
          <cell r="N147">
            <v>57.15</v>
          </cell>
          <cell r="O147">
            <v>1962.2800000000002</v>
          </cell>
          <cell r="P147">
            <v>117.74</v>
          </cell>
          <cell r="Q147">
            <v>24.99</v>
          </cell>
          <cell r="R147">
            <v>2105.0099999999998</v>
          </cell>
        </row>
        <row r="149">
          <cell r="A149" t="str">
            <v>A013AB</v>
          </cell>
          <cell r="C149" t="str">
            <v>Support Services</v>
          </cell>
        </row>
        <row r="150">
          <cell r="A150" t="str">
            <v>A013AB1</v>
          </cell>
          <cell r="C150" t="str">
            <v>Supply</v>
          </cell>
          <cell r="E150">
            <v>0.16473988439306358</v>
          </cell>
          <cell r="F150">
            <v>1686.6450000000002</v>
          </cell>
          <cell r="G150">
            <v>217.33</v>
          </cell>
          <cell r="H150">
            <v>0</v>
          </cell>
          <cell r="K150">
            <v>1903.9750000000001</v>
          </cell>
          <cell r="L150">
            <v>1823.97</v>
          </cell>
          <cell r="M150">
            <v>3727.9450000000002</v>
          </cell>
          <cell r="N150">
            <v>111.84</v>
          </cell>
          <cell r="O150">
            <v>3839.7850000000003</v>
          </cell>
          <cell r="P150">
            <v>230.39</v>
          </cell>
          <cell r="Q150">
            <v>49.99</v>
          </cell>
          <cell r="R150">
            <v>4120.165</v>
          </cell>
        </row>
        <row r="151">
          <cell r="A151" t="str">
            <v>A013AB2</v>
          </cell>
          <cell r="C151" t="str">
            <v>Security</v>
          </cell>
          <cell r="E151">
            <v>0.13005780346820808</v>
          </cell>
          <cell r="F151">
            <v>1331.855</v>
          </cell>
          <cell r="G151">
            <v>170.76</v>
          </cell>
          <cell r="H151">
            <v>0</v>
          </cell>
          <cell r="K151">
            <v>1502.615</v>
          </cell>
          <cell r="L151">
            <v>1433.12</v>
          </cell>
          <cell r="M151">
            <v>2935.7349999999997</v>
          </cell>
          <cell r="N151">
            <v>88.07</v>
          </cell>
          <cell r="O151">
            <v>3023.8049999999998</v>
          </cell>
          <cell r="P151">
            <v>181.43</v>
          </cell>
          <cell r="Q151">
            <v>39.270000000000003</v>
          </cell>
          <cell r="R151">
            <v>3244.5049999999997</v>
          </cell>
        </row>
        <row r="152">
          <cell r="A152" t="str">
            <v>A013AB3</v>
          </cell>
          <cell r="C152" t="str">
            <v>PWD Environmental</v>
          </cell>
          <cell r="E152">
            <v>2.6011560693641616E-2</v>
          </cell>
          <cell r="F152">
            <v>263.21499999999997</v>
          </cell>
          <cell r="G152">
            <v>31.05</v>
          </cell>
          <cell r="H152">
            <v>0</v>
          </cell>
          <cell r="K152">
            <v>294.26499999999999</v>
          </cell>
          <cell r="L152">
            <v>260.57</v>
          </cell>
          <cell r="M152">
            <v>554.83500000000004</v>
          </cell>
          <cell r="N152">
            <v>16.649999999999999</v>
          </cell>
          <cell r="O152">
            <v>571.48500000000001</v>
          </cell>
          <cell r="P152">
            <v>34.29</v>
          </cell>
          <cell r="Q152">
            <v>7.14</v>
          </cell>
          <cell r="R152">
            <v>612.91499999999996</v>
          </cell>
        </row>
        <row r="153">
          <cell r="A153" t="str">
            <v>A013AB4</v>
          </cell>
          <cell r="C153" t="str">
            <v xml:space="preserve">PWD </v>
          </cell>
          <cell r="E153">
            <v>0.51156069364161849</v>
          </cell>
          <cell r="F153">
            <v>5222.2649999999994</v>
          </cell>
          <cell r="G153">
            <v>651.99</v>
          </cell>
          <cell r="H153">
            <v>0</v>
          </cell>
          <cell r="K153">
            <v>5874.2549999999992</v>
          </cell>
          <cell r="L153">
            <v>5602.18</v>
          </cell>
          <cell r="M153">
            <v>11476.434999999999</v>
          </cell>
          <cell r="N153">
            <v>344.29</v>
          </cell>
          <cell r="O153">
            <v>11820.725</v>
          </cell>
          <cell r="P153">
            <v>709.24</v>
          </cell>
          <cell r="Q153">
            <v>149.96</v>
          </cell>
          <cell r="R153">
            <v>12679.924999999999</v>
          </cell>
        </row>
        <row r="154">
          <cell r="A154" t="str">
            <v>A013AB5</v>
          </cell>
          <cell r="C154" t="str">
            <v>OPS</v>
          </cell>
          <cell r="E154">
            <v>5.2023121387283232E-2</v>
          </cell>
          <cell r="F154">
            <v>528.70000000000005</v>
          </cell>
          <cell r="G154">
            <v>62.09</v>
          </cell>
          <cell r="H154">
            <v>0</v>
          </cell>
          <cell r="K154">
            <v>590.79000000000008</v>
          </cell>
          <cell r="L154">
            <v>521.13</v>
          </cell>
          <cell r="M154">
            <v>1111.92</v>
          </cell>
          <cell r="N154">
            <v>33.36</v>
          </cell>
          <cell r="O154">
            <v>1145.28</v>
          </cell>
          <cell r="P154">
            <v>68.72</v>
          </cell>
          <cell r="Q154">
            <v>14.28</v>
          </cell>
          <cell r="R154">
            <v>1228.28</v>
          </cell>
        </row>
        <row r="155">
          <cell r="A155" t="str">
            <v>A013AB6</v>
          </cell>
          <cell r="C155" t="str">
            <v>NMC</v>
          </cell>
          <cell r="E155">
            <v>8.670520231213872E-3</v>
          </cell>
          <cell r="F155">
            <v>91.584999999999994</v>
          </cell>
          <cell r="G155">
            <v>15.52</v>
          </cell>
          <cell r="H155">
            <v>0</v>
          </cell>
          <cell r="K155">
            <v>107.10499999999999</v>
          </cell>
          <cell r="L155">
            <v>130.28</v>
          </cell>
          <cell r="M155">
            <v>237.38499999999999</v>
          </cell>
          <cell r="N155">
            <v>7.12</v>
          </cell>
          <cell r="O155">
            <v>244.505</v>
          </cell>
          <cell r="P155">
            <v>14.67</v>
          </cell>
          <cell r="Q155">
            <v>3.57</v>
          </cell>
          <cell r="R155">
            <v>262.745</v>
          </cell>
        </row>
        <row r="156">
          <cell r="A156" t="str">
            <v>A013AB7</v>
          </cell>
          <cell r="C156" t="str">
            <v>NEX</v>
          </cell>
          <cell r="E156">
            <v>8.670520231213872E-3</v>
          </cell>
          <cell r="F156">
            <v>91.584999999999994</v>
          </cell>
          <cell r="G156">
            <v>15.52</v>
          </cell>
          <cell r="H156">
            <v>0</v>
          </cell>
          <cell r="K156">
            <v>107.10499999999999</v>
          </cell>
          <cell r="L156">
            <v>130.28</v>
          </cell>
          <cell r="M156">
            <v>237.38499999999999</v>
          </cell>
          <cell r="N156">
            <v>7.12</v>
          </cell>
          <cell r="O156">
            <v>244.505</v>
          </cell>
          <cell r="P156">
            <v>14.67</v>
          </cell>
          <cell r="Q156">
            <v>3.57</v>
          </cell>
          <cell r="R156">
            <v>262.745</v>
          </cell>
        </row>
        <row r="157">
          <cell r="A157" t="str">
            <v>A013AB8</v>
          </cell>
          <cell r="C157" t="str">
            <v>NCTMS</v>
          </cell>
          <cell r="E157">
            <v>8.670520231213872E-3</v>
          </cell>
          <cell r="F157">
            <v>91.584999999999994</v>
          </cell>
          <cell r="G157">
            <v>15.52</v>
          </cell>
          <cell r="H157">
            <v>0</v>
          </cell>
          <cell r="K157">
            <v>107.10499999999999</v>
          </cell>
          <cell r="L157">
            <v>130.28</v>
          </cell>
          <cell r="M157">
            <v>237.38499999999999</v>
          </cell>
          <cell r="N157">
            <v>7.12</v>
          </cell>
          <cell r="O157">
            <v>244.505</v>
          </cell>
          <cell r="P157">
            <v>14.67</v>
          </cell>
          <cell r="Q157">
            <v>3.57</v>
          </cell>
          <cell r="R157">
            <v>262.745</v>
          </cell>
        </row>
        <row r="158">
          <cell r="A158" t="str">
            <v>A013AB9</v>
          </cell>
          <cell r="C158" t="str">
            <v>MWR</v>
          </cell>
          <cell r="E158">
            <v>6.9364161849710976E-2</v>
          </cell>
          <cell r="F158">
            <v>710.56999999999994</v>
          </cell>
          <cell r="G158">
            <v>93.14</v>
          </cell>
          <cell r="H158">
            <v>0</v>
          </cell>
          <cell r="K158">
            <v>803.70999999999992</v>
          </cell>
          <cell r="L158">
            <v>781.7</v>
          </cell>
          <cell r="M158">
            <v>1585.4099999999999</v>
          </cell>
          <cell r="N158">
            <v>47.56</v>
          </cell>
          <cell r="O158">
            <v>1632.9699999999998</v>
          </cell>
          <cell r="P158">
            <v>97.98</v>
          </cell>
          <cell r="Q158">
            <v>21.42</v>
          </cell>
          <cell r="R158">
            <v>1752.37</v>
          </cell>
        </row>
        <row r="159">
          <cell r="A159" t="str">
            <v>A013AB10</v>
          </cell>
          <cell r="C159" t="str">
            <v>Medical</v>
          </cell>
          <cell r="E159">
            <v>8.670520231213872E-3</v>
          </cell>
          <cell r="F159">
            <v>91.584999999999994</v>
          </cell>
          <cell r="G159">
            <v>15.52</v>
          </cell>
          <cell r="H159">
            <v>0</v>
          </cell>
          <cell r="K159">
            <v>107.10499999999999</v>
          </cell>
          <cell r="L159">
            <v>130.28</v>
          </cell>
          <cell r="M159">
            <v>237.38499999999999</v>
          </cell>
          <cell r="N159">
            <v>7.12</v>
          </cell>
          <cell r="O159">
            <v>244.505</v>
          </cell>
          <cell r="P159">
            <v>14.67</v>
          </cell>
          <cell r="Q159">
            <v>3.57</v>
          </cell>
          <cell r="R159">
            <v>262.745</v>
          </cell>
        </row>
        <row r="160">
          <cell r="A160" t="str">
            <v>A013AB11</v>
          </cell>
          <cell r="C160" t="str">
            <v>Fire Department</v>
          </cell>
          <cell r="E160">
            <v>0.17341040462427745</v>
          </cell>
          <cell r="F160">
            <v>1767.9500000000003</v>
          </cell>
          <cell r="G160">
            <v>217.33</v>
          </cell>
          <cell r="H160">
            <v>0</v>
          </cell>
          <cell r="K160">
            <v>1985.2800000000002</v>
          </cell>
          <cell r="L160">
            <v>1954.25</v>
          </cell>
          <cell r="M160">
            <v>3939.53</v>
          </cell>
          <cell r="N160">
            <v>118.19</v>
          </cell>
          <cell r="O160">
            <v>4057.7200000000003</v>
          </cell>
          <cell r="P160">
            <v>243.46</v>
          </cell>
          <cell r="Q160">
            <v>49.99</v>
          </cell>
          <cell r="R160">
            <v>4351.17</v>
          </cell>
        </row>
        <row r="161">
          <cell r="A161" t="str">
            <v>A013AB12</v>
          </cell>
          <cell r="C161" t="str">
            <v>AMC</v>
          </cell>
          <cell r="E161">
            <v>5.2023121387283232E-2</v>
          </cell>
          <cell r="F161">
            <v>528.70000000000005</v>
          </cell>
          <cell r="G161">
            <v>62.09</v>
          </cell>
          <cell r="H161">
            <v>0</v>
          </cell>
          <cell r="K161">
            <v>590.79000000000008</v>
          </cell>
          <cell r="L161">
            <v>521.13</v>
          </cell>
          <cell r="M161">
            <v>1111.92</v>
          </cell>
          <cell r="N161">
            <v>33.36</v>
          </cell>
          <cell r="O161">
            <v>1145.28</v>
          </cell>
          <cell r="P161">
            <v>68.72</v>
          </cell>
          <cell r="Q161">
            <v>14.28</v>
          </cell>
          <cell r="R161">
            <v>1228.28</v>
          </cell>
        </row>
        <row r="162">
          <cell r="A162" t="str">
            <v>A013AB13</v>
          </cell>
          <cell r="C162" t="str">
            <v>95th</v>
          </cell>
          <cell r="E162">
            <v>0.15606936416184972</v>
          </cell>
          <cell r="F162">
            <v>1595.04</v>
          </cell>
          <cell r="G162">
            <v>201.81</v>
          </cell>
          <cell r="H162">
            <v>0</v>
          </cell>
          <cell r="K162">
            <v>1796.85</v>
          </cell>
          <cell r="L162">
            <v>1693.68</v>
          </cell>
          <cell r="M162">
            <v>3490.5299999999997</v>
          </cell>
          <cell r="N162">
            <v>104.72</v>
          </cell>
          <cell r="O162">
            <v>3595.2499999999995</v>
          </cell>
          <cell r="P162">
            <v>215.72</v>
          </cell>
          <cell r="Q162">
            <v>46.42</v>
          </cell>
          <cell r="R162">
            <v>3857.3899999999994</v>
          </cell>
        </row>
        <row r="163">
          <cell r="A163" t="str">
            <v>A013AB14</v>
          </cell>
          <cell r="C163" t="str">
            <v>488th</v>
          </cell>
          <cell r="E163">
            <v>4.3352601156069363E-2</v>
          </cell>
          <cell r="F163">
            <v>447.375</v>
          </cell>
          <cell r="G163">
            <v>62.09</v>
          </cell>
          <cell r="H163">
            <v>0</v>
          </cell>
          <cell r="K163">
            <v>509.46500000000003</v>
          </cell>
          <cell r="L163">
            <v>521.13</v>
          </cell>
          <cell r="M163">
            <v>1030.595</v>
          </cell>
          <cell r="N163">
            <v>30.92</v>
          </cell>
          <cell r="O163">
            <v>1061.5150000000001</v>
          </cell>
          <cell r="P163">
            <v>63.69</v>
          </cell>
          <cell r="Q163">
            <v>14.28</v>
          </cell>
          <cell r="R163">
            <v>1139.4850000000001</v>
          </cell>
        </row>
        <row r="164">
          <cell r="A164" t="str">
            <v>A013AB15</v>
          </cell>
          <cell r="C164" t="str">
            <v>Admin</v>
          </cell>
          <cell r="E164">
            <v>3.4682080924855488E-2</v>
          </cell>
          <cell r="F164">
            <v>355.78999999999996</v>
          </cell>
          <cell r="G164">
            <v>46.57</v>
          </cell>
          <cell r="H164">
            <v>0</v>
          </cell>
          <cell r="K164">
            <v>402.35999999999996</v>
          </cell>
          <cell r="L164">
            <v>390.85</v>
          </cell>
          <cell r="M164">
            <v>793.21</v>
          </cell>
          <cell r="N164">
            <v>23.8</v>
          </cell>
          <cell r="O164">
            <v>817.01</v>
          </cell>
          <cell r="P164">
            <v>49.02</v>
          </cell>
          <cell r="Q164">
            <v>10.71</v>
          </cell>
          <cell r="R164">
            <v>876.74</v>
          </cell>
        </row>
        <row r="165">
          <cell r="A165" t="str">
            <v>A013AB16</v>
          </cell>
          <cell r="C165" t="str">
            <v>Greek AF</v>
          </cell>
          <cell r="E165">
            <v>5.2023121387283232E-2</v>
          </cell>
          <cell r="F165">
            <v>528.70000000000005</v>
          </cell>
          <cell r="G165">
            <v>62.09</v>
          </cell>
          <cell r="H165">
            <v>0</v>
          </cell>
          <cell r="K165">
            <v>590.79000000000008</v>
          </cell>
          <cell r="L165">
            <v>521.13</v>
          </cell>
          <cell r="M165">
            <v>1111.92</v>
          </cell>
          <cell r="N165">
            <v>33.36</v>
          </cell>
          <cell r="O165">
            <v>1145.28</v>
          </cell>
          <cell r="P165">
            <v>68.72</v>
          </cell>
          <cell r="Q165">
            <v>14.28</v>
          </cell>
          <cell r="R165">
            <v>1228.28</v>
          </cell>
        </row>
        <row r="167">
          <cell r="A167" t="str">
            <v>A013AC</v>
          </cell>
          <cell r="C167" t="str">
            <v>Maintenance</v>
          </cell>
        </row>
        <row r="168">
          <cell r="A168" t="str">
            <v>A013AC1</v>
          </cell>
          <cell r="C168" t="str">
            <v>Supply</v>
          </cell>
          <cell r="E168">
            <v>0.41178220767628682</v>
          </cell>
          <cell r="F168">
            <v>4207.177929187741</v>
          </cell>
          <cell r="G168">
            <v>527.80999999999995</v>
          </cell>
          <cell r="H168">
            <v>0</v>
          </cell>
          <cell r="K168">
            <v>4734.9879291877405</v>
          </cell>
          <cell r="L168">
            <v>4559.91</v>
          </cell>
          <cell r="M168">
            <v>9294.8979291877404</v>
          </cell>
          <cell r="N168">
            <v>278.85000000000002</v>
          </cell>
          <cell r="O168">
            <v>9573.7479291877407</v>
          </cell>
          <cell r="P168">
            <v>574.41999999999996</v>
          </cell>
          <cell r="Q168">
            <v>121.4</v>
          </cell>
          <cell r="R168">
            <v>10269.56792918774</v>
          </cell>
        </row>
        <row r="169">
          <cell r="A169" t="str">
            <v>A013AC2</v>
          </cell>
          <cell r="C169" t="str">
            <v>Security</v>
          </cell>
          <cell r="E169">
            <v>0.27372805712585541</v>
          </cell>
          <cell r="F169">
            <v>2795.4924962808691</v>
          </cell>
          <cell r="G169">
            <v>341.52</v>
          </cell>
          <cell r="H169">
            <v>0</v>
          </cell>
          <cell r="K169">
            <v>3137.0124962808691</v>
          </cell>
          <cell r="L169">
            <v>2996.51</v>
          </cell>
          <cell r="M169">
            <v>6133.5224962808697</v>
          </cell>
          <cell r="N169">
            <v>184.01</v>
          </cell>
          <cell r="O169">
            <v>6317.53249628087</v>
          </cell>
          <cell r="P169">
            <v>379.05</v>
          </cell>
          <cell r="Q169">
            <v>78.55</v>
          </cell>
          <cell r="R169">
            <v>6775.1324962808703</v>
          </cell>
        </row>
        <row r="170">
          <cell r="A170" t="str">
            <v>A013AC3</v>
          </cell>
          <cell r="C170" t="str">
            <v>PWD Environmental</v>
          </cell>
          <cell r="E170">
            <v>8.9259149062778931E-2</v>
          </cell>
          <cell r="F170">
            <v>910.40885748289202</v>
          </cell>
          <cell r="G170">
            <v>108.67</v>
          </cell>
          <cell r="H170">
            <v>0</v>
          </cell>
          <cell r="K170">
            <v>1019.078857482892</v>
          </cell>
          <cell r="L170">
            <v>1042.27</v>
          </cell>
          <cell r="M170">
            <v>2061.3488574828921</v>
          </cell>
          <cell r="N170">
            <v>61.84</v>
          </cell>
          <cell r="O170">
            <v>2123.1888574828922</v>
          </cell>
          <cell r="P170">
            <v>127.39</v>
          </cell>
          <cell r="Q170">
            <v>24.99</v>
          </cell>
          <cell r="R170">
            <v>2275.5688574828919</v>
          </cell>
        </row>
        <row r="171">
          <cell r="A171" t="str">
            <v>A013AC4</v>
          </cell>
          <cell r="C171" t="str">
            <v xml:space="preserve">PWD </v>
          </cell>
          <cell r="E171">
            <v>1.5304968759297826</v>
          </cell>
          <cell r="F171">
            <v>15628.261609639989</v>
          </cell>
          <cell r="G171">
            <v>1955.98</v>
          </cell>
          <cell r="H171">
            <v>0</v>
          </cell>
          <cell r="K171">
            <v>17584.24160963999</v>
          </cell>
          <cell r="L171">
            <v>16936.82</v>
          </cell>
          <cell r="M171">
            <v>34521.06160963999</v>
          </cell>
          <cell r="N171">
            <v>1035.6300000000001</v>
          </cell>
          <cell r="O171">
            <v>35556.691609639987</v>
          </cell>
          <cell r="P171">
            <v>2133.4</v>
          </cell>
          <cell r="Q171">
            <v>449.88</v>
          </cell>
          <cell r="R171">
            <v>38139.971609639986</v>
          </cell>
        </row>
        <row r="172">
          <cell r="A172" t="str">
            <v>A013AC5</v>
          </cell>
          <cell r="C172" t="str">
            <v>OPS</v>
          </cell>
          <cell r="E172">
            <v>0.10116036893781612</v>
          </cell>
          <cell r="F172">
            <v>1029.4407051472776</v>
          </cell>
          <cell r="G172">
            <v>124.19</v>
          </cell>
          <cell r="H172">
            <v>0</v>
          </cell>
          <cell r="K172">
            <v>1153.6307051472777</v>
          </cell>
          <cell r="L172">
            <v>1042.27</v>
          </cell>
          <cell r="M172">
            <v>2195.9007051472777</v>
          </cell>
          <cell r="N172">
            <v>65.88</v>
          </cell>
          <cell r="O172">
            <v>2261.7807051472778</v>
          </cell>
          <cell r="P172">
            <v>135.71</v>
          </cell>
          <cell r="Q172">
            <v>28.56</v>
          </cell>
          <cell r="R172">
            <v>2426.0507051472778</v>
          </cell>
        </row>
        <row r="173">
          <cell r="A173" t="str">
            <v>A013AC6</v>
          </cell>
          <cell r="C173" t="str">
            <v>NMC</v>
          </cell>
          <cell r="E173">
            <v>1.7851829812555786E-2</v>
          </cell>
          <cell r="F173">
            <v>184.0277714965784</v>
          </cell>
          <cell r="G173">
            <v>15.52</v>
          </cell>
          <cell r="H173">
            <v>0</v>
          </cell>
          <cell r="K173">
            <v>199.54777149657841</v>
          </cell>
          <cell r="L173">
            <v>130.28</v>
          </cell>
          <cell r="M173">
            <v>329.82777149657841</v>
          </cell>
          <cell r="N173">
            <v>9.89</v>
          </cell>
          <cell r="O173">
            <v>339.71777149657839</v>
          </cell>
          <cell r="P173">
            <v>20.38</v>
          </cell>
          <cell r="Q173">
            <v>3.57</v>
          </cell>
          <cell r="R173">
            <v>363.66777149657838</v>
          </cell>
        </row>
        <row r="174">
          <cell r="A174" t="str">
            <v>A013AC7</v>
          </cell>
          <cell r="C174" t="str">
            <v>NEX</v>
          </cell>
          <cell r="E174">
            <v>1.7851829812555786E-2</v>
          </cell>
          <cell r="F174">
            <v>184.0277714965784</v>
          </cell>
          <cell r="G174">
            <v>15.52</v>
          </cell>
          <cell r="H174">
            <v>0</v>
          </cell>
          <cell r="K174">
            <v>199.54777149657841</v>
          </cell>
          <cell r="L174">
            <v>130.28</v>
          </cell>
          <cell r="M174">
            <v>329.82777149657841</v>
          </cell>
          <cell r="N174">
            <v>9.89</v>
          </cell>
          <cell r="O174">
            <v>339.71777149657839</v>
          </cell>
          <cell r="P174">
            <v>20.38</v>
          </cell>
          <cell r="Q174">
            <v>3.57</v>
          </cell>
          <cell r="R174">
            <v>363.66777149657838</v>
          </cell>
        </row>
        <row r="175">
          <cell r="A175" t="str">
            <v>A013AC8</v>
          </cell>
          <cell r="C175" t="str">
            <v>NCTMS</v>
          </cell>
          <cell r="E175">
            <v>2.9753049687592976E-2</v>
          </cell>
          <cell r="F175">
            <v>303.03961916096398</v>
          </cell>
          <cell r="G175">
            <v>31.05</v>
          </cell>
          <cell r="H175">
            <v>0</v>
          </cell>
          <cell r="K175">
            <v>334.08961916096399</v>
          </cell>
          <cell r="L175">
            <v>260.57</v>
          </cell>
          <cell r="M175">
            <v>594.65961916096398</v>
          </cell>
          <cell r="N175">
            <v>17.84</v>
          </cell>
          <cell r="O175">
            <v>612.49961916096402</v>
          </cell>
          <cell r="P175">
            <v>36.75</v>
          </cell>
          <cell r="Q175">
            <v>7.14</v>
          </cell>
          <cell r="R175">
            <v>656.389619160964</v>
          </cell>
        </row>
        <row r="176">
          <cell r="A176" t="str">
            <v>A013AC9</v>
          </cell>
          <cell r="C176" t="str">
            <v>MWR</v>
          </cell>
          <cell r="E176">
            <v>0.14281463850044629</v>
          </cell>
          <cell r="F176">
            <v>1461.7521719726271</v>
          </cell>
          <cell r="G176">
            <v>186.28</v>
          </cell>
          <cell r="H176">
            <v>0</v>
          </cell>
          <cell r="K176">
            <v>1648.0321719726271</v>
          </cell>
          <cell r="L176">
            <v>1563.4</v>
          </cell>
          <cell r="M176">
            <v>3211.4321719726272</v>
          </cell>
          <cell r="N176">
            <v>96.34</v>
          </cell>
          <cell r="O176">
            <v>3307.7721719726273</v>
          </cell>
          <cell r="P176">
            <v>198.47</v>
          </cell>
          <cell r="Q176">
            <v>42.84</v>
          </cell>
          <cell r="R176">
            <v>3549.0821719726273</v>
          </cell>
        </row>
        <row r="177">
          <cell r="A177" t="str">
            <v>A013AC10</v>
          </cell>
          <cell r="C177" t="str">
            <v>Medical</v>
          </cell>
          <cell r="E177">
            <v>2.3802439750074383E-2</v>
          </cell>
          <cell r="F177">
            <v>239.05369532877123</v>
          </cell>
          <cell r="G177">
            <v>31.05</v>
          </cell>
          <cell r="H177">
            <v>0</v>
          </cell>
          <cell r="K177">
            <v>270.10369532877121</v>
          </cell>
          <cell r="L177">
            <v>260.57</v>
          </cell>
          <cell r="M177">
            <v>530.67369532877115</v>
          </cell>
          <cell r="N177">
            <v>15.92</v>
          </cell>
          <cell r="O177">
            <v>546.5936953287711</v>
          </cell>
          <cell r="P177">
            <v>32.799999999999997</v>
          </cell>
          <cell r="Q177">
            <v>7.14</v>
          </cell>
          <cell r="R177">
            <v>586.53369532877105</v>
          </cell>
        </row>
        <row r="178">
          <cell r="A178" t="str">
            <v>A013AC11</v>
          </cell>
          <cell r="C178" t="str">
            <v>Fire Department</v>
          </cell>
          <cell r="E178">
            <v>0.54626599226420702</v>
          </cell>
          <cell r="F178">
            <v>5578.1058077952994</v>
          </cell>
          <cell r="G178">
            <v>698.57</v>
          </cell>
          <cell r="H178">
            <v>0</v>
          </cell>
          <cell r="K178">
            <v>6276.6758077952991</v>
          </cell>
          <cell r="L178">
            <v>5993.03</v>
          </cell>
          <cell r="M178">
            <v>12269.705807795299</v>
          </cell>
          <cell r="N178">
            <v>368.09</v>
          </cell>
          <cell r="O178">
            <v>12637.795807795299</v>
          </cell>
          <cell r="P178">
            <v>758.27</v>
          </cell>
          <cell r="Q178">
            <v>160.66999999999999</v>
          </cell>
          <cell r="R178">
            <v>13556.735807795299</v>
          </cell>
        </row>
        <row r="179">
          <cell r="A179" t="str">
            <v>A013AC12</v>
          </cell>
          <cell r="C179" t="str">
            <v>AMC</v>
          </cell>
          <cell r="E179">
            <v>0.17851829812555786</v>
          </cell>
          <cell r="F179">
            <v>1819.8077149657843</v>
          </cell>
          <cell r="G179">
            <v>232.86</v>
          </cell>
          <cell r="H179">
            <v>0</v>
          </cell>
          <cell r="K179">
            <v>2052.6677149657844</v>
          </cell>
          <cell r="L179">
            <v>1954.25</v>
          </cell>
          <cell r="M179">
            <v>4006.9177149657844</v>
          </cell>
          <cell r="N179">
            <v>120.21</v>
          </cell>
          <cell r="O179">
            <v>4127.1277149657844</v>
          </cell>
          <cell r="P179">
            <v>247.63</v>
          </cell>
          <cell r="Q179">
            <v>53.56</v>
          </cell>
          <cell r="R179">
            <v>4428.3177149657849</v>
          </cell>
        </row>
        <row r="180">
          <cell r="A180" t="str">
            <v>A013AC13</v>
          </cell>
          <cell r="C180" t="str">
            <v>95th</v>
          </cell>
          <cell r="E180">
            <v>0.32133293662600415</v>
          </cell>
          <cell r="F180">
            <v>3283.8498869384116</v>
          </cell>
          <cell r="G180">
            <v>403.62</v>
          </cell>
          <cell r="H180">
            <v>0</v>
          </cell>
          <cell r="K180">
            <v>3687.4698869384115</v>
          </cell>
          <cell r="L180">
            <v>3517.65</v>
          </cell>
          <cell r="M180">
            <v>7205.1198869384116</v>
          </cell>
          <cell r="N180">
            <v>216.15</v>
          </cell>
          <cell r="O180">
            <v>7421.2698869384112</v>
          </cell>
          <cell r="P180">
            <v>445.28</v>
          </cell>
          <cell r="Q180">
            <v>92.83</v>
          </cell>
          <cell r="R180">
            <v>7959.3798869384109</v>
          </cell>
        </row>
        <row r="181">
          <cell r="A181" t="str">
            <v>A013AC14</v>
          </cell>
          <cell r="C181" t="str">
            <v>488th</v>
          </cell>
          <cell r="E181">
            <v>0.10116036893781612</v>
          </cell>
          <cell r="F181">
            <v>1029.4407051472776</v>
          </cell>
          <cell r="G181">
            <v>124.19</v>
          </cell>
          <cell r="H181">
            <v>0</v>
          </cell>
          <cell r="K181">
            <v>1153.6307051472777</v>
          </cell>
          <cell r="L181">
            <v>1042.27</v>
          </cell>
          <cell r="M181">
            <v>2195.9007051472777</v>
          </cell>
          <cell r="N181">
            <v>65.88</v>
          </cell>
          <cell r="O181">
            <v>2261.7807051472778</v>
          </cell>
          <cell r="P181">
            <v>135.71</v>
          </cell>
          <cell r="Q181">
            <v>28.56</v>
          </cell>
          <cell r="R181">
            <v>2426.0507051472778</v>
          </cell>
        </row>
        <row r="182">
          <cell r="A182" t="str">
            <v>A013AC15</v>
          </cell>
          <cell r="C182" t="str">
            <v>Admin</v>
          </cell>
          <cell r="E182">
            <v>9.5209759000297531E-2</v>
          </cell>
          <cell r="F182">
            <v>975.68478131508471</v>
          </cell>
          <cell r="G182">
            <v>124.19</v>
          </cell>
          <cell r="H182">
            <v>0</v>
          </cell>
          <cell r="K182">
            <v>1099.8747813150846</v>
          </cell>
          <cell r="L182">
            <v>1042.27</v>
          </cell>
          <cell r="M182">
            <v>2142.1447813150844</v>
          </cell>
          <cell r="N182">
            <v>64.260000000000005</v>
          </cell>
          <cell r="O182">
            <v>2206.4047813150846</v>
          </cell>
          <cell r="P182">
            <v>132.38</v>
          </cell>
          <cell r="Q182">
            <v>28.56</v>
          </cell>
          <cell r="R182">
            <v>2367.3447813150847</v>
          </cell>
        </row>
        <row r="183">
          <cell r="A183" t="str">
            <v>A013AC16</v>
          </cell>
          <cell r="C183" t="str">
            <v>Greek AF</v>
          </cell>
          <cell r="E183">
            <v>0.1190121987503719</v>
          </cell>
          <cell r="F183">
            <v>1213.7284766438559</v>
          </cell>
          <cell r="G183">
            <v>155.24</v>
          </cell>
          <cell r="H183">
            <v>0</v>
          </cell>
          <cell r="K183">
            <v>1368.9684766438559</v>
          </cell>
          <cell r="L183">
            <v>1954.297777777072</v>
          </cell>
          <cell r="M183">
            <v>3323.2662544209279</v>
          </cell>
          <cell r="N183">
            <v>99.7</v>
          </cell>
          <cell r="O183">
            <v>3422.9662544209277</v>
          </cell>
          <cell r="P183">
            <v>205.38</v>
          </cell>
          <cell r="Q183">
            <v>35.71</v>
          </cell>
          <cell r="R183">
            <v>3664.0562544209279</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2003"/>
      <sheetName val="Working Sheet"/>
      <sheetName val="Explanation"/>
    </sheetNames>
    <sheetDataSet>
      <sheetData sheetId="0" refreshError="1"/>
      <sheetData sheetId="1">
        <row r="11">
          <cell r="A11" t="str">
            <v>C.5 FIXED PRICE WORK</v>
          </cell>
        </row>
        <row r="12">
          <cell r="A12" t="str">
            <v>Develop Preventive Maintenace (PM) Program</v>
          </cell>
        </row>
        <row r="13">
          <cell r="A13" t="str">
            <v>Backlogged Service Calls</v>
          </cell>
        </row>
        <row r="14">
          <cell r="A14" t="str">
            <v>Emergency Service Calls (Naval Station)</v>
          </cell>
        </row>
        <row r="15">
          <cell r="A15" t="str">
            <v>Urgent Service Calls  (Naval Station)</v>
          </cell>
        </row>
        <row r="16">
          <cell r="A16" t="str">
            <v>Routine Service Calls  (Naval Station)</v>
          </cell>
        </row>
        <row r="17">
          <cell r="A17" t="str">
            <v>Family Housing Emergency Calls</v>
          </cell>
        </row>
        <row r="18">
          <cell r="A18" t="str">
            <v>Family Housing Urgent Calls</v>
          </cell>
        </row>
        <row r="19">
          <cell r="A19" t="str">
            <v>Family Housing Routine Calls</v>
          </cell>
        </row>
        <row r="21">
          <cell r="A21" t="str">
            <v>C.7 PEST CONTROL SERVICES</v>
          </cell>
        </row>
        <row r="22">
          <cell r="A22" t="str">
            <v>Monthly Arthropod Pest Control</v>
          </cell>
        </row>
        <row r="23">
          <cell r="A23" t="str">
            <v>Bi-Monthly Arthropod Pest Control</v>
          </cell>
        </row>
        <row r="24">
          <cell r="A24" t="str">
            <v>Quarterly Arthropod Pest Control</v>
          </cell>
        </row>
        <row r="25">
          <cell r="A25" t="str">
            <v>Adult Mosquito Control</v>
          </cell>
        </row>
        <row r="26">
          <cell r="A26" t="str">
            <v>Maintain Rat, Mice and Rodent Poison Bait Stations</v>
          </cell>
        </row>
        <row r="27">
          <cell r="A27" t="str">
            <v>Commissary Store Rodent Control</v>
          </cell>
        </row>
        <row r="29">
          <cell r="A29" t="str">
            <v>C.8 ELECTRICAL DISTRIBUTION SYSTEMS</v>
          </cell>
        </row>
        <row r="30">
          <cell r="A30" t="str">
            <v>Exterior Lightning</v>
          </cell>
        </row>
        <row r="31">
          <cell r="A31" t="str">
            <v>All Airfield Lightning, Markers, Aircraft Beacons and Obstruction Lights</v>
          </cell>
        </row>
        <row r="32">
          <cell r="A32" t="str">
            <v>Maintenance and Repair of High and Low Voltage Electrical Distribution Systems (EDS)</v>
          </cell>
        </row>
        <row r="33">
          <cell r="A33" t="str">
            <v>Maintenace and Repair of Electrical Distribution Systems at Vieques (mt Pirata, ROTHR)</v>
          </cell>
        </row>
        <row r="34">
          <cell r="A34" t="str">
            <v>Maintenance and Repair of Emergency Generators</v>
          </cell>
        </row>
        <row r="35">
          <cell r="A35" t="str">
            <v>Maintenance and Repair of Cathodic Protector Systems</v>
          </cell>
        </row>
        <row r="36">
          <cell r="A36" t="str">
            <v>Maintenance and Repair of Static Ground Systems</v>
          </cell>
        </row>
        <row r="37">
          <cell r="A37" t="str">
            <v>Maintenance and Repair of Government Owned Portable Equipment</v>
          </cell>
        </row>
        <row r="39">
          <cell r="A39" t="str">
            <v>C.9 BOILERS AND WATER HEATERS</v>
          </cell>
        </row>
        <row r="40">
          <cell r="A40" t="str">
            <v>Naval Station Boilers Maintenance and Repair</v>
          </cell>
        </row>
        <row r="41">
          <cell r="A41" t="str">
            <v>Gas/Oil Water Heaters Maintenance and Repair</v>
          </cell>
        </row>
        <row r="42">
          <cell r="A42" t="str">
            <v>Annual Boiler Inspection and Certification</v>
          </cell>
        </row>
        <row r="44">
          <cell r="A44" t="str">
            <v>C.10 WATER TREATMENT PLANTS AND DISTRIBUTION SYSTEMS</v>
          </cell>
        </row>
        <row r="45">
          <cell r="A45" t="str">
            <v>Water Treatment Plant and System Operation</v>
          </cell>
        </row>
        <row r="46">
          <cell r="A46" t="str">
            <v>Water Treatment Plant and System Maintenacnce</v>
          </cell>
        </row>
        <row r="47">
          <cell r="A47" t="str">
            <v>Pico del Este Water Treatment Equipment Operation</v>
          </cell>
        </row>
        <row r="48">
          <cell r="A48" t="str">
            <v>Pico del Este Water Treatment Equipment Maintenance</v>
          </cell>
        </row>
        <row r="50">
          <cell r="A50" t="str">
            <v>C.11 WASTEWATER TREATMENT PLANTS AND COLLECTION SYSTEMS</v>
          </cell>
        </row>
        <row r="51">
          <cell r="A51" t="str">
            <v>Forrestal Wastewater Treatment Plant Operation</v>
          </cell>
        </row>
        <row r="52">
          <cell r="A52" t="str">
            <v>Forrestal Wastewater Treatment Plant Maintenance</v>
          </cell>
        </row>
        <row r="53">
          <cell r="A53" t="str">
            <v>Bundy Wastewater Treatment Plant Operation</v>
          </cell>
        </row>
        <row r="54">
          <cell r="A54" t="str">
            <v>Bundy Wastewater Treatment Plant Maintenance</v>
          </cell>
        </row>
        <row r="55">
          <cell r="A55" t="str">
            <v>Capehart Wastewater Treatment Plant Operation</v>
          </cell>
        </row>
        <row r="56">
          <cell r="A56" t="str">
            <v>Capehart Wastewater Treatment Plant Maintenance</v>
          </cell>
        </row>
        <row r="57">
          <cell r="A57" t="str">
            <v>Lift Station, Collection Systems, and Septic Tank Systems</v>
          </cell>
        </row>
        <row r="58">
          <cell r="A58" t="str">
            <v>Operation and Maintenance of BOWTS</v>
          </cell>
        </row>
        <row r="60">
          <cell r="A60" t="str">
            <v>C.12 REFRIGERATION AND AIR CONDITIONING EQUIPMENT SERVICES</v>
          </cell>
        </row>
        <row r="61">
          <cell r="A61" t="str">
            <v>Maintenance and repair of air consitioning, ventilation and refrigeration equipment and related systems</v>
          </cell>
        </row>
        <row r="62">
          <cell r="A62" t="str">
            <v>Chilled water units</v>
          </cell>
        </row>
        <row r="63">
          <cell r="A63" t="str">
            <v>Refrigeration System</v>
          </cell>
        </row>
        <row r="64">
          <cell r="A64" t="str">
            <v>Cold Storage Refrigeration</v>
          </cell>
        </row>
        <row r="65">
          <cell r="A65" t="str">
            <v>AHU Split and Chilled water</v>
          </cell>
        </row>
        <row r="66">
          <cell r="A66" t="str">
            <v>Cooling water</v>
          </cell>
        </row>
        <row r="67">
          <cell r="A67" t="str">
            <v>A/C Package Unit, &lt;25</v>
          </cell>
        </row>
        <row r="68">
          <cell r="A68" t="str">
            <v xml:space="preserve">A/C Package Unit, &gt;25 </v>
          </cell>
        </row>
        <row r="69">
          <cell r="A69" t="str">
            <v>Split A/C System &lt;25</v>
          </cell>
        </row>
        <row r="70">
          <cell r="A70" t="str">
            <v>Split A/C System, &gt;25</v>
          </cell>
        </row>
        <row r="71">
          <cell r="A71" t="str">
            <v>Computarized A/C Unit</v>
          </cell>
        </row>
        <row r="72">
          <cell r="A72" t="str">
            <v>Ventilation System</v>
          </cell>
        </row>
        <row r="73">
          <cell r="A73" t="str">
            <v>Fan Type Cooling Coils</v>
          </cell>
        </row>
        <row r="74">
          <cell r="A74" t="str">
            <v>Electronic Digital Control and monitor System</v>
          </cell>
        </row>
        <row r="75">
          <cell r="A75" t="str">
            <v>Treated Water System</v>
          </cell>
        </row>
        <row r="76">
          <cell r="A76" t="str">
            <v>Centrifugal water chiller</v>
          </cell>
        </row>
        <row r="77">
          <cell r="A77" t="str">
            <v>A/C Services at Commissary Building</v>
          </cell>
        </row>
        <row r="79">
          <cell r="A79" t="str">
            <v>C.13 FAMILY HOUSING</v>
          </cell>
        </row>
        <row r="80">
          <cell r="A80" t="str">
            <v>Change of Occupancy Maintenance</v>
          </cell>
        </row>
        <row r="81">
          <cell r="A81" t="str">
            <v>Change Of Occupancy Custodial Services</v>
          </cell>
        </row>
        <row r="82">
          <cell r="A82" t="str">
            <v>Management of Loaner Furniture Program</v>
          </cell>
        </row>
        <row r="83">
          <cell r="A83" t="str">
            <v>Family Housing Self Help Store (Bldg. 793)</v>
          </cell>
        </row>
        <row r="84">
          <cell r="A84" t="str">
            <v>Appliance Pool and Replacement</v>
          </cell>
        </row>
        <row r="85">
          <cell r="A85" t="str">
            <v>Playground and Picnic Equipment</v>
          </cell>
        </row>
        <row r="86">
          <cell r="A86" t="str">
            <v xml:space="preserve"> A/C Filter Changes in Family Housing</v>
          </cell>
        </row>
        <row r="87">
          <cell r="A87" t="str">
            <v>A/C Preventive Maintenance in Family Housing</v>
          </cell>
        </row>
        <row r="89">
          <cell r="A89" t="str">
            <v>C.14 BUILDINGS AND STRUCTURES, OTHER THAN FAMILY HOUSING</v>
          </cell>
        </row>
        <row r="90">
          <cell r="A90" t="str">
            <v>Equipment/System Maintenace and Repair</v>
          </cell>
        </row>
        <row r="91">
          <cell r="A91" t="str">
            <v>Elevator Certification</v>
          </cell>
        </row>
        <row r="92">
          <cell r="A92" t="str">
            <v>Load Test Cranes/Hoists</v>
          </cell>
        </row>
        <row r="93">
          <cell r="A93" t="str">
            <v>Inspection of Rigging Gear Equipment</v>
          </cell>
        </row>
        <row r="94">
          <cell r="A94" t="str">
            <v>Unfired Pressure Vessels Certification</v>
          </cell>
        </row>
        <row r="96">
          <cell r="A96" t="str">
            <v>C.16 FIRE PROTECTION</v>
          </cell>
        </row>
        <row r="97">
          <cell r="A97" t="str">
            <v>Inspection, Testing and Maintenance of Fire Protection Systems</v>
          </cell>
        </row>
        <row r="98">
          <cell r="A98" t="str">
            <v>Inspection, Testing and Maintenance of Fire Alarm Systems/Radio Transmiters (XMTRs)</v>
          </cell>
        </row>
        <row r="99">
          <cell r="A99" t="str">
            <v>Inspection, Testing and Maintenance of FireHydrants and Pumps</v>
          </cell>
        </row>
        <row r="101">
          <cell r="A101" t="str">
            <v>C.17 TRANSPORTATION SERVICES</v>
          </cell>
        </row>
        <row r="102">
          <cell r="A102" t="str">
            <v>Repairs</v>
          </cell>
        </row>
        <row r="103">
          <cell r="A103" t="str">
            <v>Battery Replacement Services ALPHA code A through U and ALPHA Code X through Z Equipment</v>
          </cell>
        </row>
        <row r="104">
          <cell r="A104" t="str">
            <v>Battery Replacement Service. ALPHA code R Battery Powered Equipment</v>
          </cell>
        </row>
        <row r="105">
          <cell r="A105" t="str">
            <v xml:space="preserve">Courier Service </v>
          </cell>
        </row>
        <row r="106">
          <cell r="A106" t="str">
            <v>Construction Equipment Operation Support Services</v>
          </cell>
        </row>
        <row r="107">
          <cell r="A107" t="str">
            <v>Pick-up, Delivery, Transfer of Equipment, Cargo and Civil Engineering Support Equipment</v>
          </cell>
        </row>
        <row r="108">
          <cell r="A108" t="str">
            <v>Transfer of Equipment Components, assemblies &amp; sub assemblies</v>
          </cell>
        </row>
        <row r="109">
          <cell r="A109" t="str">
            <v>Material Handling Equipment (mHE) and Weight Handling Equipment (WHE) Operation Support Services</v>
          </cell>
        </row>
        <row r="110">
          <cell r="A110" t="str">
            <v>Towing Services</v>
          </cell>
        </row>
        <row r="111">
          <cell r="A111" t="str">
            <v>Tire Repair and Replacement Services</v>
          </cell>
        </row>
        <row r="112">
          <cell r="A112" t="str">
            <v>Driver Testing/ and Licensing</v>
          </cell>
        </row>
        <row r="113">
          <cell r="A113" t="str">
            <v>Base Shuttle Bus Service</v>
          </cell>
        </row>
        <row r="114">
          <cell r="A114" t="str">
            <v>Certification of WHE and MHE</v>
          </cell>
        </row>
        <row r="115">
          <cell r="A115" t="str">
            <v>CESE Preventive Maintenance, ALPHA Code A</v>
          </cell>
        </row>
        <row r="116">
          <cell r="A116" t="str">
            <v>CESE Preventive Maintenance, ALPHA Code G</v>
          </cell>
        </row>
        <row r="117">
          <cell r="A117" t="str">
            <v>CESE at Vieques Preventive Maintenance, ALPHA Code G</v>
          </cell>
        </row>
        <row r="118">
          <cell r="A118" t="str">
            <v>CESE Preventive Maintenance, ALPHA Code H</v>
          </cell>
        </row>
        <row r="119">
          <cell r="A119" t="str">
            <v>CESE at Vieques Preventive Maintenance, ALPHA Code H</v>
          </cell>
        </row>
        <row r="120">
          <cell r="A120" t="str">
            <v>CESE Preventive Maintenance, ALPHA Code I</v>
          </cell>
        </row>
        <row r="121">
          <cell r="A121" t="str">
            <v>CESE at Vieques Preventive Maintenance, ALPHA Code I</v>
          </cell>
        </row>
        <row r="122">
          <cell r="A122" t="str">
            <v>CESE Preventive Maintenance, ALPHA Code M</v>
          </cell>
        </row>
        <row r="123">
          <cell r="A123" t="str">
            <v>CESE at Vieques Preventive Maintenance, ALPHA Code M</v>
          </cell>
        </row>
        <row r="124">
          <cell r="A124" t="str">
            <v>CESE Preventive Maintenance, ALPHA Code O</v>
          </cell>
        </row>
        <row r="125">
          <cell r="A125" t="str">
            <v>CESE at Vieques Preventive Maintenance, ALPHA Code O</v>
          </cell>
        </row>
        <row r="126">
          <cell r="A126" t="str">
            <v>CESE Preventive Maintenance, ALPHA Code P</v>
          </cell>
        </row>
        <row r="127">
          <cell r="A127" t="str">
            <v>CESE Preventive Maintenance, ALPHA Code Q</v>
          </cell>
        </row>
        <row r="128">
          <cell r="A128" t="str">
            <v>CESE Preventive Maintenance, ALPHA Code R</v>
          </cell>
        </row>
        <row r="129">
          <cell r="A129" t="str">
            <v>CESE at Vieques Preventive Maintenance, ALPHA Code R</v>
          </cell>
        </row>
        <row r="130">
          <cell r="A130" t="str">
            <v>CESE Preventive Maintenance, ALPHA Code S</v>
          </cell>
        </row>
        <row r="131">
          <cell r="A131" t="str">
            <v>CESE at Vieques Preventive Maintenance, ALPHA Code S</v>
          </cell>
        </row>
        <row r="132">
          <cell r="A132" t="str">
            <v>CESE Preventive Maintenance, ALPHA Code U</v>
          </cell>
        </row>
        <row r="133">
          <cell r="A133" t="str">
            <v>CESE at Vieques Preventive Maintenance, ALPHA Code U</v>
          </cell>
        </row>
        <row r="134">
          <cell r="A134" t="str">
            <v>CESE Preventive Maintenance, ALPHA Code X</v>
          </cell>
        </row>
        <row r="135">
          <cell r="A135" t="str">
            <v>CESE Preventive Maintenance, ALPHA Code Y</v>
          </cell>
        </row>
        <row r="137">
          <cell r="A137" t="str">
            <v>C.18 ENVIRONMENTAL</v>
          </cell>
        </row>
        <row r="138">
          <cell r="A138" t="str">
            <v>Monitoring of Hazardous Wastes, Accumulation Sites and Permit Facilities</v>
          </cell>
        </row>
        <row r="139">
          <cell r="A139" t="str">
            <v>Sampling and Laboratory Analyses</v>
          </cell>
        </row>
        <row r="140">
          <cell r="A140" t="str">
            <v>Management of Hazardous Wastes</v>
          </cell>
        </row>
        <row r="141">
          <cell r="A141" t="str">
            <v>Monitoring Underground Storage Tanks (UST)</v>
          </cell>
        </row>
        <row r="142">
          <cell r="A142" t="str">
            <v>Monitoring Aboveground Storage Tanks (AST)</v>
          </cell>
        </row>
        <row r="143">
          <cell r="A143" t="str">
            <v xml:space="preserve">Operation of Less Than 90 Day Storage Facility </v>
          </cell>
        </row>
        <row r="145">
          <cell r="A145" t="str">
            <v>C.19 SWIMMING POOLS</v>
          </cell>
        </row>
        <row r="146">
          <cell r="A146" t="str">
            <v>Maintain Water Quality</v>
          </cell>
        </row>
        <row r="147">
          <cell r="A147" t="str">
            <v>Maintenance and Repair</v>
          </cell>
        </row>
        <row r="149">
          <cell r="A149" t="str">
            <v xml:space="preserve">C.20 GROUNDS MAINTENANCE </v>
          </cell>
        </row>
        <row r="150">
          <cell r="A150" t="str">
            <v>Type "A" Grass Cutting</v>
          </cell>
        </row>
        <row r="151">
          <cell r="A151" t="str">
            <v>Type "B" Grass Cutting</v>
          </cell>
        </row>
        <row r="152">
          <cell r="A152" t="str">
            <v>Type "C" Grass Cutting</v>
          </cell>
        </row>
        <row r="153">
          <cell r="A153" t="str">
            <v>Type "D" Grass Cutting</v>
          </cell>
        </row>
        <row r="154">
          <cell r="A154" t="str">
            <v>Roadside and Utility Line Right-of-Way-sides, Tree and Shrub Trim</v>
          </cell>
        </row>
        <row r="155">
          <cell r="A155" t="str">
            <v>Fence Line Maintenance</v>
          </cell>
        </row>
        <row r="156">
          <cell r="A156" t="str">
            <v>Special Area Grounds Maintenance</v>
          </cell>
        </row>
        <row r="157">
          <cell r="A157" t="str">
            <v>Special Area Cultivation and Gravel</v>
          </cell>
        </row>
        <row r="158">
          <cell r="A158" t="str">
            <v>Vacant Quarters Maintenance</v>
          </cell>
        </row>
        <row r="159">
          <cell r="A159" t="str">
            <v>Family Housing Palm Tree Pruning</v>
          </cell>
        </row>
        <row r="160">
          <cell r="A160" t="str">
            <v>Storm Drainage Ditch Maintenance</v>
          </cell>
        </row>
        <row r="161">
          <cell r="A161" t="str">
            <v>Grass Cutting in Common Areas in Housing</v>
          </cell>
        </row>
        <row r="163">
          <cell r="A163" t="str">
            <v xml:space="preserve">C.21 CUSTODIAL </v>
          </cell>
        </row>
        <row r="164">
          <cell r="A164" t="str">
            <v>Provide Naval Station Class A Service</v>
          </cell>
        </row>
        <row r="165">
          <cell r="A165" t="str">
            <v>Provide Naval Station Class B Service</v>
          </cell>
        </row>
        <row r="166">
          <cell r="A166" t="str">
            <v>Provide Naval Station Class C Service</v>
          </cell>
        </row>
        <row r="167">
          <cell r="A167" t="str">
            <v>Provide Naval Station Class D Service</v>
          </cell>
        </row>
        <row r="168">
          <cell r="A168" t="str">
            <v>Provide Naval Station Class E Service</v>
          </cell>
        </row>
        <row r="169">
          <cell r="A169" t="str">
            <v>Provide Reimbursable Class AR Service</v>
          </cell>
        </row>
        <row r="170">
          <cell r="A170" t="str">
            <v>Provide Reimbursable Class BR Service</v>
          </cell>
        </row>
        <row r="171">
          <cell r="A171" t="str">
            <v>Provide Reimbursable Class CR Service</v>
          </cell>
        </row>
        <row r="172">
          <cell r="A172" t="str">
            <v>Provide Reimbursable Class DR Service</v>
          </cell>
        </row>
        <row r="173">
          <cell r="A173" t="str">
            <v>Provide Reimbursable Class ER Service</v>
          </cell>
        </row>
        <row r="174">
          <cell r="A174" t="str">
            <v>Provide Recyclabe Materials Pick -Up Service</v>
          </cell>
        </row>
        <row r="176">
          <cell r="A176" t="str">
            <v>C.22 REFUSE COLLECTION, DISPOSAL, AND LANDFILL OPERATION</v>
          </cell>
        </row>
        <row r="177">
          <cell r="A177" t="str">
            <v>Base &amp; Tenant Activities Type II Collection and Type I Containers for Pico del Este</v>
          </cell>
        </row>
        <row r="178">
          <cell r="A178" t="str">
            <v>Family Housing Collection</v>
          </cell>
        </row>
        <row r="179">
          <cell r="A179" t="str">
            <v>FDR Daily Policing</v>
          </cell>
        </row>
        <row r="180">
          <cell r="A180" t="str">
            <v>Refuse Collection at  Housing Playground Areas</v>
          </cell>
        </row>
        <row r="181">
          <cell r="A181" t="str">
            <v>Operation Solid Waste Sanitary Landfill</v>
          </cell>
        </row>
        <row r="183">
          <cell r="A183" t="str">
            <v>C.23 US NAVAL STATION HOSPITAL</v>
          </cell>
        </row>
        <row r="184">
          <cell r="A184" t="str">
            <v>Maintenance and Repair of the Emergency Generator Transfer Switch, Installed Emergency Generators Sets and the Power Supply Systems</v>
          </cell>
        </row>
        <row r="185">
          <cell r="A185" t="str">
            <v>Maintenance and Repair of the Medical Gas System</v>
          </cell>
        </row>
        <row r="186">
          <cell r="A186" t="str">
            <v>Maintenance and Repair of the Elevators</v>
          </cell>
        </row>
        <row r="187">
          <cell r="A187" t="str">
            <v>Maintenance and Repair of the of the A/C Chillers, Air Handlers, Split A/C Systems, Exhaust Fans, Air Make Up and Related Systems</v>
          </cell>
        </row>
        <row r="188">
          <cell r="A188" t="str">
            <v>Maintenance and Repair of Boilers, Water Heaters and Related Systems</v>
          </cell>
        </row>
        <row r="189">
          <cell r="A189" t="str">
            <v>Maintenance and Repair of the Walk-Inn Freezers, Walk-Inn Coolers and Morgue Cooler</v>
          </cell>
        </row>
        <row r="190">
          <cell r="A190" t="str">
            <v>Maintenance and Repair of the Electric Doors</v>
          </cell>
        </row>
        <row r="191">
          <cell r="A191" t="str">
            <v>Maintenance and Repair of the Dishwasher and Pot Washer</v>
          </cell>
        </row>
        <row r="192">
          <cell r="A192" t="str">
            <v>Maintenance and Repair of the Transmitter</v>
          </cell>
        </row>
        <row r="193">
          <cell r="A193" t="str">
            <v>Annual Elevator Certification</v>
          </cell>
        </row>
        <row r="194">
          <cell r="A194" t="str">
            <v>Annual Boiler Inspection and Certification</v>
          </cell>
        </row>
        <row r="195">
          <cell r="A195" t="str">
            <v>Hydrostatic Preassure and Operational Test</v>
          </cell>
        </row>
        <row r="196">
          <cell r="A196" t="str">
            <v>Hospital Mechanical Room and Systems Operation</v>
          </cell>
        </row>
        <row r="198">
          <cell r="A198" t="str">
            <v>C.24 SABANA SECA  SERVICES</v>
          </cell>
        </row>
        <row r="199">
          <cell r="A199" t="str">
            <v>Change of Occupancy Maintenance</v>
          </cell>
        </row>
        <row r="200">
          <cell r="A200" t="str">
            <v>Loaner Furniture Program</v>
          </cell>
        </row>
        <row r="201">
          <cell r="A201" t="str">
            <v>Pest Control Services</v>
          </cell>
        </row>
        <row r="202">
          <cell r="A202" t="str">
            <v>Appliance Pool and Replacement</v>
          </cell>
        </row>
        <row r="203">
          <cell r="A203" t="str">
            <v>Palm Tree Pruning</v>
          </cell>
        </row>
        <row r="204">
          <cell r="A204" t="str">
            <v>Lawn Maintenace</v>
          </cell>
        </row>
        <row r="205">
          <cell r="A205" t="str">
            <v>Office Custodial Services</v>
          </cell>
        </row>
        <row r="206">
          <cell r="A206" t="str">
            <v>Playground Equipment</v>
          </cell>
        </row>
        <row r="207">
          <cell r="A207" t="str">
            <v>A/C Filter Changes</v>
          </cell>
        </row>
        <row r="208">
          <cell r="A208" t="str">
            <v>A/C Preventive Maintenance</v>
          </cell>
        </row>
        <row r="209">
          <cell r="A209" t="str">
            <v>Inspection, Testing and Maintenace of Automatic Wet Type Sprinkler Systems</v>
          </cell>
        </row>
        <row r="210">
          <cell r="A210" t="str">
            <v>Inspection, Testing and Maintenace of Fire Alarms and Radio Transmitter Systems</v>
          </cell>
        </row>
        <row r="211">
          <cell r="A211" t="str">
            <v>Inspection, Testing and Maintenace of Fire Hydrants</v>
          </cell>
        </row>
        <row r="212">
          <cell r="A212" t="str">
            <v>Inspection, Testing and Maintenace of Post Indicatior Valves</v>
          </cell>
        </row>
        <row r="213">
          <cell r="A213" t="str">
            <v>Inspection, Testing and Maintenace of Security Alarm Systems</v>
          </cell>
        </row>
        <row r="215">
          <cell r="A215" t="str">
            <v>C.25</v>
          </cell>
        </row>
        <row r="216">
          <cell r="A216" t="str">
            <v>Vieques Services</v>
          </cell>
        </row>
        <row r="218">
          <cell r="A218" t="str">
            <v>C.26 AIR TERMINAL AND GROUND HANDLING SERVICES</v>
          </cell>
        </row>
        <row r="219">
          <cell r="A219" t="str">
            <v>Provide Preventive Maintenance</v>
          </cell>
        </row>
        <row r="220">
          <cell r="A220" t="str">
            <v>Provide Air Terminal and Ground Handling Services</v>
          </cell>
        </row>
        <row r="221">
          <cell r="A221" t="str">
            <v>Provide Air Terminal Operations Center</v>
          </cell>
        </row>
        <row r="222">
          <cell r="A222" t="str">
            <v>Provide Air craft Handling</v>
          </cell>
        </row>
        <row r="223">
          <cell r="A223" t="str">
            <v>Provide Air Craft Services</v>
          </cell>
        </row>
        <row r="224">
          <cell r="A224" t="str">
            <v>Provide Airfield Spport Service</v>
          </cell>
        </row>
        <row r="225">
          <cell r="A225" t="str">
            <v>Provide Electronic Data Interchange, Records and Reports</v>
          </cell>
        </row>
        <row r="226">
          <cell r="A226" t="str">
            <v>Prime Knight</v>
          </cell>
        </row>
      </sheetData>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ANS PM"/>
      <sheetName val="safety_lighting"/>
      <sheetName val="fire_protection"/>
      <sheetName val="elevator"/>
      <sheetName val="HVAC FILTER CHANGE"/>
      <sheetName val="HVAC FOR PM"/>
    </sheetNames>
    <sheetDataSet>
      <sheetData sheetId="0">
        <row r="1">
          <cell r="A1" t="str">
            <v>PM-01</v>
          </cell>
          <cell r="B1" t="str">
            <v>Hydraulic Elevator</v>
          </cell>
          <cell r="D1">
            <v>10.307</v>
          </cell>
          <cell r="E1">
            <v>965</v>
          </cell>
        </row>
        <row r="4">
          <cell r="A4" t="str">
            <v>PM-02</v>
          </cell>
          <cell r="B4" t="str">
            <v>Fire Alarm Annunciator Systems</v>
          </cell>
          <cell r="D4">
            <v>8.0609999999999982</v>
          </cell>
          <cell r="E4">
            <v>100</v>
          </cell>
        </row>
        <row r="7">
          <cell r="A7" t="str">
            <v>PM-03</v>
          </cell>
          <cell r="B7" t="str">
            <v>Wet Pipe Exting. System</v>
          </cell>
          <cell r="D7">
            <v>12.988999999999999</v>
          </cell>
          <cell r="E7">
            <v>110</v>
          </cell>
        </row>
        <row r="10">
          <cell r="A10" t="str">
            <v>PM-04</v>
          </cell>
          <cell r="B10" t="str">
            <v>Dry Pipe System</v>
          </cell>
          <cell r="D10">
            <v>16.991000000000003</v>
          </cell>
          <cell r="E10">
            <v>140</v>
          </cell>
        </row>
        <row r="13">
          <cell r="A13" t="str">
            <v>PM-05</v>
          </cell>
          <cell r="B13" t="str">
            <v>Gate Valve</v>
          </cell>
          <cell r="D13">
            <v>0.16</v>
          </cell>
          <cell r="E13">
            <v>5</v>
          </cell>
        </row>
        <row r="16">
          <cell r="A16" t="str">
            <v>PM-06</v>
          </cell>
          <cell r="B16" t="str">
            <v>Package Unit, Air Cooled</v>
          </cell>
          <cell r="D16">
            <v>2.1579999999999999</v>
          </cell>
          <cell r="E16">
            <v>50</v>
          </cell>
        </row>
        <row r="19">
          <cell r="A19" t="str">
            <v>PM-07</v>
          </cell>
          <cell r="B19" t="str">
            <v>Condensing Unit Air Cooled</v>
          </cell>
          <cell r="D19">
            <v>3.5840000000000005</v>
          </cell>
          <cell r="E19">
            <v>60</v>
          </cell>
        </row>
        <row r="22">
          <cell r="A22" t="str">
            <v>PM-08</v>
          </cell>
          <cell r="B22" t="str">
            <v>Air Handling Unit over 50</v>
          </cell>
          <cell r="D22">
            <v>4.0130000000000008</v>
          </cell>
          <cell r="E22">
            <v>67</v>
          </cell>
        </row>
        <row r="25">
          <cell r="A25" t="str">
            <v>PM-09</v>
          </cell>
          <cell r="B25" t="str">
            <v>Air Handling Unit</v>
          </cell>
          <cell r="D25">
            <v>2.7710000000000008</v>
          </cell>
          <cell r="E25">
            <v>67</v>
          </cell>
        </row>
        <row r="28">
          <cell r="A28" t="str">
            <v>PM-10</v>
          </cell>
          <cell r="B28" t="str">
            <v>Dry filter</v>
          </cell>
          <cell r="D28">
            <v>0.32800000000000001</v>
          </cell>
          <cell r="E28">
            <v>8.25</v>
          </cell>
        </row>
        <row r="30">
          <cell r="A30" t="str">
            <v>Exit Light</v>
          </cell>
          <cell r="D30">
            <v>8.6999999999999994E-2</v>
          </cell>
          <cell r="E30">
            <v>5.25</v>
          </cell>
        </row>
        <row r="32">
          <cell r="A32" t="str">
            <v>Emergency Light</v>
          </cell>
          <cell r="D32">
            <v>0.39600000000000002</v>
          </cell>
          <cell r="E32">
            <v>21</v>
          </cell>
        </row>
        <row r="35">
          <cell r="A35" t="str">
            <v>SUMMARY:</v>
          </cell>
        </row>
        <row r="37">
          <cell r="A37" t="str">
            <v>Safety Lighting:</v>
          </cell>
          <cell r="D37">
            <v>70.083000000000283</v>
          </cell>
          <cell r="E37">
            <v>3806.25</v>
          </cell>
        </row>
        <row r="39">
          <cell r="A39" t="str">
            <v>Fire Protection:</v>
          </cell>
          <cell r="D39">
            <v>214.387</v>
          </cell>
          <cell r="E39">
            <v>2235</v>
          </cell>
        </row>
        <row r="41">
          <cell r="A41" t="str">
            <v>Elevator:</v>
          </cell>
          <cell r="D41">
            <v>30.920999999999999</v>
          </cell>
          <cell r="E41">
            <v>2895</v>
          </cell>
        </row>
        <row r="43">
          <cell r="A43" t="str">
            <v>HVAC Filters:</v>
          </cell>
          <cell r="D43">
            <v>71.504000000000062</v>
          </cell>
          <cell r="E43">
            <v>1798.5</v>
          </cell>
        </row>
        <row r="45">
          <cell r="A45" t="str">
            <v>HVAC PM:</v>
          </cell>
          <cell r="D45">
            <v>310.39000000000044</v>
          </cell>
          <cell r="E45">
            <v>6266</v>
          </cell>
        </row>
        <row r="47">
          <cell r="A47" t="str">
            <v>TOTAL:</v>
          </cell>
          <cell r="D47">
            <v>697.28500000000076</v>
          </cell>
          <cell r="E47">
            <v>17000.75</v>
          </cell>
        </row>
        <row r="49">
          <cell r="D49">
            <v>0.36776635021097087</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4D48B-85C8-4D65-B1C6-01467B294C11}">
  <sheetPr>
    <tabColor rgb="FFFFFFCC"/>
  </sheetPr>
  <dimension ref="A1:XFB471"/>
  <sheetViews>
    <sheetView tabSelected="1" zoomScaleNormal="100" zoomScaleSheetLayoutView="100" workbookViewId="0">
      <selection activeCell="A11" sqref="A11"/>
    </sheetView>
  </sheetViews>
  <sheetFormatPr defaultColWidth="9.05859375" defaultRowHeight="12.6" x14ac:dyDescent="0.45"/>
  <cols>
    <col min="1" max="1" width="13" style="1" customWidth="1"/>
    <col min="2" max="3" width="9.8203125" style="105" customWidth="1"/>
    <col min="4" max="4" width="49.5859375" style="140" customWidth="1"/>
    <col min="5" max="6" width="9.5859375" style="105" customWidth="1"/>
    <col min="7" max="7" width="13.5859375" style="141" customWidth="1"/>
    <col min="8" max="8" width="17.5859375" style="141" customWidth="1"/>
    <col min="9" max="108" width="8.8203125" style="1" customWidth="1"/>
    <col min="109" max="16384" width="9.05859375" style="1"/>
  </cols>
  <sheetData>
    <row r="1" spans="1:16382" x14ac:dyDescent="0.45">
      <c r="A1" s="390" t="s">
        <v>4992</v>
      </c>
      <c r="B1" s="390"/>
      <c r="C1" s="390"/>
      <c r="D1" s="390"/>
      <c r="E1" s="390"/>
      <c r="F1" s="390"/>
      <c r="G1" s="390"/>
      <c r="H1" s="390"/>
      <c r="I1" s="392"/>
      <c r="J1" s="392"/>
      <c r="K1" s="392"/>
      <c r="L1" s="392"/>
      <c r="M1" s="392"/>
      <c r="N1" s="392"/>
    </row>
    <row r="2" spans="1:16382" x14ac:dyDescent="0.45">
      <c r="A2" s="390" t="s">
        <v>0</v>
      </c>
      <c r="B2" s="390"/>
      <c r="C2" s="390"/>
      <c r="D2" s="390"/>
      <c r="E2" s="390"/>
      <c r="F2" s="390"/>
      <c r="G2" s="390"/>
      <c r="H2" s="390"/>
      <c r="I2" s="392"/>
      <c r="J2" s="392"/>
      <c r="K2" s="392"/>
      <c r="L2" s="392"/>
      <c r="M2" s="392"/>
      <c r="N2" s="392"/>
    </row>
    <row r="3" spans="1:16382" x14ac:dyDescent="0.45">
      <c r="A3" s="390" t="s">
        <v>4991</v>
      </c>
      <c r="B3" s="390"/>
      <c r="C3" s="390"/>
      <c r="D3" s="390"/>
      <c r="E3" s="390"/>
      <c r="F3" s="390"/>
      <c r="G3" s="390"/>
      <c r="H3" s="390"/>
      <c r="I3" s="392"/>
      <c r="J3" s="392"/>
      <c r="K3" s="392"/>
      <c r="L3" s="392"/>
      <c r="M3" s="392"/>
      <c r="N3" s="392"/>
    </row>
    <row r="4" spans="1:16382" x14ac:dyDescent="0.45">
      <c r="A4" s="390"/>
      <c r="B4" s="390"/>
      <c r="C4" s="390"/>
      <c r="D4" s="391"/>
      <c r="E4" s="391"/>
      <c r="F4" s="391"/>
      <c r="G4" s="391"/>
      <c r="H4" s="391"/>
    </row>
    <row r="5" spans="1:16382" x14ac:dyDescent="0.45">
      <c r="A5" s="390" t="s">
        <v>1</v>
      </c>
      <c r="B5" s="390"/>
      <c r="C5" s="390"/>
      <c r="D5" s="390"/>
      <c r="E5" s="390"/>
      <c r="F5" s="390"/>
      <c r="G5" s="390"/>
      <c r="H5" s="390"/>
      <c r="I5" s="390"/>
      <c r="J5" s="390"/>
      <c r="K5" s="390"/>
      <c r="L5" s="390"/>
      <c r="M5" s="390"/>
      <c r="N5" s="390"/>
      <c r="O5" s="390"/>
      <c r="P5" s="390"/>
      <c r="Q5" s="390"/>
      <c r="R5" s="390"/>
      <c r="S5" s="390"/>
      <c r="T5" s="390"/>
      <c r="U5" s="390"/>
      <c r="V5" s="390"/>
      <c r="W5" s="390"/>
      <c r="X5" s="390"/>
      <c r="Y5" s="390"/>
      <c r="Z5" s="390"/>
      <c r="AA5" s="390"/>
      <c r="AB5" s="390"/>
      <c r="AC5" s="390"/>
      <c r="AD5" s="390"/>
      <c r="AE5" s="390"/>
      <c r="AF5" s="390"/>
      <c r="AG5" s="390"/>
      <c r="AH5" s="390"/>
      <c r="AI5" s="390"/>
      <c r="AJ5" s="390"/>
      <c r="AK5" s="390"/>
      <c r="AL5" s="390"/>
      <c r="AM5" s="390"/>
      <c r="AN5" s="390"/>
      <c r="AO5" s="390"/>
      <c r="AP5" s="390"/>
      <c r="AQ5" s="390"/>
      <c r="AR5" s="390"/>
      <c r="AS5" s="390"/>
      <c r="AT5" s="390"/>
      <c r="AU5" s="390"/>
      <c r="AV5" s="390"/>
      <c r="AW5" s="390"/>
      <c r="AX5" s="390"/>
      <c r="AY5" s="390"/>
      <c r="AZ5" s="390"/>
      <c r="BA5" s="390"/>
      <c r="BB5" s="390"/>
      <c r="BC5" s="390"/>
      <c r="BD5" s="390"/>
      <c r="BE5" s="390"/>
      <c r="BF5" s="390"/>
      <c r="BG5" s="390"/>
      <c r="BH5" s="390"/>
      <c r="BI5" s="390"/>
      <c r="BJ5" s="390"/>
      <c r="BK5" s="390"/>
      <c r="BL5" s="390"/>
      <c r="BM5" s="390"/>
      <c r="BN5" s="390"/>
      <c r="BO5" s="390"/>
      <c r="BP5" s="390"/>
      <c r="BQ5" s="390"/>
      <c r="BR5" s="390"/>
      <c r="BS5" s="390"/>
      <c r="BT5" s="390"/>
      <c r="BU5" s="390"/>
      <c r="BV5" s="390"/>
      <c r="BW5" s="390"/>
      <c r="BX5" s="390"/>
      <c r="BY5" s="390"/>
      <c r="BZ5" s="390"/>
      <c r="CA5" s="390"/>
      <c r="CB5" s="390"/>
      <c r="CC5" s="390"/>
      <c r="CD5" s="390"/>
      <c r="CE5" s="390"/>
      <c r="CF5" s="390"/>
      <c r="CG5" s="390"/>
      <c r="CH5" s="390"/>
      <c r="CI5" s="390"/>
      <c r="CJ5" s="390"/>
      <c r="CK5" s="390"/>
      <c r="CL5" s="390"/>
      <c r="CM5" s="390"/>
      <c r="CN5" s="390"/>
      <c r="CO5" s="390"/>
      <c r="CP5" s="390"/>
      <c r="CQ5" s="390"/>
      <c r="CR5" s="390"/>
      <c r="CS5" s="390"/>
      <c r="CT5" s="390"/>
      <c r="CU5" s="390"/>
      <c r="CV5" s="390"/>
      <c r="CW5" s="390"/>
      <c r="CX5" s="390"/>
      <c r="CY5" s="390"/>
      <c r="CZ5" s="390"/>
      <c r="DA5" s="390"/>
      <c r="DB5" s="390"/>
      <c r="DC5" s="390"/>
      <c r="DD5" s="390"/>
      <c r="DE5" s="390"/>
      <c r="DF5" s="390"/>
      <c r="DG5" s="390"/>
      <c r="DH5" s="390"/>
      <c r="DI5" s="390"/>
      <c r="DJ5" s="390"/>
      <c r="DK5" s="390"/>
      <c r="DL5" s="390"/>
      <c r="DM5" s="390"/>
      <c r="DN5" s="390"/>
      <c r="DO5" s="390"/>
      <c r="DP5" s="390"/>
      <c r="DQ5" s="390"/>
      <c r="DR5" s="390"/>
      <c r="DS5" s="390"/>
      <c r="DT5" s="390"/>
      <c r="DU5" s="390"/>
      <c r="DV5" s="390"/>
      <c r="DW5" s="390"/>
      <c r="DX5" s="390"/>
      <c r="DY5" s="390"/>
      <c r="DZ5" s="390"/>
      <c r="EA5" s="390"/>
      <c r="EB5" s="390"/>
      <c r="EC5" s="390"/>
      <c r="ED5" s="390"/>
      <c r="EE5" s="390"/>
      <c r="EF5" s="390"/>
      <c r="EG5" s="390"/>
      <c r="EH5" s="390"/>
      <c r="EI5" s="390"/>
      <c r="EJ5" s="390"/>
      <c r="EK5" s="390"/>
      <c r="EL5" s="390"/>
      <c r="EM5" s="390"/>
      <c r="EN5" s="390"/>
      <c r="EO5" s="390"/>
      <c r="EP5" s="390"/>
      <c r="EQ5" s="390"/>
      <c r="ER5" s="390"/>
      <c r="ES5" s="390"/>
      <c r="ET5" s="390"/>
      <c r="EU5" s="390"/>
      <c r="EV5" s="390"/>
      <c r="EW5" s="390"/>
      <c r="EX5" s="390"/>
      <c r="EY5" s="390"/>
      <c r="EZ5" s="390"/>
      <c r="FA5" s="390"/>
      <c r="FB5" s="390"/>
      <c r="FC5" s="390"/>
      <c r="FD5" s="390"/>
      <c r="FE5" s="390"/>
      <c r="FF5" s="390"/>
      <c r="FG5" s="390"/>
      <c r="FH5" s="390"/>
      <c r="FI5" s="390"/>
      <c r="FJ5" s="390"/>
      <c r="FK5" s="390"/>
      <c r="FL5" s="390"/>
      <c r="FM5" s="390"/>
      <c r="FN5" s="390"/>
      <c r="FO5" s="390"/>
      <c r="FP5" s="390"/>
      <c r="FQ5" s="390"/>
      <c r="FR5" s="390"/>
      <c r="FS5" s="390"/>
      <c r="FT5" s="390"/>
      <c r="FU5" s="390"/>
      <c r="FV5" s="390"/>
      <c r="FW5" s="390"/>
      <c r="FX5" s="390"/>
      <c r="FY5" s="390"/>
      <c r="FZ5" s="390"/>
      <c r="GA5" s="390"/>
      <c r="GB5" s="390"/>
      <c r="GC5" s="390"/>
      <c r="GD5" s="390"/>
      <c r="GE5" s="390"/>
      <c r="GF5" s="390"/>
      <c r="GG5" s="390"/>
      <c r="GH5" s="390"/>
      <c r="GI5" s="390"/>
      <c r="GJ5" s="390"/>
      <c r="GK5" s="390"/>
      <c r="GL5" s="390"/>
      <c r="GM5" s="390"/>
      <c r="GN5" s="390"/>
      <c r="GO5" s="390"/>
      <c r="GP5" s="390"/>
      <c r="GQ5" s="390"/>
      <c r="GR5" s="390"/>
      <c r="GS5" s="390"/>
      <c r="GT5" s="390"/>
      <c r="GU5" s="390"/>
      <c r="GV5" s="390"/>
      <c r="GW5" s="390"/>
      <c r="GX5" s="390"/>
      <c r="GY5" s="390"/>
      <c r="GZ5" s="390"/>
      <c r="HA5" s="390"/>
      <c r="HB5" s="390"/>
      <c r="HC5" s="390"/>
      <c r="HD5" s="390"/>
      <c r="HE5" s="390"/>
      <c r="HF5" s="390"/>
      <c r="HG5" s="390"/>
      <c r="HH5" s="390"/>
      <c r="HI5" s="390"/>
      <c r="HJ5" s="390"/>
      <c r="HK5" s="390"/>
      <c r="HL5" s="390"/>
      <c r="HM5" s="390"/>
      <c r="HN5" s="390"/>
      <c r="HO5" s="390"/>
      <c r="HP5" s="390"/>
      <c r="HQ5" s="390"/>
      <c r="HR5" s="390"/>
      <c r="HS5" s="390"/>
      <c r="HT5" s="390"/>
      <c r="HU5" s="390"/>
      <c r="HV5" s="390"/>
      <c r="HW5" s="390"/>
      <c r="HX5" s="390"/>
      <c r="HY5" s="390"/>
      <c r="HZ5" s="390"/>
      <c r="IA5" s="390"/>
      <c r="IB5" s="390"/>
      <c r="IC5" s="390"/>
      <c r="ID5" s="390"/>
      <c r="IE5" s="390"/>
      <c r="IF5" s="390"/>
      <c r="IG5" s="390"/>
      <c r="IH5" s="390"/>
      <c r="II5" s="390"/>
      <c r="IJ5" s="390"/>
      <c r="IK5" s="390"/>
      <c r="IL5" s="390"/>
      <c r="IM5" s="390"/>
      <c r="IN5" s="390"/>
      <c r="IO5" s="390"/>
      <c r="IP5" s="390"/>
      <c r="IQ5" s="390"/>
      <c r="IR5" s="390"/>
      <c r="IS5" s="390"/>
      <c r="IT5" s="390"/>
      <c r="IU5" s="390"/>
      <c r="IV5" s="390"/>
      <c r="IW5" s="390"/>
      <c r="IX5" s="390"/>
      <c r="IY5" s="390"/>
      <c r="IZ5" s="390"/>
      <c r="JA5" s="390"/>
      <c r="JB5" s="390"/>
      <c r="JC5" s="390"/>
      <c r="JD5" s="390"/>
      <c r="JE5" s="390"/>
      <c r="JF5" s="390"/>
      <c r="JG5" s="390"/>
      <c r="JH5" s="390"/>
      <c r="JI5" s="390"/>
      <c r="JJ5" s="390"/>
      <c r="JK5" s="390"/>
      <c r="JL5" s="390"/>
      <c r="JM5" s="390"/>
      <c r="JN5" s="390"/>
      <c r="JO5" s="390"/>
      <c r="JP5" s="390"/>
      <c r="JQ5" s="390"/>
      <c r="JR5" s="390"/>
      <c r="JS5" s="390"/>
      <c r="JT5" s="390"/>
      <c r="JU5" s="390"/>
      <c r="JV5" s="390"/>
      <c r="JW5" s="390"/>
      <c r="JX5" s="390"/>
      <c r="JY5" s="390"/>
      <c r="JZ5" s="390"/>
      <c r="KA5" s="390"/>
      <c r="KB5" s="390"/>
      <c r="KC5" s="390"/>
      <c r="KD5" s="390"/>
      <c r="KE5" s="390"/>
      <c r="KF5" s="390"/>
      <c r="KG5" s="390"/>
      <c r="KH5" s="390"/>
      <c r="KI5" s="390"/>
      <c r="KJ5" s="390"/>
      <c r="KK5" s="390"/>
      <c r="KL5" s="390"/>
      <c r="KM5" s="390"/>
      <c r="KN5" s="390"/>
      <c r="KO5" s="390"/>
      <c r="KP5" s="390"/>
      <c r="KQ5" s="390"/>
      <c r="KR5" s="390"/>
      <c r="KS5" s="390"/>
      <c r="KT5" s="390"/>
      <c r="KU5" s="390"/>
      <c r="KV5" s="390"/>
      <c r="KW5" s="390"/>
      <c r="KX5" s="390"/>
      <c r="KY5" s="390"/>
      <c r="KZ5" s="390"/>
      <c r="LA5" s="390"/>
      <c r="LB5" s="390"/>
      <c r="LC5" s="390"/>
      <c r="LD5" s="390"/>
      <c r="LE5" s="390"/>
      <c r="LF5" s="390"/>
      <c r="LG5" s="390"/>
      <c r="LH5" s="390"/>
      <c r="LI5" s="390"/>
      <c r="LJ5" s="390"/>
      <c r="LK5" s="390"/>
      <c r="LL5" s="390"/>
      <c r="LM5" s="390"/>
      <c r="LN5" s="390"/>
      <c r="LO5" s="390"/>
      <c r="LP5" s="390"/>
      <c r="LQ5" s="390"/>
      <c r="LR5" s="390"/>
      <c r="LS5" s="390"/>
      <c r="LT5" s="390"/>
      <c r="LU5" s="390"/>
      <c r="LV5" s="390"/>
      <c r="LW5" s="390"/>
      <c r="LX5" s="390"/>
      <c r="LY5" s="390"/>
      <c r="LZ5" s="390"/>
      <c r="MA5" s="390"/>
      <c r="MB5" s="390"/>
      <c r="MC5" s="390"/>
      <c r="MD5" s="390"/>
      <c r="ME5" s="390"/>
      <c r="MF5" s="390"/>
      <c r="MG5" s="390"/>
      <c r="MH5" s="390"/>
      <c r="MI5" s="390"/>
      <c r="MJ5" s="390"/>
      <c r="MK5" s="390"/>
      <c r="ML5" s="390"/>
      <c r="MM5" s="390"/>
      <c r="MN5" s="390"/>
      <c r="MO5" s="390"/>
      <c r="MP5" s="390"/>
      <c r="MQ5" s="390"/>
      <c r="MR5" s="390"/>
      <c r="MS5" s="390"/>
      <c r="MT5" s="390"/>
      <c r="MU5" s="390"/>
      <c r="MV5" s="390"/>
      <c r="MW5" s="390"/>
      <c r="MX5" s="390"/>
      <c r="MY5" s="390"/>
      <c r="MZ5" s="390"/>
      <c r="NA5" s="390"/>
      <c r="NB5" s="390"/>
      <c r="NC5" s="390"/>
      <c r="ND5" s="390"/>
      <c r="NE5" s="390"/>
      <c r="NF5" s="390"/>
      <c r="NG5" s="390"/>
      <c r="NH5" s="390"/>
      <c r="NI5" s="390"/>
      <c r="NJ5" s="390"/>
      <c r="NK5" s="390"/>
      <c r="NL5" s="390"/>
      <c r="NM5" s="390"/>
      <c r="NN5" s="390"/>
      <c r="NO5" s="390"/>
      <c r="NP5" s="390"/>
      <c r="NQ5" s="390"/>
      <c r="NR5" s="390"/>
      <c r="NS5" s="390"/>
      <c r="NT5" s="390"/>
      <c r="NU5" s="390"/>
      <c r="NV5" s="390"/>
      <c r="NW5" s="390"/>
      <c r="NX5" s="390"/>
      <c r="NY5" s="390"/>
      <c r="NZ5" s="390"/>
      <c r="OA5" s="390"/>
      <c r="OB5" s="390"/>
      <c r="OC5" s="390"/>
      <c r="OD5" s="390"/>
      <c r="OE5" s="390"/>
      <c r="OF5" s="390"/>
      <c r="OG5" s="390"/>
      <c r="OH5" s="390"/>
      <c r="OI5" s="390"/>
      <c r="OJ5" s="390"/>
      <c r="OK5" s="390"/>
      <c r="OL5" s="390"/>
      <c r="OM5" s="390"/>
      <c r="ON5" s="390"/>
      <c r="OO5" s="390"/>
      <c r="OP5" s="390"/>
      <c r="OQ5" s="390"/>
      <c r="OR5" s="390"/>
      <c r="OS5" s="390"/>
      <c r="OT5" s="390"/>
      <c r="OU5" s="390"/>
      <c r="OV5" s="390"/>
      <c r="OW5" s="390"/>
      <c r="OX5" s="390"/>
      <c r="OY5" s="390"/>
      <c r="OZ5" s="390"/>
      <c r="PA5" s="390"/>
      <c r="PB5" s="390"/>
      <c r="PC5" s="390"/>
      <c r="PD5" s="390"/>
      <c r="PE5" s="390"/>
      <c r="PF5" s="390"/>
      <c r="PG5" s="390"/>
      <c r="PH5" s="390"/>
      <c r="PI5" s="390"/>
      <c r="PJ5" s="390"/>
      <c r="PK5" s="390"/>
      <c r="PL5" s="390"/>
      <c r="PM5" s="390"/>
      <c r="PN5" s="390"/>
      <c r="PO5" s="390"/>
      <c r="PP5" s="390"/>
      <c r="PQ5" s="390"/>
      <c r="PR5" s="390"/>
      <c r="PS5" s="390"/>
      <c r="PT5" s="390"/>
      <c r="PU5" s="390"/>
      <c r="PV5" s="390"/>
      <c r="PW5" s="390"/>
      <c r="PX5" s="390"/>
      <c r="PY5" s="390"/>
      <c r="PZ5" s="390"/>
      <c r="QA5" s="390"/>
      <c r="QB5" s="390"/>
      <c r="QC5" s="390"/>
      <c r="QD5" s="390"/>
      <c r="QE5" s="390"/>
      <c r="QF5" s="390"/>
      <c r="QG5" s="390"/>
      <c r="QH5" s="390"/>
      <c r="QI5" s="390"/>
      <c r="QJ5" s="390"/>
      <c r="QK5" s="390"/>
      <c r="QL5" s="390"/>
      <c r="QM5" s="390"/>
      <c r="QN5" s="390"/>
      <c r="QO5" s="390"/>
      <c r="QP5" s="390"/>
      <c r="QQ5" s="390"/>
      <c r="QR5" s="390"/>
      <c r="QS5" s="390"/>
      <c r="QT5" s="390"/>
      <c r="QU5" s="390"/>
      <c r="QV5" s="390"/>
      <c r="QW5" s="390"/>
      <c r="QX5" s="390"/>
      <c r="QY5" s="390"/>
      <c r="QZ5" s="390"/>
      <c r="RA5" s="390"/>
      <c r="RB5" s="390"/>
      <c r="RC5" s="390"/>
      <c r="RD5" s="390"/>
      <c r="RE5" s="390"/>
      <c r="RF5" s="390"/>
      <c r="RG5" s="390"/>
      <c r="RH5" s="390"/>
      <c r="RI5" s="390"/>
      <c r="RJ5" s="390"/>
      <c r="RK5" s="390"/>
      <c r="RL5" s="390"/>
      <c r="RM5" s="390"/>
      <c r="RN5" s="390"/>
      <c r="RO5" s="390"/>
      <c r="RP5" s="390"/>
      <c r="RQ5" s="390"/>
      <c r="RR5" s="390"/>
      <c r="RS5" s="390"/>
      <c r="RT5" s="390"/>
      <c r="RU5" s="390"/>
      <c r="RV5" s="390"/>
      <c r="RW5" s="390"/>
      <c r="RX5" s="390"/>
      <c r="RY5" s="390"/>
      <c r="RZ5" s="390"/>
      <c r="SA5" s="390"/>
      <c r="SB5" s="390"/>
      <c r="SC5" s="390"/>
      <c r="SD5" s="390"/>
      <c r="SE5" s="390"/>
      <c r="SF5" s="390"/>
      <c r="SG5" s="390"/>
      <c r="SH5" s="390"/>
      <c r="SI5" s="390"/>
      <c r="SJ5" s="390"/>
      <c r="SK5" s="390"/>
      <c r="SL5" s="390"/>
      <c r="SM5" s="390"/>
      <c r="SN5" s="390"/>
      <c r="SO5" s="390"/>
      <c r="SP5" s="390"/>
      <c r="SQ5" s="390"/>
      <c r="SR5" s="390"/>
      <c r="SS5" s="390"/>
      <c r="ST5" s="390"/>
      <c r="SU5" s="390"/>
      <c r="SV5" s="390"/>
      <c r="SW5" s="390"/>
      <c r="SX5" s="390"/>
      <c r="SY5" s="390"/>
      <c r="SZ5" s="390"/>
      <c r="TA5" s="390"/>
      <c r="TB5" s="390"/>
      <c r="TC5" s="390"/>
      <c r="TD5" s="390"/>
      <c r="TE5" s="390"/>
      <c r="TF5" s="390"/>
      <c r="TG5" s="390"/>
      <c r="TH5" s="390"/>
      <c r="TI5" s="390"/>
      <c r="TJ5" s="390"/>
      <c r="TK5" s="390"/>
      <c r="TL5" s="390"/>
      <c r="TM5" s="390"/>
      <c r="TN5" s="390"/>
      <c r="TO5" s="390"/>
      <c r="TP5" s="390"/>
      <c r="TQ5" s="390"/>
      <c r="TR5" s="390"/>
      <c r="TS5" s="390"/>
      <c r="TT5" s="390"/>
      <c r="TU5" s="390"/>
      <c r="TV5" s="390"/>
      <c r="TW5" s="390"/>
      <c r="TX5" s="390"/>
      <c r="TY5" s="390"/>
      <c r="TZ5" s="390"/>
      <c r="UA5" s="390"/>
      <c r="UB5" s="390"/>
      <c r="UC5" s="390"/>
      <c r="UD5" s="390"/>
      <c r="UE5" s="390"/>
      <c r="UF5" s="390"/>
      <c r="UG5" s="390"/>
      <c r="UH5" s="390"/>
      <c r="UI5" s="390"/>
      <c r="UJ5" s="390"/>
      <c r="UK5" s="390"/>
      <c r="UL5" s="390"/>
      <c r="UM5" s="390"/>
      <c r="UN5" s="390"/>
      <c r="UO5" s="390"/>
      <c r="UP5" s="390"/>
      <c r="UQ5" s="390"/>
      <c r="UR5" s="390"/>
      <c r="US5" s="390"/>
      <c r="UT5" s="390"/>
      <c r="UU5" s="390"/>
      <c r="UV5" s="390"/>
      <c r="UW5" s="390"/>
      <c r="UX5" s="390"/>
      <c r="UY5" s="390"/>
      <c r="UZ5" s="390"/>
      <c r="VA5" s="390"/>
      <c r="VB5" s="390"/>
      <c r="VC5" s="390"/>
      <c r="VD5" s="390"/>
      <c r="VE5" s="390"/>
      <c r="VF5" s="390"/>
      <c r="VG5" s="390"/>
      <c r="VH5" s="390"/>
      <c r="VI5" s="390"/>
      <c r="VJ5" s="390"/>
      <c r="VK5" s="390"/>
      <c r="VL5" s="390"/>
      <c r="VM5" s="390"/>
      <c r="VN5" s="390"/>
      <c r="VO5" s="390"/>
      <c r="VP5" s="390"/>
      <c r="VQ5" s="390"/>
      <c r="VR5" s="390"/>
      <c r="VS5" s="390"/>
      <c r="VT5" s="390"/>
      <c r="VU5" s="390"/>
      <c r="VV5" s="390"/>
      <c r="VW5" s="390"/>
      <c r="VX5" s="390"/>
      <c r="VY5" s="390"/>
      <c r="VZ5" s="390"/>
      <c r="WA5" s="390"/>
      <c r="WB5" s="390"/>
      <c r="WC5" s="390"/>
      <c r="WD5" s="390"/>
      <c r="WE5" s="390"/>
      <c r="WF5" s="390"/>
      <c r="WG5" s="390"/>
      <c r="WH5" s="390"/>
      <c r="WI5" s="390"/>
      <c r="WJ5" s="390"/>
      <c r="WK5" s="390"/>
      <c r="WL5" s="390"/>
      <c r="WM5" s="390"/>
      <c r="WN5" s="390"/>
      <c r="WO5" s="390"/>
      <c r="WP5" s="390"/>
      <c r="WQ5" s="390"/>
      <c r="WR5" s="390"/>
      <c r="WS5" s="390"/>
      <c r="WT5" s="390"/>
      <c r="WU5" s="390"/>
      <c r="WV5" s="390"/>
      <c r="WW5" s="390"/>
      <c r="WX5" s="390"/>
      <c r="WY5" s="390"/>
      <c r="WZ5" s="390"/>
      <c r="XA5" s="390"/>
      <c r="XB5" s="390"/>
      <c r="XC5" s="390"/>
      <c r="XD5" s="390"/>
      <c r="XE5" s="390"/>
      <c r="XF5" s="390"/>
      <c r="XG5" s="390"/>
      <c r="XH5" s="390"/>
      <c r="XI5" s="390"/>
      <c r="XJ5" s="390"/>
      <c r="XK5" s="390"/>
      <c r="XL5" s="390"/>
      <c r="XM5" s="390"/>
      <c r="XN5" s="390"/>
      <c r="XO5" s="390"/>
      <c r="XP5" s="390"/>
      <c r="XQ5" s="390"/>
      <c r="XR5" s="390"/>
      <c r="XS5" s="390"/>
      <c r="XT5" s="390"/>
      <c r="XU5" s="390"/>
      <c r="XV5" s="390"/>
      <c r="XW5" s="390"/>
      <c r="XX5" s="390"/>
      <c r="XY5" s="390"/>
      <c r="XZ5" s="390"/>
      <c r="YA5" s="390"/>
      <c r="YB5" s="390"/>
      <c r="YC5" s="390"/>
      <c r="YD5" s="390"/>
      <c r="YE5" s="390"/>
      <c r="YF5" s="390"/>
      <c r="YG5" s="390"/>
      <c r="YH5" s="390"/>
      <c r="YI5" s="390"/>
      <c r="YJ5" s="390"/>
      <c r="YK5" s="390"/>
      <c r="YL5" s="390"/>
      <c r="YM5" s="390"/>
      <c r="YN5" s="390"/>
      <c r="YO5" s="390"/>
      <c r="YP5" s="390"/>
      <c r="YQ5" s="390"/>
      <c r="YR5" s="390"/>
      <c r="YS5" s="390"/>
      <c r="YT5" s="390"/>
      <c r="YU5" s="390"/>
      <c r="YV5" s="390"/>
      <c r="YW5" s="390"/>
      <c r="YX5" s="390"/>
      <c r="YY5" s="390"/>
      <c r="YZ5" s="390"/>
      <c r="ZA5" s="390"/>
      <c r="ZB5" s="390"/>
      <c r="ZC5" s="390"/>
      <c r="ZD5" s="390"/>
      <c r="ZE5" s="390"/>
      <c r="ZF5" s="390"/>
      <c r="ZG5" s="390"/>
      <c r="ZH5" s="390"/>
      <c r="ZI5" s="390"/>
      <c r="ZJ5" s="390"/>
      <c r="ZK5" s="390"/>
      <c r="ZL5" s="390"/>
      <c r="ZM5" s="390"/>
      <c r="ZN5" s="390"/>
      <c r="ZO5" s="390"/>
      <c r="ZP5" s="390"/>
      <c r="ZQ5" s="390"/>
      <c r="ZR5" s="390"/>
      <c r="ZS5" s="390"/>
      <c r="ZT5" s="390"/>
      <c r="ZU5" s="390"/>
      <c r="ZV5" s="390"/>
      <c r="ZW5" s="390"/>
      <c r="ZX5" s="390"/>
      <c r="ZY5" s="390"/>
      <c r="ZZ5" s="390"/>
      <c r="AAA5" s="390"/>
      <c r="AAB5" s="390"/>
      <c r="AAC5" s="390"/>
      <c r="AAD5" s="390"/>
      <c r="AAE5" s="390"/>
      <c r="AAF5" s="390"/>
      <c r="AAG5" s="390"/>
      <c r="AAH5" s="390"/>
      <c r="AAI5" s="390"/>
      <c r="AAJ5" s="390"/>
      <c r="AAK5" s="390"/>
      <c r="AAL5" s="390"/>
      <c r="AAM5" s="390"/>
      <c r="AAN5" s="390"/>
      <c r="AAO5" s="390"/>
      <c r="AAP5" s="390"/>
      <c r="AAQ5" s="390"/>
      <c r="AAR5" s="390"/>
      <c r="AAS5" s="390"/>
      <c r="AAT5" s="390"/>
      <c r="AAU5" s="390"/>
      <c r="AAV5" s="390"/>
      <c r="AAW5" s="390"/>
      <c r="AAX5" s="390"/>
      <c r="AAY5" s="390"/>
      <c r="AAZ5" s="390"/>
      <c r="ABA5" s="390"/>
      <c r="ABB5" s="390"/>
      <c r="ABC5" s="390"/>
      <c r="ABD5" s="390"/>
      <c r="ABE5" s="390"/>
      <c r="ABF5" s="390"/>
      <c r="ABG5" s="390"/>
      <c r="ABH5" s="390"/>
      <c r="ABI5" s="390"/>
      <c r="ABJ5" s="390"/>
      <c r="ABK5" s="390"/>
      <c r="ABL5" s="390"/>
      <c r="ABM5" s="390"/>
      <c r="ABN5" s="390"/>
      <c r="ABO5" s="390"/>
      <c r="ABP5" s="390"/>
      <c r="ABQ5" s="390"/>
      <c r="ABR5" s="390"/>
      <c r="ABS5" s="390"/>
      <c r="ABT5" s="390"/>
      <c r="ABU5" s="390"/>
      <c r="ABV5" s="390"/>
      <c r="ABW5" s="390"/>
      <c r="ABX5" s="390"/>
      <c r="ABY5" s="390"/>
      <c r="ABZ5" s="390"/>
      <c r="ACA5" s="390"/>
      <c r="ACB5" s="390"/>
      <c r="ACC5" s="390"/>
      <c r="ACD5" s="390"/>
      <c r="ACE5" s="390"/>
      <c r="ACF5" s="390"/>
      <c r="ACG5" s="390"/>
      <c r="ACH5" s="390"/>
      <c r="ACI5" s="390"/>
      <c r="ACJ5" s="390"/>
      <c r="ACK5" s="390"/>
      <c r="ACL5" s="390"/>
      <c r="ACM5" s="390"/>
      <c r="ACN5" s="390"/>
      <c r="ACO5" s="390"/>
      <c r="ACP5" s="390"/>
      <c r="ACQ5" s="390"/>
      <c r="ACR5" s="390"/>
      <c r="ACS5" s="390"/>
      <c r="ACT5" s="390"/>
      <c r="ACU5" s="390"/>
      <c r="ACV5" s="390"/>
      <c r="ACW5" s="390"/>
      <c r="ACX5" s="390"/>
      <c r="ACY5" s="390"/>
      <c r="ACZ5" s="390"/>
      <c r="ADA5" s="390"/>
      <c r="ADB5" s="390"/>
      <c r="ADC5" s="390"/>
      <c r="ADD5" s="390"/>
      <c r="ADE5" s="390"/>
      <c r="ADF5" s="390"/>
      <c r="ADG5" s="390"/>
      <c r="ADH5" s="390"/>
      <c r="ADI5" s="390"/>
      <c r="ADJ5" s="390"/>
      <c r="ADK5" s="390"/>
      <c r="ADL5" s="390"/>
      <c r="ADM5" s="390"/>
      <c r="ADN5" s="390"/>
      <c r="ADO5" s="390"/>
      <c r="ADP5" s="390"/>
      <c r="ADQ5" s="390"/>
      <c r="ADR5" s="390"/>
      <c r="ADS5" s="390"/>
      <c r="ADT5" s="390"/>
      <c r="ADU5" s="390"/>
      <c r="ADV5" s="390"/>
      <c r="ADW5" s="390"/>
      <c r="ADX5" s="390"/>
      <c r="ADY5" s="390"/>
      <c r="ADZ5" s="390"/>
      <c r="AEA5" s="390"/>
      <c r="AEB5" s="390"/>
      <c r="AEC5" s="390"/>
      <c r="AED5" s="390"/>
      <c r="AEE5" s="390"/>
      <c r="AEF5" s="390"/>
      <c r="AEG5" s="390"/>
      <c r="AEH5" s="390"/>
      <c r="AEI5" s="390"/>
      <c r="AEJ5" s="390"/>
      <c r="AEK5" s="390"/>
      <c r="AEL5" s="390"/>
      <c r="AEM5" s="390"/>
      <c r="AEN5" s="390"/>
      <c r="AEO5" s="390"/>
      <c r="AEP5" s="390"/>
      <c r="AEQ5" s="390"/>
      <c r="AER5" s="390"/>
      <c r="AES5" s="390"/>
      <c r="AET5" s="390"/>
      <c r="AEU5" s="390"/>
      <c r="AEV5" s="390"/>
      <c r="AEW5" s="390"/>
      <c r="AEX5" s="390"/>
      <c r="AEY5" s="390"/>
      <c r="AEZ5" s="390"/>
      <c r="AFA5" s="390"/>
      <c r="AFB5" s="390"/>
      <c r="AFC5" s="390"/>
      <c r="AFD5" s="390"/>
      <c r="AFE5" s="390"/>
      <c r="AFF5" s="390"/>
      <c r="AFG5" s="390"/>
      <c r="AFH5" s="390"/>
      <c r="AFI5" s="390"/>
      <c r="AFJ5" s="390"/>
      <c r="AFK5" s="390"/>
      <c r="AFL5" s="390"/>
      <c r="AFM5" s="390"/>
      <c r="AFN5" s="390"/>
      <c r="AFO5" s="390"/>
      <c r="AFP5" s="390"/>
      <c r="AFQ5" s="390"/>
      <c r="AFR5" s="390"/>
      <c r="AFS5" s="390"/>
      <c r="AFT5" s="390"/>
      <c r="AFU5" s="390"/>
      <c r="AFV5" s="390"/>
      <c r="AFW5" s="390"/>
      <c r="AFX5" s="390"/>
      <c r="AFY5" s="390"/>
      <c r="AFZ5" s="390"/>
      <c r="AGA5" s="390"/>
      <c r="AGB5" s="390"/>
      <c r="AGC5" s="390"/>
      <c r="AGD5" s="390"/>
      <c r="AGE5" s="390"/>
      <c r="AGF5" s="390"/>
      <c r="AGG5" s="390"/>
      <c r="AGH5" s="390"/>
      <c r="AGI5" s="390"/>
      <c r="AGJ5" s="390"/>
      <c r="AGK5" s="390"/>
      <c r="AGL5" s="390"/>
      <c r="AGM5" s="390"/>
      <c r="AGN5" s="390"/>
      <c r="AGO5" s="390"/>
      <c r="AGP5" s="390"/>
      <c r="AGQ5" s="390"/>
      <c r="AGR5" s="390"/>
      <c r="AGS5" s="390"/>
      <c r="AGT5" s="390"/>
      <c r="AGU5" s="390"/>
      <c r="AGV5" s="390"/>
      <c r="AGW5" s="390"/>
      <c r="AGX5" s="390"/>
      <c r="AGY5" s="390"/>
      <c r="AGZ5" s="390"/>
      <c r="AHA5" s="390"/>
      <c r="AHB5" s="390"/>
      <c r="AHC5" s="390"/>
      <c r="AHD5" s="390"/>
      <c r="AHE5" s="390"/>
      <c r="AHF5" s="390"/>
      <c r="AHG5" s="390"/>
      <c r="AHH5" s="390"/>
      <c r="AHI5" s="390"/>
      <c r="AHJ5" s="390"/>
      <c r="AHK5" s="390"/>
      <c r="AHL5" s="390"/>
      <c r="AHM5" s="390"/>
      <c r="AHN5" s="390"/>
      <c r="AHO5" s="390"/>
      <c r="AHP5" s="390"/>
      <c r="AHQ5" s="390"/>
      <c r="AHR5" s="390"/>
      <c r="AHS5" s="390"/>
      <c r="AHT5" s="390"/>
      <c r="AHU5" s="390"/>
      <c r="AHV5" s="390"/>
      <c r="AHW5" s="390"/>
      <c r="AHX5" s="390"/>
      <c r="AHY5" s="390"/>
      <c r="AHZ5" s="390"/>
      <c r="AIA5" s="390"/>
      <c r="AIB5" s="390"/>
      <c r="AIC5" s="390"/>
      <c r="AID5" s="390"/>
      <c r="AIE5" s="390"/>
      <c r="AIF5" s="390"/>
      <c r="AIG5" s="390"/>
      <c r="AIH5" s="390"/>
      <c r="AII5" s="390"/>
      <c r="AIJ5" s="390"/>
      <c r="AIK5" s="390"/>
      <c r="AIL5" s="390"/>
      <c r="AIM5" s="390"/>
      <c r="AIN5" s="390"/>
      <c r="AIO5" s="390"/>
      <c r="AIP5" s="390"/>
      <c r="AIQ5" s="390"/>
      <c r="AIR5" s="390"/>
      <c r="AIS5" s="390"/>
      <c r="AIT5" s="390"/>
      <c r="AIU5" s="390"/>
      <c r="AIV5" s="390"/>
      <c r="AIW5" s="390"/>
      <c r="AIX5" s="390"/>
      <c r="AIY5" s="390"/>
      <c r="AIZ5" s="390"/>
      <c r="AJA5" s="390"/>
      <c r="AJB5" s="390"/>
      <c r="AJC5" s="390"/>
      <c r="AJD5" s="390"/>
      <c r="AJE5" s="390"/>
      <c r="AJF5" s="390"/>
      <c r="AJG5" s="390"/>
      <c r="AJH5" s="390"/>
      <c r="AJI5" s="390"/>
      <c r="AJJ5" s="390"/>
      <c r="AJK5" s="390"/>
      <c r="AJL5" s="390"/>
      <c r="AJM5" s="390"/>
      <c r="AJN5" s="390"/>
      <c r="AJO5" s="390"/>
      <c r="AJP5" s="390"/>
      <c r="AJQ5" s="390"/>
      <c r="AJR5" s="390"/>
      <c r="AJS5" s="390"/>
      <c r="AJT5" s="390"/>
      <c r="AJU5" s="390"/>
      <c r="AJV5" s="390"/>
      <c r="AJW5" s="390"/>
      <c r="AJX5" s="390"/>
      <c r="AJY5" s="390"/>
      <c r="AJZ5" s="390"/>
      <c r="AKA5" s="390"/>
      <c r="AKB5" s="390"/>
      <c r="AKC5" s="390"/>
      <c r="AKD5" s="390"/>
      <c r="AKE5" s="390"/>
      <c r="AKF5" s="390"/>
      <c r="AKG5" s="390"/>
      <c r="AKH5" s="390"/>
      <c r="AKI5" s="390"/>
      <c r="AKJ5" s="390"/>
      <c r="AKK5" s="390"/>
      <c r="AKL5" s="390"/>
      <c r="AKM5" s="390"/>
      <c r="AKN5" s="390"/>
      <c r="AKO5" s="390"/>
      <c r="AKP5" s="390"/>
      <c r="AKQ5" s="390"/>
      <c r="AKR5" s="390"/>
      <c r="AKS5" s="390"/>
      <c r="AKT5" s="390"/>
      <c r="AKU5" s="390"/>
      <c r="AKV5" s="390"/>
      <c r="AKW5" s="390"/>
      <c r="AKX5" s="390"/>
      <c r="AKY5" s="390"/>
      <c r="AKZ5" s="390"/>
      <c r="ALA5" s="390"/>
      <c r="ALB5" s="390"/>
      <c r="ALC5" s="390"/>
      <c r="ALD5" s="390"/>
      <c r="ALE5" s="390"/>
      <c r="ALF5" s="390"/>
      <c r="ALG5" s="390"/>
      <c r="ALH5" s="390"/>
      <c r="ALI5" s="390"/>
      <c r="ALJ5" s="390"/>
      <c r="ALK5" s="390"/>
      <c r="ALL5" s="390"/>
      <c r="ALM5" s="390"/>
      <c r="ALN5" s="390"/>
      <c r="ALO5" s="390"/>
      <c r="ALP5" s="390"/>
      <c r="ALQ5" s="390"/>
      <c r="ALR5" s="390"/>
      <c r="ALS5" s="390"/>
      <c r="ALT5" s="390"/>
      <c r="ALU5" s="390"/>
      <c r="ALV5" s="390"/>
      <c r="ALW5" s="390"/>
      <c r="ALX5" s="390"/>
      <c r="ALY5" s="390"/>
      <c r="ALZ5" s="390"/>
      <c r="AMA5" s="390"/>
      <c r="AMB5" s="390"/>
      <c r="AMC5" s="390"/>
      <c r="AMD5" s="390"/>
      <c r="AME5" s="390"/>
      <c r="AMF5" s="390"/>
      <c r="AMG5" s="390"/>
      <c r="AMH5" s="390"/>
      <c r="AMI5" s="390"/>
      <c r="AMJ5" s="390"/>
      <c r="AMK5" s="390"/>
      <c r="AML5" s="390"/>
      <c r="AMM5" s="390"/>
      <c r="AMN5" s="390"/>
      <c r="AMO5" s="390"/>
      <c r="AMP5" s="390"/>
      <c r="AMQ5" s="390"/>
      <c r="AMR5" s="390"/>
      <c r="AMS5" s="390"/>
      <c r="AMT5" s="390"/>
      <c r="AMU5" s="390"/>
      <c r="AMV5" s="390"/>
      <c r="AMW5" s="390"/>
      <c r="AMX5" s="390"/>
      <c r="AMY5" s="390"/>
      <c r="AMZ5" s="390"/>
      <c r="ANA5" s="390"/>
      <c r="ANB5" s="390"/>
      <c r="ANC5" s="390"/>
      <c r="AND5" s="390"/>
      <c r="ANE5" s="390"/>
      <c r="ANF5" s="390"/>
      <c r="ANG5" s="390"/>
      <c r="ANH5" s="390"/>
      <c r="ANI5" s="390"/>
      <c r="ANJ5" s="390"/>
      <c r="ANK5" s="390"/>
      <c r="ANL5" s="390"/>
      <c r="ANM5" s="390"/>
      <c r="ANN5" s="390"/>
      <c r="ANO5" s="390"/>
      <c r="ANP5" s="390"/>
      <c r="ANQ5" s="390"/>
      <c r="ANR5" s="390"/>
      <c r="ANS5" s="390"/>
      <c r="ANT5" s="390"/>
      <c r="ANU5" s="390"/>
      <c r="ANV5" s="390"/>
      <c r="ANW5" s="390"/>
      <c r="ANX5" s="390"/>
      <c r="ANY5" s="390"/>
      <c r="ANZ5" s="390"/>
      <c r="AOA5" s="390"/>
      <c r="AOB5" s="390"/>
      <c r="AOC5" s="390"/>
      <c r="AOD5" s="390"/>
      <c r="AOE5" s="390"/>
      <c r="AOF5" s="390"/>
      <c r="AOG5" s="390"/>
      <c r="AOH5" s="390"/>
      <c r="AOI5" s="390"/>
      <c r="AOJ5" s="390"/>
      <c r="AOK5" s="390"/>
      <c r="AOL5" s="390"/>
      <c r="AOM5" s="390"/>
      <c r="AON5" s="390"/>
      <c r="AOO5" s="390"/>
      <c r="AOP5" s="390"/>
      <c r="AOQ5" s="390"/>
      <c r="AOR5" s="390"/>
      <c r="AOS5" s="390"/>
      <c r="AOT5" s="390"/>
      <c r="AOU5" s="390"/>
      <c r="AOV5" s="390"/>
      <c r="AOW5" s="390"/>
      <c r="AOX5" s="390"/>
      <c r="AOY5" s="390"/>
      <c r="AOZ5" s="390"/>
      <c r="APA5" s="390"/>
      <c r="APB5" s="390"/>
      <c r="APC5" s="390"/>
      <c r="APD5" s="390"/>
      <c r="APE5" s="390"/>
      <c r="APF5" s="390"/>
      <c r="APG5" s="390"/>
      <c r="APH5" s="390"/>
      <c r="API5" s="390"/>
      <c r="APJ5" s="390"/>
      <c r="APK5" s="390"/>
      <c r="APL5" s="390"/>
      <c r="APM5" s="390"/>
      <c r="APN5" s="390"/>
      <c r="APO5" s="390"/>
      <c r="APP5" s="390"/>
      <c r="APQ5" s="390"/>
      <c r="APR5" s="390"/>
      <c r="APS5" s="390"/>
      <c r="APT5" s="390"/>
      <c r="APU5" s="390"/>
      <c r="APV5" s="390"/>
      <c r="APW5" s="390"/>
      <c r="APX5" s="390"/>
      <c r="APY5" s="390"/>
      <c r="APZ5" s="390"/>
      <c r="AQA5" s="390"/>
      <c r="AQB5" s="390"/>
      <c r="AQC5" s="390"/>
      <c r="AQD5" s="390"/>
      <c r="AQE5" s="390"/>
      <c r="AQF5" s="390"/>
      <c r="AQG5" s="390"/>
      <c r="AQH5" s="390"/>
      <c r="AQI5" s="390"/>
      <c r="AQJ5" s="390"/>
      <c r="AQK5" s="390"/>
      <c r="AQL5" s="390"/>
      <c r="AQM5" s="390"/>
      <c r="AQN5" s="390"/>
      <c r="AQO5" s="390"/>
      <c r="AQP5" s="390"/>
      <c r="AQQ5" s="390"/>
      <c r="AQR5" s="390"/>
      <c r="AQS5" s="390"/>
      <c r="AQT5" s="390"/>
      <c r="AQU5" s="390"/>
      <c r="AQV5" s="390"/>
      <c r="AQW5" s="390"/>
      <c r="AQX5" s="390"/>
      <c r="AQY5" s="390"/>
      <c r="AQZ5" s="390"/>
      <c r="ARA5" s="390"/>
      <c r="ARB5" s="390"/>
      <c r="ARC5" s="390"/>
      <c r="ARD5" s="390"/>
      <c r="ARE5" s="390"/>
      <c r="ARF5" s="390"/>
      <c r="ARG5" s="390"/>
      <c r="ARH5" s="390"/>
      <c r="ARI5" s="390"/>
      <c r="ARJ5" s="390"/>
      <c r="ARK5" s="390"/>
      <c r="ARL5" s="390"/>
      <c r="ARM5" s="390"/>
      <c r="ARN5" s="390"/>
      <c r="ARO5" s="390"/>
      <c r="ARP5" s="390"/>
      <c r="ARQ5" s="390"/>
      <c r="ARR5" s="390"/>
      <c r="ARS5" s="390"/>
      <c r="ART5" s="390"/>
      <c r="ARU5" s="390"/>
      <c r="ARV5" s="390"/>
      <c r="ARW5" s="390"/>
      <c r="ARX5" s="390"/>
      <c r="ARY5" s="390"/>
      <c r="ARZ5" s="390"/>
      <c r="ASA5" s="390"/>
      <c r="ASB5" s="390"/>
      <c r="ASC5" s="390"/>
      <c r="ASD5" s="390"/>
      <c r="ASE5" s="390"/>
      <c r="ASF5" s="390"/>
      <c r="ASG5" s="390"/>
      <c r="ASH5" s="390"/>
      <c r="ASI5" s="390"/>
      <c r="ASJ5" s="390"/>
      <c r="ASK5" s="390"/>
      <c r="ASL5" s="390"/>
      <c r="ASM5" s="390"/>
      <c r="ASN5" s="390"/>
      <c r="ASO5" s="390"/>
      <c r="ASP5" s="390"/>
      <c r="ASQ5" s="390"/>
      <c r="ASR5" s="390"/>
      <c r="ASS5" s="390"/>
      <c r="AST5" s="390"/>
      <c r="ASU5" s="390"/>
      <c r="ASV5" s="390"/>
      <c r="ASW5" s="390"/>
      <c r="ASX5" s="390"/>
      <c r="ASY5" s="390"/>
      <c r="ASZ5" s="390"/>
      <c r="ATA5" s="390"/>
      <c r="ATB5" s="390"/>
      <c r="ATC5" s="390"/>
      <c r="ATD5" s="390"/>
      <c r="ATE5" s="390"/>
      <c r="ATF5" s="390"/>
      <c r="ATG5" s="390"/>
      <c r="ATH5" s="390"/>
      <c r="ATI5" s="390"/>
      <c r="ATJ5" s="390"/>
      <c r="ATK5" s="390"/>
      <c r="ATL5" s="390"/>
      <c r="ATM5" s="390"/>
      <c r="ATN5" s="390"/>
      <c r="ATO5" s="390"/>
      <c r="ATP5" s="390"/>
      <c r="ATQ5" s="390"/>
      <c r="ATR5" s="390"/>
      <c r="ATS5" s="390"/>
      <c r="ATT5" s="390"/>
      <c r="ATU5" s="390"/>
      <c r="ATV5" s="390"/>
      <c r="ATW5" s="390"/>
      <c r="ATX5" s="390"/>
      <c r="ATY5" s="390"/>
      <c r="ATZ5" s="390"/>
      <c r="AUA5" s="390"/>
      <c r="AUB5" s="390"/>
      <c r="AUC5" s="390"/>
      <c r="AUD5" s="390"/>
      <c r="AUE5" s="390"/>
      <c r="AUF5" s="390"/>
      <c r="AUG5" s="390"/>
      <c r="AUH5" s="390"/>
      <c r="AUI5" s="390"/>
      <c r="AUJ5" s="390"/>
      <c r="AUK5" s="390"/>
      <c r="AUL5" s="390"/>
      <c r="AUM5" s="390"/>
      <c r="AUN5" s="390"/>
      <c r="AUO5" s="390"/>
      <c r="AUP5" s="390"/>
      <c r="AUQ5" s="390"/>
      <c r="AUR5" s="390"/>
      <c r="AUS5" s="390"/>
      <c r="AUT5" s="390"/>
      <c r="AUU5" s="390"/>
      <c r="AUV5" s="390"/>
      <c r="AUW5" s="390"/>
      <c r="AUX5" s="390"/>
      <c r="AUY5" s="390"/>
      <c r="AUZ5" s="390"/>
      <c r="AVA5" s="390"/>
      <c r="AVB5" s="390"/>
      <c r="AVC5" s="390"/>
      <c r="AVD5" s="390"/>
      <c r="AVE5" s="390"/>
      <c r="AVF5" s="390"/>
      <c r="AVG5" s="390"/>
      <c r="AVH5" s="390"/>
      <c r="AVI5" s="390"/>
      <c r="AVJ5" s="390"/>
      <c r="AVK5" s="390"/>
      <c r="AVL5" s="390"/>
      <c r="AVM5" s="390"/>
      <c r="AVN5" s="390"/>
      <c r="AVO5" s="390"/>
      <c r="AVP5" s="390"/>
      <c r="AVQ5" s="390"/>
      <c r="AVR5" s="390"/>
      <c r="AVS5" s="390"/>
      <c r="AVT5" s="390"/>
      <c r="AVU5" s="390"/>
      <c r="AVV5" s="390"/>
      <c r="AVW5" s="390"/>
      <c r="AVX5" s="390"/>
      <c r="AVY5" s="390"/>
      <c r="AVZ5" s="390"/>
      <c r="AWA5" s="390"/>
      <c r="AWB5" s="390"/>
      <c r="AWC5" s="390"/>
      <c r="AWD5" s="390"/>
      <c r="AWE5" s="390"/>
      <c r="AWF5" s="390"/>
      <c r="AWG5" s="390"/>
      <c r="AWH5" s="390"/>
      <c r="AWI5" s="390"/>
      <c r="AWJ5" s="390"/>
      <c r="AWK5" s="390"/>
      <c r="AWL5" s="390"/>
      <c r="AWM5" s="390"/>
      <c r="AWN5" s="390"/>
      <c r="AWO5" s="390"/>
      <c r="AWP5" s="390"/>
      <c r="AWQ5" s="390"/>
      <c r="AWR5" s="390"/>
      <c r="AWS5" s="390"/>
      <c r="AWT5" s="390"/>
      <c r="AWU5" s="390"/>
      <c r="AWV5" s="390"/>
      <c r="AWW5" s="390"/>
      <c r="AWX5" s="390"/>
      <c r="AWY5" s="390"/>
      <c r="AWZ5" s="390"/>
      <c r="AXA5" s="390"/>
      <c r="AXB5" s="390"/>
      <c r="AXC5" s="390"/>
      <c r="AXD5" s="390"/>
      <c r="AXE5" s="390"/>
      <c r="AXF5" s="390"/>
      <c r="AXG5" s="390"/>
      <c r="AXH5" s="390"/>
      <c r="AXI5" s="390"/>
      <c r="AXJ5" s="390"/>
      <c r="AXK5" s="390"/>
      <c r="AXL5" s="390"/>
      <c r="AXM5" s="390"/>
      <c r="AXN5" s="390"/>
      <c r="AXO5" s="390"/>
      <c r="AXP5" s="390"/>
      <c r="AXQ5" s="390"/>
      <c r="AXR5" s="390"/>
      <c r="AXS5" s="390"/>
      <c r="AXT5" s="390"/>
      <c r="AXU5" s="390"/>
      <c r="AXV5" s="390"/>
      <c r="AXW5" s="390"/>
      <c r="AXX5" s="390"/>
      <c r="AXY5" s="390"/>
      <c r="AXZ5" s="390"/>
      <c r="AYA5" s="390"/>
      <c r="AYB5" s="390"/>
      <c r="AYC5" s="390"/>
      <c r="AYD5" s="390"/>
      <c r="AYE5" s="390"/>
      <c r="AYF5" s="390"/>
      <c r="AYG5" s="390"/>
      <c r="AYH5" s="390"/>
      <c r="AYI5" s="390"/>
      <c r="AYJ5" s="390"/>
      <c r="AYK5" s="390"/>
      <c r="AYL5" s="390"/>
      <c r="AYM5" s="390"/>
      <c r="AYN5" s="390"/>
      <c r="AYO5" s="390"/>
      <c r="AYP5" s="390"/>
      <c r="AYQ5" s="390"/>
      <c r="AYR5" s="390"/>
      <c r="AYS5" s="390"/>
      <c r="AYT5" s="390"/>
      <c r="AYU5" s="390"/>
      <c r="AYV5" s="390"/>
      <c r="AYW5" s="390"/>
      <c r="AYX5" s="390"/>
      <c r="AYY5" s="390"/>
      <c r="AYZ5" s="390"/>
      <c r="AZA5" s="390"/>
      <c r="AZB5" s="390"/>
      <c r="AZC5" s="390"/>
      <c r="AZD5" s="390"/>
      <c r="AZE5" s="390"/>
      <c r="AZF5" s="390"/>
      <c r="AZG5" s="390"/>
      <c r="AZH5" s="390"/>
      <c r="AZI5" s="390"/>
      <c r="AZJ5" s="390"/>
      <c r="AZK5" s="390"/>
      <c r="AZL5" s="390"/>
      <c r="AZM5" s="390"/>
      <c r="AZN5" s="390"/>
      <c r="AZO5" s="390"/>
      <c r="AZP5" s="390"/>
      <c r="AZQ5" s="390"/>
      <c r="AZR5" s="390"/>
      <c r="AZS5" s="390"/>
      <c r="AZT5" s="390"/>
      <c r="AZU5" s="390"/>
      <c r="AZV5" s="390"/>
      <c r="AZW5" s="390"/>
      <c r="AZX5" s="390"/>
      <c r="AZY5" s="390"/>
      <c r="AZZ5" s="390"/>
      <c r="BAA5" s="390"/>
      <c r="BAB5" s="390"/>
      <c r="BAC5" s="390"/>
      <c r="BAD5" s="390"/>
      <c r="BAE5" s="390"/>
      <c r="BAF5" s="390"/>
      <c r="BAG5" s="390"/>
      <c r="BAH5" s="390"/>
      <c r="BAI5" s="390"/>
      <c r="BAJ5" s="390"/>
      <c r="BAK5" s="390"/>
      <c r="BAL5" s="390"/>
      <c r="BAM5" s="390"/>
      <c r="BAN5" s="390"/>
      <c r="BAO5" s="390"/>
      <c r="BAP5" s="390"/>
      <c r="BAQ5" s="390"/>
      <c r="BAR5" s="390"/>
      <c r="BAS5" s="390"/>
      <c r="BAT5" s="390"/>
      <c r="BAU5" s="390"/>
      <c r="BAV5" s="390"/>
      <c r="BAW5" s="390"/>
      <c r="BAX5" s="390"/>
      <c r="BAY5" s="390"/>
      <c r="BAZ5" s="390"/>
      <c r="BBA5" s="390"/>
      <c r="BBB5" s="390"/>
      <c r="BBC5" s="390"/>
      <c r="BBD5" s="390"/>
      <c r="BBE5" s="390"/>
      <c r="BBF5" s="390"/>
      <c r="BBG5" s="390"/>
      <c r="BBH5" s="390"/>
      <c r="BBI5" s="390"/>
      <c r="BBJ5" s="390"/>
      <c r="BBK5" s="390"/>
      <c r="BBL5" s="390"/>
      <c r="BBM5" s="390"/>
      <c r="BBN5" s="390"/>
      <c r="BBO5" s="390"/>
      <c r="BBP5" s="390"/>
      <c r="BBQ5" s="390"/>
      <c r="BBR5" s="390"/>
      <c r="BBS5" s="390"/>
      <c r="BBT5" s="390"/>
      <c r="BBU5" s="390"/>
      <c r="BBV5" s="390"/>
      <c r="BBW5" s="390"/>
      <c r="BBX5" s="390"/>
      <c r="BBY5" s="390"/>
      <c r="BBZ5" s="390"/>
      <c r="BCA5" s="390"/>
      <c r="BCB5" s="390"/>
      <c r="BCC5" s="390"/>
      <c r="BCD5" s="390"/>
      <c r="BCE5" s="390"/>
      <c r="BCF5" s="390"/>
      <c r="BCG5" s="390"/>
      <c r="BCH5" s="390"/>
      <c r="BCI5" s="390"/>
      <c r="BCJ5" s="390"/>
      <c r="BCK5" s="390"/>
      <c r="BCL5" s="390"/>
      <c r="BCM5" s="390"/>
      <c r="BCN5" s="390"/>
      <c r="BCO5" s="390"/>
      <c r="BCP5" s="390"/>
      <c r="BCQ5" s="390"/>
      <c r="BCR5" s="390"/>
      <c r="BCS5" s="390"/>
      <c r="BCT5" s="390"/>
      <c r="BCU5" s="390"/>
      <c r="BCV5" s="390"/>
      <c r="BCW5" s="390"/>
      <c r="BCX5" s="390"/>
      <c r="BCY5" s="390"/>
      <c r="BCZ5" s="390"/>
      <c r="BDA5" s="390"/>
      <c r="BDB5" s="390"/>
      <c r="BDC5" s="390"/>
      <c r="BDD5" s="390"/>
      <c r="BDE5" s="390"/>
      <c r="BDF5" s="390"/>
      <c r="BDG5" s="390"/>
      <c r="BDH5" s="390"/>
      <c r="BDI5" s="390"/>
      <c r="BDJ5" s="390"/>
      <c r="BDK5" s="390"/>
      <c r="BDL5" s="390"/>
      <c r="BDM5" s="390"/>
      <c r="BDN5" s="390"/>
      <c r="BDO5" s="390"/>
      <c r="BDP5" s="390"/>
      <c r="BDQ5" s="390"/>
      <c r="BDR5" s="390"/>
      <c r="BDS5" s="390"/>
      <c r="BDT5" s="390"/>
      <c r="BDU5" s="390"/>
      <c r="BDV5" s="390"/>
      <c r="BDW5" s="390"/>
      <c r="BDX5" s="390"/>
      <c r="BDY5" s="390"/>
      <c r="BDZ5" s="390"/>
      <c r="BEA5" s="390"/>
      <c r="BEB5" s="390"/>
      <c r="BEC5" s="390"/>
      <c r="BED5" s="390"/>
      <c r="BEE5" s="390"/>
      <c r="BEF5" s="390"/>
      <c r="BEG5" s="390"/>
      <c r="BEH5" s="390"/>
      <c r="BEI5" s="390"/>
      <c r="BEJ5" s="390"/>
      <c r="BEK5" s="390"/>
      <c r="BEL5" s="390"/>
      <c r="BEM5" s="390"/>
      <c r="BEN5" s="390"/>
      <c r="BEO5" s="390"/>
      <c r="BEP5" s="390"/>
      <c r="BEQ5" s="390"/>
      <c r="BER5" s="390"/>
      <c r="BES5" s="390"/>
      <c r="BET5" s="390"/>
      <c r="BEU5" s="390"/>
      <c r="BEV5" s="390"/>
      <c r="BEW5" s="390"/>
      <c r="BEX5" s="390"/>
      <c r="BEY5" s="390"/>
      <c r="BEZ5" s="390"/>
      <c r="BFA5" s="390"/>
      <c r="BFB5" s="390"/>
      <c r="BFC5" s="390"/>
      <c r="BFD5" s="390"/>
      <c r="BFE5" s="390"/>
      <c r="BFF5" s="390"/>
      <c r="BFG5" s="390"/>
      <c r="BFH5" s="390"/>
      <c r="BFI5" s="390"/>
      <c r="BFJ5" s="390"/>
      <c r="BFK5" s="390"/>
      <c r="BFL5" s="390"/>
      <c r="BFM5" s="390"/>
      <c r="BFN5" s="390"/>
      <c r="BFO5" s="390"/>
      <c r="BFP5" s="390"/>
      <c r="BFQ5" s="390"/>
      <c r="BFR5" s="390"/>
      <c r="BFS5" s="390"/>
      <c r="BFT5" s="390"/>
      <c r="BFU5" s="390"/>
      <c r="BFV5" s="390"/>
      <c r="BFW5" s="390"/>
      <c r="BFX5" s="390"/>
      <c r="BFY5" s="390"/>
      <c r="BFZ5" s="390"/>
      <c r="BGA5" s="390"/>
      <c r="BGB5" s="390"/>
      <c r="BGC5" s="390"/>
      <c r="BGD5" s="390"/>
      <c r="BGE5" s="390"/>
      <c r="BGF5" s="390"/>
      <c r="BGG5" s="390"/>
      <c r="BGH5" s="390"/>
      <c r="BGI5" s="390"/>
      <c r="BGJ5" s="390"/>
      <c r="BGK5" s="390"/>
      <c r="BGL5" s="390"/>
      <c r="BGM5" s="390"/>
      <c r="BGN5" s="390"/>
      <c r="BGO5" s="390"/>
      <c r="BGP5" s="390"/>
      <c r="BGQ5" s="390"/>
      <c r="BGR5" s="390"/>
      <c r="BGS5" s="390"/>
      <c r="BGT5" s="390"/>
      <c r="BGU5" s="390"/>
      <c r="BGV5" s="390"/>
      <c r="BGW5" s="390"/>
      <c r="BGX5" s="390"/>
      <c r="BGY5" s="390"/>
      <c r="BGZ5" s="390"/>
      <c r="BHA5" s="390"/>
      <c r="BHB5" s="390"/>
      <c r="BHC5" s="390"/>
      <c r="BHD5" s="390"/>
      <c r="BHE5" s="390"/>
      <c r="BHF5" s="390"/>
      <c r="BHG5" s="390"/>
      <c r="BHH5" s="390"/>
      <c r="BHI5" s="390"/>
      <c r="BHJ5" s="390"/>
      <c r="BHK5" s="390"/>
      <c r="BHL5" s="390"/>
      <c r="BHM5" s="390"/>
      <c r="BHN5" s="390"/>
      <c r="BHO5" s="390"/>
      <c r="BHP5" s="390"/>
      <c r="BHQ5" s="390"/>
      <c r="BHR5" s="390"/>
      <c r="BHS5" s="390"/>
      <c r="BHT5" s="390"/>
      <c r="BHU5" s="390"/>
      <c r="BHV5" s="390"/>
      <c r="BHW5" s="390"/>
      <c r="BHX5" s="390"/>
      <c r="BHY5" s="390"/>
      <c r="BHZ5" s="390"/>
      <c r="BIA5" s="390"/>
      <c r="BIB5" s="390"/>
      <c r="BIC5" s="390"/>
      <c r="BID5" s="390"/>
      <c r="BIE5" s="390"/>
      <c r="BIF5" s="390"/>
      <c r="BIG5" s="390"/>
      <c r="BIH5" s="390"/>
      <c r="BII5" s="390"/>
      <c r="BIJ5" s="390"/>
      <c r="BIK5" s="390"/>
      <c r="BIL5" s="390"/>
      <c r="BIM5" s="390"/>
      <c r="BIN5" s="390"/>
      <c r="BIO5" s="390"/>
      <c r="BIP5" s="390"/>
      <c r="BIQ5" s="390"/>
      <c r="BIR5" s="390"/>
      <c r="BIS5" s="390"/>
      <c r="BIT5" s="390"/>
      <c r="BIU5" s="390"/>
      <c r="BIV5" s="390"/>
      <c r="BIW5" s="390"/>
      <c r="BIX5" s="390"/>
      <c r="BIY5" s="390"/>
      <c r="BIZ5" s="390"/>
      <c r="BJA5" s="390"/>
      <c r="BJB5" s="390"/>
      <c r="BJC5" s="390"/>
      <c r="BJD5" s="390"/>
      <c r="BJE5" s="390"/>
      <c r="BJF5" s="390"/>
      <c r="BJG5" s="390"/>
      <c r="BJH5" s="390"/>
      <c r="BJI5" s="390"/>
      <c r="BJJ5" s="390"/>
      <c r="BJK5" s="390"/>
      <c r="BJL5" s="390"/>
      <c r="BJM5" s="390"/>
      <c r="BJN5" s="390"/>
      <c r="BJO5" s="390"/>
      <c r="BJP5" s="390"/>
      <c r="BJQ5" s="390"/>
      <c r="BJR5" s="390"/>
      <c r="BJS5" s="390"/>
      <c r="BJT5" s="390"/>
      <c r="BJU5" s="390"/>
      <c r="BJV5" s="390"/>
      <c r="BJW5" s="390"/>
      <c r="BJX5" s="390"/>
      <c r="BJY5" s="390"/>
      <c r="BJZ5" s="390"/>
      <c r="BKA5" s="390"/>
      <c r="BKB5" s="390"/>
      <c r="BKC5" s="390"/>
      <c r="BKD5" s="390"/>
      <c r="BKE5" s="390"/>
      <c r="BKF5" s="390"/>
      <c r="BKG5" s="390"/>
      <c r="BKH5" s="390"/>
      <c r="BKI5" s="390"/>
      <c r="BKJ5" s="390"/>
      <c r="BKK5" s="390"/>
      <c r="BKL5" s="390"/>
      <c r="BKM5" s="390"/>
      <c r="BKN5" s="390"/>
      <c r="BKO5" s="390"/>
      <c r="BKP5" s="390"/>
      <c r="BKQ5" s="390"/>
      <c r="BKR5" s="390"/>
      <c r="BKS5" s="390"/>
      <c r="BKT5" s="390"/>
      <c r="BKU5" s="390"/>
      <c r="BKV5" s="390"/>
      <c r="BKW5" s="390"/>
      <c r="BKX5" s="390"/>
      <c r="BKY5" s="390"/>
      <c r="BKZ5" s="390"/>
      <c r="BLA5" s="390"/>
      <c r="BLB5" s="390"/>
      <c r="BLC5" s="390"/>
      <c r="BLD5" s="390"/>
      <c r="BLE5" s="390"/>
      <c r="BLF5" s="390"/>
      <c r="BLG5" s="390"/>
      <c r="BLH5" s="390"/>
      <c r="BLI5" s="390"/>
      <c r="BLJ5" s="390"/>
      <c r="BLK5" s="390"/>
      <c r="BLL5" s="390"/>
      <c r="BLM5" s="390"/>
      <c r="BLN5" s="390"/>
      <c r="BLO5" s="390"/>
      <c r="BLP5" s="390"/>
      <c r="BLQ5" s="390"/>
      <c r="BLR5" s="390"/>
      <c r="BLS5" s="390"/>
      <c r="BLT5" s="390"/>
      <c r="BLU5" s="390"/>
      <c r="BLV5" s="390"/>
      <c r="BLW5" s="390"/>
      <c r="BLX5" s="390"/>
      <c r="BLY5" s="390"/>
      <c r="BLZ5" s="390"/>
      <c r="BMA5" s="390"/>
      <c r="BMB5" s="390"/>
      <c r="BMC5" s="390"/>
      <c r="BMD5" s="390"/>
      <c r="BME5" s="390"/>
      <c r="BMF5" s="390"/>
      <c r="BMG5" s="390"/>
      <c r="BMH5" s="390"/>
      <c r="BMI5" s="390"/>
      <c r="BMJ5" s="390"/>
      <c r="BMK5" s="390"/>
      <c r="BML5" s="390"/>
      <c r="BMM5" s="390"/>
      <c r="BMN5" s="390"/>
      <c r="BMO5" s="390"/>
      <c r="BMP5" s="390"/>
      <c r="BMQ5" s="390"/>
      <c r="BMR5" s="390"/>
      <c r="BMS5" s="390"/>
      <c r="BMT5" s="390"/>
      <c r="BMU5" s="390"/>
      <c r="BMV5" s="390"/>
      <c r="BMW5" s="390"/>
      <c r="BMX5" s="390"/>
      <c r="BMY5" s="390"/>
      <c r="BMZ5" s="390"/>
      <c r="BNA5" s="390"/>
      <c r="BNB5" s="390"/>
      <c r="BNC5" s="390"/>
      <c r="BND5" s="390"/>
      <c r="BNE5" s="390"/>
      <c r="BNF5" s="390"/>
      <c r="BNG5" s="390"/>
      <c r="BNH5" s="390"/>
      <c r="BNI5" s="390"/>
      <c r="BNJ5" s="390"/>
      <c r="BNK5" s="390"/>
      <c r="BNL5" s="390"/>
      <c r="BNM5" s="390"/>
      <c r="BNN5" s="390"/>
      <c r="BNO5" s="390"/>
      <c r="BNP5" s="390"/>
      <c r="BNQ5" s="390"/>
      <c r="BNR5" s="390"/>
      <c r="BNS5" s="390"/>
      <c r="BNT5" s="390"/>
      <c r="BNU5" s="390"/>
      <c r="BNV5" s="390"/>
      <c r="BNW5" s="390"/>
      <c r="BNX5" s="390"/>
      <c r="BNY5" s="390"/>
      <c r="BNZ5" s="390"/>
      <c r="BOA5" s="390"/>
      <c r="BOB5" s="390"/>
      <c r="BOC5" s="390"/>
      <c r="BOD5" s="390"/>
      <c r="BOE5" s="390"/>
      <c r="BOF5" s="390"/>
      <c r="BOG5" s="390"/>
      <c r="BOH5" s="390"/>
      <c r="BOI5" s="390"/>
      <c r="BOJ5" s="390"/>
      <c r="BOK5" s="390"/>
      <c r="BOL5" s="390"/>
      <c r="BOM5" s="390"/>
      <c r="BON5" s="390"/>
      <c r="BOO5" s="390"/>
      <c r="BOP5" s="390"/>
      <c r="BOQ5" s="390"/>
      <c r="BOR5" s="390"/>
      <c r="BOS5" s="390"/>
      <c r="BOT5" s="390"/>
      <c r="BOU5" s="390"/>
      <c r="BOV5" s="390"/>
      <c r="BOW5" s="390"/>
      <c r="BOX5" s="390"/>
      <c r="BOY5" s="390"/>
      <c r="BOZ5" s="390"/>
      <c r="BPA5" s="390"/>
      <c r="BPB5" s="390"/>
      <c r="BPC5" s="390"/>
      <c r="BPD5" s="390"/>
      <c r="BPE5" s="390"/>
      <c r="BPF5" s="390"/>
      <c r="BPG5" s="390"/>
      <c r="BPH5" s="390"/>
      <c r="BPI5" s="390"/>
      <c r="BPJ5" s="390"/>
      <c r="BPK5" s="390"/>
      <c r="BPL5" s="390"/>
      <c r="BPM5" s="390"/>
      <c r="BPN5" s="390"/>
      <c r="BPO5" s="390"/>
      <c r="BPP5" s="390"/>
      <c r="BPQ5" s="390"/>
      <c r="BPR5" s="390"/>
      <c r="BPS5" s="390"/>
      <c r="BPT5" s="390"/>
      <c r="BPU5" s="390"/>
      <c r="BPV5" s="390"/>
      <c r="BPW5" s="390"/>
      <c r="BPX5" s="390"/>
      <c r="BPY5" s="390"/>
      <c r="BPZ5" s="390"/>
      <c r="BQA5" s="390"/>
      <c r="BQB5" s="390"/>
      <c r="BQC5" s="390"/>
      <c r="BQD5" s="390"/>
      <c r="BQE5" s="390"/>
      <c r="BQF5" s="390"/>
      <c r="BQG5" s="390"/>
      <c r="BQH5" s="390"/>
      <c r="BQI5" s="390"/>
      <c r="BQJ5" s="390"/>
      <c r="BQK5" s="390"/>
      <c r="BQL5" s="390"/>
      <c r="BQM5" s="390"/>
      <c r="BQN5" s="390"/>
      <c r="BQO5" s="390"/>
      <c r="BQP5" s="390"/>
      <c r="BQQ5" s="390"/>
      <c r="BQR5" s="390"/>
      <c r="BQS5" s="390"/>
      <c r="BQT5" s="390"/>
      <c r="BQU5" s="390"/>
      <c r="BQV5" s="390"/>
      <c r="BQW5" s="390"/>
      <c r="BQX5" s="390"/>
      <c r="BQY5" s="390"/>
      <c r="BQZ5" s="390"/>
      <c r="BRA5" s="390"/>
      <c r="BRB5" s="390"/>
      <c r="BRC5" s="390"/>
      <c r="BRD5" s="390"/>
      <c r="BRE5" s="390"/>
      <c r="BRF5" s="390"/>
      <c r="BRG5" s="390"/>
      <c r="BRH5" s="390"/>
      <c r="BRI5" s="390"/>
      <c r="BRJ5" s="390"/>
      <c r="BRK5" s="390"/>
      <c r="BRL5" s="390"/>
      <c r="BRM5" s="390"/>
      <c r="BRN5" s="390"/>
      <c r="BRO5" s="390"/>
      <c r="BRP5" s="390"/>
      <c r="BRQ5" s="390"/>
      <c r="BRR5" s="390"/>
      <c r="BRS5" s="390"/>
      <c r="BRT5" s="390"/>
      <c r="BRU5" s="390"/>
      <c r="BRV5" s="390"/>
      <c r="BRW5" s="390"/>
      <c r="BRX5" s="390"/>
      <c r="BRY5" s="390"/>
      <c r="BRZ5" s="390"/>
      <c r="BSA5" s="390"/>
      <c r="BSB5" s="390"/>
      <c r="BSC5" s="390"/>
      <c r="BSD5" s="390"/>
      <c r="BSE5" s="390"/>
      <c r="BSF5" s="390"/>
      <c r="BSG5" s="390"/>
      <c r="BSH5" s="390"/>
      <c r="BSI5" s="390"/>
      <c r="BSJ5" s="390"/>
      <c r="BSK5" s="390"/>
      <c r="BSL5" s="390"/>
      <c r="BSM5" s="390"/>
      <c r="BSN5" s="390"/>
      <c r="BSO5" s="390"/>
      <c r="BSP5" s="390"/>
      <c r="BSQ5" s="390"/>
      <c r="BSR5" s="390"/>
      <c r="BSS5" s="390"/>
      <c r="BST5" s="390"/>
      <c r="BSU5" s="390"/>
      <c r="BSV5" s="390"/>
      <c r="BSW5" s="390"/>
      <c r="BSX5" s="390"/>
      <c r="BSY5" s="390"/>
      <c r="BSZ5" s="390"/>
      <c r="BTA5" s="390"/>
      <c r="BTB5" s="390"/>
      <c r="BTC5" s="390"/>
      <c r="BTD5" s="390"/>
      <c r="BTE5" s="390"/>
      <c r="BTF5" s="390"/>
      <c r="BTG5" s="390"/>
      <c r="BTH5" s="390"/>
      <c r="BTI5" s="390"/>
      <c r="BTJ5" s="390"/>
      <c r="BTK5" s="390"/>
      <c r="BTL5" s="390"/>
      <c r="BTM5" s="390"/>
      <c r="BTN5" s="390"/>
      <c r="BTO5" s="390"/>
      <c r="BTP5" s="390"/>
      <c r="BTQ5" s="390"/>
      <c r="BTR5" s="390"/>
      <c r="BTS5" s="390"/>
      <c r="BTT5" s="390"/>
      <c r="BTU5" s="390"/>
      <c r="BTV5" s="390"/>
      <c r="BTW5" s="390"/>
      <c r="BTX5" s="390"/>
      <c r="BTY5" s="390"/>
      <c r="BTZ5" s="390"/>
      <c r="BUA5" s="390"/>
      <c r="BUB5" s="390"/>
      <c r="BUC5" s="390"/>
      <c r="BUD5" s="390"/>
      <c r="BUE5" s="390"/>
      <c r="BUF5" s="390"/>
      <c r="BUG5" s="390"/>
      <c r="BUH5" s="390"/>
      <c r="BUI5" s="390"/>
      <c r="BUJ5" s="390"/>
      <c r="BUK5" s="390"/>
      <c r="BUL5" s="390"/>
      <c r="BUM5" s="390"/>
      <c r="BUN5" s="390"/>
      <c r="BUO5" s="390"/>
      <c r="BUP5" s="390"/>
      <c r="BUQ5" s="390"/>
      <c r="BUR5" s="390"/>
      <c r="BUS5" s="390"/>
      <c r="BUT5" s="390"/>
      <c r="BUU5" s="390"/>
      <c r="BUV5" s="390"/>
      <c r="BUW5" s="390"/>
      <c r="BUX5" s="390"/>
      <c r="BUY5" s="390"/>
      <c r="BUZ5" s="390"/>
      <c r="BVA5" s="390"/>
      <c r="BVB5" s="390"/>
      <c r="BVC5" s="390"/>
      <c r="BVD5" s="390"/>
      <c r="BVE5" s="390"/>
      <c r="BVF5" s="390"/>
      <c r="BVG5" s="390"/>
      <c r="BVH5" s="390"/>
      <c r="BVI5" s="390"/>
      <c r="BVJ5" s="390"/>
      <c r="BVK5" s="390"/>
      <c r="BVL5" s="390"/>
      <c r="BVM5" s="390"/>
      <c r="BVN5" s="390"/>
      <c r="BVO5" s="390"/>
      <c r="BVP5" s="390"/>
      <c r="BVQ5" s="390"/>
      <c r="BVR5" s="390"/>
      <c r="BVS5" s="390"/>
      <c r="BVT5" s="390"/>
      <c r="BVU5" s="390"/>
      <c r="BVV5" s="390"/>
      <c r="BVW5" s="390"/>
      <c r="BVX5" s="390"/>
      <c r="BVY5" s="390"/>
      <c r="BVZ5" s="390"/>
      <c r="BWA5" s="390"/>
      <c r="BWB5" s="390"/>
      <c r="BWC5" s="390"/>
      <c r="BWD5" s="390"/>
      <c r="BWE5" s="390"/>
      <c r="BWF5" s="390"/>
      <c r="BWG5" s="390"/>
      <c r="BWH5" s="390"/>
      <c r="BWI5" s="390"/>
      <c r="BWJ5" s="390"/>
      <c r="BWK5" s="390"/>
      <c r="BWL5" s="390"/>
      <c r="BWM5" s="390"/>
      <c r="BWN5" s="390"/>
      <c r="BWO5" s="390"/>
      <c r="BWP5" s="390"/>
      <c r="BWQ5" s="390"/>
      <c r="BWR5" s="390"/>
      <c r="BWS5" s="390"/>
      <c r="BWT5" s="390"/>
      <c r="BWU5" s="390"/>
      <c r="BWV5" s="390"/>
      <c r="BWW5" s="390"/>
      <c r="BWX5" s="390"/>
      <c r="BWY5" s="390"/>
      <c r="BWZ5" s="390"/>
      <c r="BXA5" s="390"/>
      <c r="BXB5" s="390"/>
      <c r="BXC5" s="390"/>
      <c r="BXD5" s="390"/>
      <c r="BXE5" s="390"/>
      <c r="BXF5" s="390"/>
      <c r="BXG5" s="390"/>
      <c r="BXH5" s="390"/>
      <c r="BXI5" s="390"/>
      <c r="BXJ5" s="390"/>
      <c r="BXK5" s="390"/>
      <c r="BXL5" s="390"/>
      <c r="BXM5" s="390"/>
      <c r="BXN5" s="390"/>
      <c r="BXO5" s="390"/>
      <c r="BXP5" s="390"/>
      <c r="BXQ5" s="390"/>
      <c r="BXR5" s="390"/>
      <c r="BXS5" s="390"/>
      <c r="BXT5" s="390"/>
      <c r="BXU5" s="390"/>
      <c r="BXV5" s="390"/>
      <c r="BXW5" s="390"/>
      <c r="BXX5" s="390"/>
      <c r="BXY5" s="390"/>
      <c r="BXZ5" s="390"/>
      <c r="BYA5" s="390"/>
      <c r="BYB5" s="390"/>
      <c r="BYC5" s="390"/>
      <c r="BYD5" s="390"/>
      <c r="BYE5" s="390"/>
      <c r="BYF5" s="390"/>
      <c r="BYG5" s="390"/>
      <c r="BYH5" s="390"/>
      <c r="BYI5" s="390"/>
      <c r="BYJ5" s="390"/>
      <c r="BYK5" s="390"/>
      <c r="BYL5" s="390"/>
      <c r="BYM5" s="390"/>
      <c r="BYN5" s="390"/>
      <c r="BYO5" s="390"/>
      <c r="BYP5" s="390"/>
      <c r="BYQ5" s="390"/>
      <c r="BYR5" s="390"/>
      <c r="BYS5" s="390"/>
      <c r="BYT5" s="390"/>
      <c r="BYU5" s="390"/>
      <c r="BYV5" s="390"/>
      <c r="BYW5" s="390"/>
      <c r="BYX5" s="390"/>
      <c r="BYY5" s="390"/>
      <c r="BYZ5" s="390"/>
      <c r="BZA5" s="390"/>
      <c r="BZB5" s="390"/>
      <c r="BZC5" s="390"/>
      <c r="BZD5" s="390"/>
      <c r="BZE5" s="390"/>
      <c r="BZF5" s="390"/>
      <c r="BZG5" s="390"/>
      <c r="BZH5" s="390"/>
      <c r="BZI5" s="390"/>
      <c r="BZJ5" s="390"/>
      <c r="BZK5" s="390"/>
      <c r="BZL5" s="390"/>
      <c r="BZM5" s="390"/>
      <c r="BZN5" s="390"/>
      <c r="BZO5" s="390"/>
      <c r="BZP5" s="390"/>
      <c r="BZQ5" s="390"/>
      <c r="BZR5" s="390"/>
      <c r="BZS5" s="390"/>
      <c r="BZT5" s="390"/>
      <c r="BZU5" s="390"/>
      <c r="BZV5" s="390"/>
      <c r="BZW5" s="390"/>
      <c r="BZX5" s="390"/>
      <c r="BZY5" s="390"/>
      <c r="BZZ5" s="390"/>
      <c r="CAA5" s="390"/>
      <c r="CAB5" s="390"/>
      <c r="CAC5" s="390"/>
      <c r="CAD5" s="390"/>
      <c r="CAE5" s="390"/>
      <c r="CAF5" s="390"/>
      <c r="CAG5" s="390"/>
      <c r="CAH5" s="390"/>
      <c r="CAI5" s="390"/>
      <c r="CAJ5" s="390"/>
      <c r="CAK5" s="390"/>
      <c r="CAL5" s="390"/>
      <c r="CAM5" s="390"/>
      <c r="CAN5" s="390"/>
      <c r="CAO5" s="390"/>
      <c r="CAP5" s="390"/>
      <c r="CAQ5" s="390"/>
      <c r="CAR5" s="390"/>
      <c r="CAS5" s="390"/>
      <c r="CAT5" s="390"/>
      <c r="CAU5" s="390"/>
      <c r="CAV5" s="390"/>
      <c r="CAW5" s="390"/>
      <c r="CAX5" s="390"/>
      <c r="CAY5" s="390"/>
      <c r="CAZ5" s="390"/>
      <c r="CBA5" s="390"/>
      <c r="CBB5" s="390"/>
      <c r="CBC5" s="390"/>
      <c r="CBD5" s="390"/>
      <c r="CBE5" s="390"/>
      <c r="CBF5" s="390"/>
      <c r="CBG5" s="390"/>
      <c r="CBH5" s="390"/>
      <c r="CBI5" s="390"/>
      <c r="CBJ5" s="390"/>
      <c r="CBK5" s="390"/>
      <c r="CBL5" s="390"/>
      <c r="CBM5" s="390"/>
      <c r="CBN5" s="390"/>
      <c r="CBO5" s="390"/>
      <c r="CBP5" s="390"/>
      <c r="CBQ5" s="390"/>
      <c r="CBR5" s="390"/>
      <c r="CBS5" s="390"/>
      <c r="CBT5" s="390"/>
      <c r="CBU5" s="390"/>
      <c r="CBV5" s="390"/>
      <c r="CBW5" s="390"/>
      <c r="CBX5" s="390"/>
      <c r="CBY5" s="390"/>
      <c r="CBZ5" s="390"/>
      <c r="CCA5" s="390"/>
      <c r="CCB5" s="390"/>
      <c r="CCC5" s="390"/>
      <c r="CCD5" s="390"/>
      <c r="CCE5" s="390"/>
      <c r="CCF5" s="390"/>
      <c r="CCG5" s="390"/>
      <c r="CCH5" s="390"/>
      <c r="CCI5" s="390"/>
      <c r="CCJ5" s="390"/>
      <c r="CCK5" s="390"/>
      <c r="CCL5" s="390"/>
      <c r="CCM5" s="390"/>
      <c r="CCN5" s="390"/>
      <c r="CCO5" s="390"/>
      <c r="CCP5" s="390"/>
      <c r="CCQ5" s="390"/>
      <c r="CCR5" s="390"/>
      <c r="CCS5" s="390"/>
      <c r="CCT5" s="390"/>
      <c r="CCU5" s="390"/>
      <c r="CCV5" s="390"/>
      <c r="CCW5" s="390"/>
      <c r="CCX5" s="390"/>
      <c r="CCY5" s="390"/>
      <c r="CCZ5" s="390"/>
      <c r="CDA5" s="390"/>
      <c r="CDB5" s="390"/>
      <c r="CDC5" s="390"/>
      <c r="CDD5" s="390"/>
      <c r="CDE5" s="390"/>
      <c r="CDF5" s="390"/>
      <c r="CDG5" s="390"/>
      <c r="CDH5" s="390"/>
      <c r="CDI5" s="390"/>
      <c r="CDJ5" s="390"/>
      <c r="CDK5" s="390"/>
      <c r="CDL5" s="390"/>
      <c r="CDM5" s="390"/>
      <c r="CDN5" s="390"/>
      <c r="CDO5" s="390"/>
      <c r="CDP5" s="390"/>
      <c r="CDQ5" s="390"/>
      <c r="CDR5" s="390"/>
      <c r="CDS5" s="390"/>
      <c r="CDT5" s="390"/>
      <c r="CDU5" s="390"/>
      <c r="CDV5" s="390"/>
      <c r="CDW5" s="390"/>
      <c r="CDX5" s="390"/>
      <c r="CDY5" s="390"/>
      <c r="CDZ5" s="390"/>
      <c r="CEA5" s="390"/>
      <c r="CEB5" s="390"/>
      <c r="CEC5" s="390"/>
      <c r="CED5" s="390"/>
      <c r="CEE5" s="390"/>
      <c r="CEF5" s="390"/>
      <c r="CEG5" s="390"/>
      <c r="CEH5" s="390"/>
      <c r="CEI5" s="390"/>
      <c r="CEJ5" s="390"/>
      <c r="CEK5" s="390"/>
      <c r="CEL5" s="390"/>
      <c r="CEM5" s="390"/>
      <c r="CEN5" s="390"/>
      <c r="CEO5" s="390"/>
      <c r="CEP5" s="390"/>
      <c r="CEQ5" s="390"/>
      <c r="CER5" s="390"/>
      <c r="CES5" s="390"/>
      <c r="CET5" s="390"/>
      <c r="CEU5" s="390"/>
      <c r="CEV5" s="390"/>
      <c r="CEW5" s="390"/>
      <c r="CEX5" s="390"/>
      <c r="CEY5" s="390"/>
      <c r="CEZ5" s="390"/>
      <c r="CFA5" s="390"/>
      <c r="CFB5" s="390"/>
      <c r="CFC5" s="390"/>
      <c r="CFD5" s="390"/>
      <c r="CFE5" s="390"/>
      <c r="CFF5" s="390"/>
      <c r="CFG5" s="390"/>
      <c r="CFH5" s="390"/>
      <c r="CFI5" s="390"/>
      <c r="CFJ5" s="390"/>
      <c r="CFK5" s="390"/>
      <c r="CFL5" s="390"/>
      <c r="CFM5" s="390"/>
      <c r="CFN5" s="390"/>
      <c r="CFO5" s="390"/>
      <c r="CFP5" s="390"/>
      <c r="CFQ5" s="390"/>
      <c r="CFR5" s="390"/>
      <c r="CFS5" s="390"/>
      <c r="CFT5" s="390"/>
      <c r="CFU5" s="390"/>
      <c r="CFV5" s="390"/>
      <c r="CFW5" s="390"/>
      <c r="CFX5" s="390"/>
      <c r="CFY5" s="390"/>
      <c r="CFZ5" s="390"/>
      <c r="CGA5" s="390"/>
      <c r="CGB5" s="390"/>
      <c r="CGC5" s="390"/>
      <c r="CGD5" s="390"/>
      <c r="CGE5" s="390"/>
      <c r="CGF5" s="390"/>
      <c r="CGG5" s="390"/>
      <c r="CGH5" s="390"/>
      <c r="CGI5" s="390"/>
      <c r="CGJ5" s="390"/>
      <c r="CGK5" s="390"/>
      <c r="CGL5" s="390"/>
      <c r="CGM5" s="390"/>
      <c r="CGN5" s="390"/>
      <c r="CGO5" s="390"/>
      <c r="CGP5" s="390"/>
      <c r="CGQ5" s="390"/>
      <c r="CGR5" s="390"/>
      <c r="CGS5" s="390"/>
      <c r="CGT5" s="390"/>
      <c r="CGU5" s="390"/>
      <c r="CGV5" s="390"/>
      <c r="CGW5" s="390"/>
      <c r="CGX5" s="390"/>
      <c r="CGY5" s="390"/>
      <c r="CGZ5" s="390"/>
      <c r="CHA5" s="390"/>
      <c r="CHB5" s="390"/>
      <c r="CHC5" s="390"/>
      <c r="CHD5" s="390"/>
      <c r="CHE5" s="390"/>
      <c r="CHF5" s="390"/>
      <c r="CHG5" s="390"/>
      <c r="CHH5" s="390"/>
      <c r="CHI5" s="390"/>
      <c r="CHJ5" s="390"/>
      <c r="CHK5" s="390"/>
      <c r="CHL5" s="390"/>
      <c r="CHM5" s="390"/>
      <c r="CHN5" s="390"/>
      <c r="CHO5" s="390"/>
      <c r="CHP5" s="390"/>
      <c r="CHQ5" s="390"/>
      <c r="CHR5" s="390"/>
      <c r="CHS5" s="390"/>
      <c r="CHT5" s="390"/>
      <c r="CHU5" s="390"/>
      <c r="CHV5" s="390"/>
      <c r="CHW5" s="390"/>
      <c r="CHX5" s="390"/>
      <c r="CHY5" s="390"/>
      <c r="CHZ5" s="390"/>
      <c r="CIA5" s="390"/>
      <c r="CIB5" s="390"/>
      <c r="CIC5" s="390"/>
      <c r="CID5" s="390"/>
      <c r="CIE5" s="390"/>
      <c r="CIF5" s="390"/>
      <c r="CIG5" s="390"/>
      <c r="CIH5" s="390"/>
      <c r="CII5" s="390"/>
      <c r="CIJ5" s="390"/>
      <c r="CIK5" s="390"/>
      <c r="CIL5" s="390"/>
      <c r="CIM5" s="390"/>
      <c r="CIN5" s="390"/>
      <c r="CIO5" s="390"/>
      <c r="CIP5" s="390"/>
      <c r="CIQ5" s="390"/>
      <c r="CIR5" s="390"/>
      <c r="CIS5" s="390"/>
      <c r="CIT5" s="390"/>
      <c r="CIU5" s="390"/>
      <c r="CIV5" s="390"/>
      <c r="CIW5" s="390"/>
      <c r="CIX5" s="390"/>
      <c r="CIY5" s="390"/>
      <c r="CIZ5" s="390"/>
      <c r="CJA5" s="390"/>
      <c r="CJB5" s="390"/>
      <c r="CJC5" s="390"/>
      <c r="CJD5" s="390"/>
      <c r="CJE5" s="390"/>
      <c r="CJF5" s="390"/>
      <c r="CJG5" s="390"/>
      <c r="CJH5" s="390"/>
      <c r="CJI5" s="390"/>
      <c r="CJJ5" s="390"/>
      <c r="CJK5" s="390"/>
      <c r="CJL5" s="390"/>
      <c r="CJM5" s="390"/>
      <c r="CJN5" s="390"/>
      <c r="CJO5" s="390"/>
      <c r="CJP5" s="390"/>
      <c r="CJQ5" s="390"/>
      <c r="CJR5" s="390"/>
      <c r="CJS5" s="390"/>
      <c r="CJT5" s="390"/>
      <c r="CJU5" s="390"/>
      <c r="CJV5" s="390"/>
      <c r="CJW5" s="390"/>
      <c r="CJX5" s="390"/>
      <c r="CJY5" s="390"/>
      <c r="CJZ5" s="390"/>
      <c r="CKA5" s="390"/>
      <c r="CKB5" s="390"/>
      <c r="CKC5" s="390"/>
      <c r="CKD5" s="390"/>
      <c r="CKE5" s="390"/>
      <c r="CKF5" s="390"/>
      <c r="CKG5" s="390"/>
      <c r="CKH5" s="390"/>
      <c r="CKI5" s="390"/>
      <c r="CKJ5" s="390"/>
      <c r="CKK5" s="390"/>
      <c r="CKL5" s="390"/>
      <c r="CKM5" s="390"/>
      <c r="CKN5" s="390"/>
      <c r="CKO5" s="390"/>
      <c r="CKP5" s="390"/>
      <c r="CKQ5" s="390"/>
      <c r="CKR5" s="390"/>
      <c r="CKS5" s="390"/>
      <c r="CKT5" s="390"/>
      <c r="CKU5" s="390"/>
      <c r="CKV5" s="390"/>
      <c r="CKW5" s="390"/>
      <c r="CKX5" s="390"/>
      <c r="CKY5" s="390"/>
      <c r="CKZ5" s="390"/>
      <c r="CLA5" s="390"/>
      <c r="CLB5" s="390"/>
      <c r="CLC5" s="390"/>
      <c r="CLD5" s="390"/>
      <c r="CLE5" s="390"/>
      <c r="CLF5" s="390"/>
      <c r="CLG5" s="390"/>
      <c r="CLH5" s="390"/>
      <c r="CLI5" s="390"/>
      <c r="CLJ5" s="390"/>
      <c r="CLK5" s="390"/>
      <c r="CLL5" s="390"/>
      <c r="CLM5" s="390"/>
      <c r="CLN5" s="390"/>
      <c r="CLO5" s="390"/>
      <c r="CLP5" s="390"/>
      <c r="CLQ5" s="390"/>
      <c r="CLR5" s="390"/>
      <c r="CLS5" s="390"/>
      <c r="CLT5" s="390"/>
      <c r="CLU5" s="390"/>
      <c r="CLV5" s="390"/>
      <c r="CLW5" s="390"/>
      <c r="CLX5" s="390"/>
      <c r="CLY5" s="390"/>
      <c r="CLZ5" s="390"/>
      <c r="CMA5" s="390"/>
      <c r="CMB5" s="390"/>
      <c r="CMC5" s="390"/>
      <c r="CMD5" s="390"/>
      <c r="CME5" s="390"/>
      <c r="CMF5" s="390"/>
      <c r="CMG5" s="390"/>
      <c r="CMH5" s="390"/>
      <c r="CMI5" s="390"/>
      <c r="CMJ5" s="390"/>
      <c r="CMK5" s="390"/>
      <c r="CML5" s="390"/>
      <c r="CMM5" s="390"/>
      <c r="CMN5" s="390"/>
      <c r="CMO5" s="390"/>
      <c r="CMP5" s="390"/>
      <c r="CMQ5" s="390"/>
      <c r="CMR5" s="390"/>
      <c r="CMS5" s="390"/>
      <c r="CMT5" s="390"/>
      <c r="CMU5" s="390"/>
      <c r="CMV5" s="390"/>
      <c r="CMW5" s="390"/>
      <c r="CMX5" s="390"/>
      <c r="CMY5" s="390"/>
      <c r="CMZ5" s="390"/>
      <c r="CNA5" s="390"/>
      <c r="CNB5" s="390"/>
      <c r="CNC5" s="390"/>
      <c r="CND5" s="390"/>
      <c r="CNE5" s="390"/>
      <c r="CNF5" s="390"/>
      <c r="CNG5" s="390"/>
      <c r="CNH5" s="390"/>
      <c r="CNI5" s="390"/>
      <c r="CNJ5" s="390"/>
      <c r="CNK5" s="390"/>
      <c r="CNL5" s="390"/>
      <c r="CNM5" s="390"/>
      <c r="CNN5" s="390"/>
      <c r="CNO5" s="390"/>
      <c r="CNP5" s="390"/>
      <c r="CNQ5" s="390"/>
      <c r="CNR5" s="390"/>
      <c r="CNS5" s="390"/>
      <c r="CNT5" s="390"/>
      <c r="CNU5" s="390"/>
      <c r="CNV5" s="390"/>
      <c r="CNW5" s="390"/>
      <c r="CNX5" s="390"/>
      <c r="CNY5" s="390"/>
      <c r="CNZ5" s="390"/>
      <c r="COA5" s="390"/>
      <c r="COB5" s="390"/>
      <c r="COC5" s="390"/>
      <c r="COD5" s="390"/>
      <c r="COE5" s="390"/>
      <c r="COF5" s="390"/>
      <c r="COG5" s="390"/>
      <c r="COH5" s="390"/>
      <c r="COI5" s="390"/>
      <c r="COJ5" s="390"/>
      <c r="COK5" s="390"/>
      <c r="COL5" s="390"/>
      <c r="COM5" s="390"/>
      <c r="CON5" s="390"/>
      <c r="COO5" s="390"/>
      <c r="COP5" s="390"/>
      <c r="COQ5" s="390"/>
      <c r="COR5" s="390"/>
      <c r="COS5" s="390"/>
      <c r="COT5" s="390"/>
      <c r="COU5" s="390"/>
      <c r="COV5" s="390"/>
      <c r="COW5" s="390"/>
      <c r="COX5" s="390"/>
      <c r="COY5" s="390"/>
      <c r="COZ5" s="390"/>
      <c r="CPA5" s="390"/>
      <c r="CPB5" s="390"/>
      <c r="CPC5" s="390"/>
      <c r="CPD5" s="390"/>
      <c r="CPE5" s="390"/>
      <c r="CPF5" s="390"/>
      <c r="CPG5" s="390"/>
      <c r="CPH5" s="390"/>
      <c r="CPI5" s="390"/>
      <c r="CPJ5" s="390"/>
      <c r="CPK5" s="390"/>
      <c r="CPL5" s="390"/>
      <c r="CPM5" s="390"/>
      <c r="CPN5" s="390"/>
      <c r="CPO5" s="390"/>
      <c r="CPP5" s="390"/>
      <c r="CPQ5" s="390"/>
      <c r="CPR5" s="390"/>
      <c r="CPS5" s="390"/>
      <c r="CPT5" s="390"/>
      <c r="CPU5" s="390"/>
      <c r="CPV5" s="390"/>
      <c r="CPW5" s="390"/>
      <c r="CPX5" s="390"/>
      <c r="CPY5" s="390"/>
      <c r="CPZ5" s="390"/>
      <c r="CQA5" s="390"/>
      <c r="CQB5" s="390"/>
      <c r="CQC5" s="390"/>
      <c r="CQD5" s="390"/>
      <c r="CQE5" s="390"/>
      <c r="CQF5" s="390"/>
      <c r="CQG5" s="390"/>
      <c r="CQH5" s="390"/>
      <c r="CQI5" s="390"/>
      <c r="CQJ5" s="390"/>
      <c r="CQK5" s="390"/>
      <c r="CQL5" s="390"/>
      <c r="CQM5" s="390"/>
      <c r="CQN5" s="390"/>
      <c r="CQO5" s="390"/>
      <c r="CQP5" s="390"/>
      <c r="CQQ5" s="390"/>
      <c r="CQR5" s="390"/>
      <c r="CQS5" s="390"/>
      <c r="CQT5" s="390"/>
      <c r="CQU5" s="390"/>
      <c r="CQV5" s="390"/>
      <c r="CQW5" s="390"/>
      <c r="CQX5" s="390"/>
      <c r="CQY5" s="390"/>
      <c r="CQZ5" s="390"/>
      <c r="CRA5" s="390"/>
      <c r="CRB5" s="390"/>
      <c r="CRC5" s="390"/>
      <c r="CRD5" s="390"/>
      <c r="CRE5" s="390"/>
      <c r="CRF5" s="390"/>
      <c r="CRG5" s="390"/>
      <c r="CRH5" s="390"/>
      <c r="CRI5" s="390"/>
      <c r="CRJ5" s="390"/>
      <c r="CRK5" s="390"/>
      <c r="CRL5" s="390"/>
      <c r="CRM5" s="390"/>
      <c r="CRN5" s="390"/>
      <c r="CRO5" s="390"/>
      <c r="CRP5" s="390"/>
      <c r="CRQ5" s="390"/>
      <c r="CRR5" s="390"/>
      <c r="CRS5" s="390"/>
      <c r="CRT5" s="390"/>
      <c r="CRU5" s="390"/>
      <c r="CRV5" s="390"/>
      <c r="CRW5" s="390"/>
      <c r="CRX5" s="390"/>
      <c r="CRY5" s="390"/>
      <c r="CRZ5" s="390"/>
      <c r="CSA5" s="390"/>
      <c r="CSB5" s="390"/>
      <c r="CSC5" s="390"/>
      <c r="CSD5" s="390"/>
      <c r="CSE5" s="390"/>
      <c r="CSF5" s="390"/>
      <c r="CSG5" s="390"/>
      <c r="CSH5" s="390"/>
      <c r="CSI5" s="390"/>
      <c r="CSJ5" s="390"/>
      <c r="CSK5" s="390"/>
      <c r="CSL5" s="390"/>
      <c r="CSM5" s="390"/>
      <c r="CSN5" s="390"/>
      <c r="CSO5" s="390"/>
      <c r="CSP5" s="390"/>
      <c r="CSQ5" s="390"/>
      <c r="CSR5" s="390"/>
      <c r="CSS5" s="390"/>
      <c r="CST5" s="390"/>
      <c r="CSU5" s="390"/>
      <c r="CSV5" s="390"/>
      <c r="CSW5" s="390"/>
      <c r="CSX5" s="390"/>
      <c r="CSY5" s="390"/>
      <c r="CSZ5" s="390"/>
      <c r="CTA5" s="390"/>
      <c r="CTB5" s="390"/>
      <c r="CTC5" s="390"/>
      <c r="CTD5" s="390"/>
      <c r="CTE5" s="390"/>
      <c r="CTF5" s="390"/>
      <c r="CTG5" s="390"/>
      <c r="CTH5" s="390"/>
      <c r="CTI5" s="390"/>
      <c r="CTJ5" s="390"/>
      <c r="CTK5" s="390"/>
      <c r="CTL5" s="390"/>
      <c r="CTM5" s="390"/>
      <c r="CTN5" s="390"/>
      <c r="CTO5" s="390"/>
      <c r="CTP5" s="390"/>
      <c r="CTQ5" s="390"/>
      <c r="CTR5" s="390"/>
      <c r="CTS5" s="390"/>
      <c r="CTT5" s="390"/>
      <c r="CTU5" s="390"/>
      <c r="CTV5" s="390"/>
      <c r="CTW5" s="390"/>
      <c r="CTX5" s="390"/>
      <c r="CTY5" s="390"/>
      <c r="CTZ5" s="390"/>
      <c r="CUA5" s="390"/>
      <c r="CUB5" s="390"/>
      <c r="CUC5" s="390"/>
      <c r="CUD5" s="390"/>
      <c r="CUE5" s="390"/>
      <c r="CUF5" s="390"/>
      <c r="CUG5" s="390"/>
      <c r="CUH5" s="390"/>
      <c r="CUI5" s="390"/>
      <c r="CUJ5" s="390"/>
      <c r="CUK5" s="390"/>
      <c r="CUL5" s="390"/>
      <c r="CUM5" s="390"/>
      <c r="CUN5" s="390"/>
      <c r="CUO5" s="390"/>
      <c r="CUP5" s="390"/>
      <c r="CUQ5" s="390"/>
      <c r="CUR5" s="390"/>
      <c r="CUS5" s="390"/>
      <c r="CUT5" s="390"/>
      <c r="CUU5" s="390"/>
      <c r="CUV5" s="390"/>
      <c r="CUW5" s="390"/>
      <c r="CUX5" s="390"/>
      <c r="CUY5" s="390"/>
      <c r="CUZ5" s="390"/>
      <c r="CVA5" s="390"/>
      <c r="CVB5" s="390"/>
      <c r="CVC5" s="390"/>
      <c r="CVD5" s="390"/>
      <c r="CVE5" s="390"/>
      <c r="CVF5" s="390"/>
      <c r="CVG5" s="390"/>
      <c r="CVH5" s="390"/>
      <c r="CVI5" s="390"/>
      <c r="CVJ5" s="390"/>
      <c r="CVK5" s="390"/>
      <c r="CVL5" s="390"/>
      <c r="CVM5" s="390"/>
      <c r="CVN5" s="390"/>
      <c r="CVO5" s="390"/>
      <c r="CVP5" s="390"/>
      <c r="CVQ5" s="390"/>
      <c r="CVR5" s="390"/>
      <c r="CVS5" s="390"/>
      <c r="CVT5" s="390"/>
      <c r="CVU5" s="390"/>
      <c r="CVV5" s="390"/>
      <c r="CVW5" s="390"/>
      <c r="CVX5" s="390"/>
      <c r="CVY5" s="390"/>
      <c r="CVZ5" s="390"/>
      <c r="CWA5" s="390"/>
      <c r="CWB5" s="390"/>
      <c r="CWC5" s="390"/>
      <c r="CWD5" s="390"/>
      <c r="CWE5" s="390"/>
      <c r="CWF5" s="390"/>
      <c r="CWG5" s="390"/>
      <c r="CWH5" s="390"/>
      <c r="CWI5" s="390"/>
      <c r="CWJ5" s="390"/>
      <c r="CWK5" s="390"/>
      <c r="CWL5" s="390"/>
      <c r="CWM5" s="390"/>
      <c r="CWN5" s="390"/>
      <c r="CWO5" s="390"/>
      <c r="CWP5" s="390"/>
      <c r="CWQ5" s="390"/>
      <c r="CWR5" s="390"/>
      <c r="CWS5" s="390"/>
      <c r="CWT5" s="390"/>
      <c r="CWU5" s="390"/>
      <c r="CWV5" s="390"/>
      <c r="CWW5" s="390"/>
      <c r="CWX5" s="390"/>
      <c r="CWY5" s="390"/>
      <c r="CWZ5" s="390"/>
      <c r="CXA5" s="390"/>
      <c r="CXB5" s="390"/>
      <c r="CXC5" s="390"/>
      <c r="CXD5" s="390"/>
      <c r="CXE5" s="390"/>
      <c r="CXF5" s="390"/>
      <c r="CXG5" s="390"/>
      <c r="CXH5" s="390"/>
      <c r="CXI5" s="390"/>
      <c r="CXJ5" s="390"/>
      <c r="CXK5" s="390"/>
      <c r="CXL5" s="390"/>
      <c r="CXM5" s="390"/>
      <c r="CXN5" s="390"/>
      <c r="CXO5" s="390"/>
      <c r="CXP5" s="390"/>
      <c r="CXQ5" s="390"/>
      <c r="CXR5" s="390"/>
      <c r="CXS5" s="390"/>
      <c r="CXT5" s="390"/>
      <c r="CXU5" s="390"/>
      <c r="CXV5" s="390"/>
      <c r="CXW5" s="390"/>
      <c r="CXX5" s="390"/>
      <c r="CXY5" s="390"/>
      <c r="CXZ5" s="390"/>
      <c r="CYA5" s="390"/>
      <c r="CYB5" s="390"/>
      <c r="CYC5" s="390"/>
      <c r="CYD5" s="390"/>
      <c r="CYE5" s="390"/>
      <c r="CYF5" s="390"/>
      <c r="CYG5" s="390"/>
      <c r="CYH5" s="390"/>
      <c r="CYI5" s="390"/>
      <c r="CYJ5" s="390"/>
      <c r="CYK5" s="390"/>
      <c r="CYL5" s="390"/>
      <c r="CYM5" s="390"/>
      <c r="CYN5" s="390"/>
      <c r="CYO5" s="390"/>
      <c r="CYP5" s="390"/>
      <c r="CYQ5" s="390"/>
      <c r="CYR5" s="390"/>
      <c r="CYS5" s="390"/>
      <c r="CYT5" s="390"/>
      <c r="CYU5" s="390"/>
      <c r="CYV5" s="390"/>
      <c r="CYW5" s="390"/>
      <c r="CYX5" s="390"/>
      <c r="CYY5" s="390"/>
      <c r="CYZ5" s="390"/>
      <c r="CZA5" s="390"/>
      <c r="CZB5" s="390"/>
      <c r="CZC5" s="390"/>
      <c r="CZD5" s="390"/>
      <c r="CZE5" s="390"/>
      <c r="CZF5" s="390"/>
      <c r="CZG5" s="390"/>
      <c r="CZH5" s="390"/>
      <c r="CZI5" s="390"/>
      <c r="CZJ5" s="390"/>
      <c r="CZK5" s="390"/>
      <c r="CZL5" s="390"/>
      <c r="CZM5" s="390"/>
      <c r="CZN5" s="390"/>
      <c r="CZO5" s="390"/>
      <c r="CZP5" s="390"/>
      <c r="CZQ5" s="390"/>
      <c r="CZR5" s="390"/>
      <c r="CZS5" s="390"/>
      <c r="CZT5" s="390"/>
      <c r="CZU5" s="390"/>
      <c r="CZV5" s="390"/>
      <c r="CZW5" s="390"/>
      <c r="CZX5" s="390"/>
      <c r="CZY5" s="390"/>
      <c r="CZZ5" s="390"/>
      <c r="DAA5" s="390"/>
      <c r="DAB5" s="390"/>
      <c r="DAC5" s="390"/>
      <c r="DAD5" s="390"/>
      <c r="DAE5" s="390"/>
      <c r="DAF5" s="390"/>
      <c r="DAG5" s="390"/>
      <c r="DAH5" s="390"/>
      <c r="DAI5" s="390"/>
      <c r="DAJ5" s="390"/>
      <c r="DAK5" s="390"/>
      <c r="DAL5" s="390"/>
      <c r="DAM5" s="390"/>
      <c r="DAN5" s="390"/>
      <c r="DAO5" s="390"/>
      <c r="DAP5" s="390"/>
      <c r="DAQ5" s="390"/>
      <c r="DAR5" s="390"/>
      <c r="DAS5" s="390"/>
      <c r="DAT5" s="390"/>
      <c r="DAU5" s="390"/>
      <c r="DAV5" s="390"/>
      <c r="DAW5" s="390"/>
      <c r="DAX5" s="390"/>
      <c r="DAY5" s="390"/>
      <c r="DAZ5" s="390"/>
      <c r="DBA5" s="390"/>
      <c r="DBB5" s="390"/>
      <c r="DBC5" s="390"/>
      <c r="DBD5" s="390"/>
      <c r="DBE5" s="390"/>
      <c r="DBF5" s="390"/>
      <c r="DBG5" s="390"/>
      <c r="DBH5" s="390"/>
      <c r="DBI5" s="390"/>
      <c r="DBJ5" s="390"/>
      <c r="DBK5" s="390"/>
      <c r="DBL5" s="390"/>
      <c r="DBM5" s="390"/>
      <c r="DBN5" s="390"/>
      <c r="DBO5" s="390"/>
      <c r="DBP5" s="390"/>
      <c r="DBQ5" s="390"/>
      <c r="DBR5" s="390"/>
      <c r="DBS5" s="390"/>
      <c r="DBT5" s="390"/>
      <c r="DBU5" s="390"/>
      <c r="DBV5" s="390"/>
      <c r="DBW5" s="390"/>
      <c r="DBX5" s="390"/>
      <c r="DBY5" s="390"/>
      <c r="DBZ5" s="390"/>
      <c r="DCA5" s="390"/>
      <c r="DCB5" s="390"/>
      <c r="DCC5" s="390"/>
      <c r="DCD5" s="390"/>
      <c r="DCE5" s="390"/>
      <c r="DCF5" s="390"/>
      <c r="DCG5" s="390"/>
      <c r="DCH5" s="390"/>
      <c r="DCI5" s="390"/>
      <c r="DCJ5" s="390"/>
      <c r="DCK5" s="390"/>
      <c r="DCL5" s="390"/>
      <c r="DCM5" s="390"/>
      <c r="DCN5" s="390"/>
      <c r="DCO5" s="390"/>
      <c r="DCP5" s="390"/>
      <c r="DCQ5" s="390"/>
      <c r="DCR5" s="390"/>
      <c r="DCS5" s="390"/>
      <c r="DCT5" s="390"/>
      <c r="DCU5" s="390"/>
      <c r="DCV5" s="390"/>
      <c r="DCW5" s="390"/>
      <c r="DCX5" s="390"/>
      <c r="DCY5" s="390"/>
      <c r="DCZ5" s="390"/>
      <c r="DDA5" s="390"/>
      <c r="DDB5" s="390"/>
      <c r="DDC5" s="390"/>
      <c r="DDD5" s="390"/>
      <c r="DDE5" s="390"/>
      <c r="DDF5" s="390"/>
      <c r="DDG5" s="390"/>
      <c r="DDH5" s="390"/>
      <c r="DDI5" s="390"/>
      <c r="DDJ5" s="390"/>
      <c r="DDK5" s="390"/>
      <c r="DDL5" s="390"/>
      <c r="DDM5" s="390"/>
      <c r="DDN5" s="390"/>
      <c r="DDO5" s="390"/>
      <c r="DDP5" s="390"/>
      <c r="DDQ5" s="390"/>
      <c r="DDR5" s="390"/>
      <c r="DDS5" s="390"/>
      <c r="DDT5" s="390"/>
      <c r="DDU5" s="390"/>
      <c r="DDV5" s="390"/>
      <c r="DDW5" s="390"/>
      <c r="DDX5" s="390"/>
      <c r="DDY5" s="390"/>
      <c r="DDZ5" s="390"/>
      <c r="DEA5" s="390"/>
      <c r="DEB5" s="390"/>
      <c r="DEC5" s="390"/>
      <c r="DED5" s="390"/>
      <c r="DEE5" s="390"/>
      <c r="DEF5" s="390"/>
      <c r="DEG5" s="390"/>
      <c r="DEH5" s="390"/>
      <c r="DEI5" s="390"/>
      <c r="DEJ5" s="390"/>
      <c r="DEK5" s="390"/>
      <c r="DEL5" s="390"/>
      <c r="DEM5" s="390"/>
      <c r="DEN5" s="390"/>
      <c r="DEO5" s="390"/>
      <c r="DEP5" s="390"/>
      <c r="DEQ5" s="390"/>
      <c r="DER5" s="390"/>
      <c r="DES5" s="390"/>
      <c r="DET5" s="390"/>
      <c r="DEU5" s="390"/>
      <c r="DEV5" s="390"/>
      <c r="DEW5" s="390"/>
      <c r="DEX5" s="390"/>
      <c r="DEY5" s="390"/>
      <c r="DEZ5" s="390"/>
      <c r="DFA5" s="390"/>
      <c r="DFB5" s="390"/>
      <c r="DFC5" s="390"/>
      <c r="DFD5" s="390"/>
      <c r="DFE5" s="390"/>
      <c r="DFF5" s="390"/>
      <c r="DFG5" s="390"/>
      <c r="DFH5" s="390"/>
      <c r="DFI5" s="390"/>
      <c r="DFJ5" s="390"/>
      <c r="DFK5" s="390"/>
      <c r="DFL5" s="390"/>
      <c r="DFM5" s="390"/>
      <c r="DFN5" s="390"/>
      <c r="DFO5" s="390"/>
      <c r="DFP5" s="390"/>
      <c r="DFQ5" s="390"/>
      <c r="DFR5" s="390"/>
      <c r="DFS5" s="390"/>
      <c r="DFT5" s="390"/>
      <c r="DFU5" s="390"/>
      <c r="DFV5" s="390"/>
      <c r="DFW5" s="390"/>
      <c r="DFX5" s="390"/>
      <c r="DFY5" s="390"/>
      <c r="DFZ5" s="390"/>
      <c r="DGA5" s="390"/>
      <c r="DGB5" s="390"/>
      <c r="DGC5" s="390"/>
      <c r="DGD5" s="390"/>
      <c r="DGE5" s="390"/>
      <c r="DGF5" s="390"/>
      <c r="DGG5" s="390"/>
      <c r="DGH5" s="390"/>
      <c r="DGI5" s="390"/>
      <c r="DGJ5" s="390"/>
      <c r="DGK5" s="390"/>
      <c r="DGL5" s="390"/>
      <c r="DGM5" s="390"/>
      <c r="DGN5" s="390"/>
      <c r="DGO5" s="390"/>
      <c r="DGP5" s="390"/>
      <c r="DGQ5" s="390"/>
      <c r="DGR5" s="390"/>
      <c r="DGS5" s="390"/>
      <c r="DGT5" s="390"/>
      <c r="DGU5" s="390"/>
      <c r="DGV5" s="390"/>
      <c r="DGW5" s="390"/>
      <c r="DGX5" s="390"/>
      <c r="DGY5" s="390"/>
      <c r="DGZ5" s="390"/>
      <c r="DHA5" s="390"/>
      <c r="DHB5" s="390"/>
      <c r="DHC5" s="390"/>
      <c r="DHD5" s="390"/>
      <c r="DHE5" s="390"/>
      <c r="DHF5" s="390"/>
      <c r="DHG5" s="390"/>
      <c r="DHH5" s="390"/>
      <c r="DHI5" s="390"/>
      <c r="DHJ5" s="390"/>
      <c r="DHK5" s="390"/>
      <c r="DHL5" s="390"/>
      <c r="DHM5" s="390"/>
      <c r="DHN5" s="390"/>
      <c r="DHO5" s="390"/>
      <c r="DHP5" s="390"/>
      <c r="DHQ5" s="390"/>
      <c r="DHR5" s="390"/>
      <c r="DHS5" s="390"/>
      <c r="DHT5" s="390"/>
      <c r="DHU5" s="390"/>
      <c r="DHV5" s="390"/>
      <c r="DHW5" s="390"/>
      <c r="DHX5" s="390"/>
      <c r="DHY5" s="390"/>
      <c r="DHZ5" s="390"/>
      <c r="DIA5" s="390"/>
      <c r="DIB5" s="390"/>
      <c r="DIC5" s="390"/>
      <c r="DID5" s="390"/>
      <c r="DIE5" s="390"/>
      <c r="DIF5" s="390"/>
      <c r="DIG5" s="390"/>
      <c r="DIH5" s="390"/>
      <c r="DII5" s="390"/>
      <c r="DIJ5" s="390"/>
      <c r="DIK5" s="390"/>
      <c r="DIL5" s="390"/>
      <c r="DIM5" s="390"/>
      <c r="DIN5" s="390"/>
      <c r="DIO5" s="390"/>
      <c r="DIP5" s="390"/>
      <c r="DIQ5" s="390"/>
      <c r="DIR5" s="390"/>
      <c r="DIS5" s="390"/>
      <c r="DIT5" s="390"/>
      <c r="DIU5" s="390"/>
      <c r="DIV5" s="390"/>
      <c r="DIW5" s="390"/>
      <c r="DIX5" s="390"/>
      <c r="DIY5" s="390"/>
      <c r="DIZ5" s="390"/>
      <c r="DJA5" s="390"/>
      <c r="DJB5" s="390"/>
      <c r="DJC5" s="390"/>
      <c r="DJD5" s="390"/>
      <c r="DJE5" s="390"/>
      <c r="DJF5" s="390"/>
      <c r="DJG5" s="390"/>
      <c r="DJH5" s="390"/>
      <c r="DJI5" s="390"/>
      <c r="DJJ5" s="390"/>
      <c r="DJK5" s="390"/>
      <c r="DJL5" s="390"/>
      <c r="DJM5" s="390"/>
      <c r="DJN5" s="390"/>
      <c r="DJO5" s="390"/>
      <c r="DJP5" s="390"/>
      <c r="DJQ5" s="390"/>
      <c r="DJR5" s="390"/>
      <c r="DJS5" s="390"/>
      <c r="DJT5" s="390"/>
      <c r="DJU5" s="390"/>
      <c r="DJV5" s="390"/>
      <c r="DJW5" s="390"/>
      <c r="DJX5" s="390"/>
      <c r="DJY5" s="390"/>
      <c r="DJZ5" s="390"/>
      <c r="DKA5" s="390"/>
      <c r="DKB5" s="390"/>
      <c r="DKC5" s="390"/>
      <c r="DKD5" s="390"/>
      <c r="DKE5" s="390"/>
      <c r="DKF5" s="390"/>
      <c r="DKG5" s="390"/>
      <c r="DKH5" s="390"/>
      <c r="DKI5" s="390"/>
      <c r="DKJ5" s="390"/>
      <c r="DKK5" s="390"/>
      <c r="DKL5" s="390"/>
      <c r="DKM5" s="390"/>
      <c r="DKN5" s="390"/>
      <c r="DKO5" s="390"/>
      <c r="DKP5" s="390"/>
      <c r="DKQ5" s="390"/>
      <c r="DKR5" s="390"/>
      <c r="DKS5" s="390"/>
      <c r="DKT5" s="390"/>
      <c r="DKU5" s="390"/>
      <c r="DKV5" s="390"/>
      <c r="DKW5" s="390"/>
      <c r="DKX5" s="390"/>
      <c r="DKY5" s="390"/>
      <c r="DKZ5" s="390"/>
      <c r="DLA5" s="390"/>
      <c r="DLB5" s="390"/>
      <c r="DLC5" s="390"/>
      <c r="DLD5" s="390"/>
      <c r="DLE5" s="390"/>
      <c r="DLF5" s="390"/>
      <c r="DLG5" s="390"/>
      <c r="DLH5" s="390"/>
      <c r="DLI5" s="390"/>
      <c r="DLJ5" s="390"/>
      <c r="DLK5" s="390"/>
      <c r="DLL5" s="390"/>
      <c r="DLM5" s="390"/>
      <c r="DLN5" s="390"/>
      <c r="DLO5" s="390"/>
      <c r="DLP5" s="390"/>
      <c r="DLQ5" s="390"/>
      <c r="DLR5" s="390"/>
      <c r="DLS5" s="390"/>
      <c r="DLT5" s="390"/>
      <c r="DLU5" s="390"/>
      <c r="DLV5" s="390"/>
      <c r="DLW5" s="390"/>
      <c r="DLX5" s="390"/>
      <c r="DLY5" s="390"/>
      <c r="DLZ5" s="390"/>
      <c r="DMA5" s="390"/>
      <c r="DMB5" s="390"/>
      <c r="DMC5" s="390"/>
      <c r="DMD5" s="390"/>
      <c r="DME5" s="390"/>
      <c r="DMF5" s="390"/>
      <c r="DMG5" s="390"/>
      <c r="DMH5" s="390"/>
      <c r="DMI5" s="390"/>
      <c r="DMJ5" s="390"/>
      <c r="DMK5" s="390"/>
      <c r="DML5" s="390"/>
      <c r="DMM5" s="390"/>
      <c r="DMN5" s="390"/>
      <c r="DMO5" s="390"/>
      <c r="DMP5" s="390"/>
      <c r="DMQ5" s="390"/>
      <c r="DMR5" s="390"/>
      <c r="DMS5" s="390"/>
      <c r="DMT5" s="390"/>
      <c r="DMU5" s="390"/>
      <c r="DMV5" s="390"/>
      <c r="DMW5" s="390"/>
      <c r="DMX5" s="390"/>
      <c r="DMY5" s="390"/>
      <c r="DMZ5" s="390"/>
      <c r="DNA5" s="390"/>
      <c r="DNB5" s="390"/>
      <c r="DNC5" s="390"/>
      <c r="DND5" s="390"/>
      <c r="DNE5" s="390"/>
      <c r="DNF5" s="390"/>
      <c r="DNG5" s="390"/>
      <c r="DNH5" s="390"/>
      <c r="DNI5" s="390"/>
      <c r="DNJ5" s="390"/>
      <c r="DNK5" s="390"/>
      <c r="DNL5" s="390"/>
      <c r="DNM5" s="390"/>
      <c r="DNN5" s="390"/>
      <c r="DNO5" s="390"/>
      <c r="DNP5" s="390"/>
      <c r="DNQ5" s="390"/>
      <c r="DNR5" s="390"/>
      <c r="DNS5" s="390"/>
      <c r="DNT5" s="390"/>
      <c r="DNU5" s="390"/>
      <c r="DNV5" s="390"/>
      <c r="DNW5" s="390"/>
      <c r="DNX5" s="390"/>
      <c r="DNY5" s="390"/>
      <c r="DNZ5" s="390"/>
      <c r="DOA5" s="390"/>
      <c r="DOB5" s="390"/>
      <c r="DOC5" s="390"/>
      <c r="DOD5" s="390"/>
      <c r="DOE5" s="390"/>
      <c r="DOF5" s="390"/>
      <c r="DOG5" s="390"/>
      <c r="DOH5" s="390"/>
      <c r="DOI5" s="390"/>
      <c r="DOJ5" s="390"/>
      <c r="DOK5" s="390"/>
      <c r="DOL5" s="390"/>
      <c r="DOM5" s="390"/>
      <c r="DON5" s="390"/>
      <c r="DOO5" s="390"/>
      <c r="DOP5" s="390"/>
      <c r="DOQ5" s="390"/>
      <c r="DOR5" s="390"/>
      <c r="DOS5" s="390"/>
      <c r="DOT5" s="390"/>
      <c r="DOU5" s="390"/>
      <c r="DOV5" s="390"/>
      <c r="DOW5" s="390"/>
      <c r="DOX5" s="390"/>
      <c r="DOY5" s="390"/>
      <c r="DOZ5" s="390"/>
      <c r="DPA5" s="390"/>
      <c r="DPB5" s="390"/>
      <c r="DPC5" s="390"/>
      <c r="DPD5" s="390"/>
      <c r="DPE5" s="390"/>
      <c r="DPF5" s="390"/>
      <c r="DPG5" s="390"/>
      <c r="DPH5" s="390"/>
      <c r="DPI5" s="390"/>
      <c r="DPJ5" s="390"/>
      <c r="DPK5" s="390"/>
      <c r="DPL5" s="390"/>
      <c r="DPM5" s="390"/>
      <c r="DPN5" s="390"/>
      <c r="DPO5" s="390"/>
      <c r="DPP5" s="390"/>
      <c r="DPQ5" s="390"/>
      <c r="DPR5" s="390"/>
      <c r="DPS5" s="390"/>
      <c r="DPT5" s="390"/>
      <c r="DPU5" s="390"/>
      <c r="DPV5" s="390"/>
      <c r="DPW5" s="390"/>
      <c r="DPX5" s="390"/>
      <c r="DPY5" s="390"/>
      <c r="DPZ5" s="390"/>
      <c r="DQA5" s="390"/>
      <c r="DQB5" s="390"/>
      <c r="DQC5" s="390"/>
      <c r="DQD5" s="390"/>
      <c r="DQE5" s="390"/>
      <c r="DQF5" s="390"/>
      <c r="DQG5" s="390"/>
      <c r="DQH5" s="390"/>
      <c r="DQI5" s="390"/>
      <c r="DQJ5" s="390"/>
      <c r="DQK5" s="390"/>
      <c r="DQL5" s="390"/>
      <c r="DQM5" s="390"/>
      <c r="DQN5" s="390"/>
      <c r="DQO5" s="390"/>
      <c r="DQP5" s="390"/>
      <c r="DQQ5" s="390"/>
      <c r="DQR5" s="390"/>
      <c r="DQS5" s="390"/>
      <c r="DQT5" s="390"/>
      <c r="DQU5" s="390"/>
      <c r="DQV5" s="390"/>
      <c r="DQW5" s="390"/>
      <c r="DQX5" s="390"/>
      <c r="DQY5" s="390"/>
      <c r="DQZ5" s="390"/>
      <c r="DRA5" s="390"/>
      <c r="DRB5" s="390"/>
      <c r="DRC5" s="390"/>
      <c r="DRD5" s="390"/>
      <c r="DRE5" s="390"/>
      <c r="DRF5" s="390"/>
      <c r="DRG5" s="390"/>
      <c r="DRH5" s="390"/>
      <c r="DRI5" s="390"/>
      <c r="DRJ5" s="390"/>
      <c r="DRK5" s="390"/>
      <c r="DRL5" s="390"/>
      <c r="DRM5" s="390"/>
      <c r="DRN5" s="390"/>
      <c r="DRO5" s="390"/>
      <c r="DRP5" s="390"/>
      <c r="DRQ5" s="390"/>
      <c r="DRR5" s="390"/>
      <c r="DRS5" s="390"/>
      <c r="DRT5" s="390"/>
      <c r="DRU5" s="390"/>
      <c r="DRV5" s="390"/>
      <c r="DRW5" s="390"/>
      <c r="DRX5" s="390"/>
      <c r="DRY5" s="390"/>
      <c r="DRZ5" s="390"/>
      <c r="DSA5" s="390"/>
      <c r="DSB5" s="390"/>
      <c r="DSC5" s="390"/>
      <c r="DSD5" s="390"/>
      <c r="DSE5" s="390"/>
      <c r="DSF5" s="390"/>
      <c r="DSG5" s="390"/>
      <c r="DSH5" s="390"/>
      <c r="DSI5" s="390"/>
      <c r="DSJ5" s="390"/>
      <c r="DSK5" s="390"/>
      <c r="DSL5" s="390"/>
      <c r="DSM5" s="390"/>
      <c r="DSN5" s="390"/>
      <c r="DSO5" s="390"/>
      <c r="DSP5" s="390"/>
      <c r="DSQ5" s="390"/>
      <c r="DSR5" s="390"/>
      <c r="DSS5" s="390"/>
      <c r="DST5" s="390"/>
      <c r="DSU5" s="390"/>
      <c r="DSV5" s="390"/>
      <c r="DSW5" s="390"/>
      <c r="DSX5" s="390"/>
      <c r="DSY5" s="390"/>
      <c r="DSZ5" s="390"/>
      <c r="DTA5" s="390"/>
      <c r="DTB5" s="390"/>
      <c r="DTC5" s="390"/>
      <c r="DTD5" s="390"/>
      <c r="DTE5" s="390"/>
      <c r="DTF5" s="390"/>
      <c r="DTG5" s="390"/>
      <c r="DTH5" s="390"/>
      <c r="DTI5" s="390"/>
      <c r="DTJ5" s="390"/>
      <c r="DTK5" s="390"/>
      <c r="DTL5" s="390"/>
      <c r="DTM5" s="390"/>
      <c r="DTN5" s="390"/>
      <c r="DTO5" s="390"/>
      <c r="DTP5" s="390"/>
      <c r="DTQ5" s="390"/>
      <c r="DTR5" s="390"/>
      <c r="DTS5" s="390"/>
      <c r="DTT5" s="390"/>
      <c r="DTU5" s="390"/>
      <c r="DTV5" s="390"/>
      <c r="DTW5" s="390"/>
      <c r="DTX5" s="390"/>
      <c r="DTY5" s="390"/>
      <c r="DTZ5" s="390"/>
      <c r="DUA5" s="390"/>
      <c r="DUB5" s="390"/>
      <c r="DUC5" s="390"/>
      <c r="DUD5" s="390"/>
      <c r="DUE5" s="390"/>
      <c r="DUF5" s="390"/>
      <c r="DUG5" s="390"/>
      <c r="DUH5" s="390"/>
      <c r="DUI5" s="390"/>
      <c r="DUJ5" s="390"/>
      <c r="DUK5" s="390"/>
      <c r="DUL5" s="390"/>
      <c r="DUM5" s="390"/>
      <c r="DUN5" s="390"/>
      <c r="DUO5" s="390"/>
      <c r="DUP5" s="390"/>
      <c r="DUQ5" s="390"/>
      <c r="DUR5" s="390"/>
      <c r="DUS5" s="390"/>
      <c r="DUT5" s="390"/>
      <c r="DUU5" s="390"/>
      <c r="DUV5" s="390"/>
      <c r="DUW5" s="390"/>
      <c r="DUX5" s="390"/>
      <c r="DUY5" s="390"/>
      <c r="DUZ5" s="390"/>
      <c r="DVA5" s="390"/>
      <c r="DVB5" s="390"/>
      <c r="DVC5" s="390"/>
      <c r="DVD5" s="390"/>
      <c r="DVE5" s="390"/>
      <c r="DVF5" s="390"/>
      <c r="DVG5" s="390"/>
      <c r="DVH5" s="390"/>
      <c r="DVI5" s="390"/>
      <c r="DVJ5" s="390"/>
      <c r="DVK5" s="390"/>
      <c r="DVL5" s="390"/>
      <c r="DVM5" s="390"/>
      <c r="DVN5" s="390"/>
      <c r="DVO5" s="390"/>
      <c r="DVP5" s="390"/>
      <c r="DVQ5" s="390"/>
      <c r="DVR5" s="390"/>
      <c r="DVS5" s="390"/>
      <c r="DVT5" s="390"/>
      <c r="DVU5" s="390"/>
      <c r="DVV5" s="390"/>
      <c r="DVW5" s="390"/>
      <c r="DVX5" s="390"/>
      <c r="DVY5" s="390"/>
      <c r="DVZ5" s="390"/>
      <c r="DWA5" s="390"/>
      <c r="DWB5" s="390"/>
      <c r="DWC5" s="390"/>
      <c r="DWD5" s="390"/>
      <c r="DWE5" s="390"/>
      <c r="DWF5" s="390"/>
      <c r="DWG5" s="390"/>
      <c r="DWH5" s="390"/>
      <c r="DWI5" s="390"/>
      <c r="DWJ5" s="390"/>
      <c r="DWK5" s="390"/>
      <c r="DWL5" s="390"/>
      <c r="DWM5" s="390"/>
      <c r="DWN5" s="390"/>
      <c r="DWO5" s="390"/>
      <c r="DWP5" s="390"/>
      <c r="DWQ5" s="390"/>
      <c r="DWR5" s="390"/>
      <c r="DWS5" s="390"/>
      <c r="DWT5" s="390"/>
      <c r="DWU5" s="390"/>
      <c r="DWV5" s="390"/>
      <c r="DWW5" s="390"/>
      <c r="DWX5" s="390"/>
      <c r="DWY5" s="390"/>
      <c r="DWZ5" s="390"/>
      <c r="DXA5" s="390"/>
      <c r="DXB5" s="390"/>
      <c r="DXC5" s="390"/>
      <c r="DXD5" s="390"/>
      <c r="DXE5" s="390"/>
      <c r="DXF5" s="390"/>
      <c r="DXG5" s="390"/>
      <c r="DXH5" s="390"/>
      <c r="DXI5" s="390"/>
      <c r="DXJ5" s="390"/>
      <c r="DXK5" s="390"/>
      <c r="DXL5" s="390"/>
      <c r="DXM5" s="390"/>
      <c r="DXN5" s="390"/>
      <c r="DXO5" s="390"/>
      <c r="DXP5" s="390"/>
      <c r="DXQ5" s="390"/>
      <c r="DXR5" s="390"/>
      <c r="DXS5" s="390"/>
      <c r="DXT5" s="390"/>
      <c r="DXU5" s="390"/>
      <c r="DXV5" s="390"/>
      <c r="DXW5" s="390"/>
      <c r="DXX5" s="390"/>
      <c r="DXY5" s="390"/>
      <c r="DXZ5" s="390"/>
      <c r="DYA5" s="390"/>
      <c r="DYB5" s="390"/>
      <c r="DYC5" s="390"/>
      <c r="DYD5" s="390"/>
      <c r="DYE5" s="390"/>
      <c r="DYF5" s="390"/>
      <c r="DYG5" s="390"/>
      <c r="DYH5" s="390"/>
      <c r="DYI5" s="390"/>
      <c r="DYJ5" s="390"/>
      <c r="DYK5" s="390"/>
      <c r="DYL5" s="390"/>
      <c r="DYM5" s="390"/>
      <c r="DYN5" s="390"/>
      <c r="DYO5" s="390"/>
      <c r="DYP5" s="390"/>
      <c r="DYQ5" s="390"/>
      <c r="DYR5" s="390"/>
      <c r="DYS5" s="390"/>
      <c r="DYT5" s="390"/>
      <c r="DYU5" s="390"/>
      <c r="DYV5" s="390"/>
      <c r="DYW5" s="390"/>
      <c r="DYX5" s="390"/>
      <c r="DYY5" s="390"/>
      <c r="DYZ5" s="390"/>
      <c r="DZA5" s="390"/>
      <c r="DZB5" s="390"/>
      <c r="DZC5" s="390"/>
      <c r="DZD5" s="390"/>
      <c r="DZE5" s="390"/>
      <c r="DZF5" s="390"/>
      <c r="DZG5" s="390"/>
      <c r="DZH5" s="390"/>
      <c r="DZI5" s="390"/>
      <c r="DZJ5" s="390"/>
      <c r="DZK5" s="390"/>
      <c r="DZL5" s="390"/>
      <c r="DZM5" s="390"/>
      <c r="DZN5" s="390"/>
      <c r="DZO5" s="390"/>
      <c r="DZP5" s="390"/>
      <c r="DZQ5" s="390"/>
      <c r="DZR5" s="390"/>
      <c r="DZS5" s="390"/>
      <c r="DZT5" s="390"/>
      <c r="DZU5" s="390"/>
      <c r="DZV5" s="390"/>
      <c r="DZW5" s="390"/>
      <c r="DZX5" s="390"/>
      <c r="DZY5" s="390"/>
      <c r="DZZ5" s="390"/>
      <c r="EAA5" s="390"/>
      <c r="EAB5" s="390"/>
      <c r="EAC5" s="390"/>
      <c r="EAD5" s="390"/>
      <c r="EAE5" s="390"/>
      <c r="EAF5" s="390"/>
      <c r="EAG5" s="390"/>
      <c r="EAH5" s="390"/>
      <c r="EAI5" s="390"/>
      <c r="EAJ5" s="390"/>
      <c r="EAK5" s="390"/>
      <c r="EAL5" s="390"/>
      <c r="EAM5" s="390"/>
      <c r="EAN5" s="390"/>
      <c r="EAO5" s="390"/>
      <c r="EAP5" s="390"/>
      <c r="EAQ5" s="390"/>
      <c r="EAR5" s="390"/>
      <c r="EAS5" s="390"/>
      <c r="EAT5" s="390"/>
      <c r="EAU5" s="390"/>
      <c r="EAV5" s="390"/>
      <c r="EAW5" s="390"/>
      <c r="EAX5" s="390"/>
      <c r="EAY5" s="390"/>
      <c r="EAZ5" s="390"/>
      <c r="EBA5" s="390"/>
      <c r="EBB5" s="390"/>
      <c r="EBC5" s="390"/>
      <c r="EBD5" s="390"/>
      <c r="EBE5" s="390"/>
      <c r="EBF5" s="390"/>
      <c r="EBG5" s="390"/>
      <c r="EBH5" s="390"/>
      <c r="EBI5" s="390"/>
      <c r="EBJ5" s="390"/>
      <c r="EBK5" s="390"/>
      <c r="EBL5" s="390"/>
      <c r="EBM5" s="390"/>
      <c r="EBN5" s="390"/>
      <c r="EBO5" s="390"/>
      <c r="EBP5" s="390"/>
      <c r="EBQ5" s="390"/>
      <c r="EBR5" s="390"/>
      <c r="EBS5" s="390"/>
      <c r="EBT5" s="390"/>
      <c r="EBU5" s="390"/>
      <c r="EBV5" s="390"/>
      <c r="EBW5" s="390"/>
      <c r="EBX5" s="390"/>
      <c r="EBY5" s="390"/>
      <c r="EBZ5" s="390"/>
      <c r="ECA5" s="390"/>
      <c r="ECB5" s="390"/>
      <c r="ECC5" s="390"/>
      <c r="ECD5" s="390"/>
      <c r="ECE5" s="390"/>
      <c r="ECF5" s="390"/>
      <c r="ECG5" s="390"/>
      <c r="ECH5" s="390"/>
      <c r="ECI5" s="390"/>
      <c r="ECJ5" s="390"/>
      <c r="ECK5" s="390"/>
      <c r="ECL5" s="390"/>
      <c r="ECM5" s="390"/>
      <c r="ECN5" s="390"/>
      <c r="ECO5" s="390"/>
      <c r="ECP5" s="390"/>
      <c r="ECQ5" s="390"/>
      <c r="ECR5" s="390"/>
      <c r="ECS5" s="390"/>
      <c r="ECT5" s="390"/>
      <c r="ECU5" s="390"/>
      <c r="ECV5" s="390"/>
      <c r="ECW5" s="390"/>
      <c r="ECX5" s="390"/>
      <c r="ECY5" s="390"/>
      <c r="ECZ5" s="390"/>
      <c r="EDA5" s="390"/>
      <c r="EDB5" s="390"/>
      <c r="EDC5" s="390"/>
      <c r="EDD5" s="390"/>
      <c r="EDE5" s="390"/>
      <c r="EDF5" s="390"/>
      <c r="EDG5" s="390"/>
      <c r="EDH5" s="390"/>
      <c r="EDI5" s="390"/>
      <c r="EDJ5" s="390"/>
      <c r="EDK5" s="390"/>
      <c r="EDL5" s="390"/>
      <c r="EDM5" s="390"/>
      <c r="EDN5" s="390"/>
      <c r="EDO5" s="390"/>
      <c r="EDP5" s="390"/>
      <c r="EDQ5" s="390"/>
      <c r="EDR5" s="390"/>
      <c r="EDS5" s="390"/>
      <c r="EDT5" s="390"/>
      <c r="EDU5" s="390"/>
      <c r="EDV5" s="390"/>
      <c r="EDW5" s="390"/>
      <c r="EDX5" s="390"/>
      <c r="EDY5" s="390"/>
      <c r="EDZ5" s="390"/>
      <c r="EEA5" s="390"/>
      <c r="EEB5" s="390"/>
      <c r="EEC5" s="390"/>
      <c r="EED5" s="390"/>
      <c r="EEE5" s="390"/>
      <c r="EEF5" s="390"/>
      <c r="EEG5" s="390"/>
      <c r="EEH5" s="390"/>
      <c r="EEI5" s="390"/>
      <c r="EEJ5" s="390"/>
      <c r="EEK5" s="390"/>
      <c r="EEL5" s="390"/>
      <c r="EEM5" s="390"/>
      <c r="EEN5" s="390"/>
      <c r="EEO5" s="390"/>
      <c r="EEP5" s="390"/>
      <c r="EEQ5" s="390"/>
      <c r="EER5" s="390"/>
      <c r="EES5" s="390"/>
      <c r="EET5" s="390"/>
      <c r="EEU5" s="390"/>
      <c r="EEV5" s="390"/>
      <c r="EEW5" s="390"/>
      <c r="EEX5" s="390"/>
      <c r="EEY5" s="390"/>
      <c r="EEZ5" s="390"/>
      <c r="EFA5" s="390"/>
      <c r="EFB5" s="390"/>
      <c r="EFC5" s="390"/>
      <c r="EFD5" s="390"/>
      <c r="EFE5" s="390"/>
      <c r="EFF5" s="390"/>
      <c r="EFG5" s="390"/>
      <c r="EFH5" s="390"/>
      <c r="EFI5" s="390"/>
      <c r="EFJ5" s="390"/>
      <c r="EFK5" s="390"/>
      <c r="EFL5" s="390"/>
      <c r="EFM5" s="390"/>
      <c r="EFN5" s="390"/>
      <c r="EFO5" s="390"/>
      <c r="EFP5" s="390"/>
      <c r="EFQ5" s="390"/>
      <c r="EFR5" s="390"/>
      <c r="EFS5" s="390"/>
      <c r="EFT5" s="390"/>
      <c r="EFU5" s="390"/>
      <c r="EFV5" s="390"/>
      <c r="EFW5" s="390"/>
      <c r="EFX5" s="390"/>
      <c r="EFY5" s="390"/>
      <c r="EFZ5" s="390"/>
      <c r="EGA5" s="390"/>
      <c r="EGB5" s="390"/>
      <c r="EGC5" s="390"/>
      <c r="EGD5" s="390"/>
      <c r="EGE5" s="390"/>
      <c r="EGF5" s="390"/>
      <c r="EGG5" s="390"/>
      <c r="EGH5" s="390"/>
      <c r="EGI5" s="390"/>
      <c r="EGJ5" s="390"/>
      <c r="EGK5" s="390"/>
      <c r="EGL5" s="390"/>
      <c r="EGM5" s="390"/>
      <c r="EGN5" s="390"/>
      <c r="EGO5" s="390"/>
      <c r="EGP5" s="390"/>
      <c r="EGQ5" s="390"/>
      <c r="EGR5" s="390"/>
      <c r="EGS5" s="390"/>
      <c r="EGT5" s="390"/>
      <c r="EGU5" s="390"/>
      <c r="EGV5" s="390"/>
      <c r="EGW5" s="390"/>
      <c r="EGX5" s="390"/>
      <c r="EGY5" s="390"/>
      <c r="EGZ5" s="390"/>
      <c r="EHA5" s="390"/>
      <c r="EHB5" s="390"/>
      <c r="EHC5" s="390"/>
      <c r="EHD5" s="390"/>
      <c r="EHE5" s="390"/>
      <c r="EHF5" s="390"/>
      <c r="EHG5" s="390"/>
      <c r="EHH5" s="390"/>
      <c r="EHI5" s="390"/>
      <c r="EHJ5" s="390"/>
      <c r="EHK5" s="390"/>
      <c r="EHL5" s="390"/>
      <c r="EHM5" s="390"/>
      <c r="EHN5" s="390"/>
      <c r="EHO5" s="390"/>
      <c r="EHP5" s="390"/>
      <c r="EHQ5" s="390"/>
      <c r="EHR5" s="390"/>
      <c r="EHS5" s="390"/>
      <c r="EHT5" s="390"/>
      <c r="EHU5" s="390"/>
      <c r="EHV5" s="390"/>
      <c r="EHW5" s="390"/>
      <c r="EHX5" s="390"/>
      <c r="EHY5" s="390"/>
      <c r="EHZ5" s="390"/>
      <c r="EIA5" s="390"/>
      <c r="EIB5" s="390"/>
      <c r="EIC5" s="390"/>
      <c r="EID5" s="390"/>
      <c r="EIE5" s="390"/>
      <c r="EIF5" s="390"/>
      <c r="EIG5" s="390"/>
      <c r="EIH5" s="390"/>
      <c r="EII5" s="390"/>
      <c r="EIJ5" s="390"/>
      <c r="EIK5" s="390"/>
      <c r="EIL5" s="390"/>
      <c r="EIM5" s="390"/>
      <c r="EIN5" s="390"/>
      <c r="EIO5" s="390"/>
      <c r="EIP5" s="390"/>
      <c r="EIQ5" s="390"/>
      <c r="EIR5" s="390"/>
      <c r="EIS5" s="390"/>
      <c r="EIT5" s="390"/>
      <c r="EIU5" s="390"/>
      <c r="EIV5" s="390"/>
      <c r="EIW5" s="390"/>
      <c r="EIX5" s="390"/>
      <c r="EIY5" s="390"/>
      <c r="EIZ5" s="390"/>
      <c r="EJA5" s="390"/>
      <c r="EJB5" s="390"/>
      <c r="EJC5" s="390"/>
      <c r="EJD5" s="390"/>
      <c r="EJE5" s="390"/>
      <c r="EJF5" s="390"/>
      <c r="EJG5" s="390"/>
      <c r="EJH5" s="390"/>
      <c r="EJI5" s="390"/>
      <c r="EJJ5" s="390"/>
      <c r="EJK5" s="390"/>
      <c r="EJL5" s="390"/>
      <c r="EJM5" s="390"/>
      <c r="EJN5" s="390"/>
      <c r="EJO5" s="390"/>
      <c r="EJP5" s="390"/>
      <c r="EJQ5" s="390"/>
      <c r="EJR5" s="390"/>
      <c r="EJS5" s="390"/>
      <c r="EJT5" s="390"/>
      <c r="EJU5" s="390"/>
      <c r="EJV5" s="390"/>
      <c r="EJW5" s="390"/>
      <c r="EJX5" s="390"/>
      <c r="EJY5" s="390"/>
      <c r="EJZ5" s="390"/>
      <c r="EKA5" s="390"/>
      <c r="EKB5" s="390"/>
      <c r="EKC5" s="390"/>
      <c r="EKD5" s="390"/>
      <c r="EKE5" s="390"/>
      <c r="EKF5" s="390"/>
      <c r="EKG5" s="390"/>
      <c r="EKH5" s="390"/>
      <c r="EKI5" s="390"/>
      <c r="EKJ5" s="390"/>
      <c r="EKK5" s="390"/>
      <c r="EKL5" s="390"/>
      <c r="EKM5" s="390"/>
      <c r="EKN5" s="390"/>
      <c r="EKO5" s="390"/>
      <c r="EKP5" s="390"/>
      <c r="EKQ5" s="390"/>
      <c r="EKR5" s="390"/>
      <c r="EKS5" s="390"/>
      <c r="EKT5" s="390"/>
      <c r="EKU5" s="390"/>
      <c r="EKV5" s="390"/>
      <c r="EKW5" s="390"/>
      <c r="EKX5" s="390"/>
      <c r="EKY5" s="390"/>
      <c r="EKZ5" s="390"/>
      <c r="ELA5" s="390"/>
      <c r="ELB5" s="390"/>
      <c r="ELC5" s="390"/>
      <c r="ELD5" s="390"/>
      <c r="ELE5" s="390"/>
      <c r="ELF5" s="390"/>
      <c r="ELG5" s="390"/>
      <c r="ELH5" s="390"/>
      <c r="ELI5" s="390"/>
      <c r="ELJ5" s="390"/>
      <c r="ELK5" s="390"/>
      <c r="ELL5" s="390"/>
      <c r="ELM5" s="390"/>
      <c r="ELN5" s="390"/>
      <c r="ELO5" s="390"/>
      <c r="ELP5" s="390"/>
      <c r="ELQ5" s="390"/>
      <c r="ELR5" s="390"/>
      <c r="ELS5" s="390"/>
      <c r="ELT5" s="390"/>
      <c r="ELU5" s="390"/>
      <c r="ELV5" s="390"/>
      <c r="ELW5" s="390"/>
      <c r="ELX5" s="390"/>
      <c r="ELY5" s="390"/>
      <c r="ELZ5" s="390"/>
      <c r="EMA5" s="390"/>
      <c r="EMB5" s="390"/>
      <c r="EMC5" s="390"/>
      <c r="EMD5" s="390"/>
      <c r="EME5" s="390"/>
      <c r="EMF5" s="390"/>
      <c r="EMG5" s="390"/>
      <c r="EMH5" s="390"/>
      <c r="EMI5" s="390"/>
      <c r="EMJ5" s="390"/>
      <c r="EMK5" s="390"/>
      <c r="EML5" s="390"/>
      <c r="EMM5" s="390"/>
      <c r="EMN5" s="390"/>
      <c r="EMO5" s="390"/>
      <c r="EMP5" s="390"/>
      <c r="EMQ5" s="390"/>
      <c r="EMR5" s="390"/>
      <c r="EMS5" s="390"/>
      <c r="EMT5" s="390"/>
      <c r="EMU5" s="390"/>
      <c r="EMV5" s="390"/>
      <c r="EMW5" s="390"/>
      <c r="EMX5" s="390"/>
      <c r="EMY5" s="390"/>
      <c r="EMZ5" s="390"/>
      <c r="ENA5" s="390"/>
      <c r="ENB5" s="390"/>
      <c r="ENC5" s="390"/>
      <c r="END5" s="390"/>
      <c r="ENE5" s="390"/>
      <c r="ENF5" s="390"/>
      <c r="ENG5" s="390"/>
      <c r="ENH5" s="390"/>
      <c r="ENI5" s="390"/>
      <c r="ENJ5" s="390"/>
      <c r="ENK5" s="390"/>
      <c r="ENL5" s="390"/>
      <c r="ENM5" s="390"/>
      <c r="ENN5" s="390"/>
      <c r="ENO5" s="390"/>
      <c r="ENP5" s="390"/>
      <c r="ENQ5" s="390"/>
      <c r="ENR5" s="390"/>
      <c r="ENS5" s="390"/>
      <c r="ENT5" s="390"/>
      <c r="ENU5" s="390"/>
      <c r="ENV5" s="390"/>
      <c r="ENW5" s="390"/>
      <c r="ENX5" s="390"/>
      <c r="ENY5" s="390"/>
      <c r="ENZ5" s="390"/>
      <c r="EOA5" s="390"/>
      <c r="EOB5" s="390"/>
      <c r="EOC5" s="390"/>
      <c r="EOD5" s="390"/>
      <c r="EOE5" s="390"/>
      <c r="EOF5" s="390"/>
      <c r="EOG5" s="390"/>
      <c r="EOH5" s="390"/>
      <c r="EOI5" s="390"/>
      <c r="EOJ5" s="390"/>
      <c r="EOK5" s="390"/>
      <c r="EOL5" s="390"/>
      <c r="EOM5" s="390"/>
      <c r="EON5" s="390"/>
      <c r="EOO5" s="390"/>
      <c r="EOP5" s="390"/>
      <c r="EOQ5" s="390"/>
      <c r="EOR5" s="390"/>
      <c r="EOS5" s="390"/>
      <c r="EOT5" s="390"/>
      <c r="EOU5" s="390"/>
      <c r="EOV5" s="390"/>
      <c r="EOW5" s="390"/>
      <c r="EOX5" s="390"/>
      <c r="EOY5" s="390"/>
      <c r="EOZ5" s="390"/>
      <c r="EPA5" s="390"/>
      <c r="EPB5" s="390"/>
      <c r="EPC5" s="390"/>
      <c r="EPD5" s="390"/>
      <c r="EPE5" s="390"/>
      <c r="EPF5" s="390"/>
      <c r="EPG5" s="390"/>
      <c r="EPH5" s="390"/>
      <c r="EPI5" s="390"/>
      <c r="EPJ5" s="390"/>
      <c r="EPK5" s="390"/>
      <c r="EPL5" s="390"/>
      <c r="EPM5" s="390"/>
      <c r="EPN5" s="390"/>
      <c r="EPO5" s="390"/>
      <c r="EPP5" s="390"/>
      <c r="EPQ5" s="390"/>
      <c r="EPR5" s="390"/>
      <c r="EPS5" s="390"/>
      <c r="EPT5" s="390"/>
      <c r="EPU5" s="390"/>
      <c r="EPV5" s="390"/>
      <c r="EPW5" s="390"/>
      <c r="EPX5" s="390"/>
      <c r="EPY5" s="390"/>
      <c r="EPZ5" s="390"/>
      <c r="EQA5" s="390"/>
      <c r="EQB5" s="390"/>
      <c r="EQC5" s="390"/>
      <c r="EQD5" s="390"/>
      <c r="EQE5" s="390"/>
      <c r="EQF5" s="390"/>
      <c r="EQG5" s="390"/>
      <c r="EQH5" s="390"/>
      <c r="EQI5" s="390"/>
      <c r="EQJ5" s="390"/>
      <c r="EQK5" s="390"/>
      <c r="EQL5" s="390"/>
      <c r="EQM5" s="390"/>
      <c r="EQN5" s="390"/>
      <c r="EQO5" s="390"/>
      <c r="EQP5" s="390"/>
      <c r="EQQ5" s="390"/>
      <c r="EQR5" s="390"/>
      <c r="EQS5" s="390"/>
      <c r="EQT5" s="390"/>
      <c r="EQU5" s="390"/>
      <c r="EQV5" s="390"/>
      <c r="EQW5" s="390"/>
      <c r="EQX5" s="390"/>
      <c r="EQY5" s="390"/>
      <c r="EQZ5" s="390"/>
      <c r="ERA5" s="390"/>
      <c r="ERB5" s="390"/>
      <c r="ERC5" s="390"/>
      <c r="ERD5" s="390"/>
      <c r="ERE5" s="390"/>
      <c r="ERF5" s="390"/>
      <c r="ERG5" s="390"/>
      <c r="ERH5" s="390"/>
      <c r="ERI5" s="390"/>
      <c r="ERJ5" s="390"/>
      <c r="ERK5" s="390"/>
      <c r="ERL5" s="390"/>
      <c r="ERM5" s="390"/>
      <c r="ERN5" s="390"/>
      <c r="ERO5" s="390"/>
      <c r="ERP5" s="390"/>
      <c r="ERQ5" s="390"/>
      <c r="ERR5" s="390"/>
      <c r="ERS5" s="390"/>
      <c r="ERT5" s="390"/>
      <c r="ERU5" s="390"/>
      <c r="ERV5" s="390"/>
      <c r="ERW5" s="390"/>
      <c r="ERX5" s="390"/>
      <c r="ERY5" s="390"/>
      <c r="ERZ5" s="390"/>
      <c r="ESA5" s="390"/>
      <c r="ESB5" s="390"/>
      <c r="ESC5" s="390"/>
      <c r="ESD5" s="390"/>
      <c r="ESE5" s="390"/>
      <c r="ESF5" s="390"/>
      <c r="ESG5" s="390"/>
      <c r="ESH5" s="390"/>
      <c r="ESI5" s="390"/>
      <c r="ESJ5" s="390"/>
      <c r="ESK5" s="390"/>
      <c r="ESL5" s="390"/>
      <c r="ESM5" s="390"/>
      <c r="ESN5" s="390"/>
      <c r="ESO5" s="390"/>
      <c r="ESP5" s="390"/>
      <c r="ESQ5" s="390"/>
      <c r="ESR5" s="390"/>
      <c r="ESS5" s="390"/>
      <c r="EST5" s="390"/>
      <c r="ESU5" s="390"/>
      <c r="ESV5" s="390"/>
      <c r="ESW5" s="390"/>
      <c r="ESX5" s="390"/>
      <c r="ESY5" s="390"/>
      <c r="ESZ5" s="390"/>
      <c r="ETA5" s="390"/>
      <c r="ETB5" s="390"/>
      <c r="ETC5" s="390"/>
      <c r="ETD5" s="390"/>
      <c r="ETE5" s="390"/>
      <c r="ETF5" s="390"/>
      <c r="ETG5" s="390"/>
      <c r="ETH5" s="390"/>
      <c r="ETI5" s="390"/>
      <c r="ETJ5" s="390"/>
      <c r="ETK5" s="390"/>
      <c r="ETL5" s="390"/>
      <c r="ETM5" s="390"/>
      <c r="ETN5" s="390"/>
      <c r="ETO5" s="390"/>
      <c r="ETP5" s="390"/>
      <c r="ETQ5" s="390"/>
      <c r="ETR5" s="390"/>
      <c r="ETS5" s="390"/>
      <c r="ETT5" s="390"/>
      <c r="ETU5" s="390"/>
      <c r="ETV5" s="390"/>
      <c r="ETW5" s="390"/>
      <c r="ETX5" s="390"/>
      <c r="ETY5" s="390"/>
      <c r="ETZ5" s="390"/>
      <c r="EUA5" s="390"/>
      <c r="EUB5" s="390"/>
      <c r="EUC5" s="390"/>
      <c r="EUD5" s="390"/>
      <c r="EUE5" s="390"/>
      <c r="EUF5" s="390"/>
      <c r="EUG5" s="390"/>
      <c r="EUH5" s="390"/>
      <c r="EUI5" s="390"/>
      <c r="EUJ5" s="390"/>
      <c r="EUK5" s="390"/>
      <c r="EUL5" s="390"/>
      <c r="EUM5" s="390"/>
      <c r="EUN5" s="390"/>
      <c r="EUO5" s="390"/>
      <c r="EUP5" s="390"/>
      <c r="EUQ5" s="390"/>
      <c r="EUR5" s="390"/>
      <c r="EUS5" s="390"/>
      <c r="EUT5" s="390"/>
      <c r="EUU5" s="390"/>
      <c r="EUV5" s="390"/>
      <c r="EUW5" s="390"/>
      <c r="EUX5" s="390"/>
      <c r="EUY5" s="390"/>
      <c r="EUZ5" s="390"/>
      <c r="EVA5" s="390"/>
      <c r="EVB5" s="390"/>
      <c r="EVC5" s="390"/>
      <c r="EVD5" s="390"/>
      <c r="EVE5" s="390"/>
      <c r="EVF5" s="390"/>
      <c r="EVG5" s="390"/>
      <c r="EVH5" s="390"/>
      <c r="EVI5" s="390"/>
      <c r="EVJ5" s="390"/>
      <c r="EVK5" s="390"/>
      <c r="EVL5" s="390"/>
      <c r="EVM5" s="390"/>
      <c r="EVN5" s="390"/>
      <c r="EVO5" s="390"/>
      <c r="EVP5" s="390"/>
      <c r="EVQ5" s="390"/>
      <c r="EVR5" s="390"/>
      <c r="EVS5" s="390"/>
      <c r="EVT5" s="390"/>
      <c r="EVU5" s="390"/>
      <c r="EVV5" s="390"/>
      <c r="EVW5" s="390"/>
      <c r="EVX5" s="390"/>
      <c r="EVY5" s="390"/>
      <c r="EVZ5" s="390"/>
      <c r="EWA5" s="390"/>
      <c r="EWB5" s="390"/>
      <c r="EWC5" s="390"/>
      <c r="EWD5" s="390"/>
      <c r="EWE5" s="390"/>
      <c r="EWF5" s="390"/>
      <c r="EWG5" s="390"/>
      <c r="EWH5" s="390"/>
      <c r="EWI5" s="390"/>
      <c r="EWJ5" s="390"/>
      <c r="EWK5" s="390"/>
      <c r="EWL5" s="390"/>
      <c r="EWM5" s="390"/>
      <c r="EWN5" s="390"/>
      <c r="EWO5" s="390"/>
      <c r="EWP5" s="390"/>
      <c r="EWQ5" s="390"/>
      <c r="EWR5" s="390"/>
      <c r="EWS5" s="390"/>
      <c r="EWT5" s="390"/>
      <c r="EWU5" s="390"/>
      <c r="EWV5" s="390"/>
      <c r="EWW5" s="390"/>
      <c r="EWX5" s="390"/>
      <c r="EWY5" s="390"/>
      <c r="EWZ5" s="390"/>
      <c r="EXA5" s="390"/>
      <c r="EXB5" s="390"/>
      <c r="EXC5" s="390"/>
      <c r="EXD5" s="390"/>
      <c r="EXE5" s="390"/>
      <c r="EXF5" s="390"/>
      <c r="EXG5" s="390"/>
      <c r="EXH5" s="390"/>
      <c r="EXI5" s="390"/>
      <c r="EXJ5" s="390"/>
      <c r="EXK5" s="390"/>
      <c r="EXL5" s="390"/>
      <c r="EXM5" s="390"/>
      <c r="EXN5" s="390"/>
      <c r="EXO5" s="390"/>
      <c r="EXP5" s="390"/>
      <c r="EXQ5" s="390"/>
      <c r="EXR5" s="390"/>
      <c r="EXS5" s="390"/>
      <c r="EXT5" s="390"/>
      <c r="EXU5" s="390"/>
      <c r="EXV5" s="390"/>
      <c r="EXW5" s="390"/>
      <c r="EXX5" s="390"/>
      <c r="EXY5" s="390"/>
      <c r="EXZ5" s="390"/>
      <c r="EYA5" s="390"/>
      <c r="EYB5" s="390"/>
      <c r="EYC5" s="390"/>
      <c r="EYD5" s="390"/>
      <c r="EYE5" s="390"/>
      <c r="EYF5" s="390"/>
      <c r="EYG5" s="390"/>
      <c r="EYH5" s="390"/>
      <c r="EYI5" s="390"/>
      <c r="EYJ5" s="390"/>
      <c r="EYK5" s="390"/>
      <c r="EYL5" s="390"/>
      <c r="EYM5" s="390"/>
      <c r="EYN5" s="390"/>
      <c r="EYO5" s="390"/>
      <c r="EYP5" s="390"/>
      <c r="EYQ5" s="390"/>
      <c r="EYR5" s="390"/>
      <c r="EYS5" s="390"/>
      <c r="EYT5" s="390"/>
      <c r="EYU5" s="390"/>
      <c r="EYV5" s="390"/>
      <c r="EYW5" s="390"/>
      <c r="EYX5" s="390"/>
      <c r="EYY5" s="390"/>
      <c r="EYZ5" s="390"/>
      <c r="EZA5" s="390"/>
      <c r="EZB5" s="390"/>
      <c r="EZC5" s="390"/>
      <c r="EZD5" s="390"/>
      <c r="EZE5" s="390"/>
      <c r="EZF5" s="390"/>
      <c r="EZG5" s="390"/>
      <c r="EZH5" s="390"/>
      <c r="EZI5" s="390"/>
      <c r="EZJ5" s="390"/>
      <c r="EZK5" s="390"/>
      <c r="EZL5" s="390"/>
      <c r="EZM5" s="390"/>
      <c r="EZN5" s="390"/>
      <c r="EZO5" s="390"/>
      <c r="EZP5" s="390"/>
      <c r="EZQ5" s="390"/>
      <c r="EZR5" s="390"/>
      <c r="EZS5" s="390"/>
      <c r="EZT5" s="390"/>
      <c r="EZU5" s="390"/>
      <c r="EZV5" s="390"/>
      <c r="EZW5" s="390"/>
      <c r="EZX5" s="390"/>
      <c r="EZY5" s="390"/>
      <c r="EZZ5" s="390"/>
      <c r="FAA5" s="390"/>
      <c r="FAB5" s="390"/>
      <c r="FAC5" s="390"/>
      <c r="FAD5" s="390"/>
      <c r="FAE5" s="390"/>
      <c r="FAF5" s="390"/>
      <c r="FAG5" s="390"/>
      <c r="FAH5" s="390"/>
      <c r="FAI5" s="390"/>
      <c r="FAJ5" s="390"/>
      <c r="FAK5" s="390"/>
      <c r="FAL5" s="390"/>
      <c r="FAM5" s="390"/>
      <c r="FAN5" s="390"/>
      <c r="FAO5" s="390"/>
      <c r="FAP5" s="390"/>
      <c r="FAQ5" s="390"/>
      <c r="FAR5" s="390"/>
      <c r="FAS5" s="390"/>
      <c r="FAT5" s="390"/>
      <c r="FAU5" s="390"/>
      <c r="FAV5" s="390"/>
      <c r="FAW5" s="390"/>
      <c r="FAX5" s="390"/>
      <c r="FAY5" s="390"/>
      <c r="FAZ5" s="390"/>
      <c r="FBA5" s="390"/>
      <c r="FBB5" s="390"/>
      <c r="FBC5" s="390"/>
      <c r="FBD5" s="390"/>
      <c r="FBE5" s="390"/>
      <c r="FBF5" s="390"/>
      <c r="FBG5" s="390"/>
      <c r="FBH5" s="390"/>
      <c r="FBI5" s="390"/>
      <c r="FBJ5" s="390"/>
      <c r="FBK5" s="390"/>
      <c r="FBL5" s="390"/>
      <c r="FBM5" s="390"/>
      <c r="FBN5" s="390"/>
      <c r="FBO5" s="390"/>
      <c r="FBP5" s="390"/>
      <c r="FBQ5" s="390"/>
      <c r="FBR5" s="390"/>
      <c r="FBS5" s="390"/>
      <c r="FBT5" s="390"/>
      <c r="FBU5" s="390"/>
      <c r="FBV5" s="390"/>
      <c r="FBW5" s="390"/>
      <c r="FBX5" s="390"/>
      <c r="FBY5" s="390"/>
      <c r="FBZ5" s="390"/>
      <c r="FCA5" s="390"/>
      <c r="FCB5" s="390"/>
      <c r="FCC5" s="390"/>
      <c r="FCD5" s="390"/>
      <c r="FCE5" s="390"/>
      <c r="FCF5" s="390"/>
      <c r="FCG5" s="390"/>
      <c r="FCH5" s="390"/>
      <c r="FCI5" s="390"/>
      <c r="FCJ5" s="390"/>
      <c r="FCK5" s="390"/>
      <c r="FCL5" s="390"/>
      <c r="FCM5" s="390"/>
      <c r="FCN5" s="390"/>
      <c r="FCO5" s="390"/>
      <c r="FCP5" s="390"/>
      <c r="FCQ5" s="390"/>
      <c r="FCR5" s="390"/>
      <c r="FCS5" s="390"/>
      <c r="FCT5" s="390"/>
      <c r="FCU5" s="390"/>
      <c r="FCV5" s="390"/>
      <c r="FCW5" s="390"/>
      <c r="FCX5" s="390"/>
      <c r="FCY5" s="390"/>
      <c r="FCZ5" s="390"/>
      <c r="FDA5" s="390"/>
      <c r="FDB5" s="390"/>
      <c r="FDC5" s="390"/>
      <c r="FDD5" s="390"/>
      <c r="FDE5" s="390"/>
      <c r="FDF5" s="390"/>
      <c r="FDG5" s="390"/>
      <c r="FDH5" s="390"/>
      <c r="FDI5" s="390"/>
      <c r="FDJ5" s="390"/>
      <c r="FDK5" s="390"/>
      <c r="FDL5" s="390"/>
      <c r="FDM5" s="390"/>
      <c r="FDN5" s="390"/>
      <c r="FDO5" s="390"/>
      <c r="FDP5" s="390"/>
      <c r="FDQ5" s="390"/>
      <c r="FDR5" s="390"/>
      <c r="FDS5" s="390"/>
      <c r="FDT5" s="390"/>
      <c r="FDU5" s="390"/>
      <c r="FDV5" s="390"/>
      <c r="FDW5" s="390"/>
      <c r="FDX5" s="390"/>
      <c r="FDY5" s="390"/>
      <c r="FDZ5" s="390"/>
      <c r="FEA5" s="390"/>
      <c r="FEB5" s="390"/>
      <c r="FEC5" s="390"/>
      <c r="FED5" s="390"/>
      <c r="FEE5" s="390"/>
      <c r="FEF5" s="390"/>
      <c r="FEG5" s="390"/>
      <c r="FEH5" s="390"/>
      <c r="FEI5" s="390"/>
      <c r="FEJ5" s="390"/>
      <c r="FEK5" s="390"/>
      <c r="FEL5" s="390"/>
      <c r="FEM5" s="390"/>
      <c r="FEN5" s="390"/>
      <c r="FEO5" s="390"/>
      <c r="FEP5" s="390"/>
      <c r="FEQ5" s="390"/>
      <c r="FER5" s="390"/>
      <c r="FES5" s="390"/>
      <c r="FET5" s="390"/>
      <c r="FEU5" s="390"/>
      <c r="FEV5" s="390"/>
      <c r="FEW5" s="390"/>
      <c r="FEX5" s="390"/>
      <c r="FEY5" s="390"/>
      <c r="FEZ5" s="390"/>
      <c r="FFA5" s="390"/>
      <c r="FFB5" s="390"/>
      <c r="FFC5" s="390"/>
      <c r="FFD5" s="390"/>
      <c r="FFE5" s="390"/>
      <c r="FFF5" s="390"/>
      <c r="FFG5" s="390"/>
      <c r="FFH5" s="390"/>
      <c r="FFI5" s="390"/>
      <c r="FFJ5" s="390"/>
      <c r="FFK5" s="390"/>
      <c r="FFL5" s="390"/>
      <c r="FFM5" s="390"/>
      <c r="FFN5" s="390"/>
      <c r="FFO5" s="390"/>
      <c r="FFP5" s="390"/>
      <c r="FFQ5" s="390"/>
      <c r="FFR5" s="390"/>
      <c r="FFS5" s="390"/>
      <c r="FFT5" s="390"/>
      <c r="FFU5" s="390"/>
      <c r="FFV5" s="390"/>
      <c r="FFW5" s="390"/>
      <c r="FFX5" s="390"/>
      <c r="FFY5" s="390"/>
      <c r="FFZ5" s="390"/>
      <c r="FGA5" s="390"/>
      <c r="FGB5" s="390"/>
      <c r="FGC5" s="390"/>
      <c r="FGD5" s="390"/>
      <c r="FGE5" s="390"/>
      <c r="FGF5" s="390"/>
      <c r="FGG5" s="390"/>
      <c r="FGH5" s="390"/>
      <c r="FGI5" s="390"/>
      <c r="FGJ5" s="390"/>
      <c r="FGK5" s="390"/>
      <c r="FGL5" s="390"/>
      <c r="FGM5" s="390"/>
      <c r="FGN5" s="390"/>
      <c r="FGO5" s="390"/>
      <c r="FGP5" s="390"/>
      <c r="FGQ5" s="390"/>
      <c r="FGR5" s="390"/>
      <c r="FGS5" s="390"/>
      <c r="FGT5" s="390"/>
      <c r="FGU5" s="390"/>
      <c r="FGV5" s="390"/>
      <c r="FGW5" s="390"/>
      <c r="FGX5" s="390"/>
      <c r="FGY5" s="390"/>
      <c r="FGZ5" s="390"/>
      <c r="FHA5" s="390"/>
      <c r="FHB5" s="390"/>
      <c r="FHC5" s="390"/>
      <c r="FHD5" s="390"/>
      <c r="FHE5" s="390"/>
      <c r="FHF5" s="390"/>
      <c r="FHG5" s="390"/>
      <c r="FHH5" s="390"/>
      <c r="FHI5" s="390"/>
      <c r="FHJ5" s="390"/>
      <c r="FHK5" s="390"/>
      <c r="FHL5" s="390"/>
      <c r="FHM5" s="390"/>
      <c r="FHN5" s="390"/>
      <c r="FHO5" s="390"/>
      <c r="FHP5" s="390"/>
      <c r="FHQ5" s="390"/>
      <c r="FHR5" s="390"/>
      <c r="FHS5" s="390"/>
      <c r="FHT5" s="390"/>
      <c r="FHU5" s="390"/>
      <c r="FHV5" s="390"/>
      <c r="FHW5" s="390"/>
      <c r="FHX5" s="390"/>
      <c r="FHY5" s="390"/>
      <c r="FHZ5" s="390"/>
      <c r="FIA5" s="390"/>
      <c r="FIB5" s="390"/>
      <c r="FIC5" s="390"/>
      <c r="FID5" s="390"/>
      <c r="FIE5" s="390"/>
      <c r="FIF5" s="390"/>
      <c r="FIG5" s="390"/>
      <c r="FIH5" s="390"/>
      <c r="FII5" s="390"/>
      <c r="FIJ5" s="390"/>
      <c r="FIK5" s="390"/>
      <c r="FIL5" s="390"/>
      <c r="FIM5" s="390"/>
      <c r="FIN5" s="390"/>
      <c r="FIO5" s="390"/>
      <c r="FIP5" s="390"/>
      <c r="FIQ5" s="390"/>
      <c r="FIR5" s="390"/>
      <c r="FIS5" s="390"/>
      <c r="FIT5" s="390"/>
      <c r="FIU5" s="390"/>
      <c r="FIV5" s="390"/>
      <c r="FIW5" s="390"/>
      <c r="FIX5" s="390"/>
      <c r="FIY5" s="390"/>
      <c r="FIZ5" s="390"/>
      <c r="FJA5" s="390"/>
      <c r="FJB5" s="390"/>
      <c r="FJC5" s="390"/>
      <c r="FJD5" s="390"/>
      <c r="FJE5" s="390"/>
      <c r="FJF5" s="390"/>
      <c r="FJG5" s="390"/>
      <c r="FJH5" s="390"/>
      <c r="FJI5" s="390"/>
      <c r="FJJ5" s="390"/>
      <c r="FJK5" s="390"/>
      <c r="FJL5" s="390"/>
      <c r="FJM5" s="390"/>
      <c r="FJN5" s="390"/>
      <c r="FJO5" s="390"/>
      <c r="FJP5" s="390"/>
      <c r="FJQ5" s="390"/>
      <c r="FJR5" s="390"/>
      <c r="FJS5" s="390"/>
      <c r="FJT5" s="390"/>
      <c r="FJU5" s="390"/>
      <c r="FJV5" s="390"/>
      <c r="FJW5" s="390"/>
      <c r="FJX5" s="390"/>
      <c r="FJY5" s="390"/>
      <c r="FJZ5" s="390"/>
      <c r="FKA5" s="390"/>
      <c r="FKB5" s="390"/>
      <c r="FKC5" s="390"/>
      <c r="FKD5" s="390"/>
      <c r="FKE5" s="390"/>
      <c r="FKF5" s="390"/>
      <c r="FKG5" s="390"/>
      <c r="FKH5" s="390"/>
      <c r="FKI5" s="390"/>
      <c r="FKJ5" s="390"/>
      <c r="FKK5" s="390"/>
      <c r="FKL5" s="390"/>
      <c r="FKM5" s="390"/>
      <c r="FKN5" s="390"/>
      <c r="FKO5" s="390"/>
      <c r="FKP5" s="390"/>
      <c r="FKQ5" s="390"/>
      <c r="FKR5" s="390"/>
      <c r="FKS5" s="390"/>
      <c r="FKT5" s="390"/>
      <c r="FKU5" s="390"/>
      <c r="FKV5" s="390"/>
      <c r="FKW5" s="390"/>
      <c r="FKX5" s="390"/>
      <c r="FKY5" s="390"/>
      <c r="FKZ5" s="390"/>
      <c r="FLA5" s="390"/>
      <c r="FLB5" s="390"/>
      <c r="FLC5" s="390"/>
      <c r="FLD5" s="390"/>
      <c r="FLE5" s="390"/>
      <c r="FLF5" s="390"/>
      <c r="FLG5" s="390"/>
      <c r="FLH5" s="390"/>
      <c r="FLI5" s="390"/>
      <c r="FLJ5" s="390"/>
      <c r="FLK5" s="390"/>
      <c r="FLL5" s="390"/>
      <c r="FLM5" s="390"/>
      <c r="FLN5" s="390"/>
      <c r="FLO5" s="390"/>
      <c r="FLP5" s="390"/>
      <c r="FLQ5" s="390"/>
      <c r="FLR5" s="390"/>
      <c r="FLS5" s="390"/>
      <c r="FLT5" s="390"/>
      <c r="FLU5" s="390"/>
      <c r="FLV5" s="390"/>
      <c r="FLW5" s="390"/>
      <c r="FLX5" s="390"/>
      <c r="FLY5" s="390"/>
      <c r="FLZ5" s="390"/>
      <c r="FMA5" s="390"/>
      <c r="FMB5" s="390"/>
      <c r="FMC5" s="390"/>
      <c r="FMD5" s="390"/>
      <c r="FME5" s="390"/>
      <c r="FMF5" s="390"/>
      <c r="FMG5" s="390"/>
      <c r="FMH5" s="390"/>
      <c r="FMI5" s="390"/>
      <c r="FMJ5" s="390"/>
      <c r="FMK5" s="390"/>
      <c r="FML5" s="390"/>
      <c r="FMM5" s="390"/>
      <c r="FMN5" s="390"/>
      <c r="FMO5" s="390"/>
      <c r="FMP5" s="390"/>
      <c r="FMQ5" s="390"/>
      <c r="FMR5" s="390"/>
      <c r="FMS5" s="390"/>
      <c r="FMT5" s="390"/>
      <c r="FMU5" s="390"/>
      <c r="FMV5" s="390"/>
      <c r="FMW5" s="390"/>
      <c r="FMX5" s="390"/>
      <c r="FMY5" s="390"/>
      <c r="FMZ5" s="390"/>
      <c r="FNA5" s="390"/>
      <c r="FNB5" s="390"/>
      <c r="FNC5" s="390"/>
      <c r="FND5" s="390"/>
      <c r="FNE5" s="390"/>
      <c r="FNF5" s="390"/>
      <c r="FNG5" s="390"/>
      <c r="FNH5" s="390"/>
      <c r="FNI5" s="390"/>
      <c r="FNJ5" s="390"/>
      <c r="FNK5" s="390"/>
      <c r="FNL5" s="390"/>
      <c r="FNM5" s="390"/>
      <c r="FNN5" s="390"/>
      <c r="FNO5" s="390"/>
      <c r="FNP5" s="390"/>
      <c r="FNQ5" s="390"/>
      <c r="FNR5" s="390"/>
      <c r="FNS5" s="390"/>
      <c r="FNT5" s="390"/>
      <c r="FNU5" s="390"/>
      <c r="FNV5" s="390"/>
      <c r="FNW5" s="390"/>
      <c r="FNX5" s="390"/>
      <c r="FNY5" s="390"/>
      <c r="FNZ5" s="390"/>
      <c r="FOA5" s="390"/>
      <c r="FOB5" s="390"/>
      <c r="FOC5" s="390"/>
      <c r="FOD5" s="390"/>
      <c r="FOE5" s="390"/>
      <c r="FOF5" s="390"/>
      <c r="FOG5" s="390"/>
      <c r="FOH5" s="390"/>
      <c r="FOI5" s="390"/>
      <c r="FOJ5" s="390"/>
      <c r="FOK5" s="390"/>
      <c r="FOL5" s="390"/>
      <c r="FOM5" s="390"/>
      <c r="FON5" s="390"/>
      <c r="FOO5" s="390"/>
      <c r="FOP5" s="390"/>
      <c r="FOQ5" s="390"/>
      <c r="FOR5" s="390"/>
      <c r="FOS5" s="390"/>
      <c r="FOT5" s="390"/>
      <c r="FOU5" s="390"/>
      <c r="FOV5" s="390"/>
      <c r="FOW5" s="390"/>
      <c r="FOX5" s="390"/>
      <c r="FOY5" s="390"/>
      <c r="FOZ5" s="390"/>
      <c r="FPA5" s="390"/>
      <c r="FPB5" s="390"/>
      <c r="FPC5" s="390"/>
      <c r="FPD5" s="390"/>
      <c r="FPE5" s="390"/>
      <c r="FPF5" s="390"/>
      <c r="FPG5" s="390"/>
      <c r="FPH5" s="390"/>
      <c r="FPI5" s="390"/>
      <c r="FPJ5" s="390"/>
      <c r="FPK5" s="390"/>
      <c r="FPL5" s="390"/>
      <c r="FPM5" s="390"/>
      <c r="FPN5" s="390"/>
      <c r="FPO5" s="390"/>
      <c r="FPP5" s="390"/>
      <c r="FPQ5" s="390"/>
      <c r="FPR5" s="390"/>
      <c r="FPS5" s="390"/>
      <c r="FPT5" s="390"/>
      <c r="FPU5" s="390"/>
      <c r="FPV5" s="390"/>
      <c r="FPW5" s="390"/>
      <c r="FPX5" s="390"/>
      <c r="FPY5" s="390"/>
      <c r="FPZ5" s="390"/>
      <c r="FQA5" s="390"/>
      <c r="FQB5" s="390"/>
      <c r="FQC5" s="390"/>
      <c r="FQD5" s="390"/>
      <c r="FQE5" s="390"/>
      <c r="FQF5" s="390"/>
      <c r="FQG5" s="390"/>
      <c r="FQH5" s="390"/>
      <c r="FQI5" s="390"/>
      <c r="FQJ5" s="390"/>
      <c r="FQK5" s="390"/>
      <c r="FQL5" s="390"/>
      <c r="FQM5" s="390"/>
      <c r="FQN5" s="390"/>
      <c r="FQO5" s="390"/>
      <c r="FQP5" s="390"/>
      <c r="FQQ5" s="390"/>
      <c r="FQR5" s="390"/>
      <c r="FQS5" s="390"/>
      <c r="FQT5" s="390"/>
      <c r="FQU5" s="390"/>
      <c r="FQV5" s="390"/>
      <c r="FQW5" s="390"/>
      <c r="FQX5" s="390"/>
      <c r="FQY5" s="390"/>
      <c r="FQZ5" s="390"/>
      <c r="FRA5" s="390"/>
      <c r="FRB5" s="390"/>
      <c r="FRC5" s="390"/>
      <c r="FRD5" s="390"/>
      <c r="FRE5" s="390"/>
      <c r="FRF5" s="390"/>
      <c r="FRG5" s="390"/>
      <c r="FRH5" s="390"/>
      <c r="FRI5" s="390"/>
      <c r="FRJ5" s="390"/>
      <c r="FRK5" s="390"/>
      <c r="FRL5" s="390"/>
      <c r="FRM5" s="390"/>
      <c r="FRN5" s="390"/>
      <c r="FRO5" s="390"/>
      <c r="FRP5" s="390"/>
      <c r="FRQ5" s="390"/>
      <c r="FRR5" s="390"/>
      <c r="FRS5" s="390"/>
      <c r="FRT5" s="390"/>
      <c r="FRU5" s="390"/>
      <c r="FRV5" s="390"/>
      <c r="FRW5" s="390"/>
      <c r="FRX5" s="390"/>
      <c r="FRY5" s="390"/>
      <c r="FRZ5" s="390"/>
      <c r="FSA5" s="390"/>
      <c r="FSB5" s="390"/>
      <c r="FSC5" s="390"/>
      <c r="FSD5" s="390"/>
      <c r="FSE5" s="390"/>
      <c r="FSF5" s="390"/>
      <c r="FSG5" s="390"/>
      <c r="FSH5" s="390"/>
      <c r="FSI5" s="390"/>
      <c r="FSJ5" s="390"/>
      <c r="FSK5" s="390"/>
      <c r="FSL5" s="390"/>
      <c r="FSM5" s="390"/>
      <c r="FSN5" s="390"/>
      <c r="FSO5" s="390"/>
      <c r="FSP5" s="390"/>
      <c r="FSQ5" s="390"/>
      <c r="FSR5" s="390"/>
      <c r="FSS5" s="390"/>
      <c r="FST5" s="390"/>
      <c r="FSU5" s="390"/>
      <c r="FSV5" s="390"/>
      <c r="FSW5" s="390"/>
      <c r="FSX5" s="390"/>
      <c r="FSY5" s="390"/>
      <c r="FSZ5" s="390"/>
      <c r="FTA5" s="390"/>
      <c r="FTB5" s="390"/>
      <c r="FTC5" s="390"/>
      <c r="FTD5" s="390"/>
      <c r="FTE5" s="390"/>
      <c r="FTF5" s="390"/>
      <c r="FTG5" s="390"/>
      <c r="FTH5" s="390"/>
      <c r="FTI5" s="390"/>
      <c r="FTJ5" s="390"/>
      <c r="FTK5" s="390"/>
      <c r="FTL5" s="390"/>
      <c r="FTM5" s="390"/>
      <c r="FTN5" s="390"/>
      <c r="FTO5" s="390"/>
      <c r="FTP5" s="390"/>
      <c r="FTQ5" s="390"/>
      <c r="FTR5" s="390"/>
      <c r="FTS5" s="390"/>
      <c r="FTT5" s="390"/>
      <c r="FTU5" s="390"/>
      <c r="FTV5" s="390"/>
      <c r="FTW5" s="390"/>
      <c r="FTX5" s="390"/>
      <c r="FTY5" s="390"/>
      <c r="FTZ5" s="390"/>
      <c r="FUA5" s="390"/>
      <c r="FUB5" s="390"/>
      <c r="FUC5" s="390"/>
      <c r="FUD5" s="390"/>
      <c r="FUE5" s="390"/>
      <c r="FUF5" s="390"/>
      <c r="FUG5" s="390"/>
      <c r="FUH5" s="390"/>
      <c r="FUI5" s="390"/>
      <c r="FUJ5" s="390"/>
      <c r="FUK5" s="390"/>
      <c r="FUL5" s="390"/>
      <c r="FUM5" s="390"/>
      <c r="FUN5" s="390"/>
      <c r="FUO5" s="390"/>
      <c r="FUP5" s="390"/>
      <c r="FUQ5" s="390"/>
      <c r="FUR5" s="390"/>
      <c r="FUS5" s="390"/>
      <c r="FUT5" s="390"/>
      <c r="FUU5" s="390"/>
      <c r="FUV5" s="390"/>
      <c r="FUW5" s="390"/>
      <c r="FUX5" s="390"/>
      <c r="FUY5" s="390"/>
      <c r="FUZ5" s="390"/>
      <c r="FVA5" s="390"/>
      <c r="FVB5" s="390"/>
      <c r="FVC5" s="390"/>
      <c r="FVD5" s="390"/>
      <c r="FVE5" s="390"/>
      <c r="FVF5" s="390"/>
      <c r="FVG5" s="390"/>
      <c r="FVH5" s="390"/>
      <c r="FVI5" s="390"/>
      <c r="FVJ5" s="390"/>
      <c r="FVK5" s="390"/>
      <c r="FVL5" s="390"/>
      <c r="FVM5" s="390"/>
      <c r="FVN5" s="390"/>
      <c r="FVO5" s="390"/>
      <c r="FVP5" s="390"/>
      <c r="FVQ5" s="390"/>
      <c r="FVR5" s="390"/>
      <c r="FVS5" s="390"/>
      <c r="FVT5" s="390"/>
      <c r="FVU5" s="390"/>
      <c r="FVV5" s="390"/>
      <c r="FVW5" s="390"/>
      <c r="FVX5" s="390"/>
      <c r="FVY5" s="390"/>
      <c r="FVZ5" s="390"/>
      <c r="FWA5" s="390"/>
      <c r="FWB5" s="390"/>
      <c r="FWC5" s="390"/>
      <c r="FWD5" s="390"/>
      <c r="FWE5" s="390"/>
      <c r="FWF5" s="390"/>
      <c r="FWG5" s="390"/>
      <c r="FWH5" s="390"/>
      <c r="FWI5" s="390"/>
      <c r="FWJ5" s="390"/>
      <c r="FWK5" s="390"/>
      <c r="FWL5" s="390"/>
      <c r="FWM5" s="390"/>
      <c r="FWN5" s="390"/>
      <c r="FWO5" s="390"/>
      <c r="FWP5" s="390"/>
      <c r="FWQ5" s="390"/>
      <c r="FWR5" s="390"/>
      <c r="FWS5" s="390"/>
      <c r="FWT5" s="390"/>
      <c r="FWU5" s="390"/>
      <c r="FWV5" s="390"/>
      <c r="FWW5" s="390"/>
      <c r="FWX5" s="390"/>
      <c r="FWY5" s="390"/>
      <c r="FWZ5" s="390"/>
      <c r="FXA5" s="390"/>
      <c r="FXB5" s="390"/>
      <c r="FXC5" s="390"/>
      <c r="FXD5" s="390"/>
      <c r="FXE5" s="390"/>
      <c r="FXF5" s="390"/>
      <c r="FXG5" s="390"/>
      <c r="FXH5" s="390"/>
      <c r="FXI5" s="390"/>
      <c r="FXJ5" s="390"/>
      <c r="FXK5" s="390"/>
      <c r="FXL5" s="390"/>
      <c r="FXM5" s="390"/>
      <c r="FXN5" s="390"/>
      <c r="FXO5" s="390"/>
      <c r="FXP5" s="390"/>
      <c r="FXQ5" s="390"/>
      <c r="FXR5" s="390"/>
      <c r="FXS5" s="390"/>
      <c r="FXT5" s="390"/>
      <c r="FXU5" s="390"/>
      <c r="FXV5" s="390"/>
      <c r="FXW5" s="390"/>
      <c r="FXX5" s="390"/>
      <c r="FXY5" s="390"/>
      <c r="FXZ5" s="390"/>
      <c r="FYA5" s="390"/>
      <c r="FYB5" s="390"/>
      <c r="FYC5" s="390"/>
      <c r="FYD5" s="390"/>
      <c r="FYE5" s="390"/>
      <c r="FYF5" s="390"/>
      <c r="FYG5" s="390"/>
      <c r="FYH5" s="390"/>
      <c r="FYI5" s="390"/>
      <c r="FYJ5" s="390"/>
      <c r="FYK5" s="390"/>
      <c r="FYL5" s="390"/>
      <c r="FYM5" s="390"/>
      <c r="FYN5" s="390"/>
      <c r="FYO5" s="390"/>
      <c r="FYP5" s="390"/>
      <c r="FYQ5" s="390"/>
      <c r="FYR5" s="390"/>
      <c r="FYS5" s="390"/>
      <c r="FYT5" s="390"/>
      <c r="FYU5" s="390"/>
      <c r="FYV5" s="390"/>
      <c r="FYW5" s="390"/>
      <c r="FYX5" s="390"/>
      <c r="FYY5" s="390"/>
      <c r="FYZ5" s="390"/>
      <c r="FZA5" s="390"/>
      <c r="FZB5" s="390"/>
      <c r="FZC5" s="390"/>
      <c r="FZD5" s="390"/>
      <c r="FZE5" s="390"/>
      <c r="FZF5" s="390"/>
      <c r="FZG5" s="390"/>
      <c r="FZH5" s="390"/>
      <c r="FZI5" s="390"/>
      <c r="FZJ5" s="390"/>
      <c r="FZK5" s="390"/>
      <c r="FZL5" s="390"/>
      <c r="FZM5" s="390"/>
      <c r="FZN5" s="390"/>
      <c r="FZO5" s="390"/>
      <c r="FZP5" s="390"/>
      <c r="FZQ5" s="390"/>
      <c r="FZR5" s="390"/>
      <c r="FZS5" s="390"/>
      <c r="FZT5" s="390"/>
      <c r="FZU5" s="390"/>
      <c r="FZV5" s="390"/>
      <c r="FZW5" s="390"/>
      <c r="FZX5" s="390"/>
      <c r="FZY5" s="390"/>
      <c r="FZZ5" s="390"/>
      <c r="GAA5" s="390"/>
      <c r="GAB5" s="390"/>
      <c r="GAC5" s="390"/>
      <c r="GAD5" s="390"/>
      <c r="GAE5" s="390"/>
      <c r="GAF5" s="390"/>
      <c r="GAG5" s="390"/>
      <c r="GAH5" s="390"/>
      <c r="GAI5" s="390"/>
      <c r="GAJ5" s="390"/>
      <c r="GAK5" s="390"/>
      <c r="GAL5" s="390"/>
      <c r="GAM5" s="390"/>
      <c r="GAN5" s="390"/>
      <c r="GAO5" s="390"/>
      <c r="GAP5" s="390"/>
      <c r="GAQ5" s="390"/>
      <c r="GAR5" s="390"/>
      <c r="GAS5" s="390"/>
      <c r="GAT5" s="390"/>
      <c r="GAU5" s="390"/>
      <c r="GAV5" s="390"/>
      <c r="GAW5" s="390"/>
      <c r="GAX5" s="390"/>
      <c r="GAY5" s="390"/>
      <c r="GAZ5" s="390"/>
      <c r="GBA5" s="390"/>
      <c r="GBB5" s="390"/>
      <c r="GBC5" s="390"/>
      <c r="GBD5" s="390"/>
      <c r="GBE5" s="390"/>
      <c r="GBF5" s="390"/>
      <c r="GBG5" s="390"/>
      <c r="GBH5" s="390"/>
      <c r="GBI5" s="390"/>
      <c r="GBJ5" s="390"/>
      <c r="GBK5" s="390"/>
      <c r="GBL5" s="390"/>
      <c r="GBM5" s="390"/>
      <c r="GBN5" s="390"/>
      <c r="GBO5" s="390"/>
      <c r="GBP5" s="390"/>
      <c r="GBQ5" s="390"/>
      <c r="GBR5" s="390"/>
      <c r="GBS5" s="390"/>
      <c r="GBT5" s="390"/>
      <c r="GBU5" s="390"/>
      <c r="GBV5" s="390"/>
      <c r="GBW5" s="390"/>
      <c r="GBX5" s="390"/>
      <c r="GBY5" s="390"/>
      <c r="GBZ5" s="390"/>
      <c r="GCA5" s="390"/>
      <c r="GCB5" s="390"/>
      <c r="GCC5" s="390"/>
      <c r="GCD5" s="390"/>
      <c r="GCE5" s="390"/>
      <c r="GCF5" s="390"/>
      <c r="GCG5" s="390"/>
      <c r="GCH5" s="390"/>
      <c r="GCI5" s="390"/>
      <c r="GCJ5" s="390"/>
      <c r="GCK5" s="390"/>
      <c r="GCL5" s="390"/>
      <c r="GCM5" s="390"/>
      <c r="GCN5" s="390"/>
      <c r="GCO5" s="390"/>
      <c r="GCP5" s="390"/>
      <c r="GCQ5" s="390"/>
      <c r="GCR5" s="390"/>
      <c r="GCS5" s="390"/>
      <c r="GCT5" s="390"/>
      <c r="GCU5" s="390"/>
      <c r="GCV5" s="390"/>
      <c r="GCW5" s="390"/>
      <c r="GCX5" s="390"/>
      <c r="GCY5" s="390"/>
      <c r="GCZ5" s="390"/>
      <c r="GDA5" s="390"/>
      <c r="GDB5" s="390"/>
      <c r="GDC5" s="390"/>
      <c r="GDD5" s="390"/>
      <c r="GDE5" s="390"/>
      <c r="GDF5" s="390"/>
      <c r="GDG5" s="390"/>
      <c r="GDH5" s="390"/>
      <c r="GDI5" s="390"/>
      <c r="GDJ5" s="390"/>
      <c r="GDK5" s="390"/>
      <c r="GDL5" s="390"/>
      <c r="GDM5" s="390"/>
      <c r="GDN5" s="390"/>
      <c r="GDO5" s="390"/>
      <c r="GDP5" s="390"/>
      <c r="GDQ5" s="390"/>
      <c r="GDR5" s="390"/>
      <c r="GDS5" s="390"/>
      <c r="GDT5" s="390"/>
      <c r="GDU5" s="390"/>
      <c r="GDV5" s="390"/>
      <c r="GDW5" s="390"/>
      <c r="GDX5" s="390"/>
      <c r="GDY5" s="390"/>
      <c r="GDZ5" s="390"/>
      <c r="GEA5" s="390"/>
      <c r="GEB5" s="390"/>
      <c r="GEC5" s="390"/>
      <c r="GED5" s="390"/>
      <c r="GEE5" s="390"/>
      <c r="GEF5" s="390"/>
      <c r="GEG5" s="390"/>
      <c r="GEH5" s="390"/>
      <c r="GEI5" s="390"/>
      <c r="GEJ5" s="390"/>
      <c r="GEK5" s="390"/>
      <c r="GEL5" s="390"/>
      <c r="GEM5" s="390"/>
      <c r="GEN5" s="390"/>
      <c r="GEO5" s="390"/>
      <c r="GEP5" s="390"/>
      <c r="GEQ5" s="390"/>
      <c r="GER5" s="390"/>
      <c r="GES5" s="390"/>
      <c r="GET5" s="390"/>
      <c r="GEU5" s="390"/>
      <c r="GEV5" s="390"/>
      <c r="GEW5" s="390"/>
      <c r="GEX5" s="390"/>
      <c r="GEY5" s="390"/>
      <c r="GEZ5" s="390"/>
      <c r="GFA5" s="390"/>
      <c r="GFB5" s="390"/>
      <c r="GFC5" s="390"/>
      <c r="GFD5" s="390"/>
      <c r="GFE5" s="390"/>
      <c r="GFF5" s="390"/>
      <c r="GFG5" s="390"/>
      <c r="GFH5" s="390"/>
      <c r="GFI5" s="390"/>
      <c r="GFJ5" s="390"/>
      <c r="GFK5" s="390"/>
      <c r="GFL5" s="390"/>
      <c r="GFM5" s="390"/>
      <c r="GFN5" s="390"/>
      <c r="GFO5" s="390"/>
      <c r="GFP5" s="390"/>
      <c r="GFQ5" s="390"/>
      <c r="GFR5" s="390"/>
      <c r="GFS5" s="390"/>
      <c r="GFT5" s="390"/>
      <c r="GFU5" s="390"/>
      <c r="GFV5" s="390"/>
      <c r="GFW5" s="390"/>
      <c r="GFX5" s="390"/>
      <c r="GFY5" s="390"/>
      <c r="GFZ5" s="390"/>
      <c r="GGA5" s="390"/>
      <c r="GGB5" s="390"/>
      <c r="GGC5" s="390"/>
      <c r="GGD5" s="390"/>
      <c r="GGE5" s="390"/>
      <c r="GGF5" s="390"/>
      <c r="GGG5" s="390"/>
      <c r="GGH5" s="390"/>
      <c r="GGI5" s="390"/>
      <c r="GGJ5" s="390"/>
      <c r="GGK5" s="390"/>
      <c r="GGL5" s="390"/>
      <c r="GGM5" s="390"/>
      <c r="GGN5" s="390"/>
      <c r="GGO5" s="390"/>
      <c r="GGP5" s="390"/>
      <c r="GGQ5" s="390"/>
      <c r="GGR5" s="390"/>
      <c r="GGS5" s="390"/>
      <c r="GGT5" s="390"/>
      <c r="GGU5" s="390"/>
      <c r="GGV5" s="390"/>
      <c r="GGW5" s="390"/>
      <c r="GGX5" s="390"/>
      <c r="GGY5" s="390"/>
      <c r="GGZ5" s="390"/>
      <c r="GHA5" s="390"/>
      <c r="GHB5" s="390"/>
      <c r="GHC5" s="390"/>
      <c r="GHD5" s="390"/>
      <c r="GHE5" s="390"/>
      <c r="GHF5" s="390"/>
      <c r="GHG5" s="390"/>
      <c r="GHH5" s="390"/>
      <c r="GHI5" s="390"/>
      <c r="GHJ5" s="390"/>
      <c r="GHK5" s="390"/>
      <c r="GHL5" s="390"/>
      <c r="GHM5" s="390"/>
      <c r="GHN5" s="390"/>
      <c r="GHO5" s="390"/>
      <c r="GHP5" s="390"/>
      <c r="GHQ5" s="390"/>
      <c r="GHR5" s="390"/>
      <c r="GHS5" s="390"/>
      <c r="GHT5" s="390"/>
      <c r="GHU5" s="390"/>
      <c r="GHV5" s="390"/>
      <c r="GHW5" s="390"/>
      <c r="GHX5" s="390"/>
      <c r="GHY5" s="390"/>
      <c r="GHZ5" s="390"/>
      <c r="GIA5" s="390"/>
      <c r="GIB5" s="390"/>
      <c r="GIC5" s="390"/>
      <c r="GID5" s="390"/>
      <c r="GIE5" s="390"/>
      <c r="GIF5" s="390"/>
      <c r="GIG5" s="390"/>
      <c r="GIH5" s="390"/>
      <c r="GII5" s="390"/>
      <c r="GIJ5" s="390"/>
      <c r="GIK5" s="390"/>
      <c r="GIL5" s="390"/>
      <c r="GIM5" s="390"/>
      <c r="GIN5" s="390"/>
      <c r="GIO5" s="390"/>
      <c r="GIP5" s="390"/>
      <c r="GIQ5" s="390"/>
      <c r="GIR5" s="390"/>
      <c r="GIS5" s="390"/>
      <c r="GIT5" s="390"/>
      <c r="GIU5" s="390"/>
      <c r="GIV5" s="390"/>
      <c r="GIW5" s="390"/>
      <c r="GIX5" s="390"/>
      <c r="GIY5" s="390"/>
      <c r="GIZ5" s="390"/>
      <c r="GJA5" s="390"/>
      <c r="GJB5" s="390"/>
      <c r="GJC5" s="390"/>
      <c r="GJD5" s="390"/>
      <c r="GJE5" s="390"/>
      <c r="GJF5" s="390"/>
      <c r="GJG5" s="390"/>
      <c r="GJH5" s="390"/>
      <c r="GJI5" s="390"/>
      <c r="GJJ5" s="390"/>
      <c r="GJK5" s="390"/>
      <c r="GJL5" s="390"/>
      <c r="GJM5" s="390"/>
      <c r="GJN5" s="390"/>
      <c r="GJO5" s="390"/>
      <c r="GJP5" s="390"/>
      <c r="GJQ5" s="390"/>
      <c r="GJR5" s="390"/>
      <c r="GJS5" s="390"/>
      <c r="GJT5" s="390"/>
      <c r="GJU5" s="390"/>
      <c r="GJV5" s="390"/>
      <c r="GJW5" s="390"/>
      <c r="GJX5" s="390"/>
      <c r="GJY5" s="390"/>
      <c r="GJZ5" s="390"/>
      <c r="GKA5" s="390"/>
      <c r="GKB5" s="390"/>
      <c r="GKC5" s="390"/>
      <c r="GKD5" s="390"/>
      <c r="GKE5" s="390"/>
      <c r="GKF5" s="390"/>
      <c r="GKG5" s="390"/>
      <c r="GKH5" s="390"/>
      <c r="GKI5" s="390"/>
      <c r="GKJ5" s="390"/>
      <c r="GKK5" s="390"/>
      <c r="GKL5" s="390"/>
      <c r="GKM5" s="390"/>
      <c r="GKN5" s="390"/>
      <c r="GKO5" s="390"/>
      <c r="GKP5" s="390"/>
      <c r="GKQ5" s="390"/>
      <c r="GKR5" s="390"/>
      <c r="GKS5" s="390"/>
      <c r="GKT5" s="390"/>
      <c r="GKU5" s="390"/>
      <c r="GKV5" s="390"/>
      <c r="GKW5" s="390"/>
      <c r="GKX5" s="390"/>
      <c r="GKY5" s="390"/>
      <c r="GKZ5" s="390"/>
      <c r="GLA5" s="390"/>
      <c r="GLB5" s="390"/>
      <c r="GLC5" s="390"/>
      <c r="GLD5" s="390"/>
      <c r="GLE5" s="390"/>
      <c r="GLF5" s="390"/>
      <c r="GLG5" s="390"/>
      <c r="GLH5" s="390"/>
      <c r="GLI5" s="390"/>
      <c r="GLJ5" s="390"/>
      <c r="GLK5" s="390"/>
      <c r="GLL5" s="390"/>
      <c r="GLM5" s="390"/>
      <c r="GLN5" s="390"/>
      <c r="GLO5" s="390"/>
      <c r="GLP5" s="390"/>
      <c r="GLQ5" s="390"/>
      <c r="GLR5" s="390"/>
      <c r="GLS5" s="390"/>
      <c r="GLT5" s="390"/>
      <c r="GLU5" s="390"/>
      <c r="GLV5" s="390"/>
      <c r="GLW5" s="390"/>
      <c r="GLX5" s="390"/>
      <c r="GLY5" s="390"/>
      <c r="GLZ5" s="390"/>
      <c r="GMA5" s="390"/>
      <c r="GMB5" s="390"/>
      <c r="GMC5" s="390"/>
      <c r="GMD5" s="390"/>
      <c r="GME5" s="390"/>
      <c r="GMF5" s="390"/>
      <c r="GMG5" s="390"/>
      <c r="GMH5" s="390"/>
      <c r="GMI5" s="390"/>
      <c r="GMJ5" s="390"/>
      <c r="GMK5" s="390"/>
      <c r="GML5" s="390"/>
      <c r="GMM5" s="390"/>
      <c r="GMN5" s="390"/>
      <c r="GMO5" s="390"/>
      <c r="GMP5" s="390"/>
      <c r="GMQ5" s="390"/>
      <c r="GMR5" s="390"/>
      <c r="GMS5" s="390"/>
      <c r="GMT5" s="390"/>
      <c r="GMU5" s="390"/>
      <c r="GMV5" s="390"/>
      <c r="GMW5" s="390"/>
      <c r="GMX5" s="390"/>
      <c r="GMY5" s="390"/>
      <c r="GMZ5" s="390"/>
      <c r="GNA5" s="390"/>
      <c r="GNB5" s="390"/>
      <c r="GNC5" s="390"/>
      <c r="GND5" s="390"/>
      <c r="GNE5" s="390"/>
      <c r="GNF5" s="390"/>
      <c r="GNG5" s="390"/>
      <c r="GNH5" s="390"/>
      <c r="GNI5" s="390"/>
      <c r="GNJ5" s="390"/>
      <c r="GNK5" s="390"/>
      <c r="GNL5" s="390"/>
      <c r="GNM5" s="390"/>
      <c r="GNN5" s="390"/>
      <c r="GNO5" s="390"/>
      <c r="GNP5" s="390"/>
      <c r="GNQ5" s="390"/>
      <c r="GNR5" s="390"/>
      <c r="GNS5" s="390"/>
      <c r="GNT5" s="390"/>
      <c r="GNU5" s="390"/>
      <c r="GNV5" s="390"/>
      <c r="GNW5" s="390"/>
      <c r="GNX5" s="390"/>
      <c r="GNY5" s="390"/>
      <c r="GNZ5" s="390"/>
      <c r="GOA5" s="390"/>
      <c r="GOB5" s="390"/>
      <c r="GOC5" s="390"/>
      <c r="GOD5" s="390"/>
      <c r="GOE5" s="390"/>
      <c r="GOF5" s="390"/>
      <c r="GOG5" s="390"/>
      <c r="GOH5" s="390"/>
      <c r="GOI5" s="390"/>
      <c r="GOJ5" s="390"/>
      <c r="GOK5" s="390"/>
      <c r="GOL5" s="390"/>
      <c r="GOM5" s="390"/>
      <c r="GON5" s="390"/>
      <c r="GOO5" s="390"/>
      <c r="GOP5" s="390"/>
      <c r="GOQ5" s="390"/>
      <c r="GOR5" s="390"/>
      <c r="GOS5" s="390"/>
      <c r="GOT5" s="390"/>
      <c r="GOU5" s="390"/>
      <c r="GOV5" s="390"/>
      <c r="GOW5" s="390"/>
      <c r="GOX5" s="390"/>
      <c r="GOY5" s="390"/>
      <c r="GOZ5" s="390"/>
      <c r="GPA5" s="390"/>
      <c r="GPB5" s="390"/>
      <c r="GPC5" s="390"/>
      <c r="GPD5" s="390"/>
      <c r="GPE5" s="390"/>
      <c r="GPF5" s="390"/>
      <c r="GPG5" s="390"/>
      <c r="GPH5" s="390"/>
      <c r="GPI5" s="390"/>
      <c r="GPJ5" s="390"/>
      <c r="GPK5" s="390"/>
      <c r="GPL5" s="390"/>
      <c r="GPM5" s="390"/>
      <c r="GPN5" s="390"/>
      <c r="GPO5" s="390"/>
      <c r="GPP5" s="390"/>
      <c r="GPQ5" s="390"/>
      <c r="GPR5" s="390"/>
      <c r="GPS5" s="390"/>
      <c r="GPT5" s="390"/>
      <c r="GPU5" s="390"/>
      <c r="GPV5" s="390"/>
      <c r="GPW5" s="390"/>
      <c r="GPX5" s="390"/>
      <c r="GPY5" s="390"/>
      <c r="GPZ5" s="390"/>
      <c r="GQA5" s="390"/>
      <c r="GQB5" s="390"/>
      <c r="GQC5" s="390"/>
      <c r="GQD5" s="390"/>
      <c r="GQE5" s="390"/>
      <c r="GQF5" s="390"/>
      <c r="GQG5" s="390"/>
      <c r="GQH5" s="390"/>
      <c r="GQI5" s="390"/>
      <c r="GQJ5" s="390"/>
      <c r="GQK5" s="390"/>
      <c r="GQL5" s="390"/>
      <c r="GQM5" s="390"/>
      <c r="GQN5" s="390"/>
      <c r="GQO5" s="390"/>
      <c r="GQP5" s="390"/>
      <c r="GQQ5" s="390"/>
      <c r="GQR5" s="390"/>
      <c r="GQS5" s="390"/>
      <c r="GQT5" s="390"/>
      <c r="GQU5" s="390"/>
      <c r="GQV5" s="390"/>
      <c r="GQW5" s="390"/>
      <c r="GQX5" s="390"/>
      <c r="GQY5" s="390"/>
      <c r="GQZ5" s="390"/>
      <c r="GRA5" s="390"/>
      <c r="GRB5" s="390"/>
      <c r="GRC5" s="390"/>
      <c r="GRD5" s="390"/>
      <c r="GRE5" s="390"/>
      <c r="GRF5" s="390"/>
      <c r="GRG5" s="390"/>
      <c r="GRH5" s="390"/>
      <c r="GRI5" s="390"/>
      <c r="GRJ5" s="390"/>
      <c r="GRK5" s="390"/>
      <c r="GRL5" s="390"/>
      <c r="GRM5" s="390"/>
      <c r="GRN5" s="390"/>
      <c r="GRO5" s="390"/>
      <c r="GRP5" s="390"/>
      <c r="GRQ5" s="390"/>
      <c r="GRR5" s="390"/>
      <c r="GRS5" s="390"/>
      <c r="GRT5" s="390"/>
      <c r="GRU5" s="390"/>
      <c r="GRV5" s="390"/>
      <c r="GRW5" s="390"/>
      <c r="GRX5" s="390"/>
      <c r="GRY5" s="390"/>
      <c r="GRZ5" s="390"/>
      <c r="GSA5" s="390"/>
      <c r="GSB5" s="390"/>
      <c r="GSC5" s="390"/>
      <c r="GSD5" s="390"/>
      <c r="GSE5" s="390"/>
      <c r="GSF5" s="390"/>
      <c r="GSG5" s="390"/>
      <c r="GSH5" s="390"/>
      <c r="GSI5" s="390"/>
      <c r="GSJ5" s="390"/>
      <c r="GSK5" s="390"/>
      <c r="GSL5" s="390"/>
      <c r="GSM5" s="390"/>
      <c r="GSN5" s="390"/>
      <c r="GSO5" s="390"/>
      <c r="GSP5" s="390"/>
      <c r="GSQ5" s="390"/>
      <c r="GSR5" s="390"/>
      <c r="GSS5" s="390"/>
      <c r="GST5" s="390"/>
      <c r="GSU5" s="390"/>
      <c r="GSV5" s="390"/>
      <c r="GSW5" s="390"/>
      <c r="GSX5" s="390"/>
      <c r="GSY5" s="390"/>
      <c r="GSZ5" s="390"/>
      <c r="GTA5" s="390"/>
      <c r="GTB5" s="390"/>
      <c r="GTC5" s="390"/>
      <c r="GTD5" s="390"/>
      <c r="GTE5" s="390"/>
      <c r="GTF5" s="390"/>
      <c r="GTG5" s="390"/>
      <c r="GTH5" s="390"/>
      <c r="GTI5" s="390"/>
      <c r="GTJ5" s="390"/>
      <c r="GTK5" s="390"/>
      <c r="GTL5" s="390"/>
      <c r="GTM5" s="390"/>
      <c r="GTN5" s="390"/>
      <c r="GTO5" s="390"/>
      <c r="GTP5" s="390"/>
      <c r="GTQ5" s="390"/>
      <c r="GTR5" s="390"/>
      <c r="GTS5" s="390"/>
      <c r="GTT5" s="390"/>
      <c r="GTU5" s="390"/>
      <c r="GTV5" s="390"/>
      <c r="GTW5" s="390"/>
      <c r="GTX5" s="390"/>
      <c r="GTY5" s="390"/>
      <c r="GTZ5" s="390"/>
      <c r="GUA5" s="390"/>
      <c r="GUB5" s="390"/>
      <c r="GUC5" s="390"/>
      <c r="GUD5" s="390"/>
      <c r="GUE5" s="390"/>
      <c r="GUF5" s="390"/>
      <c r="GUG5" s="390"/>
      <c r="GUH5" s="390"/>
      <c r="GUI5" s="390"/>
      <c r="GUJ5" s="390"/>
      <c r="GUK5" s="390"/>
      <c r="GUL5" s="390"/>
      <c r="GUM5" s="390"/>
      <c r="GUN5" s="390"/>
      <c r="GUO5" s="390"/>
      <c r="GUP5" s="390"/>
      <c r="GUQ5" s="390"/>
      <c r="GUR5" s="390"/>
      <c r="GUS5" s="390"/>
      <c r="GUT5" s="390"/>
      <c r="GUU5" s="390"/>
      <c r="GUV5" s="390"/>
      <c r="GUW5" s="390"/>
      <c r="GUX5" s="390"/>
      <c r="GUY5" s="390"/>
      <c r="GUZ5" s="390"/>
      <c r="GVA5" s="390"/>
      <c r="GVB5" s="390"/>
      <c r="GVC5" s="390"/>
      <c r="GVD5" s="390"/>
      <c r="GVE5" s="390"/>
      <c r="GVF5" s="390"/>
      <c r="GVG5" s="390"/>
      <c r="GVH5" s="390"/>
      <c r="GVI5" s="390"/>
      <c r="GVJ5" s="390"/>
      <c r="GVK5" s="390"/>
      <c r="GVL5" s="390"/>
      <c r="GVM5" s="390"/>
      <c r="GVN5" s="390"/>
      <c r="GVO5" s="390"/>
      <c r="GVP5" s="390"/>
      <c r="GVQ5" s="390"/>
      <c r="GVR5" s="390"/>
      <c r="GVS5" s="390"/>
      <c r="GVT5" s="390"/>
      <c r="GVU5" s="390"/>
      <c r="GVV5" s="390"/>
      <c r="GVW5" s="390"/>
      <c r="GVX5" s="390"/>
      <c r="GVY5" s="390"/>
      <c r="GVZ5" s="390"/>
      <c r="GWA5" s="390"/>
      <c r="GWB5" s="390"/>
      <c r="GWC5" s="390"/>
      <c r="GWD5" s="390"/>
      <c r="GWE5" s="390"/>
      <c r="GWF5" s="390"/>
      <c r="GWG5" s="390"/>
      <c r="GWH5" s="390"/>
      <c r="GWI5" s="390"/>
      <c r="GWJ5" s="390"/>
      <c r="GWK5" s="390"/>
      <c r="GWL5" s="390"/>
      <c r="GWM5" s="390"/>
      <c r="GWN5" s="390"/>
      <c r="GWO5" s="390"/>
      <c r="GWP5" s="390"/>
      <c r="GWQ5" s="390"/>
      <c r="GWR5" s="390"/>
      <c r="GWS5" s="390"/>
      <c r="GWT5" s="390"/>
      <c r="GWU5" s="390"/>
      <c r="GWV5" s="390"/>
      <c r="GWW5" s="390"/>
      <c r="GWX5" s="390"/>
      <c r="GWY5" s="390"/>
      <c r="GWZ5" s="390"/>
      <c r="GXA5" s="390"/>
      <c r="GXB5" s="390"/>
      <c r="GXC5" s="390"/>
      <c r="GXD5" s="390"/>
      <c r="GXE5" s="390"/>
      <c r="GXF5" s="390"/>
      <c r="GXG5" s="390"/>
      <c r="GXH5" s="390"/>
      <c r="GXI5" s="390"/>
      <c r="GXJ5" s="390"/>
      <c r="GXK5" s="390"/>
      <c r="GXL5" s="390"/>
      <c r="GXM5" s="390"/>
      <c r="GXN5" s="390"/>
      <c r="GXO5" s="390"/>
      <c r="GXP5" s="390"/>
      <c r="GXQ5" s="390"/>
      <c r="GXR5" s="390"/>
      <c r="GXS5" s="390"/>
      <c r="GXT5" s="390"/>
      <c r="GXU5" s="390"/>
      <c r="GXV5" s="390"/>
      <c r="GXW5" s="390"/>
      <c r="GXX5" s="390"/>
      <c r="GXY5" s="390"/>
      <c r="GXZ5" s="390"/>
      <c r="GYA5" s="390"/>
      <c r="GYB5" s="390"/>
      <c r="GYC5" s="390"/>
      <c r="GYD5" s="390"/>
      <c r="GYE5" s="390"/>
      <c r="GYF5" s="390"/>
      <c r="GYG5" s="390"/>
      <c r="GYH5" s="390"/>
      <c r="GYI5" s="390"/>
      <c r="GYJ5" s="390"/>
      <c r="GYK5" s="390"/>
      <c r="GYL5" s="390"/>
      <c r="GYM5" s="390"/>
      <c r="GYN5" s="390"/>
      <c r="GYO5" s="390"/>
      <c r="GYP5" s="390"/>
      <c r="GYQ5" s="390"/>
      <c r="GYR5" s="390"/>
      <c r="GYS5" s="390"/>
      <c r="GYT5" s="390"/>
      <c r="GYU5" s="390"/>
      <c r="GYV5" s="390"/>
      <c r="GYW5" s="390"/>
      <c r="GYX5" s="390"/>
      <c r="GYY5" s="390"/>
      <c r="GYZ5" s="390"/>
      <c r="GZA5" s="390"/>
      <c r="GZB5" s="390"/>
      <c r="GZC5" s="390"/>
      <c r="GZD5" s="390"/>
      <c r="GZE5" s="390"/>
      <c r="GZF5" s="390"/>
      <c r="GZG5" s="390"/>
      <c r="GZH5" s="390"/>
      <c r="GZI5" s="390"/>
      <c r="GZJ5" s="390"/>
      <c r="GZK5" s="390"/>
      <c r="GZL5" s="390"/>
      <c r="GZM5" s="390"/>
      <c r="GZN5" s="390"/>
      <c r="GZO5" s="390"/>
      <c r="GZP5" s="390"/>
      <c r="GZQ5" s="390"/>
      <c r="GZR5" s="390"/>
      <c r="GZS5" s="390"/>
      <c r="GZT5" s="390"/>
      <c r="GZU5" s="390"/>
      <c r="GZV5" s="390"/>
      <c r="GZW5" s="390"/>
      <c r="GZX5" s="390"/>
      <c r="GZY5" s="390"/>
      <c r="GZZ5" s="390"/>
      <c r="HAA5" s="390"/>
      <c r="HAB5" s="390"/>
      <c r="HAC5" s="390"/>
      <c r="HAD5" s="390"/>
      <c r="HAE5" s="390"/>
      <c r="HAF5" s="390"/>
      <c r="HAG5" s="390"/>
      <c r="HAH5" s="390"/>
      <c r="HAI5" s="390"/>
      <c r="HAJ5" s="390"/>
      <c r="HAK5" s="390"/>
      <c r="HAL5" s="390"/>
      <c r="HAM5" s="390"/>
      <c r="HAN5" s="390"/>
      <c r="HAO5" s="390"/>
      <c r="HAP5" s="390"/>
      <c r="HAQ5" s="390"/>
      <c r="HAR5" s="390"/>
      <c r="HAS5" s="390"/>
      <c r="HAT5" s="390"/>
      <c r="HAU5" s="390"/>
      <c r="HAV5" s="390"/>
      <c r="HAW5" s="390"/>
      <c r="HAX5" s="390"/>
      <c r="HAY5" s="390"/>
      <c r="HAZ5" s="390"/>
      <c r="HBA5" s="390"/>
      <c r="HBB5" s="390"/>
      <c r="HBC5" s="390"/>
      <c r="HBD5" s="390"/>
      <c r="HBE5" s="390"/>
      <c r="HBF5" s="390"/>
      <c r="HBG5" s="390"/>
      <c r="HBH5" s="390"/>
      <c r="HBI5" s="390"/>
      <c r="HBJ5" s="390"/>
      <c r="HBK5" s="390"/>
      <c r="HBL5" s="390"/>
      <c r="HBM5" s="390"/>
      <c r="HBN5" s="390"/>
      <c r="HBO5" s="390"/>
      <c r="HBP5" s="390"/>
      <c r="HBQ5" s="390"/>
      <c r="HBR5" s="390"/>
      <c r="HBS5" s="390"/>
      <c r="HBT5" s="390"/>
      <c r="HBU5" s="390"/>
      <c r="HBV5" s="390"/>
      <c r="HBW5" s="390"/>
      <c r="HBX5" s="390"/>
      <c r="HBY5" s="390"/>
      <c r="HBZ5" s="390"/>
      <c r="HCA5" s="390"/>
      <c r="HCB5" s="390"/>
      <c r="HCC5" s="390"/>
      <c r="HCD5" s="390"/>
      <c r="HCE5" s="390"/>
      <c r="HCF5" s="390"/>
      <c r="HCG5" s="390"/>
      <c r="HCH5" s="390"/>
      <c r="HCI5" s="390"/>
      <c r="HCJ5" s="390"/>
      <c r="HCK5" s="390"/>
      <c r="HCL5" s="390"/>
      <c r="HCM5" s="390"/>
      <c r="HCN5" s="390"/>
      <c r="HCO5" s="390"/>
      <c r="HCP5" s="390"/>
      <c r="HCQ5" s="390"/>
      <c r="HCR5" s="390"/>
      <c r="HCS5" s="390"/>
      <c r="HCT5" s="390"/>
      <c r="HCU5" s="390"/>
      <c r="HCV5" s="390"/>
      <c r="HCW5" s="390"/>
      <c r="HCX5" s="390"/>
      <c r="HCY5" s="390"/>
      <c r="HCZ5" s="390"/>
      <c r="HDA5" s="390"/>
      <c r="HDB5" s="390"/>
      <c r="HDC5" s="390"/>
      <c r="HDD5" s="390"/>
      <c r="HDE5" s="390"/>
      <c r="HDF5" s="390"/>
      <c r="HDG5" s="390"/>
      <c r="HDH5" s="390"/>
      <c r="HDI5" s="390"/>
      <c r="HDJ5" s="390"/>
      <c r="HDK5" s="390"/>
      <c r="HDL5" s="390"/>
      <c r="HDM5" s="390"/>
      <c r="HDN5" s="390"/>
      <c r="HDO5" s="390"/>
      <c r="HDP5" s="390"/>
      <c r="HDQ5" s="390"/>
      <c r="HDR5" s="390"/>
      <c r="HDS5" s="390"/>
      <c r="HDT5" s="390"/>
      <c r="HDU5" s="390"/>
      <c r="HDV5" s="390"/>
      <c r="HDW5" s="390"/>
      <c r="HDX5" s="390"/>
      <c r="HDY5" s="390"/>
      <c r="HDZ5" s="390"/>
      <c r="HEA5" s="390"/>
      <c r="HEB5" s="390"/>
      <c r="HEC5" s="390"/>
      <c r="HED5" s="390"/>
      <c r="HEE5" s="390"/>
      <c r="HEF5" s="390"/>
      <c r="HEG5" s="390"/>
      <c r="HEH5" s="390"/>
      <c r="HEI5" s="390"/>
      <c r="HEJ5" s="390"/>
      <c r="HEK5" s="390"/>
      <c r="HEL5" s="390"/>
      <c r="HEM5" s="390"/>
      <c r="HEN5" s="390"/>
      <c r="HEO5" s="390"/>
      <c r="HEP5" s="390"/>
      <c r="HEQ5" s="390"/>
      <c r="HER5" s="390"/>
      <c r="HES5" s="390"/>
      <c r="HET5" s="390"/>
      <c r="HEU5" s="390"/>
      <c r="HEV5" s="390"/>
      <c r="HEW5" s="390"/>
      <c r="HEX5" s="390"/>
      <c r="HEY5" s="390"/>
      <c r="HEZ5" s="390"/>
      <c r="HFA5" s="390"/>
      <c r="HFB5" s="390"/>
      <c r="HFC5" s="390"/>
      <c r="HFD5" s="390"/>
      <c r="HFE5" s="390"/>
      <c r="HFF5" s="390"/>
      <c r="HFG5" s="390"/>
      <c r="HFH5" s="390"/>
      <c r="HFI5" s="390"/>
      <c r="HFJ5" s="390"/>
      <c r="HFK5" s="390"/>
      <c r="HFL5" s="390"/>
      <c r="HFM5" s="390"/>
      <c r="HFN5" s="390"/>
      <c r="HFO5" s="390"/>
      <c r="HFP5" s="390"/>
      <c r="HFQ5" s="390"/>
      <c r="HFR5" s="390"/>
      <c r="HFS5" s="390"/>
      <c r="HFT5" s="390"/>
      <c r="HFU5" s="390"/>
      <c r="HFV5" s="390"/>
      <c r="HFW5" s="390"/>
      <c r="HFX5" s="390"/>
      <c r="HFY5" s="390"/>
      <c r="HFZ5" s="390"/>
      <c r="HGA5" s="390"/>
      <c r="HGB5" s="390"/>
      <c r="HGC5" s="390"/>
      <c r="HGD5" s="390"/>
      <c r="HGE5" s="390"/>
      <c r="HGF5" s="390"/>
      <c r="HGG5" s="390"/>
      <c r="HGH5" s="390"/>
      <c r="HGI5" s="390"/>
      <c r="HGJ5" s="390"/>
      <c r="HGK5" s="390"/>
      <c r="HGL5" s="390"/>
      <c r="HGM5" s="390"/>
      <c r="HGN5" s="390"/>
      <c r="HGO5" s="390"/>
      <c r="HGP5" s="390"/>
      <c r="HGQ5" s="390"/>
      <c r="HGR5" s="390"/>
      <c r="HGS5" s="390"/>
      <c r="HGT5" s="390"/>
      <c r="HGU5" s="390"/>
      <c r="HGV5" s="390"/>
      <c r="HGW5" s="390"/>
      <c r="HGX5" s="390"/>
      <c r="HGY5" s="390"/>
      <c r="HGZ5" s="390"/>
      <c r="HHA5" s="390"/>
      <c r="HHB5" s="390"/>
      <c r="HHC5" s="390"/>
      <c r="HHD5" s="390"/>
      <c r="HHE5" s="390"/>
      <c r="HHF5" s="390"/>
      <c r="HHG5" s="390"/>
      <c r="HHH5" s="390"/>
      <c r="HHI5" s="390"/>
      <c r="HHJ5" s="390"/>
      <c r="HHK5" s="390"/>
      <c r="HHL5" s="390"/>
      <c r="HHM5" s="390"/>
      <c r="HHN5" s="390"/>
      <c r="HHO5" s="390"/>
      <c r="HHP5" s="390"/>
      <c r="HHQ5" s="390"/>
      <c r="HHR5" s="390"/>
      <c r="HHS5" s="390"/>
      <c r="HHT5" s="390"/>
      <c r="HHU5" s="390"/>
      <c r="HHV5" s="390"/>
      <c r="HHW5" s="390"/>
      <c r="HHX5" s="390"/>
      <c r="HHY5" s="390"/>
      <c r="HHZ5" s="390"/>
      <c r="HIA5" s="390"/>
      <c r="HIB5" s="390"/>
      <c r="HIC5" s="390"/>
      <c r="HID5" s="390"/>
      <c r="HIE5" s="390"/>
      <c r="HIF5" s="390"/>
      <c r="HIG5" s="390"/>
      <c r="HIH5" s="390"/>
      <c r="HII5" s="390"/>
      <c r="HIJ5" s="390"/>
      <c r="HIK5" s="390"/>
      <c r="HIL5" s="390"/>
      <c r="HIM5" s="390"/>
      <c r="HIN5" s="390"/>
      <c r="HIO5" s="390"/>
      <c r="HIP5" s="390"/>
      <c r="HIQ5" s="390"/>
      <c r="HIR5" s="390"/>
      <c r="HIS5" s="390"/>
      <c r="HIT5" s="390"/>
      <c r="HIU5" s="390"/>
      <c r="HIV5" s="390"/>
      <c r="HIW5" s="390"/>
      <c r="HIX5" s="390"/>
      <c r="HIY5" s="390"/>
      <c r="HIZ5" s="390"/>
      <c r="HJA5" s="390"/>
      <c r="HJB5" s="390"/>
      <c r="HJC5" s="390"/>
      <c r="HJD5" s="390"/>
      <c r="HJE5" s="390"/>
      <c r="HJF5" s="390"/>
      <c r="HJG5" s="390"/>
      <c r="HJH5" s="390"/>
      <c r="HJI5" s="390"/>
      <c r="HJJ5" s="390"/>
      <c r="HJK5" s="390"/>
      <c r="HJL5" s="390"/>
      <c r="HJM5" s="390"/>
      <c r="HJN5" s="390"/>
      <c r="HJO5" s="390"/>
      <c r="HJP5" s="390"/>
      <c r="HJQ5" s="390"/>
      <c r="HJR5" s="390"/>
      <c r="HJS5" s="390"/>
      <c r="HJT5" s="390"/>
      <c r="HJU5" s="390"/>
      <c r="HJV5" s="390"/>
      <c r="HJW5" s="390"/>
      <c r="HJX5" s="390"/>
      <c r="HJY5" s="390"/>
      <c r="HJZ5" s="390"/>
      <c r="HKA5" s="390"/>
      <c r="HKB5" s="390"/>
      <c r="HKC5" s="390"/>
      <c r="HKD5" s="390"/>
      <c r="HKE5" s="390"/>
      <c r="HKF5" s="390"/>
      <c r="HKG5" s="390"/>
      <c r="HKH5" s="390"/>
      <c r="HKI5" s="390"/>
      <c r="HKJ5" s="390"/>
      <c r="HKK5" s="390"/>
      <c r="HKL5" s="390"/>
      <c r="HKM5" s="390"/>
      <c r="HKN5" s="390"/>
      <c r="HKO5" s="390"/>
      <c r="HKP5" s="390"/>
      <c r="HKQ5" s="390"/>
      <c r="HKR5" s="390"/>
      <c r="HKS5" s="390"/>
      <c r="HKT5" s="390"/>
      <c r="HKU5" s="390"/>
      <c r="HKV5" s="390"/>
      <c r="HKW5" s="390"/>
      <c r="HKX5" s="390"/>
      <c r="HKY5" s="390"/>
      <c r="HKZ5" s="390"/>
      <c r="HLA5" s="390"/>
      <c r="HLB5" s="390"/>
      <c r="HLC5" s="390"/>
      <c r="HLD5" s="390"/>
      <c r="HLE5" s="390"/>
      <c r="HLF5" s="390"/>
      <c r="HLG5" s="390"/>
      <c r="HLH5" s="390"/>
      <c r="HLI5" s="390"/>
      <c r="HLJ5" s="390"/>
      <c r="HLK5" s="390"/>
      <c r="HLL5" s="390"/>
      <c r="HLM5" s="390"/>
      <c r="HLN5" s="390"/>
      <c r="HLO5" s="390"/>
      <c r="HLP5" s="390"/>
      <c r="HLQ5" s="390"/>
      <c r="HLR5" s="390"/>
      <c r="HLS5" s="390"/>
      <c r="HLT5" s="390"/>
      <c r="HLU5" s="390"/>
      <c r="HLV5" s="390"/>
      <c r="HLW5" s="390"/>
      <c r="HLX5" s="390"/>
      <c r="HLY5" s="390"/>
      <c r="HLZ5" s="390"/>
      <c r="HMA5" s="390"/>
      <c r="HMB5" s="390"/>
      <c r="HMC5" s="390"/>
      <c r="HMD5" s="390"/>
      <c r="HME5" s="390"/>
      <c r="HMF5" s="390"/>
      <c r="HMG5" s="390"/>
      <c r="HMH5" s="390"/>
      <c r="HMI5" s="390"/>
      <c r="HMJ5" s="390"/>
      <c r="HMK5" s="390"/>
      <c r="HML5" s="390"/>
      <c r="HMM5" s="390"/>
      <c r="HMN5" s="390"/>
      <c r="HMO5" s="390"/>
      <c r="HMP5" s="390"/>
      <c r="HMQ5" s="390"/>
      <c r="HMR5" s="390"/>
      <c r="HMS5" s="390"/>
      <c r="HMT5" s="390"/>
      <c r="HMU5" s="390"/>
      <c r="HMV5" s="390"/>
      <c r="HMW5" s="390"/>
      <c r="HMX5" s="390"/>
      <c r="HMY5" s="390"/>
      <c r="HMZ5" s="390"/>
      <c r="HNA5" s="390"/>
      <c r="HNB5" s="390"/>
      <c r="HNC5" s="390"/>
      <c r="HND5" s="390"/>
      <c r="HNE5" s="390"/>
      <c r="HNF5" s="390"/>
      <c r="HNG5" s="390"/>
      <c r="HNH5" s="390"/>
      <c r="HNI5" s="390"/>
      <c r="HNJ5" s="390"/>
      <c r="HNK5" s="390"/>
      <c r="HNL5" s="390"/>
      <c r="HNM5" s="390"/>
      <c r="HNN5" s="390"/>
      <c r="HNO5" s="390"/>
      <c r="HNP5" s="390"/>
      <c r="HNQ5" s="390"/>
      <c r="HNR5" s="390"/>
      <c r="HNS5" s="390"/>
      <c r="HNT5" s="390"/>
      <c r="HNU5" s="390"/>
      <c r="HNV5" s="390"/>
      <c r="HNW5" s="390"/>
      <c r="HNX5" s="390"/>
      <c r="HNY5" s="390"/>
      <c r="HNZ5" s="390"/>
      <c r="HOA5" s="390"/>
      <c r="HOB5" s="390"/>
      <c r="HOC5" s="390"/>
      <c r="HOD5" s="390"/>
      <c r="HOE5" s="390"/>
      <c r="HOF5" s="390"/>
      <c r="HOG5" s="390"/>
      <c r="HOH5" s="390"/>
      <c r="HOI5" s="390"/>
      <c r="HOJ5" s="390"/>
      <c r="HOK5" s="390"/>
      <c r="HOL5" s="390"/>
      <c r="HOM5" s="390"/>
      <c r="HON5" s="390"/>
      <c r="HOO5" s="390"/>
      <c r="HOP5" s="390"/>
      <c r="HOQ5" s="390"/>
      <c r="HOR5" s="390"/>
      <c r="HOS5" s="390"/>
      <c r="HOT5" s="390"/>
      <c r="HOU5" s="390"/>
      <c r="HOV5" s="390"/>
      <c r="HOW5" s="390"/>
      <c r="HOX5" s="390"/>
      <c r="HOY5" s="390"/>
      <c r="HOZ5" s="390"/>
      <c r="HPA5" s="390"/>
      <c r="HPB5" s="390"/>
      <c r="HPC5" s="390"/>
      <c r="HPD5" s="390"/>
      <c r="HPE5" s="390"/>
      <c r="HPF5" s="390"/>
      <c r="HPG5" s="390"/>
      <c r="HPH5" s="390"/>
      <c r="HPI5" s="390"/>
      <c r="HPJ5" s="390"/>
      <c r="HPK5" s="390"/>
      <c r="HPL5" s="390"/>
      <c r="HPM5" s="390"/>
      <c r="HPN5" s="390"/>
      <c r="HPO5" s="390"/>
      <c r="HPP5" s="390"/>
      <c r="HPQ5" s="390"/>
      <c r="HPR5" s="390"/>
      <c r="HPS5" s="390"/>
      <c r="HPT5" s="390"/>
      <c r="HPU5" s="390"/>
      <c r="HPV5" s="390"/>
      <c r="HPW5" s="390"/>
      <c r="HPX5" s="390"/>
      <c r="HPY5" s="390"/>
      <c r="HPZ5" s="390"/>
      <c r="HQA5" s="390"/>
      <c r="HQB5" s="390"/>
      <c r="HQC5" s="390"/>
      <c r="HQD5" s="390"/>
      <c r="HQE5" s="390"/>
      <c r="HQF5" s="390"/>
      <c r="HQG5" s="390"/>
      <c r="HQH5" s="390"/>
      <c r="HQI5" s="390"/>
      <c r="HQJ5" s="390"/>
      <c r="HQK5" s="390"/>
      <c r="HQL5" s="390"/>
      <c r="HQM5" s="390"/>
      <c r="HQN5" s="390"/>
      <c r="HQO5" s="390"/>
      <c r="HQP5" s="390"/>
      <c r="HQQ5" s="390"/>
      <c r="HQR5" s="390"/>
      <c r="HQS5" s="390"/>
      <c r="HQT5" s="390"/>
      <c r="HQU5" s="390"/>
      <c r="HQV5" s="390"/>
      <c r="HQW5" s="390"/>
      <c r="HQX5" s="390"/>
      <c r="HQY5" s="390"/>
      <c r="HQZ5" s="390"/>
      <c r="HRA5" s="390"/>
      <c r="HRB5" s="390"/>
      <c r="HRC5" s="390"/>
      <c r="HRD5" s="390"/>
      <c r="HRE5" s="390"/>
      <c r="HRF5" s="390"/>
      <c r="HRG5" s="390"/>
      <c r="HRH5" s="390"/>
      <c r="HRI5" s="390"/>
      <c r="HRJ5" s="390"/>
      <c r="HRK5" s="390"/>
      <c r="HRL5" s="390"/>
      <c r="HRM5" s="390"/>
      <c r="HRN5" s="390"/>
      <c r="HRO5" s="390"/>
      <c r="HRP5" s="390"/>
      <c r="HRQ5" s="390"/>
      <c r="HRR5" s="390"/>
      <c r="HRS5" s="390"/>
      <c r="HRT5" s="390"/>
      <c r="HRU5" s="390"/>
      <c r="HRV5" s="390"/>
      <c r="HRW5" s="390"/>
      <c r="HRX5" s="390"/>
      <c r="HRY5" s="390"/>
      <c r="HRZ5" s="390"/>
      <c r="HSA5" s="390"/>
      <c r="HSB5" s="390"/>
      <c r="HSC5" s="390"/>
      <c r="HSD5" s="390"/>
      <c r="HSE5" s="390"/>
      <c r="HSF5" s="390"/>
      <c r="HSG5" s="390"/>
      <c r="HSH5" s="390"/>
      <c r="HSI5" s="390"/>
      <c r="HSJ5" s="390"/>
      <c r="HSK5" s="390"/>
      <c r="HSL5" s="390"/>
      <c r="HSM5" s="390"/>
      <c r="HSN5" s="390"/>
      <c r="HSO5" s="390"/>
      <c r="HSP5" s="390"/>
      <c r="HSQ5" s="390"/>
      <c r="HSR5" s="390"/>
      <c r="HSS5" s="390"/>
      <c r="HST5" s="390"/>
      <c r="HSU5" s="390"/>
      <c r="HSV5" s="390"/>
      <c r="HSW5" s="390"/>
      <c r="HSX5" s="390"/>
      <c r="HSY5" s="390"/>
      <c r="HSZ5" s="390"/>
      <c r="HTA5" s="390"/>
      <c r="HTB5" s="390"/>
      <c r="HTC5" s="390"/>
      <c r="HTD5" s="390"/>
      <c r="HTE5" s="390"/>
      <c r="HTF5" s="390"/>
      <c r="HTG5" s="390"/>
      <c r="HTH5" s="390"/>
      <c r="HTI5" s="390"/>
      <c r="HTJ5" s="390"/>
      <c r="HTK5" s="390"/>
      <c r="HTL5" s="390"/>
      <c r="HTM5" s="390"/>
      <c r="HTN5" s="390"/>
      <c r="HTO5" s="390"/>
      <c r="HTP5" s="390"/>
      <c r="HTQ5" s="390"/>
      <c r="HTR5" s="390"/>
      <c r="HTS5" s="390"/>
      <c r="HTT5" s="390"/>
      <c r="HTU5" s="390"/>
      <c r="HTV5" s="390"/>
      <c r="HTW5" s="390"/>
      <c r="HTX5" s="390"/>
      <c r="HTY5" s="390"/>
      <c r="HTZ5" s="390"/>
      <c r="HUA5" s="390"/>
      <c r="HUB5" s="390"/>
      <c r="HUC5" s="390"/>
      <c r="HUD5" s="390"/>
      <c r="HUE5" s="390"/>
      <c r="HUF5" s="390"/>
      <c r="HUG5" s="390"/>
      <c r="HUH5" s="390"/>
      <c r="HUI5" s="390"/>
      <c r="HUJ5" s="390"/>
      <c r="HUK5" s="390"/>
      <c r="HUL5" s="390"/>
      <c r="HUM5" s="390"/>
      <c r="HUN5" s="390"/>
      <c r="HUO5" s="390"/>
      <c r="HUP5" s="390"/>
      <c r="HUQ5" s="390"/>
      <c r="HUR5" s="390"/>
      <c r="HUS5" s="390"/>
      <c r="HUT5" s="390"/>
      <c r="HUU5" s="390"/>
      <c r="HUV5" s="390"/>
      <c r="HUW5" s="390"/>
      <c r="HUX5" s="390"/>
      <c r="HUY5" s="390"/>
      <c r="HUZ5" s="390"/>
      <c r="HVA5" s="390"/>
      <c r="HVB5" s="390"/>
      <c r="HVC5" s="390"/>
      <c r="HVD5" s="390"/>
      <c r="HVE5" s="390"/>
      <c r="HVF5" s="390"/>
      <c r="HVG5" s="390"/>
      <c r="HVH5" s="390"/>
      <c r="HVI5" s="390"/>
      <c r="HVJ5" s="390"/>
      <c r="HVK5" s="390"/>
      <c r="HVL5" s="390"/>
      <c r="HVM5" s="390"/>
      <c r="HVN5" s="390"/>
      <c r="HVO5" s="390"/>
      <c r="HVP5" s="390"/>
      <c r="HVQ5" s="390"/>
      <c r="HVR5" s="390"/>
      <c r="HVS5" s="390"/>
      <c r="HVT5" s="390"/>
      <c r="HVU5" s="390"/>
      <c r="HVV5" s="390"/>
      <c r="HVW5" s="390"/>
      <c r="HVX5" s="390"/>
      <c r="HVY5" s="390"/>
      <c r="HVZ5" s="390"/>
      <c r="HWA5" s="390"/>
      <c r="HWB5" s="390"/>
      <c r="HWC5" s="390"/>
      <c r="HWD5" s="390"/>
      <c r="HWE5" s="390"/>
      <c r="HWF5" s="390"/>
      <c r="HWG5" s="390"/>
      <c r="HWH5" s="390"/>
      <c r="HWI5" s="390"/>
      <c r="HWJ5" s="390"/>
      <c r="HWK5" s="390"/>
      <c r="HWL5" s="390"/>
      <c r="HWM5" s="390"/>
      <c r="HWN5" s="390"/>
      <c r="HWO5" s="390"/>
      <c r="HWP5" s="390"/>
      <c r="HWQ5" s="390"/>
      <c r="HWR5" s="390"/>
      <c r="HWS5" s="390"/>
      <c r="HWT5" s="390"/>
      <c r="HWU5" s="390"/>
      <c r="HWV5" s="390"/>
      <c r="HWW5" s="390"/>
      <c r="HWX5" s="390"/>
      <c r="HWY5" s="390"/>
      <c r="HWZ5" s="390"/>
      <c r="HXA5" s="390"/>
      <c r="HXB5" s="390"/>
      <c r="HXC5" s="390"/>
      <c r="HXD5" s="390"/>
      <c r="HXE5" s="390"/>
      <c r="HXF5" s="390"/>
      <c r="HXG5" s="390"/>
      <c r="HXH5" s="390"/>
      <c r="HXI5" s="390"/>
      <c r="HXJ5" s="390"/>
      <c r="HXK5" s="390"/>
      <c r="HXL5" s="390"/>
      <c r="HXM5" s="390"/>
      <c r="HXN5" s="390"/>
      <c r="HXO5" s="390"/>
      <c r="HXP5" s="390"/>
      <c r="HXQ5" s="390"/>
      <c r="HXR5" s="390"/>
      <c r="HXS5" s="390"/>
      <c r="HXT5" s="390"/>
      <c r="HXU5" s="390"/>
      <c r="HXV5" s="390"/>
      <c r="HXW5" s="390"/>
      <c r="HXX5" s="390"/>
      <c r="HXY5" s="390"/>
      <c r="HXZ5" s="390"/>
      <c r="HYA5" s="390"/>
      <c r="HYB5" s="390"/>
      <c r="HYC5" s="390"/>
      <c r="HYD5" s="390"/>
      <c r="HYE5" s="390"/>
      <c r="HYF5" s="390"/>
      <c r="HYG5" s="390"/>
      <c r="HYH5" s="390"/>
      <c r="HYI5" s="390"/>
      <c r="HYJ5" s="390"/>
      <c r="HYK5" s="390"/>
      <c r="HYL5" s="390"/>
      <c r="HYM5" s="390"/>
      <c r="HYN5" s="390"/>
      <c r="HYO5" s="390"/>
      <c r="HYP5" s="390"/>
      <c r="HYQ5" s="390"/>
      <c r="HYR5" s="390"/>
      <c r="HYS5" s="390"/>
      <c r="HYT5" s="390"/>
      <c r="HYU5" s="390"/>
      <c r="HYV5" s="390"/>
      <c r="HYW5" s="390"/>
      <c r="HYX5" s="390"/>
      <c r="HYY5" s="390"/>
      <c r="HYZ5" s="390"/>
      <c r="HZA5" s="390"/>
      <c r="HZB5" s="390"/>
      <c r="HZC5" s="390"/>
      <c r="HZD5" s="390"/>
      <c r="HZE5" s="390"/>
      <c r="HZF5" s="390"/>
      <c r="HZG5" s="390"/>
      <c r="HZH5" s="390"/>
      <c r="HZI5" s="390"/>
      <c r="HZJ5" s="390"/>
      <c r="HZK5" s="390"/>
      <c r="HZL5" s="390"/>
      <c r="HZM5" s="390"/>
      <c r="HZN5" s="390"/>
      <c r="HZO5" s="390"/>
      <c r="HZP5" s="390"/>
      <c r="HZQ5" s="390"/>
      <c r="HZR5" s="390"/>
      <c r="HZS5" s="390"/>
      <c r="HZT5" s="390"/>
      <c r="HZU5" s="390"/>
      <c r="HZV5" s="390"/>
      <c r="HZW5" s="390"/>
      <c r="HZX5" s="390"/>
      <c r="HZY5" s="390"/>
      <c r="HZZ5" s="390"/>
      <c r="IAA5" s="390"/>
      <c r="IAB5" s="390"/>
      <c r="IAC5" s="390"/>
      <c r="IAD5" s="390"/>
      <c r="IAE5" s="390"/>
      <c r="IAF5" s="390"/>
      <c r="IAG5" s="390"/>
      <c r="IAH5" s="390"/>
      <c r="IAI5" s="390"/>
      <c r="IAJ5" s="390"/>
      <c r="IAK5" s="390"/>
      <c r="IAL5" s="390"/>
      <c r="IAM5" s="390"/>
      <c r="IAN5" s="390"/>
      <c r="IAO5" s="390"/>
      <c r="IAP5" s="390"/>
      <c r="IAQ5" s="390"/>
      <c r="IAR5" s="390"/>
      <c r="IAS5" s="390"/>
      <c r="IAT5" s="390"/>
      <c r="IAU5" s="390"/>
      <c r="IAV5" s="390"/>
      <c r="IAW5" s="390"/>
      <c r="IAX5" s="390"/>
      <c r="IAY5" s="390"/>
      <c r="IAZ5" s="390"/>
      <c r="IBA5" s="390"/>
      <c r="IBB5" s="390"/>
      <c r="IBC5" s="390"/>
      <c r="IBD5" s="390"/>
      <c r="IBE5" s="390"/>
      <c r="IBF5" s="390"/>
      <c r="IBG5" s="390"/>
      <c r="IBH5" s="390"/>
      <c r="IBI5" s="390"/>
      <c r="IBJ5" s="390"/>
      <c r="IBK5" s="390"/>
      <c r="IBL5" s="390"/>
      <c r="IBM5" s="390"/>
      <c r="IBN5" s="390"/>
      <c r="IBO5" s="390"/>
      <c r="IBP5" s="390"/>
      <c r="IBQ5" s="390"/>
      <c r="IBR5" s="390"/>
      <c r="IBS5" s="390"/>
      <c r="IBT5" s="390"/>
      <c r="IBU5" s="390"/>
      <c r="IBV5" s="390"/>
      <c r="IBW5" s="390"/>
      <c r="IBX5" s="390"/>
      <c r="IBY5" s="390"/>
      <c r="IBZ5" s="390"/>
      <c r="ICA5" s="390"/>
      <c r="ICB5" s="390"/>
      <c r="ICC5" s="390"/>
      <c r="ICD5" s="390"/>
      <c r="ICE5" s="390"/>
      <c r="ICF5" s="390"/>
      <c r="ICG5" s="390"/>
      <c r="ICH5" s="390"/>
      <c r="ICI5" s="390"/>
      <c r="ICJ5" s="390"/>
      <c r="ICK5" s="390"/>
      <c r="ICL5" s="390"/>
      <c r="ICM5" s="390"/>
      <c r="ICN5" s="390"/>
      <c r="ICO5" s="390"/>
      <c r="ICP5" s="390"/>
      <c r="ICQ5" s="390"/>
      <c r="ICR5" s="390"/>
      <c r="ICS5" s="390"/>
      <c r="ICT5" s="390"/>
      <c r="ICU5" s="390"/>
      <c r="ICV5" s="390"/>
      <c r="ICW5" s="390"/>
      <c r="ICX5" s="390"/>
      <c r="ICY5" s="390"/>
      <c r="ICZ5" s="390"/>
      <c r="IDA5" s="390"/>
      <c r="IDB5" s="390"/>
      <c r="IDC5" s="390"/>
      <c r="IDD5" s="390"/>
      <c r="IDE5" s="390"/>
      <c r="IDF5" s="390"/>
      <c r="IDG5" s="390"/>
      <c r="IDH5" s="390"/>
      <c r="IDI5" s="390"/>
      <c r="IDJ5" s="390"/>
      <c r="IDK5" s="390"/>
      <c r="IDL5" s="390"/>
      <c r="IDM5" s="390"/>
      <c r="IDN5" s="390"/>
      <c r="IDO5" s="390"/>
      <c r="IDP5" s="390"/>
      <c r="IDQ5" s="390"/>
      <c r="IDR5" s="390"/>
      <c r="IDS5" s="390"/>
      <c r="IDT5" s="390"/>
      <c r="IDU5" s="390"/>
      <c r="IDV5" s="390"/>
      <c r="IDW5" s="390"/>
      <c r="IDX5" s="390"/>
      <c r="IDY5" s="390"/>
      <c r="IDZ5" s="390"/>
      <c r="IEA5" s="390"/>
      <c r="IEB5" s="390"/>
      <c r="IEC5" s="390"/>
      <c r="IED5" s="390"/>
      <c r="IEE5" s="390"/>
      <c r="IEF5" s="390"/>
      <c r="IEG5" s="390"/>
      <c r="IEH5" s="390"/>
      <c r="IEI5" s="390"/>
      <c r="IEJ5" s="390"/>
      <c r="IEK5" s="390"/>
      <c r="IEL5" s="390"/>
      <c r="IEM5" s="390"/>
      <c r="IEN5" s="390"/>
      <c r="IEO5" s="390"/>
      <c r="IEP5" s="390"/>
      <c r="IEQ5" s="390"/>
      <c r="IER5" s="390"/>
      <c r="IES5" s="390"/>
      <c r="IET5" s="390"/>
      <c r="IEU5" s="390"/>
      <c r="IEV5" s="390"/>
      <c r="IEW5" s="390"/>
      <c r="IEX5" s="390"/>
      <c r="IEY5" s="390"/>
      <c r="IEZ5" s="390"/>
      <c r="IFA5" s="390"/>
      <c r="IFB5" s="390"/>
      <c r="IFC5" s="390"/>
      <c r="IFD5" s="390"/>
      <c r="IFE5" s="390"/>
      <c r="IFF5" s="390"/>
      <c r="IFG5" s="390"/>
      <c r="IFH5" s="390"/>
      <c r="IFI5" s="390"/>
      <c r="IFJ5" s="390"/>
      <c r="IFK5" s="390"/>
      <c r="IFL5" s="390"/>
      <c r="IFM5" s="390"/>
      <c r="IFN5" s="390"/>
      <c r="IFO5" s="390"/>
      <c r="IFP5" s="390"/>
      <c r="IFQ5" s="390"/>
      <c r="IFR5" s="390"/>
      <c r="IFS5" s="390"/>
      <c r="IFT5" s="390"/>
      <c r="IFU5" s="390"/>
      <c r="IFV5" s="390"/>
      <c r="IFW5" s="390"/>
      <c r="IFX5" s="390"/>
      <c r="IFY5" s="390"/>
      <c r="IFZ5" s="390"/>
      <c r="IGA5" s="390"/>
      <c r="IGB5" s="390"/>
      <c r="IGC5" s="390"/>
      <c r="IGD5" s="390"/>
      <c r="IGE5" s="390"/>
      <c r="IGF5" s="390"/>
      <c r="IGG5" s="390"/>
      <c r="IGH5" s="390"/>
      <c r="IGI5" s="390"/>
      <c r="IGJ5" s="390"/>
      <c r="IGK5" s="390"/>
      <c r="IGL5" s="390"/>
      <c r="IGM5" s="390"/>
      <c r="IGN5" s="390"/>
      <c r="IGO5" s="390"/>
      <c r="IGP5" s="390"/>
      <c r="IGQ5" s="390"/>
      <c r="IGR5" s="390"/>
      <c r="IGS5" s="390"/>
      <c r="IGT5" s="390"/>
      <c r="IGU5" s="390"/>
      <c r="IGV5" s="390"/>
      <c r="IGW5" s="390"/>
      <c r="IGX5" s="390"/>
      <c r="IGY5" s="390"/>
      <c r="IGZ5" s="390"/>
      <c r="IHA5" s="390"/>
      <c r="IHB5" s="390"/>
      <c r="IHC5" s="390"/>
      <c r="IHD5" s="390"/>
      <c r="IHE5" s="390"/>
      <c r="IHF5" s="390"/>
      <c r="IHG5" s="390"/>
      <c r="IHH5" s="390"/>
      <c r="IHI5" s="390"/>
      <c r="IHJ5" s="390"/>
      <c r="IHK5" s="390"/>
      <c r="IHL5" s="390"/>
      <c r="IHM5" s="390"/>
      <c r="IHN5" s="390"/>
      <c r="IHO5" s="390"/>
      <c r="IHP5" s="390"/>
      <c r="IHQ5" s="390"/>
      <c r="IHR5" s="390"/>
      <c r="IHS5" s="390"/>
      <c r="IHT5" s="390"/>
      <c r="IHU5" s="390"/>
      <c r="IHV5" s="390"/>
      <c r="IHW5" s="390"/>
      <c r="IHX5" s="390"/>
      <c r="IHY5" s="390"/>
      <c r="IHZ5" s="390"/>
      <c r="IIA5" s="390"/>
      <c r="IIB5" s="390"/>
      <c r="IIC5" s="390"/>
      <c r="IID5" s="390"/>
      <c r="IIE5" s="390"/>
      <c r="IIF5" s="390"/>
      <c r="IIG5" s="390"/>
      <c r="IIH5" s="390"/>
      <c r="III5" s="390"/>
      <c r="IIJ5" s="390"/>
      <c r="IIK5" s="390"/>
      <c r="IIL5" s="390"/>
      <c r="IIM5" s="390"/>
      <c r="IIN5" s="390"/>
      <c r="IIO5" s="390"/>
      <c r="IIP5" s="390"/>
      <c r="IIQ5" s="390"/>
      <c r="IIR5" s="390"/>
      <c r="IIS5" s="390"/>
      <c r="IIT5" s="390"/>
      <c r="IIU5" s="390"/>
      <c r="IIV5" s="390"/>
      <c r="IIW5" s="390"/>
      <c r="IIX5" s="390"/>
      <c r="IIY5" s="390"/>
      <c r="IIZ5" s="390"/>
      <c r="IJA5" s="390"/>
      <c r="IJB5" s="390"/>
      <c r="IJC5" s="390"/>
      <c r="IJD5" s="390"/>
      <c r="IJE5" s="390"/>
      <c r="IJF5" s="390"/>
      <c r="IJG5" s="390"/>
      <c r="IJH5" s="390"/>
      <c r="IJI5" s="390"/>
      <c r="IJJ5" s="390"/>
      <c r="IJK5" s="390"/>
      <c r="IJL5" s="390"/>
      <c r="IJM5" s="390"/>
      <c r="IJN5" s="390"/>
      <c r="IJO5" s="390"/>
      <c r="IJP5" s="390"/>
      <c r="IJQ5" s="390"/>
      <c r="IJR5" s="390"/>
      <c r="IJS5" s="390"/>
      <c r="IJT5" s="390"/>
      <c r="IJU5" s="390"/>
      <c r="IJV5" s="390"/>
      <c r="IJW5" s="390"/>
      <c r="IJX5" s="390"/>
      <c r="IJY5" s="390"/>
      <c r="IJZ5" s="390"/>
      <c r="IKA5" s="390"/>
      <c r="IKB5" s="390"/>
      <c r="IKC5" s="390"/>
      <c r="IKD5" s="390"/>
      <c r="IKE5" s="390"/>
      <c r="IKF5" s="390"/>
      <c r="IKG5" s="390"/>
      <c r="IKH5" s="390"/>
      <c r="IKI5" s="390"/>
      <c r="IKJ5" s="390"/>
      <c r="IKK5" s="390"/>
      <c r="IKL5" s="390"/>
      <c r="IKM5" s="390"/>
      <c r="IKN5" s="390"/>
      <c r="IKO5" s="390"/>
      <c r="IKP5" s="390"/>
      <c r="IKQ5" s="390"/>
      <c r="IKR5" s="390"/>
      <c r="IKS5" s="390"/>
      <c r="IKT5" s="390"/>
      <c r="IKU5" s="390"/>
      <c r="IKV5" s="390"/>
      <c r="IKW5" s="390"/>
      <c r="IKX5" s="390"/>
      <c r="IKY5" s="390"/>
      <c r="IKZ5" s="390"/>
      <c r="ILA5" s="390"/>
      <c r="ILB5" s="390"/>
      <c r="ILC5" s="390"/>
      <c r="ILD5" s="390"/>
      <c r="ILE5" s="390"/>
      <c r="ILF5" s="390"/>
      <c r="ILG5" s="390"/>
      <c r="ILH5" s="390"/>
      <c r="ILI5" s="390"/>
      <c r="ILJ5" s="390"/>
      <c r="ILK5" s="390"/>
      <c r="ILL5" s="390"/>
      <c r="ILM5" s="390"/>
      <c r="ILN5" s="390"/>
      <c r="ILO5" s="390"/>
      <c r="ILP5" s="390"/>
      <c r="ILQ5" s="390"/>
      <c r="ILR5" s="390"/>
      <c r="ILS5" s="390"/>
      <c r="ILT5" s="390"/>
      <c r="ILU5" s="390"/>
      <c r="ILV5" s="390"/>
      <c r="ILW5" s="390"/>
      <c r="ILX5" s="390"/>
      <c r="ILY5" s="390"/>
      <c r="ILZ5" s="390"/>
      <c r="IMA5" s="390"/>
      <c r="IMB5" s="390"/>
      <c r="IMC5" s="390"/>
      <c r="IMD5" s="390"/>
      <c r="IME5" s="390"/>
      <c r="IMF5" s="390"/>
      <c r="IMG5" s="390"/>
      <c r="IMH5" s="390"/>
      <c r="IMI5" s="390"/>
      <c r="IMJ5" s="390"/>
      <c r="IMK5" s="390"/>
      <c r="IML5" s="390"/>
      <c r="IMM5" s="390"/>
      <c r="IMN5" s="390"/>
      <c r="IMO5" s="390"/>
      <c r="IMP5" s="390"/>
      <c r="IMQ5" s="390"/>
      <c r="IMR5" s="390"/>
      <c r="IMS5" s="390"/>
      <c r="IMT5" s="390"/>
      <c r="IMU5" s="390"/>
      <c r="IMV5" s="390"/>
      <c r="IMW5" s="390"/>
      <c r="IMX5" s="390"/>
      <c r="IMY5" s="390"/>
      <c r="IMZ5" s="390"/>
      <c r="INA5" s="390"/>
      <c r="INB5" s="390"/>
      <c r="INC5" s="390"/>
      <c r="IND5" s="390"/>
      <c r="INE5" s="390"/>
      <c r="INF5" s="390"/>
      <c r="ING5" s="390"/>
      <c r="INH5" s="390"/>
      <c r="INI5" s="390"/>
      <c r="INJ5" s="390"/>
      <c r="INK5" s="390"/>
      <c r="INL5" s="390"/>
      <c r="INM5" s="390"/>
      <c r="INN5" s="390"/>
      <c r="INO5" s="390"/>
      <c r="INP5" s="390"/>
      <c r="INQ5" s="390"/>
      <c r="INR5" s="390"/>
      <c r="INS5" s="390"/>
      <c r="INT5" s="390"/>
      <c r="INU5" s="390"/>
      <c r="INV5" s="390"/>
      <c r="INW5" s="390"/>
      <c r="INX5" s="390"/>
      <c r="INY5" s="390"/>
      <c r="INZ5" s="390"/>
      <c r="IOA5" s="390"/>
      <c r="IOB5" s="390"/>
      <c r="IOC5" s="390"/>
      <c r="IOD5" s="390"/>
      <c r="IOE5" s="390"/>
      <c r="IOF5" s="390"/>
      <c r="IOG5" s="390"/>
      <c r="IOH5" s="390"/>
      <c r="IOI5" s="390"/>
      <c r="IOJ5" s="390"/>
      <c r="IOK5" s="390"/>
      <c r="IOL5" s="390"/>
      <c r="IOM5" s="390"/>
      <c r="ION5" s="390"/>
      <c r="IOO5" s="390"/>
      <c r="IOP5" s="390"/>
      <c r="IOQ5" s="390"/>
      <c r="IOR5" s="390"/>
      <c r="IOS5" s="390"/>
      <c r="IOT5" s="390"/>
      <c r="IOU5" s="390"/>
      <c r="IOV5" s="390"/>
      <c r="IOW5" s="390"/>
      <c r="IOX5" s="390"/>
      <c r="IOY5" s="390"/>
      <c r="IOZ5" s="390"/>
      <c r="IPA5" s="390"/>
      <c r="IPB5" s="390"/>
      <c r="IPC5" s="390"/>
      <c r="IPD5" s="390"/>
      <c r="IPE5" s="390"/>
      <c r="IPF5" s="390"/>
      <c r="IPG5" s="390"/>
      <c r="IPH5" s="390"/>
      <c r="IPI5" s="390"/>
      <c r="IPJ5" s="390"/>
      <c r="IPK5" s="390"/>
      <c r="IPL5" s="390"/>
      <c r="IPM5" s="390"/>
      <c r="IPN5" s="390"/>
      <c r="IPO5" s="390"/>
      <c r="IPP5" s="390"/>
      <c r="IPQ5" s="390"/>
      <c r="IPR5" s="390"/>
      <c r="IPS5" s="390"/>
      <c r="IPT5" s="390"/>
      <c r="IPU5" s="390"/>
      <c r="IPV5" s="390"/>
      <c r="IPW5" s="390"/>
      <c r="IPX5" s="390"/>
      <c r="IPY5" s="390"/>
      <c r="IPZ5" s="390"/>
      <c r="IQA5" s="390"/>
      <c r="IQB5" s="390"/>
      <c r="IQC5" s="390"/>
      <c r="IQD5" s="390"/>
      <c r="IQE5" s="390"/>
      <c r="IQF5" s="390"/>
      <c r="IQG5" s="390"/>
      <c r="IQH5" s="390"/>
      <c r="IQI5" s="390"/>
      <c r="IQJ5" s="390"/>
      <c r="IQK5" s="390"/>
      <c r="IQL5" s="390"/>
      <c r="IQM5" s="390"/>
      <c r="IQN5" s="390"/>
      <c r="IQO5" s="390"/>
      <c r="IQP5" s="390"/>
      <c r="IQQ5" s="390"/>
      <c r="IQR5" s="390"/>
      <c r="IQS5" s="390"/>
      <c r="IQT5" s="390"/>
      <c r="IQU5" s="390"/>
      <c r="IQV5" s="390"/>
      <c r="IQW5" s="390"/>
      <c r="IQX5" s="390"/>
      <c r="IQY5" s="390"/>
      <c r="IQZ5" s="390"/>
      <c r="IRA5" s="390"/>
      <c r="IRB5" s="390"/>
      <c r="IRC5" s="390"/>
      <c r="IRD5" s="390"/>
      <c r="IRE5" s="390"/>
      <c r="IRF5" s="390"/>
      <c r="IRG5" s="390"/>
      <c r="IRH5" s="390"/>
      <c r="IRI5" s="390"/>
      <c r="IRJ5" s="390"/>
      <c r="IRK5" s="390"/>
      <c r="IRL5" s="390"/>
      <c r="IRM5" s="390"/>
      <c r="IRN5" s="390"/>
      <c r="IRO5" s="390"/>
      <c r="IRP5" s="390"/>
      <c r="IRQ5" s="390"/>
      <c r="IRR5" s="390"/>
      <c r="IRS5" s="390"/>
      <c r="IRT5" s="390"/>
      <c r="IRU5" s="390"/>
      <c r="IRV5" s="390"/>
      <c r="IRW5" s="390"/>
      <c r="IRX5" s="390"/>
      <c r="IRY5" s="390"/>
      <c r="IRZ5" s="390"/>
      <c r="ISA5" s="390"/>
      <c r="ISB5" s="390"/>
      <c r="ISC5" s="390"/>
      <c r="ISD5" s="390"/>
      <c r="ISE5" s="390"/>
      <c r="ISF5" s="390"/>
      <c r="ISG5" s="390"/>
      <c r="ISH5" s="390"/>
      <c r="ISI5" s="390"/>
      <c r="ISJ5" s="390"/>
      <c r="ISK5" s="390"/>
      <c r="ISL5" s="390"/>
      <c r="ISM5" s="390"/>
      <c r="ISN5" s="390"/>
      <c r="ISO5" s="390"/>
      <c r="ISP5" s="390"/>
      <c r="ISQ5" s="390"/>
      <c r="ISR5" s="390"/>
      <c r="ISS5" s="390"/>
      <c r="IST5" s="390"/>
      <c r="ISU5" s="390"/>
      <c r="ISV5" s="390"/>
      <c r="ISW5" s="390"/>
      <c r="ISX5" s="390"/>
      <c r="ISY5" s="390"/>
      <c r="ISZ5" s="390"/>
      <c r="ITA5" s="390"/>
      <c r="ITB5" s="390"/>
      <c r="ITC5" s="390"/>
      <c r="ITD5" s="390"/>
      <c r="ITE5" s="390"/>
      <c r="ITF5" s="390"/>
      <c r="ITG5" s="390"/>
      <c r="ITH5" s="390"/>
      <c r="ITI5" s="390"/>
      <c r="ITJ5" s="390"/>
      <c r="ITK5" s="390"/>
      <c r="ITL5" s="390"/>
      <c r="ITM5" s="390"/>
      <c r="ITN5" s="390"/>
      <c r="ITO5" s="390"/>
      <c r="ITP5" s="390"/>
      <c r="ITQ5" s="390"/>
      <c r="ITR5" s="390"/>
      <c r="ITS5" s="390"/>
      <c r="ITT5" s="390"/>
      <c r="ITU5" s="390"/>
      <c r="ITV5" s="390"/>
      <c r="ITW5" s="390"/>
      <c r="ITX5" s="390"/>
      <c r="ITY5" s="390"/>
      <c r="ITZ5" s="390"/>
      <c r="IUA5" s="390"/>
      <c r="IUB5" s="390"/>
      <c r="IUC5" s="390"/>
      <c r="IUD5" s="390"/>
      <c r="IUE5" s="390"/>
      <c r="IUF5" s="390"/>
      <c r="IUG5" s="390"/>
      <c r="IUH5" s="390"/>
      <c r="IUI5" s="390"/>
      <c r="IUJ5" s="390"/>
      <c r="IUK5" s="390"/>
      <c r="IUL5" s="390"/>
      <c r="IUM5" s="390"/>
      <c r="IUN5" s="390"/>
      <c r="IUO5" s="390"/>
      <c r="IUP5" s="390"/>
      <c r="IUQ5" s="390"/>
      <c r="IUR5" s="390"/>
      <c r="IUS5" s="390"/>
      <c r="IUT5" s="390"/>
      <c r="IUU5" s="390"/>
      <c r="IUV5" s="390"/>
      <c r="IUW5" s="390"/>
      <c r="IUX5" s="390"/>
      <c r="IUY5" s="390"/>
      <c r="IUZ5" s="390"/>
      <c r="IVA5" s="390"/>
      <c r="IVB5" s="390"/>
      <c r="IVC5" s="390"/>
      <c r="IVD5" s="390"/>
      <c r="IVE5" s="390"/>
      <c r="IVF5" s="390"/>
      <c r="IVG5" s="390"/>
      <c r="IVH5" s="390"/>
      <c r="IVI5" s="390"/>
      <c r="IVJ5" s="390"/>
      <c r="IVK5" s="390"/>
      <c r="IVL5" s="390"/>
      <c r="IVM5" s="390"/>
      <c r="IVN5" s="390"/>
      <c r="IVO5" s="390"/>
      <c r="IVP5" s="390"/>
      <c r="IVQ5" s="390"/>
      <c r="IVR5" s="390"/>
      <c r="IVS5" s="390"/>
      <c r="IVT5" s="390"/>
      <c r="IVU5" s="390"/>
      <c r="IVV5" s="390"/>
      <c r="IVW5" s="390"/>
      <c r="IVX5" s="390"/>
      <c r="IVY5" s="390"/>
      <c r="IVZ5" s="390"/>
      <c r="IWA5" s="390"/>
      <c r="IWB5" s="390"/>
      <c r="IWC5" s="390"/>
      <c r="IWD5" s="390"/>
      <c r="IWE5" s="390"/>
      <c r="IWF5" s="390"/>
      <c r="IWG5" s="390"/>
      <c r="IWH5" s="390"/>
      <c r="IWI5" s="390"/>
      <c r="IWJ5" s="390"/>
      <c r="IWK5" s="390"/>
      <c r="IWL5" s="390"/>
      <c r="IWM5" s="390"/>
      <c r="IWN5" s="390"/>
      <c r="IWO5" s="390"/>
      <c r="IWP5" s="390"/>
      <c r="IWQ5" s="390"/>
      <c r="IWR5" s="390"/>
      <c r="IWS5" s="390"/>
      <c r="IWT5" s="390"/>
      <c r="IWU5" s="390"/>
      <c r="IWV5" s="390"/>
      <c r="IWW5" s="390"/>
      <c r="IWX5" s="390"/>
      <c r="IWY5" s="390"/>
      <c r="IWZ5" s="390"/>
      <c r="IXA5" s="390"/>
      <c r="IXB5" s="390"/>
      <c r="IXC5" s="390"/>
      <c r="IXD5" s="390"/>
      <c r="IXE5" s="390"/>
      <c r="IXF5" s="390"/>
      <c r="IXG5" s="390"/>
      <c r="IXH5" s="390"/>
      <c r="IXI5" s="390"/>
      <c r="IXJ5" s="390"/>
      <c r="IXK5" s="390"/>
      <c r="IXL5" s="390"/>
      <c r="IXM5" s="390"/>
      <c r="IXN5" s="390"/>
      <c r="IXO5" s="390"/>
      <c r="IXP5" s="390"/>
      <c r="IXQ5" s="390"/>
      <c r="IXR5" s="390"/>
      <c r="IXS5" s="390"/>
      <c r="IXT5" s="390"/>
      <c r="IXU5" s="390"/>
      <c r="IXV5" s="390"/>
      <c r="IXW5" s="390"/>
      <c r="IXX5" s="390"/>
      <c r="IXY5" s="390"/>
      <c r="IXZ5" s="390"/>
      <c r="IYA5" s="390"/>
      <c r="IYB5" s="390"/>
      <c r="IYC5" s="390"/>
      <c r="IYD5" s="390"/>
      <c r="IYE5" s="390"/>
      <c r="IYF5" s="390"/>
      <c r="IYG5" s="390"/>
      <c r="IYH5" s="390"/>
      <c r="IYI5" s="390"/>
      <c r="IYJ5" s="390"/>
      <c r="IYK5" s="390"/>
      <c r="IYL5" s="390"/>
      <c r="IYM5" s="390"/>
      <c r="IYN5" s="390"/>
      <c r="IYO5" s="390"/>
      <c r="IYP5" s="390"/>
      <c r="IYQ5" s="390"/>
      <c r="IYR5" s="390"/>
      <c r="IYS5" s="390"/>
      <c r="IYT5" s="390"/>
      <c r="IYU5" s="390"/>
      <c r="IYV5" s="390"/>
      <c r="IYW5" s="390"/>
      <c r="IYX5" s="390"/>
      <c r="IYY5" s="390"/>
      <c r="IYZ5" s="390"/>
      <c r="IZA5" s="390"/>
      <c r="IZB5" s="390"/>
      <c r="IZC5" s="390"/>
      <c r="IZD5" s="390"/>
      <c r="IZE5" s="390"/>
      <c r="IZF5" s="390"/>
      <c r="IZG5" s="390"/>
      <c r="IZH5" s="390"/>
      <c r="IZI5" s="390"/>
      <c r="IZJ5" s="390"/>
      <c r="IZK5" s="390"/>
      <c r="IZL5" s="390"/>
      <c r="IZM5" s="390"/>
      <c r="IZN5" s="390"/>
      <c r="IZO5" s="390"/>
      <c r="IZP5" s="390"/>
      <c r="IZQ5" s="390"/>
      <c r="IZR5" s="390"/>
      <c r="IZS5" s="390"/>
      <c r="IZT5" s="390"/>
      <c r="IZU5" s="390"/>
      <c r="IZV5" s="390"/>
      <c r="IZW5" s="390"/>
      <c r="IZX5" s="390"/>
      <c r="IZY5" s="390"/>
      <c r="IZZ5" s="390"/>
      <c r="JAA5" s="390"/>
      <c r="JAB5" s="390"/>
      <c r="JAC5" s="390"/>
      <c r="JAD5" s="390"/>
      <c r="JAE5" s="390"/>
      <c r="JAF5" s="390"/>
      <c r="JAG5" s="390"/>
      <c r="JAH5" s="390"/>
      <c r="JAI5" s="390"/>
      <c r="JAJ5" s="390"/>
      <c r="JAK5" s="390"/>
      <c r="JAL5" s="390"/>
      <c r="JAM5" s="390"/>
      <c r="JAN5" s="390"/>
      <c r="JAO5" s="390"/>
      <c r="JAP5" s="390"/>
      <c r="JAQ5" s="390"/>
      <c r="JAR5" s="390"/>
      <c r="JAS5" s="390"/>
      <c r="JAT5" s="390"/>
      <c r="JAU5" s="390"/>
      <c r="JAV5" s="390"/>
      <c r="JAW5" s="390"/>
      <c r="JAX5" s="390"/>
      <c r="JAY5" s="390"/>
      <c r="JAZ5" s="390"/>
      <c r="JBA5" s="390"/>
      <c r="JBB5" s="390"/>
      <c r="JBC5" s="390"/>
      <c r="JBD5" s="390"/>
      <c r="JBE5" s="390"/>
      <c r="JBF5" s="390"/>
      <c r="JBG5" s="390"/>
      <c r="JBH5" s="390"/>
      <c r="JBI5" s="390"/>
      <c r="JBJ5" s="390"/>
      <c r="JBK5" s="390"/>
      <c r="JBL5" s="390"/>
      <c r="JBM5" s="390"/>
      <c r="JBN5" s="390"/>
      <c r="JBO5" s="390"/>
      <c r="JBP5" s="390"/>
      <c r="JBQ5" s="390"/>
      <c r="JBR5" s="390"/>
      <c r="JBS5" s="390"/>
      <c r="JBT5" s="390"/>
      <c r="JBU5" s="390"/>
      <c r="JBV5" s="390"/>
      <c r="JBW5" s="390"/>
      <c r="JBX5" s="390"/>
      <c r="JBY5" s="390"/>
      <c r="JBZ5" s="390"/>
      <c r="JCA5" s="390"/>
      <c r="JCB5" s="390"/>
      <c r="JCC5" s="390"/>
      <c r="JCD5" s="390"/>
      <c r="JCE5" s="390"/>
      <c r="JCF5" s="390"/>
      <c r="JCG5" s="390"/>
      <c r="JCH5" s="390"/>
      <c r="JCI5" s="390"/>
      <c r="JCJ5" s="390"/>
      <c r="JCK5" s="390"/>
      <c r="JCL5" s="390"/>
      <c r="JCM5" s="390"/>
      <c r="JCN5" s="390"/>
      <c r="JCO5" s="390"/>
      <c r="JCP5" s="390"/>
      <c r="JCQ5" s="390"/>
      <c r="JCR5" s="390"/>
      <c r="JCS5" s="390"/>
      <c r="JCT5" s="390"/>
      <c r="JCU5" s="390"/>
      <c r="JCV5" s="390"/>
      <c r="JCW5" s="390"/>
      <c r="JCX5" s="390"/>
      <c r="JCY5" s="390"/>
      <c r="JCZ5" s="390"/>
      <c r="JDA5" s="390"/>
      <c r="JDB5" s="390"/>
      <c r="JDC5" s="390"/>
      <c r="JDD5" s="390"/>
      <c r="JDE5" s="390"/>
      <c r="JDF5" s="390"/>
      <c r="JDG5" s="390"/>
      <c r="JDH5" s="390"/>
      <c r="JDI5" s="390"/>
      <c r="JDJ5" s="390"/>
      <c r="JDK5" s="390"/>
      <c r="JDL5" s="390"/>
      <c r="JDM5" s="390"/>
      <c r="JDN5" s="390"/>
      <c r="JDO5" s="390"/>
      <c r="JDP5" s="390"/>
      <c r="JDQ5" s="390"/>
      <c r="JDR5" s="390"/>
      <c r="JDS5" s="390"/>
      <c r="JDT5" s="390"/>
      <c r="JDU5" s="390"/>
      <c r="JDV5" s="390"/>
      <c r="JDW5" s="390"/>
      <c r="JDX5" s="390"/>
      <c r="JDY5" s="390"/>
      <c r="JDZ5" s="390"/>
      <c r="JEA5" s="390"/>
      <c r="JEB5" s="390"/>
      <c r="JEC5" s="390"/>
      <c r="JED5" s="390"/>
      <c r="JEE5" s="390"/>
      <c r="JEF5" s="390"/>
      <c r="JEG5" s="390"/>
      <c r="JEH5" s="390"/>
      <c r="JEI5" s="390"/>
      <c r="JEJ5" s="390"/>
      <c r="JEK5" s="390"/>
      <c r="JEL5" s="390"/>
      <c r="JEM5" s="390"/>
      <c r="JEN5" s="390"/>
      <c r="JEO5" s="390"/>
      <c r="JEP5" s="390"/>
      <c r="JEQ5" s="390"/>
      <c r="JER5" s="390"/>
      <c r="JES5" s="390"/>
      <c r="JET5" s="390"/>
      <c r="JEU5" s="390"/>
      <c r="JEV5" s="390"/>
      <c r="JEW5" s="390"/>
      <c r="JEX5" s="390"/>
      <c r="JEY5" s="390"/>
      <c r="JEZ5" s="390"/>
      <c r="JFA5" s="390"/>
      <c r="JFB5" s="390"/>
      <c r="JFC5" s="390"/>
      <c r="JFD5" s="390"/>
      <c r="JFE5" s="390"/>
      <c r="JFF5" s="390"/>
      <c r="JFG5" s="390"/>
      <c r="JFH5" s="390"/>
      <c r="JFI5" s="390"/>
      <c r="JFJ5" s="390"/>
      <c r="JFK5" s="390"/>
      <c r="JFL5" s="390"/>
      <c r="JFM5" s="390"/>
      <c r="JFN5" s="390"/>
      <c r="JFO5" s="390"/>
      <c r="JFP5" s="390"/>
      <c r="JFQ5" s="390"/>
      <c r="JFR5" s="390"/>
      <c r="JFS5" s="390"/>
      <c r="JFT5" s="390"/>
      <c r="JFU5" s="390"/>
      <c r="JFV5" s="390"/>
      <c r="JFW5" s="390"/>
      <c r="JFX5" s="390"/>
      <c r="JFY5" s="390"/>
      <c r="JFZ5" s="390"/>
      <c r="JGA5" s="390"/>
      <c r="JGB5" s="390"/>
      <c r="JGC5" s="390"/>
      <c r="JGD5" s="390"/>
      <c r="JGE5" s="390"/>
      <c r="JGF5" s="390"/>
      <c r="JGG5" s="390"/>
      <c r="JGH5" s="390"/>
      <c r="JGI5" s="390"/>
      <c r="JGJ5" s="390"/>
      <c r="JGK5" s="390"/>
      <c r="JGL5" s="390"/>
      <c r="JGM5" s="390"/>
      <c r="JGN5" s="390"/>
      <c r="JGO5" s="390"/>
      <c r="JGP5" s="390"/>
      <c r="JGQ5" s="390"/>
      <c r="JGR5" s="390"/>
      <c r="JGS5" s="390"/>
      <c r="JGT5" s="390"/>
      <c r="JGU5" s="390"/>
      <c r="JGV5" s="390"/>
      <c r="JGW5" s="390"/>
      <c r="JGX5" s="390"/>
      <c r="JGY5" s="390"/>
      <c r="JGZ5" s="390"/>
      <c r="JHA5" s="390"/>
      <c r="JHB5" s="390"/>
      <c r="JHC5" s="390"/>
      <c r="JHD5" s="390"/>
      <c r="JHE5" s="390"/>
      <c r="JHF5" s="390"/>
      <c r="JHG5" s="390"/>
      <c r="JHH5" s="390"/>
      <c r="JHI5" s="390"/>
      <c r="JHJ5" s="390"/>
      <c r="JHK5" s="390"/>
      <c r="JHL5" s="390"/>
      <c r="JHM5" s="390"/>
      <c r="JHN5" s="390"/>
      <c r="JHO5" s="390"/>
      <c r="JHP5" s="390"/>
      <c r="JHQ5" s="390"/>
      <c r="JHR5" s="390"/>
      <c r="JHS5" s="390"/>
      <c r="JHT5" s="390"/>
      <c r="JHU5" s="390"/>
      <c r="JHV5" s="390"/>
      <c r="JHW5" s="390"/>
      <c r="JHX5" s="390"/>
      <c r="JHY5" s="390"/>
      <c r="JHZ5" s="390"/>
      <c r="JIA5" s="390"/>
      <c r="JIB5" s="390"/>
      <c r="JIC5" s="390"/>
      <c r="JID5" s="390"/>
      <c r="JIE5" s="390"/>
      <c r="JIF5" s="390"/>
      <c r="JIG5" s="390"/>
      <c r="JIH5" s="390"/>
      <c r="JII5" s="390"/>
      <c r="JIJ5" s="390"/>
      <c r="JIK5" s="390"/>
      <c r="JIL5" s="390"/>
      <c r="JIM5" s="390"/>
      <c r="JIN5" s="390"/>
      <c r="JIO5" s="390"/>
      <c r="JIP5" s="390"/>
      <c r="JIQ5" s="390"/>
      <c r="JIR5" s="390"/>
      <c r="JIS5" s="390"/>
      <c r="JIT5" s="390"/>
      <c r="JIU5" s="390"/>
      <c r="JIV5" s="390"/>
      <c r="JIW5" s="390"/>
      <c r="JIX5" s="390"/>
      <c r="JIY5" s="390"/>
      <c r="JIZ5" s="390"/>
      <c r="JJA5" s="390"/>
      <c r="JJB5" s="390"/>
      <c r="JJC5" s="390"/>
      <c r="JJD5" s="390"/>
      <c r="JJE5" s="390"/>
      <c r="JJF5" s="390"/>
      <c r="JJG5" s="390"/>
      <c r="JJH5" s="390"/>
      <c r="JJI5" s="390"/>
      <c r="JJJ5" s="390"/>
      <c r="JJK5" s="390"/>
      <c r="JJL5" s="390"/>
      <c r="JJM5" s="390"/>
      <c r="JJN5" s="390"/>
      <c r="JJO5" s="390"/>
      <c r="JJP5" s="390"/>
      <c r="JJQ5" s="390"/>
      <c r="JJR5" s="390"/>
      <c r="JJS5" s="390"/>
      <c r="JJT5" s="390"/>
      <c r="JJU5" s="390"/>
      <c r="JJV5" s="390"/>
      <c r="JJW5" s="390"/>
      <c r="JJX5" s="390"/>
      <c r="JJY5" s="390"/>
      <c r="JJZ5" s="390"/>
      <c r="JKA5" s="390"/>
      <c r="JKB5" s="390"/>
      <c r="JKC5" s="390"/>
      <c r="JKD5" s="390"/>
      <c r="JKE5" s="390"/>
      <c r="JKF5" s="390"/>
      <c r="JKG5" s="390"/>
      <c r="JKH5" s="390"/>
      <c r="JKI5" s="390"/>
      <c r="JKJ5" s="390"/>
      <c r="JKK5" s="390"/>
      <c r="JKL5" s="390"/>
      <c r="JKM5" s="390"/>
      <c r="JKN5" s="390"/>
      <c r="JKO5" s="390"/>
      <c r="JKP5" s="390"/>
      <c r="JKQ5" s="390"/>
      <c r="JKR5" s="390"/>
      <c r="JKS5" s="390"/>
      <c r="JKT5" s="390"/>
      <c r="JKU5" s="390"/>
      <c r="JKV5" s="390"/>
      <c r="JKW5" s="390"/>
      <c r="JKX5" s="390"/>
      <c r="JKY5" s="390"/>
      <c r="JKZ5" s="390"/>
      <c r="JLA5" s="390"/>
      <c r="JLB5" s="390"/>
      <c r="JLC5" s="390"/>
      <c r="JLD5" s="390"/>
      <c r="JLE5" s="390"/>
      <c r="JLF5" s="390"/>
      <c r="JLG5" s="390"/>
      <c r="JLH5" s="390"/>
      <c r="JLI5" s="390"/>
      <c r="JLJ5" s="390"/>
      <c r="JLK5" s="390"/>
      <c r="JLL5" s="390"/>
      <c r="JLM5" s="390"/>
      <c r="JLN5" s="390"/>
      <c r="JLO5" s="390"/>
      <c r="JLP5" s="390"/>
      <c r="JLQ5" s="390"/>
      <c r="JLR5" s="390"/>
      <c r="JLS5" s="390"/>
      <c r="JLT5" s="390"/>
      <c r="JLU5" s="390"/>
      <c r="JLV5" s="390"/>
      <c r="JLW5" s="390"/>
      <c r="JLX5" s="390"/>
      <c r="JLY5" s="390"/>
      <c r="JLZ5" s="390"/>
      <c r="JMA5" s="390"/>
      <c r="JMB5" s="390"/>
      <c r="JMC5" s="390"/>
      <c r="JMD5" s="390"/>
      <c r="JME5" s="390"/>
      <c r="JMF5" s="390"/>
      <c r="JMG5" s="390"/>
      <c r="JMH5" s="390"/>
      <c r="JMI5" s="390"/>
      <c r="JMJ5" s="390"/>
      <c r="JMK5" s="390"/>
      <c r="JML5" s="390"/>
      <c r="JMM5" s="390"/>
      <c r="JMN5" s="390"/>
      <c r="JMO5" s="390"/>
      <c r="JMP5" s="390"/>
      <c r="JMQ5" s="390"/>
      <c r="JMR5" s="390"/>
      <c r="JMS5" s="390"/>
      <c r="JMT5" s="390"/>
      <c r="JMU5" s="390"/>
      <c r="JMV5" s="390"/>
      <c r="JMW5" s="390"/>
      <c r="JMX5" s="390"/>
      <c r="JMY5" s="390"/>
      <c r="JMZ5" s="390"/>
      <c r="JNA5" s="390"/>
      <c r="JNB5" s="390"/>
      <c r="JNC5" s="390"/>
      <c r="JND5" s="390"/>
      <c r="JNE5" s="390"/>
      <c r="JNF5" s="390"/>
      <c r="JNG5" s="390"/>
      <c r="JNH5" s="390"/>
      <c r="JNI5" s="390"/>
      <c r="JNJ5" s="390"/>
      <c r="JNK5" s="390"/>
      <c r="JNL5" s="390"/>
      <c r="JNM5" s="390"/>
      <c r="JNN5" s="390"/>
      <c r="JNO5" s="390"/>
      <c r="JNP5" s="390"/>
      <c r="JNQ5" s="390"/>
      <c r="JNR5" s="390"/>
      <c r="JNS5" s="390"/>
      <c r="JNT5" s="390"/>
      <c r="JNU5" s="390"/>
      <c r="JNV5" s="390"/>
      <c r="JNW5" s="390"/>
      <c r="JNX5" s="390"/>
      <c r="JNY5" s="390"/>
      <c r="JNZ5" s="390"/>
      <c r="JOA5" s="390"/>
      <c r="JOB5" s="390"/>
      <c r="JOC5" s="390"/>
      <c r="JOD5" s="390"/>
      <c r="JOE5" s="390"/>
      <c r="JOF5" s="390"/>
      <c r="JOG5" s="390"/>
      <c r="JOH5" s="390"/>
      <c r="JOI5" s="390"/>
      <c r="JOJ5" s="390"/>
      <c r="JOK5" s="390"/>
      <c r="JOL5" s="390"/>
      <c r="JOM5" s="390"/>
      <c r="JON5" s="390"/>
      <c r="JOO5" s="390"/>
      <c r="JOP5" s="390"/>
      <c r="JOQ5" s="390"/>
      <c r="JOR5" s="390"/>
      <c r="JOS5" s="390"/>
      <c r="JOT5" s="390"/>
      <c r="JOU5" s="390"/>
      <c r="JOV5" s="390"/>
      <c r="JOW5" s="390"/>
      <c r="JOX5" s="390"/>
      <c r="JOY5" s="390"/>
      <c r="JOZ5" s="390"/>
      <c r="JPA5" s="390"/>
      <c r="JPB5" s="390"/>
      <c r="JPC5" s="390"/>
      <c r="JPD5" s="390"/>
      <c r="JPE5" s="390"/>
      <c r="JPF5" s="390"/>
      <c r="JPG5" s="390"/>
      <c r="JPH5" s="390"/>
      <c r="JPI5" s="390"/>
      <c r="JPJ5" s="390"/>
      <c r="JPK5" s="390"/>
      <c r="JPL5" s="390"/>
      <c r="JPM5" s="390"/>
      <c r="JPN5" s="390"/>
      <c r="JPO5" s="390"/>
      <c r="JPP5" s="390"/>
      <c r="JPQ5" s="390"/>
      <c r="JPR5" s="390"/>
      <c r="JPS5" s="390"/>
      <c r="JPT5" s="390"/>
      <c r="JPU5" s="390"/>
      <c r="JPV5" s="390"/>
      <c r="JPW5" s="390"/>
      <c r="JPX5" s="390"/>
      <c r="JPY5" s="390"/>
      <c r="JPZ5" s="390"/>
      <c r="JQA5" s="390"/>
      <c r="JQB5" s="390"/>
      <c r="JQC5" s="390"/>
      <c r="JQD5" s="390"/>
      <c r="JQE5" s="390"/>
      <c r="JQF5" s="390"/>
      <c r="JQG5" s="390"/>
      <c r="JQH5" s="390"/>
      <c r="JQI5" s="390"/>
      <c r="JQJ5" s="390"/>
      <c r="JQK5" s="390"/>
      <c r="JQL5" s="390"/>
      <c r="JQM5" s="390"/>
      <c r="JQN5" s="390"/>
      <c r="JQO5" s="390"/>
      <c r="JQP5" s="390"/>
      <c r="JQQ5" s="390"/>
      <c r="JQR5" s="390"/>
      <c r="JQS5" s="390"/>
      <c r="JQT5" s="390"/>
      <c r="JQU5" s="390"/>
      <c r="JQV5" s="390"/>
      <c r="JQW5" s="390"/>
      <c r="JQX5" s="390"/>
      <c r="JQY5" s="390"/>
      <c r="JQZ5" s="390"/>
      <c r="JRA5" s="390"/>
      <c r="JRB5" s="390"/>
      <c r="JRC5" s="390"/>
      <c r="JRD5" s="390"/>
      <c r="JRE5" s="390"/>
      <c r="JRF5" s="390"/>
      <c r="JRG5" s="390"/>
      <c r="JRH5" s="390"/>
      <c r="JRI5" s="390"/>
      <c r="JRJ5" s="390"/>
      <c r="JRK5" s="390"/>
      <c r="JRL5" s="390"/>
      <c r="JRM5" s="390"/>
      <c r="JRN5" s="390"/>
      <c r="JRO5" s="390"/>
      <c r="JRP5" s="390"/>
      <c r="JRQ5" s="390"/>
      <c r="JRR5" s="390"/>
      <c r="JRS5" s="390"/>
      <c r="JRT5" s="390"/>
      <c r="JRU5" s="390"/>
      <c r="JRV5" s="390"/>
      <c r="JRW5" s="390"/>
      <c r="JRX5" s="390"/>
      <c r="JRY5" s="390"/>
      <c r="JRZ5" s="390"/>
      <c r="JSA5" s="390"/>
      <c r="JSB5" s="390"/>
      <c r="JSC5" s="390"/>
      <c r="JSD5" s="390"/>
      <c r="JSE5" s="390"/>
      <c r="JSF5" s="390"/>
      <c r="JSG5" s="390"/>
      <c r="JSH5" s="390"/>
      <c r="JSI5" s="390"/>
      <c r="JSJ5" s="390"/>
      <c r="JSK5" s="390"/>
      <c r="JSL5" s="390"/>
      <c r="JSM5" s="390"/>
      <c r="JSN5" s="390"/>
      <c r="JSO5" s="390"/>
      <c r="JSP5" s="390"/>
      <c r="JSQ5" s="390"/>
      <c r="JSR5" s="390"/>
      <c r="JSS5" s="390"/>
      <c r="JST5" s="390"/>
      <c r="JSU5" s="390"/>
      <c r="JSV5" s="390"/>
      <c r="JSW5" s="390"/>
      <c r="JSX5" s="390"/>
      <c r="JSY5" s="390"/>
      <c r="JSZ5" s="390"/>
      <c r="JTA5" s="390"/>
      <c r="JTB5" s="390"/>
      <c r="JTC5" s="390"/>
      <c r="JTD5" s="390"/>
      <c r="JTE5" s="390"/>
      <c r="JTF5" s="390"/>
      <c r="JTG5" s="390"/>
      <c r="JTH5" s="390"/>
      <c r="JTI5" s="390"/>
      <c r="JTJ5" s="390"/>
      <c r="JTK5" s="390"/>
      <c r="JTL5" s="390"/>
      <c r="JTM5" s="390"/>
      <c r="JTN5" s="390"/>
      <c r="JTO5" s="390"/>
      <c r="JTP5" s="390"/>
      <c r="JTQ5" s="390"/>
      <c r="JTR5" s="390"/>
      <c r="JTS5" s="390"/>
      <c r="JTT5" s="390"/>
      <c r="JTU5" s="390"/>
      <c r="JTV5" s="390"/>
      <c r="JTW5" s="390"/>
      <c r="JTX5" s="390"/>
      <c r="JTY5" s="390"/>
      <c r="JTZ5" s="390"/>
      <c r="JUA5" s="390"/>
      <c r="JUB5" s="390"/>
      <c r="JUC5" s="390"/>
      <c r="JUD5" s="390"/>
      <c r="JUE5" s="390"/>
      <c r="JUF5" s="390"/>
      <c r="JUG5" s="390"/>
      <c r="JUH5" s="390"/>
      <c r="JUI5" s="390"/>
      <c r="JUJ5" s="390"/>
      <c r="JUK5" s="390"/>
      <c r="JUL5" s="390"/>
      <c r="JUM5" s="390"/>
      <c r="JUN5" s="390"/>
      <c r="JUO5" s="390"/>
      <c r="JUP5" s="390"/>
      <c r="JUQ5" s="390"/>
      <c r="JUR5" s="390"/>
      <c r="JUS5" s="390"/>
      <c r="JUT5" s="390"/>
      <c r="JUU5" s="390"/>
      <c r="JUV5" s="390"/>
      <c r="JUW5" s="390"/>
      <c r="JUX5" s="390"/>
      <c r="JUY5" s="390"/>
      <c r="JUZ5" s="390"/>
      <c r="JVA5" s="390"/>
      <c r="JVB5" s="390"/>
      <c r="JVC5" s="390"/>
      <c r="JVD5" s="390"/>
      <c r="JVE5" s="390"/>
      <c r="JVF5" s="390"/>
      <c r="JVG5" s="390"/>
      <c r="JVH5" s="390"/>
      <c r="JVI5" s="390"/>
      <c r="JVJ5" s="390"/>
      <c r="JVK5" s="390"/>
      <c r="JVL5" s="390"/>
      <c r="JVM5" s="390"/>
      <c r="JVN5" s="390"/>
      <c r="JVO5" s="390"/>
      <c r="JVP5" s="390"/>
      <c r="JVQ5" s="390"/>
      <c r="JVR5" s="390"/>
      <c r="JVS5" s="390"/>
      <c r="JVT5" s="390"/>
      <c r="JVU5" s="390"/>
      <c r="JVV5" s="390"/>
      <c r="JVW5" s="390"/>
      <c r="JVX5" s="390"/>
      <c r="JVY5" s="390"/>
      <c r="JVZ5" s="390"/>
      <c r="JWA5" s="390"/>
      <c r="JWB5" s="390"/>
      <c r="JWC5" s="390"/>
      <c r="JWD5" s="390"/>
      <c r="JWE5" s="390"/>
      <c r="JWF5" s="390"/>
      <c r="JWG5" s="390"/>
      <c r="JWH5" s="390"/>
      <c r="JWI5" s="390"/>
      <c r="JWJ5" s="390"/>
      <c r="JWK5" s="390"/>
      <c r="JWL5" s="390"/>
      <c r="JWM5" s="390"/>
      <c r="JWN5" s="390"/>
      <c r="JWO5" s="390"/>
      <c r="JWP5" s="390"/>
      <c r="JWQ5" s="390"/>
      <c r="JWR5" s="390"/>
      <c r="JWS5" s="390"/>
      <c r="JWT5" s="390"/>
      <c r="JWU5" s="390"/>
      <c r="JWV5" s="390"/>
      <c r="JWW5" s="390"/>
      <c r="JWX5" s="390"/>
      <c r="JWY5" s="390"/>
      <c r="JWZ5" s="390"/>
      <c r="JXA5" s="390"/>
      <c r="JXB5" s="390"/>
      <c r="JXC5" s="390"/>
      <c r="JXD5" s="390"/>
      <c r="JXE5" s="390"/>
      <c r="JXF5" s="390"/>
      <c r="JXG5" s="390"/>
      <c r="JXH5" s="390"/>
      <c r="JXI5" s="390"/>
      <c r="JXJ5" s="390"/>
      <c r="JXK5" s="390"/>
      <c r="JXL5" s="390"/>
      <c r="JXM5" s="390"/>
      <c r="JXN5" s="390"/>
      <c r="JXO5" s="390"/>
      <c r="JXP5" s="390"/>
      <c r="JXQ5" s="390"/>
      <c r="JXR5" s="390"/>
      <c r="JXS5" s="390"/>
      <c r="JXT5" s="390"/>
      <c r="JXU5" s="390"/>
      <c r="JXV5" s="390"/>
      <c r="JXW5" s="390"/>
      <c r="JXX5" s="390"/>
      <c r="JXY5" s="390"/>
      <c r="JXZ5" s="390"/>
      <c r="JYA5" s="390"/>
      <c r="JYB5" s="390"/>
      <c r="JYC5" s="390"/>
      <c r="JYD5" s="390"/>
      <c r="JYE5" s="390"/>
      <c r="JYF5" s="390"/>
      <c r="JYG5" s="390"/>
      <c r="JYH5" s="390"/>
      <c r="JYI5" s="390"/>
      <c r="JYJ5" s="390"/>
      <c r="JYK5" s="390"/>
      <c r="JYL5" s="390"/>
      <c r="JYM5" s="390"/>
      <c r="JYN5" s="390"/>
      <c r="JYO5" s="390"/>
      <c r="JYP5" s="390"/>
      <c r="JYQ5" s="390"/>
      <c r="JYR5" s="390"/>
      <c r="JYS5" s="390"/>
      <c r="JYT5" s="390"/>
      <c r="JYU5" s="390"/>
      <c r="JYV5" s="390"/>
      <c r="JYW5" s="390"/>
      <c r="JYX5" s="390"/>
      <c r="JYY5" s="390"/>
      <c r="JYZ5" s="390"/>
      <c r="JZA5" s="390"/>
      <c r="JZB5" s="390"/>
      <c r="JZC5" s="390"/>
      <c r="JZD5" s="390"/>
      <c r="JZE5" s="390"/>
      <c r="JZF5" s="390"/>
      <c r="JZG5" s="390"/>
      <c r="JZH5" s="390"/>
      <c r="JZI5" s="390"/>
      <c r="JZJ5" s="390"/>
      <c r="JZK5" s="390"/>
      <c r="JZL5" s="390"/>
      <c r="JZM5" s="390"/>
      <c r="JZN5" s="390"/>
      <c r="JZO5" s="390"/>
      <c r="JZP5" s="390"/>
      <c r="JZQ5" s="390"/>
      <c r="JZR5" s="390"/>
      <c r="JZS5" s="390"/>
      <c r="JZT5" s="390"/>
      <c r="JZU5" s="390"/>
      <c r="JZV5" s="390"/>
      <c r="JZW5" s="390"/>
      <c r="JZX5" s="390"/>
      <c r="JZY5" s="390"/>
      <c r="JZZ5" s="390"/>
      <c r="KAA5" s="390"/>
      <c r="KAB5" s="390"/>
      <c r="KAC5" s="390"/>
      <c r="KAD5" s="390"/>
      <c r="KAE5" s="390"/>
      <c r="KAF5" s="390"/>
      <c r="KAG5" s="390"/>
      <c r="KAH5" s="390"/>
      <c r="KAI5" s="390"/>
      <c r="KAJ5" s="390"/>
      <c r="KAK5" s="390"/>
      <c r="KAL5" s="390"/>
      <c r="KAM5" s="390"/>
      <c r="KAN5" s="390"/>
      <c r="KAO5" s="390"/>
      <c r="KAP5" s="390"/>
      <c r="KAQ5" s="390"/>
      <c r="KAR5" s="390"/>
      <c r="KAS5" s="390"/>
      <c r="KAT5" s="390"/>
      <c r="KAU5" s="390"/>
      <c r="KAV5" s="390"/>
      <c r="KAW5" s="390"/>
      <c r="KAX5" s="390"/>
      <c r="KAY5" s="390"/>
      <c r="KAZ5" s="390"/>
      <c r="KBA5" s="390"/>
      <c r="KBB5" s="390"/>
      <c r="KBC5" s="390"/>
      <c r="KBD5" s="390"/>
      <c r="KBE5" s="390"/>
      <c r="KBF5" s="390"/>
      <c r="KBG5" s="390"/>
      <c r="KBH5" s="390"/>
      <c r="KBI5" s="390"/>
      <c r="KBJ5" s="390"/>
      <c r="KBK5" s="390"/>
      <c r="KBL5" s="390"/>
      <c r="KBM5" s="390"/>
      <c r="KBN5" s="390"/>
      <c r="KBO5" s="390"/>
      <c r="KBP5" s="390"/>
      <c r="KBQ5" s="390"/>
      <c r="KBR5" s="390"/>
      <c r="KBS5" s="390"/>
      <c r="KBT5" s="390"/>
      <c r="KBU5" s="390"/>
      <c r="KBV5" s="390"/>
      <c r="KBW5" s="390"/>
      <c r="KBX5" s="390"/>
      <c r="KBY5" s="390"/>
      <c r="KBZ5" s="390"/>
      <c r="KCA5" s="390"/>
      <c r="KCB5" s="390"/>
      <c r="KCC5" s="390"/>
      <c r="KCD5" s="390"/>
      <c r="KCE5" s="390"/>
      <c r="KCF5" s="390"/>
      <c r="KCG5" s="390"/>
      <c r="KCH5" s="390"/>
      <c r="KCI5" s="390"/>
      <c r="KCJ5" s="390"/>
      <c r="KCK5" s="390"/>
      <c r="KCL5" s="390"/>
      <c r="KCM5" s="390"/>
      <c r="KCN5" s="390"/>
      <c r="KCO5" s="390"/>
      <c r="KCP5" s="390"/>
      <c r="KCQ5" s="390"/>
      <c r="KCR5" s="390"/>
      <c r="KCS5" s="390"/>
      <c r="KCT5" s="390"/>
      <c r="KCU5" s="390"/>
      <c r="KCV5" s="390"/>
      <c r="KCW5" s="390"/>
      <c r="KCX5" s="390"/>
      <c r="KCY5" s="390"/>
      <c r="KCZ5" s="390"/>
      <c r="KDA5" s="390"/>
      <c r="KDB5" s="390"/>
      <c r="KDC5" s="390"/>
      <c r="KDD5" s="390"/>
      <c r="KDE5" s="390"/>
      <c r="KDF5" s="390"/>
      <c r="KDG5" s="390"/>
      <c r="KDH5" s="390"/>
      <c r="KDI5" s="390"/>
      <c r="KDJ5" s="390"/>
      <c r="KDK5" s="390"/>
      <c r="KDL5" s="390"/>
      <c r="KDM5" s="390"/>
      <c r="KDN5" s="390"/>
      <c r="KDO5" s="390"/>
      <c r="KDP5" s="390"/>
      <c r="KDQ5" s="390"/>
      <c r="KDR5" s="390"/>
      <c r="KDS5" s="390"/>
      <c r="KDT5" s="390"/>
      <c r="KDU5" s="390"/>
      <c r="KDV5" s="390"/>
      <c r="KDW5" s="390"/>
      <c r="KDX5" s="390"/>
      <c r="KDY5" s="390"/>
      <c r="KDZ5" s="390"/>
      <c r="KEA5" s="390"/>
      <c r="KEB5" s="390"/>
      <c r="KEC5" s="390"/>
      <c r="KED5" s="390"/>
      <c r="KEE5" s="390"/>
      <c r="KEF5" s="390"/>
      <c r="KEG5" s="390"/>
      <c r="KEH5" s="390"/>
      <c r="KEI5" s="390"/>
      <c r="KEJ5" s="390"/>
      <c r="KEK5" s="390"/>
      <c r="KEL5" s="390"/>
      <c r="KEM5" s="390"/>
      <c r="KEN5" s="390"/>
      <c r="KEO5" s="390"/>
      <c r="KEP5" s="390"/>
      <c r="KEQ5" s="390"/>
      <c r="KER5" s="390"/>
      <c r="KES5" s="390"/>
      <c r="KET5" s="390"/>
      <c r="KEU5" s="390"/>
      <c r="KEV5" s="390"/>
      <c r="KEW5" s="390"/>
      <c r="KEX5" s="390"/>
      <c r="KEY5" s="390"/>
      <c r="KEZ5" s="390"/>
      <c r="KFA5" s="390"/>
      <c r="KFB5" s="390"/>
      <c r="KFC5" s="390"/>
      <c r="KFD5" s="390"/>
      <c r="KFE5" s="390"/>
      <c r="KFF5" s="390"/>
      <c r="KFG5" s="390"/>
      <c r="KFH5" s="390"/>
      <c r="KFI5" s="390"/>
      <c r="KFJ5" s="390"/>
      <c r="KFK5" s="390"/>
      <c r="KFL5" s="390"/>
      <c r="KFM5" s="390"/>
      <c r="KFN5" s="390"/>
      <c r="KFO5" s="390"/>
      <c r="KFP5" s="390"/>
      <c r="KFQ5" s="390"/>
      <c r="KFR5" s="390"/>
      <c r="KFS5" s="390"/>
      <c r="KFT5" s="390"/>
      <c r="KFU5" s="390"/>
      <c r="KFV5" s="390"/>
      <c r="KFW5" s="390"/>
      <c r="KFX5" s="390"/>
      <c r="KFY5" s="390"/>
      <c r="KFZ5" s="390"/>
      <c r="KGA5" s="390"/>
      <c r="KGB5" s="390"/>
      <c r="KGC5" s="390"/>
      <c r="KGD5" s="390"/>
      <c r="KGE5" s="390"/>
      <c r="KGF5" s="390"/>
      <c r="KGG5" s="390"/>
      <c r="KGH5" s="390"/>
      <c r="KGI5" s="390"/>
      <c r="KGJ5" s="390"/>
      <c r="KGK5" s="390"/>
      <c r="KGL5" s="390"/>
      <c r="KGM5" s="390"/>
      <c r="KGN5" s="390"/>
      <c r="KGO5" s="390"/>
      <c r="KGP5" s="390"/>
      <c r="KGQ5" s="390"/>
      <c r="KGR5" s="390"/>
      <c r="KGS5" s="390"/>
      <c r="KGT5" s="390"/>
      <c r="KGU5" s="390"/>
      <c r="KGV5" s="390"/>
      <c r="KGW5" s="390"/>
      <c r="KGX5" s="390"/>
      <c r="KGY5" s="390"/>
      <c r="KGZ5" s="390"/>
      <c r="KHA5" s="390"/>
      <c r="KHB5" s="390"/>
      <c r="KHC5" s="390"/>
      <c r="KHD5" s="390"/>
      <c r="KHE5" s="390"/>
      <c r="KHF5" s="390"/>
      <c r="KHG5" s="390"/>
      <c r="KHH5" s="390"/>
      <c r="KHI5" s="390"/>
      <c r="KHJ5" s="390"/>
      <c r="KHK5" s="390"/>
      <c r="KHL5" s="390"/>
      <c r="KHM5" s="390"/>
      <c r="KHN5" s="390"/>
      <c r="KHO5" s="390"/>
      <c r="KHP5" s="390"/>
      <c r="KHQ5" s="390"/>
      <c r="KHR5" s="390"/>
      <c r="KHS5" s="390"/>
      <c r="KHT5" s="390"/>
      <c r="KHU5" s="390"/>
      <c r="KHV5" s="390"/>
      <c r="KHW5" s="390"/>
      <c r="KHX5" s="390"/>
      <c r="KHY5" s="390"/>
      <c r="KHZ5" s="390"/>
      <c r="KIA5" s="390"/>
      <c r="KIB5" s="390"/>
      <c r="KIC5" s="390"/>
      <c r="KID5" s="390"/>
      <c r="KIE5" s="390"/>
      <c r="KIF5" s="390"/>
      <c r="KIG5" s="390"/>
      <c r="KIH5" s="390"/>
      <c r="KII5" s="390"/>
      <c r="KIJ5" s="390"/>
      <c r="KIK5" s="390"/>
      <c r="KIL5" s="390"/>
      <c r="KIM5" s="390"/>
      <c r="KIN5" s="390"/>
      <c r="KIO5" s="390"/>
      <c r="KIP5" s="390"/>
      <c r="KIQ5" s="390"/>
      <c r="KIR5" s="390"/>
      <c r="KIS5" s="390"/>
      <c r="KIT5" s="390"/>
      <c r="KIU5" s="390"/>
      <c r="KIV5" s="390"/>
      <c r="KIW5" s="390"/>
      <c r="KIX5" s="390"/>
      <c r="KIY5" s="390"/>
      <c r="KIZ5" s="390"/>
      <c r="KJA5" s="390"/>
      <c r="KJB5" s="390"/>
      <c r="KJC5" s="390"/>
      <c r="KJD5" s="390"/>
      <c r="KJE5" s="390"/>
      <c r="KJF5" s="390"/>
      <c r="KJG5" s="390"/>
      <c r="KJH5" s="390"/>
      <c r="KJI5" s="390"/>
      <c r="KJJ5" s="390"/>
      <c r="KJK5" s="390"/>
      <c r="KJL5" s="390"/>
      <c r="KJM5" s="390"/>
      <c r="KJN5" s="390"/>
      <c r="KJO5" s="390"/>
      <c r="KJP5" s="390"/>
      <c r="KJQ5" s="390"/>
      <c r="KJR5" s="390"/>
      <c r="KJS5" s="390"/>
      <c r="KJT5" s="390"/>
      <c r="KJU5" s="390"/>
      <c r="KJV5" s="390"/>
      <c r="KJW5" s="390"/>
      <c r="KJX5" s="390"/>
      <c r="KJY5" s="390"/>
      <c r="KJZ5" s="390"/>
      <c r="KKA5" s="390"/>
      <c r="KKB5" s="390"/>
      <c r="KKC5" s="390"/>
      <c r="KKD5" s="390"/>
      <c r="KKE5" s="390"/>
      <c r="KKF5" s="390"/>
      <c r="KKG5" s="390"/>
      <c r="KKH5" s="390"/>
      <c r="KKI5" s="390"/>
      <c r="KKJ5" s="390"/>
      <c r="KKK5" s="390"/>
      <c r="KKL5" s="390"/>
      <c r="KKM5" s="390"/>
      <c r="KKN5" s="390"/>
      <c r="KKO5" s="390"/>
      <c r="KKP5" s="390"/>
      <c r="KKQ5" s="390"/>
      <c r="KKR5" s="390"/>
      <c r="KKS5" s="390"/>
      <c r="KKT5" s="390"/>
      <c r="KKU5" s="390"/>
      <c r="KKV5" s="390"/>
      <c r="KKW5" s="390"/>
      <c r="KKX5" s="390"/>
      <c r="KKY5" s="390"/>
      <c r="KKZ5" s="390"/>
      <c r="KLA5" s="390"/>
      <c r="KLB5" s="390"/>
      <c r="KLC5" s="390"/>
      <c r="KLD5" s="390"/>
      <c r="KLE5" s="390"/>
      <c r="KLF5" s="390"/>
      <c r="KLG5" s="390"/>
      <c r="KLH5" s="390"/>
      <c r="KLI5" s="390"/>
      <c r="KLJ5" s="390"/>
      <c r="KLK5" s="390"/>
      <c r="KLL5" s="390"/>
      <c r="KLM5" s="390"/>
      <c r="KLN5" s="390"/>
      <c r="KLO5" s="390"/>
      <c r="KLP5" s="390"/>
      <c r="KLQ5" s="390"/>
      <c r="KLR5" s="390"/>
      <c r="KLS5" s="390"/>
      <c r="KLT5" s="390"/>
      <c r="KLU5" s="390"/>
      <c r="KLV5" s="390"/>
      <c r="KLW5" s="390"/>
      <c r="KLX5" s="390"/>
      <c r="KLY5" s="390"/>
      <c r="KLZ5" s="390"/>
      <c r="KMA5" s="390"/>
      <c r="KMB5" s="390"/>
      <c r="KMC5" s="390"/>
      <c r="KMD5" s="390"/>
      <c r="KME5" s="390"/>
      <c r="KMF5" s="390"/>
      <c r="KMG5" s="390"/>
      <c r="KMH5" s="390"/>
      <c r="KMI5" s="390"/>
      <c r="KMJ5" s="390"/>
      <c r="KMK5" s="390"/>
      <c r="KML5" s="390"/>
      <c r="KMM5" s="390"/>
      <c r="KMN5" s="390"/>
      <c r="KMO5" s="390"/>
      <c r="KMP5" s="390"/>
      <c r="KMQ5" s="390"/>
      <c r="KMR5" s="390"/>
      <c r="KMS5" s="390"/>
      <c r="KMT5" s="390"/>
      <c r="KMU5" s="390"/>
      <c r="KMV5" s="390"/>
      <c r="KMW5" s="390"/>
      <c r="KMX5" s="390"/>
      <c r="KMY5" s="390"/>
      <c r="KMZ5" s="390"/>
      <c r="KNA5" s="390"/>
      <c r="KNB5" s="390"/>
      <c r="KNC5" s="390"/>
      <c r="KND5" s="390"/>
      <c r="KNE5" s="390"/>
      <c r="KNF5" s="390"/>
      <c r="KNG5" s="390"/>
      <c r="KNH5" s="390"/>
      <c r="KNI5" s="390"/>
      <c r="KNJ5" s="390"/>
      <c r="KNK5" s="390"/>
      <c r="KNL5" s="390"/>
      <c r="KNM5" s="390"/>
      <c r="KNN5" s="390"/>
      <c r="KNO5" s="390"/>
      <c r="KNP5" s="390"/>
      <c r="KNQ5" s="390"/>
      <c r="KNR5" s="390"/>
      <c r="KNS5" s="390"/>
      <c r="KNT5" s="390"/>
      <c r="KNU5" s="390"/>
      <c r="KNV5" s="390"/>
      <c r="KNW5" s="390"/>
      <c r="KNX5" s="390"/>
      <c r="KNY5" s="390"/>
      <c r="KNZ5" s="390"/>
      <c r="KOA5" s="390"/>
      <c r="KOB5" s="390"/>
      <c r="KOC5" s="390"/>
      <c r="KOD5" s="390"/>
      <c r="KOE5" s="390"/>
      <c r="KOF5" s="390"/>
      <c r="KOG5" s="390"/>
      <c r="KOH5" s="390"/>
      <c r="KOI5" s="390"/>
      <c r="KOJ5" s="390"/>
      <c r="KOK5" s="390"/>
      <c r="KOL5" s="390"/>
      <c r="KOM5" s="390"/>
      <c r="KON5" s="390"/>
      <c r="KOO5" s="390"/>
      <c r="KOP5" s="390"/>
      <c r="KOQ5" s="390"/>
      <c r="KOR5" s="390"/>
      <c r="KOS5" s="390"/>
      <c r="KOT5" s="390"/>
      <c r="KOU5" s="390"/>
      <c r="KOV5" s="390"/>
      <c r="KOW5" s="390"/>
      <c r="KOX5" s="390"/>
      <c r="KOY5" s="390"/>
      <c r="KOZ5" s="390"/>
      <c r="KPA5" s="390"/>
      <c r="KPB5" s="390"/>
      <c r="KPC5" s="390"/>
      <c r="KPD5" s="390"/>
      <c r="KPE5" s="390"/>
      <c r="KPF5" s="390"/>
      <c r="KPG5" s="390"/>
      <c r="KPH5" s="390"/>
      <c r="KPI5" s="390"/>
      <c r="KPJ5" s="390"/>
      <c r="KPK5" s="390"/>
      <c r="KPL5" s="390"/>
      <c r="KPM5" s="390"/>
      <c r="KPN5" s="390"/>
      <c r="KPO5" s="390"/>
      <c r="KPP5" s="390"/>
      <c r="KPQ5" s="390"/>
      <c r="KPR5" s="390"/>
      <c r="KPS5" s="390"/>
      <c r="KPT5" s="390"/>
      <c r="KPU5" s="390"/>
      <c r="KPV5" s="390"/>
      <c r="KPW5" s="390"/>
      <c r="KPX5" s="390"/>
      <c r="KPY5" s="390"/>
      <c r="KPZ5" s="390"/>
      <c r="KQA5" s="390"/>
      <c r="KQB5" s="390"/>
      <c r="KQC5" s="390"/>
      <c r="KQD5" s="390"/>
      <c r="KQE5" s="390"/>
      <c r="KQF5" s="390"/>
      <c r="KQG5" s="390"/>
      <c r="KQH5" s="390"/>
      <c r="KQI5" s="390"/>
      <c r="KQJ5" s="390"/>
      <c r="KQK5" s="390"/>
      <c r="KQL5" s="390"/>
      <c r="KQM5" s="390"/>
      <c r="KQN5" s="390"/>
      <c r="KQO5" s="390"/>
      <c r="KQP5" s="390"/>
      <c r="KQQ5" s="390"/>
      <c r="KQR5" s="390"/>
      <c r="KQS5" s="390"/>
      <c r="KQT5" s="390"/>
      <c r="KQU5" s="390"/>
      <c r="KQV5" s="390"/>
      <c r="KQW5" s="390"/>
      <c r="KQX5" s="390"/>
      <c r="KQY5" s="390"/>
      <c r="KQZ5" s="390"/>
      <c r="KRA5" s="390"/>
      <c r="KRB5" s="390"/>
      <c r="KRC5" s="390"/>
      <c r="KRD5" s="390"/>
      <c r="KRE5" s="390"/>
      <c r="KRF5" s="390"/>
      <c r="KRG5" s="390"/>
      <c r="KRH5" s="390"/>
      <c r="KRI5" s="390"/>
      <c r="KRJ5" s="390"/>
      <c r="KRK5" s="390"/>
      <c r="KRL5" s="390"/>
      <c r="KRM5" s="390"/>
      <c r="KRN5" s="390"/>
      <c r="KRO5" s="390"/>
      <c r="KRP5" s="390"/>
      <c r="KRQ5" s="390"/>
      <c r="KRR5" s="390"/>
      <c r="KRS5" s="390"/>
      <c r="KRT5" s="390"/>
      <c r="KRU5" s="390"/>
      <c r="KRV5" s="390"/>
      <c r="KRW5" s="390"/>
      <c r="KRX5" s="390"/>
      <c r="KRY5" s="390"/>
      <c r="KRZ5" s="390"/>
      <c r="KSA5" s="390"/>
      <c r="KSB5" s="390"/>
      <c r="KSC5" s="390"/>
      <c r="KSD5" s="390"/>
      <c r="KSE5" s="390"/>
      <c r="KSF5" s="390"/>
      <c r="KSG5" s="390"/>
      <c r="KSH5" s="390"/>
      <c r="KSI5" s="390"/>
      <c r="KSJ5" s="390"/>
      <c r="KSK5" s="390"/>
      <c r="KSL5" s="390"/>
      <c r="KSM5" s="390"/>
      <c r="KSN5" s="390"/>
      <c r="KSO5" s="390"/>
      <c r="KSP5" s="390"/>
      <c r="KSQ5" s="390"/>
      <c r="KSR5" s="390"/>
      <c r="KSS5" s="390"/>
      <c r="KST5" s="390"/>
      <c r="KSU5" s="390"/>
      <c r="KSV5" s="390"/>
      <c r="KSW5" s="390"/>
      <c r="KSX5" s="390"/>
      <c r="KSY5" s="390"/>
      <c r="KSZ5" s="390"/>
      <c r="KTA5" s="390"/>
      <c r="KTB5" s="390"/>
      <c r="KTC5" s="390"/>
      <c r="KTD5" s="390"/>
      <c r="KTE5" s="390"/>
      <c r="KTF5" s="390"/>
      <c r="KTG5" s="390"/>
      <c r="KTH5" s="390"/>
      <c r="KTI5" s="390"/>
      <c r="KTJ5" s="390"/>
      <c r="KTK5" s="390"/>
      <c r="KTL5" s="390"/>
      <c r="KTM5" s="390"/>
      <c r="KTN5" s="390"/>
      <c r="KTO5" s="390"/>
      <c r="KTP5" s="390"/>
      <c r="KTQ5" s="390"/>
      <c r="KTR5" s="390"/>
      <c r="KTS5" s="390"/>
      <c r="KTT5" s="390"/>
      <c r="KTU5" s="390"/>
      <c r="KTV5" s="390"/>
      <c r="KTW5" s="390"/>
      <c r="KTX5" s="390"/>
      <c r="KTY5" s="390"/>
      <c r="KTZ5" s="390"/>
      <c r="KUA5" s="390"/>
      <c r="KUB5" s="390"/>
      <c r="KUC5" s="390"/>
      <c r="KUD5" s="390"/>
      <c r="KUE5" s="390"/>
      <c r="KUF5" s="390"/>
      <c r="KUG5" s="390"/>
      <c r="KUH5" s="390"/>
      <c r="KUI5" s="390"/>
      <c r="KUJ5" s="390"/>
      <c r="KUK5" s="390"/>
      <c r="KUL5" s="390"/>
      <c r="KUM5" s="390"/>
      <c r="KUN5" s="390"/>
      <c r="KUO5" s="390"/>
      <c r="KUP5" s="390"/>
      <c r="KUQ5" s="390"/>
      <c r="KUR5" s="390"/>
      <c r="KUS5" s="390"/>
      <c r="KUT5" s="390"/>
      <c r="KUU5" s="390"/>
      <c r="KUV5" s="390"/>
      <c r="KUW5" s="390"/>
      <c r="KUX5" s="390"/>
      <c r="KUY5" s="390"/>
      <c r="KUZ5" s="390"/>
      <c r="KVA5" s="390"/>
      <c r="KVB5" s="390"/>
      <c r="KVC5" s="390"/>
      <c r="KVD5" s="390"/>
      <c r="KVE5" s="390"/>
      <c r="KVF5" s="390"/>
      <c r="KVG5" s="390"/>
      <c r="KVH5" s="390"/>
      <c r="KVI5" s="390"/>
      <c r="KVJ5" s="390"/>
      <c r="KVK5" s="390"/>
      <c r="KVL5" s="390"/>
      <c r="KVM5" s="390"/>
      <c r="KVN5" s="390"/>
      <c r="KVO5" s="390"/>
      <c r="KVP5" s="390"/>
      <c r="KVQ5" s="390"/>
      <c r="KVR5" s="390"/>
      <c r="KVS5" s="390"/>
      <c r="KVT5" s="390"/>
      <c r="KVU5" s="390"/>
      <c r="KVV5" s="390"/>
      <c r="KVW5" s="390"/>
      <c r="KVX5" s="390"/>
      <c r="KVY5" s="390"/>
      <c r="KVZ5" s="390"/>
      <c r="KWA5" s="390"/>
      <c r="KWB5" s="390"/>
      <c r="KWC5" s="390"/>
      <c r="KWD5" s="390"/>
      <c r="KWE5" s="390"/>
      <c r="KWF5" s="390"/>
      <c r="KWG5" s="390"/>
      <c r="KWH5" s="390"/>
      <c r="KWI5" s="390"/>
      <c r="KWJ5" s="390"/>
      <c r="KWK5" s="390"/>
      <c r="KWL5" s="390"/>
      <c r="KWM5" s="390"/>
      <c r="KWN5" s="390"/>
      <c r="KWO5" s="390"/>
      <c r="KWP5" s="390"/>
      <c r="KWQ5" s="390"/>
      <c r="KWR5" s="390"/>
      <c r="KWS5" s="390"/>
      <c r="KWT5" s="390"/>
      <c r="KWU5" s="390"/>
      <c r="KWV5" s="390"/>
      <c r="KWW5" s="390"/>
      <c r="KWX5" s="390"/>
      <c r="KWY5" s="390"/>
      <c r="KWZ5" s="390"/>
      <c r="KXA5" s="390"/>
      <c r="KXB5" s="390"/>
      <c r="KXC5" s="390"/>
      <c r="KXD5" s="390"/>
      <c r="KXE5" s="390"/>
      <c r="KXF5" s="390"/>
      <c r="KXG5" s="390"/>
      <c r="KXH5" s="390"/>
      <c r="KXI5" s="390"/>
      <c r="KXJ5" s="390"/>
      <c r="KXK5" s="390"/>
      <c r="KXL5" s="390"/>
      <c r="KXM5" s="390"/>
      <c r="KXN5" s="390"/>
      <c r="KXO5" s="390"/>
      <c r="KXP5" s="390"/>
      <c r="KXQ5" s="390"/>
      <c r="KXR5" s="390"/>
      <c r="KXS5" s="390"/>
      <c r="KXT5" s="390"/>
      <c r="KXU5" s="390"/>
      <c r="KXV5" s="390"/>
      <c r="KXW5" s="390"/>
      <c r="KXX5" s="390"/>
      <c r="KXY5" s="390"/>
      <c r="KXZ5" s="390"/>
      <c r="KYA5" s="390"/>
      <c r="KYB5" s="390"/>
      <c r="KYC5" s="390"/>
      <c r="KYD5" s="390"/>
      <c r="KYE5" s="390"/>
      <c r="KYF5" s="390"/>
      <c r="KYG5" s="390"/>
      <c r="KYH5" s="390"/>
      <c r="KYI5" s="390"/>
      <c r="KYJ5" s="390"/>
      <c r="KYK5" s="390"/>
      <c r="KYL5" s="390"/>
      <c r="KYM5" s="390"/>
      <c r="KYN5" s="390"/>
      <c r="KYO5" s="390"/>
      <c r="KYP5" s="390"/>
      <c r="KYQ5" s="390"/>
      <c r="KYR5" s="390"/>
      <c r="KYS5" s="390"/>
      <c r="KYT5" s="390"/>
      <c r="KYU5" s="390"/>
      <c r="KYV5" s="390"/>
      <c r="KYW5" s="390"/>
      <c r="KYX5" s="390"/>
      <c r="KYY5" s="390"/>
      <c r="KYZ5" s="390"/>
      <c r="KZA5" s="390"/>
      <c r="KZB5" s="390"/>
      <c r="KZC5" s="390"/>
      <c r="KZD5" s="390"/>
      <c r="KZE5" s="390"/>
      <c r="KZF5" s="390"/>
      <c r="KZG5" s="390"/>
      <c r="KZH5" s="390"/>
      <c r="KZI5" s="390"/>
      <c r="KZJ5" s="390"/>
      <c r="KZK5" s="390"/>
      <c r="KZL5" s="390"/>
      <c r="KZM5" s="390"/>
      <c r="KZN5" s="390"/>
      <c r="KZO5" s="390"/>
      <c r="KZP5" s="390"/>
      <c r="KZQ5" s="390"/>
      <c r="KZR5" s="390"/>
      <c r="KZS5" s="390"/>
      <c r="KZT5" s="390"/>
      <c r="KZU5" s="390"/>
      <c r="KZV5" s="390"/>
      <c r="KZW5" s="390"/>
      <c r="KZX5" s="390"/>
      <c r="KZY5" s="390"/>
      <c r="KZZ5" s="390"/>
      <c r="LAA5" s="390"/>
      <c r="LAB5" s="390"/>
      <c r="LAC5" s="390"/>
      <c r="LAD5" s="390"/>
      <c r="LAE5" s="390"/>
      <c r="LAF5" s="390"/>
      <c r="LAG5" s="390"/>
      <c r="LAH5" s="390"/>
      <c r="LAI5" s="390"/>
      <c r="LAJ5" s="390"/>
      <c r="LAK5" s="390"/>
      <c r="LAL5" s="390"/>
      <c r="LAM5" s="390"/>
      <c r="LAN5" s="390"/>
      <c r="LAO5" s="390"/>
      <c r="LAP5" s="390"/>
      <c r="LAQ5" s="390"/>
      <c r="LAR5" s="390"/>
      <c r="LAS5" s="390"/>
      <c r="LAT5" s="390"/>
      <c r="LAU5" s="390"/>
      <c r="LAV5" s="390"/>
      <c r="LAW5" s="390"/>
      <c r="LAX5" s="390"/>
      <c r="LAY5" s="390"/>
      <c r="LAZ5" s="390"/>
      <c r="LBA5" s="390"/>
      <c r="LBB5" s="390"/>
      <c r="LBC5" s="390"/>
      <c r="LBD5" s="390"/>
      <c r="LBE5" s="390"/>
      <c r="LBF5" s="390"/>
      <c r="LBG5" s="390"/>
      <c r="LBH5" s="390"/>
      <c r="LBI5" s="390"/>
      <c r="LBJ5" s="390"/>
      <c r="LBK5" s="390"/>
      <c r="LBL5" s="390"/>
      <c r="LBM5" s="390"/>
      <c r="LBN5" s="390"/>
      <c r="LBO5" s="390"/>
      <c r="LBP5" s="390"/>
      <c r="LBQ5" s="390"/>
      <c r="LBR5" s="390"/>
      <c r="LBS5" s="390"/>
      <c r="LBT5" s="390"/>
      <c r="LBU5" s="390"/>
      <c r="LBV5" s="390"/>
      <c r="LBW5" s="390"/>
      <c r="LBX5" s="390"/>
      <c r="LBY5" s="390"/>
      <c r="LBZ5" s="390"/>
      <c r="LCA5" s="390"/>
      <c r="LCB5" s="390"/>
      <c r="LCC5" s="390"/>
      <c r="LCD5" s="390"/>
      <c r="LCE5" s="390"/>
      <c r="LCF5" s="390"/>
      <c r="LCG5" s="390"/>
      <c r="LCH5" s="390"/>
      <c r="LCI5" s="390"/>
      <c r="LCJ5" s="390"/>
      <c r="LCK5" s="390"/>
      <c r="LCL5" s="390"/>
      <c r="LCM5" s="390"/>
      <c r="LCN5" s="390"/>
      <c r="LCO5" s="390"/>
      <c r="LCP5" s="390"/>
      <c r="LCQ5" s="390"/>
      <c r="LCR5" s="390"/>
      <c r="LCS5" s="390"/>
      <c r="LCT5" s="390"/>
      <c r="LCU5" s="390"/>
      <c r="LCV5" s="390"/>
      <c r="LCW5" s="390"/>
      <c r="LCX5" s="390"/>
      <c r="LCY5" s="390"/>
      <c r="LCZ5" s="390"/>
      <c r="LDA5" s="390"/>
      <c r="LDB5" s="390"/>
      <c r="LDC5" s="390"/>
      <c r="LDD5" s="390"/>
      <c r="LDE5" s="390"/>
      <c r="LDF5" s="390"/>
      <c r="LDG5" s="390"/>
      <c r="LDH5" s="390"/>
      <c r="LDI5" s="390"/>
      <c r="LDJ5" s="390"/>
      <c r="LDK5" s="390"/>
      <c r="LDL5" s="390"/>
      <c r="LDM5" s="390"/>
      <c r="LDN5" s="390"/>
      <c r="LDO5" s="390"/>
      <c r="LDP5" s="390"/>
      <c r="LDQ5" s="390"/>
      <c r="LDR5" s="390"/>
      <c r="LDS5" s="390"/>
      <c r="LDT5" s="390"/>
      <c r="LDU5" s="390"/>
      <c r="LDV5" s="390"/>
      <c r="LDW5" s="390"/>
      <c r="LDX5" s="390"/>
      <c r="LDY5" s="390"/>
      <c r="LDZ5" s="390"/>
      <c r="LEA5" s="390"/>
      <c r="LEB5" s="390"/>
      <c r="LEC5" s="390"/>
      <c r="LED5" s="390"/>
      <c r="LEE5" s="390"/>
      <c r="LEF5" s="390"/>
      <c r="LEG5" s="390"/>
      <c r="LEH5" s="390"/>
      <c r="LEI5" s="390"/>
      <c r="LEJ5" s="390"/>
      <c r="LEK5" s="390"/>
      <c r="LEL5" s="390"/>
      <c r="LEM5" s="390"/>
      <c r="LEN5" s="390"/>
      <c r="LEO5" s="390"/>
      <c r="LEP5" s="390"/>
      <c r="LEQ5" s="390"/>
      <c r="LER5" s="390"/>
      <c r="LES5" s="390"/>
      <c r="LET5" s="390"/>
      <c r="LEU5" s="390"/>
      <c r="LEV5" s="390"/>
      <c r="LEW5" s="390"/>
      <c r="LEX5" s="390"/>
      <c r="LEY5" s="390"/>
      <c r="LEZ5" s="390"/>
      <c r="LFA5" s="390"/>
      <c r="LFB5" s="390"/>
      <c r="LFC5" s="390"/>
      <c r="LFD5" s="390"/>
      <c r="LFE5" s="390"/>
      <c r="LFF5" s="390"/>
      <c r="LFG5" s="390"/>
      <c r="LFH5" s="390"/>
      <c r="LFI5" s="390"/>
      <c r="LFJ5" s="390"/>
      <c r="LFK5" s="390"/>
      <c r="LFL5" s="390"/>
      <c r="LFM5" s="390"/>
      <c r="LFN5" s="390"/>
      <c r="LFO5" s="390"/>
      <c r="LFP5" s="390"/>
      <c r="LFQ5" s="390"/>
      <c r="LFR5" s="390"/>
      <c r="LFS5" s="390"/>
      <c r="LFT5" s="390"/>
      <c r="LFU5" s="390"/>
      <c r="LFV5" s="390"/>
      <c r="LFW5" s="390"/>
      <c r="LFX5" s="390"/>
      <c r="LFY5" s="390"/>
      <c r="LFZ5" s="390"/>
      <c r="LGA5" s="390"/>
      <c r="LGB5" s="390"/>
      <c r="LGC5" s="390"/>
      <c r="LGD5" s="390"/>
      <c r="LGE5" s="390"/>
      <c r="LGF5" s="390"/>
      <c r="LGG5" s="390"/>
      <c r="LGH5" s="390"/>
      <c r="LGI5" s="390"/>
      <c r="LGJ5" s="390"/>
      <c r="LGK5" s="390"/>
      <c r="LGL5" s="390"/>
      <c r="LGM5" s="390"/>
      <c r="LGN5" s="390"/>
      <c r="LGO5" s="390"/>
      <c r="LGP5" s="390"/>
      <c r="LGQ5" s="390"/>
      <c r="LGR5" s="390"/>
      <c r="LGS5" s="390"/>
      <c r="LGT5" s="390"/>
      <c r="LGU5" s="390"/>
      <c r="LGV5" s="390"/>
      <c r="LGW5" s="390"/>
      <c r="LGX5" s="390"/>
      <c r="LGY5" s="390"/>
      <c r="LGZ5" s="390"/>
      <c r="LHA5" s="390"/>
      <c r="LHB5" s="390"/>
      <c r="LHC5" s="390"/>
      <c r="LHD5" s="390"/>
      <c r="LHE5" s="390"/>
      <c r="LHF5" s="390"/>
      <c r="LHG5" s="390"/>
      <c r="LHH5" s="390"/>
      <c r="LHI5" s="390"/>
      <c r="LHJ5" s="390"/>
      <c r="LHK5" s="390"/>
      <c r="LHL5" s="390"/>
      <c r="LHM5" s="390"/>
      <c r="LHN5" s="390"/>
      <c r="LHO5" s="390"/>
      <c r="LHP5" s="390"/>
      <c r="LHQ5" s="390"/>
      <c r="LHR5" s="390"/>
      <c r="LHS5" s="390"/>
      <c r="LHT5" s="390"/>
      <c r="LHU5" s="390"/>
      <c r="LHV5" s="390"/>
      <c r="LHW5" s="390"/>
      <c r="LHX5" s="390"/>
      <c r="LHY5" s="390"/>
      <c r="LHZ5" s="390"/>
      <c r="LIA5" s="390"/>
      <c r="LIB5" s="390"/>
      <c r="LIC5" s="390"/>
      <c r="LID5" s="390"/>
      <c r="LIE5" s="390"/>
      <c r="LIF5" s="390"/>
      <c r="LIG5" s="390"/>
      <c r="LIH5" s="390"/>
      <c r="LII5" s="390"/>
      <c r="LIJ5" s="390"/>
      <c r="LIK5" s="390"/>
      <c r="LIL5" s="390"/>
      <c r="LIM5" s="390"/>
      <c r="LIN5" s="390"/>
      <c r="LIO5" s="390"/>
      <c r="LIP5" s="390"/>
      <c r="LIQ5" s="390"/>
      <c r="LIR5" s="390"/>
      <c r="LIS5" s="390"/>
      <c r="LIT5" s="390"/>
      <c r="LIU5" s="390"/>
      <c r="LIV5" s="390"/>
      <c r="LIW5" s="390"/>
      <c r="LIX5" s="390"/>
      <c r="LIY5" s="390"/>
      <c r="LIZ5" s="390"/>
      <c r="LJA5" s="390"/>
      <c r="LJB5" s="390"/>
      <c r="LJC5" s="390"/>
      <c r="LJD5" s="390"/>
      <c r="LJE5" s="390"/>
      <c r="LJF5" s="390"/>
      <c r="LJG5" s="390"/>
      <c r="LJH5" s="390"/>
      <c r="LJI5" s="390"/>
      <c r="LJJ5" s="390"/>
      <c r="LJK5" s="390"/>
      <c r="LJL5" s="390"/>
      <c r="LJM5" s="390"/>
      <c r="LJN5" s="390"/>
      <c r="LJO5" s="390"/>
      <c r="LJP5" s="390"/>
      <c r="LJQ5" s="390"/>
      <c r="LJR5" s="390"/>
      <c r="LJS5" s="390"/>
      <c r="LJT5" s="390"/>
      <c r="LJU5" s="390"/>
      <c r="LJV5" s="390"/>
      <c r="LJW5" s="390"/>
      <c r="LJX5" s="390"/>
      <c r="LJY5" s="390"/>
      <c r="LJZ5" s="390"/>
      <c r="LKA5" s="390"/>
      <c r="LKB5" s="390"/>
      <c r="LKC5" s="390"/>
      <c r="LKD5" s="390"/>
      <c r="LKE5" s="390"/>
      <c r="LKF5" s="390"/>
      <c r="LKG5" s="390"/>
      <c r="LKH5" s="390"/>
      <c r="LKI5" s="390"/>
      <c r="LKJ5" s="390"/>
      <c r="LKK5" s="390"/>
      <c r="LKL5" s="390"/>
      <c r="LKM5" s="390"/>
      <c r="LKN5" s="390"/>
      <c r="LKO5" s="390"/>
      <c r="LKP5" s="390"/>
      <c r="LKQ5" s="390"/>
      <c r="LKR5" s="390"/>
      <c r="LKS5" s="390"/>
      <c r="LKT5" s="390"/>
      <c r="LKU5" s="390"/>
      <c r="LKV5" s="390"/>
      <c r="LKW5" s="390"/>
      <c r="LKX5" s="390"/>
      <c r="LKY5" s="390"/>
      <c r="LKZ5" s="390"/>
      <c r="LLA5" s="390"/>
      <c r="LLB5" s="390"/>
      <c r="LLC5" s="390"/>
      <c r="LLD5" s="390"/>
      <c r="LLE5" s="390"/>
      <c r="LLF5" s="390"/>
      <c r="LLG5" s="390"/>
      <c r="LLH5" s="390"/>
      <c r="LLI5" s="390"/>
      <c r="LLJ5" s="390"/>
      <c r="LLK5" s="390"/>
      <c r="LLL5" s="390"/>
      <c r="LLM5" s="390"/>
      <c r="LLN5" s="390"/>
      <c r="LLO5" s="390"/>
      <c r="LLP5" s="390"/>
      <c r="LLQ5" s="390"/>
      <c r="LLR5" s="390"/>
      <c r="LLS5" s="390"/>
      <c r="LLT5" s="390"/>
      <c r="LLU5" s="390"/>
      <c r="LLV5" s="390"/>
      <c r="LLW5" s="390"/>
      <c r="LLX5" s="390"/>
      <c r="LLY5" s="390"/>
      <c r="LLZ5" s="390"/>
      <c r="LMA5" s="390"/>
      <c r="LMB5" s="390"/>
      <c r="LMC5" s="390"/>
      <c r="LMD5" s="390"/>
      <c r="LME5" s="390"/>
      <c r="LMF5" s="390"/>
      <c r="LMG5" s="390"/>
      <c r="LMH5" s="390"/>
      <c r="LMI5" s="390"/>
      <c r="LMJ5" s="390"/>
      <c r="LMK5" s="390"/>
      <c r="LML5" s="390"/>
      <c r="LMM5" s="390"/>
      <c r="LMN5" s="390"/>
      <c r="LMO5" s="390"/>
      <c r="LMP5" s="390"/>
      <c r="LMQ5" s="390"/>
      <c r="LMR5" s="390"/>
      <c r="LMS5" s="390"/>
      <c r="LMT5" s="390"/>
      <c r="LMU5" s="390"/>
      <c r="LMV5" s="390"/>
      <c r="LMW5" s="390"/>
      <c r="LMX5" s="390"/>
      <c r="LMY5" s="390"/>
      <c r="LMZ5" s="390"/>
      <c r="LNA5" s="390"/>
      <c r="LNB5" s="390"/>
      <c r="LNC5" s="390"/>
      <c r="LND5" s="390"/>
      <c r="LNE5" s="390"/>
      <c r="LNF5" s="390"/>
      <c r="LNG5" s="390"/>
      <c r="LNH5" s="390"/>
      <c r="LNI5" s="390"/>
      <c r="LNJ5" s="390"/>
      <c r="LNK5" s="390"/>
      <c r="LNL5" s="390"/>
      <c r="LNM5" s="390"/>
      <c r="LNN5" s="390"/>
      <c r="LNO5" s="390"/>
      <c r="LNP5" s="390"/>
      <c r="LNQ5" s="390"/>
      <c r="LNR5" s="390"/>
      <c r="LNS5" s="390"/>
      <c r="LNT5" s="390"/>
      <c r="LNU5" s="390"/>
      <c r="LNV5" s="390"/>
      <c r="LNW5" s="390"/>
      <c r="LNX5" s="390"/>
      <c r="LNY5" s="390"/>
      <c r="LNZ5" s="390"/>
      <c r="LOA5" s="390"/>
      <c r="LOB5" s="390"/>
      <c r="LOC5" s="390"/>
      <c r="LOD5" s="390"/>
      <c r="LOE5" s="390"/>
      <c r="LOF5" s="390"/>
      <c r="LOG5" s="390"/>
      <c r="LOH5" s="390"/>
      <c r="LOI5" s="390"/>
      <c r="LOJ5" s="390"/>
      <c r="LOK5" s="390"/>
      <c r="LOL5" s="390"/>
      <c r="LOM5" s="390"/>
      <c r="LON5" s="390"/>
      <c r="LOO5" s="390"/>
      <c r="LOP5" s="390"/>
      <c r="LOQ5" s="390"/>
      <c r="LOR5" s="390"/>
      <c r="LOS5" s="390"/>
      <c r="LOT5" s="390"/>
      <c r="LOU5" s="390"/>
      <c r="LOV5" s="390"/>
      <c r="LOW5" s="390"/>
      <c r="LOX5" s="390"/>
      <c r="LOY5" s="390"/>
      <c r="LOZ5" s="390"/>
      <c r="LPA5" s="390"/>
      <c r="LPB5" s="390"/>
      <c r="LPC5" s="390"/>
      <c r="LPD5" s="390"/>
      <c r="LPE5" s="390"/>
      <c r="LPF5" s="390"/>
      <c r="LPG5" s="390"/>
      <c r="LPH5" s="390"/>
      <c r="LPI5" s="390"/>
      <c r="LPJ5" s="390"/>
      <c r="LPK5" s="390"/>
      <c r="LPL5" s="390"/>
      <c r="LPM5" s="390"/>
      <c r="LPN5" s="390"/>
      <c r="LPO5" s="390"/>
      <c r="LPP5" s="390"/>
      <c r="LPQ5" s="390"/>
      <c r="LPR5" s="390"/>
      <c r="LPS5" s="390"/>
      <c r="LPT5" s="390"/>
      <c r="LPU5" s="390"/>
      <c r="LPV5" s="390"/>
      <c r="LPW5" s="390"/>
      <c r="LPX5" s="390"/>
      <c r="LPY5" s="390"/>
      <c r="LPZ5" s="390"/>
      <c r="LQA5" s="390"/>
      <c r="LQB5" s="390"/>
      <c r="LQC5" s="390"/>
      <c r="LQD5" s="390"/>
      <c r="LQE5" s="390"/>
      <c r="LQF5" s="390"/>
      <c r="LQG5" s="390"/>
      <c r="LQH5" s="390"/>
      <c r="LQI5" s="390"/>
      <c r="LQJ5" s="390"/>
      <c r="LQK5" s="390"/>
      <c r="LQL5" s="390"/>
      <c r="LQM5" s="390"/>
      <c r="LQN5" s="390"/>
      <c r="LQO5" s="390"/>
      <c r="LQP5" s="390"/>
      <c r="LQQ5" s="390"/>
      <c r="LQR5" s="390"/>
      <c r="LQS5" s="390"/>
      <c r="LQT5" s="390"/>
      <c r="LQU5" s="390"/>
      <c r="LQV5" s="390"/>
      <c r="LQW5" s="390"/>
      <c r="LQX5" s="390"/>
      <c r="LQY5" s="390"/>
      <c r="LQZ5" s="390"/>
      <c r="LRA5" s="390"/>
      <c r="LRB5" s="390"/>
      <c r="LRC5" s="390"/>
      <c r="LRD5" s="390"/>
      <c r="LRE5" s="390"/>
      <c r="LRF5" s="390"/>
      <c r="LRG5" s="390"/>
      <c r="LRH5" s="390"/>
      <c r="LRI5" s="390"/>
      <c r="LRJ5" s="390"/>
      <c r="LRK5" s="390"/>
      <c r="LRL5" s="390"/>
      <c r="LRM5" s="390"/>
      <c r="LRN5" s="390"/>
      <c r="LRO5" s="390"/>
      <c r="LRP5" s="390"/>
      <c r="LRQ5" s="390"/>
      <c r="LRR5" s="390"/>
      <c r="LRS5" s="390"/>
      <c r="LRT5" s="390"/>
      <c r="LRU5" s="390"/>
      <c r="LRV5" s="390"/>
      <c r="LRW5" s="390"/>
      <c r="LRX5" s="390"/>
      <c r="LRY5" s="390"/>
      <c r="LRZ5" s="390"/>
      <c r="LSA5" s="390"/>
      <c r="LSB5" s="390"/>
      <c r="LSC5" s="390"/>
      <c r="LSD5" s="390"/>
      <c r="LSE5" s="390"/>
      <c r="LSF5" s="390"/>
      <c r="LSG5" s="390"/>
      <c r="LSH5" s="390"/>
      <c r="LSI5" s="390"/>
      <c r="LSJ5" s="390"/>
      <c r="LSK5" s="390"/>
      <c r="LSL5" s="390"/>
      <c r="LSM5" s="390"/>
      <c r="LSN5" s="390"/>
      <c r="LSO5" s="390"/>
      <c r="LSP5" s="390"/>
      <c r="LSQ5" s="390"/>
      <c r="LSR5" s="390"/>
      <c r="LSS5" s="390"/>
      <c r="LST5" s="390"/>
      <c r="LSU5" s="390"/>
      <c r="LSV5" s="390"/>
      <c r="LSW5" s="390"/>
      <c r="LSX5" s="390"/>
      <c r="LSY5" s="390"/>
      <c r="LSZ5" s="390"/>
      <c r="LTA5" s="390"/>
      <c r="LTB5" s="390"/>
      <c r="LTC5" s="390"/>
      <c r="LTD5" s="390"/>
      <c r="LTE5" s="390"/>
      <c r="LTF5" s="390"/>
      <c r="LTG5" s="390"/>
      <c r="LTH5" s="390"/>
      <c r="LTI5" s="390"/>
      <c r="LTJ5" s="390"/>
      <c r="LTK5" s="390"/>
      <c r="LTL5" s="390"/>
      <c r="LTM5" s="390"/>
      <c r="LTN5" s="390"/>
      <c r="LTO5" s="390"/>
      <c r="LTP5" s="390"/>
      <c r="LTQ5" s="390"/>
      <c r="LTR5" s="390"/>
      <c r="LTS5" s="390"/>
      <c r="LTT5" s="390"/>
      <c r="LTU5" s="390"/>
      <c r="LTV5" s="390"/>
      <c r="LTW5" s="390"/>
      <c r="LTX5" s="390"/>
      <c r="LTY5" s="390"/>
      <c r="LTZ5" s="390"/>
      <c r="LUA5" s="390"/>
      <c r="LUB5" s="390"/>
      <c r="LUC5" s="390"/>
      <c r="LUD5" s="390"/>
      <c r="LUE5" s="390"/>
      <c r="LUF5" s="390"/>
      <c r="LUG5" s="390"/>
      <c r="LUH5" s="390"/>
      <c r="LUI5" s="390"/>
      <c r="LUJ5" s="390"/>
      <c r="LUK5" s="390"/>
      <c r="LUL5" s="390"/>
      <c r="LUM5" s="390"/>
      <c r="LUN5" s="390"/>
      <c r="LUO5" s="390"/>
      <c r="LUP5" s="390"/>
      <c r="LUQ5" s="390"/>
      <c r="LUR5" s="390"/>
      <c r="LUS5" s="390"/>
      <c r="LUT5" s="390"/>
      <c r="LUU5" s="390"/>
      <c r="LUV5" s="390"/>
      <c r="LUW5" s="390"/>
      <c r="LUX5" s="390"/>
      <c r="LUY5" s="390"/>
      <c r="LUZ5" s="390"/>
      <c r="LVA5" s="390"/>
      <c r="LVB5" s="390"/>
      <c r="LVC5" s="390"/>
      <c r="LVD5" s="390"/>
      <c r="LVE5" s="390"/>
      <c r="LVF5" s="390"/>
      <c r="LVG5" s="390"/>
      <c r="LVH5" s="390"/>
      <c r="LVI5" s="390"/>
      <c r="LVJ5" s="390"/>
      <c r="LVK5" s="390"/>
      <c r="LVL5" s="390"/>
      <c r="LVM5" s="390"/>
      <c r="LVN5" s="390"/>
      <c r="LVO5" s="390"/>
      <c r="LVP5" s="390"/>
      <c r="LVQ5" s="390"/>
      <c r="LVR5" s="390"/>
      <c r="LVS5" s="390"/>
      <c r="LVT5" s="390"/>
      <c r="LVU5" s="390"/>
      <c r="LVV5" s="390"/>
      <c r="LVW5" s="390"/>
      <c r="LVX5" s="390"/>
      <c r="LVY5" s="390"/>
      <c r="LVZ5" s="390"/>
      <c r="LWA5" s="390"/>
      <c r="LWB5" s="390"/>
      <c r="LWC5" s="390"/>
      <c r="LWD5" s="390"/>
      <c r="LWE5" s="390"/>
      <c r="LWF5" s="390"/>
      <c r="LWG5" s="390"/>
      <c r="LWH5" s="390"/>
      <c r="LWI5" s="390"/>
      <c r="LWJ5" s="390"/>
      <c r="LWK5" s="390"/>
      <c r="LWL5" s="390"/>
      <c r="LWM5" s="390"/>
      <c r="LWN5" s="390"/>
      <c r="LWO5" s="390"/>
      <c r="LWP5" s="390"/>
      <c r="LWQ5" s="390"/>
      <c r="LWR5" s="390"/>
      <c r="LWS5" s="390"/>
      <c r="LWT5" s="390"/>
      <c r="LWU5" s="390"/>
      <c r="LWV5" s="390"/>
      <c r="LWW5" s="390"/>
      <c r="LWX5" s="390"/>
      <c r="LWY5" s="390"/>
      <c r="LWZ5" s="390"/>
      <c r="LXA5" s="390"/>
      <c r="LXB5" s="390"/>
      <c r="LXC5" s="390"/>
      <c r="LXD5" s="390"/>
      <c r="LXE5" s="390"/>
      <c r="LXF5" s="390"/>
      <c r="LXG5" s="390"/>
      <c r="LXH5" s="390"/>
      <c r="LXI5" s="390"/>
      <c r="LXJ5" s="390"/>
      <c r="LXK5" s="390"/>
      <c r="LXL5" s="390"/>
      <c r="LXM5" s="390"/>
      <c r="LXN5" s="390"/>
      <c r="LXO5" s="390"/>
      <c r="LXP5" s="390"/>
      <c r="LXQ5" s="390"/>
      <c r="LXR5" s="390"/>
      <c r="LXS5" s="390"/>
      <c r="LXT5" s="390"/>
      <c r="LXU5" s="390"/>
      <c r="LXV5" s="390"/>
      <c r="LXW5" s="390"/>
      <c r="LXX5" s="390"/>
      <c r="LXY5" s="390"/>
      <c r="LXZ5" s="390"/>
      <c r="LYA5" s="390"/>
      <c r="LYB5" s="390"/>
      <c r="LYC5" s="390"/>
      <c r="LYD5" s="390"/>
      <c r="LYE5" s="390"/>
      <c r="LYF5" s="390"/>
      <c r="LYG5" s="390"/>
      <c r="LYH5" s="390"/>
      <c r="LYI5" s="390"/>
      <c r="LYJ5" s="390"/>
      <c r="LYK5" s="390"/>
      <c r="LYL5" s="390"/>
      <c r="LYM5" s="390"/>
      <c r="LYN5" s="390"/>
      <c r="LYO5" s="390"/>
      <c r="LYP5" s="390"/>
      <c r="LYQ5" s="390"/>
      <c r="LYR5" s="390"/>
      <c r="LYS5" s="390"/>
      <c r="LYT5" s="390"/>
      <c r="LYU5" s="390"/>
      <c r="LYV5" s="390"/>
      <c r="LYW5" s="390"/>
      <c r="LYX5" s="390"/>
      <c r="LYY5" s="390"/>
      <c r="LYZ5" s="390"/>
      <c r="LZA5" s="390"/>
      <c r="LZB5" s="390"/>
      <c r="LZC5" s="390"/>
      <c r="LZD5" s="390"/>
      <c r="LZE5" s="390"/>
      <c r="LZF5" s="390"/>
      <c r="LZG5" s="390"/>
      <c r="LZH5" s="390"/>
      <c r="LZI5" s="390"/>
      <c r="LZJ5" s="390"/>
      <c r="LZK5" s="390"/>
      <c r="LZL5" s="390"/>
      <c r="LZM5" s="390"/>
      <c r="LZN5" s="390"/>
      <c r="LZO5" s="390"/>
      <c r="LZP5" s="390"/>
      <c r="LZQ5" s="390"/>
      <c r="LZR5" s="390"/>
      <c r="LZS5" s="390"/>
      <c r="LZT5" s="390"/>
      <c r="LZU5" s="390"/>
      <c r="LZV5" s="390"/>
      <c r="LZW5" s="390"/>
      <c r="LZX5" s="390"/>
      <c r="LZY5" s="390"/>
      <c r="LZZ5" s="390"/>
      <c r="MAA5" s="390"/>
      <c r="MAB5" s="390"/>
      <c r="MAC5" s="390"/>
      <c r="MAD5" s="390"/>
      <c r="MAE5" s="390"/>
      <c r="MAF5" s="390"/>
      <c r="MAG5" s="390"/>
      <c r="MAH5" s="390"/>
      <c r="MAI5" s="390"/>
      <c r="MAJ5" s="390"/>
      <c r="MAK5" s="390"/>
      <c r="MAL5" s="390"/>
      <c r="MAM5" s="390"/>
      <c r="MAN5" s="390"/>
      <c r="MAO5" s="390"/>
      <c r="MAP5" s="390"/>
      <c r="MAQ5" s="390"/>
      <c r="MAR5" s="390"/>
      <c r="MAS5" s="390"/>
      <c r="MAT5" s="390"/>
      <c r="MAU5" s="390"/>
      <c r="MAV5" s="390"/>
      <c r="MAW5" s="390"/>
      <c r="MAX5" s="390"/>
      <c r="MAY5" s="390"/>
      <c r="MAZ5" s="390"/>
      <c r="MBA5" s="390"/>
      <c r="MBB5" s="390"/>
      <c r="MBC5" s="390"/>
      <c r="MBD5" s="390"/>
      <c r="MBE5" s="390"/>
      <c r="MBF5" s="390"/>
      <c r="MBG5" s="390"/>
      <c r="MBH5" s="390"/>
      <c r="MBI5" s="390"/>
      <c r="MBJ5" s="390"/>
      <c r="MBK5" s="390"/>
      <c r="MBL5" s="390"/>
      <c r="MBM5" s="390"/>
      <c r="MBN5" s="390"/>
      <c r="MBO5" s="390"/>
      <c r="MBP5" s="390"/>
      <c r="MBQ5" s="390"/>
      <c r="MBR5" s="390"/>
      <c r="MBS5" s="390"/>
      <c r="MBT5" s="390"/>
      <c r="MBU5" s="390"/>
      <c r="MBV5" s="390"/>
      <c r="MBW5" s="390"/>
      <c r="MBX5" s="390"/>
      <c r="MBY5" s="390"/>
      <c r="MBZ5" s="390"/>
      <c r="MCA5" s="390"/>
      <c r="MCB5" s="390"/>
      <c r="MCC5" s="390"/>
      <c r="MCD5" s="390"/>
      <c r="MCE5" s="390"/>
      <c r="MCF5" s="390"/>
      <c r="MCG5" s="390"/>
      <c r="MCH5" s="390"/>
      <c r="MCI5" s="390"/>
      <c r="MCJ5" s="390"/>
      <c r="MCK5" s="390"/>
      <c r="MCL5" s="390"/>
      <c r="MCM5" s="390"/>
      <c r="MCN5" s="390"/>
      <c r="MCO5" s="390"/>
      <c r="MCP5" s="390"/>
      <c r="MCQ5" s="390"/>
      <c r="MCR5" s="390"/>
      <c r="MCS5" s="390"/>
      <c r="MCT5" s="390"/>
      <c r="MCU5" s="390"/>
      <c r="MCV5" s="390"/>
      <c r="MCW5" s="390"/>
      <c r="MCX5" s="390"/>
      <c r="MCY5" s="390"/>
      <c r="MCZ5" s="390"/>
      <c r="MDA5" s="390"/>
      <c r="MDB5" s="390"/>
      <c r="MDC5" s="390"/>
      <c r="MDD5" s="390"/>
      <c r="MDE5" s="390"/>
      <c r="MDF5" s="390"/>
      <c r="MDG5" s="390"/>
      <c r="MDH5" s="390"/>
      <c r="MDI5" s="390"/>
      <c r="MDJ5" s="390"/>
      <c r="MDK5" s="390"/>
      <c r="MDL5" s="390"/>
      <c r="MDM5" s="390"/>
      <c r="MDN5" s="390"/>
      <c r="MDO5" s="390"/>
      <c r="MDP5" s="390"/>
      <c r="MDQ5" s="390"/>
      <c r="MDR5" s="390"/>
      <c r="MDS5" s="390"/>
      <c r="MDT5" s="390"/>
      <c r="MDU5" s="390"/>
      <c r="MDV5" s="390"/>
      <c r="MDW5" s="390"/>
      <c r="MDX5" s="390"/>
      <c r="MDY5" s="390"/>
      <c r="MDZ5" s="390"/>
      <c r="MEA5" s="390"/>
      <c r="MEB5" s="390"/>
      <c r="MEC5" s="390"/>
      <c r="MED5" s="390"/>
      <c r="MEE5" s="390"/>
      <c r="MEF5" s="390"/>
      <c r="MEG5" s="390"/>
      <c r="MEH5" s="390"/>
      <c r="MEI5" s="390"/>
      <c r="MEJ5" s="390"/>
      <c r="MEK5" s="390"/>
      <c r="MEL5" s="390"/>
      <c r="MEM5" s="390"/>
      <c r="MEN5" s="390"/>
      <c r="MEO5" s="390"/>
      <c r="MEP5" s="390"/>
      <c r="MEQ5" s="390"/>
      <c r="MER5" s="390"/>
      <c r="MES5" s="390"/>
      <c r="MET5" s="390"/>
      <c r="MEU5" s="390"/>
      <c r="MEV5" s="390"/>
      <c r="MEW5" s="390"/>
      <c r="MEX5" s="390"/>
      <c r="MEY5" s="390"/>
      <c r="MEZ5" s="390"/>
      <c r="MFA5" s="390"/>
      <c r="MFB5" s="390"/>
      <c r="MFC5" s="390"/>
      <c r="MFD5" s="390"/>
      <c r="MFE5" s="390"/>
      <c r="MFF5" s="390"/>
      <c r="MFG5" s="390"/>
      <c r="MFH5" s="390"/>
      <c r="MFI5" s="390"/>
      <c r="MFJ5" s="390"/>
      <c r="MFK5" s="390"/>
      <c r="MFL5" s="390"/>
      <c r="MFM5" s="390"/>
      <c r="MFN5" s="390"/>
      <c r="MFO5" s="390"/>
      <c r="MFP5" s="390"/>
      <c r="MFQ5" s="390"/>
      <c r="MFR5" s="390"/>
      <c r="MFS5" s="390"/>
      <c r="MFT5" s="390"/>
      <c r="MFU5" s="390"/>
      <c r="MFV5" s="390"/>
      <c r="MFW5" s="390"/>
      <c r="MFX5" s="390"/>
      <c r="MFY5" s="390"/>
      <c r="MFZ5" s="390"/>
      <c r="MGA5" s="390"/>
      <c r="MGB5" s="390"/>
      <c r="MGC5" s="390"/>
      <c r="MGD5" s="390"/>
      <c r="MGE5" s="390"/>
      <c r="MGF5" s="390"/>
      <c r="MGG5" s="390"/>
      <c r="MGH5" s="390"/>
      <c r="MGI5" s="390"/>
      <c r="MGJ5" s="390"/>
      <c r="MGK5" s="390"/>
      <c r="MGL5" s="390"/>
      <c r="MGM5" s="390"/>
      <c r="MGN5" s="390"/>
      <c r="MGO5" s="390"/>
      <c r="MGP5" s="390"/>
      <c r="MGQ5" s="390"/>
      <c r="MGR5" s="390"/>
      <c r="MGS5" s="390"/>
      <c r="MGT5" s="390"/>
      <c r="MGU5" s="390"/>
      <c r="MGV5" s="390"/>
      <c r="MGW5" s="390"/>
      <c r="MGX5" s="390"/>
      <c r="MGY5" s="390"/>
      <c r="MGZ5" s="390"/>
      <c r="MHA5" s="390"/>
      <c r="MHB5" s="390"/>
      <c r="MHC5" s="390"/>
      <c r="MHD5" s="390"/>
      <c r="MHE5" s="390"/>
      <c r="MHF5" s="390"/>
      <c r="MHG5" s="390"/>
      <c r="MHH5" s="390"/>
      <c r="MHI5" s="390"/>
      <c r="MHJ5" s="390"/>
      <c r="MHK5" s="390"/>
      <c r="MHL5" s="390"/>
      <c r="MHM5" s="390"/>
      <c r="MHN5" s="390"/>
      <c r="MHO5" s="390"/>
      <c r="MHP5" s="390"/>
      <c r="MHQ5" s="390"/>
      <c r="MHR5" s="390"/>
      <c r="MHS5" s="390"/>
      <c r="MHT5" s="390"/>
      <c r="MHU5" s="390"/>
      <c r="MHV5" s="390"/>
      <c r="MHW5" s="390"/>
      <c r="MHX5" s="390"/>
      <c r="MHY5" s="390"/>
      <c r="MHZ5" s="390"/>
      <c r="MIA5" s="390"/>
      <c r="MIB5" s="390"/>
      <c r="MIC5" s="390"/>
      <c r="MID5" s="390"/>
      <c r="MIE5" s="390"/>
      <c r="MIF5" s="390"/>
      <c r="MIG5" s="390"/>
      <c r="MIH5" s="390"/>
      <c r="MII5" s="390"/>
      <c r="MIJ5" s="390"/>
      <c r="MIK5" s="390"/>
      <c r="MIL5" s="390"/>
      <c r="MIM5" s="390"/>
      <c r="MIN5" s="390"/>
      <c r="MIO5" s="390"/>
      <c r="MIP5" s="390"/>
      <c r="MIQ5" s="390"/>
      <c r="MIR5" s="390"/>
      <c r="MIS5" s="390"/>
      <c r="MIT5" s="390"/>
      <c r="MIU5" s="390"/>
      <c r="MIV5" s="390"/>
      <c r="MIW5" s="390"/>
      <c r="MIX5" s="390"/>
      <c r="MIY5" s="390"/>
      <c r="MIZ5" s="390"/>
      <c r="MJA5" s="390"/>
      <c r="MJB5" s="390"/>
      <c r="MJC5" s="390"/>
      <c r="MJD5" s="390"/>
      <c r="MJE5" s="390"/>
      <c r="MJF5" s="390"/>
      <c r="MJG5" s="390"/>
      <c r="MJH5" s="390"/>
      <c r="MJI5" s="390"/>
      <c r="MJJ5" s="390"/>
      <c r="MJK5" s="390"/>
      <c r="MJL5" s="390"/>
      <c r="MJM5" s="390"/>
      <c r="MJN5" s="390"/>
      <c r="MJO5" s="390"/>
      <c r="MJP5" s="390"/>
      <c r="MJQ5" s="390"/>
      <c r="MJR5" s="390"/>
      <c r="MJS5" s="390"/>
      <c r="MJT5" s="390"/>
      <c r="MJU5" s="390"/>
      <c r="MJV5" s="390"/>
      <c r="MJW5" s="390"/>
      <c r="MJX5" s="390"/>
      <c r="MJY5" s="390"/>
      <c r="MJZ5" s="390"/>
      <c r="MKA5" s="390"/>
      <c r="MKB5" s="390"/>
      <c r="MKC5" s="390"/>
      <c r="MKD5" s="390"/>
      <c r="MKE5" s="390"/>
      <c r="MKF5" s="390"/>
      <c r="MKG5" s="390"/>
      <c r="MKH5" s="390"/>
      <c r="MKI5" s="390"/>
      <c r="MKJ5" s="390"/>
      <c r="MKK5" s="390"/>
      <c r="MKL5" s="390"/>
      <c r="MKM5" s="390"/>
      <c r="MKN5" s="390"/>
      <c r="MKO5" s="390"/>
      <c r="MKP5" s="390"/>
      <c r="MKQ5" s="390"/>
      <c r="MKR5" s="390"/>
      <c r="MKS5" s="390"/>
      <c r="MKT5" s="390"/>
      <c r="MKU5" s="390"/>
      <c r="MKV5" s="390"/>
      <c r="MKW5" s="390"/>
      <c r="MKX5" s="390"/>
      <c r="MKY5" s="390"/>
      <c r="MKZ5" s="390"/>
      <c r="MLA5" s="390"/>
      <c r="MLB5" s="390"/>
      <c r="MLC5" s="390"/>
      <c r="MLD5" s="390"/>
      <c r="MLE5" s="390"/>
      <c r="MLF5" s="390"/>
      <c r="MLG5" s="390"/>
      <c r="MLH5" s="390"/>
      <c r="MLI5" s="390"/>
      <c r="MLJ5" s="390"/>
      <c r="MLK5" s="390"/>
      <c r="MLL5" s="390"/>
      <c r="MLM5" s="390"/>
      <c r="MLN5" s="390"/>
      <c r="MLO5" s="390"/>
      <c r="MLP5" s="390"/>
      <c r="MLQ5" s="390"/>
      <c r="MLR5" s="390"/>
      <c r="MLS5" s="390"/>
      <c r="MLT5" s="390"/>
      <c r="MLU5" s="390"/>
      <c r="MLV5" s="390"/>
      <c r="MLW5" s="390"/>
      <c r="MLX5" s="390"/>
      <c r="MLY5" s="390"/>
      <c r="MLZ5" s="390"/>
      <c r="MMA5" s="390"/>
      <c r="MMB5" s="390"/>
      <c r="MMC5" s="390"/>
      <c r="MMD5" s="390"/>
      <c r="MME5" s="390"/>
      <c r="MMF5" s="390"/>
      <c r="MMG5" s="390"/>
      <c r="MMH5" s="390"/>
      <c r="MMI5" s="390"/>
      <c r="MMJ5" s="390"/>
      <c r="MMK5" s="390"/>
      <c r="MML5" s="390"/>
      <c r="MMM5" s="390"/>
      <c r="MMN5" s="390"/>
      <c r="MMO5" s="390"/>
      <c r="MMP5" s="390"/>
      <c r="MMQ5" s="390"/>
      <c r="MMR5" s="390"/>
      <c r="MMS5" s="390"/>
      <c r="MMT5" s="390"/>
      <c r="MMU5" s="390"/>
      <c r="MMV5" s="390"/>
      <c r="MMW5" s="390"/>
      <c r="MMX5" s="390"/>
      <c r="MMY5" s="390"/>
      <c r="MMZ5" s="390"/>
      <c r="MNA5" s="390"/>
      <c r="MNB5" s="390"/>
      <c r="MNC5" s="390"/>
      <c r="MND5" s="390"/>
      <c r="MNE5" s="390"/>
      <c r="MNF5" s="390"/>
      <c r="MNG5" s="390"/>
      <c r="MNH5" s="390"/>
      <c r="MNI5" s="390"/>
      <c r="MNJ5" s="390"/>
      <c r="MNK5" s="390"/>
      <c r="MNL5" s="390"/>
      <c r="MNM5" s="390"/>
      <c r="MNN5" s="390"/>
      <c r="MNO5" s="390"/>
      <c r="MNP5" s="390"/>
      <c r="MNQ5" s="390"/>
      <c r="MNR5" s="390"/>
      <c r="MNS5" s="390"/>
      <c r="MNT5" s="390"/>
      <c r="MNU5" s="390"/>
      <c r="MNV5" s="390"/>
      <c r="MNW5" s="390"/>
      <c r="MNX5" s="390"/>
      <c r="MNY5" s="390"/>
      <c r="MNZ5" s="390"/>
      <c r="MOA5" s="390"/>
      <c r="MOB5" s="390"/>
      <c r="MOC5" s="390"/>
      <c r="MOD5" s="390"/>
      <c r="MOE5" s="390"/>
      <c r="MOF5" s="390"/>
      <c r="MOG5" s="390"/>
      <c r="MOH5" s="390"/>
      <c r="MOI5" s="390"/>
      <c r="MOJ5" s="390"/>
      <c r="MOK5" s="390"/>
      <c r="MOL5" s="390"/>
      <c r="MOM5" s="390"/>
      <c r="MON5" s="390"/>
      <c r="MOO5" s="390"/>
      <c r="MOP5" s="390"/>
      <c r="MOQ5" s="390"/>
      <c r="MOR5" s="390"/>
      <c r="MOS5" s="390"/>
      <c r="MOT5" s="390"/>
      <c r="MOU5" s="390"/>
      <c r="MOV5" s="390"/>
      <c r="MOW5" s="390"/>
      <c r="MOX5" s="390"/>
      <c r="MOY5" s="390"/>
      <c r="MOZ5" s="390"/>
      <c r="MPA5" s="390"/>
      <c r="MPB5" s="390"/>
      <c r="MPC5" s="390"/>
      <c r="MPD5" s="390"/>
      <c r="MPE5" s="390"/>
      <c r="MPF5" s="390"/>
      <c r="MPG5" s="390"/>
      <c r="MPH5" s="390"/>
      <c r="MPI5" s="390"/>
      <c r="MPJ5" s="390"/>
      <c r="MPK5" s="390"/>
      <c r="MPL5" s="390"/>
      <c r="MPM5" s="390"/>
      <c r="MPN5" s="390"/>
      <c r="MPO5" s="390"/>
      <c r="MPP5" s="390"/>
      <c r="MPQ5" s="390"/>
      <c r="MPR5" s="390"/>
      <c r="MPS5" s="390"/>
      <c r="MPT5" s="390"/>
      <c r="MPU5" s="390"/>
      <c r="MPV5" s="390"/>
      <c r="MPW5" s="390"/>
      <c r="MPX5" s="390"/>
      <c r="MPY5" s="390"/>
      <c r="MPZ5" s="390"/>
      <c r="MQA5" s="390"/>
      <c r="MQB5" s="390"/>
      <c r="MQC5" s="390"/>
      <c r="MQD5" s="390"/>
      <c r="MQE5" s="390"/>
      <c r="MQF5" s="390"/>
      <c r="MQG5" s="390"/>
      <c r="MQH5" s="390"/>
      <c r="MQI5" s="390"/>
      <c r="MQJ5" s="390"/>
      <c r="MQK5" s="390"/>
      <c r="MQL5" s="390"/>
      <c r="MQM5" s="390"/>
      <c r="MQN5" s="390"/>
      <c r="MQO5" s="390"/>
      <c r="MQP5" s="390"/>
      <c r="MQQ5" s="390"/>
      <c r="MQR5" s="390"/>
      <c r="MQS5" s="390"/>
      <c r="MQT5" s="390"/>
      <c r="MQU5" s="390"/>
      <c r="MQV5" s="390"/>
      <c r="MQW5" s="390"/>
      <c r="MQX5" s="390"/>
      <c r="MQY5" s="390"/>
      <c r="MQZ5" s="390"/>
      <c r="MRA5" s="390"/>
      <c r="MRB5" s="390"/>
      <c r="MRC5" s="390"/>
      <c r="MRD5" s="390"/>
      <c r="MRE5" s="390"/>
      <c r="MRF5" s="390"/>
      <c r="MRG5" s="390"/>
      <c r="MRH5" s="390"/>
      <c r="MRI5" s="390"/>
      <c r="MRJ5" s="390"/>
      <c r="MRK5" s="390"/>
      <c r="MRL5" s="390"/>
      <c r="MRM5" s="390"/>
      <c r="MRN5" s="390"/>
      <c r="MRO5" s="390"/>
      <c r="MRP5" s="390"/>
      <c r="MRQ5" s="390"/>
      <c r="MRR5" s="390"/>
      <c r="MRS5" s="390"/>
      <c r="MRT5" s="390"/>
      <c r="MRU5" s="390"/>
      <c r="MRV5" s="390"/>
      <c r="MRW5" s="390"/>
      <c r="MRX5" s="390"/>
      <c r="MRY5" s="390"/>
      <c r="MRZ5" s="390"/>
      <c r="MSA5" s="390"/>
      <c r="MSB5" s="390"/>
      <c r="MSC5" s="390"/>
      <c r="MSD5" s="390"/>
      <c r="MSE5" s="390"/>
      <c r="MSF5" s="390"/>
      <c r="MSG5" s="390"/>
      <c r="MSH5" s="390"/>
      <c r="MSI5" s="390"/>
      <c r="MSJ5" s="390"/>
      <c r="MSK5" s="390"/>
      <c r="MSL5" s="390"/>
      <c r="MSM5" s="390"/>
      <c r="MSN5" s="390"/>
      <c r="MSO5" s="390"/>
      <c r="MSP5" s="390"/>
      <c r="MSQ5" s="390"/>
      <c r="MSR5" s="390"/>
      <c r="MSS5" s="390"/>
      <c r="MST5" s="390"/>
      <c r="MSU5" s="390"/>
      <c r="MSV5" s="390"/>
      <c r="MSW5" s="390"/>
      <c r="MSX5" s="390"/>
      <c r="MSY5" s="390"/>
      <c r="MSZ5" s="390"/>
      <c r="MTA5" s="390"/>
      <c r="MTB5" s="390"/>
      <c r="MTC5" s="390"/>
      <c r="MTD5" s="390"/>
      <c r="MTE5" s="390"/>
      <c r="MTF5" s="390"/>
      <c r="MTG5" s="390"/>
      <c r="MTH5" s="390"/>
      <c r="MTI5" s="390"/>
      <c r="MTJ5" s="390"/>
      <c r="MTK5" s="390"/>
      <c r="MTL5" s="390"/>
      <c r="MTM5" s="390"/>
      <c r="MTN5" s="390"/>
      <c r="MTO5" s="390"/>
      <c r="MTP5" s="390"/>
      <c r="MTQ5" s="390"/>
      <c r="MTR5" s="390"/>
      <c r="MTS5" s="390"/>
      <c r="MTT5" s="390"/>
      <c r="MTU5" s="390"/>
      <c r="MTV5" s="390"/>
      <c r="MTW5" s="390"/>
      <c r="MTX5" s="390"/>
      <c r="MTY5" s="390"/>
      <c r="MTZ5" s="390"/>
      <c r="MUA5" s="390"/>
      <c r="MUB5" s="390"/>
      <c r="MUC5" s="390"/>
      <c r="MUD5" s="390"/>
      <c r="MUE5" s="390"/>
      <c r="MUF5" s="390"/>
      <c r="MUG5" s="390"/>
      <c r="MUH5" s="390"/>
      <c r="MUI5" s="390"/>
      <c r="MUJ5" s="390"/>
      <c r="MUK5" s="390"/>
      <c r="MUL5" s="390"/>
      <c r="MUM5" s="390"/>
      <c r="MUN5" s="390"/>
      <c r="MUO5" s="390"/>
      <c r="MUP5" s="390"/>
      <c r="MUQ5" s="390"/>
      <c r="MUR5" s="390"/>
      <c r="MUS5" s="390"/>
      <c r="MUT5" s="390"/>
      <c r="MUU5" s="390"/>
      <c r="MUV5" s="390"/>
      <c r="MUW5" s="390"/>
      <c r="MUX5" s="390"/>
      <c r="MUY5" s="390"/>
      <c r="MUZ5" s="390"/>
      <c r="MVA5" s="390"/>
      <c r="MVB5" s="390"/>
      <c r="MVC5" s="390"/>
      <c r="MVD5" s="390"/>
      <c r="MVE5" s="390"/>
      <c r="MVF5" s="390"/>
      <c r="MVG5" s="390"/>
      <c r="MVH5" s="390"/>
      <c r="MVI5" s="390"/>
      <c r="MVJ5" s="390"/>
      <c r="MVK5" s="390"/>
      <c r="MVL5" s="390"/>
      <c r="MVM5" s="390"/>
      <c r="MVN5" s="390"/>
      <c r="MVO5" s="390"/>
      <c r="MVP5" s="390"/>
      <c r="MVQ5" s="390"/>
      <c r="MVR5" s="390"/>
      <c r="MVS5" s="390"/>
      <c r="MVT5" s="390"/>
      <c r="MVU5" s="390"/>
      <c r="MVV5" s="390"/>
      <c r="MVW5" s="390"/>
      <c r="MVX5" s="390"/>
      <c r="MVY5" s="390"/>
      <c r="MVZ5" s="390"/>
      <c r="MWA5" s="390"/>
      <c r="MWB5" s="390"/>
      <c r="MWC5" s="390"/>
      <c r="MWD5" s="390"/>
      <c r="MWE5" s="390"/>
      <c r="MWF5" s="390"/>
      <c r="MWG5" s="390"/>
      <c r="MWH5" s="390"/>
      <c r="MWI5" s="390"/>
      <c r="MWJ5" s="390"/>
      <c r="MWK5" s="390"/>
      <c r="MWL5" s="390"/>
      <c r="MWM5" s="390"/>
      <c r="MWN5" s="390"/>
      <c r="MWO5" s="390"/>
      <c r="MWP5" s="390"/>
      <c r="MWQ5" s="390"/>
      <c r="MWR5" s="390"/>
      <c r="MWS5" s="390"/>
      <c r="MWT5" s="390"/>
      <c r="MWU5" s="390"/>
      <c r="MWV5" s="390"/>
      <c r="MWW5" s="390"/>
      <c r="MWX5" s="390"/>
      <c r="MWY5" s="390"/>
      <c r="MWZ5" s="390"/>
      <c r="MXA5" s="390"/>
      <c r="MXB5" s="390"/>
      <c r="MXC5" s="390"/>
      <c r="MXD5" s="390"/>
      <c r="MXE5" s="390"/>
      <c r="MXF5" s="390"/>
      <c r="MXG5" s="390"/>
      <c r="MXH5" s="390"/>
      <c r="MXI5" s="390"/>
      <c r="MXJ5" s="390"/>
      <c r="MXK5" s="390"/>
      <c r="MXL5" s="390"/>
      <c r="MXM5" s="390"/>
      <c r="MXN5" s="390"/>
      <c r="MXO5" s="390"/>
      <c r="MXP5" s="390"/>
      <c r="MXQ5" s="390"/>
      <c r="MXR5" s="390"/>
      <c r="MXS5" s="390"/>
      <c r="MXT5" s="390"/>
      <c r="MXU5" s="390"/>
      <c r="MXV5" s="390"/>
      <c r="MXW5" s="390"/>
      <c r="MXX5" s="390"/>
      <c r="MXY5" s="390"/>
      <c r="MXZ5" s="390"/>
      <c r="MYA5" s="390"/>
      <c r="MYB5" s="390"/>
      <c r="MYC5" s="390"/>
      <c r="MYD5" s="390"/>
      <c r="MYE5" s="390"/>
      <c r="MYF5" s="390"/>
      <c r="MYG5" s="390"/>
      <c r="MYH5" s="390"/>
      <c r="MYI5" s="390"/>
      <c r="MYJ5" s="390"/>
      <c r="MYK5" s="390"/>
      <c r="MYL5" s="390"/>
      <c r="MYM5" s="390"/>
      <c r="MYN5" s="390"/>
      <c r="MYO5" s="390"/>
      <c r="MYP5" s="390"/>
      <c r="MYQ5" s="390"/>
      <c r="MYR5" s="390"/>
      <c r="MYS5" s="390"/>
      <c r="MYT5" s="390"/>
      <c r="MYU5" s="390"/>
      <c r="MYV5" s="390"/>
      <c r="MYW5" s="390"/>
      <c r="MYX5" s="390"/>
      <c r="MYY5" s="390"/>
      <c r="MYZ5" s="390"/>
      <c r="MZA5" s="390"/>
      <c r="MZB5" s="390"/>
      <c r="MZC5" s="390"/>
      <c r="MZD5" s="390"/>
      <c r="MZE5" s="390"/>
      <c r="MZF5" s="390"/>
      <c r="MZG5" s="390"/>
      <c r="MZH5" s="390"/>
      <c r="MZI5" s="390"/>
      <c r="MZJ5" s="390"/>
      <c r="MZK5" s="390"/>
      <c r="MZL5" s="390"/>
      <c r="MZM5" s="390"/>
      <c r="MZN5" s="390"/>
      <c r="MZO5" s="390"/>
      <c r="MZP5" s="390"/>
      <c r="MZQ5" s="390"/>
      <c r="MZR5" s="390"/>
      <c r="MZS5" s="390"/>
      <c r="MZT5" s="390"/>
      <c r="MZU5" s="390"/>
      <c r="MZV5" s="390"/>
      <c r="MZW5" s="390"/>
      <c r="MZX5" s="390"/>
      <c r="MZY5" s="390"/>
      <c r="MZZ5" s="390"/>
      <c r="NAA5" s="390"/>
      <c r="NAB5" s="390"/>
      <c r="NAC5" s="390"/>
      <c r="NAD5" s="390"/>
      <c r="NAE5" s="390"/>
      <c r="NAF5" s="390"/>
      <c r="NAG5" s="390"/>
      <c r="NAH5" s="390"/>
      <c r="NAI5" s="390"/>
      <c r="NAJ5" s="390"/>
      <c r="NAK5" s="390"/>
      <c r="NAL5" s="390"/>
      <c r="NAM5" s="390"/>
      <c r="NAN5" s="390"/>
      <c r="NAO5" s="390"/>
      <c r="NAP5" s="390"/>
      <c r="NAQ5" s="390"/>
      <c r="NAR5" s="390"/>
      <c r="NAS5" s="390"/>
      <c r="NAT5" s="390"/>
      <c r="NAU5" s="390"/>
      <c r="NAV5" s="390"/>
      <c r="NAW5" s="390"/>
      <c r="NAX5" s="390"/>
      <c r="NAY5" s="390"/>
      <c r="NAZ5" s="390"/>
      <c r="NBA5" s="390"/>
      <c r="NBB5" s="390"/>
      <c r="NBC5" s="390"/>
      <c r="NBD5" s="390"/>
      <c r="NBE5" s="390"/>
      <c r="NBF5" s="390"/>
      <c r="NBG5" s="390"/>
      <c r="NBH5" s="390"/>
      <c r="NBI5" s="390"/>
      <c r="NBJ5" s="390"/>
      <c r="NBK5" s="390"/>
      <c r="NBL5" s="390"/>
      <c r="NBM5" s="390"/>
      <c r="NBN5" s="390"/>
      <c r="NBO5" s="390"/>
      <c r="NBP5" s="390"/>
      <c r="NBQ5" s="390"/>
      <c r="NBR5" s="390"/>
      <c r="NBS5" s="390"/>
      <c r="NBT5" s="390"/>
      <c r="NBU5" s="390"/>
      <c r="NBV5" s="390"/>
      <c r="NBW5" s="390"/>
      <c r="NBX5" s="390"/>
      <c r="NBY5" s="390"/>
      <c r="NBZ5" s="390"/>
      <c r="NCA5" s="390"/>
      <c r="NCB5" s="390"/>
      <c r="NCC5" s="390"/>
      <c r="NCD5" s="390"/>
      <c r="NCE5" s="390"/>
      <c r="NCF5" s="390"/>
      <c r="NCG5" s="390"/>
      <c r="NCH5" s="390"/>
      <c r="NCI5" s="390"/>
      <c r="NCJ5" s="390"/>
      <c r="NCK5" s="390"/>
      <c r="NCL5" s="390"/>
      <c r="NCM5" s="390"/>
      <c r="NCN5" s="390"/>
      <c r="NCO5" s="390"/>
      <c r="NCP5" s="390"/>
      <c r="NCQ5" s="390"/>
      <c r="NCR5" s="390"/>
      <c r="NCS5" s="390"/>
      <c r="NCT5" s="390"/>
      <c r="NCU5" s="390"/>
      <c r="NCV5" s="390"/>
      <c r="NCW5" s="390"/>
      <c r="NCX5" s="390"/>
      <c r="NCY5" s="390"/>
      <c r="NCZ5" s="390"/>
      <c r="NDA5" s="390"/>
      <c r="NDB5" s="390"/>
      <c r="NDC5" s="390"/>
      <c r="NDD5" s="390"/>
      <c r="NDE5" s="390"/>
      <c r="NDF5" s="390"/>
      <c r="NDG5" s="390"/>
      <c r="NDH5" s="390"/>
      <c r="NDI5" s="390"/>
      <c r="NDJ5" s="390"/>
      <c r="NDK5" s="390"/>
      <c r="NDL5" s="390"/>
      <c r="NDM5" s="390"/>
      <c r="NDN5" s="390"/>
      <c r="NDO5" s="390"/>
      <c r="NDP5" s="390"/>
      <c r="NDQ5" s="390"/>
      <c r="NDR5" s="390"/>
      <c r="NDS5" s="390"/>
      <c r="NDT5" s="390"/>
      <c r="NDU5" s="390"/>
      <c r="NDV5" s="390"/>
      <c r="NDW5" s="390"/>
      <c r="NDX5" s="390"/>
      <c r="NDY5" s="390"/>
      <c r="NDZ5" s="390"/>
      <c r="NEA5" s="390"/>
      <c r="NEB5" s="390"/>
      <c r="NEC5" s="390"/>
      <c r="NED5" s="390"/>
      <c r="NEE5" s="390"/>
      <c r="NEF5" s="390"/>
      <c r="NEG5" s="390"/>
      <c r="NEH5" s="390"/>
      <c r="NEI5" s="390"/>
      <c r="NEJ5" s="390"/>
      <c r="NEK5" s="390"/>
      <c r="NEL5" s="390"/>
      <c r="NEM5" s="390"/>
      <c r="NEN5" s="390"/>
      <c r="NEO5" s="390"/>
      <c r="NEP5" s="390"/>
      <c r="NEQ5" s="390"/>
      <c r="NER5" s="390"/>
      <c r="NES5" s="390"/>
      <c r="NET5" s="390"/>
      <c r="NEU5" s="390"/>
      <c r="NEV5" s="390"/>
      <c r="NEW5" s="390"/>
      <c r="NEX5" s="390"/>
      <c r="NEY5" s="390"/>
      <c r="NEZ5" s="390"/>
      <c r="NFA5" s="390"/>
      <c r="NFB5" s="390"/>
      <c r="NFC5" s="390"/>
      <c r="NFD5" s="390"/>
      <c r="NFE5" s="390"/>
      <c r="NFF5" s="390"/>
      <c r="NFG5" s="390"/>
      <c r="NFH5" s="390"/>
      <c r="NFI5" s="390"/>
      <c r="NFJ5" s="390"/>
      <c r="NFK5" s="390"/>
      <c r="NFL5" s="390"/>
      <c r="NFM5" s="390"/>
      <c r="NFN5" s="390"/>
      <c r="NFO5" s="390"/>
      <c r="NFP5" s="390"/>
      <c r="NFQ5" s="390"/>
      <c r="NFR5" s="390"/>
      <c r="NFS5" s="390"/>
      <c r="NFT5" s="390"/>
      <c r="NFU5" s="390"/>
      <c r="NFV5" s="390"/>
      <c r="NFW5" s="390"/>
      <c r="NFX5" s="390"/>
      <c r="NFY5" s="390"/>
      <c r="NFZ5" s="390"/>
      <c r="NGA5" s="390"/>
      <c r="NGB5" s="390"/>
      <c r="NGC5" s="390"/>
      <c r="NGD5" s="390"/>
      <c r="NGE5" s="390"/>
      <c r="NGF5" s="390"/>
      <c r="NGG5" s="390"/>
      <c r="NGH5" s="390"/>
      <c r="NGI5" s="390"/>
      <c r="NGJ5" s="390"/>
      <c r="NGK5" s="390"/>
      <c r="NGL5" s="390"/>
      <c r="NGM5" s="390"/>
      <c r="NGN5" s="390"/>
      <c r="NGO5" s="390"/>
      <c r="NGP5" s="390"/>
      <c r="NGQ5" s="390"/>
      <c r="NGR5" s="390"/>
      <c r="NGS5" s="390"/>
      <c r="NGT5" s="390"/>
      <c r="NGU5" s="390"/>
      <c r="NGV5" s="390"/>
      <c r="NGW5" s="390"/>
      <c r="NGX5" s="390"/>
      <c r="NGY5" s="390"/>
      <c r="NGZ5" s="390"/>
      <c r="NHA5" s="390"/>
      <c r="NHB5" s="390"/>
      <c r="NHC5" s="390"/>
      <c r="NHD5" s="390"/>
      <c r="NHE5" s="390"/>
      <c r="NHF5" s="390"/>
      <c r="NHG5" s="390"/>
      <c r="NHH5" s="390"/>
      <c r="NHI5" s="390"/>
      <c r="NHJ5" s="390"/>
      <c r="NHK5" s="390"/>
      <c r="NHL5" s="390"/>
      <c r="NHM5" s="390"/>
      <c r="NHN5" s="390"/>
      <c r="NHO5" s="390"/>
      <c r="NHP5" s="390"/>
      <c r="NHQ5" s="390"/>
      <c r="NHR5" s="390"/>
      <c r="NHS5" s="390"/>
      <c r="NHT5" s="390"/>
      <c r="NHU5" s="390"/>
      <c r="NHV5" s="390"/>
      <c r="NHW5" s="390"/>
      <c r="NHX5" s="390"/>
      <c r="NHY5" s="390"/>
      <c r="NHZ5" s="390"/>
      <c r="NIA5" s="390"/>
      <c r="NIB5" s="390"/>
      <c r="NIC5" s="390"/>
      <c r="NID5" s="390"/>
      <c r="NIE5" s="390"/>
      <c r="NIF5" s="390"/>
      <c r="NIG5" s="390"/>
      <c r="NIH5" s="390"/>
      <c r="NII5" s="390"/>
      <c r="NIJ5" s="390"/>
      <c r="NIK5" s="390"/>
      <c r="NIL5" s="390"/>
      <c r="NIM5" s="390"/>
      <c r="NIN5" s="390"/>
      <c r="NIO5" s="390"/>
      <c r="NIP5" s="390"/>
      <c r="NIQ5" s="390"/>
      <c r="NIR5" s="390"/>
      <c r="NIS5" s="390"/>
      <c r="NIT5" s="390"/>
      <c r="NIU5" s="390"/>
      <c r="NIV5" s="390"/>
      <c r="NIW5" s="390"/>
      <c r="NIX5" s="390"/>
      <c r="NIY5" s="390"/>
      <c r="NIZ5" s="390"/>
      <c r="NJA5" s="390"/>
      <c r="NJB5" s="390"/>
      <c r="NJC5" s="390"/>
      <c r="NJD5" s="390"/>
      <c r="NJE5" s="390"/>
      <c r="NJF5" s="390"/>
      <c r="NJG5" s="390"/>
      <c r="NJH5" s="390"/>
      <c r="NJI5" s="390"/>
      <c r="NJJ5" s="390"/>
      <c r="NJK5" s="390"/>
      <c r="NJL5" s="390"/>
      <c r="NJM5" s="390"/>
      <c r="NJN5" s="390"/>
      <c r="NJO5" s="390"/>
      <c r="NJP5" s="390"/>
      <c r="NJQ5" s="390"/>
      <c r="NJR5" s="390"/>
      <c r="NJS5" s="390"/>
      <c r="NJT5" s="390"/>
      <c r="NJU5" s="390"/>
      <c r="NJV5" s="390"/>
      <c r="NJW5" s="390"/>
      <c r="NJX5" s="390"/>
      <c r="NJY5" s="390"/>
      <c r="NJZ5" s="390"/>
      <c r="NKA5" s="390"/>
      <c r="NKB5" s="390"/>
      <c r="NKC5" s="390"/>
      <c r="NKD5" s="390"/>
      <c r="NKE5" s="390"/>
      <c r="NKF5" s="390"/>
      <c r="NKG5" s="390"/>
      <c r="NKH5" s="390"/>
      <c r="NKI5" s="390"/>
      <c r="NKJ5" s="390"/>
      <c r="NKK5" s="390"/>
      <c r="NKL5" s="390"/>
      <c r="NKM5" s="390"/>
      <c r="NKN5" s="390"/>
      <c r="NKO5" s="390"/>
      <c r="NKP5" s="390"/>
      <c r="NKQ5" s="390"/>
      <c r="NKR5" s="390"/>
      <c r="NKS5" s="390"/>
      <c r="NKT5" s="390"/>
      <c r="NKU5" s="390"/>
      <c r="NKV5" s="390"/>
      <c r="NKW5" s="390"/>
      <c r="NKX5" s="390"/>
      <c r="NKY5" s="390"/>
      <c r="NKZ5" s="390"/>
      <c r="NLA5" s="390"/>
      <c r="NLB5" s="390"/>
      <c r="NLC5" s="390"/>
      <c r="NLD5" s="390"/>
      <c r="NLE5" s="390"/>
      <c r="NLF5" s="390"/>
      <c r="NLG5" s="390"/>
      <c r="NLH5" s="390"/>
      <c r="NLI5" s="390"/>
      <c r="NLJ5" s="390"/>
      <c r="NLK5" s="390"/>
      <c r="NLL5" s="390"/>
      <c r="NLM5" s="390"/>
      <c r="NLN5" s="390"/>
      <c r="NLO5" s="390"/>
      <c r="NLP5" s="390"/>
      <c r="NLQ5" s="390"/>
      <c r="NLR5" s="390"/>
      <c r="NLS5" s="390"/>
      <c r="NLT5" s="390"/>
      <c r="NLU5" s="390"/>
      <c r="NLV5" s="390"/>
      <c r="NLW5" s="390"/>
      <c r="NLX5" s="390"/>
      <c r="NLY5" s="390"/>
      <c r="NLZ5" s="390"/>
      <c r="NMA5" s="390"/>
      <c r="NMB5" s="390"/>
      <c r="NMC5" s="390"/>
      <c r="NMD5" s="390"/>
      <c r="NME5" s="390"/>
      <c r="NMF5" s="390"/>
      <c r="NMG5" s="390"/>
      <c r="NMH5" s="390"/>
      <c r="NMI5" s="390"/>
      <c r="NMJ5" s="390"/>
      <c r="NMK5" s="390"/>
      <c r="NML5" s="390"/>
      <c r="NMM5" s="390"/>
      <c r="NMN5" s="390"/>
      <c r="NMO5" s="390"/>
      <c r="NMP5" s="390"/>
      <c r="NMQ5" s="390"/>
      <c r="NMR5" s="390"/>
      <c r="NMS5" s="390"/>
      <c r="NMT5" s="390"/>
      <c r="NMU5" s="390"/>
      <c r="NMV5" s="390"/>
      <c r="NMW5" s="390"/>
      <c r="NMX5" s="390"/>
      <c r="NMY5" s="390"/>
      <c r="NMZ5" s="390"/>
      <c r="NNA5" s="390"/>
      <c r="NNB5" s="390"/>
      <c r="NNC5" s="390"/>
      <c r="NND5" s="390"/>
      <c r="NNE5" s="390"/>
      <c r="NNF5" s="390"/>
      <c r="NNG5" s="390"/>
      <c r="NNH5" s="390"/>
      <c r="NNI5" s="390"/>
      <c r="NNJ5" s="390"/>
      <c r="NNK5" s="390"/>
      <c r="NNL5" s="390"/>
      <c r="NNM5" s="390"/>
      <c r="NNN5" s="390"/>
      <c r="NNO5" s="390"/>
      <c r="NNP5" s="390"/>
      <c r="NNQ5" s="390"/>
      <c r="NNR5" s="390"/>
      <c r="NNS5" s="390"/>
      <c r="NNT5" s="390"/>
      <c r="NNU5" s="390"/>
      <c r="NNV5" s="390"/>
      <c r="NNW5" s="390"/>
      <c r="NNX5" s="390"/>
      <c r="NNY5" s="390"/>
      <c r="NNZ5" s="390"/>
      <c r="NOA5" s="390"/>
      <c r="NOB5" s="390"/>
      <c r="NOC5" s="390"/>
      <c r="NOD5" s="390"/>
      <c r="NOE5" s="390"/>
      <c r="NOF5" s="390"/>
      <c r="NOG5" s="390"/>
      <c r="NOH5" s="390"/>
      <c r="NOI5" s="390"/>
      <c r="NOJ5" s="390"/>
      <c r="NOK5" s="390"/>
      <c r="NOL5" s="390"/>
      <c r="NOM5" s="390"/>
      <c r="NON5" s="390"/>
      <c r="NOO5" s="390"/>
      <c r="NOP5" s="390"/>
      <c r="NOQ5" s="390"/>
      <c r="NOR5" s="390"/>
      <c r="NOS5" s="390"/>
      <c r="NOT5" s="390"/>
      <c r="NOU5" s="390"/>
      <c r="NOV5" s="390"/>
      <c r="NOW5" s="390"/>
      <c r="NOX5" s="390"/>
      <c r="NOY5" s="390"/>
      <c r="NOZ5" s="390"/>
      <c r="NPA5" s="390"/>
      <c r="NPB5" s="390"/>
      <c r="NPC5" s="390"/>
      <c r="NPD5" s="390"/>
      <c r="NPE5" s="390"/>
      <c r="NPF5" s="390"/>
      <c r="NPG5" s="390"/>
      <c r="NPH5" s="390"/>
      <c r="NPI5" s="390"/>
      <c r="NPJ5" s="390"/>
      <c r="NPK5" s="390"/>
      <c r="NPL5" s="390"/>
      <c r="NPM5" s="390"/>
      <c r="NPN5" s="390"/>
      <c r="NPO5" s="390"/>
      <c r="NPP5" s="390"/>
      <c r="NPQ5" s="390"/>
      <c r="NPR5" s="390"/>
      <c r="NPS5" s="390"/>
      <c r="NPT5" s="390"/>
      <c r="NPU5" s="390"/>
      <c r="NPV5" s="390"/>
      <c r="NPW5" s="390"/>
      <c r="NPX5" s="390"/>
      <c r="NPY5" s="390"/>
      <c r="NPZ5" s="390"/>
      <c r="NQA5" s="390"/>
      <c r="NQB5" s="390"/>
      <c r="NQC5" s="390"/>
      <c r="NQD5" s="390"/>
      <c r="NQE5" s="390"/>
      <c r="NQF5" s="390"/>
      <c r="NQG5" s="390"/>
      <c r="NQH5" s="390"/>
      <c r="NQI5" s="390"/>
      <c r="NQJ5" s="390"/>
      <c r="NQK5" s="390"/>
      <c r="NQL5" s="390"/>
      <c r="NQM5" s="390"/>
      <c r="NQN5" s="390"/>
      <c r="NQO5" s="390"/>
      <c r="NQP5" s="390"/>
      <c r="NQQ5" s="390"/>
      <c r="NQR5" s="390"/>
      <c r="NQS5" s="390"/>
      <c r="NQT5" s="390"/>
      <c r="NQU5" s="390"/>
      <c r="NQV5" s="390"/>
      <c r="NQW5" s="390"/>
      <c r="NQX5" s="390"/>
      <c r="NQY5" s="390"/>
      <c r="NQZ5" s="390"/>
      <c r="NRA5" s="390"/>
      <c r="NRB5" s="390"/>
      <c r="NRC5" s="390"/>
      <c r="NRD5" s="390"/>
      <c r="NRE5" s="390"/>
      <c r="NRF5" s="390"/>
      <c r="NRG5" s="390"/>
      <c r="NRH5" s="390"/>
      <c r="NRI5" s="390"/>
      <c r="NRJ5" s="390"/>
      <c r="NRK5" s="390"/>
      <c r="NRL5" s="390"/>
      <c r="NRM5" s="390"/>
      <c r="NRN5" s="390"/>
      <c r="NRO5" s="390"/>
      <c r="NRP5" s="390"/>
      <c r="NRQ5" s="390"/>
      <c r="NRR5" s="390"/>
      <c r="NRS5" s="390"/>
      <c r="NRT5" s="390"/>
      <c r="NRU5" s="390"/>
      <c r="NRV5" s="390"/>
      <c r="NRW5" s="390"/>
      <c r="NRX5" s="390"/>
      <c r="NRY5" s="390"/>
      <c r="NRZ5" s="390"/>
      <c r="NSA5" s="390"/>
      <c r="NSB5" s="390"/>
      <c r="NSC5" s="390"/>
      <c r="NSD5" s="390"/>
      <c r="NSE5" s="390"/>
      <c r="NSF5" s="390"/>
      <c r="NSG5" s="390"/>
      <c r="NSH5" s="390"/>
      <c r="NSI5" s="390"/>
      <c r="NSJ5" s="390"/>
      <c r="NSK5" s="390"/>
      <c r="NSL5" s="390"/>
      <c r="NSM5" s="390"/>
      <c r="NSN5" s="390"/>
      <c r="NSO5" s="390"/>
      <c r="NSP5" s="390"/>
      <c r="NSQ5" s="390"/>
      <c r="NSR5" s="390"/>
      <c r="NSS5" s="390"/>
      <c r="NST5" s="390"/>
      <c r="NSU5" s="390"/>
      <c r="NSV5" s="390"/>
      <c r="NSW5" s="390"/>
      <c r="NSX5" s="390"/>
      <c r="NSY5" s="390"/>
      <c r="NSZ5" s="390"/>
      <c r="NTA5" s="390"/>
      <c r="NTB5" s="390"/>
      <c r="NTC5" s="390"/>
      <c r="NTD5" s="390"/>
      <c r="NTE5" s="390"/>
      <c r="NTF5" s="390"/>
      <c r="NTG5" s="390"/>
      <c r="NTH5" s="390"/>
      <c r="NTI5" s="390"/>
      <c r="NTJ5" s="390"/>
      <c r="NTK5" s="390"/>
      <c r="NTL5" s="390"/>
      <c r="NTM5" s="390"/>
      <c r="NTN5" s="390"/>
      <c r="NTO5" s="390"/>
      <c r="NTP5" s="390"/>
      <c r="NTQ5" s="390"/>
      <c r="NTR5" s="390"/>
      <c r="NTS5" s="390"/>
      <c r="NTT5" s="390"/>
      <c r="NTU5" s="390"/>
      <c r="NTV5" s="390"/>
      <c r="NTW5" s="390"/>
      <c r="NTX5" s="390"/>
      <c r="NTY5" s="390"/>
      <c r="NTZ5" s="390"/>
      <c r="NUA5" s="390"/>
      <c r="NUB5" s="390"/>
      <c r="NUC5" s="390"/>
      <c r="NUD5" s="390"/>
      <c r="NUE5" s="390"/>
      <c r="NUF5" s="390"/>
      <c r="NUG5" s="390"/>
      <c r="NUH5" s="390"/>
      <c r="NUI5" s="390"/>
      <c r="NUJ5" s="390"/>
      <c r="NUK5" s="390"/>
      <c r="NUL5" s="390"/>
      <c r="NUM5" s="390"/>
      <c r="NUN5" s="390"/>
      <c r="NUO5" s="390"/>
      <c r="NUP5" s="390"/>
      <c r="NUQ5" s="390"/>
      <c r="NUR5" s="390"/>
      <c r="NUS5" s="390"/>
      <c r="NUT5" s="390"/>
      <c r="NUU5" s="390"/>
      <c r="NUV5" s="390"/>
      <c r="NUW5" s="390"/>
      <c r="NUX5" s="390"/>
      <c r="NUY5" s="390"/>
      <c r="NUZ5" s="390"/>
      <c r="NVA5" s="390"/>
      <c r="NVB5" s="390"/>
      <c r="NVC5" s="390"/>
      <c r="NVD5" s="390"/>
      <c r="NVE5" s="390"/>
      <c r="NVF5" s="390"/>
      <c r="NVG5" s="390"/>
      <c r="NVH5" s="390"/>
      <c r="NVI5" s="390"/>
      <c r="NVJ5" s="390"/>
      <c r="NVK5" s="390"/>
      <c r="NVL5" s="390"/>
      <c r="NVM5" s="390"/>
      <c r="NVN5" s="390"/>
      <c r="NVO5" s="390"/>
      <c r="NVP5" s="390"/>
      <c r="NVQ5" s="390"/>
      <c r="NVR5" s="390"/>
      <c r="NVS5" s="390"/>
      <c r="NVT5" s="390"/>
      <c r="NVU5" s="390"/>
      <c r="NVV5" s="390"/>
      <c r="NVW5" s="390"/>
      <c r="NVX5" s="390"/>
      <c r="NVY5" s="390"/>
      <c r="NVZ5" s="390"/>
      <c r="NWA5" s="390"/>
      <c r="NWB5" s="390"/>
      <c r="NWC5" s="390"/>
      <c r="NWD5" s="390"/>
      <c r="NWE5" s="390"/>
      <c r="NWF5" s="390"/>
      <c r="NWG5" s="390"/>
      <c r="NWH5" s="390"/>
      <c r="NWI5" s="390"/>
      <c r="NWJ5" s="390"/>
      <c r="NWK5" s="390"/>
      <c r="NWL5" s="390"/>
      <c r="NWM5" s="390"/>
      <c r="NWN5" s="390"/>
      <c r="NWO5" s="390"/>
      <c r="NWP5" s="390"/>
      <c r="NWQ5" s="390"/>
      <c r="NWR5" s="390"/>
      <c r="NWS5" s="390"/>
      <c r="NWT5" s="390"/>
      <c r="NWU5" s="390"/>
      <c r="NWV5" s="390"/>
      <c r="NWW5" s="390"/>
      <c r="NWX5" s="390"/>
      <c r="NWY5" s="390"/>
      <c r="NWZ5" s="390"/>
      <c r="NXA5" s="390"/>
      <c r="NXB5" s="390"/>
      <c r="NXC5" s="390"/>
      <c r="NXD5" s="390"/>
      <c r="NXE5" s="390"/>
      <c r="NXF5" s="390"/>
      <c r="NXG5" s="390"/>
      <c r="NXH5" s="390"/>
      <c r="NXI5" s="390"/>
      <c r="NXJ5" s="390"/>
      <c r="NXK5" s="390"/>
      <c r="NXL5" s="390"/>
      <c r="NXM5" s="390"/>
      <c r="NXN5" s="390"/>
      <c r="NXO5" s="390"/>
      <c r="NXP5" s="390"/>
      <c r="NXQ5" s="390"/>
      <c r="NXR5" s="390"/>
      <c r="NXS5" s="390"/>
      <c r="NXT5" s="390"/>
      <c r="NXU5" s="390"/>
      <c r="NXV5" s="390"/>
      <c r="NXW5" s="390"/>
      <c r="NXX5" s="390"/>
      <c r="NXY5" s="390"/>
      <c r="NXZ5" s="390"/>
      <c r="NYA5" s="390"/>
      <c r="NYB5" s="390"/>
      <c r="NYC5" s="390"/>
      <c r="NYD5" s="390"/>
      <c r="NYE5" s="390"/>
      <c r="NYF5" s="390"/>
      <c r="NYG5" s="390"/>
      <c r="NYH5" s="390"/>
      <c r="NYI5" s="390"/>
      <c r="NYJ5" s="390"/>
      <c r="NYK5" s="390"/>
      <c r="NYL5" s="390"/>
      <c r="NYM5" s="390"/>
      <c r="NYN5" s="390"/>
      <c r="NYO5" s="390"/>
      <c r="NYP5" s="390"/>
      <c r="NYQ5" s="390"/>
      <c r="NYR5" s="390"/>
      <c r="NYS5" s="390"/>
      <c r="NYT5" s="390"/>
      <c r="NYU5" s="390"/>
      <c r="NYV5" s="390"/>
      <c r="NYW5" s="390"/>
      <c r="NYX5" s="390"/>
      <c r="NYY5" s="390"/>
      <c r="NYZ5" s="390"/>
      <c r="NZA5" s="390"/>
      <c r="NZB5" s="390"/>
      <c r="NZC5" s="390"/>
      <c r="NZD5" s="390"/>
      <c r="NZE5" s="390"/>
      <c r="NZF5" s="390"/>
      <c r="NZG5" s="390"/>
      <c r="NZH5" s="390"/>
      <c r="NZI5" s="390"/>
      <c r="NZJ5" s="390"/>
      <c r="NZK5" s="390"/>
      <c r="NZL5" s="390"/>
      <c r="NZM5" s="390"/>
      <c r="NZN5" s="390"/>
      <c r="NZO5" s="390"/>
      <c r="NZP5" s="390"/>
      <c r="NZQ5" s="390"/>
      <c r="NZR5" s="390"/>
      <c r="NZS5" s="390"/>
      <c r="NZT5" s="390"/>
      <c r="NZU5" s="390"/>
      <c r="NZV5" s="390"/>
      <c r="NZW5" s="390"/>
      <c r="NZX5" s="390"/>
      <c r="NZY5" s="390"/>
      <c r="NZZ5" s="390"/>
      <c r="OAA5" s="390"/>
      <c r="OAB5" s="390"/>
      <c r="OAC5" s="390"/>
      <c r="OAD5" s="390"/>
      <c r="OAE5" s="390"/>
      <c r="OAF5" s="390"/>
      <c r="OAG5" s="390"/>
      <c r="OAH5" s="390"/>
      <c r="OAI5" s="390"/>
      <c r="OAJ5" s="390"/>
      <c r="OAK5" s="390"/>
      <c r="OAL5" s="390"/>
      <c r="OAM5" s="390"/>
      <c r="OAN5" s="390"/>
      <c r="OAO5" s="390"/>
      <c r="OAP5" s="390"/>
      <c r="OAQ5" s="390"/>
      <c r="OAR5" s="390"/>
      <c r="OAS5" s="390"/>
      <c r="OAT5" s="390"/>
      <c r="OAU5" s="390"/>
      <c r="OAV5" s="390"/>
      <c r="OAW5" s="390"/>
      <c r="OAX5" s="390"/>
      <c r="OAY5" s="390"/>
      <c r="OAZ5" s="390"/>
      <c r="OBA5" s="390"/>
      <c r="OBB5" s="390"/>
      <c r="OBC5" s="390"/>
      <c r="OBD5" s="390"/>
      <c r="OBE5" s="390"/>
      <c r="OBF5" s="390"/>
      <c r="OBG5" s="390"/>
      <c r="OBH5" s="390"/>
      <c r="OBI5" s="390"/>
      <c r="OBJ5" s="390"/>
      <c r="OBK5" s="390"/>
      <c r="OBL5" s="390"/>
      <c r="OBM5" s="390"/>
      <c r="OBN5" s="390"/>
      <c r="OBO5" s="390"/>
      <c r="OBP5" s="390"/>
      <c r="OBQ5" s="390"/>
      <c r="OBR5" s="390"/>
      <c r="OBS5" s="390"/>
      <c r="OBT5" s="390"/>
      <c r="OBU5" s="390"/>
      <c r="OBV5" s="390"/>
      <c r="OBW5" s="390"/>
      <c r="OBX5" s="390"/>
      <c r="OBY5" s="390"/>
      <c r="OBZ5" s="390"/>
      <c r="OCA5" s="390"/>
      <c r="OCB5" s="390"/>
      <c r="OCC5" s="390"/>
      <c r="OCD5" s="390"/>
      <c r="OCE5" s="390"/>
      <c r="OCF5" s="390"/>
      <c r="OCG5" s="390"/>
      <c r="OCH5" s="390"/>
      <c r="OCI5" s="390"/>
      <c r="OCJ5" s="390"/>
      <c r="OCK5" s="390"/>
      <c r="OCL5" s="390"/>
      <c r="OCM5" s="390"/>
      <c r="OCN5" s="390"/>
      <c r="OCO5" s="390"/>
      <c r="OCP5" s="390"/>
      <c r="OCQ5" s="390"/>
      <c r="OCR5" s="390"/>
      <c r="OCS5" s="390"/>
      <c r="OCT5" s="390"/>
      <c r="OCU5" s="390"/>
      <c r="OCV5" s="390"/>
      <c r="OCW5" s="390"/>
      <c r="OCX5" s="390"/>
      <c r="OCY5" s="390"/>
      <c r="OCZ5" s="390"/>
      <c r="ODA5" s="390"/>
      <c r="ODB5" s="390"/>
      <c r="ODC5" s="390"/>
      <c r="ODD5" s="390"/>
      <c r="ODE5" s="390"/>
      <c r="ODF5" s="390"/>
      <c r="ODG5" s="390"/>
      <c r="ODH5" s="390"/>
      <c r="ODI5" s="390"/>
      <c r="ODJ5" s="390"/>
      <c r="ODK5" s="390"/>
      <c r="ODL5" s="390"/>
      <c r="ODM5" s="390"/>
      <c r="ODN5" s="390"/>
      <c r="ODO5" s="390"/>
      <c r="ODP5" s="390"/>
      <c r="ODQ5" s="390"/>
      <c r="ODR5" s="390"/>
      <c r="ODS5" s="390"/>
      <c r="ODT5" s="390"/>
      <c r="ODU5" s="390"/>
      <c r="ODV5" s="390"/>
      <c r="ODW5" s="390"/>
      <c r="ODX5" s="390"/>
      <c r="ODY5" s="390"/>
      <c r="ODZ5" s="390"/>
      <c r="OEA5" s="390"/>
      <c r="OEB5" s="390"/>
      <c r="OEC5" s="390"/>
      <c r="OED5" s="390"/>
      <c r="OEE5" s="390"/>
      <c r="OEF5" s="390"/>
      <c r="OEG5" s="390"/>
      <c r="OEH5" s="390"/>
      <c r="OEI5" s="390"/>
      <c r="OEJ5" s="390"/>
      <c r="OEK5" s="390"/>
      <c r="OEL5" s="390"/>
      <c r="OEM5" s="390"/>
      <c r="OEN5" s="390"/>
      <c r="OEO5" s="390"/>
      <c r="OEP5" s="390"/>
      <c r="OEQ5" s="390"/>
      <c r="OER5" s="390"/>
      <c r="OES5" s="390"/>
      <c r="OET5" s="390"/>
      <c r="OEU5" s="390"/>
      <c r="OEV5" s="390"/>
      <c r="OEW5" s="390"/>
      <c r="OEX5" s="390"/>
      <c r="OEY5" s="390"/>
      <c r="OEZ5" s="390"/>
      <c r="OFA5" s="390"/>
      <c r="OFB5" s="390"/>
      <c r="OFC5" s="390"/>
      <c r="OFD5" s="390"/>
      <c r="OFE5" s="390"/>
      <c r="OFF5" s="390"/>
      <c r="OFG5" s="390"/>
      <c r="OFH5" s="390"/>
      <c r="OFI5" s="390"/>
      <c r="OFJ5" s="390"/>
      <c r="OFK5" s="390"/>
      <c r="OFL5" s="390"/>
      <c r="OFM5" s="390"/>
      <c r="OFN5" s="390"/>
      <c r="OFO5" s="390"/>
      <c r="OFP5" s="390"/>
      <c r="OFQ5" s="390"/>
      <c r="OFR5" s="390"/>
      <c r="OFS5" s="390"/>
      <c r="OFT5" s="390"/>
      <c r="OFU5" s="390"/>
      <c r="OFV5" s="390"/>
      <c r="OFW5" s="390"/>
      <c r="OFX5" s="390"/>
      <c r="OFY5" s="390"/>
      <c r="OFZ5" s="390"/>
      <c r="OGA5" s="390"/>
      <c r="OGB5" s="390"/>
      <c r="OGC5" s="390"/>
      <c r="OGD5" s="390"/>
      <c r="OGE5" s="390"/>
      <c r="OGF5" s="390"/>
      <c r="OGG5" s="390"/>
      <c r="OGH5" s="390"/>
      <c r="OGI5" s="390"/>
      <c r="OGJ5" s="390"/>
      <c r="OGK5" s="390"/>
      <c r="OGL5" s="390"/>
      <c r="OGM5" s="390"/>
      <c r="OGN5" s="390"/>
      <c r="OGO5" s="390"/>
      <c r="OGP5" s="390"/>
      <c r="OGQ5" s="390"/>
      <c r="OGR5" s="390"/>
      <c r="OGS5" s="390"/>
      <c r="OGT5" s="390"/>
      <c r="OGU5" s="390"/>
      <c r="OGV5" s="390"/>
      <c r="OGW5" s="390"/>
      <c r="OGX5" s="390"/>
      <c r="OGY5" s="390"/>
      <c r="OGZ5" s="390"/>
      <c r="OHA5" s="390"/>
      <c r="OHB5" s="390"/>
      <c r="OHC5" s="390"/>
      <c r="OHD5" s="390"/>
      <c r="OHE5" s="390"/>
      <c r="OHF5" s="390"/>
      <c r="OHG5" s="390"/>
      <c r="OHH5" s="390"/>
      <c r="OHI5" s="390"/>
      <c r="OHJ5" s="390"/>
      <c r="OHK5" s="390"/>
      <c r="OHL5" s="390"/>
      <c r="OHM5" s="390"/>
      <c r="OHN5" s="390"/>
      <c r="OHO5" s="390"/>
      <c r="OHP5" s="390"/>
      <c r="OHQ5" s="390"/>
      <c r="OHR5" s="390"/>
      <c r="OHS5" s="390"/>
      <c r="OHT5" s="390"/>
      <c r="OHU5" s="390"/>
      <c r="OHV5" s="390"/>
      <c r="OHW5" s="390"/>
      <c r="OHX5" s="390"/>
      <c r="OHY5" s="390"/>
      <c r="OHZ5" s="390"/>
      <c r="OIA5" s="390"/>
      <c r="OIB5" s="390"/>
      <c r="OIC5" s="390"/>
      <c r="OID5" s="390"/>
      <c r="OIE5" s="390"/>
      <c r="OIF5" s="390"/>
      <c r="OIG5" s="390"/>
      <c r="OIH5" s="390"/>
      <c r="OII5" s="390"/>
      <c r="OIJ5" s="390"/>
      <c r="OIK5" s="390"/>
      <c r="OIL5" s="390"/>
      <c r="OIM5" s="390"/>
      <c r="OIN5" s="390"/>
      <c r="OIO5" s="390"/>
      <c r="OIP5" s="390"/>
      <c r="OIQ5" s="390"/>
      <c r="OIR5" s="390"/>
      <c r="OIS5" s="390"/>
      <c r="OIT5" s="390"/>
      <c r="OIU5" s="390"/>
      <c r="OIV5" s="390"/>
      <c r="OIW5" s="390"/>
      <c r="OIX5" s="390"/>
      <c r="OIY5" s="390"/>
      <c r="OIZ5" s="390"/>
      <c r="OJA5" s="390"/>
      <c r="OJB5" s="390"/>
      <c r="OJC5" s="390"/>
      <c r="OJD5" s="390"/>
      <c r="OJE5" s="390"/>
      <c r="OJF5" s="390"/>
      <c r="OJG5" s="390"/>
      <c r="OJH5" s="390"/>
      <c r="OJI5" s="390"/>
      <c r="OJJ5" s="390"/>
      <c r="OJK5" s="390"/>
      <c r="OJL5" s="390"/>
      <c r="OJM5" s="390"/>
      <c r="OJN5" s="390"/>
      <c r="OJO5" s="390"/>
      <c r="OJP5" s="390"/>
      <c r="OJQ5" s="390"/>
      <c r="OJR5" s="390"/>
      <c r="OJS5" s="390"/>
      <c r="OJT5" s="390"/>
      <c r="OJU5" s="390"/>
      <c r="OJV5" s="390"/>
      <c r="OJW5" s="390"/>
      <c r="OJX5" s="390"/>
      <c r="OJY5" s="390"/>
      <c r="OJZ5" s="390"/>
      <c r="OKA5" s="390"/>
      <c r="OKB5" s="390"/>
      <c r="OKC5" s="390"/>
      <c r="OKD5" s="390"/>
      <c r="OKE5" s="390"/>
      <c r="OKF5" s="390"/>
      <c r="OKG5" s="390"/>
      <c r="OKH5" s="390"/>
      <c r="OKI5" s="390"/>
      <c r="OKJ5" s="390"/>
      <c r="OKK5" s="390"/>
      <c r="OKL5" s="390"/>
      <c r="OKM5" s="390"/>
      <c r="OKN5" s="390"/>
      <c r="OKO5" s="390"/>
      <c r="OKP5" s="390"/>
      <c r="OKQ5" s="390"/>
      <c r="OKR5" s="390"/>
      <c r="OKS5" s="390"/>
      <c r="OKT5" s="390"/>
      <c r="OKU5" s="390"/>
      <c r="OKV5" s="390"/>
      <c r="OKW5" s="390"/>
      <c r="OKX5" s="390"/>
      <c r="OKY5" s="390"/>
      <c r="OKZ5" s="390"/>
      <c r="OLA5" s="390"/>
      <c r="OLB5" s="390"/>
      <c r="OLC5" s="390"/>
      <c r="OLD5" s="390"/>
      <c r="OLE5" s="390"/>
      <c r="OLF5" s="390"/>
      <c r="OLG5" s="390"/>
      <c r="OLH5" s="390"/>
      <c r="OLI5" s="390"/>
      <c r="OLJ5" s="390"/>
      <c r="OLK5" s="390"/>
      <c r="OLL5" s="390"/>
      <c r="OLM5" s="390"/>
      <c r="OLN5" s="390"/>
      <c r="OLO5" s="390"/>
      <c r="OLP5" s="390"/>
      <c r="OLQ5" s="390"/>
      <c r="OLR5" s="390"/>
      <c r="OLS5" s="390"/>
      <c r="OLT5" s="390"/>
      <c r="OLU5" s="390"/>
      <c r="OLV5" s="390"/>
      <c r="OLW5" s="390"/>
      <c r="OLX5" s="390"/>
      <c r="OLY5" s="390"/>
      <c r="OLZ5" s="390"/>
      <c r="OMA5" s="390"/>
      <c r="OMB5" s="390"/>
      <c r="OMC5" s="390"/>
      <c r="OMD5" s="390"/>
      <c r="OME5" s="390"/>
      <c r="OMF5" s="390"/>
      <c r="OMG5" s="390"/>
      <c r="OMH5" s="390"/>
      <c r="OMI5" s="390"/>
      <c r="OMJ5" s="390"/>
      <c r="OMK5" s="390"/>
      <c r="OML5" s="390"/>
      <c r="OMM5" s="390"/>
      <c r="OMN5" s="390"/>
      <c r="OMO5" s="390"/>
      <c r="OMP5" s="390"/>
      <c r="OMQ5" s="390"/>
      <c r="OMR5" s="390"/>
      <c r="OMS5" s="390"/>
      <c r="OMT5" s="390"/>
      <c r="OMU5" s="390"/>
      <c r="OMV5" s="390"/>
      <c r="OMW5" s="390"/>
      <c r="OMX5" s="390"/>
      <c r="OMY5" s="390"/>
      <c r="OMZ5" s="390"/>
      <c r="ONA5" s="390"/>
      <c r="ONB5" s="390"/>
      <c r="ONC5" s="390"/>
      <c r="OND5" s="390"/>
      <c r="ONE5" s="390"/>
      <c r="ONF5" s="390"/>
      <c r="ONG5" s="390"/>
      <c r="ONH5" s="390"/>
      <c r="ONI5" s="390"/>
      <c r="ONJ5" s="390"/>
      <c r="ONK5" s="390"/>
      <c r="ONL5" s="390"/>
      <c r="ONM5" s="390"/>
      <c r="ONN5" s="390"/>
      <c r="ONO5" s="390"/>
      <c r="ONP5" s="390"/>
      <c r="ONQ5" s="390"/>
      <c r="ONR5" s="390"/>
      <c r="ONS5" s="390"/>
      <c r="ONT5" s="390"/>
      <c r="ONU5" s="390"/>
      <c r="ONV5" s="390"/>
      <c r="ONW5" s="390"/>
      <c r="ONX5" s="390"/>
      <c r="ONY5" s="390"/>
      <c r="ONZ5" s="390"/>
      <c r="OOA5" s="390"/>
      <c r="OOB5" s="390"/>
      <c r="OOC5" s="390"/>
      <c r="OOD5" s="390"/>
      <c r="OOE5" s="390"/>
      <c r="OOF5" s="390"/>
      <c r="OOG5" s="390"/>
      <c r="OOH5" s="390"/>
      <c r="OOI5" s="390"/>
      <c r="OOJ5" s="390"/>
      <c r="OOK5" s="390"/>
      <c r="OOL5" s="390"/>
      <c r="OOM5" s="390"/>
      <c r="OON5" s="390"/>
      <c r="OOO5" s="390"/>
      <c r="OOP5" s="390"/>
      <c r="OOQ5" s="390"/>
      <c r="OOR5" s="390"/>
      <c r="OOS5" s="390"/>
      <c r="OOT5" s="390"/>
      <c r="OOU5" s="390"/>
      <c r="OOV5" s="390"/>
      <c r="OOW5" s="390"/>
      <c r="OOX5" s="390"/>
      <c r="OOY5" s="390"/>
      <c r="OOZ5" s="390"/>
      <c r="OPA5" s="390"/>
      <c r="OPB5" s="390"/>
      <c r="OPC5" s="390"/>
      <c r="OPD5" s="390"/>
      <c r="OPE5" s="390"/>
      <c r="OPF5" s="390"/>
      <c r="OPG5" s="390"/>
      <c r="OPH5" s="390"/>
      <c r="OPI5" s="390"/>
      <c r="OPJ5" s="390"/>
      <c r="OPK5" s="390"/>
      <c r="OPL5" s="390"/>
      <c r="OPM5" s="390"/>
      <c r="OPN5" s="390"/>
      <c r="OPO5" s="390"/>
      <c r="OPP5" s="390"/>
      <c r="OPQ5" s="390"/>
      <c r="OPR5" s="390"/>
      <c r="OPS5" s="390"/>
      <c r="OPT5" s="390"/>
      <c r="OPU5" s="390"/>
      <c r="OPV5" s="390"/>
      <c r="OPW5" s="390"/>
      <c r="OPX5" s="390"/>
      <c r="OPY5" s="390"/>
      <c r="OPZ5" s="390"/>
      <c r="OQA5" s="390"/>
      <c r="OQB5" s="390"/>
      <c r="OQC5" s="390"/>
      <c r="OQD5" s="390"/>
      <c r="OQE5" s="390"/>
      <c r="OQF5" s="390"/>
      <c r="OQG5" s="390"/>
      <c r="OQH5" s="390"/>
      <c r="OQI5" s="390"/>
      <c r="OQJ5" s="390"/>
      <c r="OQK5" s="390"/>
      <c r="OQL5" s="390"/>
      <c r="OQM5" s="390"/>
      <c r="OQN5" s="390"/>
      <c r="OQO5" s="390"/>
      <c r="OQP5" s="390"/>
      <c r="OQQ5" s="390"/>
      <c r="OQR5" s="390"/>
      <c r="OQS5" s="390"/>
      <c r="OQT5" s="390"/>
      <c r="OQU5" s="390"/>
      <c r="OQV5" s="390"/>
      <c r="OQW5" s="390"/>
      <c r="OQX5" s="390"/>
      <c r="OQY5" s="390"/>
      <c r="OQZ5" s="390"/>
      <c r="ORA5" s="390"/>
      <c r="ORB5" s="390"/>
      <c r="ORC5" s="390"/>
      <c r="ORD5" s="390"/>
      <c r="ORE5" s="390"/>
      <c r="ORF5" s="390"/>
      <c r="ORG5" s="390"/>
      <c r="ORH5" s="390"/>
      <c r="ORI5" s="390"/>
      <c r="ORJ5" s="390"/>
      <c r="ORK5" s="390"/>
      <c r="ORL5" s="390"/>
      <c r="ORM5" s="390"/>
      <c r="ORN5" s="390"/>
      <c r="ORO5" s="390"/>
      <c r="ORP5" s="390"/>
      <c r="ORQ5" s="390"/>
      <c r="ORR5" s="390"/>
      <c r="ORS5" s="390"/>
      <c r="ORT5" s="390"/>
      <c r="ORU5" s="390"/>
      <c r="ORV5" s="390"/>
      <c r="ORW5" s="390"/>
      <c r="ORX5" s="390"/>
      <c r="ORY5" s="390"/>
      <c r="ORZ5" s="390"/>
      <c r="OSA5" s="390"/>
      <c r="OSB5" s="390"/>
      <c r="OSC5" s="390"/>
      <c r="OSD5" s="390"/>
      <c r="OSE5" s="390"/>
      <c r="OSF5" s="390"/>
      <c r="OSG5" s="390"/>
      <c r="OSH5" s="390"/>
      <c r="OSI5" s="390"/>
      <c r="OSJ5" s="390"/>
      <c r="OSK5" s="390"/>
      <c r="OSL5" s="390"/>
      <c r="OSM5" s="390"/>
      <c r="OSN5" s="390"/>
      <c r="OSO5" s="390"/>
      <c r="OSP5" s="390"/>
      <c r="OSQ5" s="390"/>
      <c r="OSR5" s="390"/>
      <c r="OSS5" s="390"/>
      <c r="OST5" s="390"/>
      <c r="OSU5" s="390"/>
      <c r="OSV5" s="390"/>
      <c r="OSW5" s="390"/>
      <c r="OSX5" s="390"/>
      <c r="OSY5" s="390"/>
      <c r="OSZ5" s="390"/>
      <c r="OTA5" s="390"/>
      <c r="OTB5" s="390"/>
      <c r="OTC5" s="390"/>
      <c r="OTD5" s="390"/>
      <c r="OTE5" s="390"/>
      <c r="OTF5" s="390"/>
      <c r="OTG5" s="390"/>
      <c r="OTH5" s="390"/>
      <c r="OTI5" s="390"/>
      <c r="OTJ5" s="390"/>
      <c r="OTK5" s="390"/>
      <c r="OTL5" s="390"/>
      <c r="OTM5" s="390"/>
      <c r="OTN5" s="390"/>
      <c r="OTO5" s="390"/>
      <c r="OTP5" s="390"/>
      <c r="OTQ5" s="390"/>
      <c r="OTR5" s="390"/>
      <c r="OTS5" s="390"/>
      <c r="OTT5" s="390"/>
      <c r="OTU5" s="390"/>
      <c r="OTV5" s="390"/>
      <c r="OTW5" s="390"/>
      <c r="OTX5" s="390"/>
      <c r="OTY5" s="390"/>
      <c r="OTZ5" s="390"/>
      <c r="OUA5" s="390"/>
      <c r="OUB5" s="390"/>
      <c r="OUC5" s="390"/>
      <c r="OUD5" s="390"/>
      <c r="OUE5" s="390"/>
      <c r="OUF5" s="390"/>
      <c r="OUG5" s="390"/>
      <c r="OUH5" s="390"/>
      <c r="OUI5" s="390"/>
      <c r="OUJ5" s="390"/>
      <c r="OUK5" s="390"/>
      <c r="OUL5" s="390"/>
      <c r="OUM5" s="390"/>
      <c r="OUN5" s="390"/>
      <c r="OUO5" s="390"/>
      <c r="OUP5" s="390"/>
      <c r="OUQ5" s="390"/>
      <c r="OUR5" s="390"/>
      <c r="OUS5" s="390"/>
      <c r="OUT5" s="390"/>
      <c r="OUU5" s="390"/>
      <c r="OUV5" s="390"/>
      <c r="OUW5" s="390"/>
      <c r="OUX5" s="390"/>
      <c r="OUY5" s="390"/>
      <c r="OUZ5" s="390"/>
      <c r="OVA5" s="390"/>
      <c r="OVB5" s="390"/>
      <c r="OVC5" s="390"/>
      <c r="OVD5" s="390"/>
      <c r="OVE5" s="390"/>
      <c r="OVF5" s="390"/>
      <c r="OVG5" s="390"/>
      <c r="OVH5" s="390"/>
      <c r="OVI5" s="390"/>
      <c r="OVJ5" s="390"/>
      <c r="OVK5" s="390"/>
      <c r="OVL5" s="390"/>
      <c r="OVM5" s="390"/>
      <c r="OVN5" s="390"/>
      <c r="OVO5" s="390"/>
      <c r="OVP5" s="390"/>
      <c r="OVQ5" s="390"/>
      <c r="OVR5" s="390"/>
      <c r="OVS5" s="390"/>
      <c r="OVT5" s="390"/>
      <c r="OVU5" s="390"/>
      <c r="OVV5" s="390"/>
      <c r="OVW5" s="390"/>
      <c r="OVX5" s="390"/>
      <c r="OVY5" s="390"/>
      <c r="OVZ5" s="390"/>
      <c r="OWA5" s="390"/>
      <c r="OWB5" s="390"/>
      <c r="OWC5" s="390"/>
      <c r="OWD5" s="390"/>
      <c r="OWE5" s="390"/>
      <c r="OWF5" s="390"/>
      <c r="OWG5" s="390"/>
      <c r="OWH5" s="390"/>
      <c r="OWI5" s="390"/>
      <c r="OWJ5" s="390"/>
      <c r="OWK5" s="390"/>
      <c r="OWL5" s="390"/>
      <c r="OWM5" s="390"/>
      <c r="OWN5" s="390"/>
      <c r="OWO5" s="390"/>
      <c r="OWP5" s="390"/>
      <c r="OWQ5" s="390"/>
      <c r="OWR5" s="390"/>
      <c r="OWS5" s="390"/>
      <c r="OWT5" s="390"/>
      <c r="OWU5" s="390"/>
      <c r="OWV5" s="390"/>
      <c r="OWW5" s="390"/>
      <c r="OWX5" s="390"/>
      <c r="OWY5" s="390"/>
      <c r="OWZ5" s="390"/>
      <c r="OXA5" s="390"/>
      <c r="OXB5" s="390"/>
      <c r="OXC5" s="390"/>
      <c r="OXD5" s="390"/>
      <c r="OXE5" s="390"/>
      <c r="OXF5" s="390"/>
      <c r="OXG5" s="390"/>
      <c r="OXH5" s="390"/>
      <c r="OXI5" s="390"/>
      <c r="OXJ5" s="390"/>
      <c r="OXK5" s="390"/>
      <c r="OXL5" s="390"/>
      <c r="OXM5" s="390"/>
      <c r="OXN5" s="390"/>
      <c r="OXO5" s="390"/>
      <c r="OXP5" s="390"/>
      <c r="OXQ5" s="390"/>
      <c r="OXR5" s="390"/>
      <c r="OXS5" s="390"/>
      <c r="OXT5" s="390"/>
      <c r="OXU5" s="390"/>
      <c r="OXV5" s="390"/>
      <c r="OXW5" s="390"/>
      <c r="OXX5" s="390"/>
      <c r="OXY5" s="390"/>
      <c r="OXZ5" s="390"/>
      <c r="OYA5" s="390"/>
      <c r="OYB5" s="390"/>
      <c r="OYC5" s="390"/>
      <c r="OYD5" s="390"/>
      <c r="OYE5" s="390"/>
      <c r="OYF5" s="390"/>
      <c r="OYG5" s="390"/>
      <c r="OYH5" s="390"/>
      <c r="OYI5" s="390"/>
      <c r="OYJ5" s="390"/>
      <c r="OYK5" s="390"/>
      <c r="OYL5" s="390"/>
      <c r="OYM5" s="390"/>
      <c r="OYN5" s="390"/>
      <c r="OYO5" s="390"/>
      <c r="OYP5" s="390"/>
      <c r="OYQ5" s="390"/>
      <c r="OYR5" s="390"/>
      <c r="OYS5" s="390"/>
      <c r="OYT5" s="390"/>
      <c r="OYU5" s="390"/>
      <c r="OYV5" s="390"/>
      <c r="OYW5" s="390"/>
      <c r="OYX5" s="390"/>
      <c r="OYY5" s="390"/>
      <c r="OYZ5" s="390"/>
      <c r="OZA5" s="390"/>
      <c r="OZB5" s="390"/>
      <c r="OZC5" s="390"/>
      <c r="OZD5" s="390"/>
      <c r="OZE5" s="390"/>
      <c r="OZF5" s="390"/>
      <c r="OZG5" s="390"/>
      <c r="OZH5" s="390"/>
      <c r="OZI5" s="390"/>
      <c r="OZJ5" s="390"/>
      <c r="OZK5" s="390"/>
      <c r="OZL5" s="390"/>
      <c r="OZM5" s="390"/>
      <c r="OZN5" s="390"/>
      <c r="OZO5" s="390"/>
      <c r="OZP5" s="390"/>
      <c r="OZQ5" s="390"/>
      <c r="OZR5" s="390"/>
      <c r="OZS5" s="390"/>
      <c r="OZT5" s="390"/>
      <c r="OZU5" s="390"/>
      <c r="OZV5" s="390"/>
      <c r="OZW5" s="390"/>
      <c r="OZX5" s="390"/>
      <c r="OZY5" s="390"/>
      <c r="OZZ5" s="390"/>
      <c r="PAA5" s="390"/>
      <c r="PAB5" s="390"/>
      <c r="PAC5" s="390"/>
      <c r="PAD5" s="390"/>
      <c r="PAE5" s="390"/>
      <c r="PAF5" s="390"/>
      <c r="PAG5" s="390"/>
      <c r="PAH5" s="390"/>
      <c r="PAI5" s="390"/>
      <c r="PAJ5" s="390"/>
      <c r="PAK5" s="390"/>
      <c r="PAL5" s="390"/>
      <c r="PAM5" s="390"/>
      <c r="PAN5" s="390"/>
      <c r="PAO5" s="390"/>
      <c r="PAP5" s="390"/>
      <c r="PAQ5" s="390"/>
      <c r="PAR5" s="390"/>
      <c r="PAS5" s="390"/>
      <c r="PAT5" s="390"/>
      <c r="PAU5" s="390"/>
      <c r="PAV5" s="390"/>
      <c r="PAW5" s="390"/>
      <c r="PAX5" s="390"/>
      <c r="PAY5" s="390"/>
      <c r="PAZ5" s="390"/>
      <c r="PBA5" s="390"/>
      <c r="PBB5" s="390"/>
      <c r="PBC5" s="390"/>
      <c r="PBD5" s="390"/>
      <c r="PBE5" s="390"/>
      <c r="PBF5" s="390"/>
      <c r="PBG5" s="390"/>
      <c r="PBH5" s="390"/>
      <c r="PBI5" s="390"/>
      <c r="PBJ5" s="390"/>
      <c r="PBK5" s="390"/>
      <c r="PBL5" s="390"/>
      <c r="PBM5" s="390"/>
      <c r="PBN5" s="390"/>
      <c r="PBO5" s="390"/>
      <c r="PBP5" s="390"/>
      <c r="PBQ5" s="390"/>
      <c r="PBR5" s="390"/>
      <c r="PBS5" s="390"/>
      <c r="PBT5" s="390"/>
      <c r="PBU5" s="390"/>
      <c r="PBV5" s="390"/>
      <c r="PBW5" s="390"/>
      <c r="PBX5" s="390"/>
      <c r="PBY5" s="390"/>
      <c r="PBZ5" s="390"/>
      <c r="PCA5" s="390"/>
      <c r="PCB5" s="390"/>
      <c r="PCC5" s="390"/>
      <c r="PCD5" s="390"/>
      <c r="PCE5" s="390"/>
      <c r="PCF5" s="390"/>
      <c r="PCG5" s="390"/>
      <c r="PCH5" s="390"/>
      <c r="PCI5" s="390"/>
      <c r="PCJ5" s="390"/>
      <c r="PCK5" s="390"/>
      <c r="PCL5" s="390"/>
      <c r="PCM5" s="390"/>
      <c r="PCN5" s="390"/>
      <c r="PCO5" s="390"/>
      <c r="PCP5" s="390"/>
      <c r="PCQ5" s="390"/>
      <c r="PCR5" s="390"/>
      <c r="PCS5" s="390"/>
      <c r="PCT5" s="390"/>
      <c r="PCU5" s="390"/>
      <c r="PCV5" s="390"/>
      <c r="PCW5" s="390"/>
      <c r="PCX5" s="390"/>
      <c r="PCY5" s="390"/>
      <c r="PCZ5" s="390"/>
      <c r="PDA5" s="390"/>
      <c r="PDB5" s="390"/>
      <c r="PDC5" s="390"/>
      <c r="PDD5" s="390"/>
      <c r="PDE5" s="390"/>
      <c r="PDF5" s="390"/>
      <c r="PDG5" s="390"/>
      <c r="PDH5" s="390"/>
      <c r="PDI5" s="390"/>
      <c r="PDJ5" s="390"/>
      <c r="PDK5" s="390"/>
      <c r="PDL5" s="390"/>
      <c r="PDM5" s="390"/>
      <c r="PDN5" s="390"/>
      <c r="PDO5" s="390"/>
      <c r="PDP5" s="390"/>
      <c r="PDQ5" s="390"/>
      <c r="PDR5" s="390"/>
      <c r="PDS5" s="390"/>
      <c r="PDT5" s="390"/>
      <c r="PDU5" s="390"/>
      <c r="PDV5" s="390"/>
      <c r="PDW5" s="390"/>
      <c r="PDX5" s="390"/>
      <c r="PDY5" s="390"/>
      <c r="PDZ5" s="390"/>
      <c r="PEA5" s="390"/>
      <c r="PEB5" s="390"/>
      <c r="PEC5" s="390"/>
      <c r="PED5" s="390"/>
      <c r="PEE5" s="390"/>
      <c r="PEF5" s="390"/>
      <c r="PEG5" s="390"/>
      <c r="PEH5" s="390"/>
      <c r="PEI5" s="390"/>
      <c r="PEJ5" s="390"/>
      <c r="PEK5" s="390"/>
      <c r="PEL5" s="390"/>
      <c r="PEM5" s="390"/>
      <c r="PEN5" s="390"/>
      <c r="PEO5" s="390"/>
      <c r="PEP5" s="390"/>
      <c r="PEQ5" s="390"/>
      <c r="PER5" s="390"/>
      <c r="PES5" s="390"/>
      <c r="PET5" s="390"/>
      <c r="PEU5" s="390"/>
      <c r="PEV5" s="390"/>
      <c r="PEW5" s="390"/>
      <c r="PEX5" s="390"/>
      <c r="PEY5" s="390"/>
      <c r="PEZ5" s="390"/>
      <c r="PFA5" s="390"/>
      <c r="PFB5" s="390"/>
      <c r="PFC5" s="390"/>
      <c r="PFD5" s="390"/>
      <c r="PFE5" s="390"/>
      <c r="PFF5" s="390"/>
      <c r="PFG5" s="390"/>
      <c r="PFH5" s="390"/>
      <c r="PFI5" s="390"/>
      <c r="PFJ5" s="390"/>
      <c r="PFK5" s="390"/>
      <c r="PFL5" s="390"/>
      <c r="PFM5" s="390"/>
      <c r="PFN5" s="390"/>
      <c r="PFO5" s="390"/>
      <c r="PFP5" s="390"/>
      <c r="PFQ5" s="390"/>
      <c r="PFR5" s="390"/>
      <c r="PFS5" s="390"/>
      <c r="PFT5" s="390"/>
      <c r="PFU5" s="390"/>
      <c r="PFV5" s="390"/>
      <c r="PFW5" s="390"/>
      <c r="PFX5" s="390"/>
      <c r="PFY5" s="390"/>
      <c r="PFZ5" s="390"/>
      <c r="PGA5" s="390"/>
      <c r="PGB5" s="390"/>
      <c r="PGC5" s="390"/>
      <c r="PGD5" s="390"/>
      <c r="PGE5" s="390"/>
      <c r="PGF5" s="390"/>
      <c r="PGG5" s="390"/>
      <c r="PGH5" s="390"/>
      <c r="PGI5" s="390"/>
      <c r="PGJ5" s="390"/>
      <c r="PGK5" s="390"/>
      <c r="PGL5" s="390"/>
      <c r="PGM5" s="390"/>
      <c r="PGN5" s="390"/>
      <c r="PGO5" s="390"/>
      <c r="PGP5" s="390"/>
      <c r="PGQ5" s="390"/>
      <c r="PGR5" s="390"/>
      <c r="PGS5" s="390"/>
      <c r="PGT5" s="390"/>
      <c r="PGU5" s="390"/>
      <c r="PGV5" s="390"/>
      <c r="PGW5" s="390"/>
      <c r="PGX5" s="390"/>
      <c r="PGY5" s="390"/>
      <c r="PGZ5" s="390"/>
      <c r="PHA5" s="390"/>
      <c r="PHB5" s="390"/>
      <c r="PHC5" s="390"/>
      <c r="PHD5" s="390"/>
      <c r="PHE5" s="390"/>
      <c r="PHF5" s="390"/>
      <c r="PHG5" s="390"/>
      <c r="PHH5" s="390"/>
      <c r="PHI5" s="390"/>
      <c r="PHJ5" s="390"/>
      <c r="PHK5" s="390"/>
      <c r="PHL5" s="390"/>
      <c r="PHM5" s="390"/>
      <c r="PHN5" s="390"/>
      <c r="PHO5" s="390"/>
      <c r="PHP5" s="390"/>
      <c r="PHQ5" s="390"/>
      <c r="PHR5" s="390"/>
      <c r="PHS5" s="390"/>
      <c r="PHT5" s="390"/>
      <c r="PHU5" s="390"/>
      <c r="PHV5" s="390"/>
      <c r="PHW5" s="390"/>
      <c r="PHX5" s="390"/>
      <c r="PHY5" s="390"/>
      <c r="PHZ5" s="390"/>
      <c r="PIA5" s="390"/>
      <c r="PIB5" s="390"/>
      <c r="PIC5" s="390"/>
      <c r="PID5" s="390"/>
      <c r="PIE5" s="390"/>
      <c r="PIF5" s="390"/>
      <c r="PIG5" s="390"/>
      <c r="PIH5" s="390"/>
      <c r="PII5" s="390"/>
      <c r="PIJ5" s="390"/>
      <c r="PIK5" s="390"/>
      <c r="PIL5" s="390"/>
      <c r="PIM5" s="390"/>
      <c r="PIN5" s="390"/>
      <c r="PIO5" s="390"/>
      <c r="PIP5" s="390"/>
      <c r="PIQ5" s="390"/>
      <c r="PIR5" s="390"/>
      <c r="PIS5" s="390"/>
      <c r="PIT5" s="390"/>
      <c r="PIU5" s="390"/>
      <c r="PIV5" s="390"/>
      <c r="PIW5" s="390"/>
      <c r="PIX5" s="390"/>
      <c r="PIY5" s="390"/>
      <c r="PIZ5" s="390"/>
      <c r="PJA5" s="390"/>
      <c r="PJB5" s="390"/>
      <c r="PJC5" s="390"/>
      <c r="PJD5" s="390"/>
      <c r="PJE5" s="390"/>
      <c r="PJF5" s="390"/>
      <c r="PJG5" s="390"/>
      <c r="PJH5" s="390"/>
      <c r="PJI5" s="390"/>
      <c r="PJJ5" s="390"/>
      <c r="PJK5" s="390"/>
      <c r="PJL5" s="390"/>
      <c r="PJM5" s="390"/>
      <c r="PJN5" s="390"/>
      <c r="PJO5" s="390"/>
      <c r="PJP5" s="390"/>
      <c r="PJQ5" s="390"/>
      <c r="PJR5" s="390"/>
      <c r="PJS5" s="390"/>
      <c r="PJT5" s="390"/>
      <c r="PJU5" s="390"/>
      <c r="PJV5" s="390"/>
      <c r="PJW5" s="390"/>
      <c r="PJX5" s="390"/>
      <c r="PJY5" s="390"/>
      <c r="PJZ5" s="390"/>
      <c r="PKA5" s="390"/>
      <c r="PKB5" s="390"/>
      <c r="PKC5" s="390"/>
      <c r="PKD5" s="390"/>
      <c r="PKE5" s="390"/>
      <c r="PKF5" s="390"/>
      <c r="PKG5" s="390"/>
      <c r="PKH5" s="390"/>
      <c r="PKI5" s="390"/>
      <c r="PKJ5" s="390"/>
      <c r="PKK5" s="390"/>
      <c r="PKL5" s="390"/>
      <c r="PKM5" s="390"/>
      <c r="PKN5" s="390"/>
      <c r="PKO5" s="390"/>
      <c r="PKP5" s="390"/>
      <c r="PKQ5" s="390"/>
      <c r="PKR5" s="390"/>
      <c r="PKS5" s="390"/>
      <c r="PKT5" s="390"/>
      <c r="PKU5" s="390"/>
      <c r="PKV5" s="390"/>
      <c r="PKW5" s="390"/>
      <c r="PKX5" s="390"/>
      <c r="PKY5" s="390"/>
      <c r="PKZ5" s="390"/>
      <c r="PLA5" s="390"/>
      <c r="PLB5" s="390"/>
      <c r="PLC5" s="390"/>
      <c r="PLD5" s="390"/>
      <c r="PLE5" s="390"/>
      <c r="PLF5" s="390"/>
      <c r="PLG5" s="390"/>
      <c r="PLH5" s="390"/>
      <c r="PLI5" s="390"/>
      <c r="PLJ5" s="390"/>
      <c r="PLK5" s="390"/>
      <c r="PLL5" s="390"/>
      <c r="PLM5" s="390"/>
      <c r="PLN5" s="390"/>
      <c r="PLO5" s="390"/>
      <c r="PLP5" s="390"/>
      <c r="PLQ5" s="390"/>
      <c r="PLR5" s="390"/>
      <c r="PLS5" s="390"/>
      <c r="PLT5" s="390"/>
      <c r="PLU5" s="390"/>
      <c r="PLV5" s="390"/>
      <c r="PLW5" s="390"/>
      <c r="PLX5" s="390"/>
      <c r="PLY5" s="390"/>
      <c r="PLZ5" s="390"/>
      <c r="PMA5" s="390"/>
      <c r="PMB5" s="390"/>
      <c r="PMC5" s="390"/>
      <c r="PMD5" s="390"/>
      <c r="PME5" s="390"/>
      <c r="PMF5" s="390"/>
      <c r="PMG5" s="390"/>
      <c r="PMH5" s="390"/>
      <c r="PMI5" s="390"/>
      <c r="PMJ5" s="390"/>
      <c r="PMK5" s="390"/>
      <c r="PML5" s="390"/>
      <c r="PMM5" s="390"/>
      <c r="PMN5" s="390"/>
      <c r="PMO5" s="390"/>
      <c r="PMP5" s="390"/>
      <c r="PMQ5" s="390"/>
      <c r="PMR5" s="390"/>
      <c r="PMS5" s="390"/>
      <c r="PMT5" s="390"/>
      <c r="PMU5" s="390"/>
      <c r="PMV5" s="390"/>
      <c r="PMW5" s="390"/>
      <c r="PMX5" s="390"/>
      <c r="PMY5" s="390"/>
      <c r="PMZ5" s="390"/>
      <c r="PNA5" s="390"/>
      <c r="PNB5" s="390"/>
      <c r="PNC5" s="390"/>
      <c r="PND5" s="390"/>
      <c r="PNE5" s="390"/>
      <c r="PNF5" s="390"/>
      <c r="PNG5" s="390"/>
      <c r="PNH5" s="390"/>
      <c r="PNI5" s="390"/>
      <c r="PNJ5" s="390"/>
      <c r="PNK5" s="390"/>
      <c r="PNL5" s="390"/>
      <c r="PNM5" s="390"/>
      <c r="PNN5" s="390"/>
      <c r="PNO5" s="390"/>
      <c r="PNP5" s="390"/>
      <c r="PNQ5" s="390"/>
      <c r="PNR5" s="390"/>
      <c r="PNS5" s="390"/>
      <c r="PNT5" s="390"/>
      <c r="PNU5" s="390"/>
      <c r="PNV5" s="390"/>
      <c r="PNW5" s="390"/>
      <c r="PNX5" s="390"/>
      <c r="PNY5" s="390"/>
      <c r="PNZ5" s="390"/>
      <c r="POA5" s="390"/>
      <c r="POB5" s="390"/>
      <c r="POC5" s="390"/>
      <c r="POD5" s="390"/>
      <c r="POE5" s="390"/>
      <c r="POF5" s="390"/>
      <c r="POG5" s="390"/>
      <c r="POH5" s="390"/>
      <c r="POI5" s="390"/>
      <c r="POJ5" s="390"/>
      <c r="POK5" s="390"/>
      <c r="POL5" s="390"/>
      <c r="POM5" s="390"/>
      <c r="PON5" s="390"/>
      <c r="POO5" s="390"/>
      <c r="POP5" s="390"/>
      <c r="POQ5" s="390"/>
      <c r="POR5" s="390"/>
      <c r="POS5" s="390"/>
      <c r="POT5" s="390"/>
      <c r="POU5" s="390"/>
      <c r="POV5" s="390"/>
      <c r="POW5" s="390"/>
      <c r="POX5" s="390"/>
      <c r="POY5" s="390"/>
      <c r="POZ5" s="390"/>
      <c r="PPA5" s="390"/>
      <c r="PPB5" s="390"/>
      <c r="PPC5" s="390"/>
      <c r="PPD5" s="390"/>
      <c r="PPE5" s="390"/>
      <c r="PPF5" s="390"/>
      <c r="PPG5" s="390"/>
      <c r="PPH5" s="390"/>
      <c r="PPI5" s="390"/>
      <c r="PPJ5" s="390"/>
      <c r="PPK5" s="390"/>
      <c r="PPL5" s="390"/>
      <c r="PPM5" s="390"/>
      <c r="PPN5" s="390"/>
      <c r="PPO5" s="390"/>
      <c r="PPP5" s="390"/>
      <c r="PPQ5" s="390"/>
      <c r="PPR5" s="390"/>
      <c r="PPS5" s="390"/>
      <c r="PPT5" s="390"/>
      <c r="PPU5" s="390"/>
      <c r="PPV5" s="390"/>
      <c r="PPW5" s="390"/>
      <c r="PPX5" s="390"/>
      <c r="PPY5" s="390"/>
      <c r="PPZ5" s="390"/>
      <c r="PQA5" s="390"/>
      <c r="PQB5" s="390"/>
      <c r="PQC5" s="390"/>
      <c r="PQD5" s="390"/>
      <c r="PQE5" s="390"/>
      <c r="PQF5" s="390"/>
      <c r="PQG5" s="390"/>
      <c r="PQH5" s="390"/>
      <c r="PQI5" s="390"/>
      <c r="PQJ5" s="390"/>
      <c r="PQK5" s="390"/>
      <c r="PQL5" s="390"/>
      <c r="PQM5" s="390"/>
      <c r="PQN5" s="390"/>
      <c r="PQO5" s="390"/>
      <c r="PQP5" s="390"/>
      <c r="PQQ5" s="390"/>
      <c r="PQR5" s="390"/>
      <c r="PQS5" s="390"/>
      <c r="PQT5" s="390"/>
      <c r="PQU5" s="390"/>
      <c r="PQV5" s="390"/>
      <c r="PQW5" s="390"/>
      <c r="PQX5" s="390"/>
      <c r="PQY5" s="390"/>
      <c r="PQZ5" s="390"/>
      <c r="PRA5" s="390"/>
      <c r="PRB5" s="390"/>
      <c r="PRC5" s="390"/>
      <c r="PRD5" s="390"/>
      <c r="PRE5" s="390"/>
      <c r="PRF5" s="390"/>
      <c r="PRG5" s="390"/>
      <c r="PRH5" s="390"/>
      <c r="PRI5" s="390"/>
      <c r="PRJ5" s="390"/>
      <c r="PRK5" s="390"/>
      <c r="PRL5" s="390"/>
      <c r="PRM5" s="390"/>
      <c r="PRN5" s="390"/>
      <c r="PRO5" s="390"/>
      <c r="PRP5" s="390"/>
      <c r="PRQ5" s="390"/>
      <c r="PRR5" s="390"/>
      <c r="PRS5" s="390"/>
      <c r="PRT5" s="390"/>
      <c r="PRU5" s="390"/>
      <c r="PRV5" s="390"/>
      <c r="PRW5" s="390"/>
      <c r="PRX5" s="390"/>
      <c r="PRY5" s="390"/>
      <c r="PRZ5" s="390"/>
      <c r="PSA5" s="390"/>
      <c r="PSB5" s="390"/>
      <c r="PSC5" s="390"/>
      <c r="PSD5" s="390"/>
      <c r="PSE5" s="390"/>
      <c r="PSF5" s="390"/>
      <c r="PSG5" s="390"/>
      <c r="PSH5" s="390"/>
      <c r="PSI5" s="390"/>
      <c r="PSJ5" s="390"/>
      <c r="PSK5" s="390"/>
      <c r="PSL5" s="390"/>
      <c r="PSM5" s="390"/>
      <c r="PSN5" s="390"/>
      <c r="PSO5" s="390"/>
      <c r="PSP5" s="390"/>
      <c r="PSQ5" s="390"/>
      <c r="PSR5" s="390"/>
      <c r="PSS5" s="390"/>
      <c r="PST5" s="390"/>
      <c r="PSU5" s="390"/>
      <c r="PSV5" s="390"/>
      <c r="PSW5" s="390"/>
      <c r="PSX5" s="390"/>
      <c r="PSY5" s="390"/>
      <c r="PSZ5" s="390"/>
      <c r="PTA5" s="390"/>
      <c r="PTB5" s="390"/>
      <c r="PTC5" s="390"/>
      <c r="PTD5" s="390"/>
      <c r="PTE5" s="390"/>
      <c r="PTF5" s="390"/>
      <c r="PTG5" s="390"/>
      <c r="PTH5" s="390"/>
      <c r="PTI5" s="390"/>
      <c r="PTJ5" s="390"/>
      <c r="PTK5" s="390"/>
      <c r="PTL5" s="390"/>
      <c r="PTM5" s="390"/>
      <c r="PTN5" s="390"/>
      <c r="PTO5" s="390"/>
      <c r="PTP5" s="390"/>
      <c r="PTQ5" s="390"/>
      <c r="PTR5" s="390"/>
      <c r="PTS5" s="390"/>
      <c r="PTT5" s="390"/>
      <c r="PTU5" s="390"/>
      <c r="PTV5" s="390"/>
      <c r="PTW5" s="390"/>
      <c r="PTX5" s="390"/>
      <c r="PTY5" s="390"/>
      <c r="PTZ5" s="390"/>
      <c r="PUA5" s="390"/>
      <c r="PUB5" s="390"/>
      <c r="PUC5" s="390"/>
      <c r="PUD5" s="390"/>
      <c r="PUE5" s="390"/>
      <c r="PUF5" s="390"/>
      <c r="PUG5" s="390"/>
      <c r="PUH5" s="390"/>
      <c r="PUI5" s="390"/>
      <c r="PUJ5" s="390"/>
      <c r="PUK5" s="390"/>
      <c r="PUL5" s="390"/>
      <c r="PUM5" s="390"/>
      <c r="PUN5" s="390"/>
      <c r="PUO5" s="390"/>
      <c r="PUP5" s="390"/>
      <c r="PUQ5" s="390"/>
      <c r="PUR5" s="390"/>
      <c r="PUS5" s="390"/>
      <c r="PUT5" s="390"/>
      <c r="PUU5" s="390"/>
      <c r="PUV5" s="390"/>
      <c r="PUW5" s="390"/>
      <c r="PUX5" s="390"/>
      <c r="PUY5" s="390"/>
      <c r="PUZ5" s="390"/>
      <c r="PVA5" s="390"/>
      <c r="PVB5" s="390"/>
      <c r="PVC5" s="390"/>
      <c r="PVD5" s="390"/>
      <c r="PVE5" s="390"/>
      <c r="PVF5" s="390"/>
      <c r="PVG5" s="390"/>
      <c r="PVH5" s="390"/>
      <c r="PVI5" s="390"/>
      <c r="PVJ5" s="390"/>
      <c r="PVK5" s="390"/>
      <c r="PVL5" s="390"/>
      <c r="PVM5" s="390"/>
      <c r="PVN5" s="390"/>
      <c r="PVO5" s="390"/>
      <c r="PVP5" s="390"/>
      <c r="PVQ5" s="390"/>
      <c r="PVR5" s="390"/>
      <c r="PVS5" s="390"/>
      <c r="PVT5" s="390"/>
      <c r="PVU5" s="390"/>
      <c r="PVV5" s="390"/>
      <c r="PVW5" s="390"/>
      <c r="PVX5" s="390"/>
      <c r="PVY5" s="390"/>
      <c r="PVZ5" s="390"/>
      <c r="PWA5" s="390"/>
      <c r="PWB5" s="390"/>
      <c r="PWC5" s="390"/>
      <c r="PWD5" s="390"/>
      <c r="PWE5" s="390"/>
      <c r="PWF5" s="390"/>
      <c r="PWG5" s="390"/>
      <c r="PWH5" s="390"/>
      <c r="PWI5" s="390"/>
      <c r="PWJ5" s="390"/>
      <c r="PWK5" s="390"/>
      <c r="PWL5" s="390"/>
      <c r="PWM5" s="390"/>
      <c r="PWN5" s="390"/>
      <c r="PWO5" s="390"/>
      <c r="PWP5" s="390"/>
      <c r="PWQ5" s="390"/>
      <c r="PWR5" s="390"/>
      <c r="PWS5" s="390"/>
      <c r="PWT5" s="390"/>
      <c r="PWU5" s="390"/>
      <c r="PWV5" s="390"/>
      <c r="PWW5" s="390"/>
      <c r="PWX5" s="390"/>
      <c r="PWY5" s="390"/>
      <c r="PWZ5" s="390"/>
      <c r="PXA5" s="390"/>
      <c r="PXB5" s="390"/>
      <c r="PXC5" s="390"/>
      <c r="PXD5" s="390"/>
      <c r="PXE5" s="390"/>
      <c r="PXF5" s="390"/>
      <c r="PXG5" s="390"/>
      <c r="PXH5" s="390"/>
      <c r="PXI5" s="390"/>
      <c r="PXJ5" s="390"/>
      <c r="PXK5" s="390"/>
      <c r="PXL5" s="390"/>
      <c r="PXM5" s="390"/>
      <c r="PXN5" s="390"/>
      <c r="PXO5" s="390"/>
      <c r="PXP5" s="390"/>
      <c r="PXQ5" s="390"/>
      <c r="PXR5" s="390"/>
      <c r="PXS5" s="390"/>
      <c r="PXT5" s="390"/>
      <c r="PXU5" s="390"/>
      <c r="PXV5" s="390"/>
      <c r="PXW5" s="390"/>
      <c r="PXX5" s="390"/>
      <c r="PXY5" s="390"/>
      <c r="PXZ5" s="390"/>
      <c r="PYA5" s="390"/>
      <c r="PYB5" s="390"/>
      <c r="PYC5" s="390"/>
      <c r="PYD5" s="390"/>
      <c r="PYE5" s="390"/>
      <c r="PYF5" s="390"/>
      <c r="PYG5" s="390"/>
      <c r="PYH5" s="390"/>
      <c r="PYI5" s="390"/>
      <c r="PYJ5" s="390"/>
      <c r="PYK5" s="390"/>
      <c r="PYL5" s="390"/>
      <c r="PYM5" s="390"/>
      <c r="PYN5" s="390"/>
      <c r="PYO5" s="390"/>
      <c r="PYP5" s="390"/>
      <c r="PYQ5" s="390"/>
      <c r="PYR5" s="390"/>
      <c r="PYS5" s="390"/>
      <c r="PYT5" s="390"/>
      <c r="PYU5" s="390"/>
      <c r="PYV5" s="390"/>
      <c r="PYW5" s="390"/>
      <c r="PYX5" s="390"/>
      <c r="PYY5" s="390"/>
      <c r="PYZ5" s="390"/>
      <c r="PZA5" s="390"/>
      <c r="PZB5" s="390"/>
      <c r="PZC5" s="390"/>
      <c r="PZD5" s="390"/>
      <c r="PZE5" s="390"/>
      <c r="PZF5" s="390"/>
      <c r="PZG5" s="390"/>
      <c r="PZH5" s="390"/>
      <c r="PZI5" s="390"/>
      <c r="PZJ5" s="390"/>
      <c r="PZK5" s="390"/>
      <c r="PZL5" s="390"/>
      <c r="PZM5" s="390"/>
      <c r="PZN5" s="390"/>
      <c r="PZO5" s="390"/>
      <c r="PZP5" s="390"/>
      <c r="PZQ5" s="390"/>
      <c r="PZR5" s="390"/>
      <c r="PZS5" s="390"/>
      <c r="PZT5" s="390"/>
      <c r="PZU5" s="390"/>
      <c r="PZV5" s="390"/>
      <c r="PZW5" s="390"/>
      <c r="PZX5" s="390"/>
      <c r="PZY5" s="390"/>
      <c r="PZZ5" s="390"/>
      <c r="QAA5" s="390"/>
      <c r="QAB5" s="390"/>
      <c r="QAC5" s="390"/>
      <c r="QAD5" s="390"/>
      <c r="QAE5" s="390"/>
      <c r="QAF5" s="390"/>
      <c r="QAG5" s="390"/>
      <c r="QAH5" s="390"/>
      <c r="QAI5" s="390"/>
      <c r="QAJ5" s="390"/>
      <c r="QAK5" s="390"/>
      <c r="QAL5" s="390"/>
      <c r="QAM5" s="390"/>
      <c r="QAN5" s="390"/>
      <c r="QAO5" s="390"/>
      <c r="QAP5" s="390"/>
      <c r="QAQ5" s="390"/>
      <c r="QAR5" s="390"/>
      <c r="QAS5" s="390"/>
      <c r="QAT5" s="390"/>
      <c r="QAU5" s="390"/>
      <c r="QAV5" s="390"/>
      <c r="QAW5" s="390"/>
      <c r="QAX5" s="390"/>
      <c r="QAY5" s="390"/>
      <c r="QAZ5" s="390"/>
      <c r="QBA5" s="390"/>
      <c r="QBB5" s="390"/>
      <c r="QBC5" s="390"/>
      <c r="QBD5" s="390"/>
      <c r="QBE5" s="390"/>
      <c r="QBF5" s="390"/>
      <c r="QBG5" s="390"/>
      <c r="QBH5" s="390"/>
      <c r="QBI5" s="390"/>
      <c r="QBJ5" s="390"/>
      <c r="QBK5" s="390"/>
      <c r="QBL5" s="390"/>
      <c r="QBM5" s="390"/>
      <c r="QBN5" s="390"/>
      <c r="QBO5" s="390"/>
      <c r="QBP5" s="390"/>
      <c r="QBQ5" s="390"/>
      <c r="QBR5" s="390"/>
      <c r="QBS5" s="390"/>
      <c r="QBT5" s="390"/>
      <c r="QBU5" s="390"/>
      <c r="QBV5" s="390"/>
      <c r="QBW5" s="390"/>
      <c r="QBX5" s="390"/>
      <c r="QBY5" s="390"/>
      <c r="QBZ5" s="390"/>
      <c r="QCA5" s="390"/>
      <c r="QCB5" s="390"/>
      <c r="QCC5" s="390"/>
      <c r="QCD5" s="390"/>
      <c r="QCE5" s="390"/>
      <c r="QCF5" s="390"/>
      <c r="QCG5" s="390"/>
      <c r="QCH5" s="390"/>
      <c r="QCI5" s="390"/>
      <c r="QCJ5" s="390"/>
      <c r="QCK5" s="390"/>
      <c r="QCL5" s="390"/>
      <c r="QCM5" s="390"/>
      <c r="QCN5" s="390"/>
      <c r="QCO5" s="390"/>
      <c r="QCP5" s="390"/>
      <c r="QCQ5" s="390"/>
      <c r="QCR5" s="390"/>
      <c r="QCS5" s="390"/>
      <c r="QCT5" s="390"/>
      <c r="QCU5" s="390"/>
      <c r="QCV5" s="390"/>
      <c r="QCW5" s="390"/>
      <c r="QCX5" s="390"/>
      <c r="QCY5" s="390"/>
      <c r="QCZ5" s="390"/>
      <c r="QDA5" s="390"/>
      <c r="QDB5" s="390"/>
      <c r="QDC5" s="390"/>
      <c r="QDD5" s="390"/>
      <c r="QDE5" s="390"/>
      <c r="QDF5" s="390"/>
      <c r="QDG5" s="390"/>
      <c r="QDH5" s="390"/>
      <c r="QDI5" s="390"/>
      <c r="QDJ5" s="390"/>
      <c r="QDK5" s="390"/>
      <c r="QDL5" s="390"/>
      <c r="QDM5" s="390"/>
      <c r="QDN5" s="390"/>
      <c r="QDO5" s="390"/>
      <c r="QDP5" s="390"/>
      <c r="QDQ5" s="390"/>
      <c r="QDR5" s="390"/>
      <c r="QDS5" s="390"/>
      <c r="QDT5" s="390"/>
      <c r="QDU5" s="390"/>
      <c r="QDV5" s="390"/>
      <c r="QDW5" s="390"/>
      <c r="QDX5" s="390"/>
      <c r="QDY5" s="390"/>
      <c r="QDZ5" s="390"/>
      <c r="QEA5" s="390"/>
      <c r="QEB5" s="390"/>
      <c r="QEC5" s="390"/>
      <c r="QED5" s="390"/>
      <c r="QEE5" s="390"/>
      <c r="QEF5" s="390"/>
      <c r="QEG5" s="390"/>
      <c r="QEH5" s="390"/>
      <c r="QEI5" s="390"/>
      <c r="QEJ5" s="390"/>
      <c r="QEK5" s="390"/>
      <c r="QEL5" s="390"/>
      <c r="QEM5" s="390"/>
      <c r="QEN5" s="390"/>
      <c r="QEO5" s="390"/>
      <c r="QEP5" s="390"/>
      <c r="QEQ5" s="390"/>
      <c r="QER5" s="390"/>
      <c r="QES5" s="390"/>
      <c r="QET5" s="390"/>
      <c r="QEU5" s="390"/>
      <c r="QEV5" s="390"/>
      <c r="QEW5" s="390"/>
      <c r="QEX5" s="390"/>
      <c r="QEY5" s="390"/>
      <c r="QEZ5" s="390"/>
      <c r="QFA5" s="390"/>
      <c r="QFB5" s="390"/>
      <c r="QFC5" s="390"/>
      <c r="QFD5" s="390"/>
      <c r="QFE5" s="390"/>
      <c r="QFF5" s="390"/>
      <c r="QFG5" s="390"/>
      <c r="QFH5" s="390"/>
      <c r="QFI5" s="390"/>
      <c r="QFJ5" s="390"/>
      <c r="QFK5" s="390"/>
      <c r="QFL5" s="390"/>
      <c r="QFM5" s="390"/>
      <c r="QFN5" s="390"/>
      <c r="QFO5" s="390"/>
      <c r="QFP5" s="390"/>
      <c r="QFQ5" s="390"/>
      <c r="QFR5" s="390"/>
      <c r="QFS5" s="390"/>
      <c r="QFT5" s="390"/>
      <c r="QFU5" s="390"/>
      <c r="QFV5" s="390"/>
      <c r="QFW5" s="390"/>
      <c r="QFX5" s="390"/>
      <c r="QFY5" s="390"/>
      <c r="QFZ5" s="390"/>
      <c r="QGA5" s="390"/>
      <c r="QGB5" s="390"/>
      <c r="QGC5" s="390"/>
      <c r="QGD5" s="390"/>
      <c r="QGE5" s="390"/>
      <c r="QGF5" s="390"/>
      <c r="QGG5" s="390"/>
      <c r="QGH5" s="390"/>
      <c r="QGI5" s="390"/>
      <c r="QGJ5" s="390"/>
      <c r="QGK5" s="390"/>
      <c r="QGL5" s="390"/>
      <c r="QGM5" s="390"/>
      <c r="QGN5" s="390"/>
      <c r="QGO5" s="390"/>
      <c r="QGP5" s="390"/>
      <c r="QGQ5" s="390"/>
      <c r="QGR5" s="390"/>
      <c r="QGS5" s="390"/>
      <c r="QGT5" s="390"/>
      <c r="QGU5" s="390"/>
      <c r="QGV5" s="390"/>
      <c r="QGW5" s="390"/>
      <c r="QGX5" s="390"/>
      <c r="QGY5" s="390"/>
      <c r="QGZ5" s="390"/>
      <c r="QHA5" s="390"/>
      <c r="QHB5" s="390"/>
      <c r="QHC5" s="390"/>
      <c r="QHD5" s="390"/>
      <c r="QHE5" s="390"/>
      <c r="QHF5" s="390"/>
      <c r="QHG5" s="390"/>
      <c r="QHH5" s="390"/>
      <c r="QHI5" s="390"/>
      <c r="QHJ5" s="390"/>
      <c r="QHK5" s="390"/>
      <c r="QHL5" s="390"/>
      <c r="QHM5" s="390"/>
      <c r="QHN5" s="390"/>
      <c r="QHO5" s="390"/>
      <c r="QHP5" s="390"/>
      <c r="QHQ5" s="390"/>
      <c r="QHR5" s="390"/>
      <c r="QHS5" s="390"/>
      <c r="QHT5" s="390"/>
      <c r="QHU5" s="390"/>
      <c r="QHV5" s="390"/>
      <c r="QHW5" s="390"/>
      <c r="QHX5" s="390"/>
      <c r="QHY5" s="390"/>
      <c r="QHZ5" s="390"/>
      <c r="QIA5" s="390"/>
      <c r="QIB5" s="390"/>
      <c r="QIC5" s="390"/>
      <c r="QID5" s="390"/>
      <c r="QIE5" s="390"/>
      <c r="QIF5" s="390"/>
      <c r="QIG5" s="390"/>
      <c r="QIH5" s="390"/>
      <c r="QII5" s="390"/>
      <c r="QIJ5" s="390"/>
      <c r="QIK5" s="390"/>
      <c r="QIL5" s="390"/>
      <c r="QIM5" s="390"/>
      <c r="QIN5" s="390"/>
      <c r="QIO5" s="390"/>
      <c r="QIP5" s="390"/>
      <c r="QIQ5" s="390"/>
      <c r="QIR5" s="390"/>
      <c r="QIS5" s="390"/>
      <c r="QIT5" s="390"/>
      <c r="QIU5" s="390"/>
      <c r="QIV5" s="390"/>
      <c r="QIW5" s="390"/>
      <c r="QIX5" s="390"/>
      <c r="QIY5" s="390"/>
      <c r="QIZ5" s="390"/>
      <c r="QJA5" s="390"/>
      <c r="QJB5" s="390"/>
      <c r="QJC5" s="390"/>
      <c r="QJD5" s="390"/>
      <c r="QJE5" s="390"/>
      <c r="QJF5" s="390"/>
      <c r="QJG5" s="390"/>
      <c r="QJH5" s="390"/>
      <c r="QJI5" s="390"/>
      <c r="QJJ5" s="390"/>
      <c r="QJK5" s="390"/>
      <c r="QJL5" s="390"/>
      <c r="QJM5" s="390"/>
      <c r="QJN5" s="390"/>
      <c r="QJO5" s="390"/>
      <c r="QJP5" s="390"/>
      <c r="QJQ5" s="390"/>
      <c r="QJR5" s="390"/>
      <c r="QJS5" s="390"/>
      <c r="QJT5" s="390"/>
      <c r="QJU5" s="390"/>
      <c r="QJV5" s="390"/>
      <c r="QJW5" s="390"/>
      <c r="QJX5" s="390"/>
      <c r="QJY5" s="390"/>
      <c r="QJZ5" s="390"/>
      <c r="QKA5" s="390"/>
      <c r="QKB5" s="390"/>
      <c r="QKC5" s="390"/>
      <c r="QKD5" s="390"/>
      <c r="QKE5" s="390"/>
      <c r="QKF5" s="390"/>
      <c r="QKG5" s="390"/>
      <c r="QKH5" s="390"/>
      <c r="QKI5" s="390"/>
      <c r="QKJ5" s="390"/>
      <c r="QKK5" s="390"/>
      <c r="QKL5" s="390"/>
      <c r="QKM5" s="390"/>
      <c r="QKN5" s="390"/>
      <c r="QKO5" s="390"/>
      <c r="QKP5" s="390"/>
      <c r="QKQ5" s="390"/>
      <c r="QKR5" s="390"/>
      <c r="QKS5" s="390"/>
      <c r="QKT5" s="390"/>
      <c r="QKU5" s="390"/>
      <c r="QKV5" s="390"/>
      <c r="QKW5" s="390"/>
      <c r="QKX5" s="390"/>
      <c r="QKY5" s="390"/>
      <c r="QKZ5" s="390"/>
      <c r="QLA5" s="390"/>
      <c r="QLB5" s="390"/>
      <c r="QLC5" s="390"/>
      <c r="QLD5" s="390"/>
      <c r="QLE5" s="390"/>
      <c r="QLF5" s="390"/>
      <c r="QLG5" s="390"/>
      <c r="QLH5" s="390"/>
      <c r="QLI5" s="390"/>
      <c r="QLJ5" s="390"/>
      <c r="QLK5" s="390"/>
      <c r="QLL5" s="390"/>
      <c r="QLM5" s="390"/>
      <c r="QLN5" s="390"/>
      <c r="QLO5" s="390"/>
      <c r="QLP5" s="390"/>
      <c r="QLQ5" s="390"/>
      <c r="QLR5" s="390"/>
      <c r="QLS5" s="390"/>
      <c r="QLT5" s="390"/>
      <c r="QLU5" s="390"/>
      <c r="QLV5" s="390"/>
      <c r="QLW5" s="390"/>
      <c r="QLX5" s="390"/>
      <c r="QLY5" s="390"/>
      <c r="QLZ5" s="390"/>
      <c r="QMA5" s="390"/>
      <c r="QMB5" s="390"/>
      <c r="QMC5" s="390"/>
      <c r="QMD5" s="390"/>
      <c r="QME5" s="390"/>
      <c r="QMF5" s="390"/>
      <c r="QMG5" s="390"/>
      <c r="QMH5" s="390"/>
      <c r="QMI5" s="390"/>
      <c r="QMJ5" s="390"/>
      <c r="QMK5" s="390"/>
      <c r="QML5" s="390"/>
      <c r="QMM5" s="390"/>
      <c r="QMN5" s="390"/>
      <c r="QMO5" s="390"/>
      <c r="QMP5" s="390"/>
      <c r="QMQ5" s="390"/>
      <c r="QMR5" s="390"/>
      <c r="QMS5" s="390"/>
      <c r="QMT5" s="390"/>
      <c r="QMU5" s="390"/>
      <c r="QMV5" s="390"/>
      <c r="QMW5" s="390"/>
      <c r="QMX5" s="390"/>
      <c r="QMY5" s="390"/>
      <c r="QMZ5" s="390"/>
      <c r="QNA5" s="390"/>
      <c r="QNB5" s="390"/>
      <c r="QNC5" s="390"/>
      <c r="QND5" s="390"/>
      <c r="QNE5" s="390"/>
      <c r="QNF5" s="390"/>
      <c r="QNG5" s="390"/>
      <c r="QNH5" s="390"/>
      <c r="QNI5" s="390"/>
      <c r="QNJ5" s="390"/>
      <c r="QNK5" s="390"/>
      <c r="QNL5" s="390"/>
      <c r="QNM5" s="390"/>
      <c r="QNN5" s="390"/>
      <c r="QNO5" s="390"/>
      <c r="QNP5" s="390"/>
      <c r="QNQ5" s="390"/>
      <c r="QNR5" s="390"/>
      <c r="QNS5" s="390"/>
      <c r="QNT5" s="390"/>
      <c r="QNU5" s="390"/>
      <c r="QNV5" s="390"/>
      <c r="QNW5" s="390"/>
      <c r="QNX5" s="390"/>
      <c r="QNY5" s="390"/>
      <c r="QNZ5" s="390"/>
      <c r="QOA5" s="390"/>
      <c r="QOB5" s="390"/>
      <c r="QOC5" s="390"/>
      <c r="QOD5" s="390"/>
      <c r="QOE5" s="390"/>
      <c r="QOF5" s="390"/>
      <c r="QOG5" s="390"/>
      <c r="QOH5" s="390"/>
      <c r="QOI5" s="390"/>
      <c r="QOJ5" s="390"/>
      <c r="QOK5" s="390"/>
      <c r="QOL5" s="390"/>
      <c r="QOM5" s="390"/>
      <c r="QON5" s="390"/>
      <c r="QOO5" s="390"/>
      <c r="QOP5" s="390"/>
      <c r="QOQ5" s="390"/>
      <c r="QOR5" s="390"/>
      <c r="QOS5" s="390"/>
      <c r="QOT5" s="390"/>
      <c r="QOU5" s="390"/>
      <c r="QOV5" s="390"/>
      <c r="QOW5" s="390"/>
      <c r="QOX5" s="390"/>
      <c r="QOY5" s="390"/>
      <c r="QOZ5" s="390"/>
      <c r="QPA5" s="390"/>
      <c r="QPB5" s="390"/>
      <c r="QPC5" s="390"/>
      <c r="QPD5" s="390"/>
      <c r="QPE5" s="390"/>
      <c r="QPF5" s="390"/>
      <c r="QPG5" s="390"/>
      <c r="QPH5" s="390"/>
      <c r="QPI5" s="390"/>
      <c r="QPJ5" s="390"/>
      <c r="QPK5" s="390"/>
      <c r="QPL5" s="390"/>
      <c r="QPM5" s="390"/>
      <c r="QPN5" s="390"/>
      <c r="QPO5" s="390"/>
      <c r="QPP5" s="390"/>
      <c r="QPQ5" s="390"/>
      <c r="QPR5" s="390"/>
      <c r="QPS5" s="390"/>
      <c r="QPT5" s="390"/>
      <c r="QPU5" s="390"/>
      <c r="QPV5" s="390"/>
      <c r="QPW5" s="390"/>
      <c r="QPX5" s="390"/>
      <c r="QPY5" s="390"/>
      <c r="QPZ5" s="390"/>
      <c r="QQA5" s="390"/>
      <c r="QQB5" s="390"/>
      <c r="QQC5" s="390"/>
      <c r="QQD5" s="390"/>
      <c r="QQE5" s="390"/>
      <c r="QQF5" s="390"/>
      <c r="QQG5" s="390"/>
      <c r="QQH5" s="390"/>
      <c r="QQI5" s="390"/>
      <c r="QQJ5" s="390"/>
      <c r="QQK5" s="390"/>
      <c r="QQL5" s="390"/>
      <c r="QQM5" s="390"/>
      <c r="QQN5" s="390"/>
      <c r="QQO5" s="390"/>
      <c r="QQP5" s="390"/>
      <c r="QQQ5" s="390"/>
      <c r="QQR5" s="390"/>
      <c r="QQS5" s="390"/>
      <c r="QQT5" s="390"/>
      <c r="QQU5" s="390"/>
      <c r="QQV5" s="390"/>
      <c r="QQW5" s="390"/>
      <c r="QQX5" s="390"/>
      <c r="QQY5" s="390"/>
      <c r="QQZ5" s="390"/>
      <c r="QRA5" s="390"/>
      <c r="QRB5" s="390"/>
      <c r="QRC5" s="390"/>
      <c r="QRD5" s="390"/>
      <c r="QRE5" s="390"/>
      <c r="QRF5" s="390"/>
      <c r="QRG5" s="390"/>
      <c r="QRH5" s="390"/>
      <c r="QRI5" s="390"/>
      <c r="QRJ5" s="390"/>
      <c r="QRK5" s="390"/>
      <c r="QRL5" s="390"/>
      <c r="QRM5" s="390"/>
      <c r="QRN5" s="390"/>
      <c r="QRO5" s="390"/>
      <c r="QRP5" s="390"/>
      <c r="QRQ5" s="390"/>
      <c r="QRR5" s="390"/>
      <c r="QRS5" s="390"/>
      <c r="QRT5" s="390"/>
      <c r="QRU5" s="390"/>
      <c r="QRV5" s="390"/>
      <c r="QRW5" s="390"/>
      <c r="QRX5" s="390"/>
      <c r="QRY5" s="390"/>
      <c r="QRZ5" s="390"/>
      <c r="QSA5" s="390"/>
      <c r="QSB5" s="390"/>
      <c r="QSC5" s="390"/>
      <c r="QSD5" s="390"/>
      <c r="QSE5" s="390"/>
      <c r="QSF5" s="390"/>
      <c r="QSG5" s="390"/>
      <c r="QSH5" s="390"/>
      <c r="QSI5" s="390"/>
      <c r="QSJ5" s="390"/>
      <c r="QSK5" s="390"/>
      <c r="QSL5" s="390"/>
      <c r="QSM5" s="390"/>
      <c r="QSN5" s="390"/>
      <c r="QSO5" s="390"/>
      <c r="QSP5" s="390"/>
      <c r="QSQ5" s="390"/>
      <c r="QSR5" s="390"/>
      <c r="QSS5" s="390"/>
      <c r="QST5" s="390"/>
      <c r="QSU5" s="390"/>
      <c r="QSV5" s="390"/>
      <c r="QSW5" s="390"/>
      <c r="QSX5" s="390"/>
      <c r="QSY5" s="390"/>
      <c r="QSZ5" s="390"/>
      <c r="QTA5" s="390"/>
      <c r="QTB5" s="390"/>
      <c r="QTC5" s="390"/>
      <c r="QTD5" s="390"/>
      <c r="QTE5" s="390"/>
      <c r="QTF5" s="390"/>
      <c r="QTG5" s="390"/>
      <c r="QTH5" s="390"/>
      <c r="QTI5" s="390"/>
      <c r="QTJ5" s="390"/>
      <c r="QTK5" s="390"/>
      <c r="QTL5" s="390"/>
      <c r="QTM5" s="390"/>
      <c r="QTN5" s="390"/>
      <c r="QTO5" s="390"/>
      <c r="QTP5" s="390"/>
      <c r="QTQ5" s="390"/>
      <c r="QTR5" s="390"/>
      <c r="QTS5" s="390"/>
      <c r="QTT5" s="390"/>
      <c r="QTU5" s="390"/>
      <c r="QTV5" s="390"/>
      <c r="QTW5" s="390"/>
      <c r="QTX5" s="390"/>
      <c r="QTY5" s="390"/>
      <c r="QTZ5" s="390"/>
      <c r="QUA5" s="390"/>
      <c r="QUB5" s="390"/>
      <c r="QUC5" s="390"/>
      <c r="QUD5" s="390"/>
      <c r="QUE5" s="390"/>
      <c r="QUF5" s="390"/>
      <c r="QUG5" s="390"/>
      <c r="QUH5" s="390"/>
      <c r="QUI5" s="390"/>
      <c r="QUJ5" s="390"/>
      <c r="QUK5" s="390"/>
      <c r="QUL5" s="390"/>
      <c r="QUM5" s="390"/>
      <c r="QUN5" s="390"/>
      <c r="QUO5" s="390"/>
      <c r="QUP5" s="390"/>
      <c r="QUQ5" s="390"/>
      <c r="QUR5" s="390"/>
      <c r="QUS5" s="390"/>
      <c r="QUT5" s="390"/>
      <c r="QUU5" s="390"/>
      <c r="QUV5" s="390"/>
      <c r="QUW5" s="390"/>
      <c r="QUX5" s="390"/>
      <c r="QUY5" s="390"/>
      <c r="QUZ5" s="390"/>
      <c r="QVA5" s="390"/>
      <c r="QVB5" s="390"/>
      <c r="QVC5" s="390"/>
      <c r="QVD5" s="390"/>
      <c r="QVE5" s="390"/>
      <c r="QVF5" s="390"/>
      <c r="QVG5" s="390"/>
      <c r="QVH5" s="390"/>
      <c r="QVI5" s="390"/>
      <c r="QVJ5" s="390"/>
      <c r="QVK5" s="390"/>
      <c r="QVL5" s="390"/>
      <c r="QVM5" s="390"/>
      <c r="QVN5" s="390"/>
      <c r="QVO5" s="390"/>
      <c r="QVP5" s="390"/>
      <c r="QVQ5" s="390"/>
      <c r="QVR5" s="390"/>
      <c r="QVS5" s="390"/>
      <c r="QVT5" s="390"/>
      <c r="QVU5" s="390"/>
      <c r="QVV5" s="390"/>
      <c r="QVW5" s="390"/>
      <c r="QVX5" s="390"/>
      <c r="QVY5" s="390"/>
      <c r="QVZ5" s="390"/>
      <c r="QWA5" s="390"/>
      <c r="QWB5" s="390"/>
      <c r="QWC5" s="390"/>
      <c r="QWD5" s="390"/>
      <c r="QWE5" s="390"/>
      <c r="QWF5" s="390"/>
      <c r="QWG5" s="390"/>
      <c r="QWH5" s="390"/>
      <c r="QWI5" s="390"/>
      <c r="QWJ5" s="390"/>
      <c r="QWK5" s="390"/>
      <c r="QWL5" s="390"/>
      <c r="QWM5" s="390"/>
      <c r="QWN5" s="390"/>
      <c r="QWO5" s="390"/>
      <c r="QWP5" s="390"/>
      <c r="QWQ5" s="390"/>
      <c r="QWR5" s="390"/>
      <c r="QWS5" s="390"/>
      <c r="QWT5" s="390"/>
      <c r="QWU5" s="390"/>
      <c r="QWV5" s="390"/>
      <c r="QWW5" s="390"/>
      <c r="QWX5" s="390"/>
      <c r="QWY5" s="390"/>
      <c r="QWZ5" s="390"/>
      <c r="QXA5" s="390"/>
      <c r="QXB5" s="390"/>
      <c r="QXC5" s="390"/>
      <c r="QXD5" s="390"/>
      <c r="QXE5" s="390"/>
      <c r="QXF5" s="390"/>
      <c r="QXG5" s="390"/>
      <c r="QXH5" s="390"/>
      <c r="QXI5" s="390"/>
      <c r="QXJ5" s="390"/>
      <c r="QXK5" s="390"/>
      <c r="QXL5" s="390"/>
      <c r="QXM5" s="390"/>
      <c r="QXN5" s="390"/>
      <c r="QXO5" s="390"/>
      <c r="QXP5" s="390"/>
      <c r="QXQ5" s="390"/>
      <c r="QXR5" s="390"/>
      <c r="QXS5" s="390"/>
      <c r="QXT5" s="390"/>
      <c r="QXU5" s="390"/>
      <c r="QXV5" s="390"/>
      <c r="QXW5" s="390"/>
      <c r="QXX5" s="390"/>
      <c r="QXY5" s="390"/>
      <c r="QXZ5" s="390"/>
      <c r="QYA5" s="390"/>
      <c r="QYB5" s="390"/>
      <c r="QYC5" s="390"/>
      <c r="QYD5" s="390"/>
      <c r="QYE5" s="390"/>
      <c r="QYF5" s="390"/>
      <c r="QYG5" s="390"/>
      <c r="QYH5" s="390"/>
      <c r="QYI5" s="390"/>
      <c r="QYJ5" s="390"/>
      <c r="QYK5" s="390"/>
      <c r="QYL5" s="390"/>
      <c r="QYM5" s="390"/>
      <c r="QYN5" s="390"/>
      <c r="QYO5" s="390"/>
      <c r="QYP5" s="390"/>
      <c r="QYQ5" s="390"/>
      <c r="QYR5" s="390"/>
      <c r="QYS5" s="390"/>
      <c r="QYT5" s="390"/>
      <c r="QYU5" s="390"/>
      <c r="QYV5" s="390"/>
      <c r="QYW5" s="390"/>
      <c r="QYX5" s="390"/>
      <c r="QYY5" s="390"/>
      <c r="QYZ5" s="390"/>
      <c r="QZA5" s="390"/>
      <c r="QZB5" s="390"/>
      <c r="QZC5" s="390"/>
      <c r="QZD5" s="390"/>
      <c r="QZE5" s="390"/>
      <c r="QZF5" s="390"/>
      <c r="QZG5" s="390"/>
      <c r="QZH5" s="390"/>
      <c r="QZI5" s="390"/>
      <c r="QZJ5" s="390"/>
      <c r="QZK5" s="390"/>
      <c r="QZL5" s="390"/>
      <c r="QZM5" s="390"/>
      <c r="QZN5" s="390"/>
      <c r="QZO5" s="390"/>
      <c r="QZP5" s="390"/>
      <c r="QZQ5" s="390"/>
      <c r="QZR5" s="390"/>
      <c r="QZS5" s="390"/>
      <c r="QZT5" s="390"/>
      <c r="QZU5" s="390"/>
      <c r="QZV5" s="390"/>
      <c r="QZW5" s="390"/>
      <c r="QZX5" s="390"/>
      <c r="QZY5" s="390"/>
      <c r="QZZ5" s="390"/>
      <c r="RAA5" s="390"/>
      <c r="RAB5" s="390"/>
      <c r="RAC5" s="390"/>
      <c r="RAD5" s="390"/>
      <c r="RAE5" s="390"/>
      <c r="RAF5" s="390"/>
      <c r="RAG5" s="390"/>
      <c r="RAH5" s="390"/>
      <c r="RAI5" s="390"/>
      <c r="RAJ5" s="390"/>
      <c r="RAK5" s="390"/>
      <c r="RAL5" s="390"/>
      <c r="RAM5" s="390"/>
      <c r="RAN5" s="390"/>
      <c r="RAO5" s="390"/>
      <c r="RAP5" s="390"/>
      <c r="RAQ5" s="390"/>
      <c r="RAR5" s="390"/>
      <c r="RAS5" s="390"/>
      <c r="RAT5" s="390"/>
      <c r="RAU5" s="390"/>
      <c r="RAV5" s="390"/>
      <c r="RAW5" s="390"/>
      <c r="RAX5" s="390"/>
      <c r="RAY5" s="390"/>
      <c r="RAZ5" s="390"/>
      <c r="RBA5" s="390"/>
      <c r="RBB5" s="390"/>
      <c r="RBC5" s="390"/>
      <c r="RBD5" s="390"/>
      <c r="RBE5" s="390"/>
      <c r="RBF5" s="390"/>
      <c r="RBG5" s="390"/>
      <c r="RBH5" s="390"/>
      <c r="RBI5" s="390"/>
      <c r="RBJ5" s="390"/>
      <c r="RBK5" s="390"/>
      <c r="RBL5" s="390"/>
      <c r="RBM5" s="390"/>
      <c r="RBN5" s="390"/>
      <c r="RBO5" s="390"/>
      <c r="RBP5" s="390"/>
      <c r="RBQ5" s="390"/>
      <c r="RBR5" s="390"/>
      <c r="RBS5" s="390"/>
      <c r="RBT5" s="390"/>
      <c r="RBU5" s="390"/>
      <c r="RBV5" s="390"/>
      <c r="RBW5" s="390"/>
      <c r="RBX5" s="390"/>
      <c r="RBY5" s="390"/>
      <c r="RBZ5" s="390"/>
      <c r="RCA5" s="390"/>
      <c r="RCB5" s="390"/>
      <c r="RCC5" s="390"/>
      <c r="RCD5" s="390"/>
      <c r="RCE5" s="390"/>
      <c r="RCF5" s="390"/>
      <c r="RCG5" s="390"/>
      <c r="RCH5" s="390"/>
      <c r="RCI5" s="390"/>
      <c r="RCJ5" s="390"/>
      <c r="RCK5" s="390"/>
      <c r="RCL5" s="390"/>
      <c r="RCM5" s="390"/>
      <c r="RCN5" s="390"/>
      <c r="RCO5" s="390"/>
      <c r="RCP5" s="390"/>
      <c r="RCQ5" s="390"/>
      <c r="RCR5" s="390"/>
      <c r="RCS5" s="390"/>
      <c r="RCT5" s="390"/>
      <c r="RCU5" s="390"/>
      <c r="RCV5" s="390"/>
      <c r="RCW5" s="390"/>
      <c r="RCX5" s="390"/>
      <c r="RCY5" s="390"/>
      <c r="RCZ5" s="390"/>
      <c r="RDA5" s="390"/>
      <c r="RDB5" s="390"/>
      <c r="RDC5" s="390"/>
      <c r="RDD5" s="390"/>
      <c r="RDE5" s="390"/>
      <c r="RDF5" s="390"/>
      <c r="RDG5" s="390"/>
      <c r="RDH5" s="390"/>
      <c r="RDI5" s="390"/>
      <c r="RDJ5" s="390"/>
      <c r="RDK5" s="390"/>
      <c r="RDL5" s="390"/>
      <c r="RDM5" s="390"/>
      <c r="RDN5" s="390"/>
      <c r="RDO5" s="390"/>
      <c r="RDP5" s="390"/>
      <c r="RDQ5" s="390"/>
      <c r="RDR5" s="390"/>
      <c r="RDS5" s="390"/>
      <c r="RDT5" s="390"/>
      <c r="RDU5" s="390"/>
      <c r="RDV5" s="390"/>
      <c r="RDW5" s="390"/>
      <c r="RDX5" s="390"/>
      <c r="RDY5" s="390"/>
      <c r="RDZ5" s="390"/>
      <c r="REA5" s="390"/>
      <c r="REB5" s="390"/>
      <c r="REC5" s="390"/>
      <c r="RED5" s="390"/>
      <c r="REE5" s="390"/>
      <c r="REF5" s="390"/>
      <c r="REG5" s="390"/>
      <c r="REH5" s="390"/>
      <c r="REI5" s="390"/>
      <c r="REJ5" s="390"/>
      <c r="REK5" s="390"/>
      <c r="REL5" s="390"/>
      <c r="REM5" s="390"/>
      <c r="REN5" s="390"/>
      <c r="REO5" s="390"/>
      <c r="REP5" s="390"/>
      <c r="REQ5" s="390"/>
      <c r="RER5" s="390"/>
      <c r="RES5" s="390"/>
      <c r="RET5" s="390"/>
      <c r="REU5" s="390"/>
      <c r="REV5" s="390"/>
      <c r="REW5" s="390"/>
      <c r="REX5" s="390"/>
      <c r="REY5" s="390"/>
      <c r="REZ5" s="390"/>
      <c r="RFA5" s="390"/>
      <c r="RFB5" s="390"/>
      <c r="RFC5" s="390"/>
      <c r="RFD5" s="390"/>
      <c r="RFE5" s="390"/>
      <c r="RFF5" s="390"/>
      <c r="RFG5" s="390"/>
      <c r="RFH5" s="390"/>
      <c r="RFI5" s="390"/>
      <c r="RFJ5" s="390"/>
      <c r="RFK5" s="390"/>
      <c r="RFL5" s="390"/>
      <c r="RFM5" s="390"/>
      <c r="RFN5" s="390"/>
      <c r="RFO5" s="390"/>
      <c r="RFP5" s="390"/>
      <c r="RFQ5" s="390"/>
      <c r="RFR5" s="390"/>
      <c r="RFS5" s="390"/>
      <c r="RFT5" s="390"/>
      <c r="RFU5" s="390"/>
      <c r="RFV5" s="390"/>
      <c r="RFW5" s="390"/>
      <c r="RFX5" s="390"/>
      <c r="RFY5" s="390"/>
      <c r="RFZ5" s="390"/>
      <c r="RGA5" s="390"/>
      <c r="RGB5" s="390"/>
      <c r="RGC5" s="390"/>
      <c r="RGD5" s="390"/>
      <c r="RGE5" s="390"/>
      <c r="RGF5" s="390"/>
      <c r="RGG5" s="390"/>
      <c r="RGH5" s="390"/>
      <c r="RGI5" s="390"/>
      <c r="RGJ5" s="390"/>
      <c r="RGK5" s="390"/>
      <c r="RGL5" s="390"/>
      <c r="RGM5" s="390"/>
      <c r="RGN5" s="390"/>
      <c r="RGO5" s="390"/>
      <c r="RGP5" s="390"/>
      <c r="RGQ5" s="390"/>
      <c r="RGR5" s="390"/>
      <c r="RGS5" s="390"/>
      <c r="RGT5" s="390"/>
      <c r="RGU5" s="390"/>
      <c r="RGV5" s="390"/>
      <c r="RGW5" s="390"/>
      <c r="RGX5" s="390"/>
      <c r="RGY5" s="390"/>
      <c r="RGZ5" s="390"/>
      <c r="RHA5" s="390"/>
      <c r="RHB5" s="390"/>
      <c r="RHC5" s="390"/>
      <c r="RHD5" s="390"/>
      <c r="RHE5" s="390"/>
      <c r="RHF5" s="390"/>
      <c r="RHG5" s="390"/>
      <c r="RHH5" s="390"/>
      <c r="RHI5" s="390"/>
      <c r="RHJ5" s="390"/>
      <c r="RHK5" s="390"/>
      <c r="RHL5" s="390"/>
      <c r="RHM5" s="390"/>
      <c r="RHN5" s="390"/>
      <c r="RHO5" s="390"/>
      <c r="RHP5" s="390"/>
      <c r="RHQ5" s="390"/>
      <c r="RHR5" s="390"/>
      <c r="RHS5" s="390"/>
      <c r="RHT5" s="390"/>
      <c r="RHU5" s="390"/>
      <c r="RHV5" s="390"/>
      <c r="RHW5" s="390"/>
      <c r="RHX5" s="390"/>
      <c r="RHY5" s="390"/>
      <c r="RHZ5" s="390"/>
      <c r="RIA5" s="390"/>
      <c r="RIB5" s="390"/>
      <c r="RIC5" s="390"/>
      <c r="RID5" s="390"/>
      <c r="RIE5" s="390"/>
      <c r="RIF5" s="390"/>
      <c r="RIG5" s="390"/>
      <c r="RIH5" s="390"/>
      <c r="RII5" s="390"/>
      <c r="RIJ5" s="390"/>
      <c r="RIK5" s="390"/>
      <c r="RIL5" s="390"/>
      <c r="RIM5" s="390"/>
      <c r="RIN5" s="390"/>
      <c r="RIO5" s="390"/>
      <c r="RIP5" s="390"/>
      <c r="RIQ5" s="390"/>
      <c r="RIR5" s="390"/>
      <c r="RIS5" s="390"/>
      <c r="RIT5" s="390"/>
      <c r="RIU5" s="390"/>
      <c r="RIV5" s="390"/>
      <c r="RIW5" s="390"/>
      <c r="RIX5" s="390"/>
      <c r="RIY5" s="390"/>
      <c r="RIZ5" s="390"/>
      <c r="RJA5" s="390"/>
      <c r="RJB5" s="390"/>
      <c r="RJC5" s="390"/>
      <c r="RJD5" s="390"/>
      <c r="RJE5" s="390"/>
      <c r="RJF5" s="390"/>
      <c r="RJG5" s="390"/>
      <c r="RJH5" s="390"/>
      <c r="RJI5" s="390"/>
      <c r="RJJ5" s="390"/>
      <c r="RJK5" s="390"/>
      <c r="RJL5" s="390"/>
      <c r="RJM5" s="390"/>
      <c r="RJN5" s="390"/>
      <c r="RJO5" s="390"/>
      <c r="RJP5" s="390"/>
      <c r="RJQ5" s="390"/>
      <c r="RJR5" s="390"/>
      <c r="RJS5" s="390"/>
      <c r="RJT5" s="390"/>
      <c r="RJU5" s="390"/>
      <c r="RJV5" s="390"/>
      <c r="RJW5" s="390"/>
      <c r="RJX5" s="390"/>
      <c r="RJY5" s="390"/>
      <c r="RJZ5" s="390"/>
      <c r="RKA5" s="390"/>
      <c r="RKB5" s="390"/>
      <c r="RKC5" s="390"/>
      <c r="RKD5" s="390"/>
      <c r="RKE5" s="390"/>
      <c r="RKF5" s="390"/>
      <c r="RKG5" s="390"/>
      <c r="RKH5" s="390"/>
      <c r="RKI5" s="390"/>
      <c r="RKJ5" s="390"/>
      <c r="RKK5" s="390"/>
      <c r="RKL5" s="390"/>
      <c r="RKM5" s="390"/>
      <c r="RKN5" s="390"/>
      <c r="RKO5" s="390"/>
      <c r="RKP5" s="390"/>
      <c r="RKQ5" s="390"/>
      <c r="RKR5" s="390"/>
      <c r="RKS5" s="390"/>
      <c r="RKT5" s="390"/>
      <c r="RKU5" s="390"/>
      <c r="RKV5" s="390"/>
      <c r="RKW5" s="390"/>
      <c r="RKX5" s="390"/>
      <c r="RKY5" s="390"/>
      <c r="RKZ5" s="390"/>
      <c r="RLA5" s="390"/>
      <c r="RLB5" s="390"/>
      <c r="RLC5" s="390"/>
      <c r="RLD5" s="390"/>
      <c r="RLE5" s="390"/>
      <c r="RLF5" s="390"/>
      <c r="RLG5" s="390"/>
      <c r="RLH5" s="390"/>
      <c r="RLI5" s="390"/>
      <c r="RLJ5" s="390"/>
      <c r="RLK5" s="390"/>
      <c r="RLL5" s="390"/>
      <c r="RLM5" s="390"/>
      <c r="RLN5" s="390"/>
      <c r="RLO5" s="390"/>
      <c r="RLP5" s="390"/>
      <c r="RLQ5" s="390"/>
      <c r="RLR5" s="390"/>
      <c r="RLS5" s="390"/>
      <c r="RLT5" s="390"/>
      <c r="RLU5" s="390"/>
      <c r="RLV5" s="390"/>
      <c r="RLW5" s="390"/>
      <c r="RLX5" s="390"/>
      <c r="RLY5" s="390"/>
      <c r="RLZ5" s="390"/>
      <c r="RMA5" s="390"/>
      <c r="RMB5" s="390"/>
      <c r="RMC5" s="390"/>
      <c r="RMD5" s="390"/>
      <c r="RME5" s="390"/>
      <c r="RMF5" s="390"/>
      <c r="RMG5" s="390"/>
      <c r="RMH5" s="390"/>
      <c r="RMI5" s="390"/>
      <c r="RMJ5" s="390"/>
      <c r="RMK5" s="390"/>
      <c r="RML5" s="390"/>
      <c r="RMM5" s="390"/>
      <c r="RMN5" s="390"/>
      <c r="RMO5" s="390"/>
      <c r="RMP5" s="390"/>
      <c r="RMQ5" s="390"/>
      <c r="RMR5" s="390"/>
      <c r="RMS5" s="390"/>
      <c r="RMT5" s="390"/>
      <c r="RMU5" s="390"/>
      <c r="RMV5" s="390"/>
      <c r="RMW5" s="390"/>
      <c r="RMX5" s="390"/>
      <c r="RMY5" s="390"/>
      <c r="RMZ5" s="390"/>
      <c r="RNA5" s="390"/>
      <c r="RNB5" s="390"/>
      <c r="RNC5" s="390"/>
      <c r="RND5" s="390"/>
      <c r="RNE5" s="390"/>
      <c r="RNF5" s="390"/>
      <c r="RNG5" s="390"/>
      <c r="RNH5" s="390"/>
      <c r="RNI5" s="390"/>
      <c r="RNJ5" s="390"/>
      <c r="RNK5" s="390"/>
      <c r="RNL5" s="390"/>
      <c r="RNM5" s="390"/>
      <c r="RNN5" s="390"/>
      <c r="RNO5" s="390"/>
      <c r="RNP5" s="390"/>
      <c r="RNQ5" s="390"/>
      <c r="RNR5" s="390"/>
      <c r="RNS5" s="390"/>
      <c r="RNT5" s="390"/>
      <c r="RNU5" s="390"/>
      <c r="RNV5" s="390"/>
      <c r="RNW5" s="390"/>
      <c r="RNX5" s="390"/>
      <c r="RNY5" s="390"/>
      <c r="RNZ5" s="390"/>
      <c r="ROA5" s="390"/>
      <c r="ROB5" s="390"/>
      <c r="ROC5" s="390"/>
      <c r="ROD5" s="390"/>
      <c r="ROE5" s="390"/>
      <c r="ROF5" s="390"/>
      <c r="ROG5" s="390"/>
      <c r="ROH5" s="390"/>
      <c r="ROI5" s="390"/>
      <c r="ROJ5" s="390"/>
      <c r="ROK5" s="390"/>
      <c r="ROL5" s="390"/>
      <c r="ROM5" s="390"/>
      <c r="RON5" s="390"/>
      <c r="ROO5" s="390"/>
      <c r="ROP5" s="390"/>
      <c r="ROQ5" s="390"/>
      <c r="ROR5" s="390"/>
      <c r="ROS5" s="390"/>
      <c r="ROT5" s="390"/>
      <c r="ROU5" s="390"/>
      <c r="ROV5" s="390"/>
      <c r="ROW5" s="390"/>
      <c r="ROX5" s="390"/>
      <c r="ROY5" s="390"/>
      <c r="ROZ5" s="390"/>
      <c r="RPA5" s="390"/>
      <c r="RPB5" s="390"/>
      <c r="RPC5" s="390"/>
      <c r="RPD5" s="390"/>
      <c r="RPE5" s="390"/>
      <c r="RPF5" s="390"/>
      <c r="RPG5" s="390"/>
      <c r="RPH5" s="390"/>
      <c r="RPI5" s="390"/>
      <c r="RPJ5" s="390"/>
      <c r="RPK5" s="390"/>
      <c r="RPL5" s="390"/>
      <c r="RPM5" s="390"/>
      <c r="RPN5" s="390"/>
      <c r="RPO5" s="390"/>
      <c r="RPP5" s="390"/>
      <c r="RPQ5" s="390"/>
      <c r="RPR5" s="390"/>
      <c r="RPS5" s="390"/>
      <c r="RPT5" s="390"/>
      <c r="RPU5" s="390"/>
      <c r="RPV5" s="390"/>
      <c r="RPW5" s="390"/>
      <c r="RPX5" s="390"/>
      <c r="RPY5" s="390"/>
      <c r="RPZ5" s="390"/>
      <c r="RQA5" s="390"/>
      <c r="RQB5" s="390"/>
      <c r="RQC5" s="390"/>
      <c r="RQD5" s="390"/>
      <c r="RQE5" s="390"/>
      <c r="RQF5" s="390"/>
      <c r="RQG5" s="390"/>
      <c r="RQH5" s="390"/>
      <c r="RQI5" s="390"/>
      <c r="RQJ5" s="390"/>
      <c r="RQK5" s="390"/>
      <c r="RQL5" s="390"/>
      <c r="RQM5" s="390"/>
      <c r="RQN5" s="390"/>
      <c r="RQO5" s="390"/>
      <c r="RQP5" s="390"/>
      <c r="RQQ5" s="390"/>
      <c r="RQR5" s="390"/>
      <c r="RQS5" s="390"/>
      <c r="RQT5" s="390"/>
      <c r="RQU5" s="390"/>
      <c r="RQV5" s="390"/>
      <c r="RQW5" s="390"/>
      <c r="RQX5" s="390"/>
      <c r="RQY5" s="390"/>
      <c r="RQZ5" s="390"/>
      <c r="RRA5" s="390"/>
      <c r="RRB5" s="390"/>
      <c r="RRC5" s="390"/>
      <c r="RRD5" s="390"/>
      <c r="RRE5" s="390"/>
      <c r="RRF5" s="390"/>
      <c r="RRG5" s="390"/>
      <c r="RRH5" s="390"/>
      <c r="RRI5" s="390"/>
      <c r="RRJ5" s="390"/>
      <c r="RRK5" s="390"/>
      <c r="RRL5" s="390"/>
      <c r="RRM5" s="390"/>
      <c r="RRN5" s="390"/>
      <c r="RRO5" s="390"/>
      <c r="RRP5" s="390"/>
      <c r="RRQ5" s="390"/>
      <c r="RRR5" s="390"/>
      <c r="RRS5" s="390"/>
      <c r="RRT5" s="390"/>
      <c r="RRU5" s="390"/>
      <c r="RRV5" s="390"/>
      <c r="RRW5" s="390"/>
      <c r="RRX5" s="390"/>
      <c r="RRY5" s="390"/>
      <c r="RRZ5" s="390"/>
      <c r="RSA5" s="390"/>
      <c r="RSB5" s="390"/>
      <c r="RSC5" s="390"/>
      <c r="RSD5" s="390"/>
      <c r="RSE5" s="390"/>
      <c r="RSF5" s="390"/>
      <c r="RSG5" s="390"/>
      <c r="RSH5" s="390"/>
      <c r="RSI5" s="390"/>
      <c r="RSJ5" s="390"/>
      <c r="RSK5" s="390"/>
      <c r="RSL5" s="390"/>
      <c r="RSM5" s="390"/>
      <c r="RSN5" s="390"/>
      <c r="RSO5" s="390"/>
      <c r="RSP5" s="390"/>
      <c r="RSQ5" s="390"/>
      <c r="RSR5" s="390"/>
      <c r="RSS5" s="390"/>
      <c r="RST5" s="390"/>
      <c r="RSU5" s="390"/>
      <c r="RSV5" s="390"/>
      <c r="RSW5" s="390"/>
      <c r="RSX5" s="390"/>
      <c r="RSY5" s="390"/>
      <c r="RSZ5" s="390"/>
      <c r="RTA5" s="390"/>
      <c r="RTB5" s="390"/>
      <c r="RTC5" s="390"/>
      <c r="RTD5" s="390"/>
      <c r="RTE5" s="390"/>
      <c r="RTF5" s="390"/>
      <c r="RTG5" s="390"/>
      <c r="RTH5" s="390"/>
      <c r="RTI5" s="390"/>
      <c r="RTJ5" s="390"/>
      <c r="RTK5" s="390"/>
      <c r="RTL5" s="390"/>
      <c r="RTM5" s="390"/>
      <c r="RTN5" s="390"/>
      <c r="RTO5" s="390"/>
      <c r="RTP5" s="390"/>
      <c r="RTQ5" s="390"/>
      <c r="RTR5" s="390"/>
      <c r="RTS5" s="390"/>
      <c r="RTT5" s="390"/>
      <c r="RTU5" s="390"/>
      <c r="RTV5" s="390"/>
      <c r="RTW5" s="390"/>
      <c r="RTX5" s="390"/>
      <c r="RTY5" s="390"/>
      <c r="RTZ5" s="390"/>
      <c r="RUA5" s="390"/>
      <c r="RUB5" s="390"/>
      <c r="RUC5" s="390"/>
      <c r="RUD5" s="390"/>
      <c r="RUE5" s="390"/>
      <c r="RUF5" s="390"/>
      <c r="RUG5" s="390"/>
      <c r="RUH5" s="390"/>
      <c r="RUI5" s="390"/>
      <c r="RUJ5" s="390"/>
      <c r="RUK5" s="390"/>
      <c r="RUL5" s="390"/>
      <c r="RUM5" s="390"/>
      <c r="RUN5" s="390"/>
      <c r="RUO5" s="390"/>
      <c r="RUP5" s="390"/>
      <c r="RUQ5" s="390"/>
      <c r="RUR5" s="390"/>
      <c r="RUS5" s="390"/>
      <c r="RUT5" s="390"/>
      <c r="RUU5" s="390"/>
      <c r="RUV5" s="390"/>
      <c r="RUW5" s="390"/>
      <c r="RUX5" s="390"/>
      <c r="RUY5" s="390"/>
      <c r="RUZ5" s="390"/>
      <c r="RVA5" s="390"/>
      <c r="RVB5" s="390"/>
      <c r="RVC5" s="390"/>
      <c r="RVD5" s="390"/>
      <c r="RVE5" s="390"/>
      <c r="RVF5" s="390"/>
      <c r="RVG5" s="390"/>
      <c r="RVH5" s="390"/>
      <c r="RVI5" s="390"/>
      <c r="RVJ5" s="390"/>
      <c r="RVK5" s="390"/>
      <c r="RVL5" s="390"/>
      <c r="RVM5" s="390"/>
      <c r="RVN5" s="390"/>
      <c r="RVO5" s="390"/>
      <c r="RVP5" s="390"/>
      <c r="RVQ5" s="390"/>
      <c r="RVR5" s="390"/>
      <c r="RVS5" s="390"/>
      <c r="RVT5" s="390"/>
      <c r="RVU5" s="390"/>
      <c r="RVV5" s="390"/>
      <c r="RVW5" s="390"/>
      <c r="RVX5" s="390"/>
      <c r="RVY5" s="390"/>
      <c r="RVZ5" s="390"/>
      <c r="RWA5" s="390"/>
      <c r="RWB5" s="390"/>
      <c r="RWC5" s="390"/>
      <c r="RWD5" s="390"/>
      <c r="RWE5" s="390"/>
      <c r="RWF5" s="390"/>
      <c r="RWG5" s="390"/>
      <c r="RWH5" s="390"/>
      <c r="RWI5" s="390"/>
      <c r="RWJ5" s="390"/>
      <c r="RWK5" s="390"/>
      <c r="RWL5" s="390"/>
      <c r="RWM5" s="390"/>
      <c r="RWN5" s="390"/>
      <c r="RWO5" s="390"/>
      <c r="RWP5" s="390"/>
      <c r="RWQ5" s="390"/>
      <c r="RWR5" s="390"/>
      <c r="RWS5" s="390"/>
      <c r="RWT5" s="390"/>
      <c r="RWU5" s="390"/>
      <c r="RWV5" s="390"/>
      <c r="RWW5" s="390"/>
      <c r="RWX5" s="390"/>
      <c r="RWY5" s="390"/>
      <c r="RWZ5" s="390"/>
      <c r="RXA5" s="390"/>
      <c r="RXB5" s="390"/>
      <c r="RXC5" s="390"/>
      <c r="RXD5" s="390"/>
      <c r="RXE5" s="390"/>
      <c r="RXF5" s="390"/>
      <c r="RXG5" s="390"/>
      <c r="RXH5" s="390"/>
      <c r="RXI5" s="390"/>
      <c r="RXJ5" s="390"/>
      <c r="RXK5" s="390"/>
      <c r="RXL5" s="390"/>
      <c r="RXM5" s="390"/>
      <c r="RXN5" s="390"/>
      <c r="RXO5" s="390"/>
      <c r="RXP5" s="390"/>
      <c r="RXQ5" s="390"/>
      <c r="RXR5" s="390"/>
      <c r="RXS5" s="390"/>
      <c r="RXT5" s="390"/>
      <c r="RXU5" s="390"/>
      <c r="RXV5" s="390"/>
      <c r="RXW5" s="390"/>
      <c r="RXX5" s="390"/>
      <c r="RXY5" s="390"/>
      <c r="RXZ5" s="390"/>
      <c r="RYA5" s="390"/>
      <c r="RYB5" s="390"/>
      <c r="RYC5" s="390"/>
      <c r="RYD5" s="390"/>
      <c r="RYE5" s="390"/>
      <c r="RYF5" s="390"/>
      <c r="RYG5" s="390"/>
      <c r="RYH5" s="390"/>
      <c r="RYI5" s="390"/>
      <c r="RYJ5" s="390"/>
      <c r="RYK5" s="390"/>
      <c r="RYL5" s="390"/>
      <c r="RYM5" s="390"/>
      <c r="RYN5" s="390"/>
      <c r="RYO5" s="390"/>
      <c r="RYP5" s="390"/>
      <c r="RYQ5" s="390"/>
      <c r="RYR5" s="390"/>
      <c r="RYS5" s="390"/>
      <c r="RYT5" s="390"/>
      <c r="RYU5" s="390"/>
      <c r="RYV5" s="390"/>
      <c r="RYW5" s="390"/>
      <c r="RYX5" s="390"/>
      <c r="RYY5" s="390"/>
      <c r="RYZ5" s="390"/>
      <c r="RZA5" s="390"/>
      <c r="RZB5" s="390"/>
      <c r="RZC5" s="390"/>
      <c r="RZD5" s="390"/>
      <c r="RZE5" s="390"/>
      <c r="RZF5" s="390"/>
      <c r="RZG5" s="390"/>
      <c r="RZH5" s="390"/>
      <c r="RZI5" s="390"/>
      <c r="RZJ5" s="390"/>
      <c r="RZK5" s="390"/>
      <c r="RZL5" s="390"/>
      <c r="RZM5" s="390"/>
      <c r="RZN5" s="390"/>
      <c r="RZO5" s="390"/>
      <c r="RZP5" s="390"/>
      <c r="RZQ5" s="390"/>
      <c r="RZR5" s="390"/>
      <c r="RZS5" s="390"/>
      <c r="RZT5" s="390"/>
      <c r="RZU5" s="390"/>
      <c r="RZV5" s="390"/>
      <c r="RZW5" s="390"/>
      <c r="RZX5" s="390"/>
      <c r="RZY5" s="390"/>
      <c r="RZZ5" s="390"/>
      <c r="SAA5" s="390"/>
      <c r="SAB5" s="390"/>
      <c r="SAC5" s="390"/>
      <c r="SAD5" s="390"/>
      <c r="SAE5" s="390"/>
      <c r="SAF5" s="390"/>
      <c r="SAG5" s="390"/>
      <c r="SAH5" s="390"/>
      <c r="SAI5" s="390"/>
      <c r="SAJ5" s="390"/>
      <c r="SAK5" s="390"/>
      <c r="SAL5" s="390"/>
      <c r="SAM5" s="390"/>
      <c r="SAN5" s="390"/>
      <c r="SAO5" s="390"/>
      <c r="SAP5" s="390"/>
      <c r="SAQ5" s="390"/>
      <c r="SAR5" s="390"/>
      <c r="SAS5" s="390"/>
      <c r="SAT5" s="390"/>
      <c r="SAU5" s="390"/>
      <c r="SAV5" s="390"/>
      <c r="SAW5" s="390"/>
      <c r="SAX5" s="390"/>
      <c r="SAY5" s="390"/>
      <c r="SAZ5" s="390"/>
      <c r="SBA5" s="390"/>
      <c r="SBB5" s="390"/>
      <c r="SBC5" s="390"/>
      <c r="SBD5" s="390"/>
      <c r="SBE5" s="390"/>
      <c r="SBF5" s="390"/>
      <c r="SBG5" s="390"/>
      <c r="SBH5" s="390"/>
      <c r="SBI5" s="390"/>
      <c r="SBJ5" s="390"/>
      <c r="SBK5" s="390"/>
      <c r="SBL5" s="390"/>
      <c r="SBM5" s="390"/>
      <c r="SBN5" s="390"/>
      <c r="SBO5" s="390"/>
      <c r="SBP5" s="390"/>
      <c r="SBQ5" s="390"/>
      <c r="SBR5" s="390"/>
      <c r="SBS5" s="390"/>
      <c r="SBT5" s="390"/>
      <c r="SBU5" s="390"/>
      <c r="SBV5" s="390"/>
      <c r="SBW5" s="390"/>
      <c r="SBX5" s="390"/>
      <c r="SBY5" s="390"/>
      <c r="SBZ5" s="390"/>
      <c r="SCA5" s="390"/>
      <c r="SCB5" s="390"/>
      <c r="SCC5" s="390"/>
      <c r="SCD5" s="390"/>
      <c r="SCE5" s="390"/>
      <c r="SCF5" s="390"/>
      <c r="SCG5" s="390"/>
      <c r="SCH5" s="390"/>
      <c r="SCI5" s="390"/>
      <c r="SCJ5" s="390"/>
      <c r="SCK5" s="390"/>
      <c r="SCL5" s="390"/>
      <c r="SCM5" s="390"/>
      <c r="SCN5" s="390"/>
      <c r="SCO5" s="390"/>
      <c r="SCP5" s="390"/>
      <c r="SCQ5" s="390"/>
      <c r="SCR5" s="390"/>
      <c r="SCS5" s="390"/>
      <c r="SCT5" s="390"/>
      <c r="SCU5" s="390"/>
      <c r="SCV5" s="390"/>
      <c r="SCW5" s="390"/>
      <c r="SCX5" s="390"/>
      <c r="SCY5" s="390"/>
      <c r="SCZ5" s="390"/>
      <c r="SDA5" s="390"/>
      <c r="SDB5" s="390"/>
      <c r="SDC5" s="390"/>
      <c r="SDD5" s="390"/>
      <c r="SDE5" s="390"/>
      <c r="SDF5" s="390"/>
      <c r="SDG5" s="390"/>
      <c r="SDH5" s="390"/>
      <c r="SDI5" s="390"/>
      <c r="SDJ5" s="390"/>
      <c r="SDK5" s="390"/>
      <c r="SDL5" s="390"/>
      <c r="SDM5" s="390"/>
      <c r="SDN5" s="390"/>
      <c r="SDO5" s="390"/>
      <c r="SDP5" s="390"/>
      <c r="SDQ5" s="390"/>
      <c r="SDR5" s="390"/>
      <c r="SDS5" s="390"/>
      <c r="SDT5" s="390"/>
      <c r="SDU5" s="390"/>
      <c r="SDV5" s="390"/>
      <c r="SDW5" s="390"/>
      <c r="SDX5" s="390"/>
      <c r="SDY5" s="390"/>
      <c r="SDZ5" s="390"/>
      <c r="SEA5" s="390"/>
      <c r="SEB5" s="390"/>
      <c r="SEC5" s="390"/>
      <c r="SED5" s="390"/>
      <c r="SEE5" s="390"/>
      <c r="SEF5" s="390"/>
      <c r="SEG5" s="390"/>
      <c r="SEH5" s="390"/>
      <c r="SEI5" s="390"/>
      <c r="SEJ5" s="390"/>
      <c r="SEK5" s="390"/>
      <c r="SEL5" s="390"/>
      <c r="SEM5" s="390"/>
      <c r="SEN5" s="390"/>
      <c r="SEO5" s="390"/>
      <c r="SEP5" s="390"/>
      <c r="SEQ5" s="390"/>
      <c r="SER5" s="390"/>
      <c r="SES5" s="390"/>
      <c r="SET5" s="390"/>
      <c r="SEU5" s="390"/>
      <c r="SEV5" s="390"/>
      <c r="SEW5" s="390"/>
      <c r="SEX5" s="390"/>
      <c r="SEY5" s="390"/>
      <c r="SEZ5" s="390"/>
      <c r="SFA5" s="390"/>
      <c r="SFB5" s="390"/>
      <c r="SFC5" s="390"/>
      <c r="SFD5" s="390"/>
      <c r="SFE5" s="390"/>
      <c r="SFF5" s="390"/>
      <c r="SFG5" s="390"/>
      <c r="SFH5" s="390"/>
      <c r="SFI5" s="390"/>
      <c r="SFJ5" s="390"/>
      <c r="SFK5" s="390"/>
      <c r="SFL5" s="390"/>
      <c r="SFM5" s="390"/>
      <c r="SFN5" s="390"/>
      <c r="SFO5" s="390"/>
      <c r="SFP5" s="390"/>
      <c r="SFQ5" s="390"/>
      <c r="SFR5" s="390"/>
      <c r="SFS5" s="390"/>
      <c r="SFT5" s="390"/>
      <c r="SFU5" s="390"/>
      <c r="SFV5" s="390"/>
      <c r="SFW5" s="390"/>
      <c r="SFX5" s="390"/>
      <c r="SFY5" s="390"/>
      <c r="SFZ5" s="390"/>
      <c r="SGA5" s="390"/>
      <c r="SGB5" s="390"/>
      <c r="SGC5" s="390"/>
      <c r="SGD5" s="390"/>
      <c r="SGE5" s="390"/>
      <c r="SGF5" s="390"/>
      <c r="SGG5" s="390"/>
      <c r="SGH5" s="390"/>
      <c r="SGI5" s="390"/>
      <c r="SGJ5" s="390"/>
      <c r="SGK5" s="390"/>
      <c r="SGL5" s="390"/>
      <c r="SGM5" s="390"/>
      <c r="SGN5" s="390"/>
      <c r="SGO5" s="390"/>
      <c r="SGP5" s="390"/>
      <c r="SGQ5" s="390"/>
      <c r="SGR5" s="390"/>
      <c r="SGS5" s="390"/>
      <c r="SGT5" s="390"/>
      <c r="SGU5" s="390"/>
      <c r="SGV5" s="390"/>
      <c r="SGW5" s="390"/>
      <c r="SGX5" s="390"/>
      <c r="SGY5" s="390"/>
      <c r="SGZ5" s="390"/>
      <c r="SHA5" s="390"/>
      <c r="SHB5" s="390"/>
      <c r="SHC5" s="390"/>
      <c r="SHD5" s="390"/>
      <c r="SHE5" s="390"/>
      <c r="SHF5" s="390"/>
      <c r="SHG5" s="390"/>
      <c r="SHH5" s="390"/>
      <c r="SHI5" s="390"/>
      <c r="SHJ5" s="390"/>
      <c r="SHK5" s="390"/>
      <c r="SHL5" s="390"/>
      <c r="SHM5" s="390"/>
      <c r="SHN5" s="390"/>
      <c r="SHO5" s="390"/>
      <c r="SHP5" s="390"/>
      <c r="SHQ5" s="390"/>
      <c r="SHR5" s="390"/>
      <c r="SHS5" s="390"/>
      <c r="SHT5" s="390"/>
      <c r="SHU5" s="390"/>
      <c r="SHV5" s="390"/>
      <c r="SHW5" s="390"/>
      <c r="SHX5" s="390"/>
      <c r="SHY5" s="390"/>
      <c r="SHZ5" s="390"/>
      <c r="SIA5" s="390"/>
      <c r="SIB5" s="390"/>
      <c r="SIC5" s="390"/>
      <c r="SID5" s="390"/>
      <c r="SIE5" s="390"/>
      <c r="SIF5" s="390"/>
      <c r="SIG5" s="390"/>
      <c r="SIH5" s="390"/>
      <c r="SII5" s="390"/>
      <c r="SIJ5" s="390"/>
      <c r="SIK5" s="390"/>
      <c r="SIL5" s="390"/>
      <c r="SIM5" s="390"/>
      <c r="SIN5" s="390"/>
      <c r="SIO5" s="390"/>
      <c r="SIP5" s="390"/>
      <c r="SIQ5" s="390"/>
      <c r="SIR5" s="390"/>
      <c r="SIS5" s="390"/>
      <c r="SIT5" s="390"/>
      <c r="SIU5" s="390"/>
      <c r="SIV5" s="390"/>
      <c r="SIW5" s="390"/>
      <c r="SIX5" s="390"/>
      <c r="SIY5" s="390"/>
      <c r="SIZ5" s="390"/>
      <c r="SJA5" s="390"/>
      <c r="SJB5" s="390"/>
      <c r="SJC5" s="390"/>
      <c r="SJD5" s="390"/>
      <c r="SJE5" s="390"/>
      <c r="SJF5" s="390"/>
      <c r="SJG5" s="390"/>
      <c r="SJH5" s="390"/>
      <c r="SJI5" s="390"/>
      <c r="SJJ5" s="390"/>
      <c r="SJK5" s="390"/>
      <c r="SJL5" s="390"/>
      <c r="SJM5" s="390"/>
      <c r="SJN5" s="390"/>
      <c r="SJO5" s="390"/>
      <c r="SJP5" s="390"/>
      <c r="SJQ5" s="390"/>
      <c r="SJR5" s="390"/>
      <c r="SJS5" s="390"/>
      <c r="SJT5" s="390"/>
      <c r="SJU5" s="390"/>
      <c r="SJV5" s="390"/>
      <c r="SJW5" s="390"/>
      <c r="SJX5" s="390"/>
      <c r="SJY5" s="390"/>
      <c r="SJZ5" s="390"/>
      <c r="SKA5" s="390"/>
      <c r="SKB5" s="390"/>
      <c r="SKC5" s="390"/>
      <c r="SKD5" s="390"/>
      <c r="SKE5" s="390"/>
      <c r="SKF5" s="390"/>
      <c r="SKG5" s="390"/>
      <c r="SKH5" s="390"/>
      <c r="SKI5" s="390"/>
      <c r="SKJ5" s="390"/>
      <c r="SKK5" s="390"/>
      <c r="SKL5" s="390"/>
      <c r="SKM5" s="390"/>
      <c r="SKN5" s="390"/>
      <c r="SKO5" s="390"/>
      <c r="SKP5" s="390"/>
      <c r="SKQ5" s="390"/>
      <c r="SKR5" s="390"/>
      <c r="SKS5" s="390"/>
      <c r="SKT5" s="390"/>
      <c r="SKU5" s="390"/>
      <c r="SKV5" s="390"/>
      <c r="SKW5" s="390"/>
      <c r="SKX5" s="390"/>
      <c r="SKY5" s="390"/>
      <c r="SKZ5" s="390"/>
      <c r="SLA5" s="390"/>
      <c r="SLB5" s="390"/>
      <c r="SLC5" s="390"/>
      <c r="SLD5" s="390"/>
      <c r="SLE5" s="390"/>
      <c r="SLF5" s="390"/>
      <c r="SLG5" s="390"/>
      <c r="SLH5" s="390"/>
      <c r="SLI5" s="390"/>
      <c r="SLJ5" s="390"/>
      <c r="SLK5" s="390"/>
      <c r="SLL5" s="390"/>
      <c r="SLM5" s="390"/>
      <c r="SLN5" s="390"/>
      <c r="SLO5" s="390"/>
      <c r="SLP5" s="390"/>
      <c r="SLQ5" s="390"/>
      <c r="SLR5" s="390"/>
      <c r="SLS5" s="390"/>
      <c r="SLT5" s="390"/>
      <c r="SLU5" s="390"/>
      <c r="SLV5" s="390"/>
      <c r="SLW5" s="390"/>
      <c r="SLX5" s="390"/>
      <c r="SLY5" s="390"/>
      <c r="SLZ5" s="390"/>
      <c r="SMA5" s="390"/>
      <c r="SMB5" s="390"/>
      <c r="SMC5" s="390"/>
      <c r="SMD5" s="390"/>
      <c r="SME5" s="390"/>
      <c r="SMF5" s="390"/>
      <c r="SMG5" s="390"/>
      <c r="SMH5" s="390"/>
      <c r="SMI5" s="390"/>
      <c r="SMJ5" s="390"/>
      <c r="SMK5" s="390"/>
      <c r="SML5" s="390"/>
      <c r="SMM5" s="390"/>
      <c r="SMN5" s="390"/>
      <c r="SMO5" s="390"/>
      <c r="SMP5" s="390"/>
      <c r="SMQ5" s="390"/>
      <c r="SMR5" s="390"/>
      <c r="SMS5" s="390"/>
      <c r="SMT5" s="390"/>
      <c r="SMU5" s="390"/>
      <c r="SMV5" s="390"/>
      <c r="SMW5" s="390"/>
      <c r="SMX5" s="390"/>
      <c r="SMY5" s="390"/>
      <c r="SMZ5" s="390"/>
      <c r="SNA5" s="390"/>
      <c r="SNB5" s="390"/>
      <c r="SNC5" s="390"/>
      <c r="SND5" s="390"/>
      <c r="SNE5" s="390"/>
      <c r="SNF5" s="390"/>
      <c r="SNG5" s="390"/>
      <c r="SNH5" s="390"/>
      <c r="SNI5" s="390"/>
      <c r="SNJ5" s="390"/>
      <c r="SNK5" s="390"/>
      <c r="SNL5" s="390"/>
      <c r="SNM5" s="390"/>
      <c r="SNN5" s="390"/>
      <c r="SNO5" s="390"/>
      <c r="SNP5" s="390"/>
      <c r="SNQ5" s="390"/>
      <c r="SNR5" s="390"/>
      <c r="SNS5" s="390"/>
      <c r="SNT5" s="390"/>
      <c r="SNU5" s="390"/>
      <c r="SNV5" s="390"/>
      <c r="SNW5" s="390"/>
      <c r="SNX5" s="390"/>
      <c r="SNY5" s="390"/>
      <c r="SNZ5" s="390"/>
      <c r="SOA5" s="390"/>
      <c r="SOB5" s="390"/>
      <c r="SOC5" s="390"/>
      <c r="SOD5" s="390"/>
      <c r="SOE5" s="390"/>
      <c r="SOF5" s="390"/>
      <c r="SOG5" s="390"/>
      <c r="SOH5" s="390"/>
      <c r="SOI5" s="390"/>
      <c r="SOJ5" s="390"/>
      <c r="SOK5" s="390"/>
      <c r="SOL5" s="390"/>
      <c r="SOM5" s="390"/>
      <c r="SON5" s="390"/>
      <c r="SOO5" s="390"/>
      <c r="SOP5" s="390"/>
      <c r="SOQ5" s="390"/>
      <c r="SOR5" s="390"/>
      <c r="SOS5" s="390"/>
      <c r="SOT5" s="390"/>
      <c r="SOU5" s="390"/>
      <c r="SOV5" s="390"/>
      <c r="SOW5" s="390"/>
      <c r="SOX5" s="390"/>
      <c r="SOY5" s="390"/>
      <c r="SOZ5" s="390"/>
      <c r="SPA5" s="390"/>
      <c r="SPB5" s="390"/>
      <c r="SPC5" s="390"/>
      <c r="SPD5" s="390"/>
      <c r="SPE5" s="390"/>
      <c r="SPF5" s="390"/>
      <c r="SPG5" s="390"/>
      <c r="SPH5" s="390"/>
      <c r="SPI5" s="390"/>
      <c r="SPJ5" s="390"/>
      <c r="SPK5" s="390"/>
      <c r="SPL5" s="390"/>
      <c r="SPM5" s="390"/>
      <c r="SPN5" s="390"/>
      <c r="SPO5" s="390"/>
      <c r="SPP5" s="390"/>
      <c r="SPQ5" s="390"/>
      <c r="SPR5" s="390"/>
      <c r="SPS5" s="390"/>
      <c r="SPT5" s="390"/>
      <c r="SPU5" s="390"/>
      <c r="SPV5" s="390"/>
      <c r="SPW5" s="390"/>
      <c r="SPX5" s="390"/>
      <c r="SPY5" s="390"/>
      <c r="SPZ5" s="390"/>
      <c r="SQA5" s="390"/>
      <c r="SQB5" s="390"/>
      <c r="SQC5" s="390"/>
      <c r="SQD5" s="390"/>
      <c r="SQE5" s="390"/>
      <c r="SQF5" s="390"/>
      <c r="SQG5" s="390"/>
      <c r="SQH5" s="390"/>
      <c r="SQI5" s="390"/>
      <c r="SQJ5" s="390"/>
      <c r="SQK5" s="390"/>
      <c r="SQL5" s="390"/>
      <c r="SQM5" s="390"/>
      <c r="SQN5" s="390"/>
      <c r="SQO5" s="390"/>
      <c r="SQP5" s="390"/>
      <c r="SQQ5" s="390"/>
      <c r="SQR5" s="390"/>
      <c r="SQS5" s="390"/>
      <c r="SQT5" s="390"/>
      <c r="SQU5" s="390"/>
      <c r="SQV5" s="390"/>
      <c r="SQW5" s="390"/>
      <c r="SQX5" s="390"/>
      <c r="SQY5" s="390"/>
      <c r="SQZ5" s="390"/>
      <c r="SRA5" s="390"/>
      <c r="SRB5" s="390"/>
      <c r="SRC5" s="390"/>
      <c r="SRD5" s="390"/>
      <c r="SRE5" s="390"/>
      <c r="SRF5" s="390"/>
      <c r="SRG5" s="390"/>
      <c r="SRH5" s="390"/>
      <c r="SRI5" s="390"/>
      <c r="SRJ5" s="390"/>
      <c r="SRK5" s="390"/>
      <c r="SRL5" s="390"/>
      <c r="SRM5" s="390"/>
      <c r="SRN5" s="390"/>
      <c r="SRO5" s="390"/>
      <c r="SRP5" s="390"/>
      <c r="SRQ5" s="390"/>
      <c r="SRR5" s="390"/>
      <c r="SRS5" s="390"/>
      <c r="SRT5" s="390"/>
      <c r="SRU5" s="390"/>
      <c r="SRV5" s="390"/>
      <c r="SRW5" s="390"/>
      <c r="SRX5" s="390"/>
      <c r="SRY5" s="390"/>
      <c r="SRZ5" s="390"/>
      <c r="SSA5" s="390"/>
      <c r="SSB5" s="390"/>
      <c r="SSC5" s="390"/>
      <c r="SSD5" s="390"/>
      <c r="SSE5" s="390"/>
      <c r="SSF5" s="390"/>
      <c r="SSG5" s="390"/>
      <c r="SSH5" s="390"/>
      <c r="SSI5" s="390"/>
      <c r="SSJ5" s="390"/>
      <c r="SSK5" s="390"/>
      <c r="SSL5" s="390"/>
      <c r="SSM5" s="390"/>
      <c r="SSN5" s="390"/>
      <c r="SSO5" s="390"/>
      <c r="SSP5" s="390"/>
      <c r="SSQ5" s="390"/>
      <c r="SSR5" s="390"/>
      <c r="SSS5" s="390"/>
      <c r="SST5" s="390"/>
      <c r="SSU5" s="390"/>
      <c r="SSV5" s="390"/>
      <c r="SSW5" s="390"/>
      <c r="SSX5" s="390"/>
      <c r="SSY5" s="390"/>
      <c r="SSZ5" s="390"/>
      <c r="STA5" s="390"/>
      <c r="STB5" s="390"/>
      <c r="STC5" s="390"/>
      <c r="STD5" s="390"/>
      <c r="STE5" s="390"/>
      <c r="STF5" s="390"/>
      <c r="STG5" s="390"/>
      <c r="STH5" s="390"/>
      <c r="STI5" s="390"/>
      <c r="STJ5" s="390"/>
      <c r="STK5" s="390"/>
      <c r="STL5" s="390"/>
      <c r="STM5" s="390"/>
      <c r="STN5" s="390"/>
      <c r="STO5" s="390"/>
      <c r="STP5" s="390"/>
      <c r="STQ5" s="390"/>
      <c r="STR5" s="390"/>
      <c r="STS5" s="390"/>
      <c r="STT5" s="390"/>
      <c r="STU5" s="390"/>
      <c r="STV5" s="390"/>
      <c r="STW5" s="390"/>
      <c r="STX5" s="390"/>
      <c r="STY5" s="390"/>
      <c r="STZ5" s="390"/>
      <c r="SUA5" s="390"/>
      <c r="SUB5" s="390"/>
      <c r="SUC5" s="390"/>
      <c r="SUD5" s="390"/>
      <c r="SUE5" s="390"/>
      <c r="SUF5" s="390"/>
      <c r="SUG5" s="390"/>
      <c r="SUH5" s="390"/>
      <c r="SUI5" s="390"/>
      <c r="SUJ5" s="390"/>
      <c r="SUK5" s="390"/>
      <c r="SUL5" s="390"/>
      <c r="SUM5" s="390"/>
      <c r="SUN5" s="390"/>
      <c r="SUO5" s="390"/>
      <c r="SUP5" s="390"/>
      <c r="SUQ5" s="390"/>
      <c r="SUR5" s="390"/>
      <c r="SUS5" s="390"/>
      <c r="SUT5" s="390"/>
      <c r="SUU5" s="390"/>
      <c r="SUV5" s="390"/>
      <c r="SUW5" s="390"/>
      <c r="SUX5" s="390"/>
      <c r="SUY5" s="390"/>
      <c r="SUZ5" s="390"/>
      <c r="SVA5" s="390"/>
      <c r="SVB5" s="390"/>
      <c r="SVC5" s="390"/>
      <c r="SVD5" s="390"/>
      <c r="SVE5" s="390"/>
      <c r="SVF5" s="390"/>
      <c r="SVG5" s="390"/>
      <c r="SVH5" s="390"/>
      <c r="SVI5" s="390"/>
      <c r="SVJ5" s="390"/>
      <c r="SVK5" s="390"/>
      <c r="SVL5" s="390"/>
      <c r="SVM5" s="390"/>
      <c r="SVN5" s="390"/>
      <c r="SVO5" s="390"/>
      <c r="SVP5" s="390"/>
      <c r="SVQ5" s="390"/>
      <c r="SVR5" s="390"/>
      <c r="SVS5" s="390"/>
      <c r="SVT5" s="390"/>
      <c r="SVU5" s="390"/>
      <c r="SVV5" s="390"/>
      <c r="SVW5" s="390"/>
      <c r="SVX5" s="390"/>
      <c r="SVY5" s="390"/>
      <c r="SVZ5" s="390"/>
      <c r="SWA5" s="390"/>
      <c r="SWB5" s="390"/>
      <c r="SWC5" s="390"/>
      <c r="SWD5" s="390"/>
      <c r="SWE5" s="390"/>
      <c r="SWF5" s="390"/>
      <c r="SWG5" s="390"/>
      <c r="SWH5" s="390"/>
      <c r="SWI5" s="390"/>
      <c r="SWJ5" s="390"/>
      <c r="SWK5" s="390"/>
      <c r="SWL5" s="390"/>
      <c r="SWM5" s="390"/>
      <c r="SWN5" s="390"/>
      <c r="SWO5" s="390"/>
      <c r="SWP5" s="390"/>
      <c r="SWQ5" s="390"/>
      <c r="SWR5" s="390"/>
      <c r="SWS5" s="390"/>
      <c r="SWT5" s="390"/>
      <c r="SWU5" s="390"/>
      <c r="SWV5" s="390"/>
      <c r="SWW5" s="390"/>
      <c r="SWX5" s="390"/>
      <c r="SWY5" s="390"/>
      <c r="SWZ5" s="390"/>
      <c r="SXA5" s="390"/>
      <c r="SXB5" s="390"/>
      <c r="SXC5" s="390"/>
      <c r="SXD5" s="390"/>
      <c r="SXE5" s="390"/>
      <c r="SXF5" s="390"/>
      <c r="SXG5" s="390"/>
      <c r="SXH5" s="390"/>
      <c r="SXI5" s="390"/>
      <c r="SXJ5" s="390"/>
      <c r="SXK5" s="390"/>
      <c r="SXL5" s="390"/>
      <c r="SXM5" s="390"/>
      <c r="SXN5" s="390"/>
      <c r="SXO5" s="390"/>
      <c r="SXP5" s="390"/>
      <c r="SXQ5" s="390"/>
      <c r="SXR5" s="390"/>
      <c r="SXS5" s="390"/>
      <c r="SXT5" s="390"/>
      <c r="SXU5" s="390"/>
      <c r="SXV5" s="390"/>
      <c r="SXW5" s="390"/>
      <c r="SXX5" s="390"/>
      <c r="SXY5" s="390"/>
      <c r="SXZ5" s="390"/>
      <c r="SYA5" s="390"/>
      <c r="SYB5" s="390"/>
      <c r="SYC5" s="390"/>
      <c r="SYD5" s="390"/>
      <c r="SYE5" s="390"/>
      <c r="SYF5" s="390"/>
      <c r="SYG5" s="390"/>
      <c r="SYH5" s="390"/>
      <c r="SYI5" s="390"/>
      <c r="SYJ5" s="390"/>
      <c r="SYK5" s="390"/>
      <c r="SYL5" s="390"/>
      <c r="SYM5" s="390"/>
      <c r="SYN5" s="390"/>
      <c r="SYO5" s="390"/>
      <c r="SYP5" s="390"/>
      <c r="SYQ5" s="390"/>
      <c r="SYR5" s="390"/>
      <c r="SYS5" s="390"/>
      <c r="SYT5" s="390"/>
      <c r="SYU5" s="390"/>
      <c r="SYV5" s="390"/>
      <c r="SYW5" s="390"/>
      <c r="SYX5" s="390"/>
      <c r="SYY5" s="390"/>
      <c r="SYZ5" s="390"/>
      <c r="SZA5" s="390"/>
      <c r="SZB5" s="390"/>
      <c r="SZC5" s="390"/>
      <c r="SZD5" s="390"/>
      <c r="SZE5" s="390"/>
      <c r="SZF5" s="390"/>
      <c r="SZG5" s="390"/>
      <c r="SZH5" s="390"/>
      <c r="SZI5" s="390"/>
      <c r="SZJ5" s="390"/>
      <c r="SZK5" s="390"/>
      <c r="SZL5" s="390"/>
      <c r="SZM5" s="390"/>
      <c r="SZN5" s="390"/>
      <c r="SZO5" s="390"/>
      <c r="SZP5" s="390"/>
      <c r="SZQ5" s="390"/>
      <c r="SZR5" s="390"/>
      <c r="SZS5" s="390"/>
      <c r="SZT5" s="390"/>
      <c r="SZU5" s="390"/>
      <c r="SZV5" s="390"/>
      <c r="SZW5" s="390"/>
      <c r="SZX5" s="390"/>
      <c r="SZY5" s="390"/>
      <c r="SZZ5" s="390"/>
      <c r="TAA5" s="390"/>
      <c r="TAB5" s="390"/>
      <c r="TAC5" s="390"/>
      <c r="TAD5" s="390"/>
      <c r="TAE5" s="390"/>
      <c r="TAF5" s="390"/>
      <c r="TAG5" s="390"/>
      <c r="TAH5" s="390"/>
      <c r="TAI5" s="390"/>
      <c r="TAJ5" s="390"/>
      <c r="TAK5" s="390"/>
      <c r="TAL5" s="390"/>
      <c r="TAM5" s="390"/>
      <c r="TAN5" s="390"/>
      <c r="TAO5" s="390"/>
      <c r="TAP5" s="390"/>
      <c r="TAQ5" s="390"/>
      <c r="TAR5" s="390"/>
      <c r="TAS5" s="390"/>
      <c r="TAT5" s="390"/>
      <c r="TAU5" s="390"/>
      <c r="TAV5" s="390"/>
      <c r="TAW5" s="390"/>
      <c r="TAX5" s="390"/>
      <c r="TAY5" s="390"/>
      <c r="TAZ5" s="390"/>
      <c r="TBA5" s="390"/>
      <c r="TBB5" s="390"/>
      <c r="TBC5" s="390"/>
      <c r="TBD5" s="390"/>
      <c r="TBE5" s="390"/>
      <c r="TBF5" s="390"/>
      <c r="TBG5" s="390"/>
      <c r="TBH5" s="390"/>
      <c r="TBI5" s="390"/>
      <c r="TBJ5" s="390"/>
      <c r="TBK5" s="390"/>
      <c r="TBL5" s="390"/>
      <c r="TBM5" s="390"/>
      <c r="TBN5" s="390"/>
      <c r="TBO5" s="390"/>
      <c r="TBP5" s="390"/>
      <c r="TBQ5" s="390"/>
      <c r="TBR5" s="390"/>
      <c r="TBS5" s="390"/>
      <c r="TBT5" s="390"/>
      <c r="TBU5" s="390"/>
      <c r="TBV5" s="390"/>
      <c r="TBW5" s="390"/>
      <c r="TBX5" s="390"/>
      <c r="TBY5" s="390"/>
      <c r="TBZ5" s="390"/>
      <c r="TCA5" s="390"/>
      <c r="TCB5" s="390"/>
      <c r="TCC5" s="390"/>
      <c r="TCD5" s="390"/>
      <c r="TCE5" s="390"/>
      <c r="TCF5" s="390"/>
      <c r="TCG5" s="390"/>
      <c r="TCH5" s="390"/>
      <c r="TCI5" s="390"/>
      <c r="TCJ5" s="390"/>
      <c r="TCK5" s="390"/>
      <c r="TCL5" s="390"/>
      <c r="TCM5" s="390"/>
      <c r="TCN5" s="390"/>
      <c r="TCO5" s="390"/>
      <c r="TCP5" s="390"/>
      <c r="TCQ5" s="390"/>
      <c r="TCR5" s="390"/>
      <c r="TCS5" s="390"/>
      <c r="TCT5" s="390"/>
      <c r="TCU5" s="390"/>
      <c r="TCV5" s="390"/>
      <c r="TCW5" s="390"/>
      <c r="TCX5" s="390"/>
      <c r="TCY5" s="390"/>
      <c r="TCZ5" s="390"/>
      <c r="TDA5" s="390"/>
      <c r="TDB5" s="390"/>
      <c r="TDC5" s="390"/>
      <c r="TDD5" s="390"/>
      <c r="TDE5" s="390"/>
      <c r="TDF5" s="390"/>
      <c r="TDG5" s="390"/>
      <c r="TDH5" s="390"/>
      <c r="TDI5" s="390"/>
      <c r="TDJ5" s="390"/>
      <c r="TDK5" s="390"/>
      <c r="TDL5" s="390"/>
      <c r="TDM5" s="390"/>
      <c r="TDN5" s="390"/>
      <c r="TDO5" s="390"/>
      <c r="TDP5" s="390"/>
      <c r="TDQ5" s="390"/>
      <c r="TDR5" s="390"/>
      <c r="TDS5" s="390"/>
      <c r="TDT5" s="390"/>
      <c r="TDU5" s="390"/>
      <c r="TDV5" s="390"/>
      <c r="TDW5" s="390"/>
      <c r="TDX5" s="390"/>
      <c r="TDY5" s="390"/>
      <c r="TDZ5" s="390"/>
      <c r="TEA5" s="390"/>
      <c r="TEB5" s="390"/>
      <c r="TEC5" s="390"/>
      <c r="TED5" s="390"/>
      <c r="TEE5" s="390"/>
      <c r="TEF5" s="390"/>
      <c r="TEG5" s="390"/>
      <c r="TEH5" s="390"/>
      <c r="TEI5" s="390"/>
      <c r="TEJ5" s="390"/>
      <c r="TEK5" s="390"/>
      <c r="TEL5" s="390"/>
      <c r="TEM5" s="390"/>
      <c r="TEN5" s="390"/>
      <c r="TEO5" s="390"/>
      <c r="TEP5" s="390"/>
      <c r="TEQ5" s="390"/>
      <c r="TER5" s="390"/>
      <c r="TES5" s="390"/>
      <c r="TET5" s="390"/>
      <c r="TEU5" s="390"/>
      <c r="TEV5" s="390"/>
      <c r="TEW5" s="390"/>
      <c r="TEX5" s="390"/>
      <c r="TEY5" s="390"/>
      <c r="TEZ5" s="390"/>
      <c r="TFA5" s="390"/>
      <c r="TFB5" s="390"/>
      <c r="TFC5" s="390"/>
      <c r="TFD5" s="390"/>
      <c r="TFE5" s="390"/>
      <c r="TFF5" s="390"/>
      <c r="TFG5" s="390"/>
      <c r="TFH5" s="390"/>
      <c r="TFI5" s="390"/>
      <c r="TFJ5" s="390"/>
      <c r="TFK5" s="390"/>
      <c r="TFL5" s="390"/>
      <c r="TFM5" s="390"/>
      <c r="TFN5" s="390"/>
      <c r="TFO5" s="390"/>
      <c r="TFP5" s="390"/>
      <c r="TFQ5" s="390"/>
      <c r="TFR5" s="390"/>
      <c r="TFS5" s="390"/>
      <c r="TFT5" s="390"/>
      <c r="TFU5" s="390"/>
      <c r="TFV5" s="390"/>
      <c r="TFW5" s="390"/>
      <c r="TFX5" s="390"/>
      <c r="TFY5" s="390"/>
      <c r="TFZ5" s="390"/>
      <c r="TGA5" s="390"/>
      <c r="TGB5" s="390"/>
      <c r="TGC5" s="390"/>
      <c r="TGD5" s="390"/>
      <c r="TGE5" s="390"/>
      <c r="TGF5" s="390"/>
      <c r="TGG5" s="390"/>
      <c r="TGH5" s="390"/>
      <c r="TGI5" s="390"/>
      <c r="TGJ5" s="390"/>
      <c r="TGK5" s="390"/>
      <c r="TGL5" s="390"/>
      <c r="TGM5" s="390"/>
      <c r="TGN5" s="390"/>
      <c r="TGO5" s="390"/>
      <c r="TGP5" s="390"/>
      <c r="TGQ5" s="390"/>
      <c r="TGR5" s="390"/>
      <c r="TGS5" s="390"/>
      <c r="TGT5" s="390"/>
      <c r="TGU5" s="390"/>
      <c r="TGV5" s="390"/>
      <c r="TGW5" s="390"/>
      <c r="TGX5" s="390"/>
      <c r="TGY5" s="390"/>
      <c r="TGZ5" s="390"/>
      <c r="THA5" s="390"/>
      <c r="THB5" s="390"/>
      <c r="THC5" s="390"/>
      <c r="THD5" s="390"/>
      <c r="THE5" s="390"/>
      <c r="THF5" s="390"/>
      <c r="THG5" s="390"/>
      <c r="THH5" s="390"/>
      <c r="THI5" s="390"/>
      <c r="THJ5" s="390"/>
      <c r="THK5" s="390"/>
      <c r="THL5" s="390"/>
      <c r="THM5" s="390"/>
      <c r="THN5" s="390"/>
      <c r="THO5" s="390"/>
      <c r="THP5" s="390"/>
      <c r="THQ5" s="390"/>
      <c r="THR5" s="390"/>
      <c r="THS5" s="390"/>
      <c r="THT5" s="390"/>
      <c r="THU5" s="390"/>
      <c r="THV5" s="390"/>
      <c r="THW5" s="390"/>
      <c r="THX5" s="390"/>
      <c r="THY5" s="390"/>
      <c r="THZ5" s="390"/>
      <c r="TIA5" s="390"/>
      <c r="TIB5" s="390"/>
      <c r="TIC5" s="390"/>
      <c r="TID5" s="390"/>
      <c r="TIE5" s="390"/>
      <c r="TIF5" s="390"/>
      <c r="TIG5" s="390"/>
      <c r="TIH5" s="390"/>
      <c r="TII5" s="390"/>
      <c r="TIJ5" s="390"/>
      <c r="TIK5" s="390"/>
      <c r="TIL5" s="390"/>
      <c r="TIM5" s="390"/>
      <c r="TIN5" s="390"/>
      <c r="TIO5" s="390"/>
      <c r="TIP5" s="390"/>
      <c r="TIQ5" s="390"/>
      <c r="TIR5" s="390"/>
      <c r="TIS5" s="390"/>
      <c r="TIT5" s="390"/>
      <c r="TIU5" s="390"/>
      <c r="TIV5" s="390"/>
      <c r="TIW5" s="390"/>
      <c r="TIX5" s="390"/>
      <c r="TIY5" s="390"/>
      <c r="TIZ5" s="390"/>
      <c r="TJA5" s="390"/>
      <c r="TJB5" s="390"/>
      <c r="TJC5" s="390"/>
      <c r="TJD5" s="390"/>
      <c r="TJE5" s="390"/>
      <c r="TJF5" s="390"/>
      <c r="TJG5" s="390"/>
      <c r="TJH5" s="390"/>
      <c r="TJI5" s="390"/>
      <c r="TJJ5" s="390"/>
      <c r="TJK5" s="390"/>
      <c r="TJL5" s="390"/>
      <c r="TJM5" s="390"/>
      <c r="TJN5" s="390"/>
      <c r="TJO5" s="390"/>
      <c r="TJP5" s="390"/>
      <c r="TJQ5" s="390"/>
      <c r="TJR5" s="390"/>
      <c r="TJS5" s="390"/>
      <c r="TJT5" s="390"/>
      <c r="TJU5" s="390"/>
      <c r="TJV5" s="390"/>
      <c r="TJW5" s="390"/>
      <c r="TJX5" s="390"/>
      <c r="TJY5" s="390"/>
      <c r="TJZ5" s="390"/>
      <c r="TKA5" s="390"/>
      <c r="TKB5" s="390"/>
      <c r="TKC5" s="390"/>
      <c r="TKD5" s="390"/>
      <c r="TKE5" s="390"/>
      <c r="TKF5" s="390"/>
      <c r="TKG5" s="390"/>
      <c r="TKH5" s="390"/>
      <c r="TKI5" s="390"/>
      <c r="TKJ5" s="390"/>
      <c r="TKK5" s="390"/>
      <c r="TKL5" s="390"/>
      <c r="TKM5" s="390"/>
      <c r="TKN5" s="390"/>
      <c r="TKO5" s="390"/>
      <c r="TKP5" s="390"/>
      <c r="TKQ5" s="390"/>
      <c r="TKR5" s="390"/>
      <c r="TKS5" s="390"/>
      <c r="TKT5" s="390"/>
      <c r="TKU5" s="390"/>
      <c r="TKV5" s="390"/>
      <c r="TKW5" s="390"/>
      <c r="TKX5" s="390"/>
      <c r="TKY5" s="390"/>
      <c r="TKZ5" s="390"/>
      <c r="TLA5" s="390"/>
      <c r="TLB5" s="390"/>
      <c r="TLC5" s="390"/>
      <c r="TLD5" s="390"/>
      <c r="TLE5" s="390"/>
      <c r="TLF5" s="390"/>
      <c r="TLG5" s="390"/>
      <c r="TLH5" s="390"/>
      <c r="TLI5" s="390"/>
      <c r="TLJ5" s="390"/>
      <c r="TLK5" s="390"/>
      <c r="TLL5" s="390"/>
      <c r="TLM5" s="390"/>
      <c r="TLN5" s="390"/>
      <c r="TLO5" s="390"/>
      <c r="TLP5" s="390"/>
      <c r="TLQ5" s="390"/>
      <c r="TLR5" s="390"/>
      <c r="TLS5" s="390"/>
      <c r="TLT5" s="390"/>
      <c r="TLU5" s="390"/>
      <c r="TLV5" s="390"/>
      <c r="TLW5" s="390"/>
      <c r="TLX5" s="390"/>
      <c r="TLY5" s="390"/>
      <c r="TLZ5" s="390"/>
      <c r="TMA5" s="390"/>
      <c r="TMB5" s="390"/>
      <c r="TMC5" s="390"/>
      <c r="TMD5" s="390"/>
      <c r="TME5" s="390"/>
      <c r="TMF5" s="390"/>
      <c r="TMG5" s="390"/>
      <c r="TMH5" s="390"/>
      <c r="TMI5" s="390"/>
      <c r="TMJ5" s="390"/>
      <c r="TMK5" s="390"/>
      <c r="TML5" s="390"/>
      <c r="TMM5" s="390"/>
      <c r="TMN5" s="390"/>
      <c r="TMO5" s="390"/>
      <c r="TMP5" s="390"/>
      <c r="TMQ5" s="390"/>
      <c r="TMR5" s="390"/>
      <c r="TMS5" s="390"/>
      <c r="TMT5" s="390"/>
      <c r="TMU5" s="390"/>
      <c r="TMV5" s="390"/>
      <c r="TMW5" s="390"/>
      <c r="TMX5" s="390"/>
      <c r="TMY5" s="390"/>
      <c r="TMZ5" s="390"/>
      <c r="TNA5" s="390"/>
      <c r="TNB5" s="390"/>
      <c r="TNC5" s="390"/>
      <c r="TND5" s="390"/>
      <c r="TNE5" s="390"/>
      <c r="TNF5" s="390"/>
      <c r="TNG5" s="390"/>
      <c r="TNH5" s="390"/>
      <c r="TNI5" s="390"/>
      <c r="TNJ5" s="390"/>
      <c r="TNK5" s="390"/>
      <c r="TNL5" s="390"/>
      <c r="TNM5" s="390"/>
      <c r="TNN5" s="390"/>
      <c r="TNO5" s="390"/>
      <c r="TNP5" s="390"/>
      <c r="TNQ5" s="390"/>
      <c r="TNR5" s="390"/>
      <c r="TNS5" s="390"/>
      <c r="TNT5" s="390"/>
      <c r="TNU5" s="390"/>
      <c r="TNV5" s="390"/>
      <c r="TNW5" s="390"/>
      <c r="TNX5" s="390"/>
      <c r="TNY5" s="390"/>
      <c r="TNZ5" s="390"/>
      <c r="TOA5" s="390"/>
      <c r="TOB5" s="390"/>
      <c r="TOC5" s="390"/>
      <c r="TOD5" s="390"/>
      <c r="TOE5" s="390"/>
      <c r="TOF5" s="390"/>
      <c r="TOG5" s="390"/>
      <c r="TOH5" s="390"/>
      <c r="TOI5" s="390"/>
      <c r="TOJ5" s="390"/>
      <c r="TOK5" s="390"/>
      <c r="TOL5" s="390"/>
      <c r="TOM5" s="390"/>
      <c r="TON5" s="390"/>
      <c r="TOO5" s="390"/>
      <c r="TOP5" s="390"/>
      <c r="TOQ5" s="390"/>
      <c r="TOR5" s="390"/>
      <c r="TOS5" s="390"/>
      <c r="TOT5" s="390"/>
      <c r="TOU5" s="390"/>
      <c r="TOV5" s="390"/>
      <c r="TOW5" s="390"/>
      <c r="TOX5" s="390"/>
      <c r="TOY5" s="390"/>
      <c r="TOZ5" s="390"/>
      <c r="TPA5" s="390"/>
      <c r="TPB5" s="390"/>
      <c r="TPC5" s="390"/>
      <c r="TPD5" s="390"/>
      <c r="TPE5" s="390"/>
      <c r="TPF5" s="390"/>
      <c r="TPG5" s="390"/>
      <c r="TPH5" s="390"/>
      <c r="TPI5" s="390"/>
      <c r="TPJ5" s="390"/>
      <c r="TPK5" s="390"/>
      <c r="TPL5" s="390"/>
      <c r="TPM5" s="390"/>
      <c r="TPN5" s="390"/>
      <c r="TPO5" s="390"/>
      <c r="TPP5" s="390"/>
      <c r="TPQ5" s="390"/>
      <c r="TPR5" s="390"/>
      <c r="TPS5" s="390"/>
      <c r="TPT5" s="390"/>
      <c r="TPU5" s="390"/>
      <c r="TPV5" s="390"/>
      <c r="TPW5" s="390"/>
      <c r="TPX5" s="390"/>
      <c r="TPY5" s="390"/>
      <c r="TPZ5" s="390"/>
      <c r="TQA5" s="390"/>
      <c r="TQB5" s="390"/>
      <c r="TQC5" s="390"/>
      <c r="TQD5" s="390"/>
      <c r="TQE5" s="390"/>
      <c r="TQF5" s="390"/>
      <c r="TQG5" s="390"/>
      <c r="TQH5" s="390"/>
      <c r="TQI5" s="390"/>
      <c r="TQJ5" s="390"/>
      <c r="TQK5" s="390"/>
      <c r="TQL5" s="390"/>
      <c r="TQM5" s="390"/>
      <c r="TQN5" s="390"/>
      <c r="TQO5" s="390"/>
      <c r="TQP5" s="390"/>
      <c r="TQQ5" s="390"/>
      <c r="TQR5" s="390"/>
      <c r="TQS5" s="390"/>
      <c r="TQT5" s="390"/>
      <c r="TQU5" s="390"/>
      <c r="TQV5" s="390"/>
      <c r="TQW5" s="390"/>
      <c r="TQX5" s="390"/>
      <c r="TQY5" s="390"/>
      <c r="TQZ5" s="390"/>
      <c r="TRA5" s="390"/>
      <c r="TRB5" s="390"/>
      <c r="TRC5" s="390"/>
      <c r="TRD5" s="390"/>
      <c r="TRE5" s="390"/>
      <c r="TRF5" s="390"/>
      <c r="TRG5" s="390"/>
      <c r="TRH5" s="390"/>
      <c r="TRI5" s="390"/>
      <c r="TRJ5" s="390"/>
      <c r="TRK5" s="390"/>
      <c r="TRL5" s="390"/>
      <c r="TRM5" s="390"/>
      <c r="TRN5" s="390"/>
      <c r="TRO5" s="390"/>
      <c r="TRP5" s="390"/>
      <c r="TRQ5" s="390"/>
      <c r="TRR5" s="390"/>
      <c r="TRS5" s="390"/>
      <c r="TRT5" s="390"/>
      <c r="TRU5" s="390"/>
      <c r="TRV5" s="390"/>
      <c r="TRW5" s="390"/>
      <c r="TRX5" s="390"/>
      <c r="TRY5" s="390"/>
      <c r="TRZ5" s="390"/>
      <c r="TSA5" s="390"/>
      <c r="TSB5" s="390"/>
      <c r="TSC5" s="390"/>
      <c r="TSD5" s="390"/>
      <c r="TSE5" s="390"/>
      <c r="TSF5" s="390"/>
      <c r="TSG5" s="390"/>
      <c r="TSH5" s="390"/>
      <c r="TSI5" s="390"/>
      <c r="TSJ5" s="390"/>
      <c r="TSK5" s="390"/>
      <c r="TSL5" s="390"/>
      <c r="TSM5" s="390"/>
      <c r="TSN5" s="390"/>
      <c r="TSO5" s="390"/>
      <c r="TSP5" s="390"/>
      <c r="TSQ5" s="390"/>
      <c r="TSR5" s="390"/>
      <c r="TSS5" s="390"/>
      <c r="TST5" s="390"/>
      <c r="TSU5" s="390"/>
      <c r="TSV5" s="390"/>
      <c r="TSW5" s="390"/>
      <c r="TSX5" s="390"/>
      <c r="TSY5" s="390"/>
      <c r="TSZ5" s="390"/>
      <c r="TTA5" s="390"/>
      <c r="TTB5" s="390"/>
      <c r="TTC5" s="390"/>
      <c r="TTD5" s="390"/>
      <c r="TTE5" s="390"/>
      <c r="TTF5" s="390"/>
      <c r="TTG5" s="390"/>
      <c r="TTH5" s="390"/>
      <c r="TTI5" s="390"/>
      <c r="TTJ5" s="390"/>
      <c r="TTK5" s="390"/>
      <c r="TTL5" s="390"/>
      <c r="TTM5" s="390"/>
      <c r="TTN5" s="390"/>
      <c r="TTO5" s="390"/>
      <c r="TTP5" s="390"/>
      <c r="TTQ5" s="390"/>
      <c r="TTR5" s="390"/>
      <c r="TTS5" s="390"/>
      <c r="TTT5" s="390"/>
      <c r="TTU5" s="390"/>
      <c r="TTV5" s="390"/>
      <c r="TTW5" s="390"/>
      <c r="TTX5" s="390"/>
      <c r="TTY5" s="390"/>
      <c r="TTZ5" s="390"/>
      <c r="TUA5" s="390"/>
      <c r="TUB5" s="390"/>
      <c r="TUC5" s="390"/>
      <c r="TUD5" s="390"/>
      <c r="TUE5" s="390"/>
      <c r="TUF5" s="390"/>
      <c r="TUG5" s="390"/>
      <c r="TUH5" s="390"/>
      <c r="TUI5" s="390"/>
      <c r="TUJ5" s="390"/>
      <c r="TUK5" s="390"/>
      <c r="TUL5" s="390"/>
      <c r="TUM5" s="390"/>
      <c r="TUN5" s="390"/>
      <c r="TUO5" s="390"/>
      <c r="TUP5" s="390"/>
      <c r="TUQ5" s="390"/>
      <c r="TUR5" s="390"/>
      <c r="TUS5" s="390"/>
      <c r="TUT5" s="390"/>
      <c r="TUU5" s="390"/>
      <c r="TUV5" s="390"/>
      <c r="TUW5" s="390"/>
      <c r="TUX5" s="390"/>
      <c r="TUY5" s="390"/>
      <c r="TUZ5" s="390"/>
      <c r="TVA5" s="390"/>
      <c r="TVB5" s="390"/>
      <c r="TVC5" s="390"/>
      <c r="TVD5" s="390"/>
      <c r="TVE5" s="390"/>
      <c r="TVF5" s="390"/>
      <c r="TVG5" s="390"/>
      <c r="TVH5" s="390"/>
      <c r="TVI5" s="390"/>
      <c r="TVJ5" s="390"/>
      <c r="TVK5" s="390"/>
      <c r="TVL5" s="390"/>
      <c r="TVM5" s="390"/>
      <c r="TVN5" s="390"/>
      <c r="TVO5" s="390"/>
      <c r="TVP5" s="390"/>
      <c r="TVQ5" s="390"/>
      <c r="TVR5" s="390"/>
      <c r="TVS5" s="390"/>
      <c r="TVT5" s="390"/>
      <c r="TVU5" s="390"/>
      <c r="TVV5" s="390"/>
      <c r="TVW5" s="390"/>
      <c r="TVX5" s="390"/>
      <c r="TVY5" s="390"/>
      <c r="TVZ5" s="390"/>
      <c r="TWA5" s="390"/>
      <c r="TWB5" s="390"/>
      <c r="TWC5" s="390"/>
      <c r="TWD5" s="390"/>
      <c r="TWE5" s="390"/>
      <c r="TWF5" s="390"/>
      <c r="TWG5" s="390"/>
      <c r="TWH5" s="390"/>
      <c r="TWI5" s="390"/>
      <c r="TWJ5" s="390"/>
      <c r="TWK5" s="390"/>
      <c r="TWL5" s="390"/>
      <c r="TWM5" s="390"/>
      <c r="TWN5" s="390"/>
      <c r="TWO5" s="390"/>
      <c r="TWP5" s="390"/>
      <c r="TWQ5" s="390"/>
      <c r="TWR5" s="390"/>
      <c r="TWS5" s="390"/>
      <c r="TWT5" s="390"/>
      <c r="TWU5" s="390"/>
      <c r="TWV5" s="390"/>
      <c r="TWW5" s="390"/>
      <c r="TWX5" s="390"/>
      <c r="TWY5" s="390"/>
      <c r="TWZ5" s="390"/>
      <c r="TXA5" s="390"/>
      <c r="TXB5" s="390"/>
      <c r="TXC5" s="390"/>
      <c r="TXD5" s="390"/>
      <c r="TXE5" s="390"/>
      <c r="TXF5" s="390"/>
      <c r="TXG5" s="390"/>
      <c r="TXH5" s="390"/>
      <c r="TXI5" s="390"/>
      <c r="TXJ5" s="390"/>
      <c r="TXK5" s="390"/>
      <c r="TXL5" s="390"/>
      <c r="TXM5" s="390"/>
      <c r="TXN5" s="390"/>
      <c r="TXO5" s="390"/>
      <c r="TXP5" s="390"/>
      <c r="TXQ5" s="390"/>
      <c r="TXR5" s="390"/>
      <c r="TXS5" s="390"/>
      <c r="TXT5" s="390"/>
      <c r="TXU5" s="390"/>
      <c r="TXV5" s="390"/>
      <c r="TXW5" s="390"/>
      <c r="TXX5" s="390"/>
      <c r="TXY5" s="390"/>
      <c r="TXZ5" s="390"/>
      <c r="TYA5" s="390"/>
      <c r="TYB5" s="390"/>
      <c r="TYC5" s="390"/>
      <c r="TYD5" s="390"/>
      <c r="TYE5" s="390"/>
      <c r="TYF5" s="390"/>
      <c r="TYG5" s="390"/>
      <c r="TYH5" s="390"/>
      <c r="TYI5" s="390"/>
      <c r="TYJ5" s="390"/>
      <c r="TYK5" s="390"/>
      <c r="TYL5" s="390"/>
      <c r="TYM5" s="390"/>
      <c r="TYN5" s="390"/>
      <c r="TYO5" s="390"/>
      <c r="TYP5" s="390"/>
      <c r="TYQ5" s="390"/>
      <c r="TYR5" s="390"/>
      <c r="TYS5" s="390"/>
      <c r="TYT5" s="390"/>
      <c r="TYU5" s="390"/>
      <c r="TYV5" s="390"/>
      <c r="TYW5" s="390"/>
      <c r="TYX5" s="390"/>
      <c r="TYY5" s="390"/>
      <c r="TYZ5" s="390"/>
      <c r="TZA5" s="390"/>
      <c r="TZB5" s="390"/>
      <c r="TZC5" s="390"/>
      <c r="TZD5" s="390"/>
      <c r="TZE5" s="390"/>
      <c r="TZF5" s="390"/>
      <c r="TZG5" s="390"/>
      <c r="TZH5" s="390"/>
      <c r="TZI5" s="390"/>
      <c r="TZJ5" s="390"/>
      <c r="TZK5" s="390"/>
      <c r="TZL5" s="390"/>
      <c r="TZM5" s="390"/>
      <c r="TZN5" s="390"/>
      <c r="TZO5" s="390"/>
      <c r="TZP5" s="390"/>
      <c r="TZQ5" s="390"/>
      <c r="TZR5" s="390"/>
      <c r="TZS5" s="390"/>
      <c r="TZT5" s="390"/>
      <c r="TZU5" s="390"/>
      <c r="TZV5" s="390"/>
      <c r="TZW5" s="390"/>
      <c r="TZX5" s="390"/>
      <c r="TZY5" s="390"/>
      <c r="TZZ5" s="390"/>
      <c r="UAA5" s="390"/>
      <c r="UAB5" s="390"/>
      <c r="UAC5" s="390"/>
      <c r="UAD5" s="390"/>
      <c r="UAE5" s="390"/>
      <c r="UAF5" s="390"/>
      <c r="UAG5" s="390"/>
      <c r="UAH5" s="390"/>
      <c r="UAI5" s="390"/>
      <c r="UAJ5" s="390"/>
      <c r="UAK5" s="390"/>
      <c r="UAL5" s="390"/>
      <c r="UAM5" s="390"/>
      <c r="UAN5" s="390"/>
      <c r="UAO5" s="390"/>
      <c r="UAP5" s="390"/>
      <c r="UAQ5" s="390"/>
      <c r="UAR5" s="390"/>
      <c r="UAS5" s="390"/>
      <c r="UAT5" s="390"/>
      <c r="UAU5" s="390"/>
      <c r="UAV5" s="390"/>
      <c r="UAW5" s="390"/>
      <c r="UAX5" s="390"/>
      <c r="UAY5" s="390"/>
      <c r="UAZ5" s="390"/>
      <c r="UBA5" s="390"/>
      <c r="UBB5" s="390"/>
      <c r="UBC5" s="390"/>
      <c r="UBD5" s="390"/>
      <c r="UBE5" s="390"/>
      <c r="UBF5" s="390"/>
      <c r="UBG5" s="390"/>
      <c r="UBH5" s="390"/>
      <c r="UBI5" s="390"/>
      <c r="UBJ5" s="390"/>
      <c r="UBK5" s="390"/>
      <c r="UBL5" s="390"/>
      <c r="UBM5" s="390"/>
      <c r="UBN5" s="390"/>
      <c r="UBO5" s="390"/>
      <c r="UBP5" s="390"/>
      <c r="UBQ5" s="390"/>
      <c r="UBR5" s="390"/>
      <c r="UBS5" s="390"/>
      <c r="UBT5" s="390"/>
      <c r="UBU5" s="390"/>
      <c r="UBV5" s="390"/>
      <c r="UBW5" s="390"/>
      <c r="UBX5" s="390"/>
      <c r="UBY5" s="390"/>
      <c r="UBZ5" s="390"/>
      <c r="UCA5" s="390"/>
      <c r="UCB5" s="390"/>
      <c r="UCC5" s="390"/>
      <c r="UCD5" s="390"/>
      <c r="UCE5" s="390"/>
      <c r="UCF5" s="390"/>
      <c r="UCG5" s="390"/>
      <c r="UCH5" s="390"/>
      <c r="UCI5" s="390"/>
      <c r="UCJ5" s="390"/>
      <c r="UCK5" s="390"/>
      <c r="UCL5" s="390"/>
      <c r="UCM5" s="390"/>
      <c r="UCN5" s="390"/>
      <c r="UCO5" s="390"/>
      <c r="UCP5" s="390"/>
      <c r="UCQ5" s="390"/>
      <c r="UCR5" s="390"/>
      <c r="UCS5" s="390"/>
      <c r="UCT5" s="390"/>
      <c r="UCU5" s="390"/>
      <c r="UCV5" s="390"/>
      <c r="UCW5" s="390"/>
      <c r="UCX5" s="390"/>
      <c r="UCY5" s="390"/>
      <c r="UCZ5" s="390"/>
      <c r="UDA5" s="390"/>
      <c r="UDB5" s="390"/>
      <c r="UDC5" s="390"/>
      <c r="UDD5" s="390"/>
      <c r="UDE5" s="390"/>
      <c r="UDF5" s="390"/>
      <c r="UDG5" s="390"/>
      <c r="UDH5" s="390"/>
      <c r="UDI5" s="390"/>
      <c r="UDJ5" s="390"/>
      <c r="UDK5" s="390"/>
      <c r="UDL5" s="390"/>
      <c r="UDM5" s="390"/>
      <c r="UDN5" s="390"/>
      <c r="UDO5" s="390"/>
      <c r="UDP5" s="390"/>
      <c r="UDQ5" s="390"/>
      <c r="UDR5" s="390"/>
      <c r="UDS5" s="390"/>
      <c r="UDT5" s="390"/>
      <c r="UDU5" s="390"/>
      <c r="UDV5" s="390"/>
      <c r="UDW5" s="390"/>
      <c r="UDX5" s="390"/>
      <c r="UDY5" s="390"/>
      <c r="UDZ5" s="390"/>
      <c r="UEA5" s="390"/>
      <c r="UEB5" s="390"/>
      <c r="UEC5" s="390"/>
      <c r="UED5" s="390"/>
      <c r="UEE5" s="390"/>
      <c r="UEF5" s="390"/>
      <c r="UEG5" s="390"/>
      <c r="UEH5" s="390"/>
      <c r="UEI5" s="390"/>
      <c r="UEJ5" s="390"/>
      <c r="UEK5" s="390"/>
      <c r="UEL5" s="390"/>
      <c r="UEM5" s="390"/>
      <c r="UEN5" s="390"/>
      <c r="UEO5" s="390"/>
      <c r="UEP5" s="390"/>
      <c r="UEQ5" s="390"/>
      <c r="UER5" s="390"/>
      <c r="UES5" s="390"/>
      <c r="UET5" s="390"/>
      <c r="UEU5" s="390"/>
      <c r="UEV5" s="390"/>
      <c r="UEW5" s="390"/>
      <c r="UEX5" s="390"/>
      <c r="UEY5" s="390"/>
      <c r="UEZ5" s="390"/>
      <c r="UFA5" s="390"/>
      <c r="UFB5" s="390"/>
      <c r="UFC5" s="390"/>
      <c r="UFD5" s="390"/>
      <c r="UFE5" s="390"/>
      <c r="UFF5" s="390"/>
      <c r="UFG5" s="390"/>
      <c r="UFH5" s="390"/>
      <c r="UFI5" s="390"/>
      <c r="UFJ5" s="390"/>
      <c r="UFK5" s="390"/>
      <c r="UFL5" s="390"/>
      <c r="UFM5" s="390"/>
      <c r="UFN5" s="390"/>
      <c r="UFO5" s="390"/>
      <c r="UFP5" s="390"/>
      <c r="UFQ5" s="390"/>
      <c r="UFR5" s="390"/>
      <c r="UFS5" s="390"/>
      <c r="UFT5" s="390"/>
      <c r="UFU5" s="390"/>
      <c r="UFV5" s="390"/>
      <c r="UFW5" s="390"/>
      <c r="UFX5" s="390"/>
      <c r="UFY5" s="390"/>
      <c r="UFZ5" s="390"/>
      <c r="UGA5" s="390"/>
      <c r="UGB5" s="390"/>
      <c r="UGC5" s="390"/>
      <c r="UGD5" s="390"/>
      <c r="UGE5" s="390"/>
      <c r="UGF5" s="390"/>
      <c r="UGG5" s="390"/>
      <c r="UGH5" s="390"/>
      <c r="UGI5" s="390"/>
      <c r="UGJ5" s="390"/>
      <c r="UGK5" s="390"/>
      <c r="UGL5" s="390"/>
      <c r="UGM5" s="390"/>
      <c r="UGN5" s="390"/>
      <c r="UGO5" s="390"/>
      <c r="UGP5" s="390"/>
      <c r="UGQ5" s="390"/>
      <c r="UGR5" s="390"/>
      <c r="UGS5" s="390"/>
      <c r="UGT5" s="390"/>
      <c r="UGU5" s="390"/>
      <c r="UGV5" s="390"/>
      <c r="UGW5" s="390"/>
      <c r="UGX5" s="390"/>
      <c r="UGY5" s="390"/>
      <c r="UGZ5" s="390"/>
      <c r="UHA5" s="390"/>
      <c r="UHB5" s="390"/>
      <c r="UHC5" s="390"/>
      <c r="UHD5" s="390"/>
      <c r="UHE5" s="390"/>
      <c r="UHF5" s="390"/>
      <c r="UHG5" s="390"/>
      <c r="UHH5" s="390"/>
      <c r="UHI5" s="390"/>
      <c r="UHJ5" s="390"/>
      <c r="UHK5" s="390"/>
      <c r="UHL5" s="390"/>
      <c r="UHM5" s="390"/>
      <c r="UHN5" s="390"/>
      <c r="UHO5" s="390"/>
      <c r="UHP5" s="390"/>
      <c r="UHQ5" s="390"/>
      <c r="UHR5" s="390"/>
      <c r="UHS5" s="390"/>
      <c r="UHT5" s="390"/>
      <c r="UHU5" s="390"/>
      <c r="UHV5" s="390"/>
      <c r="UHW5" s="390"/>
      <c r="UHX5" s="390"/>
      <c r="UHY5" s="390"/>
      <c r="UHZ5" s="390"/>
      <c r="UIA5" s="390"/>
      <c r="UIB5" s="390"/>
      <c r="UIC5" s="390"/>
      <c r="UID5" s="390"/>
      <c r="UIE5" s="390"/>
      <c r="UIF5" s="390"/>
      <c r="UIG5" s="390"/>
      <c r="UIH5" s="390"/>
      <c r="UII5" s="390"/>
      <c r="UIJ5" s="390"/>
      <c r="UIK5" s="390"/>
      <c r="UIL5" s="390"/>
      <c r="UIM5" s="390"/>
      <c r="UIN5" s="390"/>
      <c r="UIO5" s="390"/>
      <c r="UIP5" s="390"/>
      <c r="UIQ5" s="390"/>
      <c r="UIR5" s="390"/>
      <c r="UIS5" s="390"/>
      <c r="UIT5" s="390"/>
      <c r="UIU5" s="390"/>
      <c r="UIV5" s="390"/>
      <c r="UIW5" s="390"/>
      <c r="UIX5" s="390"/>
      <c r="UIY5" s="390"/>
      <c r="UIZ5" s="390"/>
      <c r="UJA5" s="390"/>
      <c r="UJB5" s="390"/>
      <c r="UJC5" s="390"/>
      <c r="UJD5" s="390"/>
      <c r="UJE5" s="390"/>
      <c r="UJF5" s="390"/>
      <c r="UJG5" s="390"/>
      <c r="UJH5" s="390"/>
      <c r="UJI5" s="390"/>
      <c r="UJJ5" s="390"/>
      <c r="UJK5" s="390"/>
      <c r="UJL5" s="390"/>
      <c r="UJM5" s="390"/>
      <c r="UJN5" s="390"/>
      <c r="UJO5" s="390"/>
      <c r="UJP5" s="390"/>
      <c r="UJQ5" s="390"/>
      <c r="UJR5" s="390"/>
      <c r="UJS5" s="390"/>
      <c r="UJT5" s="390"/>
      <c r="UJU5" s="390"/>
      <c r="UJV5" s="390"/>
      <c r="UJW5" s="390"/>
      <c r="UJX5" s="390"/>
      <c r="UJY5" s="390"/>
      <c r="UJZ5" s="390"/>
      <c r="UKA5" s="390"/>
      <c r="UKB5" s="390"/>
      <c r="UKC5" s="390"/>
      <c r="UKD5" s="390"/>
      <c r="UKE5" s="390"/>
      <c r="UKF5" s="390"/>
      <c r="UKG5" s="390"/>
      <c r="UKH5" s="390"/>
      <c r="UKI5" s="390"/>
      <c r="UKJ5" s="390"/>
      <c r="UKK5" s="390"/>
      <c r="UKL5" s="390"/>
      <c r="UKM5" s="390"/>
      <c r="UKN5" s="390"/>
      <c r="UKO5" s="390"/>
      <c r="UKP5" s="390"/>
      <c r="UKQ5" s="390"/>
      <c r="UKR5" s="390"/>
      <c r="UKS5" s="390"/>
      <c r="UKT5" s="390"/>
      <c r="UKU5" s="390"/>
      <c r="UKV5" s="390"/>
      <c r="UKW5" s="390"/>
      <c r="UKX5" s="390"/>
      <c r="UKY5" s="390"/>
      <c r="UKZ5" s="390"/>
      <c r="ULA5" s="390"/>
      <c r="ULB5" s="390"/>
      <c r="ULC5" s="390"/>
      <c r="ULD5" s="390"/>
      <c r="ULE5" s="390"/>
      <c r="ULF5" s="390"/>
      <c r="ULG5" s="390"/>
      <c r="ULH5" s="390"/>
      <c r="ULI5" s="390"/>
      <c r="ULJ5" s="390"/>
      <c r="ULK5" s="390"/>
      <c r="ULL5" s="390"/>
      <c r="ULM5" s="390"/>
      <c r="ULN5" s="390"/>
      <c r="ULO5" s="390"/>
      <c r="ULP5" s="390"/>
      <c r="ULQ5" s="390"/>
      <c r="ULR5" s="390"/>
      <c r="ULS5" s="390"/>
      <c r="ULT5" s="390"/>
      <c r="ULU5" s="390"/>
      <c r="ULV5" s="390"/>
      <c r="ULW5" s="390"/>
      <c r="ULX5" s="390"/>
      <c r="ULY5" s="390"/>
      <c r="ULZ5" s="390"/>
      <c r="UMA5" s="390"/>
      <c r="UMB5" s="390"/>
      <c r="UMC5" s="390"/>
      <c r="UMD5" s="390"/>
      <c r="UME5" s="390"/>
      <c r="UMF5" s="390"/>
      <c r="UMG5" s="390"/>
      <c r="UMH5" s="390"/>
      <c r="UMI5" s="390"/>
      <c r="UMJ5" s="390"/>
      <c r="UMK5" s="390"/>
      <c r="UML5" s="390"/>
      <c r="UMM5" s="390"/>
      <c r="UMN5" s="390"/>
      <c r="UMO5" s="390"/>
      <c r="UMP5" s="390"/>
      <c r="UMQ5" s="390"/>
      <c r="UMR5" s="390"/>
      <c r="UMS5" s="390"/>
      <c r="UMT5" s="390"/>
      <c r="UMU5" s="390"/>
      <c r="UMV5" s="390"/>
      <c r="UMW5" s="390"/>
      <c r="UMX5" s="390"/>
      <c r="UMY5" s="390"/>
      <c r="UMZ5" s="390"/>
      <c r="UNA5" s="390"/>
      <c r="UNB5" s="390"/>
      <c r="UNC5" s="390"/>
      <c r="UND5" s="390"/>
      <c r="UNE5" s="390"/>
      <c r="UNF5" s="390"/>
      <c r="UNG5" s="390"/>
      <c r="UNH5" s="390"/>
      <c r="UNI5" s="390"/>
      <c r="UNJ5" s="390"/>
      <c r="UNK5" s="390"/>
      <c r="UNL5" s="390"/>
      <c r="UNM5" s="390"/>
      <c r="UNN5" s="390"/>
      <c r="UNO5" s="390"/>
      <c r="UNP5" s="390"/>
      <c r="UNQ5" s="390"/>
      <c r="UNR5" s="390"/>
      <c r="UNS5" s="390"/>
      <c r="UNT5" s="390"/>
      <c r="UNU5" s="390"/>
      <c r="UNV5" s="390"/>
      <c r="UNW5" s="390"/>
      <c r="UNX5" s="390"/>
      <c r="UNY5" s="390"/>
      <c r="UNZ5" s="390"/>
      <c r="UOA5" s="390"/>
      <c r="UOB5" s="390"/>
      <c r="UOC5" s="390"/>
      <c r="UOD5" s="390"/>
      <c r="UOE5" s="390"/>
      <c r="UOF5" s="390"/>
      <c r="UOG5" s="390"/>
      <c r="UOH5" s="390"/>
      <c r="UOI5" s="390"/>
      <c r="UOJ5" s="390"/>
      <c r="UOK5" s="390"/>
      <c r="UOL5" s="390"/>
      <c r="UOM5" s="390"/>
      <c r="UON5" s="390"/>
      <c r="UOO5" s="390"/>
      <c r="UOP5" s="390"/>
      <c r="UOQ5" s="390"/>
      <c r="UOR5" s="390"/>
      <c r="UOS5" s="390"/>
      <c r="UOT5" s="390"/>
      <c r="UOU5" s="390"/>
      <c r="UOV5" s="390"/>
      <c r="UOW5" s="390"/>
      <c r="UOX5" s="390"/>
      <c r="UOY5" s="390"/>
      <c r="UOZ5" s="390"/>
      <c r="UPA5" s="390"/>
      <c r="UPB5" s="390"/>
      <c r="UPC5" s="390"/>
      <c r="UPD5" s="390"/>
      <c r="UPE5" s="390"/>
      <c r="UPF5" s="390"/>
      <c r="UPG5" s="390"/>
      <c r="UPH5" s="390"/>
      <c r="UPI5" s="390"/>
      <c r="UPJ5" s="390"/>
      <c r="UPK5" s="390"/>
      <c r="UPL5" s="390"/>
      <c r="UPM5" s="390"/>
      <c r="UPN5" s="390"/>
      <c r="UPO5" s="390"/>
      <c r="UPP5" s="390"/>
      <c r="UPQ5" s="390"/>
      <c r="UPR5" s="390"/>
      <c r="UPS5" s="390"/>
      <c r="UPT5" s="390"/>
      <c r="UPU5" s="390"/>
      <c r="UPV5" s="390"/>
      <c r="UPW5" s="390"/>
      <c r="UPX5" s="390"/>
      <c r="UPY5" s="390"/>
      <c r="UPZ5" s="390"/>
      <c r="UQA5" s="390"/>
      <c r="UQB5" s="390"/>
      <c r="UQC5" s="390"/>
      <c r="UQD5" s="390"/>
      <c r="UQE5" s="390"/>
      <c r="UQF5" s="390"/>
      <c r="UQG5" s="390"/>
      <c r="UQH5" s="390"/>
      <c r="UQI5" s="390"/>
      <c r="UQJ5" s="390"/>
      <c r="UQK5" s="390"/>
      <c r="UQL5" s="390"/>
      <c r="UQM5" s="390"/>
      <c r="UQN5" s="390"/>
      <c r="UQO5" s="390"/>
      <c r="UQP5" s="390"/>
      <c r="UQQ5" s="390"/>
      <c r="UQR5" s="390"/>
      <c r="UQS5" s="390"/>
      <c r="UQT5" s="390"/>
      <c r="UQU5" s="390"/>
      <c r="UQV5" s="390"/>
      <c r="UQW5" s="390"/>
      <c r="UQX5" s="390"/>
      <c r="UQY5" s="390"/>
      <c r="UQZ5" s="390"/>
      <c r="URA5" s="390"/>
      <c r="URB5" s="390"/>
      <c r="URC5" s="390"/>
      <c r="URD5" s="390"/>
      <c r="URE5" s="390"/>
      <c r="URF5" s="390"/>
      <c r="URG5" s="390"/>
      <c r="URH5" s="390"/>
      <c r="URI5" s="390"/>
      <c r="URJ5" s="390"/>
      <c r="URK5" s="390"/>
      <c r="URL5" s="390"/>
      <c r="URM5" s="390"/>
      <c r="URN5" s="390"/>
      <c r="URO5" s="390"/>
      <c r="URP5" s="390"/>
      <c r="URQ5" s="390"/>
      <c r="URR5" s="390"/>
      <c r="URS5" s="390"/>
      <c r="URT5" s="390"/>
      <c r="URU5" s="390"/>
      <c r="URV5" s="390"/>
      <c r="URW5" s="390"/>
      <c r="URX5" s="390"/>
      <c r="URY5" s="390"/>
      <c r="URZ5" s="390"/>
      <c r="USA5" s="390"/>
      <c r="USB5" s="390"/>
      <c r="USC5" s="390"/>
      <c r="USD5" s="390"/>
      <c r="USE5" s="390"/>
      <c r="USF5" s="390"/>
      <c r="USG5" s="390"/>
      <c r="USH5" s="390"/>
      <c r="USI5" s="390"/>
      <c r="USJ5" s="390"/>
      <c r="USK5" s="390"/>
      <c r="USL5" s="390"/>
      <c r="USM5" s="390"/>
      <c r="USN5" s="390"/>
      <c r="USO5" s="390"/>
      <c r="USP5" s="390"/>
      <c r="USQ5" s="390"/>
      <c r="USR5" s="390"/>
      <c r="USS5" s="390"/>
      <c r="UST5" s="390"/>
      <c r="USU5" s="390"/>
      <c r="USV5" s="390"/>
      <c r="USW5" s="390"/>
      <c r="USX5" s="390"/>
      <c r="USY5" s="390"/>
      <c r="USZ5" s="390"/>
      <c r="UTA5" s="390"/>
      <c r="UTB5" s="390"/>
      <c r="UTC5" s="390"/>
      <c r="UTD5" s="390"/>
      <c r="UTE5" s="390"/>
      <c r="UTF5" s="390"/>
      <c r="UTG5" s="390"/>
      <c r="UTH5" s="390"/>
      <c r="UTI5" s="390"/>
      <c r="UTJ5" s="390"/>
      <c r="UTK5" s="390"/>
      <c r="UTL5" s="390"/>
      <c r="UTM5" s="390"/>
      <c r="UTN5" s="390"/>
      <c r="UTO5" s="390"/>
      <c r="UTP5" s="390"/>
      <c r="UTQ5" s="390"/>
      <c r="UTR5" s="390"/>
      <c r="UTS5" s="390"/>
      <c r="UTT5" s="390"/>
      <c r="UTU5" s="390"/>
      <c r="UTV5" s="390"/>
      <c r="UTW5" s="390"/>
      <c r="UTX5" s="390"/>
      <c r="UTY5" s="390"/>
      <c r="UTZ5" s="390"/>
      <c r="UUA5" s="390"/>
      <c r="UUB5" s="390"/>
      <c r="UUC5" s="390"/>
      <c r="UUD5" s="390"/>
      <c r="UUE5" s="390"/>
      <c r="UUF5" s="390"/>
      <c r="UUG5" s="390"/>
      <c r="UUH5" s="390"/>
      <c r="UUI5" s="390"/>
      <c r="UUJ5" s="390"/>
      <c r="UUK5" s="390"/>
      <c r="UUL5" s="390"/>
      <c r="UUM5" s="390"/>
      <c r="UUN5" s="390"/>
      <c r="UUO5" s="390"/>
      <c r="UUP5" s="390"/>
      <c r="UUQ5" s="390"/>
      <c r="UUR5" s="390"/>
      <c r="UUS5" s="390"/>
      <c r="UUT5" s="390"/>
      <c r="UUU5" s="390"/>
      <c r="UUV5" s="390"/>
      <c r="UUW5" s="390"/>
      <c r="UUX5" s="390"/>
      <c r="UUY5" s="390"/>
      <c r="UUZ5" s="390"/>
      <c r="UVA5" s="390"/>
      <c r="UVB5" s="390"/>
      <c r="UVC5" s="390"/>
      <c r="UVD5" s="390"/>
      <c r="UVE5" s="390"/>
      <c r="UVF5" s="390"/>
      <c r="UVG5" s="390"/>
      <c r="UVH5" s="390"/>
      <c r="UVI5" s="390"/>
      <c r="UVJ5" s="390"/>
      <c r="UVK5" s="390"/>
      <c r="UVL5" s="390"/>
      <c r="UVM5" s="390"/>
      <c r="UVN5" s="390"/>
      <c r="UVO5" s="390"/>
      <c r="UVP5" s="390"/>
      <c r="UVQ5" s="390"/>
      <c r="UVR5" s="390"/>
      <c r="UVS5" s="390"/>
      <c r="UVT5" s="390"/>
      <c r="UVU5" s="390"/>
      <c r="UVV5" s="390"/>
      <c r="UVW5" s="390"/>
      <c r="UVX5" s="390"/>
      <c r="UVY5" s="390"/>
      <c r="UVZ5" s="390"/>
      <c r="UWA5" s="390"/>
      <c r="UWB5" s="390"/>
      <c r="UWC5" s="390"/>
      <c r="UWD5" s="390"/>
      <c r="UWE5" s="390"/>
      <c r="UWF5" s="390"/>
      <c r="UWG5" s="390"/>
      <c r="UWH5" s="390"/>
      <c r="UWI5" s="390"/>
      <c r="UWJ5" s="390"/>
      <c r="UWK5" s="390"/>
      <c r="UWL5" s="390"/>
      <c r="UWM5" s="390"/>
      <c r="UWN5" s="390"/>
      <c r="UWO5" s="390"/>
      <c r="UWP5" s="390"/>
      <c r="UWQ5" s="390"/>
      <c r="UWR5" s="390"/>
      <c r="UWS5" s="390"/>
      <c r="UWT5" s="390"/>
      <c r="UWU5" s="390"/>
      <c r="UWV5" s="390"/>
      <c r="UWW5" s="390"/>
      <c r="UWX5" s="390"/>
      <c r="UWY5" s="390"/>
      <c r="UWZ5" s="390"/>
      <c r="UXA5" s="390"/>
      <c r="UXB5" s="390"/>
      <c r="UXC5" s="390"/>
      <c r="UXD5" s="390"/>
      <c r="UXE5" s="390"/>
      <c r="UXF5" s="390"/>
      <c r="UXG5" s="390"/>
      <c r="UXH5" s="390"/>
      <c r="UXI5" s="390"/>
      <c r="UXJ5" s="390"/>
      <c r="UXK5" s="390"/>
      <c r="UXL5" s="390"/>
      <c r="UXM5" s="390"/>
      <c r="UXN5" s="390"/>
      <c r="UXO5" s="390"/>
      <c r="UXP5" s="390"/>
      <c r="UXQ5" s="390"/>
      <c r="UXR5" s="390"/>
      <c r="UXS5" s="390"/>
      <c r="UXT5" s="390"/>
      <c r="UXU5" s="390"/>
      <c r="UXV5" s="390"/>
      <c r="UXW5" s="390"/>
      <c r="UXX5" s="390"/>
      <c r="UXY5" s="390"/>
      <c r="UXZ5" s="390"/>
      <c r="UYA5" s="390"/>
      <c r="UYB5" s="390"/>
      <c r="UYC5" s="390"/>
      <c r="UYD5" s="390"/>
      <c r="UYE5" s="390"/>
      <c r="UYF5" s="390"/>
      <c r="UYG5" s="390"/>
      <c r="UYH5" s="390"/>
      <c r="UYI5" s="390"/>
      <c r="UYJ5" s="390"/>
      <c r="UYK5" s="390"/>
      <c r="UYL5" s="390"/>
      <c r="UYM5" s="390"/>
      <c r="UYN5" s="390"/>
      <c r="UYO5" s="390"/>
      <c r="UYP5" s="390"/>
      <c r="UYQ5" s="390"/>
      <c r="UYR5" s="390"/>
      <c r="UYS5" s="390"/>
      <c r="UYT5" s="390"/>
      <c r="UYU5" s="390"/>
      <c r="UYV5" s="390"/>
      <c r="UYW5" s="390"/>
      <c r="UYX5" s="390"/>
      <c r="UYY5" s="390"/>
      <c r="UYZ5" s="390"/>
      <c r="UZA5" s="390"/>
      <c r="UZB5" s="390"/>
      <c r="UZC5" s="390"/>
      <c r="UZD5" s="390"/>
      <c r="UZE5" s="390"/>
      <c r="UZF5" s="390"/>
      <c r="UZG5" s="390"/>
      <c r="UZH5" s="390"/>
      <c r="UZI5" s="390"/>
      <c r="UZJ5" s="390"/>
      <c r="UZK5" s="390"/>
      <c r="UZL5" s="390"/>
      <c r="UZM5" s="390"/>
      <c r="UZN5" s="390"/>
      <c r="UZO5" s="390"/>
      <c r="UZP5" s="390"/>
      <c r="UZQ5" s="390"/>
      <c r="UZR5" s="390"/>
      <c r="UZS5" s="390"/>
      <c r="UZT5" s="390"/>
      <c r="UZU5" s="390"/>
      <c r="UZV5" s="390"/>
      <c r="UZW5" s="390"/>
      <c r="UZX5" s="390"/>
      <c r="UZY5" s="390"/>
      <c r="UZZ5" s="390"/>
      <c r="VAA5" s="390"/>
      <c r="VAB5" s="390"/>
      <c r="VAC5" s="390"/>
      <c r="VAD5" s="390"/>
      <c r="VAE5" s="390"/>
      <c r="VAF5" s="390"/>
      <c r="VAG5" s="390"/>
      <c r="VAH5" s="390"/>
      <c r="VAI5" s="390"/>
      <c r="VAJ5" s="390"/>
      <c r="VAK5" s="390"/>
      <c r="VAL5" s="390"/>
      <c r="VAM5" s="390"/>
      <c r="VAN5" s="390"/>
      <c r="VAO5" s="390"/>
      <c r="VAP5" s="390"/>
      <c r="VAQ5" s="390"/>
      <c r="VAR5" s="390"/>
      <c r="VAS5" s="390"/>
      <c r="VAT5" s="390"/>
      <c r="VAU5" s="390"/>
      <c r="VAV5" s="390"/>
      <c r="VAW5" s="390"/>
      <c r="VAX5" s="390"/>
      <c r="VAY5" s="390"/>
      <c r="VAZ5" s="390"/>
      <c r="VBA5" s="390"/>
      <c r="VBB5" s="390"/>
      <c r="VBC5" s="390"/>
      <c r="VBD5" s="390"/>
      <c r="VBE5" s="390"/>
      <c r="VBF5" s="390"/>
      <c r="VBG5" s="390"/>
      <c r="VBH5" s="390"/>
      <c r="VBI5" s="390"/>
      <c r="VBJ5" s="390"/>
      <c r="VBK5" s="390"/>
      <c r="VBL5" s="390"/>
      <c r="VBM5" s="390"/>
      <c r="VBN5" s="390"/>
      <c r="VBO5" s="390"/>
      <c r="VBP5" s="390"/>
      <c r="VBQ5" s="390"/>
      <c r="VBR5" s="390"/>
      <c r="VBS5" s="390"/>
      <c r="VBT5" s="390"/>
      <c r="VBU5" s="390"/>
      <c r="VBV5" s="390"/>
      <c r="VBW5" s="390"/>
      <c r="VBX5" s="390"/>
      <c r="VBY5" s="390"/>
      <c r="VBZ5" s="390"/>
      <c r="VCA5" s="390"/>
      <c r="VCB5" s="390"/>
      <c r="VCC5" s="390"/>
      <c r="VCD5" s="390"/>
      <c r="VCE5" s="390"/>
      <c r="VCF5" s="390"/>
      <c r="VCG5" s="390"/>
      <c r="VCH5" s="390"/>
      <c r="VCI5" s="390"/>
      <c r="VCJ5" s="390"/>
      <c r="VCK5" s="390"/>
      <c r="VCL5" s="390"/>
      <c r="VCM5" s="390"/>
      <c r="VCN5" s="390"/>
      <c r="VCO5" s="390"/>
      <c r="VCP5" s="390"/>
      <c r="VCQ5" s="390"/>
      <c r="VCR5" s="390"/>
      <c r="VCS5" s="390"/>
      <c r="VCT5" s="390"/>
      <c r="VCU5" s="390"/>
      <c r="VCV5" s="390"/>
      <c r="VCW5" s="390"/>
      <c r="VCX5" s="390"/>
      <c r="VCY5" s="390"/>
      <c r="VCZ5" s="390"/>
      <c r="VDA5" s="390"/>
      <c r="VDB5" s="390"/>
      <c r="VDC5" s="390"/>
      <c r="VDD5" s="390"/>
      <c r="VDE5" s="390"/>
      <c r="VDF5" s="390"/>
      <c r="VDG5" s="390"/>
      <c r="VDH5" s="390"/>
      <c r="VDI5" s="390"/>
      <c r="VDJ5" s="390"/>
      <c r="VDK5" s="390"/>
      <c r="VDL5" s="390"/>
      <c r="VDM5" s="390"/>
      <c r="VDN5" s="390"/>
      <c r="VDO5" s="390"/>
      <c r="VDP5" s="390"/>
      <c r="VDQ5" s="390"/>
      <c r="VDR5" s="390"/>
      <c r="VDS5" s="390"/>
      <c r="VDT5" s="390"/>
      <c r="VDU5" s="390"/>
      <c r="VDV5" s="390"/>
      <c r="VDW5" s="390"/>
      <c r="VDX5" s="390"/>
      <c r="VDY5" s="390"/>
      <c r="VDZ5" s="390"/>
      <c r="VEA5" s="390"/>
      <c r="VEB5" s="390"/>
      <c r="VEC5" s="390"/>
      <c r="VED5" s="390"/>
      <c r="VEE5" s="390"/>
      <c r="VEF5" s="390"/>
      <c r="VEG5" s="390"/>
      <c r="VEH5" s="390"/>
      <c r="VEI5" s="390"/>
      <c r="VEJ5" s="390"/>
      <c r="VEK5" s="390"/>
      <c r="VEL5" s="390"/>
      <c r="VEM5" s="390"/>
      <c r="VEN5" s="390"/>
      <c r="VEO5" s="390"/>
      <c r="VEP5" s="390"/>
      <c r="VEQ5" s="390"/>
      <c r="VER5" s="390"/>
      <c r="VES5" s="390"/>
      <c r="VET5" s="390"/>
      <c r="VEU5" s="390"/>
      <c r="VEV5" s="390"/>
      <c r="VEW5" s="390"/>
      <c r="VEX5" s="390"/>
      <c r="VEY5" s="390"/>
      <c r="VEZ5" s="390"/>
      <c r="VFA5" s="390"/>
      <c r="VFB5" s="390"/>
      <c r="VFC5" s="390"/>
      <c r="VFD5" s="390"/>
      <c r="VFE5" s="390"/>
      <c r="VFF5" s="390"/>
      <c r="VFG5" s="390"/>
      <c r="VFH5" s="390"/>
      <c r="VFI5" s="390"/>
      <c r="VFJ5" s="390"/>
      <c r="VFK5" s="390"/>
      <c r="VFL5" s="390"/>
      <c r="VFM5" s="390"/>
      <c r="VFN5" s="390"/>
      <c r="VFO5" s="390"/>
      <c r="VFP5" s="390"/>
      <c r="VFQ5" s="390"/>
      <c r="VFR5" s="390"/>
      <c r="VFS5" s="390"/>
      <c r="VFT5" s="390"/>
      <c r="VFU5" s="390"/>
      <c r="VFV5" s="390"/>
      <c r="VFW5" s="390"/>
      <c r="VFX5" s="390"/>
      <c r="VFY5" s="390"/>
      <c r="VFZ5" s="390"/>
      <c r="VGA5" s="390"/>
      <c r="VGB5" s="390"/>
      <c r="VGC5" s="390"/>
      <c r="VGD5" s="390"/>
      <c r="VGE5" s="390"/>
      <c r="VGF5" s="390"/>
      <c r="VGG5" s="390"/>
      <c r="VGH5" s="390"/>
      <c r="VGI5" s="390"/>
      <c r="VGJ5" s="390"/>
      <c r="VGK5" s="390"/>
      <c r="VGL5" s="390"/>
      <c r="VGM5" s="390"/>
      <c r="VGN5" s="390"/>
      <c r="VGO5" s="390"/>
      <c r="VGP5" s="390"/>
      <c r="VGQ5" s="390"/>
      <c r="VGR5" s="390"/>
      <c r="VGS5" s="390"/>
      <c r="VGT5" s="390"/>
      <c r="VGU5" s="390"/>
      <c r="VGV5" s="390"/>
      <c r="VGW5" s="390"/>
      <c r="VGX5" s="390"/>
      <c r="VGY5" s="390"/>
      <c r="VGZ5" s="390"/>
      <c r="VHA5" s="390"/>
      <c r="VHB5" s="390"/>
      <c r="VHC5" s="390"/>
      <c r="VHD5" s="390"/>
      <c r="VHE5" s="390"/>
      <c r="VHF5" s="390"/>
      <c r="VHG5" s="390"/>
      <c r="VHH5" s="390"/>
      <c r="VHI5" s="390"/>
      <c r="VHJ5" s="390"/>
      <c r="VHK5" s="390"/>
      <c r="VHL5" s="390"/>
      <c r="VHM5" s="390"/>
      <c r="VHN5" s="390"/>
      <c r="VHO5" s="390"/>
      <c r="VHP5" s="390"/>
      <c r="VHQ5" s="390"/>
      <c r="VHR5" s="390"/>
      <c r="VHS5" s="390"/>
      <c r="VHT5" s="390"/>
      <c r="VHU5" s="390"/>
      <c r="VHV5" s="390"/>
      <c r="VHW5" s="390"/>
      <c r="VHX5" s="390"/>
      <c r="VHY5" s="390"/>
      <c r="VHZ5" s="390"/>
      <c r="VIA5" s="390"/>
      <c r="VIB5" s="390"/>
      <c r="VIC5" s="390"/>
      <c r="VID5" s="390"/>
      <c r="VIE5" s="390"/>
      <c r="VIF5" s="390"/>
      <c r="VIG5" s="390"/>
      <c r="VIH5" s="390"/>
      <c r="VII5" s="390"/>
      <c r="VIJ5" s="390"/>
      <c r="VIK5" s="390"/>
      <c r="VIL5" s="390"/>
      <c r="VIM5" s="390"/>
      <c r="VIN5" s="390"/>
      <c r="VIO5" s="390"/>
      <c r="VIP5" s="390"/>
      <c r="VIQ5" s="390"/>
      <c r="VIR5" s="390"/>
      <c r="VIS5" s="390"/>
      <c r="VIT5" s="390"/>
      <c r="VIU5" s="390"/>
      <c r="VIV5" s="390"/>
      <c r="VIW5" s="390"/>
      <c r="VIX5" s="390"/>
      <c r="VIY5" s="390"/>
      <c r="VIZ5" s="390"/>
      <c r="VJA5" s="390"/>
      <c r="VJB5" s="390"/>
      <c r="VJC5" s="390"/>
      <c r="VJD5" s="390"/>
      <c r="VJE5" s="390"/>
      <c r="VJF5" s="390"/>
      <c r="VJG5" s="390"/>
      <c r="VJH5" s="390"/>
      <c r="VJI5" s="390"/>
      <c r="VJJ5" s="390"/>
      <c r="VJK5" s="390"/>
      <c r="VJL5" s="390"/>
      <c r="VJM5" s="390"/>
      <c r="VJN5" s="390"/>
      <c r="VJO5" s="390"/>
      <c r="VJP5" s="390"/>
      <c r="VJQ5" s="390"/>
      <c r="VJR5" s="390"/>
      <c r="VJS5" s="390"/>
      <c r="VJT5" s="390"/>
      <c r="VJU5" s="390"/>
      <c r="VJV5" s="390"/>
      <c r="VJW5" s="390"/>
      <c r="VJX5" s="390"/>
      <c r="VJY5" s="390"/>
      <c r="VJZ5" s="390"/>
      <c r="VKA5" s="390"/>
      <c r="VKB5" s="390"/>
      <c r="VKC5" s="390"/>
      <c r="VKD5" s="390"/>
      <c r="VKE5" s="390"/>
      <c r="VKF5" s="390"/>
      <c r="VKG5" s="390"/>
      <c r="VKH5" s="390"/>
      <c r="VKI5" s="390"/>
      <c r="VKJ5" s="390"/>
      <c r="VKK5" s="390"/>
      <c r="VKL5" s="390"/>
      <c r="VKM5" s="390"/>
      <c r="VKN5" s="390"/>
      <c r="VKO5" s="390"/>
      <c r="VKP5" s="390"/>
      <c r="VKQ5" s="390"/>
      <c r="VKR5" s="390"/>
      <c r="VKS5" s="390"/>
      <c r="VKT5" s="390"/>
      <c r="VKU5" s="390"/>
      <c r="VKV5" s="390"/>
      <c r="VKW5" s="390"/>
      <c r="VKX5" s="390"/>
      <c r="VKY5" s="390"/>
      <c r="VKZ5" s="390"/>
      <c r="VLA5" s="390"/>
      <c r="VLB5" s="390"/>
      <c r="VLC5" s="390"/>
      <c r="VLD5" s="390"/>
      <c r="VLE5" s="390"/>
      <c r="VLF5" s="390"/>
      <c r="VLG5" s="390"/>
      <c r="VLH5" s="390"/>
      <c r="VLI5" s="390"/>
      <c r="VLJ5" s="390"/>
      <c r="VLK5" s="390"/>
      <c r="VLL5" s="390"/>
      <c r="VLM5" s="390"/>
      <c r="VLN5" s="390"/>
      <c r="VLO5" s="390"/>
      <c r="VLP5" s="390"/>
      <c r="VLQ5" s="390"/>
      <c r="VLR5" s="390"/>
      <c r="VLS5" s="390"/>
      <c r="VLT5" s="390"/>
      <c r="VLU5" s="390"/>
      <c r="VLV5" s="390"/>
      <c r="VLW5" s="390"/>
      <c r="VLX5" s="390"/>
      <c r="VLY5" s="390"/>
      <c r="VLZ5" s="390"/>
      <c r="VMA5" s="390"/>
      <c r="VMB5" s="390"/>
      <c r="VMC5" s="390"/>
      <c r="VMD5" s="390"/>
      <c r="VME5" s="390"/>
      <c r="VMF5" s="390"/>
      <c r="VMG5" s="390"/>
      <c r="VMH5" s="390"/>
      <c r="VMI5" s="390"/>
      <c r="VMJ5" s="390"/>
      <c r="VMK5" s="390"/>
      <c r="VML5" s="390"/>
      <c r="VMM5" s="390"/>
      <c r="VMN5" s="390"/>
      <c r="VMO5" s="390"/>
      <c r="VMP5" s="390"/>
      <c r="VMQ5" s="390"/>
      <c r="VMR5" s="390"/>
      <c r="VMS5" s="390"/>
      <c r="VMT5" s="390"/>
      <c r="VMU5" s="390"/>
      <c r="VMV5" s="390"/>
      <c r="VMW5" s="390"/>
      <c r="VMX5" s="390"/>
      <c r="VMY5" s="390"/>
      <c r="VMZ5" s="390"/>
      <c r="VNA5" s="390"/>
      <c r="VNB5" s="390"/>
      <c r="VNC5" s="390"/>
      <c r="VND5" s="390"/>
      <c r="VNE5" s="390"/>
      <c r="VNF5" s="390"/>
      <c r="VNG5" s="390"/>
      <c r="VNH5" s="390"/>
      <c r="VNI5" s="390"/>
      <c r="VNJ5" s="390"/>
      <c r="VNK5" s="390"/>
      <c r="VNL5" s="390"/>
      <c r="VNM5" s="390"/>
      <c r="VNN5" s="390"/>
      <c r="VNO5" s="390"/>
      <c r="VNP5" s="390"/>
      <c r="VNQ5" s="390"/>
      <c r="VNR5" s="390"/>
      <c r="VNS5" s="390"/>
      <c r="VNT5" s="390"/>
      <c r="VNU5" s="390"/>
      <c r="VNV5" s="390"/>
      <c r="VNW5" s="390"/>
      <c r="VNX5" s="390"/>
      <c r="VNY5" s="390"/>
      <c r="VNZ5" s="390"/>
      <c r="VOA5" s="390"/>
      <c r="VOB5" s="390"/>
      <c r="VOC5" s="390"/>
      <c r="VOD5" s="390"/>
      <c r="VOE5" s="390"/>
      <c r="VOF5" s="390"/>
      <c r="VOG5" s="390"/>
      <c r="VOH5" s="390"/>
      <c r="VOI5" s="390"/>
      <c r="VOJ5" s="390"/>
      <c r="VOK5" s="390"/>
      <c r="VOL5" s="390"/>
      <c r="VOM5" s="390"/>
      <c r="VON5" s="390"/>
      <c r="VOO5" s="390"/>
      <c r="VOP5" s="390"/>
      <c r="VOQ5" s="390"/>
      <c r="VOR5" s="390"/>
      <c r="VOS5" s="390"/>
      <c r="VOT5" s="390"/>
      <c r="VOU5" s="390"/>
      <c r="VOV5" s="390"/>
      <c r="VOW5" s="390"/>
      <c r="VOX5" s="390"/>
      <c r="VOY5" s="390"/>
      <c r="VOZ5" s="390"/>
      <c r="VPA5" s="390"/>
      <c r="VPB5" s="390"/>
      <c r="VPC5" s="390"/>
      <c r="VPD5" s="390"/>
      <c r="VPE5" s="390"/>
      <c r="VPF5" s="390"/>
      <c r="VPG5" s="390"/>
      <c r="VPH5" s="390"/>
      <c r="VPI5" s="390"/>
      <c r="VPJ5" s="390"/>
      <c r="VPK5" s="390"/>
      <c r="VPL5" s="390"/>
      <c r="VPM5" s="390"/>
      <c r="VPN5" s="390"/>
      <c r="VPO5" s="390"/>
      <c r="VPP5" s="390"/>
      <c r="VPQ5" s="390"/>
      <c r="VPR5" s="390"/>
      <c r="VPS5" s="390"/>
      <c r="VPT5" s="390"/>
      <c r="VPU5" s="390"/>
      <c r="VPV5" s="390"/>
      <c r="VPW5" s="390"/>
      <c r="VPX5" s="390"/>
      <c r="VPY5" s="390"/>
      <c r="VPZ5" s="390"/>
      <c r="VQA5" s="390"/>
      <c r="VQB5" s="390"/>
      <c r="VQC5" s="390"/>
      <c r="VQD5" s="390"/>
      <c r="VQE5" s="390"/>
      <c r="VQF5" s="390"/>
      <c r="VQG5" s="390"/>
      <c r="VQH5" s="390"/>
      <c r="VQI5" s="390"/>
      <c r="VQJ5" s="390"/>
      <c r="VQK5" s="390"/>
      <c r="VQL5" s="390"/>
      <c r="VQM5" s="390"/>
      <c r="VQN5" s="390"/>
      <c r="VQO5" s="390"/>
      <c r="VQP5" s="390"/>
      <c r="VQQ5" s="390"/>
      <c r="VQR5" s="390"/>
      <c r="VQS5" s="390"/>
      <c r="VQT5" s="390"/>
      <c r="VQU5" s="390"/>
      <c r="VQV5" s="390"/>
      <c r="VQW5" s="390"/>
      <c r="VQX5" s="390"/>
      <c r="VQY5" s="390"/>
      <c r="VQZ5" s="390"/>
      <c r="VRA5" s="390"/>
      <c r="VRB5" s="390"/>
      <c r="VRC5" s="390"/>
      <c r="VRD5" s="390"/>
      <c r="VRE5" s="390"/>
      <c r="VRF5" s="390"/>
      <c r="VRG5" s="390"/>
      <c r="VRH5" s="390"/>
      <c r="VRI5" s="390"/>
      <c r="VRJ5" s="390"/>
      <c r="VRK5" s="390"/>
      <c r="VRL5" s="390"/>
      <c r="VRM5" s="390"/>
      <c r="VRN5" s="390"/>
      <c r="VRO5" s="390"/>
      <c r="VRP5" s="390"/>
      <c r="VRQ5" s="390"/>
      <c r="VRR5" s="390"/>
      <c r="VRS5" s="390"/>
      <c r="VRT5" s="390"/>
      <c r="VRU5" s="390"/>
      <c r="VRV5" s="390"/>
      <c r="VRW5" s="390"/>
      <c r="VRX5" s="390"/>
      <c r="VRY5" s="390"/>
      <c r="VRZ5" s="390"/>
      <c r="VSA5" s="390"/>
      <c r="VSB5" s="390"/>
      <c r="VSC5" s="390"/>
      <c r="VSD5" s="390"/>
      <c r="VSE5" s="390"/>
      <c r="VSF5" s="390"/>
      <c r="VSG5" s="390"/>
      <c r="VSH5" s="390"/>
      <c r="VSI5" s="390"/>
      <c r="VSJ5" s="390"/>
      <c r="VSK5" s="390"/>
      <c r="VSL5" s="390"/>
      <c r="VSM5" s="390"/>
      <c r="VSN5" s="390"/>
      <c r="VSO5" s="390"/>
      <c r="VSP5" s="390"/>
      <c r="VSQ5" s="390"/>
      <c r="VSR5" s="390"/>
      <c r="VSS5" s="390"/>
      <c r="VST5" s="390"/>
      <c r="VSU5" s="390"/>
      <c r="VSV5" s="390"/>
      <c r="VSW5" s="390"/>
      <c r="VSX5" s="390"/>
      <c r="VSY5" s="390"/>
      <c r="VSZ5" s="390"/>
      <c r="VTA5" s="390"/>
      <c r="VTB5" s="390"/>
      <c r="VTC5" s="390"/>
      <c r="VTD5" s="390"/>
      <c r="VTE5" s="390"/>
      <c r="VTF5" s="390"/>
      <c r="VTG5" s="390"/>
      <c r="VTH5" s="390"/>
      <c r="VTI5" s="390"/>
      <c r="VTJ5" s="390"/>
      <c r="VTK5" s="390"/>
      <c r="VTL5" s="390"/>
      <c r="VTM5" s="390"/>
      <c r="VTN5" s="390"/>
      <c r="VTO5" s="390"/>
      <c r="VTP5" s="390"/>
      <c r="VTQ5" s="390"/>
      <c r="VTR5" s="390"/>
      <c r="VTS5" s="390"/>
      <c r="VTT5" s="390"/>
      <c r="VTU5" s="390"/>
      <c r="VTV5" s="390"/>
      <c r="VTW5" s="390"/>
      <c r="VTX5" s="390"/>
      <c r="VTY5" s="390"/>
      <c r="VTZ5" s="390"/>
      <c r="VUA5" s="390"/>
      <c r="VUB5" s="390"/>
      <c r="VUC5" s="390"/>
      <c r="VUD5" s="390"/>
      <c r="VUE5" s="390"/>
      <c r="VUF5" s="390"/>
      <c r="VUG5" s="390"/>
      <c r="VUH5" s="390"/>
      <c r="VUI5" s="390"/>
      <c r="VUJ5" s="390"/>
      <c r="VUK5" s="390"/>
      <c r="VUL5" s="390"/>
      <c r="VUM5" s="390"/>
      <c r="VUN5" s="390"/>
      <c r="VUO5" s="390"/>
      <c r="VUP5" s="390"/>
      <c r="VUQ5" s="390"/>
      <c r="VUR5" s="390"/>
      <c r="VUS5" s="390"/>
      <c r="VUT5" s="390"/>
      <c r="VUU5" s="390"/>
      <c r="VUV5" s="390"/>
      <c r="VUW5" s="390"/>
      <c r="VUX5" s="390"/>
      <c r="VUY5" s="390"/>
      <c r="VUZ5" s="390"/>
      <c r="VVA5" s="390"/>
      <c r="VVB5" s="390"/>
      <c r="VVC5" s="390"/>
      <c r="VVD5" s="390"/>
      <c r="VVE5" s="390"/>
      <c r="VVF5" s="390"/>
      <c r="VVG5" s="390"/>
      <c r="VVH5" s="390"/>
      <c r="VVI5" s="390"/>
      <c r="VVJ5" s="390"/>
      <c r="VVK5" s="390"/>
      <c r="VVL5" s="390"/>
      <c r="VVM5" s="390"/>
      <c r="VVN5" s="390"/>
      <c r="VVO5" s="390"/>
      <c r="VVP5" s="390"/>
      <c r="VVQ5" s="390"/>
      <c r="VVR5" s="390"/>
      <c r="VVS5" s="390"/>
      <c r="VVT5" s="390"/>
      <c r="VVU5" s="390"/>
      <c r="VVV5" s="390"/>
      <c r="VVW5" s="390"/>
      <c r="VVX5" s="390"/>
      <c r="VVY5" s="390"/>
      <c r="VVZ5" s="390"/>
      <c r="VWA5" s="390"/>
      <c r="VWB5" s="390"/>
      <c r="VWC5" s="390"/>
      <c r="VWD5" s="390"/>
      <c r="VWE5" s="390"/>
      <c r="VWF5" s="390"/>
      <c r="VWG5" s="390"/>
      <c r="VWH5" s="390"/>
      <c r="VWI5" s="390"/>
      <c r="VWJ5" s="390"/>
      <c r="VWK5" s="390"/>
      <c r="VWL5" s="390"/>
      <c r="VWM5" s="390"/>
      <c r="VWN5" s="390"/>
      <c r="VWO5" s="390"/>
      <c r="VWP5" s="390"/>
      <c r="VWQ5" s="390"/>
      <c r="VWR5" s="390"/>
      <c r="VWS5" s="390"/>
      <c r="VWT5" s="390"/>
      <c r="VWU5" s="390"/>
      <c r="VWV5" s="390"/>
      <c r="VWW5" s="390"/>
      <c r="VWX5" s="390"/>
      <c r="VWY5" s="390"/>
      <c r="VWZ5" s="390"/>
      <c r="VXA5" s="390"/>
      <c r="VXB5" s="390"/>
      <c r="VXC5" s="390"/>
      <c r="VXD5" s="390"/>
      <c r="VXE5" s="390"/>
      <c r="VXF5" s="390"/>
      <c r="VXG5" s="390"/>
      <c r="VXH5" s="390"/>
      <c r="VXI5" s="390"/>
      <c r="VXJ5" s="390"/>
      <c r="VXK5" s="390"/>
      <c r="VXL5" s="390"/>
      <c r="VXM5" s="390"/>
      <c r="VXN5" s="390"/>
      <c r="VXO5" s="390"/>
      <c r="VXP5" s="390"/>
      <c r="VXQ5" s="390"/>
      <c r="VXR5" s="390"/>
      <c r="VXS5" s="390"/>
      <c r="VXT5" s="390"/>
      <c r="VXU5" s="390"/>
      <c r="VXV5" s="390"/>
      <c r="VXW5" s="390"/>
      <c r="VXX5" s="390"/>
      <c r="VXY5" s="390"/>
      <c r="VXZ5" s="390"/>
      <c r="VYA5" s="390"/>
      <c r="VYB5" s="390"/>
      <c r="VYC5" s="390"/>
      <c r="VYD5" s="390"/>
      <c r="VYE5" s="390"/>
      <c r="VYF5" s="390"/>
      <c r="VYG5" s="390"/>
      <c r="VYH5" s="390"/>
      <c r="VYI5" s="390"/>
      <c r="VYJ5" s="390"/>
      <c r="VYK5" s="390"/>
      <c r="VYL5" s="390"/>
      <c r="VYM5" s="390"/>
      <c r="VYN5" s="390"/>
      <c r="VYO5" s="390"/>
      <c r="VYP5" s="390"/>
      <c r="VYQ5" s="390"/>
      <c r="VYR5" s="390"/>
      <c r="VYS5" s="390"/>
      <c r="VYT5" s="390"/>
      <c r="VYU5" s="390"/>
      <c r="VYV5" s="390"/>
      <c r="VYW5" s="390"/>
      <c r="VYX5" s="390"/>
      <c r="VYY5" s="390"/>
      <c r="VYZ5" s="390"/>
      <c r="VZA5" s="390"/>
      <c r="VZB5" s="390"/>
      <c r="VZC5" s="390"/>
      <c r="VZD5" s="390"/>
      <c r="VZE5" s="390"/>
      <c r="VZF5" s="390"/>
      <c r="VZG5" s="390"/>
      <c r="VZH5" s="390"/>
      <c r="VZI5" s="390"/>
      <c r="VZJ5" s="390"/>
      <c r="VZK5" s="390"/>
      <c r="VZL5" s="390"/>
      <c r="VZM5" s="390"/>
      <c r="VZN5" s="390"/>
      <c r="VZO5" s="390"/>
      <c r="VZP5" s="390"/>
      <c r="VZQ5" s="390"/>
      <c r="VZR5" s="390"/>
      <c r="VZS5" s="390"/>
      <c r="VZT5" s="390"/>
      <c r="VZU5" s="390"/>
      <c r="VZV5" s="390"/>
      <c r="VZW5" s="390"/>
      <c r="VZX5" s="390"/>
      <c r="VZY5" s="390"/>
      <c r="VZZ5" s="390"/>
      <c r="WAA5" s="390"/>
      <c r="WAB5" s="390"/>
      <c r="WAC5" s="390"/>
      <c r="WAD5" s="390"/>
      <c r="WAE5" s="390"/>
      <c r="WAF5" s="390"/>
      <c r="WAG5" s="390"/>
      <c r="WAH5" s="390"/>
      <c r="WAI5" s="390"/>
      <c r="WAJ5" s="390"/>
      <c r="WAK5" s="390"/>
      <c r="WAL5" s="390"/>
      <c r="WAM5" s="390"/>
      <c r="WAN5" s="390"/>
      <c r="WAO5" s="390"/>
      <c r="WAP5" s="390"/>
      <c r="WAQ5" s="390"/>
      <c r="WAR5" s="390"/>
      <c r="WAS5" s="390"/>
      <c r="WAT5" s="390"/>
      <c r="WAU5" s="390"/>
      <c r="WAV5" s="390"/>
      <c r="WAW5" s="390"/>
      <c r="WAX5" s="390"/>
      <c r="WAY5" s="390"/>
      <c r="WAZ5" s="390"/>
      <c r="WBA5" s="390"/>
      <c r="WBB5" s="390"/>
      <c r="WBC5" s="390"/>
      <c r="WBD5" s="390"/>
      <c r="WBE5" s="390"/>
      <c r="WBF5" s="390"/>
      <c r="WBG5" s="390"/>
      <c r="WBH5" s="390"/>
      <c r="WBI5" s="390"/>
      <c r="WBJ5" s="390"/>
      <c r="WBK5" s="390"/>
      <c r="WBL5" s="390"/>
      <c r="WBM5" s="390"/>
      <c r="WBN5" s="390"/>
      <c r="WBO5" s="390"/>
      <c r="WBP5" s="390"/>
      <c r="WBQ5" s="390"/>
      <c r="WBR5" s="390"/>
      <c r="WBS5" s="390"/>
      <c r="WBT5" s="390"/>
      <c r="WBU5" s="390"/>
      <c r="WBV5" s="390"/>
      <c r="WBW5" s="390"/>
      <c r="WBX5" s="390"/>
      <c r="WBY5" s="390"/>
      <c r="WBZ5" s="390"/>
      <c r="WCA5" s="390"/>
      <c r="WCB5" s="390"/>
      <c r="WCC5" s="390"/>
      <c r="WCD5" s="390"/>
      <c r="WCE5" s="390"/>
      <c r="WCF5" s="390"/>
      <c r="WCG5" s="390"/>
      <c r="WCH5" s="390"/>
      <c r="WCI5" s="390"/>
      <c r="WCJ5" s="390"/>
      <c r="WCK5" s="390"/>
      <c r="WCL5" s="390"/>
      <c r="WCM5" s="390"/>
      <c r="WCN5" s="390"/>
      <c r="WCO5" s="390"/>
      <c r="WCP5" s="390"/>
      <c r="WCQ5" s="390"/>
      <c r="WCR5" s="390"/>
      <c r="WCS5" s="390"/>
      <c r="WCT5" s="390"/>
      <c r="WCU5" s="390"/>
      <c r="WCV5" s="390"/>
      <c r="WCW5" s="390"/>
      <c r="WCX5" s="390"/>
      <c r="WCY5" s="390"/>
      <c r="WCZ5" s="390"/>
      <c r="WDA5" s="390"/>
      <c r="WDB5" s="390"/>
      <c r="WDC5" s="390"/>
      <c r="WDD5" s="390"/>
      <c r="WDE5" s="390"/>
      <c r="WDF5" s="390"/>
      <c r="WDG5" s="390"/>
      <c r="WDH5" s="390"/>
      <c r="WDI5" s="390"/>
      <c r="WDJ5" s="390"/>
      <c r="WDK5" s="390"/>
      <c r="WDL5" s="390"/>
      <c r="WDM5" s="390"/>
      <c r="WDN5" s="390"/>
      <c r="WDO5" s="390"/>
      <c r="WDP5" s="390"/>
      <c r="WDQ5" s="390"/>
      <c r="WDR5" s="390"/>
      <c r="WDS5" s="390"/>
      <c r="WDT5" s="390"/>
      <c r="WDU5" s="390"/>
      <c r="WDV5" s="390"/>
      <c r="WDW5" s="390"/>
      <c r="WDX5" s="390"/>
      <c r="WDY5" s="390"/>
      <c r="WDZ5" s="390"/>
      <c r="WEA5" s="390"/>
      <c r="WEB5" s="390"/>
      <c r="WEC5" s="390"/>
      <c r="WED5" s="390"/>
      <c r="WEE5" s="390"/>
      <c r="WEF5" s="390"/>
      <c r="WEG5" s="390"/>
      <c r="WEH5" s="390"/>
      <c r="WEI5" s="390"/>
      <c r="WEJ5" s="390"/>
      <c r="WEK5" s="390"/>
      <c r="WEL5" s="390"/>
      <c r="WEM5" s="390"/>
      <c r="WEN5" s="390"/>
      <c r="WEO5" s="390"/>
      <c r="WEP5" s="390"/>
      <c r="WEQ5" s="390"/>
      <c r="WER5" s="390"/>
      <c r="WES5" s="390"/>
      <c r="WET5" s="390"/>
      <c r="WEU5" s="390"/>
      <c r="WEV5" s="390"/>
      <c r="WEW5" s="390"/>
      <c r="WEX5" s="390"/>
      <c r="WEY5" s="390"/>
      <c r="WEZ5" s="390"/>
      <c r="WFA5" s="390"/>
      <c r="WFB5" s="390"/>
      <c r="WFC5" s="390"/>
      <c r="WFD5" s="390"/>
      <c r="WFE5" s="390"/>
      <c r="WFF5" s="390"/>
      <c r="WFG5" s="390"/>
      <c r="WFH5" s="390"/>
      <c r="WFI5" s="390"/>
      <c r="WFJ5" s="390"/>
      <c r="WFK5" s="390"/>
      <c r="WFL5" s="390"/>
      <c r="WFM5" s="390"/>
      <c r="WFN5" s="390"/>
      <c r="WFO5" s="390"/>
      <c r="WFP5" s="390"/>
      <c r="WFQ5" s="390"/>
      <c r="WFR5" s="390"/>
      <c r="WFS5" s="390"/>
      <c r="WFT5" s="390"/>
      <c r="WFU5" s="390"/>
      <c r="WFV5" s="390"/>
      <c r="WFW5" s="390"/>
      <c r="WFX5" s="390"/>
      <c r="WFY5" s="390"/>
      <c r="WFZ5" s="390"/>
      <c r="WGA5" s="390"/>
      <c r="WGB5" s="390"/>
      <c r="WGC5" s="390"/>
      <c r="WGD5" s="390"/>
      <c r="WGE5" s="390"/>
      <c r="WGF5" s="390"/>
      <c r="WGG5" s="390"/>
      <c r="WGH5" s="390"/>
      <c r="WGI5" s="390"/>
      <c r="WGJ5" s="390"/>
      <c r="WGK5" s="390"/>
      <c r="WGL5" s="390"/>
      <c r="WGM5" s="390"/>
      <c r="WGN5" s="390"/>
      <c r="WGO5" s="390"/>
      <c r="WGP5" s="390"/>
      <c r="WGQ5" s="390"/>
      <c r="WGR5" s="390"/>
      <c r="WGS5" s="390"/>
      <c r="WGT5" s="390"/>
      <c r="WGU5" s="390"/>
      <c r="WGV5" s="390"/>
      <c r="WGW5" s="390"/>
      <c r="WGX5" s="390"/>
      <c r="WGY5" s="390"/>
      <c r="WGZ5" s="390"/>
      <c r="WHA5" s="390"/>
      <c r="WHB5" s="390"/>
      <c r="WHC5" s="390"/>
      <c r="WHD5" s="390"/>
      <c r="WHE5" s="390"/>
      <c r="WHF5" s="390"/>
      <c r="WHG5" s="390"/>
      <c r="WHH5" s="390"/>
      <c r="WHI5" s="390"/>
      <c r="WHJ5" s="390"/>
      <c r="WHK5" s="390"/>
      <c r="WHL5" s="390"/>
      <c r="WHM5" s="390"/>
      <c r="WHN5" s="390"/>
      <c r="WHO5" s="390"/>
      <c r="WHP5" s="390"/>
      <c r="WHQ5" s="390"/>
      <c r="WHR5" s="390"/>
      <c r="WHS5" s="390"/>
      <c r="WHT5" s="390"/>
      <c r="WHU5" s="390"/>
      <c r="WHV5" s="390"/>
      <c r="WHW5" s="390"/>
      <c r="WHX5" s="390"/>
      <c r="WHY5" s="390"/>
      <c r="WHZ5" s="390"/>
      <c r="WIA5" s="390"/>
      <c r="WIB5" s="390"/>
      <c r="WIC5" s="390"/>
      <c r="WID5" s="390"/>
      <c r="WIE5" s="390"/>
      <c r="WIF5" s="390"/>
      <c r="WIG5" s="390"/>
      <c r="WIH5" s="390"/>
      <c r="WII5" s="390"/>
      <c r="WIJ5" s="390"/>
      <c r="WIK5" s="390"/>
      <c r="WIL5" s="390"/>
      <c r="WIM5" s="390"/>
      <c r="WIN5" s="390"/>
      <c r="WIO5" s="390"/>
      <c r="WIP5" s="390"/>
      <c r="WIQ5" s="390"/>
      <c r="WIR5" s="390"/>
      <c r="WIS5" s="390"/>
      <c r="WIT5" s="390"/>
      <c r="WIU5" s="390"/>
      <c r="WIV5" s="390"/>
      <c r="WIW5" s="390"/>
      <c r="WIX5" s="390"/>
      <c r="WIY5" s="390"/>
      <c r="WIZ5" s="390"/>
      <c r="WJA5" s="390"/>
      <c r="WJB5" s="390"/>
      <c r="WJC5" s="390"/>
      <c r="WJD5" s="390"/>
      <c r="WJE5" s="390"/>
      <c r="WJF5" s="390"/>
      <c r="WJG5" s="390"/>
      <c r="WJH5" s="390"/>
      <c r="WJI5" s="390"/>
      <c r="WJJ5" s="390"/>
      <c r="WJK5" s="390"/>
      <c r="WJL5" s="390"/>
      <c r="WJM5" s="390"/>
      <c r="WJN5" s="390"/>
      <c r="WJO5" s="390"/>
      <c r="WJP5" s="390"/>
      <c r="WJQ5" s="390"/>
      <c r="WJR5" s="390"/>
      <c r="WJS5" s="390"/>
      <c r="WJT5" s="390"/>
      <c r="WJU5" s="390"/>
      <c r="WJV5" s="390"/>
      <c r="WJW5" s="390"/>
      <c r="WJX5" s="390"/>
      <c r="WJY5" s="390"/>
      <c r="WJZ5" s="390"/>
      <c r="WKA5" s="390"/>
      <c r="WKB5" s="390"/>
      <c r="WKC5" s="390"/>
      <c r="WKD5" s="390"/>
      <c r="WKE5" s="390"/>
      <c r="WKF5" s="390"/>
      <c r="WKG5" s="390"/>
      <c r="WKH5" s="390"/>
      <c r="WKI5" s="390"/>
      <c r="WKJ5" s="390"/>
      <c r="WKK5" s="390"/>
      <c r="WKL5" s="390"/>
      <c r="WKM5" s="390"/>
      <c r="WKN5" s="390"/>
      <c r="WKO5" s="390"/>
      <c r="WKP5" s="390"/>
      <c r="WKQ5" s="390"/>
      <c r="WKR5" s="390"/>
      <c r="WKS5" s="390"/>
      <c r="WKT5" s="390"/>
      <c r="WKU5" s="390"/>
      <c r="WKV5" s="390"/>
      <c r="WKW5" s="390"/>
      <c r="WKX5" s="390"/>
      <c r="WKY5" s="390"/>
      <c r="WKZ5" s="390"/>
      <c r="WLA5" s="390"/>
      <c r="WLB5" s="390"/>
      <c r="WLC5" s="390"/>
      <c r="WLD5" s="390"/>
      <c r="WLE5" s="390"/>
      <c r="WLF5" s="390"/>
      <c r="WLG5" s="390"/>
      <c r="WLH5" s="390"/>
      <c r="WLI5" s="390"/>
      <c r="WLJ5" s="390"/>
      <c r="WLK5" s="390"/>
      <c r="WLL5" s="390"/>
      <c r="WLM5" s="390"/>
      <c r="WLN5" s="390"/>
      <c r="WLO5" s="390"/>
      <c r="WLP5" s="390"/>
      <c r="WLQ5" s="390"/>
      <c r="WLR5" s="390"/>
      <c r="WLS5" s="390"/>
      <c r="WLT5" s="390"/>
      <c r="WLU5" s="390"/>
      <c r="WLV5" s="390"/>
      <c r="WLW5" s="390"/>
      <c r="WLX5" s="390"/>
      <c r="WLY5" s="390"/>
      <c r="WLZ5" s="390"/>
      <c r="WMA5" s="390"/>
      <c r="WMB5" s="390"/>
      <c r="WMC5" s="390"/>
      <c r="WMD5" s="390"/>
      <c r="WME5" s="390"/>
      <c r="WMF5" s="390"/>
      <c r="WMG5" s="390"/>
      <c r="WMH5" s="390"/>
      <c r="WMI5" s="390"/>
      <c r="WMJ5" s="390"/>
      <c r="WMK5" s="390"/>
      <c r="WML5" s="390"/>
      <c r="WMM5" s="390"/>
      <c r="WMN5" s="390"/>
      <c r="WMO5" s="390"/>
      <c r="WMP5" s="390"/>
      <c r="WMQ5" s="390"/>
      <c r="WMR5" s="390"/>
      <c r="WMS5" s="390"/>
      <c r="WMT5" s="390"/>
      <c r="WMU5" s="390"/>
      <c r="WMV5" s="390"/>
      <c r="WMW5" s="390"/>
      <c r="WMX5" s="390"/>
      <c r="WMY5" s="390"/>
      <c r="WMZ5" s="390"/>
      <c r="WNA5" s="390"/>
      <c r="WNB5" s="390"/>
      <c r="WNC5" s="390"/>
      <c r="WND5" s="390"/>
      <c r="WNE5" s="390"/>
      <c r="WNF5" s="390"/>
      <c r="WNG5" s="390"/>
      <c r="WNH5" s="390"/>
      <c r="WNI5" s="390"/>
      <c r="WNJ5" s="390"/>
      <c r="WNK5" s="390"/>
      <c r="WNL5" s="390"/>
      <c r="WNM5" s="390"/>
      <c r="WNN5" s="390"/>
      <c r="WNO5" s="390"/>
      <c r="WNP5" s="390"/>
      <c r="WNQ5" s="390"/>
      <c r="WNR5" s="390"/>
      <c r="WNS5" s="390"/>
      <c r="WNT5" s="390"/>
      <c r="WNU5" s="390"/>
      <c r="WNV5" s="390"/>
      <c r="WNW5" s="390"/>
      <c r="WNX5" s="390"/>
      <c r="WNY5" s="390"/>
      <c r="WNZ5" s="390"/>
      <c r="WOA5" s="390"/>
      <c r="WOB5" s="390"/>
      <c r="WOC5" s="390"/>
      <c r="WOD5" s="390"/>
      <c r="WOE5" s="390"/>
      <c r="WOF5" s="390"/>
      <c r="WOG5" s="390"/>
      <c r="WOH5" s="390"/>
      <c r="WOI5" s="390"/>
      <c r="WOJ5" s="390"/>
      <c r="WOK5" s="390"/>
      <c r="WOL5" s="390"/>
      <c r="WOM5" s="390"/>
      <c r="WON5" s="390"/>
      <c r="WOO5" s="390"/>
      <c r="WOP5" s="390"/>
      <c r="WOQ5" s="390"/>
      <c r="WOR5" s="390"/>
      <c r="WOS5" s="390"/>
      <c r="WOT5" s="390"/>
      <c r="WOU5" s="390"/>
      <c r="WOV5" s="390"/>
      <c r="WOW5" s="390"/>
      <c r="WOX5" s="390"/>
      <c r="WOY5" s="390"/>
      <c r="WOZ5" s="390"/>
      <c r="WPA5" s="390"/>
      <c r="WPB5" s="390"/>
      <c r="WPC5" s="390"/>
      <c r="WPD5" s="390"/>
      <c r="WPE5" s="390"/>
      <c r="WPF5" s="390"/>
      <c r="WPG5" s="390"/>
      <c r="WPH5" s="390"/>
      <c r="WPI5" s="390"/>
      <c r="WPJ5" s="390"/>
      <c r="WPK5" s="390"/>
      <c r="WPL5" s="390"/>
      <c r="WPM5" s="390"/>
      <c r="WPN5" s="390"/>
      <c r="WPO5" s="390"/>
      <c r="WPP5" s="390"/>
      <c r="WPQ5" s="390"/>
      <c r="WPR5" s="390"/>
      <c r="WPS5" s="390"/>
      <c r="WPT5" s="390"/>
      <c r="WPU5" s="390"/>
      <c r="WPV5" s="390"/>
      <c r="WPW5" s="390"/>
      <c r="WPX5" s="390"/>
      <c r="WPY5" s="390"/>
      <c r="WPZ5" s="390"/>
      <c r="WQA5" s="390"/>
      <c r="WQB5" s="390"/>
      <c r="WQC5" s="390"/>
      <c r="WQD5" s="390"/>
      <c r="WQE5" s="390"/>
      <c r="WQF5" s="390"/>
      <c r="WQG5" s="390"/>
      <c r="WQH5" s="390"/>
      <c r="WQI5" s="390"/>
      <c r="WQJ5" s="390"/>
      <c r="WQK5" s="390"/>
      <c r="WQL5" s="390"/>
      <c r="WQM5" s="390"/>
      <c r="WQN5" s="390"/>
      <c r="WQO5" s="390"/>
      <c r="WQP5" s="390"/>
      <c r="WQQ5" s="390"/>
      <c r="WQR5" s="390"/>
      <c r="WQS5" s="390"/>
      <c r="WQT5" s="390"/>
      <c r="WQU5" s="390"/>
      <c r="WQV5" s="390"/>
      <c r="WQW5" s="390"/>
      <c r="WQX5" s="390"/>
      <c r="WQY5" s="390"/>
      <c r="WQZ5" s="390"/>
      <c r="WRA5" s="390"/>
      <c r="WRB5" s="390"/>
      <c r="WRC5" s="390"/>
      <c r="WRD5" s="390"/>
      <c r="WRE5" s="390"/>
      <c r="WRF5" s="390"/>
      <c r="WRG5" s="390"/>
      <c r="WRH5" s="390"/>
      <c r="WRI5" s="390"/>
      <c r="WRJ5" s="390"/>
      <c r="WRK5" s="390"/>
      <c r="WRL5" s="390"/>
      <c r="WRM5" s="390"/>
      <c r="WRN5" s="390"/>
      <c r="WRO5" s="390"/>
      <c r="WRP5" s="390"/>
      <c r="WRQ5" s="390"/>
      <c r="WRR5" s="390"/>
      <c r="WRS5" s="390"/>
      <c r="WRT5" s="390"/>
      <c r="WRU5" s="390"/>
      <c r="WRV5" s="390"/>
      <c r="WRW5" s="390"/>
      <c r="WRX5" s="390"/>
      <c r="WRY5" s="390"/>
      <c r="WRZ5" s="390"/>
      <c r="WSA5" s="390"/>
      <c r="WSB5" s="390"/>
      <c r="WSC5" s="390"/>
      <c r="WSD5" s="390"/>
      <c r="WSE5" s="390"/>
      <c r="WSF5" s="390"/>
      <c r="WSG5" s="390"/>
      <c r="WSH5" s="390"/>
      <c r="WSI5" s="390"/>
      <c r="WSJ5" s="390"/>
      <c r="WSK5" s="390"/>
      <c r="WSL5" s="390"/>
      <c r="WSM5" s="390"/>
      <c r="WSN5" s="390"/>
      <c r="WSO5" s="390"/>
      <c r="WSP5" s="390"/>
      <c r="WSQ5" s="390"/>
      <c r="WSR5" s="390"/>
      <c r="WSS5" s="390"/>
      <c r="WST5" s="390"/>
      <c r="WSU5" s="390"/>
      <c r="WSV5" s="390"/>
      <c r="WSW5" s="390"/>
      <c r="WSX5" s="390"/>
      <c r="WSY5" s="390"/>
      <c r="WSZ5" s="390"/>
      <c r="WTA5" s="390"/>
      <c r="WTB5" s="390"/>
      <c r="WTC5" s="390"/>
      <c r="WTD5" s="390"/>
      <c r="WTE5" s="390"/>
      <c r="WTF5" s="390"/>
      <c r="WTG5" s="390"/>
      <c r="WTH5" s="390"/>
      <c r="WTI5" s="390"/>
      <c r="WTJ5" s="390"/>
      <c r="WTK5" s="390"/>
      <c r="WTL5" s="390"/>
      <c r="WTM5" s="390"/>
      <c r="WTN5" s="390"/>
      <c r="WTO5" s="390"/>
      <c r="WTP5" s="390"/>
      <c r="WTQ5" s="390"/>
      <c r="WTR5" s="390"/>
      <c r="WTS5" s="390"/>
      <c r="WTT5" s="390"/>
      <c r="WTU5" s="390"/>
      <c r="WTV5" s="390"/>
      <c r="WTW5" s="390"/>
      <c r="WTX5" s="390"/>
      <c r="WTY5" s="390"/>
      <c r="WTZ5" s="390"/>
      <c r="WUA5" s="390"/>
      <c r="WUB5" s="390"/>
      <c r="WUC5" s="390"/>
      <c r="WUD5" s="390"/>
      <c r="WUE5" s="390"/>
      <c r="WUF5" s="390"/>
      <c r="WUG5" s="390"/>
      <c r="WUH5" s="390"/>
      <c r="WUI5" s="390"/>
      <c r="WUJ5" s="390"/>
      <c r="WUK5" s="390"/>
      <c r="WUL5" s="390"/>
      <c r="WUM5" s="390"/>
      <c r="WUN5" s="390"/>
      <c r="WUO5" s="390"/>
      <c r="WUP5" s="390"/>
      <c r="WUQ5" s="390"/>
      <c r="WUR5" s="390"/>
      <c r="WUS5" s="390"/>
      <c r="WUT5" s="390"/>
      <c r="WUU5" s="390"/>
      <c r="WUV5" s="390"/>
      <c r="WUW5" s="390"/>
      <c r="WUX5" s="390"/>
      <c r="WUY5" s="390"/>
      <c r="WUZ5" s="390"/>
      <c r="WVA5" s="390"/>
      <c r="WVB5" s="390"/>
      <c r="WVC5" s="390"/>
      <c r="WVD5" s="390"/>
      <c r="WVE5" s="390"/>
      <c r="WVF5" s="390"/>
      <c r="WVG5" s="390"/>
      <c r="WVH5" s="390"/>
      <c r="WVI5" s="390"/>
      <c r="WVJ5" s="390"/>
      <c r="WVK5" s="390"/>
      <c r="WVL5" s="390"/>
      <c r="WVM5" s="390"/>
      <c r="WVN5" s="390"/>
      <c r="WVO5" s="390"/>
      <c r="WVP5" s="390"/>
      <c r="WVQ5" s="390"/>
      <c r="WVR5" s="390"/>
      <c r="WVS5" s="390"/>
      <c r="WVT5" s="390"/>
      <c r="WVU5" s="390"/>
      <c r="WVV5" s="390"/>
      <c r="WVW5" s="390"/>
      <c r="WVX5" s="390"/>
      <c r="WVY5" s="390"/>
      <c r="WVZ5" s="390"/>
      <c r="WWA5" s="390"/>
      <c r="WWB5" s="390"/>
      <c r="WWC5" s="390"/>
      <c r="WWD5" s="390"/>
      <c r="WWE5" s="390"/>
      <c r="WWF5" s="390"/>
      <c r="WWG5" s="390"/>
      <c r="WWH5" s="390"/>
      <c r="WWI5" s="390"/>
      <c r="WWJ5" s="390"/>
      <c r="WWK5" s="390"/>
      <c r="WWL5" s="390"/>
      <c r="WWM5" s="390"/>
      <c r="WWN5" s="390"/>
      <c r="WWO5" s="390"/>
      <c r="WWP5" s="390"/>
      <c r="WWQ5" s="390"/>
      <c r="WWR5" s="390"/>
      <c r="WWS5" s="390"/>
      <c r="WWT5" s="390"/>
      <c r="WWU5" s="390"/>
      <c r="WWV5" s="390"/>
      <c r="WWW5" s="390"/>
      <c r="WWX5" s="390"/>
      <c r="WWY5" s="390"/>
      <c r="WWZ5" s="390"/>
      <c r="WXA5" s="390"/>
      <c r="WXB5" s="390"/>
      <c r="WXC5" s="390"/>
      <c r="WXD5" s="390"/>
      <c r="WXE5" s="390"/>
      <c r="WXF5" s="390"/>
      <c r="WXG5" s="390"/>
      <c r="WXH5" s="390"/>
      <c r="WXI5" s="390"/>
      <c r="WXJ5" s="390"/>
      <c r="WXK5" s="390"/>
      <c r="WXL5" s="390"/>
      <c r="WXM5" s="390"/>
      <c r="WXN5" s="390"/>
      <c r="WXO5" s="390"/>
      <c r="WXP5" s="390"/>
      <c r="WXQ5" s="390"/>
      <c r="WXR5" s="390"/>
      <c r="WXS5" s="390"/>
      <c r="WXT5" s="390"/>
      <c r="WXU5" s="390"/>
      <c r="WXV5" s="390"/>
      <c r="WXW5" s="390"/>
      <c r="WXX5" s="390"/>
      <c r="WXY5" s="390"/>
      <c r="WXZ5" s="390"/>
      <c r="WYA5" s="390"/>
      <c r="WYB5" s="390"/>
      <c r="WYC5" s="390"/>
      <c r="WYD5" s="390"/>
      <c r="WYE5" s="390"/>
      <c r="WYF5" s="390"/>
      <c r="WYG5" s="390"/>
      <c r="WYH5" s="390"/>
      <c r="WYI5" s="390"/>
      <c r="WYJ5" s="390"/>
      <c r="WYK5" s="390"/>
      <c r="WYL5" s="390"/>
      <c r="WYM5" s="390"/>
      <c r="WYN5" s="390"/>
      <c r="WYO5" s="390"/>
      <c r="WYP5" s="390"/>
      <c r="WYQ5" s="390"/>
      <c r="WYR5" s="390"/>
      <c r="WYS5" s="390"/>
      <c r="WYT5" s="390"/>
      <c r="WYU5" s="390"/>
      <c r="WYV5" s="390"/>
      <c r="WYW5" s="390"/>
      <c r="WYX5" s="390"/>
      <c r="WYY5" s="390"/>
      <c r="WYZ5" s="390"/>
      <c r="WZA5" s="390"/>
      <c r="WZB5" s="390"/>
      <c r="WZC5" s="390"/>
      <c r="WZD5" s="390"/>
      <c r="WZE5" s="390"/>
      <c r="WZF5" s="390"/>
      <c r="WZG5" s="390"/>
      <c r="WZH5" s="390"/>
      <c r="WZI5" s="390"/>
      <c r="WZJ5" s="390"/>
      <c r="WZK5" s="390"/>
      <c r="WZL5" s="390"/>
      <c r="WZM5" s="390"/>
      <c r="WZN5" s="390"/>
      <c r="WZO5" s="390"/>
      <c r="WZP5" s="390"/>
      <c r="WZQ5" s="390"/>
      <c r="WZR5" s="390"/>
      <c r="WZS5" s="390"/>
      <c r="WZT5" s="390"/>
      <c r="WZU5" s="390"/>
      <c r="WZV5" s="390"/>
      <c r="WZW5" s="390"/>
      <c r="WZX5" s="390"/>
      <c r="WZY5" s="390"/>
      <c r="WZZ5" s="390"/>
      <c r="XAA5" s="390"/>
      <c r="XAB5" s="390"/>
      <c r="XAC5" s="390"/>
      <c r="XAD5" s="390"/>
      <c r="XAE5" s="390"/>
      <c r="XAF5" s="390"/>
      <c r="XAG5" s="390"/>
      <c r="XAH5" s="390"/>
      <c r="XAI5" s="390"/>
      <c r="XAJ5" s="390"/>
      <c r="XAK5" s="390"/>
      <c r="XAL5" s="390"/>
      <c r="XAM5" s="390"/>
      <c r="XAN5" s="390"/>
      <c r="XAO5" s="390"/>
      <c r="XAP5" s="390"/>
      <c r="XAQ5" s="390"/>
      <c r="XAR5" s="390"/>
      <c r="XAS5" s="390"/>
      <c r="XAT5" s="390"/>
      <c r="XAU5" s="390"/>
      <c r="XAV5" s="390"/>
      <c r="XAW5" s="390"/>
      <c r="XAX5" s="390"/>
      <c r="XAY5" s="390"/>
      <c r="XAZ5" s="390"/>
      <c r="XBA5" s="390"/>
      <c r="XBB5" s="390"/>
      <c r="XBC5" s="390"/>
      <c r="XBD5" s="390"/>
      <c r="XBE5" s="390"/>
      <c r="XBF5" s="390"/>
      <c r="XBG5" s="390"/>
      <c r="XBH5" s="390"/>
      <c r="XBI5" s="390"/>
      <c r="XBJ5" s="390"/>
      <c r="XBK5" s="390"/>
      <c r="XBL5" s="390"/>
      <c r="XBM5" s="390"/>
      <c r="XBN5" s="390"/>
      <c r="XBO5" s="390"/>
      <c r="XBP5" s="390"/>
      <c r="XBQ5" s="390"/>
      <c r="XBR5" s="390"/>
      <c r="XBS5" s="390"/>
      <c r="XBT5" s="390"/>
      <c r="XBU5" s="390"/>
      <c r="XBV5" s="390"/>
      <c r="XBW5" s="390"/>
      <c r="XBX5" s="390"/>
      <c r="XBY5" s="390"/>
      <c r="XBZ5" s="390"/>
      <c r="XCA5" s="390"/>
      <c r="XCB5" s="390"/>
      <c r="XCC5" s="390"/>
      <c r="XCD5" s="390"/>
      <c r="XCE5" s="390"/>
      <c r="XCF5" s="390"/>
      <c r="XCG5" s="390"/>
      <c r="XCH5" s="390"/>
      <c r="XCI5" s="390"/>
      <c r="XCJ5" s="390"/>
      <c r="XCK5" s="390"/>
      <c r="XCL5" s="390"/>
      <c r="XCM5" s="390"/>
      <c r="XCN5" s="390"/>
      <c r="XCO5" s="390"/>
      <c r="XCP5" s="390"/>
      <c r="XCQ5" s="390"/>
      <c r="XCR5" s="390"/>
      <c r="XCS5" s="390"/>
      <c r="XCT5" s="390"/>
      <c r="XCU5" s="390"/>
      <c r="XCV5" s="390"/>
      <c r="XCW5" s="390"/>
      <c r="XCX5" s="390"/>
      <c r="XCY5" s="390"/>
      <c r="XCZ5" s="390"/>
      <c r="XDA5" s="390"/>
      <c r="XDB5" s="390"/>
      <c r="XDC5" s="390"/>
      <c r="XDD5" s="390"/>
      <c r="XDE5" s="390"/>
      <c r="XDF5" s="390"/>
      <c r="XDG5" s="390"/>
      <c r="XDH5" s="390"/>
      <c r="XDI5" s="390"/>
      <c r="XDJ5" s="390"/>
      <c r="XDK5" s="390"/>
      <c r="XDL5" s="390"/>
      <c r="XDM5" s="390"/>
      <c r="XDN5" s="390"/>
      <c r="XDO5" s="390"/>
      <c r="XDP5" s="390"/>
      <c r="XDQ5" s="390"/>
      <c r="XDR5" s="390"/>
      <c r="XDS5" s="390"/>
      <c r="XDT5" s="390"/>
      <c r="XDU5" s="390"/>
      <c r="XDV5" s="390"/>
      <c r="XDW5" s="390"/>
      <c r="XDX5" s="390"/>
      <c r="XDY5" s="390"/>
      <c r="XDZ5" s="390"/>
      <c r="XEA5" s="390"/>
      <c r="XEB5" s="390"/>
      <c r="XEC5" s="390"/>
      <c r="XED5" s="390"/>
      <c r="XEE5" s="390"/>
      <c r="XEF5" s="390"/>
      <c r="XEG5" s="390"/>
      <c r="XEH5" s="390"/>
      <c r="XEI5" s="390"/>
      <c r="XEJ5" s="390"/>
      <c r="XEK5" s="390"/>
      <c r="XEL5" s="390"/>
      <c r="XEM5" s="390"/>
      <c r="XEN5" s="390"/>
      <c r="XEO5" s="390"/>
      <c r="XEP5" s="390"/>
      <c r="XEQ5" s="390"/>
      <c r="XER5" s="390"/>
      <c r="XES5" s="390"/>
      <c r="XET5" s="390"/>
      <c r="XEU5" s="390"/>
      <c r="XEV5" s="390"/>
      <c r="XEW5" s="390"/>
      <c r="XEX5" s="390"/>
      <c r="XEY5" s="390"/>
      <c r="XEZ5" s="390"/>
      <c r="XFA5" s="390"/>
      <c r="XFB5" s="390"/>
    </row>
    <row r="6" spans="1:16382" x14ac:dyDescent="0.45">
      <c r="A6" s="390" t="s">
        <v>2</v>
      </c>
      <c r="B6" s="390"/>
      <c r="C6" s="390"/>
      <c r="D6" s="390"/>
      <c r="E6" s="390"/>
      <c r="F6" s="390"/>
      <c r="G6" s="390"/>
      <c r="H6" s="390"/>
      <c r="I6" s="392"/>
      <c r="J6" s="392"/>
      <c r="K6" s="392"/>
      <c r="L6" s="392"/>
      <c r="M6" s="392"/>
      <c r="N6" s="392"/>
    </row>
    <row r="7" spans="1:16382" x14ac:dyDescent="0.45">
      <c r="A7" s="399"/>
      <c r="B7" s="399"/>
      <c r="C7" s="399"/>
      <c r="D7" s="400"/>
      <c r="E7" s="400"/>
      <c r="F7" s="400"/>
      <c r="G7" s="400"/>
      <c r="H7" s="400"/>
    </row>
    <row r="8" spans="1:16382" s="2" customFormat="1" x14ac:dyDescent="0.45">
      <c r="A8" s="401" t="s">
        <v>3</v>
      </c>
      <c r="B8" s="402"/>
      <c r="C8" s="402"/>
      <c r="D8" s="403"/>
      <c r="E8" s="403"/>
      <c r="F8" s="403"/>
      <c r="G8" s="403"/>
      <c r="H8" s="404"/>
    </row>
    <row r="9" spans="1:16382" s="2" customFormat="1" x14ac:dyDescent="0.45">
      <c r="A9" s="393" t="s">
        <v>4</v>
      </c>
      <c r="B9" s="394"/>
      <c r="C9" s="394"/>
      <c r="D9" s="394"/>
      <c r="E9" s="394"/>
      <c r="F9" s="394"/>
      <c r="G9" s="394"/>
      <c r="H9" s="395"/>
    </row>
    <row r="10" spans="1:16382" s="2" customFormat="1" x14ac:dyDescent="0.45">
      <c r="A10" s="396" t="s">
        <v>5141</v>
      </c>
      <c r="B10" s="397"/>
      <c r="C10" s="397"/>
      <c r="D10" s="397"/>
      <c r="E10" s="397"/>
      <c r="F10" s="397"/>
      <c r="G10" s="397"/>
      <c r="H10" s="398"/>
    </row>
    <row r="11" spans="1:16382" ht="24.6" x14ac:dyDescent="0.45">
      <c r="A11" s="3" t="s">
        <v>5</v>
      </c>
      <c r="B11" s="4" t="s">
        <v>5002</v>
      </c>
      <c r="C11" s="4" t="s">
        <v>6</v>
      </c>
      <c r="D11" s="5" t="s">
        <v>7</v>
      </c>
      <c r="E11" s="3" t="s">
        <v>8</v>
      </c>
      <c r="F11" s="3" t="s">
        <v>9</v>
      </c>
      <c r="G11" s="3" t="s">
        <v>10</v>
      </c>
      <c r="H11" s="3" t="s">
        <v>11</v>
      </c>
    </row>
    <row r="12" spans="1:16382" s="11" customFormat="1" ht="4.95" customHeight="1" x14ac:dyDescent="0.45">
      <c r="A12" s="6"/>
      <c r="B12" s="7"/>
      <c r="C12" s="7"/>
      <c r="D12" s="8"/>
      <c r="E12" s="7"/>
      <c r="F12" s="9"/>
      <c r="G12" s="9"/>
      <c r="H12" s="10"/>
    </row>
    <row r="13" spans="1:16382" x14ac:dyDescent="0.45">
      <c r="A13" s="12" t="s">
        <v>12</v>
      </c>
      <c r="B13" s="13"/>
      <c r="C13" s="13"/>
      <c r="D13" s="246" t="s">
        <v>13</v>
      </c>
      <c r="E13" s="15"/>
      <c r="F13" s="14"/>
      <c r="G13" s="15"/>
      <c r="H13" s="14"/>
    </row>
    <row r="14" spans="1:16382" x14ac:dyDescent="0.4">
      <c r="A14" s="16"/>
      <c r="B14" s="17">
        <v>1501000</v>
      </c>
      <c r="C14" s="18"/>
      <c r="D14" s="19" t="s">
        <v>14</v>
      </c>
      <c r="E14" s="20"/>
      <c r="F14" s="21"/>
      <c r="G14" s="20"/>
      <c r="H14" s="21"/>
    </row>
    <row r="15" spans="1:16382" ht="24.6" x14ac:dyDescent="0.45">
      <c r="A15" s="22" t="s">
        <v>15</v>
      </c>
      <c r="B15" s="23"/>
      <c r="C15" s="23">
        <v>3.1</v>
      </c>
      <c r="D15" s="5" t="s">
        <v>16</v>
      </c>
      <c r="E15" s="23">
        <v>12</v>
      </c>
      <c r="F15" s="23" t="s">
        <v>17</v>
      </c>
      <c r="G15" s="24"/>
      <c r="H15" s="24">
        <f>G15*E15</f>
        <v>0</v>
      </c>
    </row>
    <row r="16" spans="1:16382" x14ac:dyDescent="0.4">
      <c r="A16" s="16"/>
      <c r="B16" s="17">
        <v>1502000</v>
      </c>
      <c r="C16" s="18"/>
      <c r="D16" s="19" t="s">
        <v>18</v>
      </c>
      <c r="E16" s="20"/>
      <c r="F16" s="21"/>
      <c r="G16" s="20"/>
      <c r="H16" s="21"/>
    </row>
    <row r="17" spans="1:8" x14ac:dyDescent="0.45">
      <c r="A17" s="25"/>
      <c r="B17" s="26"/>
      <c r="C17" s="26">
        <v>3.1</v>
      </c>
      <c r="D17" s="27" t="s">
        <v>19</v>
      </c>
      <c r="E17" s="28"/>
      <c r="F17" s="28"/>
      <c r="G17" s="28"/>
      <c r="H17" s="28"/>
    </row>
    <row r="18" spans="1:8" x14ac:dyDescent="0.45">
      <c r="A18" s="22" t="s">
        <v>20</v>
      </c>
      <c r="B18" s="23">
        <v>1502000</v>
      </c>
      <c r="C18" s="23" t="s">
        <v>21</v>
      </c>
      <c r="D18" s="29" t="s">
        <v>22</v>
      </c>
      <c r="E18" s="23">
        <v>12</v>
      </c>
      <c r="F18" s="23" t="s">
        <v>17</v>
      </c>
      <c r="G18" s="24"/>
      <c r="H18" s="24">
        <f>G18*E18</f>
        <v>0</v>
      </c>
    </row>
    <row r="19" spans="1:8" x14ac:dyDescent="0.45">
      <c r="A19" s="22" t="s">
        <v>23</v>
      </c>
      <c r="B19" s="23">
        <v>1502000</v>
      </c>
      <c r="C19" s="23" t="s">
        <v>24</v>
      </c>
      <c r="D19" s="29" t="s">
        <v>25</v>
      </c>
      <c r="E19" s="23">
        <v>12</v>
      </c>
      <c r="F19" s="23" t="s">
        <v>17</v>
      </c>
      <c r="G19" s="24"/>
      <c r="H19" s="24">
        <f>G19*E19</f>
        <v>0</v>
      </c>
    </row>
    <row r="20" spans="1:8" x14ac:dyDescent="0.45">
      <c r="A20" s="22" t="s">
        <v>26</v>
      </c>
      <c r="B20" s="23">
        <v>1502000</v>
      </c>
      <c r="C20" s="23" t="s">
        <v>27</v>
      </c>
      <c r="D20" s="29" t="s">
        <v>28</v>
      </c>
      <c r="E20" s="23">
        <v>12</v>
      </c>
      <c r="F20" s="23" t="s">
        <v>17</v>
      </c>
      <c r="G20" s="24"/>
      <c r="H20" s="24">
        <f>G20*E20</f>
        <v>0</v>
      </c>
    </row>
    <row r="21" spans="1:8" x14ac:dyDescent="0.45">
      <c r="A21" s="25"/>
      <c r="B21" s="26"/>
      <c r="C21" s="26">
        <v>3.2</v>
      </c>
      <c r="D21" s="27" t="s">
        <v>29</v>
      </c>
      <c r="E21" s="28"/>
      <c r="F21" s="28"/>
      <c r="G21" s="28"/>
      <c r="H21" s="28"/>
    </row>
    <row r="22" spans="1:8" x14ac:dyDescent="0.45">
      <c r="A22" s="22" t="s">
        <v>30</v>
      </c>
      <c r="B22" s="23">
        <v>1502000</v>
      </c>
      <c r="C22" s="286">
        <v>3.2</v>
      </c>
      <c r="D22" s="29" t="s">
        <v>5072</v>
      </c>
      <c r="E22" s="23">
        <v>12</v>
      </c>
      <c r="F22" s="23" t="s">
        <v>17</v>
      </c>
      <c r="G22" s="24"/>
      <c r="H22" s="24">
        <f>G22*E22</f>
        <v>0</v>
      </c>
    </row>
    <row r="23" spans="1:8" x14ac:dyDescent="0.45">
      <c r="A23" s="25"/>
      <c r="B23" s="26"/>
      <c r="C23" s="26">
        <v>3.3</v>
      </c>
      <c r="D23" s="27" t="s">
        <v>31</v>
      </c>
      <c r="E23" s="28"/>
      <c r="F23" s="28"/>
      <c r="G23" s="28"/>
      <c r="H23" s="28"/>
    </row>
    <row r="24" spans="1:8" x14ac:dyDescent="0.45">
      <c r="A24" s="22" t="s">
        <v>32</v>
      </c>
      <c r="B24" s="23">
        <v>1502000</v>
      </c>
      <c r="C24" s="23" t="s">
        <v>33</v>
      </c>
      <c r="D24" s="30" t="s">
        <v>34</v>
      </c>
      <c r="E24" s="23">
        <v>12</v>
      </c>
      <c r="F24" s="23" t="s">
        <v>17</v>
      </c>
      <c r="G24" s="31"/>
      <c r="H24" s="31">
        <f>G24*E24</f>
        <v>0</v>
      </c>
    </row>
    <row r="25" spans="1:8" x14ac:dyDescent="0.45">
      <c r="A25" s="22" t="s">
        <v>35</v>
      </c>
      <c r="B25" s="23">
        <v>1502000</v>
      </c>
      <c r="C25" s="23" t="s">
        <v>36</v>
      </c>
      <c r="D25" s="32" t="s">
        <v>37</v>
      </c>
      <c r="E25" s="33">
        <v>12</v>
      </c>
      <c r="F25" s="23" t="s">
        <v>17</v>
      </c>
      <c r="G25" s="31"/>
      <c r="H25" s="24">
        <f t="shared" ref="H25:H33" si="0">G25*E25</f>
        <v>0</v>
      </c>
    </row>
    <row r="26" spans="1:8" x14ac:dyDescent="0.45">
      <c r="A26" s="22" t="s">
        <v>38</v>
      </c>
      <c r="B26" s="23">
        <v>1502000</v>
      </c>
      <c r="C26" s="23" t="s">
        <v>39</v>
      </c>
      <c r="D26" s="32" t="s">
        <v>40</v>
      </c>
      <c r="E26" s="33">
        <v>12</v>
      </c>
      <c r="F26" s="23" t="s">
        <v>17</v>
      </c>
      <c r="G26" s="31"/>
      <c r="H26" s="24">
        <f t="shared" si="0"/>
        <v>0</v>
      </c>
    </row>
    <row r="27" spans="1:8" x14ac:dyDescent="0.45">
      <c r="A27" s="22" t="s">
        <v>41</v>
      </c>
      <c r="B27" s="23">
        <v>1502000</v>
      </c>
      <c r="C27" s="34" t="s">
        <v>42</v>
      </c>
      <c r="D27" s="30" t="s">
        <v>43</v>
      </c>
      <c r="E27" s="33">
        <v>12</v>
      </c>
      <c r="F27" s="23" t="s">
        <v>17</v>
      </c>
      <c r="G27" s="31"/>
      <c r="H27" s="24">
        <f t="shared" si="0"/>
        <v>0</v>
      </c>
    </row>
    <row r="28" spans="1:8" s="285" customFormat="1" x14ac:dyDescent="0.45">
      <c r="A28" s="22" t="s">
        <v>44</v>
      </c>
      <c r="B28" s="23">
        <v>1502000</v>
      </c>
      <c r="C28" s="34" t="s">
        <v>45</v>
      </c>
      <c r="D28" s="30" t="s">
        <v>46</v>
      </c>
      <c r="E28" s="33">
        <v>12</v>
      </c>
      <c r="F28" s="23" t="s">
        <v>17</v>
      </c>
      <c r="G28" s="31"/>
      <c r="H28" s="24">
        <f t="shared" si="0"/>
        <v>0</v>
      </c>
    </row>
    <row r="29" spans="1:8" x14ac:dyDescent="0.45">
      <c r="A29" s="22" t="s">
        <v>47</v>
      </c>
      <c r="B29" s="23">
        <v>1502000</v>
      </c>
      <c r="C29" s="23" t="s">
        <v>48</v>
      </c>
      <c r="D29" s="30" t="s">
        <v>49</v>
      </c>
      <c r="E29" s="33">
        <v>12</v>
      </c>
      <c r="F29" s="23" t="s">
        <v>17</v>
      </c>
      <c r="G29" s="31"/>
      <c r="H29" s="24">
        <f t="shared" si="0"/>
        <v>0</v>
      </c>
    </row>
    <row r="30" spans="1:8" x14ac:dyDescent="0.45">
      <c r="A30" s="22" t="s">
        <v>50</v>
      </c>
      <c r="B30" s="23">
        <v>1502000</v>
      </c>
      <c r="C30" s="23" t="s">
        <v>51</v>
      </c>
      <c r="D30" s="30" t="s">
        <v>52</v>
      </c>
      <c r="E30" s="33">
        <v>12</v>
      </c>
      <c r="F30" s="23" t="s">
        <v>17</v>
      </c>
      <c r="G30" s="31"/>
      <c r="H30" s="24">
        <f t="shared" si="0"/>
        <v>0</v>
      </c>
    </row>
    <row r="31" spans="1:8" x14ac:dyDescent="0.45">
      <c r="A31" s="22" t="s">
        <v>53</v>
      </c>
      <c r="B31" s="23">
        <v>1502000</v>
      </c>
      <c r="C31" s="23" t="s">
        <v>54</v>
      </c>
      <c r="D31" s="30" t="s">
        <v>55</v>
      </c>
      <c r="E31" s="33">
        <v>12</v>
      </c>
      <c r="F31" s="23" t="s">
        <v>17</v>
      </c>
      <c r="G31" s="31"/>
      <c r="H31" s="24">
        <f t="shared" si="0"/>
        <v>0</v>
      </c>
    </row>
    <row r="32" spans="1:8" x14ac:dyDescent="0.45">
      <c r="A32" s="22" t="s">
        <v>56</v>
      </c>
      <c r="B32" s="23">
        <v>1502000</v>
      </c>
      <c r="C32" s="23" t="s">
        <v>57</v>
      </c>
      <c r="D32" s="30" t="s">
        <v>58</v>
      </c>
      <c r="E32" s="33">
        <v>12</v>
      </c>
      <c r="F32" s="23" t="s">
        <v>17</v>
      </c>
      <c r="G32" s="31"/>
      <c r="H32" s="24">
        <f t="shared" si="0"/>
        <v>0</v>
      </c>
    </row>
    <row r="33" spans="1:8" x14ac:dyDescent="0.45">
      <c r="A33" s="22" t="s">
        <v>59</v>
      </c>
      <c r="B33" s="23">
        <v>1502000</v>
      </c>
      <c r="C33" s="23" t="s">
        <v>60</v>
      </c>
      <c r="D33" s="30" t="s">
        <v>61</v>
      </c>
      <c r="E33" s="33">
        <v>12</v>
      </c>
      <c r="F33" s="23" t="s">
        <v>17</v>
      </c>
      <c r="G33" s="31"/>
      <c r="H33" s="24">
        <f t="shared" si="0"/>
        <v>0</v>
      </c>
    </row>
    <row r="34" spans="1:8" x14ac:dyDescent="0.45">
      <c r="A34" s="25"/>
      <c r="B34" s="26"/>
      <c r="C34" s="26">
        <v>3.4</v>
      </c>
      <c r="D34" s="27" t="s">
        <v>62</v>
      </c>
      <c r="E34" s="28"/>
      <c r="F34" s="28"/>
      <c r="G34" s="28"/>
      <c r="H34" s="28"/>
    </row>
    <row r="35" spans="1:8" x14ac:dyDescent="0.45">
      <c r="A35" s="22" t="s">
        <v>63</v>
      </c>
      <c r="B35" s="23">
        <v>1502000</v>
      </c>
      <c r="C35" s="23" t="s">
        <v>64</v>
      </c>
      <c r="D35" s="35" t="s">
        <v>65</v>
      </c>
      <c r="E35" s="23">
        <v>12</v>
      </c>
      <c r="F35" s="23" t="s">
        <v>17</v>
      </c>
      <c r="G35" s="24"/>
      <c r="H35" s="24">
        <f>G35*E35</f>
        <v>0</v>
      </c>
    </row>
    <row r="36" spans="1:8" x14ac:dyDescent="0.45">
      <c r="A36" s="22" t="s">
        <v>66</v>
      </c>
      <c r="B36" s="23">
        <v>1502000</v>
      </c>
      <c r="C36" s="23" t="s">
        <v>67</v>
      </c>
      <c r="D36" s="35" t="s">
        <v>68</v>
      </c>
      <c r="E36" s="23">
        <v>12</v>
      </c>
      <c r="F36" s="23" t="s">
        <v>17</v>
      </c>
      <c r="G36" s="24"/>
      <c r="H36" s="24">
        <f>G36*E36</f>
        <v>0</v>
      </c>
    </row>
    <row r="37" spans="1:8" x14ac:dyDescent="0.45">
      <c r="A37" s="22" t="s">
        <v>69</v>
      </c>
      <c r="B37" s="23">
        <v>1502000</v>
      </c>
      <c r="C37" s="33" t="s">
        <v>70</v>
      </c>
      <c r="D37" s="36" t="s">
        <v>71</v>
      </c>
      <c r="E37" s="33">
        <v>12</v>
      </c>
      <c r="F37" s="23" t="s">
        <v>17</v>
      </c>
      <c r="G37" s="24"/>
      <c r="H37" s="24">
        <f>G37*E37</f>
        <v>0</v>
      </c>
    </row>
    <row r="38" spans="1:8" x14ac:dyDescent="0.45">
      <c r="A38" s="25"/>
      <c r="B38" s="26"/>
      <c r="C38" s="26">
        <v>3.5</v>
      </c>
      <c r="D38" s="27" t="s">
        <v>72</v>
      </c>
      <c r="E38" s="28"/>
      <c r="F38" s="28"/>
      <c r="G38" s="28"/>
      <c r="H38" s="28"/>
    </row>
    <row r="39" spans="1:8" x14ac:dyDescent="0.45">
      <c r="A39" s="22" t="s">
        <v>73</v>
      </c>
      <c r="B39" s="23">
        <v>1502000</v>
      </c>
      <c r="C39" s="23" t="s">
        <v>74</v>
      </c>
      <c r="D39" s="32" t="s">
        <v>37</v>
      </c>
      <c r="E39" s="33">
        <v>12</v>
      </c>
      <c r="F39" s="23" t="s">
        <v>17</v>
      </c>
      <c r="G39" s="24"/>
      <c r="H39" s="24">
        <f>G39*E39</f>
        <v>0</v>
      </c>
    </row>
    <row r="40" spans="1:8" x14ac:dyDescent="0.45">
      <c r="A40" s="25"/>
      <c r="B40" s="37"/>
      <c r="C40" s="37">
        <v>3.6</v>
      </c>
      <c r="D40" s="38" t="s">
        <v>75</v>
      </c>
      <c r="E40" s="28"/>
      <c r="F40" s="28"/>
      <c r="G40" s="28"/>
      <c r="H40" s="28"/>
    </row>
    <row r="41" spans="1:8" s="371" customFormat="1" x14ac:dyDescent="0.45">
      <c r="A41" s="22" t="s">
        <v>76</v>
      </c>
      <c r="B41" s="23">
        <v>1502000</v>
      </c>
      <c r="C41" s="33" t="s">
        <v>77</v>
      </c>
      <c r="D41" s="39" t="s">
        <v>78</v>
      </c>
      <c r="E41" s="33">
        <v>12</v>
      </c>
      <c r="F41" s="23" t="s">
        <v>17</v>
      </c>
      <c r="G41" s="24"/>
      <c r="H41" s="24">
        <f>G41*E41</f>
        <v>0</v>
      </c>
    </row>
    <row r="42" spans="1:8" x14ac:dyDescent="0.45">
      <c r="A42" s="22" t="s">
        <v>79</v>
      </c>
      <c r="B42" s="23">
        <v>1502000</v>
      </c>
      <c r="C42" s="33" t="s">
        <v>80</v>
      </c>
      <c r="D42" s="39" t="s">
        <v>81</v>
      </c>
      <c r="E42" s="33">
        <v>12</v>
      </c>
      <c r="F42" s="23" t="s">
        <v>17</v>
      </c>
      <c r="G42" s="24"/>
      <c r="H42" s="24">
        <f t="shared" ref="H42:H52" si="1">G42*E42</f>
        <v>0</v>
      </c>
    </row>
    <row r="43" spans="1:8" x14ac:dyDescent="0.45">
      <c r="A43" s="22" t="s">
        <v>82</v>
      </c>
      <c r="B43" s="23">
        <v>1502000</v>
      </c>
      <c r="C43" s="33" t="s">
        <v>83</v>
      </c>
      <c r="D43" s="39" t="s">
        <v>84</v>
      </c>
      <c r="E43" s="33">
        <v>12</v>
      </c>
      <c r="F43" s="23" t="s">
        <v>17</v>
      </c>
      <c r="G43" s="24"/>
      <c r="H43" s="24">
        <f t="shared" si="1"/>
        <v>0</v>
      </c>
    </row>
    <row r="44" spans="1:8" x14ac:dyDescent="0.45">
      <c r="A44" s="22" t="s">
        <v>85</v>
      </c>
      <c r="B44" s="23">
        <v>1502000</v>
      </c>
      <c r="C44" s="33" t="s">
        <v>86</v>
      </c>
      <c r="D44" s="39" t="s">
        <v>87</v>
      </c>
      <c r="E44" s="33">
        <v>12</v>
      </c>
      <c r="F44" s="23" t="s">
        <v>17</v>
      </c>
      <c r="G44" s="24"/>
      <c r="H44" s="24">
        <f t="shared" si="1"/>
        <v>0</v>
      </c>
    </row>
    <row r="45" spans="1:8" x14ac:dyDescent="0.45">
      <c r="A45" s="22" t="s">
        <v>88</v>
      </c>
      <c r="B45" s="23">
        <v>1502000</v>
      </c>
      <c r="C45" s="33" t="s">
        <v>89</v>
      </c>
      <c r="D45" s="39" t="s">
        <v>90</v>
      </c>
      <c r="E45" s="33">
        <v>12</v>
      </c>
      <c r="F45" s="23" t="s">
        <v>17</v>
      </c>
      <c r="G45" s="24"/>
      <c r="H45" s="24">
        <f t="shared" si="1"/>
        <v>0</v>
      </c>
    </row>
    <row r="46" spans="1:8" x14ac:dyDescent="0.45">
      <c r="A46" s="22" t="s">
        <v>91</v>
      </c>
      <c r="B46" s="23">
        <v>1502000</v>
      </c>
      <c r="C46" s="33" t="s">
        <v>92</v>
      </c>
      <c r="D46" s="39" t="s">
        <v>93</v>
      </c>
      <c r="E46" s="33">
        <v>12</v>
      </c>
      <c r="F46" s="23" t="s">
        <v>17</v>
      </c>
      <c r="G46" s="24"/>
      <c r="H46" s="24">
        <f t="shared" si="1"/>
        <v>0</v>
      </c>
    </row>
    <row r="47" spans="1:8" x14ac:dyDescent="0.45">
      <c r="A47" s="22" t="s">
        <v>94</v>
      </c>
      <c r="B47" s="23">
        <v>1502000</v>
      </c>
      <c r="C47" s="33" t="s">
        <v>95</v>
      </c>
      <c r="D47" s="39" t="s">
        <v>96</v>
      </c>
      <c r="E47" s="33">
        <v>12</v>
      </c>
      <c r="F47" s="23" t="s">
        <v>17</v>
      </c>
      <c r="G47" s="24"/>
      <c r="H47" s="24">
        <f t="shared" si="1"/>
        <v>0</v>
      </c>
    </row>
    <row r="48" spans="1:8" x14ac:dyDescent="0.45">
      <c r="A48" s="22" t="s">
        <v>97</v>
      </c>
      <c r="B48" s="23">
        <v>1502000</v>
      </c>
      <c r="C48" s="33" t="s">
        <v>98</v>
      </c>
      <c r="D48" s="39" t="s">
        <v>99</v>
      </c>
      <c r="E48" s="33">
        <v>12</v>
      </c>
      <c r="F48" s="23" t="s">
        <v>17</v>
      </c>
      <c r="G48" s="24"/>
      <c r="H48" s="24">
        <f t="shared" si="1"/>
        <v>0</v>
      </c>
    </row>
    <row r="49" spans="1:8" s="293" customFormat="1" x14ac:dyDescent="0.45">
      <c r="A49" s="257" t="s">
        <v>100</v>
      </c>
      <c r="B49" s="286">
        <v>1502000</v>
      </c>
      <c r="C49" s="301" t="s">
        <v>273</v>
      </c>
      <c r="D49" s="372" t="s">
        <v>309</v>
      </c>
      <c r="E49" s="301"/>
      <c r="F49" s="286"/>
      <c r="G49" s="302"/>
      <c r="H49" s="302"/>
    </row>
    <row r="50" spans="1:8" x14ac:dyDescent="0.45">
      <c r="A50" s="257" t="s">
        <v>103</v>
      </c>
      <c r="B50" s="23">
        <v>1502000</v>
      </c>
      <c r="C50" s="33" t="s">
        <v>101</v>
      </c>
      <c r="D50" s="39" t="s">
        <v>102</v>
      </c>
      <c r="E50" s="33">
        <v>12</v>
      </c>
      <c r="F50" s="23" t="s">
        <v>17</v>
      </c>
      <c r="G50" s="24"/>
      <c r="H50" s="24">
        <f t="shared" si="1"/>
        <v>0</v>
      </c>
    </row>
    <row r="51" spans="1:8" x14ac:dyDescent="0.45">
      <c r="A51" s="257" t="s">
        <v>106</v>
      </c>
      <c r="B51" s="23">
        <v>1502000</v>
      </c>
      <c r="C51" s="23" t="s">
        <v>104</v>
      </c>
      <c r="D51" s="35" t="s">
        <v>105</v>
      </c>
      <c r="E51" s="33">
        <v>12</v>
      </c>
      <c r="F51" s="23" t="s">
        <v>17</v>
      </c>
      <c r="G51" s="24"/>
      <c r="H51" s="24">
        <f t="shared" si="1"/>
        <v>0</v>
      </c>
    </row>
    <row r="52" spans="1:8" x14ac:dyDescent="0.45">
      <c r="A52" s="257" t="s">
        <v>110</v>
      </c>
      <c r="B52" s="23">
        <v>1502000</v>
      </c>
      <c r="C52" s="23" t="s">
        <v>107</v>
      </c>
      <c r="D52" s="22" t="s">
        <v>108</v>
      </c>
      <c r="E52" s="33">
        <v>12</v>
      </c>
      <c r="F52" s="23" t="s">
        <v>17</v>
      </c>
      <c r="G52" s="24"/>
      <c r="H52" s="24">
        <f t="shared" si="1"/>
        <v>0</v>
      </c>
    </row>
    <row r="53" spans="1:8" x14ac:dyDescent="0.45">
      <c r="A53" s="287"/>
      <c r="B53" s="41">
        <v>1503010</v>
      </c>
      <c r="C53" s="41"/>
      <c r="D53" s="42" t="s">
        <v>109</v>
      </c>
      <c r="E53" s="43"/>
      <c r="F53" s="44"/>
      <c r="G53" s="44"/>
      <c r="H53" s="45"/>
    </row>
    <row r="54" spans="1:8" x14ac:dyDescent="0.45">
      <c r="A54" s="257" t="s">
        <v>112</v>
      </c>
      <c r="B54" s="33">
        <v>1503010</v>
      </c>
      <c r="C54" s="33">
        <v>3.1</v>
      </c>
      <c r="D54" s="36" t="s">
        <v>111</v>
      </c>
      <c r="E54" s="33">
        <v>12</v>
      </c>
      <c r="F54" s="23" t="s">
        <v>17</v>
      </c>
      <c r="G54" s="24"/>
      <c r="H54" s="24">
        <f>G54*E54</f>
        <v>0</v>
      </c>
    </row>
    <row r="55" spans="1:8" x14ac:dyDescent="0.45">
      <c r="A55" s="257" t="s">
        <v>115</v>
      </c>
      <c r="B55" s="33">
        <v>1503010</v>
      </c>
      <c r="C55" s="33">
        <v>3.1</v>
      </c>
      <c r="D55" s="36" t="s">
        <v>113</v>
      </c>
      <c r="E55" s="33">
        <v>12</v>
      </c>
      <c r="F55" s="23" t="s">
        <v>17</v>
      </c>
      <c r="G55" s="24"/>
      <c r="H55" s="24">
        <f>G55*E55</f>
        <v>0</v>
      </c>
    </row>
    <row r="56" spans="1:8" x14ac:dyDescent="0.45">
      <c r="A56" s="287"/>
      <c r="B56" s="41">
        <v>1503020</v>
      </c>
      <c r="C56" s="41"/>
      <c r="D56" s="42" t="s">
        <v>114</v>
      </c>
      <c r="E56" s="43"/>
      <c r="F56" s="44"/>
      <c r="G56" s="44"/>
      <c r="H56" s="45"/>
    </row>
    <row r="57" spans="1:8" x14ac:dyDescent="0.45">
      <c r="A57" s="257" t="s">
        <v>117</v>
      </c>
      <c r="B57" s="33">
        <v>1503020</v>
      </c>
      <c r="C57" s="33">
        <v>3.1</v>
      </c>
      <c r="D57" s="36" t="s">
        <v>116</v>
      </c>
      <c r="E57" s="33">
        <v>12</v>
      </c>
      <c r="F57" s="23" t="s">
        <v>17</v>
      </c>
      <c r="G57" s="24"/>
      <c r="H57" s="24">
        <f>G57*E57</f>
        <v>0</v>
      </c>
    </row>
    <row r="58" spans="1:8" x14ac:dyDescent="0.45">
      <c r="A58" s="257" t="s">
        <v>119</v>
      </c>
      <c r="B58" s="33">
        <v>1503020</v>
      </c>
      <c r="C58" s="33">
        <v>3.2</v>
      </c>
      <c r="D58" s="36" t="s">
        <v>118</v>
      </c>
      <c r="E58" s="33">
        <v>12</v>
      </c>
      <c r="F58" s="23" t="s">
        <v>17</v>
      </c>
      <c r="G58" s="24"/>
      <c r="H58" s="24">
        <f>G58*E58</f>
        <v>0</v>
      </c>
    </row>
    <row r="59" spans="1:8" x14ac:dyDescent="0.45">
      <c r="A59" s="257" t="s">
        <v>122</v>
      </c>
      <c r="B59" s="33">
        <v>1503020</v>
      </c>
      <c r="C59" s="33">
        <v>3.3</v>
      </c>
      <c r="D59" s="36" t="s">
        <v>120</v>
      </c>
      <c r="E59" s="33">
        <v>12</v>
      </c>
      <c r="F59" s="23" t="s">
        <v>17</v>
      </c>
      <c r="G59" s="24"/>
      <c r="H59" s="24">
        <f>G59*E59</f>
        <v>0</v>
      </c>
    </row>
    <row r="60" spans="1:8" x14ac:dyDescent="0.45">
      <c r="A60" s="287"/>
      <c r="B60" s="43">
        <v>1503030</v>
      </c>
      <c r="C60" s="41"/>
      <c r="D60" s="42" t="s">
        <v>121</v>
      </c>
      <c r="E60" s="43"/>
      <c r="F60" s="44"/>
      <c r="G60" s="44"/>
      <c r="H60" s="45"/>
    </row>
    <row r="61" spans="1:8" x14ac:dyDescent="0.45">
      <c r="A61" s="257" t="s">
        <v>125</v>
      </c>
      <c r="B61" s="33">
        <v>1503030</v>
      </c>
      <c r="C61" s="33" t="s">
        <v>123</v>
      </c>
      <c r="D61" s="36" t="s">
        <v>124</v>
      </c>
      <c r="E61" s="33">
        <v>12</v>
      </c>
      <c r="F61" s="23" t="s">
        <v>17</v>
      </c>
      <c r="G61" s="24"/>
      <c r="H61" s="24">
        <f>G61*E61</f>
        <v>0</v>
      </c>
    </row>
    <row r="62" spans="1:8" x14ac:dyDescent="0.45">
      <c r="A62" s="257" t="s">
        <v>128</v>
      </c>
      <c r="B62" s="33">
        <v>1503030</v>
      </c>
      <c r="C62" s="33">
        <v>3.6</v>
      </c>
      <c r="D62" s="36" t="s">
        <v>126</v>
      </c>
      <c r="E62" s="33">
        <v>12</v>
      </c>
      <c r="F62" s="23" t="s">
        <v>17</v>
      </c>
      <c r="G62" s="24"/>
      <c r="H62" s="24">
        <f>G62*E62</f>
        <v>0</v>
      </c>
    </row>
    <row r="63" spans="1:8" x14ac:dyDescent="0.45">
      <c r="A63" s="287"/>
      <c r="B63" s="41">
        <v>1503050</v>
      </c>
      <c r="C63" s="41"/>
      <c r="D63" s="42" t="s">
        <v>127</v>
      </c>
      <c r="E63" s="43"/>
      <c r="F63" s="44"/>
      <c r="G63" s="44"/>
      <c r="H63" s="45"/>
    </row>
    <row r="64" spans="1:8" x14ac:dyDescent="0.45">
      <c r="A64" s="257" t="s">
        <v>130</v>
      </c>
      <c r="B64" s="33">
        <v>1503050</v>
      </c>
      <c r="C64" s="33">
        <v>3.1</v>
      </c>
      <c r="D64" s="46" t="s">
        <v>129</v>
      </c>
      <c r="E64" s="33">
        <v>12</v>
      </c>
      <c r="F64" s="23" t="s">
        <v>17</v>
      </c>
      <c r="G64" s="24"/>
      <c r="H64" s="24">
        <f t="shared" ref="H64:H69" si="2">G64*E64</f>
        <v>0</v>
      </c>
    </row>
    <row r="65" spans="1:8" x14ac:dyDescent="0.45">
      <c r="A65" s="257" t="s">
        <v>132</v>
      </c>
      <c r="B65" s="33">
        <v>1503050</v>
      </c>
      <c r="C65" s="33">
        <v>3.2</v>
      </c>
      <c r="D65" s="36" t="s">
        <v>131</v>
      </c>
      <c r="E65" s="33">
        <v>12</v>
      </c>
      <c r="F65" s="23" t="s">
        <v>17</v>
      </c>
      <c r="G65" s="24"/>
      <c r="H65" s="24">
        <f t="shared" si="2"/>
        <v>0</v>
      </c>
    </row>
    <row r="66" spans="1:8" x14ac:dyDescent="0.45">
      <c r="A66" s="257" t="s">
        <v>134</v>
      </c>
      <c r="B66" s="33">
        <v>1503050</v>
      </c>
      <c r="C66" s="33">
        <v>3.3</v>
      </c>
      <c r="D66" s="36" t="s">
        <v>133</v>
      </c>
      <c r="E66" s="33">
        <v>12</v>
      </c>
      <c r="F66" s="23" t="s">
        <v>17</v>
      </c>
      <c r="G66" s="24"/>
      <c r="H66" s="24">
        <f t="shared" si="2"/>
        <v>0</v>
      </c>
    </row>
    <row r="67" spans="1:8" x14ac:dyDescent="0.45">
      <c r="A67" s="257" t="s">
        <v>136</v>
      </c>
      <c r="B67" s="33">
        <v>1503050</v>
      </c>
      <c r="C67" s="33">
        <v>3.4</v>
      </c>
      <c r="D67" s="36" t="s">
        <v>135</v>
      </c>
      <c r="E67" s="33">
        <v>12</v>
      </c>
      <c r="F67" s="23" t="s">
        <v>17</v>
      </c>
      <c r="G67" s="24"/>
      <c r="H67" s="24">
        <f t="shared" si="2"/>
        <v>0</v>
      </c>
    </row>
    <row r="68" spans="1:8" s="293" customFormat="1" x14ac:dyDescent="0.45">
      <c r="A68" s="257" t="s">
        <v>139</v>
      </c>
      <c r="B68" s="301">
        <v>1503050</v>
      </c>
      <c r="C68" s="301">
        <v>3.4</v>
      </c>
      <c r="D68" s="295" t="s">
        <v>5024</v>
      </c>
      <c r="E68" s="301">
        <v>12</v>
      </c>
      <c r="F68" s="286" t="s">
        <v>17</v>
      </c>
      <c r="G68" s="302"/>
      <c r="H68" s="302">
        <f t="shared" si="2"/>
        <v>0</v>
      </c>
    </row>
    <row r="69" spans="1:8" x14ac:dyDescent="0.45">
      <c r="A69" s="257" t="s">
        <v>5038</v>
      </c>
      <c r="B69" s="33">
        <v>1503050</v>
      </c>
      <c r="C69" s="33">
        <v>3.5</v>
      </c>
      <c r="D69" s="47" t="s">
        <v>137</v>
      </c>
      <c r="E69" s="33">
        <v>12</v>
      </c>
      <c r="F69" s="23" t="s">
        <v>17</v>
      </c>
      <c r="G69" s="24"/>
      <c r="H69" s="24">
        <f t="shared" si="2"/>
        <v>0</v>
      </c>
    </row>
    <row r="70" spans="1:8" x14ac:dyDescent="0.45">
      <c r="A70" s="287"/>
      <c r="B70" s="41">
        <v>1503060</v>
      </c>
      <c r="C70" s="41"/>
      <c r="D70" s="42" t="s">
        <v>138</v>
      </c>
      <c r="E70" s="43"/>
      <c r="F70" s="44"/>
      <c r="G70" s="44"/>
      <c r="H70" s="45"/>
    </row>
    <row r="71" spans="1:8" x14ac:dyDescent="0.45">
      <c r="A71" s="257" t="s">
        <v>141</v>
      </c>
      <c r="B71" s="33">
        <v>1503060</v>
      </c>
      <c r="C71" s="33">
        <v>3.1</v>
      </c>
      <c r="D71" s="36" t="s">
        <v>140</v>
      </c>
      <c r="E71" s="23">
        <v>12</v>
      </c>
      <c r="F71" s="23" t="s">
        <v>17</v>
      </c>
      <c r="G71" s="24"/>
      <c r="H71" s="24">
        <f>G71*E71</f>
        <v>0</v>
      </c>
    </row>
    <row r="72" spans="1:8" x14ac:dyDescent="0.45">
      <c r="A72" s="257" t="s">
        <v>145</v>
      </c>
      <c r="B72" s="33">
        <v>1503060</v>
      </c>
      <c r="C72" s="33">
        <v>3.2</v>
      </c>
      <c r="D72" s="36" t="s">
        <v>142</v>
      </c>
      <c r="E72" s="23">
        <v>12</v>
      </c>
      <c r="F72" s="23" t="s">
        <v>17</v>
      </c>
      <c r="G72" s="24"/>
      <c r="H72" s="24">
        <f>G72*E72</f>
        <v>0</v>
      </c>
    </row>
    <row r="73" spans="1:8" x14ac:dyDescent="0.45">
      <c r="A73" s="287"/>
      <c r="B73" s="41">
        <v>1601000</v>
      </c>
      <c r="C73" s="41"/>
      <c r="D73" s="42" t="s">
        <v>143</v>
      </c>
      <c r="E73" s="43"/>
      <c r="F73" s="44"/>
      <c r="G73" s="44"/>
      <c r="H73" s="45"/>
    </row>
    <row r="74" spans="1:8" x14ac:dyDescent="0.45">
      <c r="A74" s="363"/>
      <c r="B74" s="26"/>
      <c r="C74" s="26">
        <v>3.1</v>
      </c>
      <c r="D74" s="27" t="s">
        <v>144</v>
      </c>
      <c r="E74" s="28"/>
      <c r="F74" s="28"/>
      <c r="G74" s="28"/>
      <c r="H74" s="28"/>
    </row>
    <row r="75" spans="1:8" x14ac:dyDescent="0.45">
      <c r="A75" s="257" t="s">
        <v>147</v>
      </c>
      <c r="B75" s="23">
        <v>1601000</v>
      </c>
      <c r="C75" s="23" t="s">
        <v>21</v>
      </c>
      <c r="D75" s="48" t="s">
        <v>146</v>
      </c>
      <c r="E75" s="23">
        <v>12</v>
      </c>
      <c r="F75" s="23" t="s">
        <v>17</v>
      </c>
      <c r="G75" s="24"/>
      <c r="H75" s="24">
        <f>G75*E75</f>
        <v>0</v>
      </c>
    </row>
    <row r="76" spans="1:8" x14ac:dyDescent="0.45">
      <c r="A76" s="257" t="s">
        <v>149</v>
      </c>
      <c r="B76" s="23">
        <v>1601000</v>
      </c>
      <c r="C76" s="23" t="s">
        <v>24</v>
      </c>
      <c r="D76" s="48" t="s">
        <v>148</v>
      </c>
      <c r="E76" s="23">
        <v>12</v>
      </c>
      <c r="F76" s="23" t="s">
        <v>17</v>
      </c>
      <c r="G76" s="24"/>
      <c r="H76" s="24">
        <f>G76*E76</f>
        <v>0</v>
      </c>
    </row>
    <row r="77" spans="1:8" x14ac:dyDescent="0.45">
      <c r="A77" s="257" t="s">
        <v>151</v>
      </c>
      <c r="B77" s="23">
        <v>1601000</v>
      </c>
      <c r="C77" s="23">
        <v>3.2</v>
      </c>
      <c r="D77" s="48" t="s">
        <v>150</v>
      </c>
      <c r="E77" s="23">
        <v>12</v>
      </c>
      <c r="F77" s="23" t="s">
        <v>17</v>
      </c>
      <c r="G77" s="24"/>
      <c r="H77" s="24">
        <f>G77*E77</f>
        <v>0</v>
      </c>
    </row>
    <row r="78" spans="1:8" x14ac:dyDescent="0.45">
      <c r="A78" s="257" t="s">
        <v>155</v>
      </c>
      <c r="B78" s="23">
        <v>1601000</v>
      </c>
      <c r="C78" s="23">
        <v>3.3</v>
      </c>
      <c r="D78" s="48" t="s">
        <v>152</v>
      </c>
      <c r="E78" s="23">
        <v>12</v>
      </c>
      <c r="F78" s="23" t="s">
        <v>17</v>
      </c>
      <c r="G78" s="24"/>
      <c r="H78" s="24">
        <f>G78*E78</f>
        <v>0</v>
      </c>
    </row>
    <row r="79" spans="1:8" x14ac:dyDescent="0.45">
      <c r="A79" s="287"/>
      <c r="B79" s="41">
        <v>1602000</v>
      </c>
      <c r="C79" s="41"/>
      <c r="D79" s="42" t="s">
        <v>153</v>
      </c>
      <c r="E79" s="43"/>
      <c r="F79" s="44" t="s">
        <v>154</v>
      </c>
      <c r="G79" s="44"/>
      <c r="H79" s="45"/>
    </row>
    <row r="80" spans="1:8" x14ac:dyDescent="0.45">
      <c r="A80" s="363"/>
      <c r="B80" s="26"/>
      <c r="C80" s="26">
        <v>3.1</v>
      </c>
      <c r="D80" s="27" t="s">
        <v>31</v>
      </c>
      <c r="E80" s="28"/>
      <c r="F80" s="28"/>
      <c r="G80" s="28"/>
      <c r="H80" s="28"/>
    </row>
    <row r="81" spans="1:8" x14ac:dyDescent="0.45">
      <c r="A81" s="257" t="s">
        <v>157</v>
      </c>
      <c r="B81" s="23">
        <v>1602000</v>
      </c>
      <c r="C81" s="23" t="s">
        <v>21</v>
      </c>
      <c r="D81" s="48" t="s">
        <v>156</v>
      </c>
      <c r="E81" s="23">
        <v>12</v>
      </c>
      <c r="F81" s="23" t="s">
        <v>17</v>
      </c>
      <c r="G81" s="24"/>
      <c r="H81" s="24">
        <f>G81*E81</f>
        <v>0</v>
      </c>
    </row>
    <row r="82" spans="1:8" x14ac:dyDescent="0.45">
      <c r="A82" s="363"/>
      <c r="B82" s="49"/>
      <c r="C82" s="26">
        <v>3.2</v>
      </c>
      <c r="D82" s="28" t="s">
        <v>75</v>
      </c>
      <c r="E82" s="28"/>
      <c r="F82" s="28"/>
      <c r="G82" s="28"/>
      <c r="H82" s="28"/>
    </row>
    <row r="83" spans="1:8" x14ac:dyDescent="0.45">
      <c r="A83" s="257" t="s">
        <v>161</v>
      </c>
      <c r="B83" s="23">
        <v>1602000</v>
      </c>
      <c r="C83" s="23" t="s">
        <v>158</v>
      </c>
      <c r="D83" s="48" t="s">
        <v>159</v>
      </c>
      <c r="E83" s="23">
        <v>12</v>
      </c>
      <c r="F83" s="23" t="s">
        <v>17</v>
      </c>
      <c r="G83" s="24"/>
      <c r="H83" s="24">
        <f>G83*E83</f>
        <v>0</v>
      </c>
    </row>
    <row r="84" spans="1:8" x14ac:dyDescent="0.45">
      <c r="A84" s="287"/>
      <c r="B84" s="41">
        <v>1603000</v>
      </c>
      <c r="C84" s="41"/>
      <c r="D84" s="42" t="s">
        <v>160</v>
      </c>
      <c r="E84" s="50"/>
      <c r="F84" s="50"/>
      <c r="G84" s="51"/>
      <c r="H84" s="51"/>
    </row>
    <row r="85" spans="1:8" x14ac:dyDescent="0.45">
      <c r="A85" s="257" t="s">
        <v>163</v>
      </c>
      <c r="B85" s="23">
        <v>1603000</v>
      </c>
      <c r="C85" s="23">
        <v>3.1</v>
      </c>
      <c r="D85" s="48" t="s">
        <v>62</v>
      </c>
      <c r="E85" s="23">
        <v>12</v>
      </c>
      <c r="F85" s="23" t="s">
        <v>17</v>
      </c>
      <c r="G85" s="24"/>
      <c r="H85" s="24">
        <f>G85*E85</f>
        <v>0</v>
      </c>
    </row>
    <row r="86" spans="1:8" x14ac:dyDescent="0.45">
      <c r="A86" s="287"/>
      <c r="B86" s="41">
        <v>1604000</v>
      </c>
      <c r="C86" s="41"/>
      <c r="D86" s="42" t="s">
        <v>162</v>
      </c>
      <c r="E86" s="50"/>
      <c r="F86" s="50"/>
      <c r="G86" s="51"/>
      <c r="H86" s="51"/>
    </row>
    <row r="87" spans="1:8" x14ac:dyDescent="0.45">
      <c r="A87" s="257" t="s">
        <v>164</v>
      </c>
      <c r="B87" s="23">
        <v>1604000</v>
      </c>
      <c r="C87" s="23">
        <v>3.1</v>
      </c>
      <c r="D87" s="30" t="s">
        <v>31</v>
      </c>
      <c r="E87" s="52">
        <v>12</v>
      </c>
      <c r="F87" s="52" t="s">
        <v>17</v>
      </c>
      <c r="G87" s="53"/>
      <c r="H87" s="53">
        <f t="shared" ref="H87:H88" si="3">G87*E87</f>
        <v>0</v>
      </c>
    </row>
    <row r="88" spans="1:8" x14ac:dyDescent="0.45">
      <c r="A88" s="257" t="s">
        <v>167</v>
      </c>
      <c r="B88" s="23">
        <v>1604000</v>
      </c>
      <c r="C88" s="23">
        <v>3.2</v>
      </c>
      <c r="D88" s="30" t="s">
        <v>165</v>
      </c>
      <c r="E88" s="52">
        <v>12</v>
      </c>
      <c r="F88" s="52" t="s">
        <v>17</v>
      </c>
      <c r="G88" s="53"/>
      <c r="H88" s="53">
        <f t="shared" si="3"/>
        <v>0</v>
      </c>
    </row>
    <row r="89" spans="1:8" x14ac:dyDescent="0.45">
      <c r="A89" s="287"/>
      <c r="B89" s="41">
        <v>1606001</v>
      </c>
      <c r="C89" s="41"/>
      <c r="D89" s="54" t="s">
        <v>166</v>
      </c>
      <c r="E89" s="55"/>
      <c r="F89" s="55"/>
      <c r="G89" s="55"/>
      <c r="H89" s="55"/>
    </row>
    <row r="90" spans="1:8" x14ac:dyDescent="0.45">
      <c r="A90" s="257" t="s">
        <v>168</v>
      </c>
      <c r="B90" s="23">
        <v>1606001</v>
      </c>
      <c r="C90" s="23">
        <v>3.1</v>
      </c>
      <c r="D90" s="56" t="s">
        <v>31</v>
      </c>
      <c r="E90" s="23">
        <v>12</v>
      </c>
      <c r="F90" s="23" t="s">
        <v>17</v>
      </c>
      <c r="G90" s="24"/>
      <c r="H90" s="24">
        <f>G90*E90</f>
        <v>0</v>
      </c>
    </row>
    <row r="91" spans="1:8" x14ac:dyDescent="0.45">
      <c r="A91" s="257" t="s">
        <v>5327</v>
      </c>
      <c r="B91" s="23">
        <v>1606001</v>
      </c>
      <c r="C91" s="23">
        <v>3.2</v>
      </c>
      <c r="D91" s="56" t="s">
        <v>169</v>
      </c>
      <c r="E91" s="23">
        <v>12</v>
      </c>
      <c r="F91" s="23" t="s">
        <v>17</v>
      </c>
      <c r="G91" s="24"/>
      <c r="H91" s="24">
        <f>G91*E91</f>
        <v>0</v>
      </c>
    </row>
    <row r="92" spans="1:8" ht="24.7" customHeight="1" x14ac:dyDescent="0.45">
      <c r="A92" s="257" t="s">
        <v>172</v>
      </c>
      <c r="B92" s="23">
        <v>1606001</v>
      </c>
      <c r="C92" s="23">
        <v>3.3</v>
      </c>
      <c r="D92" s="303" t="s">
        <v>170</v>
      </c>
      <c r="E92" s="23">
        <v>12</v>
      </c>
      <c r="F92" s="23" t="s">
        <v>17</v>
      </c>
      <c r="G92" s="24"/>
      <c r="H92" s="24">
        <f>G92*E92</f>
        <v>0</v>
      </c>
    </row>
    <row r="93" spans="1:8" x14ac:dyDescent="0.45">
      <c r="A93" s="287"/>
      <c r="B93" s="41">
        <v>1700000</v>
      </c>
      <c r="C93" s="41"/>
      <c r="D93" s="42" t="s">
        <v>171</v>
      </c>
      <c r="E93" s="50"/>
      <c r="F93" s="50"/>
      <c r="G93" s="51"/>
      <c r="H93" s="51"/>
    </row>
    <row r="94" spans="1:8" x14ac:dyDescent="0.45">
      <c r="A94" s="257" t="s">
        <v>175</v>
      </c>
      <c r="B94" s="23">
        <v>1700000</v>
      </c>
      <c r="C94" s="23">
        <v>3.1</v>
      </c>
      <c r="D94" s="30" t="s">
        <v>173</v>
      </c>
      <c r="E94" s="23">
        <v>12</v>
      </c>
      <c r="F94" s="23" t="s">
        <v>17</v>
      </c>
      <c r="G94" s="24"/>
      <c r="H94" s="24">
        <f t="shared" ref="H94" si="4">G94*E94</f>
        <v>0</v>
      </c>
    </row>
    <row r="95" spans="1:8" x14ac:dyDescent="0.45">
      <c r="A95" s="287"/>
      <c r="B95" s="41">
        <v>1800000</v>
      </c>
      <c r="C95" s="41"/>
      <c r="D95" s="42" t="s">
        <v>174</v>
      </c>
      <c r="E95" s="43"/>
      <c r="F95" s="44"/>
      <c r="G95" s="44"/>
      <c r="H95" s="45"/>
    </row>
    <row r="96" spans="1:8" ht="25.2" x14ac:dyDescent="0.45">
      <c r="A96" s="257" t="s">
        <v>5025</v>
      </c>
      <c r="B96" s="23">
        <v>1800000</v>
      </c>
      <c r="C96" s="23">
        <v>3.1</v>
      </c>
      <c r="D96" s="57" t="s">
        <v>176</v>
      </c>
      <c r="E96" s="23">
        <v>12</v>
      </c>
      <c r="F96" s="23" t="s">
        <v>17</v>
      </c>
      <c r="G96" s="24"/>
      <c r="H96" s="24">
        <f>G96*E96</f>
        <v>0</v>
      </c>
    </row>
    <row r="97" spans="1:8" x14ac:dyDescent="0.45">
      <c r="A97" s="58"/>
      <c r="B97" s="59"/>
      <c r="C97" s="59"/>
      <c r="D97" s="60" t="s">
        <v>177</v>
      </c>
      <c r="E97" s="59"/>
      <c r="F97" s="59"/>
      <c r="G97" s="61"/>
      <c r="H97" s="62">
        <f>SUM(H15:H96)</f>
        <v>0</v>
      </c>
    </row>
    <row r="98" spans="1:8" hidden="1" x14ac:dyDescent="0.45">
      <c r="A98" s="63"/>
      <c r="B98" s="64"/>
      <c r="C98" s="64"/>
      <c r="D98" s="65"/>
      <c r="E98" s="64"/>
      <c r="F98" s="64"/>
      <c r="G98" s="66"/>
      <c r="H98" s="66"/>
    </row>
    <row r="99" spans="1:8" s="70" customFormat="1" ht="13.5" hidden="1" customHeight="1" x14ac:dyDescent="0.45">
      <c r="A99" s="67"/>
      <c r="B99" s="68"/>
      <c r="C99" s="68"/>
      <c r="D99" s="69"/>
      <c r="E99" s="69"/>
      <c r="F99" s="69"/>
      <c r="G99" s="69"/>
      <c r="H99" s="69"/>
    </row>
    <row r="100" spans="1:8" s="70" customFormat="1" ht="12.3" hidden="1" x14ac:dyDescent="0.45">
      <c r="A100" s="71"/>
      <c r="B100" s="72"/>
      <c r="C100" s="72"/>
      <c r="D100" s="73" t="s">
        <v>178</v>
      </c>
      <c r="E100" s="74"/>
      <c r="F100" s="74"/>
      <c r="G100" s="75"/>
      <c r="H100" s="75"/>
    </row>
    <row r="101" spans="1:8" s="70" customFormat="1" ht="12.3" hidden="1" x14ac:dyDescent="0.45">
      <c r="A101" s="76"/>
      <c r="B101" s="77"/>
      <c r="C101" s="77"/>
      <c r="D101" s="78" t="s">
        <v>179</v>
      </c>
      <c r="E101" s="79">
        <v>12</v>
      </c>
      <c r="F101" s="79" t="s">
        <v>17</v>
      </c>
      <c r="G101" s="80"/>
      <c r="H101" s="80">
        <f>G101*E101</f>
        <v>0</v>
      </c>
    </row>
    <row r="102" spans="1:8" s="70" customFormat="1" ht="12.3" hidden="1" x14ac:dyDescent="0.45">
      <c r="A102" s="71"/>
      <c r="B102" s="72"/>
      <c r="C102" s="72"/>
      <c r="D102" s="73" t="s">
        <v>180</v>
      </c>
      <c r="E102" s="72"/>
      <c r="F102" s="81"/>
      <c r="G102" s="81"/>
      <c r="H102" s="82"/>
    </row>
    <row r="103" spans="1:8" s="70" customFormat="1" ht="12.3" hidden="1" x14ac:dyDescent="0.45">
      <c r="A103" s="83"/>
      <c r="B103" s="84"/>
      <c r="C103" s="84"/>
      <c r="D103" s="85" t="s">
        <v>181</v>
      </c>
      <c r="E103" s="84"/>
      <c r="F103" s="84"/>
      <c r="G103" s="86"/>
      <c r="H103" s="86">
        <f>SUM(H100:H102)</f>
        <v>0</v>
      </c>
    </row>
    <row r="104" spans="1:8" x14ac:dyDescent="0.45">
      <c r="A104" s="87"/>
      <c r="B104" s="88"/>
      <c r="C104" s="88"/>
      <c r="D104" s="89"/>
      <c r="E104" s="64"/>
      <c r="F104" s="64"/>
      <c r="G104" s="66"/>
      <c r="H104" s="66"/>
    </row>
    <row r="105" spans="1:8" x14ac:dyDescent="0.45">
      <c r="A105" s="12" t="s">
        <v>182</v>
      </c>
      <c r="B105" s="90"/>
      <c r="C105" s="13"/>
      <c r="D105" s="12" t="s">
        <v>183</v>
      </c>
      <c r="E105" s="91"/>
      <c r="F105" s="91"/>
      <c r="G105" s="91"/>
      <c r="H105" s="91"/>
    </row>
    <row r="106" spans="1:8" x14ac:dyDescent="0.4">
      <c r="A106" s="40"/>
      <c r="B106" s="17">
        <v>1502000</v>
      </c>
      <c r="C106" s="18"/>
      <c r="D106" s="19" t="s">
        <v>18</v>
      </c>
      <c r="E106" s="50"/>
      <c r="F106" s="50"/>
      <c r="G106" s="51"/>
      <c r="H106" s="51"/>
    </row>
    <row r="107" spans="1:8" x14ac:dyDescent="0.45">
      <c r="A107" s="25"/>
      <c r="B107" s="26"/>
      <c r="C107" s="26">
        <v>3.1</v>
      </c>
      <c r="D107" s="27" t="s">
        <v>19</v>
      </c>
      <c r="E107" s="28"/>
      <c r="F107" s="28"/>
      <c r="G107" s="28"/>
      <c r="H107" s="28"/>
    </row>
    <row r="108" spans="1:8" x14ac:dyDescent="0.45">
      <c r="A108" s="22" t="s">
        <v>184</v>
      </c>
      <c r="B108" s="23">
        <v>1502000</v>
      </c>
      <c r="C108" s="23" t="s">
        <v>21</v>
      </c>
      <c r="D108" s="29" t="s">
        <v>22</v>
      </c>
      <c r="E108" s="23">
        <v>12</v>
      </c>
      <c r="F108" s="23" t="s">
        <v>17</v>
      </c>
      <c r="G108" s="24"/>
      <c r="H108" s="24">
        <f>G108*E108</f>
        <v>0</v>
      </c>
    </row>
    <row r="109" spans="1:8" x14ac:dyDescent="0.45">
      <c r="A109" s="22" t="s">
        <v>185</v>
      </c>
      <c r="B109" s="23">
        <v>1502000</v>
      </c>
      <c r="C109" s="23" t="s">
        <v>24</v>
      </c>
      <c r="D109" s="29" t="s">
        <v>25</v>
      </c>
      <c r="E109" s="23">
        <v>12</v>
      </c>
      <c r="F109" s="23" t="s">
        <v>17</v>
      </c>
      <c r="G109" s="24"/>
      <c r="H109" s="24">
        <f>G109*E109</f>
        <v>0</v>
      </c>
    </row>
    <row r="110" spans="1:8" x14ac:dyDescent="0.45">
      <c r="A110" s="22" t="s">
        <v>186</v>
      </c>
      <c r="B110" s="23">
        <v>1502000</v>
      </c>
      <c r="C110" s="23" t="s">
        <v>27</v>
      </c>
      <c r="D110" s="29" t="s">
        <v>28</v>
      </c>
      <c r="E110" s="23">
        <v>12</v>
      </c>
      <c r="F110" s="23" t="s">
        <v>17</v>
      </c>
      <c r="G110" s="24"/>
      <c r="H110" s="24">
        <f>G110*E110</f>
        <v>0</v>
      </c>
    </row>
    <row r="111" spans="1:8" x14ac:dyDescent="0.45">
      <c r="A111" s="25"/>
      <c r="B111" s="26"/>
      <c r="C111" s="26">
        <v>3.4</v>
      </c>
      <c r="D111" s="27" t="s">
        <v>62</v>
      </c>
      <c r="E111" s="28"/>
      <c r="F111" s="28"/>
      <c r="G111" s="28"/>
      <c r="H111" s="28"/>
    </row>
    <row r="112" spans="1:8" x14ac:dyDescent="0.45">
      <c r="A112" s="22" t="s">
        <v>187</v>
      </c>
      <c r="B112" s="23">
        <v>1502000</v>
      </c>
      <c r="C112" s="23" t="s">
        <v>67</v>
      </c>
      <c r="D112" s="35" t="s">
        <v>68</v>
      </c>
      <c r="E112" s="23">
        <v>12</v>
      </c>
      <c r="F112" s="23" t="s">
        <v>17</v>
      </c>
      <c r="G112" s="24"/>
      <c r="H112" s="24">
        <f>G112*E112</f>
        <v>0</v>
      </c>
    </row>
    <row r="113" spans="1:8" x14ac:dyDescent="0.45">
      <c r="A113" s="25"/>
      <c r="B113" s="37"/>
      <c r="C113" s="37">
        <v>3.6</v>
      </c>
      <c r="D113" s="38" t="s">
        <v>75</v>
      </c>
      <c r="E113" s="28"/>
      <c r="F113" s="28"/>
      <c r="G113" s="28"/>
      <c r="H113" s="28"/>
    </row>
    <row r="114" spans="1:8" s="263" customFormat="1" x14ac:dyDescent="0.45">
      <c r="A114" s="258" t="s">
        <v>188</v>
      </c>
      <c r="B114" s="261">
        <v>1502000</v>
      </c>
      <c r="C114" s="259" t="s">
        <v>77</v>
      </c>
      <c r="D114" s="275" t="s">
        <v>78</v>
      </c>
      <c r="E114" s="261">
        <v>12</v>
      </c>
      <c r="F114" s="261" t="s">
        <v>17</v>
      </c>
      <c r="G114" s="262"/>
      <c r="H114" s="262">
        <f>G114*E114</f>
        <v>0</v>
      </c>
    </row>
    <row r="115" spans="1:8" x14ac:dyDescent="0.45">
      <c r="A115" s="22" t="s">
        <v>5060</v>
      </c>
      <c r="B115" s="23">
        <v>1502000</v>
      </c>
      <c r="C115" s="33" t="s">
        <v>95</v>
      </c>
      <c r="D115" s="39" t="s">
        <v>96</v>
      </c>
      <c r="E115" s="23">
        <v>12</v>
      </c>
      <c r="F115" s="23" t="s">
        <v>17</v>
      </c>
      <c r="G115" s="24"/>
      <c r="H115" s="24">
        <f>G115*E115</f>
        <v>0</v>
      </c>
    </row>
    <row r="116" spans="1:8" s="263" customFormat="1" x14ac:dyDescent="0.45">
      <c r="A116" s="258" t="s">
        <v>189</v>
      </c>
      <c r="B116" s="261">
        <v>1502000</v>
      </c>
      <c r="C116" s="259" t="s">
        <v>101</v>
      </c>
      <c r="D116" s="275" t="s">
        <v>102</v>
      </c>
      <c r="E116" s="261">
        <v>12</v>
      </c>
      <c r="F116" s="261" t="s">
        <v>17</v>
      </c>
      <c r="G116" s="262"/>
      <c r="H116" s="262">
        <f>G116*E116</f>
        <v>0</v>
      </c>
    </row>
    <row r="117" spans="1:8" x14ac:dyDescent="0.45">
      <c r="A117" s="40"/>
      <c r="B117" s="41">
        <v>1503010</v>
      </c>
      <c r="C117" s="41"/>
      <c r="D117" s="42" t="s">
        <v>109</v>
      </c>
      <c r="E117" s="43"/>
      <c r="F117" s="44"/>
      <c r="G117" s="44"/>
      <c r="H117" s="45"/>
    </row>
    <row r="118" spans="1:8" x14ac:dyDescent="0.45">
      <c r="A118" s="22" t="s">
        <v>5061</v>
      </c>
      <c r="B118" s="33">
        <v>1503010</v>
      </c>
      <c r="C118" s="33">
        <v>3.1</v>
      </c>
      <c r="D118" s="36" t="s">
        <v>111</v>
      </c>
      <c r="E118" s="23">
        <v>12</v>
      </c>
      <c r="F118" s="23" t="s">
        <v>17</v>
      </c>
      <c r="G118" s="24"/>
      <c r="H118" s="24">
        <f>G118*E118</f>
        <v>0</v>
      </c>
    </row>
    <row r="119" spans="1:8" x14ac:dyDescent="0.45">
      <c r="A119" s="40"/>
      <c r="B119" s="92">
        <v>1503020</v>
      </c>
      <c r="C119" s="92"/>
      <c r="D119" s="93" t="s">
        <v>114</v>
      </c>
      <c r="E119" s="50"/>
      <c r="F119" s="50"/>
      <c r="G119" s="51"/>
      <c r="H119" s="51"/>
    </row>
    <row r="120" spans="1:8" x14ac:dyDescent="0.45">
      <c r="A120" s="22" t="s">
        <v>5062</v>
      </c>
      <c r="B120" s="33">
        <v>1503020</v>
      </c>
      <c r="C120" s="33">
        <v>3.1</v>
      </c>
      <c r="D120" s="36" t="s">
        <v>116</v>
      </c>
      <c r="E120" s="23">
        <v>12</v>
      </c>
      <c r="F120" s="23" t="s">
        <v>17</v>
      </c>
      <c r="G120" s="24"/>
      <c r="H120" s="24">
        <f>G120*E120</f>
        <v>0</v>
      </c>
    </row>
    <row r="121" spans="1:8" x14ac:dyDescent="0.45">
      <c r="A121" s="22" t="s">
        <v>5063</v>
      </c>
      <c r="B121" s="33">
        <v>1503020</v>
      </c>
      <c r="C121" s="33">
        <v>3.3</v>
      </c>
      <c r="D121" s="36" t="s">
        <v>120</v>
      </c>
      <c r="E121" s="23">
        <v>12</v>
      </c>
      <c r="F121" s="23" t="s">
        <v>17</v>
      </c>
      <c r="G121" s="24"/>
      <c r="H121" s="24">
        <f>G121*E121</f>
        <v>0</v>
      </c>
    </row>
    <row r="122" spans="1:8" x14ac:dyDescent="0.45">
      <c r="A122" s="58"/>
      <c r="B122" s="59"/>
      <c r="C122" s="59"/>
      <c r="D122" s="60" t="s">
        <v>190</v>
      </c>
      <c r="E122" s="59"/>
      <c r="F122" s="59"/>
      <c r="G122" s="61"/>
      <c r="H122" s="62">
        <f>SUM(H107:H121)</f>
        <v>0</v>
      </c>
    </row>
    <row r="123" spans="1:8" x14ac:dyDescent="0.45">
      <c r="A123" s="87"/>
      <c r="B123" s="88"/>
      <c r="C123" s="88"/>
      <c r="D123" s="89"/>
      <c r="E123" s="88"/>
      <c r="F123" s="88"/>
      <c r="G123" s="94"/>
      <c r="H123" s="94"/>
    </row>
    <row r="124" spans="1:8" x14ac:dyDescent="0.45">
      <c r="A124" s="12" t="s">
        <v>191</v>
      </c>
      <c r="B124" s="13"/>
      <c r="C124" s="13"/>
      <c r="D124" s="12" t="s">
        <v>192</v>
      </c>
      <c r="E124" s="91"/>
      <c r="F124" s="91"/>
      <c r="G124" s="91"/>
      <c r="H124" s="91"/>
    </row>
    <row r="125" spans="1:8" x14ac:dyDescent="0.4">
      <c r="A125" s="40"/>
      <c r="B125" s="17">
        <v>1502000</v>
      </c>
      <c r="C125" s="18"/>
      <c r="D125" s="19" t="s">
        <v>18</v>
      </c>
      <c r="E125" s="43"/>
      <c r="F125" s="44"/>
      <c r="G125" s="44"/>
      <c r="H125" s="45"/>
    </row>
    <row r="126" spans="1:8" x14ac:dyDescent="0.45">
      <c r="A126" s="25"/>
      <c r="B126" s="26"/>
      <c r="C126" s="26">
        <v>3.4</v>
      </c>
      <c r="D126" s="27" t="s">
        <v>62</v>
      </c>
      <c r="E126" s="28"/>
      <c r="F126" s="28"/>
      <c r="G126" s="28"/>
      <c r="H126" s="28"/>
    </row>
    <row r="127" spans="1:8" x14ac:dyDescent="0.45">
      <c r="A127" s="22" t="s">
        <v>193</v>
      </c>
      <c r="B127" s="23">
        <v>1502000</v>
      </c>
      <c r="C127" s="23" t="s">
        <v>67</v>
      </c>
      <c r="D127" s="35" t="s">
        <v>68</v>
      </c>
      <c r="E127" s="23">
        <v>12</v>
      </c>
      <c r="F127" s="23" t="s">
        <v>17</v>
      </c>
      <c r="G127" s="24"/>
      <c r="H127" s="24">
        <f>G127*E127</f>
        <v>0</v>
      </c>
    </row>
    <row r="128" spans="1:8" s="263" customFormat="1" x14ac:dyDescent="0.45">
      <c r="A128" s="265"/>
      <c r="B128" s="376"/>
      <c r="C128" s="376">
        <v>3.6</v>
      </c>
      <c r="D128" s="377" t="s">
        <v>75</v>
      </c>
      <c r="E128" s="268"/>
      <c r="F128" s="268"/>
      <c r="G128" s="268"/>
      <c r="H128" s="268"/>
    </row>
    <row r="129" spans="1:8" s="263" customFormat="1" x14ac:dyDescent="0.45">
      <c r="A129" s="258" t="s">
        <v>194</v>
      </c>
      <c r="B129" s="261">
        <v>1502000</v>
      </c>
      <c r="C129" s="259" t="s">
        <v>77</v>
      </c>
      <c r="D129" s="275" t="s">
        <v>78</v>
      </c>
      <c r="E129" s="261">
        <v>12</v>
      </c>
      <c r="F129" s="261" t="s">
        <v>17</v>
      </c>
      <c r="G129" s="262"/>
      <c r="H129" s="262">
        <f>G129*E129</f>
        <v>0</v>
      </c>
    </row>
    <row r="130" spans="1:8" x14ac:dyDescent="0.45">
      <c r="A130" s="40"/>
      <c r="B130" s="92">
        <v>1503020</v>
      </c>
      <c r="C130" s="92"/>
      <c r="D130" s="93" t="s">
        <v>114</v>
      </c>
      <c r="E130" s="50"/>
      <c r="F130" s="50"/>
      <c r="G130" s="51"/>
      <c r="H130" s="51"/>
    </row>
    <row r="131" spans="1:8" x14ac:dyDescent="0.45">
      <c r="A131" s="22" t="s">
        <v>5056</v>
      </c>
      <c r="B131" s="33">
        <v>1503020</v>
      </c>
      <c r="C131" s="33">
        <v>3.1</v>
      </c>
      <c r="D131" s="36" t="s">
        <v>116</v>
      </c>
      <c r="E131" s="23">
        <v>12</v>
      </c>
      <c r="F131" s="23" t="s">
        <v>17</v>
      </c>
      <c r="G131" s="24"/>
      <c r="H131" s="24">
        <f>G131*E131</f>
        <v>0</v>
      </c>
    </row>
    <row r="132" spans="1:8" x14ac:dyDescent="0.45">
      <c r="A132" s="22" t="s">
        <v>5057</v>
      </c>
      <c r="B132" s="33">
        <v>1503020</v>
      </c>
      <c r="C132" s="33">
        <v>3.2</v>
      </c>
      <c r="D132" s="36" t="s">
        <v>118</v>
      </c>
      <c r="E132" s="23">
        <v>12</v>
      </c>
      <c r="F132" s="23" t="s">
        <v>17</v>
      </c>
      <c r="G132" s="24"/>
      <c r="H132" s="24">
        <f>G132*E132</f>
        <v>0</v>
      </c>
    </row>
    <row r="133" spans="1:8" x14ac:dyDescent="0.45">
      <c r="A133" s="22" t="s">
        <v>5058</v>
      </c>
      <c r="B133" s="33">
        <v>1503020</v>
      </c>
      <c r="C133" s="33">
        <v>3.3</v>
      </c>
      <c r="D133" s="36" t="s">
        <v>120</v>
      </c>
      <c r="E133" s="23">
        <v>12</v>
      </c>
      <c r="F133" s="23" t="s">
        <v>17</v>
      </c>
      <c r="G133" s="24"/>
      <c r="H133" s="24">
        <f>G133*E133</f>
        <v>0</v>
      </c>
    </row>
    <row r="134" spans="1:8" x14ac:dyDescent="0.45">
      <c r="A134" s="40"/>
      <c r="B134" s="43">
        <v>1503030</v>
      </c>
      <c r="C134" s="41"/>
      <c r="D134" s="42" t="s">
        <v>121</v>
      </c>
      <c r="E134" s="95"/>
      <c r="F134" s="95"/>
      <c r="G134" s="95"/>
      <c r="H134" s="95"/>
    </row>
    <row r="135" spans="1:8" x14ac:dyDescent="0.45">
      <c r="A135" s="22" t="s">
        <v>5059</v>
      </c>
      <c r="B135" s="33">
        <v>1503030</v>
      </c>
      <c r="C135" s="33" t="s">
        <v>123</v>
      </c>
      <c r="D135" s="36" t="s">
        <v>124</v>
      </c>
      <c r="E135" s="23">
        <v>12</v>
      </c>
      <c r="F135" s="23" t="s">
        <v>17</v>
      </c>
      <c r="G135" s="24"/>
      <c r="H135" s="24">
        <f>G135*E135</f>
        <v>0</v>
      </c>
    </row>
    <row r="136" spans="1:8" x14ac:dyDescent="0.45">
      <c r="A136" s="58"/>
      <c r="B136" s="59"/>
      <c r="C136" s="59"/>
      <c r="D136" s="60" t="s">
        <v>195</v>
      </c>
      <c r="E136" s="59"/>
      <c r="F136" s="59"/>
      <c r="G136" s="61"/>
      <c r="H136" s="62">
        <f>SUM(H127:H135)</f>
        <v>0</v>
      </c>
    </row>
    <row r="137" spans="1:8" x14ac:dyDescent="0.45">
      <c r="A137" s="87"/>
      <c r="B137" s="88"/>
      <c r="C137" s="88"/>
      <c r="D137" s="65"/>
      <c r="E137" s="64"/>
      <c r="F137" s="64"/>
      <c r="G137" s="66"/>
      <c r="H137" s="66"/>
    </row>
    <row r="138" spans="1:8" x14ac:dyDescent="0.45">
      <c r="A138" s="12" t="s">
        <v>196</v>
      </c>
      <c r="B138" s="13"/>
      <c r="C138" s="13"/>
      <c r="D138" s="12" t="s">
        <v>197</v>
      </c>
      <c r="E138" s="91"/>
      <c r="F138" s="91"/>
      <c r="G138" s="91"/>
      <c r="H138" s="91"/>
    </row>
    <row r="139" spans="1:8" x14ac:dyDescent="0.45">
      <c r="A139" s="40"/>
      <c r="B139" s="41">
        <v>1503010</v>
      </c>
      <c r="C139" s="41"/>
      <c r="D139" s="42" t="s">
        <v>109</v>
      </c>
      <c r="E139" s="43"/>
      <c r="F139" s="44"/>
      <c r="G139" s="44"/>
      <c r="H139" s="45"/>
    </row>
    <row r="140" spans="1:8" x14ac:dyDescent="0.45">
      <c r="A140" s="22" t="s">
        <v>198</v>
      </c>
      <c r="B140" s="33">
        <v>1503010</v>
      </c>
      <c r="C140" s="33">
        <v>3.1</v>
      </c>
      <c r="D140" s="36" t="s">
        <v>111</v>
      </c>
      <c r="E140" s="23">
        <v>12</v>
      </c>
      <c r="F140" s="23" t="s">
        <v>17</v>
      </c>
      <c r="G140" s="24"/>
      <c r="H140" s="24">
        <f>G140*E140</f>
        <v>0</v>
      </c>
    </row>
    <row r="141" spans="1:8" x14ac:dyDescent="0.45">
      <c r="A141" s="40"/>
      <c r="B141" s="43">
        <v>1503030</v>
      </c>
      <c r="C141" s="41"/>
      <c r="D141" s="42" t="s">
        <v>121</v>
      </c>
      <c r="E141" s="50"/>
      <c r="F141" s="50"/>
      <c r="G141" s="51"/>
      <c r="H141" s="51"/>
    </row>
    <row r="142" spans="1:8" x14ac:dyDescent="0.45">
      <c r="A142" s="22" t="s">
        <v>199</v>
      </c>
      <c r="B142" s="33">
        <v>1503030</v>
      </c>
      <c r="C142" s="33" t="s">
        <v>123</v>
      </c>
      <c r="D142" s="36" t="s">
        <v>124</v>
      </c>
      <c r="E142" s="23">
        <v>12</v>
      </c>
      <c r="F142" s="23" t="s">
        <v>17</v>
      </c>
      <c r="G142" s="24"/>
      <c r="H142" s="24">
        <f>G142*E142</f>
        <v>0</v>
      </c>
    </row>
    <row r="143" spans="1:8" x14ac:dyDescent="0.45">
      <c r="A143" s="58"/>
      <c r="B143" s="59"/>
      <c r="C143" s="59"/>
      <c r="D143" s="60" t="s">
        <v>200</v>
      </c>
      <c r="E143" s="59"/>
      <c r="F143" s="59"/>
      <c r="G143" s="61"/>
      <c r="H143" s="62">
        <f>SUM(H138:H142)</f>
        <v>0</v>
      </c>
    </row>
    <row r="144" spans="1:8" x14ac:dyDescent="0.45">
      <c r="A144" s="96"/>
      <c r="B144" s="97"/>
      <c r="C144" s="97"/>
      <c r="D144" s="98"/>
      <c r="E144" s="97"/>
      <c r="F144" s="97"/>
      <c r="G144" s="99"/>
      <c r="H144" s="99"/>
    </row>
    <row r="145" spans="1:8" x14ac:dyDescent="0.45">
      <c r="A145" s="12" t="s">
        <v>201</v>
      </c>
      <c r="B145" s="13"/>
      <c r="C145" s="13"/>
      <c r="D145" s="12" t="s">
        <v>202</v>
      </c>
      <c r="E145" s="100"/>
      <c r="F145" s="101"/>
      <c r="G145" s="101"/>
      <c r="H145" s="102"/>
    </row>
    <row r="146" spans="1:8" x14ac:dyDescent="0.45">
      <c r="A146" s="40"/>
      <c r="B146" s="41">
        <v>1503010</v>
      </c>
      <c r="C146" s="41"/>
      <c r="D146" s="42" t="s">
        <v>109</v>
      </c>
      <c r="E146" s="43"/>
      <c r="F146" s="44"/>
      <c r="G146" s="44"/>
      <c r="H146" s="45"/>
    </row>
    <row r="147" spans="1:8" x14ac:dyDescent="0.45">
      <c r="A147" s="22" t="s">
        <v>203</v>
      </c>
      <c r="B147" s="33">
        <v>1503010</v>
      </c>
      <c r="C147" s="33">
        <v>3.1</v>
      </c>
      <c r="D147" s="36" t="s">
        <v>111</v>
      </c>
      <c r="E147" s="23">
        <v>12</v>
      </c>
      <c r="F147" s="23" t="s">
        <v>17</v>
      </c>
      <c r="G147" s="24"/>
      <c r="H147" s="24">
        <f>G147*E147</f>
        <v>0</v>
      </c>
    </row>
    <row r="148" spans="1:8" x14ac:dyDescent="0.45">
      <c r="A148" s="40"/>
      <c r="B148" s="43">
        <v>1503030</v>
      </c>
      <c r="C148" s="41"/>
      <c r="D148" s="42" t="s">
        <v>121</v>
      </c>
      <c r="E148" s="43"/>
      <c r="F148" s="44"/>
      <c r="G148" s="44"/>
      <c r="H148" s="45"/>
    </row>
    <row r="149" spans="1:8" x14ac:dyDescent="0.45">
      <c r="A149" s="22" t="s">
        <v>204</v>
      </c>
      <c r="B149" s="33">
        <v>1503030</v>
      </c>
      <c r="C149" s="33" t="s">
        <v>123</v>
      </c>
      <c r="D149" s="36" t="s">
        <v>124</v>
      </c>
      <c r="E149" s="23">
        <v>12</v>
      </c>
      <c r="F149" s="23" t="s">
        <v>17</v>
      </c>
      <c r="G149" s="24"/>
      <c r="H149" s="24">
        <f>G149*E149</f>
        <v>0</v>
      </c>
    </row>
    <row r="150" spans="1:8" x14ac:dyDescent="0.45">
      <c r="A150" s="58"/>
      <c r="B150" s="59"/>
      <c r="C150" s="59"/>
      <c r="D150" s="60" t="s">
        <v>205</v>
      </c>
      <c r="E150" s="59"/>
      <c r="F150" s="59"/>
      <c r="G150" s="61"/>
      <c r="H150" s="62">
        <f>SUM(H147:H149)</f>
        <v>0</v>
      </c>
    </row>
    <row r="151" spans="1:8" x14ac:dyDescent="0.45">
      <c r="A151" s="96"/>
      <c r="B151" s="97"/>
      <c r="C151" s="97"/>
      <c r="D151" s="98"/>
      <c r="E151" s="97"/>
      <c r="F151" s="97"/>
      <c r="G151" s="99"/>
      <c r="H151" s="99"/>
    </row>
    <row r="152" spans="1:8" x14ac:dyDescent="0.45">
      <c r="A152" s="12" t="s">
        <v>206</v>
      </c>
      <c r="B152" s="13"/>
      <c r="C152" s="13"/>
      <c r="D152" s="12" t="s">
        <v>207</v>
      </c>
      <c r="E152" s="100"/>
      <c r="F152" s="101"/>
      <c r="G152" s="101"/>
      <c r="H152" s="102"/>
    </row>
    <row r="153" spans="1:8" x14ac:dyDescent="0.4">
      <c r="A153" s="40"/>
      <c r="B153" s="17">
        <v>1502000</v>
      </c>
      <c r="C153" s="18"/>
      <c r="D153" s="19" t="s">
        <v>18</v>
      </c>
      <c r="E153" s="43"/>
      <c r="F153" s="44"/>
      <c r="G153" s="44"/>
      <c r="H153" s="45"/>
    </row>
    <row r="154" spans="1:8" x14ac:dyDescent="0.45">
      <c r="A154" s="25"/>
      <c r="B154" s="37"/>
      <c r="C154" s="37">
        <v>3.6</v>
      </c>
      <c r="D154" s="38" t="s">
        <v>75</v>
      </c>
      <c r="E154" s="28"/>
      <c r="F154" s="28"/>
      <c r="G154" s="28"/>
      <c r="H154" s="28"/>
    </row>
    <row r="155" spans="1:8" x14ac:dyDescent="0.45">
      <c r="A155" s="22" t="s">
        <v>208</v>
      </c>
      <c r="B155" s="23">
        <v>1502000</v>
      </c>
      <c r="C155" s="33" t="s">
        <v>77</v>
      </c>
      <c r="D155" s="39" t="s">
        <v>78</v>
      </c>
      <c r="E155" s="23">
        <v>12</v>
      </c>
      <c r="F155" s="23" t="s">
        <v>17</v>
      </c>
      <c r="G155" s="24"/>
      <c r="H155" s="24">
        <f>G155*E155</f>
        <v>0</v>
      </c>
    </row>
    <row r="156" spans="1:8" x14ac:dyDescent="0.45">
      <c r="A156" s="22" t="s">
        <v>209</v>
      </c>
      <c r="B156" s="23">
        <v>1502000</v>
      </c>
      <c r="C156" s="33" t="s">
        <v>101</v>
      </c>
      <c r="D156" s="39" t="s">
        <v>102</v>
      </c>
      <c r="E156" s="23">
        <v>12</v>
      </c>
      <c r="F156" s="23" t="s">
        <v>17</v>
      </c>
      <c r="G156" s="24"/>
      <c r="H156" s="24">
        <f>G156*E156</f>
        <v>0</v>
      </c>
    </row>
    <row r="157" spans="1:8" x14ac:dyDescent="0.45">
      <c r="A157" s="40"/>
      <c r="B157" s="41">
        <v>1503010</v>
      </c>
      <c r="C157" s="41"/>
      <c r="D157" s="42" t="s">
        <v>109</v>
      </c>
      <c r="E157" s="43"/>
      <c r="F157" s="44"/>
      <c r="G157" s="44"/>
      <c r="H157" s="45"/>
    </row>
    <row r="158" spans="1:8" x14ac:dyDescent="0.45">
      <c r="A158" s="22" t="s">
        <v>210</v>
      </c>
      <c r="B158" s="33">
        <v>1503010</v>
      </c>
      <c r="C158" s="33">
        <v>3.1</v>
      </c>
      <c r="D158" s="36" t="s">
        <v>111</v>
      </c>
      <c r="E158" s="23">
        <v>12</v>
      </c>
      <c r="F158" s="23" t="s">
        <v>17</v>
      </c>
      <c r="G158" s="24"/>
      <c r="H158" s="24">
        <f>G158*E158</f>
        <v>0</v>
      </c>
    </row>
    <row r="159" spans="1:8" x14ac:dyDescent="0.45">
      <c r="A159" s="40"/>
      <c r="B159" s="92">
        <v>1503020</v>
      </c>
      <c r="C159" s="92"/>
      <c r="D159" s="93" t="s">
        <v>114</v>
      </c>
      <c r="E159" s="43"/>
      <c r="F159" s="44"/>
      <c r="G159" s="44"/>
      <c r="H159" s="45"/>
    </row>
    <row r="160" spans="1:8" x14ac:dyDescent="0.45">
      <c r="A160" s="22" t="s">
        <v>211</v>
      </c>
      <c r="B160" s="33">
        <v>1503020</v>
      </c>
      <c r="C160" s="33">
        <v>3.1</v>
      </c>
      <c r="D160" s="36" t="s">
        <v>116</v>
      </c>
      <c r="E160" s="23">
        <v>12</v>
      </c>
      <c r="F160" s="23" t="s">
        <v>17</v>
      </c>
      <c r="G160" s="24"/>
      <c r="H160" s="24">
        <f>G160*E160</f>
        <v>0</v>
      </c>
    </row>
    <row r="161" spans="1:8" x14ac:dyDescent="0.45">
      <c r="A161" s="22" t="s">
        <v>212</v>
      </c>
      <c r="B161" s="33">
        <v>1503020</v>
      </c>
      <c r="C161" s="33">
        <v>3.2</v>
      </c>
      <c r="D161" s="36" t="s">
        <v>118</v>
      </c>
      <c r="E161" s="23">
        <v>12</v>
      </c>
      <c r="F161" s="23" t="s">
        <v>17</v>
      </c>
      <c r="G161" s="24"/>
      <c r="H161" s="24">
        <f>G161*E161</f>
        <v>0</v>
      </c>
    </row>
    <row r="162" spans="1:8" x14ac:dyDescent="0.45">
      <c r="A162" s="22" t="s">
        <v>213</v>
      </c>
      <c r="B162" s="33">
        <v>1503020</v>
      </c>
      <c r="C162" s="33">
        <v>3.3</v>
      </c>
      <c r="D162" s="36" t="s">
        <v>120</v>
      </c>
      <c r="E162" s="23">
        <v>12</v>
      </c>
      <c r="F162" s="23" t="s">
        <v>17</v>
      </c>
      <c r="G162" s="24"/>
      <c r="H162" s="24">
        <f>G162*E162</f>
        <v>0</v>
      </c>
    </row>
    <row r="163" spans="1:8" x14ac:dyDescent="0.45">
      <c r="A163" s="40"/>
      <c r="B163" s="43">
        <v>1503030</v>
      </c>
      <c r="C163" s="41"/>
      <c r="D163" s="42" t="s">
        <v>121</v>
      </c>
      <c r="E163" s="43"/>
      <c r="F163" s="44"/>
      <c r="G163" s="44"/>
      <c r="H163" s="45"/>
    </row>
    <row r="164" spans="1:8" x14ac:dyDescent="0.45">
      <c r="A164" s="22" t="s">
        <v>214</v>
      </c>
      <c r="B164" s="33">
        <v>1503030</v>
      </c>
      <c r="C164" s="33" t="s">
        <v>123</v>
      </c>
      <c r="D164" s="36" t="s">
        <v>124</v>
      </c>
      <c r="E164" s="23">
        <v>12</v>
      </c>
      <c r="F164" s="23" t="s">
        <v>17</v>
      </c>
      <c r="G164" s="24"/>
      <c r="H164" s="24">
        <f>G164*E164</f>
        <v>0</v>
      </c>
    </row>
    <row r="165" spans="1:8" x14ac:dyDescent="0.45">
      <c r="A165" s="58"/>
      <c r="B165" s="59"/>
      <c r="C165" s="59"/>
      <c r="D165" s="60" t="s">
        <v>215</v>
      </c>
      <c r="E165" s="59"/>
      <c r="F165" s="59"/>
      <c r="G165" s="61"/>
      <c r="H165" s="62">
        <f>SUM(H154:H164)</f>
        <v>0</v>
      </c>
    </row>
    <row r="166" spans="1:8" x14ac:dyDescent="0.45">
      <c r="A166" s="96"/>
      <c r="B166" s="97"/>
      <c r="C166" s="97"/>
      <c r="D166" s="98"/>
      <c r="E166" s="97"/>
      <c r="F166" s="97"/>
      <c r="G166" s="99"/>
      <c r="H166" s="99"/>
    </row>
    <row r="167" spans="1:8" x14ac:dyDescent="0.45">
      <c r="A167" s="12" t="s">
        <v>216</v>
      </c>
      <c r="B167" s="13"/>
      <c r="C167" s="13"/>
      <c r="D167" s="12" t="s">
        <v>217</v>
      </c>
      <c r="E167" s="100"/>
      <c r="F167" s="101"/>
      <c r="G167" s="101"/>
      <c r="H167" s="102"/>
    </row>
    <row r="168" spans="1:8" s="263" customFormat="1" x14ac:dyDescent="0.4">
      <c r="A168" s="278"/>
      <c r="B168" s="279">
        <v>1502000</v>
      </c>
      <c r="C168" s="280"/>
      <c r="D168" s="281" t="s">
        <v>18</v>
      </c>
      <c r="E168" s="282"/>
      <c r="F168" s="283"/>
      <c r="G168" s="283"/>
      <c r="H168" s="284"/>
    </row>
    <row r="169" spans="1:8" s="263" customFormat="1" x14ac:dyDescent="0.45">
      <c r="A169" s="265"/>
      <c r="B169" s="266"/>
      <c r="C169" s="266">
        <v>3.1</v>
      </c>
      <c r="D169" s="267" t="s">
        <v>19</v>
      </c>
      <c r="E169" s="266"/>
      <c r="F169" s="266"/>
      <c r="G169" s="273"/>
      <c r="H169" s="273"/>
    </row>
    <row r="170" spans="1:8" x14ac:dyDescent="0.45">
      <c r="A170" s="258" t="s">
        <v>218</v>
      </c>
      <c r="B170" s="261">
        <v>1502000</v>
      </c>
      <c r="C170" s="261" t="s">
        <v>21</v>
      </c>
      <c r="D170" s="264" t="s">
        <v>22</v>
      </c>
      <c r="E170" s="261">
        <v>12</v>
      </c>
      <c r="F170" s="261" t="s">
        <v>17</v>
      </c>
      <c r="G170" s="262"/>
      <c r="H170" s="262">
        <f>G170*E170</f>
        <v>0</v>
      </c>
    </row>
    <row r="171" spans="1:8" x14ac:dyDescent="0.45">
      <c r="A171" s="258" t="s">
        <v>219</v>
      </c>
      <c r="B171" s="261">
        <v>1502000</v>
      </c>
      <c r="C171" s="261" t="s">
        <v>24</v>
      </c>
      <c r="D171" s="264" t="s">
        <v>25</v>
      </c>
      <c r="E171" s="261">
        <v>12</v>
      </c>
      <c r="F171" s="261" t="s">
        <v>17</v>
      </c>
      <c r="G171" s="262"/>
      <c r="H171" s="262">
        <f>G171*E171</f>
        <v>0</v>
      </c>
    </row>
    <row r="172" spans="1:8" ht="13.5" customHeight="1" x14ac:dyDescent="0.45">
      <c r="A172" s="258" t="s">
        <v>220</v>
      </c>
      <c r="B172" s="261">
        <v>1502000</v>
      </c>
      <c r="C172" s="261" t="s">
        <v>27</v>
      </c>
      <c r="D172" s="264" t="s">
        <v>28</v>
      </c>
      <c r="E172" s="261">
        <v>12</v>
      </c>
      <c r="F172" s="261" t="s">
        <v>17</v>
      </c>
      <c r="G172" s="262"/>
      <c r="H172" s="262">
        <f>G172*E172</f>
        <v>0</v>
      </c>
    </row>
    <row r="173" spans="1:8" x14ac:dyDescent="0.45">
      <c r="A173" s="265"/>
      <c r="B173" s="266"/>
      <c r="C173" s="266">
        <v>3.1</v>
      </c>
      <c r="D173" s="267" t="s">
        <v>31</v>
      </c>
      <c r="E173" s="268"/>
      <c r="F173" s="268"/>
      <c r="G173" s="268"/>
      <c r="H173" s="268"/>
    </row>
    <row r="174" spans="1:8" x14ac:dyDescent="0.45">
      <c r="A174" s="258" t="s">
        <v>221</v>
      </c>
      <c r="B174" s="261">
        <v>1502000</v>
      </c>
      <c r="C174" s="261" t="s">
        <v>222</v>
      </c>
      <c r="D174" s="269" t="s">
        <v>223</v>
      </c>
      <c r="E174" s="261">
        <v>12</v>
      </c>
      <c r="F174" s="261" t="s">
        <v>17</v>
      </c>
      <c r="G174" s="262"/>
      <c r="H174" s="262">
        <f t="shared" ref="H174:H191" si="5">G174*E174</f>
        <v>0</v>
      </c>
    </row>
    <row r="175" spans="1:8" x14ac:dyDescent="0.45">
      <c r="A175" s="258" t="s">
        <v>224</v>
      </c>
      <c r="B175" s="261">
        <v>1502000</v>
      </c>
      <c r="C175" s="261" t="s">
        <v>33</v>
      </c>
      <c r="D175" s="269" t="s">
        <v>34</v>
      </c>
      <c r="E175" s="261">
        <v>12</v>
      </c>
      <c r="F175" s="261" t="s">
        <v>17</v>
      </c>
      <c r="G175" s="262"/>
      <c r="H175" s="262">
        <f t="shared" si="5"/>
        <v>0</v>
      </c>
    </row>
    <row r="176" spans="1:8" x14ac:dyDescent="0.45">
      <c r="A176" s="258" t="s">
        <v>225</v>
      </c>
      <c r="B176" s="261">
        <v>1502000</v>
      </c>
      <c r="C176" s="261" t="s">
        <v>36</v>
      </c>
      <c r="D176" s="269" t="s">
        <v>37</v>
      </c>
      <c r="E176" s="261">
        <v>12</v>
      </c>
      <c r="F176" s="261" t="s">
        <v>17</v>
      </c>
      <c r="G176" s="262"/>
      <c r="H176" s="262">
        <f t="shared" si="5"/>
        <v>0</v>
      </c>
    </row>
    <row r="177" spans="1:8" x14ac:dyDescent="0.45">
      <c r="A177" s="258" t="s">
        <v>226</v>
      </c>
      <c r="B177" s="261">
        <v>1502000</v>
      </c>
      <c r="C177" s="261" t="s">
        <v>227</v>
      </c>
      <c r="D177" s="270" t="s">
        <v>228</v>
      </c>
      <c r="E177" s="261">
        <v>12</v>
      </c>
      <c r="F177" s="261" t="s">
        <v>17</v>
      </c>
      <c r="G177" s="262"/>
      <c r="H177" s="262">
        <f t="shared" si="5"/>
        <v>0</v>
      </c>
    </row>
    <row r="178" spans="1:8" x14ac:dyDescent="0.45">
      <c r="A178" s="258" t="s">
        <v>229</v>
      </c>
      <c r="B178" s="261">
        <v>1502000</v>
      </c>
      <c r="C178" s="261" t="s">
        <v>39</v>
      </c>
      <c r="D178" s="269" t="s">
        <v>230</v>
      </c>
      <c r="E178" s="261">
        <v>12</v>
      </c>
      <c r="F178" s="261" t="s">
        <v>17</v>
      </c>
      <c r="G178" s="262"/>
      <c r="H178" s="262">
        <f t="shared" si="5"/>
        <v>0</v>
      </c>
    </row>
    <row r="179" spans="1:8" x14ac:dyDescent="0.45">
      <c r="A179" s="258" t="s">
        <v>231</v>
      </c>
      <c r="B179" s="261">
        <v>1502000</v>
      </c>
      <c r="C179" s="261" t="s">
        <v>232</v>
      </c>
      <c r="D179" s="269" t="s">
        <v>233</v>
      </c>
      <c r="E179" s="261">
        <v>12</v>
      </c>
      <c r="F179" s="261" t="s">
        <v>17</v>
      </c>
      <c r="G179" s="262"/>
      <c r="H179" s="262">
        <f t="shared" si="5"/>
        <v>0</v>
      </c>
    </row>
    <row r="180" spans="1:8" x14ac:dyDescent="0.45">
      <c r="A180" s="258" t="s">
        <v>234</v>
      </c>
      <c r="B180" s="261">
        <v>1502000</v>
      </c>
      <c r="C180" s="271" t="s">
        <v>235</v>
      </c>
      <c r="D180" s="263" t="s">
        <v>236</v>
      </c>
      <c r="E180" s="261">
        <v>12</v>
      </c>
      <c r="F180" s="261" t="s">
        <v>17</v>
      </c>
      <c r="G180" s="262"/>
      <c r="H180" s="262">
        <f t="shared" si="5"/>
        <v>0</v>
      </c>
    </row>
    <row r="181" spans="1:8" x14ac:dyDescent="0.45">
      <c r="A181" s="258" t="s">
        <v>237</v>
      </c>
      <c r="B181" s="261">
        <v>1502000</v>
      </c>
      <c r="C181" s="261" t="s">
        <v>238</v>
      </c>
      <c r="D181" s="269" t="s">
        <v>239</v>
      </c>
      <c r="E181" s="261">
        <v>12</v>
      </c>
      <c r="F181" s="261" t="s">
        <v>17</v>
      </c>
      <c r="G181" s="262"/>
      <c r="H181" s="262">
        <f t="shared" si="5"/>
        <v>0</v>
      </c>
    </row>
    <row r="182" spans="1:8" x14ac:dyDescent="0.45">
      <c r="A182" s="258" t="s">
        <v>240</v>
      </c>
      <c r="B182" s="261">
        <v>1502000</v>
      </c>
      <c r="C182" s="261" t="s">
        <v>241</v>
      </c>
      <c r="D182" s="269" t="s">
        <v>242</v>
      </c>
      <c r="E182" s="261">
        <v>12</v>
      </c>
      <c r="F182" s="261" t="s">
        <v>17</v>
      </c>
      <c r="G182" s="262"/>
      <c r="H182" s="262">
        <f t="shared" si="5"/>
        <v>0</v>
      </c>
    </row>
    <row r="183" spans="1:8" x14ac:dyDescent="0.45">
      <c r="A183" s="258" t="s">
        <v>243</v>
      </c>
      <c r="B183" s="261">
        <v>1502000</v>
      </c>
      <c r="C183" s="261" t="s">
        <v>244</v>
      </c>
      <c r="D183" s="269" t="s">
        <v>245</v>
      </c>
      <c r="E183" s="261">
        <v>12</v>
      </c>
      <c r="F183" s="261" t="s">
        <v>17</v>
      </c>
      <c r="G183" s="262"/>
      <c r="H183" s="262">
        <f t="shared" si="5"/>
        <v>0</v>
      </c>
    </row>
    <row r="184" spans="1:8" x14ac:dyDescent="0.45">
      <c r="A184" s="258" t="s">
        <v>246</v>
      </c>
      <c r="B184" s="261">
        <v>1502000</v>
      </c>
      <c r="C184" s="261" t="s">
        <v>247</v>
      </c>
      <c r="D184" s="269" t="s">
        <v>248</v>
      </c>
      <c r="E184" s="261">
        <v>12</v>
      </c>
      <c r="F184" s="261" t="s">
        <v>17</v>
      </c>
      <c r="G184" s="262"/>
      <c r="H184" s="262">
        <f t="shared" si="5"/>
        <v>0</v>
      </c>
    </row>
    <row r="185" spans="1:8" x14ac:dyDescent="0.45">
      <c r="A185" s="258" t="s">
        <v>249</v>
      </c>
      <c r="B185" s="261">
        <v>1502000</v>
      </c>
      <c r="C185" s="261" t="s">
        <v>250</v>
      </c>
      <c r="D185" s="269" t="s">
        <v>251</v>
      </c>
      <c r="E185" s="261">
        <v>12</v>
      </c>
      <c r="F185" s="261" t="s">
        <v>17</v>
      </c>
      <c r="G185" s="262"/>
      <c r="H185" s="262">
        <f t="shared" si="5"/>
        <v>0</v>
      </c>
    </row>
    <row r="186" spans="1:8" x14ac:dyDescent="0.45">
      <c r="A186" s="258" t="s">
        <v>252</v>
      </c>
      <c r="B186" s="261">
        <v>1502000</v>
      </c>
      <c r="C186" s="261" t="s">
        <v>253</v>
      </c>
      <c r="D186" s="269" t="s">
        <v>254</v>
      </c>
      <c r="E186" s="261">
        <v>12</v>
      </c>
      <c r="F186" s="261" t="s">
        <v>17</v>
      </c>
      <c r="G186" s="262"/>
      <c r="H186" s="262">
        <f t="shared" si="5"/>
        <v>0</v>
      </c>
    </row>
    <row r="187" spans="1:8" x14ac:dyDescent="0.45">
      <c r="A187" s="258" t="s">
        <v>255</v>
      </c>
      <c r="B187" s="261">
        <v>1502000</v>
      </c>
      <c r="C187" s="261" t="s">
        <v>45</v>
      </c>
      <c r="D187" s="269" t="s">
        <v>46</v>
      </c>
      <c r="E187" s="261">
        <v>12</v>
      </c>
      <c r="F187" s="261" t="s">
        <v>17</v>
      </c>
      <c r="G187" s="262"/>
      <c r="H187" s="262">
        <f t="shared" si="5"/>
        <v>0</v>
      </c>
    </row>
    <row r="188" spans="1:8" x14ac:dyDescent="0.45">
      <c r="A188" s="258" t="s">
        <v>256</v>
      </c>
      <c r="B188" s="261">
        <v>1502000</v>
      </c>
      <c r="C188" s="261" t="s">
        <v>48</v>
      </c>
      <c r="D188" s="269" t="s">
        <v>257</v>
      </c>
      <c r="E188" s="261">
        <v>12</v>
      </c>
      <c r="F188" s="261" t="s">
        <v>17</v>
      </c>
      <c r="G188" s="262"/>
      <c r="H188" s="262">
        <f t="shared" si="5"/>
        <v>0</v>
      </c>
    </row>
    <row r="189" spans="1:8" x14ac:dyDescent="0.45">
      <c r="A189" s="258" t="s">
        <v>258</v>
      </c>
      <c r="B189" s="261">
        <v>1502000</v>
      </c>
      <c r="C189" s="261" t="s">
        <v>54</v>
      </c>
      <c r="D189" s="269" t="s">
        <v>55</v>
      </c>
      <c r="E189" s="261">
        <v>12</v>
      </c>
      <c r="F189" s="261" t="s">
        <v>17</v>
      </c>
      <c r="G189" s="262"/>
      <c r="H189" s="262">
        <f t="shared" si="5"/>
        <v>0</v>
      </c>
    </row>
    <row r="190" spans="1:8" x14ac:dyDescent="0.45">
      <c r="A190" s="258" t="s">
        <v>259</v>
      </c>
      <c r="B190" s="261">
        <v>1502000</v>
      </c>
      <c r="C190" s="261" t="s">
        <v>260</v>
      </c>
      <c r="D190" s="269" t="s">
        <v>261</v>
      </c>
      <c r="E190" s="261">
        <v>12</v>
      </c>
      <c r="F190" s="261" t="s">
        <v>17</v>
      </c>
      <c r="G190" s="262"/>
      <c r="H190" s="262">
        <f t="shared" si="5"/>
        <v>0</v>
      </c>
    </row>
    <row r="191" spans="1:8" x14ac:dyDescent="0.45">
      <c r="A191" s="258" t="s">
        <v>262</v>
      </c>
      <c r="B191" s="261">
        <v>1502000</v>
      </c>
      <c r="C191" s="271" t="s">
        <v>60</v>
      </c>
      <c r="D191" s="272" t="s">
        <v>61</v>
      </c>
      <c r="E191" s="261">
        <v>12</v>
      </c>
      <c r="F191" s="261" t="s">
        <v>17</v>
      </c>
      <c r="G191" s="262"/>
      <c r="H191" s="262">
        <f t="shared" si="5"/>
        <v>0</v>
      </c>
    </row>
    <row r="192" spans="1:8" x14ac:dyDescent="0.45">
      <c r="A192" s="265"/>
      <c r="B192" s="266"/>
      <c r="C192" s="266">
        <v>3.4</v>
      </c>
      <c r="D192" s="267" t="s">
        <v>62</v>
      </c>
      <c r="E192" s="266"/>
      <c r="F192" s="266"/>
      <c r="G192" s="273"/>
      <c r="H192" s="273"/>
    </row>
    <row r="193" spans="1:8" x14ac:dyDescent="0.45">
      <c r="A193" s="258" t="s">
        <v>263</v>
      </c>
      <c r="B193" s="261">
        <v>1502000</v>
      </c>
      <c r="C193" s="261" t="s">
        <v>64</v>
      </c>
      <c r="D193" s="270" t="s">
        <v>65</v>
      </c>
      <c r="E193" s="261">
        <v>12</v>
      </c>
      <c r="F193" s="261" t="s">
        <v>17</v>
      </c>
      <c r="G193" s="262"/>
      <c r="H193" s="262">
        <f>G193*E193</f>
        <v>0</v>
      </c>
    </row>
    <row r="194" spans="1:8" x14ac:dyDescent="0.45">
      <c r="A194" s="258" t="s">
        <v>264</v>
      </c>
      <c r="B194" s="261">
        <v>1502000</v>
      </c>
      <c r="C194" s="261" t="s">
        <v>67</v>
      </c>
      <c r="D194" s="270" t="s">
        <v>68</v>
      </c>
      <c r="E194" s="261">
        <v>12</v>
      </c>
      <c r="F194" s="261" t="s">
        <v>17</v>
      </c>
      <c r="G194" s="262"/>
      <c r="H194" s="262">
        <f>G194*E194</f>
        <v>0</v>
      </c>
    </row>
    <row r="195" spans="1:8" x14ac:dyDescent="0.45">
      <c r="A195" s="258" t="s">
        <v>265</v>
      </c>
      <c r="B195" s="261">
        <v>1502000</v>
      </c>
      <c r="C195" s="259" t="s">
        <v>70</v>
      </c>
      <c r="D195" s="260" t="s">
        <v>71</v>
      </c>
      <c r="E195" s="261">
        <v>12</v>
      </c>
      <c r="F195" s="261" t="s">
        <v>17</v>
      </c>
      <c r="G195" s="262"/>
      <c r="H195" s="262">
        <f>G195*E195</f>
        <v>0</v>
      </c>
    </row>
    <row r="196" spans="1:8" x14ac:dyDescent="0.45">
      <c r="A196" s="265"/>
      <c r="B196" s="266"/>
      <c r="C196" s="266">
        <v>3.5</v>
      </c>
      <c r="D196" s="267" t="s">
        <v>72</v>
      </c>
      <c r="E196" s="268"/>
      <c r="F196" s="268"/>
      <c r="G196" s="268"/>
      <c r="H196" s="268"/>
    </row>
    <row r="197" spans="1:8" x14ac:dyDescent="0.45">
      <c r="A197" s="258" t="s">
        <v>266</v>
      </c>
      <c r="B197" s="261">
        <v>1502000</v>
      </c>
      <c r="C197" s="261" t="s">
        <v>267</v>
      </c>
      <c r="D197" s="274" t="s">
        <v>71</v>
      </c>
      <c r="E197" s="261">
        <v>12</v>
      </c>
      <c r="F197" s="261" t="s">
        <v>17</v>
      </c>
      <c r="G197" s="262"/>
      <c r="H197" s="262">
        <f>G197*E197</f>
        <v>0</v>
      </c>
    </row>
    <row r="198" spans="1:8" x14ac:dyDescent="0.45">
      <c r="A198" s="258" t="s">
        <v>268</v>
      </c>
      <c r="B198" s="261">
        <v>1502000</v>
      </c>
      <c r="C198" s="261" t="s">
        <v>74</v>
      </c>
      <c r="D198" s="269" t="s">
        <v>37</v>
      </c>
      <c r="E198" s="261">
        <v>12</v>
      </c>
      <c r="F198" s="261" t="s">
        <v>17</v>
      </c>
      <c r="G198" s="262"/>
      <c r="H198" s="262">
        <f>G198*E198</f>
        <v>0</v>
      </c>
    </row>
    <row r="199" spans="1:8" x14ac:dyDescent="0.45">
      <c r="A199" s="265"/>
      <c r="B199" s="266"/>
      <c r="C199" s="266">
        <v>3.6</v>
      </c>
      <c r="D199" s="267" t="s">
        <v>75</v>
      </c>
      <c r="E199" s="266"/>
      <c r="F199" s="266"/>
      <c r="G199" s="273"/>
      <c r="H199" s="273"/>
    </row>
    <row r="200" spans="1:8" x14ac:dyDescent="0.45">
      <c r="A200" s="258" t="s">
        <v>269</v>
      </c>
      <c r="B200" s="261">
        <v>1502000</v>
      </c>
      <c r="C200" s="259" t="s">
        <v>77</v>
      </c>
      <c r="D200" s="275" t="s">
        <v>78</v>
      </c>
      <c r="E200" s="261">
        <v>12</v>
      </c>
      <c r="F200" s="261" t="s">
        <v>17</v>
      </c>
      <c r="G200" s="262"/>
      <c r="H200" s="262">
        <f>G200*E200</f>
        <v>0</v>
      </c>
    </row>
    <row r="201" spans="1:8" x14ac:dyDescent="0.45">
      <c r="A201" s="258" t="s">
        <v>270</v>
      </c>
      <c r="B201" s="261">
        <v>1502000</v>
      </c>
      <c r="C201" s="259" t="s">
        <v>80</v>
      </c>
      <c r="D201" s="275" t="s">
        <v>81</v>
      </c>
      <c r="E201" s="261">
        <v>12</v>
      </c>
      <c r="F201" s="261" t="s">
        <v>17</v>
      </c>
      <c r="G201" s="262"/>
      <c r="H201" s="262">
        <f t="shared" ref="H201:H204" si="6">G201*E201</f>
        <v>0</v>
      </c>
    </row>
    <row r="202" spans="1:8" x14ac:dyDescent="0.45">
      <c r="A202" s="258" t="s">
        <v>271</v>
      </c>
      <c r="B202" s="261">
        <v>1502000</v>
      </c>
      <c r="C202" s="259" t="s">
        <v>83</v>
      </c>
      <c r="D202" s="275" t="s">
        <v>84</v>
      </c>
      <c r="E202" s="261">
        <v>12</v>
      </c>
      <c r="F202" s="261" t="s">
        <v>17</v>
      </c>
      <c r="G202" s="262"/>
      <c r="H202" s="262">
        <f t="shared" si="6"/>
        <v>0</v>
      </c>
    </row>
    <row r="203" spans="1:8" x14ac:dyDescent="0.45">
      <c r="A203" s="258" t="s">
        <v>272</v>
      </c>
      <c r="B203" s="261">
        <v>1502000</v>
      </c>
      <c r="C203" s="261" t="s">
        <v>273</v>
      </c>
      <c r="D203" s="276" t="s">
        <v>274</v>
      </c>
      <c r="E203" s="261">
        <v>12</v>
      </c>
      <c r="F203" s="261" t="s">
        <v>17</v>
      </c>
      <c r="G203" s="262"/>
      <c r="H203" s="262">
        <f t="shared" si="6"/>
        <v>0</v>
      </c>
    </row>
    <row r="204" spans="1:8" x14ac:dyDescent="0.45">
      <c r="A204" s="258" t="s">
        <v>275</v>
      </c>
      <c r="B204" s="261">
        <v>1502000</v>
      </c>
      <c r="C204" s="277" t="s">
        <v>276</v>
      </c>
      <c r="D204" s="276" t="s">
        <v>277</v>
      </c>
      <c r="E204" s="261">
        <v>12</v>
      </c>
      <c r="F204" s="261" t="s">
        <v>17</v>
      </c>
      <c r="G204" s="262"/>
      <c r="H204" s="262">
        <f t="shared" si="6"/>
        <v>0</v>
      </c>
    </row>
    <row r="205" spans="1:8" x14ac:dyDescent="0.45">
      <c r="A205" s="40"/>
      <c r="B205" s="41">
        <v>1503010</v>
      </c>
      <c r="C205" s="41"/>
      <c r="D205" s="42" t="s">
        <v>109</v>
      </c>
      <c r="E205" s="43"/>
      <c r="F205" s="44"/>
      <c r="G205" s="44"/>
      <c r="H205" s="45"/>
    </row>
    <row r="206" spans="1:8" x14ac:dyDescent="0.45">
      <c r="A206" s="257" t="s">
        <v>218</v>
      </c>
      <c r="B206" s="33">
        <v>1503010</v>
      </c>
      <c r="C206" s="33">
        <v>3.1</v>
      </c>
      <c r="D206" s="36" t="s">
        <v>111</v>
      </c>
      <c r="E206" s="23">
        <v>12</v>
      </c>
      <c r="F206" s="23" t="s">
        <v>17</v>
      </c>
      <c r="G206" s="24"/>
      <c r="H206" s="24">
        <f>G206*E206</f>
        <v>0</v>
      </c>
    </row>
    <row r="207" spans="1:8" x14ac:dyDescent="0.45">
      <c r="A207" s="257" t="s">
        <v>219</v>
      </c>
      <c r="B207" s="33">
        <v>1503010</v>
      </c>
      <c r="C207" s="33">
        <v>3.2</v>
      </c>
      <c r="D207" s="36" t="s">
        <v>278</v>
      </c>
      <c r="E207" s="23">
        <v>12</v>
      </c>
      <c r="F207" s="23" t="s">
        <v>17</v>
      </c>
      <c r="G207" s="24"/>
      <c r="H207" s="24">
        <f>G207*E207</f>
        <v>0</v>
      </c>
    </row>
    <row r="208" spans="1:8" x14ac:dyDescent="0.45">
      <c r="A208" s="40"/>
      <c r="B208" s="43">
        <v>1503020</v>
      </c>
      <c r="C208" s="41"/>
      <c r="D208" s="42" t="s">
        <v>114</v>
      </c>
      <c r="E208" s="43"/>
      <c r="F208" s="44"/>
      <c r="G208" s="44"/>
      <c r="H208" s="45"/>
    </row>
    <row r="209" spans="1:8" ht="13.45" customHeight="1" x14ac:dyDescent="0.45">
      <c r="A209" s="257" t="s">
        <v>220</v>
      </c>
      <c r="B209" s="33">
        <v>1503020</v>
      </c>
      <c r="C209" s="33">
        <v>3.1</v>
      </c>
      <c r="D209" s="36" t="s">
        <v>116</v>
      </c>
      <c r="E209" s="23">
        <v>12</v>
      </c>
      <c r="F209" s="23" t="s">
        <v>17</v>
      </c>
      <c r="G209" s="24"/>
      <c r="H209" s="24">
        <f>G209*E209</f>
        <v>0</v>
      </c>
    </row>
    <row r="210" spans="1:8" ht="13.45" customHeight="1" x14ac:dyDescent="0.45">
      <c r="A210" s="257" t="s">
        <v>221</v>
      </c>
      <c r="B210" s="33">
        <v>1503020</v>
      </c>
      <c r="C210" s="33">
        <v>3.3</v>
      </c>
      <c r="D210" s="36" t="s">
        <v>120</v>
      </c>
      <c r="E210" s="23">
        <v>12</v>
      </c>
      <c r="F210" s="23" t="s">
        <v>17</v>
      </c>
      <c r="G210" s="24"/>
      <c r="H210" s="24">
        <f>G210*E210</f>
        <v>0</v>
      </c>
    </row>
    <row r="211" spans="1:8" x14ac:dyDescent="0.45">
      <c r="A211" s="40"/>
      <c r="B211" s="43">
        <v>1503030</v>
      </c>
      <c r="C211" s="41"/>
      <c r="D211" s="42" t="s">
        <v>121</v>
      </c>
      <c r="E211" s="43"/>
      <c r="F211" s="44"/>
      <c r="G211" s="44"/>
      <c r="H211" s="45"/>
    </row>
    <row r="212" spans="1:8" x14ac:dyDescent="0.45">
      <c r="A212" s="22" t="s">
        <v>5026</v>
      </c>
      <c r="B212" s="33">
        <v>1503030</v>
      </c>
      <c r="C212" s="33" t="s">
        <v>123</v>
      </c>
      <c r="D212" s="36" t="s">
        <v>124</v>
      </c>
      <c r="E212" s="23">
        <v>12</v>
      </c>
      <c r="F212" s="23" t="s">
        <v>17</v>
      </c>
      <c r="G212" s="24"/>
      <c r="H212" s="24">
        <f>G212*E212</f>
        <v>0</v>
      </c>
    </row>
    <row r="213" spans="1:8" x14ac:dyDescent="0.45">
      <c r="A213" s="40"/>
      <c r="B213" s="41">
        <v>1503050</v>
      </c>
      <c r="C213" s="41"/>
      <c r="D213" s="42" t="s">
        <v>127</v>
      </c>
      <c r="E213" s="43"/>
      <c r="F213" s="44"/>
      <c r="G213" s="44"/>
      <c r="H213" s="45"/>
    </row>
    <row r="214" spans="1:8" x14ac:dyDescent="0.45">
      <c r="A214" s="257" t="s">
        <v>225</v>
      </c>
      <c r="B214" s="33">
        <v>1503050</v>
      </c>
      <c r="C214" s="33">
        <v>3.1</v>
      </c>
      <c r="D214" s="46" t="s">
        <v>129</v>
      </c>
      <c r="E214" s="23">
        <v>12</v>
      </c>
      <c r="F214" s="23" t="s">
        <v>17</v>
      </c>
      <c r="G214" s="24"/>
      <c r="H214" s="24">
        <f>G214*E214</f>
        <v>0</v>
      </c>
    </row>
    <row r="215" spans="1:8" x14ac:dyDescent="0.45">
      <c r="A215" s="257" t="s">
        <v>226</v>
      </c>
      <c r="B215" s="33">
        <v>1503050</v>
      </c>
      <c r="C215" s="33">
        <v>3.4</v>
      </c>
      <c r="D215" s="36" t="s">
        <v>135</v>
      </c>
      <c r="E215" s="23">
        <v>12</v>
      </c>
      <c r="F215" s="23" t="s">
        <v>17</v>
      </c>
      <c r="G215" s="24"/>
      <c r="H215" s="24">
        <f>G215*E215</f>
        <v>0</v>
      </c>
    </row>
    <row r="216" spans="1:8" x14ac:dyDescent="0.45">
      <c r="A216" s="58"/>
      <c r="B216" s="59"/>
      <c r="C216" s="59"/>
      <c r="D216" s="60" t="s">
        <v>279</v>
      </c>
      <c r="E216" s="59"/>
      <c r="F216" s="59"/>
      <c r="G216" s="61"/>
      <c r="H216" s="62">
        <f>SUM(H169:H215)</f>
        <v>0</v>
      </c>
    </row>
    <row r="217" spans="1:8" x14ac:dyDescent="0.45">
      <c r="A217" s="6"/>
      <c r="B217" s="107"/>
      <c r="C217" s="107"/>
      <c r="D217" s="108"/>
      <c r="E217" s="107"/>
      <c r="F217" s="109"/>
      <c r="G217" s="109"/>
      <c r="H217" s="110"/>
    </row>
    <row r="218" spans="1:8" x14ac:dyDescent="0.45">
      <c r="A218" s="12" t="s">
        <v>280</v>
      </c>
      <c r="B218" s="13"/>
      <c r="C218" s="13"/>
      <c r="D218" s="111" t="s">
        <v>281</v>
      </c>
      <c r="E218" s="100"/>
      <c r="F218" s="101"/>
      <c r="G218" s="101"/>
      <c r="H218" s="102"/>
    </row>
    <row r="219" spans="1:8" x14ac:dyDescent="0.45">
      <c r="A219" s="103"/>
      <c r="B219" s="41">
        <v>1502000</v>
      </c>
      <c r="C219" s="43"/>
      <c r="D219" s="42" t="s">
        <v>18</v>
      </c>
      <c r="E219" s="43"/>
      <c r="F219" s="44"/>
      <c r="G219" s="44"/>
      <c r="H219" s="45"/>
    </row>
    <row r="220" spans="1:8" x14ac:dyDescent="0.45">
      <c r="A220" s="25"/>
      <c r="B220" s="26"/>
      <c r="C220" s="26">
        <v>3.1</v>
      </c>
      <c r="D220" s="27" t="s">
        <v>19</v>
      </c>
      <c r="E220" s="28"/>
      <c r="F220" s="28"/>
      <c r="G220" s="28"/>
      <c r="H220" s="28"/>
    </row>
    <row r="221" spans="1:8" x14ac:dyDescent="0.45">
      <c r="A221" s="22" t="s">
        <v>282</v>
      </c>
      <c r="B221" s="23"/>
      <c r="C221" s="23" t="s">
        <v>24</v>
      </c>
      <c r="D221" s="29" t="s">
        <v>25</v>
      </c>
      <c r="E221" s="23">
        <v>12</v>
      </c>
      <c r="F221" s="23" t="s">
        <v>17</v>
      </c>
      <c r="G221" s="24"/>
      <c r="H221" s="24">
        <f>G221*E221</f>
        <v>0</v>
      </c>
    </row>
    <row r="222" spans="1:8" x14ac:dyDescent="0.45">
      <c r="A222" s="25"/>
      <c r="B222" s="26"/>
      <c r="C222" s="26">
        <v>3.1</v>
      </c>
      <c r="D222" s="27" t="s">
        <v>31</v>
      </c>
      <c r="E222" s="28"/>
      <c r="F222" s="28"/>
      <c r="G222" s="28"/>
      <c r="H222" s="28"/>
    </row>
    <row r="223" spans="1:8" x14ac:dyDescent="0.45">
      <c r="A223" s="22" t="s">
        <v>283</v>
      </c>
      <c r="B223" s="105">
        <v>1502000</v>
      </c>
      <c r="C223" s="105" t="s">
        <v>36</v>
      </c>
      <c r="D223" s="112" t="s">
        <v>37</v>
      </c>
      <c r="E223" s="23">
        <v>12</v>
      </c>
      <c r="F223" s="23" t="s">
        <v>17</v>
      </c>
      <c r="G223" s="24"/>
      <c r="H223" s="24">
        <f>G223*E223</f>
        <v>0</v>
      </c>
    </row>
    <row r="224" spans="1:8" x14ac:dyDescent="0.45">
      <c r="A224" s="25"/>
      <c r="B224" s="26"/>
      <c r="C224" s="26">
        <v>3.4</v>
      </c>
      <c r="D224" s="27" t="s">
        <v>62</v>
      </c>
      <c r="E224" s="26"/>
      <c r="F224" s="26"/>
      <c r="G224" s="28"/>
      <c r="H224" s="104"/>
    </row>
    <row r="225" spans="1:8" x14ac:dyDescent="0.45">
      <c r="A225" s="22" t="s">
        <v>284</v>
      </c>
      <c r="B225" s="23">
        <v>1502000</v>
      </c>
      <c r="C225" s="23" t="s">
        <v>67</v>
      </c>
      <c r="D225" s="35" t="s">
        <v>68</v>
      </c>
      <c r="E225" s="23">
        <v>12</v>
      </c>
      <c r="F225" s="23" t="s">
        <v>17</v>
      </c>
      <c r="G225" s="24"/>
      <c r="H225" s="24">
        <f>G225*E225</f>
        <v>0</v>
      </c>
    </row>
    <row r="226" spans="1:8" x14ac:dyDescent="0.45">
      <c r="A226" s="25"/>
      <c r="B226" s="26"/>
      <c r="C226" s="26">
        <v>3.5</v>
      </c>
      <c r="D226" s="27" t="s">
        <v>72</v>
      </c>
      <c r="E226" s="28"/>
      <c r="F226" s="28"/>
      <c r="G226" s="28"/>
      <c r="H226" s="28"/>
    </row>
    <row r="227" spans="1:8" x14ac:dyDescent="0.45">
      <c r="A227" s="22" t="s">
        <v>285</v>
      </c>
      <c r="B227" s="23">
        <v>1502000</v>
      </c>
      <c r="C227" s="23" t="s">
        <v>74</v>
      </c>
      <c r="D227" s="32" t="s">
        <v>37</v>
      </c>
      <c r="E227" s="23">
        <v>12</v>
      </c>
      <c r="F227" s="23" t="s">
        <v>17</v>
      </c>
      <c r="G227" s="24"/>
      <c r="H227" s="24">
        <f>G227*E227</f>
        <v>0</v>
      </c>
    </row>
    <row r="228" spans="1:8" s="263" customFormat="1" x14ac:dyDescent="0.45">
      <c r="A228" s="265"/>
      <c r="B228" s="266"/>
      <c r="C228" s="266">
        <v>3.6</v>
      </c>
      <c r="D228" s="267" t="s">
        <v>75</v>
      </c>
      <c r="E228" s="266"/>
      <c r="F228" s="266"/>
      <c r="G228" s="268"/>
      <c r="H228" s="273"/>
    </row>
    <row r="229" spans="1:8" s="263" customFormat="1" x14ac:dyDescent="0.45">
      <c r="A229" s="258" t="s">
        <v>286</v>
      </c>
      <c r="B229" s="261">
        <v>1502000</v>
      </c>
      <c r="C229" s="259" t="s">
        <v>101</v>
      </c>
      <c r="D229" s="275" t="s">
        <v>102</v>
      </c>
      <c r="E229" s="261">
        <v>12</v>
      </c>
      <c r="F229" s="261" t="s">
        <v>17</v>
      </c>
      <c r="G229" s="262"/>
      <c r="H229" s="262">
        <f>G229*E229</f>
        <v>0</v>
      </c>
    </row>
    <row r="230" spans="1:8" x14ac:dyDescent="0.45">
      <c r="A230" s="40"/>
      <c r="B230" s="43">
        <v>1503020</v>
      </c>
      <c r="C230" s="41"/>
      <c r="D230" s="42" t="s">
        <v>114</v>
      </c>
      <c r="E230" s="43"/>
      <c r="F230" s="44"/>
      <c r="G230" s="44"/>
      <c r="H230" s="45"/>
    </row>
    <row r="231" spans="1:8" ht="13.45" customHeight="1" x14ac:dyDescent="0.45">
      <c r="A231" s="22" t="s">
        <v>5121</v>
      </c>
      <c r="B231" s="33">
        <v>1503020</v>
      </c>
      <c r="C231" s="33">
        <v>3.1</v>
      </c>
      <c r="D231" s="36" t="s">
        <v>116</v>
      </c>
      <c r="E231" s="23">
        <v>12</v>
      </c>
      <c r="F231" s="23" t="s">
        <v>17</v>
      </c>
      <c r="G231" s="24"/>
      <c r="H231" s="24">
        <f>G231*E231</f>
        <v>0</v>
      </c>
    </row>
    <row r="232" spans="1:8" ht="13.45" customHeight="1" x14ac:dyDescent="0.45">
      <c r="A232" s="22" t="s">
        <v>5122</v>
      </c>
      <c r="B232" s="33">
        <v>1503020</v>
      </c>
      <c r="C232" s="33">
        <v>3.2</v>
      </c>
      <c r="D232" s="36" t="s">
        <v>118</v>
      </c>
      <c r="E232" s="23">
        <v>12</v>
      </c>
      <c r="F232" s="23" t="s">
        <v>17</v>
      </c>
      <c r="G232" s="24"/>
      <c r="H232" s="24">
        <f>G232*E232</f>
        <v>0</v>
      </c>
    </row>
    <row r="233" spans="1:8" x14ac:dyDescent="0.45">
      <c r="A233" s="22" t="s">
        <v>5123</v>
      </c>
      <c r="B233" s="33">
        <v>1503020</v>
      </c>
      <c r="C233" s="33">
        <v>3.3</v>
      </c>
      <c r="D233" s="36" t="s">
        <v>120</v>
      </c>
      <c r="E233" s="23">
        <v>12</v>
      </c>
      <c r="F233" s="23" t="s">
        <v>17</v>
      </c>
      <c r="G233" s="24"/>
      <c r="H233" s="24">
        <f>G233*E233</f>
        <v>0</v>
      </c>
    </row>
    <row r="234" spans="1:8" x14ac:dyDescent="0.45">
      <c r="A234" s="40"/>
      <c r="B234" s="43">
        <v>1503030</v>
      </c>
      <c r="C234" s="41"/>
      <c r="D234" s="42" t="s">
        <v>121</v>
      </c>
      <c r="E234" s="43"/>
      <c r="F234" s="44"/>
      <c r="G234" s="44"/>
      <c r="H234" s="45"/>
    </row>
    <row r="235" spans="1:8" x14ac:dyDescent="0.45">
      <c r="A235" s="22" t="s">
        <v>5124</v>
      </c>
      <c r="B235" s="33">
        <v>1503030</v>
      </c>
      <c r="C235" s="33" t="s">
        <v>123</v>
      </c>
      <c r="D235" s="36" t="s">
        <v>124</v>
      </c>
      <c r="E235" s="23">
        <v>12</v>
      </c>
      <c r="F235" s="23" t="s">
        <v>17</v>
      </c>
      <c r="G235" s="24"/>
      <c r="H235" s="24">
        <f>G235*E235</f>
        <v>0</v>
      </c>
    </row>
    <row r="236" spans="1:8" x14ac:dyDescent="0.45">
      <c r="A236" s="58"/>
      <c r="B236" s="59"/>
      <c r="C236" s="59"/>
      <c r="D236" s="60" t="s">
        <v>287</v>
      </c>
      <c r="E236" s="59"/>
      <c r="F236" s="59"/>
      <c r="G236" s="61"/>
      <c r="H236" s="62">
        <f>SUM(H221:H235)</f>
        <v>0</v>
      </c>
    </row>
    <row r="237" spans="1:8" x14ac:dyDescent="0.45">
      <c r="A237" s="96"/>
      <c r="B237" s="97"/>
      <c r="C237" s="97"/>
      <c r="D237" s="98"/>
      <c r="E237" s="97"/>
      <c r="F237" s="97"/>
      <c r="G237" s="99"/>
      <c r="H237" s="99"/>
    </row>
    <row r="238" spans="1:8" x14ac:dyDescent="0.45">
      <c r="A238" s="12" t="s">
        <v>288</v>
      </c>
      <c r="B238" s="13"/>
      <c r="C238" s="13"/>
      <c r="D238" s="12" t="s">
        <v>289</v>
      </c>
      <c r="E238" s="100"/>
      <c r="F238" s="101"/>
      <c r="G238" s="101"/>
      <c r="H238" s="102"/>
    </row>
    <row r="239" spans="1:8" x14ac:dyDescent="0.45">
      <c r="A239" s="103"/>
      <c r="B239" s="41">
        <v>1502000</v>
      </c>
      <c r="C239" s="43"/>
      <c r="D239" s="42" t="s">
        <v>18</v>
      </c>
      <c r="E239" s="43"/>
      <c r="F239" s="44"/>
      <c r="G239" s="44"/>
      <c r="H239" s="45"/>
    </row>
    <row r="240" spans="1:8" x14ac:dyDescent="0.45">
      <c r="A240" s="25"/>
      <c r="B240" s="26"/>
      <c r="C240" s="26">
        <v>3.4</v>
      </c>
      <c r="D240" s="27" t="s">
        <v>62</v>
      </c>
      <c r="E240" s="26"/>
      <c r="F240" s="26"/>
      <c r="G240" s="104"/>
      <c r="H240" s="104"/>
    </row>
    <row r="241" spans="1:8" x14ac:dyDescent="0.45">
      <c r="A241" s="22" t="s">
        <v>290</v>
      </c>
      <c r="B241" s="23">
        <v>1502000</v>
      </c>
      <c r="C241" s="23" t="s">
        <v>67</v>
      </c>
      <c r="D241" s="35" t="s">
        <v>68</v>
      </c>
      <c r="E241" s="23">
        <v>12</v>
      </c>
      <c r="F241" s="23" t="s">
        <v>17</v>
      </c>
      <c r="G241" s="24"/>
      <c r="H241" s="24">
        <f>G241*E241</f>
        <v>0</v>
      </c>
    </row>
    <row r="242" spans="1:8" x14ac:dyDescent="0.45">
      <c r="A242" s="58"/>
      <c r="B242" s="59"/>
      <c r="C242" s="59"/>
      <c r="D242" s="60" t="s">
        <v>291</v>
      </c>
      <c r="E242" s="59"/>
      <c r="F242" s="59"/>
      <c r="G242" s="61"/>
      <c r="H242" s="62">
        <f>SUM(H241)</f>
        <v>0</v>
      </c>
    </row>
    <row r="243" spans="1:8" x14ac:dyDescent="0.45">
      <c r="A243" s="96"/>
      <c r="B243" s="97"/>
      <c r="C243" s="97"/>
      <c r="D243" s="98"/>
      <c r="E243" s="97"/>
      <c r="F243" s="97"/>
      <c r="G243" s="99"/>
      <c r="H243" s="99"/>
    </row>
    <row r="244" spans="1:8" x14ac:dyDescent="0.45">
      <c r="A244" s="12" t="s">
        <v>292</v>
      </c>
      <c r="B244" s="13"/>
      <c r="C244" s="13"/>
      <c r="D244" s="12" t="s">
        <v>293</v>
      </c>
      <c r="E244" s="100"/>
      <c r="F244" s="101"/>
      <c r="G244" s="101"/>
      <c r="H244" s="102"/>
    </row>
    <row r="245" spans="1:8" x14ac:dyDescent="0.45">
      <c r="A245" s="40"/>
      <c r="B245" s="43">
        <v>1503030</v>
      </c>
      <c r="C245" s="41"/>
      <c r="D245" s="42" t="s">
        <v>121</v>
      </c>
      <c r="E245" s="43"/>
      <c r="F245" s="44"/>
      <c r="G245" s="44"/>
      <c r="H245" s="45"/>
    </row>
    <row r="246" spans="1:8" x14ac:dyDescent="0.45">
      <c r="A246" s="22" t="s">
        <v>294</v>
      </c>
      <c r="B246" s="33">
        <v>1503030</v>
      </c>
      <c r="C246" s="33" t="s">
        <v>123</v>
      </c>
      <c r="D246" s="36" t="s">
        <v>124</v>
      </c>
      <c r="E246" s="23">
        <v>12</v>
      </c>
      <c r="F246" s="23" t="s">
        <v>17</v>
      </c>
      <c r="G246" s="24"/>
      <c r="H246" s="24">
        <f>G246*E246</f>
        <v>0</v>
      </c>
    </row>
    <row r="247" spans="1:8" x14ac:dyDescent="0.45">
      <c r="A247" s="58"/>
      <c r="B247" s="59"/>
      <c r="C247" s="59"/>
      <c r="D247" s="60" t="s">
        <v>295</v>
      </c>
      <c r="E247" s="59"/>
      <c r="F247" s="59"/>
      <c r="G247" s="61"/>
      <c r="H247" s="62">
        <f>SUM(H246)</f>
        <v>0</v>
      </c>
    </row>
    <row r="248" spans="1:8" x14ac:dyDescent="0.45">
      <c r="A248" s="96"/>
      <c r="B248" s="97"/>
      <c r="C248" s="97"/>
      <c r="D248" s="98"/>
      <c r="E248" s="97"/>
      <c r="F248" s="97"/>
      <c r="G248" s="99"/>
      <c r="H248" s="99"/>
    </row>
    <row r="249" spans="1:8" x14ac:dyDescent="0.45">
      <c r="A249" s="12" t="s">
        <v>296</v>
      </c>
      <c r="B249" s="13"/>
      <c r="C249" s="13"/>
      <c r="D249" s="12" t="s">
        <v>297</v>
      </c>
      <c r="E249" s="100"/>
      <c r="F249" s="101"/>
      <c r="G249" s="101"/>
      <c r="H249" s="102"/>
    </row>
    <row r="250" spans="1:8" x14ac:dyDescent="0.45">
      <c r="A250" s="103"/>
      <c r="B250" s="41">
        <v>1502000</v>
      </c>
      <c r="C250" s="43"/>
      <c r="D250" s="42" t="s">
        <v>18</v>
      </c>
      <c r="E250" s="43"/>
      <c r="F250" s="44"/>
      <c r="G250" s="44"/>
      <c r="H250" s="45"/>
    </row>
    <row r="251" spans="1:8" x14ac:dyDescent="0.45">
      <c r="A251" s="27"/>
      <c r="B251" s="26"/>
      <c r="C251" s="26">
        <v>3.1</v>
      </c>
      <c r="D251" s="27" t="s">
        <v>19</v>
      </c>
      <c r="E251" s="26"/>
      <c r="F251" s="26"/>
      <c r="G251" s="104"/>
      <c r="H251" s="104"/>
    </row>
    <row r="252" spans="1:8" x14ac:dyDescent="0.45">
      <c r="A252" s="22" t="s">
        <v>298</v>
      </c>
      <c r="B252" s="23">
        <v>1502000</v>
      </c>
      <c r="C252" s="23" t="s">
        <v>21</v>
      </c>
      <c r="D252" s="29" t="s">
        <v>22</v>
      </c>
      <c r="E252" s="23">
        <v>12</v>
      </c>
      <c r="F252" s="23" t="s">
        <v>17</v>
      </c>
      <c r="G252" s="24"/>
      <c r="H252" s="24">
        <f>G252*E252</f>
        <v>0</v>
      </c>
    </row>
    <row r="253" spans="1:8" x14ac:dyDescent="0.45">
      <c r="A253" s="22" t="s">
        <v>299</v>
      </c>
      <c r="B253" s="23">
        <v>1502000</v>
      </c>
      <c r="C253" s="23" t="s">
        <v>24</v>
      </c>
      <c r="D253" s="29" t="s">
        <v>25</v>
      </c>
      <c r="E253" s="23">
        <v>12</v>
      </c>
      <c r="F253" s="23" t="s">
        <v>17</v>
      </c>
      <c r="G253" s="24"/>
      <c r="H253" s="24">
        <f>G253*E253</f>
        <v>0</v>
      </c>
    </row>
    <row r="254" spans="1:8" x14ac:dyDescent="0.45">
      <c r="A254" s="22" t="s">
        <v>300</v>
      </c>
      <c r="B254" s="23">
        <v>1502000</v>
      </c>
      <c r="C254" s="23" t="s">
        <v>27</v>
      </c>
      <c r="D254" s="29" t="s">
        <v>28</v>
      </c>
      <c r="E254" s="23">
        <v>12</v>
      </c>
      <c r="F254" s="23" t="s">
        <v>17</v>
      </c>
      <c r="G254" s="24"/>
      <c r="H254" s="24">
        <f>G254*E254</f>
        <v>0</v>
      </c>
    </row>
    <row r="255" spans="1:8" x14ac:dyDescent="0.45">
      <c r="A255" s="25"/>
      <c r="B255" s="26"/>
      <c r="C255" s="26">
        <v>3.1</v>
      </c>
      <c r="D255" s="27" t="s">
        <v>31</v>
      </c>
      <c r="E255" s="28"/>
      <c r="F255" s="28"/>
      <c r="G255" s="28"/>
      <c r="H255" s="28"/>
    </row>
    <row r="256" spans="1:8" x14ac:dyDescent="0.45">
      <c r="A256" s="22" t="s">
        <v>301</v>
      </c>
      <c r="B256" s="23">
        <v>1502000</v>
      </c>
      <c r="C256" s="286" t="s">
        <v>5022</v>
      </c>
      <c r="D256" s="32" t="s">
        <v>37</v>
      </c>
      <c r="E256" s="23">
        <v>12</v>
      </c>
      <c r="F256" s="23" t="s">
        <v>17</v>
      </c>
      <c r="G256" s="24"/>
      <c r="H256" s="24">
        <f>G256*E256</f>
        <v>0</v>
      </c>
    </row>
    <row r="257" spans="1:8" x14ac:dyDescent="0.45">
      <c r="A257" s="22" t="s">
        <v>302</v>
      </c>
      <c r="B257" s="23">
        <v>1502000</v>
      </c>
      <c r="C257" s="23" t="s">
        <v>45</v>
      </c>
      <c r="D257" s="30" t="s">
        <v>46</v>
      </c>
      <c r="E257" s="23">
        <v>12</v>
      </c>
      <c r="F257" s="23" t="s">
        <v>17</v>
      </c>
      <c r="G257" s="24"/>
      <c r="H257" s="24">
        <f>G257*E257</f>
        <v>0</v>
      </c>
    </row>
    <row r="258" spans="1:8" x14ac:dyDescent="0.45">
      <c r="A258" s="25"/>
      <c r="B258" s="26"/>
      <c r="C258" s="26">
        <v>3.4</v>
      </c>
      <c r="D258" s="27" t="s">
        <v>62</v>
      </c>
      <c r="E258" s="26"/>
      <c r="F258" s="26"/>
      <c r="G258" s="104"/>
      <c r="H258" s="104"/>
    </row>
    <row r="259" spans="1:8" x14ac:dyDescent="0.45">
      <c r="A259" s="22" t="s">
        <v>303</v>
      </c>
      <c r="B259" s="23">
        <v>1502000</v>
      </c>
      <c r="C259" s="23" t="s">
        <v>67</v>
      </c>
      <c r="D259" s="35" t="s">
        <v>68</v>
      </c>
      <c r="E259" s="23">
        <v>12</v>
      </c>
      <c r="F259" s="23" t="s">
        <v>17</v>
      </c>
      <c r="G259" s="24"/>
      <c r="H259" s="24">
        <f>G259*E259</f>
        <v>0</v>
      </c>
    </row>
    <row r="260" spans="1:8" x14ac:dyDescent="0.45">
      <c r="A260" s="25"/>
      <c r="B260" s="26"/>
      <c r="C260" s="26">
        <v>3.5</v>
      </c>
      <c r="D260" s="27" t="s">
        <v>72</v>
      </c>
      <c r="E260" s="28"/>
      <c r="F260" s="28"/>
      <c r="G260" s="28"/>
      <c r="H260" s="28"/>
    </row>
    <row r="261" spans="1:8" x14ac:dyDescent="0.45">
      <c r="A261" s="22" t="s">
        <v>304</v>
      </c>
      <c r="B261" s="23">
        <v>1502000</v>
      </c>
      <c r="C261" s="23" t="s">
        <v>74</v>
      </c>
      <c r="D261" s="32" t="s">
        <v>37</v>
      </c>
      <c r="E261" s="23">
        <v>12</v>
      </c>
      <c r="F261" s="23" t="s">
        <v>17</v>
      </c>
      <c r="G261" s="24"/>
      <c r="H261" s="24">
        <f>G261*E261</f>
        <v>0</v>
      </c>
    </row>
    <row r="262" spans="1:8" x14ac:dyDescent="0.45">
      <c r="A262" s="25"/>
      <c r="B262" s="26"/>
      <c r="C262" s="26">
        <v>3.6</v>
      </c>
      <c r="D262" s="27" t="s">
        <v>75</v>
      </c>
      <c r="E262" s="26"/>
      <c r="F262" s="26"/>
      <c r="G262" s="104"/>
      <c r="H262" s="104"/>
    </row>
    <row r="263" spans="1:8" x14ac:dyDescent="0.45">
      <c r="A263" s="22" t="s">
        <v>305</v>
      </c>
      <c r="B263" s="23">
        <v>1502000</v>
      </c>
      <c r="C263" s="33" t="s">
        <v>86</v>
      </c>
      <c r="D263" s="39" t="s">
        <v>87</v>
      </c>
      <c r="E263" s="23">
        <v>12</v>
      </c>
      <c r="F263" s="23" t="s">
        <v>17</v>
      </c>
      <c r="G263" s="24"/>
      <c r="H263" s="24">
        <f>G263*E263</f>
        <v>0</v>
      </c>
    </row>
    <row r="264" spans="1:8" x14ac:dyDescent="0.45">
      <c r="A264" s="22" t="s">
        <v>306</v>
      </c>
      <c r="B264" s="23">
        <v>1502000</v>
      </c>
      <c r="C264" s="33" t="s">
        <v>89</v>
      </c>
      <c r="D264" s="39" t="s">
        <v>90</v>
      </c>
      <c r="E264" s="23">
        <v>12</v>
      </c>
      <c r="F264" s="23" t="s">
        <v>17</v>
      </c>
      <c r="G264" s="24"/>
      <c r="H264" s="24">
        <f>G264*E264</f>
        <v>0</v>
      </c>
    </row>
    <row r="265" spans="1:8" x14ac:dyDescent="0.45">
      <c r="A265" s="22" t="s">
        <v>307</v>
      </c>
      <c r="B265" s="23">
        <v>1502000</v>
      </c>
      <c r="C265" s="23" t="s">
        <v>308</v>
      </c>
      <c r="D265" s="106" t="s">
        <v>309</v>
      </c>
      <c r="E265" s="23">
        <v>12</v>
      </c>
      <c r="F265" s="23" t="s">
        <v>17</v>
      </c>
      <c r="G265" s="24"/>
      <c r="H265" s="24">
        <f>G265*E265</f>
        <v>0</v>
      </c>
    </row>
    <row r="266" spans="1:8" x14ac:dyDescent="0.45">
      <c r="A266" s="40"/>
      <c r="B266" s="43">
        <v>1503020</v>
      </c>
      <c r="C266" s="41"/>
      <c r="D266" s="42" t="s">
        <v>114</v>
      </c>
      <c r="E266" s="43"/>
      <c r="F266" s="44"/>
      <c r="G266" s="44"/>
      <c r="H266" s="45"/>
    </row>
    <row r="267" spans="1:8" x14ac:dyDescent="0.45">
      <c r="A267" s="22" t="s">
        <v>310</v>
      </c>
      <c r="B267" s="33">
        <v>1503020</v>
      </c>
      <c r="C267" s="33">
        <v>3.1</v>
      </c>
      <c r="D267" s="36" t="s">
        <v>116</v>
      </c>
      <c r="E267" s="23">
        <v>12</v>
      </c>
      <c r="F267" s="23" t="s">
        <v>17</v>
      </c>
      <c r="G267" s="24"/>
      <c r="H267" s="24">
        <f>G267*E267</f>
        <v>0</v>
      </c>
    </row>
    <row r="268" spans="1:8" x14ac:dyDescent="0.45">
      <c r="A268" s="22" t="s">
        <v>311</v>
      </c>
      <c r="B268" s="33">
        <v>1503020</v>
      </c>
      <c r="C268" s="33">
        <v>3.2</v>
      </c>
      <c r="D268" s="36" t="s">
        <v>118</v>
      </c>
      <c r="E268" s="23">
        <v>12</v>
      </c>
      <c r="F268" s="23" t="s">
        <v>17</v>
      </c>
      <c r="G268" s="24"/>
      <c r="H268" s="24">
        <f>G268*E268</f>
        <v>0</v>
      </c>
    </row>
    <row r="269" spans="1:8" x14ac:dyDescent="0.45">
      <c r="A269" s="22" t="s">
        <v>312</v>
      </c>
      <c r="B269" s="33">
        <v>1503020</v>
      </c>
      <c r="C269" s="33">
        <v>3.3</v>
      </c>
      <c r="D269" s="36" t="s">
        <v>120</v>
      </c>
      <c r="E269" s="23">
        <v>12</v>
      </c>
      <c r="F269" s="23" t="s">
        <v>17</v>
      </c>
      <c r="G269" s="24"/>
      <c r="H269" s="24">
        <f>G269*E269</f>
        <v>0</v>
      </c>
    </row>
    <row r="270" spans="1:8" x14ac:dyDescent="0.45">
      <c r="A270" s="40"/>
      <c r="B270" s="43">
        <v>1503030</v>
      </c>
      <c r="C270" s="41"/>
      <c r="D270" s="42" t="s">
        <v>121</v>
      </c>
      <c r="E270" s="43"/>
      <c r="F270" s="44"/>
      <c r="G270" s="44"/>
      <c r="H270" s="45"/>
    </row>
    <row r="271" spans="1:8" x14ac:dyDescent="0.45">
      <c r="A271" s="22" t="s">
        <v>313</v>
      </c>
      <c r="B271" s="33">
        <v>1503030</v>
      </c>
      <c r="C271" s="33" t="s">
        <v>123</v>
      </c>
      <c r="D271" s="36" t="s">
        <v>124</v>
      </c>
      <c r="E271" s="23">
        <v>12</v>
      </c>
      <c r="F271" s="23" t="s">
        <v>17</v>
      </c>
      <c r="G271" s="24"/>
      <c r="H271" s="24">
        <f>G271*E271</f>
        <v>0</v>
      </c>
    </row>
    <row r="272" spans="1:8" x14ac:dyDescent="0.45">
      <c r="A272" s="58"/>
      <c r="B272" s="59"/>
      <c r="C272" s="59"/>
      <c r="D272" s="60" t="s">
        <v>314</v>
      </c>
      <c r="E272" s="59"/>
      <c r="F272" s="59"/>
      <c r="G272" s="61"/>
      <c r="H272" s="62">
        <f>SUM(H252:H271)</f>
        <v>0</v>
      </c>
    </row>
    <row r="273" spans="1:8" x14ac:dyDescent="0.45">
      <c r="A273" s="96"/>
      <c r="B273" s="97"/>
      <c r="C273" s="97"/>
      <c r="D273" s="98"/>
      <c r="E273" s="97"/>
      <c r="F273" s="97"/>
      <c r="G273" s="99"/>
      <c r="H273" s="99"/>
    </row>
    <row r="274" spans="1:8" x14ac:dyDescent="0.45">
      <c r="A274" s="12" t="s">
        <v>315</v>
      </c>
      <c r="B274" s="13"/>
      <c r="C274" s="13"/>
      <c r="D274" s="12" t="s">
        <v>316</v>
      </c>
      <c r="E274" s="100"/>
      <c r="F274" s="101"/>
      <c r="G274" s="101"/>
      <c r="H274" s="102"/>
    </row>
    <row r="275" spans="1:8" x14ac:dyDescent="0.45">
      <c r="A275" s="40"/>
      <c r="B275" s="41">
        <v>1503010</v>
      </c>
      <c r="C275" s="41"/>
      <c r="D275" s="42" t="s">
        <v>109</v>
      </c>
      <c r="E275" s="43"/>
      <c r="F275" s="44"/>
      <c r="G275" s="44"/>
      <c r="H275" s="45"/>
    </row>
    <row r="276" spans="1:8" x14ac:dyDescent="0.45">
      <c r="A276" s="22" t="s">
        <v>317</v>
      </c>
      <c r="B276" s="33">
        <v>1503010</v>
      </c>
      <c r="C276" s="33">
        <v>3.1</v>
      </c>
      <c r="D276" s="36" t="s">
        <v>111</v>
      </c>
      <c r="E276" s="23">
        <v>12</v>
      </c>
      <c r="F276" s="23" t="s">
        <v>17</v>
      </c>
      <c r="G276" s="24"/>
      <c r="H276" s="24">
        <f>G276*E276</f>
        <v>0</v>
      </c>
    </row>
    <row r="277" spans="1:8" x14ac:dyDescent="0.45">
      <c r="A277" s="40"/>
      <c r="B277" s="43">
        <v>1503020</v>
      </c>
      <c r="C277" s="41"/>
      <c r="D277" s="42" t="s">
        <v>114</v>
      </c>
      <c r="E277" s="43"/>
      <c r="F277" s="44"/>
      <c r="G277" s="44"/>
      <c r="H277" s="45"/>
    </row>
    <row r="278" spans="1:8" ht="13.45" customHeight="1" x14ac:dyDescent="0.45">
      <c r="A278" s="22" t="s">
        <v>318</v>
      </c>
      <c r="B278" s="33">
        <v>1503020</v>
      </c>
      <c r="C278" s="33">
        <v>3.1</v>
      </c>
      <c r="D278" s="36" t="s">
        <v>116</v>
      </c>
      <c r="E278" s="23">
        <v>12</v>
      </c>
      <c r="F278" s="23" t="s">
        <v>17</v>
      </c>
      <c r="G278" s="24"/>
      <c r="H278" s="24">
        <f>G278*E278</f>
        <v>0</v>
      </c>
    </row>
    <row r="279" spans="1:8" ht="13.45" customHeight="1" x14ac:dyDescent="0.45">
      <c r="A279" s="22" t="s">
        <v>319</v>
      </c>
      <c r="B279" s="33">
        <v>1503020</v>
      </c>
      <c r="C279" s="33">
        <v>3.2</v>
      </c>
      <c r="D279" s="36" t="s">
        <v>118</v>
      </c>
      <c r="E279" s="23">
        <v>12</v>
      </c>
      <c r="F279" s="23" t="s">
        <v>17</v>
      </c>
      <c r="G279" s="24"/>
      <c r="H279" s="24">
        <f>G279*E279</f>
        <v>0</v>
      </c>
    </row>
    <row r="280" spans="1:8" x14ac:dyDescent="0.45">
      <c r="A280" s="22" t="s">
        <v>320</v>
      </c>
      <c r="B280" s="33">
        <v>1503020</v>
      </c>
      <c r="C280" s="33">
        <v>3.3</v>
      </c>
      <c r="D280" s="36" t="s">
        <v>120</v>
      </c>
      <c r="E280" s="23">
        <v>12</v>
      </c>
      <c r="F280" s="23" t="s">
        <v>17</v>
      </c>
      <c r="G280" s="24"/>
      <c r="H280" s="24">
        <f>G280*E280</f>
        <v>0</v>
      </c>
    </row>
    <row r="281" spans="1:8" x14ac:dyDescent="0.45">
      <c r="A281" s="58"/>
      <c r="B281" s="59"/>
      <c r="C281" s="59"/>
      <c r="D281" s="60" t="s">
        <v>321</v>
      </c>
      <c r="E281" s="59"/>
      <c r="F281" s="59"/>
      <c r="G281" s="61"/>
      <c r="H281" s="62">
        <f>SUM(H276:H280)</f>
        <v>0</v>
      </c>
    </row>
    <row r="282" spans="1:8" x14ac:dyDescent="0.45">
      <c r="A282" s="96"/>
      <c r="B282" s="97"/>
      <c r="C282" s="97"/>
      <c r="D282" s="98"/>
      <c r="E282" s="97"/>
      <c r="F282" s="97"/>
      <c r="G282" s="99"/>
      <c r="H282" s="99"/>
    </row>
    <row r="283" spans="1:8" x14ac:dyDescent="0.45">
      <c r="A283" s="12" t="s">
        <v>322</v>
      </c>
      <c r="B283" s="13"/>
      <c r="C283" s="13"/>
      <c r="D283" s="12" t="s">
        <v>323</v>
      </c>
      <c r="E283" s="13"/>
      <c r="F283" s="13"/>
      <c r="G283" s="101"/>
      <c r="H283" s="102"/>
    </row>
    <row r="284" spans="1:8" x14ac:dyDescent="0.45">
      <c r="A284" s="103"/>
      <c r="B284" s="41">
        <v>1502000</v>
      </c>
      <c r="C284" s="43"/>
      <c r="D284" s="42" t="s">
        <v>18</v>
      </c>
      <c r="E284" s="43"/>
      <c r="F284" s="44"/>
      <c r="G284" s="44"/>
      <c r="H284" s="45"/>
    </row>
    <row r="285" spans="1:8" x14ac:dyDescent="0.45">
      <c r="A285" s="27"/>
      <c r="B285" s="26"/>
      <c r="C285" s="26">
        <v>3.1</v>
      </c>
      <c r="D285" s="27" t="s">
        <v>19</v>
      </c>
      <c r="E285" s="26"/>
      <c r="F285" s="26"/>
      <c r="G285" s="104"/>
      <c r="H285" s="104"/>
    </row>
    <row r="286" spans="1:8" x14ac:dyDescent="0.45">
      <c r="A286" s="22" t="s">
        <v>324</v>
      </c>
      <c r="B286" s="23">
        <v>1502000</v>
      </c>
      <c r="C286" s="23" t="s">
        <v>21</v>
      </c>
      <c r="D286" s="29" t="s">
        <v>22</v>
      </c>
      <c r="E286" s="23">
        <v>12</v>
      </c>
      <c r="F286" s="23" t="s">
        <v>17</v>
      </c>
      <c r="G286" s="24"/>
      <c r="H286" s="24">
        <f>G286*E286</f>
        <v>0</v>
      </c>
    </row>
    <row r="287" spans="1:8" x14ac:dyDescent="0.45">
      <c r="A287" s="22" t="s">
        <v>325</v>
      </c>
      <c r="B287" s="23">
        <v>1502000</v>
      </c>
      <c r="C287" s="23" t="s">
        <v>24</v>
      </c>
      <c r="D287" s="29" t="s">
        <v>25</v>
      </c>
      <c r="E287" s="23">
        <v>12</v>
      </c>
      <c r="F287" s="23" t="s">
        <v>17</v>
      </c>
      <c r="G287" s="24"/>
      <c r="H287" s="24">
        <f>G287*E287</f>
        <v>0</v>
      </c>
    </row>
    <row r="288" spans="1:8" x14ac:dyDescent="0.45">
      <c r="A288" s="22" t="s">
        <v>326</v>
      </c>
      <c r="B288" s="23">
        <v>1502000</v>
      </c>
      <c r="C288" s="23" t="s">
        <v>27</v>
      </c>
      <c r="D288" s="29" t="s">
        <v>28</v>
      </c>
      <c r="E288" s="23">
        <v>12</v>
      </c>
      <c r="F288" s="23" t="s">
        <v>17</v>
      </c>
      <c r="G288" s="24"/>
      <c r="H288" s="24">
        <f>G288*E288</f>
        <v>0</v>
      </c>
    </row>
    <row r="289" spans="1:8" x14ac:dyDescent="0.45">
      <c r="A289" s="25"/>
      <c r="B289" s="26"/>
      <c r="C289" s="26">
        <v>3.1</v>
      </c>
      <c r="D289" s="27" t="s">
        <v>31</v>
      </c>
      <c r="E289" s="28"/>
      <c r="F289" s="28"/>
      <c r="G289" s="28"/>
      <c r="H289" s="28"/>
    </row>
    <row r="290" spans="1:8" x14ac:dyDescent="0.45">
      <c r="A290" s="22" t="s">
        <v>327</v>
      </c>
      <c r="B290" s="23">
        <v>1502000</v>
      </c>
      <c r="C290" s="23" t="s">
        <v>33</v>
      </c>
      <c r="D290" s="30" t="s">
        <v>34</v>
      </c>
      <c r="E290" s="23">
        <v>12</v>
      </c>
      <c r="F290" s="23" t="s">
        <v>17</v>
      </c>
      <c r="G290" s="24"/>
      <c r="H290" s="24">
        <f t="shared" ref="H290:H295" si="7">G290*E290</f>
        <v>0</v>
      </c>
    </row>
    <row r="291" spans="1:8" x14ac:dyDescent="0.45">
      <c r="A291" s="22" t="s">
        <v>328</v>
      </c>
      <c r="B291" s="23">
        <v>1502000</v>
      </c>
      <c r="C291" s="23" t="s">
        <v>5016</v>
      </c>
      <c r="D291" s="30" t="s">
        <v>46</v>
      </c>
      <c r="E291" s="23">
        <v>12</v>
      </c>
      <c r="F291" s="23" t="s">
        <v>17</v>
      </c>
      <c r="G291" s="24"/>
      <c r="H291" s="24">
        <f t="shared" si="7"/>
        <v>0</v>
      </c>
    </row>
    <row r="292" spans="1:8" s="263" customFormat="1" x14ac:dyDescent="0.45">
      <c r="A292" s="258" t="s">
        <v>329</v>
      </c>
      <c r="B292" s="261">
        <v>1502000</v>
      </c>
      <c r="C292" s="261" t="s">
        <v>5064</v>
      </c>
      <c r="D292" s="269" t="s">
        <v>55</v>
      </c>
      <c r="E292" s="261">
        <v>12</v>
      </c>
      <c r="F292" s="261" t="s">
        <v>17</v>
      </c>
      <c r="G292" s="262"/>
      <c r="H292" s="262">
        <f t="shared" si="7"/>
        <v>0</v>
      </c>
    </row>
    <row r="293" spans="1:8" x14ac:dyDescent="0.45">
      <c r="A293" s="22" t="s">
        <v>5065</v>
      </c>
      <c r="B293" s="23">
        <v>1502000</v>
      </c>
      <c r="C293" s="113" t="s">
        <v>5018</v>
      </c>
      <c r="D293" s="114" t="s">
        <v>330</v>
      </c>
      <c r="E293" s="23">
        <v>12</v>
      </c>
      <c r="F293" s="23" t="s">
        <v>17</v>
      </c>
      <c r="G293" s="24"/>
      <c r="H293" s="24">
        <f t="shared" si="7"/>
        <v>0</v>
      </c>
    </row>
    <row r="294" spans="1:8" x14ac:dyDescent="0.45">
      <c r="A294" s="22" t="s">
        <v>5066</v>
      </c>
      <c r="B294" s="23">
        <v>1502000</v>
      </c>
      <c r="C294" s="113" t="s">
        <v>5019</v>
      </c>
      <c r="D294" s="114" t="s">
        <v>331</v>
      </c>
      <c r="E294" s="23">
        <v>12</v>
      </c>
      <c r="F294" s="23" t="s">
        <v>17</v>
      </c>
      <c r="G294" s="24"/>
      <c r="H294" s="24">
        <f t="shared" si="7"/>
        <v>0</v>
      </c>
    </row>
    <row r="295" spans="1:8" x14ac:dyDescent="0.45">
      <c r="A295" s="22" t="s">
        <v>5067</v>
      </c>
      <c r="B295" s="23">
        <v>1502000</v>
      </c>
      <c r="C295" s="113" t="s">
        <v>5020</v>
      </c>
      <c r="D295" s="114" t="s">
        <v>333</v>
      </c>
      <c r="E295" s="23">
        <v>12</v>
      </c>
      <c r="F295" s="23" t="s">
        <v>17</v>
      </c>
      <c r="G295" s="24"/>
      <c r="H295" s="24">
        <f t="shared" si="7"/>
        <v>0</v>
      </c>
    </row>
    <row r="296" spans="1:8" x14ac:dyDescent="0.45">
      <c r="A296" s="25"/>
      <c r="B296" s="26"/>
      <c r="C296" s="26">
        <v>3.4</v>
      </c>
      <c r="D296" s="27" t="s">
        <v>62</v>
      </c>
      <c r="E296" s="26"/>
      <c r="F296" s="26"/>
      <c r="G296" s="104"/>
      <c r="H296" s="104"/>
    </row>
    <row r="297" spans="1:8" x14ac:dyDescent="0.45">
      <c r="A297" s="22" t="s">
        <v>5068</v>
      </c>
      <c r="B297" s="23">
        <v>1502000</v>
      </c>
      <c r="C297" s="23" t="s">
        <v>67</v>
      </c>
      <c r="D297" s="35" t="s">
        <v>68</v>
      </c>
      <c r="E297" s="23">
        <v>12</v>
      </c>
      <c r="F297" s="23" t="s">
        <v>17</v>
      </c>
      <c r="G297" s="24"/>
      <c r="H297" s="24">
        <f>G297*E297</f>
        <v>0</v>
      </c>
    </row>
    <row r="298" spans="1:8" x14ac:dyDescent="0.45">
      <c r="A298" s="25"/>
      <c r="B298" s="26"/>
      <c r="C298" s="26">
        <v>3.6</v>
      </c>
      <c r="D298" s="27" t="s">
        <v>75</v>
      </c>
      <c r="E298" s="26"/>
      <c r="F298" s="26"/>
      <c r="G298" s="104"/>
      <c r="H298" s="104"/>
    </row>
    <row r="299" spans="1:8" x14ac:dyDescent="0.45">
      <c r="A299" s="22" t="s">
        <v>5069</v>
      </c>
      <c r="B299" s="23">
        <v>1502000</v>
      </c>
      <c r="C299" s="33" t="s">
        <v>89</v>
      </c>
      <c r="D299" s="39" t="s">
        <v>90</v>
      </c>
      <c r="E299" s="23">
        <v>12</v>
      </c>
      <c r="F299" s="23" t="s">
        <v>17</v>
      </c>
      <c r="G299" s="24"/>
      <c r="H299" s="24">
        <f>G299*E299</f>
        <v>0</v>
      </c>
    </row>
    <row r="300" spans="1:8" x14ac:dyDescent="0.45">
      <c r="A300" s="22" t="s">
        <v>5070</v>
      </c>
      <c r="B300" s="23">
        <v>1502000</v>
      </c>
      <c r="C300" s="33" t="s">
        <v>101</v>
      </c>
      <c r="D300" s="39" t="s">
        <v>102</v>
      </c>
      <c r="E300" s="23">
        <v>12</v>
      </c>
      <c r="F300" s="23" t="s">
        <v>17</v>
      </c>
      <c r="G300" s="24"/>
      <c r="H300" s="24">
        <f>G300*E300</f>
        <v>0</v>
      </c>
    </row>
    <row r="301" spans="1:8" x14ac:dyDescent="0.45">
      <c r="A301" s="40"/>
      <c r="B301" s="41">
        <v>1503010</v>
      </c>
      <c r="C301" s="41"/>
      <c r="D301" s="42" t="s">
        <v>109</v>
      </c>
      <c r="E301" s="43"/>
      <c r="F301" s="44"/>
      <c r="G301" s="44"/>
      <c r="H301" s="45"/>
    </row>
    <row r="302" spans="1:8" x14ac:dyDescent="0.45">
      <c r="A302" s="22" t="s">
        <v>5071</v>
      </c>
      <c r="B302" s="33">
        <v>1503010</v>
      </c>
      <c r="C302" s="33">
        <v>3.1</v>
      </c>
      <c r="D302" s="36" t="s">
        <v>111</v>
      </c>
      <c r="E302" s="23">
        <v>12</v>
      </c>
      <c r="F302" s="115" t="s">
        <v>17</v>
      </c>
      <c r="G302" s="115"/>
      <c r="H302" s="24">
        <f t="shared" ref="H302" si="8">G302*E302</f>
        <v>0</v>
      </c>
    </row>
    <row r="303" spans="1:8" x14ac:dyDescent="0.45">
      <c r="A303" s="58"/>
      <c r="B303" s="59"/>
      <c r="C303" s="59"/>
      <c r="D303" s="60" t="s">
        <v>334</v>
      </c>
      <c r="E303" s="59"/>
      <c r="F303" s="59"/>
      <c r="G303" s="61"/>
      <c r="H303" s="62">
        <f>SUM(H286:H302)</f>
        <v>0</v>
      </c>
    </row>
    <row r="304" spans="1:8" x14ac:dyDescent="0.45">
      <c r="A304" s="96"/>
      <c r="B304" s="97"/>
      <c r="C304" s="97"/>
      <c r="D304" s="116"/>
      <c r="E304" s="97"/>
      <c r="F304" s="97"/>
      <c r="G304" s="99"/>
      <c r="H304" s="99"/>
    </row>
    <row r="305" spans="1:8" x14ac:dyDescent="0.45">
      <c r="A305" s="12" t="s">
        <v>335</v>
      </c>
      <c r="B305" s="13"/>
      <c r="C305" s="13"/>
      <c r="D305" s="247" t="s">
        <v>5009</v>
      </c>
      <c r="E305" s="13"/>
      <c r="F305" s="13"/>
      <c r="G305" s="101"/>
      <c r="H305" s="102"/>
    </row>
    <row r="306" spans="1:8" x14ac:dyDescent="0.45">
      <c r="A306" s="40"/>
      <c r="B306" s="41">
        <v>1401000</v>
      </c>
      <c r="C306" s="41"/>
      <c r="D306" s="42" t="s">
        <v>336</v>
      </c>
      <c r="E306" s="43"/>
      <c r="F306" s="44"/>
      <c r="G306" s="44"/>
      <c r="H306" s="45"/>
    </row>
    <row r="307" spans="1:8" x14ac:dyDescent="0.45">
      <c r="A307" s="22" t="s">
        <v>337</v>
      </c>
      <c r="B307" s="23">
        <v>1401000</v>
      </c>
      <c r="C307" s="23">
        <v>3.1</v>
      </c>
      <c r="D307" s="27" t="s">
        <v>338</v>
      </c>
      <c r="E307" s="26"/>
      <c r="F307" s="26"/>
      <c r="G307" s="104"/>
      <c r="H307" s="104"/>
    </row>
    <row r="308" spans="1:8" x14ac:dyDescent="0.45">
      <c r="A308" s="22" t="s">
        <v>339</v>
      </c>
      <c r="B308" s="117">
        <v>1401000</v>
      </c>
      <c r="C308" s="117" t="s">
        <v>340</v>
      </c>
      <c r="D308" s="106" t="s">
        <v>22</v>
      </c>
      <c r="E308" s="118">
        <v>12</v>
      </c>
      <c r="F308" s="118" t="s">
        <v>17</v>
      </c>
      <c r="G308" s="24"/>
      <c r="H308" s="24">
        <f>G308*E308</f>
        <v>0</v>
      </c>
    </row>
    <row r="309" spans="1:8" x14ac:dyDescent="0.45">
      <c r="A309" s="22" t="s">
        <v>341</v>
      </c>
      <c r="B309" s="117">
        <v>1401000</v>
      </c>
      <c r="C309" s="117" t="s">
        <v>342</v>
      </c>
      <c r="D309" s="106" t="s">
        <v>25</v>
      </c>
      <c r="E309" s="118">
        <v>12</v>
      </c>
      <c r="F309" s="118" t="s">
        <v>17</v>
      </c>
      <c r="G309" s="24"/>
      <c r="H309" s="24">
        <f>G309*E309</f>
        <v>0</v>
      </c>
    </row>
    <row r="310" spans="1:8" x14ac:dyDescent="0.45">
      <c r="A310" s="22" t="s">
        <v>343</v>
      </c>
      <c r="B310" s="117">
        <v>1401000</v>
      </c>
      <c r="C310" s="117" t="s">
        <v>344</v>
      </c>
      <c r="D310" s="106" t="s">
        <v>28</v>
      </c>
      <c r="E310" s="118">
        <v>12</v>
      </c>
      <c r="F310" s="118" t="s">
        <v>17</v>
      </c>
      <c r="G310" s="24"/>
      <c r="H310" s="24">
        <f>G310*E310</f>
        <v>0</v>
      </c>
    </row>
    <row r="311" spans="1:8" x14ac:dyDescent="0.45">
      <c r="A311" s="22" t="s">
        <v>345</v>
      </c>
      <c r="B311" s="117">
        <v>1401000</v>
      </c>
      <c r="C311" s="117" t="s">
        <v>24</v>
      </c>
      <c r="D311" s="106" t="s">
        <v>346</v>
      </c>
      <c r="E311" s="118">
        <v>12</v>
      </c>
      <c r="F311" s="118" t="s">
        <v>17</v>
      </c>
      <c r="G311" s="24"/>
      <c r="H311" s="24">
        <f>G311*E311</f>
        <v>0</v>
      </c>
    </row>
    <row r="312" spans="1:8" x14ac:dyDescent="0.45">
      <c r="A312" s="103"/>
      <c r="B312" s="41">
        <v>1502000</v>
      </c>
      <c r="C312" s="43"/>
      <c r="D312" s="42" t="s">
        <v>18</v>
      </c>
      <c r="E312" s="43"/>
      <c r="F312" s="44"/>
      <c r="G312" s="44"/>
      <c r="H312" s="45"/>
    </row>
    <row r="313" spans="1:8" x14ac:dyDescent="0.45">
      <c r="A313" s="25"/>
      <c r="B313" s="26"/>
      <c r="C313" s="26">
        <v>3.1</v>
      </c>
      <c r="D313" s="27" t="s">
        <v>31</v>
      </c>
      <c r="E313" s="28"/>
      <c r="F313" s="28"/>
      <c r="G313" s="28"/>
      <c r="H313" s="28"/>
    </row>
    <row r="314" spans="1:8" x14ac:dyDescent="0.45">
      <c r="A314" s="22" t="s">
        <v>347</v>
      </c>
      <c r="B314" s="33">
        <v>1502000</v>
      </c>
      <c r="C314" s="33" t="s">
        <v>60</v>
      </c>
      <c r="D314" s="30" t="s">
        <v>61</v>
      </c>
      <c r="E314" s="118">
        <v>12</v>
      </c>
      <c r="F314" s="118" t="s">
        <v>17</v>
      </c>
      <c r="G314" s="119"/>
      <c r="H314" s="24">
        <f t="shared" ref="H314" si="9">G314*E314</f>
        <v>0</v>
      </c>
    </row>
    <row r="315" spans="1:8" x14ac:dyDescent="0.45">
      <c r="A315" s="25"/>
      <c r="B315" s="26"/>
      <c r="C315" s="26">
        <v>3.4</v>
      </c>
      <c r="D315" s="27" t="s">
        <v>62</v>
      </c>
      <c r="E315" s="26"/>
      <c r="F315" s="26"/>
      <c r="G315" s="104"/>
      <c r="H315" s="104"/>
    </row>
    <row r="316" spans="1:8" x14ac:dyDescent="0.45">
      <c r="A316" s="22" t="s">
        <v>348</v>
      </c>
      <c r="B316" s="23">
        <v>1502000</v>
      </c>
      <c r="C316" s="23" t="s">
        <v>64</v>
      </c>
      <c r="D316" s="35" t="s">
        <v>65</v>
      </c>
      <c r="E316" s="118">
        <v>12</v>
      </c>
      <c r="F316" s="118" t="s">
        <v>17</v>
      </c>
      <c r="G316" s="119"/>
      <c r="H316" s="24">
        <f>G316*E316</f>
        <v>0</v>
      </c>
    </row>
    <row r="317" spans="1:8" x14ac:dyDescent="0.45">
      <c r="A317" s="22" t="s">
        <v>349</v>
      </c>
      <c r="B317" s="23">
        <v>1502000</v>
      </c>
      <c r="C317" s="33" t="s">
        <v>70</v>
      </c>
      <c r="D317" s="36" t="s">
        <v>71</v>
      </c>
      <c r="E317" s="118">
        <v>12</v>
      </c>
      <c r="F317" s="118" t="s">
        <v>17</v>
      </c>
      <c r="G317" s="119"/>
      <c r="H317" s="24">
        <f>G317*E317</f>
        <v>0</v>
      </c>
    </row>
    <row r="318" spans="1:8" x14ac:dyDescent="0.45">
      <c r="A318" s="25"/>
      <c r="B318" s="26"/>
      <c r="C318" s="26">
        <v>3.6</v>
      </c>
      <c r="D318" s="27" t="s">
        <v>75</v>
      </c>
      <c r="E318" s="26"/>
      <c r="F318" s="26"/>
      <c r="G318" s="104"/>
      <c r="H318" s="104"/>
    </row>
    <row r="319" spans="1:8" x14ac:dyDescent="0.45">
      <c r="A319" s="22" t="s">
        <v>350</v>
      </c>
      <c r="B319" s="23">
        <v>1502000</v>
      </c>
      <c r="C319" s="23" t="s">
        <v>80</v>
      </c>
      <c r="D319" s="30" t="s">
        <v>81</v>
      </c>
      <c r="E319" s="118">
        <v>12</v>
      </c>
      <c r="F319" s="118" t="s">
        <v>17</v>
      </c>
      <c r="G319" s="24"/>
      <c r="H319" s="24">
        <f t="shared" ref="H319:H320" si="10">G319*E319</f>
        <v>0</v>
      </c>
    </row>
    <row r="320" spans="1:8" x14ac:dyDescent="0.45">
      <c r="A320" s="22" t="s">
        <v>351</v>
      </c>
      <c r="B320" s="23">
        <v>1502000</v>
      </c>
      <c r="C320" s="33" t="s">
        <v>86</v>
      </c>
      <c r="D320" s="39" t="s">
        <v>87</v>
      </c>
      <c r="E320" s="118">
        <v>12</v>
      </c>
      <c r="F320" s="118" t="s">
        <v>17</v>
      </c>
      <c r="G320" s="24"/>
      <c r="H320" s="24">
        <f t="shared" si="10"/>
        <v>0</v>
      </c>
    </row>
    <row r="321" spans="1:8" x14ac:dyDescent="0.45">
      <c r="A321" s="40"/>
      <c r="B321" s="41">
        <v>1503010</v>
      </c>
      <c r="C321" s="41"/>
      <c r="D321" s="42" t="s">
        <v>109</v>
      </c>
      <c r="E321" s="43"/>
      <c r="F321" s="44"/>
      <c r="G321" s="44"/>
      <c r="H321" s="45"/>
    </row>
    <row r="322" spans="1:8" x14ac:dyDescent="0.45">
      <c r="A322" s="22" t="s">
        <v>352</v>
      </c>
      <c r="B322" s="33">
        <v>1503010</v>
      </c>
      <c r="C322" s="33">
        <v>3.1</v>
      </c>
      <c r="D322" s="36" t="s">
        <v>111</v>
      </c>
      <c r="E322" s="23">
        <v>12</v>
      </c>
      <c r="F322" s="23" t="s">
        <v>17</v>
      </c>
      <c r="G322" s="24"/>
      <c r="H322" s="24">
        <f>G322*E322</f>
        <v>0</v>
      </c>
    </row>
    <row r="323" spans="1:8" x14ac:dyDescent="0.45">
      <c r="A323" s="40"/>
      <c r="B323" s="43">
        <v>1503020</v>
      </c>
      <c r="C323" s="41"/>
      <c r="D323" s="42" t="s">
        <v>114</v>
      </c>
      <c r="E323" s="43"/>
      <c r="F323" s="44"/>
      <c r="G323" s="44"/>
      <c r="H323" s="45"/>
    </row>
    <row r="324" spans="1:8" s="254" customFormat="1" x14ac:dyDescent="0.45">
      <c r="A324" s="249" t="s">
        <v>353</v>
      </c>
      <c r="B324" s="250">
        <v>1503020</v>
      </c>
      <c r="C324" s="250">
        <v>3.1</v>
      </c>
      <c r="D324" s="295" t="s">
        <v>116</v>
      </c>
      <c r="E324" s="252">
        <v>12</v>
      </c>
      <c r="F324" s="252" t="s">
        <v>17</v>
      </c>
      <c r="G324" s="253"/>
      <c r="H324" s="253">
        <f>G324*E324</f>
        <v>0</v>
      </c>
    </row>
    <row r="325" spans="1:8" s="254" customFormat="1" x14ac:dyDescent="0.45">
      <c r="A325" s="249" t="s">
        <v>354</v>
      </c>
      <c r="B325" s="250">
        <v>1503020</v>
      </c>
      <c r="C325" s="250">
        <v>3.2</v>
      </c>
      <c r="D325" s="251" t="s">
        <v>118</v>
      </c>
      <c r="E325" s="252">
        <v>12</v>
      </c>
      <c r="F325" s="252" t="s">
        <v>17</v>
      </c>
      <c r="G325" s="253"/>
      <c r="H325" s="253">
        <f>G325*E325</f>
        <v>0</v>
      </c>
    </row>
    <row r="326" spans="1:8" s="300" customFormat="1" x14ac:dyDescent="0.45">
      <c r="A326" s="269" t="s">
        <v>354</v>
      </c>
      <c r="B326" s="296">
        <v>1503020</v>
      </c>
      <c r="C326" s="296" t="s">
        <v>158</v>
      </c>
      <c r="D326" s="297" t="s">
        <v>5015</v>
      </c>
      <c r="E326" s="298">
        <v>12</v>
      </c>
      <c r="F326" s="298" t="s">
        <v>17</v>
      </c>
      <c r="G326" s="299"/>
      <c r="H326" s="299">
        <f>G326*E326</f>
        <v>0</v>
      </c>
    </row>
    <row r="327" spans="1:8" s="140" customFormat="1" x14ac:dyDescent="0.45">
      <c r="A327" s="249" t="s">
        <v>355</v>
      </c>
      <c r="B327" s="52">
        <v>1503020</v>
      </c>
      <c r="C327" s="52">
        <v>3.3</v>
      </c>
      <c r="D327" s="36" t="s">
        <v>120</v>
      </c>
      <c r="E327" s="255">
        <v>12</v>
      </c>
      <c r="F327" s="255" t="s">
        <v>17</v>
      </c>
      <c r="G327" s="256"/>
      <c r="H327" s="256">
        <f>G327*E327</f>
        <v>0</v>
      </c>
    </row>
    <row r="328" spans="1:8" x14ac:dyDescent="0.45">
      <c r="A328" s="40"/>
      <c r="B328" s="43">
        <v>1503030</v>
      </c>
      <c r="C328" s="41"/>
      <c r="D328" s="42" t="s">
        <v>121</v>
      </c>
      <c r="E328" s="43"/>
      <c r="F328" s="44"/>
      <c r="G328" s="44"/>
      <c r="H328" s="45"/>
    </row>
    <row r="329" spans="1:8" x14ac:dyDescent="0.45">
      <c r="A329" s="249" t="s">
        <v>356</v>
      </c>
      <c r="B329" s="33">
        <v>1503030</v>
      </c>
      <c r="C329" s="33" t="s">
        <v>123</v>
      </c>
      <c r="D329" s="36" t="s">
        <v>124</v>
      </c>
      <c r="E329" s="23">
        <v>12</v>
      </c>
      <c r="F329" s="23" t="s">
        <v>17</v>
      </c>
      <c r="G329" s="24"/>
      <c r="H329" s="24">
        <f>G329*E329</f>
        <v>0</v>
      </c>
    </row>
    <row r="330" spans="1:8" x14ac:dyDescent="0.45">
      <c r="A330" s="54"/>
      <c r="B330" s="41">
        <v>1503050</v>
      </c>
      <c r="C330" s="41"/>
      <c r="D330" s="42" t="s">
        <v>127</v>
      </c>
      <c r="E330" s="43"/>
      <c r="F330" s="44"/>
      <c r="G330" s="44"/>
      <c r="H330" s="45"/>
    </row>
    <row r="331" spans="1:8" x14ac:dyDescent="0.45">
      <c r="A331" s="249" t="s">
        <v>357</v>
      </c>
      <c r="B331" s="23">
        <v>1503050</v>
      </c>
      <c r="C331" s="23">
        <v>3.1</v>
      </c>
      <c r="D331" s="106" t="s">
        <v>129</v>
      </c>
      <c r="E331" s="23">
        <v>12</v>
      </c>
      <c r="F331" s="23" t="s">
        <v>17</v>
      </c>
      <c r="G331" s="24"/>
      <c r="H331" s="24">
        <f>G331*E331</f>
        <v>0</v>
      </c>
    </row>
    <row r="332" spans="1:8" x14ac:dyDescent="0.45">
      <c r="A332" s="54"/>
      <c r="B332" s="41">
        <v>1503060</v>
      </c>
      <c r="C332" s="41"/>
      <c r="D332" s="42" t="s">
        <v>138</v>
      </c>
      <c r="E332" s="43"/>
      <c r="F332" s="44"/>
      <c r="G332" s="44"/>
      <c r="H332" s="45"/>
    </row>
    <row r="333" spans="1:8" x14ac:dyDescent="0.45">
      <c r="A333" s="249" t="s">
        <v>5011</v>
      </c>
      <c r="B333" s="23">
        <v>1503060</v>
      </c>
      <c r="C333" s="286" t="s">
        <v>5013</v>
      </c>
      <c r="D333" s="180" t="s">
        <v>5012</v>
      </c>
      <c r="E333" s="23">
        <v>12</v>
      </c>
      <c r="F333" s="23" t="s">
        <v>17</v>
      </c>
      <c r="G333" s="24"/>
      <c r="H333" s="24">
        <f>G333*E333</f>
        <v>0</v>
      </c>
    </row>
    <row r="334" spans="1:8" x14ac:dyDescent="0.45">
      <c r="A334" s="58"/>
      <c r="B334" s="59"/>
      <c r="C334" s="59"/>
      <c r="D334" s="248" t="s">
        <v>5010</v>
      </c>
      <c r="E334" s="59"/>
      <c r="F334" s="59"/>
      <c r="G334" s="61"/>
      <c r="H334" s="62">
        <f>SUM(H308:H333)</f>
        <v>0</v>
      </c>
    </row>
    <row r="335" spans="1:8" x14ac:dyDescent="0.45">
      <c r="A335" s="121"/>
      <c r="B335" s="122"/>
      <c r="C335" s="122"/>
      <c r="D335" s="123"/>
      <c r="E335" s="122"/>
      <c r="F335" s="124"/>
      <c r="G335" s="124"/>
      <c r="H335" s="110"/>
    </row>
    <row r="336" spans="1:8" x14ac:dyDescent="0.45">
      <c r="A336" s="12" t="s">
        <v>359</v>
      </c>
      <c r="B336" s="13"/>
      <c r="C336" s="13"/>
      <c r="D336" s="12" t="s">
        <v>360</v>
      </c>
      <c r="E336" s="100"/>
      <c r="F336" s="101"/>
      <c r="G336" s="101"/>
      <c r="H336" s="102"/>
    </row>
    <row r="337" spans="1:8" x14ac:dyDescent="0.45">
      <c r="A337" s="40"/>
      <c r="B337" s="41">
        <v>1402000</v>
      </c>
      <c r="C337" s="41">
        <v>3</v>
      </c>
      <c r="D337" s="42" t="s">
        <v>124</v>
      </c>
      <c r="E337" s="43"/>
      <c r="F337" s="44"/>
      <c r="G337" s="44"/>
      <c r="H337" s="45"/>
    </row>
    <row r="338" spans="1:8" s="285" customFormat="1" x14ac:dyDescent="0.45">
      <c r="A338" s="22" t="s">
        <v>361</v>
      </c>
      <c r="B338" s="23">
        <v>1402000</v>
      </c>
      <c r="C338" s="23">
        <v>3.1</v>
      </c>
      <c r="D338" s="106" t="s">
        <v>362</v>
      </c>
      <c r="E338" s="23">
        <v>12</v>
      </c>
      <c r="F338" s="23" t="s">
        <v>17</v>
      </c>
      <c r="G338" s="24"/>
      <c r="H338" s="24">
        <f>G338*E338</f>
        <v>0</v>
      </c>
    </row>
    <row r="339" spans="1:8" s="285" customFormat="1" x14ac:dyDescent="0.45">
      <c r="A339" s="258" t="s">
        <v>363</v>
      </c>
      <c r="B339" s="261">
        <v>1402000</v>
      </c>
      <c r="C339" s="26">
        <v>3.2</v>
      </c>
      <c r="D339" s="27" t="s">
        <v>364</v>
      </c>
      <c r="E339" s="28"/>
      <c r="F339" s="28"/>
      <c r="G339" s="28"/>
      <c r="H339" s="28"/>
    </row>
    <row r="340" spans="1:8" s="293" customFormat="1" x14ac:dyDescent="0.45">
      <c r="A340" s="257" t="s">
        <v>363</v>
      </c>
      <c r="B340" s="286">
        <v>1402000</v>
      </c>
      <c r="C340" s="286">
        <v>3.2</v>
      </c>
      <c r="D340" s="180" t="s">
        <v>5027</v>
      </c>
      <c r="E340" s="286">
        <v>150</v>
      </c>
      <c r="F340" s="286" t="s">
        <v>472</v>
      </c>
      <c r="G340" s="302"/>
      <c r="H340" s="302">
        <f t="shared" ref="H340:H343" si="11">G340*E340</f>
        <v>0</v>
      </c>
    </row>
    <row r="341" spans="1:8" s="285" customFormat="1" x14ac:dyDescent="0.45">
      <c r="A341" s="257" t="s">
        <v>365</v>
      </c>
      <c r="B341" s="286">
        <v>1402000</v>
      </c>
      <c r="C341" s="286">
        <v>3.2</v>
      </c>
      <c r="D341" s="180" t="s">
        <v>5028</v>
      </c>
      <c r="E341" s="286">
        <v>200</v>
      </c>
      <c r="F341" s="286" t="s">
        <v>472</v>
      </c>
      <c r="G341" s="302"/>
      <c r="H341" s="302">
        <f t="shared" si="11"/>
        <v>0</v>
      </c>
    </row>
    <row r="342" spans="1:8" s="285" customFormat="1" x14ac:dyDescent="0.45">
      <c r="A342" s="257" t="s">
        <v>5031</v>
      </c>
      <c r="B342" s="286">
        <v>1402000</v>
      </c>
      <c r="C342" s="286">
        <v>3.2</v>
      </c>
      <c r="D342" s="180" t="s">
        <v>5029</v>
      </c>
      <c r="E342" s="286">
        <v>150</v>
      </c>
      <c r="F342" s="286" t="s">
        <v>472</v>
      </c>
      <c r="G342" s="302"/>
      <c r="H342" s="302">
        <f t="shared" si="11"/>
        <v>0</v>
      </c>
    </row>
    <row r="343" spans="1:8" s="285" customFormat="1" x14ac:dyDescent="0.45">
      <c r="A343" s="257" t="s">
        <v>5032</v>
      </c>
      <c r="B343" s="286">
        <v>1402000</v>
      </c>
      <c r="C343" s="286">
        <v>3.2</v>
      </c>
      <c r="D343" s="180" t="s">
        <v>5030</v>
      </c>
      <c r="E343" s="286">
        <v>200</v>
      </c>
      <c r="F343" s="286" t="s">
        <v>472</v>
      </c>
      <c r="G343" s="302"/>
      <c r="H343" s="302">
        <f t="shared" si="11"/>
        <v>0</v>
      </c>
    </row>
    <row r="344" spans="1:8" x14ac:dyDescent="0.45">
      <c r="A344" s="22" t="s">
        <v>5314</v>
      </c>
      <c r="B344" s="23">
        <v>1402000</v>
      </c>
      <c r="C344" s="23">
        <v>3.3</v>
      </c>
      <c r="D344" s="106" t="s">
        <v>366</v>
      </c>
      <c r="E344" s="23">
        <v>12</v>
      </c>
      <c r="F344" s="23" t="s">
        <v>17</v>
      </c>
      <c r="G344" s="24"/>
      <c r="H344" s="24">
        <f>G344*E344</f>
        <v>0</v>
      </c>
    </row>
    <row r="345" spans="1:8" x14ac:dyDescent="0.45">
      <c r="A345" s="58"/>
      <c r="B345" s="59"/>
      <c r="C345" s="59"/>
      <c r="D345" s="60" t="s">
        <v>367</v>
      </c>
      <c r="E345" s="59"/>
      <c r="F345" s="59"/>
      <c r="G345" s="61"/>
      <c r="H345" s="62">
        <f>SUM(H338:H344)</f>
        <v>0</v>
      </c>
    </row>
    <row r="346" spans="1:8" x14ac:dyDescent="0.45">
      <c r="A346" s="121"/>
      <c r="B346" s="122"/>
      <c r="C346" s="122"/>
      <c r="D346" s="123"/>
      <c r="E346" s="122"/>
      <c r="F346" s="124"/>
      <c r="G346" s="124"/>
      <c r="H346" s="110"/>
    </row>
    <row r="347" spans="1:8" x14ac:dyDescent="0.45">
      <c r="A347" s="12" t="s">
        <v>368</v>
      </c>
      <c r="B347" s="13"/>
      <c r="C347" s="13"/>
      <c r="D347" s="12" t="s">
        <v>369</v>
      </c>
      <c r="E347" s="100"/>
      <c r="F347" s="101"/>
      <c r="G347" s="101"/>
      <c r="H347" s="102"/>
    </row>
    <row r="348" spans="1:8" x14ac:dyDescent="0.45">
      <c r="A348" s="103"/>
      <c r="B348" s="41">
        <v>1502000</v>
      </c>
      <c r="C348" s="43"/>
      <c r="D348" s="42" t="s">
        <v>18</v>
      </c>
      <c r="E348" s="43"/>
      <c r="F348" s="44"/>
      <c r="G348" s="44"/>
      <c r="H348" s="45"/>
    </row>
    <row r="349" spans="1:8" x14ac:dyDescent="0.45">
      <c r="A349" s="27"/>
      <c r="B349" s="26"/>
      <c r="C349" s="26">
        <v>3.1</v>
      </c>
      <c r="D349" s="27" t="s">
        <v>19</v>
      </c>
      <c r="E349" s="26"/>
      <c r="F349" s="26"/>
      <c r="G349" s="104"/>
      <c r="H349" s="104"/>
    </row>
    <row r="350" spans="1:8" x14ac:dyDescent="0.45">
      <c r="A350" s="22" t="s">
        <v>370</v>
      </c>
      <c r="B350" s="23">
        <v>1502000</v>
      </c>
      <c r="C350" s="23" t="s">
        <v>21</v>
      </c>
      <c r="D350" s="29" t="s">
        <v>22</v>
      </c>
      <c r="E350" s="23">
        <v>12</v>
      </c>
      <c r="F350" s="23" t="s">
        <v>17</v>
      </c>
      <c r="G350" s="24"/>
      <c r="H350" s="24">
        <f>G350*E350</f>
        <v>0</v>
      </c>
    </row>
    <row r="351" spans="1:8" x14ac:dyDescent="0.45">
      <c r="A351" s="22" t="s">
        <v>371</v>
      </c>
      <c r="B351" s="23">
        <v>1502000</v>
      </c>
      <c r="C351" s="23" t="s">
        <v>24</v>
      </c>
      <c r="D351" s="29" t="s">
        <v>25</v>
      </c>
      <c r="E351" s="23">
        <v>12</v>
      </c>
      <c r="F351" s="23" t="s">
        <v>17</v>
      </c>
      <c r="G351" s="24"/>
      <c r="H351" s="24">
        <f>G351*E351</f>
        <v>0</v>
      </c>
    </row>
    <row r="352" spans="1:8" x14ac:dyDescent="0.45">
      <c r="A352" s="22" t="s">
        <v>372</v>
      </c>
      <c r="B352" s="23">
        <v>1502000</v>
      </c>
      <c r="C352" s="23" t="s">
        <v>27</v>
      </c>
      <c r="D352" s="29" t="s">
        <v>28</v>
      </c>
      <c r="E352" s="23">
        <v>12</v>
      </c>
      <c r="F352" s="23" t="s">
        <v>17</v>
      </c>
      <c r="G352" s="24"/>
      <c r="H352" s="24">
        <f>G352*E352</f>
        <v>0</v>
      </c>
    </row>
    <row r="353" spans="1:8" x14ac:dyDescent="0.45">
      <c r="A353" s="25"/>
      <c r="B353" s="26"/>
      <c r="C353" s="26">
        <v>3.1</v>
      </c>
      <c r="D353" s="27" t="s">
        <v>31</v>
      </c>
      <c r="E353" s="28"/>
      <c r="F353" s="28"/>
      <c r="G353" s="28"/>
      <c r="H353" s="28"/>
    </row>
    <row r="354" spans="1:8" x14ac:dyDescent="0.45">
      <c r="A354" s="22" t="s">
        <v>373</v>
      </c>
      <c r="B354" s="23">
        <v>1502000</v>
      </c>
      <c r="C354" s="23" t="s">
        <v>222</v>
      </c>
      <c r="D354" s="29" t="s">
        <v>223</v>
      </c>
      <c r="E354" s="23">
        <v>12</v>
      </c>
      <c r="F354" s="23" t="s">
        <v>17</v>
      </c>
      <c r="G354" s="24"/>
      <c r="H354" s="24">
        <f t="shared" ref="H354:H366" si="12">G354*E354</f>
        <v>0</v>
      </c>
    </row>
    <row r="355" spans="1:8" x14ac:dyDescent="0.45">
      <c r="A355" s="22" t="s">
        <v>374</v>
      </c>
      <c r="B355" s="23">
        <v>1502000</v>
      </c>
      <c r="C355" s="23" t="s">
        <v>33</v>
      </c>
      <c r="D355" s="29" t="s">
        <v>34</v>
      </c>
      <c r="E355" s="23">
        <v>12</v>
      </c>
      <c r="F355" s="23" t="s">
        <v>17</v>
      </c>
      <c r="G355" s="24"/>
      <c r="H355" s="24">
        <f t="shared" si="12"/>
        <v>0</v>
      </c>
    </row>
    <row r="356" spans="1:8" x14ac:dyDescent="0.45">
      <c r="A356" s="22" t="s">
        <v>375</v>
      </c>
      <c r="B356" s="23">
        <v>1502000</v>
      </c>
      <c r="C356" s="23" t="s">
        <v>227</v>
      </c>
      <c r="D356" s="29" t="s">
        <v>228</v>
      </c>
      <c r="E356" s="23">
        <v>12</v>
      </c>
      <c r="F356" s="23" t="s">
        <v>17</v>
      </c>
      <c r="G356" s="24"/>
      <c r="H356" s="24">
        <f t="shared" si="12"/>
        <v>0</v>
      </c>
    </row>
    <row r="357" spans="1:8" x14ac:dyDescent="0.45">
      <c r="A357" s="22" t="s">
        <v>376</v>
      </c>
      <c r="B357" s="23">
        <v>1502000</v>
      </c>
      <c r="C357" s="23" t="s">
        <v>39</v>
      </c>
      <c r="D357" s="29" t="s">
        <v>230</v>
      </c>
      <c r="E357" s="23">
        <v>12</v>
      </c>
      <c r="F357" s="23" t="s">
        <v>17</v>
      </c>
      <c r="G357" s="24"/>
      <c r="H357" s="24">
        <f t="shared" si="12"/>
        <v>0</v>
      </c>
    </row>
    <row r="358" spans="1:8" x14ac:dyDescent="0.45">
      <c r="A358" s="22" t="s">
        <v>377</v>
      </c>
      <c r="B358" s="23">
        <v>1502000</v>
      </c>
      <c r="C358" s="23" t="s">
        <v>232</v>
      </c>
      <c r="D358" s="29" t="s">
        <v>233</v>
      </c>
      <c r="E358" s="23">
        <v>12</v>
      </c>
      <c r="F358" s="23" t="s">
        <v>17</v>
      </c>
      <c r="G358" s="24"/>
      <c r="H358" s="24">
        <f t="shared" si="12"/>
        <v>0</v>
      </c>
    </row>
    <row r="359" spans="1:8" x14ac:dyDescent="0.45">
      <c r="A359" s="22" t="s">
        <v>378</v>
      </c>
      <c r="B359" s="23">
        <v>1502000</v>
      </c>
      <c r="C359" s="23" t="s">
        <v>250</v>
      </c>
      <c r="D359" s="29" t="s">
        <v>379</v>
      </c>
      <c r="E359" s="23">
        <v>12</v>
      </c>
      <c r="F359" s="23" t="s">
        <v>17</v>
      </c>
      <c r="G359" s="24"/>
      <c r="H359" s="24">
        <f t="shared" si="12"/>
        <v>0</v>
      </c>
    </row>
    <row r="360" spans="1:8" x14ac:dyDescent="0.45">
      <c r="A360" s="22" t="s">
        <v>380</v>
      </c>
      <c r="B360" s="23">
        <v>1502000</v>
      </c>
      <c r="C360" s="23" t="s">
        <v>45</v>
      </c>
      <c r="D360" s="29" t="s">
        <v>46</v>
      </c>
      <c r="E360" s="23">
        <v>12</v>
      </c>
      <c r="F360" s="23" t="s">
        <v>17</v>
      </c>
      <c r="G360" s="24"/>
      <c r="H360" s="24">
        <f t="shared" si="12"/>
        <v>0</v>
      </c>
    </row>
    <row r="361" spans="1:8" x14ac:dyDescent="0.45">
      <c r="A361" s="22" t="s">
        <v>381</v>
      </c>
      <c r="B361" s="23">
        <v>1502000</v>
      </c>
      <c r="C361" s="23" t="s">
        <v>48</v>
      </c>
      <c r="D361" s="29" t="s">
        <v>257</v>
      </c>
      <c r="E361" s="23">
        <v>12</v>
      </c>
      <c r="F361" s="23" t="s">
        <v>17</v>
      </c>
      <c r="G361" s="24"/>
      <c r="H361" s="24">
        <f t="shared" si="12"/>
        <v>0</v>
      </c>
    </row>
    <row r="362" spans="1:8" x14ac:dyDescent="0.45">
      <c r="A362" s="22" t="s">
        <v>382</v>
      </c>
      <c r="B362" s="23">
        <v>1502000</v>
      </c>
      <c r="C362" s="23" t="s">
        <v>51</v>
      </c>
      <c r="D362" s="29" t="s">
        <v>383</v>
      </c>
      <c r="E362" s="23">
        <v>12</v>
      </c>
      <c r="F362" s="23" t="s">
        <v>17</v>
      </c>
      <c r="G362" s="24"/>
      <c r="H362" s="24">
        <f t="shared" si="12"/>
        <v>0</v>
      </c>
    </row>
    <row r="363" spans="1:8" x14ac:dyDescent="0.45">
      <c r="A363" s="22" t="s">
        <v>384</v>
      </c>
      <c r="B363" s="23">
        <v>1502000</v>
      </c>
      <c r="C363" s="23" t="s">
        <v>54</v>
      </c>
      <c r="D363" s="29" t="s">
        <v>55</v>
      </c>
      <c r="E363" s="23">
        <v>12</v>
      </c>
      <c r="F363" s="23" t="s">
        <v>17</v>
      </c>
      <c r="G363" s="24"/>
      <c r="H363" s="24">
        <f t="shared" si="12"/>
        <v>0</v>
      </c>
    </row>
    <row r="364" spans="1:8" x14ac:dyDescent="0.45">
      <c r="A364" s="22" t="s">
        <v>385</v>
      </c>
      <c r="B364" s="23">
        <v>1502000</v>
      </c>
      <c r="C364" s="23" t="s">
        <v>260</v>
      </c>
      <c r="D364" s="29" t="s">
        <v>386</v>
      </c>
      <c r="E364" s="23">
        <v>12</v>
      </c>
      <c r="F364" s="23" t="s">
        <v>17</v>
      </c>
      <c r="G364" s="24"/>
      <c r="H364" s="24">
        <f t="shared" si="12"/>
        <v>0</v>
      </c>
    </row>
    <row r="365" spans="1:8" x14ac:dyDescent="0.45">
      <c r="A365" s="22" t="s">
        <v>387</v>
      </c>
      <c r="B365" s="23">
        <v>1502000</v>
      </c>
      <c r="C365" s="23" t="s">
        <v>332</v>
      </c>
      <c r="D365" s="29" t="s">
        <v>388</v>
      </c>
      <c r="E365" s="23">
        <v>12</v>
      </c>
      <c r="F365" s="23" t="s">
        <v>17</v>
      </c>
      <c r="G365" s="24"/>
      <c r="H365" s="24">
        <f t="shared" si="12"/>
        <v>0</v>
      </c>
    </row>
    <row r="366" spans="1:8" x14ac:dyDescent="0.45">
      <c r="A366" s="22" t="s">
        <v>389</v>
      </c>
      <c r="B366" s="23">
        <v>1502000</v>
      </c>
      <c r="C366" s="23" t="s">
        <v>390</v>
      </c>
      <c r="D366" s="29" t="s">
        <v>391</v>
      </c>
      <c r="E366" s="23">
        <v>12</v>
      </c>
      <c r="F366" s="23" t="s">
        <v>17</v>
      </c>
      <c r="G366" s="24"/>
      <c r="H366" s="24">
        <f t="shared" si="12"/>
        <v>0</v>
      </c>
    </row>
    <row r="367" spans="1:8" x14ac:dyDescent="0.45">
      <c r="A367" s="25"/>
      <c r="B367" s="26">
        <v>1502000</v>
      </c>
      <c r="C367" s="26">
        <v>3.4</v>
      </c>
      <c r="D367" s="27" t="s">
        <v>62</v>
      </c>
      <c r="E367" s="26"/>
      <c r="F367" s="26"/>
      <c r="G367" s="104"/>
      <c r="H367" s="104"/>
    </row>
    <row r="368" spans="1:8" x14ac:dyDescent="0.45">
      <c r="A368" s="22" t="s">
        <v>392</v>
      </c>
      <c r="B368" s="23">
        <v>1502000</v>
      </c>
      <c r="C368" s="23" t="s">
        <v>64</v>
      </c>
      <c r="D368" s="106" t="s">
        <v>65</v>
      </c>
      <c r="E368" s="23">
        <v>12</v>
      </c>
      <c r="F368" s="23" t="s">
        <v>17</v>
      </c>
      <c r="G368" s="24"/>
      <c r="H368" s="24">
        <f>G368*E368</f>
        <v>0</v>
      </c>
    </row>
    <row r="369" spans="1:8" x14ac:dyDescent="0.45">
      <c r="A369" s="22" t="s">
        <v>393</v>
      </c>
      <c r="B369" s="23">
        <v>1502000</v>
      </c>
      <c r="C369" s="23" t="s">
        <v>67</v>
      </c>
      <c r="D369" s="120" t="s">
        <v>68</v>
      </c>
      <c r="E369" s="23">
        <v>12</v>
      </c>
      <c r="F369" s="23" t="s">
        <v>17</v>
      </c>
      <c r="G369" s="24"/>
      <c r="H369" s="24">
        <f>G369*E369</f>
        <v>0</v>
      </c>
    </row>
    <row r="370" spans="1:8" x14ac:dyDescent="0.45">
      <c r="A370" s="22" t="s">
        <v>394</v>
      </c>
      <c r="B370" s="23">
        <v>1502000</v>
      </c>
      <c r="C370" s="23" t="s">
        <v>70</v>
      </c>
      <c r="D370" s="106" t="s">
        <v>71</v>
      </c>
      <c r="E370" s="23">
        <v>12</v>
      </c>
      <c r="F370" s="23" t="s">
        <v>17</v>
      </c>
      <c r="G370" s="24"/>
      <c r="H370" s="24">
        <f>G370*E370</f>
        <v>0</v>
      </c>
    </row>
    <row r="371" spans="1:8" x14ac:dyDescent="0.45">
      <c r="A371" s="25"/>
      <c r="B371" s="26"/>
      <c r="C371" s="26">
        <v>3.5</v>
      </c>
      <c r="D371" s="27" t="s">
        <v>72</v>
      </c>
      <c r="E371" s="28"/>
      <c r="F371" s="28"/>
      <c r="G371" s="28"/>
      <c r="H371" s="28"/>
    </row>
    <row r="372" spans="1:8" x14ac:dyDescent="0.45">
      <c r="A372" s="22" t="s">
        <v>395</v>
      </c>
      <c r="B372" s="23">
        <v>1502000</v>
      </c>
      <c r="C372" s="301" t="s">
        <v>5021</v>
      </c>
      <c r="D372" s="36" t="s">
        <v>71</v>
      </c>
      <c r="E372" s="23">
        <v>12</v>
      </c>
      <c r="F372" s="23" t="s">
        <v>17</v>
      </c>
      <c r="G372" s="24"/>
      <c r="H372" s="24">
        <f>G372*E372</f>
        <v>0</v>
      </c>
    </row>
    <row r="373" spans="1:8" x14ac:dyDescent="0.45">
      <c r="A373" s="27"/>
      <c r="B373" s="125"/>
      <c r="C373" s="125"/>
      <c r="D373" s="27" t="s">
        <v>75</v>
      </c>
      <c r="E373" s="26"/>
      <c r="F373" s="26"/>
      <c r="G373" s="104"/>
      <c r="H373" s="104"/>
    </row>
    <row r="374" spans="1:8" x14ac:dyDescent="0.45">
      <c r="A374" s="22" t="s">
        <v>396</v>
      </c>
      <c r="B374" s="23">
        <v>1502000</v>
      </c>
      <c r="C374" s="23" t="s">
        <v>80</v>
      </c>
      <c r="D374" s="30" t="s">
        <v>81</v>
      </c>
      <c r="E374" s="23">
        <v>12</v>
      </c>
      <c r="F374" s="23" t="s">
        <v>17</v>
      </c>
      <c r="G374" s="24"/>
      <c r="H374" s="24">
        <f t="shared" ref="H374:H375" si="13">G374*E374</f>
        <v>0</v>
      </c>
    </row>
    <row r="375" spans="1:8" x14ac:dyDescent="0.45">
      <c r="A375" s="22" t="s">
        <v>397</v>
      </c>
      <c r="B375" s="23">
        <v>1502000</v>
      </c>
      <c r="C375" s="23" t="s">
        <v>83</v>
      </c>
      <c r="D375" s="30" t="s">
        <v>84</v>
      </c>
      <c r="E375" s="23">
        <v>12</v>
      </c>
      <c r="F375" s="23" t="s">
        <v>17</v>
      </c>
      <c r="G375" s="24"/>
      <c r="H375" s="24">
        <f t="shared" si="13"/>
        <v>0</v>
      </c>
    </row>
    <row r="376" spans="1:8" x14ac:dyDescent="0.45">
      <c r="A376" s="22" t="s">
        <v>398</v>
      </c>
      <c r="B376" s="23">
        <v>1502000</v>
      </c>
      <c r="C376" s="23" t="s">
        <v>86</v>
      </c>
      <c r="D376" s="106" t="s">
        <v>87</v>
      </c>
      <c r="E376" s="23">
        <v>12</v>
      </c>
      <c r="F376" s="23" t="s">
        <v>17</v>
      </c>
      <c r="G376" s="24"/>
      <c r="H376" s="24">
        <f>G376*E376</f>
        <v>0</v>
      </c>
    </row>
    <row r="377" spans="1:8" x14ac:dyDescent="0.45">
      <c r="A377" s="22" t="s">
        <v>399</v>
      </c>
      <c r="B377" s="23">
        <v>1502000</v>
      </c>
      <c r="C377" s="23" t="s">
        <v>400</v>
      </c>
      <c r="D377" s="106" t="s">
        <v>401</v>
      </c>
      <c r="E377" s="23">
        <v>12</v>
      </c>
      <c r="F377" s="23" t="s">
        <v>17</v>
      </c>
      <c r="G377" s="24"/>
      <c r="H377" s="24">
        <f>G377*E377</f>
        <v>0</v>
      </c>
    </row>
    <row r="378" spans="1:8" x14ac:dyDescent="0.45">
      <c r="A378" s="22" t="s">
        <v>402</v>
      </c>
      <c r="B378" s="23">
        <v>1502000</v>
      </c>
      <c r="C378" s="286" t="s">
        <v>5037</v>
      </c>
      <c r="D378" s="22" t="s">
        <v>108</v>
      </c>
      <c r="E378" s="33">
        <v>12</v>
      </c>
      <c r="F378" s="23" t="s">
        <v>17</v>
      </c>
      <c r="G378" s="24"/>
      <c r="H378" s="24">
        <f t="shared" ref="H378" si="14">G378*E378</f>
        <v>0</v>
      </c>
    </row>
    <row r="379" spans="1:8" x14ac:dyDescent="0.45">
      <c r="A379" s="22" t="s">
        <v>403</v>
      </c>
      <c r="B379" s="23">
        <v>1502000</v>
      </c>
      <c r="C379" s="23" t="s">
        <v>107</v>
      </c>
      <c r="D379" s="126" t="s">
        <v>277</v>
      </c>
      <c r="E379" s="23">
        <v>12</v>
      </c>
      <c r="F379" s="23" t="s">
        <v>17</v>
      </c>
      <c r="G379" s="24"/>
      <c r="H379" s="24">
        <f>G379*E379</f>
        <v>0</v>
      </c>
    </row>
    <row r="380" spans="1:8" x14ac:dyDescent="0.45">
      <c r="A380" s="40"/>
      <c r="B380" s="41">
        <v>1503010</v>
      </c>
      <c r="C380" s="41"/>
      <c r="D380" s="42" t="s">
        <v>109</v>
      </c>
      <c r="E380" s="43"/>
      <c r="F380" s="44"/>
      <c r="G380" s="44"/>
      <c r="H380" s="45"/>
    </row>
    <row r="381" spans="1:8" x14ac:dyDescent="0.45">
      <c r="A381" s="22" t="s">
        <v>404</v>
      </c>
      <c r="B381" s="33">
        <v>1503010</v>
      </c>
      <c r="C381" s="33">
        <v>3.1</v>
      </c>
      <c r="D381" s="36" t="s">
        <v>111</v>
      </c>
      <c r="E381" s="23">
        <v>12</v>
      </c>
      <c r="F381" s="23" t="s">
        <v>17</v>
      </c>
      <c r="G381" s="24"/>
      <c r="H381" s="24">
        <f>G381*E381</f>
        <v>0</v>
      </c>
    </row>
    <row r="382" spans="1:8" x14ac:dyDescent="0.45">
      <c r="A382" s="40"/>
      <c r="B382" s="43">
        <v>1503020</v>
      </c>
      <c r="C382" s="50"/>
      <c r="D382" s="42" t="s">
        <v>114</v>
      </c>
      <c r="E382" s="43"/>
      <c r="F382" s="44"/>
      <c r="G382" s="44"/>
      <c r="H382" s="45"/>
    </row>
    <row r="383" spans="1:8" x14ac:dyDescent="0.45">
      <c r="A383" s="22" t="s">
        <v>405</v>
      </c>
      <c r="B383" s="33">
        <v>1503020</v>
      </c>
      <c r="C383" s="33">
        <v>3.1</v>
      </c>
      <c r="D383" s="127" t="s">
        <v>406</v>
      </c>
      <c r="E383" s="23">
        <v>12</v>
      </c>
      <c r="F383" s="115" t="s">
        <v>17</v>
      </c>
      <c r="G383" s="128"/>
      <c r="H383" s="129">
        <f>G383*E383</f>
        <v>0</v>
      </c>
    </row>
    <row r="384" spans="1:8" x14ac:dyDescent="0.45">
      <c r="A384" s="22" t="s">
        <v>407</v>
      </c>
      <c r="B384" s="33">
        <v>1503020</v>
      </c>
      <c r="C384" s="33">
        <v>3.2</v>
      </c>
      <c r="D384" s="36" t="s">
        <v>118</v>
      </c>
      <c r="E384" s="23">
        <v>12</v>
      </c>
      <c r="F384" s="23" t="s">
        <v>17</v>
      </c>
      <c r="G384" s="128"/>
      <c r="H384" s="24">
        <f>G384*E384</f>
        <v>0</v>
      </c>
    </row>
    <row r="385" spans="1:8" x14ac:dyDescent="0.45">
      <c r="A385" s="22" t="s">
        <v>408</v>
      </c>
      <c r="B385" s="33">
        <v>1503020</v>
      </c>
      <c r="C385" s="23">
        <v>3.3</v>
      </c>
      <c r="D385" s="106" t="s">
        <v>120</v>
      </c>
      <c r="E385" s="23">
        <v>12</v>
      </c>
      <c r="F385" s="23" t="s">
        <v>17</v>
      </c>
      <c r="G385" s="128"/>
      <c r="H385" s="24">
        <f>G385*E385</f>
        <v>0</v>
      </c>
    </row>
    <row r="386" spans="1:8" x14ac:dyDescent="0.45">
      <c r="A386" s="40"/>
      <c r="B386" s="43">
        <v>1503030</v>
      </c>
      <c r="C386" s="41"/>
      <c r="D386" s="42" t="s">
        <v>121</v>
      </c>
      <c r="E386" s="43"/>
      <c r="F386" s="44"/>
      <c r="G386" s="44"/>
      <c r="H386" s="45"/>
    </row>
    <row r="387" spans="1:8" x14ac:dyDescent="0.45">
      <c r="A387" s="22" t="s">
        <v>409</v>
      </c>
      <c r="B387" s="33">
        <v>1503030</v>
      </c>
      <c r="C387" s="33" t="s">
        <v>123</v>
      </c>
      <c r="D387" s="36" t="s">
        <v>124</v>
      </c>
      <c r="E387" s="23">
        <v>12</v>
      </c>
      <c r="F387" s="23" t="s">
        <v>17</v>
      </c>
      <c r="G387" s="24"/>
      <c r="H387" s="24">
        <f>G387*E387</f>
        <v>0</v>
      </c>
    </row>
    <row r="388" spans="1:8" x14ac:dyDescent="0.45">
      <c r="A388" s="58"/>
      <c r="B388" s="59"/>
      <c r="C388" s="59"/>
      <c r="D388" s="60" t="s">
        <v>410</v>
      </c>
      <c r="E388" s="59"/>
      <c r="F388" s="59"/>
      <c r="G388" s="61"/>
      <c r="H388" s="62">
        <f>SUM(H350:H387)</f>
        <v>0</v>
      </c>
    </row>
    <row r="389" spans="1:8" x14ac:dyDescent="0.45">
      <c r="A389" s="121"/>
      <c r="B389" s="122"/>
      <c r="C389" s="122"/>
      <c r="D389" s="123"/>
      <c r="E389" s="122"/>
      <c r="F389" s="124"/>
      <c r="G389" s="124"/>
      <c r="H389" s="110"/>
    </row>
    <row r="390" spans="1:8" x14ac:dyDescent="0.45">
      <c r="A390" s="12" t="s">
        <v>411</v>
      </c>
      <c r="B390" s="13"/>
      <c r="C390" s="13"/>
      <c r="D390" s="12" t="s">
        <v>412</v>
      </c>
      <c r="E390" s="13"/>
      <c r="F390" s="13"/>
      <c r="G390" s="101"/>
      <c r="H390" s="102"/>
    </row>
    <row r="391" spans="1:8" x14ac:dyDescent="0.45">
      <c r="A391" s="103"/>
      <c r="B391" s="41">
        <v>1502000</v>
      </c>
      <c r="C391" s="43"/>
      <c r="D391" s="42" t="s">
        <v>18</v>
      </c>
      <c r="E391" s="43"/>
      <c r="F391" s="44"/>
      <c r="G391" s="44"/>
      <c r="H391" s="45"/>
    </row>
    <row r="392" spans="1:8" x14ac:dyDescent="0.45">
      <c r="A392" s="25"/>
      <c r="B392" s="26">
        <v>1502000</v>
      </c>
      <c r="C392" s="26">
        <v>3.4</v>
      </c>
      <c r="D392" s="27" t="s">
        <v>62</v>
      </c>
      <c r="E392" s="26"/>
      <c r="F392" s="26"/>
      <c r="G392" s="104"/>
      <c r="H392" s="104"/>
    </row>
    <row r="393" spans="1:8" x14ac:dyDescent="0.45">
      <c r="A393" s="22" t="s">
        <v>413</v>
      </c>
      <c r="B393" s="23">
        <v>1502000</v>
      </c>
      <c r="C393" s="23" t="s">
        <v>67</v>
      </c>
      <c r="D393" s="120" t="s">
        <v>68</v>
      </c>
      <c r="E393" s="23">
        <v>12</v>
      </c>
      <c r="F393" s="23" t="s">
        <v>17</v>
      </c>
      <c r="G393" s="24"/>
      <c r="H393" s="24">
        <f>G393*E393</f>
        <v>0</v>
      </c>
    </row>
    <row r="394" spans="1:8" x14ac:dyDescent="0.45">
      <c r="A394" s="40"/>
      <c r="B394" s="41">
        <v>1503010</v>
      </c>
      <c r="C394" s="41"/>
      <c r="D394" s="42" t="s">
        <v>109</v>
      </c>
      <c r="E394" s="43"/>
      <c r="F394" s="44"/>
      <c r="G394" s="44"/>
      <c r="H394" s="45"/>
    </row>
    <row r="395" spans="1:8" x14ac:dyDescent="0.45">
      <c r="A395" s="22" t="s">
        <v>414</v>
      </c>
      <c r="B395" s="33">
        <v>1503010</v>
      </c>
      <c r="C395" s="33">
        <v>3.1</v>
      </c>
      <c r="D395" s="36" t="s">
        <v>111</v>
      </c>
      <c r="E395" s="23">
        <v>12</v>
      </c>
      <c r="F395" s="23" t="s">
        <v>17</v>
      </c>
      <c r="G395" s="24"/>
      <c r="H395" s="24">
        <f>G395*E395</f>
        <v>0</v>
      </c>
    </row>
    <row r="396" spans="1:8" x14ac:dyDescent="0.45">
      <c r="A396" s="58"/>
      <c r="B396" s="59"/>
      <c r="C396" s="59"/>
      <c r="D396" s="60" t="s">
        <v>415</v>
      </c>
      <c r="E396" s="59"/>
      <c r="F396" s="59"/>
      <c r="G396" s="61"/>
      <c r="H396" s="62">
        <f>SUM(H393:H395)</f>
        <v>0</v>
      </c>
    </row>
    <row r="397" spans="1:8" x14ac:dyDescent="0.45">
      <c r="A397" s="121"/>
      <c r="B397" s="122"/>
      <c r="C397" s="122"/>
      <c r="D397" s="123"/>
      <c r="E397" s="122"/>
      <c r="F397" s="124"/>
      <c r="G397" s="124"/>
      <c r="H397" s="110"/>
    </row>
    <row r="398" spans="1:8" x14ac:dyDescent="0.45">
      <c r="A398" s="12" t="s">
        <v>416</v>
      </c>
      <c r="B398" s="13"/>
      <c r="C398" s="13"/>
      <c r="D398" s="12" t="s">
        <v>417</v>
      </c>
      <c r="E398" s="13"/>
      <c r="F398" s="13"/>
      <c r="G398" s="101"/>
      <c r="H398" s="102"/>
    </row>
    <row r="399" spans="1:8" x14ac:dyDescent="0.45">
      <c r="A399" s="103"/>
      <c r="B399" s="41">
        <v>1502000</v>
      </c>
      <c r="C399" s="43"/>
      <c r="D399" s="42" t="s">
        <v>18</v>
      </c>
      <c r="E399" s="43"/>
      <c r="F399" s="44"/>
      <c r="G399" s="44"/>
      <c r="H399" s="45"/>
    </row>
    <row r="400" spans="1:8" x14ac:dyDescent="0.45">
      <c r="A400" s="27"/>
      <c r="B400" s="26"/>
      <c r="C400" s="26">
        <v>3.1</v>
      </c>
      <c r="D400" s="27" t="s">
        <v>19</v>
      </c>
      <c r="E400" s="26"/>
      <c r="F400" s="26"/>
      <c r="G400" s="104"/>
      <c r="H400" s="104"/>
    </row>
    <row r="401" spans="1:8" x14ac:dyDescent="0.45">
      <c r="A401" s="22" t="s">
        <v>418</v>
      </c>
      <c r="B401" s="23">
        <v>1502000</v>
      </c>
      <c r="C401" s="23" t="s">
        <v>21</v>
      </c>
      <c r="D401" s="29" t="s">
        <v>22</v>
      </c>
      <c r="E401" s="23">
        <v>12</v>
      </c>
      <c r="F401" s="23" t="s">
        <v>17</v>
      </c>
      <c r="G401" s="24"/>
      <c r="H401" s="24">
        <f>G401*E401</f>
        <v>0</v>
      </c>
    </row>
    <row r="402" spans="1:8" x14ac:dyDescent="0.45">
      <c r="A402" s="22" t="s">
        <v>419</v>
      </c>
      <c r="B402" s="23">
        <v>1502000</v>
      </c>
      <c r="C402" s="23" t="s">
        <v>24</v>
      </c>
      <c r="D402" s="29" t="s">
        <v>25</v>
      </c>
      <c r="E402" s="23">
        <v>12</v>
      </c>
      <c r="F402" s="23" t="s">
        <v>17</v>
      </c>
      <c r="G402" s="24"/>
      <c r="H402" s="24">
        <f>G402*E402</f>
        <v>0</v>
      </c>
    </row>
    <row r="403" spans="1:8" x14ac:dyDescent="0.45">
      <c r="A403" s="22" t="s">
        <v>420</v>
      </c>
      <c r="B403" s="23">
        <v>1502000</v>
      </c>
      <c r="C403" s="23" t="s">
        <v>27</v>
      </c>
      <c r="D403" s="29" t="s">
        <v>28</v>
      </c>
      <c r="E403" s="23">
        <v>12</v>
      </c>
      <c r="F403" s="23" t="s">
        <v>17</v>
      </c>
      <c r="G403" s="24"/>
      <c r="H403" s="24">
        <f>G403*E403</f>
        <v>0</v>
      </c>
    </row>
    <row r="404" spans="1:8" x14ac:dyDescent="0.45">
      <c r="A404" s="25"/>
      <c r="B404" s="26">
        <v>1502000</v>
      </c>
      <c r="C404" s="26">
        <v>3.4</v>
      </c>
      <c r="D404" s="27" t="s">
        <v>62</v>
      </c>
      <c r="E404" s="26"/>
      <c r="F404" s="26"/>
      <c r="G404" s="104"/>
      <c r="H404" s="104"/>
    </row>
    <row r="405" spans="1:8" x14ac:dyDescent="0.45">
      <c r="A405" s="22" t="s">
        <v>421</v>
      </c>
      <c r="B405" s="23">
        <v>1502000</v>
      </c>
      <c r="C405" s="23" t="s">
        <v>67</v>
      </c>
      <c r="D405" s="35" t="s">
        <v>68</v>
      </c>
      <c r="E405" s="23">
        <v>12</v>
      </c>
      <c r="F405" s="23" t="s">
        <v>17</v>
      </c>
      <c r="G405" s="24"/>
      <c r="H405" s="24">
        <f>G405*E405</f>
        <v>0</v>
      </c>
    </row>
    <row r="406" spans="1:8" x14ac:dyDescent="0.45">
      <c r="A406" s="58"/>
      <c r="B406" s="59"/>
      <c r="C406" s="59"/>
      <c r="D406" s="60" t="s">
        <v>422</v>
      </c>
      <c r="E406" s="59"/>
      <c r="F406" s="59"/>
      <c r="G406" s="61"/>
      <c r="H406" s="62">
        <f>SUM(H401:H405)</f>
        <v>0</v>
      </c>
    </row>
    <row r="407" spans="1:8" x14ac:dyDescent="0.45">
      <c r="A407" s="121"/>
      <c r="B407" s="122"/>
      <c r="C407" s="122"/>
      <c r="D407" s="123"/>
      <c r="E407" s="122"/>
      <c r="F407" s="124"/>
      <c r="G407" s="124"/>
      <c r="H407" s="110"/>
    </row>
    <row r="408" spans="1:8" x14ac:dyDescent="0.45">
      <c r="A408" s="12" t="s">
        <v>423</v>
      </c>
      <c r="B408" s="13"/>
      <c r="C408" s="13"/>
      <c r="D408" s="111" t="s">
        <v>424</v>
      </c>
      <c r="E408" s="100"/>
      <c r="F408" s="101"/>
      <c r="G408" s="101"/>
      <c r="H408" s="102"/>
    </row>
    <row r="409" spans="1:8" x14ac:dyDescent="0.45">
      <c r="A409" s="103"/>
      <c r="B409" s="41">
        <v>1502000</v>
      </c>
      <c r="C409" s="43"/>
      <c r="D409" s="42" t="s">
        <v>18</v>
      </c>
      <c r="E409" s="43"/>
      <c r="F409" s="44"/>
      <c r="G409" s="44"/>
      <c r="H409" s="45"/>
    </row>
    <row r="410" spans="1:8" x14ac:dyDescent="0.45">
      <c r="A410" s="27"/>
      <c r="B410" s="26"/>
      <c r="C410" s="26">
        <v>3.1</v>
      </c>
      <c r="D410" s="27" t="s">
        <v>19</v>
      </c>
      <c r="E410" s="26"/>
      <c r="F410" s="26"/>
      <c r="G410" s="104"/>
      <c r="H410" s="104"/>
    </row>
    <row r="411" spans="1:8" x14ac:dyDescent="0.45">
      <c r="A411" s="22" t="s">
        <v>425</v>
      </c>
      <c r="B411" s="23">
        <v>1502000</v>
      </c>
      <c r="C411" s="23" t="s">
        <v>21</v>
      </c>
      <c r="D411" s="29" t="s">
        <v>22</v>
      </c>
      <c r="E411" s="23">
        <v>12</v>
      </c>
      <c r="F411" s="23" t="s">
        <v>17</v>
      </c>
      <c r="G411" s="24"/>
      <c r="H411" s="24">
        <f>G411*E411</f>
        <v>0</v>
      </c>
    </row>
    <row r="412" spans="1:8" x14ac:dyDescent="0.45">
      <c r="A412" s="22" t="s">
        <v>426</v>
      </c>
      <c r="B412" s="23">
        <v>1502000</v>
      </c>
      <c r="C412" s="23" t="s">
        <v>24</v>
      </c>
      <c r="D412" s="29" t="s">
        <v>25</v>
      </c>
      <c r="E412" s="23">
        <v>12</v>
      </c>
      <c r="F412" s="23" t="s">
        <v>17</v>
      </c>
      <c r="G412" s="24"/>
      <c r="H412" s="24">
        <f>G412*E412</f>
        <v>0</v>
      </c>
    </row>
    <row r="413" spans="1:8" x14ac:dyDescent="0.45">
      <c r="A413" s="22" t="s">
        <v>427</v>
      </c>
      <c r="B413" s="23">
        <v>1502000</v>
      </c>
      <c r="C413" s="23" t="s">
        <v>27</v>
      </c>
      <c r="D413" s="29" t="s">
        <v>28</v>
      </c>
      <c r="E413" s="23">
        <v>12</v>
      </c>
      <c r="F413" s="23" t="s">
        <v>17</v>
      </c>
      <c r="G413" s="24"/>
      <c r="H413" s="24">
        <f>G413*E413</f>
        <v>0</v>
      </c>
    </row>
    <row r="414" spans="1:8" x14ac:dyDescent="0.45">
      <c r="A414" s="40"/>
      <c r="B414" s="41">
        <v>1503010</v>
      </c>
      <c r="C414" s="41"/>
      <c r="D414" s="42" t="s">
        <v>109</v>
      </c>
      <c r="E414" s="43"/>
      <c r="F414" s="44"/>
      <c r="G414" s="44"/>
      <c r="H414" s="45"/>
    </row>
    <row r="415" spans="1:8" x14ac:dyDescent="0.45">
      <c r="A415" s="22" t="s">
        <v>428</v>
      </c>
      <c r="B415" s="33">
        <v>1503010</v>
      </c>
      <c r="C415" s="33">
        <v>3.1</v>
      </c>
      <c r="D415" s="36" t="s">
        <v>111</v>
      </c>
      <c r="E415" s="23">
        <v>12</v>
      </c>
      <c r="F415" s="23" t="s">
        <v>17</v>
      </c>
      <c r="G415" s="24"/>
      <c r="H415" s="24">
        <f>G415*E415</f>
        <v>0</v>
      </c>
    </row>
    <row r="416" spans="1:8" x14ac:dyDescent="0.45">
      <c r="A416" s="40"/>
      <c r="B416" s="43">
        <v>1503030</v>
      </c>
      <c r="C416" s="41"/>
      <c r="D416" s="42" t="s">
        <v>121</v>
      </c>
      <c r="E416" s="43"/>
      <c r="F416" s="44"/>
      <c r="G416" s="44"/>
      <c r="H416" s="45"/>
    </row>
    <row r="417" spans="1:8" x14ac:dyDescent="0.45">
      <c r="A417" s="22" t="s">
        <v>429</v>
      </c>
      <c r="B417" s="33">
        <v>1503030</v>
      </c>
      <c r="C417" s="33" t="s">
        <v>123</v>
      </c>
      <c r="D417" s="36" t="s">
        <v>124</v>
      </c>
      <c r="E417" s="23">
        <v>12</v>
      </c>
      <c r="F417" s="23" t="s">
        <v>17</v>
      </c>
      <c r="G417" s="24"/>
      <c r="H417" s="24">
        <f>G417*E417</f>
        <v>0</v>
      </c>
    </row>
    <row r="418" spans="1:8" s="293" customFormat="1" x14ac:dyDescent="0.45">
      <c r="A418" s="287"/>
      <c r="B418" s="288">
        <v>1503050</v>
      </c>
      <c r="C418" s="288"/>
      <c r="D418" s="289" t="s">
        <v>5014</v>
      </c>
      <c r="E418" s="290"/>
      <c r="F418" s="291"/>
      <c r="G418" s="291"/>
      <c r="H418" s="292"/>
    </row>
    <row r="419" spans="1:8" s="293" customFormat="1" x14ac:dyDescent="0.45">
      <c r="A419" s="257" t="s">
        <v>5023</v>
      </c>
      <c r="B419" s="301">
        <v>1503050</v>
      </c>
      <c r="C419" s="301">
        <v>3.4</v>
      </c>
      <c r="D419" s="295" t="s">
        <v>135</v>
      </c>
      <c r="E419" s="301">
        <v>12</v>
      </c>
      <c r="F419" s="286" t="s">
        <v>17</v>
      </c>
      <c r="G419" s="302"/>
      <c r="H419" s="302">
        <f>G419*E419</f>
        <v>0</v>
      </c>
    </row>
    <row r="420" spans="1:8" x14ac:dyDescent="0.45">
      <c r="A420" s="58"/>
      <c r="B420" s="59"/>
      <c r="C420" s="59"/>
      <c r="D420" s="60" t="s">
        <v>430</v>
      </c>
      <c r="E420" s="59"/>
      <c r="F420" s="59"/>
      <c r="G420" s="61"/>
      <c r="H420" s="62">
        <f>SUM(H411:H419)</f>
        <v>0</v>
      </c>
    </row>
    <row r="421" spans="1:8" x14ac:dyDescent="0.45">
      <c r="A421" s="121"/>
      <c r="B421" s="122"/>
      <c r="C421" s="122"/>
      <c r="D421" s="123"/>
      <c r="E421" s="122"/>
      <c r="F421" s="124"/>
      <c r="G421" s="124"/>
      <c r="H421" s="110"/>
    </row>
    <row r="422" spans="1:8" x14ac:dyDescent="0.45">
      <c r="A422" s="12" t="s">
        <v>431</v>
      </c>
      <c r="B422" s="13"/>
      <c r="C422" s="13"/>
      <c r="D422" s="12" t="s">
        <v>432</v>
      </c>
      <c r="E422" s="13"/>
      <c r="F422" s="13"/>
      <c r="G422" s="101"/>
      <c r="H422" s="102"/>
    </row>
    <row r="423" spans="1:8" x14ac:dyDescent="0.45">
      <c r="A423" s="103"/>
      <c r="B423" s="41">
        <v>1502000</v>
      </c>
      <c r="C423" s="43"/>
      <c r="D423" s="42" t="s">
        <v>18</v>
      </c>
      <c r="E423" s="43"/>
      <c r="F423" s="44"/>
      <c r="G423" s="44"/>
      <c r="H423" s="45"/>
    </row>
    <row r="424" spans="1:8" x14ac:dyDescent="0.45">
      <c r="A424" s="27"/>
      <c r="B424" s="26"/>
      <c r="C424" s="26">
        <v>3.1</v>
      </c>
      <c r="D424" s="27" t="s">
        <v>19</v>
      </c>
      <c r="E424" s="26"/>
      <c r="F424" s="26"/>
      <c r="G424" s="104"/>
      <c r="H424" s="104"/>
    </row>
    <row r="425" spans="1:8" x14ac:dyDescent="0.45">
      <c r="A425" s="22" t="s">
        <v>433</v>
      </c>
      <c r="B425" s="23">
        <v>1502000</v>
      </c>
      <c r="C425" s="23" t="s">
        <v>21</v>
      </c>
      <c r="D425" s="29" t="s">
        <v>22</v>
      </c>
      <c r="E425" s="23">
        <v>12</v>
      </c>
      <c r="F425" s="23" t="s">
        <v>17</v>
      </c>
      <c r="G425" s="24"/>
      <c r="H425" s="24">
        <f>G425*E425</f>
        <v>0</v>
      </c>
    </row>
    <row r="426" spans="1:8" x14ac:dyDescent="0.45">
      <c r="A426" s="22" t="s">
        <v>434</v>
      </c>
      <c r="B426" s="23">
        <v>1502000</v>
      </c>
      <c r="C426" s="23" t="s">
        <v>24</v>
      </c>
      <c r="D426" s="29" t="s">
        <v>25</v>
      </c>
      <c r="E426" s="23">
        <v>12</v>
      </c>
      <c r="F426" s="23" t="s">
        <v>17</v>
      </c>
      <c r="G426" s="24"/>
      <c r="H426" s="24">
        <f>G426*E426</f>
        <v>0</v>
      </c>
    </row>
    <row r="427" spans="1:8" x14ac:dyDescent="0.45">
      <c r="A427" s="22" t="s">
        <v>435</v>
      </c>
      <c r="B427" s="23">
        <v>1502000</v>
      </c>
      <c r="C427" s="23" t="s">
        <v>27</v>
      </c>
      <c r="D427" s="29" t="s">
        <v>28</v>
      </c>
      <c r="E427" s="23">
        <v>12</v>
      </c>
      <c r="F427" s="23" t="s">
        <v>17</v>
      </c>
      <c r="G427" s="24"/>
      <c r="H427" s="24">
        <f>G427*E427</f>
        <v>0</v>
      </c>
    </row>
    <row r="428" spans="1:8" x14ac:dyDescent="0.45">
      <c r="A428" s="25"/>
      <c r="B428" s="26"/>
      <c r="C428" s="26">
        <v>3.1</v>
      </c>
      <c r="D428" s="27" t="s">
        <v>31</v>
      </c>
      <c r="E428" s="28"/>
      <c r="F428" s="28"/>
      <c r="G428" s="28"/>
      <c r="H428" s="28"/>
    </row>
    <row r="429" spans="1:8" x14ac:dyDescent="0.45">
      <c r="A429" s="22" t="s">
        <v>436</v>
      </c>
      <c r="B429" s="23">
        <v>1502000</v>
      </c>
      <c r="C429" s="23" t="s">
        <v>39</v>
      </c>
      <c r="D429" s="29" t="s">
        <v>230</v>
      </c>
      <c r="E429" s="23">
        <v>12</v>
      </c>
      <c r="F429" s="23" t="s">
        <v>17</v>
      </c>
      <c r="G429" s="24"/>
      <c r="H429" s="24">
        <f>G429*E429</f>
        <v>0</v>
      </c>
    </row>
    <row r="430" spans="1:8" x14ac:dyDescent="0.45">
      <c r="A430" s="22" t="s">
        <v>437</v>
      </c>
      <c r="B430" s="23">
        <v>1502000</v>
      </c>
      <c r="C430" s="23" t="s">
        <v>250</v>
      </c>
      <c r="D430" s="29" t="s">
        <v>379</v>
      </c>
      <c r="E430" s="23">
        <v>12</v>
      </c>
      <c r="F430" s="23" t="s">
        <v>17</v>
      </c>
      <c r="G430" s="24"/>
      <c r="H430" s="24">
        <f>G430*E430</f>
        <v>0</v>
      </c>
    </row>
    <row r="431" spans="1:8" x14ac:dyDescent="0.45">
      <c r="A431" s="22" t="s">
        <v>438</v>
      </c>
      <c r="B431" s="23">
        <v>1502000</v>
      </c>
      <c r="C431" s="23" t="s">
        <v>54</v>
      </c>
      <c r="D431" s="29" t="s">
        <v>55</v>
      </c>
      <c r="E431" s="23">
        <v>12</v>
      </c>
      <c r="F431" s="23" t="s">
        <v>17</v>
      </c>
      <c r="G431" s="24"/>
      <c r="H431" s="24">
        <f>G431*E431</f>
        <v>0</v>
      </c>
    </row>
    <row r="432" spans="1:8" x14ac:dyDescent="0.45">
      <c r="A432" s="25"/>
      <c r="B432" s="26">
        <v>1502000</v>
      </c>
      <c r="C432" s="26">
        <v>3.4</v>
      </c>
      <c r="D432" s="27" t="s">
        <v>62</v>
      </c>
      <c r="E432" s="26"/>
      <c r="F432" s="26"/>
      <c r="G432" s="104"/>
      <c r="H432" s="104"/>
    </row>
    <row r="433" spans="1:8" x14ac:dyDescent="0.45">
      <c r="A433" s="22" t="s">
        <v>439</v>
      </c>
      <c r="B433" s="23">
        <v>1502000</v>
      </c>
      <c r="C433" s="23" t="s">
        <v>64</v>
      </c>
      <c r="D433" s="106" t="s">
        <v>65</v>
      </c>
      <c r="E433" s="23">
        <v>12</v>
      </c>
      <c r="F433" s="23" t="s">
        <v>17</v>
      </c>
      <c r="G433" s="24"/>
      <c r="H433" s="24">
        <f>G433*E433</f>
        <v>0</v>
      </c>
    </row>
    <row r="434" spans="1:8" x14ac:dyDescent="0.45">
      <c r="A434" s="22" t="s">
        <v>440</v>
      </c>
      <c r="B434" s="23">
        <v>1502000</v>
      </c>
      <c r="C434" s="23" t="s">
        <v>67</v>
      </c>
      <c r="D434" s="120" t="s">
        <v>68</v>
      </c>
      <c r="E434" s="23">
        <v>12</v>
      </c>
      <c r="F434" s="23" t="s">
        <v>17</v>
      </c>
      <c r="G434" s="24"/>
      <c r="H434" s="24">
        <f>G434*E434</f>
        <v>0</v>
      </c>
    </row>
    <row r="435" spans="1:8" x14ac:dyDescent="0.45">
      <c r="A435" s="22" t="s">
        <v>441</v>
      </c>
      <c r="B435" s="23">
        <v>1502000</v>
      </c>
      <c r="C435" s="23" t="s">
        <v>70</v>
      </c>
      <c r="D435" s="106" t="s">
        <v>71</v>
      </c>
      <c r="E435" s="23">
        <v>12</v>
      </c>
      <c r="F435" s="23" t="s">
        <v>17</v>
      </c>
      <c r="G435" s="24"/>
      <c r="H435" s="24">
        <f>G435*E435</f>
        <v>0</v>
      </c>
    </row>
    <row r="436" spans="1:8" x14ac:dyDescent="0.45">
      <c r="A436" s="27"/>
      <c r="B436" s="125"/>
      <c r="C436" s="125"/>
      <c r="D436" s="27" t="s">
        <v>75</v>
      </c>
      <c r="E436" s="26"/>
      <c r="F436" s="26"/>
      <c r="G436" s="104"/>
      <c r="H436" s="104"/>
    </row>
    <row r="437" spans="1:8" x14ac:dyDescent="0.45">
      <c r="A437" s="22" t="s">
        <v>442</v>
      </c>
      <c r="B437" s="23">
        <v>1502000</v>
      </c>
      <c r="C437" s="23" t="s">
        <v>80</v>
      </c>
      <c r="D437" s="30" t="s">
        <v>81</v>
      </c>
      <c r="E437" s="23">
        <v>12</v>
      </c>
      <c r="F437" s="23" t="s">
        <v>17</v>
      </c>
      <c r="G437" s="24"/>
      <c r="H437" s="24">
        <f t="shared" ref="H437" si="15">G437*E437</f>
        <v>0</v>
      </c>
    </row>
    <row r="438" spans="1:8" x14ac:dyDescent="0.45">
      <c r="A438" s="22" t="s">
        <v>443</v>
      </c>
      <c r="B438" s="23">
        <v>1502000</v>
      </c>
      <c r="C438" s="23" t="s">
        <v>86</v>
      </c>
      <c r="D438" s="106" t="s">
        <v>87</v>
      </c>
      <c r="E438" s="23">
        <v>12</v>
      </c>
      <c r="F438" s="23" t="s">
        <v>17</v>
      </c>
      <c r="G438" s="24"/>
      <c r="H438" s="24">
        <f>G438*E438</f>
        <v>0</v>
      </c>
    </row>
    <row r="439" spans="1:8" x14ac:dyDescent="0.45">
      <c r="A439" s="40"/>
      <c r="B439" s="41">
        <v>1503010</v>
      </c>
      <c r="C439" s="41"/>
      <c r="D439" s="42" t="s">
        <v>109</v>
      </c>
      <c r="E439" s="43"/>
      <c r="F439" s="44"/>
      <c r="G439" s="44"/>
      <c r="H439" s="45"/>
    </row>
    <row r="440" spans="1:8" x14ac:dyDescent="0.45">
      <c r="A440" s="22" t="s">
        <v>444</v>
      </c>
      <c r="B440" s="33">
        <v>1503010</v>
      </c>
      <c r="C440" s="33">
        <v>3.1</v>
      </c>
      <c r="D440" s="36" t="s">
        <v>111</v>
      </c>
      <c r="E440" s="23">
        <v>12</v>
      </c>
      <c r="F440" s="23" t="s">
        <v>17</v>
      </c>
      <c r="G440" s="24"/>
      <c r="H440" s="24">
        <f>G440*E440</f>
        <v>0</v>
      </c>
    </row>
    <row r="441" spans="1:8" x14ac:dyDescent="0.45">
      <c r="A441" s="40"/>
      <c r="B441" s="43">
        <v>1503020</v>
      </c>
      <c r="C441" s="41"/>
      <c r="D441" s="42" t="s">
        <v>114</v>
      </c>
      <c r="E441" s="43"/>
      <c r="F441" s="44"/>
      <c r="G441" s="44"/>
      <c r="H441" s="45"/>
    </row>
    <row r="442" spans="1:8" x14ac:dyDescent="0.45">
      <c r="A442" s="22" t="s">
        <v>445</v>
      </c>
      <c r="B442" s="33">
        <v>1503020</v>
      </c>
      <c r="C442" s="33">
        <v>3.1</v>
      </c>
      <c r="D442" s="36" t="s">
        <v>116</v>
      </c>
      <c r="E442" s="23">
        <v>12</v>
      </c>
      <c r="F442" s="23" t="s">
        <v>17</v>
      </c>
      <c r="G442" s="24"/>
      <c r="H442" s="24">
        <f>G442*E442</f>
        <v>0</v>
      </c>
    </row>
    <row r="443" spans="1:8" x14ac:dyDescent="0.45">
      <c r="A443" s="22" t="s">
        <v>446</v>
      </c>
      <c r="B443" s="33">
        <v>1503020</v>
      </c>
      <c r="C443" s="33">
        <v>3.2</v>
      </c>
      <c r="D443" s="36" t="s">
        <v>118</v>
      </c>
      <c r="E443" s="23">
        <v>12</v>
      </c>
      <c r="F443" s="23" t="s">
        <v>17</v>
      </c>
      <c r="G443" s="24"/>
      <c r="H443" s="24">
        <f>G443*E443</f>
        <v>0</v>
      </c>
    </row>
    <row r="444" spans="1:8" x14ac:dyDescent="0.45">
      <c r="A444" s="22" t="s">
        <v>447</v>
      </c>
      <c r="B444" s="33">
        <v>1503020</v>
      </c>
      <c r="C444" s="33">
        <v>3.3</v>
      </c>
      <c r="D444" s="36" t="s">
        <v>120</v>
      </c>
      <c r="E444" s="23">
        <v>12</v>
      </c>
      <c r="F444" s="23" t="s">
        <v>17</v>
      </c>
      <c r="G444" s="24"/>
      <c r="H444" s="24">
        <f>G444*E444</f>
        <v>0</v>
      </c>
    </row>
    <row r="445" spans="1:8" x14ac:dyDescent="0.45">
      <c r="A445" s="22"/>
      <c r="B445" s="43">
        <v>1503030</v>
      </c>
      <c r="C445" s="41"/>
      <c r="D445" s="42" t="s">
        <v>121</v>
      </c>
      <c r="E445" s="43"/>
      <c r="F445" s="44"/>
      <c r="G445" s="44"/>
      <c r="H445" s="45"/>
    </row>
    <row r="446" spans="1:8" x14ac:dyDescent="0.45">
      <c r="A446" s="22" t="s">
        <v>448</v>
      </c>
      <c r="B446" s="33">
        <v>1503030</v>
      </c>
      <c r="C446" s="33" t="s">
        <v>123</v>
      </c>
      <c r="D446" s="36" t="s">
        <v>124</v>
      </c>
      <c r="E446" s="23">
        <v>12</v>
      </c>
      <c r="F446" s="23" t="s">
        <v>17</v>
      </c>
      <c r="G446" s="24"/>
      <c r="H446" s="24">
        <f>G446*E446</f>
        <v>0</v>
      </c>
    </row>
    <row r="447" spans="1:8" x14ac:dyDescent="0.45">
      <c r="A447" s="58"/>
      <c r="B447" s="59"/>
      <c r="C447" s="59"/>
      <c r="D447" s="60" t="s">
        <v>449</v>
      </c>
      <c r="E447" s="59"/>
      <c r="F447" s="59"/>
      <c r="G447" s="61"/>
      <c r="H447" s="62">
        <f>SUM(H425:H446)</f>
        <v>0</v>
      </c>
    </row>
    <row r="448" spans="1:8" x14ac:dyDescent="0.45">
      <c r="A448" s="96"/>
      <c r="B448" s="97"/>
      <c r="C448" s="97"/>
      <c r="D448" s="116"/>
      <c r="E448" s="97"/>
      <c r="F448" s="97"/>
      <c r="G448" s="99"/>
      <c r="H448" s="99"/>
    </row>
    <row r="449" spans="1:8" x14ac:dyDescent="0.45">
      <c r="A449" s="12" t="s">
        <v>450</v>
      </c>
      <c r="B449" s="13"/>
      <c r="C449" s="13"/>
      <c r="D449" s="12" t="s">
        <v>451</v>
      </c>
      <c r="E449" s="13"/>
      <c r="F449" s="13"/>
      <c r="G449" s="101"/>
      <c r="H449" s="102"/>
    </row>
    <row r="450" spans="1:8" x14ac:dyDescent="0.45">
      <c r="A450" s="368"/>
      <c r="B450" s="369">
        <v>1503010</v>
      </c>
      <c r="C450" s="369"/>
      <c r="D450" s="370" t="s">
        <v>109</v>
      </c>
      <c r="E450" s="282"/>
      <c r="F450" s="283"/>
      <c r="G450" s="283"/>
      <c r="H450" s="284"/>
    </row>
    <row r="451" spans="1:8" x14ac:dyDescent="0.45">
      <c r="A451" s="258" t="s">
        <v>452</v>
      </c>
      <c r="B451" s="259">
        <v>1503010</v>
      </c>
      <c r="C451" s="259">
        <v>3.1</v>
      </c>
      <c r="D451" s="260" t="s">
        <v>111</v>
      </c>
      <c r="E451" s="261">
        <v>12</v>
      </c>
      <c r="F451" s="261" t="s">
        <v>17</v>
      </c>
      <c r="G451" s="262"/>
      <c r="H451" s="262">
        <f>G451*E451</f>
        <v>0</v>
      </c>
    </row>
    <row r="452" spans="1:8" x14ac:dyDescent="0.45">
      <c r="A452" s="40"/>
      <c r="B452" s="43">
        <v>1503020</v>
      </c>
      <c r="C452" s="41"/>
      <c r="D452" s="42" t="s">
        <v>114</v>
      </c>
      <c r="E452" s="43"/>
      <c r="F452" s="44"/>
      <c r="G452" s="44"/>
      <c r="H452" s="45"/>
    </row>
    <row r="453" spans="1:8" ht="13.45" customHeight="1" x14ac:dyDescent="0.45">
      <c r="A453" s="22" t="s">
        <v>5045</v>
      </c>
      <c r="B453" s="33">
        <v>1503020</v>
      </c>
      <c r="C453" s="33">
        <v>3.1</v>
      </c>
      <c r="D453" s="36" t="s">
        <v>116</v>
      </c>
      <c r="E453" s="23">
        <v>12</v>
      </c>
      <c r="F453" s="23" t="s">
        <v>17</v>
      </c>
      <c r="G453" s="24"/>
      <c r="H453" s="24">
        <f>G453*E453</f>
        <v>0</v>
      </c>
    </row>
    <row r="454" spans="1:8" x14ac:dyDescent="0.45">
      <c r="A454" s="22" t="s">
        <v>5046</v>
      </c>
      <c r="B454" s="33">
        <v>1503020</v>
      </c>
      <c r="C454" s="33">
        <v>3.3</v>
      </c>
      <c r="D454" s="36" t="s">
        <v>120</v>
      </c>
      <c r="E454" s="23">
        <v>12</v>
      </c>
      <c r="F454" s="23" t="s">
        <v>17</v>
      </c>
      <c r="G454" s="24"/>
      <c r="H454" s="24">
        <f>G454*E454</f>
        <v>0</v>
      </c>
    </row>
    <row r="455" spans="1:8" x14ac:dyDescent="0.45">
      <c r="A455" s="58"/>
      <c r="B455" s="59"/>
      <c r="C455" s="59"/>
      <c r="D455" s="60" t="s">
        <v>453</v>
      </c>
      <c r="E455" s="59"/>
      <c r="F455" s="59"/>
      <c r="G455" s="61"/>
      <c r="H455" s="62">
        <f>SUM(H451:H454)</f>
        <v>0</v>
      </c>
    </row>
    <row r="456" spans="1:8" s="366" customFormat="1" x14ac:dyDescent="0.45">
      <c r="A456" s="87"/>
      <c r="B456" s="88"/>
      <c r="C456" s="88"/>
      <c r="D456" s="89"/>
      <c r="E456" s="64"/>
      <c r="F456" s="64"/>
      <c r="G456" s="66"/>
      <c r="H456" s="66"/>
    </row>
    <row r="457" spans="1:8" s="366" customFormat="1" x14ac:dyDescent="0.45">
      <c r="A457" s="378" t="s">
        <v>5049</v>
      </c>
      <c r="B457" s="379"/>
      <c r="C457" s="380"/>
      <c r="D457" s="378" t="s">
        <v>5047</v>
      </c>
      <c r="E457" s="381"/>
      <c r="F457" s="381"/>
      <c r="G457" s="381"/>
      <c r="H457" s="381"/>
    </row>
    <row r="458" spans="1:8" s="366" customFormat="1" x14ac:dyDescent="0.4">
      <c r="A458" s="287"/>
      <c r="B458" s="382">
        <v>1502000</v>
      </c>
      <c r="C458" s="383"/>
      <c r="D458" s="384" t="s">
        <v>18</v>
      </c>
      <c r="E458" s="385"/>
      <c r="F458" s="385"/>
      <c r="G458" s="386"/>
      <c r="H458" s="386"/>
    </row>
    <row r="459" spans="1:8" s="366" customFormat="1" x14ac:dyDescent="0.45">
      <c r="A459" s="363"/>
      <c r="B459" s="373"/>
      <c r="C459" s="373">
        <v>3.6</v>
      </c>
      <c r="D459" s="374" t="s">
        <v>75</v>
      </c>
      <c r="E459" s="375"/>
      <c r="F459" s="375"/>
      <c r="G459" s="375"/>
      <c r="H459" s="375"/>
    </row>
    <row r="460" spans="1:8" s="366" customFormat="1" x14ac:dyDescent="0.45">
      <c r="A460" s="257" t="s">
        <v>5052</v>
      </c>
      <c r="B460" s="286">
        <v>1502000</v>
      </c>
      <c r="C460" s="301" t="s">
        <v>77</v>
      </c>
      <c r="D460" s="372" t="s">
        <v>78</v>
      </c>
      <c r="E460" s="286">
        <v>12</v>
      </c>
      <c r="F460" s="286" t="s">
        <v>17</v>
      </c>
      <c r="G460" s="302"/>
      <c r="H460" s="302">
        <f>G460*E460</f>
        <v>0</v>
      </c>
    </row>
    <row r="461" spans="1:8" s="366" customFormat="1" x14ac:dyDescent="0.45">
      <c r="A461" s="257" t="s">
        <v>5053</v>
      </c>
      <c r="B461" s="286">
        <v>1502000</v>
      </c>
      <c r="C461" s="301" t="s">
        <v>101</v>
      </c>
      <c r="D461" s="372" t="s">
        <v>102</v>
      </c>
      <c r="E461" s="286">
        <v>12</v>
      </c>
      <c r="F461" s="286" t="s">
        <v>17</v>
      </c>
      <c r="G461" s="302"/>
      <c r="H461" s="302">
        <f>G461*E461</f>
        <v>0</v>
      </c>
    </row>
    <row r="462" spans="1:8" s="366" customFormat="1" x14ac:dyDescent="0.45">
      <c r="A462" s="58"/>
      <c r="B462" s="59"/>
      <c r="C462" s="59"/>
      <c r="D462" s="387" t="s">
        <v>5048</v>
      </c>
      <c r="E462" s="59"/>
      <c r="F462" s="59"/>
      <c r="G462" s="61"/>
      <c r="H462" s="388">
        <f>SUM(H460:H461)</f>
        <v>0</v>
      </c>
    </row>
    <row r="463" spans="1:8" s="366" customFormat="1" x14ac:dyDescent="0.45">
      <c r="A463" s="87"/>
      <c r="B463" s="88"/>
      <c r="C463" s="88"/>
      <c r="D463" s="89"/>
      <c r="E463" s="64"/>
      <c r="F463" s="64"/>
      <c r="G463" s="66"/>
      <c r="H463" s="66"/>
    </row>
    <row r="464" spans="1:8" s="293" customFormat="1" x14ac:dyDescent="0.45">
      <c r="A464" s="378" t="s">
        <v>5054</v>
      </c>
      <c r="B464" s="380"/>
      <c r="C464" s="380"/>
      <c r="D464" s="378" t="s">
        <v>5050</v>
      </c>
      <c r="E464" s="381"/>
      <c r="F464" s="381"/>
      <c r="G464" s="381"/>
      <c r="H464" s="381"/>
    </row>
    <row r="465" spans="1:8" s="293" customFormat="1" x14ac:dyDescent="0.4">
      <c r="A465" s="287"/>
      <c r="B465" s="382">
        <v>1502000</v>
      </c>
      <c r="C465" s="383"/>
      <c r="D465" s="384" t="s">
        <v>18</v>
      </c>
      <c r="E465" s="290"/>
      <c r="F465" s="291"/>
      <c r="G465" s="291"/>
      <c r="H465" s="292"/>
    </row>
    <row r="466" spans="1:8" s="293" customFormat="1" x14ac:dyDescent="0.45">
      <c r="A466" s="363"/>
      <c r="B466" s="373"/>
      <c r="C466" s="373">
        <v>3.6</v>
      </c>
      <c r="D466" s="374" t="s">
        <v>75</v>
      </c>
      <c r="E466" s="375"/>
      <c r="F466" s="375"/>
      <c r="G466" s="375"/>
      <c r="H466" s="375"/>
    </row>
    <row r="467" spans="1:8" s="293" customFormat="1" x14ac:dyDescent="0.45">
      <c r="A467" s="257" t="s">
        <v>5055</v>
      </c>
      <c r="B467" s="286">
        <v>1502000</v>
      </c>
      <c r="C467" s="301" t="s">
        <v>77</v>
      </c>
      <c r="D467" s="372" t="s">
        <v>78</v>
      </c>
      <c r="E467" s="286">
        <v>12</v>
      </c>
      <c r="F467" s="286" t="s">
        <v>17</v>
      </c>
      <c r="G467" s="302"/>
      <c r="H467" s="302">
        <f>G467*E467</f>
        <v>0</v>
      </c>
    </row>
    <row r="468" spans="1:8" s="366" customFormat="1" x14ac:dyDescent="0.45">
      <c r="A468" s="58"/>
      <c r="B468" s="59"/>
      <c r="C468" s="59"/>
      <c r="D468" s="387" t="s">
        <v>5051</v>
      </c>
      <c r="E468" s="59"/>
      <c r="F468" s="59"/>
      <c r="G468" s="61"/>
      <c r="H468" s="388">
        <f>SUM(H466:H467)</f>
        <v>0</v>
      </c>
    </row>
    <row r="470" spans="1:8" ht="7.5" customHeight="1" x14ac:dyDescent="0.45">
      <c r="A470" s="130"/>
      <c r="B470" s="131"/>
      <c r="C470" s="131"/>
      <c r="D470" s="132"/>
      <c r="E470" s="131"/>
      <c r="F470" s="133"/>
      <c r="G470" s="133"/>
      <c r="H470" s="134"/>
    </row>
    <row r="471" spans="1:8" s="139" customFormat="1" ht="15" x14ac:dyDescent="0.45">
      <c r="A471" s="135" t="s">
        <v>5094</v>
      </c>
      <c r="B471" s="136"/>
      <c r="C471" s="136"/>
      <c r="D471" s="137"/>
      <c r="E471" s="137"/>
      <c r="F471" s="137"/>
      <c r="G471" s="137"/>
      <c r="H471" s="138">
        <f>H455+H447+H420+H406+H396+H388+H345+H334+H303+H281+H272+H247+H242+H236+H216+H165+H150+H143+H136+H122+H97+H462+H468</f>
        <v>0</v>
      </c>
    </row>
  </sheetData>
  <mergeCells count="2354">
    <mergeCell ref="A9:H9"/>
    <mergeCell ref="A10:H10"/>
    <mergeCell ref="XER5:XEX5"/>
    <mergeCell ref="XEY5:XFB5"/>
    <mergeCell ref="A6:H6"/>
    <mergeCell ref="I6:N6"/>
    <mergeCell ref="A7:H7"/>
    <mergeCell ref="A8:H8"/>
    <mergeCell ref="XDB5:XDH5"/>
    <mergeCell ref="XDI5:XDO5"/>
    <mergeCell ref="XDP5:XDV5"/>
    <mergeCell ref="XDW5:XEC5"/>
    <mergeCell ref="XED5:XEJ5"/>
    <mergeCell ref="XEK5:XEQ5"/>
    <mergeCell ref="XBL5:XBR5"/>
    <mergeCell ref="XBS5:XBY5"/>
    <mergeCell ref="XBZ5:XCF5"/>
    <mergeCell ref="XCG5:XCM5"/>
    <mergeCell ref="XCN5:XCT5"/>
    <mergeCell ref="XCU5:XDA5"/>
    <mergeCell ref="WZV5:XAB5"/>
    <mergeCell ref="XAC5:XAI5"/>
    <mergeCell ref="XAJ5:XAP5"/>
    <mergeCell ref="XAQ5:XAW5"/>
    <mergeCell ref="XAX5:XBD5"/>
    <mergeCell ref="XBE5:XBK5"/>
    <mergeCell ref="WYF5:WYL5"/>
    <mergeCell ref="WYM5:WYS5"/>
    <mergeCell ref="WYT5:WYZ5"/>
    <mergeCell ref="WZA5:WZG5"/>
    <mergeCell ref="WZH5:WZN5"/>
    <mergeCell ref="WZO5:WZU5"/>
    <mergeCell ref="WWP5:WWV5"/>
    <mergeCell ref="WWW5:WXC5"/>
    <mergeCell ref="WXD5:WXJ5"/>
    <mergeCell ref="WXK5:WXQ5"/>
    <mergeCell ref="WXR5:WXX5"/>
    <mergeCell ref="WXY5:WYE5"/>
    <mergeCell ref="WUZ5:WVF5"/>
    <mergeCell ref="WVG5:WVM5"/>
    <mergeCell ref="WVN5:WVT5"/>
    <mergeCell ref="WVU5:WWA5"/>
    <mergeCell ref="WWB5:WWH5"/>
    <mergeCell ref="WWI5:WWO5"/>
    <mergeCell ref="WTJ5:WTP5"/>
    <mergeCell ref="WTQ5:WTW5"/>
    <mergeCell ref="WTX5:WUD5"/>
    <mergeCell ref="WUE5:WUK5"/>
    <mergeCell ref="WUL5:WUR5"/>
    <mergeCell ref="WUS5:WUY5"/>
    <mergeCell ref="WRT5:WRZ5"/>
    <mergeCell ref="WSA5:WSG5"/>
    <mergeCell ref="WSH5:WSN5"/>
    <mergeCell ref="WSO5:WSU5"/>
    <mergeCell ref="WSV5:WTB5"/>
    <mergeCell ref="WTC5:WTI5"/>
    <mergeCell ref="WQD5:WQJ5"/>
    <mergeCell ref="WQK5:WQQ5"/>
    <mergeCell ref="WQR5:WQX5"/>
    <mergeCell ref="WQY5:WRE5"/>
    <mergeCell ref="WRF5:WRL5"/>
    <mergeCell ref="WRM5:WRS5"/>
    <mergeCell ref="WON5:WOT5"/>
    <mergeCell ref="WOU5:WPA5"/>
    <mergeCell ref="WPB5:WPH5"/>
    <mergeCell ref="WPI5:WPO5"/>
    <mergeCell ref="WPP5:WPV5"/>
    <mergeCell ref="WPW5:WQC5"/>
    <mergeCell ref="WMX5:WND5"/>
    <mergeCell ref="WNE5:WNK5"/>
    <mergeCell ref="WNL5:WNR5"/>
    <mergeCell ref="WNS5:WNY5"/>
    <mergeCell ref="WNZ5:WOF5"/>
    <mergeCell ref="WOG5:WOM5"/>
    <mergeCell ref="WLH5:WLN5"/>
    <mergeCell ref="WLO5:WLU5"/>
    <mergeCell ref="WLV5:WMB5"/>
    <mergeCell ref="WMC5:WMI5"/>
    <mergeCell ref="WMJ5:WMP5"/>
    <mergeCell ref="WMQ5:WMW5"/>
    <mergeCell ref="WJR5:WJX5"/>
    <mergeCell ref="WJY5:WKE5"/>
    <mergeCell ref="WKF5:WKL5"/>
    <mergeCell ref="WKM5:WKS5"/>
    <mergeCell ref="WKT5:WKZ5"/>
    <mergeCell ref="WLA5:WLG5"/>
    <mergeCell ref="WIB5:WIH5"/>
    <mergeCell ref="WII5:WIO5"/>
    <mergeCell ref="WIP5:WIV5"/>
    <mergeCell ref="WIW5:WJC5"/>
    <mergeCell ref="WJD5:WJJ5"/>
    <mergeCell ref="WJK5:WJQ5"/>
    <mergeCell ref="WGL5:WGR5"/>
    <mergeCell ref="WGS5:WGY5"/>
    <mergeCell ref="WGZ5:WHF5"/>
    <mergeCell ref="WHG5:WHM5"/>
    <mergeCell ref="WHN5:WHT5"/>
    <mergeCell ref="WHU5:WIA5"/>
    <mergeCell ref="WEV5:WFB5"/>
    <mergeCell ref="WFC5:WFI5"/>
    <mergeCell ref="WFJ5:WFP5"/>
    <mergeCell ref="WFQ5:WFW5"/>
    <mergeCell ref="WFX5:WGD5"/>
    <mergeCell ref="WGE5:WGK5"/>
    <mergeCell ref="WDF5:WDL5"/>
    <mergeCell ref="WDM5:WDS5"/>
    <mergeCell ref="WDT5:WDZ5"/>
    <mergeCell ref="WEA5:WEG5"/>
    <mergeCell ref="WEH5:WEN5"/>
    <mergeCell ref="WEO5:WEU5"/>
    <mergeCell ref="WBP5:WBV5"/>
    <mergeCell ref="WBW5:WCC5"/>
    <mergeCell ref="WCD5:WCJ5"/>
    <mergeCell ref="WCK5:WCQ5"/>
    <mergeCell ref="WCR5:WCX5"/>
    <mergeCell ref="WCY5:WDE5"/>
    <mergeCell ref="VZZ5:WAF5"/>
    <mergeCell ref="WAG5:WAM5"/>
    <mergeCell ref="WAN5:WAT5"/>
    <mergeCell ref="WAU5:WBA5"/>
    <mergeCell ref="WBB5:WBH5"/>
    <mergeCell ref="WBI5:WBO5"/>
    <mergeCell ref="VYJ5:VYP5"/>
    <mergeCell ref="VYQ5:VYW5"/>
    <mergeCell ref="VYX5:VZD5"/>
    <mergeCell ref="VZE5:VZK5"/>
    <mergeCell ref="VZL5:VZR5"/>
    <mergeCell ref="VZS5:VZY5"/>
    <mergeCell ref="VWT5:VWZ5"/>
    <mergeCell ref="VXA5:VXG5"/>
    <mergeCell ref="VXH5:VXN5"/>
    <mergeCell ref="VXO5:VXU5"/>
    <mergeCell ref="VXV5:VYB5"/>
    <mergeCell ref="VYC5:VYI5"/>
    <mergeCell ref="VVD5:VVJ5"/>
    <mergeCell ref="VVK5:VVQ5"/>
    <mergeCell ref="VVR5:VVX5"/>
    <mergeCell ref="VVY5:VWE5"/>
    <mergeCell ref="VWF5:VWL5"/>
    <mergeCell ref="VWM5:VWS5"/>
    <mergeCell ref="VTN5:VTT5"/>
    <mergeCell ref="VTU5:VUA5"/>
    <mergeCell ref="VUB5:VUH5"/>
    <mergeCell ref="VUI5:VUO5"/>
    <mergeCell ref="VUP5:VUV5"/>
    <mergeCell ref="VUW5:VVC5"/>
    <mergeCell ref="VRX5:VSD5"/>
    <mergeCell ref="VSE5:VSK5"/>
    <mergeCell ref="VSL5:VSR5"/>
    <mergeCell ref="VSS5:VSY5"/>
    <mergeCell ref="VSZ5:VTF5"/>
    <mergeCell ref="VTG5:VTM5"/>
    <mergeCell ref="VQH5:VQN5"/>
    <mergeCell ref="VQO5:VQU5"/>
    <mergeCell ref="VQV5:VRB5"/>
    <mergeCell ref="VRC5:VRI5"/>
    <mergeCell ref="VRJ5:VRP5"/>
    <mergeCell ref="VRQ5:VRW5"/>
    <mergeCell ref="VOR5:VOX5"/>
    <mergeCell ref="VOY5:VPE5"/>
    <mergeCell ref="VPF5:VPL5"/>
    <mergeCell ref="VPM5:VPS5"/>
    <mergeCell ref="VPT5:VPZ5"/>
    <mergeCell ref="VQA5:VQG5"/>
    <mergeCell ref="VNB5:VNH5"/>
    <mergeCell ref="VNI5:VNO5"/>
    <mergeCell ref="VNP5:VNV5"/>
    <mergeCell ref="VNW5:VOC5"/>
    <mergeCell ref="VOD5:VOJ5"/>
    <mergeCell ref="VOK5:VOQ5"/>
    <mergeCell ref="VLL5:VLR5"/>
    <mergeCell ref="VLS5:VLY5"/>
    <mergeCell ref="VLZ5:VMF5"/>
    <mergeCell ref="VMG5:VMM5"/>
    <mergeCell ref="VMN5:VMT5"/>
    <mergeCell ref="VMU5:VNA5"/>
    <mergeCell ref="VJV5:VKB5"/>
    <mergeCell ref="VKC5:VKI5"/>
    <mergeCell ref="VKJ5:VKP5"/>
    <mergeCell ref="VKQ5:VKW5"/>
    <mergeCell ref="VKX5:VLD5"/>
    <mergeCell ref="VLE5:VLK5"/>
    <mergeCell ref="VIF5:VIL5"/>
    <mergeCell ref="VIM5:VIS5"/>
    <mergeCell ref="VIT5:VIZ5"/>
    <mergeCell ref="VJA5:VJG5"/>
    <mergeCell ref="VJH5:VJN5"/>
    <mergeCell ref="VJO5:VJU5"/>
    <mergeCell ref="VGP5:VGV5"/>
    <mergeCell ref="VGW5:VHC5"/>
    <mergeCell ref="VHD5:VHJ5"/>
    <mergeCell ref="VHK5:VHQ5"/>
    <mergeCell ref="VHR5:VHX5"/>
    <mergeCell ref="VHY5:VIE5"/>
    <mergeCell ref="VEZ5:VFF5"/>
    <mergeCell ref="VFG5:VFM5"/>
    <mergeCell ref="VFN5:VFT5"/>
    <mergeCell ref="VFU5:VGA5"/>
    <mergeCell ref="VGB5:VGH5"/>
    <mergeCell ref="VGI5:VGO5"/>
    <mergeCell ref="VDJ5:VDP5"/>
    <mergeCell ref="VDQ5:VDW5"/>
    <mergeCell ref="VDX5:VED5"/>
    <mergeCell ref="VEE5:VEK5"/>
    <mergeCell ref="VEL5:VER5"/>
    <mergeCell ref="VES5:VEY5"/>
    <mergeCell ref="VBT5:VBZ5"/>
    <mergeCell ref="VCA5:VCG5"/>
    <mergeCell ref="VCH5:VCN5"/>
    <mergeCell ref="VCO5:VCU5"/>
    <mergeCell ref="VCV5:VDB5"/>
    <mergeCell ref="VDC5:VDI5"/>
    <mergeCell ref="VAD5:VAJ5"/>
    <mergeCell ref="VAK5:VAQ5"/>
    <mergeCell ref="VAR5:VAX5"/>
    <mergeCell ref="VAY5:VBE5"/>
    <mergeCell ref="VBF5:VBL5"/>
    <mergeCell ref="VBM5:VBS5"/>
    <mergeCell ref="UYN5:UYT5"/>
    <mergeCell ref="UYU5:UZA5"/>
    <mergeCell ref="UZB5:UZH5"/>
    <mergeCell ref="UZI5:UZO5"/>
    <mergeCell ref="UZP5:UZV5"/>
    <mergeCell ref="UZW5:VAC5"/>
    <mergeCell ref="UWX5:UXD5"/>
    <mergeCell ref="UXE5:UXK5"/>
    <mergeCell ref="UXL5:UXR5"/>
    <mergeCell ref="UXS5:UXY5"/>
    <mergeCell ref="UXZ5:UYF5"/>
    <mergeCell ref="UYG5:UYM5"/>
    <mergeCell ref="UVH5:UVN5"/>
    <mergeCell ref="UVO5:UVU5"/>
    <mergeCell ref="UVV5:UWB5"/>
    <mergeCell ref="UWC5:UWI5"/>
    <mergeCell ref="UWJ5:UWP5"/>
    <mergeCell ref="UWQ5:UWW5"/>
    <mergeCell ref="UTR5:UTX5"/>
    <mergeCell ref="UTY5:UUE5"/>
    <mergeCell ref="UUF5:UUL5"/>
    <mergeCell ref="UUM5:UUS5"/>
    <mergeCell ref="UUT5:UUZ5"/>
    <mergeCell ref="UVA5:UVG5"/>
    <mergeCell ref="USB5:USH5"/>
    <mergeCell ref="USI5:USO5"/>
    <mergeCell ref="USP5:USV5"/>
    <mergeCell ref="USW5:UTC5"/>
    <mergeCell ref="UTD5:UTJ5"/>
    <mergeCell ref="UTK5:UTQ5"/>
    <mergeCell ref="UQL5:UQR5"/>
    <mergeCell ref="UQS5:UQY5"/>
    <mergeCell ref="UQZ5:URF5"/>
    <mergeCell ref="URG5:URM5"/>
    <mergeCell ref="URN5:URT5"/>
    <mergeCell ref="URU5:USA5"/>
    <mergeCell ref="UOV5:UPB5"/>
    <mergeCell ref="UPC5:UPI5"/>
    <mergeCell ref="UPJ5:UPP5"/>
    <mergeCell ref="UPQ5:UPW5"/>
    <mergeCell ref="UPX5:UQD5"/>
    <mergeCell ref="UQE5:UQK5"/>
    <mergeCell ref="UNF5:UNL5"/>
    <mergeCell ref="UNM5:UNS5"/>
    <mergeCell ref="UNT5:UNZ5"/>
    <mergeCell ref="UOA5:UOG5"/>
    <mergeCell ref="UOH5:UON5"/>
    <mergeCell ref="UOO5:UOU5"/>
    <mergeCell ref="ULP5:ULV5"/>
    <mergeCell ref="ULW5:UMC5"/>
    <mergeCell ref="UMD5:UMJ5"/>
    <mergeCell ref="UMK5:UMQ5"/>
    <mergeCell ref="UMR5:UMX5"/>
    <mergeCell ref="UMY5:UNE5"/>
    <mergeCell ref="UJZ5:UKF5"/>
    <mergeCell ref="UKG5:UKM5"/>
    <mergeCell ref="UKN5:UKT5"/>
    <mergeCell ref="UKU5:ULA5"/>
    <mergeCell ref="ULB5:ULH5"/>
    <mergeCell ref="ULI5:ULO5"/>
    <mergeCell ref="UIJ5:UIP5"/>
    <mergeCell ref="UIQ5:UIW5"/>
    <mergeCell ref="UIX5:UJD5"/>
    <mergeCell ref="UJE5:UJK5"/>
    <mergeCell ref="UJL5:UJR5"/>
    <mergeCell ref="UJS5:UJY5"/>
    <mergeCell ref="UGT5:UGZ5"/>
    <mergeCell ref="UHA5:UHG5"/>
    <mergeCell ref="UHH5:UHN5"/>
    <mergeCell ref="UHO5:UHU5"/>
    <mergeCell ref="UHV5:UIB5"/>
    <mergeCell ref="UIC5:UII5"/>
    <mergeCell ref="UFD5:UFJ5"/>
    <mergeCell ref="UFK5:UFQ5"/>
    <mergeCell ref="UFR5:UFX5"/>
    <mergeCell ref="UFY5:UGE5"/>
    <mergeCell ref="UGF5:UGL5"/>
    <mergeCell ref="UGM5:UGS5"/>
    <mergeCell ref="UDN5:UDT5"/>
    <mergeCell ref="UDU5:UEA5"/>
    <mergeCell ref="UEB5:UEH5"/>
    <mergeCell ref="UEI5:UEO5"/>
    <mergeCell ref="UEP5:UEV5"/>
    <mergeCell ref="UEW5:UFC5"/>
    <mergeCell ref="UBX5:UCD5"/>
    <mergeCell ref="UCE5:UCK5"/>
    <mergeCell ref="UCL5:UCR5"/>
    <mergeCell ref="UCS5:UCY5"/>
    <mergeCell ref="UCZ5:UDF5"/>
    <mergeCell ref="UDG5:UDM5"/>
    <mergeCell ref="UAH5:UAN5"/>
    <mergeCell ref="UAO5:UAU5"/>
    <mergeCell ref="UAV5:UBB5"/>
    <mergeCell ref="UBC5:UBI5"/>
    <mergeCell ref="UBJ5:UBP5"/>
    <mergeCell ref="UBQ5:UBW5"/>
    <mergeCell ref="TYR5:TYX5"/>
    <mergeCell ref="TYY5:TZE5"/>
    <mergeCell ref="TZF5:TZL5"/>
    <mergeCell ref="TZM5:TZS5"/>
    <mergeCell ref="TZT5:TZZ5"/>
    <mergeCell ref="UAA5:UAG5"/>
    <mergeCell ref="TXB5:TXH5"/>
    <mergeCell ref="TXI5:TXO5"/>
    <mergeCell ref="TXP5:TXV5"/>
    <mergeCell ref="TXW5:TYC5"/>
    <mergeCell ref="TYD5:TYJ5"/>
    <mergeCell ref="TYK5:TYQ5"/>
    <mergeCell ref="TVL5:TVR5"/>
    <mergeCell ref="TVS5:TVY5"/>
    <mergeCell ref="TVZ5:TWF5"/>
    <mergeCell ref="TWG5:TWM5"/>
    <mergeCell ref="TWN5:TWT5"/>
    <mergeCell ref="TWU5:TXA5"/>
    <mergeCell ref="TTV5:TUB5"/>
    <mergeCell ref="TUC5:TUI5"/>
    <mergeCell ref="TUJ5:TUP5"/>
    <mergeCell ref="TUQ5:TUW5"/>
    <mergeCell ref="TUX5:TVD5"/>
    <mergeCell ref="TVE5:TVK5"/>
    <mergeCell ref="TSF5:TSL5"/>
    <mergeCell ref="TSM5:TSS5"/>
    <mergeCell ref="TST5:TSZ5"/>
    <mergeCell ref="TTA5:TTG5"/>
    <mergeCell ref="TTH5:TTN5"/>
    <mergeCell ref="TTO5:TTU5"/>
    <mergeCell ref="TQP5:TQV5"/>
    <mergeCell ref="TQW5:TRC5"/>
    <mergeCell ref="TRD5:TRJ5"/>
    <mergeCell ref="TRK5:TRQ5"/>
    <mergeCell ref="TRR5:TRX5"/>
    <mergeCell ref="TRY5:TSE5"/>
    <mergeCell ref="TOZ5:TPF5"/>
    <mergeCell ref="TPG5:TPM5"/>
    <mergeCell ref="TPN5:TPT5"/>
    <mergeCell ref="TPU5:TQA5"/>
    <mergeCell ref="TQB5:TQH5"/>
    <mergeCell ref="TQI5:TQO5"/>
    <mergeCell ref="TNJ5:TNP5"/>
    <mergeCell ref="TNQ5:TNW5"/>
    <mergeCell ref="TNX5:TOD5"/>
    <mergeCell ref="TOE5:TOK5"/>
    <mergeCell ref="TOL5:TOR5"/>
    <mergeCell ref="TOS5:TOY5"/>
    <mergeCell ref="TLT5:TLZ5"/>
    <mergeCell ref="TMA5:TMG5"/>
    <mergeCell ref="TMH5:TMN5"/>
    <mergeCell ref="TMO5:TMU5"/>
    <mergeCell ref="TMV5:TNB5"/>
    <mergeCell ref="TNC5:TNI5"/>
    <mergeCell ref="TKD5:TKJ5"/>
    <mergeCell ref="TKK5:TKQ5"/>
    <mergeCell ref="TKR5:TKX5"/>
    <mergeCell ref="TKY5:TLE5"/>
    <mergeCell ref="TLF5:TLL5"/>
    <mergeCell ref="TLM5:TLS5"/>
    <mergeCell ref="TIN5:TIT5"/>
    <mergeCell ref="TIU5:TJA5"/>
    <mergeCell ref="TJB5:TJH5"/>
    <mergeCell ref="TJI5:TJO5"/>
    <mergeCell ref="TJP5:TJV5"/>
    <mergeCell ref="TJW5:TKC5"/>
    <mergeCell ref="TGX5:THD5"/>
    <mergeCell ref="THE5:THK5"/>
    <mergeCell ref="THL5:THR5"/>
    <mergeCell ref="THS5:THY5"/>
    <mergeCell ref="THZ5:TIF5"/>
    <mergeCell ref="TIG5:TIM5"/>
    <mergeCell ref="TFH5:TFN5"/>
    <mergeCell ref="TFO5:TFU5"/>
    <mergeCell ref="TFV5:TGB5"/>
    <mergeCell ref="TGC5:TGI5"/>
    <mergeCell ref="TGJ5:TGP5"/>
    <mergeCell ref="TGQ5:TGW5"/>
    <mergeCell ref="TDR5:TDX5"/>
    <mergeCell ref="TDY5:TEE5"/>
    <mergeCell ref="TEF5:TEL5"/>
    <mergeCell ref="TEM5:TES5"/>
    <mergeCell ref="TET5:TEZ5"/>
    <mergeCell ref="TFA5:TFG5"/>
    <mergeCell ref="TCB5:TCH5"/>
    <mergeCell ref="TCI5:TCO5"/>
    <mergeCell ref="TCP5:TCV5"/>
    <mergeCell ref="TCW5:TDC5"/>
    <mergeCell ref="TDD5:TDJ5"/>
    <mergeCell ref="TDK5:TDQ5"/>
    <mergeCell ref="TAL5:TAR5"/>
    <mergeCell ref="TAS5:TAY5"/>
    <mergeCell ref="TAZ5:TBF5"/>
    <mergeCell ref="TBG5:TBM5"/>
    <mergeCell ref="TBN5:TBT5"/>
    <mergeCell ref="TBU5:TCA5"/>
    <mergeCell ref="SYV5:SZB5"/>
    <mergeCell ref="SZC5:SZI5"/>
    <mergeCell ref="SZJ5:SZP5"/>
    <mergeCell ref="SZQ5:SZW5"/>
    <mergeCell ref="SZX5:TAD5"/>
    <mergeCell ref="TAE5:TAK5"/>
    <mergeCell ref="SXF5:SXL5"/>
    <mergeCell ref="SXM5:SXS5"/>
    <mergeCell ref="SXT5:SXZ5"/>
    <mergeCell ref="SYA5:SYG5"/>
    <mergeCell ref="SYH5:SYN5"/>
    <mergeCell ref="SYO5:SYU5"/>
    <mergeCell ref="SVP5:SVV5"/>
    <mergeCell ref="SVW5:SWC5"/>
    <mergeCell ref="SWD5:SWJ5"/>
    <mergeCell ref="SWK5:SWQ5"/>
    <mergeCell ref="SWR5:SWX5"/>
    <mergeCell ref="SWY5:SXE5"/>
    <mergeCell ref="STZ5:SUF5"/>
    <mergeCell ref="SUG5:SUM5"/>
    <mergeCell ref="SUN5:SUT5"/>
    <mergeCell ref="SUU5:SVA5"/>
    <mergeCell ref="SVB5:SVH5"/>
    <mergeCell ref="SVI5:SVO5"/>
    <mergeCell ref="SSJ5:SSP5"/>
    <mergeCell ref="SSQ5:SSW5"/>
    <mergeCell ref="SSX5:STD5"/>
    <mergeCell ref="STE5:STK5"/>
    <mergeCell ref="STL5:STR5"/>
    <mergeCell ref="STS5:STY5"/>
    <mergeCell ref="SQT5:SQZ5"/>
    <mergeCell ref="SRA5:SRG5"/>
    <mergeCell ref="SRH5:SRN5"/>
    <mergeCell ref="SRO5:SRU5"/>
    <mergeCell ref="SRV5:SSB5"/>
    <mergeCell ref="SSC5:SSI5"/>
    <mergeCell ref="SPD5:SPJ5"/>
    <mergeCell ref="SPK5:SPQ5"/>
    <mergeCell ref="SPR5:SPX5"/>
    <mergeCell ref="SPY5:SQE5"/>
    <mergeCell ref="SQF5:SQL5"/>
    <mergeCell ref="SQM5:SQS5"/>
    <mergeCell ref="SNN5:SNT5"/>
    <mergeCell ref="SNU5:SOA5"/>
    <mergeCell ref="SOB5:SOH5"/>
    <mergeCell ref="SOI5:SOO5"/>
    <mergeCell ref="SOP5:SOV5"/>
    <mergeCell ref="SOW5:SPC5"/>
    <mergeCell ref="SLX5:SMD5"/>
    <mergeCell ref="SME5:SMK5"/>
    <mergeCell ref="SML5:SMR5"/>
    <mergeCell ref="SMS5:SMY5"/>
    <mergeCell ref="SMZ5:SNF5"/>
    <mergeCell ref="SNG5:SNM5"/>
    <mergeCell ref="SKH5:SKN5"/>
    <mergeCell ref="SKO5:SKU5"/>
    <mergeCell ref="SKV5:SLB5"/>
    <mergeCell ref="SLC5:SLI5"/>
    <mergeCell ref="SLJ5:SLP5"/>
    <mergeCell ref="SLQ5:SLW5"/>
    <mergeCell ref="SIR5:SIX5"/>
    <mergeCell ref="SIY5:SJE5"/>
    <mergeCell ref="SJF5:SJL5"/>
    <mergeCell ref="SJM5:SJS5"/>
    <mergeCell ref="SJT5:SJZ5"/>
    <mergeCell ref="SKA5:SKG5"/>
    <mergeCell ref="SHB5:SHH5"/>
    <mergeCell ref="SHI5:SHO5"/>
    <mergeCell ref="SHP5:SHV5"/>
    <mergeCell ref="SHW5:SIC5"/>
    <mergeCell ref="SID5:SIJ5"/>
    <mergeCell ref="SIK5:SIQ5"/>
    <mergeCell ref="SFL5:SFR5"/>
    <mergeCell ref="SFS5:SFY5"/>
    <mergeCell ref="SFZ5:SGF5"/>
    <mergeCell ref="SGG5:SGM5"/>
    <mergeCell ref="SGN5:SGT5"/>
    <mergeCell ref="SGU5:SHA5"/>
    <mergeCell ref="SDV5:SEB5"/>
    <mergeCell ref="SEC5:SEI5"/>
    <mergeCell ref="SEJ5:SEP5"/>
    <mergeCell ref="SEQ5:SEW5"/>
    <mergeCell ref="SEX5:SFD5"/>
    <mergeCell ref="SFE5:SFK5"/>
    <mergeCell ref="SCF5:SCL5"/>
    <mergeCell ref="SCM5:SCS5"/>
    <mergeCell ref="SCT5:SCZ5"/>
    <mergeCell ref="SDA5:SDG5"/>
    <mergeCell ref="SDH5:SDN5"/>
    <mergeCell ref="SDO5:SDU5"/>
    <mergeCell ref="SAP5:SAV5"/>
    <mergeCell ref="SAW5:SBC5"/>
    <mergeCell ref="SBD5:SBJ5"/>
    <mergeCell ref="SBK5:SBQ5"/>
    <mergeCell ref="SBR5:SBX5"/>
    <mergeCell ref="SBY5:SCE5"/>
    <mergeCell ref="RYZ5:RZF5"/>
    <mergeCell ref="RZG5:RZM5"/>
    <mergeCell ref="RZN5:RZT5"/>
    <mergeCell ref="RZU5:SAA5"/>
    <mergeCell ref="SAB5:SAH5"/>
    <mergeCell ref="SAI5:SAO5"/>
    <mergeCell ref="RXJ5:RXP5"/>
    <mergeCell ref="RXQ5:RXW5"/>
    <mergeCell ref="RXX5:RYD5"/>
    <mergeCell ref="RYE5:RYK5"/>
    <mergeCell ref="RYL5:RYR5"/>
    <mergeCell ref="RYS5:RYY5"/>
    <mergeCell ref="RVT5:RVZ5"/>
    <mergeCell ref="RWA5:RWG5"/>
    <mergeCell ref="RWH5:RWN5"/>
    <mergeCell ref="RWO5:RWU5"/>
    <mergeCell ref="RWV5:RXB5"/>
    <mergeCell ref="RXC5:RXI5"/>
    <mergeCell ref="RUD5:RUJ5"/>
    <mergeCell ref="RUK5:RUQ5"/>
    <mergeCell ref="RUR5:RUX5"/>
    <mergeCell ref="RUY5:RVE5"/>
    <mergeCell ref="RVF5:RVL5"/>
    <mergeCell ref="RVM5:RVS5"/>
    <mergeCell ref="RSN5:RST5"/>
    <mergeCell ref="RSU5:RTA5"/>
    <mergeCell ref="RTB5:RTH5"/>
    <mergeCell ref="RTI5:RTO5"/>
    <mergeCell ref="RTP5:RTV5"/>
    <mergeCell ref="RTW5:RUC5"/>
    <mergeCell ref="RQX5:RRD5"/>
    <mergeCell ref="RRE5:RRK5"/>
    <mergeCell ref="RRL5:RRR5"/>
    <mergeCell ref="RRS5:RRY5"/>
    <mergeCell ref="RRZ5:RSF5"/>
    <mergeCell ref="RSG5:RSM5"/>
    <mergeCell ref="RPH5:RPN5"/>
    <mergeCell ref="RPO5:RPU5"/>
    <mergeCell ref="RPV5:RQB5"/>
    <mergeCell ref="RQC5:RQI5"/>
    <mergeCell ref="RQJ5:RQP5"/>
    <mergeCell ref="RQQ5:RQW5"/>
    <mergeCell ref="RNR5:RNX5"/>
    <mergeCell ref="RNY5:ROE5"/>
    <mergeCell ref="ROF5:ROL5"/>
    <mergeCell ref="ROM5:ROS5"/>
    <mergeCell ref="ROT5:ROZ5"/>
    <mergeCell ref="RPA5:RPG5"/>
    <mergeCell ref="RMB5:RMH5"/>
    <mergeCell ref="RMI5:RMO5"/>
    <mergeCell ref="RMP5:RMV5"/>
    <mergeCell ref="RMW5:RNC5"/>
    <mergeCell ref="RND5:RNJ5"/>
    <mergeCell ref="RNK5:RNQ5"/>
    <mergeCell ref="RKL5:RKR5"/>
    <mergeCell ref="RKS5:RKY5"/>
    <mergeCell ref="RKZ5:RLF5"/>
    <mergeCell ref="RLG5:RLM5"/>
    <mergeCell ref="RLN5:RLT5"/>
    <mergeCell ref="RLU5:RMA5"/>
    <mergeCell ref="RIV5:RJB5"/>
    <mergeCell ref="RJC5:RJI5"/>
    <mergeCell ref="RJJ5:RJP5"/>
    <mergeCell ref="RJQ5:RJW5"/>
    <mergeCell ref="RJX5:RKD5"/>
    <mergeCell ref="RKE5:RKK5"/>
    <mergeCell ref="RHF5:RHL5"/>
    <mergeCell ref="RHM5:RHS5"/>
    <mergeCell ref="RHT5:RHZ5"/>
    <mergeCell ref="RIA5:RIG5"/>
    <mergeCell ref="RIH5:RIN5"/>
    <mergeCell ref="RIO5:RIU5"/>
    <mergeCell ref="RFP5:RFV5"/>
    <mergeCell ref="RFW5:RGC5"/>
    <mergeCell ref="RGD5:RGJ5"/>
    <mergeCell ref="RGK5:RGQ5"/>
    <mergeCell ref="RGR5:RGX5"/>
    <mergeCell ref="RGY5:RHE5"/>
    <mergeCell ref="RDZ5:REF5"/>
    <mergeCell ref="REG5:REM5"/>
    <mergeCell ref="REN5:RET5"/>
    <mergeCell ref="REU5:RFA5"/>
    <mergeCell ref="RFB5:RFH5"/>
    <mergeCell ref="RFI5:RFO5"/>
    <mergeCell ref="RCJ5:RCP5"/>
    <mergeCell ref="RCQ5:RCW5"/>
    <mergeCell ref="RCX5:RDD5"/>
    <mergeCell ref="RDE5:RDK5"/>
    <mergeCell ref="RDL5:RDR5"/>
    <mergeCell ref="RDS5:RDY5"/>
    <mergeCell ref="RAT5:RAZ5"/>
    <mergeCell ref="RBA5:RBG5"/>
    <mergeCell ref="RBH5:RBN5"/>
    <mergeCell ref="RBO5:RBU5"/>
    <mergeCell ref="RBV5:RCB5"/>
    <mergeCell ref="RCC5:RCI5"/>
    <mergeCell ref="QZD5:QZJ5"/>
    <mergeCell ref="QZK5:QZQ5"/>
    <mergeCell ref="QZR5:QZX5"/>
    <mergeCell ref="QZY5:RAE5"/>
    <mergeCell ref="RAF5:RAL5"/>
    <mergeCell ref="RAM5:RAS5"/>
    <mergeCell ref="QXN5:QXT5"/>
    <mergeCell ref="QXU5:QYA5"/>
    <mergeCell ref="QYB5:QYH5"/>
    <mergeCell ref="QYI5:QYO5"/>
    <mergeCell ref="QYP5:QYV5"/>
    <mergeCell ref="QYW5:QZC5"/>
    <mergeCell ref="QVX5:QWD5"/>
    <mergeCell ref="QWE5:QWK5"/>
    <mergeCell ref="QWL5:QWR5"/>
    <mergeCell ref="QWS5:QWY5"/>
    <mergeCell ref="QWZ5:QXF5"/>
    <mergeCell ref="QXG5:QXM5"/>
    <mergeCell ref="QUH5:QUN5"/>
    <mergeCell ref="QUO5:QUU5"/>
    <mergeCell ref="QUV5:QVB5"/>
    <mergeCell ref="QVC5:QVI5"/>
    <mergeCell ref="QVJ5:QVP5"/>
    <mergeCell ref="QVQ5:QVW5"/>
    <mergeCell ref="QSR5:QSX5"/>
    <mergeCell ref="QSY5:QTE5"/>
    <mergeCell ref="QTF5:QTL5"/>
    <mergeCell ref="QTM5:QTS5"/>
    <mergeCell ref="QTT5:QTZ5"/>
    <mergeCell ref="QUA5:QUG5"/>
    <mergeCell ref="QRB5:QRH5"/>
    <mergeCell ref="QRI5:QRO5"/>
    <mergeCell ref="QRP5:QRV5"/>
    <mergeCell ref="QRW5:QSC5"/>
    <mergeCell ref="QSD5:QSJ5"/>
    <mergeCell ref="QSK5:QSQ5"/>
    <mergeCell ref="QPL5:QPR5"/>
    <mergeCell ref="QPS5:QPY5"/>
    <mergeCell ref="QPZ5:QQF5"/>
    <mergeCell ref="QQG5:QQM5"/>
    <mergeCell ref="QQN5:QQT5"/>
    <mergeCell ref="QQU5:QRA5"/>
    <mergeCell ref="QNV5:QOB5"/>
    <mergeCell ref="QOC5:QOI5"/>
    <mergeCell ref="QOJ5:QOP5"/>
    <mergeCell ref="QOQ5:QOW5"/>
    <mergeCell ref="QOX5:QPD5"/>
    <mergeCell ref="QPE5:QPK5"/>
    <mergeCell ref="QMF5:QML5"/>
    <mergeCell ref="QMM5:QMS5"/>
    <mergeCell ref="QMT5:QMZ5"/>
    <mergeCell ref="QNA5:QNG5"/>
    <mergeCell ref="QNH5:QNN5"/>
    <mergeCell ref="QNO5:QNU5"/>
    <mergeCell ref="QKP5:QKV5"/>
    <mergeCell ref="QKW5:QLC5"/>
    <mergeCell ref="QLD5:QLJ5"/>
    <mergeCell ref="QLK5:QLQ5"/>
    <mergeCell ref="QLR5:QLX5"/>
    <mergeCell ref="QLY5:QME5"/>
    <mergeCell ref="QIZ5:QJF5"/>
    <mergeCell ref="QJG5:QJM5"/>
    <mergeCell ref="QJN5:QJT5"/>
    <mergeCell ref="QJU5:QKA5"/>
    <mergeCell ref="QKB5:QKH5"/>
    <mergeCell ref="QKI5:QKO5"/>
    <mergeCell ref="QHJ5:QHP5"/>
    <mergeCell ref="QHQ5:QHW5"/>
    <mergeCell ref="QHX5:QID5"/>
    <mergeCell ref="QIE5:QIK5"/>
    <mergeCell ref="QIL5:QIR5"/>
    <mergeCell ref="QIS5:QIY5"/>
    <mergeCell ref="QFT5:QFZ5"/>
    <mergeCell ref="QGA5:QGG5"/>
    <mergeCell ref="QGH5:QGN5"/>
    <mergeCell ref="QGO5:QGU5"/>
    <mergeCell ref="QGV5:QHB5"/>
    <mergeCell ref="QHC5:QHI5"/>
    <mergeCell ref="QED5:QEJ5"/>
    <mergeCell ref="QEK5:QEQ5"/>
    <mergeCell ref="QER5:QEX5"/>
    <mergeCell ref="QEY5:QFE5"/>
    <mergeCell ref="QFF5:QFL5"/>
    <mergeCell ref="QFM5:QFS5"/>
    <mergeCell ref="QCN5:QCT5"/>
    <mergeCell ref="QCU5:QDA5"/>
    <mergeCell ref="QDB5:QDH5"/>
    <mergeCell ref="QDI5:QDO5"/>
    <mergeCell ref="QDP5:QDV5"/>
    <mergeCell ref="QDW5:QEC5"/>
    <mergeCell ref="QAX5:QBD5"/>
    <mergeCell ref="QBE5:QBK5"/>
    <mergeCell ref="QBL5:QBR5"/>
    <mergeCell ref="QBS5:QBY5"/>
    <mergeCell ref="QBZ5:QCF5"/>
    <mergeCell ref="QCG5:QCM5"/>
    <mergeCell ref="PZH5:PZN5"/>
    <mergeCell ref="PZO5:PZU5"/>
    <mergeCell ref="PZV5:QAB5"/>
    <mergeCell ref="QAC5:QAI5"/>
    <mergeCell ref="QAJ5:QAP5"/>
    <mergeCell ref="QAQ5:QAW5"/>
    <mergeCell ref="PXR5:PXX5"/>
    <mergeCell ref="PXY5:PYE5"/>
    <mergeCell ref="PYF5:PYL5"/>
    <mergeCell ref="PYM5:PYS5"/>
    <mergeCell ref="PYT5:PYZ5"/>
    <mergeCell ref="PZA5:PZG5"/>
    <mergeCell ref="PWB5:PWH5"/>
    <mergeCell ref="PWI5:PWO5"/>
    <mergeCell ref="PWP5:PWV5"/>
    <mergeCell ref="PWW5:PXC5"/>
    <mergeCell ref="PXD5:PXJ5"/>
    <mergeCell ref="PXK5:PXQ5"/>
    <mergeCell ref="PUL5:PUR5"/>
    <mergeCell ref="PUS5:PUY5"/>
    <mergeCell ref="PUZ5:PVF5"/>
    <mergeCell ref="PVG5:PVM5"/>
    <mergeCell ref="PVN5:PVT5"/>
    <mergeCell ref="PVU5:PWA5"/>
    <mergeCell ref="PSV5:PTB5"/>
    <mergeCell ref="PTC5:PTI5"/>
    <mergeCell ref="PTJ5:PTP5"/>
    <mergeCell ref="PTQ5:PTW5"/>
    <mergeCell ref="PTX5:PUD5"/>
    <mergeCell ref="PUE5:PUK5"/>
    <mergeCell ref="PRF5:PRL5"/>
    <mergeCell ref="PRM5:PRS5"/>
    <mergeCell ref="PRT5:PRZ5"/>
    <mergeCell ref="PSA5:PSG5"/>
    <mergeCell ref="PSH5:PSN5"/>
    <mergeCell ref="PSO5:PSU5"/>
    <mergeCell ref="PPP5:PPV5"/>
    <mergeCell ref="PPW5:PQC5"/>
    <mergeCell ref="PQD5:PQJ5"/>
    <mergeCell ref="PQK5:PQQ5"/>
    <mergeCell ref="PQR5:PQX5"/>
    <mergeCell ref="PQY5:PRE5"/>
    <mergeCell ref="PNZ5:POF5"/>
    <mergeCell ref="POG5:POM5"/>
    <mergeCell ref="PON5:POT5"/>
    <mergeCell ref="POU5:PPA5"/>
    <mergeCell ref="PPB5:PPH5"/>
    <mergeCell ref="PPI5:PPO5"/>
    <mergeCell ref="PMJ5:PMP5"/>
    <mergeCell ref="PMQ5:PMW5"/>
    <mergeCell ref="PMX5:PND5"/>
    <mergeCell ref="PNE5:PNK5"/>
    <mergeCell ref="PNL5:PNR5"/>
    <mergeCell ref="PNS5:PNY5"/>
    <mergeCell ref="PKT5:PKZ5"/>
    <mergeCell ref="PLA5:PLG5"/>
    <mergeCell ref="PLH5:PLN5"/>
    <mergeCell ref="PLO5:PLU5"/>
    <mergeCell ref="PLV5:PMB5"/>
    <mergeCell ref="PMC5:PMI5"/>
    <mergeCell ref="PJD5:PJJ5"/>
    <mergeCell ref="PJK5:PJQ5"/>
    <mergeCell ref="PJR5:PJX5"/>
    <mergeCell ref="PJY5:PKE5"/>
    <mergeCell ref="PKF5:PKL5"/>
    <mergeCell ref="PKM5:PKS5"/>
    <mergeCell ref="PHN5:PHT5"/>
    <mergeCell ref="PHU5:PIA5"/>
    <mergeCell ref="PIB5:PIH5"/>
    <mergeCell ref="PII5:PIO5"/>
    <mergeCell ref="PIP5:PIV5"/>
    <mergeCell ref="PIW5:PJC5"/>
    <mergeCell ref="PFX5:PGD5"/>
    <mergeCell ref="PGE5:PGK5"/>
    <mergeCell ref="PGL5:PGR5"/>
    <mergeCell ref="PGS5:PGY5"/>
    <mergeCell ref="PGZ5:PHF5"/>
    <mergeCell ref="PHG5:PHM5"/>
    <mergeCell ref="PEH5:PEN5"/>
    <mergeCell ref="PEO5:PEU5"/>
    <mergeCell ref="PEV5:PFB5"/>
    <mergeCell ref="PFC5:PFI5"/>
    <mergeCell ref="PFJ5:PFP5"/>
    <mergeCell ref="PFQ5:PFW5"/>
    <mergeCell ref="PCR5:PCX5"/>
    <mergeCell ref="PCY5:PDE5"/>
    <mergeCell ref="PDF5:PDL5"/>
    <mergeCell ref="PDM5:PDS5"/>
    <mergeCell ref="PDT5:PDZ5"/>
    <mergeCell ref="PEA5:PEG5"/>
    <mergeCell ref="PBB5:PBH5"/>
    <mergeCell ref="PBI5:PBO5"/>
    <mergeCell ref="PBP5:PBV5"/>
    <mergeCell ref="PBW5:PCC5"/>
    <mergeCell ref="PCD5:PCJ5"/>
    <mergeCell ref="PCK5:PCQ5"/>
    <mergeCell ref="OZL5:OZR5"/>
    <mergeCell ref="OZS5:OZY5"/>
    <mergeCell ref="OZZ5:PAF5"/>
    <mergeCell ref="PAG5:PAM5"/>
    <mergeCell ref="PAN5:PAT5"/>
    <mergeCell ref="PAU5:PBA5"/>
    <mergeCell ref="OXV5:OYB5"/>
    <mergeCell ref="OYC5:OYI5"/>
    <mergeCell ref="OYJ5:OYP5"/>
    <mergeCell ref="OYQ5:OYW5"/>
    <mergeCell ref="OYX5:OZD5"/>
    <mergeCell ref="OZE5:OZK5"/>
    <mergeCell ref="OWF5:OWL5"/>
    <mergeCell ref="OWM5:OWS5"/>
    <mergeCell ref="OWT5:OWZ5"/>
    <mergeCell ref="OXA5:OXG5"/>
    <mergeCell ref="OXH5:OXN5"/>
    <mergeCell ref="OXO5:OXU5"/>
    <mergeCell ref="OUP5:OUV5"/>
    <mergeCell ref="OUW5:OVC5"/>
    <mergeCell ref="OVD5:OVJ5"/>
    <mergeCell ref="OVK5:OVQ5"/>
    <mergeCell ref="OVR5:OVX5"/>
    <mergeCell ref="OVY5:OWE5"/>
    <mergeCell ref="OSZ5:OTF5"/>
    <mergeCell ref="OTG5:OTM5"/>
    <mergeCell ref="OTN5:OTT5"/>
    <mergeCell ref="OTU5:OUA5"/>
    <mergeCell ref="OUB5:OUH5"/>
    <mergeCell ref="OUI5:OUO5"/>
    <mergeCell ref="ORJ5:ORP5"/>
    <mergeCell ref="ORQ5:ORW5"/>
    <mergeCell ref="ORX5:OSD5"/>
    <mergeCell ref="OSE5:OSK5"/>
    <mergeCell ref="OSL5:OSR5"/>
    <mergeCell ref="OSS5:OSY5"/>
    <mergeCell ref="OPT5:OPZ5"/>
    <mergeCell ref="OQA5:OQG5"/>
    <mergeCell ref="OQH5:OQN5"/>
    <mergeCell ref="OQO5:OQU5"/>
    <mergeCell ref="OQV5:ORB5"/>
    <mergeCell ref="ORC5:ORI5"/>
    <mergeCell ref="OOD5:OOJ5"/>
    <mergeCell ref="OOK5:OOQ5"/>
    <mergeCell ref="OOR5:OOX5"/>
    <mergeCell ref="OOY5:OPE5"/>
    <mergeCell ref="OPF5:OPL5"/>
    <mergeCell ref="OPM5:OPS5"/>
    <mergeCell ref="OMN5:OMT5"/>
    <mergeCell ref="OMU5:ONA5"/>
    <mergeCell ref="ONB5:ONH5"/>
    <mergeCell ref="ONI5:ONO5"/>
    <mergeCell ref="ONP5:ONV5"/>
    <mergeCell ref="ONW5:OOC5"/>
    <mergeCell ref="OKX5:OLD5"/>
    <mergeCell ref="OLE5:OLK5"/>
    <mergeCell ref="OLL5:OLR5"/>
    <mergeCell ref="OLS5:OLY5"/>
    <mergeCell ref="OLZ5:OMF5"/>
    <mergeCell ref="OMG5:OMM5"/>
    <mergeCell ref="OJH5:OJN5"/>
    <mergeCell ref="OJO5:OJU5"/>
    <mergeCell ref="OJV5:OKB5"/>
    <mergeCell ref="OKC5:OKI5"/>
    <mergeCell ref="OKJ5:OKP5"/>
    <mergeCell ref="OKQ5:OKW5"/>
    <mergeCell ref="OHR5:OHX5"/>
    <mergeCell ref="OHY5:OIE5"/>
    <mergeCell ref="OIF5:OIL5"/>
    <mergeCell ref="OIM5:OIS5"/>
    <mergeCell ref="OIT5:OIZ5"/>
    <mergeCell ref="OJA5:OJG5"/>
    <mergeCell ref="OGB5:OGH5"/>
    <mergeCell ref="OGI5:OGO5"/>
    <mergeCell ref="OGP5:OGV5"/>
    <mergeCell ref="OGW5:OHC5"/>
    <mergeCell ref="OHD5:OHJ5"/>
    <mergeCell ref="OHK5:OHQ5"/>
    <mergeCell ref="OEL5:OER5"/>
    <mergeCell ref="OES5:OEY5"/>
    <mergeCell ref="OEZ5:OFF5"/>
    <mergeCell ref="OFG5:OFM5"/>
    <mergeCell ref="OFN5:OFT5"/>
    <mergeCell ref="OFU5:OGA5"/>
    <mergeCell ref="OCV5:ODB5"/>
    <mergeCell ref="ODC5:ODI5"/>
    <mergeCell ref="ODJ5:ODP5"/>
    <mergeCell ref="ODQ5:ODW5"/>
    <mergeCell ref="ODX5:OED5"/>
    <mergeCell ref="OEE5:OEK5"/>
    <mergeCell ref="OBF5:OBL5"/>
    <mergeCell ref="OBM5:OBS5"/>
    <mergeCell ref="OBT5:OBZ5"/>
    <mergeCell ref="OCA5:OCG5"/>
    <mergeCell ref="OCH5:OCN5"/>
    <mergeCell ref="OCO5:OCU5"/>
    <mergeCell ref="NZP5:NZV5"/>
    <mergeCell ref="NZW5:OAC5"/>
    <mergeCell ref="OAD5:OAJ5"/>
    <mergeCell ref="OAK5:OAQ5"/>
    <mergeCell ref="OAR5:OAX5"/>
    <mergeCell ref="OAY5:OBE5"/>
    <mergeCell ref="NXZ5:NYF5"/>
    <mergeCell ref="NYG5:NYM5"/>
    <mergeCell ref="NYN5:NYT5"/>
    <mergeCell ref="NYU5:NZA5"/>
    <mergeCell ref="NZB5:NZH5"/>
    <mergeCell ref="NZI5:NZO5"/>
    <mergeCell ref="NWJ5:NWP5"/>
    <mergeCell ref="NWQ5:NWW5"/>
    <mergeCell ref="NWX5:NXD5"/>
    <mergeCell ref="NXE5:NXK5"/>
    <mergeCell ref="NXL5:NXR5"/>
    <mergeCell ref="NXS5:NXY5"/>
    <mergeCell ref="NUT5:NUZ5"/>
    <mergeCell ref="NVA5:NVG5"/>
    <mergeCell ref="NVH5:NVN5"/>
    <mergeCell ref="NVO5:NVU5"/>
    <mergeCell ref="NVV5:NWB5"/>
    <mergeCell ref="NWC5:NWI5"/>
    <mergeCell ref="NTD5:NTJ5"/>
    <mergeCell ref="NTK5:NTQ5"/>
    <mergeCell ref="NTR5:NTX5"/>
    <mergeCell ref="NTY5:NUE5"/>
    <mergeCell ref="NUF5:NUL5"/>
    <mergeCell ref="NUM5:NUS5"/>
    <mergeCell ref="NRN5:NRT5"/>
    <mergeCell ref="NRU5:NSA5"/>
    <mergeCell ref="NSB5:NSH5"/>
    <mergeCell ref="NSI5:NSO5"/>
    <mergeCell ref="NSP5:NSV5"/>
    <mergeCell ref="NSW5:NTC5"/>
    <mergeCell ref="NPX5:NQD5"/>
    <mergeCell ref="NQE5:NQK5"/>
    <mergeCell ref="NQL5:NQR5"/>
    <mergeCell ref="NQS5:NQY5"/>
    <mergeCell ref="NQZ5:NRF5"/>
    <mergeCell ref="NRG5:NRM5"/>
    <mergeCell ref="NOH5:NON5"/>
    <mergeCell ref="NOO5:NOU5"/>
    <mergeCell ref="NOV5:NPB5"/>
    <mergeCell ref="NPC5:NPI5"/>
    <mergeCell ref="NPJ5:NPP5"/>
    <mergeCell ref="NPQ5:NPW5"/>
    <mergeCell ref="NMR5:NMX5"/>
    <mergeCell ref="NMY5:NNE5"/>
    <mergeCell ref="NNF5:NNL5"/>
    <mergeCell ref="NNM5:NNS5"/>
    <mergeCell ref="NNT5:NNZ5"/>
    <mergeCell ref="NOA5:NOG5"/>
    <mergeCell ref="NLB5:NLH5"/>
    <mergeCell ref="NLI5:NLO5"/>
    <mergeCell ref="NLP5:NLV5"/>
    <mergeCell ref="NLW5:NMC5"/>
    <mergeCell ref="NMD5:NMJ5"/>
    <mergeCell ref="NMK5:NMQ5"/>
    <mergeCell ref="NJL5:NJR5"/>
    <mergeCell ref="NJS5:NJY5"/>
    <mergeCell ref="NJZ5:NKF5"/>
    <mergeCell ref="NKG5:NKM5"/>
    <mergeCell ref="NKN5:NKT5"/>
    <mergeCell ref="NKU5:NLA5"/>
    <mergeCell ref="NHV5:NIB5"/>
    <mergeCell ref="NIC5:NII5"/>
    <mergeCell ref="NIJ5:NIP5"/>
    <mergeCell ref="NIQ5:NIW5"/>
    <mergeCell ref="NIX5:NJD5"/>
    <mergeCell ref="NJE5:NJK5"/>
    <mergeCell ref="NGF5:NGL5"/>
    <mergeCell ref="NGM5:NGS5"/>
    <mergeCell ref="NGT5:NGZ5"/>
    <mergeCell ref="NHA5:NHG5"/>
    <mergeCell ref="NHH5:NHN5"/>
    <mergeCell ref="NHO5:NHU5"/>
    <mergeCell ref="NEP5:NEV5"/>
    <mergeCell ref="NEW5:NFC5"/>
    <mergeCell ref="NFD5:NFJ5"/>
    <mergeCell ref="NFK5:NFQ5"/>
    <mergeCell ref="NFR5:NFX5"/>
    <mergeCell ref="NFY5:NGE5"/>
    <mergeCell ref="NCZ5:NDF5"/>
    <mergeCell ref="NDG5:NDM5"/>
    <mergeCell ref="NDN5:NDT5"/>
    <mergeCell ref="NDU5:NEA5"/>
    <mergeCell ref="NEB5:NEH5"/>
    <mergeCell ref="NEI5:NEO5"/>
    <mergeCell ref="NBJ5:NBP5"/>
    <mergeCell ref="NBQ5:NBW5"/>
    <mergeCell ref="NBX5:NCD5"/>
    <mergeCell ref="NCE5:NCK5"/>
    <mergeCell ref="NCL5:NCR5"/>
    <mergeCell ref="NCS5:NCY5"/>
    <mergeCell ref="MZT5:MZZ5"/>
    <mergeCell ref="NAA5:NAG5"/>
    <mergeCell ref="NAH5:NAN5"/>
    <mergeCell ref="NAO5:NAU5"/>
    <mergeCell ref="NAV5:NBB5"/>
    <mergeCell ref="NBC5:NBI5"/>
    <mergeCell ref="MYD5:MYJ5"/>
    <mergeCell ref="MYK5:MYQ5"/>
    <mergeCell ref="MYR5:MYX5"/>
    <mergeCell ref="MYY5:MZE5"/>
    <mergeCell ref="MZF5:MZL5"/>
    <mergeCell ref="MZM5:MZS5"/>
    <mergeCell ref="MWN5:MWT5"/>
    <mergeCell ref="MWU5:MXA5"/>
    <mergeCell ref="MXB5:MXH5"/>
    <mergeCell ref="MXI5:MXO5"/>
    <mergeCell ref="MXP5:MXV5"/>
    <mergeCell ref="MXW5:MYC5"/>
    <mergeCell ref="MUX5:MVD5"/>
    <mergeCell ref="MVE5:MVK5"/>
    <mergeCell ref="MVL5:MVR5"/>
    <mergeCell ref="MVS5:MVY5"/>
    <mergeCell ref="MVZ5:MWF5"/>
    <mergeCell ref="MWG5:MWM5"/>
    <mergeCell ref="MTH5:MTN5"/>
    <mergeCell ref="MTO5:MTU5"/>
    <mergeCell ref="MTV5:MUB5"/>
    <mergeCell ref="MUC5:MUI5"/>
    <mergeCell ref="MUJ5:MUP5"/>
    <mergeCell ref="MUQ5:MUW5"/>
    <mergeCell ref="MRR5:MRX5"/>
    <mergeCell ref="MRY5:MSE5"/>
    <mergeCell ref="MSF5:MSL5"/>
    <mergeCell ref="MSM5:MSS5"/>
    <mergeCell ref="MST5:MSZ5"/>
    <mergeCell ref="MTA5:MTG5"/>
    <mergeCell ref="MQB5:MQH5"/>
    <mergeCell ref="MQI5:MQO5"/>
    <mergeCell ref="MQP5:MQV5"/>
    <mergeCell ref="MQW5:MRC5"/>
    <mergeCell ref="MRD5:MRJ5"/>
    <mergeCell ref="MRK5:MRQ5"/>
    <mergeCell ref="MOL5:MOR5"/>
    <mergeCell ref="MOS5:MOY5"/>
    <mergeCell ref="MOZ5:MPF5"/>
    <mergeCell ref="MPG5:MPM5"/>
    <mergeCell ref="MPN5:MPT5"/>
    <mergeCell ref="MPU5:MQA5"/>
    <mergeCell ref="MMV5:MNB5"/>
    <mergeCell ref="MNC5:MNI5"/>
    <mergeCell ref="MNJ5:MNP5"/>
    <mergeCell ref="MNQ5:MNW5"/>
    <mergeCell ref="MNX5:MOD5"/>
    <mergeCell ref="MOE5:MOK5"/>
    <mergeCell ref="MLF5:MLL5"/>
    <mergeCell ref="MLM5:MLS5"/>
    <mergeCell ref="MLT5:MLZ5"/>
    <mergeCell ref="MMA5:MMG5"/>
    <mergeCell ref="MMH5:MMN5"/>
    <mergeCell ref="MMO5:MMU5"/>
    <mergeCell ref="MJP5:MJV5"/>
    <mergeCell ref="MJW5:MKC5"/>
    <mergeCell ref="MKD5:MKJ5"/>
    <mergeCell ref="MKK5:MKQ5"/>
    <mergeCell ref="MKR5:MKX5"/>
    <mergeCell ref="MKY5:MLE5"/>
    <mergeCell ref="MHZ5:MIF5"/>
    <mergeCell ref="MIG5:MIM5"/>
    <mergeCell ref="MIN5:MIT5"/>
    <mergeCell ref="MIU5:MJA5"/>
    <mergeCell ref="MJB5:MJH5"/>
    <mergeCell ref="MJI5:MJO5"/>
    <mergeCell ref="MGJ5:MGP5"/>
    <mergeCell ref="MGQ5:MGW5"/>
    <mergeCell ref="MGX5:MHD5"/>
    <mergeCell ref="MHE5:MHK5"/>
    <mergeCell ref="MHL5:MHR5"/>
    <mergeCell ref="MHS5:MHY5"/>
    <mergeCell ref="MET5:MEZ5"/>
    <mergeCell ref="MFA5:MFG5"/>
    <mergeCell ref="MFH5:MFN5"/>
    <mergeCell ref="MFO5:MFU5"/>
    <mergeCell ref="MFV5:MGB5"/>
    <mergeCell ref="MGC5:MGI5"/>
    <mergeCell ref="MDD5:MDJ5"/>
    <mergeCell ref="MDK5:MDQ5"/>
    <mergeCell ref="MDR5:MDX5"/>
    <mergeCell ref="MDY5:MEE5"/>
    <mergeCell ref="MEF5:MEL5"/>
    <mergeCell ref="MEM5:MES5"/>
    <mergeCell ref="MBN5:MBT5"/>
    <mergeCell ref="MBU5:MCA5"/>
    <mergeCell ref="MCB5:MCH5"/>
    <mergeCell ref="MCI5:MCO5"/>
    <mergeCell ref="MCP5:MCV5"/>
    <mergeCell ref="MCW5:MDC5"/>
    <mergeCell ref="LZX5:MAD5"/>
    <mergeCell ref="MAE5:MAK5"/>
    <mergeCell ref="MAL5:MAR5"/>
    <mergeCell ref="MAS5:MAY5"/>
    <mergeCell ref="MAZ5:MBF5"/>
    <mergeCell ref="MBG5:MBM5"/>
    <mergeCell ref="LYH5:LYN5"/>
    <mergeCell ref="LYO5:LYU5"/>
    <mergeCell ref="LYV5:LZB5"/>
    <mergeCell ref="LZC5:LZI5"/>
    <mergeCell ref="LZJ5:LZP5"/>
    <mergeCell ref="LZQ5:LZW5"/>
    <mergeCell ref="LWR5:LWX5"/>
    <mergeCell ref="LWY5:LXE5"/>
    <mergeCell ref="LXF5:LXL5"/>
    <mergeCell ref="LXM5:LXS5"/>
    <mergeCell ref="LXT5:LXZ5"/>
    <mergeCell ref="LYA5:LYG5"/>
    <mergeCell ref="LVB5:LVH5"/>
    <mergeCell ref="LVI5:LVO5"/>
    <mergeCell ref="LVP5:LVV5"/>
    <mergeCell ref="LVW5:LWC5"/>
    <mergeCell ref="LWD5:LWJ5"/>
    <mergeCell ref="LWK5:LWQ5"/>
    <mergeCell ref="LTL5:LTR5"/>
    <mergeCell ref="LTS5:LTY5"/>
    <mergeCell ref="LTZ5:LUF5"/>
    <mergeCell ref="LUG5:LUM5"/>
    <mergeCell ref="LUN5:LUT5"/>
    <mergeCell ref="LUU5:LVA5"/>
    <mergeCell ref="LRV5:LSB5"/>
    <mergeCell ref="LSC5:LSI5"/>
    <mergeCell ref="LSJ5:LSP5"/>
    <mergeCell ref="LSQ5:LSW5"/>
    <mergeCell ref="LSX5:LTD5"/>
    <mergeCell ref="LTE5:LTK5"/>
    <mergeCell ref="LQF5:LQL5"/>
    <mergeCell ref="LQM5:LQS5"/>
    <mergeCell ref="LQT5:LQZ5"/>
    <mergeCell ref="LRA5:LRG5"/>
    <mergeCell ref="LRH5:LRN5"/>
    <mergeCell ref="LRO5:LRU5"/>
    <mergeCell ref="LOP5:LOV5"/>
    <mergeCell ref="LOW5:LPC5"/>
    <mergeCell ref="LPD5:LPJ5"/>
    <mergeCell ref="LPK5:LPQ5"/>
    <mergeCell ref="LPR5:LPX5"/>
    <mergeCell ref="LPY5:LQE5"/>
    <mergeCell ref="LMZ5:LNF5"/>
    <mergeCell ref="LNG5:LNM5"/>
    <mergeCell ref="LNN5:LNT5"/>
    <mergeCell ref="LNU5:LOA5"/>
    <mergeCell ref="LOB5:LOH5"/>
    <mergeCell ref="LOI5:LOO5"/>
    <mergeCell ref="LLJ5:LLP5"/>
    <mergeCell ref="LLQ5:LLW5"/>
    <mergeCell ref="LLX5:LMD5"/>
    <mergeCell ref="LME5:LMK5"/>
    <mergeCell ref="LML5:LMR5"/>
    <mergeCell ref="LMS5:LMY5"/>
    <mergeCell ref="LJT5:LJZ5"/>
    <mergeCell ref="LKA5:LKG5"/>
    <mergeCell ref="LKH5:LKN5"/>
    <mergeCell ref="LKO5:LKU5"/>
    <mergeCell ref="LKV5:LLB5"/>
    <mergeCell ref="LLC5:LLI5"/>
    <mergeCell ref="LID5:LIJ5"/>
    <mergeCell ref="LIK5:LIQ5"/>
    <mergeCell ref="LIR5:LIX5"/>
    <mergeCell ref="LIY5:LJE5"/>
    <mergeCell ref="LJF5:LJL5"/>
    <mergeCell ref="LJM5:LJS5"/>
    <mergeCell ref="LGN5:LGT5"/>
    <mergeCell ref="LGU5:LHA5"/>
    <mergeCell ref="LHB5:LHH5"/>
    <mergeCell ref="LHI5:LHO5"/>
    <mergeCell ref="LHP5:LHV5"/>
    <mergeCell ref="LHW5:LIC5"/>
    <mergeCell ref="LEX5:LFD5"/>
    <mergeCell ref="LFE5:LFK5"/>
    <mergeCell ref="LFL5:LFR5"/>
    <mergeCell ref="LFS5:LFY5"/>
    <mergeCell ref="LFZ5:LGF5"/>
    <mergeCell ref="LGG5:LGM5"/>
    <mergeCell ref="LDH5:LDN5"/>
    <mergeCell ref="LDO5:LDU5"/>
    <mergeCell ref="LDV5:LEB5"/>
    <mergeCell ref="LEC5:LEI5"/>
    <mergeCell ref="LEJ5:LEP5"/>
    <mergeCell ref="LEQ5:LEW5"/>
    <mergeCell ref="LBR5:LBX5"/>
    <mergeCell ref="LBY5:LCE5"/>
    <mergeCell ref="LCF5:LCL5"/>
    <mergeCell ref="LCM5:LCS5"/>
    <mergeCell ref="LCT5:LCZ5"/>
    <mergeCell ref="LDA5:LDG5"/>
    <mergeCell ref="LAB5:LAH5"/>
    <mergeCell ref="LAI5:LAO5"/>
    <mergeCell ref="LAP5:LAV5"/>
    <mergeCell ref="LAW5:LBC5"/>
    <mergeCell ref="LBD5:LBJ5"/>
    <mergeCell ref="LBK5:LBQ5"/>
    <mergeCell ref="KYL5:KYR5"/>
    <mergeCell ref="KYS5:KYY5"/>
    <mergeCell ref="KYZ5:KZF5"/>
    <mergeCell ref="KZG5:KZM5"/>
    <mergeCell ref="KZN5:KZT5"/>
    <mergeCell ref="KZU5:LAA5"/>
    <mergeCell ref="KWV5:KXB5"/>
    <mergeCell ref="KXC5:KXI5"/>
    <mergeCell ref="KXJ5:KXP5"/>
    <mergeCell ref="KXQ5:KXW5"/>
    <mergeCell ref="KXX5:KYD5"/>
    <mergeCell ref="KYE5:KYK5"/>
    <mergeCell ref="KVF5:KVL5"/>
    <mergeCell ref="KVM5:KVS5"/>
    <mergeCell ref="KVT5:KVZ5"/>
    <mergeCell ref="KWA5:KWG5"/>
    <mergeCell ref="KWH5:KWN5"/>
    <mergeCell ref="KWO5:KWU5"/>
    <mergeCell ref="KTP5:KTV5"/>
    <mergeCell ref="KTW5:KUC5"/>
    <mergeCell ref="KUD5:KUJ5"/>
    <mergeCell ref="KUK5:KUQ5"/>
    <mergeCell ref="KUR5:KUX5"/>
    <mergeCell ref="KUY5:KVE5"/>
    <mergeCell ref="KRZ5:KSF5"/>
    <mergeCell ref="KSG5:KSM5"/>
    <mergeCell ref="KSN5:KST5"/>
    <mergeCell ref="KSU5:KTA5"/>
    <mergeCell ref="KTB5:KTH5"/>
    <mergeCell ref="KTI5:KTO5"/>
    <mergeCell ref="KQJ5:KQP5"/>
    <mergeCell ref="KQQ5:KQW5"/>
    <mergeCell ref="KQX5:KRD5"/>
    <mergeCell ref="KRE5:KRK5"/>
    <mergeCell ref="KRL5:KRR5"/>
    <mergeCell ref="KRS5:KRY5"/>
    <mergeCell ref="KOT5:KOZ5"/>
    <mergeCell ref="KPA5:KPG5"/>
    <mergeCell ref="KPH5:KPN5"/>
    <mergeCell ref="KPO5:KPU5"/>
    <mergeCell ref="KPV5:KQB5"/>
    <mergeCell ref="KQC5:KQI5"/>
    <mergeCell ref="KND5:KNJ5"/>
    <mergeCell ref="KNK5:KNQ5"/>
    <mergeCell ref="KNR5:KNX5"/>
    <mergeCell ref="KNY5:KOE5"/>
    <mergeCell ref="KOF5:KOL5"/>
    <mergeCell ref="KOM5:KOS5"/>
    <mergeCell ref="KLN5:KLT5"/>
    <mergeCell ref="KLU5:KMA5"/>
    <mergeCell ref="KMB5:KMH5"/>
    <mergeCell ref="KMI5:KMO5"/>
    <mergeCell ref="KMP5:KMV5"/>
    <mergeCell ref="KMW5:KNC5"/>
    <mergeCell ref="KJX5:KKD5"/>
    <mergeCell ref="KKE5:KKK5"/>
    <mergeCell ref="KKL5:KKR5"/>
    <mergeCell ref="KKS5:KKY5"/>
    <mergeCell ref="KKZ5:KLF5"/>
    <mergeCell ref="KLG5:KLM5"/>
    <mergeCell ref="KIH5:KIN5"/>
    <mergeCell ref="KIO5:KIU5"/>
    <mergeCell ref="KIV5:KJB5"/>
    <mergeCell ref="KJC5:KJI5"/>
    <mergeCell ref="KJJ5:KJP5"/>
    <mergeCell ref="KJQ5:KJW5"/>
    <mergeCell ref="KGR5:KGX5"/>
    <mergeCell ref="KGY5:KHE5"/>
    <mergeCell ref="KHF5:KHL5"/>
    <mergeCell ref="KHM5:KHS5"/>
    <mergeCell ref="KHT5:KHZ5"/>
    <mergeCell ref="KIA5:KIG5"/>
    <mergeCell ref="KFB5:KFH5"/>
    <mergeCell ref="KFI5:KFO5"/>
    <mergeCell ref="KFP5:KFV5"/>
    <mergeCell ref="KFW5:KGC5"/>
    <mergeCell ref="KGD5:KGJ5"/>
    <mergeCell ref="KGK5:KGQ5"/>
    <mergeCell ref="KDL5:KDR5"/>
    <mergeCell ref="KDS5:KDY5"/>
    <mergeCell ref="KDZ5:KEF5"/>
    <mergeCell ref="KEG5:KEM5"/>
    <mergeCell ref="KEN5:KET5"/>
    <mergeCell ref="KEU5:KFA5"/>
    <mergeCell ref="KBV5:KCB5"/>
    <mergeCell ref="KCC5:KCI5"/>
    <mergeCell ref="KCJ5:KCP5"/>
    <mergeCell ref="KCQ5:KCW5"/>
    <mergeCell ref="KCX5:KDD5"/>
    <mergeCell ref="KDE5:KDK5"/>
    <mergeCell ref="KAF5:KAL5"/>
    <mergeCell ref="KAM5:KAS5"/>
    <mergeCell ref="KAT5:KAZ5"/>
    <mergeCell ref="KBA5:KBG5"/>
    <mergeCell ref="KBH5:KBN5"/>
    <mergeCell ref="KBO5:KBU5"/>
    <mergeCell ref="JYP5:JYV5"/>
    <mergeCell ref="JYW5:JZC5"/>
    <mergeCell ref="JZD5:JZJ5"/>
    <mergeCell ref="JZK5:JZQ5"/>
    <mergeCell ref="JZR5:JZX5"/>
    <mergeCell ref="JZY5:KAE5"/>
    <mergeCell ref="JWZ5:JXF5"/>
    <mergeCell ref="JXG5:JXM5"/>
    <mergeCell ref="JXN5:JXT5"/>
    <mergeCell ref="JXU5:JYA5"/>
    <mergeCell ref="JYB5:JYH5"/>
    <mergeCell ref="JYI5:JYO5"/>
    <mergeCell ref="JVJ5:JVP5"/>
    <mergeCell ref="JVQ5:JVW5"/>
    <mergeCell ref="JVX5:JWD5"/>
    <mergeCell ref="JWE5:JWK5"/>
    <mergeCell ref="JWL5:JWR5"/>
    <mergeCell ref="JWS5:JWY5"/>
    <mergeCell ref="JTT5:JTZ5"/>
    <mergeCell ref="JUA5:JUG5"/>
    <mergeCell ref="JUH5:JUN5"/>
    <mergeCell ref="JUO5:JUU5"/>
    <mergeCell ref="JUV5:JVB5"/>
    <mergeCell ref="JVC5:JVI5"/>
    <mergeCell ref="JSD5:JSJ5"/>
    <mergeCell ref="JSK5:JSQ5"/>
    <mergeCell ref="JSR5:JSX5"/>
    <mergeCell ref="JSY5:JTE5"/>
    <mergeCell ref="JTF5:JTL5"/>
    <mergeCell ref="JTM5:JTS5"/>
    <mergeCell ref="JQN5:JQT5"/>
    <mergeCell ref="JQU5:JRA5"/>
    <mergeCell ref="JRB5:JRH5"/>
    <mergeCell ref="JRI5:JRO5"/>
    <mergeCell ref="JRP5:JRV5"/>
    <mergeCell ref="JRW5:JSC5"/>
    <mergeCell ref="JOX5:JPD5"/>
    <mergeCell ref="JPE5:JPK5"/>
    <mergeCell ref="JPL5:JPR5"/>
    <mergeCell ref="JPS5:JPY5"/>
    <mergeCell ref="JPZ5:JQF5"/>
    <mergeCell ref="JQG5:JQM5"/>
    <mergeCell ref="JNH5:JNN5"/>
    <mergeCell ref="JNO5:JNU5"/>
    <mergeCell ref="JNV5:JOB5"/>
    <mergeCell ref="JOC5:JOI5"/>
    <mergeCell ref="JOJ5:JOP5"/>
    <mergeCell ref="JOQ5:JOW5"/>
    <mergeCell ref="JLR5:JLX5"/>
    <mergeCell ref="JLY5:JME5"/>
    <mergeCell ref="JMF5:JML5"/>
    <mergeCell ref="JMM5:JMS5"/>
    <mergeCell ref="JMT5:JMZ5"/>
    <mergeCell ref="JNA5:JNG5"/>
    <mergeCell ref="JKB5:JKH5"/>
    <mergeCell ref="JKI5:JKO5"/>
    <mergeCell ref="JKP5:JKV5"/>
    <mergeCell ref="JKW5:JLC5"/>
    <mergeCell ref="JLD5:JLJ5"/>
    <mergeCell ref="JLK5:JLQ5"/>
    <mergeCell ref="JIL5:JIR5"/>
    <mergeCell ref="JIS5:JIY5"/>
    <mergeCell ref="JIZ5:JJF5"/>
    <mergeCell ref="JJG5:JJM5"/>
    <mergeCell ref="JJN5:JJT5"/>
    <mergeCell ref="JJU5:JKA5"/>
    <mergeCell ref="JGV5:JHB5"/>
    <mergeCell ref="JHC5:JHI5"/>
    <mergeCell ref="JHJ5:JHP5"/>
    <mergeCell ref="JHQ5:JHW5"/>
    <mergeCell ref="JHX5:JID5"/>
    <mergeCell ref="JIE5:JIK5"/>
    <mergeCell ref="JFF5:JFL5"/>
    <mergeCell ref="JFM5:JFS5"/>
    <mergeCell ref="JFT5:JFZ5"/>
    <mergeCell ref="JGA5:JGG5"/>
    <mergeCell ref="JGH5:JGN5"/>
    <mergeCell ref="JGO5:JGU5"/>
    <mergeCell ref="JDP5:JDV5"/>
    <mergeCell ref="JDW5:JEC5"/>
    <mergeCell ref="JED5:JEJ5"/>
    <mergeCell ref="JEK5:JEQ5"/>
    <mergeCell ref="JER5:JEX5"/>
    <mergeCell ref="JEY5:JFE5"/>
    <mergeCell ref="JBZ5:JCF5"/>
    <mergeCell ref="JCG5:JCM5"/>
    <mergeCell ref="JCN5:JCT5"/>
    <mergeCell ref="JCU5:JDA5"/>
    <mergeCell ref="JDB5:JDH5"/>
    <mergeCell ref="JDI5:JDO5"/>
    <mergeCell ref="JAJ5:JAP5"/>
    <mergeCell ref="JAQ5:JAW5"/>
    <mergeCell ref="JAX5:JBD5"/>
    <mergeCell ref="JBE5:JBK5"/>
    <mergeCell ref="JBL5:JBR5"/>
    <mergeCell ref="JBS5:JBY5"/>
    <mergeCell ref="IYT5:IYZ5"/>
    <mergeCell ref="IZA5:IZG5"/>
    <mergeCell ref="IZH5:IZN5"/>
    <mergeCell ref="IZO5:IZU5"/>
    <mergeCell ref="IZV5:JAB5"/>
    <mergeCell ref="JAC5:JAI5"/>
    <mergeCell ref="IXD5:IXJ5"/>
    <mergeCell ref="IXK5:IXQ5"/>
    <mergeCell ref="IXR5:IXX5"/>
    <mergeCell ref="IXY5:IYE5"/>
    <mergeCell ref="IYF5:IYL5"/>
    <mergeCell ref="IYM5:IYS5"/>
    <mergeCell ref="IVN5:IVT5"/>
    <mergeCell ref="IVU5:IWA5"/>
    <mergeCell ref="IWB5:IWH5"/>
    <mergeCell ref="IWI5:IWO5"/>
    <mergeCell ref="IWP5:IWV5"/>
    <mergeCell ref="IWW5:IXC5"/>
    <mergeCell ref="ITX5:IUD5"/>
    <mergeCell ref="IUE5:IUK5"/>
    <mergeCell ref="IUL5:IUR5"/>
    <mergeCell ref="IUS5:IUY5"/>
    <mergeCell ref="IUZ5:IVF5"/>
    <mergeCell ref="IVG5:IVM5"/>
    <mergeCell ref="ISH5:ISN5"/>
    <mergeCell ref="ISO5:ISU5"/>
    <mergeCell ref="ISV5:ITB5"/>
    <mergeCell ref="ITC5:ITI5"/>
    <mergeCell ref="ITJ5:ITP5"/>
    <mergeCell ref="ITQ5:ITW5"/>
    <mergeCell ref="IQR5:IQX5"/>
    <mergeCell ref="IQY5:IRE5"/>
    <mergeCell ref="IRF5:IRL5"/>
    <mergeCell ref="IRM5:IRS5"/>
    <mergeCell ref="IRT5:IRZ5"/>
    <mergeCell ref="ISA5:ISG5"/>
    <mergeCell ref="IPB5:IPH5"/>
    <mergeCell ref="IPI5:IPO5"/>
    <mergeCell ref="IPP5:IPV5"/>
    <mergeCell ref="IPW5:IQC5"/>
    <mergeCell ref="IQD5:IQJ5"/>
    <mergeCell ref="IQK5:IQQ5"/>
    <mergeCell ref="INL5:INR5"/>
    <mergeCell ref="INS5:INY5"/>
    <mergeCell ref="INZ5:IOF5"/>
    <mergeCell ref="IOG5:IOM5"/>
    <mergeCell ref="ION5:IOT5"/>
    <mergeCell ref="IOU5:IPA5"/>
    <mergeCell ref="ILV5:IMB5"/>
    <mergeCell ref="IMC5:IMI5"/>
    <mergeCell ref="IMJ5:IMP5"/>
    <mergeCell ref="IMQ5:IMW5"/>
    <mergeCell ref="IMX5:IND5"/>
    <mergeCell ref="INE5:INK5"/>
    <mergeCell ref="IKF5:IKL5"/>
    <mergeCell ref="IKM5:IKS5"/>
    <mergeCell ref="IKT5:IKZ5"/>
    <mergeCell ref="ILA5:ILG5"/>
    <mergeCell ref="ILH5:ILN5"/>
    <mergeCell ref="ILO5:ILU5"/>
    <mergeCell ref="IIP5:IIV5"/>
    <mergeCell ref="IIW5:IJC5"/>
    <mergeCell ref="IJD5:IJJ5"/>
    <mergeCell ref="IJK5:IJQ5"/>
    <mergeCell ref="IJR5:IJX5"/>
    <mergeCell ref="IJY5:IKE5"/>
    <mergeCell ref="IGZ5:IHF5"/>
    <mergeCell ref="IHG5:IHM5"/>
    <mergeCell ref="IHN5:IHT5"/>
    <mergeCell ref="IHU5:IIA5"/>
    <mergeCell ref="IIB5:IIH5"/>
    <mergeCell ref="III5:IIO5"/>
    <mergeCell ref="IFJ5:IFP5"/>
    <mergeCell ref="IFQ5:IFW5"/>
    <mergeCell ref="IFX5:IGD5"/>
    <mergeCell ref="IGE5:IGK5"/>
    <mergeCell ref="IGL5:IGR5"/>
    <mergeCell ref="IGS5:IGY5"/>
    <mergeCell ref="IDT5:IDZ5"/>
    <mergeCell ref="IEA5:IEG5"/>
    <mergeCell ref="IEH5:IEN5"/>
    <mergeCell ref="IEO5:IEU5"/>
    <mergeCell ref="IEV5:IFB5"/>
    <mergeCell ref="IFC5:IFI5"/>
    <mergeCell ref="ICD5:ICJ5"/>
    <mergeCell ref="ICK5:ICQ5"/>
    <mergeCell ref="ICR5:ICX5"/>
    <mergeCell ref="ICY5:IDE5"/>
    <mergeCell ref="IDF5:IDL5"/>
    <mergeCell ref="IDM5:IDS5"/>
    <mergeCell ref="IAN5:IAT5"/>
    <mergeCell ref="IAU5:IBA5"/>
    <mergeCell ref="IBB5:IBH5"/>
    <mergeCell ref="IBI5:IBO5"/>
    <mergeCell ref="IBP5:IBV5"/>
    <mergeCell ref="IBW5:ICC5"/>
    <mergeCell ref="HYX5:HZD5"/>
    <mergeCell ref="HZE5:HZK5"/>
    <mergeCell ref="HZL5:HZR5"/>
    <mergeCell ref="HZS5:HZY5"/>
    <mergeCell ref="HZZ5:IAF5"/>
    <mergeCell ref="IAG5:IAM5"/>
    <mergeCell ref="HXH5:HXN5"/>
    <mergeCell ref="HXO5:HXU5"/>
    <mergeCell ref="HXV5:HYB5"/>
    <mergeCell ref="HYC5:HYI5"/>
    <mergeCell ref="HYJ5:HYP5"/>
    <mergeCell ref="HYQ5:HYW5"/>
    <mergeCell ref="HVR5:HVX5"/>
    <mergeCell ref="HVY5:HWE5"/>
    <mergeCell ref="HWF5:HWL5"/>
    <mergeCell ref="HWM5:HWS5"/>
    <mergeCell ref="HWT5:HWZ5"/>
    <mergeCell ref="HXA5:HXG5"/>
    <mergeCell ref="HUB5:HUH5"/>
    <mergeCell ref="HUI5:HUO5"/>
    <mergeCell ref="HUP5:HUV5"/>
    <mergeCell ref="HUW5:HVC5"/>
    <mergeCell ref="HVD5:HVJ5"/>
    <mergeCell ref="HVK5:HVQ5"/>
    <mergeCell ref="HSL5:HSR5"/>
    <mergeCell ref="HSS5:HSY5"/>
    <mergeCell ref="HSZ5:HTF5"/>
    <mergeCell ref="HTG5:HTM5"/>
    <mergeCell ref="HTN5:HTT5"/>
    <mergeCell ref="HTU5:HUA5"/>
    <mergeCell ref="HQV5:HRB5"/>
    <mergeCell ref="HRC5:HRI5"/>
    <mergeCell ref="HRJ5:HRP5"/>
    <mergeCell ref="HRQ5:HRW5"/>
    <mergeCell ref="HRX5:HSD5"/>
    <mergeCell ref="HSE5:HSK5"/>
    <mergeCell ref="HPF5:HPL5"/>
    <mergeCell ref="HPM5:HPS5"/>
    <mergeCell ref="HPT5:HPZ5"/>
    <mergeCell ref="HQA5:HQG5"/>
    <mergeCell ref="HQH5:HQN5"/>
    <mergeCell ref="HQO5:HQU5"/>
    <mergeCell ref="HNP5:HNV5"/>
    <mergeCell ref="HNW5:HOC5"/>
    <mergeCell ref="HOD5:HOJ5"/>
    <mergeCell ref="HOK5:HOQ5"/>
    <mergeCell ref="HOR5:HOX5"/>
    <mergeCell ref="HOY5:HPE5"/>
    <mergeCell ref="HLZ5:HMF5"/>
    <mergeCell ref="HMG5:HMM5"/>
    <mergeCell ref="HMN5:HMT5"/>
    <mergeCell ref="HMU5:HNA5"/>
    <mergeCell ref="HNB5:HNH5"/>
    <mergeCell ref="HNI5:HNO5"/>
    <mergeCell ref="HKJ5:HKP5"/>
    <mergeCell ref="HKQ5:HKW5"/>
    <mergeCell ref="HKX5:HLD5"/>
    <mergeCell ref="HLE5:HLK5"/>
    <mergeCell ref="HLL5:HLR5"/>
    <mergeCell ref="HLS5:HLY5"/>
    <mergeCell ref="HIT5:HIZ5"/>
    <mergeCell ref="HJA5:HJG5"/>
    <mergeCell ref="HJH5:HJN5"/>
    <mergeCell ref="HJO5:HJU5"/>
    <mergeCell ref="HJV5:HKB5"/>
    <mergeCell ref="HKC5:HKI5"/>
    <mergeCell ref="HHD5:HHJ5"/>
    <mergeCell ref="HHK5:HHQ5"/>
    <mergeCell ref="HHR5:HHX5"/>
    <mergeCell ref="HHY5:HIE5"/>
    <mergeCell ref="HIF5:HIL5"/>
    <mergeCell ref="HIM5:HIS5"/>
    <mergeCell ref="HFN5:HFT5"/>
    <mergeCell ref="HFU5:HGA5"/>
    <mergeCell ref="HGB5:HGH5"/>
    <mergeCell ref="HGI5:HGO5"/>
    <mergeCell ref="HGP5:HGV5"/>
    <mergeCell ref="HGW5:HHC5"/>
    <mergeCell ref="HDX5:HED5"/>
    <mergeCell ref="HEE5:HEK5"/>
    <mergeCell ref="HEL5:HER5"/>
    <mergeCell ref="HES5:HEY5"/>
    <mergeCell ref="HEZ5:HFF5"/>
    <mergeCell ref="HFG5:HFM5"/>
    <mergeCell ref="HCH5:HCN5"/>
    <mergeCell ref="HCO5:HCU5"/>
    <mergeCell ref="HCV5:HDB5"/>
    <mergeCell ref="HDC5:HDI5"/>
    <mergeCell ref="HDJ5:HDP5"/>
    <mergeCell ref="HDQ5:HDW5"/>
    <mergeCell ref="HAR5:HAX5"/>
    <mergeCell ref="HAY5:HBE5"/>
    <mergeCell ref="HBF5:HBL5"/>
    <mergeCell ref="HBM5:HBS5"/>
    <mergeCell ref="HBT5:HBZ5"/>
    <mergeCell ref="HCA5:HCG5"/>
    <mergeCell ref="GZB5:GZH5"/>
    <mergeCell ref="GZI5:GZO5"/>
    <mergeCell ref="GZP5:GZV5"/>
    <mergeCell ref="GZW5:HAC5"/>
    <mergeCell ref="HAD5:HAJ5"/>
    <mergeCell ref="HAK5:HAQ5"/>
    <mergeCell ref="GXL5:GXR5"/>
    <mergeCell ref="GXS5:GXY5"/>
    <mergeCell ref="GXZ5:GYF5"/>
    <mergeCell ref="GYG5:GYM5"/>
    <mergeCell ref="GYN5:GYT5"/>
    <mergeCell ref="GYU5:GZA5"/>
    <mergeCell ref="GVV5:GWB5"/>
    <mergeCell ref="GWC5:GWI5"/>
    <mergeCell ref="GWJ5:GWP5"/>
    <mergeCell ref="GWQ5:GWW5"/>
    <mergeCell ref="GWX5:GXD5"/>
    <mergeCell ref="GXE5:GXK5"/>
    <mergeCell ref="GUF5:GUL5"/>
    <mergeCell ref="GUM5:GUS5"/>
    <mergeCell ref="GUT5:GUZ5"/>
    <mergeCell ref="GVA5:GVG5"/>
    <mergeCell ref="GVH5:GVN5"/>
    <mergeCell ref="GVO5:GVU5"/>
    <mergeCell ref="GSP5:GSV5"/>
    <mergeCell ref="GSW5:GTC5"/>
    <mergeCell ref="GTD5:GTJ5"/>
    <mergeCell ref="GTK5:GTQ5"/>
    <mergeCell ref="GTR5:GTX5"/>
    <mergeCell ref="GTY5:GUE5"/>
    <mergeCell ref="GQZ5:GRF5"/>
    <mergeCell ref="GRG5:GRM5"/>
    <mergeCell ref="GRN5:GRT5"/>
    <mergeCell ref="GRU5:GSA5"/>
    <mergeCell ref="GSB5:GSH5"/>
    <mergeCell ref="GSI5:GSO5"/>
    <mergeCell ref="GPJ5:GPP5"/>
    <mergeCell ref="GPQ5:GPW5"/>
    <mergeCell ref="GPX5:GQD5"/>
    <mergeCell ref="GQE5:GQK5"/>
    <mergeCell ref="GQL5:GQR5"/>
    <mergeCell ref="GQS5:GQY5"/>
    <mergeCell ref="GNT5:GNZ5"/>
    <mergeCell ref="GOA5:GOG5"/>
    <mergeCell ref="GOH5:GON5"/>
    <mergeCell ref="GOO5:GOU5"/>
    <mergeCell ref="GOV5:GPB5"/>
    <mergeCell ref="GPC5:GPI5"/>
    <mergeCell ref="GMD5:GMJ5"/>
    <mergeCell ref="GMK5:GMQ5"/>
    <mergeCell ref="GMR5:GMX5"/>
    <mergeCell ref="GMY5:GNE5"/>
    <mergeCell ref="GNF5:GNL5"/>
    <mergeCell ref="GNM5:GNS5"/>
    <mergeCell ref="GKN5:GKT5"/>
    <mergeCell ref="GKU5:GLA5"/>
    <mergeCell ref="GLB5:GLH5"/>
    <mergeCell ref="GLI5:GLO5"/>
    <mergeCell ref="GLP5:GLV5"/>
    <mergeCell ref="GLW5:GMC5"/>
    <mergeCell ref="GIX5:GJD5"/>
    <mergeCell ref="GJE5:GJK5"/>
    <mergeCell ref="GJL5:GJR5"/>
    <mergeCell ref="GJS5:GJY5"/>
    <mergeCell ref="GJZ5:GKF5"/>
    <mergeCell ref="GKG5:GKM5"/>
    <mergeCell ref="GHH5:GHN5"/>
    <mergeCell ref="GHO5:GHU5"/>
    <mergeCell ref="GHV5:GIB5"/>
    <mergeCell ref="GIC5:GII5"/>
    <mergeCell ref="GIJ5:GIP5"/>
    <mergeCell ref="GIQ5:GIW5"/>
    <mergeCell ref="GFR5:GFX5"/>
    <mergeCell ref="GFY5:GGE5"/>
    <mergeCell ref="GGF5:GGL5"/>
    <mergeCell ref="GGM5:GGS5"/>
    <mergeCell ref="GGT5:GGZ5"/>
    <mergeCell ref="GHA5:GHG5"/>
    <mergeCell ref="GEB5:GEH5"/>
    <mergeCell ref="GEI5:GEO5"/>
    <mergeCell ref="GEP5:GEV5"/>
    <mergeCell ref="GEW5:GFC5"/>
    <mergeCell ref="GFD5:GFJ5"/>
    <mergeCell ref="GFK5:GFQ5"/>
    <mergeCell ref="GCL5:GCR5"/>
    <mergeCell ref="GCS5:GCY5"/>
    <mergeCell ref="GCZ5:GDF5"/>
    <mergeCell ref="GDG5:GDM5"/>
    <mergeCell ref="GDN5:GDT5"/>
    <mergeCell ref="GDU5:GEA5"/>
    <mergeCell ref="GAV5:GBB5"/>
    <mergeCell ref="GBC5:GBI5"/>
    <mergeCell ref="GBJ5:GBP5"/>
    <mergeCell ref="GBQ5:GBW5"/>
    <mergeCell ref="GBX5:GCD5"/>
    <mergeCell ref="GCE5:GCK5"/>
    <mergeCell ref="FZF5:FZL5"/>
    <mergeCell ref="FZM5:FZS5"/>
    <mergeCell ref="FZT5:FZZ5"/>
    <mergeCell ref="GAA5:GAG5"/>
    <mergeCell ref="GAH5:GAN5"/>
    <mergeCell ref="GAO5:GAU5"/>
    <mergeCell ref="FXP5:FXV5"/>
    <mergeCell ref="FXW5:FYC5"/>
    <mergeCell ref="FYD5:FYJ5"/>
    <mergeCell ref="FYK5:FYQ5"/>
    <mergeCell ref="FYR5:FYX5"/>
    <mergeCell ref="FYY5:FZE5"/>
    <mergeCell ref="FVZ5:FWF5"/>
    <mergeCell ref="FWG5:FWM5"/>
    <mergeCell ref="FWN5:FWT5"/>
    <mergeCell ref="FWU5:FXA5"/>
    <mergeCell ref="FXB5:FXH5"/>
    <mergeCell ref="FXI5:FXO5"/>
    <mergeCell ref="FUJ5:FUP5"/>
    <mergeCell ref="FUQ5:FUW5"/>
    <mergeCell ref="FUX5:FVD5"/>
    <mergeCell ref="FVE5:FVK5"/>
    <mergeCell ref="FVL5:FVR5"/>
    <mergeCell ref="FVS5:FVY5"/>
    <mergeCell ref="FST5:FSZ5"/>
    <mergeCell ref="FTA5:FTG5"/>
    <mergeCell ref="FTH5:FTN5"/>
    <mergeCell ref="FTO5:FTU5"/>
    <mergeCell ref="FTV5:FUB5"/>
    <mergeCell ref="FUC5:FUI5"/>
    <mergeCell ref="FRD5:FRJ5"/>
    <mergeCell ref="FRK5:FRQ5"/>
    <mergeCell ref="FRR5:FRX5"/>
    <mergeCell ref="FRY5:FSE5"/>
    <mergeCell ref="FSF5:FSL5"/>
    <mergeCell ref="FSM5:FSS5"/>
    <mergeCell ref="FPN5:FPT5"/>
    <mergeCell ref="FPU5:FQA5"/>
    <mergeCell ref="FQB5:FQH5"/>
    <mergeCell ref="FQI5:FQO5"/>
    <mergeCell ref="FQP5:FQV5"/>
    <mergeCell ref="FQW5:FRC5"/>
    <mergeCell ref="FNX5:FOD5"/>
    <mergeCell ref="FOE5:FOK5"/>
    <mergeCell ref="FOL5:FOR5"/>
    <mergeCell ref="FOS5:FOY5"/>
    <mergeCell ref="FOZ5:FPF5"/>
    <mergeCell ref="FPG5:FPM5"/>
    <mergeCell ref="FMH5:FMN5"/>
    <mergeCell ref="FMO5:FMU5"/>
    <mergeCell ref="FMV5:FNB5"/>
    <mergeCell ref="FNC5:FNI5"/>
    <mergeCell ref="FNJ5:FNP5"/>
    <mergeCell ref="FNQ5:FNW5"/>
    <mergeCell ref="FKR5:FKX5"/>
    <mergeCell ref="FKY5:FLE5"/>
    <mergeCell ref="FLF5:FLL5"/>
    <mergeCell ref="FLM5:FLS5"/>
    <mergeCell ref="FLT5:FLZ5"/>
    <mergeCell ref="FMA5:FMG5"/>
    <mergeCell ref="FJB5:FJH5"/>
    <mergeCell ref="FJI5:FJO5"/>
    <mergeCell ref="FJP5:FJV5"/>
    <mergeCell ref="FJW5:FKC5"/>
    <mergeCell ref="FKD5:FKJ5"/>
    <mergeCell ref="FKK5:FKQ5"/>
    <mergeCell ref="FHL5:FHR5"/>
    <mergeCell ref="FHS5:FHY5"/>
    <mergeCell ref="FHZ5:FIF5"/>
    <mergeCell ref="FIG5:FIM5"/>
    <mergeCell ref="FIN5:FIT5"/>
    <mergeCell ref="FIU5:FJA5"/>
    <mergeCell ref="FFV5:FGB5"/>
    <mergeCell ref="FGC5:FGI5"/>
    <mergeCell ref="FGJ5:FGP5"/>
    <mergeCell ref="FGQ5:FGW5"/>
    <mergeCell ref="FGX5:FHD5"/>
    <mergeCell ref="FHE5:FHK5"/>
    <mergeCell ref="FEF5:FEL5"/>
    <mergeCell ref="FEM5:FES5"/>
    <mergeCell ref="FET5:FEZ5"/>
    <mergeCell ref="FFA5:FFG5"/>
    <mergeCell ref="FFH5:FFN5"/>
    <mergeCell ref="FFO5:FFU5"/>
    <mergeCell ref="FCP5:FCV5"/>
    <mergeCell ref="FCW5:FDC5"/>
    <mergeCell ref="FDD5:FDJ5"/>
    <mergeCell ref="FDK5:FDQ5"/>
    <mergeCell ref="FDR5:FDX5"/>
    <mergeCell ref="FDY5:FEE5"/>
    <mergeCell ref="FAZ5:FBF5"/>
    <mergeCell ref="FBG5:FBM5"/>
    <mergeCell ref="FBN5:FBT5"/>
    <mergeCell ref="FBU5:FCA5"/>
    <mergeCell ref="FCB5:FCH5"/>
    <mergeCell ref="FCI5:FCO5"/>
    <mergeCell ref="EZJ5:EZP5"/>
    <mergeCell ref="EZQ5:EZW5"/>
    <mergeCell ref="EZX5:FAD5"/>
    <mergeCell ref="FAE5:FAK5"/>
    <mergeCell ref="FAL5:FAR5"/>
    <mergeCell ref="FAS5:FAY5"/>
    <mergeCell ref="EXT5:EXZ5"/>
    <mergeCell ref="EYA5:EYG5"/>
    <mergeCell ref="EYH5:EYN5"/>
    <mergeCell ref="EYO5:EYU5"/>
    <mergeCell ref="EYV5:EZB5"/>
    <mergeCell ref="EZC5:EZI5"/>
    <mergeCell ref="EWD5:EWJ5"/>
    <mergeCell ref="EWK5:EWQ5"/>
    <mergeCell ref="EWR5:EWX5"/>
    <mergeCell ref="EWY5:EXE5"/>
    <mergeCell ref="EXF5:EXL5"/>
    <mergeCell ref="EXM5:EXS5"/>
    <mergeCell ref="EUN5:EUT5"/>
    <mergeCell ref="EUU5:EVA5"/>
    <mergeCell ref="EVB5:EVH5"/>
    <mergeCell ref="EVI5:EVO5"/>
    <mergeCell ref="EVP5:EVV5"/>
    <mergeCell ref="EVW5:EWC5"/>
    <mergeCell ref="ESX5:ETD5"/>
    <mergeCell ref="ETE5:ETK5"/>
    <mergeCell ref="ETL5:ETR5"/>
    <mergeCell ref="ETS5:ETY5"/>
    <mergeCell ref="ETZ5:EUF5"/>
    <mergeCell ref="EUG5:EUM5"/>
    <mergeCell ref="ERH5:ERN5"/>
    <mergeCell ref="ERO5:ERU5"/>
    <mergeCell ref="ERV5:ESB5"/>
    <mergeCell ref="ESC5:ESI5"/>
    <mergeCell ref="ESJ5:ESP5"/>
    <mergeCell ref="ESQ5:ESW5"/>
    <mergeCell ref="EPR5:EPX5"/>
    <mergeCell ref="EPY5:EQE5"/>
    <mergeCell ref="EQF5:EQL5"/>
    <mergeCell ref="EQM5:EQS5"/>
    <mergeCell ref="EQT5:EQZ5"/>
    <mergeCell ref="ERA5:ERG5"/>
    <mergeCell ref="EOB5:EOH5"/>
    <mergeCell ref="EOI5:EOO5"/>
    <mergeCell ref="EOP5:EOV5"/>
    <mergeCell ref="EOW5:EPC5"/>
    <mergeCell ref="EPD5:EPJ5"/>
    <mergeCell ref="EPK5:EPQ5"/>
    <mergeCell ref="EML5:EMR5"/>
    <mergeCell ref="EMS5:EMY5"/>
    <mergeCell ref="EMZ5:ENF5"/>
    <mergeCell ref="ENG5:ENM5"/>
    <mergeCell ref="ENN5:ENT5"/>
    <mergeCell ref="ENU5:EOA5"/>
    <mergeCell ref="EKV5:ELB5"/>
    <mergeCell ref="ELC5:ELI5"/>
    <mergeCell ref="ELJ5:ELP5"/>
    <mergeCell ref="ELQ5:ELW5"/>
    <mergeCell ref="ELX5:EMD5"/>
    <mergeCell ref="EME5:EMK5"/>
    <mergeCell ref="EJF5:EJL5"/>
    <mergeCell ref="EJM5:EJS5"/>
    <mergeCell ref="EJT5:EJZ5"/>
    <mergeCell ref="EKA5:EKG5"/>
    <mergeCell ref="EKH5:EKN5"/>
    <mergeCell ref="EKO5:EKU5"/>
    <mergeCell ref="EHP5:EHV5"/>
    <mergeCell ref="EHW5:EIC5"/>
    <mergeCell ref="EID5:EIJ5"/>
    <mergeCell ref="EIK5:EIQ5"/>
    <mergeCell ref="EIR5:EIX5"/>
    <mergeCell ref="EIY5:EJE5"/>
    <mergeCell ref="EFZ5:EGF5"/>
    <mergeCell ref="EGG5:EGM5"/>
    <mergeCell ref="EGN5:EGT5"/>
    <mergeCell ref="EGU5:EHA5"/>
    <mergeCell ref="EHB5:EHH5"/>
    <mergeCell ref="EHI5:EHO5"/>
    <mergeCell ref="EEJ5:EEP5"/>
    <mergeCell ref="EEQ5:EEW5"/>
    <mergeCell ref="EEX5:EFD5"/>
    <mergeCell ref="EFE5:EFK5"/>
    <mergeCell ref="EFL5:EFR5"/>
    <mergeCell ref="EFS5:EFY5"/>
    <mergeCell ref="ECT5:ECZ5"/>
    <mergeCell ref="EDA5:EDG5"/>
    <mergeCell ref="EDH5:EDN5"/>
    <mergeCell ref="EDO5:EDU5"/>
    <mergeCell ref="EDV5:EEB5"/>
    <mergeCell ref="EEC5:EEI5"/>
    <mergeCell ref="EBD5:EBJ5"/>
    <mergeCell ref="EBK5:EBQ5"/>
    <mergeCell ref="EBR5:EBX5"/>
    <mergeCell ref="EBY5:ECE5"/>
    <mergeCell ref="ECF5:ECL5"/>
    <mergeCell ref="ECM5:ECS5"/>
    <mergeCell ref="DZN5:DZT5"/>
    <mergeCell ref="DZU5:EAA5"/>
    <mergeCell ref="EAB5:EAH5"/>
    <mergeCell ref="EAI5:EAO5"/>
    <mergeCell ref="EAP5:EAV5"/>
    <mergeCell ref="EAW5:EBC5"/>
    <mergeCell ref="DXX5:DYD5"/>
    <mergeCell ref="DYE5:DYK5"/>
    <mergeCell ref="DYL5:DYR5"/>
    <mergeCell ref="DYS5:DYY5"/>
    <mergeCell ref="DYZ5:DZF5"/>
    <mergeCell ref="DZG5:DZM5"/>
    <mergeCell ref="DWH5:DWN5"/>
    <mergeCell ref="DWO5:DWU5"/>
    <mergeCell ref="DWV5:DXB5"/>
    <mergeCell ref="DXC5:DXI5"/>
    <mergeCell ref="DXJ5:DXP5"/>
    <mergeCell ref="DXQ5:DXW5"/>
    <mergeCell ref="DUR5:DUX5"/>
    <mergeCell ref="DUY5:DVE5"/>
    <mergeCell ref="DVF5:DVL5"/>
    <mergeCell ref="DVM5:DVS5"/>
    <mergeCell ref="DVT5:DVZ5"/>
    <mergeCell ref="DWA5:DWG5"/>
    <mergeCell ref="DTB5:DTH5"/>
    <mergeCell ref="DTI5:DTO5"/>
    <mergeCell ref="DTP5:DTV5"/>
    <mergeCell ref="DTW5:DUC5"/>
    <mergeCell ref="DUD5:DUJ5"/>
    <mergeCell ref="DUK5:DUQ5"/>
    <mergeCell ref="DRL5:DRR5"/>
    <mergeCell ref="DRS5:DRY5"/>
    <mergeCell ref="DRZ5:DSF5"/>
    <mergeCell ref="DSG5:DSM5"/>
    <mergeCell ref="DSN5:DST5"/>
    <mergeCell ref="DSU5:DTA5"/>
    <mergeCell ref="DPV5:DQB5"/>
    <mergeCell ref="DQC5:DQI5"/>
    <mergeCell ref="DQJ5:DQP5"/>
    <mergeCell ref="DQQ5:DQW5"/>
    <mergeCell ref="DQX5:DRD5"/>
    <mergeCell ref="DRE5:DRK5"/>
    <mergeCell ref="DOF5:DOL5"/>
    <mergeCell ref="DOM5:DOS5"/>
    <mergeCell ref="DOT5:DOZ5"/>
    <mergeCell ref="DPA5:DPG5"/>
    <mergeCell ref="DPH5:DPN5"/>
    <mergeCell ref="DPO5:DPU5"/>
    <mergeCell ref="DMP5:DMV5"/>
    <mergeCell ref="DMW5:DNC5"/>
    <mergeCell ref="DND5:DNJ5"/>
    <mergeCell ref="DNK5:DNQ5"/>
    <mergeCell ref="DNR5:DNX5"/>
    <mergeCell ref="DNY5:DOE5"/>
    <mergeCell ref="DKZ5:DLF5"/>
    <mergeCell ref="DLG5:DLM5"/>
    <mergeCell ref="DLN5:DLT5"/>
    <mergeCell ref="DLU5:DMA5"/>
    <mergeCell ref="DMB5:DMH5"/>
    <mergeCell ref="DMI5:DMO5"/>
    <mergeCell ref="DJJ5:DJP5"/>
    <mergeCell ref="DJQ5:DJW5"/>
    <mergeCell ref="DJX5:DKD5"/>
    <mergeCell ref="DKE5:DKK5"/>
    <mergeCell ref="DKL5:DKR5"/>
    <mergeCell ref="DKS5:DKY5"/>
    <mergeCell ref="DHT5:DHZ5"/>
    <mergeCell ref="DIA5:DIG5"/>
    <mergeCell ref="DIH5:DIN5"/>
    <mergeCell ref="DIO5:DIU5"/>
    <mergeCell ref="DIV5:DJB5"/>
    <mergeCell ref="DJC5:DJI5"/>
    <mergeCell ref="DGD5:DGJ5"/>
    <mergeCell ref="DGK5:DGQ5"/>
    <mergeCell ref="DGR5:DGX5"/>
    <mergeCell ref="DGY5:DHE5"/>
    <mergeCell ref="DHF5:DHL5"/>
    <mergeCell ref="DHM5:DHS5"/>
    <mergeCell ref="DEN5:DET5"/>
    <mergeCell ref="DEU5:DFA5"/>
    <mergeCell ref="DFB5:DFH5"/>
    <mergeCell ref="DFI5:DFO5"/>
    <mergeCell ref="DFP5:DFV5"/>
    <mergeCell ref="DFW5:DGC5"/>
    <mergeCell ref="DCX5:DDD5"/>
    <mergeCell ref="DDE5:DDK5"/>
    <mergeCell ref="DDL5:DDR5"/>
    <mergeCell ref="DDS5:DDY5"/>
    <mergeCell ref="DDZ5:DEF5"/>
    <mergeCell ref="DEG5:DEM5"/>
    <mergeCell ref="DBH5:DBN5"/>
    <mergeCell ref="DBO5:DBU5"/>
    <mergeCell ref="DBV5:DCB5"/>
    <mergeCell ref="DCC5:DCI5"/>
    <mergeCell ref="DCJ5:DCP5"/>
    <mergeCell ref="DCQ5:DCW5"/>
    <mergeCell ref="CZR5:CZX5"/>
    <mergeCell ref="CZY5:DAE5"/>
    <mergeCell ref="DAF5:DAL5"/>
    <mergeCell ref="DAM5:DAS5"/>
    <mergeCell ref="DAT5:DAZ5"/>
    <mergeCell ref="DBA5:DBG5"/>
    <mergeCell ref="CYB5:CYH5"/>
    <mergeCell ref="CYI5:CYO5"/>
    <mergeCell ref="CYP5:CYV5"/>
    <mergeCell ref="CYW5:CZC5"/>
    <mergeCell ref="CZD5:CZJ5"/>
    <mergeCell ref="CZK5:CZQ5"/>
    <mergeCell ref="CWL5:CWR5"/>
    <mergeCell ref="CWS5:CWY5"/>
    <mergeCell ref="CWZ5:CXF5"/>
    <mergeCell ref="CXG5:CXM5"/>
    <mergeCell ref="CXN5:CXT5"/>
    <mergeCell ref="CXU5:CYA5"/>
    <mergeCell ref="CUV5:CVB5"/>
    <mergeCell ref="CVC5:CVI5"/>
    <mergeCell ref="CVJ5:CVP5"/>
    <mergeCell ref="CVQ5:CVW5"/>
    <mergeCell ref="CVX5:CWD5"/>
    <mergeCell ref="CWE5:CWK5"/>
    <mergeCell ref="CTF5:CTL5"/>
    <mergeCell ref="CTM5:CTS5"/>
    <mergeCell ref="CTT5:CTZ5"/>
    <mergeCell ref="CUA5:CUG5"/>
    <mergeCell ref="CUH5:CUN5"/>
    <mergeCell ref="CUO5:CUU5"/>
    <mergeCell ref="CRP5:CRV5"/>
    <mergeCell ref="CRW5:CSC5"/>
    <mergeCell ref="CSD5:CSJ5"/>
    <mergeCell ref="CSK5:CSQ5"/>
    <mergeCell ref="CSR5:CSX5"/>
    <mergeCell ref="CSY5:CTE5"/>
    <mergeCell ref="CPZ5:CQF5"/>
    <mergeCell ref="CQG5:CQM5"/>
    <mergeCell ref="CQN5:CQT5"/>
    <mergeCell ref="CQU5:CRA5"/>
    <mergeCell ref="CRB5:CRH5"/>
    <mergeCell ref="CRI5:CRO5"/>
    <mergeCell ref="COJ5:COP5"/>
    <mergeCell ref="COQ5:COW5"/>
    <mergeCell ref="COX5:CPD5"/>
    <mergeCell ref="CPE5:CPK5"/>
    <mergeCell ref="CPL5:CPR5"/>
    <mergeCell ref="CPS5:CPY5"/>
    <mergeCell ref="CMT5:CMZ5"/>
    <mergeCell ref="CNA5:CNG5"/>
    <mergeCell ref="CNH5:CNN5"/>
    <mergeCell ref="CNO5:CNU5"/>
    <mergeCell ref="CNV5:COB5"/>
    <mergeCell ref="COC5:COI5"/>
    <mergeCell ref="CLD5:CLJ5"/>
    <mergeCell ref="CLK5:CLQ5"/>
    <mergeCell ref="CLR5:CLX5"/>
    <mergeCell ref="CLY5:CME5"/>
    <mergeCell ref="CMF5:CML5"/>
    <mergeCell ref="CMM5:CMS5"/>
    <mergeCell ref="CJN5:CJT5"/>
    <mergeCell ref="CJU5:CKA5"/>
    <mergeCell ref="CKB5:CKH5"/>
    <mergeCell ref="CKI5:CKO5"/>
    <mergeCell ref="CKP5:CKV5"/>
    <mergeCell ref="CKW5:CLC5"/>
    <mergeCell ref="CHX5:CID5"/>
    <mergeCell ref="CIE5:CIK5"/>
    <mergeCell ref="CIL5:CIR5"/>
    <mergeCell ref="CIS5:CIY5"/>
    <mergeCell ref="CIZ5:CJF5"/>
    <mergeCell ref="CJG5:CJM5"/>
    <mergeCell ref="CGH5:CGN5"/>
    <mergeCell ref="CGO5:CGU5"/>
    <mergeCell ref="CGV5:CHB5"/>
    <mergeCell ref="CHC5:CHI5"/>
    <mergeCell ref="CHJ5:CHP5"/>
    <mergeCell ref="CHQ5:CHW5"/>
    <mergeCell ref="CER5:CEX5"/>
    <mergeCell ref="CEY5:CFE5"/>
    <mergeCell ref="CFF5:CFL5"/>
    <mergeCell ref="CFM5:CFS5"/>
    <mergeCell ref="CFT5:CFZ5"/>
    <mergeCell ref="CGA5:CGG5"/>
    <mergeCell ref="CDB5:CDH5"/>
    <mergeCell ref="CDI5:CDO5"/>
    <mergeCell ref="CDP5:CDV5"/>
    <mergeCell ref="CDW5:CEC5"/>
    <mergeCell ref="CED5:CEJ5"/>
    <mergeCell ref="CEK5:CEQ5"/>
    <mergeCell ref="CBL5:CBR5"/>
    <mergeCell ref="CBS5:CBY5"/>
    <mergeCell ref="CBZ5:CCF5"/>
    <mergeCell ref="CCG5:CCM5"/>
    <mergeCell ref="CCN5:CCT5"/>
    <mergeCell ref="CCU5:CDA5"/>
    <mergeCell ref="BZV5:CAB5"/>
    <mergeCell ref="CAC5:CAI5"/>
    <mergeCell ref="CAJ5:CAP5"/>
    <mergeCell ref="CAQ5:CAW5"/>
    <mergeCell ref="CAX5:CBD5"/>
    <mergeCell ref="CBE5:CBK5"/>
    <mergeCell ref="BYF5:BYL5"/>
    <mergeCell ref="BYM5:BYS5"/>
    <mergeCell ref="BYT5:BYZ5"/>
    <mergeCell ref="BZA5:BZG5"/>
    <mergeCell ref="BZH5:BZN5"/>
    <mergeCell ref="BZO5:BZU5"/>
    <mergeCell ref="BWP5:BWV5"/>
    <mergeCell ref="BWW5:BXC5"/>
    <mergeCell ref="BXD5:BXJ5"/>
    <mergeCell ref="BXK5:BXQ5"/>
    <mergeCell ref="BXR5:BXX5"/>
    <mergeCell ref="BXY5:BYE5"/>
    <mergeCell ref="BUZ5:BVF5"/>
    <mergeCell ref="BVG5:BVM5"/>
    <mergeCell ref="BVN5:BVT5"/>
    <mergeCell ref="BVU5:BWA5"/>
    <mergeCell ref="BWB5:BWH5"/>
    <mergeCell ref="BWI5:BWO5"/>
    <mergeCell ref="BTJ5:BTP5"/>
    <mergeCell ref="BTQ5:BTW5"/>
    <mergeCell ref="BTX5:BUD5"/>
    <mergeCell ref="BUE5:BUK5"/>
    <mergeCell ref="BUL5:BUR5"/>
    <mergeCell ref="BUS5:BUY5"/>
    <mergeCell ref="BRT5:BRZ5"/>
    <mergeCell ref="BSA5:BSG5"/>
    <mergeCell ref="BSH5:BSN5"/>
    <mergeCell ref="BSO5:BSU5"/>
    <mergeCell ref="BSV5:BTB5"/>
    <mergeCell ref="BTC5:BTI5"/>
    <mergeCell ref="BQD5:BQJ5"/>
    <mergeCell ref="BQK5:BQQ5"/>
    <mergeCell ref="BQR5:BQX5"/>
    <mergeCell ref="BQY5:BRE5"/>
    <mergeCell ref="BRF5:BRL5"/>
    <mergeCell ref="BRM5:BRS5"/>
    <mergeCell ref="BON5:BOT5"/>
    <mergeCell ref="BOU5:BPA5"/>
    <mergeCell ref="BPB5:BPH5"/>
    <mergeCell ref="BPI5:BPO5"/>
    <mergeCell ref="BPP5:BPV5"/>
    <mergeCell ref="BPW5:BQC5"/>
    <mergeCell ref="BMX5:BND5"/>
    <mergeCell ref="BNE5:BNK5"/>
    <mergeCell ref="BNL5:BNR5"/>
    <mergeCell ref="BNS5:BNY5"/>
    <mergeCell ref="BNZ5:BOF5"/>
    <mergeCell ref="BOG5:BOM5"/>
    <mergeCell ref="BLH5:BLN5"/>
    <mergeCell ref="BLO5:BLU5"/>
    <mergeCell ref="BLV5:BMB5"/>
    <mergeCell ref="BMC5:BMI5"/>
    <mergeCell ref="BMJ5:BMP5"/>
    <mergeCell ref="BMQ5:BMW5"/>
    <mergeCell ref="BJR5:BJX5"/>
    <mergeCell ref="BJY5:BKE5"/>
    <mergeCell ref="BKF5:BKL5"/>
    <mergeCell ref="BKM5:BKS5"/>
    <mergeCell ref="BKT5:BKZ5"/>
    <mergeCell ref="BLA5:BLG5"/>
    <mergeCell ref="BIB5:BIH5"/>
    <mergeCell ref="BII5:BIO5"/>
    <mergeCell ref="BIP5:BIV5"/>
    <mergeCell ref="BIW5:BJC5"/>
    <mergeCell ref="BJD5:BJJ5"/>
    <mergeCell ref="BJK5:BJQ5"/>
    <mergeCell ref="BGL5:BGR5"/>
    <mergeCell ref="BGS5:BGY5"/>
    <mergeCell ref="BGZ5:BHF5"/>
    <mergeCell ref="BHG5:BHM5"/>
    <mergeCell ref="BHN5:BHT5"/>
    <mergeCell ref="BHU5:BIA5"/>
    <mergeCell ref="BEV5:BFB5"/>
    <mergeCell ref="BFC5:BFI5"/>
    <mergeCell ref="BFJ5:BFP5"/>
    <mergeCell ref="BFQ5:BFW5"/>
    <mergeCell ref="BFX5:BGD5"/>
    <mergeCell ref="BGE5:BGK5"/>
    <mergeCell ref="BDF5:BDL5"/>
    <mergeCell ref="BDM5:BDS5"/>
    <mergeCell ref="BDT5:BDZ5"/>
    <mergeCell ref="BEA5:BEG5"/>
    <mergeCell ref="BEH5:BEN5"/>
    <mergeCell ref="BEO5:BEU5"/>
    <mergeCell ref="BBP5:BBV5"/>
    <mergeCell ref="BBW5:BCC5"/>
    <mergeCell ref="BCD5:BCJ5"/>
    <mergeCell ref="BCK5:BCQ5"/>
    <mergeCell ref="BCR5:BCX5"/>
    <mergeCell ref="BCY5:BDE5"/>
    <mergeCell ref="AZZ5:BAF5"/>
    <mergeCell ref="BAG5:BAM5"/>
    <mergeCell ref="BAN5:BAT5"/>
    <mergeCell ref="BAU5:BBA5"/>
    <mergeCell ref="BBB5:BBH5"/>
    <mergeCell ref="BBI5:BBO5"/>
    <mergeCell ref="AYJ5:AYP5"/>
    <mergeCell ref="AYQ5:AYW5"/>
    <mergeCell ref="AYX5:AZD5"/>
    <mergeCell ref="AZE5:AZK5"/>
    <mergeCell ref="AZL5:AZR5"/>
    <mergeCell ref="AZS5:AZY5"/>
    <mergeCell ref="AWT5:AWZ5"/>
    <mergeCell ref="AXA5:AXG5"/>
    <mergeCell ref="AXH5:AXN5"/>
    <mergeCell ref="AXO5:AXU5"/>
    <mergeCell ref="AXV5:AYB5"/>
    <mergeCell ref="AYC5:AYI5"/>
    <mergeCell ref="AVD5:AVJ5"/>
    <mergeCell ref="AVK5:AVQ5"/>
    <mergeCell ref="AVR5:AVX5"/>
    <mergeCell ref="AVY5:AWE5"/>
    <mergeCell ref="AWF5:AWL5"/>
    <mergeCell ref="AWM5:AWS5"/>
    <mergeCell ref="ATN5:ATT5"/>
    <mergeCell ref="ATU5:AUA5"/>
    <mergeCell ref="AUB5:AUH5"/>
    <mergeCell ref="AUI5:AUO5"/>
    <mergeCell ref="AUP5:AUV5"/>
    <mergeCell ref="AUW5:AVC5"/>
    <mergeCell ref="ARX5:ASD5"/>
    <mergeCell ref="ASE5:ASK5"/>
    <mergeCell ref="ASL5:ASR5"/>
    <mergeCell ref="ASS5:ASY5"/>
    <mergeCell ref="ASZ5:ATF5"/>
    <mergeCell ref="ATG5:ATM5"/>
    <mergeCell ref="AQH5:AQN5"/>
    <mergeCell ref="AQO5:AQU5"/>
    <mergeCell ref="AQV5:ARB5"/>
    <mergeCell ref="ARC5:ARI5"/>
    <mergeCell ref="ARJ5:ARP5"/>
    <mergeCell ref="ARQ5:ARW5"/>
    <mergeCell ref="AOR5:AOX5"/>
    <mergeCell ref="AOY5:APE5"/>
    <mergeCell ref="APF5:APL5"/>
    <mergeCell ref="APM5:APS5"/>
    <mergeCell ref="APT5:APZ5"/>
    <mergeCell ref="AQA5:AQG5"/>
    <mergeCell ref="ANB5:ANH5"/>
    <mergeCell ref="ANI5:ANO5"/>
    <mergeCell ref="ANP5:ANV5"/>
    <mergeCell ref="ANW5:AOC5"/>
    <mergeCell ref="AOD5:AOJ5"/>
    <mergeCell ref="AOK5:AOQ5"/>
    <mergeCell ref="ALL5:ALR5"/>
    <mergeCell ref="ALS5:ALY5"/>
    <mergeCell ref="ALZ5:AMF5"/>
    <mergeCell ref="AMG5:AMM5"/>
    <mergeCell ref="AMN5:AMT5"/>
    <mergeCell ref="AMU5:ANA5"/>
    <mergeCell ref="AJV5:AKB5"/>
    <mergeCell ref="AKC5:AKI5"/>
    <mergeCell ref="AKJ5:AKP5"/>
    <mergeCell ref="AKQ5:AKW5"/>
    <mergeCell ref="AKX5:ALD5"/>
    <mergeCell ref="ALE5:ALK5"/>
    <mergeCell ref="AIF5:AIL5"/>
    <mergeCell ref="AIM5:AIS5"/>
    <mergeCell ref="AIT5:AIZ5"/>
    <mergeCell ref="AJA5:AJG5"/>
    <mergeCell ref="AJH5:AJN5"/>
    <mergeCell ref="AJO5:AJU5"/>
    <mergeCell ref="AGP5:AGV5"/>
    <mergeCell ref="AGW5:AHC5"/>
    <mergeCell ref="AHD5:AHJ5"/>
    <mergeCell ref="AHK5:AHQ5"/>
    <mergeCell ref="AHR5:AHX5"/>
    <mergeCell ref="AHY5:AIE5"/>
    <mergeCell ref="AEZ5:AFF5"/>
    <mergeCell ref="AFG5:AFM5"/>
    <mergeCell ref="AFN5:AFT5"/>
    <mergeCell ref="AFU5:AGA5"/>
    <mergeCell ref="AGB5:AGH5"/>
    <mergeCell ref="AGI5:AGO5"/>
    <mergeCell ref="ADJ5:ADP5"/>
    <mergeCell ref="ADQ5:ADW5"/>
    <mergeCell ref="ADX5:AED5"/>
    <mergeCell ref="AEE5:AEK5"/>
    <mergeCell ref="AEL5:AER5"/>
    <mergeCell ref="AES5:AEY5"/>
    <mergeCell ref="ABT5:ABZ5"/>
    <mergeCell ref="ACA5:ACG5"/>
    <mergeCell ref="ACH5:ACN5"/>
    <mergeCell ref="ACO5:ACU5"/>
    <mergeCell ref="ACV5:ADB5"/>
    <mergeCell ref="ADC5:ADI5"/>
    <mergeCell ref="AAD5:AAJ5"/>
    <mergeCell ref="AAK5:AAQ5"/>
    <mergeCell ref="AAR5:AAX5"/>
    <mergeCell ref="AAY5:ABE5"/>
    <mergeCell ref="ABF5:ABL5"/>
    <mergeCell ref="ABM5:ABS5"/>
    <mergeCell ref="YN5:YT5"/>
    <mergeCell ref="YU5:ZA5"/>
    <mergeCell ref="ZB5:ZH5"/>
    <mergeCell ref="ZI5:ZO5"/>
    <mergeCell ref="ZP5:ZV5"/>
    <mergeCell ref="ZW5:AAC5"/>
    <mergeCell ref="WX5:XD5"/>
    <mergeCell ref="XE5:XK5"/>
    <mergeCell ref="XL5:XR5"/>
    <mergeCell ref="XS5:XY5"/>
    <mergeCell ref="XZ5:YF5"/>
    <mergeCell ref="YG5:YM5"/>
    <mergeCell ref="VH5:VN5"/>
    <mergeCell ref="VO5:VU5"/>
    <mergeCell ref="VV5:WB5"/>
    <mergeCell ref="WC5:WI5"/>
    <mergeCell ref="WJ5:WP5"/>
    <mergeCell ref="WQ5:WW5"/>
    <mergeCell ref="TR5:TX5"/>
    <mergeCell ref="TY5:UE5"/>
    <mergeCell ref="UF5:UL5"/>
    <mergeCell ref="UM5:US5"/>
    <mergeCell ref="UT5:UZ5"/>
    <mergeCell ref="VA5:VG5"/>
    <mergeCell ref="SB5:SH5"/>
    <mergeCell ref="SI5:SO5"/>
    <mergeCell ref="SP5:SV5"/>
    <mergeCell ref="SW5:TC5"/>
    <mergeCell ref="TD5:TJ5"/>
    <mergeCell ref="TK5:TQ5"/>
    <mergeCell ref="QL5:QR5"/>
    <mergeCell ref="QS5:QY5"/>
    <mergeCell ref="QZ5:RF5"/>
    <mergeCell ref="RG5:RM5"/>
    <mergeCell ref="RN5:RT5"/>
    <mergeCell ref="RU5:SA5"/>
    <mergeCell ref="OV5:PB5"/>
    <mergeCell ref="PC5:PI5"/>
    <mergeCell ref="PJ5:PP5"/>
    <mergeCell ref="PQ5:PW5"/>
    <mergeCell ref="PX5:QD5"/>
    <mergeCell ref="QE5:QK5"/>
    <mergeCell ref="NF5:NL5"/>
    <mergeCell ref="NM5:NS5"/>
    <mergeCell ref="NT5:NZ5"/>
    <mergeCell ref="OA5:OG5"/>
    <mergeCell ref="OH5:ON5"/>
    <mergeCell ref="OO5:OU5"/>
    <mergeCell ref="LP5:LV5"/>
    <mergeCell ref="LW5:MC5"/>
    <mergeCell ref="MD5:MJ5"/>
    <mergeCell ref="MK5:MQ5"/>
    <mergeCell ref="MR5:MX5"/>
    <mergeCell ref="MY5:NE5"/>
    <mergeCell ref="JZ5:KF5"/>
    <mergeCell ref="KG5:KM5"/>
    <mergeCell ref="KN5:KT5"/>
    <mergeCell ref="KU5:LA5"/>
    <mergeCell ref="LB5:LH5"/>
    <mergeCell ref="LI5:LO5"/>
    <mergeCell ref="IJ5:IP5"/>
    <mergeCell ref="IQ5:IW5"/>
    <mergeCell ref="IX5:JD5"/>
    <mergeCell ref="JE5:JK5"/>
    <mergeCell ref="JL5:JR5"/>
    <mergeCell ref="JS5:JY5"/>
    <mergeCell ref="GT5:GZ5"/>
    <mergeCell ref="HA5:HG5"/>
    <mergeCell ref="HH5:HN5"/>
    <mergeCell ref="HO5:HU5"/>
    <mergeCell ref="HV5:IB5"/>
    <mergeCell ref="IC5:II5"/>
    <mergeCell ref="FD5:FJ5"/>
    <mergeCell ref="FK5:FQ5"/>
    <mergeCell ref="FR5:FX5"/>
    <mergeCell ref="FY5:GE5"/>
    <mergeCell ref="GF5:GL5"/>
    <mergeCell ref="GM5:GS5"/>
    <mergeCell ref="DN5:DT5"/>
    <mergeCell ref="DU5:EA5"/>
    <mergeCell ref="EB5:EH5"/>
    <mergeCell ref="EI5:EO5"/>
    <mergeCell ref="EP5:EV5"/>
    <mergeCell ref="EW5:FC5"/>
    <mergeCell ref="BX5:CD5"/>
    <mergeCell ref="CE5:CK5"/>
    <mergeCell ref="CL5:CR5"/>
    <mergeCell ref="CS5:CY5"/>
    <mergeCell ref="CZ5:DF5"/>
    <mergeCell ref="DG5:DM5"/>
    <mergeCell ref="AH5:AN5"/>
    <mergeCell ref="AO5:AU5"/>
    <mergeCell ref="AV5:BB5"/>
    <mergeCell ref="BC5:BI5"/>
    <mergeCell ref="BJ5:BP5"/>
    <mergeCell ref="BQ5:BW5"/>
    <mergeCell ref="A4:H4"/>
    <mergeCell ref="A5:H5"/>
    <mergeCell ref="I5:L5"/>
    <mergeCell ref="M5:S5"/>
    <mergeCell ref="T5:Z5"/>
    <mergeCell ref="AA5:AG5"/>
    <mergeCell ref="A1:H1"/>
    <mergeCell ref="I1:N1"/>
    <mergeCell ref="A2:H2"/>
    <mergeCell ref="I2:N2"/>
    <mergeCell ref="A3:H3"/>
    <mergeCell ref="I3:N3"/>
  </mergeCells>
  <printOptions horizontalCentered="1"/>
  <pageMargins left="0.5" right="0.5" top="0.75" bottom="0.75" header="0.5" footer="0.5"/>
  <pageSetup scale="90" fitToHeight="3" orientation="landscape" r:id="rId1"/>
  <headerFooter alignWithMargins="0">
    <oddFooter>&amp;C&amp;"Times New Roman,Regular"Page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62376-6999-4357-B7BB-155C0EAB5182}">
  <sheetPr>
    <tabColor rgb="FFCCFFFF"/>
  </sheetPr>
  <dimension ref="A1:I270"/>
  <sheetViews>
    <sheetView zoomScaleNormal="100" workbookViewId="0">
      <selection activeCell="J262" sqref="J262"/>
    </sheetView>
  </sheetViews>
  <sheetFormatPr defaultColWidth="9.05859375" defaultRowHeight="12.6" x14ac:dyDescent="0.45"/>
  <cols>
    <col min="1" max="1" width="10.46875" style="321" customWidth="1"/>
    <col min="2" max="2" width="10.46875" style="320" customWidth="1"/>
    <col min="3" max="3" width="20.5859375" style="312" customWidth="1"/>
    <col min="4" max="4" width="75.46875" style="312" customWidth="1"/>
    <col min="5" max="5" width="10.46875" style="313" customWidth="1"/>
    <col min="6" max="6" width="6.46875" style="321" customWidth="1"/>
    <col min="7" max="7" width="10" style="322" customWidth="1"/>
    <col min="8" max="8" width="13.05859375" style="323" customWidth="1"/>
    <col min="9" max="16384" width="9.05859375" style="312"/>
  </cols>
  <sheetData>
    <row r="1" spans="1:9" ht="12.75" customHeight="1" x14ac:dyDescent="0.45">
      <c r="A1" s="406" t="s">
        <v>4992</v>
      </c>
      <c r="B1" s="406"/>
      <c r="C1" s="406"/>
      <c r="D1" s="406"/>
      <c r="E1" s="406"/>
      <c r="F1" s="406"/>
      <c r="G1" s="406"/>
      <c r="H1" s="406"/>
    </row>
    <row r="2" spans="1:9" ht="12.75" customHeight="1" x14ac:dyDescent="0.45">
      <c r="A2" s="406" t="s">
        <v>0</v>
      </c>
      <c r="B2" s="406"/>
      <c r="C2" s="406"/>
      <c r="D2" s="406"/>
      <c r="E2" s="406"/>
      <c r="F2" s="406"/>
      <c r="G2" s="406"/>
      <c r="H2" s="406"/>
    </row>
    <row r="3" spans="1:9" ht="12.75" customHeight="1" x14ac:dyDescent="0.45">
      <c r="A3" s="406" t="s">
        <v>4991</v>
      </c>
      <c r="B3" s="406"/>
      <c r="C3" s="406"/>
      <c r="D3" s="406"/>
      <c r="E3" s="406"/>
      <c r="F3" s="406"/>
      <c r="G3" s="406"/>
      <c r="H3" s="406"/>
    </row>
    <row r="4" spans="1:9" x14ac:dyDescent="0.45">
      <c r="A4" s="405"/>
      <c r="B4" s="405"/>
      <c r="C4" s="405"/>
      <c r="D4" s="405"/>
      <c r="E4" s="405"/>
      <c r="F4" s="405"/>
      <c r="G4" s="405"/>
      <c r="H4" s="405"/>
    </row>
    <row r="5" spans="1:9" x14ac:dyDescent="0.45">
      <c r="A5" s="405" t="s">
        <v>454</v>
      </c>
      <c r="B5" s="405"/>
      <c r="C5" s="405"/>
      <c r="D5" s="405"/>
      <c r="E5" s="405"/>
      <c r="F5" s="405"/>
      <c r="G5" s="405"/>
      <c r="H5" s="405"/>
    </row>
    <row r="6" spans="1:9" x14ac:dyDescent="0.45">
      <c r="A6" s="405" t="s">
        <v>455</v>
      </c>
      <c r="B6" s="405"/>
      <c r="C6" s="405"/>
      <c r="D6" s="405"/>
      <c r="E6" s="405"/>
      <c r="F6" s="405"/>
      <c r="G6" s="405"/>
      <c r="H6" s="405"/>
    </row>
    <row r="7" spans="1:9" x14ac:dyDescent="0.45">
      <c r="A7" s="405"/>
      <c r="B7" s="405"/>
      <c r="C7" s="405"/>
      <c r="D7" s="405"/>
      <c r="E7" s="405"/>
      <c r="F7" s="405"/>
      <c r="G7" s="405"/>
      <c r="H7" s="405"/>
    </row>
    <row r="8" spans="1:9" s="142" customFormat="1" x14ac:dyDescent="0.45">
      <c r="A8" s="413" t="s">
        <v>456</v>
      </c>
      <c r="B8" s="414"/>
      <c r="C8" s="414"/>
      <c r="D8" s="415"/>
      <c r="E8" s="415"/>
      <c r="F8" s="415"/>
      <c r="G8" s="415"/>
      <c r="H8" s="416"/>
    </row>
    <row r="9" spans="1:9" s="142" customFormat="1" ht="27.7" customHeight="1" x14ac:dyDescent="0.45">
      <c r="A9" s="417" t="s">
        <v>5034</v>
      </c>
      <c r="B9" s="418"/>
      <c r="C9" s="418"/>
      <c r="D9" s="418"/>
      <c r="E9" s="418"/>
      <c r="F9" s="418"/>
      <c r="G9" s="418"/>
      <c r="H9" s="419"/>
    </row>
    <row r="10" spans="1:9" s="142" customFormat="1" x14ac:dyDescent="0.45">
      <c r="A10" s="420" t="s">
        <v>458</v>
      </c>
      <c r="B10" s="421"/>
      <c r="C10" s="421"/>
      <c r="D10" s="421"/>
      <c r="E10" s="421"/>
      <c r="F10" s="421"/>
      <c r="G10" s="421"/>
      <c r="H10" s="422"/>
    </row>
    <row r="11" spans="1:9" s="330" customFormat="1" ht="36.9" x14ac:dyDescent="0.45">
      <c r="A11" s="433" t="s">
        <v>459</v>
      </c>
      <c r="B11" s="324" t="s">
        <v>460</v>
      </c>
      <c r="C11" s="325" t="s">
        <v>461</v>
      </c>
      <c r="D11" s="326" t="s">
        <v>462</v>
      </c>
      <c r="E11" s="327" t="s">
        <v>463</v>
      </c>
      <c r="F11" s="328" t="s">
        <v>464</v>
      </c>
      <c r="G11" s="329" t="s">
        <v>465</v>
      </c>
      <c r="H11" s="434" t="s">
        <v>466</v>
      </c>
    </row>
    <row r="12" spans="1:9" s="335" customFormat="1" x14ac:dyDescent="0.45">
      <c r="A12" s="407" t="s">
        <v>467</v>
      </c>
      <c r="B12" s="408"/>
      <c r="C12" s="409"/>
      <c r="D12" s="409"/>
      <c r="E12" s="331"/>
      <c r="F12" s="332"/>
      <c r="G12" s="333"/>
      <c r="H12" s="334"/>
    </row>
    <row r="13" spans="1:9" s="142" customFormat="1" ht="7.5" customHeight="1" x14ac:dyDescent="0.45">
      <c r="A13" s="154"/>
      <c r="B13" s="154"/>
      <c r="C13" s="155"/>
      <c r="D13" s="155"/>
      <c r="E13" s="156"/>
      <c r="F13" s="155"/>
      <c r="G13" s="157"/>
      <c r="H13" s="158"/>
    </row>
    <row r="14" spans="1:9" s="142" customFormat="1" ht="13" customHeight="1" x14ac:dyDescent="0.45">
      <c r="A14" s="159"/>
      <c r="B14" s="160">
        <v>200000</v>
      </c>
      <c r="C14" s="159"/>
      <c r="D14" s="159" t="s">
        <v>468</v>
      </c>
      <c r="E14" s="209"/>
      <c r="F14" s="209"/>
      <c r="G14" s="210"/>
      <c r="H14" s="211"/>
    </row>
    <row r="15" spans="1:9" s="318" customFormat="1" ht="63" x14ac:dyDescent="0.45">
      <c r="A15" s="336" t="s">
        <v>469</v>
      </c>
      <c r="B15" s="336"/>
      <c r="C15" s="337" t="s">
        <v>470</v>
      </c>
      <c r="D15" s="338" t="s">
        <v>471</v>
      </c>
      <c r="E15" s="339"/>
      <c r="F15" s="336" t="s">
        <v>472</v>
      </c>
      <c r="G15" s="340">
        <v>5</v>
      </c>
      <c r="H15" s="317">
        <f>SUM(E15)*G15</f>
        <v>0</v>
      </c>
      <c r="I15" s="341"/>
    </row>
    <row r="16" spans="1:9" s="318" customFormat="1" x14ac:dyDescent="0.45">
      <c r="A16" s="342" t="s">
        <v>473</v>
      </c>
      <c r="B16" s="343" t="s">
        <v>180</v>
      </c>
      <c r="D16" s="344"/>
      <c r="E16" s="316"/>
      <c r="F16" s="314"/>
      <c r="G16" s="304"/>
      <c r="H16" s="317"/>
    </row>
    <row r="17" spans="1:8" s="142" customFormat="1" ht="13" customHeight="1" x14ac:dyDescent="0.45">
      <c r="A17" s="159"/>
      <c r="B17" s="159">
        <v>1401000</v>
      </c>
      <c r="C17" s="159"/>
      <c r="D17" s="159" t="s">
        <v>474</v>
      </c>
      <c r="E17" s="159"/>
      <c r="F17" s="159"/>
      <c r="G17" s="159"/>
      <c r="H17" s="163"/>
    </row>
    <row r="18" spans="1:8" s="318" customFormat="1" ht="88.2" x14ac:dyDescent="0.45">
      <c r="A18" s="314" t="s">
        <v>475</v>
      </c>
      <c r="B18" s="314"/>
      <c r="C18" s="343" t="s">
        <v>476</v>
      </c>
      <c r="D18" s="315" t="s">
        <v>477</v>
      </c>
      <c r="E18" s="316"/>
      <c r="F18" s="314" t="s">
        <v>472</v>
      </c>
      <c r="G18" s="304">
        <v>4</v>
      </c>
      <c r="H18" s="317">
        <f t="shared" ref="H18:H29" si="0">SUM(E18)*G18</f>
        <v>0</v>
      </c>
    </row>
    <row r="19" spans="1:8" s="318" customFormat="1" ht="63" x14ac:dyDescent="0.45">
      <c r="A19" s="314" t="s">
        <v>478</v>
      </c>
      <c r="B19" s="314"/>
      <c r="C19" s="315" t="s">
        <v>479</v>
      </c>
      <c r="D19" s="315" t="s">
        <v>480</v>
      </c>
      <c r="E19" s="316"/>
      <c r="F19" s="314" t="s">
        <v>472</v>
      </c>
      <c r="G19" s="304">
        <v>4</v>
      </c>
      <c r="H19" s="317">
        <f t="shared" si="0"/>
        <v>0</v>
      </c>
    </row>
    <row r="20" spans="1:8" s="318" customFormat="1" ht="63" x14ac:dyDescent="0.45">
      <c r="A20" s="314" t="s">
        <v>481</v>
      </c>
      <c r="B20" s="314"/>
      <c r="C20" s="315" t="s">
        <v>482</v>
      </c>
      <c r="D20" s="315" t="s">
        <v>483</v>
      </c>
      <c r="E20" s="316"/>
      <c r="F20" s="314" t="s">
        <v>472</v>
      </c>
      <c r="G20" s="304">
        <v>4</v>
      </c>
      <c r="H20" s="317">
        <f t="shared" si="0"/>
        <v>0</v>
      </c>
    </row>
    <row r="21" spans="1:8" s="318" customFormat="1" ht="50.4" x14ac:dyDescent="0.45">
      <c r="A21" s="314" t="s">
        <v>484</v>
      </c>
      <c r="B21" s="314"/>
      <c r="C21" s="315" t="s">
        <v>485</v>
      </c>
      <c r="D21" s="315" t="s">
        <v>486</v>
      </c>
      <c r="E21" s="316"/>
      <c r="F21" s="314" t="s">
        <v>472</v>
      </c>
      <c r="G21" s="304">
        <v>8</v>
      </c>
      <c r="H21" s="317">
        <f t="shared" si="0"/>
        <v>0</v>
      </c>
    </row>
    <row r="22" spans="1:8" s="318" customFormat="1" ht="63" x14ac:dyDescent="0.45">
      <c r="A22" s="314" t="s">
        <v>487</v>
      </c>
      <c r="B22" s="314"/>
      <c r="C22" s="315" t="s">
        <v>488</v>
      </c>
      <c r="D22" s="315" t="s">
        <v>489</v>
      </c>
      <c r="E22" s="316"/>
      <c r="F22" s="314" t="s">
        <v>472</v>
      </c>
      <c r="G22" s="304">
        <v>4</v>
      </c>
      <c r="H22" s="317">
        <f t="shared" si="0"/>
        <v>0</v>
      </c>
    </row>
    <row r="23" spans="1:8" s="318" customFormat="1" ht="63" x14ac:dyDescent="0.45">
      <c r="A23" s="314" t="s">
        <v>490</v>
      </c>
      <c r="B23" s="314"/>
      <c r="C23" s="315" t="s">
        <v>491</v>
      </c>
      <c r="D23" s="315" t="s">
        <v>492</v>
      </c>
      <c r="E23" s="316"/>
      <c r="F23" s="314" t="s">
        <v>472</v>
      </c>
      <c r="G23" s="304">
        <v>4</v>
      </c>
      <c r="H23" s="317">
        <f t="shared" si="0"/>
        <v>0</v>
      </c>
    </row>
    <row r="24" spans="1:8" s="318" customFormat="1" ht="50.4" x14ac:dyDescent="0.45">
      <c r="A24" s="314" t="s">
        <v>493</v>
      </c>
      <c r="B24" s="314"/>
      <c r="C24" s="315" t="s">
        <v>494</v>
      </c>
      <c r="D24" s="315" t="s">
        <v>495</v>
      </c>
      <c r="E24" s="316"/>
      <c r="F24" s="314" t="s">
        <v>472</v>
      </c>
      <c r="G24" s="304">
        <v>4</v>
      </c>
      <c r="H24" s="317">
        <f t="shared" si="0"/>
        <v>0</v>
      </c>
    </row>
    <row r="25" spans="1:8" s="318" customFormat="1" ht="63" x14ac:dyDescent="0.45">
      <c r="A25" s="314" t="s">
        <v>496</v>
      </c>
      <c r="B25" s="314"/>
      <c r="C25" s="315" t="s">
        <v>497</v>
      </c>
      <c r="D25" s="315" t="s">
        <v>498</v>
      </c>
      <c r="E25" s="316"/>
      <c r="F25" s="314" t="s">
        <v>472</v>
      </c>
      <c r="G25" s="304">
        <v>4</v>
      </c>
      <c r="H25" s="317">
        <f t="shared" si="0"/>
        <v>0</v>
      </c>
    </row>
    <row r="26" spans="1:8" s="318" customFormat="1" ht="63" x14ac:dyDescent="0.45">
      <c r="A26" s="314" t="s">
        <v>499</v>
      </c>
      <c r="B26" s="314"/>
      <c r="C26" s="315" t="s">
        <v>500</v>
      </c>
      <c r="D26" s="315" t="s">
        <v>501</v>
      </c>
      <c r="E26" s="316"/>
      <c r="F26" s="314" t="s">
        <v>472</v>
      </c>
      <c r="G26" s="304">
        <v>4</v>
      </c>
      <c r="H26" s="317">
        <f t="shared" si="0"/>
        <v>0</v>
      </c>
    </row>
    <row r="27" spans="1:8" s="318" customFormat="1" ht="126" x14ac:dyDescent="0.45">
      <c r="A27" s="314" t="s">
        <v>502</v>
      </c>
      <c r="B27" s="314"/>
      <c r="C27" s="315" t="s">
        <v>503</v>
      </c>
      <c r="D27" s="315" t="s">
        <v>504</v>
      </c>
      <c r="E27" s="316"/>
      <c r="F27" s="314" t="s">
        <v>472</v>
      </c>
      <c r="G27" s="304">
        <v>10</v>
      </c>
      <c r="H27" s="317">
        <f t="shared" si="0"/>
        <v>0</v>
      </c>
    </row>
    <row r="28" spans="1:8" s="318" customFormat="1" ht="88.2" x14ac:dyDescent="0.45">
      <c r="A28" s="314" t="s">
        <v>505</v>
      </c>
      <c r="B28" s="314"/>
      <c r="C28" s="315" t="s">
        <v>506</v>
      </c>
      <c r="D28" s="345" t="s">
        <v>507</v>
      </c>
      <c r="E28" s="316"/>
      <c r="F28" s="314" t="s">
        <v>508</v>
      </c>
      <c r="G28" s="304">
        <v>300</v>
      </c>
      <c r="H28" s="317">
        <f t="shared" si="0"/>
        <v>0</v>
      </c>
    </row>
    <row r="29" spans="1:8" s="318" customFormat="1" ht="88.2" x14ac:dyDescent="0.45">
      <c r="A29" s="314" t="s">
        <v>509</v>
      </c>
      <c r="B29" s="314"/>
      <c r="C29" s="315" t="s">
        <v>510</v>
      </c>
      <c r="D29" s="345" t="s">
        <v>511</v>
      </c>
      <c r="E29" s="316"/>
      <c r="F29" s="314" t="s">
        <v>508</v>
      </c>
      <c r="G29" s="304">
        <v>300</v>
      </c>
      <c r="H29" s="317">
        <f t="shared" si="0"/>
        <v>0</v>
      </c>
    </row>
    <row r="30" spans="1:8" s="318" customFormat="1" x14ac:dyDescent="0.45">
      <c r="A30" s="342" t="s">
        <v>512</v>
      </c>
      <c r="B30" s="343" t="s">
        <v>180</v>
      </c>
      <c r="D30" s="344"/>
      <c r="E30" s="316"/>
      <c r="F30" s="314"/>
      <c r="G30" s="304"/>
      <c r="H30" s="317"/>
    </row>
    <row r="31" spans="1:8" s="142" customFormat="1" ht="13" customHeight="1" x14ac:dyDescent="0.45">
      <c r="A31" s="159"/>
      <c r="B31" s="159">
        <v>1402000</v>
      </c>
      <c r="C31" s="159"/>
      <c r="D31" s="159" t="s">
        <v>513</v>
      </c>
      <c r="E31" s="159"/>
      <c r="F31" s="161"/>
      <c r="G31" s="210"/>
      <c r="H31" s="163"/>
    </row>
    <row r="32" spans="1:8" s="318" customFormat="1" ht="63" x14ac:dyDescent="0.45">
      <c r="A32" s="314" t="s">
        <v>514</v>
      </c>
      <c r="B32" s="314"/>
      <c r="C32" s="343" t="s">
        <v>515</v>
      </c>
      <c r="D32" s="343" t="s">
        <v>516</v>
      </c>
      <c r="E32" s="316"/>
      <c r="F32" s="314" t="s">
        <v>472</v>
      </c>
      <c r="G32" s="304">
        <v>50</v>
      </c>
      <c r="H32" s="317">
        <f>SUM(E32)*G32</f>
        <v>0</v>
      </c>
    </row>
    <row r="33" spans="1:8" s="318" customFormat="1" ht="63" x14ac:dyDescent="0.45">
      <c r="A33" s="314" t="s">
        <v>517</v>
      </c>
      <c r="B33" s="314"/>
      <c r="C33" s="343" t="s">
        <v>518</v>
      </c>
      <c r="D33" s="343" t="s">
        <v>519</v>
      </c>
      <c r="E33" s="316"/>
      <c r="F33" s="314" t="s">
        <v>472</v>
      </c>
      <c r="G33" s="304">
        <v>40</v>
      </c>
      <c r="H33" s="317">
        <f>SUM(E33)*G33</f>
        <v>0</v>
      </c>
    </row>
    <row r="34" spans="1:8" s="318" customFormat="1" ht="37.799999999999997" x14ac:dyDescent="0.45">
      <c r="A34" s="314" t="s">
        <v>520</v>
      </c>
      <c r="B34" s="314"/>
      <c r="C34" s="343" t="s">
        <v>521</v>
      </c>
      <c r="D34" s="343" t="s">
        <v>522</v>
      </c>
      <c r="E34" s="316"/>
      <c r="F34" s="314" t="s">
        <v>472</v>
      </c>
      <c r="G34" s="304">
        <v>50</v>
      </c>
      <c r="H34" s="317">
        <f>SUM(E34)*G34</f>
        <v>0</v>
      </c>
    </row>
    <row r="35" spans="1:8" s="318" customFormat="1" ht="37.799999999999997" x14ac:dyDescent="0.45">
      <c r="A35" s="314" t="s">
        <v>523</v>
      </c>
      <c r="B35" s="314"/>
      <c r="C35" s="343" t="s">
        <v>524</v>
      </c>
      <c r="D35" s="343" t="s">
        <v>525</v>
      </c>
      <c r="E35" s="316"/>
      <c r="F35" s="314" t="s">
        <v>472</v>
      </c>
      <c r="G35" s="304">
        <v>40</v>
      </c>
      <c r="H35" s="317">
        <f>SUM(E35)*G35</f>
        <v>0</v>
      </c>
    </row>
    <row r="36" spans="1:8" s="318" customFormat="1" x14ac:dyDescent="0.45">
      <c r="A36" s="342" t="s">
        <v>526</v>
      </c>
      <c r="B36" s="343" t="s">
        <v>180</v>
      </c>
      <c r="D36" s="344"/>
      <c r="E36" s="316"/>
      <c r="F36" s="314"/>
      <c r="G36" s="304"/>
      <c r="H36" s="317"/>
    </row>
    <row r="37" spans="1:8" s="142" customFormat="1" ht="13" customHeight="1" x14ac:dyDescent="0.45">
      <c r="A37" s="159"/>
      <c r="B37" s="159">
        <v>1502000</v>
      </c>
      <c r="C37" s="159"/>
      <c r="D37" s="159" t="s">
        <v>18</v>
      </c>
      <c r="E37" s="159"/>
      <c r="F37" s="159"/>
      <c r="G37" s="210"/>
      <c r="H37" s="163"/>
    </row>
    <row r="38" spans="1:8" s="318" customFormat="1" ht="37.799999999999997" x14ac:dyDescent="0.45">
      <c r="A38" s="314" t="s">
        <v>527</v>
      </c>
      <c r="B38" s="314"/>
      <c r="C38" s="343" t="s">
        <v>528</v>
      </c>
      <c r="D38" s="343" t="s">
        <v>529</v>
      </c>
      <c r="E38" s="316"/>
      <c r="F38" s="314" t="s">
        <v>508</v>
      </c>
      <c r="G38" s="304">
        <v>3000</v>
      </c>
      <c r="H38" s="317">
        <f t="shared" ref="H38:H49" si="1">SUM(E38)*G38</f>
        <v>0</v>
      </c>
    </row>
    <row r="39" spans="1:8" s="318" customFormat="1" ht="63" x14ac:dyDescent="0.45">
      <c r="A39" s="314" t="s">
        <v>530</v>
      </c>
      <c r="B39" s="314"/>
      <c r="C39" s="343" t="s">
        <v>531</v>
      </c>
      <c r="D39" s="343" t="s">
        <v>532</v>
      </c>
      <c r="E39" s="316"/>
      <c r="F39" s="314" t="s">
        <v>533</v>
      </c>
      <c r="G39" s="304">
        <v>3000</v>
      </c>
      <c r="H39" s="317">
        <f t="shared" si="1"/>
        <v>0</v>
      </c>
    </row>
    <row r="40" spans="1:8" s="318" customFormat="1" ht="75.599999999999994" x14ac:dyDescent="0.45">
      <c r="A40" s="314" t="s">
        <v>534</v>
      </c>
      <c r="B40" s="314"/>
      <c r="C40" s="343" t="s">
        <v>535</v>
      </c>
      <c r="D40" s="343" t="s">
        <v>536</v>
      </c>
      <c r="E40" s="316"/>
      <c r="F40" s="314" t="s">
        <v>508</v>
      </c>
      <c r="G40" s="304">
        <v>2000</v>
      </c>
      <c r="H40" s="317">
        <f t="shared" si="1"/>
        <v>0</v>
      </c>
    </row>
    <row r="41" spans="1:8" s="318" customFormat="1" ht="75.599999999999994" x14ac:dyDescent="0.45">
      <c r="A41" s="314" t="s">
        <v>537</v>
      </c>
      <c r="B41" s="314"/>
      <c r="C41" s="343" t="s">
        <v>538</v>
      </c>
      <c r="D41" s="343" t="s">
        <v>539</v>
      </c>
      <c r="E41" s="316"/>
      <c r="F41" s="314" t="s">
        <v>508</v>
      </c>
      <c r="G41" s="304">
        <v>2000</v>
      </c>
      <c r="H41" s="317">
        <f t="shared" si="1"/>
        <v>0</v>
      </c>
    </row>
    <row r="42" spans="1:8" s="318" customFormat="1" ht="63" x14ac:dyDescent="0.45">
      <c r="A42" s="314" t="s">
        <v>540</v>
      </c>
      <c r="B42" s="314"/>
      <c r="C42" s="343" t="s">
        <v>541</v>
      </c>
      <c r="D42" s="343" t="s">
        <v>542</v>
      </c>
      <c r="E42" s="316"/>
      <c r="F42" s="314" t="s">
        <v>543</v>
      </c>
      <c r="G42" s="304">
        <v>19500</v>
      </c>
      <c r="H42" s="317">
        <f t="shared" si="1"/>
        <v>0</v>
      </c>
    </row>
    <row r="43" spans="1:8" s="318" customFormat="1" ht="37.799999999999997" x14ac:dyDescent="0.45">
      <c r="A43" s="314" t="s">
        <v>544</v>
      </c>
      <c r="B43" s="314"/>
      <c r="C43" s="343" t="s">
        <v>545</v>
      </c>
      <c r="D43" s="343" t="s">
        <v>546</v>
      </c>
      <c r="E43" s="316"/>
      <c r="F43" s="314" t="s">
        <v>472</v>
      </c>
      <c r="G43" s="304">
        <v>10</v>
      </c>
      <c r="H43" s="317">
        <f t="shared" si="1"/>
        <v>0</v>
      </c>
    </row>
    <row r="44" spans="1:8" s="318" customFormat="1" ht="176.4" x14ac:dyDescent="0.45">
      <c r="A44" s="314" t="s">
        <v>547</v>
      </c>
      <c r="B44" s="314"/>
      <c r="C44" s="343" t="s">
        <v>548</v>
      </c>
      <c r="D44" s="315" t="s">
        <v>549</v>
      </c>
      <c r="E44" s="316"/>
      <c r="F44" s="314" t="s">
        <v>472</v>
      </c>
      <c r="G44" s="304">
        <v>25</v>
      </c>
      <c r="H44" s="317">
        <f t="shared" si="1"/>
        <v>0</v>
      </c>
    </row>
    <row r="45" spans="1:8" s="318" customFormat="1" ht="50.4" x14ac:dyDescent="0.45">
      <c r="A45" s="314" t="s">
        <v>550</v>
      </c>
      <c r="B45" s="314"/>
      <c r="C45" s="315" t="s">
        <v>551</v>
      </c>
      <c r="D45" s="343" t="s">
        <v>552</v>
      </c>
      <c r="E45" s="316"/>
      <c r="F45" s="314" t="s">
        <v>472</v>
      </c>
      <c r="G45" s="304">
        <v>38</v>
      </c>
      <c r="H45" s="317">
        <f t="shared" si="1"/>
        <v>0</v>
      </c>
    </row>
    <row r="46" spans="1:8" s="318" customFormat="1" ht="50.4" x14ac:dyDescent="0.45">
      <c r="A46" s="314" t="s">
        <v>553</v>
      </c>
      <c r="B46" s="314"/>
      <c r="C46" s="315" t="s">
        <v>554</v>
      </c>
      <c r="D46" s="343" t="s">
        <v>555</v>
      </c>
      <c r="E46" s="316"/>
      <c r="F46" s="314" t="s">
        <v>472</v>
      </c>
      <c r="G46" s="304">
        <v>38</v>
      </c>
      <c r="H46" s="317">
        <f t="shared" si="1"/>
        <v>0</v>
      </c>
    </row>
    <row r="47" spans="1:8" s="318" customFormat="1" ht="50.4" x14ac:dyDescent="0.45">
      <c r="A47" s="314" t="s">
        <v>556</v>
      </c>
      <c r="B47" s="314"/>
      <c r="C47" s="315" t="s">
        <v>557</v>
      </c>
      <c r="D47" s="343" t="s">
        <v>558</v>
      </c>
      <c r="E47" s="316"/>
      <c r="F47" s="314" t="s">
        <v>472</v>
      </c>
      <c r="G47" s="304">
        <v>38</v>
      </c>
      <c r="H47" s="317">
        <f t="shared" si="1"/>
        <v>0</v>
      </c>
    </row>
    <row r="48" spans="1:8" s="318" customFormat="1" ht="70.5" x14ac:dyDescent="0.45">
      <c r="A48" s="314" t="s">
        <v>559</v>
      </c>
      <c r="B48" s="314"/>
      <c r="C48" s="315" t="s">
        <v>560</v>
      </c>
      <c r="D48" s="346" t="s">
        <v>561</v>
      </c>
      <c r="E48" s="316"/>
      <c r="F48" s="314" t="s">
        <v>472</v>
      </c>
      <c r="G48" s="304">
        <v>14</v>
      </c>
      <c r="H48" s="317">
        <f t="shared" si="1"/>
        <v>0</v>
      </c>
    </row>
    <row r="49" spans="1:8" s="318" customFormat="1" ht="70.5" x14ac:dyDescent="0.45">
      <c r="A49" s="314" t="s">
        <v>562</v>
      </c>
      <c r="B49" s="314"/>
      <c r="C49" s="315" t="s">
        <v>563</v>
      </c>
      <c r="D49" s="346" t="s">
        <v>564</v>
      </c>
      <c r="E49" s="316"/>
      <c r="F49" s="314" t="s">
        <v>472</v>
      </c>
      <c r="G49" s="304">
        <v>14</v>
      </c>
      <c r="H49" s="317">
        <f t="shared" si="1"/>
        <v>0</v>
      </c>
    </row>
    <row r="50" spans="1:8" s="318" customFormat="1" ht="70.5" x14ac:dyDescent="0.45">
      <c r="A50" s="314" t="s">
        <v>565</v>
      </c>
      <c r="B50" s="314"/>
      <c r="C50" s="315" t="s">
        <v>566</v>
      </c>
      <c r="D50" s="346" t="s">
        <v>567</v>
      </c>
      <c r="E50" s="316"/>
      <c r="F50" s="314" t="s">
        <v>568</v>
      </c>
      <c r="G50" s="304">
        <v>35</v>
      </c>
      <c r="H50" s="317">
        <f>SUM(E50)*G50</f>
        <v>0</v>
      </c>
    </row>
    <row r="51" spans="1:8" s="318" customFormat="1" ht="106.5" customHeight="1" x14ac:dyDescent="0.45">
      <c r="A51" s="314" t="s">
        <v>569</v>
      </c>
      <c r="B51" s="315"/>
      <c r="C51" s="315" t="s">
        <v>570</v>
      </c>
      <c r="D51" s="315" t="s">
        <v>571</v>
      </c>
      <c r="E51" s="316"/>
      <c r="F51" s="314" t="s">
        <v>472</v>
      </c>
      <c r="G51" s="304">
        <v>50</v>
      </c>
      <c r="H51" s="317">
        <f t="shared" ref="H51:H54" si="2">SUM(E51)*G51</f>
        <v>0</v>
      </c>
    </row>
    <row r="52" spans="1:8" s="318" customFormat="1" ht="409.2" customHeight="1" x14ac:dyDescent="0.45">
      <c r="A52" s="314" t="s">
        <v>572</v>
      </c>
      <c r="B52" s="315"/>
      <c r="C52" s="315" t="s">
        <v>573</v>
      </c>
      <c r="D52" s="315" t="s">
        <v>574</v>
      </c>
      <c r="E52" s="316"/>
      <c r="F52" s="314" t="s">
        <v>508</v>
      </c>
      <c r="G52" s="304">
        <v>1500</v>
      </c>
      <c r="H52" s="317">
        <f t="shared" si="2"/>
        <v>0</v>
      </c>
    </row>
    <row r="53" spans="1:8" s="318" customFormat="1" ht="206.95" customHeight="1" x14ac:dyDescent="0.45">
      <c r="A53" s="314" t="s">
        <v>575</v>
      </c>
      <c r="B53" s="315"/>
      <c r="C53" s="315" t="s">
        <v>576</v>
      </c>
      <c r="D53" s="315" t="s">
        <v>577</v>
      </c>
      <c r="E53" s="316"/>
      <c r="F53" s="314" t="s">
        <v>508</v>
      </c>
      <c r="G53" s="304">
        <v>2500</v>
      </c>
      <c r="H53" s="317">
        <f t="shared" si="2"/>
        <v>0</v>
      </c>
    </row>
    <row r="54" spans="1:8" s="318" customFormat="1" ht="88.2" x14ac:dyDescent="0.45">
      <c r="A54" s="314" t="s">
        <v>578</v>
      </c>
      <c r="B54" s="315"/>
      <c r="C54" s="347" t="s">
        <v>579</v>
      </c>
      <c r="D54" s="347" t="s">
        <v>580</v>
      </c>
      <c r="E54" s="316"/>
      <c r="F54" s="314" t="s">
        <v>508</v>
      </c>
      <c r="G54" s="304">
        <v>2000</v>
      </c>
      <c r="H54" s="317">
        <f t="shared" si="2"/>
        <v>0</v>
      </c>
    </row>
    <row r="55" spans="1:8" s="318" customFormat="1" x14ac:dyDescent="0.45">
      <c r="A55" s="342" t="s">
        <v>581</v>
      </c>
      <c r="B55" s="348" t="s">
        <v>180</v>
      </c>
      <c r="D55" s="316"/>
      <c r="E55" s="314"/>
      <c r="F55" s="304"/>
      <c r="G55" s="317"/>
    </row>
    <row r="56" spans="1:8" s="142" customFormat="1" ht="13" customHeight="1" x14ac:dyDescent="0.45">
      <c r="A56" s="159"/>
      <c r="B56" s="159">
        <v>1503010</v>
      </c>
      <c r="C56" s="159"/>
      <c r="D56" s="159" t="s">
        <v>109</v>
      </c>
      <c r="E56" s="159"/>
      <c r="F56" s="161"/>
      <c r="G56" s="210"/>
      <c r="H56" s="163"/>
    </row>
    <row r="57" spans="1:8" s="318" customFormat="1" ht="37.799999999999997" x14ac:dyDescent="0.45">
      <c r="A57" s="314" t="s">
        <v>582</v>
      </c>
      <c r="B57" s="314"/>
      <c r="C57" s="315" t="s">
        <v>583</v>
      </c>
      <c r="D57" s="315" t="s">
        <v>584</v>
      </c>
      <c r="E57" s="316"/>
      <c r="F57" s="314" t="s">
        <v>508</v>
      </c>
      <c r="G57" s="304">
        <v>500</v>
      </c>
      <c r="H57" s="317">
        <f t="shared" ref="H57:H74" si="3">SUM(E57)*G57</f>
        <v>0</v>
      </c>
    </row>
    <row r="58" spans="1:8" s="318" customFormat="1" ht="63" x14ac:dyDescent="0.45">
      <c r="A58" s="314" t="s">
        <v>585</v>
      </c>
      <c r="B58" s="314"/>
      <c r="C58" s="315" t="s">
        <v>586</v>
      </c>
      <c r="D58" s="315" t="s">
        <v>587</v>
      </c>
      <c r="E58" s="316"/>
      <c r="F58" s="314" t="s">
        <v>508</v>
      </c>
      <c r="G58" s="304">
        <v>500</v>
      </c>
      <c r="H58" s="317">
        <f t="shared" si="3"/>
        <v>0</v>
      </c>
    </row>
    <row r="59" spans="1:8" s="318" customFormat="1" ht="50.4" x14ac:dyDescent="0.45">
      <c r="A59" s="314" t="s">
        <v>588</v>
      </c>
      <c r="B59" s="314"/>
      <c r="C59" s="315" t="s">
        <v>589</v>
      </c>
      <c r="D59" s="315" t="s">
        <v>590</v>
      </c>
      <c r="E59" s="316"/>
      <c r="F59" s="314" t="s">
        <v>508</v>
      </c>
      <c r="G59" s="304">
        <v>1000</v>
      </c>
      <c r="H59" s="317">
        <f t="shared" si="3"/>
        <v>0</v>
      </c>
    </row>
    <row r="60" spans="1:8" s="318" customFormat="1" ht="50.4" x14ac:dyDescent="0.45">
      <c r="A60" s="314" t="s">
        <v>591</v>
      </c>
      <c r="B60" s="314"/>
      <c r="C60" s="315" t="s">
        <v>592</v>
      </c>
      <c r="D60" s="315" t="s">
        <v>593</v>
      </c>
      <c r="E60" s="316"/>
      <c r="F60" s="314" t="s">
        <v>508</v>
      </c>
      <c r="G60" s="304">
        <v>1000</v>
      </c>
      <c r="H60" s="317">
        <f t="shared" si="3"/>
        <v>0</v>
      </c>
    </row>
    <row r="61" spans="1:8" s="318" customFormat="1" ht="75.599999999999994" x14ac:dyDescent="0.45">
      <c r="A61" s="314" t="s">
        <v>594</v>
      </c>
      <c r="B61" s="314"/>
      <c r="C61" s="315" t="s">
        <v>595</v>
      </c>
      <c r="D61" s="315" t="s">
        <v>596</v>
      </c>
      <c r="E61" s="316"/>
      <c r="F61" s="314" t="s">
        <v>508</v>
      </c>
      <c r="G61" s="304">
        <v>1000</v>
      </c>
      <c r="H61" s="317">
        <f t="shared" si="3"/>
        <v>0</v>
      </c>
    </row>
    <row r="62" spans="1:8" s="318" customFormat="1" ht="63" x14ac:dyDescent="0.45">
      <c r="A62" s="314" t="s">
        <v>597</v>
      </c>
      <c r="B62" s="314"/>
      <c r="C62" s="315" t="s">
        <v>598</v>
      </c>
      <c r="D62" s="315" t="s">
        <v>599</v>
      </c>
      <c r="E62" s="316"/>
      <c r="F62" s="314" t="s">
        <v>508</v>
      </c>
      <c r="G62" s="304">
        <v>1000</v>
      </c>
      <c r="H62" s="317">
        <f t="shared" si="3"/>
        <v>0</v>
      </c>
    </row>
    <row r="63" spans="1:8" s="318" customFormat="1" ht="50.4" x14ac:dyDescent="0.45">
      <c r="A63" s="314" t="s">
        <v>600</v>
      </c>
      <c r="B63" s="314"/>
      <c r="C63" s="315" t="s">
        <v>601</v>
      </c>
      <c r="D63" s="315" t="s">
        <v>602</v>
      </c>
      <c r="E63" s="316"/>
      <c r="F63" s="314" t="s">
        <v>508</v>
      </c>
      <c r="G63" s="304">
        <v>1000</v>
      </c>
      <c r="H63" s="317">
        <f t="shared" si="3"/>
        <v>0</v>
      </c>
    </row>
    <row r="64" spans="1:8" s="318" customFormat="1" ht="50.4" x14ac:dyDescent="0.45">
      <c r="A64" s="314" t="s">
        <v>603</v>
      </c>
      <c r="B64" s="314"/>
      <c r="C64" s="315" t="s">
        <v>604</v>
      </c>
      <c r="D64" s="315" t="s">
        <v>605</v>
      </c>
      <c r="E64" s="316"/>
      <c r="F64" s="314" t="s">
        <v>508</v>
      </c>
      <c r="G64" s="304">
        <v>500</v>
      </c>
      <c r="H64" s="317">
        <f t="shared" si="3"/>
        <v>0</v>
      </c>
    </row>
    <row r="65" spans="1:8" s="318" customFormat="1" ht="63" x14ac:dyDescent="0.45">
      <c r="A65" s="314" t="s">
        <v>606</v>
      </c>
      <c r="B65" s="314"/>
      <c r="C65" s="315" t="s">
        <v>607</v>
      </c>
      <c r="D65" s="315" t="s">
        <v>608</v>
      </c>
      <c r="E65" s="316"/>
      <c r="F65" s="314" t="s">
        <v>508</v>
      </c>
      <c r="G65" s="304">
        <v>500</v>
      </c>
      <c r="H65" s="317">
        <f t="shared" si="3"/>
        <v>0</v>
      </c>
    </row>
    <row r="66" spans="1:8" s="318" customFormat="1" ht="37.799999999999997" x14ac:dyDescent="0.45">
      <c r="A66" s="314" t="s">
        <v>609</v>
      </c>
      <c r="B66" s="314"/>
      <c r="C66" s="315" t="s">
        <v>610</v>
      </c>
      <c r="D66" s="315" t="s">
        <v>611</v>
      </c>
      <c r="E66" s="316"/>
      <c r="F66" s="314" t="s">
        <v>508</v>
      </c>
      <c r="G66" s="304">
        <v>500</v>
      </c>
      <c r="H66" s="317">
        <f t="shared" si="3"/>
        <v>0</v>
      </c>
    </row>
    <row r="67" spans="1:8" s="318" customFormat="1" ht="63" x14ac:dyDescent="0.45">
      <c r="A67" s="314" t="s">
        <v>612</v>
      </c>
      <c r="B67" s="314"/>
      <c r="C67" s="315" t="s">
        <v>613</v>
      </c>
      <c r="D67" s="315" t="s">
        <v>614</v>
      </c>
      <c r="E67" s="316"/>
      <c r="F67" s="314" t="s">
        <v>508</v>
      </c>
      <c r="G67" s="304">
        <v>250</v>
      </c>
      <c r="H67" s="317">
        <f t="shared" si="3"/>
        <v>0</v>
      </c>
    </row>
    <row r="68" spans="1:8" s="318" customFormat="1" ht="63" x14ac:dyDescent="0.45">
      <c r="A68" s="314" t="s">
        <v>615</v>
      </c>
      <c r="B68" s="314"/>
      <c r="C68" s="315" t="s">
        <v>616</v>
      </c>
      <c r="D68" s="315" t="s">
        <v>617</v>
      </c>
      <c r="E68" s="316"/>
      <c r="F68" s="314" t="s">
        <v>508</v>
      </c>
      <c r="G68" s="304">
        <v>500</v>
      </c>
      <c r="H68" s="317">
        <f t="shared" si="3"/>
        <v>0</v>
      </c>
    </row>
    <row r="69" spans="1:8" s="318" customFormat="1" ht="63" x14ac:dyDescent="0.45">
      <c r="A69" s="314" t="s">
        <v>618</v>
      </c>
      <c r="B69" s="314"/>
      <c r="C69" s="315" t="s">
        <v>619</v>
      </c>
      <c r="D69" s="315" t="s">
        <v>620</v>
      </c>
      <c r="E69" s="316"/>
      <c r="F69" s="314" t="s">
        <v>508</v>
      </c>
      <c r="G69" s="304">
        <v>1000</v>
      </c>
      <c r="H69" s="317">
        <f t="shared" si="3"/>
        <v>0</v>
      </c>
    </row>
    <row r="70" spans="1:8" s="318" customFormat="1" ht="37.799999999999997" x14ac:dyDescent="0.45">
      <c r="A70" s="314" t="s">
        <v>621</v>
      </c>
      <c r="B70" s="314"/>
      <c r="C70" s="315" t="s">
        <v>622</v>
      </c>
      <c r="D70" s="315" t="s">
        <v>623</v>
      </c>
      <c r="E70" s="316"/>
      <c r="F70" s="314" t="s">
        <v>508</v>
      </c>
      <c r="G70" s="304">
        <v>3000</v>
      </c>
      <c r="H70" s="317">
        <f t="shared" si="3"/>
        <v>0</v>
      </c>
    </row>
    <row r="71" spans="1:8" s="318" customFormat="1" ht="37.799999999999997" x14ac:dyDescent="0.45">
      <c r="A71" s="314" t="s">
        <v>624</v>
      </c>
      <c r="B71" s="314"/>
      <c r="C71" s="315" t="s">
        <v>625</v>
      </c>
      <c r="D71" s="315" t="s">
        <v>626</v>
      </c>
      <c r="E71" s="316"/>
      <c r="F71" s="314" t="s">
        <v>472</v>
      </c>
      <c r="G71" s="304">
        <v>100</v>
      </c>
      <c r="H71" s="317">
        <f t="shared" si="3"/>
        <v>0</v>
      </c>
    </row>
    <row r="72" spans="1:8" s="318" customFormat="1" ht="50.4" x14ac:dyDescent="0.45">
      <c r="A72" s="314" t="s">
        <v>627</v>
      </c>
      <c r="B72" s="314"/>
      <c r="C72" s="315" t="s">
        <v>628</v>
      </c>
      <c r="D72" s="315" t="s">
        <v>629</v>
      </c>
      <c r="E72" s="316"/>
      <c r="F72" s="314" t="s">
        <v>472</v>
      </c>
      <c r="G72" s="304">
        <v>50</v>
      </c>
      <c r="H72" s="317">
        <f t="shared" si="3"/>
        <v>0</v>
      </c>
    </row>
    <row r="73" spans="1:8" s="318" customFormat="1" ht="75.599999999999994" x14ac:dyDescent="0.45">
      <c r="A73" s="314" t="s">
        <v>630</v>
      </c>
      <c r="B73" s="314"/>
      <c r="C73" s="315" t="s">
        <v>631</v>
      </c>
      <c r="D73" s="343" t="s">
        <v>632</v>
      </c>
      <c r="E73" s="316"/>
      <c r="F73" s="314" t="s">
        <v>633</v>
      </c>
      <c r="G73" s="304">
        <v>240</v>
      </c>
      <c r="H73" s="317">
        <f t="shared" si="3"/>
        <v>0</v>
      </c>
    </row>
    <row r="74" spans="1:8" s="318" customFormat="1" ht="176.4" x14ac:dyDescent="0.45">
      <c r="A74" s="314" t="s">
        <v>634</v>
      </c>
      <c r="B74" s="314"/>
      <c r="C74" s="348" t="s">
        <v>635</v>
      </c>
      <c r="D74" s="348" t="s">
        <v>636</v>
      </c>
      <c r="E74" s="316"/>
      <c r="F74" s="314" t="s">
        <v>472</v>
      </c>
      <c r="G74" s="304">
        <v>6</v>
      </c>
      <c r="H74" s="317">
        <f t="shared" si="3"/>
        <v>0</v>
      </c>
    </row>
    <row r="75" spans="1:8" s="318" customFormat="1" x14ac:dyDescent="0.45">
      <c r="A75" s="342" t="s">
        <v>637</v>
      </c>
      <c r="B75" s="348" t="s">
        <v>180</v>
      </c>
      <c r="C75" s="344"/>
      <c r="D75" s="316"/>
      <c r="E75" s="314"/>
      <c r="F75" s="304"/>
      <c r="G75" s="317"/>
    </row>
    <row r="76" spans="1:8" s="142" customFormat="1" ht="13" customHeight="1" x14ac:dyDescent="0.45">
      <c r="A76" s="159"/>
      <c r="B76" s="159">
        <v>1503020</v>
      </c>
      <c r="C76" s="159"/>
      <c r="D76" s="159" t="s">
        <v>638</v>
      </c>
      <c r="E76" s="161"/>
      <c r="F76" s="159"/>
      <c r="G76" s="210"/>
      <c r="H76" s="163"/>
    </row>
    <row r="77" spans="1:8" s="318" customFormat="1" ht="50.4" x14ac:dyDescent="0.45">
      <c r="A77" s="314" t="s">
        <v>639</v>
      </c>
      <c r="B77" s="314"/>
      <c r="C77" s="315" t="s">
        <v>640</v>
      </c>
      <c r="D77" s="315" t="s">
        <v>641</v>
      </c>
      <c r="E77" s="316"/>
      <c r="F77" s="314" t="s">
        <v>472</v>
      </c>
      <c r="G77" s="304">
        <v>16</v>
      </c>
      <c r="H77" s="317">
        <f t="shared" ref="H77:H89" si="4">SUM(E77)*G77</f>
        <v>0</v>
      </c>
    </row>
    <row r="78" spans="1:8" s="318" customFormat="1" ht="75.599999999999994" x14ac:dyDescent="0.45">
      <c r="A78" s="314" t="s">
        <v>642</v>
      </c>
      <c r="B78" s="314"/>
      <c r="C78" s="315" t="s">
        <v>643</v>
      </c>
      <c r="D78" s="315" t="s">
        <v>644</v>
      </c>
      <c r="E78" s="316"/>
      <c r="F78" s="314" t="s">
        <v>645</v>
      </c>
      <c r="G78" s="304">
        <v>16</v>
      </c>
      <c r="H78" s="317">
        <f t="shared" si="4"/>
        <v>0</v>
      </c>
    </row>
    <row r="79" spans="1:8" s="318" customFormat="1" ht="50.4" x14ac:dyDescent="0.45">
      <c r="A79" s="314" t="s">
        <v>646</v>
      </c>
      <c r="B79" s="314"/>
      <c r="C79" s="315" t="s">
        <v>647</v>
      </c>
      <c r="D79" s="315" t="s">
        <v>648</v>
      </c>
      <c r="E79" s="316"/>
      <c r="F79" s="314" t="s">
        <v>472</v>
      </c>
      <c r="G79" s="304">
        <v>16</v>
      </c>
      <c r="H79" s="317">
        <f t="shared" si="4"/>
        <v>0</v>
      </c>
    </row>
    <row r="80" spans="1:8" s="318" customFormat="1" ht="37.799999999999997" x14ac:dyDescent="0.45">
      <c r="A80" s="314" t="s">
        <v>649</v>
      </c>
      <c r="B80" s="314"/>
      <c r="C80" s="315" t="s">
        <v>650</v>
      </c>
      <c r="D80" s="315" t="s">
        <v>651</v>
      </c>
      <c r="E80" s="316"/>
      <c r="F80" s="314" t="s">
        <v>472</v>
      </c>
      <c r="G80" s="304">
        <v>16</v>
      </c>
      <c r="H80" s="317">
        <f t="shared" si="4"/>
        <v>0</v>
      </c>
    </row>
    <row r="81" spans="1:9" s="318" customFormat="1" ht="63" x14ac:dyDescent="0.45">
      <c r="A81" s="314" t="s">
        <v>652</v>
      </c>
      <c r="B81" s="314"/>
      <c r="C81" s="315" t="s">
        <v>653</v>
      </c>
      <c r="D81" s="315" t="s">
        <v>654</v>
      </c>
      <c r="E81" s="316"/>
      <c r="F81" s="314" t="s">
        <v>472</v>
      </c>
      <c r="G81" s="304">
        <v>70</v>
      </c>
      <c r="H81" s="317">
        <f t="shared" si="4"/>
        <v>0</v>
      </c>
    </row>
    <row r="82" spans="1:9" s="318" customFormat="1" ht="63" x14ac:dyDescent="0.45">
      <c r="A82" s="314" t="s">
        <v>655</v>
      </c>
      <c r="B82" s="314"/>
      <c r="C82" s="315" t="s">
        <v>656</v>
      </c>
      <c r="D82" s="315" t="s">
        <v>657</v>
      </c>
      <c r="E82" s="316"/>
      <c r="F82" s="314" t="s">
        <v>472</v>
      </c>
      <c r="G82" s="304">
        <v>30</v>
      </c>
      <c r="H82" s="317">
        <f t="shared" si="4"/>
        <v>0</v>
      </c>
    </row>
    <row r="83" spans="1:9" s="318" customFormat="1" ht="75.599999999999994" x14ac:dyDescent="0.45">
      <c r="A83" s="314" t="s">
        <v>658</v>
      </c>
      <c r="B83" s="314"/>
      <c r="C83" s="315" t="s">
        <v>659</v>
      </c>
      <c r="D83" s="315" t="s">
        <v>660</v>
      </c>
      <c r="E83" s="316"/>
      <c r="F83" s="314" t="s">
        <v>472</v>
      </c>
      <c r="G83" s="304">
        <v>175</v>
      </c>
      <c r="H83" s="317">
        <f t="shared" si="4"/>
        <v>0</v>
      </c>
    </row>
    <row r="84" spans="1:9" s="318" customFormat="1" ht="50.4" x14ac:dyDescent="0.45">
      <c r="A84" s="314" t="s">
        <v>661</v>
      </c>
      <c r="B84" s="314"/>
      <c r="C84" s="343" t="s">
        <v>662</v>
      </c>
      <c r="D84" s="343" t="s">
        <v>663</v>
      </c>
      <c r="E84" s="316"/>
      <c r="F84" s="314" t="s">
        <v>472</v>
      </c>
      <c r="G84" s="304">
        <v>50</v>
      </c>
      <c r="H84" s="317">
        <f t="shared" si="4"/>
        <v>0</v>
      </c>
    </row>
    <row r="85" spans="1:9" s="318" customFormat="1" ht="50.4" x14ac:dyDescent="0.45">
      <c r="A85" s="314" t="s">
        <v>664</v>
      </c>
      <c r="B85" s="314"/>
      <c r="C85" s="343" t="s">
        <v>665</v>
      </c>
      <c r="D85" s="343" t="s">
        <v>666</v>
      </c>
      <c r="E85" s="316"/>
      <c r="F85" s="314" t="s">
        <v>508</v>
      </c>
      <c r="G85" s="304">
        <v>300</v>
      </c>
      <c r="H85" s="317">
        <f t="shared" si="4"/>
        <v>0</v>
      </c>
    </row>
    <row r="86" spans="1:9" s="318" customFormat="1" ht="151.19999999999999" x14ac:dyDescent="0.45">
      <c r="A86" s="314" t="s">
        <v>667</v>
      </c>
      <c r="B86" s="314"/>
      <c r="C86" s="343" t="s">
        <v>668</v>
      </c>
      <c r="D86" s="315" t="s">
        <v>669</v>
      </c>
      <c r="E86" s="316"/>
      <c r="F86" s="314" t="s">
        <v>508</v>
      </c>
      <c r="G86" s="304">
        <v>3500</v>
      </c>
      <c r="H86" s="317">
        <f t="shared" si="4"/>
        <v>0</v>
      </c>
    </row>
    <row r="87" spans="1:9" s="318" customFormat="1" ht="37.799999999999997" x14ac:dyDescent="0.45">
      <c r="A87" s="314" t="s">
        <v>670</v>
      </c>
      <c r="B87" s="314"/>
      <c r="C87" s="349" t="s">
        <v>671</v>
      </c>
      <c r="D87" s="349" t="s">
        <v>672</v>
      </c>
      <c r="E87" s="316"/>
      <c r="F87" s="314" t="s">
        <v>472</v>
      </c>
      <c r="G87" s="304">
        <v>20</v>
      </c>
      <c r="H87" s="317">
        <f t="shared" si="4"/>
        <v>0</v>
      </c>
    </row>
    <row r="88" spans="1:9" s="318" customFormat="1" ht="37.799999999999997" x14ac:dyDescent="0.45">
      <c r="A88" s="314" t="s">
        <v>673</v>
      </c>
      <c r="B88" s="314"/>
      <c r="C88" s="349" t="s">
        <v>5044</v>
      </c>
      <c r="D88" s="349" t="s">
        <v>5035</v>
      </c>
      <c r="E88" s="316"/>
      <c r="F88" s="314" t="s">
        <v>472</v>
      </c>
      <c r="G88" s="304">
        <v>20</v>
      </c>
      <c r="H88" s="317">
        <f t="shared" si="4"/>
        <v>0</v>
      </c>
    </row>
    <row r="89" spans="1:9" s="318" customFormat="1" ht="340.2" x14ac:dyDescent="0.45">
      <c r="A89" s="314" t="s">
        <v>674</v>
      </c>
      <c r="B89" s="314"/>
      <c r="C89" s="315" t="s">
        <v>675</v>
      </c>
      <c r="D89" s="315" t="s">
        <v>676</v>
      </c>
      <c r="E89" s="316"/>
      <c r="F89" s="314" t="s">
        <v>472</v>
      </c>
      <c r="G89" s="304">
        <v>15</v>
      </c>
      <c r="H89" s="317">
        <f t="shared" si="4"/>
        <v>0</v>
      </c>
      <c r="I89" s="341"/>
    </row>
    <row r="90" spans="1:9" s="318" customFormat="1" x14ac:dyDescent="0.45">
      <c r="A90" s="342" t="s">
        <v>677</v>
      </c>
      <c r="B90" s="343" t="s">
        <v>180</v>
      </c>
      <c r="D90" s="344"/>
      <c r="E90" s="316"/>
      <c r="F90" s="314"/>
      <c r="G90" s="304"/>
      <c r="H90" s="317"/>
    </row>
    <row r="91" spans="1:9" s="142" customFormat="1" ht="13" customHeight="1" x14ac:dyDescent="0.45">
      <c r="A91" s="159"/>
      <c r="B91" s="159">
        <v>1503030</v>
      </c>
      <c r="C91" s="159"/>
      <c r="D91" s="159" t="s">
        <v>678</v>
      </c>
      <c r="E91" s="159"/>
      <c r="F91" s="161"/>
      <c r="G91" s="210"/>
      <c r="H91" s="163"/>
    </row>
    <row r="92" spans="1:9" s="318" customFormat="1" ht="88.2" x14ac:dyDescent="0.45">
      <c r="A92" s="314" t="s">
        <v>679</v>
      </c>
      <c r="B92" s="314"/>
      <c r="C92" s="315" t="s">
        <v>680</v>
      </c>
      <c r="D92" s="315" t="s">
        <v>681</v>
      </c>
      <c r="E92" s="316"/>
      <c r="F92" s="314" t="s">
        <v>682</v>
      </c>
      <c r="G92" s="314">
        <v>10</v>
      </c>
      <c r="H92" s="317">
        <f t="shared" ref="H92:H112" si="5">SUM(E92)*G92</f>
        <v>0</v>
      </c>
      <c r="I92" s="341"/>
    </row>
    <row r="93" spans="1:9" s="318" customFormat="1" ht="88.2" x14ac:dyDescent="0.45">
      <c r="A93" s="314" t="s">
        <v>683</v>
      </c>
      <c r="B93" s="314"/>
      <c r="C93" s="315" t="s">
        <v>684</v>
      </c>
      <c r="D93" s="315" t="s">
        <v>685</v>
      </c>
      <c r="E93" s="316"/>
      <c r="F93" s="314" t="s">
        <v>472</v>
      </c>
      <c r="G93" s="314">
        <v>5</v>
      </c>
      <c r="H93" s="317">
        <f t="shared" si="5"/>
        <v>0</v>
      </c>
      <c r="I93" s="341"/>
    </row>
    <row r="94" spans="1:9" s="318" customFormat="1" ht="88.2" x14ac:dyDescent="0.45">
      <c r="A94" s="314" t="s">
        <v>686</v>
      </c>
      <c r="B94" s="314"/>
      <c r="C94" s="315" t="s">
        <v>687</v>
      </c>
      <c r="D94" s="315" t="s">
        <v>688</v>
      </c>
      <c r="E94" s="316"/>
      <c r="F94" s="314" t="s">
        <v>472</v>
      </c>
      <c r="G94" s="314">
        <v>5</v>
      </c>
      <c r="H94" s="317">
        <f t="shared" si="5"/>
        <v>0</v>
      </c>
      <c r="I94" s="341"/>
    </row>
    <row r="95" spans="1:9" s="318" customFormat="1" ht="100.8" x14ac:dyDescent="0.45">
      <c r="A95" s="314" t="s">
        <v>689</v>
      </c>
      <c r="B95" s="314"/>
      <c r="C95" s="315" t="s">
        <v>690</v>
      </c>
      <c r="D95" s="315" t="s">
        <v>691</v>
      </c>
      <c r="E95" s="316"/>
      <c r="F95" s="319" t="s">
        <v>472</v>
      </c>
      <c r="G95" s="314">
        <v>10</v>
      </c>
      <c r="H95" s="317">
        <f t="shared" si="5"/>
        <v>0</v>
      </c>
      <c r="I95" s="341"/>
    </row>
    <row r="96" spans="1:9" s="318" customFormat="1" ht="100.8" x14ac:dyDescent="0.45">
      <c r="A96" s="314" t="s">
        <v>692</v>
      </c>
      <c r="B96" s="314"/>
      <c r="C96" s="315" t="s">
        <v>693</v>
      </c>
      <c r="D96" s="315" t="s">
        <v>694</v>
      </c>
      <c r="E96" s="316"/>
      <c r="F96" s="319" t="s">
        <v>472</v>
      </c>
      <c r="G96" s="314">
        <v>5</v>
      </c>
      <c r="H96" s="317">
        <f t="shared" si="5"/>
        <v>0</v>
      </c>
      <c r="I96" s="341"/>
    </row>
    <row r="97" spans="1:9" s="318" customFormat="1" ht="88.2" x14ac:dyDescent="0.45">
      <c r="A97" s="314" t="s">
        <v>695</v>
      </c>
      <c r="B97" s="314"/>
      <c r="C97" s="315" t="s">
        <v>696</v>
      </c>
      <c r="D97" s="315" t="s">
        <v>697</v>
      </c>
      <c r="E97" s="316"/>
      <c r="F97" s="319" t="s">
        <v>472</v>
      </c>
      <c r="G97" s="314">
        <v>5</v>
      </c>
      <c r="H97" s="317">
        <f t="shared" si="5"/>
        <v>0</v>
      </c>
      <c r="I97" s="341"/>
    </row>
    <row r="98" spans="1:9" s="318" customFormat="1" ht="88.2" x14ac:dyDescent="0.45">
      <c r="A98" s="314" t="s">
        <v>698</v>
      </c>
      <c r="B98" s="314"/>
      <c r="C98" s="315" t="s">
        <v>699</v>
      </c>
      <c r="D98" s="315" t="s">
        <v>700</v>
      </c>
      <c r="E98" s="316"/>
      <c r="F98" s="319" t="s">
        <v>472</v>
      </c>
      <c r="G98" s="314">
        <v>5</v>
      </c>
      <c r="H98" s="317">
        <f t="shared" si="5"/>
        <v>0</v>
      </c>
      <c r="I98" s="341"/>
    </row>
    <row r="99" spans="1:9" s="318" customFormat="1" ht="100.8" x14ac:dyDescent="0.45">
      <c r="A99" s="314" t="s">
        <v>701</v>
      </c>
      <c r="B99" s="314"/>
      <c r="C99" s="315" t="s">
        <v>702</v>
      </c>
      <c r="D99" s="315" t="s">
        <v>703</v>
      </c>
      <c r="E99" s="316"/>
      <c r="F99" s="319" t="s">
        <v>472</v>
      </c>
      <c r="G99" s="314">
        <v>5</v>
      </c>
      <c r="H99" s="317">
        <f t="shared" si="5"/>
        <v>0</v>
      </c>
      <c r="I99" s="341"/>
    </row>
    <row r="100" spans="1:9" s="318" customFormat="1" ht="100.8" x14ac:dyDescent="0.45">
      <c r="A100" s="314" t="s">
        <v>704</v>
      </c>
      <c r="B100" s="314"/>
      <c r="C100" s="315" t="s">
        <v>705</v>
      </c>
      <c r="D100" s="315" t="s">
        <v>706</v>
      </c>
      <c r="E100" s="316"/>
      <c r="F100" s="319" t="s">
        <v>472</v>
      </c>
      <c r="G100" s="314">
        <v>5</v>
      </c>
      <c r="H100" s="317">
        <f t="shared" si="5"/>
        <v>0</v>
      </c>
      <c r="I100" s="341"/>
    </row>
    <row r="101" spans="1:9" s="318" customFormat="1" ht="88.2" x14ac:dyDescent="0.45">
      <c r="A101" s="314" t="s">
        <v>707</v>
      </c>
      <c r="B101" s="314"/>
      <c r="C101" s="315" t="s">
        <v>708</v>
      </c>
      <c r="D101" s="315" t="s">
        <v>709</v>
      </c>
      <c r="E101" s="316"/>
      <c r="F101" s="319" t="s">
        <v>472</v>
      </c>
      <c r="G101" s="314">
        <v>5</v>
      </c>
      <c r="H101" s="317">
        <f t="shared" si="5"/>
        <v>0</v>
      </c>
      <c r="I101" s="341"/>
    </row>
    <row r="102" spans="1:9" s="318" customFormat="1" ht="88.2" x14ac:dyDescent="0.45">
      <c r="A102" s="314" t="s">
        <v>710</v>
      </c>
      <c r="B102" s="314"/>
      <c r="C102" s="315" t="s">
        <v>711</v>
      </c>
      <c r="D102" s="315" t="s">
        <v>712</v>
      </c>
      <c r="E102" s="316"/>
      <c r="F102" s="319" t="s">
        <v>472</v>
      </c>
      <c r="G102" s="314">
        <v>5</v>
      </c>
      <c r="H102" s="317">
        <f t="shared" si="5"/>
        <v>0</v>
      </c>
      <c r="I102" s="341"/>
    </row>
    <row r="103" spans="1:9" s="318" customFormat="1" ht="88.2" x14ac:dyDescent="0.45">
      <c r="A103" s="314" t="s">
        <v>713</v>
      </c>
      <c r="B103" s="314"/>
      <c r="C103" s="315" t="s">
        <v>714</v>
      </c>
      <c r="D103" s="315" t="s">
        <v>715</v>
      </c>
      <c r="E103" s="316"/>
      <c r="F103" s="319" t="s">
        <v>472</v>
      </c>
      <c r="G103" s="314">
        <v>5</v>
      </c>
      <c r="H103" s="317">
        <f t="shared" si="5"/>
        <v>0</v>
      </c>
      <c r="I103" s="341"/>
    </row>
    <row r="104" spans="1:9" s="318" customFormat="1" ht="88.2" x14ac:dyDescent="0.45">
      <c r="A104" s="314" t="s">
        <v>716</v>
      </c>
      <c r="B104" s="314"/>
      <c r="C104" s="315" t="s">
        <v>717</v>
      </c>
      <c r="D104" s="315" t="s">
        <v>718</v>
      </c>
      <c r="E104" s="316"/>
      <c r="F104" s="319" t="s">
        <v>472</v>
      </c>
      <c r="G104" s="314">
        <v>5</v>
      </c>
      <c r="H104" s="317">
        <f t="shared" si="5"/>
        <v>0</v>
      </c>
      <c r="I104" s="341"/>
    </row>
    <row r="105" spans="1:9" s="318" customFormat="1" ht="63" x14ac:dyDescent="0.45">
      <c r="A105" s="314" t="s">
        <v>719</v>
      </c>
      <c r="B105" s="314"/>
      <c r="C105" s="315" t="s">
        <v>720</v>
      </c>
      <c r="D105" s="315" t="s">
        <v>721</v>
      </c>
      <c r="E105" s="316"/>
      <c r="F105" s="319" t="s">
        <v>472</v>
      </c>
      <c r="G105" s="314">
        <v>5</v>
      </c>
      <c r="H105" s="317">
        <f t="shared" si="5"/>
        <v>0</v>
      </c>
    </row>
    <row r="106" spans="1:9" s="318" customFormat="1" ht="75.599999999999994" x14ac:dyDescent="0.45">
      <c r="A106" s="314" t="s">
        <v>722</v>
      </c>
      <c r="B106" s="314"/>
      <c r="C106" s="315" t="s">
        <v>723</v>
      </c>
      <c r="D106" s="315" t="s">
        <v>724</v>
      </c>
      <c r="E106" s="316"/>
      <c r="F106" s="314" t="s">
        <v>472</v>
      </c>
      <c r="G106" s="314">
        <v>5</v>
      </c>
      <c r="H106" s="317">
        <f t="shared" si="5"/>
        <v>0</v>
      </c>
    </row>
    <row r="107" spans="1:9" s="318" customFormat="1" ht="75.599999999999994" x14ac:dyDescent="0.45">
      <c r="A107" s="314" t="s">
        <v>725</v>
      </c>
      <c r="B107" s="314"/>
      <c r="C107" s="315" t="s">
        <v>726</v>
      </c>
      <c r="D107" s="315" t="s">
        <v>727</v>
      </c>
      <c r="E107" s="316"/>
      <c r="F107" s="314" t="s">
        <v>472</v>
      </c>
      <c r="G107" s="314">
        <v>5</v>
      </c>
      <c r="H107" s="317">
        <f t="shared" si="5"/>
        <v>0</v>
      </c>
    </row>
    <row r="108" spans="1:9" s="318" customFormat="1" ht="63" x14ac:dyDescent="0.45">
      <c r="A108" s="314" t="s">
        <v>728</v>
      </c>
      <c r="B108" s="314"/>
      <c r="C108" s="315" t="s">
        <v>729</v>
      </c>
      <c r="D108" s="350" t="s">
        <v>730</v>
      </c>
      <c r="E108" s="316"/>
      <c r="F108" s="314" t="s">
        <v>472</v>
      </c>
      <c r="G108" s="314">
        <v>5</v>
      </c>
      <c r="H108" s="317">
        <f t="shared" si="5"/>
        <v>0</v>
      </c>
    </row>
    <row r="109" spans="1:9" s="318" customFormat="1" ht="63" x14ac:dyDescent="0.45">
      <c r="A109" s="314" t="s">
        <v>731</v>
      </c>
      <c r="B109" s="314"/>
      <c r="C109" s="315" t="s">
        <v>732</v>
      </c>
      <c r="D109" s="350" t="s">
        <v>733</v>
      </c>
      <c r="E109" s="316"/>
      <c r="F109" s="314" t="s">
        <v>472</v>
      </c>
      <c r="G109" s="314">
        <v>5</v>
      </c>
      <c r="H109" s="317">
        <f t="shared" si="5"/>
        <v>0</v>
      </c>
    </row>
    <row r="110" spans="1:9" s="318" customFormat="1" ht="63" x14ac:dyDescent="0.45">
      <c r="A110" s="314" t="s">
        <v>734</v>
      </c>
      <c r="B110" s="314"/>
      <c r="C110" s="315" t="s">
        <v>735</v>
      </c>
      <c r="D110" s="350" t="s">
        <v>736</v>
      </c>
      <c r="E110" s="316"/>
      <c r="F110" s="314" t="s">
        <v>472</v>
      </c>
      <c r="G110" s="314">
        <v>10</v>
      </c>
      <c r="H110" s="317">
        <f t="shared" si="5"/>
        <v>0</v>
      </c>
    </row>
    <row r="111" spans="1:9" s="318" customFormat="1" ht="88.2" x14ac:dyDescent="0.45">
      <c r="A111" s="314" t="s">
        <v>737</v>
      </c>
      <c r="B111" s="314"/>
      <c r="C111" s="315" t="s">
        <v>738</v>
      </c>
      <c r="D111" s="350" t="s">
        <v>739</v>
      </c>
      <c r="E111" s="316"/>
      <c r="F111" s="314" t="s">
        <v>472</v>
      </c>
      <c r="G111" s="314">
        <v>5</v>
      </c>
      <c r="H111" s="317">
        <f t="shared" si="5"/>
        <v>0</v>
      </c>
    </row>
    <row r="112" spans="1:9" s="318" customFormat="1" ht="75.599999999999994" x14ac:dyDescent="0.45">
      <c r="A112" s="314" t="s">
        <v>740</v>
      </c>
      <c r="B112" s="314"/>
      <c r="C112" s="348" t="s">
        <v>741</v>
      </c>
      <c r="D112" s="348" t="s">
        <v>742</v>
      </c>
      <c r="E112" s="316"/>
      <c r="F112" s="314" t="s">
        <v>472</v>
      </c>
      <c r="G112" s="351">
        <v>20</v>
      </c>
      <c r="H112" s="317">
        <f t="shared" si="5"/>
        <v>0</v>
      </c>
    </row>
    <row r="113" spans="1:8" s="318" customFormat="1" x14ac:dyDescent="0.45">
      <c r="A113" s="342" t="s">
        <v>743</v>
      </c>
      <c r="B113" s="348" t="s">
        <v>180</v>
      </c>
      <c r="C113" s="344"/>
      <c r="D113" s="316"/>
      <c r="E113" s="314"/>
      <c r="F113" s="304"/>
      <c r="G113" s="317"/>
    </row>
    <row r="114" spans="1:8" s="142" customFormat="1" ht="13" customHeight="1" x14ac:dyDescent="0.45">
      <c r="A114" s="159"/>
      <c r="B114" s="159">
        <v>1503050</v>
      </c>
      <c r="C114" s="159"/>
      <c r="D114" s="159" t="s">
        <v>127</v>
      </c>
      <c r="E114" s="159"/>
      <c r="F114" s="161"/>
      <c r="G114" s="210"/>
      <c r="H114" s="163"/>
    </row>
    <row r="115" spans="1:8" s="318" customFormat="1" ht="113.4" x14ac:dyDescent="0.45">
      <c r="A115" s="342" t="s">
        <v>744</v>
      </c>
      <c r="B115" s="342"/>
      <c r="C115" s="343" t="s">
        <v>745</v>
      </c>
      <c r="D115" s="315" t="s">
        <v>746</v>
      </c>
      <c r="E115" s="316"/>
      <c r="F115" s="314" t="s">
        <v>508</v>
      </c>
      <c r="G115" s="304">
        <v>10000</v>
      </c>
      <c r="H115" s="317">
        <f t="shared" ref="H115:H134" si="6">SUM(E115)*G115</f>
        <v>0</v>
      </c>
    </row>
    <row r="116" spans="1:8" s="318" customFormat="1" ht="75.599999999999994" x14ac:dyDescent="0.45">
      <c r="A116" s="314" t="s">
        <v>747</v>
      </c>
      <c r="B116" s="314"/>
      <c r="C116" s="315" t="s">
        <v>748</v>
      </c>
      <c r="D116" s="315" t="s">
        <v>749</v>
      </c>
      <c r="E116" s="316"/>
      <c r="F116" s="314" t="s">
        <v>750</v>
      </c>
      <c r="G116" s="304">
        <v>3000</v>
      </c>
      <c r="H116" s="317">
        <f t="shared" si="6"/>
        <v>0</v>
      </c>
    </row>
    <row r="117" spans="1:8" s="318" customFormat="1" ht="50.4" x14ac:dyDescent="0.45">
      <c r="A117" s="314" t="s">
        <v>751</v>
      </c>
      <c r="B117" s="314"/>
      <c r="C117" s="315" t="s">
        <v>752</v>
      </c>
      <c r="D117" s="315" t="s">
        <v>753</v>
      </c>
      <c r="E117" s="316"/>
      <c r="F117" s="314" t="s">
        <v>508</v>
      </c>
      <c r="G117" s="304">
        <v>10000</v>
      </c>
      <c r="H117" s="317">
        <f t="shared" si="6"/>
        <v>0</v>
      </c>
    </row>
    <row r="118" spans="1:8" s="318" customFormat="1" ht="63" x14ac:dyDescent="0.45">
      <c r="A118" s="314" t="s">
        <v>754</v>
      </c>
      <c r="B118" s="314"/>
      <c r="C118" s="315" t="s">
        <v>755</v>
      </c>
      <c r="D118" s="315" t="s">
        <v>756</v>
      </c>
      <c r="E118" s="316"/>
      <c r="F118" s="314" t="s">
        <v>508</v>
      </c>
      <c r="G118" s="304">
        <v>10000</v>
      </c>
      <c r="H118" s="317">
        <f t="shared" si="6"/>
        <v>0</v>
      </c>
    </row>
    <row r="119" spans="1:8" s="318" customFormat="1" ht="100.8" x14ac:dyDescent="0.45">
      <c r="A119" s="314" t="s">
        <v>757</v>
      </c>
      <c r="B119" s="314"/>
      <c r="C119" s="315" t="s">
        <v>758</v>
      </c>
      <c r="D119" s="315" t="s">
        <v>759</v>
      </c>
      <c r="E119" s="316"/>
      <c r="F119" s="314" t="s">
        <v>472</v>
      </c>
      <c r="G119" s="304">
        <v>150</v>
      </c>
      <c r="H119" s="317">
        <f t="shared" si="6"/>
        <v>0</v>
      </c>
    </row>
    <row r="120" spans="1:8" s="318" customFormat="1" ht="100.8" x14ac:dyDescent="0.45">
      <c r="A120" s="314" t="s">
        <v>760</v>
      </c>
      <c r="B120" s="314"/>
      <c r="C120" s="315" t="s">
        <v>761</v>
      </c>
      <c r="D120" s="315" t="s">
        <v>759</v>
      </c>
      <c r="E120" s="316"/>
      <c r="F120" s="314" t="s">
        <v>750</v>
      </c>
      <c r="G120" s="304">
        <v>2000</v>
      </c>
      <c r="H120" s="317">
        <f t="shared" si="6"/>
        <v>0</v>
      </c>
    </row>
    <row r="121" spans="1:8" s="318" customFormat="1" ht="163.80000000000001" x14ac:dyDescent="0.45">
      <c r="A121" s="314" t="s">
        <v>762</v>
      </c>
      <c r="B121" s="314"/>
      <c r="C121" s="315" t="s">
        <v>763</v>
      </c>
      <c r="D121" s="315" t="s">
        <v>764</v>
      </c>
      <c r="E121" s="316"/>
      <c r="F121" s="314" t="s">
        <v>472</v>
      </c>
      <c r="G121" s="314">
        <v>150</v>
      </c>
      <c r="H121" s="317">
        <f t="shared" si="6"/>
        <v>0</v>
      </c>
    </row>
    <row r="122" spans="1:8" s="318" customFormat="1" ht="163.80000000000001" x14ac:dyDescent="0.45">
      <c r="A122" s="314" t="s">
        <v>765</v>
      </c>
      <c r="B122" s="314"/>
      <c r="C122" s="315" t="s">
        <v>766</v>
      </c>
      <c r="D122" s="315" t="s">
        <v>764</v>
      </c>
      <c r="E122" s="316"/>
      <c r="F122" s="314" t="s">
        <v>472</v>
      </c>
      <c r="G122" s="314">
        <v>150</v>
      </c>
      <c r="H122" s="317">
        <f t="shared" si="6"/>
        <v>0</v>
      </c>
    </row>
    <row r="123" spans="1:8" s="318" customFormat="1" ht="75.599999999999994" x14ac:dyDescent="0.45">
      <c r="A123" s="314" t="s">
        <v>767</v>
      </c>
      <c r="B123" s="314"/>
      <c r="C123" s="315" t="s">
        <v>768</v>
      </c>
      <c r="D123" s="315" t="s">
        <v>769</v>
      </c>
      <c r="E123" s="316"/>
      <c r="F123" s="314" t="s">
        <v>472</v>
      </c>
      <c r="G123" s="314">
        <v>25</v>
      </c>
      <c r="H123" s="317">
        <f t="shared" si="6"/>
        <v>0</v>
      </c>
    </row>
    <row r="124" spans="1:8" s="318" customFormat="1" ht="75.599999999999994" x14ac:dyDescent="0.45">
      <c r="A124" s="314" t="s">
        <v>770</v>
      </c>
      <c r="B124" s="314"/>
      <c r="C124" s="315" t="s">
        <v>771</v>
      </c>
      <c r="D124" s="315" t="s">
        <v>772</v>
      </c>
      <c r="E124" s="316"/>
      <c r="F124" s="314" t="s">
        <v>472</v>
      </c>
      <c r="G124" s="314">
        <v>50</v>
      </c>
      <c r="H124" s="317">
        <f t="shared" si="6"/>
        <v>0</v>
      </c>
    </row>
    <row r="125" spans="1:8" s="318" customFormat="1" ht="75.599999999999994" x14ac:dyDescent="0.45">
      <c r="A125" s="314" t="s">
        <v>773</v>
      </c>
      <c r="B125" s="314"/>
      <c r="C125" s="315" t="s">
        <v>774</v>
      </c>
      <c r="D125" s="315" t="s">
        <v>772</v>
      </c>
      <c r="E125" s="316"/>
      <c r="F125" s="314" t="s">
        <v>472</v>
      </c>
      <c r="G125" s="314">
        <v>50</v>
      </c>
      <c r="H125" s="317">
        <f t="shared" si="6"/>
        <v>0</v>
      </c>
    </row>
    <row r="126" spans="1:8" s="318" customFormat="1" ht="63" x14ac:dyDescent="0.45">
      <c r="A126" s="314" t="s">
        <v>775</v>
      </c>
      <c r="B126" s="314"/>
      <c r="C126" s="315" t="s">
        <v>776</v>
      </c>
      <c r="D126" s="315" t="s">
        <v>777</v>
      </c>
      <c r="E126" s="316"/>
      <c r="F126" s="314" t="s">
        <v>472</v>
      </c>
      <c r="G126" s="314">
        <v>100</v>
      </c>
      <c r="H126" s="317">
        <f t="shared" si="6"/>
        <v>0</v>
      </c>
    </row>
    <row r="127" spans="1:8" s="318" customFormat="1" ht="138.6" x14ac:dyDescent="0.45">
      <c r="A127" s="314" t="s">
        <v>778</v>
      </c>
      <c r="B127" s="314"/>
      <c r="C127" s="315" t="s">
        <v>779</v>
      </c>
      <c r="D127" s="315" t="s">
        <v>780</v>
      </c>
      <c r="E127" s="316"/>
      <c r="F127" s="314" t="s">
        <v>472</v>
      </c>
      <c r="G127" s="314">
        <v>150</v>
      </c>
      <c r="H127" s="317">
        <f t="shared" si="6"/>
        <v>0</v>
      </c>
    </row>
    <row r="128" spans="1:8" s="318" customFormat="1" ht="138.6" x14ac:dyDescent="0.45">
      <c r="A128" s="314" t="s">
        <v>781</v>
      </c>
      <c r="B128" s="314"/>
      <c r="C128" s="315" t="s">
        <v>782</v>
      </c>
      <c r="D128" s="315" t="s">
        <v>783</v>
      </c>
      <c r="E128" s="316"/>
      <c r="F128" s="314" t="s">
        <v>472</v>
      </c>
      <c r="G128" s="314">
        <v>150</v>
      </c>
      <c r="H128" s="317">
        <f t="shared" si="6"/>
        <v>0</v>
      </c>
    </row>
    <row r="129" spans="1:8" s="318" customFormat="1" ht="113.4" x14ac:dyDescent="0.45">
      <c r="A129" s="314" t="s">
        <v>784</v>
      </c>
      <c r="B129" s="314"/>
      <c r="C129" s="315" t="s">
        <v>785</v>
      </c>
      <c r="D129" s="315" t="s">
        <v>786</v>
      </c>
      <c r="E129" s="316"/>
      <c r="F129" s="314" t="s">
        <v>472</v>
      </c>
      <c r="G129" s="314">
        <v>150</v>
      </c>
      <c r="H129" s="317">
        <f t="shared" si="6"/>
        <v>0</v>
      </c>
    </row>
    <row r="130" spans="1:8" s="318" customFormat="1" ht="88.2" x14ac:dyDescent="0.45">
      <c r="A130" s="314" t="s">
        <v>787</v>
      </c>
      <c r="B130" s="314"/>
      <c r="C130" s="315" t="s">
        <v>788</v>
      </c>
      <c r="D130" s="315" t="s">
        <v>789</v>
      </c>
      <c r="E130" s="316"/>
      <c r="F130" s="314" t="s">
        <v>508</v>
      </c>
      <c r="G130" s="314">
        <v>5000</v>
      </c>
      <c r="H130" s="317">
        <f t="shared" si="6"/>
        <v>0</v>
      </c>
    </row>
    <row r="131" spans="1:8" s="318" customFormat="1" ht="100.8" x14ac:dyDescent="0.45">
      <c r="A131" s="314" t="s">
        <v>790</v>
      </c>
      <c r="B131" s="314"/>
      <c r="C131" s="315" t="s">
        <v>791</v>
      </c>
      <c r="D131" s="315" t="s">
        <v>792</v>
      </c>
      <c r="E131" s="316"/>
      <c r="F131" s="314" t="s">
        <v>508</v>
      </c>
      <c r="G131" s="314">
        <v>1750</v>
      </c>
      <c r="H131" s="317">
        <f t="shared" si="6"/>
        <v>0</v>
      </c>
    </row>
    <row r="132" spans="1:8" s="318" customFormat="1" ht="88.2" x14ac:dyDescent="0.45">
      <c r="A132" s="314" t="s">
        <v>793</v>
      </c>
      <c r="B132" s="314"/>
      <c r="C132" s="315" t="s">
        <v>794</v>
      </c>
      <c r="D132" s="315" t="s">
        <v>795</v>
      </c>
      <c r="E132" s="316"/>
      <c r="F132" s="314" t="s">
        <v>508</v>
      </c>
      <c r="G132" s="314">
        <v>6000</v>
      </c>
      <c r="H132" s="317">
        <f t="shared" si="6"/>
        <v>0</v>
      </c>
    </row>
    <row r="133" spans="1:8" s="318" customFormat="1" ht="88.2" x14ac:dyDescent="0.45">
      <c r="A133" s="314" t="s">
        <v>796</v>
      </c>
      <c r="B133" s="314"/>
      <c r="C133" s="315" t="s">
        <v>797</v>
      </c>
      <c r="D133" s="315" t="s">
        <v>798</v>
      </c>
      <c r="E133" s="316"/>
      <c r="F133" s="314" t="s">
        <v>682</v>
      </c>
      <c r="G133" s="314">
        <v>450</v>
      </c>
      <c r="H133" s="317">
        <f t="shared" si="6"/>
        <v>0</v>
      </c>
    </row>
    <row r="134" spans="1:8" s="318" customFormat="1" ht="88.2" x14ac:dyDescent="0.45">
      <c r="A134" s="314" t="s">
        <v>799</v>
      </c>
      <c r="B134" s="314"/>
      <c r="C134" s="315" t="s">
        <v>800</v>
      </c>
      <c r="D134" s="315" t="s">
        <v>801</v>
      </c>
      <c r="E134" s="316"/>
      <c r="F134" s="314" t="s">
        <v>508</v>
      </c>
      <c r="G134" s="304">
        <v>12000</v>
      </c>
      <c r="H134" s="317">
        <f t="shared" si="6"/>
        <v>0</v>
      </c>
    </row>
    <row r="135" spans="1:8" s="318" customFormat="1" x14ac:dyDescent="0.45">
      <c r="A135" s="342" t="s">
        <v>802</v>
      </c>
      <c r="B135" s="343" t="s">
        <v>180</v>
      </c>
      <c r="D135" s="344"/>
      <c r="E135" s="316"/>
      <c r="F135" s="314"/>
      <c r="G135" s="304"/>
      <c r="H135" s="317"/>
    </row>
    <row r="136" spans="1:8" s="142" customFormat="1" x14ac:dyDescent="0.45">
      <c r="A136" s="159"/>
      <c r="B136" s="159">
        <v>1503060</v>
      </c>
      <c r="C136" s="159"/>
      <c r="D136" s="159" t="s">
        <v>138</v>
      </c>
      <c r="E136" s="161"/>
      <c r="F136" s="159"/>
      <c r="G136" s="210"/>
      <c r="H136" s="163"/>
    </row>
    <row r="137" spans="1:8" s="318" customFormat="1" ht="138.6" x14ac:dyDescent="0.45">
      <c r="A137" s="314" t="s">
        <v>803</v>
      </c>
      <c r="B137" s="314"/>
      <c r="C137" s="315" t="s">
        <v>138</v>
      </c>
      <c r="D137" s="315" t="s">
        <v>804</v>
      </c>
      <c r="E137" s="316"/>
      <c r="F137" s="314" t="s">
        <v>508</v>
      </c>
      <c r="G137" s="304">
        <v>800000</v>
      </c>
      <c r="H137" s="317">
        <f>SUM(E137)*G137</f>
        <v>0</v>
      </c>
    </row>
    <row r="138" spans="1:8" s="318" customFormat="1" ht="100.8" x14ac:dyDescent="0.45">
      <c r="A138" s="314" t="s">
        <v>805</v>
      </c>
      <c r="B138" s="314"/>
      <c r="C138" s="315" t="s">
        <v>806</v>
      </c>
      <c r="D138" s="315" t="s">
        <v>807</v>
      </c>
      <c r="E138" s="316"/>
      <c r="F138" s="314" t="s">
        <v>508</v>
      </c>
      <c r="G138" s="304">
        <v>13000</v>
      </c>
      <c r="H138" s="317">
        <f>SUM(E138)*G138</f>
        <v>0</v>
      </c>
    </row>
    <row r="139" spans="1:8" s="318" customFormat="1" x14ac:dyDescent="0.45">
      <c r="A139" s="342" t="s">
        <v>808</v>
      </c>
      <c r="B139" s="343" t="s">
        <v>180</v>
      </c>
      <c r="D139" s="344"/>
      <c r="E139" s="316"/>
      <c r="F139" s="314"/>
      <c r="G139" s="304"/>
      <c r="H139" s="317"/>
    </row>
    <row r="140" spans="1:8" s="142" customFormat="1" ht="13" customHeight="1" x14ac:dyDescent="0.45">
      <c r="A140" s="159"/>
      <c r="B140" s="159">
        <v>1700000</v>
      </c>
      <c r="C140" s="159"/>
      <c r="D140" s="159" t="s">
        <v>171</v>
      </c>
      <c r="E140" s="161"/>
      <c r="F140" s="159"/>
      <c r="G140" s="210"/>
      <c r="H140" s="163"/>
    </row>
    <row r="141" spans="1:8" s="318" customFormat="1" ht="88.2" x14ac:dyDescent="0.45">
      <c r="A141" s="314" t="s">
        <v>809</v>
      </c>
      <c r="B141" s="314"/>
      <c r="C141" s="315" t="s">
        <v>810</v>
      </c>
      <c r="D141" s="315" t="s">
        <v>811</v>
      </c>
      <c r="E141" s="316"/>
      <c r="F141" s="314" t="s">
        <v>633</v>
      </c>
      <c r="G141" s="314">
        <v>45</v>
      </c>
      <c r="H141" s="317">
        <f>SUM(E141)*G141</f>
        <v>0</v>
      </c>
    </row>
    <row r="142" spans="1:8" s="318" customFormat="1" ht="88.2" x14ac:dyDescent="0.45">
      <c r="A142" s="314" t="s">
        <v>812</v>
      </c>
      <c r="B142" s="314"/>
      <c r="C142" s="315" t="s">
        <v>813</v>
      </c>
      <c r="D142" s="315" t="s">
        <v>814</v>
      </c>
      <c r="E142" s="316"/>
      <c r="F142" s="314" t="s">
        <v>633</v>
      </c>
      <c r="G142" s="314">
        <v>45</v>
      </c>
      <c r="H142" s="317">
        <f>SUM(E142)*G142</f>
        <v>0</v>
      </c>
    </row>
    <row r="143" spans="1:8" s="318" customFormat="1" x14ac:dyDescent="0.45">
      <c r="A143" s="342" t="s">
        <v>815</v>
      </c>
      <c r="B143" s="343" t="s">
        <v>180</v>
      </c>
      <c r="D143" s="344"/>
      <c r="E143" s="316"/>
      <c r="F143" s="314"/>
      <c r="G143" s="304"/>
      <c r="H143" s="317"/>
    </row>
    <row r="144" spans="1:8" s="142" customFormat="1" ht="13" customHeight="1" x14ac:dyDescent="0.45">
      <c r="A144" s="159"/>
      <c r="B144" s="159">
        <v>1800000</v>
      </c>
      <c r="C144" s="159"/>
      <c r="D144" s="159" t="s">
        <v>174</v>
      </c>
      <c r="E144" s="159"/>
      <c r="F144" s="161"/>
      <c r="G144" s="210"/>
      <c r="H144" s="163"/>
    </row>
    <row r="145" spans="1:8" s="318" customFormat="1" ht="201.6" x14ac:dyDescent="0.45">
      <c r="A145" s="314" t="s">
        <v>816</v>
      </c>
      <c r="B145" s="314"/>
      <c r="C145" s="349" t="s">
        <v>817</v>
      </c>
      <c r="D145" s="349" t="s">
        <v>818</v>
      </c>
      <c r="E145" s="316"/>
      <c r="F145" s="314" t="s">
        <v>472</v>
      </c>
      <c r="G145" s="314">
        <v>25</v>
      </c>
      <c r="H145" s="317">
        <f t="shared" ref="H145:H176" si="7">SUM(E145)*G145</f>
        <v>0</v>
      </c>
    </row>
    <row r="146" spans="1:8" s="318" customFormat="1" ht="201.6" x14ac:dyDescent="0.45">
      <c r="A146" s="314" t="s">
        <v>819</v>
      </c>
      <c r="B146" s="314"/>
      <c r="C146" s="349" t="s">
        <v>820</v>
      </c>
      <c r="D146" s="349" t="s">
        <v>818</v>
      </c>
      <c r="E146" s="316"/>
      <c r="F146" s="314" t="s">
        <v>472</v>
      </c>
      <c r="G146" s="314">
        <v>20</v>
      </c>
      <c r="H146" s="317">
        <f t="shared" si="7"/>
        <v>0</v>
      </c>
    </row>
    <row r="147" spans="1:8" s="318" customFormat="1" ht="201.6" x14ac:dyDescent="0.45">
      <c r="A147" s="314" t="s">
        <v>821</v>
      </c>
      <c r="B147" s="314"/>
      <c r="C147" s="315" t="s">
        <v>822</v>
      </c>
      <c r="D147" s="315" t="s">
        <v>823</v>
      </c>
      <c r="E147" s="316"/>
      <c r="F147" s="314" t="s">
        <v>472</v>
      </c>
      <c r="G147" s="314">
        <v>6</v>
      </c>
      <c r="H147" s="317">
        <f t="shared" si="7"/>
        <v>0</v>
      </c>
    </row>
    <row r="148" spans="1:8" s="318" customFormat="1" ht="201.6" x14ac:dyDescent="0.45">
      <c r="A148" s="314" t="s">
        <v>824</v>
      </c>
      <c r="B148" s="314"/>
      <c r="C148" s="315" t="s">
        <v>825</v>
      </c>
      <c r="D148" s="315" t="s">
        <v>823</v>
      </c>
      <c r="E148" s="316"/>
      <c r="F148" s="314" t="s">
        <v>472</v>
      </c>
      <c r="G148" s="304">
        <v>1</v>
      </c>
      <c r="H148" s="317">
        <f t="shared" si="7"/>
        <v>0</v>
      </c>
    </row>
    <row r="149" spans="1:8" s="318" customFormat="1" ht="201.6" x14ac:dyDescent="0.45">
      <c r="A149" s="314" t="s">
        <v>826</v>
      </c>
      <c r="B149" s="314"/>
      <c r="C149" s="315" t="s">
        <v>827</v>
      </c>
      <c r="D149" s="315" t="s">
        <v>828</v>
      </c>
      <c r="E149" s="316"/>
      <c r="F149" s="314" t="s">
        <v>472</v>
      </c>
      <c r="G149" s="304">
        <v>1</v>
      </c>
      <c r="H149" s="317">
        <f t="shared" si="7"/>
        <v>0</v>
      </c>
    </row>
    <row r="150" spans="1:8" s="318" customFormat="1" ht="63" x14ac:dyDescent="0.45">
      <c r="A150" s="314" t="s">
        <v>829</v>
      </c>
      <c r="B150" s="314"/>
      <c r="C150" s="315" t="s">
        <v>830</v>
      </c>
      <c r="D150" s="315" t="s">
        <v>831</v>
      </c>
      <c r="E150" s="316"/>
      <c r="F150" s="314" t="s">
        <v>543</v>
      </c>
      <c r="G150" s="304">
        <v>33000</v>
      </c>
      <c r="H150" s="317">
        <f t="shared" si="7"/>
        <v>0</v>
      </c>
    </row>
    <row r="151" spans="1:8" s="318" customFormat="1" ht="63" x14ac:dyDescent="0.45">
      <c r="A151" s="314" t="s">
        <v>832</v>
      </c>
      <c r="B151" s="314"/>
      <c r="C151" s="349" t="s">
        <v>833</v>
      </c>
      <c r="D151" s="349" t="s">
        <v>1436</v>
      </c>
      <c r="E151" s="316"/>
      <c r="F151" s="314" t="s">
        <v>543</v>
      </c>
      <c r="G151" s="304">
        <v>2400</v>
      </c>
      <c r="H151" s="317">
        <f t="shared" si="7"/>
        <v>0</v>
      </c>
    </row>
    <row r="152" spans="1:8" s="318" customFormat="1" ht="63" x14ac:dyDescent="0.45">
      <c r="A152" s="314" t="s">
        <v>834</v>
      </c>
      <c r="B152" s="314"/>
      <c r="C152" s="349" t="s">
        <v>835</v>
      </c>
      <c r="D152" s="349" t="s">
        <v>1438</v>
      </c>
      <c r="E152" s="316"/>
      <c r="F152" s="314" t="s">
        <v>543</v>
      </c>
      <c r="G152" s="304">
        <v>7000</v>
      </c>
      <c r="H152" s="317">
        <f t="shared" si="7"/>
        <v>0</v>
      </c>
    </row>
    <row r="153" spans="1:8" s="318" customFormat="1" ht="63" x14ac:dyDescent="0.45">
      <c r="A153" s="314" t="s">
        <v>836</v>
      </c>
      <c r="B153" s="314"/>
      <c r="C153" s="349" t="s">
        <v>837</v>
      </c>
      <c r="D153" s="349" t="s">
        <v>1440</v>
      </c>
      <c r="E153" s="316"/>
      <c r="F153" s="314" t="s">
        <v>543</v>
      </c>
      <c r="G153" s="304">
        <v>1750</v>
      </c>
      <c r="H153" s="317">
        <f t="shared" si="7"/>
        <v>0</v>
      </c>
    </row>
    <row r="154" spans="1:8" s="318" customFormat="1" ht="63" x14ac:dyDescent="0.45">
      <c r="A154" s="314" t="s">
        <v>838</v>
      </c>
      <c r="B154" s="314"/>
      <c r="C154" s="349" t="s">
        <v>839</v>
      </c>
      <c r="D154" s="349" t="s">
        <v>1442</v>
      </c>
      <c r="E154" s="316"/>
      <c r="F154" s="314" t="s">
        <v>543</v>
      </c>
      <c r="G154" s="304">
        <v>300</v>
      </c>
      <c r="H154" s="317">
        <f t="shared" si="7"/>
        <v>0</v>
      </c>
    </row>
    <row r="155" spans="1:8" s="318" customFormat="1" ht="63" x14ac:dyDescent="0.45">
      <c r="A155" s="314" t="s">
        <v>840</v>
      </c>
      <c r="B155" s="314"/>
      <c r="C155" s="349" t="s">
        <v>841</v>
      </c>
      <c r="D155" s="349" t="s">
        <v>1444</v>
      </c>
      <c r="E155" s="316"/>
      <c r="F155" s="314" t="s">
        <v>543</v>
      </c>
      <c r="G155" s="304">
        <v>5880</v>
      </c>
      <c r="H155" s="317">
        <f t="shared" si="7"/>
        <v>0</v>
      </c>
    </row>
    <row r="156" spans="1:8" s="318" customFormat="1" ht="63" x14ac:dyDescent="0.45">
      <c r="A156" s="314" t="s">
        <v>842</v>
      </c>
      <c r="B156" s="314"/>
      <c r="C156" s="349" t="s">
        <v>843</v>
      </c>
      <c r="D156" s="349" t="s">
        <v>1446</v>
      </c>
      <c r="E156" s="316"/>
      <c r="F156" s="314" t="s">
        <v>543</v>
      </c>
      <c r="G156" s="304">
        <v>1020</v>
      </c>
      <c r="H156" s="317">
        <f t="shared" si="7"/>
        <v>0</v>
      </c>
    </row>
    <row r="157" spans="1:8" s="318" customFormat="1" ht="63" x14ac:dyDescent="0.45">
      <c r="A157" s="314" t="s">
        <v>844</v>
      </c>
      <c r="B157" s="314"/>
      <c r="C157" s="349" t="s">
        <v>845</v>
      </c>
      <c r="D157" s="349" t="s">
        <v>1438</v>
      </c>
      <c r="E157" s="316"/>
      <c r="F157" s="314" t="s">
        <v>543</v>
      </c>
      <c r="G157" s="304">
        <v>3000</v>
      </c>
      <c r="H157" s="317">
        <f t="shared" si="7"/>
        <v>0</v>
      </c>
    </row>
    <row r="158" spans="1:8" s="318" customFormat="1" ht="63" x14ac:dyDescent="0.45">
      <c r="A158" s="314" t="s">
        <v>846</v>
      </c>
      <c r="B158" s="314"/>
      <c r="C158" s="349" t="s">
        <v>837</v>
      </c>
      <c r="D158" s="349" t="s">
        <v>1440</v>
      </c>
      <c r="E158" s="316"/>
      <c r="F158" s="314" t="s">
        <v>543</v>
      </c>
      <c r="G158" s="304">
        <v>750</v>
      </c>
      <c r="H158" s="317">
        <f t="shared" si="7"/>
        <v>0</v>
      </c>
    </row>
    <row r="159" spans="1:8" s="318" customFormat="1" ht="63" x14ac:dyDescent="0.45">
      <c r="A159" s="314" t="s">
        <v>847</v>
      </c>
      <c r="B159" s="314"/>
      <c r="C159" s="349" t="s">
        <v>839</v>
      </c>
      <c r="D159" s="349" t="s">
        <v>1442</v>
      </c>
      <c r="E159" s="316"/>
      <c r="F159" s="314" t="s">
        <v>543</v>
      </c>
      <c r="G159" s="304">
        <v>125</v>
      </c>
      <c r="H159" s="317">
        <f t="shared" si="7"/>
        <v>0</v>
      </c>
    </row>
    <row r="160" spans="1:8" s="318" customFormat="1" ht="63" x14ac:dyDescent="0.45">
      <c r="A160" s="314" t="s">
        <v>848</v>
      </c>
      <c r="B160" s="314"/>
      <c r="C160" s="349" t="s">
        <v>849</v>
      </c>
      <c r="D160" s="349" t="s">
        <v>1451</v>
      </c>
      <c r="E160" s="316"/>
      <c r="F160" s="314" t="s">
        <v>543</v>
      </c>
      <c r="G160" s="304">
        <v>2050</v>
      </c>
      <c r="H160" s="317">
        <f t="shared" si="7"/>
        <v>0</v>
      </c>
    </row>
    <row r="161" spans="1:8" s="318" customFormat="1" ht="50.4" x14ac:dyDescent="0.45">
      <c r="A161" s="314" t="s">
        <v>850</v>
      </c>
      <c r="B161" s="314"/>
      <c r="C161" s="315" t="s">
        <v>851</v>
      </c>
      <c r="D161" s="315" t="s">
        <v>852</v>
      </c>
      <c r="E161" s="316"/>
      <c r="F161" s="314" t="s">
        <v>543</v>
      </c>
      <c r="G161" s="304">
        <v>15000</v>
      </c>
      <c r="H161" s="317">
        <f t="shared" si="7"/>
        <v>0</v>
      </c>
    </row>
    <row r="162" spans="1:8" s="318" customFormat="1" ht="75.599999999999994" x14ac:dyDescent="0.45">
      <c r="A162" s="314" t="s">
        <v>853</v>
      </c>
      <c r="B162" s="314"/>
      <c r="C162" s="315" t="s">
        <v>854</v>
      </c>
      <c r="D162" s="315" t="s">
        <v>855</v>
      </c>
      <c r="E162" s="316"/>
      <c r="F162" s="314" t="s">
        <v>472</v>
      </c>
      <c r="G162" s="314">
        <v>10</v>
      </c>
      <c r="H162" s="317">
        <f t="shared" si="7"/>
        <v>0</v>
      </c>
    </row>
    <row r="163" spans="1:8" s="318" customFormat="1" ht="63" x14ac:dyDescent="0.45">
      <c r="A163" s="314" t="s">
        <v>856</v>
      </c>
      <c r="B163" s="314"/>
      <c r="C163" s="315" t="s">
        <v>857</v>
      </c>
      <c r="D163" s="343" t="s">
        <v>858</v>
      </c>
      <c r="E163" s="316"/>
      <c r="F163" s="314" t="s">
        <v>543</v>
      </c>
      <c r="G163" s="304">
        <v>33000</v>
      </c>
      <c r="H163" s="317">
        <f t="shared" si="7"/>
        <v>0</v>
      </c>
    </row>
    <row r="164" spans="1:8" s="318" customFormat="1" ht="75.599999999999994" x14ac:dyDescent="0.45">
      <c r="A164" s="314" t="s">
        <v>859</v>
      </c>
      <c r="B164" s="314"/>
      <c r="C164" s="315" t="s">
        <v>860</v>
      </c>
      <c r="D164" s="343" t="s">
        <v>861</v>
      </c>
      <c r="E164" s="316"/>
      <c r="F164" s="314" t="s">
        <v>543</v>
      </c>
      <c r="G164" s="304">
        <v>39000</v>
      </c>
      <c r="H164" s="317">
        <f t="shared" si="7"/>
        <v>0</v>
      </c>
    </row>
    <row r="165" spans="1:8" s="318" customFormat="1" ht="37.799999999999997" x14ac:dyDescent="0.45">
      <c r="A165" s="314" t="s">
        <v>862</v>
      </c>
      <c r="B165" s="314"/>
      <c r="C165" s="315" t="s">
        <v>863</v>
      </c>
      <c r="D165" s="315" t="s">
        <v>864</v>
      </c>
      <c r="E165" s="316"/>
      <c r="F165" s="314" t="s">
        <v>472</v>
      </c>
      <c r="G165" s="314">
        <v>10</v>
      </c>
      <c r="H165" s="317">
        <f t="shared" si="7"/>
        <v>0</v>
      </c>
    </row>
    <row r="166" spans="1:8" s="318" customFormat="1" ht="37.799999999999997" x14ac:dyDescent="0.45">
      <c r="A166" s="314" t="s">
        <v>865</v>
      </c>
      <c r="B166" s="314"/>
      <c r="C166" s="315" t="s">
        <v>866</v>
      </c>
      <c r="D166" s="315" t="s">
        <v>864</v>
      </c>
      <c r="E166" s="316"/>
      <c r="F166" s="314" t="s">
        <v>472</v>
      </c>
      <c r="G166" s="314">
        <v>10</v>
      </c>
      <c r="H166" s="317">
        <f t="shared" si="7"/>
        <v>0</v>
      </c>
    </row>
    <row r="167" spans="1:8" s="318" customFormat="1" ht="37.799999999999997" x14ac:dyDescent="0.45">
      <c r="A167" s="314" t="s">
        <v>867</v>
      </c>
      <c r="B167" s="314"/>
      <c r="C167" s="315" t="s">
        <v>868</v>
      </c>
      <c r="D167" s="315" t="s">
        <v>869</v>
      </c>
      <c r="E167" s="316"/>
      <c r="F167" s="314" t="s">
        <v>472</v>
      </c>
      <c r="G167" s="314">
        <v>10</v>
      </c>
      <c r="H167" s="317">
        <f t="shared" si="7"/>
        <v>0</v>
      </c>
    </row>
    <row r="168" spans="1:8" s="318" customFormat="1" ht="37.799999999999997" x14ac:dyDescent="0.45">
      <c r="A168" s="314" t="s">
        <v>870</v>
      </c>
      <c r="B168" s="314"/>
      <c r="C168" s="315" t="s">
        <v>871</v>
      </c>
      <c r="D168" s="315" t="s">
        <v>869</v>
      </c>
      <c r="E168" s="316"/>
      <c r="F168" s="314" t="s">
        <v>472</v>
      </c>
      <c r="G168" s="314">
        <v>10</v>
      </c>
      <c r="H168" s="317">
        <f t="shared" si="7"/>
        <v>0</v>
      </c>
    </row>
    <row r="169" spans="1:8" s="318" customFormat="1" ht="37.799999999999997" x14ac:dyDescent="0.45">
      <c r="A169" s="314" t="s">
        <v>872</v>
      </c>
      <c r="B169" s="314"/>
      <c r="C169" s="315" t="s">
        <v>873</v>
      </c>
      <c r="D169" s="315" t="s">
        <v>864</v>
      </c>
      <c r="E169" s="316"/>
      <c r="F169" s="314" t="s">
        <v>472</v>
      </c>
      <c r="G169" s="314">
        <v>10</v>
      </c>
      <c r="H169" s="317">
        <f t="shared" si="7"/>
        <v>0</v>
      </c>
    </row>
    <row r="170" spans="1:8" s="318" customFormat="1" ht="37.799999999999997" x14ac:dyDescent="0.45">
      <c r="A170" s="314" t="s">
        <v>874</v>
      </c>
      <c r="B170" s="314"/>
      <c r="C170" s="315" t="s">
        <v>875</v>
      </c>
      <c r="D170" s="315" t="s">
        <v>864</v>
      </c>
      <c r="E170" s="316"/>
      <c r="F170" s="314" t="s">
        <v>472</v>
      </c>
      <c r="G170" s="314">
        <v>10</v>
      </c>
      <c r="H170" s="317">
        <f t="shared" si="7"/>
        <v>0</v>
      </c>
    </row>
    <row r="171" spans="1:8" s="318" customFormat="1" ht="37.799999999999997" x14ac:dyDescent="0.45">
      <c r="A171" s="314" t="s">
        <v>876</v>
      </c>
      <c r="B171" s="314"/>
      <c r="C171" s="315" t="s">
        <v>877</v>
      </c>
      <c r="D171" s="315" t="s">
        <v>864</v>
      </c>
      <c r="E171" s="316"/>
      <c r="F171" s="314" t="s">
        <v>472</v>
      </c>
      <c r="G171" s="314">
        <v>10</v>
      </c>
      <c r="H171" s="317">
        <f t="shared" si="7"/>
        <v>0</v>
      </c>
    </row>
    <row r="172" spans="1:8" s="318" customFormat="1" ht="37.799999999999997" x14ac:dyDescent="0.45">
      <c r="A172" s="314" t="s">
        <v>878</v>
      </c>
      <c r="B172" s="314"/>
      <c r="C172" s="315" t="s">
        <v>879</v>
      </c>
      <c r="D172" s="315" t="s">
        <v>864</v>
      </c>
      <c r="E172" s="316"/>
      <c r="F172" s="314" t="s">
        <v>472</v>
      </c>
      <c r="G172" s="314">
        <v>10</v>
      </c>
      <c r="H172" s="317">
        <f t="shared" si="7"/>
        <v>0</v>
      </c>
    </row>
    <row r="173" spans="1:8" s="318" customFormat="1" ht="37.799999999999997" x14ac:dyDescent="0.45">
      <c r="A173" s="314" t="s">
        <v>880</v>
      </c>
      <c r="B173" s="314"/>
      <c r="C173" s="315" t="s">
        <v>881</v>
      </c>
      <c r="D173" s="315" t="s">
        <v>864</v>
      </c>
      <c r="E173" s="316"/>
      <c r="F173" s="314" t="s">
        <v>472</v>
      </c>
      <c r="G173" s="314">
        <v>10</v>
      </c>
      <c r="H173" s="317">
        <f t="shared" si="7"/>
        <v>0</v>
      </c>
    </row>
    <row r="174" spans="1:8" s="318" customFormat="1" ht="37.799999999999997" x14ac:dyDescent="0.45">
      <c r="A174" s="314" t="s">
        <v>882</v>
      </c>
      <c r="B174" s="314"/>
      <c r="C174" s="315" t="s">
        <v>883</v>
      </c>
      <c r="D174" s="315" t="s">
        <v>864</v>
      </c>
      <c r="E174" s="316"/>
      <c r="F174" s="314" t="s">
        <v>472</v>
      </c>
      <c r="G174" s="314">
        <v>10</v>
      </c>
      <c r="H174" s="317">
        <f t="shared" si="7"/>
        <v>0</v>
      </c>
    </row>
    <row r="175" spans="1:8" s="318" customFormat="1" ht="37.799999999999997" x14ac:dyDescent="0.45">
      <c r="A175" s="314" t="s">
        <v>884</v>
      </c>
      <c r="B175" s="314"/>
      <c r="C175" s="315" t="s">
        <v>885</v>
      </c>
      <c r="D175" s="315" t="s">
        <v>864</v>
      </c>
      <c r="E175" s="316"/>
      <c r="F175" s="314" t="s">
        <v>472</v>
      </c>
      <c r="G175" s="314">
        <v>10</v>
      </c>
      <c r="H175" s="317">
        <f t="shared" si="7"/>
        <v>0</v>
      </c>
    </row>
    <row r="176" spans="1:8" s="318" customFormat="1" ht="37.799999999999997" x14ac:dyDescent="0.45">
      <c r="A176" s="314" t="s">
        <v>886</v>
      </c>
      <c r="B176" s="314"/>
      <c r="C176" s="315" t="s">
        <v>887</v>
      </c>
      <c r="D176" s="315" t="s">
        <v>864</v>
      </c>
      <c r="E176" s="316"/>
      <c r="F176" s="314" t="s">
        <v>472</v>
      </c>
      <c r="G176" s="314">
        <v>10</v>
      </c>
      <c r="H176" s="317">
        <f t="shared" si="7"/>
        <v>0</v>
      </c>
    </row>
    <row r="177" spans="1:8" s="318" customFormat="1" ht="37.799999999999997" x14ac:dyDescent="0.45">
      <c r="A177" s="314" t="s">
        <v>888</v>
      </c>
      <c r="B177" s="314"/>
      <c r="C177" s="315" t="s">
        <v>889</v>
      </c>
      <c r="D177" s="315" t="s">
        <v>864</v>
      </c>
      <c r="E177" s="316"/>
      <c r="F177" s="314" t="s">
        <v>472</v>
      </c>
      <c r="G177" s="314">
        <v>10</v>
      </c>
      <c r="H177" s="317">
        <f t="shared" ref="H177:H208" si="8">SUM(E177)*G177</f>
        <v>0</v>
      </c>
    </row>
    <row r="178" spans="1:8" s="318" customFormat="1" ht="37.799999999999997" x14ac:dyDescent="0.45">
      <c r="A178" s="314" t="s">
        <v>890</v>
      </c>
      <c r="B178" s="314"/>
      <c r="C178" s="315" t="s">
        <v>891</v>
      </c>
      <c r="D178" s="315" t="s">
        <v>864</v>
      </c>
      <c r="E178" s="316"/>
      <c r="F178" s="314" t="s">
        <v>472</v>
      </c>
      <c r="G178" s="314">
        <v>10</v>
      </c>
      <c r="H178" s="317">
        <f t="shared" si="8"/>
        <v>0</v>
      </c>
    </row>
    <row r="179" spans="1:8" s="318" customFormat="1" ht="37.799999999999997" x14ac:dyDescent="0.45">
      <c r="A179" s="314" t="s">
        <v>892</v>
      </c>
      <c r="B179" s="314"/>
      <c r="C179" s="315" t="s">
        <v>893</v>
      </c>
      <c r="D179" s="315" t="s">
        <v>864</v>
      </c>
      <c r="E179" s="316"/>
      <c r="F179" s="314" t="s">
        <v>472</v>
      </c>
      <c r="G179" s="314">
        <v>10</v>
      </c>
      <c r="H179" s="317">
        <f t="shared" si="8"/>
        <v>0</v>
      </c>
    </row>
    <row r="180" spans="1:8" s="318" customFormat="1" ht="37.799999999999997" x14ac:dyDescent="0.45">
      <c r="A180" s="314" t="s">
        <v>894</v>
      </c>
      <c r="B180" s="314"/>
      <c r="C180" s="315" t="s">
        <v>895</v>
      </c>
      <c r="D180" s="315" t="s">
        <v>864</v>
      </c>
      <c r="E180" s="316"/>
      <c r="F180" s="314" t="s">
        <v>472</v>
      </c>
      <c r="G180" s="314">
        <v>10</v>
      </c>
      <c r="H180" s="317">
        <f t="shared" si="8"/>
        <v>0</v>
      </c>
    </row>
    <row r="181" spans="1:8" s="318" customFormat="1" ht="37.799999999999997" x14ac:dyDescent="0.45">
      <c r="A181" s="314" t="s">
        <v>896</v>
      </c>
      <c r="B181" s="314"/>
      <c r="C181" s="315" t="s">
        <v>897</v>
      </c>
      <c r="D181" s="315" t="s">
        <v>864</v>
      </c>
      <c r="E181" s="316"/>
      <c r="F181" s="314" t="s">
        <v>472</v>
      </c>
      <c r="G181" s="314">
        <v>10</v>
      </c>
      <c r="H181" s="317">
        <f t="shared" si="8"/>
        <v>0</v>
      </c>
    </row>
    <row r="182" spans="1:8" s="318" customFormat="1" ht="37.799999999999997" x14ac:dyDescent="0.45">
      <c r="A182" s="314" t="s">
        <v>898</v>
      </c>
      <c r="B182" s="314"/>
      <c r="C182" s="315" t="s">
        <v>899</v>
      </c>
      <c r="D182" s="315" t="s">
        <v>864</v>
      </c>
      <c r="E182" s="316"/>
      <c r="F182" s="314" t="s">
        <v>472</v>
      </c>
      <c r="G182" s="314">
        <v>10</v>
      </c>
      <c r="H182" s="317">
        <f t="shared" si="8"/>
        <v>0</v>
      </c>
    </row>
    <row r="183" spans="1:8" s="318" customFormat="1" ht="37.799999999999997" x14ac:dyDescent="0.45">
      <c r="A183" s="314" t="s">
        <v>900</v>
      </c>
      <c r="B183" s="314"/>
      <c r="C183" s="315" t="s">
        <v>901</v>
      </c>
      <c r="D183" s="315" t="s">
        <v>864</v>
      </c>
      <c r="E183" s="316"/>
      <c r="F183" s="314" t="s">
        <v>472</v>
      </c>
      <c r="G183" s="314">
        <v>10</v>
      </c>
      <c r="H183" s="317">
        <f t="shared" si="8"/>
        <v>0</v>
      </c>
    </row>
    <row r="184" spans="1:8" s="318" customFormat="1" ht="50.4" x14ac:dyDescent="0.45">
      <c r="A184" s="314" t="s">
        <v>902</v>
      </c>
      <c r="B184" s="314"/>
      <c r="C184" s="315" t="s">
        <v>903</v>
      </c>
      <c r="D184" s="315" t="s">
        <v>864</v>
      </c>
      <c r="E184" s="316"/>
      <c r="F184" s="314" t="s">
        <v>472</v>
      </c>
      <c r="G184" s="314">
        <v>10</v>
      </c>
      <c r="H184" s="317">
        <f t="shared" si="8"/>
        <v>0</v>
      </c>
    </row>
    <row r="185" spans="1:8" s="318" customFormat="1" ht="37.799999999999997" x14ac:dyDescent="0.45">
      <c r="A185" s="314" t="s">
        <v>904</v>
      </c>
      <c r="B185" s="314"/>
      <c r="C185" s="315" t="s">
        <v>905</v>
      </c>
      <c r="D185" s="315" t="s">
        <v>864</v>
      </c>
      <c r="E185" s="316"/>
      <c r="F185" s="314" t="s">
        <v>472</v>
      </c>
      <c r="G185" s="314">
        <v>10</v>
      </c>
      <c r="H185" s="317">
        <f t="shared" si="8"/>
        <v>0</v>
      </c>
    </row>
    <row r="186" spans="1:8" s="318" customFormat="1" ht="37.799999999999997" x14ac:dyDescent="0.45">
      <c r="A186" s="314" t="s">
        <v>906</v>
      </c>
      <c r="B186" s="314"/>
      <c r="C186" s="315" t="s">
        <v>907</v>
      </c>
      <c r="D186" s="315" t="s">
        <v>864</v>
      </c>
      <c r="E186" s="316"/>
      <c r="F186" s="314" t="s">
        <v>472</v>
      </c>
      <c r="G186" s="314">
        <v>10</v>
      </c>
      <c r="H186" s="317">
        <f t="shared" si="8"/>
        <v>0</v>
      </c>
    </row>
    <row r="187" spans="1:8" s="318" customFormat="1" ht="37.799999999999997" x14ac:dyDescent="0.45">
      <c r="A187" s="314" t="s">
        <v>908</v>
      </c>
      <c r="B187" s="314"/>
      <c r="C187" s="315" t="s">
        <v>909</v>
      </c>
      <c r="D187" s="315" t="s">
        <v>864</v>
      </c>
      <c r="E187" s="316"/>
      <c r="F187" s="314" t="s">
        <v>472</v>
      </c>
      <c r="G187" s="314">
        <v>10</v>
      </c>
      <c r="H187" s="317">
        <f t="shared" si="8"/>
        <v>0</v>
      </c>
    </row>
    <row r="188" spans="1:8" s="318" customFormat="1" ht="50.4" x14ac:dyDescent="0.45">
      <c r="A188" s="314" t="s">
        <v>910</v>
      </c>
      <c r="B188" s="314"/>
      <c r="C188" s="315" t="s">
        <v>911</v>
      </c>
      <c r="D188" s="315" t="s">
        <v>864</v>
      </c>
      <c r="E188" s="316"/>
      <c r="F188" s="314" t="s">
        <v>472</v>
      </c>
      <c r="G188" s="314">
        <v>10</v>
      </c>
      <c r="H188" s="317">
        <f t="shared" si="8"/>
        <v>0</v>
      </c>
    </row>
    <row r="189" spans="1:8" s="318" customFormat="1" ht="50.4" x14ac:dyDescent="0.45">
      <c r="A189" s="314" t="s">
        <v>912</v>
      </c>
      <c r="B189" s="314"/>
      <c r="C189" s="315" t="s">
        <v>913</v>
      </c>
      <c r="D189" s="315" t="s">
        <v>864</v>
      </c>
      <c r="E189" s="316"/>
      <c r="F189" s="314" t="s">
        <v>472</v>
      </c>
      <c r="G189" s="314">
        <v>10</v>
      </c>
      <c r="H189" s="317">
        <f t="shared" si="8"/>
        <v>0</v>
      </c>
    </row>
    <row r="190" spans="1:8" s="318" customFormat="1" ht="50.4" x14ac:dyDescent="0.45">
      <c r="A190" s="314" t="s">
        <v>914</v>
      </c>
      <c r="B190" s="314"/>
      <c r="C190" s="315" t="s">
        <v>915</v>
      </c>
      <c r="D190" s="315" t="s">
        <v>864</v>
      </c>
      <c r="E190" s="316"/>
      <c r="F190" s="314" t="s">
        <v>472</v>
      </c>
      <c r="G190" s="314">
        <v>10</v>
      </c>
      <c r="H190" s="317">
        <f t="shared" si="8"/>
        <v>0</v>
      </c>
    </row>
    <row r="191" spans="1:8" s="318" customFormat="1" ht="50.4" x14ac:dyDescent="0.45">
      <c r="A191" s="314" t="s">
        <v>916</v>
      </c>
      <c r="B191" s="314"/>
      <c r="C191" s="315" t="s">
        <v>917</v>
      </c>
      <c r="D191" s="315" t="s">
        <v>864</v>
      </c>
      <c r="E191" s="316"/>
      <c r="F191" s="314" t="s">
        <v>472</v>
      </c>
      <c r="G191" s="314">
        <v>10</v>
      </c>
      <c r="H191" s="317">
        <f t="shared" si="8"/>
        <v>0</v>
      </c>
    </row>
    <row r="192" spans="1:8" s="318" customFormat="1" ht="50.4" x14ac:dyDescent="0.45">
      <c r="A192" s="314" t="s">
        <v>918</v>
      </c>
      <c r="B192" s="314"/>
      <c r="C192" s="315" t="s">
        <v>919</v>
      </c>
      <c r="D192" s="315" t="s">
        <v>864</v>
      </c>
      <c r="E192" s="316"/>
      <c r="F192" s="314" t="s">
        <v>472</v>
      </c>
      <c r="G192" s="314">
        <v>10</v>
      </c>
      <c r="H192" s="317">
        <f t="shared" si="8"/>
        <v>0</v>
      </c>
    </row>
    <row r="193" spans="1:8" s="318" customFormat="1" ht="50.4" x14ac:dyDescent="0.45">
      <c r="A193" s="314" t="s">
        <v>920</v>
      </c>
      <c r="B193" s="314"/>
      <c r="C193" s="315" t="s">
        <v>921</v>
      </c>
      <c r="D193" s="315" t="s">
        <v>864</v>
      </c>
      <c r="E193" s="316"/>
      <c r="F193" s="314" t="s">
        <v>472</v>
      </c>
      <c r="G193" s="314">
        <v>10</v>
      </c>
      <c r="H193" s="317">
        <f t="shared" si="8"/>
        <v>0</v>
      </c>
    </row>
    <row r="194" spans="1:8" s="318" customFormat="1" ht="50.4" x14ac:dyDescent="0.45">
      <c r="A194" s="314" t="s">
        <v>922</v>
      </c>
      <c r="B194" s="314"/>
      <c r="C194" s="315" t="s">
        <v>923</v>
      </c>
      <c r="D194" s="315" t="s">
        <v>864</v>
      </c>
      <c r="E194" s="316"/>
      <c r="F194" s="314" t="s">
        <v>472</v>
      </c>
      <c r="G194" s="314">
        <v>10</v>
      </c>
      <c r="H194" s="317">
        <f t="shared" si="8"/>
        <v>0</v>
      </c>
    </row>
    <row r="195" spans="1:8" s="318" customFormat="1" ht="50.4" x14ac:dyDescent="0.45">
      <c r="A195" s="314" t="s">
        <v>924</v>
      </c>
      <c r="B195" s="314"/>
      <c r="C195" s="315" t="s">
        <v>925</v>
      </c>
      <c r="D195" s="315" t="s">
        <v>864</v>
      </c>
      <c r="E195" s="316"/>
      <c r="F195" s="314" t="s">
        <v>472</v>
      </c>
      <c r="G195" s="314">
        <v>10</v>
      </c>
      <c r="H195" s="317">
        <f t="shared" si="8"/>
        <v>0</v>
      </c>
    </row>
    <row r="196" spans="1:8" s="318" customFormat="1" ht="50.4" x14ac:dyDescent="0.45">
      <c r="A196" s="314" t="s">
        <v>926</v>
      </c>
      <c r="B196" s="314"/>
      <c r="C196" s="315" t="s">
        <v>927</v>
      </c>
      <c r="D196" s="315" t="s">
        <v>864</v>
      </c>
      <c r="E196" s="316"/>
      <c r="F196" s="314" t="s">
        <v>472</v>
      </c>
      <c r="G196" s="314">
        <v>10</v>
      </c>
      <c r="H196" s="317">
        <f t="shared" si="8"/>
        <v>0</v>
      </c>
    </row>
    <row r="197" spans="1:8" s="318" customFormat="1" ht="50.4" x14ac:dyDescent="0.45">
      <c r="A197" s="314" t="s">
        <v>928</v>
      </c>
      <c r="B197" s="314"/>
      <c r="C197" s="315" t="s">
        <v>929</v>
      </c>
      <c r="D197" s="315" t="s">
        <v>864</v>
      </c>
      <c r="E197" s="316"/>
      <c r="F197" s="314" t="s">
        <v>472</v>
      </c>
      <c r="G197" s="314">
        <v>10</v>
      </c>
      <c r="H197" s="317">
        <f t="shared" si="8"/>
        <v>0</v>
      </c>
    </row>
    <row r="198" spans="1:8" s="318" customFormat="1" ht="50.4" x14ac:dyDescent="0.45">
      <c r="A198" s="314" t="s">
        <v>930</v>
      </c>
      <c r="B198" s="314"/>
      <c r="C198" s="315" t="s">
        <v>931</v>
      </c>
      <c r="D198" s="315" t="s">
        <v>864</v>
      </c>
      <c r="E198" s="316"/>
      <c r="F198" s="314" t="s">
        <v>472</v>
      </c>
      <c r="G198" s="314">
        <v>10</v>
      </c>
      <c r="H198" s="317">
        <f t="shared" si="8"/>
        <v>0</v>
      </c>
    </row>
    <row r="199" spans="1:8" s="318" customFormat="1" ht="50.4" x14ac:dyDescent="0.45">
      <c r="A199" s="314" t="s">
        <v>932</v>
      </c>
      <c r="B199" s="314"/>
      <c r="C199" s="315" t="s">
        <v>933</v>
      </c>
      <c r="D199" s="315" t="s">
        <v>864</v>
      </c>
      <c r="E199" s="316"/>
      <c r="F199" s="314" t="s">
        <v>472</v>
      </c>
      <c r="G199" s="314">
        <v>10</v>
      </c>
      <c r="H199" s="317">
        <f t="shared" si="8"/>
        <v>0</v>
      </c>
    </row>
    <row r="200" spans="1:8" s="318" customFormat="1" ht="50.4" x14ac:dyDescent="0.45">
      <c r="A200" s="314" t="s">
        <v>934</v>
      </c>
      <c r="B200" s="314"/>
      <c r="C200" s="315" t="s">
        <v>935</v>
      </c>
      <c r="D200" s="315" t="s">
        <v>864</v>
      </c>
      <c r="E200" s="316"/>
      <c r="F200" s="314" t="s">
        <v>472</v>
      </c>
      <c r="G200" s="314">
        <v>10</v>
      </c>
      <c r="H200" s="317">
        <f t="shared" si="8"/>
        <v>0</v>
      </c>
    </row>
    <row r="201" spans="1:8" s="318" customFormat="1" ht="63" x14ac:dyDescent="0.45">
      <c r="A201" s="314" t="s">
        <v>936</v>
      </c>
      <c r="B201" s="314"/>
      <c r="C201" s="315" t="s">
        <v>937</v>
      </c>
      <c r="D201" s="315" t="s">
        <v>864</v>
      </c>
      <c r="E201" s="316"/>
      <c r="F201" s="314" t="s">
        <v>472</v>
      </c>
      <c r="G201" s="314">
        <v>10</v>
      </c>
      <c r="H201" s="317">
        <f t="shared" si="8"/>
        <v>0</v>
      </c>
    </row>
    <row r="202" spans="1:8" s="318" customFormat="1" ht="63" x14ac:dyDescent="0.45">
      <c r="A202" s="314" t="s">
        <v>938</v>
      </c>
      <c r="B202" s="314"/>
      <c r="C202" s="315" t="s">
        <v>939</v>
      </c>
      <c r="D202" s="315" t="s">
        <v>864</v>
      </c>
      <c r="E202" s="316"/>
      <c r="F202" s="314" t="s">
        <v>472</v>
      </c>
      <c r="G202" s="314">
        <v>10</v>
      </c>
      <c r="H202" s="317">
        <f t="shared" si="8"/>
        <v>0</v>
      </c>
    </row>
    <row r="203" spans="1:8" s="318" customFormat="1" ht="63" x14ac:dyDescent="0.45">
      <c r="A203" s="314" t="s">
        <v>940</v>
      </c>
      <c r="B203" s="314"/>
      <c r="C203" s="315" t="s">
        <v>941</v>
      </c>
      <c r="D203" s="315" t="s">
        <v>864</v>
      </c>
      <c r="E203" s="316"/>
      <c r="F203" s="314" t="s">
        <v>472</v>
      </c>
      <c r="G203" s="314">
        <v>10</v>
      </c>
      <c r="H203" s="317">
        <f t="shared" si="8"/>
        <v>0</v>
      </c>
    </row>
    <row r="204" spans="1:8" s="318" customFormat="1" ht="63" x14ac:dyDescent="0.45">
      <c r="A204" s="314" t="s">
        <v>942</v>
      </c>
      <c r="B204" s="314"/>
      <c r="C204" s="315" t="s">
        <v>943</v>
      </c>
      <c r="D204" s="315" t="s">
        <v>864</v>
      </c>
      <c r="E204" s="316"/>
      <c r="F204" s="314" t="s">
        <v>472</v>
      </c>
      <c r="G204" s="314">
        <v>10</v>
      </c>
      <c r="H204" s="317">
        <f t="shared" si="8"/>
        <v>0</v>
      </c>
    </row>
    <row r="205" spans="1:8" s="318" customFormat="1" ht="63" x14ac:dyDescent="0.45">
      <c r="A205" s="314" t="s">
        <v>944</v>
      </c>
      <c r="B205" s="314"/>
      <c r="C205" s="315" t="s">
        <v>945</v>
      </c>
      <c r="D205" s="315" t="s">
        <v>864</v>
      </c>
      <c r="E205" s="316"/>
      <c r="F205" s="314" t="s">
        <v>472</v>
      </c>
      <c r="G205" s="314">
        <v>10</v>
      </c>
      <c r="H205" s="317">
        <f t="shared" si="8"/>
        <v>0</v>
      </c>
    </row>
    <row r="206" spans="1:8" s="318" customFormat="1" ht="63" x14ac:dyDescent="0.45">
      <c r="A206" s="314" t="s">
        <v>946</v>
      </c>
      <c r="B206" s="314"/>
      <c r="C206" s="315" t="s">
        <v>947</v>
      </c>
      <c r="D206" s="315" t="s">
        <v>864</v>
      </c>
      <c r="E206" s="316"/>
      <c r="F206" s="314" t="s">
        <v>472</v>
      </c>
      <c r="G206" s="314">
        <v>10</v>
      </c>
      <c r="H206" s="317">
        <f t="shared" si="8"/>
        <v>0</v>
      </c>
    </row>
    <row r="207" spans="1:8" s="318" customFormat="1" ht="63" x14ac:dyDescent="0.45">
      <c r="A207" s="314" t="s">
        <v>948</v>
      </c>
      <c r="B207" s="314"/>
      <c r="C207" s="315" t="s">
        <v>949</v>
      </c>
      <c r="D207" s="315" t="s">
        <v>864</v>
      </c>
      <c r="E207" s="316"/>
      <c r="F207" s="314" t="s">
        <v>472</v>
      </c>
      <c r="G207" s="314">
        <v>10</v>
      </c>
      <c r="H207" s="317">
        <f t="shared" si="8"/>
        <v>0</v>
      </c>
    </row>
    <row r="208" spans="1:8" s="318" customFormat="1" ht="75.599999999999994" x14ac:dyDescent="0.45">
      <c r="A208" s="314" t="s">
        <v>950</v>
      </c>
      <c r="B208" s="314"/>
      <c r="C208" s="315" t="s">
        <v>951</v>
      </c>
      <c r="D208" s="315" t="s">
        <v>864</v>
      </c>
      <c r="E208" s="316"/>
      <c r="F208" s="314" t="s">
        <v>472</v>
      </c>
      <c r="G208" s="314">
        <v>10</v>
      </c>
      <c r="H208" s="317">
        <f t="shared" si="8"/>
        <v>0</v>
      </c>
    </row>
    <row r="209" spans="1:8" s="318" customFormat="1" ht="75.599999999999994" x14ac:dyDescent="0.45">
      <c r="A209" s="314" t="s">
        <v>952</v>
      </c>
      <c r="B209" s="314"/>
      <c r="C209" s="315" t="s">
        <v>953</v>
      </c>
      <c r="D209" s="315" t="s">
        <v>864</v>
      </c>
      <c r="E209" s="316"/>
      <c r="F209" s="314" t="s">
        <v>472</v>
      </c>
      <c r="G209" s="314">
        <v>10</v>
      </c>
      <c r="H209" s="317">
        <f t="shared" ref="H209:H258" si="9">SUM(E209)*G209</f>
        <v>0</v>
      </c>
    </row>
    <row r="210" spans="1:8" s="318" customFormat="1" ht="75.599999999999994" x14ac:dyDescent="0.45">
      <c r="A210" s="314" t="s">
        <v>954</v>
      </c>
      <c r="B210" s="314"/>
      <c r="C210" s="315" t="s">
        <v>955</v>
      </c>
      <c r="D210" s="315" t="s">
        <v>864</v>
      </c>
      <c r="E210" s="316"/>
      <c r="F210" s="314" t="s">
        <v>472</v>
      </c>
      <c r="G210" s="314">
        <v>10</v>
      </c>
      <c r="H210" s="317">
        <f t="shared" si="9"/>
        <v>0</v>
      </c>
    </row>
    <row r="211" spans="1:8" s="318" customFormat="1" ht="75.599999999999994" x14ac:dyDescent="0.45">
      <c r="A211" s="314" t="s">
        <v>956</v>
      </c>
      <c r="B211" s="314"/>
      <c r="C211" s="315" t="s">
        <v>957</v>
      </c>
      <c r="D211" s="315" t="s">
        <v>864</v>
      </c>
      <c r="E211" s="316"/>
      <c r="F211" s="314" t="s">
        <v>472</v>
      </c>
      <c r="G211" s="314">
        <v>10</v>
      </c>
      <c r="H211" s="317">
        <f t="shared" si="9"/>
        <v>0</v>
      </c>
    </row>
    <row r="212" spans="1:8" s="318" customFormat="1" ht="75.599999999999994" x14ac:dyDescent="0.45">
      <c r="A212" s="314" t="s">
        <v>958</v>
      </c>
      <c r="B212" s="314"/>
      <c r="C212" s="315" t="s">
        <v>959</v>
      </c>
      <c r="D212" s="315" t="s">
        <v>864</v>
      </c>
      <c r="E212" s="316"/>
      <c r="F212" s="314" t="s">
        <v>472</v>
      </c>
      <c r="G212" s="314">
        <v>10</v>
      </c>
      <c r="H212" s="317">
        <f t="shared" si="9"/>
        <v>0</v>
      </c>
    </row>
    <row r="213" spans="1:8" s="318" customFormat="1" ht="75.599999999999994" x14ac:dyDescent="0.45">
      <c r="A213" s="314" t="s">
        <v>960</v>
      </c>
      <c r="B213" s="314"/>
      <c r="C213" s="315" t="s">
        <v>961</v>
      </c>
      <c r="D213" s="315" t="s">
        <v>864</v>
      </c>
      <c r="E213" s="316"/>
      <c r="F213" s="314" t="s">
        <v>472</v>
      </c>
      <c r="G213" s="314">
        <v>10</v>
      </c>
      <c r="H213" s="317">
        <f t="shared" si="9"/>
        <v>0</v>
      </c>
    </row>
    <row r="214" spans="1:8" s="318" customFormat="1" ht="75.599999999999994" x14ac:dyDescent="0.45">
      <c r="A214" s="314" t="s">
        <v>962</v>
      </c>
      <c r="B214" s="314"/>
      <c r="C214" s="315" t="s">
        <v>963</v>
      </c>
      <c r="D214" s="315" t="s">
        <v>864</v>
      </c>
      <c r="E214" s="316"/>
      <c r="F214" s="314" t="s">
        <v>472</v>
      </c>
      <c r="G214" s="314">
        <v>10</v>
      </c>
      <c r="H214" s="317">
        <f t="shared" si="9"/>
        <v>0</v>
      </c>
    </row>
    <row r="215" spans="1:8" s="318" customFormat="1" ht="75.599999999999994" x14ac:dyDescent="0.45">
      <c r="A215" s="314" t="s">
        <v>964</v>
      </c>
      <c r="B215" s="314"/>
      <c r="C215" s="315" t="s">
        <v>965</v>
      </c>
      <c r="D215" s="315" t="s">
        <v>864</v>
      </c>
      <c r="E215" s="316"/>
      <c r="F215" s="314" t="s">
        <v>472</v>
      </c>
      <c r="G215" s="314">
        <v>10</v>
      </c>
      <c r="H215" s="317">
        <f t="shared" si="9"/>
        <v>0</v>
      </c>
    </row>
    <row r="216" spans="1:8" s="318" customFormat="1" ht="75.599999999999994" x14ac:dyDescent="0.45">
      <c r="A216" s="314" t="s">
        <v>966</v>
      </c>
      <c r="B216" s="314"/>
      <c r="C216" s="315" t="s">
        <v>967</v>
      </c>
      <c r="D216" s="315" t="s">
        <v>864</v>
      </c>
      <c r="E216" s="316"/>
      <c r="F216" s="314" t="s">
        <v>472</v>
      </c>
      <c r="G216" s="314">
        <v>10</v>
      </c>
      <c r="H216" s="317">
        <f t="shared" si="9"/>
        <v>0</v>
      </c>
    </row>
    <row r="217" spans="1:8" s="318" customFormat="1" ht="75.599999999999994" x14ac:dyDescent="0.45">
      <c r="A217" s="314" t="s">
        <v>968</v>
      </c>
      <c r="B217" s="314"/>
      <c r="C217" s="315" t="s">
        <v>969</v>
      </c>
      <c r="D217" s="315" t="s">
        <v>864</v>
      </c>
      <c r="E217" s="316"/>
      <c r="F217" s="314" t="s">
        <v>472</v>
      </c>
      <c r="G217" s="314">
        <v>10</v>
      </c>
      <c r="H217" s="317">
        <f t="shared" si="9"/>
        <v>0</v>
      </c>
    </row>
    <row r="218" spans="1:8" s="318" customFormat="1" ht="75.599999999999994" x14ac:dyDescent="0.45">
      <c r="A218" s="314" t="s">
        <v>970</v>
      </c>
      <c r="B218" s="314"/>
      <c r="C218" s="315" t="s">
        <v>971</v>
      </c>
      <c r="D218" s="315" t="s">
        <v>864</v>
      </c>
      <c r="E218" s="316"/>
      <c r="F218" s="314" t="s">
        <v>472</v>
      </c>
      <c r="G218" s="314">
        <v>10</v>
      </c>
      <c r="H218" s="317">
        <f t="shared" si="9"/>
        <v>0</v>
      </c>
    </row>
    <row r="219" spans="1:8" s="318" customFormat="1" ht="75.599999999999994" x14ac:dyDescent="0.45">
      <c r="A219" s="314" t="s">
        <v>972</v>
      </c>
      <c r="B219" s="314"/>
      <c r="C219" s="315" t="s">
        <v>973</v>
      </c>
      <c r="D219" s="315" t="s">
        <v>864</v>
      </c>
      <c r="E219" s="316"/>
      <c r="F219" s="314" t="s">
        <v>472</v>
      </c>
      <c r="G219" s="314">
        <v>10</v>
      </c>
      <c r="H219" s="317">
        <f t="shared" si="9"/>
        <v>0</v>
      </c>
    </row>
    <row r="220" spans="1:8" s="318" customFormat="1" ht="50.4" x14ac:dyDescent="0.45">
      <c r="A220" s="314" t="s">
        <v>974</v>
      </c>
      <c r="B220" s="314"/>
      <c r="C220" s="315" t="s">
        <v>975</v>
      </c>
      <c r="D220" s="315" t="s">
        <v>864</v>
      </c>
      <c r="E220" s="316"/>
      <c r="F220" s="314" t="s">
        <v>472</v>
      </c>
      <c r="G220" s="314">
        <v>10</v>
      </c>
      <c r="H220" s="317">
        <f t="shared" si="9"/>
        <v>0</v>
      </c>
    </row>
    <row r="221" spans="1:8" s="318" customFormat="1" ht="50.4" x14ac:dyDescent="0.45">
      <c r="A221" s="314" t="s">
        <v>976</v>
      </c>
      <c r="B221" s="314"/>
      <c r="C221" s="315" t="s">
        <v>977</v>
      </c>
      <c r="D221" s="315" t="s">
        <v>864</v>
      </c>
      <c r="E221" s="316"/>
      <c r="F221" s="314" t="s">
        <v>472</v>
      </c>
      <c r="G221" s="314">
        <v>10</v>
      </c>
      <c r="H221" s="317">
        <f t="shared" si="9"/>
        <v>0</v>
      </c>
    </row>
    <row r="222" spans="1:8" s="318" customFormat="1" ht="50.4" x14ac:dyDescent="0.45">
      <c r="A222" s="314" t="s">
        <v>978</v>
      </c>
      <c r="B222" s="314"/>
      <c r="C222" s="315" t="s">
        <v>979</v>
      </c>
      <c r="D222" s="315" t="s">
        <v>864</v>
      </c>
      <c r="E222" s="316"/>
      <c r="F222" s="314" t="s">
        <v>472</v>
      </c>
      <c r="G222" s="314">
        <v>10</v>
      </c>
      <c r="H222" s="317">
        <f t="shared" si="9"/>
        <v>0</v>
      </c>
    </row>
    <row r="223" spans="1:8" s="318" customFormat="1" ht="50.4" x14ac:dyDescent="0.45">
      <c r="A223" s="314" t="s">
        <v>980</v>
      </c>
      <c r="B223" s="314"/>
      <c r="C223" s="315" t="s">
        <v>981</v>
      </c>
      <c r="D223" s="315" t="s">
        <v>864</v>
      </c>
      <c r="E223" s="316"/>
      <c r="F223" s="314" t="s">
        <v>472</v>
      </c>
      <c r="G223" s="314">
        <v>10</v>
      </c>
      <c r="H223" s="317">
        <f t="shared" si="9"/>
        <v>0</v>
      </c>
    </row>
    <row r="224" spans="1:8" s="318" customFormat="1" ht="63" x14ac:dyDescent="0.45">
      <c r="A224" s="314" t="s">
        <v>982</v>
      </c>
      <c r="B224" s="314"/>
      <c r="C224" s="315" t="s">
        <v>983</v>
      </c>
      <c r="D224" s="315" t="s">
        <v>864</v>
      </c>
      <c r="E224" s="316"/>
      <c r="F224" s="314" t="s">
        <v>472</v>
      </c>
      <c r="G224" s="314">
        <v>10</v>
      </c>
      <c r="H224" s="317">
        <f t="shared" si="9"/>
        <v>0</v>
      </c>
    </row>
    <row r="225" spans="1:8" s="318" customFormat="1" ht="100.8" x14ac:dyDescent="0.45">
      <c r="A225" s="314" t="s">
        <v>984</v>
      </c>
      <c r="B225" s="314"/>
      <c r="C225" s="315" t="s">
        <v>985</v>
      </c>
      <c r="D225" s="315" t="s">
        <v>864</v>
      </c>
      <c r="E225" s="316"/>
      <c r="F225" s="314" t="s">
        <v>472</v>
      </c>
      <c r="G225" s="314">
        <v>10</v>
      </c>
      <c r="H225" s="317">
        <f t="shared" si="9"/>
        <v>0</v>
      </c>
    </row>
    <row r="226" spans="1:8" s="318" customFormat="1" ht="100.8" x14ac:dyDescent="0.45">
      <c r="A226" s="314" t="s">
        <v>986</v>
      </c>
      <c r="B226" s="314"/>
      <c r="C226" s="315" t="s">
        <v>987</v>
      </c>
      <c r="D226" s="315" t="s">
        <v>864</v>
      </c>
      <c r="E226" s="316"/>
      <c r="F226" s="314" t="s">
        <v>472</v>
      </c>
      <c r="G226" s="314">
        <v>10</v>
      </c>
      <c r="H226" s="317">
        <f t="shared" si="9"/>
        <v>0</v>
      </c>
    </row>
    <row r="227" spans="1:8" s="318" customFormat="1" ht="63" x14ac:dyDescent="0.45">
      <c r="A227" s="314" t="s">
        <v>988</v>
      </c>
      <c r="B227" s="314"/>
      <c r="C227" s="315" t="s">
        <v>989</v>
      </c>
      <c r="D227" s="315" t="s">
        <v>864</v>
      </c>
      <c r="E227" s="316"/>
      <c r="F227" s="314" t="s">
        <v>472</v>
      </c>
      <c r="G227" s="314">
        <v>10</v>
      </c>
      <c r="H227" s="317">
        <f t="shared" si="9"/>
        <v>0</v>
      </c>
    </row>
    <row r="228" spans="1:8" s="318" customFormat="1" ht="63" x14ac:dyDescent="0.45">
      <c r="A228" s="314" t="s">
        <v>990</v>
      </c>
      <c r="B228" s="314"/>
      <c r="C228" s="315" t="s">
        <v>991</v>
      </c>
      <c r="D228" s="315" t="s">
        <v>864</v>
      </c>
      <c r="E228" s="316"/>
      <c r="F228" s="314" t="s">
        <v>472</v>
      </c>
      <c r="G228" s="314">
        <v>10</v>
      </c>
      <c r="H228" s="317">
        <f t="shared" si="9"/>
        <v>0</v>
      </c>
    </row>
    <row r="229" spans="1:8" s="318" customFormat="1" ht="63" x14ac:dyDescent="0.45">
      <c r="A229" s="314" t="s">
        <v>992</v>
      </c>
      <c r="B229" s="314"/>
      <c r="C229" s="315" t="s">
        <v>993</v>
      </c>
      <c r="D229" s="315" t="s">
        <v>864</v>
      </c>
      <c r="E229" s="316"/>
      <c r="F229" s="314" t="s">
        <v>472</v>
      </c>
      <c r="G229" s="314">
        <v>10</v>
      </c>
      <c r="H229" s="317">
        <f t="shared" si="9"/>
        <v>0</v>
      </c>
    </row>
    <row r="230" spans="1:8" s="318" customFormat="1" ht="50.4" x14ac:dyDescent="0.45">
      <c r="A230" s="314" t="s">
        <v>994</v>
      </c>
      <c r="B230" s="314"/>
      <c r="C230" s="315" t="s">
        <v>995</v>
      </c>
      <c r="D230" s="315" t="s">
        <v>864</v>
      </c>
      <c r="E230" s="316"/>
      <c r="F230" s="314" t="s">
        <v>472</v>
      </c>
      <c r="G230" s="314">
        <v>10</v>
      </c>
      <c r="H230" s="317">
        <f t="shared" si="9"/>
        <v>0</v>
      </c>
    </row>
    <row r="231" spans="1:8" s="318" customFormat="1" ht="63" x14ac:dyDescent="0.45">
      <c r="A231" s="314" t="s">
        <v>996</v>
      </c>
      <c r="B231" s="314"/>
      <c r="C231" s="315" t="s">
        <v>997</v>
      </c>
      <c r="D231" s="315" t="s">
        <v>864</v>
      </c>
      <c r="E231" s="316"/>
      <c r="F231" s="314" t="s">
        <v>472</v>
      </c>
      <c r="G231" s="314">
        <v>10</v>
      </c>
      <c r="H231" s="317">
        <f t="shared" si="9"/>
        <v>0</v>
      </c>
    </row>
    <row r="232" spans="1:8" s="318" customFormat="1" ht="63" x14ac:dyDescent="0.45">
      <c r="A232" s="314" t="s">
        <v>998</v>
      </c>
      <c r="B232" s="314"/>
      <c r="C232" s="315" t="s">
        <v>999</v>
      </c>
      <c r="D232" s="315" t="s">
        <v>864</v>
      </c>
      <c r="E232" s="316"/>
      <c r="F232" s="314" t="s">
        <v>472</v>
      </c>
      <c r="G232" s="314">
        <v>10</v>
      </c>
      <c r="H232" s="317">
        <f t="shared" si="9"/>
        <v>0</v>
      </c>
    </row>
    <row r="233" spans="1:8" s="318" customFormat="1" ht="50.4" x14ac:dyDescent="0.45">
      <c r="A233" s="314" t="s">
        <v>1000</v>
      </c>
      <c r="B233" s="314"/>
      <c r="C233" s="315" t="s">
        <v>1001</v>
      </c>
      <c r="D233" s="315" t="s">
        <v>864</v>
      </c>
      <c r="E233" s="316"/>
      <c r="F233" s="314" t="s">
        <v>472</v>
      </c>
      <c r="G233" s="314">
        <v>10</v>
      </c>
      <c r="H233" s="317">
        <f t="shared" si="9"/>
        <v>0</v>
      </c>
    </row>
    <row r="234" spans="1:8" s="318" customFormat="1" ht="50.4" x14ac:dyDescent="0.45">
      <c r="A234" s="314" t="s">
        <v>1002</v>
      </c>
      <c r="B234" s="314"/>
      <c r="C234" s="315" t="s">
        <v>1003</v>
      </c>
      <c r="D234" s="315" t="s">
        <v>864</v>
      </c>
      <c r="E234" s="316"/>
      <c r="F234" s="314" t="s">
        <v>472</v>
      </c>
      <c r="G234" s="314">
        <v>10</v>
      </c>
      <c r="H234" s="317">
        <f t="shared" si="9"/>
        <v>0</v>
      </c>
    </row>
    <row r="235" spans="1:8" s="318" customFormat="1" ht="50.4" x14ac:dyDescent="0.45">
      <c r="A235" s="314" t="s">
        <v>1004</v>
      </c>
      <c r="B235" s="314"/>
      <c r="C235" s="315" t="s">
        <v>1005</v>
      </c>
      <c r="D235" s="315" t="s">
        <v>864</v>
      </c>
      <c r="E235" s="316"/>
      <c r="F235" s="314" t="s">
        <v>472</v>
      </c>
      <c r="G235" s="314">
        <v>10</v>
      </c>
      <c r="H235" s="317">
        <f t="shared" si="9"/>
        <v>0</v>
      </c>
    </row>
    <row r="236" spans="1:8" s="318" customFormat="1" ht="50.4" x14ac:dyDescent="0.45">
      <c r="A236" s="314" t="s">
        <v>1006</v>
      </c>
      <c r="B236" s="314"/>
      <c r="C236" s="315" t="s">
        <v>1007</v>
      </c>
      <c r="D236" s="315" t="s">
        <v>864</v>
      </c>
      <c r="E236" s="316"/>
      <c r="F236" s="314" t="s">
        <v>472</v>
      </c>
      <c r="G236" s="314">
        <v>10</v>
      </c>
      <c r="H236" s="317">
        <f t="shared" si="9"/>
        <v>0</v>
      </c>
    </row>
    <row r="237" spans="1:8" s="318" customFormat="1" ht="50.4" x14ac:dyDescent="0.45">
      <c r="A237" s="314" t="s">
        <v>1008</v>
      </c>
      <c r="B237" s="314"/>
      <c r="C237" s="315" t="s">
        <v>1009</v>
      </c>
      <c r="D237" s="315" t="s">
        <v>864</v>
      </c>
      <c r="E237" s="316"/>
      <c r="F237" s="314" t="s">
        <v>472</v>
      </c>
      <c r="G237" s="314">
        <v>10</v>
      </c>
      <c r="H237" s="317">
        <f t="shared" si="9"/>
        <v>0</v>
      </c>
    </row>
    <row r="238" spans="1:8" s="318" customFormat="1" ht="37.799999999999997" x14ac:dyDescent="0.45">
      <c r="A238" s="314" t="s">
        <v>1010</v>
      </c>
      <c r="B238" s="314"/>
      <c r="C238" s="315" t="s">
        <v>1011</v>
      </c>
      <c r="D238" s="315" t="s">
        <v>864</v>
      </c>
      <c r="E238" s="316"/>
      <c r="F238" s="314" t="s">
        <v>472</v>
      </c>
      <c r="G238" s="314">
        <v>10</v>
      </c>
      <c r="H238" s="317">
        <f t="shared" si="9"/>
        <v>0</v>
      </c>
    </row>
    <row r="239" spans="1:8" s="318" customFormat="1" ht="37.799999999999997" x14ac:dyDescent="0.45">
      <c r="A239" s="314" t="s">
        <v>1012</v>
      </c>
      <c r="B239" s="314"/>
      <c r="C239" s="315" t="s">
        <v>1013</v>
      </c>
      <c r="D239" s="315" t="s">
        <v>864</v>
      </c>
      <c r="E239" s="316"/>
      <c r="F239" s="314" t="s">
        <v>472</v>
      </c>
      <c r="G239" s="314">
        <v>10</v>
      </c>
      <c r="H239" s="317">
        <f t="shared" si="9"/>
        <v>0</v>
      </c>
    </row>
    <row r="240" spans="1:8" s="318" customFormat="1" ht="37.799999999999997" x14ac:dyDescent="0.45">
      <c r="A240" s="314" t="s">
        <v>1014</v>
      </c>
      <c r="B240" s="314"/>
      <c r="C240" s="315" t="s">
        <v>1015</v>
      </c>
      <c r="D240" s="315" t="s">
        <v>864</v>
      </c>
      <c r="E240" s="316"/>
      <c r="F240" s="314" t="s">
        <v>472</v>
      </c>
      <c r="G240" s="314">
        <v>10</v>
      </c>
      <c r="H240" s="317">
        <f t="shared" si="9"/>
        <v>0</v>
      </c>
    </row>
    <row r="241" spans="1:8" s="318" customFormat="1" ht="37.799999999999997" x14ac:dyDescent="0.45">
      <c r="A241" s="314" t="s">
        <v>1016</v>
      </c>
      <c r="B241" s="314"/>
      <c r="C241" s="315" t="s">
        <v>1017</v>
      </c>
      <c r="D241" s="315" t="s">
        <v>864</v>
      </c>
      <c r="E241" s="316"/>
      <c r="F241" s="314" t="s">
        <v>472</v>
      </c>
      <c r="G241" s="314">
        <v>10</v>
      </c>
      <c r="H241" s="317">
        <f t="shared" si="9"/>
        <v>0</v>
      </c>
    </row>
    <row r="242" spans="1:8" s="318" customFormat="1" ht="37.799999999999997" x14ac:dyDescent="0.45">
      <c r="A242" s="314" t="s">
        <v>1018</v>
      </c>
      <c r="B242" s="314"/>
      <c r="C242" s="315" t="s">
        <v>1019</v>
      </c>
      <c r="D242" s="315" t="s">
        <v>864</v>
      </c>
      <c r="E242" s="316"/>
      <c r="F242" s="314" t="s">
        <v>472</v>
      </c>
      <c r="G242" s="314">
        <v>10</v>
      </c>
      <c r="H242" s="317">
        <f t="shared" si="9"/>
        <v>0</v>
      </c>
    </row>
    <row r="243" spans="1:8" s="318" customFormat="1" ht="37.799999999999997" x14ac:dyDescent="0.45">
      <c r="A243" s="314" t="s">
        <v>1020</v>
      </c>
      <c r="B243" s="314"/>
      <c r="C243" s="315" t="s">
        <v>1021</v>
      </c>
      <c r="D243" s="315" t="s">
        <v>864</v>
      </c>
      <c r="E243" s="316"/>
      <c r="F243" s="314" t="s">
        <v>472</v>
      </c>
      <c r="G243" s="314">
        <v>10</v>
      </c>
      <c r="H243" s="317">
        <f t="shared" si="9"/>
        <v>0</v>
      </c>
    </row>
    <row r="244" spans="1:8" s="318" customFormat="1" ht="37.799999999999997" x14ac:dyDescent="0.45">
      <c r="A244" s="314" t="s">
        <v>1022</v>
      </c>
      <c r="B244" s="314"/>
      <c r="C244" s="315" t="s">
        <v>1023</v>
      </c>
      <c r="D244" s="315" t="s">
        <v>864</v>
      </c>
      <c r="E244" s="316"/>
      <c r="F244" s="314" t="s">
        <v>472</v>
      </c>
      <c r="G244" s="314">
        <v>10</v>
      </c>
      <c r="H244" s="317">
        <f t="shared" si="9"/>
        <v>0</v>
      </c>
    </row>
    <row r="245" spans="1:8" s="318" customFormat="1" ht="37.799999999999997" x14ac:dyDescent="0.45">
      <c r="A245" s="314" t="s">
        <v>1024</v>
      </c>
      <c r="B245" s="314"/>
      <c r="C245" s="315" t="s">
        <v>1025</v>
      </c>
      <c r="D245" s="315" t="s">
        <v>864</v>
      </c>
      <c r="E245" s="316"/>
      <c r="F245" s="314" t="s">
        <v>472</v>
      </c>
      <c r="G245" s="314">
        <v>10</v>
      </c>
      <c r="H245" s="317">
        <f t="shared" si="9"/>
        <v>0</v>
      </c>
    </row>
    <row r="246" spans="1:8" s="318" customFormat="1" ht="37.799999999999997" x14ac:dyDescent="0.45">
      <c r="A246" s="314" t="s">
        <v>1026</v>
      </c>
      <c r="B246" s="314"/>
      <c r="C246" s="315" t="s">
        <v>1027</v>
      </c>
      <c r="D246" s="315" t="s">
        <v>864</v>
      </c>
      <c r="E246" s="316"/>
      <c r="F246" s="314" t="s">
        <v>472</v>
      </c>
      <c r="G246" s="314">
        <v>10</v>
      </c>
      <c r="H246" s="317">
        <f t="shared" si="9"/>
        <v>0</v>
      </c>
    </row>
    <row r="247" spans="1:8" s="318" customFormat="1" ht="37.799999999999997" x14ac:dyDescent="0.45">
      <c r="A247" s="314" t="s">
        <v>1028</v>
      </c>
      <c r="B247" s="314"/>
      <c r="C247" s="315" t="s">
        <v>1029</v>
      </c>
      <c r="D247" s="315" t="s">
        <v>864</v>
      </c>
      <c r="E247" s="316"/>
      <c r="F247" s="314" t="s">
        <v>472</v>
      </c>
      <c r="G247" s="314">
        <v>10</v>
      </c>
      <c r="H247" s="317">
        <f t="shared" si="9"/>
        <v>0</v>
      </c>
    </row>
    <row r="248" spans="1:8" s="318" customFormat="1" ht="37.799999999999997" x14ac:dyDescent="0.45">
      <c r="A248" s="314" t="s">
        <v>1030</v>
      </c>
      <c r="B248" s="314"/>
      <c r="C248" s="315" t="s">
        <v>1031</v>
      </c>
      <c r="D248" s="315" t="s">
        <v>864</v>
      </c>
      <c r="E248" s="316"/>
      <c r="F248" s="314" t="s">
        <v>472</v>
      </c>
      <c r="G248" s="314">
        <v>10</v>
      </c>
      <c r="H248" s="317">
        <f t="shared" si="9"/>
        <v>0</v>
      </c>
    </row>
    <row r="249" spans="1:8" s="318" customFormat="1" ht="37.799999999999997" x14ac:dyDescent="0.45">
      <c r="A249" s="314" t="s">
        <v>1032</v>
      </c>
      <c r="B249" s="314"/>
      <c r="C249" s="315" t="s">
        <v>1033</v>
      </c>
      <c r="D249" s="315" t="s">
        <v>864</v>
      </c>
      <c r="E249" s="316"/>
      <c r="F249" s="314" t="s">
        <v>472</v>
      </c>
      <c r="G249" s="314">
        <v>10</v>
      </c>
      <c r="H249" s="317">
        <f t="shared" si="9"/>
        <v>0</v>
      </c>
    </row>
    <row r="250" spans="1:8" s="318" customFormat="1" ht="37.799999999999997" x14ac:dyDescent="0.45">
      <c r="A250" s="314" t="s">
        <v>1034</v>
      </c>
      <c r="B250" s="314"/>
      <c r="C250" s="315" t="s">
        <v>1035</v>
      </c>
      <c r="D250" s="315" t="s">
        <v>864</v>
      </c>
      <c r="E250" s="316"/>
      <c r="F250" s="314" t="s">
        <v>472</v>
      </c>
      <c r="G250" s="314">
        <v>10</v>
      </c>
      <c r="H250" s="317">
        <f t="shared" si="9"/>
        <v>0</v>
      </c>
    </row>
    <row r="251" spans="1:8" s="318" customFormat="1" ht="37.799999999999997" x14ac:dyDescent="0.45">
      <c r="A251" s="314" t="s">
        <v>1036</v>
      </c>
      <c r="B251" s="314"/>
      <c r="C251" s="315" t="s">
        <v>1037</v>
      </c>
      <c r="D251" s="315" t="s">
        <v>864</v>
      </c>
      <c r="E251" s="316"/>
      <c r="F251" s="314" t="s">
        <v>472</v>
      </c>
      <c r="G251" s="314">
        <v>10</v>
      </c>
      <c r="H251" s="317">
        <f t="shared" si="9"/>
        <v>0</v>
      </c>
    </row>
    <row r="252" spans="1:8" s="318" customFormat="1" ht="37.799999999999997" x14ac:dyDescent="0.45">
      <c r="A252" s="314" t="s">
        <v>1038</v>
      </c>
      <c r="B252" s="314"/>
      <c r="C252" s="315" t="s">
        <v>1039</v>
      </c>
      <c r="D252" s="315" t="s">
        <v>864</v>
      </c>
      <c r="E252" s="316"/>
      <c r="F252" s="314" t="s">
        <v>472</v>
      </c>
      <c r="G252" s="314">
        <v>10</v>
      </c>
      <c r="H252" s="317">
        <f t="shared" si="9"/>
        <v>0</v>
      </c>
    </row>
    <row r="253" spans="1:8" s="318" customFormat="1" ht="50.4" x14ac:dyDescent="0.45">
      <c r="A253" s="314" t="s">
        <v>1040</v>
      </c>
      <c r="B253" s="314"/>
      <c r="C253" s="315" t="s">
        <v>1041</v>
      </c>
      <c r="D253" s="315" t="s">
        <v>864</v>
      </c>
      <c r="E253" s="316"/>
      <c r="F253" s="314" t="s">
        <v>472</v>
      </c>
      <c r="G253" s="314">
        <v>10</v>
      </c>
      <c r="H253" s="317">
        <f t="shared" si="9"/>
        <v>0</v>
      </c>
    </row>
    <row r="254" spans="1:8" s="318" customFormat="1" ht="37.799999999999997" x14ac:dyDescent="0.45">
      <c r="A254" s="314" t="s">
        <v>1042</v>
      </c>
      <c r="B254" s="314"/>
      <c r="C254" s="315" t="s">
        <v>1043</v>
      </c>
      <c r="D254" s="315" t="s">
        <v>864</v>
      </c>
      <c r="E254" s="316"/>
      <c r="F254" s="314" t="s">
        <v>472</v>
      </c>
      <c r="G254" s="314">
        <v>10</v>
      </c>
      <c r="H254" s="317">
        <f t="shared" si="9"/>
        <v>0</v>
      </c>
    </row>
    <row r="255" spans="1:8" s="318" customFormat="1" ht="37.799999999999997" x14ac:dyDescent="0.45">
      <c r="A255" s="314" t="s">
        <v>1044</v>
      </c>
      <c r="B255" s="314"/>
      <c r="C255" s="315" t="s">
        <v>1045</v>
      </c>
      <c r="D255" s="315" t="s">
        <v>864</v>
      </c>
      <c r="E255" s="316"/>
      <c r="F255" s="314" t="s">
        <v>472</v>
      </c>
      <c r="G255" s="314">
        <v>10</v>
      </c>
      <c r="H255" s="317">
        <f t="shared" si="9"/>
        <v>0</v>
      </c>
    </row>
    <row r="256" spans="1:8" s="318" customFormat="1" ht="50.4" x14ac:dyDescent="0.45">
      <c r="A256" s="314" t="s">
        <v>1046</v>
      </c>
      <c r="B256" s="314"/>
      <c r="C256" s="315" t="s">
        <v>1047</v>
      </c>
      <c r="D256" s="315" t="s">
        <v>864</v>
      </c>
      <c r="E256" s="316"/>
      <c r="F256" s="314" t="s">
        <v>472</v>
      </c>
      <c r="G256" s="314">
        <v>10</v>
      </c>
      <c r="H256" s="317">
        <f t="shared" si="9"/>
        <v>0</v>
      </c>
    </row>
    <row r="257" spans="1:8" s="318" customFormat="1" ht="37.799999999999997" x14ac:dyDescent="0.45">
      <c r="A257" s="314" t="s">
        <v>1048</v>
      </c>
      <c r="B257" s="314"/>
      <c r="C257" s="315" t="s">
        <v>1049</v>
      </c>
      <c r="D257" s="315" t="s">
        <v>864</v>
      </c>
      <c r="E257" s="316"/>
      <c r="F257" s="314" t="s">
        <v>472</v>
      </c>
      <c r="G257" s="314">
        <v>10</v>
      </c>
      <c r="H257" s="317">
        <f t="shared" si="9"/>
        <v>0</v>
      </c>
    </row>
    <row r="258" spans="1:8" s="318" customFormat="1" ht="37.799999999999997" x14ac:dyDescent="0.45">
      <c r="A258" s="314" t="s">
        <v>1050</v>
      </c>
      <c r="B258" s="314"/>
      <c r="C258" s="315" t="s">
        <v>1051</v>
      </c>
      <c r="D258" s="315" t="s">
        <v>864</v>
      </c>
      <c r="E258" s="316"/>
      <c r="F258" s="314" t="s">
        <v>472</v>
      </c>
      <c r="G258" s="314">
        <v>10</v>
      </c>
      <c r="H258" s="317">
        <f t="shared" si="9"/>
        <v>0</v>
      </c>
    </row>
    <row r="259" spans="1:8" s="318" customFormat="1" x14ac:dyDescent="0.45">
      <c r="A259" s="342" t="s">
        <v>1052</v>
      </c>
      <c r="B259" s="343" t="s">
        <v>180</v>
      </c>
      <c r="D259" s="344"/>
      <c r="E259" s="316"/>
      <c r="F259" s="314"/>
      <c r="G259" s="304"/>
      <c r="H259" s="317"/>
    </row>
    <row r="260" spans="1:8" s="142" customFormat="1" ht="13" customHeight="1" x14ac:dyDescent="0.45">
      <c r="A260" s="159"/>
      <c r="B260" s="426" t="s">
        <v>1053</v>
      </c>
      <c r="C260" s="427"/>
      <c r="D260" s="428"/>
      <c r="E260" s="159"/>
      <c r="F260" s="161"/>
      <c r="G260" s="210"/>
      <c r="H260" s="163"/>
    </row>
    <row r="261" spans="1:8" s="318" customFormat="1" ht="75.599999999999994" x14ac:dyDescent="0.45">
      <c r="A261" s="314" t="s">
        <v>1054</v>
      </c>
      <c r="B261" s="314"/>
      <c r="C261" s="315" t="s">
        <v>1055</v>
      </c>
      <c r="D261" s="315" t="s">
        <v>5036</v>
      </c>
      <c r="E261" s="316"/>
      <c r="F261" s="314" t="s">
        <v>633</v>
      </c>
      <c r="G261" s="304">
        <v>2500</v>
      </c>
      <c r="H261" s="317">
        <f>SUM(E261)*G261</f>
        <v>0</v>
      </c>
    </row>
    <row r="262" spans="1:8" s="318" customFormat="1" ht="50.4" x14ac:dyDescent="0.45">
      <c r="A262" s="314" t="s">
        <v>1057</v>
      </c>
      <c r="B262" s="314"/>
      <c r="C262" s="315" t="s">
        <v>1058</v>
      </c>
      <c r="D262" s="315" t="s">
        <v>1059</v>
      </c>
      <c r="E262" s="316"/>
      <c r="F262" s="314" t="s">
        <v>633</v>
      </c>
      <c r="G262" s="304">
        <v>2500</v>
      </c>
      <c r="H262" s="317">
        <f>SUM(E262)*G262</f>
        <v>0</v>
      </c>
    </row>
    <row r="263" spans="1:8" s="318" customFormat="1" ht="37.799999999999997" x14ac:dyDescent="0.45">
      <c r="A263" s="314" t="s">
        <v>1060</v>
      </c>
      <c r="B263" s="314"/>
      <c r="C263" s="315" t="s">
        <v>1061</v>
      </c>
      <c r="D263" s="315" t="s">
        <v>1062</v>
      </c>
      <c r="E263" s="316"/>
      <c r="F263" s="314" t="s">
        <v>1063</v>
      </c>
      <c r="G263" s="304" t="s">
        <v>1064</v>
      </c>
      <c r="H263" s="317">
        <v>100000</v>
      </c>
    </row>
    <row r="264" spans="1:8" s="318" customFormat="1" x14ac:dyDescent="0.45">
      <c r="A264" s="361"/>
      <c r="B264" s="352"/>
      <c r="C264" s="353"/>
      <c r="D264" s="354"/>
      <c r="E264" s="355"/>
      <c r="F264" s="354"/>
      <c r="G264" s="356"/>
      <c r="H264" s="317"/>
    </row>
    <row r="265" spans="1:8" s="142" customFormat="1" ht="7.5" customHeight="1" x14ac:dyDescent="0.45">
      <c r="A265" s="154"/>
      <c r="B265" s="154"/>
      <c r="C265" s="155"/>
      <c r="D265" s="155"/>
      <c r="E265" s="156"/>
      <c r="F265" s="155"/>
      <c r="G265" s="157"/>
      <c r="H265" s="158"/>
    </row>
    <row r="266" spans="1:8" s="142" customFormat="1" ht="13.2" customHeight="1" x14ac:dyDescent="0.45">
      <c r="A266" s="411" t="s">
        <v>1065</v>
      </c>
      <c r="B266" s="412"/>
      <c r="C266" s="412"/>
      <c r="D266" s="412"/>
      <c r="E266" s="412"/>
      <c r="F266" s="412"/>
      <c r="G266" s="196"/>
      <c r="H266" s="436">
        <f>SUM(H15:H263)</f>
        <v>100000</v>
      </c>
    </row>
    <row r="267" spans="1:8" s="142" customFormat="1" ht="7.5" customHeight="1" x14ac:dyDescent="0.45">
      <c r="A267" s="154"/>
      <c r="B267" s="154"/>
      <c r="C267" s="155"/>
      <c r="D267" s="155"/>
      <c r="E267" s="156"/>
      <c r="F267" s="155"/>
      <c r="G267" s="157"/>
      <c r="H267" s="158"/>
    </row>
    <row r="268" spans="1:8" s="318" customFormat="1" x14ac:dyDescent="0.45">
      <c r="A268" s="358"/>
      <c r="B268" s="357"/>
      <c r="E268" s="341"/>
      <c r="F268" s="358"/>
      <c r="G268" s="359"/>
      <c r="H268" s="360"/>
    </row>
    <row r="269" spans="1:8" s="318" customFormat="1" x14ac:dyDescent="0.45">
      <c r="A269" s="358"/>
      <c r="B269" s="357"/>
      <c r="E269" s="341"/>
      <c r="F269" s="358"/>
      <c r="G269" s="359"/>
      <c r="H269" s="360"/>
    </row>
    <row r="270" spans="1:8" s="318" customFormat="1" x14ac:dyDescent="0.45">
      <c r="A270" s="358"/>
      <c r="B270" s="357"/>
      <c r="E270" s="341"/>
      <c r="F270" s="358"/>
      <c r="G270" s="359"/>
      <c r="H270" s="360"/>
    </row>
  </sheetData>
  <mergeCells count="13">
    <mergeCell ref="A266:F266"/>
    <mergeCell ref="A7:H7"/>
    <mergeCell ref="A8:H8"/>
    <mergeCell ref="A9:H9"/>
    <mergeCell ref="A10:H10"/>
    <mergeCell ref="A12:D12"/>
    <mergeCell ref="B260:D260"/>
    <mergeCell ref="A6:H6"/>
    <mergeCell ref="A1:H1"/>
    <mergeCell ref="A2:H2"/>
    <mergeCell ref="A3:H3"/>
    <mergeCell ref="A4:H4"/>
    <mergeCell ref="A5:H5"/>
  </mergeCells>
  <printOptions horizontalCentered="1"/>
  <pageMargins left="0.28000000000000003" right="0.23" top="0.51" bottom="0.56000000000000005" header="0.3" footer="0.31"/>
  <pageSetup scale="80" orientation="landscape" horizontalDpi="4294967293" r:id="rId1"/>
  <headerFooter alignWithMargins="0">
    <oddFooter>&amp;C&amp;"Times New Roman,Regular"Page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6D9C3-CFAA-4E35-B51B-754F02097F9B}">
  <sheetPr>
    <tabColor rgb="FFFFFFCC"/>
  </sheetPr>
  <dimension ref="A1:XFB471"/>
  <sheetViews>
    <sheetView zoomScaleNormal="100" zoomScaleSheetLayoutView="100" workbookViewId="0">
      <selection activeCell="A11" sqref="A11"/>
    </sheetView>
  </sheetViews>
  <sheetFormatPr defaultColWidth="9.05859375" defaultRowHeight="12.6" x14ac:dyDescent="0.45"/>
  <cols>
    <col min="1" max="1" width="9.5859375" style="1" customWidth="1"/>
    <col min="2" max="3" width="9.8203125" style="105" customWidth="1"/>
    <col min="4" max="4" width="49.5859375" style="140" customWidth="1"/>
    <col min="5" max="6" width="9.5859375" style="105" customWidth="1"/>
    <col min="7" max="7" width="13.5859375" style="141" customWidth="1"/>
    <col min="8" max="8" width="17.5859375" style="141" customWidth="1"/>
    <col min="9" max="108" width="8.8203125" style="1" customWidth="1"/>
    <col min="109" max="16384" width="9.05859375" style="1"/>
  </cols>
  <sheetData>
    <row r="1" spans="1:16382" x14ac:dyDescent="0.45">
      <c r="A1" s="390" t="s">
        <v>4992</v>
      </c>
      <c r="B1" s="390"/>
      <c r="C1" s="390"/>
      <c r="D1" s="390"/>
      <c r="E1" s="390"/>
      <c r="F1" s="390"/>
      <c r="G1" s="390"/>
      <c r="H1" s="390"/>
      <c r="I1" s="392"/>
      <c r="J1" s="392"/>
      <c r="K1" s="392"/>
      <c r="L1" s="392"/>
      <c r="M1" s="392"/>
      <c r="N1" s="392"/>
    </row>
    <row r="2" spans="1:16382" x14ac:dyDescent="0.45">
      <c r="A2" s="390" t="s">
        <v>0</v>
      </c>
      <c r="B2" s="390"/>
      <c r="C2" s="390"/>
      <c r="D2" s="390"/>
      <c r="E2" s="390"/>
      <c r="F2" s="390"/>
      <c r="G2" s="390"/>
      <c r="H2" s="390"/>
      <c r="I2" s="392"/>
      <c r="J2" s="392"/>
      <c r="K2" s="392"/>
      <c r="L2" s="392"/>
      <c r="M2" s="392"/>
      <c r="N2" s="392"/>
    </row>
    <row r="3" spans="1:16382" x14ac:dyDescent="0.45">
      <c r="A3" s="390" t="s">
        <v>4991</v>
      </c>
      <c r="B3" s="390"/>
      <c r="C3" s="390"/>
      <c r="D3" s="390"/>
      <c r="E3" s="390"/>
      <c r="F3" s="390"/>
      <c r="G3" s="390"/>
      <c r="H3" s="390"/>
      <c r="I3" s="392"/>
      <c r="J3" s="392"/>
      <c r="K3" s="392"/>
      <c r="L3" s="392"/>
      <c r="M3" s="392"/>
      <c r="N3" s="392"/>
    </row>
    <row r="4" spans="1:16382" x14ac:dyDescent="0.45">
      <c r="A4" s="390"/>
      <c r="B4" s="390"/>
      <c r="C4" s="390"/>
      <c r="D4" s="391"/>
      <c r="E4" s="391"/>
      <c r="F4" s="391"/>
      <c r="G4" s="391"/>
      <c r="H4" s="391"/>
    </row>
    <row r="5" spans="1:16382" x14ac:dyDescent="0.45">
      <c r="A5" s="390" t="s">
        <v>4993</v>
      </c>
      <c r="B5" s="390"/>
      <c r="C5" s="390"/>
      <c r="D5" s="390"/>
      <c r="E5" s="390"/>
      <c r="F5" s="390"/>
      <c r="G5" s="390"/>
      <c r="H5" s="390"/>
      <c r="I5" s="390"/>
      <c r="J5" s="390"/>
      <c r="K5" s="390"/>
      <c r="L5" s="390"/>
      <c r="M5" s="390"/>
      <c r="N5" s="390"/>
      <c r="O5" s="390"/>
      <c r="P5" s="390"/>
      <c r="Q5" s="390"/>
      <c r="R5" s="390"/>
      <c r="S5" s="390"/>
      <c r="T5" s="390"/>
      <c r="U5" s="390"/>
      <c r="V5" s="390"/>
      <c r="W5" s="390"/>
      <c r="X5" s="390"/>
      <c r="Y5" s="390"/>
      <c r="Z5" s="390"/>
      <c r="AA5" s="390"/>
      <c r="AB5" s="390"/>
      <c r="AC5" s="390"/>
      <c r="AD5" s="390"/>
      <c r="AE5" s="390"/>
      <c r="AF5" s="390"/>
      <c r="AG5" s="390"/>
      <c r="AH5" s="390"/>
      <c r="AI5" s="390"/>
      <c r="AJ5" s="390"/>
      <c r="AK5" s="390"/>
      <c r="AL5" s="390"/>
      <c r="AM5" s="390"/>
      <c r="AN5" s="390"/>
      <c r="AO5" s="390"/>
      <c r="AP5" s="390"/>
      <c r="AQ5" s="390"/>
      <c r="AR5" s="390"/>
      <c r="AS5" s="390"/>
      <c r="AT5" s="390"/>
      <c r="AU5" s="390"/>
      <c r="AV5" s="390"/>
      <c r="AW5" s="390"/>
      <c r="AX5" s="390"/>
      <c r="AY5" s="390"/>
      <c r="AZ5" s="390"/>
      <c r="BA5" s="390"/>
      <c r="BB5" s="390"/>
      <c r="BC5" s="390"/>
      <c r="BD5" s="390"/>
      <c r="BE5" s="390"/>
      <c r="BF5" s="390"/>
      <c r="BG5" s="390"/>
      <c r="BH5" s="390"/>
      <c r="BI5" s="390"/>
      <c r="BJ5" s="390"/>
      <c r="BK5" s="390"/>
      <c r="BL5" s="390"/>
      <c r="BM5" s="390"/>
      <c r="BN5" s="390"/>
      <c r="BO5" s="390"/>
      <c r="BP5" s="390"/>
      <c r="BQ5" s="390"/>
      <c r="BR5" s="390"/>
      <c r="BS5" s="390"/>
      <c r="BT5" s="390"/>
      <c r="BU5" s="390"/>
      <c r="BV5" s="390"/>
      <c r="BW5" s="390"/>
      <c r="BX5" s="390"/>
      <c r="BY5" s="390"/>
      <c r="BZ5" s="390"/>
      <c r="CA5" s="390"/>
      <c r="CB5" s="390"/>
      <c r="CC5" s="390"/>
      <c r="CD5" s="390"/>
      <c r="CE5" s="390"/>
      <c r="CF5" s="390"/>
      <c r="CG5" s="390"/>
      <c r="CH5" s="390"/>
      <c r="CI5" s="390"/>
      <c r="CJ5" s="390"/>
      <c r="CK5" s="390"/>
      <c r="CL5" s="390"/>
      <c r="CM5" s="390"/>
      <c r="CN5" s="390"/>
      <c r="CO5" s="390"/>
      <c r="CP5" s="390"/>
      <c r="CQ5" s="390"/>
      <c r="CR5" s="390"/>
      <c r="CS5" s="390"/>
      <c r="CT5" s="390"/>
      <c r="CU5" s="390"/>
      <c r="CV5" s="390"/>
      <c r="CW5" s="390"/>
      <c r="CX5" s="390"/>
      <c r="CY5" s="390"/>
      <c r="CZ5" s="390"/>
      <c r="DA5" s="390"/>
      <c r="DB5" s="390"/>
      <c r="DC5" s="390"/>
      <c r="DD5" s="390"/>
      <c r="DE5" s="390"/>
      <c r="DF5" s="390"/>
      <c r="DG5" s="390"/>
      <c r="DH5" s="390"/>
      <c r="DI5" s="390"/>
      <c r="DJ5" s="390"/>
      <c r="DK5" s="390"/>
      <c r="DL5" s="390"/>
      <c r="DM5" s="390"/>
      <c r="DN5" s="390"/>
      <c r="DO5" s="390"/>
      <c r="DP5" s="390"/>
      <c r="DQ5" s="390"/>
      <c r="DR5" s="390"/>
      <c r="DS5" s="390"/>
      <c r="DT5" s="390"/>
      <c r="DU5" s="390"/>
      <c r="DV5" s="390"/>
      <c r="DW5" s="390"/>
      <c r="DX5" s="390"/>
      <c r="DY5" s="390"/>
      <c r="DZ5" s="390"/>
      <c r="EA5" s="390"/>
      <c r="EB5" s="390"/>
      <c r="EC5" s="390"/>
      <c r="ED5" s="390"/>
      <c r="EE5" s="390"/>
      <c r="EF5" s="390"/>
      <c r="EG5" s="390"/>
      <c r="EH5" s="390"/>
      <c r="EI5" s="390"/>
      <c r="EJ5" s="390"/>
      <c r="EK5" s="390"/>
      <c r="EL5" s="390"/>
      <c r="EM5" s="390"/>
      <c r="EN5" s="390"/>
      <c r="EO5" s="390"/>
      <c r="EP5" s="390"/>
      <c r="EQ5" s="390"/>
      <c r="ER5" s="390"/>
      <c r="ES5" s="390"/>
      <c r="ET5" s="390"/>
      <c r="EU5" s="390"/>
      <c r="EV5" s="390"/>
      <c r="EW5" s="390"/>
      <c r="EX5" s="390"/>
      <c r="EY5" s="390"/>
      <c r="EZ5" s="390"/>
      <c r="FA5" s="390"/>
      <c r="FB5" s="390"/>
      <c r="FC5" s="390"/>
      <c r="FD5" s="390"/>
      <c r="FE5" s="390"/>
      <c r="FF5" s="390"/>
      <c r="FG5" s="390"/>
      <c r="FH5" s="390"/>
      <c r="FI5" s="390"/>
      <c r="FJ5" s="390"/>
      <c r="FK5" s="390"/>
      <c r="FL5" s="390"/>
      <c r="FM5" s="390"/>
      <c r="FN5" s="390"/>
      <c r="FO5" s="390"/>
      <c r="FP5" s="390"/>
      <c r="FQ5" s="390"/>
      <c r="FR5" s="390"/>
      <c r="FS5" s="390"/>
      <c r="FT5" s="390"/>
      <c r="FU5" s="390"/>
      <c r="FV5" s="390"/>
      <c r="FW5" s="390"/>
      <c r="FX5" s="390"/>
      <c r="FY5" s="390"/>
      <c r="FZ5" s="390"/>
      <c r="GA5" s="390"/>
      <c r="GB5" s="390"/>
      <c r="GC5" s="390"/>
      <c r="GD5" s="390"/>
      <c r="GE5" s="390"/>
      <c r="GF5" s="390"/>
      <c r="GG5" s="390"/>
      <c r="GH5" s="390"/>
      <c r="GI5" s="390"/>
      <c r="GJ5" s="390"/>
      <c r="GK5" s="390"/>
      <c r="GL5" s="390"/>
      <c r="GM5" s="390"/>
      <c r="GN5" s="390"/>
      <c r="GO5" s="390"/>
      <c r="GP5" s="390"/>
      <c r="GQ5" s="390"/>
      <c r="GR5" s="390"/>
      <c r="GS5" s="390"/>
      <c r="GT5" s="390"/>
      <c r="GU5" s="390"/>
      <c r="GV5" s="390"/>
      <c r="GW5" s="390"/>
      <c r="GX5" s="390"/>
      <c r="GY5" s="390"/>
      <c r="GZ5" s="390"/>
      <c r="HA5" s="390"/>
      <c r="HB5" s="390"/>
      <c r="HC5" s="390"/>
      <c r="HD5" s="390"/>
      <c r="HE5" s="390"/>
      <c r="HF5" s="390"/>
      <c r="HG5" s="390"/>
      <c r="HH5" s="390"/>
      <c r="HI5" s="390"/>
      <c r="HJ5" s="390"/>
      <c r="HK5" s="390"/>
      <c r="HL5" s="390"/>
      <c r="HM5" s="390"/>
      <c r="HN5" s="390"/>
      <c r="HO5" s="390"/>
      <c r="HP5" s="390"/>
      <c r="HQ5" s="390"/>
      <c r="HR5" s="390"/>
      <c r="HS5" s="390"/>
      <c r="HT5" s="390"/>
      <c r="HU5" s="390"/>
      <c r="HV5" s="390"/>
      <c r="HW5" s="390"/>
      <c r="HX5" s="390"/>
      <c r="HY5" s="390"/>
      <c r="HZ5" s="390"/>
      <c r="IA5" s="390"/>
      <c r="IB5" s="390"/>
      <c r="IC5" s="390"/>
      <c r="ID5" s="390"/>
      <c r="IE5" s="390"/>
      <c r="IF5" s="390"/>
      <c r="IG5" s="390"/>
      <c r="IH5" s="390"/>
      <c r="II5" s="390"/>
      <c r="IJ5" s="390"/>
      <c r="IK5" s="390"/>
      <c r="IL5" s="390"/>
      <c r="IM5" s="390"/>
      <c r="IN5" s="390"/>
      <c r="IO5" s="390"/>
      <c r="IP5" s="390"/>
      <c r="IQ5" s="390"/>
      <c r="IR5" s="390"/>
      <c r="IS5" s="390"/>
      <c r="IT5" s="390"/>
      <c r="IU5" s="390"/>
      <c r="IV5" s="390"/>
      <c r="IW5" s="390"/>
      <c r="IX5" s="390"/>
      <c r="IY5" s="390"/>
      <c r="IZ5" s="390"/>
      <c r="JA5" s="390"/>
      <c r="JB5" s="390"/>
      <c r="JC5" s="390"/>
      <c r="JD5" s="390"/>
      <c r="JE5" s="390"/>
      <c r="JF5" s="390"/>
      <c r="JG5" s="390"/>
      <c r="JH5" s="390"/>
      <c r="JI5" s="390"/>
      <c r="JJ5" s="390"/>
      <c r="JK5" s="390"/>
      <c r="JL5" s="390"/>
      <c r="JM5" s="390"/>
      <c r="JN5" s="390"/>
      <c r="JO5" s="390"/>
      <c r="JP5" s="390"/>
      <c r="JQ5" s="390"/>
      <c r="JR5" s="390"/>
      <c r="JS5" s="390"/>
      <c r="JT5" s="390"/>
      <c r="JU5" s="390"/>
      <c r="JV5" s="390"/>
      <c r="JW5" s="390"/>
      <c r="JX5" s="390"/>
      <c r="JY5" s="390"/>
      <c r="JZ5" s="390"/>
      <c r="KA5" s="390"/>
      <c r="KB5" s="390"/>
      <c r="KC5" s="390"/>
      <c r="KD5" s="390"/>
      <c r="KE5" s="390"/>
      <c r="KF5" s="390"/>
      <c r="KG5" s="390"/>
      <c r="KH5" s="390"/>
      <c r="KI5" s="390"/>
      <c r="KJ5" s="390"/>
      <c r="KK5" s="390"/>
      <c r="KL5" s="390"/>
      <c r="KM5" s="390"/>
      <c r="KN5" s="390"/>
      <c r="KO5" s="390"/>
      <c r="KP5" s="390"/>
      <c r="KQ5" s="390"/>
      <c r="KR5" s="390"/>
      <c r="KS5" s="390"/>
      <c r="KT5" s="390"/>
      <c r="KU5" s="390"/>
      <c r="KV5" s="390"/>
      <c r="KW5" s="390"/>
      <c r="KX5" s="390"/>
      <c r="KY5" s="390"/>
      <c r="KZ5" s="390"/>
      <c r="LA5" s="390"/>
      <c r="LB5" s="390"/>
      <c r="LC5" s="390"/>
      <c r="LD5" s="390"/>
      <c r="LE5" s="390"/>
      <c r="LF5" s="390"/>
      <c r="LG5" s="390"/>
      <c r="LH5" s="390"/>
      <c r="LI5" s="390"/>
      <c r="LJ5" s="390"/>
      <c r="LK5" s="390"/>
      <c r="LL5" s="390"/>
      <c r="LM5" s="390"/>
      <c r="LN5" s="390"/>
      <c r="LO5" s="390"/>
      <c r="LP5" s="390"/>
      <c r="LQ5" s="390"/>
      <c r="LR5" s="390"/>
      <c r="LS5" s="390"/>
      <c r="LT5" s="390"/>
      <c r="LU5" s="390"/>
      <c r="LV5" s="390"/>
      <c r="LW5" s="390"/>
      <c r="LX5" s="390"/>
      <c r="LY5" s="390"/>
      <c r="LZ5" s="390"/>
      <c r="MA5" s="390"/>
      <c r="MB5" s="390"/>
      <c r="MC5" s="390"/>
      <c r="MD5" s="390"/>
      <c r="ME5" s="390"/>
      <c r="MF5" s="390"/>
      <c r="MG5" s="390"/>
      <c r="MH5" s="390"/>
      <c r="MI5" s="390"/>
      <c r="MJ5" s="390"/>
      <c r="MK5" s="390"/>
      <c r="ML5" s="390"/>
      <c r="MM5" s="390"/>
      <c r="MN5" s="390"/>
      <c r="MO5" s="390"/>
      <c r="MP5" s="390"/>
      <c r="MQ5" s="390"/>
      <c r="MR5" s="390"/>
      <c r="MS5" s="390"/>
      <c r="MT5" s="390"/>
      <c r="MU5" s="390"/>
      <c r="MV5" s="390"/>
      <c r="MW5" s="390"/>
      <c r="MX5" s="390"/>
      <c r="MY5" s="390"/>
      <c r="MZ5" s="390"/>
      <c r="NA5" s="390"/>
      <c r="NB5" s="390"/>
      <c r="NC5" s="390"/>
      <c r="ND5" s="390"/>
      <c r="NE5" s="390"/>
      <c r="NF5" s="390"/>
      <c r="NG5" s="390"/>
      <c r="NH5" s="390"/>
      <c r="NI5" s="390"/>
      <c r="NJ5" s="390"/>
      <c r="NK5" s="390"/>
      <c r="NL5" s="390"/>
      <c r="NM5" s="390"/>
      <c r="NN5" s="390"/>
      <c r="NO5" s="390"/>
      <c r="NP5" s="390"/>
      <c r="NQ5" s="390"/>
      <c r="NR5" s="390"/>
      <c r="NS5" s="390"/>
      <c r="NT5" s="390"/>
      <c r="NU5" s="390"/>
      <c r="NV5" s="390"/>
      <c r="NW5" s="390"/>
      <c r="NX5" s="390"/>
      <c r="NY5" s="390"/>
      <c r="NZ5" s="390"/>
      <c r="OA5" s="390"/>
      <c r="OB5" s="390"/>
      <c r="OC5" s="390"/>
      <c r="OD5" s="390"/>
      <c r="OE5" s="390"/>
      <c r="OF5" s="390"/>
      <c r="OG5" s="390"/>
      <c r="OH5" s="390"/>
      <c r="OI5" s="390"/>
      <c r="OJ5" s="390"/>
      <c r="OK5" s="390"/>
      <c r="OL5" s="390"/>
      <c r="OM5" s="390"/>
      <c r="ON5" s="390"/>
      <c r="OO5" s="390"/>
      <c r="OP5" s="390"/>
      <c r="OQ5" s="390"/>
      <c r="OR5" s="390"/>
      <c r="OS5" s="390"/>
      <c r="OT5" s="390"/>
      <c r="OU5" s="390"/>
      <c r="OV5" s="390"/>
      <c r="OW5" s="390"/>
      <c r="OX5" s="390"/>
      <c r="OY5" s="390"/>
      <c r="OZ5" s="390"/>
      <c r="PA5" s="390"/>
      <c r="PB5" s="390"/>
      <c r="PC5" s="390"/>
      <c r="PD5" s="390"/>
      <c r="PE5" s="390"/>
      <c r="PF5" s="390"/>
      <c r="PG5" s="390"/>
      <c r="PH5" s="390"/>
      <c r="PI5" s="390"/>
      <c r="PJ5" s="390"/>
      <c r="PK5" s="390"/>
      <c r="PL5" s="390"/>
      <c r="PM5" s="390"/>
      <c r="PN5" s="390"/>
      <c r="PO5" s="390"/>
      <c r="PP5" s="390"/>
      <c r="PQ5" s="390"/>
      <c r="PR5" s="390"/>
      <c r="PS5" s="390"/>
      <c r="PT5" s="390"/>
      <c r="PU5" s="390"/>
      <c r="PV5" s="390"/>
      <c r="PW5" s="390"/>
      <c r="PX5" s="390"/>
      <c r="PY5" s="390"/>
      <c r="PZ5" s="390"/>
      <c r="QA5" s="390"/>
      <c r="QB5" s="390"/>
      <c r="QC5" s="390"/>
      <c r="QD5" s="390"/>
      <c r="QE5" s="390"/>
      <c r="QF5" s="390"/>
      <c r="QG5" s="390"/>
      <c r="QH5" s="390"/>
      <c r="QI5" s="390"/>
      <c r="QJ5" s="390"/>
      <c r="QK5" s="390"/>
      <c r="QL5" s="390"/>
      <c r="QM5" s="390"/>
      <c r="QN5" s="390"/>
      <c r="QO5" s="390"/>
      <c r="QP5" s="390"/>
      <c r="QQ5" s="390"/>
      <c r="QR5" s="390"/>
      <c r="QS5" s="390"/>
      <c r="QT5" s="390"/>
      <c r="QU5" s="390"/>
      <c r="QV5" s="390"/>
      <c r="QW5" s="390"/>
      <c r="QX5" s="390"/>
      <c r="QY5" s="390"/>
      <c r="QZ5" s="390"/>
      <c r="RA5" s="390"/>
      <c r="RB5" s="390"/>
      <c r="RC5" s="390"/>
      <c r="RD5" s="390"/>
      <c r="RE5" s="390"/>
      <c r="RF5" s="390"/>
      <c r="RG5" s="390"/>
      <c r="RH5" s="390"/>
      <c r="RI5" s="390"/>
      <c r="RJ5" s="390"/>
      <c r="RK5" s="390"/>
      <c r="RL5" s="390"/>
      <c r="RM5" s="390"/>
      <c r="RN5" s="390"/>
      <c r="RO5" s="390"/>
      <c r="RP5" s="390"/>
      <c r="RQ5" s="390"/>
      <c r="RR5" s="390"/>
      <c r="RS5" s="390"/>
      <c r="RT5" s="390"/>
      <c r="RU5" s="390"/>
      <c r="RV5" s="390"/>
      <c r="RW5" s="390"/>
      <c r="RX5" s="390"/>
      <c r="RY5" s="390"/>
      <c r="RZ5" s="390"/>
      <c r="SA5" s="390"/>
      <c r="SB5" s="390"/>
      <c r="SC5" s="390"/>
      <c r="SD5" s="390"/>
      <c r="SE5" s="390"/>
      <c r="SF5" s="390"/>
      <c r="SG5" s="390"/>
      <c r="SH5" s="390"/>
      <c r="SI5" s="390"/>
      <c r="SJ5" s="390"/>
      <c r="SK5" s="390"/>
      <c r="SL5" s="390"/>
      <c r="SM5" s="390"/>
      <c r="SN5" s="390"/>
      <c r="SO5" s="390"/>
      <c r="SP5" s="390"/>
      <c r="SQ5" s="390"/>
      <c r="SR5" s="390"/>
      <c r="SS5" s="390"/>
      <c r="ST5" s="390"/>
      <c r="SU5" s="390"/>
      <c r="SV5" s="390"/>
      <c r="SW5" s="390"/>
      <c r="SX5" s="390"/>
      <c r="SY5" s="390"/>
      <c r="SZ5" s="390"/>
      <c r="TA5" s="390"/>
      <c r="TB5" s="390"/>
      <c r="TC5" s="390"/>
      <c r="TD5" s="390"/>
      <c r="TE5" s="390"/>
      <c r="TF5" s="390"/>
      <c r="TG5" s="390"/>
      <c r="TH5" s="390"/>
      <c r="TI5" s="390"/>
      <c r="TJ5" s="390"/>
      <c r="TK5" s="390"/>
      <c r="TL5" s="390"/>
      <c r="TM5" s="390"/>
      <c r="TN5" s="390"/>
      <c r="TO5" s="390"/>
      <c r="TP5" s="390"/>
      <c r="TQ5" s="390"/>
      <c r="TR5" s="390"/>
      <c r="TS5" s="390"/>
      <c r="TT5" s="390"/>
      <c r="TU5" s="390"/>
      <c r="TV5" s="390"/>
      <c r="TW5" s="390"/>
      <c r="TX5" s="390"/>
      <c r="TY5" s="390"/>
      <c r="TZ5" s="390"/>
      <c r="UA5" s="390"/>
      <c r="UB5" s="390"/>
      <c r="UC5" s="390"/>
      <c r="UD5" s="390"/>
      <c r="UE5" s="390"/>
      <c r="UF5" s="390"/>
      <c r="UG5" s="390"/>
      <c r="UH5" s="390"/>
      <c r="UI5" s="390"/>
      <c r="UJ5" s="390"/>
      <c r="UK5" s="390"/>
      <c r="UL5" s="390"/>
      <c r="UM5" s="390"/>
      <c r="UN5" s="390"/>
      <c r="UO5" s="390"/>
      <c r="UP5" s="390"/>
      <c r="UQ5" s="390"/>
      <c r="UR5" s="390"/>
      <c r="US5" s="390"/>
      <c r="UT5" s="390"/>
      <c r="UU5" s="390"/>
      <c r="UV5" s="390"/>
      <c r="UW5" s="390"/>
      <c r="UX5" s="390"/>
      <c r="UY5" s="390"/>
      <c r="UZ5" s="390"/>
      <c r="VA5" s="390"/>
      <c r="VB5" s="390"/>
      <c r="VC5" s="390"/>
      <c r="VD5" s="390"/>
      <c r="VE5" s="390"/>
      <c r="VF5" s="390"/>
      <c r="VG5" s="390"/>
      <c r="VH5" s="390"/>
      <c r="VI5" s="390"/>
      <c r="VJ5" s="390"/>
      <c r="VK5" s="390"/>
      <c r="VL5" s="390"/>
      <c r="VM5" s="390"/>
      <c r="VN5" s="390"/>
      <c r="VO5" s="390"/>
      <c r="VP5" s="390"/>
      <c r="VQ5" s="390"/>
      <c r="VR5" s="390"/>
      <c r="VS5" s="390"/>
      <c r="VT5" s="390"/>
      <c r="VU5" s="390"/>
      <c r="VV5" s="390"/>
      <c r="VW5" s="390"/>
      <c r="VX5" s="390"/>
      <c r="VY5" s="390"/>
      <c r="VZ5" s="390"/>
      <c r="WA5" s="390"/>
      <c r="WB5" s="390"/>
      <c r="WC5" s="390"/>
      <c r="WD5" s="390"/>
      <c r="WE5" s="390"/>
      <c r="WF5" s="390"/>
      <c r="WG5" s="390"/>
      <c r="WH5" s="390"/>
      <c r="WI5" s="390"/>
      <c r="WJ5" s="390"/>
      <c r="WK5" s="390"/>
      <c r="WL5" s="390"/>
      <c r="WM5" s="390"/>
      <c r="WN5" s="390"/>
      <c r="WO5" s="390"/>
      <c r="WP5" s="390"/>
      <c r="WQ5" s="390"/>
      <c r="WR5" s="390"/>
      <c r="WS5" s="390"/>
      <c r="WT5" s="390"/>
      <c r="WU5" s="390"/>
      <c r="WV5" s="390"/>
      <c r="WW5" s="390"/>
      <c r="WX5" s="390"/>
      <c r="WY5" s="390"/>
      <c r="WZ5" s="390"/>
      <c r="XA5" s="390"/>
      <c r="XB5" s="390"/>
      <c r="XC5" s="390"/>
      <c r="XD5" s="390"/>
      <c r="XE5" s="390"/>
      <c r="XF5" s="390"/>
      <c r="XG5" s="390"/>
      <c r="XH5" s="390"/>
      <c r="XI5" s="390"/>
      <c r="XJ5" s="390"/>
      <c r="XK5" s="390"/>
      <c r="XL5" s="390"/>
      <c r="XM5" s="390"/>
      <c r="XN5" s="390"/>
      <c r="XO5" s="390"/>
      <c r="XP5" s="390"/>
      <c r="XQ5" s="390"/>
      <c r="XR5" s="390"/>
      <c r="XS5" s="390"/>
      <c r="XT5" s="390"/>
      <c r="XU5" s="390"/>
      <c r="XV5" s="390"/>
      <c r="XW5" s="390"/>
      <c r="XX5" s="390"/>
      <c r="XY5" s="390"/>
      <c r="XZ5" s="390"/>
      <c r="YA5" s="390"/>
      <c r="YB5" s="390"/>
      <c r="YC5" s="390"/>
      <c r="YD5" s="390"/>
      <c r="YE5" s="390"/>
      <c r="YF5" s="390"/>
      <c r="YG5" s="390"/>
      <c r="YH5" s="390"/>
      <c r="YI5" s="390"/>
      <c r="YJ5" s="390"/>
      <c r="YK5" s="390"/>
      <c r="YL5" s="390"/>
      <c r="YM5" s="390"/>
      <c r="YN5" s="390"/>
      <c r="YO5" s="390"/>
      <c r="YP5" s="390"/>
      <c r="YQ5" s="390"/>
      <c r="YR5" s="390"/>
      <c r="YS5" s="390"/>
      <c r="YT5" s="390"/>
      <c r="YU5" s="390"/>
      <c r="YV5" s="390"/>
      <c r="YW5" s="390"/>
      <c r="YX5" s="390"/>
      <c r="YY5" s="390"/>
      <c r="YZ5" s="390"/>
      <c r="ZA5" s="390"/>
      <c r="ZB5" s="390"/>
      <c r="ZC5" s="390"/>
      <c r="ZD5" s="390"/>
      <c r="ZE5" s="390"/>
      <c r="ZF5" s="390"/>
      <c r="ZG5" s="390"/>
      <c r="ZH5" s="390"/>
      <c r="ZI5" s="390"/>
      <c r="ZJ5" s="390"/>
      <c r="ZK5" s="390"/>
      <c r="ZL5" s="390"/>
      <c r="ZM5" s="390"/>
      <c r="ZN5" s="390"/>
      <c r="ZO5" s="390"/>
      <c r="ZP5" s="390"/>
      <c r="ZQ5" s="390"/>
      <c r="ZR5" s="390"/>
      <c r="ZS5" s="390"/>
      <c r="ZT5" s="390"/>
      <c r="ZU5" s="390"/>
      <c r="ZV5" s="390"/>
      <c r="ZW5" s="390"/>
      <c r="ZX5" s="390"/>
      <c r="ZY5" s="390"/>
      <c r="ZZ5" s="390"/>
      <c r="AAA5" s="390"/>
      <c r="AAB5" s="390"/>
      <c r="AAC5" s="390"/>
      <c r="AAD5" s="390"/>
      <c r="AAE5" s="390"/>
      <c r="AAF5" s="390"/>
      <c r="AAG5" s="390"/>
      <c r="AAH5" s="390"/>
      <c r="AAI5" s="390"/>
      <c r="AAJ5" s="390"/>
      <c r="AAK5" s="390"/>
      <c r="AAL5" s="390"/>
      <c r="AAM5" s="390"/>
      <c r="AAN5" s="390"/>
      <c r="AAO5" s="390"/>
      <c r="AAP5" s="390"/>
      <c r="AAQ5" s="390"/>
      <c r="AAR5" s="390"/>
      <c r="AAS5" s="390"/>
      <c r="AAT5" s="390"/>
      <c r="AAU5" s="390"/>
      <c r="AAV5" s="390"/>
      <c r="AAW5" s="390"/>
      <c r="AAX5" s="390"/>
      <c r="AAY5" s="390"/>
      <c r="AAZ5" s="390"/>
      <c r="ABA5" s="390"/>
      <c r="ABB5" s="390"/>
      <c r="ABC5" s="390"/>
      <c r="ABD5" s="390"/>
      <c r="ABE5" s="390"/>
      <c r="ABF5" s="390"/>
      <c r="ABG5" s="390"/>
      <c r="ABH5" s="390"/>
      <c r="ABI5" s="390"/>
      <c r="ABJ5" s="390"/>
      <c r="ABK5" s="390"/>
      <c r="ABL5" s="390"/>
      <c r="ABM5" s="390"/>
      <c r="ABN5" s="390"/>
      <c r="ABO5" s="390"/>
      <c r="ABP5" s="390"/>
      <c r="ABQ5" s="390"/>
      <c r="ABR5" s="390"/>
      <c r="ABS5" s="390"/>
      <c r="ABT5" s="390"/>
      <c r="ABU5" s="390"/>
      <c r="ABV5" s="390"/>
      <c r="ABW5" s="390"/>
      <c r="ABX5" s="390"/>
      <c r="ABY5" s="390"/>
      <c r="ABZ5" s="390"/>
      <c r="ACA5" s="390"/>
      <c r="ACB5" s="390"/>
      <c r="ACC5" s="390"/>
      <c r="ACD5" s="390"/>
      <c r="ACE5" s="390"/>
      <c r="ACF5" s="390"/>
      <c r="ACG5" s="390"/>
      <c r="ACH5" s="390"/>
      <c r="ACI5" s="390"/>
      <c r="ACJ5" s="390"/>
      <c r="ACK5" s="390"/>
      <c r="ACL5" s="390"/>
      <c r="ACM5" s="390"/>
      <c r="ACN5" s="390"/>
      <c r="ACO5" s="390"/>
      <c r="ACP5" s="390"/>
      <c r="ACQ5" s="390"/>
      <c r="ACR5" s="390"/>
      <c r="ACS5" s="390"/>
      <c r="ACT5" s="390"/>
      <c r="ACU5" s="390"/>
      <c r="ACV5" s="390"/>
      <c r="ACW5" s="390"/>
      <c r="ACX5" s="390"/>
      <c r="ACY5" s="390"/>
      <c r="ACZ5" s="390"/>
      <c r="ADA5" s="390"/>
      <c r="ADB5" s="390"/>
      <c r="ADC5" s="390"/>
      <c r="ADD5" s="390"/>
      <c r="ADE5" s="390"/>
      <c r="ADF5" s="390"/>
      <c r="ADG5" s="390"/>
      <c r="ADH5" s="390"/>
      <c r="ADI5" s="390"/>
      <c r="ADJ5" s="390"/>
      <c r="ADK5" s="390"/>
      <c r="ADL5" s="390"/>
      <c r="ADM5" s="390"/>
      <c r="ADN5" s="390"/>
      <c r="ADO5" s="390"/>
      <c r="ADP5" s="390"/>
      <c r="ADQ5" s="390"/>
      <c r="ADR5" s="390"/>
      <c r="ADS5" s="390"/>
      <c r="ADT5" s="390"/>
      <c r="ADU5" s="390"/>
      <c r="ADV5" s="390"/>
      <c r="ADW5" s="390"/>
      <c r="ADX5" s="390"/>
      <c r="ADY5" s="390"/>
      <c r="ADZ5" s="390"/>
      <c r="AEA5" s="390"/>
      <c r="AEB5" s="390"/>
      <c r="AEC5" s="390"/>
      <c r="AED5" s="390"/>
      <c r="AEE5" s="390"/>
      <c r="AEF5" s="390"/>
      <c r="AEG5" s="390"/>
      <c r="AEH5" s="390"/>
      <c r="AEI5" s="390"/>
      <c r="AEJ5" s="390"/>
      <c r="AEK5" s="390"/>
      <c r="AEL5" s="390"/>
      <c r="AEM5" s="390"/>
      <c r="AEN5" s="390"/>
      <c r="AEO5" s="390"/>
      <c r="AEP5" s="390"/>
      <c r="AEQ5" s="390"/>
      <c r="AER5" s="390"/>
      <c r="AES5" s="390"/>
      <c r="AET5" s="390"/>
      <c r="AEU5" s="390"/>
      <c r="AEV5" s="390"/>
      <c r="AEW5" s="390"/>
      <c r="AEX5" s="390"/>
      <c r="AEY5" s="390"/>
      <c r="AEZ5" s="390"/>
      <c r="AFA5" s="390"/>
      <c r="AFB5" s="390"/>
      <c r="AFC5" s="390"/>
      <c r="AFD5" s="390"/>
      <c r="AFE5" s="390"/>
      <c r="AFF5" s="390"/>
      <c r="AFG5" s="390"/>
      <c r="AFH5" s="390"/>
      <c r="AFI5" s="390"/>
      <c r="AFJ5" s="390"/>
      <c r="AFK5" s="390"/>
      <c r="AFL5" s="390"/>
      <c r="AFM5" s="390"/>
      <c r="AFN5" s="390"/>
      <c r="AFO5" s="390"/>
      <c r="AFP5" s="390"/>
      <c r="AFQ5" s="390"/>
      <c r="AFR5" s="390"/>
      <c r="AFS5" s="390"/>
      <c r="AFT5" s="390"/>
      <c r="AFU5" s="390"/>
      <c r="AFV5" s="390"/>
      <c r="AFW5" s="390"/>
      <c r="AFX5" s="390"/>
      <c r="AFY5" s="390"/>
      <c r="AFZ5" s="390"/>
      <c r="AGA5" s="390"/>
      <c r="AGB5" s="390"/>
      <c r="AGC5" s="390"/>
      <c r="AGD5" s="390"/>
      <c r="AGE5" s="390"/>
      <c r="AGF5" s="390"/>
      <c r="AGG5" s="390"/>
      <c r="AGH5" s="390"/>
      <c r="AGI5" s="390"/>
      <c r="AGJ5" s="390"/>
      <c r="AGK5" s="390"/>
      <c r="AGL5" s="390"/>
      <c r="AGM5" s="390"/>
      <c r="AGN5" s="390"/>
      <c r="AGO5" s="390"/>
      <c r="AGP5" s="390"/>
      <c r="AGQ5" s="390"/>
      <c r="AGR5" s="390"/>
      <c r="AGS5" s="390"/>
      <c r="AGT5" s="390"/>
      <c r="AGU5" s="390"/>
      <c r="AGV5" s="390"/>
      <c r="AGW5" s="390"/>
      <c r="AGX5" s="390"/>
      <c r="AGY5" s="390"/>
      <c r="AGZ5" s="390"/>
      <c r="AHA5" s="390"/>
      <c r="AHB5" s="390"/>
      <c r="AHC5" s="390"/>
      <c r="AHD5" s="390"/>
      <c r="AHE5" s="390"/>
      <c r="AHF5" s="390"/>
      <c r="AHG5" s="390"/>
      <c r="AHH5" s="390"/>
      <c r="AHI5" s="390"/>
      <c r="AHJ5" s="390"/>
      <c r="AHK5" s="390"/>
      <c r="AHL5" s="390"/>
      <c r="AHM5" s="390"/>
      <c r="AHN5" s="390"/>
      <c r="AHO5" s="390"/>
      <c r="AHP5" s="390"/>
      <c r="AHQ5" s="390"/>
      <c r="AHR5" s="390"/>
      <c r="AHS5" s="390"/>
      <c r="AHT5" s="390"/>
      <c r="AHU5" s="390"/>
      <c r="AHV5" s="390"/>
      <c r="AHW5" s="390"/>
      <c r="AHX5" s="390"/>
      <c r="AHY5" s="390"/>
      <c r="AHZ5" s="390"/>
      <c r="AIA5" s="390"/>
      <c r="AIB5" s="390"/>
      <c r="AIC5" s="390"/>
      <c r="AID5" s="390"/>
      <c r="AIE5" s="390"/>
      <c r="AIF5" s="390"/>
      <c r="AIG5" s="390"/>
      <c r="AIH5" s="390"/>
      <c r="AII5" s="390"/>
      <c r="AIJ5" s="390"/>
      <c r="AIK5" s="390"/>
      <c r="AIL5" s="390"/>
      <c r="AIM5" s="390"/>
      <c r="AIN5" s="390"/>
      <c r="AIO5" s="390"/>
      <c r="AIP5" s="390"/>
      <c r="AIQ5" s="390"/>
      <c r="AIR5" s="390"/>
      <c r="AIS5" s="390"/>
      <c r="AIT5" s="390"/>
      <c r="AIU5" s="390"/>
      <c r="AIV5" s="390"/>
      <c r="AIW5" s="390"/>
      <c r="AIX5" s="390"/>
      <c r="AIY5" s="390"/>
      <c r="AIZ5" s="390"/>
      <c r="AJA5" s="390"/>
      <c r="AJB5" s="390"/>
      <c r="AJC5" s="390"/>
      <c r="AJD5" s="390"/>
      <c r="AJE5" s="390"/>
      <c r="AJF5" s="390"/>
      <c r="AJG5" s="390"/>
      <c r="AJH5" s="390"/>
      <c r="AJI5" s="390"/>
      <c r="AJJ5" s="390"/>
      <c r="AJK5" s="390"/>
      <c r="AJL5" s="390"/>
      <c r="AJM5" s="390"/>
      <c r="AJN5" s="390"/>
      <c r="AJO5" s="390"/>
      <c r="AJP5" s="390"/>
      <c r="AJQ5" s="390"/>
      <c r="AJR5" s="390"/>
      <c r="AJS5" s="390"/>
      <c r="AJT5" s="390"/>
      <c r="AJU5" s="390"/>
      <c r="AJV5" s="390"/>
      <c r="AJW5" s="390"/>
      <c r="AJX5" s="390"/>
      <c r="AJY5" s="390"/>
      <c r="AJZ5" s="390"/>
      <c r="AKA5" s="390"/>
      <c r="AKB5" s="390"/>
      <c r="AKC5" s="390"/>
      <c r="AKD5" s="390"/>
      <c r="AKE5" s="390"/>
      <c r="AKF5" s="390"/>
      <c r="AKG5" s="390"/>
      <c r="AKH5" s="390"/>
      <c r="AKI5" s="390"/>
      <c r="AKJ5" s="390"/>
      <c r="AKK5" s="390"/>
      <c r="AKL5" s="390"/>
      <c r="AKM5" s="390"/>
      <c r="AKN5" s="390"/>
      <c r="AKO5" s="390"/>
      <c r="AKP5" s="390"/>
      <c r="AKQ5" s="390"/>
      <c r="AKR5" s="390"/>
      <c r="AKS5" s="390"/>
      <c r="AKT5" s="390"/>
      <c r="AKU5" s="390"/>
      <c r="AKV5" s="390"/>
      <c r="AKW5" s="390"/>
      <c r="AKX5" s="390"/>
      <c r="AKY5" s="390"/>
      <c r="AKZ5" s="390"/>
      <c r="ALA5" s="390"/>
      <c r="ALB5" s="390"/>
      <c r="ALC5" s="390"/>
      <c r="ALD5" s="390"/>
      <c r="ALE5" s="390"/>
      <c r="ALF5" s="390"/>
      <c r="ALG5" s="390"/>
      <c r="ALH5" s="390"/>
      <c r="ALI5" s="390"/>
      <c r="ALJ5" s="390"/>
      <c r="ALK5" s="390"/>
      <c r="ALL5" s="390"/>
      <c r="ALM5" s="390"/>
      <c r="ALN5" s="390"/>
      <c r="ALO5" s="390"/>
      <c r="ALP5" s="390"/>
      <c r="ALQ5" s="390"/>
      <c r="ALR5" s="390"/>
      <c r="ALS5" s="390"/>
      <c r="ALT5" s="390"/>
      <c r="ALU5" s="390"/>
      <c r="ALV5" s="390"/>
      <c r="ALW5" s="390"/>
      <c r="ALX5" s="390"/>
      <c r="ALY5" s="390"/>
      <c r="ALZ5" s="390"/>
      <c r="AMA5" s="390"/>
      <c r="AMB5" s="390"/>
      <c r="AMC5" s="390"/>
      <c r="AMD5" s="390"/>
      <c r="AME5" s="390"/>
      <c r="AMF5" s="390"/>
      <c r="AMG5" s="390"/>
      <c r="AMH5" s="390"/>
      <c r="AMI5" s="390"/>
      <c r="AMJ5" s="390"/>
      <c r="AMK5" s="390"/>
      <c r="AML5" s="390"/>
      <c r="AMM5" s="390"/>
      <c r="AMN5" s="390"/>
      <c r="AMO5" s="390"/>
      <c r="AMP5" s="390"/>
      <c r="AMQ5" s="390"/>
      <c r="AMR5" s="390"/>
      <c r="AMS5" s="390"/>
      <c r="AMT5" s="390"/>
      <c r="AMU5" s="390"/>
      <c r="AMV5" s="390"/>
      <c r="AMW5" s="390"/>
      <c r="AMX5" s="390"/>
      <c r="AMY5" s="390"/>
      <c r="AMZ5" s="390"/>
      <c r="ANA5" s="390"/>
      <c r="ANB5" s="390"/>
      <c r="ANC5" s="390"/>
      <c r="AND5" s="390"/>
      <c r="ANE5" s="390"/>
      <c r="ANF5" s="390"/>
      <c r="ANG5" s="390"/>
      <c r="ANH5" s="390"/>
      <c r="ANI5" s="390"/>
      <c r="ANJ5" s="390"/>
      <c r="ANK5" s="390"/>
      <c r="ANL5" s="390"/>
      <c r="ANM5" s="390"/>
      <c r="ANN5" s="390"/>
      <c r="ANO5" s="390"/>
      <c r="ANP5" s="390"/>
      <c r="ANQ5" s="390"/>
      <c r="ANR5" s="390"/>
      <c r="ANS5" s="390"/>
      <c r="ANT5" s="390"/>
      <c r="ANU5" s="390"/>
      <c r="ANV5" s="390"/>
      <c r="ANW5" s="390"/>
      <c r="ANX5" s="390"/>
      <c r="ANY5" s="390"/>
      <c r="ANZ5" s="390"/>
      <c r="AOA5" s="390"/>
      <c r="AOB5" s="390"/>
      <c r="AOC5" s="390"/>
      <c r="AOD5" s="390"/>
      <c r="AOE5" s="390"/>
      <c r="AOF5" s="390"/>
      <c r="AOG5" s="390"/>
      <c r="AOH5" s="390"/>
      <c r="AOI5" s="390"/>
      <c r="AOJ5" s="390"/>
      <c r="AOK5" s="390"/>
      <c r="AOL5" s="390"/>
      <c r="AOM5" s="390"/>
      <c r="AON5" s="390"/>
      <c r="AOO5" s="390"/>
      <c r="AOP5" s="390"/>
      <c r="AOQ5" s="390"/>
      <c r="AOR5" s="390"/>
      <c r="AOS5" s="390"/>
      <c r="AOT5" s="390"/>
      <c r="AOU5" s="390"/>
      <c r="AOV5" s="390"/>
      <c r="AOW5" s="390"/>
      <c r="AOX5" s="390"/>
      <c r="AOY5" s="390"/>
      <c r="AOZ5" s="390"/>
      <c r="APA5" s="390"/>
      <c r="APB5" s="390"/>
      <c r="APC5" s="390"/>
      <c r="APD5" s="390"/>
      <c r="APE5" s="390"/>
      <c r="APF5" s="390"/>
      <c r="APG5" s="390"/>
      <c r="APH5" s="390"/>
      <c r="API5" s="390"/>
      <c r="APJ5" s="390"/>
      <c r="APK5" s="390"/>
      <c r="APL5" s="390"/>
      <c r="APM5" s="390"/>
      <c r="APN5" s="390"/>
      <c r="APO5" s="390"/>
      <c r="APP5" s="390"/>
      <c r="APQ5" s="390"/>
      <c r="APR5" s="390"/>
      <c r="APS5" s="390"/>
      <c r="APT5" s="390"/>
      <c r="APU5" s="390"/>
      <c r="APV5" s="390"/>
      <c r="APW5" s="390"/>
      <c r="APX5" s="390"/>
      <c r="APY5" s="390"/>
      <c r="APZ5" s="390"/>
      <c r="AQA5" s="390"/>
      <c r="AQB5" s="390"/>
      <c r="AQC5" s="390"/>
      <c r="AQD5" s="390"/>
      <c r="AQE5" s="390"/>
      <c r="AQF5" s="390"/>
      <c r="AQG5" s="390"/>
      <c r="AQH5" s="390"/>
      <c r="AQI5" s="390"/>
      <c r="AQJ5" s="390"/>
      <c r="AQK5" s="390"/>
      <c r="AQL5" s="390"/>
      <c r="AQM5" s="390"/>
      <c r="AQN5" s="390"/>
      <c r="AQO5" s="390"/>
      <c r="AQP5" s="390"/>
      <c r="AQQ5" s="390"/>
      <c r="AQR5" s="390"/>
      <c r="AQS5" s="390"/>
      <c r="AQT5" s="390"/>
      <c r="AQU5" s="390"/>
      <c r="AQV5" s="390"/>
      <c r="AQW5" s="390"/>
      <c r="AQX5" s="390"/>
      <c r="AQY5" s="390"/>
      <c r="AQZ5" s="390"/>
      <c r="ARA5" s="390"/>
      <c r="ARB5" s="390"/>
      <c r="ARC5" s="390"/>
      <c r="ARD5" s="390"/>
      <c r="ARE5" s="390"/>
      <c r="ARF5" s="390"/>
      <c r="ARG5" s="390"/>
      <c r="ARH5" s="390"/>
      <c r="ARI5" s="390"/>
      <c r="ARJ5" s="390"/>
      <c r="ARK5" s="390"/>
      <c r="ARL5" s="390"/>
      <c r="ARM5" s="390"/>
      <c r="ARN5" s="390"/>
      <c r="ARO5" s="390"/>
      <c r="ARP5" s="390"/>
      <c r="ARQ5" s="390"/>
      <c r="ARR5" s="390"/>
      <c r="ARS5" s="390"/>
      <c r="ART5" s="390"/>
      <c r="ARU5" s="390"/>
      <c r="ARV5" s="390"/>
      <c r="ARW5" s="390"/>
      <c r="ARX5" s="390"/>
      <c r="ARY5" s="390"/>
      <c r="ARZ5" s="390"/>
      <c r="ASA5" s="390"/>
      <c r="ASB5" s="390"/>
      <c r="ASC5" s="390"/>
      <c r="ASD5" s="390"/>
      <c r="ASE5" s="390"/>
      <c r="ASF5" s="390"/>
      <c r="ASG5" s="390"/>
      <c r="ASH5" s="390"/>
      <c r="ASI5" s="390"/>
      <c r="ASJ5" s="390"/>
      <c r="ASK5" s="390"/>
      <c r="ASL5" s="390"/>
      <c r="ASM5" s="390"/>
      <c r="ASN5" s="390"/>
      <c r="ASO5" s="390"/>
      <c r="ASP5" s="390"/>
      <c r="ASQ5" s="390"/>
      <c r="ASR5" s="390"/>
      <c r="ASS5" s="390"/>
      <c r="AST5" s="390"/>
      <c r="ASU5" s="390"/>
      <c r="ASV5" s="390"/>
      <c r="ASW5" s="390"/>
      <c r="ASX5" s="390"/>
      <c r="ASY5" s="390"/>
      <c r="ASZ5" s="390"/>
      <c r="ATA5" s="390"/>
      <c r="ATB5" s="390"/>
      <c r="ATC5" s="390"/>
      <c r="ATD5" s="390"/>
      <c r="ATE5" s="390"/>
      <c r="ATF5" s="390"/>
      <c r="ATG5" s="390"/>
      <c r="ATH5" s="390"/>
      <c r="ATI5" s="390"/>
      <c r="ATJ5" s="390"/>
      <c r="ATK5" s="390"/>
      <c r="ATL5" s="390"/>
      <c r="ATM5" s="390"/>
      <c r="ATN5" s="390"/>
      <c r="ATO5" s="390"/>
      <c r="ATP5" s="390"/>
      <c r="ATQ5" s="390"/>
      <c r="ATR5" s="390"/>
      <c r="ATS5" s="390"/>
      <c r="ATT5" s="390"/>
      <c r="ATU5" s="390"/>
      <c r="ATV5" s="390"/>
      <c r="ATW5" s="390"/>
      <c r="ATX5" s="390"/>
      <c r="ATY5" s="390"/>
      <c r="ATZ5" s="390"/>
      <c r="AUA5" s="390"/>
      <c r="AUB5" s="390"/>
      <c r="AUC5" s="390"/>
      <c r="AUD5" s="390"/>
      <c r="AUE5" s="390"/>
      <c r="AUF5" s="390"/>
      <c r="AUG5" s="390"/>
      <c r="AUH5" s="390"/>
      <c r="AUI5" s="390"/>
      <c r="AUJ5" s="390"/>
      <c r="AUK5" s="390"/>
      <c r="AUL5" s="390"/>
      <c r="AUM5" s="390"/>
      <c r="AUN5" s="390"/>
      <c r="AUO5" s="390"/>
      <c r="AUP5" s="390"/>
      <c r="AUQ5" s="390"/>
      <c r="AUR5" s="390"/>
      <c r="AUS5" s="390"/>
      <c r="AUT5" s="390"/>
      <c r="AUU5" s="390"/>
      <c r="AUV5" s="390"/>
      <c r="AUW5" s="390"/>
      <c r="AUX5" s="390"/>
      <c r="AUY5" s="390"/>
      <c r="AUZ5" s="390"/>
      <c r="AVA5" s="390"/>
      <c r="AVB5" s="390"/>
      <c r="AVC5" s="390"/>
      <c r="AVD5" s="390"/>
      <c r="AVE5" s="390"/>
      <c r="AVF5" s="390"/>
      <c r="AVG5" s="390"/>
      <c r="AVH5" s="390"/>
      <c r="AVI5" s="390"/>
      <c r="AVJ5" s="390"/>
      <c r="AVK5" s="390"/>
      <c r="AVL5" s="390"/>
      <c r="AVM5" s="390"/>
      <c r="AVN5" s="390"/>
      <c r="AVO5" s="390"/>
      <c r="AVP5" s="390"/>
      <c r="AVQ5" s="390"/>
      <c r="AVR5" s="390"/>
      <c r="AVS5" s="390"/>
      <c r="AVT5" s="390"/>
      <c r="AVU5" s="390"/>
      <c r="AVV5" s="390"/>
      <c r="AVW5" s="390"/>
      <c r="AVX5" s="390"/>
      <c r="AVY5" s="390"/>
      <c r="AVZ5" s="390"/>
      <c r="AWA5" s="390"/>
      <c r="AWB5" s="390"/>
      <c r="AWC5" s="390"/>
      <c r="AWD5" s="390"/>
      <c r="AWE5" s="390"/>
      <c r="AWF5" s="390"/>
      <c r="AWG5" s="390"/>
      <c r="AWH5" s="390"/>
      <c r="AWI5" s="390"/>
      <c r="AWJ5" s="390"/>
      <c r="AWK5" s="390"/>
      <c r="AWL5" s="390"/>
      <c r="AWM5" s="390"/>
      <c r="AWN5" s="390"/>
      <c r="AWO5" s="390"/>
      <c r="AWP5" s="390"/>
      <c r="AWQ5" s="390"/>
      <c r="AWR5" s="390"/>
      <c r="AWS5" s="390"/>
      <c r="AWT5" s="390"/>
      <c r="AWU5" s="390"/>
      <c r="AWV5" s="390"/>
      <c r="AWW5" s="390"/>
      <c r="AWX5" s="390"/>
      <c r="AWY5" s="390"/>
      <c r="AWZ5" s="390"/>
      <c r="AXA5" s="390"/>
      <c r="AXB5" s="390"/>
      <c r="AXC5" s="390"/>
      <c r="AXD5" s="390"/>
      <c r="AXE5" s="390"/>
      <c r="AXF5" s="390"/>
      <c r="AXG5" s="390"/>
      <c r="AXH5" s="390"/>
      <c r="AXI5" s="390"/>
      <c r="AXJ5" s="390"/>
      <c r="AXK5" s="390"/>
      <c r="AXL5" s="390"/>
      <c r="AXM5" s="390"/>
      <c r="AXN5" s="390"/>
      <c r="AXO5" s="390"/>
      <c r="AXP5" s="390"/>
      <c r="AXQ5" s="390"/>
      <c r="AXR5" s="390"/>
      <c r="AXS5" s="390"/>
      <c r="AXT5" s="390"/>
      <c r="AXU5" s="390"/>
      <c r="AXV5" s="390"/>
      <c r="AXW5" s="390"/>
      <c r="AXX5" s="390"/>
      <c r="AXY5" s="390"/>
      <c r="AXZ5" s="390"/>
      <c r="AYA5" s="390"/>
      <c r="AYB5" s="390"/>
      <c r="AYC5" s="390"/>
      <c r="AYD5" s="390"/>
      <c r="AYE5" s="390"/>
      <c r="AYF5" s="390"/>
      <c r="AYG5" s="390"/>
      <c r="AYH5" s="390"/>
      <c r="AYI5" s="390"/>
      <c r="AYJ5" s="390"/>
      <c r="AYK5" s="390"/>
      <c r="AYL5" s="390"/>
      <c r="AYM5" s="390"/>
      <c r="AYN5" s="390"/>
      <c r="AYO5" s="390"/>
      <c r="AYP5" s="390"/>
      <c r="AYQ5" s="390"/>
      <c r="AYR5" s="390"/>
      <c r="AYS5" s="390"/>
      <c r="AYT5" s="390"/>
      <c r="AYU5" s="390"/>
      <c r="AYV5" s="390"/>
      <c r="AYW5" s="390"/>
      <c r="AYX5" s="390"/>
      <c r="AYY5" s="390"/>
      <c r="AYZ5" s="390"/>
      <c r="AZA5" s="390"/>
      <c r="AZB5" s="390"/>
      <c r="AZC5" s="390"/>
      <c r="AZD5" s="390"/>
      <c r="AZE5" s="390"/>
      <c r="AZF5" s="390"/>
      <c r="AZG5" s="390"/>
      <c r="AZH5" s="390"/>
      <c r="AZI5" s="390"/>
      <c r="AZJ5" s="390"/>
      <c r="AZK5" s="390"/>
      <c r="AZL5" s="390"/>
      <c r="AZM5" s="390"/>
      <c r="AZN5" s="390"/>
      <c r="AZO5" s="390"/>
      <c r="AZP5" s="390"/>
      <c r="AZQ5" s="390"/>
      <c r="AZR5" s="390"/>
      <c r="AZS5" s="390"/>
      <c r="AZT5" s="390"/>
      <c r="AZU5" s="390"/>
      <c r="AZV5" s="390"/>
      <c r="AZW5" s="390"/>
      <c r="AZX5" s="390"/>
      <c r="AZY5" s="390"/>
      <c r="AZZ5" s="390"/>
      <c r="BAA5" s="390"/>
      <c r="BAB5" s="390"/>
      <c r="BAC5" s="390"/>
      <c r="BAD5" s="390"/>
      <c r="BAE5" s="390"/>
      <c r="BAF5" s="390"/>
      <c r="BAG5" s="390"/>
      <c r="BAH5" s="390"/>
      <c r="BAI5" s="390"/>
      <c r="BAJ5" s="390"/>
      <c r="BAK5" s="390"/>
      <c r="BAL5" s="390"/>
      <c r="BAM5" s="390"/>
      <c r="BAN5" s="390"/>
      <c r="BAO5" s="390"/>
      <c r="BAP5" s="390"/>
      <c r="BAQ5" s="390"/>
      <c r="BAR5" s="390"/>
      <c r="BAS5" s="390"/>
      <c r="BAT5" s="390"/>
      <c r="BAU5" s="390"/>
      <c r="BAV5" s="390"/>
      <c r="BAW5" s="390"/>
      <c r="BAX5" s="390"/>
      <c r="BAY5" s="390"/>
      <c r="BAZ5" s="390"/>
      <c r="BBA5" s="390"/>
      <c r="BBB5" s="390"/>
      <c r="BBC5" s="390"/>
      <c r="BBD5" s="390"/>
      <c r="BBE5" s="390"/>
      <c r="BBF5" s="390"/>
      <c r="BBG5" s="390"/>
      <c r="BBH5" s="390"/>
      <c r="BBI5" s="390"/>
      <c r="BBJ5" s="390"/>
      <c r="BBK5" s="390"/>
      <c r="BBL5" s="390"/>
      <c r="BBM5" s="390"/>
      <c r="BBN5" s="390"/>
      <c r="BBO5" s="390"/>
      <c r="BBP5" s="390"/>
      <c r="BBQ5" s="390"/>
      <c r="BBR5" s="390"/>
      <c r="BBS5" s="390"/>
      <c r="BBT5" s="390"/>
      <c r="BBU5" s="390"/>
      <c r="BBV5" s="390"/>
      <c r="BBW5" s="390"/>
      <c r="BBX5" s="390"/>
      <c r="BBY5" s="390"/>
      <c r="BBZ5" s="390"/>
      <c r="BCA5" s="390"/>
      <c r="BCB5" s="390"/>
      <c r="BCC5" s="390"/>
      <c r="BCD5" s="390"/>
      <c r="BCE5" s="390"/>
      <c r="BCF5" s="390"/>
      <c r="BCG5" s="390"/>
      <c r="BCH5" s="390"/>
      <c r="BCI5" s="390"/>
      <c r="BCJ5" s="390"/>
      <c r="BCK5" s="390"/>
      <c r="BCL5" s="390"/>
      <c r="BCM5" s="390"/>
      <c r="BCN5" s="390"/>
      <c r="BCO5" s="390"/>
      <c r="BCP5" s="390"/>
      <c r="BCQ5" s="390"/>
      <c r="BCR5" s="390"/>
      <c r="BCS5" s="390"/>
      <c r="BCT5" s="390"/>
      <c r="BCU5" s="390"/>
      <c r="BCV5" s="390"/>
      <c r="BCW5" s="390"/>
      <c r="BCX5" s="390"/>
      <c r="BCY5" s="390"/>
      <c r="BCZ5" s="390"/>
      <c r="BDA5" s="390"/>
      <c r="BDB5" s="390"/>
      <c r="BDC5" s="390"/>
      <c r="BDD5" s="390"/>
      <c r="BDE5" s="390"/>
      <c r="BDF5" s="390"/>
      <c r="BDG5" s="390"/>
      <c r="BDH5" s="390"/>
      <c r="BDI5" s="390"/>
      <c r="BDJ5" s="390"/>
      <c r="BDK5" s="390"/>
      <c r="BDL5" s="390"/>
      <c r="BDM5" s="390"/>
      <c r="BDN5" s="390"/>
      <c r="BDO5" s="390"/>
      <c r="BDP5" s="390"/>
      <c r="BDQ5" s="390"/>
      <c r="BDR5" s="390"/>
      <c r="BDS5" s="390"/>
      <c r="BDT5" s="390"/>
      <c r="BDU5" s="390"/>
      <c r="BDV5" s="390"/>
      <c r="BDW5" s="390"/>
      <c r="BDX5" s="390"/>
      <c r="BDY5" s="390"/>
      <c r="BDZ5" s="390"/>
      <c r="BEA5" s="390"/>
      <c r="BEB5" s="390"/>
      <c r="BEC5" s="390"/>
      <c r="BED5" s="390"/>
      <c r="BEE5" s="390"/>
      <c r="BEF5" s="390"/>
      <c r="BEG5" s="390"/>
      <c r="BEH5" s="390"/>
      <c r="BEI5" s="390"/>
      <c r="BEJ5" s="390"/>
      <c r="BEK5" s="390"/>
      <c r="BEL5" s="390"/>
      <c r="BEM5" s="390"/>
      <c r="BEN5" s="390"/>
      <c r="BEO5" s="390"/>
      <c r="BEP5" s="390"/>
      <c r="BEQ5" s="390"/>
      <c r="BER5" s="390"/>
      <c r="BES5" s="390"/>
      <c r="BET5" s="390"/>
      <c r="BEU5" s="390"/>
      <c r="BEV5" s="390"/>
      <c r="BEW5" s="390"/>
      <c r="BEX5" s="390"/>
      <c r="BEY5" s="390"/>
      <c r="BEZ5" s="390"/>
      <c r="BFA5" s="390"/>
      <c r="BFB5" s="390"/>
      <c r="BFC5" s="390"/>
      <c r="BFD5" s="390"/>
      <c r="BFE5" s="390"/>
      <c r="BFF5" s="390"/>
      <c r="BFG5" s="390"/>
      <c r="BFH5" s="390"/>
      <c r="BFI5" s="390"/>
      <c r="BFJ5" s="390"/>
      <c r="BFK5" s="390"/>
      <c r="BFL5" s="390"/>
      <c r="BFM5" s="390"/>
      <c r="BFN5" s="390"/>
      <c r="BFO5" s="390"/>
      <c r="BFP5" s="390"/>
      <c r="BFQ5" s="390"/>
      <c r="BFR5" s="390"/>
      <c r="BFS5" s="390"/>
      <c r="BFT5" s="390"/>
      <c r="BFU5" s="390"/>
      <c r="BFV5" s="390"/>
      <c r="BFW5" s="390"/>
      <c r="BFX5" s="390"/>
      <c r="BFY5" s="390"/>
      <c r="BFZ5" s="390"/>
      <c r="BGA5" s="390"/>
      <c r="BGB5" s="390"/>
      <c r="BGC5" s="390"/>
      <c r="BGD5" s="390"/>
      <c r="BGE5" s="390"/>
      <c r="BGF5" s="390"/>
      <c r="BGG5" s="390"/>
      <c r="BGH5" s="390"/>
      <c r="BGI5" s="390"/>
      <c r="BGJ5" s="390"/>
      <c r="BGK5" s="390"/>
      <c r="BGL5" s="390"/>
      <c r="BGM5" s="390"/>
      <c r="BGN5" s="390"/>
      <c r="BGO5" s="390"/>
      <c r="BGP5" s="390"/>
      <c r="BGQ5" s="390"/>
      <c r="BGR5" s="390"/>
      <c r="BGS5" s="390"/>
      <c r="BGT5" s="390"/>
      <c r="BGU5" s="390"/>
      <c r="BGV5" s="390"/>
      <c r="BGW5" s="390"/>
      <c r="BGX5" s="390"/>
      <c r="BGY5" s="390"/>
      <c r="BGZ5" s="390"/>
      <c r="BHA5" s="390"/>
      <c r="BHB5" s="390"/>
      <c r="BHC5" s="390"/>
      <c r="BHD5" s="390"/>
      <c r="BHE5" s="390"/>
      <c r="BHF5" s="390"/>
      <c r="BHG5" s="390"/>
      <c r="BHH5" s="390"/>
      <c r="BHI5" s="390"/>
      <c r="BHJ5" s="390"/>
      <c r="BHK5" s="390"/>
      <c r="BHL5" s="390"/>
      <c r="BHM5" s="390"/>
      <c r="BHN5" s="390"/>
      <c r="BHO5" s="390"/>
      <c r="BHP5" s="390"/>
      <c r="BHQ5" s="390"/>
      <c r="BHR5" s="390"/>
      <c r="BHS5" s="390"/>
      <c r="BHT5" s="390"/>
      <c r="BHU5" s="390"/>
      <c r="BHV5" s="390"/>
      <c r="BHW5" s="390"/>
      <c r="BHX5" s="390"/>
      <c r="BHY5" s="390"/>
      <c r="BHZ5" s="390"/>
      <c r="BIA5" s="390"/>
      <c r="BIB5" s="390"/>
      <c r="BIC5" s="390"/>
      <c r="BID5" s="390"/>
      <c r="BIE5" s="390"/>
      <c r="BIF5" s="390"/>
      <c r="BIG5" s="390"/>
      <c r="BIH5" s="390"/>
      <c r="BII5" s="390"/>
      <c r="BIJ5" s="390"/>
      <c r="BIK5" s="390"/>
      <c r="BIL5" s="390"/>
      <c r="BIM5" s="390"/>
      <c r="BIN5" s="390"/>
      <c r="BIO5" s="390"/>
      <c r="BIP5" s="390"/>
      <c r="BIQ5" s="390"/>
      <c r="BIR5" s="390"/>
      <c r="BIS5" s="390"/>
      <c r="BIT5" s="390"/>
      <c r="BIU5" s="390"/>
      <c r="BIV5" s="390"/>
      <c r="BIW5" s="390"/>
      <c r="BIX5" s="390"/>
      <c r="BIY5" s="390"/>
      <c r="BIZ5" s="390"/>
      <c r="BJA5" s="390"/>
      <c r="BJB5" s="390"/>
      <c r="BJC5" s="390"/>
      <c r="BJD5" s="390"/>
      <c r="BJE5" s="390"/>
      <c r="BJF5" s="390"/>
      <c r="BJG5" s="390"/>
      <c r="BJH5" s="390"/>
      <c r="BJI5" s="390"/>
      <c r="BJJ5" s="390"/>
      <c r="BJK5" s="390"/>
      <c r="BJL5" s="390"/>
      <c r="BJM5" s="390"/>
      <c r="BJN5" s="390"/>
      <c r="BJO5" s="390"/>
      <c r="BJP5" s="390"/>
      <c r="BJQ5" s="390"/>
      <c r="BJR5" s="390"/>
      <c r="BJS5" s="390"/>
      <c r="BJT5" s="390"/>
      <c r="BJU5" s="390"/>
      <c r="BJV5" s="390"/>
      <c r="BJW5" s="390"/>
      <c r="BJX5" s="390"/>
      <c r="BJY5" s="390"/>
      <c r="BJZ5" s="390"/>
      <c r="BKA5" s="390"/>
      <c r="BKB5" s="390"/>
      <c r="BKC5" s="390"/>
      <c r="BKD5" s="390"/>
      <c r="BKE5" s="390"/>
      <c r="BKF5" s="390"/>
      <c r="BKG5" s="390"/>
      <c r="BKH5" s="390"/>
      <c r="BKI5" s="390"/>
      <c r="BKJ5" s="390"/>
      <c r="BKK5" s="390"/>
      <c r="BKL5" s="390"/>
      <c r="BKM5" s="390"/>
      <c r="BKN5" s="390"/>
      <c r="BKO5" s="390"/>
      <c r="BKP5" s="390"/>
      <c r="BKQ5" s="390"/>
      <c r="BKR5" s="390"/>
      <c r="BKS5" s="390"/>
      <c r="BKT5" s="390"/>
      <c r="BKU5" s="390"/>
      <c r="BKV5" s="390"/>
      <c r="BKW5" s="390"/>
      <c r="BKX5" s="390"/>
      <c r="BKY5" s="390"/>
      <c r="BKZ5" s="390"/>
      <c r="BLA5" s="390"/>
      <c r="BLB5" s="390"/>
      <c r="BLC5" s="390"/>
      <c r="BLD5" s="390"/>
      <c r="BLE5" s="390"/>
      <c r="BLF5" s="390"/>
      <c r="BLG5" s="390"/>
      <c r="BLH5" s="390"/>
      <c r="BLI5" s="390"/>
      <c r="BLJ5" s="390"/>
      <c r="BLK5" s="390"/>
      <c r="BLL5" s="390"/>
      <c r="BLM5" s="390"/>
      <c r="BLN5" s="390"/>
      <c r="BLO5" s="390"/>
      <c r="BLP5" s="390"/>
      <c r="BLQ5" s="390"/>
      <c r="BLR5" s="390"/>
      <c r="BLS5" s="390"/>
      <c r="BLT5" s="390"/>
      <c r="BLU5" s="390"/>
      <c r="BLV5" s="390"/>
      <c r="BLW5" s="390"/>
      <c r="BLX5" s="390"/>
      <c r="BLY5" s="390"/>
      <c r="BLZ5" s="390"/>
      <c r="BMA5" s="390"/>
      <c r="BMB5" s="390"/>
      <c r="BMC5" s="390"/>
      <c r="BMD5" s="390"/>
      <c r="BME5" s="390"/>
      <c r="BMF5" s="390"/>
      <c r="BMG5" s="390"/>
      <c r="BMH5" s="390"/>
      <c r="BMI5" s="390"/>
      <c r="BMJ5" s="390"/>
      <c r="BMK5" s="390"/>
      <c r="BML5" s="390"/>
      <c r="BMM5" s="390"/>
      <c r="BMN5" s="390"/>
      <c r="BMO5" s="390"/>
      <c r="BMP5" s="390"/>
      <c r="BMQ5" s="390"/>
      <c r="BMR5" s="390"/>
      <c r="BMS5" s="390"/>
      <c r="BMT5" s="390"/>
      <c r="BMU5" s="390"/>
      <c r="BMV5" s="390"/>
      <c r="BMW5" s="390"/>
      <c r="BMX5" s="390"/>
      <c r="BMY5" s="390"/>
      <c r="BMZ5" s="390"/>
      <c r="BNA5" s="390"/>
      <c r="BNB5" s="390"/>
      <c r="BNC5" s="390"/>
      <c r="BND5" s="390"/>
      <c r="BNE5" s="390"/>
      <c r="BNF5" s="390"/>
      <c r="BNG5" s="390"/>
      <c r="BNH5" s="390"/>
      <c r="BNI5" s="390"/>
      <c r="BNJ5" s="390"/>
      <c r="BNK5" s="390"/>
      <c r="BNL5" s="390"/>
      <c r="BNM5" s="390"/>
      <c r="BNN5" s="390"/>
      <c r="BNO5" s="390"/>
      <c r="BNP5" s="390"/>
      <c r="BNQ5" s="390"/>
      <c r="BNR5" s="390"/>
      <c r="BNS5" s="390"/>
      <c r="BNT5" s="390"/>
      <c r="BNU5" s="390"/>
      <c r="BNV5" s="390"/>
      <c r="BNW5" s="390"/>
      <c r="BNX5" s="390"/>
      <c r="BNY5" s="390"/>
      <c r="BNZ5" s="390"/>
      <c r="BOA5" s="390"/>
      <c r="BOB5" s="390"/>
      <c r="BOC5" s="390"/>
      <c r="BOD5" s="390"/>
      <c r="BOE5" s="390"/>
      <c r="BOF5" s="390"/>
      <c r="BOG5" s="390"/>
      <c r="BOH5" s="390"/>
      <c r="BOI5" s="390"/>
      <c r="BOJ5" s="390"/>
      <c r="BOK5" s="390"/>
      <c r="BOL5" s="390"/>
      <c r="BOM5" s="390"/>
      <c r="BON5" s="390"/>
      <c r="BOO5" s="390"/>
      <c r="BOP5" s="390"/>
      <c r="BOQ5" s="390"/>
      <c r="BOR5" s="390"/>
      <c r="BOS5" s="390"/>
      <c r="BOT5" s="390"/>
      <c r="BOU5" s="390"/>
      <c r="BOV5" s="390"/>
      <c r="BOW5" s="390"/>
      <c r="BOX5" s="390"/>
      <c r="BOY5" s="390"/>
      <c r="BOZ5" s="390"/>
      <c r="BPA5" s="390"/>
      <c r="BPB5" s="390"/>
      <c r="BPC5" s="390"/>
      <c r="BPD5" s="390"/>
      <c r="BPE5" s="390"/>
      <c r="BPF5" s="390"/>
      <c r="BPG5" s="390"/>
      <c r="BPH5" s="390"/>
      <c r="BPI5" s="390"/>
      <c r="BPJ5" s="390"/>
      <c r="BPK5" s="390"/>
      <c r="BPL5" s="390"/>
      <c r="BPM5" s="390"/>
      <c r="BPN5" s="390"/>
      <c r="BPO5" s="390"/>
      <c r="BPP5" s="390"/>
      <c r="BPQ5" s="390"/>
      <c r="BPR5" s="390"/>
      <c r="BPS5" s="390"/>
      <c r="BPT5" s="390"/>
      <c r="BPU5" s="390"/>
      <c r="BPV5" s="390"/>
      <c r="BPW5" s="390"/>
      <c r="BPX5" s="390"/>
      <c r="BPY5" s="390"/>
      <c r="BPZ5" s="390"/>
      <c r="BQA5" s="390"/>
      <c r="BQB5" s="390"/>
      <c r="BQC5" s="390"/>
      <c r="BQD5" s="390"/>
      <c r="BQE5" s="390"/>
      <c r="BQF5" s="390"/>
      <c r="BQG5" s="390"/>
      <c r="BQH5" s="390"/>
      <c r="BQI5" s="390"/>
      <c r="BQJ5" s="390"/>
      <c r="BQK5" s="390"/>
      <c r="BQL5" s="390"/>
      <c r="BQM5" s="390"/>
      <c r="BQN5" s="390"/>
      <c r="BQO5" s="390"/>
      <c r="BQP5" s="390"/>
      <c r="BQQ5" s="390"/>
      <c r="BQR5" s="390"/>
      <c r="BQS5" s="390"/>
      <c r="BQT5" s="390"/>
      <c r="BQU5" s="390"/>
      <c r="BQV5" s="390"/>
      <c r="BQW5" s="390"/>
      <c r="BQX5" s="390"/>
      <c r="BQY5" s="390"/>
      <c r="BQZ5" s="390"/>
      <c r="BRA5" s="390"/>
      <c r="BRB5" s="390"/>
      <c r="BRC5" s="390"/>
      <c r="BRD5" s="390"/>
      <c r="BRE5" s="390"/>
      <c r="BRF5" s="390"/>
      <c r="BRG5" s="390"/>
      <c r="BRH5" s="390"/>
      <c r="BRI5" s="390"/>
      <c r="BRJ5" s="390"/>
      <c r="BRK5" s="390"/>
      <c r="BRL5" s="390"/>
      <c r="BRM5" s="390"/>
      <c r="BRN5" s="390"/>
      <c r="BRO5" s="390"/>
      <c r="BRP5" s="390"/>
      <c r="BRQ5" s="390"/>
      <c r="BRR5" s="390"/>
      <c r="BRS5" s="390"/>
      <c r="BRT5" s="390"/>
      <c r="BRU5" s="390"/>
      <c r="BRV5" s="390"/>
      <c r="BRW5" s="390"/>
      <c r="BRX5" s="390"/>
      <c r="BRY5" s="390"/>
      <c r="BRZ5" s="390"/>
      <c r="BSA5" s="390"/>
      <c r="BSB5" s="390"/>
      <c r="BSC5" s="390"/>
      <c r="BSD5" s="390"/>
      <c r="BSE5" s="390"/>
      <c r="BSF5" s="390"/>
      <c r="BSG5" s="390"/>
      <c r="BSH5" s="390"/>
      <c r="BSI5" s="390"/>
      <c r="BSJ5" s="390"/>
      <c r="BSK5" s="390"/>
      <c r="BSL5" s="390"/>
      <c r="BSM5" s="390"/>
      <c r="BSN5" s="390"/>
      <c r="BSO5" s="390"/>
      <c r="BSP5" s="390"/>
      <c r="BSQ5" s="390"/>
      <c r="BSR5" s="390"/>
      <c r="BSS5" s="390"/>
      <c r="BST5" s="390"/>
      <c r="BSU5" s="390"/>
      <c r="BSV5" s="390"/>
      <c r="BSW5" s="390"/>
      <c r="BSX5" s="390"/>
      <c r="BSY5" s="390"/>
      <c r="BSZ5" s="390"/>
      <c r="BTA5" s="390"/>
      <c r="BTB5" s="390"/>
      <c r="BTC5" s="390"/>
      <c r="BTD5" s="390"/>
      <c r="BTE5" s="390"/>
      <c r="BTF5" s="390"/>
      <c r="BTG5" s="390"/>
      <c r="BTH5" s="390"/>
      <c r="BTI5" s="390"/>
      <c r="BTJ5" s="390"/>
      <c r="BTK5" s="390"/>
      <c r="BTL5" s="390"/>
      <c r="BTM5" s="390"/>
      <c r="BTN5" s="390"/>
      <c r="BTO5" s="390"/>
      <c r="BTP5" s="390"/>
      <c r="BTQ5" s="390"/>
      <c r="BTR5" s="390"/>
      <c r="BTS5" s="390"/>
      <c r="BTT5" s="390"/>
      <c r="BTU5" s="390"/>
      <c r="BTV5" s="390"/>
      <c r="BTW5" s="390"/>
      <c r="BTX5" s="390"/>
      <c r="BTY5" s="390"/>
      <c r="BTZ5" s="390"/>
      <c r="BUA5" s="390"/>
      <c r="BUB5" s="390"/>
      <c r="BUC5" s="390"/>
      <c r="BUD5" s="390"/>
      <c r="BUE5" s="390"/>
      <c r="BUF5" s="390"/>
      <c r="BUG5" s="390"/>
      <c r="BUH5" s="390"/>
      <c r="BUI5" s="390"/>
      <c r="BUJ5" s="390"/>
      <c r="BUK5" s="390"/>
      <c r="BUL5" s="390"/>
      <c r="BUM5" s="390"/>
      <c r="BUN5" s="390"/>
      <c r="BUO5" s="390"/>
      <c r="BUP5" s="390"/>
      <c r="BUQ5" s="390"/>
      <c r="BUR5" s="390"/>
      <c r="BUS5" s="390"/>
      <c r="BUT5" s="390"/>
      <c r="BUU5" s="390"/>
      <c r="BUV5" s="390"/>
      <c r="BUW5" s="390"/>
      <c r="BUX5" s="390"/>
      <c r="BUY5" s="390"/>
      <c r="BUZ5" s="390"/>
      <c r="BVA5" s="390"/>
      <c r="BVB5" s="390"/>
      <c r="BVC5" s="390"/>
      <c r="BVD5" s="390"/>
      <c r="BVE5" s="390"/>
      <c r="BVF5" s="390"/>
      <c r="BVG5" s="390"/>
      <c r="BVH5" s="390"/>
      <c r="BVI5" s="390"/>
      <c r="BVJ5" s="390"/>
      <c r="BVK5" s="390"/>
      <c r="BVL5" s="390"/>
      <c r="BVM5" s="390"/>
      <c r="BVN5" s="390"/>
      <c r="BVO5" s="390"/>
      <c r="BVP5" s="390"/>
      <c r="BVQ5" s="390"/>
      <c r="BVR5" s="390"/>
      <c r="BVS5" s="390"/>
      <c r="BVT5" s="390"/>
      <c r="BVU5" s="390"/>
      <c r="BVV5" s="390"/>
      <c r="BVW5" s="390"/>
      <c r="BVX5" s="390"/>
      <c r="BVY5" s="390"/>
      <c r="BVZ5" s="390"/>
      <c r="BWA5" s="390"/>
      <c r="BWB5" s="390"/>
      <c r="BWC5" s="390"/>
      <c r="BWD5" s="390"/>
      <c r="BWE5" s="390"/>
      <c r="BWF5" s="390"/>
      <c r="BWG5" s="390"/>
      <c r="BWH5" s="390"/>
      <c r="BWI5" s="390"/>
      <c r="BWJ5" s="390"/>
      <c r="BWK5" s="390"/>
      <c r="BWL5" s="390"/>
      <c r="BWM5" s="390"/>
      <c r="BWN5" s="390"/>
      <c r="BWO5" s="390"/>
      <c r="BWP5" s="390"/>
      <c r="BWQ5" s="390"/>
      <c r="BWR5" s="390"/>
      <c r="BWS5" s="390"/>
      <c r="BWT5" s="390"/>
      <c r="BWU5" s="390"/>
      <c r="BWV5" s="390"/>
      <c r="BWW5" s="390"/>
      <c r="BWX5" s="390"/>
      <c r="BWY5" s="390"/>
      <c r="BWZ5" s="390"/>
      <c r="BXA5" s="390"/>
      <c r="BXB5" s="390"/>
      <c r="BXC5" s="390"/>
      <c r="BXD5" s="390"/>
      <c r="BXE5" s="390"/>
      <c r="BXF5" s="390"/>
      <c r="BXG5" s="390"/>
      <c r="BXH5" s="390"/>
      <c r="BXI5" s="390"/>
      <c r="BXJ5" s="390"/>
      <c r="BXK5" s="390"/>
      <c r="BXL5" s="390"/>
      <c r="BXM5" s="390"/>
      <c r="BXN5" s="390"/>
      <c r="BXO5" s="390"/>
      <c r="BXP5" s="390"/>
      <c r="BXQ5" s="390"/>
      <c r="BXR5" s="390"/>
      <c r="BXS5" s="390"/>
      <c r="BXT5" s="390"/>
      <c r="BXU5" s="390"/>
      <c r="BXV5" s="390"/>
      <c r="BXW5" s="390"/>
      <c r="BXX5" s="390"/>
      <c r="BXY5" s="390"/>
      <c r="BXZ5" s="390"/>
      <c r="BYA5" s="390"/>
      <c r="BYB5" s="390"/>
      <c r="BYC5" s="390"/>
      <c r="BYD5" s="390"/>
      <c r="BYE5" s="390"/>
      <c r="BYF5" s="390"/>
      <c r="BYG5" s="390"/>
      <c r="BYH5" s="390"/>
      <c r="BYI5" s="390"/>
      <c r="BYJ5" s="390"/>
      <c r="BYK5" s="390"/>
      <c r="BYL5" s="390"/>
      <c r="BYM5" s="390"/>
      <c r="BYN5" s="390"/>
      <c r="BYO5" s="390"/>
      <c r="BYP5" s="390"/>
      <c r="BYQ5" s="390"/>
      <c r="BYR5" s="390"/>
      <c r="BYS5" s="390"/>
      <c r="BYT5" s="390"/>
      <c r="BYU5" s="390"/>
      <c r="BYV5" s="390"/>
      <c r="BYW5" s="390"/>
      <c r="BYX5" s="390"/>
      <c r="BYY5" s="390"/>
      <c r="BYZ5" s="390"/>
      <c r="BZA5" s="390"/>
      <c r="BZB5" s="390"/>
      <c r="BZC5" s="390"/>
      <c r="BZD5" s="390"/>
      <c r="BZE5" s="390"/>
      <c r="BZF5" s="390"/>
      <c r="BZG5" s="390"/>
      <c r="BZH5" s="390"/>
      <c r="BZI5" s="390"/>
      <c r="BZJ5" s="390"/>
      <c r="BZK5" s="390"/>
      <c r="BZL5" s="390"/>
      <c r="BZM5" s="390"/>
      <c r="BZN5" s="390"/>
      <c r="BZO5" s="390"/>
      <c r="BZP5" s="390"/>
      <c r="BZQ5" s="390"/>
      <c r="BZR5" s="390"/>
      <c r="BZS5" s="390"/>
      <c r="BZT5" s="390"/>
      <c r="BZU5" s="390"/>
      <c r="BZV5" s="390"/>
      <c r="BZW5" s="390"/>
      <c r="BZX5" s="390"/>
      <c r="BZY5" s="390"/>
      <c r="BZZ5" s="390"/>
      <c r="CAA5" s="390"/>
      <c r="CAB5" s="390"/>
      <c r="CAC5" s="390"/>
      <c r="CAD5" s="390"/>
      <c r="CAE5" s="390"/>
      <c r="CAF5" s="390"/>
      <c r="CAG5" s="390"/>
      <c r="CAH5" s="390"/>
      <c r="CAI5" s="390"/>
      <c r="CAJ5" s="390"/>
      <c r="CAK5" s="390"/>
      <c r="CAL5" s="390"/>
      <c r="CAM5" s="390"/>
      <c r="CAN5" s="390"/>
      <c r="CAO5" s="390"/>
      <c r="CAP5" s="390"/>
      <c r="CAQ5" s="390"/>
      <c r="CAR5" s="390"/>
      <c r="CAS5" s="390"/>
      <c r="CAT5" s="390"/>
      <c r="CAU5" s="390"/>
      <c r="CAV5" s="390"/>
      <c r="CAW5" s="390"/>
      <c r="CAX5" s="390"/>
      <c r="CAY5" s="390"/>
      <c r="CAZ5" s="390"/>
      <c r="CBA5" s="390"/>
      <c r="CBB5" s="390"/>
      <c r="CBC5" s="390"/>
      <c r="CBD5" s="390"/>
      <c r="CBE5" s="390"/>
      <c r="CBF5" s="390"/>
      <c r="CBG5" s="390"/>
      <c r="CBH5" s="390"/>
      <c r="CBI5" s="390"/>
      <c r="CBJ5" s="390"/>
      <c r="CBK5" s="390"/>
      <c r="CBL5" s="390"/>
      <c r="CBM5" s="390"/>
      <c r="CBN5" s="390"/>
      <c r="CBO5" s="390"/>
      <c r="CBP5" s="390"/>
      <c r="CBQ5" s="390"/>
      <c r="CBR5" s="390"/>
      <c r="CBS5" s="390"/>
      <c r="CBT5" s="390"/>
      <c r="CBU5" s="390"/>
      <c r="CBV5" s="390"/>
      <c r="CBW5" s="390"/>
      <c r="CBX5" s="390"/>
      <c r="CBY5" s="390"/>
      <c r="CBZ5" s="390"/>
      <c r="CCA5" s="390"/>
      <c r="CCB5" s="390"/>
      <c r="CCC5" s="390"/>
      <c r="CCD5" s="390"/>
      <c r="CCE5" s="390"/>
      <c r="CCF5" s="390"/>
      <c r="CCG5" s="390"/>
      <c r="CCH5" s="390"/>
      <c r="CCI5" s="390"/>
      <c r="CCJ5" s="390"/>
      <c r="CCK5" s="390"/>
      <c r="CCL5" s="390"/>
      <c r="CCM5" s="390"/>
      <c r="CCN5" s="390"/>
      <c r="CCO5" s="390"/>
      <c r="CCP5" s="390"/>
      <c r="CCQ5" s="390"/>
      <c r="CCR5" s="390"/>
      <c r="CCS5" s="390"/>
      <c r="CCT5" s="390"/>
      <c r="CCU5" s="390"/>
      <c r="CCV5" s="390"/>
      <c r="CCW5" s="390"/>
      <c r="CCX5" s="390"/>
      <c r="CCY5" s="390"/>
      <c r="CCZ5" s="390"/>
      <c r="CDA5" s="390"/>
      <c r="CDB5" s="390"/>
      <c r="CDC5" s="390"/>
      <c r="CDD5" s="390"/>
      <c r="CDE5" s="390"/>
      <c r="CDF5" s="390"/>
      <c r="CDG5" s="390"/>
      <c r="CDH5" s="390"/>
      <c r="CDI5" s="390"/>
      <c r="CDJ5" s="390"/>
      <c r="CDK5" s="390"/>
      <c r="CDL5" s="390"/>
      <c r="CDM5" s="390"/>
      <c r="CDN5" s="390"/>
      <c r="CDO5" s="390"/>
      <c r="CDP5" s="390"/>
      <c r="CDQ5" s="390"/>
      <c r="CDR5" s="390"/>
      <c r="CDS5" s="390"/>
      <c r="CDT5" s="390"/>
      <c r="CDU5" s="390"/>
      <c r="CDV5" s="390"/>
      <c r="CDW5" s="390"/>
      <c r="CDX5" s="390"/>
      <c r="CDY5" s="390"/>
      <c r="CDZ5" s="390"/>
      <c r="CEA5" s="390"/>
      <c r="CEB5" s="390"/>
      <c r="CEC5" s="390"/>
      <c r="CED5" s="390"/>
      <c r="CEE5" s="390"/>
      <c r="CEF5" s="390"/>
      <c r="CEG5" s="390"/>
      <c r="CEH5" s="390"/>
      <c r="CEI5" s="390"/>
      <c r="CEJ5" s="390"/>
      <c r="CEK5" s="390"/>
      <c r="CEL5" s="390"/>
      <c r="CEM5" s="390"/>
      <c r="CEN5" s="390"/>
      <c r="CEO5" s="390"/>
      <c r="CEP5" s="390"/>
      <c r="CEQ5" s="390"/>
      <c r="CER5" s="390"/>
      <c r="CES5" s="390"/>
      <c r="CET5" s="390"/>
      <c r="CEU5" s="390"/>
      <c r="CEV5" s="390"/>
      <c r="CEW5" s="390"/>
      <c r="CEX5" s="390"/>
      <c r="CEY5" s="390"/>
      <c r="CEZ5" s="390"/>
      <c r="CFA5" s="390"/>
      <c r="CFB5" s="390"/>
      <c r="CFC5" s="390"/>
      <c r="CFD5" s="390"/>
      <c r="CFE5" s="390"/>
      <c r="CFF5" s="390"/>
      <c r="CFG5" s="390"/>
      <c r="CFH5" s="390"/>
      <c r="CFI5" s="390"/>
      <c r="CFJ5" s="390"/>
      <c r="CFK5" s="390"/>
      <c r="CFL5" s="390"/>
      <c r="CFM5" s="390"/>
      <c r="CFN5" s="390"/>
      <c r="CFO5" s="390"/>
      <c r="CFP5" s="390"/>
      <c r="CFQ5" s="390"/>
      <c r="CFR5" s="390"/>
      <c r="CFS5" s="390"/>
      <c r="CFT5" s="390"/>
      <c r="CFU5" s="390"/>
      <c r="CFV5" s="390"/>
      <c r="CFW5" s="390"/>
      <c r="CFX5" s="390"/>
      <c r="CFY5" s="390"/>
      <c r="CFZ5" s="390"/>
      <c r="CGA5" s="390"/>
      <c r="CGB5" s="390"/>
      <c r="CGC5" s="390"/>
      <c r="CGD5" s="390"/>
      <c r="CGE5" s="390"/>
      <c r="CGF5" s="390"/>
      <c r="CGG5" s="390"/>
      <c r="CGH5" s="390"/>
      <c r="CGI5" s="390"/>
      <c r="CGJ5" s="390"/>
      <c r="CGK5" s="390"/>
      <c r="CGL5" s="390"/>
      <c r="CGM5" s="390"/>
      <c r="CGN5" s="390"/>
      <c r="CGO5" s="390"/>
      <c r="CGP5" s="390"/>
      <c r="CGQ5" s="390"/>
      <c r="CGR5" s="390"/>
      <c r="CGS5" s="390"/>
      <c r="CGT5" s="390"/>
      <c r="CGU5" s="390"/>
      <c r="CGV5" s="390"/>
      <c r="CGW5" s="390"/>
      <c r="CGX5" s="390"/>
      <c r="CGY5" s="390"/>
      <c r="CGZ5" s="390"/>
      <c r="CHA5" s="390"/>
      <c r="CHB5" s="390"/>
      <c r="CHC5" s="390"/>
      <c r="CHD5" s="390"/>
      <c r="CHE5" s="390"/>
      <c r="CHF5" s="390"/>
      <c r="CHG5" s="390"/>
      <c r="CHH5" s="390"/>
      <c r="CHI5" s="390"/>
      <c r="CHJ5" s="390"/>
      <c r="CHK5" s="390"/>
      <c r="CHL5" s="390"/>
      <c r="CHM5" s="390"/>
      <c r="CHN5" s="390"/>
      <c r="CHO5" s="390"/>
      <c r="CHP5" s="390"/>
      <c r="CHQ5" s="390"/>
      <c r="CHR5" s="390"/>
      <c r="CHS5" s="390"/>
      <c r="CHT5" s="390"/>
      <c r="CHU5" s="390"/>
      <c r="CHV5" s="390"/>
      <c r="CHW5" s="390"/>
      <c r="CHX5" s="390"/>
      <c r="CHY5" s="390"/>
      <c r="CHZ5" s="390"/>
      <c r="CIA5" s="390"/>
      <c r="CIB5" s="390"/>
      <c r="CIC5" s="390"/>
      <c r="CID5" s="390"/>
      <c r="CIE5" s="390"/>
      <c r="CIF5" s="390"/>
      <c r="CIG5" s="390"/>
      <c r="CIH5" s="390"/>
      <c r="CII5" s="390"/>
      <c r="CIJ5" s="390"/>
      <c r="CIK5" s="390"/>
      <c r="CIL5" s="390"/>
      <c r="CIM5" s="390"/>
      <c r="CIN5" s="390"/>
      <c r="CIO5" s="390"/>
      <c r="CIP5" s="390"/>
      <c r="CIQ5" s="390"/>
      <c r="CIR5" s="390"/>
      <c r="CIS5" s="390"/>
      <c r="CIT5" s="390"/>
      <c r="CIU5" s="390"/>
      <c r="CIV5" s="390"/>
      <c r="CIW5" s="390"/>
      <c r="CIX5" s="390"/>
      <c r="CIY5" s="390"/>
      <c r="CIZ5" s="390"/>
      <c r="CJA5" s="390"/>
      <c r="CJB5" s="390"/>
      <c r="CJC5" s="390"/>
      <c r="CJD5" s="390"/>
      <c r="CJE5" s="390"/>
      <c r="CJF5" s="390"/>
      <c r="CJG5" s="390"/>
      <c r="CJH5" s="390"/>
      <c r="CJI5" s="390"/>
      <c r="CJJ5" s="390"/>
      <c r="CJK5" s="390"/>
      <c r="CJL5" s="390"/>
      <c r="CJM5" s="390"/>
      <c r="CJN5" s="390"/>
      <c r="CJO5" s="390"/>
      <c r="CJP5" s="390"/>
      <c r="CJQ5" s="390"/>
      <c r="CJR5" s="390"/>
      <c r="CJS5" s="390"/>
      <c r="CJT5" s="390"/>
      <c r="CJU5" s="390"/>
      <c r="CJV5" s="390"/>
      <c r="CJW5" s="390"/>
      <c r="CJX5" s="390"/>
      <c r="CJY5" s="390"/>
      <c r="CJZ5" s="390"/>
      <c r="CKA5" s="390"/>
      <c r="CKB5" s="390"/>
      <c r="CKC5" s="390"/>
      <c r="CKD5" s="390"/>
      <c r="CKE5" s="390"/>
      <c r="CKF5" s="390"/>
      <c r="CKG5" s="390"/>
      <c r="CKH5" s="390"/>
      <c r="CKI5" s="390"/>
      <c r="CKJ5" s="390"/>
      <c r="CKK5" s="390"/>
      <c r="CKL5" s="390"/>
      <c r="CKM5" s="390"/>
      <c r="CKN5" s="390"/>
      <c r="CKO5" s="390"/>
      <c r="CKP5" s="390"/>
      <c r="CKQ5" s="390"/>
      <c r="CKR5" s="390"/>
      <c r="CKS5" s="390"/>
      <c r="CKT5" s="390"/>
      <c r="CKU5" s="390"/>
      <c r="CKV5" s="390"/>
      <c r="CKW5" s="390"/>
      <c r="CKX5" s="390"/>
      <c r="CKY5" s="390"/>
      <c r="CKZ5" s="390"/>
      <c r="CLA5" s="390"/>
      <c r="CLB5" s="390"/>
      <c r="CLC5" s="390"/>
      <c r="CLD5" s="390"/>
      <c r="CLE5" s="390"/>
      <c r="CLF5" s="390"/>
      <c r="CLG5" s="390"/>
      <c r="CLH5" s="390"/>
      <c r="CLI5" s="390"/>
      <c r="CLJ5" s="390"/>
      <c r="CLK5" s="390"/>
      <c r="CLL5" s="390"/>
      <c r="CLM5" s="390"/>
      <c r="CLN5" s="390"/>
      <c r="CLO5" s="390"/>
      <c r="CLP5" s="390"/>
      <c r="CLQ5" s="390"/>
      <c r="CLR5" s="390"/>
      <c r="CLS5" s="390"/>
      <c r="CLT5" s="390"/>
      <c r="CLU5" s="390"/>
      <c r="CLV5" s="390"/>
      <c r="CLW5" s="390"/>
      <c r="CLX5" s="390"/>
      <c r="CLY5" s="390"/>
      <c r="CLZ5" s="390"/>
      <c r="CMA5" s="390"/>
      <c r="CMB5" s="390"/>
      <c r="CMC5" s="390"/>
      <c r="CMD5" s="390"/>
      <c r="CME5" s="390"/>
      <c r="CMF5" s="390"/>
      <c r="CMG5" s="390"/>
      <c r="CMH5" s="390"/>
      <c r="CMI5" s="390"/>
      <c r="CMJ5" s="390"/>
      <c r="CMK5" s="390"/>
      <c r="CML5" s="390"/>
      <c r="CMM5" s="390"/>
      <c r="CMN5" s="390"/>
      <c r="CMO5" s="390"/>
      <c r="CMP5" s="390"/>
      <c r="CMQ5" s="390"/>
      <c r="CMR5" s="390"/>
      <c r="CMS5" s="390"/>
      <c r="CMT5" s="390"/>
      <c r="CMU5" s="390"/>
      <c r="CMV5" s="390"/>
      <c r="CMW5" s="390"/>
      <c r="CMX5" s="390"/>
      <c r="CMY5" s="390"/>
      <c r="CMZ5" s="390"/>
      <c r="CNA5" s="390"/>
      <c r="CNB5" s="390"/>
      <c r="CNC5" s="390"/>
      <c r="CND5" s="390"/>
      <c r="CNE5" s="390"/>
      <c r="CNF5" s="390"/>
      <c r="CNG5" s="390"/>
      <c r="CNH5" s="390"/>
      <c r="CNI5" s="390"/>
      <c r="CNJ5" s="390"/>
      <c r="CNK5" s="390"/>
      <c r="CNL5" s="390"/>
      <c r="CNM5" s="390"/>
      <c r="CNN5" s="390"/>
      <c r="CNO5" s="390"/>
      <c r="CNP5" s="390"/>
      <c r="CNQ5" s="390"/>
      <c r="CNR5" s="390"/>
      <c r="CNS5" s="390"/>
      <c r="CNT5" s="390"/>
      <c r="CNU5" s="390"/>
      <c r="CNV5" s="390"/>
      <c r="CNW5" s="390"/>
      <c r="CNX5" s="390"/>
      <c r="CNY5" s="390"/>
      <c r="CNZ5" s="390"/>
      <c r="COA5" s="390"/>
      <c r="COB5" s="390"/>
      <c r="COC5" s="390"/>
      <c r="COD5" s="390"/>
      <c r="COE5" s="390"/>
      <c r="COF5" s="390"/>
      <c r="COG5" s="390"/>
      <c r="COH5" s="390"/>
      <c r="COI5" s="390"/>
      <c r="COJ5" s="390"/>
      <c r="COK5" s="390"/>
      <c r="COL5" s="390"/>
      <c r="COM5" s="390"/>
      <c r="CON5" s="390"/>
      <c r="COO5" s="390"/>
      <c r="COP5" s="390"/>
      <c r="COQ5" s="390"/>
      <c r="COR5" s="390"/>
      <c r="COS5" s="390"/>
      <c r="COT5" s="390"/>
      <c r="COU5" s="390"/>
      <c r="COV5" s="390"/>
      <c r="COW5" s="390"/>
      <c r="COX5" s="390"/>
      <c r="COY5" s="390"/>
      <c r="COZ5" s="390"/>
      <c r="CPA5" s="390"/>
      <c r="CPB5" s="390"/>
      <c r="CPC5" s="390"/>
      <c r="CPD5" s="390"/>
      <c r="CPE5" s="390"/>
      <c r="CPF5" s="390"/>
      <c r="CPG5" s="390"/>
      <c r="CPH5" s="390"/>
      <c r="CPI5" s="390"/>
      <c r="CPJ5" s="390"/>
      <c r="CPK5" s="390"/>
      <c r="CPL5" s="390"/>
      <c r="CPM5" s="390"/>
      <c r="CPN5" s="390"/>
      <c r="CPO5" s="390"/>
      <c r="CPP5" s="390"/>
      <c r="CPQ5" s="390"/>
      <c r="CPR5" s="390"/>
      <c r="CPS5" s="390"/>
      <c r="CPT5" s="390"/>
      <c r="CPU5" s="390"/>
      <c r="CPV5" s="390"/>
      <c r="CPW5" s="390"/>
      <c r="CPX5" s="390"/>
      <c r="CPY5" s="390"/>
      <c r="CPZ5" s="390"/>
      <c r="CQA5" s="390"/>
      <c r="CQB5" s="390"/>
      <c r="CQC5" s="390"/>
      <c r="CQD5" s="390"/>
      <c r="CQE5" s="390"/>
      <c r="CQF5" s="390"/>
      <c r="CQG5" s="390"/>
      <c r="CQH5" s="390"/>
      <c r="CQI5" s="390"/>
      <c r="CQJ5" s="390"/>
      <c r="CQK5" s="390"/>
      <c r="CQL5" s="390"/>
      <c r="CQM5" s="390"/>
      <c r="CQN5" s="390"/>
      <c r="CQO5" s="390"/>
      <c r="CQP5" s="390"/>
      <c r="CQQ5" s="390"/>
      <c r="CQR5" s="390"/>
      <c r="CQS5" s="390"/>
      <c r="CQT5" s="390"/>
      <c r="CQU5" s="390"/>
      <c r="CQV5" s="390"/>
      <c r="CQW5" s="390"/>
      <c r="CQX5" s="390"/>
      <c r="CQY5" s="390"/>
      <c r="CQZ5" s="390"/>
      <c r="CRA5" s="390"/>
      <c r="CRB5" s="390"/>
      <c r="CRC5" s="390"/>
      <c r="CRD5" s="390"/>
      <c r="CRE5" s="390"/>
      <c r="CRF5" s="390"/>
      <c r="CRG5" s="390"/>
      <c r="CRH5" s="390"/>
      <c r="CRI5" s="390"/>
      <c r="CRJ5" s="390"/>
      <c r="CRK5" s="390"/>
      <c r="CRL5" s="390"/>
      <c r="CRM5" s="390"/>
      <c r="CRN5" s="390"/>
      <c r="CRO5" s="390"/>
      <c r="CRP5" s="390"/>
      <c r="CRQ5" s="390"/>
      <c r="CRR5" s="390"/>
      <c r="CRS5" s="390"/>
      <c r="CRT5" s="390"/>
      <c r="CRU5" s="390"/>
      <c r="CRV5" s="390"/>
      <c r="CRW5" s="390"/>
      <c r="CRX5" s="390"/>
      <c r="CRY5" s="390"/>
      <c r="CRZ5" s="390"/>
      <c r="CSA5" s="390"/>
      <c r="CSB5" s="390"/>
      <c r="CSC5" s="390"/>
      <c r="CSD5" s="390"/>
      <c r="CSE5" s="390"/>
      <c r="CSF5" s="390"/>
      <c r="CSG5" s="390"/>
      <c r="CSH5" s="390"/>
      <c r="CSI5" s="390"/>
      <c r="CSJ5" s="390"/>
      <c r="CSK5" s="390"/>
      <c r="CSL5" s="390"/>
      <c r="CSM5" s="390"/>
      <c r="CSN5" s="390"/>
      <c r="CSO5" s="390"/>
      <c r="CSP5" s="390"/>
      <c r="CSQ5" s="390"/>
      <c r="CSR5" s="390"/>
      <c r="CSS5" s="390"/>
      <c r="CST5" s="390"/>
      <c r="CSU5" s="390"/>
      <c r="CSV5" s="390"/>
      <c r="CSW5" s="390"/>
      <c r="CSX5" s="390"/>
      <c r="CSY5" s="390"/>
      <c r="CSZ5" s="390"/>
      <c r="CTA5" s="390"/>
      <c r="CTB5" s="390"/>
      <c r="CTC5" s="390"/>
      <c r="CTD5" s="390"/>
      <c r="CTE5" s="390"/>
      <c r="CTF5" s="390"/>
      <c r="CTG5" s="390"/>
      <c r="CTH5" s="390"/>
      <c r="CTI5" s="390"/>
      <c r="CTJ5" s="390"/>
      <c r="CTK5" s="390"/>
      <c r="CTL5" s="390"/>
      <c r="CTM5" s="390"/>
      <c r="CTN5" s="390"/>
      <c r="CTO5" s="390"/>
      <c r="CTP5" s="390"/>
      <c r="CTQ5" s="390"/>
      <c r="CTR5" s="390"/>
      <c r="CTS5" s="390"/>
      <c r="CTT5" s="390"/>
      <c r="CTU5" s="390"/>
      <c r="CTV5" s="390"/>
      <c r="CTW5" s="390"/>
      <c r="CTX5" s="390"/>
      <c r="CTY5" s="390"/>
      <c r="CTZ5" s="390"/>
      <c r="CUA5" s="390"/>
      <c r="CUB5" s="390"/>
      <c r="CUC5" s="390"/>
      <c r="CUD5" s="390"/>
      <c r="CUE5" s="390"/>
      <c r="CUF5" s="390"/>
      <c r="CUG5" s="390"/>
      <c r="CUH5" s="390"/>
      <c r="CUI5" s="390"/>
      <c r="CUJ5" s="390"/>
      <c r="CUK5" s="390"/>
      <c r="CUL5" s="390"/>
      <c r="CUM5" s="390"/>
      <c r="CUN5" s="390"/>
      <c r="CUO5" s="390"/>
      <c r="CUP5" s="390"/>
      <c r="CUQ5" s="390"/>
      <c r="CUR5" s="390"/>
      <c r="CUS5" s="390"/>
      <c r="CUT5" s="390"/>
      <c r="CUU5" s="390"/>
      <c r="CUV5" s="390"/>
      <c r="CUW5" s="390"/>
      <c r="CUX5" s="390"/>
      <c r="CUY5" s="390"/>
      <c r="CUZ5" s="390"/>
      <c r="CVA5" s="390"/>
      <c r="CVB5" s="390"/>
      <c r="CVC5" s="390"/>
      <c r="CVD5" s="390"/>
      <c r="CVE5" s="390"/>
      <c r="CVF5" s="390"/>
      <c r="CVG5" s="390"/>
      <c r="CVH5" s="390"/>
      <c r="CVI5" s="390"/>
      <c r="CVJ5" s="390"/>
      <c r="CVK5" s="390"/>
      <c r="CVL5" s="390"/>
      <c r="CVM5" s="390"/>
      <c r="CVN5" s="390"/>
      <c r="CVO5" s="390"/>
      <c r="CVP5" s="390"/>
      <c r="CVQ5" s="390"/>
      <c r="CVR5" s="390"/>
      <c r="CVS5" s="390"/>
      <c r="CVT5" s="390"/>
      <c r="CVU5" s="390"/>
      <c r="CVV5" s="390"/>
      <c r="CVW5" s="390"/>
      <c r="CVX5" s="390"/>
      <c r="CVY5" s="390"/>
      <c r="CVZ5" s="390"/>
      <c r="CWA5" s="390"/>
      <c r="CWB5" s="390"/>
      <c r="CWC5" s="390"/>
      <c r="CWD5" s="390"/>
      <c r="CWE5" s="390"/>
      <c r="CWF5" s="390"/>
      <c r="CWG5" s="390"/>
      <c r="CWH5" s="390"/>
      <c r="CWI5" s="390"/>
      <c r="CWJ5" s="390"/>
      <c r="CWK5" s="390"/>
      <c r="CWL5" s="390"/>
      <c r="CWM5" s="390"/>
      <c r="CWN5" s="390"/>
      <c r="CWO5" s="390"/>
      <c r="CWP5" s="390"/>
      <c r="CWQ5" s="390"/>
      <c r="CWR5" s="390"/>
      <c r="CWS5" s="390"/>
      <c r="CWT5" s="390"/>
      <c r="CWU5" s="390"/>
      <c r="CWV5" s="390"/>
      <c r="CWW5" s="390"/>
      <c r="CWX5" s="390"/>
      <c r="CWY5" s="390"/>
      <c r="CWZ5" s="390"/>
      <c r="CXA5" s="390"/>
      <c r="CXB5" s="390"/>
      <c r="CXC5" s="390"/>
      <c r="CXD5" s="390"/>
      <c r="CXE5" s="390"/>
      <c r="CXF5" s="390"/>
      <c r="CXG5" s="390"/>
      <c r="CXH5" s="390"/>
      <c r="CXI5" s="390"/>
      <c r="CXJ5" s="390"/>
      <c r="CXK5" s="390"/>
      <c r="CXL5" s="390"/>
      <c r="CXM5" s="390"/>
      <c r="CXN5" s="390"/>
      <c r="CXO5" s="390"/>
      <c r="CXP5" s="390"/>
      <c r="CXQ5" s="390"/>
      <c r="CXR5" s="390"/>
      <c r="CXS5" s="390"/>
      <c r="CXT5" s="390"/>
      <c r="CXU5" s="390"/>
      <c r="CXV5" s="390"/>
      <c r="CXW5" s="390"/>
      <c r="CXX5" s="390"/>
      <c r="CXY5" s="390"/>
      <c r="CXZ5" s="390"/>
      <c r="CYA5" s="390"/>
      <c r="CYB5" s="390"/>
      <c r="CYC5" s="390"/>
      <c r="CYD5" s="390"/>
      <c r="CYE5" s="390"/>
      <c r="CYF5" s="390"/>
      <c r="CYG5" s="390"/>
      <c r="CYH5" s="390"/>
      <c r="CYI5" s="390"/>
      <c r="CYJ5" s="390"/>
      <c r="CYK5" s="390"/>
      <c r="CYL5" s="390"/>
      <c r="CYM5" s="390"/>
      <c r="CYN5" s="390"/>
      <c r="CYO5" s="390"/>
      <c r="CYP5" s="390"/>
      <c r="CYQ5" s="390"/>
      <c r="CYR5" s="390"/>
      <c r="CYS5" s="390"/>
      <c r="CYT5" s="390"/>
      <c r="CYU5" s="390"/>
      <c r="CYV5" s="390"/>
      <c r="CYW5" s="390"/>
      <c r="CYX5" s="390"/>
      <c r="CYY5" s="390"/>
      <c r="CYZ5" s="390"/>
      <c r="CZA5" s="390"/>
      <c r="CZB5" s="390"/>
      <c r="CZC5" s="390"/>
      <c r="CZD5" s="390"/>
      <c r="CZE5" s="390"/>
      <c r="CZF5" s="390"/>
      <c r="CZG5" s="390"/>
      <c r="CZH5" s="390"/>
      <c r="CZI5" s="390"/>
      <c r="CZJ5" s="390"/>
      <c r="CZK5" s="390"/>
      <c r="CZL5" s="390"/>
      <c r="CZM5" s="390"/>
      <c r="CZN5" s="390"/>
      <c r="CZO5" s="390"/>
      <c r="CZP5" s="390"/>
      <c r="CZQ5" s="390"/>
      <c r="CZR5" s="390"/>
      <c r="CZS5" s="390"/>
      <c r="CZT5" s="390"/>
      <c r="CZU5" s="390"/>
      <c r="CZV5" s="390"/>
      <c r="CZW5" s="390"/>
      <c r="CZX5" s="390"/>
      <c r="CZY5" s="390"/>
      <c r="CZZ5" s="390"/>
      <c r="DAA5" s="390"/>
      <c r="DAB5" s="390"/>
      <c r="DAC5" s="390"/>
      <c r="DAD5" s="390"/>
      <c r="DAE5" s="390"/>
      <c r="DAF5" s="390"/>
      <c r="DAG5" s="390"/>
      <c r="DAH5" s="390"/>
      <c r="DAI5" s="390"/>
      <c r="DAJ5" s="390"/>
      <c r="DAK5" s="390"/>
      <c r="DAL5" s="390"/>
      <c r="DAM5" s="390"/>
      <c r="DAN5" s="390"/>
      <c r="DAO5" s="390"/>
      <c r="DAP5" s="390"/>
      <c r="DAQ5" s="390"/>
      <c r="DAR5" s="390"/>
      <c r="DAS5" s="390"/>
      <c r="DAT5" s="390"/>
      <c r="DAU5" s="390"/>
      <c r="DAV5" s="390"/>
      <c r="DAW5" s="390"/>
      <c r="DAX5" s="390"/>
      <c r="DAY5" s="390"/>
      <c r="DAZ5" s="390"/>
      <c r="DBA5" s="390"/>
      <c r="DBB5" s="390"/>
      <c r="DBC5" s="390"/>
      <c r="DBD5" s="390"/>
      <c r="DBE5" s="390"/>
      <c r="DBF5" s="390"/>
      <c r="DBG5" s="390"/>
      <c r="DBH5" s="390"/>
      <c r="DBI5" s="390"/>
      <c r="DBJ5" s="390"/>
      <c r="DBK5" s="390"/>
      <c r="DBL5" s="390"/>
      <c r="DBM5" s="390"/>
      <c r="DBN5" s="390"/>
      <c r="DBO5" s="390"/>
      <c r="DBP5" s="390"/>
      <c r="DBQ5" s="390"/>
      <c r="DBR5" s="390"/>
      <c r="DBS5" s="390"/>
      <c r="DBT5" s="390"/>
      <c r="DBU5" s="390"/>
      <c r="DBV5" s="390"/>
      <c r="DBW5" s="390"/>
      <c r="DBX5" s="390"/>
      <c r="DBY5" s="390"/>
      <c r="DBZ5" s="390"/>
      <c r="DCA5" s="390"/>
      <c r="DCB5" s="390"/>
      <c r="DCC5" s="390"/>
      <c r="DCD5" s="390"/>
      <c r="DCE5" s="390"/>
      <c r="DCF5" s="390"/>
      <c r="DCG5" s="390"/>
      <c r="DCH5" s="390"/>
      <c r="DCI5" s="390"/>
      <c r="DCJ5" s="390"/>
      <c r="DCK5" s="390"/>
      <c r="DCL5" s="390"/>
      <c r="DCM5" s="390"/>
      <c r="DCN5" s="390"/>
      <c r="DCO5" s="390"/>
      <c r="DCP5" s="390"/>
      <c r="DCQ5" s="390"/>
      <c r="DCR5" s="390"/>
      <c r="DCS5" s="390"/>
      <c r="DCT5" s="390"/>
      <c r="DCU5" s="390"/>
      <c r="DCV5" s="390"/>
      <c r="DCW5" s="390"/>
      <c r="DCX5" s="390"/>
      <c r="DCY5" s="390"/>
      <c r="DCZ5" s="390"/>
      <c r="DDA5" s="390"/>
      <c r="DDB5" s="390"/>
      <c r="DDC5" s="390"/>
      <c r="DDD5" s="390"/>
      <c r="DDE5" s="390"/>
      <c r="DDF5" s="390"/>
      <c r="DDG5" s="390"/>
      <c r="DDH5" s="390"/>
      <c r="DDI5" s="390"/>
      <c r="DDJ5" s="390"/>
      <c r="DDK5" s="390"/>
      <c r="DDL5" s="390"/>
      <c r="DDM5" s="390"/>
      <c r="DDN5" s="390"/>
      <c r="DDO5" s="390"/>
      <c r="DDP5" s="390"/>
      <c r="DDQ5" s="390"/>
      <c r="DDR5" s="390"/>
      <c r="DDS5" s="390"/>
      <c r="DDT5" s="390"/>
      <c r="DDU5" s="390"/>
      <c r="DDV5" s="390"/>
      <c r="DDW5" s="390"/>
      <c r="DDX5" s="390"/>
      <c r="DDY5" s="390"/>
      <c r="DDZ5" s="390"/>
      <c r="DEA5" s="390"/>
      <c r="DEB5" s="390"/>
      <c r="DEC5" s="390"/>
      <c r="DED5" s="390"/>
      <c r="DEE5" s="390"/>
      <c r="DEF5" s="390"/>
      <c r="DEG5" s="390"/>
      <c r="DEH5" s="390"/>
      <c r="DEI5" s="390"/>
      <c r="DEJ5" s="390"/>
      <c r="DEK5" s="390"/>
      <c r="DEL5" s="390"/>
      <c r="DEM5" s="390"/>
      <c r="DEN5" s="390"/>
      <c r="DEO5" s="390"/>
      <c r="DEP5" s="390"/>
      <c r="DEQ5" s="390"/>
      <c r="DER5" s="390"/>
      <c r="DES5" s="390"/>
      <c r="DET5" s="390"/>
      <c r="DEU5" s="390"/>
      <c r="DEV5" s="390"/>
      <c r="DEW5" s="390"/>
      <c r="DEX5" s="390"/>
      <c r="DEY5" s="390"/>
      <c r="DEZ5" s="390"/>
      <c r="DFA5" s="390"/>
      <c r="DFB5" s="390"/>
      <c r="DFC5" s="390"/>
      <c r="DFD5" s="390"/>
      <c r="DFE5" s="390"/>
      <c r="DFF5" s="390"/>
      <c r="DFG5" s="390"/>
      <c r="DFH5" s="390"/>
      <c r="DFI5" s="390"/>
      <c r="DFJ5" s="390"/>
      <c r="DFK5" s="390"/>
      <c r="DFL5" s="390"/>
      <c r="DFM5" s="390"/>
      <c r="DFN5" s="390"/>
      <c r="DFO5" s="390"/>
      <c r="DFP5" s="390"/>
      <c r="DFQ5" s="390"/>
      <c r="DFR5" s="390"/>
      <c r="DFS5" s="390"/>
      <c r="DFT5" s="390"/>
      <c r="DFU5" s="390"/>
      <c r="DFV5" s="390"/>
      <c r="DFW5" s="390"/>
      <c r="DFX5" s="390"/>
      <c r="DFY5" s="390"/>
      <c r="DFZ5" s="390"/>
      <c r="DGA5" s="390"/>
      <c r="DGB5" s="390"/>
      <c r="DGC5" s="390"/>
      <c r="DGD5" s="390"/>
      <c r="DGE5" s="390"/>
      <c r="DGF5" s="390"/>
      <c r="DGG5" s="390"/>
      <c r="DGH5" s="390"/>
      <c r="DGI5" s="390"/>
      <c r="DGJ5" s="390"/>
      <c r="DGK5" s="390"/>
      <c r="DGL5" s="390"/>
      <c r="DGM5" s="390"/>
      <c r="DGN5" s="390"/>
      <c r="DGO5" s="390"/>
      <c r="DGP5" s="390"/>
      <c r="DGQ5" s="390"/>
      <c r="DGR5" s="390"/>
      <c r="DGS5" s="390"/>
      <c r="DGT5" s="390"/>
      <c r="DGU5" s="390"/>
      <c r="DGV5" s="390"/>
      <c r="DGW5" s="390"/>
      <c r="DGX5" s="390"/>
      <c r="DGY5" s="390"/>
      <c r="DGZ5" s="390"/>
      <c r="DHA5" s="390"/>
      <c r="DHB5" s="390"/>
      <c r="DHC5" s="390"/>
      <c r="DHD5" s="390"/>
      <c r="DHE5" s="390"/>
      <c r="DHF5" s="390"/>
      <c r="DHG5" s="390"/>
      <c r="DHH5" s="390"/>
      <c r="DHI5" s="390"/>
      <c r="DHJ5" s="390"/>
      <c r="DHK5" s="390"/>
      <c r="DHL5" s="390"/>
      <c r="DHM5" s="390"/>
      <c r="DHN5" s="390"/>
      <c r="DHO5" s="390"/>
      <c r="DHP5" s="390"/>
      <c r="DHQ5" s="390"/>
      <c r="DHR5" s="390"/>
      <c r="DHS5" s="390"/>
      <c r="DHT5" s="390"/>
      <c r="DHU5" s="390"/>
      <c r="DHV5" s="390"/>
      <c r="DHW5" s="390"/>
      <c r="DHX5" s="390"/>
      <c r="DHY5" s="390"/>
      <c r="DHZ5" s="390"/>
      <c r="DIA5" s="390"/>
      <c r="DIB5" s="390"/>
      <c r="DIC5" s="390"/>
      <c r="DID5" s="390"/>
      <c r="DIE5" s="390"/>
      <c r="DIF5" s="390"/>
      <c r="DIG5" s="390"/>
      <c r="DIH5" s="390"/>
      <c r="DII5" s="390"/>
      <c r="DIJ5" s="390"/>
      <c r="DIK5" s="390"/>
      <c r="DIL5" s="390"/>
      <c r="DIM5" s="390"/>
      <c r="DIN5" s="390"/>
      <c r="DIO5" s="390"/>
      <c r="DIP5" s="390"/>
      <c r="DIQ5" s="390"/>
      <c r="DIR5" s="390"/>
      <c r="DIS5" s="390"/>
      <c r="DIT5" s="390"/>
      <c r="DIU5" s="390"/>
      <c r="DIV5" s="390"/>
      <c r="DIW5" s="390"/>
      <c r="DIX5" s="390"/>
      <c r="DIY5" s="390"/>
      <c r="DIZ5" s="390"/>
      <c r="DJA5" s="390"/>
      <c r="DJB5" s="390"/>
      <c r="DJC5" s="390"/>
      <c r="DJD5" s="390"/>
      <c r="DJE5" s="390"/>
      <c r="DJF5" s="390"/>
      <c r="DJG5" s="390"/>
      <c r="DJH5" s="390"/>
      <c r="DJI5" s="390"/>
      <c r="DJJ5" s="390"/>
      <c r="DJK5" s="390"/>
      <c r="DJL5" s="390"/>
      <c r="DJM5" s="390"/>
      <c r="DJN5" s="390"/>
      <c r="DJO5" s="390"/>
      <c r="DJP5" s="390"/>
      <c r="DJQ5" s="390"/>
      <c r="DJR5" s="390"/>
      <c r="DJS5" s="390"/>
      <c r="DJT5" s="390"/>
      <c r="DJU5" s="390"/>
      <c r="DJV5" s="390"/>
      <c r="DJW5" s="390"/>
      <c r="DJX5" s="390"/>
      <c r="DJY5" s="390"/>
      <c r="DJZ5" s="390"/>
      <c r="DKA5" s="390"/>
      <c r="DKB5" s="390"/>
      <c r="DKC5" s="390"/>
      <c r="DKD5" s="390"/>
      <c r="DKE5" s="390"/>
      <c r="DKF5" s="390"/>
      <c r="DKG5" s="390"/>
      <c r="DKH5" s="390"/>
      <c r="DKI5" s="390"/>
      <c r="DKJ5" s="390"/>
      <c r="DKK5" s="390"/>
      <c r="DKL5" s="390"/>
      <c r="DKM5" s="390"/>
      <c r="DKN5" s="390"/>
      <c r="DKO5" s="390"/>
      <c r="DKP5" s="390"/>
      <c r="DKQ5" s="390"/>
      <c r="DKR5" s="390"/>
      <c r="DKS5" s="390"/>
      <c r="DKT5" s="390"/>
      <c r="DKU5" s="390"/>
      <c r="DKV5" s="390"/>
      <c r="DKW5" s="390"/>
      <c r="DKX5" s="390"/>
      <c r="DKY5" s="390"/>
      <c r="DKZ5" s="390"/>
      <c r="DLA5" s="390"/>
      <c r="DLB5" s="390"/>
      <c r="DLC5" s="390"/>
      <c r="DLD5" s="390"/>
      <c r="DLE5" s="390"/>
      <c r="DLF5" s="390"/>
      <c r="DLG5" s="390"/>
      <c r="DLH5" s="390"/>
      <c r="DLI5" s="390"/>
      <c r="DLJ5" s="390"/>
      <c r="DLK5" s="390"/>
      <c r="DLL5" s="390"/>
      <c r="DLM5" s="390"/>
      <c r="DLN5" s="390"/>
      <c r="DLO5" s="390"/>
      <c r="DLP5" s="390"/>
      <c r="DLQ5" s="390"/>
      <c r="DLR5" s="390"/>
      <c r="DLS5" s="390"/>
      <c r="DLT5" s="390"/>
      <c r="DLU5" s="390"/>
      <c r="DLV5" s="390"/>
      <c r="DLW5" s="390"/>
      <c r="DLX5" s="390"/>
      <c r="DLY5" s="390"/>
      <c r="DLZ5" s="390"/>
      <c r="DMA5" s="390"/>
      <c r="DMB5" s="390"/>
      <c r="DMC5" s="390"/>
      <c r="DMD5" s="390"/>
      <c r="DME5" s="390"/>
      <c r="DMF5" s="390"/>
      <c r="DMG5" s="390"/>
      <c r="DMH5" s="390"/>
      <c r="DMI5" s="390"/>
      <c r="DMJ5" s="390"/>
      <c r="DMK5" s="390"/>
      <c r="DML5" s="390"/>
      <c r="DMM5" s="390"/>
      <c r="DMN5" s="390"/>
      <c r="DMO5" s="390"/>
      <c r="DMP5" s="390"/>
      <c r="DMQ5" s="390"/>
      <c r="DMR5" s="390"/>
      <c r="DMS5" s="390"/>
      <c r="DMT5" s="390"/>
      <c r="DMU5" s="390"/>
      <c r="DMV5" s="390"/>
      <c r="DMW5" s="390"/>
      <c r="DMX5" s="390"/>
      <c r="DMY5" s="390"/>
      <c r="DMZ5" s="390"/>
      <c r="DNA5" s="390"/>
      <c r="DNB5" s="390"/>
      <c r="DNC5" s="390"/>
      <c r="DND5" s="390"/>
      <c r="DNE5" s="390"/>
      <c r="DNF5" s="390"/>
      <c r="DNG5" s="390"/>
      <c r="DNH5" s="390"/>
      <c r="DNI5" s="390"/>
      <c r="DNJ5" s="390"/>
      <c r="DNK5" s="390"/>
      <c r="DNL5" s="390"/>
      <c r="DNM5" s="390"/>
      <c r="DNN5" s="390"/>
      <c r="DNO5" s="390"/>
      <c r="DNP5" s="390"/>
      <c r="DNQ5" s="390"/>
      <c r="DNR5" s="390"/>
      <c r="DNS5" s="390"/>
      <c r="DNT5" s="390"/>
      <c r="DNU5" s="390"/>
      <c r="DNV5" s="390"/>
      <c r="DNW5" s="390"/>
      <c r="DNX5" s="390"/>
      <c r="DNY5" s="390"/>
      <c r="DNZ5" s="390"/>
      <c r="DOA5" s="390"/>
      <c r="DOB5" s="390"/>
      <c r="DOC5" s="390"/>
      <c r="DOD5" s="390"/>
      <c r="DOE5" s="390"/>
      <c r="DOF5" s="390"/>
      <c r="DOG5" s="390"/>
      <c r="DOH5" s="390"/>
      <c r="DOI5" s="390"/>
      <c r="DOJ5" s="390"/>
      <c r="DOK5" s="390"/>
      <c r="DOL5" s="390"/>
      <c r="DOM5" s="390"/>
      <c r="DON5" s="390"/>
      <c r="DOO5" s="390"/>
      <c r="DOP5" s="390"/>
      <c r="DOQ5" s="390"/>
      <c r="DOR5" s="390"/>
      <c r="DOS5" s="390"/>
      <c r="DOT5" s="390"/>
      <c r="DOU5" s="390"/>
      <c r="DOV5" s="390"/>
      <c r="DOW5" s="390"/>
      <c r="DOX5" s="390"/>
      <c r="DOY5" s="390"/>
      <c r="DOZ5" s="390"/>
      <c r="DPA5" s="390"/>
      <c r="DPB5" s="390"/>
      <c r="DPC5" s="390"/>
      <c r="DPD5" s="390"/>
      <c r="DPE5" s="390"/>
      <c r="DPF5" s="390"/>
      <c r="DPG5" s="390"/>
      <c r="DPH5" s="390"/>
      <c r="DPI5" s="390"/>
      <c r="DPJ5" s="390"/>
      <c r="DPK5" s="390"/>
      <c r="DPL5" s="390"/>
      <c r="DPM5" s="390"/>
      <c r="DPN5" s="390"/>
      <c r="DPO5" s="390"/>
      <c r="DPP5" s="390"/>
      <c r="DPQ5" s="390"/>
      <c r="DPR5" s="390"/>
      <c r="DPS5" s="390"/>
      <c r="DPT5" s="390"/>
      <c r="DPU5" s="390"/>
      <c r="DPV5" s="390"/>
      <c r="DPW5" s="390"/>
      <c r="DPX5" s="390"/>
      <c r="DPY5" s="390"/>
      <c r="DPZ5" s="390"/>
      <c r="DQA5" s="390"/>
      <c r="DQB5" s="390"/>
      <c r="DQC5" s="390"/>
      <c r="DQD5" s="390"/>
      <c r="DQE5" s="390"/>
      <c r="DQF5" s="390"/>
      <c r="DQG5" s="390"/>
      <c r="DQH5" s="390"/>
      <c r="DQI5" s="390"/>
      <c r="DQJ5" s="390"/>
      <c r="DQK5" s="390"/>
      <c r="DQL5" s="390"/>
      <c r="DQM5" s="390"/>
      <c r="DQN5" s="390"/>
      <c r="DQO5" s="390"/>
      <c r="DQP5" s="390"/>
      <c r="DQQ5" s="390"/>
      <c r="DQR5" s="390"/>
      <c r="DQS5" s="390"/>
      <c r="DQT5" s="390"/>
      <c r="DQU5" s="390"/>
      <c r="DQV5" s="390"/>
      <c r="DQW5" s="390"/>
      <c r="DQX5" s="390"/>
      <c r="DQY5" s="390"/>
      <c r="DQZ5" s="390"/>
      <c r="DRA5" s="390"/>
      <c r="DRB5" s="390"/>
      <c r="DRC5" s="390"/>
      <c r="DRD5" s="390"/>
      <c r="DRE5" s="390"/>
      <c r="DRF5" s="390"/>
      <c r="DRG5" s="390"/>
      <c r="DRH5" s="390"/>
      <c r="DRI5" s="390"/>
      <c r="DRJ5" s="390"/>
      <c r="DRK5" s="390"/>
      <c r="DRL5" s="390"/>
      <c r="DRM5" s="390"/>
      <c r="DRN5" s="390"/>
      <c r="DRO5" s="390"/>
      <c r="DRP5" s="390"/>
      <c r="DRQ5" s="390"/>
      <c r="DRR5" s="390"/>
      <c r="DRS5" s="390"/>
      <c r="DRT5" s="390"/>
      <c r="DRU5" s="390"/>
      <c r="DRV5" s="390"/>
      <c r="DRW5" s="390"/>
      <c r="DRX5" s="390"/>
      <c r="DRY5" s="390"/>
      <c r="DRZ5" s="390"/>
      <c r="DSA5" s="390"/>
      <c r="DSB5" s="390"/>
      <c r="DSC5" s="390"/>
      <c r="DSD5" s="390"/>
      <c r="DSE5" s="390"/>
      <c r="DSF5" s="390"/>
      <c r="DSG5" s="390"/>
      <c r="DSH5" s="390"/>
      <c r="DSI5" s="390"/>
      <c r="DSJ5" s="390"/>
      <c r="DSK5" s="390"/>
      <c r="DSL5" s="390"/>
      <c r="DSM5" s="390"/>
      <c r="DSN5" s="390"/>
      <c r="DSO5" s="390"/>
      <c r="DSP5" s="390"/>
      <c r="DSQ5" s="390"/>
      <c r="DSR5" s="390"/>
      <c r="DSS5" s="390"/>
      <c r="DST5" s="390"/>
      <c r="DSU5" s="390"/>
      <c r="DSV5" s="390"/>
      <c r="DSW5" s="390"/>
      <c r="DSX5" s="390"/>
      <c r="DSY5" s="390"/>
      <c r="DSZ5" s="390"/>
      <c r="DTA5" s="390"/>
      <c r="DTB5" s="390"/>
      <c r="DTC5" s="390"/>
      <c r="DTD5" s="390"/>
      <c r="DTE5" s="390"/>
      <c r="DTF5" s="390"/>
      <c r="DTG5" s="390"/>
      <c r="DTH5" s="390"/>
      <c r="DTI5" s="390"/>
      <c r="DTJ5" s="390"/>
      <c r="DTK5" s="390"/>
      <c r="DTL5" s="390"/>
      <c r="DTM5" s="390"/>
      <c r="DTN5" s="390"/>
      <c r="DTO5" s="390"/>
      <c r="DTP5" s="390"/>
      <c r="DTQ5" s="390"/>
      <c r="DTR5" s="390"/>
      <c r="DTS5" s="390"/>
      <c r="DTT5" s="390"/>
      <c r="DTU5" s="390"/>
      <c r="DTV5" s="390"/>
      <c r="DTW5" s="390"/>
      <c r="DTX5" s="390"/>
      <c r="DTY5" s="390"/>
      <c r="DTZ5" s="390"/>
      <c r="DUA5" s="390"/>
      <c r="DUB5" s="390"/>
      <c r="DUC5" s="390"/>
      <c r="DUD5" s="390"/>
      <c r="DUE5" s="390"/>
      <c r="DUF5" s="390"/>
      <c r="DUG5" s="390"/>
      <c r="DUH5" s="390"/>
      <c r="DUI5" s="390"/>
      <c r="DUJ5" s="390"/>
      <c r="DUK5" s="390"/>
      <c r="DUL5" s="390"/>
      <c r="DUM5" s="390"/>
      <c r="DUN5" s="390"/>
      <c r="DUO5" s="390"/>
      <c r="DUP5" s="390"/>
      <c r="DUQ5" s="390"/>
      <c r="DUR5" s="390"/>
      <c r="DUS5" s="390"/>
      <c r="DUT5" s="390"/>
      <c r="DUU5" s="390"/>
      <c r="DUV5" s="390"/>
      <c r="DUW5" s="390"/>
      <c r="DUX5" s="390"/>
      <c r="DUY5" s="390"/>
      <c r="DUZ5" s="390"/>
      <c r="DVA5" s="390"/>
      <c r="DVB5" s="390"/>
      <c r="DVC5" s="390"/>
      <c r="DVD5" s="390"/>
      <c r="DVE5" s="390"/>
      <c r="DVF5" s="390"/>
      <c r="DVG5" s="390"/>
      <c r="DVH5" s="390"/>
      <c r="DVI5" s="390"/>
      <c r="DVJ5" s="390"/>
      <c r="DVK5" s="390"/>
      <c r="DVL5" s="390"/>
      <c r="DVM5" s="390"/>
      <c r="DVN5" s="390"/>
      <c r="DVO5" s="390"/>
      <c r="DVP5" s="390"/>
      <c r="DVQ5" s="390"/>
      <c r="DVR5" s="390"/>
      <c r="DVS5" s="390"/>
      <c r="DVT5" s="390"/>
      <c r="DVU5" s="390"/>
      <c r="DVV5" s="390"/>
      <c r="DVW5" s="390"/>
      <c r="DVX5" s="390"/>
      <c r="DVY5" s="390"/>
      <c r="DVZ5" s="390"/>
      <c r="DWA5" s="390"/>
      <c r="DWB5" s="390"/>
      <c r="DWC5" s="390"/>
      <c r="DWD5" s="390"/>
      <c r="DWE5" s="390"/>
      <c r="DWF5" s="390"/>
      <c r="DWG5" s="390"/>
      <c r="DWH5" s="390"/>
      <c r="DWI5" s="390"/>
      <c r="DWJ5" s="390"/>
      <c r="DWK5" s="390"/>
      <c r="DWL5" s="390"/>
      <c r="DWM5" s="390"/>
      <c r="DWN5" s="390"/>
      <c r="DWO5" s="390"/>
      <c r="DWP5" s="390"/>
      <c r="DWQ5" s="390"/>
      <c r="DWR5" s="390"/>
      <c r="DWS5" s="390"/>
      <c r="DWT5" s="390"/>
      <c r="DWU5" s="390"/>
      <c r="DWV5" s="390"/>
      <c r="DWW5" s="390"/>
      <c r="DWX5" s="390"/>
      <c r="DWY5" s="390"/>
      <c r="DWZ5" s="390"/>
      <c r="DXA5" s="390"/>
      <c r="DXB5" s="390"/>
      <c r="DXC5" s="390"/>
      <c r="DXD5" s="390"/>
      <c r="DXE5" s="390"/>
      <c r="DXF5" s="390"/>
      <c r="DXG5" s="390"/>
      <c r="DXH5" s="390"/>
      <c r="DXI5" s="390"/>
      <c r="DXJ5" s="390"/>
      <c r="DXK5" s="390"/>
      <c r="DXL5" s="390"/>
      <c r="DXM5" s="390"/>
      <c r="DXN5" s="390"/>
      <c r="DXO5" s="390"/>
      <c r="DXP5" s="390"/>
      <c r="DXQ5" s="390"/>
      <c r="DXR5" s="390"/>
      <c r="DXS5" s="390"/>
      <c r="DXT5" s="390"/>
      <c r="DXU5" s="390"/>
      <c r="DXV5" s="390"/>
      <c r="DXW5" s="390"/>
      <c r="DXX5" s="390"/>
      <c r="DXY5" s="390"/>
      <c r="DXZ5" s="390"/>
      <c r="DYA5" s="390"/>
      <c r="DYB5" s="390"/>
      <c r="DYC5" s="390"/>
      <c r="DYD5" s="390"/>
      <c r="DYE5" s="390"/>
      <c r="DYF5" s="390"/>
      <c r="DYG5" s="390"/>
      <c r="DYH5" s="390"/>
      <c r="DYI5" s="390"/>
      <c r="DYJ5" s="390"/>
      <c r="DYK5" s="390"/>
      <c r="DYL5" s="390"/>
      <c r="DYM5" s="390"/>
      <c r="DYN5" s="390"/>
      <c r="DYO5" s="390"/>
      <c r="DYP5" s="390"/>
      <c r="DYQ5" s="390"/>
      <c r="DYR5" s="390"/>
      <c r="DYS5" s="390"/>
      <c r="DYT5" s="390"/>
      <c r="DYU5" s="390"/>
      <c r="DYV5" s="390"/>
      <c r="DYW5" s="390"/>
      <c r="DYX5" s="390"/>
      <c r="DYY5" s="390"/>
      <c r="DYZ5" s="390"/>
      <c r="DZA5" s="390"/>
      <c r="DZB5" s="390"/>
      <c r="DZC5" s="390"/>
      <c r="DZD5" s="390"/>
      <c r="DZE5" s="390"/>
      <c r="DZF5" s="390"/>
      <c r="DZG5" s="390"/>
      <c r="DZH5" s="390"/>
      <c r="DZI5" s="390"/>
      <c r="DZJ5" s="390"/>
      <c r="DZK5" s="390"/>
      <c r="DZL5" s="390"/>
      <c r="DZM5" s="390"/>
      <c r="DZN5" s="390"/>
      <c r="DZO5" s="390"/>
      <c r="DZP5" s="390"/>
      <c r="DZQ5" s="390"/>
      <c r="DZR5" s="390"/>
      <c r="DZS5" s="390"/>
      <c r="DZT5" s="390"/>
      <c r="DZU5" s="390"/>
      <c r="DZV5" s="390"/>
      <c r="DZW5" s="390"/>
      <c r="DZX5" s="390"/>
      <c r="DZY5" s="390"/>
      <c r="DZZ5" s="390"/>
      <c r="EAA5" s="390"/>
      <c r="EAB5" s="390"/>
      <c r="EAC5" s="390"/>
      <c r="EAD5" s="390"/>
      <c r="EAE5" s="390"/>
      <c r="EAF5" s="390"/>
      <c r="EAG5" s="390"/>
      <c r="EAH5" s="390"/>
      <c r="EAI5" s="390"/>
      <c r="EAJ5" s="390"/>
      <c r="EAK5" s="390"/>
      <c r="EAL5" s="390"/>
      <c r="EAM5" s="390"/>
      <c r="EAN5" s="390"/>
      <c r="EAO5" s="390"/>
      <c r="EAP5" s="390"/>
      <c r="EAQ5" s="390"/>
      <c r="EAR5" s="390"/>
      <c r="EAS5" s="390"/>
      <c r="EAT5" s="390"/>
      <c r="EAU5" s="390"/>
      <c r="EAV5" s="390"/>
      <c r="EAW5" s="390"/>
      <c r="EAX5" s="390"/>
      <c r="EAY5" s="390"/>
      <c r="EAZ5" s="390"/>
      <c r="EBA5" s="390"/>
      <c r="EBB5" s="390"/>
      <c r="EBC5" s="390"/>
      <c r="EBD5" s="390"/>
      <c r="EBE5" s="390"/>
      <c r="EBF5" s="390"/>
      <c r="EBG5" s="390"/>
      <c r="EBH5" s="390"/>
      <c r="EBI5" s="390"/>
      <c r="EBJ5" s="390"/>
      <c r="EBK5" s="390"/>
      <c r="EBL5" s="390"/>
      <c r="EBM5" s="390"/>
      <c r="EBN5" s="390"/>
      <c r="EBO5" s="390"/>
      <c r="EBP5" s="390"/>
      <c r="EBQ5" s="390"/>
      <c r="EBR5" s="390"/>
      <c r="EBS5" s="390"/>
      <c r="EBT5" s="390"/>
      <c r="EBU5" s="390"/>
      <c r="EBV5" s="390"/>
      <c r="EBW5" s="390"/>
      <c r="EBX5" s="390"/>
      <c r="EBY5" s="390"/>
      <c r="EBZ5" s="390"/>
      <c r="ECA5" s="390"/>
      <c r="ECB5" s="390"/>
      <c r="ECC5" s="390"/>
      <c r="ECD5" s="390"/>
      <c r="ECE5" s="390"/>
      <c r="ECF5" s="390"/>
      <c r="ECG5" s="390"/>
      <c r="ECH5" s="390"/>
      <c r="ECI5" s="390"/>
      <c r="ECJ5" s="390"/>
      <c r="ECK5" s="390"/>
      <c r="ECL5" s="390"/>
      <c r="ECM5" s="390"/>
      <c r="ECN5" s="390"/>
      <c r="ECO5" s="390"/>
      <c r="ECP5" s="390"/>
      <c r="ECQ5" s="390"/>
      <c r="ECR5" s="390"/>
      <c r="ECS5" s="390"/>
      <c r="ECT5" s="390"/>
      <c r="ECU5" s="390"/>
      <c r="ECV5" s="390"/>
      <c r="ECW5" s="390"/>
      <c r="ECX5" s="390"/>
      <c r="ECY5" s="390"/>
      <c r="ECZ5" s="390"/>
      <c r="EDA5" s="390"/>
      <c r="EDB5" s="390"/>
      <c r="EDC5" s="390"/>
      <c r="EDD5" s="390"/>
      <c r="EDE5" s="390"/>
      <c r="EDF5" s="390"/>
      <c r="EDG5" s="390"/>
      <c r="EDH5" s="390"/>
      <c r="EDI5" s="390"/>
      <c r="EDJ5" s="390"/>
      <c r="EDK5" s="390"/>
      <c r="EDL5" s="390"/>
      <c r="EDM5" s="390"/>
      <c r="EDN5" s="390"/>
      <c r="EDO5" s="390"/>
      <c r="EDP5" s="390"/>
      <c r="EDQ5" s="390"/>
      <c r="EDR5" s="390"/>
      <c r="EDS5" s="390"/>
      <c r="EDT5" s="390"/>
      <c r="EDU5" s="390"/>
      <c r="EDV5" s="390"/>
      <c r="EDW5" s="390"/>
      <c r="EDX5" s="390"/>
      <c r="EDY5" s="390"/>
      <c r="EDZ5" s="390"/>
      <c r="EEA5" s="390"/>
      <c r="EEB5" s="390"/>
      <c r="EEC5" s="390"/>
      <c r="EED5" s="390"/>
      <c r="EEE5" s="390"/>
      <c r="EEF5" s="390"/>
      <c r="EEG5" s="390"/>
      <c r="EEH5" s="390"/>
      <c r="EEI5" s="390"/>
      <c r="EEJ5" s="390"/>
      <c r="EEK5" s="390"/>
      <c r="EEL5" s="390"/>
      <c r="EEM5" s="390"/>
      <c r="EEN5" s="390"/>
      <c r="EEO5" s="390"/>
      <c r="EEP5" s="390"/>
      <c r="EEQ5" s="390"/>
      <c r="EER5" s="390"/>
      <c r="EES5" s="390"/>
      <c r="EET5" s="390"/>
      <c r="EEU5" s="390"/>
      <c r="EEV5" s="390"/>
      <c r="EEW5" s="390"/>
      <c r="EEX5" s="390"/>
      <c r="EEY5" s="390"/>
      <c r="EEZ5" s="390"/>
      <c r="EFA5" s="390"/>
      <c r="EFB5" s="390"/>
      <c r="EFC5" s="390"/>
      <c r="EFD5" s="390"/>
      <c r="EFE5" s="390"/>
      <c r="EFF5" s="390"/>
      <c r="EFG5" s="390"/>
      <c r="EFH5" s="390"/>
      <c r="EFI5" s="390"/>
      <c r="EFJ5" s="390"/>
      <c r="EFK5" s="390"/>
      <c r="EFL5" s="390"/>
      <c r="EFM5" s="390"/>
      <c r="EFN5" s="390"/>
      <c r="EFO5" s="390"/>
      <c r="EFP5" s="390"/>
      <c r="EFQ5" s="390"/>
      <c r="EFR5" s="390"/>
      <c r="EFS5" s="390"/>
      <c r="EFT5" s="390"/>
      <c r="EFU5" s="390"/>
      <c r="EFV5" s="390"/>
      <c r="EFW5" s="390"/>
      <c r="EFX5" s="390"/>
      <c r="EFY5" s="390"/>
      <c r="EFZ5" s="390"/>
      <c r="EGA5" s="390"/>
      <c r="EGB5" s="390"/>
      <c r="EGC5" s="390"/>
      <c r="EGD5" s="390"/>
      <c r="EGE5" s="390"/>
      <c r="EGF5" s="390"/>
      <c r="EGG5" s="390"/>
      <c r="EGH5" s="390"/>
      <c r="EGI5" s="390"/>
      <c r="EGJ5" s="390"/>
      <c r="EGK5" s="390"/>
      <c r="EGL5" s="390"/>
      <c r="EGM5" s="390"/>
      <c r="EGN5" s="390"/>
      <c r="EGO5" s="390"/>
      <c r="EGP5" s="390"/>
      <c r="EGQ5" s="390"/>
      <c r="EGR5" s="390"/>
      <c r="EGS5" s="390"/>
      <c r="EGT5" s="390"/>
      <c r="EGU5" s="390"/>
      <c r="EGV5" s="390"/>
      <c r="EGW5" s="390"/>
      <c r="EGX5" s="390"/>
      <c r="EGY5" s="390"/>
      <c r="EGZ5" s="390"/>
      <c r="EHA5" s="390"/>
      <c r="EHB5" s="390"/>
      <c r="EHC5" s="390"/>
      <c r="EHD5" s="390"/>
      <c r="EHE5" s="390"/>
      <c r="EHF5" s="390"/>
      <c r="EHG5" s="390"/>
      <c r="EHH5" s="390"/>
      <c r="EHI5" s="390"/>
      <c r="EHJ5" s="390"/>
      <c r="EHK5" s="390"/>
      <c r="EHL5" s="390"/>
      <c r="EHM5" s="390"/>
      <c r="EHN5" s="390"/>
      <c r="EHO5" s="390"/>
      <c r="EHP5" s="390"/>
      <c r="EHQ5" s="390"/>
      <c r="EHR5" s="390"/>
      <c r="EHS5" s="390"/>
      <c r="EHT5" s="390"/>
      <c r="EHU5" s="390"/>
      <c r="EHV5" s="390"/>
      <c r="EHW5" s="390"/>
      <c r="EHX5" s="390"/>
      <c r="EHY5" s="390"/>
      <c r="EHZ5" s="390"/>
      <c r="EIA5" s="390"/>
      <c r="EIB5" s="390"/>
      <c r="EIC5" s="390"/>
      <c r="EID5" s="390"/>
      <c r="EIE5" s="390"/>
      <c r="EIF5" s="390"/>
      <c r="EIG5" s="390"/>
      <c r="EIH5" s="390"/>
      <c r="EII5" s="390"/>
      <c r="EIJ5" s="390"/>
      <c r="EIK5" s="390"/>
      <c r="EIL5" s="390"/>
      <c r="EIM5" s="390"/>
      <c r="EIN5" s="390"/>
      <c r="EIO5" s="390"/>
      <c r="EIP5" s="390"/>
      <c r="EIQ5" s="390"/>
      <c r="EIR5" s="390"/>
      <c r="EIS5" s="390"/>
      <c r="EIT5" s="390"/>
      <c r="EIU5" s="390"/>
      <c r="EIV5" s="390"/>
      <c r="EIW5" s="390"/>
      <c r="EIX5" s="390"/>
      <c r="EIY5" s="390"/>
      <c r="EIZ5" s="390"/>
      <c r="EJA5" s="390"/>
      <c r="EJB5" s="390"/>
      <c r="EJC5" s="390"/>
      <c r="EJD5" s="390"/>
      <c r="EJE5" s="390"/>
      <c r="EJF5" s="390"/>
      <c r="EJG5" s="390"/>
      <c r="EJH5" s="390"/>
      <c r="EJI5" s="390"/>
      <c r="EJJ5" s="390"/>
      <c r="EJK5" s="390"/>
      <c r="EJL5" s="390"/>
      <c r="EJM5" s="390"/>
      <c r="EJN5" s="390"/>
      <c r="EJO5" s="390"/>
      <c r="EJP5" s="390"/>
      <c r="EJQ5" s="390"/>
      <c r="EJR5" s="390"/>
      <c r="EJS5" s="390"/>
      <c r="EJT5" s="390"/>
      <c r="EJU5" s="390"/>
      <c r="EJV5" s="390"/>
      <c r="EJW5" s="390"/>
      <c r="EJX5" s="390"/>
      <c r="EJY5" s="390"/>
      <c r="EJZ5" s="390"/>
      <c r="EKA5" s="390"/>
      <c r="EKB5" s="390"/>
      <c r="EKC5" s="390"/>
      <c r="EKD5" s="390"/>
      <c r="EKE5" s="390"/>
      <c r="EKF5" s="390"/>
      <c r="EKG5" s="390"/>
      <c r="EKH5" s="390"/>
      <c r="EKI5" s="390"/>
      <c r="EKJ5" s="390"/>
      <c r="EKK5" s="390"/>
      <c r="EKL5" s="390"/>
      <c r="EKM5" s="390"/>
      <c r="EKN5" s="390"/>
      <c r="EKO5" s="390"/>
      <c r="EKP5" s="390"/>
      <c r="EKQ5" s="390"/>
      <c r="EKR5" s="390"/>
      <c r="EKS5" s="390"/>
      <c r="EKT5" s="390"/>
      <c r="EKU5" s="390"/>
      <c r="EKV5" s="390"/>
      <c r="EKW5" s="390"/>
      <c r="EKX5" s="390"/>
      <c r="EKY5" s="390"/>
      <c r="EKZ5" s="390"/>
      <c r="ELA5" s="390"/>
      <c r="ELB5" s="390"/>
      <c r="ELC5" s="390"/>
      <c r="ELD5" s="390"/>
      <c r="ELE5" s="390"/>
      <c r="ELF5" s="390"/>
      <c r="ELG5" s="390"/>
      <c r="ELH5" s="390"/>
      <c r="ELI5" s="390"/>
      <c r="ELJ5" s="390"/>
      <c r="ELK5" s="390"/>
      <c r="ELL5" s="390"/>
      <c r="ELM5" s="390"/>
      <c r="ELN5" s="390"/>
      <c r="ELO5" s="390"/>
      <c r="ELP5" s="390"/>
      <c r="ELQ5" s="390"/>
      <c r="ELR5" s="390"/>
      <c r="ELS5" s="390"/>
      <c r="ELT5" s="390"/>
      <c r="ELU5" s="390"/>
      <c r="ELV5" s="390"/>
      <c r="ELW5" s="390"/>
      <c r="ELX5" s="390"/>
      <c r="ELY5" s="390"/>
      <c r="ELZ5" s="390"/>
      <c r="EMA5" s="390"/>
      <c r="EMB5" s="390"/>
      <c r="EMC5" s="390"/>
      <c r="EMD5" s="390"/>
      <c r="EME5" s="390"/>
      <c r="EMF5" s="390"/>
      <c r="EMG5" s="390"/>
      <c r="EMH5" s="390"/>
      <c r="EMI5" s="390"/>
      <c r="EMJ5" s="390"/>
      <c r="EMK5" s="390"/>
      <c r="EML5" s="390"/>
      <c r="EMM5" s="390"/>
      <c r="EMN5" s="390"/>
      <c r="EMO5" s="390"/>
      <c r="EMP5" s="390"/>
      <c r="EMQ5" s="390"/>
      <c r="EMR5" s="390"/>
      <c r="EMS5" s="390"/>
      <c r="EMT5" s="390"/>
      <c r="EMU5" s="390"/>
      <c r="EMV5" s="390"/>
      <c r="EMW5" s="390"/>
      <c r="EMX5" s="390"/>
      <c r="EMY5" s="390"/>
      <c r="EMZ5" s="390"/>
      <c r="ENA5" s="390"/>
      <c r="ENB5" s="390"/>
      <c r="ENC5" s="390"/>
      <c r="END5" s="390"/>
      <c r="ENE5" s="390"/>
      <c r="ENF5" s="390"/>
      <c r="ENG5" s="390"/>
      <c r="ENH5" s="390"/>
      <c r="ENI5" s="390"/>
      <c r="ENJ5" s="390"/>
      <c r="ENK5" s="390"/>
      <c r="ENL5" s="390"/>
      <c r="ENM5" s="390"/>
      <c r="ENN5" s="390"/>
      <c r="ENO5" s="390"/>
      <c r="ENP5" s="390"/>
      <c r="ENQ5" s="390"/>
      <c r="ENR5" s="390"/>
      <c r="ENS5" s="390"/>
      <c r="ENT5" s="390"/>
      <c r="ENU5" s="390"/>
      <c r="ENV5" s="390"/>
      <c r="ENW5" s="390"/>
      <c r="ENX5" s="390"/>
      <c r="ENY5" s="390"/>
      <c r="ENZ5" s="390"/>
      <c r="EOA5" s="390"/>
      <c r="EOB5" s="390"/>
      <c r="EOC5" s="390"/>
      <c r="EOD5" s="390"/>
      <c r="EOE5" s="390"/>
      <c r="EOF5" s="390"/>
      <c r="EOG5" s="390"/>
      <c r="EOH5" s="390"/>
      <c r="EOI5" s="390"/>
      <c r="EOJ5" s="390"/>
      <c r="EOK5" s="390"/>
      <c r="EOL5" s="390"/>
      <c r="EOM5" s="390"/>
      <c r="EON5" s="390"/>
      <c r="EOO5" s="390"/>
      <c r="EOP5" s="390"/>
      <c r="EOQ5" s="390"/>
      <c r="EOR5" s="390"/>
      <c r="EOS5" s="390"/>
      <c r="EOT5" s="390"/>
      <c r="EOU5" s="390"/>
      <c r="EOV5" s="390"/>
      <c r="EOW5" s="390"/>
      <c r="EOX5" s="390"/>
      <c r="EOY5" s="390"/>
      <c r="EOZ5" s="390"/>
      <c r="EPA5" s="390"/>
      <c r="EPB5" s="390"/>
      <c r="EPC5" s="390"/>
      <c r="EPD5" s="390"/>
      <c r="EPE5" s="390"/>
      <c r="EPF5" s="390"/>
      <c r="EPG5" s="390"/>
      <c r="EPH5" s="390"/>
      <c r="EPI5" s="390"/>
      <c r="EPJ5" s="390"/>
      <c r="EPK5" s="390"/>
      <c r="EPL5" s="390"/>
      <c r="EPM5" s="390"/>
      <c r="EPN5" s="390"/>
      <c r="EPO5" s="390"/>
      <c r="EPP5" s="390"/>
      <c r="EPQ5" s="390"/>
      <c r="EPR5" s="390"/>
      <c r="EPS5" s="390"/>
      <c r="EPT5" s="390"/>
      <c r="EPU5" s="390"/>
      <c r="EPV5" s="390"/>
      <c r="EPW5" s="390"/>
      <c r="EPX5" s="390"/>
      <c r="EPY5" s="390"/>
      <c r="EPZ5" s="390"/>
      <c r="EQA5" s="390"/>
      <c r="EQB5" s="390"/>
      <c r="EQC5" s="390"/>
      <c r="EQD5" s="390"/>
      <c r="EQE5" s="390"/>
      <c r="EQF5" s="390"/>
      <c r="EQG5" s="390"/>
      <c r="EQH5" s="390"/>
      <c r="EQI5" s="390"/>
      <c r="EQJ5" s="390"/>
      <c r="EQK5" s="390"/>
      <c r="EQL5" s="390"/>
      <c r="EQM5" s="390"/>
      <c r="EQN5" s="390"/>
      <c r="EQO5" s="390"/>
      <c r="EQP5" s="390"/>
      <c r="EQQ5" s="390"/>
      <c r="EQR5" s="390"/>
      <c r="EQS5" s="390"/>
      <c r="EQT5" s="390"/>
      <c r="EQU5" s="390"/>
      <c r="EQV5" s="390"/>
      <c r="EQW5" s="390"/>
      <c r="EQX5" s="390"/>
      <c r="EQY5" s="390"/>
      <c r="EQZ5" s="390"/>
      <c r="ERA5" s="390"/>
      <c r="ERB5" s="390"/>
      <c r="ERC5" s="390"/>
      <c r="ERD5" s="390"/>
      <c r="ERE5" s="390"/>
      <c r="ERF5" s="390"/>
      <c r="ERG5" s="390"/>
      <c r="ERH5" s="390"/>
      <c r="ERI5" s="390"/>
      <c r="ERJ5" s="390"/>
      <c r="ERK5" s="390"/>
      <c r="ERL5" s="390"/>
      <c r="ERM5" s="390"/>
      <c r="ERN5" s="390"/>
      <c r="ERO5" s="390"/>
      <c r="ERP5" s="390"/>
      <c r="ERQ5" s="390"/>
      <c r="ERR5" s="390"/>
      <c r="ERS5" s="390"/>
      <c r="ERT5" s="390"/>
      <c r="ERU5" s="390"/>
      <c r="ERV5" s="390"/>
      <c r="ERW5" s="390"/>
      <c r="ERX5" s="390"/>
      <c r="ERY5" s="390"/>
      <c r="ERZ5" s="390"/>
      <c r="ESA5" s="390"/>
      <c r="ESB5" s="390"/>
      <c r="ESC5" s="390"/>
      <c r="ESD5" s="390"/>
      <c r="ESE5" s="390"/>
      <c r="ESF5" s="390"/>
      <c r="ESG5" s="390"/>
      <c r="ESH5" s="390"/>
      <c r="ESI5" s="390"/>
      <c r="ESJ5" s="390"/>
      <c r="ESK5" s="390"/>
      <c r="ESL5" s="390"/>
      <c r="ESM5" s="390"/>
      <c r="ESN5" s="390"/>
      <c r="ESO5" s="390"/>
      <c r="ESP5" s="390"/>
      <c r="ESQ5" s="390"/>
      <c r="ESR5" s="390"/>
      <c r="ESS5" s="390"/>
      <c r="EST5" s="390"/>
      <c r="ESU5" s="390"/>
      <c r="ESV5" s="390"/>
      <c r="ESW5" s="390"/>
      <c r="ESX5" s="390"/>
      <c r="ESY5" s="390"/>
      <c r="ESZ5" s="390"/>
      <c r="ETA5" s="390"/>
      <c r="ETB5" s="390"/>
      <c r="ETC5" s="390"/>
      <c r="ETD5" s="390"/>
      <c r="ETE5" s="390"/>
      <c r="ETF5" s="390"/>
      <c r="ETG5" s="390"/>
      <c r="ETH5" s="390"/>
      <c r="ETI5" s="390"/>
      <c r="ETJ5" s="390"/>
      <c r="ETK5" s="390"/>
      <c r="ETL5" s="390"/>
      <c r="ETM5" s="390"/>
      <c r="ETN5" s="390"/>
      <c r="ETO5" s="390"/>
      <c r="ETP5" s="390"/>
      <c r="ETQ5" s="390"/>
      <c r="ETR5" s="390"/>
      <c r="ETS5" s="390"/>
      <c r="ETT5" s="390"/>
      <c r="ETU5" s="390"/>
      <c r="ETV5" s="390"/>
      <c r="ETW5" s="390"/>
      <c r="ETX5" s="390"/>
      <c r="ETY5" s="390"/>
      <c r="ETZ5" s="390"/>
      <c r="EUA5" s="390"/>
      <c r="EUB5" s="390"/>
      <c r="EUC5" s="390"/>
      <c r="EUD5" s="390"/>
      <c r="EUE5" s="390"/>
      <c r="EUF5" s="390"/>
      <c r="EUG5" s="390"/>
      <c r="EUH5" s="390"/>
      <c r="EUI5" s="390"/>
      <c r="EUJ5" s="390"/>
      <c r="EUK5" s="390"/>
      <c r="EUL5" s="390"/>
      <c r="EUM5" s="390"/>
      <c r="EUN5" s="390"/>
      <c r="EUO5" s="390"/>
      <c r="EUP5" s="390"/>
      <c r="EUQ5" s="390"/>
      <c r="EUR5" s="390"/>
      <c r="EUS5" s="390"/>
      <c r="EUT5" s="390"/>
      <c r="EUU5" s="390"/>
      <c r="EUV5" s="390"/>
      <c r="EUW5" s="390"/>
      <c r="EUX5" s="390"/>
      <c r="EUY5" s="390"/>
      <c r="EUZ5" s="390"/>
      <c r="EVA5" s="390"/>
      <c r="EVB5" s="390"/>
      <c r="EVC5" s="390"/>
      <c r="EVD5" s="390"/>
      <c r="EVE5" s="390"/>
      <c r="EVF5" s="390"/>
      <c r="EVG5" s="390"/>
      <c r="EVH5" s="390"/>
      <c r="EVI5" s="390"/>
      <c r="EVJ5" s="390"/>
      <c r="EVK5" s="390"/>
      <c r="EVL5" s="390"/>
      <c r="EVM5" s="390"/>
      <c r="EVN5" s="390"/>
      <c r="EVO5" s="390"/>
      <c r="EVP5" s="390"/>
      <c r="EVQ5" s="390"/>
      <c r="EVR5" s="390"/>
      <c r="EVS5" s="390"/>
      <c r="EVT5" s="390"/>
      <c r="EVU5" s="390"/>
      <c r="EVV5" s="390"/>
      <c r="EVW5" s="390"/>
      <c r="EVX5" s="390"/>
      <c r="EVY5" s="390"/>
      <c r="EVZ5" s="390"/>
      <c r="EWA5" s="390"/>
      <c r="EWB5" s="390"/>
      <c r="EWC5" s="390"/>
      <c r="EWD5" s="390"/>
      <c r="EWE5" s="390"/>
      <c r="EWF5" s="390"/>
      <c r="EWG5" s="390"/>
      <c r="EWH5" s="390"/>
      <c r="EWI5" s="390"/>
      <c r="EWJ5" s="390"/>
      <c r="EWK5" s="390"/>
      <c r="EWL5" s="390"/>
      <c r="EWM5" s="390"/>
      <c r="EWN5" s="390"/>
      <c r="EWO5" s="390"/>
      <c r="EWP5" s="390"/>
      <c r="EWQ5" s="390"/>
      <c r="EWR5" s="390"/>
      <c r="EWS5" s="390"/>
      <c r="EWT5" s="390"/>
      <c r="EWU5" s="390"/>
      <c r="EWV5" s="390"/>
      <c r="EWW5" s="390"/>
      <c r="EWX5" s="390"/>
      <c r="EWY5" s="390"/>
      <c r="EWZ5" s="390"/>
      <c r="EXA5" s="390"/>
      <c r="EXB5" s="390"/>
      <c r="EXC5" s="390"/>
      <c r="EXD5" s="390"/>
      <c r="EXE5" s="390"/>
      <c r="EXF5" s="390"/>
      <c r="EXG5" s="390"/>
      <c r="EXH5" s="390"/>
      <c r="EXI5" s="390"/>
      <c r="EXJ5" s="390"/>
      <c r="EXK5" s="390"/>
      <c r="EXL5" s="390"/>
      <c r="EXM5" s="390"/>
      <c r="EXN5" s="390"/>
      <c r="EXO5" s="390"/>
      <c r="EXP5" s="390"/>
      <c r="EXQ5" s="390"/>
      <c r="EXR5" s="390"/>
      <c r="EXS5" s="390"/>
      <c r="EXT5" s="390"/>
      <c r="EXU5" s="390"/>
      <c r="EXV5" s="390"/>
      <c r="EXW5" s="390"/>
      <c r="EXX5" s="390"/>
      <c r="EXY5" s="390"/>
      <c r="EXZ5" s="390"/>
      <c r="EYA5" s="390"/>
      <c r="EYB5" s="390"/>
      <c r="EYC5" s="390"/>
      <c r="EYD5" s="390"/>
      <c r="EYE5" s="390"/>
      <c r="EYF5" s="390"/>
      <c r="EYG5" s="390"/>
      <c r="EYH5" s="390"/>
      <c r="EYI5" s="390"/>
      <c r="EYJ5" s="390"/>
      <c r="EYK5" s="390"/>
      <c r="EYL5" s="390"/>
      <c r="EYM5" s="390"/>
      <c r="EYN5" s="390"/>
      <c r="EYO5" s="390"/>
      <c r="EYP5" s="390"/>
      <c r="EYQ5" s="390"/>
      <c r="EYR5" s="390"/>
      <c r="EYS5" s="390"/>
      <c r="EYT5" s="390"/>
      <c r="EYU5" s="390"/>
      <c r="EYV5" s="390"/>
      <c r="EYW5" s="390"/>
      <c r="EYX5" s="390"/>
      <c r="EYY5" s="390"/>
      <c r="EYZ5" s="390"/>
      <c r="EZA5" s="390"/>
      <c r="EZB5" s="390"/>
      <c r="EZC5" s="390"/>
      <c r="EZD5" s="390"/>
      <c r="EZE5" s="390"/>
      <c r="EZF5" s="390"/>
      <c r="EZG5" s="390"/>
      <c r="EZH5" s="390"/>
      <c r="EZI5" s="390"/>
      <c r="EZJ5" s="390"/>
      <c r="EZK5" s="390"/>
      <c r="EZL5" s="390"/>
      <c r="EZM5" s="390"/>
      <c r="EZN5" s="390"/>
      <c r="EZO5" s="390"/>
      <c r="EZP5" s="390"/>
      <c r="EZQ5" s="390"/>
      <c r="EZR5" s="390"/>
      <c r="EZS5" s="390"/>
      <c r="EZT5" s="390"/>
      <c r="EZU5" s="390"/>
      <c r="EZV5" s="390"/>
      <c r="EZW5" s="390"/>
      <c r="EZX5" s="390"/>
      <c r="EZY5" s="390"/>
      <c r="EZZ5" s="390"/>
      <c r="FAA5" s="390"/>
      <c r="FAB5" s="390"/>
      <c r="FAC5" s="390"/>
      <c r="FAD5" s="390"/>
      <c r="FAE5" s="390"/>
      <c r="FAF5" s="390"/>
      <c r="FAG5" s="390"/>
      <c r="FAH5" s="390"/>
      <c r="FAI5" s="390"/>
      <c r="FAJ5" s="390"/>
      <c r="FAK5" s="390"/>
      <c r="FAL5" s="390"/>
      <c r="FAM5" s="390"/>
      <c r="FAN5" s="390"/>
      <c r="FAO5" s="390"/>
      <c r="FAP5" s="390"/>
      <c r="FAQ5" s="390"/>
      <c r="FAR5" s="390"/>
      <c r="FAS5" s="390"/>
      <c r="FAT5" s="390"/>
      <c r="FAU5" s="390"/>
      <c r="FAV5" s="390"/>
      <c r="FAW5" s="390"/>
      <c r="FAX5" s="390"/>
      <c r="FAY5" s="390"/>
      <c r="FAZ5" s="390"/>
      <c r="FBA5" s="390"/>
      <c r="FBB5" s="390"/>
      <c r="FBC5" s="390"/>
      <c r="FBD5" s="390"/>
      <c r="FBE5" s="390"/>
      <c r="FBF5" s="390"/>
      <c r="FBG5" s="390"/>
      <c r="FBH5" s="390"/>
      <c r="FBI5" s="390"/>
      <c r="FBJ5" s="390"/>
      <c r="FBK5" s="390"/>
      <c r="FBL5" s="390"/>
      <c r="FBM5" s="390"/>
      <c r="FBN5" s="390"/>
      <c r="FBO5" s="390"/>
      <c r="FBP5" s="390"/>
      <c r="FBQ5" s="390"/>
      <c r="FBR5" s="390"/>
      <c r="FBS5" s="390"/>
      <c r="FBT5" s="390"/>
      <c r="FBU5" s="390"/>
      <c r="FBV5" s="390"/>
      <c r="FBW5" s="390"/>
      <c r="FBX5" s="390"/>
      <c r="FBY5" s="390"/>
      <c r="FBZ5" s="390"/>
      <c r="FCA5" s="390"/>
      <c r="FCB5" s="390"/>
      <c r="FCC5" s="390"/>
      <c r="FCD5" s="390"/>
      <c r="FCE5" s="390"/>
      <c r="FCF5" s="390"/>
      <c r="FCG5" s="390"/>
      <c r="FCH5" s="390"/>
      <c r="FCI5" s="390"/>
      <c r="FCJ5" s="390"/>
      <c r="FCK5" s="390"/>
      <c r="FCL5" s="390"/>
      <c r="FCM5" s="390"/>
      <c r="FCN5" s="390"/>
      <c r="FCO5" s="390"/>
      <c r="FCP5" s="390"/>
      <c r="FCQ5" s="390"/>
      <c r="FCR5" s="390"/>
      <c r="FCS5" s="390"/>
      <c r="FCT5" s="390"/>
      <c r="FCU5" s="390"/>
      <c r="FCV5" s="390"/>
      <c r="FCW5" s="390"/>
      <c r="FCX5" s="390"/>
      <c r="FCY5" s="390"/>
      <c r="FCZ5" s="390"/>
      <c r="FDA5" s="390"/>
      <c r="FDB5" s="390"/>
      <c r="FDC5" s="390"/>
      <c r="FDD5" s="390"/>
      <c r="FDE5" s="390"/>
      <c r="FDF5" s="390"/>
      <c r="FDG5" s="390"/>
      <c r="FDH5" s="390"/>
      <c r="FDI5" s="390"/>
      <c r="FDJ5" s="390"/>
      <c r="FDK5" s="390"/>
      <c r="FDL5" s="390"/>
      <c r="FDM5" s="390"/>
      <c r="FDN5" s="390"/>
      <c r="FDO5" s="390"/>
      <c r="FDP5" s="390"/>
      <c r="FDQ5" s="390"/>
      <c r="FDR5" s="390"/>
      <c r="FDS5" s="390"/>
      <c r="FDT5" s="390"/>
      <c r="FDU5" s="390"/>
      <c r="FDV5" s="390"/>
      <c r="FDW5" s="390"/>
      <c r="FDX5" s="390"/>
      <c r="FDY5" s="390"/>
      <c r="FDZ5" s="390"/>
      <c r="FEA5" s="390"/>
      <c r="FEB5" s="390"/>
      <c r="FEC5" s="390"/>
      <c r="FED5" s="390"/>
      <c r="FEE5" s="390"/>
      <c r="FEF5" s="390"/>
      <c r="FEG5" s="390"/>
      <c r="FEH5" s="390"/>
      <c r="FEI5" s="390"/>
      <c r="FEJ5" s="390"/>
      <c r="FEK5" s="390"/>
      <c r="FEL5" s="390"/>
      <c r="FEM5" s="390"/>
      <c r="FEN5" s="390"/>
      <c r="FEO5" s="390"/>
      <c r="FEP5" s="390"/>
      <c r="FEQ5" s="390"/>
      <c r="FER5" s="390"/>
      <c r="FES5" s="390"/>
      <c r="FET5" s="390"/>
      <c r="FEU5" s="390"/>
      <c r="FEV5" s="390"/>
      <c r="FEW5" s="390"/>
      <c r="FEX5" s="390"/>
      <c r="FEY5" s="390"/>
      <c r="FEZ5" s="390"/>
      <c r="FFA5" s="390"/>
      <c r="FFB5" s="390"/>
      <c r="FFC5" s="390"/>
      <c r="FFD5" s="390"/>
      <c r="FFE5" s="390"/>
      <c r="FFF5" s="390"/>
      <c r="FFG5" s="390"/>
      <c r="FFH5" s="390"/>
      <c r="FFI5" s="390"/>
      <c r="FFJ5" s="390"/>
      <c r="FFK5" s="390"/>
      <c r="FFL5" s="390"/>
      <c r="FFM5" s="390"/>
      <c r="FFN5" s="390"/>
      <c r="FFO5" s="390"/>
      <c r="FFP5" s="390"/>
      <c r="FFQ5" s="390"/>
      <c r="FFR5" s="390"/>
      <c r="FFS5" s="390"/>
      <c r="FFT5" s="390"/>
      <c r="FFU5" s="390"/>
      <c r="FFV5" s="390"/>
      <c r="FFW5" s="390"/>
      <c r="FFX5" s="390"/>
      <c r="FFY5" s="390"/>
      <c r="FFZ5" s="390"/>
      <c r="FGA5" s="390"/>
      <c r="FGB5" s="390"/>
      <c r="FGC5" s="390"/>
      <c r="FGD5" s="390"/>
      <c r="FGE5" s="390"/>
      <c r="FGF5" s="390"/>
      <c r="FGG5" s="390"/>
      <c r="FGH5" s="390"/>
      <c r="FGI5" s="390"/>
      <c r="FGJ5" s="390"/>
      <c r="FGK5" s="390"/>
      <c r="FGL5" s="390"/>
      <c r="FGM5" s="390"/>
      <c r="FGN5" s="390"/>
      <c r="FGO5" s="390"/>
      <c r="FGP5" s="390"/>
      <c r="FGQ5" s="390"/>
      <c r="FGR5" s="390"/>
      <c r="FGS5" s="390"/>
      <c r="FGT5" s="390"/>
      <c r="FGU5" s="390"/>
      <c r="FGV5" s="390"/>
      <c r="FGW5" s="390"/>
      <c r="FGX5" s="390"/>
      <c r="FGY5" s="390"/>
      <c r="FGZ5" s="390"/>
      <c r="FHA5" s="390"/>
      <c r="FHB5" s="390"/>
      <c r="FHC5" s="390"/>
      <c r="FHD5" s="390"/>
      <c r="FHE5" s="390"/>
      <c r="FHF5" s="390"/>
      <c r="FHG5" s="390"/>
      <c r="FHH5" s="390"/>
      <c r="FHI5" s="390"/>
      <c r="FHJ5" s="390"/>
      <c r="FHK5" s="390"/>
      <c r="FHL5" s="390"/>
      <c r="FHM5" s="390"/>
      <c r="FHN5" s="390"/>
      <c r="FHO5" s="390"/>
      <c r="FHP5" s="390"/>
      <c r="FHQ5" s="390"/>
      <c r="FHR5" s="390"/>
      <c r="FHS5" s="390"/>
      <c r="FHT5" s="390"/>
      <c r="FHU5" s="390"/>
      <c r="FHV5" s="390"/>
      <c r="FHW5" s="390"/>
      <c r="FHX5" s="390"/>
      <c r="FHY5" s="390"/>
      <c r="FHZ5" s="390"/>
      <c r="FIA5" s="390"/>
      <c r="FIB5" s="390"/>
      <c r="FIC5" s="390"/>
      <c r="FID5" s="390"/>
      <c r="FIE5" s="390"/>
      <c r="FIF5" s="390"/>
      <c r="FIG5" s="390"/>
      <c r="FIH5" s="390"/>
      <c r="FII5" s="390"/>
      <c r="FIJ5" s="390"/>
      <c r="FIK5" s="390"/>
      <c r="FIL5" s="390"/>
      <c r="FIM5" s="390"/>
      <c r="FIN5" s="390"/>
      <c r="FIO5" s="390"/>
      <c r="FIP5" s="390"/>
      <c r="FIQ5" s="390"/>
      <c r="FIR5" s="390"/>
      <c r="FIS5" s="390"/>
      <c r="FIT5" s="390"/>
      <c r="FIU5" s="390"/>
      <c r="FIV5" s="390"/>
      <c r="FIW5" s="390"/>
      <c r="FIX5" s="390"/>
      <c r="FIY5" s="390"/>
      <c r="FIZ5" s="390"/>
      <c r="FJA5" s="390"/>
      <c r="FJB5" s="390"/>
      <c r="FJC5" s="390"/>
      <c r="FJD5" s="390"/>
      <c r="FJE5" s="390"/>
      <c r="FJF5" s="390"/>
      <c r="FJG5" s="390"/>
      <c r="FJH5" s="390"/>
      <c r="FJI5" s="390"/>
      <c r="FJJ5" s="390"/>
      <c r="FJK5" s="390"/>
      <c r="FJL5" s="390"/>
      <c r="FJM5" s="390"/>
      <c r="FJN5" s="390"/>
      <c r="FJO5" s="390"/>
      <c r="FJP5" s="390"/>
      <c r="FJQ5" s="390"/>
      <c r="FJR5" s="390"/>
      <c r="FJS5" s="390"/>
      <c r="FJT5" s="390"/>
      <c r="FJU5" s="390"/>
      <c r="FJV5" s="390"/>
      <c r="FJW5" s="390"/>
      <c r="FJX5" s="390"/>
      <c r="FJY5" s="390"/>
      <c r="FJZ5" s="390"/>
      <c r="FKA5" s="390"/>
      <c r="FKB5" s="390"/>
      <c r="FKC5" s="390"/>
      <c r="FKD5" s="390"/>
      <c r="FKE5" s="390"/>
      <c r="FKF5" s="390"/>
      <c r="FKG5" s="390"/>
      <c r="FKH5" s="390"/>
      <c r="FKI5" s="390"/>
      <c r="FKJ5" s="390"/>
      <c r="FKK5" s="390"/>
      <c r="FKL5" s="390"/>
      <c r="FKM5" s="390"/>
      <c r="FKN5" s="390"/>
      <c r="FKO5" s="390"/>
      <c r="FKP5" s="390"/>
      <c r="FKQ5" s="390"/>
      <c r="FKR5" s="390"/>
      <c r="FKS5" s="390"/>
      <c r="FKT5" s="390"/>
      <c r="FKU5" s="390"/>
      <c r="FKV5" s="390"/>
      <c r="FKW5" s="390"/>
      <c r="FKX5" s="390"/>
      <c r="FKY5" s="390"/>
      <c r="FKZ5" s="390"/>
      <c r="FLA5" s="390"/>
      <c r="FLB5" s="390"/>
      <c r="FLC5" s="390"/>
      <c r="FLD5" s="390"/>
      <c r="FLE5" s="390"/>
      <c r="FLF5" s="390"/>
      <c r="FLG5" s="390"/>
      <c r="FLH5" s="390"/>
      <c r="FLI5" s="390"/>
      <c r="FLJ5" s="390"/>
      <c r="FLK5" s="390"/>
      <c r="FLL5" s="390"/>
      <c r="FLM5" s="390"/>
      <c r="FLN5" s="390"/>
      <c r="FLO5" s="390"/>
      <c r="FLP5" s="390"/>
      <c r="FLQ5" s="390"/>
      <c r="FLR5" s="390"/>
      <c r="FLS5" s="390"/>
      <c r="FLT5" s="390"/>
      <c r="FLU5" s="390"/>
      <c r="FLV5" s="390"/>
      <c r="FLW5" s="390"/>
      <c r="FLX5" s="390"/>
      <c r="FLY5" s="390"/>
      <c r="FLZ5" s="390"/>
      <c r="FMA5" s="390"/>
      <c r="FMB5" s="390"/>
      <c r="FMC5" s="390"/>
      <c r="FMD5" s="390"/>
      <c r="FME5" s="390"/>
      <c r="FMF5" s="390"/>
      <c r="FMG5" s="390"/>
      <c r="FMH5" s="390"/>
      <c r="FMI5" s="390"/>
      <c r="FMJ5" s="390"/>
      <c r="FMK5" s="390"/>
      <c r="FML5" s="390"/>
      <c r="FMM5" s="390"/>
      <c r="FMN5" s="390"/>
      <c r="FMO5" s="390"/>
      <c r="FMP5" s="390"/>
      <c r="FMQ5" s="390"/>
      <c r="FMR5" s="390"/>
      <c r="FMS5" s="390"/>
      <c r="FMT5" s="390"/>
      <c r="FMU5" s="390"/>
      <c r="FMV5" s="390"/>
      <c r="FMW5" s="390"/>
      <c r="FMX5" s="390"/>
      <c r="FMY5" s="390"/>
      <c r="FMZ5" s="390"/>
      <c r="FNA5" s="390"/>
      <c r="FNB5" s="390"/>
      <c r="FNC5" s="390"/>
      <c r="FND5" s="390"/>
      <c r="FNE5" s="390"/>
      <c r="FNF5" s="390"/>
      <c r="FNG5" s="390"/>
      <c r="FNH5" s="390"/>
      <c r="FNI5" s="390"/>
      <c r="FNJ5" s="390"/>
      <c r="FNK5" s="390"/>
      <c r="FNL5" s="390"/>
      <c r="FNM5" s="390"/>
      <c r="FNN5" s="390"/>
      <c r="FNO5" s="390"/>
      <c r="FNP5" s="390"/>
      <c r="FNQ5" s="390"/>
      <c r="FNR5" s="390"/>
      <c r="FNS5" s="390"/>
      <c r="FNT5" s="390"/>
      <c r="FNU5" s="390"/>
      <c r="FNV5" s="390"/>
      <c r="FNW5" s="390"/>
      <c r="FNX5" s="390"/>
      <c r="FNY5" s="390"/>
      <c r="FNZ5" s="390"/>
      <c r="FOA5" s="390"/>
      <c r="FOB5" s="390"/>
      <c r="FOC5" s="390"/>
      <c r="FOD5" s="390"/>
      <c r="FOE5" s="390"/>
      <c r="FOF5" s="390"/>
      <c r="FOG5" s="390"/>
      <c r="FOH5" s="390"/>
      <c r="FOI5" s="390"/>
      <c r="FOJ5" s="390"/>
      <c r="FOK5" s="390"/>
      <c r="FOL5" s="390"/>
      <c r="FOM5" s="390"/>
      <c r="FON5" s="390"/>
      <c r="FOO5" s="390"/>
      <c r="FOP5" s="390"/>
      <c r="FOQ5" s="390"/>
      <c r="FOR5" s="390"/>
      <c r="FOS5" s="390"/>
      <c r="FOT5" s="390"/>
      <c r="FOU5" s="390"/>
      <c r="FOV5" s="390"/>
      <c r="FOW5" s="390"/>
      <c r="FOX5" s="390"/>
      <c r="FOY5" s="390"/>
      <c r="FOZ5" s="390"/>
      <c r="FPA5" s="390"/>
      <c r="FPB5" s="390"/>
      <c r="FPC5" s="390"/>
      <c r="FPD5" s="390"/>
      <c r="FPE5" s="390"/>
      <c r="FPF5" s="390"/>
      <c r="FPG5" s="390"/>
      <c r="FPH5" s="390"/>
      <c r="FPI5" s="390"/>
      <c r="FPJ5" s="390"/>
      <c r="FPK5" s="390"/>
      <c r="FPL5" s="390"/>
      <c r="FPM5" s="390"/>
      <c r="FPN5" s="390"/>
      <c r="FPO5" s="390"/>
      <c r="FPP5" s="390"/>
      <c r="FPQ5" s="390"/>
      <c r="FPR5" s="390"/>
      <c r="FPS5" s="390"/>
      <c r="FPT5" s="390"/>
      <c r="FPU5" s="390"/>
      <c r="FPV5" s="390"/>
      <c r="FPW5" s="390"/>
      <c r="FPX5" s="390"/>
      <c r="FPY5" s="390"/>
      <c r="FPZ5" s="390"/>
      <c r="FQA5" s="390"/>
      <c r="FQB5" s="390"/>
      <c r="FQC5" s="390"/>
      <c r="FQD5" s="390"/>
      <c r="FQE5" s="390"/>
      <c r="FQF5" s="390"/>
      <c r="FQG5" s="390"/>
      <c r="FQH5" s="390"/>
      <c r="FQI5" s="390"/>
      <c r="FQJ5" s="390"/>
      <c r="FQK5" s="390"/>
      <c r="FQL5" s="390"/>
      <c r="FQM5" s="390"/>
      <c r="FQN5" s="390"/>
      <c r="FQO5" s="390"/>
      <c r="FQP5" s="390"/>
      <c r="FQQ5" s="390"/>
      <c r="FQR5" s="390"/>
      <c r="FQS5" s="390"/>
      <c r="FQT5" s="390"/>
      <c r="FQU5" s="390"/>
      <c r="FQV5" s="390"/>
      <c r="FQW5" s="390"/>
      <c r="FQX5" s="390"/>
      <c r="FQY5" s="390"/>
      <c r="FQZ5" s="390"/>
      <c r="FRA5" s="390"/>
      <c r="FRB5" s="390"/>
      <c r="FRC5" s="390"/>
      <c r="FRD5" s="390"/>
      <c r="FRE5" s="390"/>
      <c r="FRF5" s="390"/>
      <c r="FRG5" s="390"/>
      <c r="FRH5" s="390"/>
      <c r="FRI5" s="390"/>
      <c r="FRJ5" s="390"/>
      <c r="FRK5" s="390"/>
      <c r="FRL5" s="390"/>
      <c r="FRM5" s="390"/>
      <c r="FRN5" s="390"/>
      <c r="FRO5" s="390"/>
      <c r="FRP5" s="390"/>
      <c r="FRQ5" s="390"/>
      <c r="FRR5" s="390"/>
      <c r="FRS5" s="390"/>
      <c r="FRT5" s="390"/>
      <c r="FRU5" s="390"/>
      <c r="FRV5" s="390"/>
      <c r="FRW5" s="390"/>
      <c r="FRX5" s="390"/>
      <c r="FRY5" s="390"/>
      <c r="FRZ5" s="390"/>
      <c r="FSA5" s="390"/>
      <c r="FSB5" s="390"/>
      <c r="FSC5" s="390"/>
      <c r="FSD5" s="390"/>
      <c r="FSE5" s="390"/>
      <c r="FSF5" s="390"/>
      <c r="FSG5" s="390"/>
      <c r="FSH5" s="390"/>
      <c r="FSI5" s="390"/>
      <c r="FSJ5" s="390"/>
      <c r="FSK5" s="390"/>
      <c r="FSL5" s="390"/>
      <c r="FSM5" s="390"/>
      <c r="FSN5" s="390"/>
      <c r="FSO5" s="390"/>
      <c r="FSP5" s="390"/>
      <c r="FSQ5" s="390"/>
      <c r="FSR5" s="390"/>
      <c r="FSS5" s="390"/>
      <c r="FST5" s="390"/>
      <c r="FSU5" s="390"/>
      <c r="FSV5" s="390"/>
      <c r="FSW5" s="390"/>
      <c r="FSX5" s="390"/>
      <c r="FSY5" s="390"/>
      <c r="FSZ5" s="390"/>
      <c r="FTA5" s="390"/>
      <c r="FTB5" s="390"/>
      <c r="FTC5" s="390"/>
      <c r="FTD5" s="390"/>
      <c r="FTE5" s="390"/>
      <c r="FTF5" s="390"/>
      <c r="FTG5" s="390"/>
      <c r="FTH5" s="390"/>
      <c r="FTI5" s="390"/>
      <c r="FTJ5" s="390"/>
      <c r="FTK5" s="390"/>
      <c r="FTL5" s="390"/>
      <c r="FTM5" s="390"/>
      <c r="FTN5" s="390"/>
      <c r="FTO5" s="390"/>
      <c r="FTP5" s="390"/>
      <c r="FTQ5" s="390"/>
      <c r="FTR5" s="390"/>
      <c r="FTS5" s="390"/>
      <c r="FTT5" s="390"/>
      <c r="FTU5" s="390"/>
      <c r="FTV5" s="390"/>
      <c r="FTW5" s="390"/>
      <c r="FTX5" s="390"/>
      <c r="FTY5" s="390"/>
      <c r="FTZ5" s="390"/>
      <c r="FUA5" s="390"/>
      <c r="FUB5" s="390"/>
      <c r="FUC5" s="390"/>
      <c r="FUD5" s="390"/>
      <c r="FUE5" s="390"/>
      <c r="FUF5" s="390"/>
      <c r="FUG5" s="390"/>
      <c r="FUH5" s="390"/>
      <c r="FUI5" s="390"/>
      <c r="FUJ5" s="390"/>
      <c r="FUK5" s="390"/>
      <c r="FUL5" s="390"/>
      <c r="FUM5" s="390"/>
      <c r="FUN5" s="390"/>
      <c r="FUO5" s="390"/>
      <c r="FUP5" s="390"/>
      <c r="FUQ5" s="390"/>
      <c r="FUR5" s="390"/>
      <c r="FUS5" s="390"/>
      <c r="FUT5" s="390"/>
      <c r="FUU5" s="390"/>
      <c r="FUV5" s="390"/>
      <c r="FUW5" s="390"/>
      <c r="FUX5" s="390"/>
      <c r="FUY5" s="390"/>
      <c r="FUZ5" s="390"/>
      <c r="FVA5" s="390"/>
      <c r="FVB5" s="390"/>
      <c r="FVC5" s="390"/>
      <c r="FVD5" s="390"/>
      <c r="FVE5" s="390"/>
      <c r="FVF5" s="390"/>
      <c r="FVG5" s="390"/>
      <c r="FVH5" s="390"/>
      <c r="FVI5" s="390"/>
      <c r="FVJ5" s="390"/>
      <c r="FVK5" s="390"/>
      <c r="FVL5" s="390"/>
      <c r="FVM5" s="390"/>
      <c r="FVN5" s="390"/>
      <c r="FVO5" s="390"/>
      <c r="FVP5" s="390"/>
      <c r="FVQ5" s="390"/>
      <c r="FVR5" s="390"/>
      <c r="FVS5" s="390"/>
      <c r="FVT5" s="390"/>
      <c r="FVU5" s="390"/>
      <c r="FVV5" s="390"/>
      <c r="FVW5" s="390"/>
      <c r="FVX5" s="390"/>
      <c r="FVY5" s="390"/>
      <c r="FVZ5" s="390"/>
      <c r="FWA5" s="390"/>
      <c r="FWB5" s="390"/>
      <c r="FWC5" s="390"/>
      <c r="FWD5" s="390"/>
      <c r="FWE5" s="390"/>
      <c r="FWF5" s="390"/>
      <c r="FWG5" s="390"/>
      <c r="FWH5" s="390"/>
      <c r="FWI5" s="390"/>
      <c r="FWJ5" s="390"/>
      <c r="FWK5" s="390"/>
      <c r="FWL5" s="390"/>
      <c r="FWM5" s="390"/>
      <c r="FWN5" s="390"/>
      <c r="FWO5" s="390"/>
      <c r="FWP5" s="390"/>
      <c r="FWQ5" s="390"/>
      <c r="FWR5" s="390"/>
      <c r="FWS5" s="390"/>
      <c r="FWT5" s="390"/>
      <c r="FWU5" s="390"/>
      <c r="FWV5" s="390"/>
      <c r="FWW5" s="390"/>
      <c r="FWX5" s="390"/>
      <c r="FWY5" s="390"/>
      <c r="FWZ5" s="390"/>
      <c r="FXA5" s="390"/>
      <c r="FXB5" s="390"/>
      <c r="FXC5" s="390"/>
      <c r="FXD5" s="390"/>
      <c r="FXE5" s="390"/>
      <c r="FXF5" s="390"/>
      <c r="FXG5" s="390"/>
      <c r="FXH5" s="390"/>
      <c r="FXI5" s="390"/>
      <c r="FXJ5" s="390"/>
      <c r="FXK5" s="390"/>
      <c r="FXL5" s="390"/>
      <c r="FXM5" s="390"/>
      <c r="FXN5" s="390"/>
      <c r="FXO5" s="390"/>
      <c r="FXP5" s="390"/>
      <c r="FXQ5" s="390"/>
      <c r="FXR5" s="390"/>
      <c r="FXS5" s="390"/>
      <c r="FXT5" s="390"/>
      <c r="FXU5" s="390"/>
      <c r="FXV5" s="390"/>
      <c r="FXW5" s="390"/>
      <c r="FXX5" s="390"/>
      <c r="FXY5" s="390"/>
      <c r="FXZ5" s="390"/>
      <c r="FYA5" s="390"/>
      <c r="FYB5" s="390"/>
      <c r="FYC5" s="390"/>
      <c r="FYD5" s="390"/>
      <c r="FYE5" s="390"/>
      <c r="FYF5" s="390"/>
      <c r="FYG5" s="390"/>
      <c r="FYH5" s="390"/>
      <c r="FYI5" s="390"/>
      <c r="FYJ5" s="390"/>
      <c r="FYK5" s="390"/>
      <c r="FYL5" s="390"/>
      <c r="FYM5" s="390"/>
      <c r="FYN5" s="390"/>
      <c r="FYO5" s="390"/>
      <c r="FYP5" s="390"/>
      <c r="FYQ5" s="390"/>
      <c r="FYR5" s="390"/>
      <c r="FYS5" s="390"/>
      <c r="FYT5" s="390"/>
      <c r="FYU5" s="390"/>
      <c r="FYV5" s="390"/>
      <c r="FYW5" s="390"/>
      <c r="FYX5" s="390"/>
      <c r="FYY5" s="390"/>
      <c r="FYZ5" s="390"/>
      <c r="FZA5" s="390"/>
      <c r="FZB5" s="390"/>
      <c r="FZC5" s="390"/>
      <c r="FZD5" s="390"/>
      <c r="FZE5" s="390"/>
      <c r="FZF5" s="390"/>
      <c r="FZG5" s="390"/>
      <c r="FZH5" s="390"/>
      <c r="FZI5" s="390"/>
      <c r="FZJ5" s="390"/>
      <c r="FZK5" s="390"/>
      <c r="FZL5" s="390"/>
      <c r="FZM5" s="390"/>
      <c r="FZN5" s="390"/>
      <c r="FZO5" s="390"/>
      <c r="FZP5" s="390"/>
      <c r="FZQ5" s="390"/>
      <c r="FZR5" s="390"/>
      <c r="FZS5" s="390"/>
      <c r="FZT5" s="390"/>
      <c r="FZU5" s="390"/>
      <c r="FZV5" s="390"/>
      <c r="FZW5" s="390"/>
      <c r="FZX5" s="390"/>
      <c r="FZY5" s="390"/>
      <c r="FZZ5" s="390"/>
      <c r="GAA5" s="390"/>
      <c r="GAB5" s="390"/>
      <c r="GAC5" s="390"/>
      <c r="GAD5" s="390"/>
      <c r="GAE5" s="390"/>
      <c r="GAF5" s="390"/>
      <c r="GAG5" s="390"/>
      <c r="GAH5" s="390"/>
      <c r="GAI5" s="390"/>
      <c r="GAJ5" s="390"/>
      <c r="GAK5" s="390"/>
      <c r="GAL5" s="390"/>
      <c r="GAM5" s="390"/>
      <c r="GAN5" s="390"/>
      <c r="GAO5" s="390"/>
      <c r="GAP5" s="390"/>
      <c r="GAQ5" s="390"/>
      <c r="GAR5" s="390"/>
      <c r="GAS5" s="390"/>
      <c r="GAT5" s="390"/>
      <c r="GAU5" s="390"/>
      <c r="GAV5" s="390"/>
      <c r="GAW5" s="390"/>
      <c r="GAX5" s="390"/>
      <c r="GAY5" s="390"/>
      <c r="GAZ5" s="390"/>
      <c r="GBA5" s="390"/>
      <c r="GBB5" s="390"/>
      <c r="GBC5" s="390"/>
      <c r="GBD5" s="390"/>
      <c r="GBE5" s="390"/>
      <c r="GBF5" s="390"/>
      <c r="GBG5" s="390"/>
      <c r="GBH5" s="390"/>
      <c r="GBI5" s="390"/>
      <c r="GBJ5" s="390"/>
      <c r="GBK5" s="390"/>
      <c r="GBL5" s="390"/>
      <c r="GBM5" s="390"/>
      <c r="GBN5" s="390"/>
      <c r="GBO5" s="390"/>
      <c r="GBP5" s="390"/>
      <c r="GBQ5" s="390"/>
      <c r="GBR5" s="390"/>
      <c r="GBS5" s="390"/>
      <c r="GBT5" s="390"/>
      <c r="GBU5" s="390"/>
      <c r="GBV5" s="390"/>
      <c r="GBW5" s="390"/>
      <c r="GBX5" s="390"/>
      <c r="GBY5" s="390"/>
      <c r="GBZ5" s="390"/>
      <c r="GCA5" s="390"/>
      <c r="GCB5" s="390"/>
      <c r="GCC5" s="390"/>
      <c r="GCD5" s="390"/>
      <c r="GCE5" s="390"/>
      <c r="GCF5" s="390"/>
      <c r="GCG5" s="390"/>
      <c r="GCH5" s="390"/>
      <c r="GCI5" s="390"/>
      <c r="GCJ5" s="390"/>
      <c r="GCK5" s="390"/>
      <c r="GCL5" s="390"/>
      <c r="GCM5" s="390"/>
      <c r="GCN5" s="390"/>
      <c r="GCO5" s="390"/>
      <c r="GCP5" s="390"/>
      <c r="GCQ5" s="390"/>
      <c r="GCR5" s="390"/>
      <c r="GCS5" s="390"/>
      <c r="GCT5" s="390"/>
      <c r="GCU5" s="390"/>
      <c r="GCV5" s="390"/>
      <c r="GCW5" s="390"/>
      <c r="GCX5" s="390"/>
      <c r="GCY5" s="390"/>
      <c r="GCZ5" s="390"/>
      <c r="GDA5" s="390"/>
      <c r="GDB5" s="390"/>
      <c r="GDC5" s="390"/>
      <c r="GDD5" s="390"/>
      <c r="GDE5" s="390"/>
      <c r="GDF5" s="390"/>
      <c r="GDG5" s="390"/>
      <c r="GDH5" s="390"/>
      <c r="GDI5" s="390"/>
      <c r="GDJ5" s="390"/>
      <c r="GDK5" s="390"/>
      <c r="GDL5" s="390"/>
      <c r="GDM5" s="390"/>
      <c r="GDN5" s="390"/>
      <c r="GDO5" s="390"/>
      <c r="GDP5" s="390"/>
      <c r="GDQ5" s="390"/>
      <c r="GDR5" s="390"/>
      <c r="GDS5" s="390"/>
      <c r="GDT5" s="390"/>
      <c r="GDU5" s="390"/>
      <c r="GDV5" s="390"/>
      <c r="GDW5" s="390"/>
      <c r="GDX5" s="390"/>
      <c r="GDY5" s="390"/>
      <c r="GDZ5" s="390"/>
      <c r="GEA5" s="390"/>
      <c r="GEB5" s="390"/>
      <c r="GEC5" s="390"/>
      <c r="GED5" s="390"/>
      <c r="GEE5" s="390"/>
      <c r="GEF5" s="390"/>
      <c r="GEG5" s="390"/>
      <c r="GEH5" s="390"/>
      <c r="GEI5" s="390"/>
      <c r="GEJ5" s="390"/>
      <c r="GEK5" s="390"/>
      <c r="GEL5" s="390"/>
      <c r="GEM5" s="390"/>
      <c r="GEN5" s="390"/>
      <c r="GEO5" s="390"/>
      <c r="GEP5" s="390"/>
      <c r="GEQ5" s="390"/>
      <c r="GER5" s="390"/>
      <c r="GES5" s="390"/>
      <c r="GET5" s="390"/>
      <c r="GEU5" s="390"/>
      <c r="GEV5" s="390"/>
      <c r="GEW5" s="390"/>
      <c r="GEX5" s="390"/>
      <c r="GEY5" s="390"/>
      <c r="GEZ5" s="390"/>
      <c r="GFA5" s="390"/>
      <c r="GFB5" s="390"/>
      <c r="GFC5" s="390"/>
      <c r="GFD5" s="390"/>
      <c r="GFE5" s="390"/>
      <c r="GFF5" s="390"/>
      <c r="GFG5" s="390"/>
      <c r="GFH5" s="390"/>
      <c r="GFI5" s="390"/>
      <c r="GFJ5" s="390"/>
      <c r="GFK5" s="390"/>
      <c r="GFL5" s="390"/>
      <c r="GFM5" s="390"/>
      <c r="GFN5" s="390"/>
      <c r="GFO5" s="390"/>
      <c r="GFP5" s="390"/>
      <c r="GFQ5" s="390"/>
      <c r="GFR5" s="390"/>
      <c r="GFS5" s="390"/>
      <c r="GFT5" s="390"/>
      <c r="GFU5" s="390"/>
      <c r="GFV5" s="390"/>
      <c r="GFW5" s="390"/>
      <c r="GFX5" s="390"/>
      <c r="GFY5" s="390"/>
      <c r="GFZ5" s="390"/>
      <c r="GGA5" s="390"/>
      <c r="GGB5" s="390"/>
      <c r="GGC5" s="390"/>
      <c r="GGD5" s="390"/>
      <c r="GGE5" s="390"/>
      <c r="GGF5" s="390"/>
      <c r="GGG5" s="390"/>
      <c r="GGH5" s="390"/>
      <c r="GGI5" s="390"/>
      <c r="GGJ5" s="390"/>
      <c r="GGK5" s="390"/>
      <c r="GGL5" s="390"/>
      <c r="GGM5" s="390"/>
      <c r="GGN5" s="390"/>
      <c r="GGO5" s="390"/>
      <c r="GGP5" s="390"/>
      <c r="GGQ5" s="390"/>
      <c r="GGR5" s="390"/>
      <c r="GGS5" s="390"/>
      <c r="GGT5" s="390"/>
      <c r="GGU5" s="390"/>
      <c r="GGV5" s="390"/>
      <c r="GGW5" s="390"/>
      <c r="GGX5" s="390"/>
      <c r="GGY5" s="390"/>
      <c r="GGZ5" s="390"/>
      <c r="GHA5" s="390"/>
      <c r="GHB5" s="390"/>
      <c r="GHC5" s="390"/>
      <c r="GHD5" s="390"/>
      <c r="GHE5" s="390"/>
      <c r="GHF5" s="390"/>
      <c r="GHG5" s="390"/>
      <c r="GHH5" s="390"/>
      <c r="GHI5" s="390"/>
      <c r="GHJ5" s="390"/>
      <c r="GHK5" s="390"/>
      <c r="GHL5" s="390"/>
      <c r="GHM5" s="390"/>
      <c r="GHN5" s="390"/>
      <c r="GHO5" s="390"/>
      <c r="GHP5" s="390"/>
      <c r="GHQ5" s="390"/>
      <c r="GHR5" s="390"/>
      <c r="GHS5" s="390"/>
      <c r="GHT5" s="390"/>
      <c r="GHU5" s="390"/>
      <c r="GHV5" s="390"/>
      <c r="GHW5" s="390"/>
      <c r="GHX5" s="390"/>
      <c r="GHY5" s="390"/>
      <c r="GHZ5" s="390"/>
      <c r="GIA5" s="390"/>
      <c r="GIB5" s="390"/>
      <c r="GIC5" s="390"/>
      <c r="GID5" s="390"/>
      <c r="GIE5" s="390"/>
      <c r="GIF5" s="390"/>
      <c r="GIG5" s="390"/>
      <c r="GIH5" s="390"/>
      <c r="GII5" s="390"/>
      <c r="GIJ5" s="390"/>
      <c r="GIK5" s="390"/>
      <c r="GIL5" s="390"/>
      <c r="GIM5" s="390"/>
      <c r="GIN5" s="390"/>
      <c r="GIO5" s="390"/>
      <c r="GIP5" s="390"/>
      <c r="GIQ5" s="390"/>
      <c r="GIR5" s="390"/>
      <c r="GIS5" s="390"/>
      <c r="GIT5" s="390"/>
      <c r="GIU5" s="390"/>
      <c r="GIV5" s="390"/>
      <c r="GIW5" s="390"/>
      <c r="GIX5" s="390"/>
      <c r="GIY5" s="390"/>
      <c r="GIZ5" s="390"/>
      <c r="GJA5" s="390"/>
      <c r="GJB5" s="390"/>
      <c r="GJC5" s="390"/>
      <c r="GJD5" s="390"/>
      <c r="GJE5" s="390"/>
      <c r="GJF5" s="390"/>
      <c r="GJG5" s="390"/>
      <c r="GJH5" s="390"/>
      <c r="GJI5" s="390"/>
      <c r="GJJ5" s="390"/>
      <c r="GJK5" s="390"/>
      <c r="GJL5" s="390"/>
      <c r="GJM5" s="390"/>
      <c r="GJN5" s="390"/>
      <c r="GJO5" s="390"/>
      <c r="GJP5" s="390"/>
      <c r="GJQ5" s="390"/>
      <c r="GJR5" s="390"/>
      <c r="GJS5" s="390"/>
      <c r="GJT5" s="390"/>
      <c r="GJU5" s="390"/>
      <c r="GJV5" s="390"/>
      <c r="GJW5" s="390"/>
      <c r="GJX5" s="390"/>
      <c r="GJY5" s="390"/>
      <c r="GJZ5" s="390"/>
      <c r="GKA5" s="390"/>
      <c r="GKB5" s="390"/>
      <c r="GKC5" s="390"/>
      <c r="GKD5" s="390"/>
      <c r="GKE5" s="390"/>
      <c r="GKF5" s="390"/>
      <c r="GKG5" s="390"/>
      <c r="GKH5" s="390"/>
      <c r="GKI5" s="390"/>
      <c r="GKJ5" s="390"/>
      <c r="GKK5" s="390"/>
      <c r="GKL5" s="390"/>
      <c r="GKM5" s="390"/>
      <c r="GKN5" s="390"/>
      <c r="GKO5" s="390"/>
      <c r="GKP5" s="390"/>
      <c r="GKQ5" s="390"/>
      <c r="GKR5" s="390"/>
      <c r="GKS5" s="390"/>
      <c r="GKT5" s="390"/>
      <c r="GKU5" s="390"/>
      <c r="GKV5" s="390"/>
      <c r="GKW5" s="390"/>
      <c r="GKX5" s="390"/>
      <c r="GKY5" s="390"/>
      <c r="GKZ5" s="390"/>
      <c r="GLA5" s="390"/>
      <c r="GLB5" s="390"/>
      <c r="GLC5" s="390"/>
      <c r="GLD5" s="390"/>
      <c r="GLE5" s="390"/>
      <c r="GLF5" s="390"/>
      <c r="GLG5" s="390"/>
      <c r="GLH5" s="390"/>
      <c r="GLI5" s="390"/>
      <c r="GLJ5" s="390"/>
      <c r="GLK5" s="390"/>
      <c r="GLL5" s="390"/>
      <c r="GLM5" s="390"/>
      <c r="GLN5" s="390"/>
      <c r="GLO5" s="390"/>
      <c r="GLP5" s="390"/>
      <c r="GLQ5" s="390"/>
      <c r="GLR5" s="390"/>
      <c r="GLS5" s="390"/>
      <c r="GLT5" s="390"/>
      <c r="GLU5" s="390"/>
      <c r="GLV5" s="390"/>
      <c r="GLW5" s="390"/>
      <c r="GLX5" s="390"/>
      <c r="GLY5" s="390"/>
      <c r="GLZ5" s="390"/>
      <c r="GMA5" s="390"/>
      <c r="GMB5" s="390"/>
      <c r="GMC5" s="390"/>
      <c r="GMD5" s="390"/>
      <c r="GME5" s="390"/>
      <c r="GMF5" s="390"/>
      <c r="GMG5" s="390"/>
      <c r="GMH5" s="390"/>
      <c r="GMI5" s="390"/>
      <c r="GMJ5" s="390"/>
      <c r="GMK5" s="390"/>
      <c r="GML5" s="390"/>
      <c r="GMM5" s="390"/>
      <c r="GMN5" s="390"/>
      <c r="GMO5" s="390"/>
      <c r="GMP5" s="390"/>
      <c r="GMQ5" s="390"/>
      <c r="GMR5" s="390"/>
      <c r="GMS5" s="390"/>
      <c r="GMT5" s="390"/>
      <c r="GMU5" s="390"/>
      <c r="GMV5" s="390"/>
      <c r="GMW5" s="390"/>
      <c r="GMX5" s="390"/>
      <c r="GMY5" s="390"/>
      <c r="GMZ5" s="390"/>
      <c r="GNA5" s="390"/>
      <c r="GNB5" s="390"/>
      <c r="GNC5" s="390"/>
      <c r="GND5" s="390"/>
      <c r="GNE5" s="390"/>
      <c r="GNF5" s="390"/>
      <c r="GNG5" s="390"/>
      <c r="GNH5" s="390"/>
      <c r="GNI5" s="390"/>
      <c r="GNJ5" s="390"/>
      <c r="GNK5" s="390"/>
      <c r="GNL5" s="390"/>
      <c r="GNM5" s="390"/>
      <c r="GNN5" s="390"/>
      <c r="GNO5" s="390"/>
      <c r="GNP5" s="390"/>
      <c r="GNQ5" s="390"/>
      <c r="GNR5" s="390"/>
      <c r="GNS5" s="390"/>
      <c r="GNT5" s="390"/>
      <c r="GNU5" s="390"/>
      <c r="GNV5" s="390"/>
      <c r="GNW5" s="390"/>
      <c r="GNX5" s="390"/>
      <c r="GNY5" s="390"/>
      <c r="GNZ5" s="390"/>
      <c r="GOA5" s="390"/>
      <c r="GOB5" s="390"/>
      <c r="GOC5" s="390"/>
      <c r="GOD5" s="390"/>
      <c r="GOE5" s="390"/>
      <c r="GOF5" s="390"/>
      <c r="GOG5" s="390"/>
      <c r="GOH5" s="390"/>
      <c r="GOI5" s="390"/>
      <c r="GOJ5" s="390"/>
      <c r="GOK5" s="390"/>
      <c r="GOL5" s="390"/>
      <c r="GOM5" s="390"/>
      <c r="GON5" s="390"/>
      <c r="GOO5" s="390"/>
      <c r="GOP5" s="390"/>
      <c r="GOQ5" s="390"/>
      <c r="GOR5" s="390"/>
      <c r="GOS5" s="390"/>
      <c r="GOT5" s="390"/>
      <c r="GOU5" s="390"/>
      <c r="GOV5" s="390"/>
      <c r="GOW5" s="390"/>
      <c r="GOX5" s="390"/>
      <c r="GOY5" s="390"/>
      <c r="GOZ5" s="390"/>
      <c r="GPA5" s="390"/>
      <c r="GPB5" s="390"/>
      <c r="GPC5" s="390"/>
      <c r="GPD5" s="390"/>
      <c r="GPE5" s="390"/>
      <c r="GPF5" s="390"/>
      <c r="GPG5" s="390"/>
      <c r="GPH5" s="390"/>
      <c r="GPI5" s="390"/>
      <c r="GPJ5" s="390"/>
      <c r="GPK5" s="390"/>
      <c r="GPL5" s="390"/>
      <c r="GPM5" s="390"/>
      <c r="GPN5" s="390"/>
      <c r="GPO5" s="390"/>
      <c r="GPP5" s="390"/>
      <c r="GPQ5" s="390"/>
      <c r="GPR5" s="390"/>
      <c r="GPS5" s="390"/>
      <c r="GPT5" s="390"/>
      <c r="GPU5" s="390"/>
      <c r="GPV5" s="390"/>
      <c r="GPW5" s="390"/>
      <c r="GPX5" s="390"/>
      <c r="GPY5" s="390"/>
      <c r="GPZ5" s="390"/>
      <c r="GQA5" s="390"/>
      <c r="GQB5" s="390"/>
      <c r="GQC5" s="390"/>
      <c r="GQD5" s="390"/>
      <c r="GQE5" s="390"/>
      <c r="GQF5" s="390"/>
      <c r="GQG5" s="390"/>
      <c r="GQH5" s="390"/>
      <c r="GQI5" s="390"/>
      <c r="GQJ5" s="390"/>
      <c r="GQK5" s="390"/>
      <c r="GQL5" s="390"/>
      <c r="GQM5" s="390"/>
      <c r="GQN5" s="390"/>
      <c r="GQO5" s="390"/>
      <c r="GQP5" s="390"/>
      <c r="GQQ5" s="390"/>
      <c r="GQR5" s="390"/>
      <c r="GQS5" s="390"/>
      <c r="GQT5" s="390"/>
      <c r="GQU5" s="390"/>
      <c r="GQV5" s="390"/>
      <c r="GQW5" s="390"/>
      <c r="GQX5" s="390"/>
      <c r="GQY5" s="390"/>
      <c r="GQZ5" s="390"/>
      <c r="GRA5" s="390"/>
      <c r="GRB5" s="390"/>
      <c r="GRC5" s="390"/>
      <c r="GRD5" s="390"/>
      <c r="GRE5" s="390"/>
      <c r="GRF5" s="390"/>
      <c r="GRG5" s="390"/>
      <c r="GRH5" s="390"/>
      <c r="GRI5" s="390"/>
      <c r="GRJ5" s="390"/>
      <c r="GRK5" s="390"/>
      <c r="GRL5" s="390"/>
      <c r="GRM5" s="390"/>
      <c r="GRN5" s="390"/>
      <c r="GRO5" s="390"/>
      <c r="GRP5" s="390"/>
      <c r="GRQ5" s="390"/>
      <c r="GRR5" s="390"/>
      <c r="GRS5" s="390"/>
      <c r="GRT5" s="390"/>
      <c r="GRU5" s="390"/>
      <c r="GRV5" s="390"/>
      <c r="GRW5" s="390"/>
      <c r="GRX5" s="390"/>
      <c r="GRY5" s="390"/>
      <c r="GRZ5" s="390"/>
      <c r="GSA5" s="390"/>
      <c r="GSB5" s="390"/>
      <c r="GSC5" s="390"/>
      <c r="GSD5" s="390"/>
      <c r="GSE5" s="390"/>
      <c r="GSF5" s="390"/>
      <c r="GSG5" s="390"/>
      <c r="GSH5" s="390"/>
      <c r="GSI5" s="390"/>
      <c r="GSJ5" s="390"/>
      <c r="GSK5" s="390"/>
      <c r="GSL5" s="390"/>
      <c r="GSM5" s="390"/>
      <c r="GSN5" s="390"/>
      <c r="GSO5" s="390"/>
      <c r="GSP5" s="390"/>
      <c r="GSQ5" s="390"/>
      <c r="GSR5" s="390"/>
      <c r="GSS5" s="390"/>
      <c r="GST5" s="390"/>
      <c r="GSU5" s="390"/>
      <c r="GSV5" s="390"/>
      <c r="GSW5" s="390"/>
      <c r="GSX5" s="390"/>
      <c r="GSY5" s="390"/>
      <c r="GSZ5" s="390"/>
      <c r="GTA5" s="390"/>
      <c r="GTB5" s="390"/>
      <c r="GTC5" s="390"/>
      <c r="GTD5" s="390"/>
      <c r="GTE5" s="390"/>
      <c r="GTF5" s="390"/>
      <c r="GTG5" s="390"/>
      <c r="GTH5" s="390"/>
      <c r="GTI5" s="390"/>
      <c r="GTJ5" s="390"/>
      <c r="GTK5" s="390"/>
      <c r="GTL5" s="390"/>
      <c r="GTM5" s="390"/>
      <c r="GTN5" s="390"/>
      <c r="GTO5" s="390"/>
      <c r="GTP5" s="390"/>
      <c r="GTQ5" s="390"/>
      <c r="GTR5" s="390"/>
      <c r="GTS5" s="390"/>
      <c r="GTT5" s="390"/>
      <c r="GTU5" s="390"/>
      <c r="GTV5" s="390"/>
      <c r="GTW5" s="390"/>
      <c r="GTX5" s="390"/>
      <c r="GTY5" s="390"/>
      <c r="GTZ5" s="390"/>
      <c r="GUA5" s="390"/>
      <c r="GUB5" s="390"/>
      <c r="GUC5" s="390"/>
      <c r="GUD5" s="390"/>
      <c r="GUE5" s="390"/>
      <c r="GUF5" s="390"/>
      <c r="GUG5" s="390"/>
      <c r="GUH5" s="390"/>
      <c r="GUI5" s="390"/>
      <c r="GUJ5" s="390"/>
      <c r="GUK5" s="390"/>
      <c r="GUL5" s="390"/>
      <c r="GUM5" s="390"/>
      <c r="GUN5" s="390"/>
      <c r="GUO5" s="390"/>
      <c r="GUP5" s="390"/>
      <c r="GUQ5" s="390"/>
      <c r="GUR5" s="390"/>
      <c r="GUS5" s="390"/>
      <c r="GUT5" s="390"/>
      <c r="GUU5" s="390"/>
      <c r="GUV5" s="390"/>
      <c r="GUW5" s="390"/>
      <c r="GUX5" s="390"/>
      <c r="GUY5" s="390"/>
      <c r="GUZ5" s="390"/>
      <c r="GVA5" s="390"/>
      <c r="GVB5" s="390"/>
      <c r="GVC5" s="390"/>
      <c r="GVD5" s="390"/>
      <c r="GVE5" s="390"/>
      <c r="GVF5" s="390"/>
      <c r="GVG5" s="390"/>
      <c r="GVH5" s="390"/>
      <c r="GVI5" s="390"/>
      <c r="GVJ5" s="390"/>
      <c r="GVK5" s="390"/>
      <c r="GVL5" s="390"/>
      <c r="GVM5" s="390"/>
      <c r="GVN5" s="390"/>
      <c r="GVO5" s="390"/>
      <c r="GVP5" s="390"/>
      <c r="GVQ5" s="390"/>
      <c r="GVR5" s="390"/>
      <c r="GVS5" s="390"/>
      <c r="GVT5" s="390"/>
      <c r="GVU5" s="390"/>
      <c r="GVV5" s="390"/>
      <c r="GVW5" s="390"/>
      <c r="GVX5" s="390"/>
      <c r="GVY5" s="390"/>
      <c r="GVZ5" s="390"/>
      <c r="GWA5" s="390"/>
      <c r="GWB5" s="390"/>
      <c r="GWC5" s="390"/>
      <c r="GWD5" s="390"/>
      <c r="GWE5" s="390"/>
      <c r="GWF5" s="390"/>
      <c r="GWG5" s="390"/>
      <c r="GWH5" s="390"/>
      <c r="GWI5" s="390"/>
      <c r="GWJ5" s="390"/>
      <c r="GWK5" s="390"/>
      <c r="GWL5" s="390"/>
      <c r="GWM5" s="390"/>
      <c r="GWN5" s="390"/>
      <c r="GWO5" s="390"/>
      <c r="GWP5" s="390"/>
      <c r="GWQ5" s="390"/>
      <c r="GWR5" s="390"/>
      <c r="GWS5" s="390"/>
      <c r="GWT5" s="390"/>
      <c r="GWU5" s="390"/>
      <c r="GWV5" s="390"/>
      <c r="GWW5" s="390"/>
      <c r="GWX5" s="390"/>
      <c r="GWY5" s="390"/>
      <c r="GWZ5" s="390"/>
      <c r="GXA5" s="390"/>
      <c r="GXB5" s="390"/>
      <c r="GXC5" s="390"/>
      <c r="GXD5" s="390"/>
      <c r="GXE5" s="390"/>
      <c r="GXF5" s="390"/>
      <c r="GXG5" s="390"/>
      <c r="GXH5" s="390"/>
      <c r="GXI5" s="390"/>
      <c r="GXJ5" s="390"/>
      <c r="GXK5" s="390"/>
      <c r="GXL5" s="390"/>
      <c r="GXM5" s="390"/>
      <c r="GXN5" s="390"/>
      <c r="GXO5" s="390"/>
      <c r="GXP5" s="390"/>
      <c r="GXQ5" s="390"/>
      <c r="GXR5" s="390"/>
      <c r="GXS5" s="390"/>
      <c r="GXT5" s="390"/>
      <c r="GXU5" s="390"/>
      <c r="GXV5" s="390"/>
      <c r="GXW5" s="390"/>
      <c r="GXX5" s="390"/>
      <c r="GXY5" s="390"/>
      <c r="GXZ5" s="390"/>
      <c r="GYA5" s="390"/>
      <c r="GYB5" s="390"/>
      <c r="GYC5" s="390"/>
      <c r="GYD5" s="390"/>
      <c r="GYE5" s="390"/>
      <c r="GYF5" s="390"/>
      <c r="GYG5" s="390"/>
      <c r="GYH5" s="390"/>
      <c r="GYI5" s="390"/>
      <c r="GYJ5" s="390"/>
      <c r="GYK5" s="390"/>
      <c r="GYL5" s="390"/>
      <c r="GYM5" s="390"/>
      <c r="GYN5" s="390"/>
      <c r="GYO5" s="390"/>
      <c r="GYP5" s="390"/>
      <c r="GYQ5" s="390"/>
      <c r="GYR5" s="390"/>
      <c r="GYS5" s="390"/>
      <c r="GYT5" s="390"/>
      <c r="GYU5" s="390"/>
      <c r="GYV5" s="390"/>
      <c r="GYW5" s="390"/>
      <c r="GYX5" s="390"/>
      <c r="GYY5" s="390"/>
      <c r="GYZ5" s="390"/>
      <c r="GZA5" s="390"/>
      <c r="GZB5" s="390"/>
      <c r="GZC5" s="390"/>
      <c r="GZD5" s="390"/>
      <c r="GZE5" s="390"/>
      <c r="GZF5" s="390"/>
      <c r="GZG5" s="390"/>
      <c r="GZH5" s="390"/>
      <c r="GZI5" s="390"/>
      <c r="GZJ5" s="390"/>
      <c r="GZK5" s="390"/>
      <c r="GZL5" s="390"/>
      <c r="GZM5" s="390"/>
      <c r="GZN5" s="390"/>
      <c r="GZO5" s="390"/>
      <c r="GZP5" s="390"/>
      <c r="GZQ5" s="390"/>
      <c r="GZR5" s="390"/>
      <c r="GZS5" s="390"/>
      <c r="GZT5" s="390"/>
      <c r="GZU5" s="390"/>
      <c r="GZV5" s="390"/>
      <c r="GZW5" s="390"/>
      <c r="GZX5" s="390"/>
      <c r="GZY5" s="390"/>
      <c r="GZZ5" s="390"/>
      <c r="HAA5" s="390"/>
      <c r="HAB5" s="390"/>
      <c r="HAC5" s="390"/>
      <c r="HAD5" s="390"/>
      <c r="HAE5" s="390"/>
      <c r="HAF5" s="390"/>
      <c r="HAG5" s="390"/>
      <c r="HAH5" s="390"/>
      <c r="HAI5" s="390"/>
      <c r="HAJ5" s="390"/>
      <c r="HAK5" s="390"/>
      <c r="HAL5" s="390"/>
      <c r="HAM5" s="390"/>
      <c r="HAN5" s="390"/>
      <c r="HAO5" s="390"/>
      <c r="HAP5" s="390"/>
      <c r="HAQ5" s="390"/>
      <c r="HAR5" s="390"/>
      <c r="HAS5" s="390"/>
      <c r="HAT5" s="390"/>
      <c r="HAU5" s="390"/>
      <c r="HAV5" s="390"/>
      <c r="HAW5" s="390"/>
      <c r="HAX5" s="390"/>
      <c r="HAY5" s="390"/>
      <c r="HAZ5" s="390"/>
      <c r="HBA5" s="390"/>
      <c r="HBB5" s="390"/>
      <c r="HBC5" s="390"/>
      <c r="HBD5" s="390"/>
      <c r="HBE5" s="390"/>
      <c r="HBF5" s="390"/>
      <c r="HBG5" s="390"/>
      <c r="HBH5" s="390"/>
      <c r="HBI5" s="390"/>
      <c r="HBJ5" s="390"/>
      <c r="HBK5" s="390"/>
      <c r="HBL5" s="390"/>
      <c r="HBM5" s="390"/>
      <c r="HBN5" s="390"/>
      <c r="HBO5" s="390"/>
      <c r="HBP5" s="390"/>
      <c r="HBQ5" s="390"/>
      <c r="HBR5" s="390"/>
      <c r="HBS5" s="390"/>
      <c r="HBT5" s="390"/>
      <c r="HBU5" s="390"/>
      <c r="HBV5" s="390"/>
      <c r="HBW5" s="390"/>
      <c r="HBX5" s="390"/>
      <c r="HBY5" s="390"/>
      <c r="HBZ5" s="390"/>
      <c r="HCA5" s="390"/>
      <c r="HCB5" s="390"/>
      <c r="HCC5" s="390"/>
      <c r="HCD5" s="390"/>
      <c r="HCE5" s="390"/>
      <c r="HCF5" s="390"/>
      <c r="HCG5" s="390"/>
      <c r="HCH5" s="390"/>
      <c r="HCI5" s="390"/>
      <c r="HCJ5" s="390"/>
      <c r="HCK5" s="390"/>
      <c r="HCL5" s="390"/>
      <c r="HCM5" s="390"/>
      <c r="HCN5" s="390"/>
      <c r="HCO5" s="390"/>
      <c r="HCP5" s="390"/>
      <c r="HCQ5" s="390"/>
      <c r="HCR5" s="390"/>
      <c r="HCS5" s="390"/>
      <c r="HCT5" s="390"/>
      <c r="HCU5" s="390"/>
      <c r="HCV5" s="390"/>
      <c r="HCW5" s="390"/>
      <c r="HCX5" s="390"/>
      <c r="HCY5" s="390"/>
      <c r="HCZ5" s="390"/>
      <c r="HDA5" s="390"/>
      <c r="HDB5" s="390"/>
      <c r="HDC5" s="390"/>
      <c r="HDD5" s="390"/>
      <c r="HDE5" s="390"/>
      <c r="HDF5" s="390"/>
      <c r="HDG5" s="390"/>
      <c r="HDH5" s="390"/>
      <c r="HDI5" s="390"/>
      <c r="HDJ5" s="390"/>
      <c r="HDK5" s="390"/>
      <c r="HDL5" s="390"/>
      <c r="HDM5" s="390"/>
      <c r="HDN5" s="390"/>
      <c r="HDO5" s="390"/>
      <c r="HDP5" s="390"/>
      <c r="HDQ5" s="390"/>
      <c r="HDR5" s="390"/>
      <c r="HDS5" s="390"/>
      <c r="HDT5" s="390"/>
      <c r="HDU5" s="390"/>
      <c r="HDV5" s="390"/>
      <c r="HDW5" s="390"/>
      <c r="HDX5" s="390"/>
      <c r="HDY5" s="390"/>
      <c r="HDZ5" s="390"/>
      <c r="HEA5" s="390"/>
      <c r="HEB5" s="390"/>
      <c r="HEC5" s="390"/>
      <c r="HED5" s="390"/>
      <c r="HEE5" s="390"/>
      <c r="HEF5" s="390"/>
      <c r="HEG5" s="390"/>
      <c r="HEH5" s="390"/>
      <c r="HEI5" s="390"/>
      <c r="HEJ5" s="390"/>
      <c r="HEK5" s="390"/>
      <c r="HEL5" s="390"/>
      <c r="HEM5" s="390"/>
      <c r="HEN5" s="390"/>
      <c r="HEO5" s="390"/>
      <c r="HEP5" s="390"/>
      <c r="HEQ5" s="390"/>
      <c r="HER5" s="390"/>
      <c r="HES5" s="390"/>
      <c r="HET5" s="390"/>
      <c r="HEU5" s="390"/>
      <c r="HEV5" s="390"/>
      <c r="HEW5" s="390"/>
      <c r="HEX5" s="390"/>
      <c r="HEY5" s="390"/>
      <c r="HEZ5" s="390"/>
      <c r="HFA5" s="390"/>
      <c r="HFB5" s="390"/>
      <c r="HFC5" s="390"/>
      <c r="HFD5" s="390"/>
      <c r="HFE5" s="390"/>
      <c r="HFF5" s="390"/>
      <c r="HFG5" s="390"/>
      <c r="HFH5" s="390"/>
      <c r="HFI5" s="390"/>
      <c r="HFJ5" s="390"/>
      <c r="HFK5" s="390"/>
      <c r="HFL5" s="390"/>
      <c r="HFM5" s="390"/>
      <c r="HFN5" s="390"/>
      <c r="HFO5" s="390"/>
      <c r="HFP5" s="390"/>
      <c r="HFQ5" s="390"/>
      <c r="HFR5" s="390"/>
      <c r="HFS5" s="390"/>
      <c r="HFT5" s="390"/>
      <c r="HFU5" s="390"/>
      <c r="HFV5" s="390"/>
      <c r="HFW5" s="390"/>
      <c r="HFX5" s="390"/>
      <c r="HFY5" s="390"/>
      <c r="HFZ5" s="390"/>
      <c r="HGA5" s="390"/>
      <c r="HGB5" s="390"/>
      <c r="HGC5" s="390"/>
      <c r="HGD5" s="390"/>
      <c r="HGE5" s="390"/>
      <c r="HGF5" s="390"/>
      <c r="HGG5" s="390"/>
      <c r="HGH5" s="390"/>
      <c r="HGI5" s="390"/>
      <c r="HGJ5" s="390"/>
      <c r="HGK5" s="390"/>
      <c r="HGL5" s="390"/>
      <c r="HGM5" s="390"/>
      <c r="HGN5" s="390"/>
      <c r="HGO5" s="390"/>
      <c r="HGP5" s="390"/>
      <c r="HGQ5" s="390"/>
      <c r="HGR5" s="390"/>
      <c r="HGS5" s="390"/>
      <c r="HGT5" s="390"/>
      <c r="HGU5" s="390"/>
      <c r="HGV5" s="390"/>
      <c r="HGW5" s="390"/>
      <c r="HGX5" s="390"/>
      <c r="HGY5" s="390"/>
      <c r="HGZ5" s="390"/>
      <c r="HHA5" s="390"/>
      <c r="HHB5" s="390"/>
      <c r="HHC5" s="390"/>
      <c r="HHD5" s="390"/>
      <c r="HHE5" s="390"/>
      <c r="HHF5" s="390"/>
      <c r="HHG5" s="390"/>
      <c r="HHH5" s="390"/>
      <c r="HHI5" s="390"/>
      <c r="HHJ5" s="390"/>
      <c r="HHK5" s="390"/>
      <c r="HHL5" s="390"/>
      <c r="HHM5" s="390"/>
      <c r="HHN5" s="390"/>
      <c r="HHO5" s="390"/>
      <c r="HHP5" s="390"/>
      <c r="HHQ5" s="390"/>
      <c r="HHR5" s="390"/>
      <c r="HHS5" s="390"/>
      <c r="HHT5" s="390"/>
      <c r="HHU5" s="390"/>
      <c r="HHV5" s="390"/>
      <c r="HHW5" s="390"/>
      <c r="HHX5" s="390"/>
      <c r="HHY5" s="390"/>
      <c r="HHZ5" s="390"/>
      <c r="HIA5" s="390"/>
      <c r="HIB5" s="390"/>
      <c r="HIC5" s="390"/>
      <c r="HID5" s="390"/>
      <c r="HIE5" s="390"/>
      <c r="HIF5" s="390"/>
      <c r="HIG5" s="390"/>
      <c r="HIH5" s="390"/>
      <c r="HII5" s="390"/>
      <c r="HIJ5" s="390"/>
      <c r="HIK5" s="390"/>
      <c r="HIL5" s="390"/>
      <c r="HIM5" s="390"/>
      <c r="HIN5" s="390"/>
      <c r="HIO5" s="390"/>
      <c r="HIP5" s="390"/>
      <c r="HIQ5" s="390"/>
      <c r="HIR5" s="390"/>
      <c r="HIS5" s="390"/>
      <c r="HIT5" s="390"/>
      <c r="HIU5" s="390"/>
      <c r="HIV5" s="390"/>
      <c r="HIW5" s="390"/>
      <c r="HIX5" s="390"/>
      <c r="HIY5" s="390"/>
      <c r="HIZ5" s="390"/>
      <c r="HJA5" s="390"/>
      <c r="HJB5" s="390"/>
      <c r="HJC5" s="390"/>
      <c r="HJD5" s="390"/>
      <c r="HJE5" s="390"/>
      <c r="HJF5" s="390"/>
      <c r="HJG5" s="390"/>
      <c r="HJH5" s="390"/>
      <c r="HJI5" s="390"/>
      <c r="HJJ5" s="390"/>
      <c r="HJK5" s="390"/>
      <c r="HJL5" s="390"/>
      <c r="HJM5" s="390"/>
      <c r="HJN5" s="390"/>
      <c r="HJO5" s="390"/>
      <c r="HJP5" s="390"/>
      <c r="HJQ5" s="390"/>
      <c r="HJR5" s="390"/>
      <c r="HJS5" s="390"/>
      <c r="HJT5" s="390"/>
      <c r="HJU5" s="390"/>
      <c r="HJV5" s="390"/>
      <c r="HJW5" s="390"/>
      <c r="HJX5" s="390"/>
      <c r="HJY5" s="390"/>
      <c r="HJZ5" s="390"/>
      <c r="HKA5" s="390"/>
      <c r="HKB5" s="390"/>
      <c r="HKC5" s="390"/>
      <c r="HKD5" s="390"/>
      <c r="HKE5" s="390"/>
      <c r="HKF5" s="390"/>
      <c r="HKG5" s="390"/>
      <c r="HKH5" s="390"/>
      <c r="HKI5" s="390"/>
      <c r="HKJ5" s="390"/>
      <c r="HKK5" s="390"/>
      <c r="HKL5" s="390"/>
      <c r="HKM5" s="390"/>
      <c r="HKN5" s="390"/>
      <c r="HKO5" s="390"/>
      <c r="HKP5" s="390"/>
      <c r="HKQ5" s="390"/>
      <c r="HKR5" s="390"/>
      <c r="HKS5" s="390"/>
      <c r="HKT5" s="390"/>
      <c r="HKU5" s="390"/>
      <c r="HKV5" s="390"/>
      <c r="HKW5" s="390"/>
      <c r="HKX5" s="390"/>
      <c r="HKY5" s="390"/>
      <c r="HKZ5" s="390"/>
      <c r="HLA5" s="390"/>
      <c r="HLB5" s="390"/>
      <c r="HLC5" s="390"/>
      <c r="HLD5" s="390"/>
      <c r="HLE5" s="390"/>
      <c r="HLF5" s="390"/>
      <c r="HLG5" s="390"/>
      <c r="HLH5" s="390"/>
      <c r="HLI5" s="390"/>
      <c r="HLJ5" s="390"/>
      <c r="HLK5" s="390"/>
      <c r="HLL5" s="390"/>
      <c r="HLM5" s="390"/>
      <c r="HLN5" s="390"/>
      <c r="HLO5" s="390"/>
      <c r="HLP5" s="390"/>
      <c r="HLQ5" s="390"/>
      <c r="HLR5" s="390"/>
      <c r="HLS5" s="390"/>
      <c r="HLT5" s="390"/>
      <c r="HLU5" s="390"/>
      <c r="HLV5" s="390"/>
      <c r="HLW5" s="390"/>
      <c r="HLX5" s="390"/>
      <c r="HLY5" s="390"/>
      <c r="HLZ5" s="390"/>
      <c r="HMA5" s="390"/>
      <c r="HMB5" s="390"/>
      <c r="HMC5" s="390"/>
      <c r="HMD5" s="390"/>
      <c r="HME5" s="390"/>
      <c r="HMF5" s="390"/>
      <c r="HMG5" s="390"/>
      <c r="HMH5" s="390"/>
      <c r="HMI5" s="390"/>
      <c r="HMJ5" s="390"/>
      <c r="HMK5" s="390"/>
      <c r="HML5" s="390"/>
      <c r="HMM5" s="390"/>
      <c r="HMN5" s="390"/>
      <c r="HMO5" s="390"/>
      <c r="HMP5" s="390"/>
      <c r="HMQ5" s="390"/>
      <c r="HMR5" s="390"/>
      <c r="HMS5" s="390"/>
      <c r="HMT5" s="390"/>
      <c r="HMU5" s="390"/>
      <c r="HMV5" s="390"/>
      <c r="HMW5" s="390"/>
      <c r="HMX5" s="390"/>
      <c r="HMY5" s="390"/>
      <c r="HMZ5" s="390"/>
      <c r="HNA5" s="390"/>
      <c r="HNB5" s="390"/>
      <c r="HNC5" s="390"/>
      <c r="HND5" s="390"/>
      <c r="HNE5" s="390"/>
      <c r="HNF5" s="390"/>
      <c r="HNG5" s="390"/>
      <c r="HNH5" s="390"/>
      <c r="HNI5" s="390"/>
      <c r="HNJ5" s="390"/>
      <c r="HNK5" s="390"/>
      <c r="HNL5" s="390"/>
      <c r="HNM5" s="390"/>
      <c r="HNN5" s="390"/>
      <c r="HNO5" s="390"/>
      <c r="HNP5" s="390"/>
      <c r="HNQ5" s="390"/>
      <c r="HNR5" s="390"/>
      <c r="HNS5" s="390"/>
      <c r="HNT5" s="390"/>
      <c r="HNU5" s="390"/>
      <c r="HNV5" s="390"/>
      <c r="HNW5" s="390"/>
      <c r="HNX5" s="390"/>
      <c r="HNY5" s="390"/>
      <c r="HNZ5" s="390"/>
      <c r="HOA5" s="390"/>
      <c r="HOB5" s="390"/>
      <c r="HOC5" s="390"/>
      <c r="HOD5" s="390"/>
      <c r="HOE5" s="390"/>
      <c r="HOF5" s="390"/>
      <c r="HOG5" s="390"/>
      <c r="HOH5" s="390"/>
      <c r="HOI5" s="390"/>
      <c r="HOJ5" s="390"/>
      <c r="HOK5" s="390"/>
      <c r="HOL5" s="390"/>
      <c r="HOM5" s="390"/>
      <c r="HON5" s="390"/>
      <c r="HOO5" s="390"/>
      <c r="HOP5" s="390"/>
      <c r="HOQ5" s="390"/>
      <c r="HOR5" s="390"/>
      <c r="HOS5" s="390"/>
      <c r="HOT5" s="390"/>
      <c r="HOU5" s="390"/>
      <c r="HOV5" s="390"/>
      <c r="HOW5" s="390"/>
      <c r="HOX5" s="390"/>
      <c r="HOY5" s="390"/>
      <c r="HOZ5" s="390"/>
      <c r="HPA5" s="390"/>
      <c r="HPB5" s="390"/>
      <c r="HPC5" s="390"/>
      <c r="HPD5" s="390"/>
      <c r="HPE5" s="390"/>
      <c r="HPF5" s="390"/>
      <c r="HPG5" s="390"/>
      <c r="HPH5" s="390"/>
      <c r="HPI5" s="390"/>
      <c r="HPJ5" s="390"/>
      <c r="HPK5" s="390"/>
      <c r="HPL5" s="390"/>
      <c r="HPM5" s="390"/>
      <c r="HPN5" s="390"/>
      <c r="HPO5" s="390"/>
      <c r="HPP5" s="390"/>
      <c r="HPQ5" s="390"/>
      <c r="HPR5" s="390"/>
      <c r="HPS5" s="390"/>
      <c r="HPT5" s="390"/>
      <c r="HPU5" s="390"/>
      <c r="HPV5" s="390"/>
      <c r="HPW5" s="390"/>
      <c r="HPX5" s="390"/>
      <c r="HPY5" s="390"/>
      <c r="HPZ5" s="390"/>
      <c r="HQA5" s="390"/>
      <c r="HQB5" s="390"/>
      <c r="HQC5" s="390"/>
      <c r="HQD5" s="390"/>
      <c r="HQE5" s="390"/>
      <c r="HQF5" s="390"/>
      <c r="HQG5" s="390"/>
      <c r="HQH5" s="390"/>
      <c r="HQI5" s="390"/>
      <c r="HQJ5" s="390"/>
      <c r="HQK5" s="390"/>
      <c r="HQL5" s="390"/>
      <c r="HQM5" s="390"/>
      <c r="HQN5" s="390"/>
      <c r="HQO5" s="390"/>
      <c r="HQP5" s="390"/>
      <c r="HQQ5" s="390"/>
      <c r="HQR5" s="390"/>
      <c r="HQS5" s="390"/>
      <c r="HQT5" s="390"/>
      <c r="HQU5" s="390"/>
      <c r="HQV5" s="390"/>
      <c r="HQW5" s="390"/>
      <c r="HQX5" s="390"/>
      <c r="HQY5" s="390"/>
      <c r="HQZ5" s="390"/>
      <c r="HRA5" s="390"/>
      <c r="HRB5" s="390"/>
      <c r="HRC5" s="390"/>
      <c r="HRD5" s="390"/>
      <c r="HRE5" s="390"/>
      <c r="HRF5" s="390"/>
      <c r="HRG5" s="390"/>
      <c r="HRH5" s="390"/>
      <c r="HRI5" s="390"/>
      <c r="HRJ5" s="390"/>
      <c r="HRK5" s="390"/>
      <c r="HRL5" s="390"/>
      <c r="HRM5" s="390"/>
      <c r="HRN5" s="390"/>
      <c r="HRO5" s="390"/>
      <c r="HRP5" s="390"/>
      <c r="HRQ5" s="390"/>
      <c r="HRR5" s="390"/>
      <c r="HRS5" s="390"/>
      <c r="HRT5" s="390"/>
      <c r="HRU5" s="390"/>
      <c r="HRV5" s="390"/>
      <c r="HRW5" s="390"/>
      <c r="HRX5" s="390"/>
      <c r="HRY5" s="390"/>
      <c r="HRZ5" s="390"/>
      <c r="HSA5" s="390"/>
      <c r="HSB5" s="390"/>
      <c r="HSC5" s="390"/>
      <c r="HSD5" s="390"/>
      <c r="HSE5" s="390"/>
      <c r="HSF5" s="390"/>
      <c r="HSG5" s="390"/>
      <c r="HSH5" s="390"/>
      <c r="HSI5" s="390"/>
      <c r="HSJ5" s="390"/>
      <c r="HSK5" s="390"/>
      <c r="HSL5" s="390"/>
      <c r="HSM5" s="390"/>
      <c r="HSN5" s="390"/>
      <c r="HSO5" s="390"/>
      <c r="HSP5" s="390"/>
      <c r="HSQ5" s="390"/>
      <c r="HSR5" s="390"/>
      <c r="HSS5" s="390"/>
      <c r="HST5" s="390"/>
      <c r="HSU5" s="390"/>
      <c r="HSV5" s="390"/>
      <c r="HSW5" s="390"/>
      <c r="HSX5" s="390"/>
      <c r="HSY5" s="390"/>
      <c r="HSZ5" s="390"/>
      <c r="HTA5" s="390"/>
      <c r="HTB5" s="390"/>
      <c r="HTC5" s="390"/>
      <c r="HTD5" s="390"/>
      <c r="HTE5" s="390"/>
      <c r="HTF5" s="390"/>
      <c r="HTG5" s="390"/>
      <c r="HTH5" s="390"/>
      <c r="HTI5" s="390"/>
      <c r="HTJ5" s="390"/>
      <c r="HTK5" s="390"/>
      <c r="HTL5" s="390"/>
      <c r="HTM5" s="390"/>
      <c r="HTN5" s="390"/>
      <c r="HTO5" s="390"/>
      <c r="HTP5" s="390"/>
      <c r="HTQ5" s="390"/>
      <c r="HTR5" s="390"/>
      <c r="HTS5" s="390"/>
      <c r="HTT5" s="390"/>
      <c r="HTU5" s="390"/>
      <c r="HTV5" s="390"/>
      <c r="HTW5" s="390"/>
      <c r="HTX5" s="390"/>
      <c r="HTY5" s="390"/>
      <c r="HTZ5" s="390"/>
      <c r="HUA5" s="390"/>
      <c r="HUB5" s="390"/>
      <c r="HUC5" s="390"/>
      <c r="HUD5" s="390"/>
      <c r="HUE5" s="390"/>
      <c r="HUF5" s="390"/>
      <c r="HUG5" s="390"/>
      <c r="HUH5" s="390"/>
      <c r="HUI5" s="390"/>
      <c r="HUJ5" s="390"/>
      <c r="HUK5" s="390"/>
      <c r="HUL5" s="390"/>
      <c r="HUM5" s="390"/>
      <c r="HUN5" s="390"/>
      <c r="HUO5" s="390"/>
      <c r="HUP5" s="390"/>
      <c r="HUQ5" s="390"/>
      <c r="HUR5" s="390"/>
      <c r="HUS5" s="390"/>
      <c r="HUT5" s="390"/>
      <c r="HUU5" s="390"/>
      <c r="HUV5" s="390"/>
      <c r="HUW5" s="390"/>
      <c r="HUX5" s="390"/>
      <c r="HUY5" s="390"/>
      <c r="HUZ5" s="390"/>
      <c r="HVA5" s="390"/>
      <c r="HVB5" s="390"/>
      <c r="HVC5" s="390"/>
      <c r="HVD5" s="390"/>
      <c r="HVE5" s="390"/>
      <c r="HVF5" s="390"/>
      <c r="HVG5" s="390"/>
      <c r="HVH5" s="390"/>
      <c r="HVI5" s="390"/>
      <c r="HVJ5" s="390"/>
      <c r="HVK5" s="390"/>
      <c r="HVL5" s="390"/>
      <c r="HVM5" s="390"/>
      <c r="HVN5" s="390"/>
      <c r="HVO5" s="390"/>
      <c r="HVP5" s="390"/>
      <c r="HVQ5" s="390"/>
      <c r="HVR5" s="390"/>
      <c r="HVS5" s="390"/>
      <c r="HVT5" s="390"/>
      <c r="HVU5" s="390"/>
      <c r="HVV5" s="390"/>
      <c r="HVW5" s="390"/>
      <c r="HVX5" s="390"/>
      <c r="HVY5" s="390"/>
      <c r="HVZ5" s="390"/>
      <c r="HWA5" s="390"/>
      <c r="HWB5" s="390"/>
      <c r="HWC5" s="390"/>
      <c r="HWD5" s="390"/>
      <c r="HWE5" s="390"/>
      <c r="HWF5" s="390"/>
      <c r="HWG5" s="390"/>
      <c r="HWH5" s="390"/>
      <c r="HWI5" s="390"/>
      <c r="HWJ5" s="390"/>
      <c r="HWK5" s="390"/>
      <c r="HWL5" s="390"/>
      <c r="HWM5" s="390"/>
      <c r="HWN5" s="390"/>
      <c r="HWO5" s="390"/>
      <c r="HWP5" s="390"/>
      <c r="HWQ5" s="390"/>
      <c r="HWR5" s="390"/>
      <c r="HWS5" s="390"/>
      <c r="HWT5" s="390"/>
      <c r="HWU5" s="390"/>
      <c r="HWV5" s="390"/>
      <c r="HWW5" s="390"/>
      <c r="HWX5" s="390"/>
      <c r="HWY5" s="390"/>
      <c r="HWZ5" s="390"/>
      <c r="HXA5" s="390"/>
      <c r="HXB5" s="390"/>
      <c r="HXC5" s="390"/>
      <c r="HXD5" s="390"/>
      <c r="HXE5" s="390"/>
      <c r="HXF5" s="390"/>
      <c r="HXG5" s="390"/>
      <c r="HXH5" s="390"/>
      <c r="HXI5" s="390"/>
      <c r="HXJ5" s="390"/>
      <c r="HXK5" s="390"/>
      <c r="HXL5" s="390"/>
      <c r="HXM5" s="390"/>
      <c r="HXN5" s="390"/>
      <c r="HXO5" s="390"/>
      <c r="HXP5" s="390"/>
      <c r="HXQ5" s="390"/>
      <c r="HXR5" s="390"/>
      <c r="HXS5" s="390"/>
      <c r="HXT5" s="390"/>
      <c r="HXU5" s="390"/>
      <c r="HXV5" s="390"/>
      <c r="HXW5" s="390"/>
      <c r="HXX5" s="390"/>
      <c r="HXY5" s="390"/>
      <c r="HXZ5" s="390"/>
      <c r="HYA5" s="390"/>
      <c r="HYB5" s="390"/>
      <c r="HYC5" s="390"/>
      <c r="HYD5" s="390"/>
      <c r="HYE5" s="390"/>
      <c r="HYF5" s="390"/>
      <c r="HYG5" s="390"/>
      <c r="HYH5" s="390"/>
      <c r="HYI5" s="390"/>
      <c r="HYJ5" s="390"/>
      <c r="HYK5" s="390"/>
      <c r="HYL5" s="390"/>
      <c r="HYM5" s="390"/>
      <c r="HYN5" s="390"/>
      <c r="HYO5" s="390"/>
      <c r="HYP5" s="390"/>
      <c r="HYQ5" s="390"/>
      <c r="HYR5" s="390"/>
      <c r="HYS5" s="390"/>
      <c r="HYT5" s="390"/>
      <c r="HYU5" s="390"/>
      <c r="HYV5" s="390"/>
      <c r="HYW5" s="390"/>
      <c r="HYX5" s="390"/>
      <c r="HYY5" s="390"/>
      <c r="HYZ5" s="390"/>
      <c r="HZA5" s="390"/>
      <c r="HZB5" s="390"/>
      <c r="HZC5" s="390"/>
      <c r="HZD5" s="390"/>
      <c r="HZE5" s="390"/>
      <c r="HZF5" s="390"/>
      <c r="HZG5" s="390"/>
      <c r="HZH5" s="390"/>
      <c r="HZI5" s="390"/>
      <c r="HZJ5" s="390"/>
      <c r="HZK5" s="390"/>
      <c r="HZL5" s="390"/>
      <c r="HZM5" s="390"/>
      <c r="HZN5" s="390"/>
      <c r="HZO5" s="390"/>
      <c r="HZP5" s="390"/>
      <c r="HZQ5" s="390"/>
      <c r="HZR5" s="390"/>
      <c r="HZS5" s="390"/>
      <c r="HZT5" s="390"/>
      <c r="HZU5" s="390"/>
      <c r="HZV5" s="390"/>
      <c r="HZW5" s="390"/>
      <c r="HZX5" s="390"/>
      <c r="HZY5" s="390"/>
      <c r="HZZ5" s="390"/>
      <c r="IAA5" s="390"/>
      <c r="IAB5" s="390"/>
      <c r="IAC5" s="390"/>
      <c r="IAD5" s="390"/>
      <c r="IAE5" s="390"/>
      <c r="IAF5" s="390"/>
      <c r="IAG5" s="390"/>
      <c r="IAH5" s="390"/>
      <c r="IAI5" s="390"/>
      <c r="IAJ5" s="390"/>
      <c r="IAK5" s="390"/>
      <c r="IAL5" s="390"/>
      <c r="IAM5" s="390"/>
      <c r="IAN5" s="390"/>
      <c r="IAO5" s="390"/>
      <c r="IAP5" s="390"/>
      <c r="IAQ5" s="390"/>
      <c r="IAR5" s="390"/>
      <c r="IAS5" s="390"/>
      <c r="IAT5" s="390"/>
      <c r="IAU5" s="390"/>
      <c r="IAV5" s="390"/>
      <c r="IAW5" s="390"/>
      <c r="IAX5" s="390"/>
      <c r="IAY5" s="390"/>
      <c r="IAZ5" s="390"/>
      <c r="IBA5" s="390"/>
      <c r="IBB5" s="390"/>
      <c r="IBC5" s="390"/>
      <c r="IBD5" s="390"/>
      <c r="IBE5" s="390"/>
      <c r="IBF5" s="390"/>
      <c r="IBG5" s="390"/>
      <c r="IBH5" s="390"/>
      <c r="IBI5" s="390"/>
      <c r="IBJ5" s="390"/>
      <c r="IBK5" s="390"/>
      <c r="IBL5" s="390"/>
      <c r="IBM5" s="390"/>
      <c r="IBN5" s="390"/>
      <c r="IBO5" s="390"/>
      <c r="IBP5" s="390"/>
      <c r="IBQ5" s="390"/>
      <c r="IBR5" s="390"/>
      <c r="IBS5" s="390"/>
      <c r="IBT5" s="390"/>
      <c r="IBU5" s="390"/>
      <c r="IBV5" s="390"/>
      <c r="IBW5" s="390"/>
      <c r="IBX5" s="390"/>
      <c r="IBY5" s="390"/>
      <c r="IBZ5" s="390"/>
      <c r="ICA5" s="390"/>
      <c r="ICB5" s="390"/>
      <c r="ICC5" s="390"/>
      <c r="ICD5" s="390"/>
      <c r="ICE5" s="390"/>
      <c r="ICF5" s="390"/>
      <c r="ICG5" s="390"/>
      <c r="ICH5" s="390"/>
      <c r="ICI5" s="390"/>
      <c r="ICJ5" s="390"/>
      <c r="ICK5" s="390"/>
      <c r="ICL5" s="390"/>
      <c r="ICM5" s="390"/>
      <c r="ICN5" s="390"/>
      <c r="ICO5" s="390"/>
      <c r="ICP5" s="390"/>
      <c r="ICQ5" s="390"/>
      <c r="ICR5" s="390"/>
      <c r="ICS5" s="390"/>
      <c r="ICT5" s="390"/>
      <c r="ICU5" s="390"/>
      <c r="ICV5" s="390"/>
      <c r="ICW5" s="390"/>
      <c r="ICX5" s="390"/>
      <c r="ICY5" s="390"/>
      <c r="ICZ5" s="390"/>
      <c r="IDA5" s="390"/>
      <c r="IDB5" s="390"/>
      <c r="IDC5" s="390"/>
      <c r="IDD5" s="390"/>
      <c r="IDE5" s="390"/>
      <c r="IDF5" s="390"/>
      <c r="IDG5" s="390"/>
      <c r="IDH5" s="390"/>
      <c r="IDI5" s="390"/>
      <c r="IDJ5" s="390"/>
      <c r="IDK5" s="390"/>
      <c r="IDL5" s="390"/>
      <c r="IDM5" s="390"/>
      <c r="IDN5" s="390"/>
      <c r="IDO5" s="390"/>
      <c r="IDP5" s="390"/>
      <c r="IDQ5" s="390"/>
      <c r="IDR5" s="390"/>
      <c r="IDS5" s="390"/>
      <c r="IDT5" s="390"/>
      <c r="IDU5" s="390"/>
      <c r="IDV5" s="390"/>
      <c r="IDW5" s="390"/>
      <c r="IDX5" s="390"/>
      <c r="IDY5" s="390"/>
      <c r="IDZ5" s="390"/>
      <c r="IEA5" s="390"/>
      <c r="IEB5" s="390"/>
      <c r="IEC5" s="390"/>
      <c r="IED5" s="390"/>
      <c r="IEE5" s="390"/>
      <c r="IEF5" s="390"/>
      <c r="IEG5" s="390"/>
      <c r="IEH5" s="390"/>
      <c r="IEI5" s="390"/>
      <c r="IEJ5" s="390"/>
      <c r="IEK5" s="390"/>
      <c r="IEL5" s="390"/>
      <c r="IEM5" s="390"/>
      <c r="IEN5" s="390"/>
      <c r="IEO5" s="390"/>
      <c r="IEP5" s="390"/>
      <c r="IEQ5" s="390"/>
      <c r="IER5" s="390"/>
      <c r="IES5" s="390"/>
      <c r="IET5" s="390"/>
      <c r="IEU5" s="390"/>
      <c r="IEV5" s="390"/>
      <c r="IEW5" s="390"/>
      <c r="IEX5" s="390"/>
      <c r="IEY5" s="390"/>
      <c r="IEZ5" s="390"/>
      <c r="IFA5" s="390"/>
      <c r="IFB5" s="390"/>
      <c r="IFC5" s="390"/>
      <c r="IFD5" s="390"/>
      <c r="IFE5" s="390"/>
      <c r="IFF5" s="390"/>
      <c r="IFG5" s="390"/>
      <c r="IFH5" s="390"/>
      <c r="IFI5" s="390"/>
      <c r="IFJ5" s="390"/>
      <c r="IFK5" s="390"/>
      <c r="IFL5" s="390"/>
      <c r="IFM5" s="390"/>
      <c r="IFN5" s="390"/>
      <c r="IFO5" s="390"/>
      <c r="IFP5" s="390"/>
      <c r="IFQ5" s="390"/>
      <c r="IFR5" s="390"/>
      <c r="IFS5" s="390"/>
      <c r="IFT5" s="390"/>
      <c r="IFU5" s="390"/>
      <c r="IFV5" s="390"/>
      <c r="IFW5" s="390"/>
      <c r="IFX5" s="390"/>
      <c r="IFY5" s="390"/>
      <c r="IFZ5" s="390"/>
      <c r="IGA5" s="390"/>
      <c r="IGB5" s="390"/>
      <c r="IGC5" s="390"/>
      <c r="IGD5" s="390"/>
      <c r="IGE5" s="390"/>
      <c r="IGF5" s="390"/>
      <c r="IGG5" s="390"/>
      <c r="IGH5" s="390"/>
      <c r="IGI5" s="390"/>
      <c r="IGJ5" s="390"/>
      <c r="IGK5" s="390"/>
      <c r="IGL5" s="390"/>
      <c r="IGM5" s="390"/>
      <c r="IGN5" s="390"/>
      <c r="IGO5" s="390"/>
      <c r="IGP5" s="390"/>
      <c r="IGQ5" s="390"/>
      <c r="IGR5" s="390"/>
      <c r="IGS5" s="390"/>
      <c r="IGT5" s="390"/>
      <c r="IGU5" s="390"/>
      <c r="IGV5" s="390"/>
      <c r="IGW5" s="390"/>
      <c r="IGX5" s="390"/>
      <c r="IGY5" s="390"/>
      <c r="IGZ5" s="390"/>
      <c r="IHA5" s="390"/>
      <c r="IHB5" s="390"/>
      <c r="IHC5" s="390"/>
      <c r="IHD5" s="390"/>
      <c r="IHE5" s="390"/>
      <c r="IHF5" s="390"/>
      <c r="IHG5" s="390"/>
      <c r="IHH5" s="390"/>
      <c r="IHI5" s="390"/>
      <c r="IHJ5" s="390"/>
      <c r="IHK5" s="390"/>
      <c r="IHL5" s="390"/>
      <c r="IHM5" s="390"/>
      <c r="IHN5" s="390"/>
      <c r="IHO5" s="390"/>
      <c r="IHP5" s="390"/>
      <c r="IHQ5" s="390"/>
      <c r="IHR5" s="390"/>
      <c r="IHS5" s="390"/>
      <c r="IHT5" s="390"/>
      <c r="IHU5" s="390"/>
      <c r="IHV5" s="390"/>
      <c r="IHW5" s="390"/>
      <c r="IHX5" s="390"/>
      <c r="IHY5" s="390"/>
      <c r="IHZ5" s="390"/>
      <c r="IIA5" s="390"/>
      <c r="IIB5" s="390"/>
      <c r="IIC5" s="390"/>
      <c r="IID5" s="390"/>
      <c r="IIE5" s="390"/>
      <c r="IIF5" s="390"/>
      <c r="IIG5" s="390"/>
      <c r="IIH5" s="390"/>
      <c r="III5" s="390"/>
      <c r="IIJ5" s="390"/>
      <c r="IIK5" s="390"/>
      <c r="IIL5" s="390"/>
      <c r="IIM5" s="390"/>
      <c r="IIN5" s="390"/>
      <c r="IIO5" s="390"/>
      <c r="IIP5" s="390"/>
      <c r="IIQ5" s="390"/>
      <c r="IIR5" s="390"/>
      <c r="IIS5" s="390"/>
      <c r="IIT5" s="390"/>
      <c r="IIU5" s="390"/>
      <c r="IIV5" s="390"/>
      <c r="IIW5" s="390"/>
      <c r="IIX5" s="390"/>
      <c r="IIY5" s="390"/>
      <c r="IIZ5" s="390"/>
      <c r="IJA5" s="390"/>
      <c r="IJB5" s="390"/>
      <c r="IJC5" s="390"/>
      <c r="IJD5" s="390"/>
      <c r="IJE5" s="390"/>
      <c r="IJF5" s="390"/>
      <c r="IJG5" s="390"/>
      <c r="IJH5" s="390"/>
      <c r="IJI5" s="390"/>
      <c r="IJJ5" s="390"/>
      <c r="IJK5" s="390"/>
      <c r="IJL5" s="390"/>
      <c r="IJM5" s="390"/>
      <c r="IJN5" s="390"/>
      <c r="IJO5" s="390"/>
      <c r="IJP5" s="390"/>
      <c r="IJQ5" s="390"/>
      <c r="IJR5" s="390"/>
      <c r="IJS5" s="390"/>
      <c r="IJT5" s="390"/>
      <c r="IJU5" s="390"/>
      <c r="IJV5" s="390"/>
      <c r="IJW5" s="390"/>
      <c r="IJX5" s="390"/>
      <c r="IJY5" s="390"/>
      <c r="IJZ5" s="390"/>
      <c r="IKA5" s="390"/>
      <c r="IKB5" s="390"/>
      <c r="IKC5" s="390"/>
      <c r="IKD5" s="390"/>
      <c r="IKE5" s="390"/>
      <c r="IKF5" s="390"/>
      <c r="IKG5" s="390"/>
      <c r="IKH5" s="390"/>
      <c r="IKI5" s="390"/>
      <c r="IKJ5" s="390"/>
      <c r="IKK5" s="390"/>
      <c r="IKL5" s="390"/>
      <c r="IKM5" s="390"/>
      <c r="IKN5" s="390"/>
      <c r="IKO5" s="390"/>
      <c r="IKP5" s="390"/>
      <c r="IKQ5" s="390"/>
      <c r="IKR5" s="390"/>
      <c r="IKS5" s="390"/>
      <c r="IKT5" s="390"/>
      <c r="IKU5" s="390"/>
      <c r="IKV5" s="390"/>
      <c r="IKW5" s="390"/>
      <c r="IKX5" s="390"/>
      <c r="IKY5" s="390"/>
      <c r="IKZ5" s="390"/>
      <c r="ILA5" s="390"/>
      <c r="ILB5" s="390"/>
      <c r="ILC5" s="390"/>
      <c r="ILD5" s="390"/>
      <c r="ILE5" s="390"/>
      <c r="ILF5" s="390"/>
      <c r="ILG5" s="390"/>
      <c r="ILH5" s="390"/>
      <c r="ILI5" s="390"/>
      <c r="ILJ5" s="390"/>
      <c r="ILK5" s="390"/>
      <c r="ILL5" s="390"/>
      <c r="ILM5" s="390"/>
      <c r="ILN5" s="390"/>
      <c r="ILO5" s="390"/>
      <c r="ILP5" s="390"/>
      <c r="ILQ5" s="390"/>
      <c r="ILR5" s="390"/>
      <c r="ILS5" s="390"/>
      <c r="ILT5" s="390"/>
      <c r="ILU5" s="390"/>
      <c r="ILV5" s="390"/>
      <c r="ILW5" s="390"/>
      <c r="ILX5" s="390"/>
      <c r="ILY5" s="390"/>
      <c r="ILZ5" s="390"/>
      <c r="IMA5" s="390"/>
      <c r="IMB5" s="390"/>
      <c r="IMC5" s="390"/>
      <c r="IMD5" s="390"/>
      <c r="IME5" s="390"/>
      <c r="IMF5" s="390"/>
      <c r="IMG5" s="390"/>
      <c r="IMH5" s="390"/>
      <c r="IMI5" s="390"/>
      <c r="IMJ5" s="390"/>
      <c r="IMK5" s="390"/>
      <c r="IML5" s="390"/>
      <c r="IMM5" s="390"/>
      <c r="IMN5" s="390"/>
      <c r="IMO5" s="390"/>
      <c r="IMP5" s="390"/>
      <c r="IMQ5" s="390"/>
      <c r="IMR5" s="390"/>
      <c r="IMS5" s="390"/>
      <c r="IMT5" s="390"/>
      <c r="IMU5" s="390"/>
      <c r="IMV5" s="390"/>
      <c r="IMW5" s="390"/>
      <c r="IMX5" s="390"/>
      <c r="IMY5" s="390"/>
      <c r="IMZ5" s="390"/>
      <c r="INA5" s="390"/>
      <c r="INB5" s="390"/>
      <c r="INC5" s="390"/>
      <c r="IND5" s="390"/>
      <c r="INE5" s="390"/>
      <c r="INF5" s="390"/>
      <c r="ING5" s="390"/>
      <c r="INH5" s="390"/>
      <c r="INI5" s="390"/>
      <c r="INJ5" s="390"/>
      <c r="INK5" s="390"/>
      <c r="INL5" s="390"/>
      <c r="INM5" s="390"/>
      <c r="INN5" s="390"/>
      <c r="INO5" s="390"/>
      <c r="INP5" s="390"/>
      <c r="INQ5" s="390"/>
      <c r="INR5" s="390"/>
      <c r="INS5" s="390"/>
      <c r="INT5" s="390"/>
      <c r="INU5" s="390"/>
      <c r="INV5" s="390"/>
      <c r="INW5" s="390"/>
      <c r="INX5" s="390"/>
      <c r="INY5" s="390"/>
      <c r="INZ5" s="390"/>
      <c r="IOA5" s="390"/>
      <c r="IOB5" s="390"/>
      <c r="IOC5" s="390"/>
      <c r="IOD5" s="390"/>
      <c r="IOE5" s="390"/>
      <c r="IOF5" s="390"/>
      <c r="IOG5" s="390"/>
      <c r="IOH5" s="390"/>
      <c r="IOI5" s="390"/>
      <c r="IOJ5" s="390"/>
      <c r="IOK5" s="390"/>
      <c r="IOL5" s="390"/>
      <c r="IOM5" s="390"/>
      <c r="ION5" s="390"/>
      <c r="IOO5" s="390"/>
      <c r="IOP5" s="390"/>
      <c r="IOQ5" s="390"/>
      <c r="IOR5" s="390"/>
      <c r="IOS5" s="390"/>
      <c r="IOT5" s="390"/>
      <c r="IOU5" s="390"/>
      <c r="IOV5" s="390"/>
      <c r="IOW5" s="390"/>
      <c r="IOX5" s="390"/>
      <c r="IOY5" s="390"/>
      <c r="IOZ5" s="390"/>
      <c r="IPA5" s="390"/>
      <c r="IPB5" s="390"/>
      <c r="IPC5" s="390"/>
      <c r="IPD5" s="390"/>
      <c r="IPE5" s="390"/>
      <c r="IPF5" s="390"/>
      <c r="IPG5" s="390"/>
      <c r="IPH5" s="390"/>
      <c r="IPI5" s="390"/>
      <c r="IPJ5" s="390"/>
      <c r="IPK5" s="390"/>
      <c r="IPL5" s="390"/>
      <c r="IPM5" s="390"/>
      <c r="IPN5" s="390"/>
      <c r="IPO5" s="390"/>
      <c r="IPP5" s="390"/>
      <c r="IPQ5" s="390"/>
      <c r="IPR5" s="390"/>
      <c r="IPS5" s="390"/>
      <c r="IPT5" s="390"/>
      <c r="IPU5" s="390"/>
      <c r="IPV5" s="390"/>
      <c r="IPW5" s="390"/>
      <c r="IPX5" s="390"/>
      <c r="IPY5" s="390"/>
      <c r="IPZ5" s="390"/>
      <c r="IQA5" s="390"/>
      <c r="IQB5" s="390"/>
      <c r="IQC5" s="390"/>
      <c r="IQD5" s="390"/>
      <c r="IQE5" s="390"/>
      <c r="IQF5" s="390"/>
      <c r="IQG5" s="390"/>
      <c r="IQH5" s="390"/>
      <c r="IQI5" s="390"/>
      <c r="IQJ5" s="390"/>
      <c r="IQK5" s="390"/>
      <c r="IQL5" s="390"/>
      <c r="IQM5" s="390"/>
      <c r="IQN5" s="390"/>
      <c r="IQO5" s="390"/>
      <c r="IQP5" s="390"/>
      <c r="IQQ5" s="390"/>
      <c r="IQR5" s="390"/>
      <c r="IQS5" s="390"/>
      <c r="IQT5" s="390"/>
      <c r="IQU5" s="390"/>
      <c r="IQV5" s="390"/>
      <c r="IQW5" s="390"/>
      <c r="IQX5" s="390"/>
      <c r="IQY5" s="390"/>
      <c r="IQZ5" s="390"/>
      <c r="IRA5" s="390"/>
      <c r="IRB5" s="390"/>
      <c r="IRC5" s="390"/>
      <c r="IRD5" s="390"/>
      <c r="IRE5" s="390"/>
      <c r="IRF5" s="390"/>
      <c r="IRG5" s="390"/>
      <c r="IRH5" s="390"/>
      <c r="IRI5" s="390"/>
      <c r="IRJ5" s="390"/>
      <c r="IRK5" s="390"/>
      <c r="IRL5" s="390"/>
      <c r="IRM5" s="390"/>
      <c r="IRN5" s="390"/>
      <c r="IRO5" s="390"/>
      <c r="IRP5" s="390"/>
      <c r="IRQ5" s="390"/>
      <c r="IRR5" s="390"/>
      <c r="IRS5" s="390"/>
      <c r="IRT5" s="390"/>
      <c r="IRU5" s="390"/>
      <c r="IRV5" s="390"/>
      <c r="IRW5" s="390"/>
      <c r="IRX5" s="390"/>
      <c r="IRY5" s="390"/>
      <c r="IRZ5" s="390"/>
      <c r="ISA5" s="390"/>
      <c r="ISB5" s="390"/>
      <c r="ISC5" s="390"/>
      <c r="ISD5" s="390"/>
      <c r="ISE5" s="390"/>
      <c r="ISF5" s="390"/>
      <c r="ISG5" s="390"/>
      <c r="ISH5" s="390"/>
      <c r="ISI5" s="390"/>
      <c r="ISJ5" s="390"/>
      <c r="ISK5" s="390"/>
      <c r="ISL5" s="390"/>
      <c r="ISM5" s="390"/>
      <c r="ISN5" s="390"/>
      <c r="ISO5" s="390"/>
      <c r="ISP5" s="390"/>
      <c r="ISQ5" s="390"/>
      <c r="ISR5" s="390"/>
      <c r="ISS5" s="390"/>
      <c r="IST5" s="390"/>
      <c r="ISU5" s="390"/>
      <c r="ISV5" s="390"/>
      <c r="ISW5" s="390"/>
      <c r="ISX5" s="390"/>
      <c r="ISY5" s="390"/>
      <c r="ISZ5" s="390"/>
      <c r="ITA5" s="390"/>
      <c r="ITB5" s="390"/>
      <c r="ITC5" s="390"/>
      <c r="ITD5" s="390"/>
      <c r="ITE5" s="390"/>
      <c r="ITF5" s="390"/>
      <c r="ITG5" s="390"/>
      <c r="ITH5" s="390"/>
      <c r="ITI5" s="390"/>
      <c r="ITJ5" s="390"/>
      <c r="ITK5" s="390"/>
      <c r="ITL5" s="390"/>
      <c r="ITM5" s="390"/>
      <c r="ITN5" s="390"/>
      <c r="ITO5" s="390"/>
      <c r="ITP5" s="390"/>
      <c r="ITQ5" s="390"/>
      <c r="ITR5" s="390"/>
      <c r="ITS5" s="390"/>
      <c r="ITT5" s="390"/>
      <c r="ITU5" s="390"/>
      <c r="ITV5" s="390"/>
      <c r="ITW5" s="390"/>
      <c r="ITX5" s="390"/>
      <c r="ITY5" s="390"/>
      <c r="ITZ5" s="390"/>
      <c r="IUA5" s="390"/>
      <c r="IUB5" s="390"/>
      <c r="IUC5" s="390"/>
      <c r="IUD5" s="390"/>
      <c r="IUE5" s="390"/>
      <c r="IUF5" s="390"/>
      <c r="IUG5" s="390"/>
      <c r="IUH5" s="390"/>
      <c r="IUI5" s="390"/>
      <c r="IUJ5" s="390"/>
      <c r="IUK5" s="390"/>
      <c r="IUL5" s="390"/>
      <c r="IUM5" s="390"/>
      <c r="IUN5" s="390"/>
      <c r="IUO5" s="390"/>
      <c r="IUP5" s="390"/>
      <c r="IUQ5" s="390"/>
      <c r="IUR5" s="390"/>
      <c r="IUS5" s="390"/>
      <c r="IUT5" s="390"/>
      <c r="IUU5" s="390"/>
      <c r="IUV5" s="390"/>
      <c r="IUW5" s="390"/>
      <c r="IUX5" s="390"/>
      <c r="IUY5" s="390"/>
      <c r="IUZ5" s="390"/>
      <c r="IVA5" s="390"/>
      <c r="IVB5" s="390"/>
      <c r="IVC5" s="390"/>
      <c r="IVD5" s="390"/>
      <c r="IVE5" s="390"/>
      <c r="IVF5" s="390"/>
      <c r="IVG5" s="390"/>
      <c r="IVH5" s="390"/>
      <c r="IVI5" s="390"/>
      <c r="IVJ5" s="390"/>
      <c r="IVK5" s="390"/>
      <c r="IVL5" s="390"/>
      <c r="IVM5" s="390"/>
      <c r="IVN5" s="390"/>
      <c r="IVO5" s="390"/>
      <c r="IVP5" s="390"/>
      <c r="IVQ5" s="390"/>
      <c r="IVR5" s="390"/>
      <c r="IVS5" s="390"/>
      <c r="IVT5" s="390"/>
      <c r="IVU5" s="390"/>
      <c r="IVV5" s="390"/>
      <c r="IVW5" s="390"/>
      <c r="IVX5" s="390"/>
      <c r="IVY5" s="390"/>
      <c r="IVZ5" s="390"/>
      <c r="IWA5" s="390"/>
      <c r="IWB5" s="390"/>
      <c r="IWC5" s="390"/>
      <c r="IWD5" s="390"/>
      <c r="IWE5" s="390"/>
      <c r="IWF5" s="390"/>
      <c r="IWG5" s="390"/>
      <c r="IWH5" s="390"/>
      <c r="IWI5" s="390"/>
      <c r="IWJ5" s="390"/>
      <c r="IWK5" s="390"/>
      <c r="IWL5" s="390"/>
      <c r="IWM5" s="390"/>
      <c r="IWN5" s="390"/>
      <c r="IWO5" s="390"/>
      <c r="IWP5" s="390"/>
      <c r="IWQ5" s="390"/>
      <c r="IWR5" s="390"/>
      <c r="IWS5" s="390"/>
      <c r="IWT5" s="390"/>
      <c r="IWU5" s="390"/>
      <c r="IWV5" s="390"/>
      <c r="IWW5" s="390"/>
      <c r="IWX5" s="390"/>
      <c r="IWY5" s="390"/>
      <c r="IWZ5" s="390"/>
      <c r="IXA5" s="390"/>
      <c r="IXB5" s="390"/>
      <c r="IXC5" s="390"/>
      <c r="IXD5" s="390"/>
      <c r="IXE5" s="390"/>
      <c r="IXF5" s="390"/>
      <c r="IXG5" s="390"/>
      <c r="IXH5" s="390"/>
      <c r="IXI5" s="390"/>
      <c r="IXJ5" s="390"/>
      <c r="IXK5" s="390"/>
      <c r="IXL5" s="390"/>
      <c r="IXM5" s="390"/>
      <c r="IXN5" s="390"/>
      <c r="IXO5" s="390"/>
      <c r="IXP5" s="390"/>
      <c r="IXQ5" s="390"/>
      <c r="IXR5" s="390"/>
      <c r="IXS5" s="390"/>
      <c r="IXT5" s="390"/>
      <c r="IXU5" s="390"/>
      <c r="IXV5" s="390"/>
      <c r="IXW5" s="390"/>
      <c r="IXX5" s="390"/>
      <c r="IXY5" s="390"/>
      <c r="IXZ5" s="390"/>
      <c r="IYA5" s="390"/>
      <c r="IYB5" s="390"/>
      <c r="IYC5" s="390"/>
      <c r="IYD5" s="390"/>
      <c r="IYE5" s="390"/>
      <c r="IYF5" s="390"/>
      <c r="IYG5" s="390"/>
      <c r="IYH5" s="390"/>
      <c r="IYI5" s="390"/>
      <c r="IYJ5" s="390"/>
      <c r="IYK5" s="390"/>
      <c r="IYL5" s="390"/>
      <c r="IYM5" s="390"/>
      <c r="IYN5" s="390"/>
      <c r="IYO5" s="390"/>
      <c r="IYP5" s="390"/>
      <c r="IYQ5" s="390"/>
      <c r="IYR5" s="390"/>
      <c r="IYS5" s="390"/>
      <c r="IYT5" s="390"/>
      <c r="IYU5" s="390"/>
      <c r="IYV5" s="390"/>
      <c r="IYW5" s="390"/>
      <c r="IYX5" s="390"/>
      <c r="IYY5" s="390"/>
      <c r="IYZ5" s="390"/>
      <c r="IZA5" s="390"/>
      <c r="IZB5" s="390"/>
      <c r="IZC5" s="390"/>
      <c r="IZD5" s="390"/>
      <c r="IZE5" s="390"/>
      <c r="IZF5" s="390"/>
      <c r="IZG5" s="390"/>
      <c r="IZH5" s="390"/>
      <c r="IZI5" s="390"/>
      <c r="IZJ5" s="390"/>
      <c r="IZK5" s="390"/>
      <c r="IZL5" s="390"/>
      <c r="IZM5" s="390"/>
      <c r="IZN5" s="390"/>
      <c r="IZO5" s="390"/>
      <c r="IZP5" s="390"/>
      <c r="IZQ5" s="390"/>
      <c r="IZR5" s="390"/>
      <c r="IZS5" s="390"/>
      <c r="IZT5" s="390"/>
      <c r="IZU5" s="390"/>
      <c r="IZV5" s="390"/>
      <c r="IZW5" s="390"/>
      <c r="IZX5" s="390"/>
      <c r="IZY5" s="390"/>
      <c r="IZZ5" s="390"/>
      <c r="JAA5" s="390"/>
      <c r="JAB5" s="390"/>
      <c r="JAC5" s="390"/>
      <c r="JAD5" s="390"/>
      <c r="JAE5" s="390"/>
      <c r="JAF5" s="390"/>
      <c r="JAG5" s="390"/>
      <c r="JAH5" s="390"/>
      <c r="JAI5" s="390"/>
      <c r="JAJ5" s="390"/>
      <c r="JAK5" s="390"/>
      <c r="JAL5" s="390"/>
      <c r="JAM5" s="390"/>
      <c r="JAN5" s="390"/>
      <c r="JAO5" s="390"/>
      <c r="JAP5" s="390"/>
      <c r="JAQ5" s="390"/>
      <c r="JAR5" s="390"/>
      <c r="JAS5" s="390"/>
      <c r="JAT5" s="390"/>
      <c r="JAU5" s="390"/>
      <c r="JAV5" s="390"/>
      <c r="JAW5" s="390"/>
      <c r="JAX5" s="390"/>
      <c r="JAY5" s="390"/>
      <c r="JAZ5" s="390"/>
      <c r="JBA5" s="390"/>
      <c r="JBB5" s="390"/>
      <c r="JBC5" s="390"/>
      <c r="JBD5" s="390"/>
      <c r="JBE5" s="390"/>
      <c r="JBF5" s="390"/>
      <c r="JBG5" s="390"/>
      <c r="JBH5" s="390"/>
      <c r="JBI5" s="390"/>
      <c r="JBJ5" s="390"/>
      <c r="JBK5" s="390"/>
      <c r="JBL5" s="390"/>
      <c r="JBM5" s="390"/>
      <c r="JBN5" s="390"/>
      <c r="JBO5" s="390"/>
      <c r="JBP5" s="390"/>
      <c r="JBQ5" s="390"/>
      <c r="JBR5" s="390"/>
      <c r="JBS5" s="390"/>
      <c r="JBT5" s="390"/>
      <c r="JBU5" s="390"/>
      <c r="JBV5" s="390"/>
      <c r="JBW5" s="390"/>
      <c r="JBX5" s="390"/>
      <c r="JBY5" s="390"/>
      <c r="JBZ5" s="390"/>
      <c r="JCA5" s="390"/>
      <c r="JCB5" s="390"/>
      <c r="JCC5" s="390"/>
      <c r="JCD5" s="390"/>
      <c r="JCE5" s="390"/>
      <c r="JCF5" s="390"/>
      <c r="JCG5" s="390"/>
      <c r="JCH5" s="390"/>
      <c r="JCI5" s="390"/>
      <c r="JCJ5" s="390"/>
      <c r="JCK5" s="390"/>
      <c r="JCL5" s="390"/>
      <c r="JCM5" s="390"/>
      <c r="JCN5" s="390"/>
      <c r="JCO5" s="390"/>
      <c r="JCP5" s="390"/>
      <c r="JCQ5" s="390"/>
      <c r="JCR5" s="390"/>
      <c r="JCS5" s="390"/>
      <c r="JCT5" s="390"/>
      <c r="JCU5" s="390"/>
      <c r="JCV5" s="390"/>
      <c r="JCW5" s="390"/>
      <c r="JCX5" s="390"/>
      <c r="JCY5" s="390"/>
      <c r="JCZ5" s="390"/>
      <c r="JDA5" s="390"/>
      <c r="JDB5" s="390"/>
      <c r="JDC5" s="390"/>
      <c r="JDD5" s="390"/>
      <c r="JDE5" s="390"/>
      <c r="JDF5" s="390"/>
      <c r="JDG5" s="390"/>
      <c r="JDH5" s="390"/>
      <c r="JDI5" s="390"/>
      <c r="JDJ5" s="390"/>
      <c r="JDK5" s="390"/>
      <c r="JDL5" s="390"/>
      <c r="JDM5" s="390"/>
      <c r="JDN5" s="390"/>
      <c r="JDO5" s="390"/>
      <c r="JDP5" s="390"/>
      <c r="JDQ5" s="390"/>
      <c r="JDR5" s="390"/>
      <c r="JDS5" s="390"/>
      <c r="JDT5" s="390"/>
      <c r="JDU5" s="390"/>
      <c r="JDV5" s="390"/>
      <c r="JDW5" s="390"/>
      <c r="JDX5" s="390"/>
      <c r="JDY5" s="390"/>
      <c r="JDZ5" s="390"/>
      <c r="JEA5" s="390"/>
      <c r="JEB5" s="390"/>
      <c r="JEC5" s="390"/>
      <c r="JED5" s="390"/>
      <c r="JEE5" s="390"/>
      <c r="JEF5" s="390"/>
      <c r="JEG5" s="390"/>
      <c r="JEH5" s="390"/>
      <c r="JEI5" s="390"/>
      <c r="JEJ5" s="390"/>
      <c r="JEK5" s="390"/>
      <c r="JEL5" s="390"/>
      <c r="JEM5" s="390"/>
      <c r="JEN5" s="390"/>
      <c r="JEO5" s="390"/>
      <c r="JEP5" s="390"/>
      <c r="JEQ5" s="390"/>
      <c r="JER5" s="390"/>
      <c r="JES5" s="390"/>
      <c r="JET5" s="390"/>
      <c r="JEU5" s="390"/>
      <c r="JEV5" s="390"/>
      <c r="JEW5" s="390"/>
      <c r="JEX5" s="390"/>
      <c r="JEY5" s="390"/>
      <c r="JEZ5" s="390"/>
      <c r="JFA5" s="390"/>
      <c r="JFB5" s="390"/>
      <c r="JFC5" s="390"/>
      <c r="JFD5" s="390"/>
      <c r="JFE5" s="390"/>
      <c r="JFF5" s="390"/>
      <c r="JFG5" s="390"/>
      <c r="JFH5" s="390"/>
      <c r="JFI5" s="390"/>
      <c r="JFJ5" s="390"/>
      <c r="JFK5" s="390"/>
      <c r="JFL5" s="390"/>
      <c r="JFM5" s="390"/>
      <c r="JFN5" s="390"/>
      <c r="JFO5" s="390"/>
      <c r="JFP5" s="390"/>
      <c r="JFQ5" s="390"/>
      <c r="JFR5" s="390"/>
      <c r="JFS5" s="390"/>
      <c r="JFT5" s="390"/>
      <c r="JFU5" s="390"/>
      <c r="JFV5" s="390"/>
      <c r="JFW5" s="390"/>
      <c r="JFX5" s="390"/>
      <c r="JFY5" s="390"/>
      <c r="JFZ5" s="390"/>
      <c r="JGA5" s="390"/>
      <c r="JGB5" s="390"/>
      <c r="JGC5" s="390"/>
      <c r="JGD5" s="390"/>
      <c r="JGE5" s="390"/>
      <c r="JGF5" s="390"/>
      <c r="JGG5" s="390"/>
      <c r="JGH5" s="390"/>
      <c r="JGI5" s="390"/>
      <c r="JGJ5" s="390"/>
      <c r="JGK5" s="390"/>
      <c r="JGL5" s="390"/>
      <c r="JGM5" s="390"/>
      <c r="JGN5" s="390"/>
      <c r="JGO5" s="390"/>
      <c r="JGP5" s="390"/>
      <c r="JGQ5" s="390"/>
      <c r="JGR5" s="390"/>
      <c r="JGS5" s="390"/>
      <c r="JGT5" s="390"/>
      <c r="JGU5" s="390"/>
      <c r="JGV5" s="390"/>
      <c r="JGW5" s="390"/>
      <c r="JGX5" s="390"/>
      <c r="JGY5" s="390"/>
      <c r="JGZ5" s="390"/>
      <c r="JHA5" s="390"/>
      <c r="JHB5" s="390"/>
      <c r="JHC5" s="390"/>
      <c r="JHD5" s="390"/>
      <c r="JHE5" s="390"/>
      <c r="JHF5" s="390"/>
      <c r="JHG5" s="390"/>
      <c r="JHH5" s="390"/>
      <c r="JHI5" s="390"/>
      <c r="JHJ5" s="390"/>
      <c r="JHK5" s="390"/>
      <c r="JHL5" s="390"/>
      <c r="JHM5" s="390"/>
      <c r="JHN5" s="390"/>
      <c r="JHO5" s="390"/>
      <c r="JHP5" s="390"/>
      <c r="JHQ5" s="390"/>
      <c r="JHR5" s="390"/>
      <c r="JHS5" s="390"/>
      <c r="JHT5" s="390"/>
      <c r="JHU5" s="390"/>
      <c r="JHV5" s="390"/>
      <c r="JHW5" s="390"/>
      <c r="JHX5" s="390"/>
      <c r="JHY5" s="390"/>
      <c r="JHZ5" s="390"/>
      <c r="JIA5" s="390"/>
      <c r="JIB5" s="390"/>
      <c r="JIC5" s="390"/>
      <c r="JID5" s="390"/>
      <c r="JIE5" s="390"/>
      <c r="JIF5" s="390"/>
      <c r="JIG5" s="390"/>
      <c r="JIH5" s="390"/>
      <c r="JII5" s="390"/>
      <c r="JIJ5" s="390"/>
      <c r="JIK5" s="390"/>
      <c r="JIL5" s="390"/>
      <c r="JIM5" s="390"/>
      <c r="JIN5" s="390"/>
      <c r="JIO5" s="390"/>
      <c r="JIP5" s="390"/>
      <c r="JIQ5" s="390"/>
      <c r="JIR5" s="390"/>
      <c r="JIS5" s="390"/>
      <c r="JIT5" s="390"/>
      <c r="JIU5" s="390"/>
      <c r="JIV5" s="390"/>
      <c r="JIW5" s="390"/>
      <c r="JIX5" s="390"/>
      <c r="JIY5" s="390"/>
      <c r="JIZ5" s="390"/>
      <c r="JJA5" s="390"/>
      <c r="JJB5" s="390"/>
      <c r="JJC5" s="390"/>
      <c r="JJD5" s="390"/>
      <c r="JJE5" s="390"/>
      <c r="JJF5" s="390"/>
      <c r="JJG5" s="390"/>
      <c r="JJH5" s="390"/>
      <c r="JJI5" s="390"/>
      <c r="JJJ5" s="390"/>
      <c r="JJK5" s="390"/>
      <c r="JJL5" s="390"/>
      <c r="JJM5" s="390"/>
      <c r="JJN5" s="390"/>
      <c r="JJO5" s="390"/>
      <c r="JJP5" s="390"/>
      <c r="JJQ5" s="390"/>
      <c r="JJR5" s="390"/>
      <c r="JJS5" s="390"/>
      <c r="JJT5" s="390"/>
      <c r="JJU5" s="390"/>
      <c r="JJV5" s="390"/>
      <c r="JJW5" s="390"/>
      <c r="JJX5" s="390"/>
      <c r="JJY5" s="390"/>
      <c r="JJZ5" s="390"/>
      <c r="JKA5" s="390"/>
      <c r="JKB5" s="390"/>
      <c r="JKC5" s="390"/>
      <c r="JKD5" s="390"/>
      <c r="JKE5" s="390"/>
      <c r="JKF5" s="390"/>
      <c r="JKG5" s="390"/>
      <c r="JKH5" s="390"/>
      <c r="JKI5" s="390"/>
      <c r="JKJ5" s="390"/>
      <c r="JKK5" s="390"/>
      <c r="JKL5" s="390"/>
      <c r="JKM5" s="390"/>
      <c r="JKN5" s="390"/>
      <c r="JKO5" s="390"/>
      <c r="JKP5" s="390"/>
      <c r="JKQ5" s="390"/>
      <c r="JKR5" s="390"/>
      <c r="JKS5" s="390"/>
      <c r="JKT5" s="390"/>
      <c r="JKU5" s="390"/>
      <c r="JKV5" s="390"/>
      <c r="JKW5" s="390"/>
      <c r="JKX5" s="390"/>
      <c r="JKY5" s="390"/>
      <c r="JKZ5" s="390"/>
      <c r="JLA5" s="390"/>
      <c r="JLB5" s="390"/>
      <c r="JLC5" s="390"/>
      <c r="JLD5" s="390"/>
      <c r="JLE5" s="390"/>
      <c r="JLF5" s="390"/>
      <c r="JLG5" s="390"/>
      <c r="JLH5" s="390"/>
      <c r="JLI5" s="390"/>
      <c r="JLJ5" s="390"/>
      <c r="JLK5" s="390"/>
      <c r="JLL5" s="390"/>
      <c r="JLM5" s="390"/>
      <c r="JLN5" s="390"/>
      <c r="JLO5" s="390"/>
      <c r="JLP5" s="390"/>
      <c r="JLQ5" s="390"/>
      <c r="JLR5" s="390"/>
      <c r="JLS5" s="390"/>
      <c r="JLT5" s="390"/>
      <c r="JLU5" s="390"/>
      <c r="JLV5" s="390"/>
      <c r="JLW5" s="390"/>
      <c r="JLX5" s="390"/>
      <c r="JLY5" s="390"/>
      <c r="JLZ5" s="390"/>
      <c r="JMA5" s="390"/>
      <c r="JMB5" s="390"/>
      <c r="JMC5" s="390"/>
      <c r="JMD5" s="390"/>
      <c r="JME5" s="390"/>
      <c r="JMF5" s="390"/>
      <c r="JMG5" s="390"/>
      <c r="JMH5" s="390"/>
      <c r="JMI5" s="390"/>
      <c r="JMJ5" s="390"/>
      <c r="JMK5" s="390"/>
      <c r="JML5" s="390"/>
      <c r="JMM5" s="390"/>
      <c r="JMN5" s="390"/>
      <c r="JMO5" s="390"/>
      <c r="JMP5" s="390"/>
      <c r="JMQ5" s="390"/>
      <c r="JMR5" s="390"/>
      <c r="JMS5" s="390"/>
      <c r="JMT5" s="390"/>
      <c r="JMU5" s="390"/>
      <c r="JMV5" s="390"/>
      <c r="JMW5" s="390"/>
      <c r="JMX5" s="390"/>
      <c r="JMY5" s="390"/>
      <c r="JMZ5" s="390"/>
      <c r="JNA5" s="390"/>
      <c r="JNB5" s="390"/>
      <c r="JNC5" s="390"/>
      <c r="JND5" s="390"/>
      <c r="JNE5" s="390"/>
      <c r="JNF5" s="390"/>
      <c r="JNG5" s="390"/>
      <c r="JNH5" s="390"/>
      <c r="JNI5" s="390"/>
      <c r="JNJ5" s="390"/>
      <c r="JNK5" s="390"/>
      <c r="JNL5" s="390"/>
      <c r="JNM5" s="390"/>
      <c r="JNN5" s="390"/>
      <c r="JNO5" s="390"/>
      <c r="JNP5" s="390"/>
      <c r="JNQ5" s="390"/>
      <c r="JNR5" s="390"/>
      <c r="JNS5" s="390"/>
      <c r="JNT5" s="390"/>
      <c r="JNU5" s="390"/>
      <c r="JNV5" s="390"/>
      <c r="JNW5" s="390"/>
      <c r="JNX5" s="390"/>
      <c r="JNY5" s="390"/>
      <c r="JNZ5" s="390"/>
      <c r="JOA5" s="390"/>
      <c r="JOB5" s="390"/>
      <c r="JOC5" s="390"/>
      <c r="JOD5" s="390"/>
      <c r="JOE5" s="390"/>
      <c r="JOF5" s="390"/>
      <c r="JOG5" s="390"/>
      <c r="JOH5" s="390"/>
      <c r="JOI5" s="390"/>
      <c r="JOJ5" s="390"/>
      <c r="JOK5" s="390"/>
      <c r="JOL5" s="390"/>
      <c r="JOM5" s="390"/>
      <c r="JON5" s="390"/>
      <c r="JOO5" s="390"/>
      <c r="JOP5" s="390"/>
      <c r="JOQ5" s="390"/>
      <c r="JOR5" s="390"/>
      <c r="JOS5" s="390"/>
      <c r="JOT5" s="390"/>
      <c r="JOU5" s="390"/>
      <c r="JOV5" s="390"/>
      <c r="JOW5" s="390"/>
      <c r="JOX5" s="390"/>
      <c r="JOY5" s="390"/>
      <c r="JOZ5" s="390"/>
      <c r="JPA5" s="390"/>
      <c r="JPB5" s="390"/>
      <c r="JPC5" s="390"/>
      <c r="JPD5" s="390"/>
      <c r="JPE5" s="390"/>
      <c r="JPF5" s="390"/>
      <c r="JPG5" s="390"/>
      <c r="JPH5" s="390"/>
      <c r="JPI5" s="390"/>
      <c r="JPJ5" s="390"/>
      <c r="JPK5" s="390"/>
      <c r="JPL5" s="390"/>
      <c r="JPM5" s="390"/>
      <c r="JPN5" s="390"/>
      <c r="JPO5" s="390"/>
      <c r="JPP5" s="390"/>
      <c r="JPQ5" s="390"/>
      <c r="JPR5" s="390"/>
      <c r="JPS5" s="390"/>
      <c r="JPT5" s="390"/>
      <c r="JPU5" s="390"/>
      <c r="JPV5" s="390"/>
      <c r="JPW5" s="390"/>
      <c r="JPX5" s="390"/>
      <c r="JPY5" s="390"/>
      <c r="JPZ5" s="390"/>
      <c r="JQA5" s="390"/>
      <c r="JQB5" s="390"/>
      <c r="JQC5" s="390"/>
      <c r="JQD5" s="390"/>
      <c r="JQE5" s="390"/>
      <c r="JQF5" s="390"/>
      <c r="JQG5" s="390"/>
      <c r="JQH5" s="390"/>
      <c r="JQI5" s="390"/>
      <c r="JQJ5" s="390"/>
      <c r="JQK5" s="390"/>
      <c r="JQL5" s="390"/>
      <c r="JQM5" s="390"/>
      <c r="JQN5" s="390"/>
      <c r="JQO5" s="390"/>
      <c r="JQP5" s="390"/>
      <c r="JQQ5" s="390"/>
      <c r="JQR5" s="390"/>
      <c r="JQS5" s="390"/>
      <c r="JQT5" s="390"/>
      <c r="JQU5" s="390"/>
      <c r="JQV5" s="390"/>
      <c r="JQW5" s="390"/>
      <c r="JQX5" s="390"/>
      <c r="JQY5" s="390"/>
      <c r="JQZ5" s="390"/>
      <c r="JRA5" s="390"/>
      <c r="JRB5" s="390"/>
      <c r="JRC5" s="390"/>
      <c r="JRD5" s="390"/>
      <c r="JRE5" s="390"/>
      <c r="JRF5" s="390"/>
      <c r="JRG5" s="390"/>
      <c r="JRH5" s="390"/>
      <c r="JRI5" s="390"/>
      <c r="JRJ5" s="390"/>
      <c r="JRK5" s="390"/>
      <c r="JRL5" s="390"/>
      <c r="JRM5" s="390"/>
      <c r="JRN5" s="390"/>
      <c r="JRO5" s="390"/>
      <c r="JRP5" s="390"/>
      <c r="JRQ5" s="390"/>
      <c r="JRR5" s="390"/>
      <c r="JRS5" s="390"/>
      <c r="JRT5" s="390"/>
      <c r="JRU5" s="390"/>
      <c r="JRV5" s="390"/>
      <c r="JRW5" s="390"/>
      <c r="JRX5" s="390"/>
      <c r="JRY5" s="390"/>
      <c r="JRZ5" s="390"/>
      <c r="JSA5" s="390"/>
      <c r="JSB5" s="390"/>
      <c r="JSC5" s="390"/>
      <c r="JSD5" s="390"/>
      <c r="JSE5" s="390"/>
      <c r="JSF5" s="390"/>
      <c r="JSG5" s="390"/>
      <c r="JSH5" s="390"/>
      <c r="JSI5" s="390"/>
      <c r="JSJ5" s="390"/>
      <c r="JSK5" s="390"/>
      <c r="JSL5" s="390"/>
      <c r="JSM5" s="390"/>
      <c r="JSN5" s="390"/>
      <c r="JSO5" s="390"/>
      <c r="JSP5" s="390"/>
      <c r="JSQ5" s="390"/>
      <c r="JSR5" s="390"/>
      <c r="JSS5" s="390"/>
      <c r="JST5" s="390"/>
      <c r="JSU5" s="390"/>
      <c r="JSV5" s="390"/>
      <c r="JSW5" s="390"/>
      <c r="JSX5" s="390"/>
      <c r="JSY5" s="390"/>
      <c r="JSZ5" s="390"/>
      <c r="JTA5" s="390"/>
      <c r="JTB5" s="390"/>
      <c r="JTC5" s="390"/>
      <c r="JTD5" s="390"/>
      <c r="JTE5" s="390"/>
      <c r="JTF5" s="390"/>
      <c r="JTG5" s="390"/>
      <c r="JTH5" s="390"/>
      <c r="JTI5" s="390"/>
      <c r="JTJ5" s="390"/>
      <c r="JTK5" s="390"/>
      <c r="JTL5" s="390"/>
      <c r="JTM5" s="390"/>
      <c r="JTN5" s="390"/>
      <c r="JTO5" s="390"/>
      <c r="JTP5" s="390"/>
      <c r="JTQ5" s="390"/>
      <c r="JTR5" s="390"/>
      <c r="JTS5" s="390"/>
      <c r="JTT5" s="390"/>
      <c r="JTU5" s="390"/>
      <c r="JTV5" s="390"/>
      <c r="JTW5" s="390"/>
      <c r="JTX5" s="390"/>
      <c r="JTY5" s="390"/>
      <c r="JTZ5" s="390"/>
      <c r="JUA5" s="390"/>
      <c r="JUB5" s="390"/>
      <c r="JUC5" s="390"/>
      <c r="JUD5" s="390"/>
      <c r="JUE5" s="390"/>
      <c r="JUF5" s="390"/>
      <c r="JUG5" s="390"/>
      <c r="JUH5" s="390"/>
      <c r="JUI5" s="390"/>
      <c r="JUJ5" s="390"/>
      <c r="JUK5" s="390"/>
      <c r="JUL5" s="390"/>
      <c r="JUM5" s="390"/>
      <c r="JUN5" s="390"/>
      <c r="JUO5" s="390"/>
      <c r="JUP5" s="390"/>
      <c r="JUQ5" s="390"/>
      <c r="JUR5" s="390"/>
      <c r="JUS5" s="390"/>
      <c r="JUT5" s="390"/>
      <c r="JUU5" s="390"/>
      <c r="JUV5" s="390"/>
      <c r="JUW5" s="390"/>
      <c r="JUX5" s="390"/>
      <c r="JUY5" s="390"/>
      <c r="JUZ5" s="390"/>
      <c r="JVA5" s="390"/>
      <c r="JVB5" s="390"/>
      <c r="JVC5" s="390"/>
      <c r="JVD5" s="390"/>
      <c r="JVE5" s="390"/>
      <c r="JVF5" s="390"/>
      <c r="JVG5" s="390"/>
      <c r="JVH5" s="390"/>
      <c r="JVI5" s="390"/>
      <c r="JVJ5" s="390"/>
      <c r="JVK5" s="390"/>
      <c r="JVL5" s="390"/>
      <c r="JVM5" s="390"/>
      <c r="JVN5" s="390"/>
      <c r="JVO5" s="390"/>
      <c r="JVP5" s="390"/>
      <c r="JVQ5" s="390"/>
      <c r="JVR5" s="390"/>
      <c r="JVS5" s="390"/>
      <c r="JVT5" s="390"/>
      <c r="JVU5" s="390"/>
      <c r="JVV5" s="390"/>
      <c r="JVW5" s="390"/>
      <c r="JVX5" s="390"/>
      <c r="JVY5" s="390"/>
      <c r="JVZ5" s="390"/>
      <c r="JWA5" s="390"/>
      <c r="JWB5" s="390"/>
      <c r="JWC5" s="390"/>
      <c r="JWD5" s="390"/>
      <c r="JWE5" s="390"/>
      <c r="JWF5" s="390"/>
      <c r="JWG5" s="390"/>
      <c r="JWH5" s="390"/>
      <c r="JWI5" s="390"/>
      <c r="JWJ5" s="390"/>
      <c r="JWK5" s="390"/>
      <c r="JWL5" s="390"/>
      <c r="JWM5" s="390"/>
      <c r="JWN5" s="390"/>
      <c r="JWO5" s="390"/>
      <c r="JWP5" s="390"/>
      <c r="JWQ5" s="390"/>
      <c r="JWR5" s="390"/>
      <c r="JWS5" s="390"/>
      <c r="JWT5" s="390"/>
      <c r="JWU5" s="390"/>
      <c r="JWV5" s="390"/>
      <c r="JWW5" s="390"/>
      <c r="JWX5" s="390"/>
      <c r="JWY5" s="390"/>
      <c r="JWZ5" s="390"/>
      <c r="JXA5" s="390"/>
      <c r="JXB5" s="390"/>
      <c r="JXC5" s="390"/>
      <c r="JXD5" s="390"/>
      <c r="JXE5" s="390"/>
      <c r="JXF5" s="390"/>
      <c r="JXG5" s="390"/>
      <c r="JXH5" s="390"/>
      <c r="JXI5" s="390"/>
      <c r="JXJ5" s="390"/>
      <c r="JXK5" s="390"/>
      <c r="JXL5" s="390"/>
      <c r="JXM5" s="390"/>
      <c r="JXN5" s="390"/>
      <c r="JXO5" s="390"/>
      <c r="JXP5" s="390"/>
      <c r="JXQ5" s="390"/>
      <c r="JXR5" s="390"/>
      <c r="JXS5" s="390"/>
      <c r="JXT5" s="390"/>
      <c r="JXU5" s="390"/>
      <c r="JXV5" s="390"/>
      <c r="JXW5" s="390"/>
      <c r="JXX5" s="390"/>
      <c r="JXY5" s="390"/>
      <c r="JXZ5" s="390"/>
      <c r="JYA5" s="390"/>
      <c r="JYB5" s="390"/>
      <c r="JYC5" s="390"/>
      <c r="JYD5" s="390"/>
      <c r="JYE5" s="390"/>
      <c r="JYF5" s="390"/>
      <c r="JYG5" s="390"/>
      <c r="JYH5" s="390"/>
      <c r="JYI5" s="390"/>
      <c r="JYJ5" s="390"/>
      <c r="JYK5" s="390"/>
      <c r="JYL5" s="390"/>
      <c r="JYM5" s="390"/>
      <c r="JYN5" s="390"/>
      <c r="JYO5" s="390"/>
      <c r="JYP5" s="390"/>
      <c r="JYQ5" s="390"/>
      <c r="JYR5" s="390"/>
      <c r="JYS5" s="390"/>
      <c r="JYT5" s="390"/>
      <c r="JYU5" s="390"/>
      <c r="JYV5" s="390"/>
      <c r="JYW5" s="390"/>
      <c r="JYX5" s="390"/>
      <c r="JYY5" s="390"/>
      <c r="JYZ5" s="390"/>
      <c r="JZA5" s="390"/>
      <c r="JZB5" s="390"/>
      <c r="JZC5" s="390"/>
      <c r="JZD5" s="390"/>
      <c r="JZE5" s="390"/>
      <c r="JZF5" s="390"/>
      <c r="JZG5" s="390"/>
      <c r="JZH5" s="390"/>
      <c r="JZI5" s="390"/>
      <c r="JZJ5" s="390"/>
      <c r="JZK5" s="390"/>
      <c r="JZL5" s="390"/>
      <c r="JZM5" s="390"/>
      <c r="JZN5" s="390"/>
      <c r="JZO5" s="390"/>
      <c r="JZP5" s="390"/>
      <c r="JZQ5" s="390"/>
      <c r="JZR5" s="390"/>
      <c r="JZS5" s="390"/>
      <c r="JZT5" s="390"/>
      <c r="JZU5" s="390"/>
      <c r="JZV5" s="390"/>
      <c r="JZW5" s="390"/>
      <c r="JZX5" s="390"/>
      <c r="JZY5" s="390"/>
      <c r="JZZ5" s="390"/>
      <c r="KAA5" s="390"/>
      <c r="KAB5" s="390"/>
      <c r="KAC5" s="390"/>
      <c r="KAD5" s="390"/>
      <c r="KAE5" s="390"/>
      <c r="KAF5" s="390"/>
      <c r="KAG5" s="390"/>
      <c r="KAH5" s="390"/>
      <c r="KAI5" s="390"/>
      <c r="KAJ5" s="390"/>
      <c r="KAK5" s="390"/>
      <c r="KAL5" s="390"/>
      <c r="KAM5" s="390"/>
      <c r="KAN5" s="390"/>
      <c r="KAO5" s="390"/>
      <c r="KAP5" s="390"/>
      <c r="KAQ5" s="390"/>
      <c r="KAR5" s="390"/>
      <c r="KAS5" s="390"/>
      <c r="KAT5" s="390"/>
      <c r="KAU5" s="390"/>
      <c r="KAV5" s="390"/>
      <c r="KAW5" s="390"/>
      <c r="KAX5" s="390"/>
      <c r="KAY5" s="390"/>
      <c r="KAZ5" s="390"/>
      <c r="KBA5" s="390"/>
      <c r="KBB5" s="390"/>
      <c r="KBC5" s="390"/>
      <c r="KBD5" s="390"/>
      <c r="KBE5" s="390"/>
      <c r="KBF5" s="390"/>
      <c r="KBG5" s="390"/>
      <c r="KBH5" s="390"/>
      <c r="KBI5" s="390"/>
      <c r="KBJ5" s="390"/>
      <c r="KBK5" s="390"/>
      <c r="KBL5" s="390"/>
      <c r="KBM5" s="390"/>
      <c r="KBN5" s="390"/>
      <c r="KBO5" s="390"/>
      <c r="KBP5" s="390"/>
      <c r="KBQ5" s="390"/>
      <c r="KBR5" s="390"/>
      <c r="KBS5" s="390"/>
      <c r="KBT5" s="390"/>
      <c r="KBU5" s="390"/>
      <c r="KBV5" s="390"/>
      <c r="KBW5" s="390"/>
      <c r="KBX5" s="390"/>
      <c r="KBY5" s="390"/>
      <c r="KBZ5" s="390"/>
      <c r="KCA5" s="390"/>
      <c r="KCB5" s="390"/>
      <c r="KCC5" s="390"/>
      <c r="KCD5" s="390"/>
      <c r="KCE5" s="390"/>
      <c r="KCF5" s="390"/>
      <c r="KCG5" s="390"/>
      <c r="KCH5" s="390"/>
      <c r="KCI5" s="390"/>
      <c r="KCJ5" s="390"/>
      <c r="KCK5" s="390"/>
      <c r="KCL5" s="390"/>
      <c r="KCM5" s="390"/>
      <c r="KCN5" s="390"/>
      <c r="KCO5" s="390"/>
      <c r="KCP5" s="390"/>
      <c r="KCQ5" s="390"/>
      <c r="KCR5" s="390"/>
      <c r="KCS5" s="390"/>
      <c r="KCT5" s="390"/>
      <c r="KCU5" s="390"/>
      <c r="KCV5" s="390"/>
      <c r="KCW5" s="390"/>
      <c r="KCX5" s="390"/>
      <c r="KCY5" s="390"/>
      <c r="KCZ5" s="390"/>
      <c r="KDA5" s="390"/>
      <c r="KDB5" s="390"/>
      <c r="KDC5" s="390"/>
      <c r="KDD5" s="390"/>
      <c r="KDE5" s="390"/>
      <c r="KDF5" s="390"/>
      <c r="KDG5" s="390"/>
      <c r="KDH5" s="390"/>
      <c r="KDI5" s="390"/>
      <c r="KDJ5" s="390"/>
      <c r="KDK5" s="390"/>
      <c r="KDL5" s="390"/>
      <c r="KDM5" s="390"/>
      <c r="KDN5" s="390"/>
      <c r="KDO5" s="390"/>
      <c r="KDP5" s="390"/>
      <c r="KDQ5" s="390"/>
      <c r="KDR5" s="390"/>
      <c r="KDS5" s="390"/>
      <c r="KDT5" s="390"/>
      <c r="KDU5" s="390"/>
      <c r="KDV5" s="390"/>
      <c r="KDW5" s="390"/>
      <c r="KDX5" s="390"/>
      <c r="KDY5" s="390"/>
      <c r="KDZ5" s="390"/>
      <c r="KEA5" s="390"/>
      <c r="KEB5" s="390"/>
      <c r="KEC5" s="390"/>
      <c r="KED5" s="390"/>
      <c r="KEE5" s="390"/>
      <c r="KEF5" s="390"/>
      <c r="KEG5" s="390"/>
      <c r="KEH5" s="390"/>
      <c r="KEI5" s="390"/>
      <c r="KEJ5" s="390"/>
      <c r="KEK5" s="390"/>
      <c r="KEL5" s="390"/>
      <c r="KEM5" s="390"/>
      <c r="KEN5" s="390"/>
      <c r="KEO5" s="390"/>
      <c r="KEP5" s="390"/>
      <c r="KEQ5" s="390"/>
      <c r="KER5" s="390"/>
      <c r="KES5" s="390"/>
      <c r="KET5" s="390"/>
      <c r="KEU5" s="390"/>
      <c r="KEV5" s="390"/>
      <c r="KEW5" s="390"/>
      <c r="KEX5" s="390"/>
      <c r="KEY5" s="390"/>
      <c r="KEZ5" s="390"/>
      <c r="KFA5" s="390"/>
      <c r="KFB5" s="390"/>
      <c r="KFC5" s="390"/>
      <c r="KFD5" s="390"/>
      <c r="KFE5" s="390"/>
      <c r="KFF5" s="390"/>
      <c r="KFG5" s="390"/>
      <c r="KFH5" s="390"/>
      <c r="KFI5" s="390"/>
      <c r="KFJ5" s="390"/>
      <c r="KFK5" s="390"/>
      <c r="KFL5" s="390"/>
      <c r="KFM5" s="390"/>
      <c r="KFN5" s="390"/>
      <c r="KFO5" s="390"/>
      <c r="KFP5" s="390"/>
      <c r="KFQ5" s="390"/>
      <c r="KFR5" s="390"/>
      <c r="KFS5" s="390"/>
      <c r="KFT5" s="390"/>
      <c r="KFU5" s="390"/>
      <c r="KFV5" s="390"/>
      <c r="KFW5" s="390"/>
      <c r="KFX5" s="390"/>
      <c r="KFY5" s="390"/>
      <c r="KFZ5" s="390"/>
      <c r="KGA5" s="390"/>
      <c r="KGB5" s="390"/>
      <c r="KGC5" s="390"/>
      <c r="KGD5" s="390"/>
      <c r="KGE5" s="390"/>
      <c r="KGF5" s="390"/>
      <c r="KGG5" s="390"/>
      <c r="KGH5" s="390"/>
      <c r="KGI5" s="390"/>
      <c r="KGJ5" s="390"/>
      <c r="KGK5" s="390"/>
      <c r="KGL5" s="390"/>
      <c r="KGM5" s="390"/>
      <c r="KGN5" s="390"/>
      <c r="KGO5" s="390"/>
      <c r="KGP5" s="390"/>
      <c r="KGQ5" s="390"/>
      <c r="KGR5" s="390"/>
      <c r="KGS5" s="390"/>
      <c r="KGT5" s="390"/>
      <c r="KGU5" s="390"/>
      <c r="KGV5" s="390"/>
      <c r="KGW5" s="390"/>
      <c r="KGX5" s="390"/>
      <c r="KGY5" s="390"/>
      <c r="KGZ5" s="390"/>
      <c r="KHA5" s="390"/>
      <c r="KHB5" s="390"/>
      <c r="KHC5" s="390"/>
      <c r="KHD5" s="390"/>
      <c r="KHE5" s="390"/>
      <c r="KHF5" s="390"/>
      <c r="KHG5" s="390"/>
      <c r="KHH5" s="390"/>
      <c r="KHI5" s="390"/>
      <c r="KHJ5" s="390"/>
      <c r="KHK5" s="390"/>
      <c r="KHL5" s="390"/>
      <c r="KHM5" s="390"/>
      <c r="KHN5" s="390"/>
      <c r="KHO5" s="390"/>
      <c r="KHP5" s="390"/>
      <c r="KHQ5" s="390"/>
      <c r="KHR5" s="390"/>
      <c r="KHS5" s="390"/>
      <c r="KHT5" s="390"/>
      <c r="KHU5" s="390"/>
      <c r="KHV5" s="390"/>
      <c r="KHW5" s="390"/>
      <c r="KHX5" s="390"/>
      <c r="KHY5" s="390"/>
      <c r="KHZ5" s="390"/>
      <c r="KIA5" s="390"/>
      <c r="KIB5" s="390"/>
      <c r="KIC5" s="390"/>
      <c r="KID5" s="390"/>
      <c r="KIE5" s="390"/>
      <c r="KIF5" s="390"/>
      <c r="KIG5" s="390"/>
      <c r="KIH5" s="390"/>
      <c r="KII5" s="390"/>
      <c r="KIJ5" s="390"/>
      <c r="KIK5" s="390"/>
      <c r="KIL5" s="390"/>
      <c r="KIM5" s="390"/>
      <c r="KIN5" s="390"/>
      <c r="KIO5" s="390"/>
      <c r="KIP5" s="390"/>
      <c r="KIQ5" s="390"/>
      <c r="KIR5" s="390"/>
      <c r="KIS5" s="390"/>
      <c r="KIT5" s="390"/>
      <c r="KIU5" s="390"/>
      <c r="KIV5" s="390"/>
      <c r="KIW5" s="390"/>
      <c r="KIX5" s="390"/>
      <c r="KIY5" s="390"/>
      <c r="KIZ5" s="390"/>
      <c r="KJA5" s="390"/>
      <c r="KJB5" s="390"/>
      <c r="KJC5" s="390"/>
      <c r="KJD5" s="390"/>
      <c r="KJE5" s="390"/>
      <c r="KJF5" s="390"/>
      <c r="KJG5" s="390"/>
      <c r="KJH5" s="390"/>
      <c r="KJI5" s="390"/>
      <c r="KJJ5" s="390"/>
      <c r="KJK5" s="390"/>
      <c r="KJL5" s="390"/>
      <c r="KJM5" s="390"/>
      <c r="KJN5" s="390"/>
      <c r="KJO5" s="390"/>
      <c r="KJP5" s="390"/>
      <c r="KJQ5" s="390"/>
      <c r="KJR5" s="390"/>
      <c r="KJS5" s="390"/>
      <c r="KJT5" s="390"/>
      <c r="KJU5" s="390"/>
      <c r="KJV5" s="390"/>
      <c r="KJW5" s="390"/>
      <c r="KJX5" s="390"/>
      <c r="KJY5" s="390"/>
      <c r="KJZ5" s="390"/>
      <c r="KKA5" s="390"/>
      <c r="KKB5" s="390"/>
      <c r="KKC5" s="390"/>
      <c r="KKD5" s="390"/>
      <c r="KKE5" s="390"/>
      <c r="KKF5" s="390"/>
      <c r="KKG5" s="390"/>
      <c r="KKH5" s="390"/>
      <c r="KKI5" s="390"/>
      <c r="KKJ5" s="390"/>
      <c r="KKK5" s="390"/>
      <c r="KKL5" s="390"/>
      <c r="KKM5" s="390"/>
      <c r="KKN5" s="390"/>
      <c r="KKO5" s="390"/>
      <c r="KKP5" s="390"/>
      <c r="KKQ5" s="390"/>
      <c r="KKR5" s="390"/>
      <c r="KKS5" s="390"/>
      <c r="KKT5" s="390"/>
      <c r="KKU5" s="390"/>
      <c r="KKV5" s="390"/>
      <c r="KKW5" s="390"/>
      <c r="KKX5" s="390"/>
      <c r="KKY5" s="390"/>
      <c r="KKZ5" s="390"/>
      <c r="KLA5" s="390"/>
      <c r="KLB5" s="390"/>
      <c r="KLC5" s="390"/>
      <c r="KLD5" s="390"/>
      <c r="KLE5" s="390"/>
      <c r="KLF5" s="390"/>
      <c r="KLG5" s="390"/>
      <c r="KLH5" s="390"/>
      <c r="KLI5" s="390"/>
      <c r="KLJ5" s="390"/>
      <c r="KLK5" s="390"/>
      <c r="KLL5" s="390"/>
      <c r="KLM5" s="390"/>
      <c r="KLN5" s="390"/>
      <c r="KLO5" s="390"/>
      <c r="KLP5" s="390"/>
      <c r="KLQ5" s="390"/>
      <c r="KLR5" s="390"/>
      <c r="KLS5" s="390"/>
      <c r="KLT5" s="390"/>
      <c r="KLU5" s="390"/>
      <c r="KLV5" s="390"/>
      <c r="KLW5" s="390"/>
      <c r="KLX5" s="390"/>
      <c r="KLY5" s="390"/>
      <c r="KLZ5" s="390"/>
      <c r="KMA5" s="390"/>
      <c r="KMB5" s="390"/>
      <c r="KMC5" s="390"/>
      <c r="KMD5" s="390"/>
      <c r="KME5" s="390"/>
      <c r="KMF5" s="390"/>
      <c r="KMG5" s="390"/>
      <c r="KMH5" s="390"/>
      <c r="KMI5" s="390"/>
      <c r="KMJ5" s="390"/>
      <c r="KMK5" s="390"/>
      <c r="KML5" s="390"/>
      <c r="KMM5" s="390"/>
      <c r="KMN5" s="390"/>
      <c r="KMO5" s="390"/>
      <c r="KMP5" s="390"/>
      <c r="KMQ5" s="390"/>
      <c r="KMR5" s="390"/>
      <c r="KMS5" s="390"/>
      <c r="KMT5" s="390"/>
      <c r="KMU5" s="390"/>
      <c r="KMV5" s="390"/>
      <c r="KMW5" s="390"/>
      <c r="KMX5" s="390"/>
      <c r="KMY5" s="390"/>
      <c r="KMZ5" s="390"/>
      <c r="KNA5" s="390"/>
      <c r="KNB5" s="390"/>
      <c r="KNC5" s="390"/>
      <c r="KND5" s="390"/>
      <c r="KNE5" s="390"/>
      <c r="KNF5" s="390"/>
      <c r="KNG5" s="390"/>
      <c r="KNH5" s="390"/>
      <c r="KNI5" s="390"/>
      <c r="KNJ5" s="390"/>
      <c r="KNK5" s="390"/>
      <c r="KNL5" s="390"/>
      <c r="KNM5" s="390"/>
      <c r="KNN5" s="390"/>
      <c r="KNO5" s="390"/>
      <c r="KNP5" s="390"/>
      <c r="KNQ5" s="390"/>
      <c r="KNR5" s="390"/>
      <c r="KNS5" s="390"/>
      <c r="KNT5" s="390"/>
      <c r="KNU5" s="390"/>
      <c r="KNV5" s="390"/>
      <c r="KNW5" s="390"/>
      <c r="KNX5" s="390"/>
      <c r="KNY5" s="390"/>
      <c r="KNZ5" s="390"/>
      <c r="KOA5" s="390"/>
      <c r="KOB5" s="390"/>
      <c r="KOC5" s="390"/>
      <c r="KOD5" s="390"/>
      <c r="KOE5" s="390"/>
      <c r="KOF5" s="390"/>
      <c r="KOG5" s="390"/>
      <c r="KOH5" s="390"/>
      <c r="KOI5" s="390"/>
      <c r="KOJ5" s="390"/>
      <c r="KOK5" s="390"/>
      <c r="KOL5" s="390"/>
      <c r="KOM5" s="390"/>
      <c r="KON5" s="390"/>
      <c r="KOO5" s="390"/>
      <c r="KOP5" s="390"/>
      <c r="KOQ5" s="390"/>
      <c r="KOR5" s="390"/>
      <c r="KOS5" s="390"/>
      <c r="KOT5" s="390"/>
      <c r="KOU5" s="390"/>
      <c r="KOV5" s="390"/>
      <c r="KOW5" s="390"/>
      <c r="KOX5" s="390"/>
      <c r="KOY5" s="390"/>
      <c r="KOZ5" s="390"/>
      <c r="KPA5" s="390"/>
      <c r="KPB5" s="390"/>
      <c r="KPC5" s="390"/>
      <c r="KPD5" s="390"/>
      <c r="KPE5" s="390"/>
      <c r="KPF5" s="390"/>
      <c r="KPG5" s="390"/>
      <c r="KPH5" s="390"/>
      <c r="KPI5" s="390"/>
      <c r="KPJ5" s="390"/>
      <c r="KPK5" s="390"/>
      <c r="KPL5" s="390"/>
      <c r="KPM5" s="390"/>
      <c r="KPN5" s="390"/>
      <c r="KPO5" s="390"/>
      <c r="KPP5" s="390"/>
      <c r="KPQ5" s="390"/>
      <c r="KPR5" s="390"/>
      <c r="KPS5" s="390"/>
      <c r="KPT5" s="390"/>
      <c r="KPU5" s="390"/>
      <c r="KPV5" s="390"/>
      <c r="KPW5" s="390"/>
      <c r="KPX5" s="390"/>
      <c r="KPY5" s="390"/>
      <c r="KPZ5" s="390"/>
      <c r="KQA5" s="390"/>
      <c r="KQB5" s="390"/>
      <c r="KQC5" s="390"/>
      <c r="KQD5" s="390"/>
      <c r="KQE5" s="390"/>
      <c r="KQF5" s="390"/>
      <c r="KQG5" s="390"/>
      <c r="KQH5" s="390"/>
      <c r="KQI5" s="390"/>
      <c r="KQJ5" s="390"/>
      <c r="KQK5" s="390"/>
      <c r="KQL5" s="390"/>
      <c r="KQM5" s="390"/>
      <c r="KQN5" s="390"/>
      <c r="KQO5" s="390"/>
      <c r="KQP5" s="390"/>
      <c r="KQQ5" s="390"/>
      <c r="KQR5" s="390"/>
      <c r="KQS5" s="390"/>
      <c r="KQT5" s="390"/>
      <c r="KQU5" s="390"/>
      <c r="KQV5" s="390"/>
      <c r="KQW5" s="390"/>
      <c r="KQX5" s="390"/>
      <c r="KQY5" s="390"/>
      <c r="KQZ5" s="390"/>
      <c r="KRA5" s="390"/>
      <c r="KRB5" s="390"/>
      <c r="KRC5" s="390"/>
      <c r="KRD5" s="390"/>
      <c r="KRE5" s="390"/>
      <c r="KRF5" s="390"/>
      <c r="KRG5" s="390"/>
      <c r="KRH5" s="390"/>
      <c r="KRI5" s="390"/>
      <c r="KRJ5" s="390"/>
      <c r="KRK5" s="390"/>
      <c r="KRL5" s="390"/>
      <c r="KRM5" s="390"/>
      <c r="KRN5" s="390"/>
      <c r="KRO5" s="390"/>
      <c r="KRP5" s="390"/>
      <c r="KRQ5" s="390"/>
      <c r="KRR5" s="390"/>
      <c r="KRS5" s="390"/>
      <c r="KRT5" s="390"/>
      <c r="KRU5" s="390"/>
      <c r="KRV5" s="390"/>
      <c r="KRW5" s="390"/>
      <c r="KRX5" s="390"/>
      <c r="KRY5" s="390"/>
      <c r="KRZ5" s="390"/>
      <c r="KSA5" s="390"/>
      <c r="KSB5" s="390"/>
      <c r="KSC5" s="390"/>
      <c r="KSD5" s="390"/>
      <c r="KSE5" s="390"/>
      <c r="KSF5" s="390"/>
      <c r="KSG5" s="390"/>
      <c r="KSH5" s="390"/>
      <c r="KSI5" s="390"/>
      <c r="KSJ5" s="390"/>
      <c r="KSK5" s="390"/>
      <c r="KSL5" s="390"/>
      <c r="KSM5" s="390"/>
      <c r="KSN5" s="390"/>
      <c r="KSO5" s="390"/>
      <c r="KSP5" s="390"/>
      <c r="KSQ5" s="390"/>
      <c r="KSR5" s="390"/>
      <c r="KSS5" s="390"/>
      <c r="KST5" s="390"/>
      <c r="KSU5" s="390"/>
      <c r="KSV5" s="390"/>
      <c r="KSW5" s="390"/>
      <c r="KSX5" s="390"/>
      <c r="KSY5" s="390"/>
      <c r="KSZ5" s="390"/>
      <c r="KTA5" s="390"/>
      <c r="KTB5" s="390"/>
      <c r="KTC5" s="390"/>
      <c r="KTD5" s="390"/>
      <c r="KTE5" s="390"/>
      <c r="KTF5" s="390"/>
      <c r="KTG5" s="390"/>
      <c r="KTH5" s="390"/>
      <c r="KTI5" s="390"/>
      <c r="KTJ5" s="390"/>
      <c r="KTK5" s="390"/>
      <c r="KTL5" s="390"/>
      <c r="KTM5" s="390"/>
      <c r="KTN5" s="390"/>
      <c r="KTO5" s="390"/>
      <c r="KTP5" s="390"/>
      <c r="KTQ5" s="390"/>
      <c r="KTR5" s="390"/>
      <c r="KTS5" s="390"/>
      <c r="KTT5" s="390"/>
      <c r="KTU5" s="390"/>
      <c r="KTV5" s="390"/>
      <c r="KTW5" s="390"/>
      <c r="KTX5" s="390"/>
      <c r="KTY5" s="390"/>
      <c r="KTZ5" s="390"/>
      <c r="KUA5" s="390"/>
      <c r="KUB5" s="390"/>
      <c r="KUC5" s="390"/>
      <c r="KUD5" s="390"/>
      <c r="KUE5" s="390"/>
      <c r="KUF5" s="390"/>
      <c r="KUG5" s="390"/>
      <c r="KUH5" s="390"/>
      <c r="KUI5" s="390"/>
      <c r="KUJ5" s="390"/>
      <c r="KUK5" s="390"/>
      <c r="KUL5" s="390"/>
      <c r="KUM5" s="390"/>
      <c r="KUN5" s="390"/>
      <c r="KUO5" s="390"/>
      <c r="KUP5" s="390"/>
      <c r="KUQ5" s="390"/>
      <c r="KUR5" s="390"/>
      <c r="KUS5" s="390"/>
      <c r="KUT5" s="390"/>
      <c r="KUU5" s="390"/>
      <c r="KUV5" s="390"/>
      <c r="KUW5" s="390"/>
      <c r="KUX5" s="390"/>
      <c r="KUY5" s="390"/>
      <c r="KUZ5" s="390"/>
      <c r="KVA5" s="390"/>
      <c r="KVB5" s="390"/>
      <c r="KVC5" s="390"/>
      <c r="KVD5" s="390"/>
      <c r="KVE5" s="390"/>
      <c r="KVF5" s="390"/>
      <c r="KVG5" s="390"/>
      <c r="KVH5" s="390"/>
      <c r="KVI5" s="390"/>
      <c r="KVJ5" s="390"/>
      <c r="KVK5" s="390"/>
      <c r="KVL5" s="390"/>
      <c r="KVM5" s="390"/>
      <c r="KVN5" s="390"/>
      <c r="KVO5" s="390"/>
      <c r="KVP5" s="390"/>
      <c r="KVQ5" s="390"/>
      <c r="KVR5" s="390"/>
      <c r="KVS5" s="390"/>
      <c r="KVT5" s="390"/>
      <c r="KVU5" s="390"/>
      <c r="KVV5" s="390"/>
      <c r="KVW5" s="390"/>
      <c r="KVX5" s="390"/>
      <c r="KVY5" s="390"/>
      <c r="KVZ5" s="390"/>
      <c r="KWA5" s="390"/>
      <c r="KWB5" s="390"/>
      <c r="KWC5" s="390"/>
      <c r="KWD5" s="390"/>
      <c r="KWE5" s="390"/>
      <c r="KWF5" s="390"/>
      <c r="KWG5" s="390"/>
      <c r="KWH5" s="390"/>
      <c r="KWI5" s="390"/>
      <c r="KWJ5" s="390"/>
      <c r="KWK5" s="390"/>
      <c r="KWL5" s="390"/>
      <c r="KWM5" s="390"/>
      <c r="KWN5" s="390"/>
      <c r="KWO5" s="390"/>
      <c r="KWP5" s="390"/>
      <c r="KWQ5" s="390"/>
      <c r="KWR5" s="390"/>
      <c r="KWS5" s="390"/>
      <c r="KWT5" s="390"/>
      <c r="KWU5" s="390"/>
      <c r="KWV5" s="390"/>
      <c r="KWW5" s="390"/>
      <c r="KWX5" s="390"/>
      <c r="KWY5" s="390"/>
      <c r="KWZ5" s="390"/>
      <c r="KXA5" s="390"/>
      <c r="KXB5" s="390"/>
      <c r="KXC5" s="390"/>
      <c r="KXD5" s="390"/>
      <c r="KXE5" s="390"/>
      <c r="KXF5" s="390"/>
      <c r="KXG5" s="390"/>
      <c r="KXH5" s="390"/>
      <c r="KXI5" s="390"/>
      <c r="KXJ5" s="390"/>
      <c r="KXK5" s="390"/>
      <c r="KXL5" s="390"/>
      <c r="KXM5" s="390"/>
      <c r="KXN5" s="390"/>
      <c r="KXO5" s="390"/>
      <c r="KXP5" s="390"/>
      <c r="KXQ5" s="390"/>
      <c r="KXR5" s="390"/>
      <c r="KXS5" s="390"/>
      <c r="KXT5" s="390"/>
      <c r="KXU5" s="390"/>
      <c r="KXV5" s="390"/>
      <c r="KXW5" s="390"/>
      <c r="KXX5" s="390"/>
      <c r="KXY5" s="390"/>
      <c r="KXZ5" s="390"/>
      <c r="KYA5" s="390"/>
      <c r="KYB5" s="390"/>
      <c r="KYC5" s="390"/>
      <c r="KYD5" s="390"/>
      <c r="KYE5" s="390"/>
      <c r="KYF5" s="390"/>
      <c r="KYG5" s="390"/>
      <c r="KYH5" s="390"/>
      <c r="KYI5" s="390"/>
      <c r="KYJ5" s="390"/>
      <c r="KYK5" s="390"/>
      <c r="KYL5" s="390"/>
      <c r="KYM5" s="390"/>
      <c r="KYN5" s="390"/>
      <c r="KYO5" s="390"/>
      <c r="KYP5" s="390"/>
      <c r="KYQ5" s="390"/>
      <c r="KYR5" s="390"/>
      <c r="KYS5" s="390"/>
      <c r="KYT5" s="390"/>
      <c r="KYU5" s="390"/>
      <c r="KYV5" s="390"/>
      <c r="KYW5" s="390"/>
      <c r="KYX5" s="390"/>
      <c r="KYY5" s="390"/>
      <c r="KYZ5" s="390"/>
      <c r="KZA5" s="390"/>
      <c r="KZB5" s="390"/>
      <c r="KZC5" s="390"/>
      <c r="KZD5" s="390"/>
      <c r="KZE5" s="390"/>
      <c r="KZF5" s="390"/>
      <c r="KZG5" s="390"/>
      <c r="KZH5" s="390"/>
      <c r="KZI5" s="390"/>
      <c r="KZJ5" s="390"/>
      <c r="KZK5" s="390"/>
      <c r="KZL5" s="390"/>
      <c r="KZM5" s="390"/>
      <c r="KZN5" s="390"/>
      <c r="KZO5" s="390"/>
      <c r="KZP5" s="390"/>
      <c r="KZQ5" s="390"/>
      <c r="KZR5" s="390"/>
      <c r="KZS5" s="390"/>
      <c r="KZT5" s="390"/>
      <c r="KZU5" s="390"/>
      <c r="KZV5" s="390"/>
      <c r="KZW5" s="390"/>
      <c r="KZX5" s="390"/>
      <c r="KZY5" s="390"/>
      <c r="KZZ5" s="390"/>
      <c r="LAA5" s="390"/>
      <c r="LAB5" s="390"/>
      <c r="LAC5" s="390"/>
      <c r="LAD5" s="390"/>
      <c r="LAE5" s="390"/>
      <c r="LAF5" s="390"/>
      <c r="LAG5" s="390"/>
      <c r="LAH5" s="390"/>
      <c r="LAI5" s="390"/>
      <c r="LAJ5" s="390"/>
      <c r="LAK5" s="390"/>
      <c r="LAL5" s="390"/>
      <c r="LAM5" s="390"/>
      <c r="LAN5" s="390"/>
      <c r="LAO5" s="390"/>
      <c r="LAP5" s="390"/>
      <c r="LAQ5" s="390"/>
      <c r="LAR5" s="390"/>
      <c r="LAS5" s="390"/>
      <c r="LAT5" s="390"/>
      <c r="LAU5" s="390"/>
      <c r="LAV5" s="390"/>
      <c r="LAW5" s="390"/>
      <c r="LAX5" s="390"/>
      <c r="LAY5" s="390"/>
      <c r="LAZ5" s="390"/>
      <c r="LBA5" s="390"/>
      <c r="LBB5" s="390"/>
      <c r="LBC5" s="390"/>
      <c r="LBD5" s="390"/>
      <c r="LBE5" s="390"/>
      <c r="LBF5" s="390"/>
      <c r="LBG5" s="390"/>
      <c r="LBH5" s="390"/>
      <c r="LBI5" s="390"/>
      <c r="LBJ5" s="390"/>
      <c r="LBK5" s="390"/>
      <c r="LBL5" s="390"/>
      <c r="LBM5" s="390"/>
      <c r="LBN5" s="390"/>
      <c r="LBO5" s="390"/>
      <c r="LBP5" s="390"/>
      <c r="LBQ5" s="390"/>
      <c r="LBR5" s="390"/>
      <c r="LBS5" s="390"/>
      <c r="LBT5" s="390"/>
      <c r="LBU5" s="390"/>
      <c r="LBV5" s="390"/>
      <c r="LBW5" s="390"/>
      <c r="LBX5" s="390"/>
      <c r="LBY5" s="390"/>
      <c r="LBZ5" s="390"/>
      <c r="LCA5" s="390"/>
      <c r="LCB5" s="390"/>
      <c r="LCC5" s="390"/>
      <c r="LCD5" s="390"/>
      <c r="LCE5" s="390"/>
      <c r="LCF5" s="390"/>
      <c r="LCG5" s="390"/>
      <c r="LCH5" s="390"/>
      <c r="LCI5" s="390"/>
      <c r="LCJ5" s="390"/>
      <c r="LCK5" s="390"/>
      <c r="LCL5" s="390"/>
      <c r="LCM5" s="390"/>
      <c r="LCN5" s="390"/>
      <c r="LCO5" s="390"/>
      <c r="LCP5" s="390"/>
      <c r="LCQ5" s="390"/>
      <c r="LCR5" s="390"/>
      <c r="LCS5" s="390"/>
      <c r="LCT5" s="390"/>
      <c r="LCU5" s="390"/>
      <c r="LCV5" s="390"/>
      <c r="LCW5" s="390"/>
      <c r="LCX5" s="390"/>
      <c r="LCY5" s="390"/>
      <c r="LCZ5" s="390"/>
      <c r="LDA5" s="390"/>
      <c r="LDB5" s="390"/>
      <c r="LDC5" s="390"/>
      <c r="LDD5" s="390"/>
      <c r="LDE5" s="390"/>
      <c r="LDF5" s="390"/>
      <c r="LDG5" s="390"/>
      <c r="LDH5" s="390"/>
      <c r="LDI5" s="390"/>
      <c r="LDJ5" s="390"/>
      <c r="LDK5" s="390"/>
      <c r="LDL5" s="390"/>
      <c r="LDM5" s="390"/>
      <c r="LDN5" s="390"/>
      <c r="LDO5" s="390"/>
      <c r="LDP5" s="390"/>
      <c r="LDQ5" s="390"/>
      <c r="LDR5" s="390"/>
      <c r="LDS5" s="390"/>
      <c r="LDT5" s="390"/>
      <c r="LDU5" s="390"/>
      <c r="LDV5" s="390"/>
      <c r="LDW5" s="390"/>
      <c r="LDX5" s="390"/>
      <c r="LDY5" s="390"/>
      <c r="LDZ5" s="390"/>
      <c r="LEA5" s="390"/>
      <c r="LEB5" s="390"/>
      <c r="LEC5" s="390"/>
      <c r="LED5" s="390"/>
      <c r="LEE5" s="390"/>
      <c r="LEF5" s="390"/>
      <c r="LEG5" s="390"/>
      <c r="LEH5" s="390"/>
      <c r="LEI5" s="390"/>
      <c r="LEJ5" s="390"/>
      <c r="LEK5" s="390"/>
      <c r="LEL5" s="390"/>
      <c r="LEM5" s="390"/>
      <c r="LEN5" s="390"/>
      <c r="LEO5" s="390"/>
      <c r="LEP5" s="390"/>
      <c r="LEQ5" s="390"/>
      <c r="LER5" s="390"/>
      <c r="LES5" s="390"/>
      <c r="LET5" s="390"/>
      <c r="LEU5" s="390"/>
      <c r="LEV5" s="390"/>
      <c r="LEW5" s="390"/>
      <c r="LEX5" s="390"/>
      <c r="LEY5" s="390"/>
      <c r="LEZ5" s="390"/>
      <c r="LFA5" s="390"/>
      <c r="LFB5" s="390"/>
      <c r="LFC5" s="390"/>
      <c r="LFD5" s="390"/>
      <c r="LFE5" s="390"/>
      <c r="LFF5" s="390"/>
      <c r="LFG5" s="390"/>
      <c r="LFH5" s="390"/>
      <c r="LFI5" s="390"/>
      <c r="LFJ5" s="390"/>
      <c r="LFK5" s="390"/>
      <c r="LFL5" s="390"/>
      <c r="LFM5" s="390"/>
      <c r="LFN5" s="390"/>
      <c r="LFO5" s="390"/>
      <c r="LFP5" s="390"/>
      <c r="LFQ5" s="390"/>
      <c r="LFR5" s="390"/>
      <c r="LFS5" s="390"/>
      <c r="LFT5" s="390"/>
      <c r="LFU5" s="390"/>
      <c r="LFV5" s="390"/>
      <c r="LFW5" s="390"/>
      <c r="LFX5" s="390"/>
      <c r="LFY5" s="390"/>
      <c r="LFZ5" s="390"/>
      <c r="LGA5" s="390"/>
      <c r="LGB5" s="390"/>
      <c r="LGC5" s="390"/>
      <c r="LGD5" s="390"/>
      <c r="LGE5" s="390"/>
      <c r="LGF5" s="390"/>
      <c r="LGG5" s="390"/>
      <c r="LGH5" s="390"/>
      <c r="LGI5" s="390"/>
      <c r="LGJ5" s="390"/>
      <c r="LGK5" s="390"/>
      <c r="LGL5" s="390"/>
      <c r="LGM5" s="390"/>
      <c r="LGN5" s="390"/>
      <c r="LGO5" s="390"/>
      <c r="LGP5" s="390"/>
      <c r="LGQ5" s="390"/>
      <c r="LGR5" s="390"/>
      <c r="LGS5" s="390"/>
      <c r="LGT5" s="390"/>
      <c r="LGU5" s="390"/>
      <c r="LGV5" s="390"/>
      <c r="LGW5" s="390"/>
      <c r="LGX5" s="390"/>
      <c r="LGY5" s="390"/>
      <c r="LGZ5" s="390"/>
      <c r="LHA5" s="390"/>
      <c r="LHB5" s="390"/>
      <c r="LHC5" s="390"/>
      <c r="LHD5" s="390"/>
      <c r="LHE5" s="390"/>
      <c r="LHF5" s="390"/>
      <c r="LHG5" s="390"/>
      <c r="LHH5" s="390"/>
      <c r="LHI5" s="390"/>
      <c r="LHJ5" s="390"/>
      <c r="LHK5" s="390"/>
      <c r="LHL5" s="390"/>
      <c r="LHM5" s="390"/>
      <c r="LHN5" s="390"/>
      <c r="LHO5" s="390"/>
      <c r="LHP5" s="390"/>
      <c r="LHQ5" s="390"/>
      <c r="LHR5" s="390"/>
      <c r="LHS5" s="390"/>
      <c r="LHT5" s="390"/>
      <c r="LHU5" s="390"/>
      <c r="LHV5" s="390"/>
      <c r="LHW5" s="390"/>
      <c r="LHX5" s="390"/>
      <c r="LHY5" s="390"/>
      <c r="LHZ5" s="390"/>
      <c r="LIA5" s="390"/>
      <c r="LIB5" s="390"/>
      <c r="LIC5" s="390"/>
      <c r="LID5" s="390"/>
      <c r="LIE5" s="390"/>
      <c r="LIF5" s="390"/>
      <c r="LIG5" s="390"/>
      <c r="LIH5" s="390"/>
      <c r="LII5" s="390"/>
      <c r="LIJ5" s="390"/>
      <c r="LIK5" s="390"/>
      <c r="LIL5" s="390"/>
      <c r="LIM5" s="390"/>
      <c r="LIN5" s="390"/>
      <c r="LIO5" s="390"/>
      <c r="LIP5" s="390"/>
      <c r="LIQ5" s="390"/>
      <c r="LIR5" s="390"/>
      <c r="LIS5" s="390"/>
      <c r="LIT5" s="390"/>
      <c r="LIU5" s="390"/>
      <c r="LIV5" s="390"/>
      <c r="LIW5" s="390"/>
      <c r="LIX5" s="390"/>
      <c r="LIY5" s="390"/>
      <c r="LIZ5" s="390"/>
      <c r="LJA5" s="390"/>
      <c r="LJB5" s="390"/>
      <c r="LJC5" s="390"/>
      <c r="LJD5" s="390"/>
      <c r="LJE5" s="390"/>
      <c r="LJF5" s="390"/>
      <c r="LJG5" s="390"/>
      <c r="LJH5" s="390"/>
      <c r="LJI5" s="390"/>
      <c r="LJJ5" s="390"/>
      <c r="LJK5" s="390"/>
      <c r="LJL5" s="390"/>
      <c r="LJM5" s="390"/>
      <c r="LJN5" s="390"/>
      <c r="LJO5" s="390"/>
      <c r="LJP5" s="390"/>
      <c r="LJQ5" s="390"/>
      <c r="LJR5" s="390"/>
      <c r="LJS5" s="390"/>
      <c r="LJT5" s="390"/>
      <c r="LJU5" s="390"/>
      <c r="LJV5" s="390"/>
      <c r="LJW5" s="390"/>
      <c r="LJX5" s="390"/>
      <c r="LJY5" s="390"/>
      <c r="LJZ5" s="390"/>
      <c r="LKA5" s="390"/>
      <c r="LKB5" s="390"/>
      <c r="LKC5" s="390"/>
      <c r="LKD5" s="390"/>
      <c r="LKE5" s="390"/>
      <c r="LKF5" s="390"/>
      <c r="LKG5" s="390"/>
      <c r="LKH5" s="390"/>
      <c r="LKI5" s="390"/>
      <c r="LKJ5" s="390"/>
      <c r="LKK5" s="390"/>
      <c r="LKL5" s="390"/>
      <c r="LKM5" s="390"/>
      <c r="LKN5" s="390"/>
      <c r="LKO5" s="390"/>
      <c r="LKP5" s="390"/>
      <c r="LKQ5" s="390"/>
      <c r="LKR5" s="390"/>
      <c r="LKS5" s="390"/>
      <c r="LKT5" s="390"/>
      <c r="LKU5" s="390"/>
      <c r="LKV5" s="390"/>
      <c r="LKW5" s="390"/>
      <c r="LKX5" s="390"/>
      <c r="LKY5" s="390"/>
      <c r="LKZ5" s="390"/>
      <c r="LLA5" s="390"/>
      <c r="LLB5" s="390"/>
      <c r="LLC5" s="390"/>
      <c r="LLD5" s="390"/>
      <c r="LLE5" s="390"/>
      <c r="LLF5" s="390"/>
      <c r="LLG5" s="390"/>
      <c r="LLH5" s="390"/>
      <c r="LLI5" s="390"/>
      <c r="LLJ5" s="390"/>
      <c r="LLK5" s="390"/>
      <c r="LLL5" s="390"/>
      <c r="LLM5" s="390"/>
      <c r="LLN5" s="390"/>
      <c r="LLO5" s="390"/>
      <c r="LLP5" s="390"/>
      <c r="LLQ5" s="390"/>
      <c r="LLR5" s="390"/>
      <c r="LLS5" s="390"/>
      <c r="LLT5" s="390"/>
      <c r="LLU5" s="390"/>
      <c r="LLV5" s="390"/>
      <c r="LLW5" s="390"/>
      <c r="LLX5" s="390"/>
      <c r="LLY5" s="390"/>
      <c r="LLZ5" s="390"/>
      <c r="LMA5" s="390"/>
      <c r="LMB5" s="390"/>
      <c r="LMC5" s="390"/>
      <c r="LMD5" s="390"/>
      <c r="LME5" s="390"/>
      <c r="LMF5" s="390"/>
      <c r="LMG5" s="390"/>
      <c r="LMH5" s="390"/>
      <c r="LMI5" s="390"/>
      <c r="LMJ5" s="390"/>
      <c r="LMK5" s="390"/>
      <c r="LML5" s="390"/>
      <c r="LMM5" s="390"/>
      <c r="LMN5" s="390"/>
      <c r="LMO5" s="390"/>
      <c r="LMP5" s="390"/>
      <c r="LMQ5" s="390"/>
      <c r="LMR5" s="390"/>
      <c r="LMS5" s="390"/>
      <c r="LMT5" s="390"/>
      <c r="LMU5" s="390"/>
      <c r="LMV5" s="390"/>
      <c r="LMW5" s="390"/>
      <c r="LMX5" s="390"/>
      <c r="LMY5" s="390"/>
      <c r="LMZ5" s="390"/>
      <c r="LNA5" s="390"/>
      <c r="LNB5" s="390"/>
      <c r="LNC5" s="390"/>
      <c r="LND5" s="390"/>
      <c r="LNE5" s="390"/>
      <c r="LNF5" s="390"/>
      <c r="LNG5" s="390"/>
      <c r="LNH5" s="390"/>
      <c r="LNI5" s="390"/>
      <c r="LNJ5" s="390"/>
      <c r="LNK5" s="390"/>
      <c r="LNL5" s="390"/>
      <c r="LNM5" s="390"/>
      <c r="LNN5" s="390"/>
      <c r="LNO5" s="390"/>
      <c r="LNP5" s="390"/>
      <c r="LNQ5" s="390"/>
      <c r="LNR5" s="390"/>
      <c r="LNS5" s="390"/>
      <c r="LNT5" s="390"/>
      <c r="LNU5" s="390"/>
      <c r="LNV5" s="390"/>
      <c r="LNW5" s="390"/>
      <c r="LNX5" s="390"/>
      <c r="LNY5" s="390"/>
      <c r="LNZ5" s="390"/>
      <c r="LOA5" s="390"/>
      <c r="LOB5" s="390"/>
      <c r="LOC5" s="390"/>
      <c r="LOD5" s="390"/>
      <c r="LOE5" s="390"/>
      <c r="LOF5" s="390"/>
      <c r="LOG5" s="390"/>
      <c r="LOH5" s="390"/>
      <c r="LOI5" s="390"/>
      <c r="LOJ5" s="390"/>
      <c r="LOK5" s="390"/>
      <c r="LOL5" s="390"/>
      <c r="LOM5" s="390"/>
      <c r="LON5" s="390"/>
      <c r="LOO5" s="390"/>
      <c r="LOP5" s="390"/>
      <c r="LOQ5" s="390"/>
      <c r="LOR5" s="390"/>
      <c r="LOS5" s="390"/>
      <c r="LOT5" s="390"/>
      <c r="LOU5" s="390"/>
      <c r="LOV5" s="390"/>
      <c r="LOW5" s="390"/>
      <c r="LOX5" s="390"/>
      <c r="LOY5" s="390"/>
      <c r="LOZ5" s="390"/>
      <c r="LPA5" s="390"/>
      <c r="LPB5" s="390"/>
      <c r="LPC5" s="390"/>
      <c r="LPD5" s="390"/>
      <c r="LPE5" s="390"/>
      <c r="LPF5" s="390"/>
      <c r="LPG5" s="390"/>
      <c r="LPH5" s="390"/>
      <c r="LPI5" s="390"/>
      <c r="LPJ5" s="390"/>
      <c r="LPK5" s="390"/>
      <c r="LPL5" s="390"/>
      <c r="LPM5" s="390"/>
      <c r="LPN5" s="390"/>
      <c r="LPO5" s="390"/>
      <c r="LPP5" s="390"/>
      <c r="LPQ5" s="390"/>
      <c r="LPR5" s="390"/>
      <c r="LPS5" s="390"/>
      <c r="LPT5" s="390"/>
      <c r="LPU5" s="390"/>
      <c r="LPV5" s="390"/>
      <c r="LPW5" s="390"/>
      <c r="LPX5" s="390"/>
      <c r="LPY5" s="390"/>
      <c r="LPZ5" s="390"/>
      <c r="LQA5" s="390"/>
      <c r="LQB5" s="390"/>
      <c r="LQC5" s="390"/>
      <c r="LQD5" s="390"/>
      <c r="LQE5" s="390"/>
      <c r="LQF5" s="390"/>
      <c r="LQG5" s="390"/>
      <c r="LQH5" s="390"/>
      <c r="LQI5" s="390"/>
      <c r="LQJ5" s="390"/>
      <c r="LQK5" s="390"/>
      <c r="LQL5" s="390"/>
      <c r="LQM5" s="390"/>
      <c r="LQN5" s="390"/>
      <c r="LQO5" s="390"/>
      <c r="LQP5" s="390"/>
      <c r="LQQ5" s="390"/>
      <c r="LQR5" s="390"/>
      <c r="LQS5" s="390"/>
      <c r="LQT5" s="390"/>
      <c r="LQU5" s="390"/>
      <c r="LQV5" s="390"/>
      <c r="LQW5" s="390"/>
      <c r="LQX5" s="390"/>
      <c r="LQY5" s="390"/>
      <c r="LQZ5" s="390"/>
      <c r="LRA5" s="390"/>
      <c r="LRB5" s="390"/>
      <c r="LRC5" s="390"/>
      <c r="LRD5" s="390"/>
      <c r="LRE5" s="390"/>
      <c r="LRF5" s="390"/>
      <c r="LRG5" s="390"/>
      <c r="LRH5" s="390"/>
      <c r="LRI5" s="390"/>
      <c r="LRJ5" s="390"/>
      <c r="LRK5" s="390"/>
      <c r="LRL5" s="390"/>
      <c r="LRM5" s="390"/>
      <c r="LRN5" s="390"/>
      <c r="LRO5" s="390"/>
      <c r="LRP5" s="390"/>
      <c r="LRQ5" s="390"/>
      <c r="LRR5" s="390"/>
      <c r="LRS5" s="390"/>
      <c r="LRT5" s="390"/>
      <c r="LRU5" s="390"/>
      <c r="LRV5" s="390"/>
      <c r="LRW5" s="390"/>
      <c r="LRX5" s="390"/>
      <c r="LRY5" s="390"/>
      <c r="LRZ5" s="390"/>
      <c r="LSA5" s="390"/>
      <c r="LSB5" s="390"/>
      <c r="LSC5" s="390"/>
      <c r="LSD5" s="390"/>
      <c r="LSE5" s="390"/>
      <c r="LSF5" s="390"/>
      <c r="LSG5" s="390"/>
      <c r="LSH5" s="390"/>
      <c r="LSI5" s="390"/>
      <c r="LSJ5" s="390"/>
      <c r="LSK5" s="390"/>
      <c r="LSL5" s="390"/>
      <c r="LSM5" s="390"/>
      <c r="LSN5" s="390"/>
      <c r="LSO5" s="390"/>
      <c r="LSP5" s="390"/>
      <c r="LSQ5" s="390"/>
      <c r="LSR5" s="390"/>
      <c r="LSS5" s="390"/>
      <c r="LST5" s="390"/>
      <c r="LSU5" s="390"/>
      <c r="LSV5" s="390"/>
      <c r="LSW5" s="390"/>
      <c r="LSX5" s="390"/>
      <c r="LSY5" s="390"/>
      <c r="LSZ5" s="390"/>
      <c r="LTA5" s="390"/>
      <c r="LTB5" s="390"/>
      <c r="LTC5" s="390"/>
      <c r="LTD5" s="390"/>
      <c r="LTE5" s="390"/>
      <c r="LTF5" s="390"/>
      <c r="LTG5" s="390"/>
      <c r="LTH5" s="390"/>
      <c r="LTI5" s="390"/>
      <c r="LTJ5" s="390"/>
      <c r="LTK5" s="390"/>
      <c r="LTL5" s="390"/>
      <c r="LTM5" s="390"/>
      <c r="LTN5" s="390"/>
      <c r="LTO5" s="390"/>
      <c r="LTP5" s="390"/>
      <c r="LTQ5" s="390"/>
      <c r="LTR5" s="390"/>
      <c r="LTS5" s="390"/>
      <c r="LTT5" s="390"/>
      <c r="LTU5" s="390"/>
      <c r="LTV5" s="390"/>
      <c r="LTW5" s="390"/>
      <c r="LTX5" s="390"/>
      <c r="LTY5" s="390"/>
      <c r="LTZ5" s="390"/>
      <c r="LUA5" s="390"/>
      <c r="LUB5" s="390"/>
      <c r="LUC5" s="390"/>
      <c r="LUD5" s="390"/>
      <c r="LUE5" s="390"/>
      <c r="LUF5" s="390"/>
      <c r="LUG5" s="390"/>
      <c r="LUH5" s="390"/>
      <c r="LUI5" s="390"/>
      <c r="LUJ5" s="390"/>
      <c r="LUK5" s="390"/>
      <c r="LUL5" s="390"/>
      <c r="LUM5" s="390"/>
      <c r="LUN5" s="390"/>
      <c r="LUO5" s="390"/>
      <c r="LUP5" s="390"/>
      <c r="LUQ5" s="390"/>
      <c r="LUR5" s="390"/>
      <c r="LUS5" s="390"/>
      <c r="LUT5" s="390"/>
      <c r="LUU5" s="390"/>
      <c r="LUV5" s="390"/>
      <c r="LUW5" s="390"/>
      <c r="LUX5" s="390"/>
      <c r="LUY5" s="390"/>
      <c r="LUZ5" s="390"/>
      <c r="LVA5" s="390"/>
      <c r="LVB5" s="390"/>
      <c r="LVC5" s="390"/>
      <c r="LVD5" s="390"/>
      <c r="LVE5" s="390"/>
      <c r="LVF5" s="390"/>
      <c r="LVG5" s="390"/>
      <c r="LVH5" s="390"/>
      <c r="LVI5" s="390"/>
      <c r="LVJ5" s="390"/>
      <c r="LVK5" s="390"/>
      <c r="LVL5" s="390"/>
      <c r="LVM5" s="390"/>
      <c r="LVN5" s="390"/>
      <c r="LVO5" s="390"/>
      <c r="LVP5" s="390"/>
      <c r="LVQ5" s="390"/>
      <c r="LVR5" s="390"/>
      <c r="LVS5" s="390"/>
      <c r="LVT5" s="390"/>
      <c r="LVU5" s="390"/>
      <c r="LVV5" s="390"/>
      <c r="LVW5" s="390"/>
      <c r="LVX5" s="390"/>
      <c r="LVY5" s="390"/>
      <c r="LVZ5" s="390"/>
      <c r="LWA5" s="390"/>
      <c r="LWB5" s="390"/>
      <c r="LWC5" s="390"/>
      <c r="LWD5" s="390"/>
      <c r="LWE5" s="390"/>
      <c r="LWF5" s="390"/>
      <c r="LWG5" s="390"/>
      <c r="LWH5" s="390"/>
      <c r="LWI5" s="390"/>
      <c r="LWJ5" s="390"/>
      <c r="LWK5" s="390"/>
      <c r="LWL5" s="390"/>
      <c r="LWM5" s="390"/>
      <c r="LWN5" s="390"/>
      <c r="LWO5" s="390"/>
      <c r="LWP5" s="390"/>
      <c r="LWQ5" s="390"/>
      <c r="LWR5" s="390"/>
      <c r="LWS5" s="390"/>
      <c r="LWT5" s="390"/>
      <c r="LWU5" s="390"/>
      <c r="LWV5" s="390"/>
      <c r="LWW5" s="390"/>
      <c r="LWX5" s="390"/>
      <c r="LWY5" s="390"/>
      <c r="LWZ5" s="390"/>
      <c r="LXA5" s="390"/>
      <c r="LXB5" s="390"/>
      <c r="LXC5" s="390"/>
      <c r="LXD5" s="390"/>
      <c r="LXE5" s="390"/>
      <c r="LXF5" s="390"/>
      <c r="LXG5" s="390"/>
      <c r="LXH5" s="390"/>
      <c r="LXI5" s="390"/>
      <c r="LXJ5" s="390"/>
      <c r="LXK5" s="390"/>
      <c r="LXL5" s="390"/>
      <c r="LXM5" s="390"/>
      <c r="LXN5" s="390"/>
      <c r="LXO5" s="390"/>
      <c r="LXP5" s="390"/>
      <c r="LXQ5" s="390"/>
      <c r="LXR5" s="390"/>
      <c r="LXS5" s="390"/>
      <c r="LXT5" s="390"/>
      <c r="LXU5" s="390"/>
      <c r="LXV5" s="390"/>
      <c r="LXW5" s="390"/>
      <c r="LXX5" s="390"/>
      <c r="LXY5" s="390"/>
      <c r="LXZ5" s="390"/>
      <c r="LYA5" s="390"/>
      <c r="LYB5" s="390"/>
      <c r="LYC5" s="390"/>
      <c r="LYD5" s="390"/>
      <c r="LYE5" s="390"/>
      <c r="LYF5" s="390"/>
      <c r="LYG5" s="390"/>
      <c r="LYH5" s="390"/>
      <c r="LYI5" s="390"/>
      <c r="LYJ5" s="390"/>
      <c r="LYK5" s="390"/>
      <c r="LYL5" s="390"/>
      <c r="LYM5" s="390"/>
      <c r="LYN5" s="390"/>
      <c r="LYO5" s="390"/>
      <c r="LYP5" s="390"/>
      <c r="LYQ5" s="390"/>
      <c r="LYR5" s="390"/>
      <c r="LYS5" s="390"/>
      <c r="LYT5" s="390"/>
      <c r="LYU5" s="390"/>
      <c r="LYV5" s="390"/>
      <c r="LYW5" s="390"/>
      <c r="LYX5" s="390"/>
      <c r="LYY5" s="390"/>
      <c r="LYZ5" s="390"/>
      <c r="LZA5" s="390"/>
      <c r="LZB5" s="390"/>
      <c r="LZC5" s="390"/>
      <c r="LZD5" s="390"/>
      <c r="LZE5" s="390"/>
      <c r="LZF5" s="390"/>
      <c r="LZG5" s="390"/>
      <c r="LZH5" s="390"/>
      <c r="LZI5" s="390"/>
      <c r="LZJ5" s="390"/>
      <c r="LZK5" s="390"/>
      <c r="LZL5" s="390"/>
      <c r="LZM5" s="390"/>
      <c r="LZN5" s="390"/>
      <c r="LZO5" s="390"/>
      <c r="LZP5" s="390"/>
      <c r="LZQ5" s="390"/>
      <c r="LZR5" s="390"/>
      <c r="LZS5" s="390"/>
      <c r="LZT5" s="390"/>
      <c r="LZU5" s="390"/>
      <c r="LZV5" s="390"/>
      <c r="LZW5" s="390"/>
      <c r="LZX5" s="390"/>
      <c r="LZY5" s="390"/>
      <c r="LZZ5" s="390"/>
      <c r="MAA5" s="390"/>
      <c r="MAB5" s="390"/>
      <c r="MAC5" s="390"/>
      <c r="MAD5" s="390"/>
      <c r="MAE5" s="390"/>
      <c r="MAF5" s="390"/>
      <c r="MAG5" s="390"/>
      <c r="MAH5" s="390"/>
      <c r="MAI5" s="390"/>
      <c r="MAJ5" s="390"/>
      <c r="MAK5" s="390"/>
      <c r="MAL5" s="390"/>
      <c r="MAM5" s="390"/>
      <c r="MAN5" s="390"/>
      <c r="MAO5" s="390"/>
      <c r="MAP5" s="390"/>
      <c r="MAQ5" s="390"/>
      <c r="MAR5" s="390"/>
      <c r="MAS5" s="390"/>
      <c r="MAT5" s="390"/>
      <c r="MAU5" s="390"/>
      <c r="MAV5" s="390"/>
      <c r="MAW5" s="390"/>
      <c r="MAX5" s="390"/>
      <c r="MAY5" s="390"/>
      <c r="MAZ5" s="390"/>
      <c r="MBA5" s="390"/>
      <c r="MBB5" s="390"/>
      <c r="MBC5" s="390"/>
      <c r="MBD5" s="390"/>
      <c r="MBE5" s="390"/>
      <c r="MBF5" s="390"/>
      <c r="MBG5" s="390"/>
      <c r="MBH5" s="390"/>
      <c r="MBI5" s="390"/>
      <c r="MBJ5" s="390"/>
      <c r="MBK5" s="390"/>
      <c r="MBL5" s="390"/>
      <c r="MBM5" s="390"/>
      <c r="MBN5" s="390"/>
      <c r="MBO5" s="390"/>
      <c r="MBP5" s="390"/>
      <c r="MBQ5" s="390"/>
      <c r="MBR5" s="390"/>
      <c r="MBS5" s="390"/>
      <c r="MBT5" s="390"/>
      <c r="MBU5" s="390"/>
      <c r="MBV5" s="390"/>
      <c r="MBW5" s="390"/>
      <c r="MBX5" s="390"/>
      <c r="MBY5" s="390"/>
      <c r="MBZ5" s="390"/>
      <c r="MCA5" s="390"/>
      <c r="MCB5" s="390"/>
      <c r="MCC5" s="390"/>
      <c r="MCD5" s="390"/>
      <c r="MCE5" s="390"/>
      <c r="MCF5" s="390"/>
      <c r="MCG5" s="390"/>
      <c r="MCH5" s="390"/>
      <c r="MCI5" s="390"/>
      <c r="MCJ5" s="390"/>
      <c r="MCK5" s="390"/>
      <c r="MCL5" s="390"/>
      <c r="MCM5" s="390"/>
      <c r="MCN5" s="390"/>
      <c r="MCO5" s="390"/>
      <c r="MCP5" s="390"/>
      <c r="MCQ5" s="390"/>
      <c r="MCR5" s="390"/>
      <c r="MCS5" s="390"/>
      <c r="MCT5" s="390"/>
      <c r="MCU5" s="390"/>
      <c r="MCV5" s="390"/>
      <c r="MCW5" s="390"/>
      <c r="MCX5" s="390"/>
      <c r="MCY5" s="390"/>
      <c r="MCZ5" s="390"/>
      <c r="MDA5" s="390"/>
      <c r="MDB5" s="390"/>
      <c r="MDC5" s="390"/>
      <c r="MDD5" s="390"/>
      <c r="MDE5" s="390"/>
      <c r="MDF5" s="390"/>
      <c r="MDG5" s="390"/>
      <c r="MDH5" s="390"/>
      <c r="MDI5" s="390"/>
      <c r="MDJ5" s="390"/>
      <c r="MDK5" s="390"/>
      <c r="MDL5" s="390"/>
      <c r="MDM5" s="390"/>
      <c r="MDN5" s="390"/>
      <c r="MDO5" s="390"/>
      <c r="MDP5" s="390"/>
      <c r="MDQ5" s="390"/>
      <c r="MDR5" s="390"/>
      <c r="MDS5" s="390"/>
      <c r="MDT5" s="390"/>
      <c r="MDU5" s="390"/>
      <c r="MDV5" s="390"/>
      <c r="MDW5" s="390"/>
      <c r="MDX5" s="390"/>
      <c r="MDY5" s="390"/>
      <c r="MDZ5" s="390"/>
      <c r="MEA5" s="390"/>
      <c r="MEB5" s="390"/>
      <c r="MEC5" s="390"/>
      <c r="MED5" s="390"/>
      <c r="MEE5" s="390"/>
      <c r="MEF5" s="390"/>
      <c r="MEG5" s="390"/>
      <c r="MEH5" s="390"/>
      <c r="MEI5" s="390"/>
      <c r="MEJ5" s="390"/>
      <c r="MEK5" s="390"/>
      <c r="MEL5" s="390"/>
      <c r="MEM5" s="390"/>
      <c r="MEN5" s="390"/>
      <c r="MEO5" s="390"/>
      <c r="MEP5" s="390"/>
      <c r="MEQ5" s="390"/>
      <c r="MER5" s="390"/>
      <c r="MES5" s="390"/>
      <c r="MET5" s="390"/>
      <c r="MEU5" s="390"/>
      <c r="MEV5" s="390"/>
      <c r="MEW5" s="390"/>
      <c r="MEX5" s="390"/>
      <c r="MEY5" s="390"/>
      <c r="MEZ5" s="390"/>
      <c r="MFA5" s="390"/>
      <c r="MFB5" s="390"/>
      <c r="MFC5" s="390"/>
      <c r="MFD5" s="390"/>
      <c r="MFE5" s="390"/>
      <c r="MFF5" s="390"/>
      <c r="MFG5" s="390"/>
      <c r="MFH5" s="390"/>
      <c r="MFI5" s="390"/>
      <c r="MFJ5" s="390"/>
      <c r="MFK5" s="390"/>
      <c r="MFL5" s="390"/>
      <c r="MFM5" s="390"/>
      <c r="MFN5" s="390"/>
      <c r="MFO5" s="390"/>
      <c r="MFP5" s="390"/>
      <c r="MFQ5" s="390"/>
      <c r="MFR5" s="390"/>
      <c r="MFS5" s="390"/>
      <c r="MFT5" s="390"/>
      <c r="MFU5" s="390"/>
      <c r="MFV5" s="390"/>
      <c r="MFW5" s="390"/>
      <c r="MFX5" s="390"/>
      <c r="MFY5" s="390"/>
      <c r="MFZ5" s="390"/>
      <c r="MGA5" s="390"/>
      <c r="MGB5" s="390"/>
      <c r="MGC5" s="390"/>
      <c r="MGD5" s="390"/>
      <c r="MGE5" s="390"/>
      <c r="MGF5" s="390"/>
      <c r="MGG5" s="390"/>
      <c r="MGH5" s="390"/>
      <c r="MGI5" s="390"/>
      <c r="MGJ5" s="390"/>
      <c r="MGK5" s="390"/>
      <c r="MGL5" s="390"/>
      <c r="MGM5" s="390"/>
      <c r="MGN5" s="390"/>
      <c r="MGO5" s="390"/>
      <c r="MGP5" s="390"/>
      <c r="MGQ5" s="390"/>
      <c r="MGR5" s="390"/>
      <c r="MGS5" s="390"/>
      <c r="MGT5" s="390"/>
      <c r="MGU5" s="390"/>
      <c r="MGV5" s="390"/>
      <c r="MGW5" s="390"/>
      <c r="MGX5" s="390"/>
      <c r="MGY5" s="390"/>
      <c r="MGZ5" s="390"/>
      <c r="MHA5" s="390"/>
      <c r="MHB5" s="390"/>
      <c r="MHC5" s="390"/>
      <c r="MHD5" s="390"/>
      <c r="MHE5" s="390"/>
      <c r="MHF5" s="390"/>
      <c r="MHG5" s="390"/>
      <c r="MHH5" s="390"/>
      <c r="MHI5" s="390"/>
      <c r="MHJ5" s="390"/>
      <c r="MHK5" s="390"/>
      <c r="MHL5" s="390"/>
      <c r="MHM5" s="390"/>
      <c r="MHN5" s="390"/>
      <c r="MHO5" s="390"/>
      <c r="MHP5" s="390"/>
      <c r="MHQ5" s="390"/>
      <c r="MHR5" s="390"/>
      <c r="MHS5" s="390"/>
      <c r="MHT5" s="390"/>
      <c r="MHU5" s="390"/>
      <c r="MHV5" s="390"/>
      <c r="MHW5" s="390"/>
      <c r="MHX5" s="390"/>
      <c r="MHY5" s="390"/>
      <c r="MHZ5" s="390"/>
      <c r="MIA5" s="390"/>
      <c r="MIB5" s="390"/>
      <c r="MIC5" s="390"/>
      <c r="MID5" s="390"/>
      <c r="MIE5" s="390"/>
      <c r="MIF5" s="390"/>
      <c r="MIG5" s="390"/>
      <c r="MIH5" s="390"/>
      <c r="MII5" s="390"/>
      <c r="MIJ5" s="390"/>
      <c r="MIK5" s="390"/>
      <c r="MIL5" s="390"/>
      <c r="MIM5" s="390"/>
      <c r="MIN5" s="390"/>
      <c r="MIO5" s="390"/>
      <c r="MIP5" s="390"/>
      <c r="MIQ5" s="390"/>
      <c r="MIR5" s="390"/>
      <c r="MIS5" s="390"/>
      <c r="MIT5" s="390"/>
      <c r="MIU5" s="390"/>
      <c r="MIV5" s="390"/>
      <c r="MIW5" s="390"/>
      <c r="MIX5" s="390"/>
      <c r="MIY5" s="390"/>
      <c r="MIZ5" s="390"/>
      <c r="MJA5" s="390"/>
      <c r="MJB5" s="390"/>
      <c r="MJC5" s="390"/>
      <c r="MJD5" s="390"/>
      <c r="MJE5" s="390"/>
      <c r="MJF5" s="390"/>
      <c r="MJG5" s="390"/>
      <c r="MJH5" s="390"/>
      <c r="MJI5" s="390"/>
      <c r="MJJ5" s="390"/>
      <c r="MJK5" s="390"/>
      <c r="MJL5" s="390"/>
      <c r="MJM5" s="390"/>
      <c r="MJN5" s="390"/>
      <c r="MJO5" s="390"/>
      <c r="MJP5" s="390"/>
      <c r="MJQ5" s="390"/>
      <c r="MJR5" s="390"/>
      <c r="MJS5" s="390"/>
      <c r="MJT5" s="390"/>
      <c r="MJU5" s="390"/>
      <c r="MJV5" s="390"/>
      <c r="MJW5" s="390"/>
      <c r="MJX5" s="390"/>
      <c r="MJY5" s="390"/>
      <c r="MJZ5" s="390"/>
      <c r="MKA5" s="390"/>
      <c r="MKB5" s="390"/>
      <c r="MKC5" s="390"/>
      <c r="MKD5" s="390"/>
      <c r="MKE5" s="390"/>
      <c r="MKF5" s="390"/>
      <c r="MKG5" s="390"/>
      <c r="MKH5" s="390"/>
      <c r="MKI5" s="390"/>
      <c r="MKJ5" s="390"/>
      <c r="MKK5" s="390"/>
      <c r="MKL5" s="390"/>
      <c r="MKM5" s="390"/>
      <c r="MKN5" s="390"/>
      <c r="MKO5" s="390"/>
      <c r="MKP5" s="390"/>
      <c r="MKQ5" s="390"/>
      <c r="MKR5" s="390"/>
      <c r="MKS5" s="390"/>
      <c r="MKT5" s="390"/>
      <c r="MKU5" s="390"/>
      <c r="MKV5" s="390"/>
      <c r="MKW5" s="390"/>
      <c r="MKX5" s="390"/>
      <c r="MKY5" s="390"/>
      <c r="MKZ5" s="390"/>
      <c r="MLA5" s="390"/>
      <c r="MLB5" s="390"/>
      <c r="MLC5" s="390"/>
      <c r="MLD5" s="390"/>
      <c r="MLE5" s="390"/>
      <c r="MLF5" s="390"/>
      <c r="MLG5" s="390"/>
      <c r="MLH5" s="390"/>
      <c r="MLI5" s="390"/>
      <c r="MLJ5" s="390"/>
      <c r="MLK5" s="390"/>
      <c r="MLL5" s="390"/>
      <c r="MLM5" s="390"/>
      <c r="MLN5" s="390"/>
      <c r="MLO5" s="390"/>
      <c r="MLP5" s="390"/>
      <c r="MLQ5" s="390"/>
      <c r="MLR5" s="390"/>
      <c r="MLS5" s="390"/>
      <c r="MLT5" s="390"/>
      <c r="MLU5" s="390"/>
      <c r="MLV5" s="390"/>
      <c r="MLW5" s="390"/>
      <c r="MLX5" s="390"/>
      <c r="MLY5" s="390"/>
      <c r="MLZ5" s="390"/>
      <c r="MMA5" s="390"/>
      <c r="MMB5" s="390"/>
      <c r="MMC5" s="390"/>
      <c r="MMD5" s="390"/>
      <c r="MME5" s="390"/>
      <c r="MMF5" s="390"/>
      <c r="MMG5" s="390"/>
      <c r="MMH5" s="390"/>
      <c r="MMI5" s="390"/>
      <c r="MMJ5" s="390"/>
      <c r="MMK5" s="390"/>
      <c r="MML5" s="390"/>
      <c r="MMM5" s="390"/>
      <c r="MMN5" s="390"/>
      <c r="MMO5" s="390"/>
      <c r="MMP5" s="390"/>
      <c r="MMQ5" s="390"/>
      <c r="MMR5" s="390"/>
      <c r="MMS5" s="390"/>
      <c r="MMT5" s="390"/>
      <c r="MMU5" s="390"/>
      <c r="MMV5" s="390"/>
      <c r="MMW5" s="390"/>
      <c r="MMX5" s="390"/>
      <c r="MMY5" s="390"/>
      <c r="MMZ5" s="390"/>
      <c r="MNA5" s="390"/>
      <c r="MNB5" s="390"/>
      <c r="MNC5" s="390"/>
      <c r="MND5" s="390"/>
      <c r="MNE5" s="390"/>
      <c r="MNF5" s="390"/>
      <c r="MNG5" s="390"/>
      <c r="MNH5" s="390"/>
      <c r="MNI5" s="390"/>
      <c r="MNJ5" s="390"/>
      <c r="MNK5" s="390"/>
      <c r="MNL5" s="390"/>
      <c r="MNM5" s="390"/>
      <c r="MNN5" s="390"/>
      <c r="MNO5" s="390"/>
      <c r="MNP5" s="390"/>
      <c r="MNQ5" s="390"/>
      <c r="MNR5" s="390"/>
      <c r="MNS5" s="390"/>
      <c r="MNT5" s="390"/>
      <c r="MNU5" s="390"/>
      <c r="MNV5" s="390"/>
      <c r="MNW5" s="390"/>
      <c r="MNX5" s="390"/>
      <c r="MNY5" s="390"/>
      <c r="MNZ5" s="390"/>
      <c r="MOA5" s="390"/>
      <c r="MOB5" s="390"/>
      <c r="MOC5" s="390"/>
      <c r="MOD5" s="390"/>
      <c r="MOE5" s="390"/>
      <c r="MOF5" s="390"/>
      <c r="MOG5" s="390"/>
      <c r="MOH5" s="390"/>
      <c r="MOI5" s="390"/>
      <c r="MOJ5" s="390"/>
      <c r="MOK5" s="390"/>
      <c r="MOL5" s="390"/>
      <c r="MOM5" s="390"/>
      <c r="MON5" s="390"/>
      <c r="MOO5" s="390"/>
      <c r="MOP5" s="390"/>
      <c r="MOQ5" s="390"/>
      <c r="MOR5" s="390"/>
      <c r="MOS5" s="390"/>
      <c r="MOT5" s="390"/>
      <c r="MOU5" s="390"/>
      <c r="MOV5" s="390"/>
      <c r="MOW5" s="390"/>
      <c r="MOX5" s="390"/>
      <c r="MOY5" s="390"/>
      <c r="MOZ5" s="390"/>
      <c r="MPA5" s="390"/>
      <c r="MPB5" s="390"/>
      <c r="MPC5" s="390"/>
      <c r="MPD5" s="390"/>
      <c r="MPE5" s="390"/>
      <c r="MPF5" s="390"/>
      <c r="MPG5" s="390"/>
      <c r="MPH5" s="390"/>
      <c r="MPI5" s="390"/>
      <c r="MPJ5" s="390"/>
      <c r="MPK5" s="390"/>
      <c r="MPL5" s="390"/>
      <c r="MPM5" s="390"/>
      <c r="MPN5" s="390"/>
      <c r="MPO5" s="390"/>
      <c r="MPP5" s="390"/>
      <c r="MPQ5" s="390"/>
      <c r="MPR5" s="390"/>
      <c r="MPS5" s="390"/>
      <c r="MPT5" s="390"/>
      <c r="MPU5" s="390"/>
      <c r="MPV5" s="390"/>
      <c r="MPW5" s="390"/>
      <c r="MPX5" s="390"/>
      <c r="MPY5" s="390"/>
      <c r="MPZ5" s="390"/>
      <c r="MQA5" s="390"/>
      <c r="MQB5" s="390"/>
      <c r="MQC5" s="390"/>
      <c r="MQD5" s="390"/>
      <c r="MQE5" s="390"/>
      <c r="MQF5" s="390"/>
      <c r="MQG5" s="390"/>
      <c r="MQH5" s="390"/>
      <c r="MQI5" s="390"/>
      <c r="MQJ5" s="390"/>
      <c r="MQK5" s="390"/>
      <c r="MQL5" s="390"/>
      <c r="MQM5" s="390"/>
      <c r="MQN5" s="390"/>
      <c r="MQO5" s="390"/>
      <c r="MQP5" s="390"/>
      <c r="MQQ5" s="390"/>
      <c r="MQR5" s="390"/>
      <c r="MQS5" s="390"/>
      <c r="MQT5" s="390"/>
      <c r="MQU5" s="390"/>
      <c r="MQV5" s="390"/>
      <c r="MQW5" s="390"/>
      <c r="MQX5" s="390"/>
      <c r="MQY5" s="390"/>
      <c r="MQZ5" s="390"/>
      <c r="MRA5" s="390"/>
      <c r="MRB5" s="390"/>
      <c r="MRC5" s="390"/>
      <c r="MRD5" s="390"/>
      <c r="MRE5" s="390"/>
      <c r="MRF5" s="390"/>
      <c r="MRG5" s="390"/>
      <c r="MRH5" s="390"/>
      <c r="MRI5" s="390"/>
      <c r="MRJ5" s="390"/>
      <c r="MRK5" s="390"/>
      <c r="MRL5" s="390"/>
      <c r="MRM5" s="390"/>
      <c r="MRN5" s="390"/>
      <c r="MRO5" s="390"/>
      <c r="MRP5" s="390"/>
      <c r="MRQ5" s="390"/>
      <c r="MRR5" s="390"/>
      <c r="MRS5" s="390"/>
      <c r="MRT5" s="390"/>
      <c r="MRU5" s="390"/>
      <c r="MRV5" s="390"/>
      <c r="MRW5" s="390"/>
      <c r="MRX5" s="390"/>
      <c r="MRY5" s="390"/>
      <c r="MRZ5" s="390"/>
      <c r="MSA5" s="390"/>
      <c r="MSB5" s="390"/>
      <c r="MSC5" s="390"/>
      <c r="MSD5" s="390"/>
      <c r="MSE5" s="390"/>
      <c r="MSF5" s="390"/>
      <c r="MSG5" s="390"/>
      <c r="MSH5" s="390"/>
      <c r="MSI5" s="390"/>
      <c r="MSJ5" s="390"/>
      <c r="MSK5" s="390"/>
      <c r="MSL5" s="390"/>
      <c r="MSM5" s="390"/>
      <c r="MSN5" s="390"/>
      <c r="MSO5" s="390"/>
      <c r="MSP5" s="390"/>
      <c r="MSQ5" s="390"/>
      <c r="MSR5" s="390"/>
      <c r="MSS5" s="390"/>
      <c r="MST5" s="390"/>
      <c r="MSU5" s="390"/>
      <c r="MSV5" s="390"/>
      <c r="MSW5" s="390"/>
      <c r="MSX5" s="390"/>
      <c r="MSY5" s="390"/>
      <c r="MSZ5" s="390"/>
      <c r="MTA5" s="390"/>
      <c r="MTB5" s="390"/>
      <c r="MTC5" s="390"/>
      <c r="MTD5" s="390"/>
      <c r="MTE5" s="390"/>
      <c r="MTF5" s="390"/>
      <c r="MTG5" s="390"/>
      <c r="MTH5" s="390"/>
      <c r="MTI5" s="390"/>
      <c r="MTJ5" s="390"/>
      <c r="MTK5" s="390"/>
      <c r="MTL5" s="390"/>
      <c r="MTM5" s="390"/>
      <c r="MTN5" s="390"/>
      <c r="MTO5" s="390"/>
      <c r="MTP5" s="390"/>
      <c r="MTQ5" s="390"/>
      <c r="MTR5" s="390"/>
      <c r="MTS5" s="390"/>
      <c r="MTT5" s="390"/>
      <c r="MTU5" s="390"/>
      <c r="MTV5" s="390"/>
      <c r="MTW5" s="390"/>
      <c r="MTX5" s="390"/>
      <c r="MTY5" s="390"/>
      <c r="MTZ5" s="390"/>
      <c r="MUA5" s="390"/>
      <c r="MUB5" s="390"/>
      <c r="MUC5" s="390"/>
      <c r="MUD5" s="390"/>
      <c r="MUE5" s="390"/>
      <c r="MUF5" s="390"/>
      <c r="MUG5" s="390"/>
      <c r="MUH5" s="390"/>
      <c r="MUI5" s="390"/>
      <c r="MUJ5" s="390"/>
      <c r="MUK5" s="390"/>
      <c r="MUL5" s="390"/>
      <c r="MUM5" s="390"/>
      <c r="MUN5" s="390"/>
      <c r="MUO5" s="390"/>
      <c r="MUP5" s="390"/>
      <c r="MUQ5" s="390"/>
      <c r="MUR5" s="390"/>
      <c r="MUS5" s="390"/>
      <c r="MUT5" s="390"/>
      <c r="MUU5" s="390"/>
      <c r="MUV5" s="390"/>
      <c r="MUW5" s="390"/>
      <c r="MUX5" s="390"/>
      <c r="MUY5" s="390"/>
      <c r="MUZ5" s="390"/>
      <c r="MVA5" s="390"/>
      <c r="MVB5" s="390"/>
      <c r="MVC5" s="390"/>
      <c r="MVD5" s="390"/>
      <c r="MVE5" s="390"/>
      <c r="MVF5" s="390"/>
      <c r="MVG5" s="390"/>
      <c r="MVH5" s="390"/>
      <c r="MVI5" s="390"/>
      <c r="MVJ5" s="390"/>
      <c r="MVK5" s="390"/>
      <c r="MVL5" s="390"/>
      <c r="MVM5" s="390"/>
      <c r="MVN5" s="390"/>
      <c r="MVO5" s="390"/>
      <c r="MVP5" s="390"/>
      <c r="MVQ5" s="390"/>
      <c r="MVR5" s="390"/>
      <c r="MVS5" s="390"/>
      <c r="MVT5" s="390"/>
      <c r="MVU5" s="390"/>
      <c r="MVV5" s="390"/>
      <c r="MVW5" s="390"/>
      <c r="MVX5" s="390"/>
      <c r="MVY5" s="390"/>
      <c r="MVZ5" s="390"/>
      <c r="MWA5" s="390"/>
      <c r="MWB5" s="390"/>
      <c r="MWC5" s="390"/>
      <c r="MWD5" s="390"/>
      <c r="MWE5" s="390"/>
      <c r="MWF5" s="390"/>
      <c r="MWG5" s="390"/>
      <c r="MWH5" s="390"/>
      <c r="MWI5" s="390"/>
      <c r="MWJ5" s="390"/>
      <c r="MWK5" s="390"/>
      <c r="MWL5" s="390"/>
      <c r="MWM5" s="390"/>
      <c r="MWN5" s="390"/>
      <c r="MWO5" s="390"/>
      <c r="MWP5" s="390"/>
      <c r="MWQ5" s="390"/>
      <c r="MWR5" s="390"/>
      <c r="MWS5" s="390"/>
      <c r="MWT5" s="390"/>
      <c r="MWU5" s="390"/>
      <c r="MWV5" s="390"/>
      <c r="MWW5" s="390"/>
      <c r="MWX5" s="390"/>
      <c r="MWY5" s="390"/>
      <c r="MWZ5" s="390"/>
      <c r="MXA5" s="390"/>
      <c r="MXB5" s="390"/>
      <c r="MXC5" s="390"/>
      <c r="MXD5" s="390"/>
      <c r="MXE5" s="390"/>
      <c r="MXF5" s="390"/>
      <c r="MXG5" s="390"/>
      <c r="MXH5" s="390"/>
      <c r="MXI5" s="390"/>
      <c r="MXJ5" s="390"/>
      <c r="MXK5" s="390"/>
      <c r="MXL5" s="390"/>
      <c r="MXM5" s="390"/>
      <c r="MXN5" s="390"/>
      <c r="MXO5" s="390"/>
      <c r="MXP5" s="390"/>
      <c r="MXQ5" s="390"/>
      <c r="MXR5" s="390"/>
      <c r="MXS5" s="390"/>
      <c r="MXT5" s="390"/>
      <c r="MXU5" s="390"/>
      <c r="MXV5" s="390"/>
      <c r="MXW5" s="390"/>
      <c r="MXX5" s="390"/>
      <c r="MXY5" s="390"/>
      <c r="MXZ5" s="390"/>
      <c r="MYA5" s="390"/>
      <c r="MYB5" s="390"/>
      <c r="MYC5" s="390"/>
      <c r="MYD5" s="390"/>
      <c r="MYE5" s="390"/>
      <c r="MYF5" s="390"/>
      <c r="MYG5" s="390"/>
      <c r="MYH5" s="390"/>
      <c r="MYI5" s="390"/>
      <c r="MYJ5" s="390"/>
      <c r="MYK5" s="390"/>
      <c r="MYL5" s="390"/>
      <c r="MYM5" s="390"/>
      <c r="MYN5" s="390"/>
      <c r="MYO5" s="390"/>
      <c r="MYP5" s="390"/>
      <c r="MYQ5" s="390"/>
      <c r="MYR5" s="390"/>
      <c r="MYS5" s="390"/>
      <c r="MYT5" s="390"/>
      <c r="MYU5" s="390"/>
      <c r="MYV5" s="390"/>
      <c r="MYW5" s="390"/>
      <c r="MYX5" s="390"/>
      <c r="MYY5" s="390"/>
      <c r="MYZ5" s="390"/>
      <c r="MZA5" s="390"/>
      <c r="MZB5" s="390"/>
      <c r="MZC5" s="390"/>
      <c r="MZD5" s="390"/>
      <c r="MZE5" s="390"/>
      <c r="MZF5" s="390"/>
      <c r="MZG5" s="390"/>
      <c r="MZH5" s="390"/>
      <c r="MZI5" s="390"/>
      <c r="MZJ5" s="390"/>
      <c r="MZK5" s="390"/>
      <c r="MZL5" s="390"/>
      <c r="MZM5" s="390"/>
      <c r="MZN5" s="390"/>
      <c r="MZO5" s="390"/>
      <c r="MZP5" s="390"/>
      <c r="MZQ5" s="390"/>
      <c r="MZR5" s="390"/>
      <c r="MZS5" s="390"/>
      <c r="MZT5" s="390"/>
      <c r="MZU5" s="390"/>
      <c r="MZV5" s="390"/>
      <c r="MZW5" s="390"/>
      <c r="MZX5" s="390"/>
      <c r="MZY5" s="390"/>
      <c r="MZZ5" s="390"/>
      <c r="NAA5" s="390"/>
      <c r="NAB5" s="390"/>
      <c r="NAC5" s="390"/>
      <c r="NAD5" s="390"/>
      <c r="NAE5" s="390"/>
      <c r="NAF5" s="390"/>
      <c r="NAG5" s="390"/>
      <c r="NAH5" s="390"/>
      <c r="NAI5" s="390"/>
      <c r="NAJ5" s="390"/>
      <c r="NAK5" s="390"/>
      <c r="NAL5" s="390"/>
      <c r="NAM5" s="390"/>
      <c r="NAN5" s="390"/>
      <c r="NAO5" s="390"/>
      <c r="NAP5" s="390"/>
      <c r="NAQ5" s="390"/>
      <c r="NAR5" s="390"/>
      <c r="NAS5" s="390"/>
      <c r="NAT5" s="390"/>
      <c r="NAU5" s="390"/>
      <c r="NAV5" s="390"/>
      <c r="NAW5" s="390"/>
      <c r="NAX5" s="390"/>
      <c r="NAY5" s="390"/>
      <c r="NAZ5" s="390"/>
      <c r="NBA5" s="390"/>
      <c r="NBB5" s="390"/>
      <c r="NBC5" s="390"/>
      <c r="NBD5" s="390"/>
      <c r="NBE5" s="390"/>
      <c r="NBF5" s="390"/>
      <c r="NBG5" s="390"/>
      <c r="NBH5" s="390"/>
      <c r="NBI5" s="390"/>
      <c r="NBJ5" s="390"/>
      <c r="NBK5" s="390"/>
      <c r="NBL5" s="390"/>
      <c r="NBM5" s="390"/>
      <c r="NBN5" s="390"/>
      <c r="NBO5" s="390"/>
      <c r="NBP5" s="390"/>
      <c r="NBQ5" s="390"/>
      <c r="NBR5" s="390"/>
      <c r="NBS5" s="390"/>
      <c r="NBT5" s="390"/>
      <c r="NBU5" s="390"/>
      <c r="NBV5" s="390"/>
      <c r="NBW5" s="390"/>
      <c r="NBX5" s="390"/>
      <c r="NBY5" s="390"/>
      <c r="NBZ5" s="390"/>
      <c r="NCA5" s="390"/>
      <c r="NCB5" s="390"/>
      <c r="NCC5" s="390"/>
      <c r="NCD5" s="390"/>
      <c r="NCE5" s="390"/>
      <c r="NCF5" s="390"/>
      <c r="NCG5" s="390"/>
      <c r="NCH5" s="390"/>
      <c r="NCI5" s="390"/>
      <c r="NCJ5" s="390"/>
      <c r="NCK5" s="390"/>
      <c r="NCL5" s="390"/>
      <c r="NCM5" s="390"/>
      <c r="NCN5" s="390"/>
      <c r="NCO5" s="390"/>
      <c r="NCP5" s="390"/>
      <c r="NCQ5" s="390"/>
      <c r="NCR5" s="390"/>
      <c r="NCS5" s="390"/>
      <c r="NCT5" s="390"/>
      <c r="NCU5" s="390"/>
      <c r="NCV5" s="390"/>
      <c r="NCW5" s="390"/>
      <c r="NCX5" s="390"/>
      <c r="NCY5" s="390"/>
      <c r="NCZ5" s="390"/>
      <c r="NDA5" s="390"/>
      <c r="NDB5" s="390"/>
      <c r="NDC5" s="390"/>
      <c r="NDD5" s="390"/>
      <c r="NDE5" s="390"/>
      <c r="NDF5" s="390"/>
      <c r="NDG5" s="390"/>
      <c r="NDH5" s="390"/>
      <c r="NDI5" s="390"/>
      <c r="NDJ5" s="390"/>
      <c r="NDK5" s="390"/>
      <c r="NDL5" s="390"/>
      <c r="NDM5" s="390"/>
      <c r="NDN5" s="390"/>
      <c r="NDO5" s="390"/>
      <c r="NDP5" s="390"/>
      <c r="NDQ5" s="390"/>
      <c r="NDR5" s="390"/>
      <c r="NDS5" s="390"/>
      <c r="NDT5" s="390"/>
      <c r="NDU5" s="390"/>
      <c r="NDV5" s="390"/>
      <c r="NDW5" s="390"/>
      <c r="NDX5" s="390"/>
      <c r="NDY5" s="390"/>
      <c r="NDZ5" s="390"/>
      <c r="NEA5" s="390"/>
      <c r="NEB5" s="390"/>
      <c r="NEC5" s="390"/>
      <c r="NED5" s="390"/>
      <c r="NEE5" s="390"/>
      <c r="NEF5" s="390"/>
      <c r="NEG5" s="390"/>
      <c r="NEH5" s="390"/>
      <c r="NEI5" s="390"/>
      <c r="NEJ5" s="390"/>
      <c r="NEK5" s="390"/>
      <c r="NEL5" s="390"/>
      <c r="NEM5" s="390"/>
      <c r="NEN5" s="390"/>
      <c r="NEO5" s="390"/>
      <c r="NEP5" s="390"/>
      <c r="NEQ5" s="390"/>
      <c r="NER5" s="390"/>
      <c r="NES5" s="390"/>
      <c r="NET5" s="390"/>
      <c r="NEU5" s="390"/>
      <c r="NEV5" s="390"/>
      <c r="NEW5" s="390"/>
      <c r="NEX5" s="390"/>
      <c r="NEY5" s="390"/>
      <c r="NEZ5" s="390"/>
      <c r="NFA5" s="390"/>
      <c r="NFB5" s="390"/>
      <c r="NFC5" s="390"/>
      <c r="NFD5" s="390"/>
      <c r="NFE5" s="390"/>
      <c r="NFF5" s="390"/>
      <c r="NFG5" s="390"/>
      <c r="NFH5" s="390"/>
      <c r="NFI5" s="390"/>
      <c r="NFJ5" s="390"/>
      <c r="NFK5" s="390"/>
      <c r="NFL5" s="390"/>
      <c r="NFM5" s="390"/>
      <c r="NFN5" s="390"/>
      <c r="NFO5" s="390"/>
      <c r="NFP5" s="390"/>
      <c r="NFQ5" s="390"/>
      <c r="NFR5" s="390"/>
      <c r="NFS5" s="390"/>
      <c r="NFT5" s="390"/>
      <c r="NFU5" s="390"/>
      <c r="NFV5" s="390"/>
      <c r="NFW5" s="390"/>
      <c r="NFX5" s="390"/>
      <c r="NFY5" s="390"/>
      <c r="NFZ5" s="390"/>
      <c r="NGA5" s="390"/>
      <c r="NGB5" s="390"/>
      <c r="NGC5" s="390"/>
      <c r="NGD5" s="390"/>
      <c r="NGE5" s="390"/>
      <c r="NGF5" s="390"/>
      <c r="NGG5" s="390"/>
      <c r="NGH5" s="390"/>
      <c r="NGI5" s="390"/>
      <c r="NGJ5" s="390"/>
      <c r="NGK5" s="390"/>
      <c r="NGL5" s="390"/>
      <c r="NGM5" s="390"/>
      <c r="NGN5" s="390"/>
      <c r="NGO5" s="390"/>
      <c r="NGP5" s="390"/>
      <c r="NGQ5" s="390"/>
      <c r="NGR5" s="390"/>
      <c r="NGS5" s="390"/>
      <c r="NGT5" s="390"/>
      <c r="NGU5" s="390"/>
      <c r="NGV5" s="390"/>
      <c r="NGW5" s="390"/>
      <c r="NGX5" s="390"/>
      <c r="NGY5" s="390"/>
      <c r="NGZ5" s="390"/>
      <c r="NHA5" s="390"/>
      <c r="NHB5" s="390"/>
      <c r="NHC5" s="390"/>
      <c r="NHD5" s="390"/>
      <c r="NHE5" s="390"/>
      <c r="NHF5" s="390"/>
      <c r="NHG5" s="390"/>
      <c r="NHH5" s="390"/>
      <c r="NHI5" s="390"/>
      <c r="NHJ5" s="390"/>
      <c r="NHK5" s="390"/>
      <c r="NHL5" s="390"/>
      <c r="NHM5" s="390"/>
      <c r="NHN5" s="390"/>
      <c r="NHO5" s="390"/>
      <c r="NHP5" s="390"/>
      <c r="NHQ5" s="390"/>
      <c r="NHR5" s="390"/>
      <c r="NHS5" s="390"/>
      <c r="NHT5" s="390"/>
      <c r="NHU5" s="390"/>
      <c r="NHV5" s="390"/>
      <c r="NHW5" s="390"/>
      <c r="NHX5" s="390"/>
      <c r="NHY5" s="390"/>
      <c r="NHZ5" s="390"/>
      <c r="NIA5" s="390"/>
      <c r="NIB5" s="390"/>
      <c r="NIC5" s="390"/>
      <c r="NID5" s="390"/>
      <c r="NIE5" s="390"/>
      <c r="NIF5" s="390"/>
      <c r="NIG5" s="390"/>
      <c r="NIH5" s="390"/>
      <c r="NII5" s="390"/>
      <c r="NIJ5" s="390"/>
      <c r="NIK5" s="390"/>
      <c r="NIL5" s="390"/>
      <c r="NIM5" s="390"/>
      <c r="NIN5" s="390"/>
      <c r="NIO5" s="390"/>
      <c r="NIP5" s="390"/>
      <c r="NIQ5" s="390"/>
      <c r="NIR5" s="390"/>
      <c r="NIS5" s="390"/>
      <c r="NIT5" s="390"/>
      <c r="NIU5" s="390"/>
      <c r="NIV5" s="390"/>
      <c r="NIW5" s="390"/>
      <c r="NIX5" s="390"/>
      <c r="NIY5" s="390"/>
      <c r="NIZ5" s="390"/>
      <c r="NJA5" s="390"/>
      <c r="NJB5" s="390"/>
      <c r="NJC5" s="390"/>
      <c r="NJD5" s="390"/>
      <c r="NJE5" s="390"/>
      <c r="NJF5" s="390"/>
      <c r="NJG5" s="390"/>
      <c r="NJH5" s="390"/>
      <c r="NJI5" s="390"/>
      <c r="NJJ5" s="390"/>
      <c r="NJK5" s="390"/>
      <c r="NJL5" s="390"/>
      <c r="NJM5" s="390"/>
      <c r="NJN5" s="390"/>
      <c r="NJO5" s="390"/>
      <c r="NJP5" s="390"/>
      <c r="NJQ5" s="390"/>
      <c r="NJR5" s="390"/>
      <c r="NJS5" s="390"/>
      <c r="NJT5" s="390"/>
      <c r="NJU5" s="390"/>
      <c r="NJV5" s="390"/>
      <c r="NJW5" s="390"/>
      <c r="NJX5" s="390"/>
      <c r="NJY5" s="390"/>
      <c r="NJZ5" s="390"/>
      <c r="NKA5" s="390"/>
      <c r="NKB5" s="390"/>
      <c r="NKC5" s="390"/>
      <c r="NKD5" s="390"/>
      <c r="NKE5" s="390"/>
      <c r="NKF5" s="390"/>
      <c r="NKG5" s="390"/>
      <c r="NKH5" s="390"/>
      <c r="NKI5" s="390"/>
      <c r="NKJ5" s="390"/>
      <c r="NKK5" s="390"/>
      <c r="NKL5" s="390"/>
      <c r="NKM5" s="390"/>
      <c r="NKN5" s="390"/>
      <c r="NKO5" s="390"/>
      <c r="NKP5" s="390"/>
      <c r="NKQ5" s="390"/>
      <c r="NKR5" s="390"/>
      <c r="NKS5" s="390"/>
      <c r="NKT5" s="390"/>
      <c r="NKU5" s="390"/>
      <c r="NKV5" s="390"/>
      <c r="NKW5" s="390"/>
      <c r="NKX5" s="390"/>
      <c r="NKY5" s="390"/>
      <c r="NKZ5" s="390"/>
      <c r="NLA5" s="390"/>
      <c r="NLB5" s="390"/>
      <c r="NLC5" s="390"/>
      <c r="NLD5" s="390"/>
      <c r="NLE5" s="390"/>
      <c r="NLF5" s="390"/>
      <c r="NLG5" s="390"/>
      <c r="NLH5" s="390"/>
      <c r="NLI5" s="390"/>
      <c r="NLJ5" s="390"/>
      <c r="NLK5" s="390"/>
      <c r="NLL5" s="390"/>
      <c r="NLM5" s="390"/>
      <c r="NLN5" s="390"/>
      <c r="NLO5" s="390"/>
      <c r="NLP5" s="390"/>
      <c r="NLQ5" s="390"/>
      <c r="NLR5" s="390"/>
      <c r="NLS5" s="390"/>
      <c r="NLT5" s="390"/>
      <c r="NLU5" s="390"/>
      <c r="NLV5" s="390"/>
      <c r="NLW5" s="390"/>
      <c r="NLX5" s="390"/>
      <c r="NLY5" s="390"/>
      <c r="NLZ5" s="390"/>
      <c r="NMA5" s="390"/>
      <c r="NMB5" s="390"/>
      <c r="NMC5" s="390"/>
      <c r="NMD5" s="390"/>
      <c r="NME5" s="390"/>
      <c r="NMF5" s="390"/>
      <c r="NMG5" s="390"/>
      <c r="NMH5" s="390"/>
      <c r="NMI5" s="390"/>
      <c r="NMJ5" s="390"/>
      <c r="NMK5" s="390"/>
      <c r="NML5" s="390"/>
      <c r="NMM5" s="390"/>
      <c r="NMN5" s="390"/>
      <c r="NMO5" s="390"/>
      <c r="NMP5" s="390"/>
      <c r="NMQ5" s="390"/>
      <c r="NMR5" s="390"/>
      <c r="NMS5" s="390"/>
      <c r="NMT5" s="390"/>
      <c r="NMU5" s="390"/>
      <c r="NMV5" s="390"/>
      <c r="NMW5" s="390"/>
      <c r="NMX5" s="390"/>
      <c r="NMY5" s="390"/>
      <c r="NMZ5" s="390"/>
      <c r="NNA5" s="390"/>
      <c r="NNB5" s="390"/>
      <c r="NNC5" s="390"/>
      <c r="NND5" s="390"/>
      <c r="NNE5" s="390"/>
      <c r="NNF5" s="390"/>
      <c r="NNG5" s="390"/>
      <c r="NNH5" s="390"/>
      <c r="NNI5" s="390"/>
      <c r="NNJ5" s="390"/>
      <c r="NNK5" s="390"/>
      <c r="NNL5" s="390"/>
      <c r="NNM5" s="390"/>
      <c r="NNN5" s="390"/>
      <c r="NNO5" s="390"/>
      <c r="NNP5" s="390"/>
      <c r="NNQ5" s="390"/>
      <c r="NNR5" s="390"/>
      <c r="NNS5" s="390"/>
      <c r="NNT5" s="390"/>
      <c r="NNU5" s="390"/>
      <c r="NNV5" s="390"/>
      <c r="NNW5" s="390"/>
      <c r="NNX5" s="390"/>
      <c r="NNY5" s="390"/>
      <c r="NNZ5" s="390"/>
      <c r="NOA5" s="390"/>
      <c r="NOB5" s="390"/>
      <c r="NOC5" s="390"/>
      <c r="NOD5" s="390"/>
      <c r="NOE5" s="390"/>
      <c r="NOF5" s="390"/>
      <c r="NOG5" s="390"/>
      <c r="NOH5" s="390"/>
      <c r="NOI5" s="390"/>
      <c r="NOJ5" s="390"/>
      <c r="NOK5" s="390"/>
      <c r="NOL5" s="390"/>
      <c r="NOM5" s="390"/>
      <c r="NON5" s="390"/>
      <c r="NOO5" s="390"/>
      <c r="NOP5" s="390"/>
      <c r="NOQ5" s="390"/>
      <c r="NOR5" s="390"/>
      <c r="NOS5" s="390"/>
      <c r="NOT5" s="390"/>
      <c r="NOU5" s="390"/>
      <c r="NOV5" s="390"/>
      <c r="NOW5" s="390"/>
      <c r="NOX5" s="390"/>
      <c r="NOY5" s="390"/>
      <c r="NOZ5" s="390"/>
      <c r="NPA5" s="390"/>
      <c r="NPB5" s="390"/>
      <c r="NPC5" s="390"/>
      <c r="NPD5" s="390"/>
      <c r="NPE5" s="390"/>
      <c r="NPF5" s="390"/>
      <c r="NPG5" s="390"/>
      <c r="NPH5" s="390"/>
      <c r="NPI5" s="390"/>
      <c r="NPJ5" s="390"/>
      <c r="NPK5" s="390"/>
      <c r="NPL5" s="390"/>
      <c r="NPM5" s="390"/>
      <c r="NPN5" s="390"/>
      <c r="NPO5" s="390"/>
      <c r="NPP5" s="390"/>
      <c r="NPQ5" s="390"/>
      <c r="NPR5" s="390"/>
      <c r="NPS5" s="390"/>
      <c r="NPT5" s="390"/>
      <c r="NPU5" s="390"/>
      <c r="NPV5" s="390"/>
      <c r="NPW5" s="390"/>
      <c r="NPX5" s="390"/>
      <c r="NPY5" s="390"/>
      <c r="NPZ5" s="390"/>
      <c r="NQA5" s="390"/>
      <c r="NQB5" s="390"/>
      <c r="NQC5" s="390"/>
      <c r="NQD5" s="390"/>
      <c r="NQE5" s="390"/>
      <c r="NQF5" s="390"/>
      <c r="NQG5" s="390"/>
      <c r="NQH5" s="390"/>
      <c r="NQI5" s="390"/>
      <c r="NQJ5" s="390"/>
      <c r="NQK5" s="390"/>
      <c r="NQL5" s="390"/>
      <c r="NQM5" s="390"/>
      <c r="NQN5" s="390"/>
      <c r="NQO5" s="390"/>
      <c r="NQP5" s="390"/>
      <c r="NQQ5" s="390"/>
      <c r="NQR5" s="390"/>
      <c r="NQS5" s="390"/>
      <c r="NQT5" s="390"/>
      <c r="NQU5" s="390"/>
      <c r="NQV5" s="390"/>
      <c r="NQW5" s="390"/>
      <c r="NQX5" s="390"/>
      <c r="NQY5" s="390"/>
      <c r="NQZ5" s="390"/>
      <c r="NRA5" s="390"/>
      <c r="NRB5" s="390"/>
      <c r="NRC5" s="390"/>
      <c r="NRD5" s="390"/>
      <c r="NRE5" s="390"/>
      <c r="NRF5" s="390"/>
      <c r="NRG5" s="390"/>
      <c r="NRH5" s="390"/>
      <c r="NRI5" s="390"/>
      <c r="NRJ5" s="390"/>
      <c r="NRK5" s="390"/>
      <c r="NRL5" s="390"/>
      <c r="NRM5" s="390"/>
      <c r="NRN5" s="390"/>
      <c r="NRO5" s="390"/>
      <c r="NRP5" s="390"/>
      <c r="NRQ5" s="390"/>
      <c r="NRR5" s="390"/>
      <c r="NRS5" s="390"/>
      <c r="NRT5" s="390"/>
      <c r="NRU5" s="390"/>
      <c r="NRV5" s="390"/>
      <c r="NRW5" s="390"/>
      <c r="NRX5" s="390"/>
      <c r="NRY5" s="390"/>
      <c r="NRZ5" s="390"/>
      <c r="NSA5" s="390"/>
      <c r="NSB5" s="390"/>
      <c r="NSC5" s="390"/>
      <c r="NSD5" s="390"/>
      <c r="NSE5" s="390"/>
      <c r="NSF5" s="390"/>
      <c r="NSG5" s="390"/>
      <c r="NSH5" s="390"/>
      <c r="NSI5" s="390"/>
      <c r="NSJ5" s="390"/>
      <c r="NSK5" s="390"/>
      <c r="NSL5" s="390"/>
      <c r="NSM5" s="390"/>
      <c r="NSN5" s="390"/>
      <c r="NSO5" s="390"/>
      <c r="NSP5" s="390"/>
      <c r="NSQ5" s="390"/>
      <c r="NSR5" s="390"/>
      <c r="NSS5" s="390"/>
      <c r="NST5" s="390"/>
      <c r="NSU5" s="390"/>
      <c r="NSV5" s="390"/>
      <c r="NSW5" s="390"/>
      <c r="NSX5" s="390"/>
      <c r="NSY5" s="390"/>
      <c r="NSZ5" s="390"/>
      <c r="NTA5" s="390"/>
      <c r="NTB5" s="390"/>
      <c r="NTC5" s="390"/>
      <c r="NTD5" s="390"/>
      <c r="NTE5" s="390"/>
      <c r="NTF5" s="390"/>
      <c r="NTG5" s="390"/>
      <c r="NTH5" s="390"/>
      <c r="NTI5" s="390"/>
      <c r="NTJ5" s="390"/>
      <c r="NTK5" s="390"/>
      <c r="NTL5" s="390"/>
      <c r="NTM5" s="390"/>
      <c r="NTN5" s="390"/>
      <c r="NTO5" s="390"/>
      <c r="NTP5" s="390"/>
      <c r="NTQ5" s="390"/>
      <c r="NTR5" s="390"/>
      <c r="NTS5" s="390"/>
      <c r="NTT5" s="390"/>
      <c r="NTU5" s="390"/>
      <c r="NTV5" s="390"/>
      <c r="NTW5" s="390"/>
      <c r="NTX5" s="390"/>
      <c r="NTY5" s="390"/>
      <c r="NTZ5" s="390"/>
      <c r="NUA5" s="390"/>
      <c r="NUB5" s="390"/>
      <c r="NUC5" s="390"/>
      <c r="NUD5" s="390"/>
      <c r="NUE5" s="390"/>
      <c r="NUF5" s="390"/>
      <c r="NUG5" s="390"/>
      <c r="NUH5" s="390"/>
      <c r="NUI5" s="390"/>
      <c r="NUJ5" s="390"/>
      <c r="NUK5" s="390"/>
      <c r="NUL5" s="390"/>
      <c r="NUM5" s="390"/>
      <c r="NUN5" s="390"/>
      <c r="NUO5" s="390"/>
      <c r="NUP5" s="390"/>
      <c r="NUQ5" s="390"/>
      <c r="NUR5" s="390"/>
      <c r="NUS5" s="390"/>
      <c r="NUT5" s="390"/>
      <c r="NUU5" s="390"/>
      <c r="NUV5" s="390"/>
      <c r="NUW5" s="390"/>
      <c r="NUX5" s="390"/>
      <c r="NUY5" s="390"/>
      <c r="NUZ5" s="390"/>
      <c r="NVA5" s="390"/>
      <c r="NVB5" s="390"/>
      <c r="NVC5" s="390"/>
      <c r="NVD5" s="390"/>
      <c r="NVE5" s="390"/>
      <c r="NVF5" s="390"/>
      <c r="NVG5" s="390"/>
      <c r="NVH5" s="390"/>
      <c r="NVI5" s="390"/>
      <c r="NVJ5" s="390"/>
      <c r="NVK5" s="390"/>
      <c r="NVL5" s="390"/>
      <c r="NVM5" s="390"/>
      <c r="NVN5" s="390"/>
      <c r="NVO5" s="390"/>
      <c r="NVP5" s="390"/>
      <c r="NVQ5" s="390"/>
      <c r="NVR5" s="390"/>
      <c r="NVS5" s="390"/>
      <c r="NVT5" s="390"/>
      <c r="NVU5" s="390"/>
      <c r="NVV5" s="390"/>
      <c r="NVW5" s="390"/>
      <c r="NVX5" s="390"/>
      <c r="NVY5" s="390"/>
      <c r="NVZ5" s="390"/>
      <c r="NWA5" s="390"/>
      <c r="NWB5" s="390"/>
      <c r="NWC5" s="390"/>
      <c r="NWD5" s="390"/>
      <c r="NWE5" s="390"/>
      <c r="NWF5" s="390"/>
      <c r="NWG5" s="390"/>
      <c r="NWH5" s="390"/>
      <c r="NWI5" s="390"/>
      <c r="NWJ5" s="390"/>
      <c r="NWK5" s="390"/>
      <c r="NWL5" s="390"/>
      <c r="NWM5" s="390"/>
      <c r="NWN5" s="390"/>
      <c r="NWO5" s="390"/>
      <c r="NWP5" s="390"/>
      <c r="NWQ5" s="390"/>
      <c r="NWR5" s="390"/>
      <c r="NWS5" s="390"/>
      <c r="NWT5" s="390"/>
      <c r="NWU5" s="390"/>
      <c r="NWV5" s="390"/>
      <c r="NWW5" s="390"/>
      <c r="NWX5" s="390"/>
      <c r="NWY5" s="390"/>
      <c r="NWZ5" s="390"/>
      <c r="NXA5" s="390"/>
      <c r="NXB5" s="390"/>
      <c r="NXC5" s="390"/>
      <c r="NXD5" s="390"/>
      <c r="NXE5" s="390"/>
      <c r="NXF5" s="390"/>
      <c r="NXG5" s="390"/>
      <c r="NXH5" s="390"/>
      <c r="NXI5" s="390"/>
      <c r="NXJ5" s="390"/>
      <c r="NXK5" s="390"/>
      <c r="NXL5" s="390"/>
      <c r="NXM5" s="390"/>
      <c r="NXN5" s="390"/>
      <c r="NXO5" s="390"/>
      <c r="NXP5" s="390"/>
      <c r="NXQ5" s="390"/>
      <c r="NXR5" s="390"/>
      <c r="NXS5" s="390"/>
      <c r="NXT5" s="390"/>
      <c r="NXU5" s="390"/>
      <c r="NXV5" s="390"/>
      <c r="NXW5" s="390"/>
      <c r="NXX5" s="390"/>
      <c r="NXY5" s="390"/>
      <c r="NXZ5" s="390"/>
      <c r="NYA5" s="390"/>
      <c r="NYB5" s="390"/>
      <c r="NYC5" s="390"/>
      <c r="NYD5" s="390"/>
      <c r="NYE5" s="390"/>
      <c r="NYF5" s="390"/>
      <c r="NYG5" s="390"/>
      <c r="NYH5" s="390"/>
      <c r="NYI5" s="390"/>
      <c r="NYJ5" s="390"/>
      <c r="NYK5" s="390"/>
      <c r="NYL5" s="390"/>
      <c r="NYM5" s="390"/>
      <c r="NYN5" s="390"/>
      <c r="NYO5" s="390"/>
      <c r="NYP5" s="390"/>
      <c r="NYQ5" s="390"/>
      <c r="NYR5" s="390"/>
      <c r="NYS5" s="390"/>
      <c r="NYT5" s="390"/>
      <c r="NYU5" s="390"/>
      <c r="NYV5" s="390"/>
      <c r="NYW5" s="390"/>
      <c r="NYX5" s="390"/>
      <c r="NYY5" s="390"/>
      <c r="NYZ5" s="390"/>
      <c r="NZA5" s="390"/>
      <c r="NZB5" s="390"/>
      <c r="NZC5" s="390"/>
      <c r="NZD5" s="390"/>
      <c r="NZE5" s="390"/>
      <c r="NZF5" s="390"/>
      <c r="NZG5" s="390"/>
      <c r="NZH5" s="390"/>
      <c r="NZI5" s="390"/>
      <c r="NZJ5" s="390"/>
      <c r="NZK5" s="390"/>
      <c r="NZL5" s="390"/>
      <c r="NZM5" s="390"/>
      <c r="NZN5" s="390"/>
      <c r="NZO5" s="390"/>
      <c r="NZP5" s="390"/>
      <c r="NZQ5" s="390"/>
      <c r="NZR5" s="390"/>
      <c r="NZS5" s="390"/>
      <c r="NZT5" s="390"/>
      <c r="NZU5" s="390"/>
      <c r="NZV5" s="390"/>
      <c r="NZW5" s="390"/>
      <c r="NZX5" s="390"/>
      <c r="NZY5" s="390"/>
      <c r="NZZ5" s="390"/>
      <c r="OAA5" s="390"/>
      <c r="OAB5" s="390"/>
      <c r="OAC5" s="390"/>
      <c r="OAD5" s="390"/>
      <c r="OAE5" s="390"/>
      <c r="OAF5" s="390"/>
      <c r="OAG5" s="390"/>
      <c r="OAH5" s="390"/>
      <c r="OAI5" s="390"/>
      <c r="OAJ5" s="390"/>
      <c r="OAK5" s="390"/>
      <c r="OAL5" s="390"/>
      <c r="OAM5" s="390"/>
      <c r="OAN5" s="390"/>
      <c r="OAO5" s="390"/>
      <c r="OAP5" s="390"/>
      <c r="OAQ5" s="390"/>
      <c r="OAR5" s="390"/>
      <c r="OAS5" s="390"/>
      <c r="OAT5" s="390"/>
      <c r="OAU5" s="390"/>
      <c r="OAV5" s="390"/>
      <c r="OAW5" s="390"/>
      <c r="OAX5" s="390"/>
      <c r="OAY5" s="390"/>
      <c r="OAZ5" s="390"/>
      <c r="OBA5" s="390"/>
      <c r="OBB5" s="390"/>
      <c r="OBC5" s="390"/>
      <c r="OBD5" s="390"/>
      <c r="OBE5" s="390"/>
      <c r="OBF5" s="390"/>
      <c r="OBG5" s="390"/>
      <c r="OBH5" s="390"/>
      <c r="OBI5" s="390"/>
      <c r="OBJ5" s="390"/>
      <c r="OBK5" s="390"/>
      <c r="OBL5" s="390"/>
      <c r="OBM5" s="390"/>
      <c r="OBN5" s="390"/>
      <c r="OBO5" s="390"/>
      <c r="OBP5" s="390"/>
      <c r="OBQ5" s="390"/>
      <c r="OBR5" s="390"/>
      <c r="OBS5" s="390"/>
      <c r="OBT5" s="390"/>
      <c r="OBU5" s="390"/>
      <c r="OBV5" s="390"/>
      <c r="OBW5" s="390"/>
      <c r="OBX5" s="390"/>
      <c r="OBY5" s="390"/>
      <c r="OBZ5" s="390"/>
      <c r="OCA5" s="390"/>
      <c r="OCB5" s="390"/>
      <c r="OCC5" s="390"/>
      <c r="OCD5" s="390"/>
      <c r="OCE5" s="390"/>
      <c r="OCF5" s="390"/>
      <c r="OCG5" s="390"/>
      <c r="OCH5" s="390"/>
      <c r="OCI5" s="390"/>
      <c r="OCJ5" s="390"/>
      <c r="OCK5" s="390"/>
      <c r="OCL5" s="390"/>
      <c r="OCM5" s="390"/>
      <c r="OCN5" s="390"/>
      <c r="OCO5" s="390"/>
      <c r="OCP5" s="390"/>
      <c r="OCQ5" s="390"/>
      <c r="OCR5" s="390"/>
      <c r="OCS5" s="390"/>
      <c r="OCT5" s="390"/>
      <c r="OCU5" s="390"/>
      <c r="OCV5" s="390"/>
      <c r="OCW5" s="390"/>
      <c r="OCX5" s="390"/>
      <c r="OCY5" s="390"/>
      <c r="OCZ5" s="390"/>
      <c r="ODA5" s="390"/>
      <c r="ODB5" s="390"/>
      <c r="ODC5" s="390"/>
      <c r="ODD5" s="390"/>
      <c r="ODE5" s="390"/>
      <c r="ODF5" s="390"/>
      <c r="ODG5" s="390"/>
      <c r="ODH5" s="390"/>
      <c r="ODI5" s="390"/>
      <c r="ODJ5" s="390"/>
      <c r="ODK5" s="390"/>
      <c r="ODL5" s="390"/>
      <c r="ODM5" s="390"/>
      <c r="ODN5" s="390"/>
      <c r="ODO5" s="390"/>
      <c r="ODP5" s="390"/>
      <c r="ODQ5" s="390"/>
      <c r="ODR5" s="390"/>
      <c r="ODS5" s="390"/>
      <c r="ODT5" s="390"/>
      <c r="ODU5" s="390"/>
      <c r="ODV5" s="390"/>
      <c r="ODW5" s="390"/>
      <c r="ODX5" s="390"/>
      <c r="ODY5" s="390"/>
      <c r="ODZ5" s="390"/>
      <c r="OEA5" s="390"/>
      <c r="OEB5" s="390"/>
      <c r="OEC5" s="390"/>
      <c r="OED5" s="390"/>
      <c r="OEE5" s="390"/>
      <c r="OEF5" s="390"/>
      <c r="OEG5" s="390"/>
      <c r="OEH5" s="390"/>
      <c r="OEI5" s="390"/>
      <c r="OEJ5" s="390"/>
      <c r="OEK5" s="390"/>
      <c r="OEL5" s="390"/>
      <c r="OEM5" s="390"/>
      <c r="OEN5" s="390"/>
      <c r="OEO5" s="390"/>
      <c r="OEP5" s="390"/>
      <c r="OEQ5" s="390"/>
      <c r="OER5" s="390"/>
      <c r="OES5" s="390"/>
      <c r="OET5" s="390"/>
      <c r="OEU5" s="390"/>
      <c r="OEV5" s="390"/>
      <c r="OEW5" s="390"/>
      <c r="OEX5" s="390"/>
      <c r="OEY5" s="390"/>
      <c r="OEZ5" s="390"/>
      <c r="OFA5" s="390"/>
      <c r="OFB5" s="390"/>
      <c r="OFC5" s="390"/>
      <c r="OFD5" s="390"/>
      <c r="OFE5" s="390"/>
      <c r="OFF5" s="390"/>
      <c r="OFG5" s="390"/>
      <c r="OFH5" s="390"/>
      <c r="OFI5" s="390"/>
      <c r="OFJ5" s="390"/>
      <c r="OFK5" s="390"/>
      <c r="OFL5" s="390"/>
      <c r="OFM5" s="390"/>
      <c r="OFN5" s="390"/>
      <c r="OFO5" s="390"/>
      <c r="OFP5" s="390"/>
      <c r="OFQ5" s="390"/>
      <c r="OFR5" s="390"/>
      <c r="OFS5" s="390"/>
      <c r="OFT5" s="390"/>
      <c r="OFU5" s="390"/>
      <c r="OFV5" s="390"/>
      <c r="OFW5" s="390"/>
      <c r="OFX5" s="390"/>
      <c r="OFY5" s="390"/>
      <c r="OFZ5" s="390"/>
      <c r="OGA5" s="390"/>
      <c r="OGB5" s="390"/>
      <c r="OGC5" s="390"/>
      <c r="OGD5" s="390"/>
      <c r="OGE5" s="390"/>
      <c r="OGF5" s="390"/>
      <c r="OGG5" s="390"/>
      <c r="OGH5" s="390"/>
      <c r="OGI5" s="390"/>
      <c r="OGJ5" s="390"/>
      <c r="OGK5" s="390"/>
      <c r="OGL5" s="390"/>
      <c r="OGM5" s="390"/>
      <c r="OGN5" s="390"/>
      <c r="OGO5" s="390"/>
      <c r="OGP5" s="390"/>
      <c r="OGQ5" s="390"/>
      <c r="OGR5" s="390"/>
      <c r="OGS5" s="390"/>
      <c r="OGT5" s="390"/>
      <c r="OGU5" s="390"/>
      <c r="OGV5" s="390"/>
      <c r="OGW5" s="390"/>
      <c r="OGX5" s="390"/>
      <c r="OGY5" s="390"/>
      <c r="OGZ5" s="390"/>
      <c r="OHA5" s="390"/>
      <c r="OHB5" s="390"/>
      <c r="OHC5" s="390"/>
      <c r="OHD5" s="390"/>
      <c r="OHE5" s="390"/>
      <c r="OHF5" s="390"/>
      <c r="OHG5" s="390"/>
      <c r="OHH5" s="390"/>
      <c r="OHI5" s="390"/>
      <c r="OHJ5" s="390"/>
      <c r="OHK5" s="390"/>
      <c r="OHL5" s="390"/>
      <c r="OHM5" s="390"/>
      <c r="OHN5" s="390"/>
      <c r="OHO5" s="390"/>
      <c r="OHP5" s="390"/>
      <c r="OHQ5" s="390"/>
      <c r="OHR5" s="390"/>
      <c r="OHS5" s="390"/>
      <c r="OHT5" s="390"/>
      <c r="OHU5" s="390"/>
      <c r="OHV5" s="390"/>
      <c r="OHW5" s="390"/>
      <c r="OHX5" s="390"/>
      <c r="OHY5" s="390"/>
      <c r="OHZ5" s="390"/>
      <c r="OIA5" s="390"/>
      <c r="OIB5" s="390"/>
      <c r="OIC5" s="390"/>
      <c r="OID5" s="390"/>
      <c r="OIE5" s="390"/>
      <c r="OIF5" s="390"/>
      <c r="OIG5" s="390"/>
      <c r="OIH5" s="390"/>
      <c r="OII5" s="390"/>
      <c r="OIJ5" s="390"/>
      <c r="OIK5" s="390"/>
      <c r="OIL5" s="390"/>
      <c r="OIM5" s="390"/>
      <c r="OIN5" s="390"/>
      <c r="OIO5" s="390"/>
      <c r="OIP5" s="390"/>
      <c r="OIQ5" s="390"/>
      <c r="OIR5" s="390"/>
      <c r="OIS5" s="390"/>
      <c r="OIT5" s="390"/>
      <c r="OIU5" s="390"/>
      <c r="OIV5" s="390"/>
      <c r="OIW5" s="390"/>
      <c r="OIX5" s="390"/>
      <c r="OIY5" s="390"/>
      <c r="OIZ5" s="390"/>
      <c r="OJA5" s="390"/>
      <c r="OJB5" s="390"/>
      <c r="OJC5" s="390"/>
      <c r="OJD5" s="390"/>
      <c r="OJE5" s="390"/>
      <c r="OJF5" s="390"/>
      <c r="OJG5" s="390"/>
      <c r="OJH5" s="390"/>
      <c r="OJI5" s="390"/>
      <c r="OJJ5" s="390"/>
      <c r="OJK5" s="390"/>
      <c r="OJL5" s="390"/>
      <c r="OJM5" s="390"/>
      <c r="OJN5" s="390"/>
      <c r="OJO5" s="390"/>
      <c r="OJP5" s="390"/>
      <c r="OJQ5" s="390"/>
      <c r="OJR5" s="390"/>
      <c r="OJS5" s="390"/>
      <c r="OJT5" s="390"/>
      <c r="OJU5" s="390"/>
      <c r="OJV5" s="390"/>
      <c r="OJW5" s="390"/>
      <c r="OJX5" s="390"/>
      <c r="OJY5" s="390"/>
      <c r="OJZ5" s="390"/>
      <c r="OKA5" s="390"/>
      <c r="OKB5" s="390"/>
      <c r="OKC5" s="390"/>
      <c r="OKD5" s="390"/>
      <c r="OKE5" s="390"/>
      <c r="OKF5" s="390"/>
      <c r="OKG5" s="390"/>
      <c r="OKH5" s="390"/>
      <c r="OKI5" s="390"/>
      <c r="OKJ5" s="390"/>
      <c r="OKK5" s="390"/>
      <c r="OKL5" s="390"/>
      <c r="OKM5" s="390"/>
      <c r="OKN5" s="390"/>
      <c r="OKO5" s="390"/>
      <c r="OKP5" s="390"/>
      <c r="OKQ5" s="390"/>
      <c r="OKR5" s="390"/>
      <c r="OKS5" s="390"/>
      <c r="OKT5" s="390"/>
      <c r="OKU5" s="390"/>
      <c r="OKV5" s="390"/>
      <c r="OKW5" s="390"/>
      <c r="OKX5" s="390"/>
      <c r="OKY5" s="390"/>
      <c r="OKZ5" s="390"/>
      <c r="OLA5" s="390"/>
      <c r="OLB5" s="390"/>
      <c r="OLC5" s="390"/>
      <c r="OLD5" s="390"/>
      <c r="OLE5" s="390"/>
      <c r="OLF5" s="390"/>
      <c r="OLG5" s="390"/>
      <c r="OLH5" s="390"/>
      <c r="OLI5" s="390"/>
      <c r="OLJ5" s="390"/>
      <c r="OLK5" s="390"/>
      <c r="OLL5" s="390"/>
      <c r="OLM5" s="390"/>
      <c r="OLN5" s="390"/>
      <c r="OLO5" s="390"/>
      <c r="OLP5" s="390"/>
      <c r="OLQ5" s="390"/>
      <c r="OLR5" s="390"/>
      <c r="OLS5" s="390"/>
      <c r="OLT5" s="390"/>
      <c r="OLU5" s="390"/>
      <c r="OLV5" s="390"/>
      <c r="OLW5" s="390"/>
      <c r="OLX5" s="390"/>
      <c r="OLY5" s="390"/>
      <c r="OLZ5" s="390"/>
      <c r="OMA5" s="390"/>
      <c r="OMB5" s="390"/>
      <c r="OMC5" s="390"/>
      <c r="OMD5" s="390"/>
      <c r="OME5" s="390"/>
      <c r="OMF5" s="390"/>
      <c r="OMG5" s="390"/>
      <c r="OMH5" s="390"/>
      <c r="OMI5" s="390"/>
      <c r="OMJ5" s="390"/>
      <c r="OMK5" s="390"/>
      <c r="OML5" s="390"/>
      <c r="OMM5" s="390"/>
      <c r="OMN5" s="390"/>
      <c r="OMO5" s="390"/>
      <c r="OMP5" s="390"/>
      <c r="OMQ5" s="390"/>
      <c r="OMR5" s="390"/>
      <c r="OMS5" s="390"/>
      <c r="OMT5" s="390"/>
      <c r="OMU5" s="390"/>
      <c r="OMV5" s="390"/>
      <c r="OMW5" s="390"/>
      <c r="OMX5" s="390"/>
      <c r="OMY5" s="390"/>
      <c r="OMZ5" s="390"/>
      <c r="ONA5" s="390"/>
      <c r="ONB5" s="390"/>
      <c r="ONC5" s="390"/>
      <c r="OND5" s="390"/>
      <c r="ONE5" s="390"/>
      <c r="ONF5" s="390"/>
      <c r="ONG5" s="390"/>
      <c r="ONH5" s="390"/>
      <c r="ONI5" s="390"/>
      <c r="ONJ5" s="390"/>
      <c r="ONK5" s="390"/>
      <c r="ONL5" s="390"/>
      <c r="ONM5" s="390"/>
      <c r="ONN5" s="390"/>
      <c r="ONO5" s="390"/>
      <c r="ONP5" s="390"/>
      <c r="ONQ5" s="390"/>
      <c r="ONR5" s="390"/>
      <c r="ONS5" s="390"/>
      <c r="ONT5" s="390"/>
      <c r="ONU5" s="390"/>
      <c r="ONV5" s="390"/>
      <c r="ONW5" s="390"/>
      <c r="ONX5" s="390"/>
      <c r="ONY5" s="390"/>
      <c r="ONZ5" s="390"/>
      <c r="OOA5" s="390"/>
      <c r="OOB5" s="390"/>
      <c r="OOC5" s="390"/>
      <c r="OOD5" s="390"/>
      <c r="OOE5" s="390"/>
      <c r="OOF5" s="390"/>
      <c r="OOG5" s="390"/>
      <c r="OOH5" s="390"/>
      <c r="OOI5" s="390"/>
      <c r="OOJ5" s="390"/>
      <c r="OOK5" s="390"/>
      <c r="OOL5" s="390"/>
      <c r="OOM5" s="390"/>
      <c r="OON5" s="390"/>
      <c r="OOO5" s="390"/>
      <c r="OOP5" s="390"/>
      <c r="OOQ5" s="390"/>
      <c r="OOR5" s="390"/>
      <c r="OOS5" s="390"/>
      <c r="OOT5" s="390"/>
      <c r="OOU5" s="390"/>
      <c r="OOV5" s="390"/>
      <c r="OOW5" s="390"/>
      <c r="OOX5" s="390"/>
      <c r="OOY5" s="390"/>
      <c r="OOZ5" s="390"/>
      <c r="OPA5" s="390"/>
      <c r="OPB5" s="390"/>
      <c r="OPC5" s="390"/>
      <c r="OPD5" s="390"/>
      <c r="OPE5" s="390"/>
      <c r="OPF5" s="390"/>
      <c r="OPG5" s="390"/>
      <c r="OPH5" s="390"/>
      <c r="OPI5" s="390"/>
      <c r="OPJ5" s="390"/>
      <c r="OPK5" s="390"/>
      <c r="OPL5" s="390"/>
      <c r="OPM5" s="390"/>
      <c r="OPN5" s="390"/>
      <c r="OPO5" s="390"/>
      <c r="OPP5" s="390"/>
      <c r="OPQ5" s="390"/>
      <c r="OPR5" s="390"/>
      <c r="OPS5" s="390"/>
      <c r="OPT5" s="390"/>
      <c r="OPU5" s="390"/>
      <c r="OPV5" s="390"/>
      <c r="OPW5" s="390"/>
      <c r="OPX5" s="390"/>
      <c r="OPY5" s="390"/>
      <c r="OPZ5" s="390"/>
      <c r="OQA5" s="390"/>
      <c r="OQB5" s="390"/>
      <c r="OQC5" s="390"/>
      <c r="OQD5" s="390"/>
      <c r="OQE5" s="390"/>
      <c r="OQF5" s="390"/>
      <c r="OQG5" s="390"/>
      <c r="OQH5" s="390"/>
      <c r="OQI5" s="390"/>
      <c r="OQJ5" s="390"/>
      <c r="OQK5" s="390"/>
      <c r="OQL5" s="390"/>
      <c r="OQM5" s="390"/>
      <c r="OQN5" s="390"/>
      <c r="OQO5" s="390"/>
      <c r="OQP5" s="390"/>
      <c r="OQQ5" s="390"/>
      <c r="OQR5" s="390"/>
      <c r="OQS5" s="390"/>
      <c r="OQT5" s="390"/>
      <c r="OQU5" s="390"/>
      <c r="OQV5" s="390"/>
      <c r="OQW5" s="390"/>
      <c r="OQX5" s="390"/>
      <c r="OQY5" s="390"/>
      <c r="OQZ5" s="390"/>
      <c r="ORA5" s="390"/>
      <c r="ORB5" s="390"/>
      <c r="ORC5" s="390"/>
      <c r="ORD5" s="390"/>
      <c r="ORE5" s="390"/>
      <c r="ORF5" s="390"/>
      <c r="ORG5" s="390"/>
      <c r="ORH5" s="390"/>
      <c r="ORI5" s="390"/>
      <c r="ORJ5" s="390"/>
      <c r="ORK5" s="390"/>
      <c r="ORL5" s="390"/>
      <c r="ORM5" s="390"/>
      <c r="ORN5" s="390"/>
      <c r="ORO5" s="390"/>
      <c r="ORP5" s="390"/>
      <c r="ORQ5" s="390"/>
      <c r="ORR5" s="390"/>
      <c r="ORS5" s="390"/>
      <c r="ORT5" s="390"/>
      <c r="ORU5" s="390"/>
      <c r="ORV5" s="390"/>
      <c r="ORW5" s="390"/>
      <c r="ORX5" s="390"/>
      <c r="ORY5" s="390"/>
      <c r="ORZ5" s="390"/>
      <c r="OSA5" s="390"/>
      <c r="OSB5" s="390"/>
      <c r="OSC5" s="390"/>
      <c r="OSD5" s="390"/>
      <c r="OSE5" s="390"/>
      <c r="OSF5" s="390"/>
      <c r="OSG5" s="390"/>
      <c r="OSH5" s="390"/>
      <c r="OSI5" s="390"/>
      <c r="OSJ5" s="390"/>
      <c r="OSK5" s="390"/>
      <c r="OSL5" s="390"/>
      <c r="OSM5" s="390"/>
      <c r="OSN5" s="390"/>
      <c r="OSO5" s="390"/>
      <c r="OSP5" s="390"/>
      <c r="OSQ5" s="390"/>
      <c r="OSR5" s="390"/>
      <c r="OSS5" s="390"/>
      <c r="OST5" s="390"/>
      <c r="OSU5" s="390"/>
      <c r="OSV5" s="390"/>
      <c r="OSW5" s="390"/>
      <c r="OSX5" s="390"/>
      <c r="OSY5" s="390"/>
      <c r="OSZ5" s="390"/>
      <c r="OTA5" s="390"/>
      <c r="OTB5" s="390"/>
      <c r="OTC5" s="390"/>
      <c r="OTD5" s="390"/>
      <c r="OTE5" s="390"/>
      <c r="OTF5" s="390"/>
      <c r="OTG5" s="390"/>
      <c r="OTH5" s="390"/>
      <c r="OTI5" s="390"/>
      <c r="OTJ5" s="390"/>
      <c r="OTK5" s="390"/>
      <c r="OTL5" s="390"/>
      <c r="OTM5" s="390"/>
      <c r="OTN5" s="390"/>
      <c r="OTO5" s="390"/>
      <c r="OTP5" s="390"/>
      <c r="OTQ5" s="390"/>
      <c r="OTR5" s="390"/>
      <c r="OTS5" s="390"/>
      <c r="OTT5" s="390"/>
      <c r="OTU5" s="390"/>
      <c r="OTV5" s="390"/>
      <c r="OTW5" s="390"/>
      <c r="OTX5" s="390"/>
      <c r="OTY5" s="390"/>
      <c r="OTZ5" s="390"/>
      <c r="OUA5" s="390"/>
      <c r="OUB5" s="390"/>
      <c r="OUC5" s="390"/>
      <c r="OUD5" s="390"/>
      <c r="OUE5" s="390"/>
      <c r="OUF5" s="390"/>
      <c r="OUG5" s="390"/>
      <c r="OUH5" s="390"/>
      <c r="OUI5" s="390"/>
      <c r="OUJ5" s="390"/>
      <c r="OUK5" s="390"/>
      <c r="OUL5" s="390"/>
      <c r="OUM5" s="390"/>
      <c r="OUN5" s="390"/>
      <c r="OUO5" s="390"/>
      <c r="OUP5" s="390"/>
      <c r="OUQ5" s="390"/>
      <c r="OUR5" s="390"/>
      <c r="OUS5" s="390"/>
      <c r="OUT5" s="390"/>
      <c r="OUU5" s="390"/>
      <c r="OUV5" s="390"/>
      <c r="OUW5" s="390"/>
      <c r="OUX5" s="390"/>
      <c r="OUY5" s="390"/>
      <c r="OUZ5" s="390"/>
      <c r="OVA5" s="390"/>
      <c r="OVB5" s="390"/>
      <c r="OVC5" s="390"/>
      <c r="OVD5" s="390"/>
      <c r="OVE5" s="390"/>
      <c r="OVF5" s="390"/>
      <c r="OVG5" s="390"/>
      <c r="OVH5" s="390"/>
      <c r="OVI5" s="390"/>
      <c r="OVJ5" s="390"/>
      <c r="OVK5" s="390"/>
      <c r="OVL5" s="390"/>
      <c r="OVM5" s="390"/>
      <c r="OVN5" s="390"/>
      <c r="OVO5" s="390"/>
      <c r="OVP5" s="390"/>
      <c r="OVQ5" s="390"/>
      <c r="OVR5" s="390"/>
      <c r="OVS5" s="390"/>
      <c r="OVT5" s="390"/>
      <c r="OVU5" s="390"/>
      <c r="OVV5" s="390"/>
      <c r="OVW5" s="390"/>
      <c r="OVX5" s="390"/>
      <c r="OVY5" s="390"/>
      <c r="OVZ5" s="390"/>
      <c r="OWA5" s="390"/>
      <c r="OWB5" s="390"/>
      <c r="OWC5" s="390"/>
      <c r="OWD5" s="390"/>
      <c r="OWE5" s="390"/>
      <c r="OWF5" s="390"/>
      <c r="OWG5" s="390"/>
      <c r="OWH5" s="390"/>
      <c r="OWI5" s="390"/>
      <c r="OWJ5" s="390"/>
      <c r="OWK5" s="390"/>
      <c r="OWL5" s="390"/>
      <c r="OWM5" s="390"/>
      <c r="OWN5" s="390"/>
      <c r="OWO5" s="390"/>
      <c r="OWP5" s="390"/>
      <c r="OWQ5" s="390"/>
      <c r="OWR5" s="390"/>
      <c r="OWS5" s="390"/>
      <c r="OWT5" s="390"/>
      <c r="OWU5" s="390"/>
      <c r="OWV5" s="390"/>
      <c r="OWW5" s="390"/>
      <c r="OWX5" s="390"/>
      <c r="OWY5" s="390"/>
      <c r="OWZ5" s="390"/>
      <c r="OXA5" s="390"/>
      <c r="OXB5" s="390"/>
      <c r="OXC5" s="390"/>
      <c r="OXD5" s="390"/>
      <c r="OXE5" s="390"/>
      <c r="OXF5" s="390"/>
      <c r="OXG5" s="390"/>
      <c r="OXH5" s="390"/>
      <c r="OXI5" s="390"/>
      <c r="OXJ5" s="390"/>
      <c r="OXK5" s="390"/>
      <c r="OXL5" s="390"/>
      <c r="OXM5" s="390"/>
      <c r="OXN5" s="390"/>
      <c r="OXO5" s="390"/>
      <c r="OXP5" s="390"/>
      <c r="OXQ5" s="390"/>
      <c r="OXR5" s="390"/>
      <c r="OXS5" s="390"/>
      <c r="OXT5" s="390"/>
      <c r="OXU5" s="390"/>
      <c r="OXV5" s="390"/>
      <c r="OXW5" s="390"/>
      <c r="OXX5" s="390"/>
      <c r="OXY5" s="390"/>
      <c r="OXZ5" s="390"/>
      <c r="OYA5" s="390"/>
      <c r="OYB5" s="390"/>
      <c r="OYC5" s="390"/>
      <c r="OYD5" s="390"/>
      <c r="OYE5" s="390"/>
      <c r="OYF5" s="390"/>
      <c r="OYG5" s="390"/>
      <c r="OYH5" s="390"/>
      <c r="OYI5" s="390"/>
      <c r="OYJ5" s="390"/>
      <c r="OYK5" s="390"/>
      <c r="OYL5" s="390"/>
      <c r="OYM5" s="390"/>
      <c r="OYN5" s="390"/>
      <c r="OYO5" s="390"/>
      <c r="OYP5" s="390"/>
      <c r="OYQ5" s="390"/>
      <c r="OYR5" s="390"/>
      <c r="OYS5" s="390"/>
      <c r="OYT5" s="390"/>
      <c r="OYU5" s="390"/>
      <c r="OYV5" s="390"/>
      <c r="OYW5" s="390"/>
      <c r="OYX5" s="390"/>
      <c r="OYY5" s="390"/>
      <c r="OYZ5" s="390"/>
      <c r="OZA5" s="390"/>
      <c r="OZB5" s="390"/>
      <c r="OZC5" s="390"/>
      <c r="OZD5" s="390"/>
      <c r="OZE5" s="390"/>
      <c r="OZF5" s="390"/>
      <c r="OZG5" s="390"/>
      <c r="OZH5" s="390"/>
      <c r="OZI5" s="390"/>
      <c r="OZJ5" s="390"/>
      <c r="OZK5" s="390"/>
      <c r="OZL5" s="390"/>
      <c r="OZM5" s="390"/>
      <c r="OZN5" s="390"/>
      <c r="OZO5" s="390"/>
      <c r="OZP5" s="390"/>
      <c r="OZQ5" s="390"/>
      <c r="OZR5" s="390"/>
      <c r="OZS5" s="390"/>
      <c r="OZT5" s="390"/>
      <c r="OZU5" s="390"/>
      <c r="OZV5" s="390"/>
      <c r="OZW5" s="390"/>
      <c r="OZX5" s="390"/>
      <c r="OZY5" s="390"/>
      <c r="OZZ5" s="390"/>
      <c r="PAA5" s="390"/>
      <c r="PAB5" s="390"/>
      <c r="PAC5" s="390"/>
      <c r="PAD5" s="390"/>
      <c r="PAE5" s="390"/>
      <c r="PAF5" s="390"/>
      <c r="PAG5" s="390"/>
      <c r="PAH5" s="390"/>
      <c r="PAI5" s="390"/>
      <c r="PAJ5" s="390"/>
      <c r="PAK5" s="390"/>
      <c r="PAL5" s="390"/>
      <c r="PAM5" s="390"/>
      <c r="PAN5" s="390"/>
      <c r="PAO5" s="390"/>
      <c r="PAP5" s="390"/>
      <c r="PAQ5" s="390"/>
      <c r="PAR5" s="390"/>
      <c r="PAS5" s="390"/>
      <c r="PAT5" s="390"/>
      <c r="PAU5" s="390"/>
      <c r="PAV5" s="390"/>
      <c r="PAW5" s="390"/>
      <c r="PAX5" s="390"/>
      <c r="PAY5" s="390"/>
      <c r="PAZ5" s="390"/>
      <c r="PBA5" s="390"/>
      <c r="PBB5" s="390"/>
      <c r="PBC5" s="390"/>
      <c r="PBD5" s="390"/>
      <c r="PBE5" s="390"/>
      <c r="PBF5" s="390"/>
      <c r="PBG5" s="390"/>
      <c r="PBH5" s="390"/>
      <c r="PBI5" s="390"/>
      <c r="PBJ5" s="390"/>
      <c r="PBK5" s="390"/>
      <c r="PBL5" s="390"/>
      <c r="PBM5" s="390"/>
      <c r="PBN5" s="390"/>
      <c r="PBO5" s="390"/>
      <c r="PBP5" s="390"/>
      <c r="PBQ5" s="390"/>
      <c r="PBR5" s="390"/>
      <c r="PBS5" s="390"/>
      <c r="PBT5" s="390"/>
      <c r="PBU5" s="390"/>
      <c r="PBV5" s="390"/>
      <c r="PBW5" s="390"/>
      <c r="PBX5" s="390"/>
      <c r="PBY5" s="390"/>
      <c r="PBZ5" s="390"/>
      <c r="PCA5" s="390"/>
      <c r="PCB5" s="390"/>
      <c r="PCC5" s="390"/>
      <c r="PCD5" s="390"/>
      <c r="PCE5" s="390"/>
      <c r="PCF5" s="390"/>
      <c r="PCG5" s="390"/>
      <c r="PCH5" s="390"/>
      <c r="PCI5" s="390"/>
      <c r="PCJ5" s="390"/>
      <c r="PCK5" s="390"/>
      <c r="PCL5" s="390"/>
      <c r="PCM5" s="390"/>
      <c r="PCN5" s="390"/>
      <c r="PCO5" s="390"/>
      <c r="PCP5" s="390"/>
      <c r="PCQ5" s="390"/>
      <c r="PCR5" s="390"/>
      <c r="PCS5" s="390"/>
      <c r="PCT5" s="390"/>
      <c r="PCU5" s="390"/>
      <c r="PCV5" s="390"/>
      <c r="PCW5" s="390"/>
      <c r="PCX5" s="390"/>
      <c r="PCY5" s="390"/>
      <c r="PCZ5" s="390"/>
      <c r="PDA5" s="390"/>
      <c r="PDB5" s="390"/>
      <c r="PDC5" s="390"/>
      <c r="PDD5" s="390"/>
      <c r="PDE5" s="390"/>
      <c r="PDF5" s="390"/>
      <c r="PDG5" s="390"/>
      <c r="PDH5" s="390"/>
      <c r="PDI5" s="390"/>
      <c r="PDJ5" s="390"/>
      <c r="PDK5" s="390"/>
      <c r="PDL5" s="390"/>
      <c r="PDM5" s="390"/>
      <c r="PDN5" s="390"/>
      <c r="PDO5" s="390"/>
      <c r="PDP5" s="390"/>
      <c r="PDQ5" s="390"/>
      <c r="PDR5" s="390"/>
      <c r="PDS5" s="390"/>
      <c r="PDT5" s="390"/>
      <c r="PDU5" s="390"/>
      <c r="PDV5" s="390"/>
      <c r="PDW5" s="390"/>
      <c r="PDX5" s="390"/>
      <c r="PDY5" s="390"/>
      <c r="PDZ5" s="390"/>
      <c r="PEA5" s="390"/>
      <c r="PEB5" s="390"/>
      <c r="PEC5" s="390"/>
      <c r="PED5" s="390"/>
      <c r="PEE5" s="390"/>
      <c r="PEF5" s="390"/>
      <c r="PEG5" s="390"/>
      <c r="PEH5" s="390"/>
      <c r="PEI5" s="390"/>
      <c r="PEJ5" s="390"/>
      <c r="PEK5" s="390"/>
      <c r="PEL5" s="390"/>
      <c r="PEM5" s="390"/>
      <c r="PEN5" s="390"/>
      <c r="PEO5" s="390"/>
      <c r="PEP5" s="390"/>
      <c r="PEQ5" s="390"/>
      <c r="PER5" s="390"/>
      <c r="PES5" s="390"/>
      <c r="PET5" s="390"/>
      <c r="PEU5" s="390"/>
      <c r="PEV5" s="390"/>
      <c r="PEW5" s="390"/>
      <c r="PEX5" s="390"/>
      <c r="PEY5" s="390"/>
      <c r="PEZ5" s="390"/>
      <c r="PFA5" s="390"/>
      <c r="PFB5" s="390"/>
      <c r="PFC5" s="390"/>
      <c r="PFD5" s="390"/>
      <c r="PFE5" s="390"/>
      <c r="PFF5" s="390"/>
      <c r="PFG5" s="390"/>
      <c r="PFH5" s="390"/>
      <c r="PFI5" s="390"/>
      <c r="PFJ5" s="390"/>
      <c r="PFK5" s="390"/>
      <c r="PFL5" s="390"/>
      <c r="PFM5" s="390"/>
      <c r="PFN5" s="390"/>
      <c r="PFO5" s="390"/>
      <c r="PFP5" s="390"/>
      <c r="PFQ5" s="390"/>
      <c r="PFR5" s="390"/>
      <c r="PFS5" s="390"/>
      <c r="PFT5" s="390"/>
      <c r="PFU5" s="390"/>
      <c r="PFV5" s="390"/>
      <c r="PFW5" s="390"/>
      <c r="PFX5" s="390"/>
      <c r="PFY5" s="390"/>
      <c r="PFZ5" s="390"/>
      <c r="PGA5" s="390"/>
      <c r="PGB5" s="390"/>
      <c r="PGC5" s="390"/>
      <c r="PGD5" s="390"/>
      <c r="PGE5" s="390"/>
      <c r="PGF5" s="390"/>
      <c r="PGG5" s="390"/>
      <c r="PGH5" s="390"/>
      <c r="PGI5" s="390"/>
      <c r="PGJ5" s="390"/>
      <c r="PGK5" s="390"/>
      <c r="PGL5" s="390"/>
      <c r="PGM5" s="390"/>
      <c r="PGN5" s="390"/>
      <c r="PGO5" s="390"/>
      <c r="PGP5" s="390"/>
      <c r="PGQ5" s="390"/>
      <c r="PGR5" s="390"/>
      <c r="PGS5" s="390"/>
      <c r="PGT5" s="390"/>
      <c r="PGU5" s="390"/>
      <c r="PGV5" s="390"/>
      <c r="PGW5" s="390"/>
      <c r="PGX5" s="390"/>
      <c r="PGY5" s="390"/>
      <c r="PGZ5" s="390"/>
      <c r="PHA5" s="390"/>
      <c r="PHB5" s="390"/>
      <c r="PHC5" s="390"/>
      <c r="PHD5" s="390"/>
      <c r="PHE5" s="390"/>
      <c r="PHF5" s="390"/>
      <c r="PHG5" s="390"/>
      <c r="PHH5" s="390"/>
      <c r="PHI5" s="390"/>
      <c r="PHJ5" s="390"/>
      <c r="PHK5" s="390"/>
      <c r="PHL5" s="390"/>
      <c r="PHM5" s="390"/>
      <c r="PHN5" s="390"/>
      <c r="PHO5" s="390"/>
      <c r="PHP5" s="390"/>
      <c r="PHQ5" s="390"/>
      <c r="PHR5" s="390"/>
      <c r="PHS5" s="390"/>
      <c r="PHT5" s="390"/>
      <c r="PHU5" s="390"/>
      <c r="PHV5" s="390"/>
      <c r="PHW5" s="390"/>
      <c r="PHX5" s="390"/>
      <c r="PHY5" s="390"/>
      <c r="PHZ5" s="390"/>
      <c r="PIA5" s="390"/>
      <c r="PIB5" s="390"/>
      <c r="PIC5" s="390"/>
      <c r="PID5" s="390"/>
      <c r="PIE5" s="390"/>
      <c r="PIF5" s="390"/>
      <c r="PIG5" s="390"/>
      <c r="PIH5" s="390"/>
      <c r="PII5" s="390"/>
      <c r="PIJ5" s="390"/>
      <c r="PIK5" s="390"/>
      <c r="PIL5" s="390"/>
      <c r="PIM5" s="390"/>
      <c r="PIN5" s="390"/>
      <c r="PIO5" s="390"/>
      <c r="PIP5" s="390"/>
      <c r="PIQ5" s="390"/>
      <c r="PIR5" s="390"/>
      <c r="PIS5" s="390"/>
      <c r="PIT5" s="390"/>
      <c r="PIU5" s="390"/>
      <c r="PIV5" s="390"/>
      <c r="PIW5" s="390"/>
      <c r="PIX5" s="390"/>
      <c r="PIY5" s="390"/>
      <c r="PIZ5" s="390"/>
      <c r="PJA5" s="390"/>
      <c r="PJB5" s="390"/>
      <c r="PJC5" s="390"/>
      <c r="PJD5" s="390"/>
      <c r="PJE5" s="390"/>
      <c r="PJF5" s="390"/>
      <c r="PJG5" s="390"/>
      <c r="PJH5" s="390"/>
      <c r="PJI5" s="390"/>
      <c r="PJJ5" s="390"/>
      <c r="PJK5" s="390"/>
      <c r="PJL5" s="390"/>
      <c r="PJM5" s="390"/>
      <c r="PJN5" s="390"/>
      <c r="PJO5" s="390"/>
      <c r="PJP5" s="390"/>
      <c r="PJQ5" s="390"/>
      <c r="PJR5" s="390"/>
      <c r="PJS5" s="390"/>
      <c r="PJT5" s="390"/>
      <c r="PJU5" s="390"/>
      <c r="PJV5" s="390"/>
      <c r="PJW5" s="390"/>
      <c r="PJX5" s="390"/>
      <c r="PJY5" s="390"/>
      <c r="PJZ5" s="390"/>
      <c r="PKA5" s="390"/>
      <c r="PKB5" s="390"/>
      <c r="PKC5" s="390"/>
      <c r="PKD5" s="390"/>
      <c r="PKE5" s="390"/>
      <c r="PKF5" s="390"/>
      <c r="PKG5" s="390"/>
      <c r="PKH5" s="390"/>
      <c r="PKI5" s="390"/>
      <c r="PKJ5" s="390"/>
      <c r="PKK5" s="390"/>
      <c r="PKL5" s="390"/>
      <c r="PKM5" s="390"/>
      <c r="PKN5" s="390"/>
      <c r="PKO5" s="390"/>
      <c r="PKP5" s="390"/>
      <c r="PKQ5" s="390"/>
      <c r="PKR5" s="390"/>
      <c r="PKS5" s="390"/>
      <c r="PKT5" s="390"/>
      <c r="PKU5" s="390"/>
      <c r="PKV5" s="390"/>
      <c r="PKW5" s="390"/>
      <c r="PKX5" s="390"/>
      <c r="PKY5" s="390"/>
      <c r="PKZ5" s="390"/>
      <c r="PLA5" s="390"/>
      <c r="PLB5" s="390"/>
      <c r="PLC5" s="390"/>
      <c r="PLD5" s="390"/>
      <c r="PLE5" s="390"/>
      <c r="PLF5" s="390"/>
      <c r="PLG5" s="390"/>
      <c r="PLH5" s="390"/>
      <c r="PLI5" s="390"/>
      <c r="PLJ5" s="390"/>
      <c r="PLK5" s="390"/>
      <c r="PLL5" s="390"/>
      <c r="PLM5" s="390"/>
      <c r="PLN5" s="390"/>
      <c r="PLO5" s="390"/>
      <c r="PLP5" s="390"/>
      <c r="PLQ5" s="390"/>
      <c r="PLR5" s="390"/>
      <c r="PLS5" s="390"/>
      <c r="PLT5" s="390"/>
      <c r="PLU5" s="390"/>
      <c r="PLV5" s="390"/>
      <c r="PLW5" s="390"/>
      <c r="PLX5" s="390"/>
      <c r="PLY5" s="390"/>
      <c r="PLZ5" s="390"/>
      <c r="PMA5" s="390"/>
      <c r="PMB5" s="390"/>
      <c r="PMC5" s="390"/>
      <c r="PMD5" s="390"/>
      <c r="PME5" s="390"/>
      <c r="PMF5" s="390"/>
      <c r="PMG5" s="390"/>
      <c r="PMH5" s="390"/>
      <c r="PMI5" s="390"/>
      <c r="PMJ5" s="390"/>
      <c r="PMK5" s="390"/>
      <c r="PML5" s="390"/>
      <c r="PMM5" s="390"/>
      <c r="PMN5" s="390"/>
      <c r="PMO5" s="390"/>
      <c r="PMP5" s="390"/>
      <c r="PMQ5" s="390"/>
      <c r="PMR5" s="390"/>
      <c r="PMS5" s="390"/>
      <c r="PMT5" s="390"/>
      <c r="PMU5" s="390"/>
      <c r="PMV5" s="390"/>
      <c r="PMW5" s="390"/>
      <c r="PMX5" s="390"/>
      <c r="PMY5" s="390"/>
      <c r="PMZ5" s="390"/>
      <c r="PNA5" s="390"/>
      <c r="PNB5" s="390"/>
      <c r="PNC5" s="390"/>
      <c r="PND5" s="390"/>
      <c r="PNE5" s="390"/>
      <c r="PNF5" s="390"/>
      <c r="PNG5" s="390"/>
      <c r="PNH5" s="390"/>
      <c r="PNI5" s="390"/>
      <c r="PNJ5" s="390"/>
      <c r="PNK5" s="390"/>
      <c r="PNL5" s="390"/>
      <c r="PNM5" s="390"/>
      <c r="PNN5" s="390"/>
      <c r="PNO5" s="390"/>
      <c r="PNP5" s="390"/>
      <c r="PNQ5" s="390"/>
      <c r="PNR5" s="390"/>
      <c r="PNS5" s="390"/>
      <c r="PNT5" s="390"/>
      <c r="PNU5" s="390"/>
      <c r="PNV5" s="390"/>
      <c r="PNW5" s="390"/>
      <c r="PNX5" s="390"/>
      <c r="PNY5" s="390"/>
      <c r="PNZ5" s="390"/>
      <c r="POA5" s="390"/>
      <c r="POB5" s="390"/>
      <c r="POC5" s="390"/>
      <c r="POD5" s="390"/>
      <c r="POE5" s="390"/>
      <c r="POF5" s="390"/>
      <c r="POG5" s="390"/>
      <c r="POH5" s="390"/>
      <c r="POI5" s="390"/>
      <c r="POJ5" s="390"/>
      <c r="POK5" s="390"/>
      <c r="POL5" s="390"/>
      <c r="POM5" s="390"/>
      <c r="PON5" s="390"/>
      <c r="POO5" s="390"/>
      <c r="POP5" s="390"/>
      <c r="POQ5" s="390"/>
      <c r="POR5" s="390"/>
      <c r="POS5" s="390"/>
      <c r="POT5" s="390"/>
      <c r="POU5" s="390"/>
      <c r="POV5" s="390"/>
      <c r="POW5" s="390"/>
      <c r="POX5" s="390"/>
      <c r="POY5" s="390"/>
      <c r="POZ5" s="390"/>
      <c r="PPA5" s="390"/>
      <c r="PPB5" s="390"/>
      <c r="PPC5" s="390"/>
      <c r="PPD5" s="390"/>
      <c r="PPE5" s="390"/>
      <c r="PPF5" s="390"/>
      <c r="PPG5" s="390"/>
      <c r="PPH5" s="390"/>
      <c r="PPI5" s="390"/>
      <c r="PPJ5" s="390"/>
      <c r="PPK5" s="390"/>
      <c r="PPL5" s="390"/>
      <c r="PPM5" s="390"/>
      <c r="PPN5" s="390"/>
      <c r="PPO5" s="390"/>
      <c r="PPP5" s="390"/>
      <c r="PPQ5" s="390"/>
      <c r="PPR5" s="390"/>
      <c r="PPS5" s="390"/>
      <c r="PPT5" s="390"/>
      <c r="PPU5" s="390"/>
      <c r="PPV5" s="390"/>
      <c r="PPW5" s="390"/>
      <c r="PPX5" s="390"/>
      <c r="PPY5" s="390"/>
      <c r="PPZ5" s="390"/>
      <c r="PQA5" s="390"/>
      <c r="PQB5" s="390"/>
      <c r="PQC5" s="390"/>
      <c r="PQD5" s="390"/>
      <c r="PQE5" s="390"/>
      <c r="PQF5" s="390"/>
      <c r="PQG5" s="390"/>
      <c r="PQH5" s="390"/>
      <c r="PQI5" s="390"/>
      <c r="PQJ5" s="390"/>
      <c r="PQK5" s="390"/>
      <c r="PQL5" s="390"/>
      <c r="PQM5" s="390"/>
      <c r="PQN5" s="390"/>
      <c r="PQO5" s="390"/>
      <c r="PQP5" s="390"/>
      <c r="PQQ5" s="390"/>
      <c r="PQR5" s="390"/>
      <c r="PQS5" s="390"/>
      <c r="PQT5" s="390"/>
      <c r="PQU5" s="390"/>
      <c r="PQV5" s="390"/>
      <c r="PQW5" s="390"/>
      <c r="PQX5" s="390"/>
      <c r="PQY5" s="390"/>
      <c r="PQZ5" s="390"/>
      <c r="PRA5" s="390"/>
      <c r="PRB5" s="390"/>
      <c r="PRC5" s="390"/>
      <c r="PRD5" s="390"/>
      <c r="PRE5" s="390"/>
      <c r="PRF5" s="390"/>
      <c r="PRG5" s="390"/>
      <c r="PRH5" s="390"/>
      <c r="PRI5" s="390"/>
      <c r="PRJ5" s="390"/>
      <c r="PRK5" s="390"/>
      <c r="PRL5" s="390"/>
      <c r="PRM5" s="390"/>
      <c r="PRN5" s="390"/>
      <c r="PRO5" s="390"/>
      <c r="PRP5" s="390"/>
      <c r="PRQ5" s="390"/>
      <c r="PRR5" s="390"/>
      <c r="PRS5" s="390"/>
      <c r="PRT5" s="390"/>
      <c r="PRU5" s="390"/>
      <c r="PRV5" s="390"/>
      <c r="PRW5" s="390"/>
      <c r="PRX5" s="390"/>
      <c r="PRY5" s="390"/>
      <c r="PRZ5" s="390"/>
      <c r="PSA5" s="390"/>
      <c r="PSB5" s="390"/>
      <c r="PSC5" s="390"/>
      <c r="PSD5" s="390"/>
      <c r="PSE5" s="390"/>
      <c r="PSF5" s="390"/>
      <c r="PSG5" s="390"/>
      <c r="PSH5" s="390"/>
      <c r="PSI5" s="390"/>
      <c r="PSJ5" s="390"/>
      <c r="PSK5" s="390"/>
      <c r="PSL5" s="390"/>
      <c r="PSM5" s="390"/>
      <c r="PSN5" s="390"/>
      <c r="PSO5" s="390"/>
      <c r="PSP5" s="390"/>
      <c r="PSQ5" s="390"/>
      <c r="PSR5" s="390"/>
      <c r="PSS5" s="390"/>
      <c r="PST5" s="390"/>
      <c r="PSU5" s="390"/>
      <c r="PSV5" s="390"/>
      <c r="PSW5" s="390"/>
      <c r="PSX5" s="390"/>
      <c r="PSY5" s="390"/>
      <c r="PSZ5" s="390"/>
      <c r="PTA5" s="390"/>
      <c r="PTB5" s="390"/>
      <c r="PTC5" s="390"/>
      <c r="PTD5" s="390"/>
      <c r="PTE5" s="390"/>
      <c r="PTF5" s="390"/>
      <c r="PTG5" s="390"/>
      <c r="PTH5" s="390"/>
      <c r="PTI5" s="390"/>
      <c r="PTJ5" s="390"/>
      <c r="PTK5" s="390"/>
      <c r="PTL5" s="390"/>
      <c r="PTM5" s="390"/>
      <c r="PTN5" s="390"/>
      <c r="PTO5" s="390"/>
      <c r="PTP5" s="390"/>
      <c r="PTQ5" s="390"/>
      <c r="PTR5" s="390"/>
      <c r="PTS5" s="390"/>
      <c r="PTT5" s="390"/>
      <c r="PTU5" s="390"/>
      <c r="PTV5" s="390"/>
      <c r="PTW5" s="390"/>
      <c r="PTX5" s="390"/>
      <c r="PTY5" s="390"/>
      <c r="PTZ5" s="390"/>
      <c r="PUA5" s="390"/>
      <c r="PUB5" s="390"/>
      <c r="PUC5" s="390"/>
      <c r="PUD5" s="390"/>
      <c r="PUE5" s="390"/>
      <c r="PUF5" s="390"/>
      <c r="PUG5" s="390"/>
      <c r="PUH5" s="390"/>
      <c r="PUI5" s="390"/>
      <c r="PUJ5" s="390"/>
      <c r="PUK5" s="390"/>
      <c r="PUL5" s="390"/>
      <c r="PUM5" s="390"/>
      <c r="PUN5" s="390"/>
      <c r="PUO5" s="390"/>
      <c r="PUP5" s="390"/>
      <c r="PUQ5" s="390"/>
      <c r="PUR5" s="390"/>
      <c r="PUS5" s="390"/>
      <c r="PUT5" s="390"/>
      <c r="PUU5" s="390"/>
      <c r="PUV5" s="390"/>
      <c r="PUW5" s="390"/>
      <c r="PUX5" s="390"/>
      <c r="PUY5" s="390"/>
      <c r="PUZ5" s="390"/>
      <c r="PVA5" s="390"/>
      <c r="PVB5" s="390"/>
      <c r="PVC5" s="390"/>
      <c r="PVD5" s="390"/>
      <c r="PVE5" s="390"/>
      <c r="PVF5" s="390"/>
      <c r="PVG5" s="390"/>
      <c r="PVH5" s="390"/>
      <c r="PVI5" s="390"/>
      <c r="PVJ5" s="390"/>
      <c r="PVK5" s="390"/>
      <c r="PVL5" s="390"/>
      <c r="PVM5" s="390"/>
      <c r="PVN5" s="390"/>
      <c r="PVO5" s="390"/>
      <c r="PVP5" s="390"/>
      <c r="PVQ5" s="390"/>
      <c r="PVR5" s="390"/>
      <c r="PVS5" s="390"/>
      <c r="PVT5" s="390"/>
      <c r="PVU5" s="390"/>
      <c r="PVV5" s="390"/>
      <c r="PVW5" s="390"/>
      <c r="PVX5" s="390"/>
      <c r="PVY5" s="390"/>
      <c r="PVZ5" s="390"/>
      <c r="PWA5" s="390"/>
      <c r="PWB5" s="390"/>
      <c r="PWC5" s="390"/>
      <c r="PWD5" s="390"/>
      <c r="PWE5" s="390"/>
      <c r="PWF5" s="390"/>
      <c r="PWG5" s="390"/>
      <c r="PWH5" s="390"/>
      <c r="PWI5" s="390"/>
      <c r="PWJ5" s="390"/>
      <c r="PWK5" s="390"/>
      <c r="PWL5" s="390"/>
      <c r="PWM5" s="390"/>
      <c r="PWN5" s="390"/>
      <c r="PWO5" s="390"/>
      <c r="PWP5" s="390"/>
      <c r="PWQ5" s="390"/>
      <c r="PWR5" s="390"/>
      <c r="PWS5" s="390"/>
      <c r="PWT5" s="390"/>
      <c r="PWU5" s="390"/>
      <c r="PWV5" s="390"/>
      <c r="PWW5" s="390"/>
      <c r="PWX5" s="390"/>
      <c r="PWY5" s="390"/>
      <c r="PWZ5" s="390"/>
      <c r="PXA5" s="390"/>
      <c r="PXB5" s="390"/>
      <c r="PXC5" s="390"/>
      <c r="PXD5" s="390"/>
      <c r="PXE5" s="390"/>
      <c r="PXF5" s="390"/>
      <c r="PXG5" s="390"/>
      <c r="PXH5" s="390"/>
      <c r="PXI5" s="390"/>
      <c r="PXJ5" s="390"/>
      <c r="PXK5" s="390"/>
      <c r="PXL5" s="390"/>
      <c r="PXM5" s="390"/>
      <c r="PXN5" s="390"/>
      <c r="PXO5" s="390"/>
      <c r="PXP5" s="390"/>
      <c r="PXQ5" s="390"/>
      <c r="PXR5" s="390"/>
      <c r="PXS5" s="390"/>
      <c r="PXT5" s="390"/>
      <c r="PXU5" s="390"/>
      <c r="PXV5" s="390"/>
      <c r="PXW5" s="390"/>
      <c r="PXX5" s="390"/>
      <c r="PXY5" s="390"/>
      <c r="PXZ5" s="390"/>
      <c r="PYA5" s="390"/>
      <c r="PYB5" s="390"/>
      <c r="PYC5" s="390"/>
      <c r="PYD5" s="390"/>
      <c r="PYE5" s="390"/>
      <c r="PYF5" s="390"/>
      <c r="PYG5" s="390"/>
      <c r="PYH5" s="390"/>
      <c r="PYI5" s="390"/>
      <c r="PYJ5" s="390"/>
      <c r="PYK5" s="390"/>
      <c r="PYL5" s="390"/>
      <c r="PYM5" s="390"/>
      <c r="PYN5" s="390"/>
      <c r="PYO5" s="390"/>
      <c r="PYP5" s="390"/>
      <c r="PYQ5" s="390"/>
      <c r="PYR5" s="390"/>
      <c r="PYS5" s="390"/>
      <c r="PYT5" s="390"/>
      <c r="PYU5" s="390"/>
      <c r="PYV5" s="390"/>
      <c r="PYW5" s="390"/>
      <c r="PYX5" s="390"/>
      <c r="PYY5" s="390"/>
      <c r="PYZ5" s="390"/>
      <c r="PZA5" s="390"/>
      <c r="PZB5" s="390"/>
      <c r="PZC5" s="390"/>
      <c r="PZD5" s="390"/>
      <c r="PZE5" s="390"/>
      <c r="PZF5" s="390"/>
      <c r="PZG5" s="390"/>
      <c r="PZH5" s="390"/>
      <c r="PZI5" s="390"/>
      <c r="PZJ5" s="390"/>
      <c r="PZK5" s="390"/>
      <c r="PZL5" s="390"/>
      <c r="PZM5" s="390"/>
      <c r="PZN5" s="390"/>
      <c r="PZO5" s="390"/>
      <c r="PZP5" s="390"/>
      <c r="PZQ5" s="390"/>
      <c r="PZR5" s="390"/>
      <c r="PZS5" s="390"/>
      <c r="PZT5" s="390"/>
      <c r="PZU5" s="390"/>
      <c r="PZV5" s="390"/>
      <c r="PZW5" s="390"/>
      <c r="PZX5" s="390"/>
      <c r="PZY5" s="390"/>
      <c r="PZZ5" s="390"/>
      <c r="QAA5" s="390"/>
      <c r="QAB5" s="390"/>
      <c r="QAC5" s="390"/>
      <c r="QAD5" s="390"/>
      <c r="QAE5" s="390"/>
      <c r="QAF5" s="390"/>
      <c r="QAG5" s="390"/>
      <c r="QAH5" s="390"/>
      <c r="QAI5" s="390"/>
      <c r="QAJ5" s="390"/>
      <c r="QAK5" s="390"/>
      <c r="QAL5" s="390"/>
      <c r="QAM5" s="390"/>
      <c r="QAN5" s="390"/>
      <c r="QAO5" s="390"/>
      <c r="QAP5" s="390"/>
      <c r="QAQ5" s="390"/>
      <c r="QAR5" s="390"/>
      <c r="QAS5" s="390"/>
      <c r="QAT5" s="390"/>
      <c r="QAU5" s="390"/>
      <c r="QAV5" s="390"/>
      <c r="QAW5" s="390"/>
      <c r="QAX5" s="390"/>
      <c r="QAY5" s="390"/>
      <c r="QAZ5" s="390"/>
      <c r="QBA5" s="390"/>
      <c r="QBB5" s="390"/>
      <c r="QBC5" s="390"/>
      <c r="QBD5" s="390"/>
      <c r="QBE5" s="390"/>
      <c r="QBF5" s="390"/>
      <c r="QBG5" s="390"/>
      <c r="QBH5" s="390"/>
      <c r="QBI5" s="390"/>
      <c r="QBJ5" s="390"/>
      <c r="QBK5" s="390"/>
      <c r="QBL5" s="390"/>
      <c r="QBM5" s="390"/>
      <c r="QBN5" s="390"/>
      <c r="QBO5" s="390"/>
      <c r="QBP5" s="390"/>
      <c r="QBQ5" s="390"/>
      <c r="QBR5" s="390"/>
      <c r="QBS5" s="390"/>
      <c r="QBT5" s="390"/>
      <c r="QBU5" s="390"/>
      <c r="QBV5" s="390"/>
      <c r="QBW5" s="390"/>
      <c r="QBX5" s="390"/>
      <c r="QBY5" s="390"/>
      <c r="QBZ5" s="390"/>
      <c r="QCA5" s="390"/>
      <c r="QCB5" s="390"/>
      <c r="QCC5" s="390"/>
      <c r="QCD5" s="390"/>
      <c r="QCE5" s="390"/>
      <c r="QCF5" s="390"/>
      <c r="QCG5" s="390"/>
      <c r="QCH5" s="390"/>
      <c r="QCI5" s="390"/>
      <c r="QCJ5" s="390"/>
      <c r="QCK5" s="390"/>
      <c r="QCL5" s="390"/>
      <c r="QCM5" s="390"/>
      <c r="QCN5" s="390"/>
      <c r="QCO5" s="390"/>
      <c r="QCP5" s="390"/>
      <c r="QCQ5" s="390"/>
      <c r="QCR5" s="390"/>
      <c r="QCS5" s="390"/>
      <c r="QCT5" s="390"/>
      <c r="QCU5" s="390"/>
      <c r="QCV5" s="390"/>
      <c r="QCW5" s="390"/>
      <c r="QCX5" s="390"/>
      <c r="QCY5" s="390"/>
      <c r="QCZ5" s="390"/>
      <c r="QDA5" s="390"/>
      <c r="QDB5" s="390"/>
      <c r="QDC5" s="390"/>
      <c r="QDD5" s="390"/>
      <c r="QDE5" s="390"/>
      <c r="QDF5" s="390"/>
      <c r="QDG5" s="390"/>
      <c r="QDH5" s="390"/>
      <c r="QDI5" s="390"/>
      <c r="QDJ5" s="390"/>
      <c r="QDK5" s="390"/>
      <c r="QDL5" s="390"/>
      <c r="QDM5" s="390"/>
      <c r="QDN5" s="390"/>
      <c r="QDO5" s="390"/>
      <c r="QDP5" s="390"/>
      <c r="QDQ5" s="390"/>
      <c r="QDR5" s="390"/>
      <c r="QDS5" s="390"/>
      <c r="QDT5" s="390"/>
      <c r="QDU5" s="390"/>
      <c r="QDV5" s="390"/>
      <c r="QDW5" s="390"/>
      <c r="QDX5" s="390"/>
      <c r="QDY5" s="390"/>
      <c r="QDZ5" s="390"/>
      <c r="QEA5" s="390"/>
      <c r="QEB5" s="390"/>
      <c r="QEC5" s="390"/>
      <c r="QED5" s="390"/>
      <c r="QEE5" s="390"/>
      <c r="QEF5" s="390"/>
      <c r="QEG5" s="390"/>
      <c r="QEH5" s="390"/>
      <c r="QEI5" s="390"/>
      <c r="QEJ5" s="390"/>
      <c r="QEK5" s="390"/>
      <c r="QEL5" s="390"/>
      <c r="QEM5" s="390"/>
      <c r="QEN5" s="390"/>
      <c r="QEO5" s="390"/>
      <c r="QEP5" s="390"/>
      <c r="QEQ5" s="390"/>
      <c r="QER5" s="390"/>
      <c r="QES5" s="390"/>
      <c r="QET5" s="390"/>
      <c r="QEU5" s="390"/>
      <c r="QEV5" s="390"/>
      <c r="QEW5" s="390"/>
      <c r="QEX5" s="390"/>
      <c r="QEY5" s="390"/>
      <c r="QEZ5" s="390"/>
      <c r="QFA5" s="390"/>
      <c r="QFB5" s="390"/>
      <c r="QFC5" s="390"/>
      <c r="QFD5" s="390"/>
      <c r="QFE5" s="390"/>
      <c r="QFF5" s="390"/>
      <c r="QFG5" s="390"/>
      <c r="QFH5" s="390"/>
      <c r="QFI5" s="390"/>
      <c r="QFJ5" s="390"/>
      <c r="QFK5" s="390"/>
      <c r="QFL5" s="390"/>
      <c r="QFM5" s="390"/>
      <c r="QFN5" s="390"/>
      <c r="QFO5" s="390"/>
      <c r="QFP5" s="390"/>
      <c r="QFQ5" s="390"/>
      <c r="QFR5" s="390"/>
      <c r="QFS5" s="390"/>
      <c r="QFT5" s="390"/>
      <c r="QFU5" s="390"/>
      <c r="QFV5" s="390"/>
      <c r="QFW5" s="390"/>
      <c r="QFX5" s="390"/>
      <c r="QFY5" s="390"/>
      <c r="QFZ5" s="390"/>
      <c r="QGA5" s="390"/>
      <c r="QGB5" s="390"/>
      <c r="QGC5" s="390"/>
      <c r="QGD5" s="390"/>
      <c r="QGE5" s="390"/>
      <c r="QGF5" s="390"/>
      <c r="QGG5" s="390"/>
      <c r="QGH5" s="390"/>
      <c r="QGI5" s="390"/>
      <c r="QGJ5" s="390"/>
      <c r="QGK5" s="390"/>
      <c r="QGL5" s="390"/>
      <c r="QGM5" s="390"/>
      <c r="QGN5" s="390"/>
      <c r="QGO5" s="390"/>
      <c r="QGP5" s="390"/>
      <c r="QGQ5" s="390"/>
      <c r="QGR5" s="390"/>
      <c r="QGS5" s="390"/>
      <c r="QGT5" s="390"/>
      <c r="QGU5" s="390"/>
      <c r="QGV5" s="390"/>
      <c r="QGW5" s="390"/>
      <c r="QGX5" s="390"/>
      <c r="QGY5" s="390"/>
      <c r="QGZ5" s="390"/>
      <c r="QHA5" s="390"/>
      <c r="QHB5" s="390"/>
      <c r="QHC5" s="390"/>
      <c r="QHD5" s="390"/>
      <c r="QHE5" s="390"/>
      <c r="QHF5" s="390"/>
      <c r="QHG5" s="390"/>
      <c r="QHH5" s="390"/>
      <c r="QHI5" s="390"/>
      <c r="QHJ5" s="390"/>
      <c r="QHK5" s="390"/>
      <c r="QHL5" s="390"/>
      <c r="QHM5" s="390"/>
      <c r="QHN5" s="390"/>
      <c r="QHO5" s="390"/>
      <c r="QHP5" s="390"/>
      <c r="QHQ5" s="390"/>
      <c r="QHR5" s="390"/>
      <c r="QHS5" s="390"/>
      <c r="QHT5" s="390"/>
      <c r="QHU5" s="390"/>
      <c r="QHV5" s="390"/>
      <c r="QHW5" s="390"/>
      <c r="QHX5" s="390"/>
      <c r="QHY5" s="390"/>
      <c r="QHZ5" s="390"/>
      <c r="QIA5" s="390"/>
      <c r="QIB5" s="390"/>
      <c r="QIC5" s="390"/>
      <c r="QID5" s="390"/>
      <c r="QIE5" s="390"/>
      <c r="QIF5" s="390"/>
      <c r="QIG5" s="390"/>
      <c r="QIH5" s="390"/>
      <c r="QII5" s="390"/>
      <c r="QIJ5" s="390"/>
      <c r="QIK5" s="390"/>
      <c r="QIL5" s="390"/>
      <c r="QIM5" s="390"/>
      <c r="QIN5" s="390"/>
      <c r="QIO5" s="390"/>
      <c r="QIP5" s="390"/>
      <c r="QIQ5" s="390"/>
      <c r="QIR5" s="390"/>
      <c r="QIS5" s="390"/>
      <c r="QIT5" s="390"/>
      <c r="QIU5" s="390"/>
      <c r="QIV5" s="390"/>
      <c r="QIW5" s="390"/>
      <c r="QIX5" s="390"/>
      <c r="QIY5" s="390"/>
      <c r="QIZ5" s="390"/>
      <c r="QJA5" s="390"/>
      <c r="QJB5" s="390"/>
      <c r="QJC5" s="390"/>
      <c r="QJD5" s="390"/>
      <c r="QJE5" s="390"/>
      <c r="QJF5" s="390"/>
      <c r="QJG5" s="390"/>
      <c r="QJH5" s="390"/>
      <c r="QJI5" s="390"/>
      <c r="QJJ5" s="390"/>
      <c r="QJK5" s="390"/>
      <c r="QJL5" s="390"/>
      <c r="QJM5" s="390"/>
      <c r="QJN5" s="390"/>
      <c r="QJO5" s="390"/>
      <c r="QJP5" s="390"/>
      <c r="QJQ5" s="390"/>
      <c r="QJR5" s="390"/>
      <c r="QJS5" s="390"/>
      <c r="QJT5" s="390"/>
      <c r="QJU5" s="390"/>
      <c r="QJV5" s="390"/>
      <c r="QJW5" s="390"/>
      <c r="QJX5" s="390"/>
      <c r="QJY5" s="390"/>
      <c r="QJZ5" s="390"/>
      <c r="QKA5" s="390"/>
      <c r="QKB5" s="390"/>
      <c r="QKC5" s="390"/>
      <c r="QKD5" s="390"/>
      <c r="QKE5" s="390"/>
      <c r="QKF5" s="390"/>
      <c r="QKG5" s="390"/>
      <c r="QKH5" s="390"/>
      <c r="QKI5" s="390"/>
      <c r="QKJ5" s="390"/>
      <c r="QKK5" s="390"/>
      <c r="QKL5" s="390"/>
      <c r="QKM5" s="390"/>
      <c r="QKN5" s="390"/>
      <c r="QKO5" s="390"/>
      <c r="QKP5" s="390"/>
      <c r="QKQ5" s="390"/>
      <c r="QKR5" s="390"/>
      <c r="QKS5" s="390"/>
      <c r="QKT5" s="390"/>
      <c r="QKU5" s="390"/>
      <c r="QKV5" s="390"/>
      <c r="QKW5" s="390"/>
      <c r="QKX5" s="390"/>
      <c r="QKY5" s="390"/>
      <c r="QKZ5" s="390"/>
      <c r="QLA5" s="390"/>
      <c r="QLB5" s="390"/>
      <c r="QLC5" s="390"/>
      <c r="QLD5" s="390"/>
      <c r="QLE5" s="390"/>
      <c r="QLF5" s="390"/>
      <c r="QLG5" s="390"/>
      <c r="QLH5" s="390"/>
      <c r="QLI5" s="390"/>
      <c r="QLJ5" s="390"/>
      <c r="QLK5" s="390"/>
      <c r="QLL5" s="390"/>
      <c r="QLM5" s="390"/>
      <c r="QLN5" s="390"/>
      <c r="QLO5" s="390"/>
      <c r="QLP5" s="390"/>
      <c r="QLQ5" s="390"/>
      <c r="QLR5" s="390"/>
      <c r="QLS5" s="390"/>
      <c r="QLT5" s="390"/>
      <c r="QLU5" s="390"/>
      <c r="QLV5" s="390"/>
      <c r="QLW5" s="390"/>
      <c r="QLX5" s="390"/>
      <c r="QLY5" s="390"/>
      <c r="QLZ5" s="390"/>
      <c r="QMA5" s="390"/>
      <c r="QMB5" s="390"/>
      <c r="QMC5" s="390"/>
      <c r="QMD5" s="390"/>
      <c r="QME5" s="390"/>
      <c r="QMF5" s="390"/>
      <c r="QMG5" s="390"/>
      <c r="QMH5" s="390"/>
      <c r="QMI5" s="390"/>
      <c r="QMJ5" s="390"/>
      <c r="QMK5" s="390"/>
      <c r="QML5" s="390"/>
      <c r="QMM5" s="390"/>
      <c r="QMN5" s="390"/>
      <c r="QMO5" s="390"/>
      <c r="QMP5" s="390"/>
      <c r="QMQ5" s="390"/>
      <c r="QMR5" s="390"/>
      <c r="QMS5" s="390"/>
      <c r="QMT5" s="390"/>
      <c r="QMU5" s="390"/>
      <c r="QMV5" s="390"/>
      <c r="QMW5" s="390"/>
      <c r="QMX5" s="390"/>
      <c r="QMY5" s="390"/>
      <c r="QMZ5" s="390"/>
      <c r="QNA5" s="390"/>
      <c r="QNB5" s="390"/>
      <c r="QNC5" s="390"/>
      <c r="QND5" s="390"/>
      <c r="QNE5" s="390"/>
      <c r="QNF5" s="390"/>
      <c r="QNG5" s="390"/>
      <c r="QNH5" s="390"/>
      <c r="QNI5" s="390"/>
      <c r="QNJ5" s="390"/>
      <c r="QNK5" s="390"/>
      <c r="QNL5" s="390"/>
      <c r="QNM5" s="390"/>
      <c r="QNN5" s="390"/>
      <c r="QNO5" s="390"/>
      <c r="QNP5" s="390"/>
      <c r="QNQ5" s="390"/>
      <c r="QNR5" s="390"/>
      <c r="QNS5" s="390"/>
      <c r="QNT5" s="390"/>
      <c r="QNU5" s="390"/>
      <c r="QNV5" s="390"/>
      <c r="QNW5" s="390"/>
      <c r="QNX5" s="390"/>
      <c r="QNY5" s="390"/>
      <c r="QNZ5" s="390"/>
      <c r="QOA5" s="390"/>
      <c r="QOB5" s="390"/>
      <c r="QOC5" s="390"/>
      <c r="QOD5" s="390"/>
      <c r="QOE5" s="390"/>
      <c r="QOF5" s="390"/>
      <c r="QOG5" s="390"/>
      <c r="QOH5" s="390"/>
      <c r="QOI5" s="390"/>
      <c r="QOJ5" s="390"/>
      <c r="QOK5" s="390"/>
      <c r="QOL5" s="390"/>
      <c r="QOM5" s="390"/>
      <c r="QON5" s="390"/>
      <c r="QOO5" s="390"/>
      <c r="QOP5" s="390"/>
      <c r="QOQ5" s="390"/>
      <c r="QOR5" s="390"/>
      <c r="QOS5" s="390"/>
      <c r="QOT5" s="390"/>
      <c r="QOU5" s="390"/>
      <c r="QOV5" s="390"/>
      <c r="QOW5" s="390"/>
      <c r="QOX5" s="390"/>
      <c r="QOY5" s="390"/>
      <c r="QOZ5" s="390"/>
      <c r="QPA5" s="390"/>
      <c r="QPB5" s="390"/>
      <c r="QPC5" s="390"/>
      <c r="QPD5" s="390"/>
      <c r="QPE5" s="390"/>
      <c r="QPF5" s="390"/>
      <c r="QPG5" s="390"/>
      <c r="QPH5" s="390"/>
      <c r="QPI5" s="390"/>
      <c r="QPJ5" s="390"/>
      <c r="QPK5" s="390"/>
      <c r="QPL5" s="390"/>
      <c r="QPM5" s="390"/>
      <c r="QPN5" s="390"/>
      <c r="QPO5" s="390"/>
      <c r="QPP5" s="390"/>
      <c r="QPQ5" s="390"/>
      <c r="QPR5" s="390"/>
      <c r="QPS5" s="390"/>
      <c r="QPT5" s="390"/>
      <c r="QPU5" s="390"/>
      <c r="QPV5" s="390"/>
      <c r="QPW5" s="390"/>
      <c r="QPX5" s="390"/>
      <c r="QPY5" s="390"/>
      <c r="QPZ5" s="390"/>
      <c r="QQA5" s="390"/>
      <c r="QQB5" s="390"/>
      <c r="QQC5" s="390"/>
      <c r="QQD5" s="390"/>
      <c r="QQE5" s="390"/>
      <c r="QQF5" s="390"/>
      <c r="QQG5" s="390"/>
      <c r="QQH5" s="390"/>
      <c r="QQI5" s="390"/>
      <c r="QQJ5" s="390"/>
      <c r="QQK5" s="390"/>
      <c r="QQL5" s="390"/>
      <c r="QQM5" s="390"/>
      <c r="QQN5" s="390"/>
      <c r="QQO5" s="390"/>
      <c r="QQP5" s="390"/>
      <c r="QQQ5" s="390"/>
      <c r="QQR5" s="390"/>
      <c r="QQS5" s="390"/>
      <c r="QQT5" s="390"/>
      <c r="QQU5" s="390"/>
      <c r="QQV5" s="390"/>
      <c r="QQW5" s="390"/>
      <c r="QQX5" s="390"/>
      <c r="QQY5" s="390"/>
      <c r="QQZ5" s="390"/>
      <c r="QRA5" s="390"/>
      <c r="QRB5" s="390"/>
      <c r="QRC5" s="390"/>
      <c r="QRD5" s="390"/>
      <c r="QRE5" s="390"/>
      <c r="QRF5" s="390"/>
      <c r="QRG5" s="390"/>
      <c r="QRH5" s="390"/>
      <c r="QRI5" s="390"/>
      <c r="QRJ5" s="390"/>
      <c r="QRK5" s="390"/>
      <c r="QRL5" s="390"/>
      <c r="QRM5" s="390"/>
      <c r="QRN5" s="390"/>
      <c r="QRO5" s="390"/>
      <c r="QRP5" s="390"/>
      <c r="QRQ5" s="390"/>
      <c r="QRR5" s="390"/>
      <c r="QRS5" s="390"/>
      <c r="QRT5" s="390"/>
      <c r="QRU5" s="390"/>
      <c r="QRV5" s="390"/>
      <c r="QRW5" s="390"/>
      <c r="QRX5" s="390"/>
      <c r="QRY5" s="390"/>
      <c r="QRZ5" s="390"/>
      <c r="QSA5" s="390"/>
      <c r="QSB5" s="390"/>
      <c r="QSC5" s="390"/>
      <c r="QSD5" s="390"/>
      <c r="QSE5" s="390"/>
      <c r="QSF5" s="390"/>
      <c r="QSG5" s="390"/>
      <c r="QSH5" s="390"/>
      <c r="QSI5" s="390"/>
      <c r="QSJ5" s="390"/>
      <c r="QSK5" s="390"/>
      <c r="QSL5" s="390"/>
      <c r="QSM5" s="390"/>
      <c r="QSN5" s="390"/>
      <c r="QSO5" s="390"/>
      <c r="QSP5" s="390"/>
      <c r="QSQ5" s="390"/>
      <c r="QSR5" s="390"/>
      <c r="QSS5" s="390"/>
      <c r="QST5" s="390"/>
      <c r="QSU5" s="390"/>
      <c r="QSV5" s="390"/>
      <c r="QSW5" s="390"/>
      <c r="QSX5" s="390"/>
      <c r="QSY5" s="390"/>
      <c r="QSZ5" s="390"/>
      <c r="QTA5" s="390"/>
      <c r="QTB5" s="390"/>
      <c r="QTC5" s="390"/>
      <c r="QTD5" s="390"/>
      <c r="QTE5" s="390"/>
      <c r="QTF5" s="390"/>
      <c r="QTG5" s="390"/>
      <c r="QTH5" s="390"/>
      <c r="QTI5" s="390"/>
      <c r="QTJ5" s="390"/>
      <c r="QTK5" s="390"/>
      <c r="QTL5" s="390"/>
      <c r="QTM5" s="390"/>
      <c r="QTN5" s="390"/>
      <c r="QTO5" s="390"/>
      <c r="QTP5" s="390"/>
      <c r="QTQ5" s="390"/>
      <c r="QTR5" s="390"/>
      <c r="QTS5" s="390"/>
      <c r="QTT5" s="390"/>
      <c r="QTU5" s="390"/>
      <c r="QTV5" s="390"/>
      <c r="QTW5" s="390"/>
      <c r="QTX5" s="390"/>
      <c r="QTY5" s="390"/>
      <c r="QTZ5" s="390"/>
      <c r="QUA5" s="390"/>
      <c r="QUB5" s="390"/>
      <c r="QUC5" s="390"/>
      <c r="QUD5" s="390"/>
      <c r="QUE5" s="390"/>
      <c r="QUF5" s="390"/>
      <c r="QUG5" s="390"/>
      <c r="QUH5" s="390"/>
      <c r="QUI5" s="390"/>
      <c r="QUJ5" s="390"/>
      <c r="QUK5" s="390"/>
      <c r="QUL5" s="390"/>
      <c r="QUM5" s="390"/>
      <c r="QUN5" s="390"/>
      <c r="QUO5" s="390"/>
      <c r="QUP5" s="390"/>
      <c r="QUQ5" s="390"/>
      <c r="QUR5" s="390"/>
      <c r="QUS5" s="390"/>
      <c r="QUT5" s="390"/>
      <c r="QUU5" s="390"/>
      <c r="QUV5" s="390"/>
      <c r="QUW5" s="390"/>
      <c r="QUX5" s="390"/>
      <c r="QUY5" s="390"/>
      <c r="QUZ5" s="390"/>
      <c r="QVA5" s="390"/>
      <c r="QVB5" s="390"/>
      <c r="QVC5" s="390"/>
      <c r="QVD5" s="390"/>
      <c r="QVE5" s="390"/>
      <c r="QVF5" s="390"/>
      <c r="QVG5" s="390"/>
      <c r="QVH5" s="390"/>
      <c r="QVI5" s="390"/>
      <c r="QVJ5" s="390"/>
      <c r="QVK5" s="390"/>
      <c r="QVL5" s="390"/>
      <c r="QVM5" s="390"/>
      <c r="QVN5" s="390"/>
      <c r="QVO5" s="390"/>
      <c r="QVP5" s="390"/>
      <c r="QVQ5" s="390"/>
      <c r="QVR5" s="390"/>
      <c r="QVS5" s="390"/>
      <c r="QVT5" s="390"/>
      <c r="QVU5" s="390"/>
      <c r="QVV5" s="390"/>
      <c r="QVW5" s="390"/>
      <c r="QVX5" s="390"/>
      <c r="QVY5" s="390"/>
      <c r="QVZ5" s="390"/>
      <c r="QWA5" s="390"/>
      <c r="QWB5" s="390"/>
      <c r="QWC5" s="390"/>
      <c r="QWD5" s="390"/>
      <c r="QWE5" s="390"/>
      <c r="QWF5" s="390"/>
      <c r="QWG5" s="390"/>
      <c r="QWH5" s="390"/>
      <c r="QWI5" s="390"/>
      <c r="QWJ5" s="390"/>
      <c r="QWK5" s="390"/>
      <c r="QWL5" s="390"/>
      <c r="QWM5" s="390"/>
      <c r="QWN5" s="390"/>
      <c r="QWO5" s="390"/>
      <c r="QWP5" s="390"/>
      <c r="QWQ5" s="390"/>
      <c r="QWR5" s="390"/>
      <c r="QWS5" s="390"/>
      <c r="QWT5" s="390"/>
      <c r="QWU5" s="390"/>
      <c r="QWV5" s="390"/>
      <c r="QWW5" s="390"/>
      <c r="QWX5" s="390"/>
      <c r="QWY5" s="390"/>
      <c r="QWZ5" s="390"/>
      <c r="QXA5" s="390"/>
      <c r="QXB5" s="390"/>
      <c r="QXC5" s="390"/>
      <c r="QXD5" s="390"/>
      <c r="QXE5" s="390"/>
      <c r="QXF5" s="390"/>
      <c r="QXG5" s="390"/>
      <c r="QXH5" s="390"/>
      <c r="QXI5" s="390"/>
      <c r="QXJ5" s="390"/>
      <c r="QXK5" s="390"/>
      <c r="QXL5" s="390"/>
      <c r="QXM5" s="390"/>
      <c r="QXN5" s="390"/>
      <c r="QXO5" s="390"/>
      <c r="QXP5" s="390"/>
      <c r="QXQ5" s="390"/>
      <c r="QXR5" s="390"/>
      <c r="QXS5" s="390"/>
      <c r="QXT5" s="390"/>
      <c r="QXU5" s="390"/>
      <c r="QXV5" s="390"/>
      <c r="QXW5" s="390"/>
      <c r="QXX5" s="390"/>
      <c r="QXY5" s="390"/>
      <c r="QXZ5" s="390"/>
      <c r="QYA5" s="390"/>
      <c r="QYB5" s="390"/>
      <c r="QYC5" s="390"/>
      <c r="QYD5" s="390"/>
      <c r="QYE5" s="390"/>
      <c r="QYF5" s="390"/>
      <c r="QYG5" s="390"/>
      <c r="QYH5" s="390"/>
      <c r="QYI5" s="390"/>
      <c r="QYJ5" s="390"/>
      <c r="QYK5" s="390"/>
      <c r="QYL5" s="390"/>
      <c r="QYM5" s="390"/>
      <c r="QYN5" s="390"/>
      <c r="QYO5" s="390"/>
      <c r="QYP5" s="390"/>
      <c r="QYQ5" s="390"/>
      <c r="QYR5" s="390"/>
      <c r="QYS5" s="390"/>
      <c r="QYT5" s="390"/>
      <c r="QYU5" s="390"/>
      <c r="QYV5" s="390"/>
      <c r="QYW5" s="390"/>
      <c r="QYX5" s="390"/>
      <c r="QYY5" s="390"/>
      <c r="QYZ5" s="390"/>
      <c r="QZA5" s="390"/>
      <c r="QZB5" s="390"/>
      <c r="QZC5" s="390"/>
      <c r="QZD5" s="390"/>
      <c r="QZE5" s="390"/>
      <c r="QZF5" s="390"/>
      <c r="QZG5" s="390"/>
      <c r="QZH5" s="390"/>
      <c r="QZI5" s="390"/>
      <c r="QZJ5" s="390"/>
      <c r="QZK5" s="390"/>
      <c r="QZL5" s="390"/>
      <c r="QZM5" s="390"/>
      <c r="QZN5" s="390"/>
      <c r="QZO5" s="390"/>
      <c r="QZP5" s="390"/>
      <c r="QZQ5" s="390"/>
      <c r="QZR5" s="390"/>
      <c r="QZS5" s="390"/>
      <c r="QZT5" s="390"/>
      <c r="QZU5" s="390"/>
      <c r="QZV5" s="390"/>
      <c r="QZW5" s="390"/>
      <c r="QZX5" s="390"/>
      <c r="QZY5" s="390"/>
      <c r="QZZ5" s="390"/>
      <c r="RAA5" s="390"/>
      <c r="RAB5" s="390"/>
      <c r="RAC5" s="390"/>
      <c r="RAD5" s="390"/>
      <c r="RAE5" s="390"/>
      <c r="RAF5" s="390"/>
      <c r="RAG5" s="390"/>
      <c r="RAH5" s="390"/>
      <c r="RAI5" s="390"/>
      <c r="RAJ5" s="390"/>
      <c r="RAK5" s="390"/>
      <c r="RAL5" s="390"/>
      <c r="RAM5" s="390"/>
      <c r="RAN5" s="390"/>
      <c r="RAO5" s="390"/>
      <c r="RAP5" s="390"/>
      <c r="RAQ5" s="390"/>
      <c r="RAR5" s="390"/>
      <c r="RAS5" s="390"/>
      <c r="RAT5" s="390"/>
      <c r="RAU5" s="390"/>
      <c r="RAV5" s="390"/>
      <c r="RAW5" s="390"/>
      <c r="RAX5" s="390"/>
      <c r="RAY5" s="390"/>
      <c r="RAZ5" s="390"/>
      <c r="RBA5" s="390"/>
      <c r="RBB5" s="390"/>
      <c r="RBC5" s="390"/>
      <c r="RBD5" s="390"/>
      <c r="RBE5" s="390"/>
      <c r="RBF5" s="390"/>
      <c r="RBG5" s="390"/>
      <c r="RBH5" s="390"/>
      <c r="RBI5" s="390"/>
      <c r="RBJ5" s="390"/>
      <c r="RBK5" s="390"/>
      <c r="RBL5" s="390"/>
      <c r="RBM5" s="390"/>
      <c r="RBN5" s="390"/>
      <c r="RBO5" s="390"/>
      <c r="RBP5" s="390"/>
      <c r="RBQ5" s="390"/>
      <c r="RBR5" s="390"/>
      <c r="RBS5" s="390"/>
      <c r="RBT5" s="390"/>
      <c r="RBU5" s="390"/>
      <c r="RBV5" s="390"/>
      <c r="RBW5" s="390"/>
      <c r="RBX5" s="390"/>
      <c r="RBY5" s="390"/>
      <c r="RBZ5" s="390"/>
      <c r="RCA5" s="390"/>
      <c r="RCB5" s="390"/>
      <c r="RCC5" s="390"/>
      <c r="RCD5" s="390"/>
      <c r="RCE5" s="390"/>
      <c r="RCF5" s="390"/>
      <c r="RCG5" s="390"/>
      <c r="RCH5" s="390"/>
      <c r="RCI5" s="390"/>
      <c r="RCJ5" s="390"/>
      <c r="RCK5" s="390"/>
      <c r="RCL5" s="390"/>
      <c r="RCM5" s="390"/>
      <c r="RCN5" s="390"/>
      <c r="RCO5" s="390"/>
      <c r="RCP5" s="390"/>
      <c r="RCQ5" s="390"/>
      <c r="RCR5" s="390"/>
      <c r="RCS5" s="390"/>
      <c r="RCT5" s="390"/>
      <c r="RCU5" s="390"/>
      <c r="RCV5" s="390"/>
      <c r="RCW5" s="390"/>
      <c r="RCX5" s="390"/>
      <c r="RCY5" s="390"/>
      <c r="RCZ5" s="390"/>
      <c r="RDA5" s="390"/>
      <c r="RDB5" s="390"/>
      <c r="RDC5" s="390"/>
      <c r="RDD5" s="390"/>
      <c r="RDE5" s="390"/>
      <c r="RDF5" s="390"/>
      <c r="RDG5" s="390"/>
      <c r="RDH5" s="390"/>
      <c r="RDI5" s="390"/>
      <c r="RDJ5" s="390"/>
      <c r="RDK5" s="390"/>
      <c r="RDL5" s="390"/>
      <c r="RDM5" s="390"/>
      <c r="RDN5" s="390"/>
      <c r="RDO5" s="390"/>
      <c r="RDP5" s="390"/>
      <c r="RDQ5" s="390"/>
      <c r="RDR5" s="390"/>
      <c r="RDS5" s="390"/>
      <c r="RDT5" s="390"/>
      <c r="RDU5" s="390"/>
      <c r="RDV5" s="390"/>
      <c r="RDW5" s="390"/>
      <c r="RDX5" s="390"/>
      <c r="RDY5" s="390"/>
      <c r="RDZ5" s="390"/>
      <c r="REA5" s="390"/>
      <c r="REB5" s="390"/>
      <c r="REC5" s="390"/>
      <c r="RED5" s="390"/>
      <c r="REE5" s="390"/>
      <c r="REF5" s="390"/>
      <c r="REG5" s="390"/>
      <c r="REH5" s="390"/>
      <c r="REI5" s="390"/>
      <c r="REJ5" s="390"/>
      <c r="REK5" s="390"/>
      <c r="REL5" s="390"/>
      <c r="REM5" s="390"/>
      <c r="REN5" s="390"/>
      <c r="REO5" s="390"/>
      <c r="REP5" s="390"/>
      <c r="REQ5" s="390"/>
      <c r="RER5" s="390"/>
      <c r="RES5" s="390"/>
      <c r="RET5" s="390"/>
      <c r="REU5" s="390"/>
      <c r="REV5" s="390"/>
      <c r="REW5" s="390"/>
      <c r="REX5" s="390"/>
      <c r="REY5" s="390"/>
      <c r="REZ5" s="390"/>
      <c r="RFA5" s="390"/>
      <c r="RFB5" s="390"/>
      <c r="RFC5" s="390"/>
      <c r="RFD5" s="390"/>
      <c r="RFE5" s="390"/>
      <c r="RFF5" s="390"/>
      <c r="RFG5" s="390"/>
      <c r="RFH5" s="390"/>
      <c r="RFI5" s="390"/>
      <c r="RFJ5" s="390"/>
      <c r="RFK5" s="390"/>
      <c r="RFL5" s="390"/>
      <c r="RFM5" s="390"/>
      <c r="RFN5" s="390"/>
      <c r="RFO5" s="390"/>
      <c r="RFP5" s="390"/>
      <c r="RFQ5" s="390"/>
      <c r="RFR5" s="390"/>
      <c r="RFS5" s="390"/>
      <c r="RFT5" s="390"/>
      <c r="RFU5" s="390"/>
      <c r="RFV5" s="390"/>
      <c r="RFW5" s="390"/>
      <c r="RFX5" s="390"/>
      <c r="RFY5" s="390"/>
      <c r="RFZ5" s="390"/>
      <c r="RGA5" s="390"/>
      <c r="RGB5" s="390"/>
      <c r="RGC5" s="390"/>
      <c r="RGD5" s="390"/>
      <c r="RGE5" s="390"/>
      <c r="RGF5" s="390"/>
      <c r="RGG5" s="390"/>
      <c r="RGH5" s="390"/>
      <c r="RGI5" s="390"/>
      <c r="RGJ5" s="390"/>
      <c r="RGK5" s="390"/>
      <c r="RGL5" s="390"/>
      <c r="RGM5" s="390"/>
      <c r="RGN5" s="390"/>
      <c r="RGO5" s="390"/>
      <c r="RGP5" s="390"/>
      <c r="RGQ5" s="390"/>
      <c r="RGR5" s="390"/>
      <c r="RGS5" s="390"/>
      <c r="RGT5" s="390"/>
      <c r="RGU5" s="390"/>
      <c r="RGV5" s="390"/>
      <c r="RGW5" s="390"/>
      <c r="RGX5" s="390"/>
      <c r="RGY5" s="390"/>
      <c r="RGZ5" s="390"/>
      <c r="RHA5" s="390"/>
      <c r="RHB5" s="390"/>
      <c r="RHC5" s="390"/>
      <c r="RHD5" s="390"/>
      <c r="RHE5" s="390"/>
      <c r="RHF5" s="390"/>
      <c r="RHG5" s="390"/>
      <c r="RHH5" s="390"/>
      <c r="RHI5" s="390"/>
      <c r="RHJ5" s="390"/>
      <c r="RHK5" s="390"/>
      <c r="RHL5" s="390"/>
      <c r="RHM5" s="390"/>
      <c r="RHN5" s="390"/>
      <c r="RHO5" s="390"/>
      <c r="RHP5" s="390"/>
      <c r="RHQ5" s="390"/>
      <c r="RHR5" s="390"/>
      <c r="RHS5" s="390"/>
      <c r="RHT5" s="390"/>
      <c r="RHU5" s="390"/>
      <c r="RHV5" s="390"/>
      <c r="RHW5" s="390"/>
      <c r="RHX5" s="390"/>
      <c r="RHY5" s="390"/>
      <c r="RHZ5" s="390"/>
      <c r="RIA5" s="390"/>
      <c r="RIB5" s="390"/>
      <c r="RIC5" s="390"/>
      <c r="RID5" s="390"/>
      <c r="RIE5" s="390"/>
      <c r="RIF5" s="390"/>
      <c r="RIG5" s="390"/>
      <c r="RIH5" s="390"/>
      <c r="RII5" s="390"/>
      <c r="RIJ5" s="390"/>
      <c r="RIK5" s="390"/>
      <c r="RIL5" s="390"/>
      <c r="RIM5" s="390"/>
      <c r="RIN5" s="390"/>
      <c r="RIO5" s="390"/>
      <c r="RIP5" s="390"/>
      <c r="RIQ5" s="390"/>
      <c r="RIR5" s="390"/>
      <c r="RIS5" s="390"/>
      <c r="RIT5" s="390"/>
      <c r="RIU5" s="390"/>
      <c r="RIV5" s="390"/>
      <c r="RIW5" s="390"/>
      <c r="RIX5" s="390"/>
      <c r="RIY5" s="390"/>
      <c r="RIZ5" s="390"/>
      <c r="RJA5" s="390"/>
      <c r="RJB5" s="390"/>
      <c r="RJC5" s="390"/>
      <c r="RJD5" s="390"/>
      <c r="RJE5" s="390"/>
      <c r="RJF5" s="390"/>
      <c r="RJG5" s="390"/>
      <c r="RJH5" s="390"/>
      <c r="RJI5" s="390"/>
      <c r="RJJ5" s="390"/>
      <c r="RJK5" s="390"/>
      <c r="RJL5" s="390"/>
      <c r="RJM5" s="390"/>
      <c r="RJN5" s="390"/>
      <c r="RJO5" s="390"/>
      <c r="RJP5" s="390"/>
      <c r="RJQ5" s="390"/>
      <c r="RJR5" s="390"/>
      <c r="RJS5" s="390"/>
      <c r="RJT5" s="390"/>
      <c r="RJU5" s="390"/>
      <c r="RJV5" s="390"/>
      <c r="RJW5" s="390"/>
      <c r="RJX5" s="390"/>
      <c r="RJY5" s="390"/>
      <c r="RJZ5" s="390"/>
      <c r="RKA5" s="390"/>
      <c r="RKB5" s="390"/>
      <c r="RKC5" s="390"/>
      <c r="RKD5" s="390"/>
      <c r="RKE5" s="390"/>
      <c r="RKF5" s="390"/>
      <c r="RKG5" s="390"/>
      <c r="RKH5" s="390"/>
      <c r="RKI5" s="390"/>
      <c r="RKJ5" s="390"/>
      <c r="RKK5" s="390"/>
      <c r="RKL5" s="390"/>
      <c r="RKM5" s="390"/>
      <c r="RKN5" s="390"/>
      <c r="RKO5" s="390"/>
      <c r="RKP5" s="390"/>
      <c r="RKQ5" s="390"/>
      <c r="RKR5" s="390"/>
      <c r="RKS5" s="390"/>
      <c r="RKT5" s="390"/>
      <c r="RKU5" s="390"/>
      <c r="RKV5" s="390"/>
      <c r="RKW5" s="390"/>
      <c r="RKX5" s="390"/>
      <c r="RKY5" s="390"/>
      <c r="RKZ5" s="390"/>
      <c r="RLA5" s="390"/>
      <c r="RLB5" s="390"/>
      <c r="RLC5" s="390"/>
      <c r="RLD5" s="390"/>
      <c r="RLE5" s="390"/>
      <c r="RLF5" s="390"/>
      <c r="RLG5" s="390"/>
      <c r="RLH5" s="390"/>
      <c r="RLI5" s="390"/>
      <c r="RLJ5" s="390"/>
      <c r="RLK5" s="390"/>
      <c r="RLL5" s="390"/>
      <c r="RLM5" s="390"/>
      <c r="RLN5" s="390"/>
      <c r="RLO5" s="390"/>
      <c r="RLP5" s="390"/>
      <c r="RLQ5" s="390"/>
      <c r="RLR5" s="390"/>
      <c r="RLS5" s="390"/>
      <c r="RLT5" s="390"/>
      <c r="RLU5" s="390"/>
      <c r="RLV5" s="390"/>
      <c r="RLW5" s="390"/>
      <c r="RLX5" s="390"/>
      <c r="RLY5" s="390"/>
      <c r="RLZ5" s="390"/>
      <c r="RMA5" s="390"/>
      <c r="RMB5" s="390"/>
      <c r="RMC5" s="390"/>
      <c r="RMD5" s="390"/>
      <c r="RME5" s="390"/>
      <c r="RMF5" s="390"/>
      <c r="RMG5" s="390"/>
      <c r="RMH5" s="390"/>
      <c r="RMI5" s="390"/>
      <c r="RMJ5" s="390"/>
      <c r="RMK5" s="390"/>
      <c r="RML5" s="390"/>
      <c r="RMM5" s="390"/>
      <c r="RMN5" s="390"/>
      <c r="RMO5" s="390"/>
      <c r="RMP5" s="390"/>
      <c r="RMQ5" s="390"/>
      <c r="RMR5" s="390"/>
      <c r="RMS5" s="390"/>
      <c r="RMT5" s="390"/>
      <c r="RMU5" s="390"/>
      <c r="RMV5" s="390"/>
      <c r="RMW5" s="390"/>
      <c r="RMX5" s="390"/>
      <c r="RMY5" s="390"/>
      <c r="RMZ5" s="390"/>
      <c r="RNA5" s="390"/>
      <c r="RNB5" s="390"/>
      <c r="RNC5" s="390"/>
      <c r="RND5" s="390"/>
      <c r="RNE5" s="390"/>
      <c r="RNF5" s="390"/>
      <c r="RNG5" s="390"/>
      <c r="RNH5" s="390"/>
      <c r="RNI5" s="390"/>
      <c r="RNJ5" s="390"/>
      <c r="RNK5" s="390"/>
      <c r="RNL5" s="390"/>
      <c r="RNM5" s="390"/>
      <c r="RNN5" s="390"/>
      <c r="RNO5" s="390"/>
      <c r="RNP5" s="390"/>
      <c r="RNQ5" s="390"/>
      <c r="RNR5" s="390"/>
      <c r="RNS5" s="390"/>
      <c r="RNT5" s="390"/>
      <c r="RNU5" s="390"/>
      <c r="RNV5" s="390"/>
      <c r="RNW5" s="390"/>
      <c r="RNX5" s="390"/>
      <c r="RNY5" s="390"/>
      <c r="RNZ5" s="390"/>
      <c r="ROA5" s="390"/>
      <c r="ROB5" s="390"/>
      <c r="ROC5" s="390"/>
      <c r="ROD5" s="390"/>
      <c r="ROE5" s="390"/>
      <c r="ROF5" s="390"/>
      <c r="ROG5" s="390"/>
      <c r="ROH5" s="390"/>
      <c r="ROI5" s="390"/>
      <c r="ROJ5" s="390"/>
      <c r="ROK5" s="390"/>
      <c r="ROL5" s="390"/>
      <c r="ROM5" s="390"/>
      <c r="RON5" s="390"/>
      <c r="ROO5" s="390"/>
      <c r="ROP5" s="390"/>
      <c r="ROQ5" s="390"/>
      <c r="ROR5" s="390"/>
      <c r="ROS5" s="390"/>
      <c r="ROT5" s="390"/>
      <c r="ROU5" s="390"/>
      <c r="ROV5" s="390"/>
      <c r="ROW5" s="390"/>
      <c r="ROX5" s="390"/>
      <c r="ROY5" s="390"/>
      <c r="ROZ5" s="390"/>
      <c r="RPA5" s="390"/>
      <c r="RPB5" s="390"/>
      <c r="RPC5" s="390"/>
      <c r="RPD5" s="390"/>
      <c r="RPE5" s="390"/>
      <c r="RPF5" s="390"/>
      <c r="RPG5" s="390"/>
      <c r="RPH5" s="390"/>
      <c r="RPI5" s="390"/>
      <c r="RPJ5" s="390"/>
      <c r="RPK5" s="390"/>
      <c r="RPL5" s="390"/>
      <c r="RPM5" s="390"/>
      <c r="RPN5" s="390"/>
      <c r="RPO5" s="390"/>
      <c r="RPP5" s="390"/>
      <c r="RPQ5" s="390"/>
      <c r="RPR5" s="390"/>
      <c r="RPS5" s="390"/>
      <c r="RPT5" s="390"/>
      <c r="RPU5" s="390"/>
      <c r="RPV5" s="390"/>
      <c r="RPW5" s="390"/>
      <c r="RPX5" s="390"/>
      <c r="RPY5" s="390"/>
      <c r="RPZ5" s="390"/>
      <c r="RQA5" s="390"/>
      <c r="RQB5" s="390"/>
      <c r="RQC5" s="390"/>
      <c r="RQD5" s="390"/>
      <c r="RQE5" s="390"/>
      <c r="RQF5" s="390"/>
      <c r="RQG5" s="390"/>
      <c r="RQH5" s="390"/>
      <c r="RQI5" s="390"/>
      <c r="RQJ5" s="390"/>
      <c r="RQK5" s="390"/>
      <c r="RQL5" s="390"/>
      <c r="RQM5" s="390"/>
      <c r="RQN5" s="390"/>
      <c r="RQO5" s="390"/>
      <c r="RQP5" s="390"/>
      <c r="RQQ5" s="390"/>
      <c r="RQR5" s="390"/>
      <c r="RQS5" s="390"/>
      <c r="RQT5" s="390"/>
      <c r="RQU5" s="390"/>
      <c r="RQV5" s="390"/>
      <c r="RQW5" s="390"/>
      <c r="RQX5" s="390"/>
      <c r="RQY5" s="390"/>
      <c r="RQZ5" s="390"/>
      <c r="RRA5" s="390"/>
      <c r="RRB5" s="390"/>
      <c r="RRC5" s="390"/>
      <c r="RRD5" s="390"/>
      <c r="RRE5" s="390"/>
      <c r="RRF5" s="390"/>
      <c r="RRG5" s="390"/>
      <c r="RRH5" s="390"/>
      <c r="RRI5" s="390"/>
      <c r="RRJ5" s="390"/>
      <c r="RRK5" s="390"/>
      <c r="RRL5" s="390"/>
      <c r="RRM5" s="390"/>
      <c r="RRN5" s="390"/>
      <c r="RRO5" s="390"/>
      <c r="RRP5" s="390"/>
      <c r="RRQ5" s="390"/>
      <c r="RRR5" s="390"/>
      <c r="RRS5" s="390"/>
      <c r="RRT5" s="390"/>
      <c r="RRU5" s="390"/>
      <c r="RRV5" s="390"/>
      <c r="RRW5" s="390"/>
      <c r="RRX5" s="390"/>
      <c r="RRY5" s="390"/>
      <c r="RRZ5" s="390"/>
      <c r="RSA5" s="390"/>
      <c r="RSB5" s="390"/>
      <c r="RSC5" s="390"/>
      <c r="RSD5" s="390"/>
      <c r="RSE5" s="390"/>
      <c r="RSF5" s="390"/>
      <c r="RSG5" s="390"/>
      <c r="RSH5" s="390"/>
      <c r="RSI5" s="390"/>
      <c r="RSJ5" s="390"/>
      <c r="RSK5" s="390"/>
      <c r="RSL5" s="390"/>
      <c r="RSM5" s="390"/>
      <c r="RSN5" s="390"/>
      <c r="RSO5" s="390"/>
      <c r="RSP5" s="390"/>
      <c r="RSQ5" s="390"/>
      <c r="RSR5" s="390"/>
      <c r="RSS5" s="390"/>
      <c r="RST5" s="390"/>
      <c r="RSU5" s="390"/>
      <c r="RSV5" s="390"/>
      <c r="RSW5" s="390"/>
      <c r="RSX5" s="390"/>
      <c r="RSY5" s="390"/>
      <c r="RSZ5" s="390"/>
      <c r="RTA5" s="390"/>
      <c r="RTB5" s="390"/>
      <c r="RTC5" s="390"/>
      <c r="RTD5" s="390"/>
      <c r="RTE5" s="390"/>
      <c r="RTF5" s="390"/>
      <c r="RTG5" s="390"/>
      <c r="RTH5" s="390"/>
      <c r="RTI5" s="390"/>
      <c r="RTJ5" s="390"/>
      <c r="RTK5" s="390"/>
      <c r="RTL5" s="390"/>
      <c r="RTM5" s="390"/>
      <c r="RTN5" s="390"/>
      <c r="RTO5" s="390"/>
      <c r="RTP5" s="390"/>
      <c r="RTQ5" s="390"/>
      <c r="RTR5" s="390"/>
      <c r="RTS5" s="390"/>
      <c r="RTT5" s="390"/>
      <c r="RTU5" s="390"/>
      <c r="RTV5" s="390"/>
      <c r="RTW5" s="390"/>
      <c r="RTX5" s="390"/>
      <c r="RTY5" s="390"/>
      <c r="RTZ5" s="390"/>
      <c r="RUA5" s="390"/>
      <c r="RUB5" s="390"/>
      <c r="RUC5" s="390"/>
      <c r="RUD5" s="390"/>
      <c r="RUE5" s="390"/>
      <c r="RUF5" s="390"/>
      <c r="RUG5" s="390"/>
      <c r="RUH5" s="390"/>
      <c r="RUI5" s="390"/>
      <c r="RUJ5" s="390"/>
      <c r="RUK5" s="390"/>
      <c r="RUL5" s="390"/>
      <c r="RUM5" s="390"/>
      <c r="RUN5" s="390"/>
      <c r="RUO5" s="390"/>
      <c r="RUP5" s="390"/>
      <c r="RUQ5" s="390"/>
      <c r="RUR5" s="390"/>
      <c r="RUS5" s="390"/>
      <c r="RUT5" s="390"/>
      <c r="RUU5" s="390"/>
      <c r="RUV5" s="390"/>
      <c r="RUW5" s="390"/>
      <c r="RUX5" s="390"/>
      <c r="RUY5" s="390"/>
      <c r="RUZ5" s="390"/>
      <c r="RVA5" s="390"/>
      <c r="RVB5" s="390"/>
      <c r="RVC5" s="390"/>
      <c r="RVD5" s="390"/>
      <c r="RVE5" s="390"/>
      <c r="RVF5" s="390"/>
      <c r="RVG5" s="390"/>
      <c r="RVH5" s="390"/>
      <c r="RVI5" s="390"/>
      <c r="RVJ5" s="390"/>
      <c r="RVK5" s="390"/>
      <c r="RVL5" s="390"/>
      <c r="RVM5" s="390"/>
      <c r="RVN5" s="390"/>
      <c r="RVO5" s="390"/>
      <c r="RVP5" s="390"/>
      <c r="RVQ5" s="390"/>
      <c r="RVR5" s="390"/>
      <c r="RVS5" s="390"/>
      <c r="RVT5" s="390"/>
      <c r="RVU5" s="390"/>
      <c r="RVV5" s="390"/>
      <c r="RVW5" s="390"/>
      <c r="RVX5" s="390"/>
      <c r="RVY5" s="390"/>
      <c r="RVZ5" s="390"/>
      <c r="RWA5" s="390"/>
      <c r="RWB5" s="390"/>
      <c r="RWC5" s="390"/>
      <c r="RWD5" s="390"/>
      <c r="RWE5" s="390"/>
      <c r="RWF5" s="390"/>
      <c r="RWG5" s="390"/>
      <c r="RWH5" s="390"/>
      <c r="RWI5" s="390"/>
      <c r="RWJ5" s="390"/>
      <c r="RWK5" s="390"/>
      <c r="RWL5" s="390"/>
      <c r="RWM5" s="390"/>
      <c r="RWN5" s="390"/>
      <c r="RWO5" s="390"/>
      <c r="RWP5" s="390"/>
      <c r="RWQ5" s="390"/>
      <c r="RWR5" s="390"/>
      <c r="RWS5" s="390"/>
      <c r="RWT5" s="390"/>
      <c r="RWU5" s="390"/>
      <c r="RWV5" s="390"/>
      <c r="RWW5" s="390"/>
      <c r="RWX5" s="390"/>
      <c r="RWY5" s="390"/>
      <c r="RWZ5" s="390"/>
      <c r="RXA5" s="390"/>
      <c r="RXB5" s="390"/>
      <c r="RXC5" s="390"/>
      <c r="RXD5" s="390"/>
      <c r="RXE5" s="390"/>
      <c r="RXF5" s="390"/>
      <c r="RXG5" s="390"/>
      <c r="RXH5" s="390"/>
      <c r="RXI5" s="390"/>
      <c r="RXJ5" s="390"/>
      <c r="RXK5" s="390"/>
      <c r="RXL5" s="390"/>
      <c r="RXM5" s="390"/>
      <c r="RXN5" s="390"/>
      <c r="RXO5" s="390"/>
      <c r="RXP5" s="390"/>
      <c r="RXQ5" s="390"/>
      <c r="RXR5" s="390"/>
      <c r="RXS5" s="390"/>
      <c r="RXT5" s="390"/>
      <c r="RXU5" s="390"/>
      <c r="RXV5" s="390"/>
      <c r="RXW5" s="390"/>
      <c r="RXX5" s="390"/>
      <c r="RXY5" s="390"/>
      <c r="RXZ5" s="390"/>
      <c r="RYA5" s="390"/>
      <c r="RYB5" s="390"/>
      <c r="RYC5" s="390"/>
      <c r="RYD5" s="390"/>
      <c r="RYE5" s="390"/>
      <c r="RYF5" s="390"/>
      <c r="RYG5" s="390"/>
      <c r="RYH5" s="390"/>
      <c r="RYI5" s="390"/>
      <c r="RYJ5" s="390"/>
      <c r="RYK5" s="390"/>
      <c r="RYL5" s="390"/>
      <c r="RYM5" s="390"/>
      <c r="RYN5" s="390"/>
      <c r="RYO5" s="390"/>
      <c r="RYP5" s="390"/>
      <c r="RYQ5" s="390"/>
      <c r="RYR5" s="390"/>
      <c r="RYS5" s="390"/>
      <c r="RYT5" s="390"/>
      <c r="RYU5" s="390"/>
      <c r="RYV5" s="390"/>
      <c r="RYW5" s="390"/>
      <c r="RYX5" s="390"/>
      <c r="RYY5" s="390"/>
      <c r="RYZ5" s="390"/>
      <c r="RZA5" s="390"/>
      <c r="RZB5" s="390"/>
      <c r="RZC5" s="390"/>
      <c r="RZD5" s="390"/>
      <c r="RZE5" s="390"/>
      <c r="RZF5" s="390"/>
      <c r="RZG5" s="390"/>
      <c r="RZH5" s="390"/>
      <c r="RZI5" s="390"/>
      <c r="RZJ5" s="390"/>
      <c r="RZK5" s="390"/>
      <c r="RZL5" s="390"/>
      <c r="RZM5" s="390"/>
      <c r="RZN5" s="390"/>
      <c r="RZO5" s="390"/>
      <c r="RZP5" s="390"/>
      <c r="RZQ5" s="390"/>
      <c r="RZR5" s="390"/>
      <c r="RZS5" s="390"/>
      <c r="RZT5" s="390"/>
      <c r="RZU5" s="390"/>
      <c r="RZV5" s="390"/>
      <c r="RZW5" s="390"/>
      <c r="RZX5" s="390"/>
      <c r="RZY5" s="390"/>
      <c r="RZZ5" s="390"/>
      <c r="SAA5" s="390"/>
      <c r="SAB5" s="390"/>
      <c r="SAC5" s="390"/>
      <c r="SAD5" s="390"/>
      <c r="SAE5" s="390"/>
      <c r="SAF5" s="390"/>
      <c r="SAG5" s="390"/>
      <c r="SAH5" s="390"/>
      <c r="SAI5" s="390"/>
      <c r="SAJ5" s="390"/>
      <c r="SAK5" s="390"/>
      <c r="SAL5" s="390"/>
      <c r="SAM5" s="390"/>
      <c r="SAN5" s="390"/>
      <c r="SAO5" s="390"/>
      <c r="SAP5" s="390"/>
      <c r="SAQ5" s="390"/>
      <c r="SAR5" s="390"/>
      <c r="SAS5" s="390"/>
      <c r="SAT5" s="390"/>
      <c r="SAU5" s="390"/>
      <c r="SAV5" s="390"/>
      <c r="SAW5" s="390"/>
      <c r="SAX5" s="390"/>
      <c r="SAY5" s="390"/>
      <c r="SAZ5" s="390"/>
      <c r="SBA5" s="390"/>
      <c r="SBB5" s="390"/>
      <c r="SBC5" s="390"/>
      <c r="SBD5" s="390"/>
      <c r="SBE5" s="390"/>
      <c r="SBF5" s="390"/>
      <c r="SBG5" s="390"/>
      <c r="SBH5" s="390"/>
      <c r="SBI5" s="390"/>
      <c r="SBJ5" s="390"/>
      <c r="SBK5" s="390"/>
      <c r="SBL5" s="390"/>
      <c r="SBM5" s="390"/>
      <c r="SBN5" s="390"/>
      <c r="SBO5" s="390"/>
      <c r="SBP5" s="390"/>
      <c r="SBQ5" s="390"/>
      <c r="SBR5" s="390"/>
      <c r="SBS5" s="390"/>
      <c r="SBT5" s="390"/>
      <c r="SBU5" s="390"/>
      <c r="SBV5" s="390"/>
      <c r="SBW5" s="390"/>
      <c r="SBX5" s="390"/>
      <c r="SBY5" s="390"/>
      <c r="SBZ5" s="390"/>
      <c r="SCA5" s="390"/>
      <c r="SCB5" s="390"/>
      <c r="SCC5" s="390"/>
      <c r="SCD5" s="390"/>
      <c r="SCE5" s="390"/>
      <c r="SCF5" s="390"/>
      <c r="SCG5" s="390"/>
      <c r="SCH5" s="390"/>
      <c r="SCI5" s="390"/>
      <c r="SCJ5" s="390"/>
      <c r="SCK5" s="390"/>
      <c r="SCL5" s="390"/>
      <c r="SCM5" s="390"/>
      <c r="SCN5" s="390"/>
      <c r="SCO5" s="390"/>
      <c r="SCP5" s="390"/>
      <c r="SCQ5" s="390"/>
      <c r="SCR5" s="390"/>
      <c r="SCS5" s="390"/>
      <c r="SCT5" s="390"/>
      <c r="SCU5" s="390"/>
      <c r="SCV5" s="390"/>
      <c r="SCW5" s="390"/>
      <c r="SCX5" s="390"/>
      <c r="SCY5" s="390"/>
      <c r="SCZ5" s="390"/>
      <c r="SDA5" s="390"/>
      <c r="SDB5" s="390"/>
      <c r="SDC5" s="390"/>
      <c r="SDD5" s="390"/>
      <c r="SDE5" s="390"/>
      <c r="SDF5" s="390"/>
      <c r="SDG5" s="390"/>
      <c r="SDH5" s="390"/>
      <c r="SDI5" s="390"/>
      <c r="SDJ5" s="390"/>
      <c r="SDK5" s="390"/>
      <c r="SDL5" s="390"/>
      <c r="SDM5" s="390"/>
      <c r="SDN5" s="390"/>
      <c r="SDO5" s="390"/>
      <c r="SDP5" s="390"/>
      <c r="SDQ5" s="390"/>
      <c r="SDR5" s="390"/>
      <c r="SDS5" s="390"/>
      <c r="SDT5" s="390"/>
      <c r="SDU5" s="390"/>
      <c r="SDV5" s="390"/>
      <c r="SDW5" s="390"/>
      <c r="SDX5" s="390"/>
      <c r="SDY5" s="390"/>
      <c r="SDZ5" s="390"/>
      <c r="SEA5" s="390"/>
      <c r="SEB5" s="390"/>
      <c r="SEC5" s="390"/>
      <c r="SED5" s="390"/>
      <c r="SEE5" s="390"/>
      <c r="SEF5" s="390"/>
      <c r="SEG5" s="390"/>
      <c r="SEH5" s="390"/>
      <c r="SEI5" s="390"/>
      <c r="SEJ5" s="390"/>
      <c r="SEK5" s="390"/>
      <c r="SEL5" s="390"/>
      <c r="SEM5" s="390"/>
      <c r="SEN5" s="390"/>
      <c r="SEO5" s="390"/>
      <c r="SEP5" s="390"/>
      <c r="SEQ5" s="390"/>
      <c r="SER5" s="390"/>
      <c r="SES5" s="390"/>
      <c r="SET5" s="390"/>
      <c r="SEU5" s="390"/>
      <c r="SEV5" s="390"/>
      <c r="SEW5" s="390"/>
      <c r="SEX5" s="390"/>
      <c r="SEY5" s="390"/>
      <c r="SEZ5" s="390"/>
      <c r="SFA5" s="390"/>
      <c r="SFB5" s="390"/>
      <c r="SFC5" s="390"/>
      <c r="SFD5" s="390"/>
      <c r="SFE5" s="390"/>
      <c r="SFF5" s="390"/>
      <c r="SFG5" s="390"/>
      <c r="SFH5" s="390"/>
      <c r="SFI5" s="390"/>
      <c r="SFJ5" s="390"/>
      <c r="SFK5" s="390"/>
      <c r="SFL5" s="390"/>
      <c r="SFM5" s="390"/>
      <c r="SFN5" s="390"/>
      <c r="SFO5" s="390"/>
      <c r="SFP5" s="390"/>
      <c r="SFQ5" s="390"/>
      <c r="SFR5" s="390"/>
      <c r="SFS5" s="390"/>
      <c r="SFT5" s="390"/>
      <c r="SFU5" s="390"/>
      <c r="SFV5" s="390"/>
      <c r="SFW5" s="390"/>
      <c r="SFX5" s="390"/>
      <c r="SFY5" s="390"/>
      <c r="SFZ5" s="390"/>
      <c r="SGA5" s="390"/>
      <c r="SGB5" s="390"/>
      <c r="SGC5" s="390"/>
      <c r="SGD5" s="390"/>
      <c r="SGE5" s="390"/>
      <c r="SGF5" s="390"/>
      <c r="SGG5" s="390"/>
      <c r="SGH5" s="390"/>
      <c r="SGI5" s="390"/>
      <c r="SGJ5" s="390"/>
      <c r="SGK5" s="390"/>
      <c r="SGL5" s="390"/>
      <c r="SGM5" s="390"/>
      <c r="SGN5" s="390"/>
      <c r="SGO5" s="390"/>
      <c r="SGP5" s="390"/>
      <c r="SGQ5" s="390"/>
      <c r="SGR5" s="390"/>
      <c r="SGS5" s="390"/>
      <c r="SGT5" s="390"/>
      <c r="SGU5" s="390"/>
      <c r="SGV5" s="390"/>
      <c r="SGW5" s="390"/>
      <c r="SGX5" s="390"/>
      <c r="SGY5" s="390"/>
      <c r="SGZ5" s="390"/>
      <c r="SHA5" s="390"/>
      <c r="SHB5" s="390"/>
      <c r="SHC5" s="390"/>
      <c r="SHD5" s="390"/>
      <c r="SHE5" s="390"/>
      <c r="SHF5" s="390"/>
      <c r="SHG5" s="390"/>
      <c r="SHH5" s="390"/>
      <c r="SHI5" s="390"/>
      <c r="SHJ5" s="390"/>
      <c r="SHK5" s="390"/>
      <c r="SHL5" s="390"/>
      <c r="SHM5" s="390"/>
      <c r="SHN5" s="390"/>
      <c r="SHO5" s="390"/>
      <c r="SHP5" s="390"/>
      <c r="SHQ5" s="390"/>
      <c r="SHR5" s="390"/>
      <c r="SHS5" s="390"/>
      <c r="SHT5" s="390"/>
      <c r="SHU5" s="390"/>
      <c r="SHV5" s="390"/>
      <c r="SHW5" s="390"/>
      <c r="SHX5" s="390"/>
      <c r="SHY5" s="390"/>
      <c r="SHZ5" s="390"/>
      <c r="SIA5" s="390"/>
      <c r="SIB5" s="390"/>
      <c r="SIC5" s="390"/>
      <c r="SID5" s="390"/>
      <c r="SIE5" s="390"/>
      <c r="SIF5" s="390"/>
      <c r="SIG5" s="390"/>
      <c r="SIH5" s="390"/>
      <c r="SII5" s="390"/>
      <c r="SIJ5" s="390"/>
      <c r="SIK5" s="390"/>
      <c r="SIL5" s="390"/>
      <c r="SIM5" s="390"/>
      <c r="SIN5" s="390"/>
      <c r="SIO5" s="390"/>
      <c r="SIP5" s="390"/>
      <c r="SIQ5" s="390"/>
      <c r="SIR5" s="390"/>
      <c r="SIS5" s="390"/>
      <c r="SIT5" s="390"/>
      <c r="SIU5" s="390"/>
      <c r="SIV5" s="390"/>
      <c r="SIW5" s="390"/>
      <c r="SIX5" s="390"/>
      <c r="SIY5" s="390"/>
      <c r="SIZ5" s="390"/>
      <c r="SJA5" s="390"/>
      <c r="SJB5" s="390"/>
      <c r="SJC5" s="390"/>
      <c r="SJD5" s="390"/>
      <c r="SJE5" s="390"/>
      <c r="SJF5" s="390"/>
      <c r="SJG5" s="390"/>
      <c r="SJH5" s="390"/>
      <c r="SJI5" s="390"/>
      <c r="SJJ5" s="390"/>
      <c r="SJK5" s="390"/>
      <c r="SJL5" s="390"/>
      <c r="SJM5" s="390"/>
      <c r="SJN5" s="390"/>
      <c r="SJO5" s="390"/>
      <c r="SJP5" s="390"/>
      <c r="SJQ5" s="390"/>
      <c r="SJR5" s="390"/>
      <c r="SJS5" s="390"/>
      <c r="SJT5" s="390"/>
      <c r="SJU5" s="390"/>
      <c r="SJV5" s="390"/>
      <c r="SJW5" s="390"/>
      <c r="SJX5" s="390"/>
      <c r="SJY5" s="390"/>
      <c r="SJZ5" s="390"/>
      <c r="SKA5" s="390"/>
      <c r="SKB5" s="390"/>
      <c r="SKC5" s="390"/>
      <c r="SKD5" s="390"/>
      <c r="SKE5" s="390"/>
      <c r="SKF5" s="390"/>
      <c r="SKG5" s="390"/>
      <c r="SKH5" s="390"/>
      <c r="SKI5" s="390"/>
      <c r="SKJ5" s="390"/>
      <c r="SKK5" s="390"/>
      <c r="SKL5" s="390"/>
      <c r="SKM5" s="390"/>
      <c r="SKN5" s="390"/>
      <c r="SKO5" s="390"/>
      <c r="SKP5" s="390"/>
      <c r="SKQ5" s="390"/>
      <c r="SKR5" s="390"/>
      <c r="SKS5" s="390"/>
      <c r="SKT5" s="390"/>
      <c r="SKU5" s="390"/>
      <c r="SKV5" s="390"/>
      <c r="SKW5" s="390"/>
      <c r="SKX5" s="390"/>
      <c r="SKY5" s="390"/>
      <c r="SKZ5" s="390"/>
      <c r="SLA5" s="390"/>
      <c r="SLB5" s="390"/>
      <c r="SLC5" s="390"/>
      <c r="SLD5" s="390"/>
      <c r="SLE5" s="390"/>
      <c r="SLF5" s="390"/>
      <c r="SLG5" s="390"/>
      <c r="SLH5" s="390"/>
      <c r="SLI5" s="390"/>
      <c r="SLJ5" s="390"/>
      <c r="SLK5" s="390"/>
      <c r="SLL5" s="390"/>
      <c r="SLM5" s="390"/>
      <c r="SLN5" s="390"/>
      <c r="SLO5" s="390"/>
      <c r="SLP5" s="390"/>
      <c r="SLQ5" s="390"/>
      <c r="SLR5" s="390"/>
      <c r="SLS5" s="390"/>
      <c r="SLT5" s="390"/>
      <c r="SLU5" s="390"/>
      <c r="SLV5" s="390"/>
      <c r="SLW5" s="390"/>
      <c r="SLX5" s="390"/>
      <c r="SLY5" s="390"/>
      <c r="SLZ5" s="390"/>
      <c r="SMA5" s="390"/>
      <c r="SMB5" s="390"/>
      <c r="SMC5" s="390"/>
      <c r="SMD5" s="390"/>
      <c r="SME5" s="390"/>
      <c r="SMF5" s="390"/>
      <c r="SMG5" s="390"/>
      <c r="SMH5" s="390"/>
      <c r="SMI5" s="390"/>
      <c r="SMJ5" s="390"/>
      <c r="SMK5" s="390"/>
      <c r="SML5" s="390"/>
      <c r="SMM5" s="390"/>
      <c r="SMN5" s="390"/>
      <c r="SMO5" s="390"/>
      <c r="SMP5" s="390"/>
      <c r="SMQ5" s="390"/>
      <c r="SMR5" s="390"/>
      <c r="SMS5" s="390"/>
      <c r="SMT5" s="390"/>
      <c r="SMU5" s="390"/>
      <c r="SMV5" s="390"/>
      <c r="SMW5" s="390"/>
      <c r="SMX5" s="390"/>
      <c r="SMY5" s="390"/>
      <c r="SMZ5" s="390"/>
      <c r="SNA5" s="390"/>
      <c r="SNB5" s="390"/>
      <c r="SNC5" s="390"/>
      <c r="SND5" s="390"/>
      <c r="SNE5" s="390"/>
      <c r="SNF5" s="390"/>
      <c r="SNG5" s="390"/>
      <c r="SNH5" s="390"/>
      <c r="SNI5" s="390"/>
      <c r="SNJ5" s="390"/>
      <c r="SNK5" s="390"/>
      <c r="SNL5" s="390"/>
      <c r="SNM5" s="390"/>
      <c r="SNN5" s="390"/>
      <c r="SNO5" s="390"/>
      <c r="SNP5" s="390"/>
      <c r="SNQ5" s="390"/>
      <c r="SNR5" s="390"/>
      <c r="SNS5" s="390"/>
      <c r="SNT5" s="390"/>
      <c r="SNU5" s="390"/>
      <c r="SNV5" s="390"/>
      <c r="SNW5" s="390"/>
      <c r="SNX5" s="390"/>
      <c r="SNY5" s="390"/>
      <c r="SNZ5" s="390"/>
      <c r="SOA5" s="390"/>
      <c r="SOB5" s="390"/>
      <c r="SOC5" s="390"/>
      <c r="SOD5" s="390"/>
      <c r="SOE5" s="390"/>
      <c r="SOF5" s="390"/>
      <c r="SOG5" s="390"/>
      <c r="SOH5" s="390"/>
      <c r="SOI5" s="390"/>
      <c r="SOJ5" s="390"/>
      <c r="SOK5" s="390"/>
      <c r="SOL5" s="390"/>
      <c r="SOM5" s="390"/>
      <c r="SON5" s="390"/>
      <c r="SOO5" s="390"/>
      <c r="SOP5" s="390"/>
      <c r="SOQ5" s="390"/>
      <c r="SOR5" s="390"/>
      <c r="SOS5" s="390"/>
      <c r="SOT5" s="390"/>
      <c r="SOU5" s="390"/>
      <c r="SOV5" s="390"/>
      <c r="SOW5" s="390"/>
      <c r="SOX5" s="390"/>
      <c r="SOY5" s="390"/>
      <c r="SOZ5" s="390"/>
      <c r="SPA5" s="390"/>
      <c r="SPB5" s="390"/>
      <c r="SPC5" s="390"/>
      <c r="SPD5" s="390"/>
      <c r="SPE5" s="390"/>
      <c r="SPF5" s="390"/>
      <c r="SPG5" s="390"/>
      <c r="SPH5" s="390"/>
      <c r="SPI5" s="390"/>
      <c r="SPJ5" s="390"/>
      <c r="SPK5" s="390"/>
      <c r="SPL5" s="390"/>
      <c r="SPM5" s="390"/>
      <c r="SPN5" s="390"/>
      <c r="SPO5" s="390"/>
      <c r="SPP5" s="390"/>
      <c r="SPQ5" s="390"/>
      <c r="SPR5" s="390"/>
      <c r="SPS5" s="390"/>
      <c r="SPT5" s="390"/>
      <c r="SPU5" s="390"/>
      <c r="SPV5" s="390"/>
      <c r="SPW5" s="390"/>
      <c r="SPX5" s="390"/>
      <c r="SPY5" s="390"/>
      <c r="SPZ5" s="390"/>
      <c r="SQA5" s="390"/>
      <c r="SQB5" s="390"/>
      <c r="SQC5" s="390"/>
      <c r="SQD5" s="390"/>
      <c r="SQE5" s="390"/>
      <c r="SQF5" s="390"/>
      <c r="SQG5" s="390"/>
      <c r="SQH5" s="390"/>
      <c r="SQI5" s="390"/>
      <c r="SQJ5" s="390"/>
      <c r="SQK5" s="390"/>
      <c r="SQL5" s="390"/>
      <c r="SQM5" s="390"/>
      <c r="SQN5" s="390"/>
      <c r="SQO5" s="390"/>
      <c r="SQP5" s="390"/>
      <c r="SQQ5" s="390"/>
      <c r="SQR5" s="390"/>
      <c r="SQS5" s="390"/>
      <c r="SQT5" s="390"/>
      <c r="SQU5" s="390"/>
      <c r="SQV5" s="390"/>
      <c r="SQW5" s="390"/>
      <c r="SQX5" s="390"/>
      <c r="SQY5" s="390"/>
      <c r="SQZ5" s="390"/>
      <c r="SRA5" s="390"/>
      <c r="SRB5" s="390"/>
      <c r="SRC5" s="390"/>
      <c r="SRD5" s="390"/>
      <c r="SRE5" s="390"/>
      <c r="SRF5" s="390"/>
      <c r="SRG5" s="390"/>
      <c r="SRH5" s="390"/>
      <c r="SRI5" s="390"/>
      <c r="SRJ5" s="390"/>
      <c r="SRK5" s="390"/>
      <c r="SRL5" s="390"/>
      <c r="SRM5" s="390"/>
      <c r="SRN5" s="390"/>
      <c r="SRO5" s="390"/>
      <c r="SRP5" s="390"/>
      <c r="SRQ5" s="390"/>
      <c r="SRR5" s="390"/>
      <c r="SRS5" s="390"/>
      <c r="SRT5" s="390"/>
      <c r="SRU5" s="390"/>
      <c r="SRV5" s="390"/>
      <c r="SRW5" s="390"/>
      <c r="SRX5" s="390"/>
      <c r="SRY5" s="390"/>
      <c r="SRZ5" s="390"/>
      <c r="SSA5" s="390"/>
      <c r="SSB5" s="390"/>
      <c r="SSC5" s="390"/>
      <c r="SSD5" s="390"/>
      <c r="SSE5" s="390"/>
      <c r="SSF5" s="390"/>
      <c r="SSG5" s="390"/>
      <c r="SSH5" s="390"/>
      <c r="SSI5" s="390"/>
      <c r="SSJ5" s="390"/>
      <c r="SSK5" s="390"/>
      <c r="SSL5" s="390"/>
      <c r="SSM5" s="390"/>
      <c r="SSN5" s="390"/>
      <c r="SSO5" s="390"/>
      <c r="SSP5" s="390"/>
      <c r="SSQ5" s="390"/>
      <c r="SSR5" s="390"/>
      <c r="SSS5" s="390"/>
      <c r="SST5" s="390"/>
      <c r="SSU5" s="390"/>
      <c r="SSV5" s="390"/>
      <c r="SSW5" s="390"/>
      <c r="SSX5" s="390"/>
      <c r="SSY5" s="390"/>
      <c r="SSZ5" s="390"/>
      <c r="STA5" s="390"/>
      <c r="STB5" s="390"/>
      <c r="STC5" s="390"/>
      <c r="STD5" s="390"/>
      <c r="STE5" s="390"/>
      <c r="STF5" s="390"/>
      <c r="STG5" s="390"/>
      <c r="STH5" s="390"/>
      <c r="STI5" s="390"/>
      <c r="STJ5" s="390"/>
      <c r="STK5" s="390"/>
      <c r="STL5" s="390"/>
      <c r="STM5" s="390"/>
      <c r="STN5" s="390"/>
      <c r="STO5" s="390"/>
      <c r="STP5" s="390"/>
      <c r="STQ5" s="390"/>
      <c r="STR5" s="390"/>
      <c r="STS5" s="390"/>
      <c r="STT5" s="390"/>
      <c r="STU5" s="390"/>
      <c r="STV5" s="390"/>
      <c r="STW5" s="390"/>
      <c r="STX5" s="390"/>
      <c r="STY5" s="390"/>
      <c r="STZ5" s="390"/>
      <c r="SUA5" s="390"/>
      <c r="SUB5" s="390"/>
      <c r="SUC5" s="390"/>
      <c r="SUD5" s="390"/>
      <c r="SUE5" s="390"/>
      <c r="SUF5" s="390"/>
      <c r="SUG5" s="390"/>
      <c r="SUH5" s="390"/>
      <c r="SUI5" s="390"/>
      <c r="SUJ5" s="390"/>
      <c r="SUK5" s="390"/>
      <c r="SUL5" s="390"/>
      <c r="SUM5" s="390"/>
      <c r="SUN5" s="390"/>
      <c r="SUO5" s="390"/>
      <c r="SUP5" s="390"/>
      <c r="SUQ5" s="390"/>
      <c r="SUR5" s="390"/>
      <c r="SUS5" s="390"/>
      <c r="SUT5" s="390"/>
      <c r="SUU5" s="390"/>
      <c r="SUV5" s="390"/>
      <c r="SUW5" s="390"/>
      <c r="SUX5" s="390"/>
      <c r="SUY5" s="390"/>
      <c r="SUZ5" s="390"/>
      <c r="SVA5" s="390"/>
      <c r="SVB5" s="390"/>
      <c r="SVC5" s="390"/>
      <c r="SVD5" s="390"/>
      <c r="SVE5" s="390"/>
      <c r="SVF5" s="390"/>
      <c r="SVG5" s="390"/>
      <c r="SVH5" s="390"/>
      <c r="SVI5" s="390"/>
      <c r="SVJ5" s="390"/>
      <c r="SVK5" s="390"/>
      <c r="SVL5" s="390"/>
      <c r="SVM5" s="390"/>
      <c r="SVN5" s="390"/>
      <c r="SVO5" s="390"/>
      <c r="SVP5" s="390"/>
      <c r="SVQ5" s="390"/>
      <c r="SVR5" s="390"/>
      <c r="SVS5" s="390"/>
      <c r="SVT5" s="390"/>
      <c r="SVU5" s="390"/>
      <c r="SVV5" s="390"/>
      <c r="SVW5" s="390"/>
      <c r="SVX5" s="390"/>
      <c r="SVY5" s="390"/>
      <c r="SVZ5" s="390"/>
      <c r="SWA5" s="390"/>
      <c r="SWB5" s="390"/>
      <c r="SWC5" s="390"/>
      <c r="SWD5" s="390"/>
      <c r="SWE5" s="390"/>
      <c r="SWF5" s="390"/>
      <c r="SWG5" s="390"/>
      <c r="SWH5" s="390"/>
      <c r="SWI5" s="390"/>
      <c r="SWJ5" s="390"/>
      <c r="SWK5" s="390"/>
      <c r="SWL5" s="390"/>
      <c r="SWM5" s="390"/>
      <c r="SWN5" s="390"/>
      <c r="SWO5" s="390"/>
      <c r="SWP5" s="390"/>
      <c r="SWQ5" s="390"/>
      <c r="SWR5" s="390"/>
      <c r="SWS5" s="390"/>
      <c r="SWT5" s="390"/>
      <c r="SWU5" s="390"/>
      <c r="SWV5" s="390"/>
      <c r="SWW5" s="390"/>
      <c r="SWX5" s="390"/>
      <c r="SWY5" s="390"/>
      <c r="SWZ5" s="390"/>
      <c r="SXA5" s="390"/>
      <c r="SXB5" s="390"/>
      <c r="SXC5" s="390"/>
      <c r="SXD5" s="390"/>
      <c r="SXE5" s="390"/>
      <c r="SXF5" s="390"/>
      <c r="SXG5" s="390"/>
      <c r="SXH5" s="390"/>
      <c r="SXI5" s="390"/>
      <c r="SXJ5" s="390"/>
      <c r="SXK5" s="390"/>
      <c r="SXL5" s="390"/>
      <c r="SXM5" s="390"/>
      <c r="SXN5" s="390"/>
      <c r="SXO5" s="390"/>
      <c r="SXP5" s="390"/>
      <c r="SXQ5" s="390"/>
      <c r="SXR5" s="390"/>
      <c r="SXS5" s="390"/>
      <c r="SXT5" s="390"/>
      <c r="SXU5" s="390"/>
      <c r="SXV5" s="390"/>
      <c r="SXW5" s="390"/>
      <c r="SXX5" s="390"/>
      <c r="SXY5" s="390"/>
      <c r="SXZ5" s="390"/>
      <c r="SYA5" s="390"/>
      <c r="SYB5" s="390"/>
      <c r="SYC5" s="390"/>
      <c r="SYD5" s="390"/>
      <c r="SYE5" s="390"/>
      <c r="SYF5" s="390"/>
      <c r="SYG5" s="390"/>
      <c r="SYH5" s="390"/>
      <c r="SYI5" s="390"/>
      <c r="SYJ5" s="390"/>
      <c r="SYK5" s="390"/>
      <c r="SYL5" s="390"/>
      <c r="SYM5" s="390"/>
      <c r="SYN5" s="390"/>
      <c r="SYO5" s="390"/>
      <c r="SYP5" s="390"/>
      <c r="SYQ5" s="390"/>
      <c r="SYR5" s="390"/>
      <c r="SYS5" s="390"/>
      <c r="SYT5" s="390"/>
      <c r="SYU5" s="390"/>
      <c r="SYV5" s="390"/>
      <c r="SYW5" s="390"/>
      <c r="SYX5" s="390"/>
      <c r="SYY5" s="390"/>
      <c r="SYZ5" s="390"/>
      <c r="SZA5" s="390"/>
      <c r="SZB5" s="390"/>
      <c r="SZC5" s="390"/>
      <c r="SZD5" s="390"/>
      <c r="SZE5" s="390"/>
      <c r="SZF5" s="390"/>
      <c r="SZG5" s="390"/>
      <c r="SZH5" s="390"/>
      <c r="SZI5" s="390"/>
      <c r="SZJ5" s="390"/>
      <c r="SZK5" s="390"/>
      <c r="SZL5" s="390"/>
      <c r="SZM5" s="390"/>
      <c r="SZN5" s="390"/>
      <c r="SZO5" s="390"/>
      <c r="SZP5" s="390"/>
      <c r="SZQ5" s="390"/>
      <c r="SZR5" s="390"/>
      <c r="SZS5" s="390"/>
      <c r="SZT5" s="390"/>
      <c r="SZU5" s="390"/>
      <c r="SZV5" s="390"/>
      <c r="SZW5" s="390"/>
      <c r="SZX5" s="390"/>
      <c r="SZY5" s="390"/>
      <c r="SZZ5" s="390"/>
      <c r="TAA5" s="390"/>
      <c r="TAB5" s="390"/>
      <c r="TAC5" s="390"/>
      <c r="TAD5" s="390"/>
      <c r="TAE5" s="390"/>
      <c r="TAF5" s="390"/>
      <c r="TAG5" s="390"/>
      <c r="TAH5" s="390"/>
      <c r="TAI5" s="390"/>
      <c r="TAJ5" s="390"/>
      <c r="TAK5" s="390"/>
      <c r="TAL5" s="390"/>
      <c r="TAM5" s="390"/>
      <c r="TAN5" s="390"/>
      <c r="TAO5" s="390"/>
      <c r="TAP5" s="390"/>
      <c r="TAQ5" s="390"/>
      <c r="TAR5" s="390"/>
      <c r="TAS5" s="390"/>
      <c r="TAT5" s="390"/>
      <c r="TAU5" s="390"/>
      <c r="TAV5" s="390"/>
      <c r="TAW5" s="390"/>
      <c r="TAX5" s="390"/>
      <c r="TAY5" s="390"/>
      <c r="TAZ5" s="390"/>
      <c r="TBA5" s="390"/>
      <c r="TBB5" s="390"/>
      <c r="TBC5" s="390"/>
      <c r="TBD5" s="390"/>
      <c r="TBE5" s="390"/>
      <c r="TBF5" s="390"/>
      <c r="TBG5" s="390"/>
      <c r="TBH5" s="390"/>
      <c r="TBI5" s="390"/>
      <c r="TBJ5" s="390"/>
      <c r="TBK5" s="390"/>
      <c r="TBL5" s="390"/>
      <c r="TBM5" s="390"/>
      <c r="TBN5" s="390"/>
      <c r="TBO5" s="390"/>
      <c r="TBP5" s="390"/>
      <c r="TBQ5" s="390"/>
      <c r="TBR5" s="390"/>
      <c r="TBS5" s="390"/>
      <c r="TBT5" s="390"/>
      <c r="TBU5" s="390"/>
      <c r="TBV5" s="390"/>
      <c r="TBW5" s="390"/>
      <c r="TBX5" s="390"/>
      <c r="TBY5" s="390"/>
      <c r="TBZ5" s="390"/>
      <c r="TCA5" s="390"/>
      <c r="TCB5" s="390"/>
      <c r="TCC5" s="390"/>
      <c r="TCD5" s="390"/>
      <c r="TCE5" s="390"/>
      <c r="TCF5" s="390"/>
      <c r="TCG5" s="390"/>
      <c r="TCH5" s="390"/>
      <c r="TCI5" s="390"/>
      <c r="TCJ5" s="390"/>
      <c r="TCK5" s="390"/>
      <c r="TCL5" s="390"/>
      <c r="TCM5" s="390"/>
      <c r="TCN5" s="390"/>
      <c r="TCO5" s="390"/>
      <c r="TCP5" s="390"/>
      <c r="TCQ5" s="390"/>
      <c r="TCR5" s="390"/>
      <c r="TCS5" s="390"/>
      <c r="TCT5" s="390"/>
      <c r="TCU5" s="390"/>
      <c r="TCV5" s="390"/>
      <c r="TCW5" s="390"/>
      <c r="TCX5" s="390"/>
      <c r="TCY5" s="390"/>
      <c r="TCZ5" s="390"/>
      <c r="TDA5" s="390"/>
      <c r="TDB5" s="390"/>
      <c r="TDC5" s="390"/>
      <c r="TDD5" s="390"/>
      <c r="TDE5" s="390"/>
      <c r="TDF5" s="390"/>
      <c r="TDG5" s="390"/>
      <c r="TDH5" s="390"/>
      <c r="TDI5" s="390"/>
      <c r="TDJ5" s="390"/>
      <c r="TDK5" s="390"/>
      <c r="TDL5" s="390"/>
      <c r="TDM5" s="390"/>
      <c r="TDN5" s="390"/>
      <c r="TDO5" s="390"/>
      <c r="TDP5" s="390"/>
      <c r="TDQ5" s="390"/>
      <c r="TDR5" s="390"/>
      <c r="TDS5" s="390"/>
      <c r="TDT5" s="390"/>
      <c r="TDU5" s="390"/>
      <c r="TDV5" s="390"/>
      <c r="TDW5" s="390"/>
      <c r="TDX5" s="390"/>
      <c r="TDY5" s="390"/>
      <c r="TDZ5" s="390"/>
      <c r="TEA5" s="390"/>
      <c r="TEB5" s="390"/>
      <c r="TEC5" s="390"/>
      <c r="TED5" s="390"/>
      <c r="TEE5" s="390"/>
      <c r="TEF5" s="390"/>
      <c r="TEG5" s="390"/>
      <c r="TEH5" s="390"/>
      <c r="TEI5" s="390"/>
      <c r="TEJ5" s="390"/>
      <c r="TEK5" s="390"/>
      <c r="TEL5" s="390"/>
      <c r="TEM5" s="390"/>
      <c r="TEN5" s="390"/>
      <c r="TEO5" s="390"/>
      <c r="TEP5" s="390"/>
      <c r="TEQ5" s="390"/>
      <c r="TER5" s="390"/>
      <c r="TES5" s="390"/>
      <c r="TET5" s="390"/>
      <c r="TEU5" s="390"/>
      <c r="TEV5" s="390"/>
      <c r="TEW5" s="390"/>
      <c r="TEX5" s="390"/>
      <c r="TEY5" s="390"/>
      <c r="TEZ5" s="390"/>
      <c r="TFA5" s="390"/>
      <c r="TFB5" s="390"/>
      <c r="TFC5" s="390"/>
      <c r="TFD5" s="390"/>
      <c r="TFE5" s="390"/>
      <c r="TFF5" s="390"/>
      <c r="TFG5" s="390"/>
      <c r="TFH5" s="390"/>
      <c r="TFI5" s="390"/>
      <c r="TFJ5" s="390"/>
      <c r="TFK5" s="390"/>
      <c r="TFL5" s="390"/>
      <c r="TFM5" s="390"/>
      <c r="TFN5" s="390"/>
      <c r="TFO5" s="390"/>
      <c r="TFP5" s="390"/>
      <c r="TFQ5" s="390"/>
      <c r="TFR5" s="390"/>
      <c r="TFS5" s="390"/>
      <c r="TFT5" s="390"/>
      <c r="TFU5" s="390"/>
      <c r="TFV5" s="390"/>
      <c r="TFW5" s="390"/>
      <c r="TFX5" s="390"/>
      <c r="TFY5" s="390"/>
      <c r="TFZ5" s="390"/>
      <c r="TGA5" s="390"/>
      <c r="TGB5" s="390"/>
      <c r="TGC5" s="390"/>
      <c r="TGD5" s="390"/>
      <c r="TGE5" s="390"/>
      <c r="TGF5" s="390"/>
      <c r="TGG5" s="390"/>
      <c r="TGH5" s="390"/>
      <c r="TGI5" s="390"/>
      <c r="TGJ5" s="390"/>
      <c r="TGK5" s="390"/>
      <c r="TGL5" s="390"/>
      <c r="TGM5" s="390"/>
      <c r="TGN5" s="390"/>
      <c r="TGO5" s="390"/>
      <c r="TGP5" s="390"/>
      <c r="TGQ5" s="390"/>
      <c r="TGR5" s="390"/>
      <c r="TGS5" s="390"/>
      <c r="TGT5" s="390"/>
      <c r="TGU5" s="390"/>
      <c r="TGV5" s="390"/>
      <c r="TGW5" s="390"/>
      <c r="TGX5" s="390"/>
      <c r="TGY5" s="390"/>
      <c r="TGZ5" s="390"/>
      <c r="THA5" s="390"/>
      <c r="THB5" s="390"/>
      <c r="THC5" s="390"/>
      <c r="THD5" s="390"/>
      <c r="THE5" s="390"/>
      <c r="THF5" s="390"/>
      <c r="THG5" s="390"/>
      <c r="THH5" s="390"/>
      <c r="THI5" s="390"/>
      <c r="THJ5" s="390"/>
      <c r="THK5" s="390"/>
      <c r="THL5" s="390"/>
      <c r="THM5" s="390"/>
      <c r="THN5" s="390"/>
      <c r="THO5" s="390"/>
      <c r="THP5" s="390"/>
      <c r="THQ5" s="390"/>
      <c r="THR5" s="390"/>
      <c r="THS5" s="390"/>
      <c r="THT5" s="390"/>
      <c r="THU5" s="390"/>
      <c r="THV5" s="390"/>
      <c r="THW5" s="390"/>
      <c r="THX5" s="390"/>
      <c r="THY5" s="390"/>
      <c r="THZ5" s="390"/>
      <c r="TIA5" s="390"/>
      <c r="TIB5" s="390"/>
      <c r="TIC5" s="390"/>
      <c r="TID5" s="390"/>
      <c r="TIE5" s="390"/>
      <c r="TIF5" s="390"/>
      <c r="TIG5" s="390"/>
      <c r="TIH5" s="390"/>
      <c r="TII5" s="390"/>
      <c r="TIJ5" s="390"/>
      <c r="TIK5" s="390"/>
      <c r="TIL5" s="390"/>
      <c r="TIM5" s="390"/>
      <c r="TIN5" s="390"/>
      <c r="TIO5" s="390"/>
      <c r="TIP5" s="390"/>
      <c r="TIQ5" s="390"/>
      <c r="TIR5" s="390"/>
      <c r="TIS5" s="390"/>
      <c r="TIT5" s="390"/>
      <c r="TIU5" s="390"/>
      <c r="TIV5" s="390"/>
      <c r="TIW5" s="390"/>
      <c r="TIX5" s="390"/>
      <c r="TIY5" s="390"/>
      <c r="TIZ5" s="390"/>
      <c r="TJA5" s="390"/>
      <c r="TJB5" s="390"/>
      <c r="TJC5" s="390"/>
      <c r="TJD5" s="390"/>
      <c r="TJE5" s="390"/>
      <c r="TJF5" s="390"/>
      <c r="TJG5" s="390"/>
      <c r="TJH5" s="390"/>
      <c r="TJI5" s="390"/>
      <c r="TJJ5" s="390"/>
      <c r="TJK5" s="390"/>
      <c r="TJL5" s="390"/>
      <c r="TJM5" s="390"/>
      <c r="TJN5" s="390"/>
      <c r="TJO5" s="390"/>
      <c r="TJP5" s="390"/>
      <c r="TJQ5" s="390"/>
      <c r="TJR5" s="390"/>
      <c r="TJS5" s="390"/>
      <c r="TJT5" s="390"/>
      <c r="TJU5" s="390"/>
      <c r="TJV5" s="390"/>
      <c r="TJW5" s="390"/>
      <c r="TJX5" s="390"/>
      <c r="TJY5" s="390"/>
      <c r="TJZ5" s="390"/>
      <c r="TKA5" s="390"/>
      <c r="TKB5" s="390"/>
      <c r="TKC5" s="390"/>
      <c r="TKD5" s="390"/>
      <c r="TKE5" s="390"/>
      <c r="TKF5" s="390"/>
      <c r="TKG5" s="390"/>
      <c r="TKH5" s="390"/>
      <c r="TKI5" s="390"/>
      <c r="TKJ5" s="390"/>
      <c r="TKK5" s="390"/>
      <c r="TKL5" s="390"/>
      <c r="TKM5" s="390"/>
      <c r="TKN5" s="390"/>
      <c r="TKO5" s="390"/>
      <c r="TKP5" s="390"/>
      <c r="TKQ5" s="390"/>
      <c r="TKR5" s="390"/>
      <c r="TKS5" s="390"/>
      <c r="TKT5" s="390"/>
      <c r="TKU5" s="390"/>
      <c r="TKV5" s="390"/>
      <c r="TKW5" s="390"/>
      <c r="TKX5" s="390"/>
      <c r="TKY5" s="390"/>
      <c r="TKZ5" s="390"/>
      <c r="TLA5" s="390"/>
      <c r="TLB5" s="390"/>
      <c r="TLC5" s="390"/>
      <c r="TLD5" s="390"/>
      <c r="TLE5" s="390"/>
      <c r="TLF5" s="390"/>
      <c r="TLG5" s="390"/>
      <c r="TLH5" s="390"/>
      <c r="TLI5" s="390"/>
      <c r="TLJ5" s="390"/>
      <c r="TLK5" s="390"/>
      <c r="TLL5" s="390"/>
      <c r="TLM5" s="390"/>
      <c r="TLN5" s="390"/>
      <c r="TLO5" s="390"/>
      <c r="TLP5" s="390"/>
      <c r="TLQ5" s="390"/>
      <c r="TLR5" s="390"/>
      <c r="TLS5" s="390"/>
      <c r="TLT5" s="390"/>
      <c r="TLU5" s="390"/>
      <c r="TLV5" s="390"/>
      <c r="TLW5" s="390"/>
      <c r="TLX5" s="390"/>
      <c r="TLY5" s="390"/>
      <c r="TLZ5" s="390"/>
      <c r="TMA5" s="390"/>
      <c r="TMB5" s="390"/>
      <c r="TMC5" s="390"/>
      <c r="TMD5" s="390"/>
      <c r="TME5" s="390"/>
      <c r="TMF5" s="390"/>
      <c r="TMG5" s="390"/>
      <c r="TMH5" s="390"/>
      <c r="TMI5" s="390"/>
      <c r="TMJ5" s="390"/>
      <c r="TMK5" s="390"/>
      <c r="TML5" s="390"/>
      <c r="TMM5" s="390"/>
      <c r="TMN5" s="390"/>
      <c r="TMO5" s="390"/>
      <c r="TMP5" s="390"/>
      <c r="TMQ5" s="390"/>
      <c r="TMR5" s="390"/>
      <c r="TMS5" s="390"/>
      <c r="TMT5" s="390"/>
      <c r="TMU5" s="390"/>
      <c r="TMV5" s="390"/>
      <c r="TMW5" s="390"/>
      <c r="TMX5" s="390"/>
      <c r="TMY5" s="390"/>
      <c r="TMZ5" s="390"/>
      <c r="TNA5" s="390"/>
      <c r="TNB5" s="390"/>
      <c r="TNC5" s="390"/>
      <c r="TND5" s="390"/>
      <c r="TNE5" s="390"/>
      <c r="TNF5" s="390"/>
      <c r="TNG5" s="390"/>
      <c r="TNH5" s="390"/>
      <c r="TNI5" s="390"/>
      <c r="TNJ5" s="390"/>
      <c r="TNK5" s="390"/>
      <c r="TNL5" s="390"/>
      <c r="TNM5" s="390"/>
      <c r="TNN5" s="390"/>
      <c r="TNO5" s="390"/>
      <c r="TNP5" s="390"/>
      <c r="TNQ5" s="390"/>
      <c r="TNR5" s="390"/>
      <c r="TNS5" s="390"/>
      <c r="TNT5" s="390"/>
      <c r="TNU5" s="390"/>
      <c r="TNV5" s="390"/>
      <c r="TNW5" s="390"/>
      <c r="TNX5" s="390"/>
      <c r="TNY5" s="390"/>
      <c r="TNZ5" s="390"/>
      <c r="TOA5" s="390"/>
      <c r="TOB5" s="390"/>
      <c r="TOC5" s="390"/>
      <c r="TOD5" s="390"/>
      <c r="TOE5" s="390"/>
      <c r="TOF5" s="390"/>
      <c r="TOG5" s="390"/>
      <c r="TOH5" s="390"/>
      <c r="TOI5" s="390"/>
      <c r="TOJ5" s="390"/>
      <c r="TOK5" s="390"/>
      <c r="TOL5" s="390"/>
      <c r="TOM5" s="390"/>
      <c r="TON5" s="390"/>
      <c r="TOO5" s="390"/>
      <c r="TOP5" s="390"/>
      <c r="TOQ5" s="390"/>
      <c r="TOR5" s="390"/>
      <c r="TOS5" s="390"/>
      <c r="TOT5" s="390"/>
      <c r="TOU5" s="390"/>
      <c r="TOV5" s="390"/>
      <c r="TOW5" s="390"/>
      <c r="TOX5" s="390"/>
      <c r="TOY5" s="390"/>
      <c r="TOZ5" s="390"/>
      <c r="TPA5" s="390"/>
      <c r="TPB5" s="390"/>
      <c r="TPC5" s="390"/>
      <c r="TPD5" s="390"/>
      <c r="TPE5" s="390"/>
      <c r="TPF5" s="390"/>
      <c r="TPG5" s="390"/>
      <c r="TPH5" s="390"/>
      <c r="TPI5" s="390"/>
      <c r="TPJ5" s="390"/>
      <c r="TPK5" s="390"/>
      <c r="TPL5" s="390"/>
      <c r="TPM5" s="390"/>
      <c r="TPN5" s="390"/>
      <c r="TPO5" s="390"/>
      <c r="TPP5" s="390"/>
      <c r="TPQ5" s="390"/>
      <c r="TPR5" s="390"/>
      <c r="TPS5" s="390"/>
      <c r="TPT5" s="390"/>
      <c r="TPU5" s="390"/>
      <c r="TPV5" s="390"/>
      <c r="TPW5" s="390"/>
      <c r="TPX5" s="390"/>
      <c r="TPY5" s="390"/>
      <c r="TPZ5" s="390"/>
      <c r="TQA5" s="390"/>
      <c r="TQB5" s="390"/>
      <c r="TQC5" s="390"/>
      <c r="TQD5" s="390"/>
      <c r="TQE5" s="390"/>
      <c r="TQF5" s="390"/>
      <c r="TQG5" s="390"/>
      <c r="TQH5" s="390"/>
      <c r="TQI5" s="390"/>
      <c r="TQJ5" s="390"/>
      <c r="TQK5" s="390"/>
      <c r="TQL5" s="390"/>
      <c r="TQM5" s="390"/>
      <c r="TQN5" s="390"/>
      <c r="TQO5" s="390"/>
      <c r="TQP5" s="390"/>
      <c r="TQQ5" s="390"/>
      <c r="TQR5" s="390"/>
      <c r="TQS5" s="390"/>
      <c r="TQT5" s="390"/>
      <c r="TQU5" s="390"/>
      <c r="TQV5" s="390"/>
      <c r="TQW5" s="390"/>
      <c r="TQX5" s="390"/>
      <c r="TQY5" s="390"/>
      <c r="TQZ5" s="390"/>
      <c r="TRA5" s="390"/>
      <c r="TRB5" s="390"/>
      <c r="TRC5" s="390"/>
      <c r="TRD5" s="390"/>
      <c r="TRE5" s="390"/>
      <c r="TRF5" s="390"/>
      <c r="TRG5" s="390"/>
      <c r="TRH5" s="390"/>
      <c r="TRI5" s="390"/>
      <c r="TRJ5" s="390"/>
      <c r="TRK5" s="390"/>
      <c r="TRL5" s="390"/>
      <c r="TRM5" s="390"/>
      <c r="TRN5" s="390"/>
      <c r="TRO5" s="390"/>
      <c r="TRP5" s="390"/>
      <c r="TRQ5" s="390"/>
      <c r="TRR5" s="390"/>
      <c r="TRS5" s="390"/>
      <c r="TRT5" s="390"/>
      <c r="TRU5" s="390"/>
      <c r="TRV5" s="390"/>
      <c r="TRW5" s="390"/>
      <c r="TRX5" s="390"/>
      <c r="TRY5" s="390"/>
      <c r="TRZ5" s="390"/>
      <c r="TSA5" s="390"/>
      <c r="TSB5" s="390"/>
      <c r="TSC5" s="390"/>
      <c r="TSD5" s="390"/>
      <c r="TSE5" s="390"/>
      <c r="TSF5" s="390"/>
      <c r="TSG5" s="390"/>
      <c r="TSH5" s="390"/>
      <c r="TSI5" s="390"/>
      <c r="TSJ5" s="390"/>
      <c r="TSK5" s="390"/>
      <c r="TSL5" s="390"/>
      <c r="TSM5" s="390"/>
      <c r="TSN5" s="390"/>
      <c r="TSO5" s="390"/>
      <c r="TSP5" s="390"/>
      <c r="TSQ5" s="390"/>
      <c r="TSR5" s="390"/>
      <c r="TSS5" s="390"/>
      <c r="TST5" s="390"/>
      <c r="TSU5" s="390"/>
      <c r="TSV5" s="390"/>
      <c r="TSW5" s="390"/>
      <c r="TSX5" s="390"/>
      <c r="TSY5" s="390"/>
      <c r="TSZ5" s="390"/>
      <c r="TTA5" s="390"/>
      <c r="TTB5" s="390"/>
      <c r="TTC5" s="390"/>
      <c r="TTD5" s="390"/>
      <c r="TTE5" s="390"/>
      <c r="TTF5" s="390"/>
      <c r="TTG5" s="390"/>
      <c r="TTH5" s="390"/>
      <c r="TTI5" s="390"/>
      <c r="TTJ5" s="390"/>
      <c r="TTK5" s="390"/>
      <c r="TTL5" s="390"/>
      <c r="TTM5" s="390"/>
      <c r="TTN5" s="390"/>
      <c r="TTO5" s="390"/>
      <c r="TTP5" s="390"/>
      <c r="TTQ5" s="390"/>
      <c r="TTR5" s="390"/>
      <c r="TTS5" s="390"/>
      <c r="TTT5" s="390"/>
      <c r="TTU5" s="390"/>
      <c r="TTV5" s="390"/>
      <c r="TTW5" s="390"/>
      <c r="TTX5" s="390"/>
      <c r="TTY5" s="390"/>
      <c r="TTZ5" s="390"/>
      <c r="TUA5" s="390"/>
      <c r="TUB5" s="390"/>
      <c r="TUC5" s="390"/>
      <c r="TUD5" s="390"/>
      <c r="TUE5" s="390"/>
      <c r="TUF5" s="390"/>
      <c r="TUG5" s="390"/>
      <c r="TUH5" s="390"/>
      <c r="TUI5" s="390"/>
      <c r="TUJ5" s="390"/>
      <c r="TUK5" s="390"/>
      <c r="TUL5" s="390"/>
      <c r="TUM5" s="390"/>
      <c r="TUN5" s="390"/>
      <c r="TUO5" s="390"/>
      <c r="TUP5" s="390"/>
      <c r="TUQ5" s="390"/>
      <c r="TUR5" s="390"/>
      <c r="TUS5" s="390"/>
      <c r="TUT5" s="390"/>
      <c r="TUU5" s="390"/>
      <c r="TUV5" s="390"/>
      <c r="TUW5" s="390"/>
      <c r="TUX5" s="390"/>
      <c r="TUY5" s="390"/>
      <c r="TUZ5" s="390"/>
      <c r="TVA5" s="390"/>
      <c r="TVB5" s="390"/>
      <c r="TVC5" s="390"/>
      <c r="TVD5" s="390"/>
      <c r="TVE5" s="390"/>
      <c r="TVF5" s="390"/>
      <c r="TVG5" s="390"/>
      <c r="TVH5" s="390"/>
      <c r="TVI5" s="390"/>
      <c r="TVJ5" s="390"/>
      <c r="TVK5" s="390"/>
      <c r="TVL5" s="390"/>
      <c r="TVM5" s="390"/>
      <c r="TVN5" s="390"/>
      <c r="TVO5" s="390"/>
      <c r="TVP5" s="390"/>
      <c r="TVQ5" s="390"/>
      <c r="TVR5" s="390"/>
      <c r="TVS5" s="390"/>
      <c r="TVT5" s="390"/>
      <c r="TVU5" s="390"/>
      <c r="TVV5" s="390"/>
      <c r="TVW5" s="390"/>
      <c r="TVX5" s="390"/>
      <c r="TVY5" s="390"/>
      <c r="TVZ5" s="390"/>
      <c r="TWA5" s="390"/>
      <c r="TWB5" s="390"/>
      <c r="TWC5" s="390"/>
      <c r="TWD5" s="390"/>
      <c r="TWE5" s="390"/>
      <c r="TWF5" s="390"/>
      <c r="TWG5" s="390"/>
      <c r="TWH5" s="390"/>
      <c r="TWI5" s="390"/>
      <c r="TWJ5" s="390"/>
      <c r="TWK5" s="390"/>
      <c r="TWL5" s="390"/>
      <c r="TWM5" s="390"/>
      <c r="TWN5" s="390"/>
      <c r="TWO5" s="390"/>
      <c r="TWP5" s="390"/>
      <c r="TWQ5" s="390"/>
      <c r="TWR5" s="390"/>
      <c r="TWS5" s="390"/>
      <c r="TWT5" s="390"/>
      <c r="TWU5" s="390"/>
      <c r="TWV5" s="390"/>
      <c r="TWW5" s="390"/>
      <c r="TWX5" s="390"/>
      <c r="TWY5" s="390"/>
      <c r="TWZ5" s="390"/>
      <c r="TXA5" s="390"/>
      <c r="TXB5" s="390"/>
      <c r="TXC5" s="390"/>
      <c r="TXD5" s="390"/>
      <c r="TXE5" s="390"/>
      <c r="TXF5" s="390"/>
      <c r="TXG5" s="390"/>
      <c r="TXH5" s="390"/>
      <c r="TXI5" s="390"/>
      <c r="TXJ5" s="390"/>
      <c r="TXK5" s="390"/>
      <c r="TXL5" s="390"/>
      <c r="TXM5" s="390"/>
      <c r="TXN5" s="390"/>
      <c r="TXO5" s="390"/>
      <c r="TXP5" s="390"/>
      <c r="TXQ5" s="390"/>
      <c r="TXR5" s="390"/>
      <c r="TXS5" s="390"/>
      <c r="TXT5" s="390"/>
      <c r="TXU5" s="390"/>
      <c r="TXV5" s="390"/>
      <c r="TXW5" s="390"/>
      <c r="TXX5" s="390"/>
      <c r="TXY5" s="390"/>
      <c r="TXZ5" s="390"/>
      <c r="TYA5" s="390"/>
      <c r="TYB5" s="390"/>
      <c r="TYC5" s="390"/>
      <c r="TYD5" s="390"/>
      <c r="TYE5" s="390"/>
      <c r="TYF5" s="390"/>
      <c r="TYG5" s="390"/>
      <c r="TYH5" s="390"/>
      <c r="TYI5" s="390"/>
      <c r="TYJ5" s="390"/>
      <c r="TYK5" s="390"/>
      <c r="TYL5" s="390"/>
      <c r="TYM5" s="390"/>
      <c r="TYN5" s="390"/>
      <c r="TYO5" s="390"/>
      <c r="TYP5" s="390"/>
      <c r="TYQ5" s="390"/>
      <c r="TYR5" s="390"/>
      <c r="TYS5" s="390"/>
      <c r="TYT5" s="390"/>
      <c r="TYU5" s="390"/>
      <c r="TYV5" s="390"/>
      <c r="TYW5" s="390"/>
      <c r="TYX5" s="390"/>
      <c r="TYY5" s="390"/>
      <c r="TYZ5" s="390"/>
      <c r="TZA5" s="390"/>
      <c r="TZB5" s="390"/>
      <c r="TZC5" s="390"/>
      <c r="TZD5" s="390"/>
      <c r="TZE5" s="390"/>
      <c r="TZF5" s="390"/>
      <c r="TZG5" s="390"/>
      <c r="TZH5" s="390"/>
      <c r="TZI5" s="390"/>
      <c r="TZJ5" s="390"/>
      <c r="TZK5" s="390"/>
      <c r="TZL5" s="390"/>
      <c r="TZM5" s="390"/>
      <c r="TZN5" s="390"/>
      <c r="TZO5" s="390"/>
      <c r="TZP5" s="390"/>
      <c r="TZQ5" s="390"/>
      <c r="TZR5" s="390"/>
      <c r="TZS5" s="390"/>
      <c r="TZT5" s="390"/>
      <c r="TZU5" s="390"/>
      <c r="TZV5" s="390"/>
      <c r="TZW5" s="390"/>
      <c r="TZX5" s="390"/>
      <c r="TZY5" s="390"/>
      <c r="TZZ5" s="390"/>
      <c r="UAA5" s="390"/>
      <c r="UAB5" s="390"/>
      <c r="UAC5" s="390"/>
      <c r="UAD5" s="390"/>
      <c r="UAE5" s="390"/>
      <c r="UAF5" s="390"/>
      <c r="UAG5" s="390"/>
      <c r="UAH5" s="390"/>
      <c r="UAI5" s="390"/>
      <c r="UAJ5" s="390"/>
      <c r="UAK5" s="390"/>
      <c r="UAL5" s="390"/>
      <c r="UAM5" s="390"/>
      <c r="UAN5" s="390"/>
      <c r="UAO5" s="390"/>
      <c r="UAP5" s="390"/>
      <c r="UAQ5" s="390"/>
      <c r="UAR5" s="390"/>
      <c r="UAS5" s="390"/>
      <c r="UAT5" s="390"/>
      <c r="UAU5" s="390"/>
      <c r="UAV5" s="390"/>
      <c r="UAW5" s="390"/>
      <c r="UAX5" s="390"/>
      <c r="UAY5" s="390"/>
      <c r="UAZ5" s="390"/>
      <c r="UBA5" s="390"/>
      <c r="UBB5" s="390"/>
      <c r="UBC5" s="390"/>
      <c r="UBD5" s="390"/>
      <c r="UBE5" s="390"/>
      <c r="UBF5" s="390"/>
      <c r="UBG5" s="390"/>
      <c r="UBH5" s="390"/>
      <c r="UBI5" s="390"/>
      <c r="UBJ5" s="390"/>
      <c r="UBK5" s="390"/>
      <c r="UBL5" s="390"/>
      <c r="UBM5" s="390"/>
      <c r="UBN5" s="390"/>
      <c r="UBO5" s="390"/>
      <c r="UBP5" s="390"/>
      <c r="UBQ5" s="390"/>
      <c r="UBR5" s="390"/>
      <c r="UBS5" s="390"/>
      <c r="UBT5" s="390"/>
      <c r="UBU5" s="390"/>
      <c r="UBV5" s="390"/>
      <c r="UBW5" s="390"/>
      <c r="UBX5" s="390"/>
      <c r="UBY5" s="390"/>
      <c r="UBZ5" s="390"/>
      <c r="UCA5" s="390"/>
      <c r="UCB5" s="390"/>
      <c r="UCC5" s="390"/>
      <c r="UCD5" s="390"/>
      <c r="UCE5" s="390"/>
      <c r="UCF5" s="390"/>
      <c r="UCG5" s="390"/>
      <c r="UCH5" s="390"/>
      <c r="UCI5" s="390"/>
      <c r="UCJ5" s="390"/>
      <c r="UCK5" s="390"/>
      <c r="UCL5" s="390"/>
      <c r="UCM5" s="390"/>
      <c r="UCN5" s="390"/>
      <c r="UCO5" s="390"/>
      <c r="UCP5" s="390"/>
      <c r="UCQ5" s="390"/>
      <c r="UCR5" s="390"/>
      <c r="UCS5" s="390"/>
      <c r="UCT5" s="390"/>
      <c r="UCU5" s="390"/>
      <c r="UCV5" s="390"/>
      <c r="UCW5" s="390"/>
      <c r="UCX5" s="390"/>
      <c r="UCY5" s="390"/>
      <c r="UCZ5" s="390"/>
      <c r="UDA5" s="390"/>
      <c r="UDB5" s="390"/>
      <c r="UDC5" s="390"/>
      <c r="UDD5" s="390"/>
      <c r="UDE5" s="390"/>
      <c r="UDF5" s="390"/>
      <c r="UDG5" s="390"/>
      <c r="UDH5" s="390"/>
      <c r="UDI5" s="390"/>
      <c r="UDJ5" s="390"/>
      <c r="UDK5" s="390"/>
      <c r="UDL5" s="390"/>
      <c r="UDM5" s="390"/>
      <c r="UDN5" s="390"/>
      <c r="UDO5" s="390"/>
      <c r="UDP5" s="390"/>
      <c r="UDQ5" s="390"/>
      <c r="UDR5" s="390"/>
      <c r="UDS5" s="390"/>
      <c r="UDT5" s="390"/>
      <c r="UDU5" s="390"/>
      <c r="UDV5" s="390"/>
      <c r="UDW5" s="390"/>
      <c r="UDX5" s="390"/>
      <c r="UDY5" s="390"/>
      <c r="UDZ5" s="390"/>
      <c r="UEA5" s="390"/>
      <c r="UEB5" s="390"/>
      <c r="UEC5" s="390"/>
      <c r="UED5" s="390"/>
      <c r="UEE5" s="390"/>
      <c r="UEF5" s="390"/>
      <c r="UEG5" s="390"/>
      <c r="UEH5" s="390"/>
      <c r="UEI5" s="390"/>
      <c r="UEJ5" s="390"/>
      <c r="UEK5" s="390"/>
      <c r="UEL5" s="390"/>
      <c r="UEM5" s="390"/>
      <c r="UEN5" s="390"/>
      <c r="UEO5" s="390"/>
      <c r="UEP5" s="390"/>
      <c r="UEQ5" s="390"/>
      <c r="UER5" s="390"/>
      <c r="UES5" s="390"/>
      <c r="UET5" s="390"/>
      <c r="UEU5" s="390"/>
      <c r="UEV5" s="390"/>
      <c r="UEW5" s="390"/>
      <c r="UEX5" s="390"/>
      <c r="UEY5" s="390"/>
      <c r="UEZ5" s="390"/>
      <c r="UFA5" s="390"/>
      <c r="UFB5" s="390"/>
      <c r="UFC5" s="390"/>
      <c r="UFD5" s="390"/>
      <c r="UFE5" s="390"/>
      <c r="UFF5" s="390"/>
      <c r="UFG5" s="390"/>
      <c r="UFH5" s="390"/>
      <c r="UFI5" s="390"/>
      <c r="UFJ5" s="390"/>
      <c r="UFK5" s="390"/>
      <c r="UFL5" s="390"/>
      <c r="UFM5" s="390"/>
      <c r="UFN5" s="390"/>
      <c r="UFO5" s="390"/>
      <c r="UFP5" s="390"/>
      <c r="UFQ5" s="390"/>
      <c r="UFR5" s="390"/>
      <c r="UFS5" s="390"/>
      <c r="UFT5" s="390"/>
      <c r="UFU5" s="390"/>
      <c r="UFV5" s="390"/>
      <c r="UFW5" s="390"/>
      <c r="UFX5" s="390"/>
      <c r="UFY5" s="390"/>
      <c r="UFZ5" s="390"/>
      <c r="UGA5" s="390"/>
      <c r="UGB5" s="390"/>
      <c r="UGC5" s="390"/>
      <c r="UGD5" s="390"/>
      <c r="UGE5" s="390"/>
      <c r="UGF5" s="390"/>
      <c r="UGG5" s="390"/>
      <c r="UGH5" s="390"/>
      <c r="UGI5" s="390"/>
      <c r="UGJ5" s="390"/>
      <c r="UGK5" s="390"/>
      <c r="UGL5" s="390"/>
      <c r="UGM5" s="390"/>
      <c r="UGN5" s="390"/>
      <c r="UGO5" s="390"/>
      <c r="UGP5" s="390"/>
      <c r="UGQ5" s="390"/>
      <c r="UGR5" s="390"/>
      <c r="UGS5" s="390"/>
      <c r="UGT5" s="390"/>
      <c r="UGU5" s="390"/>
      <c r="UGV5" s="390"/>
      <c r="UGW5" s="390"/>
      <c r="UGX5" s="390"/>
      <c r="UGY5" s="390"/>
      <c r="UGZ5" s="390"/>
      <c r="UHA5" s="390"/>
      <c r="UHB5" s="390"/>
      <c r="UHC5" s="390"/>
      <c r="UHD5" s="390"/>
      <c r="UHE5" s="390"/>
      <c r="UHF5" s="390"/>
      <c r="UHG5" s="390"/>
      <c r="UHH5" s="390"/>
      <c r="UHI5" s="390"/>
      <c r="UHJ5" s="390"/>
      <c r="UHK5" s="390"/>
      <c r="UHL5" s="390"/>
      <c r="UHM5" s="390"/>
      <c r="UHN5" s="390"/>
      <c r="UHO5" s="390"/>
      <c r="UHP5" s="390"/>
      <c r="UHQ5" s="390"/>
      <c r="UHR5" s="390"/>
      <c r="UHS5" s="390"/>
      <c r="UHT5" s="390"/>
      <c r="UHU5" s="390"/>
      <c r="UHV5" s="390"/>
      <c r="UHW5" s="390"/>
      <c r="UHX5" s="390"/>
      <c r="UHY5" s="390"/>
      <c r="UHZ5" s="390"/>
      <c r="UIA5" s="390"/>
      <c r="UIB5" s="390"/>
      <c r="UIC5" s="390"/>
      <c r="UID5" s="390"/>
      <c r="UIE5" s="390"/>
      <c r="UIF5" s="390"/>
      <c r="UIG5" s="390"/>
      <c r="UIH5" s="390"/>
      <c r="UII5" s="390"/>
      <c r="UIJ5" s="390"/>
      <c r="UIK5" s="390"/>
      <c r="UIL5" s="390"/>
      <c r="UIM5" s="390"/>
      <c r="UIN5" s="390"/>
      <c r="UIO5" s="390"/>
      <c r="UIP5" s="390"/>
      <c r="UIQ5" s="390"/>
      <c r="UIR5" s="390"/>
      <c r="UIS5" s="390"/>
      <c r="UIT5" s="390"/>
      <c r="UIU5" s="390"/>
      <c r="UIV5" s="390"/>
      <c r="UIW5" s="390"/>
      <c r="UIX5" s="390"/>
      <c r="UIY5" s="390"/>
      <c r="UIZ5" s="390"/>
      <c r="UJA5" s="390"/>
      <c r="UJB5" s="390"/>
      <c r="UJC5" s="390"/>
      <c r="UJD5" s="390"/>
      <c r="UJE5" s="390"/>
      <c r="UJF5" s="390"/>
      <c r="UJG5" s="390"/>
      <c r="UJH5" s="390"/>
      <c r="UJI5" s="390"/>
      <c r="UJJ5" s="390"/>
      <c r="UJK5" s="390"/>
      <c r="UJL5" s="390"/>
      <c r="UJM5" s="390"/>
      <c r="UJN5" s="390"/>
      <c r="UJO5" s="390"/>
      <c r="UJP5" s="390"/>
      <c r="UJQ5" s="390"/>
      <c r="UJR5" s="390"/>
      <c r="UJS5" s="390"/>
      <c r="UJT5" s="390"/>
      <c r="UJU5" s="390"/>
      <c r="UJV5" s="390"/>
      <c r="UJW5" s="390"/>
      <c r="UJX5" s="390"/>
      <c r="UJY5" s="390"/>
      <c r="UJZ5" s="390"/>
      <c r="UKA5" s="390"/>
      <c r="UKB5" s="390"/>
      <c r="UKC5" s="390"/>
      <c r="UKD5" s="390"/>
      <c r="UKE5" s="390"/>
      <c r="UKF5" s="390"/>
      <c r="UKG5" s="390"/>
      <c r="UKH5" s="390"/>
      <c r="UKI5" s="390"/>
      <c r="UKJ5" s="390"/>
      <c r="UKK5" s="390"/>
      <c r="UKL5" s="390"/>
      <c r="UKM5" s="390"/>
      <c r="UKN5" s="390"/>
      <c r="UKO5" s="390"/>
      <c r="UKP5" s="390"/>
      <c r="UKQ5" s="390"/>
      <c r="UKR5" s="390"/>
      <c r="UKS5" s="390"/>
      <c r="UKT5" s="390"/>
      <c r="UKU5" s="390"/>
      <c r="UKV5" s="390"/>
      <c r="UKW5" s="390"/>
      <c r="UKX5" s="390"/>
      <c r="UKY5" s="390"/>
      <c r="UKZ5" s="390"/>
      <c r="ULA5" s="390"/>
      <c r="ULB5" s="390"/>
      <c r="ULC5" s="390"/>
      <c r="ULD5" s="390"/>
      <c r="ULE5" s="390"/>
      <c r="ULF5" s="390"/>
      <c r="ULG5" s="390"/>
      <c r="ULH5" s="390"/>
      <c r="ULI5" s="390"/>
      <c r="ULJ5" s="390"/>
      <c r="ULK5" s="390"/>
      <c r="ULL5" s="390"/>
      <c r="ULM5" s="390"/>
      <c r="ULN5" s="390"/>
      <c r="ULO5" s="390"/>
      <c r="ULP5" s="390"/>
      <c r="ULQ5" s="390"/>
      <c r="ULR5" s="390"/>
      <c r="ULS5" s="390"/>
      <c r="ULT5" s="390"/>
      <c r="ULU5" s="390"/>
      <c r="ULV5" s="390"/>
      <c r="ULW5" s="390"/>
      <c r="ULX5" s="390"/>
      <c r="ULY5" s="390"/>
      <c r="ULZ5" s="390"/>
      <c r="UMA5" s="390"/>
      <c r="UMB5" s="390"/>
      <c r="UMC5" s="390"/>
      <c r="UMD5" s="390"/>
      <c r="UME5" s="390"/>
      <c r="UMF5" s="390"/>
      <c r="UMG5" s="390"/>
      <c r="UMH5" s="390"/>
      <c r="UMI5" s="390"/>
      <c r="UMJ5" s="390"/>
      <c r="UMK5" s="390"/>
      <c r="UML5" s="390"/>
      <c r="UMM5" s="390"/>
      <c r="UMN5" s="390"/>
      <c r="UMO5" s="390"/>
      <c r="UMP5" s="390"/>
      <c r="UMQ5" s="390"/>
      <c r="UMR5" s="390"/>
      <c r="UMS5" s="390"/>
      <c r="UMT5" s="390"/>
      <c r="UMU5" s="390"/>
      <c r="UMV5" s="390"/>
      <c r="UMW5" s="390"/>
      <c r="UMX5" s="390"/>
      <c r="UMY5" s="390"/>
      <c r="UMZ5" s="390"/>
      <c r="UNA5" s="390"/>
      <c r="UNB5" s="390"/>
      <c r="UNC5" s="390"/>
      <c r="UND5" s="390"/>
      <c r="UNE5" s="390"/>
      <c r="UNF5" s="390"/>
      <c r="UNG5" s="390"/>
      <c r="UNH5" s="390"/>
      <c r="UNI5" s="390"/>
      <c r="UNJ5" s="390"/>
      <c r="UNK5" s="390"/>
      <c r="UNL5" s="390"/>
      <c r="UNM5" s="390"/>
      <c r="UNN5" s="390"/>
      <c r="UNO5" s="390"/>
      <c r="UNP5" s="390"/>
      <c r="UNQ5" s="390"/>
      <c r="UNR5" s="390"/>
      <c r="UNS5" s="390"/>
      <c r="UNT5" s="390"/>
      <c r="UNU5" s="390"/>
      <c r="UNV5" s="390"/>
      <c r="UNW5" s="390"/>
      <c r="UNX5" s="390"/>
      <c r="UNY5" s="390"/>
      <c r="UNZ5" s="390"/>
      <c r="UOA5" s="390"/>
      <c r="UOB5" s="390"/>
      <c r="UOC5" s="390"/>
      <c r="UOD5" s="390"/>
      <c r="UOE5" s="390"/>
      <c r="UOF5" s="390"/>
      <c r="UOG5" s="390"/>
      <c r="UOH5" s="390"/>
      <c r="UOI5" s="390"/>
      <c r="UOJ5" s="390"/>
      <c r="UOK5" s="390"/>
      <c r="UOL5" s="390"/>
      <c r="UOM5" s="390"/>
      <c r="UON5" s="390"/>
      <c r="UOO5" s="390"/>
      <c r="UOP5" s="390"/>
      <c r="UOQ5" s="390"/>
      <c r="UOR5" s="390"/>
      <c r="UOS5" s="390"/>
      <c r="UOT5" s="390"/>
      <c r="UOU5" s="390"/>
      <c r="UOV5" s="390"/>
      <c r="UOW5" s="390"/>
      <c r="UOX5" s="390"/>
      <c r="UOY5" s="390"/>
      <c r="UOZ5" s="390"/>
      <c r="UPA5" s="390"/>
      <c r="UPB5" s="390"/>
      <c r="UPC5" s="390"/>
      <c r="UPD5" s="390"/>
      <c r="UPE5" s="390"/>
      <c r="UPF5" s="390"/>
      <c r="UPG5" s="390"/>
      <c r="UPH5" s="390"/>
      <c r="UPI5" s="390"/>
      <c r="UPJ5" s="390"/>
      <c r="UPK5" s="390"/>
      <c r="UPL5" s="390"/>
      <c r="UPM5" s="390"/>
      <c r="UPN5" s="390"/>
      <c r="UPO5" s="390"/>
      <c r="UPP5" s="390"/>
      <c r="UPQ5" s="390"/>
      <c r="UPR5" s="390"/>
      <c r="UPS5" s="390"/>
      <c r="UPT5" s="390"/>
      <c r="UPU5" s="390"/>
      <c r="UPV5" s="390"/>
      <c r="UPW5" s="390"/>
      <c r="UPX5" s="390"/>
      <c r="UPY5" s="390"/>
      <c r="UPZ5" s="390"/>
      <c r="UQA5" s="390"/>
      <c r="UQB5" s="390"/>
      <c r="UQC5" s="390"/>
      <c r="UQD5" s="390"/>
      <c r="UQE5" s="390"/>
      <c r="UQF5" s="390"/>
      <c r="UQG5" s="390"/>
      <c r="UQH5" s="390"/>
      <c r="UQI5" s="390"/>
      <c r="UQJ5" s="390"/>
      <c r="UQK5" s="390"/>
      <c r="UQL5" s="390"/>
      <c r="UQM5" s="390"/>
      <c r="UQN5" s="390"/>
      <c r="UQO5" s="390"/>
      <c r="UQP5" s="390"/>
      <c r="UQQ5" s="390"/>
      <c r="UQR5" s="390"/>
      <c r="UQS5" s="390"/>
      <c r="UQT5" s="390"/>
      <c r="UQU5" s="390"/>
      <c r="UQV5" s="390"/>
      <c r="UQW5" s="390"/>
      <c r="UQX5" s="390"/>
      <c r="UQY5" s="390"/>
      <c r="UQZ5" s="390"/>
      <c r="URA5" s="390"/>
      <c r="URB5" s="390"/>
      <c r="URC5" s="390"/>
      <c r="URD5" s="390"/>
      <c r="URE5" s="390"/>
      <c r="URF5" s="390"/>
      <c r="URG5" s="390"/>
      <c r="URH5" s="390"/>
      <c r="URI5" s="390"/>
      <c r="URJ5" s="390"/>
      <c r="URK5" s="390"/>
      <c r="URL5" s="390"/>
      <c r="URM5" s="390"/>
      <c r="URN5" s="390"/>
      <c r="URO5" s="390"/>
      <c r="URP5" s="390"/>
      <c r="URQ5" s="390"/>
      <c r="URR5" s="390"/>
      <c r="URS5" s="390"/>
      <c r="URT5" s="390"/>
      <c r="URU5" s="390"/>
      <c r="URV5" s="390"/>
      <c r="URW5" s="390"/>
      <c r="URX5" s="390"/>
      <c r="URY5" s="390"/>
      <c r="URZ5" s="390"/>
      <c r="USA5" s="390"/>
      <c r="USB5" s="390"/>
      <c r="USC5" s="390"/>
      <c r="USD5" s="390"/>
      <c r="USE5" s="390"/>
      <c r="USF5" s="390"/>
      <c r="USG5" s="390"/>
      <c r="USH5" s="390"/>
      <c r="USI5" s="390"/>
      <c r="USJ5" s="390"/>
      <c r="USK5" s="390"/>
      <c r="USL5" s="390"/>
      <c r="USM5" s="390"/>
      <c r="USN5" s="390"/>
      <c r="USO5" s="390"/>
      <c r="USP5" s="390"/>
      <c r="USQ5" s="390"/>
      <c r="USR5" s="390"/>
      <c r="USS5" s="390"/>
      <c r="UST5" s="390"/>
      <c r="USU5" s="390"/>
      <c r="USV5" s="390"/>
      <c r="USW5" s="390"/>
      <c r="USX5" s="390"/>
      <c r="USY5" s="390"/>
      <c r="USZ5" s="390"/>
      <c r="UTA5" s="390"/>
      <c r="UTB5" s="390"/>
      <c r="UTC5" s="390"/>
      <c r="UTD5" s="390"/>
      <c r="UTE5" s="390"/>
      <c r="UTF5" s="390"/>
      <c r="UTG5" s="390"/>
      <c r="UTH5" s="390"/>
      <c r="UTI5" s="390"/>
      <c r="UTJ5" s="390"/>
      <c r="UTK5" s="390"/>
      <c r="UTL5" s="390"/>
      <c r="UTM5" s="390"/>
      <c r="UTN5" s="390"/>
      <c r="UTO5" s="390"/>
      <c r="UTP5" s="390"/>
      <c r="UTQ5" s="390"/>
      <c r="UTR5" s="390"/>
      <c r="UTS5" s="390"/>
      <c r="UTT5" s="390"/>
      <c r="UTU5" s="390"/>
      <c r="UTV5" s="390"/>
      <c r="UTW5" s="390"/>
      <c r="UTX5" s="390"/>
      <c r="UTY5" s="390"/>
      <c r="UTZ5" s="390"/>
      <c r="UUA5" s="390"/>
      <c r="UUB5" s="390"/>
      <c r="UUC5" s="390"/>
      <c r="UUD5" s="390"/>
      <c r="UUE5" s="390"/>
      <c r="UUF5" s="390"/>
      <c r="UUG5" s="390"/>
      <c r="UUH5" s="390"/>
      <c r="UUI5" s="390"/>
      <c r="UUJ5" s="390"/>
      <c r="UUK5" s="390"/>
      <c r="UUL5" s="390"/>
      <c r="UUM5" s="390"/>
      <c r="UUN5" s="390"/>
      <c r="UUO5" s="390"/>
      <c r="UUP5" s="390"/>
      <c r="UUQ5" s="390"/>
      <c r="UUR5" s="390"/>
      <c r="UUS5" s="390"/>
      <c r="UUT5" s="390"/>
      <c r="UUU5" s="390"/>
      <c r="UUV5" s="390"/>
      <c r="UUW5" s="390"/>
      <c r="UUX5" s="390"/>
      <c r="UUY5" s="390"/>
      <c r="UUZ5" s="390"/>
      <c r="UVA5" s="390"/>
      <c r="UVB5" s="390"/>
      <c r="UVC5" s="390"/>
      <c r="UVD5" s="390"/>
      <c r="UVE5" s="390"/>
      <c r="UVF5" s="390"/>
      <c r="UVG5" s="390"/>
      <c r="UVH5" s="390"/>
      <c r="UVI5" s="390"/>
      <c r="UVJ5" s="390"/>
      <c r="UVK5" s="390"/>
      <c r="UVL5" s="390"/>
      <c r="UVM5" s="390"/>
      <c r="UVN5" s="390"/>
      <c r="UVO5" s="390"/>
      <c r="UVP5" s="390"/>
      <c r="UVQ5" s="390"/>
      <c r="UVR5" s="390"/>
      <c r="UVS5" s="390"/>
      <c r="UVT5" s="390"/>
      <c r="UVU5" s="390"/>
      <c r="UVV5" s="390"/>
      <c r="UVW5" s="390"/>
      <c r="UVX5" s="390"/>
      <c r="UVY5" s="390"/>
      <c r="UVZ5" s="390"/>
      <c r="UWA5" s="390"/>
      <c r="UWB5" s="390"/>
      <c r="UWC5" s="390"/>
      <c r="UWD5" s="390"/>
      <c r="UWE5" s="390"/>
      <c r="UWF5" s="390"/>
      <c r="UWG5" s="390"/>
      <c r="UWH5" s="390"/>
      <c r="UWI5" s="390"/>
      <c r="UWJ5" s="390"/>
      <c r="UWK5" s="390"/>
      <c r="UWL5" s="390"/>
      <c r="UWM5" s="390"/>
      <c r="UWN5" s="390"/>
      <c r="UWO5" s="390"/>
      <c r="UWP5" s="390"/>
      <c r="UWQ5" s="390"/>
      <c r="UWR5" s="390"/>
      <c r="UWS5" s="390"/>
      <c r="UWT5" s="390"/>
      <c r="UWU5" s="390"/>
      <c r="UWV5" s="390"/>
      <c r="UWW5" s="390"/>
      <c r="UWX5" s="390"/>
      <c r="UWY5" s="390"/>
      <c r="UWZ5" s="390"/>
      <c r="UXA5" s="390"/>
      <c r="UXB5" s="390"/>
      <c r="UXC5" s="390"/>
      <c r="UXD5" s="390"/>
      <c r="UXE5" s="390"/>
      <c r="UXF5" s="390"/>
      <c r="UXG5" s="390"/>
      <c r="UXH5" s="390"/>
      <c r="UXI5" s="390"/>
      <c r="UXJ5" s="390"/>
      <c r="UXK5" s="390"/>
      <c r="UXL5" s="390"/>
      <c r="UXM5" s="390"/>
      <c r="UXN5" s="390"/>
      <c r="UXO5" s="390"/>
      <c r="UXP5" s="390"/>
      <c r="UXQ5" s="390"/>
      <c r="UXR5" s="390"/>
      <c r="UXS5" s="390"/>
      <c r="UXT5" s="390"/>
      <c r="UXU5" s="390"/>
      <c r="UXV5" s="390"/>
      <c r="UXW5" s="390"/>
      <c r="UXX5" s="390"/>
      <c r="UXY5" s="390"/>
      <c r="UXZ5" s="390"/>
      <c r="UYA5" s="390"/>
      <c r="UYB5" s="390"/>
      <c r="UYC5" s="390"/>
      <c r="UYD5" s="390"/>
      <c r="UYE5" s="390"/>
      <c r="UYF5" s="390"/>
      <c r="UYG5" s="390"/>
      <c r="UYH5" s="390"/>
      <c r="UYI5" s="390"/>
      <c r="UYJ5" s="390"/>
      <c r="UYK5" s="390"/>
      <c r="UYL5" s="390"/>
      <c r="UYM5" s="390"/>
      <c r="UYN5" s="390"/>
      <c r="UYO5" s="390"/>
      <c r="UYP5" s="390"/>
      <c r="UYQ5" s="390"/>
      <c r="UYR5" s="390"/>
      <c r="UYS5" s="390"/>
      <c r="UYT5" s="390"/>
      <c r="UYU5" s="390"/>
      <c r="UYV5" s="390"/>
      <c r="UYW5" s="390"/>
      <c r="UYX5" s="390"/>
      <c r="UYY5" s="390"/>
      <c r="UYZ5" s="390"/>
      <c r="UZA5" s="390"/>
      <c r="UZB5" s="390"/>
      <c r="UZC5" s="390"/>
      <c r="UZD5" s="390"/>
      <c r="UZE5" s="390"/>
      <c r="UZF5" s="390"/>
      <c r="UZG5" s="390"/>
      <c r="UZH5" s="390"/>
      <c r="UZI5" s="390"/>
      <c r="UZJ5" s="390"/>
      <c r="UZK5" s="390"/>
      <c r="UZL5" s="390"/>
      <c r="UZM5" s="390"/>
      <c r="UZN5" s="390"/>
      <c r="UZO5" s="390"/>
      <c r="UZP5" s="390"/>
      <c r="UZQ5" s="390"/>
      <c r="UZR5" s="390"/>
      <c r="UZS5" s="390"/>
      <c r="UZT5" s="390"/>
      <c r="UZU5" s="390"/>
      <c r="UZV5" s="390"/>
      <c r="UZW5" s="390"/>
      <c r="UZX5" s="390"/>
      <c r="UZY5" s="390"/>
      <c r="UZZ5" s="390"/>
      <c r="VAA5" s="390"/>
      <c r="VAB5" s="390"/>
      <c r="VAC5" s="390"/>
      <c r="VAD5" s="390"/>
      <c r="VAE5" s="390"/>
      <c r="VAF5" s="390"/>
      <c r="VAG5" s="390"/>
      <c r="VAH5" s="390"/>
      <c r="VAI5" s="390"/>
      <c r="VAJ5" s="390"/>
      <c r="VAK5" s="390"/>
      <c r="VAL5" s="390"/>
      <c r="VAM5" s="390"/>
      <c r="VAN5" s="390"/>
      <c r="VAO5" s="390"/>
      <c r="VAP5" s="390"/>
      <c r="VAQ5" s="390"/>
      <c r="VAR5" s="390"/>
      <c r="VAS5" s="390"/>
      <c r="VAT5" s="390"/>
      <c r="VAU5" s="390"/>
      <c r="VAV5" s="390"/>
      <c r="VAW5" s="390"/>
      <c r="VAX5" s="390"/>
      <c r="VAY5" s="390"/>
      <c r="VAZ5" s="390"/>
      <c r="VBA5" s="390"/>
      <c r="VBB5" s="390"/>
      <c r="VBC5" s="390"/>
      <c r="VBD5" s="390"/>
      <c r="VBE5" s="390"/>
      <c r="VBF5" s="390"/>
      <c r="VBG5" s="390"/>
      <c r="VBH5" s="390"/>
      <c r="VBI5" s="390"/>
      <c r="VBJ5" s="390"/>
      <c r="VBK5" s="390"/>
      <c r="VBL5" s="390"/>
      <c r="VBM5" s="390"/>
      <c r="VBN5" s="390"/>
      <c r="VBO5" s="390"/>
      <c r="VBP5" s="390"/>
      <c r="VBQ5" s="390"/>
      <c r="VBR5" s="390"/>
      <c r="VBS5" s="390"/>
      <c r="VBT5" s="390"/>
      <c r="VBU5" s="390"/>
      <c r="VBV5" s="390"/>
      <c r="VBW5" s="390"/>
      <c r="VBX5" s="390"/>
      <c r="VBY5" s="390"/>
      <c r="VBZ5" s="390"/>
      <c r="VCA5" s="390"/>
      <c r="VCB5" s="390"/>
      <c r="VCC5" s="390"/>
      <c r="VCD5" s="390"/>
      <c r="VCE5" s="390"/>
      <c r="VCF5" s="390"/>
      <c r="VCG5" s="390"/>
      <c r="VCH5" s="390"/>
      <c r="VCI5" s="390"/>
      <c r="VCJ5" s="390"/>
      <c r="VCK5" s="390"/>
      <c r="VCL5" s="390"/>
      <c r="VCM5" s="390"/>
      <c r="VCN5" s="390"/>
      <c r="VCO5" s="390"/>
      <c r="VCP5" s="390"/>
      <c r="VCQ5" s="390"/>
      <c r="VCR5" s="390"/>
      <c r="VCS5" s="390"/>
      <c r="VCT5" s="390"/>
      <c r="VCU5" s="390"/>
      <c r="VCV5" s="390"/>
      <c r="VCW5" s="390"/>
      <c r="VCX5" s="390"/>
      <c r="VCY5" s="390"/>
      <c r="VCZ5" s="390"/>
      <c r="VDA5" s="390"/>
      <c r="VDB5" s="390"/>
      <c r="VDC5" s="390"/>
      <c r="VDD5" s="390"/>
      <c r="VDE5" s="390"/>
      <c r="VDF5" s="390"/>
      <c r="VDG5" s="390"/>
      <c r="VDH5" s="390"/>
      <c r="VDI5" s="390"/>
      <c r="VDJ5" s="390"/>
      <c r="VDK5" s="390"/>
      <c r="VDL5" s="390"/>
      <c r="VDM5" s="390"/>
      <c r="VDN5" s="390"/>
      <c r="VDO5" s="390"/>
      <c r="VDP5" s="390"/>
      <c r="VDQ5" s="390"/>
      <c r="VDR5" s="390"/>
      <c r="VDS5" s="390"/>
      <c r="VDT5" s="390"/>
      <c r="VDU5" s="390"/>
      <c r="VDV5" s="390"/>
      <c r="VDW5" s="390"/>
      <c r="VDX5" s="390"/>
      <c r="VDY5" s="390"/>
      <c r="VDZ5" s="390"/>
      <c r="VEA5" s="390"/>
      <c r="VEB5" s="390"/>
      <c r="VEC5" s="390"/>
      <c r="VED5" s="390"/>
      <c r="VEE5" s="390"/>
      <c r="VEF5" s="390"/>
      <c r="VEG5" s="390"/>
      <c r="VEH5" s="390"/>
      <c r="VEI5" s="390"/>
      <c r="VEJ5" s="390"/>
      <c r="VEK5" s="390"/>
      <c r="VEL5" s="390"/>
      <c r="VEM5" s="390"/>
      <c r="VEN5" s="390"/>
      <c r="VEO5" s="390"/>
      <c r="VEP5" s="390"/>
      <c r="VEQ5" s="390"/>
      <c r="VER5" s="390"/>
      <c r="VES5" s="390"/>
      <c r="VET5" s="390"/>
      <c r="VEU5" s="390"/>
      <c r="VEV5" s="390"/>
      <c r="VEW5" s="390"/>
      <c r="VEX5" s="390"/>
      <c r="VEY5" s="390"/>
      <c r="VEZ5" s="390"/>
      <c r="VFA5" s="390"/>
      <c r="VFB5" s="390"/>
      <c r="VFC5" s="390"/>
      <c r="VFD5" s="390"/>
      <c r="VFE5" s="390"/>
      <c r="VFF5" s="390"/>
      <c r="VFG5" s="390"/>
      <c r="VFH5" s="390"/>
      <c r="VFI5" s="390"/>
      <c r="VFJ5" s="390"/>
      <c r="VFK5" s="390"/>
      <c r="VFL5" s="390"/>
      <c r="VFM5" s="390"/>
      <c r="VFN5" s="390"/>
      <c r="VFO5" s="390"/>
      <c r="VFP5" s="390"/>
      <c r="VFQ5" s="390"/>
      <c r="VFR5" s="390"/>
      <c r="VFS5" s="390"/>
      <c r="VFT5" s="390"/>
      <c r="VFU5" s="390"/>
      <c r="VFV5" s="390"/>
      <c r="VFW5" s="390"/>
      <c r="VFX5" s="390"/>
      <c r="VFY5" s="390"/>
      <c r="VFZ5" s="390"/>
      <c r="VGA5" s="390"/>
      <c r="VGB5" s="390"/>
      <c r="VGC5" s="390"/>
      <c r="VGD5" s="390"/>
      <c r="VGE5" s="390"/>
      <c r="VGF5" s="390"/>
      <c r="VGG5" s="390"/>
      <c r="VGH5" s="390"/>
      <c r="VGI5" s="390"/>
      <c r="VGJ5" s="390"/>
      <c r="VGK5" s="390"/>
      <c r="VGL5" s="390"/>
      <c r="VGM5" s="390"/>
      <c r="VGN5" s="390"/>
      <c r="VGO5" s="390"/>
      <c r="VGP5" s="390"/>
      <c r="VGQ5" s="390"/>
      <c r="VGR5" s="390"/>
      <c r="VGS5" s="390"/>
      <c r="VGT5" s="390"/>
      <c r="VGU5" s="390"/>
      <c r="VGV5" s="390"/>
      <c r="VGW5" s="390"/>
      <c r="VGX5" s="390"/>
      <c r="VGY5" s="390"/>
      <c r="VGZ5" s="390"/>
      <c r="VHA5" s="390"/>
      <c r="VHB5" s="390"/>
      <c r="VHC5" s="390"/>
      <c r="VHD5" s="390"/>
      <c r="VHE5" s="390"/>
      <c r="VHF5" s="390"/>
      <c r="VHG5" s="390"/>
      <c r="VHH5" s="390"/>
      <c r="VHI5" s="390"/>
      <c r="VHJ5" s="390"/>
      <c r="VHK5" s="390"/>
      <c r="VHL5" s="390"/>
      <c r="VHM5" s="390"/>
      <c r="VHN5" s="390"/>
      <c r="VHO5" s="390"/>
      <c r="VHP5" s="390"/>
      <c r="VHQ5" s="390"/>
      <c r="VHR5" s="390"/>
      <c r="VHS5" s="390"/>
      <c r="VHT5" s="390"/>
      <c r="VHU5" s="390"/>
      <c r="VHV5" s="390"/>
      <c r="VHW5" s="390"/>
      <c r="VHX5" s="390"/>
      <c r="VHY5" s="390"/>
      <c r="VHZ5" s="390"/>
      <c r="VIA5" s="390"/>
      <c r="VIB5" s="390"/>
      <c r="VIC5" s="390"/>
      <c r="VID5" s="390"/>
      <c r="VIE5" s="390"/>
      <c r="VIF5" s="390"/>
      <c r="VIG5" s="390"/>
      <c r="VIH5" s="390"/>
      <c r="VII5" s="390"/>
      <c r="VIJ5" s="390"/>
      <c r="VIK5" s="390"/>
      <c r="VIL5" s="390"/>
      <c r="VIM5" s="390"/>
      <c r="VIN5" s="390"/>
      <c r="VIO5" s="390"/>
      <c r="VIP5" s="390"/>
      <c r="VIQ5" s="390"/>
      <c r="VIR5" s="390"/>
      <c r="VIS5" s="390"/>
      <c r="VIT5" s="390"/>
      <c r="VIU5" s="390"/>
      <c r="VIV5" s="390"/>
      <c r="VIW5" s="390"/>
      <c r="VIX5" s="390"/>
      <c r="VIY5" s="390"/>
      <c r="VIZ5" s="390"/>
      <c r="VJA5" s="390"/>
      <c r="VJB5" s="390"/>
      <c r="VJC5" s="390"/>
      <c r="VJD5" s="390"/>
      <c r="VJE5" s="390"/>
      <c r="VJF5" s="390"/>
      <c r="VJG5" s="390"/>
      <c r="VJH5" s="390"/>
      <c r="VJI5" s="390"/>
      <c r="VJJ5" s="390"/>
      <c r="VJK5" s="390"/>
      <c r="VJL5" s="390"/>
      <c r="VJM5" s="390"/>
      <c r="VJN5" s="390"/>
      <c r="VJO5" s="390"/>
      <c r="VJP5" s="390"/>
      <c r="VJQ5" s="390"/>
      <c r="VJR5" s="390"/>
      <c r="VJS5" s="390"/>
      <c r="VJT5" s="390"/>
      <c r="VJU5" s="390"/>
      <c r="VJV5" s="390"/>
      <c r="VJW5" s="390"/>
      <c r="VJX5" s="390"/>
      <c r="VJY5" s="390"/>
      <c r="VJZ5" s="390"/>
      <c r="VKA5" s="390"/>
      <c r="VKB5" s="390"/>
      <c r="VKC5" s="390"/>
      <c r="VKD5" s="390"/>
      <c r="VKE5" s="390"/>
      <c r="VKF5" s="390"/>
      <c r="VKG5" s="390"/>
      <c r="VKH5" s="390"/>
      <c r="VKI5" s="390"/>
      <c r="VKJ5" s="390"/>
      <c r="VKK5" s="390"/>
      <c r="VKL5" s="390"/>
      <c r="VKM5" s="390"/>
      <c r="VKN5" s="390"/>
      <c r="VKO5" s="390"/>
      <c r="VKP5" s="390"/>
      <c r="VKQ5" s="390"/>
      <c r="VKR5" s="390"/>
      <c r="VKS5" s="390"/>
      <c r="VKT5" s="390"/>
      <c r="VKU5" s="390"/>
      <c r="VKV5" s="390"/>
      <c r="VKW5" s="390"/>
      <c r="VKX5" s="390"/>
      <c r="VKY5" s="390"/>
      <c r="VKZ5" s="390"/>
      <c r="VLA5" s="390"/>
      <c r="VLB5" s="390"/>
      <c r="VLC5" s="390"/>
      <c r="VLD5" s="390"/>
      <c r="VLE5" s="390"/>
      <c r="VLF5" s="390"/>
      <c r="VLG5" s="390"/>
      <c r="VLH5" s="390"/>
      <c r="VLI5" s="390"/>
      <c r="VLJ5" s="390"/>
      <c r="VLK5" s="390"/>
      <c r="VLL5" s="390"/>
      <c r="VLM5" s="390"/>
      <c r="VLN5" s="390"/>
      <c r="VLO5" s="390"/>
      <c r="VLP5" s="390"/>
      <c r="VLQ5" s="390"/>
      <c r="VLR5" s="390"/>
      <c r="VLS5" s="390"/>
      <c r="VLT5" s="390"/>
      <c r="VLU5" s="390"/>
      <c r="VLV5" s="390"/>
      <c r="VLW5" s="390"/>
      <c r="VLX5" s="390"/>
      <c r="VLY5" s="390"/>
      <c r="VLZ5" s="390"/>
      <c r="VMA5" s="390"/>
      <c r="VMB5" s="390"/>
      <c r="VMC5" s="390"/>
      <c r="VMD5" s="390"/>
      <c r="VME5" s="390"/>
      <c r="VMF5" s="390"/>
      <c r="VMG5" s="390"/>
      <c r="VMH5" s="390"/>
      <c r="VMI5" s="390"/>
      <c r="VMJ5" s="390"/>
      <c r="VMK5" s="390"/>
      <c r="VML5" s="390"/>
      <c r="VMM5" s="390"/>
      <c r="VMN5" s="390"/>
      <c r="VMO5" s="390"/>
      <c r="VMP5" s="390"/>
      <c r="VMQ5" s="390"/>
      <c r="VMR5" s="390"/>
      <c r="VMS5" s="390"/>
      <c r="VMT5" s="390"/>
      <c r="VMU5" s="390"/>
      <c r="VMV5" s="390"/>
      <c r="VMW5" s="390"/>
      <c r="VMX5" s="390"/>
      <c r="VMY5" s="390"/>
      <c r="VMZ5" s="390"/>
      <c r="VNA5" s="390"/>
      <c r="VNB5" s="390"/>
      <c r="VNC5" s="390"/>
      <c r="VND5" s="390"/>
      <c r="VNE5" s="390"/>
      <c r="VNF5" s="390"/>
      <c r="VNG5" s="390"/>
      <c r="VNH5" s="390"/>
      <c r="VNI5" s="390"/>
      <c r="VNJ5" s="390"/>
      <c r="VNK5" s="390"/>
      <c r="VNL5" s="390"/>
      <c r="VNM5" s="390"/>
      <c r="VNN5" s="390"/>
      <c r="VNO5" s="390"/>
      <c r="VNP5" s="390"/>
      <c r="VNQ5" s="390"/>
      <c r="VNR5" s="390"/>
      <c r="VNS5" s="390"/>
      <c r="VNT5" s="390"/>
      <c r="VNU5" s="390"/>
      <c r="VNV5" s="390"/>
      <c r="VNW5" s="390"/>
      <c r="VNX5" s="390"/>
      <c r="VNY5" s="390"/>
      <c r="VNZ5" s="390"/>
      <c r="VOA5" s="390"/>
      <c r="VOB5" s="390"/>
      <c r="VOC5" s="390"/>
      <c r="VOD5" s="390"/>
      <c r="VOE5" s="390"/>
      <c r="VOF5" s="390"/>
      <c r="VOG5" s="390"/>
      <c r="VOH5" s="390"/>
      <c r="VOI5" s="390"/>
      <c r="VOJ5" s="390"/>
      <c r="VOK5" s="390"/>
      <c r="VOL5" s="390"/>
      <c r="VOM5" s="390"/>
      <c r="VON5" s="390"/>
      <c r="VOO5" s="390"/>
      <c r="VOP5" s="390"/>
      <c r="VOQ5" s="390"/>
      <c r="VOR5" s="390"/>
      <c r="VOS5" s="390"/>
      <c r="VOT5" s="390"/>
      <c r="VOU5" s="390"/>
      <c r="VOV5" s="390"/>
      <c r="VOW5" s="390"/>
      <c r="VOX5" s="390"/>
      <c r="VOY5" s="390"/>
      <c r="VOZ5" s="390"/>
      <c r="VPA5" s="390"/>
      <c r="VPB5" s="390"/>
      <c r="VPC5" s="390"/>
      <c r="VPD5" s="390"/>
      <c r="VPE5" s="390"/>
      <c r="VPF5" s="390"/>
      <c r="VPG5" s="390"/>
      <c r="VPH5" s="390"/>
      <c r="VPI5" s="390"/>
      <c r="VPJ5" s="390"/>
      <c r="VPK5" s="390"/>
      <c r="VPL5" s="390"/>
      <c r="VPM5" s="390"/>
      <c r="VPN5" s="390"/>
      <c r="VPO5" s="390"/>
      <c r="VPP5" s="390"/>
      <c r="VPQ5" s="390"/>
      <c r="VPR5" s="390"/>
      <c r="VPS5" s="390"/>
      <c r="VPT5" s="390"/>
      <c r="VPU5" s="390"/>
      <c r="VPV5" s="390"/>
      <c r="VPW5" s="390"/>
      <c r="VPX5" s="390"/>
      <c r="VPY5" s="390"/>
      <c r="VPZ5" s="390"/>
      <c r="VQA5" s="390"/>
      <c r="VQB5" s="390"/>
      <c r="VQC5" s="390"/>
      <c r="VQD5" s="390"/>
      <c r="VQE5" s="390"/>
      <c r="VQF5" s="390"/>
      <c r="VQG5" s="390"/>
      <c r="VQH5" s="390"/>
      <c r="VQI5" s="390"/>
      <c r="VQJ5" s="390"/>
      <c r="VQK5" s="390"/>
      <c r="VQL5" s="390"/>
      <c r="VQM5" s="390"/>
      <c r="VQN5" s="390"/>
      <c r="VQO5" s="390"/>
      <c r="VQP5" s="390"/>
      <c r="VQQ5" s="390"/>
      <c r="VQR5" s="390"/>
      <c r="VQS5" s="390"/>
      <c r="VQT5" s="390"/>
      <c r="VQU5" s="390"/>
      <c r="VQV5" s="390"/>
      <c r="VQW5" s="390"/>
      <c r="VQX5" s="390"/>
      <c r="VQY5" s="390"/>
      <c r="VQZ5" s="390"/>
      <c r="VRA5" s="390"/>
      <c r="VRB5" s="390"/>
      <c r="VRC5" s="390"/>
      <c r="VRD5" s="390"/>
      <c r="VRE5" s="390"/>
      <c r="VRF5" s="390"/>
      <c r="VRG5" s="390"/>
      <c r="VRH5" s="390"/>
      <c r="VRI5" s="390"/>
      <c r="VRJ5" s="390"/>
      <c r="VRK5" s="390"/>
      <c r="VRL5" s="390"/>
      <c r="VRM5" s="390"/>
      <c r="VRN5" s="390"/>
      <c r="VRO5" s="390"/>
      <c r="VRP5" s="390"/>
      <c r="VRQ5" s="390"/>
      <c r="VRR5" s="390"/>
      <c r="VRS5" s="390"/>
      <c r="VRT5" s="390"/>
      <c r="VRU5" s="390"/>
      <c r="VRV5" s="390"/>
      <c r="VRW5" s="390"/>
      <c r="VRX5" s="390"/>
      <c r="VRY5" s="390"/>
      <c r="VRZ5" s="390"/>
      <c r="VSA5" s="390"/>
      <c r="VSB5" s="390"/>
      <c r="VSC5" s="390"/>
      <c r="VSD5" s="390"/>
      <c r="VSE5" s="390"/>
      <c r="VSF5" s="390"/>
      <c r="VSG5" s="390"/>
      <c r="VSH5" s="390"/>
      <c r="VSI5" s="390"/>
      <c r="VSJ5" s="390"/>
      <c r="VSK5" s="390"/>
      <c r="VSL5" s="390"/>
      <c r="VSM5" s="390"/>
      <c r="VSN5" s="390"/>
      <c r="VSO5" s="390"/>
      <c r="VSP5" s="390"/>
      <c r="VSQ5" s="390"/>
      <c r="VSR5" s="390"/>
      <c r="VSS5" s="390"/>
      <c r="VST5" s="390"/>
      <c r="VSU5" s="390"/>
      <c r="VSV5" s="390"/>
      <c r="VSW5" s="390"/>
      <c r="VSX5" s="390"/>
      <c r="VSY5" s="390"/>
      <c r="VSZ5" s="390"/>
      <c r="VTA5" s="390"/>
      <c r="VTB5" s="390"/>
      <c r="VTC5" s="390"/>
      <c r="VTD5" s="390"/>
      <c r="VTE5" s="390"/>
      <c r="VTF5" s="390"/>
      <c r="VTG5" s="390"/>
      <c r="VTH5" s="390"/>
      <c r="VTI5" s="390"/>
      <c r="VTJ5" s="390"/>
      <c r="VTK5" s="390"/>
      <c r="VTL5" s="390"/>
      <c r="VTM5" s="390"/>
      <c r="VTN5" s="390"/>
      <c r="VTO5" s="390"/>
      <c r="VTP5" s="390"/>
      <c r="VTQ5" s="390"/>
      <c r="VTR5" s="390"/>
      <c r="VTS5" s="390"/>
      <c r="VTT5" s="390"/>
      <c r="VTU5" s="390"/>
      <c r="VTV5" s="390"/>
      <c r="VTW5" s="390"/>
      <c r="VTX5" s="390"/>
      <c r="VTY5" s="390"/>
      <c r="VTZ5" s="390"/>
      <c r="VUA5" s="390"/>
      <c r="VUB5" s="390"/>
      <c r="VUC5" s="390"/>
      <c r="VUD5" s="390"/>
      <c r="VUE5" s="390"/>
      <c r="VUF5" s="390"/>
      <c r="VUG5" s="390"/>
      <c r="VUH5" s="390"/>
      <c r="VUI5" s="390"/>
      <c r="VUJ5" s="390"/>
      <c r="VUK5" s="390"/>
      <c r="VUL5" s="390"/>
      <c r="VUM5" s="390"/>
      <c r="VUN5" s="390"/>
      <c r="VUO5" s="390"/>
      <c r="VUP5" s="390"/>
      <c r="VUQ5" s="390"/>
      <c r="VUR5" s="390"/>
      <c r="VUS5" s="390"/>
      <c r="VUT5" s="390"/>
      <c r="VUU5" s="390"/>
      <c r="VUV5" s="390"/>
      <c r="VUW5" s="390"/>
      <c r="VUX5" s="390"/>
      <c r="VUY5" s="390"/>
      <c r="VUZ5" s="390"/>
      <c r="VVA5" s="390"/>
      <c r="VVB5" s="390"/>
      <c r="VVC5" s="390"/>
      <c r="VVD5" s="390"/>
      <c r="VVE5" s="390"/>
      <c r="VVF5" s="390"/>
      <c r="VVG5" s="390"/>
      <c r="VVH5" s="390"/>
      <c r="VVI5" s="390"/>
      <c r="VVJ5" s="390"/>
      <c r="VVK5" s="390"/>
      <c r="VVL5" s="390"/>
      <c r="VVM5" s="390"/>
      <c r="VVN5" s="390"/>
      <c r="VVO5" s="390"/>
      <c r="VVP5" s="390"/>
      <c r="VVQ5" s="390"/>
      <c r="VVR5" s="390"/>
      <c r="VVS5" s="390"/>
      <c r="VVT5" s="390"/>
      <c r="VVU5" s="390"/>
      <c r="VVV5" s="390"/>
      <c r="VVW5" s="390"/>
      <c r="VVX5" s="390"/>
      <c r="VVY5" s="390"/>
      <c r="VVZ5" s="390"/>
      <c r="VWA5" s="390"/>
      <c r="VWB5" s="390"/>
      <c r="VWC5" s="390"/>
      <c r="VWD5" s="390"/>
      <c r="VWE5" s="390"/>
      <c r="VWF5" s="390"/>
      <c r="VWG5" s="390"/>
      <c r="VWH5" s="390"/>
      <c r="VWI5" s="390"/>
      <c r="VWJ5" s="390"/>
      <c r="VWK5" s="390"/>
      <c r="VWL5" s="390"/>
      <c r="VWM5" s="390"/>
      <c r="VWN5" s="390"/>
      <c r="VWO5" s="390"/>
      <c r="VWP5" s="390"/>
      <c r="VWQ5" s="390"/>
      <c r="VWR5" s="390"/>
      <c r="VWS5" s="390"/>
      <c r="VWT5" s="390"/>
      <c r="VWU5" s="390"/>
      <c r="VWV5" s="390"/>
      <c r="VWW5" s="390"/>
      <c r="VWX5" s="390"/>
      <c r="VWY5" s="390"/>
      <c r="VWZ5" s="390"/>
      <c r="VXA5" s="390"/>
      <c r="VXB5" s="390"/>
      <c r="VXC5" s="390"/>
      <c r="VXD5" s="390"/>
      <c r="VXE5" s="390"/>
      <c r="VXF5" s="390"/>
      <c r="VXG5" s="390"/>
      <c r="VXH5" s="390"/>
      <c r="VXI5" s="390"/>
      <c r="VXJ5" s="390"/>
      <c r="VXK5" s="390"/>
      <c r="VXL5" s="390"/>
      <c r="VXM5" s="390"/>
      <c r="VXN5" s="390"/>
      <c r="VXO5" s="390"/>
      <c r="VXP5" s="390"/>
      <c r="VXQ5" s="390"/>
      <c r="VXR5" s="390"/>
      <c r="VXS5" s="390"/>
      <c r="VXT5" s="390"/>
      <c r="VXU5" s="390"/>
      <c r="VXV5" s="390"/>
      <c r="VXW5" s="390"/>
      <c r="VXX5" s="390"/>
      <c r="VXY5" s="390"/>
      <c r="VXZ5" s="390"/>
      <c r="VYA5" s="390"/>
      <c r="VYB5" s="390"/>
      <c r="VYC5" s="390"/>
      <c r="VYD5" s="390"/>
      <c r="VYE5" s="390"/>
      <c r="VYF5" s="390"/>
      <c r="VYG5" s="390"/>
      <c r="VYH5" s="390"/>
      <c r="VYI5" s="390"/>
      <c r="VYJ5" s="390"/>
      <c r="VYK5" s="390"/>
      <c r="VYL5" s="390"/>
      <c r="VYM5" s="390"/>
      <c r="VYN5" s="390"/>
      <c r="VYO5" s="390"/>
      <c r="VYP5" s="390"/>
      <c r="VYQ5" s="390"/>
      <c r="VYR5" s="390"/>
      <c r="VYS5" s="390"/>
      <c r="VYT5" s="390"/>
      <c r="VYU5" s="390"/>
      <c r="VYV5" s="390"/>
      <c r="VYW5" s="390"/>
      <c r="VYX5" s="390"/>
      <c r="VYY5" s="390"/>
      <c r="VYZ5" s="390"/>
      <c r="VZA5" s="390"/>
      <c r="VZB5" s="390"/>
      <c r="VZC5" s="390"/>
      <c r="VZD5" s="390"/>
      <c r="VZE5" s="390"/>
      <c r="VZF5" s="390"/>
      <c r="VZG5" s="390"/>
      <c r="VZH5" s="390"/>
      <c r="VZI5" s="390"/>
      <c r="VZJ5" s="390"/>
      <c r="VZK5" s="390"/>
      <c r="VZL5" s="390"/>
      <c r="VZM5" s="390"/>
      <c r="VZN5" s="390"/>
      <c r="VZO5" s="390"/>
      <c r="VZP5" s="390"/>
      <c r="VZQ5" s="390"/>
      <c r="VZR5" s="390"/>
      <c r="VZS5" s="390"/>
      <c r="VZT5" s="390"/>
      <c r="VZU5" s="390"/>
      <c r="VZV5" s="390"/>
      <c r="VZW5" s="390"/>
      <c r="VZX5" s="390"/>
      <c r="VZY5" s="390"/>
      <c r="VZZ5" s="390"/>
      <c r="WAA5" s="390"/>
      <c r="WAB5" s="390"/>
      <c r="WAC5" s="390"/>
      <c r="WAD5" s="390"/>
      <c r="WAE5" s="390"/>
      <c r="WAF5" s="390"/>
      <c r="WAG5" s="390"/>
      <c r="WAH5" s="390"/>
      <c r="WAI5" s="390"/>
      <c r="WAJ5" s="390"/>
      <c r="WAK5" s="390"/>
      <c r="WAL5" s="390"/>
      <c r="WAM5" s="390"/>
      <c r="WAN5" s="390"/>
      <c r="WAO5" s="390"/>
      <c r="WAP5" s="390"/>
      <c r="WAQ5" s="390"/>
      <c r="WAR5" s="390"/>
      <c r="WAS5" s="390"/>
      <c r="WAT5" s="390"/>
      <c r="WAU5" s="390"/>
      <c r="WAV5" s="390"/>
      <c r="WAW5" s="390"/>
      <c r="WAX5" s="390"/>
      <c r="WAY5" s="390"/>
      <c r="WAZ5" s="390"/>
      <c r="WBA5" s="390"/>
      <c r="WBB5" s="390"/>
      <c r="WBC5" s="390"/>
      <c r="WBD5" s="390"/>
      <c r="WBE5" s="390"/>
      <c r="WBF5" s="390"/>
      <c r="WBG5" s="390"/>
      <c r="WBH5" s="390"/>
      <c r="WBI5" s="390"/>
      <c r="WBJ5" s="390"/>
      <c r="WBK5" s="390"/>
      <c r="WBL5" s="390"/>
      <c r="WBM5" s="390"/>
      <c r="WBN5" s="390"/>
      <c r="WBO5" s="390"/>
      <c r="WBP5" s="390"/>
      <c r="WBQ5" s="390"/>
      <c r="WBR5" s="390"/>
      <c r="WBS5" s="390"/>
      <c r="WBT5" s="390"/>
      <c r="WBU5" s="390"/>
      <c r="WBV5" s="390"/>
      <c r="WBW5" s="390"/>
      <c r="WBX5" s="390"/>
      <c r="WBY5" s="390"/>
      <c r="WBZ5" s="390"/>
      <c r="WCA5" s="390"/>
      <c r="WCB5" s="390"/>
      <c r="WCC5" s="390"/>
      <c r="WCD5" s="390"/>
      <c r="WCE5" s="390"/>
      <c r="WCF5" s="390"/>
      <c r="WCG5" s="390"/>
      <c r="WCH5" s="390"/>
      <c r="WCI5" s="390"/>
      <c r="WCJ5" s="390"/>
      <c r="WCK5" s="390"/>
      <c r="WCL5" s="390"/>
      <c r="WCM5" s="390"/>
      <c r="WCN5" s="390"/>
      <c r="WCO5" s="390"/>
      <c r="WCP5" s="390"/>
      <c r="WCQ5" s="390"/>
      <c r="WCR5" s="390"/>
      <c r="WCS5" s="390"/>
      <c r="WCT5" s="390"/>
      <c r="WCU5" s="390"/>
      <c r="WCV5" s="390"/>
      <c r="WCW5" s="390"/>
      <c r="WCX5" s="390"/>
      <c r="WCY5" s="390"/>
      <c r="WCZ5" s="390"/>
      <c r="WDA5" s="390"/>
      <c r="WDB5" s="390"/>
      <c r="WDC5" s="390"/>
      <c r="WDD5" s="390"/>
      <c r="WDE5" s="390"/>
      <c r="WDF5" s="390"/>
      <c r="WDG5" s="390"/>
      <c r="WDH5" s="390"/>
      <c r="WDI5" s="390"/>
      <c r="WDJ5" s="390"/>
      <c r="WDK5" s="390"/>
      <c r="WDL5" s="390"/>
      <c r="WDM5" s="390"/>
      <c r="WDN5" s="390"/>
      <c r="WDO5" s="390"/>
      <c r="WDP5" s="390"/>
      <c r="WDQ5" s="390"/>
      <c r="WDR5" s="390"/>
      <c r="WDS5" s="390"/>
      <c r="WDT5" s="390"/>
      <c r="WDU5" s="390"/>
      <c r="WDV5" s="390"/>
      <c r="WDW5" s="390"/>
      <c r="WDX5" s="390"/>
      <c r="WDY5" s="390"/>
      <c r="WDZ5" s="390"/>
      <c r="WEA5" s="390"/>
      <c r="WEB5" s="390"/>
      <c r="WEC5" s="390"/>
      <c r="WED5" s="390"/>
      <c r="WEE5" s="390"/>
      <c r="WEF5" s="390"/>
      <c r="WEG5" s="390"/>
      <c r="WEH5" s="390"/>
      <c r="WEI5" s="390"/>
      <c r="WEJ5" s="390"/>
      <c r="WEK5" s="390"/>
      <c r="WEL5" s="390"/>
      <c r="WEM5" s="390"/>
      <c r="WEN5" s="390"/>
      <c r="WEO5" s="390"/>
      <c r="WEP5" s="390"/>
      <c r="WEQ5" s="390"/>
      <c r="WER5" s="390"/>
      <c r="WES5" s="390"/>
      <c r="WET5" s="390"/>
      <c r="WEU5" s="390"/>
      <c r="WEV5" s="390"/>
      <c r="WEW5" s="390"/>
      <c r="WEX5" s="390"/>
      <c r="WEY5" s="390"/>
      <c r="WEZ5" s="390"/>
      <c r="WFA5" s="390"/>
      <c r="WFB5" s="390"/>
      <c r="WFC5" s="390"/>
      <c r="WFD5" s="390"/>
      <c r="WFE5" s="390"/>
      <c r="WFF5" s="390"/>
      <c r="WFG5" s="390"/>
      <c r="WFH5" s="390"/>
      <c r="WFI5" s="390"/>
      <c r="WFJ5" s="390"/>
      <c r="WFK5" s="390"/>
      <c r="WFL5" s="390"/>
      <c r="WFM5" s="390"/>
      <c r="WFN5" s="390"/>
      <c r="WFO5" s="390"/>
      <c r="WFP5" s="390"/>
      <c r="WFQ5" s="390"/>
      <c r="WFR5" s="390"/>
      <c r="WFS5" s="390"/>
      <c r="WFT5" s="390"/>
      <c r="WFU5" s="390"/>
      <c r="WFV5" s="390"/>
      <c r="WFW5" s="390"/>
      <c r="WFX5" s="390"/>
      <c r="WFY5" s="390"/>
      <c r="WFZ5" s="390"/>
      <c r="WGA5" s="390"/>
      <c r="WGB5" s="390"/>
      <c r="WGC5" s="390"/>
      <c r="WGD5" s="390"/>
      <c r="WGE5" s="390"/>
      <c r="WGF5" s="390"/>
      <c r="WGG5" s="390"/>
      <c r="WGH5" s="390"/>
      <c r="WGI5" s="390"/>
      <c r="WGJ5" s="390"/>
      <c r="WGK5" s="390"/>
      <c r="WGL5" s="390"/>
      <c r="WGM5" s="390"/>
      <c r="WGN5" s="390"/>
      <c r="WGO5" s="390"/>
      <c r="WGP5" s="390"/>
      <c r="WGQ5" s="390"/>
      <c r="WGR5" s="390"/>
      <c r="WGS5" s="390"/>
      <c r="WGT5" s="390"/>
      <c r="WGU5" s="390"/>
      <c r="WGV5" s="390"/>
      <c r="WGW5" s="390"/>
      <c r="WGX5" s="390"/>
      <c r="WGY5" s="390"/>
      <c r="WGZ5" s="390"/>
      <c r="WHA5" s="390"/>
      <c r="WHB5" s="390"/>
      <c r="WHC5" s="390"/>
      <c r="WHD5" s="390"/>
      <c r="WHE5" s="390"/>
      <c r="WHF5" s="390"/>
      <c r="WHG5" s="390"/>
      <c r="WHH5" s="390"/>
      <c r="WHI5" s="390"/>
      <c r="WHJ5" s="390"/>
      <c r="WHK5" s="390"/>
      <c r="WHL5" s="390"/>
      <c r="WHM5" s="390"/>
      <c r="WHN5" s="390"/>
      <c r="WHO5" s="390"/>
      <c r="WHP5" s="390"/>
      <c r="WHQ5" s="390"/>
      <c r="WHR5" s="390"/>
      <c r="WHS5" s="390"/>
      <c r="WHT5" s="390"/>
      <c r="WHU5" s="390"/>
      <c r="WHV5" s="390"/>
      <c r="WHW5" s="390"/>
      <c r="WHX5" s="390"/>
      <c r="WHY5" s="390"/>
      <c r="WHZ5" s="390"/>
      <c r="WIA5" s="390"/>
      <c r="WIB5" s="390"/>
      <c r="WIC5" s="390"/>
      <c r="WID5" s="390"/>
      <c r="WIE5" s="390"/>
      <c r="WIF5" s="390"/>
      <c r="WIG5" s="390"/>
      <c r="WIH5" s="390"/>
      <c r="WII5" s="390"/>
      <c r="WIJ5" s="390"/>
      <c r="WIK5" s="390"/>
      <c r="WIL5" s="390"/>
      <c r="WIM5" s="390"/>
      <c r="WIN5" s="390"/>
      <c r="WIO5" s="390"/>
      <c r="WIP5" s="390"/>
      <c r="WIQ5" s="390"/>
      <c r="WIR5" s="390"/>
      <c r="WIS5" s="390"/>
      <c r="WIT5" s="390"/>
      <c r="WIU5" s="390"/>
      <c r="WIV5" s="390"/>
      <c r="WIW5" s="390"/>
      <c r="WIX5" s="390"/>
      <c r="WIY5" s="390"/>
      <c r="WIZ5" s="390"/>
      <c r="WJA5" s="390"/>
      <c r="WJB5" s="390"/>
      <c r="WJC5" s="390"/>
      <c r="WJD5" s="390"/>
      <c r="WJE5" s="390"/>
      <c r="WJF5" s="390"/>
      <c r="WJG5" s="390"/>
      <c r="WJH5" s="390"/>
      <c r="WJI5" s="390"/>
      <c r="WJJ5" s="390"/>
      <c r="WJK5" s="390"/>
      <c r="WJL5" s="390"/>
      <c r="WJM5" s="390"/>
      <c r="WJN5" s="390"/>
      <c r="WJO5" s="390"/>
      <c r="WJP5" s="390"/>
      <c r="WJQ5" s="390"/>
      <c r="WJR5" s="390"/>
      <c r="WJS5" s="390"/>
      <c r="WJT5" s="390"/>
      <c r="WJU5" s="390"/>
      <c r="WJV5" s="390"/>
      <c r="WJW5" s="390"/>
      <c r="WJX5" s="390"/>
      <c r="WJY5" s="390"/>
      <c r="WJZ5" s="390"/>
      <c r="WKA5" s="390"/>
      <c r="WKB5" s="390"/>
      <c r="WKC5" s="390"/>
      <c r="WKD5" s="390"/>
      <c r="WKE5" s="390"/>
      <c r="WKF5" s="390"/>
      <c r="WKG5" s="390"/>
      <c r="WKH5" s="390"/>
      <c r="WKI5" s="390"/>
      <c r="WKJ5" s="390"/>
      <c r="WKK5" s="390"/>
      <c r="WKL5" s="390"/>
      <c r="WKM5" s="390"/>
      <c r="WKN5" s="390"/>
      <c r="WKO5" s="390"/>
      <c r="WKP5" s="390"/>
      <c r="WKQ5" s="390"/>
      <c r="WKR5" s="390"/>
      <c r="WKS5" s="390"/>
      <c r="WKT5" s="390"/>
      <c r="WKU5" s="390"/>
      <c r="WKV5" s="390"/>
      <c r="WKW5" s="390"/>
      <c r="WKX5" s="390"/>
      <c r="WKY5" s="390"/>
      <c r="WKZ5" s="390"/>
      <c r="WLA5" s="390"/>
      <c r="WLB5" s="390"/>
      <c r="WLC5" s="390"/>
      <c r="WLD5" s="390"/>
      <c r="WLE5" s="390"/>
      <c r="WLF5" s="390"/>
      <c r="WLG5" s="390"/>
      <c r="WLH5" s="390"/>
      <c r="WLI5" s="390"/>
      <c r="WLJ5" s="390"/>
      <c r="WLK5" s="390"/>
      <c r="WLL5" s="390"/>
      <c r="WLM5" s="390"/>
      <c r="WLN5" s="390"/>
      <c r="WLO5" s="390"/>
      <c r="WLP5" s="390"/>
      <c r="WLQ5" s="390"/>
      <c r="WLR5" s="390"/>
      <c r="WLS5" s="390"/>
      <c r="WLT5" s="390"/>
      <c r="WLU5" s="390"/>
      <c r="WLV5" s="390"/>
      <c r="WLW5" s="390"/>
      <c r="WLX5" s="390"/>
      <c r="WLY5" s="390"/>
      <c r="WLZ5" s="390"/>
      <c r="WMA5" s="390"/>
      <c r="WMB5" s="390"/>
      <c r="WMC5" s="390"/>
      <c r="WMD5" s="390"/>
      <c r="WME5" s="390"/>
      <c r="WMF5" s="390"/>
      <c r="WMG5" s="390"/>
      <c r="WMH5" s="390"/>
      <c r="WMI5" s="390"/>
      <c r="WMJ5" s="390"/>
      <c r="WMK5" s="390"/>
      <c r="WML5" s="390"/>
      <c r="WMM5" s="390"/>
      <c r="WMN5" s="390"/>
      <c r="WMO5" s="390"/>
      <c r="WMP5" s="390"/>
      <c r="WMQ5" s="390"/>
      <c r="WMR5" s="390"/>
      <c r="WMS5" s="390"/>
      <c r="WMT5" s="390"/>
      <c r="WMU5" s="390"/>
      <c r="WMV5" s="390"/>
      <c r="WMW5" s="390"/>
      <c r="WMX5" s="390"/>
      <c r="WMY5" s="390"/>
      <c r="WMZ5" s="390"/>
      <c r="WNA5" s="390"/>
      <c r="WNB5" s="390"/>
      <c r="WNC5" s="390"/>
      <c r="WND5" s="390"/>
      <c r="WNE5" s="390"/>
      <c r="WNF5" s="390"/>
      <c r="WNG5" s="390"/>
      <c r="WNH5" s="390"/>
      <c r="WNI5" s="390"/>
      <c r="WNJ5" s="390"/>
      <c r="WNK5" s="390"/>
      <c r="WNL5" s="390"/>
      <c r="WNM5" s="390"/>
      <c r="WNN5" s="390"/>
      <c r="WNO5" s="390"/>
      <c r="WNP5" s="390"/>
      <c r="WNQ5" s="390"/>
      <c r="WNR5" s="390"/>
      <c r="WNS5" s="390"/>
      <c r="WNT5" s="390"/>
      <c r="WNU5" s="390"/>
      <c r="WNV5" s="390"/>
      <c r="WNW5" s="390"/>
      <c r="WNX5" s="390"/>
      <c r="WNY5" s="390"/>
      <c r="WNZ5" s="390"/>
      <c r="WOA5" s="390"/>
      <c r="WOB5" s="390"/>
      <c r="WOC5" s="390"/>
      <c r="WOD5" s="390"/>
      <c r="WOE5" s="390"/>
      <c r="WOF5" s="390"/>
      <c r="WOG5" s="390"/>
      <c r="WOH5" s="390"/>
      <c r="WOI5" s="390"/>
      <c r="WOJ5" s="390"/>
      <c r="WOK5" s="390"/>
      <c r="WOL5" s="390"/>
      <c r="WOM5" s="390"/>
      <c r="WON5" s="390"/>
      <c r="WOO5" s="390"/>
      <c r="WOP5" s="390"/>
      <c r="WOQ5" s="390"/>
      <c r="WOR5" s="390"/>
      <c r="WOS5" s="390"/>
      <c r="WOT5" s="390"/>
      <c r="WOU5" s="390"/>
      <c r="WOV5" s="390"/>
      <c r="WOW5" s="390"/>
      <c r="WOX5" s="390"/>
      <c r="WOY5" s="390"/>
      <c r="WOZ5" s="390"/>
      <c r="WPA5" s="390"/>
      <c r="WPB5" s="390"/>
      <c r="WPC5" s="390"/>
      <c r="WPD5" s="390"/>
      <c r="WPE5" s="390"/>
      <c r="WPF5" s="390"/>
      <c r="WPG5" s="390"/>
      <c r="WPH5" s="390"/>
      <c r="WPI5" s="390"/>
      <c r="WPJ5" s="390"/>
      <c r="WPK5" s="390"/>
      <c r="WPL5" s="390"/>
      <c r="WPM5" s="390"/>
      <c r="WPN5" s="390"/>
      <c r="WPO5" s="390"/>
      <c r="WPP5" s="390"/>
      <c r="WPQ5" s="390"/>
      <c r="WPR5" s="390"/>
      <c r="WPS5" s="390"/>
      <c r="WPT5" s="390"/>
      <c r="WPU5" s="390"/>
      <c r="WPV5" s="390"/>
      <c r="WPW5" s="390"/>
      <c r="WPX5" s="390"/>
      <c r="WPY5" s="390"/>
      <c r="WPZ5" s="390"/>
      <c r="WQA5" s="390"/>
      <c r="WQB5" s="390"/>
      <c r="WQC5" s="390"/>
      <c r="WQD5" s="390"/>
      <c r="WQE5" s="390"/>
      <c r="WQF5" s="390"/>
      <c r="WQG5" s="390"/>
      <c r="WQH5" s="390"/>
      <c r="WQI5" s="390"/>
      <c r="WQJ5" s="390"/>
      <c r="WQK5" s="390"/>
      <c r="WQL5" s="390"/>
      <c r="WQM5" s="390"/>
      <c r="WQN5" s="390"/>
      <c r="WQO5" s="390"/>
      <c r="WQP5" s="390"/>
      <c r="WQQ5" s="390"/>
      <c r="WQR5" s="390"/>
      <c r="WQS5" s="390"/>
      <c r="WQT5" s="390"/>
      <c r="WQU5" s="390"/>
      <c r="WQV5" s="390"/>
      <c r="WQW5" s="390"/>
      <c r="WQX5" s="390"/>
      <c r="WQY5" s="390"/>
      <c r="WQZ5" s="390"/>
      <c r="WRA5" s="390"/>
      <c r="WRB5" s="390"/>
      <c r="WRC5" s="390"/>
      <c r="WRD5" s="390"/>
      <c r="WRE5" s="390"/>
      <c r="WRF5" s="390"/>
      <c r="WRG5" s="390"/>
      <c r="WRH5" s="390"/>
      <c r="WRI5" s="390"/>
      <c r="WRJ5" s="390"/>
      <c r="WRK5" s="390"/>
      <c r="WRL5" s="390"/>
      <c r="WRM5" s="390"/>
      <c r="WRN5" s="390"/>
      <c r="WRO5" s="390"/>
      <c r="WRP5" s="390"/>
      <c r="WRQ5" s="390"/>
      <c r="WRR5" s="390"/>
      <c r="WRS5" s="390"/>
      <c r="WRT5" s="390"/>
      <c r="WRU5" s="390"/>
      <c r="WRV5" s="390"/>
      <c r="WRW5" s="390"/>
      <c r="WRX5" s="390"/>
      <c r="WRY5" s="390"/>
      <c r="WRZ5" s="390"/>
      <c r="WSA5" s="390"/>
      <c r="WSB5" s="390"/>
      <c r="WSC5" s="390"/>
      <c r="WSD5" s="390"/>
      <c r="WSE5" s="390"/>
      <c r="WSF5" s="390"/>
      <c r="WSG5" s="390"/>
      <c r="WSH5" s="390"/>
      <c r="WSI5" s="390"/>
      <c r="WSJ5" s="390"/>
      <c r="WSK5" s="390"/>
      <c r="WSL5" s="390"/>
      <c r="WSM5" s="390"/>
      <c r="WSN5" s="390"/>
      <c r="WSO5" s="390"/>
      <c r="WSP5" s="390"/>
      <c r="WSQ5" s="390"/>
      <c r="WSR5" s="390"/>
      <c r="WSS5" s="390"/>
      <c r="WST5" s="390"/>
      <c r="WSU5" s="390"/>
      <c r="WSV5" s="390"/>
      <c r="WSW5" s="390"/>
      <c r="WSX5" s="390"/>
      <c r="WSY5" s="390"/>
      <c r="WSZ5" s="390"/>
      <c r="WTA5" s="390"/>
      <c r="WTB5" s="390"/>
      <c r="WTC5" s="390"/>
      <c r="WTD5" s="390"/>
      <c r="WTE5" s="390"/>
      <c r="WTF5" s="390"/>
      <c r="WTG5" s="390"/>
      <c r="WTH5" s="390"/>
      <c r="WTI5" s="390"/>
      <c r="WTJ5" s="390"/>
      <c r="WTK5" s="390"/>
      <c r="WTL5" s="390"/>
      <c r="WTM5" s="390"/>
      <c r="WTN5" s="390"/>
      <c r="WTO5" s="390"/>
      <c r="WTP5" s="390"/>
      <c r="WTQ5" s="390"/>
      <c r="WTR5" s="390"/>
      <c r="WTS5" s="390"/>
      <c r="WTT5" s="390"/>
      <c r="WTU5" s="390"/>
      <c r="WTV5" s="390"/>
      <c r="WTW5" s="390"/>
      <c r="WTX5" s="390"/>
      <c r="WTY5" s="390"/>
      <c r="WTZ5" s="390"/>
      <c r="WUA5" s="390"/>
      <c r="WUB5" s="390"/>
      <c r="WUC5" s="390"/>
      <c r="WUD5" s="390"/>
      <c r="WUE5" s="390"/>
      <c r="WUF5" s="390"/>
      <c r="WUG5" s="390"/>
      <c r="WUH5" s="390"/>
      <c r="WUI5" s="390"/>
      <c r="WUJ5" s="390"/>
      <c r="WUK5" s="390"/>
      <c r="WUL5" s="390"/>
      <c r="WUM5" s="390"/>
      <c r="WUN5" s="390"/>
      <c r="WUO5" s="390"/>
      <c r="WUP5" s="390"/>
      <c r="WUQ5" s="390"/>
      <c r="WUR5" s="390"/>
      <c r="WUS5" s="390"/>
      <c r="WUT5" s="390"/>
      <c r="WUU5" s="390"/>
      <c r="WUV5" s="390"/>
      <c r="WUW5" s="390"/>
      <c r="WUX5" s="390"/>
      <c r="WUY5" s="390"/>
      <c r="WUZ5" s="390"/>
      <c r="WVA5" s="390"/>
      <c r="WVB5" s="390"/>
      <c r="WVC5" s="390"/>
      <c r="WVD5" s="390"/>
      <c r="WVE5" s="390"/>
      <c r="WVF5" s="390"/>
      <c r="WVG5" s="390"/>
      <c r="WVH5" s="390"/>
      <c r="WVI5" s="390"/>
      <c r="WVJ5" s="390"/>
      <c r="WVK5" s="390"/>
      <c r="WVL5" s="390"/>
      <c r="WVM5" s="390"/>
      <c r="WVN5" s="390"/>
      <c r="WVO5" s="390"/>
      <c r="WVP5" s="390"/>
      <c r="WVQ5" s="390"/>
      <c r="WVR5" s="390"/>
      <c r="WVS5" s="390"/>
      <c r="WVT5" s="390"/>
      <c r="WVU5" s="390"/>
      <c r="WVV5" s="390"/>
      <c r="WVW5" s="390"/>
      <c r="WVX5" s="390"/>
      <c r="WVY5" s="390"/>
      <c r="WVZ5" s="390"/>
      <c r="WWA5" s="390"/>
      <c r="WWB5" s="390"/>
      <c r="WWC5" s="390"/>
      <c r="WWD5" s="390"/>
      <c r="WWE5" s="390"/>
      <c r="WWF5" s="390"/>
      <c r="WWG5" s="390"/>
      <c r="WWH5" s="390"/>
      <c r="WWI5" s="390"/>
      <c r="WWJ5" s="390"/>
      <c r="WWK5" s="390"/>
      <c r="WWL5" s="390"/>
      <c r="WWM5" s="390"/>
      <c r="WWN5" s="390"/>
      <c r="WWO5" s="390"/>
      <c r="WWP5" s="390"/>
      <c r="WWQ5" s="390"/>
      <c r="WWR5" s="390"/>
      <c r="WWS5" s="390"/>
      <c r="WWT5" s="390"/>
      <c r="WWU5" s="390"/>
      <c r="WWV5" s="390"/>
      <c r="WWW5" s="390"/>
      <c r="WWX5" s="390"/>
      <c r="WWY5" s="390"/>
      <c r="WWZ5" s="390"/>
      <c r="WXA5" s="390"/>
      <c r="WXB5" s="390"/>
      <c r="WXC5" s="390"/>
      <c r="WXD5" s="390"/>
      <c r="WXE5" s="390"/>
      <c r="WXF5" s="390"/>
      <c r="WXG5" s="390"/>
      <c r="WXH5" s="390"/>
      <c r="WXI5" s="390"/>
      <c r="WXJ5" s="390"/>
      <c r="WXK5" s="390"/>
      <c r="WXL5" s="390"/>
      <c r="WXM5" s="390"/>
      <c r="WXN5" s="390"/>
      <c r="WXO5" s="390"/>
      <c r="WXP5" s="390"/>
      <c r="WXQ5" s="390"/>
      <c r="WXR5" s="390"/>
      <c r="WXS5" s="390"/>
      <c r="WXT5" s="390"/>
      <c r="WXU5" s="390"/>
      <c r="WXV5" s="390"/>
      <c r="WXW5" s="390"/>
      <c r="WXX5" s="390"/>
      <c r="WXY5" s="390"/>
      <c r="WXZ5" s="390"/>
      <c r="WYA5" s="390"/>
      <c r="WYB5" s="390"/>
      <c r="WYC5" s="390"/>
      <c r="WYD5" s="390"/>
      <c r="WYE5" s="390"/>
      <c r="WYF5" s="390"/>
      <c r="WYG5" s="390"/>
      <c r="WYH5" s="390"/>
      <c r="WYI5" s="390"/>
      <c r="WYJ5" s="390"/>
      <c r="WYK5" s="390"/>
      <c r="WYL5" s="390"/>
      <c r="WYM5" s="390"/>
      <c r="WYN5" s="390"/>
      <c r="WYO5" s="390"/>
      <c r="WYP5" s="390"/>
      <c r="WYQ5" s="390"/>
      <c r="WYR5" s="390"/>
      <c r="WYS5" s="390"/>
      <c r="WYT5" s="390"/>
      <c r="WYU5" s="390"/>
      <c r="WYV5" s="390"/>
      <c r="WYW5" s="390"/>
      <c r="WYX5" s="390"/>
      <c r="WYY5" s="390"/>
      <c r="WYZ5" s="390"/>
      <c r="WZA5" s="390"/>
      <c r="WZB5" s="390"/>
      <c r="WZC5" s="390"/>
      <c r="WZD5" s="390"/>
      <c r="WZE5" s="390"/>
      <c r="WZF5" s="390"/>
      <c r="WZG5" s="390"/>
      <c r="WZH5" s="390"/>
      <c r="WZI5" s="390"/>
      <c r="WZJ5" s="390"/>
      <c r="WZK5" s="390"/>
      <c r="WZL5" s="390"/>
      <c r="WZM5" s="390"/>
      <c r="WZN5" s="390"/>
      <c r="WZO5" s="390"/>
      <c r="WZP5" s="390"/>
      <c r="WZQ5" s="390"/>
      <c r="WZR5" s="390"/>
      <c r="WZS5" s="390"/>
      <c r="WZT5" s="390"/>
      <c r="WZU5" s="390"/>
      <c r="WZV5" s="390"/>
      <c r="WZW5" s="390"/>
      <c r="WZX5" s="390"/>
      <c r="WZY5" s="390"/>
      <c r="WZZ5" s="390"/>
      <c r="XAA5" s="390"/>
      <c r="XAB5" s="390"/>
      <c r="XAC5" s="390"/>
      <c r="XAD5" s="390"/>
      <c r="XAE5" s="390"/>
      <c r="XAF5" s="390"/>
      <c r="XAG5" s="390"/>
      <c r="XAH5" s="390"/>
      <c r="XAI5" s="390"/>
      <c r="XAJ5" s="390"/>
      <c r="XAK5" s="390"/>
      <c r="XAL5" s="390"/>
      <c r="XAM5" s="390"/>
      <c r="XAN5" s="390"/>
      <c r="XAO5" s="390"/>
      <c r="XAP5" s="390"/>
      <c r="XAQ5" s="390"/>
      <c r="XAR5" s="390"/>
      <c r="XAS5" s="390"/>
      <c r="XAT5" s="390"/>
      <c r="XAU5" s="390"/>
      <c r="XAV5" s="390"/>
      <c r="XAW5" s="390"/>
      <c r="XAX5" s="390"/>
      <c r="XAY5" s="390"/>
      <c r="XAZ5" s="390"/>
      <c r="XBA5" s="390"/>
      <c r="XBB5" s="390"/>
      <c r="XBC5" s="390"/>
      <c r="XBD5" s="390"/>
      <c r="XBE5" s="390"/>
      <c r="XBF5" s="390"/>
      <c r="XBG5" s="390"/>
      <c r="XBH5" s="390"/>
      <c r="XBI5" s="390"/>
      <c r="XBJ5" s="390"/>
      <c r="XBK5" s="390"/>
      <c r="XBL5" s="390"/>
      <c r="XBM5" s="390"/>
      <c r="XBN5" s="390"/>
      <c r="XBO5" s="390"/>
      <c r="XBP5" s="390"/>
      <c r="XBQ5" s="390"/>
      <c r="XBR5" s="390"/>
      <c r="XBS5" s="390"/>
      <c r="XBT5" s="390"/>
      <c r="XBU5" s="390"/>
      <c r="XBV5" s="390"/>
      <c r="XBW5" s="390"/>
      <c r="XBX5" s="390"/>
      <c r="XBY5" s="390"/>
      <c r="XBZ5" s="390"/>
      <c r="XCA5" s="390"/>
      <c r="XCB5" s="390"/>
      <c r="XCC5" s="390"/>
      <c r="XCD5" s="390"/>
      <c r="XCE5" s="390"/>
      <c r="XCF5" s="390"/>
      <c r="XCG5" s="390"/>
      <c r="XCH5" s="390"/>
      <c r="XCI5" s="390"/>
      <c r="XCJ5" s="390"/>
      <c r="XCK5" s="390"/>
      <c r="XCL5" s="390"/>
      <c r="XCM5" s="390"/>
      <c r="XCN5" s="390"/>
      <c r="XCO5" s="390"/>
      <c r="XCP5" s="390"/>
      <c r="XCQ5" s="390"/>
      <c r="XCR5" s="390"/>
      <c r="XCS5" s="390"/>
      <c r="XCT5" s="390"/>
      <c r="XCU5" s="390"/>
      <c r="XCV5" s="390"/>
      <c r="XCW5" s="390"/>
      <c r="XCX5" s="390"/>
      <c r="XCY5" s="390"/>
      <c r="XCZ5" s="390"/>
      <c r="XDA5" s="390"/>
      <c r="XDB5" s="390"/>
      <c r="XDC5" s="390"/>
      <c r="XDD5" s="390"/>
      <c r="XDE5" s="390"/>
      <c r="XDF5" s="390"/>
      <c r="XDG5" s="390"/>
      <c r="XDH5" s="390"/>
      <c r="XDI5" s="390"/>
      <c r="XDJ5" s="390"/>
      <c r="XDK5" s="390"/>
      <c r="XDL5" s="390"/>
      <c r="XDM5" s="390"/>
      <c r="XDN5" s="390"/>
      <c r="XDO5" s="390"/>
      <c r="XDP5" s="390"/>
      <c r="XDQ5" s="390"/>
      <c r="XDR5" s="390"/>
      <c r="XDS5" s="390"/>
      <c r="XDT5" s="390"/>
      <c r="XDU5" s="390"/>
      <c r="XDV5" s="390"/>
      <c r="XDW5" s="390"/>
      <c r="XDX5" s="390"/>
      <c r="XDY5" s="390"/>
      <c r="XDZ5" s="390"/>
      <c r="XEA5" s="390"/>
      <c r="XEB5" s="390"/>
      <c r="XEC5" s="390"/>
      <c r="XED5" s="390"/>
      <c r="XEE5" s="390"/>
      <c r="XEF5" s="390"/>
      <c r="XEG5" s="390"/>
      <c r="XEH5" s="390"/>
      <c r="XEI5" s="390"/>
      <c r="XEJ5" s="390"/>
      <c r="XEK5" s="390"/>
      <c r="XEL5" s="390"/>
      <c r="XEM5" s="390"/>
      <c r="XEN5" s="390"/>
      <c r="XEO5" s="390"/>
      <c r="XEP5" s="390"/>
      <c r="XEQ5" s="390"/>
      <c r="XER5" s="390"/>
      <c r="XES5" s="390"/>
      <c r="XET5" s="390"/>
      <c r="XEU5" s="390"/>
      <c r="XEV5" s="390"/>
      <c r="XEW5" s="390"/>
      <c r="XEX5" s="390"/>
      <c r="XEY5" s="390"/>
      <c r="XEZ5" s="390"/>
      <c r="XFA5" s="390"/>
      <c r="XFB5" s="390"/>
    </row>
    <row r="6" spans="1:16382" x14ac:dyDescent="0.45">
      <c r="A6" s="390" t="s">
        <v>1066</v>
      </c>
      <c r="B6" s="390"/>
      <c r="C6" s="390"/>
      <c r="D6" s="390"/>
      <c r="E6" s="390"/>
      <c r="F6" s="390"/>
      <c r="G6" s="390"/>
      <c r="H6" s="390"/>
      <c r="I6" s="392"/>
      <c r="J6" s="392"/>
      <c r="K6" s="392"/>
      <c r="L6" s="392"/>
      <c r="M6" s="392"/>
      <c r="N6" s="392"/>
    </row>
    <row r="7" spans="1:16382" x14ac:dyDescent="0.45">
      <c r="A7" s="399"/>
      <c r="B7" s="399"/>
      <c r="C7" s="399"/>
      <c r="D7" s="400"/>
      <c r="E7" s="400"/>
      <c r="F7" s="400"/>
      <c r="G7" s="400"/>
      <c r="H7" s="400"/>
    </row>
    <row r="8" spans="1:16382" s="2" customFormat="1" x14ac:dyDescent="0.45">
      <c r="A8" s="401" t="s">
        <v>1067</v>
      </c>
      <c r="B8" s="402"/>
      <c r="C8" s="402"/>
      <c r="D8" s="403"/>
      <c r="E8" s="403"/>
      <c r="F8" s="403"/>
      <c r="G8" s="403"/>
      <c r="H8" s="404"/>
    </row>
    <row r="9" spans="1:16382" s="2" customFormat="1" x14ac:dyDescent="0.45">
      <c r="A9" s="393" t="s">
        <v>4</v>
      </c>
      <c r="B9" s="394"/>
      <c r="C9" s="394"/>
      <c r="D9" s="394"/>
      <c r="E9" s="394"/>
      <c r="F9" s="394"/>
      <c r="G9" s="394"/>
      <c r="H9" s="395"/>
    </row>
    <row r="10" spans="1:16382" s="2" customFormat="1" x14ac:dyDescent="0.45">
      <c r="A10" s="396" t="s">
        <v>5142</v>
      </c>
      <c r="B10" s="397"/>
      <c r="C10" s="397"/>
      <c r="D10" s="397"/>
      <c r="E10" s="397"/>
      <c r="F10" s="397"/>
      <c r="G10" s="397"/>
      <c r="H10" s="398"/>
    </row>
    <row r="11" spans="1:16382" ht="24.6" x14ac:dyDescent="0.45">
      <c r="A11" s="3" t="s">
        <v>5</v>
      </c>
      <c r="B11" s="202" t="s">
        <v>5002</v>
      </c>
      <c r="C11" s="202" t="s">
        <v>6</v>
      </c>
      <c r="D11" s="5" t="s">
        <v>7</v>
      </c>
      <c r="E11" s="3" t="s">
        <v>8</v>
      </c>
      <c r="F11" s="3" t="s">
        <v>9</v>
      </c>
      <c r="G11" s="3" t="s">
        <v>10</v>
      </c>
      <c r="H11" s="3" t="s">
        <v>11</v>
      </c>
    </row>
    <row r="12" spans="1:16382" s="11" customFormat="1" ht="4.95" customHeight="1" x14ac:dyDescent="0.45">
      <c r="A12" s="6"/>
      <c r="B12" s="7"/>
      <c r="C12" s="7"/>
      <c r="D12" s="8"/>
      <c r="E12" s="7"/>
      <c r="F12" s="9"/>
      <c r="G12" s="9"/>
      <c r="H12" s="10"/>
    </row>
    <row r="13" spans="1:16382" x14ac:dyDescent="0.45">
      <c r="A13" s="12" t="s">
        <v>1068</v>
      </c>
      <c r="B13" s="13"/>
      <c r="C13" s="13"/>
      <c r="D13" s="246" t="s">
        <v>13</v>
      </c>
      <c r="E13" s="15"/>
      <c r="F13" s="14"/>
      <c r="G13" s="15"/>
      <c r="H13" s="14"/>
    </row>
    <row r="14" spans="1:16382" x14ac:dyDescent="0.4">
      <c r="A14" s="16"/>
      <c r="B14" s="203">
        <v>1501000</v>
      </c>
      <c r="C14" s="18"/>
      <c r="D14" s="204" t="s">
        <v>14</v>
      </c>
      <c r="E14" s="20"/>
      <c r="F14" s="21"/>
      <c r="G14" s="20"/>
      <c r="H14" s="21"/>
    </row>
    <row r="15" spans="1:16382" ht="24.6" x14ac:dyDescent="0.45">
      <c r="A15" s="22" t="s">
        <v>1069</v>
      </c>
      <c r="B15" s="23"/>
      <c r="C15" s="23">
        <v>3.1</v>
      </c>
      <c r="D15" s="5" t="s">
        <v>16</v>
      </c>
      <c r="E15" s="23">
        <v>12</v>
      </c>
      <c r="F15" s="23" t="s">
        <v>17</v>
      </c>
      <c r="G15" s="24"/>
      <c r="H15" s="24">
        <f>G15*E15</f>
        <v>0</v>
      </c>
    </row>
    <row r="16" spans="1:16382" x14ac:dyDescent="0.4">
      <c r="A16" s="16"/>
      <c r="B16" s="203">
        <v>1502000</v>
      </c>
      <c r="C16" s="18"/>
      <c r="D16" s="204" t="s">
        <v>18</v>
      </c>
      <c r="E16" s="20"/>
      <c r="F16" s="21"/>
      <c r="G16" s="21"/>
      <c r="H16" s="21"/>
    </row>
    <row r="17" spans="1:8" x14ac:dyDescent="0.45">
      <c r="A17" s="25"/>
      <c r="B17" s="26"/>
      <c r="C17" s="26">
        <v>3.1</v>
      </c>
      <c r="D17" s="27" t="s">
        <v>19</v>
      </c>
      <c r="E17" s="28"/>
      <c r="F17" s="28"/>
      <c r="G17" s="28"/>
      <c r="H17" s="28"/>
    </row>
    <row r="18" spans="1:8" x14ac:dyDescent="0.45">
      <c r="A18" s="22" t="s">
        <v>1070</v>
      </c>
      <c r="B18" s="23">
        <v>1502000</v>
      </c>
      <c r="C18" s="23" t="s">
        <v>21</v>
      </c>
      <c r="D18" s="29" t="s">
        <v>22</v>
      </c>
      <c r="E18" s="23">
        <v>12</v>
      </c>
      <c r="F18" s="23" t="s">
        <v>17</v>
      </c>
      <c r="G18" s="24"/>
      <c r="H18" s="24">
        <f>G18*E18</f>
        <v>0</v>
      </c>
    </row>
    <row r="19" spans="1:8" x14ac:dyDescent="0.45">
      <c r="A19" s="22" t="s">
        <v>1071</v>
      </c>
      <c r="B19" s="23">
        <v>1502000</v>
      </c>
      <c r="C19" s="23" t="s">
        <v>24</v>
      </c>
      <c r="D19" s="29" t="s">
        <v>25</v>
      </c>
      <c r="E19" s="23">
        <v>12</v>
      </c>
      <c r="F19" s="23" t="s">
        <v>17</v>
      </c>
      <c r="G19" s="24"/>
      <c r="H19" s="24">
        <f>G19*E19</f>
        <v>0</v>
      </c>
    </row>
    <row r="20" spans="1:8" x14ac:dyDescent="0.45">
      <c r="A20" s="22" t="s">
        <v>1072</v>
      </c>
      <c r="B20" s="23">
        <v>1502000</v>
      </c>
      <c r="C20" s="23" t="s">
        <v>27</v>
      </c>
      <c r="D20" s="29" t="s">
        <v>28</v>
      </c>
      <c r="E20" s="23">
        <v>12</v>
      </c>
      <c r="F20" s="23" t="s">
        <v>17</v>
      </c>
      <c r="G20" s="24"/>
      <c r="H20" s="24">
        <f>G20*E20</f>
        <v>0</v>
      </c>
    </row>
    <row r="21" spans="1:8" x14ac:dyDescent="0.45">
      <c r="A21" s="25"/>
      <c r="B21" s="26"/>
      <c r="C21" s="26">
        <v>3.2</v>
      </c>
      <c r="D21" s="27" t="s">
        <v>29</v>
      </c>
      <c r="E21" s="28"/>
      <c r="F21" s="28"/>
      <c r="G21" s="28"/>
      <c r="H21" s="28"/>
    </row>
    <row r="22" spans="1:8" x14ac:dyDescent="0.45">
      <c r="A22" s="22" t="s">
        <v>1073</v>
      </c>
      <c r="B22" s="23">
        <v>1502000</v>
      </c>
      <c r="C22" s="286">
        <v>3.2</v>
      </c>
      <c r="D22" s="29" t="s">
        <v>5072</v>
      </c>
      <c r="E22" s="23">
        <v>12</v>
      </c>
      <c r="F22" s="23" t="s">
        <v>17</v>
      </c>
      <c r="G22" s="24"/>
      <c r="H22" s="24">
        <f>G22*E22</f>
        <v>0</v>
      </c>
    </row>
    <row r="23" spans="1:8" x14ac:dyDescent="0.45">
      <c r="A23" s="25"/>
      <c r="B23" s="26"/>
      <c r="C23" s="26">
        <v>3.3</v>
      </c>
      <c r="D23" s="27" t="s">
        <v>31</v>
      </c>
      <c r="E23" s="28"/>
      <c r="F23" s="28"/>
      <c r="G23" s="28"/>
      <c r="H23" s="28"/>
    </row>
    <row r="24" spans="1:8" x14ac:dyDescent="0.45">
      <c r="A24" s="22" t="s">
        <v>1074</v>
      </c>
      <c r="B24" s="23">
        <v>1502000</v>
      </c>
      <c r="C24" s="23" t="s">
        <v>33</v>
      </c>
      <c r="D24" s="30" t="s">
        <v>34</v>
      </c>
      <c r="E24" s="23">
        <v>12</v>
      </c>
      <c r="F24" s="23" t="s">
        <v>17</v>
      </c>
      <c r="G24" s="24"/>
      <c r="H24" s="31">
        <f>G24*E24</f>
        <v>0</v>
      </c>
    </row>
    <row r="25" spans="1:8" x14ac:dyDescent="0.45">
      <c r="A25" s="22" t="s">
        <v>1075</v>
      </c>
      <c r="B25" s="23">
        <v>1502000</v>
      </c>
      <c r="C25" s="23" t="s">
        <v>36</v>
      </c>
      <c r="D25" s="32" t="s">
        <v>37</v>
      </c>
      <c r="E25" s="33">
        <v>12</v>
      </c>
      <c r="F25" s="23" t="s">
        <v>17</v>
      </c>
      <c r="G25" s="24"/>
      <c r="H25" s="24">
        <f t="shared" ref="H25:H33" si="0">G25*E25</f>
        <v>0</v>
      </c>
    </row>
    <row r="26" spans="1:8" x14ac:dyDescent="0.45">
      <c r="A26" s="22" t="s">
        <v>1076</v>
      </c>
      <c r="B26" s="23">
        <v>1502000</v>
      </c>
      <c r="C26" s="23" t="s">
        <v>39</v>
      </c>
      <c r="D26" s="32" t="s">
        <v>40</v>
      </c>
      <c r="E26" s="33">
        <v>12</v>
      </c>
      <c r="F26" s="23" t="s">
        <v>17</v>
      </c>
      <c r="G26" s="24"/>
      <c r="H26" s="24">
        <f t="shared" si="0"/>
        <v>0</v>
      </c>
    </row>
    <row r="27" spans="1:8" x14ac:dyDescent="0.45">
      <c r="A27" s="22" t="s">
        <v>1077</v>
      </c>
      <c r="B27" s="23">
        <v>1502000</v>
      </c>
      <c r="C27" s="205" t="s">
        <v>42</v>
      </c>
      <c r="D27" s="30" t="s">
        <v>43</v>
      </c>
      <c r="E27" s="33">
        <v>12</v>
      </c>
      <c r="F27" s="23" t="s">
        <v>17</v>
      </c>
      <c r="G27" s="24"/>
      <c r="H27" s="24">
        <f t="shared" si="0"/>
        <v>0</v>
      </c>
    </row>
    <row r="28" spans="1:8" x14ac:dyDescent="0.45">
      <c r="A28" s="22" t="s">
        <v>1078</v>
      </c>
      <c r="B28" s="23">
        <v>1502000</v>
      </c>
      <c r="C28" s="23" t="s">
        <v>45</v>
      </c>
      <c r="D28" s="30" t="s">
        <v>46</v>
      </c>
      <c r="E28" s="33">
        <v>12</v>
      </c>
      <c r="F28" s="23" t="s">
        <v>17</v>
      </c>
      <c r="G28" s="24"/>
      <c r="H28" s="24">
        <f t="shared" si="0"/>
        <v>0</v>
      </c>
    </row>
    <row r="29" spans="1:8" x14ac:dyDescent="0.45">
      <c r="A29" s="22" t="s">
        <v>1079</v>
      </c>
      <c r="B29" s="23">
        <v>1502000</v>
      </c>
      <c r="C29" s="23" t="s">
        <v>48</v>
      </c>
      <c r="D29" s="30" t="s">
        <v>49</v>
      </c>
      <c r="E29" s="33">
        <v>12</v>
      </c>
      <c r="F29" s="23" t="s">
        <v>17</v>
      </c>
      <c r="G29" s="24"/>
      <c r="H29" s="24">
        <f t="shared" si="0"/>
        <v>0</v>
      </c>
    </row>
    <row r="30" spans="1:8" x14ac:dyDescent="0.45">
      <c r="A30" s="22" t="s">
        <v>1080</v>
      </c>
      <c r="B30" s="23">
        <v>1502000</v>
      </c>
      <c r="C30" s="23" t="s">
        <v>51</v>
      </c>
      <c r="D30" s="30" t="s">
        <v>52</v>
      </c>
      <c r="E30" s="33">
        <v>12</v>
      </c>
      <c r="F30" s="23" t="s">
        <v>17</v>
      </c>
      <c r="G30" s="24"/>
      <c r="H30" s="24">
        <f t="shared" si="0"/>
        <v>0</v>
      </c>
    </row>
    <row r="31" spans="1:8" x14ac:dyDescent="0.45">
      <c r="A31" s="22" t="s">
        <v>1081</v>
      </c>
      <c r="B31" s="23">
        <v>1502000</v>
      </c>
      <c r="C31" s="23" t="s">
        <v>54</v>
      </c>
      <c r="D31" s="30" t="s">
        <v>55</v>
      </c>
      <c r="E31" s="33">
        <v>12</v>
      </c>
      <c r="F31" s="23" t="s">
        <v>17</v>
      </c>
      <c r="G31" s="24"/>
      <c r="H31" s="24">
        <f t="shared" si="0"/>
        <v>0</v>
      </c>
    </row>
    <row r="32" spans="1:8" x14ac:dyDescent="0.45">
      <c r="A32" s="22" t="s">
        <v>1082</v>
      </c>
      <c r="B32" s="23">
        <v>1502000</v>
      </c>
      <c r="C32" s="23" t="s">
        <v>57</v>
      </c>
      <c r="D32" s="30" t="s">
        <v>58</v>
      </c>
      <c r="E32" s="33">
        <v>12</v>
      </c>
      <c r="F32" s="23" t="s">
        <v>17</v>
      </c>
      <c r="G32" s="24"/>
      <c r="H32" s="24">
        <f t="shared" si="0"/>
        <v>0</v>
      </c>
    </row>
    <row r="33" spans="1:8" x14ac:dyDescent="0.45">
      <c r="A33" s="22" t="s">
        <v>1083</v>
      </c>
      <c r="B33" s="23">
        <v>1502000</v>
      </c>
      <c r="C33" s="23" t="s">
        <v>60</v>
      </c>
      <c r="D33" s="30" t="s">
        <v>61</v>
      </c>
      <c r="E33" s="33">
        <v>12</v>
      </c>
      <c r="F33" s="23" t="s">
        <v>17</v>
      </c>
      <c r="G33" s="24"/>
      <c r="H33" s="24">
        <f t="shared" si="0"/>
        <v>0</v>
      </c>
    </row>
    <row r="34" spans="1:8" x14ac:dyDescent="0.45">
      <c r="A34" s="25"/>
      <c r="B34" s="26"/>
      <c r="C34" s="26">
        <v>3.4</v>
      </c>
      <c r="D34" s="27" t="s">
        <v>62</v>
      </c>
      <c r="E34" s="28"/>
      <c r="F34" s="28"/>
      <c r="G34" s="28"/>
      <c r="H34" s="28"/>
    </row>
    <row r="35" spans="1:8" x14ac:dyDescent="0.45">
      <c r="A35" s="22" t="s">
        <v>1084</v>
      </c>
      <c r="B35" s="23">
        <v>1502000</v>
      </c>
      <c r="C35" s="23" t="s">
        <v>64</v>
      </c>
      <c r="D35" s="35" t="s">
        <v>65</v>
      </c>
      <c r="E35" s="23">
        <v>12</v>
      </c>
      <c r="F35" s="23" t="s">
        <v>17</v>
      </c>
      <c r="G35" s="24"/>
      <c r="H35" s="24">
        <f>G35*E35</f>
        <v>0</v>
      </c>
    </row>
    <row r="36" spans="1:8" x14ac:dyDescent="0.45">
      <c r="A36" s="22" t="s">
        <v>1085</v>
      </c>
      <c r="B36" s="23">
        <v>1502000</v>
      </c>
      <c r="C36" s="23" t="s">
        <v>67</v>
      </c>
      <c r="D36" s="35" t="s">
        <v>68</v>
      </c>
      <c r="E36" s="23">
        <v>12</v>
      </c>
      <c r="F36" s="23" t="s">
        <v>17</v>
      </c>
      <c r="G36" s="24"/>
      <c r="H36" s="24">
        <f>G36*E36</f>
        <v>0</v>
      </c>
    </row>
    <row r="37" spans="1:8" x14ac:dyDescent="0.45">
      <c r="A37" s="22" t="s">
        <v>1086</v>
      </c>
      <c r="B37" s="23">
        <v>1502000</v>
      </c>
      <c r="C37" s="33" t="s">
        <v>70</v>
      </c>
      <c r="D37" s="36" t="s">
        <v>71</v>
      </c>
      <c r="E37" s="33">
        <v>12</v>
      </c>
      <c r="F37" s="23" t="s">
        <v>17</v>
      </c>
      <c r="G37" s="24"/>
      <c r="H37" s="24">
        <f>G37*E37</f>
        <v>0</v>
      </c>
    </row>
    <row r="38" spans="1:8" x14ac:dyDescent="0.45">
      <c r="A38" s="25"/>
      <c r="B38" s="26"/>
      <c r="C38" s="26">
        <v>3.5</v>
      </c>
      <c r="D38" s="27" t="s">
        <v>72</v>
      </c>
      <c r="E38" s="28"/>
      <c r="F38" s="28"/>
      <c r="G38" s="28"/>
      <c r="H38" s="28"/>
    </row>
    <row r="39" spans="1:8" x14ac:dyDescent="0.45">
      <c r="A39" s="22" t="s">
        <v>1087</v>
      </c>
      <c r="B39" s="23">
        <v>1502000</v>
      </c>
      <c r="C39" s="23" t="s">
        <v>74</v>
      </c>
      <c r="D39" s="32" t="s">
        <v>37</v>
      </c>
      <c r="E39" s="33">
        <v>12</v>
      </c>
      <c r="F39" s="23" t="s">
        <v>17</v>
      </c>
      <c r="G39" s="24"/>
      <c r="H39" s="24">
        <f>G39*E39</f>
        <v>0</v>
      </c>
    </row>
    <row r="40" spans="1:8" x14ac:dyDescent="0.45">
      <c r="A40" s="25"/>
      <c r="B40" s="37"/>
      <c r="C40" s="37">
        <v>3.6</v>
      </c>
      <c r="D40" s="38" t="s">
        <v>75</v>
      </c>
      <c r="E40" s="28"/>
      <c r="F40" s="28"/>
      <c r="G40" s="28"/>
      <c r="H40" s="28"/>
    </row>
    <row r="41" spans="1:8" x14ac:dyDescent="0.45">
      <c r="A41" s="22" t="s">
        <v>1088</v>
      </c>
      <c r="B41" s="23">
        <v>1502000</v>
      </c>
      <c r="C41" s="33" t="s">
        <v>77</v>
      </c>
      <c r="D41" s="39" t="s">
        <v>78</v>
      </c>
      <c r="E41" s="33">
        <v>12</v>
      </c>
      <c r="F41" s="23" t="s">
        <v>17</v>
      </c>
      <c r="G41" s="24"/>
      <c r="H41" s="24">
        <f>G41*E41</f>
        <v>0</v>
      </c>
    </row>
    <row r="42" spans="1:8" x14ac:dyDescent="0.45">
      <c r="A42" s="22" t="s">
        <v>1089</v>
      </c>
      <c r="B42" s="23">
        <v>1502000</v>
      </c>
      <c r="C42" s="33" t="s">
        <v>80</v>
      </c>
      <c r="D42" s="39" t="s">
        <v>81</v>
      </c>
      <c r="E42" s="33">
        <v>12</v>
      </c>
      <c r="F42" s="23" t="s">
        <v>17</v>
      </c>
      <c r="G42" s="24"/>
      <c r="H42" s="24">
        <f t="shared" ref="H42:H52" si="1">G42*E42</f>
        <v>0</v>
      </c>
    </row>
    <row r="43" spans="1:8" x14ac:dyDescent="0.45">
      <c r="A43" s="22" t="s">
        <v>1090</v>
      </c>
      <c r="B43" s="23">
        <v>1502000</v>
      </c>
      <c r="C43" s="33" t="s">
        <v>83</v>
      </c>
      <c r="D43" s="39" t="s">
        <v>84</v>
      </c>
      <c r="E43" s="33">
        <v>12</v>
      </c>
      <c r="F43" s="23" t="s">
        <v>17</v>
      </c>
      <c r="G43" s="24"/>
      <c r="H43" s="24">
        <f t="shared" si="1"/>
        <v>0</v>
      </c>
    </row>
    <row r="44" spans="1:8" x14ac:dyDescent="0.45">
      <c r="A44" s="22" t="s">
        <v>1091</v>
      </c>
      <c r="B44" s="23">
        <v>1502000</v>
      </c>
      <c r="C44" s="33" t="s">
        <v>86</v>
      </c>
      <c r="D44" s="39" t="s">
        <v>87</v>
      </c>
      <c r="E44" s="33">
        <v>12</v>
      </c>
      <c r="F44" s="23" t="s">
        <v>17</v>
      </c>
      <c r="G44" s="24"/>
      <c r="H44" s="24">
        <f t="shared" si="1"/>
        <v>0</v>
      </c>
    </row>
    <row r="45" spans="1:8" x14ac:dyDescent="0.45">
      <c r="A45" s="22" t="s">
        <v>1092</v>
      </c>
      <c r="B45" s="23">
        <v>1502000</v>
      </c>
      <c r="C45" s="33" t="s">
        <v>89</v>
      </c>
      <c r="D45" s="39" t="s">
        <v>90</v>
      </c>
      <c r="E45" s="33">
        <v>12</v>
      </c>
      <c r="F45" s="23" t="s">
        <v>17</v>
      </c>
      <c r="G45" s="24"/>
      <c r="H45" s="24">
        <f t="shared" si="1"/>
        <v>0</v>
      </c>
    </row>
    <row r="46" spans="1:8" x14ac:dyDescent="0.45">
      <c r="A46" s="22" t="s">
        <v>1093</v>
      </c>
      <c r="B46" s="23">
        <v>1502000</v>
      </c>
      <c r="C46" s="33" t="s">
        <v>92</v>
      </c>
      <c r="D46" s="39" t="s">
        <v>93</v>
      </c>
      <c r="E46" s="33">
        <v>12</v>
      </c>
      <c r="F46" s="23" t="s">
        <v>17</v>
      </c>
      <c r="G46" s="24"/>
      <c r="H46" s="24">
        <f t="shared" si="1"/>
        <v>0</v>
      </c>
    </row>
    <row r="47" spans="1:8" x14ac:dyDescent="0.45">
      <c r="A47" s="22" t="s">
        <v>1094</v>
      </c>
      <c r="B47" s="23">
        <v>1502000</v>
      </c>
      <c r="C47" s="33" t="s">
        <v>95</v>
      </c>
      <c r="D47" s="39" t="s">
        <v>96</v>
      </c>
      <c r="E47" s="33">
        <v>12</v>
      </c>
      <c r="F47" s="23" t="s">
        <v>17</v>
      </c>
      <c r="G47" s="24"/>
      <c r="H47" s="24">
        <f t="shared" si="1"/>
        <v>0</v>
      </c>
    </row>
    <row r="48" spans="1:8" x14ac:dyDescent="0.45">
      <c r="A48" s="22" t="s">
        <v>1095</v>
      </c>
      <c r="B48" s="23">
        <v>1502000</v>
      </c>
      <c r="C48" s="33" t="s">
        <v>98</v>
      </c>
      <c r="D48" s="39" t="s">
        <v>99</v>
      </c>
      <c r="E48" s="33">
        <v>12</v>
      </c>
      <c r="F48" s="23" t="s">
        <v>17</v>
      </c>
      <c r="G48" s="24"/>
      <c r="H48" s="24">
        <f t="shared" si="1"/>
        <v>0</v>
      </c>
    </row>
    <row r="49" spans="1:8" s="293" customFormat="1" x14ac:dyDescent="0.45">
      <c r="A49" s="257" t="s">
        <v>1096</v>
      </c>
      <c r="B49" s="286">
        <v>1502000</v>
      </c>
      <c r="C49" s="301" t="s">
        <v>273</v>
      </c>
      <c r="D49" s="372" t="s">
        <v>309</v>
      </c>
      <c r="E49" s="301">
        <v>12</v>
      </c>
      <c r="F49" s="286" t="s">
        <v>17</v>
      </c>
      <c r="G49" s="302"/>
      <c r="H49" s="302">
        <f t="shared" si="1"/>
        <v>0</v>
      </c>
    </row>
    <row r="50" spans="1:8" x14ac:dyDescent="0.45">
      <c r="A50" s="257" t="s">
        <v>1097</v>
      </c>
      <c r="B50" s="23">
        <v>1502000</v>
      </c>
      <c r="C50" s="33" t="s">
        <v>101</v>
      </c>
      <c r="D50" s="39" t="s">
        <v>102</v>
      </c>
      <c r="E50" s="33">
        <v>12</v>
      </c>
      <c r="F50" s="23" t="s">
        <v>17</v>
      </c>
      <c r="G50" s="24"/>
      <c r="H50" s="24">
        <f t="shared" si="1"/>
        <v>0</v>
      </c>
    </row>
    <row r="51" spans="1:8" x14ac:dyDescent="0.45">
      <c r="A51" s="257" t="s">
        <v>1098</v>
      </c>
      <c r="B51" s="23">
        <v>1502000</v>
      </c>
      <c r="C51" s="23" t="s">
        <v>104</v>
      </c>
      <c r="D51" s="35" t="s">
        <v>105</v>
      </c>
      <c r="E51" s="33">
        <v>12</v>
      </c>
      <c r="F51" s="23" t="s">
        <v>17</v>
      </c>
      <c r="G51" s="24"/>
      <c r="H51" s="24">
        <f t="shared" si="1"/>
        <v>0</v>
      </c>
    </row>
    <row r="52" spans="1:8" x14ac:dyDescent="0.45">
      <c r="A52" s="257" t="s">
        <v>1099</v>
      </c>
      <c r="B52" s="23">
        <v>1502000</v>
      </c>
      <c r="C52" s="23" t="s">
        <v>107</v>
      </c>
      <c r="D52" s="22" t="s">
        <v>108</v>
      </c>
      <c r="E52" s="33">
        <v>12</v>
      </c>
      <c r="F52" s="23" t="s">
        <v>17</v>
      </c>
      <c r="G52" s="24"/>
      <c r="H52" s="24">
        <f t="shared" si="1"/>
        <v>0</v>
      </c>
    </row>
    <row r="53" spans="1:8" x14ac:dyDescent="0.45">
      <c r="A53" s="287"/>
      <c r="B53" s="41">
        <v>1503010</v>
      </c>
      <c r="C53" s="41"/>
      <c r="D53" s="42" t="s">
        <v>109</v>
      </c>
      <c r="E53" s="43"/>
      <c r="F53" s="44"/>
      <c r="G53" s="44"/>
      <c r="H53" s="45"/>
    </row>
    <row r="54" spans="1:8" x14ac:dyDescent="0.45">
      <c r="A54" s="257" t="s">
        <v>1100</v>
      </c>
      <c r="B54" s="33">
        <v>1503010</v>
      </c>
      <c r="C54" s="33">
        <v>3.1</v>
      </c>
      <c r="D54" s="36" t="s">
        <v>111</v>
      </c>
      <c r="E54" s="33">
        <v>12</v>
      </c>
      <c r="F54" s="23" t="s">
        <v>17</v>
      </c>
      <c r="G54" s="24"/>
      <c r="H54" s="24">
        <f>G54*E54</f>
        <v>0</v>
      </c>
    </row>
    <row r="55" spans="1:8" x14ac:dyDescent="0.45">
      <c r="A55" s="257" t="s">
        <v>1101</v>
      </c>
      <c r="B55" s="33">
        <v>1503010</v>
      </c>
      <c r="C55" s="33">
        <v>3.1</v>
      </c>
      <c r="D55" s="36" t="s">
        <v>113</v>
      </c>
      <c r="E55" s="33">
        <v>12</v>
      </c>
      <c r="F55" s="23" t="s">
        <v>17</v>
      </c>
      <c r="G55" s="24"/>
      <c r="H55" s="24">
        <f>G55*E55</f>
        <v>0</v>
      </c>
    </row>
    <row r="56" spans="1:8" x14ac:dyDescent="0.45">
      <c r="A56" s="287"/>
      <c r="B56" s="41">
        <v>1503020</v>
      </c>
      <c r="C56" s="41"/>
      <c r="D56" s="42" t="s">
        <v>114</v>
      </c>
      <c r="E56" s="43"/>
      <c r="F56" s="44"/>
      <c r="G56" s="44"/>
      <c r="H56" s="45"/>
    </row>
    <row r="57" spans="1:8" x14ac:dyDescent="0.45">
      <c r="A57" s="257" t="s">
        <v>1102</v>
      </c>
      <c r="B57" s="33">
        <v>1503020</v>
      </c>
      <c r="C57" s="33">
        <v>3.1</v>
      </c>
      <c r="D57" s="36" t="s">
        <v>116</v>
      </c>
      <c r="E57" s="33">
        <v>12</v>
      </c>
      <c r="F57" s="23" t="s">
        <v>17</v>
      </c>
      <c r="G57" s="24"/>
      <c r="H57" s="24">
        <f>G57*E57</f>
        <v>0</v>
      </c>
    </row>
    <row r="58" spans="1:8" x14ac:dyDescent="0.45">
      <c r="A58" s="257" t="s">
        <v>1103</v>
      </c>
      <c r="B58" s="33">
        <v>1503020</v>
      </c>
      <c r="C58" s="33">
        <v>3.2</v>
      </c>
      <c r="D58" s="36" t="s">
        <v>118</v>
      </c>
      <c r="E58" s="33">
        <v>12</v>
      </c>
      <c r="F58" s="23" t="s">
        <v>17</v>
      </c>
      <c r="G58" s="24"/>
      <c r="H58" s="24">
        <f>G58*E58</f>
        <v>0</v>
      </c>
    </row>
    <row r="59" spans="1:8" x14ac:dyDescent="0.45">
      <c r="A59" s="257" t="s">
        <v>1104</v>
      </c>
      <c r="B59" s="33">
        <v>1503020</v>
      </c>
      <c r="C59" s="33">
        <v>3.3</v>
      </c>
      <c r="D59" s="36" t="s">
        <v>120</v>
      </c>
      <c r="E59" s="33">
        <v>12</v>
      </c>
      <c r="F59" s="23" t="s">
        <v>17</v>
      </c>
      <c r="G59" s="24"/>
      <c r="H59" s="24">
        <f>G59*E59</f>
        <v>0</v>
      </c>
    </row>
    <row r="60" spans="1:8" x14ac:dyDescent="0.45">
      <c r="A60" s="287"/>
      <c r="B60" s="43">
        <v>1503030</v>
      </c>
      <c r="C60" s="41"/>
      <c r="D60" s="42" t="s">
        <v>121</v>
      </c>
      <c r="E60" s="43"/>
      <c r="F60" s="44"/>
      <c r="G60" s="44"/>
      <c r="H60" s="45"/>
    </row>
    <row r="61" spans="1:8" x14ac:dyDescent="0.45">
      <c r="A61" s="257" t="s">
        <v>1105</v>
      </c>
      <c r="B61" s="33">
        <v>1503030</v>
      </c>
      <c r="C61" s="33" t="s">
        <v>123</v>
      </c>
      <c r="D61" s="36" t="s">
        <v>124</v>
      </c>
      <c r="E61" s="33">
        <v>12</v>
      </c>
      <c r="F61" s="23" t="s">
        <v>17</v>
      </c>
      <c r="G61" s="24"/>
      <c r="H61" s="24">
        <f>G61*E61</f>
        <v>0</v>
      </c>
    </row>
    <row r="62" spans="1:8" x14ac:dyDescent="0.45">
      <c r="A62" s="257" t="s">
        <v>1106</v>
      </c>
      <c r="B62" s="33">
        <v>1503030</v>
      </c>
      <c r="C62" s="33">
        <v>3.6</v>
      </c>
      <c r="D62" s="36" t="s">
        <v>126</v>
      </c>
      <c r="E62" s="33">
        <v>12</v>
      </c>
      <c r="F62" s="23" t="s">
        <v>17</v>
      </c>
      <c r="G62" s="24"/>
      <c r="H62" s="24">
        <f>G62*E62</f>
        <v>0</v>
      </c>
    </row>
    <row r="63" spans="1:8" x14ac:dyDescent="0.45">
      <c r="A63" s="287"/>
      <c r="B63" s="41">
        <v>1503050</v>
      </c>
      <c r="C63" s="41"/>
      <c r="D63" s="42" t="s">
        <v>127</v>
      </c>
      <c r="E63" s="43"/>
      <c r="F63" s="44"/>
      <c r="G63" s="44"/>
      <c r="H63" s="45"/>
    </row>
    <row r="64" spans="1:8" x14ac:dyDescent="0.45">
      <c r="A64" s="257" t="s">
        <v>1107</v>
      </c>
      <c r="B64" s="33">
        <v>1503050</v>
      </c>
      <c r="C64" s="33">
        <v>3.1</v>
      </c>
      <c r="D64" s="46" t="s">
        <v>129</v>
      </c>
      <c r="E64" s="33">
        <v>12</v>
      </c>
      <c r="F64" s="23" t="s">
        <v>17</v>
      </c>
      <c r="G64" s="24"/>
      <c r="H64" s="24">
        <f>G64*E64</f>
        <v>0</v>
      </c>
    </row>
    <row r="65" spans="1:8" x14ac:dyDescent="0.45">
      <c r="A65" s="257" t="s">
        <v>1108</v>
      </c>
      <c r="B65" s="33">
        <v>1503050</v>
      </c>
      <c r="C65" s="33">
        <v>3.2</v>
      </c>
      <c r="D65" s="36" t="s">
        <v>131</v>
      </c>
      <c r="E65" s="33">
        <v>12</v>
      </c>
      <c r="F65" s="23" t="s">
        <v>17</v>
      </c>
      <c r="G65" s="24"/>
      <c r="H65" s="24">
        <f>G65*E65</f>
        <v>0</v>
      </c>
    </row>
    <row r="66" spans="1:8" x14ac:dyDescent="0.45">
      <c r="A66" s="257" t="s">
        <v>1109</v>
      </c>
      <c r="B66" s="33">
        <v>1503050</v>
      </c>
      <c r="C66" s="33">
        <v>3.3</v>
      </c>
      <c r="D66" s="36" t="s">
        <v>133</v>
      </c>
      <c r="E66" s="33">
        <v>12</v>
      </c>
      <c r="F66" s="23" t="s">
        <v>17</v>
      </c>
      <c r="G66" s="24"/>
      <c r="H66" s="24">
        <f>G66*E66</f>
        <v>0</v>
      </c>
    </row>
    <row r="67" spans="1:8" x14ac:dyDescent="0.45">
      <c r="A67" s="257" t="s">
        <v>1110</v>
      </c>
      <c r="B67" s="33">
        <v>1503050</v>
      </c>
      <c r="C67" s="33">
        <v>3.4</v>
      </c>
      <c r="D67" s="36" t="s">
        <v>135</v>
      </c>
      <c r="E67" s="33">
        <v>12</v>
      </c>
      <c r="F67" s="23" t="s">
        <v>17</v>
      </c>
      <c r="G67" s="24"/>
      <c r="H67" s="24">
        <f>G67*E67</f>
        <v>0</v>
      </c>
    </row>
    <row r="68" spans="1:8" s="294" customFormat="1" x14ac:dyDescent="0.45">
      <c r="A68" s="257" t="s">
        <v>1111</v>
      </c>
      <c r="B68" s="301">
        <v>1503050</v>
      </c>
      <c r="C68" s="301">
        <v>3.4</v>
      </c>
      <c r="D68" s="295" t="s">
        <v>5024</v>
      </c>
      <c r="E68" s="301">
        <v>12</v>
      </c>
      <c r="F68" s="286" t="s">
        <v>17</v>
      </c>
      <c r="G68" s="302"/>
      <c r="H68" s="302">
        <f>G68*E68</f>
        <v>0</v>
      </c>
    </row>
    <row r="69" spans="1:8" x14ac:dyDescent="0.45">
      <c r="A69" s="257" t="s">
        <v>5039</v>
      </c>
      <c r="B69" s="33">
        <v>1503050</v>
      </c>
      <c r="C69" s="33">
        <v>3.5</v>
      </c>
      <c r="D69" s="47" t="s">
        <v>137</v>
      </c>
      <c r="E69" s="33">
        <v>12</v>
      </c>
      <c r="F69" s="23" t="s">
        <v>17</v>
      </c>
      <c r="G69" s="24"/>
      <c r="H69" s="24">
        <f>G69*E69</f>
        <v>0</v>
      </c>
    </row>
    <row r="70" spans="1:8" x14ac:dyDescent="0.45">
      <c r="A70" s="287"/>
      <c r="B70" s="41">
        <v>1503060</v>
      </c>
      <c r="C70" s="41"/>
      <c r="D70" s="42" t="s">
        <v>138</v>
      </c>
      <c r="E70" s="43"/>
      <c r="F70" s="44"/>
      <c r="G70" s="44"/>
      <c r="H70" s="45"/>
    </row>
    <row r="71" spans="1:8" x14ac:dyDescent="0.45">
      <c r="A71" s="257" t="s">
        <v>1112</v>
      </c>
      <c r="B71" s="33">
        <v>1503060</v>
      </c>
      <c r="C71" s="33">
        <v>3.1</v>
      </c>
      <c r="D71" s="36" t="s">
        <v>140</v>
      </c>
      <c r="E71" s="23">
        <v>12</v>
      </c>
      <c r="F71" s="23" t="s">
        <v>17</v>
      </c>
      <c r="G71" s="24"/>
      <c r="H71" s="24">
        <f>G71*E71</f>
        <v>0</v>
      </c>
    </row>
    <row r="72" spans="1:8" x14ac:dyDescent="0.45">
      <c r="A72" s="257" t="s">
        <v>1113</v>
      </c>
      <c r="B72" s="33">
        <v>1503060</v>
      </c>
      <c r="C72" s="33">
        <v>3.2</v>
      </c>
      <c r="D72" s="36" t="s">
        <v>142</v>
      </c>
      <c r="E72" s="23">
        <v>12</v>
      </c>
      <c r="F72" s="23" t="s">
        <v>17</v>
      </c>
      <c r="G72" s="24"/>
      <c r="H72" s="24">
        <f>G72*E72</f>
        <v>0</v>
      </c>
    </row>
    <row r="73" spans="1:8" x14ac:dyDescent="0.45">
      <c r="A73" s="287"/>
      <c r="B73" s="41">
        <v>1601000</v>
      </c>
      <c r="C73" s="41"/>
      <c r="D73" s="42" t="s">
        <v>143</v>
      </c>
      <c r="E73" s="43"/>
      <c r="F73" s="44"/>
      <c r="G73" s="44"/>
      <c r="H73" s="45"/>
    </row>
    <row r="74" spans="1:8" x14ac:dyDescent="0.45">
      <c r="A74" s="363"/>
      <c r="B74" s="26"/>
      <c r="C74" s="26">
        <v>3.1</v>
      </c>
      <c r="D74" s="27" t="s">
        <v>144</v>
      </c>
      <c r="E74" s="28"/>
      <c r="F74" s="28"/>
      <c r="G74" s="28"/>
      <c r="H74" s="28"/>
    </row>
    <row r="75" spans="1:8" x14ac:dyDescent="0.45">
      <c r="A75" s="257" t="s">
        <v>1114</v>
      </c>
      <c r="B75" s="23">
        <v>1601000</v>
      </c>
      <c r="C75" s="23" t="s">
        <v>21</v>
      </c>
      <c r="D75" s="48" t="s">
        <v>146</v>
      </c>
      <c r="E75" s="23">
        <v>12</v>
      </c>
      <c r="F75" s="23" t="s">
        <v>17</v>
      </c>
      <c r="G75" s="24"/>
      <c r="H75" s="24">
        <f>G75*E75</f>
        <v>0</v>
      </c>
    </row>
    <row r="76" spans="1:8" x14ac:dyDescent="0.45">
      <c r="A76" s="257" t="s">
        <v>1115</v>
      </c>
      <c r="B76" s="23">
        <v>1601000</v>
      </c>
      <c r="C76" s="23" t="s">
        <v>24</v>
      </c>
      <c r="D76" s="48" t="s">
        <v>148</v>
      </c>
      <c r="E76" s="23">
        <v>12</v>
      </c>
      <c r="F76" s="23" t="s">
        <v>17</v>
      </c>
      <c r="G76" s="24"/>
      <c r="H76" s="24">
        <f>G76*E76</f>
        <v>0</v>
      </c>
    </row>
    <row r="77" spans="1:8" x14ac:dyDescent="0.45">
      <c r="A77" s="257" t="s">
        <v>1116</v>
      </c>
      <c r="B77" s="23">
        <v>1601000</v>
      </c>
      <c r="C77" s="23">
        <v>3.2</v>
      </c>
      <c r="D77" s="48" t="s">
        <v>150</v>
      </c>
      <c r="E77" s="23">
        <v>12</v>
      </c>
      <c r="F77" s="23" t="s">
        <v>17</v>
      </c>
      <c r="G77" s="24"/>
      <c r="H77" s="24">
        <f>G77*E77</f>
        <v>0</v>
      </c>
    </row>
    <row r="78" spans="1:8" x14ac:dyDescent="0.45">
      <c r="A78" s="257" t="s">
        <v>1117</v>
      </c>
      <c r="B78" s="23">
        <v>1601000</v>
      </c>
      <c r="C78" s="23">
        <v>3.3</v>
      </c>
      <c r="D78" s="48" t="s">
        <v>152</v>
      </c>
      <c r="E78" s="23">
        <v>12</v>
      </c>
      <c r="F78" s="23" t="s">
        <v>17</v>
      </c>
      <c r="G78" s="24"/>
      <c r="H78" s="24">
        <f>G78*E78</f>
        <v>0</v>
      </c>
    </row>
    <row r="79" spans="1:8" x14ac:dyDescent="0.45">
      <c r="A79" s="287"/>
      <c r="B79" s="41">
        <v>1602000</v>
      </c>
      <c r="C79" s="41"/>
      <c r="D79" s="42" t="s">
        <v>153</v>
      </c>
      <c r="E79" s="43"/>
      <c r="F79" s="44" t="s">
        <v>154</v>
      </c>
      <c r="G79" s="44"/>
      <c r="H79" s="45"/>
    </row>
    <row r="80" spans="1:8" x14ac:dyDescent="0.45">
      <c r="A80" s="363"/>
      <c r="B80" s="26"/>
      <c r="C80" s="26">
        <v>3.1</v>
      </c>
      <c r="D80" s="27" t="s">
        <v>31</v>
      </c>
      <c r="E80" s="28"/>
      <c r="F80" s="28"/>
      <c r="G80" s="28"/>
      <c r="H80" s="28"/>
    </row>
    <row r="81" spans="1:8" x14ac:dyDescent="0.45">
      <c r="A81" s="257" t="s">
        <v>1118</v>
      </c>
      <c r="B81" s="23">
        <v>1602000</v>
      </c>
      <c r="C81" s="23" t="s">
        <v>21</v>
      </c>
      <c r="D81" s="48" t="s">
        <v>156</v>
      </c>
      <c r="E81" s="23">
        <v>12</v>
      </c>
      <c r="F81" s="23" t="s">
        <v>17</v>
      </c>
      <c r="G81" s="24"/>
      <c r="H81" s="24">
        <f>G81*E81</f>
        <v>0</v>
      </c>
    </row>
    <row r="82" spans="1:8" x14ac:dyDescent="0.45">
      <c r="A82" s="363"/>
      <c r="B82" s="49"/>
      <c r="C82" s="26">
        <v>3.2</v>
      </c>
      <c r="D82" s="28" t="s">
        <v>75</v>
      </c>
      <c r="E82" s="28"/>
      <c r="F82" s="28"/>
      <c r="G82" s="28"/>
      <c r="H82" s="28"/>
    </row>
    <row r="83" spans="1:8" x14ac:dyDescent="0.45">
      <c r="A83" s="257" t="s">
        <v>1119</v>
      </c>
      <c r="B83" s="23">
        <v>1602000</v>
      </c>
      <c r="C83" s="23" t="s">
        <v>158</v>
      </c>
      <c r="D83" s="48" t="s">
        <v>159</v>
      </c>
      <c r="E83" s="23">
        <v>12</v>
      </c>
      <c r="F83" s="23" t="s">
        <v>17</v>
      </c>
      <c r="G83" s="24"/>
      <c r="H83" s="24">
        <f>G83*E83</f>
        <v>0</v>
      </c>
    </row>
    <row r="84" spans="1:8" x14ac:dyDescent="0.45">
      <c r="A84" s="287"/>
      <c r="B84" s="41">
        <v>1603000</v>
      </c>
      <c r="C84" s="41"/>
      <c r="D84" s="42" t="s">
        <v>160</v>
      </c>
      <c r="E84" s="50"/>
      <c r="F84" s="50"/>
      <c r="G84" s="44"/>
      <c r="H84" s="51"/>
    </row>
    <row r="85" spans="1:8" x14ac:dyDescent="0.45">
      <c r="A85" s="257" t="s">
        <v>1120</v>
      </c>
      <c r="B85" s="23">
        <v>1603000</v>
      </c>
      <c r="C85" s="23">
        <v>3.1</v>
      </c>
      <c r="D85" s="48" t="s">
        <v>62</v>
      </c>
      <c r="E85" s="23">
        <v>12</v>
      </c>
      <c r="F85" s="23" t="s">
        <v>17</v>
      </c>
      <c r="G85" s="24"/>
      <c r="H85" s="24">
        <f>G85*E85</f>
        <v>0</v>
      </c>
    </row>
    <row r="86" spans="1:8" x14ac:dyDescent="0.45">
      <c r="A86" s="287"/>
      <c r="B86" s="41">
        <v>1604000</v>
      </c>
      <c r="C86" s="41"/>
      <c r="D86" s="42" t="s">
        <v>162</v>
      </c>
      <c r="E86" s="50"/>
      <c r="F86" s="50"/>
      <c r="G86" s="44"/>
      <c r="H86" s="51"/>
    </row>
    <row r="87" spans="1:8" x14ac:dyDescent="0.45">
      <c r="A87" s="257" t="s">
        <v>1121</v>
      </c>
      <c r="B87" s="23">
        <v>1604000</v>
      </c>
      <c r="C87" s="23">
        <v>3.1</v>
      </c>
      <c r="D87" s="30" t="s">
        <v>31</v>
      </c>
      <c r="E87" s="52">
        <v>12</v>
      </c>
      <c r="F87" s="52" t="s">
        <v>17</v>
      </c>
      <c r="G87" s="24"/>
      <c r="H87" s="53">
        <f t="shared" ref="H87:H88" si="2">G87*E87</f>
        <v>0</v>
      </c>
    </row>
    <row r="88" spans="1:8" x14ac:dyDescent="0.45">
      <c r="A88" s="257" t="s">
        <v>1122</v>
      </c>
      <c r="B88" s="23">
        <v>1604000</v>
      </c>
      <c r="C88" s="23">
        <v>3.2</v>
      </c>
      <c r="D88" s="30" t="s">
        <v>165</v>
      </c>
      <c r="E88" s="52">
        <v>12</v>
      </c>
      <c r="F88" s="52" t="s">
        <v>17</v>
      </c>
      <c r="G88" s="24"/>
      <c r="H88" s="53">
        <f t="shared" si="2"/>
        <v>0</v>
      </c>
    </row>
    <row r="89" spans="1:8" x14ac:dyDescent="0.45">
      <c r="A89" s="287"/>
      <c r="B89" s="41">
        <v>1606001</v>
      </c>
      <c r="C89" s="41"/>
      <c r="D89" s="54" t="s">
        <v>166</v>
      </c>
      <c r="E89" s="55"/>
      <c r="F89" s="55"/>
      <c r="G89" s="44"/>
      <c r="H89" s="55"/>
    </row>
    <row r="90" spans="1:8" x14ac:dyDescent="0.45">
      <c r="A90" s="257" t="s">
        <v>1123</v>
      </c>
      <c r="B90" s="23">
        <v>1606001</v>
      </c>
      <c r="C90" s="23">
        <v>3.1</v>
      </c>
      <c r="D90" s="56" t="s">
        <v>31</v>
      </c>
      <c r="E90" s="23">
        <v>12</v>
      </c>
      <c r="F90" s="23" t="s">
        <v>17</v>
      </c>
      <c r="G90" s="24"/>
      <c r="H90" s="24">
        <f>G90*E90</f>
        <v>0</v>
      </c>
    </row>
    <row r="91" spans="1:8" x14ac:dyDescent="0.45">
      <c r="A91" s="257" t="s">
        <v>1124</v>
      </c>
      <c r="B91" s="23">
        <v>1606001</v>
      </c>
      <c r="C91" s="23">
        <v>3.2</v>
      </c>
      <c r="D91" s="56" t="s">
        <v>169</v>
      </c>
      <c r="E91" s="23">
        <v>12</v>
      </c>
      <c r="F91" s="23" t="s">
        <v>17</v>
      </c>
      <c r="G91" s="24"/>
      <c r="H91" s="24">
        <f>G91*E91</f>
        <v>0</v>
      </c>
    </row>
    <row r="92" spans="1:8" x14ac:dyDescent="0.45">
      <c r="A92" s="257" t="s">
        <v>1125</v>
      </c>
      <c r="B92" s="23">
        <v>1606001</v>
      </c>
      <c r="C92" s="23">
        <v>3.3</v>
      </c>
      <c r="D92" s="56" t="s">
        <v>170</v>
      </c>
      <c r="E92" s="23">
        <v>12</v>
      </c>
      <c r="F92" s="23" t="s">
        <v>17</v>
      </c>
      <c r="G92" s="24"/>
      <c r="H92" s="24">
        <f>G92*E92</f>
        <v>0</v>
      </c>
    </row>
    <row r="93" spans="1:8" x14ac:dyDescent="0.45">
      <c r="A93" s="287"/>
      <c r="B93" s="41">
        <v>1700000</v>
      </c>
      <c r="C93" s="41"/>
      <c r="D93" s="42" t="s">
        <v>171</v>
      </c>
      <c r="E93" s="50"/>
      <c r="F93" s="50"/>
      <c r="G93" s="44"/>
      <c r="H93" s="51"/>
    </row>
    <row r="94" spans="1:8" x14ac:dyDescent="0.45">
      <c r="A94" s="257" t="s">
        <v>1126</v>
      </c>
      <c r="B94" s="23">
        <v>1700000</v>
      </c>
      <c r="C94" s="23">
        <v>3.1</v>
      </c>
      <c r="D94" s="30" t="s">
        <v>173</v>
      </c>
      <c r="E94" s="23">
        <v>12</v>
      </c>
      <c r="F94" s="23" t="s">
        <v>17</v>
      </c>
      <c r="G94" s="24"/>
      <c r="H94" s="24">
        <f t="shared" ref="H94" si="3">G94*E94</f>
        <v>0</v>
      </c>
    </row>
    <row r="95" spans="1:8" x14ac:dyDescent="0.45">
      <c r="A95" s="287"/>
      <c r="B95" s="41">
        <v>1800000</v>
      </c>
      <c r="C95" s="41"/>
      <c r="D95" s="42" t="s">
        <v>174</v>
      </c>
      <c r="E95" s="43"/>
      <c r="F95" s="44"/>
      <c r="G95" s="44"/>
      <c r="H95" s="45"/>
    </row>
    <row r="96" spans="1:8" ht="25.2" x14ac:dyDescent="0.45">
      <c r="A96" s="257" t="s">
        <v>5328</v>
      </c>
      <c r="B96" s="23">
        <v>1800000</v>
      </c>
      <c r="C96" s="23">
        <v>3.1</v>
      </c>
      <c r="D96" s="57" t="s">
        <v>176</v>
      </c>
      <c r="E96" s="23">
        <v>12</v>
      </c>
      <c r="F96" s="23" t="s">
        <v>17</v>
      </c>
      <c r="G96" s="24"/>
      <c r="H96" s="24">
        <f>G96*E96</f>
        <v>0</v>
      </c>
    </row>
    <row r="97" spans="1:8" x14ac:dyDescent="0.45">
      <c r="A97" s="58"/>
      <c r="B97" s="59"/>
      <c r="C97" s="59"/>
      <c r="D97" s="60" t="s">
        <v>177</v>
      </c>
      <c r="E97" s="59"/>
      <c r="F97" s="59"/>
      <c r="G97" s="59"/>
      <c r="H97" s="62">
        <f>SUM(H15:H96)</f>
        <v>0</v>
      </c>
    </row>
    <row r="98" spans="1:8" hidden="1" x14ac:dyDescent="0.45">
      <c r="A98" s="63"/>
      <c r="B98" s="64"/>
      <c r="C98" s="64"/>
      <c r="D98" s="65"/>
      <c r="E98" s="64"/>
      <c r="F98" s="64"/>
      <c r="G98" s="64"/>
      <c r="H98" s="66"/>
    </row>
    <row r="99" spans="1:8" s="70" customFormat="1" ht="13.5" hidden="1" customHeight="1" x14ac:dyDescent="0.45">
      <c r="A99" s="67"/>
      <c r="B99" s="68"/>
      <c r="C99" s="68"/>
      <c r="D99" s="69"/>
      <c r="E99" s="69"/>
      <c r="F99" s="69"/>
      <c r="G99" s="69"/>
      <c r="H99" s="69"/>
    </row>
    <row r="100" spans="1:8" s="70" customFormat="1" ht="12.3" hidden="1" x14ac:dyDescent="0.45">
      <c r="A100" s="71"/>
      <c r="B100" s="72"/>
      <c r="C100" s="72"/>
      <c r="D100" s="73" t="s">
        <v>178</v>
      </c>
      <c r="E100" s="74"/>
      <c r="F100" s="74"/>
      <c r="G100" s="74"/>
      <c r="H100" s="75"/>
    </row>
    <row r="101" spans="1:8" s="70" customFormat="1" ht="12.3" hidden="1" x14ac:dyDescent="0.45">
      <c r="A101" s="76"/>
      <c r="B101" s="77"/>
      <c r="C101" s="77"/>
      <c r="D101" s="78" t="s">
        <v>179</v>
      </c>
      <c r="E101" s="79">
        <v>12</v>
      </c>
      <c r="F101" s="79" t="s">
        <v>17</v>
      </c>
      <c r="G101" s="79"/>
      <c r="H101" s="80">
        <f>G101*E101</f>
        <v>0</v>
      </c>
    </row>
    <row r="102" spans="1:8" s="70" customFormat="1" ht="12.3" hidden="1" x14ac:dyDescent="0.45">
      <c r="A102" s="71"/>
      <c r="B102" s="72"/>
      <c r="C102" s="72"/>
      <c r="D102" s="73" t="s">
        <v>180</v>
      </c>
      <c r="E102" s="72"/>
      <c r="F102" s="81"/>
      <c r="G102" s="81"/>
      <c r="H102" s="82"/>
    </row>
    <row r="103" spans="1:8" s="70" customFormat="1" ht="12.3" hidden="1" x14ac:dyDescent="0.45">
      <c r="A103" s="83"/>
      <c r="B103" s="84"/>
      <c r="C103" s="84"/>
      <c r="D103" s="85" t="s">
        <v>181</v>
      </c>
      <c r="E103" s="84"/>
      <c r="F103" s="84"/>
      <c r="G103" s="84"/>
      <c r="H103" s="86">
        <f>SUM(H100:H102)</f>
        <v>0</v>
      </c>
    </row>
    <row r="104" spans="1:8" x14ac:dyDescent="0.45">
      <c r="A104" s="87"/>
      <c r="B104" s="88"/>
      <c r="C104" s="88"/>
      <c r="D104" s="89"/>
      <c r="E104" s="64"/>
      <c r="F104" s="64"/>
      <c r="G104" s="64"/>
      <c r="H104" s="66"/>
    </row>
    <row r="105" spans="1:8" x14ac:dyDescent="0.45">
      <c r="A105" s="12" t="s">
        <v>1127</v>
      </c>
      <c r="B105" s="90"/>
      <c r="C105" s="13"/>
      <c r="D105" s="12" t="s">
        <v>183</v>
      </c>
      <c r="E105" s="91"/>
      <c r="F105" s="91"/>
      <c r="G105" s="91"/>
      <c r="H105" s="91"/>
    </row>
    <row r="106" spans="1:8" x14ac:dyDescent="0.4">
      <c r="A106" s="40"/>
      <c r="B106" s="203">
        <v>1502000</v>
      </c>
      <c r="C106" s="18"/>
      <c r="D106" s="204" t="s">
        <v>18</v>
      </c>
      <c r="E106" s="50"/>
      <c r="F106" s="50"/>
      <c r="G106" s="50"/>
      <c r="H106" s="51"/>
    </row>
    <row r="107" spans="1:8" x14ac:dyDescent="0.45">
      <c r="A107" s="25"/>
      <c r="B107" s="26"/>
      <c r="C107" s="26">
        <v>3.1</v>
      </c>
      <c r="D107" s="27" t="s">
        <v>19</v>
      </c>
      <c r="E107" s="28"/>
      <c r="F107" s="28"/>
      <c r="G107" s="28"/>
      <c r="H107" s="28"/>
    </row>
    <row r="108" spans="1:8" x14ac:dyDescent="0.45">
      <c r="A108" s="22" t="s">
        <v>1128</v>
      </c>
      <c r="B108" s="23">
        <v>1502000</v>
      </c>
      <c r="C108" s="23" t="s">
        <v>21</v>
      </c>
      <c r="D108" s="29" t="s">
        <v>22</v>
      </c>
      <c r="E108" s="23">
        <v>12</v>
      </c>
      <c r="F108" s="23" t="s">
        <v>17</v>
      </c>
      <c r="G108" s="24"/>
      <c r="H108" s="24">
        <f>G108*E108</f>
        <v>0</v>
      </c>
    </row>
    <row r="109" spans="1:8" x14ac:dyDescent="0.45">
      <c r="A109" s="22" t="s">
        <v>1129</v>
      </c>
      <c r="B109" s="23">
        <v>1502000</v>
      </c>
      <c r="C109" s="23" t="s">
        <v>24</v>
      </c>
      <c r="D109" s="29" t="s">
        <v>25</v>
      </c>
      <c r="E109" s="23">
        <v>12</v>
      </c>
      <c r="F109" s="23" t="s">
        <v>17</v>
      </c>
      <c r="G109" s="24"/>
      <c r="H109" s="24">
        <f>G109*E109</f>
        <v>0</v>
      </c>
    </row>
    <row r="110" spans="1:8" x14ac:dyDescent="0.45">
      <c r="A110" s="22" t="s">
        <v>1130</v>
      </c>
      <c r="B110" s="23">
        <v>1502000</v>
      </c>
      <c r="C110" s="23" t="s">
        <v>27</v>
      </c>
      <c r="D110" s="29" t="s">
        <v>28</v>
      </c>
      <c r="E110" s="23">
        <v>12</v>
      </c>
      <c r="F110" s="23" t="s">
        <v>17</v>
      </c>
      <c r="G110" s="24"/>
      <c r="H110" s="24">
        <f>G110*E110</f>
        <v>0</v>
      </c>
    </row>
    <row r="111" spans="1:8" x14ac:dyDescent="0.45">
      <c r="A111" s="25"/>
      <c r="B111" s="26"/>
      <c r="C111" s="26">
        <v>3.4</v>
      </c>
      <c r="D111" s="27" t="s">
        <v>62</v>
      </c>
      <c r="E111" s="28"/>
      <c r="F111" s="28"/>
      <c r="G111" s="28"/>
      <c r="H111" s="28"/>
    </row>
    <row r="112" spans="1:8" x14ac:dyDescent="0.45">
      <c r="A112" s="22" t="s">
        <v>1131</v>
      </c>
      <c r="B112" s="23">
        <v>1502000</v>
      </c>
      <c r="C112" s="23" t="s">
        <v>67</v>
      </c>
      <c r="D112" s="35" t="s">
        <v>68</v>
      </c>
      <c r="E112" s="23">
        <v>12</v>
      </c>
      <c r="F112" s="23" t="s">
        <v>17</v>
      </c>
      <c r="G112" s="24"/>
      <c r="H112" s="24">
        <f>G112*E112</f>
        <v>0</v>
      </c>
    </row>
    <row r="113" spans="1:8" x14ac:dyDescent="0.45">
      <c r="A113" s="25"/>
      <c r="B113" s="37"/>
      <c r="C113" s="37">
        <v>3.6</v>
      </c>
      <c r="D113" s="38" t="s">
        <v>75</v>
      </c>
      <c r="E113" s="28"/>
      <c r="F113" s="28"/>
      <c r="G113" s="28"/>
      <c r="H113" s="28"/>
    </row>
    <row r="114" spans="1:8" s="263" customFormat="1" x14ac:dyDescent="0.45">
      <c r="A114" s="258" t="s">
        <v>1132</v>
      </c>
      <c r="B114" s="261">
        <v>1502000</v>
      </c>
      <c r="C114" s="259" t="s">
        <v>77</v>
      </c>
      <c r="D114" s="275" t="s">
        <v>78</v>
      </c>
      <c r="E114" s="261">
        <v>12</v>
      </c>
      <c r="F114" s="261" t="s">
        <v>17</v>
      </c>
      <c r="G114" s="262"/>
      <c r="H114" s="262">
        <f>G114*E114</f>
        <v>0</v>
      </c>
    </row>
    <row r="115" spans="1:8" x14ac:dyDescent="0.45">
      <c r="A115" s="22" t="s">
        <v>5073</v>
      </c>
      <c r="B115" s="23">
        <v>1502000</v>
      </c>
      <c r="C115" s="33" t="s">
        <v>95</v>
      </c>
      <c r="D115" s="39" t="s">
        <v>96</v>
      </c>
      <c r="E115" s="23">
        <v>12</v>
      </c>
      <c r="F115" s="23" t="s">
        <v>17</v>
      </c>
      <c r="G115" s="24"/>
      <c r="H115" s="24">
        <f>G115*E115</f>
        <v>0</v>
      </c>
    </row>
    <row r="116" spans="1:8" s="263" customFormat="1" x14ac:dyDescent="0.45">
      <c r="A116" s="258" t="s">
        <v>1133</v>
      </c>
      <c r="B116" s="261">
        <v>1502000</v>
      </c>
      <c r="C116" s="259" t="s">
        <v>101</v>
      </c>
      <c r="D116" s="275" t="s">
        <v>102</v>
      </c>
      <c r="E116" s="261">
        <v>12</v>
      </c>
      <c r="F116" s="261" t="s">
        <v>17</v>
      </c>
      <c r="G116" s="262"/>
      <c r="H116" s="262">
        <f>G116*E116</f>
        <v>0</v>
      </c>
    </row>
    <row r="117" spans="1:8" x14ac:dyDescent="0.45">
      <c r="A117" s="40"/>
      <c r="B117" s="41">
        <v>1503010</v>
      </c>
      <c r="C117" s="41"/>
      <c r="D117" s="42" t="s">
        <v>109</v>
      </c>
      <c r="E117" s="43"/>
      <c r="F117" s="44"/>
      <c r="G117" s="44"/>
      <c r="H117" s="45"/>
    </row>
    <row r="118" spans="1:8" x14ac:dyDescent="0.45">
      <c r="A118" s="22" t="s">
        <v>5074</v>
      </c>
      <c r="B118" s="33">
        <v>1503010</v>
      </c>
      <c r="C118" s="33">
        <v>3.1</v>
      </c>
      <c r="D118" s="36" t="s">
        <v>111</v>
      </c>
      <c r="E118" s="23">
        <v>12</v>
      </c>
      <c r="F118" s="23" t="s">
        <v>17</v>
      </c>
      <c r="G118" s="24"/>
      <c r="H118" s="24">
        <f>G118*E118</f>
        <v>0</v>
      </c>
    </row>
    <row r="119" spans="1:8" x14ac:dyDescent="0.45">
      <c r="A119" s="40"/>
      <c r="B119" s="92">
        <v>1503020</v>
      </c>
      <c r="C119" s="92"/>
      <c r="D119" s="93" t="s">
        <v>114</v>
      </c>
      <c r="E119" s="50"/>
      <c r="F119" s="50"/>
      <c r="G119" s="44"/>
      <c r="H119" s="51"/>
    </row>
    <row r="120" spans="1:8" x14ac:dyDescent="0.45">
      <c r="A120" s="22" t="s">
        <v>5075</v>
      </c>
      <c r="B120" s="33">
        <v>1503020</v>
      </c>
      <c r="C120" s="33">
        <v>3.1</v>
      </c>
      <c r="D120" s="36" t="s">
        <v>116</v>
      </c>
      <c r="E120" s="23">
        <v>12</v>
      </c>
      <c r="F120" s="23" t="s">
        <v>17</v>
      </c>
      <c r="G120" s="24"/>
      <c r="H120" s="24">
        <f>G120*E120</f>
        <v>0</v>
      </c>
    </row>
    <row r="121" spans="1:8" x14ac:dyDescent="0.45">
      <c r="A121" s="22" t="s">
        <v>5076</v>
      </c>
      <c r="B121" s="33">
        <v>1503020</v>
      </c>
      <c r="C121" s="33">
        <v>3.3</v>
      </c>
      <c r="D121" s="36" t="s">
        <v>120</v>
      </c>
      <c r="E121" s="23">
        <v>12</v>
      </c>
      <c r="F121" s="23" t="s">
        <v>17</v>
      </c>
      <c r="G121" s="24"/>
      <c r="H121" s="24">
        <f>G121*E121</f>
        <v>0</v>
      </c>
    </row>
    <row r="122" spans="1:8" x14ac:dyDescent="0.45">
      <c r="A122" s="58"/>
      <c r="B122" s="59"/>
      <c r="C122" s="59"/>
      <c r="D122" s="60" t="s">
        <v>190</v>
      </c>
      <c r="E122" s="59"/>
      <c r="F122" s="59"/>
      <c r="G122" s="59"/>
      <c r="H122" s="62">
        <f>SUM(H107:H121)</f>
        <v>0</v>
      </c>
    </row>
    <row r="123" spans="1:8" x14ac:dyDescent="0.45">
      <c r="A123" s="87"/>
      <c r="B123" s="88"/>
      <c r="C123" s="88"/>
      <c r="D123" s="89"/>
      <c r="E123" s="88"/>
      <c r="F123" s="88"/>
      <c r="G123" s="88"/>
      <c r="H123" s="94"/>
    </row>
    <row r="124" spans="1:8" x14ac:dyDescent="0.45">
      <c r="A124" s="12" t="s">
        <v>1134</v>
      </c>
      <c r="B124" s="13"/>
      <c r="C124" s="13"/>
      <c r="D124" s="12" t="s">
        <v>192</v>
      </c>
      <c r="E124" s="91"/>
      <c r="F124" s="91"/>
      <c r="G124" s="91"/>
      <c r="H124" s="91"/>
    </row>
    <row r="125" spans="1:8" x14ac:dyDescent="0.4">
      <c r="A125" s="40"/>
      <c r="B125" s="203">
        <v>1502000</v>
      </c>
      <c r="C125" s="18"/>
      <c r="D125" s="204" t="s">
        <v>18</v>
      </c>
      <c r="E125" s="43"/>
      <c r="F125" s="44"/>
      <c r="G125" s="44"/>
      <c r="H125" s="45"/>
    </row>
    <row r="126" spans="1:8" x14ac:dyDescent="0.45">
      <c r="A126" s="25"/>
      <c r="B126" s="26"/>
      <c r="C126" s="26">
        <v>3.4</v>
      </c>
      <c r="D126" s="27" t="s">
        <v>62</v>
      </c>
      <c r="E126" s="28"/>
      <c r="F126" s="28"/>
      <c r="G126" s="28"/>
      <c r="H126" s="28"/>
    </row>
    <row r="127" spans="1:8" x14ac:dyDescent="0.45">
      <c r="A127" s="22" t="s">
        <v>1135</v>
      </c>
      <c r="B127" s="23">
        <v>1502000</v>
      </c>
      <c r="C127" s="23" t="s">
        <v>67</v>
      </c>
      <c r="D127" s="35" t="s">
        <v>68</v>
      </c>
      <c r="E127" s="23">
        <v>12</v>
      </c>
      <c r="F127" s="23" t="s">
        <v>17</v>
      </c>
      <c r="G127" s="24"/>
      <c r="H127" s="24">
        <f>G127*E127</f>
        <v>0</v>
      </c>
    </row>
    <row r="128" spans="1:8" s="263" customFormat="1" x14ac:dyDescent="0.45">
      <c r="A128" s="265"/>
      <c r="B128" s="376"/>
      <c r="C128" s="376">
        <v>3.6</v>
      </c>
      <c r="D128" s="377" t="s">
        <v>75</v>
      </c>
      <c r="E128" s="268"/>
      <c r="F128" s="268"/>
      <c r="G128" s="268"/>
      <c r="H128" s="268"/>
    </row>
    <row r="129" spans="1:8" s="263" customFormat="1" x14ac:dyDescent="0.45">
      <c r="A129" s="258" t="s">
        <v>1136</v>
      </c>
      <c r="B129" s="261">
        <v>1502000</v>
      </c>
      <c r="C129" s="259" t="s">
        <v>77</v>
      </c>
      <c r="D129" s="275" t="s">
        <v>78</v>
      </c>
      <c r="E129" s="261">
        <v>12</v>
      </c>
      <c r="F129" s="261" t="s">
        <v>17</v>
      </c>
      <c r="G129" s="262"/>
      <c r="H129" s="262">
        <f>G129*E129</f>
        <v>0</v>
      </c>
    </row>
    <row r="130" spans="1:8" x14ac:dyDescent="0.45">
      <c r="A130" s="40"/>
      <c r="B130" s="92">
        <v>1503020</v>
      </c>
      <c r="C130" s="92"/>
      <c r="D130" s="93" t="s">
        <v>114</v>
      </c>
      <c r="E130" s="50"/>
      <c r="F130" s="50"/>
      <c r="G130" s="50"/>
      <c r="H130" s="51"/>
    </row>
    <row r="131" spans="1:8" x14ac:dyDescent="0.45">
      <c r="A131" s="22" t="s">
        <v>5077</v>
      </c>
      <c r="B131" s="33">
        <v>1503020</v>
      </c>
      <c r="C131" s="33">
        <v>3.1</v>
      </c>
      <c r="D131" s="36" t="s">
        <v>116</v>
      </c>
      <c r="E131" s="23">
        <v>12</v>
      </c>
      <c r="F131" s="23" t="s">
        <v>17</v>
      </c>
      <c r="G131" s="24"/>
      <c r="H131" s="24">
        <f>G131*E131</f>
        <v>0</v>
      </c>
    </row>
    <row r="132" spans="1:8" x14ac:dyDescent="0.45">
      <c r="A132" s="22" t="s">
        <v>5078</v>
      </c>
      <c r="B132" s="33">
        <v>1503020</v>
      </c>
      <c r="C132" s="33">
        <v>3.2</v>
      </c>
      <c r="D132" s="36" t="s">
        <v>118</v>
      </c>
      <c r="E132" s="23">
        <v>12</v>
      </c>
      <c r="F132" s="23" t="s">
        <v>17</v>
      </c>
      <c r="G132" s="24"/>
      <c r="H132" s="24">
        <f>G132*E132</f>
        <v>0</v>
      </c>
    </row>
    <row r="133" spans="1:8" x14ac:dyDescent="0.45">
      <c r="A133" s="22" t="s">
        <v>5079</v>
      </c>
      <c r="B133" s="33">
        <v>1503020</v>
      </c>
      <c r="C133" s="33">
        <v>3.3</v>
      </c>
      <c r="D133" s="36" t="s">
        <v>120</v>
      </c>
      <c r="E133" s="23">
        <v>12</v>
      </c>
      <c r="F133" s="23" t="s">
        <v>17</v>
      </c>
      <c r="G133" s="24"/>
      <c r="H133" s="24">
        <f>G133*E133</f>
        <v>0</v>
      </c>
    </row>
    <row r="134" spans="1:8" x14ac:dyDescent="0.45">
      <c r="A134" s="40"/>
      <c r="B134" s="43">
        <v>1503030</v>
      </c>
      <c r="C134" s="41"/>
      <c r="D134" s="42" t="s">
        <v>121</v>
      </c>
      <c r="E134" s="95"/>
      <c r="F134" s="95"/>
      <c r="G134" s="44"/>
      <c r="H134" s="95"/>
    </row>
    <row r="135" spans="1:8" x14ac:dyDescent="0.45">
      <c r="A135" s="22" t="s">
        <v>5080</v>
      </c>
      <c r="B135" s="33">
        <v>1503030</v>
      </c>
      <c r="C135" s="33" t="s">
        <v>123</v>
      </c>
      <c r="D135" s="36" t="s">
        <v>124</v>
      </c>
      <c r="E135" s="23">
        <v>12</v>
      </c>
      <c r="F135" s="23" t="s">
        <v>17</v>
      </c>
      <c r="G135" s="24"/>
      <c r="H135" s="24">
        <f>G135*E135</f>
        <v>0</v>
      </c>
    </row>
    <row r="136" spans="1:8" x14ac:dyDescent="0.45">
      <c r="A136" s="58"/>
      <c r="B136" s="59"/>
      <c r="C136" s="59"/>
      <c r="D136" s="60" t="s">
        <v>195</v>
      </c>
      <c r="E136" s="59"/>
      <c r="F136" s="59"/>
      <c r="G136" s="59"/>
      <c r="H136" s="62">
        <f>SUM(H127:H135)</f>
        <v>0</v>
      </c>
    </row>
    <row r="137" spans="1:8" x14ac:dyDescent="0.45">
      <c r="A137" s="87"/>
      <c r="B137" s="88"/>
      <c r="C137" s="88"/>
      <c r="D137" s="65"/>
      <c r="E137" s="64"/>
      <c r="F137" s="64"/>
      <c r="G137" s="64"/>
      <c r="H137" s="66"/>
    </row>
    <row r="138" spans="1:8" x14ac:dyDescent="0.45">
      <c r="A138" s="12" t="s">
        <v>1137</v>
      </c>
      <c r="B138" s="13"/>
      <c r="C138" s="13"/>
      <c r="D138" s="12" t="s">
        <v>197</v>
      </c>
      <c r="E138" s="91"/>
      <c r="F138" s="91"/>
      <c r="G138" s="91"/>
      <c r="H138" s="91"/>
    </row>
    <row r="139" spans="1:8" x14ac:dyDescent="0.45">
      <c r="A139" s="40"/>
      <c r="B139" s="41">
        <v>1503010</v>
      </c>
      <c r="C139" s="41"/>
      <c r="D139" s="42" t="s">
        <v>109</v>
      </c>
      <c r="E139" s="43"/>
      <c r="F139" s="44"/>
      <c r="G139" s="44"/>
      <c r="H139" s="45"/>
    </row>
    <row r="140" spans="1:8" x14ac:dyDescent="0.45">
      <c r="A140" s="22" t="s">
        <v>1138</v>
      </c>
      <c r="B140" s="33">
        <v>1503010</v>
      </c>
      <c r="C140" s="33">
        <v>3.1</v>
      </c>
      <c r="D140" s="36" t="s">
        <v>111</v>
      </c>
      <c r="E140" s="23">
        <v>12</v>
      </c>
      <c r="F140" s="23" t="s">
        <v>17</v>
      </c>
      <c r="G140" s="24"/>
      <c r="H140" s="24">
        <f>G140*E140</f>
        <v>0</v>
      </c>
    </row>
    <row r="141" spans="1:8" x14ac:dyDescent="0.45">
      <c r="A141" s="40"/>
      <c r="B141" s="43">
        <v>1503030</v>
      </c>
      <c r="C141" s="41"/>
      <c r="D141" s="42" t="s">
        <v>121</v>
      </c>
      <c r="E141" s="50"/>
      <c r="F141" s="50"/>
      <c r="G141" s="44"/>
      <c r="H141" s="51"/>
    </row>
    <row r="142" spans="1:8" x14ac:dyDescent="0.45">
      <c r="A142" s="22" t="s">
        <v>1139</v>
      </c>
      <c r="B142" s="33">
        <v>1503030</v>
      </c>
      <c r="C142" s="33" t="s">
        <v>123</v>
      </c>
      <c r="D142" s="36" t="s">
        <v>124</v>
      </c>
      <c r="E142" s="23">
        <v>12</v>
      </c>
      <c r="F142" s="23" t="s">
        <v>17</v>
      </c>
      <c r="G142" s="24"/>
      <c r="H142" s="24">
        <f>G142*E142</f>
        <v>0</v>
      </c>
    </row>
    <row r="143" spans="1:8" x14ac:dyDescent="0.45">
      <c r="A143" s="58"/>
      <c r="B143" s="59"/>
      <c r="C143" s="59"/>
      <c r="D143" s="60" t="s">
        <v>200</v>
      </c>
      <c r="E143" s="59"/>
      <c r="F143" s="59"/>
      <c r="G143" s="59"/>
      <c r="H143" s="62">
        <f>SUM(H138:H142)</f>
        <v>0</v>
      </c>
    </row>
    <row r="144" spans="1:8" x14ac:dyDescent="0.45">
      <c r="A144" s="96"/>
      <c r="B144" s="97"/>
      <c r="C144" s="97"/>
      <c r="D144" s="98"/>
      <c r="E144" s="97"/>
      <c r="F144" s="97"/>
      <c r="G144" s="64"/>
      <c r="H144" s="99"/>
    </row>
    <row r="145" spans="1:8" x14ac:dyDescent="0.45">
      <c r="A145" s="12" t="s">
        <v>1140</v>
      </c>
      <c r="B145" s="13"/>
      <c r="C145" s="13"/>
      <c r="D145" s="12" t="s">
        <v>202</v>
      </c>
      <c r="E145" s="100"/>
      <c r="F145" s="101"/>
      <c r="G145" s="91"/>
      <c r="H145" s="102"/>
    </row>
    <row r="146" spans="1:8" x14ac:dyDescent="0.45">
      <c r="A146" s="40"/>
      <c r="B146" s="41">
        <v>1503010</v>
      </c>
      <c r="C146" s="41"/>
      <c r="D146" s="42" t="s">
        <v>109</v>
      </c>
      <c r="E146" s="43"/>
      <c r="F146" s="44"/>
      <c r="G146" s="44"/>
      <c r="H146" s="45"/>
    </row>
    <row r="147" spans="1:8" x14ac:dyDescent="0.45">
      <c r="A147" s="22" t="s">
        <v>1141</v>
      </c>
      <c r="B147" s="33">
        <v>1503010</v>
      </c>
      <c r="C147" s="33">
        <v>3.1</v>
      </c>
      <c r="D147" s="36" t="s">
        <v>111</v>
      </c>
      <c r="E147" s="23">
        <v>12</v>
      </c>
      <c r="F147" s="23" t="s">
        <v>17</v>
      </c>
      <c r="G147" s="24"/>
      <c r="H147" s="24">
        <f>G147*E147</f>
        <v>0</v>
      </c>
    </row>
    <row r="148" spans="1:8" x14ac:dyDescent="0.45">
      <c r="A148" s="40"/>
      <c r="B148" s="43">
        <v>1503030</v>
      </c>
      <c r="C148" s="41"/>
      <c r="D148" s="42" t="s">
        <v>121</v>
      </c>
      <c r="E148" s="43"/>
      <c r="F148" s="44"/>
      <c r="G148" s="44"/>
      <c r="H148" s="45"/>
    </row>
    <row r="149" spans="1:8" x14ac:dyDescent="0.45">
      <c r="A149" s="22" t="s">
        <v>1142</v>
      </c>
      <c r="B149" s="33">
        <v>1503030</v>
      </c>
      <c r="C149" s="33" t="s">
        <v>123</v>
      </c>
      <c r="D149" s="36" t="s">
        <v>124</v>
      </c>
      <c r="E149" s="23">
        <v>12</v>
      </c>
      <c r="F149" s="23" t="s">
        <v>17</v>
      </c>
      <c r="G149" s="24"/>
      <c r="H149" s="24">
        <f>G149*E149</f>
        <v>0</v>
      </c>
    </row>
    <row r="150" spans="1:8" x14ac:dyDescent="0.45">
      <c r="A150" s="58"/>
      <c r="B150" s="59"/>
      <c r="C150" s="59"/>
      <c r="D150" s="60" t="s">
        <v>205</v>
      </c>
      <c r="E150" s="59"/>
      <c r="F150" s="59"/>
      <c r="G150" s="59"/>
      <c r="H150" s="62">
        <f>SUM(H147:H149)</f>
        <v>0</v>
      </c>
    </row>
    <row r="151" spans="1:8" x14ac:dyDescent="0.45">
      <c r="A151" s="96"/>
      <c r="B151" s="97"/>
      <c r="C151" s="97"/>
      <c r="D151" s="98"/>
      <c r="E151" s="97"/>
      <c r="F151" s="97"/>
      <c r="G151" s="97"/>
      <c r="H151" s="99"/>
    </row>
    <row r="152" spans="1:8" x14ac:dyDescent="0.45">
      <c r="A152" s="12" t="s">
        <v>1143</v>
      </c>
      <c r="B152" s="13"/>
      <c r="C152" s="13"/>
      <c r="D152" s="12" t="s">
        <v>207</v>
      </c>
      <c r="E152" s="100"/>
      <c r="F152" s="101"/>
      <c r="G152" s="101"/>
      <c r="H152" s="102"/>
    </row>
    <row r="153" spans="1:8" x14ac:dyDescent="0.4">
      <c r="A153" s="40"/>
      <c r="B153" s="203">
        <v>1502000</v>
      </c>
      <c r="C153" s="18"/>
      <c r="D153" s="204" t="s">
        <v>18</v>
      </c>
      <c r="E153" s="43"/>
      <c r="F153" s="44"/>
      <c r="G153" s="44"/>
      <c r="H153" s="45"/>
    </row>
    <row r="154" spans="1:8" x14ac:dyDescent="0.45">
      <c r="A154" s="25"/>
      <c r="B154" s="37"/>
      <c r="C154" s="37">
        <v>3.6</v>
      </c>
      <c r="D154" s="38" t="s">
        <v>75</v>
      </c>
      <c r="E154" s="28"/>
      <c r="F154" s="28"/>
      <c r="G154" s="28"/>
      <c r="H154" s="28"/>
    </row>
    <row r="155" spans="1:8" x14ac:dyDescent="0.45">
      <c r="A155" s="22" t="s">
        <v>1144</v>
      </c>
      <c r="B155" s="23">
        <v>1502000</v>
      </c>
      <c r="C155" s="33" t="s">
        <v>77</v>
      </c>
      <c r="D155" s="39" t="s">
        <v>78</v>
      </c>
      <c r="E155" s="23">
        <v>12</v>
      </c>
      <c r="F155" s="23" t="s">
        <v>17</v>
      </c>
      <c r="G155" s="24"/>
      <c r="H155" s="24">
        <f>G155*E155</f>
        <v>0</v>
      </c>
    </row>
    <row r="156" spans="1:8" x14ac:dyDescent="0.45">
      <c r="A156" s="22" t="s">
        <v>1145</v>
      </c>
      <c r="B156" s="23">
        <v>1502000</v>
      </c>
      <c r="C156" s="33" t="s">
        <v>101</v>
      </c>
      <c r="D156" s="39" t="s">
        <v>102</v>
      </c>
      <c r="E156" s="23">
        <v>12</v>
      </c>
      <c r="F156" s="23" t="s">
        <v>17</v>
      </c>
      <c r="G156" s="24"/>
      <c r="H156" s="24">
        <f>G156*E156</f>
        <v>0</v>
      </c>
    </row>
    <row r="157" spans="1:8" x14ac:dyDescent="0.45">
      <c r="A157" s="40"/>
      <c r="B157" s="41">
        <v>1503010</v>
      </c>
      <c r="C157" s="41"/>
      <c r="D157" s="42" t="s">
        <v>109</v>
      </c>
      <c r="E157" s="43"/>
      <c r="F157" s="44"/>
      <c r="G157" s="44"/>
      <c r="H157" s="45"/>
    </row>
    <row r="158" spans="1:8" x14ac:dyDescent="0.45">
      <c r="A158" s="22" t="s">
        <v>1146</v>
      </c>
      <c r="B158" s="33">
        <v>1503010</v>
      </c>
      <c r="C158" s="33">
        <v>3.1</v>
      </c>
      <c r="D158" s="36" t="s">
        <v>111</v>
      </c>
      <c r="E158" s="23">
        <v>12</v>
      </c>
      <c r="F158" s="23" t="s">
        <v>17</v>
      </c>
      <c r="G158" s="24"/>
      <c r="H158" s="24">
        <f>G158*E158</f>
        <v>0</v>
      </c>
    </row>
    <row r="159" spans="1:8" x14ac:dyDescent="0.45">
      <c r="A159" s="40"/>
      <c r="B159" s="92">
        <v>1503020</v>
      </c>
      <c r="C159" s="92"/>
      <c r="D159" s="93" t="s">
        <v>114</v>
      </c>
      <c r="E159" s="43"/>
      <c r="F159" s="44"/>
      <c r="G159" s="44"/>
      <c r="H159" s="45"/>
    </row>
    <row r="160" spans="1:8" x14ac:dyDescent="0.45">
      <c r="A160" s="22" t="s">
        <v>1147</v>
      </c>
      <c r="B160" s="33">
        <v>1503020</v>
      </c>
      <c r="C160" s="33">
        <v>3.1</v>
      </c>
      <c r="D160" s="36" t="s">
        <v>116</v>
      </c>
      <c r="E160" s="23">
        <v>12</v>
      </c>
      <c r="F160" s="23" t="s">
        <v>17</v>
      </c>
      <c r="G160" s="24"/>
      <c r="H160" s="24">
        <f>G160*E160</f>
        <v>0</v>
      </c>
    </row>
    <row r="161" spans="1:8" x14ac:dyDescent="0.45">
      <c r="A161" s="22" t="s">
        <v>1148</v>
      </c>
      <c r="B161" s="33">
        <v>1503020</v>
      </c>
      <c r="C161" s="33">
        <v>3.2</v>
      </c>
      <c r="D161" s="36" t="s">
        <v>118</v>
      </c>
      <c r="E161" s="23">
        <v>12</v>
      </c>
      <c r="F161" s="23" t="s">
        <v>17</v>
      </c>
      <c r="G161" s="24"/>
      <c r="H161" s="24">
        <f>G161*E161</f>
        <v>0</v>
      </c>
    </row>
    <row r="162" spans="1:8" x14ac:dyDescent="0.45">
      <c r="A162" s="22" t="s">
        <v>1149</v>
      </c>
      <c r="B162" s="33">
        <v>1503020</v>
      </c>
      <c r="C162" s="33">
        <v>3.3</v>
      </c>
      <c r="D162" s="36" t="s">
        <v>120</v>
      </c>
      <c r="E162" s="23">
        <v>12</v>
      </c>
      <c r="F162" s="23" t="s">
        <v>17</v>
      </c>
      <c r="G162" s="24"/>
      <c r="H162" s="24">
        <f>G162*E162</f>
        <v>0</v>
      </c>
    </row>
    <row r="163" spans="1:8" x14ac:dyDescent="0.45">
      <c r="A163" s="40"/>
      <c r="B163" s="43">
        <v>1503030</v>
      </c>
      <c r="C163" s="41"/>
      <c r="D163" s="42" t="s">
        <v>121</v>
      </c>
      <c r="E163" s="43"/>
      <c r="F163" s="44"/>
      <c r="G163" s="44"/>
      <c r="H163" s="45"/>
    </row>
    <row r="164" spans="1:8" x14ac:dyDescent="0.45">
      <c r="A164" s="22" t="s">
        <v>1150</v>
      </c>
      <c r="B164" s="33">
        <v>1503030</v>
      </c>
      <c r="C164" s="33" t="s">
        <v>123</v>
      </c>
      <c r="D164" s="36" t="s">
        <v>124</v>
      </c>
      <c r="E164" s="23">
        <v>12</v>
      </c>
      <c r="F164" s="23" t="s">
        <v>17</v>
      </c>
      <c r="G164" s="24"/>
      <c r="H164" s="24">
        <f>G164*E164</f>
        <v>0</v>
      </c>
    </row>
    <row r="165" spans="1:8" x14ac:dyDescent="0.45">
      <c r="A165" s="58"/>
      <c r="B165" s="59"/>
      <c r="C165" s="59"/>
      <c r="D165" s="60" t="s">
        <v>215</v>
      </c>
      <c r="E165" s="59"/>
      <c r="F165" s="59"/>
      <c r="G165" s="59"/>
      <c r="H165" s="62">
        <f>SUM(H154:H164)</f>
        <v>0</v>
      </c>
    </row>
    <row r="166" spans="1:8" x14ac:dyDescent="0.45">
      <c r="A166" s="96"/>
      <c r="B166" s="97"/>
      <c r="C166" s="97"/>
      <c r="D166" s="98"/>
      <c r="E166" s="97"/>
      <c r="F166" s="97"/>
      <c r="G166" s="97"/>
      <c r="H166" s="99"/>
    </row>
    <row r="167" spans="1:8" x14ac:dyDescent="0.45">
      <c r="A167" s="12" t="s">
        <v>1151</v>
      </c>
      <c r="B167" s="13"/>
      <c r="C167" s="13"/>
      <c r="D167" s="12" t="s">
        <v>217</v>
      </c>
      <c r="E167" s="100"/>
      <c r="F167" s="101"/>
      <c r="G167" s="101"/>
      <c r="H167" s="102"/>
    </row>
    <row r="168" spans="1:8" s="263" customFormat="1" x14ac:dyDescent="0.4">
      <c r="A168" s="278"/>
      <c r="B168" s="364">
        <v>1502000</v>
      </c>
      <c r="C168" s="280"/>
      <c r="D168" s="365" t="s">
        <v>18</v>
      </c>
      <c r="E168" s="282"/>
      <c r="F168" s="283"/>
      <c r="G168" s="283"/>
      <c r="H168" s="284"/>
    </row>
    <row r="169" spans="1:8" s="263" customFormat="1" x14ac:dyDescent="0.45">
      <c r="A169" s="265"/>
      <c r="B169" s="266"/>
      <c r="C169" s="266">
        <v>3.1</v>
      </c>
      <c r="D169" s="267" t="s">
        <v>19</v>
      </c>
      <c r="E169" s="266"/>
      <c r="F169" s="266"/>
      <c r="G169" s="266"/>
      <c r="H169" s="273"/>
    </row>
    <row r="170" spans="1:8" s="263" customFormat="1" x14ac:dyDescent="0.45">
      <c r="A170" s="258" t="s">
        <v>1152</v>
      </c>
      <c r="B170" s="261">
        <v>1502000</v>
      </c>
      <c r="C170" s="261" t="s">
        <v>21</v>
      </c>
      <c r="D170" s="264" t="s">
        <v>22</v>
      </c>
      <c r="E170" s="261">
        <v>12</v>
      </c>
      <c r="F170" s="261" t="s">
        <v>17</v>
      </c>
      <c r="G170" s="262"/>
      <c r="H170" s="262">
        <f>G170*E170</f>
        <v>0</v>
      </c>
    </row>
    <row r="171" spans="1:8" s="263" customFormat="1" x14ac:dyDescent="0.45">
      <c r="A171" s="258" t="s">
        <v>1153</v>
      </c>
      <c r="B171" s="261">
        <v>1502000</v>
      </c>
      <c r="C171" s="261" t="s">
        <v>24</v>
      </c>
      <c r="D171" s="264" t="s">
        <v>25</v>
      </c>
      <c r="E171" s="261">
        <v>12</v>
      </c>
      <c r="F171" s="261" t="s">
        <v>17</v>
      </c>
      <c r="G171" s="262"/>
      <c r="H171" s="262">
        <f>G171*E171</f>
        <v>0</v>
      </c>
    </row>
    <row r="172" spans="1:8" s="263" customFormat="1" ht="13.5" customHeight="1" x14ac:dyDescent="0.45">
      <c r="A172" s="258" t="s">
        <v>1154</v>
      </c>
      <c r="B172" s="261">
        <v>1502000</v>
      </c>
      <c r="C172" s="261" t="s">
        <v>27</v>
      </c>
      <c r="D172" s="264" t="s">
        <v>28</v>
      </c>
      <c r="E172" s="261">
        <v>12</v>
      </c>
      <c r="F172" s="261" t="s">
        <v>17</v>
      </c>
      <c r="G172" s="262"/>
      <c r="H172" s="262">
        <f>G172*E172</f>
        <v>0</v>
      </c>
    </row>
    <row r="173" spans="1:8" s="263" customFormat="1" x14ac:dyDescent="0.45">
      <c r="A173" s="265"/>
      <c r="B173" s="266"/>
      <c r="C173" s="266">
        <v>3.1</v>
      </c>
      <c r="D173" s="267" t="s">
        <v>31</v>
      </c>
      <c r="E173" s="268"/>
      <c r="F173" s="268"/>
      <c r="G173" s="268"/>
      <c r="H173" s="268"/>
    </row>
    <row r="174" spans="1:8" s="263" customFormat="1" x14ac:dyDescent="0.45">
      <c r="A174" s="258" t="s">
        <v>1155</v>
      </c>
      <c r="B174" s="261">
        <v>1502000</v>
      </c>
      <c r="C174" s="261" t="s">
        <v>222</v>
      </c>
      <c r="D174" s="269" t="s">
        <v>223</v>
      </c>
      <c r="E174" s="261">
        <v>12</v>
      </c>
      <c r="F174" s="261" t="s">
        <v>17</v>
      </c>
      <c r="G174" s="262"/>
      <c r="H174" s="262">
        <f t="shared" ref="H174:H191" si="4">G174*E174</f>
        <v>0</v>
      </c>
    </row>
    <row r="175" spans="1:8" s="263" customFormat="1" x14ac:dyDescent="0.45">
      <c r="A175" s="258" t="s">
        <v>1156</v>
      </c>
      <c r="B175" s="261">
        <v>1502000</v>
      </c>
      <c r="C175" s="261" t="s">
        <v>33</v>
      </c>
      <c r="D175" s="269" t="s">
        <v>34</v>
      </c>
      <c r="E175" s="261">
        <v>12</v>
      </c>
      <c r="F175" s="261" t="s">
        <v>17</v>
      </c>
      <c r="G175" s="262"/>
      <c r="H175" s="262">
        <f t="shared" si="4"/>
        <v>0</v>
      </c>
    </row>
    <row r="176" spans="1:8" s="263" customFormat="1" x14ac:dyDescent="0.45">
      <c r="A176" s="258" t="s">
        <v>1157</v>
      </c>
      <c r="B176" s="261">
        <v>1502000</v>
      </c>
      <c r="C176" s="261" t="s">
        <v>36</v>
      </c>
      <c r="D176" s="269" t="s">
        <v>37</v>
      </c>
      <c r="E176" s="261">
        <v>12</v>
      </c>
      <c r="F176" s="261" t="s">
        <v>17</v>
      </c>
      <c r="G176" s="262"/>
      <c r="H176" s="262">
        <f t="shared" si="4"/>
        <v>0</v>
      </c>
    </row>
    <row r="177" spans="1:8" s="263" customFormat="1" x14ac:dyDescent="0.45">
      <c r="A177" s="258" t="s">
        <v>1158</v>
      </c>
      <c r="B177" s="261">
        <v>1502000</v>
      </c>
      <c r="C177" s="261" t="s">
        <v>227</v>
      </c>
      <c r="D177" s="270" t="s">
        <v>228</v>
      </c>
      <c r="E177" s="261">
        <v>12</v>
      </c>
      <c r="F177" s="261" t="s">
        <v>17</v>
      </c>
      <c r="G177" s="262"/>
      <c r="H177" s="262">
        <f t="shared" si="4"/>
        <v>0</v>
      </c>
    </row>
    <row r="178" spans="1:8" s="263" customFormat="1" x14ac:dyDescent="0.45">
      <c r="A178" s="258" t="s">
        <v>1159</v>
      </c>
      <c r="B178" s="261">
        <v>1502000</v>
      </c>
      <c r="C178" s="261" t="s">
        <v>39</v>
      </c>
      <c r="D178" s="269" t="s">
        <v>230</v>
      </c>
      <c r="E178" s="261">
        <v>12</v>
      </c>
      <c r="F178" s="261" t="s">
        <v>17</v>
      </c>
      <c r="G178" s="262"/>
      <c r="H178" s="262">
        <f t="shared" si="4"/>
        <v>0</v>
      </c>
    </row>
    <row r="179" spans="1:8" s="263" customFormat="1" x14ac:dyDescent="0.45">
      <c r="A179" s="258" t="s">
        <v>1160</v>
      </c>
      <c r="B179" s="261">
        <v>1502000</v>
      </c>
      <c r="C179" s="261" t="s">
        <v>232</v>
      </c>
      <c r="D179" s="269" t="s">
        <v>233</v>
      </c>
      <c r="E179" s="261">
        <v>12</v>
      </c>
      <c r="F179" s="261" t="s">
        <v>17</v>
      </c>
      <c r="G179" s="262"/>
      <c r="H179" s="262">
        <f t="shared" si="4"/>
        <v>0</v>
      </c>
    </row>
    <row r="180" spans="1:8" s="263" customFormat="1" x14ac:dyDescent="0.45">
      <c r="A180" s="258" t="s">
        <v>1161</v>
      </c>
      <c r="B180" s="261">
        <v>1502000</v>
      </c>
      <c r="C180" s="271" t="s">
        <v>235</v>
      </c>
      <c r="D180" s="263" t="s">
        <v>236</v>
      </c>
      <c r="E180" s="261">
        <v>12</v>
      </c>
      <c r="F180" s="261" t="s">
        <v>17</v>
      </c>
      <c r="G180" s="262"/>
      <c r="H180" s="262">
        <f t="shared" si="4"/>
        <v>0</v>
      </c>
    </row>
    <row r="181" spans="1:8" s="263" customFormat="1" x14ac:dyDescent="0.45">
      <c r="A181" s="258" t="s">
        <v>1162</v>
      </c>
      <c r="B181" s="261">
        <v>1502000</v>
      </c>
      <c r="C181" s="261" t="s">
        <v>238</v>
      </c>
      <c r="D181" s="269" t="s">
        <v>239</v>
      </c>
      <c r="E181" s="261">
        <v>12</v>
      </c>
      <c r="F181" s="261" t="s">
        <v>17</v>
      </c>
      <c r="G181" s="262"/>
      <c r="H181" s="262">
        <f t="shared" si="4"/>
        <v>0</v>
      </c>
    </row>
    <row r="182" spans="1:8" s="263" customFormat="1" x14ac:dyDescent="0.45">
      <c r="A182" s="258" t="s">
        <v>1163</v>
      </c>
      <c r="B182" s="261">
        <v>1502000</v>
      </c>
      <c r="C182" s="261" t="s">
        <v>241</v>
      </c>
      <c r="D182" s="269" t="s">
        <v>242</v>
      </c>
      <c r="E182" s="261">
        <v>12</v>
      </c>
      <c r="F182" s="261" t="s">
        <v>17</v>
      </c>
      <c r="G182" s="262"/>
      <c r="H182" s="262">
        <f t="shared" si="4"/>
        <v>0</v>
      </c>
    </row>
    <row r="183" spans="1:8" s="263" customFormat="1" x14ac:dyDescent="0.45">
      <c r="A183" s="258" t="s">
        <v>1164</v>
      </c>
      <c r="B183" s="261">
        <v>1502000</v>
      </c>
      <c r="C183" s="261" t="s">
        <v>244</v>
      </c>
      <c r="D183" s="269" t="s">
        <v>245</v>
      </c>
      <c r="E183" s="261">
        <v>12</v>
      </c>
      <c r="F183" s="261" t="s">
        <v>17</v>
      </c>
      <c r="G183" s="262"/>
      <c r="H183" s="262">
        <f t="shared" si="4"/>
        <v>0</v>
      </c>
    </row>
    <row r="184" spans="1:8" s="263" customFormat="1" x14ac:dyDescent="0.45">
      <c r="A184" s="258" t="s">
        <v>1165</v>
      </c>
      <c r="B184" s="261">
        <v>1502000</v>
      </c>
      <c r="C184" s="261" t="s">
        <v>247</v>
      </c>
      <c r="D184" s="269" t="s">
        <v>248</v>
      </c>
      <c r="E184" s="261">
        <v>12</v>
      </c>
      <c r="F184" s="261" t="s">
        <v>17</v>
      </c>
      <c r="G184" s="262"/>
      <c r="H184" s="262">
        <f t="shared" si="4"/>
        <v>0</v>
      </c>
    </row>
    <row r="185" spans="1:8" s="263" customFormat="1" x14ac:dyDescent="0.45">
      <c r="A185" s="258" t="s">
        <v>1166</v>
      </c>
      <c r="B185" s="261">
        <v>1502000</v>
      </c>
      <c r="C185" s="261" t="s">
        <v>250</v>
      </c>
      <c r="D185" s="269" t="s">
        <v>251</v>
      </c>
      <c r="E185" s="261">
        <v>12</v>
      </c>
      <c r="F185" s="261" t="s">
        <v>17</v>
      </c>
      <c r="G185" s="262"/>
      <c r="H185" s="262">
        <f t="shared" si="4"/>
        <v>0</v>
      </c>
    </row>
    <row r="186" spans="1:8" s="263" customFormat="1" x14ac:dyDescent="0.45">
      <c r="A186" s="258" t="s">
        <v>1167</v>
      </c>
      <c r="B186" s="261">
        <v>1502000</v>
      </c>
      <c r="C186" s="261" t="s">
        <v>253</v>
      </c>
      <c r="D186" s="269" t="s">
        <v>254</v>
      </c>
      <c r="E186" s="261">
        <v>12</v>
      </c>
      <c r="F186" s="261" t="s">
        <v>17</v>
      </c>
      <c r="G186" s="262"/>
      <c r="H186" s="262">
        <f t="shared" si="4"/>
        <v>0</v>
      </c>
    </row>
    <row r="187" spans="1:8" s="263" customFormat="1" x14ac:dyDescent="0.45">
      <c r="A187" s="258" t="s">
        <v>1168</v>
      </c>
      <c r="B187" s="261">
        <v>1502000</v>
      </c>
      <c r="C187" s="261" t="s">
        <v>45</v>
      </c>
      <c r="D187" s="269" t="s">
        <v>46</v>
      </c>
      <c r="E187" s="261">
        <v>12</v>
      </c>
      <c r="F187" s="261" t="s">
        <v>17</v>
      </c>
      <c r="G187" s="262"/>
      <c r="H187" s="262">
        <f t="shared" si="4"/>
        <v>0</v>
      </c>
    </row>
    <row r="188" spans="1:8" s="263" customFormat="1" x14ac:dyDescent="0.45">
      <c r="A188" s="258" t="s">
        <v>1169</v>
      </c>
      <c r="B188" s="261">
        <v>1502000</v>
      </c>
      <c r="C188" s="261" t="s">
        <v>48</v>
      </c>
      <c r="D188" s="269" t="s">
        <v>257</v>
      </c>
      <c r="E188" s="261">
        <v>12</v>
      </c>
      <c r="F188" s="261" t="s">
        <v>17</v>
      </c>
      <c r="G188" s="262"/>
      <c r="H188" s="262">
        <f t="shared" si="4"/>
        <v>0</v>
      </c>
    </row>
    <row r="189" spans="1:8" s="263" customFormat="1" x14ac:dyDescent="0.45">
      <c r="A189" s="258" t="s">
        <v>1170</v>
      </c>
      <c r="B189" s="261">
        <v>1502000</v>
      </c>
      <c r="C189" s="261" t="s">
        <v>54</v>
      </c>
      <c r="D189" s="269" t="s">
        <v>55</v>
      </c>
      <c r="E189" s="261">
        <v>12</v>
      </c>
      <c r="F189" s="261" t="s">
        <v>17</v>
      </c>
      <c r="G189" s="262"/>
      <c r="H189" s="262">
        <f t="shared" si="4"/>
        <v>0</v>
      </c>
    </row>
    <row r="190" spans="1:8" s="263" customFormat="1" x14ac:dyDescent="0.45">
      <c r="A190" s="258" t="s">
        <v>1171</v>
      </c>
      <c r="B190" s="261">
        <v>1502000</v>
      </c>
      <c r="C190" s="261" t="s">
        <v>260</v>
      </c>
      <c r="D190" s="269" t="s">
        <v>261</v>
      </c>
      <c r="E190" s="261">
        <v>12</v>
      </c>
      <c r="F190" s="261" t="s">
        <v>17</v>
      </c>
      <c r="G190" s="262"/>
      <c r="H190" s="262">
        <f t="shared" si="4"/>
        <v>0</v>
      </c>
    </row>
    <row r="191" spans="1:8" s="263" customFormat="1" x14ac:dyDescent="0.45">
      <c r="A191" s="258" t="s">
        <v>1172</v>
      </c>
      <c r="B191" s="261">
        <v>1502000</v>
      </c>
      <c r="C191" s="271" t="s">
        <v>60</v>
      </c>
      <c r="D191" s="272" t="s">
        <v>61</v>
      </c>
      <c r="E191" s="261">
        <v>12</v>
      </c>
      <c r="F191" s="261" t="s">
        <v>17</v>
      </c>
      <c r="G191" s="262"/>
      <c r="H191" s="262">
        <f t="shared" si="4"/>
        <v>0</v>
      </c>
    </row>
    <row r="192" spans="1:8" s="263" customFormat="1" x14ac:dyDescent="0.45">
      <c r="A192" s="265"/>
      <c r="B192" s="266"/>
      <c r="C192" s="266">
        <v>3.4</v>
      </c>
      <c r="D192" s="267" t="s">
        <v>62</v>
      </c>
      <c r="E192" s="266"/>
      <c r="F192" s="266"/>
      <c r="G192" s="268"/>
      <c r="H192" s="273"/>
    </row>
    <row r="193" spans="1:8" s="263" customFormat="1" x14ac:dyDescent="0.45">
      <c r="A193" s="258" t="s">
        <v>1173</v>
      </c>
      <c r="B193" s="261">
        <v>1502000</v>
      </c>
      <c r="C193" s="261" t="s">
        <v>64</v>
      </c>
      <c r="D193" s="270" t="s">
        <v>65</v>
      </c>
      <c r="E193" s="261">
        <v>12</v>
      </c>
      <c r="F193" s="261" t="s">
        <v>17</v>
      </c>
      <c r="G193" s="262"/>
      <c r="H193" s="262">
        <f>G193*E193</f>
        <v>0</v>
      </c>
    </row>
    <row r="194" spans="1:8" s="263" customFormat="1" x14ac:dyDescent="0.45">
      <c r="A194" s="258" t="s">
        <v>1174</v>
      </c>
      <c r="B194" s="261">
        <v>1502000</v>
      </c>
      <c r="C194" s="261" t="s">
        <v>67</v>
      </c>
      <c r="D194" s="270" t="s">
        <v>68</v>
      </c>
      <c r="E194" s="261">
        <v>12</v>
      </c>
      <c r="F194" s="261" t="s">
        <v>17</v>
      </c>
      <c r="G194" s="262"/>
      <c r="H194" s="262">
        <f>G194*E194</f>
        <v>0</v>
      </c>
    </row>
    <row r="195" spans="1:8" s="263" customFormat="1" x14ac:dyDescent="0.45">
      <c r="A195" s="258" t="s">
        <v>1175</v>
      </c>
      <c r="B195" s="261">
        <v>1502000</v>
      </c>
      <c r="C195" s="259" t="s">
        <v>70</v>
      </c>
      <c r="D195" s="260" t="s">
        <v>71</v>
      </c>
      <c r="E195" s="261">
        <v>12</v>
      </c>
      <c r="F195" s="261" t="s">
        <v>17</v>
      </c>
      <c r="G195" s="262"/>
      <c r="H195" s="262">
        <f>G195*E195</f>
        <v>0</v>
      </c>
    </row>
    <row r="196" spans="1:8" s="263" customFormat="1" x14ac:dyDescent="0.45">
      <c r="A196" s="265"/>
      <c r="B196" s="266"/>
      <c r="C196" s="266">
        <v>3.5</v>
      </c>
      <c r="D196" s="267" t="s">
        <v>72</v>
      </c>
      <c r="E196" s="268"/>
      <c r="F196" s="268"/>
      <c r="G196" s="268"/>
      <c r="H196" s="268"/>
    </row>
    <row r="197" spans="1:8" s="263" customFormat="1" x14ac:dyDescent="0.45">
      <c r="A197" s="258" t="s">
        <v>1176</v>
      </c>
      <c r="B197" s="261">
        <v>1502000</v>
      </c>
      <c r="C197" s="261" t="s">
        <v>267</v>
      </c>
      <c r="D197" s="274" t="s">
        <v>71</v>
      </c>
      <c r="E197" s="261">
        <v>12</v>
      </c>
      <c r="F197" s="261" t="s">
        <v>17</v>
      </c>
      <c r="G197" s="262"/>
      <c r="H197" s="262">
        <f>G197*E197</f>
        <v>0</v>
      </c>
    </row>
    <row r="198" spans="1:8" s="263" customFormat="1" x14ac:dyDescent="0.45">
      <c r="A198" s="258" t="s">
        <v>1177</v>
      </c>
      <c r="B198" s="261">
        <v>1502000</v>
      </c>
      <c r="C198" s="261" t="s">
        <v>74</v>
      </c>
      <c r="D198" s="269" t="s">
        <v>37</v>
      </c>
      <c r="E198" s="261">
        <v>12</v>
      </c>
      <c r="F198" s="261" t="s">
        <v>17</v>
      </c>
      <c r="G198" s="262"/>
      <c r="H198" s="262">
        <f>G198*E198</f>
        <v>0</v>
      </c>
    </row>
    <row r="199" spans="1:8" s="263" customFormat="1" x14ac:dyDescent="0.45">
      <c r="A199" s="265"/>
      <c r="B199" s="266"/>
      <c r="C199" s="266">
        <v>3.6</v>
      </c>
      <c r="D199" s="267" t="s">
        <v>75</v>
      </c>
      <c r="E199" s="266"/>
      <c r="F199" s="266"/>
      <c r="G199" s="268"/>
      <c r="H199" s="273"/>
    </row>
    <row r="200" spans="1:8" s="263" customFormat="1" x14ac:dyDescent="0.45">
      <c r="A200" s="258" t="s">
        <v>1178</v>
      </c>
      <c r="B200" s="261">
        <v>1502000</v>
      </c>
      <c r="C200" s="259" t="s">
        <v>77</v>
      </c>
      <c r="D200" s="275" t="s">
        <v>78</v>
      </c>
      <c r="E200" s="261">
        <v>12</v>
      </c>
      <c r="F200" s="261" t="s">
        <v>17</v>
      </c>
      <c r="G200" s="262"/>
      <c r="H200" s="262">
        <f>G200*E200</f>
        <v>0</v>
      </c>
    </row>
    <row r="201" spans="1:8" s="263" customFormat="1" x14ac:dyDescent="0.45">
      <c r="A201" s="258" t="s">
        <v>1179</v>
      </c>
      <c r="B201" s="261">
        <v>1502000</v>
      </c>
      <c r="C201" s="259" t="s">
        <v>80</v>
      </c>
      <c r="D201" s="275" t="s">
        <v>81</v>
      </c>
      <c r="E201" s="261">
        <v>12</v>
      </c>
      <c r="F201" s="261" t="s">
        <v>17</v>
      </c>
      <c r="G201" s="262"/>
      <c r="H201" s="262">
        <f t="shared" ref="H201:H204" si="5">G201*E201</f>
        <v>0</v>
      </c>
    </row>
    <row r="202" spans="1:8" s="263" customFormat="1" x14ac:dyDescent="0.45">
      <c r="A202" s="258" t="s">
        <v>1180</v>
      </c>
      <c r="B202" s="261">
        <v>1502000</v>
      </c>
      <c r="C202" s="259" t="s">
        <v>83</v>
      </c>
      <c r="D202" s="275" t="s">
        <v>84</v>
      </c>
      <c r="E202" s="261">
        <v>12</v>
      </c>
      <c r="F202" s="261" t="s">
        <v>17</v>
      </c>
      <c r="G202" s="262"/>
      <c r="H202" s="262">
        <f t="shared" si="5"/>
        <v>0</v>
      </c>
    </row>
    <row r="203" spans="1:8" s="263" customFormat="1" x14ac:dyDescent="0.45">
      <c r="A203" s="258" t="s">
        <v>1181</v>
      </c>
      <c r="B203" s="261">
        <v>1502000</v>
      </c>
      <c r="C203" s="261" t="s">
        <v>273</v>
      </c>
      <c r="D203" s="276" t="s">
        <v>274</v>
      </c>
      <c r="E203" s="261">
        <v>12</v>
      </c>
      <c r="F203" s="261" t="s">
        <v>17</v>
      </c>
      <c r="G203" s="262"/>
      <c r="H203" s="262">
        <f t="shared" si="5"/>
        <v>0</v>
      </c>
    </row>
    <row r="204" spans="1:8" s="263" customFormat="1" x14ac:dyDescent="0.45">
      <c r="A204" s="258" t="s">
        <v>1182</v>
      </c>
      <c r="B204" s="261">
        <v>1502000</v>
      </c>
      <c r="C204" s="277" t="s">
        <v>276</v>
      </c>
      <c r="D204" s="276" t="s">
        <v>277</v>
      </c>
      <c r="E204" s="261">
        <v>12</v>
      </c>
      <c r="F204" s="261" t="s">
        <v>17</v>
      </c>
      <c r="G204" s="262"/>
      <c r="H204" s="262">
        <f t="shared" si="5"/>
        <v>0</v>
      </c>
    </row>
    <row r="205" spans="1:8" x14ac:dyDescent="0.45">
      <c r="A205" s="40"/>
      <c r="B205" s="41">
        <v>1503010</v>
      </c>
      <c r="C205" s="41"/>
      <c r="D205" s="42" t="s">
        <v>109</v>
      </c>
      <c r="E205" s="43"/>
      <c r="F205" s="44"/>
      <c r="G205" s="44"/>
      <c r="H205" s="45"/>
    </row>
    <row r="206" spans="1:8" x14ac:dyDescent="0.45">
      <c r="A206" s="257" t="s">
        <v>1176</v>
      </c>
      <c r="B206" s="33">
        <v>1503010</v>
      </c>
      <c r="C206" s="33">
        <v>3.1</v>
      </c>
      <c r="D206" s="36" t="s">
        <v>111</v>
      </c>
      <c r="E206" s="23">
        <v>12</v>
      </c>
      <c r="F206" s="23" t="s">
        <v>17</v>
      </c>
      <c r="G206" s="24"/>
      <c r="H206" s="24">
        <f>G206*E206</f>
        <v>0</v>
      </c>
    </row>
    <row r="207" spans="1:8" x14ac:dyDescent="0.45">
      <c r="A207" s="257" t="s">
        <v>1177</v>
      </c>
      <c r="B207" s="33">
        <v>1503010</v>
      </c>
      <c r="C207" s="33">
        <v>3.2</v>
      </c>
      <c r="D207" s="36" t="s">
        <v>278</v>
      </c>
      <c r="E207" s="23">
        <v>12</v>
      </c>
      <c r="F207" s="23" t="s">
        <v>17</v>
      </c>
      <c r="G207" s="24"/>
      <c r="H207" s="24">
        <f>G207*E207</f>
        <v>0</v>
      </c>
    </row>
    <row r="208" spans="1:8" x14ac:dyDescent="0.45">
      <c r="A208" s="287"/>
      <c r="B208" s="43">
        <v>1503020</v>
      </c>
      <c r="C208" s="41"/>
      <c r="D208" s="42" t="s">
        <v>114</v>
      </c>
      <c r="E208" s="43"/>
      <c r="F208" s="44"/>
      <c r="G208" s="44"/>
      <c r="H208" s="45"/>
    </row>
    <row r="209" spans="1:8" ht="13.45" customHeight="1" x14ac:dyDescent="0.45">
      <c r="A209" s="257" t="s">
        <v>1178</v>
      </c>
      <c r="B209" s="33">
        <v>1503020</v>
      </c>
      <c r="C209" s="33">
        <v>3.1</v>
      </c>
      <c r="D209" s="36" t="s">
        <v>116</v>
      </c>
      <c r="E209" s="23">
        <v>12</v>
      </c>
      <c r="F209" s="23" t="s">
        <v>17</v>
      </c>
      <c r="G209" s="24"/>
      <c r="H209" s="24">
        <f>G209*E209</f>
        <v>0</v>
      </c>
    </row>
    <row r="210" spans="1:8" ht="13.45" customHeight="1" x14ac:dyDescent="0.45">
      <c r="A210" s="257" t="s">
        <v>1179</v>
      </c>
      <c r="B210" s="33">
        <v>1503020</v>
      </c>
      <c r="C210" s="33">
        <v>3.3</v>
      </c>
      <c r="D210" s="36" t="s">
        <v>120</v>
      </c>
      <c r="E210" s="23">
        <v>12</v>
      </c>
      <c r="F210" s="23" t="s">
        <v>17</v>
      </c>
      <c r="G210" s="24"/>
      <c r="H210" s="24">
        <f>G210*E210</f>
        <v>0</v>
      </c>
    </row>
    <row r="211" spans="1:8" x14ac:dyDescent="0.45">
      <c r="A211" s="287"/>
      <c r="B211" s="43">
        <v>1503030</v>
      </c>
      <c r="C211" s="41"/>
      <c r="D211" s="42" t="s">
        <v>121</v>
      </c>
      <c r="E211" s="43"/>
      <c r="F211" s="44"/>
      <c r="G211" s="44"/>
      <c r="H211" s="45"/>
    </row>
    <row r="212" spans="1:8" x14ac:dyDescent="0.45">
      <c r="A212" s="257" t="s">
        <v>1180</v>
      </c>
      <c r="B212" s="33">
        <v>1503030</v>
      </c>
      <c r="C212" s="33" t="s">
        <v>123</v>
      </c>
      <c r="D212" s="36" t="s">
        <v>124</v>
      </c>
      <c r="E212" s="23">
        <v>12</v>
      </c>
      <c r="F212" s="23" t="s">
        <v>17</v>
      </c>
      <c r="G212" s="24"/>
      <c r="H212" s="24">
        <f>G212*E212</f>
        <v>0</v>
      </c>
    </row>
    <row r="213" spans="1:8" x14ac:dyDescent="0.45">
      <c r="A213" s="287"/>
      <c r="B213" s="41">
        <v>1503050</v>
      </c>
      <c r="C213" s="41"/>
      <c r="D213" s="42" t="s">
        <v>127</v>
      </c>
      <c r="E213" s="43"/>
      <c r="F213" s="44"/>
      <c r="G213" s="44"/>
      <c r="H213" s="45"/>
    </row>
    <row r="214" spans="1:8" x14ac:dyDescent="0.45">
      <c r="A214" s="257" t="s">
        <v>1181</v>
      </c>
      <c r="B214" s="33">
        <v>1503050</v>
      </c>
      <c r="C214" s="33">
        <v>3.1</v>
      </c>
      <c r="D214" s="46" t="s">
        <v>129</v>
      </c>
      <c r="E214" s="23">
        <v>12</v>
      </c>
      <c r="F214" s="23" t="s">
        <v>17</v>
      </c>
      <c r="G214" s="24"/>
      <c r="H214" s="24">
        <f>G214*E214</f>
        <v>0</v>
      </c>
    </row>
    <row r="215" spans="1:8" x14ac:dyDescent="0.45">
      <c r="A215" s="257" t="s">
        <v>1182</v>
      </c>
      <c r="B215" s="33">
        <v>1503050</v>
      </c>
      <c r="C215" s="33">
        <v>3.4</v>
      </c>
      <c r="D215" s="36" t="s">
        <v>135</v>
      </c>
      <c r="E215" s="23">
        <v>12</v>
      </c>
      <c r="F215" s="23" t="s">
        <v>17</v>
      </c>
      <c r="G215" s="24"/>
      <c r="H215" s="24">
        <f>G215*E215</f>
        <v>0</v>
      </c>
    </row>
    <row r="216" spans="1:8" x14ac:dyDescent="0.45">
      <c r="A216" s="58"/>
      <c r="B216" s="59"/>
      <c r="C216" s="59"/>
      <c r="D216" s="60" t="s">
        <v>279</v>
      </c>
      <c r="E216" s="59"/>
      <c r="F216" s="59"/>
      <c r="G216" s="59"/>
      <c r="H216" s="62">
        <f>SUM(H169:H215)</f>
        <v>0</v>
      </c>
    </row>
    <row r="217" spans="1:8" x14ac:dyDescent="0.45">
      <c r="A217" s="6"/>
      <c r="B217" s="107"/>
      <c r="C217" s="107"/>
      <c r="D217" s="108"/>
      <c r="E217" s="107"/>
      <c r="F217" s="109"/>
      <c r="G217" s="97"/>
      <c r="H217" s="110"/>
    </row>
    <row r="218" spans="1:8" x14ac:dyDescent="0.45">
      <c r="A218" s="12" t="s">
        <v>1183</v>
      </c>
      <c r="B218" s="13"/>
      <c r="C218" s="13"/>
      <c r="D218" s="111" t="s">
        <v>281</v>
      </c>
      <c r="E218" s="100"/>
      <c r="F218" s="101"/>
      <c r="G218" s="101"/>
      <c r="H218" s="102"/>
    </row>
    <row r="219" spans="1:8" x14ac:dyDescent="0.45">
      <c r="A219" s="103"/>
      <c r="B219" s="41">
        <v>1502000</v>
      </c>
      <c r="C219" s="43"/>
      <c r="D219" s="42" t="s">
        <v>18</v>
      </c>
      <c r="E219" s="43"/>
      <c r="F219" s="44"/>
      <c r="G219" s="44"/>
      <c r="H219" s="45"/>
    </row>
    <row r="220" spans="1:8" x14ac:dyDescent="0.45">
      <c r="A220" s="25"/>
      <c r="B220" s="26"/>
      <c r="C220" s="26">
        <v>3.1</v>
      </c>
      <c r="D220" s="27" t="s">
        <v>19</v>
      </c>
      <c r="E220" s="28"/>
      <c r="F220" s="28"/>
      <c r="G220" s="26"/>
      <c r="H220" s="28"/>
    </row>
    <row r="221" spans="1:8" x14ac:dyDescent="0.45">
      <c r="A221" s="22" t="s">
        <v>1184</v>
      </c>
      <c r="B221" s="23"/>
      <c r="C221" s="23" t="s">
        <v>24</v>
      </c>
      <c r="D221" s="29" t="s">
        <v>25</v>
      </c>
      <c r="E221" s="23">
        <v>12</v>
      </c>
      <c r="F221" s="23" t="s">
        <v>17</v>
      </c>
      <c r="G221" s="24"/>
      <c r="H221" s="24">
        <f>G221*E221</f>
        <v>0</v>
      </c>
    </row>
    <row r="222" spans="1:8" x14ac:dyDescent="0.45">
      <c r="A222" s="25"/>
      <c r="B222" s="26"/>
      <c r="C222" s="26">
        <v>3.1</v>
      </c>
      <c r="D222" s="27" t="s">
        <v>31</v>
      </c>
      <c r="E222" s="28"/>
      <c r="F222" s="28"/>
      <c r="G222" s="28"/>
      <c r="H222" s="28"/>
    </row>
    <row r="223" spans="1:8" x14ac:dyDescent="0.45">
      <c r="A223" s="22" t="s">
        <v>1185</v>
      </c>
      <c r="B223" s="105">
        <v>1502000</v>
      </c>
      <c r="C223" s="105" t="s">
        <v>36</v>
      </c>
      <c r="D223" s="112" t="s">
        <v>37</v>
      </c>
      <c r="E223" s="23">
        <v>12</v>
      </c>
      <c r="F223" s="23" t="s">
        <v>17</v>
      </c>
      <c r="G223" s="24"/>
      <c r="H223" s="24">
        <f>G223*E223</f>
        <v>0</v>
      </c>
    </row>
    <row r="224" spans="1:8" x14ac:dyDescent="0.45">
      <c r="A224" s="25"/>
      <c r="B224" s="26"/>
      <c r="C224" s="26">
        <v>3.4</v>
      </c>
      <c r="D224" s="27" t="s">
        <v>62</v>
      </c>
      <c r="E224" s="26"/>
      <c r="F224" s="26"/>
      <c r="G224" s="28"/>
      <c r="H224" s="104"/>
    </row>
    <row r="225" spans="1:8" x14ac:dyDescent="0.45">
      <c r="A225" s="22" t="s">
        <v>1186</v>
      </c>
      <c r="B225" s="23">
        <v>1502000</v>
      </c>
      <c r="C225" s="23" t="s">
        <v>67</v>
      </c>
      <c r="D225" s="35" t="s">
        <v>68</v>
      </c>
      <c r="E225" s="23">
        <v>12</v>
      </c>
      <c r="F225" s="23" t="s">
        <v>17</v>
      </c>
      <c r="G225" s="24"/>
      <c r="H225" s="24">
        <f>G225*E225</f>
        <v>0</v>
      </c>
    </row>
    <row r="226" spans="1:8" x14ac:dyDescent="0.45">
      <c r="A226" s="25"/>
      <c r="B226" s="26"/>
      <c r="C226" s="26">
        <v>3.5</v>
      </c>
      <c r="D226" s="27" t="s">
        <v>72</v>
      </c>
      <c r="E226" s="28"/>
      <c r="F226" s="28"/>
      <c r="G226" s="28"/>
      <c r="H226" s="28"/>
    </row>
    <row r="227" spans="1:8" x14ac:dyDescent="0.45">
      <c r="A227" s="22" t="s">
        <v>1187</v>
      </c>
      <c r="B227" s="23">
        <v>1502000</v>
      </c>
      <c r="C227" s="23" t="s">
        <v>74</v>
      </c>
      <c r="D227" s="32" t="s">
        <v>37</v>
      </c>
      <c r="E227" s="23">
        <v>12</v>
      </c>
      <c r="F227" s="23" t="s">
        <v>17</v>
      </c>
      <c r="G227" s="24"/>
      <c r="H227" s="24">
        <f>G227*E227</f>
        <v>0</v>
      </c>
    </row>
    <row r="228" spans="1:8" s="263" customFormat="1" x14ac:dyDescent="0.45">
      <c r="A228" s="265"/>
      <c r="B228" s="266"/>
      <c r="C228" s="266">
        <v>3.6</v>
      </c>
      <c r="D228" s="267" t="s">
        <v>75</v>
      </c>
      <c r="E228" s="266"/>
      <c r="F228" s="266"/>
      <c r="G228" s="268"/>
      <c r="H228" s="273"/>
    </row>
    <row r="229" spans="1:8" s="263" customFormat="1" x14ac:dyDescent="0.45">
      <c r="A229" s="258" t="s">
        <v>1188</v>
      </c>
      <c r="B229" s="261">
        <v>1502000</v>
      </c>
      <c r="C229" s="259" t="s">
        <v>101</v>
      </c>
      <c r="D229" s="275" t="s">
        <v>102</v>
      </c>
      <c r="E229" s="261">
        <v>12</v>
      </c>
      <c r="F229" s="261" t="s">
        <v>17</v>
      </c>
      <c r="G229" s="262"/>
      <c r="H229" s="262">
        <f>G229*E229</f>
        <v>0</v>
      </c>
    </row>
    <row r="230" spans="1:8" x14ac:dyDescent="0.45">
      <c r="A230" s="40"/>
      <c r="B230" s="43">
        <v>1503020</v>
      </c>
      <c r="C230" s="41"/>
      <c r="D230" s="42" t="s">
        <v>114</v>
      </c>
      <c r="E230" s="43"/>
      <c r="F230" s="44"/>
      <c r="G230" s="44"/>
      <c r="H230" s="45"/>
    </row>
    <row r="231" spans="1:8" ht="13.45" customHeight="1" x14ac:dyDescent="0.45">
      <c r="A231" s="22" t="s">
        <v>5113</v>
      </c>
      <c r="B231" s="33">
        <v>1503020</v>
      </c>
      <c r="C231" s="33">
        <v>3.1</v>
      </c>
      <c r="D231" s="36" t="s">
        <v>116</v>
      </c>
      <c r="E231" s="23">
        <v>12</v>
      </c>
      <c r="F231" s="23" t="s">
        <v>17</v>
      </c>
      <c r="G231" s="24"/>
      <c r="H231" s="24">
        <f>G231*E231</f>
        <v>0</v>
      </c>
    </row>
    <row r="232" spans="1:8" ht="13.45" customHeight="1" x14ac:dyDescent="0.45">
      <c r="A232" s="22" t="s">
        <v>5114</v>
      </c>
      <c r="B232" s="33">
        <v>1503020</v>
      </c>
      <c r="C232" s="33">
        <v>3.2</v>
      </c>
      <c r="D232" s="36" t="s">
        <v>118</v>
      </c>
      <c r="E232" s="23">
        <v>12</v>
      </c>
      <c r="F232" s="23" t="s">
        <v>17</v>
      </c>
      <c r="G232" s="24"/>
      <c r="H232" s="24">
        <f>G232*E232</f>
        <v>0</v>
      </c>
    </row>
    <row r="233" spans="1:8" x14ac:dyDescent="0.45">
      <c r="A233" s="22" t="s">
        <v>5115</v>
      </c>
      <c r="B233" s="33">
        <v>1503020</v>
      </c>
      <c r="C233" s="33">
        <v>3.3</v>
      </c>
      <c r="D233" s="36" t="s">
        <v>120</v>
      </c>
      <c r="E233" s="23">
        <v>12</v>
      </c>
      <c r="F233" s="23" t="s">
        <v>17</v>
      </c>
      <c r="G233" s="24"/>
      <c r="H233" s="24">
        <f>G233*E233</f>
        <v>0</v>
      </c>
    </row>
    <row r="234" spans="1:8" x14ac:dyDescent="0.45">
      <c r="A234" s="40"/>
      <c r="B234" s="43">
        <v>1503030</v>
      </c>
      <c r="C234" s="41"/>
      <c r="D234" s="42" t="s">
        <v>121</v>
      </c>
      <c r="E234" s="43"/>
      <c r="F234" s="44"/>
      <c r="G234" s="44"/>
      <c r="H234" s="45"/>
    </row>
    <row r="235" spans="1:8" x14ac:dyDescent="0.45">
      <c r="A235" s="22" t="s">
        <v>5116</v>
      </c>
      <c r="B235" s="33">
        <v>1503030</v>
      </c>
      <c r="C235" s="33" t="s">
        <v>123</v>
      </c>
      <c r="D235" s="36" t="s">
        <v>124</v>
      </c>
      <c r="E235" s="23">
        <v>12</v>
      </c>
      <c r="F235" s="23" t="s">
        <v>17</v>
      </c>
      <c r="G235" s="24"/>
      <c r="H235" s="24">
        <f>G235*E235</f>
        <v>0</v>
      </c>
    </row>
    <row r="236" spans="1:8" x14ac:dyDescent="0.45">
      <c r="A236" s="58"/>
      <c r="B236" s="59"/>
      <c r="C236" s="59"/>
      <c r="D236" s="60" t="s">
        <v>287</v>
      </c>
      <c r="E236" s="59"/>
      <c r="F236" s="59"/>
      <c r="G236" s="59"/>
      <c r="H236" s="62">
        <f>SUM(H221:H235)</f>
        <v>0</v>
      </c>
    </row>
    <row r="237" spans="1:8" x14ac:dyDescent="0.45">
      <c r="A237" s="96"/>
      <c r="B237" s="97"/>
      <c r="C237" s="97"/>
      <c r="D237" s="98"/>
      <c r="E237" s="97"/>
      <c r="F237" s="97"/>
      <c r="G237" s="97"/>
      <c r="H237" s="99"/>
    </row>
    <row r="238" spans="1:8" x14ac:dyDescent="0.45">
      <c r="A238" s="12" t="s">
        <v>1189</v>
      </c>
      <c r="B238" s="13"/>
      <c r="C238" s="13"/>
      <c r="D238" s="12" t="s">
        <v>289</v>
      </c>
      <c r="E238" s="100"/>
      <c r="F238" s="101"/>
      <c r="G238" s="101"/>
      <c r="H238" s="102"/>
    </row>
    <row r="239" spans="1:8" x14ac:dyDescent="0.45">
      <c r="A239" s="103"/>
      <c r="B239" s="41">
        <v>1502000</v>
      </c>
      <c r="C239" s="43"/>
      <c r="D239" s="42" t="s">
        <v>18</v>
      </c>
      <c r="E239" s="43"/>
      <c r="F239" s="44"/>
      <c r="G239" s="44"/>
      <c r="H239" s="45"/>
    </row>
    <row r="240" spans="1:8" x14ac:dyDescent="0.45">
      <c r="A240" s="25"/>
      <c r="B240" s="26"/>
      <c r="C240" s="26">
        <v>3.4</v>
      </c>
      <c r="D240" s="27" t="s">
        <v>62</v>
      </c>
      <c r="E240" s="26"/>
      <c r="F240" s="26"/>
      <c r="G240" s="26"/>
      <c r="H240" s="104"/>
    </row>
    <row r="241" spans="1:8" x14ac:dyDescent="0.45">
      <c r="A241" s="22" t="s">
        <v>1190</v>
      </c>
      <c r="B241" s="23">
        <v>1502000</v>
      </c>
      <c r="C241" s="23" t="s">
        <v>67</v>
      </c>
      <c r="D241" s="35" t="s">
        <v>68</v>
      </c>
      <c r="E241" s="23">
        <v>12</v>
      </c>
      <c r="F241" s="23" t="s">
        <v>17</v>
      </c>
      <c r="G241" s="24"/>
      <c r="H241" s="24">
        <f>G241*E241</f>
        <v>0</v>
      </c>
    </row>
    <row r="242" spans="1:8" x14ac:dyDescent="0.45">
      <c r="A242" s="58"/>
      <c r="B242" s="59"/>
      <c r="C242" s="59"/>
      <c r="D242" s="60" t="s">
        <v>291</v>
      </c>
      <c r="E242" s="59"/>
      <c r="F242" s="59"/>
      <c r="G242" s="59"/>
      <c r="H242" s="62">
        <f>SUM(H241)</f>
        <v>0</v>
      </c>
    </row>
    <row r="243" spans="1:8" x14ac:dyDescent="0.45">
      <c r="A243" s="96"/>
      <c r="B243" s="97"/>
      <c r="C243" s="97"/>
      <c r="D243" s="98"/>
      <c r="E243" s="97"/>
      <c r="F243" s="97"/>
      <c r="G243" s="97"/>
      <c r="H243" s="99"/>
    </row>
    <row r="244" spans="1:8" x14ac:dyDescent="0.45">
      <c r="A244" s="12" t="s">
        <v>1191</v>
      </c>
      <c r="B244" s="13"/>
      <c r="C244" s="13"/>
      <c r="D244" s="12" t="s">
        <v>293</v>
      </c>
      <c r="E244" s="100"/>
      <c r="F244" s="101"/>
      <c r="G244" s="101"/>
      <c r="H244" s="102"/>
    </row>
    <row r="245" spans="1:8" x14ac:dyDescent="0.45">
      <c r="A245" s="40"/>
      <c r="B245" s="43">
        <v>1503030</v>
      </c>
      <c r="C245" s="41"/>
      <c r="D245" s="42" t="s">
        <v>121</v>
      </c>
      <c r="E245" s="43"/>
      <c r="F245" s="44"/>
      <c r="G245" s="44"/>
      <c r="H245" s="45"/>
    </row>
    <row r="246" spans="1:8" x14ac:dyDescent="0.45">
      <c r="A246" s="22" t="s">
        <v>1192</v>
      </c>
      <c r="B246" s="33">
        <v>1503030</v>
      </c>
      <c r="C246" s="33" t="s">
        <v>123</v>
      </c>
      <c r="D246" s="36" t="s">
        <v>124</v>
      </c>
      <c r="E246" s="23">
        <v>12</v>
      </c>
      <c r="F246" s="23" t="s">
        <v>17</v>
      </c>
      <c r="G246" s="24"/>
      <c r="H246" s="24">
        <f>G246*E246</f>
        <v>0</v>
      </c>
    </row>
    <row r="247" spans="1:8" x14ac:dyDescent="0.45">
      <c r="A247" s="58"/>
      <c r="B247" s="59"/>
      <c r="C247" s="59"/>
      <c r="D247" s="60" t="s">
        <v>295</v>
      </c>
      <c r="E247" s="59"/>
      <c r="F247" s="59"/>
      <c r="G247" s="59"/>
      <c r="H247" s="62">
        <f>SUM(H246)</f>
        <v>0</v>
      </c>
    </row>
    <row r="248" spans="1:8" x14ac:dyDescent="0.45">
      <c r="A248" s="96"/>
      <c r="B248" s="97"/>
      <c r="C248" s="97"/>
      <c r="D248" s="98"/>
      <c r="E248" s="97"/>
      <c r="F248" s="97"/>
      <c r="G248" s="97"/>
      <c r="H248" s="99"/>
    </row>
    <row r="249" spans="1:8" x14ac:dyDescent="0.45">
      <c r="A249" s="12" t="s">
        <v>1193</v>
      </c>
      <c r="B249" s="13"/>
      <c r="C249" s="13"/>
      <c r="D249" s="12" t="s">
        <v>297</v>
      </c>
      <c r="E249" s="100"/>
      <c r="F249" s="101"/>
      <c r="G249" s="101"/>
      <c r="H249" s="102"/>
    </row>
    <row r="250" spans="1:8" x14ac:dyDescent="0.45">
      <c r="A250" s="103"/>
      <c r="B250" s="41">
        <v>1502000</v>
      </c>
      <c r="C250" s="43"/>
      <c r="D250" s="42" t="s">
        <v>18</v>
      </c>
      <c r="E250" s="43"/>
      <c r="F250" s="44"/>
      <c r="G250" s="44"/>
      <c r="H250" s="45"/>
    </row>
    <row r="251" spans="1:8" x14ac:dyDescent="0.45">
      <c r="A251" s="27"/>
      <c r="B251" s="26"/>
      <c r="C251" s="26">
        <v>3.1</v>
      </c>
      <c r="D251" s="27" t="s">
        <v>19</v>
      </c>
      <c r="E251" s="26"/>
      <c r="F251" s="26"/>
      <c r="G251" s="26"/>
      <c r="H251" s="104"/>
    </row>
    <row r="252" spans="1:8" x14ac:dyDescent="0.45">
      <c r="A252" s="22" t="s">
        <v>1194</v>
      </c>
      <c r="B252" s="23">
        <v>1502000</v>
      </c>
      <c r="C252" s="23" t="s">
        <v>21</v>
      </c>
      <c r="D252" s="29" t="s">
        <v>22</v>
      </c>
      <c r="E252" s="23">
        <v>12</v>
      </c>
      <c r="F252" s="23" t="s">
        <v>17</v>
      </c>
      <c r="G252" s="24"/>
      <c r="H252" s="24">
        <f>G252*E252</f>
        <v>0</v>
      </c>
    </row>
    <row r="253" spans="1:8" x14ac:dyDescent="0.45">
      <c r="A253" s="22" t="s">
        <v>1195</v>
      </c>
      <c r="B253" s="23">
        <v>1502000</v>
      </c>
      <c r="C253" s="23" t="s">
        <v>24</v>
      </c>
      <c r="D253" s="29" t="s">
        <v>25</v>
      </c>
      <c r="E253" s="23">
        <v>12</v>
      </c>
      <c r="F253" s="23" t="s">
        <v>17</v>
      </c>
      <c r="G253" s="24"/>
      <c r="H253" s="24">
        <f>G253*E253</f>
        <v>0</v>
      </c>
    </row>
    <row r="254" spans="1:8" x14ac:dyDescent="0.45">
      <c r="A254" s="22" t="s">
        <v>1196</v>
      </c>
      <c r="B254" s="23">
        <v>1502000</v>
      </c>
      <c r="C254" s="23" t="s">
        <v>27</v>
      </c>
      <c r="D254" s="29" t="s">
        <v>28</v>
      </c>
      <c r="E254" s="23">
        <v>12</v>
      </c>
      <c r="F254" s="23" t="s">
        <v>17</v>
      </c>
      <c r="G254" s="24"/>
      <c r="H254" s="24">
        <f>G254*E254</f>
        <v>0</v>
      </c>
    </row>
    <row r="255" spans="1:8" x14ac:dyDescent="0.45">
      <c r="A255" s="25"/>
      <c r="B255" s="26"/>
      <c r="C255" s="26">
        <v>3.1</v>
      </c>
      <c r="D255" s="27" t="s">
        <v>31</v>
      </c>
      <c r="E255" s="28"/>
      <c r="F255" s="28"/>
      <c r="G255" s="28"/>
      <c r="H255" s="28"/>
    </row>
    <row r="256" spans="1:8" x14ac:dyDescent="0.45">
      <c r="A256" s="22" t="s">
        <v>1197</v>
      </c>
      <c r="B256" s="23">
        <v>1502000</v>
      </c>
      <c r="C256" s="286" t="s">
        <v>5022</v>
      </c>
      <c r="D256" s="32" t="s">
        <v>37</v>
      </c>
      <c r="E256" s="23">
        <v>12</v>
      </c>
      <c r="F256" s="23" t="s">
        <v>17</v>
      </c>
      <c r="G256" s="24"/>
      <c r="H256" s="24">
        <f>G256*E256</f>
        <v>0</v>
      </c>
    </row>
    <row r="257" spans="1:8" x14ac:dyDescent="0.45">
      <c r="A257" s="22" t="s">
        <v>1198</v>
      </c>
      <c r="B257" s="23">
        <v>1502000</v>
      </c>
      <c r="C257" s="23" t="s">
        <v>45</v>
      </c>
      <c r="D257" s="30" t="s">
        <v>46</v>
      </c>
      <c r="E257" s="23">
        <v>12</v>
      </c>
      <c r="F257" s="23" t="s">
        <v>17</v>
      </c>
      <c r="G257" s="24"/>
      <c r="H257" s="24">
        <f>G257*E257</f>
        <v>0</v>
      </c>
    </row>
    <row r="258" spans="1:8" x14ac:dyDescent="0.45">
      <c r="A258" s="25"/>
      <c r="B258" s="26"/>
      <c r="C258" s="26">
        <v>3.4</v>
      </c>
      <c r="D258" s="27" t="s">
        <v>62</v>
      </c>
      <c r="E258" s="26"/>
      <c r="F258" s="26"/>
      <c r="G258" s="28"/>
      <c r="H258" s="104"/>
    </row>
    <row r="259" spans="1:8" x14ac:dyDescent="0.45">
      <c r="A259" s="22" t="s">
        <v>1199</v>
      </c>
      <c r="B259" s="23">
        <v>1502000</v>
      </c>
      <c r="C259" s="23" t="s">
        <v>67</v>
      </c>
      <c r="D259" s="35" t="s">
        <v>68</v>
      </c>
      <c r="E259" s="23">
        <v>12</v>
      </c>
      <c r="F259" s="23" t="s">
        <v>17</v>
      </c>
      <c r="G259" s="24"/>
      <c r="H259" s="24">
        <f>G259*E259</f>
        <v>0</v>
      </c>
    </row>
    <row r="260" spans="1:8" x14ac:dyDescent="0.45">
      <c r="A260" s="25"/>
      <c r="B260" s="26"/>
      <c r="C260" s="26">
        <v>3.5</v>
      </c>
      <c r="D260" s="27" t="s">
        <v>72</v>
      </c>
      <c r="E260" s="28"/>
      <c r="F260" s="28"/>
      <c r="G260" s="28"/>
      <c r="H260" s="28"/>
    </row>
    <row r="261" spans="1:8" x14ac:dyDescent="0.45">
      <c r="A261" s="22" t="s">
        <v>1200</v>
      </c>
      <c r="B261" s="23">
        <v>1502000</v>
      </c>
      <c r="C261" s="23" t="s">
        <v>74</v>
      </c>
      <c r="D261" s="32" t="s">
        <v>37</v>
      </c>
      <c r="E261" s="23">
        <v>12</v>
      </c>
      <c r="F261" s="23" t="s">
        <v>17</v>
      </c>
      <c r="G261" s="24"/>
      <c r="H261" s="24">
        <f>G261*E261</f>
        <v>0</v>
      </c>
    </row>
    <row r="262" spans="1:8" x14ac:dyDescent="0.45">
      <c r="A262" s="25"/>
      <c r="B262" s="26"/>
      <c r="C262" s="26">
        <v>3.6</v>
      </c>
      <c r="D262" s="27" t="s">
        <v>75</v>
      </c>
      <c r="E262" s="26"/>
      <c r="F262" s="26"/>
      <c r="G262" s="28"/>
      <c r="H262" s="104"/>
    </row>
    <row r="263" spans="1:8" x14ac:dyDescent="0.45">
      <c r="A263" s="22" t="s">
        <v>1201</v>
      </c>
      <c r="B263" s="23">
        <v>1502000</v>
      </c>
      <c r="C263" s="33" t="s">
        <v>86</v>
      </c>
      <c r="D263" s="39" t="s">
        <v>87</v>
      </c>
      <c r="E263" s="23">
        <v>12</v>
      </c>
      <c r="F263" s="23" t="s">
        <v>17</v>
      </c>
      <c r="G263" s="24"/>
      <c r="H263" s="24">
        <f>G263*E263</f>
        <v>0</v>
      </c>
    </row>
    <row r="264" spans="1:8" x14ac:dyDescent="0.45">
      <c r="A264" s="22" t="s">
        <v>1202</v>
      </c>
      <c r="B264" s="23">
        <v>1502000</v>
      </c>
      <c r="C264" s="33" t="s">
        <v>89</v>
      </c>
      <c r="D264" s="39" t="s">
        <v>90</v>
      </c>
      <c r="E264" s="23">
        <v>12</v>
      </c>
      <c r="F264" s="23" t="s">
        <v>17</v>
      </c>
      <c r="G264" s="24"/>
      <c r="H264" s="24">
        <f>G264*E264</f>
        <v>0</v>
      </c>
    </row>
    <row r="265" spans="1:8" x14ac:dyDescent="0.45">
      <c r="A265" s="22" t="s">
        <v>1203</v>
      </c>
      <c r="B265" s="23">
        <v>1502000</v>
      </c>
      <c r="C265" s="23" t="s">
        <v>308</v>
      </c>
      <c r="D265" s="106" t="s">
        <v>309</v>
      </c>
      <c r="E265" s="23">
        <v>12</v>
      </c>
      <c r="F265" s="23" t="s">
        <v>17</v>
      </c>
      <c r="G265" s="24"/>
      <c r="H265" s="24">
        <f>G265*E265</f>
        <v>0</v>
      </c>
    </row>
    <row r="266" spans="1:8" x14ac:dyDescent="0.45">
      <c r="A266" s="40"/>
      <c r="B266" s="43">
        <v>1503020</v>
      </c>
      <c r="C266" s="41"/>
      <c r="D266" s="42" t="s">
        <v>114</v>
      </c>
      <c r="E266" s="43"/>
      <c r="F266" s="44"/>
      <c r="G266" s="44"/>
      <c r="H266" s="45"/>
    </row>
    <row r="267" spans="1:8" x14ac:dyDescent="0.45">
      <c r="A267" s="22" t="s">
        <v>1204</v>
      </c>
      <c r="B267" s="33">
        <v>1503020</v>
      </c>
      <c r="C267" s="33">
        <v>3.1</v>
      </c>
      <c r="D267" s="36" t="s">
        <v>116</v>
      </c>
      <c r="E267" s="23">
        <v>12</v>
      </c>
      <c r="F267" s="23" t="s">
        <v>17</v>
      </c>
      <c r="G267" s="24"/>
      <c r="H267" s="24">
        <f>G267*E267</f>
        <v>0</v>
      </c>
    </row>
    <row r="268" spans="1:8" x14ac:dyDescent="0.45">
      <c r="A268" s="22" t="s">
        <v>1205</v>
      </c>
      <c r="B268" s="33">
        <v>1503020</v>
      </c>
      <c r="C268" s="33">
        <v>3.2</v>
      </c>
      <c r="D268" s="36" t="s">
        <v>118</v>
      </c>
      <c r="E268" s="23">
        <v>12</v>
      </c>
      <c r="F268" s="23" t="s">
        <v>17</v>
      </c>
      <c r="G268" s="24"/>
      <c r="H268" s="24">
        <f>G268*E268</f>
        <v>0</v>
      </c>
    </row>
    <row r="269" spans="1:8" x14ac:dyDescent="0.45">
      <c r="A269" s="22" t="s">
        <v>1206</v>
      </c>
      <c r="B269" s="33">
        <v>1503020</v>
      </c>
      <c r="C269" s="33">
        <v>3.3</v>
      </c>
      <c r="D269" s="36" t="s">
        <v>120</v>
      </c>
      <c r="E269" s="23">
        <v>12</v>
      </c>
      <c r="F269" s="23" t="s">
        <v>17</v>
      </c>
      <c r="G269" s="24"/>
      <c r="H269" s="24">
        <f>G269*E269</f>
        <v>0</v>
      </c>
    </row>
    <row r="270" spans="1:8" x14ac:dyDescent="0.45">
      <c r="A270" s="40"/>
      <c r="B270" s="43">
        <v>1503030</v>
      </c>
      <c r="C270" s="41"/>
      <c r="D270" s="42" t="s">
        <v>121</v>
      </c>
      <c r="E270" s="43"/>
      <c r="F270" s="44"/>
      <c r="G270" s="44"/>
      <c r="H270" s="45"/>
    </row>
    <row r="271" spans="1:8" x14ac:dyDescent="0.45">
      <c r="A271" s="22" t="s">
        <v>1207</v>
      </c>
      <c r="B271" s="33">
        <v>1503030</v>
      </c>
      <c r="C271" s="33" t="s">
        <v>123</v>
      </c>
      <c r="D271" s="36" t="s">
        <v>124</v>
      </c>
      <c r="E271" s="23">
        <v>12</v>
      </c>
      <c r="F271" s="23" t="s">
        <v>17</v>
      </c>
      <c r="G271" s="24"/>
      <c r="H271" s="24">
        <f>G271*E271</f>
        <v>0</v>
      </c>
    </row>
    <row r="272" spans="1:8" x14ac:dyDescent="0.45">
      <c r="A272" s="58"/>
      <c r="B272" s="59"/>
      <c r="C272" s="59"/>
      <c r="D272" s="60" t="s">
        <v>314</v>
      </c>
      <c r="E272" s="59"/>
      <c r="F272" s="59"/>
      <c r="G272" s="59"/>
      <c r="H272" s="62">
        <f>SUM(H252:H271)</f>
        <v>0</v>
      </c>
    </row>
    <row r="273" spans="1:8" x14ac:dyDescent="0.45">
      <c r="A273" s="96"/>
      <c r="B273" s="97"/>
      <c r="C273" s="97"/>
      <c r="D273" s="98"/>
      <c r="E273" s="97"/>
      <c r="F273" s="97"/>
      <c r="G273" s="97"/>
      <c r="H273" s="99"/>
    </row>
    <row r="274" spans="1:8" x14ac:dyDescent="0.45">
      <c r="A274" s="12" t="s">
        <v>1208</v>
      </c>
      <c r="B274" s="13"/>
      <c r="C274" s="13"/>
      <c r="D274" s="12" t="s">
        <v>316</v>
      </c>
      <c r="E274" s="100"/>
      <c r="F274" s="101"/>
      <c r="G274" s="101"/>
      <c r="H274" s="102"/>
    </row>
    <row r="275" spans="1:8" x14ac:dyDescent="0.45">
      <c r="A275" s="40"/>
      <c r="B275" s="41">
        <v>1503010</v>
      </c>
      <c r="C275" s="41"/>
      <c r="D275" s="42" t="s">
        <v>109</v>
      </c>
      <c r="E275" s="43"/>
      <c r="F275" s="44"/>
      <c r="G275" s="44"/>
      <c r="H275" s="45"/>
    </row>
    <row r="276" spans="1:8" x14ac:dyDescent="0.45">
      <c r="A276" s="22" t="s">
        <v>1209</v>
      </c>
      <c r="B276" s="33">
        <v>1503010</v>
      </c>
      <c r="C276" s="33">
        <v>3.1</v>
      </c>
      <c r="D276" s="36" t="s">
        <v>111</v>
      </c>
      <c r="E276" s="23">
        <v>12</v>
      </c>
      <c r="F276" s="23" t="s">
        <v>17</v>
      </c>
      <c r="G276" s="24"/>
      <c r="H276" s="24">
        <f>G276*E276</f>
        <v>0</v>
      </c>
    </row>
    <row r="277" spans="1:8" x14ac:dyDescent="0.45">
      <c r="A277" s="40"/>
      <c r="B277" s="43">
        <v>1503020</v>
      </c>
      <c r="C277" s="41"/>
      <c r="D277" s="42" t="s">
        <v>114</v>
      </c>
      <c r="E277" s="43"/>
      <c r="F277" s="44"/>
      <c r="G277" s="44"/>
      <c r="H277" s="45"/>
    </row>
    <row r="278" spans="1:8" ht="13.45" customHeight="1" x14ac:dyDescent="0.45">
      <c r="A278" s="22" t="s">
        <v>1210</v>
      </c>
      <c r="B278" s="33">
        <v>1503020</v>
      </c>
      <c r="C278" s="33">
        <v>3.1</v>
      </c>
      <c r="D278" s="36" t="s">
        <v>116</v>
      </c>
      <c r="E278" s="23">
        <v>12</v>
      </c>
      <c r="F278" s="23" t="s">
        <v>17</v>
      </c>
      <c r="G278" s="24"/>
      <c r="H278" s="24">
        <f>G278*E278</f>
        <v>0</v>
      </c>
    </row>
    <row r="279" spans="1:8" ht="13.45" customHeight="1" x14ac:dyDescent="0.45">
      <c r="A279" s="22" t="s">
        <v>1211</v>
      </c>
      <c r="B279" s="33">
        <v>1503020</v>
      </c>
      <c r="C279" s="33">
        <v>3.2</v>
      </c>
      <c r="D279" s="36" t="s">
        <v>118</v>
      </c>
      <c r="E279" s="23">
        <v>12</v>
      </c>
      <c r="F279" s="23" t="s">
        <v>17</v>
      </c>
      <c r="G279" s="24"/>
      <c r="H279" s="24">
        <f>G279*E279</f>
        <v>0</v>
      </c>
    </row>
    <row r="280" spans="1:8" x14ac:dyDescent="0.45">
      <c r="A280" s="22" t="s">
        <v>1212</v>
      </c>
      <c r="B280" s="33">
        <v>1503020</v>
      </c>
      <c r="C280" s="33">
        <v>3.3</v>
      </c>
      <c r="D280" s="36" t="s">
        <v>120</v>
      </c>
      <c r="E280" s="23">
        <v>12</v>
      </c>
      <c r="F280" s="23" t="s">
        <v>17</v>
      </c>
      <c r="G280" s="24"/>
      <c r="H280" s="24">
        <f>G280*E280</f>
        <v>0</v>
      </c>
    </row>
    <row r="281" spans="1:8" x14ac:dyDescent="0.45">
      <c r="A281" s="58"/>
      <c r="B281" s="59"/>
      <c r="C281" s="59"/>
      <c r="D281" s="60" t="s">
        <v>321</v>
      </c>
      <c r="E281" s="59"/>
      <c r="F281" s="59"/>
      <c r="G281" s="59"/>
      <c r="H281" s="62">
        <f>SUM(H276:H280)</f>
        <v>0</v>
      </c>
    </row>
    <row r="282" spans="1:8" x14ac:dyDescent="0.45">
      <c r="A282" s="96"/>
      <c r="B282" s="97"/>
      <c r="C282" s="97"/>
      <c r="D282" s="98"/>
      <c r="E282" s="97"/>
      <c r="F282" s="97"/>
      <c r="G282" s="97"/>
      <c r="H282" s="99"/>
    </row>
    <row r="283" spans="1:8" x14ac:dyDescent="0.45">
      <c r="A283" s="12" t="s">
        <v>1213</v>
      </c>
      <c r="B283" s="13"/>
      <c r="C283" s="13"/>
      <c r="D283" s="12" t="s">
        <v>323</v>
      </c>
      <c r="E283" s="13"/>
      <c r="F283" s="13"/>
      <c r="G283" s="13"/>
      <c r="H283" s="102"/>
    </row>
    <row r="284" spans="1:8" x14ac:dyDescent="0.45">
      <c r="A284" s="103"/>
      <c r="B284" s="41">
        <v>1502000</v>
      </c>
      <c r="C284" s="43"/>
      <c r="D284" s="42" t="s">
        <v>18</v>
      </c>
      <c r="E284" s="43"/>
      <c r="F284" s="44"/>
      <c r="G284" s="44"/>
      <c r="H284" s="45"/>
    </row>
    <row r="285" spans="1:8" x14ac:dyDescent="0.45">
      <c r="A285" s="27"/>
      <c r="B285" s="26"/>
      <c r="C285" s="26">
        <v>3.1</v>
      </c>
      <c r="D285" s="27" t="s">
        <v>19</v>
      </c>
      <c r="E285" s="26"/>
      <c r="F285" s="26"/>
      <c r="G285" s="26"/>
      <c r="H285" s="104"/>
    </row>
    <row r="286" spans="1:8" x14ac:dyDescent="0.45">
      <c r="A286" s="22" t="s">
        <v>1214</v>
      </c>
      <c r="B286" s="23">
        <v>1502000</v>
      </c>
      <c r="C286" s="23" t="s">
        <v>21</v>
      </c>
      <c r="D286" s="29" t="s">
        <v>22</v>
      </c>
      <c r="E286" s="23">
        <v>12</v>
      </c>
      <c r="F286" s="23" t="s">
        <v>17</v>
      </c>
      <c r="G286" s="24"/>
      <c r="H286" s="24">
        <f>G286*E286</f>
        <v>0</v>
      </c>
    </row>
    <row r="287" spans="1:8" x14ac:dyDescent="0.45">
      <c r="A287" s="22" t="s">
        <v>1215</v>
      </c>
      <c r="B287" s="23">
        <v>1502000</v>
      </c>
      <c r="C287" s="23" t="s">
        <v>24</v>
      </c>
      <c r="D287" s="29" t="s">
        <v>25</v>
      </c>
      <c r="E287" s="23">
        <v>12</v>
      </c>
      <c r="F287" s="23" t="s">
        <v>17</v>
      </c>
      <c r="G287" s="24"/>
      <c r="H287" s="24">
        <f>G287*E287</f>
        <v>0</v>
      </c>
    </row>
    <row r="288" spans="1:8" x14ac:dyDescent="0.45">
      <c r="A288" s="22" t="s">
        <v>1216</v>
      </c>
      <c r="B288" s="23">
        <v>1502000</v>
      </c>
      <c r="C288" s="23" t="s">
        <v>27</v>
      </c>
      <c r="D288" s="29" t="s">
        <v>28</v>
      </c>
      <c r="E288" s="23">
        <v>12</v>
      </c>
      <c r="F288" s="23" t="s">
        <v>17</v>
      </c>
      <c r="G288" s="24"/>
      <c r="H288" s="24">
        <f>G288*E288</f>
        <v>0</v>
      </c>
    </row>
    <row r="289" spans="1:8" x14ac:dyDescent="0.45">
      <c r="A289" s="25"/>
      <c r="B289" s="26"/>
      <c r="C289" s="26">
        <v>3.1</v>
      </c>
      <c r="D289" s="27" t="s">
        <v>31</v>
      </c>
      <c r="E289" s="28"/>
      <c r="F289" s="28"/>
      <c r="G289" s="28"/>
      <c r="H289" s="28"/>
    </row>
    <row r="290" spans="1:8" x14ac:dyDescent="0.45">
      <c r="A290" s="22" t="s">
        <v>1217</v>
      </c>
      <c r="B290" s="23">
        <v>1502000</v>
      </c>
      <c r="C290" s="23" t="s">
        <v>33</v>
      </c>
      <c r="D290" s="30" t="s">
        <v>34</v>
      </c>
      <c r="E290" s="23">
        <v>12</v>
      </c>
      <c r="F290" s="23" t="s">
        <v>17</v>
      </c>
      <c r="G290" s="24"/>
      <c r="H290" s="24">
        <f t="shared" ref="H290:H295" si="6">G290*E290</f>
        <v>0</v>
      </c>
    </row>
    <row r="291" spans="1:8" x14ac:dyDescent="0.45">
      <c r="A291" s="22" t="s">
        <v>1218</v>
      </c>
      <c r="B291" s="23">
        <v>1502000</v>
      </c>
      <c r="C291" s="23" t="s">
        <v>5016</v>
      </c>
      <c r="D291" s="30" t="s">
        <v>46</v>
      </c>
      <c r="E291" s="23">
        <v>12</v>
      </c>
      <c r="F291" s="23" t="s">
        <v>17</v>
      </c>
      <c r="G291" s="24"/>
      <c r="H291" s="24">
        <f t="shared" si="6"/>
        <v>0</v>
      </c>
    </row>
    <row r="292" spans="1:8" s="263" customFormat="1" x14ac:dyDescent="0.45">
      <c r="A292" s="258" t="s">
        <v>1219</v>
      </c>
      <c r="B292" s="261">
        <v>1502000</v>
      </c>
      <c r="C292" s="261" t="s">
        <v>5017</v>
      </c>
      <c r="D292" s="269" t="s">
        <v>55</v>
      </c>
      <c r="E292" s="261">
        <v>12</v>
      </c>
      <c r="F292" s="261" t="s">
        <v>17</v>
      </c>
      <c r="G292" s="262"/>
      <c r="H292" s="262">
        <f t="shared" si="6"/>
        <v>0</v>
      </c>
    </row>
    <row r="293" spans="1:8" x14ac:dyDescent="0.45">
      <c r="A293" s="22" t="s">
        <v>5081</v>
      </c>
      <c r="B293" s="23">
        <v>1502000</v>
      </c>
      <c r="C293" s="113" t="s">
        <v>5018</v>
      </c>
      <c r="D293" s="114" t="s">
        <v>330</v>
      </c>
      <c r="E293" s="23">
        <v>12</v>
      </c>
      <c r="F293" s="23" t="s">
        <v>17</v>
      </c>
      <c r="G293" s="24"/>
      <c r="H293" s="24">
        <f t="shared" si="6"/>
        <v>0</v>
      </c>
    </row>
    <row r="294" spans="1:8" x14ac:dyDescent="0.45">
      <c r="A294" s="22" t="s">
        <v>5082</v>
      </c>
      <c r="B294" s="23">
        <v>1502000</v>
      </c>
      <c r="C294" s="113" t="s">
        <v>5019</v>
      </c>
      <c r="D294" s="114" t="s">
        <v>331</v>
      </c>
      <c r="E294" s="23">
        <v>12</v>
      </c>
      <c r="F294" s="23" t="s">
        <v>17</v>
      </c>
      <c r="G294" s="24"/>
      <c r="H294" s="24">
        <f t="shared" si="6"/>
        <v>0</v>
      </c>
    </row>
    <row r="295" spans="1:8" x14ac:dyDescent="0.45">
      <c r="A295" s="22" t="s">
        <v>5083</v>
      </c>
      <c r="B295" s="23">
        <v>1502000</v>
      </c>
      <c r="C295" s="113" t="s">
        <v>5020</v>
      </c>
      <c r="D295" s="114" t="s">
        <v>333</v>
      </c>
      <c r="E295" s="23">
        <v>12</v>
      </c>
      <c r="F295" s="23" t="s">
        <v>17</v>
      </c>
      <c r="G295" s="24"/>
      <c r="H295" s="24">
        <f t="shared" si="6"/>
        <v>0</v>
      </c>
    </row>
    <row r="296" spans="1:8" x14ac:dyDescent="0.45">
      <c r="A296" s="25"/>
      <c r="B296" s="26"/>
      <c r="C296" s="26">
        <v>3.4</v>
      </c>
      <c r="D296" s="27" t="s">
        <v>62</v>
      </c>
      <c r="E296" s="26"/>
      <c r="F296" s="26"/>
      <c r="G296" s="28"/>
      <c r="H296" s="104"/>
    </row>
    <row r="297" spans="1:8" x14ac:dyDescent="0.45">
      <c r="A297" s="22" t="s">
        <v>5084</v>
      </c>
      <c r="B297" s="23">
        <v>1502000</v>
      </c>
      <c r="C297" s="23" t="s">
        <v>67</v>
      </c>
      <c r="D297" s="35" t="s">
        <v>68</v>
      </c>
      <c r="E297" s="23">
        <v>12</v>
      </c>
      <c r="F297" s="23" t="s">
        <v>17</v>
      </c>
      <c r="G297" s="24"/>
      <c r="H297" s="24">
        <f>G297*E297</f>
        <v>0</v>
      </c>
    </row>
    <row r="298" spans="1:8" x14ac:dyDescent="0.45">
      <c r="A298" s="25"/>
      <c r="B298" s="26"/>
      <c r="C298" s="26">
        <v>3.6</v>
      </c>
      <c r="D298" s="27" t="s">
        <v>75</v>
      </c>
      <c r="E298" s="26"/>
      <c r="F298" s="26"/>
      <c r="G298" s="28"/>
      <c r="H298" s="104"/>
    </row>
    <row r="299" spans="1:8" x14ac:dyDescent="0.45">
      <c r="A299" s="22" t="s">
        <v>5085</v>
      </c>
      <c r="B299" s="23">
        <v>1502000</v>
      </c>
      <c r="C299" s="33" t="s">
        <v>89</v>
      </c>
      <c r="D299" s="39" t="s">
        <v>90</v>
      </c>
      <c r="E299" s="23">
        <v>12</v>
      </c>
      <c r="F299" s="23" t="s">
        <v>17</v>
      </c>
      <c r="G299" s="24"/>
      <c r="H299" s="24">
        <f>G299*E299</f>
        <v>0</v>
      </c>
    </row>
    <row r="300" spans="1:8" x14ac:dyDescent="0.45">
      <c r="A300" s="22" t="s">
        <v>5086</v>
      </c>
      <c r="B300" s="23">
        <v>1502000</v>
      </c>
      <c r="C300" s="33" t="s">
        <v>101</v>
      </c>
      <c r="D300" s="39" t="s">
        <v>102</v>
      </c>
      <c r="E300" s="23">
        <v>12</v>
      </c>
      <c r="F300" s="23" t="s">
        <v>17</v>
      </c>
      <c r="G300" s="24"/>
      <c r="H300" s="24">
        <f>G300*E300</f>
        <v>0</v>
      </c>
    </row>
    <row r="301" spans="1:8" x14ac:dyDescent="0.45">
      <c r="A301" s="40"/>
      <c r="B301" s="41">
        <v>1503010</v>
      </c>
      <c r="C301" s="41"/>
      <c r="D301" s="42" t="s">
        <v>109</v>
      </c>
      <c r="E301" s="43"/>
      <c r="F301" s="44"/>
      <c r="G301" s="44"/>
      <c r="H301" s="45"/>
    </row>
    <row r="302" spans="1:8" x14ac:dyDescent="0.45">
      <c r="A302" s="22" t="s">
        <v>5087</v>
      </c>
      <c r="B302" s="33">
        <v>1503010</v>
      </c>
      <c r="C302" s="33">
        <v>3.1</v>
      </c>
      <c r="D302" s="36" t="s">
        <v>111</v>
      </c>
      <c r="E302" s="23">
        <v>12</v>
      </c>
      <c r="F302" s="115" t="s">
        <v>17</v>
      </c>
      <c r="G302" s="24"/>
      <c r="H302" s="24">
        <f t="shared" ref="H302" si="7">G302*E302</f>
        <v>0</v>
      </c>
    </row>
    <row r="303" spans="1:8" x14ac:dyDescent="0.45">
      <c r="A303" s="58"/>
      <c r="B303" s="59"/>
      <c r="C303" s="59"/>
      <c r="D303" s="60" t="s">
        <v>334</v>
      </c>
      <c r="E303" s="59"/>
      <c r="F303" s="59"/>
      <c r="G303" s="59"/>
      <c r="H303" s="62">
        <f>SUM(H286:H302)</f>
        <v>0</v>
      </c>
    </row>
    <row r="304" spans="1:8" x14ac:dyDescent="0.45">
      <c r="A304" s="96"/>
      <c r="B304" s="97"/>
      <c r="C304" s="97"/>
      <c r="D304" s="116"/>
      <c r="E304" s="97"/>
      <c r="F304" s="97"/>
      <c r="G304" s="97"/>
      <c r="H304" s="99"/>
    </row>
    <row r="305" spans="1:8" x14ac:dyDescent="0.45">
      <c r="A305" s="12" t="s">
        <v>1220</v>
      </c>
      <c r="B305" s="13"/>
      <c r="C305" s="13"/>
      <c r="D305" s="247" t="s">
        <v>5009</v>
      </c>
      <c r="E305" s="13"/>
      <c r="F305" s="13"/>
      <c r="G305" s="13"/>
      <c r="H305" s="102"/>
    </row>
    <row r="306" spans="1:8" x14ac:dyDescent="0.45">
      <c r="A306" s="40"/>
      <c r="B306" s="41">
        <v>1401000</v>
      </c>
      <c r="C306" s="41"/>
      <c r="D306" s="42" t="s">
        <v>336</v>
      </c>
      <c r="E306" s="43"/>
      <c r="F306" s="44"/>
      <c r="G306" s="44"/>
      <c r="H306" s="45"/>
    </row>
    <row r="307" spans="1:8" x14ac:dyDescent="0.45">
      <c r="A307" s="22" t="s">
        <v>1221</v>
      </c>
      <c r="B307" s="23">
        <v>1401000</v>
      </c>
      <c r="C307" s="23">
        <v>3.1</v>
      </c>
      <c r="D307" s="27" t="s">
        <v>338</v>
      </c>
      <c r="E307" s="26"/>
      <c r="F307" s="26"/>
      <c r="G307" s="26"/>
      <c r="H307" s="104"/>
    </row>
    <row r="308" spans="1:8" x14ac:dyDescent="0.45">
      <c r="A308" s="22" t="s">
        <v>1222</v>
      </c>
      <c r="B308" s="117">
        <v>1401000</v>
      </c>
      <c r="C308" s="117" t="s">
        <v>340</v>
      </c>
      <c r="D308" s="106" t="s">
        <v>22</v>
      </c>
      <c r="E308" s="118">
        <v>12</v>
      </c>
      <c r="F308" s="118" t="s">
        <v>17</v>
      </c>
      <c r="G308" s="24"/>
      <c r="H308" s="24">
        <f>G308*E308</f>
        <v>0</v>
      </c>
    </row>
    <row r="309" spans="1:8" x14ac:dyDescent="0.45">
      <c r="A309" s="22" t="s">
        <v>1223</v>
      </c>
      <c r="B309" s="117">
        <v>1401000</v>
      </c>
      <c r="C309" s="117" t="s">
        <v>342</v>
      </c>
      <c r="D309" s="106" t="s">
        <v>25</v>
      </c>
      <c r="E309" s="118">
        <v>12</v>
      </c>
      <c r="F309" s="118" t="s">
        <v>17</v>
      </c>
      <c r="G309" s="24"/>
      <c r="H309" s="24">
        <f>G309*E309</f>
        <v>0</v>
      </c>
    </row>
    <row r="310" spans="1:8" x14ac:dyDescent="0.45">
      <c r="A310" s="22" t="s">
        <v>1224</v>
      </c>
      <c r="B310" s="117">
        <v>1401000</v>
      </c>
      <c r="C310" s="117" t="s">
        <v>344</v>
      </c>
      <c r="D310" s="106" t="s">
        <v>28</v>
      </c>
      <c r="E310" s="118">
        <v>12</v>
      </c>
      <c r="F310" s="118" t="s">
        <v>17</v>
      </c>
      <c r="G310" s="24"/>
      <c r="H310" s="24">
        <f>G310*E310</f>
        <v>0</v>
      </c>
    </row>
    <row r="311" spans="1:8" x14ac:dyDescent="0.45">
      <c r="A311" s="22" t="s">
        <v>1225</v>
      </c>
      <c r="B311" s="117">
        <v>1401000</v>
      </c>
      <c r="C311" s="117" t="s">
        <v>24</v>
      </c>
      <c r="D311" s="106" t="s">
        <v>346</v>
      </c>
      <c r="E311" s="118">
        <v>12</v>
      </c>
      <c r="F311" s="118" t="s">
        <v>17</v>
      </c>
      <c r="G311" s="24"/>
      <c r="H311" s="24">
        <f>G311*E311</f>
        <v>0</v>
      </c>
    </row>
    <row r="312" spans="1:8" x14ac:dyDescent="0.45">
      <c r="A312" s="103"/>
      <c r="B312" s="41">
        <v>1502000</v>
      </c>
      <c r="C312" s="43"/>
      <c r="D312" s="42" t="s">
        <v>18</v>
      </c>
      <c r="E312" s="43"/>
      <c r="F312" s="44"/>
      <c r="G312" s="44"/>
      <c r="H312" s="45"/>
    </row>
    <row r="313" spans="1:8" x14ac:dyDescent="0.45">
      <c r="A313" s="25"/>
      <c r="B313" s="26"/>
      <c r="C313" s="26">
        <v>3.1</v>
      </c>
      <c r="D313" s="27" t="s">
        <v>31</v>
      </c>
      <c r="E313" s="28"/>
      <c r="F313" s="28"/>
      <c r="G313" s="28"/>
      <c r="H313" s="28"/>
    </row>
    <row r="314" spans="1:8" x14ac:dyDescent="0.45">
      <c r="A314" s="22" t="s">
        <v>1226</v>
      </c>
      <c r="B314" s="33">
        <v>1502000</v>
      </c>
      <c r="C314" s="33" t="s">
        <v>60</v>
      </c>
      <c r="D314" s="30" t="s">
        <v>61</v>
      </c>
      <c r="E314" s="118">
        <v>12</v>
      </c>
      <c r="F314" s="118" t="s">
        <v>17</v>
      </c>
      <c r="G314" s="24"/>
      <c r="H314" s="24">
        <f t="shared" ref="H314" si="8">G314*E314</f>
        <v>0</v>
      </c>
    </row>
    <row r="315" spans="1:8" x14ac:dyDescent="0.45">
      <c r="A315" s="25"/>
      <c r="B315" s="26"/>
      <c r="C315" s="26">
        <v>3.4</v>
      </c>
      <c r="D315" s="27" t="s">
        <v>62</v>
      </c>
      <c r="E315" s="26"/>
      <c r="F315" s="26"/>
      <c r="G315" s="28"/>
      <c r="H315" s="104"/>
    </row>
    <row r="316" spans="1:8" x14ac:dyDescent="0.45">
      <c r="A316" s="22" t="s">
        <v>1227</v>
      </c>
      <c r="B316" s="23">
        <v>1502000</v>
      </c>
      <c r="C316" s="23" t="s">
        <v>64</v>
      </c>
      <c r="D316" s="35" t="s">
        <v>65</v>
      </c>
      <c r="E316" s="118">
        <v>12</v>
      </c>
      <c r="F316" s="118" t="s">
        <v>17</v>
      </c>
      <c r="G316" s="24"/>
      <c r="H316" s="24">
        <f>G316*E316</f>
        <v>0</v>
      </c>
    </row>
    <row r="317" spans="1:8" x14ac:dyDescent="0.45">
      <c r="A317" s="22" t="s">
        <v>1228</v>
      </c>
      <c r="B317" s="23">
        <v>1502000</v>
      </c>
      <c r="C317" s="33" t="s">
        <v>70</v>
      </c>
      <c r="D317" s="36" t="s">
        <v>71</v>
      </c>
      <c r="E317" s="118">
        <v>12</v>
      </c>
      <c r="F317" s="118" t="s">
        <v>17</v>
      </c>
      <c r="G317" s="24"/>
      <c r="H317" s="24">
        <f>G317*E317</f>
        <v>0</v>
      </c>
    </row>
    <row r="318" spans="1:8" x14ac:dyDescent="0.45">
      <c r="A318" s="25"/>
      <c r="B318" s="26"/>
      <c r="C318" s="26">
        <v>3.6</v>
      </c>
      <c r="D318" s="27" t="s">
        <v>75</v>
      </c>
      <c r="E318" s="26"/>
      <c r="F318" s="26"/>
      <c r="G318" s="28"/>
      <c r="H318" s="104"/>
    </row>
    <row r="319" spans="1:8" x14ac:dyDescent="0.45">
      <c r="A319" s="22" t="s">
        <v>1229</v>
      </c>
      <c r="B319" s="23">
        <v>1502000</v>
      </c>
      <c r="C319" s="23" t="s">
        <v>80</v>
      </c>
      <c r="D319" s="30" t="s">
        <v>81</v>
      </c>
      <c r="E319" s="118">
        <v>12</v>
      </c>
      <c r="F319" s="118" t="s">
        <v>17</v>
      </c>
      <c r="G319" s="24"/>
      <c r="H319" s="24">
        <f t="shared" ref="H319:H320" si="9">G319*E319</f>
        <v>0</v>
      </c>
    </row>
    <row r="320" spans="1:8" x14ac:dyDescent="0.45">
      <c r="A320" s="22" t="s">
        <v>1230</v>
      </c>
      <c r="B320" s="23">
        <v>1502000</v>
      </c>
      <c r="C320" s="33" t="s">
        <v>86</v>
      </c>
      <c r="D320" s="39" t="s">
        <v>87</v>
      </c>
      <c r="E320" s="118">
        <v>12</v>
      </c>
      <c r="F320" s="118" t="s">
        <v>17</v>
      </c>
      <c r="G320" s="24"/>
      <c r="H320" s="24">
        <f t="shared" si="9"/>
        <v>0</v>
      </c>
    </row>
    <row r="321" spans="1:8" x14ac:dyDescent="0.45">
      <c r="A321" s="40"/>
      <c r="B321" s="41">
        <v>1503010</v>
      </c>
      <c r="C321" s="41"/>
      <c r="D321" s="42" t="s">
        <v>109</v>
      </c>
      <c r="E321" s="43"/>
      <c r="F321" s="44"/>
      <c r="G321" s="44"/>
      <c r="H321" s="45"/>
    </row>
    <row r="322" spans="1:8" x14ac:dyDescent="0.45">
      <c r="A322" s="22" t="s">
        <v>1231</v>
      </c>
      <c r="B322" s="33">
        <v>1503010</v>
      </c>
      <c r="C322" s="33">
        <v>3.1</v>
      </c>
      <c r="D322" s="36" t="s">
        <v>111</v>
      </c>
      <c r="E322" s="23">
        <v>12</v>
      </c>
      <c r="F322" s="23" t="s">
        <v>17</v>
      </c>
      <c r="G322" s="24"/>
      <c r="H322" s="24">
        <f>G322*E322</f>
        <v>0</v>
      </c>
    </row>
    <row r="323" spans="1:8" x14ac:dyDescent="0.45">
      <c r="A323" s="40"/>
      <c r="B323" s="43">
        <v>1503020</v>
      </c>
      <c r="C323" s="41"/>
      <c r="D323" s="42" t="s">
        <v>114</v>
      </c>
      <c r="E323" s="43"/>
      <c r="F323" s="44"/>
      <c r="G323" s="44"/>
      <c r="H323" s="45"/>
    </row>
    <row r="324" spans="1:8" s="254" customFormat="1" x14ac:dyDescent="0.45">
      <c r="A324" s="249" t="s">
        <v>1232</v>
      </c>
      <c r="B324" s="250">
        <v>1503020</v>
      </c>
      <c r="C324" s="250">
        <v>3.1</v>
      </c>
      <c r="D324" s="295" t="s">
        <v>116</v>
      </c>
      <c r="E324" s="252">
        <v>12</v>
      </c>
      <c r="F324" s="252" t="s">
        <v>17</v>
      </c>
      <c r="G324" s="253"/>
      <c r="H324" s="253">
        <f>G324*E324</f>
        <v>0</v>
      </c>
    </row>
    <row r="325" spans="1:8" s="254" customFormat="1" x14ac:dyDescent="0.45">
      <c r="A325" s="249" t="s">
        <v>1233</v>
      </c>
      <c r="B325" s="250">
        <v>1503020</v>
      </c>
      <c r="C325" s="250">
        <v>3.2</v>
      </c>
      <c r="D325" s="251" t="s">
        <v>118</v>
      </c>
      <c r="E325" s="252">
        <v>12</v>
      </c>
      <c r="F325" s="252" t="s">
        <v>17</v>
      </c>
      <c r="G325" s="253"/>
      <c r="H325" s="253">
        <f>G325*E325</f>
        <v>0</v>
      </c>
    </row>
    <row r="326" spans="1:8" s="300" customFormat="1" x14ac:dyDescent="0.45">
      <c r="A326" s="269" t="s">
        <v>1233</v>
      </c>
      <c r="B326" s="296">
        <v>1503020</v>
      </c>
      <c r="C326" s="296" t="s">
        <v>158</v>
      </c>
      <c r="D326" s="297" t="s">
        <v>5015</v>
      </c>
      <c r="E326" s="298">
        <v>12</v>
      </c>
      <c r="F326" s="298" t="s">
        <v>17</v>
      </c>
      <c r="G326" s="299"/>
      <c r="H326" s="299">
        <f>G326*E326</f>
        <v>0</v>
      </c>
    </row>
    <row r="327" spans="1:8" s="140" customFormat="1" x14ac:dyDescent="0.45">
      <c r="A327" s="249" t="s">
        <v>1234</v>
      </c>
      <c r="B327" s="52">
        <v>1503020</v>
      </c>
      <c r="C327" s="52">
        <v>3.3</v>
      </c>
      <c r="D327" s="36" t="s">
        <v>120</v>
      </c>
      <c r="E327" s="255">
        <v>12</v>
      </c>
      <c r="F327" s="255" t="s">
        <v>17</v>
      </c>
      <c r="G327" s="256"/>
      <c r="H327" s="256">
        <f>G327*E327</f>
        <v>0</v>
      </c>
    </row>
    <row r="328" spans="1:8" x14ac:dyDescent="0.45">
      <c r="A328" s="40"/>
      <c r="B328" s="43">
        <v>1503030</v>
      </c>
      <c r="C328" s="41"/>
      <c r="D328" s="42" t="s">
        <v>121</v>
      </c>
      <c r="E328" s="43"/>
      <c r="F328" s="44"/>
      <c r="G328" s="44"/>
      <c r="H328" s="45"/>
    </row>
    <row r="329" spans="1:8" x14ac:dyDescent="0.45">
      <c r="A329" s="22" t="s">
        <v>5132</v>
      </c>
      <c r="B329" s="33">
        <v>1503030</v>
      </c>
      <c r="C329" s="33" t="s">
        <v>123</v>
      </c>
      <c r="D329" s="36" t="s">
        <v>124</v>
      </c>
      <c r="E329" s="23">
        <v>12</v>
      </c>
      <c r="F329" s="23" t="s">
        <v>17</v>
      </c>
      <c r="G329" s="24"/>
      <c r="H329" s="24">
        <f>G329*E329</f>
        <v>0</v>
      </c>
    </row>
    <row r="330" spans="1:8" x14ac:dyDescent="0.45">
      <c r="A330" s="40"/>
      <c r="B330" s="41">
        <v>1503050</v>
      </c>
      <c r="C330" s="41"/>
      <c r="D330" s="42" t="s">
        <v>127</v>
      </c>
      <c r="E330" s="43"/>
      <c r="F330" s="44"/>
      <c r="G330" s="44"/>
      <c r="H330" s="45"/>
    </row>
    <row r="331" spans="1:8" x14ac:dyDescent="0.45">
      <c r="A331" s="22" t="s">
        <v>5133</v>
      </c>
      <c r="B331" s="23">
        <v>1503050</v>
      </c>
      <c r="C331" s="23">
        <v>3.1</v>
      </c>
      <c r="D331" s="106" t="s">
        <v>129</v>
      </c>
      <c r="E331" s="23">
        <v>12</v>
      </c>
      <c r="F331" s="23" t="s">
        <v>17</v>
      </c>
      <c r="G331" s="24"/>
      <c r="H331" s="24">
        <f>G331*E331</f>
        <v>0</v>
      </c>
    </row>
    <row r="332" spans="1:8" x14ac:dyDescent="0.45">
      <c r="A332" s="40"/>
      <c r="B332" s="41">
        <v>1503060</v>
      </c>
      <c r="C332" s="41"/>
      <c r="D332" s="42" t="s">
        <v>138</v>
      </c>
      <c r="E332" s="43"/>
      <c r="F332" s="44"/>
      <c r="G332" s="44"/>
      <c r="H332" s="45"/>
    </row>
    <row r="333" spans="1:8" s="362" customFormat="1" x14ac:dyDescent="0.45">
      <c r="A333" s="249" t="s">
        <v>5040</v>
      </c>
      <c r="B333" s="23">
        <v>1503060</v>
      </c>
      <c r="C333" s="286" t="s">
        <v>5013</v>
      </c>
      <c r="D333" s="180" t="s">
        <v>5012</v>
      </c>
      <c r="E333" s="23">
        <v>12</v>
      </c>
      <c r="F333" s="23" t="s">
        <v>17</v>
      </c>
      <c r="G333" s="24"/>
      <c r="H333" s="24">
        <f>G333*E333</f>
        <v>0</v>
      </c>
    </row>
    <row r="334" spans="1:8" x14ac:dyDescent="0.45">
      <c r="A334" s="58"/>
      <c r="B334" s="59"/>
      <c r="C334" s="59"/>
      <c r="D334" s="248" t="s">
        <v>5010</v>
      </c>
      <c r="E334" s="59"/>
      <c r="F334" s="59"/>
      <c r="G334" s="59"/>
      <c r="H334" s="62">
        <f>SUM(H308:H333)</f>
        <v>0</v>
      </c>
    </row>
    <row r="335" spans="1:8" x14ac:dyDescent="0.45">
      <c r="A335" s="121"/>
      <c r="B335" s="122"/>
      <c r="C335" s="122"/>
      <c r="D335" s="123"/>
      <c r="E335" s="122"/>
      <c r="F335" s="124"/>
      <c r="G335" s="124"/>
      <c r="H335" s="110"/>
    </row>
    <row r="336" spans="1:8" x14ac:dyDescent="0.45">
      <c r="A336" s="12" t="s">
        <v>1235</v>
      </c>
      <c r="B336" s="13"/>
      <c r="C336" s="13"/>
      <c r="D336" s="12" t="s">
        <v>360</v>
      </c>
      <c r="E336" s="100"/>
      <c r="F336" s="101"/>
      <c r="G336" s="101"/>
      <c r="H336" s="102"/>
    </row>
    <row r="337" spans="1:8" x14ac:dyDescent="0.45">
      <c r="A337" s="40"/>
      <c r="B337" s="41">
        <v>1402000</v>
      </c>
      <c r="C337" s="41">
        <v>3</v>
      </c>
      <c r="D337" s="42" t="s">
        <v>124</v>
      </c>
      <c r="E337" s="43"/>
      <c r="F337" s="44"/>
      <c r="G337" s="44"/>
      <c r="H337" s="45"/>
    </row>
    <row r="338" spans="1:8" x14ac:dyDescent="0.45">
      <c r="A338" s="22" t="s">
        <v>1236</v>
      </c>
      <c r="B338" s="23">
        <v>1402000</v>
      </c>
      <c r="C338" s="23">
        <v>3.1</v>
      </c>
      <c r="D338" s="106" t="s">
        <v>362</v>
      </c>
      <c r="E338" s="23">
        <v>12</v>
      </c>
      <c r="F338" s="23" t="s">
        <v>17</v>
      </c>
      <c r="G338" s="24"/>
      <c r="H338" s="24">
        <f>G338*E338</f>
        <v>0</v>
      </c>
    </row>
    <row r="339" spans="1:8" s="362" customFormat="1" x14ac:dyDescent="0.45">
      <c r="A339" s="258" t="s">
        <v>1237</v>
      </c>
      <c r="B339" s="261">
        <v>1402000</v>
      </c>
      <c r="C339" s="26">
        <v>3.2</v>
      </c>
      <c r="D339" s="27" t="s">
        <v>364</v>
      </c>
      <c r="E339" s="28"/>
      <c r="F339" s="28"/>
      <c r="G339" s="28"/>
      <c r="H339" s="28"/>
    </row>
    <row r="340" spans="1:8" s="293" customFormat="1" x14ac:dyDescent="0.45">
      <c r="A340" s="257" t="s">
        <v>1237</v>
      </c>
      <c r="B340" s="286">
        <v>1402000</v>
      </c>
      <c r="C340" s="286">
        <v>3.2</v>
      </c>
      <c r="D340" s="180" t="s">
        <v>5027</v>
      </c>
      <c r="E340" s="286">
        <v>150</v>
      </c>
      <c r="F340" s="286" t="s">
        <v>472</v>
      </c>
      <c r="G340" s="302"/>
      <c r="H340" s="302">
        <f t="shared" ref="H340:H343" si="10">G340*E340</f>
        <v>0</v>
      </c>
    </row>
    <row r="341" spans="1:8" s="362" customFormat="1" x14ac:dyDescent="0.45">
      <c r="A341" s="257" t="s">
        <v>1238</v>
      </c>
      <c r="B341" s="286">
        <v>1402000</v>
      </c>
      <c r="C341" s="286">
        <v>3.2</v>
      </c>
      <c r="D341" s="180" t="s">
        <v>5028</v>
      </c>
      <c r="E341" s="286">
        <v>200</v>
      </c>
      <c r="F341" s="286" t="s">
        <v>472</v>
      </c>
      <c r="G341" s="302"/>
      <c r="H341" s="302">
        <f t="shared" si="10"/>
        <v>0</v>
      </c>
    </row>
    <row r="342" spans="1:8" s="362" customFormat="1" x14ac:dyDescent="0.45">
      <c r="A342" s="257" t="s">
        <v>5041</v>
      </c>
      <c r="B342" s="286">
        <v>1402000</v>
      </c>
      <c r="C342" s="286">
        <v>3.2</v>
      </c>
      <c r="D342" s="180" t="s">
        <v>5029</v>
      </c>
      <c r="E342" s="286">
        <v>150</v>
      </c>
      <c r="F342" s="286" t="s">
        <v>472</v>
      </c>
      <c r="G342" s="302"/>
      <c r="H342" s="302">
        <f t="shared" si="10"/>
        <v>0</v>
      </c>
    </row>
    <row r="343" spans="1:8" s="362" customFormat="1" x14ac:dyDescent="0.45">
      <c r="A343" s="257" t="s">
        <v>5042</v>
      </c>
      <c r="B343" s="286">
        <v>1402000</v>
      </c>
      <c r="C343" s="286">
        <v>3.2</v>
      </c>
      <c r="D343" s="180" t="s">
        <v>5030</v>
      </c>
      <c r="E343" s="286">
        <v>200</v>
      </c>
      <c r="F343" s="286" t="s">
        <v>472</v>
      </c>
      <c r="G343" s="302"/>
      <c r="H343" s="302">
        <f t="shared" si="10"/>
        <v>0</v>
      </c>
    </row>
    <row r="344" spans="1:8" x14ac:dyDescent="0.45">
      <c r="A344" s="22" t="s">
        <v>5313</v>
      </c>
      <c r="B344" s="23">
        <v>1402000</v>
      </c>
      <c r="C344" s="23">
        <v>3.3</v>
      </c>
      <c r="D344" s="106" t="s">
        <v>366</v>
      </c>
      <c r="E344" s="23">
        <v>12</v>
      </c>
      <c r="F344" s="23" t="s">
        <v>17</v>
      </c>
      <c r="G344" s="24"/>
      <c r="H344" s="24">
        <f>G344*E344</f>
        <v>0</v>
      </c>
    </row>
    <row r="345" spans="1:8" x14ac:dyDescent="0.45">
      <c r="A345" s="58"/>
      <c r="B345" s="59"/>
      <c r="C345" s="59"/>
      <c r="D345" s="60" t="s">
        <v>367</v>
      </c>
      <c r="E345" s="59"/>
      <c r="F345" s="59"/>
      <c r="G345" s="59"/>
      <c r="H345" s="62">
        <f>SUM(H338:H344)</f>
        <v>0</v>
      </c>
    </row>
    <row r="346" spans="1:8" x14ac:dyDescent="0.45">
      <c r="A346" s="121"/>
      <c r="B346" s="122"/>
      <c r="C346" s="122"/>
      <c r="D346" s="123"/>
      <c r="E346" s="122"/>
      <c r="F346" s="124"/>
      <c r="G346" s="124"/>
      <c r="H346" s="110"/>
    </row>
    <row r="347" spans="1:8" x14ac:dyDescent="0.45">
      <c r="A347" s="12" t="s">
        <v>1239</v>
      </c>
      <c r="B347" s="13"/>
      <c r="C347" s="13"/>
      <c r="D347" s="12" t="s">
        <v>369</v>
      </c>
      <c r="E347" s="100"/>
      <c r="F347" s="101"/>
      <c r="G347" s="101"/>
      <c r="H347" s="102"/>
    </row>
    <row r="348" spans="1:8" x14ac:dyDescent="0.45">
      <c r="A348" s="103"/>
      <c r="B348" s="41">
        <v>1502000</v>
      </c>
      <c r="C348" s="43"/>
      <c r="D348" s="42" t="s">
        <v>18</v>
      </c>
      <c r="E348" s="43"/>
      <c r="F348" s="44"/>
      <c r="G348" s="44"/>
      <c r="H348" s="45"/>
    </row>
    <row r="349" spans="1:8" x14ac:dyDescent="0.45">
      <c r="A349" s="27"/>
      <c r="B349" s="26"/>
      <c r="C349" s="26">
        <v>3.1</v>
      </c>
      <c r="D349" s="27" t="s">
        <v>19</v>
      </c>
      <c r="E349" s="26"/>
      <c r="F349" s="26"/>
      <c r="G349" s="26"/>
      <c r="H349" s="104"/>
    </row>
    <row r="350" spans="1:8" x14ac:dyDescent="0.45">
      <c r="A350" s="22" t="s">
        <v>1240</v>
      </c>
      <c r="B350" s="23">
        <v>1502000</v>
      </c>
      <c r="C350" s="23" t="s">
        <v>21</v>
      </c>
      <c r="D350" s="29" t="s">
        <v>22</v>
      </c>
      <c r="E350" s="23">
        <v>12</v>
      </c>
      <c r="F350" s="23" t="s">
        <v>17</v>
      </c>
      <c r="G350" s="24"/>
      <c r="H350" s="24">
        <f>G350*E350</f>
        <v>0</v>
      </c>
    </row>
    <row r="351" spans="1:8" x14ac:dyDescent="0.45">
      <c r="A351" s="22" t="s">
        <v>1241</v>
      </c>
      <c r="B351" s="23">
        <v>1502000</v>
      </c>
      <c r="C351" s="23" t="s">
        <v>24</v>
      </c>
      <c r="D351" s="29" t="s">
        <v>25</v>
      </c>
      <c r="E351" s="23">
        <v>12</v>
      </c>
      <c r="F351" s="23" t="s">
        <v>17</v>
      </c>
      <c r="G351" s="24"/>
      <c r="H351" s="24">
        <f>G351*E351</f>
        <v>0</v>
      </c>
    </row>
    <row r="352" spans="1:8" x14ac:dyDescent="0.45">
      <c r="A352" s="22" t="s">
        <v>1242</v>
      </c>
      <c r="B352" s="23">
        <v>1502000</v>
      </c>
      <c r="C352" s="23" t="s">
        <v>27</v>
      </c>
      <c r="D352" s="29" t="s">
        <v>28</v>
      </c>
      <c r="E352" s="23">
        <v>12</v>
      </c>
      <c r="F352" s="23" t="s">
        <v>17</v>
      </c>
      <c r="G352" s="24"/>
      <c r="H352" s="24">
        <f>G352*E352</f>
        <v>0</v>
      </c>
    </row>
    <row r="353" spans="1:8" x14ac:dyDescent="0.45">
      <c r="A353" s="25"/>
      <c r="B353" s="26"/>
      <c r="C353" s="26">
        <v>3.1</v>
      </c>
      <c r="D353" s="27" t="s">
        <v>31</v>
      </c>
      <c r="E353" s="28"/>
      <c r="F353" s="28"/>
      <c r="G353" s="28"/>
      <c r="H353" s="28"/>
    </row>
    <row r="354" spans="1:8" x14ac:dyDescent="0.45">
      <c r="A354" s="22" t="s">
        <v>1243</v>
      </c>
      <c r="B354" s="23">
        <v>1502000</v>
      </c>
      <c r="C354" s="23" t="s">
        <v>222</v>
      </c>
      <c r="D354" s="29" t="s">
        <v>223</v>
      </c>
      <c r="E354" s="23">
        <v>12</v>
      </c>
      <c r="F354" s="23" t="s">
        <v>17</v>
      </c>
      <c r="G354" s="24"/>
      <c r="H354" s="24">
        <f t="shared" ref="H354:H366" si="11">G354*E354</f>
        <v>0</v>
      </c>
    </row>
    <row r="355" spans="1:8" x14ac:dyDescent="0.45">
      <c r="A355" s="22" t="s">
        <v>1244</v>
      </c>
      <c r="B355" s="23">
        <v>1502000</v>
      </c>
      <c r="C355" s="23" t="s">
        <v>33</v>
      </c>
      <c r="D355" s="29" t="s">
        <v>34</v>
      </c>
      <c r="E355" s="23">
        <v>12</v>
      </c>
      <c r="F355" s="23" t="s">
        <v>17</v>
      </c>
      <c r="G355" s="24"/>
      <c r="H355" s="24">
        <f t="shared" si="11"/>
        <v>0</v>
      </c>
    </row>
    <row r="356" spans="1:8" x14ac:dyDescent="0.45">
      <c r="A356" s="22" t="s">
        <v>1245</v>
      </c>
      <c r="B356" s="23">
        <v>1502000</v>
      </c>
      <c r="C356" s="23" t="s">
        <v>227</v>
      </c>
      <c r="D356" s="29" t="s">
        <v>228</v>
      </c>
      <c r="E356" s="23">
        <v>12</v>
      </c>
      <c r="F356" s="23" t="s">
        <v>17</v>
      </c>
      <c r="G356" s="24"/>
      <c r="H356" s="24">
        <f t="shared" si="11"/>
        <v>0</v>
      </c>
    </row>
    <row r="357" spans="1:8" x14ac:dyDescent="0.45">
      <c r="A357" s="22" t="s">
        <v>1246</v>
      </c>
      <c r="B357" s="23">
        <v>1502000</v>
      </c>
      <c r="C357" s="23" t="s">
        <v>39</v>
      </c>
      <c r="D357" s="29" t="s">
        <v>230</v>
      </c>
      <c r="E357" s="23">
        <v>12</v>
      </c>
      <c r="F357" s="23" t="s">
        <v>17</v>
      </c>
      <c r="G357" s="24"/>
      <c r="H357" s="24">
        <f t="shared" si="11"/>
        <v>0</v>
      </c>
    </row>
    <row r="358" spans="1:8" x14ac:dyDescent="0.45">
      <c r="A358" s="22" t="s">
        <v>1247</v>
      </c>
      <c r="B358" s="23">
        <v>1502000</v>
      </c>
      <c r="C358" s="23" t="s">
        <v>232</v>
      </c>
      <c r="D358" s="29" t="s">
        <v>233</v>
      </c>
      <c r="E358" s="23">
        <v>12</v>
      </c>
      <c r="F358" s="23" t="s">
        <v>17</v>
      </c>
      <c r="G358" s="24"/>
      <c r="H358" s="24">
        <f t="shared" si="11"/>
        <v>0</v>
      </c>
    </row>
    <row r="359" spans="1:8" x14ac:dyDescent="0.45">
      <c r="A359" s="22" t="s">
        <v>1248</v>
      </c>
      <c r="B359" s="23">
        <v>1502000</v>
      </c>
      <c r="C359" s="23" t="s">
        <v>250</v>
      </c>
      <c r="D359" s="29" t="s">
        <v>379</v>
      </c>
      <c r="E359" s="23">
        <v>12</v>
      </c>
      <c r="F359" s="23" t="s">
        <v>17</v>
      </c>
      <c r="G359" s="24"/>
      <c r="H359" s="24">
        <f t="shared" si="11"/>
        <v>0</v>
      </c>
    </row>
    <row r="360" spans="1:8" x14ac:dyDescent="0.45">
      <c r="A360" s="22" t="s">
        <v>1249</v>
      </c>
      <c r="B360" s="23">
        <v>1502000</v>
      </c>
      <c r="C360" s="23" t="s">
        <v>45</v>
      </c>
      <c r="D360" s="29" t="s">
        <v>46</v>
      </c>
      <c r="E360" s="23">
        <v>12</v>
      </c>
      <c r="F360" s="23" t="s">
        <v>17</v>
      </c>
      <c r="G360" s="24"/>
      <c r="H360" s="24">
        <f t="shared" si="11"/>
        <v>0</v>
      </c>
    </row>
    <row r="361" spans="1:8" x14ac:dyDescent="0.45">
      <c r="A361" s="22" t="s">
        <v>1250</v>
      </c>
      <c r="B361" s="23">
        <v>1502000</v>
      </c>
      <c r="C361" s="23" t="s">
        <v>48</v>
      </c>
      <c r="D361" s="29" t="s">
        <v>257</v>
      </c>
      <c r="E361" s="23">
        <v>12</v>
      </c>
      <c r="F361" s="23" t="s">
        <v>17</v>
      </c>
      <c r="G361" s="24"/>
      <c r="H361" s="24">
        <f t="shared" si="11"/>
        <v>0</v>
      </c>
    </row>
    <row r="362" spans="1:8" x14ac:dyDescent="0.45">
      <c r="A362" s="22" t="s">
        <v>1251</v>
      </c>
      <c r="B362" s="23">
        <v>1502000</v>
      </c>
      <c r="C362" s="23" t="s">
        <v>51</v>
      </c>
      <c r="D362" s="29" t="s">
        <v>383</v>
      </c>
      <c r="E362" s="23">
        <v>12</v>
      </c>
      <c r="F362" s="23" t="s">
        <v>17</v>
      </c>
      <c r="G362" s="24"/>
      <c r="H362" s="24">
        <f t="shared" si="11"/>
        <v>0</v>
      </c>
    </row>
    <row r="363" spans="1:8" x14ac:dyDescent="0.45">
      <c r="A363" s="22" t="s">
        <v>1252</v>
      </c>
      <c r="B363" s="23">
        <v>1502000</v>
      </c>
      <c r="C363" s="23" t="s">
        <v>54</v>
      </c>
      <c r="D363" s="29" t="s">
        <v>55</v>
      </c>
      <c r="E363" s="23">
        <v>12</v>
      </c>
      <c r="F363" s="23" t="s">
        <v>17</v>
      </c>
      <c r="G363" s="24"/>
      <c r="H363" s="24">
        <f t="shared" si="11"/>
        <v>0</v>
      </c>
    </row>
    <row r="364" spans="1:8" x14ac:dyDescent="0.45">
      <c r="A364" s="22" t="s">
        <v>1253</v>
      </c>
      <c r="B364" s="23">
        <v>1502000</v>
      </c>
      <c r="C364" s="23" t="s">
        <v>260</v>
      </c>
      <c r="D364" s="29" t="s">
        <v>386</v>
      </c>
      <c r="E364" s="23">
        <v>12</v>
      </c>
      <c r="F364" s="23" t="s">
        <v>17</v>
      </c>
      <c r="G364" s="24"/>
      <c r="H364" s="24">
        <f t="shared" si="11"/>
        <v>0</v>
      </c>
    </row>
    <row r="365" spans="1:8" x14ac:dyDescent="0.45">
      <c r="A365" s="22" t="s">
        <v>1254</v>
      </c>
      <c r="B365" s="23">
        <v>1502000</v>
      </c>
      <c r="C365" s="23" t="s">
        <v>332</v>
      </c>
      <c r="D365" s="29" t="s">
        <v>388</v>
      </c>
      <c r="E365" s="23">
        <v>12</v>
      </c>
      <c r="F365" s="23" t="s">
        <v>17</v>
      </c>
      <c r="G365" s="24"/>
      <c r="H365" s="24">
        <f t="shared" si="11"/>
        <v>0</v>
      </c>
    </row>
    <row r="366" spans="1:8" x14ac:dyDescent="0.45">
      <c r="A366" s="22" t="s">
        <v>1255</v>
      </c>
      <c r="B366" s="23">
        <v>1502000</v>
      </c>
      <c r="C366" s="23" t="s">
        <v>390</v>
      </c>
      <c r="D366" s="29" t="s">
        <v>391</v>
      </c>
      <c r="E366" s="23">
        <v>12</v>
      </c>
      <c r="F366" s="23" t="s">
        <v>17</v>
      </c>
      <c r="G366" s="24"/>
      <c r="H366" s="24">
        <f t="shared" si="11"/>
        <v>0</v>
      </c>
    </row>
    <row r="367" spans="1:8" x14ac:dyDescent="0.45">
      <c r="A367" s="25"/>
      <c r="B367" s="26">
        <v>1502000</v>
      </c>
      <c r="C367" s="26">
        <v>3.4</v>
      </c>
      <c r="D367" s="27" t="s">
        <v>62</v>
      </c>
      <c r="E367" s="26"/>
      <c r="F367" s="26"/>
      <c r="G367" s="28"/>
      <c r="H367" s="104"/>
    </row>
    <row r="368" spans="1:8" x14ac:dyDescent="0.45">
      <c r="A368" s="22" t="s">
        <v>1256</v>
      </c>
      <c r="B368" s="23">
        <v>1502000</v>
      </c>
      <c r="C368" s="23" t="s">
        <v>64</v>
      </c>
      <c r="D368" s="106" t="s">
        <v>65</v>
      </c>
      <c r="E368" s="23">
        <v>12</v>
      </c>
      <c r="F368" s="23" t="s">
        <v>17</v>
      </c>
      <c r="G368" s="24"/>
      <c r="H368" s="24">
        <f>G368*E368</f>
        <v>0</v>
      </c>
    </row>
    <row r="369" spans="1:8" x14ac:dyDescent="0.45">
      <c r="A369" s="22" t="s">
        <v>1257</v>
      </c>
      <c r="B369" s="23">
        <v>1502000</v>
      </c>
      <c r="C369" s="23" t="s">
        <v>67</v>
      </c>
      <c r="D369" s="120" t="s">
        <v>68</v>
      </c>
      <c r="E369" s="23">
        <v>12</v>
      </c>
      <c r="F369" s="23" t="s">
        <v>17</v>
      </c>
      <c r="G369" s="24"/>
      <c r="H369" s="24">
        <f>G369*E369</f>
        <v>0</v>
      </c>
    </row>
    <row r="370" spans="1:8" x14ac:dyDescent="0.45">
      <c r="A370" s="22" t="s">
        <v>1258</v>
      </c>
      <c r="B370" s="23">
        <v>1502000</v>
      </c>
      <c r="C370" s="23" t="s">
        <v>70</v>
      </c>
      <c r="D370" s="106" t="s">
        <v>71</v>
      </c>
      <c r="E370" s="23">
        <v>12</v>
      </c>
      <c r="F370" s="23" t="s">
        <v>17</v>
      </c>
      <c r="G370" s="24"/>
      <c r="H370" s="24">
        <f>G370*E370</f>
        <v>0</v>
      </c>
    </row>
    <row r="371" spans="1:8" x14ac:dyDescent="0.45">
      <c r="A371" s="25"/>
      <c r="B371" s="26"/>
      <c r="C371" s="26">
        <v>3.5</v>
      </c>
      <c r="D371" s="27" t="s">
        <v>72</v>
      </c>
      <c r="E371" s="28"/>
      <c r="F371" s="28"/>
      <c r="G371" s="28"/>
      <c r="H371" s="28"/>
    </row>
    <row r="372" spans="1:8" x14ac:dyDescent="0.45">
      <c r="A372" s="22" t="s">
        <v>1259</v>
      </c>
      <c r="B372" s="23">
        <v>1502000</v>
      </c>
      <c r="C372" s="301" t="s">
        <v>5021</v>
      </c>
      <c r="D372" s="36" t="s">
        <v>71</v>
      </c>
      <c r="E372" s="23">
        <v>12</v>
      </c>
      <c r="F372" s="23" t="s">
        <v>17</v>
      </c>
      <c r="G372" s="24"/>
      <c r="H372" s="24">
        <f>G372*E372</f>
        <v>0</v>
      </c>
    </row>
    <row r="373" spans="1:8" x14ac:dyDescent="0.45">
      <c r="A373" s="27"/>
      <c r="B373" s="125"/>
      <c r="C373" s="125"/>
      <c r="D373" s="27" t="s">
        <v>75</v>
      </c>
      <c r="E373" s="26"/>
      <c r="F373" s="26"/>
      <c r="G373" s="28"/>
      <c r="H373" s="104"/>
    </row>
    <row r="374" spans="1:8" x14ac:dyDescent="0.45">
      <c r="A374" s="22" t="s">
        <v>1260</v>
      </c>
      <c r="B374" s="23">
        <v>1502000</v>
      </c>
      <c r="C374" s="23" t="s">
        <v>80</v>
      </c>
      <c r="D374" s="30" t="s">
        <v>81</v>
      </c>
      <c r="E374" s="23">
        <v>12</v>
      </c>
      <c r="F374" s="23" t="s">
        <v>17</v>
      </c>
      <c r="G374" s="24"/>
      <c r="H374" s="24">
        <f t="shared" ref="H374:H375" si="12">G374*E374</f>
        <v>0</v>
      </c>
    </row>
    <row r="375" spans="1:8" x14ac:dyDescent="0.45">
      <c r="A375" s="22" t="s">
        <v>1261</v>
      </c>
      <c r="B375" s="23">
        <v>1502000</v>
      </c>
      <c r="C375" s="23" t="s">
        <v>83</v>
      </c>
      <c r="D375" s="30" t="s">
        <v>84</v>
      </c>
      <c r="E375" s="23">
        <v>12</v>
      </c>
      <c r="F375" s="23" t="s">
        <v>17</v>
      </c>
      <c r="G375" s="24"/>
      <c r="H375" s="24">
        <f t="shared" si="12"/>
        <v>0</v>
      </c>
    </row>
    <row r="376" spans="1:8" x14ac:dyDescent="0.45">
      <c r="A376" s="22" t="s">
        <v>1262</v>
      </c>
      <c r="B376" s="23">
        <v>1502000</v>
      </c>
      <c r="C376" s="23" t="s">
        <v>86</v>
      </c>
      <c r="D376" s="106" t="s">
        <v>87</v>
      </c>
      <c r="E376" s="23">
        <v>12</v>
      </c>
      <c r="F376" s="23" t="s">
        <v>17</v>
      </c>
      <c r="G376" s="24"/>
      <c r="H376" s="24">
        <f>G376*E376</f>
        <v>0</v>
      </c>
    </row>
    <row r="377" spans="1:8" x14ac:dyDescent="0.45">
      <c r="A377" s="22" t="s">
        <v>1263</v>
      </c>
      <c r="B377" s="23">
        <v>1502000</v>
      </c>
      <c r="C377" s="23" t="s">
        <v>400</v>
      </c>
      <c r="D377" s="106" t="s">
        <v>401</v>
      </c>
      <c r="E377" s="23">
        <v>12</v>
      </c>
      <c r="F377" s="23" t="s">
        <v>17</v>
      </c>
      <c r="G377" s="24"/>
      <c r="H377" s="24">
        <f>G377*E377</f>
        <v>0</v>
      </c>
    </row>
    <row r="378" spans="1:8" x14ac:dyDescent="0.45">
      <c r="A378" s="22" t="s">
        <v>1264</v>
      </c>
      <c r="B378" s="23">
        <v>1502000</v>
      </c>
      <c r="C378" s="286" t="s">
        <v>5037</v>
      </c>
      <c r="D378" s="22" t="s">
        <v>108</v>
      </c>
      <c r="E378" s="33">
        <v>12</v>
      </c>
      <c r="F378" s="23" t="s">
        <v>17</v>
      </c>
      <c r="G378" s="24"/>
      <c r="H378" s="24">
        <f t="shared" ref="H378" si="13">G378*E378</f>
        <v>0</v>
      </c>
    </row>
    <row r="379" spans="1:8" x14ac:dyDescent="0.45">
      <c r="A379" s="22" t="s">
        <v>1265</v>
      </c>
      <c r="B379" s="23">
        <v>1502000</v>
      </c>
      <c r="C379" s="23" t="s">
        <v>107</v>
      </c>
      <c r="D379" s="126" t="s">
        <v>277</v>
      </c>
      <c r="E379" s="23">
        <v>12</v>
      </c>
      <c r="F379" s="23" t="s">
        <v>17</v>
      </c>
      <c r="G379" s="24"/>
      <c r="H379" s="24">
        <f>G379*E379</f>
        <v>0</v>
      </c>
    </row>
    <row r="380" spans="1:8" x14ac:dyDescent="0.45">
      <c r="A380" s="40"/>
      <c r="B380" s="41">
        <v>1503010</v>
      </c>
      <c r="C380" s="41"/>
      <c r="D380" s="42" t="s">
        <v>109</v>
      </c>
      <c r="E380" s="43"/>
      <c r="F380" s="44"/>
      <c r="G380" s="44"/>
      <c r="H380" s="45"/>
    </row>
    <row r="381" spans="1:8" x14ac:dyDescent="0.45">
      <c r="A381" s="22" t="s">
        <v>1266</v>
      </c>
      <c r="B381" s="33">
        <v>1503010</v>
      </c>
      <c r="C381" s="33">
        <v>3.1</v>
      </c>
      <c r="D381" s="36" t="s">
        <v>111</v>
      </c>
      <c r="E381" s="23">
        <v>12</v>
      </c>
      <c r="F381" s="23" t="s">
        <v>17</v>
      </c>
      <c r="G381" s="24"/>
      <c r="H381" s="24">
        <f>G381*E381</f>
        <v>0</v>
      </c>
    </row>
    <row r="382" spans="1:8" x14ac:dyDescent="0.45">
      <c r="A382" s="40"/>
      <c r="B382" s="43">
        <v>1503020</v>
      </c>
      <c r="C382" s="41"/>
      <c r="D382" s="42" t="s">
        <v>114</v>
      </c>
      <c r="E382" s="43"/>
      <c r="F382" s="44"/>
      <c r="G382" s="44"/>
      <c r="H382" s="44"/>
    </row>
    <row r="383" spans="1:8" x14ac:dyDescent="0.45">
      <c r="A383" s="22" t="s">
        <v>1267</v>
      </c>
      <c r="B383" s="33">
        <v>1503020</v>
      </c>
      <c r="C383" s="23">
        <v>3.1</v>
      </c>
      <c r="D383" s="206" t="s">
        <v>406</v>
      </c>
      <c r="E383" s="23">
        <v>12</v>
      </c>
      <c r="F383" s="115" t="s">
        <v>17</v>
      </c>
      <c r="G383" s="24"/>
      <c r="H383" s="24">
        <f t="shared" ref="H383" si="14">G383*E383</f>
        <v>0</v>
      </c>
    </row>
    <row r="384" spans="1:8" x14ac:dyDescent="0.45">
      <c r="A384" s="22" t="s">
        <v>1268</v>
      </c>
      <c r="B384" s="33">
        <v>1503020</v>
      </c>
      <c r="C384" s="33">
        <v>3.2</v>
      </c>
      <c r="D384" s="36" t="s">
        <v>1269</v>
      </c>
      <c r="E384" s="23">
        <v>12</v>
      </c>
      <c r="F384" s="23" t="s">
        <v>17</v>
      </c>
      <c r="G384" s="24"/>
      <c r="H384" s="24">
        <f>G384*E384</f>
        <v>0</v>
      </c>
    </row>
    <row r="385" spans="1:8" x14ac:dyDescent="0.45">
      <c r="A385" s="22" t="s">
        <v>1270</v>
      </c>
      <c r="B385" s="33">
        <v>1503020</v>
      </c>
      <c r="C385" s="23">
        <v>3.3</v>
      </c>
      <c r="D385" s="106" t="s">
        <v>120</v>
      </c>
      <c r="E385" s="23">
        <v>12</v>
      </c>
      <c r="F385" s="23" t="s">
        <v>17</v>
      </c>
      <c r="G385" s="24"/>
      <c r="H385" s="24">
        <f>G385*E385</f>
        <v>0</v>
      </c>
    </row>
    <row r="386" spans="1:8" x14ac:dyDescent="0.45">
      <c r="A386" s="40"/>
      <c r="B386" s="43">
        <v>1503030</v>
      </c>
      <c r="C386" s="41"/>
      <c r="D386" s="42" t="s">
        <v>121</v>
      </c>
      <c r="E386" s="43"/>
      <c r="F386" s="44"/>
      <c r="G386" s="44"/>
      <c r="H386" s="45"/>
    </row>
    <row r="387" spans="1:8" x14ac:dyDescent="0.45">
      <c r="A387" s="22" t="s">
        <v>1271</v>
      </c>
      <c r="B387" s="33">
        <v>1503030</v>
      </c>
      <c r="C387" s="33" t="s">
        <v>123</v>
      </c>
      <c r="D387" s="36" t="s">
        <v>124</v>
      </c>
      <c r="E387" s="23">
        <v>12</v>
      </c>
      <c r="F387" s="23" t="s">
        <v>17</v>
      </c>
      <c r="G387" s="24"/>
      <c r="H387" s="24">
        <f>G387*E387</f>
        <v>0</v>
      </c>
    </row>
    <row r="388" spans="1:8" x14ac:dyDescent="0.45">
      <c r="A388" s="58"/>
      <c r="B388" s="59"/>
      <c r="C388" s="59"/>
      <c r="D388" s="60" t="s">
        <v>410</v>
      </c>
      <c r="E388" s="59"/>
      <c r="F388" s="59"/>
      <c r="G388" s="59"/>
      <c r="H388" s="62">
        <f>SUM(H350:H387)</f>
        <v>0</v>
      </c>
    </row>
    <row r="389" spans="1:8" x14ac:dyDescent="0.45">
      <c r="A389" s="121"/>
      <c r="B389" s="122"/>
      <c r="C389" s="122"/>
      <c r="D389" s="123"/>
      <c r="E389" s="122"/>
      <c r="F389" s="124"/>
      <c r="G389" s="124"/>
      <c r="H389" s="110"/>
    </row>
    <row r="390" spans="1:8" x14ac:dyDescent="0.45">
      <c r="A390" s="12" t="s">
        <v>1272</v>
      </c>
      <c r="B390" s="13"/>
      <c r="C390" s="13"/>
      <c r="D390" s="12" t="s">
        <v>412</v>
      </c>
      <c r="E390" s="13"/>
      <c r="F390" s="13"/>
      <c r="G390" s="101"/>
      <c r="H390" s="102"/>
    </row>
    <row r="391" spans="1:8" x14ac:dyDescent="0.45">
      <c r="A391" s="103"/>
      <c r="B391" s="41">
        <v>1502000</v>
      </c>
      <c r="C391" s="43"/>
      <c r="D391" s="42" t="s">
        <v>18</v>
      </c>
      <c r="E391" s="43"/>
      <c r="F391" s="44"/>
      <c r="G391" s="44"/>
      <c r="H391" s="45"/>
    </row>
    <row r="392" spans="1:8" x14ac:dyDescent="0.45">
      <c r="A392" s="25"/>
      <c r="B392" s="26">
        <v>1502000</v>
      </c>
      <c r="C392" s="26">
        <v>3.4</v>
      </c>
      <c r="D392" s="27" t="s">
        <v>62</v>
      </c>
      <c r="E392" s="26"/>
      <c r="F392" s="26"/>
      <c r="G392" s="26"/>
      <c r="H392" s="104"/>
    </row>
    <row r="393" spans="1:8" x14ac:dyDescent="0.45">
      <c r="A393" s="22" t="s">
        <v>1273</v>
      </c>
      <c r="B393" s="23">
        <v>1502000</v>
      </c>
      <c r="C393" s="23" t="s">
        <v>67</v>
      </c>
      <c r="D393" s="120" t="s">
        <v>68</v>
      </c>
      <c r="E393" s="23">
        <v>12</v>
      </c>
      <c r="F393" s="23" t="s">
        <v>17</v>
      </c>
      <c r="G393" s="24"/>
      <c r="H393" s="24">
        <f>G393*E393</f>
        <v>0</v>
      </c>
    </row>
    <row r="394" spans="1:8" x14ac:dyDescent="0.45">
      <c r="A394" s="40"/>
      <c r="B394" s="41">
        <v>1503010</v>
      </c>
      <c r="C394" s="41"/>
      <c r="D394" s="42" t="s">
        <v>109</v>
      </c>
      <c r="E394" s="43"/>
      <c r="F394" s="44"/>
      <c r="G394" s="44"/>
      <c r="H394" s="45"/>
    </row>
    <row r="395" spans="1:8" x14ac:dyDescent="0.45">
      <c r="A395" s="22" t="s">
        <v>1274</v>
      </c>
      <c r="B395" s="33">
        <v>1503010</v>
      </c>
      <c r="C395" s="33">
        <v>3.1</v>
      </c>
      <c r="D395" s="36" t="s">
        <v>111</v>
      </c>
      <c r="E395" s="23">
        <v>12</v>
      </c>
      <c r="F395" s="23" t="s">
        <v>17</v>
      </c>
      <c r="G395" s="24"/>
      <c r="H395" s="24">
        <f>G395*E395</f>
        <v>0</v>
      </c>
    </row>
    <row r="396" spans="1:8" x14ac:dyDescent="0.45">
      <c r="A396" s="58"/>
      <c r="B396" s="59"/>
      <c r="C396" s="59"/>
      <c r="D396" s="60" t="s">
        <v>415</v>
      </c>
      <c r="E396" s="59"/>
      <c r="F396" s="59"/>
      <c r="G396" s="59"/>
      <c r="H396" s="62">
        <f>SUM(H393:H395)</f>
        <v>0</v>
      </c>
    </row>
    <row r="397" spans="1:8" x14ac:dyDescent="0.45">
      <c r="A397" s="121"/>
      <c r="B397" s="122"/>
      <c r="C397" s="122"/>
      <c r="D397" s="123"/>
      <c r="E397" s="122"/>
      <c r="F397" s="124"/>
      <c r="G397" s="124"/>
      <c r="H397" s="110"/>
    </row>
    <row r="398" spans="1:8" x14ac:dyDescent="0.45">
      <c r="A398" s="12" t="s">
        <v>1275</v>
      </c>
      <c r="B398" s="13"/>
      <c r="C398" s="13"/>
      <c r="D398" s="12" t="s">
        <v>417</v>
      </c>
      <c r="E398" s="13"/>
      <c r="F398" s="13"/>
      <c r="G398" s="13"/>
      <c r="H398" s="102"/>
    </row>
    <row r="399" spans="1:8" x14ac:dyDescent="0.45">
      <c r="A399" s="103"/>
      <c r="B399" s="41">
        <v>1502000</v>
      </c>
      <c r="C399" s="43"/>
      <c r="D399" s="42" t="s">
        <v>18</v>
      </c>
      <c r="E399" s="43"/>
      <c r="F399" s="44"/>
      <c r="G399" s="44"/>
      <c r="H399" s="45"/>
    </row>
    <row r="400" spans="1:8" x14ac:dyDescent="0.45">
      <c r="A400" s="27"/>
      <c r="B400" s="26"/>
      <c r="C400" s="26">
        <v>3.1</v>
      </c>
      <c r="D400" s="27" t="s">
        <v>19</v>
      </c>
      <c r="E400" s="26"/>
      <c r="F400" s="26"/>
      <c r="G400" s="26"/>
      <c r="H400" s="104"/>
    </row>
    <row r="401" spans="1:8" x14ac:dyDescent="0.45">
      <c r="A401" s="22" t="s">
        <v>1276</v>
      </c>
      <c r="B401" s="23">
        <v>1502000</v>
      </c>
      <c r="C401" s="23" t="s">
        <v>21</v>
      </c>
      <c r="D401" s="29" t="s">
        <v>22</v>
      </c>
      <c r="E401" s="23">
        <v>12</v>
      </c>
      <c r="F401" s="23" t="s">
        <v>17</v>
      </c>
      <c r="G401" s="24"/>
      <c r="H401" s="24">
        <f>G401*E401</f>
        <v>0</v>
      </c>
    </row>
    <row r="402" spans="1:8" x14ac:dyDescent="0.45">
      <c r="A402" s="22" t="s">
        <v>1277</v>
      </c>
      <c r="B402" s="23">
        <v>1502000</v>
      </c>
      <c r="C402" s="23" t="s">
        <v>24</v>
      </c>
      <c r="D402" s="29" t="s">
        <v>25</v>
      </c>
      <c r="E402" s="23">
        <v>12</v>
      </c>
      <c r="F402" s="23" t="s">
        <v>17</v>
      </c>
      <c r="G402" s="24"/>
      <c r="H402" s="24">
        <f>G402*E402</f>
        <v>0</v>
      </c>
    </row>
    <row r="403" spans="1:8" x14ac:dyDescent="0.45">
      <c r="A403" s="22" t="s">
        <v>1278</v>
      </c>
      <c r="B403" s="23">
        <v>1502000</v>
      </c>
      <c r="C403" s="23" t="s">
        <v>27</v>
      </c>
      <c r="D403" s="29" t="s">
        <v>28</v>
      </c>
      <c r="E403" s="23">
        <v>12</v>
      </c>
      <c r="F403" s="23" t="s">
        <v>17</v>
      </c>
      <c r="G403" s="24"/>
      <c r="H403" s="24">
        <f>G403*E403</f>
        <v>0</v>
      </c>
    </row>
    <row r="404" spans="1:8" x14ac:dyDescent="0.45">
      <c r="A404" s="25"/>
      <c r="B404" s="26">
        <v>1502000</v>
      </c>
      <c r="C404" s="26">
        <v>3.4</v>
      </c>
      <c r="D404" s="27" t="s">
        <v>62</v>
      </c>
      <c r="E404" s="26"/>
      <c r="F404" s="26"/>
      <c r="G404" s="28"/>
      <c r="H404" s="104"/>
    </row>
    <row r="405" spans="1:8" x14ac:dyDescent="0.45">
      <c r="A405" s="22" t="s">
        <v>1279</v>
      </c>
      <c r="B405" s="23">
        <v>1502000</v>
      </c>
      <c r="C405" s="23" t="s">
        <v>67</v>
      </c>
      <c r="D405" s="35" t="s">
        <v>68</v>
      </c>
      <c r="E405" s="23">
        <v>12</v>
      </c>
      <c r="F405" s="23" t="s">
        <v>17</v>
      </c>
      <c r="G405" s="24"/>
      <c r="H405" s="24">
        <f>G405*E405</f>
        <v>0</v>
      </c>
    </row>
    <row r="406" spans="1:8" x14ac:dyDescent="0.45">
      <c r="A406" s="58"/>
      <c r="B406" s="59"/>
      <c r="C406" s="59"/>
      <c r="D406" s="60" t="s">
        <v>422</v>
      </c>
      <c r="E406" s="59"/>
      <c r="F406" s="59"/>
      <c r="G406" s="59"/>
      <c r="H406" s="62">
        <f>SUM(H401:H405)</f>
        <v>0</v>
      </c>
    </row>
    <row r="407" spans="1:8" x14ac:dyDescent="0.45">
      <c r="A407" s="121"/>
      <c r="B407" s="122"/>
      <c r="C407" s="122"/>
      <c r="D407" s="123"/>
      <c r="E407" s="122"/>
      <c r="F407" s="124"/>
      <c r="G407" s="124"/>
      <c r="H407" s="110"/>
    </row>
    <row r="408" spans="1:8" x14ac:dyDescent="0.45">
      <c r="A408" s="12" t="s">
        <v>1280</v>
      </c>
      <c r="B408" s="13"/>
      <c r="C408" s="13"/>
      <c r="D408" s="111" t="s">
        <v>424</v>
      </c>
      <c r="E408" s="100"/>
      <c r="F408" s="101"/>
      <c r="G408" s="101"/>
      <c r="H408" s="102"/>
    </row>
    <row r="409" spans="1:8" x14ac:dyDescent="0.45">
      <c r="A409" s="103"/>
      <c r="B409" s="41">
        <v>1502000</v>
      </c>
      <c r="C409" s="43"/>
      <c r="D409" s="42" t="s">
        <v>18</v>
      </c>
      <c r="E409" s="43"/>
      <c r="F409" s="44"/>
      <c r="G409" s="44"/>
      <c r="H409" s="45"/>
    </row>
    <row r="410" spans="1:8" x14ac:dyDescent="0.45">
      <c r="A410" s="27"/>
      <c r="B410" s="26"/>
      <c r="C410" s="26">
        <v>3.1</v>
      </c>
      <c r="D410" s="27" t="s">
        <v>19</v>
      </c>
      <c r="E410" s="26"/>
      <c r="F410" s="26"/>
      <c r="G410" s="26"/>
      <c r="H410" s="104"/>
    </row>
    <row r="411" spans="1:8" x14ac:dyDescent="0.45">
      <c r="A411" s="22" t="s">
        <v>1281</v>
      </c>
      <c r="B411" s="23">
        <v>1502000</v>
      </c>
      <c r="C411" s="23" t="s">
        <v>21</v>
      </c>
      <c r="D411" s="29" t="s">
        <v>22</v>
      </c>
      <c r="E411" s="23">
        <v>12</v>
      </c>
      <c r="F411" s="23" t="s">
        <v>17</v>
      </c>
      <c r="G411" s="24"/>
      <c r="H411" s="24">
        <f>G411*E411</f>
        <v>0</v>
      </c>
    </row>
    <row r="412" spans="1:8" x14ac:dyDescent="0.45">
      <c r="A412" s="22" t="s">
        <v>1282</v>
      </c>
      <c r="B412" s="23">
        <v>1502000</v>
      </c>
      <c r="C412" s="23" t="s">
        <v>24</v>
      </c>
      <c r="D412" s="29" t="s">
        <v>25</v>
      </c>
      <c r="E412" s="23">
        <v>12</v>
      </c>
      <c r="F412" s="23" t="s">
        <v>17</v>
      </c>
      <c r="G412" s="24"/>
      <c r="H412" s="24">
        <f>G412*E412</f>
        <v>0</v>
      </c>
    </row>
    <row r="413" spans="1:8" x14ac:dyDescent="0.45">
      <c r="A413" s="22" t="s">
        <v>1283</v>
      </c>
      <c r="B413" s="23">
        <v>1502000</v>
      </c>
      <c r="C413" s="23" t="s">
        <v>27</v>
      </c>
      <c r="D413" s="29" t="s">
        <v>28</v>
      </c>
      <c r="E413" s="23">
        <v>12</v>
      </c>
      <c r="F413" s="23" t="s">
        <v>17</v>
      </c>
      <c r="G413" s="24"/>
      <c r="H413" s="24">
        <f>G413*E413</f>
        <v>0</v>
      </c>
    </row>
    <row r="414" spans="1:8" x14ac:dyDescent="0.45">
      <c r="A414" s="40"/>
      <c r="B414" s="41">
        <v>1503010</v>
      </c>
      <c r="C414" s="41"/>
      <c r="D414" s="42" t="s">
        <v>109</v>
      </c>
      <c r="E414" s="43"/>
      <c r="F414" s="44"/>
      <c r="G414" s="44"/>
      <c r="H414" s="45"/>
    </row>
    <row r="415" spans="1:8" x14ac:dyDescent="0.45">
      <c r="A415" s="22" t="s">
        <v>1284</v>
      </c>
      <c r="B415" s="33">
        <v>1503010</v>
      </c>
      <c r="C415" s="33">
        <v>3.1</v>
      </c>
      <c r="D415" s="36" t="s">
        <v>111</v>
      </c>
      <c r="E415" s="23">
        <v>12</v>
      </c>
      <c r="F415" s="23" t="s">
        <v>17</v>
      </c>
      <c r="G415" s="24"/>
      <c r="H415" s="24">
        <f>G415*E415</f>
        <v>0</v>
      </c>
    </row>
    <row r="416" spans="1:8" x14ac:dyDescent="0.45">
      <c r="A416" s="40"/>
      <c r="B416" s="43">
        <v>1503030</v>
      </c>
      <c r="C416" s="41"/>
      <c r="D416" s="42" t="s">
        <v>121</v>
      </c>
      <c r="E416" s="43"/>
      <c r="F416" s="44"/>
      <c r="G416" s="44"/>
      <c r="H416" s="45"/>
    </row>
    <row r="417" spans="1:8" x14ac:dyDescent="0.45">
      <c r="A417" s="22" t="s">
        <v>1285</v>
      </c>
      <c r="B417" s="33">
        <v>1503030</v>
      </c>
      <c r="C417" s="33" t="s">
        <v>123</v>
      </c>
      <c r="D417" s="36" t="s">
        <v>124</v>
      </c>
      <c r="E417" s="23">
        <v>12</v>
      </c>
      <c r="F417" s="23" t="s">
        <v>17</v>
      </c>
      <c r="G417" s="24"/>
      <c r="H417" s="24">
        <f>G417*E417</f>
        <v>0</v>
      </c>
    </row>
    <row r="418" spans="1:8" s="293" customFormat="1" x14ac:dyDescent="0.45">
      <c r="A418" s="287"/>
      <c r="B418" s="288">
        <v>1503050</v>
      </c>
      <c r="C418" s="288"/>
      <c r="D418" s="289" t="s">
        <v>5014</v>
      </c>
      <c r="E418" s="290"/>
      <c r="F418" s="291"/>
      <c r="G418" s="291"/>
      <c r="H418" s="292"/>
    </row>
    <row r="419" spans="1:8" s="293" customFormat="1" x14ac:dyDescent="0.45">
      <c r="A419" s="257" t="s">
        <v>5043</v>
      </c>
      <c r="B419" s="301">
        <v>1503050</v>
      </c>
      <c r="C419" s="301">
        <v>3.4</v>
      </c>
      <c r="D419" s="295" t="s">
        <v>135</v>
      </c>
      <c r="E419" s="301">
        <v>12</v>
      </c>
      <c r="F419" s="286" t="s">
        <v>17</v>
      </c>
      <c r="G419" s="302"/>
      <c r="H419" s="302">
        <f>G419*E419</f>
        <v>0</v>
      </c>
    </row>
    <row r="420" spans="1:8" x14ac:dyDescent="0.45">
      <c r="A420" s="58"/>
      <c r="B420" s="59"/>
      <c r="C420" s="59"/>
      <c r="D420" s="60" t="s">
        <v>430</v>
      </c>
      <c r="E420" s="59"/>
      <c r="F420" s="59"/>
      <c r="G420" s="59"/>
      <c r="H420" s="62">
        <f>SUM(H411:H417)</f>
        <v>0</v>
      </c>
    </row>
    <row r="421" spans="1:8" x14ac:dyDescent="0.45">
      <c r="A421" s="121"/>
      <c r="B421" s="122"/>
      <c r="C421" s="122"/>
      <c r="D421" s="123"/>
      <c r="E421" s="122"/>
      <c r="F421" s="124"/>
      <c r="G421" s="124"/>
      <c r="H421" s="110"/>
    </row>
    <row r="422" spans="1:8" x14ac:dyDescent="0.45">
      <c r="A422" s="12" t="s">
        <v>1286</v>
      </c>
      <c r="B422" s="13"/>
      <c r="C422" s="13"/>
      <c r="D422" s="12" t="s">
        <v>432</v>
      </c>
      <c r="E422" s="13"/>
      <c r="F422" s="13"/>
      <c r="G422" s="101"/>
      <c r="H422" s="102"/>
    </row>
    <row r="423" spans="1:8" x14ac:dyDescent="0.45">
      <c r="A423" s="103"/>
      <c r="B423" s="41">
        <v>1502000</v>
      </c>
      <c r="C423" s="43"/>
      <c r="D423" s="42" t="s">
        <v>18</v>
      </c>
      <c r="E423" s="43"/>
      <c r="F423" s="44"/>
      <c r="G423" s="44"/>
      <c r="H423" s="45"/>
    </row>
    <row r="424" spans="1:8" x14ac:dyDescent="0.45">
      <c r="A424" s="27"/>
      <c r="B424" s="26"/>
      <c r="C424" s="26">
        <v>3.1</v>
      </c>
      <c r="D424" s="27" t="s">
        <v>19</v>
      </c>
      <c r="E424" s="26"/>
      <c r="F424" s="26"/>
      <c r="G424" s="26"/>
      <c r="H424" s="104"/>
    </row>
    <row r="425" spans="1:8" x14ac:dyDescent="0.45">
      <c r="A425" s="22" t="s">
        <v>1287</v>
      </c>
      <c r="B425" s="23">
        <v>1502000</v>
      </c>
      <c r="C425" s="23" t="s">
        <v>21</v>
      </c>
      <c r="D425" s="29" t="s">
        <v>22</v>
      </c>
      <c r="E425" s="23">
        <v>12</v>
      </c>
      <c r="F425" s="23" t="s">
        <v>17</v>
      </c>
      <c r="G425" s="24"/>
      <c r="H425" s="24">
        <f>G425*E425</f>
        <v>0</v>
      </c>
    </row>
    <row r="426" spans="1:8" x14ac:dyDescent="0.45">
      <c r="A426" s="22" t="s">
        <v>1288</v>
      </c>
      <c r="B426" s="23">
        <v>1502000</v>
      </c>
      <c r="C426" s="23" t="s">
        <v>24</v>
      </c>
      <c r="D426" s="29" t="s">
        <v>25</v>
      </c>
      <c r="E426" s="23">
        <v>12</v>
      </c>
      <c r="F426" s="23" t="s">
        <v>17</v>
      </c>
      <c r="G426" s="24"/>
      <c r="H426" s="24">
        <f>G426*E426</f>
        <v>0</v>
      </c>
    </row>
    <row r="427" spans="1:8" x14ac:dyDescent="0.45">
      <c r="A427" s="22" t="s">
        <v>1289</v>
      </c>
      <c r="B427" s="23">
        <v>1502000</v>
      </c>
      <c r="C427" s="23" t="s">
        <v>27</v>
      </c>
      <c r="D427" s="29" t="s">
        <v>28</v>
      </c>
      <c r="E427" s="23">
        <v>12</v>
      </c>
      <c r="F427" s="23" t="s">
        <v>17</v>
      </c>
      <c r="G427" s="24"/>
      <c r="H427" s="24">
        <f>G427*E427</f>
        <v>0</v>
      </c>
    </row>
    <row r="428" spans="1:8" x14ac:dyDescent="0.45">
      <c r="A428" s="25"/>
      <c r="B428" s="26"/>
      <c r="C428" s="26">
        <v>3.1</v>
      </c>
      <c r="D428" s="27" t="s">
        <v>31</v>
      </c>
      <c r="E428" s="28"/>
      <c r="F428" s="28"/>
      <c r="G428" s="28"/>
      <c r="H428" s="28"/>
    </row>
    <row r="429" spans="1:8" x14ac:dyDescent="0.45">
      <c r="A429" s="22" t="s">
        <v>1290</v>
      </c>
      <c r="B429" s="23">
        <v>1502000</v>
      </c>
      <c r="C429" s="23" t="s">
        <v>39</v>
      </c>
      <c r="D429" s="29" t="s">
        <v>230</v>
      </c>
      <c r="E429" s="23">
        <v>12</v>
      </c>
      <c r="F429" s="23" t="s">
        <v>17</v>
      </c>
      <c r="G429" s="24"/>
      <c r="H429" s="24">
        <f>G429*E429</f>
        <v>0</v>
      </c>
    </row>
    <row r="430" spans="1:8" x14ac:dyDescent="0.45">
      <c r="A430" s="22" t="s">
        <v>1291</v>
      </c>
      <c r="B430" s="23">
        <v>1502000</v>
      </c>
      <c r="C430" s="23" t="s">
        <v>250</v>
      </c>
      <c r="D430" s="29" t="s">
        <v>379</v>
      </c>
      <c r="E430" s="23">
        <v>12</v>
      </c>
      <c r="F430" s="23" t="s">
        <v>17</v>
      </c>
      <c r="G430" s="24"/>
      <c r="H430" s="24">
        <f>G430*E430</f>
        <v>0</v>
      </c>
    </row>
    <row r="431" spans="1:8" x14ac:dyDescent="0.45">
      <c r="A431" s="22" t="s">
        <v>1292</v>
      </c>
      <c r="B431" s="23">
        <v>1502000</v>
      </c>
      <c r="C431" s="23" t="s">
        <v>54</v>
      </c>
      <c r="D431" s="29" t="s">
        <v>55</v>
      </c>
      <c r="E431" s="23">
        <v>12</v>
      </c>
      <c r="F431" s="23" t="s">
        <v>17</v>
      </c>
      <c r="G431" s="24"/>
      <c r="H431" s="24">
        <f>G431*E431</f>
        <v>0</v>
      </c>
    </row>
    <row r="432" spans="1:8" x14ac:dyDescent="0.45">
      <c r="A432" s="25"/>
      <c r="B432" s="26">
        <v>1502000</v>
      </c>
      <c r="C432" s="26">
        <v>3.4</v>
      </c>
      <c r="D432" s="27" t="s">
        <v>62</v>
      </c>
      <c r="E432" s="26"/>
      <c r="F432" s="26"/>
      <c r="G432" s="28"/>
      <c r="H432" s="104"/>
    </row>
    <row r="433" spans="1:8" x14ac:dyDescent="0.45">
      <c r="A433" s="22" t="s">
        <v>1293</v>
      </c>
      <c r="B433" s="23">
        <v>1502000</v>
      </c>
      <c r="C433" s="23" t="s">
        <v>64</v>
      </c>
      <c r="D433" s="106" t="s">
        <v>65</v>
      </c>
      <c r="E433" s="23">
        <v>12</v>
      </c>
      <c r="F433" s="23" t="s">
        <v>17</v>
      </c>
      <c r="G433" s="24"/>
      <c r="H433" s="24">
        <f>G433*E433</f>
        <v>0</v>
      </c>
    </row>
    <row r="434" spans="1:8" x14ac:dyDescent="0.45">
      <c r="A434" s="22" t="s">
        <v>1294</v>
      </c>
      <c r="B434" s="23">
        <v>1502000</v>
      </c>
      <c r="C434" s="23" t="s">
        <v>67</v>
      </c>
      <c r="D434" s="120" t="s">
        <v>68</v>
      </c>
      <c r="E434" s="23">
        <v>12</v>
      </c>
      <c r="F434" s="23" t="s">
        <v>17</v>
      </c>
      <c r="G434" s="24"/>
      <c r="H434" s="24">
        <f>G434*E434</f>
        <v>0</v>
      </c>
    </row>
    <row r="435" spans="1:8" x14ac:dyDescent="0.45">
      <c r="A435" s="22" t="s">
        <v>1295</v>
      </c>
      <c r="B435" s="23">
        <v>1502000</v>
      </c>
      <c r="C435" s="23" t="s">
        <v>70</v>
      </c>
      <c r="D435" s="106" t="s">
        <v>71</v>
      </c>
      <c r="E435" s="23">
        <v>12</v>
      </c>
      <c r="F435" s="23" t="s">
        <v>17</v>
      </c>
      <c r="G435" s="24"/>
      <c r="H435" s="24">
        <f>G435*E435</f>
        <v>0</v>
      </c>
    </row>
    <row r="436" spans="1:8" x14ac:dyDescent="0.45">
      <c r="A436" s="27"/>
      <c r="B436" s="125"/>
      <c r="C436" s="125"/>
      <c r="D436" s="27" t="s">
        <v>75</v>
      </c>
      <c r="E436" s="26"/>
      <c r="F436" s="26"/>
      <c r="G436" s="28"/>
      <c r="H436" s="104"/>
    </row>
    <row r="437" spans="1:8" x14ac:dyDescent="0.45">
      <c r="A437" s="22" t="s">
        <v>1296</v>
      </c>
      <c r="B437" s="23">
        <v>1502000</v>
      </c>
      <c r="C437" s="23" t="s">
        <v>80</v>
      </c>
      <c r="D437" s="30" t="s">
        <v>81</v>
      </c>
      <c r="E437" s="23">
        <v>12</v>
      </c>
      <c r="F437" s="23" t="s">
        <v>17</v>
      </c>
      <c r="G437" s="24"/>
      <c r="H437" s="24">
        <f t="shared" ref="H437" si="15">G437*E437</f>
        <v>0</v>
      </c>
    </row>
    <row r="438" spans="1:8" x14ac:dyDescent="0.45">
      <c r="A438" s="22" t="s">
        <v>1297</v>
      </c>
      <c r="B438" s="23">
        <v>1502000</v>
      </c>
      <c r="C438" s="23" t="s">
        <v>86</v>
      </c>
      <c r="D438" s="106" t="s">
        <v>87</v>
      </c>
      <c r="E438" s="23">
        <v>12</v>
      </c>
      <c r="F438" s="23" t="s">
        <v>17</v>
      </c>
      <c r="G438" s="24"/>
      <c r="H438" s="24">
        <f>G438*E438</f>
        <v>0</v>
      </c>
    </row>
    <row r="439" spans="1:8" x14ac:dyDescent="0.45">
      <c r="A439" s="40"/>
      <c r="B439" s="41">
        <v>1503010</v>
      </c>
      <c r="C439" s="41"/>
      <c r="D439" s="42" t="s">
        <v>109</v>
      </c>
      <c r="E439" s="43"/>
      <c r="F439" s="44"/>
      <c r="G439" s="44"/>
      <c r="H439" s="45"/>
    </row>
    <row r="440" spans="1:8" x14ac:dyDescent="0.45">
      <c r="A440" s="22" t="s">
        <v>1298</v>
      </c>
      <c r="B440" s="33">
        <v>1503010</v>
      </c>
      <c r="C440" s="33">
        <v>3.1</v>
      </c>
      <c r="D440" s="36" t="s">
        <v>111</v>
      </c>
      <c r="E440" s="23">
        <v>12</v>
      </c>
      <c r="F440" s="23" t="s">
        <v>17</v>
      </c>
      <c r="G440" s="24"/>
      <c r="H440" s="24">
        <f>G440*E440</f>
        <v>0</v>
      </c>
    </row>
    <row r="441" spans="1:8" x14ac:dyDescent="0.45">
      <c r="A441" s="40"/>
      <c r="B441" s="43">
        <v>1503020</v>
      </c>
      <c r="C441" s="41"/>
      <c r="D441" s="42" t="s">
        <v>114</v>
      </c>
      <c r="E441" s="43"/>
      <c r="F441" s="44"/>
      <c r="G441" s="44"/>
      <c r="H441" s="45"/>
    </row>
    <row r="442" spans="1:8" ht="13.45" customHeight="1" x14ac:dyDescent="0.45">
      <c r="A442" s="22" t="s">
        <v>1299</v>
      </c>
      <c r="B442" s="33">
        <v>1503020</v>
      </c>
      <c r="C442" s="33">
        <v>3.1</v>
      </c>
      <c r="D442" s="36" t="s">
        <v>116</v>
      </c>
      <c r="E442" s="23">
        <v>12</v>
      </c>
      <c r="F442" s="23" t="s">
        <v>17</v>
      </c>
      <c r="G442" s="24"/>
      <c r="H442" s="24">
        <f>G442*E442</f>
        <v>0</v>
      </c>
    </row>
    <row r="443" spans="1:8" x14ac:dyDescent="0.45">
      <c r="A443" s="22" t="s">
        <v>1300</v>
      </c>
      <c r="B443" s="33">
        <v>1503020</v>
      </c>
      <c r="C443" s="33">
        <v>3.2</v>
      </c>
      <c r="D443" s="36" t="s">
        <v>118</v>
      </c>
      <c r="E443" s="23">
        <v>12</v>
      </c>
      <c r="F443" s="23" t="s">
        <v>17</v>
      </c>
      <c r="G443" s="24"/>
      <c r="H443" s="24">
        <f>G443*E443</f>
        <v>0</v>
      </c>
    </row>
    <row r="444" spans="1:8" x14ac:dyDescent="0.45">
      <c r="A444" s="22" t="s">
        <v>1301</v>
      </c>
      <c r="B444" s="33">
        <v>1503020</v>
      </c>
      <c r="C444" s="33">
        <v>3.3</v>
      </c>
      <c r="D444" s="36" t="s">
        <v>120</v>
      </c>
      <c r="E444" s="23">
        <v>12</v>
      </c>
      <c r="F444" s="23" t="s">
        <v>17</v>
      </c>
      <c r="G444" s="24"/>
      <c r="H444" s="24">
        <f>G444*E444</f>
        <v>0</v>
      </c>
    </row>
    <row r="445" spans="1:8" x14ac:dyDescent="0.45">
      <c r="A445" s="40"/>
      <c r="B445" s="43">
        <v>1503030</v>
      </c>
      <c r="C445" s="41"/>
      <c r="D445" s="42" t="s">
        <v>121</v>
      </c>
      <c r="E445" s="43"/>
      <c r="F445" s="44"/>
      <c r="G445" s="44"/>
      <c r="H445" s="45"/>
    </row>
    <row r="446" spans="1:8" x14ac:dyDescent="0.45">
      <c r="A446" s="22" t="s">
        <v>1302</v>
      </c>
      <c r="B446" s="33">
        <v>1503030</v>
      </c>
      <c r="C446" s="33" t="s">
        <v>123</v>
      </c>
      <c r="D446" s="36" t="s">
        <v>124</v>
      </c>
      <c r="E446" s="23">
        <v>12</v>
      </c>
      <c r="F446" s="23" t="s">
        <v>17</v>
      </c>
      <c r="G446" s="24"/>
      <c r="H446" s="24">
        <f>G446*E446</f>
        <v>0</v>
      </c>
    </row>
    <row r="447" spans="1:8" x14ac:dyDescent="0.45">
      <c r="A447" s="58"/>
      <c r="B447" s="59"/>
      <c r="C447" s="59"/>
      <c r="D447" s="60" t="s">
        <v>449</v>
      </c>
      <c r="E447" s="59"/>
      <c r="F447" s="59"/>
      <c r="G447" s="59"/>
      <c r="H447" s="62">
        <f>SUM(H425:H446)</f>
        <v>0</v>
      </c>
    </row>
    <row r="448" spans="1:8" x14ac:dyDescent="0.45">
      <c r="A448" s="96"/>
      <c r="B448" s="97"/>
      <c r="C448" s="97"/>
      <c r="D448" s="116"/>
      <c r="E448" s="97"/>
      <c r="F448" s="97"/>
      <c r="G448" s="97"/>
      <c r="H448" s="99"/>
    </row>
    <row r="449" spans="1:8" x14ac:dyDescent="0.45">
      <c r="A449" s="12" t="s">
        <v>1303</v>
      </c>
      <c r="B449" s="13"/>
      <c r="C449" s="13"/>
      <c r="D449" s="12" t="s">
        <v>451</v>
      </c>
      <c r="E449" s="13"/>
      <c r="F449" s="13"/>
      <c r="G449" s="13"/>
      <c r="H449" s="102"/>
    </row>
    <row r="450" spans="1:8" x14ac:dyDescent="0.45">
      <c r="A450" s="368"/>
      <c r="B450" s="369">
        <v>1503010</v>
      </c>
      <c r="C450" s="369"/>
      <c r="D450" s="370" t="s">
        <v>109</v>
      </c>
      <c r="E450" s="282"/>
      <c r="F450" s="283"/>
      <c r="G450" s="283"/>
      <c r="H450" s="284"/>
    </row>
    <row r="451" spans="1:8" x14ac:dyDescent="0.45">
      <c r="A451" s="258" t="s">
        <v>1304</v>
      </c>
      <c r="B451" s="259">
        <v>1503010</v>
      </c>
      <c r="C451" s="259">
        <v>3.1</v>
      </c>
      <c r="D451" s="260" t="s">
        <v>111</v>
      </c>
      <c r="E451" s="261">
        <v>12</v>
      </c>
      <c r="F451" s="261" t="s">
        <v>17</v>
      </c>
      <c r="G451" s="262"/>
      <c r="H451" s="262">
        <f>G451*E451</f>
        <v>0</v>
      </c>
    </row>
    <row r="452" spans="1:8" x14ac:dyDescent="0.45">
      <c r="A452" s="40"/>
      <c r="B452" s="43">
        <v>1503020</v>
      </c>
      <c r="C452" s="41"/>
      <c r="D452" s="42" t="s">
        <v>114</v>
      </c>
      <c r="E452" s="43"/>
      <c r="F452" s="44"/>
      <c r="G452" s="44"/>
      <c r="H452" s="45"/>
    </row>
    <row r="453" spans="1:8" ht="13.45" customHeight="1" x14ac:dyDescent="0.45">
      <c r="A453" s="22" t="s">
        <v>5207</v>
      </c>
      <c r="B453" s="33">
        <v>1503020</v>
      </c>
      <c r="C453" s="33">
        <v>3.1</v>
      </c>
      <c r="D453" s="36" t="s">
        <v>116</v>
      </c>
      <c r="E453" s="23">
        <v>12</v>
      </c>
      <c r="F453" s="23" t="s">
        <v>17</v>
      </c>
      <c r="G453" s="24"/>
      <c r="H453" s="24">
        <f>G453*E453</f>
        <v>0</v>
      </c>
    </row>
    <row r="454" spans="1:8" x14ac:dyDescent="0.45">
      <c r="A454" s="22" t="s">
        <v>5208</v>
      </c>
      <c r="B454" s="33">
        <v>1503020</v>
      </c>
      <c r="C454" s="33">
        <v>3.3</v>
      </c>
      <c r="D454" s="36" t="s">
        <v>120</v>
      </c>
      <c r="E454" s="23">
        <v>12</v>
      </c>
      <c r="F454" s="23" t="s">
        <v>17</v>
      </c>
      <c r="G454" s="24"/>
      <c r="H454" s="24">
        <f>G454*E454</f>
        <v>0</v>
      </c>
    </row>
    <row r="455" spans="1:8" x14ac:dyDescent="0.45">
      <c r="A455" s="58"/>
      <c r="B455" s="59"/>
      <c r="C455" s="59"/>
      <c r="D455" s="60" t="s">
        <v>453</v>
      </c>
      <c r="E455" s="59"/>
      <c r="F455" s="59"/>
      <c r="G455" s="61"/>
      <c r="H455" s="62">
        <f>SUM(H451:H454)</f>
        <v>0</v>
      </c>
    </row>
    <row r="456" spans="1:8" s="371" customFormat="1" x14ac:dyDescent="0.45">
      <c r="A456" s="87"/>
      <c r="B456" s="88"/>
      <c r="C456" s="88"/>
      <c r="D456" s="89"/>
      <c r="E456" s="64"/>
      <c r="F456" s="64"/>
      <c r="G456" s="66"/>
      <c r="H456" s="66"/>
    </row>
    <row r="457" spans="1:8" s="371" customFormat="1" x14ac:dyDescent="0.45">
      <c r="A457" s="378" t="s">
        <v>5088</v>
      </c>
      <c r="B457" s="379"/>
      <c r="C457" s="380"/>
      <c r="D457" s="378" t="s">
        <v>5047</v>
      </c>
      <c r="E457" s="381"/>
      <c r="F457" s="381"/>
      <c r="G457" s="381"/>
      <c r="H457" s="381"/>
    </row>
    <row r="458" spans="1:8" s="371" customFormat="1" x14ac:dyDescent="0.4">
      <c r="A458" s="287"/>
      <c r="B458" s="382">
        <v>1502000</v>
      </c>
      <c r="C458" s="383"/>
      <c r="D458" s="384" t="s">
        <v>18</v>
      </c>
      <c r="E458" s="385"/>
      <c r="F458" s="385"/>
      <c r="G458" s="386"/>
      <c r="H458" s="386"/>
    </row>
    <row r="459" spans="1:8" s="371" customFormat="1" x14ac:dyDescent="0.45">
      <c r="A459" s="363"/>
      <c r="B459" s="373"/>
      <c r="C459" s="373">
        <v>3.6</v>
      </c>
      <c r="D459" s="374" t="s">
        <v>75</v>
      </c>
      <c r="E459" s="375"/>
      <c r="F459" s="375"/>
      <c r="G459" s="375"/>
      <c r="H459" s="375"/>
    </row>
    <row r="460" spans="1:8" s="371" customFormat="1" x14ac:dyDescent="0.45">
      <c r="A460" s="257" t="s">
        <v>5089</v>
      </c>
      <c r="B460" s="286">
        <v>1502000</v>
      </c>
      <c r="C460" s="301" t="s">
        <v>77</v>
      </c>
      <c r="D460" s="372" t="s">
        <v>78</v>
      </c>
      <c r="E460" s="286">
        <v>12</v>
      </c>
      <c r="F460" s="286" t="s">
        <v>17</v>
      </c>
      <c r="G460" s="302"/>
      <c r="H460" s="302">
        <f>G460*E460</f>
        <v>0</v>
      </c>
    </row>
    <row r="461" spans="1:8" s="371" customFormat="1" x14ac:dyDescent="0.45">
      <c r="A461" s="257" t="s">
        <v>5090</v>
      </c>
      <c r="B461" s="286">
        <v>1502000</v>
      </c>
      <c r="C461" s="301" t="s">
        <v>101</v>
      </c>
      <c r="D461" s="372" t="s">
        <v>102</v>
      </c>
      <c r="E461" s="286">
        <v>12</v>
      </c>
      <c r="F461" s="286" t="s">
        <v>17</v>
      </c>
      <c r="G461" s="302"/>
      <c r="H461" s="302">
        <f>G461*E461</f>
        <v>0</v>
      </c>
    </row>
    <row r="462" spans="1:8" s="371" customFormat="1" x14ac:dyDescent="0.45">
      <c r="A462" s="58"/>
      <c r="B462" s="59"/>
      <c r="C462" s="59"/>
      <c r="D462" s="387" t="s">
        <v>5048</v>
      </c>
      <c r="E462" s="59"/>
      <c r="F462" s="59"/>
      <c r="G462" s="61"/>
      <c r="H462" s="388">
        <f>SUM(H460:H461)</f>
        <v>0</v>
      </c>
    </row>
    <row r="463" spans="1:8" s="371" customFormat="1" x14ac:dyDescent="0.45">
      <c r="A463" s="87"/>
      <c r="B463" s="88"/>
      <c r="C463" s="88"/>
      <c r="D463" s="89"/>
      <c r="E463" s="64"/>
      <c r="F463" s="64"/>
      <c r="G463" s="66"/>
      <c r="H463" s="66"/>
    </row>
    <row r="464" spans="1:8" s="293" customFormat="1" x14ac:dyDescent="0.45">
      <c r="A464" s="378" t="s">
        <v>5091</v>
      </c>
      <c r="B464" s="380"/>
      <c r="C464" s="380"/>
      <c r="D464" s="378" t="s">
        <v>5050</v>
      </c>
      <c r="E464" s="381"/>
      <c r="F464" s="381"/>
      <c r="G464" s="381"/>
      <c r="H464" s="381"/>
    </row>
    <row r="465" spans="1:8" s="293" customFormat="1" x14ac:dyDescent="0.4">
      <c r="A465" s="287"/>
      <c r="B465" s="382">
        <v>1502000</v>
      </c>
      <c r="C465" s="383"/>
      <c r="D465" s="384" t="s">
        <v>18</v>
      </c>
      <c r="E465" s="290"/>
      <c r="F465" s="291"/>
      <c r="G465" s="291"/>
      <c r="H465" s="292"/>
    </row>
    <row r="466" spans="1:8" s="293" customFormat="1" x14ac:dyDescent="0.45">
      <c r="A466" s="363"/>
      <c r="B466" s="373"/>
      <c r="C466" s="373">
        <v>3.6</v>
      </c>
      <c r="D466" s="374" t="s">
        <v>75</v>
      </c>
      <c r="E466" s="375"/>
      <c r="F466" s="375"/>
      <c r="G466" s="375"/>
      <c r="H466" s="375"/>
    </row>
    <row r="467" spans="1:8" s="293" customFormat="1" x14ac:dyDescent="0.45">
      <c r="A467" s="257" t="s">
        <v>5092</v>
      </c>
      <c r="B467" s="286">
        <v>1502000</v>
      </c>
      <c r="C467" s="301" t="s">
        <v>77</v>
      </c>
      <c r="D467" s="372" t="s">
        <v>78</v>
      </c>
      <c r="E467" s="286">
        <v>12</v>
      </c>
      <c r="F467" s="286" t="s">
        <v>17</v>
      </c>
      <c r="G467" s="302"/>
      <c r="H467" s="302">
        <f>G467*E467</f>
        <v>0</v>
      </c>
    </row>
    <row r="468" spans="1:8" s="371" customFormat="1" x14ac:dyDescent="0.45">
      <c r="A468" s="58"/>
      <c r="B468" s="59"/>
      <c r="C468" s="59"/>
      <c r="D468" s="387" t="s">
        <v>5051</v>
      </c>
      <c r="E468" s="59"/>
      <c r="F468" s="59"/>
      <c r="G468" s="61"/>
      <c r="H468" s="388">
        <f>SUM(H466:H467)</f>
        <v>0</v>
      </c>
    </row>
    <row r="470" spans="1:8" ht="7.5" customHeight="1" x14ac:dyDescent="0.45">
      <c r="A470" s="130"/>
      <c r="B470" s="131"/>
      <c r="C470" s="131"/>
      <c r="D470" s="132"/>
      <c r="E470" s="131"/>
      <c r="F470" s="133"/>
      <c r="G470" s="133"/>
      <c r="H470" s="134"/>
    </row>
    <row r="471" spans="1:8" s="139" customFormat="1" ht="15" x14ac:dyDescent="0.45">
      <c r="A471" s="135" t="s">
        <v>5093</v>
      </c>
      <c r="B471" s="136"/>
      <c r="C471" s="136"/>
      <c r="D471" s="137"/>
      <c r="E471" s="137"/>
      <c r="F471" s="137"/>
      <c r="G471" s="137"/>
      <c r="H471" s="138">
        <f>H455+H447+H420+H406+H396+H388+H345+H334+H303+H281+H272+H247+H242+H236+H216+H165+H150+H143+H136+H122+H97</f>
        <v>0</v>
      </c>
    </row>
  </sheetData>
  <mergeCells count="2354">
    <mergeCell ref="A9:H9"/>
    <mergeCell ref="A10:H10"/>
    <mergeCell ref="XER5:XEX5"/>
    <mergeCell ref="XEY5:XFB5"/>
    <mergeCell ref="A6:H6"/>
    <mergeCell ref="I6:N6"/>
    <mergeCell ref="A7:H7"/>
    <mergeCell ref="A8:H8"/>
    <mergeCell ref="XDB5:XDH5"/>
    <mergeCell ref="XDI5:XDO5"/>
    <mergeCell ref="XDP5:XDV5"/>
    <mergeCell ref="XDW5:XEC5"/>
    <mergeCell ref="XED5:XEJ5"/>
    <mergeCell ref="XEK5:XEQ5"/>
    <mergeCell ref="XBL5:XBR5"/>
    <mergeCell ref="XBS5:XBY5"/>
    <mergeCell ref="XBZ5:XCF5"/>
    <mergeCell ref="XCG5:XCM5"/>
    <mergeCell ref="XCN5:XCT5"/>
    <mergeCell ref="XCU5:XDA5"/>
    <mergeCell ref="WZV5:XAB5"/>
    <mergeCell ref="XAC5:XAI5"/>
    <mergeCell ref="XAJ5:XAP5"/>
    <mergeCell ref="XAQ5:XAW5"/>
    <mergeCell ref="XAX5:XBD5"/>
    <mergeCell ref="XBE5:XBK5"/>
    <mergeCell ref="WYF5:WYL5"/>
    <mergeCell ref="WYM5:WYS5"/>
    <mergeCell ref="WYT5:WYZ5"/>
    <mergeCell ref="WZA5:WZG5"/>
    <mergeCell ref="WZH5:WZN5"/>
    <mergeCell ref="WZO5:WZU5"/>
    <mergeCell ref="WWP5:WWV5"/>
    <mergeCell ref="WWW5:WXC5"/>
    <mergeCell ref="WXD5:WXJ5"/>
    <mergeCell ref="WXK5:WXQ5"/>
    <mergeCell ref="WXR5:WXX5"/>
    <mergeCell ref="WXY5:WYE5"/>
    <mergeCell ref="WUZ5:WVF5"/>
    <mergeCell ref="WVG5:WVM5"/>
    <mergeCell ref="WVN5:WVT5"/>
    <mergeCell ref="WVU5:WWA5"/>
    <mergeCell ref="WWB5:WWH5"/>
    <mergeCell ref="WWI5:WWO5"/>
    <mergeCell ref="WTJ5:WTP5"/>
    <mergeCell ref="WTQ5:WTW5"/>
    <mergeCell ref="WTX5:WUD5"/>
    <mergeCell ref="WUE5:WUK5"/>
    <mergeCell ref="WUL5:WUR5"/>
    <mergeCell ref="WUS5:WUY5"/>
    <mergeCell ref="WRT5:WRZ5"/>
    <mergeCell ref="WSA5:WSG5"/>
    <mergeCell ref="WSH5:WSN5"/>
    <mergeCell ref="WSO5:WSU5"/>
    <mergeCell ref="WSV5:WTB5"/>
    <mergeCell ref="WTC5:WTI5"/>
    <mergeCell ref="WQD5:WQJ5"/>
    <mergeCell ref="WQK5:WQQ5"/>
    <mergeCell ref="WQR5:WQX5"/>
    <mergeCell ref="WQY5:WRE5"/>
    <mergeCell ref="WRF5:WRL5"/>
    <mergeCell ref="WRM5:WRS5"/>
    <mergeCell ref="WON5:WOT5"/>
    <mergeCell ref="WOU5:WPA5"/>
    <mergeCell ref="WPB5:WPH5"/>
    <mergeCell ref="WPI5:WPO5"/>
    <mergeCell ref="WPP5:WPV5"/>
    <mergeCell ref="WPW5:WQC5"/>
    <mergeCell ref="WMX5:WND5"/>
    <mergeCell ref="WNE5:WNK5"/>
    <mergeCell ref="WNL5:WNR5"/>
    <mergeCell ref="WNS5:WNY5"/>
    <mergeCell ref="WNZ5:WOF5"/>
    <mergeCell ref="WOG5:WOM5"/>
    <mergeCell ref="WLH5:WLN5"/>
    <mergeCell ref="WLO5:WLU5"/>
    <mergeCell ref="WLV5:WMB5"/>
    <mergeCell ref="WMC5:WMI5"/>
    <mergeCell ref="WMJ5:WMP5"/>
    <mergeCell ref="WMQ5:WMW5"/>
    <mergeCell ref="WJR5:WJX5"/>
    <mergeCell ref="WJY5:WKE5"/>
    <mergeCell ref="WKF5:WKL5"/>
    <mergeCell ref="WKM5:WKS5"/>
    <mergeCell ref="WKT5:WKZ5"/>
    <mergeCell ref="WLA5:WLG5"/>
    <mergeCell ref="WIB5:WIH5"/>
    <mergeCell ref="WII5:WIO5"/>
    <mergeCell ref="WIP5:WIV5"/>
    <mergeCell ref="WIW5:WJC5"/>
    <mergeCell ref="WJD5:WJJ5"/>
    <mergeCell ref="WJK5:WJQ5"/>
    <mergeCell ref="WGL5:WGR5"/>
    <mergeCell ref="WGS5:WGY5"/>
    <mergeCell ref="WGZ5:WHF5"/>
    <mergeCell ref="WHG5:WHM5"/>
    <mergeCell ref="WHN5:WHT5"/>
    <mergeCell ref="WHU5:WIA5"/>
    <mergeCell ref="WEV5:WFB5"/>
    <mergeCell ref="WFC5:WFI5"/>
    <mergeCell ref="WFJ5:WFP5"/>
    <mergeCell ref="WFQ5:WFW5"/>
    <mergeCell ref="WFX5:WGD5"/>
    <mergeCell ref="WGE5:WGK5"/>
    <mergeCell ref="WDF5:WDL5"/>
    <mergeCell ref="WDM5:WDS5"/>
    <mergeCell ref="WDT5:WDZ5"/>
    <mergeCell ref="WEA5:WEG5"/>
    <mergeCell ref="WEH5:WEN5"/>
    <mergeCell ref="WEO5:WEU5"/>
    <mergeCell ref="WBP5:WBV5"/>
    <mergeCell ref="WBW5:WCC5"/>
    <mergeCell ref="WCD5:WCJ5"/>
    <mergeCell ref="WCK5:WCQ5"/>
    <mergeCell ref="WCR5:WCX5"/>
    <mergeCell ref="WCY5:WDE5"/>
    <mergeCell ref="VZZ5:WAF5"/>
    <mergeCell ref="WAG5:WAM5"/>
    <mergeCell ref="WAN5:WAT5"/>
    <mergeCell ref="WAU5:WBA5"/>
    <mergeCell ref="WBB5:WBH5"/>
    <mergeCell ref="WBI5:WBO5"/>
    <mergeCell ref="VYJ5:VYP5"/>
    <mergeCell ref="VYQ5:VYW5"/>
    <mergeCell ref="VYX5:VZD5"/>
    <mergeCell ref="VZE5:VZK5"/>
    <mergeCell ref="VZL5:VZR5"/>
    <mergeCell ref="VZS5:VZY5"/>
    <mergeCell ref="VWT5:VWZ5"/>
    <mergeCell ref="VXA5:VXG5"/>
    <mergeCell ref="VXH5:VXN5"/>
    <mergeCell ref="VXO5:VXU5"/>
    <mergeCell ref="VXV5:VYB5"/>
    <mergeCell ref="VYC5:VYI5"/>
    <mergeCell ref="VVD5:VVJ5"/>
    <mergeCell ref="VVK5:VVQ5"/>
    <mergeCell ref="VVR5:VVX5"/>
    <mergeCell ref="VVY5:VWE5"/>
    <mergeCell ref="VWF5:VWL5"/>
    <mergeCell ref="VWM5:VWS5"/>
    <mergeCell ref="VTN5:VTT5"/>
    <mergeCell ref="VTU5:VUA5"/>
    <mergeCell ref="VUB5:VUH5"/>
    <mergeCell ref="VUI5:VUO5"/>
    <mergeCell ref="VUP5:VUV5"/>
    <mergeCell ref="VUW5:VVC5"/>
    <mergeCell ref="VRX5:VSD5"/>
    <mergeCell ref="VSE5:VSK5"/>
    <mergeCell ref="VSL5:VSR5"/>
    <mergeCell ref="VSS5:VSY5"/>
    <mergeCell ref="VSZ5:VTF5"/>
    <mergeCell ref="VTG5:VTM5"/>
    <mergeCell ref="VQH5:VQN5"/>
    <mergeCell ref="VQO5:VQU5"/>
    <mergeCell ref="VQV5:VRB5"/>
    <mergeCell ref="VRC5:VRI5"/>
    <mergeCell ref="VRJ5:VRP5"/>
    <mergeCell ref="VRQ5:VRW5"/>
    <mergeCell ref="VOR5:VOX5"/>
    <mergeCell ref="VOY5:VPE5"/>
    <mergeCell ref="VPF5:VPL5"/>
    <mergeCell ref="VPM5:VPS5"/>
    <mergeCell ref="VPT5:VPZ5"/>
    <mergeCell ref="VQA5:VQG5"/>
    <mergeCell ref="VNB5:VNH5"/>
    <mergeCell ref="VNI5:VNO5"/>
    <mergeCell ref="VNP5:VNV5"/>
    <mergeCell ref="VNW5:VOC5"/>
    <mergeCell ref="VOD5:VOJ5"/>
    <mergeCell ref="VOK5:VOQ5"/>
    <mergeCell ref="VLL5:VLR5"/>
    <mergeCell ref="VLS5:VLY5"/>
    <mergeCell ref="VLZ5:VMF5"/>
    <mergeCell ref="VMG5:VMM5"/>
    <mergeCell ref="VMN5:VMT5"/>
    <mergeCell ref="VMU5:VNA5"/>
    <mergeCell ref="VJV5:VKB5"/>
    <mergeCell ref="VKC5:VKI5"/>
    <mergeCell ref="VKJ5:VKP5"/>
    <mergeCell ref="VKQ5:VKW5"/>
    <mergeCell ref="VKX5:VLD5"/>
    <mergeCell ref="VLE5:VLK5"/>
    <mergeCell ref="VIF5:VIL5"/>
    <mergeCell ref="VIM5:VIS5"/>
    <mergeCell ref="VIT5:VIZ5"/>
    <mergeCell ref="VJA5:VJG5"/>
    <mergeCell ref="VJH5:VJN5"/>
    <mergeCell ref="VJO5:VJU5"/>
    <mergeCell ref="VGP5:VGV5"/>
    <mergeCell ref="VGW5:VHC5"/>
    <mergeCell ref="VHD5:VHJ5"/>
    <mergeCell ref="VHK5:VHQ5"/>
    <mergeCell ref="VHR5:VHX5"/>
    <mergeCell ref="VHY5:VIE5"/>
    <mergeCell ref="VEZ5:VFF5"/>
    <mergeCell ref="VFG5:VFM5"/>
    <mergeCell ref="VFN5:VFT5"/>
    <mergeCell ref="VFU5:VGA5"/>
    <mergeCell ref="VGB5:VGH5"/>
    <mergeCell ref="VGI5:VGO5"/>
    <mergeCell ref="VDJ5:VDP5"/>
    <mergeCell ref="VDQ5:VDW5"/>
    <mergeCell ref="VDX5:VED5"/>
    <mergeCell ref="VEE5:VEK5"/>
    <mergeCell ref="VEL5:VER5"/>
    <mergeCell ref="VES5:VEY5"/>
    <mergeCell ref="VBT5:VBZ5"/>
    <mergeCell ref="VCA5:VCG5"/>
    <mergeCell ref="VCH5:VCN5"/>
    <mergeCell ref="VCO5:VCU5"/>
    <mergeCell ref="VCV5:VDB5"/>
    <mergeCell ref="VDC5:VDI5"/>
    <mergeCell ref="VAD5:VAJ5"/>
    <mergeCell ref="VAK5:VAQ5"/>
    <mergeCell ref="VAR5:VAX5"/>
    <mergeCell ref="VAY5:VBE5"/>
    <mergeCell ref="VBF5:VBL5"/>
    <mergeCell ref="VBM5:VBS5"/>
    <mergeCell ref="UYN5:UYT5"/>
    <mergeCell ref="UYU5:UZA5"/>
    <mergeCell ref="UZB5:UZH5"/>
    <mergeCell ref="UZI5:UZO5"/>
    <mergeCell ref="UZP5:UZV5"/>
    <mergeCell ref="UZW5:VAC5"/>
    <mergeCell ref="UWX5:UXD5"/>
    <mergeCell ref="UXE5:UXK5"/>
    <mergeCell ref="UXL5:UXR5"/>
    <mergeCell ref="UXS5:UXY5"/>
    <mergeCell ref="UXZ5:UYF5"/>
    <mergeCell ref="UYG5:UYM5"/>
    <mergeCell ref="UVH5:UVN5"/>
    <mergeCell ref="UVO5:UVU5"/>
    <mergeCell ref="UVV5:UWB5"/>
    <mergeCell ref="UWC5:UWI5"/>
    <mergeCell ref="UWJ5:UWP5"/>
    <mergeCell ref="UWQ5:UWW5"/>
    <mergeCell ref="UTR5:UTX5"/>
    <mergeCell ref="UTY5:UUE5"/>
    <mergeCell ref="UUF5:UUL5"/>
    <mergeCell ref="UUM5:UUS5"/>
    <mergeCell ref="UUT5:UUZ5"/>
    <mergeCell ref="UVA5:UVG5"/>
    <mergeCell ref="USB5:USH5"/>
    <mergeCell ref="USI5:USO5"/>
    <mergeCell ref="USP5:USV5"/>
    <mergeCell ref="USW5:UTC5"/>
    <mergeCell ref="UTD5:UTJ5"/>
    <mergeCell ref="UTK5:UTQ5"/>
    <mergeCell ref="UQL5:UQR5"/>
    <mergeCell ref="UQS5:UQY5"/>
    <mergeCell ref="UQZ5:URF5"/>
    <mergeCell ref="URG5:URM5"/>
    <mergeCell ref="URN5:URT5"/>
    <mergeCell ref="URU5:USA5"/>
    <mergeCell ref="UOV5:UPB5"/>
    <mergeCell ref="UPC5:UPI5"/>
    <mergeCell ref="UPJ5:UPP5"/>
    <mergeCell ref="UPQ5:UPW5"/>
    <mergeCell ref="UPX5:UQD5"/>
    <mergeCell ref="UQE5:UQK5"/>
    <mergeCell ref="UNF5:UNL5"/>
    <mergeCell ref="UNM5:UNS5"/>
    <mergeCell ref="UNT5:UNZ5"/>
    <mergeCell ref="UOA5:UOG5"/>
    <mergeCell ref="UOH5:UON5"/>
    <mergeCell ref="UOO5:UOU5"/>
    <mergeCell ref="ULP5:ULV5"/>
    <mergeCell ref="ULW5:UMC5"/>
    <mergeCell ref="UMD5:UMJ5"/>
    <mergeCell ref="UMK5:UMQ5"/>
    <mergeCell ref="UMR5:UMX5"/>
    <mergeCell ref="UMY5:UNE5"/>
    <mergeCell ref="UJZ5:UKF5"/>
    <mergeCell ref="UKG5:UKM5"/>
    <mergeCell ref="UKN5:UKT5"/>
    <mergeCell ref="UKU5:ULA5"/>
    <mergeCell ref="ULB5:ULH5"/>
    <mergeCell ref="ULI5:ULO5"/>
    <mergeCell ref="UIJ5:UIP5"/>
    <mergeCell ref="UIQ5:UIW5"/>
    <mergeCell ref="UIX5:UJD5"/>
    <mergeCell ref="UJE5:UJK5"/>
    <mergeCell ref="UJL5:UJR5"/>
    <mergeCell ref="UJS5:UJY5"/>
    <mergeCell ref="UGT5:UGZ5"/>
    <mergeCell ref="UHA5:UHG5"/>
    <mergeCell ref="UHH5:UHN5"/>
    <mergeCell ref="UHO5:UHU5"/>
    <mergeCell ref="UHV5:UIB5"/>
    <mergeCell ref="UIC5:UII5"/>
    <mergeCell ref="UFD5:UFJ5"/>
    <mergeCell ref="UFK5:UFQ5"/>
    <mergeCell ref="UFR5:UFX5"/>
    <mergeCell ref="UFY5:UGE5"/>
    <mergeCell ref="UGF5:UGL5"/>
    <mergeCell ref="UGM5:UGS5"/>
    <mergeCell ref="UDN5:UDT5"/>
    <mergeCell ref="UDU5:UEA5"/>
    <mergeCell ref="UEB5:UEH5"/>
    <mergeCell ref="UEI5:UEO5"/>
    <mergeCell ref="UEP5:UEV5"/>
    <mergeCell ref="UEW5:UFC5"/>
    <mergeCell ref="UBX5:UCD5"/>
    <mergeCell ref="UCE5:UCK5"/>
    <mergeCell ref="UCL5:UCR5"/>
    <mergeCell ref="UCS5:UCY5"/>
    <mergeCell ref="UCZ5:UDF5"/>
    <mergeCell ref="UDG5:UDM5"/>
    <mergeCell ref="UAH5:UAN5"/>
    <mergeCell ref="UAO5:UAU5"/>
    <mergeCell ref="UAV5:UBB5"/>
    <mergeCell ref="UBC5:UBI5"/>
    <mergeCell ref="UBJ5:UBP5"/>
    <mergeCell ref="UBQ5:UBW5"/>
    <mergeCell ref="TYR5:TYX5"/>
    <mergeCell ref="TYY5:TZE5"/>
    <mergeCell ref="TZF5:TZL5"/>
    <mergeCell ref="TZM5:TZS5"/>
    <mergeCell ref="TZT5:TZZ5"/>
    <mergeCell ref="UAA5:UAG5"/>
    <mergeCell ref="TXB5:TXH5"/>
    <mergeCell ref="TXI5:TXO5"/>
    <mergeCell ref="TXP5:TXV5"/>
    <mergeCell ref="TXW5:TYC5"/>
    <mergeCell ref="TYD5:TYJ5"/>
    <mergeCell ref="TYK5:TYQ5"/>
    <mergeCell ref="TVL5:TVR5"/>
    <mergeCell ref="TVS5:TVY5"/>
    <mergeCell ref="TVZ5:TWF5"/>
    <mergeCell ref="TWG5:TWM5"/>
    <mergeCell ref="TWN5:TWT5"/>
    <mergeCell ref="TWU5:TXA5"/>
    <mergeCell ref="TTV5:TUB5"/>
    <mergeCell ref="TUC5:TUI5"/>
    <mergeCell ref="TUJ5:TUP5"/>
    <mergeCell ref="TUQ5:TUW5"/>
    <mergeCell ref="TUX5:TVD5"/>
    <mergeCell ref="TVE5:TVK5"/>
    <mergeCell ref="TSF5:TSL5"/>
    <mergeCell ref="TSM5:TSS5"/>
    <mergeCell ref="TST5:TSZ5"/>
    <mergeCell ref="TTA5:TTG5"/>
    <mergeCell ref="TTH5:TTN5"/>
    <mergeCell ref="TTO5:TTU5"/>
    <mergeCell ref="TQP5:TQV5"/>
    <mergeCell ref="TQW5:TRC5"/>
    <mergeCell ref="TRD5:TRJ5"/>
    <mergeCell ref="TRK5:TRQ5"/>
    <mergeCell ref="TRR5:TRX5"/>
    <mergeCell ref="TRY5:TSE5"/>
    <mergeCell ref="TOZ5:TPF5"/>
    <mergeCell ref="TPG5:TPM5"/>
    <mergeCell ref="TPN5:TPT5"/>
    <mergeCell ref="TPU5:TQA5"/>
    <mergeCell ref="TQB5:TQH5"/>
    <mergeCell ref="TQI5:TQO5"/>
    <mergeCell ref="TNJ5:TNP5"/>
    <mergeCell ref="TNQ5:TNW5"/>
    <mergeCell ref="TNX5:TOD5"/>
    <mergeCell ref="TOE5:TOK5"/>
    <mergeCell ref="TOL5:TOR5"/>
    <mergeCell ref="TOS5:TOY5"/>
    <mergeCell ref="TLT5:TLZ5"/>
    <mergeCell ref="TMA5:TMG5"/>
    <mergeCell ref="TMH5:TMN5"/>
    <mergeCell ref="TMO5:TMU5"/>
    <mergeCell ref="TMV5:TNB5"/>
    <mergeCell ref="TNC5:TNI5"/>
    <mergeCell ref="TKD5:TKJ5"/>
    <mergeCell ref="TKK5:TKQ5"/>
    <mergeCell ref="TKR5:TKX5"/>
    <mergeCell ref="TKY5:TLE5"/>
    <mergeCell ref="TLF5:TLL5"/>
    <mergeCell ref="TLM5:TLS5"/>
    <mergeCell ref="TIN5:TIT5"/>
    <mergeCell ref="TIU5:TJA5"/>
    <mergeCell ref="TJB5:TJH5"/>
    <mergeCell ref="TJI5:TJO5"/>
    <mergeCell ref="TJP5:TJV5"/>
    <mergeCell ref="TJW5:TKC5"/>
    <mergeCell ref="TGX5:THD5"/>
    <mergeCell ref="THE5:THK5"/>
    <mergeCell ref="THL5:THR5"/>
    <mergeCell ref="THS5:THY5"/>
    <mergeCell ref="THZ5:TIF5"/>
    <mergeCell ref="TIG5:TIM5"/>
    <mergeCell ref="TFH5:TFN5"/>
    <mergeCell ref="TFO5:TFU5"/>
    <mergeCell ref="TFV5:TGB5"/>
    <mergeCell ref="TGC5:TGI5"/>
    <mergeCell ref="TGJ5:TGP5"/>
    <mergeCell ref="TGQ5:TGW5"/>
    <mergeCell ref="TDR5:TDX5"/>
    <mergeCell ref="TDY5:TEE5"/>
    <mergeCell ref="TEF5:TEL5"/>
    <mergeCell ref="TEM5:TES5"/>
    <mergeCell ref="TET5:TEZ5"/>
    <mergeCell ref="TFA5:TFG5"/>
    <mergeCell ref="TCB5:TCH5"/>
    <mergeCell ref="TCI5:TCO5"/>
    <mergeCell ref="TCP5:TCV5"/>
    <mergeCell ref="TCW5:TDC5"/>
    <mergeCell ref="TDD5:TDJ5"/>
    <mergeCell ref="TDK5:TDQ5"/>
    <mergeCell ref="TAL5:TAR5"/>
    <mergeCell ref="TAS5:TAY5"/>
    <mergeCell ref="TAZ5:TBF5"/>
    <mergeCell ref="TBG5:TBM5"/>
    <mergeCell ref="TBN5:TBT5"/>
    <mergeCell ref="TBU5:TCA5"/>
    <mergeCell ref="SYV5:SZB5"/>
    <mergeCell ref="SZC5:SZI5"/>
    <mergeCell ref="SZJ5:SZP5"/>
    <mergeCell ref="SZQ5:SZW5"/>
    <mergeCell ref="SZX5:TAD5"/>
    <mergeCell ref="TAE5:TAK5"/>
    <mergeCell ref="SXF5:SXL5"/>
    <mergeCell ref="SXM5:SXS5"/>
    <mergeCell ref="SXT5:SXZ5"/>
    <mergeCell ref="SYA5:SYG5"/>
    <mergeCell ref="SYH5:SYN5"/>
    <mergeCell ref="SYO5:SYU5"/>
    <mergeCell ref="SVP5:SVV5"/>
    <mergeCell ref="SVW5:SWC5"/>
    <mergeCell ref="SWD5:SWJ5"/>
    <mergeCell ref="SWK5:SWQ5"/>
    <mergeCell ref="SWR5:SWX5"/>
    <mergeCell ref="SWY5:SXE5"/>
    <mergeCell ref="STZ5:SUF5"/>
    <mergeCell ref="SUG5:SUM5"/>
    <mergeCell ref="SUN5:SUT5"/>
    <mergeCell ref="SUU5:SVA5"/>
    <mergeCell ref="SVB5:SVH5"/>
    <mergeCell ref="SVI5:SVO5"/>
    <mergeCell ref="SSJ5:SSP5"/>
    <mergeCell ref="SSQ5:SSW5"/>
    <mergeCell ref="SSX5:STD5"/>
    <mergeCell ref="STE5:STK5"/>
    <mergeCell ref="STL5:STR5"/>
    <mergeCell ref="STS5:STY5"/>
    <mergeCell ref="SQT5:SQZ5"/>
    <mergeCell ref="SRA5:SRG5"/>
    <mergeCell ref="SRH5:SRN5"/>
    <mergeCell ref="SRO5:SRU5"/>
    <mergeCell ref="SRV5:SSB5"/>
    <mergeCell ref="SSC5:SSI5"/>
    <mergeCell ref="SPD5:SPJ5"/>
    <mergeCell ref="SPK5:SPQ5"/>
    <mergeCell ref="SPR5:SPX5"/>
    <mergeCell ref="SPY5:SQE5"/>
    <mergeCell ref="SQF5:SQL5"/>
    <mergeCell ref="SQM5:SQS5"/>
    <mergeCell ref="SNN5:SNT5"/>
    <mergeCell ref="SNU5:SOA5"/>
    <mergeCell ref="SOB5:SOH5"/>
    <mergeCell ref="SOI5:SOO5"/>
    <mergeCell ref="SOP5:SOV5"/>
    <mergeCell ref="SOW5:SPC5"/>
    <mergeCell ref="SLX5:SMD5"/>
    <mergeCell ref="SME5:SMK5"/>
    <mergeCell ref="SML5:SMR5"/>
    <mergeCell ref="SMS5:SMY5"/>
    <mergeCell ref="SMZ5:SNF5"/>
    <mergeCell ref="SNG5:SNM5"/>
    <mergeCell ref="SKH5:SKN5"/>
    <mergeCell ref="SKO5:SKU5"/>
    <mergeCell ref="SKV5:SLB5"/>
    <mergeCell ref="SLC5:SLI5"/>
    <mergeCell ref="SLJ5:SLP5"/>
    <mergeCell ref="SLQ5:SLW5"/>
    <mergeCell ref="SIR5:SIX5"/>
    <mergeCell ref="SIY5:SJE5"/>
    <mergeCell ref="SJF5:SJL5"/>
    <mergeCell ref="SJM5:SJS5"/>
    <mergeCell ref="SJT5:SJZ5"/>
    <mergeCell ref="SKA5:SKG5"/>
    <mergeCell ref="SHB5:SHH5"/>
    <mergeCell ref="SHI5:SHO5"/>
    <mergeCell ref="SHP5:SHV5"/>
    <mergeCell ref="SHW5:SIC5"/>
    <mergeCell ref="SID5:SIJ5"/>
    <mergeCell ref="SIK5:SIQ5"/>
    <mergeCell ref="SFL5:SFR5"/>
    <mergeCell ref="SFS5:SFY5"/>
    <mergeCell ref="SFZ5:SGF5"/>
    <mergeCell ref="SGG5:SGM5"/>
    <mergeCell ref="SGN5:SGT5"/>
    <mergeCell ref="SGU5:SHA5"/>
    <mergeCell ref="SDV5:SEB5"/>
    <mergeCell ref="SEC5:SEI5"/>
    <mergeCell ref="SEJ5:SEP5"/>
    <mergeCell ref="SEQ5:SEW5"/>
    <mergeCell ref="SEX5:SFD5"/>
    <mergeCell ref="SFE5:SFK5"/>
    <mergeCell ref="SCF5:SCL5"/>
    <mergeCell ref="SCM5:SCS5"/>
    <mergeCell ref="SCT5:SCZ5"/>
    <mergeCell ref="SDA5:SDG5"/>
    <mergeCell ref="SDH5:SDN5"/>
    <mergeCell ref="SDO5:SDU5"/>
    <mergeCell ref="SAP5:SAV5"/>
    <mergeCell ref="SAW5:SBC5"/>
    <mergeCell ref="SBD5:SBJ5"/>
    <mergeCell ref="SBK5:SBQ5"/>
    <mergeCell ref="SBR5:SBX5"/>
    <mergeCell ref="SBY5:SCE5"/>
    <mergeCell ref="RYZ5:RZF5"/>
    <mergeCell ref="RZG5:RZM5"/>
    <mergeCell ref="RZN5:RZT5"/>
    <mergeCell ref="RZU5:SAA5"/>
    <mergeCell ref="SAB5:SAH5"/>
    <mergeCell ref="SAI5:SAO5"/>
    <mergeCell ref="RXJ5:RXP5"/>
    <mergeCell ref="RXQ5:RXW5"/>
    <mergeCell ref="RXX5:RYD5"/>
    <mergeCell ref="RYE5:RYK5"/>
    <mergeCell ref="RYL5:RYR5"/>
    <mergeCell ref="RYS5:RYY5"/>
    <mergeCell ref="RVT5:RVZ5"/>
    <mergeCell ref="RWA5:RWG5"/>
    <mergeCell ref="RWH5:RWN5"/>
    <mergeCell ref="RWO5:RWU5"/>
    <mergeCell ref="RWV5:RXB5"/>
    <mergeCell ref="RXC5:RXI5"/>
    <mergeCell ref="RUD5:RUJ5"/>
    <mergeCell ref="RUK5:RUQ5"/>
    <mergeCell ref="RUR5:RUX5"/>
    <mergeCell ref="RUY5:RVE5"/>
    <mergeCell ref="RVF5:RVL5"/>
    <mergeCell ref="RVM5:RVS5"/>
    <mergeCell ref="RSN5:RST5"/>
    <mergeCell ref="RSU5:RTA5"/>
    <mergeCell ref="RTB5:RTH5"/>
    <mergeCell ref="RTI5:RTO5"/>
    <mergeCell ref="RTP5:RTV5"/>
    <mergeCell ref="RTW5:RUC5"/>
    <mergeCell ref="RQX5:RRD5"/>
    <mergeCell ref="RRE5:RRK5"/>
    <mergeCell ref="RRL5:RRR5"/>
    <mergeCell ref="RRS5:RRY5"/>
    <mergeCell ref="RRZ5:RSF5"/>
    <mergeCell ref="RSG5:RSM5"/>
    <mergeCell ref="RPH5:RPN5"/>
    <mergeCell ref="RPO5:RPU5"/>
    <mergeCell ref="RPV5:RQB5"/>
    <mergeCell ref="RQC5:RQI5"/>
    <mergeCell ref="RQJ5:RQP5"/>
    <mergeCell ref="RQQ5:RQW5"/>
    <mergeCell ref="RNR5:RNX5"/>
    <mergeCell ref="RNY5:ROE5"/>
    <mergeCell ref="ROF5:ROL5"/>
    <mergeCell ref="ROM5:ROS5"/>
    <mergeCell ref="ROT5:ROZ5"/>
    <mergeCell ref="RPA5:RPG5"/>
    <mergeCell ref="RMB5:RMH5"/>
    <mergeCell ref="RMI5:RMO5"/>
    <mergeCell ref="RMP5:RMV5"/>
    <mergeCell ref="RMW5:RNC5"/>
    <mergeCell ref="RND5:RNJ5"/>
    <mergeCell ref="RNK5:RNQ5"/>
    <mergeCell ref="RKL5:RKR5"/>
    <mergeCell ref="RKS5:RKY5"/>
    <mergeCell ref="RKZ5:RLF5"/>
    <mergeCell ref="RLG5:RLM5"/>
    <mergeCell ref="RLN5:RLT5"/>
    <mergeCell ref="RLU5:RMA5"/>
    <mergeCell ref="RIV5:RJB5"/>
    <mergeCell ref="RJC5:RJI5"/>
    <mergeCell ref="RJJ5:RJP5"/>
    <mergeCell ref="RJQ5:RJW5"/>
    <mergeCell ref="RJX5:RKD5"/>
    <mergeCell ref="RKE5:RKK5"/>
    <mergeCell ref="RHF5:RHL5"/>
    <mergeCell ref="RHM5:RHS5"/>
    <mergeCell ref="RHT5:RHZ5"/>
    <mergeCell ref="RIA5:RIG5"/>
    <mergeCell ref="RIH5:RIN5"/>
    <mergeCell ref="RIO5:RIU5"/>
    <mergeCell ref="RFP5:RFV5"/>
    <mergeCell ref="RFW5:RGC5"/>
    <mergeCell ref="RGD5:RGJ5"/>
    <mergeCell ref="RGK5:RGQ5"/>
    <mergeCell ref="RGR5:RGX5"/>
    <mergeCell ref="RGY5:RHE5"/>
    <mergeCell ref="RDZ5:REF5"/>
    <mergeCell ref="REG5:REM5"/>
    <mergeCell ref="REN5:RET5"/>
    <mergeCell ref="REU5:RFA5"/>
    <mergeCell ref="RFB5:RFH5"/>
    <mergeCell ref="RFI5:RFO5"/>
    <mergeCell ref="RCJ5:RCP5"/>
    <mergeCell ref="RCQ5:RCW5"/>
    <mergeCell ref="RCX5:RDD5"/>
    <mergeCell ref="RDE5:RDK5"/>
    <mergeCell ref="RDL5:RDR5"/>
    <mergeCell ref="RDS5:RDY5"/>
    <mergeCell ref="RAT5:RAZ5"/>
    <mergeCell ref="RBA5:RBG5"/>
    <mergeCell ref="RBH5:RBN5"/>
    <mergeCell ref="RBO5:RBU5"/>
    <mergeCell ref="RBV5:RCB5"/>
    <mergeCell ref="RCC5:RCI5"/>
    <mergeCell ref="QZD5:QZJ5"/>
    <mergeCell ref="QZK5:QZQ5"/>
    <mergeCell ref="QZR5:QZX5"/>
    <mergeCell ref="QZY5:RAE5"/>
    <mergeCell ref="RAF5:RAL5"/>
    <mergeCell ref="RAM5:RAS5"/>
    <mergeCell ref="QXN5:QXT5"/>
    <mergeCell ref="QXU5:QYA5"/>
    <mergeCell ref="QYB5:QYH5"/>
    <mergeCell ref="QYI5:QYO5"/>
    <mergeCell ref="QYP5:QYV5"/>
    <mergeCell ref="QYW5:QZC5"/>
    <mergeCell ref="QVX5:QWD5"/>
    <mergeCell ref="QWE5:QWK5"/>
    <mergeCell ref="QWL5:QWR5"/>
    <mergeCell ref="QWS5:QWY5"/>
    <mergeCell ref="QWZ5:QXF5"/>
    <mergeCell ref="QXG5:QXM5"/>
    <mergeCell ref="QUH5:QUN5"/>
    <mergeCell ref="QUO5:QUU5"/>
    <mergeCell ref="QUV5:QVB5"/>
    <mergeCell ref="QVC5:QVI5"/>
    <mergeCell ref="QVJ5:QVP5"/>
    <mergeCell ref="QVQ5:QVW5"/>
    <mergeCell ref="QSR5:QSX5"/>
    <mergeCell ref="QSY5:QTE5"/>
    <mergeCell ref="QTF5:QTL5"/>
    <mergeCell ref="QTM5:QTS5"/>
    <mergeCell ref="QTT5:QTZ5"/>
    <mergeCell ref="QUA5:QUG5"/>
    <mergeCell ref="QRB5:QRH5"/>
    <mergeCell ref="QRI5:QRO5"/>
    <mergeCell ref="QRP5:QRV5"/>
    <mergeCell ref="QRW5:QSC5"/>
    <mergeCell ref="QSD5:QSJ5"/>
    <mergeCell ref="QSK5:QSQ5"/>
    <mergeCell ref="QPL5:QPR5"/>
    <mergeCell ref="QPS5:QPY5"/>
    <mergeCell ref="QPZ5:QQF5"/>
    <mergeCell ref="QQG5:QQM5"/>
    <mergeCell ref="QQN5:QQT5"/>
    <mergeCell ref="QQU5:QRA5"/>
    <mergeCell ref="QNV5:QOB5"/>
    <mergeCell ref="QOC5:QOI5"/>
    <mergeCell ref="QOJ5:QOP5"/>
    <mergeCell ref="QOQ5:QOW5"/>
    <mergeCell ref="QOX5:QPD5"/>
    <mergeCell ref="QPE5:QPK5"/>
    <mergeCell ref="QMF5:QML5"/>
    <mergeCell ref="QMM5:QMS5"/>
    <mergeCell ref="QMT5:QMZ5"/>
    <mergeCell ref="QNA5:QNG5"/>
    <mergeCell ref="QNH5:QNN5"/>
    <mergeCell ref="QNO5:QNU5"/>
    <mergeCell ref="QKP5:QKV5"/>
    <mergeCell ref="QKW5:QLC5"/>
    <mergeCell ref="QLD5:QLJ5"/>
    <mergeCell ref="QLK5:QLQ5"/>
    <mergeCell ref="QLR5:QLX5"/>
    <mergeCell ref="QLY5:QME5"/>
    <mergeCell ref="QIZ5:QJF5"/>
    <mergeCell ref="QJG5:QJM5"/>
    <mergeCell ref="QJN5:QJT5"/>
    <mergeCell ref="QJU5:QKA5"/>
    <mergeCell ref="QKB5:QKH5"/>
    <mergeCell ref="QKI5:QKO5"/>
    <mergeCell ref="QHJ5:QHP5"/>
    <mergeCell ref="QHQ5:QHW5"/>
    <mergeCell ref="QHX5:QID5"/>
    <mergeCell ref="QIE5:QIK5"/>
    <mergeCell ref="QIL5:QIR5"/>
    <mergeCell ref="QIS5:QIY5"/>
    <mergeCell ref="QFT5:QFZ5"/>
    <mergeCell ref="QGA5:QGG5"/>
    <mergeCell ref="QGH5:QGN5"/>
    <mergeCell ref="QGO5:QGU5"/>
    <mergeCell ref="QGV5:QHB5"/>
    <mergeCell ref="QHC5:QHI5"/>
    <mergeCell ref="QED5:QEJ5"/>
    <mergeCell ref="QEK5:QEQ5"/>
    <mergeCell ref="QER5:QEX5"/>
    <mergeCell ref="QEY5:QFE5"/>
    <mergeCell ref="QFF5:QFL5"/>
    <mergeCell ref="QFM5:QFS5"/>
    <mergeCell ref="QCN5:QCT5"/>
    <mergeCell ref="QCU5:QDA5"/>
    <mergeCell ref="QDB5:QDH5"/>
    <mergeCell ref="QDI5:QDO5"/>
    <mergeCell ref="QDP5:QDV5"/>
    <mergeCell ref="QDW5:QEC5"/>
    <mergeCell ref="QAX5:QBD5"/>
    <mergeCell ref="QBE5:QBK5"/>
    <mergeCell ref="QBL5:QBR5"/>
    <mergeCell ref="QBS5:QBY5"/>
    <mergeCell ref="QBZ5:QCF5"/>
    <mergeCell ref="QCG5:QCM5"/>
    <mergeCell ref="PZH5:PZN5"/>
    <mergeCell ref="PZO5:PZU5"/>
    <mergeCell ref="PZV5:QAB5"/>
    <mergeCell ref="QAC5:QAI5"/>
    <mergeCell ref="QAJ5:QAP5"/>
    <mergeCell ref="QAQ5:QAW5"/>
    <mergeCell ref="PXR5:PXX5"/>
    <mergeCell ref="PXY5:PYE5"/>
    <mergeCell ref="PYF5:PYL5"/>
    <mergeCell ref="PYM5:PYS5"/>
    <mergeCell ref="PYT5:PYZ5"/>
    <mergeCell ref="PZA5:PZG5"/>
    <mergeCell ref="PWB5:PWH5"/>
    <mergeCell ref="PWI5:PWO5"/>
    <mergeCell ref="PWP5:PWV5"/>
    <mergeCell ref="PWW5:PXC5"/>
    <mergeCell ref="PXD5:PXJ5"/>
    <mergeCell ref="PXK5:PXQ5"/>
    <mergeCell ref="PUL5:PUR5"/>
    <mergeCell ref="PUS5:PUY5"/>
    <mergeCell ref="PUZ5:PVF5"/>
    <mergeCell ref="PVG5:PVM5"/>
    <mergeCell ref="PVN5:PVT5"/>
    <mergeCell ref="PVU5:PWA5"/>
    <mergeCell ref="PSV5:PTB5"/>
    <mergeCell ref="PTC5:PTI5"/>
    <mergeCell ref="PTJ5:PTP5"/>
    <mergeCell ref="PTQ5:PTW5"/>
    <mergeCell ref="PTX5:PUD5"/>
    <mergeCell ref="PUE5:PUK5"/>
    <mergeCell ref="PRF5:PRL5"/>
    <mergeCell ref="PRM5:PRS5"/>
    <mergeCell ref="PRT5:PRZ5"/>
    <mergeCell ref="PSA5:PSG5"/>
    <mergeCell ref="PSH5:PSN5"/>
    <mergeCell ref="PSO5:PSU5"/>
    <mergeCell ref="PPP5:PPV5"/>
    <mergeCell ref="PPW5:PQC5"/>
    <mergeCell ref="PQD5:PQJ5"/>
    <mergeCell ref="PQK5:PQQ5"/>
    <mergeCell ref="PQR5:PQX5"/>
    <mergeCell ref="PQY5:PRE5"/>
    <mergeCell ref="PNZ5:POF5"/>
    <mergeCell ref="POG5:POM5"/>
    <mergeCell ref="PON5:POT5"/>
    <mergeCell ref="POU5:PPA5"/>
    <mergeCell ref="PPB5:PPH5"/>
    <mergeCell ref="PPI5:PPO5"/>
    <mergeCell ref="PMJ5:PMP5"/>
    <mergeCell ref="PMQ5:PMW5"/>
    <mergeCell ref="PMX5:PND5"/>
    <mergeCell ref="PNE5:PNK5"/>
    <mergeCell ref="PNL5:PNR5"/>
    <mergeCell ref="PNS5:PNY5"/>
    <mergeCell ref="PKT5:PKZ5"/>
    <mergeCell ref="PLA5:PLG5"/>
    <mergeCell ref="PLH5:PLN5"/>
    <mergeCell ref="PLO5:PLU5"/>
    <mergeCell ref="PLV5:PMB5"/>
    <mergeCell ref="PMC5:PMI5"/>
    <mergeCell ref="PJD5:PJJ5"/>
    <mergeCell ref="PJK5:PJQ5"/>
    <mergeCell ref="PJR5:PJX5"/>
    <mergeCell ref="PJY5:PKE5"/>
    <mergeCell ref="PKF5:PKL5"/>
    <mergeCell ref="PKM5:PKS5"/>
    <mergeCell ref="PHN5:PHT5"/>
    <mergeCell ref="PHU5:PIA5"/>
    <mergeCell ref="PIB5:PIH5"/>
    <mergeCell ref="PII5:PIO5"/>
    <mergeCell ref="PIP5:PIV5"/>
    <mergeCell ref="PIW5:PJC5"/>
    <mergeCell ref="PFX5:PGD5"/>
    <mergeCell ref="PGE5:PGK5"/>
    <mergeCell ref="PGL5:PGR5"/>
    <mergeCell ref="PGS5:PGY5"/>
    <mergeCell ref="PGZ5:PHF5"/>
    <mergeCell ref="PHG5:PHM5"/>
    <mergeCell ref="PEH5:PEN5"/>
    <mergeCell ref="PEO5:PEU5"/>
    <mergeCell ref="PEV5:PFB5"/>
    <mergeCell ref="PFC5:PFI5"/>
    <mergeCell ref="PFJ5:PFP5"/>
    <mergeCell ref="PFQ5:PFW5"/>
    <mergeCell ref="PCR5:PCX5"/>
    <mergeCell ref="PCY5:PDE5"/>
    <mergeCell ref="PDF5:PDL5"/>
    <mergeCell ref="PDM5:PDS5"/>
    <mergeCell ref="PDT5:PDZ5"/>
    <mergeCell ref="PEA5:PEG5"/>
    <mergeCell ref="PBB5:PBH5"/>
    <mergeCell ref="PBI5:PBO5"/>
    <mergeCell ref="PBP5:PBV5"/>
    <mergeCell ref="PBW5:PCC5"/>
    <mergeCell ref="PCD5:PCJ5"/>
    <mergeCell ref="PCK5:PCQ5"/>
    <mergeCell ref="OZL5:OZR5"/>
    <mergeCell ref="OZS5:OZY5"/>
    <mergeCell ref="OZZ5:PAF5"/>
    <mergeCell ref="PAG5:PAM5"/>
    <mergeCell ref="PAN5:PAT5"/>
    <mergeCell ref="PAU5:PBA5"/>
    <mergeCell ref="OXV5:OYB5"/>
    <mergeCell ref="OYC5:OYI5"/>
    <mergeCell ref="OYJ5:OYP5"/>
    <mergeCell ref="OYQ5:OYW5"/>
    <mergeCell ref="OYX5:OZD5"/>
    <mergeCell ref="OZE5:OZK5"/>
    <mergeCell ref="OWF5:OWL5"/>
    <mergeCell ref="OWM5:OWS5"/>
    <mergeCell ref="OWT5:OWZ5"/>
    <mergeCell ref="OXA5:OXG5"/>
    <mergeCell ref="OXH5:OXN5"/>
    <mergeCell ref="OXO5:OXU5"/>
    <mergeCell ref="OUP5:OUV5"/>
    <mergeCell ref="OUW5:OVC5"/>
    <mergeCell ref="OVD5:OVJ5"/>
    <mergeCell ref="OVK5:OVQ5"/>
    <mergeCell ref="OVR5:OVX5"/>
    <mergeCell ref="OVY5:OWE5"/>
    <mergeCell ref="OSZ5:OTF5"/>
    <mergeCell ref="OTG5:OTM5"/>
    <mergeCell ref="OTN5:OTT5"/>
    <mergeCell ref="OTU5:OUA5"/>
    <mergeCell ref="OUB5:OUH5"/>
    <mergeCell ref="OUI5:OUO5"/>
    <mergeCell ref="ORJ5:ORP5"/>
    <mergeCell ref="ORQ5:ORW5"/>
    <mergeCell ref="ORX5:OSD5"/>
    <mergeCell ref="OSE5:OSK5"/>
    <mergeCell ref="OSL5:OSR5"/>
    <mergeCell ref="OSS5:OSY5"/>
    <mergeCell ref="OPT5:OPZ5"/>
    <mergeCell ref="OQA5:OQG5"/>
    <mergeCell ref="OQH5:OQN5"/>
    <mergeCell ref="OQO5:OQU5"/>
    <mergeCell ref="OQV5:ORB5"/>
    <mergeCell ref="ORC5:ORI5"/>
    <mergeCell ref="OOD5:OOJ5"/>
    <mergeCell ref="OOK5:OOQ5"/>
    <mergeCell ref="OOR5:OOX5"/>
    <mergeCell ref="OOY5:OPE5"/>
    <mergeCell ref="OPF5:OPL5"/>
    <mergeCell ref="OPM5:OPS5"/>
    <mergeCell ref="OMN5:OMT5"/>
    <mergeCell ref="OMU5:ONA5"/>
    <mergeCell ref="ONB5:ONH5"/>
    <mergeCell ref="ONI5:ONO5"/>
    <mergeCell ref="ONP5:ONV5"/>
    <mergeCell ref="ONW5:OOC5"/>
    <mergeCell ref="OKX5:OLD5"/>
    <mergeCell ref="OLE5:OLK5"/>
    <mergeCell ref="OLL5:OLR5"/>
    <mergeCell ref="OLS5:OLY5"/>
    <mergeCell ref="OLZ5:OMF5"/>
    <mergeCell ref="OMG5:OMM5"/>
    <mergeCell ref="OJH5:OJN5"/>
    <mergeCell ref="OJO5:OJU5"/>
    <mergeCell ref="OJV5:OKB5"/>
    <mergeCell ref="OKC5:OKI5"/>
    <mergeCell ref="OKJ5:OKP5"/>
    <mergeCell ref="OKQ5:OKW5"/>
    <mergeCell ref="OHR5:OHX5"/>
    <mergeCell ref="OHY5:OIE5"/>
    <mergeCell ref="OIF5:OIL5"/>
    <mergeCell ref="OIM5:OIS5"/>
    <mergeCell ref="OIT5:OIZ5"/>
    <mergeCell ref="OJA5:OJG5"/>
    <mergeCell ref="OGB5:OGH5"/>
    <mergeCell ref="OGI5:OGO5"/>
    <mergeCell ref="OGP5:OGV5"/>
    <mergeCell ref="OGW5:OHC5"/>
    <mergeCell ref="OHD5:OHJ5"/>
    <mergeCell ref="OHK5:OHQ5"/>
    <mergeCell ref="OEL5:OER5"/>
    <mergeCell ref="OES5:OEY5"/>
    <mergeCell ref="OEZ5:OFF5"/>
    <mergeCell ref="OFG5:OFM5"/>
    <mergeCell ref="OFN5:OFT5"/>
    <mergeCell ref="OFU5:OGA5"/>
    <mergeCell ref="OCV5:ODB5"/>
    <mergeCell ref="ODC5:ODI5"/>
    <mergeCell ref="ODJ5:ODP5"/>
    <mergeCell ref="ODQ5:ODW5"/>
    <mergeCell ref="ODX5:OED5"/>
    <mergeCell ref="OEE5:OEK5"/>
    <mergeCell ref="OBF5:OBL5"/>
    <mergeCell ref="OBM5:OBS5"/>
    <mergeCell ref="OBT5:OBZ5"/>
    <mergeCell ref="OCA5:OCG5"/>
    <mergeCell ref="OCH5:OCN5"/>
    <mergeCell ref="OCO5:OCU5"/>
    <mergeCell ref="NZP5:NZV5"/>
    <mergeCell ref="NZW5:OAC5"/>
    <mergeCell ref="OAD5:OAJ5"/>
    <mergeCell ref="OAK5:OAQ5"/>
    <mergeCell ref="OAR5:OAX5"/>
    <mergeCell ref="OAY5:OBE5"/>
    <mergeCell ref="NXZ5:NYF5"/>
    <mergeCell ref="NYG5:NYM5"/>
    <mergeCell ref="NYN5:NYT5"/>
    <mergeCell ref="NYU5:NZA5"/>
    <mergeCell ref="NZB5:NZH5"/>
    <mergeCell ref="NZI5:NZO5"/>
    <mergeCell ref="NWJ5:NWP5"/>
    <mergeCell ref="NWQ5:NWW5"/>
    <mergeCell ref="NWX5:NXD5"/>
    <mergeCell ref="NXE5:NXK5"/>
    <mergeCell ref="NXL5:NXR5"/>
    <mergeCell ref="NXS5:NXY5"/>
    <mergeCell ref="NUT5:NUZ5"/>
    <mergeCell ref="NVA5:NVG5"/>
    <mergeCell ref="NVH5:NVN5"/>
    <mergeCell ref="NVO5:NVU5"/>
    <mergeCell ref="NVV5:NWB5"/>
    <mergeCell ref="NWC5:NWI5"/>
    <mergeCell ref="NTD5:NTJ5"/>
    <mergeCell ref="NTK5:NTQ5"/>
    <mergeCell ref="NTR5:NTX5"/>
    <mergeCell ref="NTY5:NUE5"/>
    <mergeCell ref="NUF5:NUL5"/>
    <mergeCell ref="NUM5:NUS5"/>
    <mergeCell ref="NRN5:NRT5"/>
    <mergeCell ref="NRU5:NSA5"/>
    <mergeCell ref="NSB5:NSH5"/>
    <mergeCell ref="NSI5:NSO5"/>
    <mergeCell ref="NSP5:NSV5"/>
    <mergeCell ref="NSW5:NTC5"/>
    <mergeCell ref="NPX5:NQD5"/>
    <mergeCell ref="NQE5:NQK5"/>
    <mergeCell ref="NQL5:NQR5"/>
    <mergeCell ref="NQS5:NQY5"/>
    <mergeCell ref="NQZ5:NRF5"/>
    <mergeCell ref="NRG5:NRM5"/>
    <mergeCell ref="NOH5:NON5"/>
    <mergeCell ref="NOO5:NOU5"/>
    <mergeCell ref="NOV5:NPB5"/>
    <mergeCell ref="NPC5:NPI5"/>
    <mergeCell ref="NPJ5:NPP5"/>
    <mergeCell ref="NPQ5:NPW5"/>
    <mergeCell ref="NMR5:NMX5"/>
    <mergeCell ref="NMY5:NNE5"/>
    <mergeCell ref="NNF5:NNL5"/>
    <mergeCell ref="NNM5:NNS5"/>
    <mergeCell ref="NNT5:NNZ5"/>
    <mergeCell ref="NOA5:NOG5"/>
    <mergeCell ref="NLB5:NLH5"/>
    <mergeCell ref="NLI5:NLO5"/>
    <mergeCell ref="NLP5:NLV5"/>
    <mergeCell ref="NLW5:NMC5"/>
    <mergeCell ref="NMD5:NMJ5"/>
    <mergeCell ref="NMK5:NMQ5"/>
    <mergeCell ref="NJL5:NJR5"/>
    <mergeCell ref="NJS5:NJY5"/>
    <mergeCell ref="NJZ5:NKF5"/>
    <mergeCell ref="NKG5:NKM5"/>
    <mergeCell ref="NKN5:NKT5"/>
    <mergeCell ref="NKU5:NLA5"/>
    <mergeCell ref="NHV5:NIB5"/>
    <mergeCell ref="NIC5:NII5"/>
    <mergeCell ref="NIJ5:NIP5"/>
    <mergeCell ref="NIQ5:NIW5"/>
    <mergeCell ref="NIX5:NJD5"/>
    <mergeCell ref="NJE5:NJK5"/>
    <mergeCell ref="NGF5:NGL5"/>
    <mergeCell ref="NGM5:NGS5"/>
    <mergeCell ref="NGT5:NGZ5"/>
    <mergeCell ref="NHA5:NHG5"/>
    <mergeCell ref="NHH5:NHN5"/>
    <mergeCell ref="NHO5:NHU5"/>
    <mergeCell ref="NEP5:NEV5"/>
    <mergeCell ref="NEW5:NFC5"/>
    <mergeCell ref="NFD5:NFJ5"/>
    <mergeCell ref="NFK5:NFQ5"/>
    <mergeCell ref="NFR5:NFX5"/>
    <mergeCell ref="NFY5:NGE5"/>
    <mergeCell ref="NCZ5:NDF5"/>
    <mergeCell ref="NDG5:NDM5"/>
    <mergeCell ref="NDN5:NDT5"/>
    <mergeCell ref="NDU5:NEA5"/>
    <mergeCell ref="NEB5:NEH5"/>
    <mergeCell ref="NEI5:NEO5"/>
    <mergeCell ref="NBJ5:NBP5"/>
    <mergeCell ref="NBQ5:NBW5"/>
    <mergeCell ref="NBX5:NCD5"/>
    <mergeCell ref="NCE5:NCK5"/>
    <mergeCell ref="NCL5:NCR5"/>
    <mergeCell ref="NCS5:NCY5"/>
    <mergeCell ref="MZT5:MZZ5"/>
    <mergeCell ref="NAA5:NAG5"/>
    <mergeCell ref="NAH5:NAN5"/>
    <mergeCell ref="NAO5:NAU5"/>
    <mergeCell ref="NAV5:NBB5"/>
    <mergeCell ref="NBC5:NBI5"/>
    <mergeCell ref="MYD5:MYJ5"/>
    <mergeCell ref="MYK5:MYQ5"/>
    <mergeCell ref="MYR5:MYX5"/>
    <mergeCell ref="MYY5:MZE5"/>
    <mergeCell ref="MZF5:MZL5"/>
    <mergeCell ref="MZM5:MZS5"/>
    <mergeCell ref="MWN5:MWT5"/>
    <mergeCell ref="MWU5:MXA5"/>
    <mergeCell ref="MXB5:MXH5"/>
    <mergeCell ref="MXI5:MXO5"/>
    <mergeCell ref="MXP5:MXV5"/>
    <mergeCell ref="MXW5:MYC5"/>
    <mergeCell ref="MUX5:MVD5"/>
    <mergeCell ref="MVE5:MVK5"/>
    <mergeCell ref="MVL5:MVR5"/>
    <mergeCell ref="MVS5:MVY5"/>
    <mergeCell ref="MVZ5:MWF5"/>
    <mergeCell ref="MWG5:MWM5"/>
    <mergeCell ref="MTH5:MTN5"/>
    <mergeCell ref="MTO5:MTU5"/>
    <mergeCell ref="MTV5:MUB5"/>
    <mergeCell ref="MUC5:MUI5"/>
    <mergeCell ref="MUJ5:MUP5"/>
    <mergeCell ref="MUQ5:MUW5"/>
    <mergeCell ref="MRR5:MRX5"/>
    <mergeCell ref="MRY5:MSE5"/>
    <mergeCell ref="MSF5:MSL5"/>
    <mergeCell ref="MSM5:MSS5"/>
    <mergeCell ref="MST5:MSZ5"/>
    <mergeCell ref="MTA5:MTG5"/>
    <mergeCell ref="MQB5:MQH5"/>
    <mergeCell ref="MQI5:MQO5"/>
    <mergeCell ref="MQP5:MQV5"/>
    <mergeCell ref="MQW5:MRC5"/>
    <mergeCell ref="MRD5:MRJ5"/>
    <mergeCell ref="MRK5:MRQ5"/>
    <mergeCell ref="MOL5:MOR5"/>
    <mergeCell ref="MOS5:MOY5"/>
    <mergeCell ref="MOZ5:MPF5"/>
    <mergeCell ref="MPG5:MPM5"/>
    <mergeCell ref="MPN5:MPT5"/>
    <mergeCell ref="MPU5:MQA5"/>
    <mergeCell ref="MMV5:MNB5"/>
    <mergeCell ref="MNC5:MNI5"/>
    <mergeCell ref="MNJ5:MNP5"/>
    <mergeCell ref="MNQ5:MNW5"/>
    <mergeCell ref="MNX5:MOD5"/>
    <mergeCell ref="MOE5:MOK5"/>
    <mergeCell ref="MLF5:MLL5"/>
    <mergeCell ref="MLM5:MLS5"/>
    <mergeCell ref="MLT5:MLZ5"/>
    <mergeCell ref="MMA5:MMG5"/>
    <mergeCell ref="MMH5:MMN5"/>
    <mergeCell ref="MMO5:MMU5"/>
    <mergeCell ref="MJP5:MJV5"/>
    <mergeCell ref="MJW5:MKC5"/>
    <mergeCell ref="MKD5:MKJ5"/>
    <mergeCell ref="MKK5:MKQ5"/>
    <mergeCell ref="MKR5:MKX5"/>
    <mergeCell ref="MKY5:MLE5"/>
    <mergeCell ref="MHZ5:MIF5"/>
    <mergeCell ref="MIG5:MIM5"/>
    <mergeCell ref="MIN5:MIT5"/>
    <mergeCell ref="MIU5:MJA5"/>
    <mergeCell ref="MJB5:MJH5"/>
    <mergeCell ref="MJI5:MJO5"/>
    <mergeCell ref="MGJ5:MGP5"/>
    <mergeCell ref="MGQ5:MGW5"/>
    <mergeCell ref="MGX5:MHD5"/>
    <mergeCell ref="MHE5:MHK5"/>
    <mergeCell ref="MHL5:MHR5"/>
    <mergeCell ref="MHS5:MHY5"/>
    <mergeCell ref="MET5:MEZ5"/>
    <mergeCell ref="MFA5:MFG5"/>
    <mergeCell ref="MFH5:MFN5"/>
    <mergeCell ref="MFO5:MFU5"/>
    <mergeCell ref="MFV5:MGB5"/>
    <mergeCell ref="MGC5:MGI5"/>
    <mergeCell ref="MDD5:MDJ5"/>
    <mergeCell ref="MDK5:MDQ5"/>
    <mergeCell ref="MDR5:MDX5"/>
    <mergeCell ref="MDY5:MEE5"/>
    <mergeCell ref="MEF5:MEL5"/>
    <mergeCell ref="MEM5:MES5"/>
    <mergeCell ref="MBN5:MBT5"/>
    <mergeCell ref="MBU5:MCA5"/>
    <mergeCell ref="MCB5:MCH5"/>
    <mergeCell ref="MCI5:MCO5"/>
    <mergeCell ref="MCP5:MCV5"/>
    <mergeCell ref="MCW5:MDC5"/>
    <mergeCell ref="LZX5:MAD5"/>
    <mergeCell ref="MAE5:MAK5"/>
    <mergeCell ref="MAL5:MAR5"/>
    <mergeCell ref="MAS5:MAY5"/>
    <mergeCell ref="MAZ5:MBF5"/>
    <mergeCell ref="MBG5:MBM5"/>
    <mergeCell ref="LYH5:LYN5"/>
    <mergeCell ref="LYO5:LYU5"/>
    <mergeCell ref="LYV5:LZB5"/>
    <mergeCell ref="LZC5:LZI5"/>
    <mergeCell ref="LZJ5:LZP5"/>
    <mergeCell ref="LZQ5:LZW5"/>
    <mergeCell ref="LWR5:LWX5"/>
    <mergeCell ref="LWY5:LXE5"/>
    <mergeCell ref="LXF5:LXL5"/>
    <mergeCell ref="LXM5:LXS5"/>
    <mergeCell ref="LXT5:LXZ5"/>
    <mergeCell ref="LYA5:LYG5"/>
    <mergeCell ref="LVB5:LVH5"/>
    <mergeCell ref="LVI5:LVO5"/>
    <mergeCell ref="LVP5:LVV5"/>
    <mergeCell ref="LVW5:LWC5"/>
    <mergeCell ref="LWD5:LWJ5"/>
    <mergeCell ref="LWK5:LWQ5"/>
    <mergeCell ref="LTL5:LTR5"/>
    <mergeCell ref="LTS5:LTY5"/>
    <mergeCell ref="LTZ5:LUF5"/>
    <mergeCell ref="LUG5:LUM5"/>
    <mergeCell ref="LUN5:LUT5"/>
    <mergeCell ref="LUU5:LVA5"/>
    <mergeCell ref="LRV5:LSB5"/>
    <mergeCell ref="LSC5:LSI5"/>
    <mergeCell ref="LSJ5:LSP5"/>
    <mergeCell ref="LSQ5:LSW5"/>
    <mergeCell ref="LSX5:LTD5"/>
    <mergeCell ref="LTE5:LTK5"/>
    <mergeCell ref="LQF5:LQL5"/>
    <mergeCell ref="LQM5:LQS5"/>
    <mergeCell ref="LQT5:LQZ5"/>
    <mergeCell ref="LRA5:LRG5"/>
    <mergeCell ref="LRH5:LRN5"/>
    <mergeCell ref="LRO5:LRU5"/>
    <mergeCell ref="LOP5:LOV5"/>
    <mergeCell ref="LOW5:LPC5"/>
    <mergeCell ref="LPD5:LPJ5"/>
    <mergeCell ref="LPK5:LPQ5"/>
    <mergeCell ref="LPR5:LPX5"/>
    <mergeCell ref="LPY5:LQE5"/>
    <mergeCell ref="LMZ5:LNF5"/>
    <mergeCell ref="LNG5:LNM5"/>
    <mergeCell ref="LNN5:LNT5"/>
    <mergeCell ref="LNU5:LOA5"/>
    <mergeCell ref="LOB5:LOH5"/>
    <mergeCell ref="LOI5:LOO5"/>
    <mergeCell ref="LLJ5:LLP5"/>
    <mergeCell ref="LLQ5:LLW5"/>
    <mergeCell ref="LLX5:LMD5"/>
    <mergeCell ref="LME5:LMK5"/>
    <mergeCell ref="LML5:LMR5"/>
    <mergeCell ref="LMS5:LMY5"/>
    <mergeCell ref="LJT5:LJZ5"/>
    <mergeCell ref="LKA5:LKG5"/>
    <mergeCell ref="LKH5:LKN5"/>
    <mergeCell ref="LKO5:LKU5"/>
    <mergeCell ref="LKV5:LLB5"/>
    <mergeCell ref="LLC5:LLI5"/>
    <mergeCell ref="LID5:LIJ5"/>
    <mergeCell ref="LIK5:LIQ5"/>
    <mergeCell ref="LIR5:LIX5"/>
    <mergeCell ref="LIY5:LJE5"/>
    <mergeCell ref="LJF5:LJL5"/>
    <mergeCell ref="LJM5:LJS5"/>
    <mergeCell ref="LGN5:LGT5"/>
    <mergeCell ref="LGU5:LHA5"/>
    <mergeCell ref="LHB5:LHH5"/>
    <mergeCell ref="LHI5:LHO5"/>
    <mergeCell ref="LHP5:LHV5"/>
    <mergeCell ref="LHW5:LIC5"/>
    <mergeCell ref="LEX5:LFD5"/>
    <mergeCell ref="LFE5:LFK5"/>
    <mergeCell ref="LFL5:LFR5"/>
    <mergeCell ref="LFS5:LFY5"/>
    <mergeCell ref="LFZ5:LGF5"/>
    <mergeCell ref="LGG5:LGM5"/>
    <mergeCell ref="LDH5:LDN5"/>
    <mergeCell ref="LDO5:LDU5"/>
    <mergeCell ref="LDV5:LEB5"/>
    <mergeCell ref="LEC5:LEI5"/>
    <mergeCell ref="LEJ5:LEP5"/>
    <mergeCell ref="LEQ5:LEW5"/>
    <mergeCell ref="LBR5:LBX5"/>
    <mergeCell ref="LBY5:LCE5"/>
    <mergeCell ref="LCF5:LCL5"/>
    <mergeCell ref="LCM5:LCS5"/>
    <mergeCell ref="LCT5:LCZ5"/>
    <mergeCell ref="LDA5:LDG5"/>
    <mergeCell ref="LAB5:LAH5"/>
    <mergeCell ref="LAI5:LAO5"/>
    <mergeCell ref="LAP5:LAV5"/>
    <mergeCell ref="LAW5:LBC5"/>
    <mergeCell ref="LBD5:LBJ5"/>
    <mergeCell ref="LBK5:LBQ5"/>
    <mergeCell ref="KYL5:KYR5"/>
    <mergeCell ref="KYS5:KYY5"/>
    <mergeCell ref="KYZ5:KZF5"/>
    <mergeCell ref="KZG5:KZM5"/>
    <mergeCell ref="KZN5:KZT5"/>
    <mergeCell ref="KZU5:LAA5"/>
    <mergeCell ref="KWV5:KXB5"/>
    <mergeCell ref="KXC5:KXI5"/>
    <mergeCell ref="KXJ5:KXP5"/>
    <mergeCell ref="KXQ5:KXW5"/>
    <mergeCell ref="KXX5:KYD5"/>
    <mergeCell ref="KYE5:KYK5"/>
    <mergeCell ref="KVF5:KVL5"/>
    <mergeCell ref="KVM5:KVS5"/>
    <mergeCell ref="KVT5:KVZ5"/>
    <mergeCell ref="KWA5:KWG5"/>
    <mergeCell ref="KWH5:KWN5"/>
    <mergeCell ref="KWO5:KWU5"/>
    <mergeCell ref="KTP5:KTV5"/>
    <mergeCell ref="KTW5:KUC5"/>
    <mergeCell ref="KUD5:KUJ5"/>
    <mergeCell ref="KUK5:KUQ5"/>
    <mergeCell ref="KUR5:KUX5"/>
    <mergeCell ref="KUY5:KVE5"/>
    <mergeCell ref="KRZ5:KSF5"/>
    <mergeCell ref="KSG5:KSM5"/>
    <mergeCell ref="KSN5:KST5"/>
    <mergeCell ref="KSU5:KTA5"/>
    <mergeCell ref="KTB5:KTH5"/>
    <mergeCell ref="KTI5:KTO5"/>
    <mergeCell ref="KQJ5:KQP5"/>
    <mergeCell ref="KQQ5:KQW5"/>
    <mergeCell ref="KQX5:KRD5"/>
    <mergeCell ref="KRE5:KRK5"/>
    <mergeCell ref="KRL5:KRR5"/>
    <mergeCell ref="KRS5:KRY5"/>
    <mergeCell ref="KOT5:KOZ5"/>
    <mergeCell ref="KPA5:KPG5"/>
    <mergeCell ref="KPH5:KPN5"/>
    <mergeCell ref="KPO5:KPU5"/>
    <mergeCell ref="KPV5:KQB5"/>
    <mergeCell ref="KQC5:KQI5"/>
    <mergeCell ref="KND5:KNJ5"/>
    <mergeCell ref="KNK5:KNQ5"/>
    <mergeCell ref="KNR5:KNX5"/>
    <mergeCell ref="KNY5:KOE5"/>
    <mergeCell ref="KOF5:KOL5"/>
    <mergeCell ref="KOM5:KOS5"/>
    <mergeCell ref="KLN5:KLT5"/>
    <mergeCell ref="KLU5:KMA5"/>
    <mergeCell ref="KMB5:KMH5"/>
    <mergeCell ref="KMI5:KMO5"/>
    <mergeCell ref="KMP5:KMV5"/>
    <mergeCell ref="KMW5:KNC5"/>
    <mergeCell ref="KJX5:KKD5"/>
    <mergeCell ref="KKE5:KKK5"/>
    <mergeCell ref="KKL5:KKR5"/>
    <mergeCell ref="KKS5:KKY5"/>
    <mergeCell ref="KKZ5:KLF5"/>
    <mergeCell ref="KLG5:KLM5"/>
    <mergeCell ref="KIH5:KIN5"/>
    <mergeCell ref="KIO5:KIU5"/>
    <mergeCell ref="KIV5:KJB5"/>
    <mergeCell ref="KJC5:KJI5"/>
    <mergeCell ref="KJJ5:KJP5"/>
    <mergeCell ref="KJQ5:KJW5"/>
    <mergeCell ref="KGR5:KGX5"/>
    <mergeCell ref="KGY5:KHE5"/>
    <mergeCell ref="KHF5:KHL5"/>
    <mergeCell ref="KHM5:KHS5"/>
    <mergeCell ref="KHT5:KHZ5"/>
    <mergeCell ref="KIA5:KIG5"/>
    <mergeCell ref="KFB5:KFH5"/>
    <mergeCell ref="KFI5:KFO5"/>
    <mergeCell ref="KFP5:KFV5"/>
    <mergeCell ref="KFW5:KGC5"/>
    <mergeCell ref="KGD5:KGJ5"/>
    <mergeCell ref="KGK5:KGQ5"/>
    <mergeCell ref="KDL5:KDR5"/>
    <mergeCell ref="KDS5:KDY5"/>
    <mergeCell ref="KDZ5:KEF5"/>
    <mergeCell ref="KEG5:KEM5"/>
    <mergeCell ref="KEN5:KET5"/>
    <mergeCell ref="KEU5:KFA5"/>
    <mergeCell ref="KBV5:KCB5"/>
    <mergeCell ref="KCC5:KCI5"/>
    <mergeCell ref="KCJ5:KCP5"/>
    <mergeCell ref="KCQ5:KCW5"/>
    <mergeCell ref="KCX5:KDD5"/>
    <mergeCell ref="KDE5:KDK5"/>
    <mergeCell ref="KAF5:KAL5"/>
    <mergeCell ref="KAM5:KAS5"/>
    <mergeCell ref="KAT5:KAZ5"/>
    <mergeCell ref="KBA5:KBG5"/>
    <mergeCell ref="KBH5:KBN5"/>
    <mergeCell ref="KBO5:KBU5"/>
    <mergeCell ref="JYP5:JYV5"/>
    <mergeCell ref="JYW5:JZC5"/>
    <mergeCell ref="JZD5:JZJ5"/>
    <mergeCell ref="JZK5:JZQ5"/>
    <mergeCell ref="JZR5:JZX5"/>
    <mergeCell ref="JZY5:KAE5"/>
    <mergeCell ref="JWZ5:JXF5"/>
    <mergeCell ref="JXG5:JXM5"/>
    <mergeCell ref="JXN5:JXT5"/>
    <mergeCell ref="JXU5:JYA5"/>
    <mergeCell ref="JYB5:JYH5"/>
    <mergeCell ref="JYI5:JYO5"/>
    <mergeCell ref="JVJ5:JVP5"/>
    <mergeCell ref="JVQ5:JVW5"/>
    <mergeCell ref="JVX5:JWD5"/>
    <mergeCell ref="JWE5:JWK5"/>
    <mergeCell ref="JWL5:JWR5"/>
    <mergeCell ref="JWS5:JWY5"/>
    <mergeCell ref="JTT5:JTZ5"/>
    <mergeCell ref="JUA5:JUG5"/>
    <mergeCell ref="JUH5:JUN5"/>
    <mergeCell ref="JUO5:JUU5"/>
    <mergeCell ref="JUV5:JVB5"/>
    <mergeCell ref="JVC5:JVI5"/>
    <mergeCell ref="JSD5:JSJ5"/>
    <mergeCell ref="JSK5:JSQ5"/>
    <mergeCell ref="JSR5:JSX5"/>
    <mergeCell ref="JSY5:JTE5"/>
    <mergeCell ref="JTF5:JTL5"/>
    <mergeCell ref="JTM5:JTS5"/>
    <mergeCell ref="JQN5:JQT5"/>
    <mergeCell ref="JQU5:JRA5"/>
    <mergeCell ref="JRB5:JRH5"/>
    <mergeCell ref="JRI5:JRO5"/>
    <mergeCell ref="JRP5:JRV5"/>
    <mergeCell ref="JRW5:JSC5"/>
    <mergeCell ref="JOX5:JPD5"/>
    <mergeCell ref="JPE5:JPK5"/>
    <mergeCell ref="JPL5:JPR5"/>
    <mergeCell ref="JPS5:JPY5"/>
    <mergeCell ref="JPZ5:JQF5"/>
    <mergeCell ref="JQG5:JQM5"/>
    <mergeCell ref="JNH5:JNN5"/>
    <mergeCell ref="JNO5:JNU5"/>
    <mergeCell ref="JNV5:JOB5"/>
    <mergeCell ref="JOC5:JOI5"/>
    <mergeCell ref="JOJ5:JOP5"/>
    <mergeCell ref="JOQ5:JOW5"/>
    <mergeCell ref="JLR5:JLX5"/>
    <mergeCell ref="JLY5:JME5"/>
    <mergeCell ref="JMF5:JML5"/>
    <mergeCell ref="JMM5:JMS5"/>
    <mergeCell ref="JMT5:JMZ5"/>
    <mergeCell ref="JNA5:JNG5"/>
    <mergeCell ref="JKB5:JKH5"/>
    <mergeCell ref="JKI5:JKO5"/>
    <mergeCell ref="JKP5:JKV5"/>
    <mergeCell ref="JKW5:JLC5"/>
    <mergeCell ref="JLD5:JLJ5"/>
    <mergeCell ref="JLK5:JLQ5"/>
    <mergeCell ref="JIL5:JIR5"/>
    <mergeCell ref="JIS5:JIY5"/>
    <mergeCell ref="JIZ5:JJF5"/>
    <mergeCell ref="JJG5:JJM5"/>
    <mergeCell ref="JJN5:JJT5"/>
    <mergeCell ref="JJU5:JKA5"/>
    <mergeCell ref="JGV5:JHB5"/>
    <mergeCell ref="JHC5:JHI5"/>
    <mergeCell ref="JHJ5:JHP5"/>
    <mergeCell ref="JHQ5:JHW5"/>
    <mergeCell ref="JHX5:JID5"/>
    <mergeCell ref="JIE5:JIK5"/>
    <mergeCell ref="JFF5:JFL5"/>
    <mergeCell ref="JFM5:JFS5"/>
    <mergeCell ref="JFT5:JFZ5"/>
    <mergeCell ref="JGA5:JGG5"/>
    <mergeCell ref="JGH5:JGN5"/>
    <mergeCell ref="JGO5:JGU5"/>
    <mergeCell ref="JDP5:JDV5"/>
    <mergeCell ref="JDW5:JEC5"/>
    <mergeCell ref="JED5:JEJ5"/>
    <mergeCell ref="JEK5:JEQ5"/>
    <mergeCell ref="JER5:JEX5"/>
    <mergeCell ref="JEY5:JFE5"/>
    <mergeCell ref="JBZ5:JCF5"/>
    <mergeCell ref="JCG5:JCM5"/>
    <mergeCell ref="JCN5:JCT5"/>
    <mergeCell ref="JCU5:JDA5"/>
    <mergeCell ref="JDB5:JDH5"/>
    <mergeCell ref="JDI5:JDO5"/>
    <mergeCell ref="JAJ5:JAP5"/>
    <mergeCell ref="JAQ5:JAW5"/>
    <mergeCell ref="JAX5:JBD5"/>
    <mergeCell ref="JBE5:JBK5"/>
    <mergeCell ref="JBL5:JBR5"/>
    <mergeCell ref="JBS5:JBY5"/>
    <mergeCell ref="IYT5:IYZ5"/>
    <mergeCell ref="IZA5:IZG5"/>
    <mergeCell ref="IZH5:IZN5"/>
    <mergeCell ref="IZO5:IZU5"/>
    <mergeCell ref="IZV5:JAB5"/>
    <mergeCell ref="JAC5:JAI5"/>
    <mergeCell ref="IXD5:IXJ5"/>
    <mergeCell ref="IXK5:IXQ5"/>
    <mergeCell ref="IXR5:IXX5"/>
    <mergeCell ref="IXY5:IYE5"/>
    <mergeCell ref="IYF5:IYL5"/>
    <mergeCell ref="IYM5:IYS5"/>
    <mergeCell ref="IVN5:IVT5"/>
    <mergeCell ref="IVU5:IWA5"/>
    <mergeCell ref="IWB5:IWH5"/>
    <mergeCell ref="IWI5:IWO5"/>
    <mergeCell ref="IWP5:IWV5"/>
    <mergeCell ref="IWW5:IXC5"/>
    <mergeCell ref="ITX5:IUD5"/>
    <mergeCell ref="IUE5:IUK5"/>
    <mergeCell ref="IUL5:IUR5"/>
    <mergeCell ref="IUS5:IUY5"/>
    <mergeCell ref="IUZ5:IVF5"/>
    <mergeCell ref="IVG5:IVM5"/>
    <mergeCell ref="ISH5:ISN5"/>
    <mergeCell ref="ISO5:ISU5"/>
    <mergeCell ref="ISV5:ITB5"/>
    <mergeCell ref="ITC5:ITI5"/>
    <mergeCell ref="ITJ5:ITP5"/>
    <mergeCell ref="ITQ5:ITW5"/>
    <mergeCell ref="IQR5:IQX5"/>
    <mergeCell ref="IQY5:IRE5"/>
    <mergeCell ref="IRF5:IRL5"/>
    <mergeCell ref="IRM5:IRS5"/>
    <mergeCell ref="IRT5:IRZ5"/>
    <mergeCell ref="ISA5:ISG5"/>
    <mergeCell ref="IPB5:IPH5"/>
    <mergeCell ref="IPI5:IPO5"/>
    <mergeCell ref="IPP5:IPV5"/>
    <mergeCell ref="IPW5:IQC5"/>
    <mergeCell ref="IQD5:IQJ5"/>
    <mergeCell ref="IQK5:IQQ5"/>
    <mergeCell ref="INL5:INR5"/>
    <mergeCell ref="INS5:INY5"/>
    <mergeCell ref="INZ5:IOF5"/>
    <mergeCell ref="IOG5:IOM5"/>
    <mergeCell ref="ION5:IOT5"/>
    <mergeCell ref="IOU5:IPA5"/>
    <mergeCell ref="ILV5:IMB5"/>
    <mergeCell ref="IMC5:IMI5"/>
    <mergeCell ref="IMJ5:IMP5"/>
    <mergeCell ref="IMQ5:IMW5"/>
    <mergeCell ref="IMX5:IND5"/>
    <mergeCell ref="INE5:INK5"/>
    <mergeCell ref="IKF5:IKL5"/>
    <mergeCell ref="IKM5:IKS5"/>
    <mergeCell ref="IKT5:IKZ5"/>
    <mergeCell ref="ILA5:ILG5"/>
    <mergeCell ref="ILH5:ILN5"/>
    <mergeCell ref="ILO5:ILU5"/>
    <mergeCell ref="IIP5:IIV5"/>
    <mergeCell ref="IIW5:IJC5"/>
    <mergeCell ref="IJD5:IJJ5"/>
    <mergeCell ref="IJK5:IJQ5"/>
    <mergeCell ref="IJR5:IJX5"/>
    <mergeCell ref="IJY5:IKE5"/>
    <mergeCell ref="IGZ5:IHF5"/>
    <mergeCell ref="IHG5:IHM5"/>
    <mergeCell ref="IHN5:IHT5"/>
    <mergeCell ref="IHU5:IIA5"/>
    <mergeCell ref="IIB5:IIH5"/>
    <mergeCell ref="III5:IIO5"/>
    <mergeCell ref="IFJ5:IFP5"/>
    <mergeCell ref="IFQ5:IFW5"/>
    <mergeCell ref="IFX5:IGD5"/>
    <mergeCell ref="IGE5:IGK5"/>
    <mergeCell ref="IGL5:IGR5"/>
    <mergeCell ref="IGS5:IGY5"/>
    <mergeCell ref="IDT5:IDZ5"/>
    <mergeCell ref="IEA5:IEG5"/>
    <mergeCell ref="IEH5:IEN5"/>
    <mergeCell ref="IEO5:IEU5"/>
    <mergeCell ref="IEV5:IFB5"/>
    <mergeCell ref="IFC5:IFI5"/>
    <mergeCell ref="ICD5:ICJ5"/>
    <mergeCell ref="ICK5:ICQ5"/>
    <mergeCell ref="ICR5:ICX5"/>
    <mergeCell ref="ICY5:IDE5"/>
    <mergeCell ref="IDF5:IDL5"/>
    <mergeCell ref="IDM5:IDS5"/>
    <mergeCell ref="IAN5:IAT5"/>
    <mergeCell ref="IAU5:IBA5"/>
    <mergeCell ref="IBB5:IBH5"/>
    <mergeCell ref="IBI5:IBO5"/>
    <mergeCell ref="IBP5:IBV5"/>
    <mergeCell ref="IBW5:ICC5"/>
    <mergeCell ref="HYX5:HZD5"/>
    <mergeCell ref="HZE5:HZK5"/>
    <mergeCell ref="HZL5:HZR5"/>
    <mergeCell ref="HZS5:HZY5"/>
    <mergeCell ref="HZZ5:IAF5"/>
    <mergeCell ref="IAG5:IAM5"/>
    <mergeCell ref="HXH5:HXN5"/>
    <mergeCell ref="HXO5:HXU5"/>
    <mergeCell ref="HXV5:HYB5"/>
    <mergeCell ref="HYC5:HYI5"/>
    <mergeCell ref="HYJ5:HYP5"/>
    <mergeCell ref="HYQ5:HYW5"/>
    <mergeCell ref="HVR5:HVX5"/>
    <mergeCell ref="HVY5:HWE5"/>
    <mergeCell ref="HWF5:HWL5"/>
    <mergeCell ref="HWM5:HWS5"/>
    <mergeCell ref="HWT5:HWZ5"/>
    <mergeCell ref="HXA5:HXG5"/>
    <mergeCell ref="HUB5:HUH5"/>
    <mergeCell ref="HUI5:HUO5"/>
    <mergeCell ref="HUP5:HUV5"/>
    <mergeCell ref="HUW5:HVC5"/>
    <mergeCell ref="HVD5:HVJ5"/>
    <mergeCell ref="HVK5:HVQ5"/>
    <mergeCell ref="HSL5:HSR5"/>
    <mergeCell ref="HSS5:HSY5"/>
    <mergeCell ref="HSZ5:HTF5"/>
    <mergeCell ref="HTG5:HTM5"/>
    <mergeCell ref="HTN5:HTT5"/>
    <mergeCell ref="HTU5:HUA5"/>
    <mergeCell ref="HQV5:HRB5"/>
    <mergeCell ref="HRC5:HRI5"/>
    <mergeCell ref="HRJ5:HRP5"/>
    <mergeCell ref="HRQ5:HRW5"/>
    <mergeCell ref="HRX5:HSD5"/>
    <mergeCell ref="HSE5:HSK5"/>
    <mergeCell ref="HPF5:HPL5"/>
    <mergeCell ref="HPM5:HPS5"/>
    <mergeCell ref="HPT5:HPZ5"/>
    <mergeCell ref="HQA5:HQG5"/>
    <mergeCell ref="HQH5:HQN5"/>
    <mergeCell ref="HQO5:HQU5"/>
    <mergeCell ref="HNP5:HNV5"/>
    <mergeCell ref="HNW5:HOC5"/>
    <mergeCell ref="HOD5:HOJ5"/>
    <mergeCell ref="HOK5:HOQ5"/>
    <mergeCell ref="HOR5:HOX5"/>
    <mergeCell ref="HOY5:HPE5"/>
    <mergeCell ref="HLZ5:HMF5"/>
    <mergeCell ref="HMG5:HMM5"/>
    <mergeCell ref="HMN5:HMT5"/>
    <mergeCell ref="HMU5:HNA5"/>
    <mergeCell ref="HNB5:HNH5"/>
    <mergeCell ref="HNI5:HNO5"/>
    <mergeCell ref="HKJ5:HKP5"/>
    <mergeCell ref="HKQ5:HKW5"/>
    <mergeCell ref="HKX5:HLD5"/>
    <mergeCell ref="HLE5:HLK5"/>
    <mergeCell ref="HLL5:HLR5"/>
    <mergeCell ref="HLS5:HLY5"/>
    <mergeCell ref="HIT5:HIZ5"/>
    <mergeCell ref="HJA5:HJG5"/>
    <mergeCell ref="HJH5:HJN5"/>
    <mergeCell ref="HJO5:HJU5"/>
    <mergeCell ref="HJV5:HKB5"/>
    <mergeCell ref="HKC5:HKI5"/>
    <mergeCell ref="HHD5:HHJ5"/>
    <mergeCell ref="HHK5:HHQ5"/>
    <mergeCell ref="HHR5:HHX5"/>
    <mergeCell ref="HHY5:HIE5"/>
    <mergeCell ref="HIF5:HIL5"/>
    <mergeCell ref="HIM5:HIS5"/>
    <mergeCell ref="HFN5:HFT5"/>
    <mergeCell ref="HFU5:HGA5"/>
    <mergeCell ref="HGB5:HGH5"/>
    <mergeCell ref="HGI5:HGO5"/>
    <mergeCell ref="HGP5:HGV5"/>
    <mergeCell ref="HGW5:HHC5"/>
    <mergeCell ref="HDX5:HED5"/>
    <mergeCell ref="HEE5:HEK5"/>
    <mergeCell ref="HEL5:HER5"/>
    <mergeCell ref="HES5:HEY5"/>
    <mergeCell ref="HEZ5:HFF5"/>
    <mergeCell ref="HFG5:HFM5"/>
    <mergeCell ref="HCH5:HCN5"/>
    <mergeCell ref="HCO5:HCU5"/>
    <mergeCell ref="HCV5:HDB5"/>
    <mergeCell ref="HDC5:HDI5"/>
    <mergeCell ref="HDJ5:HDP5"/>
    <mergeCell ref="HDQ5:HDW5"/>
    <mergeCell ref="HAR5:HAX5"/>
    <mergeCell ref="HAY5:HBE5"/>
    <mergeCell ref="HBF5:HBL5"/>
    <mergeCell ref="HBM5:HBS5"/>
    <mergeCell ref="HBT5:HBZ5"/>
    <mergeCell ref="HCA5:HCG5"/>
    <mergeCell ref="GZB5:GZH5"/>
    <mergeCell ref="GZI5:GZO5"/>
    <mergeCell ref="GZP5:GZV5"/>
    <mergeCell ref="GZW5:HAC5"/>
    <mergeCell ref="HAD5:HAJ5"/>
    <mergeCell ref="HAK5:HAQ5"/>
    <mergeCell ref="GXL5:GXR5"/>
    <mergeCell ref="GXS5:GXY5"/>
    <mergeCell ref="GXZ5:GYF5"/>
    <mergeCell ref="GYG5:GYM5"/>
    <mergeCell ref="GYN5:GYT5"/>
    <mergeCell ref="GYU5:GZA5"/>
    <mergeCell ref="GVV5:GWB5"/>
    <mergeCell ref="GWC5:GWI5"/>
    <mergeCell ref="GWJ5:GWP5"/>
    <mergeCell ref="GWQ5:GWW5"/>
    <mergeCell ref="GWX5:GXD5"/>
    <mergeCell ref="GXE5:GXK5"/>
    <mergeCell ref="GUF5:GUL5"/>
    <mergeCell ref="GUM5:GUS5"/>
    <mergeCell ref="GUT5:GUZ5"/>
    <mergeCell ref="GVA5:GVG5"/>
    <mergeCell ref="GVH5:GVN5"/>
    <mergeCell ref="GVO5:GVU5"/>
    <mergeCell ref="GSP5:GSV5"/>
    <mergeCell ref="GSW5:GTC5"/>
    <mergeCell ref="GTD5:GTJ5"/>
    <mergeCell ref="GTK5:GTQ5"/>
    <mergeCell ref="GTR5:GTX5"/>
    <mergeCell ref="GTY5:GUE5"/>
    <mergeCell ref="GQZ5:GRF5"/>
    <mergeCell ref="GRG5:GRM5"/>
    <mergeCell ref="GRN5:GRT5"/>
    <mergeCell ref="GRU5:GSA5"/>
    <mergeCell ref="GSB5:GSH5"/>
    <mergeCell ref="GSI5:GSO5"/>
    <mergeCell ref="GPJ5:GPP5"/>
    <mergeCell ref="GPQ5:GPW5"/>
    <mergeCell ref="GPX5:GQD5"/>
    <mergeCell ref="GQE5:GQK5"/>
    <mergeCell ref="GQL5:GQR5"/>
    <mergeCell ref="GQS5:GQY5"/>
    <mergeCell ref="GNT5:GNZ5"/>
    <mergeCell ref="GOA5:GOG5"/>
    <mergeCell ref="GOH5:GON5"/>
    <mergeCell ref="GOO5:GOU5"/>
    <mergeCell ref="GOV5:GPB5"/>
    <mergeCell ref="GPC5:GPI5"/>
    <mergeCell ref="GMD5:GMJ5"/>
    <mergeCell ref="GMK5:GMQ5"/>
    <mergeCell ref="GMR5:GMX5"/>
    <mergeCell ref="GMY5:GNE5"/>
    <mergeCell ref="GNF5:GNL5"/>
    <mergeCell ref="GNM5:GNS5"/>
    <mergeCell ref="GKN5:GKT5"/>
    <mergeCell ref="GKU5:GLA5"/>
    <mergeCell ref="GLB5:GLH5"/>
    <mergeCell ref="GLI5:GLO5"/>
    <mergeCell ref="GLP5:GLV5"/>
    <mergeCell ref="GLW5:GMC5"/>
    <mergeCell ref="GIX5:GJD5"/>
    <mergeCell ref="GJE5:GJK5"/>
    <mergeCell ref="GJL5:GJR5"/>
    <mergeCell ref="GJS5:GJY5"/>
    <mergeCell ref="GJZ5:GKF5"/>
    <mergeCell ref="GKG5:GKM5"/>
    <mergeCell ref="GHH5:GHN5"/>
    <mergeCell ref="GHO5:GHU5"/>
    <mergeCell ref="GHV5:GIB5"/>
    <mergeCell ref="GIC5:GII5"/>
    <mergeCell ref="GIJ5:GIP5"/>
    <mergeCell ref="GIQ5:GIW5"/>
    <mergeCell ref="GFR5:GFX5"/>
    <mergeCell ref="GFY5:GGE5"/>
    <mergeCell ref="GGF5:GGL5"/>
    <mergeCell ref="GGM5:GGS5"/>
    <mergeCell ref="GGT5:GGZ5"/>
    <mergeCell ref="GHA5:GHG5"/>
    <mergeCell ref="GEB5:GEH5"/>
    <mergeCell ref="GEI5:GEO5"/>
    <mergeCell ref="GEP5:GEV5"/>
    <mergeCell ref="GEW5:GFC5"/>
    <mergeCell ref="GFD5:GFJ5"/>
    <mergeCell ref="GFK5:GFQ5"/>
    <mergeCell ref="GCL5:GCR5"/>
    <mergeCell ref="GCS5:GCY5"/>
    <mergeCell ref="GCZ5:GDF5"/>
    <mergeCell ref="GDG5:GDM5"/>
    <mergeCell ref="GDN5:GDT5"/>
    <mergeCell ref="GDU5:GEA5"/>
    <mergeCell ref="GAV5:GBB5"/>
    <mergeCell ref="GBC5:GBI5"/>
    <mergeCell ref="GBJ5:GBP5"/>
    <mergeCell ref="GBQ5:GBW5"/>
    <mergeCell ref="GBX5:GCD5"/>
    <mergeCell ref="GCE5:GCK5"/>
    <mergeCell ref="FZF5:FZL5"/>
    <mergeCell ref="FZM5:FZS5"/>
    <mergeCell ref="FZT5:FZZ5"/>
    <mergeCell ref="GAA5:GAG5"/>
    <mergeCell ref="GAH5:GAN5"/>
    <mergeCell ref="GAO5:GAU5"/>
    <mergeCell ref="FXP5:FXV5"/>
    <mergeCell ref="FXW5:FYC5"/>
    <mergeCell ref="FYD5:FYJ5"/>
    <mergeCell ref="FYK5:FYQ5"/>
    <mergeCell ref="FYR5:FYX5"/>
    <mergeCell ref="FYY5:FZE5"/>
    <mergeCell ref="FVZ5:FWF5"/>
    <mergeCell ref="FWG5:FWM5"/>
    <mergeCell ref="FWN5:FWT5"/>
    <mergeCell ref="FWU5:FXA5"/>
    <mergeCell ref="FXB5:FXH5"/>
    <mergeCell ref="FXI5:FXO5"/>
    <mergeCell ref="FUJ5:FUP5"/>
    <mergeCell ref="FUQ5:FUW5"/>
    <mergeCell ref="FUX5:FVD5"/>
    <mergeCell ref="FVE5:FVK5"/>
    <mergeCell ref="FVL5:FVR5"/>
    <mergeCell ref="FVS5:FVY5"/>
    <mergeCell ref="FST5:FSZ5"/>
    <mergeCell ref="FTA5:FTG5"/>
    <mergeCell ref="FTH5:FTN5"/>
    <mergeCell ref="FTO5:FTU5"/>
    <mergeCell ref="FTV5:FUB5"/>
    <mergeCell ref="FUC5:FUI5"/>
    <mergeCell ref="FRD5:FRJ5"/>
    <mergeCell ref="FRK5:FRQ5"/>
    <mergeCell ref="FRR5:FRX5"/>
    <mergeCell ref="FRY5:FSE5"/>
    <mergeCell ref="FSF5:FSL5"/>
    <mergeCell ref="FSM5:FSS5"/>
    <mergeCell ref="FPN5:FPT5"/>
    <mergeCell ref="FPU5:FQA5"/>
    <mergeCell ref="FQB5:FQH5"/>
    <mergeCell ref="FQI5:FQO5"/>
    <mergeCell ref="FQP5:FQV5"/>
    <mergeCell ref="FQW5:FRC5"/>
    <mergeCell ref="FNX5:FOD5"/>
    <mergeCell ref="FOE5:FOK5"/>
    <mergeCell ref="FOL5:FOR5"/>
    <mergeCell ref="FOS5:FOY5"/>
    <mergeCell ref="FOZ5:FPF5"/>
    <mergeCell ref="FPG5:FPM5"/>
    <mergeCell ref="FMH5:FMN5"/>
    <mergeCell ref="FMO5:FMU5"/>
    <mergeCell ref="FMV5:FNB5"/>
    <mergeCell ref="FNC5:FNI5"/>
    <mergeCell ref="FNJ5:FNP5"/>
    <mergeCell ref="FNQ5:FNW5"/>
    <mergeCell ref="FKR5:FKX5"/>
    <mergeCell ref="FKY5:FLE5"/>
    <mergeCell ref="FLF5:FLL5"/>
    <mergeCell ref="FLM5:FLS5"/>
    <mergeCell ref="FLT5:FLZ5"/>
    <mergeCell ref="FMA5:FMG5"/>
    <mergeCell ref="FJB5:FJH5"/>
    <mergeCell ref="FJI5:FJO5"/>
    <mergeCell ref="FJP5:FJV5"/>
    <mergeCell ref="FJW5:FKC5"/>
    <mergeCell ref="FKD5:FKJ5"/>
    <mergeCell ref="FKK5:FKQ5"/>
    <mergeCell ref="FHL5:FHR5"/>
    <mergeCell ref="FHS5:FHY5"/>
    <mergeCell ref="FHZ5:FIF5"/>
    <mergeCell ref="FIG5:FIM5"/>
    <mergeCell ref="FIN5:FIT5"/>
    <mergeCell ref="FIU5:FJA5"/>
    <mergeCell ref="FFV5:FGB5"/>
    <mergeCell ref="FGC5:FGI5"/>
    <mergeCell ref="FGJ5:FGP5"/>
    <mergeCell ref="FGQ5:FGW5"/>
    <mergeCell ref="FGX5:FHD5"/>
    <mergeCell ref="FHE5:FHK5"/>
    <mergeCell ref="FEF5:FEL5"/>
    <mergeCell ref="FEM5:FES5"/>
    <mergeCell ref="FET5:FEZ5"/>
    <mergeCell ref="FFA5:FFG5"/>
    <mergeCell ref="FFH5:FFN5"/>
    <mergeCell ref="FFO5:FFU5"/>
    <mergeCell ref="FCP5:FCV5"/>
    <mergeCell ref="FCW5:FDC5"/>
    <mergeCell ref="FDD5:FDJ5"/>
    <mergeCell ref="FDK5:FDQ5"/>
    <mergeCell ref="FDR5:FDX5"/>
    <mergeCell ref="FDY5:FEE5"/>
    <mergeCell ref="FAZ5:FBF5"/>
    <mergeCell ref="FBG5:FBM5"/>
    <mergeCell ref="FBN5:FBT5"/>
    <mergeCell ref="FBU5:FCA5"/>
    <mergeCell ref="FCB5:FCH5"/>
    <mergeCell ref="FCI5:FCO5"/>
    <mergeCell ref="EZJ5:EZP5"/>
    <mergeCell ref="EZQ5:EZW5"/>
    <mergeCell ref="EZX5:FAD5"/>
    <mergeCell ref="FAE5:FAK5"/>
    <mergeCell ref="FAL5:FAR5"/>
    <mergeCell ref="FAS5:FAY5"/>
    <mergeCell ref="EXT5:EXZ5"/>
    <mergeCell ref="EYA5:EYG5"/>
    <mergeCell ref="EYH5:EYN5"/>
    <mergeCell ref="EYO5:EYU5"/>
    <mergeCell ref="EYV5:EZB5"/>
    <mergeCell ref="EZC5:EZI5"/>
    <mergeCell ref="EWD5:EWJ5"/>
    <mergeCell ref="EWK5:EWQ5"/>
    <mergeCell ref="EWR5:EWX5"/>
    <mergeCell ref="EWY5:EXE5"/>
    <mergeCell ref="EXF5:EXL5"/>
    <mergeCell ref="EXM5:EXS5"/>
    <mergeCell ref="EUN5:EUT5"/>
    <mergeCell ref="EUU5:EVA5"/>
    <mergeCell ref="EVB5:EVH5"/>
    <mergeCell ref="EVI5:EVO5"/>
    <mergeCell ref="EVP5:EVV5"/>
    <mergeCell ref="EVW5:EWC5"/>
    <mergeCell ref="ESX5:ETD5"/>
    <mergeCell ref="ETE5:ETK5"/>
    <mergeCell ref="ETL5:ETR5"/>
    <mergeCell ref="ETS5:ETY5"/>
    <mergeCell ref="ETZ5:EUF5"/>
    <mergeCell ref="EUG5:EUM5"/>
    <mergeCell ref="ERH5:ERN5"/>
    <mergeCell ref="ERO5:ERU5"/>
    <mergeCell ref="ERV5:ESB5"/>
    <mergeCell ref="ESC5:ESI5"/>
    <mergeCell ref="ESJ5:ESP5"/>
    <mergeCell ref="ESQ5:ESW5"/>
    <mergeCell ref="EPR5:EPX5"/>
    <mergeCell ref="EPY5:EQE5"/>
    <mergeCell ref="EQF5:EQL5"/>
    <mergeCell ref="EQM5:EQS5"/>
    <mergeCell ref="EQT5:EQZ5"/>
    <mergeCell ref="ERA5:ERG5"/>
    <mergeCell ref="EOB5:EOH5"/>
    <mergeCell ref="EOI5:EOO5"/>
    <mergeCell ref="EOP5:EOV5"/>
    <mergeCell ref="EOW5:EPC5"/>
    <mergeCell ref="EPD5:EPJ5"/>
    <mergeCell ref="EPK5:EPQ5"/>
    <mergeCell ref="EML5:EMR5"/>
    <mergeCell ref="EMS5:EMY5"/>
    <mergeCell ref="EMZ5:ENF5"/>
    <mergeCell ref="ENG5:ENM5"/>
    <mergeCell ref="ENN5:ENT5"/>
    <mergeCell ref="ENU5:EOA5"/>
    <mergeCell ref="EKV5:ELB5"/>
    <mergeCell ref="ELC5:ELI5"/>
    <mergeCell ref="ELJ5:ELP5"/>
    <mergeCell ref="ELQ5:ELW5"/>
    <mergeCell ref="ELX5:EMD5"/>
    <mergeCell ref="EME5:EMK5"/>
    <mergeCell ref="EJF5:EJL5"/>
    <mergeCell ref="EJM5:EJS5"/>
    <mergeCell ref="EJT5:EJZ5"/>
    <mergeCell ref="EKA5:EKG5"/>
    <mergeCell ref="EKH5:EKN5"/>
    <mergeCell ref="EKO5:EKU5"/>
    <mergeCell ref="EHP5:EHV5"/>
    <mergeCell ref="EHW5:EIC5"/>
    <mergeCell ref="EID5:EIJ5"/>
    <mergeCell ref="EIK5:EIQ5"/>
    <mergeCell ref="EIR5:EIX5"/>
    <mergeCell ref="EIY5:EJE5"/>
    <mergeCell ref="EFZ5:EGF5"/>
    <mergeCell ref="EGG5:EGM5"/>
    <mergeCell ref="EGN5:EGT5"/>
    <mergeCell ref="EGU5:EHA5"/>
    <mergeCell ref="EHB5:EHH5"/>
    <mergeCell ref="EHI5:EHO5"/>
    <mergeCell ref="EEJ5:EEP5"/>
    <mergeCell ref="EEQ5:EEW5"/>
    <mergeCell ref="EEX5:EFD5"/>
    <mergeCell ref="EFE5:EFK5"/>
    <mergeCell ref="EFL5:EFR5"/>
    <mergeCell ref="EFS5:EFY5"/>
    <mergeCell ref="ECT5:ECZ5"/>
    <mergeCell ref="EDA5:EDG5"/>
    <mergeCell ref="EDH5:EDN5"/>
    <mergeCell ref="EDO5:EDU5"/>
    <mergeCell ref="EDV5:EEB5"/>
    <mergeCell ref="EEC5:EEI5"/>
    <mergeCell ref="EBD5:EBJ5"/>
    <mergeCell ref="EBK5:EBQ5"/>
    <mergeCell ref="EBR5:EBX5"/>
    <mergeCell ref="EBY5:ECE5"/>
    <mergeCell ref="ECF5:ECL5"/>
    <mergeCell ref="ECM5:ECS5"/>
    <mergeCell ref="DZN5:DZT5"/>
    <mergeCell ref="DZU5:EAA5"/>
    <mergeCell ref="EAB5:EAH5"/>
    <mergeCell ref="EAI5:EAO5"/>
    <mergeCell ref="EAP5:EAV5"/>
    <mergeCell ref="EAW5:EBC5"/>
    <mergeCell ref="DXX5:DYD5"/>
    <mergeCell ref="DYE5:DYK5"/>
    <mergeCell ref="DYL5:DYR5"/>
    <mergeCell ref="DYS5:DYY5"/>
    <mergeCell ref="DYZ5:DZF5"/>
    <mergeCell ref="DZG5:DZM5"/>
    <mergeCell ref="DWH5:DWN5"/>
    <mergeCell ref="DWO5:DWU5"/>
    <mergeCell ref="DWV5:DXB5"/>
    <mergeCell ref="DXC5:DXI5"/>
    <mergeCell ref="DXJ5:DXP5"/>
    <mergeCell ref="DXQ5:DXW5"/>
    <mergeCell ref="DUR5:DUX5"/>
    <mergeCell ref="DUY5:DVE5"/>
    <mergeCell ref="DVF5:DVL5"/>
    <mergeCell ref="DVM5:DVS5"/>
    <mergeCell ref="DVT5:DVZ5"/>
    <mergeCell ref="DWA5:DWG5"/>
    <mergeCell ref="DTB5:DTH5"/>
    <mergeCell ref="DTI5:DTO5"/>
    <mergeCell ref="DTP5:DTV5"/>
    <mergeCell ref="DTW5:DUC5"/>
    <mergeCell ref="DUD5:DUJ5"/>
    <mergeCell ref="DUK5:DUQ5"/>
    <mergeCell ref="DRL5:DRR5"/>
    <mergeCell ref="DRS5:DRY5"/>
    <mergeCell ref="DRZ5:DSF5"/>
    <mergeCell ref="DSG5:DSM5"/>
    <mergeCell ref="DSN5:DST5"/>
    <mergeCell ref="DSU5:DTA5"/>
    <mergeCell ref="DPV5:DQB5"/>
    <mergeCell ref="DQC5:DQI5"/>
    <mergeCell ref="DQJ5:DQP5"/>
    <mergeCell ref="DQQ5:DQW5"/>
    <mergeCell ref="DQX5:DRD5"/>
    <mergeCell ref="DRE5:DRK5"/>
    <mergeCell ref="DOF5:DOL5"/>
    <mergeCell ref="DOM5:DOS5"/>
    <mergeCell ref="DOT5:DOZ5"/>
    <mergeCell ref="DPA5:DPG5"/>
    <mergeCell ref="DPH5:DPN5"/>
    <mergeCell ref="DPO5:DPU5"/>
    <mergeCell ref="DMP5:DMV5"/>
    <mergeCell ref="DMW5:DNC5"/>
    <mergeCell ref="DND5:DNJ5"/>
    <mergeCell ref="DNK5:DNQ5"/>
    <mergeCell ref="DNR5:DNX5"/>
    <mergeCell ref="DNY5:DOE5"/>
    <mergeCell ref="DKZ5:DLF5"/>
    <mergeCell ref="DLG5:DLM5"/>
    <mergeCell ref="DLN5:DLT5"/>
    <mergeCell ref="DLU5:DMA5"/>
    <mergeCell ref="DMB5:DMH5"/>
    <mergeCell ref="DMI5:DMO5"/>
    <mergeCell ref="DJJ5:DJP5"/>
    <mergeCell ref="DJQ5:DJW5"/>
    <mergeCell ref="DJX5:DKD5"/>
    <mergeCell ref="DKE5:DKK5"/>
    <mergeCell ref="DKL5:DKR5"/>
    <mergeCell ref="DKS5:DKY5"/>
    <mergeCell ref="DHT5:DHZ5"/>
    <mergeCell ref="DIA5:DIG5"/>
    <mergeCell ref="DIH5:DIN5"/>
    <mergeCell ref="DIO5:DIU5"/>
    <mergeCell ref="DIV5:DJB5"/>
    <mergeCell ref="DJC5:DJI5"/>
    <mergeCell ref="DGD5:DGJ5"/>
    <mergeCell ref="DGK5:DGQ5"/>
    <mergeCell ref="DGR5:DGX5"/>
    <mergeCell ref="DGY5:DHE5"/>
    <mergeCell ref="DHF5:DHL5"/>
    <mergeCell ref="DHM5:DHS5"/>
    <mergeCell ref="DEN5:DET5"/>
    <mergeCell ref="DEU5:DFA5"/>
    <mergeCell ref="DFB5:DFH5"/>
    <mergeCell ref="DFI5:DFO5"/>
    <mergeCell ref="DFP5:DFV5"/>
    <mergeCell ref="DFW5:DGC5"/>
    <mergeCell ref="DCX5:DDD5"/>
    <mergeCell ref="DDE5:DDK5"/>
    <mergeCell ref="DDL5:DDR5"/>
    <mergeCell ref="DDS5:DDY5"/>
    <mergeCell ref="DDZ5:DEF5"/>
    <mergeCell ref="DEG5:DEM5"/>
    <mergeCell ref="DBH5:DBN5"/>
    <mergeCell ref="DBO5:DBU5"/>
    <mergeCell ref="DBV5:DCB5"/>
    <mergeCell ref="DCC5:DCI5"/>
    <mergeCell ref="DCJ5:DCP5"/>
    <mergeCell ref="DCQ5:DCW5"/>
    <mergeCell ref="CZR5:CZX5"/>
    <mergeCell ref="CZY5:DAE5"/>
    <mergeCell ref="DAF5:DAL5"/>
    <mergeCell ref="DAM5:DAS5"/>
    <mergeCell ref="DAT5:DAZ5"/>
    <mergeCell ref="DBA5:DBG5"/>
    <mergeCell ref="CYB5:CYH5"/>
    <mergeCell ref="CYI5:CYO5"/>
    <mergeCell ref="CYP5:CYV5"/>
    <mergeCell ref="CYW5:CZC5"/>
    <mergeCell ref="CZD5:CZJ5"/>
    <mergeCell ref="CZK5:CZQ5"/>
    <mergeCell ref="CWL5:CWR5"/>
    <mergeCell ref="CWS5:CWY5"/>
    <mergeCell ref="CWZ5:CXF5"/>
    <mergeCell ref="CXG5:CXM5"/>
    <mergeCell ref="CXN5:CXT5"/>
    <mergeCell ref="CXU5:CYA5"/>
    <mergeCell ref="CUV5:CVB5"/>
    <mergeCell ref="CVC5:CVI5"/>
    <mergeCell ref="CVJ5:CVP5"/>
    <mergeCell ref="CVQ5:CVW5"/>
    <mergeCell ref="CVX5:CWD5"/>
    <mergeCell ref="CWE5:CWK5"/>
    <mergeCell ref="CTF5:CTL5"/>
    <mergeCell ref="CTM5:CTS5"/>
    <mergeCell ref="CTT5:CTZ5"/>
    <mergeCell ref="CUA5:CUG5"/>
    <mergeCell ref="CUH5:CUN5"/>
    <mergeCell ref="CUO5:CUU5"/>
    <mergeCell ref="CRP5:CRV5"/>
    <mergeCell ref="CRW5:CSC5"/>
    <mergeCell ref="CSD5:CSJ5"/>
    <mergeCell ref="CSK5:CSQ5"/>
    <mergeCell ref="CSR5:CSX5"/>
    <mergeCell ref="CSY5:CTE5"/>
    <mergeCell ref="CPZ5:CQF5"/>
    <mergeCell ref="CQG5:CQM5"/>
    <mergeCell ref="CQN5:CQT5"/>
    <mergeCell ref="CQU5:CRA5"/>
    <mergeCell ref="CRB5:CRH5"/>
    <mergeCell ref="CRI5:CRO5"/>
    <mergeCell ref="COJ5:COP5"/>
    <mergeCell ref="COQ5:COW5"/>
    <mergeCell ref="COX5:CPD5"/>
    <mergeCell ref="CPE5:CPK5"/>
    <mergeCell ref="CPL5:CPR5"/>
    <mergeCell ref="CPS5:CPY5"/>
    <mergeCell ref="CMT5:CMZ5"/>
    <mergeCell ref="CNA5:CNG5"/>
    <mergeCell ref="CNH5:CNN5"/>
    <mergeCell ref="CNO5:CNU5"/>
    <mergeCell ref="CNV5:COB5"/>
    <mergeCell ref="COC5:COI5"/>
    <mergeCell ref="CLD5:CLJ5"/>
    <mergeCell ref="CLK5:CLQ5"/>
    <mergeCell ref="CLR5:CLX5"/>
    <mergeCell ref="CLY5:CME5"/>
    <mergeCell ref="CMF5:CML5"/>
    <mergeCell ref="CMM5:CMS5"/>
    <mergeCell ref="CJN5:CJT5"/>
    <mergeCell ref="CJU5:CKA5"/>
    <mergeCell ref="CKB5:CKH5"/>
    <mergeCell ref="CKI5:CKO5"/>
    <mergeCell ref="CKP5:CKV5"/>
    <mergeCell ref="CKW5:CLC5"/>
    <mergeCell ref="CHX5:CID5"/>
    <mergeCell ref="CIE5:CIK5"/>
    <mergeCell ref="CIL5:CIR5"/>
    <mergeCell ref="CIS5:CIY5"/>
    <mergeCell ref="CIZ5:CJF5"/>
    <mergeCell ref="CJG5:CJM5"/>
    <mergeCell ref="CGH5:CGN5"/>
    <mergeCell ref="CGO5:CGU5"/>
    <mergeCell ref="CGV5:CHB5"/>
    <mergeCell ref="CHC5:CHI5"/>
    <mergeCell ref="CHJ5:CHP5"/>
    <mergeCell ref="CHQ5:CHW5"/>
    <mergeCell ref="CER5:CEX5"/>
    <mergeCell ref="CEY5:CFE5"/>
    <mergeCell ref="CFF5:CFL5"/>
    <mergeCell ref="CFM5:CFS5"/>
    <mergeCell ref="CFT5:CFZ5"/>
    <mergeCell ref="CGA5:CGG5"/>
    <mergeCell ref="CDB5:CDH5"/>
    <mergeCell ref="CDI5:CDO5"/>
    <mergeCell ref="CDP5:CDV5"/>
    <mergeCell ref="CDW5:CEC5"/>
    <mergeCell ref="CED5:CEJ5"/>
    <mergeCell ref="CEK5:CEQ5"/>
    <mergeCell ref="CBL5:CBR5"/>
    <mergeCell ref="CBS5:CBY5"/>
    <mergeCell ref="CBZ5:CCF5"/>
    <mergeCell ref="CCG5:CCM5"/>
    <mergeCell ref="CCN5:CCT5"/>
    <mergeCell ref="CCU5:CDA5"/>
    <mergeCell ref="BZV5:CAB5"/>
    <mergeCell ref="CAC5:CAI5"/>
    <mergeCell ref="CAJ5:CAP5"/>
    <mergeCell ref="CAQ5:CAW5"/>
    <mergeCell ref="CAX5:CBD5"/>
    <mergeCell ref="CBE5:CBK5"/>
    <mergeCell ref="BYF5:BYL5"/>
    <mergeCell ref="BYM5:BYS5"/>
    <mergeCell ref="BYT5:BYZ5"/>
    <mergeCell ref="BZA5:BZG5"/>
    <mergeCell ref="BZH5:BZN5"/>
    <mergeCell ref="BZO5:BZU5"/>
    <mergeCell ref="BWP5:BWV5"/>
    <mergeCell ref="BWW5:BXC5"/>
    <mergeCell ref="BXD5:BXJ5"/>
    <mergeCell ref="BXK5:BXQ5"/>
    <mergeCell ref="BXR5:BXX5"/>
    <mergeCell ref="BXY5:BYE5"/>
    <mergeCell ref="BUZ5:BVF5"/>
    <mergeCell ref="BVG5:BVM5"/>
    <mergeCell ref="BVN5:BVT5"/>
    <mergeCell ref="BVU5:BWA5"/>
    <mergeCell ref="BWB5:BWH5"/>
    <mergeCell ref="BWI5:BWO5"/>
    <mergeCell ref="BTJ5:BTP5"/>
    <mergeCell ref="BTQ5:BTW5"/>
    <mergeCell ref="BTX5:BUD5"/>
    <mergeCell ref="BUE5:BUK5"/>
    <mergeCell ref="BUL5:BUR5"/>
    <mergeCell ref="BUS5:BUY5"/>
    <mergeCell ref="BRT5:BRZ5"/>
    <mergeCell ref="BSA5:BSG5"/>
    <mergeCell ref="BSH5:BSN5"/>
    <mergeCell ref="BSO5:BSU5"/>
    <mergeCell ref="BSV5:BTB5"/>
    <mergeCell ref="BTC5:BTI5"/>
    <mergeCell ref="BQD5:BQJ5"/>
    <mergeCell ref="BQK5:BQQ5"/>
    <mergeCell ref="BQR5:BQX5"/>
    <mergeCell ref="BQY5:BRE5"/>
    <mergeCell ref="BRF5:BRL5"/>
    <mergeCell ref="BRM5:BRS5"/>
    <mergeCell ref="BON5:BOT5"/>
    <mergeCell ref="BOU5:BPA5"/>
    <mergeCell ref="BPB5:BPH5"/>
    <mergeCell ref="BPI5:BPO5"/>
    <mergeCell ref="BPP5:BPV5"/>
    <mergeCell ref="BPW5:BQC5"/>
    <mergeCell ref="BMX5:BND5"/>
    <mergeCell ref="BNE5:BNK5"/>
    <mergeCell ref="BNL5:BNR5"/>
    <mergeCell ref="BNS5:BNY5"/>
    <mergeCell ref="BNZ5:BOF5"/>
    <mergeCell ref="BOG5:BOM5"/>
    <mergeCell ref="BLH5:BLN5"/>
    <mergeCell ref="BLO5:BLU5"/>
    <mergeCell ref="BLV5:BMB5"/>
    <mergeCell ref="BMC5:BMI5"/>
    <mergeCell ref="BMJ5:BMP5"/>
    <mergeCell ref="BMQ5:BMW5"/>
    <mergeCell ref="BJR5:BJX5"/>
    <mergeCell ref="BJY5:BKE5"/>
    <mergeCell ref="BKF5:BKL5"/>
    <mergeCell ref="BKM5:BKS5"/>
    <mergeCell ref="BKT5:BKZ5"/>
    <mergeCell ref="BLA5:BLG5"/>
    <mergeCell ref="BIB5:BIH5"/>
    <mergeCell ref="BII5:BIO5"/>
    <mergeCell ref="BIP5:BIV5"/>
    <mergeCell ref="BIW5:BJC5"/>
    <mergeCell ref="BJD5:BJJ5"/>
    <mergeCell ref="BJK5:BJQ5"/>
    <mergeCell ref="BGL5:BGR5"/>
    <mergeCell ref="BGS5:BGY5"/>
    <mergeCell ref="BGZ5:BHF5"/>
    <mergeCell ref="BHG5:BHM5"/>
    <mergeCell ref="BHN5:BHT5"/>
    <mergeCell ref="BHU5:BIA5"/>
    <mergeCell ref="BEV5:BFB5"/>
    <mergeCell ref="BFC5:BFI5"/>
    <mergeCell ref="BFJ5:BFP5"/>
    <mergeCell ref="BFQ5:BFW5"/>
    <mergeCell ref="BFX5:BGD5"/>
    <mergeCell ref="BGE5:BGK5"/>
    <mergeCell ref="BDF5:BDL5"/>
    <mergeCell ref="BDM5:BDS5"/>
    <mergeCell ref="BDT5:BDZ5"/>
    <mergeCell ref="BEA5:BEG5"/>
    <mergeCell ref="BEH5:BEN5"/>
    <mergeCell ref="BEO5:BEU5"/>
    <mergeCell ref="BBP5:BBV5"/>
    <mergeCell ref="BBW5:BCC5"/>
    <mergeCell ref="BCD5:BCJ5"/>
    <mergeCell ref="BCK5:BCQ5"/>
    <mergeCell ref="BCR5:BCX5"/>
    <mergeCell ref="BCY5:BDE5"/>
    <mergeCell ref="AZZ5:BAF5"/>
    <mergeCell ref="BAG5:BAM5"/>
    <mergeCell ref="BAN5:BAT5"/>
    <mergeCell ref="BAU5:BBA5"/>
    <mergeCell ref="BBB5:BBH5"/>
    <mergeCell ref="BBI5:BBO5"/>
    <mergeCell ref="AYJ5:AYP5"/>
    <mergeCell ref="AYQ5:AYW5"/>
    <mergeCell ref="AYX5:AZD5"/>
    <mergeCell ref="AZE5:AZK5"/>
    <mergeCell ref="AZL5:AZR5"/>
    <mergeCell ref="AZS5:AZY5"/>
    <mergeCell ref="AWT5:AWZ5"/>
    <mergeCell ref="AXA5:AXG5"/>
    <mergeCell ref="AXH5:AXN5"/>
    <mergeCell ref="AXO5:AXU5"/>
    <mergeCell ref="AXV5:AYB5"/>
    <mergeCell ref="AYC5:AYI5"/>
    <mergeCell ref="AVD5:AVJ5"/>
    <mergeCell ref="AVK5:AVQ5"/>
    <mergeCell ref="AVR5:AVX5"/>
    <mergeCell ref="AVY5:AWE5"/>
    <mergeCell ref="AWF5:AWL5"/>
    <mergeCell ref="AWM5:AWS5"/>
    <mergeCell ref="ATN5:ATT5"/>
    <mergeCell ref="ATU5:AUA5"/>
    <mergeCell ref="AUB5:AUH5"/>
    <mergeCell ref="AUI5:AUO5"/>
    <mergeCell ref="AUP5:AUV5"/>
    <mergeCell ref="AUW5:AVC5"/>
    <mergeCell ref="ARX5:ASD5"/>
    <mergeCell ref="ASE5:ASK5"/>
    <mergeCell ref="ASL5:ASR5"/>
    <mergeCell ref="ASS5:ASY5"/>
    <mergeCell ref="ASZ5:ATF5"/>
    <mergeCell ref="ATG5:ATM5"/>
    <mergeCell ref="AQH5:AQN5"/>
    <mergeCell ref="AQO5:AQU5"/>
    <mergeCell ref="AQV5:ARB5"/>
    <mergeCell ref="ARC5:ARI5"/>
    <mergeCell ref="ARJ5:ARP5"/>
    <mergeCell ref="ARQ5:ARW5"/>
    <mergeCell ref="AOR5:AOX5"/>
    <mergeCell ref="AOY5:APE5"/>
    <mergeCell ref="APF5:APL5"/>
    <mergeCell ref="APM5:APS5"/>
    <mergeCell ref="APT5:APZ5"/>
    <mergeCell ref="AQA5:AQG5"/>
    <mergeCell ref="ANB5:ANH5"/>
    <mergeCell ref="ANI5:ANO5"/>
    <mergeCell ref="ANP5:ANV5"/>
    <mergeCell ref="ANW5:AOC5"/>
    <mergeCell ref="AOD5:AOJ5"/>
    <mergeCell ref="AOK5:AOQ5"/>
    <mergeCell ref="ALL5:ALR5"/>
    <mergeCell ref="ALS5:ALY5"/>
    <mergeCell ref="ALZ5:AMF5"/>
    <mergeCell ref="AMG5:AMM5"/>
    <mergeCell ref="AMN5:AMT5"/>
    <mergeCell ref="AMU5:ANA5"/>
    <mergeCell ref="AJV5:AKB5"/>
    <mergeCell ref="AKC5:AKI5"/>
    <mergeCell ref="AKJ5:AKP5"/>
    <mergeCell ref="AKQ5:AKW5"/>
    <mergeCell ref="AKX5:ALD5"/>
    <mergeCell ref="ALE5:ALK5"/>
    <mergeCell ref="AIF5:AIL5"/>
    <mergeCell ref="AIM5:AIS5"/>
    <mergeCell ref="AIT5:AIZ5"/>
    <mergeCell ref="AJA5:AJG5"/>
    <mergeCell ref="AJH5:AJN5"/>
    <mergeCell ref="AJO5:AJU5"/>
    <mergeCell ref="AGP5:AGV5"/>
    <mergeCell ref="AGW5:AHC5"/>
    <mergeCell ref="AHD5:AHJ5"/>
    <mergeCell ref="AHK5:AHQ5"/>
    <mergeCell ref="AHR5:AHX5"/>
    <mergeCell ref="AHY5:AIE5"/>
    <mergeCell ref="AEZ5:AFF5"/>
    <mergeCell ref="AFG5:AFM5"/>
    <mergeCell ref="AFN5:AFT5"/>
    <mergeCell ref="AFU5:AGA5"/>
    <mergeCell ref="AGB5:AGH5"/>
    <mergeCell ref="AGI5:AGO5"/>
    <mergeCell ref="ADJ5:ADP5"/>
    <mergeCell ref="ADQ5:ADW5"/>
    <mergeCell ref="ADX5:AED5"/>
    <mergeCell ref="AEE5:AEK5"/>
    <mergeCell ref="AEL5:AER5"/>
    <mergeCell ref="AES5:AEY5"/>
    <mergeCell ref="ABT5:ABZ5"/>
    <mergeCell ref="ACA5:ACG5"/>
    <mergeCell ref="ACH5:ACN5"/>
    <mergeCell ref="ACO5:ACU5"/>
    <mergeCell ref="ACV5:ADB5"/>
    <mergeCell ref="ADC5:ADI5"/>
    <mergeCell ref="AAD5:AAJ5"/>
    <mergeCell ref="AAK5:AAQ5"/>
    <mergeCell ref="AAR5:AAX5"/>
    <mergeCell ref="AAY5:ABE5"/>
    <mergeCell ref="ABF5:ABL5"/>
    <mergeCell ref="ABM5:ABS5"/>
    <mergeCell ref="YN5:YT5"/>
    <mergeCell ref="YU5:ZA5"/>
    <mergeCell ref="ZB5:ZH5"/>
    <mergeCell ref="ZI5:ZO5"/>
    <mergeCell ref="ZP5:ZV5"/>
    <mergeCell ref="ZW5:AAC5"/>
    <mergeCell ref="WX5:XD5"/>
    <mergeCell ref="XE5:XK5"/>
    <mergeCell ref="XL5:XR5"/>
    <mergeCell ref="XS5:XY5"/>
    <mergeCell ref="XZ5:YF5"/>
    <mergeCell ref="YG5:YM5"/>
    <mergeCell ref="VH5:VN5"/>
    <mergeCell ref="VO5:VU5"/>
    <mergeCell ref="VV5:WB5"/>
    <mergeCell ref="WC5:WI5"/>
    <mergeCell ref="WJ5:WP5"/>
    <mergeCell ref="WQ5:WW5"/>
    <mergeCell ref="TR5:TX5"/>
    <mergeCell ref="TY5:UE5"/>
    <mergeCell ref="UF5:UL5"/>
    <mergeCell ref="UM5:US5"/>
    <mergeCell ref="UT5:UZ5"/>
    <mergeCell ref="VA5:VG5"/>
    <mergeCell ref="SB5:SH5"/>
    <mergeCell ref="SI5:SO5"/>
    <mergeCell ref="SP5:SV5"/>
    <mergeCell ref="SW5:TC5"/>
    <mergeCell ref="TD5:TJ5"/>
    <mergeCell ref="TK5:TQ5"/>
    <mergeCell ref="QL5:QR5"/>
    <mergeCell ref="QS5:QY5"/>
    <mergeCell ref="QZ5:RF5"/>
    <mergeCell ref="RG5:RM5"/>
    <mergeCell ref="RN5:RT5"/>
    <mergeCell ref="RU5:SA5"/>
    <mergeCell ref="OV5:PB5"/>
    <mergeCell ref="PC5:PI5"/>
    <mergeCell ref="PJ5:PP5"/>
    <mergeCell ref="PQ5:PW5"/>
    <mergeCell ref="PX5:QD5"/>
    <mergeCell ref="QE5:QK5"/>
    <mergeCell ref="NF5:NL5"/>
    <mergeCell ref="NM5:NS5"/>
    <mergeCell ref="NT5:NZ5"/>
    <mergeCell ref="OA5:OG5"/>
    <mergeCell ref="OH5:ON5"/>
    <mergeCell ref="OO5:OU5"/>
    <mergeCell ref="LP5:LV5"/>
    <mergeCell ref="LW5:MC5"/>
    <mergeCell ref="MD5:MJ5"/>
    <mergeCell ref="MK5:MQ5"/>
    <mergeCell ref="MR5:MX5"/>
    <mergeCell ref="MY5:NE5"/>
    <mergeCell ref="JZ5:KF5"/>
    <mergeCell ref="KG5:KM5"/>
    <mergeCell ref="KN5:KT5"/>
    <mergeCell ref="KU5:LA5"/>
    <mergeCell ref="LB5:LH5"/>
    <mergeCell ref="LI5:LO5"/>
    <mergeCell ref="IJ5:IP5"/>
    <mergeCell ref="IQ5:IW5"/>
    <mergeCell ref="IX5:JD5"/>
    <mergeCell ref="JE5:JK5"/>
    <mergeCell ref="JL5:JR5"/>
    <mergeCell ref="JS5:JY5"/>
    <mergeCell ref="GT5:GZ5"/>
    <mergeCell ref="HA5:HG5"/>
    <mergeCell ref="HH5:HN5"/>
    <mergeCell ref="HO5:HU5"/>
    <mergeCell ref="HV5:IB5"/>
    <mergeCell ref="IC5:II5"/>
    <mergeCell ref="FD5:FJ5"/>
    <mergeCell ref="FK5:FQ5"/>
    <mergeCell ref="FR5:FX5"/>
    <mergeCell ref="FY5:GE5"/>
    <mergeCell ref="GF5:GL5"/>
    <mergeCell ref="GM5:GS5"/>
    <mergeCell ref="DN5:DT5"/>
    <mergeCell ref="DU5:EA5"/>
    <mergeCell ref="EB5:EH5"/>
    <mergeCell ref="EI5:EO5"/>
    <mergeCell ref="EP5:EV5"/>
    <mergeCell ref="EW5:FC5"/>
    <mergeCell ref="BX5:CD5"/>
    <mergeCell ref="CE5:CK5"/>
    <mergeCell ref="CL5:CR5"/>
    <mergeCell ref="CS5:CY5"/>
    <mergeCell ref="CZ5:DF5"/>
    <mergeCell ref="DG5:DM5"/>
    <mergeCell ref="AH5:AN5"/>
    <mergeCell ref="AO5:AU5"/>
    <mergeCell ref="AV5:BB5"/>
    <mergeCell ref="BC5:BI5"/>
    <mergeCell ref="BJ5:BP5"/>
    <mergeCell ref="BQ5:BW5"/>
    <mergeCell ref="A4:H4"/>
    <mergeCell ref="A5:H5"/>
    <mergeCell ref="I5:L5"/>
    <mergeCell ref="M5:S5"/>
    <mergeCell ref="T5:Z5"/>
    <mergeCell ref="AA5:AG5"/>
    <mergeCell ref="A1:H1"/>
    <mergeCell ref="I1:N1"/>
    <mergeCell ref="A2:H2"/>
    <mergeCell ref="I2:N2"/>
    <mergeCell ref="A3:H3"/>
    <mergeCell ref="I3:N3"/>
  </mergeCells>
  <printOptions horizontalCentered="1"/>
  <pageMargins left="0.5" right="0.5" top="0.75" bottom="0.75" header="0.5" footer="0.5"/>
  <pageSetup scale="90" fitToHeight="3" orientation="landscape" r:id="rId1"/>
  <headerFooter alignWithMargins="0">
    <oddFooter>&amp;C&amp;"Times New Roman,Regular"Page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34660-A6A1-4FAA-865D-735BC32D9A30}">
  <sheetPr>
    <tabColor rgb="FFCCFFFF"/>
  </sheetPr>
  <dimension ref="A1:J267"/>
  <sheetViews>
    <sheetView zoomScaleNormal="100" workbookViewId="0">
      <selection activeCell="G261" sqref="G261"/>
    </sheetView>
  </sheetViews>
  <sheetFormatPr defaultColWidth="9.05859375" defaultRowHeight="12.6" x14ac:dyDescent="0.45"/>
  <cols>
    <col min="1" max="2" width="10.46875" style="198" customWidth="1"/>
    <col min="3" max="3" width="20.5859375" style="142" customWidth="1"/>
    <col min="4" max="4" width="75.46875" style="142" customWidth="1"/>
    <col min="5" max="5" width="10.46875" style="169" customWidth="1"/>
    <col min="6" max="6" width="6.46875" style="199" customWidth="1"/>
    <col min="7" max="7" width="10" style="200" customWidth="1"/>
    <col min="8" max="8" width="13.05859375" style="201" customWidth="1"/>
    <col min="9" max="16384" width="9.05859375" style="142"/>
  </cols>
  <sheetData>
    <row r="1" spans="1:9" ht="12.75" customHeight="1" x14ac:dyDescent="0.45">
      <c r="A1" s="390" t="s">
        <v>4992</v>
      </c>
      <c r="B1" s="390"/>
      <c r="C1" s="390"/>
      <c r="D1" s="390"/>
      <c r="E1" s="390"/>
      <c r="F1" s="390"/>
      <c r="G1" s="390"/>
      <c r="H1" s="390"/>
    </row>
    <row r="2" spans="1:9" ht="12.75" customHeight="1" x14ac:dyDescent="0.45">
      <c r="A2" s="390" t="s">
        <v>0</v>
      </c>
      <c r="B2" s="390"/>
      <c r="C2" s="390"/>
      <c r="D2" s="390"/>
      <c r="E2" s="390"/>
      <c r="F2" s="390"/>
      <c r="G2" s="390"/>
      <c r="H2" s="390"/>
    </row>
    <row r="3" spans="1:9" ht="12.75" customHeight="1" x14ac:dyDescent="0.45">
      <c r="A3" s="390" t="s">
        <v>4991</v>
      </c>
      <c r="B3" s="390"/>
      <c r="C3" s="390"/>
      <c r="D3" s="390"/>
      <c r="E3" s="390"/>
      <c r="F3" s="390"/>
      <c r="G3" s="390"/>
      <c r="H3" s="390"/>
    </row>
    <row r="4" spans="1:9" x14ac:dyDescent="0.45">
      <c r="A4" s="410"/>
      <c r="B4" s="410"/>
      <c r="C4" s="410"/>
      <c r="D4" s="410"/>
      <c r="E4" s="410"/>
      <c r="F4" s="410"/>
      <c r="G4" s="410"/>
      <c r="H4" s="410"/>
    </row>
    <row r="5" spans="1:9" x14ac:dyDescent="0.45">
      <c r="A5" s="410" t="s">
        <v>5001</v>
      </c>
      <c r="B5" s="410"/>
      <c r="C5" s="410"/>
      <c r="D5" s="410"/>
      <c r="E5" s="410"/>
      <c r="F5" s="410"/>
      <c r="G5" s="410"/>
      <c r="H5" s="410"/>
    </row>
    <row r="6" spans="1:9" x14ac:dyDescent="0.45">
      <c r="A6" s="410" t="s">
        <v>1305</v>
      </c>
      <c r="B6" s="410"/>
      <c r="C6" s="410"/>
      <c r="D6" s="410"/>
      <c r="E6" s="410"/>
      <c r="F6" s="410"/>
      <c r="G6" s="410"/>
      <c r="H6" s="410"/>
    </row>
    <row r="7" spans="1:9" x14ac:dyDescent="0.45">
      <c r="A7" s="410"/>
      <c r="B7" s="410"/>
      <c r="C7" s="410"/>
      <c r="D7" s="410"/>
      <c r="E7" s="410"/>
      <c r="F7" s="410"/>
      <c r="G7" s="410"/>
      <c r="H7" s="410"/>
    </row>
    <row r="8" spans="1:9" x14ac:dyDescent="0.45">
      <c r="A8" s="413" t="s">
        <v>1306</v>
      </c>
      <c r="B8" s="414"/>
      <c r="C8" s="414"/>
      <c r="D8" s="415"/>
      <c r="E8" s="415"/>
      <c r="F8" s="415"/>
      <c r="G8" s="415"/>
      <c r="H8" s="416"/>
    </row>
    <row r="9" spans="1:9" ht="27.7" customHeight="1" x14ac:dyDescent="0.45">
      <c r="A9" s="417" t="s">
        <v>457</v>
      </c>
      <c r="B9" s="418"/>
      <c r="C9" s="418"/>
      <c r="D9" s="418"/>
      <c r="E9" s="418"/>
      <c r="F9" s="418"/>
      <c r="G9" s="418"/>
      <c r="H9" s="419"/>
    </row>
    <row r="10" spans="1:9" x14ac:dyDescent="0.45">
      <c r="A10" s="420" t="s">
        <v>1307</v>
      </c>
      <c r="B10" s="421"/>
      <c r="C10" s="421"/>
      <c r="D10" s="421"/>
      <c r="E10" s="421"/>
      <c r="F10" s="421"/>
      <c r="G10" s="421"/>
      <c r="H10" s="422"/>
    </row>
    <row r="11" spans="1:9" s="207" customFormat="1" ht="36.9" x14ac:dyDescent="0.45">
      <c r="A11" s="435" t="s">
        <v>459</v>
      </c>
      <c r="B11" s="143" t="s">
        <v>460</v>
      </c>
      <c r="C11" s="144" t="s">
        <v>461</v>
      </c>
      <c r="D11" s="145" t="s">
        <v>462</v>
      </c>
      <c r="E11" s="146" t="s">
        <v>463</v>
      </c>
      <c r="F11" s="147" t="s">
        <v>464</v>
      </c>
      <c r="G11" s="148" t="s">
        <v>465</v>
      </c>
      <c r="H11" s="149" t="s">
        <v>466</v>
      </c>
    </row>
    <row r="12" spans="1:9" s="208" customFormat="1" x14ac:dyDescent="0.45">
      <c r="A12" s="423" t="s">
        <v>467</v>
      </c>
      <c r="B12" s="424"/>
      <c r="C12" s="425"/>
      <c r="D12" s="425"/>
      <c r="E12" s="150"/>
      <c r="F12" s="151"/>
      <c r="G12" s="152"/>
      <c r="H12" s="153"/>
    </row>
    <row r="13" spans="1:9" ht="7.5" customHeight="1" x14ac:dyDescent="0.45">
      <c r="A13" s="154"/>
      <c r="B13" s="154"/>
      <c r="C13" s="155"/>
      <c r="D13" s="155"/>
      <c r="E13" s="156"/>
      <c r="F13" s="155"/>
      <c r="G13" s="157"/>
      <c r="H13" s="158"/>
    </row>
    <row r="14" spans="1:9" ht="13" customHeight="1" x14ac:dyDescent="0.45">
      <c r="A14" s="159"/>
      <c r="B14" s="160">
        <v>200000</v>
      </c>
      <c r="C14" s="159"/>
      <c r="D14" s="159" t="s">
        <v>468</v>
      </c>
      <c r="E14" s="209"/>
      <c r="F14" s="209"/>
      <c r="G14" s="210"/>
      <c r="H14" s="211"/>
    </row>
    <row r="15" spans="1:9" ht="63" x14ac:dyDescent="0.45">
      <c r="A15" s="164" t="s">
        <v>1308</v>
      </c>
      <c r="B15" s="164"/>
      <c r="C15" s="212" t="s">
        <v>470</v>
      </c>
      <c r="D15" s="165" t="s">
        <v>471</v>
      </c>
      <c r="E15" s="166"/>
      <c r="F15" s="164" t="s">
        <v>472</v>
      </c>
      <c r="G15" s="167">
        <v>5</v>
      </c>
      <c r="H15" s="168">
        <f>SUM(E15)*G15</f>
        <v>0</v>
      </c>
      <c r="I15" s="169"/>
    </row>
    <row r="16" spans="1:9" x14ac:dyDescent="0.45">
      <c r="A16" s="118" t="s">
        <v>1309</v>
      </c>
      <c r="B16" s="184" t="s">
        <v>180</v>
      </c>
      <c r="D16" s="120"/>
      <c r="E16" s="142"/>
      <c r="F16" s="171"/>
      <c r="G16" s="142"/>
      <c r="H16" s="168"/>
    </row>
    <row r="17" spans="1:8" ht="13" customHeight="1" x14ac:dyDescent="0.45">
      <c r="A17" s="159"/>
      <c r="B17" s="159">
        <v>1401000</v>
      </c>
      <c r="C17" s="159"/>
      <c r="D17" s="159" t="s">
        <v>474</v>
      </c>
      <c r="E17" s="159"/>
      <c r="F17" s="159"/>
      <c r="G17" s="159"/>
      <c r="H17" s="163"/>
    </row>
    <row r="18" spans="1:8" ht="88.2" x14ac:dyDescent="0.45">
      <c r="A18" s="171" t="s">
        <v>1310</v>
      </c>
      <c r="B18" s="171"/>
      <c r="C18" s="184" t="s">
        <v>476</v>
      </c>
      <c r="D18" s="106" t="s">
        <v>477</v>
      </c>
      <c r="E18" s="166"/>
      <c r="F18" s="171" t="s">
        <v>472</v>
      </c>
      <c r="G18" s="172">
        <v>4</v>
      </c>
      <c r="H18" s="168">
        <f t="shared" ref="H18:H29" si="0">SUM(E18)*G18</f>
        <v>0</v>
      </c>
    </row>
    <row r="19" spans="1:8" ht="63" x14ac:dyDescent="0.45">
      <c r="A19" s="171" t="s">
        <v>1311</v>
      </c>
      <c r="B19" s="171"/>
      <c r="C19" s="106" t="s">
        <v>479</v>
      </c>
      <c r="D19" s="106" t="s">
        <v>480</v>
      </c>
      <c r="E19" s="166"/>
      <c r="F19" s="171" t="s">
        <v>472</v>
      </c>
      <c r="G19" s="172">
        <v>4</v>
      </c>
      <c r="H19" s="168">
        <f t="shared" si="0"/>
        <v>0</v>
      </c>
    </row>
    <row r="20" spans="1:8" ht="63" x14ac:dyDescent="0.45">
      <c r="A20" s="171" t="s">
        <v>1312</v>
      </c>
      <c r="B20" s="171"/>
      <c r="C20" s="106" t="s">
        <v>482</v>
      </c>
      <c r="D20" s="106" t="s">
        <v>483</v>
      </c>
      <c r="E20" s="166"/>
      <c r="F20" s="171" t="s">
        <v>472</v>
      </c>
      <c r="G20" s="172">
        <v>4</v>
      </c>
      <c r="H20" s="168">
        <f t="shared" si="0"/>
        <v>0</v>
      </c>
    </row>
    <row r="21" spans="1:8" ht="50.4" x14ac:dyDescent="0.45">
      <c r="A21" s="171" t="s">
        <v>1313</v>
      </c>
      <c r="B21" s="171"/>
      <c r="C21" s="106" t="s">
        <v>485</v>
      </c>
      <c r="D21" s="106" t="s">
        <v>486</v>
      </c>
      <c r="E21" s="166"/>
      <c r="F21" s="171" t="s">
        <v>472</v>
      </c>
      <c r="G21" s="172">
        <v>8</v>
      </c>
      <c r="H21" s="168">
        <f t="shared" si="0"/>
        <v>0</v>
      </c>
    </row>
    <row r="22" spans="1:8" ht="63" x14ac:dyDescent="0.45">
      <c r="A22" s="171" t="s">
        <v>1314</v>
      </c>
      <c r="B22" s="171"/>
      <c r="C22" s="106" t="s">
        <v>488</v>
      </c>
      <c r="D22" s="106" t="s">
        <v>489</v>
      </c>
      <c r="E22" s="166"/>
      <c r="F22" s="171" t="s">
        <v>472</v>
      </c>
      <c r="G22" s="172">
        <v>4</v>
      </c>
      <c r="H22" s="168">
        <f t="shared" si="0"/>
        <v>0</v>
      </c>
    </row>
    <row r="23" spans="1:8" ht="63" x14ac:dyDescent="0.45">
      <c r="A23" s="171" t="s">
        <v>1315</v>
      </c>
      <c r="B23" s="171"/>
      <c r="C23" s="106" t="s">
        <v>491</v>
      </c>
      <c r="D23" s="106" t="s">
        <v>492</v>
      </c>
      <c r="E23" s="166"/>
      <c r="F23" s="171" t="s">
        <v>472</v>
      </c>
      <c r="G23" s="172">
        <v>4</v>
      </c>
      <c r="H23" s="168">
        <f t="shared" si="0"/>
        <v>0</v>
      </c>
    </row>
    <row r="24" spans="1:8" ht="50.4" x14ac:dyDescent="0.45">
      <c r="A24" s="171" t="s">
        <v>1316</v>
      </c>
      <c r="B24" s="171"/>
      <c r="C24" s="106" t="s">
        <v>494</v>
      </c>
      <c r="D24" s="106" t="s">
        <v>495</v>
      </c>
      <c r="E24" s="166"/>
      <c r="F24" s="171" t="s">
        <v>472</v>
      </c>
      <c r="G24" s="172">
        <v>4</v>
      </c>
      <c r="H24" s="168">
        <f t="shared" si="0"/>
        <v>0</v>
      </c>
    </row>
    <row r="25" spans="1:8" ht="63" x14ac:dyDescent="0.45">
      <c r="A25" s="171" t="s">
        <v>1317</v>
      </c>
      <c r="B25" s="171"/>
      <c r="C25" s="106" t="s">
        <v>497</v>
      </c>
      <c r="D25" s="106" t="s">
        <v>498</v>
      </c>
      <c r="E25" s="166"/>
      <c r="F25" s="171" t="s">
        <v>472</v>
      </c>
      <c r="G25" s="172">
        <v>4</v>
      </c>
      <c r="H25" s="168">
        <f t="shared" si="0"/>
        <v>0</v>
      </c>
    </row>
    <row r="26" spans="1:8" ht="63" x14ac:dyDescent="0.45">
      <c r="A26" s="171" t="s">
        <v>1318</v>
      </c>
      <c r="B26" s="171"/>
      <c r="C26" s="106" t="s">
        <v>500</v>
      </c>
      <c r="D26" s="106" t="s">
        <v>501</v>
      </c>
      <c r="E26" s="166"/>
      <c r="F26" s="171" t="s">
        <v>472</v>
      </c>
      <c r="G26" s="172">
        <v>4</v>
      </c>
      <c r="H26" s="168">
        <f t="shared" si="0"/>
        <v>0</v>
      </c>
    </row>
    <row r="27" spans="1:8" s="177" customFormat="1" ht="126" x14ac:dyDescent="0.45">
      <c r="A27" s="173" t="s">
        <v>1319</v>
      </c>
      <c r="B27" s="173"/>
      <c r="C27" s="174" t="s">
        <v>503</v>
      </c>
      <c r="D27" s="174" t="s">
        <v>504</v>
      </c>
      <c r="E27" s="166"/>
      <c r="F27" s="173" t="s">
        <v>472</v>
      </c>
      <c r="G27" s="175">
        <v>10</v>
      </c>
      <c r="H27" s="176">
        <f t="shared" si="0"/>
        <v>0</v>
      </c>
    </row>
    <row r="28" spans="1:8" ht="88.2" x14ac:dyDescent="0.45">
      <c r="A28" s="171" t="s">
        <v>1320</v>
      </c>
      <c r="B28" s="171"/>
      <c r="C28" s="106" t="s">
        <v>506</v>
      </c>
      <c r="D28" s="178" t="s">
        <v>507</v>
      </c>
      <c r="E28" s="166"/>
      <c r="F28" s="171" t="s">
        <v>508</v>
      </c>
      <c r="G28" s="172">
        <v>300</v>
      </c>
      <c r="H28" s="168">
        <f t="shared" si="0"/>
        <v>0</v>
      </c>
    </row>
    <row r="29" spans="1:8" ht="88.2" x14ac:dyDescent="0.45">
      <c r="A29" s="171" t="s">
        <v>1321</v>
      </c>
      <c r="B29" s="171"/>
      <c r="C29" s="106" t="s">
        <v>510</v>
      </c>
      <c r="D29" s="178" t="s">
        <v>511</v>
      </c>
      <c r="E29" s="166"/>
      <c r="F29" s="171" t="s">
        <v>508</v>
      </c>
      <c r="G29" s="172">
        <v>300</v>
      </c>
      <c r="H29" s="168">
        <f t="shared" si="0"/>
        <v>0</v>
      </c>
    </row>
    <row r="30" spans="1:8" x14ac:dyDescent="0.45">
      <c r="A30" s="118" t="s">
        <v>1322</v>
      </c>
      <c r="B30" s="184" t="s">
        <v>180</v>
      </c>
      <c r="D30" s="120"/>
      <c r="E30" s="142"/>
      <c r="F30" s="171"/>
      <c r="G30" s="172"/>
      <c r="H30" s="168"/>
    </row>
    <row r="31" spans="1:8" ht="13" customHeight="1" x14ac:dyDescent="0.45">
      <c r="A31" s="159"/>
      <c r="B31" s="159">
        <v>1402000</v>
      </c>
      <c r="C31" s="159"/>
      <c r="D31" s="159" t="s">
        <v>513</v>
      </c>
      <c r="E31" s="159"/>
      <c r="F31" s="161"/>
      <c r="G31" s="210"/>
      <c r="H31" s="163"/>
    </row>
    <row r="32" spans="1:8" ht="63" x14ac:dyDescent="0.45">
      <c r="A32" s="171" t="s">
        <v>1323</v>
      </c>
      <c r="B32" s="171"/>
      <c r="C32" s="184" t="s">
        <v>515</v>
      </c>
      <c r="D32" s="184" t="s">
        <v>516</v>
      </c>
      <c r="E32" s="166"/>
      <c r="F32" s="171" t="s">
        <v>472</v>
      </c>
      <c r="G32" s="172">
        <v>50</v>
      </c>
      <c r="H32" s="168">
        <f>SUM(E32)*G32</f>
        <v>0</v>
      </c>
    </row>
    <row r="33" spans="1:8" ht="63" x14ac:dyDescent="0.45">
      <c r="A33" s="171" t="s">
        <v>1324</v>
      </c>
      <c r="B33" s="171"/>
      <c r="C33" s="184" t="s">
        <v>518</v>
      </c>
      <c r="D33" s="184" t="s">
        <v>519</v>
      </c>
      <c r="E33" s="166"/>
      <c r="F33" s="171" t="s">
        <v>472</v>
      </c>
      <c r="G33" s="172">
        <v>40</v>
      </c>
      <c r="H33" s="168">
        <f>SUM(E33)*G33</f>
        <v>0</v>
      </c>
    </row>
    <row r="34" spans="1:8" ht="37.799999999999997" x14ac:dyDescent="0.45">
      <c r="A34" s="171" t="s">
        <v>1325</v>
      </c>
      <c r="B34" s="171"/>
      <c r="C34" s="184" t="s">
        <v>521</v>
      </c>
      <c r="D34" s="184" t="s">
        <v>522</v>
      </c>
      <c r="E34" s="166"/>
      <c r="F34" s="171" t="s">
        <v>472</v>
      </c>
      <c r="G34" s="172">
        <v>50</v>
      </c>
      <c r="H34" s="168">
        <f>SUM(E34)*G34</f>
        <v>0</v>
      </c>
    </row>
    <row r="35" spans="1:8" ht="37.799999999999997" x14ac:dyDescent="0.45">
      <c r="A35" s="171" t="s">
        <v>1326</v>
      </c>
      <c r="B35" s="171"/>
      <c r="C35" s="184" t="s">
        <v>524</v>
      </c>
      <c r="D35" s="184" t="s">
        <v>525</v>
      </c>
      <c r="E35" s="166"/>
      <c r="F35" s="171" t="s">
        <v>472</v>
      </c>
      <c r="G35" s="172">
        <v>40</v>
      </c>
      <c r="H35" s="168">
        <f>SUM(E35)*G35</f>
        <v>0</v>
      </c>
    </row>
    <row r="36" spans="1:8" x14ac:dyDescent="0.45">
      <c r="A36" s="118" t="s">
        <v>1327</v>
      </c>
      <c r="B36" s="184" t="s">
        <v>180</v>
      </c>
      <c r="D36" s="120"/>
      <c r="E36" s="142"/>
      <c r="F36" s="171"/>
      <c r="G36" s="172"/>
      <c r="H36" s="168"/>
    </row>
    <row r="37" spans="1:8" ht="13" customHeight="1" x14ac:dyDescent="0.45">
      <c r="A37" s="159"/>
      <c r="B37" s="159">
        <v>1502000</v>
      </c>
      <c r="C37" s="159"/>
      <c r="D37" s="159" t="s">
        <v>18</v>
      </c>
      <c r="E37" s="159"/>
      <c r="F37" s="159"/>
      <c r="G37" s="210"/>
      <c r="H37" s="163"/>
    </row>
    <row r="38" spans="1:8" ht="37.799999999999997" x14ac:dyDescent="0.45">
      <c r="A38" s="171" t="s">
        <v>1328</v>
      </c>
      <c r="B38" s="171"/>
      <c r="C38" s="184" t="s">
        <v>528</v>
      </c>
      <c r="D38" s="184" t="s">
        <v>529</v>
      </c>
      <c r="E38" s="166"/>
      <c r="F38" s="171" t="s">
        <v>508</v>
      </c>
      <c r="G38" s="172">
        <v>3000</v>
      </c>
      <c r="H38" s="168">
        <f t="shared" ref="H38:H49" si="1">SUM(E38)*G38</f>
        <v>0</v>
      </c>
    </row>
    <row r="39" spans="1:8" ht="63" x14ac:dyDescent="0.45">
      <c r="A39" s="171" t="s">
        <v>1329</v>
      </c>
      <c r="B39" s="171"/>
      <c r="C39" s="184" t="s">
        <v>531</v>
      </c>
      <c r="D39" s="184" t="s">
        <v>532</v>
      </c>
      <c r="E39" s="166"/>
      <c r="F39" s="171" t="s">
        <v>533</v>
      </c>
      <c r="G39" s="172">
        <v>3000</v>
      </c>
      <c r="H39" s="168">
        <f t="shared" si="1"/>
        <v>0</v>
      </c>
    </row>
    <row r="40" spans="1:8" ht="75.599999999999994" x14ac:dyDescent="0.45">
      <c r="A40" s="171" t="s">
        <v>1330</v>
      </c>
      <c r="B40" s="171"/>
      <c r="C40" s="184" t="s">
        <v>535</v>
      </c>
      <c r="D40" s="184" t="s">
        <v>536</v>
      </c>
      <c r="E40" s="166"/>
      <c r="F40" s="171" t="s">
        <v>508</v>
      </c>
      <c r="G40" s="172">
        <v>2000</v>
      </c>
      <c r="H40" s="168">
        <f t="shared" si="1"/>
        <v>0</v>
      </c>
    </row>
    <row r="41" spans="1:8" ht="75.599999999999994" x14ac:dyDescent="0.45">
      <c r="A41" s="171" t="s">
        <v>1331</v>
      </c>
      <c r="B41" s="171"/>
      <c r="C41" s="184" t="s">
        <v>538</v>
      </c>
      <c r="D41" s="184" t="s">
        <v>539</v>
      </c>
      <c r="E41" s="166"/>
      <c r="F41" s="171" t="s">
        <v>508</v>
      </c>
      <c r="G41" s="172">
        <v>2000</v>
      </c>
      <c r="H41" s="168">
        <f t="shared" si="1"/>
        <v>0</v>
      </c>
    </row>
    <row r="42" spans="1:8" ht="63" x14ac:dyDescent="0.45">
      <c r="A42" s="171" t="s">
        <v>1332</v>
      </c>
      <c r="B42" s="171"/>
      <c r="C42" s="184" t="s">
        <v>541</v>
      </c>
      <c r="D42" s="184" t="s">
        <v>542</v>
      </c>
      <c r="E42" s="166"/>
      <c r="F42" s="171" t="s">
        <v>543</v>
      </c>
      <c r="G42" s="172">
        <v>19500</v>
      </c>
      <c r="H42" s="168">
        <f t="shared" si="1"/>
        <v>0</v>
      </c>
    </row>
    <row r="43" spans="1:8" ht="37.799999999999997" x14ac:dyDescent="0.45">
      <c r="A43" s="171" t="s">
        <v>1333</v>
      </c>
      <c r="B43" s="171"/>
      <c r="C43" s="184" t="s">
        <v>545</v>
      </c>
      <c r="D43" s="184" t="s">
        <v>546</v>
      </c>
      <c r="E43" s="166"/>
      <c r="F43" s="171" t="s">
        <v>472</v>
      </c>
      <c r="G43" s="172">
        <v>10</v>
      </c>
      <c r="H43" s="168">
        <f t="shared" si="1"/>
        <v>0</v>
      </c>
    </row>
    <row r="44" spans="1:8" ht="176.4" x14ac:dyDescent="0.45">
      <c r="A44" s="171" t="s">
        <v>1334</v>
      </c>
      <c r="B44" s="171"/>
      <c r="C44" s="184" t="s">
        <v>548</v>
      </c>
      <c r="D44" s="106" t="s">
        <v>549</v>
      </c>
      <c r="E44" s="166"/>
      <c r="F44" s="171" t="s">
        <v>472</v>
      </c>
      <c r="G44" s="172">
        <v>25</v>
      </c>
      <c r="H44" s="168">
        <f t="shared" si="1"/>
        <v>0</v>
      </c>
    </row>
    <row r="45" spans="1:8" ht="50.4" x14ac:dyDescent="0.45">
      <c r="A45" s="171" t="s">
        <v>1335</v>
      </c>
      <c r="B45" s="171"/>
      <c r="C45" s="106" t="s">
        <v>551</v>
      </c>
      <c r="D45" s="184" t="s">
        <v>552</v>
      </c>
      <c r="E45" s="166"/>
      <c r="F45" s="171" t="s">
        <v>472</v>
      </c>
      <c r="G45" s="172">
        <v>38</v>
      </c>
      <c r="H45" s="168">
        <f t="shared" si="1"/>
        <v>0</v>
      </c>
    </row>
    <row r="46" spans="1:8" ht="50.4" x14ac:dyDescent="0.45">
      <c r="A46" s="171" t="s">
        <v>1336</v>
      </c>
      <c r="B46" s="171"/>
      <c r="C46" s="106" t="s">
        <v>554</v>
      </c>
      <c r="D46" s="184" t="s">
        <v>555</v>
      </c>
      <c r="E46" s="166"/>
      <c r="F46" s="171" t="s">
        <v>472</v>
      </c>
      <c r="G46" s="172">
        <v>38</v>
      </c>
      <c r="H46" s="168">
        <f t="shared" si="1"/>
        <v>0</v>
      </c>
    </row>
    <row r="47" spans="1:8" ht="50.4" x14ac:dyDescent="0.45">
      <c r="A47" s="171" t="s">
        <v>1337</v>
      </c>
      <c r="B47" s="171"/>
      <c r="C47" s="106" t="s">
        <v>557</v>
      </c>
      <c r="D47" s="184" t="s">
        <v>558</v>
      </c>
      <c r="E47" s="166"/>
      <c r="F47" s="171" t="s">
        <v>472</v>
      </c>
      <c r="G47" s="172">
        <v>38</v>
      </c>
      <c r="H47" s="168">
        <f t="shared" si="1"/>
        <v>0</v>
      </c>
    </row>
    <row r="48" spans="1:8" ht="70.5" x14ac:dyDescent="0.45">
      <c r="A48" s="171" t="s">
        <v>1338</v>
      </c>
      <c r="B48" s="171"/>
      <c r="C48" s="106" t="s">
        <v>560</v>
      </c>
      <c r="D48" s="179" t="s">
        <v>561</v>
      </c>
      <c r="E48" s="166"/>
      <c r="F48" s="171" t="s">
        <v>472</v>
      </c>
      <c r="G48" s="172">
        <v>14</v>
      </c>
      <c r="H48" s="168">
        <f t="shared" si="1"/>
        <v>0</v>
      </c>
    </row>
    <row r="49" spans="1:8" ht="70.5" x14ac:dyDescent="0.45">
      <c r="A49" s="171" t="s">
        <v>1339</v>
      </c>
      <c r="B49" s="171"/>
      <c r="C49" s="106" t="s">
        <v>563</v>
      </c>
      <c r="D49" s="179" t="s">
        <v>564</v>
      </c>
      <c r="E49" s="166"/>
      <c r="F49" s="171" t="s">
        <v>472</v>
      </c>
      <c r="G49" s="172">
        <v>14</v>
      </c>
      <c r="H49" s="168">
        <f t="shared" si="1"/>
        <v>0</v>
      </c>
    </row>
    <row r="50" spans="1:8" ht="70.5" x14ac:dyDescent="0.45">
      <c r="A50" s="171" t="s">
        <v>1340</v>
      </c>
      <c r="B50" s="171"/>
      <c r="C50" s="106" t="s">
        <v>566</v>
      </c>
      <c r="D50" s="179" t="s">
        <v>567</v>
      </c>
      <c r="E50" s="166"/>
      <c r="F50" s="171" t="s">
        <v>568</v>
      </c>
      <c r="G50" s="172">
        <v>35</v>
      </c>
      <c r="H50" s="168">
        <f>SUM(E50)*G50</f>
        <v>0</v>
      </c>
    </row>
    <row r="51" spans="1:8" ht="106.5" customHeight="1" x14ac:dyDescent="0.45">
      <c r="A51" s="171" t="s">
        <v>1341</v>
      </c>
      <c r="B51" s="180"/>
      <c r="C51" s="182" t="s">
        <v>570</v>
      </c>
      <c r="D51" s="182" t="s">
        <v>571</v>
      </c>
      <c r="E51" s="166"/>
      <c r="F51" s="171" t="s">
        <v>472</v>
      </c>
      <c r="G51" s="172">
        <v>50</v>
      </c>
      <c r="H51" s="168">
        <f t="shared" ref="H51:H54" si="2">SUM(E51)*G51</f>
        <v>0</v>
      </c>
    </row>
    <row r="52" spans="1:8" s="183" customFormat="1" ht="409.2" customHeight="1" x14ac:dyDescent="0.45">
      <c r="A52" s="185" t="s">
        <v>1342</v>
      </c>
      <c r="B52" s="182"/>
      <c r="C52" s="182" t="s">
        <v>573</v>
      </c>
      <c r="D52" s="182" t="s">
        <v>574</v>
      </c>
      <c r="E52" s="166"/>
      <c r="F52" s="185" t="s">
        <v>508</v>
      </c>
      <c r="G52" s="214">
        <v>1500</v>
      </c>
      <c r="H52" s="168">
        <f t="shared" si="2"/>
        <v>0</v>
      </c>
    </row>
    <row r="53" spans="1:8" s="183" customFormat="1" ht="206.95" customHeight="1" x14ac:dyDescent="0.45">
      <c r="A53" s="185" t="s">
        <v>1343</v>
      </c>
      <c r="B53" s="182"/>
      <c r="C53" s="182" t="s">
        <v>576</v>
      </c>
      <c r="D53" s="182" t="s">
        <v>577</v>
      </c>
      <c r="E53" s="166"/>
      <c r="F53" s="185" t="s">
        <v>508</v>
      </c>
      <c r="G53" s="214">
        <v>2500</v>
      </c>
      <c r="H53" s="168">
        <f t="shared" si="2"/>
        <v>0</v>
      </c>
    </row>
    <row r="54" spans="1:8" s="183" customFormat="1" ht="88.2" x14ac:dyDescent="0.45">
      <c r="A54" s="182" t="s">
        <v>1344</v>
      </c>
      <c r="B54" s="182"/>
      <c r="C54" s="215" t="s">
        <v>579</v>
      </c>
      <c r="D54" s="215" t="s">
        <v>580</v>
      </c>
      <c r="E54" s="166"/>
      <c r="F54" s="185" t="s">
        <v>508</v>
      </c>
      <c r="G54" s="214">
        <v>2000</v>
      </c>
      <c r="H54" s="168">
        <f t="shared" si="2"/>
        <v>0</v>
      </c>
    </row>
    <row r="55" spans="1:8" x14ac:dyDescent="0.45">
      <c r="A55" s="118" t="s">
        <v>1345</v>
      </c>
      <c r="B55" s="184" t="s">
        <v>180</v>
      </c>
      <c r="D55" s="170"/>
      <c r="E55" s="142"/>
      <c r="F55" s="172"/>
      <c r="G55" s="168"/>
      <c r="H55" s="142"/>
    </row>
    <row r="56" spans="1:8" ht="13" customHeight="1" x14ac:dyDescent="0.45">
      <c r="A56" s="159"/>
      <c r="B56" s="159">
        <v>1503010</v>
      </c>
      <c r="C56" s="159"/>
      <c r="D56" s="159" t="s">
        <v>109</v>
      </c>
      <c r="E56" s="159"/>
      <c r="F56" s="161"/>
      <c r="G56" s="210"/>
      <c r="H56" s="163"/>
    </row>
    <row r="57" spans="1:8" ht="37.799999999999997" x14ac:dyDescent="0.45">
      <c r="A57" s="171" t="s">
        <v>1346</v>
      </c>
      <c r="B57" s="171"/>
      <c r="C57" s="106" t="s">
        <v>583</v>
      </c>
      <c r="D57" s="106" t="s">
        <v>584</v>
      </c>
      <c r="E57" s="166"/>
      <c r="F57" s="171" t="s">
        <v>508</v>
      </c>
      <c r="G57" s="172">
        <v>500</v>
      </c>
      <c r="H57" s="168">
        <f t="shared" ref="H57:H74" si="3">SUM(E57)*G57</f>
        <v>0</v>
      </c>
    </row>
    <row r="58" spans="1:8" ht="63" x14ac:dyDescent="0.45">
      <c r="A58" s="171" t="s">
        <v>1347</v>
      </c>
      <c r="B58" s="171"/>
      <c r="C58" s="106" t="s">
        <v>586</v>
      </c>
      <c r="D58" s="106" t="s">
        <v>587</v>
      </c>
      <c r="E58" s="166"/>
      <c r="F58" s="171" t="s">
        <v>508</v>
      </c>
      <c r="G58" s="172">
        <v>500</v>
      </c>
      <c r="H58" s="168">
        <f t="shared" si="3"/>
        <v>0</v>
      </c>
    </row>
    <row r="59" spans="1:8" ht="50.4" x14ac:dyDescent="0.45">
      <c r="A59" s="171" t="s">
        <v>1348</v>
      </c>
      <c r="B59" s="171"/>
      <c r="C59" s="106" t="s">
        <v>589</v>
      </c>
      <c r="D59" s="106" t="s">
        <v>590</v>
      </c>
      <c r="E59" s="166"/>
      <c r="F59" s="171" t="s">
        <v>508</v>
      </c>
      <c r="G59" s="172">
        <v>1000</v>
      </c>
      <c r="H59" s="168">
        <f t="shared" si="3"/>
        <v>0</v>
      </c>
    </row>
    <row r="60" spans="1:8" ht="50.4" x14ac:dyDescent="0.45">
      <c r="A60" s="171" t="s">
        <v>1349</v>
      </c>
      <c r="B60" s="171"/>
      <c r="C60" s="106" t="s">
        <v>592</v>
      </c>
      <c r="D60" s="106" t="s">
        <v>593</v>
      </c>
      <c r="E60" s="166"/>
      <c r="F60" s="171" t="s">
        <v>508</v>
      </c>
      <c r="G60" s="172">
        <v>1000</v>
      </c>
      <c r="H60" s="168">
        <f t="shared" si="3"/>
        <v>0</v>
      </c>
    </row>
    <row r="61" spans="1:8" ht="75.599999999999994" x14ac:dyDescent="0.45">
      <c r="A61" s="171" t="s">
        <v>1350</v>
      </c>
      <c r="B61" s="171"/>
      <c r="C61" s="106" t="s">
        <v>595</v>
      </c>
      <c r="D61" s="106" t="s">
        <v>596</v>
      </c>
      <c r="E61" s="166"/>
      <c r="F61" s="171" t="s">
        <v>508</v>
      </c>
      <c r="G61" s="172">
        <v>1000</v>
      </c>
      <c r="H61" s="168">
        <f t="shared" si="3"/>
        <v>0</v>
      </c>
    </row>
    <row r="62" spans="1:8" ht="63" x14ac:dyDescent="0.45">
      <c r="A62" s="171" t="s">
        <v>1351</v>
      </c>
      <c r="B62" s="171"/>
      <c r="C62" s="106" t="s">
        <v>598</v>
      </c>
      <c r="D62" s="106" t="s">
        <v>599</v>
      </c>
      <c r="E62" s="166"/>
      <c r="F62" s="171" t="s">
        <v>508</v>
      </c>
      <c r="G62" s="172">
        <v>1000</v>
      </c>
      <c r="H62" s="168">
        <f t="shared" si="3"/>
        <v>0</v>
      </c>
    </row>
    <row r="63" spans="1:8" ht="50.4" x14ac:dyDescent="0.45">
      <c r="A63" s="171" t="s">
        <v>1352</v>
      </c>
      <c r="B63" s="171"/>
      <c r="C63" s="106" t="s">
        <v>601</v>
      </c>
      <c r="D63" s="106" t="s">
        <v>602</v>
      </c>
      <c r="E63" s="166"/>
      <c r="F63" s="171" t="s">
        <v>508</v>
      </c>
      <c r="G63" s="172">
        <v>1000</v>
      </c>
      <c r="H63" s="168">
        <f t="shared" si="3"/>
        <v>0</v>
      </c>
    </row>
    <row r="64" spans="1:8" ht="50.4" x14ac:dyDescent="0.45">
      <c r="A64" s="171" t="s">
        <v>1353</v>
      </c>
      <c r="B64" s="171"/>
      <c r="C64" s="106" t="s">
        <v>604</v>
      </c>
      <c r="D64" s="106" t="s">
        <v>605</v>
      </c>
      <c r="E64" s="166"/>
      <c r="F64" s="171" t="s">
        <v>508</v>
      </c>
      <c r="G64" s="172">
        <v>500</v>
      </c>
      <c r="H64" s="168">
        <f t="shared" si="3"/>
        <v>0</v>
      </c>
    </row>
    <row r="65" spans="1:8" ht="63" x14ac:dyDescent="0.45">
      <c r="A65" s="171" t="s">
        <v>1354</v>
      </c>
      <c r="B65" s="171"/>
      <c r="C65" s="106" t="s">
        <v>607</v>
      </c>
      <c r="D65" s="106" t="s">
        <v>608</v>
      </c>
      <c r="E65" s="166"/>
      <c r="F65" s="171" t="s">
        <v>508</v>
      </c>
      <c r="G65" s="172">
        <v>500</v>
      </c>
      <c r="H65" s="168">
        <f t="shared" si="3"/>
        <v>0</v>
      </c>
    </row>
    <row r="66" spans="1:8" ht="37.799999999999997" x14ac:dyDescent="0.45">
      <c r="A66" s="171" t="s">
        <v>1355</v>
      </c>
      <c r="B66" s="171"/>
      <c r="C66" s="106" t="s">
        <v>610</v>
      </c>
      <c r="D66" s="106" t="s">
        <v>611</v>
      </c>
      <c r="E66" s="166"/>
      <c r="F66" s="171" t="s">
        <v>508</v>
      </c>
      <c r="G66" s="172">
        <v>500</v>
      </c>
      <c r="H66" s="168">
        <f t="shared" si="3"/>
        <v>0</v>
      </c>
    </row>
    <row r="67" spans="1:8" ht="63" x14ac:dyDescent="0.45">
      <c r="A67" s="171" t="s">
        <v>1356</v>
      </c>
      <c r="B67" s="171"/>
      <c r="C67" s="106" t="s">
        <v>613</v>
      </c>
      <c r="D67" s="106" t="s">
        <v>614</v>
      </c>
      <c r="E67" s="166"/>
      <c r="F67" s="171" t="s">
        <v>508</v>
      </c>
      <c r="G67" s="172">
        <v>250</v>
      </c>
      <c r="H67" s="168">
        <f t="shared" si="3"/>
        <v>0</v>
      </c>
    </row>
    <row r="68" spans="1:8" ht="63" x14ac:dyDescent="0.45">
      <c r="A68" s="171" t="s">
        <v>1357</v>
      </c>
      <c r="B68" s="171"/>
      <c r="C68" s="106" t="s">
        <v>616</v>
      </c>
      <c r="D68" s="106" t="s">
        <v>617</v>
      </c>
      <c r="E68" s="166"/>
      <c r="F68" s="171" t="s">
        <v>508</v>
      </c>
      <c r="G68" s="172">
        <v>500</v>
      </c>
      <c r="H68" s="168">
        <f t="shared" si="3"/>
        <v>0</v>
      </c>
    </row>
    <row r="69" spans="1:8" ht="63" x14ac:dyDescent="0.45">
      <c r="A69" s="171" t="s">
        <v>1358</v>
      </c>
      <c r="B69" s="171"/>
      <c r="C69" s="106" t="s">
        <v>619</v>
      </c>
      <c r="D69" s="106" t="s">
        <v>620</v>
      </c>
      <c r="E69" s="166"/>
      <c r="F69" s="171" t="s">
        <v>508</v>
      </c>
      <c r="G69" s="172">
        <v>1000</v>
      </c>
      <c r="H69" s="168">
        <f t="shared" si="3"/>
        <v>0</v>
      </c>
    </row>
    <row r="70" spans="1:8" ht="37.799999999999997" x14ac:dyDescent="0.45">
      <c r="A70" s="171" t="s">
        <v>1359</v>
      </c>
      <c r="B70" s="171"/>
      <c r="C70" s="106" t="s">
        <v>622</v>
      </c>
      <c r="D70" s="106" t="s">
        <v>623</v>
      </c>
      <c r="E70" s="166"/>
      <c r="F70" s="171" t="s">
        <v>508</v>
      </c>
      <c r="G70" s="172">
        <v>3000</v>
      </c>
      <c r="H70" s="168">
        <f t="shared" si="3"/>
        <v>0</v>
      </c>
    </row>
    <row r="71" spans="1:8" ht="37.799999999999997" x14ac:dyDescent="0.45">
      <c r="A71" s="171" t="s">
        <v>1360</v>
      </c>
      <c r="B71" s="171"/>
      <c r="C71" s="106" t="s">
        <v>625</v>
      </c>
      <c r="D71" s="106" t="s">
        <v>626</v>
      </c>
      <c r="E71" s="166"/>
      <c r="F71" s="171" t="s">
        <v>472</v>
      </c>
      <c r="G71" s="172">
        <v>100</v>
      </c>
      <c r="H71" s="168">
        <f t="shared" si="3"/>
        <v>0</v>
      </c>
    </row>
    <row r="72" spans="1:8" ht="50.4" x14ac:dyDescent="0.45">
      <c r="A72" s="171" t="s">
        <v>1361</v>
      </c>
      <c r="B72" s="171"/>
      <c r="C72" s="106" t="s">
        <v>628</v>
      </c>
      <c r="D72" s="106" t="s">
        <v>629</v>
      </c>
      <c r="E72" s="166"/>
      <c r="F72" s="171" t="s">
        <v>472</v>
      </c>
      <c r="G72" s="172">
        <v>50</v>
      </c>
      <c r="H72" s="168">
        <f t="shared" si="3"/>
        <v>0</v>
      </c>
    </row>
    <row r="73" spans="1:8" ht="75.599999999999994" x14ac:dyDescent="0.45">
      <c r="A73" s="171" t="s">
        <v>1362</v>
      </c>
      <c r="B73" s="171"/>
      <c r="C73" s="106" t="s">
        <v>631</v>
      </c>
      <c r="D73" s="184" t="s">
        <v>632</v>
      </c>
      <c r="E73" s="166"/>
      <c r="F73" s="171" t="s">
        <v>633</v>
      </c>
      <c r="G73" s="172">
        <v>240</v>
      </c>
      <c r="H73" s="168">
        <f t="shared" si="3"/>
        <v>0</v>
      </c>
    </row>
    <row r="74" spans="1:8" s="183" customFormat="1" ht="176.4" x14ac:dyDescent="0.45">
      <c r="A74" s="185" t="s">
        <v>1363</v>
      </c>
      <c r="B74" s="185"/>
      <c r="C74" s="216" t="s">
        <v>635</v>
      </c>
      <c r="D74" s="216" t="s">
        <v>636</v>
      </c>
      <c r="E74" s="166"/>
      <c r="F74" s="185" t="s">
        <v>472</v>
      </c>
      <c r="G74" s="172">
        <v>6</v>
      </c>
      <c r="H74" s="168">
        <f t="shared" si="3"/>
        <v>0</v>
      </c>
    </row>
    <row r="75" spans="1:8" x14ac:dyDescent="0.45">
      <c r="A75" s="118" t="s">
        <v>1364</v>
      </c>
      <c r="B75" s="184" t="s">
        <v>180</v>
      </c>
      <c r="C75" s="120"/>
      <c r="D75" s="170"/>
      <c r="E75" s="171"/>
      <c r="F75" s="172"/>
      <c r="G75" s="168"/>
      <c r="H75" s="142"/>
    </row>
    <row r="76" spans="1:8" ht="13" customHeight="1" x14ac:dyDescent="0.45">
      <c r="A76" s="159"/>
      <c r="B76" s="159">
        <v>1503020</v>
      </c>
      <c r="C76" s="159"/>
      <c r="D76" s="159" t="s">
        <v>638</v>
      </c>
      <c r="E76" s="161"/>
      <c r="F76" s="159"/>
      <c r="G76" s="210"/>
      <c r="H76" s="163"/>
    </row>
    <row r="77" spans="1:8" ht="50.4" x14ac:dyDescent="0.45">
      <c r="A77" s="171" t="s">
        <v>1365</v>
      </c>
      <c r="B77" s="171"/>
      <c r="C77" s="106" t="s">
        <v>640</v>
      </c>
      <c r="D77" s="106" t="s">
        <v>641</v>
      </c>
      <c r="E77" s="166"/>
      <c r="F77" s="171" t="s">
        <v>472</v>
      </c>
      <c r="G77" s="172">
        <v>16</v>
      </c>
      <c r="H77" s="168">
        <f t="shared" ref="H77:H89" si="4">SUM(E77)*G77</f>
        <v>0</v>
      </c>
    </row>
    <row r="78" spans="1:8" ht="75.599999999999994" x14ac:dyDescent="0.45">
      <c r="A78" s="171" t="s">
        <v>1366</v>
      </c>
      <c r="B78" s="171"/>
      <c r="C78" s="106" t="s">
        <v>643</v>
      </c>
      <c r="D78" s="106" t="s">
        <v>644</v>
      </c>
      <c r="E78" s="166"/>
      <c r="F78" s="171" t="s">
        <v>645</v>
      </c>
      <c r="G78" s="172">
        <v>16</v>
      </c>
      <c r="H78" s="168">
        <f t="shared" si="4"/>
        <v>0</v>
      </c>
    </row>
    <row r="79" spans="1:8" ht="50.4" x14ac:dyDescent="0.45">
      <c r="A79" s="171" t="s">
        <v>1367</v>
      </c>
      <c r="B79" s="171"/>
      <c r="C79" s="106" t="s">
        <v>647</v>
      </c>
      <c r="D79" s="106" t="s">
        <v>648</v>
      </c>
      <c r="E79" s="166"/>
      <c r="F79" s="171" t="s">
        <v>472</v>
      </c>
      <c r="G79" s="172">
        <v>16</v>
      </c>
      <c r="H79" s="168">
        <f t="shared" si="4"/>
        <v>0</v>
      </c>
    </row>
    <row r="80" spans="1:8" ht="37.799999999999997" x14ac:dyDescent="0.45">
      <c r="A80" s="171" t="s">
        <v>1368</v>
      </c>
      <c r="B80" s="171"/>
      <c r="C80" s="106" t="s">
        <v>650</v>
      </c>
      <c r="D80" s="106" t="s">
        <v>651</v>
      </c>
      <c r="E80" s="166"/>
      <c r="F80" s="171" t="s">
        <v>472</v>
      </c>
      <c r="G80" s="172">
        <v>16</v>
      </c>
      <c r="H80" s="168">
        <f t="shared" si="4"/>
        <v>0</v>
      </c>
    </row>
    <row r="81" spans="1:10" ht="63" x14ac:dyDescent="0.45">
      <c r="A81" s="171" t="s">
        <v>1369</v>
      </c>
      <c r="B81" s="171"/>
      <c r="C81" s="106" t="s">
        <v>653</v>
      </c>
      <c r="D81" s="106" t="s">
        <v>654</v>
      </c>
      <c r="E81" s="166"/>
      <c r="F81" s="171" t="s">
        <v>472</v>
      </c>
      <c r="G81" s="172">
        <v>70</v>
      </c>
      <c r="H81" s="168">
        <f t="shared" si="4"/>
        <v>0</v>
      </c>
    </row>
    <row r="82" spans="1:10" ht="63" x14ac:dyDescent="0.45">
      <c r="A82" s="171" t="s">
        <v>1370</v>
      </c>
      <c r="B82" s="171"/>
      <c r="C82" s="106" t="s">
        <v>656</v>
      </c>
      <c r="D82" s="106" t="s">
        <v>657</v>
      </c>
      <c r="E82" s="166"/>
      <c r="F82" s="171" t="s">
        <v>472</v>
      </c>
      <c r="G82" s="172">
        <v>30</v>
      </c>
      <c r="H82" s="168">
        <f t="shared" si="4"/>
        <v>0</v>
      </c>
    </row>
    <row r="83" spans="1:10" ht="75.599999999999994" x14ac:dyDescent="0.45">
      <c r="A83" s="171" t="s">
        <v>1371</v>
      </c>
      <c r="B83" s="171"/>
      <c r="C83" s="106" t="s">
        <v>659</v>
      </c>
      <c r="D83" s="106" t="s">
        <v>660</v>
      </c>
      <c r="E83" s="166"/>
      <c r="F83" s="171" t="s">
        <v>472</v>
      </c>
      <c r="G83" s="172">
        <v>175</v>
      </c>
      <c r="H83" s="168">
        <f t="shared" si="4"/>
        <v>0</v>
      </c>
    </row>
    <row r="84" spans="1:10" ht="50.4" x14ac:dyDescent="0.45">
      <c r="A84" s="171" t="s">
        <v>1372</v>
      </c>
      <c r="B84" s="171"/>
      <c r="C84" s="184" t="s">
        <v>662</v>
      </c>
      <c r="D84" s="184" t="s">
        <v>663</v>
      </c>
      <c r="E84" s="166"/>
      <c r="F84" s="171" t="s">
        <v>472</v>
      </c>
      <c r="G84" s="172">
        <v>50</v>
      </c>
      <c r="H84" s="168">
        <f t="shared" si="4"/>
        <v>0</v>
      </c>
    </row>
    <row r="85" spans="1:10" ht="50.4" x14ac:dyDescent="0.45">
      <c r="A85" s="171" t="s">
        <v>1373</v>
      </c>
      <c r="B85" s="171"/>
      <c r="C85" s="184" t="s">
        <v>665</v>
      </c>
      <c r="D85" s="184" t="s">
        <v>666</v>
      </c>
      <c r="E85" s="166"/>
      <c r="F85" s="171" t="s">
        <v>508</v>
      </c>
      <c r="G85" s="172">
        <v>300</v>
      </c>
      <c r="H85" s="168">
        <f t="shared" si="4"/>
        <v>0</v>
      </c>
    </row>
    <row r="86" spans="1:10" ht="151.19999999999999" x14ac:dyDescent="0.45">
      <c r="A86" s="171" t="s">
        <v>1374</v>
      </c>
      <c r="B86" s="171"/>
      <c r="C86" s="184" t="s">
        <v>668</v>
      </c>
      <c r="D86" s="106" t="s">
        <v>669</v>
      </c>
      <c r="E86" s="166"/>
      <c r="F86" s="171" t="s">
        <v>508</v>
      </c>
      <c r="G86" s="172">
        <v>3500</v>
      </c>
      <c r="H86" s="168">
        <f t="shared" si="4"/>
        <v>0</v>
      </c>
    </row>
    <row r="87" spans="1:10" ht="37.799999999999997" x14ac:dyDescent="0.45">
      <c r="A87" s="171" t="s">
        <v>1375</v>
      </c>
      <c r="B87" s="171"/>
      <c r="C87" s="186" t="s">
        <v>671</v>
      </c>
      <c r="D87" s="186" t="s">
        <v>672</v>
      </c>
      <c r="E87" s="166"/>
      <c r="F87" s="171" t="s">
        <v>472</v>
      </c>
      <c r="G87" s="172">
        <v>20</v>
      </c>
      <c r="H87" s="168">
        <f t="shared" si="4"/>
        <v>0</v>
      </c>
    </row>
    <row r="88" spans="1:10" ht="37.799999999999997" x14ac:dyDescent="0.45">
      <c r="A88" s="171" t="s">
        <v>1376</v>
      </c>
      <c r="B88" s="171"/>
      <c r="C88" s="349" t="s">
        <v>5044</v>
      </c>
      <c r="D88" s="186" t="s">
        <v>1377</v>
      </c>
      <c r="E88" s="166"/>
      <c r="F88" s="171" t="s">
        <v>472</v>
      </c>
      <c r="G88" s="172">
        <v>20</v>
      </c>
      <c r="H88" s="168">
        <f t="shared" si="4"/>
        <v>0</v>
      </c>
    </row>
    <row r="89" spans="1:10" ht="340.2" x14ac:dyDescent="0.45">
      <c r="A89" s="171" t="s">
        <v>1378</v>
      </c>
      <c r="B89" s="171"/>
      <c r="C89" s="106" t="s">
        <v>675</v>
      </c>
      <c r="D89" s="106" t="s">
        <v>676</v>
      </c>
      <c r="E89" s="166"/>
      <c r="F89" s="171" t="s">
        <v>472</v>
      </c>
      <c r="G89" s="172">
        <v>15</v>
      </c>
      <c r="H89" s="168">
        <f t="shared" si="4"/>
        <v>0</v>
      </c>
      <c r="I89" s="169"/>
    </row>
    <row r="90" spans="1:10" x14ac:dyDescent="0.45">
      <c r="A90" s="118" t="s">
        <v>1379</v>
      </c>
      <c r="B90" s="184" t="s">
        <v>180</v>
      </c>
      <c r="D90" s="120"/>
      <c r="E90" s="142"/>
      <c r="F90" s="171"/>
      <c r="G90" s="172"/>
      <c r="H90" s="168"/>
    </row>
    <row r="91" spans="1:10" ht="13" customHeight="1" x14ac:dyDescent="0.45">
      <c r="A91" s="159"/>
      <c r="B91" s="159">
        <v>1503030</v>
      </c>
      <c r="C91" s="159"/>
      <c r="D91" s="159" t="s">
        <v>678</v>
      </c>
      <c r="E91" s="159"/>
      <c r="F91" s="161"/>
      <c r="G91" s="210"/>
      <c r="H91" s="163"/>
    </row>
    <row r="92" spans="1:10" ht="88.2" x14ac:dyDescent="0.45">
      <c r="A92" s="171" t="s">
        <v>1380</v>
      </c>
      <c r="B92" s="171"/>
      <c r="C92" s="106" t="s">
        <v>680</v>
      </c>
      <c r="D92" s="106" t="s">
        <v>681</v>
      </c>
      <c r="E92" s="166"/>
      <c r="F92" s="171" t="s">
        <v>682</v>
      </c>
      <c r="G92" s="171">
        <v>10</v>
      </c>
      <c r="H92" s="168">
        <f t="shared" ref="H92:H112" si="5">SUM(E92)*G92</f>
        <v>0</v>
      </c>
      <c r="I92" s="169"/>
    </row>
    <row r="93" spans="1:10" ht="88.2" x14ac:dyDescent="0.45">
      <c r="A93" s="171" t="s">
        <v>1381</v>
      </c>
      <c r="B93" s="171"/>
      <c r="C93" s="106" t="s">
        <v>684</v>
      </c>
      <c r="D93" s="106" t="s">
        <v>685</v>
      </c>
      <c r="E93" s="166"/>
      <c r="F93" s="171" t="s">
        <v>472</v>
      </c>
      <c r="G93" s="171">
        <v>5</v>
      </c>
      <c r="H93" s="168">
        <f t="shared" si="5"/>
        <v>0</v>
      </c>
      <c r="I93" s="169"/>
    </row>
    <row r="94" spans="1:10" ht="88.2" x14ac:dyDescent="0.45">
      <c r="A94" s="171" t="s">
        <v>1382</v>
      </c>
      <c r="B94" s="171"/>
      <c r="C94" s="106" t="s">
        <v>687</v>
      </c>
      <c r="D94" s="106" t="s">
        <v>688</v>
      </c>
      <c r="E94" s="166"/>
      <c r="F94" s="171" t="s">
        <v>472</v>
      </c>
      <c r="G94" s="171">
        <v>5</v>
      </c>
      <c r="H94" s="168">
        <f t="shared" si="5"/>
        <v>0</v>
      </c>
      <c r="I94" s="169"/>
      <c r="J94" s="187"/>
    </row>
    <row r="95" spans="1:10" ht="100.8" x14ac:dyDescent="0.45">
      <c r="A95" s="171" t="s">
        <v>1383</v>
      </c>
      <c r="B95" s="171"/>
      <c r="C95" s="106" t="s">
        <v>690</v>
      </c>
      <c r="D95" s="106" t="s">
        <v>691</v>
      </c>
      <c r="E95" s="166"/>
      <c r="F95" s="319" t="s">
        <v>472</v>
      </c>
      <c r="G95" s="171">
        <v>10</v>
      </c>
      <c r="H95" s="168">
        <f t="shared" si="5"/>
        <v>0</v>
      </c>
      <c r="I95" s="169"/>
      <c r="J95" s="187"/>
    </row>
    <row r="96" spans="1:10" ht="100.8" x14ac:dyDescent="0.45">
      <c r="A96" s="171" t="s">
        <v>1384</v>
      </c>
      <c r="B96" s="171"/>
      <c r="C96" s="106" t="s">
        <v>693</v>
      </c>
      <c r="D96" s="106" t="s">
        <v>694</v>
      </c>
      <c r="E96" s="166"/>
      <c r="F96" s="319" t="s">
        <v>472</v>
      </c>
      <c r="G96" s="171">
        <v>5</v>
      </c>
      <c r="H96" s="168">
        <f t="shared" si="5"/>
        <v>0</v>
      </c>
      <c r="I96" s="169"/>
      <c r="J96" s="187"/>
    </row>
    <row r="97" spans="1:9" ht="88.2" x14ac:dyDescent="0.45">
      <c r="A97" s="171" t="s">
        <v>1385</v>
      </c>
      <c r="B97" s="171"/>
      <c r="C97" s="106" t="s">
        <v>696</v>
      </c>
      <c r="D97" s="106" t="s">
        <v>697</v>
      </c>
      <c r="E97" s="166"/>
      <c r="F97" s="319" t="s">
        <v>472</v>
      </c>
      <c r="G97" s="171">
        <v>5</v>
      </c>
      <c r="H97" s="168">
        <f t="shared" si="5"/>
        <v>0</v>
      </c>
      <c r="I97" s="169"/>
    </row>
    <row r="98" spans="1:9" ht="88.2" x14ac:dyDescent="0.45">
      <c r="A98" s="171" t="s">
        <v>1386</v>
      </c>
      <c r="B98" s="171"/>
      <c r="C98" s="106" t="s">
        <v>699</v>
      </c>
      <c r="D98" s="106" t="s">
        <v>700</v>
      </c>
      <c r="E98" s="166"/>
      <c r="F98" s="319" t="s">
        <v>472</v>
      </c>
      <c r="G98" s="171">
        <v>5</v>
      </c>
      <c r="H98" s="168">
        <f t="shared" si="5"/>
        <v>0</v>
      </c>
      <c r="I98" s="169"/>
    </row>
    <row r="99" spans="1:9" ht="100.8" x14ac:dyDescent="0.45">
      <c r="A99" s="171" t="s">
        <v>1387</v>
      </c>
      <c r="B99" s="171"/>
      <c r="C99" s="106" t="s">
        <v>702</v>
      </c>
      <c r="D99" s="106" t="s">
        <v>703</v>
      </c>
      <c r="E99" s="166"/>
      <c r="F99" s="319" t="s">
        <v>472</v>
      </c>
      <c r="G99" s="171">
        <v>5</v>
      </c>
      <c r="H99" s="168">
        <f t="shared" si="5"/>
        <v>0</v>
      </c>
      <c r="I99" s="169"/>
    </row>
    <row r="100" spans="1:9" ht="100.8" x14ac:dyDescent="0.45">
      <c r="A100" s="171" t="s">
        <v>1388</v>
      </c>
      <c r="B100" s="171"/>
      <c r="C100" s="106" t="s">
        <v>705</v>
      </c>
      <c r="D100" s="106" t="s">
        <v>706</v>
      </c>
      <c r="E100" s="166"/>
      <c r="F100" s="319" t="s">
        <v>472</v>
      </c>
      <c r="G100" s="171">
        <v>5</v>
      </c>
      <c r="H100" s="168">
        <f t="shared" si="5"/>
        <v>0</v>
      </c>
      <c r="I100" s="169"/>
    </row>
    <row r="101" spans="1:9" ht="88.2" x14ac:dyDescent="0.45">
      <c r="A101" s="171" t="s">
        <v>1389</v>
      </c>
      <c r="B101" s="171"/>
      <c r="C101" s="106" t="s">
        <v>708</v>
      </c>
      <c r="D101" s="106" t="s">
        <v>709</v>
      </c>
      <c r="E101" s="166"/>
      <c r="F101" s="319" t="s">
        <v>472</v>
      </c>
      <c r="G101" s="171">
        <v>5</v>
      </c>
      <c r="H101" s="168">
        <f t="shared" si="5"/>
        <v>0</v>
      </c>
      <c r="I101" s="169"/>
    </row>
    <row r="102" spans="1:9" ht="88.2" x14ac:dyDescent="0.45">
      <c r="A102" s="171" t="s">
        <v>1390</v>
      </c>
      <c r="B102" s="171"/>
      <c r="C102" s="106" t="s">
        <v>711</v>
      </c>
      <c r="D102" s="106" t="s">
        <v>712</v>
      </c>
      <c r="E102" s="166"/>
      <c r="F102" s="319" t="s">
        <v>472</v>
      </c>
      <c r="G102" s="171">
        <v>5</v>
      </c>
      <c r="H102" s="168">
        <f t="shared" si="5"/>
        <v>0</v>
      </c>
      <c r="I102" s="169"/>
    </row>
    <row r="103" spans="1:9" ht="88.2" x14ac:dyDescent="0.45">
      <c r="A103" s="171" t="s">
        <v>1391</v>
      </c>
      <c r="B103" s="171"/>
      <c r="C103" s="106" t="s">
        <v>714</v>
      </c>
      <c r="D103" s="106" t="s">
        <v>715</v>
      </c>
      <c r="E103" s="166"/>
      <c r="F103" s="319" t="s">
        <v>472</v>
      </c>
      <c r="G103" s="171">
        <v>5</v>
      </c>
      <c r="H103" s="168">
        <f t="shared" si="5"/>
        <v>0</v>
      </c>
      <c r="I103" s="169"/>
    </row>
    <row r="104" spans="1:9" ht="88.2" x14ac:dyDescent="0.45">
      <c r="A104" s="171" t="s">
        <v>1392</v>
      </c>
      <c r="B104" s="171"/>
      <c r="C104" s="106" t="s">
        <v>717</v>
      </c>
      <c r="D104" s="106" t="s">
        <v>718</v>
      </c>
      <c r="E104" s="166"/>
      <c r="F104" s="319" t="s">
        <v>472</v>
      </c>
      <c r="G104" s="171">
        <v>5</v>
      </c>
      <c r="H104" s="168">
        <f t="shared" si="5"/>
        <v>0</v>
      </c>
      <c r="I104" s="169"/>
    </row>
    <row r="105" spans="1:9" ht="63" x14ac:dyDescent="0.45">
      <c r="A105" s="171" t="s">
        <v>1393</v>
      </c>
      <c r="B105" s="171"/>
      <c r="C105" s="106" t="s">
        <v>720</v>
      </c>
      <c r="D105" s="106" t="s">
        <v>721</v>
      </c>
      <c r="E105" s="166"/>
      <c r="F105" s="319" t="s">
        <v>472</v>
      </c>
      <c r="G105" s="188">
        <v>5</v>
      </c>
      <c r="H105" s="168">
        <f t="shared" si="5"/>
        <v>0</v>
      </c>
    </row>
    <row r="106" spans="1:9" ht="75.599999999999994" x14ac:dyDescent="0.45">
      <c r="A106" s="171" t="s">
        <v>1394</v>
      </c>
      <c r="B106" s="171"/>
      <c r="C106" s="106" t="s">
        <v>723</v>
      </c>
      <c r="D106" s="106" t="s">
        <v>724</v>
      </c>
      <c r="E106" s="166"/>
      <c r="F106" s="171" t="s">
        <v>472</v>
      </c>
      <c r="G106" s="171">
        <v>5</v>
      </c>
      <c r="H106" s="168">
        <f t="shared" si="5"/>
        <v>0</v>
      </c>
    </row>
    <row r="107" spans="1:9" ht="75.599999999999994" x14ac:dyDescent="0.45">
      <c r="A107" s="171" t="s">
        <v>1395</v>
      </c>
      <c r="B107" s="171"/>
      <c r="C107" s="106" t="s">
        <v>726</v>
      </c>
      <c r="D107" s="106" t="s">
        <v>727</v>
      </c>
      <c r="E107" s="166"/>
      <c r="F107" s="171" t="s">
        <v>472</v>
      </c>
      <c r="G107" s="171">
        <v>5</v>
      </c>
      <c r="H107" s="168">
        <f t="shared" si="5"/>
        <v>0</v>
      </c>
    </row>
    <row r="108" spans="1:9" ht="63" x14ac:dyDescent="0.45">
      <c r="A108" s="171" t="s">
        <v>1396</v>
      </c>
      <c r="B108" s="171"/>
      <c r="C108" s="106" t="s">
        <v>729</v>
      </c>
      <c r="D108" s="189" t="s">
        <v>730</v>
      </c>
      <c r="E108" s="166"/>
      <c r="F108" s="171" t="s">
        <v>472</v>
      </c>
      <c r="G108" s="171">
        <v>5</v>
      </c>
      <c r="H108" s="168">
        <f t="shared" si="5"/>
        <v>0</v>
      </c>
    </row>
    <row r="109" spans="1:9" ht="63" x14ac:dyDescent="0.45">
      <c r="A109" s="171" t="s">
        <v>1397</v>
      </c>
      <c r="B109" s="171"/>
      <c r="C109" s="106" t="s">
        <v>732</v>
      </c>
      <c r="D109" s="189" t="s">
        <v>733</v>
      </c>
      <c r="E109" s="166"/>
      <c r="F109" s="171" t="s">
        <v>472</v>
      </c>
      <c r="G109" s="171">
        <v>5</v>
      </c>
      <c r="H109" s="168">
        <f t="shared" si="5"/>
        <v>0</v>
      </c>
    </row>
    <row r="110" spans="1:9" ht="63" x14ac:dyDescent="0.45">
      <c r="A110" s="171" t="s">
        <v>1398</v>
      </c>
      <c r="B110" s="171"/>
      <c r="C110" s="106" t="s">
        <v>735</v>
      </c>
      <c r="D110" s="189" t="s">
        <v>736</v>
      </c>
      <c r="E110" s="166"/>
      <c r="F110" s="171" t="s">
        <v>472</v>
      </c>
      <c r="G110" s="171">
        <v>10</v>
      </c>
      <c r="H110" s="168">
        <f t="shared" si="5"/>
        <v>0</v>
      </c>
    </row>
    <row r="111" spans="1:9" ht="88.2" x14ac:dyDescent="0.45">
      <c r="A111" s="171" t="s">
        <v>1399</v>
      </c>
      <c r="B111" s="171"/>
      <c r="C111" s="106" t="s">
        <v>738</v>
      </c>
      <c r="D111" s="189" t="s">
        <v>739</v>
      </c>
      <c r="E111" s="166"/>
      <c r="F111" s="171" t="s">
        <v>472</v>
      </c>
      <c r="G111" s="171">
        <v>5</v>
      </c>
      <c r="H111" s="168">
        <f t="shared" si="5"/>
        <v>0</v>
      </c>
    </row>
    <row r="112" spans="1:9" s="183" customFormat="1" ht="75.599999999999994" x14ac:dyDescent="0.45">
      <c r="A112" s="185" t="s">
        <v>1400</v>
      </c>
      <c r="B112" s="185"/>
      <c r="C112" s="216" t="s">
        <v>741</v>
      </c>
      <c r="D112" s="216" t="s">
        <v>742</v>
      </c>
      <c r="E112" s="166"/>
      <c r="F112" s="185" t="s">
        <v>472</v>
      </c>
      <c r="G112" s="217">
        <v>20</v>
      </c>
      <c r="H112" s="168">
        <f t="shared" si="5"/>
        <v>0</v>
      </c>
    </row>
    <row r="113" spans="1:8" x14ac:dyDescent="0.45">
      <c r="A113" s="118" t="s">
        <v>1401</v>
      </c>
      <c r="B113" s="184" t="s">
        <v>180</v>
      </c>
      <c r="C113" s="120"/>
      <c r="D113" s="170"/>
      <c r="E113" s="142"/>
      <c r="F113" s="172"/>
      <c r="G113" s="168"/>
      <c r="H113" s="142"/>
    </row>
    <row r="114" spans="1:8" ht="13" customHeight="1" x14ac:dyDescent="0.45">
      <c r="A114" s="159"/>
      <c r="B114" s="159">
        <v>1503050</v>
      </c>
      <c r="C114" s="159"/>
      <c r="D114" s="159" t="s">
        <v>127</v>
      </c>
      <c r="E114" s="159"/>
      <c r="F114" s="161"/>
      <c r="G114" s="210"/>
      <c r="H114" s="163"/>
    </row>
    <row r="115" spans="1:8" ht="113.4" x14ac:dyDescent="0.45">
      <c r="A115" s="118" t="s">
        <v>1402</v>
      </c>
      <c r="B115" s="118"/>
      <c r="C115" s="184" t="s">
        <v>745</v>
      </c>
      <c r="D115" s="120" t="s">
        <v>746</v>
      </c>
      <c r="E115" s="166"/>
      <c r="F115" s="171" t="s">
        <v>508</v>
      </c>
      <c r="G115" s="172">
        <v>10000</v>
      </c>
      <c r="H115" s="168">
        <f t="shared" ref="H115:H134" si="6">SUM(E115)*G115</f>
        <v>0</v>
      </c>
    </row>
    <row r="116" spans="1:8" ht="75.599999999999994" x14ac:dyDescent="0.45">
      <c r="A116" s="171" t="s">
        <v>1403</v>
      </c>
      <c r="B116" s="171"/>
      <c r="C116" s="106" t="s">
        <v>748</v>
      </c>
      <c r="D116" s="106" t="s">
        <v>749</v>
      </c>
      <c r="E116" s="166"/>
      <c r="F116" s="171" t="s">
        <v>750</v>
      </c>
      <c r="G116" s="172">
        <v>3000</v>
      </c>
      <c r="H116" s="168">
        <f t="shared" si="6"/>
        <v>0</v>
      </c>
    </row>
    <row r="117" spans="1:8" ht="50.4" x14ac:dyDescent="0.45">
      <c r="A117" s="171" t="s">
        <v>1404</v>
      </c>
      <c r="B117" s="171"/>
      <c r="C117" s="106" t="s">
        <v>752</v>
      </c>
      <c r="D117" s="106" t="s">
        <v>753</v>
      </c>
      <c r="E117" s="166"/>
      <c r="F117" s="171" t="s">
        <v>508</v>
      </c>
      <c r="G117" s="172">
        <v>10000</v>
      </c>
      <c r="H117" s="168">
        <f t="shared" si="6"/>
        <v>0</v>
      </c>
    </row>
    <row r="118" spans="1:8" ht="63" x14ac:dyDescent="0.45">
      <c r="A118" s="171" t="s">
        <v>1405</v>
      </c>
      <c r="B118" s="171"/>
      <c r="C118" s="106" t="s">
        <v>755</v>
      </c>
      <c r="D118" s="106" t="s">
        <v>756</v>
      </c>
      <c r="E118" s="166"/>
      <c r="F118" s="171" t="s">
        <v>508</v>
      </c>
      <c r="G118" s="172">
        <v>10000</v>
      </c>
      <c r="H118" s="168">
        <f t="shared" si="6"/>
        <v>0</v>
      </c>
    </row>
    <row r="119" spans="1:8" ht="100.8" x14ac:dyDescent="0.45">
      <c r="A119" s="171" t="s">
        <v>1406</v>
      </c>
      <c r="B119" s="171"/>
      <c r="C119" s="106" t="s">
        <v>758</v>
      </c>
      <c r="D119" s="106" t="s">
        <v>759</v>
      </c>
      <c r="E119" s="166"/>
      <c r="F119" s="171" t="s">
        <v>472</v>
      </c>
      <c r="G119" s="172">
        <v>150</v>
      </c>
      <c r="H119" s="168">
        <f t="shared" si="6"/>
        <v>0</v>
      </c>
    </row>
    <row r="120" spans="1:8" ht="100.8" x14ac:dyDescent="0.45">
      <c r="A120" s="171" t="s">
        <v>1407</v>
      </c>
      <c r="B120" s="171"/>
      <c r="C120" s="106" t="s">
        <v>761</v>
      </c>
      <c r="D120" s="106" t="s">
        <v>759</v>
      </c>
      <c r="E120" s="166"/>
      <c r="F120" s="171" t="s">
        <v>750</v>
      </c>
      <c r="G120" s="172">
        <v>2000</v>
      </c>
      <c r="H120" s="168">
        <f t="shared" si="6"/>
        <v>0</v>
      </c>
    </row>
    <row r="121" spans="1:8" ht="163.80000000000001" x14ac:dyDescent="0.45">
      <c r="A121" s="171" t="s">
        <v>1408</v>
      </c>
      <c r="B121" s="171"/>
      <c r="C121" s="106" t="s">
        <v>763</v>
      </c>
      <c r="D121" s="106" t="s">
        <v>764</v>
      </c>
      <c r="E121" s="166"/>
      <c r="F121" s="171" t="s">
        <v>472</v>
      </c>
      <c r="G121" s="171">
        <v>150</v>
      </c>
      <c r="H121" s="168">
        <f t="shared" si="6"/>
        <v>0</v>
      </c>
    </row>
    <row r="122" spans="1:8" ht="163.80000000000001" x14ac:dyDescent="0.45">
      <c r="A122" s="171" t="s">
        <v>1409</v>
      </c>
      <c r="B122" s="171"/>
      <c r="C122" s="106" t="s">
        <v>766</v>
      </c>
      <c r="D122" s="106" t="s">
        <v>764</v>
      </c>
      <c r="E122" s="166"/>
      <c r="F122" s="171" t="s">
        <v>472</v>
      </c>
      <c r="G122" s="171">
        <v>150</v>
      </c>
      <c r="H122" s="168">
        <f t="shared" si="6"/>
        <v>0</v>
      </c>
    </row>
    <row r="123" spans="1:8" ht="75.599999999999994" x14ac:dyDescent="0.45">
      <c r="A123" s="171" t="s">
        <v>1410</v>
      </c>
      <c r="B123" s="171"/>
      <c r="C123" s="106" t="s">
        <v>768</v>
      </c>
      <c r="D123" s="106" t="s">
        <v>769</v>
      </c>
      <c r="E123" s="166"/>
      <c r="F123" s="171" t="s">
        <v>472</v>
      </c>
      <c r="G123" s="171">
        <v>25</v>
      </c>
      <c r="H123" s="168">
        <f t="shared" si="6"/>
        <v>0</v>
      </c>
    </row>
    <row r="124" spans="1:8" ht="75.599999999999994" x14ac:dyDescent="0.45">
      <c r="A124" s="171" t="s">
        <v>1411</v>
      </c>
      <c r="B124" s="171"/>
      <c r="C124" s="106" t="s">
        <v>771</v>
      </c>
      <c r="D124" s="106" t="s">
        <v>772</v>
      </c>
      <c r="E124" s="166"/>
      <c r="F124" s="171" t="s">
        <v>472</v>
      </c>
      <c r="G124" s="171">
        <v>50</v>
      </c>
      <c r="H124" s="168">
        <f t="shared" si="6"/>
        <v>0</v>
      </c>
    </row>
    <row r="125" spans="1:8" ht="75.599999999999994" x14ac:dyDescent="0.45">
      <c r="A125" s="171" t="s">
        <v>1412</v>
      </c>
      <c r="B125" s="171"/>
      <c r="C125" s="106" t="s">
        <v>774</v>
      </c>
      <c r="D125" s="106" t="s">
        <v>772</v>
      </c>
      <c r="E125" s="166"/>
      <c r="F125" s="171" t="s">
        <v>472</v>
      </c>
      <c r="G125" s="171">
        <v>50</v>
      </c>
      <c r="H125" s="168">
        <f t="shared" si="6"/>
        <v>0</v>
      </c>
    </row>
    <row r="126" spans="1:8" ht="63" x14ac:dyDescent="0.45">
      <c r="A126" s="171" t="s">
        <v>1413</v>
      </c>
      <c r="B126" s="171"/>
      <c r="C126" s="106" t="s">
        <v>776</v>
      </c>
      <c r="D126" s="106" t="s">
        <v>777</v>
      </c>
      <c r="E126" s="166"/>
      <c r="F126" s="171" t="s">
        <v>472</v>
      </c>
      <c r="G126" s="171">
        <v>100</v>
      </c>
      <c r="H126" s="168">
        <f t="shared" si="6"/>
        <v>0</v>
      </c>
    </row>
    <row r="127" spans="1:8" ht="138.6" x14ac:dyDescent="0.45">
      <c r="A127" s="171" t="s">
        <v>1414</v>
      </c>
      <c r="B127" s="171"/>
      <c r="C127" s="106" t="s">
        <v>779</v>
      </c>
      <c r="D127" s="106" t="s">
        <v>780</v>
      </c>
      <c r="E127" s="166"/>
      <c r="F127" s="171" t="s">
        <v>472</v>
      </c>
      <c r="G127" s="171">
        <v>150</v>
      </c>
      <c r="H127" s="168">
        <f t="shared" si="6"/>
        <v>0</v>
      </c>
    </row>
    <row r="128" spans="1:8" ht="138.6" x14ac:dyDescent="0.45">
      <c r="A128" s="171" t="s">
        <v>1415</v>
      </c>
      <c r="B128" s="171"/>
      <c r="C128" s="106" t="s">
        <v>782</v>
      </c>
      <c r="D128" s="106" t="s">
        <v>783</v>
      </c>
      <c r="E128" s="166"/>
      <c r="F128" s="171" t="s">
        <v>472</v>
      </c>
      <c r="G128" s="171">
        <v>150</v>
      </c>
      <c r="H128" s="168">
        <f t="shared" si="6"/>
        <v>0</v>
      </c>
    </row>
    <row r="129" spans="1:8" ht="113.4" x14ac:dyDescent="0.45">
      <c r="A129" s="171" t="s">
        <v>1416</v>
      </c>
      <c r="B129" s="171"/>
      <c r="C129" s="106" t="s">
        <v>785</v>
      </c>
      <c r="D129" s="106" t="s">
        <v>786</v>
      </c>
      <c r="E129" s="166"/>
      <c r="F129" s="171" t="s">
        <v>472</v>
      </c>
      <c r="G129" s="171">
        <v>150</v>
      </c>
      <c r="H129" s="168">
        <f t="shared" si="6"/>
        <v>0</v>
      </c>
    </row>
    <row r="130" spans="1:8" ht="88.2" x14ac:dyDescent="0.45">
      <c r="A130" s="171" t="s">
        <v>1417</v>
      </c>
      <c r="B130" s="171"/>
      <c r="C130" s="106" t="s">
        <v>788</v>
      </c>
      <c r="D130" s="106" t="s">
        <v>789</v>
      </c>
      <c r="E130" s="166"/>
      <c r="F130" s="171" t="s">
        <v>508</v>
      </c>
      <c r="G130" s="171">
        <v>5000</v>
      </c>
      <c r="H130" s="168">
        <f t="shared" si="6"/>
        <v>0</v>
      </c>
    </row>
    <row r="131" spans="1:8" ht="100.8" x14ac:dyDescent="0.45">
      <c r="A131" s="171" t="s">
        <v>1418</v>
      </c>
      <c r="B131" s="171"/>
      <c r="C131" s="106" t="s">
        <v>791</v>
      </c>
      <c r="D131" s="106" t="s">
        <v>792</v>
      </c>
      <c r="E131" s="166"/>
      <c r="F131" s="171" t="s">
        <v>508</v>
      </c>
      <c r="G131" s="171">
        <v>1750</v>
      </c>
      <c r="H131" s="168">
        <f t="shared" si="6"/>
        <v>0</v>
      </c>
    </row>
    <row r="132" spans="1:8" ht="88.2" x14ac:dyDescent="0.45">
      <c r="A132" s="171" t="s">
        <v>1419</v>
      </c>
      <c r="B132" s="171"/>
      <c r="C132" s="106" t="s">
        <v>794</v>
      </c>
      <c r="D132" s="106" t="s">
        <v>795</v>
      </c>
      <c r="E132" s="166"/>
      <c r="F132" s="171" t="s">
        <v>508</v>
      </c>
      <c r="G132" s="171">
        <v>6000</v>
      </c>
      <c r="H132" s="168">
        <f t="shared" si="6"/>
        <v>0</v>
      </c>
    </row>
    <row r="133" spans="1:8" ht="88.2" x14ac:dyDescent="0.45">
      <c r="A133" s="171" t="s">
        <v>1420</v>
      </c>
      <c r="B133" s="171"/>
      <c r="C133" s="106" t="s">
        <v>797</v>
      </c>
      <c r="D133" s="106" t="s">
        <v>798</v>
      </c>
      <c r="E133" s="166"/>
      <c r="F133" s="171" t="s">
        <v>682</v>
      </c>
      <c r="G133" s="171">
        <v>450</v>
      </c>
      <c r="H133" s="168">
        <f t="shared" si="6"/>
        <v>0</v>
      </c>
    </row>
    <row r="134" spans="1:8" ht="88.2" x14ac:dyDescent="0.45">
      <c r="A134" s="171" t="s">
        <v>1421</v>
      </c>
      <c r="B134" s="171"/>
      <c r="C134" s="106" t="s">
        <v>800</v>
      </c>
      <c r="D134" s="106" t="s">
        <v>801</v>
      </c>
      <c r="E134" s="166"/>
      <c r="F134" s="171" t="s">
        <v>508</v>
      </c>
      <c r="G134" s="172">
        <v>12000</v>
      </c>
      <c r="H134" s="168">
        <f t="shared" si="6"/>
        <v>0</v>
      </c>
    </row>
    <row r="135" spans="1:8" x14ac:dyDescent="0.45">
      <c r="A135" s="118" t="s">
        <v>1422</v>
      </c>
      <c r="B135" s="184" t="s">
        <v>180</v>
      </c>
      <c r="D135" s="120"/>
      <c r="E135" s="171"/>
      <c r="F135" s="171"/>
      <c r="G135" s="172"/>
      <c r="H135" s="168"/>
    </row>
    <row r="136" spans="1:8" x14ac:dyDescent="0.45">
      <c r="A136" s="159"/>
      <c r="B136" s="159">
        <v>1503060</v>
      </c>
      <c r="C136" s="159"/>
      <c r="D136" s="159" t="s">
        <v>138</v>
      </c>
      <c r="E136" s="161"/>
      <c r="F136" s="159"/>
      <c r="G136" s="210"/>
      <c r="H136" s="163"/>
    </row>
    <row r="137" spans="1:8" ht="138.6" x14ac:dyDescent="0.45">
      <c r="A137" s="171" t="s">
        <v>1423</v>
      </c>
      <c r="B137" s="171"/>
      <c r="C137" s="106" t="s">
        <v>138</v>
      </c>
      <c r="D137" s="106" t="s">
        <v>804</v>
      </c>
      <c r="E137" s="166"/>
      <c r="F137" s="171" t="s">
        <v>508</v>
      </c>
      <c r="G137" s="172">
        <v>800000</v>
      </c>
      <c r="H137" s="168">
        <f>SUM(E137)*G137</f>
        <v>0</v>
      </c>
    </row>
    <row r="138" spans="1:8" ht="100.8" x14ac:dyDescent="0.45">
      <c r="A138" s="171" t="s">
        <v>1424</v>
      </c>
      <c r="B138" s="171"/>
      <c r="C138" s="106" t="s">
        <v>806</v>
      </c>
      <c r="D138" s="106" t="s">
        <v>807</v>
      </c>
      <c r="E138" s="166"/>
      <c r="F138" s="171" t="s">
        <v>508</v>
      </c>
      <c r="G138" s="172">
        <v>13000</v>
      </c>
      <c r="H138" s="168">
        <f>SUM(E138)*G138</f>
        <v>0</v>
      </c>
    </row>
    <row r="139" spans="1:8" x14ac:dyDescent="0.45">
      <c r="A139" s="118" t="s">
        <v>1425</v>
      </c>
      <c r="B139" s="184" t="s">
        <v>180</v>
      </c>
      <c r="D139" s="120"/>
      <c r="E139" s="171"/>
      <c r="F139" s="171"/>
      <c r="G139" s="172"/>
      <c r="H139" s="168"/>
    </row>
    <row r="140" spans="1:8" ht="13" customHeight="1" x14ac:dyDescent="0.45">
      <c r="A140" s="159"/>
      <c r="B140" s="159">
        <v>1700000</v>
      </c>
      <c r="C140" s="159"/>
      <c r="D140" s="159" t="s">
        <v>171</v>
      </c>
      <c r="E140" s="161"/>
      <c r="F140" s="159"/>
      <c r="G140" s="210"/>
      <c r="H140" s="163"/>
    </row>
    <row r="141" spans="1:8" ht="88.2" x14ac:dyDescent="0.45">
      <c r="A141" s="171" t="s">
        <v>1426</v>
      </c>
      <c r="B141" s="171"/>
      <c r="C141" s="106" t="s">
        <v>810</v>
      </c>
      <c r="D141" s="106" t="s">
        <v>811</v>
      </c>
      <c r="E141" s="166"/>
      <c r="F141" s="171" t="s">
        <v>633</v>
      </c>
      <c r="G141" s="171">
        <v>45</v>
      </c>
      <c r="H141" s="168">
        <f>SUM(E141)*G141</f>
        <v>0</v>
      </c>
    </row>
    <row r="142" spans="1:8" ht="88.2" x14ac:dyDescent="0.45">
      <c r="A142" s="171" t="s">
        <v>1427</v>
      </c>
      <c r="B142" s="171"/>
      <c r="C142" s="106" t="s">
        <v>813</v>
      </c>
      <c r="D142" s="106" t="s">
        <v>814</v>
      </c>
      <c r="E142" s="166"/>
      <c r="F142" s="171" t="s">
        <v>633</v>
      </c>
      <c r="G142" s="171">
        <v>45</v>
      </c>
      <c r="H142" s="168">
        <f>SUM(E142)*G142</f>
        <v>0</v>
      </c>
    </row>
    <row r="143" spans="1:8" x14ac:dyDescent="0.45">
      <c r="A143" s="118" t="s">
        <v>1428</v>
      </c>
      <c r="B143" s="184" t="s">
        <v>180</v>
      </c>
      <c r="D143" s="120"/>
      <c r="E143" s="142"/>
      <c r="F143" s="171"/>
      <c r="G143" s="172"/>
      <c r="H143" s="168"/>
    </row>
    <row r="144" spans="1:8" ht="13" customHeight="1" x14ac:dyDescent="0.45">
      <c r="A144" s="159"/>
      <c r="B144" s="159">
        <v>1800000</v>
      </c>
      <c r="C144" s="159"/>
      <c r="D144" s="159" t="s">
        <v>174</v>
      </c>
      <c r="E144" s="159"/>
      <c r="F144" s="161"/>
      <c r="G144" s="210"/>
      <c r="H144" s="163"/>
    </row>
    <row r="145" spans="1:8" ht="201.6" x14ac:dyDescent="0.45">
      <c r="A145" s="171" t="s">
        <v>1429</v>
      </c>
      <c r="B145" s="171"/>
      <c r="C145" s="186" t="s">
        <v>817</v>
      </c>
      <c r="D145" s="186" t="s">
        <v>818</v>
      </c>
      <c r="E145" s="166"/>
      <c r="F145" s="171" t="s">
        <v>472</v>
      </c>
      <c r="G145" s="171">
        <v>25</v>
      </c>
      <c r="H145" s="168">
        <f t="shared" ref="H145:H208" si="7">SUM(E145)*G145</f>
        <v>0</v>
      </c>
    </row>
    <row r="146" spans="1:8" ht="201.6" x14ac:dyDescent="0.45">
      <c r="A146" s="171" t="s">
        <v>1430</v>
      </c>
      <c r="B146" s="171"/>
      <c r="C146" s="186" t="s">
        <v>820</v>
      </c>
      <c r="D146" s="186" t="s">
        <v>818</v>
      </c>
      <c r="E146" s="166"/>
      <c r="F146" s="171" t="s">
        <v>472</v>
      </c>
      <c r="G146" s="171">
        <v>20</v>
      </c>
      <c r="H146" s="168">
        <f t="shared" si="7"/>
        <v>0</v>
      </c>
    </row>
    <row r="147" spans="1:8" ht="201.6" x14ac:dyDescent="0.45">
      <c r="A147" s="171" t="s">
        <v>1431</v>
      </c>
      <c r="B147" s="171"/>
      <c r="C147" s="106" t="s">
        <v>822</v>
      </c>
      <c r="D147" s="106" t="s">
        <v>823</v>
      </c>
      <c r="E147" s="166"/>
      <c r="F147" s="171" t="s">
        <v>472</v>
      </c>
      <c r="G147" s="171">
        <v>6</v>
      </c>
      <c r="H147" s="168">
        <f t="shared" si="7"/>
        <v>0</v>
      </c>
    </row>
    <row r="148" spans="1:8" ht="201.6" x14ac:dyDescent="0.45">
      <c r="A148" s="171" t="s">
        <v>1432</v>
      </c>
      <c r="B148" s="171"/>
      <c r="C148" s="106" t="s">
        <v>825</v>
      </c>
      <c r="D148" s="106" t="s">
        <v>823</v>
      </c>
      <c r="E148" s="166"/>
      <c r="F148" s="171" t="s">
        <v>472</v>
      </c>
      <c r="G148" s="172">
        <v>1</v>
      </c>
      <c r="H148" s="168">
        <f t="shared" si="7"/>
        <v>0</v>
      </c>
    </row>
    <row r="149" spans="1:8" ht="201.6" x14ac:dyDescent="0.45">
      <c r="A149" s="171" t="s">
        <v>1433</v>
      </c>
      <c r="B149" s="171"/>
      <c r="C149" s="106" t="s">
        <v>827</v>
      </c>
      <c r="D149" s="106" t="s">
        <v>828</v>
      </c>
      <c r="E149" s="166"/>
      <c r="F149" s="171" t="s">
        <v>472</v>
      </c>
      <c r="G149" s="172">
        <v>1</v>
      </c>
      <c r="H149" s="168">
        <f t="shared" si="7"/>
        <v>0</v>
      </c>
    </row>
    <row r="150" spans="1:8" ht="63" x14ac:dyDescent="0.45">
      <c r="A150" s="171" t="s">
        <v>1434</v>
      </c>
      <c r="B150" s="171"/>
      <c r="C150" s="106" t="s">
        <v>830</v>
      </c>
      <c r="D150" s="106" t="s">
        <v>831</v>
      </c>
      <c r="E150" s="166"/>
      <c r="F150" s="171" t="s">
        <v>543</v>
      </c>
      <c r="G150" s="172">
        <v>33000</v>
      </c>
      <c r="H150" s="168">
        <f t="shared" si="7"/>
        <v>0</v>
      </c>
    </row>
    <row r="151" spans="1:8" ht="63" x14ac:dyDescent="0.45">
      <c r="A151" s="171" t="s">
        <v>1435</v>
      </c>
      <c r="B151" s="171"/>
      <c r="C151" s="186" t="s">
        <v>833</v>
      </c>
      <c r="D151" s="186" t="s">
        <v>1436</v>
      </c>
      <c r="E151" s="166"/>
      <c r="F151" s="171" t="s">
        <v>543</v>
      </c>
      <c r="G151" s="172">
        <v>2400</v>
      </c>
      <c r="H151" s="168">
        <f t="shared" si="7"/>
        <v>0</v>
      </c>
    </row>
    <row r="152" spans="1:8" ht="63" x14ac:dyDescent="0.45">
      <c r="A152" s="171" t="s">
        <v>1437</v>
      </c>
      <c r="B152" s="171"/>
      <c r="C152" s="186" t="s">
        <v>835</v>
      </c>
      <c r="D152" s="186" t="s">
        <v>1438</v>
      </c>
      <c r="E152" s="166"/>
      <c r="F152" s="171" t="s">
        <v>543</v>
      </c>
      <c r="G152" s="172">
        <v>7000</v>
      </c>
      <c r="H152" s="168">
        <f t="shared" si="7"/>
        <v>0</v>
      </c>
    </row>
    <row r="153" spans="1:8" ht="63" x14ac:dyDescent="0.45">
      <c r="A153" s="171" t="s">
        <v>1439</v>
      </c>
      <c r="B153" s="171"/>
      <c r="C153" s="186" t="s">
        <v>837</v>
      </c>
      <c r="D153" s="186" t="s">
        <v>1440</v>
      </c>
      <c r="E153" s="166"/>
      <c r="F153" s="171" t="s">
        <v>543</v>
      </c>
      <c r="G153" s="172">
        <v>1750</v>
      </c>
      <c r="H153" s="168">
        <f t="shared" si="7"/>
        <v>0</v>
      </c>
    </row>
    <row r="154" spans="1:8" ht="63" x14ac:dyDescent="0.45">
      <c r="A154" s="171" t="s">
        <v>1441</v>
      </c>
      <c r="B154" s="171"/>
      <c r="C154" s="186" t="s">
        <v>839</v>
      </c>
      <c r="D154" s="186" t="s">
        <v>1442</v>
      </c>
      <c r="E154" s="166"/>
      <c r="F154" s="171" t="s">
        <v>543</v>
      </c>
      <c r="G154" s="172">
        <v>300</v>
      </c>
      <c r="H154" s="168">
        <f t="shared" si="7"/>
        <v>0</v>
      </c>
    </row>
    <row r="155" spans="1:8" ht="63" x14ac:dyDescent="0.45">
      <c r="A155" s="171" t="s">
        <v>1443</v>
      </c>
      <c r="B155" s="171"/>
      <c r="C155" s="186" t="s">
        <v>841</v>
      </c>
      <c r="D155" s="186" t="s">
        <v>1444</v>
      </c>
      <c r="E155" s="166"/>
      <c r="F155" s="171" t="s">
        <v>543</v>
      </c>
      <c r="G155" s="172">
        <v>5880</v>
      </c>
      <c r="H155" s="168">
        <f t="shared" si="7"/>
        <v>0</v>
      </c>
    </row>
    <row r="156" spans="1:8" ht="63" x14ac:dyDescent="0.45">
      <c r="A156" s="171" t="s">
        <v>1445</v>
      </c>
      <c r="B156" s="171"/>
      <c r="C156" s="186" t="s">
        <v>843</v>
      </c>
      <c r="D156" s="186" t="s">
        <v>1446</v>
      </c>
      <c r="E156" s="166"/>
      <c r="F156" s="171" t="s">
        <v>543</v>
      </c>
      <c r="G156" s="172">
        <v>1020</v>
      </c>
      <c r="H156" s="168">
        <f t="shared" si="7"/>
        <v>0</v>
      </c>
    </row>
    <row r="157" spans="1:8" ht="63" x14ac:dyDescent="0.45">
      <c r="A157" s="171" t="s">
        <v>1447</v>
      </c>
      <c r="B157" s="171"/>
      <c r="C157" s="186" t="s">
        <v>845</v>
      </c>
      <c r="D157" s="186" t="s">
        <v>1438</v>
      </c>
      <c r="E157" s="166"/>
      <c r="F157" s="171" t="s">
        <v>543</v>
      </c>
      <c r="G157" s="172">
        <v>3000</v>
      </c>
      <c r="H157" s="168">
        <f t="shared" si="7"/>
        <v>0</v>
      </c>
    </row>
    <row r="158" spans="1:8" ht="63" x14ac:dyDescent="0.45">
      <c r="A158" s="171" t="s">
        <v>1448</v>
      </c>
      <c r="B158" s="171"/>
      <c r="C158" s="186" t="s">
        <v>837</v>
      </c>
      <c r="D158" s="186" t="s">
        <v>1440</v>
      </c>
      <c r="E158" s="166"/>
      <c r="F158" s="171" t="s">
        <v>543</v>
      </c>
      <c r="G158" s="172">
        <v>750</v>
      </c>
      <c r="H158" s="168">
        <f t="shared" si="7"/>
        <v>0</v>
      </c>
    </row>
    <row r="159" spans="1:8" ht="63" x14ac:dyDescent="0.45">
      <c r="A159" s="171" t="s">
        <v>1449</v>
      </c>
      <c r="B159" s="171"/>
      <c r="C159" s="186" t="s">
        <v>839</v>
      </c>
      <c r="D159" s="186" t="s">
        <v>1442</v>
      </c>
      <c r="E159" s="166"/>
      <c r="F159" s="171" t="s">
        <v>543</v>
      </c>
      <c r="G159" s="172">
        <v>125</v>
      </c>
      <c r="H159" s="168">
        <f t="shared" si="7"/>
        <v>0</v>
      </c>
    </row>
    <row r="160" spans="1:8" ht="63" x14ac:dyDescent="0.45">
      <c r="A160" s="171" t="s">
        <v>1450</v>
      </c>
      <c r="B160" s="171"/>
      <c r="C160" s="186" t="s">
        <v>849</v>
      </c>
      <c r="D160" s="186" t="s">
        <v>1451</v>
      </c>
      <c r="E160" s="166"/>
      <c r="F160" s="171" t="s">
        <v>543</v>
      </c>
      <c r="G160" s="172">
        <v>2050</v>
      </c>
      <c r="H160" s="168">
        <f t="shared" si="7"/>
        <v>0</v>
      </c>
    </row>
    <row r="161" spans="1:8" ht="50.4" x14ac:dyDescent="0.45">
      <c r="A161" s="171" t="s">
        <v>1452</v>
      </c>
      <c r="B161" s="171"/>
      <c r="C161" s="106" t="s">
        <v>851</v>
      </c>
      <c r="D161" s="106" t="s">
        <v>852</v>
      </c>
      <c r="E161" s="166"/>
      <c r="F161" s="171" t="s">
        <v>543</v>
      </c>
      <c r="G161" s="172">
        <v>15000</v>
      </c>
      <c r="H161" s="168">
        <f t="shared" si="7"/>
        <v>0</v>
      </c>
    </row>
    <row r="162" spans="1:8" ht="75.599999999999994" x14ac:dyDescent="0.45">
      <c r="A162" s="171" t="s">
        <v>1453</v>
      </c>
      <c r="B162" s="171"/>
      <c r="C162" s="106" t="s">
        <v>854</v>
      </c>
      <c r="D162" s="106" t="s">
        <v>855</v>
      </c>
      <c r="E162" s="166"/>
      <c r="F162" s="171" t="s">
        <v>472</v>
      </c>
      <c r="G162" s="171">
        <v>10</v>
      </c>
      <c r="H162" s="168">
        <f t="shared" si="7"/>
        <v>0</v>
      </c>
    </row>
    <row r="163" spans="1:8" ht="63" x14ac:dyDescent="0.45">
      <c r="A163" s="171" t="s">
        <v>1454</v>
      </c>
      <c r="B163" s="171"/>
      <c r="C163" s="106" t="s">
        <v>857</v>
      </c>
      <c r="D163" s="184" t="s">
        <v>858</v>
      </c>
      <c r="E163" s="166"/>
      <c r="F163" s="171" t="s">
        <v>543</v>
      </c>
      <c r="G163" s="172">
        <v>33000</v>
      </c>
      <c r="H163" s="168">
        <f t="shared" si="7"/>
        <v>0</v>
      </c>
    </row>
    <row r="164" spans="1:8" ht="75.599999999999994" x14ac:dyDescent="0.45">
      <c r="A164" s="171" t="s">
        <v>1455</v>
      </c>
      <c r="B164" s="171"/>
      <c r="C164" s="106" t="s">
        <v>860</v>
      </c>
      <c r="D164" s="184" t="s">
        <v>861</v>
      </c>
      <c r="E164" s="166"/>
      <c r="F164" s="171" t="s">
        <v>543</v>
      </c>
      <c r="G164" s="172">
        <v>39000</v>
      </c>
      <c r="H164" s="168">
        <f t="shared" si="7"/>
        <v>0</v>
      </c>
    </row>
    <row r="165" spans="1:8" ht="37.799999999999997" x14ac:dyDescent="0.45">
      <c r="A165" s="171" t="s">
        <v>1456</v>
      </c>
      <c r="B165" s="171"/>
      <c r="C165" s="106" t="s">
        <v>863</v>
      </c>
      <c r="D165" s="106" t="s">
        <v>864</v>
      </c>
      <c r="E165" s="166"/>
      <c r="F165" s="171" t="s">
        <v>472</v>
      </c>
      <c r="G165" s="171">
        <v>10</v>
      </c>
      <c r="H165" s="168">
        <f t="shared" si="7"/>
        <v>0</v>
      </c>
    </row>
    <row r="166" spans="1:8" ht="37.799999999999997" x14ac:dyDescent="0.45">
      <c r="A166" s="171" t="s">
        <v>1457</v>
      </c>
      <c r="B166" s="171"/>
      <c r="C166" s="106" t="s">
        <v>866</v>
      </c>
      <c r="D166" s="106" t="s">
        <v>864</v>
      </c>
      <c r="E166" s="166"/>
      <c r="F166" s="171" t="s">
        <v>472</v>
      </c>
      <c r="G166" s="171">
        <v>10</v>
      </c>
      <c r="H166" s="168">
        <f t="shared" si="7"/>
        <v>0</v>
      </c>
    </row>
    <row r="167" spans="1:8" ht="37.799999999999997" x14ac:dyDescent="0.45">
      <c r="A167" s="171" t="s">
        <v>1458</v>
      </c>
      <c r="B167" s="171"/>
      <c r="C167" s="106" t="s">
        <v>868</v>
      </c>
      <c r="D167" s="106" t="s">
        <v>869</v>
      </c>
      <c r="E167" s="166"/>
      <c r="F167" s="171" t="s">
        <v>472</v>
      </c>
      <c r="G167" s="171">
        <v>10</v>
      </c>
      <c r="H167" s="168">
        <f t="shared" si="7"/>
        <v>0</v>
      </c>
    </row>
    <row r="168" spans="1:8" ht="37.799999999999997" x14ac:dyDescent="0.45">
      <c r="A168" s="171" t="s">
        <v>1459</v>
      </c>
      <c r="B168" s="171"/>
      <c r="C168" s="106" t="s">
        <v>871</v>
      </c>
      <c r="D168" s="106" t="s">
        <v>869</v>
      </c>
      <c r="E168" s="166"/>
      <c r="F168" s="171" t="s">
        <v>472</v>
      </c>
      <c r="G168" s="171">
        <v>10</v>
      </c>
      <c r="H168" s="168">
        <f t="shared" si="7"/>
        <v>0</v>
      </c>
    </row>
    <row r="169" spans="1:8" ht="37.799999999999997" x14ac:dyDescent="0.45">
      <c r="A169" s="171" t="s">
        <v>1460</v>
      </c>
      <c r="B169" s="171"/>
      <c r="C169" s="106" t="s">
        <v>873</v>
      </c>
      <c r="D169" s="106" t="s">
        <v>864</v>
      </c>
      <c r="E169" s="166"/>
      <c r="F169" s="171" t="s">
        <v>472</v>
      </c>
      <c r="G169" s="171">
        <v>10</v>
      </c>
      <c r="H169" s="168">
        <f t="shared" si="7"/>
        <v>0</v>
      </c>
    </row>
    <row r="170" spans="1:8" ht="37.799999999999997" x14ac:dyDescent="0.45">
      <c r="A170" s="171" t="s">
        <v>1461</v>
      </c>
      <c r="B170" s="171"/>
      <c r="C170" s="106" t="s">
        <v>875</v>
      </c>
      <c r="D170" s="106" t="s">
        <v>864</v>
      </c>
      <c r="E170" s="166"/>
      <c r="F170" s="171" t="s">
        <v>472</v>
      </c>
      <c r="G170" s="171">
        <v>10</v>
      </c>
      <c r="H170" s="168">
        <f t="shared" si="7"/>
        <v>0</v>
      </c>
    </row>
    <row r="171" spans="1:8" ht="37.799999999999997" x14ac:dyDescent="0.45">
      <c r="A171" s="171" t="s">
        <v>1462</v>
      </c>
      <c r="B171" s="171"/>
      <c r="C171" s="106" t="s">
        <v>877</v>
      </c>
      <c r="D171" s="106" t="s">
        <v>864</v>
      </c>
      <c r="E171" s="166"/>
      <c r="F171" s="171" t="s">
        <v>472</v>
      </c>
      <c r="G171" s="171">
        <v>10</v>
      </c>
      <c r="H171" s="168">
        <f t="shared" si="7"/>
        <v>0</v>
      </c>
    </row>
    <row r="172" spans="1:8" ht="37.799999999999997" x14ac:dyDescent="0.45">
      <c r="A172" s="171" t="s">
        <v>1463</v>
      </c>
      <c r="B172" s="171"/>
      <c r="C172" s="106" t="s">
        <v>879</v>
      </c>
      <c r="D172" s="106" t="s">
        <v>864</v>
      </c>
      <c r="E172" s="166"/>
      <c r="F172" s="171" t="s">
        <v>472</v>
      </c>
      <c r="G172" s="171">
        <v>10</v>
      </c>
      <c r="H172" s="168">
        <f t="shared" si="7"/>
        <v>0</v>
      </c>
    </row>
    <row r="173" spans="1:8" ht="37.799999999999997" x14ac:dyDescent="0.45">
      <c r="A173" s="171" t="s">
        <v>1464</v>
      </c>
      <c r="B173" s="171"/>
      <c r="C173" s="106" t="s">
        <v>881</v>
      </c>
      <c r="D173" s="106" t="s">
        <v>864</v>
      </c>
      <c r="E173" s="166"/>
      <c r="F173" s="171" t="s">
        <v>472</v>
      </c>
      <c r="G173" s="171">
        <v>10</v>
      </c>
      <c r="H173" s="168">
        <f t="shared" si="7"/>
        <v>0</v>
      </c>
    </row>
    <row r="174" spans="1:8" ht="37.799999999999997" x14ac:dyDescent="0.45">
      <c r="A174" s="171" t="s">
        <v>1465</v>
      </c>
      <c r="B174" s="171"/>
      <c r="C174" s="106" t="s">
        <v>883</v>
      </c>
      <c r="D174" s="106" t="s">
        <v>864</v>
      </c>
      <c r="E174" s="166"/>
      <c r="F174" s="171" t="s">
        <v>472</v>
      </c>
      <c r="G174" s="171">
        <v>10</v>
      </c>
      <c r="H174" s="168">
        <f t="shared" si="7"/>
        <v>0</v>
      </c>
    </row>
    <row r="175" spans="1:8" ht="37.799999999999997" x14ac:dyDescent="0.45">
      <c r="A175" s="171" t="s">
        <v>1466</v>
      </c>
      <c r="B175" s="171"/>
      <c r="C175" s="106" t="s">
        <v>885</v>
      </c>
      <c r="D175" s="106" t="s">
        <v>864</v>
      </c>
      <c r="E175" s="166"/>
      <c r="F175" s="171" t="s">
        <v>472</v>
      </c>
      <c r="G175" s="171">
        <v>10</v>
      </c>
      <c r="H175" s="168">
        <f t="shared" si="7"/>
        <v>0</v>
      </c>
    </row>
    <row r="176" spans="1:8" ht="37.799999999999997" x14ac:dyDescent="0.45">
      <c r="A176" s="171" t="s">
        <v>1467</v>
      </c>
      <c r="B176" s="171"/>
      <c r="C176" s="106" t="s">
        <v>887</v>
      </c>
      <c r="D176" s="106" t="s">
        <v>864</v>
      </c>
      <c r="E176" s="166"/>
      <c r="F176" s="171" t="s">
        <v>472</v>
      </c>
      <c r="G176" s="171">
        <v>10</v>
      </c>
      <c r="H176" s="168">
        <f t="shared" si="7"/>
        <v>0</v>
      </c>
    </row>
    <row r="177" spans="1:8" ht="37.799999999999997" x14ac:dyDescent="0.45">
      <c r="A177" s="171" t="s">
        <v>1468</v>
      </c>
      <c r="B177" s="171"/>
      <c r="C177" s="106" t="s">
        <v>889</v>
      </c>
      <c r="D177" s="106" t="s">
        <v>864</v>
      </c>
      <c r="E177" s="166"/>
      <c r="F177" s="171" t="s">
        <v>472</v>
      </c>
      <c r="G177" s="171">
        <v>10</v>
      </c>
      <c r="H177" s="168">
        <f t="shared" si="7"/>
        <v>0</v>
      </c>
    </row>
    <row r="178" spans="1:8" ht="37.799999999999997" x14ac:dyDescent="0.45">
      <c r="A178" s="171" t="s">
        <v>1469</v>
      </c>
      <c r="B178" s="171"/>
      <c r="C178" s="106" t="s">
        <v>891</v>
      </c>
      <c r="D178" s="106" t="s">
        <v>864</v>
      </c>
      <c r="E178" s="166"/>
      <c r="F178" s="171" t="s">
        <v>472</v>
      </c>
      <c r="G178" s="171">
        <v>10</v>
      </c>
      <c r="H178" s="168">
        <f t="shared" si="7"/>
        <v>0</v>
      </c>
    </row>
    <row r="179" spans="1:8" ht="37.799999999999997" x14ac:dyDescent="0.45">
      <c r="A179" s="171" t="s">
        <v>1470</v>
      </c>
      <c r="B179" s="171"/>
      <c r="C179" s="106" t="s">
        <v>893</v>
      </c>
      <c r="D179" s="106" t="s">
        <v>864</v>
      </c>
      <c r="E179" s="166"/>
      <c r="F179" s="171" t="s">
        <v>472</v>
      </c>
      <c r="G179" s="171">
        <v>10</v>
      </c>
      <c r="H179" s="168">
        <f t="shared" si="7"/>
        <v>0</v>
      </c>
    </row>
    <row r="180" spans="1:8" ht="37.799999999999997" x14ac:dyDescent="0.45">
      <c r="A180" s="171" t="s">
        <v>1471</v>
      </c>
      <c r="B180" s="171"/>
      <c r="C180" s="106" t="s">
        <v>895</v>
      </c>
      <c r="D180" s="106" t="s">
        <v>864</v>
      </c>
      <c r="E180" s="166"/>
      <c r="F180" s="171" t="s">
        <v>472</v>
      </c>
      <c r="G180" s="171">
        <v>10</v>
      </c>
      <c r="H180" s="168">
        <f t="shared" si="7"/>
        <v>0</v>
      </c>
    </row>
    <row r="181" spans="1:8" ht="37.799999999999997" x14ac:dyDescent="0.45">
      <c r="A181" s="171" t="s">
        <v>1472</v>
      </c>
      <c r="B181" s="171"/>
      <c r="C181" s="106" t="s">
        <v>897</v>
      </c>
      <c r="D181" s="106" t="s">
        <v>864</v>
      </c>
      <c r="E181" s="166"/>
      <c r="F181" s="171" t="s">
        <v>472</v>
      </c>
      <c r="G181" s="171">
        <v>10</v>
      </c>
      <c r="H181" s="168">
        <f t="shared" si="7"/>
        <v>0</v>
      </c>
    </row>
    <row r="182" spans="1:8" ht="37.799999999999997" x14ac:dyDescent="0.45">
      <c r="A182" s="171" t="s">
        <v>1473</v>
      </c>
      <c r="B182" s="171"/>
      <c r="C182" s="106" t="s">
        <v>899</v>
      </c>
      <c r="D182" s="106" t="s">
        <v>864</v>
      </c>
      <c r="E182" s="166"/>
      <c r="F182" s="171" t="s">
        <v>472</v>
      </c>
      <c r="G182" s="171">
        <v>10</v>
      </c>
      <c r="H182" s="168">
        <f t="shared" si="7"/>
        <v>0</v>
      </c>
    </row>
    <row r="183" spans="1:8" ht="37.799999999999997" x14ac:dyDescent="0.45">
      <c r="A183" s="171" t="s">
        <v>1474</v>
      </c>
      <c r="B183" s="171"/>
      <c r="C183" s="106" t="s">
        <v>901</v>
      </c>
      <c r="D183" s="106" t="s">
        <v>864</v>
      </c>
      <c r="E183" s="166"/>
      <c r="F183" s="171" t="s">
        <v>472</v>
      </c>
      <c r="G183" s="171">
        <v>10</v>
      </c>
      <c r="H183" s="168">
        <f t="shared" si="7"/>
        <v>0</v>
      </c>
    </row>
    <row r="184" spans="1:8" ht="50.4" x14ac:dyDescent="0.45">
      <c r="A184" s="171" t="s">
        <v>1475</v>
      </c>
      <c r="B184" s="171"/>
      <c r="C184" s="106" t="s">
        <v>903</v>
      </c>
      <c r="D184" s="106" t="s">
        <v>864</v>
      </c>
      <c r="E184" s="166"/>
      <c r="F184" s="171" t="s">
        <v>472</v>
      </c>
      <c r="G184" s="171">
        <v>10</v>
      </c>
      <c r="H184" s="168">
        <f t="shared" si="7"/>
        <v>0</v>
      </c>
    </row>
    <row r="185" spans="1:8" ht="37.799999999999997" x14ac:dyDescent="0.45">
      <c r="A185" s="171" t="s">
        <v>1476</v>
      </c>
      <c r="B185" s="171"/>
      <c r="C185" s="106" t="s">
        <v>905</v>
      </c>
      <c r="D185" s="106" t="s">
        <v>864</v>
      </c>
      <c r="E185" s="166"/>
      <c r="F185" s="171" t="s">
        <v>472</v>
      </c>
      <c r="G185" s="171">
        <v>10</v>
      </c>
      <c r="H185" s="168">
        <f t="shared" si="7"/>
        <v>0</v>
      </c>
    </row>
    <row r="186" spans="1:8" ht="37.799999999999997" x14ac:dyDescent="0.45">
      <c r="A186" s="171" t="s">
        <v>1477</v>
      </c>
      <c r="B186" s="171"/>
      <c r="C186" s="106" t="s">
        <v>907</v>
      </c>
      <c r="D186" s="106" t="s">
        <v>864</v>
      </c>
      <c r="E186" s="166"/>
      <c r="F186" s="171" t="s">
        <v>472</v>
      </c>
      <c r="G186" s="171">
        <v>10</v>
      </c>
      <c r="H186" s="168">
        <f t="shared" si="7"/>
        <v>0</v>
      </c>
    </row>
    <row r="187" spans="1:8" ht="37.799999999999997" x14ac:dyDescent="0.45">
      <c r="A187" s="171" t="s">
        <v>1478</v>
      </c>
      <c r="B187" s="171"/>
      <c r="C187" s="106" t="s">
        <v>909</v>
      </c>
      <c r="D187" s="106" t="s">
        <v>864</v>
      </c>
      <c r="E187" s="166"/>
      <c r="F187" s="171" t="s">
        <v>472</v>
      </c>
      <c r="G187" s="171">
        <v>10</v>
      </c>
      <c r="H187" s="168">
        <f t="shared" si="7"/>
        <v>0</v>
      </c>
    </row>
    <row r="188" spans="1:8" ht="50.4" x14ac:dyDescent="0.45">
      <c r="A188" s="171" t="s">
        <v>1479</v>
      </c>
      <c r="B188" s="171"/>
      <c r="C188" s="106" t="s">
        <v>911</v>
      </c>
      <c r="D188" s="106" t="s">
        <v>864</v>
      </c>
      <c r="E188" s="166"/>
      <c r="F188" s="171" t="s">
        <v>472</v>
      </c>
      <c r="G188" s="171">
        <v>10</v>
      </c>
      <c r="H188" s="168">
        <f t="shared" si="7"/>
        <v>0</v>
      </c>
    </row>
    <row r="189" spans="1:8" ht="50.4" x14ac:dyDescent="0.45">
      <c r="A189" s="171" t="s">
        <v>1480</v>
      </c>
      <c r="B189" s="171"/>
      <c r="C189" s="106" t="s">
        <v>913</v>
      </c>
      <c r="D189" s="106" t="s">
        <v>864</v>
      </c>
      <c r="E189" s="166"/>
      <c r="F189" s="171" t="s">
        <v>472</v>
      </c>
      <c r="G189" s="171">
        <v>10</v>
      </c>
      <c r="H189" s="168">
        <f t="shared" si="7"/>
        <v>0</v>
      </c>
    </row>
    <row r="190" spans="1:8" ht="50.4" x14ac:dyDescent="0.45">
      <c r="A190" s="171" t="s">
        <v>1481</v>
      </c>
      <c r="B190" s="171"/>
      <c r="C190" s="106" t="s">
        <v>915</v>
      </c>
      <c r="D190" s="106" t="s">
        <v>864</v>
      </c>
      <c r="E190" s="166"/>
      <c r="F190" s="171" t="s">
        <v>472</v>
      </c>
      <c r="G190" s="171">
        <v>10</v>
      </c>
      <c r="H190" s="168">
        <f t="shared" si="7"/>
        <v>0</v>
      </c>
    </row>
    <row r="191" spans="1:8" ht="50.4" x14ac:dyDescent="0.45">
      <c r="A191" s="171" t="s">
        <v>1482</v>
      </c>
      <c r="B191" s="171"/>
      <c r="C191" s="106" t="s">
        <v>917</v>
      </c>
      <c r="D191" s="106" t="s">
        <v>864</v>
      </c>
      <c r="E191" s="166"/>
      <c r="F191" s="171" t="s">
        <v>472</v>
      </c>
      <c r="G191" s="171">
        <v>10</v>
      </c>
      <c r="H191" s="168">
        <f t="shared" si="7"/>
        <v>0</v>
      </c>
    </row>
    <row r="192" spans="1:8" ht="50.4" x14ac:dyDescent="0.45">
      <c r="A192" s="171" t="s">
        <v>1483</v>
      </c>
      <c r="B192" s="171"/>
      <c r="C192" s="106" t="s">
        <v>919</v>
      </c>
      <c r="D192" s="106" t="s">
        <v>864</v>
      </c>
      <c r="E192" s="166"/>
      <c r="F192" s="171" t="s">
        <v>472</v>
      </c>
      <c r="G192" s="171">
        <v>10</v>
      </c>
      <c r="H192" s="168">
        <f t="shared" si="7"/>
        <v>0</v>
      </c>
    </row>
    <row r="193" spans="1:8" ht="50.4" x14ac:dyDescent="0.45">
      <c r="A193" s="171" t="s">
        <v>1484</v>
      </c>
      <c r="B193" s="171"/>
      <c r="C193" s="106" t="s">
        <v>921</v>
      </c>
      <c r="D193" s="106" t="s">
        <v>864</v>
      </c>
      <c r="E193" s="166"/>
      <c r="F193" s="171" t="s">
        <v>472</v>
      </c>
      <c r="G193" s="171">
        <v>10</v>
      </c>
      <c r="H193" s="168">
        <f t="shared" si="7"/>
        <v>0</v>
      </c>
    </row>
    <row r="194" spans="1:8" ht="50.4" x14ac:dyDescent="0.45">
      <c r="A194" s="171" t="s">
        <v>1485</v>
      </c>
      <c r="B194" s="171"/>
      <c r="C194" s="106" t="s">
        <v>923</v>
      </c>
      <c r="D194" s="106" t="s">
        <v>864</v>
      </c>
      <c r="E194" s="166"/>
      <c r="F194" s="171" t="s">
        <v>472</v>
      </c>
      <c r="G194" s="171">
        <v>10</v>
      </c>
      <c r="H194" s="168">
        <f t="shared" si="7"/>
        <v>0</v>
      </c>
    </row>
    <row r="195" spans="1:8" ht="50.4" x14ac:dyDescent="0.45">
      <c r="A195" s="171" t="s">
        <v>1486</v>
      </c>
      <c r="B195" s="171"/>
      <c r="C195" s="106" t="s">
        <v>925</v>
      </c>
      <c r="D195" s="106" t="s">
        <v>864</v>
      </c>
      <c r="E195" s="166"/>
      <c r="F195" s="171" t="s">
        <v>472</v>
      </c>
      <c r="G195" s="171">
        <v>10</v>
      </c>
      <c r="H195" s="168">
        <f t="shared" si="7"/>
        <v>0</v>
      </c>
    </row>
    <row r="196" spans="1:8" ht="50.4" x14ac:dyDescent="0.45">
      <c r="A196" s="171" t="s">
        <v>1487</v>
      </c>
      <c r="B196" s="171"/>
      <c r="C196" s="106" t="s">
        <v>927</v>
      </c>
      <c r="D196" s="106" t="s">
        <v>864</v>
      </c>
      <c r="E196" s="166"/>
      <c r="F196" s="171" t="s">
        <v>472</v>
      </c>
      <c r="G196" s="171">
        <v>10</v>
      </c>
      <c r="H196" s="168">
        <f t="shared" si="7"/>
        <v>0</v>
      </c>
    </row>
    <row r="197" spans="1:8" ht="50.4" x14ac:dyDescent="0.45">
      <c r="A197" s="171" t="s">
        <v>1488</v>
      </c>
      <c r="B197" s="171"/>
      <c r="C197" s="106" t="s">
        <v>929</v>
      </c>
      <c r="D197" s="106" t="s">
        <v>864</v>
      </c>
      <c r="E197" s="166"/>
      <c r="F197" s="171" t="s">
        <v>472</v>
      </c>
      <c r="G197" s="171">
        <v>10</v>
      </c>
      <c r="H197" s="168">
        <f t="shared" si="7"/>
        <v>0</v>
      </c>
    </row>
    <row r="198" spans="1:8" ht="50.4" x14ac:dyDescent="0.45">
      <c r="A198" s="171" t="s">
        <v>1489</v>
      </c>
      <c r="B198" s="171"/>
      <c r="C198" s="106" t="s">
        <v>931</v>
      </c>
      <c r="D198" s="106" t="s">
        <v>864</v>
      </c>
      <c r="E198" s="166"/>
      <c r="F198" s="171" t="s">
        <v>472</v>
      </c>
      <c r="G198" s="171">
        <v>10</v>
      </c>
      <c r="H198" s="168">
        <f t="shared" si="7"/>
        <v>0</v>
      </c>
    </row>
    <row r="199" spans="1:8" ht="50.4" x14ac:dyDescent="0.45">
      <c r="A199" s="171" t="s">
        <v>1490</v>
      </c>
      <c r="B199" s="171"/>
      <c r="C199" s="106" t="s">
        <v>933</v>
      </c>
      <c r="D199" s="106" t="s">
        <v>864</v>
      </c>
      <c r="E199" s="166"/>
      <c r="F199" s="171" t="s">
        <v>472</v>
      </c>
      <c r="G199" s="171">
        <v>10</v>
      </c>
      <c r="H199" s="168">
        <f t="shared" si="7"/>
        <v>0</v>
      </c>
    </row>
    <row r="200" spans="1:8" ht="50.4" x14ac:dyDescent="0.45">
      <c r="A200" s="171" t="s">
        <v>1491</v>
      </c>
      <c r="B200" s="171"/>
      <c r="C200" s="106" t="s">
        <v>935</v>
      </c>
      <c r="D200" s="106" t="s">
        <v>864</v>
      </c>
      <c r="E200" s="166"/>
      <c r="F200" s="171" t="s">
        <v>472</v>
      </c>
      <c r="G200" s="171">
        <v>10</v>
      </c>
      <c r="H200" s="168">
        <f t="shared" si="7"/>
        <v>0</v>
      </c>
    </row>
    <row r="201" spans="1:8" ht="63" x14ac:dyDescent="0.45">
      <c r="A201" s="171" t="s">
        <v>1492</v>
      </c>
      <c r="B201" s="171"/>
      <c r="C201" s="106" t="s">
        <v>937</v>
      </c>
      <c r="D201" s="106" t="s">
        <v>864</v>
      </c>
      <c r="E201" s="166"/>
      <c r="F201" s="171" t="s">
        <v>472</v>
      </c>
      <c r="G201" s="171">
        <v>10</v>
      </c>
      <c r="H201" s="168">
        <f t="shared" si="7"/>
        <v>0</v>
      </c>
    </row>
    <row r="202" spans="1:8" ht="63" x14ac:dyDescent="0.45">
      <c r="A202" s="171" t="s">
        <v>1493</v>
      </c>
      <c r="B202" s="171"/>
      <c r="C202" s="106" t="s">
        <v>939</v>
      </c>
      <c r="D202" s="106" t="s">
        <v>864</v>
      </c>
      <c r="E202" s="166"/>
      <c r="F202" s="171" t="s">
        <v>472</v>
      </c>
      <c r="G202" s="171">
        <v>10</v>
      </c>
      <c r="H202" s="168">
        <f t="shared" si="7"/>
        <v>0</v>
      </c>
    </row>
    <row r="203" spans="1:8" ht="63" x14ac:dyDescent="0.45">
      <c r="A203" s="171" t="s">
        <v>1494</v>
      </c>
      <c r="B203" s="171"/>
      <c r="C203" s="106" t="s">
        <v>941</v>
      </c>
      <c r="D203" s="106" t="s">
        <v>864</v>
      </c>
      <c r="E203" s="166"/>
      <c r="F203" s="171" t="s">
        <v>472</v>
      </c>
      <c r="G203" s="171">
        <v>10</v>
      </c>
      <c r="H203" s="168">
        <f t="shared" si="7"/>
        <v>0</v>
      </c>
    </row>
    <row r="204" spans="1:8" ht="63" x14ac:dyDescent="0.45">
      <c r="A204" s="171" t="s">
        <v>1495</v>
      </c>
      <c r="B204" s="171"/>
      <c r="C204" s="106" t="s">
        <v>943</v>
      </c>
      <c r="D204" s="106" t="s">
        <v>864</v>
      </c>
      <c r="E204" s="166"/>
      <c r="F204" s="171" t="s">
        <v>472</v>
      </c>
      <c r="G204" s="171">
        <v>10</v>
      </c>
      <c r="H204" s="168">
        <f t="shared" si="7"/>
        <v>0</v>
      </c>
    </row>
    <row r="205" spans="1:8" ht="63" x14ac:dyDescent="0.45">
      <c r="A205" s="171" t="s">
        <v>1496</v>
      </c>
      <c r="B205" s="171"/>
      <c r="C205" s="106" t="s">
        <v>945</v>
      </c>
      <c r="D205" s="106" t="s">
        <v>864</v>
      </c>
      <c r="E205" s="166"/>
      <c r="F205" s="171" t="s">
        <v>472</v>
      </c>
      <c r="G205" s="171">
        <v>10</v>
      </c>
      <c r="H205" s="168">
        <f t="shared" si="7"/>
        <v>0</v>
      </c>
    </row>
    <row r="206" spans="1:8" ht="63" x14ac:dyDescent="0.45">
      <c r="A206" s="171" t="s">
        <v>1497</v>
      </c>
      <c r="B206" s="171"/>
      <c r="C206" s="106" t="s">
        <v>947</v>
      </c>
      <c r="D206" s="106" t="s">
        <v>864</v>
      </c>
      <c r="E206" s="166"/>
      <c r="F206" s="171" t="s">
        <v>472</v>
      </c>
      <c r="G206" s="171">
        <v>10</v>
      </c>
      <c r="H206" s="168">
        <f t="shared" si="7"/>
        <v>0</v>
      </c>
    </row>
    <row r="207" spans="1:8" ht="63" x14ac:dyDescent="0.45">
      <c r="A207" s="171" t="s">
        <v>1498</v>
      </c>
      <c r="B207" s="171"/>
      <c r="C207" s="106" t="s">
        <v>949</v>
      </c>
      <c r="D207" s="106" t="s">
        <v>864</v>
      </c>
      <c r="E207" s="166"/>
      <c r="F207" s="171" t="s">
        <v>472</v>
      </c>
      <c r="G207" s="171">
        <v>10</v>
      </c>
      <c r="H207" s="168">
        <f t="shared" si="7"/>
        <v>0</v>
      </c>
    </row>
    <row r="208" spans="1:8" ht="75.599999999999994" x14ac:dyDescent="0.45">
      <c r="A208" s="171" t="s">
        <v>1499</v>
      </c>
      <c r="B208" s="171"/>
      <c r="C208" s="106" t="s">
        <v>951</v>
      </c>
      <c r="D208" s="106" t="s">
        <v>864</v>
      </c>
      <c r="E208" s="166"/>
      <c r="F208" s="171" t="s">
        <v>472</v>
      </c>
      <c r="G208" s="171">
        <v>10</v>
      </c>
      <c r="H208" s="168">
        <f t="shared" si="7"/>
        <v>0</v>
      </c>
    </row>
    <row r="209" spans="1:8" ht="75.599999999999994" x14ac:dyDescent="0.45">
      <c r="A209" s="171" t="s">
        <v>1500</v>
      </c>
      <c r="B209" s="171"/>
      <c r="C209" s="106" t="s">
        <v>953</v>
      </c>
      <c r="D209" s="106" t="s">
        <v>864</v>
      </c>
      <c r="E209" s="166"/>
      <c r="F209" s="171" t="s">
        <v>472</v>
      </c>
      <c r="G209" s="171">
        <v>10</v>
      </c>
      <c r="H209" s="168">
        <f t="shared" ref="H209:H258" si="8">SUM(E209)*G209</f>
        <v>0</v>
      </c>
    </row>
    <row r="210" spans="1:8" ht="75.599999999999994" x14ac:dyDescent="0.45">
      <c r="A210" s="171" t="s">
        <v>1501</v>
      </c>
      <c r="B210" s="171"/>
      <c r="C210" s="106" t="s">
        <v>955</v>
      </c>
      <c r="D210" s="106" t="s">
        <v>864</v>
      </c>
      <c r="E210" s="166"/>
      <c r="F210" s="171" t="s">
        <v>472</v>
      </c>
      <c r="G210" s="171">
        <v>10</v>
      </c>
      <c r="H210" s="168">
        <f t="shared" si="8"/>
        <v>0</v>
      </c>
    </row>
    <row r="211" spans="1:8" ht="75.599999999999994" x14ac:dyDescent="0.45">
      <c r="A211" s="171" t="s">
        <v>1502</v>
      </c>
      <c r="B211" s="171"/>
      <c r="C211" s="106" t="s">
        <v>957</v>
      </c>
      <c r="D211" s="106" t="s">
        <v>864</v>
      </c>
      <c r="E211" s="166"/>
      <c r="F211" s="171" t="s">
        <v>472</v>
      </c>
      <c r="G211" s="171">
        <v>10</v>
      </c>
      <c r="H211" s="168">
        <f t="shared" si="8"/>
        <v>0</v>
      </c>
    </row>
    <row r="212" spans="1:8" ht="75.599999999999994" x14ac:dyDescent="0.45">
      <c r="A212" s="171" t="s">
        <v>1503</v>
      </c>
      <c r="B212" s="171"/>
      <c r="C212" s="106" t="s">
        <v>959</v>
      </c>
      <c r="D212" s="106" t="s">
        <v>864</v>
      </c>
      <c r="E212" s="166"/>
      <c r="F212" s="171" t="s">
        <v>472</v>
      </c>
      <c r="G212" s="171">
        <v>10</v>
      </c>
      <c r="H212" s="168">
        <f t="shared" si="8"/>
        <v>0</v>
      </c>
    </row>
    <row r="213" spans="1:8" ht="75.599999999999994" x14ac:dyDescent="0.45">
      <c r="A213" s="171" t="s">
        <v>1504</v>
      </c>
      <c r="B213" s="171"/>
      <c r="C213" s="106" t="s">
        <v>961</v>
      </c>
      <c r="D213" s="106" t="s">
        <v>864</v>
      </c>
      <c r="E213" s="166"/>
      <c r="F213" s="171" t="s">
        <v>472</v>
      </c>
      <c r="G213" s="171">
        <v>10</v>
      </c>
      <c r="H213" s="168">
        <f t="shared" si="8"/>
        <v>0</v>
      </c>
    </row>
    <row r="214" spans="1:8" ht="75.599999999999994" x14ac:dyDescent="0.45">
      <c r="A214" s="171" t="s">
        <v>1505</v>
      </c>
      <c r="B214" s="171"/>
      <c r="C214" s="106" t="s">
        <v>963</v>
      </c>
      <c r="D214" s="106" t="s">
        <v>864</v>
      </c>
      <c r="E214" s="166"/>
      <c r="F214" s="171" t="s">
        <v>472</v>
      </c>
      <c r="G214" s="171">
        <v>10</v>
      </c>
      <c r="H214" s="168">
        <f t="shared" si="8"/>
        <v>0</v>
      </c>
    </row>
    <row r="215" spans="1:8" ht="75.599999999999994" x14ac:dyDescent="0.45">
      <c r="A215" s="171" t="s">
        <v>1506</v>
      </c>
      <c r="B215" s="171"/>
      <c r="C215" s="106" t="s">
        <v>965</v>
      </c>
      <c r="D215" s="106" t="s">
        <v>864</v>
      </c>
      <c r="E215" s="166"/>
      <c r="F215" s="171" t="s">
        <v>472</v>
      </c>
      <c r="G215" s="171">
        <v>10</v>
      </c>
      <c r="H215" s="168">
        <f t="shared" si="8"/>
        <v>0</v>
      </c>
    </row>
    <row r="216" spans="1:8" ht="75.599999999999994" x14ac:dyDescent="0.45">
      <c r="A216" s="171" t="s">
        <v>1507</v>
      </c>
      <c r="B216" s="171"/>
      <c r="C216" s="106" t="s">
        <v>967</v>
      </c>
      <c r="D216" s="106" t="s">
        <v>864</v>
      </c>
      <c r="E216" s="166"/>
      <c r="F216" s="171" t="s">
        <v>472</v>
      </c>
      <c r="G216" s="171">
        <v>10</v>
      </c>
      <c r="H216" s="168">
        <f t="shared" si="8"/>
        <v>0</v>
      </c>
    </row>
    <row r="217" spans="1:8" ht="75.599999999999994" x14ac:dyDescent="0.45">
      <c r="A217" s="171" t="s">
        <v>1508</v>
      </c>
      <c r="B217" s="171"/>
      <c r="C217" s="106" t="s">
        <v>969</v>
      </c>
      <c r="D217" s="106" t="s">
        <v>864</v>
      </c>
      <c r="E217" s="166"/>
      <c r="F217" s="171" t="s">
        <v>472</v>
      </c>
      <c r="G217" s="171">
        <v>10</v>
      </c>
      <c r="H217" s="168">
        <f t="shared" si="8"/>
        <v>0</v>
      </c>
    </row>
    <row r="218" spans="1:8" ht="75.599999999999994" x14ac:dyDescent="0.45">
      <c r="A218" s="171" t="s">
        <v>1509</v>
      </c>
      <c r="B218" s="171"/>
      <c r="C218" s="106" t="s">
        <v>971</v>
      </c>
      <c r="D218" s="106" t="s">
        <v>864</v>
      </c>
      <c r="E218" s="166"/>
      <c r="F218" s="171" t="s">
        <v>472</v>
      </c>
      <c r="G218" s="171">
        <v>10</v>
      </c>
      <c r="H218" s="168">
        <f t="shared" si="8"/>
        <v>0</v>
      </c>
    </row>
    <row r="219" spans="1:8" ht="75.599999999999994" x14ac:dyDescent="0.45">
      <c r="A219" s="171" t="s">
        <v>1510</v>
      </c>
      <c r="B219" s="171"/>
      <c r="C219" s="106" t="s">
        <v>973</v>
      </c>
      <c r="D219" s="106" t="s">
        <v>864</v>
      </c>
      <c r="E219" s="166"/>
      <c r="F219" s="171" t="s">
        <v>472</v>
      </c>
      <c r="G219" s="171">
        <v>10</v>
      </c>
      <c r="H219" s="168">
        <f t="shared" si="8"/>
        <v>0</v>
      </c>
    </row>
    <row r="220" spans="1:8" ht="50.4" x14ac:dyDescent="0.45">
      <c r="A220" s="171" t="s">
        <v>1511</v>
      </c>
      <c r="B220" s="171"/>
      <c r="C220" s="106" t="s">
        <v>975</v>
      </c>
      <c r="D220" s="106" t="s">
        <v>864</v>
      </c>
      <c r="E220" s="166"/>
      <c r="F220" s="171" t="s">
        <v>472</v>
      </c>
      <c r="G220" s="171">
        <v>10</v>
      </c>
      <c r="H220" s="168">
        <f t="shared" si="8"/>
        <v>0</v>
      </c>
    </row>
    <row r="221" spans="1:8" ht="50.4" x14ac:dyDescent="0.45">
      <c r="A221" s="171" t="s">
        <v>1512</v>
      </c>
      <c r="B221" s="171"/>
      <c r="C221" s="106" t="s">
        <v>977</v>
      </c>
      <c r="D221" s="106" t="s">
        <v>864</v>
      </c>
      <c r="E221" s="166"/>
      <c r="F221" s="171" t="s">
        <v>472</v>
      </c>
      <c r="G221" s="171">
        <v>10</v>
      </c>
      <c r="H221" s="168">
        <f t="shared" si="8"/>
        <v>0</v>
      </c>
    </row>
    <row r="222" spans="1:8" ht="50.4" x14ac:dyDescent="0.45">
      <c r="A222" s="171" t="s">
        <v>1513</v>
      </c>
      <c r="B222" s="171"/>
      <c r="C222" s="106" t="s">
        <v>979</v>
      </c>
      <c r="D222" s="106" t="s">
        <v>864</v>
      </c>
      <c r="E222" s="166"/>
      <c r="F222" s="171" t="s">
        <v>472</v>
      </c>
      <c r="G222" s="171">
        <v>10</v>
      </c>
      <c r="H222" s="168">
        <f t="shared" si="8"/>
        <v>0</v>
      </c>
    </row>
    <row r="223" spans="1:8" ht="50.4" x14ac:dyDescent="0.45">
      <c r="A223" s="171" t="s">
        <v>1514</v>
      </c>
      <c r="B223" s="171"/>
      <c r="C223" s="106" t="s">
        <v>981</v>
      </c>
      <c r="D223" s="106" t="s">
        <v>864</v>
      </c>
      <c r="E223" s="166"/>
      <c r="F223" s="171" t="s">
        <v>472</v>
      </c>
      <c r="G223" s="171">
        <v>10</v>
      </c>
      <c r="H223" s="168">
        <f t="shared" si="8"/>
        <v>0</v>
      </c>
    </row>
    <row r="224" spans="1:8" ht="63" x14ac:dyDescent="0.45">
      <c r="A224" s="171" t="s">
        <v>1515</v>
      </c>
      <c r="B224" s="171"/>
      <c r="C224" s="106" t="s">
        <v>983</v>
      </c>
      <c r="D224" s="106" t="s">
        <v>864</v>
      </c>
      <c r="E224" s="166"/>
      <c r="F224" s="171" t="s">
        <v>472</v>
      </c>
      <c r="G224" s="171">
        <v>10</v>
      </c>
      <c r="H224" s="168">
        <f t="shared" si="8"/>
        <v>0</v>
      </c>
    </row>
    <row r="225" spans="1:8" ht="100.8" x14ac:dyDescent="0.45">
      <c r="A225" s="171" t="s">
        <v>1516</v>
      </c>
      <c r="B225" s="171"/>
      <c r="C225" s="106" t="s">
        <v>985</v>
      </c>
      <c r="D225" s="106" t="s">
        <v>864</v>
      </c>
      <c r="E225" s="166"/>
      <c r="F225" s="171" t="s">
        <v>472</v>
      </c>
      <c r="G225" s="171">
        <v>10</v>
      </c>
      <c r="H225" s="168">
        <f t="shared" si="8"/>
        <v>0</v>
      </c>
    </row>
    <row r="226" spans="1:8" ht="100.8" x14ac:dyDescent="0.45">
      <c r="A226" s="171" t="s">
        <v>1517</v>
      </c>
      <c r="B226" s="171"/>
      <c r="C226" s="106" t="s">
        <v>987</v>
      </c>
      <c r="D226" s="106" t="s">
        <v>864</v>
      </c>
      <c r="E226" s="166"/>
      <c r="F226" s="171" t="s">
        <v>472</v>
      </c>
      <c r="G226" s="171">
        <v>10</v>
      </c>
      <c r="H226" s="168">
        <f t="shared" si="8"/>
        <v>0</v>
      </c>
    </row>
    <row r="227" spans="1:8" ht="63" x14ac:dyDescent="0.45">
      <c r="A227" s="171" t="s">
        <v>1518</v>
      </c>
      <c r="B227" s="171"/>
      <c r="C227" s="106" t="s">
        <v>989</v>
      </c>
      <c r="D227" s="106" t="s">
        <v>864</v>
      </c>
      <c r="E227" s="166"/>
      <c r="F227" s="171" t="s">
        <v>472</v>
      </c>
      <c r="G227" s="171">
        <v>10</v>
      </c>
      <c r="H227" s="168">
        <f t="shared" si="8"/>
        <v>0</v>
      </c>
    </row>
    <row r="228" spans="1:8" ht="63" x14ac:dyDescent="0.45">
      <c r="A228" s="171" t="s">
        <v>1519</v>
      </c>
      <c r="B228" s="171"/>
      <c r="C228" s="106" t="s">
        <v>991</v>
      </c>
      <c r="D228" s="106" t="s">
        <v>864</v>
      </c>
      <c r="E228" s="166"/>
      <c r="F228" s="171" t="s">
        <v>472</v>
      </c>
      <c r="G228" s="171">
        <v>10</v>
      </c>
      <c r="H228" s="168">
        <f t="shared" si="8"/>
        <v>0</v>
      </c>
    </row>
    <row r="229" spans="1:8" ht="63" x14ac:dyDescent="0.45">
      <c r="A229" s="171" t="s">
        <v>1520</v>
      </c>
      <c r="B229" s="171"/>
      <c r="C229" s="106" t="s">
        <v>993</v>
      </c>
      <c r="D229" s="106" t="s">
        <v>864</v>
      </c>
      <c r="E229" s="166"/>
      <c r="F229" s="171" t="s">
        <v>472</v>
      </c>
      <c r="G229" s="171">
        <v>10</v>
      </c>
      <c r="H229" s="168">
        <f t="shared" si="8"/>
        <v>0</v>
      </c>
    </row>
    <row r="230" spans="1:8" ht="50.4" x14ac:dyDescent="0.45">
      <c r="A230" s="171" t="s">
        <v>1521</v>
      </c>
      <c r="B230" s="171"/>
      <c r="C230" s="106" t="s">
        <v>995</v>
      </c>
      <c r="D230" s="106" t="s">
        <v>864</v>
      </c>
      <c r="E230" s="166"/>
      <c r="F230" s="171" t="s">
        <v>472</v>
      </c>
      <c r="G230" s="171">
        <v>10</v>
      </c>
      <c r="H230" s="168">
        <f t="shared" si="8"/>
        <v>0</v>
      </c>
    </row>
    <row r="231" spans="1:8" ht="63" x14ac:dyDescent="0.45">
      <c r="A231" s="171" t="s">
        <v>1522</v>
      </c>
      <c r="B231" s="171"/>
      <c r="C231" s="106" t="s">
        <v>997</v>
      </c>
      <c r="D231" s="106" t="s">
        <v>864</v>
      </c>
      <c r="E231" s="166"/>
      <c r="F231" s="171" t="s">
        <v>472</v>
      </c>
      <c r="G231" s="171">
        <v>10</v>
      </c>
      <c r="H231" s="168">
        <f t="shared" si="8"/>
        <v>0</v>
      </c>
    </row>
    <row r="232" spans="1:8" ht="63" x14ac:dyDescent="0.45">
      <c r="A232" s="171" t="s">
        <v>1523</v>
      </c>
      <c r="B232" s="171"/>
      <c r="C232" s="106" t="s">
        <v>999</v>
      </c>
      <c r="D232" s="106" t="s">
        <v>864</v>
      </c>
      <c r="E232" s="166"/>
      <c r="F232" s="171" t="s">
        <v>472</v>
      </c>
      <c r="G232" s="171">
        <v>10</v>
      </c>
      <c r="H232" s="168">
        <f t="shared" si="8"/>
        <v>0</v>
      </c>
    </row>
    <row r="233" spans="1:8" ht="50.4" x14ac:dyDescent="0.45">
      <c r="A233" s="171" t="s">
        <v>1524</v>
      </c>
      <c r="B233" s="171"/>
      <c r="C233" s="106" t="s">
        <v>1001</v>
      </c>
      <c r="D233" s="106" t="s">
        <v>864</v>
      </c>
      <c r="E233" s="166"/>
      <c r="F233" s="171" t="s">
        <v>472</v>
      </c>
      <c r="G233" s="171">
        <v>10</v>
      </c>
      <c r="H233" s="168">
        <f t="shared" si="8"/>
        <v>0</v>
      </c>
    </row>
    <row r="234" spans="1:8" ht="50.4" x14ac:dyDescent="0.45">
      <c r="A234" s="171" t="s">
        <v>1525</v>
      </c>
      <c r="B234" s="171"/>
      <c r="C234" s="106" t="s">
        <v>1003</v>
      </c>
      <c r="D234" s="106" t="s">
        <v>864</v>
      </c>
      <c r="E234" s="166"/>
      <c r="F234" s="171" t="s">
        <v>472</v>
      </c>
      <c r="G234" s="171">
        <v>10</v>
      </c>
      <c r="H234" s="168">
        <f t="shared" si="8"/>
        <v>0</v>
      </c>
    </row>
    <row r="235" spans="1:8" ht="50.4" x14ac:dyDescent="0.45">
      <c r="A235" s="171" t="s">
        <v>1526</v>
      </c>
      <c r="B235" s="171"/>
      <c r="C235" s="106" t="s">
        <v>1005</v>
      </c>
      <c r="D235" s="106" t="s">
        <v>864</v>
      </c>
      <c r="E235" s="166"/>
      <c r="F235" s="171" t="s">
        <v>472</v>
      </c>
      <c r="G235" s="171">
        <v>10</v>
      </c>
      <c r="H235" s="168">
        <f t="shared" si="8"/>
        <v>0</v>
      </c>
    </row>
    <row r="236" spans="1:8" ht="50.4" x14ac:dyDescent="0.45">
      <c r="A236" s="171" t="s">
        <v>1527</v>
      </c>
      <c r="B236" s="171"/>
      <c r="C236" s="106" t="s">
        <v>1007</v>
      </c>
      <c r="D236" s="106" t="s">
        <v>864</v>
      </c>
      <c r="E236" s="166"/>
      <c r="F236" s="171" t="s">
        <v>472</v>
      </c>
      <c r="G236" s="171">
        <v>10</v>
      </c>
      <c r="H236" s="168">
        <f t="shared" si="8"/>
        <v>0</v>
      </c>
    </row>
    <row r="237" spans="1:8" ht="50.4" x14ac:dyDescent="0.45">
      <c r="A237" s="171" t="s">
        <v>1528</v>
      </c>
      <c r="B237" s="171"/>
      <c r="C237" s="106" t="s">
        <v>1009</v>
      </c>
      <c r="D237" s="106" t="s">
        <v>864</v>
      </c>
      <c r="E237" s="166"/>
      <c r="F237" s="171" t="s">
        <v>472</v>
      </c>
      <c r="G237" s="171">
        <v>10</v>
      </c>
      <c r="H237" s="168">
        <f t="shared" si="8"/>
        <v>0</v>
      </c>
    </row>
    <row r="238" spans="1:8" ht="37.799999999999997" x14ac:dyDescent="0.45">
      <c r="A238" s="171" t="s">
        <v>1529</v>
      </c>
      <c r="B238" s="171"/>
      <c r="C238" s="106" t="s">
        <v>1011</v>
      </c>
      <c r="D238" s="106" t="s">
        <v>864</v>
      </c>
      <c r="E238" s="166"/>
      <c r="F238" s="171" t="s">
        <v>472</v>
      </c>
      <c r="G238" s="171">
        <v>10</v>
      </c>
      <c r="H238" s="168">
        <f t="shared" si="8"/>
        <v>0</v>
      </c>
    </row>
    <row r="239" spans="1:8" ht="37.799999999999997" x14ac:dyDescent="0.45">
      <c r="A239" s="171" t="s">
        <v>1530</v>
      </c>
      <c r="B239" s="171"/>
      <c r="C239" s="106" t="s">
        <v>1013</v>
      </c>
      <c r="D239" s="106" t="s">
        <v>864</v>
      </c>
      <c r="E239" s="166"/>
      <c r="F239" s="171" t="s">
        <v>472</v>
      </c>
      <c r="G239" s="171">
        <v>10</v>
      </c>
      <c r="H239" s="168">
        <f t="shared" si="8"/>
        <v>0</v>
      </c>
    </row>
    <row r="240" spans="1:8" ht="37.799999999999997" x14ac:dyDescent="0.45">
      <c r="A240" s="171" t="s">
        <v>1531</v>
      </c>
      <c r="B240" s="171"/>
      <c r="C240" s="106" t="s">
        <v>1015</v>
      </c>
      <c r="D240" s="106" t="s">
        <v>864</v>
      </c>
      <c r="E240" s="166"/>
      <c r="F240" s="171" t="s">
        <v>472</v>
      </c>
      <c r="G240" s="171">
        <v>10</v>
      </c>
      <c r="H240" s="168">
        <f t="shared" si="8"/>
        <v>0</v>
      </c>
    </row>
    <row r="241" spans="1:8" ht="37.799999999999997" x14ac:dyDescent="0.45">
      <c r="A241" s="171" t="s">
        <v>1532</v>
      </c>
      <c r="B241" s="171"/>
      <c r="C241" s="106" t="s">
        <v>1017</v>
      </c>
      <c r="D241" s="106" t="s">
        <v>864</v>
      </c>
      <c r="E241" s="166"/>
      <c r="F241" s="171" t="s">
        <v>472</v>
      </c>
      <c r="G241" s="171">
        <v>10</v>
      </c>
      <c r="H241" s="168">
        <f t="shared" si="8"/>
        <v>0</v>
      </c>
    </row>
    <row r="242" spans="1:8" ht="37.799999999999997" x14ac:dyDescent="0.45">
      <c r="A242" s="171" t="s">
        <v>1533</v>
      </c>
      <c r="B242" s="171"/>
      <c r="C242" s="106" t="s">
        <v>1019</v>
      </c>
      <c r="D242" s="106" t="s">
        <v>864</v>
      </c>
      <c r="E242" s="166"/>
      <c r="F242" s="171" t="s">
        <v>472</v>
      </c>
      <c r="G242" s="171">
        <v>10</v>
      </c>
      <c r="H242" s="168">
        <f t="shared" si="8"/>
        <v>0</v>
      </c>
    </row>
    <row r="243" spans="1:8" ht="37.799999999999997" x14ac:dyDescent="0.45">
      <c r="A243" s="171" t="s">
        <v>1534</v>
      </c>
      <c r="B243" s="171"/>
      <c r="C243" s="106" t="s">
        <v>1021</v>
      </c>
      <c r="D243" s="106" t="s">
        <v>864</v>
      </c>
      <c r="E243" s="166"/>
      <c r="F243" s="171" t="s">
        <v>472</v>
      </c>
      <c r="G243" s="171">
        <v>10</v>
      </c>
      <c r="H243" s="168">
        <f t="shared" si="8"/>
        <v>0</v>
      </c>
    </row>
    <row r="244" spans="1:8" ht="37.799999999999997" x14ac:dyDescent="0.45">
      <c r="A244" s="171" t="s">
        <v>1535</v>
      </c>
      <c r="B244" s="171"/>
      <c r="C244" s="106" t="s">
        <v>1023</v>
      </c>
      <c r="D244" s="106" t="s">
        <v>864</v>
      </c>
      <c r="E244" s="166"/>
      <c r="F244" s="171" t="s">
        <v>472</v>
      </c>
      <c r="G244" s="171">
        <v>10</v>
      </c>
      <c r="H244" s="168">
        <f t="shared" si="8"/>
        <v>0</v>
      </c>
    </row>
    <row r="245" spans="1:8" ht="37.799999999999997" x14ac:dyDescent="0.45">
      <c r="A245" s="171" t="s">
        <v>1536</v>
      </c>
      <c r="B245" s="171"/>
      <c r="C245" s="106" t="s">
        <v>1025</v>
      </c>
      <c r="D245" s="106" t="s">
        <v>864</v>
      </c>
      <c r="E245" s="166"/>
      <c r="F245" s="171" t="s">
        <v>472</v>
      </c>
      <c r="G245" s="171">
        <v>10</v>
      </c>
      <c r="H245" s="168">
        <f t="shared" si="8"/>
        <v>0</v>
      </c>
    </row>
    <row r="246" spans="1:8" ht="37.799999999999997" x14ac:dyDescent="0.45">
      <c r="A246" s="171" t="s">
        <v>1537</v>
      </c>
      <c r="B246" s="171"/>
      <c r="C246" s="106" t="s">
        <v>1027</v>
      </c>
      <c r="D246" s="106" t="s">
        <v>864</v>
      </c>
      <c r="E246" s="166"/>
      <c r="F246" s="171" t="s">
        <v>472</v>
      </c>
      <c r="G246" s="171">
        <v>10</v>
      </c>
      <c r="H246" s="168">
        <f t="shared" si="8"/>
        <v>0</v>
      </c>
    </row>
    <row r="247" spans="1:8" ht="37.799999999999997" x14ac:dyDescent="0.45">
      <c r="A247" s="171" t="s">
        <v>1538</v>
      </c>
      <c r="B247" s="171"/>
      <c r="C247" s="106" t="s">
        <v>1029</v>
      </c>
      <c r="D247" s="106" t="s">
        <v>864</v>
      </c>
      <c r="E247" s="166"/>
      <c r="F247" s="171" t="s">
        <v>472</v>
      </c>
      <c r="G247" s="171">
        <v>10</v>
      </c>
      <c r="H247" s="168">
        <f t="shared" si="8"/>
        <v>0</v>
      </c>
    </row>
    <row r="248" spans="1:8" ht="37.799999999999997" x14ac:dyDescent="0.45">
      <c r="A248" s="171" t="s">
        <v>1539</v>
      </c>
      <c r="B248" s="171"/>
      <c r="C248" s="106" t="s">
        <v>1031</v>
      </c>
      <c r="D248" s="106" t="s">
        <v>864</v>
      </c>
      <c r="E248" s="166"/>
      <c r="F248" s="171" t="s">
        <v>472</v>
      </c>
      <c r="G248" s="171">
        <v>10</v>
      </c>
      <c r="H248" s="168">
        <f t="shared" si="8"/>
        <v>0</v>
      </c>
    </row>
    <row r="249" spans="1:8" ht="37.799999999999997" x14ac:dyDescent="0.45">
      <c r="A249" s="171" t="s">
        <v>1540</v>
      </c>
      <c r="B249" s="171"/>
      <c r="C249" s="106" t="s">
        <v>1033</v>
      </c>
      <c r="D249" s="106" t="s">
        <v>864</v>
      </c>
      <c r="E249" s="166"/>
      <c r="F249" s="171" t="s">
        <v>472</v>
      </c>
      <c r="G249" s="171">
        <v>10</v>
      </c>
      <c r="H249" s="168">
        <f t="shared" si="8"/>
        <v>0</v>
      </c>
    </row>
    <row r="250" spans="1:8" ht="37.799999999999997" x14ac:dyDescent="0.45">
      <c r="A250" s="171" t="s">
        <v>1541</v>
      </c>
      <c r="B250" s="171"/>
      <c r="C250" s="106" t="s">
        <v>1035</v>
      </c>
      <c r="D250" s="106" t="s">
        <v>864</v>
      </c>
      <c r="E250" s="166"/>
      <c r="F250" s="171" t="s">
        <v>472</v>
      </c>
      <c r="G250" s="171">
        <v>10</v>
      </c>
      <c r="H250" s="168">
        <f t="shared" si="8"/>
        <v>0</v>
      </c>
    </row>
    <row r="251" spans="1:8" ht="37.799999999999997" x14ac:dyDescent="0.45">
      <c r="A251" s="171" t="s">
        <v>1542</v>
      </c>
      <c r="B251" s="171"/>
      <c r="C251" s="106" t="s">
        <v>1037</v>
      </c>
      <c r="D251" s="106" t="s">
        <v>864</v>
      </c>
      <c r="E251" s="166"/>
      <c r="F251" s="171" t="s">
        <v>472</v>
      </c>
      <c r="G251" s="171">
        <v>10</v>
      </c>
      <c r="H251" s="168">
        <f t="shared" si="8"/>
        <v>0</v>
      </c>
    </row>
    <row r="252" spans="1:8" ht="37.799999999999997" x14ac:dyDescent="0.45">
      <c r="A252" s="171" t="s">
        <v>1543</v>
      </c>
      <c r="B252" s="171"/>
      <c r="C252" s="106" t="s">
        <v>1039</v>
      </c>
      <c r="D252" s="106" t="s">
        <v>864</v>
      </c>
      <c r="E252" s="166"/>
      <c r="F252" s="171" t="s">
        <v>472</v>
      </c>
      <c r="G252" s="171">
        <v>10</v>
      </c>
      <c r="H252" s="168">
        <f t="shared" si="8"/>
        <v>0</v>
      </c>
    </row>
    <row r="253" spans="1:8" ht="50.4" x14ac:dyDescent="0.45">
      <c r="A253" s="171" t="s">
        <v>1544</v>
      </c>
      <c r="B253" s="171"/>
      <c r="C253" s="106" t="s">
        <v>1041</v>
      </c>
      <c r="D253" s="106" t="s">
        <v>864</v>
      </c>
      <c r="E253" s="166"/>
      <c r="F253" s="171" t="s">
        <v>472</v>
      </c>
      <c r="G253" s="171">
        <v>10</v>
      </c>
      <c r="H253" s="168">
        <f t="shared" si="8"/>
        <v>0</v>
      </c>
    </row>
    <row r="254" spans="1:8" ht="37.799999999999997" x14ac:dyDescent="0.45">
      <c r="A254" s="171" t="s">
        <v>1545</v>
      </c>
      <c r="B254" s="171"/>
      <c r="C254" s="106" t="s">
        <v>1043</v>
      </c>
      <c r="D254" s="106" t="s">
        <v>864</v>
      </c>
      <c r="E254" s="166"/>
      <c r="F254" s="171" t="s">
        <v>472</v>
      </c>
      <c r="G254" s="171">
        <v>10</v>
      </c>
      <c r="H254" s="168">
        <f t="shared" si="8"/>
        <v>0</v>
      </c>
    </row>
    <row r="255" spans="1:8" ht="37.799999999999997" x14ac:dyDescent="0.45">
      <c r="A255" s="171" t="s">
        <v>1546</v>
      </c>
      <c r="B255" s="171"/>
      <c r="C255" s="106" t="s">
        <v>1045</v>
      </c>
      <c r="D255" s="106" t="s">
        <v>864</v>
      </c>
      <c r="E255" s="166"/>
      <c r="F255" s="171" t="s">
        <v>472</v>
      </c>
      <c r="G255" s="171">
        <v>10</v>
      </c>
      <c r="H255" s="168">
        <f t="shared" si="8"/>
        <v>0</v>
      </c>
    </row>
    <row r="256" spans="1:8" ht="50.4" x14ac:dyDescent="0.45">
      <c r="A256" s="171" t="s">
        <v>1547</v>
      </c>
      <c r="B256" s="171"/>
      <c r="C256" s="106" t="s">
        <v>1047</v>
      </c>
      <c r="D256" s="106" t="s">
        <v>864</v>
      </c>
      <c r="E256" s="166"/>
      <c r="F256" s="171" t="s">
        <v>472</v>
      </c>
      <c r="G256" s="171">
        <v>10</v>
      </c>
      <c r="H256" s="168">
        <f t="shared" si="8"/>
        <v>0</v>
      </c>
    </row>
    <row r="257" spans="1:8" ht="37.799999999999997" x14ac:dyDescent="0.45">
      <c r="A257" s="171" t="s">
        <v>1548</v>
      </c>
      <c r="B257" s="171"/>
      <c r="C257" s="106" t="s">
        <v>1049</v>
      </c>
      <c r="D257" s="106" t="s">
        <v>864</v>
      </c>
      <c r="E257" s="166"/>
      <c r="F257" s="171" t="s">
        <v>472</v>
      </c>
      <c r="G257" s="171">
        <v>10</v>
      </c>
      <c r="H257" s="168">
        <f t="shared" si="8"/>
        <v>0</v>
      </c>
    </row>
    <row r="258" spans="1:8" ht="37.799999999999997" x14ac:dyDescent="0.45">
      <c r="A258" s="171" t="s">
        <v>1549</v>
      </c>
      <c r="B258" s="171"/>
      <c r="C258" s="106" t="s">
        <v>1051</v>
      </c>
      <c r="D258" s="106" t="s">
        <v>864</v>
      </c>
      <c r="E258" s="166"/>
      <c r="F258" s="171" t="s">
        <v>472</v>
      </c>
      <c r="G258" s="171">
        <v>10</v>
      </c>
      <c r="H258" s="168">
        <f t="shared" si="8"/>
        <v>0</v>
      </c>
    </row>
    <row r="259" spans="1:8" x14ac:dyDescent="0.45">
      <c r="A259" s="118" t="s">
        <v>1550</v>
      </c>
      <c r="B259" s="184" t="s">
        <v>180</v>
      </c>
      <c r="D259" s="120"/>
      <c r="E259" s="142"/>
      <c r="F259" s="171"/>
      <c r="G259" s="172"/>
      <c r="H259" s="168"/>
    </row>
    <row r="260" spans="1:8" ht="13" customHeight="1" x14ac:dyDescent="0.45">
      <c r="A260" s="310"/>
      <c r="B260" s="426" t="s">
        <v>1053</v>
      </c>
      <c r="C260" s="427"/>
      <c r="D260" s="428"/>
      <c r="E260" s="159"/>
      <c r="F260" s="161"/>
      <c r="G260" s="210"/>
      <c r="H260" s="163"/>
    </row>
    <row r="261" spans="1:8" ht="75.599999999999994" x14ac:dyDescent="0.45">
      <c r="A261" s="171" t="s">
        <v>1551</v>
      </c>
      <c r="B261" s="171"/>
      <c r="C261" s="106" t="s">
        <v>1055</v>
      </c>
      <c r="D261" s="106" t="s">
        <v>1056</v>
      </c>
      <c r="E261" s="166"/>
      <c r="F261" s="171" t="s">
        <v>633</v>
      </c>
      <c r="G261" s="172">
        <v>2500</v>
      </c>
      <c r="H261" s="168">
        <f>SUM(E261)*G261</f>
        <v>0</v>
      </c>
    </row>
    <row r="262" spans="1:8" ht="50.4" x14ac:dyDescent="0.45">
      <c r="A262" s="171" t="s">
        <v>1552</v>
      </c>
      <c r="B262" s="171"/>
      <c r="C262" s="106" t="s">
        <v>1058</v>
      </c>
      <c r="D262" s="106" t="s">
        <v>1059</v>
      </c>
      <c r="E262" s="166"/>
      <c r="F262" s="171" t="s">
        <v>633</v>
      </c>
      <c r="G262" s="172">
        <v>2500</v>
      </c>
      <c r="H262" s="168">
        <f>SUM(E262)*G262</f>
        <v>0</v>
      </c>
    </row>
    <row r="263" spans="1:8" ht="37.799999999999997" x14ac:dyDescent="0.45">
      <c r="A263" s="171" t="s">
        <v>1553</v>
      </c>
      <c r="B263" s="171"/>
      <c r="C263" s="106" t="s">
        <v>1061</v>
      </c>
      <c r="D263" s="106" t="s">
        <v>1062</v>
      </c>
      <c r="E263" s="190"/>
      <c r="F263" s="171" t="s">
        <v>1063</v>
      </c>
      <c r="G263" s="172" t="s">
        <v>1064</v>
      </c>
      <c r="H263" s="168">
        <v>100000</v>
      </c>
    </row>
    <row r="264" spans="1:8" x14ac:dyDescent="0.45">
      <c r="A264" s="191"/>
      <c r="B264" s="191"/>
      <c r="C264" s="192"/>
      <c r="D264" s="193"/>
      <c r="E264" s="194"/>
      <c r="F264" s="193"/>
      <c r="G264" s="195"/>
      <c r="H264" s="168"/>
    </row>
    <row r="265" spans="1:8" ht="7.5" customHeight="1" x14ac:dyDescent="0.45">
      <c r="A265" s="154"/>
      <c r="B265" s="154"/>
      <c r="C265" s="155"/>
      <c r="D265" s="155"/>
      <c r="E265" s="156"/>
      <c r="F265" s="155"/>
      <c r="G265" s="157"/>
      <c r="H265" s="158"/>
    </row>
    <row r="266" spans="1:8" ht="13.2" customHeight="1" x14ac:dyDescent="0.45">
      <c r="A266" s="411" t="s">
        <v>1554</v>
      </c>
      <c r="B266" s="412"/>
      <c r="C266" s="412"/>
      <c r="D266" s="412"/>
      <c r="E266" s="412"/>
      <c r="F266" s="412"/>
      <c r="G266" s="196"/>
      <c r="H266" s="197">
        <f>SUM(H15:H263)</f>
        <v>100000</v>
      </c>
    </row>
    <row r="267" spans="1:8" ht="7.5" customHeight="1" x14ac:dyDescent="0.45">
      <c r="A267" s="154"/>
      <c r="B267" s="154"/>
      <c r="C267" s="155"/>
      <c r="D267" s="155"/>
      <c r="E267" s="156"/>
      <c r="F267" s="155"/>
      <c r="G267" s="157"/>
      <c r="H267" s="158"/>
    </row>
  </sheetData>
  <mergeCells count="13">
    <mergeCell ref="A266:F266"/>
    <mergeCell ref="A7:H7"/>
    <mergeCell ref="A8:H8"/>
    <mergeCell ref="A9:H9"/>
    <mergeCell ref="A10:H10"/>
    <mergeCell ref="A12:D12"/>
    <mergeCell ref="B260:D260"/>
    <mergeCell ref="A6:H6"/>
    <mergeCell ref="A1:H1"/>
    <mergeCell ref="A2:H2"/>
    <mergeCell ref="A3:H3"/>
    <mergeCell ref="A4:H4"/>
    <mergeCell ref="A5:H5"/>
  </mergeCells>
  <printOptions horizontalCentered="1"/>
  <pageMargins left="0.28000000000000003" right="0.23" top="0.51" bottom="0.56000000000000005" header="0.3" footer="0.31"/>
  <pageSetup scale="80" orientation="landscape" horizontalDpi="4294967293" r:id="rId1"/>
  <headerFooter alignWithMargins="0">
    <oddFooter>&amp;C&amp;"Times New Roman,Regular"Page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4563D-C949-4998-A655-8B6A048BE966}">
  <sheetPr>
    <tabColor rgb="FFFFFFCC"/>
  </sheetPr>
  <dimension ref="A1:XFB471"/>
  <sheetViews>
    <sheetView zoomScaleNormal="100" zoomScaleSheetLayoutView="100" workbookViewId="0">
      <selection activeCell="A11" sqref="A11"/>
    </sheetView>
  </sheetViews>
  <sheetFormatPr defaultColWidth="9.05859375" defaultRowHeight="12.6" x14ac:dyDescent="0.45"/>
  <cols>
    <col min="1" max="1" width="9.5859375" style="1" customWidth="1"/>
    <col min="2" max="3" width="9.8203125" style="105" customWidth="1"/>
    <col min="4" max="4" width="49.5859375" style="140" customWidth="1"/>
    <col min="5" max="6" width="9.5859375" style="105" customWidth="1"/>
    <col min="7" max="7" width="13.5859375" style="141" customWidth="1"/>
    <col min="8" max="8" width="17.5859375" style="141" customWidth="1"/>
    <col min="9" max="108" width="8.8203125" style="1" customWidth="1"/>
    <col min="109" max="16384" width="9.05859375" style="1"/>
  </cols>
  <sheetData>
    <row r="1" spans="1:16382" x14ac:dyDescent="0.45">
      <c r="A1" s="390" t="s">
        <v>4992</v>
      </c>
      <c r="B1" s="390"/>
      <c r="C1" s="390"/>
      <c r="D1" s="390"/>
      <c r="E1" s="390"/>
      <c r="F1" s="390"/>
      <c r="G1" s="390"/>
      <c r="H1" s="390"/>
      <c r="I1" s="392"/>
      <c r="J1" s="392"/>
      <c r="K1" s="392"/>
      <c r="L1" s="392"/>
      <c r="M1" s="392"/>
      <c r="N1" s="392"/>
    </row>
    <row r="2" spans="1:16382" x14ac:dyDescent="0.45">
      <c r="A2" s="390" t="s">
        <v>0</v>
      </c>
      <c r="B2" s="390"/>
      <c r="C2" s="390"/>
      <c r="D2" s="390"/>
      <c r="E2" s="390"/>
      <c r="F2" s="390"/>
      <c r="G2" s="390"/>
      <c r="H2" s="390"/>
      <c r="I2" s="392"/>
      <c r="J2" s="392"/>
      <c r="K2" s="392"/>
      <c r="L2" s="392"/>
      <c r="M2" s="392"/>
      <c r="N2" s="392"/>
    </row>
    <row r="3" spans="1:16382" x14ac:dyDescent="0.45">
      <c r="A3" s="390" t="s">
        <v>4991</v>
      </c>
      <c r="B3" s="390"/>
      <c r="C3" s="390"/>
      <c r="D3" s="390"/>
      <c r="E3" s="390"/>
      <c r="F3" s="390"/>
      <c r="G3" s="390"/>
      <c r="H3" s="390"/>
      <c r="I3" s="392"/>
      <c r="J3" s="392"/>
      <c r="K3" s="392"/>
      <c r="L3" s="392"/>
      <c r="M3" s="392"/>
      <c r="N3" s="392"/>
    </row>
    <row r="4" spans="1:16382" x14ac:dyDescent="0.45">
      <c r="A4" s="390"/>
      <c r="B4" s="390"/>
      <c r="C4" s="390"/>
      <c r="D4" s="391"/>
      <c r="E4" s="391"/>
      <c r="F4" s="391"/>
      <c r="G4" s="391"/>
      <c r="H4" s="391"/>
    </row>
    <row r="5" spans="1:16382" x14ac:dyDescent="0.45">
      <c r="A5" s="390" t="s">
        <v>4994</v>
      </c>
      <c r="B5" s="390"/>
      <c r="C5" s="390"/>
      <c r="D5" s="390"/>
      <c r="E5" s="390"/>
      <c r="F5" s="390"/>
      <c r="G5" s="390"/>
      <c r="H5" s="390"/>
      <c r="I5" s="390"/>
      <c r="J5" s="390"/>
      <c r="K5" s="390"/>
      <c r="L5" s="390"/>
      <c r="M5" s="390"/>
      <c r="N5" s="390"/>
      <c r="O5" s="390"/>
      <c r="P5" s="390"/>
      <c r="Q5" s="390"/>
      <c r="R5" s="390"/>
      <c r="S5" s="390"/>
      <c r="T5" s="390"/>
      <c r="U5" s="390"/>
      <c r="V5" s="390"/>
      <c r="W5" s="390"/>
      <c r="X5" s="390"/>
      <c r="Y5" s="390"/>
      <c r="Z5" s="390"/>
      <c r="AA5" s="390"/>
      <c r="AB5" s="390"/>
      <c r="AC5" s="390"/>
      <c r="AD5" s="390"/>
      <c r="AE5" s="390"/>
      <c r="AF5" s="390"/>
      <c r="AG5" s="390"/>
      <c r="AH5" s="390"/>
      <c r="AI5" s="390"/>
      <c r="AJ5" s="390"/>
      <c r="AK5" s="390"/>
      <c r="AL5" s="390"/>
      <c r="AM5" s="390"/>
      <c r="AN5" s="390"/>
      <c r="AO5" s="390"/>
      <c r="AP5" s="390"/>
      <c r="AQ5" s="390"/>
      <c r="AR5" s="390"/>
      <c r="AS5" s="390"/>
      <c r="AT5" s="390"/>
      <c r="AU5" s="390"/>
      <c r="AV5" s="390"/>
      <c r="AW5" s="390"/>
      <c r="AX5" s="390"/>
      <c r="AY5" s="390"/>
      <c r="AZ5" s="390"/>
      <c r="BA5" s="390"/>
      <c r="BB5" s="390"/>
      <c r="BC5" s="390"/>
      <c r="BD5" s="390"/>
      <c r="BE5" s="390"/>
      <c r="BF5" s="390"/>
      <c r="BG5" s="390"/>
      <c r="BH5" s="390"/>
      <c r="BI5" s="390"/>
      <c r="BJ5" s="390"/>
      <c r="BK5" s="390"/>
      <c r="BL5" s="390"/>
      <c r="BM5" s="390"/>
      <c r="BN5" s="390"/>
      <c r="BO5" s="390"/>
      <c r="BP5" s="390"/>
      <c r="BQ5" s="390"/>
      <c r="BR5" s="390"/>
      <c r="BS5" s="390"/>
      <c r="BT5" s="390"/>
      <c r="BU5" s="390"/>
      <c r="BV5" s="390"/>
      <c r="BW5" s="390"/>
      <c r="BX5" s="390"/>
      <c r="BY5" s="390"/>
      <c r="BZ5" s="390"/>
      <c r="CA5" s="390"/>
      <c r="CB5" s="390"/>
      <c r="CC5" s="390"/>
      <c r="CD5" s="390"/>
      <c r="CE5" s="390"/>
      <c r="CF5" s="390"/>
      <c r="CG5" s="390"/>
      <c r="CH5" s="390"/>
      <c r="CI5" s="390"/>
      <c r="CJ5" s="390"/>
      <c r="CK5" s="390"/>
      <c r="CL5" s="390"/>
      <c r="CM5" s="390"/>
      <c r="CN5" s="390"/>
      <c r="CO5" s="390"/>
      <c r="CP5" s="390"/>
      <c r="CQ5" s="390"/>
      <c r="CR5" s="390"/>
      <c r="CS5" s="390"/>
      <c r="CT5" s="390"/>
      <c r="CU5" s="390"/>
      <c r="CV5" s="390"/>
      <c r="CW5" s="390"/>
      <c r="CX5" s="390"/>
      <c r="CY5" s="390"/>
      <c r="CZ5" s="390"/>
      <c r="DA5" s="390"/>
      <c r="DB5" s="390"/>
      <c r="DC5" s="390"/>
      <c r="DD5" s="390"/>
      <c r="DE5" s="390"/>
      <c r="DF5" s="390"/>
      <c r="DG5" s="390"/>
      <c r="DH5" s="390"/>
      <c r="DI5" s="390"/>
      <c r="DJ5" s="390"/>
      <c r="DK5" s="390"/>
      <c r="DL5" s="390"/>
      <c r="DM5" s="390"/>
      <c r="DN5" s="390"/>
      <c r="DO5" s="390"/>
      <c r="DP5" s="390"/>
      <c r="DQ5" s="390"/>
      <c r="DR5" s="390"/>
      <c r="DS5" s="390"/>
      <c r="DT5" s="390"/>
      <c r="DU5" s="390"/>
      <c r="DV5" s="390"/>
      <c r="DW5" s="390"/>
      <c r="DX5" s="390"/>
      <c r="DY5" s="390"/>
      <c r="DZ5" s="390"/>
      <c r="EA5" s="390"/>
      <c r="EB5" s="390"/>
      <c r="EC5" s="390"/>
      <c r="ED5" s="390"/>
      <c r="EE5" s="390"/>
      <c r="EF5" s="390"/>
      <c r="EG5" s="390"/>
      <c r="EH5" s="390"/>
      <c r="EI5" s="390"/>
      <c r="EJ5" s="390"/>
      <c r="EK5" s="390"/>
      <c r="EL5" s="390"/>
      <c r="EM5" s="390"/>
      <c r="EN5" s="390"/>
      <c r="EO5" s="390"/>
      <c r="EP5" s="390"/>
      <c r="EQ5" s="390"/>
      <c r="ER5" s="390"/>
      <c r="ES5" s="390"/>
      <c r="ET5" s="390"/>
      <c r="EU5" s="390"/>
      <c r="EV5" s="390"/>
      <c r="EW5" s="390"/>
      <c r="EX5" s="390"/>
      <c r="EY5" s="390"/>
      <c r="EZ5" s="390"/>
      <c r="FA5" s="390"/>
      <c r="FB5" s="390"/>
      <c r="FC5" s="390"/>
      <c r="FD5" s="390"/>
      <c r="FE5" s="390"/>
      <c r="FF5" s="390"/>
      <c r="FG5" s="390"/>
      <c r="FH5" s="390"/>
      <c r="FI5" s="390"/>
      <c r="FJ5" s="390"/>
      <c r="FK5" s="390"/>
      <c r="FL5" s="390"/>
      <c r="FM5" s="390"/>
      <c r="FN5" s="390"/>
      <c r="FO5" s="390"/>
      <c r="FP5" s="390"/>
      <c r="FQ5" s="390"/>
      <c r="FR5" s="390"/>
      <c r="FS5" s="390"/>
      <c r="FT5" s="390"/>
      <c r="FU5" s="390"/>
      <c r="FV5" s="390"/>
      <c r="FW5" s="390"/>
      <c r="FX5" s="390"/>
      <c r="FY5" s="390"/>
      <c r="FZ5" s="390"/>
      <c r="GA5" s="390"/>
      <c r="GB5" s="390"/>
      <c r="GC5" s="390"/>
      <c r="GD5" s="390"/>
      <c r="GE5" s="390"/>
      <c r="GF5" s="390"/>
      <c r="GG5" s="390"/>
      <c r="GH5" s="390"/>
      <c r="GI5" s="390"/>
      <c r="GJ5" s="390"/>
      <c r="GK5" s="390"/>
      <c r="GL5" s="390"/>
      <c r="GM5" s="390"/>
      <c r="GN5" s="390"/>
      <c r="GO5" s="390"/>
      <c r="GP5" s="390"/>
      <c r="GQ5" s="390"/>
      <c r="GR5" s="390"/>
      <c r="GS5" s="390"/>
      <c r="GT5" s="390"/>
      <c r="GU5" s="390"/>
      <c r="GV5" s="390"/>
      <c r="GW5" s="390"/>
      <c r="GX5" s="390"/>
      <c r="GY5" s="390"/>
      <c r="GZ5" s="390"/>
      <c r="HA5" s="390"/>
      <c r="HB5" s="390"/>
      <c r="HC5" s="390"/>
      <c r="HD5" s="390"/>
      <c r="HE5" s="390"/>
      <c r="HF5" s="390"/>
      <c r="HG5" s="390"/>
      <c r="HH5" s="390"/>
      <c r="HI5" s="390"/>
      <c r="HJ5" s="390"/>
      <c r="HK5" s="390"/>
      <c r="HL5" s="390"/>
      <c r="HM5" s="390"/>
      <c r="HN5" s="390"/>
      <c r="HO5" s="390"/>
      <c r="HP5" s="390"/>
      <c r="HQ5" s="390"/>
      <c r="HR5" s="390"/>
      <c r="HS5" s="390"/>
      <c r="HT5" s="390"/>
      <c r="HU5" s="390"/>
      <c r="HV5" s="390"/>
      <c r="HW5" s="390"/>
      <c r="HX5" s="390"/>
      <c r="HY5" s="390"/>
      <c r="HZ5" s="390"/>
      <c r="IA5" s="390"/>
      <c r="IB5" s="390"/>
      <c r="IC5" s="390"/>
      <c r="ID5" s="390"/>
      <c r="IE5" s="390"/>
      <c r="IF5" s="390"/>
      <c r="IG5" s="390"/>
      <c r="IH5" s="390"/>
      <c r="II5" s="390"/>
      <c r="IJ5" s="390"/>
      <c r="IK5" s="390"/>
      <c r="IL5" s="390"/>
      <c r="IM5" s="390"/>
      <c r="IN5" s="390"/>
      <c r="IO5" s="390"/>
      <c r="IP5" s="390"/>
      <c r="IQ5" s="390"/>
      <c r="IR5" s="390"/>
      <c r="IS5" s="390"/>
      <c r="IT5" s="390"/>
      <c r="IU5" s="390"/>
      <c r="IV5" s="390"/>
      <c r="IW5" s="390"/>
      <c r="IX5" s="390"/>
      <c r="IY5" s="390"/>
      <c r="IZ5" s="390"/>
      <c r="JA5" s="390"/>
      <c r="JB5" s="390"/>
      <c r="JC5" s="390"/>
      <c r="JD5" s="390"/>
      <c r="JE5" s="390"/>
      <c r="JF5" s="390"/>
      <c r="JG5" s="390"/>
      <c r="JH5" s="390"/>
      <c r="JI5" s="390"/>
      <c r="JJ5" s="390"/>
      <c r="JK5" s="390"/>
      <c r="JL5" s="390"/>
      <c r="JM5" s="390"/>
      <c r="JN5" s="390"/>
      <c r="JO5" s="390"/>
      <c r="JP5" s="390"/>
      <c r="JQ5" s="390"/>
      <c r="JR5" s="390"/>
      <c r="JS5" s="390"/>
      <c r="JT5" s="390"/>
      <c r="JU5" s="390"/>
      <c r="JV5" s="390"/>
      <c r="JW5" s="390"/>
      <c r="JX5" s="390"/>
      <c r="JY5" s="390"/>
      <c r="JZ5" s="390"/>
      <c r="KA5" s="390"/>
      <c r="KB5" s="390"/>
      <c r="KC5" s="390"/>
      <c r="KD5" s="390"/>
      <c r="KE5" s="390"/>
      <c r="KF5" s="390"/>
      <c r="KG5" s="390"/>
      <c r="KH5" s="390"/>
      <c r="KI5" s="390"/>
      <c r="KJ5" s="390"/>
      <c r="KK5" s="390"/>
      <c r="KL5" s="390"/>
      <c r="KM5" s="390"/>
      <c r="KN5" s="390"/>
      <c r="KO5" s="390"/>
      <c r="KP5" s="390"/>
      <c r="KQ5" s="390"/>
      <c r="KR5" s="390"/>
      <c r="KS5" s="390"/>
      <c r="KT5" s="390"/>
      <c r="KU5" s="390"/>
      <c r="KV5" s="390"/>
      <c r="KW5" s="390"/>
      <c r="KX5" s="390"/>
      <c r="KY5" s="390"/>
      <c r="KZ5" s="390"/>
      <c r="LA5" s="390"/>
      <c r="LB5" s="390"/>
      <c r="LC5" s="390"/>
      <c r="LD5" s="390"/>
      <c r="LE5" s="390"/>
      <c r="LF5" s="390"/>
      <c r="LG5" s="390"/>
      <c r="LH5" s="390"/>
      <c r="LI5" s="390"/>
      <c r="LJ5" s="390"/>
      <c r="LK5" s="390"/>
      <c r="LL5" s="390"/>
      <c r="LM5" s="390"/>
      <c r="LN5" s="390"/>
      <c r="LO5" s="390"/>
      <c r="LP5" s="390"/>
      <c r="LQ5" s="390"/>
      <c r="LR5" s="390"/>
      <c r="LS5" s="390"/>
      <c r="LT5" s="390"/>
      <c r="LU5" s="390"/>
      <c r="LV5" s="390"/>
      <c r="LW5" s="390"/>
      <c r="LX5" s="390"/>
      <c r="LY5" s="390"/>
      <c r="LZ5" s="390"/>
      <c r="MA5" s="390"/>
      <c r="MB5" s="390"/>
      <c r="MC5" s="390"/>
      <c r="MD5" s="390"/>
      <c r="ME5" s="390"/>
      <c r="MF5" s="390"/>
      <c r="MG5" s="390"/>
      <c r="MH5" s="390"/>
      <c r="MI5" s="390"/>
      <c r="MJ5" s="390"/>
      <c r="MK5" s="390"/>
      <c r="ML5" s="390"/>
      <c r="MM5" s="390"/>
      <c r="MN5" s="390"/>
      <c r="MO5" s="390"/>
      <c r="MP5" s="390"/>
      <c r="MQ5" s="390"/>
      <c r="MR5" s="390"/>
      <c r="MS5" s="390"/>
      <c r="MT5" s="390"/>
      <c r="MU5" s="390"/>
      <c r="MV5" s="390"/>
      <c r="MW5" s="390"/>
      <c r="MX5" s="390"/>
      <c r="MY5" s="390"/>
      <c r="MZ5" s="390"/>
      <c r="NA5" s="390"/>
      <c r="NB5" s="390"/>
      <c r="NC5" s="390"/>
      <c r="ND5" s="390"/>
      <c r="NE5" s="390"/>
      <c r="NF5" s="390"/>
      <c r="NG5" s="390"/>
      <c r="NH5" s="390"/>
      <c r="NI5" s="390"/>
      <c r="NJ5" s="390"/>
      <c r="NK5" s="390"/>
      <c r="NL5" s="390"/>
      <c r="NM5" s="390"/>
      <c r="NN5" s="390"/>
      <c r="NO5" s="390"/>
      <c r="NP5" s="390"/>
      <c r="NQ5" s="390"/>
      <c r="NR5" s="390"/>
      <c r="NS5" s="390"/>
      <c r="NT5" s="390"/>
      <c r="NU5" s="390"/>
      <c r="NV5" s="390"/>
      <c r="NW5" s="390"/>
      <c r="NX5" s="390"/>
      <c r="NY5" s="390"/>
      <c r="NZ5" s="390"/>
      <c r="OA5" s="390"/>
      <c r="OB5" s="390"/>
      <c r="OC5" s="390"/>
      <c r="OD5" s="390"/>
      <c r="OE5" s="390"/>
      <c r="OF5" s="390"/>
      <c r="OG5" s="390"/>
      <c r="OH5" s="390"/>
      <c r="OI5" s="390"/>
      <c r="OJ5" s="390"/>
      <c r="OK5" s="390"/>
      <c r="OL5" s="390"/>
      <c r="OM5" s="390"/>
      <c r="ON5" s="390"/>
      <c r="OO5" s="390"/>
      <c r="OP5" s="390"/>
      <c r="OQ5" s="390"/>
      <c r="OR5" s="390"/>
      <c r="OS5" s="390"/>
      <c r="OT5" s="390"/>
      <c r="OU5" s="390"/>
      <c r="OV5" s="390"/>
      <c r="OW5" s="390"/>
      <c r="OX5" s="390"/>
      <c r="OY5" s="390"/>
      <c r="OZ5" s="390"/>
      <c r="PA5" s="390"/>
      <c r="PB5" s="390"/>
      <c r="PC5" s="390"/>
      <c r="PD5" s="390"/>
      <c r="PE5" s="390"/>
      <c r="PF5" s="390"/>
      <c r="PG5" s="390"/>
      <c r="PH5" s="390"/>
      <c r="PI5" s="390"/>
      <c r="PJ5" s="390"/>
      <c r="PK5" s="390"/>
      <c r="PL5" s="390"/>
      <c r="PM5" s="390"/>
      <c r="PN5" s="390"/>
      <c r="PO5" s="390"/>
      <c r="PP5" s="390"/>
      <c r="PQ5" s="390"/>
      <c r="PR5" s="390"/>
      <c r="PS5" s="390"/>
      <c r="PT5" s="390"/>
      <c r="PU5" s="390"/>
      <c r="PV5" s="390"/>
      <c r="PW5" s="390"/>
      <c r="PX5" s="390"/>
      <c r="PY5" s="390"/>
      <c r="PZ5" s="390"/>
      <c r="QA5" s="390"/>
      <c r="QB5" s="390"/>
      <c r="QC5" s="390"/>
      <c r="QD5" s="390"/>
      <c r="QE5" s="390"/>
      <c r="QF5" s="390"/>
      <c r="QG5" s="390"/>
      <c r="QH5" s="390"/>
      <c r="QI5" s="390"/>
      <c r="QJ5" s="390"/>
      <c r="QK5" s="390"/>
      <c r="QL5" s="390"/>
      <c r="QM5" s="390"/>
      <c r="QN5" s="390"/>
      <c r="QO5" s="390"/>
      <c r="QP5" s="390"/>
      <c r="QQ5" s="390"/>
      <c r="QR5" s="390"/>
      <c r="QS5" s="390"/>
      <c r="QT5" s="390"/>
      <c r="QU5" s="390"/>
      <c r="QV5" s="390"/>
      <c r="QW5" s="390"/>
      <c r="QX5" s="390"/>
      <c r="QY5" s="390"/>
      <c r="QZ5" s="390"/>
      <c r="RA5" s="390"/>
      <c r="RB5" s="390"/>
      <c r="RC5" s="390"/>
      <c r="RD5" s="390"/>
      <c r="RE5" s="390"/>
      <c r="RF5" s="390"/>
      <c r="RG5" s="390"/>
      <c r="RH5" s="390"/>
      <c r="RI5" s="390"/>
      <c r="RJ5" s="390"/>
      <c r="RK5" s="390"/>
      <c r="RL5" s="390"/>
      <c r="RM5" s="390"/>
      <c r="RN5" s="390"/>
      <c r="RO5" s="390"/>
      <c r="RP5" s="390"/>
      <c r="RQ5" s="390"/>
      <c r="RR5" s="390"/>
      <c r="RS5" s="390"/>
      <c r="RT5" s="390"/>
      <c r="RU5" s="390"/>
      <c r="RV5" s="390"/>
      <c r="RW5" s="390"/>
      <c r="RX5" s="390"/>
      <c r="RY5" s="390"/>
      <c r="RZ5" s="390"/>
      <c r="SA5" s="390"/>
      <c r="SB5" s="390"/>
      <c r="SC5" s="390"/>
      <c r="SD5" s="390"/>
      <c r="SE5" s="390"/>
      <c r="SF5" s="390"/>
      <c r="SG5" s="390"/>
      <c r="SH5" s="390"/>
      <c r="SI5" s="390"/>
      <c r="SJ5" s="390"/>
      <c r="SK5" s="390"/>
      <c r="SL5" s="390"/>
      <c r="SM5" s="390"/>
      <c r="SN5" s="390"/>
      <c r="SO5" s="390"/>
      <c r="SP5" s="390"/>
      <c r="SQ5" s="390"/>
      <c r="SR5" s="390"/>
      <c r="SS5" s="390"/>
      <c r="ST5" s="390"/>
      <c r="SU5" s="390"/>
      <c r="SV5" s="390"/>
      <c r="SW5" s="390"/>
      <c r="SX5" s="390"/>
      <c r="SY5" s="390"/>
      <c r="SZ5" s="390"/>
      <c r="TA5" s="390"/>
      <c r="TB5" s="390"/>
      <c r="TC5" s="390"/>
      <c r="TD5" s="390"/>
      <c r="TE5" s="390"/>
      <c r="TF5" s="390"/>
      <c r="TG5" s="390"/>
      <c r="TH5" s="390"/>
      <c r="TI5" s="390"/>
      <c r="TJ5" s="390"/>
      <c r="TK5" s="390"/>
      <c r="TL5" s="390"/>
      <c r="TM5" s="390"/>
      <c r="TN5" s="390"/>
      <c r="TO5" s="390"/>
      <c r="TP5" s="390"/>
      <c r="TQ5" s="390"/>
      <c r="TR5" s="390"/>
      <c r="TS5" s="390"/>
      <c r="TT5" s="390"/>
      <c r="TU5" s="390"/>
      <c r="TV5" s="390"/>
      <c r="TW5" s="390"/>
      <c r="TX5" s="390"/>
      <c r="TY5" s="390"/>
      <c r="TZ5" s="390"/>
      <c r="UA5" s="390"/>
      <c r="UB5" s="390"/>
      <c r="UC5" s="390"/>
      <c r="UD5" s="390"/>
      <c r="UE5" s="390"/>
      <c r="UF5" s="390"/>
      <c r="UG5" s="390"/>
      <c r="UH5" s="390"/>
      <c r="UI5" s="390"/>
      <c r="UJ5" s="390"/>
      <c r="UK5" s="390"/>
      <c r="UL5" s="390"/>
      <c r="UM5" s="390"/>
      <c r="UN5" s="390"/>
      <c r="UO5" s="390"/>
      <c r="UP5" s="390"/>
      <c r="UQ5" s="390"/>
      <c r="UR5" s="390"/>
      <c r="US5" s="390"/>
      <c r="UT5" s="390"/>
      <c r="UU5" s="390"/>
      <c r="UV5" s="390"/>
      <c r="UW5" s="390"/>
      <c r="UX5" s="390"/>
      <c r="UY5" s="390"/>
      <c r="UZ5" s="390"/>
      <c r="VA5" s="390"/>
      <c r="VB5" s="390"/>
      <c r="VC5" s="390"/>
      <c r="VD5" s="390"/>
      <c r="VE5" s="390"/>
      <c r="VF5" s="390"/>
      <c r="VG5" s="390"/>
      <c r="VH5" s="390"/>
      <c r="VI5" s="390"/>
      <c r="VJ5" s="390"/>
      <c r="VK5" s="390"/>
      <c r="VL5" s="390"/>
      <c r="VM5" s="390"/>
      <c r="VN5" s="390"/>
      <c r="VO5" s="390"/>
      <c r="VP5" s="390"/>
      <c r="VQ5" s="390"/>
      <c r="VR5" s="390"/>
      <c r="VS5" s="390"/>
      <c r="VT5" s="390"/>
      <c r="VU5" s="390"/>
      <c r="VV5" s="390"/>
      <c r="VW5" s="390"/>
      <c r="VX5" s="390"/>
      <c r="VY5" s="390"/>
      <c r="VZ5" s="390"/>
      <c r="WA5" s="390"/>
      <c r="WB5" s="390"/>
      <c r="WC5" s="390"/>
      <c r="WD5" s="390"/>
      <c r="WE5" s="390"/>
      <c r="WF5" s="390"/>
      <c r="WG5" s="390"/>
      <c r="WH5" s="390"/>
      <c r="WI5" s="390"/>
      <c r="WJ5" s="390"/>
      <c r="WK5" s="390"/>
      <c r="WL5" s="390"/>
      <c r="WM5" s="390"/>
      <c r="WN5" s="390"/>
      <c r="WO5" s="390"/>
      <c r="WP5" s="390"/>
      <c r="WQ5" s="390"/>
      <c r="WR5" s="390"/>
      <c r="WS5" s="390"/>
      <c r="WT5" s="390"/>
      <c r="WU5" s="390"/>
      <c r="WV5" s="390"/>
      <c r="WW5" s="390"/>
      <c r="WX5" s="390"/>
      <c r="WY5" s="390"/>
      <c r="WZ5" s="390"/>
      <c r="XA5" s="390"/>
      <c r="XB5" s="390"/>
      <c r="XC5" s="390"/>
      <c r="XD5" s="390"/>
      <c r="XE5" s="390"/>
      <c r="XF5" s="390"/>
      <c r="XG5" s="390"/>
      <c r="XH5" s="390"/>
      <c r="XI5" s="390"/>
      <c r="XJ5" s="390"/>
      <c r="XK5" s="390"/>
      <c r="XL5" s="390"/>
      <c r="XM5" s="390"/>
      <c r="XN5" s="390"/>
      <c r="XO5" s="390"/>
      <c r="XP5" s="390"/>
      <c r="XQ5" s="390"/>
      <c r="XR5" s="390"/>
      <c r="XS5" s="390"/>
      <c r="XT5" s="390"/>
      <c r="XU5" s="390"/>
      <c r="XV5" s="390"/>
      <c r="XW5" s="390"/>
      <c r="XX5" s="390"/>
      <c r="XY5" s="390"/>
      <c r="XZ5" s="390"/>
      <c r="YA5" s="390"/>
      <c r="YB5" s="390"/>
      <c r="YC5" s="390"/>
      <c r="YD5" s="390"/>
      <c r="YE5" s="390"/>
      <c r="YF5" s="390"/>
      <c r="YG5" s="390"/>
      <c r="YH5" s="390"/>
      <c r="YI5" s="390"/>
      <c r="YJ5" s="390"/>
      <c r="YK5" s="390"/>
      <c r="YL5" s="390"/>
      <c r="YM5" s="390"/>
      <c r="YN5" s="390"/>
      <c r="YO5" s="390"/>
      <c r="YP5" s="390"/>
      <c r="YQ5" s="390"/>
      <c r="YR5" s="390"/>
      <c r="YS5" s="390"/>
      <c r="YT5" s="390"/>
      <c r="YU5" s="390"/>
      <c r="YV5" s="390"/>
      <c r="YW5" s="390"/>
      <c r="YX5" s="390"/>
      <c r="YY5" s="390"/>
      <c r="YZ5" s="390"/>
      <c r="ZA5" s="390"/>
      <c r="ZB5" s="390"/>
      <c r="ZC5" s="390"/>
      <c r="ZD5" s="390"/>
      <c r="ZE5" s="390"/>
      <c r="ZF5" s="390"/>
      <c r="ZG5" s="390"/>
      <c r="ZH5" s="390"/>
      <c r="ZI5" s="390"/>
      <c r="ZJ5" s="390"/>
      <c r="ZK5" s="390"/>
      <c r="ZL5" s="390"/>
      <c r="ZM5" s="390"/>
      <c r="ZN5" s="390"/>
      <c r="ZO5" s="390"/>
      <c r="ZP5" s="390"/>
      <c r="ZQ5" s="390"/>
      <c r="ZR5" s="390"/>
      <c r="ZS5" s="390"/>
      <c r="ZT5" s="390"/>
      <c r="ZU5" s="390"/>
      <c r="ZV5" s="390"/>
      <c r="ZW5" s="390"/>
      <c r="ZX5" s="390"/>
      <c r="ZY5" s="390"/>
      <c r="ZZ5" s="390"/>
      <c r="AAA5" s="390"/>
      <c r="AAB5" s="390"/>
      <c r="AAC5" s="390"/>
      <c r="AAD5" s="390"/>
      <c r="AAE5" s="390"/>
      <c r="AAF5" s="390"/>
      <c r="AAG5" s="390"/>
      <c r="AAH5" s="390"/>
      <c r="AAI5" s="390"/>
      <c r="AAJ5" s="390"/>
      <c r="AAK5" s="390"/>
      <c r="AAL5" s="390"/>
      <c r="AAM5" s="390"/>
      <c r="AAN5" s="390"/>
      <c r="AAO5" s="390"/>
      <c r="AAP5" s="390"/>
      <c r="AAQ5" s="390"/>
      <c r="AAR5" s="390"/>
      <c r="AAS5" s="390"/>
      <c r="AAT5" s="390"/>
      <c r="AAU5" s="390"/>
      <c r="AAV5" s="390"/>
      <c r="AAW5" s="390"/>
      <c r="AAX5" s="390"/>
      <c r="AAY5" s="390"/>
      <c r="AAZ5" s="390"/>
      <c r="ABA5" s="390"/>
      <c r="ABB5" s="390"/>
      <c r="ABC5" s="390"/>
      <c r="ABD5" s="390"/>
      <c r="ABE5" s="390"/>
      <c r="ABF5" s="390"/>
      <c r="ABG5" s="390"/>
      <c r="ABH5" s="390"/>
      <c r="ABI5" s="390"/>
      <c r="ABJ5" s="390"/>
      <c r="ABK5" s="390"/>
      <c r="ABL5" s="390"/>
      <c r="ABM5" s="390"/>
      <c r="ABN5" s="390"/>
      <c r="ABO5" s="390"/>
      <c r="ABP5" s="390"/>
      <c r="ABQ5" s="390"/>
      <c r="ABR5" s="390"/>
      <c r="ABS5" s="390"/>
      <c r="ABT5" s="390"/>
      <c r="ABU5" s="390"/>
      <c r="ABV5" s="390"/>
      <c r="ABW5" s="390"/>
      <c r="ABX5" s="390"/>
      <c r="ABY5" s="390"/>
      <c r="ABZ5" s="390"/>
      <c r="ACA5" s="390"/>
      <c r="ACB5" s="390"/>
      <c r="ACC5" s="390"/>
      <c r="ACD5" s="390"/>
      <c r="ACE5" s="390"/>
      <c r="ACF5" s="390"/>
      <c r="ACG5" s="390"/>
      <c r="ACH5" s="390"/>
      <c r="ACI5" s="390"/>
      <c r="ACJ5" s="390"/>
      <c r="ACK5" s="390"/>
      <c r="ACL5" s="390"/>
      <c r="ACM5" s="390"/>
      <c r="ACN5" s="390"/>
      <c r="ACO5" s="390"/>
      <c r="ACP5" s="390"/>
      <c r="ACQ5" s="390"/>
      <c r="ACR5" s="390"/>
      <c r="ACS5" s="390"/>
      <c r="ACT5" s="390"/>
      <c r="ACU5" s="390"/>
      <c r="ACV5" s="390"/>
      <c r="ACW5" s="390"/>
      <c r="ACX5" s="390"/>
      <c r="ACY5" s="390"/>
      <c r="ACZ5" s="390"/>
      <c r="ADA5" s="390"/>
      <c r="ADB5" s="390"/>
      <c r="ADC5" s="390"/>
      <c r="ADD5" s="390"/>
      <c r="ADE5" s="390"/>
      <c r="ADF5" s="390"/>
      <c r="ADG5" s="390"/>
      <c r="ADH5" s="390"/>
      <c r="ADI5" s="390"/>
      <c r="ADJ5" s="390"/>
      <c r="ADK5" s="390"/>
      <c r="ADL5" s="390"/>
      <c r="ADM5" s="390"/>
      <c r="ADN5" s="390"/>
      <c r="ADO5" s="390"/>
      <c r="ADP5" s="390"/>
      <c r="ADQ5" s="390"/>
      <c r="ADR5" s="390"/>
      <c r="ADS5" s="390"/>
      <c r="ADT5" s="390"/>
      <c r="ADU5" s="390"/>
      <c r="ADV5" s="390"/>
      <c r="ADW5" s="390"/>
      <c r="ADX5" s="390"/>
      <c r="ADY5" s="390"/>
      <c r="ADZ5" s="390"/>
      <c r="AEA5" s="390"/>
      <c r="AEB5" s="390"/>
      <c r="AEC5" s="390"/>
      <c r="AED5" s="390"/>
      <c r="AEE5" s="390"/>
      <c r="AEF5" s="390"/>
      <c r="AEG5" s="390"/>
      <c r="AEH5" s="390"/>
      <c r="AEI5" s="390"/>
      <c r="AEJ5" s="390"/>
      <c r="AEK5" s="390"/>
      <c r="AEL5" s="390"/>
      <c r="AEM5" s="390"/>
      <c r="AEN5" s="390"/>
      <c r="AEO5" s="390"/>
      <c r="AEP5" s="390"/>
      <c r="AEQ5" s="390"/>
      <c r="AER5" s="390"/>
      <c r="AES5" s="390"/>
      <c r="AET5" s="390"/>
      <c r="AEU5" s="390"/>
      <c r="AEV5" s="390"/>
      <c r="AEW5" s="390"/>
      <c r="AEX5" s="390"/>
      <c r="AEY5" s="390"/>
      <c r="AEZ5" s="390"/>
      <c r="AFA5" s="390"/>
      <c r="AFB5" s="390"/>
      <c r="AFC5" s="390"/>
      <c r="AFD5" s="390"/>
      <c r="AFE5" s="390"/>
      <c r="AFF5" s="390"/>
      <c r="AFG5" s="390"/>
      <c r="AFH5" s="390"/>
      <c r="AFI5" s="390"/>
      <c r="AFJ5" s="390"/>
      <c r="AFK5" s="390"/>
      <c r="AFL5" s="390"/>
      <c r="AFM5" s="390"/>
      <c r="AFN5" s="390"/>
      <c r="AFO5" s="390"/>
      <c r="AFP5" s="390"/>
      <c r="AFQ5" s="390"/>
      <c r="AFR5" s="390"/>
      <c r="AFS5" s="390"/>
      <c r="AFT5" s="390"/>
      <c r="AFU5" s="390"/>
      <c r="AFV5" s="390"/>
      <c r="AFW5" s="390"/>
      <c r="AFX5" s="390"/>
      <c r="AFY5" s="390"/>
      <c r="AFZ5" s="390"/>
      <c r="AGA5" s="390"/>
      <c r="AGB5" s="390"/>
      <c r="AGC5" s="390"/>
      <c r="AGD5" s="390"/>
      <c r="AGE5" s="390"/>
      <c r="AGF5" s="390"/>
      <c r="AGG5" s="390"/>
      <c r="AGH5" s="390"/>
      <c r="AGI5" s="390"/>
      <c r="AGJ5" s="390"/>
      <c r="AGK5" s="390"/>
      <c r="AGL5" s="390"/>
      <c r="AGM5" s="390"/>
      <c r="AGN5" s="390"/>
      <c r="AGO5" s="390"/>
      <c r="AGP5" s="390"/>
      <c r="AGQ5" s="390"/>
      <c r="AGR5" s="390"/>
      <c r="AGS5" s="390"/>
      <c r="AGT5" s="390"/>
      <c r="AGU5" s="390"/>
      <c r="AGV5" s="390"/>
      <c r="AGW5" s="390"/>
      <c r="AGX5" s="390"/>
      <c r="AGY5" s="390"/>
      <c r="AGZ5" s="390"/>
      <c r="AHA5" s="390"/>
      <c r="AHB5" s="390"/>
      <c r="AHC5" s="390"/>
      <c r="AHD5" s="390"/>
      <c r="AHE5" s="390"/>
      <c r="AHF5" s="390"/>
      <c r="AHG5" s="390"/>
      <c r="AHH5" s="390"/>
      <c r="AHI5" s="390"/>
      <c r="AHJ5" s="390"/>
      <c r="AHK5" s="390"/>
      <c r="AHL5" s="390"/>
      <c r="AHM5" s="390"/>
      <c r="AHN5" s="390"/>
      <c r="AHO5" s="390"/>
      <c r="AHP5" s="390"/>
      <c r="AHQ5" s="390"/>
      <c r="AHR5" s="390"/>
      <c r="AHS5" s="390"/>
      <c r="AHT5" s="390"/>
      <c r="AHU5" s="390"/>
      <c r="AHV5" s="390"/>
      <c r="AHW5" s="390"/>
      <c r="AHX5" s="390"/>
      <c r="AHY5" s="390"/>
      <c r="AHZ5" s="390"/>
      <c r="AIA5" s="390"/>
      <c r="AIB5" s="390"/>
      <c r="AIC5" s="390"/>
      <c r="AID5" s="390"/>
      <c r="AIE5" s="390"/>
      <c r="AIF5" s="390"/>
      <c r="AIG5" s="390"/>
      <c r="AIH5" s="390"/>
      <c r="AII5" s="390"/>
      <c r="AIJ5" s="390"/>
      <c r="AIK5" s="390"/>
      <c r="AIL5" s="390"/>
      <c r="AIM5" s="390"/>
      <c r="AIN5" s="390"/>
      <c r="AIO5" s="390"/>
      <c r="AIP5" s="390"/>
      <c r="AIQ5" s="390"/>
      <c r="AIR5" s="390"/>
      <c r="AIS5" s="390"/>
      <c r="AIT5" s="390"/>
      <c r="AIU5" s="390"/>
      <c r="AIV5" s="390"/>
      <c r="AIW5" s="390"/>
      <c r="AIX5" s="390"/>
      <c r="AIY5" s="390"/>
      <c r="AIZ5" s="390"/>
      <c r="AJA5" s="390"/>
      <c r="AJB5" s="390"/>
      <c r="AJC5" s="390"/>
      <c r="AJD5" s="390"/>
      <c r="AJE5" s="390"/>
      <c r="AJF5" s="390"/>
      <c r="AJG5" s="390"/>
      <c r="AJH5" s="390"/>
      <c r="AJI5" s="390"/>
      <c r="AJJ5" s="390"/>
      <c r="AJK5" s="390"/>
      <c r="AJL5" s="390"/>
      <c r="AJM5" s="390"/>
      <c r="AJN5" s="390"/>
      <c r="AJO5" s="390"/>
      <c r="AJP5" s="390"/>
      <c r="AJQ5" s="390"/>
      <c r="AJR5" s="390"/>
      <c r="AJS5" s="390"/>
      <c r="AJT5" s="390"/>
      <c r="AJU5" s="390"/>
      <c r="AJV5" s="390"/>
      <c r="AJW5" s="390"/>
      <c r="AJX5" s="390"/>
      <c r="AJY5" s="390"/>
      <c r="AJZ5" s="390"/>
      <c r="AKA5" s="390"/>
      <c r="AKB5" s="390"/>
      <c r="AKC5" s="390"/>
      <c r="AKD5" s="390"/>
      <c r="AKE5" s="390"/>
      <c r="AKF5" s="390"/>
      <c r="AKG5" s="390"/>
      <c r="AKH5" s="390"/>
      <c r="AKI5" s="390"/>
      <c r="AKJ5" s="390"/>
      <c r="AKK5" s="390"/>
      <c r="AKL5" s="390"/>
      <c r="AKM5" s="390"/>
      <c r="AKN5" s="390"/>
      <c r="AKO5" s="390"/>
      <c r="AKP5" s="390"/>
      <c r="AKQ5" s="390"/>
      <c r="AKR5" s="390"/>
      <c r="AKS5" s="390"/>
      <c r="AKT5" s="390"/>
      <c r="AKU5" s="390"/>
      <c r="AKV5" s="390"/>
      <c r="AKW5" s="390"/>
      <c r="AKX5" s="390"/>
      <c r="AKY5" s="390"/>
      <c r="AKZ5" s="390"/>
      <c r="ALA5" s="390"/>
      <c r="ALB5" s="390"/>
      <c r="ALC5" s="390"/>
      <c r="ALD5" s="390"/>
      <c r="ALE5" s="390"/>
      <c r="ALF5" s="390"/>
      <c r="ALG5" s="390"/>
      <c r="ALH5" s="390"/>
      <c r="ALI5" s="390"/>
      <c r="ALJ5" s="390"/>
      <c r="ALK5" s="390"/>
      <c r="ALL5" s="390"/>
      <c r="ALM5" s="390"/>
      <c r="ALN5" s="390"/>
      <c r="ALO5" s="390"/>
      <c r="ALP5" s="390"/>
      <c r="ALQ5" s="390"/>
      <c r="ALR5" s="390"/>
      <c r="ALS5" s="390"/>
      <c r="ALT5" s="390"/>
      <c r="ALU5" s="390"/>
      <c r="ALV5" s="390"/>
      <c r="ALW5" s="390"/>
      <c r="ALX5" s="390"/>
      <c r="ALY5" s="390"/>
      <c r="ALZ5" s="390"/>
      <c r="AMA5" s="390"/>
      <c r="AMB5" s="390"/>
      <c r="AMC5" s="390"/>
      <c r="AMD5" s="390"/>
      <c r="AME5" s="390"/>
      <c r="AMF5" s="390"/>
      <c r="AMG5" s="390"/>
      <c r="AMH5" s="390"/>
      <c r="AMI5" s="390"/>
      <c r="AMJ5" s="390"/>
      <c r="AMK5" s="390"/>
      <c r="AML5" s="390"/>
      <c r="AMM5" s="390"/>
      <c r="AMN5" s="390"/>
      <c r="AMO5" s="390"/>
      <c r="AMP5" s="390"/>
      <c r="AMQ5" s="390"/>
      <c r="AMR5" s="390"/>
      <c r="AMS5" s="390"/>
      <c r="AMT5" s="390"/>
      <c r="AMU5" s="390"/>
      <c r="AMV5" s="390"/>
      <c r="AMW5" s="390"/>
      <c r="AMX5" s="390"/>
      <c r="AMY5" s="390"/>
      <c r="AMZ5" s="390"/>
      <c r="ANA5" s="390"/>
      <c r="ANB5" s="390"/>
      <c r="ANC5" s="390"/>
      <c r="AND5" s="390"/>
      <c r="ANE5" s="390"/>
      <c r="ANF5" s="390"/>
      <c r="ANG5" s="390"/>
      <c r="ANH5" s="390"/>
      <c r="ANI5" s="390"/>
      <c r="ANJ5" s="390"/>
      <c r="ANK5" s="390"/>
      <c r="ANL5" s="390"/>
      <c r="ANM5" s="390"/>
      <c r="ANN5" s="390"/>
      <c r="ANO5" s="390"/>
      <c r="ANP5" s="390"/>
      <c r="ANQ5" s="390"/>
      <c r="ANR5" s="390"/>
      <c r="ANS5" s="390"/>
      <c r="ANT5" s="390"/>
      <c r="ANU5" s="390"/>
      <c r="ANV5" s="390"/>
      <c r="ANW5" s="390"/>
      <c r="ANX5" s="390"/>
      <c r="ANY5" s="390"/>
      <c r="ANZ5" s="390"/>
      <c r="AOA5" s="390"/>
      <c r="AOB5" s="390"/>
      <c r="AOC5" s="390"/>
      <c r="AOD5" s="390"/>
      <c r="AOE5" s="390"/>
      <c r="AOF5" s="390"/>
      <c r="AOG5" s="390"/>
      <c r="AOH5" s="390"/>
      <c r="AOI5" s="390"/>
      <c r="AOJ5" s="390"/>
      <c r="AOK5" s="390"/>
      <c r="AOL5" s="390"/>
      <c r="AOM5" s="390"/>
      <c r="AON5" s="390"/>
      <c r="AOO5" s="390"/>
      <c r="AOP5" s="390"/>
      <c r="AOQ5" s="390"/>
      <c r="AOR5" s="390"/>
      <c r="AOS5" s="390"/>
      <c r="AOT5" s="390"/>
      <c r="AOU5" s="390"/>
      <c r="AOV5" s="390"/>
      <c r="AOW5" s="390"/>
      <c r="AOX5" s="390"/>
      <c r="AOY5" s="390"/>
      <c r="AOZ5" s="390"/>
      <c r="APA5" s="390"/>
      <c r="APB5" s="390"/>
      <c r="APC5" s="390"/>
      <c r="APD5" s="390"/>
      <c r="APE5" s="390"/>
      <c r="APF5" s="390"/>
      <c r="APG5" s="390"/>
      <c r="APH5" s="390"/>
      <c r="API5" s="390"/>
      <c r="APJ5" s="390"/>
      <c r="APK5" s="390"/>
      <c r="APL5" s="390"/>
      <c r="APM5" s="390"/>
      <c r="APN5" s="390"/>
      <c r="APO5" s="390"/>
      <c r="APP5" s="390"/>
      <c r="APQ5" s="390"/>
      <c r="APR5" s="390"/>
      <c r="APS5" s="390"/>
      <c r="APT5" s="390"/>
      <c r="APU5" s="390"/>
      <c r="APV5" s="390"/>
      <c r="APW5" s="390"/>
      <c r="APX5" s="390"/>
      <c r="APY5" s="390"/>
      <c r="APZ5" s="390"/>
      <c r="AQA5" s="390"/>
      <c r="AQB5" s="390"/>
      <c r="AQC5" s="390"/>
      <c r="AQD5" s="390"/>
      <c r="AQE5" s="390"/>
      <c r="AQF5" s="390"/>
      <c r="AQG5" s="390"/>
      <c r="AQH5" s="390"/>
      <c r="AQI5" s="390"/>
      <c r="AQJ5" s="390"/>
      <c r="AQK5" s="390"/>
      <c r="AQL5" s="390"/>
      <c r="AQM5" s="390"/>
      <c r="AQN5" s="390"/>
      <c r="AQO5" s="390"/>
      <c r="AQP5" s="390"/>
      <c r="AQQ5" s="390"/>
      <c r="AQR5" s="390"/>
      <c r="AQS5" s="390"/>
      <c r="AQT5" s="390"/>
      <c r="AQU5" s="390"/>
      <c r="AQV5" s="390"/>
      <c r="AQW5" s="390"/>
      <c r="AQX5" s="390"/>
      <c r="AQY5" s="390"/>
      <c r="AQZ5" s="390"/>
      <c r="ARA5" s="390"/>
      <c r="ARB5" s="390"/>
      <c r="ARC5" s="390"/>
      <c r="ARD5" s="390"/>
      <c r="ARE5" s="390"/>
      <c r="ARF5" s="390"/>
      <c r="ARG5" s="390"/>
      <c r="ARH5" s="390"/>
      <c r="ARI5" s="390"/>
      <c r="ARJ5" s="390"/>
      <c r="ARK5" s="390"/>
      <c r="ARL5" s="390"/>
      <c r="ARM5" s="390"/>
      <c r="ARN5" s="390"/>
      <c r="ARO5" s="390"/>
      <c r="ARP5" s="390"/>
      <c r="ARQ5" s="390"/>
      <c r="ARR5" s="390"/>
      <c r="ARS5" s="390"/>
      <c r="ART5" s="390"/>
      <c r="ARU5" s="390"/>
      <c r="ARV5" s="390"/>
      <c r="ARW5" s="390"/>
      <c r="ARX5" s="390"/>
      <c r="ARY5" s="390"/>
      <c r="ARZ5" s="390"/>
      <c r="ASA5" s="390"/>
      <c r="ASB5" s="390"/>
      <c r="ASC5" s="390"/>
      <c r="ASD5" s="390"/>
      <c r="ASE5" s="390"/>
      <c r="ASF5" s="390"/>
      <c r="ASG5" s="390"/>
      <c r="ASH5" s="390"/>
      <c r="ASI5" s="390"/>
      <c r="ASJ5" s="390"/>
      <c r="ASK5" s="390"/>
      <c r="ASL5" s="390"/>
      <c r="ASM5" s="390"/>
      <c r="ASN5" s="390"/>
      <c r="ASO5" s="390"/>
      <c r="ASP5" s="390"/>
      <c r="ASQ5" s="390"/>
      <c r="ASR5" s="390"/>
      <c r="ASS5" s="390"/>
      <c r="AST5" s="390"/>
      <c r="ASU5" s="390"/>
      <c r="ASV5" s="390"/>
      <c r="ASW5" s="390"/>
      <c r="ASX5" s="390"/>
      <c r="ASY5" s="390"/>
      <c r="ASZ5" s="390"/>
      <c r="ATA5" s="390"/>
      <c r="ATB5" s="390"/>
      <c r="ATC5" s="390"/>
      <c r="ATD5" s="390"/>
      <c r="ATE5" s="390"/>
      <c r="ATF5" s="390"/>
      <c r="ATG5" s="390"/>
      <c r="ATH5" s="390"/>
      <c r="ATI5" s="390"/>
      <c r="ATJ5" s="390"/>
      <c r="ATK5" s="390"/>
      <c r="ATL5" s="390"/>
      <c r="ATM5" s="390"/>
      <c r="ATN5" s="390"/>
      <c r="ATO5" s="390"/>
      <c r="ATP5" s="390"/>
      <c r="ATQ5" s="390"/>
      <c r="ATR5" s="390"/>
      <c r="ATS5" s="390"/>
      <c r="ATT5" s="390"/>
      <c r="ATU5" s="390"/>
      <c r="ATV5" s="390"/>
      <c r="ATW5" s="390"/>
      <c r="ATX5" s="390"/>
      <c r="ATY5" s="390"/>
      <c r="ATZ5" s="390"/>
      <c r="AUA5" s="390"/>
      <c r="AUB5" s="390"/>
      <c r="AUC5" s="390"/>
      <c r="AUD5" s="390"/>
      <c r="AUE5" s="390"/>
      <c r="AUF5" s="390"/>
      <c r="AUG5" s="390"/>
      <c r="AUH5" s="390"/>
      <c r="AUI5" s="390"/>
      <c r="AUJ5" s="390"/>
      <c r="AUK5" s="390"/>
      <c r="AUL5" s="390"/>
      <c r="AUM5" s="390"/>
      <c r="AUN5" s="390"/>
      <c r="AUO5" s="390"/>
      <c r="AUP5" s="390"/>
      <c r="AUQ5" s="390"/>
      <c r="AUR5" s="390"/>
      <c r="AUS5" s="390"/>
      <c r="AUT5" s="390"/>
      <c r="AUU5" s="390"/>
      <c r="AUV5" s="390"/>
      <c r="AUW5" s="390"/>
      <c r="AUX5" s="390"/>
      <c r="AUY5" s="390"/>
      <c r="AUZ5" s="390"/>
      <c r="AVA5" s="390"/>
      <c r="AVB5" s="390"/>
      <c r="AVC5" s="390"/>
      <c r="AVD5" s="390"/>
      <c r="AVE5" s="390"/>
      <c r="AVF5" s="390"/>
      <c r="AVG5" s="390"/>
      <c r="AVH5" s="390"/>
      <c r="AVI5" s="390"/>
      <c r="AVJ5" s="390"/>
      <c r="AVK5" s="390"/>
      <c r="AVL5" s="390"/>
      <c r="AVM5" s="390"/>
      <c r="AVN5" s="390"/>
      <c r="AVO5" s="390"/>
      <c r="AVP5" s="390"/>
      <c r="AVQ5" s="390"/>
      <c r="AVR5" s="390"/>
      <c r="AVS5" s="390"/>
      <c r="AVT5" s="390"/>
      <c r="AVU5" s="390"/>
      <c r="AVV5" s="390"/>
      <c r="AVW5" s="390"/>
      <c r="AVX5" s="390"/>
      <c r="AVY5" s="390"/>
      <c r="AVZ5" s="390"/>
      <c r="AWA5" s="390"/>
      <c r="AWB5" s="390"/>
      <c r="AWC5" s="390"/>
      <c r="AWD5" s="390"/>
      <c r="AWE5" s="390"/>
      <c r="AWF5" s="390"/>
      <c r="AWG5" s="390"/>
      <c r="AWH5" s="390"/>
      <c r="AWI5" s="390"/>
      <c r="AWJ5" s="390"/>
      <c r="AWK5" s="390"/>
      <c r="AWL5" s="390"/>
      <c r="AWM5" s="390"/>
      <c r="AWN5" s="390"/>
      <c r="AWO5" s="390"/>
      <c r="AWP5" s="390"/>
      <c r="AWQ5" s="390"/>
      <c r="AWR5" s="390"/>
      <c r="AWS5" s="390"/>
      <c r="AWT5" s="390"/>
      <c r="AWU5" s="390"/>
      <c r="AWV5" s="390"/>
      <c r="AWW5" s="390"/>
      <c r="AWX5" s="390"/>
      <c r="AWY5" s="390"/>
      <c r="AWZ5" s="390"/>
      <c r="AXA5" s="390"/>
      <c r="AXB5" s="390"/>
      <c r="AXC5" s="390"/>
      <c r="AXD5" s="390"/>
      <c r="AXE5" s="390"/>
      <c r="AXF5" s="390"/>
      <c r="AXG5" s="390"/>
      <c r="AXH5" s="390"/>
      <c r="AXI5" s="390"/>
      <c r="AXJ5" s="390"/>
      <c r="AXK5" s="390"/>
      <c r="AXL5" s="390"/>
      <c r="AXM5" s="390"/>
      <c r="AXN5" s="390"/>
      <c r="AXO5" s="390"/>
      <c r="AXP5" s="390"/>
      <c r="AXQ5" s="390"/>
      <c r="AXR5" s="390"/>
      <c r="AXS5" s="390"/>
      <c r="AXT5" s="390"/>
      <c r="AXU5" s="390"/>
      <c r="AXV5" s="390"/>
      <c r="AXW5" s="390"/>
      <c r="AXX5" s="390"/>
      <c r="AXY5" s="390"/>
      <c r="AXZ5" s="390"/>
      <c r="AYA5" s="390"/>
      <c r="AYB5" s="390"/>
      <c r="AYC5" s="390"/>
      <c r="AYD5" s="390"/>
      <c r="AYE5" s="390"/>
      <c r="AYF5" s="390"/>
      <c r="AYG5" s="390"/>
      <c r="AYH5" s="390"/>
      <c r="AYI5" s="390"/>
      <c r="AYJ5" s="390"/>
      <c r="AYK5" s="390"/>
      <c r="AYL5" s="390"/>
      <c r="AYM5" s="390"/>
      <c r="AYN5" s="390"/>
      <c r="AYO5" s="390"/>
      <c r="AYP5" s="390"/>
      <c r="AYQ5" s="390"/>
      <c r="AYR5" s="390"/>
      <c r="AYS5" s="390"/>
      <c r="AYT5" s="390"/>
      <c r="AYU5" s="390"/>
      <c r="AYV5" s="390"/>
      <c r="AYW5" s="390"/>
      <c r="AYX5" s="390"/>
      <c r="AYY5" s="390"/>
      <c r="AYZ5" s="390"/>
      <c r="AZA5" s="390"/>
      <c r="AZB5" s="390"/>
      <c r="AZC5" s="390"/>
      <c r="AZD5" s="390"/>
      <c r="AZE5" s="390"/>
      <c r="AZF5" s="390"/>
      <c r="AZG5" s="390"/>
      <c r="AZH5" s="390"/>
      <c r="AZI5" s="390"/>
      <c r="AZJ5" s="390"/>
      <c r="AZK5" s="390"/>
      <c r="AZL5" s="390"/>
      <c r="AZM5" s="390"/>
      <c r="AZN5" s="390"/>
      <c r="AZO5" s="390"/>
      <c r="AZP5" s="390"/>
      <c r="AZQ5" s="390"/>
      <c r="AZR5" s="390"/>
      <c r="AZS5" s="390"/>
      <c r="AZT5" s="390"/>
      <c r="AZU5" s="390"/>
      <c r="AZV5" s="390"/>
      <c r="AZW5" s="390"/>
      <c r="AZX5" s="390"/>
      <c r="AZY5" s="390"/>
      <c r="AZZ5" s="390"/>
      <c r="BAA5" s="390"/>
      <c r="BAB5" s="390"/>
      <c r="BAC5" s="390"/>
      <c r="BAD5" s="390"/>
      <c r="BAE5" s="390"/>
      <c r="BAF5" s="390"/>
      <c r="BAG5" s="390"/>
      <c r="BAH5" s="390"/>
      <c r="BAI5" s="390"/>
      <c r="BAJ5" s="390"/>
      <c r="BAK5" s="390"/>
      <c r="BAL5" s="390"/>
      <c r="BAM5" s="390"/>
      <c r="BAN5" s="390"/>
      <c r="BAO5" s="390"/>
      <c r="BAP5" s="390"/>
      <c r="BAQ5" s="390"/>
      <c r="BAR5" s="390"/>
      <c r="BAS5" s="390"/>
      <c r="BAT5" s="390"/>
      <c r="BAU5" s="390"/>
      <c r="BAV5" s="390"/>
      <c r="BAW5" s="390"/>
      <c r="BAX5" s="390"/>
      <c r="BAY5" s="390"/>
      <c r="BAZ5" s="390"/>
      <c r="BBA5" s="390"/>
      <c r="BBB5" s="390"/>
      <c r="BBC5" s="390"/>
      <c r="BBD5" s="390"/>
      <c r="BBE5" s="390"/>
      <c r="BBF5" s="390"/>
      <c r="BBG5" s="390"/>
      <c r="BBH5" s="390"/>
      <c r="BBI5" s="390"/>
      <c r="BBJ5" s="390"/>
      <c r="BBK5" s="390"/>
      <c r="BBL5" s="390"/>
      <c r="BBM5" s="390"/>
      <c r="BBN5" s="390"/>
      <c r="BBO5" s="390"/>
      <c r="BBP5" s="390"/>
      <c r="BBQ5" s="390"/>
      <c r="BBR5" s="390"/>
      <c r="BBS5" s="390"/>
      <c r="BBT5" s="390"/>
      <c r="BBU5" s="390"/>
      <c r="BBV5" s="390"/>
      <c r="BBW5" s="390"/>
      <c r="BBX5" s="390"/>
      <c r="BBY5" s="390"/>
      <c r="BBZ5" s="390"/>
      <c r="BCA5" s="390"/>
      <c r="BCB5" s="390"/>
      <c r="BCC5" s="390"/>
      <c r="BCD5" s="390"/>
      <c r="BCE5" s="390"/>
      <c r="BCF5" s="390"/>
      <c r="BCG5" s="390"/>
      <c r="BCH5" s="390"/>
      <c r="BCI5" s="390"/>
      <c r="BCJ5" s="390"/>
      <c r="BCK5" s="390"/>
      <c r="BCL5" s="390"/>
      <c r="BCM5" s="390"/>
      <c r="BCN5" s="390"/>
      <c r="BCO5" s="390"/>
      <c r="BCP5" s="390"/>
      <c r="BCQ5" s="390"/>
      <c r="BCR5" s="390"/>
      <c r="BCS5" s="390"/>
      <c r="BCT5" s="390"/>
      <c r="BCU5" s="390"/>
      <c r="BCV5" s="390"/>
      <c r="BCW5" s="390"/>
      <c r="BCX5" s="390"/>
      <c r="BCY5" s="390"/>
      <c r="BCZ5" s="390"/>
      <c r="BDA5" s="390"/>
      <c r="BDB5" s="390"/>
      <c r="BDC5" s="390"/>
      <c r="BDD5" s="390"/>
      <c r="BDE5" s="390"/>
      <c r="BDF5" s="390"/>
      <c r="BDG5" s="390"/>
      <c r="BDH5" s="390"/>
      <c r="BDI5" s="390"/>
      <c r="BDJ5" s="390"/>
      <c r="BDK5" s="390"/>
      <c r="BDL5" s="390"/>
      <c r="BDM5" s="390"/>
      <c r="BDN5" s="390"/>
      <c r="BDO5" s="390"/>
      <c r="BDP5" s="390"/>
      <c r="BDQ5" s="390"/>
      <c r="BDR5" s="390"/>
      <c r="BDS5" s="390"/>
      <c r="BDT5" s="390"/>
      <c r="BDU5" s="390"/>
      <c r="BDV5" s="390"/>
      <c r="BDW5" s="390"/>
      <c r="BDX5" s="390"/>
      <c r="BDY5" s="390"/>
      <c r="BDZ5" s="390"/>
      <c r="BEA5" s="390"/>
      <c r="BEB5" s="390"/>
      <c r="BEC5" s="390"/>
      <c r="BED5" s="390"/>
      <c r="BEE5" s="390"/>
      <c r="BEF5" s="390"/>
      <c r="BEG5" s="390"/>
      <c r="BEH5" s="390"/>
      <c r="BEI5" s="390"/>
      <c r="BEJ5" s="390"/>
      <c r="BEK5" s="390"/>
      <c r="BEL5" s="390"/>
      <c r="BEM5" s="390"/>
      <c r="BEN5" s="390"/>
      <c r="BEO5" s="390"/>
      <c r="BEP5" s="390"/>
      <c r="BEQ5" s="390"/>
      <c r="BER5" s="390"/>
      <c r="BES5" s="390"/>
      <c r="BET5" s="390"/>
      <c r="BEU5" s="390"/>
      <c r="BEV5" s="390"/>
      <c r="BEW5" s="390"/>
      <c r="BEX5" s="390"/>
      <c r="BEY5" s="390"/>
      <c r="BEZ5" s="390"/>
      <c r="BFA5" s="390"/>
      <c r="BFB5" s="390"/>
      <c r="BFC5" s="390"/>
      <c r="BFD5" s="390"/>
      <c r="BFE5" s="390"/>
      <c r="BFF5" s="390"/>
      <c r="BFG5" s="390"/>
      <c r="BFH5" s="390"/>
      <c r="BFI5" s="390"/>
      <c r="BFJ5" s="390"/>
      <c r="BFK5" s="390"/>
      <c r="BFL5" s="390"/>
      <c r="BFM5" s="390"/>
      <c r="BFN5" s="390"/>
      <c r="BFO5" s="390"/>
      <c r="BFP5" s="390"/>
      <c r="BFQ5" s="390"/>
      <c r="BFR5" s="390"/>
      <c r="BFS5" s="390"/>
      <c r="BFT5" s="390"/>
      <c r="BFU5" s="390"/>
      <c r="BFV5" s="390"/>
      <c r="BFW5" s="390"/>
      <c r="BFX5" s="390"/>
      <c r="BFY5" s="390"/>
      <c r="BFZ5" s="390"/>
      <c r="BGA5" s="390"/>
      <c r="BGB5" s="390"/>
      <c r="BGC5" s="390"/>
      <c r="BGD5" s="390"/>
      <c r="BGE5" s="390"/>
      <c r="BGF5" s="390"/>
      <c r="BGG5" s="390"/>
      <c r="BGH5" s="390"/>
      <c r="BGI5" s="390"/>
      <c r="BGJ5" s="390"/>
      <c r="BGK5" s="390"/>
      <c r="BGL5" s="390"/>
      <c r="BGM5" s="390"/>
      <c r="BGN5" s="390"/>
      <c r="BGO5" s="390"/>
      <c r="BGP5" s="390"/>
      <c r="BGQ5" s="390"/>
      <c r="BGR5" s="390"/>
      <c r="BGS5" s="390"/>
      <c r="BGT5" s="390"/>
      <c r="BGU5" s="390"/>
      <c r="BGV5" s="390"/>
      <c r="BGW5" s="390"/>
      <c r="BGX5" s="390"/>
      <c r="BGY5" s="390"/>
      <c r="BGZ5" s="390"/>
      <c r="BHA5" s="390"/>
      <c r="BHB5" s="390"/>
      <c r="BHC5" s="390"/>
      <c r="BHD5" s="390"/>
      <c r="BHE5" s="390"/>
      <c r="BHF5" s="390"/>
      <c r="BHG5" s="390"/>
      <c r="BHH5" s="390"/>
      <c r="BHI5" s="390"/>
      <c r="BHJ5" s="390"/>
      <c r="BHK5" s="390"/>
      <c r="BHL5" s="390"/>
      <c r="BHM5" s="390"/>
      <c r="BHN5" s="390"/>
      <c r="BHO5" s="390"/>
      <c r="BHP5" s="390"/>
      <c r="BHQ5" s="390"/>
      <c r="BHR5" s="390"/>
      <c r="BHS5" s="390"/>
      <c r="BHT5" s="390"/>
      <c r="BHU5" s="390"/>
      <c r="BHV5" s="390"/>
      <c r="BHW5" s="390"/>
      <c r="BHX5" s="390"/>
      <c r="BHY5" s="390"/>
      <c r="BHZ5" s="390"/>
      <c r="BIA5" s="390"/>
      <c r="BIB5" s="390"/>
      <c r="BIC5" s="390"/>
      <c r="BID5" s="390"/>
      <c r="BIE5" s="390"/>
      <c r="BIF5" s="390"/>
      <c r="BIG5" s="390"/>
      <c r="BIH5" s="390"/>
      <c r="BII5" s="390"/>
      <c r="BIJ5" s="390"/>
      <c r="BIK5" s="390"/>
      <c r="BIL5" s="390"/>
      <c r="BIM5" s="390"/>
      <c r="BIN5" s="390"/>
      <c r="BIO5" s="390"/>
      <c r="BIP5" s="390"/>
      <c r="BIQ5" s="390"/>
      <c r="BIR5" s="390"/>
      <c r="BIS5" s="390"/>
      <c r="BIT5" s="390"/>
      <c r="BIU5" s="390"/>
      <c r="BIV5" s="390"/>
      <c r="BIW5" s="390"/>
      <c r="BIX5" s="390"/>
      <c r="BIY5" s="390"/>
      <c r="BIZ5" s="390"/>
      <c r="BJA5" s="390"/>
      <c r="BJB5" s="390"/>
      <c r="BJC5" s="390"/>
      <c r="BJD5" s="390"/>
      <c r="BJE5" s="390"/>
      <c r="BJF5" s="390"/>
      <c r="BJG5" s="390"/>
      <c r="BJH5" s="390"/>
      <c r="BJI5" s="390"/>
      <c r="BJJ5" s="390"/>
      <c r="BJK5" s="390"/>
      <c r="BJL5" s="390"/>
      <c r="BJM5" s="390"/>
      <c r="BJN5" s="390"/>
      <c r="BJO5" s="390"/>
      <c r="BJP5" s="390"/>
      <c r="BJQ5" s="390"/>
      <c r="BJR5" s="390"/>
      <c r="BJS5" s="390"/>
      <c r="BJT5" s="390"/>
      <c r="BJU5" s="390"/>
      <c r="BJV5" s="390"/>
      <c r="BJW5" s="390"/>
      <c r="BJX5" s="390"/>
      <c r="BJY5" s="390"/>
      <c r="BJZ5" s="390"/>
      <c r="BKA5" s="390"/>
      <c r="BKB5" s="390"/>
      <c r="BKC5" s="390"/>
      <c r="BKD5" s="390"/>
      <c r="BKE5" s="390"/>
      <c r="BKF5" s="390"/>
      <c r="BKG5" s="390"/>
      <c r="BKH5" s="390"/>
      <c r="BKI5" s="390"/>
      <c r="BKJ5" s="390"/>
      <c r="BKK5" s="390"/>
      <c r="BKL5" s="390"/>
      <c r="BKM5" s="390"/>
      <c r="BKN5" s="390"/>
      <c r="BKO5" s="390"/>
      <c r="BKP5" s="390"/>
      <c r="BKQ5" s="390"/>
      <c r="BKR5" s="390"/>
      <c r="BKS5" s="390"/>
      <c r="BKT5" s="390"/>
      <c r="BKU5" s="390"/>
      <c r="BKV5" s="390"/>
      <c r="BKW5" s="390"/>
      <c r="BKX5" s="390"/>
      <c r="BKY5" s="390"/>
      <c r="BKZ5" s="390"/>
      <c r="BLA5" s="390"/>
      <c r="BLB5" s="390"/>
      <c r="BLC5" s="390"/>
      <c r="BLD5" s="390"/>
      <c r="BLE5" s="390"/>
      <c r="BLF5" s="390"/>
      <c r="BLG5" s="390"/>
      <c r="BLH5" s="390"/>
      <c r="BLI5" s="390"/>
      <c r="BLJ5" s="390"/>
      <c r="BLK5" s="390"/>
      <c r="BLL5" s="390"/>
      <c r="BLM5" s="390"/>
      <c r="BLN5" s="390"/>
      <c r="BLO5" s="390"/>
      <c r="BLP5" s="390"/>
      <c r="BLQ5" s="390"/>
      <c r="BLR5" s="390"/>
      <c r="BLS5" s="390"/>
      <c r="BLT5" s="390"/>
      <c r="BLU5" s="390"/>
      <c r="BLV5" s="390"/>
      <c r="BLW5" s="390"/>
      <c r="BLX5" s="390"/>
      <c r="BLY5" s="390"/>
      <c r="BLZ5" s="390"/>
      <c r="BMA5" s="390"/>
      <c r="BMB5" s="390"/>
      <c r="BMC5" s="390"/>
      <c r="BMD5" s="390"/>
      <c r="BME5" s="390"/>
      <c r="BMF5" s="390"/>
      <c r="BMG5" s="390"/>
      <c r="BMH5" s="390"/>
      <c r="BMI5" s="390"/>
      <c r="BMJ5" s="390"/>
      <c r="BMK5" s="390"/>
      <c r="BML5" s="390"/>
      <c r="BMM5" s="390"/>
      <c r="BMN5" s="390"/>
      <c r="BMO5" s="390"/>
      <c r="BMP5" s="390"/>
      <c r="BMQ5" s="390"/>
      <c r="BMR5" s="390"/>
      <c r="BMS5" s="390"/>
      <c r="BMT5" s="390"/>
      <c r="BMU5" s="390"/>
      <c r="BMV5" s="390"/>
      <c r="BMW5" s="390"/>
      <c r="BMX5" s="390"/>
      <c r="BMY5" s="390"/>
      <c r="BMZ5" s="390"/>
      <c r="BNA5" s="390"/>
      <c r="BNB5" s="390"/>
      <c r="BNC5" s="390"/>
      <c r="BND5" s="390"/>
      <c r="BNE5" s="390"/>
      <c r="BNF5" s="390"/>
      <c r="BNG5" s="390"/>
      <c r="BNH5" s="390"/>
      <c r="BNI5" s="390"/>
      <c r="BNJ5" s="390"/>
      <c r="BNK5" s="390"/>
      <c r="BNL5" s="390"/>
      <c r="BNM5" s="390"/>
      <c r="BNN5" s="390"/>
      <c r="BNO5" s="390"/>
      <c r="BNP5" s="390"/>
      <c r="BNQ5" s="390"/>
      <c r="BNR5" s="390"/>
      <c r="BNS5" s="390"/>
      <c r="BNT5" s="390"/>
      <c r="BNU5" s="390"/>
      <c r="BNV5" s="390"/>
      <c r="BNW5" s="390"/>
      <c r="BNX5" s="390"/>
      <c r="BNY5" s="390"/>
      <c r="BNZ5" s="390"/>
      <c r="BOA5" s="390"/>
      <c r="BOB5" s="390"/>
      <c r="BOC5" s="390"/>
      <c r="BOD5" s="390"/>
      <c r="BOE5" s="390"/>
      <c r="BOF5" s="390"/>
      <c r="BOG5" s="390"/>
      <c r="BOH5" s="390"/>
      <c r="BOI5" s="390"/>
      <c r="BOJ5" s="390"/>
      <c r="BOK5" s="390"/>
      <c r="BOL5" s="390"/>
      <c r="BOM5" s="390"/>
      <c r="BON5" s="390"/>
      <c r="BOO5" s="390"/>
      <c r="BOP5" s="390"/>
      <c r="BOQ5" s="390"/>
      <c r="BOR5" s="390"/>
      <c r="BOS5" s="390"/>
      <c r="BOT5" s="390"/>
      <c r="BOU5" s="390"/>
      <c r="BOV5" s="390"/>
      <c r="BOW5" s="390"/>
      <c r="BOX5" s="390"/>
      <c r="BOY5" s="390"/>
      <c r="BOZ5" s="390"/>
      <c r="BPA5" s="390"/>
      <c r="BPB5" s="390"/>
      <c r="BPC5" s="390"/>
      <c r="BPD5" s="390"/>
      <c r="BPE5" s="390"/>
      <c r="BPF5" s="390"/>
      <c r="BPG5" s="390"/>
      <c r="BPH5" s="390"/>
      <c r="BPI5" s="390"/>
      <c r="BPJ5" s="390"/>
      <c r="BPK5" s="390"/>
      <c r="BPL5" s="390"/>
      <c r="BPM5" s="390"/>
      <c r="BPN5" s="390"/>
      <c r="BPO5" s="390"/>
      <c r="BPP5" s="390"/>
      <c r="BPQ5" s="390"/>
      <c r="BPR5" s="390"/>
      <c r="BPS5" s="390"/>
      <c r="BPT5" s="390"/>
      <c r="BPU5" s="390"/>
      <c r="BPV5" s="390"/>
      <c r="BPW5" s="390"/>
      <c r="BPX5" s="390"/>
      <c r="BPY5" s="390"/>
      <c r="BPZ5" s="390"/>
      <c r="BQA5" s="390"/>
      <c r="BQB5" s="390"/>
      <c r="BQC5" s="390"/>
      <c r="BQD5" s="390"/>
      <c r="BQE5" s="390"/>
      <c r="BQF5" s="390"/>
      <c r="BQG5" s="390"/>
      <c r="BQH5" s="390"/>
      <c r="BQI5" s="390"/>
      <c r="BQJ5" s="390"/>
      <c r="BQK5" s="390"/>
      <c r="BQL5" s="390"/>
      <c r="BQM5" s="390"/>
      <c r="BQN5" s="390"/>
      <c r="BQO5" s="390"/>
      <c r="BQP5" s="390"/>
      <c r="BQQ5" s="390"/>
      <c r="BQR5" s="390"/>
      <c r="BQS5" s="390"/>
      <c r="BQT5" s="390"/>
      <c r="BQU5" s="390"/>
      <c r="BQV5" s="390"/>
      <c r="BQW5" s="390"/>
      <c r="BQX5" s="390"/>
      <c r="BQY5" s="390"/>
      <c r="BQZ5" s="390"/>
      <c r="BRA5" s="390"/>
      <c r="BRB5" s="390"/>
      <c r="BRC5" s="390"/>
      <c r="BRD5" s="390"/>
      <c r="BRE5" s="390"/>
      <c r="BRF5" s="390"/>
      <c r="BRG5" s="390"/>
      <c r="BRH5" s="390"/>
      <c r="BRI5" s="390"/>
      <c r="BRJ5" s="390"/>
      <c r="BRK5" s="390"/>
      <c r="BRL5" s="390"/>
      <c r="BRM5" s="390"/>
      <c r="BRN5" s="390"/>
      <c r="BRO5" s="390"/>
      <c r="BRP5" s="390"/>
      <c r="BRQ5" s="390"/>
      <c r="BRR5" s="390"/>
      <c r="BRS5" s="390"/>
      <c r="BRT5" s="390"/>
      <c r="BRU5" s="390"/>
      <c r="BRV5" s="390"/>
      <c r="BRW5" s="390"/>
      <c r="BRX5" s="390"/>
      <c r="BRY5" s="390"/>
      <c r="BRZ5" s="390"/>
      <c r="BSA5" s="390"/>
      <c r="BSB5" s="390"/>
      <c r="BSC5" s="390"/>
      <c r="BSD5" s="390"/>
      <c r="BSE5" s="390"/>
      <c r="BSF5" s="390"/>
      <c r="BSG5" s="390"/>
      <c r="BSH5" s="390"/>
      <c r="BSI5" s="390"/>
      <c r="BSJ5" s="390"/>
      <c r="BSK5" s="390"/>
      <c r="BSL5" s="390"/>
      <c r="BSM5" s="390"/>
      <c r="BSN5" s="390"/>
      <c r="BSO5" s="390"/>
      <c r="BSP5" s="390"/>
      <c r="BSQ5" s="390"/>
      <c r="BSR5" s="390"/>
      <c r="BSS5" s="390"/>
      <c r="BST5" s="390"/>
      <c r="BSU5" s="390"/>
      <c r="BSV5" s="390"/>
      <c r="BSW5" s="390"/>
      <c r="BSX5" s="390"/>
      <c r="BSY5" s="390"/>
      <c r="BSZ5" s="390"/>
      <c r="BTA5" s="390"/>
      <c r="BTB5" s="390"/>
      <c r="BTC5" s="390"/>
      <c r="BTD5" s="390"/>
      <c r="BTE5" s="390"/>
      <c r="BTF5" s="390"/>
      <c r="BTG5" s="390"/>
      <c r="BTH5" s="390"/>
      <c r="BTI5" s="390"/>
      <c r="BTJ5" s="390"/>
      <c r="BTK5" s="390"/>
      <c r="BTL5" s="390"/>
      <c r="BTM5" s="390"/>
      <c r="BTN5" s="390"/>
      <c r="BTO5" s="390"/>
      <c r="BTP5" s="390"/>
      <c r="BTQ5" s="390"/>
      <c r="BTR5" s="390"/>
      <c r="BTS5" s="390"/>
      <c r="BTT5" s="390"/>
      <c r="BTU5" s="390"/>
      <c r="BTV5" s="390"/>
      <c r="BTW5" s="390"/>
      <c r="BTX5" s="390"/>
      <c r="BTY5" s="390"/>
      <c r="BTZ5" s="390"/>
      <c r="BUA5" s="390"/>
      <c r="BUB5" s="390"/>
      <c r="BUC5" s="390"/>
      <c r="BUD5" s="390"/>
      <c r="BUE5" s="390"/>
      <c r="BUF5" s="390"/>
      <c r="BUG5" s="390"/>
      <c r="BUH5" s="390"/>
      <c r="BUI5" s="390"/>
      <c r="BUJ5" s="390"/>
      <c r="BUK5" s="390"/>
      <c r="BUL5" s="390"/>
      <c r="BUM5" s="390"/>
      <c r="BUN5" s="390"/>
      <c r="BUO5" s="390"/>
      <c r="BUP5" s="390"/>
      <c r="BUQ5" s="390"/>
      <c r="BUR5" s="390"/>
      <c r="BUS5" s="390"/>
      <c r="BUT5" s="390"/>
      <c r="BUU5" s="390"/>
      <c r="BUV5" s="390"/>
      <c r="BUW5" s="390"/>
      <c r="BUX5" s="390"/>
      <c r="BUY5" s="390"/>
      <c r="BUZ5" s="390"/>
      <c r="BVA5" s="390"/>
      <c r="BVB5" s="390"/>
      <c r="BVC5" s="390"/>
      <c r="BVD5" s="390"/>
      <c r="BVE5" s="390"/>
      <c r="BVF5" s="390"/>
      <c r="BVG5" s="390"/>
      <c r="BVH5" s="390"/>
      <c r="BVI5" s="390"/>
      <c r="BVJ5" s="390"/>
      <c r="BVK5" s="390"/>
      <c r="BVL5" s="390"/>
      <c r="BVM5" s="390"/>
      <c r="BVN5" s="390"/>
      <c r="BVO5" s="390"/>
      <c r="BVP5" s="390"/>
      <c r="BVQ5" s="390"/>
      <c r="BVR5" s="390"/>
      <c r="BVS5" s="390"/>
      <c r="BVT5" s="390"/>
      <c r="BVU5" s="390"/>
      <c r="BVV5" s="390"/>
      <c r="BVW5" s="390"/>
      <c r="BVX5" s="390"/>
      <c r="BVY5" s="390"/>
      <c r="BVZ5" s="390"/>
      <c r="BWA5" s="390"/>
      <c r="BWB5" s="390"/>
      <c r="BWC5" s="390"/>
      <c r="BWD5" s="390"/>
      <c r="BWE5" s="390"/>
      <c r="BWF5" s="390"/>
      <c r="BWG5" s="390"/>
      <c r="BWH5" s="390"/>
      <c r="BWI5" s="390"/>
      <c r="BWJ5" s="390"/>
      <c r="BWK5" s="390"/>
      <c r="BWL5" s="390"/>
      <c r="BWM5" s="390"/>
      <c r="BWN5" s="390"/>
      <c r="BWO5" s="390"/>
      <c r="BWP5" s="390"/>
      <c r="BWQ5" s="390"/>
      <c r="BWR5" s="390"/>
      <c r="BWS5" s="390"/>
      <c r="BWT5" s="390"/>
      <c r="BWU5" s="390"/>
      <c r="BWV5" s="390"/>
      <c r="BWW5" s="390"/>
      <c r="BWX5" s="390"/>
      <c r="BWY5" s="390"/>
      <c r="BWZ5" s="390"/>
      <c r="BXA5" s="390"/>
      <c r="BXB5" s="390"/>
      <c r="BXC5" s="390"/>
      <c r="BXD5" s="390"/>
      <c r="BXE5" s="390"/>
      <c r="BXF5" s="390"/>
      <c r="BXG5" s="390"/>
      <c r="BXH5" s="390"/>
      <c r="BXI5" s="390"/>
      <c r="BXJ5" s="390"/>
      <c r="BXK5" s="390"/>
      <c r="BXL5" s="390"/>
      <c r="BXM5" s="390"/>
      <c r="BXN5" s="390"/>
      <c r="BXO5" s="390"/>
      <c r="BXP5" s="390"/>
      <c r="BXQ5" s="390"/>
      <c r="BXR5" s="390"/>
      <c r="BXS5" s="390"/>
      <c r="BXT5" s="390"/>
      <c r="BXU5" s="390"/>
      <c r="BXV5" s="390"/>
      <c r="BXW5" s="390"/>
      <c r="BXX5" s="390"/>
      <c r="BXY5" s="390"/>
      <c r="BXZ5" s="390"/>
      <c r="BYA5" s="390"/>
      <c r="BYB5" s="390"/>
      <c r="BYC5" s="390"/>
      <c r="BYD5" s="390"/>
      <c r="BYE5" s="390"/>
      <c r="BYF5" s="390"/>
      <c r="BYG5" s="390"/>
      <c r="BYH5" s="390"/>
      <c r="BYI5" s="390"/>
      <c r="BYJ5" s="390"/>
      <c r="BYK5" s="390"/>
      <c r="BYL5" s="390"/>
      <c r="BYM5" s="390"/>
      <c r="BYN5" s="390"/>
      <c r="BYO5" s="390"/>
      <c r="BYP5" s="390"/>
      <c r="BYQ5" s="390"/>
      <c r="BYR5" s="390"/>
      <c r="BYS5" s="390"/>
      <c r="BYT5" s="390"/>
      <c r="BYU5" s="390"/>
      <c r="BYV5" s="390"/>
      <c r="BYW5" s="390"/>
      <c r="BYX5" s="390"/>
      <c r="BYY5" s="390"/>
      <c r="BYZ5" s="390"/>
      <c r="BZA5" s="390"/>
      <c r="BZB5" s="390"/>
      <c r="BZC5" s="390"/>
      <c r="BZD5" s="390"/>
      <c r="BZE5" s="390"/>
      <c r="BZF5" s="390"/>
      <c r="BZG5" s="390"/>
      <c r="BZH5" s="390"/>
      <c r="BZI5" s="390"/>
      <c r="BZJ5" s="390"/>
      <c r="BZK5" s="390"/>
      <c r="BZL5" s="390"/>
      <c r="BZM5" s="390"/>
      <c r="BZN5" s="390"/>
      <c r="BZO5" s="390"/>
      <c r="BZP5" s="390"/>
      <c r="BZQ5" s="390"/>
      <c r="BZR5" s="390"/>
      <c r="BZS5" s="390"/>
      <c r="BZT5" s="390"/>
      <c r="BZU5" s="390"/>
      <c r="BZV5" s="390"/>
      <c r="BZW5" s="390"/>
      <c r="BZX5" s="390"/>
      <c r="BZY5" s="390"/>
      <c r="BZZ5" s="390"/>
      <c r="CAA5" s="390"/>
      <c r="CAB5" s="390"/>
      <c r="CAC5" s="390"/>
      <c r="CAD5" s="390"/>
      <c r="CAE5" s="390"/>
      <c r="CAF5" s="390"/>
      <c r="CAG5" s="390"/>
      <c r="CAH5" s="390"/>
      <c r="CAI5" s="390"/>
      <c r="CAJ5" s="390"/>
      <c r="CAK5" s="390"/>
      <c r="CAL5" s="390"/>
      <c r="CAM5" s="390"/>
      <c r="CAN5" s="390"/>
      <c r="CAO5" s="390"/>
      <c r="CAP5" s="390"/>
      <c r="CAQ5" s="390"/>
      <c r="CAR5" s="390"/>
      <c r="CAS5" s="390"/>
      <c r="CAT5" s="390"/>
      <c r="CAU5" s="390"/>
      <c r="CAV5" s="390"/>
      <c r="CAW5" s="390"/>
      <c r="CAX5" s="390"/>
      <c r="CAY5" s="390"/>
      <c r="CAZ5" s="390"/>
      <c r="CBA5" s="390"/>
      <c r="CBB5" s="390"/>
      <c r="CBC5" s="390"/>
      <c r="CBD5" s="390"/>
      <c r="CBE5" s="390"/>
      <c r="CBF5" s="390"/>
      <c r="CBG5" s="390"/>
      <c r="CBH5" s="390"/>
      <c r="CBI5" s="390"/>
      <c r="CBJ5" s="390"/>
      <c r="CBK5" s="390"/>
      <c r="CBL5" s="390"/>
      <c r="CBM5" s="390"/>
      <c r="CBN5" s="390"/>
      <c r="CBO5" s="390"/>
      <c r="CBP5" s="390"/>
      <c r="CBQ5" s="390"/>
      <c r="CBR5" s="390"/>
      <c r="CBS5" s="390"/>
      <c r="CBT5" s="390"/>
      <c r="CBU5" s="390"/>
      <c r="CBV5" s="390"/>
      <c r="CBW5" s="390"/>
      <c r="CBX5" s="390"/>
      <c r="CBY5" s="390"/>
      <c r="CBZ5" s="390"/>
      <c r="CCA5" s="390"/>
      <c r="CCB5" s="390"/>
      <c r="CCC5" s="390"/>
      <c r="CCD5" s="390"/>
      <c r="CCE5" s="390"/>
      <c r="CCF5" s="390"/>
      <c r="CCG5" s="390"/>
      <c r="CCH5" s="390"/>
      <c r="CCI5" s="390"/>
      <c r="CCJ5" s="390"/>
      <c r="CCK5" s="390"/>
      <c r="CCL5" s="390"/>
      <c r="CCM5" s="390"/>
      <c r="CCN5" s="390"/>
      <c r="CCO5" s="390"/>
      <c r="CCP5" s="390"/>
      <c r="CCQ5" s="390"/>
      <c r="CCR5" s="390"/>
      <c r="CCS5" s="390"/>
      <c r="CCT5" s="390"/>
      <c r="CCU5" s="390"/>
      <c r="CCV5" s="390"/>
      <c r="CCW5" s="390"/>
      <c r="CCX5" s="390"/>
      <c r="CCY5" s="390"/>
      <c r="CCZ5" s="390"/>
      <c r="CDA5" s="390"/>
      <c r="CDB5" s="390"/>
      <c r="CDC5" s="390"/>
      <c r="CDD5" s="390"/>
      <c r="CDE5" s="390"/>
      <c r="CDF5" s="390"/>
      <c r="CDG5" s="390"/>
      <c r="CDH5" s="390"/>
      <c r="CDI5" s="390"/>
      <c r="CDJ5" s="390"/>
      <c r="CDK5" s="390"/>
      <c r="CDL5" s="390"/>
      <c r="CDM5" s="390"/>
      <c r="CDN5" s="390"/>
      <c r="CDO5" s="390"/>
      <c r="CDP5" s="390"/>
      <c r="CDQ5" s="390"/>
      <c r="CDR5" s="390"/>
      <c r="CDS5" s="390"/>
      <c r="CDT5" s="390"/>
      <c r="CDU5" s="390"/>
      <c r="CDV5" s="390"/>
      <c r="CDW5" s="390"/>
      <c r="CDX5" s="390"/>
      <c r="CDY5" s="390"/>
      <c r="CDZ5" s="390"/>
      <c r="CEA5" s="390"/>
      <c r="CEB5" s="390"/>
      <c r="CEC5" s="390"/>
      <c r="CED5" s="390"/>
      <c r="CEE5" s="390"/>
      <c r="CEF5" s="390"/>
      <c r="CEG5" s="390"/>
      <c r="CEH5" s="390"/>
      <c r="CEI5" s="390"/>
      <c r="CEJ5" s="390"/>
      <c r="CEK5" s="390"/>
      <c r="CEL5" s="390"/>
      <c r="CEM5" s="390"/>
      <c r="CEN5" s="390"/>
      <c r="CEO5" s="390"/>
      <c r="CEP5" s="390"/>
      <c r="CEQ5" s="390"/>
      <c r="CER5" s="390"/>
      <c r="CES5" s="390"/>
      <c r="CET5" s="390"/>
      <c r="CEU5" s="390"/>
      <c r="CEV5" s="390"/>
      <c r="CEW5" s="390"/>
      <c r="CEX5" s="390"/>
      <c r="CEY5" s="390"/>
      <c r="CEZ5" s="390"/>
      <c r="CFA5" s="390"/>
      <c r="CFB5" s="390"/>
      <c r="CFC5" s="390"/>
      <c r="CFD5" s="390"/>
      <c r="CFE5" s="390"/>
      <c r="CFF5" s="390"/>
      <c r="CFG5" s="390"/>
      <c r="CFH5" s="390"/>
      <c r="CFI5" s="390"/>
      <c r="CFJ5" s="390"/>
      <c r="CFK5" s="390"/>
      <c r="CFL5" s="390"/>
      <c r="CFM5" s="390"/>
      <c r="CFN5" s="390"/>
      <c r="CFO5" s="390"/>
      <c r="CFP5" s="390"/>
      <c r="CFQ5" s="390"/>
      <c r="CFR5" s="390"/>
      <c r="CFS5" s="390"/>
      <c r="CFT5" s="390"/>
      <c r="CFU5" s="390"/>
      <c r="CFV5" s="390"/>
      <c r="CFW5" s="390"/>
      <c r="CFX5" s="390"/>
      <c r="CFY5" s="390"/>
      <c r="CFZ5" s="390"/>
      <c r="CGA5" s="390"/>
      <c r="CGB5" s="390"/>
      <c r="CGC5" s="390"/>
      <c r="CGD5" s="390"/>
      <c r="CGE5" s="390"/>
      <c r="CGF5" s="390"/>
      <c r="CGG5" s="390"/>
      <c r="CGH5" s="390"/>
      <c r="CGI5" s="390"/>
      <c r="CGJ5" s="390"/>
      <c r="CGK5" s="390"/>
      <c r="CGL5" s="390"/>
      <c r="CGM5" s="390"/>
      <c r="CGN5" s="390"/>
      <c r="CGO5" s="390"/>
      <c r="CGP5" s="390"/>
      <c r="CGQ5" s="390"/>
      <c r="CGR5" s="390"/>
      <c r="CGS5" s="390"/>
      <c r="CGT5" s="390"/>
      <c r="CGU5" s="390"/>
      <c r="CGV5" s="390"/>
      <c r="CGW5" s="390"/>
      <c r="CGX5" s="390"/>
      <c r="CGY5" s="390"/>
      <c r="CGZ5" s="390"/>
      <c r="CHA5" s="390"/>
      <c r="CHB5" s="390"/>
      <c r="CHC5" s="390"/>
      <c r="CHD5" s="390"/>
      <c r="CHE5" s="390"/>
      <c r="CHF5" s="390"/>
      <c r="CHG5" s="390"/>
      <c r="CHH5" s="390"/>
      <c r="CHI5" s="390"/>
      <c r="CHJ5" s="390"/>
      <c r="CHK5" s="390"/>
      <c r="CHL5" s="390"/>
      <c r="CHM5" s="390"/>
      <c r="CHN5" s="390"/>
      <c r="CHO5" s="390"/>
      <c r="CHP5" s="390"/>
      <c r="CHQ5" s="390"/>
      <c r="CHR5" s="390"/>
      <c r="CHS5" s="390"/>
      <c r="CHT5" s="390"/>
      <c r="CHU5" s="390"/>
      <c r="CHV5" s="390"/>
      <c r="CHW5" s="390"/>
      <c r="CHX5" s="390"/>
      <c r="CHY5" s="390"/>
      <c r="CHZ5" s="390"/>
      <c r="CIA5" s="390"/>
      <c r="CIB5" s="390"/>
      <c r="CIC5" s="390"/>
      <c r="CID5" s="390"/>
      <c r="CIE5" s="390"/>
      <c r="CIF5" s="390"/>
      <c r="CIG5" s="390"/>
      <c r="CIH5" s="390"/>
      <c r="CII5" s="390"/>
      <c r="CIJ5" s="390"/>
      <c r="CIK5" s="390"/>
      <c r="CIL5" s="390"/>
      <c r="CIM5" s="390"/>
      <c r="CIN5" s="390"/>
      <c r="CIO5" s="390"/>
      <c r="CIP5" s="390"/>
      <c r="CIQ5" s="390"/>
      <c r="CIR5" s="390"/>
      <c r="CIS5" s="390"/>
      <c r="CIT5" s="390"/>
      <c r="CIU5" s="390"/>
      <c r="CIV5" s="390"/>
      <c r="CIW5" s="390"/>
      <c r="CIX5" s="390"/>
      <c r="CIY5" s="390"/>
      <c r="CIZ5" s="390"/>
      <c r="CJA5" s="390"/>
      <c r="CJB5" s="390"/>
      <c r="CJC5" s="390"/>
      <c r="CJD5" s="390"/>
      <c r="CJE5" s="390"/>
      <c r="CJF5" s="390"/>
      <c r="CJG5" s="390"/>
      <c r="CJH5" s="390"/>
      <c r="CJI5" s="390"/>
      <c r="CJJ5" s="390"/>
      <c r="CJK5" s="390"/>
      <c r="CJL5" s="390"/>
      <c r="CJM5" s="390"/>
      <c r="CJN5" s="390"/>
      <c r="CJO5" s="390"/>
      <c r="CJP5" s="390"/>
      <c r="CJQ5" s="390"/>
      <c r="CJR5" s="390"/>
      <c r="CJS5" s="390"/>
      <c r="CJT5" s="390"/>
      <c r="CJU5" s="390"/>
      <c r="CJV5" s="390"/>
      <c r="CJW5" s="390"/>
      <c r="CJX5" s="390"/>
      <c r="CJY5" s="390"/>
      <c r="CJZ5" s="390"/>
      <c r="CKA5" s="390"/>
      <c r="CKB5" s="390"/>
      <c r="CKC5" s="390"/>
      <c r="CKD5" s="390"/>
      <c r="CKE5" s="390"/>
      <c r="CKF5" s="390"/>
      <c r="CKG5" s="390"/>
      <c r="CKH5" s="390"/>
      <c r="CKI5" s="390"/>
      <c r="CKJ5" s="390"/>
      <c r="CKK5" s="390"/>
      <c r="CKL5" s="390"/>
      <c r="CKM5" s="390"/>
      <c r="CKN5" s="390"/>
      <c r="CKO5" s="390"/>
      <c r="CKP5" s="390"/>
      <c r="CKQ5" s="390"/>
      <c r="CKR5" s="390"/>
      <c r="CKS5" s="390"/>
      <c r="CKT5" s="390"/>
      <c r="CKU5" s="390"/>
      <c r="CKV5" s="390"/>
      <c r="CKW5" s="390"/>
      <c r="CKX5" s="390"/>
      <c r="CKY5" s="390"/>
      <c r="CKZ5" s="390"/>
      <c r="CLA5" s="390"/>
      <c r="CLB5" s="390"/>
      <c r="CLC5" s="390"/>
      <c r="CLD5" s="390"/>
      <c r="CLE5" s="390"/>
      <c r="CLF5" s="390"/>
      <c r="CLG5" s="390"/>
      <c r="CLH5" s="390"/>
      <c r="CLI5" s="390"/>
      <c r="CLJ5" s="390"/>
      <c r="CLK5" s="390"/>
      <c r="CLL5" s="390"/>
      <c r="CLM5" s="390"/>
      <c r="CLN5" s="390"/>
      <c r="CLO5" s="390"/>
      <c r="CLP5" s="390"/>
      <c r="CLQ5" s="390"/>
      <c r="CLR5" s="390"/>
      <c r="CLS5" s="390"/>
      <c r="CLT5" s="390"/>
      <c r="CLU5" s="390"/>
      <c r="CLV5" s="390"/>
      <c r="CLW5" s="390"/>
      <c r="CLX5" s="390"/>
      <c r="CLY5" s="390"/>
      <c r="CLZ5" s="390"/>
      <c r="CMA5" s="390"/>
      <c r="CMB5" s="390"/>
      <c r="CMC5" s="390"/>
      <c r="CMD5" s="390"/>
      <c r="CME5" s="390"/>
      <c r="CMF5" s="390"/>
      <c r="CMG5" s="390"/>
      <c r="CMH5" s="390"/>
      <c r="CMI5" s="390"/>
      <c r="CMJ5" s="390"/>
      <c r="CMK5" s="390"/>
      <c r="CML5" s="390"/>
      <c r="CMM5" s="390"/>
      <c r="CMN5" s="390"/>
      <c r="CMO5" s="390"/>
      <c r="CMP5" s="390"/>
      <c r="CMQ5" s="390"/>
      <c r="CMR5" s="390"/>
      <c r="CMS5" s="390"/>
      <c r="CMT5" s="390"/>
      <c r="CMU5" s="390"/>
      <c r="CMV5" s="390"/>
      <c r="CMW5" s="390"/>
      <c r="CMX5" s="390"/>
      <c r="CMY5" s="390"/>
      <c r="CMZ5" s="390"/>
      <c r="CNA5" s="390"/>
      <c r="CNB5" s="390"/>
      <c r="CNC5" s="390"/>
      <c r="CND5" s="390"/>
      <c r="CNE5" s="390"/>
      <c r="CNF5" s="390"/>
      <c r="CNG5" s="390"/>
      <c r="CNH5" s="390"/>
      <c r="CNI5" s="390"/>
      <c r="CNJ5" s="390"/>
      <c r="CNK5" s="390"/>
      <c r="CNL5" s="390"/>
      <c r="CNM5" s="390"/>
      <c r="CNN5" s="390"/>
      <c r="CNO5" s="390"/>
      <c r="CNP5" s="390"/>
      <c r="CNQ5" s="390"/>
      <c r="CNR5" s="390"/>
      <c r="CNS5" s="390"/>
      <c r="CNT5" s="390"/>
      <c r="CNU5" s="390"/>
      <c r="CNV5" s="390"/>
      <c r="CNW5" s="390"/>
      <c r="CNX5" s="390"/>
      <c r="CNY5" s="390"/>
      <c r="CNZ5" s="390"/>
      <c r="COA5" s="390"/>
      <c r="COB5" s="390"/>
      <c r="COC5" s="390"/>
      <c r="COD5" s="390"/>
      <c r="COE5" s="390"/>
      <c r="COF5" s="390"/>
      <c r="COG5" s="390"/>
      <c r="COH5" s="390"/>
      <c r="COI5" s="390"/>
      <c r="COJ5" s="390"/>
      <c r="COK5" s="390"/>
      <c r="COL5" s="390"/>
      <c r="COM5" s="390"/>
      <c r="CON5" s="390"/>
      <c r="COO5" s="390"/>
      <c r="COP5" s="390"/>
      <c r="COQ5" s="390"/>
      <c r="COR5" s="390"/>
      <c r="COS5" s="390"/>
      <c r="COT5" s="390"/>
      <c r="COU5" s="390"/>
      <c r="COV5" s="390"/>
      <c r="COW5" s="390"/>
      <c r="COX5" s="390"/>
      <c r="COY5" s="390"/>
      <c r="COZ5" s="390"/>
      <c r="CPA5" s="390"/>
      <c r="CPB5" s="390"/>
      <c r="CPC5" s="390"/>
      <c r="CPD5" s="390"/>
      <c r="CPE5" s="390"/>
      <c r="CPF5" s="390"/>
      <c r="CPG5" s="390"/>
      <c r="CPH5" s="390"/>
      <c r="CPI5" s="390"/>
      <c r="CPJ5" s="390"/>
      <c r="CPK5" s="390"/>
      <c r="CPL5" s="390"/>
      <c r="CPM5" s="390"/>
      <c r="CPN5" s="390"/>
      <c r="CPO5" s="390"/>
      <c r="CPP5" s="390"/>
      <c r="CPQ5" s="390"/>
      <c r="CPR5" s="390"/>
      <c r="CPS5" s="390"/>
      <c r="CPT5" s="390"/>
      <c r="CPU5" s="390"/>
      <c r="CPV5" s="390"/>
      <c r="CPW5" s="390"/>
      <c r="CPX5" s="390"/>
      <c r="CPY5" s="390"/>
      <c r="CPZ5" s="390"/>
      <c r="CQA5" s="390"/>
      <c r="CQB5" s="390"/>
      <c r="CQC5" s="390"/>
      <c r="CQD5" s="390"/>
      <c r="CQE5" s="390"/>
      <c r="CQF5" s="390"/>
      <c r="CQG5" s="390"/>
      <c r="CQH5" s="390"/>
      <c r="CQI5" s="390"/>
      <c r="CQJ5" s="390"/>
      <c r="CQK5" s="390"/>
      <c r="CQL5" s="390"/>
      <c r="CQM5" s="390"/>
      <c r="CQN5" s="390"/>
      <c r="CQO5" s="390"/>
      <c r="CQP5" s="390"/>
      <c r="CQQ5" s="390"/>
      <c r="CQR5" s="390"/>
      <c r="CQS5" s="390"/>
      <c r="CQT5" s="390"/>
      <c r="CQU5" s="390"/>
      <c r="CQV5" s="390"/>
      <c r="CQW5" s="390"/>
      <c r="CQX5" s="390"/>
      <c r="CQY5" s="390"/>
      <c r="CQZ5" s="390"/>
      <c r="CRA5" s="390"/>
      <c r="CRB5" s="390"/>
      <c r="CRC5" s="390"/>
      <c r="CRD5" s="390"/>
      <c r="CRE5" s="390"/>
      <c r="CRF5" s="390"/>
      <c r="CRG5" s="390"/>
      <c r="CRH5" s="390"/>
      <c r="CRI5" s="390"/>
      <c r="CRJ5" s="390"/>
      <c r="CRK5" s="390"/>
      <c r="CRL5" s="390"/>
      <c r="CRM5" s="390"/>
      <c r="CRN5" s="390"/>
      <c r="CRO5" s="390"/>
      <c r="CRP5" s="390"/>
      <c r="CRQ5" s="390"/>
      <c r="CRR5" s="390"/>
      <c r="CRS5" s="390"/>
      <c r="CRT5" s="390"/>
      <c r="CRU5" s="390"/>
      <c r="CRV5" s="390"/>
      <c r="CRW5" s="390"/>
      <c r="CRX5" s="390"/>
      <c r="CRY5" s="390"/>
      <c r="CRZ5" s="390"/>
      <c r="CSA5" s="390"/>
      <c r="CSB5" s="390"/>
      <c r="CSC5" s="390"/>
      <c r="CSD5" s="390"/>
      <c r="CSE5" s="390"/>
      <c r="CSF5" s="390"/>
      <c r="CSG5" s="390"/>
      <c r="CSH5" s="390"/>
      <c r="CSI5" s="390"/>
      <c r="CSJ5" s="390"/>
      <c r="CSK5" s="390"/>
      <c r="CSL5" s="390"/>
      <c r="CSM5" s="390"/>
      <c r="CSN5" s="390"/>
      <c r="CSO5" s="390"/>
      <c r="CSP5" s="390"/>
      <c r="CSQ5" s="390"/>
      <c r="CSR5" s="390"/>
      <c r="CSS5" s="390"/>
      <c r="CST5" s="390"/>
      <c r="CSU5" s="390"/>
      <c r="CSV5" s="390"/>
      <c r="CSW5" s="390"/>
      <c r="CSX5" s="390"/>
      <c r="CSY5" s="390"/>
      <c r="CSZ5" s="390"/>
      <c r="CTA5" s="390"/>
      <c r="CTB5" s="390"/>
      <c r="CTC5" s="390"/>
      <c r="CTD5" s="390"/>
      <c r="CTE5" s="390"/>
      <c r="CTF5" s="390"/>
      <c r="CTG5" s="390"/>
      <c r="CTH5" s="390"/>
      <c r="CTI5" s="390"/>
      <c r="CTJ5" s="390"/>
      <c r="CTK5" s="390"/>
      <c r="CTL5" s="390"/>
      <c r="CTM5" s="390"/>
      <c r="CTN5" s="390"/>
      <c r="CTO5" s="390"/>
      <c r="CTP5" s="390"/>
      <c r="CTQ5" s="390"/>
      <c r="CTR5" s="390"/>
      <c r="CTS5" s="390"/>
      <c r="CTT5" s="390"/>
      <c r="CTU5" s="390"/>
      <c r="CTV5" s="390"/>
      <c r="CTW5" s="390"/>
      <c r="CTX5" s="390"/>
      <c r="CTY5" s="390"/>
      <c r="CTZ5" s="390"/>
      <c r="CUA5" s="390"/>
      <c r="CUB5" s="390"/>
      <c r="CUC5" s="390"/>
      <c r="CUD5" s="390"/>
      <c r="CUE5" s="390"/>
      <c r="CUF5" s="390"/>
      <c r="CUG5" s="390"/>
      <c r="CUH5" s="390"/>
      <c r="CUI5" s="390"/>
      <c r="CUJ5" s="390"/>
      <c r="CUK5" s="390"/>
      <c r="CUL5" s="390"/>
      <c r="CUM5" s="390"/>
      <c r="CUN5" s="390"/>
      <c r="CUO5" s="390"/>
      <c r="CUP5" s="390"/>
      <c r="CUQ5" s="390"/>
      <c r="CUR5" s="390"/>
      <c r="CUS5" s="390"/>
      <c r="CUT5" s="390"/>
      <c r="CUU5" s="390"/>
      <c r="CUV5" s="390"/>
      <c r="CUW5" s="390"/>
      <c r="CUX5" s="390"/>
      <c r="CUY5" s="390"/>
      <c r="CUZ5" s="390"/>
      <c r="CVA5" s="390"/>
      <c r="CVB5" s="390"/>
      <c r="CVC5" s="390"/>
      <c r="CVD5" s="390"/>
      <c r="CVE5" s="390"/>
      <c r="CVF5" s="390"/>
      <c r="CVG5" s="390"/>
      <c r="CVH5" s="390"/>
      <c r="CVI5" s="390"/>
      <c r="CVJ5" s="390"/>
      <c r="CVK5" s="390"/>
      <c r="CVL5" s="390"/>
      <c r="CVM5" s="390"/>
      <c r="CVN5" s="390"/>
      <c r="CVO5" s="390"/>
      <c r="CVP5" s="390"/>
      <c r="CVQ5" s="390"/>
      <c r="CVR5" s="390"/>
      <c r="CVS5" s="390"/>
      <c r="CVT5" s="390"/>
      <c r="CVU5" s="390"/>
      <c r="CVV5" s="390"/>
      <c r="CVW5" s="390"/>
      <c r="CVX5" s="390"/>
      <c r="CVY5" s="390"/>
      <c r="CVZ5" s="390"/>
      <c r="CWA5" s="390"/>
      <c r="CWB5" s="390"/>
      <c r="CWC5" s="390"/>
      <c r="CWD5" s="390"/>
      <c r="CWE5" s="390"/>
      <c r="CWF5" s="390"/>
      <c r="CWG5" s="390"/>
      <c r="CWH5" s="390"/>
      <c r="CWI5" s="390"/>
      <c r="CWJ5" s="390"/>
      <c r="CWK5" s="390"/>
      <c r="CWL5" s="390"/>
      <c r="CWM5" s="390"/>
      <c r="CWN5" s="390"/>
      <c r="CWO5" s="390"/>
      <c r="CWP5" s="390"/>
      <c r="CWQ5" s="390"/>
      <c r="CWR5" s="390"/>
      <c r="CWS5" s="390"/>
      <c r="CWT5" s="390"/>
      <c r="CWU5" s="390"/>
      <c r="CWV5" s="390"/>
      <c r="CWW5" s="390"/>
      <c r="CWX5" s="390"/>
      <c r="CWY5" s="390"/>
      <c r="CWZ5" s="390"/>
      <c r="CXA5" s="390"/>
      <c r="CXB5" s="390"/>
      <c r="CXC5" s="390"/>
      <c r="CXD5" s="390"/>
      <c r="CXE5" s="390"/>
      <c r="CXF5" s="390"/>
      <c r="CXG5" s="390"/>
      <c r="CXH5" s="390"/>
      <c r="CXI5" s="390"/>
      <c r="CXJ5" s="390"/>
      <c r="CXK5" s="390"/>
      <c r="CXL5" s="390"/>
      <c r="CXM5" s="390"/>
      <c r="CXN5" s="390"/>
      <c r="CXO5" s="390"/>
      <c r="CXP5" s="390"/>
      <c r="CXQ5" s="390"/>
      <c r="CXR5" s="390"/>
      <c r="CXS5" s="390"/>
      <c r="CXT5" s="390"/>
      <c r="CXU5" s="390"/>
      <c r="CXV5" s="390"/>
      <c r="CXW5" s="390"/>
      <c r="CXX5" s="390"/>
      <c r="CXY5" s="390"/>
      <c r="CXZ5" s="390"/>
      <c r="CYA5" s="390"/>
      <c r="CYB5" s="390"/>
      <c r="CYC5" s="390"/>
      <c r="CYD5" s="390"/>
      <c r="CYE5" s="390"/>
      <c r="CYF5" s="390"/>
      <c r="CYG5" s="390"/>
      <c r="CYH5" s="390"/>
      <c r="CYI5" s="390"/>
      <c r="CYJ5" s="390"/>
      <c r="CYK5" s="390"/>
      <c r="CYL5" s="390"/>
      <c r="CYM5" s="390"/>
      <c r="CYN5" s="390"/>
      <c r="CYO5" s="390"/>
      <c r="CYP5" s="390"/>
      <c r="CYQ5" s="390"/>
      <c r="CYR5" s="390"/>
      <c r="CYS5" s="390"/>
      <c r="CYT5" s="390"/>
      <c r="CYU5" s="390"/>
      <c r="CYV5" s="390"/>
      <c r="CYW5" s="390"/>
      <c r="CYX5" s="390"/>
      <c r="CYY5" s="390"/>
      <c r="CYZ5" s="390"/>
      <c r="CZA5" s="390"/>
      <c r="CZB5" s="390"/>
      <c r="CZC5" s="390"/>
      <c r="CZD5" s="390"/>
      <c r="CZE5" s="390"/>
      <c r="CZF5" s="390"/>
      <c r="CZG5" s="390"/>
      <c r="CZH5" s="390"/>
      <c r="CZI5" s="390"/>
      <c r="CZJ5" s="390"/>
      <c r="CZK5" s="390"/>
      <c r="CZL5" s="390"/>
      <c r="CZM5" s="390"/>
      <c r="CZN5" s="390"/>
      <c r="CZO5" s="390"/>
      <c r="CZP5" s="390"/>
      <c r="CZQ5" s="390"/>
      <c r="CZR5" s="390"/>
      <c r="CZS5" s="390"/>
      <c r="CZT5" s="390"/>
      <c r="CZU5" s="390"/>
      <c r="CZV5" s="390"/>
      <c r="CZW5" s="390"/>
      <c r="CZX5" s="390"/>
      <c r="CZY5" s="390"/>
      <c r="CZZ5" s="390"/>
      <c r="DAA5" s="390"/>
      <c r="DAB5" s="390"/>
      <c r="DAC5" s="390"/>
      <c r="DAD5" s="390"/>
      <c r="DAE5" s="390"/>
      <c r="DAF5" s="390"/>
      <c r="DAG5" s="390"/>
      <c r="DAH5" s="390"/>
      <c r="DAI5" s="390"/>
      <c r="DAJ5" s="390"/>
      <c r="DAK5" s="390"/>
      <c r="DAL5" s="390"/>
      <c r="DAM5" s="390"/>
      <c r="DAN5" s="390"/>
      <c r="DAO5" s="390"/>
      <c r="DAP5" s="390"/>
      <c r="DAQ5" s="390"/>
      <c r="DAR5" s="390"/>
      <c r="DAS5" s="390"/>
      <c r="DAT5" s="390"/>
      <c r="DAU5" s="390"/>
      <c r="DAV5" s="390"/>
      <c r="DAW5" s="390"/>
      <c r="DAX5" s="390"/>
      <c r="DAY5" s="390"/>
      <c r="DAZ5" s="390"/>
      <c r="DBA5" s="390"/>
      <c r="DBB5" s="390"/>
      <c r="DBC5" s="390"/>
      <c r="DBD5" s="390"/>
      <c r="DBE5" s="390"/>
      <c r="DBF5" s="390"/>
      <c r="DBG5" s="390"/>
      <c r="DBH5" s="390"/>
      <c r="DBI5" s="390"/>
      <c r="DBJ5" s="390"/>
      <c r="DBK5" s="390"/>
      <c r="DBL5" s="390"/>
      <c r="DBM5" s="390"/>
      <c r="DBN5" s="390"/>
      <c r="DBO5" s="390"/>
      <c r="DBP5" s="390"/>
      <c r="DBQ5" s="390"/>
      <c r="DBR5" s="390"/>
      <c r="DBS5" s="390"/>
      <c r="DBT5" s="390"/>
      <c r="DBU5" s="390"/>
      <c r="DBV5" s="390"/>
      <c r="DBW5" s="390"/>
      <c r="DBX5" s="390"/>
      <c r="DBY5" s="390"/>
      <c r="DBZ5" s="390"/>
      <c r="DCA5" s="390"/>
      <c r="DCB5" s="390"/>
      <c r="DCC5" s="390"/>
      <c r="DCD5" s="390"/>
      <c r="DCE5" s="390"/>
      <c r="DCF5" s="390"/>
      <c r="DCG5" s="390"/>
      <c r="DCH5" s="390"/>
      <c r="DCI5" s="390"/>
      <c r="DCJ5" s="390"/>
      <c r="DCK5" s="390"/>
      <c r="DCL5" s="390"/>
      <c r="DCM5" s="390"/>
      <c r="DCN5" s="390"/>
      <c r="DCO5" s="390"/>
      <c r="DCP5" s="390"/>
      <c r="DCQ5" s="390"/>
      <c r="DCR5" s="390"/>
      <c r="DCS5" s="390"/>
      <c r="DCT5" s="390"/>
      <c r="DCU5" s="390"/>
      <c r="DCV5" s="390"/>
      <c r="DCW5" s="390"/>
      <c r="DCX5" s="390"/>
      <c r="DCY5" s="390"/>
      <c r="DCZ5" s="390"/>
      <c r="DDA5" s="390"/>
      <c r="DDB5" s="390"/>
      <c r="DDC5" s="390"/>
      <c r="DDD5" s="390"/>
      <c r="DDE5" s="390"/>
      <c r="DDF5" s="390"/>
      <c r="DDG5" s="390"/>
      <c r="DDH5" s="390"/>
      <c r="DDI5" s="390"/>
      <c r="DDJ5" s="390"/>
      <c r="DDK5" s="390"/>
      <c r="DDL5" s="390"/>
      <c r="DDM5" s="390"/>
      <c r="DDN5" s="390"/>
      <c r="DDO5" s="390"/>
      <c r="DDP5" s="390"/>
      <c r="DDQ5" s="390"/>
      <c r="DDR5" s="390"/>
      <c r="DDS5" s="390"/>
      <c r="DDT5" s="390"/>
      <c r="DDU5" s="390"/>
      <c r="DDV5" s="390"/>
      <c r="DDW5" s="390"/>
      <c r="DDX5" s="390"/>
      <c r="DDY5" s="390"/>
      <c r="DDZ5" s="390"/>
      <c r="DEA5" s="390"/>
      <c r="DEB5" s="390"/>
      <c r="DEC5" s="390"/>
      <c r="DED5" s="390"/>
      <c r="DEE5" s="390"/>
      <c r="DEF5" s="390"/>
      <c r="DEG5" s="390"/>
      <c r="DEH5" s="390"/>
      <c r="DEI5" s="390"/>
      <c r="DEJ5" s="390"/>
      <c r="DEK5" s="390"/>
      <c r="DEL5" s="390"/>
      <c r="DEM5" s="390"/>
      <c r="DEN5" s="390"/>
      <c r="DEO5" s="390"/>
      <c r="DEP5" s="390"/>
      <c r="DEQ5" s="390"/>
      <c r="DER5" s="390"/>
      <c r="DES5" s="390"/>
      <c r="DET5" s="390"/>
      <c r="DEU5" s="390"/>
      <c r="DEV5" s="390"/>
      <c r="DEW5" s="390"/>
      <c r="DEX5" s="390"/>
      <c r="DEY5" s="390"/>
      <c r="DEZ5" s="390"/>
      <c r="DFA5" s="390"/>
      <c r="DFB5" s="390"/>
      <c r="DFC5" s="390"/>
      <c r="DFD5" s="390"/>
      <c r="DFE5" s="390"/>
      <c r="DFF5" s="390"/>
      <c r="DFG5" s="390"/>
      <c r="DFH5" s="390"/>
      <c r="DFI5" s="390"/>
      <c r="DFJ5" s="390"/>
      <c r="DFK5" s="390"/>
      <c r="DFL5" s="390"/>
      <c r="DFM5" s="390"/>
      <c r="DFN5" s="390"/>
      <c r="DFO5" s="390"/>
      <c r="DFP5" s="390"/>
      <c r="DFQ5" s="390"/>
      <c r="DFR5" s="390"/>
      <c r="DFS5" s="390"/>
      <c r="DFT5" s="390"/>
      <c r="DFU5" s="390"/>
      <c r="DFV5" s="390"/>
      <c r="DFW5" s="390"/>
      <c r="DFX5" s="390"/>
      <c r="DFY5" s="390"/>
      <c r="DFZ5" s="390"/>
      <c r="DGA5" s="390"/>
      <c r="DGB5" s="390"/>
      <c r="DGC5" s="390"/>
      <c r="DGD5" s="390"/>
      <c r="DGE5" s="390"/>
      <c r="DGF5" s="390"/>
      <c r="DGG5" s="390"/>
      <c r="DGH5" s="390"/>
      <c r="DGI5" s="390"/>
      <c r="DGJ5" s="390"/>
      <c r="DGK5" s="390"/>
      <c r="DGL5" s="390"/>
      <c r="DGM5" s="390"/>
      <c r="DGN5" s="390"/>
      <c r="DGO5" s="390"/>
      <c r="DGP5" s="390"/>
      <c r="DGQ5" s="390"/>
      <c r="DGR5" s="390"/>
      <c r="DGS5" s="390"/>
      <c r="DGT5" s="390"/>
      <c r="DGU5" s="390"/>
      <c r="DGV5" s="390"/>
      <c r="DGW5" s="390"/>
      <c r="DGX5" s="390"/>
      <c r="DGY5" s="390"/>
      <c r="DGZ5" s="390"/>
      <c r="DHA5" s="390"/>
      <c r="DHB5" s="390"/>
      <c r="DHC5" s="390"/>
      <c r="DHD5" s="390"/>
      <c r="DHE5" s="390"/>
      <c r="DHF5" s="390"/>
      <c r="DHG5" s="390"/>
      <c r="DHH5" s="390"/>
      <c r="DHI5" s="390"/>
      <c r="DHJ5" s="390"/>
      <c r="DHK5" s="390"/>
      <c r="DHL5" s="390"/>
      <c r="DHM5" s="390"/>
      <c r="DHN5" s="390"/>
      <c r="DHO5" s="390"/>
      <c r="DHP5" s="390"/>
      <c r="DHQ5" s="390"/>
      <c r="DHR5" s="390"/>
      <c r="DHS5" s="390"/>
      <c r="DHT5" s="390"/>
      <c r="DHU5" s="390"/>
      <c r="DHV5" s="390"/>
      <c r="DHW5" s="390"/>
      <c r="DHX5" s="390"/>
      <c r="DHY5" s="390"/>
      <c r="DHZ5" s="390"/>
      <c r="DIA5" s="390"/>
      <c r="DIB5" s="390"/>
      <c r="DIC5" s="390"/>
      <c r="DID5" s="390"/>
      <c r="DIE5" s="390"/>
      <c r="DIF5" s="390"/>
      <c r="DIG5" s="390"/>
      <c r="DIH5" s="390"/>
      <c r="DII5" s="390"/>
      <c r="DIJ5" s="390"/>
      <c r="DIK5" s="390"/>
      <c r="DIL5" s="390"/>
      <c r="DIM5" s="390"/>
      <c r="DIN5" s="390"/>
      <c r="DIO5" s="390"/>
      <c r="DIP5" s="390"/>
      <c r="DIQ5" s="390"/>
      <c r="DIR5" s="390"/>
      <c r="DIS5" s="390"/>
      <c r="DIT5" s="390"/>
      <c r="DIU5" s="390"/>
      <c r="DIV5" s="390"/>
      <c r="DIW5" s="390"/>
      <c r="DIX5" s="390"/>
      <c r="DIY5" s="390"/>
      <c r="DIZ5" s="390"/>
      <c r="DJA5" s="390"/>
      <c r="DJB5" s="390"/>
      <c r="DJC5" s="390"/>
      <c r="DJD5" s="390"/>
      <c r="DJE5" s="390"/>
      <c r="DJF5" s="390"/>
      <c r="DJG5" s="390"/>
      <c r="DJH5" s="390"/>
      <c r="DJI5" s="390"/>
      <c r="DJJ5" s="390"/>
      <c r="DJK5" s="390"/>
      <c r="DJL5" s="390"/>
      <c r="DJM5" s="390"/>
      <c r="DJN5" s="390"/>
      <c r="DJO5" s="390"/>
      <c r="DJP5" s="390"/>
      <c r="DJQ5" s="390"/>
      <c r="DJR5" s="390"/>
      <c r="DJS5" s="390"/>
      <c r="DJT5" s="390"/>
      <c r="DJU5" s="390"/>
      <c r="DJV5" s="390"/>
      <c r="DJW5" s="390"/>
      <c r="DJX5" s="390"/>
      <c r="DJY5" s="390"/>
      <c r="DJZ5" s="390"/>
      <c r="DKA5" s="390"/>
      <c r="DKB5" s="390"/>
      <c r="DKC5" s="390"/>
      <c r="DKD5" s="390"/>
      <c r="DKE5" s="390"/>
      <c r="DKF5" s="390"/>
      <c r="DKG5" s="390"/>
      <c r="DKH5" s="390"/>
      <c r="DKI5" s="390"/>
      <c r="DKJ5" s="390"/>
      <c r="DKK5" s="390"/>
      <c r="DKL5" s="390"/>
      <c r="DKM5" s="390"/>
      <c r="DKN5" s="390"/>
      <c r="DKO5" s="390"/>
      <c r="DKP5" s="390"/>
      <c r="DKQ5" s="390"/>
      <c r="DKR5" s="390"/>
      <c r="DKS5" s="390"/>
      <c r="DKT5" s="390"/>
      <c r="DKU5" s="390"/>
      <c r="DKV5" s="390"/>
      <c r="DKW5" s="390"/>
      <c r="DKX5" s="390"/>
      <c r="DKY5" s="390"/>
      <c r="DKZ5" s="390"/>
      <c r="DLA5" s="390"/>
      <c r="DLB5" s="390"/>
      <c r="DLC5" s="390"/>
      <c r="DLD5" s="390"/>
      <c r="DLE5" s="390"/>
      <c r="DLF5" s="390"/>
      <c r="DLG5" s="390"/>
      <c r="DLH5" s="390"/>
      <c r="DLI5" s="390"/>
      <c r="DLJ5" s="390"/>
      <c r="DLK5" s="390"/>
      <c r="DLL5" s="390"/>
      <c r="DLM5" s="390"/>
      <c r="DLN5" s="390"/>
      <c r="DLO5" s="390"/>
      <c r="DLP5" s="390"/>
      <c r="DLQ5" s="390"/>
      <c r="DLR5" s="390"/>
      <c r="DLS5" s="390"/>
      <c r="DLT5" s="390"/>
      <c r="DLU5" s="390"/>
      <c r="DLV5" s="390"/>
      <c r="DLW5" s="390"/>
      <c r="DLX5" s="390"/>
      <c r="DLY5" s="390"/>
      <c r="DLZ5" s="390"/>
      <c r="DMA5" s="390"/>
      <c r="DMB5" s="390"/>
      <c r="DMC5" s="390"/>
      <c r="DMD5" s="390"/>
      <c r="DME5" s="390"/>
      <c r="DMF5" s="390"/>
      <c r="DMG5" s="390"/>
      <c r="DMH5" s="390"/>
      <c r="DMI5" s="390"/>
      <c r="DMJ5" s="390"/>
      <c r="DMK5" s="390"/>
      <c r="DML5" s="390"/>
      <c r="DMM5" s="390"/>
      <c r="DMN5" s="390"/>
      <c r="DMO5" s="390"/>
      <c r="DMP5" s="390"/>
      <c r="DMQ5" s="390"/>
      <c r="DMR5" s="390"/>
      <c r="DMS5" s="390"/>
      <c r="DMT5" s="390"/>
      <c r="DMU5" s="390"/>
      <c r="DMV5" s="390"/>
      <c r="DMW5" s="390"/>
      <c r="DMX5" s="390"/>
      <c r="DMY5" s="390"/>
      <c r="DMZ5" s="390"/>
      <c r="DNA5" s="390"/>
      <c r="DNB5" s="390"/>
      <c r="DNC5" s="390"/>
      <c r="DND5" s="390"/>
      <c r="DNE5" s="390"/>
      <c r="DNF5" s="390"/>
      <c r="DNG5" s="390"/>
      <c r="DNH5" s="390"/>
      <c r="DNI5" s="390"/>
      <c r="DNJ5" s="390"/>
      <c r="DNK5" s="390"/>
      <c r="DNL5" s="390"/>
      <c r="DNM5" s="390"/>
      <c r="DNN5" s="390"/>
      <c r="DNO5" s="390"/>
      <c r="DNP5" s="390"/>
      <c r="DNQ5" s="390"/>
      <c r="DNR5" s="390"/>
      <c r="DNS5" s="390"/>
      <c r="DNT5" s="390"/>
      <c r="DNU5" s="390"/>
      <c r="DNV5" s="390"/>
      <c r="DNW5" s="390"/>
      <c r="DNX5" s="390"/>
      <c r="DNY5" s="390"/>
      <c r="DNZ5" s="390"/>
      <c r="DOA5" s="390"/>
      <c r="DOB5" s="390"/>
      <c r="DOC5" s="390"/>
      <c r="DOD5" s="390"/>
      <c r="DOE5" s="390"/>
      <c r="DOF5" s="390"/>
      <c r="DOG5" s="390"/>
      <c r="DOH5" s="390"/>
      <c r="DOI5" s="390"/>
      <c r="DOJ5" s="390"/>
      <c r="DOK5" s="390"/>
      <c r="DOL5" s="390"/>
      <c r="DOM5" s="390"/>
      <c r="DON5" s="390"/>
      <c r="DOO5" s="390"/>
      <c r="DOP5" s="390"/>
      <c r="DOQ5" s="390"/>
      <c r="DOR5" s="390"/>
      <c r="DOS5" s="390"/>
      <c r="DOT5" s="390"/>
      <c r="DOU5" s="390"/>
      <c r="DOV5" s="390"/>
      <c r="DOW5" s="390"/>
      <c r="DOX5" s="390"/>
      <c r="DOY5" s="390"/>
      <c r="DOZ5" s="390"/>
      <c r="DPA5" s="390"/>
      <c r="DPB5" s="390"/>
      <c r="DPC5" s="390"/>
      <c r="DPD5" s="390"/>
      <c r="DPE5" s="390"/>
      <c r="DPF5" s="390"/>
      <c r="DPG5" s="390"/>
      <c r="DPH5" s="390"/>
      <c r="DPI5" s="390"/>
      <c r="DPJ5" s="390"/>
      <c r="DPK5" s="390"/>
      <c r="DPL5" s="390"/>
      <c r="DPM5" s="390"/>
      <c r="DPN5" s="390"/>
      <c r="DPO5" s="390"/>
      <c r="DPP5" s="390"/>
      <c r="DPQ5" s="390"/>
      <c r="DPR5" s="390"/>
      <c r="DPS5" s="390"/>
      <c r="DPT5" s="390"/>
      <c r="DPU5" s="390"/>
      <c r="DPV5" s="390"/>
      <c r="DPW5" s="390"/>
      <c r="DPX5" s="390"/>
      <c r="DPY5" s="390"/>
      <c r="DPZ5" s="390"/>
      <c r="DQA5" s="390"/>
      <c r="DQB5" s="390"/>
      <c r="DQC5" s="390"/>
      <c r="DQD5" s="390"/>
      <c r="DQE5" s="390"/>
      <c r="DQF5" s="390"/>
      <c r="DQG5" s="390"/>
      <c r="DQH5" s="390"/>
      <c r="DQI5" s="390"/>
      <c r="DQJ5" s="390"/>
      <c r="DQK5" s="390"/>
      <c r="DQL5" s="390"/>
      <c r="DQM5" s="390"/>
      <c r="DQN5" s="390"/>
      <c r="DQO5" s="390"/>
      <c r="DQP5" s="390"/>
      <c r="DQQ5" s="390"/>
      <c r="DQR5" s="390"/>
      <c r="DQS5" s="390"/>
      <c r="DQT5" s="390"/>
      <c r="DQU5" s="390"/>
      <c r="DQV5" s="390"/>
      <c r="DQW5" s="390"/>
      <c r="DQX5" s="390"/>
      <c r="DQY5" s="390"/>
      <c r="DQZ5" s="390"/>
      <c r="DRA5" s="390"/>
      <c r="DRB5" s="390"/>
      <c r="DRC5" s="390"/>
      <c r="DRD5" s="390"/>
      <c r="DRE5" s="390"/>
      <c r="DRF5" s="390"/>
      <c r="DRG5" s="390"/>
      <c r="DRH5" s="390"/>
      <c r="DRI5" s="390"/>
      <c r="DRJ5" s="390"/>
      <c r="DRK5" s="390"/>
      <c r="DRL5" s="390"/>
      <c r="DRM5" s="390"/>
      <c r="DRN5" s="390"/>
      <c r="DRO5" s="390"/>
      <c r="DRP5" s="390"/>
      <c r="DRQ5" s="390"/>
      <c r="DRR5" s="390"/>
      <c r="DRS5" s="390"/>
      <c r="DRT5" s="390"/>
      <c r="DRU5" s="390"/>
      <c r="DRV5" s="390"/>
      <c r="DRW5" s="390"/>
      <c r="DRX5" s="390"/>
      <c r="DRY5" s="390"/>
      <c r="DRZ5" s="390"/>
      <c r="DSA5" s="390"/>
      <c r="DSB5" s="390"/>
      <c r="DSC5" s="390"/>
      <c r="DSD5" s="390"/>
      <c r="DSE5" s="390"/>
      <c r="DSF5" s="390"/>
      <c r="DSG5" s="390"/>
      <c r="DSH5" s="390"/>
      <c r="DSI5" s="390"/>
      <c r="DSJ5" s="390"/>
      <c r="DSK5" s="390"/>
      <c r="DSL5" s="390"/>
      <c r="DSM5" s="390"/>
      <c r="DSN5" s="390"/>
      <c r="DSO5" s="390"/>
      <c r="DSP5" s="390"/>
      <c r="DSQ5" s="390"/>
      <c r="DSR5" s="390"/>
      <c r="DSS5" s="390"/>
      <c r="DST5" s="390"/>
      <c r="DSU5" s="390"/>
      <c r="DSV5" s="390"/>
      <c r="DSW5" s="390"/>
      <c r="DSX5" s="390"/>
      <c r="DSY5" s="390"/>
      <c r="DSZ5" s="390"/>
      <c r="DTA5" s="390"/>
      <c r="DTB5" s="390"/>
      <c r="DTC5" s="390"/>
      <c r="DTD5" s="390"/>
      <c r="DTE5" s="390"/>
      <c r="DTF5" s="390"/>
      <c r="DTG5" s="390"/>
      <c r="DTH5" s="390"/>
      <c r="DTI5" s="390"/>
      <c r="DTJ5" s="390"/>
      <c r="DTK5" s="390"/>
      <c r="DTL5" s="390"/>
      <c r="DTM5" s="390"/>
      <c r="DTN5" s="390"/>
      <c r="DTO5" s="390"/>
      <c r="DTP5" s="390"/>
      <c r="DTQ5" s="390"/>
      <c r="DTR5" s="390"/>
      <c r="DTS5" s="390"/>
      <c r="DTT5" s="390"/>
      <c r="DTU5" s="390"/>
      <c r="DTV5" s="390"/>
      <c r="DTW5" s="390"/>
      <c r="DTX5" s="390"/>
      <c r="DTY5" s="390"/>
      <c r="DTZ5" s="390"/>
      <c r="DUA5" s="390"/>
      <c r="DUB5" s="390"/>
      <c r="DUC5" s="390"/>
      <c r="DUD5" s="390"/>
      <c r="DUE5" s="390"/>
      <c r="DUF5" s="390"/>
      <c r="DUG5" s="390"/>
      <c r="DUH5" s="390"/>
      <c r="DUI5" s="390"/>
      <c r="DUJ5" s="390"/>
      <c r="DUK5" s="390"/>
      <c r="DUL5" s="390"/>
      <c r="DUM5" s="390"/>
      <c r="DUN5" s="390"/>
      <c r="DUO5" s="390"/>
      <c r="DUP5" s="390"/>
      <c r="DUQ5" s="390"/>
      <c r="DUR5" s="390"/>
      <c r="DUS5" s="390"/>
      <c r="DUT5" s="390"/>
      <c r="DUU5" s="390"/>
      <c r="DUV5" s="390"/>
      <c r="DUW5" s="390"/>
      <c r="DUX5" s="390"/>
      <c r="DUY5" s="390"/>
      <c r="DUZ5" s="390"/>
      <c r="DVA5" s="390"/>
      <c r="DVB5" s="390"/>
      <c r="DVC5" s="390"/>
      <c r="DVD5" s="390"/>
      <c r="DVE5" s="390"/>
      <c r="DVF5" s="390"/>
      <c r="DVG5" s="390"/>
      <c r="DVH5" s="390"/>
      <c r="DVI5" s="390"/>
      <c r="DVJ5" s="390"/>
      <c r="DVK5" s="390"/>
      <c r="DVL5" s="390"/>
      <c r="DVM5" s="390"/>
      <c r="DVN5" s="390"/>
      <c r="DVO5" s="390"/>
      <c r="DVP5" s="390"/>
      <c r="DVQ5" s="390"/>
      <c r="DVR5" s="390"/>
      <c r="DVS5" s="390"/>
      <c r="DVT5" s="390"/>
      <c r="DVU5" s="390"/>
      <c r="DVV5" s="390"/>
      <c r="DVW5" s="390"/>
      <c r="DVX5" s="390"/>
      <c r="DVY5" s="390"/>
      <c r="DVZ5" s="390"/>
      <c r="DWA5" s="390"/>
      <c r="DWB5" s="390"/>
      <c r="DWC5" s="390"/>
      <c r="DWD5" s="390"/>
      <c r="DWE5" s="390"/>
      <c r="DWF5" s="390"/>
      <c r="DWG5" s="390"/>
      <c r="DWH5" s="390"/>
      <c r="DWI5" s="390"/>
      <c r="DWJ5" s="390"/>
      <c r="DWK5" s="390"/>
      <c r="DWL5" s="390"/>
      <c r="DWM5" s="390"/>
      <c r="DWN5" s="390"/>
      <c r="DWO5" s="390"/>
      <c r="DWP5" s="390"/>
      <c r="DWQ5" s="390"/>
      <c r="DWR5" s="390"/>
      <c r="DWS5" s="390"/>
      <c r="DWT5" s="390"/>
      <c r="DWU5" s="390"/>
      <c r="DWV5" s="390"/>
      <c r="DWW5" s="390"/>
      <c r="DWX5" s="390"/>
      <c r="DWY5" s="390"/>
      <c r="DWZ5" s="390"/>
      <c r="DXA5" s="390"/>
      <c r="DXB5" s="390"/>
      <c r="DXC5" s="390"/>
      <c r="DXD5" s="390"/>
      <c r="DXE5" s="390"/>
      <c r="DXF5" s="390"/>
      <c r="DXG5" s="390"/>
      <c r="DXH5" s="390"/>
      <c r="DXI5" s="390"/>
      <c r="DXJ5" s="390"/>
      <c r="DXK5" s="390"/>
      <c r="DXL5" s="390"/>
      <c r="DXM5" s="390"/>
      <c r="DXN5" s="390"/>
      <c r="DXO5" s="390"/>
      <c r="DXP5" s="390"/>
      <c r="DXQ5" s="390"/>
      <c r="DXR5" s="390"/>
      <c r="DXS5" s="390"/>
      <c r="DXT5" s="390"/>
      <c r="DXU5" s="390"/>
      <c r="DXV5" s="390"/>
      <c r="DXW5" s="390"/>
      <c r="DXX5" s="390"/>
      <c r="DXY5" s="390"/>
      <c r="DXZ5" s="390"/>
      <c r="DYA5" s="390"/>
      <c r="DYB5" s="390"/>
      <c r="DYC5" s="390"/>
      <c r="DYD5" s="390"/>
      <c r="DYE5" s="390"/>
      <c r="DYF5" s="390"/>
      <c r="DYG5" s="390"/>
      <c r="DYH5" s="390"/>
      <c r="DYI5" s="390"/>
      <c r="DYJ5" s="390"/>
      <c r="DYK5" s="390"/>
      <c r="DYL5" s="390"/>
      <c r="DYM5" s="390"/>
      <c r="DYN5" s="390"/>
      <c r="DYO5" s="390"/>
      <c r="DYP5" s="390"/>
      <c r="DYQ5" s="390"/>
      <c r="DYR5" s="390"/>
      <c r="DYS5" s="390"/>
      <c r="DYT5" s="390"/>
      <c r="DYU5" s="390"/>
      <c r="DYV5" s="390"/>
      <c r="DYW5" s="390"/>
      <c r="DYX5" s="390"/>
      <c r="DYY5" s="390"/>
      <c r="DYZ5" s="390"/>
      <c r="DZA5" s="390"/>
      <c r="DZB5" s="390"/>
      <c r="DZC5" s="390"/>
      <c r="DZD5" s="390"/>
      <c r="DZE5" s="390"/>
      <c r="DZF5" s="390"/>
      <c r="DZG5" s="390"/>
      <c r="DZH5" s="390"/>
      <c r="DZI5" s="390"/>
      <c r="DZJ5" s="390"/>
      <c r="DZK5" s="390"/>
      <c r="DZL5" s="390"/>
      <c r="DZM5" s="390"/>
      <c r="DZN5" s="390"/>
      <c r="DZO5" s="390"/>
      <c r="DZP5" s="390"/>
      <c r="DZQ5" s="390"/>
      <c r="DZR5" s="390"/>
      <c r="DZS5" s="390"/>
      <c r="DZT5" s="390"/>
      <c r="DZU5" s="390"/>
      <c r="DZV5" s="390"/>
      <c r="DZW5" s="390"/>
      <c r="DZX5" s="390"/>
      <c r="DZY5" s="390"/>
      <c r="DZZ5" s="390"/>
      <c r="EAA5" s="390"/>
      <c r="EAB5" s="390"/>
      <c r="EAC5" s="390"/>
      <c r="EAD5" s="390"/>
      <c r="EAE5" s="390"/>
      <c r="EAF5" s="390"/>
      <c r="EAG5" s="390"/>
      <c r="EAH5" s="390"/>
      <c r="EAI5" s="390"/>
      <c r="EAJ5" s="390"/>
      <c r="EAK5" s="390"/>
      <c r="EAL5" s="390"/>
      <c r="EAM5" s="390"/>
      <c r="EAN5" s="390"/>
      <c r="EAO5" s="390"/>
      <c r="EAP5" s="390"/>
      <c r="EAQ5" s="390"/>
      <c r="EAR5" s="390"/>
      <c r="EAS5" s="390"/>
      <c r="EAT5" s="390"/>
      <c r="EAU5" s="390"/>
      <c r="EAV5" s="390"/>
      <c r="EAW5" s="390"/>
      <c r="EAX5" s="390"/>
      <c r="EAY5" s="390"/>
      <c r="EAZ5" s="390"/>
      <c r="EBA5" s="390"/>
      <c r="EBB5" s="390"/>
      <c r="EBC5" s="390"/>
      <c r="EBD5" s="390"/>
      <c r="EBE5" s="390"/>
      <c r="EBF5" s="390"/>
      <c r="EBG5" s="390"/>
      <c r="EBH5" s="390"/>
      <c r="EBI5" s="390"/>
      <c r="EBJ5" s="390"/>
      <c r="EBK5" s="390"/>
      <c r="EBL5" s="390"/>
      <c r="EBM5" s="390"/>
      <c r="EBN5" s="390"/>
      <c r="EBO5" s="390"/>
      <c r="EBP5" s="390"/>
      <c r="EBQ5" s="390"/>
      <c r="EBR5" s="390"/>
      <c r="EBS5" s="390"/>
      <c r="EBT5" s="390"/>
      <c r="EBU5" s="390"/>
      <c r="EBV5" s="390"/>
      <c r="EBW5" s="390"/>
      <c r="EBX5" s="390"/>
      <c r="EBY5" s="390"/>
      <c r="EBZ5" s="390"/>
      <c r="ECA5" s="390"/>
      <c r="ECB5" s="390"/>
      <c r="ECC5" s="390"/>
      <c r="ECD5" s="390"/>
      <c r="ECE5" s="390"/>
      <c r="ECF5" s="390"/>
      <c r="ECG5" s="390"/>
      <c r="ECH5" s="390"/>
      <c r="ECI5" s="390"/>
      <c r="ECJ5" s="390"/>
      <c r="ECK5" s="390"/>
      <c r="ECL5" s="390"/>
      <c r="ECM5" s="390"/>
      <c r="ECN5" s="390"/>
      <c r="ECO5" s="390"/>
      <c r="ECP5" s="390"/>
      <c r="ECQ5" s="390"/>
      <c r="ECR5" s="390"/>
      <c r="ECS5" s="390"/>
      <c r="ECT5" s="390"/>
      <c r="ECU5" s="390"/>
      <c r="ECV5" s="390"/>
      <c r="ECW5" s="390"/>
      <c r="ECX5" s="390"/>
      <c r="ECY5" s="390"/>
      <c r="ECZ5" s="390"/>
      <c r="EDA5" s="390"/>
      <c r="EDB5" s="390"/>
      <c r="EDC5" s="390"/>
      <c r="EDD5" s="390"/>
      <c r="EDE5" s="390"/>
      <c r="EDF5" s="390"/>
      <c r="EDG5" s="390"/>
      <c r="EDH5" s="390"/>
      <c r="EDI5" s="390"/>
      <c r="EDJ5" s="390"/>
      <c r="EDK5" s="390"/>
      <c r="EDL5" s="390"/>
      <c r="EDM5" s="390"/>
      <c r="EDN5" s="390"/>
      <c r="EDO5" s="390"/>
      <c r="EDP5" s="390"/>
      <c r="EDQ5" s="390"/>
      <c r="EDR5" s="390"/>
      <c r="EDS5" s="390"/>
      <c r="EDT5" s="390"/>
      <c r="EDU5" s="390"/>
      <c r="EDV5" s="390"/>
      <c r="EDW5" s="390"/>
      <c r="EDX5" s="390"/>
      <c r="EDY5" s="390"/>
      <c r="EDZ5" s="390"/>
      <c r="EEA5" s="390"/>
      <c r="EEB5" s="390"/>
      <c r="EEC5" s="390"/>
      <c r="EED5" s="390"/>
      <c r="EEE5" s="390"/>
      <c r="EEF5" s="390"/>
      <c r="EEG5" s="390"/>
      <c r="EEH5" s="390"/>
      <c r="EEI5" s="390"/>
      <c r="EEJ5" s="390"/>
      <c r="EEK5" s="390"/>
      <c r="EEL5" s="390"/>
      <c r="EEM5" s="390"/>
      <c r="EEN5" s="390"/>
      <c r="EEO5" s="390"/>
      <c r="EEP5" s="390"/>
      <c r="EEQ5" s="390"/>
      <c r="EER5" s="390"/>
      <c r="EES5" s="390"/>
      <c r="EET5" s="390"/>
      <c r="EEU5" s="390"/>
      <c r="EEV5" s="390"/>
      <c r="EEW5" s="390"/>
      <c r="EEX5" s="390"/>
      <c r="EEY5" s="390"/>
      <c r="EEZ5" s="390"/>
      <c r="EFA5" s="390"/>
      <c r="EFB5" s="390"/>
      <c r="EFC5" s="390"/>
      <c r="EFD5" s="390"/>
      <c r="EFE5" s="390"/>
      <c r="EFF5" s="390"/>
      <c r="EFG5" s="390"/>
      <c r="EFH5" s="390"/>
      <c r="EFI5" s="390"/>
      <c r="EFJ5" s="390"/>
      <c r="EFK5" s="390"/>
      <c r="EFL5" s="390"/>
      <c r="EFM5" s="390"/>
      <c r="EFN5" s="390"/>
      <c r="EFO5" s="390"/>
      <c r="EFP5" s="390"/>
      <c r="EFQ5" s="390"/>
      <c r="EFR5" s="390"/>
      <c r="EFS5" s="390"/>
      <c r="EFT5" s="390"/>
      <c r="EFU5" s="390"/>
      <c r="EFV5" s="390"/>
      <c r="EFW5" s="390"/>
      <c r="EFX5" s="390"/>
      <c r="EFY5" s="390"/>
      <c r="EFZ5" s="390"/>
      <c r="EGA5" s="390"/>
      <c r="EGB5" s="390"/>
      <c r="EGC5" s="390"/>
      <c r="EGD5" s="390"/>
      <c r="EGE5" s="390"/>
      <c r="EGF5" s="390"/>
      <c r="EGG5" s="390"/>
      <c r="EGH5" s="390"/>
      <c r="EGI5" s="390"/>
      <c r="EGJ5" s="390"/>
      <c r="EGK5" s="390"/>
      <c r="EGL5" s="390"/>
      <c r="EGM5" s="390"/>
      <c r="EGN5" s="390"/>
      <c r="EGO5" s="390"/>
      <c r="EGP5" s="390"/>
      <c r="EGQ5" s="390"/>
      <c r="EGR5" s="390"/>
      <c r="EGS5" s="390"/>
      <c r="EGT5" s="390"/>
      <c r="EGU5" s="390"/>
      <c r="EGV5" s="390"/>
      <c r="EGW5" s="390"/>
      <c r="EGX5" s="390"/>
      <c r="EGY5" s="390"/>
      <c r="EGZ5" s="390"/>
      <c r="EHA5" s="390"/>
      <c r="EHB5" s="390"/>
      <c r="EHC5" s="390"/>
      <c r="EHD5" s="390"/>
      <c r="EHE5" s="390"/>
      <c r="EHF5" s="390"/>
      <c r="EHG5" s="390"/>
      <c r="EHH5" s="390"/>
      <c r="EHI5" s="390"/>
      <c r="EHJ5" s="390"/>
      <c r="EHK5" s="390"/>
      <c r="EHL5" s="390"/>
      <c r="EHM5" s="390"/>
      <c r="EHN5" s="390"/>
      <c r="EHO5" s="390"/>
      <c r="EHP5" s="390"/>
      <c r="EHQ5" s="390"/>
      <c r="EHR5" s="390"/>
      <c r="EHS5" s="390"/>
      <c r="EHT5" s="390"/>
      <c r="EHU5" s="390"/>
      <c r="EHV5" s="390"/>
      <c r="EHW5" s="390"/>
      <c r="EHX5" s="390"/>
      <c r="EHY5" s="390"/>
      <c r="EHZ5" s="390"/>
      <c r="EIA5" s="390"/>
      <c r="EIB5" s="390"/>
      <c r="EIC5" s="390"/>
      <c r="EID5" s="390"/>
      <c r="EIE5" s="390"/>
      <c r="EIF5" s="390"/>
      <c r="EIG5" s="390"/>
      <c r="EIH5" s="390"/>
      <c r="EII5" s="390"/>
      <c r="EIJ5" s="390"/>
      <c r="EIK5" s="390"/>
      <c r="EIL5" s="390"/>
      <c r="EIM5" s="390"/>
      <c r="EIN5" s="390"/>
      <c r="EIO5" s="390"/>
      <c r="EIP5" s="390"/>
      <c r="EIQ5" s="390"/>
      <c r="EIR5" s="390"/>
      <c r="EIS5" s="390"/>
      <c r="EIT5" s="390"/>
      <c r="EIU5" s="390"/>
      <c r="EIV5" s="390"/>
      <c r="EIW5" s="390"/>
      <c r="EIX5" s="390"/>
      <c r="EIY5" s="390"/>
      <c r="EIZ5" s="390"/>
      <c r="EJA5" s="390"/>
      <c r="EJB5" s="390"/>
      <c r="EJC5" s="390"/>
      <c r="EJD5" s="390"/>
      <c r="EJE5" s="390"/>
      <c r="EJF5" s="390"/>
      <c r="EJG5" s="390"/>
      <c r="EJH5" s="390"/>
      <c r="EJI5" s="390"/>
      <c r="EJJ5" s="390"/>
      <c r="EJK5" s="390"/>
      <c r="EJL5" s="390"/>
      <c r="EJM5" s="390"/>
      <c r="EJN5" s="390"/>
      <c r="EJO5" s="390"/>
      <c r="EJP5" s="390"/>
      <c r="EJQ5" s="390"/>
      <c r="EJR5" s="390"/>
      <c r="EJS5" s="390"/>
      <c r="EJT5" s="390"/>
      <c r="EJU5" s="390"/>
      <c r="EJV5" s="390"/>
      <c r="EJW5" s="390"/>
      <c r="EJX5" s="390"/>
      <c r="EJY5" s="390"/>
      <c r="EJZ5" s="390"/>
      <c r="EKA5" s="390"/>
      <c r="EKB5" s="390"/>
      <c r="EKC5" s="390"/>
      <c r="EKD5" s="390"/>
      <c r="EKE5" s="390"/>
      <c r="EKF5" s="390"/>
      <c r="EKG5" s="390"/>
      <c r="EKH5" s="390"/>
      <c r="EKI5" s="390"/>
      <c r="EKJ5" s="390"/>
      <c r="EKK5" s="390"/>
      <c r="EKL5" s="390"/>
      <c r="EKM5" s="390"/>
      <c r="EKN5" s="390"/>
      <c r="EKO5" s="390"/>
      <c r="EKP5" s="390"/>
      <c r="EKQ5" s="390"/>
      <c r="EKR5" s="390"/>
      <c r="EKS5" s="390"/>
      <c r="EKT5" s="390"/>
      <c r="EKU5" s="390"/>
      <c r="EKV5" s="390"/>
      <c r="EKW5" s="390"/>
      <c r="EKX5" s="390"/>
      <c r="EKY5" s="390"/>
      <c r="EKZ5" s="390"/>
      <c r="ELA5" s="390"/>
      <c r="ELB5" s="390"/>
      <c r="ELC5" s="390"/>
      <c r="ELD5" s="390"/>
      <c r="ELE5" s="390"/>
      <c r="ELF5" s="390"/>
      <c r="ELG5" s="390"/>
      <c r="ELH5" s="390"/>
      <c r="ELI5" s="390"/>
      <c r="ELJ5" s="390"/>
      <c r="ELK5" s="390"/>
      <c r="ELL5" s="390"/>
      <c r="ELM5" s="390"/>
      <c r="ELN5" s="390"/>
      <c r="ELO5" s="390"/>
      <c r="ELP5" s="390"/>
      <c r="ELQ5" s="390"/>
      <c r="ELR5" s="390"/>
      <c r="ELS5" s="390"/>
      <c r="ELT5" s="390"/>
      <c r="ELU5" s="390"/>
      <c r="ELV5" s="390"/>
      <c r="ELW5" s="390"/>
      <c r="ELX5" s="390"/>
      <c r="ELY5" s="390"/>
      <c r="ELZ5" s="390"/>
      <c r="EMA5" s="390"/>
      <c r="EMB5" s="390"/>
      <c r="EMC5" s="390"/>
      <c r="EMD5" s="390"/>
      <c r="EME5" s="390"/>
      <c r="EMF5" s="390"/>
      <c r="EMG5" s="390"/>
      <c r="EMH5" s="390"/>
      <c r="EMI5" s="390"/>
      <c r="EMJ5" s="390"/>
      <c r="EMK5" s="390"/>
      <c r="EML5" s="390"/>
      <c r="EMM5" s="390"/>
      <c r="EMN5" s="390"/>
      <c r="EMO5" s="390"/>
      <c r="EMP5" s="390"/>
      <c r="EMQ5" s="390"/>
      <c r="EMR5" s="390"/>
      <c r="EMS5" s="390"/>
      <c r="EMT5" s="390"/>
      <c r="EMU5" s="390"/>
      <c r="EMV5" s="390"/>
      <c r="EMW5" s="390"/>
      <c r="EMX5" s="390"/>
      <c r="EMY5" s="390"/>
      <c r="EMZ5" s="390"/>
      <c r="ENA5" s="390"/>
      <c r="ENB5" s="390"/>
      <c r="ENC5" s="390"/>
      <c r="END5" s="390"/>
      <c r="ENE5" s="390"/>
      <c r="ENF5" s="390"/>
      <c r="ENG5" s="390"/>
      <c r="ENH5" s="390"/>
      <c r="ENI5" s="390"/>
      <c r="ENJ5" s="390"/>
      <c r="ENK5" s="390"/>
      <c r="ENL5" s="390"/>
      <c r="ENM5" s="390"/>
      <c r="ENN5" s="390"/>
      <c r="ENO5" s="390"/>
      <c r="ENP5" s="390"/>
      <c r="ENQ5" s="390"/>
      <c r="ENR5" s="390"/>
      <c r="ENS5" s="390"/>
      <c r="ENT5" s="390"/>
      <c r="ENU5" s="390"/>
      <c r="ENV5" s="390"/>
      <c r="ENW5" s="390"/>
      <c r="ENX5" s="390"/>
      <c r="ENY5" s="390"/>
      <c r="ENZ5" s="390"/>
      <c r="EOA5" s="390"/>
      <c r="EOB5" s="390"/>
      <c r="EOC5" s="390"/>
      <c r="EOD5" s="390"/>
      <c r="EOE5" s="390"/>
      <c r="EOF5" s="390"/>
      <c r="EOG5" s="390"/>
      <c r="EOH5" s="390"/>
      <c r="EOI5" s="390"/>
      <c r="EOJ5" s="390"/>
      <c r="EOK5" s="390"/>
      <c r="EOL5" s="390"/>
      <c r="EOM5" s="390"/>
      <c r="EON5" s="390"/>
      <c r="EOO5" s="390"/>
      <c r="EOP5" s="390"/>
      <c r="EOQ5" s="390"/>
      <c r="EOR5" s="390"/>
      <c r="EOS5" s="390"/>
      <c r="EOT5" s="390"/>
      <c r="EOU5" s="390"/>
      <c r="EOV5" s="390"/>
      <c r="EOW5" s="390"/>
      <c r="EOX5" s="390"/>
      <c r="EOY5" s="390"/>
      <c r="EOZ5" s="390"/>
      <c r="EPA5" s="390"/>
      <c r="EPB5" s="390"/>
      <c r="EPC5" s="390"/>
      <c r="EPD5" s="390"/>
      <c r="EPE5" s="390"/>
      <c r="EPF5" s="390"/>
      <c r="EPG5" s="390"/>
      <c r="EPH5" s="390"/>
      <c r="EPI5" s="390"/>
      <c r="EPJ5" s="390"/>
      <c r="EPK5" s="390"/>
      <c r="EPL5" s="390"/>
      <c r="EPM5" s="390"/>
      <c r="EPN5" s="390"/>
      <c r="EPO5" s="390"/>
      <c r="EPP5" s="390"/>
      <c r="EPQ5" s="390"/>
      <c r="EPR5" s="390"/>
      <c r="EPS5" s="390"/>
      <c r="EPT5" s="390"/>
      <c r="EPU5" s="390"/>
      <c r="EPV5" s="390"/>
      <c r="EPW5" s="390"/>
      <c r="EPX5" s="390"/>
      <c r="EPY5" s="390"/>
      <c r="EPZ5" s="390"/>
      <c r="EQA5" s="390"/>
      <c r="EQB5" s="390"/>
      <c r="EQC5" s="390"/>
      <c r="EQD5" s="390"/>
      <c r="EQE5" s="390"/>
      <c r="EQF5" s="390"/>
      <c r="EQG5" s="390"/>
      <c r="EQH5" s="390"/>
      <c r="EQI5" s="390"/>
      <c r="EQJ5" s="390"/>
      <c r="EQK5" s="390"/>
      <c r="EQL5" s="390"/>
      <c r="EQM5" s="390"/>
      <c r="EQN5" s="390"/>
      <c r="EQO5" s="390"/>
      <c r="EQP5" s="390"/>
      <c r="EQQ5" s="390"/>
      <c r="EQR5" s="390"/>
      <c r="EQS5" s="390"/>
      <c r="EQT5" s="390"/>
      <c r="EQU5" s="390"/>
      <c r="EQV5" s="390"/>
      <c r="EQW5" s="390"/>
      <c r="EQX5" s="390"/>
      <c r="EQY5" s="390"/>
      <c r="EQZ5" s="390"/>
      <c r="ERA5" s="390"/>
      <c r="ERB5" s="390"/>
      <c r="ERC5" s="390"/>
      <c r="ERD5" s="390"/>
      <c r="ERE5" s="390"/>
      <c r="ERF5" s="390"/>
      <c r="ERG5" s="390"/>
      <c r="ERH5" s="390"/>
      <c r="ERI5" s="390"/>
      <c r="ERJ5" s="390"/>
      <c r="ERK5" s="390"/>
      <c r="ERL5" s="390"/>
      <c r="ERM5" s="390"/>
      <c r="ERN5" s="390"/>
      <c r="ERO5" s="390"/>
      <c r="ERP5" s="390"/>
      <c r="ERQ5" s="390"/>
      <c r="ERR5" s="390"/>
      <c r="ERS5" s="390"/>
      <c r="ERT5" s="390"/>
      <c r="ERU5" s="390"/>
      <c r="ERV5" s="390"/>
      <c r="ERW5" s="390"/>
      <c r="ERX5" s="390"/>
      <c r="ERY5" s="390"/>
      <c r="ERZ5" s="390"/>
      <c r="ESA5" s="390"/>
      <c r="ESB5" s="390"/>
      <c r="ESC5" s="390"/>
      <c r="ESD5" s="390"/>
      <c r="ESE5" s="390"/>
      <c r="ESF5" s="390"/>
      <c r="ESG5" s="390"/>
      <c r="ESH5" s="390"/>
      <c r="ESI5" s="390"/>
      <c r="ESJ5" s="390"/>
      <c r="ESK5" s="390"/>
      <c r="ESL5" s="390"/>
      <c r="ESM5" s="390"/>
      <c r="ESN5" s="390"/>
      <c r="ESO5" s="390"/>
      <c r="ESP5" s="390"/>
      <c r="ESQ5" s="390"/>
      <c r="ESR5" s="390"/>
      <c r="ESS5" s="390"/>
      <c r="EST5" s="390"/>
      <c r="ESU5" s="390"/>
      <c r="ESV5" s="390"/>
      <c r="ESW5" s="390"/>
      <c r="ESX5" s="390"/>
      <c r="ESY5" s="390"/>
      <c r="ESZ5" s="390"/>
      <c r="ETA5" s="390"/>
      <c r="ETB5" s="390"/>
      <c r="ETC5" s="390"/>
      <c r="ETD5" s="390"/>
      <c r="ETE5" s="390"/>
      <c r="ETF5" s="390"/>
      <c r="ETG5" s="390"/>
      <c r="ETH5" s="390"/>
      <c r="ETI5" s="390"/>
      <c r="ETJ5" s="390"/>
      <c r="ETK5" s="390"/>
      <c r="ETL5" s="390"/>
      <c r="ETM5" s="390"/>
      <c r="ETN5" s="390"/>
      <c r="ETO5" s="390"/>
      <c r="ETP5" s="390"/>
      <c r="ETQ5" s="390"/>
      <c r="ETR5" s="390"/>
      <c r="ETS5" s="390"/>
      <c r="ETT5" s="390"/>
      <c r="ETU5" s="390"/>
      <c r="ETV5" s="390"/>
      <c r="ETW5" s="390"/>
      <c r="ETX5" s="390"/>
      <c r="ETY5" s="390"/>
      <c r="ETZ5" s="390"/>
      <c r="EUA5" s="390"/>
      <c r="EUB5" s="390"/>
      <c r="EUC5" s="390"/>
      <c r="EUD5" s="390"/>
      <c r="EUE5" s="390"/>
      <c r="EUF5" s="390"/>
      <c r="EUG5" s="390"/>
      <c r="EUH5" s="390"/>
      <c r="EUI5" s="390"/>
      <c r="EUJ5" s="390"/>
      <c r="EUK5" s="390"/>
      <c r="EUL5" s="390"/>
      <c r="EUM5" s="390"/>
      <c r="EUN5" s="390"/>
      <c r="EUO5" s="390"/>
      <c r="EUP5" s="390"/>
      <c r="EUQ5" s="390"/>
      <c r="EUR5" s="390"/>
      <c r="EUS5" s="390"/>
      <c r="EUT5" s="390"/>
      <c r="EUU5" s="390"/>
      <c r="EUV5" s="390"/>
      <c r="EUW5" s="390"/>
      <c r="EUX5" s="390"/>
      <c r="EUY5" s="390"/>
      <c r="EUZ5" s="390"/>
      <c r="EVA5" s="390"/>
      <c r="EVB5" s="390"/>
      <c r="EVC5" s="390"/>
      <c r="EVD5" s="390"/>
      <c r="EVE5" s="390"/>
      <c r="EVF5" s="390"/>
      <c r="EVG5" s="390"/>
      <c r="EVH5" s="390"/>
      <c r="EVI5" s="390"/>
      <c r="EVJ5" s="390"/>
      <c r="EVK5" s="390"/>
      <c r="EVL5" s="390"/>
      <c r="EVM5" s="390"/>
      <c r="EVN5" s="390"/>
      <c r="EVO5" s="390"/>
      <c r="EVP5" s="390"/>
      <c r="EVQ5" s="390"/>
      <c r="EVR5" s="390"/>
      <c r="EVS5" s="390"/>
      <c r="EVT5" s="390"/>
      <c r="EVU5" s="390"/>
      <c r="EVV5" s="390"/>
      <c r="EVW5" s="390"/>
      <c r="EVX5" s="390"/>
      <c r="EVY5" s="390"/>
      <c r="EVZ5" s="390"/>
      <c r="EWA5" s="390"/>
      <c r="EWB5" s="390"/>
      <c r="EWC5" s="390"/>
      <c r="EWD5" s="390"/>
      <c r="EWE5" s="390"/>
      <c r="EWF5" s="390"/>
      <c r="EWG5" s="390"/>
      <c r="EWH5" s="390"/>
      <c r="EWI5" s="390"/>
      <c r="EWJ5" s="390"/>
      <c r="EWK5" s="390"/>
      <c r="EWL5" s="390"/>
      <c r="EWM5" s="390"/>
      <c r="EWN5" s="390"/>
      <c r="EWO5" s="390"/>
      <c r="EWP5" s="390"/>
      <c r="EWQ5" s="390"/>
      <c r="EWR5" s="390"/>
      <c r="EWS5" s="390"/>
      <c r="EWT5" s="390"/>
      <c r="EWU5" s="390"/>
      <c r="EWV5" s="390"/>
      <c r="EWW5" s="390"/>
      <c r="EWX5" s="390"/>
      <c r="EWY5" s="390"/>
      <c r="EWZ5" s="390"/>
      <c r="EXA5" s="390"/>
      <c r="EXB5" s="390"/>
      <c r="EXC5" s="390"/>
      <c r="EXD5" s="390"/>
      <c r="EXE5" s="390"/>
      <c r="EXF5" s="390"/>
      <c r="EXG5" s="390"/>
      <c r="EXH5" s="390"/>
      <c r="EXI5" s="390"/>
      <c r="EXJ5" s="390"/>
      <c r="EXK5" s="390"/>
      <c r="EXL5" s="390"/>
      <c r="EXM5" s="390"/>
      <c r="EXN5" s="390"/>
      <c r="EXO5" s="390"/>
      <c r="EXP5" s="390"/>
      <c r="EXQ5" s="390"/>
      <c r="EXR5" s="390"/>
      <c r="EXS5" s="390"/>
      <c r="EXT5" s="390"/>
      <c r="EXU5" s="390"/>
      <c r="EXV5" s="390"/>
      <c r="EXW5" s="390"/>
      <c r="EXX5" s="390"/>
      <c r="EXY5" s="390"/>
      <c r="EXZ5" s="390"/>
      <c r="EYA5" s="390"/>
      <c r="EYB5" s="390"/>
      <c r="EYC5" s="390"/>
      <c r="EYD5" s="390"/>
      <c r="EYE5" s="390"/>
      <c r="EYF5" s="390"/>
      <c r="EYG5" s="390"/>
      <c r="EYH5" s="390"/>
      <c r="EYI5" s="390"/>
      <c r="EYJ5" s="390"/>
      <c r="EYK5" s="390"/>
      <c r="EYL5" s="390"/>
      <c r="EYM5" s="390"/>
      <c r="EYN5" s="390"/>
      <c r="EYO5" s="390"/>
      <c r="EYP5" s="390"/>
      <c r="EYQ5" s="390"/>
      <c r="EYR5" s="390"/>
      <c r="EYS5" s="390"/>
      <c r="EYT5" s="390"/>
      <c r="EYU5" s="390"/>
      <c r="EYV5" s="390"/>
      <c r="EYW5" s="390"/>
      <c r="EYX5" s="390"/>
      <c r="EYY5" s="390"/>
      <c r="EYZ5" s="390"/>
      <c r="EZA5" s="390"/>
      <c r="EZB5" s="390"/>
      <c r="EZC5" s="390"/>
      <c r="EZD5" s="390"/>
      <c r="EZE5" s="390"/>
      <c r="EZF5" s="390"/>
      <c r="EZG5" s="390"/>
      <c r="EZH5" s="390"/>
      <c r="EZI5" s="390"/>
      <c r="EZJ5" s="390"/>
      <c r="EZK5" s="390"/>
      <c r="EZL5" s="390"/>
      <c r="EZM5" s="390"/>
      <c r="EZN5" s="390"/>
      <c r="EZO5" s="390"/>
      <c r="EZP5" s="390"/>
      <c r="EZQ5" s="390"/>
      <c r="EZR5" s="390"/>
      <c r="EZS5" s="390"/>
      <c r="EZT5" s="390"/>
      <c r="EZU5" s="390"/>
      <c r="EZV5" s="390"/>
      <c r="EZW5" s="390"/>
      <c r="EZX5" s="390"/>
      <c r="EZY5" s="390"/>
      <c r="EZZ5" s="390"/>
      <c r="FAA5" s="390"/>
      <c r="FAB5" s="390"/>
      <c r="FAC5" s="390"/>
      <c r="FAD5" s="390"/>
      <c r="FAE5" s="390"/>
      <c r="FAF5" s="390"/>
      <c r="FAG5" s="390"/>
      <c r="FAH5" s="390"/>
      <c r="FAI5" s="390"/>
      <c r="FAJ5" s="390"/>
      <c r="FAK5" s="390"/>
      <c r="FAL5" s="390"/>
      <c r="FAM5" s="390"/>
      <c r="FAN5" s="390"/>
      <c r="FAO5" s="390"/>
      <c r="FAP5" s="390"/>
      <c r="FAQ5" s="390"/>
      <c r="FAR5" s="390"/>
      <c r="FAS5" s="390"/>
      <c r="FAT5" s="390"/>
      <c r="FAU5" s="390"/>
      <c r="FAV5" s="390"/>
      <c r="FAW5" s="390"/>
      <c r="FAX5" s="390"/>
      <c r="FAY5" s="390"/>
      <c r="FAZ5" s="390"/>
      <c r="FBA5" s="390"/>
      <c r="FBB5" s="390"/>
      <c r="FBC5" s="390"/>
      <c r="FBD5" s="390"/>
      <c r="FBE5" s="390"/>
      <c r="FBF5" s="390"/>
      <c r="FBG5" s="390"/>
      <c r="FBH5" s="390"/>
      <c r="FBI5" s="390"/>
      <c r="FBJ5" s="390"/>
      <c r="FBK5" s="390"/>
      <c r="FBL5" s="390"/>
      <c r="FBM5" s="390"/>
      <c r="FBN5" s="390"/>
      <c r="FBO5" s="390"/>
      <c r="FBP5" s="390"/>
      <c r="FBQ5" s="390"/>
      <c r="FBR5" s="390"/>
      <c r="FBS5" s="390"/>
      <c r="FBT5" s="390"/>
      <c r="FBU5" s="390"/>
      <c r="FBV5" s="390"/>
      <c r="FBW5" s="390"/>
      <c r="FBX5" s="390"/>
      <c r="FBY5" s="390"/>
      <c r="FBZ5" s="390"/>
      <c r="FCA5" s="390"/>
      <c r="FCB5" s="390"/>
      <c r="FCC5" s="390"/>
      <c r="FCD5" s="390"/>
      <c r="FCE5" s="390"/>
      <c r="FCF5" s="390"/>
      <c r="FCG5" s="390"/>
      <c r="FCH5" s="390"/>
      <c r="FCI5" s="390"/>
      <c r="FCJ5" s="390"/>
      <c r="FCK5" s="390"/>
      <c r="FCL5" s="390"/>
      <c r="FCM5" s="390"/>
      <c r="FCN5" s="390"/>
      <c r="FCO5" s="390"/>
      <c r="FCP5" s="390"/>
      <c r="FCQ5" s="390"/>
      <c r="FCR5" s="390"/>
      <c r="FCS5" s="390"/>
      <c r="FCT5" s="390"/>
      <c r="FCU5" s="390"/>
      <c r="FCV5" s="390"/>
      <c r="FCW5" s="390"/>
      <c r="FCX5" s="390"/>
      <c r="FCY5" s="390"/>
      <c r="FCZ5" s="390"/>
      <c r="FDA5" s="390"/>
      <c r="FDB5" s="390"/>
      <c r="FDC5" s="390"/>
      <c r="FDD5" s="390"/>
      <c r="FDE5" s="390"/>
      <c r="FDF5" s="390"/>
      <c r="FDG5" s="390"/>
      <c r="FDH5" s="390"/>
      <c r="FDI5" s="390"/>
      <c r="FDJ5" s="390"/>
      <c r="FDK5" s="390"/>
      <c r="FDL5" s="390"/>
      <c r="FDM5" s="390"/>
      <c r="FDN5" s="390"/>
      <c r="FDO5" s="390"/>
      <c r="FDP5" s="390"/>
      <c r="FDQ5" s="390"/>
      <c r="FDR5" s="390"/>
      <c r="FDS5" s="390"/>
      <c r="FDT5" s="390"/>
      <c r="FDU5" s="390"/>
      <c r="FDV5" s="390"/>
      <c r="FDW5" s="390"/>
      <c r="FDX5" s="390"/>
      <c r="FDY5" s="390"/>
      <c r="FDZ5" s="390"/>
      <c r="FEA5" s="390"/>
      <c r="FEB5" s="390"/>
      <c r="FEC5" s="390"/>
      <c r="FED5" s="390"/>
      <c r="FEE5" s="390"/>
      <c r="FEF5" s="390"/>
      <c r="FEG5" s="390"/>
      <c r="FEH5" s="390"/>
      <c r="FEI5" s="390"/>
      <c r="FEJ5" s="390"/>
      <c r="FEK5" s="390"/>
      <c r="FEL5" s="390"/>
      <c r="FEM5" s="390"/>
      <c r="FEN5" s="390"/>
      <c r="FEO5" s="390"/>
      <c r="FEP5" s="390"/>
      <c r="FEQ5" s="390"/>
      <c r="FER5" s="390"/>
      <c r="FES5" s="390"/>
      <c r="FET5" s="390"/>
      <c r="FEU5" s="390"/>
      <c r="FEV5" s="390"/>
      <c r="FEW5" s="390"/>
      <c r="FEX5" s="390"/>
      <c r="FEY5" s="390"/>
      <c r="FEZ5" s="390"/>
      <c r="FFA5" s="390"/>
      <c r="FFB5" s="390"/>
      <c r="FFC5" s="390"/>
      <c r="FFD5" s="390"/>
      <c r="FFE5" s="390"/>
      <c r="FFF5" s="390"/>
      <c r="FFG5" s="390"/>
      <c r="FFH5" s="390"/>
      <c r="FFI5" s="390"/>
      <c r="FFJ5" s="390"/>
      <c r="FFK5" s="390"/>
      <c r="FFL5" s="390"/>
      <c r="FFM5" s="390"/>
      <c r="FFN5" s="390"/>
      <c r="FFO5" s="390"/>
      <c r="FFP5" s="390"/>
      <c r="FFQ5" s="390"/>
      <c r="FFR5" s="390"/>
      <c r="FFS5" s="390"/>
      <c r="FFT5" s="390"/>
      <c r="FFU5" s="390"/>
      <c r="FFV5" s="390"/>
      <c r="FFW5" s="390"/>
      <c r="FFX5" s="390"/>
      <c r="FFY5" s="390"/>
      <c r="FFZ5" s="390"/>
      <c r="FGA5" s="390"/>
      <c r="FGB5" s="390"/>
      <c r="FGC5" s="390"/>
      <c r="FGD5" s="390"/>
      <c r="FGE5" s="390"/>
      <c r="FGF5" s="390"/>
      <c r="FGG5" s="390"/>
      <c r="FGH5" s="390"/>
      <c r="FGI5" s="390"/>
      <c r="FGJ5" s="390"/>
      <c r="FGK5" s="390"/>
      <c r="FGL5" s="390"/>
      <c r="FGM5" s="390"/>
      <c r="FGN5" s="390"/>
      <c r="FGO5" s="390"/>
      <c r="FGP5" s="390"/>
      <c r="FGQ5" s="390"/>
      <c r="FGR5" s="390"/>
      <c r="FGS5" s="390"/>
      <c r="FGT5" s="390"/>
      <c r="FGU5" s="390"/>
      <c r="FGV5" s="390"/>
      <c r="FGW5" s="390"/>
      <c r="FGX5" s="390"/>
      <c r="FGY5" s="390"/>
      <c r="FGZ5" s="390"/>
      <c r="FHA5" s="390"/>
      <c r="FHB5" s="390"/>
      <c r="FHC5" s="390"/>
      <c r="FHD5" s="390"/>
      <c r="FHE5" s="390"/>
      <c r="FHF5" s="390"/>
      <c r="FHG5" s="390"/>
      <c r="FHH5" s="390"/>
      <c r="FHI5" s="390"/>
      <c r="FHJ5" s="390"/>
      <c r="FHK5" s="390"/>
      <c r="FHL5" s="390"/>
      <c r="FHM5" s="390"/>
      <c r="FHN5" s="390"/>
      <c r="FHO5" s="390"/>
      <c r="FHP5" s="390"/>
      <c r="FHQ5" s="390"/>
      <c r="FHR5" s="390"/>
      <c r="FHS5" s="390"/>
      <c r="FHT5" s="390"/>
      <c r="FHU5" s="390"/>
      <c r="FHV5" s="390"/>
      <c r="FHW5" s="390"/>
      <c r="FHX5" s="390"/>
      <c r="FHY5" s="390"/>
      <c r="FHZ5" s="390"/>
      <c r="FIA5" s="390"/>
      <c r="FIB5" s="390"/>
      <c r="FIC5" s="390"/>
      <c r="FID5" s="390"/>
      <c r="FIE5" s="390"/>
      <c r="FIF5" s="390"/>
      <c r="FIG5" s="390"/>
      <c r="FIH5" s="390"/>
      <c r="FII5" s="390"/>
      <c r="FIJ5" s="390"/>
      <c r="FIK5" s="390"/>
      <c r="FIL5" s="390"/>
      <c r="FIM5" s="390"/>
      <c r="FIN5" s="390"/>
      <c r="FIO5" s="390"/>
      <c r="FIP5" s="390"/>
      <c r="FIQ5" s="390"/>
      <c r="FIR5" s="390"/>
      <c r="FIS5" s="390"/>
      <c r="FIT5" s="390"/>
      <c r="FIU5" s="390"/>
      <c r="FIV5" s="390"/>
      <c r="FIW5" s="390"/>
      <c r="FIX5" s="390"/>
      <c r="FIY5" s="390"/>
      <c r="FIZ5" s="390"/>
      <c r="FJA5" s="390"/>
      <c r="FJB5" s="390"/>
      <c r="FJC5" s="390"/>
      <c r="FJD5" s="390"/>
      <c r="FJE5" s="390"/>
      <c r="FJF5" s="390"/>
      <c r="FJG5" s="390"/>
      <c r="FJH5" s="390"/>
      <c r="FJI5" s="390"/>
      <c r="FJJ5" s="390"/>
      <c r="FJK5" s="390"/>
      <c r="FJL5" s="390"/>
      <c r="FJM5" s="390"/>
      <c r="FJN5" s="390"/>
      <c r="FJO5" s="390"/>
      <c r="FJP5" s="390"/>
      <c r="FJQ5" s="390"/>
      <c r="FJR5" s="390"/>
      <c r="FJS5" s="390"/>
      <c r="FJT5" s="390"/>
      <c r="FJU5" s="390"/>
      <c r="FJV5" s="390"/>
      <c r="FJW5" s="390"/>
      <c r="FJX5" s="390"/>
      <c r="FJY5" s="390"/>
      <c r="FJZ5" s="390"/>
      <c r="FKA5" s="390"/>
      <c r="FKB5" s="390"/>
      <c r="FKC5" s="390"/>
      <c r="FKD5" s="390"/>
      <c r="FKE5" s="390"/>
      <c r="FKF5" s="390"/>
      <c r="FKG5" s="390"/>
      <c r="FKH5" s="390"/>
      <c r="FKI5" s="390"/>
      <c r="FKJ5" s="390"/>
      <c r="FKK5" s="390"/>
      <c r="FKL5" s="390"/>
      <c r="FKM5" s="390"/>
      <c r="FKN5" s="390"/>
      <c r="FKO5" s="390"/>
      <c r="FKP5" s="390"/>
      <c r="FKQ5" s="390"/>
      <c r="FKR5" s="390"/>
      <c r="FKS5" s="390"/>
      <c r="FKT5" s="390"/>
      <c r="FKU5" s="390"/>
      <c r="FKV5" s="390"/>
      <c r="FKW5" s="390"/>
      <c r="FKX5" s="390"/>
      <c r="FKY5" s="390"/>
      <c r="FKZ5" s="390"/>
      <c r="FLA5" s="390"/>
      <c r="FLB5" s="390"/>
      <c r="FLC5" s="390"/>
      <c r="FLD5" s="390"/>
      <c r="FLE5" s="390"/>
      <c r="FLF5" s="390"/>
      <c r="FLG5" s="390"/>
      <c r="FLH5" s="390"/>
      <c r="FLI5" s="390"/>
      <c r="FLJ5" s="390"/>
      <c r="FLK5" s="390"/>
      <c r="FLL5" s="390"/>
      <c r="FLM5" s="390"/>
      <c r="FLN5" s="390"/>
      <c r="FLO5" s="390"/>
      <c r="FLP5" s="390"/>
      <c r="FLQ5" s="390"/>
      <c r="FLR5" s="390"/>
      <c r="FLS5" s="390"/>
      <c r="FLT5" s="390"/>
      <c r="FLU5" s="390"/>
      <c r="FLV5" s="390"/>
      <c r="FLW5" s="390"/>
      <c r="FLX5" s="390"/>
      <c r="FLY5" s="390"/>
      <c r="FLZ5" s="390"/>
      <c r="FMA5" s="390"/>
      <c r="FMB5" s="390"/>
      <c r="FMC5" s="390"/>
      <c r="FMD5" s="390"/>
      <c r="FME5" s="390"/>
      <c r="FMF5" s="390"/>
      <c r="FMG5" s="390"/>
      <c r="FMH5" s="390"/>
      <c r="FMI5" s="390"/>
      <c r="FMJ5" s="390"/>
      <c r="FMK5" s="390"/>
      <c r="FML5" s="390"/>
      <c r="FMM5" s="390"/>
      <c r="FMN5" s="390"/>
      <c r="FMO5" s="390"/>
      <c r="FMP5" s="390"/>
      <c r="FMQ5" s="390"/>
      <c r="FMR5" s="390"/>
      <c r="FMS5" s="390"/>
      <c r="FMT5" s="390"/>
      <c r="FMU5" s="390"/>
      <c r="FMV5" s="390"/>
      <c r="FMW5" s="390"/>
      <c r="FMX5" s="390"/>
      <c r="FMY5" s="390"/>
      <c r="FMZ5" s="390"/>
      <c r="FNA5" s="390"/>
      <c r="FNB5" s="390"/>
      <c r="FNC5" s="390"/>
      <c r="FND5" s="390"/>
      <c r="FNE5" s="390"/>
      <c r="FNF5" s="390"/>
      <c r="FNG5" s="390"/>
      <c r="FNH5" s="390"/>
      <c r="FNI5" s="390"/>
      <c r="FNJ5" s="390"/>
      <c r="FNK5" s="390"/>
      <c r="FNL5" s="390"/>
      <c r="FNM5" s="390"/>
      <c r="FNN5" s="390"/>
      <c r="FNO5" s="390"/>
      <c r="FNP5" s="390"/>
      <c r="FNQ5" s="390"/>
      <c r="FNR5" s="390"/>
      <c r="FNS5" s="390"/>
      <c r="FNT5" s="390"/>
      <c r="FNU5" s="390"/>
      <c r="FNV5" s="390"/>
      <c r="FNW5" s="390"/>
      <c r="FNX5" s="390"/>
      <c r="FNY5" s="390"/>
      <c r="FNZ5" s="390"/>
      <c r="FOA5" s="390"/>
      <c r="FOB5" s="390"/>
      <c r="FOC5" s="390"/>
      <c r="FOD5" s="390"/>
      <c r="FOE5" s="390"/>
      <c r="FOF5" s="390"/>
      <c r="FOG5" s="390"/>
      <c r="FOH5" s="390"/>
      <c r="FOI5" s="390"/>
      <c r="FOJ5" s="390"/>
      <c r="FOK5" s="390"/>
      <c r="FOL5" s="390"/>
      <c r="FOM5" s="390"/>
      <c r="FON5" s="390"/>
      <c r="FOO5" s="390"/>
      <c r="FOP5" s="390"/>
      <c r="FOQ5" s="390"/>
      <c r="FOR5" s="390"/>
      <c r="FOS5" s="390"/>
      <c r="FOT5" s="390"/>
      <c r="FOU5" s="390"/>
      <c r="FOV5" s="390"/>
      <c r="FOW5" s="390"/>
      <c r="FOX5" s="390"/>
      <c r="FOY5" s="390"/>
      <c r="FOZ5" s="390"/>
      <c r="FPA5" s="390"/>
      <c r="FPB5" s="390"/>
      <c r="FPC5" s="390"/>
      <c r="FPD5" s="390"/>
      <c r="FPE5" s="390"/>
      <c r="FPF5" s="390"/>
      <c r="FPG5" s="390"/>
      <c r="FPH5" s="390"/>
      <c r="FPI5" s="390"/>
      <c r="FPJ5" s="390"/>
      <c r="FPK5" s="390"/>
      <c r="FPL5" s="390"/>
      <c r="FPM5" s="390"/>
      <c r="FPN5" s="390"/>
      <c r="FPO5" s="390"/>
      <c r="FPP5" s="390"/>
      <c r="FPQ5" s="390"/>
      <c r="FPR5" s="390"/>
      <c r="FPS5" s="390"/>
      <c r="FPT5" s="390"/>
      <c r="FPU5" s="390"/>
      <c r="FPV5" s="390"/>
      <c r="FPW5" s="390"/>
      <c r="FPX5" s="390"/>
      <c r="FPY5" s="390"/>
      <c r="FPZ5" s="390"/>
      <c r="FQA5" s="390"/>
      <c r="FQB5" s="390"/>
      <c r="FQC5" s="390"/>
      <c r="FQD5" s="390"/>
      <c r="FQE5" s="390"/>
      <c r="FQF5" s="390"/>
      <c r="FQG5" s="390"/>
      <c r="FQH5" s="390"/>
      <c r="FQI5" s="390"/>
      <c r="FQJ5" s="390"/>
      <c r="FQK5" s="390"/>
      <c r="FQL5" s="390"/>
      <c r="FQM5" s="390"/>
      <c r="FQN5" s="390"/>
      <c r="FQO5" s="390"/>
      <c r="FQP5" s="390"/>
      <c r="FQQ5" s="390"/>
      <c r="FQR5" s="390"/>
      <c r="FQS5" s="390"/>
      <c r="FQT5" s="390"/>
      <c r="FQU5" s="390"/>
      <c r="FQV5" s="390"/>
      <c r="FQW5" s="390"/>
      <c r="FQX5" s="390"/>
      <c r="FQY5" s="390"/>
      <c r="FQZ5" s="390"/>
      <c r="FRA5" s="390"/>
      <c r="FRB5" s="390"/>
      <c r="FRC5" s="390"/>
      <c r="FRD5" s="390"/>
      <c r="FRE5" s="390"/>
      <c r="FRF5" s="390"/>
      <c r="FRG5" s="390"/>
      <c r="FRH5" s="390"/>
      <c r="FRI5" s="390"/>
      <c r="FRJ5" s="390"/>
      <c r="FRK5" s="390"/>
      <c r="FRL5" s="390"/>
      <c r="FRM5" s="390"/>
      <c r="FRN5" s="390"/>
      <c r="FRO5" s="390"/>
      <c r="FRP5" s="390"/>
      <c r="FRQ5" s="390"/>
      <c r="FRR5" s="390"/>
      <c r="FRS5" s="390"/>
      <c r="FRT5" s="390"/>
      <c r="FRU5" s="390"/>
      <c r="FRV5" s="390"/>
      <c r="FRW5" s="390"/>
      <c r="FRX5" s="390"/>
      <c r="FRY5" s="390"/>
      <c r="FRZ5" s="390"/>
      <c r="FSA5" s="390"/>
      <c r="FSB5" s="390"/>
      <c r="FSC5" s="390"/>
      <c r="FSD5" s="390"/>
      <c r="FSE5" s="390"/>
      <c r="FSF5" s="390"/>
      <c r="FSG5" s="390"/>
      <c r="FSH5" s="390"/>
      <c r="FSI5" s="390"/>
      <c r="FSJ5" s="390"/>
      <c r="FSK5" s="390"/>
      <c r="FSL5" s="390"/>
      <c r="FSM5" s="390"/>
      <c r="FSN5" s="390"/>
      <c r="FSO5" s="390"/>
      <c r="FSP5" s="390"/>
      <c r="FSQ5" s="390"/>
      <c r="FSR5" s="390"/>
      <c r="FSS5" s="390"/>
      <c r="FST5" s="390"/>
      <c r="FSU5" s="390"/>
      <c r="FSV5" s="390"/>
      <c r="FSW5" s="390"/>
      <c r="FSX5" s="390"/>
      <c r="FSY5" s="390"/>
      <c r="FSZ5" s="390"/>
      <c r="FTA5" s="390"/>
      <c r="FTB5" s="390"/>
      <c r="FTC5" s="390"/>
      <c r="FTD5" s="390"/>
      <c r="FTE5" s="390"/>
      <c r="FTF5" s="390"/>
      <c r="FTG5" s="390"/>
      <c r="FTH5" s="390"/>
      <c r="FTI5" s="390"/>
      <c r="FTJ5" s="390"/>
      <c r="FTK5" s="390"/>
      <c r="FTL5" s="390"/>
      <c r="FTM5" s="390"/>
      <c r="FTN5" s="390"/>
      <c r="FTO5" s="390"/>
      <c r="FTP5" s="390"/>
      <c r="FTQ5" s="390"/>
      <c r="FTR5" s="390"/>
      <c r="FTS5" s="390"/>
      <c r="FTT5" s="390"/>
      <c r="FTU5" s="390"/>
      <c r="FTV5" s="390"/>
      <c r="FTW5" s="390"/>
      <c r="FTX5" s="390"/>
      <c r="FTY5" s="390"/>
      <c r="FTZ5" s="390"/>
      <c r="FUA5" s="390"/>
      <c r="FUB5" s="390"/>
      <c r="FUC5" s="390"/>
      <c r="FUD5" s="390"/>
      <c r="FUE5" s="390"/>
      <c r="FUF5" s="390"/>
      <c r="FUG5" s="390"/>
      <c r="FUH5" s="390"/>
      <c r="FUI5" s="390"/>
      <c r="FUJ5" s="390"/>
      <c r="FUK5" s="390"/>
      <c r="FUL5" s="390"/>
      <c r="FUM5" s="390"/>
      <c r="FUN5" s="390"/>
      <c r="FUO5" s="390"/>
      <c r="FUP5" s="390"/>
      <c r="FUQ5" s="390"/>
      <c r="FUR5" s="390"/>
      <c r="FUS5" s="390"/>
      <c r="FUT5" s="390"/>
      <c r="FUU5" s="390"/>
      <c r="FUV5" s="390"/>
      <c r="FUW5" s="390"/>
      <c r="FUX5" s="390"/>
      <c r="FUY5" s="390"/>
      <c r="FUZ5" s="390"/>
      <c r="FVA5" s="390"/>
      <c r="FVB5" s="390"/>
      <c r="FVC5" s="390"/>
      <c r="FVD5" s="390"/>
      <c r="FVE5" s="390"/>
      <c r="FVF5" s="390"/>
      <c r="FVG5" s="390"/>
      <c r="FVH5" s="390"/>
      <c r="FVI5" s="390"/>
      <c r="FVJ5" s="390"/>
      <c r="FVK5" s="390"/>
      <c r="FVL5" s="390"/>
      <c r="FVM5" s="390"/>
      <c r="FVN5" s="390"/>
      <c r="FVO5" s="390"/>
      <c r="FVP5" s="390"/>
      <c r="FVQ5" s="390"/>
      <c r="FVR5" s="390"/>
      <c r="FVS5" s="390"/>
      <c r="FVT5" s="390"/>
      <c r="FVU5" s="390"/>
      <c r="FVV5" s="390"/>
      <c r="FVW5" s="390"/>
      <c r="FVX5" s="390"/>
      <c r="FVY5" s="390"/>
      <c r="FVZ5" s="390"/>
      <c r="FWA5" s="390"/>
      <c r="FWB5" s="390"/>
      <c r="FWC5" s="390"/>
      <c r="FWD5" s="390"/>
      <c r="FWE5" s="390"/>
      <c r="FWF5" s="390"/>
      <c r="FWG5" s="390"/>
      <c r="FWH5" s="390"/>
      <c r="FWI5" s="390"/>
      <c r="FWJ5" s="390"/>
      <c r="FWK5" s="390"/>
      <c r="FWL5" s="390"/>
      <c r="FWM5" s="390"/>
      <c r="FWN5" s="390"/>
      <c r="FWO5" s="390"/>
      <c r="FWP5" s="390"/>
      <c r="FWQ5" s="390"/>
      <c r="FWR5" s="390"/>
      <c r="FWS5" s="390"/>
      <c r="FWT5" s="390"/>
      <c r="FWU5" s="390"/>
      <c r="FWV5" s="390"/>
      <c r="FWW5" s="390"/>
      <c r="FWX5" s="390"/>
      <c r="FWY5" s="390"/>
      <c r="FWZ5" s="390"/>
      <c r="FXA5" s="390"/>
      <c r="FXB5" s="390"/>
      <c r="FXC5" s="390"/>
      <c r="FXD5" s="390"/>
      <c r="FXE5" s="390"/>
      <c r="FXF5" s="390"/>
      <c r="FXG5" s="390"/>
      <c r="FXH5" s="390"/>
      <c r="FXI5" s="390"/>
      <c r="FXJ5" s="390"/>
      <c r="FXK5" s="390"/>
      <c r="FXL5" s="390"/>
      <c r="FXM5" s="390"/>
      <c r="FXN5" s="390"/>
      <c r="FXO5" s="390"/>
      <c r="FXP5" s="390"/>
      <c r="FXQ5" s="390"/>
      <c r="FXR5" s="390"/>
      <c r="FXS5" s="390"/>
      <c r="FXT5" s="390"/>
      <c r="FXU5" s="390"/>
      <c r="FXV5" s="390"/>
      <c r="FXW5" s="390"/>
      <c r="FXX5" s="390"/>
      <c r="FXY5" s="390"/>
      <c r="FXZ5" s="390"/>
      <c r="FYA5" s="390"/>
      <c r="FYB5" s="390"/>
      <c r="FYC5" s="390"/>
      <c r="FYD5" s="390"/>
      <c r="FYE5" s="390"/>
      <c r="FYF5" s="390"/>
      <c r="FYG5" s="390"/>
      <c r="FYH5" s="390"/>
      <c r="FYI5" s="390"/>
      <c r="FYJ5" s="390"/>
      <c r="FYK5" s="390"/>
      <c r="FYL5" s="390"/>
      <c r="FYM5" s="390"/>
      <c r="FYN5" s="390"/>
      <c r="FYO5" s="390"/>
      <c r="FYP5" s="390"/>
      <c r="FYQ5" s="390"/>
      <c r="FYR5" s="390"/>
      <c r="FYS5" s="390"/>
      <c r="FYT5" s="390"/>
      <c r="FYU5" s="390"/>
      <c r="FYV5" s="390"/>
      <c r="FYW5" s="390"/>
      <c r="FYX5" s="390"/>
      <c r="FYY5" s="390"/>
      <c r="FYZ5" s="390"/>
      <c r="FZA5" s="390"/>
      <c r="FZB5" s="390"/>
      <c r="FZC5" s="390"/>
      <c r="FZD5" s="390"/>
      <c r="FZE5" s="390"/>
      <c r="FZF5" s="390"/>
      <c r="FZG5" s="390"/>
      <c r="FZH5" s="390"/>
      <c r="FZI5" s="390"/>
      <c r="FZJ5" s="390"/>
      <c r="FZK5" s="390"/>
      <c r="FZL5" s="390"/>
      <c r="FZM5" s="390"/>
      <c r="FZN5" s="390"/>
      <c r="FZO5" s="390"/>
      <c r="FZP5" s="390"/>
      <c r="FZQ5" s="390"/>
      <c r="FZR5" s="390"/>
      <c r="FZS5" s="390"/>
      <c r="FZT5" s="390"/>
      <c r="FZU5" s="390"/>
      <c r="FZV5" s="390"/>
      <c r="FZW5" s="390"/>
      <c r="FZX5" s="390"/>
      <c r="FZY5" s="390"/>
      <c r="FZZ5" s="390"/>
      <c r="GAA5" s="390"/>
      <c r="GAB5" s="390"/>
      <c r="GAC5" s="390"/>
      <c r="GAD5" s="390"/>
      <c r="GAE5" s="390"/>
      <c r="GAF5" s="390"/>
      <c r="GAG5" s="390"/>
      <c r="GAH5" s="390"/>
      <c r="GAI5" s="390"/>
      <c r="GAJ5" s="390"/>
      <c r="GAK5" s="390"/>
      <c r="GAL5" s="390"/>
      <c r="GAM5" s="390"/>
      <c r="GAN5" s="390"/>
      <c r="GAO5" s="390"/>
      <c r="GAP5" s="390"/>
      <c r="GAQ5" s="390"/>
      <c r="GAR5" s="390"/>
      <c r="GAS5" s="390"/>
      <c r="GAT5" s="390"/>
      <c r="GAU5" s="390"/>
      <c r="GAV5" s="390"/>
      <c r="GAW5" s="390"/>
      <c r="GAX5" s="390"/>
      <c r="GAY5" s="390"/>
      <c r="GAZ5" s="390"/>
      <c r="GBA5" s="390"/>
      <c r="GBB5" s="390"/>
      <c r="GBC5" s="390"/>
      <c r="GBD5" s="390"/>
      <c r="GBE5" s="390"/>
      <c r="GBF5" s="390"/>
      <c r="GBG5" s="390"/>
      <c r="GBH5" s="390"/>
      <c r="GBI5" s="390"/>
      <c r="GBJ5" s="390"/>
      <c r="GBK5" s="390"/>
      <c r="GBL5" s="390"/>
      <c r="GBM5" s="390"/>
      <c r="GBN5" s="390"/>
      <c r="GBO5" s="390"/>
      <c r="GBP5" s="390"/>
      <c r="GBQ5" s="390"/>
      <c r="GBR5" s="390"/>
      <c r="GBS5" s="390"/>
      <c r="GBT5" s="390"/>
      <c r="GBU5" s="390"/>
      <c r="GBV5" s="390"/>
      <c r="GBW5" s="390"/>
      <c r="GBX5" s="390"/>
      <c r="GBY5" s="390"/>
      <c r="GBZ5" s="390"/>
      <c r="GCA5" s="390"/>
      <c r="GCB5" s="390"/>
      <c r="GCC5" s="390"/>
      <c r="GCD5" s="390"/>
      <c r="GCE5" s="390"/>
      <c r="GCF5" s="390"/>
      <c r="GCG5" s="390"/>
      <c r="GCH5" s="390"/>
      <c r="GCI5" s="390"/>
      <c r="GCJ5" s="390"/>
      <c r="GCK5" s="390"/>
      <c r="GCL5" s="390"/>
      <c r="GCM5" s="390"/>
      <c r="GCN5" s="390"/>
      <c r="GCO5" s="390"/>
      <c r="GCP5" s="390"/>
      <c r="GCQ5" s="390"/>
      <c r="GCR5" s="390"/>
      <c r="GCS5" s="390"/>
      <c r="GCT5" s="390"/>
      <c r="GCU5" s="390"/>
      <c r="GCV5" s="390"/>
      <c r="GCW5" s="390"/>
      <c r="GCX5" s="390"/>
      <c r="GCY5" s="390"/>
      <c r="GCZ5" s="390"/>
      <c r="GDA5" s="390"/>
      <c r="GDB5" s="390"/>
      <c r="GDC5" s="390"/>
      <c r="GDD5" s="390"/>
      <c r="GDE5" s="390"/>
      <c r="GDF5" s="390"/>
      <c r="GDG5" s="390"/>
      <c r="GDH5" s="390"/>
      <c r="GDI5" s="390"/>
      <c r="GDJ5" s="390"/>
      <c r="GDK5" s="390"/>
      <c r="GDL5" s="390"/>
      <c r="GDM5" s="390"/>
      <c r="GDN5" s="390"/>
      <c r="GDO5" s="390"/>
      <c r="GDP5" s="390"/>
      <c r="GDQ5" s="390"/>
      <c r="GDR5" s="390"/>
      <c r="GDS5" s="390"/>
      <c r="GDT5" s="390"/>
      <c r="GDU5" s="390"/>
      <c r="GDV5" s="390"/>
      <c r="GDW5" s="390"/>
      <c r="GDX5" s="390"/>
      <c r="GDY5" s="390"/>
      <c r="GDZ5" s="390"/>
      <c r="GEA5" s="390"/>
      <c r="GEB5" s="390"/>
      <c r="GEC5" s="390"/>
      <c r="GED5" s="390"/>
      <c r="GEE5" s="390"/>
      <c r="GEF5" s="390"/>
      <c r="GEG5" s="390"/>
      <c r="GEH5" s="390"/>
      <c r="GEI5" s="390"/>
      <c r="GEJ5" s="390"/>
      <c r="GEK5" s="390"/>
      <c r="GEL5" s="390"/>
      <c r="GEM5" s="390"/>
      <c r="GEN5" s="390"/>
      <c r="GEO5" s="390"/>
      <c r="GEP5" s="390"/>
      <c r="GEQ5" s="390"/>
      <c r="GER5" s="390"/>
      <c r="GES5" s="390"/>
      <c r="GET5" s="390"/>
      <c r="GEU5" s="390"/>
      <c r="GEV5" s="390"/>
      <c r="GEW5" s="390"/>
      <c r="GEX5" s="390"/>
      <c r="GEY5" s="390"/>
      <c r="GEZ5" s="390"/>
      <c r="GFA5" s="390"/>
      <c r="GFB5" s="390"/>
      <c r="GFC5" s="390"/>
      <c r="GFD5" s="390"/>
      <c r="GFE5" s="390"/>
      <c r="GFF5" s="390"/>
      <c r="GFG5" s="390"/>
      <c r="GFH5" s="390"/>
      <c r="GFI5" s="390"/>
      <c r="GFJ5" s="390"/>
      <c r="GFK5" s="390"/>
      <c r="GFL5" s="390"/>
      <c r="GFM5" s="390"/>
      <c r="GFN5" s="390"/>
      <c r="GFO5" s="390"/>
      <c r="GFP5" s="390"/>
      <c r="GFQ5" s="390"/>
      <c r="GFR5" s="390"/>
      <c r="GFS5" s="390"/>
      <c r="GFT5" s="390"/>
      <c r="GFU5" s="390"/>
      <c r="GFV5" s="390"/>
      <c r="GFW5" s="390"/>
      <c r="GFX5" s="390"/>
      <c r="GFY5" s="390"/>
      <c r="GFZ5" s="390"/>
      <c r="GGA5" s="390"/>
      <c r="GGB5" s="390"/>
      <c r="GGC5" s="390"/>
      <c r="GGD5" s="390"/>
      <c r="GGE5" s="390"/>
      <c r="GGF5" s="390"/>
      <c r="GGG5" s="390"/>
      <c r="GGH5" s="390"/>
      <c r="GGI5" s="390"/>
      <c r="GGJ5" s="390"/>
      <c r="GGK5" s="390"/>
      <c r="GGL5" s="390"/>
      <c r="GGM5" s="390"/>
      <c r="GGN5" s="390"/>
      <c r="GGO5" s="390"/>
      <c r="GGP5" s="390"/>
      <c r="GGQ5" s="390"/>
      <c r="GGR5" s="390"/>
      <c r="GGS5" s="390"/>
      <c r="GGT5" s="390"/>
      <c r="GGU5" s="390"/>
      <c r="GGV5" s="390"/>
      <c r="GGW5" s="390"/>
      <c r="GGX5" s="390"/>
      <c r="GGY5" s="390"/>
      <c r="GGZ5" s="390"/>
      <c r="GHA5" s="390"/>
      <c r="GHB5" s="390"/>
      <c r="GHC5" s="390"/>
      <c r="GHD5" s="390"/>
      <c r="GHE5" s="390"/>
      <c r="GHF5" s="390"/>
      <c r="GHG5" s="390"/>
      <c r="GHH5" s="390"/>
      <c r="GHI5" s="390"/>
      <c r="GHJ5" s="390"/>
      <c r="GHK5" s="390"/>
      <c r="GHL5" s="390"/>
      <c r="GHM5" s="390"/>
      <c r="GHN5" s="390"/>
      <c r="GHO5" s="390"/>
      <c r="GHP5" s="390"/>
      <c r="GHQ5" s="390"/>
      <c r="GHR5" s="390"/>
      <c r="GHS5" s="390"/>
      <c r="GHT5" s="390"/>
      <c r="GHU5" s="390"/>
      <c r="GHV5" s="390"/>
      <c r="GHW5" s="390"/>
      <c r="GHX5" s="390"/>
      <c r="GHY5" s="390"/>
      <c r="GHZ5" s="390"/>
      <c r="GIA5" s="390"/>
      <c r="GIB5" s="390"/>
      <c r="GIC5" s="390"/>
      <c r="GID5" s="390"/>
      <c r="GIE5" s="390"/>
      <c r="GIF5" s="390"/>
      <c r="GIG5" s="390"/>
      <c r="GIH5" s="390"/>
      <c r="GII5" s="390"/>
      <c r="GIJ5" s="390"/>
      <c r="GIK5" s="390"/>
      <c r="GIL5" s="390"/>
      <c r="GIM5" s="390"/>
      <c r="GIN5" s="390"/>
      <c r="GIO5" s="390"/>
      <c r="GIP5" s="390"/>
      <c r="GIQ5" s="390"/>
      <c r="GIR5" s="390"/>
      <c r="GIS5" s="390"/>
      <c r="GIT5" s="390"/>
      <c r="GIU5" s="390"/>
      <c r="GIV5" s="390"/>
      <c r="GIW5" s="390"/>
      <c r="GIX5" s="390"/>
      <c r="GIY5" s="390"/>
      <c r="GIZ5" s="390"/>
      <c r="GJA5" s="390"/>
      <c r="GJB5" s="390"/>
      <c r="GJC5" s="390"/>
      <c r="GJD5" s="390"/>
      <c r="GJE5" s="390"/>
      <c r="GJF5" s="390"/>
      <c r="GJG5" s="390"/>
      <c r="GJH5" s="390"/>
      <c r="GJI5" s="390"/>
      <c r="GJJ5" s="390"/>
      <c r="GJK5" s="390"/>
      <c r="GJL5" s="390"/>
      <c r="GJM5" s="390"/>
      <c r="GJN5" s="390"/>
      <c r="GJO5" s="390"/>
      <c r="GJP5" s="390"/>
      <c r="GJQ5" s="390"/>
      <c r="GJR5" s="390"/>
      <c r="GJS5" s="390"/>
      <c r="GJT5" s="390"/>
      <c r="GJU5" s="390"/>
      <c r="GJV5" s="390"/>
      <c r="GJW5" s="390"/>
      <c r="GJX5" s="390"/>
      <c r="GJY5" s="390"/>
      <c r="GJZ5" s="390"/>
      <c r="GKA5" s="390"/>
      <c r="GKB5" s="390"/>
      <c r="GKC5" s="390"/>
      <c r="GKD5" s="390"/>
      <c r="GKE5" s="390"/>
      <c r="GKF5" s="390"/>
      <c r="GKG5" s="390"/>
      <c r="GKH5" s="390"/>
      <c r="GKI5" s="390"/>
      <c r="GKJ5" s="390"/>
      <c r="GKK5" s="390"/>
      <c r="GKL5" s="390"/>
      <c r="GKM5" s="390"/>
      <c r="GKN5" s="390"/>
      <c r="GKO5" s="390"/>
      <c r="GKP5" s="390"/>
      <c r="GKQ5" s="390"/>
      <c r="GKR5" s="390"/>
      <c r="GKS5" s="390"/>
      <c r="GKT5" s="390"/>
      <c r="GKU5" s="390"/>
      <c r="GKV5" s="390"/>
      <c r="GKW5" s="390"/>
      <c r="GKX5" s="390"/>
      <c r="GKY5" s="390"/>
      <c r="GKZ5" s="390"/>
      <c r="GLA5" s="390"/>
      <c r="GLB5" s="390"/>
      <c r="GLC5" s="390"/>
      <c r="GLD5" s="390"/>
      <c r="GLE5" s="390"/>
      <c r="GLF5" s="390"/>
      <c r="GLG5" s="390"/>
      <c r="GLH5" s="390"/>
      <c r="GLI5" s="390"/>
      <c r="GLJ5" s="390"/>
      <c r="GLK5" s="390"/>
      <c r="GLL5" s="390"/>
      <c r="GLM5" s="390"/>
      <c r="GLN5" s="390"/>
      <c r="GLO5" s="390"/>
      <c r="GLP5" s="390"/>
      <c r="GLQ5" s="390"/>
      <c r="GLR5" s="390"/>
      <c r="GLS5" s="390"/>
      <c r="GLT5" s="390"/>
      <c r="GLU5" s="390"/>
      <c r="GLV5" s="390"/>
      <c r="GLW5" s="390"/>
      <c r="GLX5" s="390"/>
      <c r="GLY5" s="390"/>
      <c r="GLZ5" s="390"/>
      <c r="GMA5" s="390"/>
      <c r="GMB5" s="390"/>
      <c r="GMC5" s="390"/>
      <c r="GMD5" s="390"/>
      <c r="GME5" s="390"/>
      <c r="GMF5" s="390"/>
      <c r="GMG5" s="390"/>
      <c r="GMH5" s="390"/>
      <c r="GMI5" s="390"/>
      <c r="GMJ5" s="390"/>
      <c r="GMK5" s="390"/>
      <c r="GML5" s="390"/>
      <c r="GMM5" s="390"/>
      <c r="GMN5" s="390"/>
      <c r="GMO5" s="390"/>
      <c r="GMP5" s="390"/>
      <c r="GMQ5" s="390"/>
      <c r="GMR5" s="390"/>
      <c r="GMS5" s="390"/>
      <c r="GMT5" s="390"/>
      <c r="GMU5" s="390"/>
      <c r="GMV5" s="390"/>
      <c r="GMW5" s="390"/>
      <c r="GMX5" s="390"/>
      <c r="GMY5" s="390"/>
      <c r="GMZ5" s="390"/>
      <c r="GNA5" s="390"/>
      <c r="GNB5" s="390"/>
      <c r="GNC5" s="390"/>
      <c r="GND5" s="390"/>
      <c r="GNE5" s="390"/>
      <c r="GNF5" s="390"/>
      <c r="GNG5" s="390"/>
      <c r="GNH5" s="390"/>
      <c r="GNI5" s="390"/>
      <c r="GNJ5" s="390"/>
      <c r="GNK5" s="390"/>
      <c r="GNL5" s="390"/>
      <c r="GNM5" s="390"/>
      <c r="GNN5" s="390"/>
      <c r="GNO5" s="390"/>
      <c r="GNP5" s="390"/>
      <c r="GNQ5" s="390"/>
      <c r="GNR5" s="390"/>
      <c r="GNS5" s="390"/>
      <c r="GNT5" s="390"/>
      <c r="GNU5" s="390"/>
      <c r="GNV5" s="390"/>
      <c r="GNW5" s="390"/>
      <c r="GNX5" s="390"/>
      <c r="GNY5" s="390"/>
      <c r="GNZ5" s="390"/>
      <c r="GOA5" s="390"/>
      <c r="GOB5" s="390"/>
      <c r="GOC5" s="390"/>
      <c r="GOD5" s="390"/>
      <c r="GOE5" s="390"/>
      <c r="GOF5" s="390"/>
      <c r="GOG5" s="390"/>
      <c r="GOH5" s="390"/>
      <c r="GOI5" s="390"/>
      <c r="GOJ5" s="390"/>
      <c r="GOK5" s="390"/>
      <c r="GOL5" s="390"/>
      <c r="GOM5" s="390"/>
      <c r="GON5" s="390"/>
      <c r="GOO5" s="390"/>
      <c r="GOP5" s="390"/>
      <c r="GOQ5" s="390"/>
      <c r="GOR5" s="390"/>
      <c r="GOS5" s="390"/>
      <c r="GOT5" s="390"/>
      <c r="GOU5" s="390"/>
      <c r="GOV5" s="390"/>
      <c r="GOW5" s="390"/>
      <c r="GOX5" s="390"/>
      <c r="GOY5" s="390"/>
      <c r="GOZ5" s="390"/>
      <c r="GPA5" s="390"/>
      <c r="GPB5" s="390"/>
      <c r="GPC5" s="390"/>
      <c r="GPD5" s="390"/>
      <c r="GPE5" s="390"/>
      <c r="GPF5" s="390"/>
      <c r="GPG5" s="390"/>
      <c r="GPH5" s="390"/>
      <c r="GPI5" s="390"/>
      <c r="GPJ5" s="390"/>
      <c r="GPK5" s="390"/>
      <c r="GPL5" s="390"/>
      <c r="GPM5" s="390"/>
      <c r="GPN5" s="390"/>
      <c r="GPO5" s="390"/>
      <c r="GPP5" s="390"/>
      <c r="GPQ5" s="390"/>
      <c r="GPR5" s="390"/>
      <c r="GPS5" s="390"/>
      <c r="GPT5" s="390"/>
      <c r="GPU5" s="390"/>
      <c r="GPV5" s="390"/>
      <c r="GPW5" s="390"/>
      <c r="GPX5" s="390"/>
      <c r="GPY5" s="390"/>
      <c r="GPZ5" s="390"/>
      <c r="GQA5" s="390"/>
      <c r="GQB5" s="390"/>
      <c r="GQC5" s="390"/>
      <c r="GQD5" s="390"/>
      <c r="GQE5" s="390"/>
      <c r="GQF5" s="390"/>
      <c r="GQG5" s="390"/>
      <c r="GQH5" s="390"/>
      <c r="GQI5" s="390"/>
      <c r="GQJ5" s="390"/>
      <c r="GQK5" s="390"/>
      <c r="GQL5" s="390"/>
      <c r="GQM5" s="390"/>
      <c r="GQN5" s="390"/>
      <c r="GQO5" s="390"/>
      <c r="GQP5" s="390"/>
      <c r="GQQ5" s="390"/>
      <c r="GQR5" s="390"/>
      <c r="GQS5" s="390"/>
      <c r="GQT5" s="390"/>
      <c r="GQU5" s="390"/>
      <c r="GQV5" s="390"/>
      <c r="GQW5" s="390"/>
      <c r="GQX5" s="390"/>
      <c r="GQY5" s="390"/>
      <c r="GQZ5" s="390"/>
      <c r="GRA5" s="390"/>
      <c r="GRB5" s="390"/>
      <c r="GRC5" s="390"/>
      <c r="GRD5" s="390"/>
      <c r="GRE5" s="390"/>
      <c r="GRF5" s="390"/>
      <c r="GRG5" s="390"/>
      <c r="GRH5" s="390"/>
      <c r="GRI5" s="390"/>
      <c r="GRJ5" s="390"/>
      <c r="GRK5" s="390"/>
      <c r="GRL5" s="390"/>
      <c r="GRM5" s="390"/>
      <c r="GRN5" s="390"/>
      <c r="GRO5" s="390"/>
      <c r="GRP5" s="390"/>
      <c r="GRQ5" s="390"/>
      <c r="GRR5" s="390"/>
      <c r="GRS5" s="390"/>
      <c r="GRT5" s="390"/>
      <c r="GRU5" s="390"/>
      <c r="GRV5" s="390"/>
      <c r="GRW5" s="390"/>
      <c r="GRX5" s="390"/>
      <c r="GRY5" s="390"/>
      <c r="GRZ5" s="390"/>
      <c r="GSA5" s="390"/>
      <c r="GSB5" s="390"/>
      <c r="GSC5" s="390"/>
      <c r="GSD5" s="390"/>
      <c r="GSE5" s="390"/>
      <c r="GSF5" s="390"/>
      <c r="GSG5" s="390"/>
      <c r="GSH5" s="390"/>
      <c r="GSI5" s="390"/>
      <c r="GSJ5" s="390"/>
      <c r="GSK5" s="390"/>
      <c r="GSL5" s="390"/>
      <c r="GSM5" s="390"/>
      <c r="GSN5" s="390"/>
      <c r="GSO5" s="390"/>
      <c r="GSP5" s="390"/>
      <c r="GSQ5" s="390"/>
      <c r="GSR5" s="390"/>
      <c r="GSS5" s="390"/>
      <c r="GST5" s="390"/>
      <c r="GSU5" s="390"/>
      <c r="GSV5" s="390"/>
      <c r="GSW5" s="390"/>
      <c r="GSX5" s="390"/>
      <c r="GSY5" s="390"/>
      <c r="GSZ5" s="390"/>
      <c r="GTA5" s="390"/>
      <c r="GTB5" s="390"/>
      <c r="GTC5" s="390"/>
      <c r="GTD5" s="390"/>
      <c r="GTE5" s="390"/>
      <c r="GTF5" s="390"/>
      <c r="GTG5" s="390"/>
      <c r="GTH5" s="390"/>
      <c r="GTI5" s="390"/>
      <c r="GTJ5" s="390"/>
      <c r="GTK5" s="390"/>
      <c r="GTL5" s="390"/>
      <c r="GTM5" s="390"/>
      <c r="GTN5" s="390"/>
      <c r="GTO5" s="390"/>
      <c r="GTP5" s="390"/>
      <c r="GTQ5" s="390"/>
      <c r="GTR5" s="390"/>
      <c r="GTS5" s="390"/>
      <c r="GTT5" s="390"/>
      <c r="GTU5" s="390"/>
      <c r="GTV5" s="390"/>
      <c r="GTW5" s="390"/>
      <c r="GTX5" s="390"/>
      <c r="GTY5" s="390"/>
      <c r="GTZ5" s="390"/>
      <c r="GUA5" s="390"/>
      <c r="GUB5" s="390"/>
      <c r="GUC5" s="390"/>
      <c r="GUD5" s="390"/>
      <c r="GUE5" s="390"/>
      <c r="GUF5" s="390"/>
      <c r="GUG5" s="390"/>
      <c r="GUH5" s="390"/>
      <c r="GUI5" s="390"/>
      <c r="GUJ5" s="390"/>
      <c r="GUK5" s="390"/>
      <c r="GUL5" s="390"/>
      <c r="GUM5" s="390"/>
      <c r="GUN5" s="390"/>
      <c r="GUO5" s="390"/>
      <c r="GUP5" s="390"/>
      <c r="GUQ5" s="390"/>
      <c r="GUR5" s="390"/>
      <c r="GUS5" s="390"/>
      <c r="GUT5" s="390"/>
      <c r="GUU5" s="390"/>
      <c r="GUV5" s="390"/>
      <c r="GUW5" s="390"/>
      <c r="GUX5" s="390"/>
      <c r="GUY5" s="390"/>
      <c r="GUZ5" s="390"/>
      <c r="GVA5" s="390"/>
      <c r="GVB5" s="390"/>
      <c r="GVC5" s="390"/>
      <c r="GVD5" s="390"/>
      <c r="GVE5" s="390"/>
      <c r="GVF5" s="390"/>
      <c r="GVG5" s="390"/>
      <c r="GVH5" s="390"/>
      <c r="GVI5" s="390"/>
      <c r="GVJ5" s="390"/>
      <c r="GVK5" s="390"/>
      <c r="GVL5" s="390"/>
      <c r="GVM5" s="390"/>
      <c r="GVN5" s="390"/>
      <c r="GVO5" s="390"/>
      <c r="GVP5" s="390"/>
      <c r="GVQ5" s="390"/>
      <c r="GVR5" s="390"/>
      <c r="GVS5" s="390"/>
      <c r="GVT5" s="390"/>
      <c r="GVU5" s="390"/>
      <c r="GVV5" s="390"/>
      <c r="GVW5" s="390"/>
      <c r="GVX5" s="390"/>
      <c r="GVY5" s="390"/>
      <c r="GVZ5" s="390"/>
      <c r="GWA5" s="390"/>
      <c r="GWB5" s="390"/>
      <c r="GWC5" s="390"/>
      <c r="GWD5" s="390"/>
      <c r="GWE5" s="390"/>
      <c r="GWF5" s="390"/>
      <c r="GWG5" s="390"/>
      <c r="GWH5" s="390"/>
      <c r="GWI5" s="390"/>
      <c r="GWJ5" s="390"/>
      <c r="GWK5" s="390"/>
      <c r="GWL5" s="390"/>
      <c r="GWM5" s="390"/>
      <c r="GWN5" s="390"/>
      <c r="GWO5" s="390"/>
      <c r="GWP5" s="390"/>
      <c r="GWQ5" s="390"/>
      <c r="GWR5" s="390"/>
      <c r="GWS5" s="390"/>
      <c r="GWT5" s="390"/>
      <c r="GWU5" s="390"/>
      <c r="GWV5" s="390"/>
      <c r="GWW5" s="390"/>
      <c r="GWX5" s="390"/>
      <c r="GWY5" s="390"/>
      <c r="GWZ5" s="390"/>
      <c r="GXA5" s="390"/>
      <c r="GXB5" s="390"/>
      <c r="GXC5" s="390"/>
      <c r="GXD5" s="390"/>
      <c r="GXE5" s="390"/>
      <c r="GXF5" s="390"/>
      <c r="GXG5" s="390"/>
      <c r="GXH5" s="390"/>
      <c r="GXI5" s="390"/>
      <c r="GXJ5" s="390"/>
      <c r="GXK5" s="390"/>
      <c r="GXL5" s="390"/>
      <c r="GXM5" s="390"/>
      <c r="GXN5" s="390"/>
      <c r="GXO5" s="390"/>
      <c r="GXP5" s="390"/>
      <c r="GXQ5" s="390"/>
      <c r="GXR5" s="390"/>
      <c r="GXS5" s="390"/>
      <c r="GXT5" s="390"/>
      <c r="GXU5" s="390"/>
      <c r="GXV5" s="390"/>
      <c r="GXW5" s="390"/>
      <c r="GXX5" s="390"/>
      <c r="GXY5" s="390"/>
      <c r="GXZ5" s="390"/>
      <c r="GYA5" s="390"/>
      <c r="GYB5" s="390"/>
      <c r="GYC5" s="390"/>
      <c r="GYD5" s="390"/>
      <c r="GYE5" s="390"/>
      <c r="GYF5" s="390"/>
      <c r="GYG5" s="390"/>
      <c r="GYH5" s="390"/>
      <c r="GYI5" s="390"/>
      <c r="GYJ5" s="390"/>
      <c r="GYK5" s="390"/>
      <c r="GYL5" s="390"/>
      <c r="GYM5" s="390"/>
      <c r="GYN5" s="390"/>
      <c r="GYO5" s="390"/>
      <c r="GYP5" s="390"/>
      <c r="GYQ5" s="390"/>
      <c r="GYR5" s="390"/>
      <c r="GYS5" s="390"/>
      <c r="GYT5" s="390"/>
      <c r="GYU5" s="390"/>
      <c r="GYV5" s="390"/>
      <c r="GYW5" s="390"/>
      <c r="GYX5" s="390"/>
      <c r="GYY5" s="390"/>
      <c r="GYZ5" s="390"/>
      <c r="GZA5" s="390"/>
      <c r="GZB5" s="390"/>
      <c r="GZC5" s="390"/>
      <c r="GZD5" s="390"/>
      <c r="GZE5" s="390"/>
      <c r="GZF5" s="390"/>
      <c r="GZG5" s="390"/>
      <c r="GZH5" s="390"/>
      <c r="GZI5" s="390"/>
      <c r="GZJ5" s="390"/>
      <c r="GZK5" s="390"/>
      <c r="GZL5" s="390"/>
      <c r="GZM5" s="390"/>
      <c r="GZN5" s="390"/>
      <c r="GZO5" s="390"/>
      <c r="GZP5" s="390"/>
      <c r="GZQ5" s="390"/>
      <c r="GZR5" s="390"/>
      <c r="GZS5" s="390"/>
      <c r="GZT5" s="390"/>
      <c r="GZU5" s="390"/>
      <c r="GZV5" s="390"/>
      <c r="GZW5" s="390"/>
      <c r="GZX5" s="390"/>
      <c r="GZY5" s="390"/>
      <c r="GZZ5" s="390"/>
      <c r="HAA5" s="390"/>
      <c r="HAB5" s="390"/>
      <c r="HAC5" s="390"/>
      <c r="HAD5" s="390"/>
      <c r="HAE5" s="390"/>
      <c r="HAF5" s="390"/>
      <c r="HAG5" s="390"/>
      <c r="HAH5" s="390"/>
      <c r="HAI5" s="390"/>
      <c r="HAJ5" s="390"/>
      <c r="HAK5" s="390"/>
      <c r="HAL5" s="390"/>
      <c r="HAM5" s="390"/>
      <c r="HAN5" s="390"/>
      <c r="HAO5" s="390"/>
      <c r="HAP5" s="390"/>
      <c r="HAQ5" s="390"/>
      <c r="HAR5" s="390"/>
      <c r="HAS5" s="390"/>
      <c r="HAT5" s="390"/>
      <c r="HAU5" s="390"/>
      <c r="HAV5" s="390"/>
      <c r="HAW5" s="390"/>
      <c r="HAX5" s="390"/>
      <c r="HAY5" s="390"/>
      <c r="HAZ5" s="390"/>
      <c r="HBA5" s="390"/>
      <c r="HBB5" s="390"/>
      <c r="HBC5" s="390"/>
      <c r="HBD5" s="390"/>
      <c r="HBE5" s="390"/>
      <c r="HBF5" s="390"/>
      <c r="HBG5" s="390"/>
      <c r="HBH5" s="390"/>
      <c r="HBI5" s="390"/>
      <c r="HBJ5" s="390"/>
      <c r="HBK5" s="390"/>
      <c r="HBL5" s="390"/>
      <c r="HBM5" s="390"/>
      <c r="HBN5" s="390"/>
      <c r="HBO5" s="390"/>
      <c r="HBP5" s="390"/>
      <c r="HBQ5" s="390"/>
      <c r="HBR5" s="390"/>
      <c r="HBS5" s="390"/>
      <c r="HBT5" s="390"/>
      <c r="HBU5" s="390"/>
      <c r="HBV5" s="390"/>
      <c r="HBW5" s="390"/>
      <c r="HBX5" s="390"/>
      <c r="HBY5" s="390"/>
      <c r="HBZ5" s="390"/>
      <c r="HCA5" s="390"/>
      <c r="HCB5" s="390"/>
      <c r="HCC5" s="390"/>
      <c r="HCD5" s="390"/>
      <c r="HCE5" s="390"/>
      <c r="HCF5" s="390"/>
      <c r="HCG5" s="390"/>
      <c r="HCH5" s="390"/>
      <c r="HCI5" s="390"/>
      <c r="HCJ5" s="390"/>
      <c r="HCK5" s="390"/>
      <c r="HCL5" s="390"/>
      <c r="HCM5" s="390"/>
      <c r="HCN5" s="390"/>
      <c r="HCO5" s="390"/>
      <c r="HCP5" s="390"/>
      <c r="HCQ5" s="390"/>
      <c r="HCR5" s="390"/>
      <c r="HCS5" s="390"/>
      <c r="HCT5" s="390"/>
      <c r="HCU5" s="390"/>
      <c r="HCV5" s="390"/>
      <c r="HCW5" s="390"/>
      <c r="HCX5" s="390"/>
      <c r="HCY5" s="390"/>
      <c r="HCZ5" s="390"/>
      <c r="HDA5" s="390"/>
      <c r="HDB5" s="390"/>
      <c r="HDC5" s="390"/>
      <c r="HDD5" s="390"/>
      <c r="HDE5" s="390"/>
      <c r="HDF5" s="390"/>
      <c r="HDG5" s="390"/>
      <c r="HDH5" s="390"/>
      <c r="HDI5" s="390"/>
      <c r="HDJ5" s="390"/>
      <c r="HDK5" s="390"/>
      <c r="HDL5" s="390"/>
      <c r="HDM5" s="390"/>
      <c r="HDN5" s="390"/>
      <c r="HDO5" s="390"/>
      <c r="HDP5" s="390"/>
      <c r="HDQ5" s="390"/>
      <c r="HDR5" s="390"/>
      <c r="HDS5" s="390"/>
      <c r="HDT5" s="390"/>
      <c r="HDU5" s="390"/>
      <c r="HDV5" s="390"/>
      <c r="HDW5" s="390"/>
      <c r="HDX5" s="390"/>
      <c r="HDY5" s="390"/>
      <c r="HDZ5" s="390"/>
      <c r="HEA5" s="390"/>
      <c r="HEB5" s="390"/>
      <c r="HEC5" s="390"/>
      <c r="HED5" s="390"/>
      <c r="HEE5" s="390"/>
      <c r="HEF5" s="390"/>
      <c r="HEG5" s="390"/>
      <c r="HEH5" s="390"/>
      <c r="HEI5" s="390"/>
      <c r="HEJ5" s="390"/>
      <c r="HEK5" s="390"/>
      <c r="HEL5" s="390"/>
      <c r="HEM5" s="390"/>
      <c r="HEN5" s="390"/>
      <c r="HEO5" s="390"/>
      <c r="HEP5" s="390"/>
      <c r="HEQ5" s="390"/>
      <c r="HER5" s="390"/>
      <c r="HES5" s="390"/>
      <c r="HET5" s="390"/>
      <c r="HEU5" s="390"/>
      <c r="HEV5" s="390"/>
      <c r="HEW5" s="390"/>
      <c r="HEX5" s="390"/>
      <c r="HEY5" s="390"/>
      <c r="HEZ5" s="390"/>
      <c r="HFA5" s="390"/>
      <c r="HFB5" s="390"/>
      <c r="HFC5" s="390"/>
      <c r="HFD5" s="390"/>
      <c r="HFE5" s="390"/>
      <c r="HFF5" s="390"/>
      <c r="HFG5" s="390"/>
      <c r="HFH5" s="390"/>
      <c r="HFI5" s="390"/>
      <c r="HFJ5" s="390"/>
      <c r="HFK5" s="390"/>
      <c r="HFL5" s="390"/>
      <c r="HFM5" s="390"/>
      <c r="HFN5" s="390"/>
      <c r="HFO5" s="390"/>
      <c r="HFP5" s="390"/>
      <c r="HFQ5" s="390"/>
      <c r="HFR5" s="390"/>
      <c r="HFS5" s="390"/>
      <c r="HFT5" s="390"/>
      <c r="HFU5" s="390"/>
      <c r="HFV5" s="390"/>
      <c r="HFW5" s="390"/>
      <c r="HFX5" s="390"/>
      <c r="HFY5" s="390"/>
      <c r="HFZ5" s="390"/>
      <c r="HGA5" s="390"/>
      <c r="HGB5" s="390"/>
      <c r="HGC5" s="390"/>
      <c r="HGD5" s="390"/>
      <c r="HGE5" s="390"/>
      <c r="HGF5" s="390"/>
      <c r="HGG5" s="390"/>
      <c r="HGH5" s="390"/>
      <c r="HGI5" s="390"/>
      <c r="HGJ5" s="390"/>
      <c r="HGK5" s="390"/>
      <c r="HGL5" s="390"/>
      <c r="HGM5" s="390"/>
      <c r="HGN5" s="390"/>
      <c r="HGO5" s="390"/>
      <c r="HGP5" s="390"/>
      <c r="HGQ5" s="390"/>
      <c r="HGR5" s="390"/>
      <c r="HGS5" s="390"/>
      <c r="HGT5" s="390"/>
      <c r="HGU5" s="390"/>
      <c r="HGV5" s="390"/>
      <c r="HGW5" s="390"/>
      <c r="HGX5" s="390"/>
      <c r="HGY5" s="390"/>
      <c r="HGZ5" s="390"/>
      <c r="HHA5" s="390"/>
      <c r="HHB5" s="390"/>
      <c r="HHC5" s="390"/>
      <c r="HHD5" s="390"/>
      <c r="HHE5" s="390"/>
      <c r="HHF5" s="390"/>
      <c r="HHG5" s="390"/>
      <c r="HHH5" s="390"/>
      <c r="HHI5" s="390"/>
      <c r="HHJ5" s="390"/>
      <c r="HHK5" s="390"/>
      <c r="HHL5" s="390"/>
      <c r="HHM5" s="390"/>
      <c r="HHN5" s="390"/>
      <c r="HHO5" s="390"/>
      <c r="HHP5" s="390"/>
      <c r="HHQ5" s="390"/>
      <c r="HHR5" s="390"/>
      <c r="HHS5" s="390"/>
      <c r="HHT5" s="390"/>
      <c r="HHU5" s="390"/>
      <c r="HHV5" s="390"/>
      <c r="HHW5" s="390"/>
      <c r="HHX5" s="390"/>
      <c r="HHY5" s="390"/>
      <c r="HHZ5" s="390"/>
      <c r="HIA5" s="390"/>
      <c r="HIB5" s="390"/>
      <c r="HIC5" s="390"/>
      <c r="HID5" s="390"/>
      <c r="HIE5" s="390"/>
      <c r="HIF5" s="390"/>
      <c r="HIG5" s="390"/>
      <c r="HIH5" s="390"/>
      <c r="HII5" s="390"/>
      <c r="HIJ5" s="390"/>
      <c r="HIK5" s="390"/>
      <c r="HIL5" s="390"/>
      <c r="HIM5" s="390"/>
      <c r="HIN5" s="390"/>
      <c r="HIO5" s="390"/>
      <c r="HIP5" s="390"/>
      <c r="HIQ5" s="390"/>
      <c r="HIR5" s="390"/>
      <c r="HIS5" s="390"/>
      <c r="HIT5" s="390"/>
      <c r="HIU5" s="390"/>
      <c r="HIV5" s="390"/>
      <c r="HIW5" s="390"/>
      <c r="HIX5" s="390"/>
      <c r="HIY5" s="390"/>
      <c r="HIZ5" s="390"/>
      <c r="HJA5" s="390"/>
      <c r="HJB5" s="390"/>
      <c r="HJC5" s="390"/>
      <c r="HJD5" s="390"/>
      <c r="HJE5" s="390"/>
      <c r="HJF5" s="390"/>
      <c r="HJG5" s="390"/>
      <c r="HJH5" s="390"/>
      <c r="HJI5" s="390"/>
      <c r="HJJ5" s="390"/>
      <c r="HJK5" s="390"/>
      <c r="HJL5" s="390"/>
      <c r="HJM5" s="390"/>
      <c r="HJN5" s="390"/>
      <c r="HJO5" s="390"/>
      <c r="HJP5" s="390"/>
      <c r="HJQ5" s="390"/>
      <c r="HJR5" s="390"/>
      <c r="HJS5" s="390"/>
      <c r="HJT5" s="390"/>
      <c r="HJU5" s="390"/>
      <c r="HJV5" s="390"/>
      <c r="HJW5" s="390"/>
      <c r="HJX5" s="390"/>
      <c r="HJY5" s="390"/>
      <c r="HJZ5" s="390"/>
      <c r="HKA5" s="390"/>
      <c r="HKB5" s="390"/>
      <c r="HKC5" s="390"/>
      <c r="HKD5" s="390"/>
      <c r="HKE5" s="390"/>
      <c r="HKF5" s="390"/>
      <c r="HKG5" s="390"/>
      <c r="HKH5" s="390"/>
      <c r="HKI5" s="390"/>
      <c r="HKJ5" s="390"/>
      <c r="HKK5" s="390"/>
      <c r="HKL5" s="390"/>
      <c r="HKM5" s="390"/>
      <c r="HKN5" s="390"/>
      <c r="HKO5" s="390"/>
      <c r="HKP5" s="390"/>
      <c r="HKQ5" s="390"/>
      <c r="HKR5" s="390"/>
      <c r="HKS5" s="390"/>
      <c r="HKT5" s="390"/>
      <c r="HKU5" s="390"/>
      <c r="HKV5" s="390"/>
      <c r="HKW5" s="390"/>
      <c r="HKX5" s="390"/>
      <c r="HKY5" s="390"/>
      <c r="HKZ5" s="390"/>
      <c r="HLA5" s="390"/>
      <c r="HLB5" s="390"/>
      <c r="HLC5" s="390"/>
      <c r="HLD5" s="390"/>
      <c r="HLE5" s="390"/>
      <c r="HLF5" s="390"/>
      <c r="HLG5" s="390"/>
      <c r="HLH5" s="390"/>
      <c r="HLI5" s="390"/>
      <c r="HLJ5" s="390"/>
      <c r="HLK5" s="390"/>
      <c r="HLL5" s="390"/>
      <c r="HLM5" s="390"/>
      <c r="HLN5" s="390"/>
      <c r="HLO5" s="390"/>
      <c r="HLP5" s="390"/>
      <c r="HLQ5" s="390"/>
      <c r="HLR5" s="390"/>
      <c r="HLS5" s="390"/>
      <c r="HLT5" s="390"/>
      <c r="HLU5" s="390"/>
      <c r="HLV5" s="390"/>
      <c r="HLW5" s="390"/>
      <c r="HLX5" s="390"/>
      <c r="HLY5" s="390"/>
      <c r="HLZ5" s="390"/>
      <c r="HMA5" s="390"/>
      <c r="HMB5" s="390"/>
      <c r="HMC5" s="390"/>
      <c r="HMD5" s="390"/>
      <c r="HME5" s="390"/>
      <c r="HMF5" s="390"/>
      <c r="HMG5" s="390"/>
      <c r="HMH5" s="390"/>
      <c r="HMI5" s="390"/>
      <c r="HMJ5" s="390"/>
      <c r="HMK5" s="390"/>
      <c r="HML5" s="390"/>
      <c r="HMM5" s="390"/>
      <c r="HMN5" s="390"/>
      <c r="HMO5" s="390"/>
      <c r="HMP5" s="390"/>
      <c r="HMQ5" s="390"/>
      <c r="HMR5" s="390"/>
      <c r="HMS5" s="390"/>
      <c r="HMT5" s="390"/>
      <c r="HMU5" s="390"/>
      <c r="HMV5" s="390"/>
      <c r="HMW5" s="390"/>
      <c r="HMX5" s="390"/>
      <c r="HMY5" s="390"/>
      <c r="HMZ5" s="390"/>
      <c r="HNA5" s="390"/>
      <c r="HNB5" s="390"/>
      <c r="HNC5" s="390"/>
      <c r="HND5" s="390"/>
      <c r="HNE5" s="390"/>
      <c r="HNF5" s="390"/>
      <c r="HNG5" s="390"/>
      <c r="HNH5" s="390"/>
      <c r="HNI5" s="390"/>
      <c r="HNJ5" s="390"/>
      <c r="HNK5" s="390"/>
      <c r="HNL5" s="390"/>
      <c r="HNM5" s="390"/>
      <c r="HNN5" s="390"/>
      <c r="HNO5" s="390"/>
      <c r="HNP5" s="390"/>
      <c r="HNQ5" s="390"/>
      <c r="HNR5" s="390"/>
      <c r="HNS5" s="390"/>
      <c r="HNT5" s="390"/>
      <c r="HNU5" s="390"/>
      <c r="HNV5" s="390"/>
      <c r="HNW5" s="390"/>
      <c r="HNX5" s="390"/>
      <c r="HNY5" s="390"/>
      <c r="HNZ5" s="390"/>
      <c r="HOA5" s="390"/>
      <c r="HOB5" s="390"/>
      <c r="HOC5" s="390"/>
      <c r="HOD5" s="390"/>
      <c r="HOE5" s="390"/>
      <c r="HOF5" s="390"/>
      <c r="HOG5" s="390"/>
      <c r="HOH5" s="390"/>
      <c r="HOI5" s="390"/>
      <c r="HOJ5" s="390"/>
      <c r="HOK5" s="390"/>
      <c r="HOL5" s="390"/>
      <c r="HOM5" s="390"/>
      <c r="HON5" s="390"/>
      <c r="HOO5" s="390"/>
      <c r="HOP5" s="390"/>
      <c r="HOQ5" s="390"/>
      <c r="HOR5" s="390"/>
      <c r="HOS5" s="390"/>
      <c r="HOT5" s="390"/>
      <c r="HOU5" s="390"/>
      <c r="HOV5" s="390"/>
      <c r="HOW5" s="390"/>
      <c r="HOX5" s="390"/>
      <c r="HOY5" s="390"/>
      <c r="HOZ5" s="390"/>
      <c r="HPA5" s="390"/>
      <c r="HPB5" s="390"/>
      <c r="HPC5" s="390"/>
      <c r="HPD5" s="390"/>
      <c r="HPE5" s="390"/>
      <c r="HPF5" s="390"/>
      <c r="HPG5" s="390"/>
      <c r="HPH5" s="390"/>
      <c r="HPI5" s="390"/>
      <c r="HPJ5" s="390"/>
      <c r="HPK5" s="390"/>
      <c r="HPL5" s="390"/>
      <c r="HPM5" s="390"/>
      <c r="HPN5" s="390"/>
      <c r="HPO5" s="390"/>
      <c r="HPP5" s="390"/>
      <c r="HPQ5" s="390"/>
      <c r="HPR5" s="390"/>
      <c r="HPS5" s="390"/>
      <c r="HPT5" s="390"/>
      <c r="HPU5" s="390"/>
      <c r="HPV5" s="390"/>
      <c r="HPW5" s="390"/>
      <c r="HPX5" s="390"/>
      <c r="HPY5" s="390"/>
      <c r="HPZ5" s="390"/>
      <c r="HQA5" s="390"/>
      <c r="HQB5" s="390"/>
      <c r="HQC5" s="390"/>
      <c r="HQD5" s="390"/>
      <c r="HQE5" s="390"/>
      <c r="HQF5" s="390"/>
      <c r="HQG5" s="390"/>
      <c r="HQH5" s="390"/>
      <c r="HQI5" s="390"/>
      <c r="HQJ5" s="390"/>
      <c r="HQK5" s="390"/>
      <c r="HQL5" s="390"/>
      <c r="HQM5" s="390"/>
      <c r="HQN5" s="390"/>
      <c r="HQO5" s="390"/>
      <c r="HQP5" s="390"/>
      <c r="HQQ5" s="390"/>
      <c r="HQR5" s="390"/>
      <c r="HQS5" s="390"/>
      <c r="HQT5" s="390"/>
      <c r="HQU5" s="390"/>
      <c r="HQV5" s="390"/>
      <c r="HQW5" s="390"/>
      <c r="HQX5" s="390"/>
      <c r="HQY5" s="390"/>
      <c r="HQZ5" s="390"/>
      <c r="HRA5" s="390"/>
      <c r="HRB5" s="390"/>
      <c r="HRC5" s="390"/>
      <c r="HRD5" s="390"/>
      <c r="HRE5" s="390"/>
      <c r="HRF5" s="390"/>
      <c r="HRG5" s="390"/>
      <c r="HRH5" s="390"/>
      <c r="HRI5" s="390"/>
      <c r="HRJ5" s="390"/>
      <c r="HRK5" s="390"/>
      <c r="HRL5" s="390"/>
      <c r="HRM5" s="390"/>
      <c r="HRN5" s="390"/>
      <c r="HRO5" s="390"/>
      <c r="HRP5" s="390"/>
      <c r="HRQ5" s="390"/>
      <c r="HRR5" s="390"/>
      <c r="HRS5" s="390"/>
      <c r="HRT5" s="390"/>
      <c r="HRU5" s="390"/>
      <c r="HRV5" s="390"/>
      <c r="HRW5" s="390"/>
      <c r="HRX5" s="390"/>
      <c r="HRY5" s="390"/>
      <c r="HRZ5" s="390"/>
      <c r="HSA5" s="390"/>
      <c r="HSB5" s="390"/>
      <c r="HSC5" s="390"/>
      <c r="HSD5" s="390"/>
      <c r="HSE5" s="390"/>
      <c r="HSF5" s="390"/>
      <c r="HSG5" s="390"/>
      <c r="HSH5" s="390"/>
      <c r="HSI5" s="390"/>
      <c r="HSJ5" s="390"/>
      <c r="HSK5" s="390"/>
      <c r="HSL5" s="390"/>
      <c r="HSM5" s="390"/>
      <c r="HSN5" s="390"/>
      <c r="HSO5" s="390"/>
      <c r="HSP5" s="390"/>
      <c r="HSQ5" s="390"/>
      <c r="HSR5" s="390"/>
      <c r="HSS5" s="390"/>
      <c r="HST5" s="390"/>
      <c r="HSU5" s="390"/>
      <c r="HSV5" s="390"/>
      <c r="HSW5" s="390"/>
      <c r="HSX5" s="390"/>
      <c r="HSY5" s="390"/>
      <c r="HSZ5" s="390"/>
      <c r="HTA5" s="390"/>
      <c r="HTB5" s="390"/>
      <c r="HTC5" s="390"/>
      <c r="HTD5" s="390"/>
      <c r="HTE5" s="390"/>
      <c r="HTF5" s="390"/>
      <c r="HTG5" s="390"/>
      <c r="HTH5" s="390"/>
      <c r="HTI5" s="390"/>
      <c r="HTJ5" s="390"/>
      <c r="HTK5" s="390"/>
      <c r="HTL5" s="390"/>
      <c r="HTM5" s="390"/>
      <c r="HTN5" s="390"/>
      <c r="HTO5" s="390"/>
      <c r="HTP5" s="390"/>
      <c r="HTQ5" s="390"/>
      <c r="HTR5" s="390"/>
      <c r="HTS5" s="390"/>
      <c r="HTT5" s="390"/>
      <c r="HTU5" s="390"/>
      <c r="HTV5" s="390"/>
      <c r="HTW5" s="390"/>
      <c r="HTX5" s="390"/>
      <c r="HTY5" s="390"/>
      <c r="HTZ5" s="390"/>
      <c r="HUA5" s="390"/>
      <c r="HUB5" s="390"/>
      <c r="HUC5" s="390"/>
      <c r="HUD5" s="390"/>
      <c r="HUE5" s="390"/>
      <c r="HUF5" s="390"/>
      <c r="HUG5" s="390"/>
      <c r="HUH5" s="390"/>
      <c r="HUI5" s="390"/>
      <c r="HUJ5" s="390"/>
      <c r="HUK5" s="390"/>
      <c r="HUL5" s="390"/>
      <c r="HUM5" s="390"/>
      <c r="HUN5" s="390"/>
      <c r="HUO5" s="390"/>
      <c r="HUP5" s="390"/>
      <c r="HUQ5" s="390"/>
      <c r="HUR5" s="390"/>
      <c r="HUS5" s="390"/>
      <c r="HUT5" s="390"/>
      <c r="HUU5" s="390"/>
      <c r="HUV5" s="390"/>
      <c r="HUW5" s="390"/>
      <c r="HUX5" s="390"/>
      <c r="HUY5" s="390"/>
      <c r="HUZ5" s="390"/>
      <c r="HVA5" s="390"/>
      <c r="HVB5" s="390"/>
      <c r="HVC5" s="390"/>
      <c r="HVD5" s="390"/>
      <c r="HVE5" s="390"/>
      <c r="HVF5" s="390"/>
      <c r="HVG5" s="390"/>
      <c r="HVH5" s="390"/>
      <c r="HVI5" s="390"/>
      <c r="HVJ5" s="390"/>
      <c r="HVK5" s="390"/>
      <c r="HVL5" s="390"/>
      <c r="HVM5" s="390"/>
      <c r="HVN5" s="390"/>
      <c r="HVO5" s="390"/>
      <c r="HVP5" s="390"/>
      <c r="HVQ5" s="390"/>
      <c r="HVR5" s="390"/>
      <c r="HVS5" s="390"/>
      <c r="HVT5" s="390"/>
      <c r="HVU5" s="390"/>
      <c r="HVV5" s="390"/>
      <c r="HVW5" s="390"/>
      <c r="HVX5" s="390"/>
      <c r="HVY5" s="390"/>
      <c r="HVZ5" s="390"/>
      <c r="HWA5" s="390"/>
      <c r="HWB5" s="390"/>
      <c r="HWC5" s="390"/>
      <c r="HWD5" s="390"/>
      <c r="HWE5" s="390"/>
      <c r="HWF5" s="390"/>
      <c r="HWG5" s="390"/>
      <c r="HWH5" s="390"/>
      <c r="HWI5" s="390"/>
      <c r="HWJ5" s="390"/>
      <c r="HWK5" s="390"/>
      <c r="HWL5" s="390"/>
      <c r="HWM5" s="390"/>
      <c r="HWN5" s="390"/>
      <c r="HWO5" s="390"/>
      <c r="HWP5" s="390"/>
      <c r="HWQ5" s="390"/>
      <c r="HWR5" s="390"/>
      <c r="HWS5" s="390"/>
      <c r="HWT5" s="390"/>
      <c r="HWU5" s="390"/>
      <c r="HWV5" s="390"/>
      <c r="HWW5" s="390"/>
      <c r="HWX5" s="390"/>
      <c r="HWY5" s="390"/>
      <c r="HWZ5" s="390"/>
      <c r="HXA5" s="390"/>
      <c r="HXB5" s="390"/>
      <c r="HXC5" s="390"/>
      <c r="HXD5" s="390"/>
      <c r="HXE5" s="390"/>
      <c r="HXF5" s="390"/>
      <c r="HXG5" s="390"/>
      <c r="HXH5" s="390"/>
      <c r="HXI5" s="390"/>
      <c r="HXJ5" s="390"/>
      <c r="HXK5" s="390"/>
      <c r="HXL5" s="390"/>
      <c r="HXM5" s="390"/>
      <c r="HXN5" s="390"/>
      <c r="HXO5" s="390"/>
      <c r="HXP5" s="390"/>
      <c r="HXQ5" s="390"/>
      <c r="HXR5" s="390"/>
      <c r="HXS5" s="390"/>
      <c r="HXT5" s="390"/>
      <c r="HXU5" s="390"/>
      <c r="HXV5" s="390"/>
      <c r="HXW5" s="390"/>
      <c r="HXX5" s="390"/>
      <c r="HXY5" s="390"/>
      <c r="HXZ5" s="390"/>
      <c r="HYA5" s="390"/>
      <c r="HYB5" s="390"/>
      <c r="HYC5" s="390"/>
      <c r="HYD5" s="390"/>
      <c r="HYE5" s="390"/>
      <c r="HYF5" s="390"/>
      <c r="HYG5" s="390"/>
      <c r="HYH5" s="390"/>
      <c r="HYI5" s="390"/>
      <c r="HYJ5" s="390"/>
      <c r="HYK5" s="390"/>
      <c r="HYL5" s="390"/>
      <c r="HYM5" s="390"/>
      <c r="HYN5" s="390"/>
      <c r="HYO5" s="390"/>
      <c r="HYP5" s="390"/>
      <c r="HYQ5" s="390"/>
      <c r="HYR5" s="390"/>
      <c r="HYS5" s="390"/>
      <c r="HYT5" s="390"/>
      <c r="HYU5" s="390"/>
      <c r="HYV5" s="390"/>
      <c r="HYW5" s="390"/>
      <c r="HYX5" s="390"/>
      <c r="HYY5" s="390"/>
      <c r="HYZ5" s="390"/>
      <c r="HZA5" s="390"/>
      <c r="HZB5" s="390"/>
      <c r="HZC5" s="390"/>
      <c r="HZD5" s="390"/>
      <c r="HZE5" s="390"/>
      <c r="HZF5" s="390"/>
      <c r="HZG5" s="390"/>
      <c r="HZH5" s="390"/>
      <c r="HZI5" s="390"/>
      <c r="HZJ5" s="390"/>
      <c r="HZK5" s="390"/>
      <c r="HZL5" s="390"/>
      <c r="HZM5" s="390"/>
      <c r="HZN5" s="390"/>
      <c r="HZO5" s="390"/>
      <c r="HZP5" s="390"/>
      <c r="HZQ5" s="390"/>
      <c r="HZR5" s="390"/>
      <c r="HZS5" s="390"/>
      <c r="HZT5" s="390"/>
      <c r="HZU5" s="390"/>
      <c r="HZV5" s="390"/>
      <c r="HZW5" s="390"/>
      <c r="HZX5" s="390"/>
      <c r="HZY5" s="390"/>
      <c r="HZZ5" s="390"/>
      <c r="IAA5" s="390"/>
      <c r="IAB5" s="390"/>
      <c r="IAC5" s="390"/>
      <c r="IAD5" s="390"/>
      <c r="IAE5" s="390"/>
      <c r="IAF5" s="390"/>
      <c r="IAG5" s="390"/>
      <c r="IAH5" s="390"/>
      <c r="IAI5" s="390"/>
      <c r="IAJ5" s="390"/>
      <c r="IAK5" s="390"/>
      <c r="IAL5" s="390"/>
      <c r="IAM5" s="390"/>
      <c r="IAN5" s="390"/>
      <c r="IAO5" s="390"/>
      <c r="IAP5" s="390"/>
      <c r="IAQ5" s="390"/>
      <c r="IAR5" s="390"/>
      <c r="IAS5" s="390"/>
      <c r="IAT5" s="390"/>
      <c r="IAU5" s="390"/>
      <c r="IAV5" s="390"/>
      <c r="IAW5" s="390"/>
      <c r="IAX5" s="390"/>
      <c r="IAY5" s="390"/>
      <c r="IAZ5" s="390"/>
      <c r="IBA5" s="390"/>
      <c r="IBB5" s="390"/>
      <c r="IBC5" s="390"/>
      <c r="IBD5" s="390"/>
      <c r="IBE5" s="390"/>
      <c r="IBF5" s="390"/>
      <c r="IBG5" s="390"/>
      <c r="IBH5" s="390"/>
      <c r="IBI5" s="390"/>
      <c r="IBJ5" s="390"/>
      <c r="IBK5" s="390"/>
      <c r="IBL5" s="390"/>
      <c r="IBM5" s="390"/>
      <c r="IBN5" s="390"/>
      <c r="IBO5" s="390"/>
      <c r="IBP5" s="390"/>
      <c r="IBQ5" s="390"/>
      <c r="IBR5" s="390"/>
      <c r="IBS5" s="390"/>
      <c r="IBT5" s="390"/>
      <c r="IBU5" s="390"/>
      <c r="IBV5" s="390"/>
      <c r="IBW5" s="390"/>
      <c r="IBX5" s="390"/>
      <c r="IBY5" s="390"/>
      <c r="IBZ5" s="390"/>
      <c r="ICA5" s="390"/>
      <c r="ICB5" s="390"/>
      <c r="ICC5" s="390"/>
      <c r="ICD5" s="390"/>
      <c r="ICE5" s="390"/>
      <c r="ICF5" s="390"/>
      <c r="ICG5" s="390"/>
      <c r="ICH5" s="390"/>
      <c r="ICI5" s="390"/>
      <c r="ICJ5" s="390"/>
      <c r="ICK5" s="390"/>
      <c r="ICL5" s="390"/>
      <c r="ICM5" s="390"/>
      <c r="ICN5" s="390"/>
      <c r="ICO5" s="390"/>
      <c r="ICP5" s="390"/>
      <c r="ICQ5" s="390"/>
      <c r="ICR5" s="390"/>
      <c r="ICS5" s="390"/>
      <c r="ICT5" s="390"/>
      <c r="ICU5" s="390"/>
      <c r="ICV5" s="390"/>
      <c r="ICW5" s="390"/>
      <c r="ICX5" s="390"/>
      <c r="ICY5" s="390"/>
      <c r="ICZ5" s="390"/>
      <c r="IDA5" s="390"/>
      <c r="IDB5" s="390"/>
      <c r="IDC5" s="390"/>
      <c r="IDD5" s="390"/>
      <c r="IDE5" s="390"/>
      <c r="IDF5" s="390"/>
      <c r="IDG5" s="390"/>
      <c r="IDH5" s="390"/>
      <c r="IDI5" s="390"/>
      <c r="IDJ5" s="390"/>
      <c r="IDK5" s="390"/>
      <c r="IDL5" s="390"/>
      <c r="IDM5" s="390"/>
      <c r="IDN5" s="390"/>
      <c r="IDO5" s="390"/>
      <c r="IDP5" s="390"/>
      <c r="IDQ5" s="390"/>
      <c r="IDR5" s="390"/>
      <c r="IDS5" s="390"/>
      <c r="IDT5" s="390"/>
      <c r="IDU5" s="390"/>
      <c r="IDV5" s="390"/>
      <c r="IDW5" s="390"/>
      <c r="IDX5" s="390"/>
      <c r="IDY5" s="390"/>
      <c r="IDZ5" s="390"/>
      <c r="IEA5" s="390"/>
      <c r="IEB5" s="390"/>
      <c r="IEC5" s="390"/>
      <c r="IED5" s="390"/>
      <c r="IEE5" s="390"/>
      <c r="IEF5" s="390"/>
      <c r="IEG5" s="390"/>
      <c r="IEH5" s="390"/>
      <c r="IEI5" s="390"/>
      <c r="IEJ5" s="390"/>
      <c r="IEK5" s="390"/>
      <c r="IEL5" s="390"/>
      <c r="IEM5" s="390"/>
      <c r="IEN5" s="390"/>
      <c r="IEO5" s="390"/>
      <c r="IEP5" s="390"/>
      <c r="IEQ5" s="390"/>
      <c r="IER5" s="390"/>
      <c r="IES5" s="390"/>
      <c r="IET5" s="390"/>
      <c r="IEU5" s="390"/>
      <c r="IEV5" s="390"/>
      <c r="IEW5" s="390"/>
      <c r="IEX5" s="390"/>
      <c r="IEY5" s="390"/>
      <c r="IEZ5" s="390"/>
      <c r="IFA5" s="390"/>
      <c r="IFB5" s="390"/>
      <c r="IFC5" s="390"/>
      <c r="IFD5" s="390"/>
      <c r="IFE5" s="390"/>
      <c r="IFF5" s="390"/>
      <c r="IFG5" s="390"/>
      <c r="IFH5" s="390"/>
      <c r="IFI5" s="390"/>
      <c r="IFJ5" s="390"/>
      <c r="IFK5" s="390"/>
      <c r="IFL5" s="390"/>
      <c r="IFM5" s="390"/>
      <c r="IFN5" s="390"/>
      <c r="IFO5" s="390"/>
      <c r="IFP5" s="390"/>
      <c r="IFQ5" s="390"/>
      <c r="IFR5" s="390"/>
      <c r="IFS5" s="390"/>
      <c r="IFT5" s="390"/>
      <c r="IFU5" s="390"/>
      <c r="IFV5" s="390"/>
      <c r="IFW5" s="390"/>
      <c r="IFX5" s="390"/>
      <c r="IFY5" s="390"/>
      <c r="IFZ5" s="390"/>
      <c r="IGA5" s="390"/>
      <c r="IGB5" s="390"/>
      <c r="IGC5" s="390"/>
      <c r="IGD5" s="390"/>
      <c r="IGE5" s="390"/>
      <c r="IGF5" s="390"/>
      <c r="IGG5" s="390"/>
      <c r="IGH5" s="390"/>
      <c r="IGI5" s="390"/>
      <c r="IGJ5" s="390"/>
      <c r="IGK5" s="390"/>
      <c r="IGL5" s="390"/>
      <c r="IGM5" s="390"/>
      <c r="IGN5" s="390"/>
      <c r="IGO5" s="390"/>
      <c r="IGP5" s="390"/>
      <c r="IGQ5" s="390"/>
      <c r="IGR5" s="390"/>
      <c r="IGS5" s="390"/>
      <c r="IGT5" s="390"/>
      <c r="IGU5" s="390"/>
      <c r="IGV5" s="390"/>
      <c r="IGW5" s="390"/>
      <c r="IGX5" s="390"/>
      <c r="IGY5" s="390"/>
      <c r="IGZ5" s="390"/>
      <c r="IHA5" s="390"/>
      <c r="IHB5" s="390"/>
      <c r="IHC5" s="390"/>
      <c r="IHD5" s="390"/>
      <c r="IHE5" s="390"/>
      <c r="IHF5" s="390"/>
      <c r="IHG5" s="390"/>
      <c r="IHH5" s="390"/>
      <c r="IHI5" s="390"/>
      <c r="IHJ5" s="390"/>
      <c r="IHK5" s="390"/>
      <c r="IHL5" s="390"/>
      <c r="IHM5" s="390"/>
      <c r="IHN5" s="390"/>
      <c r="IHO5" s="390"/>
      <c r="IHP5" s="390"/>
      <c r="IHQ5" s="390"/>
      <c r="IHR5" s="390"/>
      <c r="IHS5" s="390"/>
      <c r="IHT5" s="390"/>
      <c r="IHU5" s="390"/>
      <c r="IHV5" s="390"/>
      <c r="IHW5" s="390"/>
      <c r="IHX5" s="390"/>
      <c r="IHY5" s="390"/>
      <c r="IHZ5" s="390"/>
      <c r="IIA5" s="390"/>
      <c r="IIB5" s="390"/>
      <c r="IIC5" s="390"/>
      <c r="IID5" s="390"/>
      <c r="IIE5" s="390"/>
      <c r="IIF5" s="390"/>
      <c r="IIG5" s="390"/>
      <c r="IIH5" s="390"/>
      <c r="III5" s="390"/>
      <c r="IIJ5" s="390"/>
      <c r="IIK5" s="390"/>
      <c r="IIL5" s="390"/>
      <c r="IIM5" s="390"/>
      <c r="IIN5" s="390"/>
      <c r="IIO5" s="390"/>
      <c r="IIP5" s="390"/>
      <c r="IIQ5" s="390"/>
      <c r="IIR5" s="390"/>
      <c r="IIS5" s="390"/>
      <c r="IIT5" s="390"/>
      <c r="IIU5" s="390"/>
      <c r="IIV5" s="390"/>
      <c r="IIW5" s="390"/>
      <c r="IIX5" s="390"/>
      <c r="IIY5" s="390"/>
      <c r="IIZ5" s="390"/>
      <c r="IJA5" s="390"/>
      <c r="IJB5" s="390"/>
      <c r="IJC5" s="390"/>
      <c r="IJD5" s="390"/>
      <c r="IJE5" s="390"/>
      <c r="IJF5" s="390"/>
      <c r="IJG5" s="390"/>
      <c r="IJH5" s="390"/>
      <c r="IJI5" s="390"/>
      <c r="IJJ5" s="390"/>
      <c r="IJK5" s="390"/>
      <c r="IJL5" s="390"/>
      <c r="IJM5" s="390"/>
      <c r="IJN5" s="390"/>
      <c r="IJO5" s="390"/>
      <c r="IJP5" s="390"/>
      <c r="IJQ5" s="390"/>
      <c r="IJR5" s="390"/>
      <c r="IJS5" s="390"/>
      <c r="IJT5" s="390"/>
      <c r="IJU5" s="390"/>
      <c r="IJV5" s="390"/>
      <c r="IJW5" s="390"/>
      <c r="IJX5" s="390"/>
      <c r="IJY5" s="390"/>
      <c r="IJZ5" s="390"/>
      <c r="IKA5" s="390"/>
      <c r="IKB5" s="390"/>
      <c r="IKC5" s="390"/>
      <c r="IKD5" s="390"/>
      <c r="IKE5" s="390"/>
      <c r="IKF5" s="390"/>
      <c r="IKG5" s="390"/>
      <c r="IKH5" s="390"/>
      <c r="IKI5" s="390"/>
      <c r="IKJ5" s="390"/>
      <c r="IKK5" s="390"/>
      <c r="IKL5" s="390"/>
      <c r="IKM5" s="390"/>
      <c r="IKN5" s="390"/>
      <c r="IKO5" s="390"/>
      <c r="IKP5" s="390"/>
      <c r="IKQ5" s="390"/>
      <c r="IKR5" s="390"/>
      <c r="IKS5" s="390"/>
      <c r="IKT5" s="390"/>
      <c r="IKU5" s="390"/>
      <c r="IKV5" s="390"/>
      <c r="IKW5" s="390"/>
      <c r="IKX5" s="390"/>
      <c r="IKY5" s="390"/>
      <c r="IKZ5" s="390"/>
      <c r="ILA5" s="390"/>
      <c r="ILB5" s="390"/>
      <c r="ILC5" s="390"/>
      <c r="ILD5" s="390"/>
      <c r="ILE5" s="390"/>
      <c r="ILF5" s="390"/>
      <c r="ILG5" s="390"/>
      <c r="ILH5" s="390"/>
      <c r="ILI5" s="390"/>
      <c r="ILJ5" s="390"/>
      <c r="ILK5" s="390"/>
      <c r="ILL5" s="390"/>
      <c r="ILM5" s="390"/>
      <c r="ILN5" s="390"/>
      <c r="ILO5" s="390"/>
      <c r="ILP5" s="390"/>
      <c r="ILQ5" s="390"/>
      <c r="ILR5" s="390"/>
      <c r="ILS5" s="390"/>
      <c r="ILT5" s="390"/>
      <c r="ILU5" s="390"/>
      <c r="ILV5" s="390"/>
      <c r="ILW5" s="390"/>
      <c r="ILX5" s="390"/>
      <c r="ILY5" s="390"/>
      <c r="ILZ5" s="390"/>
      <c r="IMA5" s="390"/>
      <c r="IMB5" s="390"/>
      <c r="IMC5" s="390"/>
      <c r="IMD5" s="390"/>
      <c r="IME5" s="390"/>
      <c r="IMF5" s="390"/>
      <c r="IMG5" s="390"/>
      <c r="IMH5" s="390"/>
      <c r="IMI5" s="390"/>
      <c r="IMJ5" s="390"/>
      <c r="IMK5" s="390"/>
      <c r="IML5" s="390"/>
      <c r="IMM5" s="390"/>
      <c r="IMN5" s="390"/>
      <c r="IMO5" s="390"/>
      <c r="IMP5" s="390"/>
      <c r="IMQ5" s="390"/>
      <c r="IMR5" s="390"/>
      <c r="IMS5" s="390"/>
      <c r="IMT5" s="390"/>
      <c r="IMU5" s="390"/>
      <c r="IMV5" s="390"/>
      <c r="IMW5" s="390"/>
      <c r="IMX5" s="390"/>
      <c r="IMY5" s="390"/>
      <c r="IMZ5" s="390"/>
      <c r="INA5" s="390"/>
      <c r="INB5" s="390"/>
      <c r="INC5" s="390"/>
      <c r="IND5" s="390"/>
      <c r="INE5" s="390"/>
      <c r="INF5" s="390"/>
      <c r="ING5" s="390"/>
      <c r="INH5" s="390"/>
      <c r="INI5" s="390"/>
      <c r="INJ5" s="390"/>
      <c r="INK5" s="390"/>
      <c r="INL5" s="390"/>
      <c r="INM5" s="390"/>
      <c r="INN5" s="390"/>
      <c r="INO5" s="390"/>
      <c r="INP5" s="390"/>
      <c r="INQ5" s="390"/>
      <c r="INR5" s="390"/>
      <c r="INS5" s="390"/>
      <c r="INT5" s="390"/>
      <c r="INU5" s="390"/>
      <c r="INV5" s="390"/>
      <c r="INW5" s="390"/>
      <c r="INX5" s="390"/>
      <c r="INY5" s="390"/>
      <c r="INZ5" s="390"/>
      <c r="IOA5" s="390"/>
      <c r="IOB5" s="390"/>
      <c r="IOC5" s="390"/>
      <c r="IOD5" s="390"/>
      <c r="IOE5" s="390"/>
      <c r="IOF5" s="390"/>
      <c r="IOG5" s="390"/>
      <c r="IOH5" s="390"/>
      <c r="IOI5" s="390"/>
      <c r="IOJ5" s="390"/>
      <c r="IOK5" s="390"/>
      <c r="IOL5" s="390"/>
      <c r="IOM5" s="390"/>
      <c r="ION5" s="390"/>
      <c r="IOO5" s="390"/>
      <c r="IOP5" s="390"/>
      <c r="IOQ5" s="390"/>
      <c r="IOR5" s="390"/>
      <c r="IOS5" s="390"/>
      <c r="IOT5" s="390"/>
      <c r="IOU5" s="390"/>
      <c r="IOV5" s="390"/>
      <c r="IOW5" s="390"/>
      <c r="IOX5" s="390"/>
      <c r="IOY5" s="390"/>
      <c r="IOZ5" s="390"/>
      <c r="IPA5" s="390"/>
      <c r="IPB5" s="390"/>
      <c r="IPC5" s="390"/>
      <c r="IPD5" s="390"/>
      <c r="IPE5" s="390"/>
      <c r="IPF5" s="390"/>
      <c r="IPG5" s="390"/>
      <c r="IPH5" s="390"/>
      <c r="IPI5" s="390"/>
      <c r="IPJ5" s="390"/>
      <c r="IPK5" s="390"/>
      <c r="IPL5" s="390"/>
      <c r="IPM5" s="390"/>
      <c r="IPN5" s="390"/>
      <c r="IPO5" s="390"/>
      <c r="IPP5" s="390"/>
      <c r="IPQ5" s="390"/>
      <c r="IPR5" s="390"/>
      <c r="IPS5" s="390"/>
      <c r="IPT5" s="390"/>
      <c r="IPU5" s="390"/>
      <c r="IPV5" s="390"/>
      <c r="IPW5" s="390"/>
      <c r="IPX5" s="390"/>
      <c r="IPY5" s="390"/>
      <c r="IPZ5" s="390"/>
      <c r="IQA5" s="390"/>
      <c r="IQB5" s="390"/>
      <c r="IQC5" s="390"/>
      <c r="IQD5" s="390"/>
      <c r="IQE5" s="390"/>
      <c r="IQF5" s="390"/>
      <c r="IQG5" s="390"/>
      <c r="IQH5" s="390"/>
      <c r="IQI5" s="390"/>
      <c r="IQJ5" s="390"/>
      <c r="IQK5" s="390"/>
      <c r="IQL5" s="390"/>
      <c r="IQM5" s="390"/>
      <c r="IQN5" s="390"/>
      <c r="IQO5" s="390"/>
      <c r="IQP5" s="390"/>
      <c r="IQQ5" s="390"/>
      <c r="IQR5" s="390"/>
      <c r="IQS5" s="390"/>
      <c r="IQT5" s="390"/>
      <c r="IQU5" s="390"/>
      <c r="IQV5" s="390"/>
      <c r="IQW5" s="390"/>
      <c r="IQX5" s="390"/>
      <c r="IQY5" s="390"/>
      <c r="IQZ5" s="390"/>
      <c r="IRA5" s="390"/>
      <c r="IRB5" s="390"/>
      <c r="IRC5" s="390"/>
      <c r="IRD5" s="390"/>
      <c r="IRE5" s="390"/>
      <c r="IRF5" s="390"/>
      <c r="IRG5" s="390"/>
      <c r="IRH5" s="390"/>
      <c r="IRI5" s="390"/>
      <c r="IRJ5" s="390"/>
      <c r="IRK5" s="390"/>
      <c r="IRL5" s="390"/>
      <c r="IRM5" s="390"/>
      <c r="IRN5" s="390"/>
      <c r="IRO5" s="390"/>
      <c r="IRP5" s="390"/>
      <c r="IRQ5" s="390"/>
      <c r="IRR5" s="390"/>
      <c r="IRS5" s="390"/>
      <c r="IRT5" s="390"/>
      <c r="IRU5" s="390"/>
      <c r="IRV5" s="390"/>
      <c r="IRW5" s="390"/>
      <c r="IRX5" s="390"/>
      <c r="IRY5" s="390"/>
      <c r="IRZ5" s="390"/>
      <c r="ISA5" s="390"/>
      <c r="ISB5" s="390"/>
      <c r="ISC5" s="390"/>
      <c r="ISD5" s="390"/>
      <c r="ISE5" s="390"/>
      <c r="ISF5" s="390"/>
      <c r="ISG5" s="390"/>
      <c r="ISH5" s="390"/>
      <c r="ISI5" s="390"/>
      <c r="ISJ5" s="390"/>
      <c r="ISK5" s="390"/>
      <c r="ISL5" s="390"/>
      <c r="ISM5" s="390"/>
      <c r="ISN5" s="390"/>
      <c r="ISO5" s="390"/>
      <c r="ISP5" s="390"/>
      <c r="ISQ5" s="390"/>
      <c r="ISR5" s="390"/>
      <c r="ISS5" s="390"/>
      <c r="IST5" s="390"/>
      <c r="ISU5" s="390"/>
      <c r="ISV5" s="390"/>
      <c r="ISW5" s="390"/>
      <c r="ISX5" s="390"/>
      <c r="ISY5" s="390"/>
      <c r="ISZ5" s="390"/>
      <c r="ITA5" s="390"/>
      <c r="ITB5" s="390"/>
      <c r="ITC5" s="390"/>
      <c r="ITD5" s="390"/>
      <c r="ITE5" s="390"/>
      <c r="ITF5" s="390"/>
      <c r="ITG5" s="390"/>
      <c r="ITH5" s="390"/>
      <c r="ITI5" s="390"/>
      <c r="ITJ5" s="390"/>
      <c r="ITK5" s="390"/>
      <c r="ITL5" s="390"/>
      <c r="ITM5" s="390"/>
      <c r="ITN5" s="390"/>
      <c r="ITO5" s="390"/>
      <c r="ITP5" s="390"/>
      <c r="ITQ5" s="390"/>
      <c r="ITR5" s="390"/>
      <c r="ITS5" s="390"/>
      <c r="ITT5" s="390"/>
      <c r="ITU5" s="390"/>
      <c r="ITV5" s="390"/>
      <c r="ITW5" s="390"/>
      <c r="ITX5" s="390"/>
      <c r="ITY5" s="390"/>
      <c r="ITZ5" s="390"/>
      <c r="IUA5" s="390"/>
      <c r="IUB5" s="390"/>
      <c r="IUC5" s="390"/>
      <c r="IUD5" s="390"/>
      <c r="IUE5" s="390"/>
      <c r="IUF5" s="390"/>
      <c r="IUG5" s="390"/>
      <c r="IUH5" s="390"/>
      <c r="IUI5" s="390"/>
      <c r="IUJ5" s="390"/>
      <c r="IUK5" s="390"/>
      <c r="IUL5" s="390"/>
      <c r="IUM5" s="390"/>
      <c r="IUN5" s="390"/>
      <c r="IUO5" s="390"/>
      <c r="IUP5" s="390"/>
      <c r="IUQ5" s="390"/>
      <c r="IUR5" s="390"/>
      <c r="IUS5" s="390"/>
      <c r="IUT5" s="390"/>
      <c r="IUU5" s="390"/>
      <c r="IUV5" s="390"/>
      <c r="IUW5" s="390"/>
      <c r="IUX5" s="390"/>
      <c r="IUY5" s="390"/>
      <c r="IUZ5" s="390"/>
      <c r="IVA5" s="390"/>
      <c r="IVB5" s="390"/>
      <c r="IVC5" s="390"/>
      <c r="IVD5" s="390"/>
      <c r="IVE5" s="390"/>
      <c r="IVF5" s="390"/>
      <c r="IVG5" s="390"/>
      <c r="IVH5" s="390"/>
      <c r="IVI5" s="390"/>
      <c r="IVJ5" s="390"/>
      <c r="IVK5" s="390"/>
      <c r="IVL5" s="390"/>
      <c r="IVM5" s="390"/>
      <c r="IVN5" s="390"/>
      <c r="IVO5" s="390"/>
      <c r="IVP5" s="390"/>
      <c r="IVQ5" s="390"/>
      <c r="IVR5" s="390"/>
      <c r="IVS5" s="390"/>
      <c r="IVT5" s="390"/>
      <c r="IVU5" s="390"/>
      <c r="IVV5" s="390"/>
      <c r="IVW5" s="390"/>
      <c r="IVX5" s="390"/>
      <c r="IVY5" s="390"/>
      <c r="IVZ5" s="390"/>
      <c r="IWA5" s="390"/>
      <c r="IWB5" s="390"/>
      <c r="IWC5" s="390"/>
      <c r="IWD5" s="390"/>
      <c r="IWE5" s="390"/>
      <c r="IWF5" s="390"/>
      <c r="IWG5" s="390"/>
      <c r="IWH5" s="390"/>
      <c r="IWI5" s="390"/>
      <c r="IWJ5" s="390"/>
      <c r="IWK5" s="390"/>
      <c r="IWL5" s="390"/>
      <c r="IWM5" s="390"/>
      <c r="IWN5" s="390"/>
      <c r="IWO5" s="390"/>
      <c r="IWP5" s="390"/>
      <c r="IWQ5" s="390"/>
      <c r="IWR5" s="390"/>
      <c r="IWS5" s="390"/>
      <c r="IWT5" s="390"/>
      <c r="IWU5" s="390"/>
      <c r="IWV5" s="390"/>
      <c r="IWW5" s="390"/>
      <c r="IWX5" s="390"/>
      <c r="IWY5" s="390"/>
      <c r="IWZ5" s="390"/>
      <c r="IXA5" s="390"/>
      <c r="IXB5" s="390"/>
      <c r="IXC5" s="390"/>
      <c r="IXD5" s="390"/>
      <c r="IXE5" s="390"/>
      <c r="IXF5" s="390"/>
      <c r="IXG5" s="390"/>
      <c r="IXH5" s="390"/>
      <c r="IXI5" s="390"/>
      <c r="IXJ5" s="390"/>
      <c r="IXK5" s="390"/>
      <c r="IXL5" s="390"/>
      <c r="IXM5" s="390"/>
      <c r="IXN5" s="390"/>
      <c r="IXO5" s="390"/>
      <c r="IXP5" s="390"/>
      <c r="IXQ5" s="390"/>
      <c r="IXR5" s="390"/>
      <c r="IXS5" s="390"/>
      <c r="IXT5" s="390"/>
      <c r="IXU5" s="390"/>
      <c r="IXV5" s="390"/>
      <c r="IXW5" s="390"/>
      <c r="IXX5" s="390"/>
      <c r="IXY5" s="390"/>
      <c r="IXZ5" s="390"/>
      <c r="IYA5" s="390"/>
      <c r="IYB5" s="390"/>
      <c r="IYC5" s="390"/>
      <c r="IYD5" s="390"/>
      <c r="IYE5" s="390"/>
      <c r="IYF5" s="390"/>
      <c r="IYG5" s="390"/>
      <c r="IYH5" s="390"/>
      <c r="IYI5" s="390"/>
      <c r="IYJ5" s="390"/>
      <c r="IYK5" s="390"/>
      <c r="IYL5" s="390"/>
      <c r="IYM5" s="390"/>
      <c r="IYN5" s="390"/>
      <c r="IYO5" s="390"/>
      <c r="IYP5" s="390"/>
      <c r="IYQ5" s="390"/>
      <c r="IYR5" s="390"/>
      <c r="IYS5" s="390"/>
      <c r="IYT5" s="390"/>
      <c r="IYU5" s="390"/>
      <c r="IYV5" s="390"/>
      <c r="IYW5" s="390"/>
      <c r="IYX5" s="390"/>
      <c r="IYY5" s="390"/>
      <c r="IYZ5" s="390"/>
      <c r="IZA5" s="390"/>
      <c r="IZB5" s="390"/>
      <c r="IZC5" s="390"/>
      <c r="IZD5" s="390"/>
      <c r="IZE5" s="390"/>
      <c r="IZF5" s="390"/>
      <c r="IZG5" s="390"/>
      <c r="IZH5" s="390"/>
      <c r="IZI5" s="390"/>
      <c r="IZJ5" s="390"/>
      <c r="IZK5" s="390"/>
      <c r="IZL5" s="390"/>
      <c r="IZM5" s="390"/>
      <c r="IZN5" s="390"/>
      <c r="IZO5" s="390"/>
      <c r="IZP5" s="390"/>
      <c r="IZQ5" s="390"/>
      <c r="IZR5" s="390"/>
      <c r="IZS5" s="390"/>
      <c r="IZT5" s="390"/>
      <c r="IZU5" s="390"/>
      <c r="IZV5" s="390"/>
      <c r="IZW5" s="390"/>
      <c r="IZX5" s="390"/>
      <c r="IZY5" s="390"/>
      <c r="IZZ5" s="390"/>
      <c r="JAA5" s="390"/>
      <c r="JAB5" s="390"/>
      <c r="JAC5" s="390"/>
      <c r="JAD5" s="390"/>
      <c r="JAE5" s="390"/>
      <c r="JAF5" s="390"/>
      <c r="JAG5" s="390"/>
      <c r="JAH5" s="390"/>
      <c r="JAI5" s="390"/>
      <c r="JAJ5" s="390"/>
      <c r="JAK5" s="390"/>
      <c r="JAL5" s="390"/>
      <c r="JAM5" s="390"/>
      <c r="JAN5" s="390"/>
      <c r="JAO5" s="390"/>
      <c r="JAP5" s="390"/>
      <c r="JAQ5" s="390"/>
      <c r="JAR5" s="390"/>
      <c r="JAS5" s="390"/>
      <c r="JAT5" s="390"/>
      <c r="JAU5" s="390"/>
      <c r="JAV5" s="390"/>
      <c r="JAW5" s="390"/>
      <c r="JAX5" s="390"/>
      <c r="JAY5" s="390"/>
      <c r="JAZ5" s="390"/>
      <c r="JBA5" s="390"/>
      <c r="JBB5" s="390"/>
      <c r="JBC5" s="390"/>
      <c r="JBD5" s="390"/>
      <c r="JBE5" s="390"/>
      <c r="JBF5" s="390"/>
      <c r="JBG5" s="390"/>
      <c r="JBH5" s="390"/>
      <c r="JBI5" s="390"/>
      <c r="JBJ5" s="390"/>
      <c r="JBK5" s="390"/>
      <c r="JBL5" s="390"/>
      <c r="JBM5" s="390"/>
      <c r="JBN5" s="390"/>
      <c r="JBO5" s="390"/>
      <c r="JBP5" s="390"/>
      <c r="JBQ5" s="390"/>
      <c r="JBR5" s="390"/>
      <c r="JBS5" s="390"/>
      <c r="JBT5" s="390"/>
      <c r="JBU5" s="390"/>
      <c r="JBV5" s="390"/>
      <c r="JBW5" s="390"/>
      <c r="JBX5" s="390"/>
      <c r="JBY5" s="390"/>
      <c r="JBZ5" s="390"/>
      <c r="JCA5" s="390"/>
      <c r="JCB5" s="390"/>
      <c r="JCC5" s="390"/>
      <c r="JCD5" s="390"/>
      <c r="JCE5" s="390"/>
      <c r="JCF5" s="390"/>
      <c r="JCG5" s="390"/>
      <c r="JCH5" s="390"/>
      <c r="JCI5" s="390"/>
      <c r="JCJ5" s="390"/>
      <c r="JCK5" s="390"/>
      <c r="JCL5" s="390"/>
      <c r="JCM5" s="390"/>
      <c r="JCN5" s="390"/>
      <c r="JCO5" s="390"/>
      <c r="JCP5" s="390"/>
      <c r="JCQ5" s="390"/>
      <c r="JCR5" s="390"/>
      <c r="JCS5" s="390"/>
      <c r="JCT5" s="390"/>
      <c r="JCU5" s="390"/>
      <c r="JCV5" s="390"/>
      <c r="JCW5" s="390"/>
      <c r="JCX5" s="390"/>
      <c r="JCY5" s="390"/>
      <c r="JCZ5" s="390"/>
      <c r="JDA5" s="390"/>
      <c r="JDB5" s="390"/>
      <c r="JDC5" s="390"/>
      <c r="JDD5" s="390"/>
      <c r="JDE5" s="390"/>
      <c r="JDF5" s="390"/>
      <c r="JDG5" s="390"/>
      <c r="JDH5" s="390"/>
      <c r="JDI5" s="390"/>
      <c r="JDJ5" s="390"/>
      <c r="JDK5" s="390"/>
      <c r="JDL5" s="390"/>
      <c r="JDM5" s="390"/>
      <c r="JDN5" s="390"/>
      <c r="JDO5" s="390"/>
      <c r="JDP5" s="390"/>
      <c r="JDQ5" s="390"/>
      <c r="JDR5" s="390"/>
      <c r="JDS5" s="390"/>
      <c r="JDT5" s="390"/>
      <c r="JDU5" s="390"/>
      <c r="JDV5" s="390"/>
      <c r="JDW5" s="390"/>
      <c r="JDX5" s="390"/>
      <c r="JDY5" s="390"/>
      <c r="JDZ5" s="390"/>
      <c r="JEA5" s="390"/>
      <c r="JEB5" s="390"/>
      <c r="JEC5" s="390"/>
      <c r="JED5" s="390"/>
      <c r="JEE5" s="390"/>
      <c r="JEF5" s="390"/>
      <c r="JEG5" s="390"/>
      <c r="JEH5" s="390"/>
      <c r="JEI5" s="390"/>
      <c r="JEJ5" s="390"/>
      <c r="JEK5" s="390"/>
      <c r="JEL5" s="390"/>
      <c r="JEM5" s="390"/>
      <c r="JEN5" s="390"/>
      <c r="JEO5" s="390"/>
      <c r="JEP5" s="390"/>
      <c r="JEQ5" s="390"/>
      <c r="JER5" s="390"/>
      <c r="JES5" s="390"/>
      <c r="JET5" s="390"/>
      <c r="JEU5" s="390"/>
      <c r="JEV5" s="390"/>
      <c r="JEW5" s="390"/>
      <c r="JEX5" s="390"/>
      <c r="JEY5" s="390"/>
      <c r="JEZ5" s="390"/>
      <c r="JFA5" s="390"/>
      <c r="JFB5" s="390"/>
      <c r="JFC5" s="390"/>
      <c r="JFD5" s="390"/>
      <c r="JFE5" s="390"/>
      <c r="JFF5" s="390"/>
      <c r="JFG5" s="390"/>
      <c r="JFH5" s="390"/>
      <c r="JFI5" s="390"/>
      <c r="JFJ5" s="390"/>
      <c r="JFK5" s="390"/>
      <c r="JFL5" s="390"/>
      <c r="JFM5" s="390"/>
      <c r="JFN5" s="390"/>
      <c r="JFO5" s="390"/>
      <c r="JFP5" s="390"/>
      <c r="JFQ5" s="390"/>
      <c r="JFR5" s="390"/>
      <c r="JFS5" s="390"/>
      <c r="JFT5" s="390"/>
      <c r="JFU5" s="390"/>
      <c r="JFV5" s="390"/>
      <c r="JFW5" s="390"/>
      <c r="JFX5" s="390"/>
      <c r="JFY5" s="390"/>
      <c r="JFZ5" s="390"/>
      <c r="JGA5" s="390"/>
      <c r="JGB5" s="390"/>
      <c r="JGC5" s="390"/>
      <c r="JGD5" s="390"/>
      <c r="JGE5" s="390"/>
      <c r="JGF5" s="390"/>
      <c r="JGG5" s="390"/>
      <c r="JGH5" s="390"/>
      <c r="JGI5" s="390"/>
      <c r="JGJ5" s="390"/>
      <c r="JGK5" s="390"/>
      <c r="JGL5" s="390"/>
      <c r="JGM5" s="390"/>
      <c r="JGN5" s="390"/>
      <c r="JGO5" s="390"/>
      <c r="JGP5" s="390"/>
      <c r="JGQ5" s="390"/>
      <c r="JGR5" s="390"/>
      <c r="JGS5" s="390"/>
      <c r="JGT5" s="390"/>
      <c r="JGU5" s="390"/>
      <c r="JGV5" s="390"/>
      <c r="JGW5" s="390"/>
      <c r="JGX5" s="390"/>
      <c r="JGY5" s="390"/>
      <c r="JGZ5" s="390"/>
      <c r="JHA5" s="390"/>
      <c r="JHB5" s="390"/>
      <c r="JHC5" s="390"/>
      <c r="JHD5" s="390"/>
      <c r="JHE5" s="390"/>
      <c r="JHF5" s="390"/>
      <c r="JHG5" s="390"/>
      <c r="JHH5" s="390"/>
      <c r="JHI5" s="390"/>
      <c r="JHJ5" s="390"/>
      <c r="JHK5" s="390"/>
      <c r="JHL5" s="390"/>
      <c r="JHM5" s="390"/>
      <c r="JHN5" s="390"/>
      <c r="JHO5" s="390"/>
      <c r="JHP5" s="390"/>
      <c r="JHQ5" s="390"/>
      <c r="JHR5" s="390"/>
      <c r="JHS5" s="390"/>
      <c r="JHT5" s="390"/>
      <c r="JHU5" s="390"/>
      <c r="JHV5" s="390"/>
      <c r="JHW5" s="390"/>
      <c r="JHX5" s="390"/>
      <c r="JHY5" s="390"/>
      <c r="JHZ5" s="390"/>
      <c r="JIA5" s="390"/>
      <c r="JIB5" s="390"/>
      <c r="JIC5" s="390"/>
      <c r="JID5" s="390"/>
      <c r="JIE5" s="390"/>
      <c r="JIF5" s="390"/>
      <c r="JIG5" s="390"/>
      <c r="JIH5" s="390"/>
      <c r="JII5" s="390"/>
      <c r="JIJ5" s="390"/>
      <c r="JIK5" s="390"/>
      <c r="JIL5" s="390"/>
      <c r="JIM5" s="390"/>
      <c r="JIN5" s="390"/>
      <c r="JIO5" s="390"/>
      <c r="JIP5" s="390"/>
      <c r="JIQ5" s="390"/>
      <c r="JIR5" s="390"/>
      <c r="JIS5" s="390"/>
      <c r="JIT5" s="390"/>
      <c r="JIU5" s="390"/>
      <c r="JIV5" s="390"/>
      <c r="JIW5" s="390"/>
      <c r="JIX5" s="390"/>
      <c r="JIY5" s="390"/>
      <c r="JIZ5" s="390"/>
      <c r="JJA5" s="390"/>
      <c r="JJB5" s="390"/>
      <c r="JJC5" s="390"/>
      <c r="JJD5" s="390"/>
      <c r="JJE5" s="390"/>
      <c r="JJF5" s="390"/>
      <c r="JJG5" s="390"/>
      <c r="JJH5" s="390"/>
      <c r="JJI5" s="390"/>
      <c r="JJJ5" s="390"/>
      <c r="JJK5" s="390"/>
      <c r="JJL5" s="390"/>
      <c r="JJM5" s="390"/>
      <c r="JJN5" s="390"/>
      <c r="JJO5" s="390"/>
      <c r="JJP5" s="390"/>
      <c r="JJQ5" s="390"/>
      <c r="JJR5" s="390"/>
      <c r="JJS5" s="390"/>
      <c r="JJT5" s="390"/>
      <c r="JJU5" s="390"/>
      <c r="JJV5" s="390"/>
      <c r="JJW5" s="390"/>
      <c r="JJX5" s="390"/>
      <c r="JJY5" s="390"/>
      <c r="JJZ5" s="390"/>
      <c r="JKA5" s="390"/>
      <c r="JKB5" s="390"/>
      <c r="JKC5" s="390"/>
      <c r="JKD5" s="390"/>
      <c r="JKE5" s="390"/>
      <c r="JKF5" s="390"/>
      <c r="JKG5" s="390"/>
      <c r="JKH5" s="390"/>
      <c r="JKI5" s="390"/>
      <c r="JKJ5" s="390"/>
      <c r="JKK5" s="390"/>
      <c r="JKL5" s="390"/>
      <c r="JKM5" s="390"/>
      <c r="JKN5" s="390"/>
      <c r="JKO5" s="390"/>
      <c r="JKP5" s="390"/>
      <c r="JKQ5" s="390"/>
      <c r="JKR5" s="390"/>
      <c r="JKS5" s="390"/>
      <c r="JKT5" s="390"/>
      <c r="JKU5" s="390"/>
      <c r="JKV5" s="390"/>
      <c r="JKW5" s="390"/>
      <c r="JKX5" s="390"/>
      <c r="JKY5" s="390"/>
      <c r="JKZ5" s="390"/>
      <c r="JLA5" s="390"/>
      <c r="JLB5" s="390"/>
      <c r="JLC5" s="390"/>
      <c r="JLD5" s="390"/>
      <c r="JLE5" s="390"/>
      <c r="JLF5" s="390"/>
      <c r="JLG5" s="390"/>
      <c r="JLH5" s="390"/>
      <c r="JLI5" s="390"/>
      <c r="JLJ5" s="390"/>
      <c r="JLK5" s="390"/>
      <c r="JLL5" s="390"/>
      <c r="JLM5" s="390"/>
      <c r="JLN5" s="390"/>
      <c r="JLO5" s="390"/>
      <c r="JLP5" s="390"/>
      <c r="JLQ5" s="390"/>
      <c r="JLR5" s="390"/>
      <c r="JLS5" s="390"/>
      <c r="JLT5" s="390"/>
      <c r="JLU5" s="390"/>
      <c r="JLV5" s="390"/>
      <c r="JLW5" s="390"/>
      <c r="JLX5" s="390"/>
      <c r="JLY5" s="390"/>
      <c r="JLZ5" s="390"/>
      <c r="JMA5" s="390"/>
      <c r="JMB5" s="390"/>
      <c r="JMC5" s="390"/>
      <c r="JMD5" s="390"/>
      <c r="JME5" s="390"/>
      <c r="JMF5" s="390"/>
      <c r="JMG5" s="390"/>
      <c r="JMH5" s="390"/>
      <c r="JMI5" s="390"/>
      <c r="JMJ5" s="390"/>
      <c r="JMK5" s="390"/>
      <c r="JML5" s="390"/>
      <c r="JMM5" s="390"/>
      <c r="JMN5" s="390"/>
      <c r="JMO5" s="390"/>
      <c r="JMP5" s="390"/>
      <c r="JMQ5" s="390"/>
      <c r="JMR5" s="390"/>
      <c r="JMS5" s="390"/>
      <c r="JMT5" s="390"/>
      <c r="JMU5" s="390"/>
      <c r="JMV5" s="390"/>
      <c r="JMW5" s="390"/>
      <c r="JMX5" s="390"/>
      <c r="JMY5" s="390"/>
      <c r="JMZ5" s="390"/>
      <c r="JNA5" s="390"/>
      <c r="JNB5" s="390"/>
      <c r="JNC5" s="390"/>
      <c r="JND5" s="390"/>
      <c r="JNE5" s="390"/>
      <c r="JNF5" s="390"/>
      <c r="JNG5" s="390"/>
      <c r="JNH5" s="390"/>
      <c r="JNI5" s="390"/>
      <c r="JNJ5" s="390"/>
      <c r="JNK5" s="390"/>
      <c r="JNL5" s="390"/>
      <c r="JNM5" s="390"/>
      <c r="JNN5" s="390"/>
      <c r="JNO5" s="390"/>
      <c r="JNP5" s="390"/>
      <c r="JNQ5" s="390"/>
      <c r="JNR5" s="390"/>
      <c r="JNS5" s="390"/>
      <c r="JNT5" s="390"/>
      <c r="JNU5" s="390"/>
      <c r="JNV5" s="390"/>
      <c r="JNW5" s="390"/>
      <c r="JNX5" s="390"/>
      <c r="JNY5" s="390"/>
      <c r="JNZ5" s="390"/>
      <c r="JOA5" s="390"/>
      <c r="JOB5" s="390"/>
      <c r="JOC5" s="390"/>
      <c r="JOD5" s="390"/>
      <c r="JOE5" s="390"/>
      <c r="JOF5" s="390"/>
      <c r="JOG5" s="390"/>
      <c r="JOH5" s="390"/>
      <c r="JOI5" s="390"/>
      <c r="JOJ5" s="390"/>
      <c r="JOK5" s="390"/>
      <c r="JOL5" s="390"/>
      <c r="JOM5" s="390"/>
      <c r="JON5" s="390"/>
      <c r="JOO5" s="390"/>
      <c r="JOP5" s="390"/>
      <c r="JOQ5" s="390"/>
      <c r="JOR5" s="390"/>
      <c r="JOS5" s="390"/>
      <c r="JOT5" s="390"/>
      <c r="JOU5" s="390"/>
      <c r="JOV5" s="390"/>
      <c r="JOW5" s="390"/>
      <c r="JOX5" s="390"/>
      <c r="JOY5" s="390"/>
      <c r="JOZ5" s="390"/>
      <c r="JPA5" s="390"/>
      <c r="JPB5" s="390"/>
      <c r="JPC5" s="390"/>
      <c r="JPD5" s="390"/>
      <c r="JPE5" s="390"/>
      <c r="JPF5" s="390"/>
      <c r="JPG5" s="390"/>
      <c r="JPH5" s="390"/>
      <c r="JPI5" s="390"/>
      <c r="JPJ5" s="390"/>
      <c r="JPK5" s="390"/>
      <c r="JPL5" s="390"/>
      <c r="JPM5" s="390"/>
      <c r="JPN5" s="390"/>
      <c r="JPO5" s="390"/>
      <c r="JPP5" s="390"/>
      <c r="JPQ5" s="390"/>
      <c r="JPR5" s="390"/>
      <c r="JPS5" s="390"/>
      <c r="JPT5" s="390"/>
      <c r="JPU5" s="390"/>
      <c r="JPV5" s="390"/>
      <c r="JPW5" s="390"/>
      <c r="JPX5" s="390"/>
      <c r="JPY5" s="390"/>
      <c r="JPZ5" s="390"/>
      <c r="JQA5" s="390"/>
      <c r="JQB5" s="390"/>
      <c r="JQC5" s="390"/>
      <c r="JQD5" s="390"/>
      <c r="JQE5" s="390"/>
      <c r="JQF5" s="390"/>
      <c r="JQG5" s="390"/>
      <c r="JQH5" s="390"/>
      <c r="JQI5" s="390"/>
      <c r="JQJ5" s="390"/>
      <c r="JQK5" s="390"/>
      <c r="JQL5" s="390"/>
      <c r="JQM5" s="390"/>
      <c r="JQN5" s="390"/>
      <c r="JQO5" s="390"/>
      <c r="JQP5" s="390"/>
      <c r="JQQ5" s="390"/>
      <c r="JQR5" s="390"/>
      <c r="JQS5" s="390"/>
      <c r="JQT5" s="390"/>
      <c r="JQU5" s="390"/>
      <c r="JQV5" s="390"/>
      <c r="JQW5" s="390"/>
      <c r="JQX5" s="390"/>
      <c r="JQY5" s="390"/>
      <c r="JQZ5" s="390"/>
      <c r="JRA5" s="390"/>
      <c r="JRB5" s="390"/>
      <c r="JRC5" s="390"/>
      <c r="JRD5" s="390"/>
      <c r="JRE5" s="390"/>
      <c r="JRF5" s="390"/>
      <c r="JRG5" s="390"/>
      <c r="JRH5" s="390"/>
      <c r="JRI5" s="390"/>
      <c r="JRJ5" s="390"/>
      <c r="JRK5" s="390"/>
      <c r="JRL5" s="390"/>
      <c r="JRM5" s="390"/>
      <c r="JRN5" s="390"/>
      <c r="JRO5" s="390"/>
      <c r="JRP5" s="390"/>
      <c r="JRQ5" s="390"/>
      <c r="JRR5" s="390"/>
      <c r="JRS5" s="390"/>
      <c r="JRT5" s="390"/>
      <c r="JRU5" s="390"/>
      <c r="JRV5" s="390"/>
      <c r="JRW5" s="390"/>
      <c r="JRX5" s="390"/>
      <c r="JRY5" s="390"/>
      <c r="JRZ5" s="390"/>
      <c r="JSA5" s="390"/>
      <c r="JSB5" s="390"/>
      <c r="JSC5" s="390"/>
      <c r="JSD5" s="390"/>
      <c r="JSE5" s="390"/>
      <c r="JSF5" s="390"/>
      <c r="JSG5" s="390"/>
      <c r="JSH5" s="390"/>
      <c r="JSI5" s="390"/>
      <c r="JSJ5" s="390"/>
      <c r="JSK5" s="390"/>
      <c r="JSL5" s="390"/>
      <c r="JSM5" s="390"/>
      <c r="JSN5" s="390"/>
      <c r="JSO5" s="390"/>
      <c r="JSP5" s="390"/>
      <c r="JSQ5" s="390"/>
      <c r="JSR5" s="390"/>
      <c r="JSS5" s="390"/>
      <c r="JST5" s="390"/>
      <c r="JSU5" s="390"/>
      <c r="JSV5" s="390"/>
      <c r="JSW5" s="390"/>
      <c r="JSX5" s="390"/>
      <c r="JSY5" s="390"/>
      <c r="JSZ5" s="390"/>
      <c r="JTA5" s="390"/>
      <c r="JTB5" s="390"/>
      <c r="JTC5" s="390"/>
      <c r="JTD5" s="390"/>
      <c r="JTE5" s="390"/>
      <c r="JTF5" s="390"/>
      <c r="JTG5" s="390"/>
      <c r="JTH5" s="390"/>
      <c r="JTI5" s="390"/>
      <c r="JTJ5" s="390"/>
      <c r="JTK5" s="390"/>
      <c r="JTL5" s="390"/>
      <c r="JTM5" s="390"/>
      <c r="JTN5" s="390"/>
      <c r="JTO5" s="390"/>
      <c r="JTP5" s="390"/>
      <c r="JTQ5" s="390"/>
      <c r="JTR5" s="390"/>
      <c r="JTS5" s="390"/>
      <c r="JTT5" s="390"/>
      <c r="JTU5" s="390"/>
      <c r="JTV5" s="390"/>
      <c r="JTW5" s="390"/>
      <c r="JTX5" s="390"/>
      <c r="JTY5" s="390"/>
      <c r="JTZ5" s="390"/>
      <c r="JUA5" s="390"/>
      <c r="JUB5" s="390"/>
      <c r="JUC5" s="390"/>
      <c r="JUD5" s="390"/>
      <c r="JUE5" s="390"/>
      <c r="JUF5" s="390"/>
      <c r="JUG5" s="390"/>
      <c r="JUH5" s="390"/>
      <c r="JUI5" s="390"/>
      <c r="JUJ5" s="390"/>
      <c r="JUK5" s="390"/>
      <c r="JUL5" s="390"/>
      <c r="JUM5" s="390"/>
      <c r="JUN5" s="390"/>
      <c r="JUO5" s="390"/>
      <c r="JUP5" s="390"/>
      <c r="JUQ5" s="390"/>
      <c r="JUR5" s="390"/>
      <c r="JUS5" s="390"/>
      <c r="JUT5" s="390"/>
      <c r="JUU5" s="390"/>
      <c r="JUV5" s="390"/>
      <c r="JUW5" s="390"/>
      <c r="JUX5" s="390"/>
      <c r="JUY5" s="390"/>
      <c r="JUZ5" s="390"/>
      <c r="JVA5" s="390"/>
      <c r="JVB5" s="390"/>
      <c r="JVC5" s="390"/>
      <c r="JVD5" s="390"/>
      <c r="JVE5" s="390"/>
      <c r="JVF5" s="390"/>
      <c r="JVG5" s="390"/>
      <c r="JVH5" s="390"/>
      <c r="JVI5" s="390"/>
      <c r="JVJ5" s="390"/>
      <c r="JVK5" s="390"/>
      <c r="JVL5" s="390"/>
      <c r="JVM5" s="390"/>
      <c r="JVN5" s="390"/>
      <c r="JVO5" s="390"/>
      <c r="JVP5" s="390"/>
      <c r="JVQ5" s="390"/>
      <c r="JVR5" s="390"/>
      <c r="JVS5" s="390"/>
      <c r="JVT5" s="390"/>
      <c r="JVU5" s="390"/>
      <c r="JVV5" s="390"/>
      <c r="JVW5" s="390"/>
      <c r="JVX5" s="390"/>
      <c r="JVY5" s="390"/>
      <c r="JVZ5" s="390"/>
      <c r="JWA5" s="390"/>
      <c r="JWB5" s="390"/>
      <c r="JWC5" s="390"/>
      <c r="JWD5" s="390"/>
      <c r="JWE5" s="390"/>
      <c r="JWF5" s="390"/>
      <c r="JWG5" s="390"/>
      <c r="JWH5" s="390"/>
      <c r="JWI5" s="390"/>
      <c r="JWJ5" s="390"/>
      <c r="JWK5" s="390"/>
      <c r="JWL5" s="390"/>
      <c r="JWM5" s="390"/>
      <c r="JWN5" s="390"/>
      <c r="JWO5" s="390"/>
      <c r="JWP5" s="390"/>
      <c r="JWQ5" s="390"/>
      <c r="JWR5" s="390"/>
      <c r="JWS5" s="390"/>
      <c r="JWT5" s="390"/>
      <c r="JWU5" s="390"/>
      <c r="JWV5" s="390"/>
      <c r="JWW5" s="390"/>
      <c r="JWX5" s="390"/>
      <c r="JWY5" s="390"/>
      <c r="JWZ5" s="390"/>
      <c r="JXA5" s="390"/>
      <c r="JXB5" s="390"/>
      <c r="JXC5" s="390"/>
      <c r="JXD5" s="390"/>
      <c r="JXE5" s="390"/>
      <c r="JXF5" s="390"/>
      <c r="JXG5" s="390"/>
      <c r="JXH5" s="390"/>
      <c r="JXI5" s="390"/>
      <c r="JXJ5" s="390"/>
      <c r="JXK5" s="390"/>
      <c r="JXL5" s="390"/>
      <c r="JXM5" s="390"/>
      <c r="JXN5" s="390"/>
      <c r="JXO5" s="390"/>
      <c r="JXP5" s="390"/>
      <c r="JXQ5" s="390"/>
      <c r="JXR5" s="390"/>
      <c r="JXS5" s="390"/>
      <c r="JXT5" s="390"/>
      <c r="JXU5" s="390"/>
      <c r="JXV5" s="390"/>
      <c r="JXW5" s="390"/>
      <c r="JXX5" s="390"/>
      <c r="JXY5" s="390"/>
      <c r="JXZ5" s="390"/>
      <c r="JYA5" s="390"/>
      <c r="JYB5" s="390"/>
      <c r="JYC5" s="390"/>
      <c r="JYD5" s="390"/>
      <c r="JYE5" s="390"/>
      <c r="JYF5" s="390"/>
      <c r="JYG5" s="390"/>
      <c r="JYH5" s="390"/>
      <c r="JYI5" s="390"/>
      <c r="JYJ5" s="390"/>
      <c r="JYK5" s="390"/>
      <c r="JYL5" s="390"/>
      <c r="JYM5" s="390"/>
      <c r="JYN5" s="390"/>
      <c r="JYO5" s="390"/>
      <c r="JYP5" s="390"/>
      <c r="JYQ5" s="390"/>
      <c r="JYR5" s="390"/>
      <c r="JYS5" s="390"/>
      <c r="JYT5" s="390"/>
      <c r="JYU5" s="390"/>
      <c r="JYV5" s="390"/>
      <c r="JYW5" s="390"/>
      <c r="JYX5" s="390"/>
      <c r="JYY5" s="390"/>
      <c r="JYZ5" s="390"/>
      <c r="JZA5" s="390"/>
      <c r="JZB5" s="390"/>
      <c r="JZC5" s="390"/>
      <c r="JZD5" s="390"/>
      <c r="JZE5" s="390"/>
      <c r="JZF5" s="390"/>
      <c r="JZG5" s="390"/>
      <c r="JZH5" s="390"/>
      <c r="JZI5" s="390"/>
      <c r="JZJ5" s="390"/>
      <c r="JZK5" s="390"/>
      <c r="JZL5" s="390"/>
      <c r="JZM5" s="390"/>
      <c r="JZN5" s="390"/>
      <c r="JZO5" s="390"/>
      <c r="JZP5" s="390"/>
      <c r="JZQ5" s="390"/>
      <c r="JZR5" s="390"/>
      <c r="JZS5" s="390"/>
      <c r="JZT5" s="390"/>
      <c r="JZU5" s="390"/>
      <c r="JZV5" s="390"/>
      <c r="JZW5" s="390"/>
      <c r="JZX5" s="390"/>
      <c r="JZY5" s="390"/>
      <c r="JZZ5" s="390"/>
      <c r="KAA5" s="390"/>
      <c r="KAB5" s="390"/>
      <c r="KAC5" s="390"/>
      <c r="KAD5" s="390"/>
      <c r="KAE5" s="390"/>
      <c r="KAF5" s="390"/>
      <c r="KAG5" s="390"/>
      <c r="KAH5" s="390"/>
      <c r="KAI5" s="390"/>
      <c r="KAJ5" s="390"/>
      <c r="KAK5" s="390"/>
      <c r="KAL5" s="390"/>
      <c r="KAM5" s="390"/>
      <c r="KAN5" s="390"/>
      <c r="KAO5" s="390"/>
      <c r="KAP5" s="390"/>
      <c r="KAQ5" s="390"/>
      <c r="KAR5" s="390"/>
      <c r="KAS5" s="390"/>
      <c r="KAT5" s="390"/>
      <c r="KAU5" s="390"/>
      <c r="KAV5" s="390"/>
      <c r="KAW5" s="390"/>
      <c r="KAX5" s="390"/>
      <c r="KAY5" s="390"/>
      <c r="KAZ5" s="390"/>
      <c r="KBA5" s="390"/>
      <c r="KBB5" s="390"/>
      <c r="KBC5" s="390"/>
      <c r="KBD5" s="390"/>
      <c r="KBE5" s="390"/>
      <c r="KBF5" s="390"/>
      <c r="KBG5" s="390"/>
      <c r="KBH5" s="390"/>
      <c r="KBI5" s="390"/>
      <c r="KBJ5" s="390"/>
      <c r="KBK5" s="390"/>
      <c r="KBL5" s="390"/>
      <c r="KBM5" s="390"/>
      <c r="KBN5" s="390"/>
      <c r="KBO5" s="390"/>
      <c r="KBP5" s="390"/>
      <c r="KBQ5" s="390"/>
      <c r="KBR5" s="390"/>
      <c r="KBS5" s="390"/>
      <c r="KBT5" s="390"/>
      <c r="KBU5" s="390"/>
      <c r="KBV5" s="390"/>
      <c r="KBW5" s="390"/>
      <c r="KBX5" s="390"/>
      <c r="KBY5" s="390"/>
      <c r="KBZ5" s="390"/>
      <c r="KCA5" s="390"/>
      <c r="KCB5" s="390"/>
      <c r="KCC5" s="390"/>
      <c r="KCD5" s="390"/>
      <c r="KCE5" s="390"/>
      <c r="KCF5" s="390"/>
      <c r="KCG5" s="390"/>
      <c r="KCH5" s="390"/>
      <c r="KCI5" s="390"/>
      <c r="KCJ5" s="390"/>
      <c r="KCK5" s="390"/>
      <c r="KCL5" s="390"/>
      <c r="KCM5" s="390"/>
      <c r="KCN5" s="390"/>
      <c r="KCO5" s="390"/>
      <c r="KCP5" s="390"/>
      <c r="KCQ5" s="390"/>
      <c r="KCR5" s="390"/>
      <c r="KCS5" s="390"/>
      <c r="KCT5" s="390"/>
      <c r="KCU5" s="390"/>
      <c r="KCV5" s="390"/>
      <c r="KCW5" s="390"/>
      <c r="KCX5" s="390"/>
      <c r="KCY5" s="390"/>
      <c r="KCZ5" s="390"/>
      <c r="KDA5" s="390"/>
      <c r="KDB5" s="390"/>
      <c r="KDC5" s="390"/>
      <c r="KDD5" s="390"/>
      <c r="KDE5" s="390"/>
      <c r="KDF5" s="390"/>
      <c r="KDG5" s="390"/>
      <c r="KDH5" s="390"/>
      <c r="KDI5" s="390"/>
      <c r="KDJ5" s="390"/>
      <c r="KDK5" s="390"/>
      <c r="KDL5" s="390"/>
      <c r="KDM5" s="390"/>
      <c r="KDN5" s="390"/>
      <c r="KDO5" s="390"/>
      <c r="KDP5" s="390"/>
      <c r="KDQ5" s="390"/>
      <c r="KDR5" s="390"/>
      <c r="KDS5" s="390"/>
      <c r="KDT5" s="390"/>
      <c r="KDU5" s="390"/>
      <c r="KDV5" s="390"/>
      <c r="KDW5" s="390"/>
      <c r="KDX5" s="390"/>
      <c r="KDY5" s="390"/>
      <c r="KDZ5" s="390"/>
      <c r="KEA5" s="390"/>
      <c r="KEB5" s="390"/>
      <c r="KEC5" s="390"/>
      <c r="KED5" s="390"/>
      <c r="KEE5" s="390"/>
      <c r="KEF5" s="390"/>
      <c r="KEG5" s="390"/>
      <c r="KEH5" s="390"/>
      <c r="KEI5" s="390"/>
      <c r="KEJ5" s="390"/>
      <c r="KEK5" s="390"/>
      <c r="KEL5" s="390"/>
      <c r="KEM5" s="390"/>
      <c r="KEN5" s="390"/>
      <c r="KEO5" s="390"/>
      <c r="KEP5" s="390"/>
      <c r="KEQ5" s="390"/>
      <c r="KER5" s="390"/>
      <c r="KES5" s="390"/>
      <c r="KET5" s="390"/>
      <c r="KEU5" s="390"/>
      <c r="KEV5" s="390"/>
      <c r="KEW5" s="390"/>
      <c r="KEX5" s="390"/>
      <c r="KEY5" s="390"/>
      <c r="KEZ5" s="390"/>
      <c r="KFA5" s="390"/>
      <c r="KFB5" s="390"/>
      <c r="KFC5" s="390"/>
      <c r="KFD5" s="390"/>
      <c r="KFE5" s="390"/>
      <c r="KFF5" s="390"/>
      <c r="KFG5" s="390"/>
      <c r="KFH5" s="390"/>
      <c r="KFI5" s="390"/>
      <c r="KFJ5" s="390"/>
      <c r="KFK5" s="390"/>
      <c r="KFL5" s="390"/>
      <c r="KFM5" s="390"/>
      <c r="KFN5" s="390"/>
      <c r="KFO5" s="390"/>
      <c r="KFP5" s="390"/>
      <c r="KFQ5" s="390"/>
      <c r="KFR5" s="390"/>
      <c r="KFS5" s="390"/>
      <c r="KFT5" s="390"/>
      <c r="KFU5" s="390"/>
      <c r="KFV5" s="390"/>
      <c r="KFW5" s="390"/>
      <c r="KFX5" s="390"/>
      <c r="KFY5" s="390"/>
      <c r="KFZ5" s="390"/>
      <c r="KGA5" s="390"/>
      <c r="KGB5" s="390"/>
      <c r="KGC5" s="390"/>
      <c r="KGD5" s="390"/>
      <c r="KGE5" s="390"/>
      <c r="KGF5" s="390"/>
      <c r="KGG5" s="390"/>
      <c r="KGH5" s="390"/>
      <c r="KGI5" s="390"/>
      <c r="KGJ5" s="390"/>
      <c r="KGK5" s="390"/>
      <c r="KGL5" s="390"/>
      <c r="KGM5" s="390"/>
      <c r="KGN5" s="390"/>
      <c r="KGO5" s="390"/>
      <c r="KGP5" s="390"/>
      <c r="KGQ5" s="390"/>
      <c r="KGR5" s="390"/>
      <c r="KGS5" s="390"/>
      <c r="KGT5" s="390"/>
      <c r="KGU5" s="390"/>
      <c r="KGV5" s="390"/>
      <c r="KGW5" s="390"/>
      <c r="KGX5" s="390"/>
      <c r="KGY5" s="390"/>
      <c r="KGZ5" s="390"/>
      <c r="KHA5" s="390"/>
      <c r="KHB5" s="390"/>
      <c r="KHC5" s="390"/>
      <c r="KHD5" s="390"/>
      <c r="KHE5" s="390"/>
      <c r="KHF5" s="390"/>
      <c r="KHG5" s="390"/>
      <c r="KHH5" s="390"/>
      <c r="KHI5" s="390"/>
      <c r="KHJ5" s="390"/>
      <c r="KHK5" s="390"/>
      <c r="KHL5" s="390"/>
      <c r="KHM5" s="390"/>
      <c r="KHN5" s="390"/>
      <c r="KHO5" s="390"/>
      <c r="KHP5" s="390"/>
      <c r="KHQ5" s="390"/>
      <c r="KHR5" s="390"/>
      <c r="KHS5" s="390"/>
      <c r="KHT5" s="390"/>
      <c r="KHU5" s="390"/>
      <c r="KHV5" s="390"/>
      <c r="KHW5" s="390"/>
      <c r="KHX5" s="390"/>
      <c r="KHY5" s="390"/>
      <c r="KHZ5" s="390"/>
      <c r="KIA5" s="390"/>
      <c r="KIB5" s="390"/>
      <c r="KIC5" s="390"/>
      <c r="KID5" s="390"/>
      <c r="KIE5" s="390"/>
      <c r="KIF5" s="390"/>
      <c r="KIG5" s="390"/>
      <c r="KIH5" s="390"/>
      <c r="KII5" s="390"/>
      <c r="KIJ5" s="390"/>
      <c r="KIK5" s="390"/>
      <c r="KIL5" s="390"/>
      <c r="KIM5" s="390"/>
      <c r="KIN5" s="390"/>
      <c r="KIO5" s="390"/>
      <c r="KIP5" s="390"/>
      <c r="KIQ5" s="390"/>
      <c r="KIR5" s="390"/>
      <c r="KIS5" s="390"/>
      <c r="KIT5" s="390"/>
      <c r="KIU5" s="390"/>
      <c r="KIV5" s="390"/>
      <c r="KIW5" s="390"/>
      <c r="KIX5" s="390"/>
      <c r="KIY5" s="390"/>
      <c r="KIZ5" s="390"/>
      <c r="KJA5" s="390"/>
      <c r="KJB5" s="390"/>
      <c r="KJC5" s="390"/>
      <c r="KJD5" s="390"/>
      <c r="KJE5" s="390"/>
      <c r="KJF5" s="390"/>
      <c r="KJG5" s="390"/>
      <c r="KJH5" s="390"/>
      <c r="KJI5" s="390"/>
      <c r="KJJ5" s="390"/>
      <c r="KJK5" s="390"/>
      <c r="KJL5" s="390"/>
      <c r="KJM5" s="390"/>
      <c r="KJN5" s="390"/>
      <c r="KJO5" s="390"/>
      <c r="KJP5" s="390"/>
      <c r="KJQ5" s="390"/>
      <c r="KJR5" s="390"/>
      <c r="KJS5" s="390"/>
      <c r="KJT5" s="390"/>
      <c r="KJU5" s="390"/>
      <c r="KJV5" s="390"/>
      <c r="KJW5" s="390"/>
      <c r="KJX5" s="390"/>
      <c r="KJY5" s="390"/>
      <c r="KJZ5" s="390"/>
      <c r="KKA5" s="390"/>
      <c r="KKB5" s="390"/>
      <c r="KKC5" s="390"/>
      <c r="KKD5" s="390"/>
      <c r="KKE5" s="390"/>
      <c r="KKF5" s="390"/>
      <c r="KKG5" s="390"/>
      <c r="KKH5" s="390"/>
      <c r="KKI5" s="390"/>
      <c r="KKJ5" s="390"/>
      <c r="KKK5" s="390"/>
      <c r="KKL5" s="390"/>
      <c r="KKM5" s="390"/>
      <c r="KKN5" s="390"/>
      <c r="KKO5" s="390"/>
      <c r="KKP5" s="390"/>
      <c r="KKQ5" s="390"/>
      <c r="KKR5" s="390"/>
      <c r="KKS5" s="390"/>
      <c r="KKT5" s="390"/>
      <c r="KKU5" s="390"/>
      <c r="KKV5" s="390"/>
      <c r="KKW5" s="390"/>
      <c r="KKX5" s="390"/>
      <c r="KKY5" s="390"/>
      <c r="KKZ5" s="390"/>
      <c r="KLA5" s="390"/>
      <c r="KLB5" s="390"/>
      <c r="KLC5" s="390"/>
      <c r="KLD5" s="390"/>
      <c r="KLE5" s="390"/>
      <c r="KLF5" s="390"/>
      <c r="KLG5" s="390"/>
      <c r="KLH5" s="390"/>
      <c r="KLI5" s="390"/>
      <c r="KLJ5" s="390"/>
      <c r="KLK5" s="390"/>
      <c r="KLL5" s="390"/>
      <c r="KLM5" s="390"/>
      <c r="KLN5" s="390"/>
      <c r="KLO5" s="390"/>
      <c r="KLP5" s="390"/>
      <c r="KLQ5" s="390"/>
      <c r="KLR5" s="390"/>
      <c r="KLS5" s="390"/>
      <c r="KLT5" s="390"/>
      <c r="KLU5" s="390"/>
      <c r="KLV5" s="390"/>
      <c r="KLW5" s="390"/>
      <c r="KLX5" s="390"/>
      <c r="KLY5" s="390"/>
      <c r="KLZ5" s="390"/>
      <c r="KMA5" s="390"/>
      <c r="KMB5" s="390"/>
      <c r="KMC5" s="390"/>
      <c r="KMD5" s="390"/>
      <c r="KME5" s="390"/>
      <c r="KMF5" s="390"/>
      <c r="KMG5" s="390"/>
      <c r="KMH5" s="390"/>
      <c r="KMI5" s="390"/>
      <c r="KMJ5" s="390"/>
      <c r="KMK5" s="390"/>
      <c r="KML5" s="390"/>
      <c r="KMM5" s="390"/>
      <c r="KMN5" s="390"/>
      <c r="KMO5" s="390"/>
      <c r="KMP5" s="390"/>
      <c r="KMQ5" s="390"/>
      <c r="KMR5" s="390"/>
      <c r="KMS5" s="390"/>
      <c r="KMT5" s="390"/>
      <c r="KMU5" s="390"/>
      <c r="KMV5" s="390"/>
      <c r="KMW5" s="390"/>
      <c r="KMX5" s="390"/>
      <c r="KMY5" s="390"/>
      <c r="KMZ5" s="390"/>
      <c r="KNA5" s="390"/>
      <c r="KNB5" s="390"/>
      <c r="KNC5" s="390"/>
      <c r="KND5" s="390"/>
      <c r="KNE5" s="390"/>
      <c r="KNF5" s="390"/>
      <c r="KNG5" s="390"/>
      <c r="KNH5" s="390"/>
      <c r="KNI5" s="390"/>
      <c r="KNJ5" s="390"/>
      <c r="KNK5" s="390"/>
      <c r="KNL5" s="390"/>
      <c r="KNM5" s="390"/>
      <c r="KNN5" s="390"/>
      <c r="KNO5" s="390"/>
      <c r="KNP5" s="390"/>
      <c r="KNQ5" s="390"/>
      <c r="KNR5" s="390"/>
      <c r="KNS5" s="390"/>
      <c r="KNT5" s="390"/>
      <c r="KNU5" s="390"/>
      <c r="KNV5" s="390"/>
      <c r="KNW5" s="390"/>
      <c r="KNX5" s="390"/>
      <c r="KNY5" s="390"/>
      <c r="KNZ5" s="390"/>
      <c r="KOA5" s="390"/>
      <c r="KOB5" s="390"/>
      <c r="KOC5" s="390"/>
      <c r="KOD5" s="390"/>
      <c r="KOE5" s="390"/>
      <c r="KOF5" s="390"/>
      <c r="KOG5" s="390"/>
      <c r="KOH5" s="390"/>
      <c r="KOI5" s="390"/>
      <c r="KOJ5" s="390"/>
      <c r="KOK5" s="390"/>
      <c r="KOL5" s="390"/>
      <c r="KOM5" s="390"/>
      <c r="KON5" s="390"/>
      <c r="KOO5" s="390"/>
      <c r="KOP5" s="390"/>
      <c r="KOQ5" s="390"/>
      <c r="KOR5" s="390"/>
      <c r="KOS5" s="390"/>
      <c r="KOT5" s="390"/>
      <c r="KOU5" s="390"/>
      <c r="KOV5" s="390"/>
      <c r="KOW5" s="390"/>
      <c r="KOX5" s="390"/>
      <c r="KOY5" s="390"/>
      <c r="KOZ5" s="390"/>
      <c r="KPA5" s="390"/>
      <c r="KPB5" s="390"/>
      <c r="KPC5" s="390"/>
      <c r="KPD5" s="390"/>
      <c r="KPE5" s="390"/>
      <c r="KPF5" s="390"/>
      <c r="KPG5" s="390"/>
      <c r="KPH5" s="390"/>
      <c r="KPI5" s="390"/>
      <c r="KPJ5" s="390"/>
      <c r="KPK5" s="390"/>
      <c r="KPL5" s="390"/>
      <c r="KPM5" s="390"/>
      <c r="KPN5" s="390"/>
      <c r="KPO5" s="390"/>
      <c r="KPP5" s="390"/>
      <c r="KPQ5" s="390"/>
      <c r="KPR5" s="390"/>
      <c r="KPS5" s="390"/>
      <c r="KPT5" s="390"/>
      <c r="KPU5" s="390"/>
      <c r="KPV5" s="390"/>
      <c r="KPW5" s="390"/>
      <c r="KPX5" s="390"/>
      <c r="KPY5" s="390"/>
      <c r="KPZ5" s="390"/>
      <c r="KQA5" s="390"/>
      <c r="KQB5" s="390"/>
      <c r="KQC5" s="390"/>
      <c r="KQD5" s="390"/>
      <c r="KQE5" s="390"/>
      <c r="KQF5" s="390"/>
      <c r="KQG5" s="390"/>
      <c r="KQH5" s="390"/>
      <c r="KQI5" s="390"/>
      <c r="KQJ5" s="390"/>
      <c r="KQK5" s="390"/>
      <c r="KQL5" s="390"/>
      <c r="KQM5" s="390"/>
      <c r="KQN5" s="390"/>
      <c r="KQO5" s="390"/>
      <c r="KQP5" s="390"/>
      <c r="KQQ5" s="390"/>
      <c r="KQR5" s="390"/>
      <c r="KQS5" s="390"/>
      <c r="KQT5" s="390"/>
      <c r="KQU5" s="390"/>
      <c r="KQV5" s="390"/>
      <c r="KQW5" s="390"/>
      <c r="KQX5" s="390"/>
      <c r="KQY5" s="390"/>
      <c r="KQZ5" s="390"/>
      <c r="KRA5" s="390"/>
      <c r="KRB5" s="390"/>
      <c r="KRC5" s="390"/>
      <c r="KRD5" s="390"/>
      <c r="KRE5" s="390"/>
      <c r="KRF5" s="390"/>
      <c r="KRG5" s="390"/>
      <c r="KRH5" s="390"/>
      <c r="KRI5" s="390"/>
      <c r="KRJ5" s="390"/>
      <c r="KRK5" s="390"/>
      <c r="KRL5" s="390"/>
      <c r="KRM5" s="390"/>
      <c r="KRN5" s="390"/>
      <c r="KRO5" s="390"/>
      <c r="KRP5" s="390"/>
      <c r="KRQ5" s="390"/>
      <c r="KRR5" s="390"/>
      <c r="KRS5" s="390"/>
      <c r="KRT5" s="390"/>
      <c r="KRU5" s="390"/>
      <c r="KRV5" s="390"/>
      <c r="KRW5" s="390"/>
      <c r="KRX5" s="390"/>
      <c r="KRY5" s="390"/>
      <c r="KRZ5" s="390"/>
      <c r="KSA5" s="390"/>
      <c r="KSB5" s="390"/>
      <c r="KSC5" s="390"/>
      <c r="KSD5" s="390"/>
      <c r="KSE5" s="390"/>
      <c r="KSF5" s="390"/>
      <c r="KSG5" s="390"/>
      <c r="KSH5" s="390"/>
      <c r="KSI5" s="390"/>
      <c r="KSJ5" s="390"/>
      <c r="KSK5" s="390"/>
      <c r="KSL5" s="390"/>
      <c r="KSM5" s="390"/>
      <c r="KSN5" s="390"/>
      <c r="KSO5" s="390"/>
      <c r="KSP5" s="390"/>
      <c r="KSQ5" s="390"/>
      <c r="KSR5" s="390"/>
      <c r="KSS5" s="390"/>
      <c r="KST5" s="390"/>
      <c r="KSU5" s="390"/>
      <c r="KSV5" s="390"/>
      <c r="KSW5" s="390"/>
      <c r="KSX5" s="390"/>
      <c r="KSY5" s="390"/>
      <c r="KSZ5" s="390"/>
      <c r="KTA5" s="390"/>
      <c r="KTB5" s="390"/>
      <c r="KTC5" s="390"/>
      <c r="KTD5" s="390"/>
      <c r="KTE5" s="390"/>
      <c r="KTF5" s="390"/>
      <c r="KTG5" s="390"/>
      <c r="KTH5" s="390"/>
      <c r="KTI5" s="390"/>
      <c r="KTJ5" s="390"/>
      <c r="KTK5" s="390"/>
      <c r="KTL5" s="390"/>
      <c r="KTM5" s="390"/>
      <c r="KTN5" s="390"/>
      <c r="KTO5" s="390"/>
      <c r="KTP5" s="390"/>
      <c r="KTQ5" s="390"/>
      <c r="KTR5" s="390"/>
      <c r="KTS5" s="390"/>
      <c r="KTT5" s="390"/>
      <c r="KTU5" s="390"/>
      <c r="KTV5" s="390"/>
      <c r="KTW5" s="390"/>
      <c r="KTX5" s="390"/>
      <c r="KTY5" s="390"/>
      <c r="KTZ5" s="390"/>
      <c r="KUA5" s="390"/>
      <c r="KUB5" s="390"/>
      <c r="KUC5" s="390"/>
      <c r="KUD5" s="390"/>
      <c r="KUE5" s="390"/>
      <c r="KUF5" s="390"/>
      <c r="KUG5" s="390"/>
      <c r="KUH5" s="390"/>
      <c r="KUI5" s="390"/>
      <c r="KUJ5" s="390"/>
      <c r="KUK5" s="390"/>
      <c r="KUL5" s="390"/>
      <c r="KUM5" s="390"/>
      <c r="KUN5" s="390"/>
      <c r="KUO5" s="390"/>
      <c r="KUP5" s="390"/>
      <c r="KUQ5" s="390"/>
      <c r="KUR5" s="390"/>
      <c r="KUS5" s="390"/>
      <c r="KUT5" s="390"/>
      <c r="KUU5" s="390"/>
      <c r="KUV5" s="390"/>
      <c r="KUW5" s="390"/>
      <c r="KUX5" s="390"/>
      <c r="KUY5" s="390"/>
      <c r="KUZ5" s="390"/>
      <c r="KVA5" s="390"/>
      <c r="KVB5" s="390"/>
      <c r="KVC5" s="390"/>
      <c r="KVD5" s="390"/>
      <c r="KVE5" s="390"/>
      <c r="KVF5" s="390"/>
      <c r="KVG5" s="390"/>
      <c r="KVH5" s="390"/>
      <c r="KVI5" s="390"/>
      <c r="KVJ5" s="390"/>
      <c r="KVK5" s="390"/>
      <c r="KVL5" s="390"/>
      <c r="KVM5" s="390"/>
      <c r="KVN5" s="390"/>
      <c r="KVO5" s="390"/>
      <c r="KVP5" s="390"/>
      <c r="KVQ5" s="390"/>
      <c r="KVR5" s="390"/>
      <c r="KVS5" s="390"/>
      <c r="KVT5" s="390"/>
      <c r="KVU5" s="390"/>
      <c r="KVV5" s="390"/>
      <c r="KVW5" s="390"/>
      <c r="KVX5" s="390"/>
      <c r="KVY5" s="390"/>
      <c r="KVZ5" s="390"/>
      <c r="KWA5" s="390"/>
      <c r="KWB5" s="390"/>
      <c r="KWC5" s="390"/>
      <c r="KWD5" s="390"/>
      <c r="KWE5" s="390"/>
      <c r="KWF5" s="390"/>
      <c r="KWG5" s="390"/>
      <c r="KWH5" s="390"/>
      <c r="KWI5" s="390"/>
      <c r="KWJ5" s="390"/>
      <c r="KWK5" s="390"/>
      <c r="KWL5" s="390"/>
      <c r="KWM5" s="390"/>
      <c r="KWN5" s="390"/>
      <c r="KWO5" s="390"/>
      <c r="KWP5" s="390"/>
      <c r="KWQ5" s="390"/>
      <c r="KWR5" s="390"/>
      <c r="KWS5" s="390"/>
      <c r="KWT5" s="390"/>
      <c r="KWU5" s="390"/>
      <c r="KWV5" s="390"/>
      <c r="KWW5" s="390"/>
      <c r="KWX5" s="390"/>
      <c r="KWY5" s="390"/>
      <c r="KWZ5" s="390"/>
      <c r="KXA5" s="390"/>
      <c r="KXB5" s="390"/>
      <c r="KXC5" s="390"/>
      <c r="KXD5" s="390"/>
      <c r="KXE5" s="390"/>
      <c r="KXF5" s="390"/>
      <c r="KXG5" s="390"/>
      <c r="KXH5" s="390"/>
      <c r="KXI5" s="390"/>
      <c r="KXJ5" s="390"/>
      <c r="KXK5" s="390"/>
      <c r="KXL5" s="390"/>
      <c r="KXM5" s="390"/>
      <c r="KXN5" s="390"/>
      <c r="KXO5" s="390"/>
      <c r="KXP5" s="390"/>
      <c r="KXQ5" s="390"/>
      <c r="KXR5" s="390"/>
      <c r="KXS5" s="390"/>
      <c r="KXT5" s="390"/>
      <c r="KXU5" s="390"/>
      <c r="KXV5" s="390"/>
      <c r="KXW5" s="390"/>
      <c r="KXX5" s="390"/>
      <c r="KXY5" s="390"/>
      <c r="KXZ5" s="390"/>
      <c r="KYA5" s="390"/>
      <c r="KYB5" s="390"/>
      <c r="KYC5" s="390"/>
      <c r="KYD5" s="390"/>
      <c r="KYE5" s="390"/>
      <c r="KYF5" s="390"/>
      <c r="KYG5" s="390"/>
      <c r="KYH5" s="390"/>
      <c r="KYI5" s="390"/>
      <c r="KYJ5" s="390"/>
      <c r="KYK5" s="390"/>
      <c r="KYL5" s="390"/>
      <c r="KYM5" s="390"/>
      <c r="KYN5" s="390"/>
      <c r="KYO5" s="390"/>
      <c r="KYP5" s="390"/>
      <c r="KYQ5" s="390"/>
      <c r="KYR5" s="390"/>
      <c r="KYS5" s="390"/>
      <c r="KYT5" s="390"/>
      <c r="KYU5" s="390"/>
      <c r="KYV5" s="390"/>
      <c r="KYW5" s="390"/>
      <c r="KYX5" s="390"/>
      <c r="KYY5" s="390"/>
      <c r="KYZ5" s="390"/>
      <c r="KZA5" s="390"/>
      <c r="KZB5" s="390"/>
      <c r="KZC5" s="390"/>
      <c r="KZD5" s="390"/>
      <c r="KZE5" s="390"/>
      <c r="KZF5" s="390"/>
      <c r="KZG5" s="390"/>
      <c r="KZH5" s="390"/>
      <c r="KZI5" s="390"/>
      <c r="KZJ5" s="390"/>
      <c r="KZK5" s="390"/>
      <c r="KZL5" s="390"/>
      <c r="KZM5" s="390"/>
      <c r="KZN5" s="390"/>
      <c r="KZO5" s="390"/>
      <c r="KZP5" s="390"/>
      <c r="KZQ5" s="390"/>
      <c r="KZR5" s="390"/>
      <c r="KZS5" s="390"/>
      <c r="KZT5" s="390"/>
      <c r="KZU5" s="390"/>
      <c r="KZV5" s="390"/>
      <c r="KZW5" s="390"/>
      <c r="KZX5" s="390"/>
      <c r="KZY5" s="390"/>
      <c r="KZZ5" s="390"/>
      <c r="LAA5" s="390"/>
      <c r="LAB5" s="390"/>
      <c r="LAC5" s="390"/>
      <c r="LAD5" s="390"/>
      <c r="LAE5" s="390"/>
      <c r="LAF5" s="390"/>
      <c r="LAG5" s="390"/>
      <c r="LAH5" s="390"/>
      <c r="LAI5" s="390"/>
      <c r="LAJ5" s="390"/>
      <c r="LAK5" s="390"/>
      <c r="LAL5" s="390"/>
      <c r="LAM5" s="390"/>
      <c r="LAN5" s="390"/>
      <c r="LAO5" s="390"/>
      <c r="LAP5" s="390"/>
      <c r="LAQ5" s="390"/>
      <c r="LAR5" s="390"/>
      <c r="LAS5" s="390"/>
      <c r="LAT5" s="390"/>
      <c r="LAU5" s="390"/>
      <c r="LAV5" s="390"/>
      <c r="LAW5" s="390"/>
      <c r="LAX5" s="390"/>
      <c r="LAY5" s="390"/>
      <c r="LAZ5" s="390"/>
      <c r="LBA5" s="390"/>
      <c r="LBB5" s="390"/>
      <c r="LBC5" s="390"/>
      <c r="LBD5" s="390"/>
      <c r="LBE5" s="390"/>
      <c r="LBF5" s="390"/>
      <c r="LBG5" s="390"/>
      <c r="LBH5" s="390"/>
      <c r="LBI5" s="390"/>
      <c r="LBJ5" s="390"/>
      <c r="LBK5" s="390"/>
      <c r="LBL5" s="390"/>
      <c r="LBM5" s="390"/>
      <c r="LBN5" s="390"/>
      <c r="LBO5" s="390"/>
      <c r="LBP5" s="390"/>
      <c r="LBQ5" s="390"/>
      <c r="LBR5" s="390"/>
      <c r="LBS5" s="390"/>
      <c r="LBT5" s="390"/>
      <c r="LBU5" s="390"/>
      <c r="LBV5" s="390"/>
      <c r="LBW5" s="390"/>
      <c r="LBX5" s="390"/>
      <c r="LBY5" s="390"/>
      <c r="LBZ5" s="390"/>
      <c r="LCA5" s="390"/>
      <c r="LCB5" s="390"/>
      <c r="LCC5" s="390"/>
      <c r="LCD5" s="390"/>
      <c r="LCE5" s="390"/>
      <c r="LCF5" s="390"/>
      <c r="LCG5" s="390"/>
      <c r="LCH5" s="390"/>
      <c r="LCI5" s="390"/>
      <c r="LCJ5" s="390"/>
      <c r="LCK5" s="390"/>
      <c r="LCL5" s="390"/>
      <c r="LCM5" s="390"/>
      <c r="LCN5" s="390"/>
      <c r="LCO5" s="390"/>
      <c r="LCP5" s="390"/>
      <c r="LCQ5" s="390"/>
      <c r="LCR5" s="390"/>
      <c r="LCS5" s="390"/>
      <c r="LCT5" s="390"/>
      <c r="LCU5" s="390"/>
      <c r="LCV5" s="390"/>
      <c r="LCW5" s="390"/>
      <c r="LCX5" s="390"/>
      <c r="LCY5" s="390"/>
      <c r="LCZ5" s="390"/>
      <c r="LDA5" s="390"/>
      <c r="LDB5" s="390"/>
      <c r="LDC5" s="390"/>
      <c r="LDD5" s="390"/>
      <c r="LDE5" s="390"/>
      <c r="LDF5" s="390"/>
      <c r="LDG5" s="390"/>
      <c r="LDH5" s="390"/>
      <c r="LDI5" s="390"/>
      <c r="LDJ5" s="390"/>
      <c r="LDK5" s="390"/>
      <c r="LDL5" s="390"/>
      <c r="LDM5" s="390"/>
      <c r="LDN5" s="390"/>
      <c r="LDO5" s="390"/>
      <c r="LDP5" s="390"/>
      <c r="LDQ5" s="390"/>
      <c r="LDR5" s="390"/>
      <c r="LDS5" s="390"/>
      <c r="LDT5" s="390"/>
      <c r="LDU5" s="390"/>
      <c r="LDV5" s="390"/>
      <c r="LDW5" s="390"/>
      <c r="LDX5" s="390"/>
      <c r="LDY5" s="390"/>
      <c r="LDZ5" s="390"/>
      <c r="LEA5" s="390"/>
      <c r="LEB5" s="390"/>
      <c r="LEC5" s="390"/>
      <c r="LED5" s="390"/>
      <c r="LEE5" s="390"/>
      <c r="LEF5" s="390"/>
      <c r="LEG5" s="390"/>
      <c r="LEH5" s="390"/>
      <c r="LEI5" s="390"/>
      <c r="LEJ5" s="390"/>
      <c r="LEK5" s="390"/>
      <c r="LEL5" s="390"/>
      <c r="LEM5" s="390"/>
      <c r="LEN5" s="390"/>
      <c r="LEO5" s="390"/>
      <c r="LEP5" s="390"/>
      <c r="LEQ5" s="390"/>
      <c r="LER5" s="390"/>
      <c r="LES5" s="390"/>
      <c r="LET5" s="390"/>
      <c r="LEU5" s="390"/>
      <c r="LEV5" s="390"/>
      <c r="LEW5" s="390"/>
      <c r="LEX5" s="390"/>
      <c r="LEY5" s="390"/>
      <c r="LEZ5" s="390"/>
      <c r="LFA5" s="390"/>
      <c r="LFB5" s="390"/>
      <c r="LFC5" s="390"/>
      <c r="LFD5" s="390"/>
      <c r="LFE5" s="390"/>
      <c r="LFF5" s="390"/>
      <c r="LFG5" s="390"/>
      <c r="LFH5" s="390"/>
      <c r="LFI5" s="390"/>
      <c r="LFJ5" s="390"/>
      <c r="LFK5" s="390"/>
      <c r="LFL5" s="390"/>
      <c r="LFM5" s="390"/>
      <c r="LFN5" s="390"/>
      <c r="LFO5" s="390"/>
      <c r="LFP5" s="390"/>
      <c r="LFQ5" s="390"/>
      <c r="LFR5" s="390"/>
      <c r="LFS5" s="390"/>
      <c r="LFT5" s="390"/>
      <c r="LFU5" s="390"/>
      <c r="LFV5" s="390"/>
      <c r="LFW5" s="390"/>
      <c r="LFX5" s="390"/>
      <c r="LFY5" s="390"/>
      <c r="LFZ5" s="390"/>
      <c r="LGA5" s="390"/>
      <c r="LGB5" s="390"/>
      <c r="LGC5" s="390"/>
      <c r="LGD5" s="390"/>
      <c r="LGE5" s="390"/>
      <c r="LGF5" s="390"/>
      <c r="LGG5" s="390"/>
      <c r="LGH5" s="390"/>
      <c r="LGI5" s="390"/>
      <c r="LGJ5" s="390"/>
      <c r="LGK5" s="390"/>
      <c r="LGL5" s="390"/>
      <c r="LGM5" s="390"/>
      <c r="LGN5" s="390"/>
      <c r="LGO5" s="390"/>
      <c r="LGP5" s="390"/>
      <c r="LGQ5" s="390"/>
      <c r="LGR5" s="390"/>
      <c r="LGS5" s="390"/>
      <c r="LGT5" s="390"/>
      <c r="LGU5" s="390"/>
      <c r="LGV5" s="390"/>
      <c r="LGW5" s="390"/>
      <c r="LGX5" s="390"/>
      <c r="LGY5" s="390"/>
      <c r="LGZ5" s="390"/>
      <c r="LHA5" s="390"/>
      <c r="LHB5" s="390"/>
      <c r="LHC5" s="390"/>
      <c r="LHD5" s="390"/>
      <c r="LHE5" s="390"/>
      <c r="LHF5" s="390"/>
      <c r="LHG5" s="390"/>
      <c r="LHH5" s="390"/>
      <c r="LHI5" s="390"/>
      <c r="LHJ5" s="390"/>
      <c r="LHK5" s="390"/>
      <c r="LHL5" s="390"/>
      <c r="LHM5" s="390"/>
      <c r="LHN5" s="390"/>
      <c r="LHO5" s="390"/>
      <c r="LHP5" s="390"/>
      <c r="LHQ5" s="390"/>
      <c r="LHR5" s="390"/>
      <c r="LHS5" s="390"/>
      <c r="LHT5" s="390"/>
      <c r="LHU5" s="390"/>
      <c r="LHV5" s="390"/>
      <c r="LHW5" s="390"/>
      <c r="LHX5" s="390"/>
      <c r="LHY5" s="390"/>
      <c r="LHZ5" s="390"/>
      <c r="LIA5" s="390"/>
      <c r="LIB5" s="390"/>
      <c r="LIC5" s="390"/>
      <c r="LID5" s="390"/>
      <c r="LIE5" s="390"/>
      <c r="LIF5" s="390"/>
      <c r="LIG5" s="390"/>
      <c r="LIH5" s="390"/>
      <c r="LII5" s="390"/>
      <c r="LIJ5" s="390"/>
      <c r="LIK5" s="390"/>
      <c r="LIL5" s="390"/>
      <c r="LIM5" s="390"/>
      <c r="LIN5" s="390"/>
      <c r="LIO5" s="390"/>
      <c r="LIP5" s="390"/>
      <c r="LIQ5" s="390"/>
      <c r="LIR5" s="390"/>
      <c r="LIS5" s="390"/>
      <c r="LIT5" s="390"/>
      <c r="LIU5" s="390"/>
      <c r="LIV5" s="390"/>
      <c r="LIW5" s="390"/>
      <c r="LIX5" s="390"/>
      <c r="LIY5" s="390"/>
      <c r="LIZ5" s="390"/>
      <c r="LJA5" s="390"/>
      <c r="LJB5" s="390"/>
      <c r="LJC5" s="390"/>
      <c r="LJD5" s="390"/>
      <c r="LJE5" s="390"/>
      <c r="LJF5" s="390"/>
      <c r="LJG5" s="390"/>
      <c r="LJH5" s="390"/>
      <c r="LJI5" s="390"/>
      <c r="LJJ5" s="390"/>
      <c r="LJK5" s="390"/>
      <c r="LJL5" s="390"/>
      <c r="LJM5" s="390"/>
      <c r="LJN5" s="390"/>
      <c r="LJO5" s="390"/>
      <c r="LJP5" s="390"/>
      <c r="LJQ5" s="390"/>
      <c r="LJR5" s="390"/>
      <c r="LJS5" s="390"/>
      <c r="LJT5" s="390"/>
      <c r="LJU5" s="390"/>
      <c r="LJV5" s="390"/>
      <c r="LJW5" s="390"/>
      <c r="LJX5" s="390"/>
      <c r="LJY5" s="390"/>
      <c r="LJZ5" s="390"/>
      <c r="LKA5" s="390"/>
      <c r="LKB5" s="390"/>
      <c r="LKC5" s="390"/>
      <c r="LKD5" s="390"/>
      <c r="LKE5" s="390"/>
      <c r="LKF5" s="390"/>
      <c r="LKG5" s="390"/>
      <c r="LKH5" s="390"/>
      <c r="LKI5" s="390"/>
      <c r="LKJ5" s="390"/>
      <c r="LKK5" s="390"/>
      <c r="LKL5" s="390"/>
      <c r="LKM5" s="390"/>
      <c r="LKN5" s="390"/>
      <c r="LKO5" s="390"/>
      <c r="LKP5" s="390"/>
      <c r="LKQ5" s="390"/>
      <c r="LKR5" s="390"/>
      <c r="LKS5" s="390"/>
      <c r="LKT5" s="390"/>
      <c r="LKU5" s="390"/>
      <c r="LKV5" s="390"/>
      <c r="LKW5" s="390"/>
      <c r="LKX5" s="390"/>
      <c r="LKY5" s="390"/>
      <c r="LKZ5" s="390"/>
      <c r="LLA5" s="390"/>
      <c r="LLB5" s="390"/>
      <c r="LLC5" s="390"/>
      <c r="LLD5" s="390"/>
      <c r="LLE5" s="390"/>
      <c r="LLF5" s="390"/>
      <c r="LLG5" s="390"/>
      <c r="LLH5" s="390"/>
      <c r="LLI5" s="390"/>
      <c r="LLJ5" s="390"/>
      <c r="LLK5" s="390"/>
      <c r="LLL5" s="390"/>
      <c r="LLM5" s="390"/>
      <c r="LLN5" s="390"/>
      <c r="LLO5" s="390"/>
      <c r="LLP5" s="390"/>
      <c r="LLQ5" s="390"/>
      <c r="LLR5" s="390"/>
      <c r="LLS5" s="390"/>
      <c r="LLT5" s="390"/>
      <c r="LLU5" s="390"/>
      <c r="LLV5" s="390"/>
      <c r="LLW5" s="390"/>
      <c r="LLX5" s="390"/>
      <c r="LLY5" s="390"/>
      <c r="LLZ5" s="390"/>
      <c r="LMA5" s="390"/>
      <c r="LMB5" s="390"/>
      <c r="LMC5" s="390"/>
      <c r="LMD5" s="390"/>
      <c r="LME5" s="390"/>
      <c r="LMF5" s="390"/>
      <c r="LMG5" s="390"/>
      <c r="LMH5" s="390"/>
      <c r="LMI5" s="390"/>
      <c r="LMJ5" s="390"/>
      <c r="LMK5" s="390"/>
      <c r="LML5" s="390"/>
      <c r="LMM5" s="390"/>
      <c r="LMN5" s="390"/>
      <c r="LMO5" s="390"/>
      <c r="LMP5" s="390"/>
      <c r="LMQ5" s="390"/>
      <c r="LMR5" s="390"/>
      <c r="LMS5" s="390"/>
      <c r="LMT5" s="390"/>
      <c r="LMU5" s="390"/>
      <c r="LMV5" s="390"/>
      <c r="LMW5" s="390"/>
      <c r="LMX5" s="390"/>
      <c r="LMY5" s="390"/>
      <c r="LMZ5" s="390"/>
      <c r="LNA5" s="390"/>
      <c r="LNB5" s="390"/>
      <c r="LNC5" s="390"/>
      <c r="LND5" s="390"/>
      <c r="LNE5" s="390"/>
      <c r="LNF5" s="390"/>
      <c r="LNG5" s="390"/>
      <c r="LNH5" s="390"/>
      <c r="LNI5" s="390"/>
      <c r="LNJ5" s="390"/>
      <c r="LNK5" s="390"/>
      <c r="LNL5" s="390"/>
      <c r="LNM5" s="390"/>
      <c r="LNN5" s="390"/>
      <c r="LNO5" s="390"/>
      <c r="LNP5" s="390"/>
      <c r="LNQ5" s="390"/>
      <c r="LNR5" s="390"/>
      <c r="LNS5" s="390"/>
      <c r="LNT5" s="390"/>
      <c r="LNU5" s="390"/>
      <c r="LNV5" s="390"/>
      <c r="LNW5" s="390"/>
      <c r="LNX5" s="390"/>
      <c r="LNY5" s="390"/>
      <c r="LNZ5" s="390"/>
      <c r="LOA5" s="390"/>
      <c r="LOB5" s="390"/>
      <c r="LOC5" s="390"/>
      <c r="LOD5" s="390"/>
      <c r="LOE5" s="390"/>
      <c r="LOF5" s="390"/>
      <c r="LOG5" s="390"/>
      <c r="LOH5" s="390"/>
      <c r="LOI5" s="390"/>
      <c r="LOJ5" s="390"/>
      <c r="LOK5" s="390"/>
      <c r="LOL5" s="390"/>
      <c r="LOM5" s="390"/>
      <c r="LON5" s="390"/>
      <c r="LOO5" s="390"/>
      <c r="LOP5" s="390"/>
      <c r="LOQ5" s="390"/>
      <c r="LOR5" s="390"/>
      <c r="LOS5" s="390"/>
      <c r="LOT5" s="390"/>
      <c r="LOU5" s="390"/>
      <c r="LOV5" s="390"/>
      <c r="LOW5" s="390"/>
      <c r="LOX5" s="390"/>
      <c r="LOY5" s="390"/>
      <c r="LOZ5" s="390"/>
      <c r="LPA5" s="390"/>
      <c r="LPB5" s="390"/>
      <c r="LPC5" s="390"/>
      <c r="LPD5" s="390"/>
      <c r="LPE5" s="390"/>
      <c r="LPF5" s="390"/>
      <c r="LPG5" s="390"/>
      <c r="LPH5" s="390"/>
      <c r="LPI5" s="390"/>
      <c r="LPJ5" s="390"/>
      <c r="LPK5" s="390"/>
      <c r="LPL5" s="390"/>
      <c r="LPM5" s="390"/>
      <c r="LPN5" s="390"/>
      <c r="LPO5" s="390"/>
      <c r="LPP5" s="390"/>
      <c r="LPQ5" s="390"/>
      <c r="LPR5" s="390"/>
      <c r="LPS5" s="390"/>
      <c r="LPT5" s="390"/>
      <c r="LPU5" s="390"/>
      <c r="LPV5" s="390"/>
      <c r="LPW5" s="390"/>
      <c r="LPX5" s="390"/>
      <c r="LPY5" s="390"/>
      <c r="LPZ5" s="390"/>
      <c r="LQA5" s="390"/>
      <c r="LQB5" s="390"/>
      <c r="LQC5" s="390"/>
      <c r="LQD5" s="390"/>
      <c r="LQE5" s="390"/>
      <c r="LQF5" s="390"/>
      <c r="LQG5" s="390"/>
      <c r="LQH5" s="390"/>
      <c r="LQI5" s="390"/>
      <c r="LQJ5" s="390"/>
      <c r="LQK5" s="390"/>
      <c r="LQL5" s="390"/>
      <c r="LQM5" s="390"/>
      <c r="LQN5" s="390"/>
      <c r="LQO5" s="390"/>
      <c r="LQP5" s="390"/>
      <c r="LQQ5" s="390"/>
      <c r="LQR5" s="390"/>
      <c r="LQS5" s="390"/>
      <c r="LQT5" s="390"/>
      <c r="LQU5" s="390"/>
      <c r="LQV5" s="390"/>
      <c r="LQW5" s="390"/>
      <c r="LQX5" s="390"/>
      <c r="LQY5" s="390"/>
      <c r="LQZ5" s="390"/>
      <c r="LRA5" s="390"/>
      <c r="LRB5" s="390"/>
      <c r="LRC5" s="390"/>
      <c r="LRD5" s="390"/>
      <c r="LRE5" s="390"/>
      <c r="LRF5" s="390"/>
      <c r="LRG5" s="390"/>
      <c r="LRH5" s="390"/>
      <c r="LRI5" s="390"/>
      <c r="LRJ5" s="390"/>
      <c r="LRK5" s="390"/>
      <c r="LRL5" s="390"/>
      <c r="LRM5" s="390"/>
      <c r="LRN5" s="390"/>
      <c r="LRO5" s="390"/>
      <c r="LRP5" s="390"/>
      <c r="LRQ5" s="390"/>
      <c r="LRR5" s="390"/>
      <c r="LRS5" s="390"/>
      <c r="LRT5" s="390"/>
      <c r="LRU5" s="390"/>
      <c r="LRV5" s="390"/>
      <c r="LRW5" s="390"/>
      <c r="LRX5" s="390"/>
      <c r="LRY5" s="390"/>
      <c r="LRZ5" s="390"/>
      <c r="LSA5" s="390"/>
      <c r="LSB5" s="390"/>
      <c r="LSC5" s="390"/>
      <c r="LSD5" s="390"/>
      <c r="LSE5" s="390"/>
      <c r="LSF5" s="390"/>
      <c r="LSG5" s="390"/>
      <c r="LSH5" s="390"/>
      <c r="LSI5" s="390"/>
      <c r="LSJ5" s="390"/>
      <c r="LSK5" s="390"/>
      <c r="LSL5" s="390"/>
      <c r="LSM5" s="390"/>
      <c r="LSN5" s="390"/>
      <c r="LSO5" s="390"/>
      <c r="LSP5" s="390"/>
      <c r="LSQ5" s="390"/>
      <c r="LSR5" s="390"/>
      <c r="LSS5" s="390"/>
      <c r="LST5" s="390"/>
      <c r="LSU5" s="390"/>
      <c r="LSV5" s="390"/>
      <c r="LSW5" s="390"/>
      <c r="LSX5" s="390"/>
      <c r="LSY5" s="390"/>
      <c r="LSZ5" s="390"/>
      <c r="LTA5" s="390"/>
      <c r="LTB5" s="390"/>
      <c r="LTC5" s="390"/>
      <c r="LTD5" s="390"/>
      <c r="LTE5" s="390"/>
      <c r="LTF5" s="390"/>
      <c r="LTG5" s="390"/>
      <c r="LTH5" s="390"/>
      <c r="LTI5" s="390"/>
      <c r="LTJ5" s="390"/>
      <c r="LTK5" s="390"/>
      <c r="LTL5" s="390"/>
      <c r="LTM5" s="390"/>
      <c r="LTN5" s="390"/>
      <c r="LTO5" s="390"/>
      <c r="LTP5" s="390"/>
      <c r="LTQ5" s="390"/>
      <c r="LTR5" s="390"/>
      <c r="LTS5" s="390"/>
      <c r="LTT5" s="390"/>
      <c r="LTU5" s="390"/>
      <c r="LTV5" s="390"/>
      <c r="LTW5" s="390"/>
      <c r="LTX5" s="390"/>
      <c r="LTY5" s="390"/>
      <c r="LTZ5" s="390"/>
      <c r="LUA5" s="390"/>
      <c r="LUB5" s="390"/>
      <c r="LUC5" s="390"/>
      <c r="LUD5" s="390"/>
      <c r="LUE5" s="390"/>
      <c r="LUF5" s="390"/>
      <c r="LUG5" s="390"/>
      <c r="LUH5" s="390"/>
      <c r="LUI5" s="390"/>
      <c r="LUJ5" s="390"/>
      <c r="LUK5" s="390"/>
      <c r="LUL5" s="390"/>
      <c r="LUM5" s="390"/>
      <c r="LUN5" s="390"/>
      <c r="LUO5" s="390"/>
      <c r="LUP5" s="390"/>
      <c r="LUQ5" s="390"/>
      <c r="LUR5" s="390"/>
      <c r="LUS5" s="390"/>
      <c r="LUT5" s="390"/>
      <c r="LUU5" s="390"/>
      <c r="LUV5" s="390"/>
      <c r="LUW5" s="390"/>
      <c r="LUX5" s="390"/>
      <c r="LUY5" s="390"/>
      <c r="LUZ5" s="390"/>
      <c r="LVA5" s="390"/>
      <c r="LVB5" s="390"/>
      <c r="LVC5" s="390"/>
      <c r="LVD5" s="390"/>
      <c r="LVE5" s="390"/>
      <c r="LVF5" s="390"/>
      <c r="LVG5" s="390"/>
      <c r="LVH5" s="390"/>
      <c r="LVI5" s="390"/>
      <c r="LVJ5" s="390"/>
      <c r="LVK5" s="390"/>
      <c r="LVL5" s="390"/>
      <c r="LVM5" s="390"/>
      <c r="LVN5" s="390"/>
      <c r="LVO5" s="390"/>
      <c r="LVP5" s="390"/>
      <c r="LVQ5" s="390"/>
      <c r="LVR5" s="390"/>
      <c r="LVS5" s="390"/>
      <c r="LVT5" s="390"/>
      <c r="LVU5" s="390"/>
      <c r="LVV5" s="390"/>
      <c r="LVW5" s="390"/>
      <c r="LVX5" s="390"/>
      <c r="LVY5" s="390"/>
      <c r="LVZ5" s="390"/>
      <c r="LWA5" s="390"/>
      <c r="LWB5" s="390"/>
      <c r="LWC5" s="390"/>
      <c r="LWD5" s="390"/>
      <c r="LWE5" s="390"/>
      <c r="LWF5" s="390"/>
      <c r="LWG5" s="390"/>
      <c r="LWH5" s="390"/>
      <c r="LWI5" s="390"/>
      <c r="LWJ5" s="390"/>
      <c r="LWK5" s="390"/>
      <c r="LWL5" s="390"/>
      <c r="LWM5" s="390"/>
      <c r="LWN5" s="390"/>
      <c r="LWO5" s="390"/>
      <c r="LWP5" s="390"/>
      <c r="LWQ5" s="390"/>
      <c r="LWR5" s="390"/>
      <c r="LWS5" s="390"/>
      <c r="LWT5" s="390"/>
      <c r="LWU5" s="390"/>
      <c r="LWV5" s="390"/>
      <c r="LWW5" s="390"/>
      <c r="LWX5" s="390"/>
      <c r="LWY5" s="390"/>
      <c r="LWZ5" s="390"/>
      <c r="LXA5" s="390"/>
      <c r="LXB5" s="390"/>
      <c r="LXC5" s="390"/>
      <c r="LXD5" s="390"/>
      <c r="LXE5" s="390"/>
      <c r="LXF5" s="390"/>
      <c r="LXG5" s="390"/>
      <c r="LXH5" s="390"/>
      <c r="LXI5" s="390"/>
      <c r="LXJ5" s="390"/>
      <c r="LXK5" s="390"/>
      <c r="LXL5" s="390"/>
      <c r="LXM5" s="390"/>
      <c r="LXN5" s="390"/>
      <c r="LXO5" s="390"/>
      <c r="LXP5" s="390"/>
      <c r="LXQ5" s="390"/>
      <c r="LXR5" s="390"/>
      <c r="LXS5" s="390"/>
      <c r="LXT5" s="390"/>
      <c r="LXU5" s="390"/>
      <c r="LXV5" s="390"/>
      <c r="LXW5" s="390"/>
      <c r="LXX5" s="390"/>
      <c r="LXY5" s="390"/>
      <c r="LXZ5" s="390"/>
      <c r="LYA5" s="390"/>
      <c r="LYB5" s="390"/>
      <c r="LYC5" s="390"/>
      <c r="LYD5" s="390"/>
      <c r="LYE5" s="390"/>
      <c r="LYF5" s="390"/>
      <c r="LYG5" s="390"/>
      <c r="LYH5" s="390"/>
      <c r="LYI5" s="390"/>
      <c r="LYJ5" s="390"/>
      <c r="LYK5" s="390"/>
      <c r="LYL5" s="390"/>
      <c r="LYM5" s="390"/>
      <c r="LYN5" s="390"/>
      <c r="LYO5" s="390"/>
      <c r="LYP5" s="390"/>
      <c r="LYQ5" s="390"/>
      <c r="LYR5" s="390"/>
      <c r="LYS5" s="390"/>
      <c r="LYT5" s="390"/>
      <c r="LYU5" s="390"/>
      <c r="LYV5" s="390"/>
      <c r="LYW5" s="390"/>
      <c r="LYX5" s="390"/>
      <c r="LYY5" s="390"/>
      <c r="LYZ5" s="390"/>
      <c r="LZA5" s="390"/>
      <c r="LZB5" s="390"/>
      <c r="LZC5" s="390"/>
      <c r="LZD5" s="390"/>
      <c r="LZE5" s="390"/>
      <c r="LZF5" s="390"/>
      <c r="LZG5" s="390"/>
      <c r="LZH5" s="390"/>
      <c r="LZI5" s="390"/>
      <c r="LZJ5" s="390"/>
      <c r="LZK5" s="390"/>
      <c r="LZL5" s="390"/>
      <c r="LZM5" s="390"/>
      <c r="LZN5" s="390"/>
      <c r="LZO5" s="390"/>
      <c r="LZP5" s="390"/>
      <c r="LZQ5" s="390"/>
      <c r="LZR5" s="390"/>
      <c r="LZS5" s="390"/>
      <c r="LZT5" s="390"/>
      <c r="LZU5" s="390"/>
      <c r="LZV5" s="390"/>
      <c r="LZW5" s="390"/>
      <c r="LZX5" s="390"/>
      <c r="LZY5" s="390"/>
      <c r="LZZ5" s="390"/>
      <c r="MAA5" s="390"/>
      <c r="MAB5" s="390"/>
      <c r="MAC5" s="390"/>
      <c r="MAD5" s="390"/>
      <c r="MAE5" s="390"/>
      <c r="MAF5" s="390"/>
      <c r="MAG5" s="390"/>
      <c r="MAH5" s="390"/>
      <c r="MAI5" s="390"/>
      <c r="MAJ5" s="390"/>
      <c r="MAK5" s="390"/>
      <c r="MAL5" s="390"/>
      <c r="MAM5" s="390"/>
      <c r="MAN5" s="390"/>
      <c r="MAO5" s="390"/>
      <c r="MAP5" s="390"/>
      <c r="MAQ5" s="390"/>
      <c r="MAR5" s="390"/>
      <c r="MAS5" s="390"/>
      <c r="MAT5" s="390"/>
      <c r="MAU5" s="390"/>
      <c r="MAV5" s="390"/>
      <c r="MAW5" s="390"/>
      <c r="MAX5" s="390"/>
      <c r="MAY5" s="390"/>
      <c r="MAZ5" s="390"/>
      <c r="MBA5" s="390"/>
      <c r="MBB5" s="390"/>
      <c r="MBC5" s="390"/>
      <c r="MBD5" s="390"/>
      <c r="MBE5" s="390"/>
      <c r="MBF5" s="390"/>
      <c r="MBG5" s="390"/>
      <c r="MBH5" s="390"/>
      <c r="MBI5" s="390"/>
      <c r="MBJ5" s="390"/>
      <c r="MBK5" s="390"/>
      <c r="MBL5" s="390"/>
      <c r="MBM5" s="390"/>
      <c r="MBN5" s="390"/>
      <c r="MBO5" s="390"/>
      <c r="MBP5" s="390"/>
      <c r="MBQ5" s="390"/>
      <c r="MBR5" s="390"/>
      <c r="MBS5" s="390"/>
      <c r="MBT5" s="390"/>
      <c r="MBU5" s="390"/>
      <c r="MBV5" s="390"/>
      <c r="MBW5" s="390"/>
      <c r="MBX5" s="390"/>
      <c r="MBY5" s="390"/>
      <c r="MBZ5" s="390"/>
      <c r="MCA5" s="390"/>
      <c r="MCB5" s="390"/>
      <c r="MCC5" s="390"/>
      <c r="MCD5" s="390"/>
      <c r="MCE5" s="390"/>
      <c r="MCF5" s="390"/>
      <c r="MCG5" s="390"/>
      <c r="MCH5" s="390"/>
      <c r="MCI5" s="390"/>
      <c r="MCJ5" s="390"/>
      <c r="MCK5" s="390"/>
      <c r="MCL5" s="390"/>
      <c r="MCM5" s="390"/>
      <c r="MCN5" s="390"/>
      <c r="MCO5" s="390"/>
      <c r="MCP5" s="390"/>
      <c r="MCQ5" s="390"/>
      <c r="MCR5" s="390"/>
      <c r="MCS5" s="390"/>
      <c r="MCT5" s="390"/>
      <c r="MCU5" s="390"/>
      <c r="MCV5" s="390"/>
      <c r="MCW5" s="390"/>
      <c r="MCX5" s="390"/>
      <c r="MCY5" s="390"/>
      <c r="MCZ5" s="390"/>
      <c r="MDA5" s="390"/>
      <c r="MDB5" s="390"/>
      <c r="MDC5" s="390"/>
      <c r="MDD5" s="390"/>
      <c r="MDE5" s="390"/>
      <c r="MDF5" s="390"/>
      <c r="MDG5" s="390"/>
      <c r="MDH5" s="390"/>
      <c r="MDI5" s="390"/>
      <c r="MDJ5" s="390"/>
      <c r="MDK5" s="390"/>
      <c r="MDL5" s="390"/>
      <c r="MDM5" s="390"/>
      <c r="MDN5" s="390"/>
      <c r="MDO5" s="390"/>
      <c r="MDP5" s="390"/>
      <c r="MDQ5" s="390"/>
      <c r="MDR5" s="390"/>
      <c r="MDS5" s="390"/>
      <c r="MDT5" s="390"/>
      <c r="MDU5" s="390"/>
      <c r="MDV5" s="390"/>
      <c r="MDW5" s="390"/>
      <c r="MDX5" s="390"/>
      <c r="MDY5" s="390"/>
      <c r="MDZ5" s="390"/>
      <c r="MEA5" s="390"/>
      <c r="MEB5" s="390"/>
      <c r="MEC5" s="390"/>
      <c r="MED5" s="390"/>
      <c r="MEE5" s="390"/>
      <c r="MEF5" s="390"/>
      <c r="MEG5" s="390"/>
      <c r="MEH5" s="390"/>
      <c r="MEI5" s="390"/>
      <c r="MEJ5" s="390"/>
      <c r="MEK5" s="390"/>
      <c r="MEL5" s="390"/>
      <c r="MEM5" s="390"/>
      <c r="MEN5" s="390"/>
      <c r="MEO5" s="390"/>
      <c r="MEP5" s="390"/>
      <c r="MEQ5" s="390"/>
      <c r="MER5" s="390"/>
      <c r="MES5" s="390"/>
      <c r="MET5" s="390"/>
      <c r="MEU5" s="390"/>
      <c r="MEV5" s="390"/>
      <c r="MEW5" s="390"/>
      <c r="MEX5" s="390"/>
      <c r="MEY5" s="390"/>
      <c r="MEZ5" s="390"/>
      <c r="MFA5" s="390"/>
      <c r="MFB5" s="390"/>
      <c r="MFC5" s="390"/>
      <c r="MFD5" s="390"/>
      <c r="MFE5" s="390"/>
      <c r="MFF5" s="390"/>
      <c r="MFG5" s="390"/>
      <c r="MFH5" s="390"/>
      <c r="MFI5" s="390"/>
      <c r="MFJ5" s="390"/>
      <c r="MFK5" s="390"/>
      <c r="MFL5" s="390"/>
      <c r="MFM5" s="390"/>
      <c r="MFN5" s="390"/>
      <c r="MFO5" s="390"/>
      <c r="MFP5" s="390"/>
      <c r="MFQ5" s="390"/>
      <c r="MFR5" s="390"/>
      <c r="MFS5" s="390"/>
      <c r="MFT5" s="390"/>
      <c r="MFU5" s="390"/>
      <c r="MFV5" s="390"/>
      <c r="MFW5" s="390"/>
      <c r="MFX5" s="390"/>
      <c r="MFY5" s="390"/>
      <c r="MFZ5" s="390"/>
      <c r="MGA5" s="390"/>
      <c r="MGB5" s="390"/>
      <c r="MGC5" s="390"/>
      <c r="MGD5" s="390"/>
      <c r="MGE5" s="390"/>
      <c r="MGF5" s="390"/>
      <c r="MGG5" s="390"/>
      <c r="MGH5" s="390"/>
      <c r="MGI5" s="390"/>
      <c r="MGJ5" s="390"/>
      <c r="MGK5" s="390"/>
      <c r="MGL5" s="390"/>
      <c r="MGM5" s="390"/>
      <c r="MGN5" s="390"/>
      <c r="MGO5" s="390"/>
      <c r="MGP5" s="390"/>
      <c r="MGQ5" s="390"/>
      <c r="MGR5" s="390"/>
      <c r="MGS5" s="390"/>
      <c r="MGT5" s="390"/>
      <c r="MGU5" s="390"/>
      <c r="MGV5" s="390"/>
      <c r="MGW5" s="390"/>
      <c r="MGX5" s="390"/>
      <c r="MGY5" s="390"/>
      <c r="MGZ5" s="390"/>
      <c r="MHA5" s="390"/>
      <c r="MHB5" s="390"/>
      <c r="MHC5" s="390"/>
      <c r="MHD5" s="390"/>
      <c r="MHE5" s="390"/>
      <c r="MHF5" s="390"/>
      <c r="MHG5" s="390"/>
      <c r="MHH5" s="390"/>
      <c r="MHI5" s="390"/>
      <c r="MHJ5" s="390"/>
      <c r="MHK5" s="390"/>
      <c r="MHL5" s="390"/>
      <c r="MHM5" s="390"/>
      <c r="MHN5" s="390"/>
      <c r="MHO5" s="390"/>
      <c r="MHP5" s="390"/>
      <c r="MHQ5" s="390"/>
      <c r="MHR5" s="390"/>
      <c r="MHS5" s="390"/>
      <c r="MHT5" s="390"/>
      <c r="MHU5" s="390"/>
      <c r="MHV5" s="390"/>
      <c r="MHW5" s="390"/>
      <c r="MHX5" s="390"/>
      <c r="MHY5" s="390"/>
      <c r="MHZ5" s="390"/>
      <c r="MIA5" s="390"/>
      <c r="MIB5" s="390"/>
      <c r="MIC5" s="390"/>
      <c r="MID5" s="390"/>
      <c r="MIE5" s="390"/>
      <c r="MIF5" s="390"/>
      <c r="MIG5" s="390"/>
      <c r="MIH5" s="390"/>
      <c r="MII5" s="390"/>
      <c r="MIJ5" s="390"/>
      <c r="MIK5" s="390"/>
      <c r="MIL5" s="390"/>
      <c r="MIM5" s="390"/>
      <c r="MIN5" s="390"/>
      <c r="MIO5" s="390"/>
      <c r="MIP5" s="390"/>
      <c r="MIQ5" s="390"/>
      <c r="MIR5" s="390"/>
      <c r="MIS5" s="390"/>
      <c r="MIT5" s="390"/>
      <c r="MIU5" s="390"/>
      <c r="MIV5" s="390"/>
      <c r="MIW5" s="390"/>
      <c r="MIX5" s="390"/>
      <c r="MIY5" s="390"/>
      <c r="MIZ5" s="390"/>
      <c r="MJA5" s="390"/>
      <c r="MJB5" s="390"/>
      <c r="MJC5" s="390"/>
      <c r="MJD5" s="390"/>
      <c r="MJE5" s="390"/>
      <c r="MJF5" s="390"/>
      <c r="MJG5" s="390"/>
      <c r="MJH5" s="390"/>
      <c r="MJI5" s="390"/>
      <c r="MJJ5" s="390"/>
      <c r="MJK5" s="390"/>
      <c r="MJL5" s="390"/>
      <c r="MJM5" s="390"/>
      <c r="MJN5" s="390"/>
      <c r="MJO5" s="390"/>
      <c r="MJP5" s="390"/>
      <c r="MJQ5" s="390"/>
      <c r="MJR5" s="390"/>
      <c r="MJS5" s="390"/>
      <c r="MJT5" s="390"/>
      <c r="MJU5" s="390"/>
      <c r="MJV5" s="390"/>
      <c r="MJW5" s="390"/>
      <c r="MJX5" s="390"/>
      <c r="MJY5" s="390"/>
      <c r="MJZ5" s="390"/>
      <c r="MKA5" s="390"/>
      <c r="MKB5" s="390"/>
      <c r="MKC5" s="390"/>
      <c r="MKD5" s="390"/>
      <c r="MKE5" s="390"/>
      <c r="MKF5" s="390"/>
      <c r="MKG5" s="390"/>
      <c r="MKH5" s="390"/>
      <c r="MKI5" s="390"/>
      <c r="MKJ5" s="390"/>
      <c r="MKK5" s="390"/>
      <c r="MKL5" s="390"/>
      <c r="MKM5" s="390"/>
      <c r="MKN5" s="390"/>
      <c r="MKO5" s="390"/>
      <c r="MKP5" s="390"/>
      <c r="MKQ5" s="390"/>
      <c r="MKR5" s="390"/>
      <c r="MKS5" s="390"/>
      <c r="MKT5" s="390"/>
      <c r="MKU5" s="390"/>
      <c r="MKV5" s="390"/>
      <c r="MKW5" s="390"/>
      <c r="MKX5" s="390"/>
      <c r="MKY5" s="390"/>
      <c r="MKZ5" s="390"/>
      <c r="MLA5" s="390"/>
      <c r="MLB5" s="390"/>
      <c r="MLC5" s="390"/>
      <c r="MLD5" s="390"/>
      <c r="MLE5" s="390"/>
      <c r="MLF5" s="390"/>
      <c r="MLG5" s="390"/>
      <c r="MLH5" s="390"/>
      <c r="MLI5" s="390"/>
      <c r="MLJ5" s="390"/>
      <c r="MLK5" s="390"/>
      <c r="MLL5" s="390"/>
      <c r="MLM5" s="390"/>
      <c r="MLN5" s="390"/>
      <c r="MLO5" s="390"/>
      <c r="MLP5" s="390"/>
      <c r="MLQ5" s="390"/>
      <c r="MLR5" s="390"/>
      <c r="MLS5" s="390"/>
      <c r="MLT5" s="390"/>
      <c r="MLU5" s="390"/>
      <c r="MLV5" s="390"/>
      <c r="MLW5" s="390"/>
      <c r="MLX5" s="390"/>
      <c r="MLY5" s="390"/>
      <c r="MLZ5" s="390"/>
      <c r="MMA5" s="390"/>
      <c r="MMB5" s="390"/>
      <c r="MMC5" s="390"/>
      <c r="MMD5" s="390"/>
      <c r="MME5" s="390"/>
      <c r="MMF5" s="390"/>
      <c r="MMG5" s="390"/>
      <c r="MMH5" s="390"/>
      <c r="MMI5" s="390"/>
      <c r="MMJ5" s="390"/>
      <c r="MMK5" s="390"/>
      <c r="MML5" s="390"/>
      <c r="MMM5" s="390"/>
      <c r="MMN5" s="390"/>
      <c r="MMO5" s="390"/>
      <c r="MMP5" s="390"/>
      <c r="MMQ5" s="390"/>
      <c r="MMR5" s="390"/>
      <c r="MMS5" s="390"/>
      <c r="MMT5" s="390"/>
      <c r="MMU5" s="390"/>
      <c r="MMV5" s="390"/>
      <c r="MMW5" s="390"/>
      <c r="MMX5" s="390"/>
      <c r="MMY5" s="390"/>
      <c r="MMZ5" s="390"/>
      <c r="MNA5" s="390"/>
      <c r="MNB5" s="390"/>
      <c r="MNC5" s="390"/>
      <c r="MND5" s="390"/>
      <c r="MNE5" s="390"/>
      <c r="MNF5" s="390"/>
      <c r="MNG5" s="390"/>
      <c r="MNH5" s="390"/>
      <c r="MNI5" s="390"/>
      <c r="MNJ5" s="390"/>
      <c r="MNK5" s="390"/>
      <c r="MNL5" s="390"/>
      <c r="MNM5" s="390"/>
      <c r="MNN5" s="390"/>
      <c r="MNO5" s="390"/>
      <c r="MNP5" s="390"/>
      <c r="MNQ5" s="390"/>
      <c r="MNR5" s="390"/>
      <c r="MNS5" s="390"/>
      <c r="MNT5" s="390"/>
      <c r="MNU5" s="390"/>
      <c r="MNV5" s="390"/>
      <c r="MNW5" s="390"/>
      <c r="MNX5" s="390"/>
      <c r="MNY5" s="390"/>
      <c r="MNZ5" s="390"/>
      <c r="MOA5" s="390"/>
      <c r="MOB5" s="390"/>
      <c r="MOC5" s="390"/>
      <c r="MOD5" s="390"/>
      <c r="MOE5" s="390"/>
      <c r="MOF5" s="390"/>
      <c r="MOG5" s="390"/>
      <c r="MOH5" s="390"/>
      <c r="MOI5" s="390"/>
      <c r="MOJ5" s="390"/>
      <c r="MOK5" s="390"/>
      <c r="MOL5" s="390"/>
      <c r="MOM5" s="390"/>
      <c r="MON5" s="390"/>
      <c r="MOO5" s="390"/>
      <c r="MOP5" s="390"/>
      <c r="MOQ5" s="390"/>
      <c r="MOR5" s="390"/>
      <c r="MOS5" s="390"/>
      <c r="MOT5" s="390"/>
      <c r="MOU5" s="390"/>
      <c r="MOV5" s="390"/>
      <c r="MOW5" s="390"/>
      <c r="MOX5" s="390"/>
      <c r="MOY5" s="390"/>
      <c r="MOZ5" s="390"/>
      <c r="MPA5" s="390"/>
      <c r="MPB5" s="390"/>
      <c r="MPC5" s="390"/>
      <c r="MPD5" s="390"/>
      <c r="MPE5" s="390"/>
      <c r="MPF5" s="390"/>
      <c r="MPG5" s="390"/>
      <c r="MPH5" s="390"/>
      <c r="MPI5" s="390"/>
      <c r="MPJ5" s="390"/>
      <c r="MPK5" s="390"/>
      <c r="MPL5" s="390"/>
      <c r="MPM5" s="390"/>
      <c r="MPN5" s="390"/>
      <c r="MPO5" s="390"/>
      <c r="MPP5" s="390"/>
      <c r="MPQ5" s="390"/>
      <c r="MPR5" s="390"/>
      <c r="MPS5" s="390"/>
      <c r="MPT5" s="390"/>
      <c r="MPU5" s="390"/>
      <c r="MPV5" s="390"/>
      <c r="MPW5" s="390"/>
      <c r="MPX5" s="390"/>
      <c r="MPY5" s="390"/>
      <c r="MPZ5" s="390"/>
      <c r="MQA5" s="390"/>
      <c r="MQB5" s="390"/>
      <c r="MQC5" s="390"/>
      <c r="MQD5" s="390"/>
      <c r="MQE5" s="390"/>
      <c r="MQF5" s="390"/>
      <c r="MQG5" s="390"/>
      <c r="MQH5" s="390"/>
      <c r="MQI5" s="390"/>
      <c r="MQJ5" s="390"/>
      <c r="MQK5" s="390"/>
      <c r="MQL5" s="390"/>
      <c r="MQM5" s="390"/>
      <c r="MQN5" s="390"/>
      <c r="MQO5" s="390"/>
      <c r="MQP5" s="390"/>
      <c r="MQQ5" s="390"/>
      <c r="MQR5" s="390"/>
      <c r="MQS5" s="390"/>
      <c r="MQT5" s="390"/>
      <c r="MQU5" s="390"/>
      <c r="MQV5" s="390"/>
      <c r="MQW5" s="390"/>
      <c r="MQX5" s="390"/>
      <c r="MQY5" s="390"/>
      <c r="MQZ5" s="390"/>
      <c r="MRA5" s="390"/>
      <c r="MRB5" s="390"/>
      <c r="MRC5" s="390"/>
      <c r="MRD5" s="390"/>
      <c r="MRE5" s="390"/>
      <c r="MRF5" s="390"/>
      <c r="MRG5" s="390"/>
      <c r="MRH5" s="390"/>
      <c r="MRI5" s="390"/>
      <c r="MRJ5" s="390"/>
      <c r="MRK5" s="390"/>
      <c r="MRL5" s="390"/>
      <c r="MRM5" s="390"/>
      <c r="MRN5" s="390"/>
      <c r="MRO5" s="390"/>
      <c r="MRP5" s="390"/>
      <c r="MRQ5" s="390"/>
      <c r="MRR5" s="390"/>
      <c r="MRS5" s="390"/>
      <c r="MRT5" s="390"/>
      <c r="MRU5" s="390"/>
      <c r="MRV5" s="390"/>
      <c r="MRW5" s="390"/>
      <c r="MRX5" s="390"/>
      <c r="MRY5" s="390"/>
      <c r="MRZ5" s="390"/>
      <c r="MSA5" s="390"/>
      <c r="MSB5" s="390"/>
      <c r="MSC5" s="390"/>
      <c r="MSD5" s="390"/>
      <c r="MSE5" s="390"/>
      <c r="MSF5" s="390"/>
      <c r="MSG5" s="390"/>
      <c r="MSH5" s="390"/>
      <c r="MSI5" s="390"/>
      <c r="MSJ5" s="390"/>
      <c r="MSK5" s="390"/>
      <c r="MSL5" s="390"/>
      <c r="MSM5" s="390"/>
      <c r="MSN5" s="390"/>
      <c r="MSO5" s="390"/>
      <c r="MSP5" s="390"/>
      <c r="MSQ5" s="390"/>
      <c r="MSR5" s="390"/>
      <c r="MSS5" s="390"/>
      <c r="MST5" s="390"/>
      <c r="MSU5" s="390"/>
      <c r="MSV5" s="390"/>
      <c r="MSW5" s="390"/>
      <c r="MSX5" s="390"/>
      <c r="MSY5" s="390"/>
      <c r="MSZ5" s="390"/>
      <c r="MTA5" s="390"/>
      <c r="MTB5" s="390"/>
      <c r="MTC5" s="390"/>
      <c r="MTD5" s="390"/>
      <c r="MTE5" s="390"/>
      <c r="MTF5" s="390"/>
      <c r="MTG5" s="390"/>
      <c r="MTH5" s="390"/>
      <c r="MTI5" s="390"/>
      <c r="MTJ5" s="390"/>
      <c r="MTK5" s="390"/>
      <c r="MTL5" s="390"/>
      <c r="MTM5" s="390"/>
      <c r="MTN5" s="390"/>
      <c r="MTO5" s="390"/>
      <c r="MTP5" s="390"/>
      <c r="MTQ5" s="390"/>
      <c r="MTR5" s="390"/>
      <c r="MTS5" s="390"/>
      <c r="MTT5" s="390"/>
      <c r="MTU5" s="390"/>
      <c r="MTV5" s="390"/>
      <c r="MTW5" s="390"/>
      <c r="MTX5" s="390"/>
      <c r="MTY5" s="390"/>
      <c r="MTZ5" s="390"/>
      <c r="MUA5" s="390"/>
      <c r="MUB5" s="390"/>
      <c r="MUC5" s="390"/>
      <c r="MUD5" s="390"/>
      <c r="MUE5" s="390"/>
      <c r="MUF5" s="390"/>
      <c r="MUG5" s="390"/>
      <c r="MUH5" s="390"/>
      <c r="MUI5" s="390"/>
      <c r="MUJ5" s="390"/>
      <c r="MUK5" s="390"/>
      <c r="MUL5" s="390"/>
      <c r="MUM5" s="390"/>
      <c r="MUN5" s="390"/>
      <c r="MUO5" s="390"/>
      <c r="MUP5" s="390"/>
      <c r="MUQ5" s="390"/>
      <c r="MUR5" s="390"/>
      <c r="MUS5" s="390"/>
      <c r="MUT5" s="390"/>
      <c r="MUU5" s="390"/>
      <c r="MUV5" s="390"/>
      <c r="MUW5" s="390"/>
      <c r="MUX5" s="390"/>
      <c r="MUY5" s="390"/>
      <c r="MUZ5" s="390"/>
      <c r="MVA5" s="390"/>
      <c r="MVB5" s="390"/>
      <c r="MVC5" s="390"/>
      <c r="MVD5" s="390"/>
      <c r="MVE5" s="390"/>
      <c r="MVF5" s="390"/>
      <c r="MVG5" s="390"/>
      <c r="MVH5" s="390"/>
      <c r="MVI5" s="390"/>
      <c r="MVJ5" s="390"/>
      <c r="MVK5" s="390"/>
      <c r="MVL5" s="390"/>
      <c r="MVM5" s="390"/>
      <c r="MVN5" s="390"/>
      <c r="MVO5" s="390"/>
      <c r="MVP5" s="390"/>
      <c r="MVQ5" s="390"/>
      <c r="MVR5" s="390"/>
      <c r="MVS5" s="390"/>
      <c r="MVT5" s="390"/>
      <c r="MVU5" s="390"/>
      <c r="MVV5" s="390"/>
      <c r="MVW5" s="390"/>
      <c r="MVX5" s="390"/>
      <c r="MVY5" s="390"/>
      <c r="MVZ5" s="390"/>
      <c r="MWA5" s="390"/>
      <c r="MWB5" s="390"/>
      <c r="MWC5" s="390"/>
      <c r="MWD5" s="390"/>
      <c r="MWE5" s="390"/>
      <c r="MWF5" s="390"/>
      <c r="MWG5" s="390"/>
      <c r="MWH5" s="390"/>
      <c r="MWI5" s="390"/>
      <c r="MWJ5" s="390"/>
      <c r="MWK5" s="390"/>
      <c r="MWL5" s="390"/>
      <c r="MWM5" s="390"/>
      <c r="MWN5" s="390"/>
      <c r="MWO5" s="390"/>
      <c r="MWP5" s="390"/>
      <c r="MWQ5" s="390"/>
      <c r="MWR5" s="390"/>
      <c r="MWS5" s="390"/>
      <c r="MWT5" s="390"/>
      <c r="MWU5" s="390"/>
      <c r="MWV5" s="390"/>
      <c r="MWW5" s="390"/>
      <c r="MWX5" s="390"/>
      <c r="MWY5" s="390"/>
      <c r="MWZ5" s="390"/>
      <c r="MXA5" s="390"/>
      <c r="MXB5" s="390"/>
      <c r="MXC5" s="390"/>
      <c r="MXD5" s="390"/>
      <c r="MXE5" s="390"/>
      <c r="MXF5" s="390"/>
      <c r="MXG5" s="390"/>
      <c r="MXH5" s="390"/>
      <c r="MXI5" s="390"/>
      <c r="MXJ5" s="390"/>
      <c r="MXK5" s="390"/>
      <c r="MXL5" s="390"/>
      <c r="MXM5" s="390"/>
      <c r="MXN5" s="390"/>
      <c r="MXO5" s="390"/>
      <c r="MXP5" s="390"/>
      <c r="MXQ5" s="390"/>
      <c r="MXR5" s="390"/>
      <c r="MXS5" s="390"/>
      <c r="MXT5" s="390"/>
      <c r="MXU5" s="390"/>
      <c r="MXV5" s="390"/>
      <c r="MXW5" s="390"/>
      <c r="MXX5" s="390"/>
      <c r="MXY5" s="390"/>
      <c r="MXZ5" s="390"/>
      <c r="MYA5" s="390"/>
      <c r="MYB5" s="390"/>
      <c r="MYC5" s="390"/>
      <c r="MYD5" s="390"/>
      <c r="MYE5" s="390"/>
      <c r="MYF5" s="390"/>
      <c r="MYG5" s="390"/>
      <c r="MYH5" s="390"/>
      <c r="MYI5" s="390"/>
      <c r="MYJ5" s="390"/>
      <c r="MYK5" s="390"/>
      <c r="MYL5" s="390"/>
      <c r="MYM5" s="390"/>
      <c r="MYN5" s="390"/>
      <c r="MYO5" s="390"/>
      <c r="MYP5" s="390"/>
      <c r="MYQ5" s="390"/>
      <c r="MYR5" s="390"/>
      <c r="MYS5" s="390"/>
      <c r="MYT5" s="390"/>
      <c r="MYU5" s="390"/>
      <c r="MYV5" s="390"/>
      <c r="MYW5" s="390"/>
      <c r="MYX5" s="390"/>
      <c r="MYY5" s="390"/>
      <c r="MYZ5" s="390"/>
      <c r="MZA5" s="390"/>
      <c r="MZB5" s="390"/>
      <c r="MZC5" s="390"/>
      <c r="MZD5" s="390"/>
      <c r="MZE5" s="390"/>
      <c r="MZF5" s="390"/>
      <c r="MZG5" s="390"/>
      <c r="MZH5" s="390"/>
      <c r="MZI5" s="390"/>
      <c r="MZJ5" s="390"/>
      <c r="MZK5" s="390"/>
      <c r="MZL5" s="390"/>
      <c r="MZM5" s="390"/>
      <c r="MZN5" s="390"/>
      <c r="MZO5" s="390"/>
      <c r="MZP5" s="390"/>
      <c r="MZQ5" s="390"/>
      <c r="MZR5" s="390"/>
      <c r="MZS5" s="390"/>
      <c r="MZT5" s="390"/>
      <c r="MZU5" s="390"/>
      <c r="MZV5" s="390"/>
      <c r="MZW5" s="390"/>
      <c r="MZX5" s="390"/>
      <c r="MZY5" s="390"/>
      <c r="MZZ5" s="390"/>
      <c r="NAA5" s="390"/>
      <c r="NAB5" s="390"/>
      <c r="NAC5" s="390"/>
      <c r="NAD5" s="390"/>
      <c r="NAE5" s="390"/>
      <c r="NAF5" s="390"/>
      <c r="NAG5" s="390"/>
      <c r="NAH5" s="390"/>
      <c r="NAI5" s="390"/>
      <c r="NAJ5" s="390"/>
      <c r="NAK5" s="390"/>
      <c r="NAL5" s="390"/>
      <c r="NAM5" s="390"/>
      <c r="NAN5" s="390"/>
      <c r="NAO5" s="390"/>
      <c r="NAP5" s="390"/>
      <c r="NAQ5" s="390"/>
      <c r="NAR5" s="390"/>
      <c r="NAS5" s="390"/>
      <c r="NAT5" s="390"/>
      <c r="NAU5" s="390"/>
      <c r="NAV5" s="390"/>
      <c r="NAW5" s="390"/>
      <c r="NAX5" s="390"/>
      <c r="NAY5" s="390"/>
      <c r="NAZ5" s="390"/>
      <c r="NBA5" s="390"/>
      <c r="NBB5" s="390"/>
      <c r="NBC5" s="390"/>
      <c r="NBD5" s="390"/>
      <c r="NBE5" s="390"/>
      <c r="NBF5" s="390"/>
      <c r="NBG5" s="390"/>
      <c r="NBH5" s="390"/>
      <c r="NBI5" s="390"/>
      <c r="NBJ5" s="390"/>
      <c r="NBK5" s="390"/>
      <c r="NBL5" s="390"/>
      <c r="NBM5" s="390"/>
      <c r="NBN5" s="390"/>
      <c r="NBO5" s="390"/>
      <c r="NBP5" s="390"/>
      <c r="NBQ5" s="390"/>
      <c r="NBR5" s="390"/>
      <c r="NBS5" s="390"/>
      <c r="NBT5" s="390"/>
      <c r="NBU5" s="390"/>
      <c r="NBV5" s="390"/>
      <c r="NBW5" s="390"/>
      <c r="NBX5" s="390"/>
      <c r="NBY5" s="390"/>
      <c r="NBZ5" s="390"/>
      <c r="NCA5" s="390"/>
      <c r="NCB5" s="390"/>
      <c r="NCC5" s="390"/>
      <c r="NCD5" s="390"/>
      <c r="NCE5" s="390"/>
      <c r="NCF5" s="390"/>
      <c r="NCG5" s="390"/>
      <c r="NCH5" s="390"/>
      <c r="NCI5" s="390"/>
      <c r="NCJ5" s="390"/>
      <c r="NCK5" s="390"/>
      <c r="NCL5" s="390"/>
      <c r="NCM5" s="390"/>
      <c r="NCN5" s="390"/>
      <c r="NCO5" s="390"/>
      <c r="NCP5" s="390"/>
      <c r="NCQ5" s="390"/>
      <c r="NCR5" s="390"/>
      <c r="NCS5" s="390"/>
      <c r="NCT5" s="390"/>
      <c r="NCU5" s="390"/>
      <c r="NCV5" s="390"/>
      <c r="NCW5" s="390"/>
      <c r="NCX5" s="390"/>
      <c r="NCY5" s="390"/>
      <c r="NCZ5" s="390"/>
      <c r="NDA5" s="390"/>
      <c r="NDB5" s="390"/>
      <c r="NDC5" s="390"/>
      <c r="NDD5" s="390"/>
      <c r="NDE5" s="390"/>
      <c r="NDF5" s="390"/>
      <c r="NDG5" s="390"/>
      <c r="NDH5" s="390"/>
      <c r="NDI5" s="390"/>
      <c r="NDJ5" s="390"/>
      <c r="NDK5" s="390"/>
      <c r="NDL5" s="390"/>
      <c r="NDM5" s="390"/>
      <c r="NDN5" s="390"/>
      <c r="NDO5" s="390"/>
      <c r="NDP5" s="390"/>
      <c r="NDQ5" s="390"/>
      <c r="NDR5" s="390"/>
      <c r="NDS5" s="390"/>
      <c r="NDT5" s="390"/>
      <c r="NDU5" s="390"/>
      <c r="NDV5" s="390"/>
      <c r="NDW5" s="390"/>
      <c r="NDX5" s="390"/>
      <c r="NDY5" s="390"/>
      <c r="NDZ5" s="390"/>
      <c r="NEA5" s="390"/>
      <c r="NEB5" s="390"/>
      <c r="NEC5" s="390"/>
      <c r="NED5" s="390"/>
      <c r="NEE5" s="390"/>
      <c r="NEF5" s="390"/>
      <c r="NEG5" s="390"/>
      <c r="NEH5" s="390"/>
      <c r="NEI5" s="390"/>
      <c r="NEJ5" s="390"/>
      <c r="NEK5" s="390"/>
      <c r="NEL5" s="390"/>
      <c r="NEM5" s="390"/>
      <c r="NEN5" s="390"/>
      <c r="NEO5" s="390"/>
      <c r="NEP5" s="390"/>
      <c r="NEQ5" s="390"/>
      <c r="NER5" s="390"/>
      <c r="NES5" s="390"/>
      <c r="NET5" s="390"/>
      <c r="NEU5" s="390"/>
      <c r="NEV5" s="390"/>
      <c r="NEW5" s="390"/>
      <c r="NEX5" s="390"/>
      <c r="NEY5" s="390"/>
      <c r="NEZ5" s="390"/>
      <c r="NFA5" s="390"/>
      <c r="NFB5" s="390"/>
      <c r="NFC5" s="390"/>
      <c r="NFD5" s="390"/>
      <c r="NFE5" s="390"/>
      <c r="NFF5" s="390"/>
      <c r="NFG5" s="390"/>
      <c r="NFH5" s="390"/>
      <c r="NFI5" s="390"/>
      <c r="NFJ5" s="390"/>
      <c r="NFK5" s="390"/>
      <c r="NFL5" s="390"/>
      <c r="NFM5" s="390"/>
      <c r="NFN5" s="390"/>
      <c r="NFO5" s="390"/>
      <c r="NFP5" s="390"/>
      <c r="NFQ5" s="390"/>
      <c r="NFR5" s="390"/>
      <c r="NFS5" s="390"/>
      <c r="NFT5" s="390"/>
      <c r="NFU5" s="390"/>
      <c r="NFV5" s="390"/>
      <c r="NFW5" s="390"/>
      <c r="NFX5" s="390"/>
      <c r="NFY5" s="390"/>
      <c r="NFZ5" s="390"/>
      <c r="NGA5" s="390"/>
      <c r="NGB5" s="390"/>
      <c r="NGC5" s="390"/>
      <c r="NGD5" s="390"/>
      <c r="NGE5" s="390"/>
      <c r="NGF5" s="390"/>
      <c r="NGG5" s="390"/>
      <c r="NGH5" s="390"/>
      <c r="NGI5" s="390"/>
      <c r="NGJ5" s="390"/>
      <c r="NGK5" s="390"/>
      <c r="NGL5" s="390"/>
      <c r="NGM5" s="390"/>
      <c r="NGN5" s="390"/>
      <c r="NGO5" s="390"/>
      <c r="NGP5" s="390"/>
      <c r="NGQ5" s="390"/>
      <c r="NGR5" s="390"/>
      <c r="NGS5" s="390"/>
      <c r="NGT5" s="390"/>
      <c r="NGU5" s="390"/>
      <c r="NGV5" s="390"/>
      <c r="NGW5" s="390"/>
      <c r="NGX5" s="390"/>
      <c r="NGY5" s="390"/>
      <c r="NGZ5" s="390"/>
      <c r="NHA5" s="390"/>
      <c r="NHB5" s="390"/>
      <c r="NHC5" s="390"/>
      <c r="NHD5" s="390"/>
      <c r="NHE5" s="390"/>
      <c r="NHF5" s="390"/>
      <c r="NHG5" s="390"/>
      <c r="NHH5" s="390"/>
      <c r="NHI5" s="390"/>
      <c r="NHJ5" s="390"/>
      <c r="NHK5" s="390"/>
      <c r="NHL5" s="390"/>
      <c r="NHM5" s="390"/>
      <c r="NHN5" s="390"/>
      <c r="NHO5" s="390"/>
      <c r="NHP5" s="390"/>
      <c r="NHQ5" s="390"/>
      <c r="NHR5" s="390"/>
      <c r="NHS5" s="390"/>
      <c r="NHT5" s="390"/>
      <c r="NHU5" s="390"/>
      <c r="NHV5" s="390"/>
      <c r="NHW5" s="390"/>
      <c r="NHX5" s="390"/>
      <c r="NHY5" s="390"/>
      <c r="NHZ5" s="390"/>
      <c r="NIA5" s="390"/>
      <c r="NIB5" s="390"/>
      <c r="NIC5" s="390"/>
      <c r="NID5" s="390"/>
      <c r="NIE5" s="390"/>
      <c r="NIF5" s="390"/>
      <c r="NIG5" s="390"/>
      <c r="NIH5" s="390"/>
      <c r="NII5" s="390"/>
      <c r="NIJ5" s="390"/>
      <c r="NIK5" s="390"/>
      <c r="NIL5" s="390"/>
      <c r="NIM5" s="390"/>
      <c r="NIN5" s="390"/>
      <c r="NIO5" s="390"/>
      <c r="NIP5" s="390"/>
      <c r="NIQ5" s="390"/>
      <c r="NIR5" s="390"/>
      <c r="NIS5" s="390"/>
      <c r="NIT5" s="390"/>
      <c r="NIU5" s="390"/>
      <c r="NIV5" s="390"/>
      <c r="NIW5" s="390"/>
      <c r="NIX5" s="390"/>
      <c r="NIY5" s="390"/>
      <c r="NIZ5" s="390"/>
      <c r="NJA5" s="390"/>
      <c r="NJB5" s="390"/>
      <c r="NJC5" s="390"/>
      <c r="NJD5" s="390"/>
      <c r="NJE5" s="390"/>
      <c r="NJF5" s="390"/>
      <c r="NJG5" s="390"/>
      <c r="NJH5" s="390"/>
      <c r="NJI5" s="390"/>
      <c r="NJJ5" s="390"/>
      <c r="NJK5" s="390"/>
      <c r="NJL5" s="390"/>
      <c r="NJM5" s="390"/>
      <c r="NJN5" s="390"/>
      <c r="NJO5" s="390"/>
      <c r="NJP5" s="390"/>
      <c r="NJQ5" s="390"/>
      <c r="NJR5" s="390"/>
      <c r="NJS5" s="390"/>
      <c r="NJT5" s="390"/>
      <c r="NJU5" s="390"/>
      <c r="NJV5" s="390"/>
      <c r="NJW5" s="390"/>
      <c r="NJX5" s="390"/>
      <c r="NJY5" s="390"/>
      <c r="NJZ5" s="390"/>
      <c r="NKA5" s="390"/>
      <c r="NKB5" s="390"/>
      <c r="NKC5" s="390"/>
      <c r="NKD5" s="390"/>
      <c r="NKE5" s="390"/>
      <c r="NKF5" s="390"/>
      <c r="NKG5" s="390"/>
      <c r="NKH5" s="390"/>
      <c r="NKI5" s="390"/>
      <c r="NKJ5" s="390"/>
      <c r="NKK5" s="390"/>
      <c r="NKL5" s="390"/>
      <c r="NKM5" s="390"/>
      <c r="NKN5" s="390"/>
      <c r="NKO5" s="390"/>
      <c r="NKP5" s="390"/>
      <c r="NKQ5" s="390"/>
      <c r="NKR5" s="390"/>
      <c r="NKS5" s="390"/>
      <c r="NKT5" s="390"/>
      <c r="NKU5" s="390"/>
      <c r="NKV5" s="390"/>
      <c r="NKW5" s="390"/>
      <c r="NKX5" s="390"/>
      <c r="NKY5" s="390"/>
      <c r="NKZ5" s="390"/>
      <c r="NLA5" s="390"/>
      <c r="NLB5" s="390"/>
      <c r="NLC5" s="390"/>
      <c r="NLD5" s="390"/>
      <c r="NLE5" s="390"/>
      <c r="NLF5" s="390"/>
      <c r="NLG5" s="390"/>
      <c r="NLH5" s="390"/>
      <c r="NLI5" s="390"/>
      <c r="NLJ5" s="390"/>
      <c r="NLK5" s="390"/>
      <c r="NLL5" s="390"/>
      <c r="NLM5" s="390"/>
      <c r="NLN5" s="390"/>
      <c r="NLO5" s="390"/>
      <c r="NLP5" s="390"/>
      <c r="NLQ5" s="390"/>
      <c r="NLR5" s="390"/>
      <c r="NLS5" s="390"/>
      <c r="NLT5" s="390"/>
      <c r="NLU5" s="390"/>
      <c r="NLV5" s="390"/>
      <c r="NLW5" s="390"/>
      <c r="NLX5" s="390"/>
      <c r="NLY5" s="390"/>
      <c r="NLZ5" s="390"/>
      <c r="NMA5" s="390"/>
      <c r="NMB5" s="390"/>
      <c r="NMC5" s="390"/>
      <c r="NMD5" s="390"/>
      <c r="NME5" s="390"/>
      <c r="NMF5" s="390"/>
      <c r="NMG5" s="390"/>
      <c r="NMH5" s="390"/>
      <c r="NMI5" s="390"/>
      <c r="NMJ5" s="390"/>
      <c r="NMK5" s="390"/>
      <c r="NML5" s="390"/>
      <c r="NMM5" s="390"/>
      <c r="NMN5" s="390"/>
      <c r="NMO5" s="390"/>
      <c r="NMP5" s="390"/>
      <c r="NMQ5" s="390"/>
      <c r="NMR5" s="390"/>
      <c r="NMS5" s="390"/>
      <c r="NMT5" s="390"/>
      <c r="NMU5" s="390"/>
      <c r="NMV5" s="390"/>
      <c r="NMW5" s="390"/>
      <c r="NMX5" s="390"/>
      <c r="NMY5" s="390"/>
      <c r="NMZ5" s="390"/>
      <c r="NNA5" s="390"/>
      <c r="NNB5" s="390"/>
      <c r="NNC5" s="390"/>
      <c r="NND5" s="390"/>
      <c r="NNE5" s="390"/>
      <c r="NNF5" s="390"/>
      <c r="NNG5" s="390"/>
      <c r="NNH5" s="390"/>
      <c r="NNI5" s="390"/>
      <c r="NNJ5" s="390"/>
      <c r="NNK5" s="390"/>
      <c r="NNL5" s="390"/>
      <c r="NNM5" s="390"/>
      <c r="NNN5" s="390"/>
      <c r="NNO5" s="390"/>
      <c r="NNP5" s="390"/>
      <c r="NNQ5" s="390"/>
      <c r="NNR5" s="390"/>
      <c r="NNS5" s="390"/>
      <c r="NNT5" s="390"/>
      <c r="NNU5" s="390"/>
      <c r="NNV5" s="390"/>
      <c r="NNW5" s="390"/>
      <c r="NNX5" s="390"/>
      <c r="NNY5" s="390"/>
      <c r="NNZ5" s="390"/>
      <c r="NOA5" s="390"/>
      <c r="NOB5" s="390"/>
      <c r="NOC5" s="390"/>
      <c r="NOD5" s="390"/>
      <c r="NOE5" s="390"/>
      <c r="NOF5" s="390"/>
      <c r="NOG5" s="390"/>
      <c r="NOH5" s="390"/>
      <c r="NOI5" s="390"/>
      <c r="NOJ5" s="390"/>
      <c r="NOK5" s="390"/>
      <c r="NOL5" s="390"/>
      <c r="NOM5" s="390"/>
      <c r="NON5" s="390"/>
      <c r="NOO5" s="390"/>
      <c r="NOP5" s="390"/>
      <c r="NOQ5" s="390"/>
      <c r="NOR5" s="390"/>
      <c r="NOS5" s="390"/>
      <c r="NOT5" s="390"/>
      <c r="NOU5" s="390"/>
      <c r="NOV5" s="390"/>
      <c r="NOW5" s="390"/>
      <c r="NOX5" s="390"/>
      <c r="NOY5" s="390"/>
      <c r="NOZ5" s="390"/>
      <c r="NPA5" s="390"/>
      <c r="NPB5" s="390"/>
      <c r="NPC5" s="390"/>
      <c r="NPD5" s="390"/>
      <c r="NPE5" s="390"/>
      <c r="NPF5" s="390"/>
      <c r="NPG5" s="390"/>
      <c r="NPH5" s="390"/>
      <c r="NPI5" s="390"/>
      <c r="NPJ5" s="390"/>
      <c r="NPK5" s="390"/>
      <c r="NPL5" s="390"/>
      <c r="NPM5" s="390"/>
      <c r="NPN5" s="390"/>
      <c r="NPO5" s="390"/>
      <c r="NPP5" s="390"/>
      <c r="NPQ5" s="390"/>
      <c r="NPR5" s="390"/>
      <c r="NPS5" s="390"/>
      <c r="NPT5" s="390"/>
      <c r="NPU5" s="390"/>
      <c r="NPV5" s="390"/>
      <c r="NPW5" s="390"/>
      <c r="NPX5" s="390"/>
      <c r="NPY5" s="390"/>
      <c r="NPZ5" s="390"/>
      <c r="NQA5" s="390"/>
      <c r="NQB5" s="390"/>
      <c r="NQC5" s="390"/>
      <c r="NQD5" s="390"/>
      <c r="NQE5" s="390"/>
      <c r="NQF5" s="390"/>
      <c r="NQG5" s="390"/>
      <c r="NQH5" s="390"/>
      <c r="NQI5" s="390"/>
      <c r="NQJ5" s="390"/>
      <c r="NQK5" s="390"/>
      <c r="NQL5" s="390"/>
      <c r="NQM5" s="390"/>
      <c r="NQN5" s="390"/>
      <c r="NQO5" s="390"/>
      <c r="NQP5" s="390"/>
      <c r="NQQ5" s="390"/>
      <c r="NQR5" s="390"/>
      <c r="NQS5" s="390"/>
      <c r="NQT5" s="390"/>
      <c r="NQU5" s="390"/>
      <c r="NQV5" s="390"/>
      <c r="NQW5" s="390"/>
      <c r="NQX5" s="390"/>
      <c r="NQY5" s="390"/>
      <c r="NQZ5" s="390"/>
      <c r="NRA5" s="390"/>
      <c r="NRB5" s="390"/>
      <c r="NRC5" s="390"/>
      <c r="NRD5" s="390"/>
      <c r="NRE5" s="390"/>
      <c r="NRF5" s="390"/>
      <c r="NRG5" s="390"/>
      <c r="NRH5" s="390"/>
      <c r="NRI5" s="390"/>
      <c r="NRJ5" s="390"/>
      <c r="NRK5" s="390"/>
      <c r="NRL5" s="390"/>
      <c r="NRM5" s="390"/>
      <c r="NRN5" s="390"/>
      <c r="NRO5" s="390"/>
      <c r="NRP5" s="390"/>
      <c r="NRQ5" s="390"/>
      <c r="NRR5" s="390"/>
      <c r="NRS5" s="390"/>
      <c r="NRT5" s="390"/>
      <c r="NRU5" s="390"/>
      <c r="NRV5" s="390"/>
      <c r="NRW5" s="390"/>
      <c r="NRX5" s="390"/>
      <c r="NRY5" s="390"/>
      <c r="NRZ5" s="390"/>
      <c r="NSA5" s="390"/>
      <c r="NSB5" s="390"/>
      <c r="NSC5" s="390"/>
      <c r="NSD5" s="390"/>
      <c r="NSE5" s="390"/>
      <c r="NSF5" s="390"/>
      <c r="NSG5" s="390"/>
      <c r="NSH5" s="390"/>
      <c r="NSI5" s="390"/>
      <c r="NSJ5" s="390"/>
      <c r="NSK5" s="390"/>
      <c r="NSL5" s="390"/>
      <c r="NSM5" s="390"/>
      <c r="NSN5" s="390"/>
      <c r="NSO5" s="390"/>
      <c r="NSP5" s="390"/>
      <c r="NSQ5" s="390"/>
      <c r="NSR5" s="390"/>
      <c r="NSS5" s="390"/>
      <c r="NST5" s="390"/>
      <c r="NSU5" s="390"/>
      <c r="NSV5" s="390"/>
      <c r="NSW5" s="390"/>
      <c r="NSX5" s="390"/>
      <c r="NSY5" s="390"/>
      <c r="NSZ5" s="390"/>
      <c r="NTA5" s="390"/>
      <c r="NTB5" s="390"/>
      <c r="NTC5" s="390"/>
      <c r="NTD5" s="390"/>
      <c r="NTE5" s="390"/>
      <c r="NTF5" s="390"/>
      <c r="NTG5" s="390"/>
      <c r="NTH5" s="390"/>
      <c r="NTI5" s="390"/>
      <c r="NTJ5" s="390"/>
      <c r="NTK5" s="390"/>
      <c r="NTL5" s="390"/>
      <c r="NTM5" s="390"/>
      <c r="NTN5" s="390"/>
      <c r="NTO5" s="390"/>
      <c r="NTP5" s="390"/>
      <c r="NTQ5" s="390"/>
      <c r="NTR5" s="390"/>
      <c r="NTS5" s="390"/>
      <c r="NTT5" s="390"/>
      <c r="NTU5" s="390"/>
      <c r="NTV5" s="390"/>
      <c r="NTW5" s="390"/>
      <c r="NTX5" s="390"/>
      <c r="NTY5" s="390"/>
      <c r="NTZ5" s="390"/>
      <c r="NUA5" s="390"/>
      <c r="NUB5" s="390"/>
      <c r="NUC5" s="390"/>
      <c r="NUD5" s="390"/>
      <c r="NUE5" s="390"/>
      <c r="NUF5" s="390"/>
      <c r="NUG5" s="390"/>
      <c r="NUH5" s="390"/>
      <c r="NUI5" s="390"/>
      <c r="NUJ5" s="390"/>
      <c r="NUK5" s="390"/>
      <c r="NUL5" s="390"/>
      <c r="NUM5" s="390"/>
      <c r="NUN5" s="390"/>
      <c r="NUO5" s="390"/>
      <c r="NUP5" s="390"/>
      <c r="NUQ5" s="390"/>
      <c r="NUR5" s="390"/>
      <c r="NUS5" s="390"/>
      <c r="NUT5" s="390"/>
      <c r="NUU5" s="390"/>
      <c r="NUV5" s="390"/>
      <c r="NUW5" s="390"/>
      <c r="NUX5" s="390"/>
      <c r="NUY5" s="390"/>
      <c r="NUZ5" s="390"/>
      <c r="NVA5" s="390"/>
      <c r="NVB5" s="390"/>
      <c r="NVC5" s="390"/>
      <c r="NVD5" s="390"/>
      <c r="NVE5" s="390"/>
      <c r="NVF5" s="390"/>
      <c r="NVG5" s="390"/>
      <c r="NVH5" s="390"/>
      <c r="NVI5" s="390"/>
      <c r="NVJ5" s="390"/>
      <c r="NVK5" s="390"/>
      <c r="NVL5" s="390"/>
      <c r="NVM5" s="390"/>
      <c r="NVN5" s="390"/>
      <c r="NVO5" s="390"/>
      <c r="NVP5" s="390"/>
      <c r="NVQ5" s="390"/>
      <c r="NVR5" s="390"/>
      <c r="NVS5" s="390"/>
      <c r="NVT5" s="390"/>
      <c r="NVU5" s="390"/>
      <c r="NVV5" s="390"/>
      <c r="NVW5" s="390"/>
      <c r="NVX5" s="390"/>
      <c r="NVY5" s="390"/>
      <c r="NVZ5" s="390"/>
      <c r="NWA5" s="390"/>
      <c r="NWB5" s="390"/>
      <c r="NWC5" s="390"/>
      <c r="NWD5" s="390"/>
      <c r="NWE5" s="390"/>
      <c r="NWF5" s="390"/>
      <c r="NWG5" s="390"/>
      <c r="NWH5" s="390"/>
      <c r="NWI5" s="390"/>
      <c r="NWJ5" s="390"/>
      <c r="NWK5" s="390"/>
      <c r="NWL5" s="390"/>
      <c r="NWM5" s="390"/>
      <c r="NWN5" s="390"/>
      <c r="NWO5" s="390"/>
      <c r="NWP5" s="390"/>
      <c r="NWQ5" s="390"/>
      <c r="NWR5" s="390"/>
      <c r="NWS5" s="390"/>
      <c r="NWT5" s="390"/>
      <c r="NWU5" s="390"/>
      <c r="NWV5" s="390"/>
      <c r="NWW5" s="390"/>
      <c r="NWX5" s="390"/>
      <c r="NWY5" s="390"/>
      <c r="NWZ5" s="390"/>
      <c r="NXA5" s="390"/>
      <c r="NXB5" s="390"/>
      <c r="NXC5" s="390"/>
      <c r="NXD5" s="390"/>
      <c r="NXE5" s="390"/>
      <c r="NXF5" s="390"/>
      <c r="NXG5" s="390"/>
      <c r="NXH5" s="390"/>
      <c r="NXI5" s="390"/>
      <c r="NXJ5" s="390"/>
      <c r="NXK5" s="390"/>
      <c r="NXL5" s="390"/>
      <c r="NXM5" s="390"/>
      <c r="NXN5" s="390"/>
      <c r="NXO5" s="390"/>
      <c r="NXP5" s="390"/>
      <c r="NXQ5" s="390"/>
      <c r="NXR5" s="390"/>
      <c r="NXS5" s="390"/>
      <c r="NXT5" s="390"/>
      <c r="NXU5" s="390"/>
      <c r="NXV5" s="390"/>
      <c r="NXW5" s="390"/>
      <c r="NXX5" s="390"/>
      <c r="NXY5" s="390"/>
      <c r="NXZ5" s="390"/>
      <c r="NYA5" s="390"/>
      <c r="NYB5" s="390"/>
      <c r="NYC5" s="390"/>
      <c r="NYD5" s="390"/>
      <c r="NYE5" s="390"/>
      <c r="NYF5" s="390"/>
      <c r="NYG5" s="390"/>
      <c r="NYH5" s="390"/>
      <c r="NYI5" s="390"/>
      <c r="NYJ5" s="390"/>
      <c r="NYK5" s="390"/>
      <c r="NYL5" s="390"/>
      <c r="NYM5" s="390"/>
      <c r="NYN5" s="390"/>
      <c r="NYO5" s="390"/>
      <c r="NYP5" s="390"/>
      <c r="NYQ5" s="390"/>
      <c r="NYR5" s="390"/>
      <c r="NYS5" s="390"/>
      <c r="NYT5" s="390"/>
      <c r="NYU5" s="390"/>
      <c r="NYV5" s="390"/>
      <c r="NYW5" s="390"/>
      <c r="NYX5" s="390"/>
      <c r="NYY5" s="390"/>
      <c r="NYZ5" s="390"/>
      <c r="NZA5" s="390"/>
      <c r="NZB5" s="390"/>
      <c r="NZC5" s="390"/>
      <c r="NZD5" s="390"/>
      <c r="NZE5" s="390"/>
      <c r="NZF5" s="390"/>
      <c r="NZG5" s="390"/>
      <c r="NZH5" s="390"/>
      <c r="NZI5" s="390"/>
      <c r="NZJ5" s="390"/>
      <c r="NZK5" s="390"/>
      <c r="NZL5" s="390"/>
      <c r="NZM5" s="390"/>
      <c r="NZN5" s="390"/>
      <c r="NZO5" s="390"/>
      <c r="NZP5" s="390"/>
      <c r="NZQ5" s="390"/>
      <c r="NZR5" s="390"/>
      <c r="NZS5" s="390"/>
      <c r="NZT5" s="390"/>
      <c r="NZU5" s="390"/>
      <c r="NZV5" s="390"/>
      <c r="NZW5" s="390"/>
      <c r="NZX5" s="390"/>
      <c r="NZY5" s="390"/>
      <c r="NZZ5" s="390"/>
      <c r="OAA5" s="390"/>
      <c r="OAB5" s="390"/>
      <c r="OAC5" s="390"/>
      <c r="OAD5" s="390"/>
      <c r="OAE5" s="390"/>
      <c r="OAF5" s="390"/>
      <c r="OAG5" s="390"/>
      <c r="OAH5" s="390"/>
      <c r="OAI5" s="390"/>
      <c r="OAJ5" s="390"/>
      <c r="OAK5" s="390"/>
      <c r="OAL5" s="390"/>
      <c r="OAM5" s="390"/>
      <c r="OAN5" s="390"/>
      <c r="OAO5" s="390"/>
      <c r="OAP5" s="390"/>
      <c r="OAQ5" s="390"/>
      <c r="OAR5" s="390"/>
      <c r="OAS5" s="390"/>
      <c r="OAT5" s="390"/>
      <c r="OAU5" s="390"/>
      <c r="OAV5" s="390"/>
      <c r="OAW5" s="390"/>
      <c r="OAX5" s="390"/>
      <c r="OAY5" s="390"/>
      <c r="OAZ5" s="390"/>
      <c r="OBA5" s="390"/>
      <c r="OBB5" s="390"/>
      <c r="OBC5" s="390"/>
      <c r="OBD5" s="390"/>
      <c r="OBE5" s="390"/>
      <c r="OBF5" s="390"/>
      <c r="OBG5" s="390"/>
      <c r="OBH5" s="390"/>
      <c r="OBI5" s="390"/>
      <c r="OBJ5" s="390"/>
      <c r="OBK5" s="390"/>
      <c r="OBL5" s="390"/>
      <c r="OBM5" s="390"/>
      <c r="OBN5" s="390"/>
      <c r="OBO5" s="390"/>
      <c r="OBP5" s="390"/>
      <c r="OBQ5" s="390"/>
      <c r="OBR5" s="390"/>
      <c r="OBS5" s="390"/>
      <c r="OBT5" s="390"/>
      <c r="OBU5" s="390"/>
      <c r="OBV5" s="390"/>
      <c r="OBW5" s="390"/>
      <c r="OBX5" s="390"/>
      <c r="OBY5" s="390"/>
      <c r="OBZ5" s="390"/>
      <c r="OCA5" s="390"/>
      <c r="OCB5" s="390"/>
      <c r="OCC5" s="390"/>
      <c r="OCD5" s="390"/>
      <c r="OCE5" s="390"/>
      <c r="OCF5" s="390"/>
      <c r="OCG5" s="390"/>
      <c r="OCH5" s="390"/>
      <c r="OCI5" s="390"/>
      <c r="OCJ5" s="390"/>
      <c r="OCK5" s="390"/>
      <c r="OCL5" s="390"/>
      <c r="OCM5" s="390"/>
      <c r="OCN5" s="390"/>
      <c r="OCO5" s="390"/>
      <c r="OCP5" s="390"/>
      <c r="OCQ5" s="390"/>
      <c r="OCR5" s="390"/>
      <c r="OCS5" s="390"/>
      <c r="OCT5" s="390"/>
      <c r="OCU5" s="390"/>
      <c r="OCV5" s="390"/>
      <c r="OCW5" s="390"/>
      <c r="OCX5" s="390"/>
      <c r="OCY5" s="390"/>
      <c r="OCZ5" s="390"/>
      <c r="ODA5" s="390"/>
      <c r="ODB5" s="390"/>
      <c r="ODC5" s="390"/>
      <c r="ODD5" s="390"/>
      <c r="ODE5" s="390"/>
      <c r="ODF5" s="390"/>
      <c r="ODG5" s="390"/>
      <c r="ODH5" s="390"/>
      <c r="ODI5" s="390"/>
      <c r="ODJ5" s="390"/>
      <c r="ODK5" s="390"/>
      <c r="ODL5" s="390"/>
      <c r="ODM5" s="390"/>
      <c r="ODN5" s="390"/>
      <c r="ODO5" s="390"/>
      <c r="ODP5" s="390"/>
      <c r="ODQ5" s="390"/>
      <c r="ODR5" s="390"/>
      <c r="ODS5" s="390"/>
      <c r="ODT5" s="390"/>
      <c r="ODU5" s="390"/>
      <c r="ODV5" s="390"/>
      <c r="ODW5" s="390"/>
      <c r="ODX5" s="390"/>
      <c r="ODY5" s="390"/>
      <c r="ODZ5" s="390"/>
      <c r="OEA5" s="390"/>
      <c r="OEB5" s="390"/>
      <c r="OEC5" s="390"/>
      <c r="OED5" s="390"/>
      <c r="OEE5" s="390"/>
      <c r="OEF5" s="390"/>
      <c r="OEG5" s="390"/>
      <c r="OEH5" s="390"/>
      <c r="OEI5" s="390"/>
      <c r="OEJ5" s="390"/>
      <c r="OEK5" s="390"/>
      <c r="OEL5" s="390"/>
      <c r="OEM5" s="390"/>
      <c r="OEN5" s="390"/>
      <c r="OEO5" s="390"/>
      <c r="OEP5" s="390"/>
      <c r="OEQ5" s="390"/>
      <c r="OER5" s="390"/>
      <c r="OES5" s="390"/>
      <c r="OET5" s="390"/>
      <c r="OEU5" s="390"/>
      <c r="OEV5" s="390"/>
      <c r="OEW5" s="390"/>
      <c r="OEX5" s="390"/>
      <c r="OEY5" s="390"/>
      <c r="OEZ5" s="390"/>
      <c r="OFA5" s="390"/>
      <c r="OFB5" s="390"/>
      <c r="OFC5" s="390"/>
      <c r="OFD5" s="390"/>
      <c r="OFE5" s="390"/>
      <c r="OFF5" s="390"/>
      <c r="OFG5" s="390"/>
      <c r="OFH5" s="390"/>
      <c r="OFI5" s="390"/>
      <c r="OFJ5" s="390"/>
      <c r="OFK5" s="390"/>
      <c r="OFL5" s="390"/>
      <c r="OFM5" s="390"/>
      <c r="OFN5" s="390"/>
      <c r="OFO5" s="390"/>
      <c r="OFP5" s="390"/>
      <c r="OFQ5" s="390"/>
      <c r="OFR5" s="390"/>
      <c r="OFS5" s="390"/>
      <c r="OFT5" s="390"/>
      <c r="OFU5" s="390"/>
      <c r="OFV5" s="390"/>
      <c r="OFW5" s="390"/>
      <c r="OFX5" s="390"/>
      <c r="OFY5" s="390"/>
      <c r="OFZ5" s="390"/>
      <c r="OGA5" s="390"/>
      <c r="OGB5" s="390"/>
      <c r="OGC5" s="390"/>
      <c r="OGD5" s="390"/>
      <c r="OGE5" s="390"/>
      <c r="OGF5" s="390"/>
      <c r="OGG5" s="390"/>
      <c r="OGH5" s="390"/>
      <c r="OGI5" s="390"/>
      <c r="OGJ5" s="390"/>
      <c r="OGK5" s="390"/>
      <c r="OGL5" s="390"/>
      <c r="OGM5" s="390"/>
      <c r="OGN5" s="390"/>
      <c r="OGO5" s="390"/>
      <c r="OGP5" s="390"/>
      <c r="OGQ5" s="390"/>
      <c r="OGR5" s="390"/>
      <c r="OGS5" s="390"/>
      <c r="OGT5" s="390"/>
      <c r="OGU5" s="390"/>
      <c r="OGV5" s="390"/>
      <c r="OGW5" s="390"/>
      <c r="OGX5" s="390"/>
      <c r="OGY5" s="390"/>
      <c r="OGZ5" s="390"/>
      <c r="OHA5" s="390"/>
      <c r="OHB5" s="390"/>
      <c r="OHC5" s="390"/>
      <c r="OHD5" s="390"/>
      <c r="OHE5" s="390"/>
      <c r="OHF5" s="390"/>
      <c r="OHG5" s="390"/>
      <c r="OHH5" s="390"/>
      <c r="OHI5" s="390"/>
      <c r="OHJ5" s="390"/>
      <c r="OHK5" s="390"/>
      <c r="OHL5" s="390"/>
      <c r="OHM5" s="390"/>
      <c r="OHN5" s="390"/>
      <c r="OHO5" s="390"/>
      <c r="OHP5" s="390"/>
      <c r="OHQ5" s="390"/>
      <c r="OHR5" s="390"/>
      <c r="OHS5" s="390"/>
      <c r="OHT5" s="390"/>
      <c r="OHU5" s="390"/>
      <c r="OHV5" s="390"/>
      <c r="OHW5" s="390"/>
      <c r="OHX5" s="390"/>
      <c r="OHY5" s="390"/>
      <c r="OHZ5" s="390"/>
      <c r="OIA5" s="390"/>
      <c r="OIB5" s="390"/>
      <c r="OIC5" s="390"/>
      <c r="OID5" s="390"/>
      <c r="OIE5" s="390"/>
      <c r="OIF5" s="390"/>
      <c r="OIG5" s="390"/>
      <c r="OIH5" s="390"/>
      <c r="OII5" s="390"/>
      <c r="OIJ5" s="390"/>
      <c r="OIK5" s="390"/>
      <c r="OIL5" s="390"/>
      <c r="OIM5" s="390"/>
      <c r="OIN5" s="390"/>
      <c r="OIO5" s="390"/>
      <c r="OIP5" s="390"/>
      <c r="OIQ5" s="390"/>
      <c r="OIR5" s="390"/>
      <c r="OIS5" s="390"/>
      <c r="OIT5" s="390"/>
      <c r="OIU5" s="390"/>
      <c r="OIV5" s="390"/>
      <c r="OIW5" s="390"/>
      <c r="OIX5" s="390"/>
      <c r="OIY5" s="390"/>
      <c r="OIZ5" s="390"/>
      <c r="OJA5" s="390"/>
      <c r="OJB5" s="390"/>
      <c r="OJC5" s="390"/>
      <c r="OJD5" s="390"/>
      <c r="OJE5" s="390"/>
      <c r="OJF5" s="390"/>
      <c r="OJG5" s="390"/>
      <c r="OJH5" s="390"/>
      <c r="OJI5" s="390"/>
      <c r="OJJ5" s="390"/>
      <c r="OJK5" s="390"/>
      <c r="OJL5" s="390"/>
      <c r="OJM5" s="390"/>
      <c r="OJN5" s="390"/>
      <c r="OJO5" s="390"/>
      <c r="OJP5" s="390"/>
      <c r="OJQ5" s="390"/>
      <c r="OJR5" s="390"/>
      <c r="OJS5" s="390"/>
      <c r="OJT5" s="390"/>
      <c r="OJU5" s="390"/>
      <c r="OJV5" s="390"/>
      <c r="OJW5" s="390"/>
      <c r="OJX5" s="390"/>
      <c r="OJY5" s="390"/>
      <c r="OJZ5" s="390"/>
      <c r="OKA5" s="390"/>
      <c r="OKB5" s="390"/>
      <c r="OKC5" s="390"/>
      <c r="OKD5" s="390"/>
      <c r="OKE5" s="390"/>
      <c r="OKF5" s="390"/>
      <c r="OKG5" s="390"/>
      <c r="OKH5" s="390"/>
      <c r="OKI5" s="390"/>
      <c r="OKJ5" s="390"/>
      <c r="OKK5" s="390"/>
      <c r="OKL5" s="390"/>
      <c r="OKM5" s="390"/>
      <c r="OKN5" s="390"/>
      <c r="OKO5" s="390"/>
      <c r="OKP5" s="390"/>
      <c r="OKQ5" s="390"/>
      <c r="OKR5" s="390"/>
      <c r="OKS5" s="390"/>
      <c r="OKT5" s="390"/>
      <c r="OKU5" s="390"/>
      <c r="OKV5" s="390"/>
      <c r="OKW5" s="390"/>
      <c r="OKX5" s="390"/>
      <c r="OKY5" s="390"/>
      <c r="OKZ5" s="390"/>
      <c r="OLA5" s="390"/>
      <c r="OLB5" s="390"/>
      <c r="OLC5" s="390"/>
      <c r="OLD5" s="390"/>
      <c r="OLE5" s="390"/>
      <c r="OLF5" s="390"/>
      <c r="OLG5" s="390"/>
      <c r="OLH5" s="390"/>
      <c r="OLI5" s="390"/>
      <c r="OLJ5" s="390"/>
      <c r="OLK5" s="390"/>
      <c r="OLL5" s="390"/>
      <c r="OLM5" s="390"/>
      <c r="OLN5" s="390"/>
      <c r="OLO5" s="390"/>
      <c r="OLP5" s="390"/>
      <c r="OLQ5" s="390"/>
      <c r="OLR5" s="390"/>
      <c r="OLS5" s="390"/>
      <c r="OLT5" s="390"/>
      <c r="OLU5" s="390"/>
      <c r="OLV5" s="390"/>
      <c r="OLW5" s="390"/>
      <c r="OLX5" s="390"/>
      <c r="OLY5" s="390"/>
      <c r="OLZ5" s="390"/>
      <c r="OMA5" s="390"/>
      <c r="OMB5" s="390"/>
      <c r="OMC5" s="390"/>
      <c r="OMD5" s="390"/>
      <c r="OME5" s="390"/>
      <c r="OMF5" s="390"/>
      <c r="OMG5" s="390"/>
      <c r="OMH5" s="390"/>
      <c r="OMI5" s="390"/>
      <c r="OMJ5" s="390"/>
      <c r="OMK5" s="390"/>
      <c r="OML5" s="390"/>
      <c r="OMM5" s="390"/>
      <c r="OMN5" s="390"/>
      <c r="OMO5" s="390"/>
      <c r="OMP5" s="390"/>
      <c r="OMQ5" s="390"/>
      <c r="OMR5" s="390"/>
      <c r="OMS5" s="390"/>
      <c r="OMT5" s="390"/>
      <c r="OMU5" s="390"/>
      <c r="OMV5" s="390"/>
      <c r="OMW5" s="390"/>
      <c r="OMX5" s="390"/>
      <c r="OMY5" s="390"/>
      <c r="OMZ5" s="390"/>
      <c r="ONA5" s="390"/>
      <c r="ONB5" s="390"/>
      <c r="ONC5" s="390"/>
      <c r="OND5" s="390"/>
      <c r="ONE5" s="390"/>
      <c r="ONF5" s="390"/>
      <c r="ONG5" s="390"/>
      <c r="ONH5" s="390"/>
      <c r="ONI5" s="390"/>
      <c r="ONJ5" s="390"/>
      <c r="ONK5" s="390"/>
      <c r="ONL5" s="390"/>
      <c r="ONM5" s="390"/>
      <c r="ONN5" s="390"/>
      <c r="ONO5" s="390"/>
      <c r="ONP5" s="390"/>
      <c r="ONQ5" s="390"/>
      <c r="ONR5" s="390"/>
      <c r="ONS5" s="390"/>
      <c r="ONT5" s="390"/>
      <c r="ONU5" s="390"/>
      <c r="ONV5" s="390"/>
      <c r="ONW5" s="390"/>
      <c r="ONX5" s="390"/>
      <c r="ONY5" s="390"/>
      <c r="ONZ5" s="390"/>
      <c r="OOA5" s="390"/>
      <c r="OOB5" s="390"/>
      <c r="OOC5" s="390"/>
      <c r="OOD5" s="390"/>
      <c r="OOE5" s="390"/>
      <c r="OOF5" s="390"/>
      <c r="OOG5" s="390"/>
      <c r="OOH5" s="390"/>
      <c r="OOI5" s="390"/>
      <c r="OOJ5" s="390"/>
      <c r="OOK5" s="390"/>
      <c r="OOL5" s="390"/>
      <c r="OOM5" s="390"/>
      <c r="OON5" s="390"/>
      <c r="OOO5" s="390"/>
      <c r="OOP5" s="390"/>
      <c r="OOQ5" s="390"/>
      <c r="OOR5" s="390"/>
      <c r="OOS5" s="390"/>
      <c r="OOT5" s="390"/>
      <c r="OOU5" s="390"/>
      <c r="OOV5" s="390"/>
      <c r="OOW5" s="390"/>
      <c r="OOX5" s="390"/>
      <c r="OOY5" s="390"/>
      <c r="OOZ5" s="390"/>
      <c r="OPA5" s="390"/>
      <c r="OPB5" s="390"/>
      <c r="OPC5" s="390"/>
      <c r="OPD5" s="390"/>
      <c r="OPE5" s="390"/>
      <c r="OPF5" s="390"/>
      <c r="OPG5" s="390"/>
      <c r="OPH5" s="390"/>
      <c r="OPI5" s="390"/>
      <c r="OPJ5" s="390"/>
      <c r="OPK5" s="390"/>
      <c r="OPL5" s="390"/>
      <c r="OPM5" s="390"/>
      <c r="OPN5" s="390"/>
      <c r="OPO5" s="390"/>
      <c r="OPP5" s="390"/>
      <c r="OPQ5" s="390"/>
      <c r="OPR5" s="390"/>
      <c r="OPS5" s="390"/>
      <c r="OPT5" s="390"/>
      <c r="OPU5" s="390"/>
      <c r="OPV5" s="390"/>
      <c r="OPW5" s="390"/>
      <c r="OPX5" s="390"/>
      <c r="OPY5" s="390"/>
      <c r="OPZ5" s="390"/>
      <c r="OQA5" s="390"/>
      <c r="OQB5" s="390"/>
      <c r="OQC5" s="390"/>
      <c r="OQD5" s="390"/>
      <c r="OQE5" s="390"/>
      <c r="OQF5" s="390"/>
      <c r="OQG5" s="390"/>
      <c r="OQH5" s="390"/>
      <c r="OQI5" s="390"/>
      <c r="OQJ5" s="390"/>
      <c r="OQK5" s="390"/>
      <c r="OQL5" s="390"/>
      <c r="OQM5" s="390"/>
      <c r="OQN5" s="390"/>
      <c r="OQO5" s="390"/>
      <c r="OQP5" s="390"/>
      <c r="OQQ5" s="390"/>
      <c r="OQR5" s="390"/>
      <c r="OQS5" s="390"/>
      <c r="OQT5" s="390"/>
      <c r="OQU5" s="390"/>
      <c r="OQV5" s="390"/>
      <c r="OQW5" s="390"/>
      <c r="OQX5" s="390"/>
      <c r="OQY5" s="390"/>
      <c r="OQZ5" s="390"/>
      <c r="ORA5" s="390"/>
      <c r="ORB5" s="390"/>
      <c r="ORC5" s="390"/>
      <c r="ORD5" s="390"/>
      <c r="ORE5" s="390"/>
      <c r="ORF5" s="390"/>
      <c r="ORG5" s="390"/>
      <c r="ORH5" s="390"/>
      <c r="ORI5" s="390"/>
      <c r="ORJ5" s="390"/>
      <c r="ORK5" s="390"/>
      <c r="ORL5" s="390"/>
      <c r="ORM5" s="390"/>
      <c r="ORN5" s="390"/>
      <c r="ORO5" s="390"/>
      <c r="ORP5" s="390"/>
      <c r="ORQ5" s="390"/>
      <c r="ORR5" s="390"/>
      <c r="ORS5" s="390"/>
      <c r="ORT5" s="390"/>
      <c r="ORU5" s="390"/>
      <c r="ORV5" s="390"/>
      <c r="ORW5" s="390"/>
      <c r="ORX5" s="390"/>
      <c r="ORY5" s="390"/>
      <c r="ORZ5" s="390"/>
      <c r="OSA5" s="390"/>
      <c r="OSB5" s="390"/>
      <c r="OSC5" s="390"/>
      <c r="OSD5" s="390"/>
      <c r="OSE5" s="390"/>
      <c r="OSF5" s="390"/>
      <c r="OSG5" s="390"/>
      <c r="OSH5" s="390"/>
      <c r="OSI5" s="390"/>
      <c r="OSJ5" s="390"/>
      <c r="OSK5" s="390"/>
      <c r="OSL5" s="390"/>
      <c r="OSM5" s="390"/>
      <c r="OSN5" s="390"/>
      <c r="OSO5" s="390"/>
      <c r="OSP5" s="390"/>
      <c r="OSQ5" s="390"/>
      <c r="OSR5" s="390"/>
      <c r="OSS5" s="390"/>
      <c r="OST5" s="390"/>
      <c r="OSU5" s="390"/>
      <c r="OSV5" s="390"/>
      <c r="OSW5" s="390"/>
      <c r="OSX5" s="390"/>
      <c r="OSY5" s="390"/>
      <c r="OSZ5" s="390"/>
      <c r="OTA5" s="390"/>
      <c r="OTB5" s="390"/>
      <c r="OTC5" s="390"/>
      <c r="OTD5" s="390"/>
      <c r="OTE5" s="390"/>
      <c r="OTF5" s="390"/>
      <c r="OTG5" s="390"/>
      <c r="OTH5" s="390"/>
      <c r="OTI5" s="390"/>
      <c r="OTJ5" s="390"/>
      <c r="OTK5" s="390"/>
      <c r="OTL5" s="390"/>
      <c r="OTM5" s="390"/>
      <c r="OTN5" s="390"/>
      <c r="OTO5" s="390"/>
      <c r="OTP5" s="390"/>
      <c r="OTQ5" s="390"/>
      <c r="OTR5" s="390"/>
      <c r="OTS5" s="390"/>
      <c r="OTT5" s="390"/>
      <c r="OTU5" s="390"/>
      <c r="OTV5" s="390"/>
      <c r="OTW5" s="390"/>
      <c r="OTX5" s="390"/>
      <c r="OTY5" s="390"/>
      <c r="OTZ5" s="390"/>
      <c r="OUA5" s="390"/>
      <c r="OUB5" s="390"/>
      <c r="OUC5" s="390"/>
      <c r="OUD5" s="390"/>
      <c r="OUE5" s="390"/>
      <c r="OUF5" s="390"/>
      <c r="OUG5" s="390"/>
      <c r="OUH5" s="390"/>
      <c r="OUI5" s="390"/>
      <c r="OUJ5" s="390"/>
      <c r="OUK5" s="390"/>
      <c r="OUL5" s="390"/>
      <c r="OUM5" s="390"/>
      <c r="OUN5" s="390"/>
      <c r="OUO5" s="390"/>
      <c r="OUP5" s="390"/>
      <c r="OUQ5" s="390"/>
      <c r="OUR5" s="390"/>
      <c r="OUS5" s="390"/>
      <c r="OUT5" s="390"/>
      <c r="OUU5" s="390"/>
      <c r="OUV5" s="390"/>
      <c r="OUW5" s="390"/>
      <c r="OUX5" s="390"/>
      <c r="OUY5" s="390"/>
      <c r="OUZ5" s="390"/>
      <c r="OVA5" s="390"/>
      <c r="OVB5" s="390"/>
      <c r="OVC5" s="390"/>
      <c r="OVD5" s="390"/>
      <c r="OVE5" s="390"/>
      <c r="OVF5" s="390"/>
      <c r="OVG5" s="390"/>
      <c r="OVH5" s="390"/>
      <c r="OVI5" s="390"/>
      <c r="OVJ5" s="390"/>
      <c r="OVK5" s="390"/>
      <c r="OVL5" s="390"/>
      <c r="OVM5" s="390"/>
      <c r="OVN5" s="390"/>
      <c r="OVO5" s="390"/>
      <c r="OVP5" s="390"/>
      <c r="OVQ5" s="390"/>
      <c r="OVR5" s="390"/>
      <c r="OVS5" s="390"/>
      <c r="OVT5" s="390"/>
      <c r="OVU5" s="390"/>
      <c r="OVV5" s="390"/>
      <c r="OVW5" s="390"/>
      <c r="OVX5" s="390"/>
      <c r="OVY5" s="390"/>
      <c r="OVZ5" s="390"/>
      <c r="OWA5" s="390"/>
      <c r="OWB5" s="390"/>
      <c r="OWC5" s="390"/>
      <c r="OWD5" s="390"/>
      <c r="OWE5" s="390"/>
      <c r="OWF5" s="390"/>
      <c r="OWG5" s="390"/>
      <c r="OWH5" s="390"/>
      <c r="OWI5" s="390"/>
      <c r="OWJ5" s="390"/>
      <c r="OWK5" s="390"/>
      <c r="OWL5" s="390"/>
      <c r="OWM5" s="390"/>
      <c r="OWN5" s="390"/>
      <c r="OWO5" s="390"/>
      <c r="OWP5" s="390"/>
      <c r="OWQ5" s="390"/>
      <c r="OWR5" s="390"/>
      <c r="OWS5" s="390"/>
      <c r="OWT5" s="390"/>
      <c r="OWU5" s="390"/>
      <c r="OWV5" s="390"/>
      <c r="OWW5" s="390"/>
      <c r="OWX5" s="390"/>
      <c r="OWY5" s="390"/>
      <c r="OWZ5" s="390"/>
      <c r="OXA5" s="390"/>
      <c r="OXB5" s="390"/>
      <c r="OXC5" s="390"/>
      <c r="OXD5" s="390"/>
      <c r="OXE5" s="390"/>
      <c r="OXF5" s="390"/>
      <c r="OXG5" s="390"/>
      <c r="OXH5" s="390"/>
      <c r="OXI5" s="390"/>
      <c r="OXJ5" s="390"/>
      <c r="OXK5" s="390"/>
      <c r="OXL5" s="390"/>
      <c r="OXM5" s="390"/>
      <c r="OXN5" s="390"/>
      <c r="OXO5" s="390"/>
      <c r="OXP5" s="390"/>
      <c r="OXQ5" s="390"/>
      <c r="OXR5" s="390"/>
      <c r="OXS5" s="390"/>
      <c r="OXT5" s="390"/>
      <c r="OXU5" s="390"/>
      <c r="OXV5" s="390"/>
      <c r="OXW5" s="390"/>
      <c r="OXX5" s="390"/>
      <c r="OXY5" s="390"/>
      <c r="OXZ5" s="390"/>
      <c r="OYA5" s="390"/>
      <c r="OYB5" s="390"/>
      <c r="OYC5" s="390"/>
      <c r="OYD5" s="390"/>
      <c r="OYE5" s="390"/>
      <c r="OYF5" s="390"/>
      <c r="OYG5" s="390"/>
      <c r="OYH5" s="390"/>
      <c r="OYI5" s="390"/>
      <c r="OYJ5" s="390"/>
      <c r="OYK5" s="390"/>
      <c r="OYL5" s="390"/>
      <c r="OYM5" s="390"/>
      <c r="OYN5" s="390"/>
      <c r="OYO5" s="390"/>
      <c r="OYP5" s="390"/>
      <c r="OYQ5" s="390"/>
      <c r="OYR5" s="390"/>
      <c r="OYS5" s="390"/>
      <c r="OYT5" s="390"/>
      <c r="OYU5" s="390"/>
      <c r="OYV5" s="390"/>
      <c r="OYW5" s="390"/>
      <c r="OYX5" s="390"/>
      <c r="OYY5" s="390"/>
      <c r="OYZ5" s="390"/>
      <c r="OZA5" s="390"/>
      <c r="OZB5" s="390"/>
      <c r="OZC5" s="390"/>
      <c r="OZD5" s="390"/>
      <c r="OZE5" s="390"/>
      <c r="OZF5" s="390"/>
      <c r="OZG5" s="390"/>
      <c r="OZH5" s="390"/>
      <c r="OZI5" s="390"/>
      <c r="OZJ5" s="390"/>
      <c r="OZK5" s="390"/>
      <c r="OZL5" s="390"/>
      <c r="OZM5" s="390"/>
      <c r="OZN5" s="390"/>
      <c r="OZO5" s="390"/>
      <c r="OZP5" s="390"/>
      <c r="OZQ5" s="390"/>
      <c r="OZR5" s="390"/>
      <c r="OZS5" s="390"/>
      <c r="OZT5" s="390"/>
      <c r="OZU5" s="390"/>
      <c r="OZV5" s="390"/>
      <c r="OZW5" s="390"/>
      <c r="OZX5" s="390"/>
      <c r="OZY5" s="390"/>
      <c r="OZZ5" s="390"/>
      <c r="PAA5" s="390"/>
      <c r="PAB5" s="390"/>
      <c r="PAC5" s="390"/>
      <c r="PAD5" s="390"/>
      <c r="PAE5" s="390"/>
      <c r="PAF5" s="390"/>
      <c r="PAG5" s="390"/>
      <c r="PAH5" s="390"/>
      <c r="PAI5" s="390"/>
      <c r="PAJ5" s="390"/>
      <c r="PAK5" s="390"/>
      <c r="PAL5" s="390"/>
      <c r="PAM5" s="390"/>
      <c r="PAN5" s="390"/>
      <c r="PAO5" s="390"/>
      <c r="PAP5" s="390"/>
      <c r="PAQ5" s="390"/>
      <c r="PAR5" s="390"/>
      <c r="PAS5" s="390"/>
      <c r="PAT5" s="390"/>
      <c r="PAU5" s="390"/>
      <c r="PAV5" s="390"/>
      <c r="PAW5" s="390"/>
      <c r="PAX5" s="390"/>
      <c r="PAY5" s="390"/>
      <c r="PAZ5" s="390"/>
      <c r="PBA5" s="390"/>
      <c r="PBB5" s="390"/>
      <c r="PBC5" s="390"/>
      <c r="PBD5" s="390"/>
      <c r="PBE5" s="390"/>
      <c r="PBF5" s="390"/>
      <c r="PBG5" s="390"/>
      <c r="PBH5" s="390"/>
      <c r="PBI5" s="390"/>
      <c r="PBJ5" s="390"/>
      <c r="PBK5" s="390"/>
      <c r="PBL5" s="390"/>
      <c r="PBM5" s="390"/>
      <c r="PBN5" s="390"/>
      <c r="PBO5" s="390"/>
      <c r="PBP5" s="390"/>
      <c r="PBQ5" s="390"/>
      <c r="PBR5" s="390"/>
      <c r="PBS5" s="390"/>
      <c r="PBT5" s="390"/>
      <c r="PBU5" s="390"/>
      <c r="PBV5" s="390"/>
      <c r="PBW5" s="390"/>
      <c r="PBX5" s="390"/>
      <c r="PBY5" s="390"/>
      <c r="PBZ5" s="390"/>
      <c r="PCA5" s="390"/>
      <c r="PCB5" s="390"/>
      <c r="PCC5" s="390"/>
      <c r="PCD5" s="390"/>
      <c r="PCE5" s="390"/>
      <c r="PCF5" s="390"/>
      <c r="PCG5" s="390"/>
      <c r="PCH5" s="390"/>
      <c r="PCI5" s="390"/>
      <c r="PCJ5" s="390"/>
      <c r="PCK5" s="390"/>
      <c r="PCL5" s="390"/>
      <c r="PCM5" s="390"/>
      <c r="PCN5" s="390"/>
      <c r="PCO5" s="390"/>
      <c r="PCP5" s="390"/>
      <c r="PCQ5" s="390"/>
      <c r="PCR5" s="390"/>
      <c r="PCS5" s="390"/>
      <c r="PCT5" s="390"/>
      <c r="PCU5" s="390"/>
      <c r="PCV5" s="390"/>
      <c r="PCW5" s="390"/>
      <c r="PCX5" s="390"/>
      <c r="PCY5" s="390"/>
      <c r="PCZ5" s="390"/>
      <c r="PDA5" s="390"/>
      <c r="PDB5" s="390"/>
      <c r="PDC5" s="390"/>
      <c r="PDD5" s="390"/>
      <c r="PDE5" s="390"/>
      <c r="PDF5" s="390"/>
      <c r="PDG5" s="390"/>
      <c r="PDH5" s="390"/>
      <c r="PDI5" s="390"/>
      <c r="PDJ5" s="390"/>
      <c r="PDK5" s="390"/>
      <c r="PDL5" s="390"/>
      <c r="PDM5" s="390"/>
      <c r="PDN5" s="390"/>
      <c r="PDO5" s="390"/>
      <c r="PDP5" s="390"/>
      <c r="PDQ5" s="390"/>
      <c r="PDR5" s="390"/>
      <c r="PDS5" s="390"/>
      <c r="PDT5" s="390"/>
      <c r="PDU5" s="390"/>
      <c r="PDV5" s="390"/>
      <c r="PDW5" s="390"/>
      <c r="PDX5" s="390"/>
      <c r="PDY5" s="390"/>
      <c r="PDZ5" s="390"/>
      <c r="PEA5" s="390"/>
      <c r="PEB5" s="390"/>
      <c r="PEC5" s="390"/>
      <c r="PED5" s="390"/>
      <c r="PEE5" s="390"/>
      <c r="PEF5" s="390"/>
      <c r="PEG5" s="390"/>
      <c r="PEH5" s="390"/>
      <c r="PEI5" s="390"/>
      <c r="PEJ5" s="390"/>
      <c r="PEK5" s="390"/>
      <c r="PEL5" s="390"/>
      <c r="PEM5" s="390"/>
      <c r="PEN5" s="390"/>
      <c r="PEO5" s="390"/>
      <c r="PEP5" s="390"/>
      <c r="PEQ5" s="390"/>
      <c r="PER5" s="390"/>
      <c r="PES5" s="390"/>
      <c r="PET5" s="390"/>
      <c r="PEU5" s="390"/>
      <c r="PEV5" s="390"/>
      <c r="PEW5" s="390"/>
      <c r="PEX5" s="390"/>
      <c r="PEY5" s="390"/>
      <c r="PEZ5" s="390"/>
      <c r="PFA5" s="390"/>
      <c r="PFB5" s="390"/>
      <c r="PFC5" s="390"/>
      <c r="PFD5" s="390"/>
      <c r="PFE5" s="390"/>
      <c r="PFF5" s="390"/>
      <c r="PFG5" s="390"/>
      <c r="PFH5" s="390"/>
      <c r="PFI5" s="390"/>
      <c r="PFJ5" s="390"/>
      <c r="PFK5" s="390"/>
      <c r="PFL5" s="390"/>
      <c r="PFM5" s="390"/>
      <c r="PFN5" s="390"/>
      <c r="PFO5" s="390"/>
      <c r="PFP5" s="390"/>
      <c r="PFQ5" s="390"/>
      <c r="PFR5" s="390"/>
      <c r="PFS5" s="390"/>
      <c r="PFT5" s="390"/>
      <c r="PFU5" s="390"/>
      <c r="PFV5" s="390"/>
      <c r="PFW5" s="390"/>
      <c r="PFX5" s="390"/>
      <c r="PFY5" s="390"/>
      <c r="PFZ5" s="390"/>
      <c r="PGA5" s="390"/>
      <c r="PGB5" s="390"/>
      <c r="PGC5" s="390"/>
      <c r="PGD5" s="390"/>
      <c r="PGE5" s="390"/>
      <c r="PGF5" s="390"/>
      <c r="PGG5" s="390"/>
      <c r="PGH5" s="390"/>
      <c r="PGI5" s="390"/>
      <c r="PGJ5" s="390"/>
      <c r="PGK5" s="390"/>
      <c r="PGL5" s="390"/>
      <c r="PGM5" s="390"/>
      <c r="PGN5" s="390"/>
      <c r="PGO5" s="390"/>
      <c r="PGP5" s="390"/>
      <c r="PGQ5" s="390"/>
      <c r="PGR5" s="390"/>
      <c r="PGS5" s="390"/>
      <c r="PGT5" s="390"/>
      <c r="PGU5" s="390"/>
      <c r="PGV5" s="390"/>
      <c r="PGW5" s="390"/>
      <c r="PGX5" s="390"/>
      <c r="PGY5" s="390"/>
      <c r="PGZ5" s="390"/>
      <c r="PHA5" s="390"/>
      <c r="PHB5" s="390"/>
      <c r="PHC5" s="390"/>
      <c r="PHD5" s="390"/>
      <c r="PHE5" s="390"/>
      <c r="PHF5" s="390"/>
      <c r="PHG5" s="390"/>
      <c r="PHH5" s="390"/>
      <c r="PHI5" s="390"/>
      <c r="PHJ5" s="390"/>
      <c r="PHK5" s="390"/>
      <c r="PHL5" s="390"/>
      <c r="PHM5" s="390"/>
      <c r="PHN5" s="390"/>
      <c r="PHO5" s="390"/>
      <c r="PHP5" s="390"/>
      <c r="PHQ5" s="390"/>
      <c r="PHR5" s="390"/>
      <c r="PHS5" s="390"/>
      <c r="PHT5" s="390"/>
      <c r="PHU5" s="390"/>
      <c r="PHV5" s="390"/>
      <c r="PHW5" s="390"/>
      <c r="PHX5" s="390"/>
      <c r="PHY5" s="390"/>
      <c r="PHZ5" s="390"/>
      <c r="PIA5" s="390"/>
      <c r="PIB5" s="390"/>
      <c r="PIC5" s="390"/>
      <c r="PID5" s="390"/>
      <c r="PIE5" s="390"/>
      <c r="PIF5" s="390"/>
      <c r="PIG5" s="390"/>
      <c r="PIH5" s="390"/>
      <c r="PII5" s="390"/>
      <c r="PIJ5" s="390"/>
      <c r="PIK5" s="390"/>
      <c r="PIL5" s="390"/>
      <c r="PIM5" s="390"/>
      <c r="PIN5" s="390"/>
      <c r="PIO5" s="390"/>
      <c r="PIP5" s="390"/>
      <c r="PIQ5" s="390"/>
      <c r="PIR5" s="390"/>
      <c r="PIS5" s="390"/>
      <c r="PIT5" s="390"/>
      <c r="PIU5" s="390"/>
      <c r="PIV5" s="390"/>
      <c r="PIW5" s="390"/>
      <c r="PIX5" s="390"/>
      <c r="PIY5" s="390"/>
      <c r="PIZ5" s="390"/>
      <c r="PJA5" s="390"/>
      <c r="PJB5" s="390"/>
      <c r="PJC5" s="390"/>
      <c r="PJD5" s="390"/>
      <c r="PJE5" s="390"/>
      <c r="PJF5" s="390"/>
      <c r="PJG5" s="390"/>
      <c r="PJH5" s="390"/>
      <c r="PJI5" s="390"/>
      <c r="PJJ5" s="390"/>
      <c r="PJK5" s="390"/>
      <c r="PJL5" s="390"/>
      <c r="PJM5" s="390"/>
      <c r="PJN5" s="390"/>
      <c r="PJO5" s="390"/>
      <c r="PJP5" s="390"/>
      <c r="PJQ5" s="390"/>
      <c r="PJR5" s="390"/>
      <c r="PJS5" s="390"/>
      <c r="PJT5" s="390"/>
      <c r="PJU5" s="390"/>
      <c r="PJV5" s="390"/>
      <c r="PJW5" s="390"/>
      <c r="PJX5" s="390"/>
      <c r="PJY5" s="390"/>
      <c r="PJZ5" s="390"/>
      <c r="PKA5" s="390"/>
      <c r="PKB5" s="390"/>
      <c r="PKC5" s="390"/>
      <c r="PKD5" s="390"/>
      <c r="PKE5" s="390"/>
      <c r="PKF5" s="390"/>
      <c r="PKG5" s="390"/>
      <c r="PKH5" s="390"/>
      <c r="PKI5" s="390"/>
      <c r="PKJ5" s="390"/>
      <c r="PKK5" s="390"/>
      <c r="PKL5" s="390"/>
      <c r="PKM5" s="390"/>
      <c r="PKN5" s="390"/>
      <c r="PKO5" s="390"/>
      <c r="PKP5" s="390"/>
      <c r="PKQ5" s="390"/>
      <c r="PKR5" s="390"/>
      <c r="PKS5" s="390"/>
      <c r="PKT5" s="390"/>
      <c r="PKU5" s="390"/>
      <c r="PKV5" s="390"/>
      <c r="PKW5" s="390"/>
      <c r="PKX5" s="390"/>
      <c r="PKY5" s="390"/>
      <c r="PKZ5" s="390"/>
      <c r="PLA5" s="390"/>
      <c r="PLB5" s="390"/>
      <c r="PLC5" s="390"/>
      <c r="PLD5" s="390"/>
      <c r="PLE5" s="390"/>
      <c r="PLF5" s="390"/>
      <c r="PLG5" s="390"/>
      <c r="PLH5" s="390"/>
      <c r="PLI5" s="390"/>
      <c r="PLJ5" s="390"/>
      <c r="PLK5" s="390"/>
      <c r="PLL5" s="390"/>
      <c r="PLM5" s="390"/>
      <c r="PLN5" s="390"/>
      <c r="PLO5" s="390"/>
      <c r="PLP5" s="390"/>
      <c r="PLQ5" s="390"/>
      <c r="PLR5" s="390"/>
      <c r="PLS5" s="390"/>
      <c r="PLT5" s="390"/>
      <c r="PLU5" s="390"/>
      <c r="PLV5" s="390"/>
      <c r="PLW5" s="390"/>
      <c r="PLX5" s="390"/>
      <c r="PLY5" s="390"/>
      <c r="PLZ5" s="390"/>
      <c r="PMA5" s="390"/>
      <c r="PMB5" s="390"/>
      <c r="PMC5" s="390"/>
      <c r="PMD5" s="390"/>
      <c r="PME5" s="390"/>
      <c r="PMF5" s="390"/>
      <c r="PMG5" s="390"/>
      <c r="PMH5" s="390"/>
      <c r="PMI5" s="390"/>
      <c r="PMJ5" s="390"/>
      <c r="PMK5" s="390"/>
      <c r="PML5" s="390"/>
      <c r="PMM5" s="390"/>
      <c r="PMN5" s="390"/>
      <c r="PMO5" s="390"/>
      <c r="PMP5" s="390"/>
      <c r="PMQ5" s="390"/>
      <c r="PMR5" s="390"/>
      <c r="PMS5" s="390"/>
      <c r="PMT5" s="390"/>
      <c r="PMU5" s="390"/>
      <c r="PMV5" s="390"/>
      <c r="PMW5" s="390"/>
      <c r="PMX5" s="390"/>
      <c r="PMY5" s="390"/>
      <c r="PMZ5" s="390"/>
      <c r="PNA5" s="390"/>
      <c r="PNB5" s="390"/>
      <c r="PNC5" s="390"/>
      <c r="PND5" s="390"/>
      <c r="PNE5" s="390"/>
      <c r="PNF5" s="390"/>
      <c r="PNG5" s="390"/>
      <c r="PNH5" s="390"/>
      <c r="PNI5" s="390"/>
      <c r="PNJ5" s="390"/>
      <c r="PNK5" s="390"/>
      <c r="PNL5" s="390"/>
      <c r="PNM5" s="390"/>
      <c r="PNN5" s="390"/>
      <c r="PNO5" s="390"/>
      <c r="PNP5" s="390"/>
      <c r="PNQ5" s="390"/>
      <c r="PNR5" s="390"/>
      <c r="PNS5" s="390"/>
      <c r="PNT5" s="390"/>
      <c r="PNU5" s="390"/>
      <c r="PNV5" s="390"/>
      <c r="PNW5" s="390"/>
      <c r="PNX5" s="390"/>
      <c r="PNY5" s="390"/>
      <c r="PNZ5" s="390"/>
      <c r="POA5" s="390"/>
      <c r="POB5" s="390"/>
      <c r="POC5" s="390"/>
      <c r="POD5" s="390"/>
      <c r="POE5" s="390"/>
      <c r="POF5" s="390"/>
      <c r="POG5" s="390"/>
      <c r="POH5" s="390"/>
      <c r="POI5" s="390"/>
      <c r="POJ5" s="390"/>
      <c r="POK5" s="390"/>
      <c r="POL5" s="390"/>
      <c r="POM5" s="390"/>
      <c r="PON5" s="390"/>
      <c r="POO5" s="390"/>
      <c r="POP5" s="390"/>
      <c r="POQ5" s="390"/>
      <c r="POR5" s="390"/>
      <c r="POS5" s="390"/>
      <c r="POT5" s="390"/>
      <c r="POU5" s="390"/>
      <c r="POV5" s="390"/>
      <c r="POW5" s="390"/>
      <c r="POX5" s="390"/>
      <c r="POY5" s="390"/>
      <c r="POZ5" s="390"/>
      <c r="PPA5" s="390"/>
      <c r="PPB5" s="390"/>
      <c r="PPC5" s="390"/>
      <c r="PPD5" s="390"/>
      <c r="PPE5" s="390"/>
      <c r="PPF5" s="390"/>
      <c r="PPG5" s="390"/>
      <c r="PPH5" s="390"/>
      <c r="PPI5" s="390"/>
      <c r="PPJ5" s="390"/>
      <c r="PPK5" s="390"/>
      <c r="PPL5" s="390"/>
      <c r="PPM5" s="390"/>
      <c r="PPN5" s="390"/>
      <c r="PPO5" s="390"/>
      <c r="PPP5" s="390"/>
      <c r="PPQ5" s="390"/>
      <c r="PPR5" s="390"/>
      <c r="PPS5" s="390"/>
      <c r="PPT5" s="390"/>
      <c r="PPU5" s="390"/>
      <c r="PPV5" s="390"/>
      <c r="PPW5" s="390"/>
      <c r="PPX5" s="390"/>
      <c r="PPY5" s="390"/>
      <c r="PPZ5" s="390"/>
      <c r="PQA5" s="390"/>
      <c r="PQB5" s="390"/>
      <c r="PQC5" s="390"/>
      <c r="PQD5" s="390"/>
      <c r="PQE5" s="390"/>
      <c r="PQF5" s="390"/>
      <c r="PQG5" s="390"/>
      <c r="PQH5" s="390"/>
      <c r="PQI5" s="390"/>
      <c r="PQJ5" s="390"/>
      <c r="PQK5" s="390"/>
      <c r="PQL5" s="390"/>
      <c r="PQM5" s="390"/>
      <c r="PQN5" s="390"/>
      <c r="PQO5" s="390"/>
      <c r="PQP5" s="390"/>
      <c r="PQQ5" s="390"/>
      <c r="PQR5" s="390"/>
      <c r="PQS5" s="390"/>
      <c r="PQT5" s="390"/>
      <c r="PQU5" s="390"/>
      <c r="PQV5" s="390"/>
      <c r="PQW5" s="390"/>
      <c r="PQX5" s="390"/>
      <c r="PQY5" s="390"/>
      <c r="PQZ5" s="390"/>
      <c r="PRA5" s="390"/>
      <c r="PRB5" s="390"/>
      <c r="PRC5" s="390"/>
      <c r="PRD5" s="390"/>
      <c r="PRE5" s="390"/>
      <c r="PRF5" s="390"/>
      <c r="PRG5" s="390"/>
      <c r="PRH5" s="390"/>
      <c r="PRI5" s="390"/>
      <c r="PRJ5" s="390"/>
      <c r="PRK5" s="390"/>
      <c r="PRL5" s="390"/>
      <c r="PRM5" s="390"/>
      <c r="PRN5" s="390"/>
      <c r="PRO5" s="390"/>
      <c r="PRP5" s="390"/>
      <c r="PRQ5" s="390"/>
      <c r="PRR5" s="390"/>
      <c r="PRS5" s="390"/>
      <c r="PRT5" s="390"/>
      <c r="PRU5" s="390"/>
      <c r="PRV5" s="390"/>
      <c r="PRW5" s="390"/>
      <c r="PRX5" s="390"/>
      <c r="PRY5" s="390"/>
      <c r="PRZ5" s="390"/>
      <c r="PSA5" s="390"/>
      <c r="PSB5" s="390"/>
      <c r="PSC5" s="390"/>
      <c r="PSD5" s="390"/>
      <c r="PSE5" s="390"/>
      <c r="PSF5" s="390"/>
      <c r="PSG5" s="390"/>
      <c r="PSH5" s="390"/>
      <c r="PSI5" s="390"/>
      <c r="PSJ5" s="390"/>
      <c r="PSK5" s="390"/>
      <c r="PSL5" s="390"/>
      <c r="PSM5" s="390"/>
      <c r="PSN5" s="390"/>
      <c r="PSO5" s="390"/>
      <c r="PSP5" s="390"/>
      <c r="PSQ5" s="390"/>
      <c r="PSR5" s="390"/>
      <c r="PSS5" s="390"/>
      <c r="PST5" s="390"/>
      <c r="PSU5" s="390"/>
      <c r="PSV5" s="390"/>
      <c r="PSW5" s="390"/>
      <c r="PSX5" s="390"/>
      <c r="PSY5" s="390"/>
      <c r="PSZ5" s="390"/>
      <c r="PTA5" s="390"/>
      <c r="PTB5" s="390"/>
      <c r="PTC5" s="390"/>
      <c r="PTD5" s="390"/>
      <c r="PTE5" s="390"/>
      <c r="PTF5" s="390"/>
      <c r="PTG5" s="390"/>
      <c r="PTH5" s="390"/>
      <c r="PTI5" s="390"/>
      <c r="PTJ5" s="390"/>
      <c r="PTK5" s="390"/>
      <c r="PTL5" s="390"/>
      <c r="PTM5" s="390"/>
      <c r="PTN5" s="390"/>
      <c r="PTO5" s="390"/>
      <c r="PTP5" s="390"/>
      <c r="PTQ5" s="390"/>
      <c r="PTR5" s="390"/>
      <c r="PTS5" s="390"/>
      <c r="PTT5" s="390"/>
      <c r="PTU5" s="390"/>
      <c r="PTV5" s="390"/>
      <c r="PTW5" s="390"/>
      <c r="PTX5" s="390"/>
      <c r="PTY5" s="390"/>
      <c r="PTZ5" s="390"/>
      <c r="PUA5" s="390"/>
      <c r="PUB5" s="390"/>
      <c r="PUC5" s="390"/>
      <c r="PUD5" s="390"/>
      <c r="PUE5" s="390"/>
      <c r="PUF5" s="390"/>
      <c r="PUG5" s="390"/>
      <c r="PUH5" s="390"/>
      <c r="PUI5" s="390"/>
      <c r="PUJ5" s="390"/>
      <c r="PUK5" s="390"/>
      <c r="PUL5" s="390"/>
      <c r="PUM5" s="390"/>
      <c r="PUN5" s="390"/>
      <c r="PUO5" s="390"/>
      <c r="PUP5" s="390"/>
      <c r="PUQ5" s="390"/>
      <c r="PUR5" s="390"/>
      <c r="PUS5" s="390"/>
      <c r="PUT5" s="390"/>
      <c r="PUU5" s="390"/>
      <c r="PUV5" s="390"/>
      <c r="PUW5" s="390"/>
      <c r="PUX5" s="390"/>
      <c r="PUY5" s="390"/>
      <c r="PUZ5" s="390"/>
      <c r="PVA5" s="390"/>
      <c r="PVB5" s="390"/>
      <c r="PVC5" s="390"/>
      <c r="PVD5" s="390"/>
      <c r="PVE5" s="390"/>
      <c r="PVF5" s="390"/>
      <c r="PVG5" s="390"/>
      <c r="PVH5" s="390"/>
      <c r="PVI5" s="390"/>
      <c r="PVJ5" s="390"/>
      <c r="PVK5" s="390"/>
      <c r="PVL5" s="390"/>
      <c r="PVM5" s="390"/>
      <c r="PVN5" s="390"/>
      <c r="PVO5" s="390"/>
      <c r="PVP5" s="390"/>
      <c r="PVQ5" s="390"/>
      <c r="PVR5" s="390"/>
      <c r="PVS5" s="390"/>
      <c r="PVT5" s="390"/>
      <c r="PVU5" s="390"/>
      <c r="PVV5" s="390"/>
      <c r="PVW5" s="390"/>
      <c r="PVX5" s="390"/>
      <c r="PVY5" s="390"/>
      <c r="PVZ5" s="390"/>
      <c r="PWA5" s="390"/>
      <c r="PWB5" s="390"/>
      <c r="PWC5" s="390"/>
      <c r="PWD5" s="390"/>
      <c r="PWE5" s="390"/>
      <c r="PWF5" s="390"/>
      <c r="PWG5" s="390"/>
      <c r="PWH5" s="390"/>
      <c r="PWI5" s="390"/>
      <c r="PWJ5" s="390"/>
      <c r="PWK5" s="390"/>
      <c r="PWL5" s="390"/>
      <c r="PWM5" s="390"/>
      <c r="PWN5" s="390"/>
      <c r="PWO5" s="390"/>
      <c r="PWP5" s="390"/>
      <c r="PWQ5" s="390"/>
      <c r="PWR5" s="390"/>
      <c r="PWS5" s="390"/>
      <c r="PWT5" s="390"/>
      <c r="PWU5" s="390"/>
      <c r="PWV5" s="390"/>
      <c r="PWW5" s="390"/>
      <c r="PWX5" s="390"/>
      <c r="PWY5" s="390"/>
      <c r="PWZ5" s="390"/>
      <c r="PXA5" s="390"/>
      <c r="PXB5" s="390"/>
      <c r="PXC5" s="390"/>
      <c r="PXD5" s="390"/>
      <c r="PXE5" s="390"/>
      <c r="PXF5" s="390"/>
      <c r="PXG5" s="390"/>
      <c r="PXH5" s="390"/>
      <c r="PXI5" s="390"/>
      <c r="PXJ5" s="390"/>
      <c r="PXK5" s="390"/>
      <c r="PXL5" s="390"/>
      <c r="PXM5" s="390"/>
      <c r="PXN5" s="390"/>
      <c r="PXO5" s="390"/>
      <c r="PXP5" s="390"/>
      <c r="PXQ5" s="390"/>
      <c r="PXR5" s="390"/>
      <c r="PXS5" s="390"/>
      <c r="PXT5" s="390"/>
      <c r="PXU5" s="390"/>
      <c r="PXV5" s="390"/>
      <c r="PXW5" s="390"/>
      <c r="PXX5" s="390"/>
      <c r="PXY5" s="390"/>
      <c r="PXZ5" s="390"/>
      <c r="PYA5" s="390"/>
      <c r="PYB5" s="390"/>
      <c r="PYC5" s="390"/>
      <c r="PYD5" s="390"/>
      <c r="PYE5" s="390"/>
      <c r="PYF5" s="390"/>
      <c r="PYG5" s="390"/>
      <c r="PYH5" s="390"/>
      <c r="PYI5" s="390"/>
      <c r="PYJ5" s="390"/>
      <c r="PYK5" s="390"/>
      <c r="PYL5" s="390"/>
      <c r="PYM5" s="390"/>
      <c r="PYN5" s="390"/>
      <c r="PYO5" s="390"/>
      <c r="PYP5" s="390"/>
      <c r="PYQ5" s="390"/>
      <c r="PYR5" s="390"/>
      <c r="PYS5" s="390"/>
      <c r="PYT5" s="390"/>
      <c r="PYU5" s="390"/>
      <c r="PYV5" s="390"/>
      <c r="PYW5" s="390"/>
      <c r="PYX5" s="390"/>
      <c r="PYY5" s="390"/>
      <c r="PYZ5" s="390"/>
      <c r="PZA5" s="390"/>
      <c r="PZB5" s="390"/>
      <c r="PZC5" s="390"/>
      <c r="PZD5" s="390"/>
      <c r="PZE5" s="390"/>
      <c r="PZF5" s="390"/>
      <c r="PZG5" s="390"/>
      <c r="PZH5" s="390"/>
      <c r="PZI5" s="390"/>
      <c r="PZJ5" s="390"/>
      <c r="PZK5" s="390"/>
      <c r="PZL5" s="390"/>
      <c r="PZM5" s="390"/>
      <c r="PZN5" s="390"/>
      <c r="PZO5" s="390"/>
      <c r="PZP5" s="390"/>
      <c r="PZQ5" s="390"/>
      <c r="PZR5" s="390"/>
      <c r="PZS5" s="390"/>
      <c r="PZT5" s="390"/>
      <c r="PZU5" s="390"/>
      <c r="PZV5" s="390"/>
      <c r="PZW5" s="390"/>
      <c r="PZX5" s="390"/>
      <c r="PZY5" s="390"/>
      <c r="PZZ5" s="390"/>
      <c r="QAA5" s="390"/>
      <c r="QAB5" s="390"/>
      <c r="QAC5" s="390"/>
      <c r="QAD5" s="390"/>
      <c r="QAE5" s="390"/>
      <c r="QAF5" s="390"/>
      <c r="QAG5" s="390"/>
      <c r="QAH5" s="390"/>
      <c r="QAI5" s="390"/>
      <c r="QAJ5" s="390"/>
      <c r="QAK5" s="390"/>
      <c r="QAL5" s="390"/>
      <c r="QAM5" s="390"/>
      <c r="QAN5" s="390"/>
      <c r="QAO5" s="390"/>
      <c r="QAP5" s="390"/>
      <c r="QAQ5" s="390"/>
      <c r="QAR5" s="390"/>
      <c r="QAS5" s="390"/>
      <c r="QAT5" s="390"/>
      <c r="QAU5" s="390"/>
      <c r="QAV5" s="390"/>
      <c r="QAW5" s="390"/>
      <c r="QAX5" s="390"/>
      <c r="QAY5" s="390"/>
      <c r="QAZ5" s="390"/>
      <c r="QBA5" s="390"/>
      <c r="QBB5" s="390"/>
      <c r="QBC5" s="390"/>
      <c r="QBD5" s="390"/>
      <c r="QBE5" s="390"/>
      <c r="QBF5" s="390"/>
      <c r="QBG5" s="390"/>
      <c r="QBH5" s="390"/>
      <c r="QBI5" s="390"/>
      <c r="QBJ5" s="390"/>
      <c r="QBK5" s="390"/>
      <c r="QBL5" s="390"/>
      <c r="QBM5" s="390"/>
      <c r="QBN5" s="390"/>
      <c r="QBO5" s="390"/>
      <c r="QBP5" s="390"/>
      <c r="QBQ5" s="390"/>
      <c r="QBR5" s="390"/>
      <c r="QBS5" s="390"/>
      <c r="QBT5" s="390"/>
      <c r="QBU5" s="390"/>
      <c r="QBV5" s="390"/>
      <c r="QBW5" s="390"/>
      <c r="QBX5" s="390"/>
      <c r="QBY5" s="390"/>
      <c r="QBZ5" s="390"/>
      <c r="QCA5" s="390"/>
      <c r="QCB5" s="390"/>
      <c r="QCC5" s="390"/>
      <c r="QCD5" s="390"/>
      <c r="QCE5" s="390"/>
      <c r="QCF5" s="390"/>
      <c r="QCG5" s="390"/>
      <c r="QCH5" s="390"/>
      <c r="QCI5" s="390"/>
      <c r="QCJ5" s="390"/>
      <c r="QCK5" s="390"/>
      <c r="QCL5" s="390"/>
      <c r="QCM5" s="390"/>
      <c r="QCN5" s="390"/>
      <c r="QCO5" s="390"/>
      <c r="QCP5" s="390"/>
      <c r="QCQ5" s="390"/>
      <c r="QCR5" s="390"/>
      <c r="QCS5" s="390"/>
      <c r="QCT5" s="390"/>
      <c r="QCU5" s="390"/>
      <c r="QCV5" s="390"/>
      <c r="QCW5" s="390"/>
      <c r="QCX5" s="390"/>
      <c r="QCY5" s="390"/>
      <c r="QCZ5" s="390"/>
      <c r="QDA5" s="390"/>
      <c r="QDB5" s="390"/>
      <c r="QDC5" s="390"/>
      <c r="QDD5" s="390"/>
      <c r="QDE5" s="390"/>
      <c r="QDF5" s="390"/>
      <c r="QDG5" s="390"/>
      <c r="QDH5" s="390"/>
      <c r="QDI5" s="390"/>
      <c r="QDJ5" s="390"/>
      <c r="QDK5" s="390"/>
      <c r="QDL5" s="390"/>
      <c r="QDM5" s="390"/>
      <c r="QDN5" s="390"/>
      <c r="QDO5" s="390"/>
      <c r="QDP5" s="390"/>
      <c r="QDQ5" s="390"/>
      <c r="QDR5" s="390"/>
      <c r="QDS5" s="390"/>
      <c r="QDT5" s="390"/>
      <c r="QDU5" s="390"/>
      <c r="QDV5" s="390"/>
      <c r="QDW5" s="390"/>
      <c r="QDX5" s="390"/>
      <c r="QDY5" s="390"/>
      <c r="QDZ5" s="390"/>
      <c r="QEA5" s="390"/>
      <c r="QEB5" s="390"/>
      <c r="QEC5" s="390"/>
      <c r="QED5" s="390"/>
      <c r="QEE5" s="390"/>
      <c r="QEF5" s="390"/>
      <c r="QEG5" s="390"/>
      <c r="QEH5" s="390"/>
      <c r="QEI5" s="390"/>
      <c r="QEJ5" s="390"/>
      <c r="QEK5" s="390"/>
      <c r="QEL5" s="390"/>
      <c r="QEM5" s="390"/>
      <c r="QEN5" s="390"/>
      <c r="QEO5" s="390"/>
      <c r="QEP5" s="390"/>
      <c r="QEQ5" s="390"/>
      <c r="QER5" s="390"/>
      <c r="QES5" s="390"/>
      <c r="QET5" s="390"/>
      <c r="QEU5" s="390"/>
      <c r="QEV5" s="390"/>
      <c r="QEW5" s="390"/>
      <c r="QEX5" s="390"/>
      <c r="QEY5" s="390"/>
      <c r="QEZ5" s="390"/>
      <c r="QFA5" s="390"/>
      <c r="QFB5" s="390"/>
      <c r="QFC5" s="390"/>
      <c r="QFD5" s="390"/>
      <c r="QFE5" s="390"/>
      <c r="QFF5" s="390"/>
      <c r="QFG5" s="390"/>
      <c r="QFH5" s="390"/>
      <c r="QFI5" s="390"/>
      <c r="QFJ5" s="390"/>
      <c r="QFK5" s="390"/>
      <c r="QFL5" s="390"/>
      <c r="QFM5" s="390"/>
      <c r="QFN5" s="390"/>
      <c r="QFO5" s="390"/>
      <c r="QFP5" s="390"/>
      <c r="QFQ5" s="390"/>
      <c r="QFR5" s="390"/>
      <c r="QFS5" s="390"/>
      <c r="QFT5" s="390"/>
      <c r="QFU5" s="390"/>
      <c r="QFV5" s="390"/>
      <c r="QFW5" s="390"/>
      <c r="QFX5" s="390"/>
      <c r="QFY5" s="390"/>
      <c r="QFZ5" s="390"/>
      <c r="QGA5" s="390"/>
      <c r="QGB5" s="390"/>
      <c r="QGC5" s="390"/>
      <c r="QGD5" s="390"/>
      <c r="QGE5" s="390"/>
      <c r="QGF5" s="390"/>
      <c r="QGG5" s="390"/>
      <c r="QGH5" s="390"/>
      <c r="QGI5" s="390"/>
      <c r="QGJ5" s="390"/>
      <c r="QGK5" s="390"/>
      <c r="QGL5" s="390"/>
      <c r="QGM5" s="390"/>
      <c r="QGN5" s="390"/>
      <c r="QGO5" s="390"/>
      <c r="QGP5" s="390"/>
      <c r="QGQ5" s="390"/>
      <c r="QGR5" s="390"/>
      <c r="QGS5" s="390"/>
      <c r="QGT5" s="390"/>
      <c r="QGU5" s="390"/>
      <c r="QGV5" s="390"/>
      <c r="QGW5" s="390"/>
      <c r="QGX5" s="390"/>
      <c r="QGY5" s="390"/>
      <c r="QGZ5" s="390"/>
      <c r="QHA5" s="390"/>
      <c r="QHB5" s="390"/>
      <c r="QHC5" s="390"/>
      <c r="QHD5" s="390"/>
      <c r="QHE5" s="390"/>
      <c r="QHF5" s="390"/>
      <c r="QHG5" s="390"/>
      <c r="QHH5" s="390"/>
      <c r="QHI5" s="390"/>
      <c r="QHJ5" s="390"/>
      <c r="QHK5" s="390"/>
      <c r="QHL5" s="390"/>
      <c r="QHM5" s="390"/>
      <c r="QHN5" s="390"/>
      <c r="QHO5" s="390"/>
      <c r="QHP5" s="390"/>
      <c r="QHQ5" s="390"/>
      <c r="QHR5" s="390"/>
      <c r="QHS5" s="390"/>
      <c r="QHT5" s="390"/>
      <c r="QHU5" s="390"/>
      <c r="QHV5" s="390"/>
      <c r="QHW5" s="390"/>
      <c r="QHX5" s="390"/>
      <c r="QHY5" s="390"/>
      <c r="QHZ5" s="390"/>
      <c r="QIA5" s="390"/>
      <c r="QIB5" s="390"/>
      <c r="QIC5" s="390"/>
      <c r="QID5" s="390"/>
      <c r="QIE5" s="390"/>
      <c r="QIF5" s="390"/>
      <c r="QIG5" s="390"/>
      <c r="QIH5" s="390"/>
      <c r="QII5" s="390"/>
      <c r="QIJ5" s="390"/>
      <c r="QIK5" s="390"/>
      <c r="QIL5" s="390"/>
      <c r="QIM5" s="390"/>
      <c r="QIN5" s="390"/>
      <c r="QIO5" s="390"/>
      <c r="QIP5" s="390"/>
      <c r="QIQ5" s="390"/>
      <c r="QIR5" s="390"/>
      <c r="QIS5" s="390"/>
      <c r="QIT5" s="390"/>
      <c r="QIU5" s="390"/>
      <c r="QIV5" s="390"/>
      <c r="QIW5" s="390"/>
      <c r="QIX5" s="390"/>
      <c r="QIY5" s="390"/>
      <c r="QIZ5" s="390"/>
      <c r="QJA5" s="390"/>
      <c r="QJB5" s="390"/>
      <c r="QJC5" s="390"/>
      <c r="QJD5" s="390"/>
      <c r="QJE5" s="390"/>
      <c r="QJF5" s="390"/>
      <c r="QJG5" s="390"/>
      <c r="QJH5" s="390"/>
      <c r="QJI5" s="390"/>
      <c r="QJJ5" s="390"/>
      <c r="QJK5" s="390"/>
      <c r="QJL5" s="390"/>
      <c r="QJM5" s="390"/>
      <c r="QJN5" s="390"/>
      <c r="QJO5" s="390"/>
      <c r="QJP5" s="390"/>
      <c r="QJQ5" s="390"/>
      <c r="QJR5" s="390"/>
      <c r="QJS5" s="390"/>
      <c r="QJT5" s="390"/>
      <c r="QJU5" s="390"/>
      <c r="QJV5" s="390"/>
      <c r="QJW5" s="390"/>
      <c r="QJX5" s="390"/>
      <c r="QJY5" s="390"/>
      <c r="QJZ5" s="390"/>
      <c r="QKA5" s="390"/>
      <c r="QKB5" s="390"/>
      <c r="QKC5" s="390"/>
      <c r="QKD5" s="390"/>
      <c r="QKE5" s="390"/>
      <c r="QKF5" s="390"/>
      <c r="QKG5" s="390"/>
      <c r="QKH5" s="390"/>
      <c r="QKI5" s="390"/>
      <c r="QKJ5" s="390"/>
      <c r="QKK5" s="390"/>
      <c r="QKL5" s="390"/>
      <c r="QKM5" s="390"/>
      <c r="QKN5" s="390"/>
      <c r="QKO5" s="390"/>
      <c r="QKP5" s="390"/>
      <c r="QKQ5" s="390"/>
      <c r="QKR5" s="390"/>
      <c r="QKS5" s="390"/>
      <c r="QKT5" s="390"/>
      <c r="QKU5" s="390"/>
      <c r="QKV5" s="390"/>
      <c r="QKW5" s="390"/>
      <c r="QKX5" s="390"/>
      <c r="QKY5" s="390"/>
      <c r="QKZ5" s="390"/>
      <c r="QLA5" s="390"/>
      <c r="QLB5" s="390"/>
      <c r="QLC5" s="390"/>
      <c r="QLD5" s="390"/>
      <c r="QLE5" s="390"/>
      <c r="QLF5" s="390"/>
      <c r="QLG5" s="390"/>
      <c r="QLH5" s="390"/>
      <c r="QLI5" s="390"/>
      <c r="QLJ5" s="390"/>
      <c r="QLK5" s="390"/>
      <c r="QLL5" s="390"/>
      <c r="QLM5" s="390"/>
      <c r="QLN5" s="390"/>
      <c r="QLO5" s="390"/>
      <c r="QLP5" s="390"/>
      <c r="QLQ5" s="390"/>
      <c r="QLR5" s="390"/>
      <c r="QLS5" s="390"/>
      <c r="QLT5" s="390"/>
      <c r="QLU5" s="390"/>
      <c r="QLV5" s="390"/>
      <c r="QLW5" s="390"/>
      <c r="QLX5" s="390"/>
      <c r="QLY5" s="390"/>
      <c r="QLZ5" s="390"/>
      <c r="QMA5" s="390"/>
      <c r="QMB5" s="390"/>
      <c r="QMC5" s="390"/>
      <c r="QMD5" s="390"/>
      <c r="QME5" s="390"/>
      <c r="QMF5" s="390"/>
      <c r="QMG5" s="390"/>
      <c r="QMH5" s="390"/>
      <c r="QMI5" s="390"/>
      <c r="QMJ5" s="390"/>
      <c r="QMK5" s="390"/>
      <c r="QML5" s="390"/>
      <c r="QMM5" s="390"/>
      <c r="QMN5" s="390"/>
      <c r="QMO5" s="390"/>
      <c r="QMP5" s="390"/>
      <c r="QMQ5" s="390"/>
      <c r="QMR5" s="390"/>
      <c r="QMS5" s="390"/>
      <c r="QMT5" s="390"/>
      <c r="QMU5" s="390"/>
      <c r="QMV5" s="390"/>
      <c r="QMW5" s="390"/>
      <c r="QMX5" s="390"/>
      <c r="QMY5" s="390"/>
      <c r="QMZ5" s="390"/>
      <c r="QNA5" s="390"/>
      <c r="QNB5" s="390"/>
      <c r="QNC5" s="390"/>
      <c r="QND5" s="390"/>
      <c r="QNE5" s="390"/>
      <c r="QNF5" s="390"/>
      <c r="QNG5" s="390"/>
      <c r="QNH5" s="390"/>
      <c r="QNI5" s="390"/>
      <c r="QNJ5" s="390"/>
      <c r="QNK5" s="390"/>
      <c r="QNL5" s="390"/>
      <c r="QNM5" s="390"/>
      <c r="QNN5" s="390"/>
      <c r="QNO5" s="390"/>
      <c r="QNP5" s="390"/>
      <c r="QNQ5" s="390"/>
      <c r="QNR5" s="390"/>
      <c r="QNS5" s="390"/>
      <c r="QNT5" s="390"/>
      <c r="QNU5" s="390"/>
      <c r="QNV5" s="390"/>
      <c r="QNW5" s="390"/>
      <c r="QNX5" s="390"/>
      <c r="QNY5" s="390"/>
      <c r="QNZ5" s="390"/>
      <c r="QOA5" s="390"/>
      <c r="QOB5" s="390"/>
      <c r="QOC5" s="390"/>
      <c r="QOD5" s="390"/>
      <c r="QOE5" s="390"/>
      <c r="QOF5" s="390"/>
      <c r="QOG5" s="390"/>
      <c r="QOH5" s="390"/>
      <c r="QOI5" s="390"/>
      <c r="QOJ5" s="390"/>
      <c r="QOK5" s="390"/>
      <c r="QOL5" s="390"/>
      <c r="QOM5" s="390"/>
      <c r="QON5" s="390"/>
      <c r="QOO5" s="390"/>
      <c r="QOP5" s="390"/>
      <c r="QOQ5" s="390"/>
      <c r="QOR5" s="390"/>
      <c r="QOS5" s="390"/>
      <c r="QOT5" s="390"/>
      <c r="QOU5" s="390"/>
      <c r="QOV5" s="390"/>
      <c r="QOW5" s="390"/>
      <c r="QOX5" s="390"/>
      <c r="QOY5" s="390"/>
      <c r="QOZ5" s="390"/>
      <c r="QPA5" s="390"/>
      <c r="QPB5" s="390"/>
      <c r="QPC5" s="390"/>
      <c r="QPD5" s="390"/>
      <c r="QPE5" s="390"/>
      <c r="QPF5" s="390"/>
      <c r="QPG5" s="390"/>
      <c r="QPH5" s="390"/>
      <c r="QPI5" s="390"/>
      <c r="QPJ5" s="390"/>
      <c r="QPK5" s="390"/>
      <c r="QPL5" s="390"/>
      <c r="QPM5" s="390"/>
      <c r="QPN5" s="390"/>
      <c r="QPO5" s="390"/>
      <c r="QPP5" s="390"/>
      <c r="QPQ5" s="390"/>
      <c r="QPR5" s="390"/>
      <c r="QPS5" s="390"/>
      <c r="QPT5" s="390"/>
      <c r="QPU5" s="390"/>
      <c r="QPV5" s="390"/>
      <c r="QPW5" s="390"/>
      <c r="QPX5" s="390"/>
      <c r="QPY5" s="390"/>
      <c r="QPZ5" s="390"/>
      <c r="QQA5" s="390"/>
      <c r="QQB5" s="390"/>
      <c r="QQC5" s="390"/>
      <c r="QQD5" s="390"/>
      <c r="QQE5" s="390"/>
      <c r="QQF5" s="390"/>
      <c r="QQG5" s="390"/>
      <c r="QQH5" s="390"/>
      <c r="QQI5" s="390"/>
      <c r="QQJ5" s="390"/>
      <c r="QQK5" s="390"/>
      <c r="QQL5" s="390"/>
      <c r="QQM5" s="390"/>
      <c r="QQN5" s="390"/>
      <c r="QQO5" s="390"/>
      <c r="QQP5" s="390"/>
      <c r="QQQ5" s="390"/>
      <c r="QQR5" s="390"/>
      <c r="QQS5" s="390"/>
      <c r="QQT5" s="390"/>
      <c r="QQU5" s="390"/>
      <c r="QQV5" s="390"/>
      <c r="QQW5" s="390"/>
      <c r="QQX5" s="390"/>
      <c r="QQY5" s="390"/>
      <c r="QQZ5" s="390"/>
      <c r="QRA5" s="390"/>
      <c r="QRB5" s="390"/>
      <c r="QRC5" s="390"/>
      <c r="QRD5" s="390"/>
      <c r="QRE5" s="390"/>
      <c r="QRF5" s="390"/>
      <c r="QRG5" s="390"/>
      <c r="QRH5" s="390"/>
      <c r="QRI5" s="390"/>
      <c r="QRJ5" s="390"/>
      <c r="QRK5" s="390"/>
      <c r="QRL5" s="390"/>
      <c r="QRM5" s="390"/>
      <c r="QRN5" s="390"/>
      <c r="QRO5" s="390"/>
      <c r="QRP5" s="390"/>
      <c r="QRQ5" s="390"/>
      <c r="QRR5" s="390"/>
      <c r="QRS5" s="390"/>
      <c r="QRT5" s="390"/>
      <c r="QRU5" s="390"/>
      <c r="QRV5" s="390"/>
      <c r="QRW5" s="390"/>
      <c r="QRX5" s="390"/>
      <c r="QRY5" s="390"/>
      <c r="QRZ5" s="390"/>
      <c r="QSA5" s="390"/>
      <c r="QSB5" s="390"/>
      <c r="QSC5" s="390"/>
      <c r="QSD5" s="390"/>
      <c r="QSE5" s="390"/>
      <c r="QSF5" s="390"/>
      <c r="QSG5" s="390"/>
      <c r="QSH5" s="390"/>
      <c r="QSI5" s="390"/>
      <c r="QSJ5" s="390"/>
      <c r="QSK5" s="390"/>
      <c r="QSL5" s="390"/>
      <c r="QSM5" s="390"/>
      <c r="QSN5" s="390"/>
      <c r="QSO5" s="390"/>
      <c r="QSP5" s="390"/>
      <c r="QSQ5" s="390"/>
      <c r="QSR5" s="390"/>
      <c r="QSS5" s="390"/>
      <c r="QST5" s="390"/>
      <c r="QSU5" s="390"/>
      <c r="QSV5" s="390"/>
      <c r="QSW5" s="390"/>
      <c r="QSX5" s="390"/>
      <c r="QSY5" s="390"/>
      <c r="QSZ5" s="390"/>
      <c r="QTA5" s="390"/>
      <c r="QTB5" s="390"/>
      <c r="QTC5" s="390"/>
      <c r="QTD5" s="390"/>
      <c r="QTE5" s="390"/>
      <c r="QTF5" s="390"/>
      <c r="QTG5" s="390"/>
      <c r="QTH5" s="390"/>
      <c r="QTI5" s="390"/>
      <c r="QTJ5" s="390"/>
      <c r="QTK5" s="390"/>
      <c r="QTL5" s="390"/>
      <c r="QTM5" s="390"/>
      <c r="QTN5" s="390"/>
      <c r="QTO5" s="390"/>
      <c r="QTP5" s="390"/>
      <c r="QTQ5" s="390"/>
      <c r="QTR5" s="390"/>
      <c r="QTS5" s="390"/>
      <c r="QTT5" s="390"/>
      <c r="QTU5" s="390"/>
      <c r="QTV5" s="390"/>
      <c r="QTW5" s="390"/>
      <c r="QTX5" s="390"/>
      <c r="QTY5" s="390"/>
      <c r="QTZ5" s="390"/>
      <c r="QUA5" s="390"/>
      <c r="QUB5" s="390"/>
      <c r="QUC5" s="390"/>
      <c r="QUD5" s="390"/>
      <c r="QUE5" s="390"/>
      <c r="QUF5" s="390"/>
      <c r="QUG5" s="390"/>
      <c r="QUH5" s="390"/>
      <c r="QUI5" s="390"/>
      <c r="QUJ5" s="390"/>
      <c r="QUK5" s="390"/>
      <c r="QUL5" s="390"/>
      <c r="QUM5" s="390"/>
      <c r="QUN5" s="390"/>
      <c r="QUO5" s="390"/>
      <c r="QUP5" s="390"/>
      <c r="QUQ5" s="390"/>
      <c r="QUR5" s="390"/>
      <c r="QUS5" s="390"/>
      <c r="QUT5" s="390"/>
      <c r="QUU5" s="390"/>
      <c r="QUV5" s="390"/>
      <c r="QUW5" s="390"/>
      <c r="QUX5" s="390"/>
      <c r="QUY5" s="390"/>
      <c r="QUZ5" s="390"/>
      <c r="QVA5" s="390"/>
      <c r="QVB5" s="390"/>
      <c r="QVC5" s="390"/>
      <c r="QVD5" s="390"/>
      <c r="QVE5" s="390"/>
      <c r="QVF5" s="390"/>
      <c r="QVG5" s="390"/>
      <c r="QVH5" s="390"/>
      <c r="QVI5" s="390"/>
      <c r="QVJ5" s="390"/>
      <c r="QVK5" s="390"/>
      <c r="QVL5" s="390"/>
      <c r="QVM5" s="390"/>
      <c r="QVN5" s="390"/>
      <c r="QVO5" s="390"/>
      <c r="QVP5" s="390"/>
      <c r="QVQ5" s="390"/>
      <c r="QVR5" s="390"/>
      <c r="QVS5" s="390"/>
      <c r="QVT5" s="390"/>
      <c r="QVU5" s="390"/>
      <c r="QVV5" s="390"/>
      <c r="QVW5" s="390"/>
      <c r="QVX5" s="390"/>
      <c r="QVY5" s="390"/>
      <c r="QVZ5" s="390"/>
      <c r="QWA5" s="390"/>
      <c r="QWB5" s="390"/>
      <c r="QWC5" s="390"/>
      <c r="QWD5" s="390"/>
      <c r="QWE5" s="390"/>
      <c r="QWF5" s="390"/>
      <c r="QWG5" s="390"/>
      <c r="QWH5" s="390"/>
      <c r="QWI5" s="390"/>
      <c r="QWJ5" s="390"/>
      <c r="QWK5" s="390"/>
      <c r="QWL5" s="390"/>
      <c r="QWM5" s="390"/>
      <c r="QWN5" s="390"/>
      <c r="QWO5" s="390"/>
      <c r="QWP5" s="390"/>
      <c r="QWQ5" s="390"/>
      <c r="QWR5" s="390"/>
      <c r="QWS5" s="390"/>
      <c r="QWT5" s="390"/>
      <c r="QWU5" s="390"/>
      <c r="QWV5" s="390"/>
      <c r="QWW5" s="390"/>
      <c r="QWX5" s="390"/>
      <c r="QWY5" s="390"/>
      <c r="QWZ5" s="390"/>
      <c r="QXA5" s="390"/>
      <c r="QXB5" s="390"/>
      <c r="QXC5" s="390"/>
      <c r="QXD5" s="390"/>
      <c r="QXE5" s="390"/>
      <c r="QXF5" s="390"/>
      <c r="QXG5" s="390"/>
      <c r="QXH5" s="390"/>
      <c r="QXI5" s="390"/>
      <c r="QXJ5" s="390"/>
      <c r="QXK5" s="390"/>
      <c r="QXL5" s="390"/>
      <c r="QXM5" s="390"/>
      <c r="QXN5" s="390"/>
      <c r="QXO5" s="390"/>
      <c r="QXP5" s="390"/>
      <c r="QXQ5" s="390"/>
      <c r="QXR5" s="390"/>
      <c r="QXS5" s="390"/>
      <c r="QXT5" s="390"/>
      <c r="QXU5" s="390"/>
      <c r="QXV5" s="390"/>
      <c r="QXW5" s="390"/>
      <c r="QXX5" s="390"/>
      <c r="QXY5" s="390"/>
      <c r="QXZ5" s="390"/>
      <c r="QYA5" s="390"/>
      <c r="QYB5" s="390"/>
      <c r="QYC5" s="390"/>
      <c r="QYD5" s="390"/>
      <c r="QYE5" s="390"/>
      <c r="QYF5" s="390"/>
      <c r="QYG5" s="390"/>
      <c r="QYH5" s="390"/>
      <c r="QYI5" s="390"/>
      <c r="QYJ5" s="390"/>
      <c r="QYK5" s="390"/>
      <c r="QYL5" s="390"/>
      <c r="QYM5" s="390"/>
      <c r="QYN5" s="390"/>
      <c r="QYO5" s="390"/>
      <c r="QYP5" s="390"/>
      <c r="QYQ5" s="390"/>
      <c r="QYR5" s="390"/>
      <c r="QYS5" s="390"/>
      <c r="QYT5" s="390"/>
      <c r="QYU5" s="390"/>
      <c r="QYV5" s="390"/>
      <c r="QYW5" s="390"/>
      <c r="QYX5" s="390"/>
      <c r="QYY5" s="390"/>
      <c r="QYZ5" s="390"/>
      <c r="QZA5" s="390"/>
      <c r="QZB5" s="390"/>
      <c r="QZC5" s="390"/>
      <c r="QZD5" s="390"/>
      <c r="QZE5" s="390"/>
      <c r="QZF5" s="390"/>
      <c r="QZG5" s="390"/>
      <c r="QZH5" s="390"/>
      <c r="QZI5" s="390"/>
      <c r="QZJ5" s="390"/>
      <c r="QZK5" s="390"/>
      <c r="QZL5" s="390"/>
      <c r="QZM5" s="390"/>
      <c r="QZN5" s="390"/>
      <c r="QZO5" s="390"/>
      <c r="QZP5" s="390"/>
      <c r="QZQ5" s="390"/>
      <c r="QZR5" s="390"/>
      <c r="QZS5" s="390"/>
      <c r="QZT5" s="390"/>
      <c r="QZU5" s="390"/>
      <c r="QZV5" s="390"/>
      <c r="QZW5" s="390"/>
      <c r="QZX5" s="390"/>
      <c r="QZY5" s="390"/>
      <c r="QZZ5" s="390"/>
      <c r="RAA5" s="390"/>
      <c r="RAB5" s="390"/>
      <c r="RAC5" s="390"/>
      <c r="RAD5" s="390"/>
      <c r="RAE5" s="390"/>
      <c r="RAF5" s="390"/>
      <c r="RAG5" s="390"/>
      <c r="RAH5" s="390"/>
      <c r="RAI5" s="390"/>
      <c r="RAJ5" s="390"/>
      <c r="RAK5" s="390"/>
      <c r="RAL5" s="390"/>
      <c r="RAM5" s="390"/>
      <c r="RAN5" s="390"/>
      <c r="RAO5" s="390"/>
      <c r="RAP5" s="390"/>
      <c r="RAQ5" s="390"/>
      <c r="RAR5" s="390"/>
      <c r="RAS5" s="390"/>
      <c r="RAT5" s="390"/>
      <c r="RAU5" s="390"/>
      <c r="RAV5" s="390"/>
      <c r="RAW5" s="390"/>
      <c r="RAX5" s="390"/>
      <c r="RAY5" s="390"/>
      <c r="RAZ5" s="390"/>
      <c r="RBA5" s="390"/>
      <c r="RBB5" s="390"/>
      <c r="RBC5" s="390"/>
      <c r="RBD5" s="390"/>
      <c r="RBE5" s="390"/>
      <c r="RBF5" s="390"/>
      <c r="RBG5" s="390"/>
      <c r="RBH5" s="390"/>
      <c r="RBI5" s="390"/>
      <c r="RBJ5" s="390"/>
      <c r="RBK5" s="390"/>
      <c r="RBL5" s="390"/>
      <c r="RBM5" s="390"/>
      <c r="RBN5" s="390"/>
      <c r="RBO5" s="390"/>
      <c r="RBP5" s="390"/>
      <c r="RBQ5" s="390"/>
      <c r="RBR5" s="390"/>
      <c r="RBS5" s="390"/>
      <c r="RBT5" s="390"/>
      <c r="RBU5" s="390"/>
      <c r="RBV5" s="390"/>
      <c r="RBW5" s="390"/>
      <c r="RBX5" s="390"/>
      <c r="RBY5" s="390"/>
      <c r="RBZ5" s="390"/>
      <c r="RCA5" s="390"/>
      <c r="RCB5" s="390"/>
      <c r="RCC5" s="390"/>
      <c r="RCD5" s="390"/>
      <c r="RCE5" s="390"/>
      <c r="RCF5" s="390"/>
      <c r="RCG5" s="390"/>
      <c r="RCH5" s="390"/>
      <c r="RCI5" s="390"/>
      <c r="RCJ5" s="390"/>
      <c r="RCK5" s="390"/>
      <c r="RCL5" s="390"/>
      <c r="RCM5" s="390"/>
      <c r="RCN5" s="390"/>
      <c r="RCO5" s="390"/>
      <c r="RCP5" s="390"/>
      <c r="RCQ5" s="390"/>
      <c r="RCR5" s="390"/>
      <c r="RCS5" s="390"/>
      <c r="RCT5" s="390"/>
      <c r="RCU5" s="390"/>
      <c r="RCV5" s="390"/>
      <c r="RCW5" s="390"/>
      <c r="RCX5" s="390"/>
      <c r="RCY5" s="390"/>
      <c r="RCZ5" s="390"/>
      <c r="RDA5" s="390"/>
      <c r="RDB5" s="390"/>
      <c r="RDC5" s="390"/>
      <c r="RDD5" s="390"/>
      <c r="RDE5" s="390"/>
      <c r="RDF5" s="390"/>
      <c r="RDG5" s="390"/>
      <c r="RDH5" s="390"/>
      <c r="RDI5" s="390"/>
      <c r="RDJ5" s="390"/>
      <c r="RDK5" s="390"/>
      <c r="RDL5" s="390"/>
      <c r="RDM5" s="390"/>
      <c r="RDN5" s="390"/>
      <c r="RDO5" s="390"/>
      <c r="RDP5" s="390"/>
      <c r="RDQ5" s="390"/>
      <c r="RDR5" s="390"/>
      <c r="RDS5" s="390"/>
      <c r="RDT5" s="390"/>
      <c r="RDU5" s="390"/>
      <c r="RDV5" s="390"/>
      <c r="RDW5" s="390"/>
      <c r="RDX5" s="390"/>
      <c r="RDY5" s="390"/>
      <c r="RDZ5" s="390"/>
      <c r="REA5" s="390"/>
      <c r="REB5" s="390"/>
      <c r="REC5" s="390"/>
      <c r="RED5" s="390"/>
      <c r="REE5" s="390"/>
      <c r="REF5" s="390"/>
      <c r="REG5" s="390"/>
      <c r="REH5" s="390"/>
      <c r="REI5" s="390"/>
      <c r="REJ5" s="390"/>
      <c r="REK5" s="390"/>
      <c r="REL5" s="390"/>
      <c r="REM5" s="390"/>
      <c r="REN5" s="390"/>
      <c r="REO5" s="390"/>
      <c r="REP5" s="390"/>
      <c r="REQ5" s="390"/>
      <c r="RER5" s="390"/>
      <c r="RES5" s="390"/>
      <c r="RET5" s="390"/>
      <c r="REU5" s="390"/>
      <c r="REV5" s="390"/>
      <c r="REW5" s="390"/>
      <c r="REX5" s="390"/>
      <c r="REY5" s="390"/>
      <c r="REZ5" s="390"/>
      <c r="RFA5" s="390"/>
      <c r="RFB5" s="390"/>
      <c r="RFC5" s="390"/>
      <c r="RFD5" s="390"/>
      <c r="RFE5" s="390"/>
      <c r="RFF5" s="390"/>
      <c r="RFG5" s="390"/>
      <c r="RFH5" s="390"/>
      <c r="RFI5" s="390"/>
      <c r="RFJ5" s="390"/>
      <c r="RFK5" s="390"/>
      <c r="RFL5" s="390"/>
      <c r="RFM5" s="390"/>
      <c r="RFN5" s="390"/>
      <c r="RFO5" s="390"/>
      <c r="RFP5" s="390"/>
      <c r="RFQ5" s="390"/>
      <c r="RFR5" s="390"/>
      <c r="RFS5" s="390"/>
      <c r="RFT5" s="390"/>
      <c r="RFU5" s="390"/>
      <c r="RFV5" s="390"/>
      <c r="RFW5" s="390"/>
      <c r="RFX5" s="390"/>
      <c r="RFY5" s="390"/>
      <c r="RFZ5" s="390"/>
      <c r="RGA5" s="390"/>
      <c r="RGB5" s="390"/>
      <c r="RGC5" s="390"/>
      <c r="RGD5" s="390"/>
      <c r="RGE5" s="390"/>
      <c r="RGF5" s="390"/>
      <c r="RGG5" s="390"/>
      <c r="RGH5" s="390"/>
      <c r="RGI5" s="390"/>
      <c r="RGJ5" s="390"/>
      <c r="RGK5" s="390"/>
      <c r="RGL5" s="390"/>
      <c r="RGM5" s="390"/>
      <c r="RGN5" s="390"/>
      <c r="RGO5" s="390"/>
      <c r="RGP5" s="390"/>
      <c r="RGQ5" s="390"/>
      <c r="RGR5" s="390"/>
      <c r="RGS5" s="390"/>
      <c r="RGT5" s="390"/>
      <c r="RGU5" s="390"/>
      <c r="RGV5" s="390"/>
      <c r="RGW5" s="390"/>
      <c r="RGX5" s="390"/>
      <c r="RGY5" s="390"/>
      <c r="RGZ5" s="390"/>
      <c r="RHA5" s="390"/>
      <c r="RHB5" s="390"/>
      <c r="RHC5" s="390"/>
      <c r="RHD5" s="390"/>
      <c r="RHE5" s="390"/>
      <c r="RHF5" s="390"/>
      <c r="RHG5" s="390"/>
      <c r="RHH5" s="390"/>
      <c r="RHI5" s="390"/>
      <c r="RHJ5" s="390"/>
      <c r="RHK5" s="390"/>
      <c r="RHL5" s="390"/>
      <c r="RHM5" s="390"/>
      <c r="RHN5" s="390"/>
      <c r="RHO5" s="390"/>
      <c r="RHP5" s="390"/>
      <c r="RHQ5" s="390"/>
      <c r="RHR5" s="390"/>
      <c r="RHS5" s="390"/>
      <c r="RHT5" s="390"/>
      <c r="RHU5" s="390"/>
      <c r="RHV5" s="390"/>
      <c r="RHW5" s="390"/>
      <c r="RHX5" s="390"/>
      <c r="RHY5" s="390"/>
      <c r="RHZ5" s="390"/>
      <c r="RIA5" s="390"/>
      <c r="RIB5" s="390"/>
      <c r="RIC5" s="390"/>
      <c r="RID5" s="390"/>
      <c r="RIE5" s="390"/>
      <c r="RIF5" s="390"/>
      <c r="RIG5" s="390"/>
      <c r="RIH5" s="390"/>
      <c r="RII5" s="390"/>
      <c r="RIJ5" s="390"/>
      <c r="RIK5" s="390"/>
      <c r="RIL5" s="390"/>
      <c r="RIM5" s="390"/>
      <c r="RIN5" s="390"/>
      <c r="RIO5" s="390"/>
      <c r="RIP5" s="390"/>
      <c r="RIQ5" s="390"/>
      <c r="RIR5" s="390"/>
      <c r="RIS5" s="390"/>
      <c r="RIT5" s="390"/>
      <c r="RIU5" s="390"/>
      <c r="RIV5" s="390"/>
      <c r="RIW5" s="390"/>
      <c r="RIX5" s="390"/>
      <c r="RIY5" s="390"/>
      <c r="RIZ5" s="390"/>
      <c r="RJA5" s="390"/>
      <c r="RJB5" s="390"/>
      <c r="RJC5" s="390"/>
      <c r="RJD5" s="390"/>
      <c r="RJE5" s="390"/>
      <c r="RJF5" s="390"/>
      <c r="RJG5" s="390"/>
      <c r="RJH5" s="390"/>
      <c r="RJI5" s="390"/>
      <c r="RJJ5" s="390"/>
      <c r="RJK5" s="390"/>
      <c r="RJL5" s="390"/>
      <c r="RJM5" s="390"/>
      <c r="RJN5" s="390"/>
      <c r="RJO5" s="390"/>
      <c r="RJP5" s="390"/>
      <c r="RJQ5" s="390"/>
      <c r="RJR5" s="390"/>
      <c r="RJS5" s="390"/>
      <c r="RJT5" s="390"/>
      <c r="RJU5" s="390"/>
      <c r="RJV5" s="390"/>
      <c r="RJW5" s="390"/>
      <c r="RJX5" s="390"/>
      <c r="RJY5" s="390"/>
      <c r="RJZ5" s="390"/>
      <c r="RKA5" s="390"/>
      <c r="RKB5" s="390"/>
      <c r="RKC5" s="390"/>
      <c r="RKD5" s="390"/>
      <c r="RKE5" s="390"/>
      <c r="RKF5" s="390"/>
      <c r="RKG5" s="390"/>
      <c r="RKH5" s="390"/>
      <c r="RKI5" s="390"/>
      <c r="RKJ5" s="390"/>
      <c r="RKK5" s="390"/>
      <c r="RKL5" s="390"/>
      <c r="RKM5" s="390"/>
      <c r="RKN5" s="390"/>
      <c r="RKO5" s="390"/>
      <c r="RKP5" s="390"/>
      <c r="RKQ5" s="390"/>
      <c r="RKR5" s="390"/>
      <c r="RKS5" s="390"/>
      <c r="RKT5" s="390"/>
      <c r="RKU5" s="390"/>
      <c r="RKV5" s="390"/>
      <c r="RKW5" s="390"/>
      <c r="RKX5" s="390"/>
      <c r="RKY5" s="390"/>
      <c r="RKZ5" s="390"/>
      <c r="RLA5" s="390"/>
      <c r="RLB5" s="390"/>
      <c r="RLC5" s="390"/>
      <c r="RLD5" s="390"/>
      <c r="RLE5" s="390"/>
      <c r="RLF5" s="390"/>
      <c r="RLG5" s="390"/>
      <c r="RLH5" s="390"/>
      <c r="RLI5" s="390"/>
      <c r="RLJ5" s="390"/>
      <c r="RLK5" s="390"/>
      <c r="RLL5" s="390"/>
      <c r="RLM5" s="390"/>
      <c r="RLN5" s="390"/>
      <c r="RLO5" s="390"/>
      <c r="RLP5" s="390"/>
      <c r="RLQ5" s="390"/>
      <c r="RLR5" s="390"/>
      <c r="RLS5" s="390"/>
      <c r="RLT5" s="390"/>
      <c r="RLU5" s="390"/>
      <c r="RLV5" s="390"/>
      <c r="RLW5" s="390"/>
      <c r="RLX5" s="390"/>
      <c r="RLY5" s="390"/>
      <c r="RLZ5" s="390"/>
      <c r="RMA5" s="390"/>
      <c r="RMB5" s="390"/>
      <c r="RMC5" s="390"/>
      <c r="RMD5" s="390"/>
      <c r="RME5" s="390"/>
      <c r="RMF5" s="390"/>
      <c r="RMG5" s="390"/>
      <c r="RMH5" s="390"/>
      <c r="RMI5" s="390"/>
      <c r="RMJ5" s="390"/>
      <c r="RMK5" s="390"/>
      <c r="RML5" s="390"/>
      <c r="RMM5" s="390"/>
      <c r="RMN5" s="390"/>
      <c r="RMO5" s="390"/>
      <c r="RMP5" s="390"/>
      <c r="RMQ5" s="390"/>
      <c r="RMR5" s="390"/>
      <c r="RMS5" s="390"/>
      <c r="RMT5" s="390"/>
      <c r="RMU5" s="390"/>
      <c r="RMV5" s="390"/>
      <c r="RMW5" s="390"/>
      <c r="RMX5" s="390"/>
      <c r="RMY5" s="390"/>
      <c r="RMZ5" s="390"/>
      <c r="RNA5" s="390"/>
      <c r="RNB5" s="390"/>
      <c r="RNC5" s="390"/>
      <c r="RND5" s="390"/>
      <c r="RNE5" s="390"/>
      <c r="RNF5" s="390"/>
      <c r="RNG5" s="390"/>
      <c r="RNH5" s="390"/>
      <c r="RNI5" s="390"/>
      <c r="RNJ5" s="390"/>
      <c r="RNK5" s="390"/>
      <c r="RNL5" s="390"/>
      <c r="RNM5" s="390"/>
      <c r="RNN5" s="390"/>
      <c r="RNO5" s="390"/>
      <c r="RNP5" s="390"/>
      <c r="RNQ5" s="390"/>
      <c r="RNR5" s="390"/>
      <c r="RNS5" s="390"/>
      <c r="RNT5" s="390"/>
      <c r="RNU5" s="390"/>
      <c r="RNV5" s="390"/>
      <c r="RNW5" s="390"/>
      <c r="RNX5" s="390"/>
      <c r="RNY5" s="390"/>
      <c r="RNZ5" s="390"/>
      <c r="ROA5" s="390"/>
      <c r="ROB5" s="390"/>
      <c r="ROC5" s="390"/>
      <c r="ROD5" s="390"/>
      <c r="ROE5" s="390"/>
      <c r="ROF5" s="390"/>
      <c r="ROG5" s="390"/>
      <c r="ROH5" s="390"/>
      <c r="ROI5" s="390"/>
      <c r="ROJ5" s="390"/>
      <c r="ROK5" s="390"/>
      <c r="ROL5" s="390"/>
      <c r="ROM5" s="390"/>
      <c r="RON5" s="390"/>
      <c r="ROO5" s="390"/>
      <c r="ROP5" s="390"/>
      <c r="ROQ5" s="390"/>
      <c r="ROR5" s="390"/>
      <c r="ROS5" s="390"/>
      <c r="ROT5" s="390"/>
      <c r="ROU5" s="390"/>
      <c r="ROV5" s="390"/>
      <c r="ROW5" s="390"/>
      <c r="ROX5" s="390"/>
      <c r="ROY5" s="390"/>
      <c r="ROZ5" s="390"/>
      <c r="RPA5" s="390"/>
      <c r="RPB5" s="390"/>
      <c r="RPC5" s="390"/>
      <c r="RPD5" s="390"/>
      <c r="RPE5" s="390"/>
      <c r="RPF5" s="390"/>
      <c r="RPG5" s="390"/>
      <c r="RPH5" s="390"/>
      <c r="RPI5" s="390"/>
      <c r="RPJ5" s="390"/>
      <c r="RPK5" s="390"/>
      <c r="RPL5" s="390"/>
      <c r="RPM5" s="390"/>
      <c r="RPN5" s="390"/>
      <c r="RPO5" s="390"/>
      <c r="RPP5" s="390"/>
      <c r="RPQ5" s="390"/>
      <c r="RPR5" s="390"/>
      <c r="RPS5" s="390"/>
      <c r="RPT5" s="390"/>
      <c r="RPU5" s="390"/>
      <c r="RPV5" s="390"/>
      <c r="RPW5" s="390"/>
      <c r="RPX5" s="390"/>
      <c r="RPY5" s="390"/>
      <c r="RPZ5" s="390"/>
      <c r="RQA5" s="390"/>
      <c r="RQB5" s="390"/>
      <c r="RQC5" s="390"/>
      <c r="RQD5" s="390"/>
      <c r="RQE5" s="390"/>
      <c r="RQF5" s="390"/>
      <c r="RQG5" s="390"/>
      <c r="RQH5" s="390"/>
      <c r="RQI5" s="390"/>
      <c r="RQJ5" s="390"/>
      <c r="RQK5" s="390"/>
      <c r="RQL5" s="390"/>
      <c r="RQM5" s="390"/>
      <c r="RQN5" s="390"/>
      <c r="RQO5" s="390"/>
      <c r="RQP5" s="390"/>
      <c r="RQQ5" s="390"/>
      <c r="RQR5" s="390"/>
      <c r="RQS5" s="390"/>
      <c r="RQT5" s="390"/>
      <c r="RQU5" s="390"/>
      <c r="RQV5" s="390"/>
      <c r="RQW5" s="390"/>
      <c r="RQX5" s="390"/>
      <c r="RQY5" s="390"/>
      <c r="RQZ5" s="390"/>
      <c r="RRA5" s="390"/>
      <c r="RRB5" s="390"/>
      <c r="RRC5" s="390"/>
      <c r="RRD5" s="390"/>
      <c r="RRE5" s="390"/>
      <c r="RRF5" s="390"/>
      <c r="RRG5" s="390"/>
      <c r="RRH5" s="390"/>
      <c r="RRI5" s="390"/>
      <c r="RRJ5" s="390"/>
      <c r="RRK5" s="390"/>
      <c r="RRL5" s="390"/>
      <c r="RRM5" s="390"/>
      <c r="RRN5" s="390"/>
      <c r="RRO5" s="390"/>
      <c r="RRP5" s="390"/>
      <c r="RRQ5" s="390"/>
      <c r="RRR5" s="390"/>
      <c r="RRS5" s="390"/>
      <c r="RRT5" s="390"/>
      <c r="RRU5" s="390"/>
      <c r="RRV5" s="390"/>
      <c r="RRW5" s="390"/>
      <c r="RRX5" s="390"/>
      <c r="RRY5" s="390"/>
      <c r="RRZ5" s="390"/>
      <c r="RSA5" s="390"/>
      <c r="RSB5" s="390"/>
      <c r="RSC5" s="390"/>
      <c r="RSD5" s="390"/>
      <c r="RSE5" s="390"/>
      <c r="RSF5" s="390"/>
      <c r="RSG5" s="390"/>
      <c r="RSH5" s="390"/>
      <c r="RSI5" s="390"/>
      <c r="RSJ5" s="390"/>
      <c r="RSK5" s="390"/>
      <c r="RSL5" s="390"/>
      <c r="RSM5" s="390"/>
      <c r="RSN5" s="390"/>
      <c r="RSO5" s="390"/>
      <c r="RSP5" s="390"/>
      <c r="RSQ5" s="390"/>
      <c r="RSR5" s="390"/>
      <c r="RSS5" s="390"/>
      <c r="RST5" s="390"/>
      <c r="RSU5" s="390"/>
      <c r="RSV5" s="390"/>
      <c r="RSW5" s="390"/>
      <c r="RSX5" s="390"/>
      <c r="RSY5" s="390"/>
      <c r="RSZ5" s="390"/>
      <c r="RTA5" s="390"/>
      <c r="RTB5" s="390"/>
      <c r="RTC5" s="390"/>
      <c r="RTD5" s="390"/>
      <c r="RTE5" s="390"/>
      <c r="RTF5" s="390"/>
      <c r="RTG5" s="390"/>
      <c r="RTH5" s="390"/>
      <c r="RTI5" s="390"/>
      <c r="RTJ5" s="390"/>
      <c r="RTK5" s="390"/>
      <c r="RTL5" s="390"/>
      <c r="RTM5" s="390"/>
      <c r="RTN5" s="390"/>
      <c r="RTO5" s="390"/>
      <c r="RTP5" s="390"/>
      <c r="RTQ5" s="390"/>
      <c r="RTR5" s="390"/>
      <c r="RTS5" s="390"/>
      <c r="RTT5" s="390"/>
      <c r="RTU5" s="390"/>
      <c r="RTV5" s="390"/>
      <c r="RTW5" s="390"/>
      <c r="RTX5" s="390"/>
      <c r="RTY5" s="390"/>
      <c r="RTZ5" s="390"/>
      <c r="RUA5" s="390"/>
      <c r="RUB5" s="390"/>
      <c r="RUC5" s="390"/>
      <c r="RUD5" s="390"/>
      <c r="RUE5" s="390"/>
      <c r="RUF5" s="390"/>
      <c r="RUG5" s="390"/>
      <c r="RUH5" s="390"/>
      <c r="RUI5" s="390"/>
      <c r="RUJ5" s="390"/>
      <c r="RUK5" s="390"/>
      <c r="RUL5" s="390"/>
      <c r="RUM5" s="390"/>
      <c r="RUN5" s="390"/>
      <c r="RUO5" s="390"/>
      <c r="RUP5" s="390"/>
      <c r="RUQ5" s="390"/>
      <c r="RUR5" s="390"/>
      <c r="RUS5" s="390"/>
      <c r="RUT5" s="390"/>
      <c r="RUU5" s="390"/>
      <c r="RUV5" s="390"/>
      <c r="RUW5" s="390"/>
      <c r="RUX5" s="390"/>
      <c r="RUY5" s="390"/>
      <c r="RUZ5" s="390"/>
      <c r="RVA5" s="390"/>
      <c r="RVB5" s="390"/>
      <c r="RVC5" s="390"/>
      <c r="RVD5" s="390"/>
      <c r="RVE5" s="390"/>
      <c r="RVF5" s="390"/>
      <c r="RVG5" s="390"/>
      <c r="RVH5" s="390"/>
      <c r="RVI5" s="390"/>
      <c r="RVJ5" s="390"/>
      <c r="RVK5" s="390"/>
      <c r="RVL5" s="390"/>
      <c r="RVM5" s="390"/>
      <c r="RVN5" s="390"/>
      <c r="RVO5" s="390"/>
      <c r="RVP5" s="390"/>
      <c r="RVQ5" s="390"/>
      <c r="RVR5" s="390"/>
      <c r="RVS5" s="390"/>
      <c r="RVT5" s="390"/>
      <c r="RVU5" s="390"/>
      <c r="RVV5" s="390"/>
      <c r="RVW5" s="390"/>
      <c r="RVX5" s="390"/>
      <c r="RVY5" s="390"/>
      <c r="RVZ5" s="390"/>
      <c r="RWA5" s="390"/>
      <c r="RWB5" s="390"/>
      <c r="RWC5" s="390"/>
      <c r="RWD5" s="390"/>
      <c r="RWE5" s="390"/>
      <c r="RWF5" s="390"/>
      <c r="RWG5" s="390"/>
      <c r="RWH5" s="390"/>
      <c r="RWI5" s="390"/>
      <c r="RWJ5" s="390"/>
      <c r="RWK5" s="390"/>
      <c r="RWL5" s="390"/>
      <c r="RWM5" s="390"/>
      <c r="RWN5" s="390"/>
      <c r="RWO5" s="390"/>
      <c r="RWP5" s="390"/>
      <c r="RWQ5" s="390"/>
      <c r="RWR5" s="390"/>
      <c r="RWS5" s="390"/>
      <c r="RWT5" s="390"/>
      <c r="RWU5" s="390"/>
      <c r="RWV5" s="390"/>
      <c r="RWW5" s="390"/>
      <c r="RWX5" s="390"/>
      <c r="RWY5" s="390"/>
      <c r="RWZ5" s="390"/>
      <c r="RXA5" s="390"/>
      <c r="RXB5" s="390"/>
      <c r="RXC5" s="390"/>
      <c r="RXD5" s="390"/>
      <c r="RXE5" s="390"/>
      <c r="RXF5" s="390"/>
      <c r="RXG5" s="390"/>
      <c r="RXH5" s="390"/>
      <c r="RXI5" s="390"/>
      <c r="RXJ5" s="390"/>
      <c r="RXK5" s="390"/>
      <c r="RXL5" s="390"/>
      <c r="RXM5" s="390"/>
      <c r="RXN5" s="390"/>
      <c r="RXO5" s="390"/>
      <c r="RXP5" s="390"/>
      <c r="RXQ5" s="390"/>
      <c r="RXR5" s="390"/>
      <c r="RXS5" s="390"/>
      <c r="RXT5" s="390"/>
      <c r="RXU5" s="390"/>
      <c r="RXV5" s="390"/>
      <c r="RXW5" s="390"/>
      <c r="RXX5" s="390"/>
      <c r="RXY5" s="390"/>
      <c r="RXZ5" s="390"/>
      <c r="RYA5" s="390"/>
      <c r="RYB5" s="390"/>
      <c r="RYC5" s="390"/>
      <c r="RYD5" s="390"/>
      <c r="RYE5" s="390"/>
      <c r="RYF5" s="390"/>
      <c r="RYG5" s="390"/>
      <c r="RYH5" s="390"/>
      <c r="RYI5" s="390"/>
      <c r="RYJ5" s="390"/>
      <c r="RYK5" s="390"/>
      <c r="RYL5" s="390"/>
      <c r="RYM5" s="390"/>
      <c r="RYN5" s="390"/>
      <c r="RYO5" s="390"/>
      <c r="RYP5" s="390"/>
      <c r="RYQ5" s="390"/>
      <c r="RYR5" s="390"/>
      <c r="RYS5" s="390"/>
      <c r="RYT5" s="390"/>
      <c r="RYU5" s="390"/>
      <c r="RYV5" s="390"/>
      <c r="RYW5" s="390"/>
      <c r="RYX5" s="390"/>
      <c r="RYY5" s="390"/>
      <c r="RYZ5" s="390"/>
      <c r="RZA5" s="390"/>
      <c r="RZB5" s="390"/>
      <c r="RZC5" s="390"/>
      <c r="RZD5" s="390"/>
      <c r="RZE5" s="390"/>
      <c r="RZF5" s="390"/>
      <c r="RZG5" s="390"/>
      <c r="RZH5" s="390"/>
      <c r="RZI5" s="390"/>
      <c r="RZJ5" s="390"/>
      <c r="RZK5" s="390"/>
      <c r="RZL5" s="390"/>
      <c r="RZM5" s="390"/>
      <c r="RZN5" s="390"/>
      <c r="RZO5" s="390"/>
      <c r="RZP5" s="390"/>
      <c r="RZQ5" s="390"/>
      <c r="RZR5" s="390"/>
      <c r="RZS5" s="390"/>
      <c r="RZT5" s="390"/>
      <c r="RZU5" s="390"/>
      <c r="RZV5" s="390"/>
      <c r="RZW5" s="390"/>
      <c r="RZX5" s="390"/>
      <c r="RZY5" s="390"/>
      <c r="RZZ5" s="390"/>
      <c r="SAA5" s="390"/>
      <c r="SAB5" s="390"/>
      <c r="SAC5" s="390"/>
      <c r="SAD5" s="390"/>
      <c r="SAE5" s="390"/>
      <c r="SAF5" s="390"/>
      <c r="SAG5" s="390"/>
      <c r="SAH5" s="390"/>
      <c r="SAI5" s="390"/>
      <c r="SAJ5" s="390"/>
      <c r="SAK5" s="390"/>
      <c r="SAL5" s="390"/>
      <c r="SAM5" s="390"/>
      <c r="SAN5" s="390"/>
      <c r="SAO5" s="390"/>
      <c r="SAP5" s="390"/>
      <c r="SAQ5" s="390"/>
      <c r="SAR5" s="390"/>
      <c r="SAS5" s="390"/>
      <c r="SAT5" s="390"/>
      <c r="SAU5" s="390"/>
      <c r="SAV5" s="390"/>
      <c r="SAW5" s="390"/>
      <c r="SAX5" s="390"/>
      <c r="SAY5" s="390"/>
      <c r="SAZ5" s="390"/>
      <c r="SBA5" s="390"/>
      <c r="SBB5" s="390"/>
      <c r="SBC5" s="390"/>
      <c r="SBD5" s="390"/>
      <c r="SBE5" s="390"/>
      <c r="SBF5" s="390"/>
      <c r="SBG5" s="390"/>
      <c r="SBH5" s="390"/>
      <c r="SBI5" s="390"/>
      <c r="SBJ5" s="390"/>
      <c r="SBK5" s="390"/>
      <c r="SBL5" s="390"/>
      <c r="SBM5" s="390"/>
      <c r="SBN5" s="390"/>
      <c r="SBO5" s="390"/>
      <c r="SBP5" s="390"/>
      <c r="SBQ5" s="390"/>
      <c r="SBR5" s="390"/>
      <c r="SBS5" s="390"/>
      <c r="SBT5" s="390"/>
      <c r="SBU5" s="390"/>
      <c r="SBV5" s="390"/>
      <c r="SBW5" s="390"/>
      <c r="SBX5" s="390"/>
      <c r="SBY5" s="390"/>
      <c r="SBZ5" s="390"/>
      <c r="SCA5" s="390"/>
      <c r="SCB5" s="390"/>
      <c r="SCC5" s="390"/>
      <c r="SCD5" s="390"/>
      <c r="SCE5" s="390"/>
      <c r="SCF5" s="390"/>
      <c r="SCG5" s="390"/>
      <c r="SCH5" s="390"/>
      <c r="SCI5" s="390"/>
      <c r="SCJ5" s="390"/>
      <c r="SCK5" s="390"/>
      <c r="SCL5" s="390"/>
      <c r="SCM5" s="390"/>
      <c r="SCN5" s="390"/>
      <c r="SCO5" s="390"/>
      <c r="SCP5" s="390"/>
      <c r="SCQ5" s="390"/>
      <c r="SCR5" s="390"/>
      <c r="SCS5" s="390"/>
      <c r="SCT5" s="390"/>
      <c r="SCU5" s="390"/>
      <c r="SCV5" s="390"/>
      <c r="SCW5" s="390"/>
      <c r="SCX5" s="390"/>
      <c r="SCY5" s="390"/>
      <c r="SCZ5" s="390"/>
      <c r="SDA5" s="390"/>
      <c r="SDB5" s="390"/>
      <c r="SDC5" s="390"/>
      <c r="SDD5" s="390"/>
      <c r="SDE5" s="390"/>
      <c r="SDF5" s="390"/>
      <c r="SDG5" s="390"/>
      <c r="SDH5" s="390"/>
      <c r="SDI5" s="390"/>
      <c r="SDJ5" s="390"/>
      <c r="SDK5" s="390"/>
      <c r="SDL5" s="390"/>
      <c r="SDM5" s="390"/>
      <c r="SDN5" s="390"/>
      <c r="SDO5" s="390"/>
      <c r="SDP5" s="390"/>
      <c r="SDQ5" s="390"/>
      <c r="SDR5" s="390"/>
      <c r="SDS5" s="390"/>
      <c r="SDT5" s="390"/>
      <c r="SDU5" s="390"/>
      <c r="SDV5" s="390"/>
      <c r="SDW5" s="390"/>
      <c r="SDX5" s="390"/>
      <c r="SDY5" s="390"/>
      <c r="SDZ5" s="390"/>
      <c r="SEA5" s="390"/>
      <c r="SEB5" s="390"/>
      <c r="SEC5" s="390"/>
      <c r="SED5" s="390"/>
      <c r="SEE5" s="390"/>
      <c r="SEF5" s="390"/>
      <c r="SEG5" s="390"/>
      <c r="SEH5" s="390"/>
      <c r="SEI5" s="390"/>
      <c r="SEJ5" s="390"/>
      <c r="SEK5" s="390"/>
      <c r="SEL5" s="390"/>
      <c r="SEM5" s="390"/>
      <c r="SEN5" s="390"/>
      <c r="SEO5" s="390"/>
      <c r="SEP5" s="390"/>
      <c r="SEQ5" s="390"/>
      <c r="SER5" s="390"/>
      <c r="SES5" s="390"/>
      <c r="SET5" s="390"/>
      <c r="SEU5" s="390"/>
      <c r="SEV5" s="390"/>
      <c r="SEW5" s="390"/>
      <c r="SEX5" s="390"/>
      <c r="SEY5" s="390"/>
      <c r="SEZ5" s="390"/>
      <c r="SFA5" s="390"/>
      <c r="SFB5" s="390"/>
      <c r="SFC5" s="390"/>
      <c r="SFD5" s="390"/>
      <c r="SFE5" s="390"/>
      <c r="SFF5" s="390"/>
      <c r="SFG5" s="390"/>
      <c r="SFH5" s="390"/>
      <c r="SFI5" s="390"/>
      <c r="SFJ5" s="390"/>
      <c r="SFK5" s="390"/>
      <c r="SFL5" s="390"/>
      <c r="SFM5" s="390"/>
      <c r="SFN5" s="390"/>
      <c r="SFO5" s="390"/>
      <c r="SFP5" s="390"/>
      <c r="SFQ5" s="390"/>
      <c r="SFR5" s="390"/>
      <c r="SFS5" s="390"/>
      <c r="SFT5" s="390"/>
      <c r="SFU5" s="390"/>
      <c r="SFV5" s="390"/>
      <c r="SFW5" s="390"/>
      <c r="SFX5" s="390"/>
      <c r="SFY5" s="390"/>
      <c r="SFZ5" s="390"/>
      <c r="SGA5" s="390"/>
      <c r="SGB5" s="390"/>
      <c r="SGC5" s="390"/>
      <c r="SGD5" s="390"/>
      <c r="SGE5" s="390"/>
      <c r="SGF5" s="390"/>
      <c r="SGG5" s="390"/>
      <c r="SGH5" s="390"/>
      <c r="SGI5" s="390"/>
      <c r="SGJ5" s="390"/>
      <c r="SGK5" s="390"/>
      <c r="SGL5" s="390"/>
      <c r="SGM5" s="390"/>
      <c r="SGN5" s="390"/>
      <c r="SGO5" s="390"/>
      <c r="SGP5" s="390"/>
      <c r="SGQ5" s="390"/>
      <c r="SGR5" s="390"/>
      <c r="SGS5" s="390"/>
      <c r="SGT5" s="390"/>
      <c r="SGU5" s="390"/>
      <c r="SGV5" s="390"/>
      <c r="SGW5" s="390"/>
      <c r="SGX5" s="390"/>
      <c r="SGY5" s="390"/>
      <c r="SGZ5" s="390"/>
      <c r="SHA5" s="390"/>
      <c r="SHB5" s="390"/>
      <c r="SHC5" s="390"/>
      <c r="SHD5" s="390"/>
      <c r="SHE5" s="390"/>
      <c r="SHF5" s="390"/>
      <c r="SHG5" s="390"/>
      <c r="SHH5" s="390"/>
      <c r="SHI5" s="390"/>
      <c r="SHJ5" s="390"/>
      <c r="SHK5" s="390"/>
      <c r="SHL5" s="390"/>
      <c r="SHM5" s="390"/>
      <c r="SHN5" s="390"/>
      <c r="SHO5" s="390"/>
      <c r="SHP5" s="390"/>
      <c r="SHQ5" s="390"/>
      <c r="SHR5" s="390"/>
      <c r="SHS5" s="390"/>
      <c r="SHT5" s="390"/>
      <c r="SHU5" s="390"/>
      <c r="SHV5" s="390"/>
      <c r="SHW5" s="390"/>
      <c r="SHX5" s="390"/>
      <c r="SHY5" s="390"/>
      <c r="SHZ5" s="390"/>
      <c r="SIA5" s="390"/>
      <c r="SIB5" s="390"/>
      <c r="SIC5" s="390"/>
      <c r="SID5" s="390"/>
      <c r="SIE5" s="390"/>
      <c r="SIF5" s="390"/>
      <c r="SIG5" s="390"/>
      <c r="SIH5" s="390"/>
      <c r="SII5" s="390"/>
      <c r="SIJ5" s="390"/>
      <c r="SIK5" s="390"/>
      <c r="SIL5" s="390"/>
      <c r="SIM5" s="390"/>
      <c r="SIN5" s="390"/>
      <c r="SIO5" s="390"/>
      <c r="SIP5" s="390"/>
      <c r="SIQ5" s="390"/>
      <c r="SIR5" s="390"/>
      <c r="SIS5" s="390"/>
      <c r="SIT5" s="390"/>
      <c r="SIU5" s="390"/>
      <c r="SIV5" s="390"/>
      <c r="SIW5" s="390"/>
      <c r="SIX5" s="390"/>
      <c r="SIY5" s="390"/>
      <c r="SIZ5" s="390"/>
      <c r="SJA5" s="390"/>
      <c r="SJB5" s="390"/>
      <c r="SJC5" s="390"/>
      <c r="SJD5" s="390"/>
      <c r="SJE5" s="390"/>
      <c r="SJF5" s="390"/>
      <c r="SJG5" s="390"/>
      <c r="SJH5" s="390"/>
      <c r="SJI5" s="390"/>
      <c r="SJJ5" s="390"/>
      <c r="SJK5" s="390"/>
      <c r="SJL5" s="390"/>
      <c r="SJM5" s="390"/>
      <c r="SJN5" s="390"/>
      <c r="SJO5" s="390"/>
      <c r="SJP5" s="390"/>
      <c r="SJQ5" s="390"/>
      <c r="SJR5" s="390"/>
      <c r="SJS5" s="390"/>
      <c r="SJT5" s="390"/>
      <c r="SJU5" s="390"/>
      <c r="SJV5" s="390"/>
      <c r="SJW5" s="390"/>
      <c r="SJX5" s="390"/>
      <c r="SJY5" s="390"/>
      <c r="SJZ5" s="390"/>
      <c r="SKA5" s="390"/>
      <c r="SKB5" s="390"/>
      <c r="SKC5" s="390"/>
      <c r="SKD5" s="390"/>
      <c r="SKE5" s="390"/>
      <c r="SKF5" s="390"/>
      <c r="SKG5" s="390"/>
      <c r="SKH5" s="390"/>
      <c r="SKI5" s="390"/>
      <c r="SKJ5" s="390"/>
      <c r="SKK5" s="390"/>
      <c r="SKL5" s="390"/>
      <c r="SKM5" s="390"/>
      <c r="SKN5" s="390"/>
      <c r="SKO5" s="390"/>
      <c r="SKP5" s="390"/>
      <c r="SKQ5" s="390"/>
      <c r="SKR5" s="390"/>
      <c r="SKS5" s="390"/>
      <c r="SKT5" s="390"/>
      <c r="SKU5" s="390"/>
      <c r="SKV5" s="390"/>
      <c r="SKW5" s="390"/>
      <c r="SKX5" s="390"/>
      <c r="SKY5" s="390"/>
      <c r="SKZ5" s="390"/>
      <c r="SLA5" s="390"/>
      <c r="SLB5" s="390"/>
      <c r="SLC5" s="390"/>
      <c r="SLD5" s="390"/>
      <c r="SLE5" s="390"/>
      <c r="SLF5" s="390"/>
      <c r="SLG5" s="390"/>
      <c r="SLH5" s="390"/>
      <c r="SLI5" s="390"/>
      <c r="SLJ5" s="390"/>
      <c r="SLK5" s="390"/>
      <c r="SLL5" s="390"/>
      <c r="SLM5" s="390"/>
      <c r="SLN5" s="390"/>
      <c r="SLO5" s="390"/>
      <c r="SLP5" s="390"/>
      <c r="SLQ5" s="390"/>
      <c r="SLR5" s="390"/>
      <c r="SLS5" s="390"/>
      <c r="SLT5" s="390"/>
      <c r="SLU5" s="390"/>
      <c r="SLV5" s="390"/>
      <c r="SLW5" s="390"/>
      <c r="SLX5" s="390"/>
      <c r="SLY5" s="390"/>
      <c r="SLZ5" s="390"/>
      <c r="SMA5" s="390"/>
      <c r="SMB5" s="390"/>
      <c r="SMC5" s="390"/>
      <c r="SMD5" s="390"/>
      <c r="SME5" s="390"/>
      <c r="SMF5" s="390"/>
      <c r="SMG5" s="390"/>
      <c r="SMH5" s="390"/>
      <c r="SMI5" s="390"/>
      <c r="SMJ5" s="390"/>
      <c r="SMK5" s="390"/>
      <c r="SML5" s="390"/>
      <c r="SMM5" s="390"/>
      <c r="SMN5" s="390"/>
      <c r="SMO5" s="390"/>
      <c r="SMP5" s="390"/>
      <c r="SMQ5" s="390"/>
      <c r="SMR5" s="390"/>
      <c r="SMS5" s="390"/>
      <c r="SMT5" s="390"/>
      <c r="SMU5" s="390"/>
      <c r="SMV5" s="390"/>
      <c r="SMW5" s="390"/>
      <c r="SMX5" s="390"/>
      <c r="SMY5" s="390"/>
      <c r="SMZ5" s="390"/>
      <c r="SNA5" s="390"/>
      <c r="SNB5" s="390"/>
      <c r="SNC5" s="390"/>
      <c r="SND5" s="390"/>
      <c r="SNE5" s="390"/>
      <c r="SNF5" s="390"/>
      <c r="SNG5" s="390"/>
      <c r="SNH5" s="390"/>
      <c r="SNI5" s="390"/>
      <c r="SNJ5" s="390"/>
      <c r="SNK5" s="390"/>
      <c r="SNL5" s="390"/>
      <c r="SNM5" s="390"/>
      <c r="SNN5" s="390"/>
      <c r="SNO5" s="390"/>
      <c r="SNP5" s="390"/>
      <c r="SNQ5" s="390"/>
      <c r="SNR5" s="390"/>
      <c r="SNS5" s="390"/>
      <c r="SNT5" s="390"/>
      <c r="SNU5" s="390"/>
      <c r="SNV5" s="390"/>
      <c r="SNW5" s="390"/>
      <c r="SNX5" s="390"/>
      <c r="SNY5" s="390"/>
      <c r="SNZ5" s="390"/>
      <c r="SOA5" s="390"/>
      <c r="SOB5" s="390"/>
      <c r="SOC5" s="390"/>
      <c r="SOD5" s="390"/>
      <c r="SOE5" s="390"/>
      <c r="SOF5" s="390"/>
      <c r="SOG5" s="390"/>
      <c r="SOH5" s="390"/>
      <c r="SOI5" s="390"/>
      <c r="SOJ5" s="390"/>
      <c r="SOK5" s="390"/>
      <c r="SOL5" s="390"/>
      <c r="SOM5" s="390"/>
      <c r="SON5" s="390"/>
      <c r="SOO5" s="390"/>
      <c r="SOP5" s="390"/>
      <c r="SOQ5" s="390"/>
      <c r="SOR5" s="390"/>
      <c r="SOS5" s="390"/>
      <c r="SOT5" s="390"/>
      <c r="SOU5" s="390"/>
      <c r="SOV5" s="390"/>
      <c r="SOW5" s="390"/>
      <c r="SOX5" s="390"/>
      <c r="SOY5" s="390"/>
      <c r="SOZ5" s="390"/>
      <c r="SPA5" s="390"/>
      <c r="SPB5" s="390"/>
      <c r="SPC5" s="390"/>
      <c r="SPD5" s="390"/>
      <c r="SPE5" s="390"/>
      <c r="SPF5" s="390"/>
      <c r="SPG5" s="390"/>
      <c r="SPH5" s="390"/>
      <c r="SPI5" s="390"/>
      <c r="SPJ5" s="390"/>
      <c r="SPK5" s="390"/>
      <c r="SPL5" s="390"/>
      <c r="SPM5" s="390"/>
      <c r="SPN5" s="390"/>
      <c r="SPO5" s="390"/>
      <c r="SPP5" s="390"/>
      <c r="SPQ5" s="390"/>
      <c r="SPR5" s="390"/>
      <c r="SPS5" s="390"/>
      <c r="SPT5" s="390"/>
      <c r="SPU5" s="390"/>
      <c r="SPV5" s="390"/>
      <c r="SPW5" s="390"/>
      <c r="SPX5" s="390"/>
      <c r="SPY5" s="390"/>
      <c r="SPZ5" s="390"/>
      <c r="SQA5" s="390"/>
      <c r="SQB5" s="390"/>
      <c r="SQC5" s="390"/>
      <c r="SQD5" s="390"/>
      <c r="SQE5" s="390"/>
      <c r="SQF5" s="390"/>
      <c r="SQG5" s="390"/>
      <c r="SQH5" s="390"/>
      <c r="SQI5" s="390"/>
      <c r="SQJ5" s="390"/>
      <c r="SQK5" s="390"/>
      <c r="SQL5" s="390"/>
      <c r="SQM5" s="390"/>
      <c r="SQN5" s="390"/>
      <c r="SQO5" s="390"/>
      <c r="SQP5" s="390"/>
      <c r="SQQ5" s="390"/>
      <c r="SQR5" s="390"/>
      <c r="SQS5" s="390"/>
      <c r="SQT5" s="390"/>
      <c r="SQU5" s="390"/>
      <c r="SQV5" s="390"/>
      <c r="SQW5" s="390"/>
      <c r="SQX5" s="390"/>
      <c r="SQY5" s="390"/>
      <c r="SQZ5" s="390"/>
      <c r="SRA5" s="390"/>
      <c r="SRB5" s="390"/>
      <c r="SRC5" s="390"/>
      <c r="SRD5" s="390"/>
      <c r="SRE5" s="390"/>
      <c r="SRF5" s="390"/>
      <c r="SRG5" s="390"/>
      <c r="SRH5" s="390"/>
      <c r="SRI5" s="390"/>
      <c r="SRJ5" s="390"/>
      <c r="SRK5" s="390"/>
      <c r="SRL5" s="390"/>
      <c r="SRM5" s="390"/>
      <c r="SRN5" s="390"/>
      <c r="SRO5" s="390"/>
      <c r="SRP5" s="390"/>
      <c r="SRQ5" s="390"/>
      <c r="SRR5" s="390"/>
      <c r="SRS5" s="390"/>
      <c r="SRT5" s="390"/>
      <c r="SRU5" s="390"/>
      <c r="SRV5" s="390"/>
      <c r="SRW5" s="390"/>
      <c r="SRX5" s="390"/>
      <c r="SRY5" s="390"/>
      <c r="SRZ5" s="390"/>
      <c r="SSA5" s="390"/>
      <c r="SSB5" s="390"/>
      <c r="SSC5" s="390"/>
      <c r="SSD5" s="390"/>
      <c r="SSE5" s="390"/>
      <c r="SSF5" s="390"/>
      <c r="SSG5" s="390"/>
      <c r="SSH5" s="390"/>
      <c r="SSI5" s="390"/>
      <c r="SSJ5" s="390"/>
      <c r="SSK5" s="390"/>
      <c r="SSL5" s="390"/>
      <c r="SSM5" s="390"/>
      <c r="SSN5" s="390"/>
      <c r="SSO5" s="390"/>
      <c r="SSP5" s="390"/>
      <c r="SSQ5" s="390"/>
      <c r="SSR5" s="390"/>
      <c r="SSS5" s="390"/>
      <c r="SST5" s="390"/>
      <c r="SSU5" s="390"/>
      <c r="SSV5" s="390"/>
      <c r="SSW5" s="390"/>
      <c r="SSX5" s="390"/>
      <c r="SSY5" s="390"/>
      <c r="SSZ5" s="390"/>
      <c r="STA5" s="390"/>
      <c r="STB5" s="390"/>
      <c r="STC5" s="390"/>
      <c r="STD5" s="390"/>
      <c r="STE5" s="390"/>
      <c r="STF5" s="390"/>
      <c r="STG5" s="390"/>
      <c r="STH5" s="390"/>
      <c r="STI5" s="390"/>
      <c r="STJ5" s="390"/>
      <c r="STK5" s="390"/>
      <c r="STL5" s="390"/>
      <c r="STM5" s="390"/>
      <c r="STN5" s="390"/>
      <c r="STO5" s="390"/>
      <c r="STP5" s="390"/>
      <c r="STQ5" s="390"/>
      <c r="STR5" s="390"/>
      <c r="STS5" s="390"/>
      <c r="STT5" s="390"/>
      <c r="STU5" s="390"/>
      <c r="STV5" s="390"/>
      <c r="STW5" s="390"/>
      <c r="STX5" s="390"/>
      <c r="STY5" s="390"/>
      <c r="STZ5" s="390"/>
      <c r="SUA5" s="390"/>
      <c r="SUB5" s="390"/>
      <c r="SUC5" s="390"/>
      <c r="SUD5" s="390"/>
      <c r="SUE5" s="390"/>
      <c r="SUF5" s="390"/>
      <c r="SUG5" s="390"/>
      <c r="SUH5" s="390"/>
      <c r="SUI5" s="390"/>
      <c r="SUJ5" s="390"/>
      <c r="SUK5" s="390"/>
      <c r="SUL5" s="390"/>
      <c r="SUM5" s="390"/>
      <c r="SUN5" s="390"/>
      <c r="SUO5" s="390"/>
      <c r="SUP5" s="390"/>
      <c r="SUQ5" s="390"/>
      <c r="SUR5" s="390"/>
      <c r="SUS5" s="390"/>
      <c r="SUT5" s="390"/>
      <c r="SUU5" s="390"/>
      <c r="SUV5" s="390"/>
      <c r="SUW5" s="390"/>
      <c r="SUX5" s="390"/>
      <c r="SUY5" s="390"/>
      <c r="SUZ5" s="390"/>
      <c r="SVA5" s="390"/>
      <c r="SVB5" s="390"/>
      <c r="SVC5" s="390"/>
      <c r="SVD5" s="390"/>
      <c r="SVE5" s="390"/>
      <c r="SVF5" s="390"/>
      <c r="SVG5" s="390"/>
      <c r="SVH5" s="390"/>
      <c r="SVI5" s="390"/>
      <c r="SVJ5" s="390"/>
      <c r="SVK5" s="390"/>
      <c r="SVL5" s="390"/>
      <c r="SVM5" s="390"/>
      <c r="SVN5" s="390"/>
      <c r="SVO5" s="390"/>
      <c r="SVP5" s="390"/>
      <c r="SVQ5" s="390"/>
      <c r="SVR5" s="390"/>
      <c r="SVS5" s="390"/>
      <c r="SVT5" s="390"/>
      <c r="SVU5" s="390"/>
      <c r="SVV5" s="390"/>
      <c r="SVW5" s="390"/>
      <c r="SVX5" s="390"/>
      <c r="SVY5" s="390"/>
      <c r="SVZ5" s="390"/>
      <c r="SWA5" s="390"/>
      <c r="SWB5" s="390"/>
      <c r="SWC5" s="390"/>
      <c r="SWD5" s="390"/>
      <c r="SWE5" s="390"/>
      <c r="SWF5" s="390"/>
      <c r="SWG5" s="390"/>
      <c r="SWH5" s="390"/>
      <c r="SWI5" s="390"/>
      <c r="SWJ5" s="390"/>
      <c r="SWK5" s="390"/>
      <c r="SWL5" s="390"/>
      <c r="SWM5" s="390"/>
      <c r="SWN5" s="390"/>
      <c r="SWO5" s="390"/>
      <c r="SWP5" s="390"/>
      <c r="SWQ5" s="390"/>
      <c r="SWR5" s="390"/>
      <c r="SWS5" s="390"/>
      <c r="SWT5" s="390"/>
      <c r="SWU5" s="390"/>
      <c r="SWV5" s="390"/>
      <c r="SWW5" s="390"/>
      <c r="SWX5" s="390"/>
      <c r="SWY5" s="390"/>
      <c r="SWZ5" s="390"/>
      <c r="SXA5" s="390"/>
      <c r="SXB5" s="390"/>
      <c r="SXC5" s="390"/>
      <c r="SXD5" s="390"/>
      <c r="SXE5" s="390"/>
      <c r="SXF5" s="390"/>
      <c r="SXG5" s="390"/>
      <c r="SXH5" s="390"/>
      <c r="SXI5" s="390"/>
      <c r="SXJ5" s="390"/>
      <c r="SXK5" s="390"/>
      <c r="SXL5" s="390"/>
      <c r="SXM5" s="390"/>
      <c r="SXN5" s="390"/>
      <c r="SXO5" s="390"/>
      <c r="SXP5" s="390"/>
      <c r="SXQ5" s="390"/>
      <c r="SXR5" s="390"/>
      <c r="SXS5" s="390"/>
      <c r="SXT5" s="390"/>
      <c r="SXU5" s="390"/>
      <c r="SXV5" s="390"/>
      <c r="SXW5" s="390"/>
      <c r="SXX5" s="390"/>
      <c r="SXY5" s="390"/>
      <c r="SXZ5" s="390"/>
      <c r="SYA5" s="390"/>
      <c r="SYB5" s="390"/>
      <c r="SYC5" s="390"/>
      <c r="SYD5" s="390"/>
      <c r="SYE5" s="390"/>
      <c r="SYF5" s="390"/>
      <c r="SYG5" s="390"/>
      <c r="SYH5" s="390"/>
      <c r="SYI5" s="390"/>
      <c r="SYJ5" s="390"/>
      <c r="SYK5" s="390"/>
      <c r="SYL5" s="390"/>
      <c r="SYM5" s="390"/>
      <c r="SYN5" s="390"/>
      <c r="SYO5" s="390"/>
      <c r="SYP5" s="390"/>
      <c r="SYQ5" s="390"/>
      <c r="SYR5" s="390"/>
      <c r="SYS5" s="390"/>
      <c r="SYT5" s="390"/>
      <c r="SYU5" s="390"/>
      <c r="SYV5" s="390"/>
      <c r="SYW5" s="390"/>
      <c r="SYX5" s="390"/>
      <c r="SYY5" s="390"/>
      <c r="SYZ5" s="390"/>
      <c r="SZA5" s="390"/>
      <c r="SZB5" s="390"/>
      <c r="SZC5" s="390"/>
      <c r="SZD5" s="390"/>
      <c r="SZE5" s="390"/>
      <c r="SZF5" s="390"/>
      <c r="SZG5" s="390"/>
      <c r="SZH5" s="390"/>
      <c r="SZI5" s="390"/>
      <c r="SZJ5" s="390"/>
      <c r="SZK5" s="390"/>
      <c r="SZL5" s="390"/>
      <c r="SZM5" s="390"/>
      <c r="SZN5" s="390"/>
      <c r="SZO5" s="390"/>
      <c r="SZP5" s="390"/>
      <c r="SZQ5" s="390"/>
      <c r="SZR5" s="390"/>
      <c r="SZS5" s="390"/>
      <c r="SZT5" s="390"/>
      <c r="SZU5" s="390"/>
      <c r="SZV5" s="390"/>
      <c r="SZW5" s="390"/>
      <c r="SZX5" s="390"/>
      <c r="SZY5" s="390"/>
      <c r="SZZ5" s="390"/>
      <c r="TAA5" s="390"/>
      <c r="TAB5" s="390"/>
      <c r="TAC5" s="390"/>
      <c r="TAD5" s="390"/>
      <c r="TAE5" s="390"/>
      <c r="TAF5" s="390"/>
      <c r="TAG5" s="390"/>
      <c r="TAH5" s="390"/>
      <c r="TAI5" s="390"/>
      <c r="TAJ5" s="390"/>
      <c r="TAK5" s="390"/>
      <c r="TAL5" s="390"/>
      <c r="TAM5" s="390"/>
      <c r="TAN5" s="390"/>
      <c r="TAO5" s="390"/>
      <c r="TAP5" s="390"/>
      <c r="TAQ5" s="390"/>
      <c r="TAR5" s="390"/>
      <c r="TAS5" s="390"/>
      <c r="TAT5" s="390"/>
      <c r="TAU5" s="390"/>
      <c r="TAV5" s="390"/>
      <c r="TAW5" s="390"/>
      <c r="TAX5" s="390"/>
      <c r="TAY5" s="390"/>
      <c r="TAZ5" s="390"/>
      <c r="TBA5" s="390"/>
      <c r="TBB5" s="390"/>
      <c r="TBC5" s="390"/>
      <c r="TBD5" s="390"/>
      <c r="TBE5" s="390"/>
      <c r="TBF5" s="390"/>
      <c r="TBG5" s="390"/>
      <c r="TBH5" s="390"/>
      <c r="TBI5" s="390"/>
      <c r="TBJ5" s="390"/>
      <c r="TBK5" s="390"/>
      <c r="TBL5" s="390"/>
      <c r="TBM5" s="390"/>
      <c r="TBN5" s="390"/>
      <c r="TBO5" s="390"/>
      <c r="TBP5" s="390"/>
      <c r="TBQ5" s="390"/>
      <c r="TBR5" s="390"/>
      <c r="TBS5" s="390"/>
      <c r="TBT5" s="390"/>
      <c r="TBU5" s="390"/>
      <c r="TBV5" s="390"/>
      <c r="TBW5" s="390"/>
      <c r="TBX5" s="390"/>
      <c r="TBY5" s="390"/>
      <c r="TBZ5" s="390"/>
      <c r="TCA5" s="390"/>
      <c r="TCB5" s="390"/>
      <c r="TCC5" s="390"/>
      <c r="TCD5" s="390"/>
      <c r="TCE5" s="390"/>
      <c r="TCF5" s="390"/>
      <c r="TCG5" s="390"/>
      <c r="TCH5" s="390"/>
      <c r="TCI5" s="390"/>
      <c r="TCJ5" s="390"/>
      <c r="TCK5" s="390"/>
      <c r="TCL5" s="390"/>
      <c r="TCM5" s="390"/>
      <c r="TCN5" s="390"/>
      <c r="TCO5" s="390"/>
      <c r="TCP5" s="390"/>
      <c r="TCQ5" s="390"/>
      <c r="TCR5" s="390"/>
      <c r="TCS5" s="390"/>
      <c r="TCT5" s="390"/>
      <c r="TCU5" s="390"/>
      <c r="TCV5" s="390"/>
      <c r="TCW5" s="390"/>
      <c r="TCX5" s="390"/>
      <c r="TCY5" s="390"/>
      <c r="TCZ5" s="390"/>
      <c r="TDA5" s="390"/>
      <c r="TDB5" s="390"/>
      <c r="TDC5" s="390"/>
      <c r="TDD5" s="390"/>
      <c r="TDE5" s="390"/>
      <c r="TDF5" s="390"/>
      <c r="TDG5" s="390"/>
      <c r="TDH5" s="390"/>
      <c r="TDI5" s="390"/>
      <c r="TDJ5" s="390"/>
      <c r="TDK5" s="390"/>
      <c r="TDL5" s="390"/>
      <c r="TDM5" s="390"/>
      <c r="TDN5" s="390"/>
      <c r="TDO5" s="390"/>
      <c r="TDP5" s="390"/>
      <c r="TDQ5" s="390"/>
      <c r="TDR5" s="390"/>
      <c r="TDS5" s="390"/>
      <c r="TDT5" s="390"/>
      <c r="TDU5" s="390"/>
      <c r="TDV5" s="390"/>
      <c r="TDW5" s="390"/>
      <c r="TDX5" s="390"/>
      <c r="TDY5" s="390"/>
      <c r="TDZ5" s="390"/>
      <c r="TEA5" s="390"/>
      <c r="TEB5" s="390"/>
      <c r="TEC5" s="390"/>
      <c r="TED5" s="390"/>
      <c r="TEE5" s="390"/>
      <c r="TEF5" s="390"/>
      <c r="TEG5" s="390"/>
      <c r="TEH5" s="390"/>
      <c r="TEI5" s="390"/>
      <c r="TEJ5" s="390"/>
      <c r="TEK5" s="390"/>
      <c r="TEL5" s="390"/>
      <c r="TEM5" s="390"/>
      <c r="TEN5" s="390"/>
      <c r="TEO5" s="390"/>
      <c r="TEP5" s="390"/>
      <c r="TEQ5" s="390"/>
      <c r="TER5" s="390"/>
      <c r="TES5" s="390"/>
      <c r="TET5" s="390"/>
      <c r="TEU5" s="390"/>
      <c r="TEV5" s="390"/>
      <c r="TEW5" s="390"/>
      <c r="TEX5" s="390"/>
      <c r="TEY5" s="390"/>
      <c r="TEZ5" s="390"/>
      <c r="TFA5" s="390"/>
      <c r="TFB5" s="390"/>
      <c r="TFC5" s="390"/>
      <c r="TFD5" s="390"/>
      <c r="TFE5" s="390"/>
      <c r="TFF5" s="390"/>
      <c r="TFG5" s="390"/>
      <c r="TFH5" s="390"/>
      <c r="TFI5" s="390"/>
      <c r="TFJ5" s="390"/>
      <c r="TFK5" s="390"/>
      <c r="TFL5" s="390"/>
      <c r="TFM5" s="390"/>
      <c r="TFN5" s="390"/>
      <c r="TFO5" s="390"/>
      <c r="TFP5" s="390"/>
      <c r="TFQ5" s="390"/>
      <c r="TFR5" s="390"/>
      <c r="TFS5" s="390"/>
      <c r="TFT5" s="390"/>
      <c r="TFU5" s="390"/>
      <c r="TFV5" s="390"/>
      <c r="TFW5" s="390"/>
      <c r="TFX5" s="390"/>
      <c r="TFY5" s="390"/>
      <c r="TFZ5" s="390"/>
      <c r="TGA5" s="390"/>
      <c r="TGB5" s="390"/>
      <c r="TGC5" s="390"/>
      <c r="TGD5" s="390"/>
      <c r="TGE5" s="390"/>
      <c r="TGF5" s="390"/>
      <c r="TGG5" s="390"/>
      <c r="TGH5" s="390"/>
      <c r="TGI5" s="390"/>
      <c r="TGJ5" s="390"/>
      <c r="TGK5" s="390"/>
      <c r="TGL5" s="390"/>
      <c r="TGM5" s="390"/>
      <c r="TGN5" s="390"/>
      <c r="TGO5" s="390"/>
      <c r="TGP5" s="390"/>
      <c r="TGQ5" s="390"/>
      <c r="TGR5" s="390"/>
      <c r="TGS5" s="390"/>
      <c r="TGT5" s="390"/>
      <c r="TGU5" s="390"/>
      <c r="TGV5" s="390"/>
      <c r="TGW5" s="390"/>
      <c r="TGX5" s="390"/>
      <c r="TGY5" s="390"/>
      <c r="TGZ5" s="390"/>
      <c r="THA5" s="390"/>
      <c r="THB5" s="390"/>
      <c r="THC5" s="390"/>
      <c r="THD5" s="390"/>
      <c r="THE5" s="390"/>
      <c r="THF5" s="390"/>
      <c r="THG5" s="390"/>
      <c r="THH5" s="390"/>
      <c r="THI5" s="390"/>
      <c r="THJ5" s="390"/>
      <c r="THK5" s="390"/>
      <c r="THL5" s="390"/>
      <c r="THM5" s="390"/>
      <c r="THN5" s="390"/>
      <c r="THO5" s="390"/>
      <c r="THP5" s="390"/>
      <c r="THQ5" s="390"/>
      <c r="THR5" s="390"/>
      <c r="THS5" s="390"/>
      <c r="THT5" s="390"/>
      <c r="THU5" s="390"/>
      <c r="THV5" s="390"/>
      <c r="THW5" s="390"/>
      <c r="THX5" s="390"/>
      <c r="THY5" s="390"/>
      <c r="THZ5" s="390"/>
      <c r="TIA5" s="390"/>
      <c r="TIB5" s="390"/>
      <c r="TIC5" s="390"/>
      <c r="TID5" s="390"/>
      <c r="TIE5" s="390"/>
      <c r="TIF5" s="390"/>
      <c r="TIG5" s="390"/>
      <c r="TIH5" s="390"/>
      <c r="TII5" s="390"/>
      <c r="TIJ5" s="390"/>
      <c r="TIK5" s="390"/>
      <c r="TIL5" s="390"/>
      <c r="TIM5" s="390"/>
      <c r="TIN5" s="390"/>
      <c r="TIO5" s="390"/>
      <c r="TIP5" s="390"/>
      <c r="TIQ5" s="390"/>
      <c r="TIR5" s="390"/>
      <c r="TIS5" s="390"/>
      <c r="TIT5" s="390"/>
      <c r="TIU5" s="390"/>
      <c r="TIV5" s="390"/>
      <c r="TIW5" s="390"/>
      <c r="TIX5" s="390"/>
      <c r="TIY5" s="390"/>
      <c r="TIZ5" s="390"/>
      <c r="TJA5" s="390"/>
      <c r="TJB5" s="390"/>
      <c r="TJC5" s="390"/>
      <c r="TJD5" s="390"/>
      <c r="TJE5" s="390"/>
      <c r="TJF5" s="390"/>
      <c r="TJG5" s="390"/>
      <c r="TJH5" s="390"/>
      <c r="TJI5" s="390"/>
      <c r="TJJ5" s="390"/>
      <c r="TJK5" s="390"/>
      <c r="TJL5" s="390"/>
      <c r="TJM5" s="390"/>
      <c r="TJN5" s="390"/>
      <c r="TJO5" s="390"/>
      <c r="TJP5" s="390"/>
      <c r="TJQ5" s="390"/>
      <c r="TJR5" s="390"/>
      <c r="TJS5" s="390"/>
      <c r="TJT5" s="390"/>
      <c r="TJU5" s="390"/>
      <c r="TJV5" s="390"/>
      <c r="TJW5" s="390"/>
      <c r="TJX5" s="390"/>
      <c r="TJY5" s="390"/>
      <c r="TJZ5" s="390"/>
      <c r="TKA5" s="390"/>
      <c r="TKB5" s="390"/>
      <c r="TKC5" s="390"/>
      <c r="TKD5" s="390"/>
      <c r="TKE5" s="390"/>
      <c r="TKF5" s="390"/>
      <c r="TKG5" s="390"/>
      <c r="TKH5" s="390"/>
      <c r="TKI5" s="390"/>
      <c r="TKJ5" s="390"/>
      <c r="TKK5" s="390"/>
      <c r="TKL5" s="390"/>
      <c r="TKM5" s="390"/>
      <c r="TKN5" s="390"/>
      <c r="TKO5" s="390"/>
      <c r="TKP5" s="390"/>
      <c r="TKQ5" s="390"/>
      <c r="TKR5" s="390"/>
      <c r="TKS5" s="390"/>
      <c r="TKT5" s="390"/>
      <c r="TKU5" s="390"/>
      <c r="TKV5" s="390"/>
      <c r="TKW5" s="390"/>
      <c r="TKX5" s="390"/>
      <c r="TKY5" s="390"/>
      <c r="TKZ5" s="390"/>
      <c r="TLA5" s="390"/>
      <c r="TLB5" s="390"/>
      <c r="TLC5" s="390"/>
      <c r="TLD5" s="390"/>
      <c r="TLE5" s="390"/>
      <c r="TLF5" s="390"/>
      <c r="TLG5" s="390"/>
      <c r="TLH5" s="390"/>
      <c r="TLI5" s="390"/>
      <c r="TLJ5" s="390"/>
      <c r="TLK5" s="390"/>
      <c r="TLL5" s="390"/>
      <c r="TLM5" s="390"/>
      <c r="TLN5" s="390"/>
      <c r="TLO5" s="390"/>
      <c r="TLP5" s="390"/>
      <c r="TLQ5" s="390"/>
      <c r="TLR5" s="390"/>
      <c r="TLS5" s="390"/>
      <c r="TLT5" s="390"/>
      <c r="TLU5" s="390"/>
      <c r="TLV5" s="390"/>
      <c r="TLW5" s="390"/>
      <c r="TLX5" s="390"/>
      <c r="TLY5" s="390"/>
      <c r="TLZ5" s="390"/>
      <c r="TMA5" s="390"/>
      <c r="TMB5" s="390"/>
      <c r="TMC5" s="390"/>
      <c r="TMD5" s="390"/>
      <c r="TME5" s="390"/>
      <c r="TMF5" s="390"/>
      <c r="TMG5" s="390"/>
      <c r="TMH5" s="390"/>
      <c r="TMI5" s="390"/>
      <c r="TMJ5" s="390"/>
      <c r="TMK5" s="390"/>
      <c r="TML5" s="390"/>
      <c r="TMM5" s="390"/>
      <c r="TMN5" s="390"/>
      <c r="TMO5" s="390"/>
      <c r="TMP5" s="390"/>
      <c r="TMQ5" s="390"/>
      <c r="TMR5" s="390"/>
      <c r="TMS5" s="390"/>
      <c r="TMT5" s="390"/>
      <c r="TMU5" s="390"/>
      <c r="TMV5" s="390"/>
      <c r="TMW5" s="390"/>
      <c r="TMX5" s="390"/>
      <c r="TMY5" s="390"/>
      <c r="TMZ5" s="390"/>
      <c r="TNA5" s="390"/>
      <c r="TNB5" s="390"/>
      <c r="TNC5" s="390"/>
      <c r="TND5" s="390"/>
      <c r="TNE5" s="390"/>
      <c r="TNF5" s="390"/>
      <c r="TNG5" s="390"/>
      <c r="TNH5" s="390"/>
      <c r="TNI5" s="390"/>
      <c r="TNJ5" s="390"/>
      <c r="TNK5" s="390"/>
      <c r="TNL5" s="390"/>
      <c r="TNM5" s="390"/>
      <c r="TNN5" s="390"/>
      <c r="TNO5" s="390"/>
      <c r="TNP5" s="390"/>
      <c r="TNQ5" s="390"/>
      <c r="TNR5" s="390"/>
      <c r="TNS5" s="390"/>
      <c r="TNT5" s="390"/>
      <c r="TNU5" s="390"/>
      <c r="TNV5" s="390"/>
      <c r="TNW5" s="390"/>
      <c r="TNX5" s="390"/>
      <c r="TNY5" s="390"/>
      <c r="TNZ5" s="390"/>
      <c r="TOA5" s="390"/>
      <c r="TOB5" s="390"/>
      <c r="TOC5" s="390"/>
      <c r="TOD5" s="390"/>
      <c r="TOE5" s="390"/>
      <c r="TOF5" s="390"/>
      <c r="TOG5" s="390"/>
      <c r="TOH5" s="390"/>
      <c r="TOI5" s="390"/>
      <c r="TOJ5" s="390"/>
      <c r="TOK5" s="390"/>
      <c r="TOL5" s="390"/>
      <c r="TOM5" s="390"/>
      <c r="TON5" s="390"/>
      <c r="TOO5" s="390"/>
      <c r="TOP5" s="390"/>
      <c r="TOQ5" s="390"/>
      <c r="TOR5" s="390"/>
      <c r="TOS5" s="390"/>
      <c r="TOT5" s="390"/>
      <c r="TOU5" s="390"/>
      <c r="TOV5" s="390"/>
      <c r="TOW5" s="390"/>
      <c r="TOX5" s="390"/>
      <c r="TOY5" s="390"/>
      <c r="TOZ5" s="390"/>
      <c r="TPA5" s="390"/>
      <c r="TPB5" s="390"/>
      <c r="TPC5" s="390"/>
      <c r="TPD5" s="390"/>
      <c r="TPE5" s="390"/>
      <c r="TPF5" s="390"/>
      <c r="TPG5" s="390"/>
      <c r="TPH5" s="390"/>
      <c r="TPI5" s="390"/>
      <c r="TPJ5" s="390"/>
      <c r="TPK5" s="390"/>
      <c r="TPL5" s="390"/>
      <c r="TPM5" s="390"/>
      <c r="TPN5" s="390"/>
      <c r="TPO5" s="390"/>
      <c r="TPP5" s="390"/>
      <c r="TPQ5" s="390"/>
      <c r="TPR5" s="390"/>
      <c r="TPS5" s="390"/>
      <c r="TPT5" s="390"/>
      <c r="TPU5" s="390"/>
      <c r="TPV5" s="390"/>
      <c r="TPW5" s="390"/>
      <c r="TPX5" s="390"/>
      <c r="TPY5" s="390"/>
      <c r="TPZ5" s="390"/>
      <c r="TQA5" s="390"/>
      <c r="TQB5" s="390"/>
      <c r="TQC5" s="390"/>
      <c r="TQD5" s="390"/>
      <c r="TQE5" s="390"/>
      <c r="TQF5" s="390"/>
      <c r="TQG5" s="390"/>
      <c r="TQH5" s="390"/>
      <c r="TQI5" s="390"/>
      <c r="TQJ5" s="390"/>
      <c r="TQK5" s="390"/>
      <c r="TQL5" s="390"/>
      <c r="TQM5" s="390"/>
      <c r="TQN5" s="390"/>
      <c r="TQO5" s="390"/>
      <c r="TQP5" s="390"/>
      <c r="TQQ5" s="390"/>
      <c r="TQR5" s="390"/>
      <c r="TQS5" s="390"/>
      <c r="TQT5" s="390"/>
      <c r="TQU5" s="390"/>
      <c r="TQV5" s="390"/>
      <c r="TQW5" s="390"/>
      <c r="TQX5" s="390"/>
      <c r="TQY5" s="390"/>
      <c r="TQZ5" s="390"/>
      <c r="TRA5" s="390"/>
      <c r="TRB5" s="390"/>
      <c r="TRC5" s="390"/>
      <c r="TRD5" s="390"/>
      <c r="TRE5" s="390"/>
      <c r="TRF5" s="390"/>
      <c r="TRG5" s="390"/>
      <c r="TRH5" s="390"/>
      <c r="TRI5" s="390"/>
      <c r="TRJ5" s="390"/>
      <c r="TRK5" s="390"/>
      <c r="TRL5" s="390"/>
      <c r="TRM5" s="390"/>
      <c r="TRN5" s="390"/>
      <c r="TRO5" s="390"/>
      <c r="TRP5" s="390"/>
      <c r="TRQ5" s="390"/>
      <c r="TRR5" s="390"/>
      <c r="TRS5" s="390"/>
      <c r="TRT5" s="390"/>
      <c r="TRU5" s="390"/>
      <c r="TRV5" s="390"/>
      <c r="TRW5" s="390"/>
      <c r="TRX5" s="390"/>
      <c r="TRY5" s="390"/>
      <c r="TRZ5" s="390"/>
      <c r="TSA5" s="390"/>
      <c r="TSB5" s="390"/>
      <c r="TSC5" s="390"/>
      <c r="TSD5" s="390"/>
      <c r="TSE5" s="390"/>
      <c r="TSF5" s="390"/>
      <c r="TSG5" s="390"/>
      <c r="TSH5" s="390"/>
      <c r="TSI5" s="390"/>
      <c r="TSJ5" s="390"/>
      <c r="TSK5" s="390"/>
      <c r="TSL5" s="390"/>
      <c r="TSM5" s="390"/>
      <c r="TSN5" s="390"/>
      <c r="TSO5" s="390"/>
      <c r="TSP5" s="390"/>
      <c r="TSQ5" s="390"/>
      <c r="TSR5" s="390"/>
      <c r="TSS5" s="390"/>
      <c r="TST5" s="390"/>
      <c r="TSU5" s="390"/>
      <c r="TSV5" s="390"/>
      <c r="TSW5" s="390"/>
      <c r="TSX5" s="390"/>
      <c r="TSY5" s="390"/>
      <c r="TSZ5" s="390"/>
      <c r="TTA5" s="390"/>
      <c r="TTB5" s="390"/>
      <c r="TTC5" s="390"/>
      <c r="TTD5" s="390"/>
      <c r="TTE5" s="390"/>
      <c r="TTF5" s="390"/>
      <c r="TTG5" s="390"/>
      <c r="TTH5" s="390"/>
      <c r="TTI5" s="390"/>
      <c r="TTJ5" s="390"/>
      <c r="TTK5" s="390"/>
      <c r="TTL5" s="390"/>
      <c r="TTM5" s="390"/>
      <c r="TTN5" s="390"/>
      <c r="TTO5" s="390"/>
      <c r="TTP5" s="390"/>
      <c r="TTQ5" s="390"/>
      <c r="TTR5" s="390"/>
      <c r="TTS5" s="390"/>
      <c r="TTT5" s="390"/>
      <c r="TTU5" s="390"/>
      <c r="TTV5" s="390"/>
      <c r="TTW5" s="390"/>
      <c r="TTX5" s="390"/>
      <c r="TTY5" s="390"/>
      <c r="TTZ5" s="390"/>
      <c r="TUA5" s="390"/>
      <c r="TUB5" s="390"/>
      <c r="TUC5" s="390"/>
      <c r="TUD5" s="390"/>
      <c r="TUE5" s="390"/>
      <c r="TUF5" s="390"/>
      <c r="TUG5" s="390"/>
      <c r="TUH5" s="390"/>
      <c r="TUI5" s="390"/>
      <c r="TUJ5" s="390"/>
      <c r="TUK5" s="390"/>
      <c r="TUL5" s="390"/>
      <c r="TUM5" s="390"/>
      <c r="TUN5" s="390"/>
      <c r="TUO5" s="390"/>
      <c r="TUP5" s="390"/>
      <c r="TUQ5" s="390"/>
      <c r="TUR5" s="390"/>
      <c r="TUS5" s="390"/>
      <c r="TUT5" s="390"/>
      <c r="TUU5" s="390"/>
      <c r="TUV5" s="390"/>
      <c r="TUW5" s="390"/>
      <c r="TUX5" s="390"/>
      <c r="TUY5" s="390"/>
      <c r="TUZ5" s="390"/>
      <c r="TVA5" s="390"/>
      <c r="TVB5" s="390"/>
      <c r="TVC5" s="390"/>
      <c r="TVD5" s="390"/>
      <c r="TVE5" s="390"/>
      <c r="TVF5" s="390"/>
      <c r="TVG5" s="390"/>
      <c r="TVH5" s="390"/>
      <c r="TVI5" s="390"/>
      <c r="TVJ5" s="390"/>
      <c r="TVK5" s="390"/>
      <c r="TVL5" s="390"/>
      <c r="TVM5" s="390"/>
      <c r="TVN5" s="390"/>
      <c r="TVO5" s="390"/>
      <c r="TVP5" s="390"/>
      <c r="TVQ5" s="390"/>
      <c r="TVR5" s="390"/>
      <c r="TVS5" s="390"/>
      <c r="TVT5" s="390"/>
      <c r="TVU5" s="390"/>
      <c r="TVV5" s="390"/>
      <c r="TVW5" s="390"/>
      <c r="TVX5" s="390"/>
      <c r="TVY5" s="390"/>
      <c r="TVZ5" s="390"/>
      <c r="TWA5" s="390"/>
      <c r="TWB5" s="390"/>
      <c r="TWC5" s="390"/>
      <c r="TWD5" s="390"/>
      <c r="TWE5" s="390"/>
      <c r="TWF5" s="390"/>
      <c r="TWG5" s="390"/>
      <c r="TWH5" s="390"/>
      <c r="TWI5" s="390"/>
      <c r="TWJ5" s="390"/>
      <c r="TWK5" s="390"/>
      <c r="TWL5" s="390"/>
      <c r="TWM5" s="390"/>
      <c r="TWN5" s="390"/>
      <c r="TWO5" s="390"/>
      <c r="TWP5" s="390"/>
      <c r="TWQ5" s="390"/>
      <c r="TWR5" s="390"/>
      <c r="TWS5" s="390"/>
      <c r="TWT5" s="390"/>
      <c r="TWU5" s="390"/>
      <c r="TWV5" s="390"/>
      <c r="TWW5" s="390"/>
      <c r="TWX5" s="390"/>
      <c r="TWY5" s="390"/>
      <c r="TWZ5" s="390"/>
      <c r="TXA5" s="390"/>
      <c r="TXB5" s="390"/>
      <c r="TXC5" s="390"/>
      <c r="TXD5" s="390"/>
      <c r="TXE5" s="390"/>
      <c r="TXF5" s="390"/>
      <c r="TXG5" s="390"/>
      <c r="TXH5" s="390"/>
      <c r="TXI5" s="390"/>
      <c r="TXJ5" s="390"/>
      <c r="TXK5" s="390"/>
      <c r="TXL5" s="390"/>
      <c r="TXM5" s="390"/>
      <c r="TXN5" s="390"/>
      <c r="TXO5" s="390"/>
      <c r="TXP5" s="390"/>
      <c r="TXQ5" s="390"/>
      <c r="TXR5" s="390"/>
      <c r="TXS5" s="390"/>
      <c r="TXT5" s="390"/>
      <c r="TXU5" s="390"/>
      <c r="TXV5" s="390"/>
      <c r="TXW5" s="390"/>
      <c r="TXX5" s="390"/>
      <c r="TXY5" s="390"/>
      <c r="TXZ5" s="390"/>
      <c r="TYA5" s="390"/>
      <c r="TYB5" s="390"/>
      <c r="TYC5" s="390"/>
      <c r="TYD5" s="390"/>
      <c r="TYE5" s="390"/>
      <c r="TYF5" s="390"/>
      <c r="TYG5" s="390"/>
      <c r="TYH5" s="390"/>
      <c r="TYI5" s="390"/>
      <c r="TYJ5" s="390"/>
      <c r="TYK5" s="390"/>
      <c r="TYL5" s="390"/>
      <c r="TYM5" s="390"/>
      <c r="TYN5" s="390"/>
      <c r="TYO5" s="390"/>
      <c r="TYP5" s="390"/>
      <c r="TYQ5" s="390"/>
      <c r="TYR5" s="390"/>
      <c r="TYS5" s="390"/>
      <c r="TYT5" s="390"/>
      <c r="TYU5" s="390"/>
      <c r="TYV5" s="390"/>
      <c r="TYW5" s="390"/>
      <c r="TYX5" s="390"/>
      <c r="TYY5" s="390"/>
      <c r="TYZ5" s="390"/>
      <c r="TZA5" s="390"/>
      <c r="TZB5" s="390"/>
      <c r="TZC5" s="390"/>
      <c r="TZD5" s="390"/>
      <c r="TZE5" s="390"/>
      <c r="TZF5" s="390"/>
      <c r="TZG5" s="390"/>
      <c r="TZH5" s="390"/>
      <c r="TZI5" s="390"/>
      <c r="TZJ5" s="390"/>
      <c r="TZK5" s="390"/>
      <c r="TZL5" s="390"/>
      <c r="TZM5" s="390"/>
      <c r="TZN5" s="390"/>
      <c r="TZO5" s="390"/>
      <c r="TZP5" s="390"/>
      <c r="TZQ5" s="390"/>
      <c r="TZR5" s="390"/>
      <c r="TZS5" s="390"/>
      <c r="TZT5" s="390"/>
      <c r="TZU5" s="390"/>
      <c r="TZV5" s="390"/>
      <c r="TZW5" s="390"/>
      <c r="TZX5" s="390"/>
      <c r="TZY5" s="390"/>
      <c r="TZZ5" s="390"/>
      <c r="UAA5" s="390"/>
      <c r="UAB5" s="390"/>
      <c r="UAC5" s="390"/>
      <c r="UAD5" s="390"/>
      <c r="UAE5" s="390"/>
      <c r="UAF5" s="390"/>
      <c r="UAG5" s="390"/>
      <c r="UAH5" s="390"/>
      <c r="UAI5" s="390"/>
      <c r="UAJ5" s="390"/>
      <c r="UAK5" s="390"/>
      <c r="UAL5" s="390"/>
      <c r="UAM5" s="390"/>
      <c r="UAN5" s="390"/>
      <c r="UAO5" s="390"/>
      <c r="UAP5" s="390"/>
      <c r="UAQ5" s="390"/>
      <c r="UAR5" s="390"/>
      <c r="UAS5" s="390"/>
      <c r="UAT5" s="390"/>
      <c r="UAU5" s="390"/>
      <c r="UAV5" s="390"/>
      <c r="UAW5" s="390"/>
      <c r="UAX5" s="390"/>
      <c r="UAY5" s="390"/>
      <c r="UAZ5" s="390"/>
      <c r="UBA5" s="390"/>
      <c r="UBB5" s="390"/>
      <c r="UBC5" s="390"/>
      <c r="UBD5" s="390"/>
      <c r="UBE5" s="390"/>
      <c r="UBF5" s="390"/>
      <c r="UBG5" s="390"/>
      <c r="UBH5" s="390"/>
      <c r="UBI5" s="390"/>
      <c r="UBJ5" s="390"/>
      <c r="UBK5" s="390"/>
      <c r="UBL5" s="390"/>
      <c r="UBM5" s="390"/>
      <c r="UBN5" s="390"/>
      <c r="UBO5" s="390"/>
      <c r="UBP5" s="390"/>
      <c r="UBQ5" s="390"/>
      <c r="UBR5" s="390"/>
      <c r="UBS5" s="390"/>
      <c r="UBT5" s="390"/>
      <c r="UBU5" s="390"/>
      <c r="UBV5" s="390"/>
      <c r="UBW5" s="390"/>
      <c r="UBX5" s="390"/>
      <c r="UBY5" s="390"/>
      <c r="UBZ5" s="390"/>
      <c r="UCA5" s="390"/>
      <c r="UCB5" s="390"/>
      <c r="UCC5" s="390"/>
      <c r="UCD5" s="390"/>
      <c r="UCE5" s="390"/>
      <c r="UCF5" s="390"/>
      <c r="UCG5" s="390"/>
      <c r="UCH5" s="390"/>
      <c r="UCI5" s="390"/>
      <c r="UCJ5" s="390"/>
      <c r="UCK5" s="390"/>
      <c r="UCL5" s="390"/>
      <c r="UCM5" s="390"/>
      <c r="UCN5" s="390"/>
      <c r="UCO5" s="390"/>
      <c r="UCP5" s="390"/>
      <c r="UCQ5" s="390"/>
      <c r="UCR5" s="390"/>
      <c r="UCS5" s="390"/>
      <c r="UCT5" s="390"/>
      <c r="UCU5" s="390"/>
      <c r="UCV5" s="390"/>
      <c r="UCW5" s="390"/>
      <c r="UCX5" s="390"/>
      <c r="UCY5" s="390"/>
      <c r="UCZ5" s="390"/>
      <c r="UDA5" s="390"/>
      <c r="UDB5" s="390"/>
      <c r="UDC5" s="390"/>
      <c r="UDD5" s="390"/>
      <c r="UDE5" s="390"/>
      <c r="UDF5" s="390"/>
      <c r="UDG5" s="390"/>
      <c r="UDH5" s="390"/>
      <c r="UDI5" s="390"/>
      <c r="UDJ5" s="390"/>
      <c r="UDK5" s="390"/>
      <c r="UDL5" s="390"/>
      <c r="UDM5" s="390"/>
      <c r="UDN5" s="390"/>
      <c r="UDO5" s="390"/>
      <c r="UDP5" s="390"/>
      <c r="UDQ5" s="390"/>
      <c r="UDR5" s="390"/>
      <c r="UDS5" s="390"/>
      <c r="UDT5" s="390"/>
      <c r="UDU5" s="390"/>
      <c r="UDV5" s="390"/>
      <c r="UDW5" s="390"/>
      <c r="UDX5" s="390"/>
      <c r="UDY5" s="390"/>
      <c r="UDZ5" s="390"/>
      <c r="UEA5" s="390"/>
      <c r="UEB5" s="390"/>
      <c r="UEC5" s="390"/>
      <c r="UED5" s="390"/>
      <c r="UEE5" s="390"/>
      <c r="UEF5" s="390"/>
      <c r="UEG5" s="390"/>
      <c r="UEH5" s="390"/>
      <c r="UEI5" s="390"/>
      <c r="UEJ5" s="390"/>
      <c r="UEK5" s="390"/>
      <c r="UEL5" s="390"/>
      <c r="UEM5" s="390"/>
      <c r="UEN5" s="390"/>
      <c r="UEO5" s="390"/>
      <c r="UEP5" s="390"/>
      <c r="UEQ5" s="390"/>
      <c r="UER5" s="390"/>
      <c r="UES5" s="390"/>
      <c r="UET5" s="390"/>
      <c r="UEU5" s="390"/>
      <c r="UEV5" s="390"/>
      <c r="UEW5" s="390"/>
      <c r="UEX5" s="390"/>
      <c r="UEY5" s="390"/>
      <c r="UEZ5" s="390"/>
      <c r="UFA5" s="390"/>
      <c r="UFB5" s="390"/>
      <c r="UFC5" s="390"/>
      <c r="UFD5" s="390"/>
      <c r="UFE5" s="390"/>
      <c r="UFF5" s="390"/>
      <c r="UFG5" s="390"/>
      <c r="UFH5" s="390"/>
      <c r="UFI5" s="390"/>
      <c r="UFJ5" s="390"/>
      <c r="UFK5" s="390"/>
      <c r="UFL5" s="390"/>
      <c r="UFM5" s="390"/>
      <c r="UFN5" s="390"/>
      <c r="UFO5" s="390"/>
      <c r="UFP5" s="390"/>
      <c r="UFQ5" s="390"/>
      <c r="UFR5" s="390"/>
      <c r="UFS5" s="390"/>
      <c r="UFT5" s="390"/>
      <c r="UFU5" s="390"/>
      <c r="UFV5" s="390"/>
      <c r="UFW5" s="390"/>
      <c r="UFX5" s="390"/>
      <c r="UFY5" s="390"/>
      <c r="UFZ5" s="390"/>
      <c r="UGA5" s="390"/>
      <c r="UGB5" s="390"/>
      <c r="UGC5" s="390"/>
      <c r="UGD5" s="390"/>
      <c r="UGE5" s="390"/>
      <c r="UGF5" s="390"/>
      <c r="UGG5" s="390"/>
      <c r="UGH5" s="390"/>
      <c r="UGI5" s="390"/>
      <c r="UGJ5" s="390"/>
      <c r="UGK5" s="390"/>
      <c r="UGL5" s="390"/>
      <c r="UGM5" s="390"/>
      <c r="UGN5" s="390"/>
      <c r="UGO5" s="390"/>
      <c r="UGP5" s="390"/>
      <c r="UGQ5" s="390"/>
      <c r="UGR5" s="390"/>
      <c r="UGS5" s="390"/>
      <c r="UGT5" s="390"/>
      <c r="UGU5" s="390"/>
      <c r="UGV5" s="390"/>
      <c r="UGW5" s="390"/>
      <c r="UGX5" s="390"/>
      <c r="UGY5" s="390"/>
      <c r="UGZ5" s="390"/>
      <c r="UHA5" s="390"/>
      <c r="UHB5" s="390"/>
      <c r="UHC5" s="390"/>
      <c r="UHD5" s="390"/>
      <c r="UHE5" s="390"/>
      <c r="UHF5" s="390"/>
      <c r="UHG5" s="390"/>
      <c r="UHH5" s="390"/>
      <c r="UHI5" s="390"/>
      <c r="UHJ5" s="390"/>
      <c r="UHK5" s="390"/>
      <c r="UHL5" s="390"/>
      <c r="UHM5" s="390"/>
      <c r="UHN5" s="390"/>
      <c r="UHO5" s="390"/>
      <c r="UHP5" s="390"/>
      <c r="UHQ5" s="390"/>
      <c r="UHR5" s="390"/>
      <c r="UHS5" s="390"/>
      <c r="UHT5" s="390"/>
      <c r="UHU5" s="390"/>
      <c r="UHV5" s="390"/>
      <c r="UHW5" s="390"/>
      <c r="UHX5" s="390"/>
      <c r="UHY5" s="390"/>
      <c r="UHZ5" s="390"/>
      <c r="UIA5" s="390"/>
      <c r="UIB5" s="390"/>
      <c r="UIC5" s="390"/>
      <c r="UID5" s="390"/>
      <c r="UIE5" s="390"/>
      <c r="UIF5" s="390"/>
      <c r="UIG5" s="390"/>
      <c r="UIH5" s="390"/>
      <c r="UII5" s="390"/>
      <c r="UIJ5" s="390"/>
      <c r="UIK5" s="390"/>
      <c r="UIL5" s="390"/>
      <c r="UIM5" s="390"/>
      <c r="UIN5" s="390"/>
      <c r="UIO5" s="390"/>
      <c r="UIP5" s="390"/>
      <c r="UIQ5" s="390"/>
      <c r="UIR5" s="390"/>
      <c r="UIS5" s="390"/>
      <c r="UIT5" s="390"/>
      <c r="UIU5" s="390"/>
      <c r="UIV5" s="390"/>
      <c r="UIW5" s="390"/>
      <c r="UIX5" s="390"/>
      <c r="UIY5" s="390"/>
      <c r="UIZ5" s="390"/>
      <c r="UJA5" s="390"/>
      <c r="UJB5" s="390"/>
      <c r="UJC5" s="390"/>
      <c r="UJD5" s="390"/>
      <c r="UJE5" s="390"/>
      <c r="UJF5" s="390"/>
      <c r="UJG5" s="390"/>
      <c r="UJH5" s="390"/>
      <c r="UJI5" s="390"/>
      <c r="UJJ5" s="390"/>
      <c r="UJK5" s="390"/>
      <c r="UJL5" s="390"/>
      <c r="UJM5" s="390"/>
      <c r="UJN5" s="390"/>
      <c r="UJO5" s="390"/>
      <c r="UJP5" s="390"/>
      <c r="UJQ5" s="390"/>
      <c r="UJR5" s="390"/>
      <c r="UJS5" s="390"/>
      <c r="UJT5" s="390"/>
      <c r="UJU5" s="390"/>
      <c r="UJV5" s="390"/>
      <c r="UJW5" s="390"/>
      <c r="UJX5" s="390"/>
      <c r="UJY5" s="390"/>
      <c r="UJZ5" s="390"/>
      <c r="UKA5" s="390"/>
      <c r="UKB5" s="390"/>
      <c r="UKC5" s="390"/>
      <c r="UKD5" s="390"/>
      <c r="UKE5" s="390"/>
      <c r="UKF5" s="390"/>
      <c r="UKG5" s="390"/>
      <c r="UKH5" s="390"/>
      <c r="UKI5" s="390"/>
      <c r="UKJ5" s="390"/>
      <c r="UKK5" s="390"/>
      <c r="UKL5" s="390"/>
      <c r="UKM5" s="390"/>
      <c r="UKN5" s="390"/>
      <c r="UKO5" s="390"/>
      <c r="UKP5" s="390"/>
      <c r="UKQ5" s="390"/>
      <c r="UKR5" s="390"/>
      <c r="UKS5" s="390"/>
      <c r="UKT5" s="390"/>
      <c r="UKU5" s="390"/>
      <c r="UKV5" s="390"/>
      <c r="UKW5" s="390"/>
      <c r="UKX5" s="390"/>
      <c r="UKY5" s="390"/>
      <c r="UKZ5" s="390"/>
      <c r="ULA5" s="390"/>
      <c r="ULB5" s="390"/>
      <c r="ULC5" s="390"/>
      <c r="ULD5" s="390"/>
      <c r="ULE5" s="390"/>
      <c r="ULF5" s="390"/>
      <c r="ULG5" s="390"/>
      <c r="ULH5" s="390"/>
      <c r="ULI5" s="390"/>
      <c r="ULJ5" s="390"/>
      <c r="ULK5" s="390"/>
      <c r="ULL5" s="390"/>
      <c r="ULM5" s="390"/>
      <c r="ULN5" s="390"/>
      <c r="ULO5" s="390"/>
      <c r="ULP5" s="390"/>
      <c r="ULQ5" s="390"/>
      <c r="ULR5" s="390"/>
      <c r="ULS5" s="390"/>
      <c r="ULT5" s="390"/>
      <c r="ULU5" s="390"/>
      <c r="ULV5" s="390"/>
      <c r="ULW5" s="390"/>
      <c r="ULX5" s="390"/>
      <c r="ULY5" s="390"/>
      <c r="ULZ5" s="390"/>
      <c r="UMA5" s="390"/>
      <c r="UMB5" s="390"/>
      <c r="UMC5" s="390"/>
      <c r="UMD5" s="390"/>
      <c r="UME5" s="390"/>
      <c r="UMF5" s="390"/>
      <c r="UMG5" s="390"/>
      <c r="UMH5" s="390"/>
      <c r="UMI5" s="390"/>
      <c r="UMJ5" s="390"/>
      <c r="UMK5" s="390"/>
      <c r="UML5" s="390"/>
      <c r="UMM5" s="390"/>
      <c r="UMN5" s="390"/>
      <c r="UMO5" s="390"/>
      <c r="UMP5" s="390"/>
      <c r="UMQ5" s="390"/>
      <c r="UMR5" s="390"/>
      <c r="UMS5" s="390"/>
      <c r="UMT5" s="390"/>
      <c r="UMU5" s="390"/>
      <c r="UMV5" s="390"/>
      <c r="UMW5" s="390"/>
      <c r="UMX5" s="390"/>
      <c r="UMY5" s="390"/>
      <c r="UMZ5" s="390"/>
      <c r="UNA5" s="390"/>
      <c r="UNB5" s="390"/>
      <c r="UNC5" s="390"/>
      <c r="UND5" s="390"/>
      <c r="UNE5" s="390"/>
      <c r="UNF5" s="390"/>
      <c r="UNG5" s="390"/>
      <c r="UNH5" s="390"/>
      <c r="UNI5" s="390"/>
      <c r="UNJ5" s="390"/>
      <c r="UNK5" s="390"/>
      <c r="UNL5" s="390"/>
      <c r="UNM5" s="390"/>
      <c r="UNN5" s="390"/>
      <c r="UNO5" s="390"/>
      <c r="UNP5" s="390"/>
      <c r="UNQ5" s="390"/>
      <c r="UNR5" s="390"/>
      <c r="UNS5" s="390"/>
      <c r="UNT5" s="390"/>
      <c r="UNU5" s="390"/>
      <c r="UNV5" s="390"/>
      <c r="UNW5" s="390"/>
      <c r="UNX5" s="390"/>
      <c r="UNY5" s="390"/>
      <c r="UNZ5" s="390"/>
      <c r="UOA5" s="390"/>
      <c r="UOB5" s="390"/>
      <c r="UOC5" s="390"/>
      <c r="UOD5" s="390"/>
      <c r="UOE5" s="390"/>
      <c r="UOF5" s="390"/>
      <c r="UOG5" s="390"/>
      <c r="UOH5" s="390"/>
      <c r="UOI5" s="390"/>
      <c r="UOJ5" s="390"/>
      <c r="UOK5" s="390"/>
      <c r="UOL5" s="390"/>
      <c r="UOM5" s="390"/>
      <c r="UON5" s="390"/>
      <c r="UOO5" s="390"/>
      <c r="UOP5" s="390"/>
      <c r="UOQ5" s="390"/>
      <c r="UOR5" s="390"/>
      <c r="UOS5" s="390"/>
      <c r="UOT5" s="390"/>
      <c r="UOU5" s="390"/>
      <c r="UOV5" s="390"/>
      <c r="UOW5" s="390"/>
      <c r="UOX5" s="390"/>
      <c r="UOY5" s="390"/>
      <c r="UOZ5" s="390"/>
      <c r="UPA5" s="390"/>
      <c r="UPB5" s="390"/>
      <c r="UPC5" s="390"/>
      <c r="UPD5" s="390"/>
      <c r="UPE5" s="390"/>
      <c r="UPF5" s="390"/>
      <c r="UPG5" s="390"/>
      <c r="UPH5" s="390"/>
      <c r="UPI5" s="390"/>
      <c r="UPJ5" s="390"/>
      <c r="UPK5" s="390"/>
      <c r="UPL5" s="390"/>
      <c r="UPM5" s="390"/>
      <c r="UPN5" s="390"/>
      <c r="UPO5" s="390"/>
      <c r="UPP5" s="390"/>
      <c r="UPQ5" s="390"/>
      <c r="UPR5" s="390"/>
      <c r="UPS5" s="390"/>
      <c r="UPT5" s="390"/>
      <c r="UPU5" s="390"/>
      <c r="UPV5" s="390"/>
      <c r="UPW5" s="390"/>
      <c r="UPX5" s="390"/>
      <c r="UPY5" s="390"/>
      <c r="UPZ5" s="390"/>
      <c r="UQA5" s="390"/>
      <c r="UQB5" s="390"/>
      <c r="UQC5" s="390"/>
      <c r="UQD5" s="390"/>
      <c r="UQE5" s="390"/>
      <c r="UQF5" s="390"/>
      <c r="UQG5" s="390"/>
      <c r="UQH5" s="390"/>
      <c r="UQI5" s="390"/>
      <c r="UQJ5" s="390"/>
      <c r="UQK5" s="390"/>
      <c r="UQL5" s="390"/>
      <c r="UQM5" s="390"/>
      <c r="UQN5" s="390"/>
      <c r="UQO5" s="390"/>
      <c r="UQP5" s="390"/>
      <c r="UQQ5" s="390"/>
      <c r="UQR5" s="390"/>
      <c r="UQS5" s="390"/>
      <c r="UQT5" s="390"/>
      <c r="UQU5" s="390"/>
      <c r="UQV5" s="390"/>
      <c r="UQW5" s="390"/>
      <c r="UQX5" s="390"/>
      <c r="UQY5" s="390"/>
      <c r="UQZ5" s="390"/>
      <c r="URA5" s="390"/>
      <c r="URB5" s="390"/>
      <c r="URC5" s="390"/>
      <c r="URD5" s="390"/>
      <c r="URE5" s="390"/>
      <c r="URF5" s="390"/>
      <c r="URG5" s="390"/>
      <c r="URH5" s="390"/>
      <c r="URI5" s="390"/>
      <c r="URJ5" s="390"/>
      <c r="URK5" s="390"/>
      <c r="URL5" s="390"/>
      <c r="URM5" s="390"/>
      <c r="URN5" s="390"/>
      <c r="URO5" s="390"/>
      <c r="URP5" s="390"/>
      <c r="URQ5" s="390"/>
      <c r="URR5" s="390"/>
      <c r="URS5" s="390"/>
      <c r="URT5" s="390"/>
      <c r="URU5" s="390"/>
      <c r="URV5" s="390"/>
      <c r="URW5" s="390"/>
      <c r="URX5" s="390"/>
      <c r="URY5" s="390"/>
      <c r="URZ5" s="390"/>
      <c r="USA5" s="390"/>
      <c r="USB5" s="390"/>
      <c r="USC5" s="390"/>
      <c r="USD5" s="390"/>
      <c r="USE5" s="390"/>
      <c r="USF5" s="390"/>
      <c r="USG5" s="390"/>
      <c r="USH5" s="390"/>
      <c r="USI5" s="390"/>
      <c r="USJ5" s="390"/>
      <c r="USK5" s="390"/>
      <c r="USL5" s="390"/>
      <c r="USM5" s="390"/>
      <c r="USN5" s="390"/>
      <c r="USO5" s="390"/>
      <c r="USP5" s="390"/>
      <c r="USQ5" s="390"/>
      <c r="USR5" s="390"/>
      <c r="USS5" s="390"/>
      <c r="UST5" s="390"/>
      <c r="USU5" s="390"/>
      <c r="USV5" s="390"/>
      <c r="USW5" s="390"/>
      <c r="USX5" s="390"/>
      <c r="USY5" s="390"/>
      <c r="USZ5" s="390"/>
      <c r="UTA5" s="390"/>
      <c r="UTB5" s="390"/>
      <c r="UTC5" s="390"/>
      <c r="UTD5" s="390"/>
      <c r="UTE5" s="390"/>
      <c r="UTF5" s="390"/>
      <c r="UTG5" s="390"/>
      <c r="UTH5" s="390"/>
      <c r="UTI5" s="390"/>
      <c r="UTJ5" s="390"/>
      <c r="UTK5" s="390"/>
      <c r="UTL5" s="390"/>
      <c r="UTM5" s="390"/>
      <c r="UTN5" s="390"/>
      <c r="UTO5" s="390"/>
      <c r="UTP5" s="390"/>
      <c r="UTQ5" s="390"/>
      <c r="UTR5" s="390"/>
      <c r="UTS5" s="390"/>
      <c r="UTT5" s="390"/>
      <c r="UTU5" s="390"/>
      <c r="UTV5" s="390"/>
      <c r="UTW5" s="390"/>
      <c r="UTX5" s="390"/>
      <c r="UTY5" s="390"/>
      <c r="UTZ5" s="390"/>
      <c r="UUA5" s="390"/>
      <c r="UUB5" s="390"/>
      <c r="UUC5" s="390"/>
      <c r="UUD5" s="390"/>
      <c r="UUE5" s="390"/>
      <c r="UUF5" s="390"/>
      <c r="UUG5" s="390"/>
      <c r="UUH5" s="390"/>
      <c r="UUI5" s="390"/>
      <c r="UUJ5" s="390"/>
      <c r="UUK5" s="390"/>
      <c r="UUL5" s="390"/>
      <c r="UUM5" s="390"/>
      <c r="UUN5" s="390"/>
      <c r="UUO5" s="390"/>
      <c r="UUP5" s="390"/>
      <c r="UUQ5" s="390"/>
      <c r="UUR5" s="390"/>
      <c r="UUS5" s="390"/>
      <c r="UUT5" s="390"/>
      <c r="UUU5" s="390"/>
      <c r="UUV5" s="390"/>
      <c r="UUW5" s="390"/>
      <c r="UUX5" s="390"/>
      <c r="UUY5" s="390"/>
      <c r="UUZ5" s="390"/>
      <c r="UVA5" s="390"/>
      <c r="UVB5" s="390"/>
      <c r="UVC5" s="390"/>
      <c r="UVD5" s="390"/>
      <c r="UVE5" s="390"/>
      <c r="UVF5" s="390"/>
      <c r="UVG5" s="390"/>
      <c r="UVH5" s="390"/>
      <c r="UVI5" s="390"/>
      <c r="UVJ5" s="390"/>
      <c r="UVK5" s="390"/>
      <c r="UVL5" s="390"/>
      <c r="UVM5" s="390"/>
      <c r="UVN5" s="390"/>
      <c r="UVO5" s="390"/>
      <c r="UVP5" s="390"/>
      <c r="UVQ5" s="390"/>
      <c r="UVR5" s="390"/>
      <c r="UVS5" s="390"/>
      <c r="UVT5" s="390"/>
      <c r="UVU5" s="390"/>
      <c r="UVV5" s="390"/>
      <c r="UVW5" s="390"/>
      <c r="UVX5" s="390"/>
      <c r="UVY5" s="390"/>
      <c r="UVZ5" s="390"/>
      <c r="UWA5" s="390"/>
      <c r="UWB5" s="390"/>
      <c r="UWC5" s="390"/>
      <c r="UWD5" s="390"/>
      <c r="UWE5" s="390"/>
      <c r="UWF5" s="390"/>
      <c r="UWG5" s="390"/>
      <c r="UWH5" s="390"/>
      <c r="UWI5" s="390"/>
      <c r="UWJ5" s="390"/>
      <c r="UWK5" s="390"/>
      <c r="UWL5" s="390"/>
      <c r="UWM5" s="390"/>
      <c r="UWN5" s="390"/>
      <c r="UWO5" s="390"/>
      <c r="UWP5" s="390"/>
      <c r="UWQ5" s="390"/>
      <c r="UWR5" s="390"/>
      <c r="UWS5" s="390"/>
      <c r="UWT5" s="390"/>
      <c r="UWU5" s="390"/>
      <c r="UWV5" s="390"/>
      <c r="UWW5" s="390"/>
      <c r="UWX5" s="390"/>
      <c r="UWY5" s="390"/>
      <c r="UWZ5" s="390"/>
      <c r="UXA5" s="390"/>
      <c r="UXB5" s="390"/>
      <c r="UXC5" s="390"/>
      <c r="UXD5" s="390"/>
      <c r="UXE5" s="390"/>
      <c r="UXF5" s="390"/>
      <c r="UXG5" s="390"/>
      <c r="UXH5" s="390"/>
      <c r="UXI5" s="390"/>
      <c r="UXJ5" s="390"/>
      <c r="UXK5" s="390"/>
      <c r="UXL5" s="390"/>
      <c r="UXM5" s="390"/>
      <c r="UXN5" s="390"/>
      <c r="UXO5" s="390"/>
      <c r="UXP5" s="390"/>
      <c r="UXQ5" s="390"/>
      <c r="UXR5" s="390"/>
      <c r="UXS5" s="390"/>
      <c r="UXT5" s="390"/>
      <c r="UXU5" s="390"/>
      <c r="UXV5" s="390"/>
      <c r="UXW5" s="390"/>
      <c r="UXX5" s="390"/>
      <c r="UXY5" s="390"/>
      <c r="UXZ5" s="390"/>
      <c r="UYA5" s="390"/>
      <c r="UYB5" s="390"/>
      <c r="UYC5" s="390"/>
      <c r="UYD5" s="390"/>
      <c r="UYE5" s="390"/>
      <c r="UYF5" s="390"/>
      <c r="UYG5" s="390"/>
      <c r="UYH5" s="390"/>
      <c r="UYI5" s="390"/>
      <c r="UYJ5" s="390"/>
      <c r="UYK5" s="390"/>
      <c r="UYL5" s="390"/>
      <c r="UYM5" s="390"/>
      <c r="UYN5" s="390"/>
      <c r="UYO5" s="390"/>
      <c r="UYP5" s="390"/>
      <c r="UYQ5" s="390"/>
      <c r="UYR5" s="390"/>
      <c r="UYS5" s="390"/>
      <c r="UYT5" s="390"/>
      <c r="UYU5" s="390"/>
      <c r="UYV5" s="390"/>
      <c r="UYW5" s="390"/>
      <c r="UYX5" s="390"/>
      <c r="UYY5" s="390"/>
      <c r="UYZ5" s="390"/>
      <c r="UZA5" s="390"/>
      <c r="UZB5" s="390"/>
      <c r="UZC5" s="390"/>
      <c r="UZD5" s="390"/>
      <c r="UZE5" s="390"/>
      <c r="UZF5" s="390"/>
      <c r="UZG5" s="390"/>
      <c r="UZH5" s="390"/>
      <c r="UZI5" s="390"/>
      <c r="UZJ5" s="390"/>
      <c r="UZK5" s="390"/>
      <c r="UZL5" s="390"/>
      <c r="UZM5" s="390"/>
      <c r="UZN5" s="390"/>
      <c r="UZO5" s="390"/>
      <c r="UZP5" s="390"/>
      <c r="UZQ5" s="390"/>
      <c r="UZR5" s="390"/>
      <c r="UZS5" s="390"/>
      <c r="UZT5" s="390"/>
      <c r="UZU5" s="390"/>
      <c r="UZV5" s="390"/>
      <c r="UZW5" s="390"/>
      <c r="UZX5" s="390"/>
      <c r="UZY5" s="390"/>
      <c r="UZZ5" s="390"/>
      <c r="VAA5" s="390"/>
      <c r="VAB5" s="390"/>
      <c r="VAC5" s="390"/>
      <c r="VAD5" s="390"/>
      <c r="VAE5" s="390"/>
      <c r="VAF5" s="390"/>
      <c r="VAG5" s="390"/>
      <c r="VAH5" s="390"/>
      <c r="VAI5" s="390"/>
      <c r="VAJ5" s="390"/>
      <c r="VAK5" s="390"/>
      <c r="VAL5" s="390"/>
      <c r="VAM5" s="390"/>
      <c r="VAN5" s="390"/>
      <c r="VAO5" s="390"/>
      <c r="VAP5" s="390"/>
      <c r="VAQ5" s="390"/>
      <c r="VAR5" s="390"/>
      <c r="VAS5" s="390"/>
      <c r="VAT5" s="390"/>
      <c r="VAU5" s="390"/>
      <c r="VAV5" s="390"/>
      <c r="VAW5" s="390"/>
      <c r="VAX5" s="390"/>
      <c r="VAY5" s="390"/>
      <c r="VAZ5" s="390"/>
      <c r="VBA5" s="390"/>
      <c r="VBB5" s="390"/>
      <c r="VBC5" s="390"/>
      <c r="VBD5" s="390"/>
      <c r="VBE5" s="390"/>
      <c r="VBF5" s="390"/>
      <c r="VBG5" s="390"/>
      <c r="VBH5" s="390"/>
      <c r="VBI5" s="390"/>
      <c r="VBJ5" s="390"/>
      <c r="VBK5" s="390"/>
      <c r="VBL5" s="390"/>
      <c r="VBM5" s="390"/>
      <c r="VBN5" s="390"/>
      <c r="VBO5" s="390"/>
      <c r="VBP5" s="390"/>
      <c r="VBQ5" s="390"/>
      <c r="VBR5" s="390"/>
      <c r="VBS5" s="390"/>
      <c r="VBT5" s="390"/>
      <c r="VBU5" s="390"/>
      <c r="VBV5" s="390"/>
      <c r="VBW5" s="390"/>
      <c r="VBX5" s="390"/>
      <c r="VBY5" s="390"/>
      <c r="VBZ5" s="390"/>
      <c r="VCA5" s="390"/>
      <c r="VCB5" s="390"/>
      <c r="VCC5" s="390"/>
      <c r="VCD5" s="390"/>
      <c r="VCE5" s="390"/>
      <c r="VCF5" s="390"/>
      <c r="VCG5" s="390"/>
      <c r="VCH5" s="390"/>
      <c r="VCI5" s="390"/>
      <c r="VCJ5" s="390"/>
      <c r="VCK5" s="390"/>
      <c r="VCL5" s="390"/>
      <c r="VCM5" s="390"/>
      <c r="VCN5" s="390"/>
      <c r="VCO5" s="390"/>
      <c r="VCP5" s="390"/>
      <c r="VCQ5" s="390"/>
      <c r="VCR5" s="390"/>
      <c r="VCS5" s="390"/>
      <c r="VCT5" s="390"/>
      <c r="VCU5" s="390"/>
      <c r="VCV5" s="390"/>
      <c r="VCW5" s="390"/>
      <c r="VCX5" s="390"/>
      <c r="VCY5" s="390"/>
      <c r="VCZ5" s="390"/>
      <c r="VDA5" s="390"/>
      <c r="VDB5" s="390"/>
      <c r="VDC5" s="390"/>
      <c r="VDD5" s="390"/>
      <c r="VDE5" s="390"/>
      <c r="VDF5" s="390"/>
      <c r="VDG5" s="390"/>
      <c r="VDH5" s="390"/>
      <c r="VDI5" s="390"/>
      <c r="VDJ5" s="390"/>
      <c r="VDK5" s="390"/>
      <c r="VDL5" s="390"/>
      <c r="VDM5" s="390"/>
      <c r="VDN5" s="390"/>
      <c r="VDO5" s="390"/>
      <c r="VDP5" s="390"/>
      <c r="VDQ5" s="390"/>
      <c r="VDR5" s="390"/>
      <c r="VDS5" s="390"/>
      <c r="VDT5" s="390"/>
      <c r="VDU5" s="390"/>
      <c r="VDV5" s="390"/>
      <c r="VDW5" s="390"/>
      <c r="VDX5" s="390"/>
      <c r="VDY5" s="390"/>
      <c r="VDZ5" s="390"/>
      <c r="VEA5" s="390"/>
      <c r="VEB5" s="390"/>
      <c r="VEC5" s="390"/>
      <c r="VED5" s="390"/>
      <c r="VEE5" s="390"/>
      <c r="VEF5" s="390"/>
      <c r="VEG5" s="390"/>
      <c r="VEH5" s="390"/>
      <c r="VEI5" s="390"/>
      <c r="VEJ5" s="390"/>
      <c r="VEK5" s="390"/>
      <c r="VEL5" s="390"/>
      <c r="VEM5" s="390"/>
      <c r="VEN5" s="390"/>
      <c r="VEO5" s="390"/>
      <c r="VEP5" s="390"/>
      <c r="VEQ5" s="390"/>
      <c r="VER5" s="390"/>
      <c r="VES5" s="390"/>
      <c r="VET5" s="390"/>
      <c r="VEU5" s="390"/>
      <c r="VEV5" s="390"/>
      <c r="VEW5" s="390"/>
      <c r="VEX5" s="390"/>
      <c r="VEY5" s="390"/>
      <c r="VEZ5" s="390"/>
      <c r="VFA5" s="390"/>
      <c r="VFB5" s="390"/>
      <c r="VFC5" s="390"/>
      <c r="VFD5" s="390"/>
      <c r="VFE5" s="390"/>
      <c r="VFF5" s="390"/>
      <c r="VFG5" s="390"/>
      <c r="VFH5" s="390"/>
      <c r="VFI5" s="390"/>
      <c r="VFJ5" s="390"/>
      <c r="VFK5" s="390"/>
      <c r="VFL5" s="390"/>
      <c r="VFM5" s="390"/>
      <c r="VFN5" s="390"/>
      <c r="VFO5" s="390"/>
      <c r="VFP5" s="390"/>
      <c r="VFQ5" s="390"/>
      <c r="VFR5" s="390"/>
      <c r="VFS5" s="390"/>
      <c r="VFT5" s="390"/>
      <c r="VFU5" s="390"/>
      <c r="VFV5" s="390"/>
      <c r="VFW5" s="390"/>
      <c r="VFX5" s="390"/>
      <c r="VFY5" s="390"/>
      <c r="VFZ5" s="390"/>
      <c r="VGA5" s="390"/>
      <c r="VGB5" s="390"/>
      <c r="VGC5" s="390"/>
      <c r="VGD5" s="390"/>
      <c r="VGE5" s="390"/>
      <c r="VGF5" s="390"/>
      <c r="VGG5" s="390"/>
      <c r="VGH5" s="390"/>
      <c r="VGI5" s="390"/>
      <c r="VGJ5" s="390"/>
      <c r="VGK5" s="390"/>
      <c r="VGL5" s="390"/>
      <c r="VGM5" s="390"/>
      <c r="VGN5" s="390"/>
      <c r="VGO5" s="390"/>
      <c r="VGP5" s="390"/>
      <c r="VGQ5" s="390"/>
      <c r="VGR5" s="390"/>
      <c r="VGS5" s="390"/>
      <c r="VGT5" s="390"/>
      <c r="VGU5" s="390"/>
      <c r="VGV5" s="390"/>
      <c r="VGW5" s="390"/>
      <c r="VGX5" s="390"/>
      <c r="VGY5" s="390"/>
      <c r="VGZ5" s="390"/>
      <c r="VHA5" s="390"/>
      <c r="VHB5" s="390"/>
      <c r="VHC5" s="390"/>
      <c r="VHD5" s="390"/>
      <c r="VHE5" s="390"/>
      <c r="VHF5" s="390"/>
      <c r="VHG5" s="390"/>
      <c r="VHH5" s="390"/>
      <c r="VHI5" s="390"/>
      <c r="VHJ5" s="390"/>
      <c r="VHK5" s="390"/>
      <c r="VHL5" s="390"/>
      <c r="VHM5" s="390"/>
      <c r="VHN5" s="390"/>
      <c r="VHO5" s="390"/>
      <c r="VHP5" s="390"/>
      <c r="VHQ5" s="390"/>
      <c r="VHR5" s="390"/>
      <c r="VHS5" s="390"/>
      <c r="VHT5" s="390"/>
      <c r="VHU5" s="390"/>
      <c r="VHV5" s="390"/>
      <c r="VHW5" s="390"/>
      <c r="VHX5" s="390"/>
      <c r="VHY5" s="390"/>
      <c r="VHZ5" s="390"/>
      <c r="VIA5" s="390"/>
      <c r="VIB5" s="390"/>
      <c r="VIC5" s="390"/>
      <c r="VID5" s="390"/>
      <c r="VIE5" s="390"/>
      <c r="VIF5" s="390"/>
      <c r="VIG5" s="390"/>
      <c r="VIH5" s="390"/>
      <c r="VII5" s="390"/>
      <c r="VIJ5" s="390"/>
      <c r="VIK5" s="390"/>
      <c r="VIL5" s="390"/>
      <c r="VIM5" s="390"/>
      <c r="VIN5" s="390"/>
      <c r="VIO5" s="390"/>
      <c r="VIP5" s="390"/>
      <c r="VIQ5" s="390"/>
      <c r="VIR5" s="390"/>
      <c r="VIS5" s="390"/>
      <c r="VIT5" s="390"/>
      <c r="VIU5" s="390"/>
      <c r="VIV5" s="390"/>
      <c r="VIW5" s="390"/>
      <c r="VIX5" s="390"/>
      <c r="VIY5" s="390"/>
      <c r="VIZ5" s="390"/>
      <c r="VJA5" s="390"/>
      <c r="VJB5" s="390"/>
      <c r="VJC5" s="390"/>
      <c r="VJD5" s="390"/>
      <c r="VJE5" s="390"/>
      <c r="VJF5" s="390"/>
      <c r="VJG5" s="390"/>
      <c r="VJH5" s="390"/>
      <c r="VJI5" s="390"/>
      <c r="VJJ5" s="390"/>
      <c r="VJK5" s="390"/>
      <c r="VJL5" s="390"/>
      <c r="VJM5" s="390"/>
      <c r="VJN5" s="390"/>
      <c r="VJO5" s="390"/>
      <c r="VJP5" s="390"/>
      <c r="VJQ5" s="390"/>
      <c r="VJR5" s="390"/>
      <c r="VJS5" s="390"/>
      <c r="VJT5" s="390"/>
      <c r="VJU5" s="390"/>
      <c r="VJV5" s="390"/>
      <c r="VJW5" s="390"/>
      <c r="VJX5" s="390"/>
      <c r="VJY5" s="390"/>
      <c r="VJZ5" s="390"/>
      <c r="VKA5" s="390"/>
      <c r="VKB5" s="390"/>
      <c r="VKC5" s="390"/>
      <c r="VKD5" s="390"/>
      <c r="VKE5" s="390"/>
      <c r="VKF5" s="390"/>
      <c r="VKG5" s="390"/>
      <c r="VKH5" s="390"/>
      <c r="VKI5" s="390"/>
      <c r="VKJ5" s="390"/>
      <c r="VKK5" s="390"/>
      <c r="VKL5" s="390"/>
      <c r="VKM5" s="390"/>
      <c r="VKN5" s="390"/>
      <c r="VKO5" s="390"/>
      <c r="VKP5" s="390"/>
      <c r="VKQ5" s="390"/>
      <c r="VKR5" s="390"/>
      <c r="VKS5" s="390"/>
      <c r="VKT5" s="390"/>
      <c r="VKU5" s="390"/>
      <c r="VKV5" s="390"/>
      <c r="VKW5" s="390"/>
      <c r="VKX5" s="390"/>
      <c r="VKY5" s="390"/>
      <c r="VKZ5" s="390"/>
      <c r="VLA5" s="390"/>
      <c r="VLB5" s="390"/>
      <c r="VLC5" s="390"/>
      <c r="VLD5" s="390"/>
      <c r="VLE5" s="390"/>
      <c r="VLF5" s="390"/>
      <c r="VLG5" s="390"/>
      <c r="VLH5" s="390"/>
      <c r="VLI5" s="390"/>
      <c r="VLJ5" s="390"/>
      <c r="VLK5" s="390"/>
      <c r="VLL5" s="390"/>
      <c r="VLM5" s="390"/>
      <c r="VLN5" s="390"/>
      <c r="VLO5" s="390"/>
      <c r="VLP5" s="390"/>
      <c r="VLQ5" s="390"/>
      <c r="VLR5" s="390"/>
      <c r="VLS5" s="390"/>
      <c r="VLT5" s="390"/>
      <c r="VLU5" s="390"/>
      <c r="VLV5" s="390"/>
      <c r="VLW5" s="390"/>
      <c r="VLX5" s="390"/>
      <c r="VLY5" s="390"/>
      <c r="VLZ5" s="390"/>
      <c r="VMA5" s="390"/>
      <c r="VMB5" s="390"/>
      <c r="VMC5" s="390"/>
      <c r="VMD5" s="390"/>
      <c r="VME5" s="390"/>
      <c r="VMF5" s="390"/>
      <c r="VMG5" s="390"/>
      <c r="VMH5" s="390"/>
      <c r="VMI5" s="390"/>
      <c r="VMJ5" s="390"/>
      <c r="VMK5" s="390"/>
      <c r="VML5" s="390"/>
      <c r="VMM5" s="390"/>
      <c r="VMN5" s="390"/>
      <c r="VMO5" s="390"/>
      <c r="VMP5" s="390"/>
      <c r="VMQ5" s="390"/>
      <c r="VMR5" s="390"/>
      <c r="VMS5" s="390"/>
      <c r="VMT5" s="390"/>
      <c r="VMU5" s="390"/>
      <c r="VMV5" s="390"/>
      <c r="VMW5" s="390"/>
      <c r="VMX5" s="390"/>
      <c r="VMY5" s="390"/>
      <c r="VMZ5" s="390"/>
      <c r="VNA5" s="390"/>
      <c r="VNB5" s="390"/>
      <c r="VNC5" s="390"/>
      <c r="VND5" s="390"/>
      <c r="VNE5" s="390"/>
      <c r="VNF5" s="390"/>
      <c r="VNG5" s="390"/>
      <c r="VNH5" s="390"/>
      <c r="VNI5" s="390"/>
      <c r="VNJ5" s="390"/>
      <c r="VNK5" s="390"/>
      <c r="VNL5" s="390"/>
      <c r="VNM5" s="390"/>
      <c r="VNN5" s="390"/>
      <c r="VNO5" s="390"/>
      <c r="VNP5" s="390"/>
      <c r="VNQ5" s="390"/>
      <c r="VNR5" s="390"/>
      <c r="VNS5" s="390"/>
      <c r="VNT5" s="390"/>
      <c r="VNU5" s="390"/>
      <c r="VNV5" s="390"/>
      <c r="VNW5" s="390"/>
      <c r="VNX5" s="390"/>
      <c r="VNY5" s="390"/>
      <c r="VNZ5" s="390"/>
      <c r="VOA5" s="390"/>
      <c r="VOB5" s="390"/>
      <c r="VOC5" s="390"/>
      <c r="VOD5" s="390"/>
      <c r="VOE5" s="390"/>
      <c r="VOF5" s="390"/>
      <c r="VOG5" s="390"/>
      <c r="VOH5" s="390"/>
      <c r="VOI5" s="390"/>
      <c r="VOJ5" s="390"/>
      <c r="VOK5" s="390"/>
      <c r="VOL5" s="390"/>
      <c r="VOM5" s="390"/>
      <c r="VON5" s="390"/>
      <c r="VOO5" s="390"/>
      <c r="VOP5" s="390"/>
      <c r="VOQ5" s="390"/>
      <c r="VOR5" s="390"/>
      <c r="VOS5" s="390"/>
      <c r="VOT5" s="390"/>
      <c r="VOU5" s="390"/>
      <c r="VOV5" s="390"/>
      <c r="VOW5" s="390"/>
      <c r="VOX5" s="390"/>
      <c r="VOY5" s="390"/>
      <c r="VOZ5" s="390"/>
      <c r="VPA5" s="390"/>
      <c r="VPB5" s="390"/>
      <c r="VPC5" s="390"/>
      <c r="VPD5" s="390"/>
      <c r="VPE5" s="390"/>
      <c r="VPF5" s="390"/>
      <c r="VPG5" s="390"/>
      <c r="VPH5" s="390"/>
      <c r="VPI5" s="390"/>
      <c r="VPJ5" s="390"/>
      <c r="VPK5" s="390"/>
      <c r="VPL5" s="390"/>
      <c r="VPM5" s="390"/>
      <c r="VPN5" s="390"/>
      <c r="VPO5" s="390"/>
      <c r="VPP5" s="390"/>
      <c r="VPQ5" s="390"/>
      <c r="VPR5" s="390"/>
      <c r="VPS5" s="390"/>
      <c r="VPT5" s="390"/>
      <c r="VPU5" s="390"/>
      <c r="VPV5" s="390"/>
      <c r="VPW5" s="390"/>
      <c r="VPX5" s="390"/>
      <c r="VPY5" s="390"/>
      <c r="VPZ5" s="390"/>
      <c r="VQA5" s="390"/>
      <c r="VQB5" s="390"/>
      <c r="VQC5" s="390"/>
      <c r="VQD5" s="390"/>
      <c r="VQE5" s="390"/>
      <c r="VQF5" s="390"/>
      <c r="VQG5" s="390"/>
      <c r="VQH5" s="390"/>
      <c r="VQI5" s="390"/>
      <c r="VQJ5" s="390"/>
      <c r="VQK5" s="390"/>
      <c r="VQL5" s="390"/>
      <c r="VQM5" s="390"/>
      <c r="VQN5" s="390"/>
      <c r="VQO5" s="390"/>
      <c r="VQP5" s="390"/>
      <c r="VQQ5" s="390"/>
      <c r="VQR5" s="390"/>
      <c r="VQS5" s="390"/>
      <c r="VQT5" s="390"/>
      <c r="VQU5" s="390"/>
      <c r="VQV5" s="390"/>
      <c r="VQW5" s="390"/>
      <c r="VQX5" s="390"/>
      <c r="VQY5" s="390"/>
      <c r="VQZ5" s="390"/>
      <c r="VRA5" s="390"/>
      <c r="VRB5" s="390"/>
      <c r="VRC5" s="390"/>
      <c r="VRD5" s="390"/>
      <c r="VRE5" s="390"/>
      <c r="VRF5" s="390"/>
      <c r="VRG5" s="390"/>
      <c r="VRH5" s="390"/>
      <c r="VRI5" s="390"/>
      <c r="VRJ5" s="390"/>
      <c r="VRK5" s="390"/>
      <c r="VRL5" s="390"/>
      <c r="VRM5" s="390"/>
      <c r="VRN5" s="390"/>
      <c r="VRO5" s="390"/>
      <c r="VRP5" s="390"/>
      <c r="VRQ5" s="390"/>
      <c r="VRR5" s="390"/>
      <c r="VRS5" s="390"/>
      <c r="VRT5" s="390"/>
      <c r="VRU5" s="390"/>
      <c r="VRV5" s="390"/>
      <c r="VRW5" s="390"/>
      <c r="VRX5" s="390"/>
      <c r="VRY5" s="390"/>
      <c r="VRZ5" s="390"/>
      <c r="VSA5" s="390"/>
      <c r="VSB5" s="390"/>
      <c r="VSC5" s="390"/>
      <c r="VSD5" s="390"/>
      <c r="VSE5" s="390"/>
      <c r="VSF5" s="390"/>
      <c r="VSG5" s="390"/>
      <c r="VSH5" s="390"/>
      <c r="VSI5" s="390"/>
      <c r="VSJ5" s="390"/>
      <c r="VSK5" s="390"/>
      <c r="VSL5" s="390"/>
      <c r="VSM5" s="390"/>
      <c r="VSN5" s="390"/>
      <c r="VSO5" s="390"/>
      <c r="VSP5" s="390"/>
      <c r="VSQ5" s="390"/>
      <c r="VSR5" s="390"/>
      <c r="VSS5" s="390"/>
      <c r="VST5" s="390"/>
      <c r="VSU5" s="390"/>
      <c r="VSV5" s="390"/>
      <c r="VSW5" s="390"/>
      <c r="VSX5" s="390"/>
      <c r="VSY5" s="390"/>
      <c r="VSZ5" s="390"/>
      <c r="VTA5" s="390"/>
      <c r="VTB5" s="390"/>
      <c r="VTC5" s="390"/>
      <c r="VTD5" s="390"/>
      <c r="VTE5" s="390"/>
      <c r="VTF5" s="390"/>
      <c r="VTG5" s="390"/>
      <c r="VTH5" s="390"/>
      <c r="VTI5" s="390"/>
      <c r="VTJ5" s="390"/>
      <c r="VTK5" s="390"/>
      <c r="VTL5" s="390"/>
      <c r="VTM5" s="390"/>
      <c r="VTN5" s="390"/>
      <c r="VTO5" s="390"/>
      <c r="VTP5" s="390"/>
      <c r="VTQ5" s="390"/>
      <c r="VTR5" s="390"/>
      <c r="VTS5" s="390"/>
      <c r="VTT5" s="390"/>
      <c r="VTU5" s="390"/>
      <c r="VTV5" s="390"/>
      <c r="VTW5" s="390"/>
      <c r="VTX5" s="390"/>
      <c r="VTY5" s="390"/>
      <c r="VTZ5" s="390"/>
      <c r="VUA5" s="390"/>
      <c r="VUB5" s="390"/>
      <c r="VUC5" s="390"/>
      <c r="VUD5" s="390"/>
      <c r="VUE5" s="390"/>
      <c r="VUF5" s="390"/>
      <c r="VUG5" s="390"/>
      <c r="VUH5" s="390"/>
      <c r="VUI5" s="390"/>
      <c r="VUJ5" s="390"/>
      <c r="VUK5" s="390"/>
      <c r="VUL5" s="390"/>
      <c r="VUM5" s="390"/>
      <c r="VUN5" s="390"/>
      <c r="VUO5" s="390"/>
      <c r="VUP5" s="390"/>
      <c r="VUQ5" s="390"/>
      <c r="VUR5" s="390"/>
      <c r="VUS5" s="390"/>
      <c r="VUT5" s="390"/>
      <c r="VUU5" s="390"/>
      <c r="VUV5" s="390"/>
      <c r="VUW5" s="390"/>
      <c r="VUX5" s="390"/>
      <c r="VUY5" s="390"/>
      <c r="VUZ5" s="390"/>
      <c r="VVA5" s="390"/>
      <c r="VVB5" s="390"/>
      <c r="VVC5" s="390"/>
      <c r="VVD5" s="390"/>
      <c r="VVE5" s="390"/>
      <c r="VVF5" s="390"/>
      <c r="VVG5" s="390"/>
      <c r="VVH5" s="390"/>
      <c r="VVI5" s="390"/>
      <c r="VVJ5" s="390"/>
      <c r="VVK5" s="390"/>
      <c r="VVL5" s="390"/>
      <c r="VVM5" s="390"/>
      <c r="VVN5" s="390"/>
      <c r="VVO5" s="390"/>
      <c r="VVP5" s="390"/>
      <c r="VVQ5" s="390"/>
      <c r="VVR5" s="390"/>
      <c r="VVS5" s="390"/>
      <c r="VVT5" s="390"/>
      <c r="VVU5" s="390"/>
      <c r="VVV5" s="390"/>
      <c r="VVW5" s="390"/>
      <c r="VVX5" s="390"/>
      <c r="VVY5" s="390"/>
      <c r="VVZ5" s="390"/>
      <c r="VWA5" s="390"/>
      <c r="VWB5" s="390"/>
      <c r="VWC5" s="390"/>
      <c r="VWD5" s="390"/>
      <c r="VWE5" s="390"/>
      <c r="VWF5" s="390"/>
      <c r="VWG5" s="390"/>
      <c r="VWH5" s="390"/>
      <c r="VWI5" s="390"/>
      <c r="VWJ5" s="390"/>
      <c r="VWK5" s="390"/>
      <c r="VWL5" s="390"/>
      <c r="VWM5" s="390"/>
      <c r="VWN5" s="390"/>
      <c r="VWO5" s="390"/>
      <c r="VWP5" s="390"/>
      <c r="VWQ5" s="390"/>
      <c r="VWR5" s="390"/>
      <c r="VWS5" s="390"/>
      <c r="VWT5" s="390"/>
      <c r="VWU5" s="390"/>
      <c r="VWV5" s="390"/>
      <c r="VWW5" s="390"/>
      <c r="VWX5" s="390"/>
      <c r="VWY5" s="390"/>
      <c r="VWZ5" s="390"/>
      <c r="VXA5" s="390"/>
      <c r="VXB5" s="390"/>
      <c r="VXC5" s="390"/>
      <c r="VXD5" s="390"/>
      <c r="VXE5" s="390"/>
      <c r="VXF5" s="390"/>
      <c r="VXG5" s="390"/>
      <c r="VXH5" s="390"/>
      <c r="VXI5" s="390"/>
      <c r="VXJ5" s="390"/>
      <c r="VXK5" s="390"/>
      <c r="VXL5" s="390"/>
      <c r="VXM5" s="390"/>
      <c r="VXN5" s="390"/>
      <c r="VXO5" s="390"/>
      <c r="VXP5" s="390"/>
      <c r="VXQ5" s="390"/>
      <c r="VXR5" s="390"/>
      <c r="VXS5" s="390"/>
      <c r="VXT5" s="390"/>
      <c r="VXU5" s="390"/>
      <c r="VXV5" s="390"/>
      <c r="VXW5" s="390"/>
      <c r="VXX5" s="390"/>
      <c r="VXY5" s="390"/>
      <c r="VXZ5" s="390"/>
      <c r="VYA5" s="390"/>
      <c r="VYB5" s="390"/>
      <c r="VYC5" s="390"/>
      <c r="VYD5" s="390"/>
      <c r="VYE5" s="390"/>
      <c r="VYF5" s="390"/>
      <c r="VYG5" s="390"/>
      <c r="VYH5" s="390"/>
      <c r="VYI5" s="390"/>
      <c r="VYJ5" s="390"/>
      <c r="VYK5" s="390"/>
      <c r="VYL5" s="390"/>
      <c r="VYM5" s="390"/>
      <c r="VYN5" s="390"/>
      <c r="VYO5" s="390"/>
      <c r="VYP5" s="390"/>
      <c r="VYQ5" s="390"/>
      <c r="VYR5" s="390"/>
      <c r="VYS5" s="390"/>
      <c r="VYT5" s="390"/>
      <c r="VYU5" s="390"/>
      <c r="VYV5" s="390"/>
      <c r="VYW5" s="390"/>
      <c r="VYX5" s="390"/>
      <c r="VYY5" s="390"/>
      <c r="VYZ5" s="390"/>
      <c r="VZA5" s="390"/>
      <c r="VZB5" s="390"/>
      <c r="VZC5" s="390"/>
      <c r="VZD5" s="390"/>
      <c r="VZE5" s="390"/>
      <c r="VZF5" s="390"/>
      <c r="VZG5" s="390"/>
      <c r="VZH5" s="390"/>
      <c r="VZI5" s="390"/>
      <c r="VZJ5" s="390"/>
      <c r="VZK5" s="390"/>
      <c r="VZL5" s="390"/>
      <c r="VZM5" s="390"/>
      <c r="VZN5" s="390"/>
      <c r="VZO5" s="390"/>
      <c r="VZP5" s="390"/>
      <c r="VZQ5" s="390"/>
      <c r="VZR5" s="390"/>
      <c r="VZS5" s="390"/>
      <c r="VZT5" s="390"/>
      <c r="VZU5" s="390"/>
      <c r="VZV5" s="390"/>
      <c r="VZW5" s="390"/>
      <c r="VZX5" s="390"/>
      <c r="VZY5" s="390"/>
      <c r="VZZ5" s="390"/>
      <c r="WAA5" s="390"/>
      <c r="WAB5" s="390"/>
      <c r="WAC5" s="390"/>
      <c r="WAD5" s="390"/>
      <c r="WAE5" s="390"/>
      <c r="WAF5" s="390"/>
      <c r="WAG5" s="390"/>
      <c r="WAH5" s="390"/>
      <c r="WAI5" s="390"/>
      <c r="WAJ5" s="390"/>
      <c r="WAK5" s="390"/>
      <c r="WAL5" s="390"/>
      <c r="WAM5" s="390"/>
      <c r="WAN5" s="390"/>
      <c r="WAO5" s="390"/>
      <c r="WAP5" s="390"/>
      <c r="WAQ5" s="390"/>
      <c r="WAR5" s="390"/>
      <c r="WAS5" s="390"/>
      <c r="WAT5" s="390"/>
      <c r="WAU5" s="390"/>
      <c r="WAV5" s="390"/>
      <c r="WAW5" s="390"/>
      <c r="WAX5" s="390"/>
      <c r="WAY5" s="390"/>
      <c r="WAZ5" s="390"/>
      <c r="WBA5" s="390"/>
      <c r="WBB5" s="390"/>
      <c r="WBC5" s="390"/>
      <c r="WBD5" s="390"/>
      <c r="WBE5" s="390"/>
      <c r="WBF5" s="390"/>
      <c r="WBG5" s="390"/>
      <c r="WBH5" s="390"/>
      <c r="WBI5" s="390"/>
      <c r="WBJ5" s="390"/>
      <c r="WBK5" s="390"/>
      <c r="WBL5" s="390"/>
      <c r="WBM5" s="390"/>
      <c r="WBN5" s="390"/>
      <c r="WBO5" s="390"/>
      <c r="WBP5" s="390"/>
      <c r="WBQ5" s="390"/>
      <c r="WBR5" s="390"/>
      <c r="WBS5" s="390"/>
      <c r="WBT5" s="390"/>
      <c r="WBU5" s="390"/>
      <c r="WBV5" s="390"/>
      <c r="WBW5" s="390"/>
      <c r="WBX5" s="390"/>
      <c r="WBY5" s="390"/>
      <c r="WBZ5" s="390"/>
      <c r="WCA5" s="390"/>
      <c r="WCB5" s="390"/>
      <c r="WCC5" s="390"/>
      <c r="WCD5" s="390"/>
      <c r="WCE5" s="390"/>
      <c r="WCF5" s="390"/>
      <c r="WCG5" s="390"/>
      <c r="WCH5" s="390"/>
      <c r="WCI5" s="390"/>
      <c r="WCJ5" s="390"/>
      <c r="WCK5" s="390"/>
      <c r="WCL5" s="390"/>
      <c r="WCM5" s="390"/>
      <c r="WCN5" s="390"/>
      <c r="WCO5" s="390"/>
      <c r="WCP5" s="390"/>
      <c r="WCQ5" s="390"/>
      <c r="WCR5" s="390"/>
      <c r="WCS5" s="390"/>
      <c r="WCT5" s="390"/>
      <c r="WCU5" s="390"/>
      <c r="WCV5" s="390"/>
      <c r="WCW5" s="390"/>
      <c r="WCX5" s="390"/>
      <c r="WCY5" s="390"/>
      <c r="WCZ5" s="390"/>
      <c r="WDA5" s="390"/>
      <c r="WDB5" s="390"/>
      <c r="WDC5" s="390"/>
      <c r="WDD5" s="390"/>
      <c r="WDE5" s="390"/>
      <c r="WDF5" s="390"/>
      <c r="WDG5" s="390"/>
      <c r="WDH5" s="390"/>
      <c r="WDI5" s="390"/>
      <c r="WDJ5" s="390"/>
      <c r="WDK5" s="390"/>
      <c r="WDL5" s="390"/>
      <c r="WDM5" s="390"/>
      <c r="WDN5" s="390"/>
      <c r="WDO5" s="390"/>
      <c r="WDP5" s="390"/>
      <c r="WDQ5" s="390"/>
      <c r="WDR5" s="390"/>
      <c r="WDS5" s="390"/>
      <c r="WDT5" s="390"/>
      <c r="WDU5" s="390"/>
      <c r="WDV5" s="390"/>
      <c r="WDW5" s="390"/>
      <c r="WDX5" s="390"/>
      <c r="WDY5" s="390"/>
      <c r="WDZ5" s="390"/>
      <c r="WEA5" s="390"/>
      <c r="WEB5" s="390"/>
      <c r="WEC5" s="390"/>
      <c r="WED5" s="390"/>
      <c r="WEE5" s="390"/>
      <c r="WEF5" s="390"/>
      <c r="WEG5" s="390"/>
      <c r="WEH5" s="390"/>
      <c r="WEI5" s="390"/>
      <c r="WEJ5" s="390"/>
      <c r="WEK5" s="390"/>
      <c r="WEL5" s="390"/>
      <c r="WEM5" s="390"/>
      <c r="WEN5" s="390"/>
      <c r="WEO5" s="390"/>
      <c r="WEP5" s="390"/>
      <c r="WEQ5" s="390"/>
      <c r="WER5" s="390"/>
      <c r="WES5" s="390"/>
      <c r="WET5" s="390"/>
      <c r="WEU5" s="390"/>
      <c r="WEV5" s="390"/>
      <c r="WEW5" s="390"/>
      <c r="WEX5" s="390"/>
      <c r="WEY5" s="390"/>
      <c r="WEZ5" s="390"/>
      <c r="WFA5" s="390"/>
      <c r="WFB5" s="390"/>
      <c r="WFC5" s="390"/>
      <c r="WFD5" s="390"/>
      <c r="WFE5" s="390"/>
      <c r="WFF5" s="390"/>
      <c r="WFG5" s="390"/>
      <c r="WFH5" s="390"/>
      <c r="WFI5" s="390"/>
      <c r="WFJ5" s="390"/>
      <c r="WFK5" s="390"/>
      <c r="WFL5" s="390"/>
      <c r="WFM5" s="390"/>
      <c r="WFN5" s="390"/>
      <c r="WFO5" s="390"/>
      <c r="WFP5" s="390"/>
      <c r="WFQ5" s="390"/>
      <c r="WFR5" s="390"/>
      <c r="WFS5" s="390"/>
      <c r="WFT5" s="390"/>
      <c r="WFU5" s="390"/>
      <c r="WFV5" s="390"/>
      <c r="WFW5" s="390"/>
      <c r="WFX5" s="390"/>
      <c r="WFY5" s="390"/>
      <c r="WFZ5" s="390"/>
      <c r="WGA5" s="390"/>
      <c r="WGB5" s="390"/>
      <c r="WGC5" s="390"/>
      <c r="WGD5" s="390"/>
      <c r="WGE5" s="390"/>
      <c r="WGF5" s="390"/>
      <c r="WGG5" s="390"/>
      <c r="WGH5" s="390"/>
      <c r="WGI5" s="390"/>
      <c r="WGJ5" s="390"/>
      <c r="WGK5" s="390"/>
      <c r="WGL5" s="390"/>
      <c r="WGM5" s="390"/>
      <c r="WGN5" s="390"/>
      <c r="WGO5" s="390"/>
      <c r="WGP5" s="390"/>
      <c r="WGQ5" s="390"/>
      <c r="WGR5" s="390"/>
      <c r="WGS5" s="390"/>
      <c r="WGT5" s="390"/>
      <c r="WGU5" s="390"/>
      <c r="WGV5" s="390"/>
      <c r="WGW5" s="390"/>
      <c r="WGX5" s="390"/>
      <c r="WGY5" s="390"/>
      <c r="WGZ5" s="390"/>
      <c r="WHA5" s="390"/>
      <c r="WHB5" s="390"/>
      <c r="WHC5" s="390"/>
      <c r="WHD5" s="390"/>
      <c r="WHE5" s="390"/>
      <c r="WHF5" s="390"/>
      <c r="WHG5" s="390"/>
      <c r="WHH5" s="390"/>
      <c r="WHI5" s="390"/>
      <c r="WHJ5" s="390"/>
      <c r="WHK5" s="390"/>
      <c r="WHL5" s="390"/>
      <c r="WHM5" s="390"/>
      <c r="WHN5" s="390"/>
      <c r="WHO5" s="390"/>
      <c r="WHP5" s="390"/>
      <c r="WHQ5" s="390"/>
      <c r="WHR5" s="390"/>
      <c r="WHS5" s="390"/>
      <c r="WHT5" s="390"/>
      <c r="WHU5" s="390"/>
      <c r="WHV5" s="390"/>
      <c r="WHW5" s="390"/>
      <c r="WHX5" s="390"/>
      <c r="WHY5" s="390"/>
      <c r="WHZ5" s="390"/>
      <c r="WIA5" s="390"/>
      <c r="WIB5" s="390"/>
      <c r="WIC5" s="390"/>
      <c r="WID5" s="390"/>
      <c r="WIE5" s="390"/>
      <c r="WIF5" s="390"/>
      <c r="WIG5" s="390"/>
      <c r="WIH5" s="390"/>
      <c r="WII5" s="390"/>
      <c r="WIJ5" s="390"/>
      <c r="WIK5" s="390"/>
      <c r="WIL5" s="390"/>
      <c r="WIM5" s="390"/>
      <c r="WIN5" s="390"/>
      <c r="WIO5" s="390"/>
      <c r="WIP5" s="390"/>
      <c r="WIQ5" s="390"/>
      <c r="WIR5" s="390"/>
      <c r="WIS5" s="390"/>
      <c r="WIT5" s="390"/>
      <c r="WIU5" s="390"/>
      <c r="WIV5" s="390"/>
      <c r="WIW5" s="390"/>
      <c r="WIX5" s="390"/>
      <c r="WIY5" s="390"/>
      <c r="WIZ5" s="390"/>
      <c r="WJA5" s="390"/>
      <c r="WJB5" s="390"/>
      <c r="WJC5" s="390"/>
      <c r="WJD5" s="390"/>
      <c r="WJE5" s="390"/>
      <c r="WJF5" s="390"/>
      <c r="WJG5" s="390"/>
      <c r="WJH5" s="390"/>
      <c r="WJI5" s="390"/>
      <c r="WJJ5" s="390"/>
      <c r="WJK5" s="390"/>
      <c r="WJL5" s="390"/>
      <c r="WJM5" s="390"/>
      <c r="WJN5" s="390"/>
      <c r="WJO5" s="390"/>
      <c r="WJP5" s="390"/>
      <c r="WJQ5" s="390"/>
      <c r="WJR5" s="390"/>
      <c r="WJS5" s="390"/>
      <c r="WJT5" s="390"/>
      <c r="WJU5" s="390"/>
      <c r="WJV5" s="390"/>
      <c r="WJW5" s="390"/>
      <c r="WJX5" s="390"/>
      <c r="WJY5" s="390"/>
      <c r="WJZ5" s="390"/>
      <c r="WKA5" s="390"/>
      <c r="WKB5" s="390"/>
      <c r="WKC5" s="390"/>
      <c r="WKD5" s="390"/>
      <c r="WKE5" s="390"/>
      <c r="WKF5" s="390"/>
      <c r="WKG5" s="390"/>
      <c r="WKH5" s="390"/>
      <c r="WKI5" s="390"/>
      <c r="WKJ5" s="390"/>
      <c r="WKK5" s="390"/>
      <c r="WKL5" s="390"/>
      <c r="WKM5" s="390"/>
      <c r="WKN5" s="390"/>
      <c r="WKO5" s="390"/>
      <c r="WKP5" s="390"/>
      <c r="WKQ5" s="390"/>
      <c r="WKR5" s="390"/>
      <c r="WKS5" s="390"/>
      <c r="WKT5" s="390"/>
      <c r="WKU5" s="390"/>
      <c r="WKV5" s="390"/>
      <c r="WKW5" s="390"/>
      <c r="WKX5" s="390"/>
      <c r="WKY5" s="390"/>
      <c r="WKZ5" s="390"/>
      <c r="WLA5" s="390"/>
      <c r="WLB5" s="390"/>
      <c r="WLC5" s="390"/>
      <c r="WLD5" s="390"/>
      <c r="WLE5" s="390"/>
      <c r="WLF5" s="390"/>
      <c r="WLG5" s="390"/>
      <c r="WLH5" s="390"/>
      <c r="WLI5" s="390"/>
      <c r="WLJ5" s="390"/>
      <c r="WLK5" s="390"/>
      <c r="WLL5" s="390"/>
      <c r="WLM5" s="390"/>
      <c r="WLN5" s="390"/>
      <c r="WLO5" s="390"/>
      <c r="WLP5" s="390"/>
      <c r="WLQ5" s="390"/>
      <c r="WLR5" s="390"/>
      <c r="WLS5" s="390"/>
      <c r="WLT5" s="390"/>
      <c r="WLU5" s="390"/>
      <c r="WLV5" s="390"/>
      <c r="WLW5" s="390"/>
      <c r="WLX5" s="390"/>
      <c r="WLY5" s="390"/>
      <c r="WLZ5" s="390"/>
      <c r="WMA5" s="390"/>
      <c r="WMB5" s="390"/>
      <c r="WMC5" s="390"/>
      <c r="WMD5" s="390"/>
      <c r="WME5" s="390"/>
      <c r="WMF5" s="390"/>
      <c r="WMG5" s="390"/>
      <c r="WMH5" s="390"/>
      <c r="WMI5" s="390"/>
      <c r="WMJ5" s="390"/>
      <c r="WMK5" s="390"/>
      <c r="WML5" s="390"/>
      <c r="WMM5" s="390"/>
      <c r="WMN5" s="390"/>
      <c r="WMO5" s="390"/>
      <c r="WMP5" s="390"/>
      <c r="WMQ5" s="390"/>
      <c r="WMR5" s="390"/>
      <c r="WMS5" s="390"/>
      <c r="WMT5" s="390"/>
      <c r="WMU5" s="390"/>
      <c r="WMV5" s="390"/>
      <c r="WMW5" s="390"/>
      <c r="WMX5" s="390"/>
      <c r="WMY5" s="390"/>
      <c r="WMZ5" s="390"/>
      <c r="WNA5" s="390"/>
      <c r="WNB5" s="390"/>
      <c r="WNC5" s="390"/>
      <c r="WND5" s="390"/>
      <c r="WNE5" s="390"/>
      <c r="WNF5" s="390"/>
      <c r="WNG5" s="390"/>
      <c r="WNH5" s="390"/>
      <c r="WNI5" s="390"/>
      <c r="WNJ5" s="390"/>
      <c r="WNK5" s="390"/>
      <c r="WNL5" s="390"/>
      <c r="WNM5" s="390"/>
      <c r="WNN5" s="390"/>
      <c r="WNO5" s="390"/>
      <c r="WNP5" s="390"/>
      <c r="WNQ5" s="390"/>
      <c r="WNR5" s="390"/>
      <c r="WNS5" s="390"/>
      <c r="WNT5" s="390"/>
      <c r="WNU5" s="390"/>
      <c r="WNV5" s="390"/>
      <c r="WNW5" s="390"/>
      <c r="WNX5" s="390"/>
      <c r="WNY5" s="390"/>
      <c r="WNZ5" s="390"/>
      <c r="WOA5" s="390"/>
      <c r="WOB5" s="390"/>
      <c r="WOC5" s="390"/>
      <c r="WOD5" s="390"/>
      <c r="WOE5" s="390"/>
      <c r="WOF5" s="390"/>
      <c r="WOG5" s="390"/>
      <c r="WOH5" s="390"/>
      <c r="WOI5" s="390"/>
      <c r="WOJ5" s="390"/>
      <c r="WOK5" s="390"/>
      <c r="WOL5" s="390"/>
      <c r="WOM5" s="390"/>
      <c r="WON5" s="390"/>
      <c r="WOO5" s="390"/>
      <c r="WOP5" s="390"/>
      <c r="WOQ5" s="390"/>
      <c r="WOR5" s="390"/>
      <c r="WOS5" s="390"/>
      <c r="WOT5" s="390"/>
      <c r="WOU5" s="390"/>
      <c r="WOV5" s="390"/>
      <c r="WOW5" s="390"/>
      <c r="WOX5" s="390"/>
      <c r="WOY5" s="390"/>
      <c r="WOZ5" s="390"/>
      <c r="WPA5" s="390"/>
      <c r="WPB5" s="390"/>
      <c r="WPC5" s="390"/>
      <c r="WPD5" s="390"/>
      <c r="WPE5" s="390"/>
      <c r="WPF5" s="390"/>
      <c r="WPG5" s="390"/>
      <c r="WPH5" s="390"/>
      <c r="WPI5" s="390"/>
      <c r="WPJ5" s="390"/>
      <c r="WPK5" s="390"/>
      <c r="WPL5" s="390"/>
      <c r="WPM5" s="390"/>
      <c r="WPN5" s="390"/>
      <c r="WPO5" s="390"/>
      <c r="WPP5" s="390"/>
      <c r="WPQ5" s="390"/>
      <c r="WPR5" s="390"/>
      <c r="WPS5" s="390"/>
      <c r="WPT5" s="390"/>
      <c r="WPU5" s="390"/>
      <c r="WPV5" s="390"/>
      <c r="WPW5" s="390"/>
      <c r="WPX5" s="390"/>
      <c r="WPY5" s="390"/>
      <c r="WPZ5" s="390"/>
      <c r="WQA5" s="390"/>
      <c r="WQB5" s="390"/>
      <c r="WQC5" s="390"/>
      <c r="WQD5" s="390"/>
      <c r="WQE5" s="390"/>
      <c r="WQF5" s="390"/>
      <c r="WQG5" s="390"/>
      <c r="WQH5" s="390"/>
      <c r="WQI5" s="390"/>
      <c r="WQJ5" s="390"/>
      <c r="WQK5" s="390"/>
      <c r="WQL5" s="390"/>
      <c r="WQM5" s="390"/>
      <c r="WQN5" s="390"/>
      <c r="WQO5" s="390"/>
      <c r="WQP5" s="390"/>
      <c r="WQQ5" s="390"/>
      <c r="WQR5" s="390"/>
      <c r="WQS5" s="390"/>
      <c r="WQT5" s="390"/>
      <c r="WQU5" s="390"/>
      <c r="WQV5" s="390"/>
      <c r="WQW5" s="390"/>
      <c r="WQX5" s="390"/>
      <c r="WQY5" s="390"/>
      <c r="WQZ5" s="390"/>
      <c r="WRA5" s="390"/>
      <c r="WRB5" s="390"/>
      <c r="WRC5" s="390"/>
      <c r="WRD5" s="390"/>
      <c r="WRE5" s="390"/>
      <c r="WRF5" s="390"/>
      <c r="WRG5" s="390"/>
      <c r="WRH5" s="390"/>
      <c r="WRI5" s="390"/>
      <c r="WRJ5" s="390"/>
      <c r="WRK5" s="390"/>
      <c r="WRL5" s="390"/>
      <c r="WRM5" s="390"/>
      <c r="WRN5" s="390"/>
      <c r="WRO5" s="390"/>
      <c r="WRP5" s="390"/>
      <c r="WRQ5" s="390"/>
      <c r="WRR5" s="390"/>
      <c r="WRS5" s="390"/>
      <c r="WRT5" s="390"/>
      <c r="WRU5" s="390"/>
      <c r="WRV5" s="390"/>
      <c r="WRW5" s="390"/>
      <c r="WRX5" s="390"/>
      <c r="WRY5" s="390"/>
      <c r="WRZ5" s="390"/>
      <c r="WSA5" s="390"/>
      <c r="WSB5" s="390"/>
      <c r="WSC5" s="390"/>
      <c r="WSD5" s="390"/>
      <c r="WSE5" s="390"/>
      <c r="WSF5" s="390"/>
      <c r="WSG5" s="390"/>
      <c r="WSH5" s="390"/>
      <c r="WSI5" s="390"/>
      <c r="WSJ5" s="390"/>
      <c r="WSK5" s="390"/>
      <c r="WSL5" s="390"/>
      <c r="WSM5" s="390"/>
      <c r="WSN5" s="390"/>
      <c r="WSO5" s="390"/>
      <c r="WSP5" s="390"/>
      <c r="WSQ5" s="390"/>
      <c r="WSR5" s="390"/>
      <c r="WSS5" s="390"/>
      <c r="WST5" s="390"/>
      <c r="WSU5" s="390"/>
      <c r="WSV5" s="390"/>
      <c r="WSW5" s="390"/>
      <c r="WSX5" s="390"/>
      <c r="WSY5" s="390"/>
      <c r="WSZ5" s="390"/>
      <c r="WTA5" s="390"/>
      <c r="WTB5" s="390"/>
      <c r="WTC5" s="390"/>
      <c r="WTD5" s="390"/>
      <c r="WTE5" s="390"/>
      <c r="WTF5" s="390"/>
      <c r="WTG5" s="390"/>
      <c r="WTH5" s="390"/>
      <c r="WTI5" s="390"/>
      <c r="WTJ5" s="390"/>
      <c r="WTK5" s="390"/>
      <c r="WTL5" s="390"/>
      <c r="WTM5" s="390"/>
      <c r="WTN5" s="390"/>
      <c r="WTO5" s="390"/>
      <c r="WTP5" s="390"/>
      <c r="WTQ5" s="390"/>
      <c r="WTR5" s="390"/>
      <c r="WTS5" s="390"/>
      <c r="WTT5" s="390"/>
      <c r="WTU5" s="390"/>
      <c r="WTV5" s="390"/>
      <c r="WTW5" s="390"/>
      <c r="WTX5" s="390"/>
      <c r="WTY5" s="390"/>
      <c r="WTZ5" s="390"/>
      <c r="WUA5" s="390"/>
      <c r="WUB5" s="390"/>
      <c r="WUC5" s="390"/>
      <c r="WUD5" s="390"/>
      <c r="WUE5" s="390"/>
      <c r="WUF5" s="390"/>
      <c r="WUG5" s="390"/>
      <c r="WUH5" s="390"/>
      <c r="WUI5" s="390"/>
      <c r="WUJ5" s="390"/>
      <c r="WUK5" s="390"/>
      <c r="WUL5" s="390"/>
      <c r="WUM5" s="390"/>
      <c r="WUN5" s="390"/>
      <c r="WUO5" s="390"/>
      <c r="WUP5" s="390"/>
      <c r="WUQ5" s="390"/>
      <c r="WUR5" s="390"/>
      <c r="WUS5" s="390"/>
      <c r="WUT5" s="390"/>
      <c r="WUU5" s="390"/>
      <c r="WUV5" s="390"/>
      <c r="WUW5" s="390"/>
      <c r="WUX5" s="390"/>
      <c r="WUY5" s="390"/>
      <c r="WUZ5" s="390"/>
      <c r="WVA5" s="390"/>
      <c r="WVB5" s="390"/>
      <c r="WVC5" s="390"/>
      <c r="WVD5" s="390"/>
      <c r="WVE5" s="390"/>
      <c r="WVF5" s="390"/>
      <c r="WVG5" s="390"/>
      <c r="WVH5" s="390"/>
      <c r="WVI5" s="390"/>
      <c r="WVJ5" s="390"/>
      <c r="WVK5" s="390"/>
      <c r="WVL5" s="390"/>
      <c r="WVM5" s="390"/>
      <c r="WVN5" s="390"/>
      <c r="WVO5" s="390"/>
      <c r="WVP5" s="390"/>
      <c r="WVQ5" s="390"/>
      <c r="WVR5" s="390"/>
      <c r="WVS5" s="390"/>
      <c r="WVT5" s="390"/>
      <c r="WVU5" s="390"/>
      <c r="WVV5" s="390"/>
      <c r="WVW5" s="390"/>
      <c r="WVX5" s="390"/>
      <c r="WVY5" s="390"/>
      <c r="WVZ5" s="390"/>
      <c r="WWA5" s="390"/>
      <c r="WWB5" s="390"/>
      <c r="WWC5" s="390"/>
      <c r="WWD5" s="390"/>
      <c r="WWE5" s="390"/>
      <c r="WWF5" s="390"/>
      <c r="WWG5" s="390"/>
      <c r="WWH5" s="390"/>
      <c r="WWI5" s="390"/>
      <c r="WWJ5" s="390"/>
      <c r="WWK5" s="390"/>
      <c r="WWL5" s="390"/>
      <c r="WWM5" s="390"/>
      <c r="WWN5" s="390"/>
      <c r="WWO5" s="390"/>
      <c r="WWP5" s="390"/>
      <c r="WWQ5" s="390"/>
      <c r="WWR5" s="390"/>
      <c r="WWS5" s="390"/>
      <c r="WWT5" s="390"/>
      <c r="WWU5" s="390"/>
      <c r="WWV5" s="390"/>
      <c r="WWW5" s="390"/>
      <c r="WWX5" s="390"/>
      <c r="WWY5" s="390"/>
      <c r="WWZ5" s="390"/>
      <c r="WXA5" s="390"/>
      <c r="WXB5" s="390"/>
      <c r="WXC5" s="390"/>
      <c r="WXD5" s="390"/>
      <c r="WXE5" s="390"/>
      <c r="WXF5" s="390"/>
      <c r="WXG5" s="390"/>
      <c r="WXH5" s="390"/>
      <c r="WXI5" s="390"/>
      <c r="WXJ5" s="390"/>
      <c r="WXK5" s="390"/>
      <c r="WXL5" s="390"/>
      <c r="WXM5" s="390"/>
      <c r="WXN5" s="390"/>
      <c r="WXO5" s="390"/>
      <c r="WXP5" s="390"/>
      <c r="WXQ5" s="390"/>
      <c r="WXR5" s="390"/>
      <c r="WXS5" s="390"/>
      <c r="WXT5" s="390"/>
      <c r="WXU5" s="390"/>
      <c r="WXV5" s="390"/>
      <c r="WXW5" s="390"/>
      <c r="WXX5" s="390"/>
      <c r="WXY5" s="390"/>
      <c r="WXZ5" s="390"/>
      <c r="WYA5" s="390"/>
      <c r="WYB5" s="390"/>
      <c r="WYC5" s="390"/>
      <c r="WYD5" s="390"/>
      <c r="WYE5" s="390"/>
      <c r="WYF5" s="390"/>
      <c r="WYG5" s="390"/>
      <c r="WYH5" s="390"/>
      <c r="WYI5" s="390"/>
      <c r="WYJ5" s="390"/>
      <c r="WYK5" s="390"/>
      <c r="WYL5" s="390"/>
      <c r="WYM5" s="390"/>
      <c r="WYN5" s="390"/>
      <c r="WYO5" s="390"/>
      <c r="WYP5" s="390"/>
      <c r="WYQ5" s="390"/>
      <c r="WYR5" s="390"/>
      <c r="WYS5" s="390"/>
      <c r="WYT5" s="390"/>
      <c r="WYU5" s="390"/>
      <c r="WYV5" s="390"/>
      <c r="WYW5" s="390"/>
      <c r="WYX5" s="390"/>
      <c r="WYY5" s="390"/>
      <c r="WYZ5" s="390"/>
      <c r="WZA5" s="390"/>
      <c r="WZB5" s="390"/>
      <c r="WZC5" s="390"/>
      <c r="WZD5" s="390"/>
      <c r="WZE5" s="390"/>
      <c r="WZF5" s="390"/>
      <c r="WZG5" s="390"/>
      <c r="WZH5" s="390"/>
      <c r="WZI5" s="390"/>
      <c r="WZJ5" s="390"/>
      <c r="WZK5" s="390"/>
      <c r="WZL5" s="390"/>
      <c r="WZM5" s="390"/>
      <c r="WZN5" s="390"/>
      <c r="WZO5" s="390"/>
      <c r="WZP5" s="390"/>
      <c r="WZQ5" s="390"/>
      <c r="WZR5" s="390"/>
      <c r="WZS5" s="390"/>
      <c r="WZT5" s="390"/>
      <c r="WZU5" s="390"/>
      <c r="WZV5" s="390"/>
      <c r="WZW5" s="390"/>
      <c r="WZX5" s="390"/>
      <c r="WZY5" s="390"/>
      <c r="WZZ5" s="390"/>
      <c r="XAA5" s="390"/>
      <c r="XAB5" s="390"/>
      <c r="XAC5" s="390"/>
      <c r="XAD5" s="390"/>
      <c r="XAE5" s="390"/>
      <c r="XAF5" s="390"/>
      <c r="XAG5" s="390"/>
      <c r="XAH5" s="390"/>
      <c r="XAI5" s="390"/>
      <c r="XAJ5" s="390"/>
      <c r="XAK5" s="390"/>
      <c r="XAL5" s="390"/>
      <c r="XAM5" s="390"/>
      <c r="XAN5" s="390"/>
      <c r="XAO5" s="390"/>
      <c r="XAP5" s="390"/>
      <c r="XAQ5" s="390"/>
      <c r="XAR5" s="390"/>
      <c r="XAS5" s="390"/>
      <c r="XAT5" s="390"/>
      <c r="XAU5" s="390"/>
      <c r="XAV5" s="390"/>
      <c r="XAW5" s="390"/>
      <c r="XAX5" s="390"/>
      <c r="XAY5" s="390"/>
      <c r="XAZ5" s="390"/>
      <c r="XBA5" s="390"/>
      <c r="XBB5" s="390"/>
      <c r="XBC5" s="390"/>
      <c r="XBD5" s="390"/>
      <c r="XBE5" s="390"/>
      <c r="XBF5" s="390"/>
      <c r="XBG5" s="390"/>
      <c r="XBH5" s="390"/>
      <c r="XBI5" s="390"/>
      <c r="XBJ5" s="390"/>
      <c r="XBK5" s="390"/>
      <c r="XBL5" s="390"/>
      <c r="XBM5" s="390"/>
      <c r="XBN5" s="390"/>
      <c r="XBO5" s="390"/>
      <c r="XBP5" s="390"/>
      <c r="XBQ5" s="390"/>
      <c r="XBR5" s="390"/>
      <c r="XBS5" s="390"/>
      <c r="XBT5" s="390"/>
      <c r="XBU5" s="390"/>
      <c r="XBV5" s="390"/>
      <c r="XBW5" s="390"/>
      <c r="XBX5" s="390"/>
      <c r="XBY5" s="390"/>
      <c r="XBZ5" s="390"/>
      <c r="XCA5" s="390"/>
      <c r="XCB5" s="390"/>
      <c r="XCC5" s="390"/>
      <c r="XCD5" s="390"/>
      <c r="XCE5" s="390"/>
      <c r="XCF5" s="390"/>
      <c r="XCG5" s="390"/>
      <c r="XCH5" s="390"/>
      <c r="XCI5" s="390"/>
      <c r="XCJ5" s="390"/>
      <c r="XCK5" s="390"/>
      <c r="XCL5" s="390"/>
      <c r="XCM5" s="390"/>
      <c r="XCN5" s="390"/>
      <c r="XCO5" s="390"/>
      <c r="XCP5" s="390"/>
      <c r="XCQ5" s="390"/>
      <c r="XCR5" s="390"/>
      <c r="XCS5" s="390"/>
      <c r="XCT5" s="390"/>
      <c r="XCU5" s="390"/>
      <c r="XCV5" s="390"/>
      <c r="XCW5" s="390"/>
      <c r="XCX5" s="390"/>
      <c r="XCY5" s="390"/>
      <c r="XCZ5" s="390"/>
      <c r="XDA5" s="390"/>
      <c r="XDB5" s="390"/>
      <c r="XDC5" s="390"/>
      <c r="XDD5" s="390"/>
      <c r="XDE5" s="390"/>
      <c r="XDF5" s="390"/>
      <c r="XDG5" s="390"/>
      <c r="XDH5" s="390"/>
      <c r="XDI5" s="390"/>
      <c r="XDJ5" s="390"/>
      <c r="XDK5" s="390"/>
      <c r="XDL5" s="390"/>
      <c r="XDM5" s="390"/>
      <c r="XDN5" s="390"/>
      <c r="XDO5" s="390"/>
      <c r="XDP5" s="390"/>
      <c r="XDQ5" s="390"/>
      <c r="XDR5" s="390"/>
      <c r="XDS5" s="390"/>
      <c r="XDT5" s="390"/>
      <c r="XDU5" s="390"/>
      <c r="XDV5" s="390"/>
      <c r="XDW5" s="390"/>
      <c r="XDX5" s="390"/>
      <c r="XDY5" s="390"/>
      <c r="XDZ5" s="390"/>
      <c r="XEA5" s="390"/>
      <c r="XEB5" s="390"/>
      <c r="XEC5" s="390"/>
      <c r="XED5" s="390"/>
      <c r="XEE5" s="390"/>
      <c r="XEF5" s="390"/>
      <c r="XEG5" s="390"/>
      <c r="XEH5" s="390"/>
      <c r="XEI5" s="390"/>
      <c r="XEJ5" s="390"/>
      <c r="XEK5" s="390"/>
      <c r="XEL5" s="390"/>
      <c r="XEM5" s="390"/>
      <c r="XEN5" s="390"/>
      <c r="XEO5" s="390"/>
      <c r="XEP5" s="390"/>
      <c r="XEQ5" s="390"/>
      <c r="XER5" s="390"/>
      <c r="XES5" s="390"/>
      <c r="XET5" s="390"/>
      <c r="XEU5" s="390"/>
      <c r="XEV5" s="390"/>
      <c r="XEW5" s="390"/>
      <c r="XEX5" s="390"/>
      <c r="XEY5" s="390"/>
      <c r="XEZ5" s="390"/>
      <c r="XFA5" s="390"/>
      <c r="XFB5" s="390"/>
    </row>
    <row r="6" spans="1:16382" x14ac:dyDescent="0.45">
      <c r="A6" s="390" t="s">
        <v>1555</v>
      </c>
      <c r="B6" s="390"/>
      <c r="C6" s="390"/>
      <c r="D6" s="390"/>
      <c r="E6" s="390"/>
      <c r="F6" s="390"/>
      <c r="G6" s="390"/>
      <c r="H6" s="390"/>
      <c r="I6" s="392"/>
      <c r="J6" s="392"/>
      <c r="K6" s="392"/>
      <c r="L6" s="392"/>
      <c r="M6" s="392"/>
      <c r="N6" s="392"/>
    </row>
    <row r="7" spans="1:16382" x14ac:dyDescent="0.45">
      <c r="A7" s="399"/>
      <c r="B7" s="399"/>
      <c r="C7" s="399"/>
      <c r="D7" s="400"/>
      <c r="E7" s="400"/>
      <c r="F7" s="400"/>
      <c r="G7" s="400"/>
      <c r="H7" s="400"/>
    </row>
    <row r="8" spans="1:16382" s="2" customFormat="1" x14ac:dyDescent="0.45">
      <c r="A8" s="401" t="s">
        <v>1556</v>
      </c>
      <c r="B8" s="402"/>
      <c r="C8" s="402"/>
      <c r="D8" s="403"/>
      <c r="E8" s="403"/>
      <c r="F8" s="403"/>
      <c r="G8" s="403"/>
      <c r="H8" s="404"/>
    </row>
    <row r="9" spans="1:16382" s="2" customFormat="1" x14ac:dyDescent="0.45">
      <c r="A9" s="393" t="s">
        <v>4</v>
      </c>
      <c r="B9" s="394"/>
      <c r="C9" s="394"/>
      <c r="D9" s="394"/>
      <c r="E9" s="394"/>
      <c r="F9" s="394"/>
      <c r="G9" s="394"/>
      <c r="H9" s="395"/>
    </row>
    <row r="10" spans="1:16382" s="2" customFormat="1" x14ac:dyDescent="0.45">
      <c r="A10" s="396" t="s">
        <v>5140</v>
      </c>
      <c r="B10" s="397"/>
      <c r="C10" s="397"/>
      <c r="D10" s="397"/>
      <c r="E10" s="397"/>
      <c r="F10" s="397"/>
      <c r="G10" s="397"/>
      <c r="H10" s="398"/>
    </row>
    <row r="11" spans="1:16382" ht="24.6" x14ac:dyDescent="0.45">
      <c r="A11" s="3" t="s">
        <v>5</v>
      </c>
      <c r="B11" s="202" t="s">
        <v>5002</v>
      </c>
      <c r="C11" s="202" t="s">
        <v>6</v>
      </c>
      <c r="D11" s="5" t="s">
        <v>7</v>
      </c>
      <c r="E11" s="3" t="s">
        <v>8</v>
      </c>
      <c r="F11" s="3" t="s">
        <v>9</v>
      </c>
      <c r="G11" s="3" t="s">
        <v>10</v>
      </c>
      <c r="H11" s="3" t="s">
        <v>11</v>
      </c>
    </row>
    <row r="12" spans="1:16382" s="11" customFormat="1" ht="4.95" customHeight="1" x14ac:dyDescent="0.45">
      <c r="A12" s="6"/>
      <c r="B12" s="7"/>
      <c r="C12" s="7"/>
      <c r="D12" s="8"/>
      <c r="E12" s="7"/>
      <c r="F12" s="9"/>
      <c r="G12" s="9"/>
      <c r="H12" s="10"/>
    </row>
    <row r="13" spans="1:16382" x14ac:dyDescent="0.45">
      <c r="A13" s="12" t="s">
        <v>1557</v>
      </c>
      <c r="B13" s="13"/>
      <c r="C13" s="13"/>
      <c r="D13" s="246" t="s">
        <v>13</v>
      </c>
      <c r="E13" s="15"/>
      <c r="F13" s="14"/>
      <c r="G13" s="15"/>
      <c r="H13" s="14"/>
    </row>
    <row r="14" spans="1:16382" x14ac:dyDescent="0.4">
      <c r="A14" s="16"/>
      <c r="B14" s="203">
        <v>1501000</v>
      </c>
      <c r="C14" s="18"/>
      <c r="D14" s="204" t="s">
        <v>14</v>
      </c>
      <c r="E14" s="20"/>
      <c r="F14" s="21"/>
      <c r="G14" s="20"/>
      <c r="H14" s="21"/>
    </row>
    <row r="15" spans="1:16382" ht="24.6" x14ac:dyDescent="0.45">
      <c r="A15" s="22" t="s">
        <v>1558</v>
      </c>
      <c r="B15" s="23"/>
      <c r="C15" s="23">
        <v>3.1</v>
      </c>
      <c r="D15" s="5" t="s">
        <v>16</v>
      </c>
      <c r="E15" s="23">
        <v>12</v>
      </c>
      <c r="F15" s="23" t="s">
        <v>17</v>
      </c>
      <c r="G15" s="24"/>
      <c r="H15" s="24">
        <f>G15*E15</f>
        <v>0</v>
      </c>
    </row>
    <row r="16" spans="1:16382" x14ac:dyDescent="0.4">
      <c r="A16" s="16"/>
      <c r="B16" s="203">
        <v>1502000</v>
      </c>
      <c r="C16" s="18"/>
      <c r="D16" s="204" t="s">
        <v>18</v>
      </c>
      <c r="E16" s="20"/>
      <c r="F16" s="21"/>
      <c r="G16" s="21"/>
      <c r="H16" s="21"/>
    </row>
    <row r="17" spans="1:8" x14ac:dyDescent="0.45">
      <c r="A17" s="25"/>
      <c r="B17" s="26"/>
      <c r="C17" s="26">
        <v>3.1</v>
      </c>
      <c r="D17" s="27" t="s">
        <v>19</v>
      </c>
      <c r="E17" s="28"/>
      <c r="F17" s="28"/>
      <c r="G17" s="28"/>
      <c r="H17" s="28"/>
    </row>
    <row r="18" spans="1:8" x14ac:dyDescent="0.45">
      <c r="A18" s="22" t="s">
        <v>1559</v>
      </c>
      <c r="B18" s="23">
        <v>1502000</v>
      </c>
      <c r="C18" s="23" t="s">
        <v>21</v>
      </c>
      <c r="D18" s="29" t="s">
        <v>22</v>
      </c>
      <c r="E18" s="23">
        <v>12</v>
      </c>
      <c r="F18" s="23" t="s">
        <v>17</v>
      </c>
      <c r="G18" s="24"/>
      <c r="H18" s="24">
        <f>G18*E18</f>
        <v>0</v>
      </c>
    </row>
    <row r="19" spans="1:8" x14ac:dyDescent="0.45">
      <c r="A19" s="22" t="s">
        <v>1560</v>
      </c>
      <c r="B19" s="23">
        <v>1502000</v>
      </c>
      <c r="C19" s="23" t="s">
        <v>24</v>
      </c>
      <c r="D19" s="29" t="s">
        <v>25</v>
      </c>
      <c r="E19" s="23">
        <v>12</v>
      </c>
      <c r="F19" s="23" t="s">
        <v>17</v>
      </c>
      <c r="G19" s="24"/>
      <c r="H19" s="24">
        <f>G19*E19</f>
        <v>0</v>
      </c>
    </row>
    <row r="20" spans="1:8" x14ac:dyDescent="0.45">
      <c r="A20" s="22" t="s">
        <v>1561</v>
      </c>
      <c r="B20" s="23">
        <v>1502000</v>
      </c>
      <c r="C20" s="23" t="s">
        <v>27</v>
      </c>
      <c r="D20" s="29" t="s">
        <v>28</v>
      </c>
      <c r="E20" s="23">
        <v>12</v>
      </c>
      <c r="F20" s="23" t="s">
        <v>17</v>
      </c>
      <c r="G20" s="24"/>
      <c r="H20" s="24">
        <f>G20*E20</f>
        <v>0</v>
      </c>
    </row>
    <row r="21" spans="1:8" x14ac:dyDescent="0.45">
      <c r="A21" s="25"/>
      <c r="B21" s="26"/>
      <c r="C21" s="26">
        <v>3.2</v>
      </c>
      <c r="D21" s="27" t="s">
        <v>29</v>
      </c>
      <c r="E21" s="28"/>
      <c r="F21" s="28"/>
      <c r="G21" s="28"/>
      <c r="H21" s="28"/>
    </row>
    <row r="22" spans="1:8" x14ac:dyDescent="0.45">
      <c r="A22" s="22" t="s">
        <v>1562</v>
      </c>
      <c r="B22" s="23">
        <v>1502000</v>
      </c>
      <c r="C22" s="286">
        <v>3.2</v>
      </c>
      <c r="D22" s="29" t="s">
        <v>5072</v>
      </c>
      <c r="E22" s="23">
        <v>12</v>
      </c>
      <c r="F22" s="23" t="s">
        <v>17</v>
      </c>
      <c r="G22" s="24"/>
      <c r="H22" s="24">
        <f>G22*E22</f>
        <v>0</v>
      </c>
    </row>
    <row r="23" spans="1:8" x14ac:dyDescent="0.45">
      <c r="A23" s="25"/>
      <c r="B23" s="26"/>
      <c r="C23" s="26">
        <v>3.3</v>
      </c>
      <c r="D23" s="27" t="s">
        <v>31</v>
      </c>
      <c r="E23" s="28"/>
      <c r="F23" s="28"/>
      <c r="G23" s="28"/>
      <c r="H23" s="28"/>
    </row>
    <row r="24" spans="1:8" x14ac:dyDescent="0.45">
      <c r="A24" s="22" t="s">
        <v>1563</v>
      </c>
      <c r="B24" s="23">
        <v>1502000</v>
      </c>
      <c r="C24" s="23" t="s">
        <v>33</v>
      </c>
      <c r="D24" s="30" t="s">
        <v>34</v>
      </c>
      <c r="E24" s="23">
        <v>12</v>
      </c>
      <c r="F24" s="23" t="s">
        <v>17</v>
      </c>
      <c r="G24" s="24"/>
      <c r="H24" s="31">
        <f t="shared" ref="H24:H33" si="0">G24*E24</f>
        <v>0</v>
      </c>
    </row>
    <row r="25" spans="1:8" x14ac:dyDescent="0.45">
      <c r="A25" s="22" t="s">
        <v>1564</v>
      </c>
      <c r="B25" s="23">
        <v>1502000</v>
      </c>
      <c r="C25" s="23" t="s">
        <v>36</v>
      </c>
      <c r="D25" s="32" t="s">
        <v>37</v>
      </c>
      <c r="E25" s="33">
        <v>12</v>
      </c>
      <c r="F25" s="23" t="s">
        <v>17</v>
      </c>
      <c r="G25" s="24"/>
      <c r="H25" s="24">
        <f t="shared" si="0"/>
        <v>0</v>
      </c>
    </row>
    <row r="26" spans="1:8" x14ac:dyDescent="0.45">
      <c r="A26" s="22" t="s">
        <v>1565</v>
      </c>
      <c r="B26" s="23">
        <v>1502000</v>
      </c>
      <c r="C26" s="23" t="s">
        <v>39</v>
      </c>
      <c r="D26" s="32" t="s">
        <v>40</v>
      </c>
      <c r="E26" s="33">
        <v>12</v>
      </c>
      <c r="F26" s="23" t="s">
        <v>17</v>
      </c>
      <c r="G26" s="24"/>
      <c r="H26" s="24">
        <f t="shared" si="0"/>
        <v>0</v>
      </c>
    </row>
    <row r="27" spans="1:8" x14ac:dyDescent="0.45">
      <c r="A27" s="22" t="s">
        <v>1566</v>
      </c>
      <c r="B27" s="23">
        <v>1502000</v>
      </c>
      <c r="C27" s="205" t="s">
        <v>42</v>
      </c>
      <c r="D27" s="30" t="s">
        <v>43</v>
      </c>
      <c r="E27" s="33">
        <v>12</v>
      </c>
      <c r="F27" s="23" t="s">
        <v>17</v>
      </c>
      <c r="G27" s="24"/>
      <c r="H27" s="24">
        <f t="shared" si="0"/>
        <v>0</v>
      </c>
    </row>
    <row r="28" spans="1:8" x14ac:dyDescent="0.45">
      <c r="A28" s="22" t="s">
        <v>1567</v>
      </c>
      <c r="B28" s="23">
        <v>1502000</v>
      </c>
      <c r="C28" s="23" t="s">
        <v>45</v>
      </c>
      <c r="D28" s="30" t="s">
        <v>46</v>
      </c>
      <c r="E28" s="33">
        <v>12</v>
      </c>
      <c r="F28" s="23" t="s">
        <v>17</v>
      </c>
      <c r="G28" s="24"/>
      <c r="H28" s="24">
        <f t="shared" si="0"/>
        <v>0</v>
      </c>
    </row>
    <row r="29" spans="1:8" x14ac:dyDescent="0.45">
      <c r="A29" s="22" t="s">
        <v>1568</v>
      </c>
      <c r="B29" s="23">
        <v>1502000</v>
      </c>
      <c r="C29" s="23" t="s">
        <v>48</v>
      </c>
      <c r="D29" s="30" t="s">
        <v>49</v>
      </c>
      <c r="E29" s="33">
        <v>12</v>
      </c>
      <c r="F29" s="23" t="s">
        <v>17</v>
      </c>
      <c r="G29" s="24"/>
      <c r="H29" s="24">
        <f t="shared" si="0"/>
        <v>0</v>
      </c>
    </row>
    <row r="30" spans="1:8" x14ac:dyDescent="0.45">
      <c r="A30" s="22" t="s">
        <v>1569</v>
      </c>
      <c r="B30" s="23">
        <v>1502000</v>
      </c>
      <c r="C30" s="23" t="s">
        <v>51</v>
      </c>
      <c r="D30" s="30" t="s">
        <v>52</v>
      </c>
      <c r="E30" s="33">
        <v>12</v>
      </c>
      <c r="F30" s="23" t="s">
        <v>17</v>
      </c>
      <c r="G30" s="24"/>
      <c r="H30" s="24">
        <f t="shared" si="0"/>
        <v>0</v>
      </c>
    </row>
    <row r="31" spans="1:8" x14ac:dyDescent="0.45">
      <c r="A31" s="22" t="s">
        <v>1570</v>
      </c>
      <c r="B31" s="23">
        <v>1502000</v>
      </c>
      <c r="C31" s="23" t="s">
        <v>54</v>
      </c>
      <c r="D31" s="30" t="s">
        <v>55</v>
      </c>
      <c r="E31" s="33">
        <v>12</v>
      </c>
      <c r="F31" s="23" t="s">
        <v>17</v>
      </c>
      <c r="G31" s="24"/>
      <c r="H31" s="24">
        <f t="shared" si="0"/>
        <v>0</v>
      </c>
    </row>
    <row r="32" spans="1:8" x14ac:dyDescent="0.45">
      <c r="A32" s="22" t="s">
        <v>1571</v>
      </c>
      <c r="B32" s="23">
        <v>1502000</v>
      </c>
      <c r="C32" s="23" t="s">
        <v>57</v>
      </c>
      <c r="D32" s="30" t="s">
        <v>58</v>
      </c>
      <c r="E32" s="33">
        <v>12</v>
      </c>
      <c r="F32" s="23" t="s">
        <v>17</v>
      </c>
      <c r="G32" s="24"/>
      <c r="H32" s="24">
        <f t="shared" si="0"/>
        <v>0</v>
      </c>
    </row>
    <row r="33" spans="1:8" x14ac:dyDescent="0.45">
      <c r="A33" s="22" t="s">
        <v>1572</v>
      </c>
      <c r="B33" s="23">
        <v>1502000</v>
      </c>
      <c r="C33" s="23" t="s">
        <v>60</v>
      </c>
      <c r="D33" s="30" t="s">
        <v>61</v>
      </c>
      <c r="E33" s="33">
        <v>12</v>
      </c>
      <c r="F33" s="23" t="s">
        <v>17</v>
      </c>
      <c r="G33" s="24"/>
      <c r="H33" s="24">
        <f t="shared" si="0"/>
        <v>0</v>
      </c>
    </row>
    <row r="34" spans="1:8" x14ac:dyDescent="0.45">
      <c r="A34" s="25"/>
      <c r="B34" s="26"/>
      <c r="C34" s="26">
        <v>3.4</v>
      </c>
      <c r="D34" s="27" t="s">
        <v>62</v>
      </c>
      <c r="E34" s="28"/>
      <c r="F34" s="28"/>
      <c r="G34" s="28"/>
      <c r="H34" s="28"/>
    </row>
    <row r="35" spans="1:8" x14ac:dyDescent="0.45">
      <c r="A35" s="22" t="s">
        <v>1573</v>
      </c>
      <c r="B35" s="23">
        <v>1502000</v>
      </c>
      <c r="C35" s="23" t="s">
        <v>64</v>
      </c>
      <c r="D35" s="35" t="s">
        <v>65</v>
      </c>
      <c r="E35" s="23">
        <v>12</v>
      </c>
      <c r="F35" s="23" t="s">
        <v>17</v>
      </c>
      <c r="G35" s="24"/>
      <c r="H35" s="24">
        <f>G35*E35</f>
        <v>0</v>
      </c>
    </row>
    <row r="36" spans="1:8" x14ac:dyDescent="0.45">
      <c r="A36" s="22" t="s">
        <v>1574</v>
      </c>
      <c r="B36" s="23">
        <v>1502000</v>
      </c>
      <c r="C36" s="23" t="s">
        <v>67</v>
      </c>
      <c r="D36" s="35" t="s">
        <v>68</v>
      </c>
      <c r="E36" s="23">
        <v>12</v>
      </c>
      <c r="F36" s="23" t="s">
        <v>17</v>
      </c>
      <c r="G36" s="24"/>
      <c r="H36" s="24">
        <f>G36*E36</f>
        <v>0</v>
      </c>
    </row>
    <row r="37" spans="1:8" x14ac:dyDescent="0.45">
      <c r="A37" s="22" t="s">
        <v>1575</v>
      </c>
      <c r="B37" s="23">
        <v>1502000</v>
      </c>
      <c r="C37" s="33" t="s">
        <v>70</v>
      </c>
      <c r="D37" s="36" t="s">
        <v>71</v>
      </c>
      <c r="E37" s="33">
        <v>12</v>
      </c>
      <c r="F37" s="23" t="s">
        <v>17</v>
      </c>
      <c r="G37" s="24"/>
      <c r="H37" s="24">
        <f>G37*E37</f>
        <v>0</v>
      </c>
    </row>
    <row r="38" spans="1:8" x14ac:dyDescent="0.45">
      <c r="A38" s="25"/>
      <c r="B38" s="26"/>
      <c r="C38" s="26">
        <v>3.5</v>
      </c>
      <c r="D38" s="27" t="s">
        <v>72</v>
      </c>
      <c r="E38" s="28"/>
      <c r="F38" s="28"/>
      <c r="G38" s="28"/>
      <c r="H38" s="28"/>
    </row>
    <row r="39" spans="1:8" x14ac:dyDescent="0.45">
      <c r="A39" s="22" t="s">
        <v>1576</v>
      </c>
      <c r="B39" s="23">
        <v>1502000</v>
      </c>
      <c r="C39" s="23" t="s">
        <v>74</v>
      </c>
      <c r="D39" s="32" t="s">
        <v>37</v>
      </c>
      <c r="E39" s="33">
        <v>12</v>
      </c>
      <c r="F39" s="23" t="s">
        <v>17</v>
      </c>
      <c r="G39" s="24"/>
      <c r="H39" s="24">
        <f>G39*E39</f>
        <v>0</v>
      </c>
    </row>
    <row r="40" spans="1:8" x14ac:dyDescent="0.45">
      <c r="A40" s="25"/>
      <c r="B40" s="37"/>
      <c r="C40" s="37">
        <v>3.6</v>
      </c>
      <c r="D40" s="38" t="s">
        <v>75</v>
      </c>
      <c r="E40" s="28"/>
      <c r="F40" s="28"/>
      <c r="G40" s="28"/>
      <c r="H40" s="28"/>
    </row>
    <row r="41" spans="1:8" x14ac:dyDescent="0.45">
      <c r="A41" s="22" t="s">
        <v>1577</v>
      </c>
      <c r="B41" s="23">
        <v>1502000</v>
      </c>
      <c r="C41" s="33" t="s">
        <v>77</v>
      </c>
      <c r="D41" s="39" t="s">
        <v>78</v>
      </c>
      <c r="E41" s="33">
        <v>12</v>
      </c>
      <c r="F41" s="23" t="s">
        <v>17</v>
      </c>
      <c r="G41" s="24"/>
      <c r="H41" s="24">
        <f t="shared" ref="H41:H52" si="1">G41*E41</f>
        <v>0</v>
      </c>
    </row>
    <row r="42" spans="1:8" x14ac:dyDescent="0.45">
      <c r="A42" s="22" t="s">
        <v>1578</v>
      </c>
      <c r="B42" s="23">
        <v>1502000</v>
      </c>
      <c r="C42" s="33" t="s">
        <v>80</v>
      </c>
      <c r="D42" s="39" t="s">
        <v>81</v>
      </c>
      <c r="E42" s="33">
        <v>12</v>
      </c>
      <c r="F42" s="23" t="s">
        <v>17</v>
      </c>
      <c r="G42" s="24"/>
      <c r="H42" s="24">
        <f t="shared" si="1"/>
        <v>0</v>
      </c>
    </row>
    <row r="43" spans="1:8" x14ac:dyDescent="0.45">
      <c r="A43" s="22" t="s">
        <v>1579</v>
      </c>
      <c r="B43" s="23">
        <v>1502000</v>
      </c>
      <c r="C43" s="33" t="s">
        <v>83</v>
      </c>
      <c r="D43" s="39" t="s">
        <v>84</v>
      </c>
      <c r="E43" s="33">
        <v>12</v>
      </c>
      <c r="F43" s="23" t="s">
        <v>17</v>
      </c>
      <c r="G43" s="24"/>
      <c r="H43" s="24">
        <f t="shared" si="1"/>
        <v>0</v>
      </c>
    </row>
    <row r="44" spans="1:8" x14ac:dyDescent="0.45">
      <c r="A44" s="22" t="s">
        <v>1580</v>
      </c>
      <c r="B44" s="23">
        <v>1502000</v>
      </c>
      <c r="C44" s="33" t="s">
        <v>86</v>
      </c>
      <c r="D44" s="39" t="s">
        <v>87</v>
      </c>
      <c r="E44" s="33">
        <v>12</v>
      </c>
      <c r="F44" s="23" t="s">
        <v>17</v>
      </c>
      <c r="G44" s="24"/>
      <c r="H44" s="24">
        <f t="shared" si="1"/>
        <v>0</v>
      </c>
    </row>
    <row r="45" spans="1:8" x14ac:dyDescent="0.45">
      <c r="A45" s="22" t="s">
        <v>1581</v>
      </c>
      <c r="B45" s="23">
        <v>1502000</v>
      </c>
      <c r="C45" s="33" t="s">
        <v>89</v>
      </c>
      <c r="D45" s="39" t="s">
        <v>90</v>
      </c>
      <c r="E45" s="33">
        <v>12</v>
      </c>
      <c r="F45" s="23" t="s">
        <v>17</v>
      </c>
      <c r="G45" s="24"/>
      <c r="H45" s="24">
        <f t="shared" si="1"/>
        <v>0</v>
      </c>
    </row>
    <row r="46" spans="1:8" x14ac:dyDescent="0.45">
      <c r="A46" s="22" t="s">
        <v>1582</v>
      </c>
      <c r="B46" s="23">
        <v>1502000</v>
      </c>
      <c r="C46" s="33" t="s">
        <v>92</v>
      </c>
      <c r="D46" s="39" t="s">
        <v>93</v>
      </c>
      <c r="E46" s="33">
        <v>12</v>
      </c>
      <c r="F46" s="23" t="s">
        <v>17</v>
      </c>
      <c r="G46" s="24"/>
      <c r="H46" s="24">
        <f t="shared" si="1"/>
        <v>0</v>
      </c>
    </row>
    <row r="47" spans="1:8" x14ac:dyDescent="0.45">
      <c r="A47" s="22" t="s">
        <v>1583</v>
      </c>
      <c r="B47" s="23">
        <v>1502000</v>
      </c>
      <c r="C47" s="33" t="s">
        <v>95</v>
      </c>
      <c r="D47" s="39" t="s">
        <v>96</v>
      </c>
      <c r="E47" s="33">
        <v>12</v>
      </c>
      <c r="F47" s="23" t="s">
        <v>17</v>
      </c>
      <c r="G47" s="24"/>
      <c r="H47" s="24">
        <f t="shared" si="1"/>
        <v>0</v>
      </c>
    </row>
    <row r="48" spans="1:8" x14ac:dyDescent="0.45">
      <c r="A48" s="22" t="s">
        <v>1584</v>
      </c>
      <c r="B48" s="23">
        <v>1502000</v>
      </c>
      <c r="C48" s="33" t="s">
        <v>98</v>
      </c>
      <c r="D48" s="39" t="s">
        <v>99</v>
      </c>
      <c r="E48" s="33">
        <v>12</v>
      </c>
      <c r="F48" s="23" t="s">
        <v>17</v>
      </c>
      <c r="G48" s="24"/>
      <c r="H48" s="24">
        <f t="shared" si="1"/>
        <v>0</v>
      </c>
    </row>
    <row r="49" spans="1:8" s="293" customFormat="1" x14ac:dyDescent="0.45">
      <c r="A49" s="257" t="s">
        <v>1585</v>
      </c>
      <c r="B49" s="286">
        <v>1502000</v>
      </c>
      <c r="C49" s="301" t="s">
        <v>273</v>
      </c>
      <c r="D49" s="372" t="s">
        <v>309</v>
      </c>
      <c r="E49" s="301">
        <v>12</v>
      </c>
      <c r="F49" s="286" t="s">
        <v>17</v>
      </c>
      <c r="G49" s="302"/>
      <c r="H49" s="302">
        <f t="shared" si="1"/>
        <v>0</v>
      </c>
    </row>
    <row r="50" spans="1:8" x14ac:dyDescent="0.45">
      <c r="A50" s="257" t="s">
        <v>1586</v>
      </c>
      <c r="B50" s="23">
        <v>1502000</v>
      </c>
      <c r="C50" s="33" t="s">
        <v>101</v>
      </c>
      <c r="D50" s="39" t="s">
        <v>102</v>
      </c>
      <c r="E50" s="33">
        <v>12</v>
      </c>
      <c r="F50" s="23" t="s">
        <v>17</v>
      </c>
      <c r="G50" s="24"/>
      <c r="H50" s="24">
        <f t="shared" si="1"/>
        <v>0</v>
      </c>
    </row>
    <row r="51" spans="1:8" x14ac:dyDescent="0.45">
      <c r="A51" s="257" t="s">
        <v>1587</v>
      </c>
      <c r="B51" s="23">
        <v>1502000</v>
      </c>
      <c r="C51" s="23" t="s">
        <v>104</v>
      </c>
      <c r="D51" s="35" t="s">
        <v>105</v>
      </c>
      <c r="E51" s="33">
        <v>12</v>
      </c>
      <c r="F51" s="23" t="s">
        <v>17</v>
      </c>
      <c r="G51" s="24"/>
      <c r="H51" s="24">
        <f t="shared" si="1"/>
        <v>0</v>
      </c>
    </row>
    <row r="52" spans="1:8" x14ac:dyDescent="0.45">
      <c r="A52" s="257" t="s">
        <v>1588</v>
      </c>
      <c r="B52" s="23">
        <v>1502000</v>
      </c>
      <c r="C52" s="23" t="s">
        <v>107</v>
      </c>
      <c r="D52" s="22" t="s">
        <v>108</v>
      </c>
      <c r="E52" s="33">
        <v>12</v>
      </c>
      <c r="F52" s="23" t="s">
        <v>17</v>
      </c>
      <c r="G52" s="24"/>
      <c r="H52" s="24">
        <f t="shared" si="1"/>
        <v>0</v>
      </c>
    </row>
    <row r="53" spans="1:8" x14ac:dyDescent="0.45">
      <c r="A53" s="287"/>
      <c r="B53" s="41">
        <v>1503010</v>
      </c>
      <c r="C53" s="41"/>
      <c r="D53" s="42" t="s">
        <v>109</v>
      </c>
      <c r="E53" s="43"/>
      <c r="F53" s="44"/>
      <c r="G53" s="44"/>
      <c r="H53" s="45"/>
    </row>
    <row r="54" spans="1:8" x14ac:dyDescent="0.45">
      <c r="A54" s="257" t="s">
        <v>1589</v>
      </c>
      <c r="B54" s="33">
        <v>1503010</v>
      </c>
      <c r="C54" s="33">
        <v>3.1</v>
      </c>
      <c r="D54" s="36" t="s">
        <v>111</v>
      </c>
      <c r="E54" s="33">
        <v>12</v>
      </c>
      <c r="F54" s="23" t="s">
        <v>17</v>
      </c>
      <c r="G54" s="24"/>
      <c r="H54" s="24">
        <f>G54*E54</f>
        <v>0</v>
      </c>
    </row>
    <row r="55" spans="1:8" x14ac:dyDescent="0.45">
      <c r="A55" s="257" t="s">
        <v>1590</v>
      </c>
      <c r="B55" s="33">
        <v>1503010</v>
      </c>
      <c r="C55" s="33">
        <v>3.1</v>
      </c>
      <c r="D55" s="36" t="s">
        <v>113</v>
      </c>
      <c r="E55" s="33">
        <v>12</v>
      </c>
      <c r="F55" s="23" t="s">
        <v>17</v>
      </c>
      <c r="G55" s="24"/>
      <c r="H55" s="24">
        <f>G55*E55</f>
        <v>0</v>
      </c>
    </row>
    <row r="56" spans="1:8" x14ac:dyDescent="0.45">
      <c r="A56" s="287"/>
      <c r="B56" s="41">
        <v>1503020</v>
      </c>
      <c r="C56" s="41"/>
      <c r="D56" s="42" t="s">
        <v>114</v>
      </c>
      <c r="E56" s="43"/>
      <c r="F56" s="44"/>
      <c r="G56" s="44"/>
      <c r="H56" s="45"/>
    </row>
    <row r="57" spans="1:8" x14ac:dyDescent="0.45">
      <c r="A57" s="257" t="s">
        <v>1591</v>
      </c>
      <c r="B57" s="33">
        <v>1503020</v>
      </c>
      <c r="C57" s="33">
        <v>3.1</v>
      </c>
      <c r="D57" s="36" t="s">
        <v>116</v>
      </c>
      <c r="E57" s="33">
        <v>12</v>
      </c>
      <c r="F57" s="23" t="s">
        <v>17</v>
      </c>
      <c r="G57" s="24"/>
      <c r="H57" s="24">
        <f>G57*E57</f>
        <v>0</v>
      </c>
    </row>
    <row r="58" spans="1:8" x14ac:dyDescent="0.45">
      <c r="A58" s="257" t="s">
        <v>1592</v>
      </c>
      <c r="B58" s="33">
        <v>1503020</v>
      </c>
      <c r="C58" s="33">
        <v>3.2</v>
      </c>
      <c r="D58" s="36" t="s">
        <v>118</v>
      </c>
      <c r="E58" s="33">
        <v>12</v>
      </c>
      <c r="F58" s="23" t="s">
        <v>17</v>
      </c>
      <c r="G58" s="24"/>
      <c r="H58" s="24">
        <f>G58*E58</f>
        <v>0</v>
      </c>
    </row>
    <row r="59" spans="1:8" x14ac:dyDescent="0.45">
      <c r="A59" s="257" t="s">
        <v>1593</v>
      </c>
      <c r="B59" s="33">
        <v>1503020</v>
      </c>
      <c r="C59" s="33">
        <v>3.3</v>
      </c>
      <c r="D59" s="36" t="s">
        <v>120</v>
      </c>
      <c r="E59" s="33">
        <v>12</v>
      </c>
      <c r="F59" s="23" t="s">
        <v>17</v>
      </c>
      <c r="G59" s="24"/>
      <c r="H59" s="24">
        <f>G59*E59</f>
        <v>0</v>
      </c>
    </row>
    <row r="60" spans="1:8" x14ac:dyDescent="0.45">
      <c r="A60" s="287"/>
      <c r="B60" s="43">
        <v>1503030</v>
      </c>
      <c r="C60" s="41"/>
      <c r="D60" s="42" t="s">
        <v>121</v>
      </c>
      <c r="E60" s="43"/>
      <c r="F60" s="44"/>
      <c r="G60" s="44"/>
      <c r="H60" s="45"/>
    </row>
    <row r="61" spans="1:8" x14ac:dyDescent="0.45">
      <c r="A61" s="257" t="s">
        <v>1594</v>
      </c>
      <c r="B61" s="33">
        <v>1503030</v>
      </c>
      <c r="C61" s="33" t="s">
        <v>123</v>
      </c>
      <c r="D61" s="36" t="s">
        <v>124</v>
      </c>
      <c r="E61" s="33">
        <v>12</v>
      </c>
      <c r="F61" s="23" t="s">
        <v>17</v>
      </c>
      <c r="G61" s="24"/>
      <c r="H61" s="24">
        <f>G61*E61</f>
        <v>0</v>
      </c>
    </row>
    <row r="62" spans="1:8" x14ac:dyDescent="0.45">
      <c r="A62" s="257" t="s">
        <v>1595</v>
      </c>
      <c r="B62" s="33">
        <v>1503030</v>
      </c>
      <c r="C62" s="33">
        <v>3.6</v>
      </c>
      <c r="D62" s="36" t="s">
        <v>126</v>
      </c>
      <c r="E62" s="33">
        <v>12</v>
      </c>
      <c r="F62" s="23" t="s">
        <v>17</v>
      </c>
      <c r="G62" s="24"/>
      <c r="H62" s="24">
        <f>G62*E62</f>
        <v>0</v>
      </c>
    </row>
    <row r="63" spans="1:8" x14ac:dyDescent="0.45">
      <c r="A63" s="287"/>
      <c r="B63" s="41">
        <v>1503050</v>
      </c>
      <c r="C63" s="41"/>
      <c r="D63" s="42" t="s">
        <v>127</v>
      </c>
      <c r="E63" s="43"/>
      <c r="F63" s="44"/>
      <c r="G63" s="44"/>
      <c r="H63" s="45"/>
    </row>
    <row r="64" spans="1:8" x14ac:dyDescent="0.45">
      <c r="A64" s="257" t="s">
        <v>1596</v>
      </c>
      <c r="B64" s="33">
        <v>1503050</v>
      </c>
      <c r="C64" s="33">
        <v>3.1</v>
      </c>
      <c r="D64" s="46" t="s">
        <v>129</v>
      </c>
      <c r="E64" s="33">
        <v>12</v>
      </c>
      <c r="F64" s="23" t="s">
        <v>17</v>
      </c>
      <c r="G64" s="24"/>
      <c r="H64" s="24">
        <f>G64*E64</f>
        <v>0</v>
      </c>
    </row>
    <row r="65" spans="1:8" x14ac:dyDescent="0.45">
      <c r="A65" s="257" t="s">
        <v>1597</v>
      </c>
      <c r="B65" s="33">
        <v>1503050</v>
      </c>
      <c r="C65" s="33">
        <v>3.2</v>
      </c>
      <c r="D65" s="36" t="s">
        <v>131</v>
      </c>
      <c r="E65" s="33">
        <v>12</v>
      </c>
      <c r="F65" s="23" t="s">
        <v>17</v>
      </c>
      <c r="G65" s="24"/>
      <c r="H65" s="24">
        <f>G65*E65</f>
        <v>0</v>
      </c>
    </row>
    <row r="66" spans="1:8" x14ac:dyDescent="0.45">
      <c r="A66" s="257" t="s">
        <v>1598</v>
      </c>
      <c r="B66" s="33">
        <v>1503050</v>
      </c>
      <c r="C66" s="33">
        <v>3.3</v>
      </c>
      <c r="D66" s="36" t="s">
        <v>133</v>
      </c>
      <c r="E66" s="33">
        <v>12</v>
      </c>
      <c r="F66" s="23" t="s">
        <v>17</v>
      </c>
      <c r="G66" s="24"/>
      <c r="H66" s="24">
        <f>G66*E66</f>
        <v>0</v>
      </c>
    </row>
    <row r="67" spans="1:8" x14ac:dyDescent="0.45">
      <c r="A67" s="257" t="s">
        <v>1599</v>
      </c>
      <c r="B67" s="33">
        <v>1503050</v>
      </c>
      <c r="C67" s="33">
        <v>3.4</v>
      </c>
      <c r="D67" s="36" t="s">
        <v>135</v>
      </c>
      <c r="E67" s="33">
        <v>12</v>
      </c>
      <c r="F67" s="23" t="s">
        <v>17</v>
      </c>
      <c r="G67" s="24"/>
      <c r="H67" s="24">
        <f>G67*E67</f>
        <v>0</v>
      </c>
    </row>
    <row r="68" spans="1:8" s="389" customFormat="1" x14ac:dyDescent="0.45">
      <c r="A68" s="257" t="s">
        <v>1600</v>
      </c>
      <c r="B68" s="301">
        <v>1503050</v>
      </c>
      <c r="C68" s="301">
        <v>3.4</v>
      </c>
      <c r="D68" s="295" t="s">
        <v>5024</v>
      </c>
      <c r="E68" s="301">
        <v>12</v>
      </c>
      <c r="F68" s="286" t="s">
        <v>17</v>
      </c>
      <c r="G68" s="302"/>
      <c r="H68" s="302">
        <f>G68*E68</f>
        <v>0</v>
      </c>
    </row>
    <row r="69" spans="1:8" x14ac:dyDescent="0.45">
      <c r="A69" s="257" t="s">
        <v>5104</v>
      </c>
      <c r="B69" s="33">
        <v>1503050</v>
      </c>
      <c r="C69" s="33">
        <v>3.5</v>
      </c>
      <c r="D69" s="47" t="s">
        <v>137</v>
      </c>
      <c r="E69" s="33">
        <v>12</v>
      </c>
      <c r="F69" s="23" t="s">
        <v>17</v>
      </c>
      <c r="G69" s="24"/>
      <c r="H69" s="24">
        <f>G69*E69</f>
        <v>0</v>
      </c>
    </row>
    <row r="70" spans="1:8" x14ac:dyDescent="0.45">
      <c r="A70" s="287"/>
      <c r="B70" s="41">
        <v>1503060</v>
      </c>
      <c r="C70" s="41"/>
      <c r="D70" s="42" t="s">
        <v>138</v>
      </c>
      <c r="E70" s="43"/>
      <c r="F70" s="44"/>
      <c r="G70" s="44"/>
      <c r="H70" s="45"/>
    </row>
    <row r="71" spans="1:8" x14ac:dyDescent="0.45">
      <c r="A71" s="257" t="s">
        <v>1601</v>
      </c>
      <c r="B71" s="33">
        <v>1503060</v>
      </c>
      <c r="C71" s="33">
        <v>3.1</v>
      </c>
      <c r="D71" s="36" t="s">
        <v>140</v>
      </c>
      <c r="E71" s="23">
        <v>12</v>
      </c>
      <c r="F71" s="23" t="s">
        <v>17</v>
      </c>
      <c r="G71" s="24"/>
      <c r="H71" s="24">
        <f>G71*E71</f>
        <v>0</v>
      </c>
    </row>
    <row r="72" spans="1:8" x14ac:dyDescent="0.45">
      <c r="A72" s="257" t="s">
        <v>1602</v>
      </c>
      <c r="B72" s="33">
        <v>1503060</v>
      </c>
      <c r="C72" s="33">
        <v>3.2</v>
      </c>
      <c r="D72" s="36" t="s">
        <v>142</v>
      </c>
      <c r="E72" s="23">
        <v>12</v>
      </c>
      <c r="F72" s="23" t="s">
        <v>17</v>
      </c>
      <c r="G72" s="24"/>
      <c r="H72" s="24">
        <f>G72*E72</f>
        <v>0</v>
      </c>
    </row>
    <row r="73" spans="1:8" x14ac:dyDescent="0.45">
      <c r="A73" s="287"/>
      <c r="B73" s="41">
        <v>1601000</v>
      </c>
      <c r="C73" s="41"/>
      <c r="D73" s="42" t="s">
        <v>143</v>
      </c>
      <c r="E73" s="43"/>
      <c r="F73" s="44"/>
      <c r="G73" s="44"/>
      <c r="H73" s="45"/>
    </row>
    <row r="74" spans="1:8" x14ac:dyDescent="0.45">
      <c r="A74" s="363"/>
      <c r="B74" s="26"/>
      <c r="C74" s="26">
        <v>3.1</v>
      </c>
      <c r="D74" s="27" t="s">
        <v>144</v>
      </c>
      <c r="E74" s="28"/>
      <c r="F74" s="28"/>
      <c r="G74" s="28"/>
      <c r="H74" s="28"/>
    </row>
    <row r="75" spans="1:8" x14ac:dyDescent="0.45">
      <c r="A75" s="257" t="s">
        <v>1603</v>
      </c>
      <c r="B75" s="23">
        <v>1601000</v>
      </c>
      <c r="C75" s="23" t="s">
        <v>21</v>
      </c>
      <c r="D75" s="48" t="s">
        <v>146</v>
      </c>
      <c r="E75" s="23">
        <v>12</v>
      </c>
      <c r="F75" s="23" t="s">
        <v>17</v>
      </c>
      <c r="G75" s="24"/>
      <c r="H75" s="24">
        <f>G75*E75</f>
        <v>0</v>
      </c>
    </row>
    <row r="76" spans="1:8" x14ac:dyDescent="0.45">
      <c r="A76" s="257" t="s">
        <v>1604</v>
      </c>
      <c r="B76" s="23">
        <v>1601000</v>
      </c>
      <c r="C76" s="23" t="s">
        <v>24</v>
      </c>
      <c r="D76" s="48" t="s">
        <v>148</v>
      </c>
      <c r="E76" s="23">
        <v>12</v>
      </c>
      <c r="F76" s="23" t="s">
        <v>17</v>
      </c>
      <c r="G76" s="24"/>
      <c r="H76" s="24">
        <f>G76*E76</f>
        <v>0</v>
      </c>
    </row>
    <row r="77" spans="1:8" x14ac:dyDescent="0.45">
      <c r="A77" s="257" t="s">
        <v>1605</v>
      </c>
      <c r="B77" s="23">
        <v>1601000</v>
      </c>
      <c r="C77" s="23">
        <v>3.2</v>
      </c>
      <c r="D77" s="48" t="s">
        <v>150</v>
      </c>
      <c r="E77" s="23">
        <v>12</v>
      </c>
      <c r="F77" s="23" t="s">
        <v>17</v>
      </c>
      <c r="G77" s="24"/>
      <c r="H77" s="24">
        <f>G77*E77</f>
        <v>0</v>
      </c>
    </row>
    <row r="78" spans="1:8" x14ac:dyDescent="0.45">
      <c r="A78" s="257" t="s">
        <v>1606</v>
      </c>
      <c r="B78" s="23">
        <v>1601000</v>
      </c>
      <c r="C78" s="23">
        <v>3.3</v>
      </c>
      <c r="D78" s="48" t="s">
        <v>152</v>
      </c>
      <c r="E78" s="23">
        <v>12</v>
      </c>
      <c r="F78" s="23" t="s">
        <v>17</v>
      </c>
      <c r="G78" s="24"/>
      <c r="H78" s="24">
        <f>G78*E78</f>
        <v>0</v>
      </c>
    </row>
    <row r="79" spans="1:8" x14ac:dyDescent="0.45">
      <c r="A79" s="287"/>
      <c r="B79" s="41">
        <v>1602000</v>
      </c>
      <c r="C79" s="41"/>
      <c r="D79" s="42" t="s">
        <v>153</v>
      </c>
      <c r="E79" s="43"/>
      <c r="F79" s="44" t="s">
        <v>154</v>
      </c>
      <c r="G79" s="44"/>
      <c r="H79" s="45"/>
    </row>
    <row r="80" spans="1:8" x14ac:dyDescent="0.45">
      <c r="A80" s="363"/>
      <c r="B80" s="26"/>
      <c r="C80" s="26">
        <v>3.1</v>
      </c>
      <c r="D80" s="27" t="s">
        <v>31</v>
      </c>
      <c r="E80" s="28"/>
      <c r="F80" s="28"/>
      <c r="G80" s="28"/>
      <c r="H80" s="28"/>
    </row>
    <row r="81" spans="1:8" x14ac:dyDescent="0.45">
      <c r="A81" s="257" t="s">
        <v>1607</v>
      </c>
      <c r="B81" s="23">
        <v>1602000</v>
      </c>
      <c r="C81" s="23" t="s">
        <v>21</v>
      </c>
      <c r="D81" s="48" t="s">
        <v>156</v>
      </c>
      <c r="E81" s="23">
        <v>12</v>
      </c>
      <c r="F81" s="23" t="s">
        <v>17</v>
      </c>
      <c r="G81" s="24"/>
      <c r="H81" s="24">
        <f>G81*E81</f>
        <v>0</v>
      </c>
    </row>
    <row r="82" spans="1:8" x14ac:dyDescent="0.45">
      <c r="A82" s="363"/>
      <c r="B82" s="49"/>
      <c r="C82" s="26">
        <v>3.2</v>
      </c>
      <c r="D82" s="28" t="s">
        <v>75</v>
      </c>
      <c r="E82" s="28"/>
      <c r="F82" s="28"/>
      <c r="G82" s="28"/>
      <c r="H82" s="28"/>
    </row>
    <row r="83" spans="1:8" x14ac:dyDescent="0.45">
      <c r="A83" s="257" t="s">
        <v>1608</v>
      </c>
      <c r="B83" s="23">
        <v>1602000</v>
      </c>
      <c r="C83" s="23" t="s">
        <v>158</v>
      </c>
      <c r="D83" s="48" t="s">
        <v>159</v>
      </c>
      <c r="E83" s="23">
        <v>12</v>
      </c>
      <c r="F83" s="23" t="s">
        <v>17</v>
      </c>
      <c r="G83" s="24"/>
      <c r="H83" s="24">
        <f>G83*E83</f>
        <v>0</v>
      </c>
    </row>
    <row r="84" spans="1:8" x14ac:dyDescent="0.45">
      <c r="A84" s="287"/>
      <c r="B84" s="41">
        <v>1603000</v>
      </c>
      <c r="C84" s="41"/>
      <c r="D84" s="42" t="s">
        <v>160</v>
      </c>
      <c r="E84" s="50"/>
      <c r="F84" s="50"/>
      <c r="G84" s="44"/>
      <c r="H84" s="51"/>
    </row>
    <row r="85" spans="1:8" x14ac:dyDescent="0.45">
      <c r="A85" s="257" t="s">
        <v>1609</v>
      </c>
      <c r="B85" s="23">
        <v>1603000</v>
      </c>
      <c r="C85" s="23">
        <v>3.1</v>
      </c>
      <c r="D85" s="48" t="s">
        <v>62</v>
      </c>
      <c r="E85" s="23">
        <v>12</v>
      </c>
      <c r="F85" s="23" t="s">
        <v>17</v>
      </c>
      <c r="G85" s="24"/>
      <c r="H85" s="24">
        <f>G85*E85</f>
        <v>0</v>
      </c>
    </row>
    <row r="86" spans="1:8" x14ac:dyDescent="0.45">
      <c r="A86" s="287"/>
      <c r="B86" s="41">
        <v>1604000</v>
      </c>
      <c r="C86" s="41"/>
      <c r="D86" s="42" t="s">
        <v>162</v>
      </c>
      <c r="E86" s="50"/>
      <c r="F86" s="50"/>
      <c r="G86" s="44"/>
      <c r="H86" s="51"/>
    </row>
    <row r="87" spans="1:8" x14ac:dyDescent="0.45">
      <c r="A87" s="257" t="s">
        <v>1610</v>
      </c>
      <c r="B87" s="23">
        <v>1604000</v>
      </c>
      <c r="C87" s="23">
        <v>3.1</v>
      </c>
      <c r="D87" s="30" t="s">
        <v>31</v>
      </c>
      <c r="E87" s="52">
        <v>12</v>
      </c>
      <c r="F87" s="52" t="s">
        <v>17</v>
      </c>
      <c r="G87" s="24"/>
      <c r="H87" s="53">
        <f>G87*E87</f>
        <v>0</v>
      </c>
    </row>
    <row r="88" spans="1:8" x14ac:dyDescent="0.45">
      <c r="A88" s="257" t="s">
        <v>1611</v>
      </c>
      <c r="B88" s="23">
        <v>1604000</v>
      </c>
      <c r="C88" s="23">
        <v>3.2</v>
      </c>
      <c r="D88" s="30" t="s">
        <v>165</v>
      </c>
      <c r="E88" s="52">
        <v>12</v>
      </c>
      <c r="F88" s="52" t="s">
        <v>17</v>
      </c>
      <c r="G88" s="24"/>
      <c r="H88" s="53">
        <f>G88*E88</f>
        <v>0</v>
      </c>
    </row>
    <row r="89" spans="1:8" x14ac:dyDescent="0.45">
      <c r="A89" s="287"/>
      <c r="B89" s="41">
        <v>1606001</v>
      </c>
      <c r="C89" s="41"/>
      <c r="D89" s="54" t="s">
        <v>166</v>
      </c>
      <c r="E89" s="55"/>
      <c r="F89" s="55"/>
      <c r="G89" s="44"/>
      <c r="H89" s="55"/>
    </row>
    <row r="90" spans="1:8" x14ac:dyDescent="0.45">
      <c r="A90" s="257" t="s">
        <v>1612</v>
      </c>
      <c r="B90" s="23">
        <v>1606001</v>
      </c>
      <c r="C90" s="23">
        <v>3.1</v>
      </c>
      <c r="D90" s="56" t="s">
        <v>31</v>
      </c>
      <c r="E90" s="23">
        <v>12</v>
      </c>
      <c r="F90" s="23" t="s">
        <v>17</v>
      </c>
      <c r="G90" s="24"/>
      <c r="H90" s="24">
        <f>G90*E90</f>
        <v>0</v>
      </c>
    </row>
    <row r="91" spans="1:8" x14ac:dyDescent="0.45">
      <c r="A91" s="257" t="s">
        <v>1613</v>
      </c>
      <c r="B91" s="23">
        <v>1606001</v>
      </c>
      <c r="C91" s="23">
        <v>3.2</v>
      </c>
      <c r="D91" s="56" t="s">
        <v>169</v>
      </c>
      <c r="E91" s="23">
        <v>12</v>
      </c>
      <c r="F91" s="23" t="s">
        <v>17</v>
      </c>
      <c r="G91" s="24"/>
      <c r="H91" s="24">
        <f>G91*E91</f>
        <v>0</v>
      </c>
    </row>
    <row r="92" spans="1:8" x14ac:dyDescent="0.45">
      <c r="A92" s="257" t="s">
        <v>1614</v>
      </c>
      <c r="B92" s="23">
        <v>1606001</v>
      </c>
      <c r="C92" s="23">
        <v>3.3</v>
      </c>
      <c r="D92" s="56" t="s">
        <v>170</v>
      </c>
      <c r="E92" s="23">
        <v>12</v>
      </c>
      <c r="F92" s="23" t="s">
        <v>17</v>
      </c>
      <c r="G92" s="24"/>
      <c r="H92" s="24">
        <f>G92*E92</f>
        <v>0</v>
      </c>
    </row>
    <row r="93" spans="1:8" x14ac:dyDescent="0.45">
      <c r="A93" s="287"/>
      <c r="B93" s="41">
        <v>1700000</v>
      </c>
      <c r="C93" s="41"/>
      <c r="D93" s="42" t="s">
        <v>171</v>
      </c>
      <c r="E93" s="50"/>
      <c r="F93" s="50"/>
      <c r="G93" s="44"/>
      <c r="H93" s="51"/>
    </row>
    <row r="94" spans="1:8" x14ac:dyDescent="0.45">
      <c r="A94" s="257" t="s">
        <v>1615</v>
      </c>
      <c r="B94" s="23">
        <v>1700000</v>
      </c>
      <c r="C94" s="23">
        <v>3.1</v>
      </c>
      <c r="D94" s="30" t="s">
        <v>173</v>
      </c>
      <c r="E94" s="23">
        <v>12</v>
      </c>
      <c r="F94" s="23" t="s">
        <v>17</v>
      </c>
      <c r="G94" s="24"/>
      <c r="H94" s="24">
        <f>G94*E94</f>
        <v>0</v>
      </c>
    </row>
    <row r="95" spans="1:8" x14ac:dyDescent="0.45">
      <c r="A95" s="287"/>
      <c r="B95" s="41">
        <v>1800000</v>
      </c>
      <c r="C95" s="41"/>
      <c r="D95" s="42" t="s">
        <v>174</v>
      </c>
      <c r="E95" s="43"/>
      <c r="F95" s="44"/>
      <c r="G95" s="44"/>
      <c r="H95" s="45"/>
    </row>
    <row r="96" spans="1:8" ht="25.2" x14ac:dyDescent="0.45">
      <c r="A96" s="257" t="s">
        <v>5329</v>
      </c>
      <c r="B96" s="23">
        <v>1800000</v>
      </c>
      <c r="C96" s="23">
        <v>3.1</v>
      </c>
      <c r="D96" s="57" t="s">
        <v>176</v>
      </c>
      <c r="E96" s="23">
        <v>12</v>
      </c>
      <c r="F96" s="23" t="s">
        <v>17</v>
      </c>
      <c r="G96" s="24"/>
      <c r="H96" s="24">
        <f>G96*E96</f>
        <v>0</v>
      </c>
    </row>
    <row r="97" spans="1:8" x14ac:dyDescent="0.45">
      <c r="A97" s="58"/>
      <c r="B97" s="59"/>
      <c r="C97" s="59"/>
      <c r="D97" s="60" t="s">
        <v>177</v>
      </c>
      <c r="E97" s="59"/>
      <c r="F97" s="59"/>
      <c r="G97" s="59"/>
      <c r="H97" s="62">
        <f>SUM(H15:H96)</f>
        <v>0</v>
      </c>
    </row>
    <row r="98" spans="1:8" hidden="1" x14ac:dyDescent="0.45">
      <c r="A98" s="63"/>
      <c r="B98" s="64"/>
      <c r="C98" s="64"/>
      <c r="D98" s="65"/>
      <c r="E98" s="64"/>
      <c r="F98" s="64"/>
      <c r="G98" s="64"/>
      <c r="H98" s="66"/>
    </row>
    <row r="99" spans="1:8" s="70" customFormat="1" ht="13.5" hidden="1" customHeight="1" x14ac:dyDescent="0.45">
      <c r="A99" s="67"/>
      <c r="B99" s="68"/>
      <c r="C99" s="68"/>
      <c r="D99" s="69"/>
      <c r="E99" s="69"/>
      <c r="F99" s="69"/>
      <c r="G99" s="69"/>
      <c r="H99" s="69"/>
    </row>
    <row r="100" spans="1:8" s="70" customFormat="1" ht="12.3" hidden="1" x14ac:dyDescent="0.45">
      <c r="A100" s="71"/>
      <c r="B100" s="72"/>
      <c r="C100" s="72"/>
      <c r="D100" s="73" t="s">
        <v>178</v>
      </c>
      <c r="E100" s="74"/>
      <c r="F100" s="74"/>
      <c r="G100" s="74"/>
      <c r="H100" s="75"/>
    </row>
    <row r="101" spans="1:8" s="70" customFormat="1" ht="12.3" hidden="1" x14ac:dyDescent="0.45">
      <c r="A101" s="76"/>
      <c r="B101" s="77"/>
      <c r="C101" s="77"/>
      <c r="D101" s="78" t="s">
        <v>179</v>
      </c>
      <c r="E101" s="79">
        <v>12</v>
      </c>
      <c r="F101" s="79" t="s">
        <v>17</v>
      </c>
      <c r="G101" s="79"/>
      <c r="H101" s="80">
        <f>G101*E101</f>
        <v>0</v>
      </c>
    </row>
    <row r="102" spans="1:8" s="70" customFormat="1" ht="12.3" hidden="1" x14ac:dyDescent="0.45">
      <c r="A102" s="71"/>
      <c r="B102" s="72"/>
      <c r="C102" s="72"/>
      <c r="D102" s="73" t="s">
        <v>180</v>
      </c>
      <c r="E102" s="72"/>
      <c r="F102" s="81"/>
      <c r="G102" s="81"/>
      <c r="H102" s="82"/>
    </row>
    <row r="103" spans="1:8" s="70" customFormat="1" ht="12.3" hidden="1" x14ac:dyDescent="0.45">
      <c r="A103" s="83"/>
      <c r="B103" s="84"/>
      <c r="C103" s="84"/>
      <c r="D103" s="85" t="s">
        <v>181</v>
      </c>
      <c r="E103" s="84"/>
      <c r="F103" s="84"/>
      <c r="G103" s="84"/>
      <c r="H103" s="86">
        <f>SUM(H100:H102)</f>
        <v>0</v>
      </c>
    </row>
    <row r="104" spans="1:8" x14ac:dyDescent="0.45">
      <c r="A104" s="87"/>
      <c r="B104" s="88"/>
      <c r="C104" s="88"/>
      <c r="D104" s="89"/>
      <c r="E104" s="64"/>
      <c r="F104" s="64"/>
      <c r="G104" s="64"/>
      <c r="H104" s="66"/>
    </row>
    <row r="105" spans="1:8" x14ac:dyDescent="0.45">
      <c r="A105" s="12" t="s">
        <v>1616</v>
      </c>
      <c r="B105" s="90"/>
      <c r="C105" s="13"/>
      <c r="D105" s="12" t="s">
        <v>183</v>
      </c>
      <c r="E105" s="91"/>
      <c r="F105" s="91"/>
      <c r="G105" s="91"/>
      <c r="H105" s="91"/>
    </row>
    <row r="106" spans="1:8" x14ac:dyDescent="0.4">
      <c r="A106" s="40"/>
      <c r="B106" s="203">
        <v>1502000</v>
      </c>
      <c r="C106" s="18"/>
      <c r="D106" s="204" t="s">
        <v>18</v>
      </c>
      <c r="E106" s="50"/>
      <c r="F106" s="50"/>
      <c r="G106" s="50"/>
      <c r="H106" s="51"/>
    </row>
    <row r="107" spans="1:8" x14ac:dyDescent="0.45">
      <c r="A107" s="25"/>
      <c r="B107" s="26"/>
      <c r="C107" s="26">
        <v>3.1</v>
      </c>
      <c r="D107" s="27" t="s">
        <v>19</v>
      </c>
      <c r="E107" s="28"/>
      <c r="F107" s="28"/>
      <c r="G107" s="28"/>
      <c r="H107" s="28"/>
    </row>
    <row r="108" spans="1:8" x14ac:dyDescent="0.45">
      <c r="A108" s="22" t="s">
        <v>1617</v>
      </c>
      <c r="B108" s="23">
        <v>1502000</v>
      </c>
      <c r="C108" s="23" t="s">
        <v>21</v>
      </c>
      <c r="D108" s="29" t="s">
        <v>22</v>
      </c>
      <c r="E108" s="23">
        <v>12</v>
      </c>
      <c r="F108" s="23" t="s">
        <v>17</v>
      </c>
      <c r="G108" s="24"/>
      <c r="H108" s="24">
        <f>G108*E108</f>
        <v>0</v>
      </c>
    </row>
    <row r="109" spans="1:8" x14ac:dyDescent="0.45">
      <c r="A109" s="22" t="s">
        <v>1618</v>
      </c>
      <c r="B109" s="23">
        <v>1502000</v>
      </c>
      <c r="C109" s="23" t="s">
        <v>24</v>
      </c>
      <c r="D109" s="29" t="s">
        <v>25</v>
      </c>
      <c r="E109" s="23">
        <v>12</v>
      </c>
      <c r="F109" s="23" t="s">
        <v>17</v>
      </c>
      <c r="G109" s="24"/>
      <c r="H109" s="24">
        <f>G109*E109</f>
        <v>0</v>
      </c>
    </row>
    <row r="110" spans="1:8" x14ac:dyDescent="0.45">
      <c r="A110" s="22" t="s">
        <v>1619</v>
      </c>
      <c r="B110" s="23">
        <v>1502000</v>
      </c>
      <c r="C110" s="23" t="s">
        <v>27</v>
      </c>
      <c r="D110" s="29" t="s">
        <v>28</v>
      </c>
      <c r="E110" s="23">
        <v>12</v>
      </c>
      <c r="F110" s="23" t="s">
        <v>17</v>
      </c>
      <c r="G110" s="24"/>
      <c r="H110" s="24">
        <f>G110*E110</f>
        <v>0</v>
      </c>
    </row>
    <row r="111" spans="1:8" x14ac:dyDescent="0.45">
      <c r="A111" s="25"/>
      <c r="B111" s="26"/>
      <c r="C111" s="26">
        <v>3.4</v>
      </c>
      <c r="D111" s="27" t="s">
        <v>62</v>
      </c>
      <c r="E111" s="28"/>
      <c r="F111" s="28"/>
      <c r="G111" s="28"/>
      <c r="H111" s="28"/>
    </row>
    <row r="112" spans="1:8" x14ac:dyDescent="0.45">
      <c r="A112" s="22" t="s">
        <v>1620</v>
      </c>
      <c r="B112" s="23">
        <v>1502000</v>
      </c>
      <c r="C112" s="23" t="s">
        <v>67</v>
      </c>
      <c r="D112" s="35" t="s">
        <v>68</v>
      </c>
      <c r="E112" s="23">
        <v>12</v>
      </c>
      <c r="F112" s="23" t="s">
        <v>17</v>
      </c>
      <c r="G112" s="24"/>
      <c r="H112" s="24">
        <f>G112*E112</f>
        <v>0</v>
      </c>
    </row>
    <row r="113" spans="1:8" x14ac:dyDescent="0.45">
      <c r="A113" s="25"/>
      <c r="B113" s="37"/>
      <c r="C113" s="37">
        <v>3.6</v>
      </c>
      <c r="D113" s="38" t="s">
        <v>75</v>
      </c>
      <c r="E113" s="28"/>
      <c r="F113" s="28"/>
      <c r="G113" s="28"/>
      <c r="H113" s="28"/>
    </row>
    <row r="114" spans="1:8" s="263" customFormat="1" x14ac:dyDescent="0.45">
      <c r="A114" s="258" t="s">
        <v>1621</v>
      </c>
      <c r="B114" s="261">
        <v>1502000</v>
      </c>
      <c r="C114" s="259" t="s">
        <v>77</v>
      </c>
      <c r="D114" s="275" t="s">
        <v>78</v>
      </c>
      <c r="E114" s="261">
        <v>12</v>
      </c>
      <c r="F114" s="261" t="s">
        <v>17</v>
      </c>
      <c r="G114" s="262"/>
      <c r="H114" s="262">
        <f>G114*E114</f>
        <v>0</v>
      </c>
    </row>
    <row r="115" spans="1:8" x14ac:dyDescent="0.45">
      <c r="A115" s="22" t="s">
        <v>5105</v>
      </c>
      <c r="B115" s="23">
        <v>1502000</v>
      </c>
      <c r="C115" s="33" t="s">
        <v>95</v>
      </c>
      <c r="D115" s="39" t="s">
        <v>96</v>
      </c>
      <c r="E115" s="23">
        <v>12</v>
      </c>
      <c r="F115" s="23" t="s">
        <v>17</v>
      </c>
      <c r="G115" s="24"/>
      <c r="H115" s="24">
        <f>G115*E115</f>
        <v>0</v>
      </c>
    </row>
    <row r="116" spans="1:8" s="263" customFormat="1" x14ac:dyDescent="0.45">
      <c r="A116" s="258" t="s">
        <v>1622</v>
      </c>
      <c r="B116" s="261">
        <v>1502000</v>
      </c>
      <c r="C116" s="259" t="s">
        <v>101</v>
      </c>
      <c r="D116" s="275" t="s">
        <v>102</v>
      </c>
      <c r="E116" s="261">
        <v>12</v>
      </c>
      <c r="F116" s="261" t="s">
        <v>17</v>
      </c>
      <c r="G116" s="262"/>
      <c r="H116" s="262">
        <f>G116*E116</f>
        <v>0</v>
      </c>
    </row>
    <row r="117" spans="1:8" x14ac:dyDescent="0.45">
      <c r="A117" s="40"/>
      <c r="B117" s="41">
        <v>1503010</v>
      </c>
      <c r="C117" s="41"/>
      <c r="D117" s="42" t="s">
        <v>109</v>
      </c>
      <c r="E117" s="43"/>
      <c r="F117" s="44"/>
      <c r="G117" s="44"/>
      <c r="H117" s="45"/>
    </row>
    <row r="118" spans="1:8" x14ac:dyDescent="0.45">
      <c r="A118" s="22" t="s">
        <v>5106</v>
      </c>
      <c r="B118" s="33">
        <v>1503010</v>
      </c>
      <c r="C118" s="33">
        <v>3.1</v>
      </c>
      <c r="D118" s="36" t="s">
        <v>111</v>
      </c>
      <c r="E118" s="23">
        <v>12</v>
      </c>
      <c r="F118" s="23" t="s">
        <v>17</v>
      </c>
      <c r="G118" s="24"/>
      <c r="H118" s="24">
        <f>G118*E118</f>
        <v>0</v>
      </c>
    </row>
    <row r="119" spans="1:8" x14ac:dyDescent="0.45">
      <c r="A119" s="40"/>
      <c r="B119" s="92">
        <v>1503020</v>
      </c>
      <c r="C119" s="92"/>
      <c r="D119" s="93" t="s">
        <v>114</v>
      </c>
      <c r="E119" s="50"/>
      <c r="F119" s="50"/>
      <c r="G119" s="44"/>
      <c r="H119" s="51"/>
    </row>
    <row r="120" spans="1:8" x14ac:dyDescent="0.45">
      <c r="A120" s="22" t="s">
        <v>5107</v>
      </c>
      <c r="B120" s="33">
        <v>1503020</v>
      </c>
      <c r="C120" s="33">
        <v>3.1</v>
      </c>
      <c r="D120" s="36" t="s">
        <v>116</v>
      </c>
      <c r="E120" s="23">
        <v>12</v>
      </c>
      <c r="F120" s="23" t="s">
        <v>17</v>
      </c>
      <c r="G120" s="24"/>
      <c r="H120" s="24">
        <f>G120*E120</f>
        <v>0</v>
      </c>
    </row>
    <row r="121" spans="1:8" x14ac:dyDescent="0.45">
      <c r="A121" s="22" t="s">
        <v>5108</v>
      </c>
      <c r="B121" s="33">
        <v>1503020</v>
      </c>
      <c r="C121" s="33">
        <v>3.3</v>
      </c>
      <c r="D121" s="36" t="s">
        <v>120</v>
      </c>
      <c r="E121" s="23">
        <v>12</v>
      </c>
      <c r="F121" s="23" t="s">
        <v>17</v>
      </c>
      <c r="G121" s="24"/>
      <c r="H121" s="24">
        <f>G121*E121</f>
        <v>0</v>
      </c>
    </row>
    <row r="122" spans="1:8" x14ac:dyDescent="0.45">
      <c r="A122" s="58"/>
      <c r="B122" s="59"/>
      <c r="C122" s="59"/>
      <c r="D122" s="60" t="s">
        <v>190</v>
      </c>
      <c r="E122" s="59"/>
      <c r="F122" s="59"/>
      <c r="G122" s="59"/>
      <c r="H122" s="62">
        <f>SUM(H107:H121)</f>
        <v>0</v>
      </c>
    </row>
    <row r="123" spans="1:8" x14ac:dyDescent="0.45">
      <c r="A123" s="87"/>
      <c r="B123" s="88"/>
      <c r="C123" s="88"/>
      <c r="D123" s="89"/>
      <c r="E123" s="88"/>
      <c r="F123" s="88"/>
      <c r="G123" s="88"/>
      <c r="H123" s="94"/>
    </row>
    <row r="124" spans="1:8" x14ac:dyDescent="0.45">
      <c r="A124" s="12" t="s">
        <v>1623</v>
      </c>
      <c r="B124" s="13"/>
      <c r="C124" s="13"/>
      <c r="D124" s="12" t="s">
        <v>192</v>
      </c>
      <c r="E124" s="91"/>
      <c r="F124" s="91"/>
      <c r="G124" s="91"/>
      <c r="H124" s="91"/>
    </row>
    <row r="125" spans="1:8" x14ac:dyDescent="0.4">
      <c r="A125" s="40"/>
      <c r="B125" s="203">
        <v>1502000</v>
      </c>
      <c r="C125" s="18"/>
      <c r="D125" s="204" t="s">
        <v>18</v>
      </c>
      <c r="E125" s="43"/>
      <c r="F125" s="44"/>
      <c r="G125" s="44"/>
      <c r="H125" s="45"/>
    </row>
    <row r="126" spans="1:8" x14ac:dyDescent="0.45">
      <c r="A126" s="25"/>
      <c r="B126" s="26"/>
      <c r="C126" s="26">
        <v>3.4</v>
      </c>
      <c r="D126" s="27" t="s">
        <v>62</v>
      </c>
      <c r="E126" s="28"/>
      <c r="F126" s="28"/>
      <c r="G126" s="28"/>
      <c r="H126" s="28"/>
    </row>
    <row r="127" spans="1:8" x14ac:dyDescent="0.45">
      <c r="A127" s="22" t="s">
        <v>1624</v>
      </c>
      <c r="B127" s="23">
        <v>1502000</v>
      </c>
      <c r="C127" s="23" t="s">
        <v>67</v>
      </c>
      <c r="D127" s="35" t="s">
        <v>68</v>
      </c>
      <c r="E127" s="23">
        <v>12</v>
      </c>
      <c r="F127" s="23" t="s">
        <v>17</v>
      </c>
      <c r="G127" s="24"/>
      <c r="H127" s="24">
        <f>G127*E127</f>
        <v>0</v>
      </c>
    </row>
    <row r="128" spans="1:8" s="263" customFormat="1" x14ac:dyDescent="0.45">
      <c r="A128" s="265"/>
      <c r="B128" s="376"/>
      <c r="C128" s="376">
        <v>3.6</v>
      </c>
      <c r="D128" s="377" t="s">
        <v>75</v>
      </c>
      <c r="E128" s="268"/>
      <c r="F128" s="268"/>
      <c r="G128" s="268"/>
      <c r="H128" s="268"/>
    </row>
    <row r="129" spans="1:8" s="263" customFormat="1" x14ac:dyDescent="0.45">
      <c r="A129" s="258" t="s">
        <v>1625</v>
      </c>
      <c r="B129" s="261">
        <v>1502000</v>
      </c>
      <c r="C129" s="259" t="s">
        <v>77</v>
      </c>
      <c r="D129" s="275" t="s">
        <v>78</v>
      </c>
      <c r="E129" s="261">
        <v>12</v>
      </c>
      <c r="F129" s="261" t="s">
        <v>17</v>
      </c>
      <c r="G129" s="262"/>
      <c r="H129" s="262">
        <f>G129*E129</f>
        <v>0</v>
      </c>
    </row>
    <row r="130" spans="1:8" x14ac:dyDescent="0.45">
      <c r="A130" s="40"/>
      <c r="B130" s="92">
        <v>1503020</v>
      </c>
      <c r="C130" s="92"/>
      <c r="D130" s="93" t="s">
        <v>114</v>
      </c>
      <c r="E130" s="50"/>
      <c r="F130" s="50"/>
      <c r="G130" s="50"/>
      <c r="H130" s="51"/>
    </row>
    <row r="131" spans="1:8" x14ac:dyDescent="0.45">
      <c r="A131" s="22" t="s">
        <v>5109</v>
      </c>
      <c r="B131" s="33">
        <v>1503020</v>
      </c>
      <c r="C131" s="33">
        <v>3.1</v>
      </c>
      <c r="D131" s="36" t="s">
        <v>116</v>
      </c>
      <c r="E131" s="23">
        <v>12</v>
      </c>
      <c r="F131" s="23" t="s">
        <v>17</v>
      </c>
      <c r="G131" s="24"/>
      <c r="H131" s="24">
        <f>G131*E131</f>
        <v>0</v>
      </c>
    </row>
    <row r="132" spans="1:8" x14ac:dyDescent="0.45">
      <c r="A132" s="22" t="s">
        <v>5110</v>
      </c>
      <c r="B132" s="33">
        <v>1503020</v>
      </c>
      <c r="C132" s="33">
        <v>3.2</v>
      </c>
      <c r="D132" s="36" t="s">
        <v>118</v>
      </c>
      <c r="E132" s="23">
        <v>12</v>
      </c>
      <c r="F132" s="23" t="s">
        <v>17</v>
      </c>
      <c r="G132" s="24"/>
      <c r="H132" s="24">
        <f>G132*E132</f>
        <v>0</v>
      </c>
    </row>
    <row r="133" spans="1:8" x14ac:dyDescent="0.45">
      <c r="A133" s="22" t="s">
        <v>5111</v>
      </c>
      <c r="B133" s="33">
        <v>1503020</v>
      </c>
      <c r="C133" s="33">
        <v>3.3</v>
      </c>
      <c r="D133" s="36" t="s">
        <v>120</v>
      </c>
      <c r="E133" s="23">
        <v>12</v>
      </c>
      <c r="F133" s="23" t="s">
        <v>17</v>
      </c>
      <c r="G133" s="24"/>
      <c r="H133" s="24">
        <f>G133*E133</f>
        <v>0</v>
      </c>
    </row>
    <row r="134" spans="1:8" x14ac:dyDescent="0.45">
      <c r="A134" s="40"/>
      <c r="B134" s="43">
        <v>1503030</v>
      </c>
      <c r="C134" s="41"/>
      <c r="D134" s="42" t="s">
        <v>121</v>
      </c>
      <c r="E134" s="95"/>
      <c r="F134" s="95"/>
      <c r="G134" s="44"/>
      <c r="H134" s="95"/>
    </row>
    <row r="135" spans="1:8" x14ac:dyDescent="0.45">
      <c r="A135" s="22" t="s">
        <v>5112</v>
      </c>
      <c r="B135" s="33">
        <v>1503030</v>
      </c>
      <c r="C135" s="33" t="s">
        <v>123</v>
      </c>
      <c r="D135" s="36" t="s">
        <v>124</v>
      </c>
      <c r="E135" s="23">
        <v>12</v>
      </c>
      <c r="F135" s="23" t="s">
        <v>17</v>
      </c>
      <c r="G135" s="24"/>
      <c r="H135" s="24">
        <f>G135*E135</f>
        <v>0</v>
      </c>
    </row>
    <row r="136" spans="1:8" x14ac:dyDescent="0.45">
      <c r="A136" s="58"/>
      <c r="B136" s="59"/>
      <c r="C136" s="59"/>
      <c r="D136" s="60" t="s">
        <v>195</v>
      </c>
      <c r="E136" s="59"/>
      <c r="F136" s="59"/>
      <c r="G136" s="59"/>
      <c r="H136" s="62">
        <f>SUM(H127:H135)</f>
        <v>0</v>
      </c>
    </row>
    <row r="137" spans="1:8" x14ac:dyDescent="0.45">
      <c r="A137" s="87"/>
      <c r="B137" s="88"/>
      <c r="C137" s="88"/>
      <c r="D137" s="65"/>
      <c r="E137" s="64"/>
      <c r="F137" s="64"/>
      <c r="G137" s="64"/>
      <c r="H137" s="66"/>
    </row>
    <row r="138" spans="1:8" x14ac:dyDescent="0.45">
      <c r="A138" s="12" t="s">
        <v>1626</v>
      </c>
      <c r="B138" s="13"/>
      <c r="C138" s="13"/>
      <c r="D138" s="12" t="s">
        <v>5103</v>
      </c>
      <c r="E138" s="91"/>
      <c r="F138" s="91"/>
      <c r="G138" s="91"/>
      <c r="H138" s="91"/>
    </row>
    <row r="139" spans="1:8" x14ac:dyDescent="0.45">
      <c r="A139" s="40"/>
      <c r="B139" s="41">
        <v>1503010</v>
      </c>
      <c r="C139" s="41"/>
      <c r="D139" s="42" t="s">
        <v>109</v>
      </c>
      <c r="E139" s="43"/>
      <c r="F139" s="44"/>
      <c r="G139" s="44"/>
      <c r="H139" s="45"/>
    </row>
    <row r="140" spans="1:8" x14ac:dyDescent="0.45">
      <c r="A140" s="22" t="s">
        <v>1627</v>
      </c>
      <c r="B140" s="33">
        <v>1503010</v>
      </c>
      <c r="C140" s="33">
        <v>3.1</v>
      </c>
      <c r="D140" s="36" t="s">
        <v>111</v>
      </c>
      <c r="E140" s="23">
        <v>12</v>
      </c>
      <c r="F140" s="23" t="s">
        <v>17</v>
      </c>
      <c r="G140" s="24"/>
      <c r="H140" s="24">
        <f>G140*E140</f>
        <v>0</v>
      </c>
    </row>
    <row r="141" spans="1:8" x14ac:dyDescent="0.45">
      <c r="A141" s="40"/>
      <c r="B141" s="43">
        <v>1503030</v>
      </c>
      <c r="C141" s="41"/>
      <c r="D141" s="42" t="s">
        <v>121</v>
      </c>
      <c r="E141" s="50"/>
      <c r="F141" s="50"/>
      <c r="G141" s="44"/>
      <c r="H141" s="51"/>
    </row>
    <row r="142" spans="1:8" x14ac:dyDescent="0.45">
      <c r="A142" s="22" t="s">
        <v>1628</v>
      </c>
      <c r="B142" s="33">
        <v>1503030</v>
      </c>
      <c r="C142" s="33" t="s">
        <v>123</v>
      </c>
      <c r="D142" s="36" t="s">
        <v>124</v>
      </c>
      <c r="E142" s="23">
        <v>12</v>
      </c>
      <c r="F142" s="23" t="s">
        <v>17</v>
      </c>
      <c r="G142" s="24"/>
      <c r="H142" s="24">
        <f>G142*E142</f>
        <v>0</v>
      </c>
    </row>
    <row r="143" spans="1:8" x14ac:dyDescent="0.45">
      <c r="A143" s="58"/>
      <c r="B143" s="59"/>
      <c r="C143" s="59"/>
      <c r="D143" s="60" t="s">
        <v>200</v>
      </c>
      <c r="E143" s="59"/>
      <c r="F143" s="59"/>
      <c r="G143" s="59"/>
      <c r="H143" s="62">
        <f>SUM(H138:H142)</f>
        <v>0</v>
      </c>
    </row>
    <row r="144" spans="1:8" x14ac:dyDescent="0.45">
      <c r="A144" s="96"/>
      <c r="B144" s="97"/>
      <c r="C144" s="97"/>
      <c r="D144" s="98"/>
      <c r="E144" s="97"/>
      <c r="F144" s="97"/>
      <c r="G144" s="64"/>
      <c r="H144" s="99"/>
    </row>
    <row r="145" spans="1:8" x14ac:dyDescent="0.45">
      <c r="A145" s="12" t="s">
        <v>1629</v>
      </c>
      <c r="B145" s="13"/>
      <c r="C145" s="13"/>
      <c r="D145" s="12" t="s">
        <v>202</v>
      </c>
      <c r="E145" s="100"/>
      <c r="F145" s="101"/>
      <c r="G145" s="91"/>
      <c r="H145" s="102"/>
    </row>
    <row r="146" spans="1:8" x14ac:dyDescent="0.45">
      <c r="A146" s="40"/>
      <c r="B146" s="41">
        <v>1503010</v>
      </c>
      <c r="C146" s="41"/>
      <c r="D146" s="42" t="s">
        <v>109</v>
      </c>
      <c r="E146" s="43"/>
      <c r="F146" s="44"/>
      <c r="G146" s="44"/>
      <c r="H146" s="45"/>
    </row>
    <row r="147" spans="1:8" x14ac:dyDescent="0.45">
      <c r="A147" s="22" t="s">
        <v>1630</v>
      </c>
      <c r="B147" s="33">
        <v>1503010</v>
      </c>
      <c r="C147" s="33">
        <v>3.1</v>
      </c>
      <c r="D147" s="36" t="s">
        <v>111</v>
      </c>
      <c r="E147" s="23">
        <v>12</v>
      </c>
      <c r="F147" s="23" t="s">
        <v>17</v>
      </c>
      <c r="G147" s="24"/>
      <c r="H147" s="24">
        <f>G147*E147</f>
        <v>0</v>
      </c>
    </row>
    <row r="148" spans="1:8" x14ac:dyDescent="0.45">
      <c r="A148" s="40"/>
      <c r="B148" s="43">
        <v>1503030</v>
      </c>
      <c r="C148" s="41"/>
      <c r="D148" s="42" t="s">
        <v>121</v>
      </c>
      <c r="E148" s="43"/>
      <c r="F148" s="44"/>
      <c r="G148" s="44"/>
      <c r="H148" s="45"/>
    </row>
    <row r="149" spans="1:8" x14ac:dyDescent="0.45">
      <c r="A149" s="22" t="s">
        <v>1631</v>
      </c>
      <c r="B149" s="33">
        <v>1503030</v>
      </c>
      <c r="C149" s="33" t="s">
        <v>123</v>
      </c>
      <c r="D149" s="36" t="s">
        <v>124</v>
      </c>
      <c r="E149" s="23">
        <v>12</v>
      </c>
      <c r="F149" s="23" t="s">
        <v>17</v>
      </c>
      <c r="G149" s="24"/>
      <c r="H149" s="24">
        <f>G149*E149</f>
        <v>0</v>
      </c>
    </row>
    <row r="150" spans="1:8" x14ac:dyDescent="0.45">
      <c r="A150" s="58"/>
      <c r="B150" s="59"/>
      <c r="C150" s="59"/>
      <c r="D150" s="60" t="s">
        <v>205</v>
      </c>
      <c r="E150" s="59"/>
      <c r="F150" s="59"/>
      <c r="G150" s="59"/>
      <c r="H150" s="62">
        <f>SUM(H147:H149)</f>
        <v>0</v>
      </c>
    </row>
    <row r="151" spans="1:8" x14ac:dyDescent="0.45">
      <c r="A151" s="96"/>
      <c r="B151" s="97"/>
      <c r="C151" s="97"/>
      <c r="D151" s="98"/>
      <c r="E151" s="97"/>
      <c r="F151" s="97"/>
      <c r="G151" s="97"/>
      <c r="H151" s="99"/>
    </row>
    <row r="152" spans="1:8" x14ac:dyDescent="0.45">
      <c r="A152" s="12" t="s">
        <v>1632</v>
      </c>
      <c r="B152" s="13"/>
      <c r="C152" s="13"/>
      <c r="D152" s="12" t="s">
        <v>207</v>
      </c>
      <c r="E152" s="100"/>
      <c r="F152" s="101"/>
      <c r="G152" s="101"/>
      <c r="H152" s="102"/>
    </row>
    <row r="153" spans="1:8" x14ac:dyDescent="0.4">
      <c r="A153" s="40"/>
      <c r="B153" s="203">
        <v>1502000</v>
      </c>
      <c r="C153" s="18"/>
      <c r="D153" s="204" t="s">
        <v>18</v>
      </c>
      <c r="E153" s="43"/>
      <c r="F153" s="44"/>
      <c r="G153" s="44"/>
      <c r="H153" s="45"/>
    </row>
    <row r="154" spans="1:8" x14ac:dyDescent="0.45">
      <c r="A154" s="25"/>
      <c r="B154" s="37"/>
      <c r="C154" s="37">
        <v>3.6</v>
      </c>
      <c r="D154" s="38" t="s">
        <v>75</v>
      </c>
      <c r="E154" s="28"/>
      <c r="F154" s="28"/>
      <c r="G154" s="28"/>
      <c r="H154" s="28"/>
    </row>
    <row r="155" spans="1:8" x14ac:dyDescent="0.45">
      <c r="A155" s="22" t="s">
        <v>1633</v>
      </c>
      <c r="B155" s="23">
        <v>1502000</v>
      </c>
      <c r="C155" s="33" t="s">
        <v>77</v>
      </c>
      <c r="D155" s="39" t="s">
        <v>78</v>
      </c>
      <c r="E155" s="23">
        <v>12</v>
      </c>
      <c r="F155" s="23" t="s">
        <v>17</v>
      </c>
      <c r="G155" s="24"/>
      <c r="H155" s="24">
        <f>G155*E155</f>
        <v>0</v>
      </c>
    </row>
    <row r="156" spans="1:8" x14ac:dyDescent="0.45">
      <c r="A156" s="22" t="s">
        <v>1634</v>
      </c>
      <c r="B156" s="23">
        <v>1502000</v>
      </c>
      <c r="C156" s="33" t="s">
        <v>101</v>
      </c>
      <c r="D156" s="39" t="s">
        <v>102</v>
      </c>
      <c r="E156" s="23">
        <v>12</v>
      </c>
      <c r="F156" s="23" t="s">
        <v>17</v>
      </c>
      <c r="G156" s="24"/>
      <c r="H156" s="24">
        <f>G156*E156</f>
        <v>0</v>
      </c>
    </row>
    <row r="157" spans="1:8" x14ac:dyDescent="0.45">
      <c r="A157" s="40"/>
      <c r="B157" s="41">
        <v>1503010</v>
      </c>
      <c r="C157" s="41"/>
      <c r="D157" s="42" t="s">
        <v>109</v>
      </c>
      <c r="E157" s="43"/>
      <c r="F157" s="44"/>
      <c r="G157" s="44"/>
      <c r="H157" s="45"/>
    </row>
    <row r="158" spans="1:8" x14ac:dyDescent="0.45">
      <c r="A158" s="22" t="s">
        <v>1635</v>
      </c>
      <c r="B158" s="33">
        <v>1503010</v>
      </c>
      <c r="C158" s="33">
        <v>3.1</v>
      </c>
      <c r="D158" s="36" t="s">
        <v>111</v>
      </c>
      <c r="E158" s="23">
        <v>12</v>
      </c>
      <c r="F158" s="23" t="s">
        <v>17</v>
      </c>
      <c r="G158" s="24"/>
      <c r="H158" s="24">
        <f>G158*E158</f>
        <v>0</v>
      </c>
    </row>
    <row r="159" spans="1:8" x14ac:dyDescent="0.45">
      <c r="A159" s="40"/>
      <c r="B159" s="92">
        <v>1503020</v>
      </c>
      <c r="C159" s="92"/>
      <c r="D159" s="93" t="s">
        <v>114</v>
      </c>
      <c r="E159" s="43"/>
      <c r="F159" s="44"/>
      <c r="G159" s="44"/>
      <c r="H159" s="45"/>
    </row>
    <row r="160" spans="1:8" x14ac:dyDescent="0.45">
      <c r="A160" s="22" t="s">
        <v>1636</v>
      </c>
      <c r="B160" s="33">
        <v>1503020</v>
      </c>
      <c r="C160" s="33">
        <v>3.1</v>
      </c>
      <c r="D160" s="36" t="s">
        <v>116</v>
      </c>
      <c r="E160" s="23">
        <v>12</v>
      </c>
      <c r="F160" s="23" t="s">
        <v>17</v>
      </c>
      <c r="G160" s="24"/>
      <c r="H160" s="24">
        <f>G160*E160</f>
        <v>0</v>
      </c>
    </row>
    <row r="161" spans="1:8" x14ac:dyDescent="0.45">
      <c r="A161" s="22" t="s">
        <v>1637</v>
      </c>
      <c r="B161" s="33">
        <v>1503020</v>
      </c>
      <c r="C161" s="33">
        <v>3.2</v>
      </c>
      <c r="D161" s="36" t="s">
        <v>118</v>
      </c>
      <c r="E161" s="23">
        <v>12</v>
      </c>
      <c r="F161" s="23" t="s">
        <v>17</v>
      </c>
      <c r="G161" s="24"/>
      <c r="H161" s="24">
        <f>G161*E161</f>
        <v>0</v>
      </c>
    </row>
    <row r="162" spans="1:8" x14ac:dyDescent="0.45">
      <c r="A162" s="22" t="s">
        <v>1638</v>
      </c>
      <c r="B162" s="33">
        <v>1503020</v>
      </c>
      <c r="C162" s="33">
        <v>3.3</v>
      </c>
      <c r="D162" s="36" t="s">
        <v>120</v>
      </c>
      <c r="E162" s="23">
        <v>12</v>
      </c>
      <c r="F162" s="23" t="s">
        <v>17</v>
      </c>
      <c r="G162" s="24"/>
      <c r="H162" s="24">
        <f>G162*E162</f>
        <v>0</v>
      </c>
    </row>
    <row r="163" spans="1:8" x14ac:dyDescent="0.45">
      <c r="A163" s="40"/>
      <c r="B163" s="43">
        <v>1503030</v>
      </c>
      <c r="C163" s="41"/>
      <c r="D163" s="42" t="s">
        <v>121</v>
      </c>
      <c r="E163" s="43"/>
      <c r="F163" s="44"/>
      <c r="G163" s="44"/>
      <c r="H163" s="45"/>
    </row>
    <row r="164" spans="1:8" x14ac:dyDescent="0.45">
      <c r="A164" s="22" t="s">
        <v>1639</v>
      </c>
      <c r="B164" s="33">
        <v>1503030</v>
      </c>
      <c r="C164" s="33" t="s">
        <v>123</v>
      </c>
      <c r="D164" s="36" t="s">
        <v>124</v>
      </c>
      <c r="E164" s="23">
        <v>12</v>
      </c>
      <c r="F164" s="23" t="s">
        <v>17</v>
      </c>
      <c r="G164" s="24"/>
      <c r="H164" s="24">
        <f>G164*E164</f>
        <v>0</v>
      </c>
    </row>
    <row r="165" spans="1:8" x14ac:dyDescent="0.45">
      <c r="A165" s="58"/>
      <c r="B165" s="59"/>
      <c r="C165" s="59"/>
      <c r="D165" s="60" t="s">
        <v>215</v>
      </c>
      <c r="E165" s="59"/>
      <c r="F165" s="59"/>
      <c r="G165" s="59"/>
      <c r="H165" s="62">
        <f>SUM(H154:H164)</f>
        <v>0</v>
      </c>
    </row>
    <row r="166" spans="1:8" x14ac:dyDescent="0.45">
      <c r="A166" s="96"/>
      <c r="B166" s="97"/>
      <c r="C166" s="97"/>
      <c r="D166" s="98"/>
      <c r="E166" s="97"/>
      <c r="F166" s="97"/>
      <c r="G166" s="97"/>
      <c r="H166" s="99"/>
    </row>
    <row r="167" spans="1:8" x14ac:dyDescent="0.45">
      <c r="A167" s="12" t="s">
        <v>1640</v>
      </c>
      <c r="B167" s="13"/>
      <c r="C167" s="13"/>
      <c r="D167" s="12" t="s">
        <v>217</v>
      </c>
      <c r="E167" s="100"/>
      <c r="F167" s="101"/>
      <c r="G167" s="101"/>
      <c r="H167" s="102"/>
    </row>
    <row r="168" spans="1:8" s="263" customFormat="1" x14ac:dyDescent="0.4">
      <c r="A168" s="278"/>
      <c r="B168" s="364">
        <v>1502000</v>
      </c>
      <c r="C168" s="280"/>
      <c r="D168" s="365" t="s">
        <v>18</v>
      </c>
      <c r="E168" s="282"/>
      <c r="F168" s="283"/>
      <c r="G168" s="283"/>
      <c r="H168" s="284"/>
    </row>
    <row r="169" spans="1:8" s="263" customFormat="1" x14ac:dyDescent="0.45">
      <c r="A169" s="265"/>
      <c r="B169" s="266"/>
      <c r="C169" s="266">
        <v>3.1</v>
      </c>
      <c r="D169" s="267" t="s">
        <v>19</v>
      </c>
      <c r="E169" s="266"/>
      <c r="F169" s="266"/>
      <c r="G169" s="268"/>
      <c r="H169" s="273"/>
    </row>
    <row r="170" spans="1:8" s="263" customFormat="1" x14ac:dyDescent="0.45">
      <c r="A170" s="258" t="s">
        <v>1641</v>
      </c>
      <c r="B170" s="261">
        <v>1502000</v>
      </c>
      <c r="C170" s="261" t="s">
        <v>21</v>
      </c>
      <c r="D170" s="264" t="s">
        <v>22</v>
      </c>
      <c r="E170" s="261">
        <v>12</v>
      </c>
      <c r="F170" s="261" t="s">
        <v>17</v>
      </c>
      <c r="G170" s="262"/>
      <c r="H170" s="262">
        <f>G170*E170</f>
        <v>0</v>
      </c>
    </row>
    <row r="171" spans="1:8" s="263" customFormat="1" x14ac:dyDescent="0.45">
      <c r="A171" s="258" t="s">
        <v>1642</v>
      </c>
      <c r="B171" s="261">
        <v>1502000</v>
      </c>
      <c r="C171" s="261" t="s">
        <v>24</v>
      </c>
      <c r="D171" s="264" t="s">
        <v>25</v>
      </c>
      <c r="E171" s="261">
        <v>12</v>
      </c>
      <c r="F171" s="261" t="s">
        <v>17</v>
      </c>
      <c r="G171" s="262"/>
      <c r="H171" s="262">
        <f>G171*E171</f>
        <v>0</v>
      </c>
    </row>
    <row r="172" spans="1:8" s="263" customFormat="1" ht="13.5" customHeight="1" x14ac:dyDescent="0.45">
      <c r="A172" s="258" t="s">
        <v>1643</v>
      </c>
      <c r="B172" s="261">
        <v>1502000</v>
      </c>
      <c r="C172" s="261" t="s">
        <v>27</v>
      </c>
      <c r="D172" s="264" t="s">
        <v>28</v>
      </c>
      <c r="E172" s="261">
        <v>12</v>
      </c>
      <c r="F172" s="261" t="s">
        <v>17</v>
      </c>
      <c r="G172" s="262"/>
      <c r="H172" s="262">
        <f>G172*E172</f>
        <v>0</v>
      </c>
    </row>
    <row r="173" spans="1:8" s="263" customFormat="1" x14ac:dyDescent="0.45">
      <c r="A173" s="265"/>
      <c r="B173" s="266"/>
      <c r="C173" s="266">
        <v>3.1</v>
      </c>
      <c r="D173" s="267" t="s">
        <v>31</v>
      </c>
      <c r="E173" s="268"/>
      <c r="F173" s="268"/>
      <c r="G173" s="268"/>
      <c r="H173" s="268"/>
    </row>
    <row r="174" spans="1:8" s="263" customFormat="1" x14ac:dyDescent="0.45">
      <c r="A174" s="258" t="s">
        <v>1644</v>
      </c>
      <c r="B174" s="261">
        <v>1502000</v>
      </c>
      <c r="C174" s="261" t="s">
        <v>222</v>
      </c>
      <c r="D174" s="269" t="s">
        <v>223</v>
      </c>
      <c r="E174" s="261">
        <v>12</v>
      </c>
      <c r="F174" s="261" t="s">
        <v>17</v>
      </c>
      <c r="G174" s="262"/>
      <c r="H174" s="262">
        <f t="shared" ref="H174:H191" si="2">G174*E174</f>
        <v>0</v>
      </c>
    </row>
    <row r="175" spans="1:8" s="263" customFormat="1" x14ac:dyDescent="0.45">
      <c r="A175" s="258" t="s">
        <v>1645</v>
      </c>
      <c r="B175" s="261">
        <v>1502000</v>
      </c>
      <c r="C175" s="261" t="s">
        <v>33</v>
      </c>
      <c r="D175" s="269" t="s">
        <v>34</v>
      </c>
      <c r="E175" s="261">
        <v>12</v>
      </c>
      <c r="F175" s="261" t="s">
        <v>17</v>
      </c>
      <c r="G175" s="262"/>
      <c r="H175" s="262">
        <f t="shared" si="2"/>
        <v>0</v>
      </c>
    </row>
    <row r="176" spans="1:8" s="263" customFormat="1" x14ac:dyDescent="0.45">
      <c r="A176" s="258" t="s">
        <v>1646</v>
      </c>
      <c r="B176" s="261">
        <v>1502000</v>
      </c>
      <c r="C176" s="261" t="s">
        <v>36</v>
      </c>
      <c r="D176" s="269" t="s">
        <v>37</v>
      </c>
      <c r="E176" s="261">
        <v>12</v>
      </c>
      <c r="F176" s="261" t="s">
        <v>17</v>
      </c>
      <c r="G176" s="262"/>
      <c r="H176" s="262">
        <f t="shared" si="2"/>
        <v>0</v>
      </c>
    </row>
    <row r="177" spans="1:8" s="263" customFormat="1" x14ac:dyDescent="0.45">
      <c r="A177" s="258" t="s">
        <v>1647</v>
      </c>
      <c r="B177" s="261">
        <v>1502000</v>
      </c>
      <c r="C177" s="261" t="s">
        <v>227</v>
      </c>
      <c r="D177" s="270" t="s">
        <v>228</v>
      </c>
      <c r="E177" s="261">
        <v>12</v>
      </c>
      <c r="F177" s="261" t="s">
        <v>17</v>
      </c>
      <c r="G177" s="262"/>
      <c r="H177" s="262">
        <f t="shared" si="2"/>
        <v>0</v>
      </c>
    </row>
    <row r="178" spans="1:8" s="263" customFormat="1" x14ac:dyDescent="0.45">
      <c r="A178" s="258" t="s">
        <v>1648</v>
      </c>
      <c r="B178" s="261">
        <v>1502000</v>
      </c>
      <c r="C178" s="261" t="s">
        <v>39</v>
      </c>
      <c r="D178" s="269" t="s">
        <v>230</v>
      </c>
      <c r="E178" s="261">
        <v>12</v>
      </c>
      <c r="F178" s="261" t="s">
        <v>17</v>
      </c>
      <c r="G178" s="262"/>
      <c r="H178" s="262">
        <f t="shared" si="2"/>
        <v>0</v>
      </c>
    </row>
    <row r="179" spans="1:8" s="263" customFormat="1" x14ac:dyDescent="0.45">
      <c r="A179" s="258" t="s">
        <v>1649</v>
      </c>
      <c r="B179" s="261">
        <v>1502000</v>
      </c>
      <c r="C179" s="261" t="s">
        <v>232</v>
      </c>
      <c r="D179" s="269" t="s">
        <v>233</v>
      </c>
      <c r="E179" s="261">
        <v>12</v>
      </c>
      <c r="F179" s="261" t="s">
        <v>17</v>
      </c>
      <c r="G179" s="262"/>
      <c r="H179" s="262">
        <f t="shared" si="2"/>
        <v>0</v>
      </c>
    </row>
    <row r="180" spans="1:8" s="263" customFormat="1" x14ac:dyDescent="0.45">
      <c r="A180" s="258" t="s">
        <v>1650</v>
      </c>
      <c r="B180" s="261">
        <v>1502000</v>
      </c>
      <c r="C180" s="271" t="s">
        <v>235</v>
      </c>
      <c r="D180" s="263" t="s">
        <v>236</v>
      </c>
      <c r="E180" s="261">
        <v>12</v>
      </c>
      <c r="F180" s="261" t="s">
        <v>17</v>
      </c>
      <c r="G180" s="262"/>
      <c r="H180" s="262">
        <f t="shared" si="2"/>
        <v>0</v>
      </c>
    </row>
    <row r="181" spans="1:8" s="263" customFormat="1" x14ac:dyDescent="0.45">
      <c r="A181" s="258" t="s">
        <v>1651</v>
      </c>
      <c r="B181" s="261">
        <v>1502000</v>
      </c>
      <c r="C181" s="261" t="s">
        <v>238</v>
      </c>
      <c r="D181" s="269" t="s">
        <v>239</v>
      </c>
      <c r="E181" s="261">
        <v>12</v>
      </c>
      <c r="F181" s="261" t="s">
        <v>17</v>
      </c>
      <c r="G181" s="262"/>
      <c r="H181" s="262">
        <f t="shared" si="2"/>
        <v>0</v>
      </c>
    </row>
    <row r="182" spans="1:8" s="263" customFormat="1" x14ac:dyDescent="0.45">
      <c r="A182" s="258" t="s">
        <v>1652</v>
      </c>
      <c r="B182" s="261">
        <v>1502000</v>
      </c>
      <c r="C182" s="261" t="s">
        <v>241</v>
      </c>
      <c r="D182" s="269" t="s">
        <v>242</v>
      </c>
      <c r="E182" s="261">
        <v>12</v>
      </c>
      <c r="F182" s="261" t="s">
        <v>17</v>
      </c>
      <c r="G182" s="262"/>
      <c r="H182" s="262">
        <f t="shared" si="2"/>
        <v>0</v>
      </c>
    </row>
    <row r="183" spans="1:8" s="263" customFormat="1" x14ac:dyDescent="0.45">
      <c r="A183" s="258" t="s">
        <v>1653</v>
      </c>
      <c r="B183" s="261">
        <v>1502000</v>
      </c>
      <c r="C183" s="261" t="s">
        <v>244</v>
      </c>
      <c r="D183" s="269" t="s">
        <v>245</v>
      </c>
      <c r="E183" s="261">
        <v>12</v>
      </c>
      <c r="F183" s="261" t="s">
        <v>17</v>
      </c>
      <c r="G183" s="262"/>
      <c r="H183" s="262">
        <f t="shared" si="2"/>
        <v>0</v>
      </c>
    </row>
    <row r="184" spans="1:8" s="263" customFormat="1" x14ac:dyDescent="0.45">
      <c r="A184" s="258" t="s">
        <v>1654</v>
      </c>
      <c r="B184" s="261">
        <v>1502000</v>
      </c>
      <c r="C184" s="261" t="s">
        <v>247</v>
      </c>
      <c r="D184" s="269" t="s">
        <v>248</v>
      </c>
      <c r="E184" s="261">
        <v>12</v>
      </c>
      <c r="F184" s="261" t="s">
        <v>17</v>
      </c>
      <c r="G184" s="262"/>
      <c r="H184" s="262">
        <f t="shared" si="2"/>
        <v>0</v>
      </c>
    </row>
    <row r="185" spans="1:8" s="263" customFormat="1" x14ac:dyDescent="0.45">
      <c r="A185" s="258" t="s">
        <v>1655</v>
      </c>
      <c r="B185" s="261">
        <v>1502000</v>
      </c>
      <c r="C185" s="261" t="s">
        <v>250</v>
      </c>
      <c r="D185" s="269" t="s">
        <v>251</v>
      </c>
      <c r="E185" s="261">
        <v>12</v>
      </c>
      <c r="F185" s="261" t="s">
        <v>17</v>
      </c>
      <c r="G185" s="262"/>
      <c r="H185" s="262">
        <f t="shared" si="2"/>
        <v>0</v>
      </c>
    </row>
    <row r="186" spans="1:8" s="263" customFormat="1" x14ac:dyDescent="0.45">
      <c r="A186" s="258" t="s">
        <v>1656</v>
      </c>
      <c r="B186" s="261">
        <v>1502000</v>
      </c>
      <c r="C186" s="261" t="s">
        <v>253</v>
      </c>
      <c r="D186" s="269" t="s">
        <v>254</v>
      </c>
      <c r="E186" s="261">
        <v>12</v>
      </c>
      <c r="F186" s="261" t="s">
        <v>17</v>
      </c>
      <c r="G186" s="262"/>
      <c r="H186" s="262">
        <f t="shared" si="2"/>
        <v>0</v>
      </c>
    </row>
    <row r="187" spans="1:8" s="263" customFormat="1" x14ac:dyDescent="0.45">
      <c r="A187" s="258" t="s">
        <v>1657</v>
      </c>
      <c r="B187" s="261">
        <v>1502000</v>
      </c>
      <c r="C187" s="261" t="s">
        <v>45</v>
      </c>
      <c r="D187" s="269" t="s">
        <v>46</v>
      </c>
      <c r="E187" s="261">
        <v>12</v>
      </c>
      <c r="F187" s="261" t="s">
        <v>17</v>
      </c>
      <c r="G187" s="262"/>
      <c r="H187" s="262">
        <f t="shared" si="2"/>
        <v>0</v>
      </c>
    </row>
    <row r="188" spans="1:8" s="263" customFormat="1" x14ac:dyDescent="0.45">
      <c r="A188" s="258" t="s">
        <v>1658</v>
      </c>
      <c r="B188" s="261">
        <v>1502000</v>
      </c>
      <c r="C188" s="261" t="s">
        <v>48</v>
      </c>
      <c r="D188" s="269" t="s">
        <v>257</v>
      </c>
      <c r="E188" s="261">
        <v>12</v>
      </c>
      <c r="F188" s="261" t="s">
        <v>17</v>
      </c>
      <c r="G188" s="262"/>
      <c r="H188" s="262">
        <f t="shared" si="2"/>
        <v>0</v>
      </c>
    </row>
    <row r="189" spans="1:8" s="263" customFormat="1" x14ac:dyDescent="0.45">
      <c r="A189" s="258" t="s">
        <v>1659</v>
      </c>
      <c r="B189" s="261">
        <v>1502000</v>
      </c>
      <c r="C189" s="261" t="s">
        <v>54</v>
      </c>
      <c r="D189" s="269" t="s">
        <v>55</v>
      </c>
      <c r="E189" s="261">
        <v>12</v>
      </c>
      <c r="F189" s="261" t="s">
        <v>17</v>
      </c>
      <c r="G189" s="262"/>
      <c r="H189" s="262">
        <f t="shared" si="2"/>
        <v>0</v>
      </c>
    </row>
    <row r="190" spans="1:8" s="263" customFormat="1" x14ac:dyDescent="0.45">
      <c r="A190" s="258" t="s">
        <v>1660</v>
      </c>
      <c r="B190" s="261">
        <v>1502000</v>
      </c>
      <c r="C190" s="261" t="s">
        <v>260</v>
      </c>
      <c r="D190" s="269" t="s">
        <v>261</v>
      </c>
      <c r="E190" s="261">
        <v>12</v>
      </c>
      <c r="F190" s="261" t="s">
        <v>17</v>
      </c>
      <c r="G190" s="262"/>
      <c r="H190" s="262">
        <f t="shared" si="2"/>
        <v>0</v>
      </c>
    </row>
    <row r="191" spans="1:8" s="263" customFormat="1" x14ac:dyDescent="0.45">
      <c r="A191" s="258" t="s">
        <v>1661</v>
      </c>
      <c r="B191" s="261">
        <v>1502000</v>
      </c>
      <c r="C191" s="271" t="s">
        <v>60</v>
      </c>
      <c r="D191" s="272" t="s">
        <v>61</v>
      </c>
      <c r="E191" s="261">
        <v>12</v>
      </c>
      <c r="F191" s="261" t="s">
        <v>17</v>
      </c>
      <c r="G191" s="262"/>
      <c r="H191" s="262">
        <f t="shared" si="2"/>
        <v>0</v>
      </c>
    </row>
    <row r="192" spans="1:8" s="263" customFormat="1" x14ac:dyDescent="0.45">
      <c r="A192" s="265"/>
      <c r="B192" s="266"/>
      <c r="C192" s="266">
        <v>3.4</v>
      </c>
      <c r="D192" s="267" t="s">
        <v>62</v>
      </c>
      <c r="E192" s="266"/>
      <c r="F192" s="266"/>
      <c r="G192" s="268"/>
      <c r="H192" s="273"/>
    </row>
    <row r="193" spans="1:8" s="263" customFormat="1" x14ac:dyDescent="0.45">
      <c r="A193" s="258" t="s">
        <v>1662</v>
      </c>
      <c r="B193" s="261">
        <v>1502000</v>
      </c>
      <c r="C193" s="261" t="s">
        <v>64</v>
      </c>
      <c r="D193" s="270" t="s">
        <v>65</v>
      </c>
      <c r="E193" s="261">
        <v>12</v>
      </c>
      <c r="F193" s="261" t="s">
        <v>17</v>
      </c>
      <c r="G193" s="262"/>
      <c r="H193" s="262">
        <f>G193*E193</f>
        <v>0</v>
      </c>
    </row>
    <row r="194" spans="1:8" s="263" customFormat="1" x14ac:dyDescent="0.45">
      <c r="A194" s="258" t="s">
        <v>1663</v>
      </c>
      <c r="B194" s="261">
        <v>1502000</v>
      </c>
      <c r="C194" s="261" t="s">
        <v>67</v>
      </c>
      <c r="D194" s="270" t="s">
        <v>68</v>
      </c>
      <c r="E194" s="261">
        <v>12</v>
      </c>
      <c r="F194" s="261" t="s">
        <v>17</v>
      </c>
      <c r="G194" s="262"/>
      <c r="H194" s="262">
        <f>G194*E194</f>
        <v>0</v>
      </c>
    </row>
    <row r="195" spans="1:8" s="263" customFormat="1" x14ac:dyDescent="0.45">
      <c r="A195" s="258" t="s">
        <v>1664</v>
      </c>
      <c r="B195" s="261">
        <v>1502000</v>
      </c>
      <c r="C195" s="259" t="s">
        <v>70</v>
      </c>
      <c r="D195" s="260" t="s">
        <v>71</v>
      </c>
      <c r="E195" s="261">
        <v>12</v>
      </c>
      <c r="F195" s="261" t="s">
        <v>17</v>
      </c>
      <c r="G195" s="262"/>
      <c r="H195" s="262">
        <f>G195*E195</f>
        <v>0</v>
      </c>
    </row>
    <row r="196" spans="1:8" s="263" customFormat="1" x14ac:dyDescent="0.45">
      <c r="A196" s="265"/>
      <c r="B196" s="266"/>
      <c r="C196" s="266">
        <v>3.5</v>
      </c>
      <c r="D196" s="267" t="s">
        <v>72</v>
      </c>
      <c r="E196" s="268"/>
      <c r="F196" s="268"/>
      <c r="G196" s="268"/>
      <c r="H196" s="268"/>
    </row>
    <row r="197" spans="1:8" s="263" customFormat="1" x14ac:dyDescent="0.45">
      <c r="A197" s="258" t="s">
        <v>1665</v>
      </c>
      <c r="B197" s="261">
        <v>1502000</v>
      </c>
      <c r="C197" s="261" t="s">
        <v>267</v>
      </c>
      <c r="D197" s="274" t="s">
        <v>71</v>
      </c>
      <c r="E197" s="261">
        <v>12</v>
      </c>
      <c r="F197" s="261" t="s">
        <v>17</v>
      </c>
      <c r="G197" s="262"/>
      <c r="H197" s="262">
        <f>G197*E197</f>
        <v>0</v>
      </c>
    </row>
    <row r="198" spans="1:8" s="263" customFormat="1" x14ac:dyDescent="0.45">
      <c r="A198" s="258" t="s">
        <v>1666</v>
      </c>
      <c r="B198" s="261">
        <v>1502000</v>
      </c>
      <c r="C198" s="261" t="s">
        <v>74</v>
      </c>
      <c r="D198" s="269" t="s">
        <v>37</v>
      </c>
      <c r="E198" s="261">
        <v>12</v>
      </c>
      <c r="F198" s="261" t="s">
        <v>17</v>
      </c>
      <c r="G198" s="262"/>
      <c r="H198" s="262">
        <f>G198*E198</f>
        <v>0</v>
      </c>
    </row>
    <row r="199" spans="1:8" s="263" customFormat="1" x14ac:dyDescent="0.45">
      <c r="A199" s="265"/>
      <c r="B199" s="266"/>
      <c r="C199" s="266">
        <v>3.6</v>
      </c>
      <c r="D199" s="267" t="s">
        <v>75</v>
      </c>
      <c r="E199" s="266"/>
      <c r="F199" s="266"/>
      <c r="G199" s="268"/>
      <c r="H199" s="273"/>
    </row>
    <row r="200" spans="1:8" s="263" customFormat="1" x14ac:dyDescent="0.45">
      <c r="A200" s="258" t="s">
        <v>1667</v>
      </c>
      <c r="B200" s="261">
        <v>1502000</v>
      </c>
      <c r="C200" s="259" t="s">
        <v>77</v>
      </c>
      <c r="D200" s="275" t="s">
        <v>78</v>
      </c>
      <c r="E200" s="261">
        <v>12</v>
      </c>
      <c r="F200" s="261" t="s">
        <v>17</v>
      </c>
      <c r="G200" s="262"/>
      <c r="H200" s="262">
        <f>G200*E200</f>
        <v>0</v>
      </c>
    </row>
    <row r="201" spans="1:8" s="263" customFormat="1" x14ac:dyDescent="0.45">
      <c r="A201" s="258" t="s">
        <v>1668</v>
      </c>
      <c r="B201" s="261">
        <v>1502000</v>
      </c>
      <c r="C201" s="259" t="s">
        <v>80</v>
      </c>
      <c r="D201" s="275" t="s">
        <v>81</v>
      </c>
      <c r="E201" s="261">
        <v>12</v>
      </c>
      <c r="F201" s="261" t="s">
        <v>17</v>
      </c>
      <c r="G201" s="262"/>
      <c r="H201" s="262">
        <f>G201*E201</f>
        <v>0</v>
      </c>
    </row>
    <row r="202" spans="1:8" s="263" customFormat="1" x14ac:dyDescent="0.45">
      <c r="A202" s="258" t="s">
        <v>1669</v>
      </c>
      <c r="B202" s="261">
        <v>1502000</v>
      </c>
      <c r="C202" s="259" t="s">
        <v>83</v>
      </c>
      <c r="D202" s="275" t="s">
        <v>84</v>
      </c>
      <c r="E202" s="261">
        <v>12</v>
      </c>
      <c r="F202" s="261" t="s">
        <v>17</v>
      </c>
      <c r="G202" s="262"/>
      <c r="H202" s="262">
        <f>G202*E202</f>
        <v>0</v>
      </c>
    </row>
    <row r="203" spans="1:8" s="263" customFormat="1" x14ac:dyDescent="0.45">
      <c r="A203" s="258" t="s">
        <v>1670</v>
      </c>
      <c r="B203" s="261">
        <v>1502000</v>
      </c>
      <c r="C203" s="261" t="s">
        <v>273</v>
      </c>
      <c r="D203" s="276" t="s">
        <v>274</v>
      </c>
      <c r="E203" s="261">
        <v>12</v>
      </c>
      <c r="F203" s="261" t="s">
        <v>17</v>
      </c>
      <c r="G203" s="262"/>
      <c r="H203" s="262">
        <f>G203*E203</f>
        <v>0</v>
      </c>
    </row>
    <row r="204" spans="1:8" s="263" customFormat="1" x14ac:dyDescent="0.45">
      <c r="A204" s="258" t="s">
        <v>1671</v>
      </c>
      <c r="B204" s="261">
        <v>1502000</v>
      </c>
      <c r="C204" s="277" t="s">
        <v>276</v>
      </c>
      <c r="D204" s="276" t="s">
        <v>277</v>
      </c>
      <c r="E204" s="261">
        <v>12</v>
      </c>
      <c r="F204" s="261" t="s">
        <v>17</v>
      </c>
      <c r="G204" s="262"/>
      <c r="H204" s="262">
        <f>G204*E204</f>
        <v>0</v>
      </c>
    </row>
    <row r="205" spans="1:8" x14ac:dyDescent="0.45">
      <c r="A205" s="40"/>
      <c r="B205" s="41">
        <v>1503010</v>
      </c>
      <c r="C205" s="41"/>
      <c r="D205" s="42" t="s">
        <v>109</v>
      </c>
      <c r="E205" s="43"/>
      <c r="F205" s="44"/>
      <c r="G205" s="44"/>
      <c r="H205" s="45"/>
    </row>
    <row r="206" spans="1:8" x14ac:dyDescent="0.45">
      <c r="A206" s="257" t="s">
        <v>1665</v>
      </c>
      <c r="B206" s="33">
        <v>1503010</v>
      </c>
      <c r="C206" s="33">
        <v>3.1</v>
      </c>
      <c r="D206" s="36" t="s">
        <v>111</v>
      </c>
      <c r="E206" s="23">
        <v>12</v>
      </c>
      <c r="F206" s="23" t="s">
        <v>17</v>
      </c>
      <c r="G206" s="24"/>
      <c r="H206" s="24">
        <f>G206*E206</f>
        <v>0</v>
      </c>
    </row>
    <row r="207" spans="1:8" x14ac:dyDescent="0.45">
      <c r="A207" s="257" t="s">
        <v>1666</v>
      </c>
      <c r="B207" s="33">
        <v>1503010</v>
      </c>
      <c r="C207" s="33">
        <v>3.2</v>
      </c>
      <c r="D207" s="36" t="s">
        <v>278</v>
      </c>
      <c r="E207" s="23">
        <v>12</v>
      </c>
      <c r="F207" s="23" t="s">
        <v>17</v>
      </c>
      <c r="G207" s="24"/>
      <c r="H207" s="24">
        <f>G207*E207</f>
        <v>0</v>
      </c>
    </row>
    <row r="208" spans="1:8" x14ac:dyDescent="0.45">
      <c r="A208" s="287"/>
      <c r="B208" s="43">
        <v>1503020</v>
      </c>
      <c r="C208" s="41"/>
      <c r="D208" s="42" t="s">
        <v>114</v>
      </c>
      <c r="E208" s="43"/>
      <c r="F208" s="44"/>
      <c r="G208" s="44"/>
      <c r="H208" s="45"/>
    </row>
    <row r="209" spans="1:8" ht="13.45" customHeight="1" x14ac:dyDescent="0.45">
      <c r="A209" s="257" t="s">
        <v>1667</v>
      </c>
      <c r="B209" s="33">
        <v>1503020</v>
      </c>
      <c r="C209" s="33">
        <v>3.1</v>
      </c>
      <c r="D209" s="36" t="s">
        <v>116</v>
      </c>
      <c r="E209" s="23">
        <v>12</v>
      </c>
      <c r="F209" s="23" t="s">
        <v>17</v>
      </c>
      <c r="G209" s="24"/>
      <c r="H209" s="24">
        <f>G209*E209</f>
        <v>0</v>
      </c>
    </row>
    <row r="210" spans="1:8" ht="13.45" customHeight="1" x14ac:dyDescent="0.45">
      <c r="A210" s="257" t="s">
        <v>1668</v>
      </c>
      <c r="B210" s="33">
        <v>1503020</v>
      </c>
      <c r="C210" s="33">
        <v>3.3</v>
      </c>
      <c r="D210" s="36" t="s">
        <v>120</v>
      </c>
      <c r="E210" s="23">
        <v>12</v>
      </c>
      <c r="F210" s="23" t="s">
        <v>17</v>
      </c>
      <c r="G210" s="24"/>
      <c r="H210" s="24">
        <f>G210*E210</f>
        <v>0</v>
      </c>
    </row>
    <row r="211" spans="1:8" x14ac:dyDescent="0.45">
      <c r="A211" s="287"/>
      <c r="B211" s="43">
        <v>1503030</v>
      </c>
      <c r="C211" s="41"/>
      <c r="D211" s="42" t="s">
        <v>121</v>
      </c>
      <c r="E211" s="43"/>
      <c r="F211" s="44"/>
      <c r="G211" s="44"/>
      <c r="H211" s="45"/>
    </row>
    <row r="212" spans="1:8" x14ac:dyDescent="0.45">
      <c r="A212" s="257" t="s">
        <v>1669</v>
      </c>
      <c r="B212" s="33">
        <v>1503030</v>
      </c>
      <c r="C212" s="33" t="s">
        <v>123</v>
      </c>
      <c r="D212" s="36" t="s">
        <v>124</v>
      </c>
      <c r="E212" s="23">
        <v>12</v>
      </c>
      <c r="F212" s="23" t="s">
        <v>17</v>
      </c>
      <c r="G212" s="24"/>
      <c r="H212" s="24">
        <f>G212*E212</f>
        <v>0</v>
      </c>
    </row>
    <row r="213" spans="1:8" x14ac:dyDescent="0.45">
      <c r="A213" s="287"/>
      <c r="B213" s="41">
        <v>1503050</v>
      </c>
      <c r="C213" s="41"/>
      <c r="D213" s="42" t="s">
        <v>127</v>
      </c>
      <c r="E213" s="43"/>
      <c r="F213" s="44"/>
      <c r="G213" s="44"/>
      <c r="H213" s="45"/>
    </row>
    <row r="214" spans="1:8" x14ac:dyDescent="0.45">
      <c r="A214" s="257" t="s">
        <v>1670</v>
      </c>
      <c r="B214" s="33">
        <v>1503050</v>
      </c>
      <c r="C214" s="33">
        <v>3.1</v>
      </c>
      <c r="D214" s="46" t="s">
        <v>129</v>
      </c>
      <c r="E214" s="23">
        <v>12</v>
      </c>
      <c r="F214" s="23" t="s">
        <v>17</v>
      </c>
      <c r="G214" s="24"/>
      <c r="H214" s="24">
        <f>G214*E214</f>
        <v>0</v>
      </c>
    </row>
    <row r="215" spans="1:8" x14ac:dyDescent="0.45">
      <c r="A215" s="257" t="s">
        <v>1671</v>
      </c>
      <c r="B215" s="33">
        <v>1503050</v>
      </c>
      <c r="C215" s="33">
        <v>3.4</v>
      </c>
      <c r="D215" s="36" t="s">
        <v>135</v>
      </c>
      <c r="E215" s="23">
        <v>12</v>
      </c>
      <c r="F215" s="23" t="s">
        <v>17</v>
      </c>
      <c r="G215" s="24"/>
      <c r="H215" s="24">
        <f>G215*E215</f>
        <v>0</v>
      </c>
    </row>
    <row r="216" spans="1:8" x14ac:dyDescent="0.45">
      <c r="A216" s="58"/>
      <c r="B216" s="59"/>
      <c r="C216" s="59"/>
      <c r="D216" s="60" t="s">
        <v>279</v>
      </c>
      <c r="E216" s="59"/>
      <c r="F216" s="59"/>
      <c r="G216" s="59"/>
      <c r="H216" s="62">
        <f>SUM(H169:H215)</f>
        <v>0</v>
      </c>
    </row>
    <row r="217" spans="1:8" x14ac:dyDescent="0.45">
      <c r="A217" s="6"/>
      <c r="B217" s="107"/>
      <c r="C217" s="107"/>
      <c r="D217" s="108"/>
      <c r="E217" s="107"/>
      <c r="F217" s="109"/>
      <c r="G217" s="97"/>
      <c r="H217" s="110"/>
    </row>
    <row r="218" spans="1:8" x14ac:dyDescent="0.45">
      <c r="A218" s="12" t="s">
        <v>1672</v>
      </c>
      <c r="B218" s="13"/>
      <c r="C218" s="13"/>
      <c r="D218" s="111" t="s">
        <v>281</v>
      </c>
      <c r="E218" s="100"/>
      <c r="F218" s="101"/>
      <c r="G218" s="101"/>
      <c r="H218" s="102"/>
    </row>
    <row r="219" spans="1:8" x14ac:dyDescent="0.45">
      <c r="A219" s="103"/>
      <c r="B219" s="41">
        <v>1502000</v>
      </c>
      <c r="C219" s="43"/>
      <c r="D219" s="42" t="s">
        <v>18</v>
      </c>
      <c r="E219" s="43"/>
      <c r="F219" s="44"/>
      <c r="G219" s="44"/>
      <c r="H219" s="45"/>
    </row>
    <row r="220" spans="1:8" x14ac:dyDescent="0.45">
      <c r="A220" s="25"/>
      <c r="B220" s="26"/>
      <c r="C220" s="26">
        <v>3.1</v>
      </c>
      <c r="D220" s="27" t="s">
        <v>19</v>
      </c>
      <c r="E220" s="28"/>
      <c r="F220" s="28"/>
      <c r="G220" s="28"/>
      <c r="H220" s="28"/>
    </row>
    <row r="221" spans="1:8" x14ac:dyDescent="0.45">
      <c r="A221" s="22" t="s">
        <v>1673</v>
      </c>
      <c r="B221" s="23"/>
      <c r="C221" s="23" t="s">
        <v>24</v>
      </c>
      <c r="D221" s="29" t="s">
        <v>25</v>
      </c>
      <c r="E221" s="23">
        <v>12</v>
      </c>
      <c r="F221" s="23" t="s">
        <v>17</v>
      </c>
      <c r="G221" s="24"/>
      <c r="H221" s="24">
        <f>G221*E221</f>
        <v>0</v>
      </c>
    </row>
    <row r="222" spans="1:8" x14ac:dyDescent="0.45">
      <c r="A222" s="25"/>
      <c r="B222" s="26"/>
      <c r="C222" s="26">
        <v>3.1</v>
      </c>
      <c r="D222" s="27" t="s">
        <v>31</v>
      </c>
      <c r="E222" s="28"/>
      <c r="F222" s="28"/>
      <c r="G222" s="28"/>
      <c r="H222" s="28"/>
    </row>
    <row r="223" spans="1:8" x14ac:dyDescent="0.45">
      <c r="A223" s="22" t="s">
        <v>1674</v>
      </c>
      <c r="B223" s="105">
        <v>1502000</v>
      </c>
      <c r="C223" s="105" t="s">
        <v>36</v>
      </c>
      <c r="D223" s="112" t="s">
        <v>37</v>
      </c>
      <c r="E223" s="23">
        <v>12</v>
      </c>
      <c r="F223" s="23" t="s">
        <v>17</v>
      </c>
      <c r="G223" s="24"/>
      <c r="H223" s="24">
        <f>G223*E223</f>
        <v>0</v>
      </c>
    </row>
    <row r="224" spans="1:8" x14ac:dyDescent="0.45">
      <c r="A224" s="25"/>
      <c r="B224" s="26"/>
      <c r="C224" s="26">
        <v>3.4</v>
      </c>
      <c r="D224" s="27" t="s">
        <v>62</v>
      </c>
      <c r="E224" s="26"/>
      <c r="F224" s="26"/>
      <c r="G224" s="28"/>
      <c r="H224" s="104"/>
    </row>
    <row r="225" spans="1:8" x14ac:dyDescent="0.45">
      <c r="A225" s="22" t="s">
        <v>1675</v>
      </c>
      <c r="B225" s="23">
        <v>1502000</v>
      </c>
      <c r="C225" s="23" t="s">
        <v>67</v>
      </c>
      <c r="D225" s="35" t="s">
        <v>68</v>
      </c>
      <c r="E225" s="23">
        <v>12</v>
      </c>
      <c r="F225" s="23" t="s">
        <v>17</v>
      </c>
      <c r="G225" s="24"/>
      <c r="H225" s="24">
        <f>G225*E225</f>
        <v>0</v>
      </c>
    </row>
    <row r="226" spans="1:8" x14ac:dyDescent="0.45">
      <c r="A226" s="25"/>
      <c r="B226" s="26"/>
      <c r="C226" s="26">
        <v>3.5</v>
      </c>
      <c r="D226" s="27" t="s">
        <v>72</v>
      </c>
      <c r="E226" s="28"/>
      <c r="F226" s="28"/>
      <c r="G226" s="28"/>
      <c r="H226" s="28"/>
    </row>
    <row r="227" spans="1:8" x14ac:dyDescent="0.45">
      <c r="A227" s="22" t="s">
        <v>1676</v>
      </c>
      <c r="B227" s="23">
        <v>1502000</v>
      </c>
      <c r="C227" s="23" t="s">
        <v>74</v>
      </c>
      <c r="D227" s="32" t="s">
        <v>37</v>
      </c>
      <c r="E227" s="23">
        <v>12</v>
      </c>
      <c r="F227" s="23" t="s">
        <v>17</v>
      </c>
      <c r="G227" s="24"/>
      <c r="H227" s="24">
        <f>G227*E227</f>
        <v>0</v>
      </c>
    </row>
    <row r="228" spans="1:8" s="263" customFormat="1" x14ac:dyDescent="0.45">
      <c r="A228" s="265"/>
      <c r="B228" s="266"/>
      <c r="C228" s="266">
        <v>3.6</v>
      </c>
      <c r="D228" s="267" t="s">
        <v>75</v>
      </c>
      <c r="E228" s="266"/>
      <c r="F228" s="266"/>
      <c r="G228" s="268"/>
      <c r="H228" s="273"/>
    </row>
    <row r="229" spans="1:8" s="263" customFormat="1" x14ac:dyDescent="0.45">
      <c r="A229" s="258" t="s">
        <v>1677</v>
      </c>
      <c r="B229" s="261">
        <v>1502000</v>
      </c>
      <c r="C229" s="259" t="s">
        <v>101</v>
      </c>
      <c r="D229" s="275" t="s">
        <v>102</v>
      </c>
      <c r="E229" s="261">
        <v>12</v>
      </c>
      <c r="F229" s="261" t="s">
        <v>17</v>
      </c>
      <c r="G229" s="262"/>
      <c r="H229" s="262">
        <f>G229*E229</f>
        <v>0</v>
      </c>
    </row>
    <row r="230" spans="1:8" x14ac:dyDescent="0.45">
      <c r="A230" s="40"/>
      <c r="B230" s="43">
        <v>1503020</v>
      </c>
      <c r="C230" s="41"/>
      <c r="D230" s="42" t="s">
        <v>114</v>
      </c>
      <c r="E230" s="43"/>
      <c r="F230" s="44"/>
      <c r="G230" s="44"/>
      <c r="H230" s="45"/>
    </row>
    <row r="231" spans="1:8" ht="13.45" customHeight="1" x14ac:dyDescent="0.45">
      <c r="A231" s="22" t="s">
        <v>5117</v>
      </c>
      <c r="B231" s="33">
        <v>1503020</v>
      </c>
      <c r="C231" s="33">
        <v>3.1</v>
      </c>
      <c r="D231" s="36" t="s">
        <v>116</v>
      </c>
      <c r="E231" s="23">
        <v>12</v>
      </c>
      <c r="F231" s="23" t="s">
        <v>17</v>
      </c>
      <c r="G231" s="24"/>
      <c r="H231" s="24">
        <f>G231*E231</f>
        <v>0</v>
      </c>
    </row>
    <row r="232" spans="1:8" ht="13.45" customHeight="1" x14ac:dyDescent="0.45">
      <c r="A232" s="22" t="s">
        <v>5118</v>
      </c>
      <c r="B232" s="33">
        <v>1503020</v>
      </c>
      <c r="C232" s="33">
        <v>3.2</v>
      </c>
      <c r="D232" s="36" t="s">
        <v>118</v>
      </c>
      <c r="E232" s="23">
        <v>12</v>
      </c>
      <c r="F232" s="23" t="s">
        <v>17</v>
      </c>
      <c r="G232" s="24"/>
      <c r="H232" s="24">
        <f>G232*E232</f>
        <v>0</v>
      </c>
    </row>
    <row r="233" spans="1:8" x14ac:dyDescent="0.45">
      <c r="A233" s="22" t="s">
        <v>5119</v>
      </c>
      <c r="B233" s="33">
        <v>1503020</v>
      </c>
      <c r="C233" s="33">
        <v>3.3</v>
      </c>
      <c r="D233" s="36" t="s">
        <v>120</v>
      </c>
      <c r="E233" s="23">
        <v>12</v>
      </c>
      <c r="F233" s="23" t="s">
        <v>17</v>
      </c>
      <c r="G233" s="24"/>
      <c r="H233" s="24">
        <f>G233*E233</f>
        <v>0</v>
      </c>
    </row>
    <row r="234" spans="1:8" x14ac:dyDescent="0.45">
      <c r="A234" s="40"/>
      <c r="B234" s="43">
        <v>1503030</v>
      </c>
      <c r="C234" s="41"/>
      <c r="D234" s="42" t="s">
        <v>121</v>
      </c>
      <c r="E234" s="43"/>
      <c r="F234" s="44"/>
      <c r="G234" s="44"/>
      <c r="H234" s="45"/>
    </row>
    <row r="235" spans="1:8" x14ac:dyDescent="0.45">
      <c r="A235" s="22" t="s">
        <v>5120</v>
      </c>
      <c r="B235" s="33">
        <v>1503030</v>
      </c>
      <c r="C235" s="33" t="s">
        <v>123</v>
      </c>
      <c r="D235" s="36" t="s">
        <v>124</v>
      </c>
      <c r="E235" s="23">
        <v>12</v>
      </c>
      <c r="F235" s="23" t="s">
        <v>17</v>
      </c>
      <c r="G235" s="24"/>
      <c r="H235" s="24">
        <f>G235*E235</f>
        <v>0</v>
      </c>
    </row>
    <row r="236" spans="1:8" x14ac:dyDescent="0.45">
      <c r="A236" s="58"/>
      <c r="B236" s="59"/>
      <c r="C236" s="59"/>
      <c r="D236" s="60" t="s">
        <v>287</v>
      </c>
      <c r="E236" s="59"/>
      <c r="F236" s="59"/>
      <c r="G236" s="59"/>
      <c r="H236" s="62">
        <f>SUM(H221:H235)</f>
        <v>0</v>
      </c>
    </row>
    <row r="237" spans="1:8" x14ac:dyDescent="0.45">
      <c r="A237" s="96"/>
      <c r="B237" s="97"/>
      <c r="C237" s="97"/>
      <c r="D237" s="98"/>
      <c r="E237" s="97"/>
      <c r="F237" s="97"/>
      <c r="G237" s="97"/>
      <c r="H237" s="99"/>
    </row>
    <row r="238" spans="1:8" x14ac:dyDescent="0.45">
      <c r="A238" s="12" t="s">
        <v>1678</v>
      </c>
      <c r="B238" s="13"/>
      <c r="C238" s="13"/>
      <c r="D238" s="12" t="s">
        <v>289</v>
      </c>
      <c r="E238" s="100"/>
      <c r="F238" s="101"/>
      <c r="G238" s="101"/>
      <c r="H238" s="102"/>
    </row>
    <row r="239" spans="1:8" x14ac:dyDescent="0.45">
      <c r="A239" s="103"/>
      <c r="B239" s="41">
        <v>1502000</v>
      </c>
      <c r="C239" s="43"/>
      <c r="D239" s="42" t="s">
        <v>18</v>
      </c>
      <c r="E239" s="43"/>
      <c r="F239" s="44"/>
      <c r="G239" s="44"/>
      <c r="H239" s="45"/>
    </row>
    <row r="240" spans="1:8" x14ac:dyDescent="0.45">
      <c r="A240" s="25"/>
      <c r="B240" s="26"/>
      <c r="C240" s="26">
        <v>3.4</v>
      </c>
      <c r="D240" s="27" t="s">
        <v>62</v>
      </c>
      <c r="E240" s="26"/>
      <c r="F240" s="26"/>
      <c r="G240" s="28"/>
      <c r="H240" s="104"/>
    </row>
    <row r="241" spans="1:8" x14ac:dyDescent="0.45">
      <c r="A241" s="22" t="s">
        <v>1679</v>
      </c>
      <c r="B241" s="23">
        <v>1502000</v>
      </c>
      <c r="C241" s="23" t="s">
        <v>67</v>
      </c>
      <c r="D241" s="35" t="s">
        <v>68</v>
      </c>
      <c r="E241" s="23">
        <v>12</v>
      </c>
      <c r="F241" s="23" t="s">
        <v>17</v>
      </c>
      <c r="G241" s="24"/>
      <c r="H241" s="24">
        <f>G241*E241</f>
        <v>0</v>
      </c>
    </row>
    <row r="242" spans="1:8" x14ac:dyDescent="0.45">
      <c r="A242" s="58"/>
      <c r="B242" s="59"/>
      <c r="C242" s="59"/>
      <c r="D242" s="60" t="s">
        <v>291</v>
      </c>
      <c r="E242" s="59"/>
      <c r="F242" s="59"/>
      <c r="G242" s="59"/>
      <c r="H242" s="62">
        <f>SUM(H241)</f>
        <v>0</v>
      </c>
    </row>
    <row r="243" spans="1:8" x14ac:dyDescent="0.45">
      <c r="A243" s="96"/>
      <c r="B243" s="97"/>
      <c r="C243" s="97"/>
      <c r="D243" s="98"/>
      <c r="E243" s="97"/>
      <c r="F243" s="97"/>
      <c r="G243" s="97"/>
      <c r="H243" s="99"/>
    </row>
    <row r="244" spans="1:8" x14ac:dyDescent="0.45">
      <c r="A244" s="12" t="s">
        <v>1680</v>
      </c>
      <c r="B244" s="13"/>
      <c r="C244" s="13"/>
      <c r="D244" s="12" t="s">
        <v>293</v>
      </c>
      <c r="E244" s="100"/>
      <c r="F244" s="101"/>
      <c r="G244" s="101"/>
      <c r="H244" s="102"/>
    </row>
    <row r="245" spans="1:8" x14ac:dyDescent="0.45">
      <c r="A245" s="40"/>
      <c r="B245" s="43">
        <v>1503030</v>
      </c>
      <c r="C245" s="41"/>
      <c r="D245" s="42" t="s">
        <v>121</v>
      </c>
      <c r="E245" s="43"/>
      <c r="F245" s="44"/>
      <c r="G245" s="44"/>
      <c r="H245" s="45"/>
    </row>
    <row r="246" spans="1:8" x14ac:dyDescent="0.45">
      <c r="A246" s="22" t="s">
        <v>1681</v>
      </c>
      <c r="B246" s="33">
        <v>1503030</v>
      </c>
      <c r="C246" s="33" t="s">
        <v>123</v>
      </c>
      <c r="D246" s="36" t="s">
        <v>124</v>
      </c>
      <c r="E246" s="23">
        <v>12</v>
      </c>
      <c r="F246" s="23" t="s">
        <v>17</v>
      </c>
      <c r="G246" s="24"/>
      <c r="H246" s="24">
        <f>G246*E246</f>
        <v>0</v>
      </c>
    </row>
    <row r="247" spans="1:8" x14ac:dyDescent="0.45">
      <c r="A247" s="58"/>
      <c r="B247" s="59"/>
      <c r="C247" s="59"/>
      <c r="D247" s="60" t="s">
        <v>295</v>
      </c>
      <c r="E247" s="59"/>
      <c r="F247" s="59"/>
      <c r="G247" s="59"/>
      <c r="H247" s="62">
        <f>SUM(H246)</f>
        <v>0</v>
      </c>
    </row>
    <row r="248" spans="1:8" x14ac:dyDescent="0.45">
      <c r="A248" s="96"/>
      <c r="B248" s="97"/>
      <c r="C248" s="97"/>
      <c r="D248" s="98"/>
      <c r="E248" s="97"/>
      <c r="F248" s="97"/>
      <c r="G248" s="97"/>
      <c r="H248" s="99"/>
    </row>
    <row r="249" spans="1:8" x14ac:dyDescent="0.45">
      <c r="A249" s="12" t="s">
        <v>1682</v>
      </c>
      <c r="B249" s="13"/>
      <c r="C249" s="13"/>
      <c r="D249" s="12" t="s">
        <v>297</v>
      </c>
      <c r="E249" s="100"/>
      <c r="F249" s="101"/>
      <c r="G249" s="101"/>
      <c r="H249" s="102"/>
    </row>
    <row r="250" spans="1:8" x14ac:dyDescent="0.45">
      <c r="A250" s="103"/>
      <c r="B250" s="41">
        <v>1502000</v>
      </c>
      <c r="C250" s="43"/>
      <c r="D250" s="42" t="s">
        <v>18</v>
      </c>
      <c r="E250" s="43"/>
      <c r="F250" s="44"/>
      <c r="G250" s="44"/>
      <c r="H250" s="45"/>
    </row>
    <row r="251" spans="1:8" x14ac:dyDescent="0.45">
      <c r="A251" s="27"/>
      <c r="B251" s="26"/>
      <c r="C251" s="26">
        <v>3.1</v>
      </c>
      <c r="D251" s="27" t="s">
        <v>19</v>
      </c>
      <c r="E251" s="26"/>
      <c r="F251" s="26"/>
      <c r="G251" s="26"/>
      <c r="H251" s="104"/>
    </row>
    <row r="252" spans="1:8" x14ac:dyDescent="0.45">
      <c r="A252" s="22" t="s">
        <v>1683</v>
      </c>
      <c r="B252" s="23">
        <v>1502000</v>
      </c>
      <c r="C252" s="23" t="s">
        <v>21</v>
      </c>
      <c r="D252" s="29" t="s">
        <v>22</v>
      </c>
      <c r="E252" s="23">
        <v>12</v>
      </c>
      <c r="F252" s="23" t="s">
        <v>17</v>
      </c>
      <c r="G252" s="24"/>
      <c r="H252" s="24">
        <f>G252*E252</f>
        <v>0</v>
      </c>
    </row>
    <row r="253" spans="1:8" x14ac:dyDescent="0.45">
      <c r="A253" s="22" t="s">
        <v>1684</v>
      </c>
      <c r="B253" s="23">
        <v>1502000</v>
      </c>
      <c r="C253" s="23" t="s">
        <v>24</v>
      </c>
      <c r="D253" s="29" t="s">
        <v>25</v>
      </c>
      <c r="E253" s="23">
        <v>12</v>
      </c>
      <c r="F253" s="23" t="s">
        <v>17</v>
      </c>
      <c r="G253" s="24"/>
      <c r="H253" s="24">
        <f>G253*E253</f>
        <v>0</v>
      </c>
    </row>
    <row r="254" spans="1:8" x14ac:dyDescent="0.45">
      <c r="A254" s="22" t="s">
        <v>1685</v>
      </c>
      <c r="B254" s="23">
        <v>1502000</v>
      </c>
      <c r="C254" s="23" t="s">
        <v>27</v>
      </c>
      <c r="D254" s="29" t="s">
        <v>28</v>
      </c>
      <c r="E254" s="23">
        <v>12</v>
      </c>
      <c r="F254" s="23" t="s">
        <v>17</v>
      </c>
      <c r="G254" s="24"/>
      <c r="H254" s="24">
        <f>G254*E254</f>
        <v>0</v>
      </c>
    </row>
    <row r="255" spans="1:8" x14ac:dyDescent="0.45">
      <c r="A255" s="25"/>
      <c r="B255" s="26"/>
      <c r="C255" s="26">
        <v>3.1</v>
      </c>
      <c r="D255" s="27" t="s">
        <v>31</v>
      </c>
      <c r="E255" s="28"/>
      <c r="F255" s="28"/>
      <c r="G255" s="28"/>
      <c r="H255" s="28"/>
    </row>
    <row r="256" spans="1:8" x14ac:dyDescent="0.45">
      <c r="A256" s="22" t="s">
        <v>1686</v>
      </c>
      <c r="B256" s="23">
        <v>1502000</v>
      </c>
      <c r="C256" s="286" t="s">
        <v>5022</v>
      </c>
      <c r="D256" s="32" t="s">
        <v>37</v>
      </c>
      <c r="E256" s="23">
        <v>12</v>
      </c>
      <c r="F256" s="23" t="s">
        <v>17</v>
      </c>
      <c r="G256" s="24"/>
      <c r="H256" s="24">
        <f>G256*E256</f>
        <v>0</v>
      </c>
    </row>
    <row r="257" spans="1:8" x14ac:dyDescent="0.45">
      <c r="A257" s="22" t="s">
        <v>1687</v>
      </c>
      <c r="B257" s="23">
        <v>1502000</v>
      </c>
      <c r="C257" s="23" t="s">
        <v>45</v>
      </c>
      <c r="D257" s="30" t="s">
        <v>46</v>
      </c>
      <c r="E257" s="23">
        <v>12</v>
      </c>
      <c r="F257" s="23" t="s">
        <v>17</v>
      </c>
      <c r="G257" s="24"/>
      <c r="H257" s="24">
        <f>G257*E257</f>
        <v>0</v>
      </c>
    </row>
    <row r="258" spans="1:8" x14ac:dyDescent="0.45">
      <c r="A258" s="25"/>
      <c r="B258" s="26"/>
      <c r="C258" s="26">
        <v>3.4</v>
      </c>
      <c r="D258" s="27" t="s">
        <v>62</v>
      </c>
      <c r="E258" s="26"/>
      <c r="F258" s="26"/>
      <c r="G258" s="28"/>
      <c r="H258" s="104"/>
    </row>
    <row r="259" spans="1:8" x14ac:dyDescent="0.45">
      <c r="A259" s="22" t="s">
        <v>1688</v>
      </c>
      <c r="B259" s="23">
        <v>1502000</v>
      </c>
      <c r="C259" s="23" t="s">
        <v>67</v>
      </c>
      <c r="D259" s="35" t="s">
        <v>68</v>
      </c>
      <c r="E259" s="23">
        <v>12</v>
      </c>
      <c r="F259" s="23" t="s">
        <v>17</v>
      </c>
      <c r="G259" s="24"/>
      <c r="H259" s="24">
        <f>G259*E259</f>
        <v>0</v>
      </c>
    </row>
    <row r="260" spans="1:8" x14ac:dyDescent="0.45">
      <c r="A260" s="25"/>
      <c r="B260" s="26"/>
      <c r="C260" s="26">
        <v>3.5</v>
      </c>
      <c r="D260" s="27" t="s">
        <v>72</v>
      </c>
      <c r="E260" s="28"/>
      <c r="F260" s="28"/>
      <c r="G260" s="28"/>
      <c r="H260" s="28"/>
    </row>
    <row r="261" spans="1:8" x14ac:dyDescent="0.45">
      <c r="A261" s="22" t="s">
        <v>1689</v>
      </c>
      <c r="B261" s="23">
        <v>1502000</v>
      </c>
      <c r="C261" s="23" t="s">
        <v>74</v>
      </c>
      <c r="D261" s="32" t="s">
        <v>37</v>
      </c>
      <c r="E261" s="23">
        <v>12</v>
      </c>
      <c r="F261" s="23" t="s">
        <v>17</v>
      </c>
      <c r="G261" s="24"/>
      <c r="H261" s="24">
        <f>G261*E261</f>
        <v>0</v>
      </c>
    </row>
    <row r="262" spans="1:8" x14ac:dyDescent="0.45">
      <c r="A262" s="25"/>
      <c r="B262" s="26"/>
      <c r="C262" s="26">
        <v>3.6</v>
      </c>
      <c r="D262" s="27" t="s">
        <v>75</v>
      </c>
      <c r="E262" s="26"/>
      <c r="F262" s="26"/>
      <c r="G262" s="28"/>
      <c r="H262" s="104"/>
    </row>
    <row r="263" spans="1:8" x14ac:dyDescent="0.45">
      <c r="A263" s="22" t="s">
        <v>1690</v>
      </c>
      <c r="B263" s="23">
        <v>1502000</v>
      </c>
      <c r="C263" s="33" t="s">
        <v>86</v>
      </c>
      <c r="D263" s="39" t="s">
        <v>87</v>
      </c>
      <c r="E263" s="23">
        <v>12</v>
      </c>
      <c r="F263" s="23" t="s">
        <v>17</v>
      </c>
      <c r="G263" s="24"/>
      <c r="H263" s="24">
        <f>G263*E263</f>
        <v>0</v>
      </c>
    </row>
    <row r="264" spans="1:8" x14ac:dyDescent="0.45">
      <c r="A264" s="22" t="s">
        <v>1691</v>
      </c>
      <c r="B264" s="23">
        <v>1502000</v>
      </c>
      <c r="C264" s="33" t="s">
        <v>89</v>
      </c>
      <c r="D264" s="39" t="s">
        <v>90</v>
      </c>
      <c r="E264" s="23">
        <v>12</v>
      </c>
      <c r="F264" s="23" t="s">
        <v>17</v>
      </c>
      <c r="G264" s="24"/>
      <c r="H264" s="24">
        <f>G264*E264</f>
        <v>0</v>
      </c>
    </row>
    <row r="265" spans="1:8" x14ac:dyDescent="0.45">
      <c r="A265" s="22" t="s">
        <v>1692</v>
      </c>
      <c r="B265" s="23">
        <v>1502000</v>
      </c>
      <c r="C265" s="23" t="s">
        <v>308</v>
      </c>
      <c r="D265" s="106" t="s">
        <v>309</v>
      </c>
      <c r="E265" s="23">
        <v>12</v>
      </c>
      <c r="F265" s="23" t="s">
        <v>17</v>
      </c>
      <c r="G265" s="24"/>
      <c r="H265" s="24">
        <f>G265*E265</f>
        <v>0</v>
      </c>
    </row>
    <row r="266" spans="1:8" x14ac:dyDescent="0.45">
      <c r="A266" s="40"/>
      <c r="B266" s="43">
        <v>1503020</v>
      </c>
      <c r="C266" s="41"/>
      <c r="D266" s="42" t="s">
        <v>114</v>
      </c>
      <c r="E266" s="43"/>
      <c r="F266" s="44"/>
      <c r="G266" s="44"/>
      <c r="H266" s="45"/>
    </row>
    <row r="267" spans="1:8" x14ac:dyDescent="0.45">
      <c r="A267" s="22" t="s">
        <v>1693</v>
      </c>
      <c r="B267" s="33">
        <v>1503020</v>
      </c>
      <c r="C267" s="33">
        <v>3.1</v>
      </c>
      <c r="D267" s="36" t="s">
        <v>116</v>
      </c>
      <c r="E267" s="23">
        <v>12</v>
      </c>
      <c r="F267" s="23" t="s">
        <v>17</v>
      </c>
      <c r="G267" s="24"/>
      <c r="H267" s="24">
        <f>G267*E267</f>
        <v>0</v>
      </c>
    </row>
    <row r="268" spans="1:8" x14ac:dyDescent="0.45">
      <c r="A268" s="22" t="s">
        <v>1694</v>
      </c>
      <c r="B268" s="33">
        <v>1503020</v>
      </c>
      <c r="C268" s="33">
        <v>3.2</v>
      </c>
      <c r="D268" s="36" t="s">
        <v>118</v>
      </c>
      <c r="E268" s="23">
        <v>12</v>
      </c>
      <c r="F268" s="23" t="s">
        <v>17</v>
      </c>
      <c r="G268" s="24"/>
      <c r="H268" s="24">
        <f>G268*E268</f>
        <v>0</v>
      </c>
    </row>
    <row r="269" spans="1:8" x14ac:dyDescent="0.45">
      <c r="A269" s="22" t="s">
        <v>1695</v>
      </c>
      <c r="B269" s="33">
        <v>1503020</v>
      </c>
      <c r="C269" s="33">
        <v>3.3</v>
      </c>
      <c r="D269" s="36" t="s">
        <v>120</v>
      </c>
      <c r="E269" s="23">
        <v>12</v>
      </c>
      <c r="F269" s="23" t="s">
        <v>17</v>
      </c>
      <c r="G269" s="24"/>
      <c r="H269" s="24">
        <f>G269*E269</f>
        <v>0</v>
      </c>
    </row>
    <row r="270" spans="1:8" x14ac:dyDescent="0.45">
      <c r="A270" s="40"/>
      <c r="B270" s="43">
        <v>1503030</v>
      </c>
      <c r="C270" s="41"/>
      <c r="D270" s="42" t="s">
        <v>121</v>
      </c>
      <c r="E270" s="43"/>
      <c r="F270" s="44"/>
      <c r="G270" s="44"/>
      <c r="H270" s="45"/>
    </row>
    <row r="271" spans="1:8" x14ac:dyDescent="0.45">
      <c r="A271" s="22" t="s">
        <v>1696</v>
      </c>
      <c r="B271" s="33">
        <v>1503030</v>
      </c>
      <c r="C271" s="33" t="s">
        <v>123</v>
      </c>
      <c r="D271" s="36" t="s">
        <v>124</v>
      </c>
      <c r="E271" s="23">
        <v>12</v>
      </c>
      <c r="F271" s="23" t="s">
        <v>17</v>
      </c>
      <c r="G271" s="24"/>
      <c r="H271" s="24">
        <f>G271*E271</f>
        <v>0</v>
      </c>
    </row>
    <row r="272" spans="1:8" x14ac:dyDescent="0.45">
      <c r="A272" s="58"/>
      <c r="B272" s="59"/>
      <c r="C272" s="59"/>
      <c r="D272" s="60" t="s">
        <v>314</v>
      </c>
      <c r="E272" s="59"/>
      <c r="F272" s="59"/>
      <c r="G272" s="59"/>
      <c r="H272" s="62">
        <f>SUM(H252:H271)</f>
        <v>0</v>
      </c>
    </row>
    <row r="273" spans="1:8" x14ac:dyDescent="0.45">
      <c r="A273" s="96"/>
      <c r="B273" s="97"/>
      <c r="C273" s="97"/>
      <c r="D273" s="98"/>
      <c r="E273" s="97"/>
      <c r="F273" s="97"/>
      <c r="G273" s="64"/>
      <c r="H273" s="99"/>
    </row>
    <row r="274" spans="1:8" x14ac:dyDescent="0.45">
      <c r="A274" s="12" t="s">
        <v>1697</v>
      </c>
      <c r="B274" s="13"/>
      <c r="C274" s="13"/>
      <c r="D274" s="12" t="s">
        <v>316</v>
      </c>
      <c r="E274" s="100"/>
      <c r="F274" s="101"/>
      <c r="G274" s="91"/>
      <c r="H274" s="102"/>
    </row>
    <row r="275" spans="1:8" x14ac:dyDescent="0.45">
      <c r="A275" s="40"/>
      <c r="B275" s="41">
        <v>1503010</v>
      </c>
      <c r="C275" s="41"/>
      <c r="D275" s="42" t="s">
        <v>109</v>
      </c>
      <c r="E275" s="43"/>
      <c r="F275" s="44"/>
      <c r="G275" s="44"/>
      <c r="H275" s="45"/>
    </row>
    <row r="276" spans="1:8" x14ac:dyDescent="0.45">
      <c r="A276" s="22" t="s">
        <v>1698</v>
      </c>
      <c r="B276" s="33">
        <v>1503010</v>
      </c>
      <c r="C276" s="33">
        <v>3.1</v>
      </c>
      <c r="D276" s="36" t="s">
        <v>111</v>
      </c>
      <c r="E276" s="23">
        <v>12</v>
      </c>
      <c r="F276" s="23" t="s">
        <v>17</v>
      </c>
      <c r="G276" s="24"/>
      <c r="H276" s="24">
        <f>G276*E276</f>
        <v>0</v>
      </c>
    </row>
    <row r="277" spans="1:8" x14ac:dyDescent="0.45">
      <c r="A277" s="40"/>
      <c r="B277" s="43">
        <v>1503020</v>
      </c>
      <c r="C277" s="41"/>
      <c r="D277" s="42" t="s">
        <v>114</v>
      </c>
      <c r="E277" s="43"/>
      <c r="F277" s="44"/>
      <c r="G277" s="44"/>
      <c r="H277" s="45"/>
    </row>
    <row r="278" spans="1:8" ht="13.45" customHeight="1" x14ac:dyDescent="0.45">
      <c r="A278" s="22" t="s">
        <v>1699</v>
      </c>
      <c r="B278" s="33">
        <v>1503020</v>
      </c>
      <c r="C278" s="33">
        <v>3.1</v>
      </c>
      <c r="D278" s="36" t="s">
        <v>116</v>
      </c>
      <c r="E278" s="23">
        <v>12</v>
      </c>
      <c r="F278" s="23" t="s">
        <v>17</v>
      </c>
      <c r="G278" s="24"/>
      <c r="H278" s="24">
        <f>G278*E278</f>
        <v>0</v>
      </c>
    </row>
    <row r="279" spans="1:8" ht="13.45" customHeight="1" x14ac:dyDescent="0.45">
      <c r="A279" s="22" t="s">
        <v>1700</v>
      </c>
      <c r="B279" s="33">
        <v>1503020</v>
      </c>
      <c r="C279" s="33">
        <v>3.2</v>
      </c>
      <c r="D279" s="36" t="s">
        <v>118</v>
      </c>
      <c r="E279" s="23">
        <v>12</v>
      </c>
      <c r="F279" s="23" t="s">
        <v>17</v>
      </c>
      <c r="G279" s="24"/>
      <c r="H279" s="24">
        <f>G279*E279</f>
        <v>0</v>
      </c>
    </row>
    <row r="280" spans="1:8" x14ac:dyDescent="0.45">
      <c r="A280" s="22" t="s">
        <v>1701</v>
      </c>
      <c r="B280" s="33">
        <v>1503020</v>
      </c>
      <c r="C280" s="33">
        <v>3.3</v>
      </c>
      <c r="D280" s="36" t="s">
        <v>120</v>
      </c>
      <c r="E280" s="23">
        <v>12</v>
      </c>
      <c r="F280" s="23" t="s">
        <v>17</v>
      </c>
      <c r="G280" s="24"/>
      <c r="H280" s="24">
        <f>G280*E280</f>
        <v>0</v>
      </c>
    </row>
    <row r="281" spans="1:8" x14ac:dyDescent="0.45">
      <c r="A281" s="58"/>
      <c r="B281" s="59"/>
      <c r="C281" s="59"/>
      <c r="D281" s="60" t="s">
        <v>321</v>
      </c>
      <c r="E281" s="59"/>
      <c r="F281" s="59"/>
      <c r="G281" s="59"/>
      <c r="H281" s="62">
        <f>SUM(H276:H280)</f>
        <v>0</v>
      </c>
    </row>
    <row r="282" spans="1:8" x14ac:dyDescent="0.45">
      <c r="A282" s="96"/>
      <c r="B282" s="97"/>
      <c r="C282" s="97"/>
      <c r="D282" s="98"/>
      <c r="E282" s="97"/>
      <c r="F282" s="97"/>
      <c r="G282" s="97"/>
      <c r="H282" s="99"/>
    </row>
    <row r="283" spans="1:8" x14ac:dyDescent="0.45">
      <c r="A283" s="12" t="s">
        <v>1702</v>
      </c>
      <c r="B283" s="13"/>
      <c r="C283" s="13"/>
      <c r="D283" s="12" t="s">
        <v>323</v>
      </c>
      <c r="E283" s="13"/>
      <c r="F283" s="13"/>
      <c r="G283" s="101"/>
      <c r="H283" s="102"/>
    </row>
    <row r="284" spans="1:8" x14ac:dyDescent="0.45">
      <c r="A284" s="103"/>
      <c r="B284" s="41">
        <v>1502000</v>
      </c>
      <c r="C284" s="43"/>
      <c r="D284" s="42" t="s">
        <v>18</v>
      </c>
      <c r="E284" s="43"/>
      <c r="F284" s="44"/>
      <c r="G284" s="44"/>
      <c r="H284" s="45"/>
    </row>
    <row r="285" spans="1:8" x14ac:dyDescent="0.45">
      <c r="A285" s="27"/>
      <c r="B285" s="26"/>
      <c r="C285" s="26">
        <v>3.1</v>
      </c>
      <c r="D285" s="27" t="s">
        <v>19</v>
      </c>
      <c r="E285" s="26"/>
      <c r="F285" s="26"/>
      <c r="G285" s="26"/>
      <c r="H285" s="104"/>
    </row>
    <row r="286" spans="1:8" x14ac:dyDescent="0.45">
      <c r="A286" s="22" t="s">
        <v>1703</v>
      </c>
      <c r="B286" s="23">
        <v>1502000</v>
      </c>
      <c r="C286" s="23" t="s">
        <v>21</v>
      </c>
      <c r="D286" s="29" t="s">
        <v>22</v>
      </c>
      <c r="E286" s="23">
        <v>12</v>
      </c>
      <c r="F286" s="23" t="s">
        <v>17</v>
      </c>
      <c r="G286" s="24"/>
      <c r="H286" s="24">
        <f>G286*E286</f>
        <v>0</v>
      </c>
    </row>
    <row r="287" spans="1:8" x14ac:dyDescent="0.45">
      <c r="A287" s="22" t="s">
        <v>1704</v>
      </c>
      <c r="B287" s="23">
        <v>1502000</v>
      </c>
      <c r="C287" s="23" t="s">
        <v>24</v>
      </c>
      <c r="D287" s="29" t="s">
        <v>25</v>
      </c>
      <c r="E287" s="23">
        <v>12</v>
      </c>
      <c r="F287" s="23" t="s">
        <v>17</v>
      </c>
      <c r="G287" s="24"/>
      <c r="H287" s="24">
        <f>G287*E287</f>
        <v>0</v>
      </c>
    </row>
    <row r="288" spans="1:8" x14ac:dyDescent="0.45">
      <c r="A288" s="22" t="s">
        <v>1705</v>
      </c>
      <c r="B288" s="23">
        <v>1502000</v>
      </c>
      <c r="C288" s="23" t="s">
        <v>27</v>
      </c>
      <c r="D288" s="29" t="s">
        <v>28</v>
      </c>
      <c r="E288" s="23">
        <v>12</v>
      </c>
      <c r="F288" s="23" t="s">
        <v>17</v>
      </c>
      <c r="G288" s="24"/>
      <c r="H288" s="24">
        <f>G288*E288</f>
        <v>0</v>
      </c>
    </row>
    <row r="289" spans="1:8" x14ac:dyDescent="0.45">
      <c r="A289" s="25"/>
      <c r="B289" s="26"/>
      <c r="C289" s="26">
        <v>3.1</v>
      </c>
      <c r="D289" s="27" t="s">
        <v>31</v>
      </c>
      <c r="E289" s="28"/>
      <c r="F289" s="28"/>
      <c r="G289" s="28"/>
      <c r="H289" s="28"/>
    </row>
    <row r="290" spans="1:8" x14ac:dyDescent="0.45">
      <c r="A290" s="22" t="s">
        <v>1706</v>
      </c>
      <c r="B290" s="23">
        <v>1502000</v>
      </c>
      <c r="C290" s="23" t="s">
        <v>33</v>
      </c>
      <c r="D290" s="30" t="s">
        <v>34</v>
      </c>
      <c r="E290" s="23">
        <v>12</v>
      </c>
      <c r="F290" s="23" t="s">
        <v>17</v>
      </c>
      <c r="G290" s="24"/>
      <c r="H290" s="24">
        <f t="shared" ref="H290:H295" si="3">G290*E290</f>
        <v>0</v>
      </c>
    </row>
    <row r="291" spans="1:8" s="389" customFormat="1" x14ac:dyDescent="0.45">
      <c r="A291" s="22" t="s">
        <v>1707</v>
      </c>
      <c r="B291" s="23">
        <v>1502000</v>
      </c>
      <c r="C291" s="23" t="s">
        <v>5016</v>
      </c>
      <c r="D291" s="30" t="s">
        <v>46</v>
      </c>
      <c r="E291" s="23">
        <v>12</v>
      </c>
      <c r="F291" s="23" t="s">
        <v>17</v>
      </c>
      <c r="G291" s="24"/>
      <c r="H291" s="24">
        <f t="shared" si="3"/>
        <v>0</v>
      </c>
    </row>
    <row r="292" spans="1:8" s="263" customFormat="1" x14ac:dyDescent="0.45">
      <c r="A292" s="258" t="s">
        <v>1708</v>
      </c>
      <c r="B292" s="261">
        <v>1502000</v>
      </c>
      <c r="C292" s="261" t="s">
        <v>5017</v>
      </c>
      <c r="D292" s="269" t="s">
        <v>55</v>
      </c>
      <c r="E292" s="261">
        <v>12</v>
      </c>
      <c r="F292" s="261" t="s">
        <v>17</v>
      </c>
      <c r="G292" s="262"/>
      <c r="H292" s="262">
        <f t="shared" si="3"/>
        <v>0</v>
      </c>
    </row>
    <row r="293" spans="1:8" s="389" customFormat="1" x14ac:dyDescent="0.45">
      <c r="A293" s="22" t="s">
        <v>5125</v>
      </c>
      <c r="B293" s="23">
        <v>1502000</v>
      </c>
      <c r="C293" s="113" t="s">
        <v>5018</v>
      </c>
      <c r="D293" s="114" t="s">
        <v>330</v>
      </c>
      <c r="E293" s="23">
        <v>12</v>
      </c>
      <c r="F293" s="23" t="s">
        <v>17</v>
      </c>
      <c r="G293" s="24"/>
      <c r="H293" s="24">
        <f t="shared" si="3"/>
        <v>0</v>
      </c>
    </row>
    <row r="294" spans="1:8" s="389" customFormat="1" x14ac:dyDescent="0.45">
      <c r="A294" s="22" t="s">
        <v>5126</v>
      </c>
      <c r="B294" s="23">
        <v>1502000</v>
      </c>
      <c r="C294" s="113" t="s">
        <v>5019</v>
      </c>
      <c r="D294" s="114" t="s">
        <v>331</v>
      </c>
      <c r="E294" s="23">
        <v>12</v>
      </c>
      <c r="F294" s="23" t="s">
        <v>17</v>
      </c>
      <c r="G294" s="24"/>
      <c r="H294" s="24">
        <f t="shared" si="3"/>
        <v>0</v>
      </c>
    </row>
    <row r="295" spans="1:8" s="389" customFormat="1" x14ac:dyDescent="0.45">
      <c r="A295" s="22" t="s">
        <v>5127</v>
      </c>
      <c r="B295" s="23">
        <v>1502000</v>
      </c>
      <c r="C295" s="113" t="s">
        <v>5020</v>
      </c>
      <c r="D295" s="114" t="s">
        <v>333</v>
      </c>
      <c r="E295" s="23">
        <v>12</v>
      </c>
      <c r="F295" s="23" t="s">
        <v>17</v>
      </c>
      <c r="G295" s="24"/>
      <c r="H295" s="24">
        <f t="shared" si="3"/>
        <v>0</v>
      </c>
    </row>
    <row r="296" spans="1:8" x14ac:dyDescent="0.45">
      <c r="A296" s="25"/>
      <c r="B296" s="26"/>
      <c r="C296" s="26">
        <v>3.4</v>
      </c>
      <c r="D296" s="27" t="s">
        <v>62</v>
      </c>
      <c r="E296" s="26"/>
      <c r="F296" s="26"/>
      <c r="G296" s="28"/>
      <c r="H296" s="104"/>
    </row>
    <row r="297" spans="1:8" x14ac:dyDescent="0.45">
      <c r="A297" s="22" t="s">
        <v>5128</v>
      </c>
      <c r="B297" s="23">
        <v>1502000</v>
      </c>
      <c r="C297" s="23" t="s">
        <v>67</v>
      </c>
      <c r="D297" s="35" t="s">
        <v>68</v>
      </c>
      <c r="E297" s="23">
        <v>12</v>
      </c>
      <c r="F297" s="23" t="s">
        <v>17</v>
      </c>
      <c r="G297" s="24"/>
      <c r="H297" s="24">
        <f>G297*E297</f>
        <v>0</v>
      </c>
    </row>
    <row r="298" spans="1:8" x14ac:dyDescent="0.45">
      <c r="A298" s="25"/>
      <c r="B298" s="26"/>
      <c r="C298" s="26">
        <v>3.6</v>
      </c>
      <c r="D298" s="27" t="s">
        <v>75</v>
      </c>
      <c r="E298" s="26"/>
      <c r="F298" s="26"/>
      <c r="G298" s="28"/>
      <c r="H298" s="104"/>
    </row>
    <row r="299" spans="1:8" x14ac:dyDescent="0.45">
      <c r="A299" s="22" t="s">
        <v>5129</v>
      </c>
      <c r="B299" s="23">
        <v>1502000</v>
      </c>
      <c r="C299" s="33" t="s">
        <v>89</v>
      </c>
      <c r="D299" s="39" t="s">
        <v>90</v>
      </c>
      <c r="E299" s="23">
        <v>12</v>
      </c>
      <c r="F299" s="23" t="s">
        <v>17</v>
      </c>
      <c r="G299" s="24"/>
      <c r="H299" s="24">
        <f>G299*E299</f>
        <v>0</v>
      </c>
    </row>
    <row r="300" spans="1:8" x14ac:dyDescent="0.45">
      <c r="A300" s="22" t="s">
        <v>5130</v>
      </c>
      <c r="B300" s="23">
        <v>1502000</v>
      </c>
      <c r="C300" s="33" t="s">
        <v>101</v>
      </c>
      <c r="D300" s="39" t="s">
        <v>102</v>
      </c>
      <c r="E300" s="23">
        <v>12</v>
      </c>
      <c r="F300" s="23" t="s">
        <v>17</v>
      </c>
      <c r="G300" s="24"/>
      <c r="H300" s="24">
        <f>G300*E300</f>
        <v>0</v>
      </c>
    </row>
    <row r="301" spans="1:8" x14ac:dyDescent="0.45">
      <c r="A301" s="40"/>
      <c r="B301" s="41">
        <v>1503010</v>
      </c>
      <c r="C301" s="41"/>
      <c r="D301" s="42" t="s">
        <v>109</v>
      </c>
      <c r="E301" s="43"/>
      <c r="F301" s="44"/>
      <c r="G301" s="44"/>
      <c r="H301" s="45"/>
    </row>
    <row r="302" spans="1:8" x14ac:dyDescent="0.45">
      <c r="A302" s="22" t="s">
        <v>5131</v>
      </c>
      <c r="B302" s="33">
        <v>1503010</v>
      </c>
      <c r="C302" s="33">
        <v>3.1</v>
      </c>
      <c r="D302" s="36" t="s">
        <v>111</v>
      </c>
      <c r="E302" s="23">
        <v>12</v>
      </c>
      <c r="F302" s="115" t="s">
        <v>17</v>
      </c>
      <c r="G302" s="24"/>
      <c r="H302" s="24">
        <f>G302*E302</f>
        <v>0</v>
      </c>
    </row>
    <row r="303" spans="1:8" x14ac:dyDescent="0.45">
      <c r="A303" s="58"/>
      <c r="B303" s="59"/>
      <c r="C303" s="59"/>
      <c r="D303" s="60" t="s">
        <v>334</v>
      </c>
      <c r="E303" s="59"/>
      <c r="F303" s="59"/>
      <c r="G303" s="59"/>
      <c r="H303" s="62">
        <f>SUM(H286:H302)</f>
        <v>0</v>
      </c>
    </row>
    <row r="304" spans="1:8" x14ac:dyDescent="0.45">
      <c r="A304" s="96"/>
      <c r="B304" s="97"/>
      <c r="C304" s="97"/>
      <c r="D304" s="116"/>
      <c r="E304" s="97"/>
      <c r="F304" s="97"/>
      <c r="G304" s="97"/>
      <c r="H304" s="99"/>
    </row>
    <row r="305" spans="1:8" x14ac:dyDescent="0.45">
      <c r="A305" s="12" t="s">
        <v>1709</v>
      </c>
      <c r="B305" s="13"/>
      <c r="C305" s="13"/>
      <c r="D305" s="247" t="s">
        <v>5009</v>
      </c>
      <c r="E305" s="13"/>
      <c r="F305" s="13"/>
      <c r="G305" s="13"/>
      <c r="H305" s="102"/>
    </row>
    <row r="306" spans="1:8" x14ac:dyDescent="0.45">
      <c r="A306" s="40"/>
      <c r="B306" s="41">
        <v>1401000</v>
      </c>
      <c r="C306" s="41"/>
      <c r="D306" s="42" t="s">
        <v>336</v>
      </c>
      <c r="E306" s="43"/>
      <c r="F306" s="44"/>
      <c r="G306" s="44"/>
      <c r="H306" s="45"/>
    </row>
    <row r="307" spans="1:8" x14ac:dyDescent="0.45">
      <c r="A307" s="22" t="s">
        <v>1710</v>
      </c>
      <c r="B307" s="23">
        <v>1401000</v>
      </c>
      <c r="C307" s="23">
        <v>3.1</v>
      </c>
      <c r="D307" s="27" t="s">
        <v>338</v>
      </c>
      <c r="E307" s="26"/>
      <c r="F307" s="26"/>
      <c r="G307" s="26"/>
      <c r="H307" s="104"/>
    </row>
    <row r="308" spans="1:8" x14ac:dyDescent="0.45">
      <c r="A308" s="22" t="s">
        <v>1711</v>
      </c>
      <c r="B308" s="117">
        <v>1401000</v>
      </c>
      <c r="C308" s="117" t="s">
        <v>340</v>
      </c>
      <c r="D308" s="106" t="s">
        <v>22</v>
      </c>
      <c r="E308" s="118">
        <v>12</v>
      </c>
      <c r="F308" s="118" t="s">
        <v>17</v>
      </c>
      <c r="G308" s="24"/>
      <c r="H308" s="24">
        <f>G308*E308</f>
        <v>0</v>
      </c>
    </row>
    <row r="309" spans="1:8" x14ac:dyDescent="0.45">
      <c r="A309" s="22" t="s">
        <v>1712</v>
      </c>
      <c r="B309" s="117">
        <v>1401000</v>
      </c>
      <c r="C309" s="117" t="s">
        <v>342</v>
      </c>
      <c r="D309" s="106" t="s">
        <v>25</v>
      </c>
      <c r="E309" s="118">
        <v>12</v>
      </c>
      <c r="F309" s="118" t="s">
        <v>17</v>
      </c>
      <c r="G309" s="24"/>
      <c r="H309" s="24">
        <f>G309*E309</f>
        <v>0</v>
      </c>
    </row>
    <row r="310" spans="1:8" x14ac:dyDescent="0.45">
      <c r="A310" s="22" t="s">
        <v>1713</v>
      </c>
      <c r="B310" s="117">
        <v>1401000</v>
      </c>
      <c r="C310" s="117" t="s">
        <v>344</v>
      </c>
      <c r="D310" s="106" t="s">
        <v>28</v>
      </c>
      <c r="E310" s="118">
        <v>12</v>
      </c>
      <c r="F310" s="118" t="s">
        <v>17</v>
      </c>
      <c r="G310" s="24"/>
      <c r="H310" s="24">
        <f>G310*E310</f>
        <v>0</v>
      </c>
    </row>
    <row r="311" spans="1:8" x14ac:dyDescent="0.45">
      <c r="A311" s="22" t="s">
        <v>1714</v>
      </c>
      <c r="B311" s="117">
        <v>1401000</v>
      </c>
      <c r="C311" s="117" t="s">
        <v>24</v>
      </c>
      <c r="D311" s="106" t="s">
        <v>346</v>
      </c>
      <c r="E311" s="118">
        <v>12</v>
      </c>
      <c r="F311" s="118" t="s">
        <v>17</v>
      </c>
      <c r="G311" s="24"/>
      <c r="H311" s="24">
        <f>G311*E311</f>
        <v>0</v>
      </c>
    </row>
    <row r="312" spans="1:8" x14ac:dyDescent="0.45">
      <c r="A312" s="103"/>
      <c r="B312" s="41">
        <v>1502000</v>
      </c>
      <c r="C312" s="43"/>
      <c r="D312" s="42" t="s">
        <v>18</v>
      </c>
      <c r="E312" s="43"/>
      <c r="F312" s="44"/>
      <c r="G312" s="44"/>
      <c r="H312" s="45"/>
    </row>
    <row r="313" spans="1:8" x14ac:dyDescent="0.45">
      <c r="A313" s="25"/>
      <c r="B313" s="26"/>
      <c r="C313" s="26">
        <v>3.1</v>
      </c>
      <c r="D313" s="27" t="s">
        <v>31</v>
      </c>
      <c r="E313" s="28"/>
      <c r="F313" s="28"/>
      <c r="G313" s="28"/>
      <c r="H313" s="28"/>
    </row>
    <row r="314" spans="1:8" x14ac:dyDescent="0.45">
      <c r="A314" s="22" t="s">
        <v>1715</v>
      </c>
      <c r="B314" s="33">
        <v>1502000</v>
      </c>
      <c r="C314" s="33" t="s">
        <v>60</v>
      </c>
      <c r="D314" s="30" t="s">
        <v>61</v>
      </c>
      <c r="E314" s="118">
        <v>12</v>
      </c>
      <c r="F314" s="118" t="s">
        <v>17</v>
      </c>
      <c r="G314" s="24"/>
      <c r="H314" s="24">
        <f>G314*E314</f>
        <v>0</v>
      </c>
    </row>
    <row r="315" spans="1:8" x14ac:dyDescent="0.45">
      <c r="A315" s="25"/>
      <c r="B315" s="26"/>
      <c r="C315" s="26">
        <v>3.4</v>
      </c>
      <c r="D315" s="27" t="s">
        <v>62</v>
      </c>
      <c r="E315" s="26"/>
      <c r="F315" s="26"/>
      <c r="G315" s="28"/>
      <c r="H315" s="104"/>
    </row>
    <row r="316" spans="1:8" x14ac:dyDescent="0.45">
      <c r="A316" s="22" t="s">
        <v>1716</v>
      </c>
      <c r="B316" s="23">
        <v>1502000</v>
      </c>
      <c r="C316" s="23" t="s">
        <v>64</v>
      </c>
      <c r="D316" s="35" t="s">
        <v>65</v>
      </c>
      <c r="E316" s="118">
        <v>12</v>
      </c>
      <c r="F316" s="118" t="s">
        <v>17</v>
      </c>
      <c r="G316" s="24"/>
      <c r="H316" s="24">
        <f>G316*E316</f>
        <v>0</v>
      </c>
    </row>
    <row r="317" spans="1:8" x14ac:dyDescent="0.45">
      <c r="A317" s="22" t="s">
        <v>1717</v>
      </c>
      <c r="B317" s="23">
        <v>1502000</v>
      </c>
      <c r="C317" s="33" t="s">
        <v>70</v>
      </c>
      <c r="D317" s="36" t="s">
        <v>71</v>
      </c>
      <c r="E317" s="118">
        <v>12</v>
      </c>
      <c r="F317" s="118" t="s">
        <v>17</v>
      </c>
      <c r="G317" s="24"/>
      <c r="H317" s="24">
        <f>G317*E317</f>
        <v>0</v>
      </c>
    </row>
    <row r="318" spans="1:8" x14ac:dyDescent="0.45">
      <c r="A318" s="25"/>
      <c r="B318" s="26"/>
      <c r="C318" s="26">
        <v>3.6</v>
      </c>
      <c r="D318" s="27" t="s">
        <v>75</v>
      </c>
      <c r="E318" s="26"/>
      <c r="F318" s="26"/>
      <c r="G318" s="28"/>
      <c r="H318" s="104"/>
    </row>
    <row r="319" spans="1:8" x14ac:dyDescent="0.45">
      <c r="A319" s="22" t="s">
        <v>1718</v>
      </c>
      <c r="B319" s="23">
        <v>1502000</v>
      </c>
      <c r="C319" s="23" t="s">
        <v>80</v>
      </c>
      <c r="D319" s="30" t="s">
        <v>81</v>
      </c>
      <c r="E319" s="118">
        <v>12</v>
      </c>
      <c r="F319" s="118" t="s">
        <v>17</v>
      </c>
      <c r="G319" s="24"/>
      <c r="H319" s="24">
        <f>G319*E319</f>
        <v>0</v>
      </c>
    </row>
    <row r="320" spans="1:8" x14ac:dyDescent="0.45">
      <c r="A320" s="22" t="s">
        <v>1719</v>
      </c>
      <c r="B320" s="23">
        <v>1502000</v>
      </c>
      <c r="C320" s="33" t="s">
        <v>86</v>
      </c>
      <c r="D320" s="39" t="s">
        <v>87</v>
      </c>
      <c r="E320" s="118">
        <v>12</v>
      </c>
      <c r="F320" s="118" t="s">
        <v>17</v>
      </c>
      <c r="G320" s="24"/>
      <c r="H320" s="24">
        <f>G320*E320</f>
        <v>0</v>
      </c>
    </row>
    <row r="321" spans="1:8" x14ac:dyDescent="0.45">
      <c r="A321" s="40"/>
      <c r="B321" s="41">
        <v>1503010</v>
      </c>
      <c r="C321" s="41"/>
      <c r="D321" s="42" t="s">
        <v>109</v>
      </c>
      <c r="E321" s="43"/>
      <c r="F321" s="44"/>
      <c r="G321" s="44"/>
      <c r="H321" s="45"/>
    </row>
    <row r="322" spans="1:8" x14ac:dyDescent="0.45">
      <c r="A322" s="22" t="s">
        <v>1720</v>
      </c>
      <c r="B322" s="33">
        <v>1503010</v>
      </c>
      <c r="C322" s="33">
        <v>3.1</v>
      </c>
      <c r="D322" s="36" t="s">
        <v>111</v>
      </c>
      <c r="E322" s="23">
        <v>12</v>
      </c>
      <c r="F322" s="23" t="s">
        <v>17</v>
      </c>
      <c r="G322" s="24"/>
      <c r="H322" s="24">
        <f>G322*E322</f>
        <v>0</v>
      </c>
    </row>
    <row r="323" spans="1:8" x14ac:dyDescent="0.45">
      <c r="A323" s="40"/>
      <c r="B323" s="43">
        <v>1503020</v>
      </c>
      <c r="C323" s="41"/>
      <c r="D323" s="42" t="s">
        <v>114</v>
      </c>
      <c r="E323" s="43"/>
      <c r="F323" s="44"/>
      <c r="G323" s="44"/>
      <c r="H323" s="45"/>
    </row>
    <row r="324" spans="1:8" s="254" customFormat="1" x14ac:dyDescent="0.45">
      <c r="A324" s="249" t="s">
        <v>1721</v>
      </c>
      <c r="B324" s="250">
        <v>1503020</v>
      </c>
      <c r="C324" s="250">
        <v>3.1</v>
      </c>
      <c r="D324" s="295" t="s">
        <v>116</v>
      </c>
      <c r="E324" s="252">
        <v>12</v>
      </c>
      <c r="F324" s="252" t="s">
        <v>17</v>
      </c>
      <c r="G324" s="253"/>
      <c r="H324" s="253">
        <f>G324*E324</f>
        <v>0</v>
      </c>
    </row>
    <row r="325" spans="1:8" s="254" customFormat="1" x14ac:dyDescent="0.45">
      <c r="A325" s="249" t="s">
        <v>1722</v>
      </c>
      <c r="B325" s="250">
        <v>1503020</v>
      </c>
      <c r="C325" s="250">
        <v>3.2</v>
      </c>
      <c r="D325" s="251" t="s">
        <v>118</v>
      </c>
      <c r="E325" s="252">
        <v>12</v>
      </c>
      <c r="F325" s="252" t="s">
        <v>17</v>
      </c>
      <c r="G325" s="253"/>
      <c r="H325" s="253">
        <f>G325*E325</f>
        <v>0</v>
      </c>
    </row>
    <row r="326" spans="1:8" s="300" customFormat="1" x14ac:dyDescent="0.45">
      <c r="A326" s="269" t="s">
        <v>1722</v>
      </c>
      <c r="B326" s="296">
        <v>1503020</v>
      </c>
      <c r="C326" s="296" t="s">
        <v>158</v>
      </c>
      <c r="D326" s="297" t="s">
        <v>5015</v>
      </c>
      <c r="E326" s="298">
        <v>12</v>
      </c>
      <c r="F326" s="298" t="s">
        <v>17</v>
      </c>
      <c r="G326" s="299"/>
      <c r="H326" s="299">
        <f>G326*E326</f>
        <v>0</v>
      </c>
    </row>
    <row r="327" spans="1:8" s="140" customFormat="1" x14ac:dyDescent="0.45">
      <c r="A327" s="249" t="s">
        <v>1723</v>
      </c>
      <c r="B327" s="52">
        <v>1503020</v>
      </c>
      <c r="C327" s="52">
        <v>3.3</v>
      </c>
      <c r="D327" s="36" t="s">
        <v>120</v>
      </c>
      <c r="E327" s="255">
        <v>12</v>
      </c>
      <c r="F327" s="255" t="s">
        <v>17</v>
      </c>
      <c r="G327" s="256"/>
      <c r="H327" s="256">
        <f>G327*E327</f>
        <v>0</v>
      </c>
    </row>
    <row r="328" spans="1:8" s="389" customFormat="1" x14ac:dyDescent="0.45">
      <c r="A328" s="40"/>
      <c r="B328" s="43">
        <v>1503030</v>
      </c>
      <c r="C328" s="41"/>
      <c r="D328" s="42" t="s">
        <v>121</v>
      </c>
      <c r="E328" s="43"/>
      <c r="F328" s="44"/>
      <c r="G328" s="44"/>
      <c r="H328" s="45"/>
    </row>
    <row r="329" spans="1:8" x14ac:dyDescent="0.45">
      <c r="A329" s="22" t="s">
        <v>5134</v>
      </c>
      <c r="B329" s="33">
        <v>1503030</v>
      </c>
      <c r="C329" s="33" t="s">
        <v>123</v>
      </c>
      <c r="D329" s="36" t="s">
        <v>124</v>
      </c>
      <c r="E329" s="23">
        <v>12</v>
      </c>
      <c r="F329" s="23" t="s">
        <v>17</v>
      </c>
      <c r="G329" s="24"/>
      <c r="H329" s="24">
        <f>G329*E329</f>
        <v>0</v>
      </c>
    </row>
    <row r="330" spans="1:8" x14ac:dyDescent="0.45">
      <c r="A330" s="40"/>
      <c r="B330" s="41">
        <v>1503050</v>
      </c>
      <c r="C330" s="41"/>
      <c r="D330" s="42" t="s">
        <v>127</v>
      </c>
      <c r="E330" s="43"/>
      <c r="F330" s="44"/>
      <c r="G330" s="44"/>
      <c r="H330" s="45"/>
    </row>
    <row r="331" spans="1:8" x14ac:dyDescent="0.45">
      <c r="A331" s="22" t="s">
        <v>5135</v>
      </c>
      <c r="B331" s="23">
        <v>1503050</v>
      </c>
      <c r="C331" s="23">
        <v>3.1</v>
      </c>
      <c r="D331" s="106" t="s">
        <v>129</v>
      </c>
      <c r="E331" s="23">
        <v>12</v>
      </c>
      <c r="F331" s="23" t="s">
        <v>17</v>
      </c>
      <c r="G331" s="24"/>
      <c r="H331" s="24">
        <f>G331*E331</f>
        <v>0</v>
      </c>
    </row>
    <row r="332" spans="1:8" s="389" customFormat="1" x14ac:dyDescent="0.45">
      <c r="A332" s="40"/>
      <c r="B332" s="41">
        <v>1503060</v>
      </c>
      <c r="C332" s="41"/>
      <c r="D332" s="42" t="s">
        <v>138</v>
      </c>
      <c r="E332" s="43"/>
      <c r="F332" s="44"/>
      <c r="G332" s="44"/>
      <c r="H332" s="45"/>
    </row>
    <row r="333" spans="1:8" s="389" customFormat="1" x14ac:dyDescent="0.45">
      <c r="A333" s="249" t="s">
        <v>5136</v>
      </c>
      <c r="B333" s="23">
        <v>1503060</v>
      </c>
      <c r="C333" s="286" t="s">
        <v>5013</v>
      </c>
      <c r="D333" s="180" t="s">
        <v>5012</v>
      </c>
      <c r="E333" s="23">
        <v>12</v>
      </c>
      <c r="F333" s="23" t="s">
        <v>17</v>
      </c>
      <c r="G333" s="24"/>
      <c r="H333" s="24">
        <f>G333*E333</f>
        <v>0</v>
      </c>
    </row>
    <row r="334" spans="1:8" x14ac:dyDescent="0.45">
      <c r="A334" s="58"/>
      <c r="B334" s="59"/>
      <c r="C334" s="59"/>
      <c r="D334" s="248" t="s">
        <v>5010</v>
      </c>
      <c r="E334" s="59"/>
      <c r="F334" s="59"/>
      <c r="G334" s="59"/>
      <c r="H334" s="62">
        <f>SUM(H308:H332)</f>
        <v>0</v>
      </c>
    </row>
    <row r="335" spans="1:8" x14ac:dyDescent="0.45">
      <c r="A335" s="121"/>
      <c r="B335" s="122"/>
      <c r="C335" s="122"/>
      <c r="D335" s="123"/>
      <c r="E335" s="122"/>
      <c r="F335" s="124"/>
      <c r="G335" s="64"/>
      <c r="H335" s="110"/>
    </row>
    <row r="336" spans="1:8" x14ac:dyDescent="0.45">
      <c r="A336" s="12" t="s">
        <v>1724</v>
      </c>
      <c r="B336" s="13"/>
      <c r="C336" s="13"/>
      <c r="D336" s="12" t="s">
        <v>360</v>
      </c>
      <c r="E336" s="100"/>
      <c r="F336" s="101"/>
      <c r="G336" s="91"/>
      <c r="H336" s="102"/>
    </row>
    <row r="337" spans="1:8" x14ac:dyDescent="0.45">
      <c r="A337" s="40"/>
      <c r="B337" s="41">
        <v>1402000</v>
      </c>
      <c r="C337" s="41">
        <v>3</v>
      </c>
      <c r="D337" s="42" t="s">
        <v>124</v>
      </c>
      <c r="E337" s="43"/>
      <c r="F337" s="44"/>
      <c r="G337" s="44"/>
      <c r="H337" s="45"/>
    </row>
    <row r="338" spans="1:8" x14ac:dyDescent="0.45">
      <c r="A338" s="22" t="s">
        <v>1725</v>
      </c>
      <c r="B338" s="23">
        <v>1402000</v>
      </c>
      <c r="C338" s="23">
        <v>3.1</v>
      </c>
      <c r="D338" s="106" t="s">
        <v>362</v>
      </c>
      <c r="E338" s="23">
        <v>12</v>
      </c>
      <c r="F338" s="23" t="s">
        <v>17</v>
      </c>
      <c r="G338" s="24"/>
      <c r="H338" s="24">
        <f>G338*E338</f>
        <v>0</v>
      </c>
    </row>
    <row r="339" spans="1:8" s="429" customFormat="1" x14ac:dyDescent="0.45">
      <c r="A339" s="258" t="s">
        <v>1726</v>
      </c>
      <c r="B339" s="261">
        <v>1402000</v>
      </c>
      <c r="C339" s="26">
        <v>3.2</v>
      </c>
      <c r="D339" s="27" t="s">
        <v>364</v>
      </c>
      <c r="E339" s="28"/>
      <c r="F339" s="28"/>
      <c r="G339" s="28"/>
      <c r="H339" s="28"/>
    </row>
    <row r="340" spans="1:8" s="293" customFormat="1" x14ac:dyDescent="0.45">
      <c r="A340" s="257" t="s">
        <v>1726</v>
      </c>
      <c r="B340" s="286">
        <v>1402000</v>
      </c>
      <c r="C340" s="286">
        <v>3.2</v>
      </c>
      <c r="D340" s="180" t="s">
        <v>5027</v>
      </c>
      <c r="E340" s="286">
        <v>150</v>
      </c>
      <c r="F340" s="286" t="s">
        <v>472</v>
      </c>
      <c r="G340" s="302"/>
      <c r="H340" s="302">
        <f t="shared" ref="H340:H343" si="4">G340*E340</f>
        <v>0</v>
      </c>
    </row>
    <row r="341" spans="1:8" s="389" customFormat="1" x14ac:dyDescent="0.45">
      <c r="A341" s="257" t="s">
        <v>1727</v>
      </c>
      <c r="B341" s="286">
        <v>1402000</v>
      </c>
      <c r="C341" s="286">
        <v>3.2</v>
      </c>
      <c r="D341" s="180" t="s">
        <v>5028</v>
      </c>
      <c r="E341" s="286">
        <v>200</v>
      </c>
      <c r="F341" s="286" t="s">
        <v>472</v>
      </c>
      <c r="G341" s="302"/>
      <c r="H341" s="302">
        <f t="shared" si="4"/>
        <v>0</v>
      </c>
    </row>
    <row r="342" spans="1:8" s="389" customFormat="1" x14ac:dyDescent="0.45">
      <c r="A342" s="257" t="s">
        <v>5137</v>
      </c>
      <c r="B342" s="286">
        <v>1402000</v>
      </c>
      <c r="C342" s="286">
        <v>3.2</v>
      </c>
      <c r="D342" s="180" t="s">
        <v>5029</v>
      </c>
      <c r="E342" s="286">
        <v>150</v>
      </c>
      <c r="F342" s="286" t="s">
        <v>472</v>
      </c>
      <c r="G342" s="302"/>
      <c r="H342" s="302">
        <f t="shared" si="4"/>
        <v>0</v>
      </c>
    </row>
    <row r="343" spans="1:8" s="389" customFormat="1" x14ac:dyDescent="0.45">
      <c r="A343" s="257" t="s">
        <v>5138</v>
      </c>
      <c r="B343" s="286">
        <v>1402000</v>
      </c>
      <c r="C343" s="286">
        <v>3.2</v>
      </c>
      <c r="D343" s="180" t="s">
        <v>5030</v>
      </c>
      <c r="E343" s="286">
        <v>200</v>
      </c>
      <c r="F343" s="286" t="s">
        <v>472</v>
      </c>
      <c r="G343" s="302"/>
      <c r="H343" s="302">
        <f t="shared" si="4"/>
        <v>0</v>
      </c>
    </row>
    <row r="344" spans="1:8" s="389" customFormat="1" x14ac:dyDescent="0.45">
      <c r="A344" s="22" t="s">
        <v>5312</v>
      </c>
      <c r="B344" s="23">
        <v>1402000</v>
      </c>
      <c r="C344" s="23">
        <v>3.3</v>
      </c>
      <c r="D344" s="106" t="s">
        <v>366</v>
      </c>
      <c r="E344" s="23">
        <v>12</v>
      </c>
      <c r="F344" s="23" t="s">
        <v>17</v>
      </c>
      <c r="G344" s="24"/>
      <c r="H344" s="24">
        <f>G344*E344</f>
        <v>0</v>
      </c>
    </row>
    <row r="345" spans="1:8" x14ac:dyDescent="0.45">
      <c r="A345" s="58"/>
      <c r="B345" s="59"/>
      <c r="C345" s="59"/>
      <c r="D345" s="60" t="s">
        <v>367</v>
      </c>
      <c r="E345" s="59"/>
      <c r="F345" s="59"/>
      <c r="G345" s="59"/>
      <c r="H345" s="62">
        <f>SUM(H338:H344)</f>
        <v>0</v>
      </c>
    </row>
    <row r="346" spans="1:8" x14ac:dyDescent="0.45">
      <c r="A346" s="121"/>
      <c r="B346" s="122"/>
      <c r="C346" s="122"/>
      <c r="D346" s="123"/>
      <c r="E346" s="122"/>
      <c r="F346" s="124"/>
      <c r="G346" s="124"/>
      <c r="H346" s="110"/>
    </row>
    <row r="347" spans="1:8" x14ac:dyDescent="0.45">
      <c r="A347" s="12" t="s">
        <v>1728</v>
      </c>
      <c r="B347" s="13"/>
      <c r="C347" s="13"/>
      <c r="D347" s="12" t="s">
        <v>369</v>
      </c>
      <c r="E347" s="100"/>
      <c r="F347" s="101"/>
      <c r="G347" s="101"/>
      <c r="H347" s="102"/>
    </row>
    <row r="348" spans="1:8" x14ac:dyDescent="0.45">
      <c r="A348" s="103"/>
      <c r="B348" s="41">
        <v>1502000</v>
      </c>
      <c r="C348" s="43"/>
      <c r="D348" s="42" t="s">
        <v>18</v>
      </c>
      <c r="E348" s="43"/>
      <c r="F348" s="44"/>
      <c r="G348" s="44"/>
      <c r="H348" s="45"/>
    </row>
    <row r="349" spans="1:8" x14ac:dyDescent="0.45">
      <c r="A349" s="27"/>
      <c r="B349" s="26"/>
      <c r="C349" s="26">
        <v>3.1</v>
      </c>
      <c r="D349" s="27" t="s">
        <v>19</v>
      </c>
      <c r="E349" s="26"/>
      <c r="F349" s="26"/>
      <c r="G349" s="26"/>
      <c r="H349" s="104"/>
    </row>
    <row r="350" spans="1:8" x14ac:dyDescent="0.45">
      <c r="A350" s="22" t="s">
        <v>1729</v>
      </c>
      <c r="B350" s="23">
        <v>1502000</v>
      </c>
      <c r="C350" s="23" t="s">
        <v>21</v>
      </c>
      <c r="D350" s="29" t="s">
        <v>22</v>
      </c>
      <c r="E350" s="23">
        <v>12</v>
      </c>
      <c r="F350" s="23" t="s">
        <v>17</v>
      </c>
      <c r="G350" s="24"/>
      <c r="H350" s="24">
        <f>G350*E350</f>
        <v>0</v>
      </c>
    </row>
    <row r="351" spans="1:8" x14ac:dyDescent="0.45">
      <c r="A351" s="22" t="s">
        <v>1730</v>
      </c>
      <c r="B351" s="23">
        <v>1502000</v>
      </c>
      <c r="C351" s="23" t="s">
        <v>24</v>
      </c>
      <c r="D351" s="29" t="s">
        <v>25</v>
      </c>
      <c r="E351" s="23">
        <v>12</v>
      </c>
      <c r="F351" s="23" t="s">
        <v>17</v>
      </c>
      <c r="G351" s="24"/>
      <c r="H351" s="24">
        <f>G351*E351</f>
        <v>0</v>
      </c>
    </row>
    <row r="352" spans="1:8" x14ac:dyDescent="0.45">
      <c r="A352" s="22" t="s">
        <v>1731</v>
      </c>
      <c r="B352" s="23">
        <v>1502000</v>
      </c>
      <c r="C352" s="23" t="s">
        <v>27</v>
      </c>
      <c r="D352" s="29" t="s">
        <v>28</v>
      </c>
      <c r="E352" s="23">
        <v>12</v>
      </c>
      <c r="F352" s="23" t="s">
        <v>17</v>
      </c>
      <c r="G352" s="24"/>
      <c r="H352" s="24">
        <f>G352*E352</f>
        <v>0</v>
      </c>
    </row>
    <row r="353" spans="1:8" x14ac:dyDescent="0.45">
      <c r="A353" s="25"/>
      <c r="B353" s="26"/>
      <c r="C353" s="26">
        <v>3.1</v>
      </c>
      <c r="D353" s="27" t="s">
        <v>31</v>
      </c>
      <c r="E353" s="28"/>
      <c r="F353" s="28"/>
      <c r="G353" s="28"/>
      <c r="H353" s="28"/>
    </row>
    <row r="354" spans="1:8" x14ac:dyDescent="0.45">
      <c r="A354" s="22" t="s">
        <v>1732</v>
      </c>
      <c r="B354" s="23">
        <v>1502000</v>
      </c>
      <c r="C354" s="23" t="s">
        <v>222</v>
      </c>
      <c r="D354" s="29" t="s">
        <v>223</v>
      </c>
      <c r="E354" s="23">
        <v>12</v>
      </c>
      <c r="F354" s="23" t="s">
        <v>17</v>
      </c>
      <c r="G354" s="24"/>
      <c r="H354" s="24">
        <f t="shared" ref="H354:H366" si="5">G354*E354</f>
        <v>0</v>
      </c>
    </row>
    <row r="355" spans="1:8" x14ac:dyDescent="0.45">
      <c r="A355" s="22" t="s">
        <v>1733</v>
      </c>
      <c r="B355" s="23">
        <v>1502000</v>
      </c>
      <c r="C355" s="23" t="s">
        <v>33</v>
      </c>
      <c r="D355" s="29" t="s">
        <v>34</v>
      </c>
      <c r="E355" s="23">
        <v>12</v>
      </c>
      <c r="F355" s="23" t="s">
        <v>17</v>
      </c>
      <c r="G355" s="24"/>
      <c r="H355" s="24">
        <f t="shared" si="5"/>
        <v>0</v>
      </c>
    </row>
    <row r="356" spans="1:8" x14ac:dyDescent="0.45">
      <c r="A356" s="22" t="s">
        <v>1734</v>
      </c>
      <c r="B356" s="23">
        <v>1502000</v>
      </c>
      <c r="C356" s="23" t="s">
        <v>227</v>
      </c>
      <c r="D356" s="29" t="s">
        <v>228</v>
      </c>
      <c r="E356" s="23">
        <v>12</v>
      </c>
      <c r="F356" s="23" t="s">
        <v>17</v>
      </c>
      <c r="G356" s="24"/>
      <c r="H356" s="24">
        <f t="shared" si="5"/>
        <v>0</v>
      </c>
    </row>
    <row r="357" spans="1:8" x14ac:dyDescent="0.45">
      <c r="A357" s="22" t="s">
        <v>1735</v>
      </c>
      <c r="B357" s="23">
        <v>1502000</v>
      </c>
      <c r="C357" s="23" t="s">
        <v>39</v>
      </c>
      <c r="D357" s="29" t="s">
        <v>230</v>
      </c>
      <c r="E357" s="23">
        <v>12</v>
      </c>
      <c r="F357" s="23" t="s">
        <v>17</v>
      </c>
      <c r="G357" s="24"/>
      <c r="H357" s="24">
        <f t="shared" si="5"/>
        <v>0</v>
      </c>
    </row>
    <row r="358" spans="1:8" x14ac:dyDescent="0.45">
      <c r="A358" s="22" t="s">
        <v>1736</v>
      </c>
      <c r="B358" s="23">
        <v>1502000</v>
      </c>
      <c r="C358" s="23" t="s">
        <v>232</v>
      </c>
      <c r="D358" s="29" t="s">
        <v>233</v>
      </c>
      <c r="E358" s="23">
        <v>12</v>
      </c>
      <c r="F358" s="23" t="s">
        <v>17</v>
      </c>
      <c r="G358" s="24"/>
      <c r="H358" s="24">
        <f t="shared" si="5"/>
        <v>0</v>
      </c>
    </row>
    <row r="359" spans="1:8" x14ac:dyDescent="0.45">
      <c r="A359" s="22" t="s">
        <v>1737</v>
      </c>
      <c r="B359" s="23">
        <v>1502000</v>
      </c>
      <c r="C359" s="23" t="s">
        <v>250</v>
      </c>
      <c r="D359" s="29" t="s">
        <v>379</v>
      </c>
      <c r="E359" s="23">
        <v>12</v>
      </c>
      <c r="F359" s="23" t="s">
        <v>17</v>
      </c>
      <c r="G359" s="24"/>
      <c r="H359" s="24">
        <f t="shared" si="5"/>
        <v>0</v>
      </c>
    </row>
    <row r="360" spans="1:8" x14ac:dyDescent="0.45">
      <c r="A360" s="22" t="s">
        <v>1738</v>
      </c>
      <c r="B360" s="23">
        <v>1502000</v>
      </c>
      <c r="C360" s="23" t="s">
        <v>45</v>
      </c>
      <c r="D360" s="29" t="s">
        <v>46</v>
      </c>
      <c r="E360" s="23">
        <v>12</v>
      </c>
      <c r="F360" s="23" t="s">
        <v>17</v>
      </c>
      <c r="G360" s="24"/>
      <c r="H360" s="24">
        <f t="shared" si="5"/>
        <v>0</v>
      </c>
    </row>
    <row r="361" spans="1:8" x14ac:dyDescent="0.45">
      <c r="A361" s="22" t="s">
        <v>1739</v>
      </c>
      <c r="B361" s="23">
        <v>1502000</v>
      </c>
      <c r="C361" s="23" t="s">
        <v>48</v>
      </c>
      <c r="D361" s="29" t="s">
        <v>257</v>
      </c>
      <c r="E361" s="23">
        <v>12</v>
      </c>
      <c r="F361" s="23" t="s">
        <v>17</v>
      </c>
      <c r="G361" s="24"/>
      <c r="H361" s="24">
        <f t="shared" si="5"/>
        <v>0</v>
      </c>
    </row>
    <row r="362" spans="1:8" x14ac:dyDescent="0.45">
      <c r="A362" s="22" t="s">
        <v>1740</v>
      </c>
      <c r="B362" s="23">
        <v>1502000</v>
      </c>
      <c r="C362" s="23" t="s">
        <v>51</v>
      </c>
      <c r="D362" s="29" t="s">
        <v>383</v>
      </c>
      <c r="E362" s="23">
        <v>12</v>
      </c>
      <c r="F362" s="23" t="s">
        <v>17</v>
      </c>
      <c r="G362" s="24"/>
      <c r="H362" s="24">
        <f t="shared" si="5"/>
        <v>0</v>
      </c>
    </row>
    <row r="363" spans="1:8" x14ac:dyDescent="0.45">
      <c r="A363" s="22" t="s">
        <v>1741</v>
      </c>
      <c r="B363" s="23">
        <v>1502000</v>
      </c>
      <c r="C363" s="23" t="s">
        <v>54</v>
      </c>
      <c r="D363" s="29" t="s">
        <v>55</v>
      </c>
      <c r="E363" s="23">
        <v>12</v>
      </c>
      <c r="F363" s="23" t="s">
        <v>17</v>
      </c>
      <c r="G363" s="24"/>
      <c r="H363" s="24">
        <f t="shared" si="5"/>
        <v>0</v>
      </c>
    </row>
    <row r="364" spans="1:8" x14ac:dyDescent="0.45">
      <c r="A364" s="22" t="s">
        <v>1742</v>
      </c>
      <c r="B364" s="23">
        <v>1502000</v>
      </c>
      <c r="C364" s="23" t="s">
        <v>260</v>
      </c>
      <c r="D364" s="29" t="s">
        <v>386</v>
      </c>
      <c r="E364" s="23">
        <v>12</v>
      </c>
      <c r="F364" s="23" t="s">
        <v>17</v>
      </c>
      <c r="G364" s="24"/>
      <c r="H364" s="24">
        <f t="shared" si="5"/>
        <v>0</v>
      </c>
    </row>
    <row r="365" spans="1:8" x14ac:dyDescent="0.45">
      <c r="A365" s="22" t="s">
        <v>1743</v>
      </c>
      <c r="B365" s="23">
        <v>1502000</v>
      </c>
      <c r="C365" s="23" t="s">
        <v>332</v>
      </c>
      <c r="D365" s="29" t="s">
        <v>388</v>
      </c>
      <c r="E365" s="23">
        <v>12</v>
      </c>
      <c r="F365" s="23" t="s">
        <v>17</v>
      </c>
      <c r="G365" s="24"/>
      <c r="H365" s="24">
        <f t="shared" si="5"/>
        <v>0</v>
      </c>
    </row>
    <row r="366" spans="1:8" x14ac:dyDescent="0.45">
      <c r="A366" s="22" t="s">
        <v>1744</v>
      </c>
      <c r="B366" s="23">
        <v>1502000</v>
      </c>
      <c r="C366" s="23" t="s">
        <v>390</v>
      </c>
      <c r="D366" s="29" t="s">
        <v>391</v>
      </c>
      <c r="E366" s="23">
        <v>12</v>
      </c>
      <c r="F366" s="23" t="s">
        <v>17</v>
      </c>
      <c r="G366" s="24"/>
      <c r="H366" s="24">
        <f t="shared" si="5"/>
        <v>0</v>
      </c>
    </row>
    <row r="367" spans="1:8" x14ac:dyDescent="0.45">
      <c r="A367" s="25"/>
      <c r="B367" s="26">
        <v>1502000</v>
      </c>
      <c r="C367" s="26">
        <v>3.4</v>
      </c>
      <c r="D367" s="27" t="s">
        <v>62</v>
      </c>
      <c r="E367" s="26"/>
      <c r="F367" s="26"/>
      <c r="G367" s="28"/>
      <c r="H367" s="104"/>
    </row>
    <row r="368" spans="1:8" x14ac:dyDescent="0.45">
      <c r="A368" s="22" t="s">
        <v>1745</v>
      </c>
      <c r="B368" s="23">
        <v>1502000</v>
      </c>
      <c r="C368" s="23" t="s">
        <v>64</v>
      </c>
      <c r="D368" s="106" t="s">
        <v>65</v>
      </c>
      <c r="E368" s="23">
        <v>12</v>
      </c>
      <c r="F368" s="23" t="s">
        <v>17</v>
      </c>
      <c r="G368" s="24"/>
      <c r="H368" s="24">
        <f>G368*E368</f>
        <v>0</v>
      </c>
    </row>
    <row r="369" spans="1:8" x14ac:dyDescent="0.45">
      <c r="A369" s="22" t="s">
        <v>1746</v>
      </c>
      <c r="B369" s="23">
        <v>1502000</v>
      </c>
      <c r="C369" s="23" t="s">
        <v>67</v>
      </c>
      <c r="D369" s="120" t="s">
        <v>68</v>
      </c>
      <c r="E369" s="23">
        <v>12</v>
      </c>
      <c r="F369" s="23" t="s">
        <v>17</v>
      </c>
      <c r="G369" s="24"/>
      <c r="H369" s="24">
        <f>G369*E369</f>
        <v>0</v>
      </c>
    </row>
    <row r="370" spans="1:8" x14ac:dyDescent="0.45">
      <c r="A370" s="22" t="s">
        <v>1747</v>
      </c>
      <c r="B370" s="23">
        <v>1502000</v>
      </c>
      <c r="C370" s="23" t="s">
        <v>70</v>
      </c>
      <c r="D370" s="106" t="s">
        <v>71</v>
      </c>
      <c r="E370" s="23">
        <v>12</v>
      </c>
      <c r="F370" s="23" t="s">
        <v>17</v>
      </c>
      <c r="G370" s="24"/>
      <c r="H370" s="24">
        <f>G370*E370</f>
        <v>0</v>
      </c>
    </row>
    <row r="371" spans="1:8" x14ac:dyDescent="0.45">
      <c r="A371" s="25"/>
      <c r="B371" s="26"/>
      <c r="C371" s="26">
        <v>3.5</v>
      </c>
      <c r="D371" s="27" t="s">
        <v>72</v>
      </c>
      <c r="E371" s="28"/>
      <c r="F371" s="28"/>
      <c r="G371" s="28"/>
      <c r="H371" s="28"/>
    </row>
    <row r="372" spans="1:8" x14ac:dyDescent="0.45">
      <c r="A372" s="22" t="s">
        <v>1748</v>
      </c>
      <c r="B372" s="23">
        <v>1502000</v>
      </c>
      <c r="C372" s="301" t="s">
        <v>5021</v>
      </c>
      <c r="D372" s="36" t="s">
        <v>71</v>
      </c>
      <c r="E372" s="23">
        <v>12</v>
      </c>
      <c r="F372" s="23" t="s">
        <v>17</v>
      </c>
      <c r="G372" s="24"/>
      <c r="H372" s="24">
        <f>G372*E372</f>
        <v>0</v>
      </c>
    </row>
    <row r="373" spans="1:8" x14ac:dyDescent="0.45">
      <c r="A373" s="27"/>
      <c r="B373" s="125"/>
      <c r="C373" s="125"/>
      <c r="D373" s="27" t="s">
        <v>75</v>
      </c>
      <c r="E373" s="26"/>
      <c r="F373" s="26"/>
      <c r="G373" s="28"/>
      <c r="H373" s="104"/>
    </row>
    <row r="374" spans="1:8" x14ac:dyDescent="0.45">
      <c r="A374" s="22" t="s">
        <v>1749</v>
      </c>
      <c r="B374" s="23">
        <v>1502000</v>
      </c>
      <c r="C374" s="23" t="s">
        <v>80</v>
      </c>
      <c r="D374" s="30" t="s">
        <v>81</v>
      </c>
      <c r="E374" s="23">
        <v>12</v>
      </c>
      <c r="F374" s="23" t="s">
        <v>17</v>
      </c>
      <c r="G374" s="24"/>
      <c r="H374" s="24">
        <f t="shared" ref="H374:H379" si="6">G374*E374</f>
        <v>0</v>
      </c>
    </row>
    <row r="375" spans="1:8" x14ac:dyDescent="0.45">
      <c r="A375" s="22" t="s">
        <v>1750</v>
      </c>
      <c r="B375" s="23">
        <v>1502000</v>
      </c>
      <c r="C375" s="23" t="s">
        <v>83</v>
      </c>
      <c r="D375" s="30" t="s">
        <v>84</v>
      </c>
      <c r="E375" s="23">
        <v>12</v>
      </c>
      <c r="F375" s="23" t="s">
        <v>17</v>
      </c>
      <c r="G375" s="24"/>
      <c r="H375" s="24">
        <f t="shared" si="6"/>
        <v>0</v>
      </c>
    </row>
    <row r="376" spans="1:8" x14ac:dyDescent="0.45">
      <c r="A376" s="22" t="s">
        <v>1751</v>
      </c>
      <c r="B376" s="23">
        <v>1502000</v>
      </c>
      <c r="C376" s="23" t="s">
        <v>86</v>
      </c>
      <c r="D376" s="106" t="s">
        <v>87</v>
      </c>
      <c r="E376" s="23">
        <v>12</v>
      </c>
      <c r="F376" s="23" t="s">
        <v>17</v>
      </c>
      <c r="G376" s="24"/>
      <c r="H376" s="24">
        <f t="shared" si="6"/>
        <v>0</v>
      </c>
    </row>
    <row r="377" spans="1:8" x14ac:dyDescent="0.45">
      <c r="A377" s="22" t="s">
        <v>1752</v>
      </c>
      <c r="B377" s="23">
        <v>1502000</v>
      </c>
      <c r="C377" s="23" t="s">
        <v>400</v>
      </c>
      <c r="D377" s="106" t="s">
        <v>401</v>
      </c>
      <c r="E377" s="23">
        <v>12</v>
      </c>
      <c r="F377" s="23" t="s">
        <v>17</v>
      </c>
      <c r="G377" s="24"/>
      <c r="H377" s="24">
        <f t="shared" si="6"/>
        <v>0</v>
      </c>
    </row>
    <row r="378" spans="1:8" x14ac:dyDescent="0.45">
      <c r="A378" s="22" t="s">
        <v>1753</v>
      </c>
      <c r="B378" s="23">
        <v>1502000</v>
      </c>
      <c r="C378" s="286" t="s">
        <v>5037</v>
      </c>
      <c r="D378" s="22" t="s">
        <v>108</v>
      </c>
      <c r="E378" s="33">
        <v>12</v>
      </c>
      <c r="F378" s="23" t="s">
        <v>17</v>
      </c>
      <c r="G378" s="24"/>
      <c r="H378" s="24">
        <f t="shared" si="6"/>
        <v>0</v>
      </c>
    </row>
    <row r="379" spans="1:8" x14ac:dyDescent="0.45">
      <c r="A379" s="22" t="s">
        <v>1754</v>
      </c>
      <c r="B379" s="23">
        <v>1502000</v>
      </c>
      <c r="C379" s="23" t="s">
        <v>107</v>
      </c>
      <c r="D379" s="126" t="s">
        <v>277</v>
      </c>
      <c r="E379" s="23">
        <v>12</v>
      </c>
      <c r="F379" s="23" t="s">
        <v>17</v>
      </c>
      <c r="G379" s="24"/>
      <c r="H379" s="24">
        <f t="shared" si="6"/>
        <v>0</v>
      </c>
    </row>
    <row r="380" spans="1:8" x14ac:dyDescent="0.45">
      <c r="A380" s="40"/>
      <c r="B380" s="41">
        <v>1503010</v>
      </c>
      <c r="C380" s="41"/>
      <c r="D380" s="42" t="s">
        <v>109</v>
      </c>
      <c r="E380" s="43"/>
      <c r="F380" s="44"/>
      <c r="G380" s="44"/>
      <c r="H380" s="45"/>
    </row>
    <row r="381" spans="1:8" x14ac:dyDescent="0.45">
      <c r="A381" s="22" t="s">
        <v>1755</v>
      </c>
      <c r="B381" s="33">
        <v>1503010</v>
      </c>
      <c r="C381" s="33">
        <v>3.1</v>
      </c>
      <c r="D381" s="36" t="s">
        <v>111</v>
      </c>
      <c r="E381" s="23">
        <v>12</v>
      </c>
      <c r="F381" s="23" t="s">
        <v>17</v>
      </c>
      <c r="G381" s="24"/>
      <c r="H381" s="24">
        <f>G381*E381</f>
        <v>0</v>
      </c>
    </row>
    <row r="382" spans="1:8" x14ac:dyDescent="0.45">
      <c r="A382" s="40"/>
      <c r="B382" s="43">
        <v>1503020</v>
      </c>
      <c r="C382" s="41"/>
      <c r="D382" s="42" t="s">
        <v>114</v>
      </c>
      <c r="E382" s="43"/>
      <c r="F382" s="44"/>
      <c r="G382" s="44"/>
      <c r="H382" s="44"/>
    </row>
    <row r="383" spans="1:8" x14ac:dyDescent="0.45">
      <c r="A383" s="22" t="s">
        <v>1756</v>
      </c>
      <c r="B383" s="33">
        <v>1503020</v>
      </c>
      <c r="C383" s="23">
        <v>3.1</v>
      </c>
      <c r="D383" s="206" t="s">
        <v>406</v>
      </c>
      <c r="E383" s="23">
        <v>12</v>
      </c>
      <c r="F383" s="115" t="s">
        <v>17</v>
      </c>
      <c r="G383" s="24"/>
      <c r="H383" s="24">
        <f>G383*E383</f>
        <v>0</v>
      </c>
    </row>
    <row r="384" spans="1:8" x14ac:dyDescent="0.45">
      <c r="A384" s="22" t="s">
        <v>1757</v>
      </c>
      <c r="B384" s="33">
        <v>1503020</v>
      </c>
      <c r="C384" s="33">
        <v>3.2</v>
      </c>
      <c r="D384" s="36" t="s">
        <v>118</v>
      </c>
      <c r="E384" s="23">
        <v>12</v>
      </c>
      <c r="F384" s="23" t="s">
        <v>17</v>
      </c>
      <c r="G384" s="24"/>
      <c r="H384" s="24">
        <f>G384*E384</f>
        <v>0</v>
      </c>
    </row>
    <row r="385" spans="1:8" x14ac:dyDescent="0.45">
      <c r="A385" s="22" t="s">
        <v>1758</v>
      </c>
      <c r="B385" s="33">
        <v>1503020</v>
      </c>
      <c r="C385" s="23">
        <v>3.3</v>
      </c>
      <c r="D385" s="106" t="s">
        <v>120</v>
      </c>
      <c r="E385" s="23">
        <v>12</v>
      </c>
      <c r="F385" s="23" t="s">
        <v>17</v>
      </c>
      <c r="G385" s="24"/>
      <c r="H385" s="24">
        <f>G385*E385</f>
        <v>0</v>
      </c>
    </row>
    <row r="386" spans="1:8" x14ac:dyDescent="0.45">
      <c r="A386" s="40"/>
      <c r="B386" s="43">
        <v>1503030</v>
      </c>
      <c r="C386" s="41"/>
      <c r="D386" s="42" t="s">
        <v>121</v>
      </c>
      <c r="E386" s="43"/>
      <c r="F386" s="44"/>
      <c r="G386" s="44"/>
      <c r="H386" s="45"/>
    </row>
    <row r="387" spans="1:8" x14ac:dyDescent="0.45">
      <c r="A387" s="22" t="s">
        <v>1759</v>
      </c>
      <c r="B387" s="33">
        <v>1503030</v>
      </c>
      <c r="C387" s="33" t="s">
        <v>123</v>
      </c>
      <c r="D387" s="36" t="s">
        <v>124</v>
      </c>
      <c r="E387" s="23">
        <v>12</v>
      </c>
      <c r="F387" s="23" t="s">
        <v>17</v>
      </c>
      <c r="G387" s="24"/>
      <c r="H387" s="24">
        <f>G387*E387</f>
        <v>0</v>
      </c>
    </row>
    <row r="388" spans="1:8" x14ac:dyDescent="0.45">
      <c r="A388" s="58"/>
      <c r="B388" s="59"/>
      <c r="C388" s="59"/>
      <c r="D388" s="60" t="s">
        <v>410</v>
      </c>
      <c r="E388" s="59"/>
      <c r="F388" s="59"/>
      <c r="G388" s="59"/>
      <c r="H388" s="62">
        <f>SUM(H350:H387)</f>
        <v>0</v>
      </c>
    </row>
    <row r="389" spans="1:8" x14ac:dyDescent="0.45">
      <c r="A389" s="121"/>
      <c r="B389" s="122"/>
      <c r="C389" s="122"/>
      <c r="D389" s="123"/>
      <c r="E389" s="122"/>
      <c r="F389" s="124"/>
      <c r="G389" s="124"/>
      <c r="H389" s="110"/>
    </row>
    <row r="390" spans="1:8" x14ac:dyDescent="0.45">
      <c r="A390" s="12" t="s">
        <v>1760</v>
      </c>
      <c r="B390" s="13"/>
      <c r="C390" s="13"/>
      <c r="D390" s="12" t="s">
        <v>412</v>
      </c>
      <c r="E390" s="13"/>
      <c r="F390" s="13"/>
      <c r="G390" s="101"/>
      <c r="H390" s="102"/>
    </row>
    <row r="391" spans="1:8" x14ac:dyDescent="0.45">
      <c r="A391" s="103"/>
      <c r="B391" s="41">
        <v>1502000</v>
      </c>
      <c r="C391" s="43"/>
      <c r="D391" s="42" t="s">
        <v>18</v>
      </c>
      <c r="E391" s="43"/>
      <c r="F391" s="44"/>
      <c r="G391" s="44"/>
      <c r="H391" s="45"/>
    </row>
    <row r="392" spans="1:8" x14ac:dyDescent="0.45">
      <c r="A392" s="25"/>
      <c r="B392" s="26">
        <v>1502000</v>
      </c>
      <c r="C392" s="26">
        <v>3.4</v>
      </c>
      <c r="D392" s="27" t="s">
        <v>62</v>
      </c>
      <c r="E392" s="26"/>
      <c r="F392" s="26"/>
      <c r="G392" s="26"/>
      <c r="H392" s="104"/>
    </row>
    <row r="393" spans="1:8" x14ac:dyDescent="0.45">
      <c r="A393" s="22" t="s">
        <v>1761</v>
      </c>
      <c r="B393" s="23">
        <v>1502000</v>
      </c>
      <c r="C393" s="23" t="s">
        <v>67</v>
      </c>
      <c r="D393" s="120" t="s">
        <v>68</v>
      </c>
      <c r="E393" s="23">
        <v>12</v>
      </c>
      <c r="F393" s="23" t="s">
        <v>17</v>
      </c>
      <c r="G393" s="24"/>
      <c r="H393" s="24">
        <f>G393*E393</f>
        <v>0</v>
      </c>
    </row>
    <row r="394" spans="1:8" x14ac:dyDescent="0.45">
      <c r="A394" s="40"/>
      <c r="B394" s="41">
        <v>1503010</v>
      </c>
      <c r="C394" s="41"/>
      <c r="D394" s="42" t="s">
        <v>109</v>
      </c>
      <c r="E394" s="43"/>
      <c r="F394" s="44"/>
      <c r="G394" s="44"/>
      <c r="H394" s="45"/>
    </row>
    <row r="395" spans="1:8" x14ac:dyDescent="0.45">
      <c r="A395" s="22" t="s">
        <v>1762</v>
      </c>
      <c r="B395" s="33">
        <v>1503010</v>
      </c>
      <c r="C395" s="33">
        <v>3.1</v>
      </c>
      <c r="D395" s="36" t="s">
        <v>111</v>
      </c>
      <c r="E395" s="23">
        <v>12</v>
      </c>
      <c r="F395" s="23" t="s">
        <v>17</v>
      </c>
      <c r="G395" s="24"/>
      <c r="H395" s="24">
        <f>G395*E395</f>
        <v>0</v>
      </c>
    </row>
    <row r="396" spans="1:8" x14ac:dyDescent="0.45">
      <c r="A396" s="58"/>
      <c r="B396" s="59"/>
      <c r="C396" s="59"/>
      <c r="D396" s="60" t="s">
        <v>415</v>
      </c>
      <c r="E396" s="59"/>
      <c r="F396" s="59"/>
      <c r="G396" s="59"/>
      <c r="H396" s="62">
        <f>SUM(H393:H395)</f>
        <v>0</v>
      </c>
    </row>
    <row r="397" spans="1:8" x14ac:dyDescent="0.45">
      <c r="A397" s="121"/>
      <c r="B397" s="122"/>
      <c r="C397" s="122"/>
      <c r="D397" s="123"/>
      <c r="E397" s="122"/>
      <c r="F397" s="124"/>
      <c r="G397" s="124"/>
      <c r="H397" s="110"/>
    </row>
    <row r="398" spans="1:8" x14ac:dyDescent="0.45">
      <c r="A398" s="12" t="s">
        <v>1763</v>
      </c>
      <c r="B398" s="13"/>
      <c r="C398" s="13"/>
      <c r="D398" s="12" t="s">
        <v>417</v>
      </c>
      <c r="E398" s="13"/>
      <c r="F398" s="13"/>
      <c r="G398" s="101"/>
      <c r="H398" s="102"/>
    </row>
    <row r="399" spans="1:8" x14ac:dyDescent="0.45">
      <c r="A399" s="103"/>
      <c r="B399" s="41">
        <v>1502000</v>
      </c>
      <c r="C399" s="43"/>
      <c r="D399" s="42" t="s">
        <v>18</v>
      </c>
      <c r="E399" s="43"/>
      <c r="F399" s="44"/>
      <c r="G399" s="44"/>
      <c r="H399" s="45"/>
    </row>
    <row r="400" spans="1:8" x14ac:dyDescent="0.45">
      <c r="A400" s="27"/>
      <c r="B400" s="26"/>
      <c r="C400" s="26">
        <v>3.1</v>
      </c>
      <c r="D400" s="27" t="s">
        <v>19</v>
      </c>
      <c r="E400" s="26"/>
      <c r="F400" s="26"/>
      <c r="G400" s="26"/>
      <c r="H400" s="104"/>
    </row>
    <row r="401" spans="1:8" x14ac:dyDescent="0.45">
      <c r="A401" s="22" t="s">
        <v>1764</v>
      </c>
      <c r="B401" s="23">
        <v>1502000</v>
      </c>
      <c r="C401" s="23" t="s">
        <v>21</v>
      </c>
      <c r="D401" s="29" t="s">
        <v>22</v>
      </c>
      <c r="E401" s="23">
        <v>12</v>
      </c>
      <c r="F401" s="23" t="s">
        <v>17</v>
      </c>
      <c r="G401" s="24"/>
      <c r="H401" s="24">
        <f>G401*E401</f>
        <v>0</v>
      </c>
    </row>
    <row r="402" spans="1:8" x14ac:dyDescent="0.45">
      <c r="A402" s="22" t="s">
        <v>1765</v>
      </c>
      <c r="B402" s="23">
        <v>1502000</v>
      </c>
      <c r="C402" s="23" t="s">
        <v>24</v>
      </c>
      <c r="D402" s="29" t="s">
        <v>25</v>
      </c>
      <c r="E402" s="23">
        <v>12</v>
      </c>
      <c r="F402" s="23" t="s">
        <v>17</v>
      </c>
      <c r="G402" s="24"/>
      <c r="H402" s="24">
        <f>G402*E402</f>
        <v>0</v>
      </c>
    </row>
    <row r="403" spans="1:8" x14ac:dyDescent="0.45">
      <c r="A403" s="22" t="s">
        <v>1766</v>
      </c>
      <c r="B403" s="23">
        <v>1502000</v>
      </c>
      <c r="C403" s="23" t="s">
        <v>27</v>
      </c>
      <c r="D403" s="29" t="s">
        <v>28</v>
      </c>
      <c r="E403" s="23">
        <v>12</v>
      </c>
      <c r="F403" s="23" t="s">
        <v>17</v>
      </c>
      <c r="G403" s="24"/>
      <c r="H403" s="24">
        <f>G403*E403</f>
        <v>0</v>
      </c>
    </row>
    <row r="404" spans="1:8" x14ac:dyDescent="0.45">
      <c r="A404" s="25"/>
      <c r="B404" s="26">
        <v>1502000</v>
      </c>
      <c r="C404" s="26">
        <v>3.4</v>
      </c>
      <c r="D404" s="27" t="s">
        <v>62</v>
      </c>
      <c r="E404" s="26"/>
      <c r="F404" s="26"/>
      <c r="G404" s="28"/>
      <c r="H404" s="104"/>
    </row>
    <row r="405" spans="1:8" x14ac:dyDescent="0.45">
      <c r="A405" s="22" t="s">
        <v>1767</v>
      </c>
      <c r="B405" s="23">
        <v>1502000</v>
      </c>
      <c r="C405" s="23" t="s">
        <v>67</v>
      </c>
      <c r="D405" s="35" t="s">
        <v>68</v>
      </c>
      <c r="E405" s="23">
        <v>12</v>
      </c>
      <c r="F405" s="23" t="s">
        <v>17</v>
      </c>
      <c r="G405" s="24"/>
      <c r="H405" s="24">
        <f>G405*E405</f>
        <v>0</v>
      </c>
    </row>
    <row r="406" spans="1:8" x14ac:dyDescent="0.45">
      <c r="A406" s="58"/>
      <c r="B406" s="59"/>
      <c r="C406" s="59"/>
      <c r="D406" s="60" t="s">
        <v>422</v>
      </c>
      <c r="E406" s="59"/>
      <c r="F406" s="59"/>
      <c r="G406" s="59"/>
      <c r="H406" s="62">
        <f>SUM(H401:H405)</f>
        <v>0</v>
      </c>
    </row>
    <row r="407" spans="1:8" x14ac:dyDescent="0.45">
      <c r="A407" s="121"/>
      <c r="B407" s="122"/>
      <c r="C407" s="122"/>
      <c r="D407" s="123"/>
      <c r="E407" s="122"/>
      <c r="F407" s="124"/>
      <c r="G407" s="124"/>
      <c r="H407" s="110"/>
    </row>
    <row r="408" spans="1:8" x14ac:dyDescent="0.45">
      <c r="A408" s="12" t="s">
        <v>1768</v>
      </c>
      <c r="B408" s="13"/>
      <c r="C408" s="13"/>
      <c r="D408" s="111" t="s">
        <v>424</v>
      </c>
      <c r="E408" s="100"/>
      <c r="F408" s="101"/>
      <c r="G408" s="101"/>
      <c r="H408" s="102"/>
    </row>
    <row r="409" spans="1:8" x14ac:dyDescent="0.45">
      <c r="A409" s="103"/>
      <c r="B409" s="41">
        <v>1502000</v>
      </c>
      <c r="C409" s="43"/>
      <c r="D409" s="42" t="s">
        <v>18</v>
      </c>
      <c r="E409" s="43"/>
      <c r="F409" s="44"/>
      <c r="G409" s="44"/>
      <c r="H409" s="45"/>
    </row>
    <row r="410" spans="1:8" x14ac:dyDescent="0.45">
      <c r="A410" s="27"/>
      <c r="B410" s="26"/>
      <c r="C410" s="26">
        <v>3.1</v>
      </c>
      <c r="D410" s="27" t="s">
        <v>19</v>
      </c>
      <c r="E410" s="26"/>
      <c r="F410" s="26"/>
      <c r="G410" s="26"/>
      <c r="H410" s="104"/>
    </row>
    <row r="411" spans="1:8" x14ac:dyDescent="0.45">
      <c r="A411" s="22" t="s">
        <v>1769</v>
      </c>
      <c r="B411" s="23">
        <v>1502000</v>
      </c>
      <c r="C411" s="23" t="s">
        <v>21</v>
      </c>
      <c r="D411" s="29" t="s">
        <v>22</v>
      </c>
      <c r="E411" s="23">
        <v>12</v>
      </c>
      <c r="F411" s="23" t="s">
        <v>17</v>
      </c>
      <c r="G411" s="24"/>
      <c r="H411" s="24">
        <f>G411*E411</f>
        <v>0</v>
      </c>
    </row>
    <row r="412" spans="1:8" x14ac:dyDescent="0.45">
      <c r="A412" s="22" t="s">
        <v>1770</v>
      </c>
      <c r="B412" s="23">
        <v>1502000</v>
      </c>
      <c r="C412" s="23" t="s">
        <v>24</v>
      </c>
      <c r="D412" s="29" t="s">
        <v>25</v>
      </c>
      <c r="E412" s="23">
        <v>12</v>
      </c>
      <c r="F412" s="23" t="s">
        <v>17</v>
      </c>
      <c r="G412" s="24"/>
      <c r="H412" s="24">
        <f>G412*E412</f>
        <v>0</v>
      </c>
    </row>
    <row r="413" spans="1:8" x14ac:dyDescent="0.45">
      <c r="A413" s="22" t="s">
        <v>1771</v>
      </c>
      <c r="B413" s="23">
        <v>1502000</v>
      </c>
      <c r="C413" s="23" t="s">
        <v>27</v>
      </c>
      <c r="D413" s="29" t="s">
        <v>28</v>
      </c>
      <c r="E413" s="23">
        <v>12</v>
      </c>
      <c r="F413" s="23" t="s">
        <v>17</v>
      </c>
      <c r="G413" s="24"/>
      <c r="H413" s="24">
        <f>G413*E413</f>
        <v>0</v>
      </c>
    </row>
    <row r="414" spans="1:8" x14ac:dyDescent="0.45">
      <c r="A414" s="40"/>
      <c r="B414" s="41">
        <v>1503010</v>
      </c>
      <c r="C414" s="41"/>
      <c r="D414" s="42" t="s">
        <v>109</v>
      </c>
      <c r="E414" s="43"/>
      <c r="F414" s="44"/>
      <c r="G414" s="44"/>
      <c r="H414" s="45"/>
    </row>
    <row r="415" spans="1:8" x14ac:dyDescent="0.45">
      <c r="A415" s="22" t="s">
        <v>1772</v>
      </c>
      <c r="B415" s="33">
        <v>1503010</v>
      </c>
      <c r="C415" s="33">
        <v>3.1</v>
      </c>
      <c r="D415" s="36" t="s">
        <v>111</v>
      </c>
      <c r="E415" s="23">
        <v>12</v>
      </c>
      <c r="F415" s="23" t="s">
        <v>17</v>
      </c>
      <c r="G415" s="24"/>
      <c r="H415" s="24">
        <f>G415*E415</f>
        <v>0</v>
      </c>
    </row>
    <row r="416" spans="1:8" x14ac:dyDescent="0.45">
      <c r="A416" s="40"/>
      <c r="B416" s="43">
        <v>1503030</v>
      </c>
      <c r="C416" s="41"/>
      <c r="D416" s="42" t="s">
        <v>121</v>
      </c>
      <c r="E416" s="43"/>
      <c r="F416" s="44"/>
      <c r="G416" s="44"/>
      <c r="H416" s="45"/>
    </row>
    <row r="417" spans="1:8" x14ac:dyDescent="0.45">
      <c r="A417" s="22" t="s">
        <v>1773</v>
      </c>
      <c r="B417" s="33">
        <v>1503030</v>
      </c>
      <c r="C417" s="33" t="s">
        <v>123</v>
      </c>
      <c r="D417" s="36" t="s">
        <v>124</v>
      </c>
      <c r="E417" s="23">
        <v>12</v>
      </c>
      <c r="F417" s="23" t="s">
        <v>17</v>
      </c>
      <c r="G417" s="24"/>
      <c r="H417" s="24">
        <f>G417*E417</f>
        <v>0</v>
      </c>
    </row>
    <row r="418" spans="1:8" s="293" customFormat="1" x14ac:dyDescent="0.45">
      <c r="A418" s="287"/>
      <c r="B418" s="288">
        <v>1503050</v>
      </c>
      <c r="C418" s="288"/>
      <c r="D418" s="289" t="s">
        <v>5014</v>
      </c>
      <c r="E418" s="290"/>
      <c r="F418" s="291"/>
      <c r="G418" s="291"/>
      <c r="H418" s="292"/>
    </row>
    <row r="419" spans="1:8" s="293" customFormat="1" x14ac:dyDescent="0.45">
      <c r="A419" s="257" t="s">
        <v>5139</v>
      </c>
      <c r="B419" s="301">
        <v>1503050</v>
      </c>
      <c r="C419" s="301">
        <v>3.4</v>
      </c>
      <c r="D419" s="295" t="s">
        <v>135</v>
      </c>
      <c r="E419" s="301">
        <v>12</v>
      </c>
      <c r="F419" s="286" t="s">
        <v>17</v>
      </c>
      <c r="G419" s="302"/>
      <c r="H419" s="302">
        <f>G419*E419</f>
        <v>0</v>
      </c>
    </row>
    <row r="420" spans="1:8" x14ac:dyDescent="0.45">
      <c r="A420" s="58"/>
      <c r="B420" s="59"/>
      <c r="C420" s="59"/>
      <c r="D420" s="60" t="s">
        <v>430</v>
      </c>
      <c r="E420" s="59"/>
      <c r="F420" s="59"/>
      <c r="G420" s="59"/>
      <c r="H420" s="62">
        <f>SUM(H411:H419)</f>
        <v>0</v>
      </c>
    </row>
    <row r="421" spans="1:8" x14ac:dyDescent="0.45">
      <c r="A421" s="121"/>
      <c r="B421" s="122"/>
      <c r="C421" s="122"/>
      <c r="D421" s="123"/>
      <c r="E421" s="122"/>
      <c r="F421" s="124"/>
      <c r="G421" s="124"/>
      <c r="H421" s="110"/>
    </row>
    <row r="422" spans="1:8" x14ac:dyDescent="0.45">
      <c r="A422" s="12" t="s">
        <v>1774</v>
      </c>
      <c r="B422" s="13"/>
      <c r="C422" s="13"/>
      <c r="D422" s="12" t="s">
        <v>432</v>
      </c>
      <c r="E422" s="13"/>
      <c r="F422" s="13"/>
      <c r="G422" s="101"/>
      <c r="H422" s="102"/>
    </row>
    <row r="423" spans="1:8" x14ac:dyDescent="0.45">
      <c r="A423" s="103"/>
      <c r="B423" s="41">
        <v>1502000</v>
      </c>
      <c r="C423" s="43"/>
      <c r="D423" s="42" t="s">
        <v>18</v>
      </c>
      <c r="E423" s="43"/>
      <c r="F423" s="44"/>
      <c r="G423" s="44"/>
      <c r="H423" s="45"/>
    </row>
    <row r="424" spans="1:8" x14ac:dyDescent="0.45">
      <c r="A424" s="27"/>
      <c r="B424" s="26"/>
      <c r="C424" s="26">
        <v>3.1</v>
      </c>
      <c r="D424" s="27" t="s">
        <v>19</v>
      </c>
      <c r="E424" s="26"/>
      <c r="F424" s="26"/>
      <c r="G424" s="26"/>
      <c r="H424" s="104"/>
    </row>
    <row r="425" spans="1:8" x14ac:dyDescent="0.45">
      <c r="A425" s="22" t="s">
        <v>1775</v>
      </c>
      <c r="B425" s="23">
        <v>1502000</v>
      </c>
      <c r="C425" s="23" t="s">
        <v>21</v>
      </c>
      <c r="D425" s="29" t="s">
        <v>22</v>
      </c>
      <c r="E425" s="23">
        <v>12</v>
      </c>
      <c r="F425" s="23" t="s">
        <v>17</v>
      </c>
      <c r="G425" s="24"/>
      <c r="H425" s="24">
        <f>G425*E425</f>
        <v>0</v>
      </c>
    </row>
    <row r="426" spans="1:8" x14ac:dyDescent="0.45">
      <c r="A426" s="22" t="s">
        <v>1776</v>
      </c>
      <c r="B426" s="23">
        <v>1502000</v>
      </c>
      <c r="C426" s="23" t="s">
        <v>24</v>
      </c>
      <c r="D426" s="29" t="s">
        <v>25</v>
      </c>
      <c r="E426" s="23">
        <v>12</v>
      </c>
      <c r="F426" s="23" t="s">
        <v>17</v>
      </c>
      <c r="G426" s="24"/>
      <c r="H426" s="24">
        <f>G426*E426</f>
        <v>0</v>
      </c>
    </row>
    <row r="427" spans="1:8" x14ac:dyDescent="0.45">
      <c r="A427" s="22" t="s">
        <v>1777</v>
      </c>
      <c r="B427" s="23">
        <v>1502000</v>
      </c>
      <c r="C427" s="23" t="s">
        <v>27</v>
      </c>
      <c r="D427" s="29" t="s">
        <v>28</v>
      </c>
      <c r="E427" s="23">
        <v>12</v>
      </c>
      <c r="F427" s="23" t="s">
        <v>17</v>
      </c>
      <c r="G427" s="24"/>
      <c r="H427" s="24">
        <f>G427*E427</f>
        <v>0</v>
      </c>
    </row>
    <row r="428" spans="1:8" x14ac:dyDescent="0.45">
      <c r="A428" s="25"/>
      <c r="B428" s="26"/>
      <c r="C428" s="26">
        <v>3.1</v>
      </c>
      <c r="D428" s="27" t="s">
        <v>31</v>
      </c>
      <c r="E428" s="28"/>
      <c r="F428" s="28"/>
      <c r="G428" s="28"/>
      <c r="H428" s="28"/>
    </row>
    <row r="429" spans="1:8" x14ac:dyDescent="0.45">
      <c r="A429" s="22" t="s">
        <v>1778</v>
      </c>
      <c r="B429" s="23">
        <v>1502000</v>
      </c>
      <c r="C429" s="23" t="s">
        <v>39</v>
      </c>
      <c r="D429" s="29" t="s">
        <v>230</v>
      </c>
      <c r="E429" s="23">
        <v>12</v>
      </c>
      <c r="F429" s="23" t="s">
        <v>17</v>
      </c>
      <c r="G429" s="24"/>
      <c r="H429" s="24">
        <f>G429*E429</f>
        <v>0</v>
      </c>
    </row>
    <row r="430" spans="1:8" x14ac:dyDescent="0.45">
      <c r="A430" s="22" t="s">
        <v>1779</v>
      </c>
      <c r="B430" s="23">
        <v>1502000</v>
      </c>
      <c r="C430" s="23" t="s">
        <v>250</v>
      </c>
      <c r="D430" s="29" t="s">
        <v>379</v>
      </c>
      <c r="E430" s="23">
        <v>12</v>
      </c>
      <c r="F430" s="23" t="s">
        <v>17</v>
      </c>
      <c r="G430" s="24"/>
      <c r="H430" s="24">
        <f>G430*E430</f>
        <v>0</v>
      </c>
    </row>
    <row r="431" spans="1:8" x14ac:dyDescent="0.45">
      <c r="A431" s="22" t="s">
        <v>1780</v>
      </c>
      <c r="B431" s="23">
        <v>1502000</v>
      </c>
      <c r="C431" s="23" t="s">
        <v>54</v>
      </c>
      <c r="D431" s="29" t="s">
        <v>55</v>
      </c>
      <c r="E431" s="23">
        <v>12</v>
      </c>
      <c r="F431" s="23" t="s">
        <v>17</v>
      </c>
      <c r="G431" s="24"/>
      <c r="H431" s="24">
        <f>G431*E431</f>
        <v>0</v>
      </c>
    </row>
    <row r="432" spans="1:8" x14ac:dyDescent="0.45">
      <c r="A432" s="25"/>
      <c r="B432" s="26">
        <v>1502000</v>
      </c>
      <c r="C432" s="26">
        <v>3.4</v>
      </c>
      <c r="D432" s="27" t="s">
        <v>62</v>
      </c>
      <c r="E432" s="26"/>
      <c r="F432" s="26"/>
      <c r="G432" s="28"/>
      <c r="H432" s="104"/>
    </row>
    <row r="433" spans="1:8" x14ac:dyDescent="0.45">
      <c r="A433" s="22" t="s">
        <v>1781</v>
      </c>
      <c r="B433" s="23">
        <v>1502000</v>
      </c>
      <c r="C433" s="23" t="s">
        <v>64</v>
      </c>
      <c r="D433" s="106" t="s">
        <v>65</v>
      </c>
      <c r="E433" s="23">
        <v>12</v>
      </c>
      <c r="F433" s="23" t="s">
        <v>17</v>
      </c>
      <c r="G433" s="24"/>
      <c r="H433" s="24">
        <f>G433*E433</f>
        <v>0</v>
      </c>
    </row>
    <row r="434" spans="1:8" x14ac:dyDescent="0.45">
      <c r="A434" s="22" t="s">
        <v>1782</v>
      </c>
      <c r="B434" s="23">
        <v>1502000</v>
      </c>
      <c r="C434" s="23" t="s">
        <v>67</v>
      </c>
      <c r="D434" s="120" t="s">
        <v>68</v>
      </c>
      <c r="E434" s="23">
        <v>12</v>
      </c>
      <c r="F434" s="23" t="s">
        <v>17</v>
      </c>
      <c r="G434" s="24"/>
      <c r="H434" s="24">
        <f>G434*E434</f>
        <v>0</v>
      </c>
    </row>
    <row r="435" spans="1:8" x14ac:dyDescent="0.45">
      <c r="A435" s="22" t="s">
        <v>1783</v>
      </c>
      <c r="B435" s="23">
        <v>1502000</v>
      </c>
      <c r="C435" s="23" t="s">
        <v>70</v>
      </c>
      <c r="D435" s="106" t="s">
        <v>71</v>
      </c>
      <c r="E435" s="23">
        <v>12</v>
      </c>
      <c r="F435" s="23" t="s">
        <v>17</v>
      </c>
      <c r="G435" s="24"/>
      <c r="H435" s="24">
        <f>G435*E435</f>
        <v>0</v>
      </c>
    </row>
    <row r="436" spans="1:8" x14ac:dyDescent="0.45">
      <c r="A436" s="27"/>
      <c r="B436" s="125"/>
      <c r="C436" s="125"/>
      <c r="D436" s="27" t="s">
        <v>75</v>
      </c>
      <c r="E436" s="26"/>
      <c r="F436" s="26"/>
      <c r="G436" s="28"/>
      <c r="H436" s="104"/>
    </row>
    <row r="437" spans="1:8" x14ac:dyDescent="0.45">
      <c r="A437" s="22" t="s">
        <v>1784</v>
      </c>
      <c r="B437" s="23">
        <v>1502000</v>
      </c>
      <c r="C437" s="23" t="s">
        <v>80</v>
      </c>
      <c r="D437" s="30" t="s">
        <v>81</v>
      </c>
      <c r="E437" s="23">
        <v>12</v>
      </c>
      <c r="F437" s="23" t="s">
        <v>17</v>
      </c>
      <c r="G437" s="24"/>
      <c r="H437" s="24">
        <f>G437*E437</f>
        <v>0</v>
      </c>
    </row>
    <row r="438" spans="1:8" x14ac:dyDescent="0.45">
      <c r="A438" s="22" t="s">
        <v>1785</v>
      </c>
      <c r="B438" s="23">
        <v>1502000</v>
      </c>
      <c r="C438" s="23" t="s">
        <v>86</v>
      </c>
      <c r="D438" s="106" t="s">
        <v>87</v>
      </c>
      <c r="E438" s="23">
        <v>12</v>
      </c>
      <c r="F438" s="23" t="s">
        <v>17</v>
      </c>
      <c r="G438" s="24"/>
      <c r="H438" s="24">
        <f>G438*E438</f>
        <v>0</v>
      </c>
    </row>
    <row r="439" spans="1:8" x14ac:dyDescent="0.45">
      <c r="A439" s="40"/>
      <c r="B439" s="41">
        <v>1503010</v>
      </c>
      <c r="C439" s="41"/>
      <c r="D439" s="42" t="s">
        <v>109</v>
      </c>
      <c r="E439" s="43"/>
      <c r="F439" s="44"/>
      <c r="G439" s="44"/>
      <c r="H439" s="45"/>
    </row>
    <row r="440" spans="1:8" x14ac:dyDescent="0.45">
      <c r="A440" s="22" t="s">
        <v>1786</v>
      </c>
      <c r="B440" s="33">
        <v>1503010</v>
      </c>
      <c r="C440" s="33">
        <v>3.1</v>
      </c>
      <c r="D440" s="36" t="s">
        <v>111</v>
      </c>
      <c r="E440" s="23">
        <v>12</v>
      </c>
      <c r="F440" s="23" t="s">
        <v>17</v>
      </c>
      <c r="G440" s="24"/>
      <c r="H440" s="24">
        <f>G440*E440</f>
        <v>0</v>
      </c>
    </row>
    <row r="441" spans="1:8" x14ac:dyDescent="0.45">
      <c r="A441" s="40"/>
      <c r="B441" s="43">
        <v>1503020</v>
      </c>
      <c r="C441" s="41"/>
      <c r="D441" s="42" t="s">
        <v>114</v>
      </c>
      <c r="E441" s="43"/>
      <c r="F441" s="44"/>
      <c r="G441" s="44"/>
      <c r="H441" s="45"/>
    </row>
    <row r="442" spans="1:8" ht="13.45" customHeight="1" x14ac:dyDescent="0.45">
      <c r="A442" s="22" t="s">
        <v>1787</v>
      </c>
      <c r="B442" s="33">
        <v>1503020</v>
      </c>
      <c r="C442" s="33">
        <v>3.1</v>
      </c>
      <c r="D442" s="36" t="s">
        <v>116</v>
      </c>
      <c r="E442" s="23">
        <v>12</v>
      </c>
      <c r="F442" s="23" t="s">
        <v>17</v>
      </c>
      <c r="G442" s="24"/>
      <c r="H442" s="24">
        <f>G442*E442</f>
        <v>0</v>
      </c>
    </row>
    <row r="443" spans="1:8" x14ac:dyDescent="0.45">
      <c r="A443" s="22" t="s">
        <v>1788</v>
      </c>
      <c r="B443" s="33">
        <v>1503020</v>
      </c>
      <c r="C443" s="33">
        <v>3.2</v>
      </c>
      <c r="D443" s="36" t="s">
        <v>118</v>
      </c>
      <c r="E443" s="23">
        <v>12</v>
      </c>
      <c r="F443" s="23" t="s">
        <v>17</v>
      </c>
      <c r="G443" s="24"/>
      <c r="H443" s="24">
        <f>G443*E443</f>
        <v>0</v>
      </c>
    </row>
    <row r="444" spans="1:8" x14ac:dyDescent="0.45">
      <c r="A444" s="22" t="s">
        <v>1789</v>
      </c>
      <c r="B444" s="33">
        <v>1503020</v>
      </c>
      <c r="C444" s="33">
        <v>3.3</v>
      </c>
      <c r="D444" s="36" t="s">
        <v>120</v>
      </c>
      <c r="E444" s="23">
        <v>12</v>
      </c>
      <c r="F444" s="23" t="s">
        <v>17</v>
      </c>
      <c r="G444" s="24"/>
      <c r="H444" s="24">
        <f>G444*E444</f>
        <v>0</v>
      </c>
    </row>
    <row r="445" spans="1:8" x14ac:dyDescent="0.45">
      <c r="A445" s="40"/>
      <c r="B445" s="43">
        <v>1503030</v>
      </c>
      <c r="C445" s="41"/>
      <c r="D445" s="42" t="s">
        <v>121</v>
      </c>
      <c r="E445" s="43"/>
      <c r="F445" s="44"/>
      <c r="G445" s="44"/>
      <c r="H445" s="45"/>
    </row>
    <row r="446" spans="1:8" x14ac:dyDescent="0.45">
      <c r="A446" s="22" t="s">
        <v>1790</v>
      </c>
      <c r="B446" s="33">
        <v>1503030</v>
      </c>
      <c r="C446" s="33" t="s">
        <v>123</v>
      </c>
      <c r="D446" s="36" t="s">
        <v>124</v>
      </c>
      <c r="E446" s="23">
        <v>12</v>
      </c>
      <c r="F446" s="23" t="s">
        <v>17</v>
      </c>
      <c r="G446" s="24"/>
      <c r="H446" s="24">
        <f>G446*E446</f>
        <v>0</v>
      </c>
    </row>
    <row r="447" spans="1:8" x14ac:dyDescent="0.45">
      <c r="A447" s="58"/>
      <c r="B447" s="59"/>
      <c r="C447" s="59"/>
      <c r="D447" s="60" t="s">
        <v>449</v>
      </c>
      <c r="E447" s="59"/>
      <c r="F447" s="59"/>
      <c r="G447" s="59"/>
      <c r="H447" s="62">
        <f>SUM(H425:H446)</f>
        <v>0</v>
      </c>
    </row>
    <row r="448" spans="1:8" x14ac:dyDescent="0.45">
      <c r="A448" s="96"/>
      <c r="B448" s="97"/>
      <c r="C448" s="97"/>
      <c r="D448" s="116"/>
      <c r="E448" s="97"/>
      <c r="F448" s="97"/>
      <c r="G448" s="64"/>
      <c r="H448" s="99"/>
    </row>
    <row r="449" spans="1:8" x14ac:dyDescent="0.45">
      <c r="A449" s="12" t="s">
        <v>1791</v>
      </c>
      <c r="B449" s="13"/>
      <c r="C449" s="13"/>
      <c r="D449" s="12" t="s">
        <v>451</v>
      </c>
      <c r="E449" s="13"/>
      <c r="F449" s="13"/>
      <c r="G449" s="91"/>
      <c r="H449" s="102"/>
    </row>
    <row r="450" spans="1:8" x14ac:dyDescent="0.45">
      <c r="A450" s="368"/>
      <c r="B450" s="369">
        <v>1503010</v>
      </c>
      <c r="C450" s="369"/>
      <c r="D450" s="370" t="s">
        <v>109</v>
      </c>
      <c r="E450" s="282"/>
      <c r="F450" s="283"/>
      <c r="G450" s="283"/>
      <c r="H450" s="284"/>
    </row>
    <row r="451" spans="1:8" x14ac:dyDescent="0.45">
      <c r="A451" s="258" t="s">
        <v>5097</v>
      </c>
      <c r="B451" s="259">
        <v>1503010</v>
      </c>
      <c r="C451" s="259">
        <v>3.1</v>
      </c>
      <c r="D451" s="260" t="s">
        <v>111</v>
      </c>
      <c r="E451" s="261">
        <v>12</v>
      </c>
      <c r="F451" s="261" t="s">
        <v>17</v>
      </c>
      <c r="G451" s="262"/>
      <c r="H451" s="262">
        <f>G451*E451</f>
        <v>0</v>
      </c>
    </row>
    <row r="452" spans="1:8" x14ac:dyDescent="0.45">
      <c r="A452" s="40"/>
      <c r="B452" s="43">
        <v>1503020</v>
      </c>
      <c r="C452" s="41"/>
      <c r="D452" s="42" t="s">
        <v>114</v>
      </c>
      <c r="E452" s="43"/>
      <c r="F452" s="44"/>
      <c r="G452" s="44"/>
      <c r="H452" s="45"/>
    </row>
    <row r="453" spans="1:8" ht="13.45" customHeight="1" x14ac:dyDescent="0.45">
      <c r="A453" s="22" t="s">
        <v>5205</v>
      </c>
      <c r="B453" s="33">
        <v>1503020</v>
      </c>
      <c r="C453" s="33">
        <v>3.1</v>
      </c>
      <c r="D453" s="36" t="s">
        <v>116</v>
      </c>
      <c r="E453" s="23">
        <v>12</v>
      </c>
      <c r="F453" s="23" t="s">
        <v>17</v>
      </c>
      <c r="G453" s="24"/>
      <c r="H453" s="24">
        <f>G453*E453</f>
        <v>0</v>
      </c>
    </row>
    <row r="454" spans="1:8" x14ac:dyDescent="0.45">
      <c r="A454" s="22" t="s">
        <v>5206</v>
      </c>
      <c r="B454" s="33">
        <v>1503020</v>
      </c>
      <c r="C454" s="33">
        <v>3.3</v>
      </c>
      <c r="D454" s="36" t="s">
        <v>120</v>
      </c>
      <c r="E454" s="23">
        <v>12</v>
      </c>
      <c r="F454" s="23" t="s">
        <v>17</v>
      </c>
      <c r="G454" s="24"/>
      <c r="H454" s="24">
        <f>G454*E454</f>
        <v>0</v>
      </c>
    </row>
    <row r="455" spans="1:8" x14ac:dyDescent="0.45">
      <c r="A455" s="58"/>
      <c r="B455" s="59"/>
      <c r="C455" s="59"/>
      <c r="D455" s="60" t="s">
        <v>453</v>
      </c>
      <c r="E455" s="59"/>
      <c r="F455" s="59"/>
      <c r="G455" s="61"/>
      <c r="H455" s="62">
        <f>SUM(H451:H454)</f>
        <v>0</v>
      </c>
    </row>
    <row r="456" spans="1:8" s="389" customFormat="1" x14ac:dyDescent="0.45">
      <c r="A456" s="87"/>
      <c r="B456" s="88"/>
      <c r="C456" s="88"/>
      <c r="D456" s="89"/>
      <c r="E456" s="64"/>
      <c r="F456" s="64"/>
      <c r="G456" s="66"/>
      <c r="H456" s="66"/>
    </row>
    <row r="457" spans="1:8" s="389" customFormat="1" x14ac:dyDescent="0.45">
      <c r="A457" s="378" t="s">
        <v>5098</v>
      </c>
      <c r="B457" s="379"/>
      <c r="C457" s="380"/>
      <c r="D457" s="378" t="s">
        <v>5047</v>
      </c>
      <c r="E457" s="381"/>
      <c r="F457" s="381"/>
      <c r="G457" s="381"/>
      <c r="H457" s="381"/>
    </row>
    <row r="458" spans="1:8" s="389" customFormat="1" x14ac:dyDescent="0.4">
      <c r="A458" s="287"/>
      <c r="B458" s="382">
        <v>1502000</v>
      </c>
      <c r="C458" s="383"/>
      <c r="D458" s="384" t="s">
        <v>18</v>
      </c>
      <c r="E458" s="385"/>
      <c r="F458" s="385"/>
      <c r="G458" s="386"/>
      <c r="H458" s="386"/>
    </row>
    <row r="459" spans="1:8" s="389" customFormat="1" x14ac:dyDescent="0.45">
      <c r="A459" s="363"/>
      <c r="B459" s="373"/>
      <c r="C459" s="373">
        <v>3.6</v>
      </c>
      <c r="D459" s="374" t="s">
        <v>75</v>
      </c>
      <c r="E459" s="375"/>
      <c r="F459" s="375"/>
      <c r="G459" s="375"/>
      <c r="H459" s="375"/>
    </row>
    <row r="460" spans="1:8" s="389" customFormat="1" x14ac:dyDescent="0.45">
      <c r="A460" s="257" t="s">
        <v>5099</v>
      </c>
      <c r="B460" s="286">
        <v>1502000</v>
      </c>
      <c r="C460" s="301" t="s">
        <v>77</v>
      </c>
      <c r="D460" s="372" t="s">
        <v>78</v>
      </c>
      <c r="E460" s="286">
        <v>12</v>
      </c>
      <c r="F460" s="286" t="s">
        <v>17</v>
      </c>
      <c r="G460" s="302"/>
      <c r="H460" s="302">
        <f>G460*E460</f>
        <v>0</v>
      </c>
    </row>
    <row r="461" spans="1:8" s="389" customFormat="1" x14ac:dyDescent="0.45">
      <c r="A461" s="257" t="s">
        <v>5100</v>
      </c>
      <c r="B461" s="286">
        <v>1502000</v>
      </c>
      <c r="C461" s="301" t="s">
        <v>101</v>
      </c>
      <c r="D461" s="372" t="s">
        <v>102</v>
      </c>
      <c r="E461" s="286">
        <v>12</v>
      </c>
      <c r="F461" s="286" t="s">
        <v>17</v>
      </c>
      <c r="G461" s="302"/>
      <c r="H461" s="302">
        <f>G461*E461</f>
        <v>0</v>
      </c>
    </row>
    <row r="462" spans="1:8" s="389" customFormat="1" x14ac:dyDescent="0.45">
      <c r="A462" s="58"/>
      <c r="B462" s="59"/>
      <c r="C462" s="59"/>
      <c r="D462" s="387" t="s">
        <v>5048</v>
      </c>
      <c r="E462" s="59"/>
      <c r="F462" s="59"/>
      <c r="G462" s="61"/>
      <c r="H462" s="388">
        <f>SUM(H460:H461)</f>
        <v>0</v>
      </c>
    </row>
    <row r="463" spans="1:8" s="389" customFormat="1" x14ac:dyDescent="0.45">
      <c r="A463" s="87"/>
      <c r="B463" s="88"/>
      <c r="C463" s="88"/>
      <c r="D463" s="89"/>
      <c r="E463" s="64"/>
      <c r="F463" s="64"/>
      <c r="G463" s="66"/>
      <c r="H463" s="66"/>
    </row>
    <row r="464" spans="1:8" s="293" customFormat="1" x14ac:dyDescent="0.45">
      <c r="A464" s="378" t="s">
        <v>5101</v>
      </c>
      <c r="B464" s="380"/>
      <c r="C464" s="380"/>
      <c r="D464" s="378" t="s">
        <v>5050</v>
      </c>
      <c r="E464" s="381"/>
      <c r="F464" s="381"/>
      <c r="G464" s="381"/>
      <c r="H464" s="381"/>
    </row>
    <row r="465" spans="1:8" s="293" customFormat="1" x14ac:dyDescent="0.4">
      <c r="A465" s="287"/>
      <c r="B465" s="382">
        <v>1502000</v>
      </c>
      <c r="C465" s="383"/>
      <c r="D465" s="384" t="s">
        <v>18</v>
      </c>
      <c r="E465" s="290"/>
      <c r="F465" s="291"/>
      <c r="G465" s="291"/>
      <c r="H465" s="292"/>
    </row>
    <row r="466" spans="1:8" s="293" customFormat="1" x14ac:dyDescent="0.45">
      <c r="A466" s="363"/>
      <c r="B466" s="373"/>
      <c r="C466" s="373">
        <v>3.6</v>
      </c>
      <c r="D466" s="374" t="s">
        <v>75</v>
      </c>
      <c r="E466" s="375"/>
      <c r="F466" s="375"/>
      <c r="G466" s="375"/>
      <c r="H466" s="375"/>
    </row>
    <row r="467" spans="1:8" s="293" customFormat="1" x14ac:dyDescent="0.45">
      <c r="A467" s="257" t="s">
        <v>5102</v>
      </c>
      <c r="B467" s="286">
        <v>1502000</v>
      </c>
      <c r="C467" s="301" t="s">
        <v>77</v>
      </c>
      <c r="D467" s="372" t="s">
        <v>78</v>
      </c>
      <c r="E467" s="286">
        <v>12</v>
      </c>
      <c r="F467" s="286" t="s">
        <v>17</v>
      </c>
      <c r="G467" s="302"/>
      <c r="H467" s="302">
        <f>G467*E467</f>
        <v>0</v>
      </c>
    </row>
    <row r="468" spans="1:8" s="389" customFormat="1" x14ac:dyDescent="0.45">
      <c r="A468" s="58"/>
      <c r="B468" s="59"/>
      <c r="C468" s="59"/>
      <c r="D468" s="387" t="s">
        <v>5051</v>
      </c>
      <c r="E468" s="59"/>
      <c r="F468" s="59"/>
      <c r="G468" s="61"/>
      <c r="H468" s="388">
        <f>SUM(H466:H467)</f>
        <v>0</v>
      </c>
    </row>
    <row r="469" spans="1:8" s="389" customFormat="1" x14ac:dyDescent="0.45">
      <c r="B469" s="105"/>
      <c r="C469" s="105"/>
      <c r="D469" s="140"/>
      <c r="E469" s="105"/>
      <c r="F469" s="105"/>
      <c r="G469" s="141"/>
      <c r="H469" s="141"/>
    </row>
    <row r="470" spans="1:8" ht="7.5" customHeight="1" x14ac:dyDescent="0.45">
      <c r="A470" s="130"/>
      <c r="B470" s="131"/>
      <c r="C470" s="131"/>
      <c r="D470" s="132"/>
      <c r="E470" s="131"/>
      <c r="F470" s="133"/>
      <c r="G470" s="133"/>
      <c r="H470" s="134"/>
    </row>
    <row r="471" spans="1:8" s="139" customFormat="1" ht="15" x14ac:dyDescent="0.45">
      <c r="A471" s="135" t="s">
        <v>5095</v>
      </c>
      <c r="B471" s="136"/>
      <c r="C471" s="136"/>
      <c r="D471" s="137"/>
      <c r="E471" s="137"/>
      <c r="F471" s="137"/>
      <c r="G471" s="137"/>
      <c r="H471" s="138">
        <f>H455+H447+H420+H406+H396+H388+H345+H334+H303+H281+H272+H247+H242+H236+H216+H165+H150+H143+H136+H122+H97+H462+H468</f>
        <v>0</v>
      </c>
    </row>
  </sheetData>
  <mergeCells count="2354">
    <mergeCell ref="A9:H9"/>
    <mergeCell ref="A10:H10"/>
    <mergeCell ref="XER5:XEX5"/>
    <mergeCell ref="XEY5:XFB5"/>
    <mergeCell ref="A6:H6"/>
    <mergeCell ref="I6:N6"/>
    <mergeCell ref="A7:H7"/>
    <mergeCell ref="A8:H8"/>
    <mergeCell ref="XDB5:XDH5"/>
    <mergeCell ref="XDI5:XDO5"/>
    <mergeCell ref="XDP5:XDV5"/>
    <mergeCell ref="XDW5:XEC5"/>
    <mergeCell ref="XED5:XEJ5"/>
    <mergeCell ref="XEK5:XEQ5"/>
    <mergeCell ref="XBL5:XBR5"/>
    <mergeCell ref="XBS5:XBY5"/>
    <mergeCell ref="XBZ5:XCF5"/>
    <mergeCell ref="XCG5:XCM5"/>
    <mergeCell ref="XCN5:XCT5"/>
    <mergeCell ref="XCU5:XDA5"/>
    <mergeCell ref="WZV5:XAB5"/>
    <mergeCell ref="XAC5:XAI5"/>
    <mergeCell ref="XAJ5:XAP5"/>
    <mergeCell ref="XAQ5:XAW5"/>
    <mergeCell ref="XAX5:XBD5"/>
    <mergeCell ref="XBE5:XBK5"/>
    <mergeCell ref="WYF5:WYL5"/>
    <mergeCell ref="WYM5:WYS5"/>
    <mergeCell ref="WYT5:WYZ5"/>
    <mergeCell ref="WZA5:WZG5"/>
    <mergeCell ref="WZH5:WZN5"/>
    <mergeCell ref="WZO5:WZU5"/>
    <mergeCell ref="WWP5:WWV5"/>
    <mergeCell ref="WWW5:WXC5"/>
    <mergeCell ref="WXD5:WXJ5"/>
    <mergeCell ref="WXK5:WXQ5"/>
    <mergeCell ref="WXR5:WXX5"/>
    <mergeCell ref="WXY5:WYE5"/>
    <mergeCell ref="WUZ5:WVF5"/>
    <mergeCell ref="WVG5:WVM5"/>
    <mergeCell ref="WVN5:WVT5"/>
    <mergeCell ref="WVU5:WWA5"/>
    <mergeCell ref="WWB5:WWH5"/>
    <mergeCell ref="WWI5:WWO5"/>
    <mergeCell ref="WTJ5:WTP5"/>
    <mergeCell ref="WTQ5:WTW5"/>
    <mergeCell ref="WTX5:WUD5"/>
    <mergeCell ref="WUE5:WUK5"/>
    <mergeCell ref="WUL5:WUR5"/>
    <mergeCell ref="WUS5:WUY5"/>
    <mergeCell ref="WRT5:WRZ5"/>
    <mergeCell ref="WSA5:WSG5"/>
    <mergeCell ref="WSH5:WSN5"/>
    <mergeCell ref="WSO5:WSU5"/>
    <mergeCell ref="WSV5:WTB5"/>
    <mergeCell ref="WTC5:WTI5"/>
    <mergeCell ref="WQD5:WQJ5"/>
    <mergeCell ref="WQK5:WQQ5"/>
    <mergeCell ref="WQR5:WQX5"/>
    <mergeCell ref="WQY5:WRE5"/>
    <mergeCell ref="WRF5:WRL5"/>
    <mergeCell ref="WRM5:WRS5"/>
    <mergeCell ref="WON5:WOT5"/>
    <mergeCell ref="WOU5:WPA5"/>
    <mergeCell ref="WPB5:WPH5"/>
    <mergeCell ref="WPI5:WPO5"/>
    <mergeCell ref="WPP5:WPV5"/>
    <mergeCell ref="WPW5:WQC5"/>
    <mergeCell ref="WMX5:WND5"/>
    <mergeCell ref="WNE5:WNK5"/>
    <mergeCell ref="WNL5:WNR5"/>
    <mergeCell ref="WNS5:WNY5"/>
    <mergeCell ref="WNZ5:WOF5"/>
    <mergeCell ref="WOG5:WOM5"/>
    <mergeCell ref="WLH5:WLN5"/>
    <mergeCell ref="WLO5:WLU5"/>
    <mergeCell ref="WLV5:WMB5"/>
    <mergeCell ref="WMC5:WMI5"/>
    <mergeCell ref="WMJ5:WMP5"/>
    <mergeCell ref="WMQ5:WMW5"/>
    <mergeCell ref="WJR5:WJX5"/>
    <mergeCell ref="WJY5:WKE5"/>
    <mergeCell ref="WKF5:WKL5"/>
    <mergeCell ref="WKM5:WKS5"/>
    <mergeCell ref="WKT5:WKZ5"/>
    <mergeCell ref="WLA5:WLG5"/>
    <mergeCell ref="WIB5:WIH5"/>
    <mergeCell ref="WII5:WIO5"/>
    <mergeCell ref="WIP5:WIV5"/>
    <mergeCell ref="WIW5:WJC5"/>
    <mergeCell ref="WJD5:WJJ5"/>
    <mergeCell ref="WJK5:WJQ5"/>
    <mergeCell ref="WGL5:WGR5"/>
    <mergeCell ref="WGS5:WGY5"/>
    <mergeCell ref="WGZ5:WHF5"/>
    <mergeCell ref="WHG5:WHM5"/>
    <mergeCell ref="WHN5:WHT5"/>
    <mergeCell ref="WHU5:WIA5"/>
    <mergeCell ref="WEV5:WFB5"/>
    <mergeCell ref="WFC5:WFI5"/>
    <mergeCell ref="WFJ5:WFP5"/>
    <mergeCell ref="WFQ5:WFW5"/>
    <mergeCell ref="WFX5:WGD5"/>
    <mergeCell ref="WGE5:WGK5"/>
    <mergeCell ref="WDF5:WDL5"/>
    <mergeCell ref="WDM5:WDS5"/>
    <mergeCell ref="WDT5:WDZ5"/>
    <mergeCell ref="WEA5:WEG5"/>
    <mergeCell ref="WEH5:WEN5"/>
    <mergeCell ref="WEO5:WEU5"/>
    <mergeCell ref="WBP5:WBV5"/>
    <mergeCell ref="WBW5:WCC5"/>
    <mergeCell ref="WCD5:WCJ5"/>
    <mergeCell ref="WCK5:WCQ5"/>
    <mergeCell ref="WCR5:WCX5"/>
    <mergeCell ref="WCY5:WDE5"/>
    <mergeCell ref="VZZ5:WAF5"/>
    <mergeCell ref="WAG5:WAM5"/>
    <mergeCell ref="WAN5:WAT5"/>
    <mergeCell ref="WAU5:WBA5"/>
    <mergeCell ref="WBB5:WBH5"/>
    <mergeCell ref="WBI5:WBO5"/>
    <mergeCell ref="VYJ5:VYP5"/>
    <mergeCell ref="VYQ5:VYW5"/>
    <mergeCell ref="VYX5:VZD5"/>
    <mergeCell ref="VZE5:VZK5"/>
    <mergeCell ref="VZL5:VZR5"/>
    <mergeCell ref="VZS5:VZY5"/>
    <mergeCell ref="VWT5:VWZ5"/>
    <mergeCell ref="VXA5:VXG5"/>
    <mergeCell ref="VXH5:VXN5"/>
    <mergeCell ref="VXO5:VXU5"/>
    <mergeCell ref="VXV5:VYB5"/>
    <mergeCell ref="VYC5:VYI5"/>
    <mergeCell ref="VVD5:VVJ5"/>
    <mergeCell ref="VVK5:VVQ5"/>
    <mergeCell ref="VVR5:VVX5"/>
    <mergeCell ref="VVY5:VWE5"/>
    <mergeCell ref="VWF5:VWL5"/>
    <mergeCell ref="VWM5:VWS5"/>
    <mergeCell ref="VTN5:VTT5"/>
    <mergeCell ref="VTU5:VUA5"/>
    <mergeCell ref="VUB5:VUH5"/>
    <mergeCell ref="VUI5:VUO5"/>
    <mergeCell ref="VUP5:VUV5"/>
    <mergeCell ref="VUW5:VVC5"/>
    <mergeCell ref="VRX5:VSD5"/>
    <mergeCell ref="VSE5:VSK5"/>
    <mergeCell ref="VSL5:VSR5"/>
    <mergeCell ref="VSS5:VSY5"/>
    <mergeCell ref="VSZ5:VTF5"/>
    <mergeCell ref="VTG5:VTM5"/>
    <mergeCell ref="VQH5:VQN5"/>
    <mergeCell ref="VQO5:VQU5"/>
    <mergeCell ref="VQV5:VRB5"/>
    <mergeCell ref="VRC5:VRI5"/>
    <mergeCell ref="VRJ5:VRP5"/>
    <mergeCell ref="VRQ5:VRW5"/>
    <mergeCell ref="VOR5:VOX5"/>
    <mergeCell ref="VOY5:VPE5"/>
    <mergeCell ref="VPF5:VPL5"/>
    <mergeCell ref="VPM5:VPS5"/>
    <mergeCell ref="VPT5:VPZ5"/>
    <mergeCell ref="VQA5:VQG5"/>
    <mergeCell ref="VNB5:VNH5"/>
    <mergeCell ref="VNI5:VNO5"/>
    <mergeCell ref="VNP5:VNV5"/>
    <mergeCell ref="VNW5:VOC5"/>
    <mergeCell ref="VOD5:VOJ5"/>
    <mergeCell ref="VOK5:VOQ5"/>
    <mergeCell ref="VLL5:VLR5"/>
    <mergeCell ref="VLS5:VLY5"/>
    <mergeCell ref="VLZ5:VMF5"/>
    <mergeCell ref="VMG5:VMM5"/>
    <mergeCell ref="VMN5:VMT5"/>
    <mergeCell ref="VMU5:VNA5"/>
    <mergeCell ref="VJV5:VKB5"/>
    <mergeCell ref="VKC5:VKI5"/>
    <mergeCell ref="VKJ5:VKP5"/>
    <mergeCell ref="VKQ5:VKW5"/>
    <mergeCell ref="VKX5:VLD5"/>
    <mergeCell ref="VLE5:VLK5"/>
    <mergeCell ref="VIF5:VIL5"/>
    <mergeCell ref="VIM5:VIS5"/>
    <mergeCell ref="VIT5:VIZ5"/>
    <mergeCell ref="VJA5:VJG5"/>
    <mergeCell ref="VJH5:VJN5"/>
    <mergeCell ref="VJO5:VJU5"/>
    <mergeCell ref="VGP5:VGV5"/>
    <mergeCell ref="VGW5:VHC5"/>
    <mergeCell ref="VHD5:VHJ5"/>
    <mergeCell ref="VHK5:VHQ5"/>
    <mergeCell ref="VHR5:VHX5"/>
    <mergeCell ref="VHY5:VIE5"/>
    <mergeCell ref="VEZ5:VFF5"/>
    <mergeCell ref="VFG5:VFM5"/>
    <mergeCell ref="VFN5:VFT5"/>
    <mergeCell ref="VFU5:VGA5"/>
    <mergeCell ref="VGB5:VGH5"/>
    <mergeCell ref="VGI5:VGO5"/>
    <mergeCell ref="VDJ5:VDP5"/>
    <mergeCell ref="VDQ5:VDW5"/>
    <mergeCell ref="VDX5:VED5"/>
    <mergeCell ref="VEE5:VEK5"/>
    <mergeCell ref="VEL5:VER5"/>
    <mergeCell ref="VES5:VEY5"/>
    <mergeCell ref="VBT5:VBZ5"/>
    <mergeCell ref="VCA5:VCG5"/>
    <mergeCell ref="VCH5:VCN5"/>
    <mergeCell ref="VCO5:VCU5"/>
    <mergeCell ref="VCV5:VDB5"/>
    <mergeCell ref="VDC5:VDI5"/>
    <mergeCell ref="VAD5:VAJ5"/>
    <mergeCell ref="VAK5:VAQ5"/>
    <mergeCell ref="VAR5:VAX5"/>
    <mergeCell ref="VAY5:VBE5"/>
    <mergeCell ref="VBF5:VBL5"/>
    <mergeCell ref="VBM5:VBS5"/>
    <mergeCell ref="UYN5:UYT5"/>
    <mergeCell ref="UYU5:UZA5"/>
    <mergeCell ref="UZB5:UZH5"/>
    <mergeCell ref="UZI5:UZO5"/>
    <mergeCell ref="UZP5:UZV5"/>
    <mergeCell ref="UZW5:VAC5"/>
    <mergeCell ref="UWX5:UXD5"/>
    <mergeCell ref="UXE5:UXK5"/>
    <mergeCell ref="UXL5:UXR5"/>
    <mergeCell ref="UXS5:UXY5"/>
    <mergeCell ref="UXZ5:UYF5"/>
    <mergeCell ref="UYG5:UYM5"/>
    <mergeCell ref="UVH5:UVN5"/>
    <mergeCell ref="UVO5:UVU5"/>
    <mergeCell ref="UVV5:UWB5"/>
    <mergeCell ref="UWC5:UWI5"/>
    <mergeCell ref="UWJ5:UWP5"/>
    <mergeCell ref="UWQ5:UWW5"/>
    <mergeCell ref="UTR5:UTX5"/>
    <mergeCell ref="UTY5:UUE5"/>
    <mergeCell ref="UUF5:UUL5"/>
    <mergeCell ref="UUM5:UUS5"/>
    <mergeCell ref="UUT5:UUZ5"/>
    <mergeCell ref="UVA5:UVG5"/>
    <mergeCell ref="USB5:USH5"/>
    <mergeCell ref="USI5:USO5"/>
    <mergeCell ref="USP5:USV5"/>
    <mergeCell ref="USW5:UTC5"/>
    <mergeCell ref="UTD5:UTJ5"/>
    <mergeCell ref="UTK5:UTQ5"/>
    <mergeCell ref="UQL5:UQR5"/>
    <mergeCell ref="UQS5:UQY5"/>
    <mergeCell ref="UQZ5:URF5"/>
    <mergeCell ref="URG5:URM5"/>
    <mergeCell ref="URN5:URT5"/>
    <mergeCell ref="URU5:USA5"/>
    <mergeCell ref="UOV5:UPB5"/>
    <mergeCell ref="UPC5:UPI5"/>
    <mergeCell ref="UPJ5:UPP5"/>
    <mergeCell ref="UPQ5:UPW5"/>
    <mergeCell ref="UPX5:UQD5"/>
    <mergeCell ref="UQE5:UQK5"/>
    <mergeCell ref="UNF5:UNL5"/>
    <mergeCell ref="UNM5:UNS5"/>
    <mergeCell ref="UNT5:UNZ5"/>
    <mergeCell ref="UOA5:UOG5"/>
    <mergeCell ref="UOH5:UON5"/>
    <mergeCell ref="UOO5:UOU5"/>
    <mergeCell ref="ULP5:ULV5"/>
    <mergeCell ref="ULW5:UMC5"/>
    <mergeCell ref="UMD5:UMJ5"/>
    <mergeCell ref="UMK5:UMQ5"/>
    <mergeCell ref="UMR5:UMX5"/>
    <mergeCell ref="UMY5:UNE5"/>
    <mergeCell ref="UJZ5:UKF5"/>
    <mergeCell ref="UKG5:UKM5"/>
    <mergeCell ref="UKN5:UKT5"/>
    <mergeCell ref="UKU5:ULA5"/>
    <mergeCell ref="ULB5:ULH5"/>
    <mergeCell ref="ULI5:ULO5"/>
    <mergeCell ref="UIJ5:UIP5"/>
    <mergeCell ref="UIQ5:UIW5"/>
    <mergeCell ref="UIX5:UJD5"/>
    <mergeCell ref="UJE5:UJK5"/>
    <mergeCell ref="UJL5:UJR5"/>
    <mergeCell ref="UJS5:UJY5"/>
    <mergeCell ref="UGT5:UGZ5"/>
    <mergeCell ref="UHA5:UHG5"/>
    <mergeCell ref="UHH5:UHN5"/>
    <mergeCell ref="UHO5:UHU5"/>
    <mergeCell ref="UHV5:UIB5"/>
    <mergeCell ref="UIC5:UII5"/>
    <mergeCell ref="UFD5:UFJ5"/>
    <mergeCell ref="UFK5:UFQ5"/>
    <mergeCell ref="UFR5:UFX5"/>
    <mergeCell ref="UFY5:UGE5"/>
    <mergeCell ref="UGF5:UGL5"/>
    <mergeCell ref="UGM5:UGS5"/>
    <mergeCell ref="UDN5:UDT5"/>
    <mergeCell ref="UDU5:UEA5"/>
    <mergeCell ref="UEB5:UEH5"/>
    <mergeCell ref="UEI5:UEO5"/>
    <mergeCell ref="UEP5:UEV5"/>
    <mergeCell ref="UEW5:UFC5"/>
    <mergeCell ref="UBX5:UCD5"/>
    <mergeCell ref="UCE5:UCK5"/>
    <mergeCell ref="UCL5:UCR5"/>
    <mergeCell ref="UCS5:UCY5"/>
    <mergeCell ref="UCZ5:UDF5"/>
    <mergeCell ref="UDG5:UDM5"/>
    <mergeCell ref="UAH5:UAN5"/>
    <mergeCell ref="UAO5:UAU5"/>
    <mergeCell ref="UAV5:UBB5"/>
    <mergeCell ref="UBC5:UBI5"/>
    <mergeCell ref="UBJ5:UBP5"/>
    <mergeCell ref="UBQ5:UBW5"/>
    <mergeCell ref="TYR5:TYX5"/>
    <mergeCell ref="TYY5:TZE5"/>
    <mergeCell ref="TZF5:TZL5"/>
    <mergeCell ref="TZM5:TZS5"/>
    <mergeCell ref="TZT5:TZZ5"/>
    <mergeCell ref="UAA5:UAG5"/>
    <mergeCell ref="TXB5:TXH5"/>
    <mergeCell ref="TXI5:TXO5"/>
    <mergeCell ref="TXP5:TXV5"/>
    <mergeCell ref="TXW5:TYC5"/>
    <mergeCell ref="TYD5:TYJ5"/>
    <mergeCell ref="TYK5:TYQ5"/>
    <mergeCell ref="TVL5:TVR5"/>
    <mergeCell ref="TVS5:TVY5"/>
    <mergeCell ref="TVZ5:TWF5"/>
    <mergeCell ref="TWG5:TWM5"/>
    <mergeCell ref="TWN5:TWT5"/>
    <mergeCell ref="TWU5:TXA5"/>
    <mergeCell ref="TTV5:TUB5"/>
    <mergeCell ref="TUC5:TUI5"/>
    <mergeCell ref="TUJ5:TUP5"/>
    <mergeCell ref="TUQ5:TUW5"/>
    <mergeCell ref="TUX5:TVD5"/>
    <mergeCell ref="TVE5:TVK5"/>
    <mergeCell ref="TSF5:TSL5"/>
    <mergeCell ref="TSM5:TSS5"/>
    <mergeCell ref="TST5:TSZ5"/>
    <mergeCell ref="TTA5:TTG5"/>
    <mergeCell ref="TTH5:TTN5"/>
    <mergeCell ref="TTO5:TTU5"/>
    <mergeCell ref="TQP5:TQV5"/>
    <mergeCell ref="TQW5:TRC5"/>
    <mergeCell ref="TRD5:TRJ5"/>
    <mergeCell ref="TRK5:TRQ5"/>
    <mergeCell ref="TRR5:TRX5"/>
    <mergeCell ref="TRY5:TSE5"/>
    <mergeCell ref="TOZ5:TPF5"/>
    <mergeCell ref="TPG5:TPM5"/>
    <mergeCell ref="TPN5:TPT5"/>
    <mergeCell ref="TPU5:TQA5"/>
    <mergeCell ref="TQB5:TQH5"/>
    <mergeCell ref="TQI5:TQO5"/>
    <mergeCell ref="TNJ5:TNP5"/>
    <mergeCell ref="TNQ5:TNW5"/>
    <mergeCell ref="TNX5:TOD5"/>
    <mergeCell ref="TOE5:TOK5"/>
    <mergeCell ref="TOL5:TOR5"/>
    <mergeCell ref="TOS5:TOY5"/>
    <mergeCell ref="TLT5:TLZ5"/>
    <mergeCell ref="TMA5:TMG5"/>
    <mergeCell ref="TMH5:TMN5"/>
    <mergeCell ref="TMO5:TMU5"/>
    <mergeCell ref="TMV5:TNB5"/>
    <mergeCell ref="TNC5:TNI5"/>
    <mergeCell ref="TKD5:TKJ5"/>
    <mergeCell ref="TKK5:TKQ5"/>
    <mergeCell ref="TKR5:TKX5"/>
    <mergeCell ref="TKY5:TLE5"/>
    <mergeCell ref="TLF5:TLL5"/>
    <mergeCell ref="TLM5:TLS5"/>
    <mergeCell ref="TIN5:TIT5"/>
    <mergeCell ref="TIU5:TJA5"/>
    <mergeCell ref="TJB5:TJH5"/>
    <mergeCell ref="TJI5:TJO5"/>
    <mergeCell ref="TJP5:TJV5"/>
    <mergeCell ref="TJW5:TKC5"/>
    <mergeCell ref="TGX5:THD5"/>
    <mergeCell ref="THE5:THK5"/>
    <mergeCell ref="THL5:THR5"/>
    <mergeCell ref="THS5:THY5"/>
    <mergeCell ref="THZ5:TIF5"/>
    <mergeCell ref="TIG5:TIM5"/>
    <mergeCell ref="TFH5:TFN5"/>
    <mergeCell ref="TFO5:TFU5"/>
    <mergeCell ref="TFV5:TGB5"/>
    <mergeCell ref="TGC5:TGI5"/>
    <mergeCell ref="TGJ5:TGP5"/>
    <mergeCell ref="TGQ5:TGW5"/>
    <mergeCell ref="TDR5:TDX5"/>
    <mergeCell ref="TDY5:TEE5"/>
    <mergeCell ref="TEF5:TEL5"/>
    <mergeCell ref="TEM5:TES5"/>
    <mergeCell ref="TET5:TEZ5"/>
    <mergeCell ref="TFA5:TFG5"/>
    <mergeCell ref="TCB5:TCH5"/>
    <mergeCell ref="TCI5:TCO5"/>
    <mergeCell ref="TCP5:TCV5"/>
    <mergeCell ref="TCW5:TDC5"/>
    <mergeCell ref="TDD5:TDJ5"/>
    <mergeCell ref="TDK5:TDQ5"/>
    <mergeCell ref="TAL5:TAR5"/>
    <mergeCell ref="TAS5:TAY5"/>
    <mergeCell ref="TAZ5:TBF5"/>
    <mergeCell ref="TBG5:TBM5"/>
    <mergeCell ref="TBN5:TBT5"/>
    <mergeCell ref="TBU5:TCA5"/>
    <mergeCell ref="SYV5:SZB5"/>
    <mergeCell ref="SZC5:SZI5"/>
    <mergeCell ref="SZJ5:SZP5"/>
    <mergeCell ref="SZQ5:SZW5"/>
    <mergeCell ref="SZX5:TAD5"/>
    <mergeCell ref="TAE5:TAK5"/>
    <mergeCell ref="SXF5:SXL5"/>
    <mergeCell ref="SXM5:SXS5"/>
    <mergeCell ref="SXT5:SXZ5"/>
    <mergeCell ref="SYA5:SYG5"/>
    <mergeCell ref="SYH5:SYN5"/>
    <mergeCell ref="SYO5:SYU5"/>
    <mergeCell ref="SVP5:SVV5"/>
    <mergeCell ref="SVW5:SWC5"/>
    <mergeCell ref="SWD5:SWJ5"/>
    <mergeCell ref="SWK5:SWQ5"/>
    <mergeCell ref="SWR5:SWX5"/>
    <mergeCell ref="SWY5:SXE5"/>
    <mergeCell ref="STZ5:SUF5"/>
    <mergeCell ref="SUG5:SUM5"/>
    <mergeCell ref="SUN5:SUT5"/>
    <mergeCell ref="SUU5:SVA5"/>
    <mergeCell ref="SVB5:SVH5"/>
    <mergeCell ref="SVI5:SVO5"/>
    <mergeCell ref="SSJ5:SSP5"/>
    <mergeCell ref="SSQ5:SSW5"/>
    <mergeCell ref="SSX5:STD5"/>
    <mergeCell ref="STE5:STK5"/>
    <mergeCell ref="STL5:STR5"/>
    <mergeCell ref="STS5:STY5"/>
    <mergeCell ref="SQT5:SQZ5"/>
    <mergeCell ref="SRA5:SRG5"/>
    <mergeCell ref="SRH5:SRN5"/>
    <mergeCell ref="SRO5:SRU5"/>
    <mergeCell ref="SRV5:SSB5"/>
    <mergeCell ref="SSC5:SSI5"/>
    <mergeCell ref="SPD5:SPJ5"/>
    <mergeCell ref="SPK5:SPQ5"/>
    <mergeCell ref="SPR5:SPX5"/>
    <mergeCell ref="SPY5:SQE5"/>
    <mergeCell ref="SQF5:SQL5"/>
    <mergeCell ref="SQM5:SQS5"/>
    <mergeCell ref="SNN5:SNT5"/>
    <mergeCell ref="SNU5:SOA5"/>
    <mergeCell ref="SOB5:SOH5"/>
    <mergeCell ref="SOI5:SOO5"/>
    <mergeCell ref="SOP5:SOV5"/>
    <mergeCell ref="SOW5:SPC5"/>
    <mergeCell ref="SLX5:SMD5"/>
    <mergeCell ref="SME5:SMK5"/>
    <mergeCell ref="SML5:SMR5"/>
    <mergeCell ref="SMS5:SMY5"/>
    <mergeCell ref="SMZ5:SNF5"/>
    <mergeCell ref="SNG5:SNM5"/>
    <mergeCell ref="SKH5:SKN5"/>
    <mergeCell ref="SKO5:SKU5"/>
    <mergeCell ref="SKV5:SLB5"/>
    <mergeCell ref="SLC5:SLI5"/>
    <mergeCell ref="SLJ5:SLP5"/>
    <mergeCell ref="SLQ5:SLW5"/>
    <mergeCell ref="SIR5:SIX5"/>
    <mergeCell ref="SIY5:SJE5"/>
    <mergeCell ref="SJF5:SJL5"/>
    <mergeCell ref="SJM5:SJS5"/>
    <mergeCell ref="SJT5:SJZ5"/>
    <mergeCell ref="SKA5:SKG5"/>
    <mergeCell ref="SHB5:SHH5"/>
    <mergeCell ref="SHI5:SHO5"/>
    <mergeCell ref="SHP5:SHV5"/>
    <mergeCell ref="SHW5:SIC5"/>
    <mergeCell ref="SID5:SIJ5"/>
    <mergeCell ref="SIK5:SIQ5"/>
    <mergeCell ref="SFL5:SFR5"/>
    <mergeCell ref="SFS5:SFY5"/>
    <mergeCell ref="SFZ5:SGF5"/>
    <mergeCell ref="SGG5:SGM5"/>
    <mergeCell ref="SGN5:SGT5"/>
    <mergeCell ref="SGU5:SHA5"/>
    <mergeCell ref="SDV5:SEB5"/>
    <mergeCell ref="SEC5:SEI5"/>
    <mergeCell ref="SEJ5:SEP5"/>
    <mergeCell ref="SEQ5:SEW5"/>
    <mergeCell ref="SEX5:SFD5"/>
    <mergeCell ref="SFE5:SFK5"/>
    <mergeCell ref="SCF5:SCL5"/>
    <mergeCell ref="SCM5:SCS5"/>
    <mergeCell ref="SCT5:SCZ5"/>
    <mergeCell ref="SDA5:SDG5"/>
    <mergeCell ref="SDH5:SDN5"/>
    <mergeCell ref="SDO5:SDU5"/>
    <mergeCell ref="SAP5:SAV5"/>
    <mergeCell ref="SAW5:SBC5"/>
    <mergeCell ref="SBD5:SBJ5"/>
    <mergeCell ref="SBK5:SBQ5"/>
    <mergeCell ref="SBR5:SBX5"/>
    <mergeCell ref="SBY5:SCE5"/>
    <mergeCell ref="RYZ5:RZF5"/>
    <mergeCell ref="RZG5:RZM5"/>
    <mergeCell ref="RZN5:RZT5"/>
    <mergeCell ref="RZU5:SAA5"/>
    <mergeCell ref="SAB5:SAH5"/>
    <mergeCell ref="SAI5:SAO5"/>
    <mergeCell ref="RXJ5:RXP5"/>
    <mergeCell ref="RXQ5:RXW5"/>
    <mergeCell ref="RXX5:RYD5"/>
    <mergeCell ref="RYE5:RYK5"/>
    <mergeCell ref="RYL5:RYR5"/>
    <mergeCell ref="RYS5:RYY5"/>
    <mergeCell ref="RVT5:RVZ5"/>
    <mergeCell ref="RWA5:RWG5"/>
    <mergeCell ref="RWH5:RWN5"/>
    <mergeCell ref="RWO5:RWU5"/>
    <mergeCell ref="RWV5:RXB5"/>
    <mergeCell ref="RXC5:RXI5"/>
    <mergeCell ref="RUD5:RUJ5"/>
    <mergeCell ref="RUK5:RUQ5"/>
    <mergeCell ref="RUR5:RUX5"/>
    <mergeCell ref="RUY5:RVE5"/>
    <mergeCell ref="RVF5:RVL5"/>
    <mergeCell ref="RVM5:RVS5"/>
    <mergeCell ref="RSN5:RST5"/>
    <mergeCell ref="RSU5:RTA5"/>
    <mergeCell ref="RTB5:RTH5"/>
    <mergeCell ref="RTI5:RTO5"/>
    <mergeCell ref="RTP5:RTV5"/>
    <mergeCell ref="RTW5:RUC5"/>
    <mergeCell ref="RQX5:RRD5"/>
    <mergeCell ref="RRE5:RRK5"/>
    <mergeCell ref="RRL5:RRR5"/>
    <mergeCell ref="RRS5:RRY5"/>
    <mergeCell ref="RRZ5:RSF5"/>
    <mergeCell ref="RSG5:RSM5"/>
    <mergeCell ref="RPH5:RPN5"/>
    <mergeCell ref="RPO5:RPU5"/>
    <mergeCell ref="RPV5:RQB5"/>
    <mergeCell ref="RQC5:RQI5"/>
    <mergeCell ref="RQJ5:RQP5"/>
    <mergeCell ref="RQQ5:RQW5"/>
    <mergeCell ref="RNR5:RNX5"/>
    <mergeCell ref="RNY5:ROE5"/>
    <mergeCell ref="ROF5:ROL5"/>
    <mergeCell ref="ROM5:ROS5"/>
    <mergeCell ref="ROT5:ROZ5"/>
    <mergeCell ref="RPA5:RPG5"/>
    <mergeCell ref="RMB5:RMH5"/>
    <mergeCell ref="RMI5:RMO5"/>
    <mergeCell ref="RMP5:RMV5"/>
    <mergeCell ref="RMW5:RNC5"/>
    <mergeCell ref="RND5:RNJ5"/>
    <mergeCell ref="RNK5:RNQ5"/>
    <mergeCell ref="RKL5:RKR5"/>
    <mergeCell ref="RKS5:RKY5"/>
    <mergeCell ref="RKZ5:RLF5"/>
    <mergeCell ref="RLG5:RLM5"/>
    <mergeCell ref="RLN5:RLT5"/>
    <mergeCell ref="RLU5:RMA5"/>
    <mergeCell ref="RIV5:RJB5"/>
    <mergeCell ref="RJC5:RJI5"/>
    <mergeCell ref="RJJ5:RJP5"/>
    <mergeCell ref="RJQ5:RJW5"/>
    <mergeCell ref="RJX5:RKD5"/>
    <mergeCell ref="RKE5:RKK5"/>
    <mergeCell ref="RHF5:RHL5"/>
    <mergeCell ref="RHM5:RHS5"/>
    <mergeCell ref="RHT5:RHZ5"/>
    <mergeCell ref="RIA5:RIG5"/>
    <mergeCell ref="RIH5:RIN5"/>
    <mergeCell ref="RIO5:RIU5"/>
    <mergeCell ref="RFP5:RFV5"/>
    <mergeCell ref="RFW5:RGC5"/>
    <mergeCell ref="RGD5:RGJ5"/>
    <mergeCell ref="RGK5:RGQ5"/>
    <mergeCell ref="RGR5:RGX5"/>
    <mergeCell ref="RGY5:RHE5"/>
    <mergeCell ref="RDZ5:REF5"/>
    <mergeCell ref="REG5:REM5"/>
    <mergeCell ref="REN5:RET5"/>
    <mergeCell ref="REU5:RFA5"/>
    <mergeCell ref="RFB5:RFH5"/>
    <mergeCell ref="RFI5:RFO5"/>
    <mergeCell ref="RCJ5:RCP5"/>
    <mergeCell ref="RCQ5:RCW5"/>
    <mergeCell ref="RCX5:RDD5"/>
    <mergeCell ref="RDE5:RDK5"/>
    <mergeCell ref="RDL5:RDR5"/>
    <mergeCell ref="RDS5:RDY5"/>
    <mergeCell ref="RAT5:RAZ5"/>
    <mergeCell ref="RBA5:RBG5"/>
    <mergeCell ref="RBH5:RBN5"/>
    <mergeCell ref="RBO5:RBU5"/>
    <mergeCell ref="RBV5:RCB5"/>
    <mergeCell ref="RCC5:RCI5"/>
    <mergeCell ref="QZD5:QZJ5"/>
    <mergeCell ref="QZK5:QZQ5"/>
    <mergeCell ref="QZR5:QZX5"/>
    <mergeCell ref="QZY5:RAE5"/>
    <mergeCell ref="RAF5:RAL5"/>
    <mergeCell ref="RAM5:RAS5"/>
    <mergeCell ref="QXN5:QXT5"/>
    <mergeCell ref="QXU5:QYA5"/>
    <mergeCell ref="QYB5:QYH5"/>
    <mergeCell ref="QYI5:QYO5"/>
    <mergeCell ref="QYP5:QYV5"/>
    <mergeCell ref="QYW5:QZC5"/>
    <mergeCell ref="QVX5:QWD5"/>
    <mergeCell ref="QWE5:QWK5"/>
    <mergeCell ref="QWL5:QWR5"/>
    <mergeCell ref="QWS5:QWY5"/>
    <mergeCell ref="QWZ5:QXF5"/>
    <mergeCell ref="QXG5:QXM5"/>
    <mergeCell ref="QUH5:QUN5"/>
    <mergeCell ref="QUO5:QUU5"/>
    <mergeCell ref="QUV5:QVB5"/>
    <mergeCell ref="QVC5:QVI5"/>
    <mergeCell ref="QVJ5:QVP5"/>
    <mergeCell ref="QVQ5:QVW5"/>
    <mergeCell ref="QSR5:QSX5"/>
    <mergeCell ref="QSY5:QTE5"/>
    <mergeCell ref="QTF5:QTL5"/>
    <mergeCell ref="QTM5:QTS5"/>
    <mergeCell ref="QTT5:QTZ5"/>
    <mergeCell ref="QUA5:QUG5"/>
    <mergeCell ref="QRB5:QRH5"/>
    <mergeCell ref="QRI5:QRO5"/>
    <mergeCell ref="QRP5:QRV5"/>
    <mergeCell ref="QRW5:QSC5"/>
    <mergeCell ref="QSD5:QSJ5"/>
    <mergeCell ref="QSK5:QSQ5"/>
    <mergeCell ref="QPL5:QPR5"/>
    <mergeCell ref="QPS5:QPY5"/>
    <mergeCell ref="QPZ5:QQF5"/>
    <mergeCell ref="QQG5:QQM5"/>
    <mergeCell ref="QQN5:QQT5"/>
    <mergeCell ref="QQU5:QRA5"/>
    <mergeCell ref="QNV5:QOB5"/>
    <mergeCell ref="QOC5:QOI5"/>
    <mergeCell ref="QOJ5:QOP5"/>
    <mergeCell ref="QOQ5:QOW5"/>
    <mergeCell ref="QOX5:QPD5"/>
    <mergeCell ref="QPE5:QPK5"/>
    <mergeCell ref="QMF5:QML5"/>
    <mergeCell ref="QMM5:QMS5"/>
    <mergeCell ref="QMT5:QMZ5"/>
    <mergeCell ref="QNA5:QNG5"/>
    <mergeCell ref="QNH5:QNN5"/>
    <mergeCell ref="QNO5:QNU5"/>
    <mergeCell ref="QKP5:QKV5"/>
    <mergeCell ref="QKW5:QLC5"/>
    <mergeCell ref="QLD5:QLJ5"/>
    <mergeCell ref="QLK5:QLQ5"/>
    <mergeCell ref="QLR5:QLX5"/>
    <mergeCell ref="QLY5:QME5"/>
    <mergeCell ref="QIZ5:QJF5"/>
    <mergeCell ref="QJG5:QJM5"/>
    <mergeCell ref="QJN5:QJT5"/>
    <mergeCell ref="QJU5:QKA5"/>
    <mergeCell ref="QKB5:QKH5"/>
    <mergeCell ref="QKI5:QKO5"/>
    <mergeCell ref="QHJ5:QHP5"/>
    <mergeCell ref="QHQ5:QHW5"/>
    <mergeCell ref="QHX5:QID5"/>
    <mergeCell ref="QIE5:QIK5"/>
    <mergeCell ref="QIL5:QIR5"/>
    <mergeCell ref="QIS5:QIY5"/>
    <mergeCell ref="QFT5:QFZ5"/>
    <mergeCell ref="QGA5:QGG5"/>
    <mergeCell ref="QGH5:QGN5"/>
    <mergeCell ref="QGO5:QGU5"/>
    <mergeCell ref="QGV5:QHB5"/>
    <mergeCell ref="QHC5:QHI5"/>
    <mergeCell ref="QED5:QEJ5"/>
    <mergeCell ref="QEK5:QEQ5"/>
    <mergeCell ref="QER5:QEX5"/>
    <mergeCell ref="QEY5:QFE5"/>
    <mergeCell ref="QFF5:QFL5"/>
    <mergeCell ref="QFM5:QFS5"/>
    <mergeCell ref="QCN5:QCT5"/>
    <mergeCell ref="QCU5:QDA5"/>
    <mergeCell ref="QDB5:QDH5"/>
    <mergeCell ref="QDI5:QDO5"/>
    <mergeCell ref="QDP5:QDV5"/>
    <mergeCell ref="QDW5:QEC5"/>
    <mergeCell ref="QAX5:QBD5"/>
    <mergeCell ref="QBE5:QBK5"/>
    <mergeCell ref="QBL5:QBR5"/>
    <mergeCell ref="QBS5:QBY5"/>
    <mergeCell ref="QBZ5:QCF5"/>
    <mergeCell ref="QCG5:QCM5"/>
    <mergeCell ref="PZH5:PZN5"/>
    <mergeCell ref="PZO5:PZU5"/>
    <mergeCell ref="PZV5:QAB5"/>
    <mergeCell ref="QAC5:QAI5"/>
    <mergeCell ref="QAJ5:QAP5"/>
    <mergeCell ref="QAQ5:QAW5"/>
    <mergeCell ref="PXR5:PXX5"/>
    <mergeCell ref="PXY5:PYE5"/>
    <mergeCell ref="PYF5:PYL5"/>
    <mergeCell ref="PYM5:PYS5"/>
    <mergeCell ref="PYT5:PYZ5"/>
    <mergeCell ref="PZA5:PZG5"/>
    <mergeCell ref="PWB5:PWH5"/>
    <mergeCell ref="PWI5:PWO5"/>
    <mergeCell ref="PWP5:PWV5"/>
    <mergeCell ref="PWW5:PXC5"/>
    <mergeCell ref="PXD5:PXJ5"/>
    <mergeCell ref="PXK5:PXQ5"/>
    <mergeCell ref="PUL5:PUR5"/>
    <mergeCell ref="PUS5:PUY5"/>
    <mergeCell ref="PUZ5:PVF5"/>
    <mergeCell ref="PVG5:PVM5"/>
    <mergeCell ref="PVN5:PVT5"/>
    <mergeCell ref="PVU5:PWA5"/>
    <mergeCell ref="PSV5:PTB5"/>
    <mergeCell ref="PTC5:PTI5"/>
    <mergeCell ref="PTJ5:PTP5"/>
    <mergeCell ref="PTQ5:PTW5"/>
    <mergeCell ref="PTX5:PUD5"/>
    <mergeCell ref="PUE5:PUK5"/>
    <mergeCell ref="PRF5:PRL5"/>
    <mergeCell ref="PRM5:PRS5"/>
    <mergeCell ref="PRT5:PRZ5"/>
    <mergeCell ref="PSA5:PSG5"/>
    <mergeCell ref="PSH5:PSN5"/>
    <mergeCell ref="PSO5:PSU5"/>
    <mergeCell ref="PPP5:PPV5"/>
    <mergeCell ref="PPW5:PQC5"/>
    <mergeCell ref="PQD5:PQJ5"/>
    <mergeCell ref="PQK5:PQQ5"/>
    <mergeCell ref="PQR5:PQX5"/>
    <mergeCell ref="PQY5:PRE5"/>
    <mergeCell ref="PNZ5:POF5"/>
    <mergeCell ref="POG5:POM5"/>
    <mergeCell ref="PON5:POT5"/>
    <mergeCell ref="POU5:PPA5"/>
    <mergeCell ref="PPB5:PPH5"/>
    <mergeCell ref="PPI5:PPO5"/>
    <mergeCell ref="PMJ5:PMP5"/>
    <mergeCell ref="PMQ5:PMW5"/>
    <mergeCell ref="PMX5:PND5"/>
    <mergeCell ref="PNE5:PNK5"/>
    <mergeCell ref="PNL5:PNR5"/>
    <mergeCell ref="PNS5:PNY5"/>
    <mergeCell ref="PKT5:PKZ5"/>
    <mergeCell ref="PLA5:PLG5"/>
    <mergeCell ref="PLH5:PLN5"/>
    <mergeCell ref="PLO5:PLU5"/>
    <mergeCell ref="PLV5:PMB5"/>
    <mergeCell ref="PMC5:PMI5"/>
    <mergeCell ref="PJD5:PJJ5"/>
    <mergeCell ref="PJK5:PJQ5"/>
    <mergeCell ref="PJR5:PJX5"/>
    <mergeCell ref="PJY5:PKE5"/>
    <mergeCell ref="PKF5:PKL5"/>
    <mergeCell ref="PKM5:PKS5"/>
    <mergeCell ref="PHN5:PHT5"/>
    <mergeCell ref="PHU5:PIA5"/>
    <mergeCell ref="PIB5:PIH5"/>
    <mergeCell ref="PII5:PIO5"/>
    <mergeCell ref="PIP5:PIV5"/>
    <mergeCell ref="PIW5:PJC5"/>
    <mergeCell ref="PFX5:PGD5"/>
    <mergeCell ref="PGE5:PGK5"/>
    <mergeCell ref="PGL5:PGR5"/>
    <mergeCell ref="PGS5:PGY5"/>
    <mergeCell ref="PGZ5:PHF5"/>
    <mergeCell ref="PHG5:PHM5"/>
    <mergeCell ref="PEH5:PEN5"/>
    <mergeCell ref="PEO5:PEU5"/>
    <mergeCell ref="PEV5:PFB5"/>
    <mergeCell ref="PFC5:PFI5"/>
    <mergeCell ref="PFJ5:PFP5"/>
    <mergeCell ref="PFQ5:PFW5"/>
    <mergeCell ref="PCR5:PCX5"/>
    <mergeCell ref="PCY5:PDE5"/>
    <mergeCell ref="PDF5:PDL5"/>
    <mergeCell ref="PDM5:PDS5"/>
    <mergeCell ref="PDT5:PDZ5"/>
    <mergeCell ref="PEA5:PEG5"/>
    <mergeCell ref="PBB5:PBH5"/>
    <mergeCell ref="PBI5:PBO5"/>
    <mergeCell ref="PBP5:PBV5"/>
    <mergeCell ref="PBW5:PCC5"/>
    <mergeCell ref="PCD5:PCJ5"/>
    <mergeCell ref="PCK5:PCQ5"/>
    <mergeCell ref="OZL5:OZR5"/>
    <mergeCell ref="OZS5:OZY5"/>
    <mergeCell ref="OZZ5:PAF5"/>
    <mergeCell ref="PAG5:PAM5"/>
    <mergeCell ref="PAN5:PAT5"/>
    <mergeCell ref="PAU5:PBA5"/>
    <mergeCell ref="OXV5:OYB5"/>
    <mergeCell ref="OYC5:OYI5"/>
    <mergeCell ref="OYJ5:OYP5"/>
    <mergeCell ref="OYQ5:OYW5"/>
    <mergeCell ref="OYX5:OZD5"/>
    <mergeCell ref="OZE5:OZK5"/>
    <mergeCell ref="OWF5:OWL5"/>
    <mergeCell ref="OWM5:OWS5"/>
    <mergeCell ref="OWT5:OWZ5"/>
    <mergeCell ref="OXA5:OXG5"/>
    <mergeCell ref="OXH5:OXN5"/>
    <mergeCell ref="OXO5:OXU5"/>
    <mergeCell ref="OUP5:OUV5"/>
    <mergeCell ref="OUW5:OVC5"/>
    <mergeCell ref="OVD5:OVJ5"/>
    <mergeCell ref="OVK5:OVQ5"/>
    <mergeCell ref="OVR5:OVX5"/>
    <mergeCell ref="OVY5:OWE5"/>
    <mergeCell ref="OSZ5:OTF5"/>
    <mergeCell ref="OTG5:OTM5"/>
    <mergeCell ref="OTN5:OTT5"/>
    <mergeCell ref="OTU5:OUA5"/>
    <mergeCell ref="OUB5:OUH5"/>
    <mergeCell ref="OUI5:OUO5"/>
    <mergeCell ref="ORJ5:ORP5"/>
    <mergeCell ref="ORQ5:ORW5"/>
    <mergeCell ref="ORX5:OSD5"/>
    <mergeCell ref="OSE5:OSK5"/>
    <mergeCell ref="OSL5:OSR5"/>
    <mergeCell ref="OSS5:OSY5"/>
    <mergeCell ref="OPT5:OPZ5"/>
    <mergeCell ref="OQA5:OQG5"/>
    <mergeCell ref="OQH5:OQN5"/>
    <mergeCell ref="OQO5:OQU5"/>
    <mergeCell ref="OQV5:ORB5"/>
    <mergeCell ref="ORC5:ORI5"/>
    <mergeCell ref="OOD5:OOJ5"/>
    <mergeCell ref="OOK5:OOQ5"/>
    <mergeCell ref="OOR5:OOX5"/>
    <mergeCell ref="OOY5:OPE5"/>
    <mergeCell ref="OPF5:OPL5"/>
    <mergeCell ref="OPM5:OPS5"/>
    <mergeCell ref="OMN5:OMT5"/>
    <mergeCell ref="OMU5:ONA5"/>
    <mergeCell ref="ONB5:ONH5"/>
    <mergeCell ref="ONI5:ONO5"/>
    <mergeCell ref="ONP5:ONV5"/>
    <mergeCell ref="ONW5:OOC5"/>
    <mergeCell ref="OKX5:OLD5"/>
    <mergeCell ref="OLE5:OLK5"/>
    <mergeCell ref="OLL5:OLR5"/>
    <mergeCell ref="OLS5:OLY5"/>
    <mergeCell ref="OLZ5:OMF5"/>
    <mergeCell ref="OMG5:OMM5"/>
    <mergeCell ref="OJH5:OJN5"/>
    <mergeCell ref="OJO5:OJU5"/>
    <mergeCell ref="OJV5:OKB5"/>
    <mergeCell ref="OKC5:OKI5"/>
    <mergeCell ref="OKJ5:OKP5"/>
    <mergeCell ref="OKQ5:OKW5"/>
    <mergeCell ref="OHR5:OHX5"/>
    <mergeCell ref="OHY5:OIE5"/>
    <mergeCell ref="OIF5:OIL5"/>
    <mergeCell ref="OIM5:OIS5"/>
    <mergeCell ref="OIT5:OIZ5"/>
    <mergeCell ref="OJA5:OJG5"/>
    <mergeCell ref="OGB5:OGH5"/>
    <mergeCell ref="OGI5:OGO5"/>
    <mergeCell ref="OGP5:OGV5"/>
    <mergeCell ref="OGW5:OHC5"/>
    <mergeCell ref="OHD5:OHJ5"/>
    <mergeCell ref="OHK5:OHQ5"/>
    <mergeCell ref="OEL5:OER5"/>
    <mergeCell ref="OES5:OEY5"/>
    <mergeCell ref="OEZ5:OFF5"/>
    <mergeCell ref="OFG5:OFM5"/>
    <mergeCell ref="OFN5:OFT5"/>
    <mergeCell ref="OFU5:OGA5"/>
    <mergeCell ref="OCV5:ODB5"/>
    <mergeCell ref="ODC5:ODI5"/>
    <mergeCell ref="ODJ5:ODP5"/>
    <mergeCell ref="ODQ5:ODW5"/>
    <mergeCell ref="ODX5:OED5"/>
    <mergeCell ref="OEE5:OEK5"/>
    <mergeCell ref="OBF5:OBL5"/>
    <mergeCell ref="OBM5:OBS5"/>
    <mergeCell ref="OBT5:OBZ5"/>
    <mergeCell ref="OCA5:OCG5"/>
    <mergeCell ref="OCH5:OCN5"/>
    <mergeCell ref="OCO5:OCU5"/>
    <mergeCell ref="NZP5:NZV5"/>
    <mergeCell ref="NZW5:OAC5"/>
    <mergeCell ref="OAD5:OAJ5"/>
    <mergeCell ref="OAK5:OAQ5"/>
    <mergeCell ref="OAR5:OAX5"/>
    <mergeCell ref="OAY5:OBE5"/>
    <mergeCell ref="NXZ5:NYF5"/>
    <mergeCell ref="NYG5:NYM5"/>
    <mergeCell ref="NYN5:NYT5"/>
    <mergeCell ref="NYU5:NZA5"/>
    <mergeCell ref="NZB5:NZH5"/>
    <mergeCell ref="NZI5:NZO5"/>
    <mergeCell ref="NWJ5:NWP5"/>
    <mergeCell ref="NWQ5:NWW5"/>
    <mergeCell ref="NWX5:NXD5"/>
    <mergeCell ref="NXE5:NXK5"/>
    <mergeCell ref="NXL5:NXR5"/>
    <mergeCell ref="NXS5:NXY5"/>
    <mergeCell ref="NUT5:NUZ5"/>
    <mergeCell ref="NVA5:NVG5"/>
    <mergeCell ref="NVH5:NVN5"/>
    <mergeCell ref="NVO5:NVU5"/>
    <mergeCell ref="NVV5:NWB5"/>
    <mergeCell ref="NWC5:NWI5"/>
    <mergeCell ref="NTD5:NTJ5"/>
    <mergeCell ref="NTK5:NTQ5"/>
    <mergeCell ref="NTR5:NTX5"/>
    <mergeCell ref="NTY5:NUE5"/>
    <mergeCell ref="NUF5:NUL5"/>
    <mergeCell ref="NUM5:NUS5"/>
    <mergeCell ref="NRN5:NRT5"/>
    <mergeCell ref="NRU5:NSA5"/>
    <mergeCell ref="NSB5:NSH5"/>
    <mergeCell ref="NSI5:NSO5"/>
    <mergeCell ref="NSP5:NSV5"/>
    <mergeCell ref="NSW5:NTC5"/>
    <mergeCell ref="NPX5:NQD5"/>
    <mergeCell ref="NQE5:NQK5"/>
    <mergeCell ref="NQL5:NQR5"/>
    <mergeCell ref="NQS5:NQY5"/>
    <mergeCell ref="NQZ5:NRF5"/>
    <mergeCell ref="NRG5:NRM5"/>
    <mergeCell ref="NOH5:NON5"/>
    <mergeCell ref="NOO5:NOU5"/>
    <mergeCell ref="NOV5:NPB5"/>
    <mergeCell ref="NPC5:NPI5"/>
    <mergeCell ref="NPJ5:NPP5"/>
    <mergeCell ref="NPQ5:NPW5"/>
    <mergeCell ref="NMR5:NMX5"/>
    <mergeCell ref="NMY5:NNE5"/>
    <mergeCell ref="NNF5:NNL5"/>
    <mergeCell ref="NNM5:NNS5"/>
    <mergeCell ref="NNT5:NNZ5"/>
    <mergeCell ref="NOA5:NOG5"/>
    <mergeCell ref="NLB5:NLH5"/>
    <mergeCell ref="NLI5:NLO5"/>
    <mergeCell ref="NLP5:NLV5"/>
    <mergeCell ref="NLW5:NMC5"/>
    <mergeCell ref="NMD5:NMJ5"/>
    <mergeCell ref="NMK5:NMQ5"/>
    <mergeCell ref="NJL5:NJR5"/>
    <mergeCell ref="NJS5:NJY5"/>
    <mergeCell ref="NJZ5:NKF5"/>
    <mergeCell ref="NKG5:NKM5"/>
    <mergeCell ref="NKN5:NKT5"/>
    <mergeCell ref="NKU5:NLA5"/>
    <mergeCell ref="NHV5:NIB5"/>
    <mergeCell ref="NIC5:NII5"/>
    <mergeCell ref="NIJ5:NIP5"/>
    <mergeCell ref="NIQ5:NIW5"/>
    <mergeCell ref="NIX5:NJD5"/>
    <mergeCell ref="NJE5:NJK5"/>
    <mergeCell ref="NGF5:NGL5"/>
    <mergeCell ref="NGM5:NGS5"/>
    <mergeCell ref="NGT5:NGZ5"/>
    <mergeCell ref="NHA5:NHG5"/>
    <mergeCell ref="NHH5:NHN5"/>
    <mergeCell ref="NHO5:NHU5"/>
    <mergeCell ref="NEP5:NEV5"/>
    <mergeCell ref="NEW5:NFC5"/>
    <mergeCell ref="NFD5:NFJ5"/>
    <mergeCell ref="NFK5:NFQ5"/>
    <mergeCell ref="NFR5:NFX5"/>
    <mergeCell ref="NFY5:NGE5"/>
    <mergeCell ref="NCZ5:NDF5"/>
    <mergeCell ref="NDG5:NDM5"/>
    <mergeCell ref="NDN5:NDT5"/>
    <mergeCell ref="NDU5:NEA5"/>
    <mergeCell ref="NEB5:NEH5"/>
    <mergeCell ref="NEI5:NEO5"/>
    <mergeCell ref="NBJ5:NBP5"/>
    <mergeCell ref="NBQ5:NBW5"/>
    <mergeCell ref="NBX5:NCD5"/>
    <mergeCell ref="NCE5:NCK5"/>
    <mergeCell ref="NCL5:NCR5"/>
    <mergeCell ref="NCS5:NCY5"/>
    <mergeCell ref="MZT5:MZZ5"/>
    <mergeCell ref="NAA5:NAG5"/>
    <mergeCell ref="NAH5:NAN5"/>
    <mergeCell ref="NAO5:NAU5"/>
    <mergeCell ref="NAV5:NBB5"/>
    <mergeCell ref="NBC5:NBI5"/>
    <mergeCell ref="MYD5:MYJ5"/>
    <mergeCell ref="MYK5:MYQ5"/>
    <mergeCell ref="MYR5:MYX5"/>
    <mergeCell ref="MYY5:MZE5"/>
    <mergeCell ref="MZF5:MZL5"/>
    <mergeCell ref="MZM5:MZS5"/>
    <mergeCell ref="MWN5:MWT5"/>
    <mergeCell ref="MWU5:MXA5"/>
    <mergeCell ref="MXB5:MXH5"/>
    <mergeCell ref="MXI5:MXO5"/>
    <mergeCell ref="MXP5:MXV5"/>
    <mergeCell ref="MXW5:MYC5"/>
    <mergeCell ref="MUX5:MVD5"/>
    <mergeCell ref="MVE5:MVK5"/>
    <mergeCell ref="MVL5:MVR5"/>
    <mergeCell ref="MVS5:MVY5"/>
    <mergeCell ref="MVZ5:MWF5"/>
    <mergeCell ref="MWG5:MWM5"/>
    <mergeCell ref="MTH5:MTN5"/>
    <mergeCell ref="MTO5:MTU5"/>
    <mergeCell ref="MTV5:MUB5"/>
    <mergeCell ref="MUC5:MUI5"/>
    <mergeCell ref="MUJ5:MUP5"/>
    <mergeCell ref="MUQ5:MUW5"/>
    <mergeCell ref="MRR5:MRX5"/>
    <mergeCell ref="MRY5:MSE5"/>
    <mergeCell ref="MSF5:MSL5"/>
    <mergeCell ref="MSM5:MSS5"/>
    <mergeCell ref="MST5:MSZ5"/>
    <mergeCell ref="MTA5:MTG5"/>
    <mergeCell ref="MQB5:MQH5"/>
    <mergeCell ref="MQI5:MQO5"/>
    <mergeCell ref="MQP5:MQV5"/>
    <mergeCell ref="MQW5:MRC5"/>
    <mergeCell ref="MRD5:MRJ5"/>
    <mergeCell ref="MRK5:MRQ5"/>
    <mergeCell ref="MOL5:MOR5"/>
    <mergeCell ref="MOS5:MOY5"/>
    <mergeCell ref="MOZ5:MPF5"/>
    <mergeCell ref="MPG5:MPM5"/>
    <mergeCell ref="MPN5:MPT5"/>
    <mergeCell ref="MPU5:MQA5"/>
    <mergeCell ref="MMV5:MNB5"/>
    <mergeCell ref="MNC5:MNI5"/>
    <mergeCell ref="MNJ5:MNP5"/>
    <mergeCell ref="MNQ5:MNW5"/>
    <mergeCell ref="MNX5:MOD5"/>
    <mergeCell ref="MOE5:MOK5"/>
    <mergeCell ref="MLF5:MLL5"/>
    <mergeCell ref="MLM5:MLS5"/>
    <mergeCell ref="MLT5:MLZ5"/>
    <mergeCell ref="MMA5:MMG5"/>
    <mergeCell ref="MMH5:MMN5"/>
    <mergeCell ref="MMO5:MMU5"/>
    <mergeCell ref="MJP5:MJV5"/>
    <mergeCell ref="MJW5:MKC5"/>
    <mergeCell ref="MKD5:MKJ5"/>
    <mergeCell ref="MKK5:MKQ5"/>
    <mergeCell ref="MKR5:MKX5"/>
    <mergeCell ref="MKY5:MLE5"/>
    <mergeCell ref="MHZ5:MIF5"/>
    <mergeCell ref="MIG5:MIM5"/>
    <mergeCell ref="MIN5:MIT5"/>
    <mergeCell ref="MIU5:MJA5"/>
    <mergeCell ref="MJB5:MJH5"/>
    <mergeCell ref="MJI5:MJO5"/>
    <mergeCell ref="MGJ5:MGP5"/>
    <mergeCell ref="MGQ5:MGW5"/>
    <mergeCell ref="MGX5:MHD5"/>
    <mergeCell ref="MHE5:MHK5"/>
    <mergeCell ref="MHL5:MHR5"/>
    <mergeCell ref="MHS5:MHY5"/>
    <mergeCell ref="MET5:MEZ5"/>
    <mergeCell ref="MFA5:MFG5"/>
    <mergeCell ref="MFH5:MFN5"/>
    <mergeCell ref="MFO5:MFU5"/>
    <mergeCell ref="MFV5:MGB5"/>
    <mergeCell ref="MGC5:MGI5"/>
    <mergeCell ref="MDD5:MDJ5"/>
    <mergeCell ref="MDK5:MDQ5"/>
    <mergeCell ref="MDR5:MDX5"/>
    <mergeCell ref="MDY5:MEE5"/>
    <mergeCell ref="MEF5:MEL5"/>
    <mergeCell ref="MEM5:MES5"/>
    <mergeCell ref="MBN5:MBT5"/>
    <mergeCell ref="MBU5:MCA5"/>
    <mergeCell ref="MCB5:MCH5"/>
    <mergeCell ref="MCI5:MCO5"/>
    <mergeCell ref="MCP5:MCV5"/>
    <mergeCell ref="MCW5:MDC5"/>
    <mergeCell ref="LZX5:MAD5"/>
    <mergeCell ref="MAE5:MAK5"/>
    <mergeCell ref="MAL5:MAR5"/>
    <mergeCell ref="MAS5:MAY5"/>
    <mergeCell ref="MAZ5:MBF5"/>
    <mergeCell ref="MBG5:MBM5"/>
    <mergeCell ref="LYH5:LYN5"/>
    <mergeCell ref="LYO5:LYU5"/>
    <mergeCell ref="LYV5:LZB5"/>
    <mergeCell ref="LZC5:LZI5"/>
    <mergeCell ref="LZJ5:LZP5"/>
    <mergeCell ref="LZQ5:LZW5"/>
    <mergeCell ref="LWR5:LWX5"/>
    <mergeCell ref="LWY5:LXE5"/>
    <mergeCell ref="LXF5:LXL5"/>
    <mergeCell ref="LXM5:LXS5"/>
    <mergeCell ref="LXT5:LXZ5"/>
    <mergeCell ref="LYA5:LYG5"/>
    <mergeCell ref="LVB5:LVH5"/>
    <mergeCell ref="LVI5:LVO5"/>
    <mergeCell ref="LVP5:LVV5"/>
    <mergeCell ref="LVW5:LWC5"/>
    <mergeCell ref="LWD5:LWJ5"/>
    <mergeCell ref="LWK5:LWQ5"/>
    <mergeCell ref="LTL5:LTR5"/>
    <mergeCell ref="LTS5:LTY5"/>
    <mergeCell ref="LTZ5:LUF5"/>
    <mergeCell ref="LUG5:LUM5"/>
    <mergeCell ref="LUN5:LUT5"/>
    <mergeCell ref="LUU5:LVA5"/>
    <mergeCell ref="LRV5:LSB5"/>
    <mergeCell ref="LSC5:LSI5"/>
    <mergeCell ref="LSJ5:LSP5"/>
    <mergeCell ref="LSQ5:LSW5"/>
    <mergeCell ref="LSX5:LTD5"/>
    <mergeCell ref="LTE5:LTK5"/>
    <mergeCell ref="LQF5:LQL5"/>
    <mergeCell ref="LQM5:LQS5"/>
    <mergeCell ref="LQT5:LQZ5"/>
    <mergeCell ref="LRA5:LRG5"/>
    <mergeCell ref="LRH5:LRN5"/>
    <mergeCell ref="LRO5:LRU5"/>
    <mergeCell ref="LOP5:LOV5"/>
    <mergeCell ref="LOW5:LPC5"/>
    <mergeCell ref="LPD5:LPJ5"/>
    <mergeCell ref="LPK5:LPQ5"/>
    <mergeCell ref="LPR5:LPX5"/>
    <mergeCell ref="LPY5:LQE5"/>
    <mergeCell ref="LMZ5:LNF5"/>
    <mergeCell ref="LNG5:LNM5"/>
    <mergeCell ref="LNN5:LNT5"/>
    <mergeCell ref="LNU5:LOA5"/>
    <mergeCell ref="LOB5:LOH5"/>
    <mergeCell ref="LOI5:LOO5"/>
    <mergeCell ref="LLJ5:LLP5"/>
    <mergeCell ref="LLQ5:LLW5"/>
    <mergeCell ref="LLX5:LMD5"/>
    <mergeCell ref="LME5:LMK5"/>
    <mergeCell ref="LML5:LMR5"/>
    <mergeCell ref="LMS5:LMY5"/>
    <mergeCell ref="LJT5:LJZ5"/>
    <mergeCell ref="LKA5:LKG5"/>
    <mergeCell ref="LKH5:LKN5"/>
    <mergeCell ref="LKO5:LKU5"/>
    <mergeCell ref="LKV5:LLB5"/>
    <mergeCell ref="LLC5:LLI5"/>
    <mergeCell ref="LID5:LIJ5"/>
    <mergeCell ref="LIK5:LIQ5"/>
    <mergeCell ref="LIR5:LIX5"/>
    <mergeCell ref="LIY5:LJE5"/>
    <mergeCell ref="LJF5:LJL5"/>
    <mergeCell ref="LJM5:LJS5"/>
    <mergeCell ref="LGN5:LGT5"/>
    <mergeCell ref="LGU5:LHA5"/>
    <mergeCell ref="LHB5:LHH5"/>
    <mergeCell ref="LHI5:LHO5"/>
    <mergeCell ref="LHP5:LHV5"/>
    <mergeCell ref="LHW5:LIC5"/>
    <mergeCell ref="LEX5:LFD5"/>
    <mergeCell ref="LFE5:LFK5"/>
    <mergeCell ref="LFL5:LFR5"/>
    <mergeCell ref="LFS5:LFY5"/>
    <mergeCell ref="LFZ5:LGF5"/>
    <mergeCell ref="LGG5:LGM5"/>
    <mergeCell ref="LDH5:LDN5"/>
    <mergeCell ref="LDO5:LDU5"/>
    <mergeCell ref="LDV5:LEB5"/>
    <mergeCell ref="LEC5:LEI5"/>
    <mergeCell ref="LEJ5:LEP5"/>
    <mergeCell ref="LEQ5:LEW5"/>
    <mergeCell ref="LBR5:LBX5"/>
    <mergeCell ref="LBY5:LCE5"/>
    <mergeCell ref="LCF5:LCL5"/>
    <mergeCell ref="LCM5:LCS5"/>
    <mergeCell ref="LCT5:LCZ5"/>
    <mergeCell ref="LDA5:LDG5"/>
    <mergeCell ref="LAB5:LAH5"/>
    <mergeCell ref="LAI5:LAO5"/>
    <mergeCell ref="LAP5:LAV5"/>
    <mergeCell ref="LAW5:LBC5"/>
    <mergeCell ref="LBD5:LBJ5"/>
    <mergeCell ref="LBK5:LBQ5"/>
    <mergeCell ref="KYL5:KYR5"/>
    <mergeCell ref="KYS5:KYY5"/>
    <mergeCell ref="KYZ5:KZF5"/>
    <mergeCell ref="KZG5:KZM5"/>
    <mergeCell ref="KZN5:KZT5"/>
    <mergeCell ref="KZU5:LAA5"/>
    <mergeCell ref="KWV5:KXB5"/>
    <mergeCell ref="KXC5:KXI5"/>
    <mergeCell ref="KXJ5:KXP5"/>
    <mergeCell ref="KXQ5:KXW5"/>
    <mergeCell ref="KXX5:KYD5"/>
    <mergeCell ref="KYE5:KYK5"/>
    <mergeCell ref="KVF5:KVL5"/>
    <mergeCell ref="KVM5:KVS5"/>
    <mergeCell ref="KVT5:KVZ5"/>
    <mergeCell ref="KWA5:KWG5"/>
    <mergeCell ref="KWH5:KWN5"/>
    <mergeCell ref="KWO5:KWU5"/>
    <mergeCell ref="KTP5:KTV5"/>
    <mergeCell ref="KTW5:KUC5"/>
    <mergeCell ref="KUD5:KUJ5"/>
    <mergeCell ref="KUK5:KUQ5"/>
    <mergeCell ref="KUR5:KUX5"/>
    <mergeCell ref="KUY5:KVE5"/>
    <mergeCell ref="KRZ5:KSF5"/>
    <mergeCell ref="KSG5:KSM5"/>
    <mergeCell ref="KSN5:KST5"/>
    <mergeCell ref="KSU5:KTA5"/>
    <mergeCell ref="KTB5:KTH5"/>
    <mergeCell ref="KTI5:KTO5"/>
    <mergeCell ref="KQJ5:KQP5"/>
    <mergeCell ref="KQQ5:KQW5"/>
    <mergeCell ref="KQX5:KRD5"/>
    <mergeCell ref="KRE5:KRK5"/>
    <mergeCell ref="KRL5:KRR5"/>
    <mergeCell ref="KRS5:KRY5"/>
    <mergeCell ref="KOT5:KOZ5"/>
    <mergeCell ref="KPA5:KPG5"/>
    <mergeCell ref="KPH5:KPN5"/>
    <mergeCell ref="KPO5:KPU5"/>
    <mergeCell ref="KPV5:KQB5"/>
    <mergeCell ref="KQC5:KQI5"/>
    <mergeCell ref="KND5:KNJ5"/>
    <mergeCell ref="KNK5:KNQ5"/>
    <mergeCell ref="KNR5:KNX5"/>
    <mergeCell ref="KNY5:KOE5"/>
    <mergeCell ref="KOF5:KOL5"/>
    <mergeCell ref="KOM5:KOS5"/>
    <mergeCell ref="KLN5:KLT5"/>
    <mergeCell ref="KLU5:KMA5"/>
    <mergeCell ref="KMB5:KMH5"/>
    <mergeCell ref="KMI5:KMO5"/>
    <mergeCell ref="KMP5:KMV5"/>
    <mergeCell ref="KMW5:KNC5"/>
    <mergeCell ref="KJX5:KKD5"/>
    <mergeCell ref="KKE5:KKK5"/>
    <mergeCell ref="KKL5:KKR5"/>
    <mergeCell ref="KKS5:KKY5"/>
    <mergeCell ref="KKZ5:KLF5"/>
    <mergeCell ref="KLG5:KLM5"/>
    <mergeCell ref="KIH5:KIN5"/>
    <mergeCell ref="KIO5:KIU5"/>
    <mergeCell ref="KIV5:KJB5"/>
    <mergeCell ref="KJC5:KJI5"/>
    <mergeCell ref="KJJ5:KJP5"/>
    <mergeCell ref="KJQ5:KJW5"/>
    <mergeCell ref="KGR5:KGX5"/>
    <mergeCell ref="KGY5:KHE5"/>
    <mergeCell ref="KHF5:KHL5"/>
    <mergeCell ref="KHM5:KHS5"/>
    <mergeCell ref="KHT5:KHZ5"/>
    <mergeCell ref="KIA5:KIG5"/>
    <mergeCell ref="KFB5:KFH5"/>
    <mergeCell ref="KFI5:KFO5"/>
    <mergeCell ref="KFP5:KFV5"/>
    <mergeCell ref="KFW5:KGC5"/>
    <mergeCell ref="KGD5:KGJ5"/>
    <mergeCell ref="KGK5:KGQ5"/>
    <mergeCell ref="KDL5:KDR5"/>
    <mergeCell ref="KDS5:KDY5"/>
    <mergeCell ref="KDZ5:KEF5"/>
    <mergeCell ref="KEG5:KEM5"/>
    <mergeCell ref="KEN5:KET5"/>
    <mergeCell ref="KEU5:KFA5"/>
    <mergeCell ref="KBV5:KCB5"/>
    <mergeCell ref="KCC5:KCI5"/>
    <mergeCell ref="KCJ5:KCP5"/>
    <mergeCell ref="KCQ5:KCW5"/>
    <mergeCell ref="KCX5:KDD5"/>
    <mergeCell ref="KDE5:KDK5"/>
    <mergeCell ref="KAF5:KAL5"/>
    <mergeCell ref="KAM5:KAS5"/>
    <mergeCell ref="KAT5:KAZ5"/>
    <mergeCell ref="KBA5:KBG5"/>
    <mergeCell ref="KBH5:KBN5"/>
    <mergeCell ref="KBO5:KBU5"/>
    <mergeCell ref="JYP5:JYV5"/>
    <mergeCell ref="JYW5:JZC5"/>
    <mergeCell ref="JZD5:JZJ5"/>
    <mergeCell ref="JZK5:JZQ5"/>
    <mergeCell ref="JZR5:JZX5"/>
    <mergeCell ref="JZY5:KAE5"/>
    <mergeCell ref="JWZ5:JXF5"/>
    <mergeCell ref="JXG5:JXM5"/>
    <mergeCell ref="JXN5:JXT5"/>
    <mergeCell ref="JXU5:JYA5"/>
    <mergeCell ref="JYB5:JYH5"/>
    <mergeCell ref="JYI5:JYO5"/>
    <mergeCell ref="JVJ5:JVP5"/>
    <mergeCell ref="JVQ5:JVW5"/>
    <mergeCell ref="JVX5:JWD5"/>
    <mergeCell ref="JWE5:JWK5"/>
    <mergeCell ref="JWL5:JWR5"/>
    <mergeCell ref="JWS5:JWY5"/>
    <mergeCell ref="JTT5:JTZ5"/>
    <mergeCell ref="JUA5:JUG5"/>
    <mergeCell ref="JUH5:JUN5"/>
    <mergeCell ref="JUO5:JUU5"/>
    <mergeCell ref="JUV5:JVB5"/>
    <mergeCell ref="JVC5:JVI5"/>
    <mergeCell ref="JSD5:JSJ5"/>
    <mergeCell ref="JSK5:JSQ5"/>
    <mergeCell ref="JSR5:JSX5"/>
    <mergeCell ref="JSY5:JTE5"/>
    <mergeCell ref="JTF5:JTL5"/>
    <mergeCell ref="JTM5:JTS5"/>
    <mergeCell ref="JQN5:JQT5"/>
    <mergeCell ref="JQU5:JRA5"/>
    <mergeCell ref="JRB5:JRH5"/>
    <mergeCell ref="JRI5:JRO5"/>
    <mergeCell ref="JRP5:JRV5"/>
    <mergeCell ref="JRW5:JSC5"/>
    <mergeCell ref="JOX5:JPD5"/>
    <mergeCell ref="JPE5:JPK5"/>
    <mergeCell ref="JPL5:JPR5"/>
    <mergeCell ref="JPS5:JPY5"/>
    <mergeCell ref="JPZ5:JQF5"/>
    <mergeCell ref="JQG5:JQM5"/>
    <mergeCell ref="JNH5:JNN5"/>
    <mergeCell ref="JNO5:JNU5"/>
    <mergeCell ref="JNV5:JOB5"/>
    <mergeCell ref="JOC5:JOI5"/>
    <mergeCell ref="JOJ5:JOP5"/>
    <mergeCell ref="JOQ5:JOW5"/>
    <mergeCell ref="JLR5:JLX5"/>
    <mergeCell ref="JLY5:JME5"/>
    <mergeCell ref="JMF5:JML5"/>
    <mergeCell ref="JMM5:JMS5"/>
    <mergeCell ref="JMT5:JMZ5"/>
    <mergeCell ref="JNA5:JNG5"/>
    <mergeCell ref="JKB5:JKH5"/>
    <mergeCell ref="JKI5:JKO5"/>
    <mergeCell ref="JKP5:JKV5"/>
    <mergeCell ref="JKW5:JLC5"/>
    <mergeCell ref="JLD5:JLJ5"/>
    <mergeCell ref="JLK5:JLQ5"/>
    <mergeCell ref="JIL5:JIR5"/>
    <mergeCell ref="JIS5:JIY5"/>
    <mergeCell ref="JIZ5:JJF5"/>
    <mergeCell ref="JJG5:JJM5"/>
    <mergeCell ref="JJN5:JJT5"/>
    <mergeCell ref="JJU5:JKA5"/>
    <mergeCell ref="JGV5:JHB5"/>
    <mergeCell ref="JHC5:JHI5"/>
    <mergeCell ref="JHJ5:JHP5"/>
    <mergeCell ref="JHQ5:JHW5"/>
    <mergeCell ref="JHX5:JID5"/>
    <mergeCell ref="JIE5:JIK5"/>
    <mergeCell ref="JFF5:JFL5"/>
    <mergeCell ref="JFM5:JFS5"/>
    <mergeCell ref="JFT5:JFZ5"/>
    <mergeCell ref="JGA5:JGG5"/>
    <mergeCell ref="JGH5:JGN5"/>
    <mergeCell ref="JGO5:JGU5"/>
    <mergeCell ref="JDP5:JDV5"/>
    <mergeCell ref="JDW5:JEC5"/>
    <mergeCell ref="JED5:JEJ5"/>
    <mergeCell ref="JEK5:JEQ5"/>
    <mergeCell ref="JER5:JEX5"/>
    <mergeCell ref="JEY5:JFE5"/>
    <mergeCell ref="JBZ5:JCF5"/>
    <mergeCell ref="JCG5:JCM5"/>
    <mergeCell ref="JCN5:JCT5"/>
    <mergeCell ref="JCU5:JDA5"/>
    <mergeCell ref="JDB5:JDH5"/>
    <mergeCell ref="JDI5:JDO5"/>
    <mergeCell ref="JAJ5:JAP5"/>
    <mergeCell ref="JAQ5:JAW5"/>
    <mergeCell ref="JAX5:JBD5"/>
    <mergeCell ref="JBE5:JBK5"/>
    <mergeCell ref="JBL5:JBR5"/>
    <mergeCell ref="JBS5:JBY5"/>
    <mergeCell ref="IYT5:IYZ5"/>
    <mergeCell ref="IZA5:IZG5"/>
    <mergeCell ref="IZH5:IZN5"/>
    <mergeCell ref="IZO5:IZU5"/>
    <mergeCell ref="IZV5:JAB5"/>
    <mergeCell ref="JAC5:JAI5"/>
    <mergeCell ref="IXD5:IXJ5"/>
    <mergeCell ref="IXK5:IXQ5"/>
    <mergeCell ref="IXR5:IXX5"/>
    <mergeCell ref="IXY5:IYE5"/>
    <mergeCell ref="IYF5:IYL5"/>
    <mergeCell ref="IYM5:IYS5"/>
    <mergeCell ref="IVN5:IVT5"/>
    <mergeCell ref="IVU5:IWA5"/>
    <mergeCell ref="IWB5:IWH5"/>
    <mergeCell ref="IWI5:IWO5"/>
    <mergeCell ref="IWP5:IWV5"/>
    <mergeCell ref="IWW5:IXC5"/>
    <mergeCell ref="ITX5:IUD5"/>
    <mergeCell ref="IUE5:IUK5"/>
    <mergeCell ref="IUL5:IUR5"/>
    <mergeCell ref="IUS5:IUY5"/>
    <mergeCell ref="IUZ5:IVF5"/>
    <mergeCell ref="IVG5:IVM5"/>
    <mergeCell ref="ISH5:ISN5"/>
    <mergeCell ref="ISO5:ISU5"/>
    <mergeCell ref="ISV5:ITB5"/>
    <mergeCell ref="ITC5:ITI5"/>
    <mergeCell ref="ITJ5:ITP5"/>
    <mergeCell ref="ITQ5:ITW5"/>
    <mergeCell ref="IQR5:IQX5"/>
    <mergeCell ref="IQY5:IRE5"/>
    <mergeCell ref="IRF5:IRL5"/>
    <mergeCell ref="IRM5:IRS5"/>
    <mergeCell ref="IRT5:IRZ5"/>
    <mergeCell ref="ISA5:ISG5"/>
    <mergeCell ref="IPB5:IPH5"/>
    <mergeCell ref="IPI5:IPO5"/>
    <mergeCell ref="IPP5:IPV5"/>
    <mergeCell ref="IPW5:IQC5"/>
    <mergeCell ref="IQD5:IQJ5"/>
    <mergeCell ref="IQK5:IQQ5"/>
    <mergeCell ref="INL5:INR5"/>
    <mergeCell ref="INS5:INY5"/>
    <mergeCell ref="INZ5:IOF5"/>
    <mergeCell ref="IOG5:IOM5"/>
    <mergeCell ref="ION5:IOT5"/>
    <mergeCell ref="IOU5:IPA5"/>
    <mergeCell ref="ILV5:IMB5"/>
    <mergeCell ref="IMC5:IMI5"/>
    <mergeCell ref="IMJ5:IMP5"/>
    <mergeCell ref="IMQ5:IMW5"/>
    <mergeCell ref="IMX5:IND5"/>
    <mergeCell ref="INE5:INK5"/>
    <mergeCell ref="IKF5:IKL5"/>
    <mergeCell ref="IKM5:IKS5"/>
    <mergeCell ref="IKT5:IKZ5"/>
    <mergeCell ref="ILA5:ILG5"/>
    <mergeCell ref="ILH5:ILN5"/>
    <mergeCell ref="ILO5:ILU5"/>
    <mergeCell ref="IIP5:IIV5"/>
    <mergeCell ref="IIW5:IJC5"/>
    <mergeCell ref="IJD5:IJJ5"/>
    <mergeCell ref="IJK5:IJQ5"/>
    <mergeCell ref="IJR5:IJX5"/>
    <mergeCell ref="IJY5:IKE5"/>
    <mergeCell ref="IGZ5:IHF5"/>
    <mergeCell ref="IHG5:IHM5"/>
    <mergeCell ref="IHN5:IHT5"/>
    <mergeCell ref="IHU5:IIA5"/>
    <mergeCell ref="IIB5:IIH5"/>
    <mergeCell ref="III5:IIO5"/>
    <mergeCell ref="IFJ5:IFP5"/>
    <mergeCell ref="IFQ5:IFW5"/>
    <mergeCell ref="IFX5:IGD5"/>
    <mergeCell ref="IGE5:IGK5"/>
    <mergeCell ref="IGL5:IGR5"/>
    <mergeCell ref="IGS5:IGY5"/>
    <mergeCell ref="IDT5:IDZ5"/>
    <mergeCell ref="IEA5:IEG5"/>
    <mergeCell ref="IEH5:IEN5"/>
    <mergeCell ref="IEO5:IEU5"/>
    <mergeCell ref="IEV5:IFB5"/>
    <mergeCell ref="IFC5:IFI5"/>
    <mergeCell ref="ICD5:ICJ5"/>
    <mergeCell ref="ICK5:ICQ5"/>
    <mergeCell ref="ICR5:ICX5"/>
    <mergeCell ref="ICY5:IDE5"/>
    <mergeCell ref="IDF5:IDL5"/>
    <mergeCell ref="IDM5:IDS5"/>
    <mergeCell ref="IAN5:IAT5"/>
    <mergeCell ref="IAU5:IBA5"/>
    <mergeCell ref="IBB5:IBH5"/>
    <mergeCell ref="IBI5:IBO5"/>
    <mergeCell ref="IBP5:IBV5"/>
    <mergeCell ref="IBW5:ICC5"/>
    <mergeCell ref="HYX5:HZD5"/>
    <mergeCell ref="HZE5:HZK5"/>
    <mergeCell ref="HZL5:HZR5"/>
    <mergeCell ref="HZS5:HZY5"/>
    <mergeCell ref="HZZ5:IAF5"/>
    <mergeCell ref="IAG5:IAM5"/>
    <mergeCell ref="HXH5:HXN5"/>
    <mergeCell ref="HXO5:HXU5"/>
    <mergeCell ref="HXV5:HYB5"/>
    <mergeCell ref="HYC5:HYI5"/>
    <mergeCell ref="HYJ5:HYP5"/>
    <mergeCell ref="HYQ5:HYW5"/>
    <mergeCell ref="HVR5:HVX5"/>
    <mergeCell ref="HVY5:HWE5"/>
    <mergeCell ref="HWF5:HWL5"/>
    <mergeCell ref="HWM5:HWS5"/>
    <mergeCell ref="HWT5:HWZ5"/>
    <mergeCell ref="HXA5:HXG5"/>
    <mergeCell ref="HUB5:HUH5"/>
    <mergeCell ref="HUI5:HUO5"/>
    <mergeCell ref="HUP5:HUV5"/>
    <mergeCell ref="HUW5:HVC5"/>
    <mergeCell ref="HVD5:HVJ5"/>
    <mergeCell ref="HVK5:HVQ5"/>
    <mergeCell ref="HSL5:HSR5"/>
    <mergeCell ref="HSS5:HSY5"/>
    <mergeCell ref="HSZ5:HTF5"/>
    <mergeCell ref="HTG5:HTM5"/>
    <mergeCell ref="HTN5:HTT5"/>
    <mergeCell ref="HTU5:HUA5"/>
    <mergeCell ref="HQV5:HRB5"/>
    <mergeCell ref="HRC5:HRI5"/>
    <mergeCell ref="HRJ5:HRP5"/>
    <mergeCell ref="HRQ5:HRW5"/>
    <mergeCell ref="HRX5:HSD5"/>
    <mergeCell ref="HSE5:HSK5"/>
    <mergeCell ref="HPF5:HPL5"/>
    <mergeCell ref="HPM5:HPS5"/>
    <mergeCell ref="HPT5:HPZ5"/>
    <mergeCell ref="HQA5:HQG5"/>
    <mergeCell ref="HQH5:HQN5"/>
    <mergeCell ref="HQO5:HQU5"/>
    <mergeCell ref="HNP5:HNV5"/>
    <mergeCell ref="HNW5:HOC5"/>
    <mergeCell ref="HOD5:HOJ5"/>
    <mergeCell ref="HOK5:HOQ5"/>
    <mergeCell ref="HOR5:HOX5"/>
    <mergeCell ref="HOY5:HPE5"/>
    <mergeCell ref="HLZ5:HMF5"/>
    <mergeCell ref="HMG5:HMM5"/>
    <mergeCell ref="HMN5:HMT5"/>
    <mergeCell ref="HMU5:HNA5"/>
    <mergeCell ref="HNB5:HNH5"/>
    <mergeCell ref="HNI5:HNO5"/>
    <mergeCell ref="HKJ5:HKP5"/>
    <mergeCell ref="HKQ5:HKW5"/>
    <mergeCell ref="HKX5:HLD5"/>
    <mergeCell ref="HLE5:HLK5"/>
    <mergeCell ref="HLL5:HLR5"/>
    <mergeCell ref="HLS5:HLY5"/>
    <mergeCell ref="HIT5:HIZ5"/>
    <mergeCell ref="HJA5:HJG5"/>
    <mergeCell ref="HJH5:HJN5"/>
    <mergeCell ref="HJO5:HJU5"/>
    <mergeCell ref="HJV5:HKB5"/>
    <mergeCell ref="HKC5:HKI5"/>
    <mergeCell ref="HHD5:HHJ5"/>
    <mergeCell ref="HHK5:HHQ5"/>
    <mergeCell ref="HHR5:HHX5"/>
    <mergeCell ref="HHY5:HIE5"/>
    <mergeCell ref="HIF5:HIL5"/>
    <mergeCell ref="HIM5:HIS5"/>
    <mergeCell ref="HFN5:HFT5"/>
    <mergeCell ref="HFU5:HGA5"/>
    <mergeCell ref="HGB5:HGH5"/>
    <mergeCell ref="HGI5:HGO5"/>
    <mergeCell ref="HGP5:HGV5"/>
    <mergeCell ref="HGW5:HHC5"/>
    <mergeCell ref="HDX5:HED5"/>
    <mergeCell ref="HEE5:HEK5"/>
    <mergeCell ref="HEL5:HER5"/>
    <mergeCell ref="HES5:HEY5"/>
    <mergeCell ref="HEZ5:HFF5"/>
    <mergeCell ref="HFG5:HFM5"/>
    <mergeCell ref="HCH5:HCN5"/>
    <mergeCell ref="HCO5:HCU5"/>
    <mergeCell ref="HCV5:HDB5"/>
    <mergeCell ref="HDC5:HDI5"/>
    <mergeCell ref="HDJ5:HDP5"/>
    <mergeCell ref="HDQ5:HDW5"/>
    <mergeCell ref="HAR5:HAX5"/>
    <mergeCell ref="HAY5:HBE5"/>
    <mergeCell ref="HBF5:HBL5"/>
    <mergeCell ref="HBM5:HBS5"/>
    <mergeCell ref="HBT5:HBZ5"/>
    <mergeCell ref="HCA5:HCG5"/>
    <mergeCell ref="GZB5:GZH5"/>
    <mergeCell ref="GZI5:GZO5"/>
    <mergeCell ref="GZP5:GZV5"/>
    <mergeCell ref="GZW5:HAC5"/>
    <mergeCell ref="HAD5:HAJ5"/>
    <mergeCell ref="HAK5:HAQ5"/>
    <mergeCell ref="GXL5:GXR5"/>
    <mergeCell ref="GXS5:GXY5"/>
    <mergeCell ref="GXZ5:GYF5"/>
    <mergeCell ref="GYG5:GYM5"/>
    <mergeCell ref="GYN5:GYT5"/>
    <mergeCell ref="GYU5:GZA5"/>
    <mergeCell ref="GVV5:GWB5"/>
    <mergeCell ref="GWC5:GWI5"/>
    <mergeCell ref="GWJ5:GWP5"/>
    <mergeCell ref="GWQ5:GWW5"/>
    <mergeCell ref="GWX5:GXD5"/>
    <mergeCell ref="GXE5:GXK5"/>
    <mergeCell ref="GUF5:GUL5"/>
    <mergeCell ref="GUM5:GUS5"/>
    <mergeCell ref="GUT5:GUZ5"/>
    <mergeCell ref="GVA5:GVG5"/>
    <mergeCell ref="GVH5:GVN5"/>
    <mergeCell ref="GVO5:GVU5"/>
    <mergeCell ref="GSP5:GSV5"/>
    <mergeCell ref="GSW5:GTC5"/>
    <mergeCell ref="GTD5:GTJ5"/>
    <mergeCell ref="GTK5:GTQ5"/>
    <mergeCell ref="GTR5:GTX5"/>
    <mergeCell ref="GTY5:GUE5"/>
    <mergeCell ref="GQZ5:GRF5"/>
    <mergeCell ref="GRG5:GRM5"/>
    <mergeCell ref="GRN5:GRT5"/>
    <mergeCell ref="GRU5:GSA5"/>
    <mergeCell ref="GSB5:GSH5"/>
    <mergeCell ref="GSI5:GSO5"/>
    <mergeCell ref="GPJ5:GPP5"/>
    <mergeCell ref="GPQ5:GPW5"/>
    <mergeCell ref="GPX5:GQD5"/>
    <mergeCell ref="GQE5:GQK5"/>
    <mergeCell ref="GQL5:GQR5"/>
    <mergeCell ref="GQS5:GQY5"/>
    <mergeCell ref="GNT5:GNZ5"/>
    <mergeCell ref="GOA5:GOG5"/>
    <mergeCell ref="GOH5:GON5"/>
    <mergeCell ref="GOO5:GOU5"/>
    <mergeCell ref="GOV5:GPB5"/>
    <mergeCell ref="GPC5:GPI5"/>
    <mergeCell ref="GMD5:GMJ5"/>
    <mergeCell ref="GMK5:GMQ5"/>
    <mergeCell ref="GMR5:GMX5"/>
    <mergeCell ref="GMY5:GNE5"/>
    <mergeCell ref="GNF5:GNL5"/>
    <mergeCell ref="GNM5:GNS5"/>
    <mergeCell ref="GKN5:GKT5"/>
    <mergeCell ref="GKU5:GLA5"/>
    <mergeCell ref="GLB5:GLH5"/>
    <mergeCell ref="GLI5:GLO5"/>
    <mergeCell ref="GLP5:GLV5"/>
    <mergeCell ref="GLW5:GMC5"/>
    <mergeCell ref="GIX5:GJD5"/>
    <mergeCell ref="GJE5:GJK5"/>
    <mergeCell ref="GJL5:GJR5"/>
    <mergeCell ref="GJS5:GJY5"/>
    <mergeCell ref="GJZ5:GKF5"/>
    <mergeCell ref="GKG5:GKM5"/>
    <mergeCell ref="GHH5:GHN5"/>
    <mergeCell ref="GHO5:GHU5"/>
    <mergeCell ref="GHV5:GIB5"/>
    <mergeCell ref="GIC5:GII5"/>
    <mergeCell ref="GIJ5:GIP5"/>
    <mergeCell ref="GIQ5:GIW5"/>
    <mergeCell ref="GFR5:GFX5"/>
    <mergeCell ref="GFY5:GGE5"/>
    <mergeCell ref="GGF5:GGL5"/>
    <mergeCell ref="GGM5:GGS5"/>
    <mergeCell ref="GGT5:GGZ5"/>
    <mergeCell ref="GHA5:GHG5"/>
    <mergeCell ref="GEB5:GEH5"/>
    <mergeCell ref="GEI5:GEO5"/>
    <mergeCell ref="GEP5:GEV5"/>
    <mergeCell ref="GEW5:GFC5"/>
    <mergeCell ref="GFD5:GFJ5"/>
    <mergeCell ref="GFK5:GFQ5"/>
    <mergeCell ref="GCL5:GCR5"/>
    <mergeCell ref="GCS5:GCY5"/>
    <mergeCell ref="GCZ5:GDF5"/>
    <mergeCell ref="GDG5:GDM5"/>
    <mergeCell ref="GDN5:GDT5"/>
    <mergeCell ref="GDU5:GEA5"/>
    <mergeCell ref="GAV5:GBB5"/>
    <mergeCell ref="GBC5:GBI5"/>
    <mergeCell ref="GBJ5:GBP5"/>
    <mergeCell ref="GBQ5:GBW5"/>
    <mergeCell ref="GBX5:GCD5"/>
    <mergeCell ref="GCE5:GCK5"/>
    <mergeCell ref="FZF5:FZL5"/>
    <mergeCell ref="FZM5:FZS5"/>
    <mergeCell ref="FZT5:FZZ5"/>
    <mergeCell ref="GAA5:GAG5"/>
    <mergeCell ref="GAH5:GAN5"/>
    <mergeCell ref="GAO5:GAU5"/>
    <mergeCell ref="FXP5:FXV5"/>
    <mergeCell ref="FXW5:FYC5"/>
    <mergeCell ref="FYD5:FYJ5"/>
    <mergeCell ref="FYK5:FYQ5"/>
    <mergeCell ref="FYR5:FYX5"/>
    <mergeCell ref="FYY5:FZE5"/>
    <mergeCell ref="FVZ5:FWF5"/>
    <mergeCell ref="FWG5:FWM5"/>
    <mergeCell ref="FWN5:FWT5"/>
    <mergeCell ref="FWU5:FXA5"/>
    <mergeCell ref="FXB5:FXH5"/>
    <mergeCell ref="FXI5:FXO5"/>
    <mergeCell ref="FUJ5:FUP5"/>
    <mergeCell ref="FUQ5:FUW5"/>
    <mergeCell ref="FUX5:FVD5"/>
    <mergeCell ref="FVE5:FVK5"/>
    <mergeCell ref="FVL5:FVR5"/>
    <mergeCell ref="FVS5:FVY5"/>
    <mergeCell ref="FST5:FSZ5"/>
    <mergeCell ref="FTA5:FTG5"/>
    <mergeCell ref="FTH5:FTN5"/>
    <mergeCell ref="FTO5:FTU5"/>
    <mergeCell ref="FTV5:FUB5"/>
    <mergeCell ref="FUC5:FUI5"/>
    <mergeCell ref="FRD5:FRJ5"/>
    <mergeCell ref="FRK5:FRQ5"/>
    <mergeCell ref="FRR5:FRX5"/>
    <mergeCell ref="FRY5:FSE5"/>
    <mergeCell ref="FSF5:FSL5"/>
    <mergeCell ref="FSM5:FSS5"/>
    <mergeCell ref="FPN5:FPT5"/>
    <mergeCell ref="FPU5:FQA5"/>
    <mergeCell ref="FQB5:FQH5"/>
    <mergeCell ref="FQI5:FQO5"/>
    <mergeCell ref="FQP5:FQV5"/>
    <mergeCell ref="FQW5:FRC5"/>
    <mergeCell ref="FNX5:FOD5"/>
    <mergeCell ref="FOE5:FOK5"/>
    <mergeCell ref="FOL5:FOR5"/>
    <mergeCell ref="FOS5:FOY5"/>
    <mergeCell ref="FOZ5:FPF5"/>
    <mergeCell ref="FPG5:FPM5"/>
    <mergeCell ref="FMH5:FMN5"/>
    <mergeCell ref="FMO5:FMU5"/>
    <mergeCell ref="FMV5:FNB5"/>
    <mergeCell ref="FNC5:FNI5"/>
    <mergeCell ref="FNJ5:FNP5"/>
    <mergeCell ref="FNQ5:FNW5"/>
    <mergeCell ref="FKR5:FKX5"/>
    <mergeCell ref="FKY5:FLE5"/>
    <mergeCell ref="FLF5:FLL5"/>
    <mergeCell ref="FLM5:FLS5"/>
    <mergeCell ref="FLT5:FLZ5"/>
    <mergeCell ref="FMA5:FMG5"/>
    <mergeCell ref="FJB5:FJH5"/>
    <mergeCell ref="FJI5:FJO5"/>
    <mergeCell ref="FJP5:FJV5"/>
    <mergeCell ref="FJW5:FKC5"/>
    <mergeCell ref="FKD5:FKJ5"/>
    <mergeCell ref="FKK5:FKQ5"/>
    <mergeCell ref="FHL5:FHR5"/>
    <mergeCell ref="FHS5:FHY5"/>
    <mergeCell ref="FHZ5:FIF5"/>
    <mergeCell ref="FIG5:FIM5"/>
    <mergeCell ref="FIN5:FIT5"/>
    <mergeCell ref="FIU5:FJA5"/>
    <mergeCell ref="FFV5:FGB5"/>
    <mergeCell ref="FGC5:FGI5"/>
    <mergeCell ref="FGJ5:FGP5"/>
    <mergeCell ref="FGQ5:FGW5"/>
    <mergeCell ref="FGX5:FHD5"/>
    <mergeCell ref="FHE5:FHK5"/>
    <mergeCell ref="FEF5:FEL5"/>
    <mergeCell ref="FEM5:FES5"/>
    <mergeCell ref="FET5:FEZ5"/>
    <mergeCell ref="FFA5:FFG5"/>
    <mergeCell ref="FFH5:FFN5"/>
    <mergeCell ref="FFO5:FFU5"/>
    <mergeCell ref="FCP5:FCV5"/>
    <mergeCell ref="FCW5:FDC5"/>
    <mergeCell ref="FDD5:FDJ5"/>
    <mergeCell ref="FDK5:FDQ5"/>
    <mergeCell ref="FDR5:FDX5"/>
    <mergeCell ref="FDY5:FEE5"/>
    <mergeCell ref="FAZ5:FBF5"/>
    <mergeCell ref="FBG5:FBM5"/>
    <mergeCell ref="FBN5:FBT5"/>
    <mergeCell ref="FBU5:FCA5"/>
    <mergeCell ref="FCB5:FCH5"/>
    <mergeCell ref="FCI5:FCO5"/>
    <mergeCell ref="EZJ5:EZP5"/>
    <mergeCell ref="EZQ5:EZW5"/>
    <mergeCell ref="EZX5:FAD5"/>
    <mergeCell ref="FAE5:FAK5"/>
    <mergeCell ref="FAL5:FAR5"/>
    <mergeCell ref="FAS5:FAY5"/>
    <mergeCell ref="EXT5:EXZ5"/>
    <mergeCell ref="EYA5:EYG5"/>
    <mergeCell ref="EYH5:EYN5"/>
    <mergeCell ref="EYO5:EYU5"/>
    <mergeCell ref="EYV5:EZB5"/>
    <mergeCell ref="EZC5:EZI5"/>
    <mergeCell ref="EWD5:EWJ5"/>
    <mergeCell ref="EWK5:EWQ5"/>
    <mergeCell ref="EWR5:EWX5"/>
    <mergeCell ref="EWY5:EXE5"/>
    <mergeCell ref="EXF5:EXL5"/>
    <mergeCell ref="EXM5:EXS5"/>
    <mergeCell ref="EUN5:EUT5"/>
    <mergeCell ref="EUU5:EVA5"/>
    <mergeCell ref="EVB5:EVH5"/>
    <mergeCell ref="EVI5:EVO5"/>
    <mergeCell ref="EVP5:EVV5"/>
    <mergeCell ref="EVW5:EWC5"/>
    <mergeCell ref="ESX5:ETD5"/>
    <mergeCell ref="ETE5:ETK5"/>
    <mergeCell ref="ETL5:ETR5"/>
    <mergeCell ref="ETS5:ETY5"/>
    <mergeCell ref="ETZ5:EUF5"/>
    <mergeCell ref="EUG5:EUM5"/>
    <mergeCell ref="ERH5:ERN5"/>
    <mergeCell ref="ERO5:ERU5"/>
    <mergeCell ref="ERV5:ESB5"/>
    <mergeCell ref="ESC5:ESI5"/>
    <mergeCell ref="ESJ5:ESP5"/>
    <mergeCell ref="ESQ5:ESW5"/>
    <mergeCell ref="EPR5:EPX5"/>
    <mergeCell ref="EPY5:EQE5"/>
    <mergeCell ref="EQF5:EQL5"/>
    <mergeCell ref="EQM5:EQS5"/>
    <mergeCell ref="EQT5:EQZ5"/>
    <mergeCell ref="ERA5:ERG5"/>
    <mergeCell ref="EOB5:EOH5"/>
    <mergeCell ref="EOI5:EOO5"/>
    <mergeCell ref="EOP5:EOV5"/>
    <mergeCell ref="EOW5:EPC5"/>
    <mergeCell ref="EPD5:EPJ5"/>
    <mergeCell ref="EPK5:EPQ5"/>
    <mergeCell ref="EML5:EMR5"/>
    <mergeCell ref="EMS5:EMY5"/>
    <mergeCell ref="EMZ5:ENF5"/>
    <mergeCell ref="ENG5:ENM5"/>
    <mergeCell ref="ENN5:ENT5"/>
    <mergeCell ref="ENU5:EOA5"/>
    <mergeCell ref="EKV5:ELB5"/>
    <mergeCell ref="ELC5:ELI5"/>
    <mergeCell ref="ELJ5:ELP5"/>
    <mergeCell ref="ELQ5:ELW5"/>
    <mergeCell ref="ELX5:EMD5"/>
    <mergeCell ref="EME5:EMK5"/>
    <mergeCell ref="EJF5:EJL5"/>
    <mergeCell ref="EJM5:EJS5"/>
    <mergeCell ref="EJT5:EJZ5"/>
    <mergeCell ref="EKA5:EKG5"/>
    <mergeCell ref="EKH5:EKN5"/>
    <mergeCell ref="EKO5:EKU5"/>
    <mergeCell ref="EHP5:EHV5"/>
    <mergeCell ref="EHW5:EIC5"/>
    <mergeCell ref="EID5:EIJ5"/>
    <mergeCell ref="EIK5:EIQ5"/>
    <mergeCell ref="EIR5:EIX5"/>
    <mergeCell ref="EIY5:EJE5"/>
    <mergeCell ref="EFZ5:EGF5"/>
    <mergeCell ref="EGG5:EGM5"/>
    <mergeCell ref="EGN5:EGT5"/>
    <mergeCell ref="EGU5:EHA5"/>
    <mergeCell ref="EHB5:EHH5"/>
    <mergeCell ref="EHI5:EHO5"/>
    <mergeCell ref="EEJ5:EEP5"/>
    <mergeCell ref="EEQ5:EEW5"/>
    <mergeCell ref="EEX5:EFD5"/>
    <mergeCell ref="EFE5:EFK5"/>
    <mergeCell ref="EFL5:EFR5"/>
    <mergeCell ref="EFS5:EFY5"/>
    <mergeCell ref="ECT5:ECZ5"/>
    <mergeCell ref="EDA5:EDG5"/>
    <mergeCell ref="EDH5:EDN5"/>
    <mergeCell ref="EDO5:EDU5"/>
    <mergeCell ref="EDV5:EEB5"/>
    <mergeCell ref="EEC5:EEI5"/>
    <mergeCell ref="EBD5:EBJ5"/>
    <mergeCell ref="EBK5:EBQ5"/>
    <mergeCell ref="EBR5:EBX5"/>
    <mergeCell ref="EBY5:ECE5"/>
    <mergeCell ref="ECF5:ECL5"/>
    <mergeCell ref="ECM5:ECS5"/>
    <mergeCell ref="DZN5:DZT5"/>
    <mergeCell ref="DZU5:EAA5"/>
    <mergeCell ref="EAB5:EAH5"/>
    <mergeCell ref="EAI5:EAO5"/>
    <mergeCell ref="EAP5:EAV5"/>
    <mergeCell ref="EAW5:EBC5"/>
    <mergeCell ref="DXX5:DYD5"/>
    <mergeCell ref="DYE5:DYK5"/>
    <mergeCell ref="DYL5:DYR5"/>
    <mergeCell ref="DYS5:DYY5"/>
    <mergeCell ref="DYZ5:DZF5"/>
    <mergeCell ref="DZG5:DZM5"/>
    <mergeCell ref="DWH5:DWN5"/>
    <mergeCell ref="DWO5:DWU5"/>
    <mergeCell ref="DWV5:DXB5"/>
    <mergeCell ref="DXC5:DXI5"/>
    <mergeCell ref="DXJ5:DXP5"/>
    <mergeCell ref="DXQ5:DXW5"/>
    <mergeCell ref="DUR5:DUX5"/>
    <mergeCell ref="DUY5:DVE5"/>
    <mergeCell ref="DVF5:DVL5"/>
    <mergeCell ref="DVM5:DVS5"/>
    <mergeCell ref="DVT5:DVZ5"/>
    <mergeCell ref="DWA5:DWG5"/>
    <mergeCell ref="DTB5:DTH5"/>
    <mergeCell ref="DTI5:DTO5"/>
    <mergeCell ref="DTP5:DTV5"/>
    <mergeCell ref="DTW5:DUC5"/>
    <mergeCell ref="DUD5:DUJ5"/>
    <mergeCell ref="DUK5:DUQ5"/>
    <mergeCell ref="DRL5:DRR5"/>
    <mergeCell ref="DRS5:DRY5"/>
    <mergeCell ref="DRZ5:DSF5"/>
    <mergeCell ref="DSG5:DSM5"/>
    <mergeCell ref="DSN5:DST5"/>
    <mergeCell ref="DSU5:DTA5"/>
    <mergeCell ref="DPV5:DQB5"/>
    <mergeCell ref="DQC5:DQI5"/>
    <mergeCell ref="DQJ5:DQP5"/>
    <mergeCell ref="DQQ5:DQW5"/>
    <mergeCell ref="DQX5:DRD5"/>
    <mergeCell ref="DRE5:DRK5"/>
    <mergeCell ref="DOF5:DOL5"/>
    <mergeCell ref="DOM5:DOS5"/>
    <mergeCell ref="DOT5:DOZ5"/>
    <mergeCell ref="DPA5:DPG5"/>
    <mergeCell ref="DPH5:DPN5"/>
    <mergeCell ref="DPO5:DPU5"/>
    <mergeCell ref="DMP5:DMV5"/>
    <mergeCell ref="DMW5:DNC5"/>
    <mergeCell ref="DND5:DNJ5"/>
    <mergeCell ref="DNK5:DNQ5"/>
    <mergeCell ref="DNR5:DNX5"/>
    <mergeCell ref="DNY5:DOE5"/>
    <mergeCell ref="DKZ5:DLF5"/>
    <mergeCell ref="DLG5:DLM5"/>
    <mergeCell ref="DLN5:DLT5"/>
    <mergeCell ref="DLU5:DMA5"/>
    <mergeCell ref="DMB5:DMH5"/>
    <mergeCell ref="DMI5:DMO5"/>
    <mergeCell ref="DJJ5:DJP5"/>
    <mergeCell ref="DJQ5:DJW5"/>
    <mergeCell ref="DJX5:DKD5"/>
    <mergeCell ref="DKE5:DKK5"/>
    <mergeCell ref="DKL5:DKR5"/>
    <mergeCell ref="DKS5:DKY5"/>
    <mergeCell ref="DHT5:DHZ5"/>
    <mergeCell ref="DIA5:DIG5"/>
    <mergeCell ref="DIH5:DIN5"/>
    <mergeCell ref="DIO5:DIU5"/>
    <mergeCell ref="DIV5:DJB5"/>
    <mergeCell ref="DJC5:DJI5"/>
    <mergeCell ref="DGD5:DGJ5"/>
    <mergeCell ref="DGK5:DGQ5"/>
    <mergeCell ref="DGR5:DGX5"/>
    <mergeCell ref="DGY5:DHE5"/>
    <mergeCell ref="DHF5:DHL5"/>
    <mergeCell ref="DHM5:DHS5"/>
    <mergeCell ref="DEN5:DET5"/>
    <mergeCell ref="DEU5:DFA5"/>
    <mergeCell ref="DFB5:DFH5"/>
    <mergeCell ref="DFI5:DFO5"/>
    <mergeCell ref="DFP5:DFV5"/>
    <mergeCell ref="DFW5:DGC5"/>
    <mergeCell ref="DCX5:DDD5"/>
    <mergeCell ref="DDE5:DDK5"/>
    <mergeCell ref="DDL5:DDR5"/>
    <mergeCell ref="DDS5:DDY5"/>
    <mergeCell ref="DDZ5:DEF5"/>
    <mergeCell ref="DEG5:DEM5"/>
    <mergeCell ref="DBH5:DBN5"/>
    <mergeCell ref="DBO5:DBU5"/>
    <mergeCell ref="DBV5:DCB5"/>
    <mergeCell ref="DCC5:DCI5"/>
    <mergeCell ref="DCJ5:DCP5"/>
    <mergeCell ref="DCQ5:DCW5"/>
    <mergeCell ref="CZR5:CZX5"/>
    <mergeCell ref="CZY5:DAE5"/>
    <mergeCell ref="DAF5:DAL5"/>
    <mergeCell ref="DAM5:DAS5"/>
    <mergeCell ref="DAT5:DAZ5"/>
    <mergeCell ref="DBA5:DBG5"/>
    <mergeCell ref="CYB5:CYH5"/>
    <mergeCell ref="CYI5:CYO5"/>
    <mergeCell ref="CYP5:CYV5"/>
    <mergeCell ref="CYW5:CZC5"/>
    <mergeCell ref="CZD5:CZJ5"/>
    <mergeCell ref="CZK5:CZQ5"/>
    <mergeCell ref="CWL5:CWR5"/>
    <mergeCell ref="CWS5:CWY5"/>
    <mergeCell ref="CWZ5:CXF5"/>
    <mergeCell ref="CXG5:CXM5"/>
    <mergeCell ref="CXN5:CXT5"/>
    <mergeCell ref="CXU5:CYA5"/>
    <mergeCell ref="CUV5:CVB5"/>
    <mergeCell ref="CVC5:CVI5"/>
    <mergeCell ref="CVJ5:CVP5"/>
    <mergeCell ref="CVQ5:CVW5"/>
    <mergeCell ref="CVX5:CWD5"/>
    <mergeCell ref="CWE5:CWK5"/>
    <mergeCell ref="CTF5:CTL5"/>
    <mergeCell ref="CTM5:CTS5"/>
    <mergeCell ref="CTT5:CTZ5"/>
    <mergeCell ref="CUA5:CUG5"/>
    <mergeCell ref="CUH5:CUN5"/>
    <mergeCell ref="CUO5:CUU5"/>
    <mergeCell ref="CRP5:CRV5"/>
    <mergeCell ref="CRW5:CSC5"/>
    <mergeCell ref="CSD5:CSJ5"/>
    <mergeCell ref="CSK5:CSQ5"/>
    <mergeCell ref="CSR5:CSX5"/>
    <mergeCell ref="CSY5:CTE5"/>
    <mergeCell ref="CPZ5:CQF5"/>
    <mergeCell ref="CQG5:CQM5"/>
    <mergeCell ref="CQN5:CQT5"/>
    <mergeCell ref="CQU5:CRA5"/>
    <mergeCell ref="CRB5:CRH5"/>
    <mergeCell ref="CRI5:CRO5"/>
    <mergeCell ref="COJ5:COP5"/>
    <mergeCell ref="COQ5:COW5"/>
    <mergeCell ref="COX5:CPD5"/>
    <mergeCell ref="CPE5:CPK5"/>
    <mergeCell ref="CPL5:CPR5"/>
    <mergeCell ref="CPS5:CPY5"/>
    <mergeCell ref="CMT5:CMZ5"/>
    <mergeCell ref="CNA5:CNG5"/>
    <mergeCell ref="CNH5:CNN5"/>
    <mergeCell ref="CNO5:CNU5"/>
    <mergeCell ref="CNV5:COB5"/>
    <mergeCell ref="COC5:COI5"/>
    <mergeCell ref="CLD5:CLJ5"/>
    <mergeCell ref="CLK5:CLQ5"/>
    <mergeCell ref="CLR5:CLX5"/>
    <mergeCell ref="CLY5:CME5"/>
    <mergeCell ref="CMF5:CML5"/>
    <mergeCell ref="CMM5:CMS5"/>
    <mergeCell ref="CJN5:CJT5"/>
    <mergeCell ref="CJU5:CKA5"/>
    <mergeCell ref="CKB5:CKH5"/>
    <mergeCell ref="CKI5:CKO5"/>
    <mergeCell ref="CKP5:CKV5"/>
    <mergeCell ref="CKW5:CLC5"/>
    <mergeCell ref="CHX5:CID5"/>
    <mergeCell ref="CIE5:CIK5"/>
    <mergeCell ref="CIL5:CIR5"/>
    <mergeCell ref="CIS5:CIY5"/>
    <mergeCell ref="CIZ5:CJF5"/>
    <mergeCell ref="CJG5:CJM5"/>
    <mergeCell ref="CGH5:CGN5"/>
    <mergeCell ref="CGO5:CGU5"/>
    <mergeCell ref="CGV5:CHB5"/>
    <mergeCell ref="CHC5:CHI5"/>
    <mergeCell ref="CHJ5:CHP5"/>
    <mergeCell ref="CHQ5:CHW5"/>
    <mergeCell ref="CER5:CEX5"/>
    <mergeCell ref="CEY5:CFE5"/>
    <mergeCell ref="CFF5:CFL5"/>
    <mergeCell ref="CFM5:CFS5"/>
    <mergeCell ref="CFT5:CFZ5"/>
    <mergeCell ref="CGA5:CGG5"/>
    <mergeCell ref="CDB5:CDH5"/>
    <mergeCell ref="CDI5:CDO5"/>
    <mergeCell ref="CDP5:CDV5"/>
    <mergeCell ref="CDW5:CEC5"/>
    <mergeCell ref="CED5:CEJ5"/>
    <mergeCell ref="CEK5:CEQ5"/>
    <mergeCell ref="CBL5:CBR5"/>
    <mergeCell ref="CBS5:CBY5"/>
    <mergeCell ref="CBZ5:CCF5"/>
    <mergeCell ref="CCG5:CCM5"/>
    <mergeCell ref="CCN5:CCT5"/>
    <mergeCell ref="CCU5:CDA5"/>
    <mergeCell ref="BZV5:CAB5"/>
    <mergeCell ref="CAC5:CAI5"/>
    <mergeCell ref="CAJ5:CAP5"/>
    <mergeCell ref="CAQ5:CAW5"/>
    <mergeCell ref="CAX5:CBD5"/>
    <mergeCell ref="CBE5:CBK5"/>
    <mergeCell ref="BYF5:BYL5"/>
    <mergeCell ref="BYM5:BYS5"/>
    <mergeCell ref="BYT5:BYZ5"/>
    <mergeCell ref="BZA5:BZG5"/>
    <mergeCell ref="BZH5:BZN5"/>
    <mergeCell ref="BZO5:BZU5"/>
    <mergeCell ref="BWP5:BWV5"/>
    <mergeCell ref="BWW5:BXC5"/>
    <mergeCell ref="BXD5:BXJ5"/>
    <mergeCell ref="BXK5:BXQ5"/>
    <mergeCell ref="BXR5:BXX5"/>
    <mergeCell ref="BXY5:BYE5"/>
    <mergeCell ref="BUZ5:BVF5"/>
    <mergeCell ref="BVG5:BVM5"/>
    <mergeCell ref="BVN5:BVT5"/>
    <mergeCell ref="BVU5:BWA5"/>
    <mergeCell ref="BWB5:BWH5"/>
    <mergeCell ref="BWI5:BWO5"/>
    <mergeCell ref="BTJ5:BTP5"/>
    <mergeCell ref="BTQ5:BTW5"/>
    <mergeCell ref="BTX5:BUD5"/>
    <mergeCell ref="BUE5:BUK5"/>
    <mergeCell ref="BUL5:BUR5"/>
    <mergeCell ref="BUS5:BUY5"/>
    <mergeCell ref="BRT5:BRZ5"/>
    <mergeCell ref="BSA5:BSG5"/>
    <mergeCell ref="BSH5:BSN5"/>
    <mergeCell ref="BSO5:BSU5"/>
    <mergeCell ref="BSV5:BTB5"/>
    <mergeCell ref="BTC5:BTI5"/>
    <mergeCell ref="BQD5:BQJ5"/>
    <mergeCell ref="BQK5:BQQ5"/>
    <mergeCell ref="BQR5:BQX5"/>
    <mergeCell ref="BQY5:BRE5"/>
    <mergeCell ref="BRF5:BRL5"/>
    <mergeCell ref="BRM5:BRS5"/>
    <mergeCell ref="BON5:BOT5"/>
    <mergeCell ref="BOU5:BPA5"/>
    <mergeCell ref="BPB5:BPH5"/>
    <mergeCell ref="BPI5:BPO5"/>
    <mergeCell ref="BPP5:BPV5"/>
    <mergeCell ref="BPW5:BQC5"/>
    <mergeCell ref="BMX5:BND5"/>
    <mergeCell ref="BNE5:BNK5"/>
    <mergeCell ref="BNL5:BNR5"/>
    <mergeCell ref="BNS5:BNY5"/>
    <mergeCell ref="BNZ5:BOF5"/>
    <mergeCell ref="BOG5:BOM5"/>
    <mergeCell ref="BLH5:BLN5"/>
    <mergeCell ref="BLO5:BLU5"/>
    <mergeCell ref="BLV5:BMB5"/>
    <mergeCell ref="BMC5:BMI5"/>
    <mergeCell ref="BMJ5:BMP5"/>
    <mergeCell ref="BMQ5:BMW5"/>
    <mergeCell ref="BJR5:BJX5"/>
    <mergeCell ref="BJY5:BKE5"/>
    <mergeCell ref="BKF5:BKL5"/>
    <mergeCell ref="BKM5:BKS5"/>
    <mergeCell ref="BKT5:BKZ5"/>
    <mergeCell ref="BLA5:BLG5"/>
    <mergeCell ref="BIB5:BIH5"/>
    <mergeCell ref="BII5:BIO5"/>
    <mergeCell ref="BIP5:BIV5"/>
    <mergeCell ref="BIW5:BJC5"/>
    <mergeCell ref="BJD5:BJJ5"/>
    <mergeCell ref="BJK5:BJQ5"/>
    <mergeCell ref="BGL5:BGR5"/>
    <mergeCell ref="BGS5:BGY5"/>
    <mergeCell ref="BGZ5:BHF5"/>
    <mergeCell ref="BHG5:BHM5"/>
    <mergeCell ref="BHN5:BHT5"/>
    <mergeCell ref="BHU5:BIA5"/>
    <mergeCell ref="BEV5:BFB5"/>
    <mergeCell ref="BFC5:BFI5"/>
    <mergeCell ref="BFJ5:BFP5"/>
    <mergeCell ref="BFQ5:BFW5"/>
    <mergeCell ref="BFX5:BGD5"/>
    <mergeCell ref="BGE5:BGK5"/>
    <mergeCell ref="BDF5:BDL5"/>
    <mergeCell ref="BDM5:BDS5"/>
    <mergeCell ref="BDT5:BDZ5"/>
    <mergeCell ref="BEA5:BEG5"/>
    <mergeCell ref="BEH5:BEN5"/>
    <mergeCell ref="BEO5:BEU5"/>
    <mergeCell ref="BBP5:BBV5"/>
    <mergeCell ref="BBW5:BCC5"/>
    <mergeCell ref="BCD5:BCJ5"/>
    <mergeCell ref="BCK5:BCQ5"/>
    <mergeCell ref="BCR5:BCX5"/>
    <mergeCell ref="BCY5:BDE5"/>
    <mergeCell ref="AZZ5:BAF5"/>
    <mergeCell ref="BAG5:BAM5"/>
    <mergeCell ref="BAN5:BAT5"/>
    <mergeCell ref="BAU5:BBA5"/>
    <mergeCell ref="BBB5:BBH5"/>
    <mergeCell ref="BBI5:BBO5"/>
    <mergeCell ref="AYJ5:AYP5"/>
    <mergeCell ref="AYQ5:AYW5"/>
    <mergeCell ref="AYX5:AZD5"/>
    <mergeCell ref="AZE5:AZK5"/>
    <mergeCell ref="AZL5:AZR5"/>
    <mergeCell ref="AZS5:AZY5"/>
    <mergeCell ref="AWT5:AWZ5"/>
    <mergeCell ref="AXA5:AXG5"/>
    <mergeCell ref="AXH5:AXN5"/>
    <mergeCell ref="AXO5:AXU5"/>
    <mergeCell ref="AXV5:AYB5"/>
    <mergeCell ref="AYC5:AYI5"/>
    <mergeCell ref="AVD5:AVJ5"/>
    <mergeCell ref="AVK5:AVQ5"/>
    <mergeCell ref="AVR5:AVX5"/>
    <mergeCell ref="AVY5:AWE5"/>
    <mergeCell ref="AWF5:AWL5"/>
    <mergeCell ref="AWM5:AWS5"/>
    <mergeCell ref="ATN5:ATT5"/>
    <mergeCell ref="ATU5:AUA5"/>
    <mergeCell ref="AUB5:AUH5"/>
    <mergeCell ref="AUI5:AUO5"/>
    <mergeCell ref="AUP5:AUV5"/>
    <mergeCell ref="AUW5:AVC5"/>
    <mergeCell ref="ARX5:ASD5"/>
    <mergeCell ref="ASE5:ASK5"/>
    <mergeCell ref="ASL5:ASR5"/>
    <mergeCell ref="ASS5:ASY5"/>
    <mergeCell ref="ASZ5:ATF5"/>
    <mergeCell ref="ATG5:ATM5"/>
    <mergeCell ref="AQH5:AQN5"/>
    <mergeCell ref="AQO5:AQU5"/>
    <mergeCell ref="AQV5:ARB5"/>
    <mergeCell ref="ARC5:ARI5"/>
    <mergeCell ref="ARJ5:ARP5"/>
    <mergeCell ref="ARQ5:ARW5"/>
    <mergeCell ref="AOR5:AOX5"/>
    <mergeCell ref="AOY5:APE5"/>
    <mergeCell ref="APF5:APL5"/>
    <mergeCell ref="APM5:APS5"/>
    <mergeCell ref="APT5:APZ5"/>
    <mergeCell ref="AQA5:AQG5"/>
    <mergeCell ref="ANB5:ANH5"/>
    <mergeCell ref="ANI5:ANO5"/>
    <mergeCell ref="ANP5:ANV5"/>
    <mergeCell ref="ANW5:AOC5"/>
    <mergeCell ref="AOD5:AOJ5"/>
    <mergeCell ref="AOK5:AOQ5"/>
    <mergeCell ref="ALL5:ALR5"/>
    <mergeCell ref="ALS5:ALY5"/>
    <mergeCell ref="ALZ5:AMF5"/>
    <mergeCell ref="AMG5:AMM5"/>
    <mergeCell ref="AMN5:AMT5"/>
    <mergeCell ref="AMU5:ANA5"/>
    <mergeCell ref="AJV5:AKB5"/>
    <mergeCell ref="AKC5:AKI5"/>
    <mergeCell ref="AKJ5:AKP5"/>
    <mergeCell ref="AKQ5:AKW5"/>
    <mergeCell ref="AKX5:ALD5"/>
    <mergeCell ref="ALE5:ALK5"/>
    <mergeCell ref="AIF5:AIL5"/>
    <mergeCell ref="AIM5:AIS5"/>
    <mergeCell ref="AIT5:AIZ5"/>
    <mergeCell ref="AJA5:AJG5"/>
    <mergeCell ref="AJH5:AJN5"/>
    <mergeCell ref="AJO5:AJU5"/>
    <mergeCell ref="AGP5:AGV5"/>
    <mergeCell ref="AGW5:AHC5"/>
    <mergeCell ref="AHD5:AHJ5"/>
    <mergeCell ref="AHK5:AHQ5"/>
    <mergeCell ref="AHR5:AHX5"/>
    <mergeCell ref="AHY5:AIE5"/>
    <mergeCell ref="AEZ5:AFF5"/>
    <mergeCell ref="AFG5:AFM5"/>
    <mergeCell ref="AFN5:AFT5"/>
    <mergeCell ref="AFU5:AGA5"/>
    <mergeCell ref="AGB5:AGH5"/>
    <mergeCell ref="AGI5:AGO5"/>
    <mergeCell ref="ADJ5:ADP5"/>
    <mergeCell ref="ADQ5:ADW5"/>
    <mergeCell ref="ADX5:AED5"/>
    <mergeCell ref="AEE5:AEK5"/>
    <mergeCell ref="AEL5:AER5"/>
    <mergeCell ref="AES5:AEY5"/>
    <mergeCell ref="ABT5:ABZ5"/>
    <mergeCell ref="ACA5:ACG5"/>
    <mergeCell ref="ACH5:ACN5"/>
    <mergeCell ref="ACO5:ACU5"/>
    <mergeCell ref="ACV5:ADB5"/>
    <mergeCell ref="ADC5:ADI5"/>
    <mergeCell ref="AAD5:AAJ5"/>
    <mergeCell ref="AAK5:AAQ5"/>
    <mergeCell ref="AAR5:AAX5"/>
    <mergeCell ref="AAY5:ABE5"/>
    <mergeCell ref="ABF5:ABL5"/>
    <mergeCell ref="ABM5:ABS5"/>
    <mergeCell ref="YN5:YT5"/>
    <mergeCell ref="YU5:ZA5"/>
    <mergeCell ref="ZB5:ZH5"/>
    <mergeCell ref="ZI5:ZO5"/>
    <mergeCell ref="ZP5:ZV5"/>
    <mergeCell ref="ZW5:AAC5"/>
    <mergeCell ref="WX5:XD5"/>
    <mergeCell ref="XE5:XK5"/>
    <mergeCell ref="XL5:XR5"/>
    <mergeCell ref="XS5:XY5"/>
    <mergeCell ref="XZ5:YF5"/>
    <mergeCell ref="YG5:YM5"/>
    <mergeCell ref="VH5:VN5"/>
    <mergeCell ref="VO5:VU5"/>
    <mergeCell ref="VV5:WB5"/>
    <mergeCell ref="WC5:WI5"/>
    <mergeCell ref="WJ5:WP5"/>
    <mergeCell ref="WQ5:WW5"/>
    <mergeCell ref="TR5:TX5"/>
    <mergeCell ref="TY5:UE5"/>
    <mergeCell ref="UF5:UL5"/>
    <mergeCell ref="UM5:US5"/>
    <mergeCell ref="UT5:UZ5"/>
    <mergeCell ref="VA5:VG5"/>
    <mergeCell ref="SB5:SH5"/>
    <mergeCell ref="SI5:SO5"/>
    <mergeCell ref="SP5:SV5"/>
    <mergeCell ref="SW5:TC5"/>
    <mergeCell ref="TD5:TJ5"/>
    <mergeCell ref="TK5:TQ5"/>
    <mergeCell ref="QL5:QR5"/>
    <mergeCell ref="QS5:QY5"/>
    <mergeCell ref="QZ5:RF5"/>
    <mergeCell ref="RG5:RM5"/>
    <mergeCell ref="RN5:RT5"/>
    <mergeCell ref="RU5:SA5"/>
    <mergeCell ref="OV5:PB5"/>
    <mergeCell ref="PC5:PI5"/>
    <mergeCell ref="PJ5:PP5"/>
    <mergeCell ref="PQ5:PW5"/>
    <mergeCell ref="PX5:QD5"/>
    <mergeCell ref="QE5:QK5"/>
    <mergeCell ref="NF5:NL5"/>
    <mergeCell ref="NM5:NS5"/>
    <mergeCell ref="NT5:NZ5"/>
    <mergeCell ref="OA5:OG5"/>
    <mergeCell ref="OH5:ON5"/>
    <mergeCell ref="OO5:OU5"/>
    <mergeCell ref="LP5:LV5"/>
    <mergeCell ref="LW5:MC5"/>
    <mergeCell ref="MD5:MJ5"/>
    <mergeCell ref="MK5:MQ5"/>
    <mergeCell ref="MR5:MX5"/>
    <mergeCell ref="MY5:NE5"/>
    <mergeCell ref="JZ5:KF5"/>
    <mergeCell ref="KG5:KM5"/>
    <mergeCell ref="KN5:KT5"/>
    <mergeCell ref="KU5:LA5"/>
    <mergeCell ref="LB5:LH5"/>
    <mergeCell ref="LI5:LO5"/>
    <mergeCell ref="IJ5:IP5"/>
    <mergeCell ref="IQ5:IW5"/>
    <mergeCell ref="IX5:JD5"/>
    <mergeCell ref="JE5:JK5"/>
    <mergeCell ref="JL5:JR5"/>
    <mergeCell ref="JS5:JY5"/>
    <mergeCell ref="GT5:GZ5"/>
    <mergeCell ref="HA5:HG5"/>
    <mergeCell ref="HH5:HN5"/>
    <mergeCell ref="HO5:HU5"/>
    <mergeCell ref="HV5:IB5"/>
    <mergeCell ref="IC5:II5"/>
    <mergeCell ref="FD5:FJ5"/>
    <mergeCell ref="FK5:FQ5"/>
    <mergeCell ref="FR5:FX5"/>
    <mergeCell ref="FY5:GE5"/>
    <mergeCell ref="GF5:GL5"/>
    <mergeCell ref="GM5:GS5"/>
    <mergeCell ref="DN5:DT5"/>
    <mergeCell ref="DU5:EA5"/>
    <mergeCell ref="EB5:EH5"/>
    <mergeCell ref="EI5:EO5"/>
    <mergeCell ref="EP5:EV5"/>
    <mergeCell ref="EW5:FC5"/>
    <mergeCell ref="BX5:CD5"/>
    <mergeCell ref="CE5:CK5"/>
    <mergeCell ref="CL5:CR5"/>
    <mergeCell ref="CS5:CY5"/>
    <mergeCell ref="CZ5:DF5"/>
    <mergeCell ref="DG5:DM5"/>
    <mergeCell ref="AH5:AN5"/>
    <mergeCell ref="AO5:AU5"/>
    <mergeCell ref="AV5:BB5"/>
    <mergeCell ref="BC5:BI5"/>
    <mergeCell ref="BJ5:BP5"/>
    <mergeCell ref="BQ5:BW5"/>
    <mergeCell ref="A4:H4"/>
    <mergeCell ref="A5:H5"/>
    <mergeCell ref="I5:L5"/>
    <mergeCell ref="M5:S5"/>
    <mergeCell ref="T5:Z5"/>
    <mergeCell ref="AA5:AG5"/>
    <mergeCell ref="A1:H1"/>
    <mergeCell ref="I1:N1"/>
    <mergeCell ref="A2:H2"/>
    <mergeCell ref="I2:N2"/>
    <mergeCell ref="A3:H3"/>
    <mergeCell ref="I3:N3"/>
  </mergeCells>
  <printOptions horizontalCentered="1"/>
  <pageMargins left="0.5" right="0.5" top="0.75" bottom="0.75" header="0.5" footer="0.5"/>
  <pageSetup scale="90" fitToHeight="3" orientation="landscape" r:id="rId1"/>
  <headerFooter alignWithMargins="0">
    <oddFooter>&amp;C&amp;"Times New Roman,Regular"Page &amp;P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FF107-EDA0-433B-8C37-69ABAA731199}">
  <sheetPr>
    <tabColor rgb="FFCCFFFF"/>
  </sheetPr>
  <dimension ref="A1:J267"/>
  <sheetViews>
    <sheetView zoomScaleNormal="100" workbookViewId="0">
      <selection activeCell="A11" sqref="A11"/>
    </sheetView>
  </sheetViews>
  <sheetFormatPr defaultColWidth="10.5859375" defaultRowHeight="12.6" x14ac:dyDescent="0.45"/>
  <cols>
    <col min="1" max="2" width="12.05859375" style="198" customWidth="1"/>
    <col min="3" max="3" width="24.05859375" style="142" customWidth="1"/>
    <col min="4" max="4" width="88" style="142" customWidth="1"/>
    <col min="5" max="5" width="12.05859375" style="169" customWidth="1"/>
    <col min="6" max="6" width="7.46875" style="199" customWidth="1"/>
    <col min="7" max="7" width="11.5859375" style="200" customWidth="1"/>
    <col min="8" max="8" width="15.3515625" style="201" customWidth="1"/>
    <col min="9" max="16384" width="10.5859375" style="142"/>
  </cols>
  <sheetData>
    <row r="1" spans="1:9" ht="12.75" customHeight="1" x14ac:dyDescent="0.45">
      <c r="A1" s="390" t="s">
        <v>4992</v>
      </c>
      <c r="B1" s="390"/>
      <c r="C1" s="390"/>
      <c r="D1" s="390"/>
      <c r="E1" s="390"/>
      <c r="F1" s="390"/>
      <c r="G1" s="390"/>
      <c r="H1" s="390"/>
    </row>
    <row r="2" spans="1:9" ht="12.75" customHeight="1" x14ac:dyDescent="0.45">
      <c r="A2" s="390" t="s">
        <v>0</v>
      </c>
      <c r="B2" s="390"/>
      <c r="C2" s="390"/>
      <c r="D2" s="390"/>
      <c r="E2" s="390"/>
      <c r="F2" s="390"/>
      <c r="G2" s="390"/>
      <c r="H2" s="390"/>
    </row>
    <row r="3" spans="1:9" ht="12.75" customHeight="1" x14ac:dyDescent="0.45">
      <c r="A3" s="390" t="s">
        <v>4991</v>
      </c>
      <c r="B3" s="390"/>
      <c r="C3" s="390"/>
      <c r="D3" s="390"/>
      <c r="E3" s="390"/>
      <c r="F3" s="390"/>
      <c r="G3" s="390"/>
      <c r="H3" s="390"/>
    </row>
    <row r="4" spans="1:9" x14ac:dyDescent="0.45">
      <c r="A4" s="410"/>
      <c r="B4" s="410"/>
      <c r="C4" s="410"/>
      <c r="D4" s="410"/>
      <c r="E4" s="410"/>
      <c r="F4" s="410"/>
      <c r="G4" s="410"/>
      <c r="H4" s="410"/>
    </row>
    <row r="5" spans="1:9" x14ac:dyDescent="0.45">
      <c r="A5" s="410" t="s">
        <v>5033</v>
      </c>
      <c r="B5" s="410"/>
      <c r="C5" s="410"/>
      <c r="D5" s="410"/>
      <c r="E5" s="410"/>
      <c r="F5" s="410"/>
      <c r="G5" s="410"/>
      <c r="H5" s="410"/>
    </row>
    <row r="6" spans="1:9" x14ac:dyDescent="0.45">
      <c r="A6" s="410" t="s">
        <v>1792</v>
      </c>
      <c r="B6" s="410"/>
      <c r="C6" s="410"/>
      <c r="D6" s="410"/>
      <c r="E6" s="410"/>
      <c r="F6" s="410"/>
      <c r="G6" s="410"/>
      <c r="H6" s="410"/>
    </row>
    <row r="7" spans="1:9" x14ac:dyDescent="0.45">
      <c r="A7" s="410"/>
      <c r="B7" s="410"/>
      <c r="C7" s="410"/>
      <c r="D7" s="410"/>
      <c r="E7" s="410"/>
      <c r="F7" s="410"/>
      <c r="G7" s="410"/>
      <c r="H7" s="410"/>
    </row>
    <row r="8" spans="1:9" x14ac:dyDescent="0.45">
      <c r="A8" s="413" t="s">
        <v>1793</v>
      </c>
      <c r="B8" s="414"/>
      <c r="C8" s="414"/>
      <c r="D8" s="415"/>
      <c r="E8" s="415"/>
      <c r="F8" s="415"/>
      <c r="G8" s="415"/>
      <c r="H8" s="416"/>
    </row>
    <row r="9" spans="1:9" ht="27.7" customHeight="1" x14ac:dyDescent="0.45">
      <c r="A9" s="417" t="s">
        <v>457</v>
      </c>
      <c r="B9" s="418"/>
      <c r="C9" s="418"/>
      <c r="D9" s="418"/>
      <c r="E9" s="418"/>
      <c r="F9" s="418"/>
      <c r="G9" s="418"/>
      <c r="H9" s="419"/>
    </row>
    <row r="10" spans="1:9" x14ac:dyDescent="0.45">
      <c r="A10" s="420" t="s">
        <v>1794</v>
      </c>
      <c r="B10" s="421"/>
      <c r="C10" s="421"/>
      <c r="D10" s="421"/>
      <c r="E10" s="421"/>
      <c r="F10" s="421"/>
      <c r="G10" s="421"/>
      <c r="H10" s="422"/>
    </row>
    <row r="11" spans="1:9" s="207" customFormat="1" ht="24.6" x14ac:dyDescent="0.45">
      <c r="A11" s="435" t="s">
        <v>459</v>
      </c>
      <c r="B11" s="143" t="s">
        <v>460</v>
      </c>
      <c r="C11" s="144" t="s">
        <v>461</v>
      </c>
      <c r="D11" s="145" t="s">
        <v>462</v>
      </c>
      <c r="E11" s="146" t="s">
        <v>463</v>
      </c>
      <c r="F11" s="147" t="s">
        <v>464</v>
      </c>
      <c r="G11" s="148" t="s">
        <v>465</v>
      </c>
      <c r="H11" s="149" t="s">
        <v>466</v>
      </c>
    </row>
    <row r="12" spans="1:9" s="208" customFormat="1" x14ac:dyDescent="0.45">
      <c r="A12" s="423" t="s">
        <v>467</v>
      </c>
      <c r="B12" s="424"/>
      <c r="C12" s="425"/>
      <c r="D12" s="425"/>
      <c r="E12" s="150"/>
      <c r="F12" s="151"/>
      <c r="G12" s="152"/>
      <c r="H12" s="153"/>
    </row>
    <row r="13" spans="1:9" ht="7.5" customHeight="1" x14ac:dyDescent="0.45">
      <c r="A13" s="154"/>
      <c r="B13" s="154"/>
      <c r="C13" s="155"/>
      <c r="D13" s="155"/>
      <c r="E13" s="156"/>
      <c r="F13" s="155"/>
      <c r="G13" s="157"/>
      <c r="H13" s="158"/>
    </row>
    <row r="14" spans="1:9" ht="13" customHeight="1" x14ac:dyDescent="0.45">
      <c r="A14" s="159"/>
      <c r="B14" s="160">
        <v>200000</v>
      </c>
      <c r="C14" s="159"/>
      <c r="D14" s="159" t="s">
        <v>468</v>
      </c>
      <c r="E14" s="209"/>
      <c r="F14" s="209"/>
      <c r="G14" s="210"/>
      <c r="H14" s="211"/>
    </row>
    <row r="15" spans="1:9" ht="50.4" x14ac:dyDescent="0.45">
      <c r="A15" s="164" t="s">
        <v>1795</v>
      </c>
      <c r="B15" s="164"/>
      <c r="C15" s="212" t="s">
        <v>470</v>
      </c>
      <c r="D15" s="165" t="s">
        <v>471</v>
      </c>
      <c r="E15" s="166"/>
      <c r="F15" s="164" t="s">
        <v>472</v>
      </c>
      <c r="G15" s="167">
        <v>5</v>
      </c>
      <c r="H15" s="168">
        <f>SUM(E15)*G15</f>
        <v>0</v>
      </c>
      <c r="I15" s="169"/>
    </row>
    <row r="16" spans="1:9" x14ac:dyDescent="0.45">
      <c r="A16" s="118" t="s">
        <v>1796</v>
      </c>
      <c r="B16" s="184" t="s">
        <v>180</v>
      </c>
      <c r="D16" s="120"/>
      <c r="E16" s="142"/>
      <c r="F16" s="171"/>
      <c r="G16" s="142"/>
      <c r="H16" s="168"/>
    </row>
    <row r="17" spans="1:8" ht="13" customHeight="1" x14ac:dyDescent="0.45">
      <c r="A17" s="159"/>
      <c r="B17" s="159">
        <v>1401000</v>
      </c>
      <c r="C17" s="159"/>
      <c r="D17" s="159" t="s">
        <v>474</v>
      </c>
      <c r="E17" s="159"/>
      <c r="F17" s="159"/>
      <c r="G17" s="159"/>
      <c r="H17" s="163"/>
    </row>
    <row r="18" spans="1:8" ht="75.599999999999994" x14ac:dyDescent="0.45">
      <c r="A18" s="171" t="s">
        <v>1797</v>
      </c>
      <c r="B18" s="171"/>
      <c r="C18" s="184" t="s">
        <v>476</v>
      </c>
      <c r="D18" s="106" t="s">
        <v>477</v>
      </c>
      <c r="E18" s="166"/>
      <c r="F18" s="171" t="s">
        <v>472</v>
      </c>
      <c r="G18" s="172">
        <v>4</v>
      </c>
      <c r="H18" s="168">
        <f t="shared" ref="H18:H29" si="0">SUM(E18)*G18</f>
        <v>0</v>
      </c>
    </row>
    <row r="19" spans="1:8" ht="50.4" x14ac:dyDescent="0.45">
      <c r="A19" s="171" t="s">
        <v>1798</v>
      </c>
      <c r="B19" s="171"/>
      <c r="C19" s="106" t="s">
        <v>479</v>
      </c>
      <c r="D19" s="106" t="s">
        <v>480</v>
      </c>
      <c r="E19" s="166"/>
      <c r="F19" s="171" t="s">
        <v>472</v>
      </c>
      <c r="G19" s="172">
        <v>4</v>
      </c>
      <c r="H19" s="168">
        <f t="shared" si="0"/>
        <v>0</v>
      </c>
    </row>
    <row r="20" spans="1:8" ht="50.4" x14ac:dyDescent="0.45">
      <c r="A20" s="171" t="s">
        <v>1799</v>
      </c>
      <c r="B20" s="171"/>
      <c r="C20" s="106" t="s">
        <v>482</v>
      </c>
      <c r="D20" s="106" t="s">
        <v>483</v>
      </c>
      <c r="E20" s="166"/>
      <c r="F20" s="171" t="s">
        <v>472</v>
      </c>
      <c r="G20" s="172">
        <v>4</v>
      </c>
      <c r="H20" s="168">
        <f t="shared" si="0"/>
        <v>0</v>
      </c>
    </row>
    <row r="21" spans="1:8" ht="50.4" x14ac:dyDescent="0.45">
      <c r="A21" s="171" t="s">
        <v>1800</v>
      </c>
      <c r="B21" s="171"/>
      <c r="C21" s="106" t="s">
        <v>485</v>
      </c>
      <c r="D21" s="106" t="s">
        <v>486</v>
      </c>
      <c r="E21" s="166"/>
      <c r="F21" s="171" t="s">
        <v>472</v>
      </c>
      <c r="G21" s="172">
        <v>8</v>
      </c>
      <c r="H21" s="168">
        <f t="shared" si="0"/>
        <v>0</v>
      </c>
    </row>
    <row r="22" spans="1:8" ht="63" x14ac:dyDescent="0.45">
      <c r="A22" s="171" t="s">
        <v>1801</v>
      </c>
      <c r="B22" s="171"/>
      <c r="C22" s="106" t="s">
        <v>488</v>
      </c>
      <c r="D22" s="106" t="s">
        <v>489</v>
      </c>
      <c r="E22" s="166"/>
      <c r="F22" s="171" t="s">
        <v>472</v>
      </c>
      <c r="G22" s="172">
        <v>4</v>
      </c>
      <c r="H22" s="168">
        <f t="shared" si="0"/>
        <v>0</v>
      </c>
    </row>
    <row r="23" spans="1:8" ht="50.4" x14ac:dyDescent="0.45">
      <c r="A23" s="171" t="s">
        <v>1802</v>
      </c>
      <c r="B23" s="171"/>
      <c r="C23" s="106" t="s">
        <v>491</v>
      </c>
      <c r="D23" s="106" t="s">
        <v>492</v>
      </c>
      <c r="E23" s="166"/>
      <c r="F23" s="171" t="s">
        <v>472</v>
      </c>
      <c r="G23" s="172">
        <v>4</v>
      </c>
      <c r="H23" s="168">
        <f t="shared" si="0"/>
        <v>0</v>
      </c>
    </row>
    <row r="24" spans="1:8" ht="50.4" x14ac:dyDescent="0.45">
      <c r="A24" s="171" t="s">
        <v>1803</v>
      </c>
      <c r="B24" s="171"/>
      <c r="C24" s="106" t="s">
        <v>494</v>
      </c>
      <c r="D24" s="106" t="s">
        <v>495</v>
      </c>
      <c r="E24" s="166"/>
      <c r="F24" s="171" t="s">
        <v>472</v>
      </c>
      <c r="G24" s="172">
        <v>4</v>
      </c>
      <c r="H24" s="168">
        <f t="shared" si="0"/>
        <v>0</v>
      </c>
    </row>
    <row r="25" spans="1:8" ht="50.4" x14ac:dyDescent="0.45">
      <c r="A25" s="171" t="s">
        <v>1804</v>
      </c>
      <c r="B25" s="171"/>
      <c r="C25" s="106" t="s">
        <v>497</v>
      </c>
      <c r="D25" s="106" t="s">
        <v>498</v>
      </c>
      <c r="E25" s="166"/>
      <c r="F25" s="171" t="s">
        <v>472</v>
      </c>
      <c r="G25" s="172">
        <v>4</v>
      </c>
      <c r="H25" s="168">
        <f t="shared" si="0"/>
        <v>0</v>
      </c>
    </row>
    <row r="26" spans="1:8" ht="50.4" x14ac:dyDescent="0.45">
      <c r="A26" s="171" t="s">
        <v>1805</v>
      </c>
      <c r="B26" s="171"/>
      <c r="C26" s="106" t="s">
        <v>500</v>
      </c>
      <c r="D26" s="106" t="s">
        <v>501</v>
      </c>
      <c r="E26" s="166"/>
      <c r="F26" s="171" t="s">
        <v>472</v>
      </c>
      <c r="G26" s="172">
        <v>4</v>
      </c>
      <c r="H26" s="168">
        <f t="shared" si="0"/>
        <v>0</v>
      </c>
    </row>
    <row r="27" spans="1:8" s="177" customFormat="1" ht="100.8" x14ac:dyDescent="0.45">
      <c r="A27" s="173" t="s">
        <v>1806</v>
      </c>
      <c r="B27" s="173"/>
      <c r="C27" s="174" t="s">
        <v>503</v>
      </c>
      <c r="D27" s="174" t="s">
        <v>504</v>
      </c>
      <c r="E27" s="166"/>
      <c r="F27" s="173" t="s">
        <v>472</v>
      </c>
      <c r="G27" s="175">
        <v>10</v>
      </c>
      <c r="H27" s="176">
        <f t="shared" si="0"/>
        <v>0</v>
      </c>
    </row>
    <row r="28" spans="1:8" ht="75.599999999999994" x14ac:dyDescent="0.45">
      <c r="A28" s="171" t="s">
        <v>1807</v>
      </c>
      <c r="B28" s="171"/>
      <c r="C28" s="106" t="s">
        <v>506</v>
      </c>
      <c r="D28" s="178" t="s">
        <v>507</v>
      </c>
      <c r="E28" s="166"/>
      <c r="F28" s="171" t="s">
        <v>508</v>
      </c>
      <c r="G28" s="172">
        <v>300</v>
      </c>
      <c r="H28" s="168">
        <f t="shared" si="0"/>
        <v>0</v>
      </c>
    </row>
    <row r="29" spans="1:8" ht="75.599999999999994" x14ac:dyDescent="0.45">
      <c r="A29" s="171" t="s">
        <v>1808</v>
      </c>
      <c r="B29" s="171"/>
      <c r="C29" s="106" t="s">
        <v>510</v>
      </c>
      <c r="D29" s="178" t="s">
        <v>511</v>
      </c>
      <c r="E29" s="166"/>
      <c r="F29" s="171" t="s">
        <v>508</v>
      </c>
      <c r="G29" s="172">
        <v>300</v>
      </c>
      <c r="H29" s="168">
        <f t="shared" si="0"/>
        <v>0</v>
      </c>
    </row>
    <row r="30" spans="1:8" x14ac:dyDescent="0.45">
      <c r="A30" s="118" t="s">
        <v>1809</v>
      </c>
      <c r="B30" s="184" t="s">
        <v>180</v>
      </c>
      <c r="D30" s="120"/>
      <c r="E30" s="142"/>
      <c r="F30" s="218"/>
      <c r="G30" s="218"/>
      <c r="H30" s="168"/>
    </row>
    <row r="31" spans="1:8" ht="13" customHeight="1" x14ac:dyDescent="0.45">
      <c r="A31" s="159"/>
      <c r="B31" s="159">
        <v>1402000</v>
      </c>
      <c r="C31" s="159"/>
      <c r="D31" s="159" t="s">
        <v>513</v>
      </c>
      <c r="E31" s="159"/>
      <c r="F31" s="159"/>
      <c r="G31" s="159"/>
      <c r="H31" s="163"/>
    </row>
    <row r="32" spans="1:8" ht="63" x14ac:dyDescent="0.45">
      <c r="A32" s="171" t="s">
        <v>1810</v>
      </c>
      <c r="B32" s="171"/>
      <c r="C32" s="184" t="s">
        <v>515</v>
      </c>
      <c r="D32" s="184" t="s">
        <v>516</v>
      </c>
      <c r="E32" s="166"/>
      <c r="F32" s="171" t="s">
        <v>472</v>
      </c>
      <c r="G32" s="172">
        <v>50</v>
      </c>
      <c r="H32" s="168">
        <f>SUM(E32)*G32</f>
        <v>0</v>
      </c>
    </row>
    <row r="33" spans="1:8" ht="63" x14ac:dyDescent="0.45">
      <c r="A33" s="171" t="s">
        <v>1811</v>
      </c>
      <c r="B33" s="171"/>
      <c r="C33" s="184" t="s">
        <v>518</v>
      </c>
      <c r="D33" s="184" t="s">
        <v>519</v>
      </c>
      <c r="E33" s="166"/>
      <c r="F33" s="171" t="s">
        <v>472</v>
      </c>
      <c r="G33" s="172">
        <v>40</v>
      </c>
      <c r="H33" s="168">
        <f>SUM(E33)*G33</f>
        <v>0</v>
      </c>
    </row>
    <row r="34" spans="1:8" ht="37.799999999999997" x14ac:dyDescent="0.45">
      <c r="A34" s="171" t="s">
        <v>1812</v>
      </c>
      <c r="B34" s="171"/>
      <c r="C34" s="184" t="s">
        <v>521</v>
      </c>
      <c r="D34" s="184" t="s">
        <v>522</v>
      </c>
      <c r="E34" s="166"/>
      <c r="F34" s="171" t="s">
        <v>472</v>
      </c>
      <c r="G34" s="172">
        <v>50</v>
      </c>
      <c r="H34" s="168">
        <f>SUM(E34)*G34</f>
        <v>0</v>
      </c>
    </row>
    <row r="35" spans="1:8" ht="37.799999999999997" x14ac:dyDescent="0.45">
      <c r="A35" s="171" t="s">
        <v>1813</v>
      </c>
      <c r="B35" s="171"/>
      <c r="C35" s="184" t="s">
        <v>524</v>
      </c>
      <c r="D35" s="184" t="s">
        <v>525</v>
      </c>
      <c r="E35" s="166"/>
      <c r="F35" s="171" t="s">
        <v>472</v>
      </c>
      <c r="G35" s="172">
        <v>40</v>
      </c>
      <c r="H35" s="168">
        <f>SUM(E35)*G35</f>
        <v>0</v>
      </c>
    </row>
    <row r="36" spans="1:8" x14ac:dyDescent="0.45">
      <c r="A36" s="118" t="s">
        <v>1814</v>
      </c>
      <c r="B36" s="184" t="s">
        <v>180</v>
      </c>
      <c r="D36" s="120"/>
      <c r="E36" s="142"/>
      <c r="F36" s="171"/>
      <c r="G36" s="172"/>
      <c r="H36" s="168"/>
    </row>
    <row r="37" spans="1:8" ht="13" customHeight="1" x14ac:dyDescent="0.45">
      <c r="A37" s="159"/>
      <c r="B37" s="159">
        <v>1502000</v>
      </c>
      <c r="C37" s="159"/>
      <c r="D37" s="159" t="s">
        <v>18</v>
      </c>
      <c r="E37" s="159"/>
      <c r="F37" s="159"/>
      <c r="G37" s="162"/>
      <c r="H37" s="163"/>
    </row>
    <row r="38" spans="1:8" ht="37.799999999999997" x14ac:dyDescent="0.45">
      <c r="A38" s="171" t="s">
        <v>1815</v>
      </c>
      <c r="B38" s="171"/>
      <c r="C38" s="184" t="s">
        <v>528</v>
      </c>
      <c r="D38" s="184" t="s">
        <v>529</v>
      </c>
      <c r="E38" s="166"/>
      <c r="F38" s="171" t="s">
        <v>508</v>
      </c>
      <c r="G38" s="172">
        <v>3000</v>
      </c>
      <c r="H38" s="168">
        <f t="shared" ref="H38:H49" si="1">SUM(E38)*G38</f>
        <v>0</v>
      </c>
    </row>
    <row r="39" spans="1:8" ht="50.4" x14ac:dyDescent="0.45">
      <c r="A39" s="171" t="s">
        <v>1816</v>
      </c>
      <c r="B39" s="171"/>
      <c r="C39" s="184" t="s">
        <v>531</v>
      </c>
      <c r="D39" s="184" t="s">
        <v>532</v>
      </c>
      <c r="E39" s="166"/>
      <c r="F39" s="171" t="s">
        <v>533</v>
      </c>
      <c r="G39" s="172">
        <v>3000</v>
      </c>
      <c r="H39" s="168">
        <f t="shared" si="1"/>
        <v>0</v>
      </c>
    </row>
    <row r="40" spans="1:8" ht="63" x14ac:dyDescent="0.45">
      <c r="A40" s="171" t="s">
        <v>1817</v>
      </c>
      <c r="B40" s="171"/>
      <c r="C40" s="184" t="s">
        <v>535</v>
      </c>
      <c r="D40" s="184" t="s">
        <v>536</v>
      </c>
      <c r="E40" s="166"/>
      <c r="F40" s="171" t="s">
        <v>508</v>
      </c>
      <c r="G40" s="172">
        <v>2000</v>
      </c>
      <c r="H40" s="168">
        <f t="shared" si="1"/>
        <v>0</v>
      </c>
    </row>
    <row r="41" spans="1:8" ht="63" x14ac:dyDescent="0.45">
      <c r="A41" s="171" t="s">
        <v>1818</v>
      </c>
      <c r="B41" s="171"/>
      <c r="C41" s="184" t="s">
        <v>538</v>
      </c>
      <c r="D41" s="184" t="s">
        <v>539</v>
      </c>
      <c r="E41" s="166"/>
      <c r="F41" s="171" t="s">
        <v>508</v>
      </c>
      <c r="G41" s="172">
        <v>2000</v>
      </c>
      <c r="H41" s="168">
        <f t="shared" si="1"/>
        <v>0</v>
      </c>
    </row>
    <row r="42" spans="1:8" ht="50.4" x14ac:dyDescent="0.45">
      <c r="A42" s="171" t="s">
        <v>1819</v>
      </c>
      <c r="B42" s="171"/>
      <c r="C42" s="184" t="s">
        <v>541</v>
      </c>
      <c r="D42" s="184" t="s">
        <v>542</v>
      </c>
      <c r="E42" s="166"/>
      <c r="F42" s="171" t="s">
        <v>543</v>
      </c>
      <c r="G42" s="172">
        <v>19500</v>
      </c>
      <c r="H42" s="168">
        <f t="shared" si="1"/>
        <v>0</v>
      </c>
    </row>
    <row r="43" spans="1:8" ht="37.799999999999997" x14ac:dyDescent="0.45">
      <c r="A43" s="171" t="s">
        <v>1820</v>
      </c>
      <c r="B43" s="171"/>
      <c r="C43" s="184" t="s">
        <v>545</v>
      </c>
      <c r="D43" s="184" t="s">
        <v>546</v>
      </c>
      <c r="E43" s="166"/>
      <c r="F43" s="171" t="s">
        <v>472</v>
      </c>
      <c r="G43" s="172">
        <v>10</v>
      </c>
      <c r="H43" s="168">
        <f t="shared" si="1"/>
        <v>0</v>
      </c>
    </row>
    <row r="44" spans="1:8" ht="151.19999999999999" x14ac:dyDescent="0.45">
      <c r="A44" s="171" t="s">
        <v>1821</v>
      </c>
      <c r="B44" s="171"/>
      <c r="C44" s="184" t="s">
        <v>548</v>
      </c>
      <c r="D44" s="106" t="s">
        <v>549</v>
      </c>
      <c r="E44" s="166"/>
      <c r="F44" s="171" t="s">
        <v>472</v>
      </c>
      <c r="G44" s="172">
        <v>25</v>
      </c>
      <c r="H44" s="168">
        <f t="shared" si="1"/>
        <v>0</v>
      </c>
    </row>
    <row r="45" spans="1:8" ht="37.799999999999997" x14ac:dyDescent="0.45">
      <c r="A45" s="171" t="s">
        <v>1822</v>
      </c>
      <c r="B45" s="171"/>
      <c r="C45" s="106" t="s">
        <v>551</v>
      </c>
      <c r="D45" s="184" t="s">
        <v>552</v>
      </c>
      <c r="E45" s="166"/>
      <c r="F45" s="171" t="s">
        <v>472</v>
      </c>
      <c r="G45" s="172">
        <v>38</v>
      </c>
      <c r="H45" s="168">
        <f t="shared" si="1"/>
        <v>0</v>
      </c>
    </row>
    <row r="46" spans="1:8" ht="37.799999999999997" x14ac:dyDescent="0.45">
      <c r="A46" s="171" t="s">
        <v>1823</v>
      </c>
      <c r="B46" s="171"/>
      <c r="C46" s="106" t="s">
        <v>554</v>
      </c>
      <c r="D46" s="184" t="s">
        <v>555</v>
      </c>
      <c r="E46" s="166"/>
      <c r="F46" s="171" t="s">
        <v>472</v>
      </c>
      <c r="G46" s="172">
        <v>38</v>
      </c>
      <c r="H46" s="168">
        <f t="shared" si="1"/>
        <v>0</v>
      </c>
    </row>
    <row r="47" spans="1:8" ht="37.799999999999997" x14ac:dyDescent="0.45">
      <c r="A47" s="171" t="s">
        <v>1824</v>
      </c>
      <c r="B47" s="171"/>
      <c r="C47" s="106" t="s">
        <v>557</v>
      </c>
      <c r="D47" s="184" t="s">
        <v>558</v>
      </c>
      <c r="E47" s="166"/>
      <c r="F47" s="171" t="s">
        <v>472</v>
      </c>
      <c r="G47" s="172">
        <v>38</v>
      </c>
      <c r="H47" s="168">
        <f t="shared" si="1"/>
        <v>0</v>
      </c>
    </row>
    <row r="48" spans="1:8" ht="70.5" x14ac:dyDescent="0.45">
      <c r="A48" s="171" t="s">
        <v>1825</v>
      </c>
      <c r="B48" s="171"/>
      <c r="C48" s="106" t="s">
        <v>560</v>
      </c>
      <c r="D48" s="179" t="s">
        <v>561</v>
      </c>
      <c r="E48" s="166"/>
      <c r="F48" s="171" t="s">
        <v>472</v>
      </c>
      <c r="G48" s="172">
        <v>14</v>
      </c>
      <c r="H48" s="168">
        <f t="shared" si="1"/>
        <v>0</v>
      </c>
    </row>
    <row r="49" spans="1:8" ht="56.4" x14ac:dyDescent="0.45">
      <c r="A49" s="171" t="s">
        <v>1826</v>
      </c>
      <c r="B49" s="171"/>
      <c r="C49" s="106" t="s">
        <v>563</v>
      </c>
      <c r="D49" s="179" t="s">
        <v>564</v>
      </c>
      <c r="E49" s="166"/>
      <c r="F49" s="171" t="s">
        <v>472</v>
      </c>
      <c r="G49" s="172">
        <v>14</v>
      </c>
      <c r="H49" s="168">
        <f t="shared" si="1"/>
        <v>0</v>
      </c>
    </row>
    <row r="50" spans="1:8" ht="70.5" x14ac:dyDescent="0.45">
      <c r="A50" s="171" t="s">
        <v>1827</v>
      </c>
      <c r="B50" s="171"/>
      <c r="C50" s="106" t="s">
        <v>566</v>
      </c>
      <c r="D50" s="179" t="s">
        <v>567</v>
      </c>
      <c r="E50" s="166"/>
      <c r="F50" s="171" t="s">
        <v>568</v>
      </c>
      <c r="G50" s="172">
        <v>35</v>
      </c>
      <c r="H50" s="168">
        <f>SUM(E50)*G50</f>
        <v>0</v>
      </c>
    </row>
    <row r="51" spans="1:8" ht="106.5" customHeight="1" x14ac:dyDescent="0.45">
      <c r="A51" s="171" t="s">
        <v>1828</v>
      </c>
      <c r="B51" s="180"/>
      <c r="C51" s="182" t="s">
        <v>570</v>
      </c>
      <c r="D51" s="182" t="s">
        <v>571</v>
      </c>
      <c r="E51" s="166"/>
      <c r="F51" s="171" t="s">
        <v>472</v>
      </c>
      <c r="G51" s="172">
        <v>50</v>
      </c>
      <c r="H51" s="168">
        <f t="shared" ref="H51:H54" si="2">SUM(E51)*G51</f>
        <v>0</v>
      </c>
    </row>
    <row r="52" spans="1:8" s="183" customFormat="1" ht="332.4" customHeight="1" x14ac:dyDescent="0.45">
      <c r="A52" s="185" t="s">
        <v>1829</v>
      </c>
      <c r="B52" s="182"/>
      <c r="C52" s="182" t="s">
        <v>573</v>
      </c>
      <c r="D52" s="182" t="s">
        <v>574</v>
      </c>
      <c r="E52" s="166"/>
      <c r="F52" s="185" t="s">
        <v>508</v>
      </c>
      <c r="G52" s="214">
        <v>1500</v>
      </c>
      <c r="H52" s="168">
        <f t="shared" si="2"/>
        <v>0</v>
      </c>
    </row>
    <row r="53" spans="1:8" s="183" customFormat="1" ht="195.3" customHeight="1" x14ac:dyDescent="0.45">
      <c r="A53" s="185" t="s">
        <v>1830</v>
      </c>
      <c r="B53" s="182"/>
      <c r="C53" s="182" t="s">
        <v>576</v>
      </c>
      <c r="D53" s="182" t="s">
        <v>577</v>
      </c>
      <c r="E53" s="166"/>
      <c r="F53" s="185" t="s">
        <v>508</v>
      </c>
      <c r="G53" s="214">
        <v>2500</v>
      </c>
      <c r="H53" s="168">
        <f t="shared" si="2"/>
        <v>0</v>
      </c>
    </row>
    <row r="54" spans="1:8" s="183" customFormat="1" ht="75.599999999999994" x14ac:dyDescent="0.45">
      <c r="A54" s="185" t="s">
        <v>1831</v>
      </c>
      <c r="B54" s="182"/>
      <c r="C54" s="219" t="s">
        <v>579</v>
      </c>
      <c r="D54" s="219" t="s">
        <v>580</v>
      </c>
      <c r="E54" s="166"/>
      <c r="F54" s="185" t="s">
        <v>508</v>
      </c>
      <c r="G54" s="214">
        <v>2000</v>
      </c>
      <c r="H54" s="168">
        <f t="shared" si="2"/>
        <v>0</v>
      </c>
    </row>
    <row r="55" spans="1:8" x14ac:dyDescent="0.45">
      <c r="A55" s="118" t="s">
        <v>1832</v>
      </c>
      <c r="B55" s="184" t="s">
        <v>180</v>
      </c>
      <c r="D55" s="170"/>
      <c r="E55" s="142"/>
      <c r="F55" s="172"/>
      <c r="G55" s="168"/>
      <c r="H55" s="142"/>
    </row>
    <row r="56" spans="1:8" ht="13" customHeight="1" x14ac:dyDescent="0.45">
      <c r="A56" s="159"/>
      <c r="B56" s="159">
        <v>1503010</v>
      </c>
      <c r="C56" s="159"/>
      <c r="D56" s="159" t="s">
        <v>109</v>
      </c>
      <c r="E56" s="159"/>
      <c r="F56" s="209"/>
      <c r="G56" s="210"/>
      <c r="H56" s="163"/>
    </row>
    <row r="57" spans="1:8" ht="25.2" x14ac:dyDescent="0.45">
      <c r="A57" s="171" t="s">
        <v>1833</v>
      </c>
      <c r="B57" s="171"/>
      <c r="C57" s="106" t="s">
        <v>583</v>
      </c>
      <c r="D57" s="106" t="s">
        <v>584</v>
      </c>
      <c r="E57" s="166"/>
      <c r="F57" s="171" t="s">
        <v>508</v>
      </c>
      <c r="G57" s="172">
        <v>500</v>
      </c>
      <c r="H57" s="168">
        <f t="shared" ref="H57:H74" si="3">SUM(E57)*G57</f>
        <v>0</v>
      </c>
    </row>
    <row r="58" spans="1:8" ht="50.4" x14ac:dyDescent="0.45">
      <c r="A58" s="171" t="s">
        <v>1834</v>
      </c>
      <c r="B58" s="171"/>
      <c r="C58" s="106" t="s">
        <v>586</v>
      </c>
      <c r="D58" s="106" t="s">
        <v>587</v>
      </c>
      <c r="E58" s="166"/>
      <c r="F58" s="171" t="s">
        <v>508</v>
      </c>
      <c r="G58" s="172">
        <v>500</v>
      </c>
      <c r="H58" s="168">
        <f t="shared" si="3"/>
        <v>0</v>
      </c>
    </row>
    <row r="59" spans="1:8" ht="50.4" x14ac:dyDescent="0.45">
      <c r="A59" s="171" t="s">
        <v>1835</v>
      </c>
      <c r="B59" s="171"/>
      <c r="C59" s="106" t="s">
        <v>589</v>
      </c>
      <c r="D59" s="106" t="s">
        <v>590</v>
      </c>
      <c r="E59" s="166"/>
      <c r="F59" s="171" t="s">
        <v>508</v>
      </c>
      <c r="G59" s="172">
        <v>1000</v>
      </c>
      <c r="H59" s="168">
        <f t="shared" si="3"/>
        <v>0</v>
      </c>
    </row>
    <row r="60" spans="1:8" ht="37.799999999999997" x14ac:dyDescent="0.45">
      <c r="A60" s="171" t="s">
        <v>1836</v>
      </c>
      <c r="B60" s="171"/>
      <c r="C60" s="106" t="s">
        <v>592</v>
      </c>
      <c r="D60" s="106" t="s">
        <v>593</v>
      </c>
      <c r="E60" s="166"/>
      <c r="F60" s="171" t="s">
        <v>508</v>
      </c>
      <c r="G60" s="172">
        <v>1000</v>
      </c>
      <c r="H60" s="168">
        <f t="shared" si="3"/>
        <v>0</v>
      </c>
    </row>
    <row r="61" spans="1:8" ht="75.599999999999994" x14ac:dyDescent="0.45">
      <c r="A61" s="171" t="s">
        <v>1837</v>
      </c>
      <c r="B61" s="171"/>
      <c r="C61" s="106" t="s">
        <v>595</v>
      </c>
      <c r="D61" s="106" t="s">
        <v>596</v>
      </c>
      <c r="E61" s="166"/>
      <c r="F61" s="171" t="s">
        <v>508</v>
      </c>
      <c r="G61" s="172">
        <v>1000</v>
      </c>
      <c r="H61" s="168">
        <f t="shared" si="3"/>
        <v>0</v>
      </c>
    </row>
    <row r="62" spans="1:8" ht="63" x14ac:dyDescent="0.45">
      <c r="A62" s="171" t="s">
        <v>1838</v>
      </c>
      <c r="B62" s="171"/>
      <c r="C62" s="106" t="s">
        <v>598</v>
      </c>
      <c r="D62" s="106" t="s">
        <v>599</v>
      </c>
      <c r="E62" s="166"/>
      <c r="F62" s="171" t="s">
        <v>508</v>
      </c>
      <c r="G62" s="172">
        <v>1000</v>
      </c>
      <c r="H62" s="168">
        <f t="shared" si="3"/>
        <v>0</v>
      </c>
    </row>
    <row r="63" spans="1:8" ht="50.4" x14ac:dyDescent="0.45">
      <c r="A63" s="171" t="s">
        <v>1839</v>
      </c>
      <c r="B63" s="171"/>
      <c r="C63" s="106" t="s">
        <v>601</v>
      </c>
      <c r="D63" s="106" t="s">
        <v>602</v>
      </c>
      <c r="E63" s="166"/>
      <c r="F63" s="171" t="s">
        <v>508</v>
      </c>
      <c r="G63" s="172">
        <v>1000</v>
      </c>
      <c r="H63" s="168">
        <f t="shared" si="3"/>
        <v>0</v>
      </c>
    </row>
    <row r="64" spans="1:8" ht="50.4" x14ac:dyDescent="0.45">
      <c r="A64" s="171" t="s">
        <v>1840</v>
      </c>
      <c r="B64" s="171"/>
      <c r="C64" s="106" t="s">
        <v>604</v>
      </c>
      <c r="D64" s="106" t="s">
        <v>605</v>
      </c>
      <c r="E64" s="166"/>
      <c r="F64" s="171" t="s">
        <v>508</v>
      </c>
      <c r="G64" s="172">
        <v>500</v>
      </c>
      <c r="H64" s="168">
        <f t="shared" si="3"/>
        <v>0</v>
      </c>
    </row>
    <row r="65" spans="1:8" ht="50.4" x14ac:dyDescent="0.45">
      <c r="A65" s="171" t="s">
        <v>1841</v>
      </c>
      <c r="B65" s="171"/>
      <c r="C65" s="106" t="s">
        <v>607</v>
      </c>
      <c r="D65" s="106" t="s">
        <v>608</v>
      </c>
      <c r="E65" s="166"/>
      <c r="F65" s="171" t="s">
        <v>508</v>
      </c>
      <c r="G65" s="172">
        <v>500</v>
      </c>
      <c r="H65" s="168">
        <f t="shared" si="3"/>
        <v>0</v>
      </c>
    </row>
    <row r="66" spans="1:8" ht="25.2" x14ac:dyDescent="0.45">
      <c r="A66" s="171" t="s">
        <v>1842</v>
      </c>
      <c r="B66" s="171"/>
      <c r="C66" s="106" t="s">
        <v>610</v>
      </c>
      <c r="D66" s="106" t="s">
        <v>611</v>
      </c>
      <c r="E66" s="166"/>
      <c r="F66" s="171" t="s">
        <v>508</v>
      </c>
      <c r="G66" s="172">
        <v>500</v>
      </c>
      <c r="H66" s="168">
        <f t="shared" si="3"/>
        <v>0</v>
      </c>
    </row>
    <row r="67" spans="1:8" ht="50.4" x14ac:dyDescent="0.45">
      <c r="A67" s="171" t="s">
        <v>1843</v>
      </c>
      <c r="B67" s="171"/>
      <c r="C67" s="106" t="s">
        <v>613</v>
      </c>
      <c r="D67" s="106" t="s">
        <v>614</v>
      </c>
      <c r="E67" s="166"/>
      <c r="F67" s="171" t="s">
        <v>508</v>
      </c>
      <c r="G67" s="172">
        <v>250</v>
      </c>
      <c r="H67" s="168">
        <f t="shared" si="3"/>
        <v>0</v>
      </c>
    </row>
    <row r="68" spans="1:8" ht="50.4" x14ac:dyDescent="0.45">
      <c r="A68" s="171" t="s">
        <v>1844</v>
      </c>
      <c r="B68" s="171"/>
      <c r="C68" s="106" t="s">
        <v>616</v>
      </c>
      <c r="D68" s="106" t="s">
        <v>617</v>
      </c>
      <c r="E68" s="166"/>
      <c r="F68" s="171" t="s">
        <v>508</v>
      </c>
      <c r="G68" s="172">
        <v>500</v>
      </c>
      <c r="H68" s="168">
        <f t="shared" si="3"/>
        <v>0</v>
      </c>
    </row>
    <row r="69" spans="1:8" ht="50.4" x14ac:dyDescent="0.45">
      <c r="A69" s="171" t="s">
        <v>1845</v>
      </c>
      <c r="B69" s="171"/>
      <c r="C69" s="106" t="s">
        <v>619</v>
      </c>
      <c r="D69" s="106" t="s">
        <v>620</v>
      </c>
      <c r="E69" s="166"/>
      <c r="F69" s="171" t="s">
        <v>508</v>
      </c>
      <c r="G69" s="172">
        <v>1000</v>
      </c>
      <c r="H69" s="168">
        <f t="shared" si="3"/>
        <v>0</v>
      </c>
    </row>
    <row r="70" spans="1:8" ht="25.2" x14ac:dyDescent="0.45">
      <c r="A70" s="171" t="s">
        <v>1846</v>
      </c>
      <c r="B70" s="171"/>
      <c r="C70" s="106" t="s">
        <v>622</v>
      </c>
      <c r="D70" s="106" t="s">
        <v>623</v>
      </c>
      <c r="E70" s="166"/>
      <c r="F70" s="171" t="s">
        <v>508</v>
      </c>
      <c r="G70" s="172">
        <v>3000</v>
      </c>
      <c r="H70" s="168">
        <f t="shared" si="3"/>
        <v>0</v>
      </c>
    </row>
    <row r="71" spans="1:8" ht="37.799999999999997" x14ac:dyDescent="0.45">
      <c r="A71" s="171" t="s">
        <v>1847</v>
      </c>
      <c r="B71" s="171"/>
      <c r="C71" s="106" t="s">
        <v>625</v>
      </c>
      <c r="D71" s="106" t="s">
        <v>626</v>
      </c>
      <c r="E71" s="166"/>
      <c r="F71" s="171" t="s">
        <v>472</v>
      </c>
      <c r="G71" s="172">
        <v>100</v>
      </c>
      <c r="H71" s="168">
        <f t="shared" si="3"/>
        <v>0</v>
      </c>
    </row>
    <row r="72" spans="1:8" ht="37.799999999999997" x14ac:dyDescent="0.45">
      <c r="A72" s="171" t="s">
        <v>1848</v>
      </c>
      <c r="B72" s="171"/>
      <c r="C72" s="106" t="s">
        <v>628</v>
      </c>
      <c r="D72" s="106" t="s">
        <v>629</v>
      </c>
      <c r="E72" s="166"/>
      <c r="F72" s="171" t="s">
        <v>472</v>
      </c>
      <c r="G72" s="172">
        <v>50</v>
      </c>
      <c r="H72" s="168">
        <f t="shared" si="3"/>
        <v>0</v>
      </c>
    </row>
    <row r="73" spans="1:8" ht="63" x14ac:dyDescent="0.45">
      <c r="A73" s="171" t="s">
        <v>1849</v>
      </c>
      <c r="B73" s="171"/>
      <c r="C73" s="106" t="s">
        <v>631</v>
      </c>
      <c r="D73" s="184" t="s">
        <v>632</v>
      </c>
      <c r="E73" s="166"/>
      <c r="F73" s="171" t="s">
        <v>633</v>
      </c>
      <c r="G73" s="172">
        <v>240</v>
      </c>
      <c r="H73" s="168">
        <f t="shared" si="3"/>
        <v>0</v>
      </c>
    </row>
    <row r="74" spans="1:8" s="183" customFormat="1" ht="151.19999999999999" x14ac:dyDescent="0.45">
      <c r="A74" s="185" t="s">
        <v>1850</v>
      </c>
      <c r="B74" s="185"/>
      <c r="C74" s="216" t="s">
        <v>635</v>
      </c>
      <c r="D74" s="216" t="s">
        <v>636</v>
      </c>
      <c r="E74" s="166"/>
      <c r="F74" s="185" t="s">
        <v>472</v>
      </c>
      <c r="G74" s="172">
        <v>6</v>
      </c>
      <c r="H74" s="168">
        <f t="shared" si="3"/>
        <v>0</v>
      </c>
    </row>
    <row r="75" spans="1:8" x14ac:dyDescent="0.45">
      <c r="A75" s="118" t="s">
        <v>1851</v>
      </c>
      <c r="B75" s="184" t="s">
        <v>180</v>
      </c>
      <c r="C75" s="120"/>
      <c r="D75" s="170"/>
      <c r="E75" s="142"/>
      <c r="F75" s="172"/>
      <c r="G75" s="168"/>
      <c r="H75" s="142"/>
    </row>
    <row r="76" spans="1:8" ht="13" customHeight="1" x14ac:dyDescent="0.45">
      <c r="A76" s="159"/>
      <c r="B76" s="159">
        <v>1503020</v>
      </c>
      <c r="C76" s="159"/>
      <c r="D76" s="159" t="s">
        <v>638</v>
      </c>
      <c r="E76" s="159"/>
      <c r="F76" s="159"/>
      <c r="G76" s="210"/>
      <c r="H76" s="163"/>
    </row>
    <row r="77" spans="1:8" ht="37.799999999999997" x14ac:dyDescent="0.45">
      <c r="A77" s="171" t="s">
        <v>1852</v>
      </c>
      <c r="B77" s="171"/>
      <c r="C77" s="106" t="s">
        <v>640</v>
      </c>
      <c r="D77" s="106" t="s">
        <v>641</v>
      </c>
      <c r="E77" s="166"/>
      <c r="F77" s="171" t="s">
        <v>472</v>
      </c>
      <c r="G77" s="172">
        <v>16</v>
      </c>
      <c r="H77" s="168">
        <f t="shared" ref="H77:H89" si="4">SUM(E77)*G77</f>
        <v>0</v>
      </c>
    </row>
    <row r="78" spans="1:8" ht="63" x14ac:dyDescent="0.45">
      <c r="A78" s="171" t="s">
        <v>1853</v>
      </c>
      <c r="B78" s="171"/>
      <c r="C78" s="106" t="s">
        <v>643</v>
      </c>
      <c r="D78" s="106" t="s">
        <v>644</v>
      </c>
      <c r="E78" s="166"/>
      <c r="F78" s="171" t="s">
        <v>645</v>
      </c>
      <c r="G78" s="172">
        <v>16</v>
      </c>
      <c r="H78" s="168">
        <f t="shared" si="4"/>
        <v>0</v>
      </c>
    </row>
    <row r="79" spans="1:8" ht="37.799999999999997" x14ac:dyDescent="0.45">
      <c r="A79" s="171" t="s">
        <v>1854</v>
      </c>
      <c r="B79" s="171"/>
      <c r="C79" s="106" t="s">
        <v>647</v>
      </c>
      <c r="D79" s="106" t="s">
        <v>648</v>
      </c>
      <c r="E79" s="166"/>
      <c r="F79" s="171" t="s">
        <v>472</v>
      </c>
      <c r="G79" s="172">
        <v>16</v>
      </c>
      <c r="H79" s="168">
        <f t="shared" si="4"/>
        <v>0</v>
      </c>
    </row>
    <row r="80" spans="1:8" ht="37.799999999999997" x14ac:dyDescent="0.45">
      <c r="A80" s="171" t="s">
        <v>1855</v>
      </c>
      <c r="B80" s="171"/>
      <c r="C80" s="106" t="s">
        <v>650</v>
      </c>
      <c r="D80" s="106" t="s">
        <v>651</v>
      </c>
      <c r="E80" s="166"/>
      <c r="F80" s="171" t="s">
        <v>472</v>
      </c>
      <c r="G80" s="172">
        <v>16</v>
      </c>
      <c r="H80" s="168">
        <f t="shared" si="4"/>
        <v>0</v>
      </c>
    </row>
    <row r="81" spans="1:10" ht="63" x14ac:dyDescent="0.45">
      <c r="A81" s="171" t="s">
        <v>1856</v>
      </c>
      <c r="B81" s="171"/>
      <c r="C81" s="106" t="s">
        <v>653</v>
      </c>
      <c r="D81" s="106" t="s">
        <v>654</v>
      </c>
      <c r="E81" s="166"/>
      <c r="F81" s="171" t="s">
        <v>472</v>
      </c>
      <c r="G81" s="172">
        <v>70</v>
      </c>
      <c r="H81" s="168">
        <f t="shared" si="4"/>
        <v>0</v>
      </c>
    </row>
    <row r="82" spans="1:10" ht="50.4" x14ac:dyDescent="0.45">
      <c r="A82" s="171" t="s">
        <v>1857</v>
      </c>
      <c r="B82" s="171"/>
      <c r="C82" s="106" t="s">
        <v>656</v>
      </c>
      <c r="D82" s="106" t="s">
        <v>657</v>
      </c>
      <c r="E82" s="166"/>
      <c r="F82" s="171" t="s">
        <v>472</v>
      </c>
      <c r="G82" s="172">
        <v>30</v>
      </c>
      <c r="H82" s="168">
        <f t="shared" si="4"/>
        <v>0</v>
      </c>
    </row>
    <row r="83" spans="1:10" ht="75.599999999999994" x14ac:dyDescent="0.45">
      <c r="A83" s="171" t="s">
        <v>1858</v>
      </c>
      <c r="B83" s="171"/>
      <c r="C83" s="106" t="s">
        <v>659</v>
      </c>
      <c r="D83" s="106" t="s">
        <v>660</v>
      </c>
      <c r="E83" s="166"/>
      <c r="F83" s="171" t="s">
        <v>472</v>
      </c>
      <c r="G83" s="172">
        <v>175</v>
      </c>
      <c r="H83" s="168">
        <f t="shared" si="4"/>
        <v>0</v>
      </c>
    </row>
    <row r="84" spans="1:10" ht="50.4" x14ac:dyDescent="0.45">
      <c r="A84" s="171" t="s">
        <v>1859</v>
      </c>
      <c r="B84" s="171"/>
      <c r="C84" s="184" t="s">
        <v>662</v>
      </c>
      <c r="D84" s="184" t="s">
        <v>663</v>
      </c>
      <c r="E84" s="166"/>
      <c r="F84" s="171" t="s">
        <v>472</v>
      </c>
      <c r="G84" s="172">
        <v>50</v>
      </c>
      <c r="H84" s="168">
        <f t="shared" si="4"/>
        <v>0</v>
      </c>
    </row>
    <row r="85" spans="1:10" ht="37.799999999999997" x14ac:dyDescent="0.45">
      <c r="A85" s="171" t="s">
        <v>1860</v>
      </c>
      <c r="B85" s="171"/>
      <c r="C85" s="184" t="s">
        <v>665</v>
      </c>
      <c r="D85" s="184" t="s">
        <v>666</v>
      </c>
      <c r="E85" s="166"/>
      <c r="F85" s="171" t="s">
        <v>508</v>
      </c>
      <c r="G85" s="172">
        <v>300</v>
      </c>
      <c r="H85" s="168">
        <f t="shared" si="4"/>
        <v>0</v>
      </c>
    </row>
    <row r="86" spans="1:10" ht="126" x14ac:dyDescent="0.45">
      <c r="A86" s="171" t="s">
        <v>1861</v>
      </c>
      <c r="B86" s="171"/>
      <c r="C86" s="184" t="s">
        <v>668</v>
      </c>
      <c r="D86" s="106" t="s">
        <v>669</v>
      </c>
      <c r="E86" s="166"/>
      <c r="F86" s="171" t="s">
        <v>508</v>
      </c>
      <c r="G86" s="172">
        <v>3500</v>
      </c>
      <c r="H86" s="168">
        <f t="shared" si="4"/>
        <v>0</v>
      </c>
    </row>
    <row r="87" spans="1:10" ht="37.799999999999997" x14ac:dyDescent="0.45">
      <c r="A87" s="171" t="s">
        <v>1862</v>
      </c>
      <c r="B87" s="171"/>
      <c r="C87" s="186" t="s">
        <v>671</v>
      </c>
      <c r="D87" s="186" t="s">
        <v>672</v>
      </c>
      <c r="E87" s="166"/>
      <c r="F87" s="171" t="s">
        <v>472</v>
      </c>
      <c r="G87" s="172">
        <v>20</v>
      </c>
      <c r="H87" s="168">
        <f t="shared" si="4"/>
        <v>0</v>
      </c>
    </row>
    <row r="88" spans="1:10" ht="37.799999999999997" x14ac:dyDescent="0.45">
      <c r="A88" s="171" t="s">
        <v>1863</v>
      </c>
      <c r="B88" s="171"/>
      <c r="C88" s="349" t="s">
        <v>5044</v>
      </c>
      <c r="D88" s="186" t="s">
        <v>1377</v>
      </c>
      <c r="E88" s="166"/>
      <c r="F88" s="171" t="s">
        <v>472</v>
      </c>
      <c r="G88" s="172">
        <v>20</v>
      </c>
      <c r="H88" s="168">
        <f t="shared" si="4"/>
        <v>0</v>
      </c>
    </row>
    <row r="89" spans="1:10" ht="302.39999999999998" x14ac:dyDescent="0.45">
      <c r="A89" s="171" t="s">
        <v>1864</v>
      </c>
      <c r="B89" s="171"/>
      <c r="C89" s="106" t="s">
        <v>675</v>
      </c>
      <c r="D89" s="106" t="s">
        <v>676</v>
      </c>
      <c r="E89" s="166"/>
      <c r="F89" s="171" t="s">
        <v>472</v>
      </c>
      <c r="G89" s="172">
        <v>15</v>
      </c>
      <c r="H89" s="168">
        <f t="shared" si="4"/>
        <v>0</v>
      </c>
      <c r="I89" s="169"/>
    </row>
    <row r="90" spans="1:10" x14ac:dyDescent="0.45">
      <c r="A90" s="118" t="s">
        <v>1865</v>
      </c>
      <c r="B90" s="184" t="s">
        <v>180</v>
      </c>
      <c r="D90" s="120"/>
      <c r="E90" s="142"/>
      <c r="F90" s="171"/>
      <c r="G90" s="172"/>
      <c r="H90" s="220"/>
    </row>
    <row r="91" spans="1:10" ht="13" customHeight="1" x14ac:dyDescent="0.45">
      <c r="A91" s="159"/>
      <c r="B91" s="159">
        <v>1503030</v>
      </c>
      <c r="C91" s="159"/>
      <c r="D91" s="159" t="s">
        <v>678</v>
      </c>
      <c r="E91" s="159"/>
      <c r="F91" s="209"/>
      <c r="G91" s="210"/>
      <c r="H91" s="163"/>
    </row>
    <row r="92" spans="1:10" ht="75.599999999999994" x14ac:dyDescent="0.45">
      <c r="A92" s="171" t="s">
        <v>1866</v>
      </c>
      <c r="B92" s="171"/>
      <c r="C92" s="106" t="s">
        <v>680</v>
      </c>
      <c r="D92" s="106" t="s">
        <v>681</v>
      </c>
      <c r="E92" s="166"/>
      <c r="F92" s="171" t="s">
        <v>682</v>
      </c>
      <c r="G92" s="171">
        <v>10</v>
      </c>
      <c r="H92" s="168">
        <f t="shared" ref="H92:H112" si="5">SUM(E92)*G92</f>
        <v>0</v>
      </c>
      <c r="I92" s="169"/>
    </row>
    <row r="93" spans="1:10" ht="75.599999999999994" x14ac:dyDescent="0.45">
      <c r="A93" s="171" t="s">
        <v>1867</v>
      </c>
      <c r="B93" s="171"/>
      <c r="C93" s="106" t="s">
        <v>684</v>
      </c>
      <c r="D93" s="106" t="s">
        <v>685</v>
      </c>
      <c r="E93" s="166"/>
      <c r="F93" s="171" t="s">
        <v>472</v>
      </c>
      <c r="G93" s="171">
        <v>5</v>
      </c>
      <c r="H93" s="168">
        <f t="shared" si="5"/>
        <v>0</v>
      </c>
      <c r="I93" s="169"/>
    </row>
    <row r="94" spans="1:10" ht="75.599999999999994" x14ac:dyDescent="0.45">
      <c r="A94" s="171" t="s">
        <v>1868</v>
      </c>
      <c r="B94" s="171"/>
      <c r="C94" s="106" t="s">
        <v>687</v>
      </c>
      <c r="D94" s="106" t="s">
        <v>688</v>
      </c>
      <c r="E94" s="166"/>
      <c r="F94" s="171" t="s">
        <v>472</v>
      </c>
      <c r="G94" s="171">
        <v>5</v>
      </c>
      <c r="H94" s="168">
        <f t="shared" si="5"/>
        <v>0</v>
      </c>
      <c r="I94" s="169"/>
      <c r="J94" s="187"/>
    </row>
    <row r="95" spans="1:10" ht="75.599999999999994" x14ac:dyDescent="0.45">
      <c r="A95" s="171" t="s">
        <v>1869</v>
      </c>
      <c r="B95" s="171"/>
      <c r="C95" s="106" t="s">
        <v>690</v>
      </c>
      <c r="D95" s="106" t="s">
        <v>691</v>
      </c>
      <c r="E95" s="166"/>
      <c r="F95" s="367" t="s">
        <v>472</v>
      </c>
      <c r="G95" s="171">
        <v>10</v>
      </c>
      <c r="H95" s="168">
        <f t="shared" si="5"/>
        <v>0</v>
      </c>
      <c r="I95" s="169"/>
      <c r="J95" s="187"/>
    </row>
    <row r="96" spans="1:10" ht="75.599999999999994" x14ac:dyDescent="0.45">
      <c r="A96" s="171" t="s">
        <v>1870</v>
      </c>
      <c r="B96" s="171"/>
      <c r="C96" s="106" t="s">
        <v>693</v>
      </c>
      <c r="D96" s="106" t="s">
        <v>694</v>
      </c>
      <c r="E96" s="166"/>
      <c r="F96" s="367" t="s">
        <v>472</v>
      </c>
      <c r="G96" s="171">
        <v>5</v>
      </c>
      <c r="H96" s="168">
        <f t="shared" si="5"/>
        <v>0</v>
      </c>
      <c r="I96" s="169"/>
      <c r="J96" s="187"/>
    </row>
    <row r="97" spans="1:9" ht="75.599999999999994" x14ac:dyDescent="0.45">
      <c r="A97" s="171" t="s">
        <v>1871</v>
      </c>
      <c r="B97" s="171"/>
      <c r="C97" s="106" t="s">
        <v>696</v>
      </c>
      <c r="D97" s="106" t="s">
        <v>697</v>
      </c>
      <c r="E97" s="166"/>
      <c r="F97" s="367" t="s">
        <v>472</v>
      </c>
      <c r="G97" s="171">
        <v>5</v>
      </c>
      <c r="H97" s="168">
        <f t="shared" si="5"/>
        <v>0</v>
      </c>
      <c r="I97" s="169"/>
    </row>
    <row r="98" spans="1:9" ht="75.599999999999994" x14ac:dyDescent="0.45">
      <c r="A98" s="171" t="s">
        <v>1872</v>
      </c>
      <c r="B98" s="171"/>
      <c r="C98" s="106" t="s">
        <v>699</v>
      </c>
      <c r="D98" s="106" t="s">
        <v>700</v>
      </c>
      <c r="E98" s="166"/>
      <c r="F98" s="367" t="s">
        <v>472</v>
      </c>
      <c r="G98" s="171">
        <v>5</v>
      </c>
      <c r="H98" s="168">
        <f t="shared" si="5"/>
        <v>0</v>
      </c>
      <c r="I98" s="169"/>
    </row>
    <row r="99" spans="1:9" ht="88.2" x14ac:dyDescent="0.45">
      <c r="A99" s="171" t="s">
        <v>1873</v>
      </c>
      <c r="B99" s="171"/>
      <c r="C99" s="106" t="s">
        <v>702</v>
      </c>
      <c r="D99" s="106" t="s">
        <v>703</v>
      </c>
      <c r="E99" s="166"/>
      <c r="F99" s="367" t="s">
        <v>472</v>
      </c>
      <c r="G99" s="171">
        <v>5</v>
      </c>
      <c r="H99" s="168">
        <f t="shared" si="5"/>
        <v>0</v>
      </c>
      <c r="I99" s="169"/>
    </row>
    <row r="100" spans="1:9" ht="88.2" x14ac:dyDescent="0.45">
      <c r="A100" s="171" t="s">
        <v>1874</v>
      </c>
      <c r="B100" s="171"/>
      <c r="C100" s="106" t="s">
        <v>705</v>
      </c>
      <c r="D100" s="106" t="s">
        <v>706</v>
      </c>
      <c r="E100" s="166"/>
      <c r="F100" s="367" t="s">
        <v>472</v>
      </c>
      <c r="G100" s="171">
        <v>5</v>
      </c>
      <c r="H100" s="168">
        <f t="shared" si="5"/>
        <v>0</v>
      </c>
      <c r="I100" s="169"/>
    </row>
    <row r="101" spans="1:9" ht="75.599999999999994" x14ac:dyDescent="0.45">
      <c r="A101" s="171" t="s">
        <v>1875</v>
      </c>
      <c r="B101" s="171"/>
      <c r="C101" s="106" t="s">
        <v>708</v>
      </c>
      <c r="D101" s="106" t="s">
        <v>709</v>
      </c>
      <c r="E101" s="166"/>
      <c r="F101" s="367" t="s">
        <v>472</v>
      </c>
      <c r="G101" s="171">
        <v>5</v>
      </c>
      <c r="H101" s="168">
        <f t="shared" si="5"/>
        <v>0</v>
      </c>
      <c r="I101" s="169"/>
    </row>
    <row r="102" spans="1:9" ht="75.599999999999994" x14ac:dyDescent="0.45">
      <c r="A102" s="171" t="s">
        <v>1876</v>
      </c>
      <c r="B102" s="171"/>
      <c r="C102" s="106" t="s">
        <v>711</v>
      </c>
      <c r="D102" s="106" t="s">
        <v>712</v>
      </c>
      <c r="E102" s="166"/>
      <c r="F102" s="367" t="s">
        <v>472</v>
      </c>
      <c r="G102" s="171">
        <v>5</v>
      </c>
      <c r="H102" s="168">
        <f t="shared" si="5"/>
        <v>0</v>
      </c>
      <c r="I102" s="169"/>
    </row>
    <row r="103" spans="1:9" ht="75.599999999999994" x14ac:dyDescent="0.45">
      <c r="A103" s="171" t="s">
        <v>1877</v>
      </c>
      <c r="B103" s="171"/>
      <c r="C103" s="106" t="s">
        <v>714</v>
      </c>
      <c r="D103" s="106" t="s">
        <v>715</v>
      </c>
      <c r="E103" s="166"/>
      <c r="F103" s="367" t="s">
        <v>472</v>
      </c>
      <c r="G103" s="171">
        <v>5</v>
      </c>
      <c r="H103" s="168">
        <f t="shared" si="5"/>
        <v>0</v>
      </c>
      <c r="I103" s="169"/>
    </row>
    <row r="104" spans="1:9" ht="75.599999999999994" x14ac:dyDescent="0.45">
      <c r="A104" s="171" t="s">
        <v>1878</v>
      </c>
      <c r="B104" s="171"/>
      <c r="C104" s="106" t="s">
        <v>717</v>
      </c>
      <c r="D104" s="106" t="s">
        <v>718</v>
      </c>
      <c r="E104" s="166"/>
      <c r="F104" s="367" t="s">
        <v>472</v>
      </c>
      <c r="G104" s="171">
        <v>5</v>
      </c>
      <c r="H104" s="168">
        <f t="shared" si="5"/>
        <v>0</v>
      </c>
      <c r="I104" s="169"/>
    </row>
    <row r="105" spans="1:9" ht="50.4" x14ac:dyDescent="0.45">
      <c r="A105" s="171" t="s">
        <v>1879</v>
      </c>
      <c r="B105" s="171"/>
      <c r="C105" s="106" t="s">
        <v>720</v>
      </c>
      <c r="D105" s="106" t="s">
        <v>721</v>
      </c>
      <c r="E105" s="166"/>
      <c r="F105" s="367" t="s">
        <v>472</v>
      </c>
      <c r="G105" s="188">
        <v>5</v>
      </c>
      <c r="H105" s="168">
        <f t="shared" si="5"/>
        <v>0</v>
      </c>
    </row>
    <row r="106" spans="1:9" ht="63" x14ac:dyDescent="0.45">
      <c r="A106" s="171" t="s">
        <v>1880</v>
      </c>
      <c r="B106" s="171"/>
      <c r="C106" s="106" t="s">
        <v>723</v>
      </c>
      <c r="D106" s="106" t="s">
        <v>724</v>
      </c>
      <c r="E106" s="166"/>
      <c r="F106" s="171" t="s">
        <v>472</v>
      </c>
      <c r="G106" s="171">
        <v>5</v>
      </c>
      <c r="H106" s="168">
        <f t="shared" si="5"/>
        <v>0</v>
      </c>
    </row>
    <row r="107" spans="1:9" ht="63" x14ac:dyDescent="0.45">
      <c r="A107" s="171" t="s">
        <v>1881</v>
      </c>
      <c r="B107" s="171"/>
      <c r="C107" s="106" t="s">
        <v>726</v>
      </c>
      <c r="D107" s="106" t="s">
        <v>727</v>
      </c>
      <c r="E107" s="166"/>
      <c r="F107" s="171" t="s">
        <v>472</v>
      </c>
      <c r="G107" s="171">
        <v>5</v>
      </c>
      <c r="H107" s="168">
        <f t="shared" si="5"/>
        <v>0</v>
      </c>
    </row>
    <row r="108" spans="1:9" ht="50.4" x14ac:dyDescent="0.45">
      <c r="A108" s="171" t="s">
        <v>1882</v>
      </c>
      <c r="B108" s="171"/>
      <c r="C108" s="106" t="s">
        <v>729</v>
      </c>
      <c r="D108" s="189" t="s">
        <v>730</v>
      </c>
      <c r="E108" s="166"/>
      <c r="F108" s="171" t="s">
        <v>472</v>
      </c>
      <c r="G108" s="171">
        <v>5</v>
      </c>
      <c r="H108" s="168">
        <f t="shared" si="5"/>
        <v>0</v>
      </c>
    </row>
    <row r="109" spans="1:9" ht="50.4" x14ac:dyDescent="0.45">
      <c r="A109" s="171" t="s">
        <v>1883</v>
      </c>
      <c r="B109" s="171"/>
      <c r="C109" s="106" t="s">
        <v>732</v>
      </c>
      <c r="D109" s="189" t="s">
        <v>733</v>
      </c>
      <c r="E109" s="166"/>
      <c r="F109" s="171" t="s">
        <v>472</v>
      </c>
      <c r="G109" s="171">
        <v>5</v>
      </c>
      <c r="H109" s="168">
        <f t="shared" si="5"/>
        <v>0</v>
      </c>
    </row>
    <row r="110" spans="1:9" ht="50.4" x14ac:dyDescent="0.45">
      <c r="A110" s="171" t="s">
        <v>1884</v>
      </c>
      <c r="B110" s="171"/>
      <c r="C110" s="106" t="s">
        <v>735</v>
      </c>
      <c r="D110" s="189" t="s">
        <v>736</v>
      </c>
      <c r="E110" s="166"/>
      <c r="F110" s="171" t="s">
        <v>472</v>
      </c>
      <c r="G110" s="171">
        <v>10</v>
      </c>
      <c r="H110" s="168">
        <f t="shared" si="5"/>
        <v>0</v>
      </c>
    </row>
    <row r="111" spans="1:9" ht="63" x14ac:dyDescent="0.45">
      <c r="A111" s="171" t="s">
        <v>1885</v>
      </c>
      <c r="B111" s="171"/>
      <c r="C111" s="106" t="s">
        <v>738</v>
      </c>
      <c r="D111" s="189" t="s">
        <v>739</v>
      </c>
      <c r="E111" s="166"/>
      <c r="F111" s="171" t="s">
        <v>472</v>
      </c>
      <c r="G111" s="171">
        <v>5</v>
      </c>
      <c r="H111" s="168">
        <f t="shared" si="5"/>
        <v>0</v>
      </c>
    </row>
    <row r="112" spans="1:9" s="183" customFormat="1" ht="63" x14ac:dyDescent="0.45">
      <c r="A112" s="185" t="s">
        <v>1886</v>
      </c>
      <c r="B112" s="185"/>
      <c r="C112" s="216" t="s">
        <v>741</v>
      </c>
      <c r="D112" s="216" t="s">
        <v>742</v>
      </c>
      <c r="E112" s="166"/>
      <c r="F112" s="185" t="s">
        <v>472</v>
      </c>
      <c r="G112" s="217">
        <v>20</v>
      </c>
      <c r="H112" s="168">
        <f t="shared" si="5"/>
        <v>0</v>
      </c>
    </row>
    <row r="113" spans="1:8" x14ac:dyDescent="0.45">
      <c r="A113" s="118" t="s">
        <v>1887</v>
      </c>
      <c r="B113" s="184" t="s">
        <v>180</v>
      </c>
      <c r="C113" s="120"/>
      <c r="D113" s="170"/>
      <c r="E113" s="142"/>
      <c r="F113" s="172"/>
      <c r="G113" s="168"/>
      <c r="H113" s="142"/>
    </row>
    <row r="114" spans="1:8" ht="13" customHeight="1" x14ac:dyDescent="0.45">
      <c r="A114" s="159"/>
      <c r="B114" s="159">
        <v>1503050</v>
      </c>
      <c r="C114" s="159"/>
      <c r="D114" s="159" t="s">
        <v>127</v>
      </c>
      <c r="E114" s="159"/>
      <c r="F114" s="209"/>
      <c r="G114" s="210"/>
      <c r="H114" s="163"/>
    </row>
    <row r="115" spans="1:8" ht="88.2" x14ac:dyDescent="0.45">
      <c r="A115" s="118" t="s">
        <v>1888</v>
      </c>
      <c r="B115" s="118"/>
      <c r="C115" s="184" t="s">
        <v>745</v>
      </c>
      <c r="D115" s="120" t="s">
        <v>746</v>
      </c>
      <c r="E115" s="166"/>
      <c r="F115" s="171" t="s">
        <v>508</v>
      </c>
      <c r="G115" s="172">
        <v>10000</v>
      </c>
      <c r="H115" s="168">
        <f t="shared" ref="H115:H134" si="6">SUM(E115)*G115</f>
        <v>0</v>
      </c>
    </row>
    <row r="116" spans="1:8" ht="63" x14ac:dyDescent="0.45">
      <c r="A116" s="171" t="s">
        <v>1889</v>
      </c>
      <c r="B116" s="171"/>
      <c r="C116" s="106" t="s">
        <v>748</v>
      </c>
      <c r="D116" s="106" t="s">
        <v>749</v>
      </c>
      <c r="E116" s="166"/>
      <c r="F116" s="171" t="s">
        <v>750</v>
      </c>
      <c r="G116" s="172">
        <v>3000</v>
      </c>
      <c r="H116" s="168">
        <f t="shared" si="6"/>
        <v>0</v>
      </c>
    </row>
    <row r="117" spans="1:8" ht="37.799999999999997" x14ac:dyDescent="0.45">
      <c r="A117" s="171" t="s">
        <v>1890</v>
      </c>
      <c r="B117" s="171"/>
      <c r="C117" s="106" t="s">
        <v>752</v>
      </c>
      <c r="D117" s="106" t="s">
        <v>753</v>
      </c>
      <c r="E117" s="166"/>
      <c r="F117" s="171" t="s">
        <v>508</v>
      </c>
      <c r="G117" s="172">
        <v>10000</v>
      </c>
      <c r="H117" s="168">
        <f t="shared" si="6"/>
        <v>0</v>
      </c>
    </row>
    <row r="118" spans="1:8" ht="63" x14ac:dyDescent="0.45">
      <c r="A118" s="171" t="s">
        <v>1891</v>
      </c>
      <c r="B118" s="171"/>
      <c r="C118" s="106" t="s">
        <v>755</v>
      </c>
      <c r="D118" s="106" t="s">
        <v>756</v>
      </c>
      <c r="E118" s="166"/>
      <c r="F118" s="171" t="s">
        <v>508</v>
      </c>
      <c r="G118" s="172">
        <v>10000</v>
      </c>
      <c r="H118" s="168">
        <f t="shared" si="6"/>
        <v>0</v>
      </c>
    </row>
    <row r="119" spans="1:8" ht="88.2" x14ac:dyDescent="0.45">
      <c r="A119" s="171" t="s">
        <v>1892</v>
      </c>
      <c r="B119" s="171"/>
      <c r="C119" s="106" t="s">
        <v>758</v>
      </c>
      <c r="D119" s="106" t="s">
        <v>759</v>
      </c>
      <c r="E119" s="166"/>
      <c r="F119" s="171" t="s">
        <v>472</v>
      </c>
      <c r="G119" s="172">
        <v>150</v>
      </c>
      <c r="H119" s="168">
        <f t="shared" si="6"/>
        <v>0</v>
      </c>
    </row>
    <row r="120" spans="1:8" ht="88.2" x14ac:dyDescent="0.45">
      <c r="A120" s="171" t="s">
        <v>1893</v>
      </c>
      <c r="B120" s="171"/>
      <c r="C120" s="106" t="s">
        <v>761</v>
      </c>
      <c r="D120" s="106" t="s">
        <v>759</v>
      </c>
      <c r="E120" s="166"/>
      <c r="F120" s="171" t="s">
        <v>750</v>
      </c>
      <c r="G120" s="172">
        <v>2000</v>
      </c>
      <c r="H120" s="168">
        <f t="shared" si="6"/>
        <v>0</v>
      </c>
    </row>
    <row r="121" spans="1:8" ht="151.19999999999999" x14ac:dyDescent="0.45">
      <c r="A121" s="171" t="s">
        <v>1894</v>
      </c>
      <c r="B121" s="171"/>
      <c r="C121" s="106" t="s">
        <v>763</v>
      </c>
      <c r="D121" s="106" t="s">
        <v>764</v>
      </c>
      <c r="E121" s="166"/>
      <c r="F121" s="171" t="s">
        <v>472</v>
      </c>
      <c r="G121" s="171">
        <v>150</v>
      </c>
      <c r="H121" s="168">
        <f t="shared" si="6"/>
        <v>0</v>
      </c>
    </row>
    <row r="122" spans="1:8" ht="151.19999999999999" x14ac:dyDescent="0.45">
      <c r="A122" s="171" t="s">
        <v>1895</v>
      </c>
      <c r="B122" s="171"/>
      <c r="C122" s="106" t="s">
        <v>766</v>
      </c>
      <c r="D122" s="106" t="s">
        <v>764</v>
      </c>
      <c r="E122" s="166"/>
      <c r="F122" s="171" t="s">
        <v>472</v>
      </c>
      <c r="G122" s="171">
        <v>150</v>
      </c>
      <c r="H122" s="168">
        <f t="shared" si="6"/>
        <v>0</v>
      </c>
    </row>
    <row r="123" spans="1:8" ht="63" x14ac:dyDescent="0.45">
      <c r="A123" s="171" t="s">
        <v>1896</v>
      </c>
      <c r="B123" s="171"/>
      <c r="C123" s="106" t="s">
        <v>768</v>
      </c>
      <c r="D123" s="106" t="s">
        <v>769</v>
      </c>
      <c r="E123" s="166"/>
      <c r="F123" s="171" t="s">
        <v>472</v>
      </c>
      <c r="G123" s="171">
        <v>25</v>
      </c>
      <c r="H123" s="168">
        <f t="shared" si="6"/>
        <v>0</v>
      </c>
    </row>
    <row r="124" spans="1:8" ht="63" x14ac:dyDescent="0.45">
      <c r="A124" s="171" t="s">
        <v>1897</v>
      </c>
      <c r="B124" s="171"/>
      <c r="C124" s="106" t="s">
        <v>771</v>
      </c>
      <c r="D124" s="106" t="s">
        <v>772</v>
      </c>
      <c r="E124" s="166"/>
      <c r="F124" s="171" t="s">
        <v>472</v>
      </c>
      <c r="G124" s="171">
        <v>50</v>
      </c>
      <c r="H124" s="168">
        <f t="shared" si="6"/>
        <v>0</v>
      </c>
    </row>
    <row r="125" spans="1:8" ht="63" x14ac:dyDescent="0.45">
      <c r="A125" s="171" t="s">
        <v>1898</v>
      </c>
      <c r="B125" s="171"/>
      <c r="C125" s="106" t="s">
        <v>774</v>
      </c>
      <c r="D125" s="106" t="s">
        <v>772</v>
      </c>
      <c r="E125" s="166"/>
      <c r="F125" s="171" t="s">
        <v>472</v>
      </c>
      <c r="G125" s="171">
        <v>50</v>
      </c>
      <c r="H125" s="168">
        <f t="shared" si="6"/>
        <v>0</v>
      </c>
    </row>
    <row r="126" spans="1:8" ht="50.4" x14ac:dyDescent="0.45">
      <c r="A126" s="171" t="s">
        <v>1899</v>
      </c>
      <c r="B126" s="171"/>
      <c r="C126" s="106" t="s">
        <v>776</v>
      </c>
      <c r="D126" s="106" t="s">
        <v>777</v>
      </c>
      <c r="E126" s="166"/>
      <c r="F126" s="171" t="s">
        <v>472</v>
      </c>
      <c r="G126" s="171">
        <v>100</v>
      </c>
      <c r="H126" s="168">
        <f t="shared" si="6"/>
        <v>0</v>
      </c>
    </row>
    <row r="127" spans="1:8" ht="113.4" x14ac:dyDescent="0.45">
      <c r="A127" s="171" t="s">
        <v>1900</v>
      </c>
      <c r="B127" s="171"/>
      <c r="C127" s="106" t="s">
        <v>779</v>
      </c>
      <c r="D127" s="106" t="s">
        <v>780</v>
      </c>
      <c r="E127" s="166"/>
      <c r="F127" s="171" t="s">
        <v>472</v>
      </c>
      <c r="G127" s="171">
        <v>150</v>
      </c>
      <c r="H127" s="168">
        <f t="shared" si="6"/>
        <v>0</v>
      </c>
    </row>
    <row r="128" spans="1:8" ht="113.4" x14ac:dyDescent="0.45">
      <c r="A128" s="171" t="s">
        <v>1901</v>
      </c>
      <c r="B128" s="171"/>
      <c r="C128" s="106" t="s">
        <v>782</v>
      </c>
      <c r="D128" s="106" t="s">
        <v>783</v>
      </c>
      <c r="E128" s="166"/>
      <c r="F128" s="171" t="s">
        <v>472</v>
      </c>
      <c r="G128" s="171">
        <v>150</v>
      </c>
      <c r="H128" s="168">
        <f t="shared" si="6"/>
        <v>0</v>
      </c>
    </row>
    <row r="129" spans="1:8" ht="100.8" x14ac:dyDescent="0.45">
      <c r="A129" s="171" t="s">
        <v>1902</v>
      </c>
      <c r="B129" s="171"/>
      <c r="C129" s="106" t="s">
        <v>785</v>
      </c>
      <c r="D129" s="106" t="s">
        <v>786</v>
      </c>
      <c r="E129" s="166"/>
      <c r="F129" s="171" t="s">
        <v>472</v>
      </c>
      <c r="G129" s="171">
        <v>150</v>
      </c>
      <c r="H129" s="168">
        <f t="shared" si="6"/>
        <v>0</v>
      </c>
    </row>
    <row r="130" spans="1:8" ht="75.599999999999994" x14ac:dyDescent="0.45">
      <c r="A130" s="171" t="s">
        <v>1903</v>
      </c>
      <c r="B130" s="171"/>
      <c r="C130" s="106" t="s">
        <v>788</v>
      </c>
      <c r="D130" s="106" t="s">
        <v>789</v>
      </c>
      <c r="E130" s="166"/>
      <c r="F130" s="171" t="s">
        <v>508</v>
      </c>
      <c r="G130" s="171">
        <v>5000</v>
      </c>
      <c r="H130" s="168">
        <f t="shared" si="6"/>
        <v>0</v>
      </c>
    </row>
    <row r="131" spans="1:8" ht="88.2" x14ac:dyDescent="0.45">
      <c r="A131" s="171" t="s">
        <v>1904</v>
      </c>
      <c r="B131" s="171"/>
      <c r="C131" s="106" t="s">
        <v>791</v>
      </c>
      <c r="D131" s="106" t="s">
        <v>792</v>
      </c>
      <c r="E131" s="166"/>
      <c r="F131" s="171" t="s">
        <v>508</v>
      </c>
      <c r="G131" s="171">
        <v>1750</v>
      </c>
      <c r="H131" s="168">
        <f t="shared" si="6"/>
        <v>0</v>
      </c>
    </row>
    <row r="132" spans="1:8" ht="75.599999999999994" x14ac:dyDescent="0.45">
      <c r="A132" s="171" t="s">
        <v>1905</v>
      </c>
      <c r="B132" s="171"/>
      <c r="C132" s="106" t="s">
        <v>794</v>
      </c>
      <c r="D132" s="106" t="s">
        <v>795</v>
      </c>
      <c r="E132" s="166"/>
      <c r="F132" s="171" t="s">
        <v>508</v>
      </c>
      <c r="G132" s="171">
        <v>6000</v>
      </c>
      <c r="H132" s="168">
        <f t="shared" si="6"/>
        <v>0</v>
      </c>
    </row>
    <row r="133" spans="1:8" ht="75.599999999999994" x14ac:dyDescent="0.45">
      <c r="A133" s="171" t="s">
        <v>1906</v>
      </c>
      <c r="B133" s="171"/>
      <c r="C133" s="106" t="s">
        <v>797</v>
      </c>
      <c r="D133" s="106" t="s">
        <v>798</v>
      </c>
      <c r="E133" s="166"/>
      <c r="F133" s="171" t="s">
        <v>682</v>
      </c>
      <c r="G133" s="171">
        <v>450</v>
      </c>
      <c r="H133" s="168">
        <f t="shared" si="6"/>
        <v>0</v>
      </c>
    </row>
    <row r="134" spans="1:8" ht="75.599999999999994" x14ac:dyDescent="0.45">
      <c r="A134" s="171" t="s">
        <v>1907</v>
      </c>
      <c r="B134" s="171"/>
      <c r="C134" s="106" t="s">
        <v>800</v>
      </c>
      <c r="D134" s="106" t="s">
        <v>801</v>
      </c>
      <c r="E134" s="166"/>
      <c r="F134" s="171" t="s">
        <v>508</v>
      </c>
      <c r="G134" s="172">
        <v>12000</v>
      </c>
      <c r="H134" s="168">
        <f t="shared" si="6"/>
        <v>0</v>
      </c>
    </row>
    <row r="135" spans="1:8" x14ac:dyDescent="0.45">
      <c r="A135" s="118" t="s">
        <v>1908</v>
      </c>
      <c r="B135" s="184" t="s">
        <v>180</v>
      </c>
      <c r="D135" s="120"/>
      <c r="E135" s="142"/>
      <c r="F135" s="171"/>
      <c r="G135" s="172"/>
      <c r="H135" s="168"/>
    </row>
    <row r="136" spans="1:8" x14ac:dyDescent="0.45">
      <c r="A136" s="159"/>
      <c r="B136" s="159">
        <v>1503060</v>
      </c>
      <c r="C136" s="159"/>
      <c r="D136" s="159" t="s">
        <v>138</v>
      </c>
      <c r="E136" s="159"/>
      <c r="F136" s="159"/>
      <c r="G136" s="210"/>
      <c r="H136" s="163"/>
    </row>
    <row r="137" spans="1:8" ht="113.4" x14ac:dyDescent="0.45">
      <c r="A137" s="171" t="s">
        <v>1909</v>
      </c>
      <c r="B137" s="171"/>
      <c r="C137" s="106" t="s">
        <v>138</v>
      </c>
      <c r="D137" s="106" t="s">
        <v>804</v>
      </c>
      <c r="E137" s="166"/>
      <c r="F137" s="171" t="s">
        <v>508</v>
      </c>
      <c r="G137" s="172">
        <v>800000</v>
      </c>
      <c r="H137" s="168">
        <f>SUM(E137)*G137</f>
        <v>0</v>
      </c>
    </row>
    <row r="138" spans="1:8" ht="88.2" x14ac:dyDescent="0.45">
      <c r="A138" s="171" t="s">
        <v>1910</v>
      </c>
      <c r="B138" s="171"/>
      <c r="C138" s="106" t="s">
        <v>806</v>
      </c>
      <c r="D138" s="106" t="s">
        <v>807</v>
      </c>
      <c r="E138" s="166"/>
      <c r="F138" s="171" t="s">
        <v>508</v>
      </c>
      <c r="G138" s="172">
        <v>13000</v>
      </c>
      <c r="H138" s="168">
        <f>SUM(E138)*G138</f>
        <v>0</v>
      </c>
    </row>
    <row r="139" spans="1:8" x14ac:dyDescent="0.45">
      <c r="A139" s="118" t="s">
        <v>1911</v>
      </c>
      <c r="B139" s="184" t="s">
        <v>180</v>
      </c>
      <c r="D139" s="120"/>
      <c r="E139" s="142"/>
      <c r="F139" s="171"/>
      <c r="G139" s="172"/>
      <c r="H139" s="168"/>
    </row>
    <row r="140" spans="1:8" ht="13" customHeight="1" x14ac:dyDescent="0.45">
      <c r="A140" s="159"/>
      <c r="B140" s="159">
        <v>1700000</v>
      </c>
      <c r="C140" s="159"/>
      <c r="D140" s="159" t="s">
        <v>171</v>
      </c>
      <c r="E140" s="159"/>
      <c r="F140" s="159"/>
      <c r="G140" s="210"/>
      <c r="H140" s="163"/>
    </row>
    <row r="141" spans="1:8" ht="75.599999999999994" x14ac:dyDescent="0.45">
      <c r="A141" s="171" t="s">
        <v>1912</v>
      </c>
      <c r="B141" s="171"/>
      <c r="C141" s="106" t="s">
        <v>810</v>
      </c>
      <c r="D141" s="106" t="s">
        <v>811</v>
      </c>
      <c r="E141" s="166"/>
      <c r="F141" s="171" t="s">
        <v>633</v>
      </c>
      <c r="G141" s="171">
        <v>45</v>
      </c>
      <c r="H141" s="168">
        <f>SUM(E141)*G141</f>
        <v>0</v>
      </c>
    </row>
    <row r="142" spans="1:8" ht="75.599999999999994" x14ac:dyDescent="0.45">
      <c r="A142" s="171" t="s">
        <v>1913</v>
      </c>
      <c r="B142" s="171"/>
      <c r="C142" s="106" t="s">
        <v>813</v>
      </c>
      <c r="D142" s="106" t="s">
        <v>814</v>
      </c>
      <c r="E142" s="166"/>
      <c r="F142" s="171" t="s">
        <v>633</v>
      </c>
      <c r="G142" s="171">
        <v>45</v>
      </c>
      <c r="H142" s="168">
        <f>SUM(E142)*G142</f>
        <v>0</v>
      </c>
    </row>
    <row r="143" spans="1:8" x14ac:dyDescent="0.45">
      <c r="A143" s="118" t="s">
        <v>1914</v>
      </c>
      <c r="B143" s="184" t="s">
        <v>180</v>
      </c>
      <c r="D143" s="120"/>
      <c r="E143" s="142"/>
      <c r="F143" s="171"/>
      <c r="G143" s="172"/>
      <c r="H143" s="220"/>
    </row>
    <row r="144" spans="1:8" ht="13" customHeight="1" x14ac:dyDescent="0.45">
      <c r="A144" s="159"/>
      <c r="B144" s="159">
        <v>1800000</v>
      </c>
      <c r="C144" s="159"/>
      <c r="D144" s="159" t="s">
        <v>174</v>
      </c>
      <c r="E144" s="159"/>
      <c r="F144" s="209"/>
      <c r="G144" s="210"/>
      <c r="H144" s="163"/>
    </row>
    <row r="145" spans="1:8" ht="176.4" x14ac:dyDescent="0.45">
      <c r="A145" s="171" t="s">
        <v>1915</v>
      </c>
      <c r="B145" s="171"/>
      <c r="C145" s="186" t="s">
        <v>817</v>
      </c>
      <c r="D145" s="186" t="s">
        <v>818</v>
      </c>
      <c r="E145" s="166"/>
      <c r="F145" s="171" t="s">
        <v>472</v>
      </c>
      <c r="G145" s="171">
        <v>25</v>
      </c>
      <c r="H145" s="168">
        <f t="shared" ref="H145:H208" si="7">SUM(E145)*G145</f>
        <v>0</v>
      </c>
    </row>
    <row r="146" spans="1:8" ht="176.4" x14ac:dyDescent="0.45">
      <c r="A146" s="171" t="s">
        <v>1916</v>
      </c>
      <c r="B146" s="171"/>
      <c r="C146" s="186" t="s">
        <v>820</v>
      </c>
      <c r="D146" s="186" t="s">
        <v>818</v>
      </c>
      <c r="E146" s="166"/>
      <c r="F146" s="171" t="s">
        <v>472</v>
      </c>
      <c r="G146" s="171">
        <v>20</v>
      </c>
      <c r="H146" s="168">
        <f t="shared" si="7"/>
        <v>0</v>
      </c>
    </row>
    <row r="147" spans="1:8" ht="176.4" x14ac:dyDescent="0.45">
      <c r="A147" s="171" t="s">
        <v>1917</v>
      </c>
      <c r="B147" s="171"/>
      <c r="C147" s="106" t="s">
        <v>822</v>
      </c>
      <c r="D147" s="106" t="s">
        <v>823</v>
      </c>
      <c r="E147" s="166"/>
      <c r="F147" s="171" t="s">
        <v>472</v>
      </c>
      <c r="G147" s="171">
        <v>6</v>
      </c>
      <c r="H147" s="168">
        <f t="shared" si="7"/>
        <v>0</v>
      </c>
    </row>
    <row r="148" spans="1:8" ht="176.4" x14ac:dyDescent="0.45">
      <c r="A148" s="171" t="s">
        <v>1918</v>
      </c>
      <c r="B148" s="171"/>
      <c r="C148" s="106" t="s">
        <v>825</v>
      </c>
      <c r="D148" s="106" t="s">
        <v>823</v>
      </c>
      <c r="E148" s="166"/>
      <c r="F148" s="171" t="s">
        <v>472</v>
      </c>
      <c r="G148" s="172">
        <v>1</v>
      </c>
      <c r="H148" s="168">
        <f t="shared" si="7"/>
        <v>0</v>
      </c>
    </row>
    <row r="149" spans="1:8" ht="176.4" x14ac:dyDescent="0.45">
      <c r="A149" s="171" t="s">
        <v>1919</v>
      </c>
      <c r="B149" s="171"/>
      <c r="C149" s="106" t="s">
        <v>827</v>
      </c>
      <c r="D149" s="106" t="s">
        <v>828</v>
      </c>
      <c r="E149" s="166"/>
      <c r="F149" s="171" t="s">
        <v>472</v>
      </c>
      <c r="G149" s="172">
        <v>1</v>
      </c>
      <c r="H149" s="168">
        <f t="shared" si="7"/>
        <v>0</v>
      </c>
    </row>
    <row r="150" spans="1:8" ht="50.4" x14ac:dyDescent="0.45">
      <c r="A150" s="171" t="s">
        <v>1920</v>
      </c>
      <c r="B150" s="171"/>
      <c r="C150" s="106" t="s">
        <v>830</v>
      </c>
      <c r="D150" s="106" t="s">
        <v>831</v>
      </c>
      <c r="E150" s="166"/>
      <c r="F150" s="171" t="s">
        <v>543</v>
      </c>
      <c r="G150" s="172">
        <v>33000</v>
      </c>
      <c r="H150" s="168">
        <f t="shared" si="7"/>
        <v>0</v>
      </c>
    </row>
    <row r="151" spans="1:8" ht="63" x14ac:dyDescent="0.45">
      <c r="A151" s="171" t="s">
        <v>1921</v>
      </c>
      <c r="B151" s="171"/>
      <c r="C151" s="186" t="s">
        <v>833</v>
      </c>
      <c r="D151" s="186" t="s">
        <v>1436</v>
      </c>
      <c r="E151" s="166"/>
      <c r="F151" s="171" t="s">
        <v>543</v>
      </c>
      <c r="G151" s="172">
        <v>2400</v>
      </c>
      <c r="H151" s="168">
        <f t="shared" si="7"/>
        <v>0</v>
      </c>
    </row>
    <row r="152" spans="1:8" ht="63" x14ac:dyDescent="0.45">
      <c r="A152" s="171" t="s">
        <v>1922</v>
      </c>
      <c r="B152" s="171"/>
      <c r="C152" s="186" t="s">
        <v>835</v>
      </c>
      <c r="D152" s="186" t="s">
        <v>1438</v>
      </c>
      <c r="E152" s="166"/>
      <c r="F152" s="171" t="s">
        <v>543</v>
      </c>
      <c r="G152" s="172">
        <v>7000</v>
      </c>
      <c r="H152" s="168">
        <f t="shared" si="7"/>
        <v>0</v>
      </c>
    </row>
    <row r="153" spans="1:8" ht="63" x14ac:dyDescent="0.45">
      <c r="A153" s="171" t="s">
        <v>1923</v>
      </c>
      <c r="B153" s="171"/>
      <c r="C153" s="186" t="s">
        <v>837</v>
      </c>
      <c r="D153" s="186" t="s">
        <v>1440</v>
      </c>
      <c r="E153" s="166"/>
      <c r="F153" s="171" t="s">
        <v>543</v>
      </c>
      <c r="G153" s="172">
        <v>1750</v>
      </c>
      <c r="H153" s="168">
        <f t="shared" si="7"/>
        <v>0</v>
      </c>
    </row>
    <row r="154" spans="1:8" ht="63" x14ac:dyDescent="0.45">
      <c r="A154" s="171" t="s">
        <v>1924</v>
      </c>
      <c r="B154" s="171"/>
      <c r="C154" s="186" t="s">
        <v>839</v>
      </c>
      <c r="D154" s="186" t="s">
        <v>1442</v>
      </c>
      <c r="E154" s="166"/>
      <c r="F154" s="171" t="s">
        <v>543</v>
      </c>
      <c r="G154" s="172">
        <v>300</v>
      </c>
      <c r="H154" s="168">
        <f t="shared" si="7"/>
        <v>0</v>
      </c>
    </row>
    <row r="155" spans="1:8" ht="63" x14ac:dyDescent="0.45">
      <c r="A155" s="171" t="s">
        <v>1925</v>
      </c>
      <c r="B155" s="171"/>
      <c r="C155" s="186" t="s">
        <v>841</v>
      </c>
      <c r="D155" s="186" t="s">
        <v>1444</v>
      </c>
      <c r="E155" s="166"/>
      <c r="F155" s="171" t="s">
        <v>543</v>
      </c>
      <c r="G155" s="172">
        <v>5880</v>
      </c>
      <c r="H155" s="168">
        <f t="shared" si="7"/>
        <v>0</v>
      </c>
    </row>
    <row r="156" spans="1:8" ht="63" x14ac:dyDescent="0.45">
      <c r="A156" s="171" t="s">
        <v>1926</v>
      </c>
      <c r="B156" s="171"/>
      <c r="C156" s="186" t="s">
        <v>843</v>
      </c>
      <c r="D156" s="186" t="s">
        <v>1446</v>
      </c>
      <c r="E156" s="166"/>
      <c r="F156" s="171" t="s">
        <v>543</v>
      </c>
      <c r="G156" s="172">
        <v>1020</v>
      </c>
      <c r="H156" s="168">
        <f t="shared" si="7"/>
        <v>0</v>
      </c>
    </row>
    <row r="157" spans="1:8" ht="63" x14ac:dyDescent="0.45">
      <c r="A157" s="171" t="s">
        <v>1927</v>
      </c>
      <c r="B157" s="171"/>
      <c r="C157" s="186" t="s">
        <v>845</v>
      </c>
      <c r="D157" s="186" t="s">
        <v>1438</v>
      </c>
      <c r="E157" s="166"/>
      <c r="F157" s="171" t="s">
        <v>543</v>
      </c>
      <c r="G157" s="172">
        <v>3000</v>
      </c>
      <c r="H157" s="168">
        <f t="shared" si="7"/>
        <v>0</v>
      </c>
    </row>
    <row r="158" spans="1:8" ht="63" x14ac:dyDescent="0.45">
      <c r="A158" s="171" t="s">
        <v>1928</v>
      </c>
      <c r="B158" s="171"/>
      <c r="C158" s="186" t="s">
        <v>837</v>
      </c>
      <c r="D158" s="186" t="s">
        <v>1440</v>
      </c>
      <c r="E158" s="166"/>
      <c r="F158" s="171" t="s">
        <v>543</v>
      </c>
      <c r="G158" s="172">
        <v>750</v>
      </c>
      <c r="H158" s="168">
        <f t="shared" si="7"/>
        <v>0</v>
      </c>
    </row>
    <row r="159" spans="1:8" ht="63" x14ac:dyDescent="0.45">
      <c r="A159" s="171" t="s">
        <v>1929</v>
      </c>
      <c r="B159" s="171"/>
      <c r="C159" s="186" t="s">
        <v>839</v>
      </c>
      <c r="D159" s="186" t="s">
        <v>1442</v>
      </c>
      <c r="E159" s="166"/>
      <c r="F159" s="171" t="s">
        <v>543</v>
      </c>
      <c r="G159" s="172">
        <v>125</v>
      </c>
      <c r="H159" s="168">
        <f t="shared" si="7"/>
        <v>0</v>
      </c>
    </row>
    <row r="160" spans="1:8" ht="63" x14ac:dyDescent="0.45">
      <c r="A160" s="171" t="s">
        <v>1930</v>
      </c>
      <c r="B160" s="171"/>
      <c r="C160" s="186" t="s">
        <v>849</v>
      </c>
      <c r="D160" s="186" t="s">
        <v>1451</v>
      </c>
      <c r="E160" s="166"/>
      <c r="F160" s="171" t="s">
        <v>543</v>
      </c>
      <c r="G160" s="172">
        <v>2050</v>
      </c>
      <c r="H160" s="168">
        <f t="shared" si="7"/>
        <v>0</v>
      </c>
    </row>
    <row r="161" spans="1:8" ht="50.4" x14ac:dyDescent="0.45">
      <c r="A161" s="171" t="s">
        <v>1931</v>
      </c>
      <c r="B161" s="171"/>
      <c r="C161" s="106" t="s">
        <v>851</v>
      </c>
      <c r="D161" s="106" t="s">
        <v>852</v>
      </c>
      <c r="E161" s="166"/>
      <c r="F161" s="171" t="s">
        <v>543</v>
      </c>
      <c r="G161" s="172">
        <v>15000</v>
      </c>
      <c r="H161" s="168">
        <f t="shared" si="7"/>
        <v>0</v>
      </c>
    </row>
    <row r="162" spans="1:8" ht="63" x14ac:dyDescent="0.45">
      <c r="A162" s="171" t="s">
        <v>1932</v>
      </c>
      <c r="B162" s="171"/>
      <c r="C162" s="106" t="s">
        <v>854</v>
      </c>
      <c r="D162" s="106" t="s">
        <v>855</v>
      </c>
      <c r="E162" s="166"/>
      <c r="F162" s="171" t="s">
        <v>472</v>
      </c>
      <c r="G162" s="171">
        <v>10</v>
      </c>
      <c r="H162" s="168">
        <f t="shared" si="7"/>
        <v>0</v>
      </c>
    </row>
    <row r="163" spans="1:8" ht="63" x14ac:dyDescent="0.45">
      <c r="A163" s="171" t="s">
        <v>1933</v>
      </c>
      <c r="B163" s="171"/>
      <c r="C163" s="106" t="s">
        <v>857</v>
      </c>
      <c r="D163" s="184" t="s">
        <v>858</v>
      </c>
      <c r="E163" s="166"/>
      <c r="F163" s="171" t="s">
        <v>543</v>
      </c>
      <c r="G163" s="172">
        <v>33000</v>
      </c>
      <c r="H163" s="168">
        <f t="shared" si="7"/>
        <v>0</v>
      </c>
    </row>
    <row r="164" spans="1:8" ht="63" x14ac:dyDescent="0.45">
      <c r="A164" s="171" t="s">
        <v>1934</v>
      </c>
      <c r="B164" s="171"/>
      <c r="C164" s="106" t="s">
        <v>860</v>
      </c>
      <c r="D164" s="184" t="s">
        <v>861</v>
      </c>
      <c r="E164" s="166"/>
      <c r="F164" s="171" t="s">
        <v>543</v>
      </c>
      <c r="G164" s="172">
        <v>39000</v>
      </c>
      <c r="H164" s="168">
        <f t="shared" si="7"/>
        <v>0</v>
      </c>
    </row>
    <row r="165" spans="1:8" ht="37.799999999999997" x14ac:dyDescent="0.45">
      <c r="A165" s="171" t="s">
        <v>1935</v>
      </c>
      <c r="B165" s="171"/>
      <c r="C165" s="106" t="s">
        <v>863</v>
      </c>
      <c r="D165" s="106" t="s">
        <v>864</v>
      </c>
      <c r="E165" s="166"/>
      <c r="F165" s="171" t="s">
        <v>472</v>
      </c>
      <c r="G165" s="171">
        <v>10</v>
      </c>
      <c r="H165" s="168">
        <f t="shared" si="7"/>
        <v>0</v>
      </c>
    </row>
    <row r="166" spans="1:8" ht="37.799999999999997" x14ac:dyDescent="0.45">
      <c r="A166" s="171" t="s">
        <v>1936</v>
      </c>
      <c r="B166" s="171"/>
      <c r="C166" s="106" t="s">
        <v>866</v>
      </c>
      <c r="D166" s="106" t="s">
        <v>864</v>
      </c>
      <c r="E166" s="166"/>
      <c r="F166" s="171" t="s">
        <v>472</v>
      </c>
      <c r="G166" s="171">
        <v>10</v>
      </c>
      <c r="H166" s="168">
        <f t="shared" si="7"/>
        <v>0</v>
      </c>
    </row>
    <row r="167" spans="1:8" ht="37.799999999999997" x14ac:dyDescent="0.45">
      <c r="A167" s="171" t="s">
        <v>1937</v>
      </c>
      <c r="B167" s="171"/>
      <c r="C167" s="106" t="s">
        <v>868</v>
      </c>
      <c r="D167" s="106" t="s">
        <v>869</v>
      </c>
      <c r="E167" s="166"/>
      <c r="F167" s="171" t="s">
        <v>472</v>
      </c>
      <c r="G167" s="171">
        <v>10</v>
      </c>
      <c r="H167" s="168">
        <f t="shared" si="7"/>
        <v>0</v>
      </c>
    </row>
    <row r="168" spans="1:8" ht="37.799999999999997" x14ac:dyDescent="0.45">
      <c r="A168" s="171" t="s">
        <v>1938</v>
      </c>
      <c r="B168" s="171"/>
      <c r="C168" s="106" t="s">
        <v>871</v>
      </c>
      <c r="D168" s="106" t="s">
        <v>869</v>
      </c>
      <c r="E168" s="166"/>
      <c r="F168" s="171" t="s">
        <v>472</v>
      </c>
      <c r="G168" s="171">
        <v>10</v>
      </c>
      <c r="H168" s="168">
        <f t="shared" si="7"/>
        <v>0</v>
      </c>
    </row>
    <row r="169" spans="1:8" ht="37.799999999999997" x14ac:dyDescent="0.45">
      <c r="A169" s="171" t="s">
        <v>1939</v>
      </c>
      <c r="B169" s="171"/>
      <c r="C169" s="106" t="s">
        <v>873</v>
      </c>
      <c r="D169" s="106" t="s">
        <v>864</v>
      </c>
      <c r="E169" s="166"/>
      <c r="F169" s="171" t="s">
        <v>472</v>
      </c>
      <c r="G169" s="171">
        <v>10</v>
      </c>
      <c r="H169" s="168">
        <f t="shared" si="7"/>
        <v>0</v>
      </c>
    </row>
    <row r="170" spans="1:8" ht="37.799999999999997" x14ac:dyDescent="0.45">
      <c r="A170" s="171" t="s">
        <v>1940</v>
      </c>
      <c r="B170" s="171"/>
      <c r="C170" s="106" t="s">
        <v>875</v>
      </c>
      <c r="D170" s="106" t="s">
        <v>864</v>
      </c>
      <c r="E170" s="166"/>
      <c r="F170" s="171" t="s">
        <v>472</v>
      </c>
      <c r="G170" s="171">
        <v>10</v>
      </c>
      <c r="H170" s="168">
        <f t="shared" si="7"/>
        <v>0</v>
      </c>
    </row>
    <row r="171" spans="1:8" ht="37.799999999999997" x14ac:dyDescent="0.45">
      <c r="A171" s="171" t="s">
        <v>1941</v>
      </c>
      <c r="B171" s="171"/>
      <c r="C171" s="106" t="s">
        <v>877</v>
      </c>
      <c r="D171" s="106" t="s">
        <v>864</v>
      </c>
      <c r="E171" s="166"/>
      <c r="F171" s="171" t="s">
        <v>472</v>
      </c>
      <c r="G171" s="171">
        <v>10</v>
      </c>
      <c r="H171" s="168">
        <f t="shared" si="7"/>
        <v>0</v>
      </c>
    </row>
    <row r="172" spans="1:8" ht="37.799999999999997" x14ac:dyDescent="0.45">
      <c r="A172" s="171" t="s">
        <v>1942</v>
      </c>
      <c r="B172" s="171"/>
      <c r="C172" s="106" t="s">
        <v>879</v>
      </c>
      <c r="D172" s="106" t="s">
        <v>864</v>
      </c>
      <c r="E172" s="166"/>
      <c r="F172" s="171" t="s">
        <v>472</v>
      </c>
      <c r="G172" s="171">
        <v>10</v>
      </c>
      <c r="H172" s="168">
        <f t="shared" si="7"/>
        <v>0</v>
      </c>
    </row>
    <row r="173" spans="1:8" ht="37.799999999999997" x14ac:dyDescent="0.45">
      <c r="A173" s="171" t="s">
        <v>1943</v>
      </c>
      <c r="B173" s="171"/>
      <c r="C173" s="106" t="s">
        <v>881</v>
      </c>
      <c r="D173" s="106" t="s">
        <v>864</v>
      </c>
      <c r="E173" s="166"/>
      <c r="F173" s="171" t="s">
        <v>472</v>
      </c>
      <c r="G173" s="171">
        <v>10</v>
      </c>
      <c r="H173" s="168">
        <f t="shared" si="7"/>
        <v>0</v>
      </c>
    </row>
    <row r="174" spans="1:8" ht="37.799999999999997" x14ac:dyDescent="0.45">
      <c r="A174" s="171" t="s">
        <v>1944</v>
      </c>
      <c r="B174" s="171"/>
      <c r="C174" s="106" t="s">
        <v>883</v>
      </c>
      <c r="D174" s="106" t="s">
        <v>864</v>
      </c>
      <c r="E174" s="166"/>
      <c r="F174" s="171" t="s">
        <v>472</v>
      </c>
      <c r="G174" s="171">
        <v>10</v>
      </c>
      <c r="H174" s="168">
        <f t="shared" si="7"/>
        <v>0</v>
      </c>
    </row>
    <row r="175" spans="1:8" ht="37.799999999999997" x14ac:dyDescent="0.45">
      <c r="A175" s="171" t="s">
        <v>1945</v>
      </c>
      <c r="B175" s="171"/>
      <c r="C175" s="106" t="s">
        <v>885</v>
      </c>
      <c r="D175" s="106" t="s">
        <v>864</v>
      </c>
      <c r="E175" s="166"/>
      <c r="F175" s="171" t="s">
        <v>472</v>
      </c>
      <c r="G175" s="171">
        <v>10</v>
      </c>
      <c r="H175" s="168">
        <f t="shared" si="7"/>
        <v>0</v>
      </c>
    </row>
    <row r="176" spans="1:8" ht="37.799999999999997" x14ac:dyDescent="0.45">
      <c r="A176" s="171" t="s">
        <v>1946</v>
      </c>
      <c r="B176" s="171"/>
      <c r="C176" s="106" t="s">
        <v>887</v>
      </c>
      <c r="D176" s="106" t="s">
        <v>864</v>
      </c>
      <c r="E176" s="166"/>
      <c r="F176" s="171" t="s">
        <v>472</v>
      </c>
      <c r="G176" s="171">
        <v>10</v>
      </c>
      <c r="H176" s="168">
        <f t="shared" si="7"/>
        <v>0</v>
      </c>
    </row>
    <row r="177" spans="1:8" ht="37.799999999999997" x14ac:dyDescent="0.45">
      <c r="A177" s="171" t="s">
        <v>1947</v>
      </c>
      <c r="B177" s="171"/>
      <c r="C177" s="106" t="s">
        <v>889</v>
      </c>
      <c r="D177" s="106" t="s">
        <v>864</v>
      </c>
      <c r="E177" s="166"/>
      <c r="F177" s="171" t="s">
        <v>472</v>
      </c>
      <c r="G177" s="171">
        <v>10</v>
      </c>
      <c r="H177" s="168">
        <f t="shared" si="7"/>
        <v>0</v>
      </c>
    </row>
    <row r="178" spans="1:8" ht="37.799999999999997" x14ac:dyDescent="0.45">
      <c r="A178" s="171" t="s">
        <v>1948</v>
      </c>
      <c r="B178" s="171"/>
      <c r="C178" s="106" t="s">
        <v>891</v>
      </c>
      <c r="D178" s="106" t="s">
        <v>864</v>
      </c>
      <c r="E178" s="166"/>
      <c r="F178" s="171" t="s">
        <v>472</v>
      </c>
      <c r="G178" s="171">
        <v>10</v>
      </c>
      <c r="H178" s="168">
        <f t="shared" si="7"/>
        <v>0</v>
      </c>
    </row>
    <row r="179" spans="1:8" ht="37.799999999999997" x14ac:dyDescent="0.45">
      <c r="A179" s="171" t="s">
        <v>1949</v>
      </c>
      <c r="B179" s="171"/>
      <c r="C179" s="106" t="s">
        <v>893</v>
      </c>
      <c r="D179" s="106" t="s">
        <v>864</v>
      </c>
      <c r="E179" s="166"/>
      <c r="F179" s="171" t="s">
        <v>472</v>
      </c>
      <c r="G179" s="171">
        <v>10</v>
      </c>
      <c r="H179" s="168">
        <f t="shared" si="7"/>
        <v>0</v>
      </c>
    </row>
    <row r="180" spans="1:8" ht="37.799999999999997" x14ac:dyDescent="0.45">
      <c r="A180" s="171" t="s">
        <v>1950</v>
      </c>
      <c r="B180" s="171"/>
      <c r="C180" s="106" t="s">
        <v>895</v>
      </c>
      <c r="D180" s="106" t="s">
        <v>864</v>
      </c>
      <c r="E180" s="166"/>
      <c r="F180" s="171" t="s">
        <v>472</v>
      </c>
      <c r="G180" s="171">
        <v>10</v>
      </c>
      <c r="H180" s="168">
        <f t="shared" si="7"/>
        <v>0</v>
      </c>
    </row>
    <row r="181" spans="1:8" ht="37.799999999999997" x14ac:dyDescent="0.45">
      <c r="A181" s="171" t="s">
        <v>1951</v>
      </c>
      <c r="B181" s="171"/>
      <c r="C181" s="106" t="s">
        <v>897</v>
      </c>
      <c r="D181" s="106" t="s">
        <v>864</v>
      </c>
      <c r="E181" s="166"/>
      <c r="F181" s="171" t="s">
        <v>472</v>
      </c>
      <c r="G181" s="171">
        <v>10</v>
      </c>
      <c r="H181" s="168">
        <f t="shared" si="7"/>
        <v>0</v>
      </c>
    </row>
    <row r="182" spans="1:8" ht="37.799999999999997" x14ac:dyDescent="0.45">
      <c r="A182" s="171" t="s">
        <v>1952</v>
      </c>
      <c r="B182" s="171"/>
      <c r="C182" s="106" t="s">
        <v>899</v>
      </c>
      <c r="D182" s="106" t="s">
        <v>864</v>
      </c>
      <c r="E182" s="166"/>
      <c r="F182" s="171" t="s">
        <v>472</v>
      </c>
      <c r="G182" s="171">
        <v>10</v>
      </c>
      <c r="H182" s="168">
        <f t="shared" si="7"/>
        <v>0</v>
      </c>
    </row>
    <row r="183" spans="1:8" ht="37.799999999999997" x14ac:dyDescent="0.45">
      <c r="A183" s="171" t="s">
        <v>1953</v>
      </c>
      <c r="B183" s="171"/>
      <c r="C183" s="106" t="s">
        <v>901</v>
      </c>
      <c r="D183" s="106" t="s">
        <v>864</v>
      </c>
      <c r="E183" s="166"/>
      <c r="F183" s="171" t="s">
        <v>472</v>
      </c>
      <c r="G183" s="171">
        <v>10</v>
      </c>
      <c r="H183" s="168">
        <f t="shared" si="7"/>
        <v>0</v>
      </c>
    </row>
    <row r="184" spans="1:8" ht="37.799999999999997" x14ac:dyDescent="0.45">
      <c r="A184" s="171" t="s">
        <v>1954</v>
      </c>
      <c r="B184" s="171"/>
      <c r="C184" s="106" t="s">
        <v>903</v>
      </c>
      <c r="D184" s="106" t="s">
        <v>864</v>
      </c>
      <c r="E184" s="166"/>
      <c r="F184" s="171" t="s">
        <v>472</v>
      </c>
      <c r="G184" s="171">
        <v>10</v>
      </c>
      <c r="H184" s="168">
        <f t="shared" si="7"/>
        <v>0</v>
      </c>
    </row>
    <row r="185" spans="1:8" ht="37.799999999999997" x14ac:dyDescent="0.45">
      <c r="A185" s="171" t="s">
        <v>1955</v>
      </c>
      <c r="B185" s="171"/>
      <c r="C185" s="106" t="s">
        <v>905</v>
      </c>
      <c r="D185" s="106" t="s">
        <v>864</v>
      </c>
      <c r="E185" s="166"/>
      <c r="F185" s="171" t="s">
        <v>472</v>
      </c>
      <c r="G185" s="171">
        <v>10</v>
      </c>
      <c r="H185" s="168">
        <f t="shared" si="7"/>
        <v>0</v>
      </c>
    </row>
    <row r="186" spans="1:8" ht="37.799999999999997" x14ac:dyDescent="0.45">
      <c r="A186" s="171" t="s">
        <v>1956</v>
      </c>
      <c r="B186" s="171"/>
      <c r="C186" s="106" t="s">
        <v>907</v>
      </c>
      <c r="D186" s="106" t="s">
        <v>864</v>
      </c>
      <c r="E186" s="166"/>
      <c r="F186" s="171" t="s">
        <v>472</v>
      </c>
      <c r="G186" s="171">
        <v>10</v>
      </c>
      <c r="H186" s="168">
        <f t="shared" si="7"/>
        <v>0</v>
      </c>
    </row>
    <row r="187" spans="1:8" ht="37.799999999999997" x14ac:dyDescent="0.45">
      <c r="A187" s="171" t="s">
        <v>1957</v>
      </c>
      <c r="B187" s="171"/>
      <c r="C187" s="106" t="s">
        <v>909</v>
      </c>
      <c r="D187" s="106" t="s">
        <v>864</v>
      </c>
      <c r="E187" s="166"/>
      <c r="F187" s="171" t="s">
        <v>472</v>
      </c>
      <c r="G187" s="171">
        <v>10</v>
      </c>
      <c r="H187" s="168">
        <f t="shared" si="7"/>
        <v>0</v>
      </c>
    </row>
    <row r="188" spans="1:8" ht="50.4" x14ac:dyDescent="0.45">
      <c r="A188" s="171" t="s">
        <v>1958</v>
      </c>
      <c r="B188" s="171"/>
      <c r="C188" s="106" t="s">
        <v>911</v>
      </c>
      <c r="D188" s="106" t="s">
        <v>864</v>
      </c>
      <c r="E188" s="166"/>
      <c r="F188" s="171" t="s">
        <v>472</v>
      </c>
      <c r="G188" s="171">
        <v>10</v>
      </c>
      <c r="H188" s="168">
        <f t="shared" si="7"/>
        <v>0</v>
      </c>
    </row>
    <row r="189" spans="1:8" ht="37.799999999999997" x14ac:dyDescent="0.45">
      <c r="A189" s="171" t="s">
        <v>1959</v>
      </c>
      <c r="B189" s="171"/>
      <c r="C189" s="106" t="s">
        <v>913</v>
      </c>
      <c r="D189" s="106" t="s">
        <v>864</v>
      </c>
      <c r="E189" s="166"/>
      <c r="F189" s="171" t="s">
        <v>472</v>
      </c>
      <c r="G189" s="171">
        <v>10</v>
      </c>
      <c r="H189" s="168">
        <f t="shared" si="7"/>
        <v>0</v>
      </c>
    </row>
    <row r="190" spans="1:8" ht="50.4" x14ac:dyDescent="0.45">
      <c r="A190" s="171" t="s">
        <v>1960</v>
      </c>
      <c r="B190" s="171"/>
      <c r="C190" s="106" t="s">
        <v>915</v>
      </c>
      <c r="D190" s="106" t="s">
        <v>864</v>
      </c>
      <c r="E190" s="166"/>
      <c r="F190" s="171" t="s">
        <v>472</v>
      </c>
      <c r="G190" s="171">
        <v>10</v>
      </c>
      <c r="H190" s="168">
        <f t="shared" si="7"/>
        <v>0</v>
      </c>
    </row>
    <row r="191" spans="1:8" ht="50.4" x14ac:dyDescent="0.45">
      <c r="A191" s="171" t="s">
        <v>1961</v>
      </c>
      <c r="B191" s="171"/>
      <c r="C191" s="106" t="s">
        <v>917</v>
      </c>
      <c r="D191" s="106" t="s">
        <v>864</v>
      </c>
      <c r="E191" s="166"/>
      <c r="F191" s="171" t="s">
        <v>472</v>
      </c>
      <c r="G191" s="171">
        <v>10</v>
      </c>
      <c r="H191" s="168">
        <f t="shared" si="7"/>
        <v>0</v>
      </c>
    </row>
    <row r="192" spans="1:8" ht="50.4" x14ac:dyDescent="0.45">
      <c r="A192" s="171" t="s">
        <v>1962</v>
      </c>
      <c r="B192" s="171"/>
      <c r="C192" s="106" t="s">
        <v>919</v>
      </c>
      <c r="D192" s="106" t="s">
        <v>864</v>
      </c>
      <c r="E192" s="166"/>
      <c r="F192" s="171" t="s">
        <v>472</v>
      </c>
      <c r="G192" s="171">
        <v>10</v>
      </c>
      <c r="H192" s="168">
        <f t="shared" si="7"/>
        <v>0</v>
      </c>
    </row>
    <row r="193" spans="1:8" ht="37.799999999999997" x14ac:dyDescent="0.45">
      <c r="A193" s="171" t="s">
        <v>1963</v>
      </c>
      <c r="B193" s="171"/>
      <c r="C193" s="106" t="s">
        <v>921</v>
      </c>
      <c r="D193" s="106" t="s">
        <v>864</v>
      </c>
      <c r="E193" s="166"/>
      <c r="F193" s="171" t="s">
        <v>472</v>
      </c>
      <c r="G193" s="171">
        <v>10</v>
      </c>
      <c r="H193" s="168">
        <f t="shared" si="7"/>
        <v>0</v>
      </c>
    </row>
    <row r="194" spans="1:8" ht="50.4" x14ac:dyDescent="0.45">
      <c r="A194" s="171" t="s">
        <v>1964</v>
      </c>
      <c r="B194" s="171"/>
      <c r="C194" s="106" t="s">
        <v>923</v>
      </c>
      <c r="D194" s="106" t="s">
        <v>864</v>
      </c>
      <c r="E194" s="166"/>
      <c r="F194" s="171" t="s">
        <v>472</v>
      </c>
      <c r="G194" s="171">
        <v>10</v>
      </c>
      <c r="H194" s="168">
        <f t="shared" si="7"/>
        <v>0</v>
      </c>
    </row>
    <row r="195" spans="1:8" ht="50.4" x14ac:dyDescent="0.45">
      <c r="A195" s="171" t="s">
        <v>1965</v>
      </c>
      <c r="B195" s="171"/>
      <c r="C195" s="106" t="s">
        <v>925</v>
      </c>
      <c r="D195" s="106" t="s">
        <v>864</v>
      </c>
      <c r="E195" s="166"/>
      <c r="F195" s="171" t="s">
        <v>472</v>
      </c>
      <c r="G195" s="171">
        <v>10</v>
      </c>
      <c r="H195" s="168">
        <f t="shared" si="7"/>
        <v>0</v>
      </c>
    </row>
    <row r="196" spans="1:8" ht="50.4" x14ac:dyDescent="0.45">
      <c r="A196" s="171" t="s">
        <v>1966</v>
      </c>
      <c r="B196" s="171"/>
      <c r="C196" s="106" t="s">
        <v>927</v>
      </c>
      <c r="D196" s="106" t="s">
        <v>864</v>
      </c>
      <c r="E196" s="166"/>
      <c r="F196" s="171" t="s">
        <v>472</v>
      </c>
      <c r="G196" s="171">
        <v>10</v>
      </c>
      <c r="H196" s="168">
        <f t="shared" si="7"/>
        <v>0</v>
      </c>
    </row>
    <row r="197" spans="1:8" ht="50.4" x14ac:dyDescent="0.45">
      <c r="A197" s="171" t="s">
        <v>1967</v>
      </c>
      <c r="B197" s="171"/>
      <c r="C197" s="106" t="s">
        <v>929</v>
      </c>
      <c r="D197" s="106" t="s">
        <v>864</v>
      </c>
      <c r="E197" s="166"/>
      <c r="F197" s="171" t="s">
        <v>472</v>
      </c>
      <c r="G197" s="171">
        <v>10</v>
      </c>
      <c r="H197" s="168">
        <f t="shared" si="7"/>
        <v>0</v>
      </c>
    </row>
    <row r="198" spans="1:8" ht="50.4" x14ac:dyDescent="0.45">
      <c r="A198" s="171" t="s">
        <v>1968</v>
      </c>
      <c r="B198" s="171"/>
      <c r="C198" s="106" t="s">
        <v>931</v>
      </c>
      <c r="D198" s="106" t="s">
        <v>864</v>
      </c>
      <c r="E198" s="166"/>
      <c r="F198" s="171" t="s">
        <v>472</v>
      </c>
      <c r="G198" s="171">
        <v>10</v>
      </c>
      <c r="H198" s="168">
        <f t="shared" si="7"/>
        <v>0</v>
      </c>
    </row>
    <row r="199" spans="1:8" ht="37.799999999999997" x14ac:dyDescent="0.45">
      <c r="A199" s="171" t="s">
        <v>1969</v>
      </c>
      <c r="B199" s="171"/>
      <c r="C199" s="106" t="s">
        <v>933</v>
      </c>
      <c r="D199" s="106" t="s">
        <v>864</v>
      </c>
      <c r="E199" s="166"/>
      <c r="F199" s="171" t="s">
        <v>472</v>
      </c>
      <c r="G199" s="171">
        <v>10</v>
      </c>
      <c r="H199" s="168">
        <f t="shared" si="7"/>
        <v>0</v>
      </c>
    </row>
    <row r="200" spans="1:8" ht="37.799999999999997" x14ac:dyDescent="0.45">
      <c r="A200" s="171" t="s">
        <v>1970</v>
      </c>
      <c r="B200" s="171"/>
      <c r="C200" s="106" t="s">
        <v>935</v>
      </c>
      <c r="D200" s="106" t="s">
        <v>864</v>
      </c>
      <c r="E200" s="166"/>
      <c r="F200" s="171" t="s">
        <v>472</v>
      </c>
      <c r="G200" s="171">
        <v>10</v>
      </c>
      <c r="H200" s="168">
        <f t="shared" si="7"/>
        <v>0</v>
      </c>
    </row>
    <row r="201" spans="1:8" ht="50.4" x14ac:dyDescent="0.45">
      <c r="A201" s="171" t="s">
        <v>1971</v>
      </c>
      <c r="B201" s="171"/>
      <c r="C201" s="106" t="s">
        <v>937</v>
      </c>
      <c r="D201" s="106" t="s">
        <v>864</v>
      </c>
      <c r="E201" s="166"/>
      <c r="F201" s="171" t="s">
        <v>472</v>
      </c>
      <c r="G201" s="171">
        <v>10</v>
      </c>
      <c r="H201" s="168">
        <f t="shared" si="7"/>
        <v>0</v>
      </c>
    </row>
    <row r="202" spans="1:8" ht="50.4" x14ac:dyDescent="0.45">
      <c r="A202" s="171" t="s">
        <v>1972</v>
      </c>
      <c r="B202" s="171"/>
      <c r="C202" s="106" t="s">
        <v>939</v>
      </c>
      <c r="D202" s="106" t="s">
        <v>864</v>
      </c>
      <c r="E202" s="166"/>
      <c r="F202" s="171" t="s">
        <v>472</v>
      </c>
      <c r="G202" s="171">
        <v>10</v>
      </c>
      <c r="H202" s="168">
        <f t="shared" si="7"/>
        <v>0</v>
      </c>
    </row>
    <row r="203" spans="1:8" ht="50.4" x14ac:dyDescent="0.45">
      <c r="A203" s="171" t="s">
        <v>1973</v>
      </c>
      <c r="B203" s="171"/>
      <c r="C203" s="106" t="s">
        <v>941</v>
      </c>
      <c r="D203" s="106" t="s">
        <v>864</v>
      </c>
      <c r="E203" s="166"/>
      <c r="F203" s="171" t="s">
        <v>472</v>
      </c>
      <c r="G203" s="171">
        <v>10</v>
      </c>
      <c r="H203" s="168">
        <f t="shared" si="7"/>
        <v>0</v>
      </c>
    </row>
    <row r="204" spans="1:8" ht="50.4" x14ac:dyDescent="0.45">
      <c r="A204" s="171" t="s">
        <v>1974</v>
      </c>
      <c r="B204" s="171"/>
      <c r="C204" s="106" t="s">
        <v>943</v>
      </c>
      <c r="D204" s="106" t="s">
        <v>864</v>
      </c>
      <c r="E204" s="166"/>
      <c r="F204" s="171" t="s">
        <v>472</v>
      </c>
      <c r="G204" s="171">
        <v>10</v>
      </c>
      <c r="H204" s="168">
        <f t="shared" si="7"/>
        <v>0</v>
      </c>
    </row>
    <row r="205" spans="1:8" ht="50.4" x14ac:dyDescent="0.45">
      <c r="A205" s="171" t="s">
        <v>1975</v>
      </c>
      <c r="B205" s="171"/>
      <c r="C205" s="106" t="s">
        <v>945</v>
      </c>
      <c r="D205" s="106" t="s">
        <v>864</v>
      </c>
      <c r="E205" s="166"/>
      <c r="F205" s="171" t="s">
        <v>472</v>
      </c>
      <c r="G205" s="171">
        <v>10</v>
      </c>
      <c r="H205" s="168">
        <f t="shared" si="7"/>
        <v>0</v>
      </c>
    </row>
    <row r="206" spans="1:8" ht="50.4" x14ac:dyDescent="0.45">
      <c r="A206" s="171" t="s">
        <v>1976</v>
      </c>
      <c r="B206" s="171"/>
      <c r="C206" s="106" t="s">
        <v>947</v>
      </c>
      <c r="D206" s="106" t="s">
        <v>864</v>
      </c>
      <c r="E206" s="166"/>
      <c r="F206" s="171" t="s">
        <v>472</v>
      </c>
      <c r="G206" s="171">
        <v>10</v>
      </c>
      <c r="H206" s="168">
        <f t="shared" si="7"/>
        <v>0</v>
      </c>
    </row>
    <row r="207" spans="1:8" ht="50.4" x14ac:dyDescent="0.45">
      <c r="A207" s="171" t="s">
        <v>1977</v>
      </c>
      <c r="B207" s="171"/>
      <c r="C207" s="106" t="s">
        <v>949</v>
      </c>
      <c r="D207" s="106" t="s">
        <v>864</v>
      </c>
      <c r="E207" s="166"/>
      <c r="F207" s="171" t="s">
        <v>472</v>
      </c>
      <c r="G207" s="171">
        <v>10</v>
      </c>
      <c r="H207" s="168">
        <f t="shared" si="7"/>
        <v>0</v>
      </c>
    </row>
    <row r="208" spans="1:8" ht="50.4" x14ac:dyDescent="0.45">
      <c r="A208" s="171" t="s">
        <v>1978</v>
      </c>
      <c r="B208" s="171"/>
      <c r="C208" s="106" t="s">
        <v>951</v>
      </c>
      <c r="D208" s="106" t="s">
        <v>864</v>
      </c>
      <c r="E208" s="166"/>
      <c r="F208" s="171" t="s">
        <v>472</v>
      </c>
      <c r="G208" s="171">
        <v>10</v>
      </c>
      <c r="H208" s="168">
        <f t="shared" si="7"/>
        <v>0</v>
      </c>
    </row>
    <row r="209" spans="1:8" ht="50.4" x14ac:dyDescent="0.45">
      <c r="A209" s="171" t="s">
        <v>1979</v>
      </c>
      <c r="B209" s="171"/>
      <c r="C209" s="106" t="s">
        <v>953</v>
      </c>
      <c r="D209" s="106" t="s">
        <v>864</v>
      </c>
      <c r="E209" s="166"/>
      <c r="F209" s="171" t="s">
        <v>472</v>
      </c>
      <c r="G209" s="171">
        <v>10</v>
      </c>
      <c r="H209" s="168">
        <f t="shared" ref="H209:H258" si="8">SUM(E209)*G209</f>
        <v>0</v>
      </c>
    </row>
    <row r="210" spans="1:8" ht="50.4" x14ac:dyDescent="0.45">
      <c r="A210" s="171" t="s">
        <v>1980</v>
      </c>
      <c r="B210" s="171"/>
      <c r="C210" s="106" t="s">
        <v>955</v>
      </c>
      <c r="D210" s="106" t="s">
        <v>864</v>
      </c>
      <c r="E210" s="166"/>
      <c r="F210" s="171" t="s">
        <v>472</v>
      </c>
      <c r="G210" s="171">
        <v>10</v>
      </c>
      <c r="H210" s="168">
        <f t="shared" si="8"/>
        <v>0</v>
      </c>
    </row>
    <row r="211" spans="1:8" ht="50.4" x14ac:dyDescent="0.45">
      <c r="A211" s="171" t="s">
        <v>1981</v>
      </c>
      <c r="B211" s="171"/>
      <c r="C211" s="106" t="s">
        <v>957</v>
      </c>
      <c r="D211" s="106" t="s">
        <v>864</v>
      </c>
      <c r="E211" s="166"/>
      <c r="F211" s="171" t="s">
        <v>472</v>
      </c>
      <c r="G211" s="171">
        <v>10</v>
      </c>
      <c r="H211" s="168">
        <f t="shared" si="8"/>
        <v>0</v>
      </c>
    </row>
    <row r="212" spans="1:8" ht="50.4" x14ac:dyDescent="0.45">
      <c r="A212" s="171" t="s">
        <v>1982</v>
      </c>
      <c r="B212" s="171"/>
      <c r="C212" s="106" t="s">
        <v>959</v>
      </c>
      <c r="D212" s="106" t="s">
        <v>864</v>
      </c>
      <c r="E212" s="166"/>
      <c r="F212" s="171" t="s">
        <v>472</v>
      </c>
      <c r="G212" s="171">
        <v>10</v>
      </c>
      <c r="H212" s="168">
        <f t="shared" si="8"/>
        <v>0</v>
      </c>
    </row>
    <row r="213" spans="1:8" ht="50.4" x14ac:dyDescent="0.45">
      <c r="A213" s="171" t="s">
        <v>1983</v>
      </c>
      <c r="B213" s="171"/>
      <c r="C213" s="106" t="s">
        <v>961</v>
      </c>
      <c r="D213" s="106" t="s">
        <v>864</v>
      </c>
      <c r="E213" s="166"/>
      <c r="F213" s="171" t="s">
        <v>472</v>
      </c>
      <c r="G213" s="171">
        <v>10</v>
      </c>
      <c r="H213" s="168">
        <f t="shared" si="8"/>
        <v>0</v>
      </c>
    </row>
    <row r="214" spans="1:8" ht="50.4" x14ac:dyDescent="0.45">
      <c r="A214" s="171" t="s">
        <v>1984</v>
      </c>
      <c r="B214" s="171"/>
      <c r="C214" s="106" t="s">
        <v>963</v>
      </c>
      <c r="D214" s="106" t="s">
        <v>864</v>
      </c>
      <c r="E214" s="166"/>
      <c r="F214" s="171" t="s">
        <v>472</v>
      </c>
      <c r="G214" s="171">
        <v>10</v>
      </c>
      <c r="H214" s="168">
        <f t="shared" si="8"/>
        <v>0</v>
      </c>
    </row>
    <row r="215" spans="1:8" ht="50.4" x14ac:dyDescent="0.45">
      <c r="A215" s="171" t="s">
        <v>1985</v>
      </c>
      <c r="B215" s="171"/>
      <c r="C215" s="106" t="s">
        <v>965</v>
      </c>
      <c r="D215" s="106" t="s">
        <v>864</v>
      </c>
      <c r="E215" s="166"/>
      <c r="F215" s="171" t="s">
        <v>472</v>
      </c>
      <c r="G215" s="171">
        <v>10</v>
      </c>
      <c r="H215" s="168">
        <f t="shared" si="8"/>
        <v>0</v>
      </c>
    </row>
    <row r="216" spans="1:8" ht="50.4" x14ac:dyDescent="0.45">
      <c r="A216" s="171" t="s">
        <v>1986</v>
      </c>
      <c r="B216" s="171"/>
      <c r="C216" s="106" t="s">
        <v>967</v>
      </c>
      <c r="D216" s="106" t="s">
        <v>864</v>
      </c>
      <c r="E216" s="166"/>
      <c r="F216" s="171" t="s">
        <v>472</v>
      </c>
      <c r="G216" s="171">
        <v>10</v>
      </c>
      <c r="H216" s="168">
        <f t="shared" si="8"/>
        <v>0</v>
      </c>
    </row>
    <row r="217" spans="1:8" ht="50.4" x14ac:dyDescent="0.45">
      <c r="A217" s="171" t="s">
        <v>1987</v>
      </c>
      <c r="B217" s="171"/>
      <c r="C217" s="106" t="s">
        <v>969</v>
      </c>
      <c r="D217" s="106" t="s">
        <v>864</v>
      </c>
      <c r="E217" s="166"/>
      <c r="F217" s="171" t="s">
        <v>472</v>
      </c>
      <c r="G217" s="171">
        <v>10</v>
      </c>
      <c r="H217" s="168">
        <f t="shared" si="8"/>
        <v>0</v>
      </c>
    </row>
    <row r="218" spans="1:8" ht="50.4" x14ac:dyDescent="0.45">
      <c r="A218" s="171" t="s">
        <v>1988</v>
      </c>
      <c r="B218" s="171"/>
      <c r="C218" s="106" t="s">
        <v>971</v>
      </c>
      <c r="D218" s="106" t="s">
        <v>864</v>
      </c>
      <c r="E218" s="166"/>
      <c r="F218" s="171" t="s">
        <v>472</v>
      </c>
      <c r="G218" s="171">
        <v>10</v>
      </c>
      <c r="H218" s="168">
        <f t="shared" si="8"/>
        <v>0</v>
      </c>
    </row>
    <row r="219" spans="1:8" ht="50.4" x14ac:dyDescent="0.45">
      <c r="A219" s="171" t="s">
        <v>1989</v>
      </c>
      <c r="B219" s="171"/>
      <c r="C219" s="106" t="s">
        <v>973</v>
      </c>
      <c r="D219" s="106" t="s">
        <v>864</v>
      </c>
      <c r="E219" s="166"/>
      <c r="F219" s="171" t="s">
        <v>472</v>
      </c>
      <c r="G219" s="171">
        <v>10</v>
      </c>
      <c r="H219" s="168">
        <f t="shared" si="8"/>
        <v>0</v>
      </c>
    </row>
    <row r="220" spans="1:8" ht="37.799999999999997" x14ac:dyDescent="0.45">
      <c r="A220" s="171" t="s">
        <v>1990</v>
      </c>
      <c r="B220" s="171"/>
      <c r="C220" s="106" t="s">
        <v>975</v>
      </c>
      <c r="D220" s="106" t="s">
        <v>864</v>
      </c>
      <c r="E220" s="166"/>
      <c r="F220" s="171" t="s">
        <v>472</v>
      </c>
      <c r="G220" s="171">
        <v>10</v>
      </c>
      <c r="H220" s="168">
        <f t="shared" si="8"/>
        <v>0</v>
      </c>
    </row>
    <row r="221" spans="1:8" ht="37.799999999999997" x14ac:dyDescent="0.45">
      <c r="A221" s="171" t="s">
        <v>1991</v>
      </c>
      <c r="B221" s="171"/>
      <c r="C221" s="106" t="s">
        <v>977</v>
      </c>
      <c r="D221" s="106" t="s">
        <v>864</v>
      </c>
      <c r="E221" s="166"/>
      <c r="F221" s="171" t="s">
        <v>472</v>
      </c>
      <c r="G221" s="171">
        <v>10</v>
      </c>
      <c r="H221" s="168">
        <f t="shared" si="8"/>
        <v>0</v>
      </c>
    </row>
    <row r="222" spans="1:8" ht="37.799999999999997" x14ac:dyDescent="0.45">
      <c r="A222" s="171" t="s">
        <v>1992</v>
      </c>
      <c r="B222" s="171"/>
      <c r="C222" s="106" t="s">
        <v>979</v>
      </c>
      <c r="D222" s="106" t="s">
        <v>864</v>
      </c>
      <c r="E222" s="166"/>
      <c r="F222" s="171" t="s">
        <v>472</v>
      </c>
      <c r="G222" s="171">
        <v>10</v>
      </c>
      <c r="H222" s="168">
        <f t="shared" si="8"/>
        <v>0</v>
      </c>
    </row>
    <row r="223" spans="1:8" ht="37.799999999999997" x14ac:dyDescent="0.45">
      <c r="A223" s="171" t="s">
        <v>1993</v>
      </c>
      <c r="B223" s="171"/>
      <c r="C223" s="106" t="s">
        <v>981</v>
      </c>
      <c r="D223" s="106" t="s">
        <v>864</v>
      </c>
      <c r="E223" s="166"/>
      <c r="F223" s="171" t="s">
        <v>472</v>
      </c>
      <c r="G223" s="171">
        <v>10</v>
      </c>
      <c r="H223" s="168">
        <f t="shared" si="8"/>
        <v>0</v>
      </c>
    </row>
    <row r="224" spans="1:8" ht="37.799999999999997" x14ac:dyDescent="0.45">
      <c r="A224" s="171" t="s">
        <v>1994</v>
      </c>
      <c r="B224" s="171"/>
      <c r="C224" s="106" t="s">
        <v>983</v>
      </c>
      <c r="D224" s="106" t="s">
        <v>864</v>
      </c>
      <c r="E224" s="166"/>
      <c r="F224" s="171" t="s">
        <v>472</v>
      </c>
      <c r="G224" s="171">
        <v>10</v>
      </c>
      <c r="H224" s="168">
        <f t="shared" si="8"/>
        <v>0</v>
      </c>
    </row>
    <row r="225" spans="1:8" ht="63" x14ac:dyDescent="0.45">
      <c r="A225" s="171" t="s">
        <v>1995</v>
      </c>
      <c r="B225" s="171"/>
      <c r="C225" s="106" t="s">
        <v>985</v>
      </c>
      <c r="D225" s="106" t="s">
        <v>864</v>
      </c>
      <c r="E225" s="166"/>
      <c r="F225" s="171" t="s">
        <v>472</v>
      </c>
      <c r="G225" s="171">
        <v>10</v>
      </c>
      <c r="H225" s="168">
        <f t="shared" si="8"/>
        <v>0</v>
      </c>
    </row>
    <row r="226" spans="1:8" ht="63" x14ac:dyDescent="0.45">
      <c r="A226" s="171" t="s">
        <v>1996</v>
      </c>
      <c r="B226" s="171"/>
      <c r="C226" s="106" t="s">
        <v>987</v>
      </c>
      <c r="D226" s="106" t="s">
        <v>864</v>
      </c>
      <c r="E226" s="166"/>
      <c r="F226" s="171" t="s">
        <v>472</v>
      </c>
      <c r="G226" s="171">
        <v>10</v>
      </c>
      <c r="H226" s="168">
        <f t="shared" si="8"/>
        <v>0</v>
      </c>
    </row>
    <row r="227" spans="1:8" ht="37.799999999999997" x14ac:dyDescent="0.45">
      <c r="A227" s="171" t="s">
        <v>1997</v>
      </c>
      <c r="B227" s="171"/>
      <c r="C227" s="106" t="s">
        <v>989</v>
      </c>
      <c r="D227" s="106" t="s">
        <v>864</v>
      </c>
      <c r="E227" s="166"/>
      <c r="F227" s="171" t="s">
        <v>472</v>
      </c>
      <c r="G227" s="171">
        <v>10</v>
      </c>
      <c r="H227" s="168">
        <f t="shared" si="8"/>
        <v>0</v>
      </c>
    </row>
    <row r="228" spans="1:8" ht="37.799999999999997" x14ac:dyDescent="0.45">
      <c r="A228" s="171" t="s">
        <v>1998</v>
      </c>
      <c r="B228" s="171"/>
      <c r="C228" s="106" t="s">
        <v>991</v>
      </c>
      <c r="D228" s="106" t="s">
        <v>864</v>
      </c>
      <c r="E228" s="166"/>
      <c r="F228" s="171" t="s">
        <v>472</v>
      </c>
      <c r="G228" s="171">
        <v>10</v>
      </c>
      <c r="H228" s="168">
        <f t="shared" si="8"/>
        <v>0</v>
      </c>
    </row>
    <row r="229" spans="1:8" ht="37.799999999999997" x14ac:dyDescent="0.45">
      <c r="A229" s="171" t="s">
        <v>1999</v>
      </c>
      <c r="B229" s="171"/>
      <c r="C229" s="106" t="s">
        <v>993</v>
      </c>
      <c r="D229" s="106" t="s">
        <v>864</v>
      </c>
      <c r="E229" s="166"/>
      <c r="F229" s="171" t="s">
        <v>472</v>
      </c>
      <c r="G229" s="171">
        <v>10</v>
      </c>
      <c r="H229" s="168">
        <f t="shared" si="8"/>
        <v>0</v>
      </c>
    </row>
    <row r="230" spans="1:8" ht="37.799999999999997" x14ac:dyDescent="0.45">
      <c r="A230" s="171" t="s">
        <v>2000</v>
      </c>
      <c r="B230" s="171"/>
      <c r="C230" s="106" t="s">
        <v>995</v>
      </c>
      <c r="D230" s="106" t="s">
        <v>864</v>
      </c>
      <c r="E230" s="166"/>
      <c r="F230" s="171" t="s">
        <v>472</v>
      </c>
      <c r="G230" s="171">
        <v>10</v>
      </c>
      <c r="H230" s="168">
        <f t="shared" si="8"/>
        <v>0</v>
      </c>
    </row>
    <row r="231" spans="1:8" ht="37.799999999999997" x14ac:dyDescent="0.45">
      <c r="A231" s="171" t="s">
        <v>2001</v>
      </c>
      <c r="B231" s="171"/>
      <c r="C231" s="106" t="s">
        <v>997</v>
      </c>
      <c r="D231" s="106" t="s">
        <v>864</v>
      </c>
      <c r="E231" s="166"/>
      <c r="F231" s="171" t="s">
        <v>472</v>
      </c>
      <c r="G231" s="171">
        <v>10</v>
      </c>
      <c r="H231" s="168">
        <f t="shared" si="8"/>
        <v>0</v>
      </c>
    </row>
    <row r="232" spans="1:8" ht="37.799999999999997" x14ac:dyDescent="0.45">
      <c r="A232" s="171" t="s">
        <v>2002</v>
      </c>
      <c r="B232" s="171"/>
      <c r="C232" s="106" t="s">
        <v>999</v>
      </c>
      <c r="D232" s="106" t="s">
        <v>864</v>
      </c>
      <c r="E232" s="166"/>
      <c r="F232" s="171" t="s">
        <v>472</v>
      </c>
      <c r="G232" s="171">
        <v>10</v>
      </c>
      <c r="H232" s="168">
        <f t="shared" si="8"/>
        <v>0</v>
      </c>
    </row>
    <row r="233" spans="1:8" ht="37.799999999999997" x14ac:dyDescent="0.45">
      <c r="A233" s="171" t="s">
        <v>2003</v>
      </c>
      <c r="B233" s="171"/>
      <c r="C233" s="106" t="s">
        <v>1001</v>
      </c>
      <c r="D233" s="106" t="s">
        <v>864</v>
      </c>
      <c r="E233" s="166"/>
      <c r="F233" s="171" t="s">
        <v>472</v>
      </c>
      <c r="G233" s="171">
        <v>10</v>
      </c>
      <c r="H233" s="168">
        <f t="shared" si="8"/>
        <v>0</v>
      </c>
    </row>
    <row r="234" spans="1:8" ht="37.799999999999997" x14ac:dyDescent="0.45">
      <c r="A234" s="171" t="s">
        <v>2004</v>
      </c>
      <c r="B234" s="171"/>
      <c r="C234" s="106" t="s">
        <v>1003</v>
      </c>
      <c r="D234" s="106" t="s">
        <v>864</v>
      </c>
      <c r="E234" s="166"/>
      <c r="F234" s="171" t="s">
        <v>472</v>
      </c>
      <c r="G234" s="171">
        <v>10</v>
      </c>
      <c r="H234" s="168">
        <f t="shared" si="8"/>
        <v>0</v>
      </c>
    </row>
    <row r="235" spans="1:8" ht="37.799999999999997" x14ac:dyDescent="0.45">
      <c r="A235" s="171" t="s">
        <v>2005</v>
      </c>
      <c r="B235" s="171"/>
      <c r="C235" s="106" t="s">
        <v>1005</v>
      </c>
      <c r="D235" s="106" t="s">
        <v>864</v>
      </c>
      <c r="E235" s="166"/>
      <c r="F235" s="171" t="s">
        <v>472</v>
      </c>
      <c r="G235" s="171">
        <v>10</v>
      </c>
      <c r="H235" s="168">
        <f t="shared" si="8"/>
        <v>0</v>
      </c>
    </row>
    <row r="236" spans="1:8" ht="37.799999999999997" x14ac:dyDescent="0.45">
      <c r="A236" s="171" t="s">
        <v>2006</v>
      </c>
      <c r="B236" s="171"/>
      <c r="C236" s="106" t="s">
        <v>1007</v>
      </c>
      <c r="D236" s="106" t="s">
        <v>864</v>
      </c>
      <c r="E236" s="166"/>
      <c r="F236" s="171" t="s">
        <v>472</v>
      </c>
      <c r="G236" s="171">
        <v>10</v>
      </c>
      <c r="H236" s="168">
        <f t="shared" si="8"/>
        <v>0</v>
      </c>
    </row>
    <row r="237" spans="1:8" ht="37.799999999999997" x14ac:dyDescent="0.45">
      <c r="A237" s="171" t="s">
        <v>2007</v>
      </c>
      <c r="B237" s="171"/>
      <c r="C237" s="106" t="s">
        <v>1009</v>
      </c>
      <c r="D237" s="106" t="s">
        <v>864</v>
      </c>
      <c r="E237" s="166"/>
      <c r="F237" s="171" t="s">
        <v>472</v>
      </c>
      <c r="G237" s="171">
        <v>10</v>
      </c>
      <c r="H237" s="168">
        <f t="shared" si="8"/>
        <v>0</v>
      </c>
    </row>
    <row r="238" spans="1:8" ht="37.799999999999997" x14ac:dyDescent="0.45">
      <c r="A238" s="171" t="s">
        <v>2008</v>
      </c>
      <c r="B238" s="171"/>
      <c r="C238" s="106" t="s">
        <v>1011</v>
      </c>
      <c r="D238" s="106" t="s">
        <v>864</v>
      </c>
      <c r="E238" s="166"/>
      <c r="F238" s="171" t="s">
        <v>472</v>
      </c>
      <c r="G238" s="171">
        <v>10</v>
      </c>
      <c r="H238" s="168">
        <f t="shared" si="8"/>
        <v>0</v>
      </c>
    </row>
    <row r="239" spans="1:8" ht="37.799999999999997" x14ac:dyDescent="0.45">
      <c r="A239" s="171" t="s">
        <v>2009</v>
      </c>
      <c r="B239" s="171"/>
      <c r="C239" s="106" t="s">
        <v>1013</v>
      </c>
      <c r="D239" s="106" t="s">
        <v>864</v>
      </c>
      <c r="E239" s="166"/>
      <c r="F239" s="171" t="s">
        <v>472</v>
      </c>
      <c r="G239" s="171">
        <v>10</v>
      </c>
      <c r="H239" s="168">
        <f t="shared" si="8"/>
        <v>0</v>
      </c>
    </row>
    <row r="240" spans="1:8" ht="37.799999999999997" x14ac:dyDescent="0.45">
      <c r="A240" s="171" t="s">
        <v>2010</v>
      </c>
      <c r="B240" s="171"/>
      <c r="C240" s="106" t="s">
        <v>1015</v>
      </c>
      <c r="D240" s="106" t="s">
        <v>864</v>
      </c>
      <c r="E240" s="166"/>
      <c r="F240" s="171" t="s">
        <v>472</v>
      </c>
      <c r="G240" s="171">
        <v>10</v>
      </c>
      <c r="H240" s="168">
        <f t="shared" si="8"/>
        <v>0</v>
      </c>
    </row>
    <row r="241" spans="1:8" ht="37.799999999999997" x14ac:dyDescent="0.45">
      <c r="A241" s="171" t="s">
        <v>2011</v>
      </c>
      <c r="B241" s="171"/>
      <c r="C241" s="106" t="s">
        <v>1017</v>
      </c>
      <c r="D241" s="106" t="s">
        <v>864</v>
      </c>
      <c r="E241" s="166"/>
      <c r="F241" s="171" t="s">
        <v>472</v>
      </c>
      <c r="G241" s="171">
        <v>10</v>
      </c>
      <c r="H241" s="168">
        <f t="shared" si="8"/>
        <v>0</v>
      </c>
    </row>
    <row r="242" spans="1:8" ht="37.799999999999997" x14ac:dyDescent="0.45">
      <c r="A242" s="171" t="s">
        <v>2012</v>
      </c>
      <c r="B242" s="171"/>
      <c r="C242" s="106" t="s">
        <v>1019</v>
      </c>
      <c r="D242" s="106" t="s">
        <v>864</v>
      </c>
      <c r="E242" s="166"/>
      <c r="F242" s="171" t="s">
        <v>472</v>
      </c>
      <c r="G242" s="171">
        <v>10</v>
      </c>
      <c r="H242" s="168">
        <f t="shared" si="8"/>
        <v>0</v>
      </c>
    </row>
    <row r="243" spans="1:8" ht="37.799999999999997" x14ac:dyDescent="0.45">
      <c r="A243" s="171" t="s">
        <v>2013</v>
      </c>
      <c r="B243" s="171"/>
      <c r="C243" s="106" t="s">
        <v>1021</v>
      </c>
      <c r="D243" s="106" t="s">
        <v>864</v>
      </c>
      <c r="E243" s="166"/>
      <c r="F243" s="171" t="s">
        <v>472</v>
      </c>
      <c r="G243" s="171">
        <v>10</v>
      </c>
      <c r="H243" s="168">
        <f t="shared" si="8"/>
        <v>0</v>
      </c>
    </row>
    <row r="244" spans="1:8" ht="37.799999999999997" x14ac:dyDescent="0.45">
      <c r="A244" s="171" t="s">
        <v>2014</v>
      </c>
      <c r="B244" s="171"/>
      <c r="C244" s="106" t="s">
        <v>1023</v>
      </c>
      <c r="D244" s="106" t="s">
        <v>864</v>
      </c>
      <c r="E244" s="166"/>
      <c r="F244" s="171" t="s">
        <v>472</v>
      </c>
      <c r="G244" s="171">
        <v>10</v>
      </c>
      <c r="H244" s="168">
        <f t="shared" si="8"/>
        <v>0</v>
      </c>
    </row>
    <row r="245" spans="1:8" ht="37.799999999999997" x14ac:dyDescent="0.45">
      <c r="A245" s="171" t="s">
        <v>2015</v>
      </c>
      <c r="B245" s="171"/>
      <c r="C245" s="106" t="s">
        <v>1025</v>
      </c>
      <c r="D245" s="106" t="s">
        <v>864</v>
      </c>
      <c r="E245" s="166"/>
      <c r="F245" s="171" t="s">
        <v>472</v>
      </c>
      <c r="G245" s="171">
        <v>10</v>
      </c>
      <c r="H245" s="168">
        <f t="shared" si="8"/>
        <v>0</v>
      </c>
    </row>
    <row r="246" spans="1:8" ht="37.799999999999997" x14ac:dyDescent="0.45">
      <c r="A246" s="171" t="s">
        <v>2016</v>
      </c>
      <c r="B246" s="171"/>
      <c r="C246" s="106" t="s">
        <v>1027</v>
      </c>
      <c r="D246" s="106" t="s">
        <v>864</v>
      </c>
      <c r="E246" s="166"/>
      <c r="F246" s="171" t="s">
        <v>472</v>
      </c>
      <c r="G246" s="171">
        <v>10</v>
      </c>
      <c r="H246" s="168">
        <f t="shared" si="8"/>
        <v>0</v>
      </c>
    </row>
    <row r="247" spans="1:8" ht="37.799999999999997" x14ac:dyDescent="0.45">
      <c r="A247" s="171" t="s">
        <v>2017</v>
      </c>
      <c r="B247" s="171"/>
      <c r="C247" s="106" t="s">
        <v>1029</v>
      </c>
      <c r="D247" s="106" t="s">
        <v>864</v>
      </c>
      <c r="E247" s="166"/>
      <c r="F247" s="171" t="s">
        <v>472</v>
      </c>
      <c r="G247" s="171">
        <v>10</v>
      </c>
      <c r="H247" s="168">
        <f t="shared" si="8"/>
        <v>0</v>
      </c>
    </row>
    <row r="248" spans="1:8" ht="37.799999999999997" x14ac:dyDescent="0.45">
      <c r="A248" s="171" t="s">
        <v>2018</v>
      </c>
      <c r="B248" s="171"/>
      <c r="C248" s="106" t="s">
        <v>1031</v>
      </c>
      <c r="D248" s="106" t="s">
        <v>864</v>
      </c>
      <c r="E248" s="166"/>
      <c r="F248" s="171" t="s">
        <v>472</v>
      </c>
      <c r="G248" s="171">
        <v>10</v>
      </c>
      <c r="H248" s="168">
        <f t="shared" si="8"/>
        <v>0</v>
      </c>
    </row>
    <row r="249" spans="1:8" ht="37.799999999999997" x14ac:dyDescent="0.45">
      <c r="A249" s="171" t="s">
        <v>2019</v>
      </c>
      <c r="B249" s="171"/>
      <c r="C249" s="106" t="s">
        <v>1033</v>
      </c>
      <c r="D249" s="106" t="s">
        <v>864</v>
      </c>
      <c r="E249" s="166"/>
      <c r="F249" s="171" t="s">
        <v>472</v>
      </c>
      <c r="G249" s="171">
        <v>10</v>
      </c>
      <c r="H249" s="168">
        <f t="shared" si="8"/>
        <v>0</v>
      </c>
    </row>
    <row r="250" spans="1:8" ht="37.799999999999997" x14ac:dyDescent="0.45">
      <c r="A250" s="171" t="s">
        <v>2020</v>
      </c>
      <c r="B250" s="171"/>
      <c r="C250" s="106" t="s">
        <v>1035</v>
      </c>
      <c r="D250" s="106" t="s">
        <v>864</v>
      </c>
      <c r="E250" s="166"/>
      <c r="F250" s="171" t="s">
        <v>472</v>
      </c>
      <c r="G250" s="171">
        <v>10</v>
      </c>
      <c r="H250" s="168">
        <f t="shared" si="8"/>
        <v>0</v>
      </c>
    </row>
    <row r="251" spans="1:8" ht="37.799999999999997" x14ac:dyDescent="0.45">
      <c r="A251" s="171" t="s">
        <v>2021</v>
      </c>
      <c r="B251" s="171"/>
      <c r="C251" s="106" t="s">
        <v>1037</v>
      </c>
      <c r="D251" s="106" t="s">
        <v>864</v>
      </c>
      <c r="E251" s="166"/>
      <c r="F251" s="171" t="s">
        <v>472</v>
      </c>
      <c r="G251" s="171">
        <v>10</v>
      </c>
      <c r="H251" s="168">
        <f t="shared" si="8"/>
        <v>0</v>
      </c>
    </row>
    <row r="252" spans="1:8" ht="37.799999999999997" x14ac:dyDescent="0.45">
      <c r="A252" s="171" t="s">
        <v>2022</v>
      </c>
      <c r="B252" s="171"/>
      <c r="C252" s="106" t="s">
        <v>1039</v>
      </c>
      <c r="D252" s="106" t="s">
        <v>864</v>
      </c>
      <c r="E252" s="166"/>
      <c r="F252" s="171" t="s">
        <v>472</v>
      </c>
      <c r="G252" s="171">
        <v>10</v>
      </c>
      <c r="H252" s="168">
        <f t="shared" si="8"/>
        <v>0</v>
      </c>
    </row>
    <row r="253" spans="1:8" ht="37.799999999999997" x14ac:dyDescent="0.45">
      <c r="A253" s="171" t="s">
        <v>2023</v>
      </c>
      <c r="B253" s="171"/>
      <c r="C253" s="106" t="s">
        <v>1041</v>
      </c>
      <c r="D253" s="106" t="s">
        <v>864</v>
      </c>
      <c r="E253" s="166"/>
      <c r="F253" s="171" t="s">
        <v>472</v>
      </c>
      <c r="G253" s="171">
        <v>10</v>
      </c>
      <c r="H253" s="168">
        <f t="shared" si="8"/>
        <v>0</v>
      </c>
    </row>
    <row r="254" spans="1:8" ht="37.799999999999997" x14ac:dyDescent="0.45">
      <c r="A254" s="171" t="s">
        <v>2024</v>
      </c>
      <c r="B254" s="171"/>
      <c r="C254" s="106" t="s">
        <v>1043</v>
      </c>
      <c r="D254" s="106" t="s">
        <v>864</v>
      </c>
      <c r="E254" s="166"/>
      <c r="F254" s="171" t="s">
        <v>472</v>
      </c>
      <c r="G254" s="171">
        <v>10</v>
      </c>
      <c r="H254" s="168">
        <f t="shared" si="8"/>
        <v>0</v>
      </c>
    </row>
    <row r="255" spans="1:8" ht="37.799999999999997" x14ac:dyDescent="0.45">
      <c r="A255" s="171" t="s">
        <v>2025</v>
      </c>
      <c r="B255" s="171"/>
      <c r="C255" s="106" t="s">
        <v>1045</v>
      </c>
      <c r="D255" s="106" t="s">
        <v>864</v>
      </c>
      <c r="E255" s="166"/>
      <c r="F255" s="171" t="s">
        <v>472</v>
      </c>
      <c r="G255" s="171">
        <v>10</v>
      </c>
      <c r="H255" s="168">
        <f t="shared" si="8"/>
        <v>0</v>
      </c>
    </row>
    <row r="256" spans="1:8" ht="37.799999999999997" x14ac:dyDescent="0.45">
      <c r="A256" s="171" t="s">
        <v>2026</v>
      </c>
      <c r="B256" s="171"/>
      <c r="C256" s="106" t="s">
        <v>1047</v>
      </c>
      <c r="D256" s="106" t="s">
        <v>864</v>
      </c>
      <c r="E256" s="166"/>
      <c r="F256" s="171" t="s">
        <v>472</v>
      </c>
      <c r="G256" s="171">
        <v>10</v>
      </c>
      <c r="H256" s="168">
        <f t="shared" si="8"/>
        <v>0</v>
      </c>
    </row>
    <row r="257" spans="1:8" ht="37.799999999999997" x14ac:dyDescent="0.45">
      <c r="A257" s="171" t="s">
        <v>2027</v>
      </c>
      <c r="B257" s="171"/>
      <c r="C257" s="106" t="s">
        <v>1049</v>
      </c>
      <c r="D257" s="106" t="s">
        <v>864</v>
      </c>
      <c r="E257" s="166"/>
      <c r="F257" s="171" t="s">
        <v>472</v>
      </c>
      <c r="G257" s="171">
        <v>10</v>
      </c>
      <c r="H257" s="168">
        <f t="shared" si="8"/>
        <v>0</v>
      </c>
    </row>
    <row r="258" spans="1:8" ht="37.799999999999997" x14ac:dyDescent="0.45">
      <c r="A258" s="171" t="s">
        <v>2028</v>
      </c>
      <c r="B258" s="171"/>
      <c r="C258" s="106" t="s">
        <v>1051</v>
      </c>
      <c r="D258" s="106" t="s">
        <v>864</v>
      </c>
      <c r="E258" s="166"/>
      <c r="F258" s="171" t="s">
        <v>472</v>
      </c>
      <c r="G258" s="171">
        <v>10</v>
      </c>
      <c r="H258" s="168">
        <f t="shared" si="8"/>
        <v>0</v>
      </c>
    </row>
    <row r="259" spans="1:8" x14ac:dyDescent="0.45">
      <c r="A259" s="118" t="s">
        <v>2029</v>
      </c>
      <c r="B259" s="184" t="s">
        <v>180</v>
      </c>
      <c r="D259" s="120"/>
      <c r="E259" s="142"/>
      <c r="F259" s="171"/>
      <c r="G259" s="172"/>
      <c r="H259" s="220"/>
    </row>
    <row r="260" spans="1:8" ht="13" customHeight="1" x14ac:dyDescent="0.45">
      <c r="A260" s="310"/>
      <c r="B260" s="426" t="s">
        <v>1053</v>
      </c>
      <c r="C260" s="427"/>
      <c r="D260" s="428"/>
      <c r="E260" s="159"/>
      <c r="F260" s="209"/>
      <c r="G260" s="210"/>
      <c r="H260" s="163"/>
    </row>
    <row r="261" spans="1:8" ht="63" x14ac:dyDescent="0.45">
      <c r="A261" s="171" t="s">
        <v>2030</v>
      </c>
      <c r="B261" s="171"/>
      <c r="C261" s="106" t="s">
        <v>1055</v>
      </c>
      <c r="D261" s="106" t="s">
        <v>1056</v>
      </c>
      <c r="E261" s="166"/>
      <c r="F261" s="171" t="s">
        <v>633</v>
      </c>
      <c r="G261" s="172">
        <v>2500</v>
      </c>
      <c r="H261" s="168">
        <f>SUM(E261)*G261</f>
        <v>0</v>
      </c>
    </row>
    <row r="262" spans="1:8" ht="50.4" x14ac:dyDescent="0.45">
      <c r="A262" s="171" t="s">
        <v>2031</v>
      </c>
      <c r="B262" s="171"/>
      <c r="C262" s="106" t="s">
        <v>1058</v>
      </c>
      <c r="D262" s="106" t="s">
        <v>1059</v>
      </c>
      <c r="E262" s="166"/>
      <c r="F262" s="171" t="s">
        <v>633</v>
      </c>
      <c r="G262" s="172">
        <v>2500</v>
      </c>
      <c r="H262" s="168">
        <f>SUM(E262)*G262</f>
        <v>0</v>
      </c>
    </row>
    <row r="263" spans="1:8" ht="37.799999999999997" x14ac:dyDescent="0.45">
      <c r="A263" s="171" t="s">
        <v>2032</v>
      </c>
      <c r="B263" s="171"/>
      <c r="C263" s="106" t="s">
        <v>1061</v>
      </c>
      <c r="D263" s="106" t="s">
        <v>1062</v>
      </c>
      <c r="E263" s="190"/>
      <c r="F263" s="171" t="s">
        <v>1063</v>
      </c>
      <c r="G263" s="172" t="s">
        <v>1064</v>
      </c>
      <c r="H263" s="168">
        <v>100000</v>
      </c>
    </row>
    <row r="264" spans="1:8" x14ac:dyDescent="0.45">
      <c r="A264" s="191"/>
      <c r="B264" s="191"/>
      <c r="C264" s="192"/>
      <c r="D264" s="193"/>
      <c r="E264" s="194"/>
      <c r="F264" s="193"/>
      <c r="G264" s="195"/>
      <c r="H264" s="168"/>
    </row>
    <row r="265" spans="1:8" ht="7.5" customHeight="1" x14ac:dyDescent="0.45">
      <c r="A265" s="154"/>
      <c r="B265" s="154"/>
      <c r="C265" s="155"/>
      <c r="D265" s="155"/>
      <c r="E265" s="156"/>
      <c r="F265" s="155"/>
      <c r="G265" s="157"/>
      <c r="H265" s="158"/>
    </row>
    <row r="266" spans="1:8" ht="13.2" customHeight="1" x14ac:dyDescent="0.45">
      <c r="A266" s="411" t="s">
        <v>2033</v>
      </c>
      <c r="B266" s="412"/>
      <c r="C266" s="412"/>
      <c r="D266" s="412"/>
      <c r="E266" s="412"/>
      <c r="F266" s="412"/>
      <c r="G266" s="196"/>
      <c r="H266" s="436">
        <f>SUM(H15:H263)</f>
        <v>100000</v>
      </c>
    </row>
    <row r="267" spans="1:8" ht="7.5" customHeight="1" x14ac:dyDescent="0.45">
      <c r="A267" s="154"/>
      <c r="B267" s="154"/>
      <c r="C267" s="155"/>
      <c r="D267" s="155"/>
      <c r="E267" s="156"/>
      <c r="F267" s="155"/>
      <c r="G267" s="157"/>
      <c r="H267" s="158"/>
    </row>
  </sheetData>
  <mergeCells count="13">
    <mergeCell ref="A266:F266"/>
    <mergeCell ref="A7:H7"/>
    <mergeCell ref="A8:H8"/>
    <mergeCell ref="A9:H9"/>
    <mergeCell ref="A10:H10"/>
    <mergeCell ref="A12:D12"/>
    <mergeCell ref="B260:D260"/>
    <mergeCell ref="A6:H6"/>
    <mergeCell ref="A1:H1"/>
    <mergeCell ref="A2:H2"/>
    <mergeCell ref="A3:H3"/>
    <mergeCell ref="A4:H4"/>
    <mergeCell ref="A5:H5"/>
  </mergeCells>
  <printOptions horizontalCentered="1"/>
  <pageMargins left="0.28000000000000003" right="0.23" top="0.51" bottom="0.56000000000000005" header="0.3" footer="0.31"/>
  <pageSetup scale="80" orientation="landscape" horizontalDpi="4294967293" r:id="rId1"/>
  <headerFooter alignWithMargins="0">
    <oddFooter>&amp;C&amp;"Times New Roman,Regular"Page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86D2A-2520-4BCE-88CF-F95D085088E3}">
  <sheetPr>
    <tabColor rgb="FFFFFFCC"/>
  </sheetPr>
  <dimension ref="A1:XFB471"/>
  <sheetViews>
    <sheetView zoomScaleNormal="100" zoomScaleSheetLayoutView="100" workbookViewId="0">
      <selection activeCell="A11" sqref="A11"/>
    </sheetView>
  </sheetViews>
  <sheetFormatPr defaultColWidth="9.05859375" defaultRowHeight="12.6" x14ac:dyDescent="0.45"/>
  <cols>
    <col min="1" max="1" width="9.5859375" style="1" customWidth="1"/>
    <col min="2" max="3" width="9.8203125" style="105" customWidth="1"/>
    <col min="4" max="4" width="49.5859375" style="140" customWidth="1"/>
    <col min="5" max="6" width="9.5859375" style="105" customWidth="1"/>
    <col min="7" max="7" width="13.5859375" style="141" customWidth="1"/>
    <col min="8" max="8" width="17.5859375" style="141" customWidth="1"/>
    <col min="9" max="108" width="8.8203125" style="1" customWidth="1"/>
    <col min="109" max="16384" width="9.05859375" style="1"/>
  </cols>
  <sheetData>
    <row r="1" spans="1:16382" x14ac:dyDescent="0.45">
      <c r="A1" s="390" t="s">
        <v>4992</v>
      </c>
      <c r="B1" s="390"/>
      <c r="C1" s="390"/>
      <c r="D1" s="390"/>
      <c r="E1" s="390"/>
      <c r="F1" s="390"/>
      <c r="G1" s="390"/>
      <c r="H1" s="390"/>
      <c r="I1" s="392"/>
      <c r="J1" s="392"/>
      <c r="K1" s="392"/>
      <c r="L1" s="392"/>
      <c r="M1" s="392"/>
      <c r="N1" s="392"/>
    </row>
    <row r="2" spans="1:16382" x14ac:dyDescent="0.45">
      <c r="A2" s="390" t="s">
        <v>0</v>
      </c>
      <c r="B2" s="390"/>
      <c r="C2" s="390"/>
      <c r="D2" s="390"/>
      <c r="E2" s="390"/>
      <c r="F2" s="390"/>
      <c r="G2" s="390"/>
      <c r="H2" s="390"/>
      <c r="I2" s="392"/>
      <c r="J2" s="392"/>
      <c r="K2" s="392"/>
      <c r="L2" s="392"/>
      <c r="M2" s="392"/>
      <c r="N2" s="392"/>
    </row>
    <row r="3" spans="1:16382" x14ac:dyDescent="0.45">
      <c r="A3" s="390" t="s">
        <v>4991</v>
      </c>
      <c r="B3" s="390"/>
      <c r="C3" s="390"/>
      <c r="D3" s="390"/>
      <c r="E3" s="390"/>
      <c r="F3" s="390"/>
      <c r="G3" s="390"/>
      <c r="H3" s="390"/>
      <c r="I3" s="392"/>
      <c r="J3" s="392"/>
      <c r="K3" s="392"/>
      <c r="L3" s="392"/>
      <c r="M3" s="392"/>
      <c r="N3" s="392"/>
    </row>
    <row r="4" spans="1:16382" x14ac:dyDescent="0.45">
      <c r="A4" s="390"/>
      <c r="B4" s="390"/>
      <c r="C4" s="390"/>
      <c r="D4" s="391"/>
      <c r="E4" s="391"/>
      <c r="F4" s="391"/>
      <c r="G4" s="391"/>
      <c r="H4" s="391"/>
    </row>
    <row r="5" spans="1:16382" x14ac:dyDescent="0.45">
      <c r="A5" s="390" t="s">
        <v>4995</v>
      </c>
      <c r="B5" s="390"/>
      <c r="C5" s="390"/>
      <c r="D5" s="390"/>
      <c r="E5" s="390"/>
      <c r="F5" s="390"/>
      <c r="G5" s="390"/>
      <c r="H5" s="390"/>
      <c r="I5" s="390"/>
      <c r="J5" s="390"/>
      <c r="K5" s="390"/>
      <c r="L5" s="390"/>
      <c r="M5" s="390"/>
      <c r="N5" s="390"/>
      <c r="O5" s="390"/>
      <c r="P5" s="390"/>
      <c r="Q5" s="390"/>
      <c r="R5" s="390"/>
      <c r="S5" s="390"/>
      <c r="T5" s="390"/>
      <c r="U5" s="390"/>
      <c r="V5" s="390"/>
      <c r="W5" s="390"/>
      <c r="X5" s="390"/>
      <c r="Y5" s="390"/>
      <c r="Z5" s="390"/>
      <c r="AA5" s="390"/>
      <c r="AB5" s="390"/>
      <c r="AC5" s="390"/>
      <c r="AD5" s="390"/>
      <c r="AE5" s="390"/>
      <c r="AF5" s="390"/>
      <c r="AG5" s="390"/>
      <c r="AH5" s="390"/>
      <c r="AI5" s="390"/>
      <c r="AJ5" s="390"/>
      <c r="AK5" s="390"/>
      <c r="AL5" s="390"/>
      <c r="AM5" s="390"/>
      <c r="AN5" s="390"/>
      <c r="AO5" s="390"/>
      <c r="AP5" s="390"/>
      <c r="AQ5" s="390"/>
      <c r="AR5" s="390"/>
      <c r="AS5" s="390"/>
      <c r="AT5" s="390"/>
      <c r="AU5" s="390"/>
      <c r="AV5" s="390"/>
      <c r="AW5" s="390"/>
      <c r="AX5" s="390"/>
      <c r="AY5" s="390"/>
      <c r="AZ5" s="390"/>
      <c r="BA5" s="390"/>
      <c r="BB5" s="390"/>
      <c r="BC5" s="390"/>
      <c r="BD5" s="390"/>
      <c r="BE5" s="390"/>
      <c r="BF5" s="390"/>
      <c r="BG5" s="390"/>
      <c r="BH5" s="390"/>
      <c r="BI5" s="390"/>
      <c r="BJ5" s="390"/>
      <c r="BK5" s="390"/>
      <c r="BL5" s="390"/>
      <c r="BM5" s="390"/>
      <c r="BN5" s="390"/>
      <c r="BO5" s="390"/>
      <c r="BP5" s="390"/>
      <c r="BQ5" s="390"/>
      <c r="BR5" s="390"/>
      <c r="BS5" s="390"/>
      <c r="BT5" s="390"/>
      <c r="BU5" s="390"/>
      <c r="BV5" s="390"/>
      <c r="BW5" s="390"/>
      <c r="BX5" s="390"/>
      <c r="BY5" s="390"/>
      <c r="BZ5" s="390"/>
      <c r="CA5" s="390"/>
      <c r="CB5" s="390"/>
      <c r="CC5" s="390"/>
      <c r="CD5" s="390"/>
      <c r="CE5" s="390"/>
      <c r="CF5" s="390"/>
      <c r="CG5" s="390"/>
      <c r="CH5" s="390"/>
      <c r="CI5" s="390"/>
      <c r="CJ5" s="390"/>
      <c r="CK5" s="390"/>
      <c r="CL5" s="390"/>
      <c r="CM5" s="390"/>
      <c r="CN5" s="390"/>
      <c r="CO5" s="390"/>
      <c r="CP5" s="390"/>
      <c r="CQ5" s="390"/>
      <c r="CR5" s="390"/>
      <c r="CS5" s="390"/>
      <c r="CT5" s="390"/>
      <c r="CU5" s="390"/>
      <c r="CV5" s="390"/>
      <c r="CW5" s="390"/>
      <c r="CX5" s="390"/>
      <c r="CY5" s="390"/>
      <c r="CZ5" s="390"/>
      <c r="DA5" s="390"/>
      <c r="DB5" s="390"/>
      <c r="DC5" s="390"/>
      <c r="DD5" s="390"/>
      <c r="DE5" s="390"/>
      <c r="DF5" s="390"/>
      <c r="DG5" s="390"/>
      <c r="DH5" s="390"/>
      <c r="DI5" s="390"/>
      <c r="DJ5" s="390"/>
      <c r="DK5" s="390"/>
      <c r="DL5" s="390"/>
      <c r="DM5" s="390"/>
      <c r="DN5" s="390"/>
      <c r="DO5" s="390"/>
      <c r="DP5" s="390"/>
      <c r="DQ5" s="390"/>
      <c r="DR5" s="390"/>
      <c r="DS5" s="390"/>
      <c r="DT5" s="390"/>
      <c r="DU5" s="390"/>
      <c r="DV5" s="390"/>
      <c r="DW5" s="390"/>
      <c r="DX5" s="390"/>
      <c r="DY5" s="390"/>
      <c r="DZ5" s="390"/>
      <c r="EA5" s="390"/>
      <c r="EB5" s="390"/>
      <c r="EC5" s="390"/>
      <c r="ED5" s="390"/>
      <c r="EE5" s="390"/>
      <c r="EF5" s="390"/>
      <c r="EG5" s="390"/>
      <c r="EH5" s="390"/>
      <c r="EI5" s="390"/>
      <c r="EJ5" s="390"/>
      <c r="EK5" s="390"/>
      <c r="EL5" s="390"/>
      <c r="EM5" s="390"/>
      <c r="EN5" s="390"/>
      <c r="EO5" s="390"/>
      <c r="EP5" s="390"/>
      <c r="EQ5" s="390"/>
      <c r="ER5" s="390"/>
      <c r="ES5" s="390"/>
      <c r="ET5" s="390"/>
      <c r="EU5" s="390"/>
      <c r="EV5" s="390"/>
      <c r="EW5" s="390"/>
      <c r="EX5" s="390"/>
      <c r="EY5" s="390"/>
      <c r="EZ5" s="390"/>
      <c r="FA5" s="390"/>
      <c r="FB5" s="390"/>
      <c r="FC5" s="390"/>
      <c r="FD5" s="390"/>
      <c r="FE5" s="390"/>
      <c r="FF5" s="390"/>
      <c r="FG5" s="390"/>
      <c r="FH5" s="390"/>
      <c r="FI5" s="390"/>
      <c r="FJ5" s="390"/>
      <c r="FK5" s="390"/>
      <c r="FL5" s="390"/>
      <c r="FM5" s="390"/>
      <c r="FN5" s="390"/>
      <c r="FO5" s="390"/>
      <c r="FP5" s="390"/>
      <c r="FQ5" s="390"/>
      <c r="FR5" s="390"/>
      <c r="FS5" s="390"/>
      <c r="FT5" s="390"/>
      <c r="FU5" s="390"/>
      <c r="FV5" s="390"/>
      <c r="FW5" s="390"/>
      <c r="FX5" s="390"/>
      <c r="FY5" s="390"/>
      <c r="FZ5" s="390"/>
      <c r="GA5" s="390"/>
      <c r="GB5" s="390"/>
      <c r="GC5" s="390"/>
      <c r="GD5" s="390"/>
      <c r="GE5" s="390"/>
      <c r="GF5" s="390"/>
      <c r="GG5" s="390"/>
      <c r="GH5" s="390"/>
      <c r="GI5" s="390"/>
      <c r="GJ5" s="390"/>
      <c r="GK5" s="390"/>
      <c r="GL5" s="390"/>
      <c r="GM5" s="390"/>
      <c r="GN5" s="390"/>
      <c r="GO5" s="390"/>
      <c r="GP5" s="390"/>
      <c r="GQ5" s="390"/>
      <c r="GR5" s="390"/>
      <c r="GS5" s="390"/>
      <c r="GT5" s="390"/>
      <c r="GU5" s="390"/>
      <c r="GV5" s="390"/>
      <c r="GW5" s="390"/>
      <c r="GX5" s="390"/>
      <c r="GY5" s="390"/>
      <c r="GZ5" s="390"/>
      <c r="HA5" s="390"/>
      <c r="HB5" s="390"/>
      <c r="HC5" s="390"/>
      <c r="HD5" s="390"/>
      <c r="HE5" s="390"/>
      <c r="HF5" s="390"/>
      <c r="HG5" s="390"/>
      <c r="HH5" s="390"/>
      <c r="HI5" s="390"/>
      <c r="HJ5" s="390"/>
      <c r="HK5" s="390"/>
      <c r="HL5" s="390"/>
      <c r="HM5" s="390"/>
      <c r="HN5" s="390"/>
      <c r="HO5" s="390"/>
      <c r="HP5" s="390"/>
      <c r="HQ5" s="390"/>
      <c r="HR5" s="390"/>
      <c r="HS5" s="390"/>
      <c r="HT5" s="390"/>
      <c r="HU5" s="390"/>
      <c r="HV5" s="390"/>
      <c r="HW5" s="390"/>
      <c r="HX5" s="390"/>
      <c r="HY5" s="390"/>
      <c r="HZ5" s="390"/>
      <c r="IA5" s="390"/>
      <c r="IB5" s="390"/>
      <c r="IC5" s="390"/>
      <c r="ID5" s="390"/>
      <c r="IE5" s="390"/>
      <c r="IF5" s="390"/>
      <c r="IG5" s="390"/>
      <c r="IH5" s="390"/>
      <c r="II5" s="390"/>
      <c r="IJ5" s="390"/>
      <c r="IK5" s="390"/>
      <c r="IL5" s="390"/>
      <c r="IM5" s="390"/>
      <c r="IN5" s="390"/>
      <c r="IO5" s="390"/>
      <c r="IP5" s="390"/>
      <c r="IQ5" s="390"/>
      <c r="IR5" s="390"/>
      <c r="IS5" s="390"/>
      <c r="IT5" s="390"/>
      <c r="IU5" s="390"/>
      <c r="IV5" s="390"/>
      <c r="IW5" s="390"/>
      <c r="IX5" s="390"/>
      <c r="IY5" s="390"/>
      <c r="IZ5" s="390"/>
      <c r="JA5" s="390"/>
      <c r="JB5" s="390"/>
      <c r="JC5" s="390"/>
      <c r="JD5" s="390"/>
      <c r="JE5" s="390"/>
      <c r="JF5" s="390"/>
      <c r="JG5" s="390"/>
      <c r="JH5" s="390"/>
      <c r="JI5" s="390"/>
      <c r="JJ5" s="390"/>
      <c r="JK5" s="390"/>
      <c r="JL5" s="390"/>
      <c r="JM5" s="390"/>
      <c r="JN5" s="390"/>
      <c r="JO5" s="390"/>
      <c r="JP5" s="390"/>
      <c r="JQ5" s="390"/>
      <c r="JR5" s="390"/>
      <c r="JS5" s="390"/>
      <c r="JT5" s="390"/>
      <c r="JU5" s="390"/>
      <c r="JV5" s="390"/>
      <c r="JW5" s="390"/>
      <c r="JX5" s="390"/>
      <c r="JY5" s="390"/>
      <c r="JZ5" s="390"/>
      <c r="KA5" s="390"/>
      <c r="KB5" s="390"/>
      <c r="KC5" s="390"/>
      <c r="KD5" s="390"/>
      <c r="KE5" s="390"/>
      <c r="KF5" s="390"/>
      <c r="KG5" s="390"/>
      <c r="KH5" s="390"/>
      <c r="KI5" s="390"/>
      <c r="KJ5" s="390"/>
      <c r="KK5" s="390"/>
      <c r="KL5" s="390"/>
      <c r="KM5" s="390"/>
      <c r="KN5" s="390"/>
      <c r="KO5" s="390"/>
      <c r="KP5" s="390"/>
      <c r="KQ5" s="390"/>
      <c r="KR5" s="390"/>
      <c r="KS5" s="390"/>
      <c r="KT5" s="390"/>
      <c r="KU5" s="390"/>
      <c r="KV5" s="390"/>
      <c r="KW5" s="390"/>
      <c r="KX5" s="390"/>
      <c r="KY5" s="390"/>
      <c r="KZ5" s="390"/>
      <c r="LA5" s="390"/>
      <c r="LB5" s="390"/>
      <c r="LC5" s="390"/>
      <c r="LD5" s="390"/>
      <c r="LE5" s="390"/>
      <c r="LF5" s="390"/>
      <c r="LG5" s="390"/>
      <c r="LH5" s="390"/>
      <c r="LI5" s="390"/>
      <c r="LJ5" s="390"/>
      <c r="LK5" s="390"/>
      <c r="LL5" s="390"/>
      <c r="LM5" s="390"/>
      <c r="LN5" s="390"/>
      <c r="LO5" s="390"/>
      <c r="LP5" s="390"/>
      <c r="LQ5" s="390"/>
      <c r="LR5" s="390"/>
      <c r="LS5" s="390"/>
      <c r="LT5" s="390"/>
      <c r="LU5" s="390"/>
      <c r="LV5" s="390"/>
      <c r="LW5" s="390"/>
      <c r="LX5" s="390"/>
      <c r="LY5" s="390"/>
      <c r="LZ5" s="390"/>
      <c r="MA5" s="390"/>
      <c r="MB5" s="390"/>
      <c r="MC5" s="390"/>
      <c r="MD5" s="390"/>
      <c r="ME5" s="390"/>
      <c r="MF5" s="390"/>
      <c r="MG5" s="390"/>
      <c r="MH5" s="390"/>
      <c r="MI5" s="390"/>
      <c r="MJ5" s="390"/>
      <c r="MK5" s="390"/>
      <c r="ML5" s="390"/>
      <c r="MM5" s="390"/>
      <c r="MN5" s="390"/>
      <c r="MO5" s="390"/>
      <c r="MP5" s="390"/>
      <c r="MQ5" s="390"/>
      <c r="MR5" s="390"/>
      <c r="MS5" s="390"/>
      <c r="MT5" s="390"/>
      <c r="MU5" s="390"/>
      <c r="MV5" s="390"/>
      <c r="MW5" s="390"/>
      <c r="MX5" s="390"/>
      <c r="MY5" s="390"/>
      <c r="MZ5" s="390"/>
      <c r="NA5" s="390"/>
      <c r="NB5" s="390"/>
      <c r="NC5" s="390"/>
      <c r="ND5" s="390"/>
      <c r="NE5" s="390"/>
      <c r="NF5" s="390"/>
      <c r="NG5" s="390"/>
      <c r="NH5" s="390"/>
      <c r="NI5" s="390"/>
      <c r="NJ5" s="390"/>
      <c r="NK5" s="390"/>
      <c r="NL5" s="390"/>
      <c r="NM5" s="390"/>
      <c r="NN5" s="390"/>
      <c r="NO5" s="390"/>
      <c r="NP5" s="390"/>
      <c r="NQ5" s="390"/>
      <c r="NR5" s="390"/>
      <c r="NS5" s="390"/>
      <c r="NT5" s="390"/>
      <c r="NU5" s="390"/>
      <c r="NV5" s="390"/>
      <c r="NW5" s="390"/>
      <c r="NX5" s="390"/>
      <c r="NY5" s="390"/>
      <c r="NZ5" s="390"/>
      <c r="OA5" s="390"/>
      <c r="OB5" s="390"/>
      <c r="OC5" s="390"/>
      <c r="OD5" s="390"/>
      <c r="OE5" s="390"/>
      <c r="OF5" s="390"/>
      <c r="OG5" s="390"/>
      <c r="OH5" s="390"/>
      <c r="OI5" s="390"/>
      <c r="OJ5" s="390"/>
      <c r="OK5" s="390"/>
      <c r="OL5" s="390"/>
      <c r="OM5" s="390"/>
      <c r="ON5" s="390"/>
      <c r="OO5" s="390"/>
      <c r="OP5" s="390"/>
      <c r="OQ5" s="390"/>
      <c r="OR5" s="390"/>
      <c r="OS5" s="390"/>
      <c r="OT5" s="390"/>
      <c r="OU5" s="390"/>
      <c r="OV5" s="390"/>
      <c r="OW5" s="390"/>
      <c r="OX5" s="390"/>
      <c r="OY5" s="390"/>
      <c r="OZ5" s="390"/>
      <c r="PA5" s="390"/>
      <c r="PB5" s="390"/>
      <c r="PC5" s="390"/>
      <c r="PD5" s="390"/>
      <c r="PE5" s="390"/>
      <c r="PF5" s="390"/>
      <c r="PG5" s="390"/>
      <c r="PH5" s="390"/>
      <c r="PI5" s="390"/>
      <c r="PJ5" s="390"/>
      <c r="PK5" s="390"/>
      <c r="PL5" s="390"/>
      <c r="PM5" s="390"/>
      <c r="PN5" s="390"/>
      <c r="PO5" s="390"/>
      <c r="PP5" s="390"/>
      <c r="PQ5" s="390"/>
      <c r="PR5" s="390"/>
      <c r="PS5" s="390"/>
      <c r="PT5" s="390"/>
      <c r="PU5" s="390"/>
      <c r="PV5" s="390"/>
      <c r="PW5" s="390"/>
      <c r="PX5" s="390"/>
      <c r="PY5" s="390"/>
      <c r="PZ5" s="390"/>
      <c r="QA5" s="390"/>
      <c r="QB5" s="390"/>
      <c r="QC5" s="390"/>
      <c r="QD5" s="390"/>
      <c r="QE5" s="390"/>
      <c r="QF5" s="390"/>
      <c r="QG5" s="390"/>
      <c r="QH5" s="390"/>
      <c r="QI5" s="390"/>
      <c r="QJ5" s="390"/>
      <c r="QK5" s="390"/>
      <c r="QL5" s="390"/>
      <c r="QM5" s="390"/>
      <c r="QN5" s="390"/>
      <c r="QO5" s="390"/>
      <c r="QP5" s="390"/>
      <c r="QQ5" s="390"/>
      <c r="QR5" s="390"/>
      <c r="QS5" s="390"/>
      <c r="QT5" s="390"/>
      <c r="QU5" s="390"/>
      <c r="QV5" s="390"/>
      <c r="QW5" s="390"/>
      <c r="QX5" s="390"/>
      <c r="QY5" s="390"/>
      <c r="QZ5" s="390"/>
      <c r="RA5" s="390"/>
      <c r="RB5" s="390"/>
      <c r="RC5" s="390"/>
      <c r="RD5" s="390"/>
      <c r="RE5" s="390"/>
      <c r="RF5" s="390"/>
      <c r="RG5" s="390"/>
      <c r="RH5" s="390"/>
      <c r="RI5" s="390"/>
      <c r="RJ5" s="390"/>
      <c r="RK5" s="390"/>
      <c r="RL5" s="390"/>
      <c r="RM5" s="390"/>
      <c r="RN5" s="390"/>
      <c r="RO5" s="390"/>
      <c r="RP5" s="390"/>
      <c r="RQ5" s="390"/>
      <c r="RR5" s="390"/>
      <c r="RS5" s="390"/>
      <c r="RT5" s="390"/>
      <c r="RU5" s="390"/>
      <c r="RV5" s="390"/>
      <c r="RW5" s="390"/>
      <c r="RX5" s="390"/>
      <c r="RY5" s="390"/>
      <c r="RZ5" s="390"/>
      <c r="SA5" s="390"/>
      <c r="SB5" s="390"/>
      <c r="SC5" s="390"/>
      <c r="SD5" s="390"/>
      <c r="SE5" s="390"/>
      <c r="SF5" s="390"/>
      <c r="SG5" s="390"/>
      <c r="SH5" s="390"/>
      <c r="SI5" s="390"/>
      <c r="SJ5" s="390"/>
      <c r="SK5" s="390"/>
      <c r="SL5" s="390"/>
      <c r="SM5" s="390"/>
      <c r="SN5" s="390"/>
      <c r="SO5" s="390"/>
      <c r="SP5" s="390"/>
      <c r="SQ5" s="390"/>
      <c r="SR5" s="390"/>
      <c r="SS5" s="390"/>
      <c r="ST5" s="390"/>
      <c r="SU5" s="390"/>
      <c r="SV5" s="390"/>
      <c r="SW5" s="390"/>
      <c r="SX5" s="390"/>
      <c r="SY5" s="390"/>
      <c r="SZ5" s="390"/>
      <c r="TA5" s="390"/>
      <c r="TB5" s="390"/>
      <c r="TC5" s="390"/>
      <c r="TD5" s="390"/>
      <c r="TE5" s="390"/>
      <c r="TF5" s="390"/>
      <c r="TG5" s="390"/>
      <c r="TH5" s="390"/>
      <c r="TI5" s="390"/>
      <c r="TJ5" s="390"/>
      <c r="TK5" s="390"/>
      <c r="TL5" s="390"/>
      <c r="TM5" s="390"/>
      <c r="TN5" s="390"/>
      <c r="TO5" s="390"/>
      <c r="TP5" s="390"/>
      <c r="TQ5" s="390"/>
      <c r="TR5" s="390"/>
      <c r="TS5" s="390"/>
      <c r="TT5" s="390"/>
      <c r="TU5" s="390"/>
      <c r="TV5" s="390"/>
      <c r="TW5" s="390"/>
      <c r="TX5" s="390"/>
      <c r="TY5" s="390"/>
      <c r="TZ5" s="390"/>
      <c r="UA5" s="390"/>
      <c r="UB5" s="390"/>
      <c r="UC5" s="390"/>
      <c r="UD5" s="390"/>
      <c r="UE5" s="390"/>
      <c r="UF5" s="390"/>
      <c r="UG5" s="390"/>
      <c r="UH5" s="390"/>
      <c r="UI5" s="390"/>
      <c r="UJ5" s="390"/>
      <c r="UK5" s="390"/>
      <c r="UL5" s="390"/>
      <c r="UM5" s="390"/>
      <c r="UN5" s="390"/>
      <c r="UO5" s="390"/>
      <c r="UP5" s="390"/>
      <c r="UQ5" s="390"/>
      <c r="UR5" s="390"/>
      <c r="US5" s="390"/>
      <c r="UT5" s="390"/>
      <c r="UU5" s="390"/>
      <c r="UV5" s="390"/>
      <c r="UW5" s="390"/>
      <c r="UX5" s="390"/>
      <c r="UY5" s="390"/>
      <c r="UZ5" s="390"/>
      <c r="VA5" s="390"/>
      <c r="VB5" s="390"/>
      <c r="VC5" s="390"/>
      <c r="VD5" s="390"/>
      <c r="VE5" s="390"/>
      <c r="VF5" s="390"/>
      <c r="VG5" s="390"/>
      <c r="VH5" s="390"/>
      <c r="VI5" s="390"/>
      <c r="VJ5" s="390"/>
      <c r="VK5" s="390"/>
      <c r="VL5" s="390"/>
      <c r="VM5" s="390"/>
      <c r="VN5" s="390"/>
      <c r="VO5" s="390"/>
      <c r="VP5" s="390"/>
      <c r="VQ5" s="390"/>
      <c r="VR5" s="390"/>
      <c r="VS5" s="390"/>
      <c r="VT5" s="390"/>
      <c r="VU5" s="390"/>
      <c r="VV5" s="390"/>
      <c r="VW5" s="390"/>
      <c r="VX5" s="390"/>
      <c r="VY5" s="390"/>
      <c r="VZ5" s="390"/>
      <c r="WA5" s="390"/>
      <c r="WB5" s="390"/>
      <c r="WC5" s="390"/>
      <c r="WD5" s="390"/>
      <c r="WE5" s="390"/>
      <c r="WF5" s="390"/>
      <c r="WG5" s="390"/>
      <c r="WH5" s="390"/>
      <c r="WI5" s="390"/>
      <c r="WJ5" s="390"/>
      <c r="WK5" s="390"/>
      <c r="WL5" s="390"/>
      <c r="WM5" s="390"/>
      <c r="WN5" s="390"/>
      <c r="WO5" s="390"/>
      <c r="WP5" s="390"/>
      <c r="WQ5" s="390"/>
      <c r="WR5" s="390"/>
      <c r="WS5" s="390"/>
      <c r="WT5" s="390"/>
      <c r="WU5" s="390"/>
      <c r="WV5" s="390"/>
      <c r="WW5" s="390"/>
      <c r="WX5" s="390"/>
      <c r="WY5" s="390"/>
      <c r="WZ5" s="390"/>
      <c r="XA5" s="390"/>
      <c r="XB5" s="390"/>
      <c r="XC5" s="390"/>
      <c r="XD5" s="390"/>
      <c r="XE5" s="390"/>
      <c r="XF5" s="390"/>
      <c r="XG5" s="390"/>
      <c r="XH5" s="390"/>
      <c r="XI5" s="390"/>
      <c r="XJ5" s="390"/>
      <c r="XK5" s="390"/>
      <c r="XL5" s="390"/>
      <c r="XM5" s="390"/>
      <c r="XN5" s="390"/>
      <c r="XO5" s="390"/>
      <c r="XP5" s="390"/>
      <c r="XQ5" s="390"/>
      <c r="XR5" s="390"/>
      <c r="XS5" s="390"/>
      <c r="XT5" s="390"/>
      <c r="XU5" s="390"/>
      <c r="XV5" s="390"/>
      <c r="XW5" s="390"/>
      <c r="XX5" s="390"/>
      <c r="XY5" s="390"/>
      <c r="XZ5" s="390"/>
      <c r="YA5" s="390"/>
      <c r="YB5" s="390"/>
      <c r="YC5" s="390"/>
      <c r="YD5" s="390"/>
      <c r="YE5" s="390"/>
      <c r="YF5" s="390"/>
      <c r="YG5" s="390"/>
      <c r="YH5" s="390"/>
      <c r="YI5" s="390"/>
      <c r="YJ5" s="390"/>
      <c r="YK5" s="390"/>
      <c r="YL5" s="390"/>
      <c r="YM5" s="390"/>
      <c r="YN5" s="390"/>
      <c r="YO5" s="390"/>
      <c r="YP5" s="390"/>
      <c r="YQ5" s="390"/>
      <c r="YR5" s="390"/>
      <c r="YS5" s="390"/>
      <c r="YT5" s="390"/>
      <c r="YU5" s="390"/>
      <c r="YV5" s="390"/>
      <c r="YW5" s="390"/>
      <c r="YX5" s="390"/>
      <c r="YY5" s="390"/>
      <c r="YZ5" s="390"/>
      <c r="ZA5" s="390"/>
      <c r="ZB5" s="390"/>
      <c r="ZC5" s="390"/>
      <c r="ZD5" s="390"/>
      <c r="ZE5" s="390"/>
      <c r="ZF5" s="390"/>
      <c r="ZG5" s="390"/>
      <c r="ZH5" s="390"/>
      <c r="ZI5" s="390"/>
      <c r="ZJ5" s="390"/>
      <c r="ZK5" s="390"/>
      <c r="ZL5" s="390"/>
      <c r="ZM5" s="390"/>
      <c r="ZN5" s="390"/>
      <c r="ZO5" s="390"/>
      <c r="ZP5" s="390"/>
      <c r="ZQ5" s="390"/>
      <c r="ZR5" s="390"/>
      <c r="ZS5" s="390"/>
      <c r="ZT5" s="390"/>
      <c r="ZU5" s="390"/>
      <c r="ZV5" s="390"/>
      <c r="ZW5" s="390"/>
      <c r="ZX5" s="390"/>
      <c r="ZY5" s="390"/>
      <c r="ZZ5" s="390"/>
      <c r="AAA5" s="390"/>
      <c r="AAB5" s="390"/>
      <c r="AAC5" s="390"/>
      <c r="AAD5" s="390"/>
      <c r="AAE5" s="390"/>
      <c r="AAF5" s="390"/>
      <c r="AAG5" s="390"/>
      <c r="AAH5" s="390"/>
      <c r="AAI5" s="390"/>
      <c r="AAJ5" s="390"/>
      <c r="AAK5" s="390"/>
      <c r="AAL5" s="390"/>
      <c r="AAM5" s="390"/>
      <c r="AAN5" s="390"/>
      <c r="AAO5" s="390"/>
      <c r="AAP5" s="390"/>
      <c r="AAQ5" s="390"/>
      <c r="AAR5" s="390"/>
      <c r="AAS5" s="390"/>
      <c r="AAT5" s="390"/>
      <c r="AAU5" s="390"/>
      <c r="AAV5" s="390"/>
      <c r="AAW5" s="390"/>
      <c r="AAX5" s="390"/>
      <c r="AAY5" s="390"/>
      <c r="AAZ5" s="390"/>
      <c r="ABA5" s="390"/>
      <c r="ABB5" s="390"/>
      <c r="ABC5" s="390"/>
      <c r="ABD5" s="390"/>
      <c r="ABE5" s="390"/>
      <c r="ABF5" s="390"/>
      <c r="ABG5" s="390"/>
      <c r="ABH5" s="390"/>
      <c r="ABI5" s="390"/>
      <c r="ABJ5" s="390"/>
      <c r="ABK5" s="390"/>
      <c r="ABL5" s="390"/>
      <c r="ABM5" s="390"/>
      <c r="ABN5" s="390"/>
      <c r="ABO5" s="390"/>
      <c r="ABP5" s="390"/>
      <c r="ABQ5" s="390"/>
      <c r="ABR5" s="390"/>
      <c r="ABS5" s="390"/>
      <c r="ABT5" s="390"/>
      <c r="ABU5" s="390"/>
      <c r="ABV5" s="390"/>
      <c r="ABW5" s="390"/>
      <c r="ABX5" s="390"/>
      <c r="ABY5" s="390"/>
      <c r="ABZ5" s="390"/>
      <c r="ACA5" s="390"/>
      <c r="ACB5" s="390"/>
      <c r="ACC5" s="390"/>
      <c r="ACD5" s="390"/>
      <c r="ACE5" s="390"/>
      <c r="ACF5" s="390"/>
      <c r="ACG5" s="390"/>
      <c r="ACH5" s="390"/>
      <c r="ACI5" s="390"/>
      <c r="ACJ5" s="390"/>
      <c r="ACK5" s="390"/>
      <c r="ACL5" s="390"/>
      <c r="ACM5" s="390"/>
      <c r="ACN5" s="390"/>
      <c r="ACO5" s="390"/>
      <c r="ACP5" s="390"/>
      <c r="ACQ5" s="390"/>
      <c r="ACR5" s="390"/>
      <c r="ACS5" s="390"/>
      <c r="ACT5" s="390"/>
      <c r="ACU5" s="390"/>
      <c r="ACV5" s="390"/>
      <c r="ACW5" s="390"/>
      <c r="ACX5" s="390"/>
      <c r="ACY5" s="390"/>
      <c r="ACZ5" s="390"/>
      <c r="ADA5" s="390"/>
      <c r="ADB5" s="390"/>
      <c r="ADC5" s="390"/>
      <c r="ADD5" s="390"/>
      <c r="ADE5" s="390"/>
      <c r="ADF5" s="390"/>
      <c r="ADG5" s="390"/>
      <c r="ADH5" s="390"/>
      <c r="ADI5" s="390"/>
      <c r="ADJ5" s="390"/>
      <c r="ADK5" s="390"/>
      <c r="ADL5" s="390"/>
      <c r="ADM5" s="390"/>
      <c r="ADN5" s="390"/>
      <c r="ADO5" s="390"/>
      <c r="ADP5" s="390"/>
      <c r="ADQ5" s="390"/>
      <c r="ADR5" s="390"/>
      <c r="ADS5" s="390"/>
      <c r="ADT5" s="390"/>
      <c r="ADU5" s="390"/>
      <c r="ADV5" s="390"/>
      <c r="ADW5" s="390"/>
      <c r="ADX5" s="390"/>
      <c r="ADY5" s="390"/>
      <c r="ADZ5" s="390"/>
      <c r="AEA5" s="390"/>
      <c r="AEB5" s="390"/>
      <c r="AEC5" s="390"/>
      <c r="AED5" s="390"/>
      <c r="AEE5" s="390"/>
      <c r="AEF5" s="390"/>
      <c r="AEG5" s="390"/>
      <c r="AEH5" s="390"/>
      <c r="AEI5" s="390"/>
      <c r="AEJ5" s="390"/>
      <c r="AEK5" s="390"/>
      <c r="AEL5" s="390"/>
      <c r="AEM5" s="390"/>
      <c r="AEN5" s="390"/>
      <c r="AEO5" s="390"/>
      <c r="AEP5" s="390"/>
      <c r="AEQ5" s="390"/>
      <c r="AER5" s="390"/>
      <c r="AES5" s="390"/>
      <c r="AET5" s="390"/>
      <c r="AEU5" s="390"/>
      <c r="AEV5" s="390"/>
      <c r="AEW5" s="390"/>
      <c r="AEX5" s="390"/>
      <c r="AEY5" s="390"/>
      <c r="AEZ5" s="390"/>
      <c r="AFA5" s="390"/>
      <c r="AFB5" s="390"/>
      <c r="AFC5" s="390"/>
      <c r="AFD5" s="390"/>
      <c r="AFE5" s="390"/>
      <c r="AFF5" s="390"/>
      <c r="AFG5" s="390"/>
      <c r="AFH5" s="390"/>
      <c r="AFI5" s="390"/>
      <c r="AFJ5" s="390"/>
      <c r="AFK5" s="390"/>
      <c r="AFL5" s="390"/>
      <c r="AFM5" s="390"/>
      <c r="AFN5" s="390"/>
      <c r="AFO5" s="390"/>
      <c r="AFP5" s="390"/>
      <c r="AFQ5" s="390"/>
      <c r="AFR5" s="390"/>
      <c r="AFS5" s="390"/>
      <c r="AFT5" s="390"/>
      <c r="AFU5" s="390"/>
      <c r="AFV5" s="390"/>
      <c r="AFW5" s="390"/>
      <c r="AFX5" s="390"/>
      <c r="AFY5" s="390"/>
      <c r="AFZ5" s="390"/>
      <c r="AGA5" s="390"/>
      <c r="AGB5" s="390"/>
      <c r="AGC5" s="390"/>
      <c r="AGD5" s="390"/>
      <c r="AGE5" s="390"/>
      <c r="AGF5" s="390"/>
      <c r="AGG5" s="390"/>
      <c r="AGH5" s="390"/>
      <c r="AGI5" s="390"/>
      <c r="AGJ5" s="390"/>
      <c r="AGK5" s="390"/>
      <c r="AGL5" s="390"/>
      <c r="AGM5" s="390"/>
      <c r="AGN5" s="390"/>
      <c r="AGO5" s="390"/>
      <c r="AGP5" s="390"/>
      <c r="AGQ5" s="390"/>
      <c r="AGR5" s="390"/>
      <c r="AGS5" s="390"/>
      <c r="AGT5" s="390"/>
      <c r="AGU5" s="390"/>
      <c r="AGV5" s="390"/>
      <c r="AGW5" s="390"/>
      <c r="AGX5" s="390"/>
      <c r="AGY5" s="390"/>
      <c r="AGZ5" s="390"/>
      <c r="AHA5" s="390"/>
      <c r="AHB5" s="390"/>
      <c r="AHC5" s="390"/>
      <c r="AHD5" s="390"/>
      <c r="AHE5" s="390"/>
      <c r="AHF5" s="390"/>
      <c r="AHG5" s="390"/>
      <c r="AHH5" s="390"/>
      <c r="AHI5" s="390"/>
      <c r="AHJ5" s="390"/>
      <c r="AHK5" s="390"/>
      <c r="AHL5" s="390"/>
      <c r="AHM5" s="390"/>
      <c r="AHN5" s="390"/>
      <c r="AHO5" s="390"/>
      <c r="AHP5" s="390"/>
      <c r="AHQ5" s="390"/>
      <c r="AHR5" s="390"/>
      <c r="AHS5" s="390"/>
      <c r="AHT5" s="390"/>
      <c r="AHU5" s="390"/>
      <c r="AHV5" s="390"/>
      <c r="AHW5" s="390"/>
      <c r="AHX5" s="390"/>
      <c r="AHY5" s="390"/>
      <c r="AHZ5" s="390"/>
      <c r="AIA5" s="390"/>
      <c r="AIB5" s="390"/>
      <c r="AIC5" s="390"/>
      <c r="AID5" s="390"/>
      <c r="AIE5" s="390"/>
      <c r="AIF5" s="390"/>
      <c r="AIG5" s="390"/>
      <c r="AIH5" s="390"/>
      <c r="AII5" s="390"/>
      <c r="AIJ5" s="390"/>
      <c r="AIK5" s="390"/>
      <c r="AIL5" s="390"/>
      <c r="AIM5" s="390"/>
      <c r="AIN5" s="390"/>
      <c r="AIO5" s="390"/>
      <c r="AIP5" s="390"/>
      <c r="AIQ5" s="390"/>
      <c r="AIR5" s="390"/>
      <c r="AIS5" s="390"/>
      <c r="AIT5" s="390"/>
      <c r="AIU5" s="390"/>
      <c r="AIV5" s="390"/>
      <c r="AIW5" s="390"/>
      <c r="AIX5" s="390"/>
      <c r="AIY5" s="390"/>
      <c r="AIZ5" s="390"/>
      <c r="AJA5" s="390"/>
      <c r="AJB5" s="390"/>
      <c r="AJC5" s="390"/>
      <c r="AJD5" s="390"/>
      <c r="AJE5" s="390"/>
      <c r="AJF5" s="390"/>
      <c r="AJG5" s="390"/>
      <c r="AJH5" s="390"/>
      <c r="AJI5" s="390"/>
      <c r="AJJ5" s="390"/>
      <c r="AJK5" s="390"/>
      <c r="AJL5" s="390"/>
      <c r="AJM5" s="390"/>
      <c r="AJN5" s="390"/>
      <c r="AJO5" s="390"/>
      <c r="AJP5" s="390"/>
      <c r="AJQ5" s="390"/>
      <c r="AJR5" s="390"/>
      <c r="AJS5" s="390"/>
      <c r="AJT5" s="390"/>
      <c r="AJU5" s="390"/>
      <c r="AJV5" s="390"/>
      <c r="AJW5" s="390"/>
      <c r="AJX5" s="390"/>
      <c r="AJY5" s="390"/>
      <c r="AJZ5" s="390"/>
      <c r="AKA5" s="390"/>
      <c r="AKB5" s="390"/>
      <c r="AKC5" s="390"/>
      <c r="AKD5" s="390"/>
      <c r="AKE5" s="390"/>
      <c r="AKF5" s="390"/>
      <c r="AKG5" s="390"/>
      <c r="AKH5" s="390"/>
      <c r="AKI5" s="390"/>
      <c r="AKJ5" s="390"/>
      <c r="AKK5" s="390"/>
      <c r="AKL5" s="390"/>
      <c r="AKM5" s="390"/>
      <c r="AKN5" s="390"/>
      <c r="AKO5" s="390"/>
      <c r="AKP5" s="390"/>
      <c r="AKQ5" s="390"/>
      <c r="AKR5" s="390"/>
      <c r="AKS5" s="390"/>
      <c r="AKT5" s="390"/>
      <c r="AKU5" s="390"/>
      <c r="AKV5" s="390"/>
      <c r="AKW5" s="390"/>
      <c r="AKX5" s="390"/>
      <c r="AKY5" s="390"/>
      <c r="AKZ5" s="390"/>
      <c r="ALA5" s="390"/>
      <c r="ALB5" s="390"/>
      <c r="ALC5" s="390"/>
      <c r="ALD5" s="390"/>
      <c r="ALE5" s="390"/>
      <c r="ALF5" s="390"/>
      <c r="ALG5" s="390"/>
      <c r="ALH5" s="390"/>
      <c r="ALI5" s="390"/>
      <c r="ALJ5" s="390"/>
      <c r="ALK5" s="390"/>
      <c r="ALL5" s="390"/>
      <c r="ALM5" s="390"/>
      <c r="ALN5" s="390"/>
      <c r="ALO5" s="390"/>
      <c r="ALP5" s="390"/>
      <c r="ALQ5" s="390"/>
      <c r="ALR5" s="390"/>
      <c r="ALS5" s="390"/>
      <c r="ALT5" s="390"/>
      <c r="ALU5" s="390"/>
      <c r="ALV5" s="390"/>
      <c r="ALW5" s="390"/>
      <c r="ALX5" s="390"/>
      <c r="ALY5" s="390"/>
      <c r="ALZ5" s="390"/>
      <c r="AMA5" s="390"/>
      <c r="AMB5" s="390"/>
      <c r="AMC5" s="390"/>
      <c r="AMD5" s="390"/>
      <c r="AME5" s="390"/>
      <c r="AMF5" s="390"/>
      <c r="AMG5" s="390"/>
      <c r="AMH5" s="390"/>
      <c r="AMI5" s="390"/>
      <c r="AMJ5" s="390"/>
      <c r="AMK5" s="390"/>
      <c r="AML5" s="390"/>
      <c r="AMM5" s="390"/>
      <c r="AMN5" s="390"/>
      <c r="AMO5" s="390"/>
      <c r="AMP5" s="390"/>
      <c r="AMQ5" s="390"/>
      <c r="AMR5" s="390"/>
      <c r="AMS5" s="390"/>
      <c r="AMT5" s="390"/>
      <c r="AMU5" s="390"/>
      <c r="AMV5" s="390"/>
      <c r="AMW5" s="390"/>
      <c r="AMX5" s="390"/>
      <c r="AMY5" s="390"/>
      <c r="AMZ5" s="390"/>
      <c r="ANA5" s="390"/>
      <c r="ANB5" s="390"/>
      <c r="ANC5" s="390"/>
      <c r="AND5" s="390"/>
      <c r="ANE5" s="390"/>
      <c r="ANF5" s="390"/>
      <c r="ANG5" s="390"/>
      <c r="ANH5" s="390"/>
      <c r="ANI5" s="390"/>
      <c r="ANJ5" s="390"/>
      <c r="ANK5" s="390"/>
      <c r="ANL5" s="390"/>
      <c r="ANM5" s="390"/>
      <c r="ANN5" s="390"/>
      <c r="ANO5" s="390"/>
      <c r="ANP5" s="390"/>
      <c r="ANQ5" s="390"/>
      <c r="ANR5" s="390"/>
      <c r="ANS5" s="390"/>
      <c r="ANT5" s="390"/>
      <c r="ANU5" s="390"/>
      <c r="ANV5" s="390"/>
      <c r="ANW5" s="390"/>
      <c r="ANX5" s="390"/>
      <c r="ANY5" s="390"/>
      <c r="ANZ5" s="390"/>
      <c r="AOA5" s="390"/>
      <c r="AOB5" s="390"/>
      <c r="AOC5" s="390"/>
      <c r="AOD5" s="390"/>
      <c r="AOE5" s="390"/>
      <c r="AOF5" s="390"/>
      <c r="AOG5" s="390"/>
      <c r="AOH5" s="390"/>
      <c r="AOI5" s="390"/>
      <c r="AOJ5" s="390"/>
      <c r="AOK5" s="390"/>
      <c r="AOL5" s="390"/>
      <c r="AOM5" s="390"/>
      <c r="AON5" s="390"/>
      <c r="AOO5" s="390"/>
      <c r="AOP5" s="390"/>
      <c r="AOQ5" s="390"/>
      <c r="AOR5" s="390"/>
      <c r="AOS5" s="390"/>
      <c r="AOT5" s="390"/>
      <c r="AOU5" s="390"/>
      <c r="AOV5" s="390"/>
      <c r="AOW5" s="390"/>
      <c r="AOX5" s="390"/>
      <c r="AOY5" s="390"/>
      <c r="AOZ5" s="390"/>
      <c r="APA5" s="390"/>
      <c r="APB5" s="390"/>
      <c r="APC5" s="390"/>
      <c r="APD5" s="390"/>
      <c r="APE5" s="390"/>
      <c r="APF5" s="390"/>
      <c r="APG5" s="390"/>
      <c r="APH5" s="390"/>
      <c r="API5" s="390"/>
      <c r="APJ5" s="390"/>
      <c r="APK5" s="390"/>
      <c r="APL5" s="390"/>
      <c r="APM5" s="390"/>
      <c r="APN5" s="390"/>
      <c r="APO5" s="390"/>
      <c r="APP5" s="390"/>
      <c r="APQ5" s="390"/>
      <c r="APR5" s="390"/>
      <c r="APS5" s="390"/>
      <c r="APT5" s="390"/>
      <c r="APU5" s="390"/>
      <c r="APV5" s="390"/>
      <c r="APW5" s="390"/>
      <c r="APX5" s="390"/>
      <c r="APY5" s="390"/>
      <c r="APZ5" s="390"/>
      <c r="AQA5" s="390"/>
      <c r="AQB5" s="390"/>
      <c r="AQC5" s="390"/>
      <c r="AQD5" s="390"/>
      <c r="AQE5" s="390"/>
      <c r="AQF5" s="390"/>
      <c r="AQG5" s="390"/>
      <c r="AQH5" s="390"/>
      <c r="AQI5" s="390"/>
      <c r="AQJ5" s="390"/>
      <c r="AQK5" s="390"/>
      <c r="AQL5" s="390"/>
      <c r="AQM5" s="390"/>
      <c r="AQN5" s="390"/>
      <c r="AQO5" s="390"/>
      <c r="AQP5" s="390"/>
      <c r="AQQ5" s="390"/>
      <c r="AQR5" s="390"/>
      <c r="AQS5" s="390"/>
      <c r="AQT5" s="390"/>
      <c r="AQU5" s="390"/>
      <c r="AQV5" s="390"/>
      <c r="AQW5" s="390"/>
      <c r="AQX5" s="390"/>
      <c r="AQY5" s="390"/>
      <c r="AQZ5" s="390"/>
      <c r="ARA5" s="390"/>
      <c r="ARB5" s="390"/>
      <c r="ARC5" s="390"/>
      <c r="ARD5" s="390"/>
      <c r="ARE5" s="390"/>
      <c r="ARF5" s="390"/>
      <c r="ARG5" s="390"/>
      <c r="ARH5" s="390"/>
      <c r="ARI5" s="390"/>
      <c r="ARJ5" s="390"/>
      <c r="ARK5" s="390"/>
      <c r="ARL5" s="390"/>
      <c r="ARM5" s="390"/>
      <c r="ARN5" s="390"/>
      <c r="ARO5" s="390"/>
      <c r="ARP5" s="390"/>
      <c r="ARQ5" s="390"/>
      <c r="ARR5" s="390"/>
      <c r="ARS5" s="390"/>
      <c r="ART5" s="390"/>
      <c r="ARU5" s="390"/>
      <c r="ARV5" s="390"/>
      <c r="ARW5" s="390"/>
      <c r="ARX5" s="390"/>
      <c r="ARY5" s="390"/>
      <c r="ARZ5" s="390"/>
      <c r="ASA5" s="390"/>
      <c r="ASB5" s="390"/>
      <c r="ASC5" s="390"/>
      <c r="ASD5" s="390"/>
      <c r="ASE5" s="390"/>
      <c r="ASF5" s="390"/>
      <c r="ASG5" s="390"/>
      <c r="ASH5" s="390"/>
      <c r="ASI5" s="390"/>
      <c r="ASJ5" s="390"/>
      <c r="ASK5" s="390"/>
      <c r="ASL5" s="390"/>
      <c r="ASM5" s="390"/>
      <c r="ASN5" s="390"/>
      <c r="ASO5" s="390"/>
      <c r="ASP5" s="390"/>
      <c r="ASQ5" s="390"/>
      <c r="ASR5" s="390"/>
      <c r="ASS5" s="390"/>
      <c r="AST5" s="390"/>
      <c r="ASU5" s="390"/>
      <c r="ASV5" s="390"/>
      <c r="ASW5" s="390"/>
      <c r="ASX5" s="390"/>
      <c r="ASY5" s="390"/>
      <c r="ASZ5" s="390"/>
      <c r="ATA5" s="390"/>
      <c r="ATB5" s="390"/>
      <c r="ATC5" s="390"/>
      <c r="ATD5" s="390"/>
      <c r="ATE5" s="390"/>
      <c r="ATF5" s="390"/>
      <c r="ATG5" s="390"/>
      <c r="ATH5" s="390"/>
      <c r="ATI5" s="390"/>
      <c r="ATJ5" s="390"/>
      <c r="ATK5" s="390"/>
      <c r="ATL5" s="390"/>
      <c r="ATM5" s="390"/>
      <c r="ATN5" s="390"/>
      <c r="ATO5" s="390"/>
      <c r="ATP5" s="390"/>
      <c r="ATQ5" s="390"/>
      <c r="ATR5" s="390"/>
      <c r="ATS5" s="390"/>
      <c r="ATT5" s="390"/>
      <c r="ATU5" s="390"/>
      <c r="ATV5" s="390"/>
      <c r="ATW5" s="390"/>
      <c r="ATX5" s="390"/>
      <c r="ATY5" s="390"/>
      <c r="ATZ5" s="390"/>
      <c r="AUA5" s="390"/>
      <c r="AUB5" s="390"/>
      <c r="AUC5" s="390"/>
      <c r="AUD5" s="390"/>
      <c r="AUE5" s="390"/>
      <c r="AUF5" s="390"/>
      <c r="AUG5" s="390"/>
      <c r="AUH5" s="390"/>
      <c r="AUI5" s="390"/>
      <c r="AUJ5" s="390"/>
      <c r="AUK5" s="390"/>
      <c r="AUL5" s="390"/>
      <c r="AUM5" s="390"/>
      <c r="AUN5" s="390"/>
      <c r="AUO5" s="390"/>
      <c r="AUP5" s="390"/>
      <c r="AUQ5" s="390"/>
      <c r="AUR5" s="390"/>
      <c r="AUS5" s="390"/>
      <c r="AUT5" s="390"/>
      <c r="AUU5" s="390"/>
      <c r="AUV5" s="390"/>
      <c r="AUW5" s="390"/>
      <c r="AUX5" s="390"/>
      <c r="AUY5" s="390"/>
      <c r="AUZ5" s="390"/>
      <c r="AVA5" s="390"/>
      <c r="AVB5" s="390"/>
      <c r="AVC5" s="390"/>
      <c r="AVD5" s="390"/>
      <c r="AVE5" s="390"/>
      <c r="AVF5" s="390"/>
      <c r="AVG5" s="390"/>
      <c r="AVH5" s="390"/>
      <c r="AVI5" s="390"/>
      <c r="AVJ5" s="390"/>
      <c r="AVK5" s="390"/>
      <c r="AVL5" s="390"/>
      <c r="AVM5" s="390"/>
      <c r="AVN5" s="390"/>
      <c r="AVO5" s="390"/>
      <c r="AVP5" s="390"/>
      <c r="AVQ5" s="390"/>
      <c r="AVR5" s="390"/>
      <c r="AVS5" s="390"/>
      <c r="AVT5" s="390"/>
      <c r="AVU5" s="390"/>
      <c r="AVV5" s="390"/>
      <c r="AVW5" s="390"/>
      <c r="AVX5" s="390"/>
      <c r="AVY5" s="390"/>
      <c r="AVZ5" s="390"/>
      <c r="AWA5" s="390"/>
      <c r="AWB5" s="390"/>
      <c r="AWC5" s="390"/>
      <c r="AWD5" s="390"/>
      <c r="AWE5" s="390"/>
      <c r="AWF5" s="390"/>
      <c r="AWG5" s="390"/>
      <c r="AWH5" s="390"/>
      <c r="AWI5" s="390"/>
      <c r="AWJ5" s="390"/>
      <c r="AWK5" s="390"/>
      <c r="AWL5" s="390"/>
      <c r="AWM5" s="390"/>
      <c r="AWN5" s="390"/>
      <c r="AWO5" s="390"/>
      <c r="AWP5" s="390"/>
      <c r="AWQ5" s="390"/>
      <c r="AWR5" s="390"/>
      <c r="AWS5" s="390"/>
      <c r="AWT5" s="390"/>
      <c r="AWU5" s="390"/>
      <c r="AWV5" s="390"/>
      <c r="AWW5" s="390"/>
      <c r="AWX5" s="390"/>
      <c r="AWY5" s="390"/>
      <c r="AWZ5" s="390"/>
      <c r="AXA5" s="390"/>
      <c r="AXB5" s="390"/>
      <c r="AXC5" s="390"/>
      <c r="AXD5" s="390"/>
      <c r="AXE5" s="390"/>
      <c r="AXF5" s="390"/>
      <c r="AXG5" s="390"/>
      <c r="AXH5" s="390"/>
      <c r="AXI5" s="390"/>
      <c r="AXJ5" s="390"/>
      <c r="AXK5" s="390"/>
      <c r="AXL5" s="390"/>
      <c r="AXM5" s="390"/>
      <c r="AXN5" s="390"/>
      <c r="AXO5" s="390"/>
      <c r="AXP5" s="390"/>
      <c r="AXQ5" s="390"/>
      <c r="AXR5" s="390"/>
      <c r="AXS5" s="390"/>
      <c r="AXT5" s="390"/>
      <c r="AXU5" s="390"/>
      <c r="AXV5" s="390"/>
      <c r="AXW5" s="390"/>
      <c r="AXX5" s="390"/>
      <c r="AXY5" s="390"/>
      <c r="AXZ5" s="390"/>
      <c r="AYA5" s="390"/>
      <c r="AYB5" s="390"/>
      <c r="AYC5" s="390"/>
      <c r="AYD5" s="390"/>
      <c r="AYE5" s="390"/>
      <c r="AYF5" s="390"/>
      <c r="AYG5" s="390"/>
      <c r="AYH5" s="390"/>
      <c r="AYI5" s="390"/>
      <c r="AYJ5" s="390"/>
      <c r="AYK5" s="390"/>
      <c r="AYL5" s="390"/>
      <c r="AYM5" s="390"/>
      <c r="AYN5" s="390"/>
      <c r="AYO5" s="390"/>
      <c r="AYP5" s="390"/>
      <c r="AYQ5" s="390"/>
      <c r="AYR5" s="390"/>
      <c r="AYS5" s="390"/>
      <c r="AYT5" s="390"/>
      <c r="AYU5" s="390"/>
      <c r="AYV5" s="390"/>
      <c r="AYW5" s="390"/>
      <c r="AYX5" s="390"/>
      <c r="AYY5" s="390"/>
      <c r="AYZ5" s="390"/>
      <c r="AZA5" s="390"/>
      <c r="AZB5" s="390"/>
      <c r="AZC5" s="390"/>
      <c r="AZD5" s="390"/>
      <c r="AZE5" s="390"/>
      <c r="AZF5" s="390"/>
      <c r="AZG5" s="390"/>
      <c r="AZH5" s="390"/>
      <c r="AZI5" s="390"/>
      <c r="AZJ5" s="390"/>
      <c r="AZK5" s="390"/>
      <c r="AZL5" s="390"/>
      <c r="AZM5" s="390"/>
      <c r="AZN5" s="390"/>
      <c r="AZO5" s="390"/>
      <c r="AZP5" s="390"/>
      <c r="AZQ5" s="390"/>
      <c r="AZR5" s="390"/>
      <c r="AZS5" s="390"/>
      <c r="AZT5" s="390"/>
      <c r="AZU5" s="390"/>
      <c r="AZV5" s="390"/>
      <c r="AZW5" s="390"/>
      <c r="AZX5" s="390"/>
      <c r="AZY5" s="390"/>
      <c r="AZZ5" s="390"/>
      <c r="BAA5" s="390"/>
      <c r="BAB5" s="390"/>
      <c r="BAC5" s="390"/>
      <c r="BAD5" s="390"/>
      <c r="BAE5" s="390"/>
      <c r="BAF5" s="390"/>
      <c r="BAG5" s="390"/>
      <c r="BAH5" s="390"/>
      <c r="BAI5" s="390"/>
      <c r="BAJ5" s="390"/>
      <c r="BAK5" s="390"/>
      <c r="BAL5" s="390"/>
      <c r="BAM5" s="390"/>
      <c r="BAN5" s="390"/>
      <c r="BAO5" s="390"/>
      <c r="BAP5" s="390"/>
      <c r="BAQ5" s="390"/>
      <c r="BAR5" s="390"/>
      <c r="BAS5" s="390"/>
      <c r="BAT5" s="390"/>
      <c r="BAU5" s="390"/>
      <c r="BAV5" s="390"/>
      <c r="BAW5" s="390"/>
      <c r="BAX5" s="390"/>
      <c r="BAY5" s="390"/>
      <c r="BAZ5" s="390"/>
      <c r="BBA5" s="390"/>
      <c r="BBB5" s="390"/>
      <c r="BBC5" s="390"/>
      <c r="BBD5" s="390"/>
      <c r="BBE5" s="390"/>
      <c r="BBF5" s="390"/>
      <c r="BBG5" s="390"/>
      <c r="BBH5" s="390"/>
      <c r="BBI5" s="390"/>
      <c r="BBJ5" s="390"/>
      <c r="BBK5" s="390"/>
      <c r="BBL5" s="390"/>
      <c r="BBM5" s="390"/>
      <c r="BBN5" s="390"/>
      <c r="BBO5" s="390"/>
      <c r="BBP5" s="390"/>
      <c r="BBQ5" s="390"/>
      <c r="BBR5" s="390"/>
      <c r="BBS5" s="390"/>
      <c r="BBT5" s="390"/>
      <c r="BBU5" s="390"/>
      <c r="BBV5" s="390"/>
      <c r="BBW5" s="390"/>
      <c r="BBX5" s="390"/>
      <c r="BBY5" s="390"/>
      <c r="BBZ5" s="390"/>
      <c r="BCA5" s="390"/>
      <c r="BCB5" s="390"/>
      <c r="BCC5" s="390"/>
      <c r="BCD5" s="390"/>
      <c r="BCE5" s="390"/>
      <c r="BCF5" s="390"/>
      <c r="BCG5" s="390"/>
      <c r="BCH5" s="390"/>
      <c r="BCI5" s="390"/>
      <c r="BCJ5" s="390"/>
      <c r="BCK5" s="390"/>
      <c r="BCL5" s="390"/>
      <c r="BCM5" s="390"/>
      <c r="BCN5" s="390"/>
      <c r="BCO5" s="390"/>
      <c r="BCP5" s="390"/>
      <c r="BCQ5" s="390"/>
      <c r="BCR5" s="390"/>
      <c r="BCS5" s="390"/>
      <c r="BCT5" s="390"/>
      <c r="BCU5" s="390"/>
      <c r="BCV5" s="390"/>
      <c r="BCW5" s="390"/>
      <c r="BCX5" s="390"/>
      <c r="BCY5" s="390"/>
      <c r="BCZ5" s="390"/>
      <c r="BDA5" s="390"/>
      <c r="BDB5" s="390"/>
      <c r="BDC5" s="390"/>
      <c r="BDD5" s="390"/>
      <c r="BDE5" s="390"/>
      <c r="BDF5" s="390"/>
      <c r="BDG5" s="390"/>
      <c r="BDH5" s="390"/>
      <c r="BDI5" s="390"/>
      <c r="BDJ5" s="390"/>
      <c r="BDK5" s="390"/>
      <c r="BDL5" s="390"/>
      <c r="BDM5" s="390"/>
      <c r="BDN5" s="390"/>
      <c r="BDO5" s="390"/>
      <c r="BDP5" s="390"/>
      <c r="BDQ5" s="390"/>
      <c r="BDR5" s="390"/>
      <c r="BDS5" s="390"/>
      <c r="BDT5" s="390"/>
      <c r="BDU5" s="390"/>
      <c r="BDV5" s="390"/>
      <c r="BDW5" s="390"/>
      <c r="BDX5" s="390"/>
      <c r="BDY5" s="390"/>
      <c r="BDZ5" s="390"/>
      <c r="BEA5" s="390"/>
      <c r="BEB5" s="390"/>
      <c r="BEC5" s="390"/>
      <c r="BED5" s="390"/>
      <c r="BEE5" s="390"/>
      <c r="BEF5" s="390"/>
      <c r="BEG5" s="390"/>
      <c r="BEH5" s="390"/>
      <c r="BEI5" s="390"/>
      <c r="BEJ5" s="390"/>
      <c r="BEK5" s="390"/>
      <c r="BEL5" s="390"/>
      <c r="BEM5" s="390"/>
      <c r="BEN5" s="390"/>
      <c r="BEO5" s="390"/>
      <c r="BEP5" s="390"/>
      <c r="BEQ5" s="390"/>
      <c r="BER5" s="390"/>
      <c r="BES5" s="390"/>
      <c r="BET5" s="390"/>
      <c r="BEU5" s="390"/>
      <c r="BEV5" s="390"/>
      <c r="BEW5" s="390"/>
      <c r="BEX5" s="390"/>
      <c r="BEY5" s="390"/>
      <c r="BEZ5" s="390"/>
      <c r="BFA5" s="390"/>
      <c r="BFB5" s="390"/>
      <c r="BFC5" s="390"/>
      <c r="BFD5" s="390"/>
      <c r="BFE5" s="390"/>
      <c r="BFF5" s="390"/>
      <c r="BFG5" s="390"/>
      <c r="BFH5" s="390"/>
      <c r="BFI5" s="390"/>
      <c r="BFJ5" s="390"/>
      <c r="BFK5" s="390"/>
      <c r="BFL5" s="390"/>
      <c r="BFM5" s="390"/>
      <c r="BFN5" s="390"/>
      <c r="BFO5" s="390"/>
      <c r="BFP5" s="390"/>
      <c r="BFQ5" s="390"/>
      <c r="BFR5" s="390"/>
      <c r="BFS5" s="390"/>
      <c r="BFT5" s="390"/>
      <c r="BFU5" s="390"/>
      <c r="BFV5" s="390"/>
      <c r="BFW5" s="390"/>
      <c r="BFX5" s="390"/>
      <c r="BFY5" s="390"/>
      <c r="BFZ5" s="390"/>
      <c r="BGA5" s="390"/>
      <c r="BGB5" s="390"/>
      <c r="BGC5" s="390"/>
      <c r="BGD5" s="390"/>
      <c r="BGE5" s="390"/>
      <c r="BGF5" s="390"/>
      <c r="BGG5" s="390"/>
      <c r="BGH5" s="390"/>
      <c r="BGI5" s="390"/>
      <c r="BGJ5" s="390"/>
      <c r="BGK5" s="390"/>
      <c r="BGL5" s="390"/>
      <c r="BGM5" s="390"/>
      <c r="BGN5" s="390"/>
      <c r="BGO5" s="390"/>
      <c r="BGP5" s="390"/>
      <c r="BGQ5" s="390"/>
      <c r="BGR5" s="390"/>
      <c r="BGS5" s="390"/>
      <c r="BGT5" s="390"/>
      <c r="BGU5" s="390"/>
      <c r="BGV5" s="390"/>
      <c r="BGW5" s="390"/>
      <c r="BGX5" s="390"/>
      <c r="BGY5" s="390"/>
      <c r="BGZ5" s="390"/>
      <c r="BHA5" s="390"/>
      <c r="BHB5" s="390"/>
      <c r="BHC5" s="390"/>
      <c r="BHD5" s="390"/>
      <c r="BHE5" s="390"/>
      <c r="BHF5" s="390"/>
      <c r="BHG5" s="390"/>
      <c r="BHH5" s="390"/>
      <c r="BHI5" s="390"/>
      <c r="BHJ5" s="390"/>
      <c r="BHK5" s="390"/>
      <c r="BHL5" s="390"/>
      <c r="BHM5" s="390"/>
      <c r="BHN5" s="390"/>
      <c r="BHO5" s="390"/>
      <c r="BHP5" s="390"/>
      <c r="BHQ5" s="390"/>
      <c r="BHR5" s="390"/>
      <c r="BHS5" s="390"/>
      <c r="BHT5" s="390"/>
      <c r="BHU5" s="390"/>
      <c r="BHV5" s="390"/>
      <c r="BHW5" s="390"/>
      <c r="BHX5" s="390"/>
      <c r="BHY5" s="390"/>
      <c r="BHZ5" s="390"/>
      <c r="BIA5" s="390"/>
      <c r="BIB5" s="390"/>
      <c r="BIC5" s="390"/>
      <c r="BID5" s="390"/>
      <c r="BIE5" s="390"/>
      <c r="BIF5" s="390"/>
      <c r="BIG5" s="390"/>
      <c r="BIH5" s="390"/>
      <c r="BII5" s="390"/>
      <c r="BIJ5" s="390"/>
      <c r="BIK5" s="390"/>
      <c r="BIL5" s="390"/>
      <c r="BIM5" s="390"/>
      <c r="BIN5" s="390"/>
      <c r="BIO5" s="390"/>
      <c r="BIP5" s="390"/>
      <c r="BIQ5" s="390"/>
      <c r="BIR5" s="390"/>
      <c r="BIS5" s="390"/>
      <c r="BIT5" s="390"/>
      <c r="BIU5" s="390"/>
      <c r="BIV5" s="390"/>
      <c r="BIW5" s="390"/>
      <c r="BIX5" s="390"/>
      <c r="BIY5" s="390"/>
      <c r="BIZ5" s="390"/>
      <c r="BJA5" s="390"/>
      <c r="BJB5" s="390"/>
      <c r="BJC5" s="390"/>
      <c r="BJD5" s="390"/>
      <c r="BJE5" s="390"/>
      <c r="BJF5" s="390"/>
      <c r="BJG5" s="390"/>
      <c r="BJH5" s="390"/>
      <c r="BJI5" s="390"/>
      <c r="BJJ5" s="390"/>
      <c r="BJK5" s="390"/>
      <c r="BJL5" s="390"/>
      <c r="BJM5" s="390"/>
      <c r="BJN5" s="390"/>
      <c r="BJO5" s="390"/>
      <c r="BJP5" s="390"/>
      <c r="BJQ5" s="390"/>
      <c r="BJR5" s="390"/>
      <c r="BJS5" s="390"/>
      <c r="BJT5" s="390"/>
      <c r="BJU5" s="390"/>
      <c r="BJV5" s="390"/>
      <c r="BJW5" s="390"/>
      <c r="BJX5" s="390"/>
      <c r="BJY5" s="390"/>
      <c r="BJZ5" s="390"/>
      <c r="BKA5" s="390"/>
      <c r="BKB5" s="390"/>
      <c r="BKC5" s="390"/>
      <c r="BKD5" s="390"/>
      <c r="BKE5" s="390"/>
      <c r="BKF5" s="390"/>
      <c r="BKG5" s="390"/>
      <c r="BKH5" s="390"/>
      <c r="BKI5" s="390"/>
      <c r="BKJ5" s="390"/>
      <c r="BKK5" s="390"/>
      <c r="BKL5" s="390"/>
      <c r="BKM5" s="390"/>
      <c r="BKN5" s="390"/>
      <c r="BKO5" s="390"/>
      <c r="BKP5" s="390"/>
      <c r="BKQ5" s="390"/>
      <c r="BKR5" s="390"/>
      <c r="BKS5" s="390"/>
      <c r="BKT5" s="390"/>
      <c r="BKU5" s="390"/>
      <c r="BKV5" s="390"/>
      <c r="BKW5" s="390"/>
      <c r="BKX5" s="390"/>
      <c r="BKY5" s="390"/>
      <c r="BKZ5" s="390"/>
      <c r="BLA5" s="390"/>
      <c r="BLB5" s="390"/>
      <c r="BLC5" s="390"/>
      <c r="BLD5" s="390"/>
      <c r="BLE5" s="390"/>
      <c r="BLF5" s="390"/>
      <c r="BLG5" s="390"/>
      <c r="BLH5" s="390"/>
      <c r="BLI5" s="390"/>
      <c r="BLJ5" s="390"/>
      <c r="BLK5" s="390"/>
      <c r="BLL5" s="390"/>
      <c r="BLM5" s="390"/>
      <c r="BLN5" s="390"/>
      <c r="BLO5" s="390"/>
      <c r="BLP5" s="390"/>
      <c r="BLQ5" s="390"/>
      <c r="BLR5" s="390"/>
      <c r="BLS5" s="390"/>
      <c r="BLT5" s="390"/>
      <c r="BLU5" s="390"/>
      <c r="BLV5" s="390"/>
      <c r="BLW5" s="390"/>
      <c r="BLX5" s="390"/>
      <c r="BLY5" s="390"/>
      <c r="BLZ5" s="390"/>
      <c r="BMA5" s="390"/>
      <c r="BMB5" s="390"/>
      <c r="BMC5" s="390"/>
      <c r="BMD5" s="390"/>
      <c r="BME5" s="390"/>
      <c r="BMF5" s="390"/>
      <c r="BMG5" s="390"/>
      <c r="BMH5" s="390"/>
      <c r="BMI5" s="390"/>
      <c r="BMJ5" s="390"/>
      <c r="BMK5" s="390"/>
      <c r="BML5" s="390"/>
      <c r="BMM5" s="390"/>
      <c r="BMN5" s="390"/>
      <c r="BMO5" s="390"/>
      <c r="BMP5" s="390"/>
      <c r="BMQ5" s="390"/>
      <c r="BMR5" s="390"/>
      <c r="BMS5" s="390"/>
      <c r="BMT5" s="390"/>
      <c r="BMU5" s="390"/>
      <c r="BMV5" s="390"/>
      <c r="BMW5" s="390"/>
      <c r="BMX5" s="390"/>
      <c r="BMY5" s="390"/>
      <c r="BMZ5" s="390"/>
      <c r="BNA5" s="390"/>
      <c r="BNB5" s="390"/>
      <c r="BNC5" s="390"/>
      <c r="BND5" s="390"/>
      <c r="BNE5" s="390"/>
      <c r="BNF5" s="390"/>
      <c r="BNG5" s="390"/>
      <c r="BNH5" s="390"/>
      <c r="BNI5" s="390"/>
      <c r="BNJ5" s="390"/>
      <c r="BNK5" s="390"/>
      <c r="BNL5" s="390"/>
      <c r="BNM5" s="390"/>
      <c r="BNN5" s="390"/>
      <c r="BNO5" s="390"/>
      <c r="BNP5" s="390"/>
      <c r="BNQ5" s="390"/>
      <c r="BNR5" s="390"/>
      <c r="BNS5" s="390"/>
      <c r="BNT5" s="390"/>
      <c r="BNU5" s="390"/>
      <c r="BNV5" s="390"/>
      <c r="BNW5" s="390"/>
      <c r="BNX5" s="390"/>
      <c r="BNY5" s="390"/>
      <c r="BNZ5" s="390"/>
      <c r="BOA5" s="390"/>
      <c r="BOB5" s="390"/>
      <c r="BOC5" s="390"/>
      <c r="BOD5" s="390"/>
      <c r="BOE5" s="390"/>
      <c r="BOF5" s="390"/>
      <c r="BOG5" s="390"/>
      <c r="BOH5" s="390"/>
      <c r="BOI5" s="390"/>
      <c r="BOJ5" s="390"/>
      <c r="BOK5" s="390"/>
      <c r="BOL5" s="390"/>
      <c r="BOM5" s="390"/>
      <c r="BON5" s="390"/>
      <c r="BOO5" s="390"/>
      <c r="BOP5" s="390"/>
      <c r="BOQ5" s="390"/>
      <c r="BOR5" s="390"/>
      <c r="BOS5" s="390"/>
      <c r="BOT5" s="390"/>
      <c r="BOU5" s="390"/>
      <c r="BOV5" s="390"/>
      <c r="BOW5" s="390"/>
      <c r="BOX5" s="390"/>
      <c r="BOY5" s="390"/>
      <c r="BOZ5" s="390"/>
      <c r="BPA5" s="390"/>
      <c r="BPB5" s="390"/>
      <c r="BPC5" s="390"/>
      <c r="BPD5" s="390"/>
      <c r="BPE5" s="390"/>
      <c r="BPF5" s="390"/>
      <c r="BPG5" s="390"/>
      <c r="BPH5" s="390"/>
      <c r="BPI5" s="390"/>
      <c r="BPJ5" s="390"/>
      <c r="BPK5" s="390"/>
      <c r="BPL5" s="390"/>
      <c r="BPM5" s="390"/>
      <c r="BPN5" s="390"/>
      <c r="BPO5" s="390"/>
      <c r="BPP5" s="390"/>
      <c r="BPQ5" s="390"/>
      <c r="BPR5" s="390"/>
      <c r="BPS5" s="390"/>
      <c r="BPT5" s="390"/>
      <c r="BPU5" s="390"/>
      <c r="BPV5" s="390"/>
      <c r="BPW5" s="390"/>
      <c r="BPX5" s="390"/>
      <c r="BPY5" s="390"/>
      <c r="BPZ5" s="390"/>
      <c r="BQA5" s="390"/>
      <c r="BQB5" s="390"/>
      <c r="BQC5" s="390"/>
      <c r="BQD5" s="390"/>
      <c r="BQE5" s="390"/>
      <c r="BQF5" s="390"/>
      <c r="BQG5" s="390"/>
      <c r="BQH5" s="390"/>
      <c r="BQI5" s="390"/>
      <c r="BQJ5" s="390"/>
      <c r="BQK5" s="390"/>
      <c r="BQL5" s="390"/>
      <c r="BQM5" s="390"/>
      <c r="BQN5" s="390"/>
      <c r="BQO5" s="390"/>
      <c r="BQP5" s="390"/>
      <c r="BQQ5" s="390"/>
      <c r="BQR5" s="390"/>
      <c r="BQS5" s="390"/>
      <c r="BQT5" s="390"/>
      <c r="BQU5" s="390"/>
      <c r="BQV5" s="390"/>
      <c r="BQW5" s="390"/>
      <c r="BQX5" s="390"/>
      <c r="BQY5" s="390"/>
      <c r="BQZ5" s="390"/>
      <c r="BRA5" s="390"/>
      <c r="BRB5" s="390"/>
      <c r="BRC5" s="390"/>
      <c r="BRD5" s="390"/>
      <c r="BRE5" s="390"/>
      <c r="BRF5" s="390"/>
      <c r="BRG5" s="390"/>
      <c r="BRH5" s="390"/>
      <c r="BRI5" s="390"/>
      <c r="BRJ5" s="390"/>
      <c r="BRK5" s="390"/>
      <c r="BRL5" s="390"/>
      <c r="BRM5" s="390"/>
      <c r="BRN5" s="390"/>
      <c r="BRO5" s="390"/>
      <c r="BRP5" s="390"/>
      <c r="BRQ5" s="390"/>
      <c r="BRR5" s="390"/>
      <c r="BRS5" s="390"/>
      <c r="BRT5" s="390"/>
      <c r="BRU5" s="390"/>
      <c r="BRV5" s="390"/>
      <c r="BRW5" s="390"/>
      <c r="BRX5" s="390"/>
      <c r="BRY5" s="390"/>
      <c r="BRZ5" s="390"/>
      <c r="BSA5" s="390"/>
      <c r="BSB5" s="390"/>
      <c r="BSC5" s="390"/>
      <c r="BSD5" s="390"/>
      <c r="BSE5" s="390"/>
      <c r="BSF5" s="390"/>
      <c r="BSG5" s="390"/>
      <c r="BSH5" s="390"/>
      <c r="BSI5" s="390"/>
      <c r="BSJ5" s="390"/>
      <c r="BSK5" s="390"/>
      <c r="BSL5" s="390"/>
      <c r="BSM5" s="390"/>
      <c r="BSN5" s="390"/>
      <c r="BSO5" s="390"/>
      <c r="BSP5" s="390"/>
      <c r="BSQ5" s="390"/>
      <c r="BSR5" s="390"/>
      <c r="BSS5" s="390"/>
      <c r="BST5" s="390"/>
      <c r="BSU5" s="390"/>
      <c r="BSV5" s="390"/>
      <c r="BSW5" s="390"/>
      <c r="BSX5" s="390"/>
      <c r="BSY5" s="390"/>
      <c r="BSZ5" s="390"/>
      <c r="BTA5" s="390"/>
      <c r="BTB5" s="390"/>
      <c r="BTC5" s="390"/>
      <c r="BTD5" s="390"/>
      <c r="BTE5" s="390"/>
      <c r="BTF5" s="390"/>
      <c r="BTG5" s="390"/>
      <c r="BTH5" s="390"/>
      <c r="BTI5" s="390"/>
      <c r="BTJ5" s="390"/>
      <c r="BTK5" s="390"/>
      <c r="BTL5" s="390"/>
      <c r="BTM5" s="390"/>
      <c r="BTN5" s="390"/>
      <c r="BTO5" s="390"/>
      <c r="BTP5" s="390"/>
      <c r="BTQ5" s="390"/>
      <c r="BTR5" s="390"/>
      <c r="BTS5" s="390"/>
      <c r="BTT5" s="390"/>
      <c r="BTU5" s="390"/>
      <c r="BTV5" s="390"/>
      <c r="BTW5" s="390"/>
      <c r="BTX5" s="390"/>
      <c r="BTY5" s="390"/>
      <c r="BTZ5" s="390"/>
      <c r="BUA5" s="390"/>
      <c r="BUB5" s="390"/>
      <c r="BUC5" s="390"/>
      <c r="BUD5" s="390"/>
      <c r="BUE5" s="390"/>
      <c r="BUF5" s="390"/>
      <c r="BUG5" s="390"/>
      <c r="BUH5" s="390"/>
      <c r="BUI5" s="390"/>
      <c r="BUJ5" s="390"/>
      <c r="BUK5" s="390"/>
      <c r="BUL5" s="390"/>
      <c r="BUM5" s="390"/>
      <c r="BUN5" s="390"/>
      <c r="BUO5" s="390"/>
      <c r="BUP5" s="390"/>
      <c r="BUQ5" s="390"/>
      <c r="BUR5" s="390"/>
      <c r="BUS5" s="390"/>
      <c r="BUT5" s="390"/>
      <c r="BUU5" s="390"/>
      <c r="BUV5" s="390"/>
      <c r="BUW5" s="390"/>
      <c r="BUX5" s="390"/>
      <c r="BUY5" s="390"/>
      <c r="BUZ5" s="390"/>
      <c r="BVA5" s="390"/>
      <c r="BVB5" s="390"/>
      <c r="BVC5" s="390"/>
      <c r="BVD5" s="390"/>
      <c r="BVE5" s="390"/>
      <c r="BVF5" s="390"/>
      <c r="BVG5" s="390"/>
      <c r="BVH5" s="390"/>
      <c r="BVI5" s="390"/>
      <c r="BVJ5" s="390"/>
      <c r="BVK5" s="390"/>
      <c r="BVL5" s="390"/>
      <c r="BVM5" s="390"/>
      <c r="BVN5" s="390"/>
      <c r="BVO5" s="390"/>
      <c r="BVP5" s="390"/>
      <c r="BVQ5" s="390"/>
      <c r="BVR5" s="390"/>
      <c r="BVS5" s="390"/>
      <c r="BVT5" s="390"/>
      <c r="BVU5" s="390"/>
      <c r="BVV5" s="390"/>
      <c r="BVW5" s="390"/>
      <c r="BVX5" s="390"/>
      <c r="BVY5" s="390"/>
      <c r="BVZ5" s="390"/>
      <c r="BWA5" s="390"/>
      <c r="BWB5" s="390"/>
      <c r="BWC5" s="390"/>
      <c r="BWD5" s="390"/>
      <c r="BWE5" s="390"/>
      <c r="BWF5" s="390"/>
      <c r="BWG5" s="390"/>
      <c r="BWH5" s="390"/>
      <c r="BWI5" s="390"/>
      <c r="BWJ5" s="390"/>
      <c r="BWK5" s="390"/>
      <c r="BWL5" s="390"/>
      <c r="BWM5" s="390"/>
      <c r="BWN5" s="390"/>
      <c r="BWO5" s="390"/>
      <c r="BWP5" s="390"/>
      <c r="BWQ5" s="390"/>
      <c r="BWR5" s="390"/>
      <c r="BWS5" s="390"/>
      <c r="BWT5" s="390"/>
      <c r="BWU5" s="390"/>
      <c r="BWV5" s="390"/>
      <c r="BWW5" s="390"/>
      <c r="BWX5" s="390"/>
      <c r="BWY5" s="390"/>
      <c r="BWZ5" s="390"/>
      <c r="BXA5" s="390"/>
      <c r="BXB5" s="390"/>
      <c r="BXC5" s="390"/>
      <c r="BXD5" s="390"/>
      <c r="BXE5" s="390"/>
      <c r="BXF5" s="390"/>
      <c r="BXG5" s="390"/>
      <c r="BXH5" s="390"/>
      <c r="BXI5" s="390"/>
      <c r="BXJ5" s="390"/>
      <c r="BXK5" s="390"/>
      <c r="BXL5" s="390"/>
      <c r="BXM5" s="390"/>
      <c r="BXN5" s="390"/>
      <c r="BXO5" s="390"/>
      <c r="BXP5" s="390"/>
      <c r="BXQ5" s="390"/>
      <c r="BXR5" s="390"/>
      <c r="BXS5" s="390"/>
      <c r="BXT5" s="390"/>
      <c r="BXU5" s="390"/>
      <c r="BXV5" s="390"/>
      <c r="BXW5" s="390"/>
      <c r="BXX5" s="390"/>
      <c r="BXY5" s="390"/>
      <c r="BXZ5" s="390"/>
      <c r="BYA5" s="390"/>
      <c r="BYB5" s="390"/>
      <c r="BYC5" s="390"/>
      <c r="BYD5" s="390"/>
      <c r="BYE5" s="390"/>
      <c r="BYF5" s="390"/>
      <c r="BYG5" s="390"/>
      <c r="BYH5" s="390"/>
      <c r="BYI5" s="390"/>
      <c r="BYJ5" s="390"/>
      <c r="BYK5" s="390"/>
      <c r="BYL5" s="390"/>
      <c r="BYM5" s="390"/>
      <c r="BYN5" s="390"/>
      <c r="BYO5" s="390"/>
      <c r="BYP5" s="390"/>
      <c r="BYQ5" s="390"/>
      <c r="BYR5" s="390"/>
      <c r="BYS5" s="390"/>
      <c r="BYT5" s="390"/>
      <c r="BYU5" s="390"/>
      <c r="BYV5" s="390"/>
      <c r="BYW5" s="390"/>
      <c r="BYX5" s="390"/>
      <c r="BYY5" s="390"/>
      <c r="BYZ5" s="390"/>
      <c r="BZA5" s="390"/>
      <c r="BZB5" s="390"/>
      <c r="BZC5" s="390"/>
      <c r="BZD5" s="390"/>
      <c r="BZE5" s="390"/>
      <c r="BZF5" s="390"/>
      <c r="BZG5" s="390"/>
      <c r="BZH5" s="390"/>
      <c r="BZI5" s="390"/>
      <c r="BZJ5" s="390"/>
      <c r="BZK5" s="390"/>
      <c r="BZL5" s="390"/>
      <c r="BZM5" s="390"/>
      <c r="BZN5" s="390"/>
      <c r="BZO5" s="390"/>
      <c r="BZP5" s="390"/>
      <c r="BZQ5" s="390"/>
      <c r="BZR5" s="390"/>
      <c r="BZS5" s="390"/>
      <c r="BZT5" s="390"/>
      <c r="BZU5" s="390"/>
      <c r="BZV5" s="390"/>
      <c r="BZW5" s="390"/>
      <c r="BZX5" s="390"/>
      <c r="BZY5" s="390"/>
      <c r="BZZ5" s="390"/>
      <c r="CAA5" s="390"/>
      <c r="CAB5" s="390"/>
      <c r="CAC5" s="390"/>
      <c r="CAD5" s="390"/>
      <c r="CAE5" s="390"/>
      <c r="CAF5" s="390"/>
      <c r="CAG5" s="390"/>
      <c r="CAH5" s="390"/>
      <c r="CAI5" s="390"/>
      <c r="CAJ5" s="390"/>
      <c r="CAK5" s="390"/>
      <c r="CAL5" s="390"/>
      <c r="CAM5" s="390"/>
      <c r="CAN5" s="390"/>
      <c r="CAO5" s="390"/>
      <c r="CAP5" s="390"/>
      <c r="CAQ5" s="390"/>
      <c r="CAR5" s="390"/>
      <c r="CAS5" s="390"/>
      <c r="CAT5" s="390"/>
      <c r="CAU5" s="390"/>
      <c r="CAV5" s="390"/>
      <c r="CAW5" s="390"/>
      <c r="CAX5" s="390"/>
      <c r="CAY5" s="390"/>
      <c r="CAZ5" s="390"/>
      <c r="CBA5" s="390"/>
      <c r="CBB5" s="390"/>
      <c r="CBC5" s="390"/>
      <c r="CBD5" s="390"/>
      <c r="CBE5" s="390"/>
      <c r="CBF5" s="390"/>
      <c r="CBG5" s="390"/>
      <c r="CBH5" s="390"/>
      <c r="CBI5" s="390"/>
      <c r="CBJ5" s="390"/>
      <c r="CBK5" s="390"/>
      <c r="CBL5" s="390"/>
      <c r="CBM5" s="390"/>
      <c r="CBN5" s="390"/>
      <c r="CBO5" s="390"/>
      <c r="CBP5" s="390"/>
      <c r="CBQ5" s="390"/>
      <c r="CBR5" s="390"/>
      <c r="CBS5" s="390"/>
      <c r="CBT5" s="390"/>
      <c r="CBU5" s="390"/>
      <c r="CBV5" s="390"/>
      <c r="CBW5" s="390"/>
      <c r="CBX5" s="390"/>
      <c r="CBY5" s="390"/>
      <c r="CBZ5" s="390"/>
      <c r="CCA5" s="390"/>
      <c r="CCB5" s="390"/>
      <c r="CCC5" s="390"/>
      <c r="CCD5" s="390"/>
      <c r="CCE5" s="390"/>
      <c r="CCF5" s="390"/>
      <c r="CCG5" s="390"/>
      <c r="CCH5" s="390"/>
      <c r="CCI5" s="390"/>
      <c r="CCJ5" s="390"/>
      <c r="CCK5" s="390"/>
      <c r="CCL5" s="390"/>
      <c r="CCM5" s="390"/>
      <c r="CCN5" s="390"/>
      <c r="CCO5" s="390"/>
      <c r="CCP5" s="390"/>
      <c r="CCQ5" s="390"/>
      <c r="CCR5" s="390"/>
      <c r="CCS5" s="390"/>
      <c r="CCT5" s="390"/>
      <c r="CCU5" s="390"/>
      <c r="CCV5" s="390"/>
      <c r="CCW5" s="390"/>
      <c r="CCX5" s="390"/>
      <c r="CCY5" s="390"/>
      <c r="CCZ5" s="390"/>
      <c r="CDA5" s="390"/>
      <c r="CDB5" s="390"/>
      <c r="CDC5" s="390"/>
      <c r="CDD5" s="390"/>
      <c r="CDE5" s="390"/>
      <c r="CDF5" s="390"/>
      <c r="CDG5" s="390"/>
      <c r="CDH5" s="390"/>
      <c r="CDI5" s="390"/>
      <c r="CDJ5" s="390"/>
      <c r="CDK5" s="390"/>
      <c r="CDL5" s="390"/>
      <c r="CDM5" s="390"/>
      <c r="CDN5" s="390"/>
      <c r="CDO5" s="390"/>
      <c r="CDP5" s="390"/>
      <c r="CDQ5" s="390"/>
      <c r="CDR5" s="390"/>
      <c r="CDS5" s="390"/>
      <c r="CDT5" s="390"/>
      <c r="CDU5" s="390"/>
      <c r="CDV5" s="390"/>
      <c r="CDW5" s="390"/>
      <c r="CDX5" s="390"/>
      <c r="CDY5" s="390"/>
      <c r="CDZ5" s="390"/>
      <c r="CEA5" s="390"/>
      <c r="CEB5" s="390"/>
      <c r="CEC5" s="390"/>
      <c r="CED5" s="390"/>
      <c r="CEE5" s="390"/>
      <c r="CEF5" s="390"/>
      <c r="CEG5" s="390"/>
      <c r="CEH5" s="390"/>
      <c r="CEI5" s="390"/>
      <c r="CEJ5" s="390"/>
      <c r="CEK5" s="390"/>
      <c r="CEL5" s="390"/>
      <c r="CEM5" s="390"/>
      <c r="CEN5" s="390"/>
      <c r="CEO5" s="390"/>
      <c r="CEP5" s="390"/>
      <c r="CEQ5" s="390"/>
      <c r="CER5" s="390"/>
      <c r="CES5" s="390"/>
      <c r="CET5" s="390"/>
      <c r="CEU5" s="390"/>
      <c r="CEV5" s="390"/>
      <c r="CEW5" s="390"/>
      <c r="CEX5" s="390"/>
      <c r="CEY5" s="390"/>
      <c r="CEZ5" s="390"/>
      <c r="CFA5" s="390"/>
      <c r="CFB5" s="390"/>
      <c r="CFC5" s="390"/>
      <c r="CFD5" s="390"/>
      <c r="CFE5" s="390"/>
      <c r="CFF5" s="390"/>
      <c r="CFG5" s="390"/>
      <c r="CFH5" s="390"/>
      <c r="CFI5" s="390"/>
      <c r="CFJ5" s="390"/>
      <c r="CFK5" s="390"/>
      <c r="CFL5" s="390"/>
      <c r="CFM5" s="390"/>
      <c r="CFN5" s="390"/>
      <c r="CFO5" s="390"/>
      <c r="CFP5" s="390"/>
      <c r="CFQ5" s="390"/>
      <c r="CFR5" s="390"/>
      <c r="CFS5" s="390"/>
      <c r="CFT5" s="390"/>
      <c r="CFU5" s="390"/>
      <c r="CFV5" s="390"/>
      <c r="CFW5" s="390"/>
      <c r="CFX5" s="390"/>
      <c r="CFY5" s="390"/>
      <c r="CFZ5" s="390"/>
      <c r="CGA5" s="390"/>
      <c r="CGB5" s="390"/>
      <c r="CGC5" s="390"/>
      <c r="CGD5" s="390"/>
      <c r="CGE5" s="390"/>
      <c r="CGF5" s="390"/>
      <c r="CGG5" s="390"/>
      <c r="CGH5" s="390"/>
      <c r="CGI5" s="390"/>
      <c r="CGJ5" s="390"/>
      <c r="CGK5" s="390"/>
      <c r="CGL5" s="390"/>
      <c r="CGM5" s="390"/>
      <c r="CGN5" s="390"/>
      <c r="CGO5" s="390"/>
      <c r="CGP5" s="390"/>
      <c r="CGQ5" s="390"/>
      <c r="CGR5" s="390"/>
      <c r="CGS5" s="390"/>
      <c r="CGT5" s="390"/>
      <c r="CGU5" s="390"/>
      <c r="CGV5" s="390"/>
      <c r="CGW5" s="390"/>
      <c r="CGX5" s="390"/>
      <c r="CGY5" s="390"/>
      <c r="CGZ5" s="390"/>
      <c r="CHA5" s="390"/>
      <c r="CHB5" s="390"/>
      <c r="CHC5" s="390"/>
      <c r="CHD5" s="390"/>
      <c r="CHE5" s="390"/>
      <c r="CHF5" s="390"/>
      <c r="CHG5" s="390"/>
      <c r="CHH5" s="390"/>
      <c r="CHI5" s="390"/>
      <c r="CHJ5" s="390"/>
      <c r="CHK5" s="390"/>
      <c r="CHL5" s="390"/>
      <c r="CHM5" s="390"/>
      <c r="CHN5" s="390"/>
      <c r="CHO5" s="390"/>
      <c r="CHP5" s="390"/>
      <c r="CHQ5" s="390"/>
      <c r="CHR5" s="390"/>
      <c r="CHS5" s="390"/>
      <c r="CHT5" s="390"/>
      <c r="CHU5" s="390"/>
      <c r="CHV5" s="390"/>
      <c r="CHW5" s="390"/>
      <c r="CHX5" s="390"/>
      <c r="CHY5" s="390"/>
      <c r="CHZ5" s="390"/>
      <c r="CIA5" s="390"/>
      <c r="CIB5" s="390"/>
      <c r="CIC5" s="390"/>
      <c r="CID5" s="390"/>
      <c r="CIE5" s="390"/>
      <c r="CIF5" s="390"/>
      <c r="CIG5" s="390"/>
      <c r="CIH5" s="390"/>
      <c r="CII5" s="390"/>
      <c r="CIJ5" s="390"/>
      <c r="CIK5" s="390"/>
      <c r="CIL5" s="390"/>
      <c r="CIM5" s="390"/>
      <c r="CIN5" s="390"/>
      <c r="CIO5" s="390"/>
      <c r="CIP5" s="390"/>
      <c r="CIQ5" s="390"/>
      <c r="CIR5" s="390"/>
      <c r="CIS5" s="390"/>
      <c r="CIT5" s="390"/>
      <c r="CIU5" s="390"/>
      <c r="CIV5" s="390"/>
      <c r="CIW5" s="390"/>
      <c r="CIX5" s="390"/>
      <c r="CIY5" s="390"/>
      <c r="CIZ5" s="390"/>
      <c r="CJA5" s="390"/>
      <c r="CJB5" s="390"/>
      <c r="CJC5" s="390"/>
      <c r="CJD5" s="390"/>
      <c r="CJE5" s="390"/>
      <c r="CJF5" s="390"/>
      <c r="CJG5" s="390"/>
      <c r="CJH5" s="390"/>
      <c r="CJI5" s="390"/>
      <c r="CJJ5" s="390"/>
      <c r="CJK5" s="390"/>
      <c r="CJL5" s="390"/>
      <c r="CJM5" s="390"/>
      <c r="CJN5" s="390"/>
      <c r="CJO5" s="390"/>
      <c r="CJP5" s="390"/>
      <c r="CJQ5" s="390"/>
      <c r="CJR5" s="390"/>
      <c r="CJS5" s="390"/>
      <c r="CJT5" s="390"/>
      <c r="CJU5" s="390"/>
      <c r="CJV5" s="390"/>
      <c r="CJW5" s="390"/>
      <c r="CJX5" s="390"/>
      <c r="CJY5" s="390"/>
      <c r="CJZ5" s="390"/>
      <c r="CKA5" s="390"/>
      <c r="CKB5" s="390"/>
      <c r="CKC5" s="390"/>
      <c r="CKD5" s="390"/>
      <c r="CKE5" s="390"/>
      <c r="CKF5" s="390"/>
      <c r="CKG5" s="390"/>
      <c r="CKH5" s="390"/>
      <c r="CKI5" s="390"/>
      <c r="CKJ5" s="390"/>
      <c r="CKK5" s="390"/>
      <c r="CKL5" s="390"/>
      <c r="CKM5" s="390"/>
      <c r="CKN5" s="390"/>
      <c r="CKO5" s="390"/>
      <c r="CKP5" s="390"/>
      <c r="CKQ5" s="390"/>
      <c r="CKR5" s="390"/>
      <c r="CKS5" s="390"/>
      <c r="CKT5" s="390"/>
      <c r="CKU5" s="390"/>
      <c r="CKV5" s="390"/>
      <c r="CKW5" s="390"/>
      <c r="CKX5" s="390"/>
      <c r="CKY5" s="390"/>
      <c r="CKZ5" s="390"/>
      <c r="CLA5" s="390"/>
      <c r="CLB5" s="390"/>
      <c r="CLC5" s="390"/>
      <c r="CLD5" s="390"/>
      <c r="CLE5" s="390"/>
      <c r="CLF5" s="390"/>
      <c r="CLG5" s="390"/>
      <c r="CLH5" s="390"/>
      <c r="CLI5" s="390"/>
      <c r="CLJ5" s="390"/>
      <c r="CLK5" s="390"/>
      <c r="CLL5" s="390"/>
      <c r="CLM5" s="390"/>
      <c r="CLN5" s="390"/>
      <c r="CLO5" s="390"/>
      <c r="CLP5" s="390"/>
      <c r="CLQ5" s="390"/>
      <c r="CLR5" s="390"/>
      <c r="CLS5" s="390"/>
      <c r="CLT5" s="390"/>
      <c r="CLU5" s="390"/>
      <c r="CLV5" s="390"/>
      <c r="CLW5" s="390"/>
      <c r="CLX5" s="390"/>
      <c r="CLY5" s="390"/>
      <c r="CLZ5" s="390"/>
      <c r="CMA5" s="390"/>
      <c r="CMB5" s="390"/>
      <c r="CMC5" s="390"/>
      <c r="CMD5" s="390"/>
      <c r="CME5" s="390"/>
      <c r="CMF5" s="390"/>
      <c r="CMG5" s="390"/>
      <c r="CMH5" s="390"/>
      <c r="CMI5" s="390"/>
      <c r="CMJ5" s="390"/>
      <c r="CMK5" s="390"/>
      <c r="CML5" s="390"/>
      <c r="CMM5" s="390"/>
      <c r="CMN5" s="390"/>
      <c r="CMO5" s="390"/>
      <c r="CMP5" s="390"/>
      <c r="CMQ5" s="390"/>
      <c r="CMR5" s="390"/>
      <c r="CMS5" s="390"/>
      <c r="CMT5" s="390"/>
      <c r="CMU5" s="390"/>
      <c r="CMV5" s="390"/>
      <c r="CMW5" s="390"/>
      <c r="CMX5" s="390"/>
      <c r="CMY5" s="390"/>
      <c r="CMZ5" s="390"/>
      <c r="CNA5" s="390"/>
      <c r="CNB5" s="390"/>
      <c r="CNC5" s="390"/>
      <c r="CND5" s="390"/>
      <c r="CNE5" s="390"/>
      <c r="CNF5" s="390"/>
      <c r="CNG5" s="390"/>
      <c r="CNH5" s="390"/>
      <c r="CNI5" s="390"/>
      <c r="CNJ5" s="390"/>
      <c r="CNK5" s="390"/>
      <c r="CNL5" s="390"/>
      <c r="CNM5" s="390"/>
      <c r="CNN5" s="390"/>
      <c r="CNO5" s="390"/>
      <c r="CNP5" s="390"/>
      <c r="CNQ5" s="390"/>
      <c r="CNR5" s="390"/>
      <c r="CNS5" s="390"/>
      <c r="CNT5" s="390"/>
      <c r="CNU5" s="390"/>
      <c r="CNV5" s="390"/>
      <c r="CNW5" s="390"/>
      <c r="CNX5" s="390"/>
      <c r="CNY5" s="390"/>
      <c r="CNZ5" s="390"/>
      <c r="COA5" s="390"/>
      <c r="COB5" s="390"/>
      <c r="COC5" s="390"/>
      <c r="COD5" s="390"/>
      <c r="COE5" s="390"/>
      <c r="COF5" s="390"/>
      <c r="COG5" s="390"/>
      <c r="COH5" s="390"/>
      <c r="COI5" s="390"/>
      <c r="COJ5" s="390"/>
      <c r="COK5" s="390"/>
      <c r="COL5" s="390"/>
      <c r="COM5" s="390"/>
      <c r="CON5" s="390"/>
      <c r="COO5" s="390"/>
      <c r="COP5" s="390"/>
      <c r="COQ5" s="390"/>
      <c r="COR5" s="390"/>
      <c r="COS5" s="390"/>
      <c r="COT5" s="390"/>
      <c r="COU5" s="390"/>
      <c r="COV5" s="390"/>
      <c r="COW5" s="390"/>
      <c r="COX5" s="390"/>
      <c r="COY5" s="390"/>
      <c r="COZ5" s="390"/>
      <c r="CPA5" s="390"/>
      <c r="CPB5" s="390"/>
      <c r="CPC5" s="390"/>
      <c r="CPD5" s="390"/>
      <c r="CPE5" s="390"/>
      <c r="CPF5" s="390"/>
      <c r="CPG5" s="390"/>
      <c r="CPH5" s="390"/>
      <c r="CPI5" s="390"/>
      <c r="CPJ5" s="390"/>
      <c r="CPK5" s="390"/>
      <c r="CPL5" s="390"/>
      <c r="CPM5" s="390"/>
      <c r="CPN5" s="390"/>
      <c r="CPO5" s="390"/>
      <c r="CPP5" s="390"/>
      <c r="CPQ5" s="390"/>
      <c r="CPR5" s="390"/>
      <c r="CPS5" s="390"/>
      <c r="CPT5" s="390"/>
      <c r="CPU5" s="390"/>
      <c r="CPV5" s="390"/>
      <c r="CPW5" s="390"/>
      <c r="CPX5" s="390"/>
      <c r="CPY5" s="390"/>
      <c r="CPZ5" s="390"/>
      <c r="CQA5" s="390"/>
      <c r="CQB5" s="390"/>
      <c r="CQC5" s="390"/>
      <c r="CQD5" s="390"/>
      <c r="CQE5" s="390"/>
      <c r="CQF5" s="390"/>
      <c r="CQG5" s="390"/>
      <c r="CQH5" s="390"/>
      <c r="CQI5" s="390"/>
      <c r="CQJ5" s="390"/>
      <c r="CQK5" s="390"/>
      <c r="CQL5" s="390"/>
      <c r="CQM5" s="390"/>
      <c r="CQN5" s="390"/>
      <c r="CQO5" s="390"/>
      <c r="CQP5" s="390"/>
      <c r="CQQ5" s="390"/>
      <c r="CQR5" s="390"/>
      <c r="CQS5" s="390"/>
      <c r="CQT5" s="390"/>
      <c r="CQU5" s="390"/>
      <c r="CQV5" s="390"/>
      <c r="CQW5" s="390"/>
      <c r="CQX5" s="390"/>
      <c r="CQY5" s="390"/>
      <c r="CQZ5" s="390"/>
      <c r="CRA5" s="390"/>
      <c r="CRB5" s="390"/>
      <c r="CRC5" s="390"/>
      <c r="CRD5" s="390"/>
      <c r="CRE5" s="390"/>
      <c r="CRF5" s="390"/>
      <c r="CRG5" s="390"/>
      <c r="CRH5" s="390"/>
      <c r="CRI5" s="390"/>
      <c r="CRJ5" s="390"/>
      <c r="CRK5" s="390"/>
      <c r="CRL5" s="390"/>
      <c r="CRM5" s="390"/>
      <c r="CRN5" s="390"/>
      <c r="CRO5" s="390"/>
      <c r="CRP5" s="390"/>
      <c r="CRQ5" s="390"/>
      <c r="CRR5" s="390"/>
      <c r="CRS5" s="390"/>
      <c r="CRT5" s="390"/>
      <c r="CRU5" s="390"/>
      <c r="CRV5" s="390"/>
      <c r="CRW5" s="390"/>
      <c r="CRX5" s="390"/>
      <c r="CRY5" s="390"/>
      <c r="CRZ5" s="390"/>
      <c r="CSA5" s="390"/>
      <c r="CSB5" s="390"/>
      <c r="CSC5" s="390"/>
      <c r="CSD5" s="390"/>
      <c r="CSE5" s="390"/>
      <c r="CSF5" s="390"/>
      <c r="CSG5" s="390"/>
      <c r="CSH5" s="390"/>
      <c r="CSI5" s="390"/>
      <c r="CSJ5" s="390"/>
      <c r="CSK5" s="390"/>
      <c r="CSL5" s="390"/>
      <c r="CSM5" s="390"/>
      <c r="CSN5" s="390"/>
      <c r="CSO5" s="390"/>
      <c r="CSP5" s="390"/>
      <c r="CSQ5" s="390"/>
      <c r="CSR5" s="390"/>
      <c r="CSS5" s="390"/>
      <c r="CST5" s="390"/>
      <c r="CSU5" s="390"/>
      <c r="CSV5" s="390"/>
      <c r="CSW5" s="390"/>
      <c r="CSX5" s="390"/>
      <c r="CSY5" s="390"/>
      <c r="CSZ5" s="390"/>
      <c r="CTA5" s="390"/>
      <c r="CTB5" s="390"/>
      <c r="CTC5" s="390"/>
      <c r="CTD5" s="390"/>
      <c r="CTE5" s="390"/>
      <c r="CTF5" s="390"/>
      <c r="CTG5" s="390"/>
      <c r="CTH5" s="390"/>
      <c r="CTI5" s="390"/>
      <c r="CTJ5" s="390"/>
      <c r="CTK5" s="390"/>
      <c r="CTL5" s="390"/>
      <c r="CTM5" s="390"/>
      <c r="CTN5" s="390"/>
      <c r="CTO5" s="390"/>
      <c r="CTP5" s="390"/>
      <c r="CTQ5" s="390"/>
      <c r="CTR5" s="390"/>
      <c r="CTS5" s="390"/>
      <c r="CTT5" s="390"/>
      <c r="CTU5" s="390"/>
      <c r="CTV5" s="390"/>
      <c r="CTW5" s="390"/>
      <c r="CTX5" s="390"/>
      <c r="CTY5" s="390"/>
      <c r="CTZ5" s="390"/>
      <c r="CUA5" s="390"/>
      <c r="CUB5" s="390"/>
      <c r="CUC5" s="390"/>
      <c r="CUD5" s="390"/>
      <c r="CUE5" s="390"/>
      <c r="CUF5" s="390"/>
      <c r="CUG5" s="390"/>
      <c r="CUH5" s="390"/>
      <c r="CUI5" s="390"/>
      <c r="CUJ5" s="390"/>
      <c r="CUK5" s="390"/>
      <c r="CUL5" s="390"/>
      <c r="CUM5" s="390"/>
      <c r="CUN5" s="390"/>
      <c r="CUO5" s="390"/>
      <c r="CUP5" s="390"/>
      <c r="CUQ5" s="390"/>
      <c r="CUR5" s="390"/>
      <c r="CUS5" s="390"/>
      <c r="CUT5" s="390"/>
      <c r="CUU5" s="390"/>
      <c r="CUV5" s="390"/>
      <c r="CUW5" s="390"/>
      <c r="CUX5" s="390"/>
      <c r="CUY5" s="390"/>
      <c r="CUZ5" s="390"/>
      <c r="CVA5" s="390"/>
      <c r="CVB5" s="390"/>
      <c r="CVC5" s="390"/>
      <c r="CVD5" s="390"/>
      <c r="CVE5" s="390"/>
      <c r="CVF5" s="390"/>
      <c r="CVG5" s="390"/>
      <c r="CVH5" s="390"/>
      <c r="CVI5" s="390"/>
      <c r="CVJ5" s="390"/>
      <c r="CVK5" s="390"/>
      <c r="CVL5" s="390"/>
      <c r="CVM5" s="390"/>
      <c r="CVN5" s="390"/>
      <c r="CVO5" s="390"/>
      <c r="CVP5" s="390"/>
      <c r="CVQ5" s="390"/>
      <c r="CVR5" s="390"/>
      <c r="CVS5" s="390"/>
      <c r="CVT5" s="390"/>
      <c r="CVU5" s="390"/>
      <c r="CVV5" s="390"/>
      <c r="CVW5" s="390"/>
      <c r="CVX5" s="390"/>
      <c r="CVY5" s="390"/>
      <c r="CVZ5" s="390"/>
      <c r="CWA5" s="390"/>
      <c r="CWB5" s="390"/>
      <c r="CWC5" s="390"/>
      <c r="CWD5" s="390"/>
      <c r="CWE5" s="390"/>
      <c r="CWF5" s="390"/>
      <c r="CWG5" s="390"/>
      <c r="CWH5" s="390"/>
      <c r="CWI5" s="390"/>
      <c r="CWJ5" s="390"/>
      <c r="CWK5" s="390"/>
      <c r="CWL5" s="390"/>
      <c r="CWM5" s="390"/>
      <c r="CWN5" s="390"/>
      <c r="CWO5" s="390"/>
      <c r="CWP5" s="390"/>
      <c r="CWQ5" s="390"/>
      <c r="CWR5" s="390"/>
      <c r="CWS5" s="390"/>
      <c r="CWT5" s="390"/>
      <c r="CWU5" s="390"/>
      <c r="CWV5" s="390"/>
      <c r="CWW5" s="390"/>
      <c r="CWX5" s="390"/>
      <c r="CWY5" s="390"/>
      <c r="CWZ5" s="390"/>
      <c r="CXA5" s="390"/>
      <c r="CXB5" s="390"/>
      <c r="CXC5" s="390"/>
      <c r="CXD5" s="390"/>
      <c r="CXE5" s="390"/>
      <c r="CXF5" s="390"/>
      <c r="CXG5" s="390"/>
      <c r="CXH5" s="390"/>
      <c r="CXI5" s="390"/>
      <c r="CXJ5" s="390"/>
      <c r="CXK5" s="390"/>
      <c r="CXL5" s="390"/>
      <c r="CXM5" s="390"/>
      <c r="CXN5" s="390"/>
      <c r="CXO5" s="390"/>
      <c r="CXP5" s="390"/>
      <c r="CXQ5" s="390"/>
      <c r="CXR5" s="390"/>
      <c r="CXS5" s="390"/>
      <c r="CXT5" s="390"/>
      <c r="CXU5" s="390"/>
      <c r="CXV5" s="390"/>
      <c r="CXW5" s="390"/>
      <c r="CXX5" s="390"/>
      <c r="CXY5" s="390"/>
      <c r="CXZ5" s="390"/>
      <c r="CYA5" s="390"/>
      <c r="CYB5" s="390"/>
      <c r="CYC5" s="390"/>
      <c r="CYD5" s="390"/>
      <c r="CYE5" s="390"/>
      <c r="CYF5" s="390"/>
      <c r="CYG5" s="390"/>
      <c r="CYH5" s="390"/>
      <c r="CYI5" s="390"/>
      <c r="CYJ5" s="390"/>
      <c r="CYK5" s="390"/>
      <c r="CYL5" s="390"/>
      <c r="CYM5" s="390"/>
      <c r="CYN5" s="390"/>
      <c r="CYO5" s="390"/>
      <c r="CYP5" s="390"/>
      <c r="CYQ5" s="390"/>
      <c r="CYR5" s="390"/>
      <c r="CYS5" s="390"/>
      <c r="CYT5" s="390"/>
      <c r="CYU5" s="390"/>
      <c r="CYV5" s="390"/>
      <c r="CYW5" s="390"/>
      <c r="CYX5" s="390"/>
      <c r="CYY5" s="390"/>
      <c r="CYZ5" s="390"/>
      <c r="CZA5" s="390"/>
      <c r="CZB5" s="390"/>
      <c r="CZC5" s="390"/>
      <c r="CZD5" s="390"/>
      <c r="CZE5" s="390"/>
      <c r="CZF5" s="390"/>
      <c r="CZG5" s="390"/>
      <c r="CZH5" s="390"/>
      <c r="CZI5" s="390"/>
      <c r="CZJ5" s="390"/>
      <c r="CZK5" s="390"/>
      <c r="CZL5" s="390"/>
      <c r="CZM5" s="390"/>
      <c r="CZN5" s="390"/>
      <c r="CZO5" s="390"/>
      <c r="CZP5" s="390"/>
      <c r="CZQ5" s="390"/>
      <c r="CZR5" s="390"/>
      <c r="CZS5" s="390"/>
      <c r="CZT5" s="390"/>
      <c r="CZU5" s="390"/>
      <c r="CZV5" s="390"/>
      <c r="CZW5" s="390"/>
      <c r="CZX5" s="390"/>
      <c r="CZY5" s="390"/>
      <c r="CZZ5" s="390"/>
      <c r="DAA5" s="390"/>
      <c r="DAB5" s="390"/>
      <c r="DAC5" s="390"/>
      <c r="DAD5" s="390"/>
      <c r="DAE5" s="390"/>
      <c r="DAF5" s="390"/>
      <c r="DAG5" s="390"/>
      <c r="DAH5" s="390"/>
      <c r="DAI5" s="390"/>
      <c r="DAJ5" s="390"/>
      <c r="DAK5" s="390"/>
      <c r="DAL5" s="390"/>
      <c r="DAM5" s="390"/>
      <c r="DAN5" s="390"/>
      <c r="DAO5" s="390"/>
      <c r="DAP5" s="390"/>
      <c r="DAQ5" s="390"/>
      <c r="DAR5" s="390"/>
      <c r="DAS5" s="390"/>
      <c r="DAT5" s="390"/>
      <c r="DAU5" s="390"/>
      <c r="DAV5" s="390"/>
      <c r="DAW5" s="390"/>
      <c r="DAX5" s="390"/>
      <c r="DAY5" s="390"/>
      <c r="DAZ5" s="390"/>
      <c r="DBA5" s="390"/>
      <c r="DBB5" s="390"/>
      <c r="DBC5" s="390"/>
      <c r="DBD5" s="390"/>
      <c r="DBE5" s="390"/>
      <c r="DBF5" s="390"/>
      <c r="DBG5" s="390"/>
      <c r="DBH5" s="390"/>
      <c r="DBI5" s="390"/>
      <c r="DBJ5" s="390"/>
      <c r="DBK5" s="390"/>
      <c r="DBL5" s="390"/>
      <c r="DBM5" s="390"/>
      <c r="DBN5" s="390"/>
      <c r="DBO5" s="390"/>
      <c r="DBP5" s="390"/>
      <c r="DBQ5" s="390"/>
      <c r="DBR5" s="390"/>
      <c r="DBS5" s="390"/>
      <c r="DBT5" s="390"/>
      <c r="DBU5" s="390"/>
      <c r="DBV5" s="390"/>
      <c r="DBW5" s="390"/>
      <c r="DBX5" s="390"/>
      <c r="DBY5" s="390"/>
      <c r="DBZ5" s="390"/>
      <c r="DCA5" s="390"/>
      <c r="DCB5" s="390"/>
      <c r="DCC5" s="390"/>
      <c r="DCD5" s="390"/>
      <c r="DCE5" s="390"/>
      <c r="DCF5" s="390"/>
      <c r="DCG5" s="390"/>
      <c r="DCH5" s="390"/>
      <c r="DCI5" s="390"/>
      <c r="DCJ5" s="390"/>
      <c r="DCK5" s="390"/>
      <c r="DCL5" s="390"/>
      <c r="DCM5" s="390"/>
      <c r="DCN5" s="390"/>
      <c r="DCO5" s="390"/>
      <c r="DCP5" s="390"/>
      <c r="DCQ5" s="390"/>
      <c r="DCR5" s="390"/>
      <c r="DCS5" s="390"/>
      <c r="DCT5" s="390"/>
      <c r="DCU5" s="390"/>
      <c r="DCV5" s="390"/>
      <c r="DCW5" s="390"/>
      <c r="DCX5" s="390"/>
      <c r="DCY5" s="390"/>
      <c r="DCZ5" s="390"/>
      <c r="DDA5" s="390"/>
      <c r="DDB5" s="390"/>
      <c r="DDC5" s="390"/>
      <c r="DDD5" s="390"/>
      <c r="DDE5" s="390"/>
      <c r="DDF5" s="390"/>
      <c r="DDG5" s="390"/>
      <c r="DDH5" s="390"/>
      <c r="DDI5" s="390"/>
      <c r="DDJ5" s="390"/>
      <c r="DDK5" s="390"/>
      <c r="DDL5" s="390"/>
      <c r="DDM5" s="390"/>
      <c r="DDN5" s="390"/>
      <c r="DDO5" s="390"/>
      <c r="DDP5" s="390"/>
      <c r="DDQ5" s="390"/>
      <c r="DDR5" s="390"/>
      <c r="DDS5" s="390"/>
      <c r="DDT5" s="390"/>
      <c r="DDU5" s="390"/>
      <c r="DDV5" s="390"/>
      <c r="DDW5" s="390"/>
      <c r="DDX5" s="390"/>
      <c r="DDY5" s="390"/>
      <c r="DDZ5" s="390"/>
      <c r="DEA5" s="390"/>
      <c r="DEB5" s="390"/>
      <c r="DEC5" s="390"/>
      <c r="DED5" s="390"/>
      <c r="DEE5" s="390"/>
      <c r="DEF5" s="390"/>
      <c r="DEG5" s="390"/>
      <c r="DEH5" s="390"/>
      <c r="DEI5" s="390"/>
      <c r="DEJ5" s="390"/>
      <c r="DEK5" s="390"/>
      <c r="DEL5" s="390"/>
      <c r="DEM5" s="390"/>
      <c r="DEN5" s="390"/>
      <c r="DEO5" s="390"/>
      <c r="DEP5" s="390"/>
      <c r="DEQ5" s="390"/>
      <c r="DER5" s="390"/>
      <c r="DES5" s="390"/>
      <c r="DET5" s="390"/>
      <c r="DEU5" s="390"/>
      <c r="DEV5" s="390"/>
      <c r="DEW5" s="390"/>
      <c r="DEX5" s="390"/>
      <c r="DEY5" s="390"/>
      <c r="DEZ5" s="390"/>
      <c r="DFA5" s="390"/>
      <c r="DFB5" s="390"/>
      <c r="DFC5" s="390"/>
      <c r="DFD5" s="390"/>
      <c r="DFE5" s="390"/>
      <c r="DFF5" s="390"/>
      <c r="DFG5" s="390"/>
      <c r="DFH5" s="390"/>
      <c r="DFI5" s="390"/>
      <c r="DFJ5" s="390"/>
      <c r="DFK5" s="390"/>
      <c r="DFL5" s="390"/>
      <c r="DFM5" s="390"/>
      <c r="DFN5" s="390"/>
      <c r="DFO5" s="390"/>
      <c r="DFP5" s="390"/>
      <c r="DFQ5" s="390"/>
      <c r="DFR5" s="390"/>
      <c r="DFS5" s="390"/>
      <c r="DFT5" s="390"/>
      <c r="DFU5" s="390"/>
      <c r="DFV5" s="390"/>
      <c r="DFW5" s="390"/>
      <c r="DFX5" s="390"/>
      <c r="DFY5" s="390"/>
      <c r="DFZ5" s="390"/>
      <c r="DGA5" s="390"/>
      <c r="DGB5" s="390"/>
      <c r="DGC5" s="390"/>
      <c r="DGD5" s="390"/>
      <c r="DGE5" s="390"/>
      <c r="DGF5" s="390"/>
      <c r="DGG5" s="390"/>
      <c r="DGH5" s="390"/>
      <c r="DGI5" s="390"/>
      <c r="DGJ5" s="390"/>
      <c r="DGK5" s="390"/>
      <c r="DGL5" s="390"/>
      <c r="DGM5" s="390"/>
      <c r="DGN5" s="390"/>
      <c r="DGO5" s="390"/>
      <c r="DGP5" s="390"/>
      <c r="DGQ5" s="390"/>
      <c r="DGR5" s="390"/>
      <c r="DGS5" s="390"/>
      <c r="DGT5" s="390"/>
      <c r="DGU5" s="390"/>
      <c r="DGV5" s="390"/>
      <c r="DGW5" s="390"/>
      <c r="DGX5" s="390"/>
      <c r="DGY5" s="390"/>
      <c r="DGZ5" s="390"/>
      <c r="DHA5" s="390"/>
      <c r="DHB5" s="390"/>
      <c r="DHC5" s="390"/>
      <c r="DHD5" s="390"/>
      <c r="DHE5" s="390"/>
      <c r="DHF5" s="390"/>
      <c r="DHG5" s="390"/>
      <c r="DHH5" s="390"/>
      <c r="DHI5" s="390"/>
      <c r="DHJ5" s="390"/>
      <c r="DHK5" s="390"/>
      <c r="DHL5" s="390"/>
      <c r="DHM5" s="390"/>
      <c r="DHN5" s="390"/>
      <c r="DHO5" s="390"/>
      <c r="DHP5" s="390"/>
      <c r="DHQ5" s="390"/>
      <c r="DHR5" s="390"/>
      <c r="DHS5" s="390"/>
      <c r="DHT5" s="390"/>
      <c r="DHU5" s="390"/>
      <c r="DHV5" s="390"/>
      <c r="DHW5" s="390"/>
      <c r="DHX5" s="390"/>
      <c r="DHY5" s="390"/>
      <c r="DHZ5" s="390"/>
      <c r="DIA5" s="390"/>
      <c r="DIB5" s="390"/>
      <c r="DIC5" s="390"/>
      <c r="DID5" s="390"/>
      <c r="DIE5" s="390"/>
      <c r="DIF5" s="390"/>
      <c r="DIG5" s="390"/>
      <c r="DIH5" s="390"/>
      <c r="DII5" s="390"/>
      <c r="DIJ5" s="390"/>
      <c r="DIK5" s="390"/>
      <c r="DIL5" s="390"/>
      <c r="DIM5" s="390"/>
      <c r="DIN5" s="390"/>
      <c r="DIO5" s="390"/>
      <c r="DIP5" s="390"/>
      <c r="DIQ5" s="390"/>
      <c r="DIR5" s="390"/>
      <c r="DIS5" s="390"/>
      <c r="DIT5" s="390"/>
      <c r="DIU5" s="390"/>
      <c r="DIV5" s="390"/>
      <c r="DIW5" s="390"/>
      <c r="DIX5" s="390"/>
      <c r="DIY5" s="390"/>
      <c r="DIZ5" s="390"/>
      <c r="DJA5" s="390"/>
      <c r="DJB5" s="390"/>
      <c r="DJC5" s="390"/>
      <c r="DJD5" s="390"/>
      <c r="DJE5" s="390"/>
      <c r="DJF5" s="390"/>
      <c r="DJG5" s="390"/>
      <c r="DJH5" s="390"/>
      <c r="DJI5" s="390"/>
      <c r="DJJ5" s="390"/>
      <c r="DJK5" s="390"/>
      <c r="DJL5" s="390"/>
      <c r="DJM5" s="390"/>
      <c r="DJN5" s="390"/>
      <c r="DJO5" s="390"/>
      <c r="DJP5" s="390"/>
      <c r="DJQ5" s="390"/>
      <c r="DJR5" s="390"/>
      <c r="DJS5" s="390"/>
      <c r="DJT5" s="390"/>
      <c r="DJU5" s="390"/>
      <c r="DJV5" s="390"/>
      <c r="DJW5" s="390"/>
      <c r="DJX5" s="390"/>
      <c r="DJY5" s="390"/>
      <c r="DJZ5" s="390"/>
      <c r="DKA5" s="390"/>
      <c r="DKB5" s="390"/>
      <c r="DKC5" s="390"/>
      <c r="DKD5" s="390"/>
      <c r="DKE5" s="390"/>
      <c r="DKF5" s="390"/>
      <c r="DKG5" s="390"/>
      <c r="DKH5" s="390"/>
      <c r="DKI5" s="390"/>
      <c r="DKJ5" s="390"/>
      <c r="DKK5" s="390"/>
      <c r="DKL5" s="390"/>
      <c r="DKM5" s="390"/>
      <c r="DKN5" s="390"/>
      <c r="DKO5" s="390"/>
      <c r="DKP5" s="390"/>
      <c r="DKQ5" s="390"/>
      <c r="DKR5" s="390"/>
      <c r="DKS5" s="390"/>
      <c r="DKT5" s="390"/>
      <c r="DKU5" s="390"/>
      <c r="DKV5" s="390"/>
      <c r="DKW5" s="390"/>
      <c r="DKX5" s="390"/>
      <c r="DKY5" s="390"/>
      <c r="DKZ5" s="390"/>
      <c r="DLA5" s="390"/>
      <c r="DLB5" s="390"/>
      <c r="DLC5" s="390"/>
      <c r="DLD5" s="390"/>
      <c r="DLE5" s="390"/>
      <c r="DLF5" s="390"/>
      <c r="DLG5" s="390"/>
      <c r="DLH5" s="390"/>
      <c r="DLI5" s="390"/>
      <c r="DLJ5" s="390"/>
      <c r="DLK5" s="390"/>
      <c r="DLL5" s="390"/>
      <c r="DLM5" s="390"/>
      <c r="DLN5" s="390"/>
      <c r="DLO5" s="390"/>
      <c r="DLP5" s="390"/>
      <c r="DLQ5" s="390"/>
      <c r="DLR5" s="390"/>
      <c r="DLS5" s="390"/>
      <c r="DLT5" s="390"/>
      <c r="DLU5" s="390"/>
      <c r="DLV5" s="390"/>
      <c r="DLW5" s="390"/>
      <c r="DLX5" s="390"/>
      <c r="DLY5" s="390"/>
      <c r="DLZ5" s="390"/>
      <c r="DMA5" s="390"/>
      <c r="DMB5" s="390"/>
      <c r="DMC5" s="390"/>
      <c r="DMD5" s="390"/>
      <c r="DME5" s="390"/>
      <c r="DMF5" s="390"/>
      <c r="DMG5" s="390"/>
      <c r="DMH5" s="390"/>
      <c r="DMI5" s="390"/>
      <c r="DMJ5" s="390"/>
      <c r="DMK5" s="390"/>
      <c r="DML5" s="390"/>
      <c r="DMM5" s="390"/>
      <c r="DMN5" s="390"/>
      <c r="DMO5" s="390"/>
      <c r="DMP5" s="390"/>
      <c r="DMQ5" s="390"/>
      <c r="DMR5" s="390"/>
      <c r="DMS5" s="390"/>
      <c r="DMT5" s="390"/>
      <c r="DMU5" s="390"/>
      <c r="DMV5" s="390"/>
      <c r="DMW5" s="390"/>
      <c r="DMX5" s="390"/>
      <c r="DMY5" s="390"/>
      <c r="DMZ5" s="390"/>
      <c r="DNA5" s="390"/>
      <c r="DNB5" s="390"/>
      <c r="DNC5" s="390"/>
      <c r="DND5" s="390"/>
      <c r="DNE5" s="390"/>
      <c r="DNF5" s="390"/>
      <c r="DNG5" s="390"/>
      <c r="DNH5" s="390"/>
      <c r="DNI5" s="390"/>
      <c r="DNJ5" s="390"/>
      <c r="DNK5" s="390"/>
      <c r="DNL5" s="390"/>
      <c r="DNM5" s="390"/>
      <c r="DNN5" s="390"/>
      <c r="DNO5" s="390"/>
      <c r="DNP5" s="390"/>
      <c r="DNQ5" s="390"/>
      <c r="DNR5" s="390"/>
      <c r="DNS5" s="390"/>
      <c r="DNT5" s="390"/>
      <c r="DNU5" s="390"/>
      <c r="DNV5" s="390"/>
      <c r="DNW5" s="390"/>
      <c r="DNX5" s="390"/>
      <c r="DNY5" s="390"/>
      <c r="DNZ5" s="390"/>
      <c r="DOA5" s="390"/>
      <c r="DOB5" s="390"/>
      <c r="DOC5" s="390"/>
      <c r="DOD5" s="390"/>
      <c r="DOE5" s="390"/>
      <c r="DOF5" s="390"/>
      <c r="DOG5" s="390"/>
      <c r="DOH5" s="390"/>
      <c r="DOI5" s="390"/>
      <c r="DOJ5" s="390"/>
      <c r="DOK5" s="390"/>
      <c r="DOL5" s="390"/>
      <c r="DOM5" s="390"/>
      <c r="DON5" s="390"/>
      <c r="DOO5" s="390"/>
      <c r="DOP5" s="390"/>
      <c r="DOQ5" s="390"/>
      <c r="DOR5" s="390"/>
      <c r="DOS5" s="390"/>
      <c r="DOT5" s="390"/>
      <c r="DOU5" s="390"/>
      <c r="DOV5" s="390"/>
      <c r="DOW5" s="390"/>
      <c r="DOX5" s="390"/>
      <c r="DOY5" s="390"/>
      <c r="DOZ5" s="390"/>
      <c r="DPA5" s="390"/>
      <c r="DPB5" s="390"/>
      <c r="DPC5" s="390"/>
      <c r="DPD5" s="390"/>
      <c r="DPE5" s="390"/>
      <c r="DPF5" s="390"/>
      <c r="DPG5" s="390"/>
      <c r="DPH5" s="390"/>
      <c r="DPI5" s="390"/>
      <c r="DPJ5" s="390"/>
      <c r="DPK5" s="390"/>
      <c r="DPL5" s="390"/>
      <c r="DPM5" s="390"/>
      <c r="DPN5" s="390"/>
      <c r="DPO5" s="390"/>
      <c r="DPP5" s="390"/>
      <c r="DPQ5" s="390"/>
      <c r="DPR5" s="390"/>
      <c r="DPS5" s="390"/>
      <c r="DPT5" s="390"/>
      <c r="DPU5" s="390"/>
      <c r="DPV5" s="390"/>
      <c r="DPW5" s="390"/>
      <c r="DPX5" s="390"/>
      <c r="DPY5" s="390"/>
      <c r="DPZ5" s="390"/>
      <c r="DQA5" s="390"/>
      <c r="DQB5" s="390"/>
      <c r="DQC5" s="390"/>
      <c r="DQD5" s="390"/>
      <c r="DQE5" s="390"/>
      <c r="DQF5" s="390"/>
      <c r="DQG5" s="390"/>
      <c r="DQH5" s="390"/>
      <c r="DQI5" s="390"/>
      <c r="DQJ5" s="390"/>
      <c r="DQK5" s="390"/>
      <c r="DQL5" s="390"/>
      <c r="DQM5" s="390"/>
      <c r="DQN5" s="390"/>
      <c r="DQO5" s="390"/>
      <c r="DQP5" s="390"/>
      <c r="DQQ5" s="390"/>
      <c r="DQR5" s="390"/>
      <c r="DQS5" s="390"/>
      <c r="DQT5" s="390"/>
      <c r="DQU5" s="390"/>
      <c r="DQV5" s="390"/>
      <c r="DQW5" s="390"/>
      <c r="DQX5" s="390"/>
      <c r="DQY5" s="390"/>
      <c r="DQZ5" s="390"/>
      <c r="DRA5" s="390"/>
      <c r="DRB5" s="390"/>
      <c r="DRC5" s="390"/>
      <c r="DRD5" s="390"/>
      <c r="DRE5" s="390"/>
      <c r="DRF5" s="390"/>
      <c r="DRG5" s="390"/>
      <c r="DRH5" s="390"/>
      <c r="DRI5" s="390"/>
      <c r="DRJ5" s="390"/>
      <c r="DRK5" s="390"/>
      <c r="DRL5" s="390"/>
      <c r="DRM5" s="390"/>
      <c r="DRN5" s="390"/>
      <c r="DRO5" s="390"/>
      <c r="DRP5" s="390"/>
      <c r="DRQ5" s="390"/>
      <c r="DRR5" s="390"/>
      <c r="DRS5" s="390"/>
      <c r="DRT5" s="390"/>
      <c r="DRU5" s="390"/>
      <c r="DRV5" s="390"/>
      <c r="DRW5" s="390"/>
      <c r="DRX5" s="390"/>
      <c r="DRY5" s="390"/>
      <c r="DRZ5" s="390"/>
      <c r="DSA5" s="390"/>
      <c r="DSB5" s="390"/>
      <c r="DSC5" s="390"/>
      <c r="DSD5" s="390"/>
      <c r="DSE5" s="390"/>
      <c r="DSF5" s="390"/>
      <c r="DSG5" s="390"/>
      <c r="DSH5" s="390"/>
      <c r="DSI5" s="390"/>
      <c r="DSJ5" s="390"/>
      <c r="DSK5" s="390"/>
      <c r="DSL5" s="390"/>
      <c r="DSM5" s="390"/>
      <c r="DSN5" s="390"/>
      <c r="DSO5" s="390"/>
      <c r="DSP5" s="390"/>
      <c r="DSQ5" s="390"/>
      <c r="DSR5" s="390"/>
      <c r="DSS5" s="390"/>
      <c r="DST5" s="390"/>
      <c r="DSU5" s="390"/>
      <c r="DSV5" s="390"/>
      <c r="DSW5" s="390"/>
      <c r="DSX5" s="390"/>
      <c r="DSY5" s="390"/>
      <c r="DSZ5" s="390"/>
      <c r="DTA5" s="390"/>
      <c r="DTB5" s="390"/>
      <c r="DTC5" s="390"/>
      <c r="DTD5" s="390"/>
      <c r="DTE5" s="390"/>
      <c r="DTF5" s="390"/>
      <c r="DTG5" s="390"/>
      <c r="DTH5" s="390"/>
      <c r="DTI5" s="390"/>
      <c r="DTJ5" s="390"/>
      <c r="DTK5" s="390"/>
      <c r="DTL5" s="390"/>
      <c r="DTM5" s="390"/>
      <c r="DTN5" s="390"/>
      <c r="DTO5" s="390"/>
      <c r="DTP5" s="390"/>
      <c r="DTQ5" s="390"/>
      <c r="DTR5" s="390"/>
      <c r="DTS5" s="390"/>
      <c r="DTT5" s="390"/>
      <c r="DTU5" s="390"/>
      <c r="DTV5" s="390"/>
      <c r="DTW5" s="390"/>
      <c r="DTX5" s="390"/>
      <c r="DTY5" s="390"/>
      <c r="DTZ5" s="390"/>
      <c r="DUA5" s="390"/>
      <c r="DUB5" s="390"/>
      <c r="DUC5" s="390"/>
      <c r="DUD5" s="390"/>
      <c r="DUE5" s="390"/>
      <c r="DUF5" s="390"/>
      <c r="DUG5" s="390"/>
      <c r="DUH5" s="390"/>
      <c r="DUI5" s="390"/>
      <c r="DUJ5" s="390"/>
      <c r="DUK5" s="390"/>
      <c r="DUL5" s="390"/>
      <c r="DUM5" s="390"/>
      <c r="DUN5" s="390"/>
      <c r="DUO5" s="390"/>
      <c r="DUP5" s="390"/>
      <c r="DUQ5" s="390"/>
      <c r="DUR5" s="390"/>
      <c r="DUS5" s="390"/>
      <c r="DUT5" s="390"/>
      <c r="DUU5" s="390"/>
      <c r="DUV5" s="390"/>
      <c r="DUW5" s="390"/>
      <c r="DUX5" s="390"/>
      <c r="DUY5" s="390"/>
      <c r="DUZ5" s="390"/>
      <c r="DVA5" s="390"/>
      <c r="DVB5" s="390"/>
      <c r="DVC5" s="390"/>
      <c r="DVD5" s="390"/>
      <c r="DVE5" s="390"/>
      <c r="DVF5" s="390"/>
      <c r="DVG5" s="390"/>
      <c r="DVH5" s="390"/>
      <c r="DVI5" s="390"/>
      <c r="DVJ5" s="390"/>
      <c r="DVK5" s="390"/>
      <c r="DVL5" s="390"/>
      <c r="DVM5" s="390"/>
      <c r="DVN5" s="390"/>
      <c r="DVO5" s="390"/>
      <c r="DVP5" s="390"/>
      <c r="DVQ5" s="390"/>
      <c r="DVR5" s="390"/>
      <c r="DVS5" s="390"/>
      <c r="DVT5" s="390"/>
      <c r="DVU5" s="390"/>
      <c r="DVV5" s="390"/>
      <c r="DVW5" s="390"/>
      <c r="DVX5" s="390"/>
      <c r="DVY5" s="390"/>
      <c r="DVZ5" s="390"/>
      <c r="DWA5" s="390"/>
      <c r="DWB5" s="390"/>
      <c r="DWC5" s="390"/>
      <c r="DWD5" s="390"/>
      <c r="DWE5" s="390"/>
      <c r="DWF5" s="390"/>
      <c r="DWG5" s="390"/>
      <c r="DWH5" s="390"/>
      <c r="DWI5" s="390"/>
      <c r="DWJ5" s="390"/>
      <c r="DWK5" s="390"/>
      <c r="DWL5" s="390"/>
      <c r="DWM5" s="390"/>
      <c r="DWN5" s="390"/>
      <c r="DWO5" s="390"/>
      <c r="DWP5" s="390"/>
      <c r="DWQ5" s="390"/>
      <c r="DWR5" s="390"/>
      <c r="DWS5" s="390"/>
      <c r="DWT5" s="390"/>
      <c r="DWU5" s="390"/>
      <c r="DWV5" s="390"/>
      <c r="DWW5" s="390"/>
      <c r="DWX5" s="390"/>
      <c r="DWY5" s="390"/>
      <c r="DWZ5" s="390"/>
      <c r="DXA5" s="390"/>
      <c r="DXB5" s="390"/>
      <c r="DXC5" s="390"/>
      <c r="DXD5" s="390"/>
      <c r="DXE5" s="390"/>
      <c r="DXF5" s="390"/>
      <c r="DXG5" s="390"/>
      <c r="DXH5" s="390"/>
      <c r="DXI5" s="390"/>
      <c r="DXJ5" s="390"/>
      <c r="DXK5" s="390"/>
      <c r="DXL5" s="390"/>
      <c r="DXM5" s="390"/>
      <c r="DXN5" s="390"/>
      <c r="DXO5" s="390"/>
      <c r="DXP5" s="390"/>
      <c r="DXQ5" s="390"/>
      <c r="DXR5" s="390"/>
      <c r="DXS5" s="390"/>
      <c r="DXT5" s="390"/>
      <c r="DXU5" s="390"/>
      <c r="DXV5" s="390"/>
      <c r="DXW5" s="390"/>
      <c r="DXX5" s="390"/>
      <c r="DXY5" s="390"/>
      <c r="DXZ5" s="390"/>
      <c r="DYA5" s="390"/>
      <c r="DYB5" s="390"/>
      <c r="DYC5" s="390"/>
      <c r="DYD5" s="390"/>
      <c r="DYE5" s="390"/>
      <c r="DYF5" s="390"/>
      <c r="DYG5" s="390"/>
      <c r="DYH5" s="390"/>
      <c r="DYI5" s="390"/>
      <c r="DYJ5" s="390"/>
      <c r="DYK5" s="390"/>
      <c r="DYL5" s="390"/>
      <c r="DYM5" s="390"/>
      <c r="DYN5" s="390"/>
      <c r="DYO5" s="390"/>
      <c r="DYP5" s="390"/>
      <c r="DYQ5" s="390"/>
      <c r="DYR5" s="390"/>
      <c r="DYS5" s="390"/>
      <c r="DYT5" s="390"/>
      <c r="DYU5" s="390"/>
      <c r="DYV5" s="390"/>
      <c r="DYW5" s="390"/>
      <c r="DYX5" s="390"/>
      <c r="DYY5" s="390"/>
      <c r="DYZ5" s="390"/>
      <c r="DZA5" s="390"/>
      <c r="DZB5" s="390"/>
      <c r="DZC5" s="390"/>
      <c r="DZD5" s="390"/>
      <c r="DZE5" s="390"/>
      <c r="DZF5" s="390"/>
      <c r="DZG5" s="390"/>
      <c r="DZH5" s="390"/>
      <c r="DZI5" s="390"/>
      <c r="DZJ5" s="390"/>
      <c r="DZK5" s="390"/>
      <c r="DZL5" s="390"/>
      <c r="DZM5" s="390"/>
      <c r="DZN5" s="390"/>
      <c r="DZO5" s="390"/>
      <c r="DZP5" s="390"/>
      <c r="DZQ5" s="390"/>
      <c r="DZR5" s="390"/>
      <c r="DZS5" s="390"/>
      <c r="DZT5" s="390"/>
      <c r="DZU5" s="390"/>
      <c r="DZV5" s="390"/>
      <c r="DZW5" s="390"/>
      <c r="DZX5" s="390"/>
      <c r="DZY5" s="390"/>
      <c r="DZZ5" s="390"/>
      <c r="EAA5" s="390"/>
      <c r="EAB5" s="390"/>
      <c r="EAC5" s="390"/>
      <c r="EAD5" s="390"/>
      <c r="EAE5" s="390"/>
      <c r="EAF5" s="390"/>
      <c r="EAG5" s="390"/>
      <c r="EAH5" s="390"/>
      <c r="EAI5" s="390"/>
      <c r="EAJ5" s="390"/>
      <c r="EAK5" s="390"/>
      <c r="EAL5" s="390"/>
      <c r="EAM5" s="390"/>
      <c r="EAN5" s="390"/>
      <c r="EAO5" s="390"/>
      <c r="EAP5" s="390"/>
      <c r="EAQ5" s="390"/>
      <c r="EAR5" s="390"/>
      <c r="EAS5" s="390"/>
      <c r="EAT5" s="390"/>
      <c r="EAU5" s="390"/>
      <c r="EAV5" s="390"/>
      <c r="EAW5" s="390"/>
      <c r="EAX5" s="390"/>
      <c r="EAY5" s="390"/>
      <c r="EAZ5" s="390"/>
      <c r="EBA5" s="390"/>
      <c r="EBB5" s="390"/>
      <c r="EBC5" s="390"/>
      <c r="EBD5" s="390"/>
      <c r="EBE5" s="390"/>
      <c r="EBF5" s="390"/>
      <c r="EBG5" s="390"/>
      <c r="EBH5" s="390"/>
      <c r="EBI5" s="390"/>
      <c r="EBJ5" s="390"/>
      <c r="EBK5" s="390"/>
      <c r="EBL5" s="390"/>
      <c r="EBM5" s="390"/>
      <c r="EBN5" s="390"/>
      <c r="EBO5" s="390"/>
      <c r="EBP5" s="390"/>
      <c r="EBQ5" s="390"/>
      <c r="EBR5" s="390"/>
      <c r="EBS5" s="390"/>
      <c r="EBT5" s="390"/>
      <c r="EBU5" s="390"/>
      <c r="EBV5" s="390"/>
      <c r="EBW5" s="390"/>
      <c r="EBX5" s="390"/>
      <c r="EBY5" s="390"/>
      <c r="EBZ5" s="390"/>
      <c r="ECA5" s="390"/>
      <c r="ECB5" s="390"/>
      <c r="ECC5" s="390"/>
      <c r="ECD5" s="390"/>
      <c r="ECE5" s="390"/>
      <c r="ECF5" s="390"/>
      <c r="ECG5" s="390"/>
      <c r="ECH5" s="390"/>
      <c r="ECI5" s="390"/>
      <c r="ECJ5" s="390"/>
      <c r="ECK5" s="390"/>
      <c r="ECL5" s="390"/>
      <c r="ECM5" s="390"/>
      <c r="ECN5" s="390"/>
      <c r="ECO5" s="390"/>
      <c r="ECP5" s="390"/>
      <c r="ECQ5" s="390"/>
      <c r="ECR5" s="390"/>
      <c r="ECS5" s="390"/>
      <c r="ECT5" s="390"/>
      <c r="ECU5" s="390"/>
      <c r="ECV5" s="390"/>
      <c r="ECW5" s="390"/>
      <c r="ECX5" s="390"/>
      <c r="ECY5" s="390"/>
      <c r="ECZ5" s="390"/>
      <c r="EDA5" s="390"/>
      <c r="EDB5" s="390"/>
      <c r="EDC5" s="390"/>
      <c r="EDD5" s="390"/>
      <c r="EDE5" s="390"/>
      <c r="EDF5" s="390"/>
      <c r="EDG5" s="390"/>
      <c r="EDH5" s="390"/>
      <c r="EDI5" s="390"/>
      <c r="EDJ5" s="390"/>
      <c r="EDK5" s="390"/>
      <c r="EDL5" s="390"/>
      <c r="EDM5" s="390"/>
      <c r="EDN5" s="390"/>
      <c r="EDO5" s="390"/>
      <c r="EDP5" s="390"/>
      <c r="EDQ5" s="390"/>
      <c r="EDR5" s="390"/>
      <c r="EDS5" s="390"/>
      <c r="EDT5" s="390"/>
      <c r="EDU5" s="390"/>
      <c r="EDV5" s="390"/>
      <c r="EDW5" s="390"/>
      <c r="EDX5" s="390"/>
      <c r="EDY5" s="390"/>
      <c r="EDZ5" s="390"/>
      <c r="EEA5" s="390"/>
      <c r="EEB5" s="390"/>
      <c r="EEC5" s="390"/>
      <c r="EED5" s="390"/>
      <c r="EEE5" s="390"/>
      <c r="EEF5" s="390"/>
      <c r="EEG5" s="390"/>
      <c r="EEH5" s="390"/>
      <c r="EEI5" s="390"/>
      <c r="EEJ5" s="390"/>
      <c r="EEK5" s="390"/>
      <c r="EEL5" s="390"/>
      <c r="EEM5" s="390"/>
      <c r="EEN5" s="390"/>
      <c r="EEO5" s="390"/>
      <c r="EEP5" s="390"/>
      <c r="EEQ5" s="390"/>
      <c r="EER5" s="390"/>
      <c r="EES5" s="390"/>
      <c r="EET5" s="390"/>
      <c r="EEU5" s="390"/>
      <c r="EEV5" s="390"/>
      <c r="EEW5" s="390"/>
      <c r="EEX5" s="390"/>
      <c r="EEY5" s="390"/>
      <c r="EEZ5" s="390"/>
      <c r="EFA5" s="390"/>
      <c r="EFB5" s="390"/>
      <c r="EFC5" s="390"/>
      <c r="EFD5" s="390"/>
      <c r="EFE5" s="390"/>
      <c r="EFF5" s="390"/>
      <c r="EFG5" s="390"/>
      <c r="EFH5" s="390"/>
      <c r="EFI5" s="390"/>
      <c r="EFJ5" s="390"/>
      <c r="EFK5" s="390"/>
      <c r="EFL5" s="390"/>
      <c r="EFM5" s="390"/>
      <c r="EFN5" s="390"/>
      <c r="EFO5" s="390"/>
      <c r="EFP5" s="390"/>
      <c r="EFQ5" s="390"/>
      <c r="EFR5" s="390"/>
      <c r="EFS5" s="390"/>
      <c r="EFT5" s="390"/>
      <c r="EFU5" s="390"/>
      <c r="EFV5" s="390"/>
      <c r="EFW5" s="390"/>
      <c r="EFX5" s="390"/>
      <c r="EFY5" s="390"/>
      <c r="EFZ5" s="390"/>
      <c r="EGA5" s="390"/>
      <c r="EGB5" s="390"/>
      <c r="EGC5" s="390"/>
      <c r="EGD5" s="390"/>
      <c r="EGE5" s="390"/>
      <c r="EGF5" s="390"/>
      <c r="EGG5" s="390"/>
      <c r="EGH5" s="390"/>
      <c r="EGI5" s="390"/>
      <c r="EGJ5" s="390"/>
      <c r="EGK5" s="390"/>
      <c r="EGL5" s="390"/>
      <c r="EGM5" s="390"/>
      <c r="EGN5" s="390"/>
      <c r="EGO5" s="390"/>
      <c r="EGP5" s="390"/>
      <c r="EGQ5" s="390"/>
      <c r="EGR5" s="390"/>
      <c r="EGS5" s="390"/>
      <c r="EGT5" s="390"/>
      <c r="EGU5" s="390"/>
      <c r="EGV5" s="390"/>
      <c r="EGW5" s="390"/>
      <c r="EGX5" s="390"/>
      <c r="EGY5" s="390"/>
      <c r="EGZ5" s="390"/>
      <c r="EHA5" s="390"/>
      <c r="EHB5" s="390"/>
      <c r="EHC5" s="390"/>
      <c r="EHD5" s="390"/>
      <c r="EHE5" s="390"/>
      <c r="EHF5" s="390"/>
      <c r="EHG5" s="390"/>
      <c r="EHH5" s="390"/>
      <c r="EHI5" s="390"/>
      <c r="EHJ5" s="390"/>
      <c r="EHK5" s="390"/>
      <c r="EHL5" s="390"/>
      <c r="EHM5" s="390"/>
      <c r="EHN5" s="390"/>
      <c r="EHO5" s="390"/>
      <c r="EHP5" s="390"/>
      <c r="EHQ5" s="390"/>
      <c r="EHR5" s="390"/>
      <c r="EHS5" s="390"/>
      <c r="EHT5" s="390"/>
      <c r="EHU5" s="390"/>
      <c r="EHV5" s="390"/>
      <c r="EHW5" s="390"/>
      <c r="EHX5" s="390"/>
      <c r="EHY5" s="390"/>
      <c r="EHZ5" s="390"/>
      <c r="EIA5" s="390"/>
      <c r="EIB5" s="390"/>
      <c r="EIC5" s="390"/>
      <c r="EID5" s="390"/>
      <c r="EIE5" s="390"/>
      <c r="EIF5" s="390"/>
      <c r="EIG5" s="390"/>
      <c r="EIH5" s="390"/>
      <c r="EII5" s="390"/>
      <c r="EIJ5" s="390"/>
      <c r="EIK5" s="390"/>
      <c r="EIL5" s="390"/>
      <c r="EIM5" s="390"/>
      <c r="EIN5" s="390"/>
      <c r="EIO5" s="390"/>
      <c r="EIP5" s="390"/>
      <c r="EIQ5" s="390"/>
      <c r="EIR5" s="390"/>
      <c r="EIS5" s="390"/>
      <c r="EIT5" s="390"/>
      <c r="EIU5" s="390"/>
      <c r="EIV5" s="390"/>
      <c r="EIW5" s="390"/>
      <c r="EIX5" s="390"/>
      <c r="EIY5" s="390"/>
      <c r="EIZ5" s="390"/>
      <c r="EJA5" s="390"/>
      <c r="EJB5" s="390"/>
      <c r="EJC5" s="390"/>
      <c r="EJD5" s="390"/>
      <c r="EJE5" s="390"/>
      <c r="EJF5" s="390"/>
      <c r="EJG5" s="390"/>
      <c r="EJH5" s="390"/>
      <c r="EJI5" s="390"/>
      <c r="EJJ5" s="390"/>
      <c r="EJK5" s="390"/>
      <c r="EJL5" s="390"/>
      <c r="EJM5" s="390"/>
      <c r="EJN5" s="390"/>
      <c r="EJO5" s="390"/>
      <c r="EJP5" s="390"/>
      <c r="EJQ5" s="390"/>
      <c r="EJR5" s="390"/>
      <c r="EJS5" s="390"/>
      <c r="EJT5" s="390"/>
      <c r="EJU5" s="390"/>
      <c r="EJV5" s="390"/>
      <c r="EJW5" s="390"/>
      <c r="EJX5" s="390"/>
      <c r="EJY5" s="390"/>
      <c r="EJZ5" s="390"/>
      <c r="EKA5" s="390"/>
      <c r="EKB5" s="390"/>
      <c r="EKC5" s="390"/>
      <c r="EKD5" s="390"/>
      <c r="EKE5" s="390"/>
      <c r="EKF5" s="390"/>
      <c r="EKG5" s="390"/>
      <c r="EKH5" s="390"/>
      <c r="EKI5" s="390"/>
      <c r="EKJ5" s="390"/>
      <c r="EKK5" s="390"/>
      <c r="EKL5" s="390"/>
      <c r="EKM5" s="390"/>
      <c r="EKN5" s="390"/>
      <c r="EKO5" s="390"/>
      <c r="EKP5" s="390"/>
      <c r="EKQ5" s="390"/>
      <c r="EKR5" s="390"/>
      <c r="EKS5" s="390"/>
      <c r="EKT5" s="390"/>
      <c r="EKU5" s="390"/>
      <c r="EKV5" s="390"/>
      <c r="EKW5" s="390"/>
      <c r="EKX5" s="390"/>
      <c r="EKY5" s="390"/>
      <c r="EKZ5" s="390"/>
      <c r="ELA5" s="390"/>
      <c r="ELB5" s="390"/>
      <c r="ELC5" s="390"/>
      <c r="ELD5" s="390"/>
      <c r="ELE5" s="390"/>
      <c r="ELF5" s="390"/>
      <c r="ELG5" s="390"/>
      <c r="ELH5" s="390"/>
      <c r="ELI5" s="390"/>
      <c r="ELJ5" s="390"/>
      <c r="ELK5" s="390"/>
      <c r="ELL5" s="390"/>
      <c r="ELM5" s="390"/>
      <c r="ELN5" s="390"/>
      <c r="ELO5" s="390"/>
      <c r="ELP5" s="390"/>
      <c r="ELQ5" s="390"/>
      <c r="ELR5" s="390"/>
      <c r="ELS5" s="390"/>
      <c r="ELT5" s="390"/>
      <c r="ELU5" s="390"/>
      <c r="ELV5" s="390"/>
      <c r="ELW5" s="390"/>
      <c r="ELX5" s="390"/>
      <c r="ELY5" s="390"/>
      <c r="ELZ5" s="390"/>
      <c r="EMA5" s="390"/>
      <c r="EMB5" s="390"/>
      <c r="EMC5" s="390"/>
      <c r="EMD5" s="390"/>
      <c r="EME5" s="390"/>
      <c r="EMF5" s="390"/>
      <c r="EMG5" s="390"/>
      <c r="EMH5" s="390"/>
      <c r="EMI5" s="390"/>
      <c r="EMJ5" s="390"/>
      <c r="EMK5" s="390"/>
      <c r="EML5" s="390"/>
      <c r="EMM5" s="390"/>
      <c r="EMN5" s="390"/>
      <c r="EMO5" s="390"/>
      <c r="EMP5" s="390"/>
      <c r="EMQ5" s="390"/>
      <c r="EMR5" s="390"/>
      <c r="EMS5" s="390"/>
      <c r="EMT5" s="390"/>
      <c r="EMU5" s="390"/>
      <c r="EMV5" s="390"/>
      <c r="EMW5" s="390"/>
      <c r="EMX5" s="390"/>
      <c r="EMY5" s="390"/>
      <c r="EMZ5" s="390"/>
      <c r="ENA5" s="390"/>
      <c r="ENB5" s="390"/>
      <c r="ENC5" s="390"/>
      <c r="END5" s="390"/>
      <c r="ENE5" s="390"/>
      <c r="ENF5" s="390"/>
      <c r="ENG5" s="390"/>
      <c r="ENH5" s="390"/>
      <c r="ENI5" s="390"/>
      <c r="ENJ5" s="390"/>
      <c r="ENK5" s="390"/>
      <c r="ENL5" s="390"/>
      <c r="ENM5" s="390"/>
      <c r="ENN5" s="390"/>
      <c r="ENO5" s="390"/>
      <c r="ENP5" s="390"/>
      <c r="ENQ5" s="390"/>
      <c r="ENR5" s="390"/>
      <c r="ENS5" s="390"/>
      <c r="ENT5" s="390"/>
      <c r="ENU5" s="390"/>
      <c r="ENV5" s="390"/>
      <c r="ENW5" s="390"/>
      <c r="ENX5" s="390"/>
      <c r="ENY5" s="390"/>
      <c r="ENZ5" s="390"/>
      <c r="EOA5" s="390"/>
      <c r="EOB5" s="390"/>
      <c r="EOC5" s="390"/>
      <c r="EOD5" s="390"/>
      <c r="EOE5" s="390"/>
      <c r="EOF5" s="390"/>
      <c r="EOG5" s="390"/>
      <c r="EOH5" s="390"/>
      <c r="EOI5" s="390"/>
      <c r="EOJ5" s="390"/>
      <c r="EOK5" s="390"/>
      <c r="EOL5" s="390"/>
      <c r="EOM5" s="390"/>
      <c r="EON5" s="390"/>
      <c r="EOO5" s="390"/>
      <c r="EOP5" s="390"/>
      <c r="EOQ5" s="390"/>
      <c r="EOR5" s="390"/>
      <c r="EOS5" s="390"/>
      <c r="EOT5" s="390"/>
      <c r="EOU5" s="390"/>
      <c r="EOV5" s="390"/>
      <c r="EOW5" s="390"/>
      <c r="EOX5" s="390"/>
      <c r="EOY5" s="390"/>
      <c r="EOZ5" s="390"/>
      <c r="EPA5" s="390"/>
      <c r="EPB5" s="390"/>
      <c r="EPC5" s="390"/>
      <c r="EPD5" s="390"/>
      <c r="EPE5" s="390"/>
      <c r="EPF5" s="390"/>
      <c r="EPG5" s="390"/>
      <c r="EPH5" s="390"/>
      <c r="EPI5" s="390"/>
      <c r="EPJ5" s="390"/>
      <c r="EPK5" s="390"/>
      <c r="EPL5" s="390"/>
      <c r="EPM5" s="390"/>
      <c r="EPN5" s="390"/>
      <c r="EPO5" s="390"/>
      <c r="EPP5" s="390"/>
      <c r="EPQ5" s="390"/>
      <c r="EPR5" s="390"/>
      <c r="EPS5" s="390"/>
      <c r="EPT5" s="390"/>
      <c r="EPU5" s="390"/>
      <c r="EPV5" s="390"/>
      <c r="EPW5" s="390"/>
      <c r="EPX5" s="390"/>
      <c r="EPY5" s="390"/>
      <c r="EPZ5" s="390"/>
      <c r="EQA5" s="390"/>
      <c r="EQB5" s="390"/>
      <c r="EQC5" s="390"/>
      <c r="EQD5" s="390"/>
      <c r="EQE5" s="390"/>
      <c r="EQF5" s="390"/>
      <c r="EQG5" s="390"/>
      <c r="EQH5" s="390"/>
      <c r="EQI5" s="390"/>
      <c r="EQJ5" s="390"/>
      <c r="EQK5" s="390"/>
      <c r="EQL5" s="390"/>
      <c r="EQM5" s="390"/>
      <c r="EQN5" s="390"/>
      <c r="EQO5" s="390"/>
      <c r="EQP5" s="390"/>
      <c r="EQQ5" s="390"/>
      <c r="EQR5" s="390"/>
      <c r="EQS5" s="390"/>
      <c r="EQT5" s="390"/>
      <c r="EQU5" s="390"/>
      <c r="EQV5" s="390"/>
      <c r="EQW5" s="390"/>
      <c r="EQX5" s="390"/>
      <c r="EQY5" s="390"/>
      <c r="EQZ5" s="390"/>
      <c r="ERA5" s="390"/>
      <c r="ERB5" s="390"/>
      <c r="ERC5" s="390"/>
      <c r="ERD5" s="390"/>
      <c r="ERE5" s="390"/>
      <c r="ERF5" s="390"/>
      <c r="ERG5" s="390"/>
      <c r="ERH5" s="390"/>
      <c r="ERI5" s="390"/>
      <c r="ERJ5" s="390"/>
      <c r="ERK5" s="390"/>
      <c r="ERL5" s="390"/>
      <c r="ERM5" s="390"/>
      <c r="ERN5" s="390"/>
      <c r="ERO5" s="390"/>
      <c r="ERP5" s="390"/>
      <c r="ERQ5" s="390"/>
      <c r="ERR5" s="390"/>
      <c r="ERS5" s="390"/>
      <c r="ERT5" s="390"/>
      <c r="ERU5" s="390"/>
      <c r="ERV5" s="390"/>
      <c r="ERW5" s="390"/>
      <c r="ERX5" s="390"/>
      <c r="ERY5" s="390"/>
      <c r="ERZ5" s="390"/>
      <c r="ESA5" s="390"/>
      <c r="ESB5" s="390"/>
      <c r="ESC5" s="390"/>
      <c r="ESD5" s="390"/>
      <c r="ESE5" s="390"/>
      <c r="ESF5" s="390"/>
      <c r="ESG5" s="390"/>
      <c r="ESH5" s="390"/>
      <c r="ESI5" s="390"/>
      <c r="ESJ5" s="390"/>
      <c r="ESK5" s="390"/>
      <c r="ESL5" s="390"/>
      <c r="ESM5" s="390"/>
      <c r="ESN5" s="390"/>
      <c r="ESO5" s="390"/>
      <c r="ESP5" s="390"/>
      <c r="ESQ5" s="390"/>
      <c r="ESR5" s="390"/>
      <c r="ESS5" s="390"/>
      <c r="EST5" s="390"/>
      <c r="ESU5" s="390"/>
      <c r="ESV5" s="390"/>
      <c r="ESW5" s="390"/>
      <c r="ESX5" s="390"/>
      <c r="ESY5" s="390"/>
      <c r="ESZ5" s="390"/>
      <c r="ETA5" s="390"/>
      <c r="ETB5" s="390"/>
      <c r="ETC5" s="390"/>
      <c r="ETD5" s="390"/>
      <c r="ETE5" s="390"/>
      <c r="ETF5" s="390"/>
      <c r="ETG5" s="390"/>
      <c r="ETH5" s="390"/>
      <c r="ETI5" s="390"/>
      <c r="ETJ5" s="390"/>
      <c r="ETK5" s="390"/>
      <c r="ETL5" s="390"/>
      <c r="ETM5" s="390"/>
      <c r="ETN5" s="390"/>
      <c r="ETO5" s="390"/>
      <c r="ETP5" s="390"/>
      <c r="ETQ5" s="390"/>
      <c r="ETR5" s="390"/>
      <c r="ETS5" s="390"/>
      <c r="ETT5" s="390"/>
      <c r="ETU5" s="390"/>
      <c r="ETV5" s="390"/>
      <c r="ETW5" s="390"/>
      <c r="ETX5" s="390"/>
      <c r="ETY5" s="390"/>
      <c r="ETZ5" s="390"/>
      <c r="EUA5" s="390"/>
      <c r="EUB5" s="390"/>
      <c r="EUC5" s="390"/>
      <c r="EUD5" s="390"/>
      <c r="EUE5" s="390"/>
      <c r="EUF5" s="390"/>
      <c r="EUG5" s="390"/>
      <c r="EUH5" s="390"/>
      <c r="EUI5" s="390"/>
      <c r="EUJ5" s="390"/>
      <c r="EUK5" s="390"/>
      <c r="EUL5" s="390"/>
      <c r="EUM5" s="390"/>
      <c r="EUN5" s="390"/>
      <c r="EUO5" s="390"/>
      <c r="EUP5" s="390"/>
      <c r="EUQ5" s="390"/>
      <c r="EUR5" s="390"/>
      <c r="EUS5" s="390"/>
      <c r="EUT5" s="390"/>
      <c r="EUU5" s="390"/>
      <c r="EUV5" s="390"/>
      <c r="EUW5" s="390"/>
      <c r="EUX5" s="390"/>
      <c r="EUY5" s="390"/>
      <c r="EUZ5" s="390"/>
      <c r="EVA5" s="390"/>
      <c r="EVB5" s="390"/>
      <c r="EVC5" s="390"/>
      <c r="EVD5" s="390"/>
      <c r="EVE5" s="390"/>
      <c r="EVF5" s="390"/>
      <c r="EVG5" s="390"/>
      <c r="EVH5" s="390"/>
      <c r="EVI5" s="390"/>
      <c r="EVJ5" s="390"/>
      <c r="EVK5" s="390"/>
      <c r="EVL5" s="390"/>
      <c r="EVM5" s="390"/>
      <c r="EVN5" s="390"/>
      <c r="EVO5" s="390"/>
      <c r="EVP5" s="390"/>
      <c r="EVQ5" s="390"/>
      <c r="EVR5" s="390"/>
      <c r="EVS5" s="390"/>
      <c r="EVT5" s="390"/>
      <c r="EVU5" s="390"/>
      <c r="EVV5" s="390"/>
      <c r="EVW5" s="390"/>
      <c r="EVX5" s="390"/>
      <c r="EVY5" s="390"/>
      <c r="EVZ5" s="390"/>
      <c r="EWA5" s="390"/>
      <c r="EWB5" s="390"/>
      <c r="EWC5" s="390"/>
      <c r="EWD5" s="390"/>
      <c r="EWE5" s="390"/>
      <c r="EWF5" s="390"/>
      <c r="EWG5" s="390"/>
      <c r="EWH5" s="390"/>
      <c r="EWI5" s="390"/>
      <c r="EWJ5" s="390"/>
      <c r="EWK5" s="390"/>
      <c r="EWL5" s="390"/>
      <c r="EWM5" s="390"/>
      <c r="EWN5" s="390"/>
      <c r="EWO5" s="390"/>
      <c r="EWP5" s="390"/>
      <c r="EWQ5" s="390"/>
      <c r="EWR5" s="390"/>
      <c r="EWS5" s="390"/>
      <c r="EWT5" s="390"/>
      <c r="EWU5" s="390"/>
      <c r="EWV5" s="390"/>
      <c r="EWW5" s="390"/>
      <c r="EWX5" s="390"/>
      <c r="EWY5" s="390"/>
      <c r="EWZ5" s="390"/>
      <c r="EXA5" s="390"/>
      <c r="EXB5" s="390"/>
      <c r="EXC5" s="390"/>
      <c r="EXD5" s="390"/>
      <c r="EXE5" s="390"/>
      <c r="EXF5" s="390"/>
      <c r="EXG5" s="390"/>
      <c r="EXH5" s="390"/>
      <c r="EXI5" s="390"/>
      <c r="EXJ5" s="390"/>
      <c r="EXK5" s="390"/>
      <c r="EXL5" s="390"/>
      <c r="EXM5" s="390"/>
      <c r="EXN5" s="390"/>
      <c r="EXO5" s="390"/>
      <c r="EXP5" s="390"/>
      <c r="EXQ5" s="390"/>
      <c r="EXR5" s="390"/>
      <c r="EXS5" s="390"/>
      <c r="EXT5" s="390"/>
      <c r="EXU5" s="390"/>
      <c r="EXV5" s="390"/>
      <c r="EXW5" s="390"/>
      <c r="EXX5" s="390"/>
      <c r="EXY5" s="390"/>
      <c r="EXZ5" s="390"/>
      <c r="EYA5" s="390"/>
      <c r="EYB5" s="390"/>
      <c r="EYC5" s="390"/>
      <c r="EYD5" s="390"/>
      <c r="EYE5" s="390"/>
      <c r="EYF5" s="390"/>
      <c r="EYG5" s="390"/>
      <c r="EYH5" s="390"/>
      <c r="EYI5" s="390"/>
      <c r="EYJ5" s="390"/>
      <c r="EYK5" s="390"/>
      <c r="EYL5" s="390"/>
      <c r="EYM5" s="390"/>
      <c r="EYN5" s="390"/>
      <c r="EYO5" s="390"/>
      <c r="EYP5" s="390"/>
      <c r="EYQ5" s="390"/>
      <c r="EYR5" s="390"/>
      <c r="EYS5" s="390"/>
      <c r="EYT5" s="390"/>
      <c r="EYU5" s="390"/>
      <c r="EYV5" s="390"/>
      <c r="EYW5" s="390"/>
      <c r="EYX5" s="390"/>
      <c r="EYY5" s="390"/>
      <c r="EYZ5" s="390"/>
      <c r="EZA5" s="390"/>
      <c r="EZB5" s="390"/>
      <c r="EZC5" s="390"/>
      <c r="EZD5" s="390"/>
      <c r="EZE5" s="390"/>
      <c r="EZF5" s="390"/>
      <c r="EZG5" s="390"/>
      <c r="EZH5" s="390"/>
      <c r="EZI5" s="390"/>
      <c r="EZJ5" s="390"/>
      <c r="EZK5" s="390"/>
      <c r="EZL5" s="390"/>
      <c r="EZM5" s="390"/>
      <c r="EZN5" s="390"/>
      <c r="EZO5" s="390"/>
      <c r="EZP5" s="390"/>
      <c r="EZQ5" s="390"/>
      <c r="EZR5" s="390"/>
      <c r="EZS5" s="390"/>
      <c r="EZT5" s="390"/>
      <c r="EZU5" s="390"/>
      <c r="EZV5" s="390"/>
      <c r="EZW5" s="390"/>
      <c r="EZX5" s="390"/>
      <c r="EZY5" s="390"/>
      <c r="EZZ5" s="390"/>
      <c r="FAA5" s="390"/>
      <c r="FAB5" s="390"/>
      <c r="FAC5" s="390"/>
      <c r="FAD5" s="390"/>
      <c r="FAE5" s="390"/>
      <c r="FAF5" s="390"/>
      <c r="FAG5" s="390"/>
      <c r="FAH5" s="390"/>
      <c r="FAI5" s="390"/>
      <c r="FAJ5" s="390"/>
      <c r="FAK5" s="390"/>
      <c r="FAL5" s="390"/>
      <c r="FAM5" s="390"/>
      <c r="FAN5" s="390"/>
      <c r="FAO5" s="390"/>
      <c r="FAP5" s="390"/>
      <c r="FAQ5" s="390"/>
      <c r="FAR5" s="390"/>
      <c r="FAS5" s="390"/>
      <c r="FAT5" s="390"/>
      <c r="FAU5" s="390"/>
      <c r="FAV5" s="390"/>
      <c r="FAW5" s="390"/>
      <c r="FAX5" s="390"/>
      <c r="FAY5" s="390"/>
      <c r="FAZ5" s="390"/>
      <c r="FBA5" s="390"/>
      <c r="FBB5" s="390"/>
      <c r="FBC5" s="390"/>
      <c r="FBD5" s="390"/>
      <c r="FBE5" s="390"/>
      <c r="FBF5" s="390"/>
      <c r="FBG5" s="390"/>
      <c r="FBH5" s="390"/>
      <c r="FBI5" s="390"/>
      <c r="FBJ5" s="390"/>
      <c r="FBK5" s="390"/>
      <c r="FBL5" s="390"/>
      <c r="FBM5" s="390"/>
      <c r="FBN5" s="390"/>
      <c r="FBO5" s="390"/>
      <c r="FBP5" s="390"/>
      <c r="FBQ5" s="390"/>
      <c r="FBR5" s="390"/>
      <c r="FBS5" s="390"/>
      <c r="FBT5" s="390"/>
      <c r="FBU5" s="390"/>
      <c r="FBV5" s="390"/>
      <c r="FBW5" s="390"/>
      <c r="FBX5" s="390"/>
      <c r="FBY5" s="390"/>
      <c r="FBZ5" s="390"/>
      <c r="FCA5" s="390"/>
      <c r="FCB5" s="390"/>
      <c r="FCC5" s="390"/>
      <c r="FCD5" s="390"/>
      <c r="FCE5" s="390"/>
      <c r="FCF5" s="390"/>
      <c r="FCG5" s="390"/>
      <c r="FCH5" s="390"/>
      <c r="FCI5" s="390"/>
      <c r="FCJ5" s="390"/>
      <c r="FCK5" s="390"/>
      <c r="FCL5" s="390"/>
      <c r="FCM5" s="390"/>
      <c r="FCN5" s="390"/>
      <c r="FCO5" s="390"/>
      <c r="FCP5" s="390"/>
      <c r="FCQ5" s="390"/>
      <c r="FCR5" s="390"/>
      <c r="FCS5" s="390"/>
      <c r="FCT5" s="390"/>
      <c r="FCU5" s="390"/>
      <c r="FCV5" s="390"/>
      <c r="FCW5" s="390"/>
      <c r="FCX5" s="390"/>
      <c r="FCY5" s="390"/>
      <c r="FCZ5" s="390"/>
      <c r="FDA5" s="390"/>
      <c r="FDB5" s="390"/>
      <c r="FDC5" s="390"/>
      <c r="FDD5" s="390"/>
      <c r="FDE5" s="390"/>
      <c r="FDF5" s="390"/>
      <c r="FDG5" s="390"/>
      <c r="FDH5" s="390"/>
      <c r="FDI5" s="390"/>
      <c r="FDJ5" s="390"/>
      <c r="FDK5" s="390"/>
      <c r="FDL5" s="390"/>
      <c r="FDM5" s="390"/>
      <c r="FDN5" s="390"/>
      <c r="FDO5" s="390"/>
      <c r="FDP5" s="390"/>
      <c r="FDQ5" s="390"/>
      <c r="FDR5" s="390"/>
      <c r="FDS5" s="390"/>
      <c r="FDT5" s="390"/>
      <c r="FDU5" s="390"/>
      <c r="FDV5" s="390"/>
      <c r="FDW5" s="390"/>
      <c r="FDX5" s="390"/>
      <c r="FDY5" s="390"/>
      <c r="FDZ5" s="390"/>
      <c r="FEA5" s="390"/>
      <c r="FEB5" s="390"/>
      <c r="FEC5" s="390"/>
      <c r="FED5" s="390"/>
      <c r="FEE5" s="390"/>
      <c r="FEF5" s="390"/>
      <c r="FEG5" s="390"/>
      <c r="FEH5" s="390"/>
      <c r="FEI5" s="390"/>
      <c r="FEJ5" s="390"/>
      <c r="FEK5" s="390"/>
      <c r="FEL5" s="390"/>
      <c r="FEM5" s="390"/>
      <c r="FEN5" s="390"/>
      <c r="FEO5" s="390"/>
      <c r="FEP5" s="390"/>
      <c r="FEQ5" s="390"/>
      <c r="FER5" s="390"/>
      <c r="FES5" s="390"/>
      <c r="FET5" s="390"/>
      <c r="FEU5" s="390"/>
      <c r="FEV5" s="390"/>
      <c r="FEW5" s="390"/>
      <c r="FEX5" s="390"/>
      <c r="FEY5" s="390"/>
      <c r="FEZ5" s="390"/>
      <c r="FFA5" s="390"/>
      <c r="FFB5" s="390"/>
      <c r="FFC5" s="390"/>
      <c r="FFD5" s="390"/>
      <c r="FFE5" s="390"/>
      <c r="FFF5" s="390"/>
      <c r="FFG5" s="390"/>
      <c r="FFH5" s="390"/>
      <c r="FFI5" s="390"/>
      <c r="FFJ5" s="390"/>
      <c r="FFK5" s="390"/>
      <c r="FFL5" s="390"/>
      <c r="FFM5" s="390"/>
      <c r="FFN5" s="390"/>
      <c r="FFO5" s="390"/>
      <c r="FFP5" s="390"/>
      <c r="FFQ5" s="390"/>
      <c r="FFR5" s="390"/>
      <c r="FFS5" s="390"/>
      <c r="FFT5" s="390"/>
      <c r="FFU5" s="390"/>
      <c r="FFV5" s="390"/>
      <c r="FFW5" s="390"/>
      <c r="FFX5" s="390"/>
      <c r="FFY5" s="390"/>
      <c r="FFZ5" s="390"/>
      <c r="FGA5" s="390"/>
      <c r="FGB5" s="390"/>
      <c r="FGC5" s="390"/>
      <c r="FGD5" s="390"/>
      <c r="FGE5" s="390"/>
      <c r="FGF5" s="390"/>
      <c r="FGG5" s="390"/>
      <c r="FGH5" s="390"/>
      <c r="FGI5" s="390"/>
      <c r="FGJ5" s="390"/>
      <c r="FGK5" s="390"/>
      <c r="FGL5" s="390"/>
      <c r="FGM5" s="390"/>
      <c r="FGN5" s="390"/>
      <c r="FGO5" s="390"/>
      <c r="FGP5" s="390"/>
      <c r="FGQ5" s="390"/>
      <c r="FGR5" s="390"/>
      <c r="FGS5" s="390"/>
      <c r="FGT5" s="390"/>
      <c r="FGU5" s="390"/>
      <c r="FGV5" s="390"/>
      <c r="FGW5" s="390"/>
      <c r="FGX5" s="390"/>
      <c r="FGY5" s="390"/>
      <c r="FGZ5" s="390"/>
      <c r="FHA5" s="390"/>
      <c r="FHB5" s="390"/>
      <c r="FHC5" s="390"/>
      <c r="FHD5" s="390"/>
      <c r="FHE5" s="390"/>
      <c r="FHF5" s="390"/>
      <c r="FHG5" s="390"/>
      <c r="FHH5" s="390"/>
      <c r="FHI5" s="390"/>
      <c r="FHJ5" s="390"/>
      <c r="FHK5" s="390"/>
      <c r="FHL5" s="390"/>
      <c r="FHM5" s="390"/>
      <c r="FHN5" s="390"/>
      <c r="FHO5" s="390"/>
      <c r="FHP5" s="390"/>
      <c r="FHQ5" s="390"/>
      <c r="FHR5" s="390"/>
      <c r="FHS5" s="390"/>
      <c r="FHT5" s="390"/>
      <c r="FHU5" s="390"/>
      <c r="FHV5" s="390"/>
      <c r="FHW5" s="390"/>
      <c r="FHX5" s="390"/>
      <c r="FHY5" s="390"/>
      <c r="FHZ5" s="390"/>
      <c r="FIA5" s="390"/>
      <c r="FIB5" s="390"/>
      <c r="FIC5" s="390"/>
      <c r="FID5" s="390"/>
      <c r="FIE5" s="390"/>
      <c r="FIF5" s="390"/>
      <c r="FIG5" s="390"/>
      <c r="FIH5" s="390"/>
      <c r="FII5" s="390"/>
      <c r="FIJ5" s="390"/>
      <c r="FIK5" s="390"/>
      <c r="FIL5" s="390"/>
      <c r="FIM5" s="390"/>
      <c r="FIN5" s="390"/>
      <c r="FIO5" s="390"/>
      <c r="FIP5" s="390"/>
      <c r="FIQ5" s="390"/>
      <c r="FIR5" s="390"/>
      <c r="FIS5" s="390"/>
      <c r="FIT5" s="390"/>
      <c r="FIU5" s="390"/>
      <c r="FIV5" s="390"/>
      <c r="FIW5" s="390"/>
      <c r="FIX5" s="390"/>
      <c r="FIY5" s="390"/>
      <c r="FIZ5" s="390"/>
      <c r="FJA5" s="390"/>
      <c r="FJB5" s="390"/>
      <c r="FJC5" s="390"/>
      <c r="FJD5" s="390"/>
      <c r="FJE5" s="390"/>
      <c r="FJF5" s="390"/>
      <c r="FJG5" s="390"/>
      <c r="FJH5" s="390"/>
      <c r="FJI5" s="390"/>
      <c r="FJJ5" s="390"/>
      <c r="FJK5" s="390"/>
      <c r="FJL5" s="390"/>
      <c r="FJM5" s="390"/>
      <c r="FJN5" s="390"/>
      <c r="FJO5" s="390"/>
      <c r="FJP5" s="390"/>
      <c r="FJQ5" s="390"/>
      <c r="FJR5" s="390"/>
      <c r="FJS5" s="390"/>
      <c r="FJT5" s="390"/>
      <c r="FJU5" s="390"/>
      <c r="FJV5" s="390"/>
      <c r="FJW5" s="390"/>
      <c r="FJX5" s="390"/>
      <c r="FJY5" s="390"/>
      <c r="FJZ5" s="390"/>
      <c r="FKA5" s="390"/>
      <c r="FKB5" s="390"/>
      <c r="FKC5" s="390"/>
      <c r="FKD5" s="390"/>
      <c r="FKE5" s="390"/>
      <c r="FKF5" s="390"/>
      <c r="FKG5" s="390"/>
      <c r="FKH5" s="390"/>
      <c r="FKI5" s="390"/>
      <c r="FKJ5" s="390"/>
      <c r="FKK5" s="390"/>
      <c r="FKL5" s="390"/>
      <c r="FKM5" s="390"/>
      <c r="FKN5" s="390"/>
      <c r="FKO5" s="390"/>
      <c r="FKP5" s="390"/>
      <c r="FKQ5" s="390"/>
      <c r="FKR5" s="390"/>
      <c r="FKS5" s="390"/>
      <c r="FKT5" s="390"/>
      <c r="FKU5" s="390"/>
      <c r="FKV5" s="390"/>
      <c r="FKW5" s="390"/>
      <c r="FKX5" s="390"/>
      <c r="FKY5" s="390"/>
      <c r="FKZ5" s="390"/>
      <c r="FLA5" s="390"/>
      <c r="FLB5" s="390"/>
      <c r="FLC5" s="390"/>
      <c r="FLD5" s="390"/>
      <c r="FLE5" s="390"/>
      <c r="FLF5" s="390"/>
      <c r="FLG5" s="390"/>
      <c r="FLH5" s="390"/>
      <c r="FLI5" s="390"/>
      <c r="FLJ5" s="390"/>
      <c r="FLK5" s="390"/>
      <c r="FLL5" s="390"/>
      <c r="FLM5" s="390"/>
      <c r="FLN5" s="390"/>
      <c r="FLO5" s="390"/>
      <c r="FLP5" s="390"/>
      <c r="FLQ5" s="390"/>
      <c r="FLR5" s="390"/>
      <c r="FLS5" s="390"/>
      <c r="FLT5" s="390"/>
      <c r="FLU5" s="390"/>
      <c r="FLV5" s="390"/>
      <c r="FLW5" s="390"/>
      <c r="FLX5" s="390"/>
      <c r="FLY5" s="390"/>
      <c r="FLZ5" s="390"/>
      <c r="FMA5" s="390"/>
      <c r="FMB5" s="390"/>
      <c r="FMC5" s="390"/>
      <c r="FMD5" s="390"/>
      <c r="FME5" s="390"/>
      <c r="FMF5" s="390"/>
      <c r="FMG5" s="390"/>
      <c r="FMH5" s="390"/>
      <c r="FMI5" s="390"/>
      <c r="FMJ5" s="390"/>
      <c r="FMK5" s="390"/>
      <c r="FML5" s="390"/>
      <c r="FMM5" s="390"/>
      <c r="FMN5" s="390"/>
      <c r="FMO5" s="390"/>
      <c r="FMP5" s="390"/>
      <c r="FMQ5" s="390"/>
      <c r="FMR5" s="390"/>
      <c r="FMS5" s="390"/>
      <c r="FMT5" s="390"/>
      <c r="FMU5" s="390"/>
      <c r="FMV5" s="390"/>
      <c r="FMW5" s="390"/>
      <c r="FMX5" s="390"/>
      <c r="FMY5" s="390"/>
      <c r="FMZ5" s="390"/>
      <c r="FNA5" s="390"/>
      <c r="FNB5" s="390"/>
      <c r="FNC5" s="390"/>
      <c r="FND5" s="390"/>
      <c r="FNE5" s="390"/>
      <c r="FNF5" s="390"/>
      <c r="FNG5" s="390"/>
      <c r="FNH5" s="390"/>
      <c r="FNI5" s="390"/>
      <c r="FNJ5" s="390"/>
      <c r="FNK5" s="390"/>
      <c r="FNL5" s="390"/>
      <c r="FNM5" s="390"/>
      <c r="FNN5" s="390"/>
      <c r="FNO5" s="390"/>
      <c r="FNP5" s="390"/>
      <c r="FNQ5" s="390"/>
      <c r="FNR5" s="390"/>
      <c r="FNS5" s="390"/>
      <c r="FNT5" s="390"/>
      <c r="FNU5" s="390"/>
      <c r="FNV5" s="390"/>
      <c r="FNW5" s="390"/>
      <c r="FNX5" s="390"/>
      <c r="FNY5" s="390"/>
      <c r="FNZ5" s="390"/>
      <c r="FOA5" s="390"/>
      <c r="FOB5" s="390"/>
      <c r="FOC5" s="390"/>
      <c r="FOD5" s="390"/>
      <c r="FOE5" s="390"/>
      <c r="FOF5" s="390"/>
      <c r="FOG5" s="390"/>
      <c r="FOH5" s="390"/>
      <c r="FOI5" s="390"/>
      <c r="FOJ5" s="390"/>
      <c r="FOK5" s="390"/>
      <c r="FOL5" s="390"/>
      <c r="FOM5" s="390"/>
      <c r="FON5" s="390"/>
      <c r="FOO5" s="390"/>
      <c r="FOP5" s="390"/>
      <c r="FOQ5" s="390"/>
      <c r="FOR5" s="390"/>
      <c r="FOS5" s="390"/>
      <c r="FOT5" s="390"/>
      <c r="FOU5" s="390"/>
      <c r="FOV5" s="390"/>
      <c r="FOW5" s="390"/>
      <c r="FOX5" s="390"/>
      <c r="FOY5" s="390"/>
      <c r="FOZ5" s="390"/>
      <c r="FPA5" s="390"/>
      <c r="FPB5" s="390"/>
      <c r="FPC5" s="390"/>
      <c r="FPD5" s="390"/>
      <c r="FPE5" s="390"/>
      <c r="FPF5" s="390"/>
      <c r="FPG5" s="390"/>
      <c r="FPH5" s="390"/>
      <c r="FPI5" s="390"/>
      <c r="FPJ5" s="390"/>
      <c r="FPK5" s="390"/>
      <c r="FPL5" s="390"/>
      <c r="FPM5" s="390"/>
      <c r="FPN5" s="390"/>
      <c r="FPO5" s="390"/>
      <c r="FPP5" s="390"/>
      <c r="FPQ5" s="390"/>
      <c r="FPR5" s="390"/>
      <c r="FPS5" s="390"/>
      <c r="FPT5" s="390"/>
      <c r="FPU5" s="390"/>
      <c r="FPV5" s="390"/>
      <c r="FPW5" s="390"/>
      <c r="FPX5" s="390"/>
      <c r="FPY5" s="390"/>
      <c r="FPZ5" s="390"/>
      <c r="FQA5" s="390"/>
      <c r="FQB5" s="390"/>
      <c r="FQC5" s="390"/>
      <c r="FQD5" s="390"/>
      <c r="FQE5" s="390"/>
      <c r="FQF5" s="390"/>
      <c r="FQG5" s="390"/>
      <c r="FQH5" s="390"/>
      <c r="FQI5" s="390"/>
      <c r="FQJ5" s="390"/>
      <c r="FQK5" s="390"/>
      <c r="FQL5" s="390"/>
      <c r="FQM5" s="390"/>
      <c r="FQN5" s="390"/>
      <c r="FQO5" s="390"/>
      <c r="FQP5" s="390"/>
      <c r="FQQ5" s="390"/>
      <c r="FQR5" s="390"/>
      <c r="FQS5" s="390"/>
      <c r="FQT5" s="390"/>
      <c r="FQU5" s="390"/>
      <c r="FQV5" s="390"/>
      <c r="FQW5" s="390"/>
      <c r="FQX5" s="390"/>
      <c r="FQY5" s="390"/>
      <c r="FQZ5" s="390"/>
      <c r="FRA5" s="390"/>
      <c r="FRB5" s="390"/>
      <c r="FRC5" s="390"/>
      <c r="FRD5" s="390"/>
      <c r="FRE5" s="390"/>
      <c r="FRF5" s="390"/>
      <c r="FRG5" s="390"/>
      <c r="FRH5" s="390"/>
      <c r="FRI5" s="390"/>
      <c r="FRJ5" s="390"/>
      <c r="FRK5" s="390"/>
      <c r="FRL5" s="390"/>
      <c r="FRM5" s="390"/>
      <c r="FRN5" s="390"/>
      <c r="FRO5" s="390"/>
      <c r="FRP5" s="390"/>
      <c r="FRQ5" s="390"/>
      <c r="FRR5" s="390"/>
      <c r="FRS5" s="390"/>
      <c r="FRT5" s="390"/>
      <c r="FRU5" s="390"/>
      <c r="FRV5" s="390"/>
      <c r="FRW5" s="390"/>
      <c r="FRX5" s="390"/>
      <c r="FRY5" s="390"/>
      <c r="FRZ5" s="390"/>
      <c r="FSA5" s="390"/>
      <c r="FSB5" s="390"/>
      <c r="FSC5" s="390"/>
      <c r="FSD5" s="390"/>
      <c r="FSE5" s="390"/>
      <c r="FSF5" s="390"/>
      <c r="FSG5" s="390"/>
      <c r="FSH5" s="390"/>
      <c r="FSI5" s="390"/>
      <c r="FSJ5" s="390"/>
      <c r="FSK5" s="390"/>
      <c r="FSL5" s="390"/>
      <c r="FSM5" s="390"/>
      <c r="FSN5" s="390"/>
      <c r="FSO5" s="390"/>
      <c r="FSP5" s="390"/>
      <c r="FSQ5" s="390"/>
      <c r="FSR5" s="390"/>
      <c r="FSS5" s="390"/>
      <c r="FST5" s="390"/>
      <c r="FSU5" s="390"/>
      <c r="FSV5" s="390"/>
      <c r="FSW5" s="390"/>
      <c r="FSX5" s="390"/>
      <c r="FSY5" s="390"/>
      <c r="FSZ5" s="390"/>
      <c r="FTA5" s="390"/>
      <c r="FTB5" s="390"/>
      <c r="FTC5" s="390"/>
      <c r="FTD5" s="390"/>
      <c r="FTE5" s="390"/>
      <c r="FTF5" s="390"/>
      <c r="FTG5" s="390"/>
      <c r="FTH5" s="390"/>
      <c r="FTI5" s="390"/>
      <c r="FTJ5" s="390"/>
      <c r="FTK5" s="390"/>
      <c r="FTL5" s="390"/>
      <c r="FTM5" s="390"/>
      <c r="FTN5" s="390"/>
      <c r="FTO5" s="390"/>
      <c r="FTP5" s="390"/>
      <c r="FTQ5" s="390"/>
      <c r="FTR5" s="390"/>
      <c r="FTS5" s="390"/>
      <c r="FTT5" s="390"/>
      <c r="FTU5" s="390"/>
      <c r="FTV5" s="390"/>
      <c r="FTW5" s="390"/>
      <c r="FTX5" s="390"/>
      <c r="FTY5" s="390"/>
      <c r="FTZ5" s="390"/>
      <c r="FUA5" s="390"/>
      <c r="FUB5" s="390"/>
      <c r="FUC5" s="390"/>
      <c r="FUD5" s="390"/>
      <c r="FUE5" s="390"/>
      <c r="FUF5" s="390"/>
      <c r="FUG5" s="390"/>
      <c r="FUH5" s="390"/>
      <c r="FUI5" s="390"/>
      <c r="FUJ5" s="390"/>
      <c r="FUK5" s="390"/>
      <c r="FUL5" s="390"/>
      <c r="FUM5" s="390"/>
      <c r="FUN5" s="390"/>
      <c r="FUO5" s="390"/>
      <c r="FUP5" s="390"/>
      <c r="FUQ5" s="390"/>
      <c r="FUR5" s="390"/>
      <c r="FUS5" s="390"/>
      <c r="FUT5" s="390"/>
      <c r="FUU5" s="390"/>
      <c r="FUV5" s="390"/>
      <c r="FUW5" s="390"/>
      <c r="FUX5" s="390"/>
      <c r="FUY5" s="390"/>
      <c r="FUZ5" s="390"/>
      <c r="FVA5" s="390"/>
      <c r="FVB5" s="390"/>
      <c r="FVC5" s="390"/>
      <c r="FVD5" s="390"/>
      <c r="FVE5" s="390"/>
      <c r="FVF5" s="390"/>
      <c r="FVG5" s="390"/>
      <c r="FVH5" s="390"/>
      <c r="FVI5" s="390"/>
      <c r="FVJ5" s="390"/>
      <c r="FVK5" s="390"/>
      <c r="FVL5" s="390"/>
      <c r="FVM5" s="390"/>
      <c r="FVN5" s="390"/>
      <c r="FVO5" s="390"/>
      <c r="FVP5" s="390"/>
      <c r="FVQ5" s="390"/>
      <c r="FVR5" s="390"/>
      <c r="FVS5" s="390"/>
      <c r="FVT5" s="390"/>
      <c r="FVU5" s="390"/>
      <c r="FVV5" s="390"/>
      <c r="FVW5" s="390"/>
      <c r="FVX5" s="390"/>
      <c r="FVY5" s="390"/>
      <c r="FVZ5" s="390"/>
      <c r="FWA5" s="390"/>
      <c r="FWB5" s="390"/>
      <c r="FWC5" s="390"/>
      <c r="FWD5" s="390"/>
      <c r="FWE5" s="390"/>
      <c r="FWF5" s="390"/>
      <c r="FWG5" s="390"/>
      <c r="FWH5" s="390"/>
      <c r="FWI5" s="390"/>
      <c r="FWJ5" s="390"/>
      <c r="FWK5" s="390"/>
      <c r="FWL5" s="390"/>
      <c r="FWM5" s="390"/>
      <c r="FWN5" s="390"/>
      <c r="FWO5" s="390"/>
      <c r="FWP5" s="390"/>
      <c r="FWQ5" s="390"/>
      <c r="FWR5" s="390"/>
      <c r="FWS5" s="390"/>
      <c r="FWT5" s="390"/>
      <c r="FWU5" s="390"/>
      <c r="FWV5" s="390"/>
      <c r="FWW5" s="390"/>
      <c r="FWX5" s="390"/>
      <c r="FWY5" s="390"/>
      <c r="FWZ5" s="390"/>
      <c r="FXA5" s="390"/>
      <c r="FXB5" s="390"/>
      <c r="FXC5" s="390"/>
      <c r="FXD5" s="390"/>
      <c r="FXE5" s="390"/>
      <c r="FXF5" s="390"/>
      <c r="FXG5" s="390"/>
      <c r="FXH5" s="390"/>
      <c r="FXI5" s="390"/>
      <c r="FXJ5" s="390"/>
      <c r="FXK5" s="390"/>
      <c r="FXL5" s="390"/>
      <c r="FXM5" s="390"/>
      <c r="FXN5" s="390"/>
      <c r="FXO5" s="390"/>
      <c r="FXP5" s="390"/>
      <c r="FXQ5" s="390"/>
      <c r="FXR5" s="390"/>
      <c r="FXS5" s="390"/>
      <c r="FXT5" s="390"/>
      <c r="FXU5" s="390"/>
      <c r="FXV5" s="390"/>
      <c r="FXW5" s="390"/>
      <c r="FXX5" s="390"/>
      <c r="FXY5" s="390"/>
      <c r="FXZ5" s="390"/>
      <c r="FYA5" s="390"/>
      <c r="FYB5" s="390"/>
      <c r="FYC5" s="390"/>
      <c r="FYD5" s="390"/>
      <c r="FYE5" s="390"/>
      <c r="FYF5" s="390"/>
      <c r="FYG5" s="390"/>
      <c r="FYH5" s="390"/>
      <c r="FYI5" s="390"/>
      <c r="FYJ5" s="390"/>
      <c r="FYK5" s="390"/>
      <c r="FYL5" s="390"/>
      <c r="FYM5" s="390"/>
      <c r="FYN5" s="390"/>
      <c r="FYO5" s="390"/>
      <c r="FYP5" s="390"/>
      <c r="FYQ5" s="390"/>
      <c r="FYR5" s="390"/>
      <c r="FYS5" s="390"/>
      <c r="FYT5" s="390"/>
      <c r="FYU5" s="390"/>
      <c r="FYV5" s="390"/>
      <c r="FYW5" s="390"/>
      <c r="FYX5" s="390"/>
      <c r="FYY5" s="390"/>
      <c r="FYZ5" s="390"/>
      <c r="FZA5" s="390"/>
      <c r="FZB5" s="390"/>
      <c r="FZC5" s="390"/>
      <c r="FZD5" s="390"/>
      <c r="FZE5" s="390"/>
      <c r="FZF5" s="390"/>
      <c r="FZG5" s="390"/>
      <c r="FZH5" s="390"/>
      <c r="FZI5" s="390"/>
      <c r="FZJ5" s="390"/>
      <c r="FZK5" s="390"/>
      <c r="FZL5" s="390"/>
      <c r="FZM5" s="390"/>
      <c r="FZN5" s="390"/>
      <c r="FZO5" s="390"/>
      <c r="FZP5" s="390"/>
      <c r="FZQ5" s="390"/>
      <c r="FZR5" s="390"/>
      <c r="FZS5" s="390"/>
      <c r="FZT5" s="390"/>
      <c r="FZU5" s="390"/>
      <c r="FZV5" s="390"/>
      <c r="FZW5" s="390"/>
      <c r="FZX5" s="390"/>
      <c r="FZY5" s="390"/>
      <c r="FZZ5" s="390"/>
      <c r="GAA5" s="390"/>
      <c r="GAB5" s="390"/>
      <c r="GAC5" s="390"/>
      <c r="GAD5" s="390"/>
      <c r="GAE5" s="390"/>
      <c r="GAF5" s="390"/>
      <c r="GAG5" s="390"/>
      <c r="GAH5" s="390"/>
      <c r="GAI5" s="390"/>
      <c r="GAJ5" s="390"/>
      <c r="GAK5" s="390"/>
      <c r="GAL5" s="390"/>
      <c r="GAM5" s="390"/>
      <c r="GAN5" s="390"/>
      <c r="GAO5" s="390"/>
      <c r="GAP5" s="390"/>
      <c r="GAQ5" s="390"/>
      <c r="GAR5" s="390"/>
      <c r="GAS5" s="390"/>
      <c r="GAT5" s="390"/>
      <c r="GAU5" s="390"/>
      <c r="GAV5" s="390"/>
      <c r="GAW5" s="390"/>
      <c r="GAX5" s="390"/>
      <c r="GAY5" s="390"/>
      <c r="GAZ5" s="390"/>
      <c r="GBA5" s="390"/>
      <c r="GBB5" s="390"/>
      <c r="GBC5" s="390"/>
      <c r="GBD5" s="390"/>
      <c r="GBE5" s="390"/>
      <c r="GBF5" s="390"/>
      <c r="GBG5" s="390"/>
      <c r="GBH5" s="390"/>
      <c r="GBI5" s="390"/>
      <c r="GBJ5" s="390"/>
      <c r="GBK5" s="390"/>
      <c r="GBL5" s="390"/>
      <c r="GBM5" s="390"/>
      <c r="GBN5" s="390"/>
      <c r="GBO5" s="390"/>
      <c r="GBP5" s="390"/>
      <c r="GBQ5" s="390"/>
      <c r="GBR5" s="390"/>
      <c r="GBS5" s="390"/>
      <c r="GBT5" s="390"/>
      <c r="GBU5" s="390"/>
      <c r="GBV5" s="390"/>
      <c r="GBW5" s="390"/>
      <c r="GBX5" s="390"/>
      <c r="GBY5" s="390"/>
      <c r="GBZ5" s="390"/>
      <c r="GCA5" s="390"/>
      <c r="GCB5" s="390"/>
      <c r="GCC5" s="390"/>
      <c r="GCD5" s="390"/>
      <c r="GCE5" s="390"/>
      <c r="GCF5" s="390"/>
      <c r="GCG5" s="390"/>
      <c r="GCH5" s="390"/>
      <c r="GCI5" s="390"/>
      <c r="GCJ5" s="390"/>
      <c r="GCK5" s="390"/>
      <c r="GCL5" s="390"/>
      <c r="GCM5" s="390"/>
      <c r="GCN5" s="390"/>
      <c r="GCO5" s="390"/>
      <c r="GCP5" s="390"/>
      <c r="GCQ5" s="390"/>
      <c r="GCR5" s="390"/>
      <c r="GCS5" s="390"/>
      <c r="GCT5" s="390"/>
      <c r="GCU5" s="390"/>
      <c r="GCV5" s="390"/>
      <c r="GCW5" s="390"/>
      <c r="GCX5" s="390"/>
      <c r="GCY5" s="390"/>
      <c r="GCZ5" s="390"/>
      <c r="GDA5" s="390"/>
      <c r="GDB5" s="390"/>
      <c r="GDC5" s="390"/>
      <c r="GDD5" s="390"/>
      <c r="GDE5" s="390"/>
      <c r="GDF5" s="390"/>
      <c r="GDG5" s="390"/>
      <c r="GDH5" s="390"/>
      <c r="GDI5" s="390"/>
      <c r="GDJ5" s="390"/>
      <c r="GDK5" s="390"/>
      <c r="GDL5" s="390"/>
      <c r="GDM5" s="390"/>
      <c r="GDN5" s="390"/>
      <c r="GDO5" s="390"/>
      <c r="GDP5" s="390"/>
      <c r="GDQ5" s="390"/>
      <c r="GDR5" s="390"/>
      <c r="GDS5" s="390"/>
      <c r="GDT5" s="390"/>
      <c r="GDU5" s="390"/>
      <c r="GDV5" s="390"/>
      <c r="GDW5" s="390"/>
      <c r="GDX5" s="390"/>
      <c r="GDY5" s="390"/>
      <c r="GDZ5" s="390"/>
      <c r="GEA5" s="390"/>
      <c r="GEB5" s="390"/>
      <c r="GEC5" s="390"/>
      <c r="GED5" s="390"/>
      <c r="GEE5" s="390"/>
      <c r="GEF5" s="390"/>
      <c r="GEG5" s="390"/>
      <c r="GEH5" s="390"/>
      <c r="GEI5" s="390"/>
      <c r="GEJ5" s="390"/>
      <c r="GEK5" s="390"/>
      <c r="GEL5" s="390"/>
      <c r="GEM5" s="390"/>
      <c r="GEN5" s="390"/>
      <c r="GEO5" s="390"/>
      <c r="GEP5" s="390"/>
      <c r="GEQ5" s="390"/>
      <c r="GER5" s="390"/>
      <c r="GES5" s="390"/>
      <c r="GET5" s="390"/>
      <c r="GEU5" s="390"/>
      <c r="GEV5" s="390"/>
      <c r="GEW5" s="390"/>
      <c r="GEX5" s="390"/>
      <c r="GEY5" s="390"/>
      <c r="GEZ5" s="390"/>
      <c r="GFA5" s="390"/>
      <c r="GFB5" s="390"/>
      <c r="GFC5" s="390"/>
      <c r="GFD5" s="390"/>
      <c r="GFE5" s="390"/>
      <c r="GFF5" s="390"/>
      <c r="GFG5" s="390"/>
      <c r="GFH5" s="390"/>
      <c r="GFI5" s="390"/>
      <c r="GFJ5" s="390"/>
      <c r="GFK5" s="390"/>
      <c r="GFL5" s="390"/>
      <c r="GFM5" s="390"/>
      <c r="GFN5" s="390"/>
      <c r="GFO5" s="390"/>
      <c r="GFP5" s="390"/>
      <c r="GFQ5" s="390"/>
      <c r="GFR5" s="390"/>
      <c r="GFS5" s="390"/>
      <c r="GFT5" s="390"/>
      <c r="GFU5" s="390"/>
      <c r="GFV5" s="390"/>
      <c r="GFW5" s="390"/>
      <c r="GFX5" s="390"/>
      <c r="GFY5" s="390"/>
      <c r="GFZ5" s="390"/>
      <c r="GGA5" s="390"/>
      <c r="GGB5" s="390"/>
      <c r="GGC5" s="390"/>
      <c r="GGD5" s="390"/>
      <c r="GGE5" s="390"/>
      <c r="GGF5" s="390"/>
      <c r="GGG5" s="390"/>
      <c r="GGH5" s="390"/>
      <c r="GGI5" s="390"/>
      <c r="GGJ5" s="390"/>
      <c r="GGK5" s="390"/>
      <c r="GGL5" s="390"/>
      <c r="GGM5" s="390"/>
      <c r="GGN5" s="390"/>
      <c r="GGO5" s="390"/>
      <c r="GGP5" s="390"/>
      <c r="GGQ5" s="390"/>
      <c r="GGR5" s="390"/>
      <c r="GGS5" s="390"/>
      <c r="GGT5" s="390"/>
      <c r="GGU5" s="390"/>
      <c r="GGV5" s="390"/>
      <c r="GGW5" s="390"/>
      <c r="GGX5" s="390"/>
      <c r="GGY5" s="390"/>
      <c r="GGZ5" s="390"/>
      <c r="GHA5" s="390"/>
      <c r="GHB5" s="390"/>
      <c r="GHC5" s="390"/>
      <c r="GHD5" s="390"/>
      <c r="GHE5" s="390"/>
      <c r="GHF5" s="390"/>
      <c r="GHG5" s="390"/>
      <c r="GHH5" s="390"/>
      <c r="GHI5" s="390"/>
      <c r="GHJ5" s="390"/>
      <c r="GHK5" s="390"/>
      <c r="GHL5" s="390"/>
      <c r="GHM5" s="390"/>
      <c r="GHN5" s="390"/>
      <c r="GHO5" s="390"/>
      <c r="GHP5" s="390"/>
      <c r="GHQ5" s="390"/>
      <c r="GHR5" s="390"/>
      <c r="GHS5" s="390"/>
      <c r="GHT5" s="390"/>
      <c r="GHU5" s="390"/>
      <c r="GHV5" s="390"/>
      <c r="GHW5" s="390"/>
      <c r="GHX5" s="390"/>
      <c r="GHY5" s="390"/>
      <c r="GHZ5" s="390"/>
      <c r="GIA5" s="390"/>
      <c r="GIB5" s="390"/>
      <c r="GIC5" s="390"/>
      <c r="GID5" s="390"/>
      <c r="GIE5" s="390"/>
      <c r="GIF5" s="390"/>
      <c r="GIG5" s="390"/>
      <c r="GIH5" s="390"/>
      <c r="GII5" s="390"/>
      <c r="GIJ5" s="390"/>
      <c r="GIK5" s="390"/>
      <c r="GIL5" s="390"/>
      <c r="GIM5" s="390"/>
      <c r="GIN5" s="390"/>
      <c r="GIO5" s="390"/>
      <c r="GIP5" s="390"/>
      <c r="GIQ5" s="390"/>
      <c r="GIR5" s="390"/>
      <c r="GIS5" s="390"/>
      <c r="GIT5" s="390"/>
      <c r="GIU5" s="390"/>
      <c r="GIV5" s="390"/>
      <c r="GIW5" s="390"/>
      <c r="GIX5" s="390"/>
      <c r="GIY5" s="390"/>
      <c r="GIZ5" s="390"/>
      <c r="GJA5" s="390"/>
      <c r="GJB5" s="390"/>
      <c r="GJC5" s="390"/>
      <c r="GJD5" s="390"/>
      <c r="GJE5" s="390"/>
      <c r="GJF5" s="390"/>
      <c r="GJG5" s="390"/>
      <c r="GJH5" s="390"/>
      <c r="GJI5" s="390"/>
      <c r="GJJ5" s="390"/>
      <c r="GJK5" s="390"/>
      <c r="GJL5" s="390"/>
      <c r="GJM5" s="390"/>
      <c r="GJN5" s="390"/>
      <c r="GJO5" s="390"/>
      <c r="GJP5" s="390"/>
      <c r="GJQ5" s="390"/>
      <c r="GJR5" s="390"/>
      <c r="GJS5" s="390"/>
      <c r="GJT5" s="390"/>
      <c r="GJU5" s="390"/>
      <c r="GJV5" s="390"/>
      <c r="GJW5" s="390"/>
      <c r="GJX5" s="390"/>
      <c r="GJY5" s="390"/>
      <c r="GJZ5" s="390"/>
      <c r="GKA5" s="390"/>
      <c r="GKB5" s="390"/>
      <c r="GKC5" s="390"/>
      <c r="GKD5" s="390"/>
      <c r="GKE5" s="390"/>
      <c r="GKF5" s="390"/>
      <c r="GKG5" s="390"/>
      <c r="GKH5" s="390"/>
      <c r="GKI5" s="390"/>
      <c r="GKJ5" s="390"/>
      <c r="GKK5" s="390"/>
      <c r="GKL5" s="390"/>
      <c r="GKM5" s="390"/>
      <c r="GKN5" s="390"/>
      <c r="GKO5" s="390"/>
      <c r="GKP5" s="390"/>
      <c r="GKQ5" s="390"/>
      <c r="GKR5" s="390"/>
      <c r="GKS5" s="390"/>
      <c r="GKT5" s="390"/>
      <c r="GKU5" s="390"/>
      <c r="GKV5" s="390"/>
      <c r="GKW5" s="390"/>
      <c r="GKX5" s="390"/>
      <c r="GKY5" s="390"/>
      <c r="GKZ5" s="390"/>
      <c r="GLA5" s="390"/>
      <c r="GLB5" s="390"/>
      <c r="GLC5" s="390"/>
      <c r="GLD5" s="390"/>
      <c r="GLE5" s="390"/>
      <c r="GLF5" s="390"/>
      <c r="GLG5" s="390"/>
      <c r="GLH5" s="390"/>
      <c r="GLI5" s="390"/>
      <c r="GLJ5" s="390"/>
      <c r="GLK5" s="390"/>
      <c r="GLL5" s="390"/>
      <c r="GLM5" s="390"/>
      <c r="GLN5" s="390"/>
      <c r="GLO5" s="390"/>
      <c r="GLP5" s="390"/>
      <c r="GLQ5" s="390"/>
      <c r="GLR5" s="390"/>
      <c r="GLS5" s="390"/>
      <c r="GLT5" s="390"/>
      <c r="GLU5" s="390"/>
      <c r="GLV5" s="390"/>
      <c r="GLW5" s="390"/>
      <c r="GLX5" s="390"/>
      <c r="GLY5" s="390"/>
      <c r="GLZ5" s="390"/>
      <c r="GMA5" s="390"/>
      <c r="GMB5" s="390"/>
      <c r="GMC5" s="390"/>
      <c r="GMD5" s="390"/>
      <c r="GME5" s="390"/>
      <c r="GMF5" s="390"/>
      <c r="GMG5" s="390"/>
      <c r="GMH5" s="390"/>
      <c r="GMI5" s="390"/>
      <c r="GMJ5" s="390"/>
      <c r="GMK5" s="390"/>
      <c r="GML5" s="390"/>
      <c r="GMM5" s="390"/>
      <c r="GMN5" s="390"/>
      <c r="GMO5" s="390"/>
      <c r="GMP5" s="390"/>
      <c r="GMQ5" s="390"/>
      <c r="GMR5" s="390"/>
      <c r="GMS5" s="390"/>
      <c r="GMT5" s="390"/>
      <c r="GMU5" s="390"/>
      <c r="GMV5" s="390"/>
      <c r="GMW5" s="390"/>
      <c r="GMX5" s="390"/>
      <c r="GMY5" s="390"/>
      <c r="GMZ5" s="390"/>
      <c r="GNA5" s="390"/>
      <c r="GNB5" s="390"/>
      <c r="GNC5" s="390"/>
      <c r="GND5" s="390"/>
      <c r="GNE5" s="390"/>
      <c r="GNF5" s="390"/>
      <c r="GNG5" s="390"/>
      <c r="GNH5" s="390"/>
      <c r="GNI5" s="390"/>
      <c r="GNJ5" s="390"/>
      <c r="GNK5" s="390"/>
      <c r="GNL5" s="390"/>
      <c r="GNM5" s="390"/>
      <c r="GNN5" s="390"/>
      <c r="GNO5" s="390"/>
      <c r="GNP5" s="390"/>
      <c r="GNQ5" s="390"/>
      <c r="GNR5" s="390"/>
      <c r="GNS5" s="390"/>
      <c r="GNT5" s="390"/>
      <c r="GNU5" s="390"/>
      <c r="GNV5" s="390"/>
      <c r="GNW5" s="390"/>
      <c r="GNX5" s="390"/>
      <c r="GNY5" s="390"/>
      <c r="GNZ5" s="390"/>
      <c r="GOA5" s="390"/>
      <c r="GOB5" s="390"/>
      <c r="GOC5" s="390"/>
      <c r="GOD5" s="390"/>
      <c r="GOE5" s="390"/>
      <c r="GOF5" s="390"/>
      <c r="GOG5" s="390"/>
      <c r="GOH5" s="390"/>
      <c r="GOI5" s="390"/>
      <c r="GOJ5" s="390"/>
      <c r="GOK5" s="390"/>
      <c r="GOL5" s="390"/>
      <c r="GOM5" s="390"/>
      <c r="GON5" s="390"/>
      <c r="GOO5" s="390"/>
      <c r="GOP5" s="390"/>
      <c r="GOQ5" s="390"/>
      <c r="GOR5" s="390"/>
      <c r="GOS5" s="390"/>
      <c r="GOT5" s="390"/>
      <c r="GOU5" s="390"/>
      <c r="GOV5" s="390"/>
      <c r="GOW5" s="390"/>
      <c r="GOX5" s="390"/>
      <c r="GOY5" s="390"/>
      <c r="GOZ5" s="390"/>
      <c r="GPA5" s="390"/>
      <c r="GPB5" s="390"/>
      <c r="GPC5" s="390"/>
      <c r="GPD5" s="390"/>
      <c r="GPE5" s="390"/>
      <c r="GPF5" s="390"/>
      <c r="GPG5" s="390"/>
      <c r="GPH5" s="390"/>
      <c r="GPI5" s="390"/>
      <c r="GPJ5" s="390"/>
      <c r="GPK5" s="390"/>
      <c r="GPL5" s="390"/>
      <c r="GPM5" s="390"/>
      <c r="GPN5" s="390"/>
      <c r="GPO5" s="390"/>
      <c r="GPP5" s="390"/>
      <c r="GPQ5" s="390"/>
      <c r="GPR5" s="390"/>
      <c r="GPS5" s="390"/>
      <c r="GPT5" s="390"/>
      <c r="GPU5" s="390"/>
      <c r="GPV5" s="390"/>
      <c r="GPW5" s="390"/>
      <c r="GPX5" s="390"/>
      <c r="GPY5" s="390"/>
      <c r="GPZ5" s="390"/>
      <c r="GQA5" s="390"/>
      <c r="GQB5" s="390"/>
      <c r="GQC5" s="390"/>
      <c r="GQD5" s="390"/>
      <c r="GQE5" s="390"/>
      <c r="GQF5" s="390"/>
      <c r="GQG5" s="390"/>
      <c r="GQH5" s="390"/>
      <c r="GQI5" s="390"/>
      <c r="GQJ5" s="390"/>
      <c r="GQK5" s="390"/>
      <c r="GQL5" s="390"/>
      <c r="GQM5" s="390"/>
      <c r="GQN5" s="390"/>
      <c r="GQO5" s="390"/>
      <c r="GQP5" s="390"/>
      <c r="GQQ5" s="390"/>
      <c r="GQR5" s="390"/>
      <c r="GQS5" s="390"/>
      <c r="GQT5" s="390"/>
      <c r="GQU5" s="390"/>
      <c r="GQV5" s="390"/>
      <c r="GQW5" s="390"/>
      <c r="GQX5" s="390"/>
      <c r="GQY5" s="390"/>
      <c r="GQZ5" s="390"/>
      <c r="GRA5" s="390"/>
      <c r="GRB5" s="390"/>
      <c r="GRC5" s="390"/>
      <c r="GRD5" s="390"/>
      <c r="GRE5" s="390"/>
      <c r="GRF5" s="390"/>
      <c r="GRG5" s="390"/>
      <c r="GRH5" s="390"/>
      <c r="GRI5" s="390"/>
      <c r="GRJ5" s="390"/>
      <c r="GRK5" s="390"/>
      <c r="GRL5" s="390"/>
      <c r="GRM5" s="390"/>
      <c r="GRN5" s="390"/>
      <c r="GRO5" s="390"/>
      <c r="GRP5" s="390"/>
      <c r="GRQ5" s="390"/>
      <c r="GRR5" s="390"/>
      <c r="GRS5" s="390"/>
      <c r="GRT5" s="390"/>
      <c r="GRU5" s="390"/>
      <c r="GRV5" s="390"/>
      <c r="GRW5" s="390"/>
      <c r="GRX5" s="390"/>
      <c r="GRY5" s="390"/>
      <c r="GRZ5" s="390"/>
      <c r="GSA5" s="390"/>
      <c r="GSB5" s="390"/>
      <c r="GSC5" s="390"/>
      <c r="GSD5" s="390"/>
      <c r="GSE5" s="390"/>
      <c r="GSF5" s="390"/>
      <c r="GSG5" s="390"/>
      <c r="GSH5" s="390"/>
      <c r="GSI5" s="390"/>
      <c r="GSJ5" s="390"/>
      <c r="GSK5" s="390"/>
      <c r="GSL5" s="390"/>
      <c r="GSM5" s="390"/>
      <c r="GSN5" s="390"/>
      <c r="GSO5" s="390"/>
      <c r="GSP5" s="390"/>
      <c r="GSQ5" s="390"/>
      <c r="GSR5" s="390"/>
      <c r="GSS5" s="390"/>
      <c r="GST5" s="390"/>
      <c r="GSU5" s="390"/>
      <c r="GSV5" s="390"/>
      <c r="GSW5" s="390"/>
      <c r="GSX5" s="390"/>
      <c r="GSY5" s="390"/>
      <c r="GSZ5" s="390"/>
      <c r="GTA5" s="390"/>
      <c r="GTB5" s="390"/>
      <c r="GTC5" s="390"/>
      <c r="GTD5" s="390"/>
      <c r="GTE5" s="390"/>
      <c r="GTF5" s="390"/>
      <c r="GTG5" s="390"/>
      <c r="GTH5" s="390"/>
      <c r="GTI5" s="390"/>
      <c r="GTJ5" s="390"/>
      <c r="GTK5" s="390"/>
      <c r="GTL5" s="390"/>
      <c r="GTM5" s="390"/>
      <c r="GTN5" s="390"/>
      <c r="GTO5" s="390"/>
      <c r="GTP5" s="390"/>
      <c r="GTQ5" s="390"/>
      <c r="GTR5" s="390"/>
      <c r="GTS5" s="390"/>
      <c r="GTT5" s="390"/>
      <c r="GTU5" s="390"/>
      <c r="GTV5" s="390"/>
      <c r="GTW5" s="390"/>
      <c r="GTX5" s="390"/>
      <c r="GTY5" s="390"/>
      <c r="GTZ5" s="390"/>
      <c r="GUA5" s="390"/>
      <c r="GUB5" s="390"/>
      <c r="GUC5" s="390"/>
      <c r="GUD5" s="390"/>
      <c r="GUE5" s="390"/>
      <c r="GUF5" s="390"/>
      <c r="GUG5" s="390"/>
      <c r="GUH5" s="390"/>
      <c r="GUI5" s="390"/>
      <c r="GUJ5" s="390"/>
      <c r="GUK5" s="390"/>
      <c r="GUL5" s="390"/>
      <c r="GUM5" s="390"/>
      <c r="GUN5" s="390"/>
      <c r="GUO5" s="390"/>
      <c r="GUP5" s="390"/>
      <c r="GUQ5" s="390"/>
      <c r="GUR5" s="390"/>
      <c r="GUS5" s="390"/>
      <c r="GUT5" s="390"/>
      <c r="GUU5" s="390"/>
      <c r="GUV5" s="390"/>
      <c r="GUW5" s="390"/>
      <c r="GUX5" s="390"/>
      <c r="GUY5" s="390"/>
      <c r="GUZ5" s="390"/>
      <c r="GVA5" s="390"/>
      <c r="GVB5" s="390"/>
      <c r="GVC5" s="390"/>
      <c r="GVD5" s="390"/>
      <c r="GVE5" s="390"/>
      <c r="GVF5" s="390"/>
      <c r="GVG5" s="390"/>
      <c r="GVH5" s="390"/>
      <c r="GVI5" s="390"/>
      <c r="GVJ5" s="390"/>
      <c r="GVK5" s="390"/>
      <c r="GVL5" s="390"/>
      <c r="GVM5" s="390"/>
      <c r="GVN5" s="390"/>
      <c r="GVO5" s="390"/>
      <c r="GVP5" s="390"/>
      <c r="GVQ5" s="390"/>
      <c r="GVR5" s="390"/>
      <c r="GVS5" s="390"/>
      <c r="GVT5" s="390"/>
      <c r="GVU5" s="390"/>
      <c r="GVV5" s="390"/>
      <c r="GVW5" s="390"/>
      <c r="GVX5" s="390"/>
      <c r="GVY5" s="390"/>
      <c r="GVZ5" s="390"/>
      <c r="GWA5" s="390"/>
      <c r="GWB5" s="390"/>
      <c r="GWC5" s="390"/>
      <c r="GWD5" s="390"/>
      <c r="GWE5" s="390"/>
      <c r="GWF5" s="390"/>
      <c r="GWG5" s="390"/>
      <c r="GWH5" s="390"/>
      <c r="GWI5" s="390"/>
      <c r="GWJ5" s="390"/>
      <c r="GWK5" s="390"/>
      <c r="GWL5" s="390"/>
      <c r="GWM5" s="390"/>
      <c r="GWN5" s="390"/>
      <c r="GWO5" s="390"/>
      <c r="GWP5" s="390"/>
      <c r="GWQ5" s="390"/>
      <c r="GWR5" s="390"/>
      <c r="GWS5" s="390"/>
      <c r="GWT5" s="390"/>
      <c r="GWU5" s="390"/>
      <c r="GWV5" s="390"/>
      <c r="GWW5" s="390"/>
      <c r="GWX5" s="390"/>
      <c r="GWY5" s="390"/>
      <c r="GWZ5" s="390"/>
      <c r="GXA5" s="390"/>
      <c r="GXB5" s="390"/>
      <c r="GXC5" s="390"/>
      <c r="GXD5" s="390"/>
      <c r="GXE5" s="390"/>
      <c r="GXF5" s="390"/>
      <c r="GXG5" s="390"/>
      <c r="GXH5" s="390"/>
      <c r="GXI5" s="390"/>
      <c r="GXJ5" s="390"/>
      <c r="GXK5" s="390"/>
      <c r="GXL5" s="390"/>
      <c r="GXM5" s="390"/>
      <c r="GXN5" s="390"/>
      <c r="GXO5" s="390"/>
      <c r="GXP5" s="390"/>
      <c r="GXQ5" s="390"/>
      <c r="GXR5" s="390"/>
      <c r="GXS5" s="390"/>
      <c r="GXT5" s="390"/>
      <c r="GXU5" s="390"/>
      <c r="GXV5" s="390"/>
      <c r="GXW5" s="390"/>
      <c r="GXX5" s="390"/>
      <c r="GXY5" s="390"/>
      <c r="GXZ5" s="390"/>
      <c r="GYA5" s="390"/>
      <c r="GYB5" s="390"/>
      <c r="GYC5" s="390"/>
      <c r="GYD5" s="390"/>
      <c r="GYE5" s="390"/>
      <c r="GYF5" s="390"/>
      <c r="GYG5" s="390"/>
      <c r="GYH5" s="390"/>
      <c r="GYI5" s="390"/>
      <c r="GYJ5" s="390"/>
      <c r="GYK5" s="390"/>
      <c r="GYL5" s="390"/>
      <c r="GYM5" s="390"/>
      <c r="GYN5" s="390"/>
      <c r="GYO5" s="390"/>
      <c r="GYP5" s="390"/>
      <c r="GYQ5" s="390"/>
      <c r="GYR5" s="390"/>
      <c r="GYS5" s="390"/>
      <c r="GYT5" s="390"/>
      <c r="GYU5" s="390"/>
      <c r="GYV5" s="390"/>
      <c r="GYW5" s="390"/>
      <c r="GYX5" s="390"/>
      <c r="GYY5" s="390"/>
      <c r="GYZ5" s="390"/>
      <c r="GZA5" s="390"/>
      <c r="GZB5" s="390"/>
      <c r="GZC5" s="390"/>
      <c r="GZD5" s="390"/>
      <c r="GZE5" s="390"/>
      <c r="GZF5" s="390"/>
      <c r="GZG5" s="390"/>
      <c r="GZH5" s="390"/>
      <c r="GZI5" s="390"/>
      <c r="GZJ5" s="390"/>
      <c r="GZK5" s="390"/>
      <c r="GZL5" s="390"/>
      <c r="GZM5" s="390"/>
      <c r="GZN5" s="390"/>
      <c r="GZO5" s="390"/>
      <c r="GZP5" s="390"/>
      <c r="GZQ5" s="390"/>
      <c r="GZR5" s="390"/>
      <c r="GZS5" s="390"/>
      <c r="GZT5" s="390"/>
      <c r="GZU5" s="390"/>
      <c r="GZV5" s="390"/>
      <c r="GZW5" s="390"/>
      <c r="GZX5" s="390"/>
      <c r="GZY5" s="390"/>
      <c r="GZZ5" s="390"/>
      <c r="HAA5" s="390"/>
      <c r="HAB5" s="390"/>
      <c r="HAC5" s="390"/>
      <c r="HAD5" s="390"/>
      <c r="HAE5" s="390"/>
      <c r="HAF5" s="390"/>
      <c r="HAG5" s="390"/>
      <c r="HAH5" s="390"/>
      <c r="HAI5" s="390"/>
      <c r="HAJ5" s="390"/>
      <c r="HAK5" s="390"/>
      <c r="HAL5" s="390"/>
      <c r="HAM5" s="390"/>
      <c r="HAN5" s="390"/>
      <c r="HAO5" s="390"/>
      <c r="HAP5" s="390"/>
      <c r="HAQ5" s="390"/>
      <c r="HAR5" s="390"/>
      <c r="HAS5" s="390"/>
      <c r="HAT5" s="390"/>
      <c r="HAU5" s="390"/>
      <c r="HAV5" s="390"/>
      <c r="HAW5" s="390"/>
      <c r="HAX5" s="390"/>
      <c r="HAY5" s="390"/>
      <c r="HAZ5" s="390"/>
      <c r="HBA5" s="390"/>
      <c r="HBB5" s="390"/>
      <c r="HBC5" s="390"/>
      <c r="HBD5" s="390"/>
      <c r="HBE5" s="390"/>
      <c r="HBF5" s="390"/>
      <c r="HBG5" s="390"/>
      <c r="HBH5" s="390"/>
      <c r="HBI5" s="390"/>
      <c r="HBJ5" s="390"/>
      <c r="HBK5" s="390"/>
      <c r="HBL5" s="390"/>
      <c r="HBM5" s="390"/>
      <c r="HBN5" s="390"/>
      <c r="HBO5" s="390"/>
      <c r="HBP5" s="390"/>
      <c r="HBQ5" s="390"/>
      <c r="HBR5" s="390"/>
      <c r="HBS5" s="390"/>
      <c r="HBT5" s="390"/>
      <c r="HBU5" s="390"/>
      <c r="HBV5" s="390"/>
      <c r="HBW5" s="390"/>
      <c r="HBX5" s="390"/>
      <c r="HBY5" s="390"/>
      <c r="HBZ5" s="390"/>
      <c r="HCA5" s="390"/>
      <c r="HCB5" s="390"/>
      <c r="HCC5" s="390"/>
      <c r="HCD5" s="390"/>
      <c r="HCE5" s="390"/>
      <c r="HCF5" s="390"/>
      <c r="HCG5" s="390"/>
      <c r="HCH5" s="390"/>
      <c r="HCI5" s="390"/>
      <c r="HCJ5" s="390"/>
      <c r="HCK5" s="390"/>
      <c r="HCL5" s="390"/>
      <c r="HCM5" s="390"/>
      <c r="HCN5" s="390"/>
      <c r="HCO5" s="390"/>
      <c r="HCP5" s="390"/>
      <c r="HCQ5" s="390"/>
      <c r="HCR5" s="390"/>
      <c r="HCS5" s="390"/>
      <c r="HCT5" s="390"/>
      <c r="HCU5" s="390"/>
      <c r="HCV5" s="390"/>
      <c r="HCW5" s="390"/>
      <c r="HCX5" s="390"/>
      <c r="HCY5" s="390"/>
      <c r="HCZ5" s="390"/>
      <c r="HDA5" s="390"/>
      <c r="HDB5" s="390"/>
      <c r="HDC5" s="390"/>
      <c r="HDD5" s="390"/>
      <c r="HDE5" s="390"/>
      <c r="HDF5" s="390"/>
      <c r="HDG5" s="390"/>
      <c r="HDH5" s="390"/>
      <c r="HDI5" s="390"/>
      <c r="HDJ5" s="390"/>
      <c r="HDK5" s="390"/>
      <c r="HDL5" s="390"/>
      <c r="HDM5" s="390"/>
      <c r="HDN5" s="390"/>
      <c r="HDO5" s="390"/>
      <c r="HDP5" s="390"/>
      <c r="HDQ5" s="390"/>
      <c r="HDR5" s="390"/>
      <c r="HDS5" s="390"/>
      <c r="HDT5" s="390"/>
      <c r="HDU5" s="390"/>
      <c r="HDV5" s="390"/>
      <c r="HDW5" s="390"/>
      <c r="HDX5" s="390"/>
      <c r="HDY5" s="390"/>
      <c r="HDZ5" s="390"/>
      <c r="HEA5" s="390"/>
      <c r="HEB5" s="390"/>
      <c r="HEC5" s="390"/>
      <c r="HED5" s="390"/>
      <c r="HEE5" s="390"/>
      <c r="HEF5" s="390"/>
      <c r="HEG5" s="390"/>
      <c r="HEH5" s="390"/>
      <c r="HEI5" s="390"/>
      <c r="HEJ5" s="390"/>
      <c r="HEK5" s="390"/>
      <c r="HEL5" s="390"/>
      <c r="HEM5" s="390"/>
      <c r="HEN5" s="390"/>
      <c r="HEO5" s="390"/>
      <c r="HEP5" s="390"/>
      <c r="HEQ5" s="390"/>
      <c r="HER5" s="390"/>
      <c r="HES5" s="390"/>
      <c r="HET5" s="390"/>
      <c r="HEU5" s="390"/>
      <c r="HEV5" s="390"/>
      <c r="HEW5" s="390"/>
      <c r="HEX5" s="390"/>
      <c r="HEY5" s="390"/>
      <c r="HEZ5" s="390"/>
      <c r="HFA5" s="390"/>
      <c r="HFB5" s="390"/>
      <c r="HFC5" s="390"/>
      <c r="HFD5" s="390"/>
      <c r="HFE5" s="390"/>
      <c r="HFF5" s="390"/>
      <c r="HFG5" s="390"/>
      <c r="HFH5" s="390"/>
      <c r="HFI5" s="390"/>
      <c r="HFJ5" s="390"/>
      <c r="HFK5" s="390"/>
      <c r="HFL5" s="390"/>
      <c r="HFM5" s="390"/>
      <c r="HFN5" s="390"/>
      <c r="HFO5" s="390"/>
      <c r="HFP5" s="390"/>
      <c r="HFQ5" s="390"/>
      <c r="HFR5" s="390"/>
      <c r="HFS5" s="390"/>
      <c r="HFT5" s="390"/>
      <c r="HFU5" s="390"/>
      <c r="HFV5" s="390"/>
      <c r="HFW5" s="390"/>
      <c r="HFX5" s="390"/>
      <c r="HFY5" s="390"/>
      <c r="HFZ5" s="390"/>
      <c r="HGA5" s="390"/>
      <c r="HGB5" s="390"/>
      <c r="HGC5" s="390"/>
      <c r="HGD5" s="390"/>
      <c r="HGE5" s="390"/>
      <c r="HGF5" s="390"/>
      <c r="HGG5" s="390"/>
      <c r="HGH5" s="390"/>
      <c r="HGI5" s="390"/>
      <c r="HGJ5" s="390"/>
      <c r="HGK5" s="390"/>
      <c r="HGL5" s="390"/>
      <c r="HGM5" s="390"/>
      <c r="HGN5" s="390"/>
      <c r="HGO5" s="390"/>
      <c r="HGP5" s="390"/>
      <c r="HGQ5" s="390"/>
      <c r="HGR5" s="390"/>
      <c r="HGS5" s="390"/>
      <c r="HGT5" s="390"/>
      <c r="HGU5" s="390"/>
      <c r="HGV5" s="390"/>
      <c r="HGW5" s="390"/>
      <c r="HGX5" s="390"/>
      <c r="HGY5" s="390"/>
      <c r="HGZ5" s="390"/>
      <c r="HHA5" s="390"/>
      <c r="HHB5" s="390"/>
      <c r="HHC5" s="390"/>
      <c r="HHD5" s="390"/>
      <c r="HHE5" s="390"/>
      <c r="HHF5" s="390"/>
      <c r="HHG5" s="390"/>
      <c r="HHH5" s="390"/>
      <c r="HHI5" s="390"/>
      <c r="HHJ5" s="390"/>
      <c r="HHK5" s="390"/>
      <c r="HHL5" s="390"/>
      <c r="HHM5" s="390"/>
      <c r="HHN5" s="390"/>
      <c r="HHO5" s="390"/>
      <c r="HHP5" s="390"/>
      <c r="HHQ5" s="390"/>
      <c r="HHR5" s="390"/>
      <c r="HHS5" s="390"/>
      <c r="HHT5" s="390"/>
      <c r="HHU5" s="390"/>
      <c r="HHV5" s="390"/>
      <c r="HHW5" s="390"/>
      <c r="HHX5" s="390"/>
      <c r="HHY5" s="390"/>
      <c r="HHZ5" s="390"/>
      <c r="HIA5" s="390"/>
      <c r="HIB5" s="390"/>
      <c r="HIC5" s="390"/>
      <c r="HID5" s="390"/>
      <c r="HIE5" s="390"/>
      <c r="HIF5" s="390"/>
      <c r="HIG5" s="390"/>
      <c r="HIH5" s="390"/>
      <c r="HII5" s="390"/>
      <c r="HIJ5" s="390"/>
      <c r="HIK5" s="390"/>
      <c r="HIL5" s="390"/>
      <c r="HIM5" s="390"/>
      <c r="HIN5" s="390"/>
      <c r="HIO5" s="390"/>
      <c r="HIP5" s="390"/>
      <c r="HIQ5" s="390"/>
      <c r="HIR5" s="390"/>
      <c r="HIS5" s="390"/>
      <c r="HIT5" s="390"/>
      <c r="HIU5" s="390"/>
      <c r="HIV5" s="390"/>
      <c r="HIW5" s="390"/>
      <c r="HIX5" s="390"/>
      <c r="HIY5" s="390"/>
      <c r="HIZ5" s="390"/>
      <c r="HJA5" s="390"/>
      <c r="HJB5" s="390"/>
      <c r="HJC5" s="390"/>
      <c r="HJD5" s="390"/>
      <c r="HJE5" s="390"/>
      <c r="HJF5" s="390"/>
      <c r="HJG5" s="390"/>
      <c r="HJH5" s="390"/>
      <c r="HJI5" s="390"/>
      <c r="HJJ5" s="390"/>
      <c r="HJK5" s="390"/>
      <c r="HJL5" s="390"/>
      <c r="HJM5" s="390"/>
      <c r="HJN5" s="390"/>
      <c r="HJO5" s="390"/>
      <c r="HJP5" s="390"/>
      <c r="HJQ5" s="390"/>
      <c r="HJR5" s="390"/>
      <c r="HJS5" s="390"/>
      <c r="HJT5" s="390"/>
      <c r="HJU5" s="390"/>
      <c r="HJV5" s="390"/>
      <c r="HJW5" s="390"/>
      <c r="HJX5" s="390"/>
      <c r="HJY5" s="390"/>
      <c r="HJZ5" s="390"/>
      <c r="HKA5" s="390"/>
      <c r="HKB5" s="390"/>
      <c r="HKC5" s="390"/>
      <c r="HKD5" s="390"/>
      <c r="HKE5" s="390"/>
      <c r="HKF5" s="390"/>
      <c r="HKG5" s="390"/>
      <c r="HKH5" s="390"/>
      <c r="HKI5" s="390"/>
      <c r="HKJ5" s="390"/>
      <c r="HKK5" s="390"/>
      <c r="HKL5" s="390"/>
      <c r="HKM5" s="390"/>
      <c r="HKN5" s="390"/>
      <c r="HKO5" s="390"/>
      <c r="HKP5" s="390"/>
      <c r="HKQ5" s="390"/>
      <c r="HKR5" s="390"/>
      <c r="HKS5" s="390"/>
      <c r="HKT5" s="390"/>
      <c r="HKU5" s="390"/>
      <c r="HKV5" s="390"/>
      <c r="HKW5" s="390"/>
      <c r="HKX5" s="390"/>
      <c r="HKY5" s="390"/>
      <c r="HKZ5" s="390"/>
      <c r="HLA5" s="390"/>
      <c r="HLB5" s="390"/>
      <c r="HLC5" s="390"/>
      <c r="HLD5" s="390"/>
      <c r="HLE5" s="390"/>
      <c r="HLF5" s="390"/>
      <c r="HLG5" s="390"/>
      <c r="HLH5" s="390"/>
      <c r="HLI5" s="390"/>
      <c r="HLJ5" s="390"/>
      <c r="HLK5" s="390"/>
      <c r="HLL5" s="390"/>
      <c r="HLM5" s="390"/>
      <c r="HLN5" s="390"/>
      <c r="HLO5" s="390"/>
      <c r="HLP5" s="390"/>
      <c r="HLQ5" s="390"/>
      <c r="HLR5" s="390"/>
      <c r="HLS5" s="390"/>
      <c r="HLT5" s="390"/>
      <c r="HLU5" s="390"/>
      <c r="HLV5" s="390"/>
      <c r="HLW5" s="390"/>
      <c r="HLX5" s="390"/>
      <c r="HLY5" s="390"/>
      <c r="HLZ5" s="390"/>
      <c r="HMA5" s="390"/>
      <c r="HMB5" s="390"/>
      <c r="HMC5" s="390"/>
      <c r="HMD5" s="390"/>
      <c r="HME5" s="390"/>
      <c r="HMF5" s="390"/>
      <c r="HMG5" s="390"/>
      <c r="HMH5" s="390"/>
      <c r="HMI5" s="390"/>
      <c r="HMJ5" s="390"/>
      <c r="HMK5" s="390"/>
      <c r="HML5" s="390"/>
      <c r="HMM5" s="390"/>
      <c r="HMN5" s="390"/>
      <c r="HMO5" s="390"/>
      <c r="HMP5" s="390"/>
      <c r="HMQ5" s="390"/>
      <c r="HMR5" s="390"/>
      <c r="HMS5" s="390"/>
      <c r="HMT5" s="390"/>
      <c r="HMU5" s="390"/>
      <c r="HMV5" s="390"/>
      <c r="HMW5" s="390"/>
      <c r="HMX5" s="390"/>
      <c r="HMY5" s="390"/>
      <c r="HMZ5" s="390"/>
      <c r="HNA5" s="390"/>
      <c r="HNB5" s="390"/>
      <c r="HNC5" s="390"/>
      <c r="HND5" s="390"/>
      <c r="HNE5" s="390"/>
      <c r="HNF5" s="390"/>
      <c r="HNG5" s="390"/>
      <c r="HNH5" s="390"/>
      <c r="HNI5" s="390"/>
      <c r="HNJ5" s="390"/>
      <c r="HNK5" s="390"/>
      <c r="HNL5" s="390"/>
      <c r="HNM5" s="390"/>
      <c r="HNN5" s="390"/>
      <c r="HNO5" s="390"/>
      <c r="HNP5" s="390"/>
      <c r="HNQ5" s="390"/>
      <c r="HNR5" s="390"/>
      <c r="HNS5" s="390"/>
      <c r="HNT5" s="390"/>
      <c r="HNU5" s="390"/>
      <c r="HNV5" s="390"/>
      <c r="HNW5" s="390"/>
      <c r="HNX5" s="390"/>
      <c r="HNY5" s="390"/>
      <c r="HNZ5" s="390"/>
      <c r="HOA5" s="390"/>
      <c r="HOB5" s="390"/>
      <c r="HOC5" s="390"/>
      <c r="HOD5" s="390"/>
      <c r="HOE5" s="390"/>
      <c r="HOF5" s="390"/>
      <c r="HOG5" s="390"/>
      <c r="HOH5" s="390"/>
      <c r="HOI5" s="390"/>
      <c r="HOJ5" s="390"/>
      <c r="HOK5" s="390"/>
      <c r="HOL5" s="390"/>
      <c r="HOM5" s="390"/>
      <c r="HON5" s="390"/>
      <c r="HOO5" s="390"/>
      <c r="HOP5" s="390"/>
      <c r="HOQ5" s="390"/>
      <c r="HOR5" s="390"/>
      <c r="HOS5" s="390"/>
      <c r="HOT5" s="390"/>
      <c r="HOU5" s="390"/>
      <c r="HOV5" s="390"/>
      <c r="HOW5" s="390"/>
      <c r="HOX5" s="390"/>
      <c r="HOY5" s="390"/>
      <c r="HOZ5" s="390"/>
      <c r="HPA5" s="390"/>
      <c r="HPB5" s="390"/>
      <c r="HPC5" s="390"/>
      <c r="HPD5" s="390"/>
      <c r="HPE5" s="390"/>
      <c r="HPF5" s="390"/>
      <c r="HPG5" s="390"/>
      <c r="HPH5" s="390"/>
      <c r="HPI5" s="390"/>
      <c r="HPJ5" s="390"/>
      <c r="HPK5" s="390"/>
      <c r="HPL5" s="390"/>
      <c r="HPM5" s="390"/>
      <c r="HPN5" s="390"/>
      <c r="HPO5" s="390"/>
      <c r="HPP5" s="390"/>
      <c r="HPQ5" s="390"/>
      <c r="HPR5" s="390"/>
      <c r="HPS5" s="390"/>
      <c r="HPT5" s="390"/>
      <c r="HPU5" s="390"/>
      <c r="HPV5" s="390"/>
      <c r="HPW5" s="390"/>
      <c r="HPX5" s="390"/>
      <c r="HPY5" s="390"/>
      <c r="HPZ5" s="390"/>
      <c r="HQA5" s="390"/>
      <c r="HQB5" s="390"/>
      <c r="HQC5" s="390"/>
      <c r="HQD5" s="390"/>
      <c r="HQE5" s="390"/>
      <c r="HQF5" s="390"/>
      <c r="HQG5" s="390"/>
      <c r="HQH5" s="390"/>
      <c r="HQI5" s="390"/>
      <c r="HQJ5" s="390"/>
      <c r="HQK5" s="390"/>
      <c r="HQL5" s="390"/>
      <c r="HQM5" s="390"/>
      <c r="HQN5" s="390"/>
      <c r="HQO5" s="390"/>
      <c r="HQP5" s="390"/>
      <c r="HQQ5" s="390"/>
      <c r="HQR5" s="390"/>
      <c r="HQS5" s="390"/>
      <c r="HQT5" s="390"/>
      <c r="HQU5" s="390"/>
      <c r="HQV5" s="390"/>
      <c r="HQW5" s="390"/>
      <c r="HQX5" s="390"/>
      <c r="HQY5" s="390"/>
      <c r="HQZ5" s="390"/>
      <c r="HRA5" s="390"/>
      <c r="HRB5" s="390"/>
      <c r="HRC5" s="390"/>
      <c r="HRD5" s="390"/>
      <c r="HRE5" s="390"/>
      <c r="HRF5" s="390"/>
      <c r="HRG5" s="390"/>
      <c r="HRH5" s="390"/>
      <c r="HRI5" s="390"/>
      <c r="HRJ5" s="390"/>
      <c r="HRK5" s="390"/>
      <c r="HRL5" s="390"/>
      <c r="HRM5" s="390"/>
      <c r="HRN5" s="390"/>
      <c r="HRO5" s="390"/>
      <c r="HRP5" s="390"/>
      <c r="HRQ5" s="390"/>
      <c r="HRR5" s="390"/>
      <c r="HRS5" s="390"/>
      <c r="HRT5" s="390"/>
      <c r="HRU5" s="390"/>
      <c r="HRV5" s="390"/>
      <c r="HRW5" s="390"/>
      <c r="HRX5" s="390"/>
      <c r="HRY5" s="390"/>
      <c r="HRZ5" s="390"/>
      <c r="HSA5" s="390"/>
      <c r="HSB5" s="390"/>
      <c r="HSC5" s="390"/>
      <c r="HSD5" s="390"/>
      <c r="HSE5" s="390"/>
      <c r="HSF5" s="390"/>
      <c r="HSG5" s="390"/>
      <c r="HSH5" s="390"/>
      <c r="HSI5" s="390"/>
      <c r="HSJ5" s="390"/>
      <c r="HSK5" s="390"/>
      <c r="HSL5" s="390"/>
      <c r="HSM5" s="390"/>
      <c r="HSN5" s="390"/>
      <c r="HSO5" s="390"/>
      <c r="HSP5" s="390"/>
      <c r="HSQ5" s="390"/>
      <c r="HSR5" s="390"/>
      <c r="HSS5" s="390"/>
      <c r="HST5" s="390"/>
      <c r="HSU5" s="390"/>
      <c r="HSV5" s="390"/>
      <c r="HSW5" s="390"/>
      <c r="HSX5" s="390"/>
      <c r="HSY5" s="390"/>
      <c r="HSZ5" s="390"/>
      <c r="HTA5" s="390"/>
      <c r="HTB5" s="390"/>
      <c r="HTC5" s="390"/>
      <c r="HTD5" s="390"/>
      <c r="HTE5" s="390"/>
      <c r="HTF5" s="390"/>
      <c r="HTG5" s="390"/>
      <c r="HTH5" s="390"/>
      <c r="HTI5" s="390"/>
      <c r="HTJ5" s="390"/>
      <c r="HTK5" s="390"/>
      <c r="HTL5" s="390"/>
      <c r="HTM5" s="390"/>
      <c r="HTN5" s="390"/>
      <c r="HTO5" s="390"/>
      <c r="HTP5" s="390"/>
      <c r="HTQ5" s="390"/>
      <c r="HTR5" s="390"/>
      <c r="HTS5" s="390"/>
      <c r="HTT5" s="390"/>
      <c r="HTU5" s="390"/>
      <c r="HTV5" s="390"/>
      <c r="HTW5" s="390"/>
      <c r="HTX5" s="390"/>
      <c r="HTY5" s="390"/>
      <c r="HTZ5" s="390"/>
      <c r="HUA5" s="390"/>
      <c r="HUB5" s="390"/>
      <c r="HUC5" s="390"/>
      <c r="HUD5" s="390"/>
      <c r="HUE5" s="390"/>
      <c r="HUF5" s="390"/>
      <c r="HUG5" s="390"/>
      <c r="HUH5" s="390"/>
      <c r="HUI5" s="390"/>
      <c r="HUJ5" s="390"/>
      <c r="HUK5" s="390"/>
      <c r="HUL5" s="390"/>
      <c r="HUM5" s="390"/>
      <c r="HUN5" s="390"/>
      <c r="HUO5" s="390"/>
      <c r="HUP5" s="390"/>
      <c r="HUQ5" s="390"/>
      <c r="HUR5" s="390"/>
      <c r="HUS5" s="390"/>
      <c r="HUT5" s="390"/>
      <c r="HUU5" s="390"/>
      <c r="HUV5" s="390"/>
      <c r="HUW5" s="390"/>
      <c r="HUX5" s="390"/>
      <c r="HUY5" s="390"/>
      <c r="HUZ5" s="390"/>
      <c r="HVA5" s="390"/>
      <c r="HVB5" s="390"/>
      <c r="HVC5" s="390"/>
      <c r="HVD5" s="390"/>
      <c r="HVE5" s="390"/>
      <c r="HVF5" s="390"/>
      <c r="HVG5" s="390"/>
      <c r="HVH5" s="390"/>
      <c r="HVI5" s="390"/>
      <c r="HVJ5" s="390"/>
      <c r="HVK5" s="390"/>
      <c r="HVL5" s="390"/>
      <c r="HVM5" s="390"/>
      <c r="HVN5" s="390"/>
      <c r="HVO5" s="390"/>
      <c r="HVP5" s="390"/>
      <c r="HVQ5" s="390"/>
      <c r="HVR5" s="390"/>
      <c r="HVS5" s="390"/>
      <c r="HVT5" s="390"/>
      <c r="HVU5" s="390"/>
      <c r="HVV5" s="390"/>
      <c r="HVW5" s="390"/>
      <c r="HVX5" s="390"/>
      <c r="HVY5" s="390"/>
      <c r="HVZ5" s="390"/>
      <c r="HWA5" s="390"/>
      <c r="HWB5" s="390"/>
      <c r="HWC5" s="390"/>
      <c r="HWD5" s="390"/>
      <c r="HWE5" s="390"/>
      <c r="HWF5" s="390"/>
      <c r="HWG5" s="390"/>
      <c r="HWH5" s="390"/>
      <c r="HWI5" s="390"/>
      <c r="HWJ5" s="390"/>
      <c r="HWK5" s="390"/>
      <c r="HWL5" s="390"/>
      <c r="HWM5" s="390"/>
      <c r="HWN5" s="390"/>
      <c r="HWO5" s="390"/>
      <c r="HWP5" s="390"/>
      <c r="HWQ5" s="390"/>
      <c r="HWR5" s="390"/>
      <c r="HWS5" s="390"/>
      <c r="HWT5" s="390"/>
      <c r="HWU5" s="390"/>
      <c r="HWV5" s="390"/>
      <c r="HWW5" s="390"/>
      <c r="HWX5" s="390"/>
      <c r="HWY5" s="390"/>
      <c r="HWZ5" s="390"/>
      <c r="HXA5" s="390"/>
      <c r="HXB5" s="390"/>
      <c r="HXC5" s="390"/>
      <c r="HXD5" s="390"/>
      <c r="HXE5" s="390"/>
      <c r="HXF5" s="390"/>
      <c r="HXG5" s="390"/>
      <c r="HXH5" s="390"/>
      <c r="HXI5" s="390"/>
      <c r="HXJ5" s="390"/>
      <c r="HXK5" s="390"/>
      <c r="HXL5" s="390"/>
      <c r="HXM5" s="390"/>
      <c r="HXN5" s="390"/>
      <c r="HXO5" s="390"/>
      <c r="HXP5" s="390"/>
      <c r="HXQ5" s="390"/>
      <c r="HXR5" s="390"/>
      <c r="HXS5" s="390"/>
      <c r="HXT5" s="390"/>
      <c r="HXU5" s="390"/>
      <c r="HXV5" s="390"/>
      <c r="HXW5" s="390"/>
      <c r="HXX5" s="390"/>
      <c r="HXY5" s="390"/>
      <c r="HXZ5" s="390"/>
      <c r="HYA5" s="390"/>
      <c r="HYB5" s="390"/>
      <c r="HYC5" s="390"/>
      <c r="HYD5" s="390"/>
      <c r="HYE5" s="390"/>
      <c r="HYF5" s="390"/>
      <c r="HYG5" s="390"/>
      <c r="HYH5" s="390"/>
      <c r="HYI5" s="390"/>
      <c r="HYJ5" s="390"/>
      <c r="HYK5" s="390"/>
      <c r="HYL5" s="390"/>
      <c r="HYM5" s="390"/>
      <c r="HYN5" s="390"/>
      <c r="HYO5" s="390"/>
      <c r="HYP5" s="390"/>
      <c r="HYQ5" s="390"/>
      <c r="HYR5" s="390"/>
      <c r="HYS5" s="390"/>
      <c r="HYT5" s="390"/>
      <c r="HYU5" s="390"/>
      <c r="HYV5" s="390"/>
      <c r="HYW5" s="390"/>
      <c r="HYX5" s="390"/>
      <c r="HYY5" s="390"/>
      <c r="HYZ5" s="390"/>
      <c r="HZA5" s="390"/>
      <c r="HZB5" s="390"/>
      <c r="HZC5" s="390"/>
      <c r="HZD5" s="390"/>
      <c r="HZE5" s="390"/>
      <c r="HZF5" s="390"/>
      <c r="HZG5" s="390"/>
      <c r="HZH5" s="390"/>
      <c r="HZI5" s="390"/>
      <c r="HZJ5" s="390"/>
      <c r="HZK5" s="390"/>
      <c r="HZL5" s="390"/>
      <c r="HZM5" s="390"/>
      <c r="HZN5" s="390"/>
      <c r="HZO5" s="390"/>
      <c r="HZP5" s="390"/>
      <c r="HZQ5" s="390"/>
      <c r="HZR5" s="390"/>
      <c r="HZS5" s="390"/>
      <c r="HZT5" s="390"/>
      <c r="HZU5" s="390"/>
      <c r="HZV5" s="390"/>
      <c r="HZW5" s="390"/>
      <c r="HZX5" s="390"/>
      <c r="HZY5" s="390"/>
      <c r="HZZ5" s="390"/>
      <c r="IAA5" s="390"/>
      <c r="IAB5" s="390"/>
      <c r="IAC5" s="390"/>
      <c r="IAD5" s="390"/>
      <c r="IAE5" s="390"/>
      <c r="IAF5" s="390"/>
      <c r="IAG5" s="390"/>
      <c r="IAH5" s="390"/>
      <c r="IAI5" s="390"/>
      <c r="IAJ5" s="390"/>
      <c r="IAK5" s="390"/>
      <c r="IAL5" s="390"/>
      <c r="IAM5" s="390"/>
      <c r="IAN5" s="390"/>
      <c r="IAO5" s="390"/>
      <c r="IAP5" s="390"/>
      <c r="IAQ5" s="390"/>
      <c r="IAR5" s="390"/>
      <c r="IAS5" s="390"/>
      <c r="IAT5" s="390"/>
      <c r="IAU5" s="390"/>
      <c r="IAV5" s="390"/>
      <c r="IAW5" s="390"/>
      <c r="IAX5" s="390"/>
      <c r="IAY5" s="390"/>
      <c r="IAZ5" s="390"/>
      <c r="IBA5" s="390"/>
      <c r="IBB5" s="390"/>
      <c r="IBC5" s="390"/>
      <c r="IBD5" s="390"/>
      <c r="IBE5" s="390"/>
      <c r="IBF5" s="390"/>
      <c r="IBG5" s="390"/>
      <c r="IBH5" s="390"/>
      <c r="IBI5" s="390"/>
      <c r="IBJ5" s="390"/>
      <c r="IBK5" s="390"/>
      <c r="IBL5" s="390"/>
      <c r="IBM5" s="390"/>
      <c r="IBN5" s="390"/>
      <c r="IBO5" s="390"/>
      <c r="IBP5" s="390"/>
      <c r="IBQ5" s="390"/>
      <c r="IBR5" s="390"/>
      <c r="IBS5" s="390"/>
      <c r="IBT5" s="390"/>
      <c r="IBU5" s="390"/>
      <c r="IBV5" s="390"/>
      <c r="IBW5" s="390"/>
      <c r="IBX5" s="390"/>
      <c r="IBY5" s="390"/>
      <c r="IBZ5" s="390"/>
      <c r="ICA5" s="390"/>
      <c r="ICB5" s="390"/>
      <c r="ICC5" s="390"/>
      <c r="ICD5" s="390"/>
      <c r="ICE5" s="390"/>
      <c r="ICF5" s="390"/>
      <c r="ICG5" s="390"/>
      <c r="ICH5" s="390"/>
      <c r="ICI5" s="390"/>
      <c r="ICJ5" s="390"/>
      <c r="ICK5" s="390"/>
      <c r="ICL5" s="390"/>
      <c r="ICM5" s="390"/>
      <c r="ICN5" s="390"/>
      <c r="ICO5" s="390"/>
      <c r="ICP5" s="390"/>
      <c r="ICQ5" s="390"/>
      <c r="ICR5" s="390"/>
      <c r="ICS5" s="390"/>
      <c r="ICT5" s="390"/>
      <c r="ICU5" s="390"/>
      <c r="ICV5" s="390"/>
      <c r="ICW5" s="390"/>
      <c r="ICX5" s="390"/>
      <c r="ICY5" s="390"/>
      <c r="ICZ5" s="390"/>
      <c r="IDA5" s="390"/>
      <c r="IDB5" s="390"/>
      <c r="IDC5" s="390"/>
      <c r="IDD5" s="390"/>
      <c r="IDE5" s="390"/>
      <c r="IDF5" s="390"/>
      <c r="IDG5" s="390"/>
      <c r="IDH5" s="390"/>
      <c r="IDI5" s="390"/>
      <c r="IDJ5" s="390"/>
      <c r="IDK5" s="390"/>
      <c r="IDL5" s="390"/>
      <c r="IDM5" s="390"/>
      <c r="IDN5" s="390"/>
      <c r="IDO5" s="390"/>
      <c r="IDP5" s="390"/>
      <c r="IDQ5" s="390"/>
      <c r="IDR5" s="390"/>
      <c r="IDS5" s="390"/>
      <c r="IDT5" s="390"/>
      <c r="IDU5" s="390"/>
      <c r="IDV5" s="390"/>
      <c r="IDW5" s="390"/>
      <c r="IDX5" s="390"/>
      <c r="IDY5" s="390"/>
      <c r="IDZ5" s="390"/>
      <c r="IEA5" s="390"/>
      <c r="IEB5" s="390"/>
      <c r="IEC5" s="390"/>
      <c r="IED5" s="390"/>
      <c r="IEE5" s="390"/>
      <c r="IEF5" s="390"/>
      <c r="IEG5" s="390"/>
      <c r="IEH5" s="390"/>
      <c r="IEI5" s="390"/>
      <c r="IEJ5" s="390"/>
      <c r="IEK5" s="390"/>
      <c r="IEL5" s="390"/>
      <c r="IEM5" s="390"/>
      <c r="IEN5" s="390"/>
      <c r="IEO5" s="390"/>
      <c r="IEP5" s="390"/>
      <c r="IEQ5" s="390"/>
      <c r="IER5" s="390"/>
      <c r="IES5" s="390"/>
      <c r="IET5" s="390"/>
      <c r="IEU5" s="390"/>
      <c r="IEV5" s="390"/>
      <c r="IEW5" s="390"/>
      <c r="IEX5" s="390"/>
      <c r="IEY5" s="390"/>
      <c r="IEZ5" s="390"/>
      <c r="IFA5" s="390"/>
      <c r="IFB5" s="390"/>
      <c r="IFC5" s="390"/>
      <c r="IFD5" s="390"/>
      <c r="IFE5" s="390"/>
      <c r="IFF5" s="390"/>
      <c r="IFG5" s="390"/>
      <c r="IFH5" s="390"/>
      <c r="IFI5" s="390"/>
      <c r="IFJ5" s="390"/>
      <c r="IFK5" s="390"/>
      <c r="IFL5" s="390"/>
      <c r="IFM5" s="390"/>
      <c r="IFN5" s="390"/>
      <c r="IFO5" s="390"/>
      <c r="IFP5" s="390"/>
      <c r="IFQ5" s="390"/>
      <c r="IFR5" s="390"/>
      <c r="IFS5" s="390"/>
      <c r="IFT5" s="390"/>
      <c r="IFU5" s="390"/>
      <c r="IFV5" s="390"/>
      <c r="IFW5" s="390"/>
      <c r="IFX5" s="390"/>
      <c r="IFY5" s="390"/>
      <c r="IFZ5" s="390"/>
      <c r="IGA5" s="390"/>
      <c r="IGB5" s="390"/>
      <c r="IGC5" s="390"/>
      <c r="IGD5" s="390"/>
      <c r="IGE5" s="390"/>
      <c r="IGF5" s="390"/>
      <c r="IGG5" s="390"/>
      <c r="IGH5" s="390"/>
      <c r="IGI5" s="390"/>
      <c r="IGJ5" s="390"/>
      <c r="IGK5" s="390"/>
      <c r="IGL5" s="390"/>
      <c r="IGM5" s="390"/>
      <c r="IGN5" s="390"/>
      <c r="IGO5" s="390"/>
      <c r="IGP5" s="390"/>
      <c r="IGQ5" s="390"/>
      <c r="IGR5" s="390"/>
      <c r="IGS5" s="390"/>
      <c r="IGT5" s="390"/>
      <c r="IGU5" s="390"/>
      <c r="IGV5" s="390"/>
      <c r="IGW5" s="390"/>
      <c r="IGX5" s="390"/>
      <c r="IGY5" s="390"/>
      <c r="IGZ5" s="390"/>
      <c r="IHA5" s="390"/>
      <c r="IHB5" s="390"/>
      <c r="IHC5" s="390"/>
      <c r="IHD5" s="390"/>
      <c r="IHE5" s="390"/>
      <c r="IHF5" s="390"/>
      <c r="IHG5" s="390"/>
      <c r="IHH5" s="390"/>
      <c r="IHI5" s="390"/>
      <c r="IHJ5" s="390"/>
      <c r="IHK5" s="390"/>
      <c r="IHL5" s="390"/>
      <c r="IHM5" s="390"/>
      <c r="IHN5" s="390"/>
      <c r="IHO5" s="390"/>
      <c r="IHP5" s="390"/>
      <c r="IHQ5" s="390"/>
      <c r="IHR5" s="390"/>
      <c r="IHS5" s="390"/>
      <c r="IHT5" s="390"/>
      <c r="IHU5" s="390"/>
      <c r="IHV5" s="390"/>
      <c r="IHW5" s="390"/>
      <c r="IHX5" s="390"/>
      <c r="IHY5" s="390"/>
      <c r="IHZ5" s="390"/>
      <c r="IIA5" s="390"/>
      <c r="IIB5" s="390"/>
      <c r="IIC5" s="390"/>
      <c r="IID5" s="390"/>
      <c r="IIE5" s="390"/>
      <c r="IIF5" s="390"/>
      <c r="IIG5" s="390"/>
      <c r="IIH5" s="390"/>
      <c r="III5" s="390"/>
      <c r="IIJ5" s="390"/>
      <c r="IIK5" s="390"/>
      <c r="IIL5" s="390"/>
      <c r="IIM5" s="390"/>
      <c r="IIN5" s="390"/>
      <c r="IIO5" s="390"/>
      <c r="IIP5" s="390"/>
      <c r="IIQ5" s="390"/>
      <c r="IIR5" s="390"/>
      <c r="IIS5" s="390"/>
      <c r="IIT5" s="390"/>
      <c r="IIU5" s="390"/>
      <c r="IIV5" s="390"/>
      <c r="IIW5" s="390"/>
      <c r="IIX5" s="390"/>
      <c r="IIY5" s="390"/>
      <c r="IIZ5" s="390"/>
      <c r="IJA5" s="390"/>
      <c r="IJB5" s="390"/>
      <c r="IJC5" s="390"/>
      <c r="IJD5" s="390"/>
      <c r="IJE5" s="390"/>
      <c r="IJF5" s="390"/>
      <c r="IJG5" s="390"/>
      <c r="IJH5" s="390"/>
      <c r="IJI5" s="390"/>
      <c r="IJJ5" s="390"/>
      <c r="IJK5" s="390"/>
      <c r="IJL5" s="390"/>
      <c r="IJM5" s="390"/>
      <c r="IJN5" s="390"/>
      <c r="IJO5" s="390"/>
      <c r="IJP5" s="390"/>
      <c r="IJQ5" s="390"/>
      <c r="IJR5" s="390"/>
      <c r="IJS5" s="390"/>
      <c r="IJT5" s="390"/>
      <c r="IJU5" s="390"/>
      <c r="IJV5" s="390"/>
      <c r="IJW5" s="390"/>
      <c r="IJX5" s="390"/>
      <c r="IJY5" s="390"/>
      <c r="IJZ5" s="390"/>
      <c r="IKA5" s="390"/>
      <c r="IKB5" s="390"/>
      <c r="IKC5" s="390"/>
      <c r="IKD5" s="390"/>
      <c r="IKE5" s="390"/>
      <c r="IKF5" s="390"/>
      <c r="IKG5" s="390"/>
      <c r="IKH5" s="390"/>
      <c r="IKI5" s="390"/>
      <c r="IKJ5" s="390"/>
      <c r="IKK5" s="390"/>
      <c r="IKL5" s="390"/>
      <c r="IKM5" s="390"/>
      <c r="IKN5" s="390"/>
      <c r="IKO5" s="390"/>
      <c r="IKP5" s="390"/>
      <c r="IKQ5" s="390"/>
      <c r="IKR5" s="390"/>
      <c r="IKS5" s="390"/>
      <c r="IKT5" s="390"/>
      <c r="IKU5" s="390"/>
      <c r="IKV5" s="390"/>
      <c r="IKW5" s="390"/>
      <c r="IKX5" s="390"/>
      <c r="IKY5" s="390"/>
      <c r="IKZ5" s="390"/>
      <c r="ILA5" s="390"/>
      <c r="ILB5" s="390"/>
      <c r="ILC5" s="390"/>
      <c r="ILD5" s="390"/>
      <c r="ILE5" s="390"/>
      <c r="ILF5" s="390"/>
      <c r="ILG5" s="390"/>
      <c r="ILH5" s="390"/>
      <c r="ILI5" s="390"/>
      <c r="ILJ5" s="390"/>
      <c r="ILK5" s="390"/>
      <c r="ILL5" s="390"/>
      <c r="ILM5" s="390"/>
      <c r="ILN5" s="390"/>
      <c r="ILO5" s="390"/>
      <c r="ILP5" s="390"/>
      <c r="ILQ5" s="390"/>
      <c r="ILR5" s="390"/>
      <c r="ILS5" s="390"/>
      <c r="ILT5" s="390"/>
      <c r="ILU5" s="390"/>
      <c r="ILV5" s="390"/>
      <c r="ILW5" s="390"/>
      <c r="ILX5" s="390"/>
      <c r="ILY5" s="390"/>
      <c r="ILZ5" s="390"/>
      <c r="IMA5" s="390"/>
      <c r="IMB5" s="390"/>
      <c r="IMC5" s="390"/>
      <c r="IMD5" s="390"/>
      <c r="IME5" s="390"/>
      <c r="IMF5" s="390"/>
      <c r="IMG5" s="390"/>
      <c r="IMH5" s="390"/>
      <c r="IMI5" s="390"/>
      <c r="IMJ5" s="390"/>
      <c r="IMK5" s="390"/>
      <c r="IML5" s="390"/>
      <c r="IMM5" s="390"/>
      <c r="IMN5" s="390"/>
      <c r="IMO5" s="390"/>
      <c r="IMP5" s="390"/>
      <c r="IMQ5" s="390"/>
      <c r="IMR5" s="390"/>
      <c r="IMS5" s="390"/>
      <c r="IMT5" s="390"/>
      <c r="IMU5" s="390"/>
      <c r="IMV5" s="390"/>
      <c r="IMW5" s="390"/>
      <c r="IMX5" s="390"/>
      <c r="IMY5" s="390"/>
      <c r="IMZ5" s="390"/>
      <c r="INA5" s="390"/>
      <c r="INB5" s="390"/>
      <c r="INC5" s="390"/>
      <c r="IND5" s="390"/>
      <c r="INE5" s="390"/>
      <c r="INF5" s="390"/>
      <c r="ING5" s="390"/>
      <c r="INH5" s="390"/>
      <c r="INI5" s="390"/>
      <c r="INJ5" s="390"/>
      <c r="INK5" s="390"/>
      <c r="INL5" s="390"/>
      <c r="INM5" s="390"/>
      <c r="INN5" s="390"/>
      <c r="INO5" s="390"/>
      <c r="INP5" s="390"/>
      <c r="INQ5" s="390"/>
      <c r="INR5" s="390"/>
      <c r="INS5" s="390"/>
      <c r="INT5" s="390"/>
      <c r="INU5" s="390"/>
      <c r="INV5" s="390"/>
      <c r="INW5" s="390"/>
      <c r="INX5" s="390"/>
      <c r="INY5" s="390"/>
      <c r="INZ5" s="390"/>
      <c r="IOA5" s="390"/>
      <c r="IOB5" s="390"/>
      <c r="IOC5" s="390"/>
      <c r="IOD5" s="390"/>
      <c r="IOE5" s="390"/>
      <c r="IOF5" s="390"/>
      <c r="IOG5" s="390"/>
      <c r="IOH5" s="390"/>
      <c r="IOI5" s="390"/>
      <c r="IOJ5" s="390"/>
      <c r="IOK5" s="390"/>
      <c r="IOL5" s="390"/>
      <c r="IOM5" s="390"/>
      <c r="ION5" s="390"/>
      <c r="IOO5" s="390"/>
      <c r="IOP5" s="390"/>
      <c r="IOQ5" s="390"/>
      <c r="IOR5" s="390"/>
      <c r="IOS5" s="390"/>
      <c r="IOT5" s="390"/>
      <c r="IOU5" s="390"/>
      <c r="IOV5" s="390"/>
      <c r="IOW5" s="390"/>
      <c r="IOX5" s="390"/>
      <c r="IOY5" s="390"/>
      <c r="IOZ5" s="390"/>
      <c r="IPA5" s="390"/>
      <c r="IPB5" s="390"/>
      <c r="IPC5" s="390"/>
      <c r="IPD5" s="390"/>
      <c r="IPE5" s="390"/>
      <c r="IPF5" s="390"/>
      <c r="IPG5" s="390"/>
      <c r="IPH5" s="390"/>
      <c r="IPI5" s="390"/>
      <c r="IPJ5" s="390"/>
      <c r="IPK5" s="390"/>
      <c r="IPL5" s="390"/>
      <c r="IPM5" s="390"/>
      <c r="IPN5" s="390"/>
      <c r="IPO5" s="390"/>
      <c r="IPP5" s="390"/>
      <c r="IPQ5" s="390"/>
      <c r="IPR5" s="390"/>
      <c r="IPS5" s="390"/>
      <c r="IPT5" s="390"/>
      <c r="IPU5" s="390"/>
      <c r="IPV5" s="390"/>
      <c r="IPW5" s="390"/>
      <c r="IPX5" s="390"/>
      <c r="IPY5" s="390"/>
      <c r="IPZ5" s="390"/>
      <c r="IQA5" s="390"/>
      <c r="IQB5" s="390"/>
      <c r="IQC5" s="390"/>
      <c r="IQD5" s="390"/>
      <c r="IQE5" s="390"/>
      <c r="IQF5" s="390"/>
      <c r="IQG5" s="390"/>
      <c r="IQH5" s="390"/>
      <c r="IQI5" s="390"/>
      <c r="IQJ5" s="390"/>
      <c r="IQK5" s="390"/>
      <c r="IQL5" s="390"/>
      <c r="IQM5" s="390"/>
      <c r="IQN5" s="390"/>
      <c r="IQO5" s="390"/>
      <c r="IQP5" s="390"/>
      <c r="IQQ5" s="390"/>
      <c r="IQR5" s="390"/>
      <c r="IQS5" s="390"/>
      <c r="IQT5" s="390"/>
      <c r="IQU5" s="390"/>
      <c r="IQV5" s="390"/>
      <c r="IQW5" s="390"/>
      <c r="IQX5" s="390"/>
      <c r="IQY5" s="390"/>
      <c r="IQZ5" s="390"/>
      <c r="IRA5" s="390"/>
      <c r="IRB5" s="390"/>
      <c r="IRC5" s="390"/>
      <c r="IRD5" s="390"/>
      <c r="IRE5" s="390"/>
      <c r="IRF5" s="390"/>
      <c r="IRG5" s="390"/>
      <c r="IRH5" s="390"/>
      <c r="IRI5" s="390"/>
      <c r="IRJ5" s="390"/>
      <c r="IRK5" s="390"/>
      <c r="IRL5" s="390"/>
      <c r="IRM5" s="390"/>
      <c r="IRN5" s="390"/>
      <c r="IRO5" s="390"/>
      <c r="IRP5" s="390"/>
      <c r="IRQ5" s="390"/>
      <c r="IRR5" s="390"/>
      <c r="IRS5" s="390"/>
      <c r="IRT5" s="390"/>
      <c r="IRU5" s="390"/>
      <c r="IRV5" s="390"/>
      <c r="IRW5" s="390"/>
      <c r="IRX5" s="390"/>
      <c r="IRY5" s="390"/>
      <c r="IRZ5" s="390"/>
      <c r="ISA5" s="390"/>
      <c r="ISB5" s="390"/>
      <c r="ISC5" s="390"/>
      <c r="ISD5" s="390"/>
      <c r="ISE5" s="390"/>
      <c r="ISF5" s="390"/>
      <c r="ISG5" s="390"/>
      <c r="ISH5" s="390"/>
      <c r="ISI5" s="390"/>
      <c r="ISJ5" s="390"/>
      <c r="ISK5" s="390"/>
      <c r="ISL5" s="390"/>
      <c r="ISM5" s="390"/>
      <c r="ISN5" s="390"/>
      <c r="ISO5" s="390"/>
      <c r="ISP5" s="390"/>
      <c r="ISQ5" s="390"/>
      <c r="ISR5" s="390"/>
      <c r="ISS5" s="390"/>
      <c r="IST5" s="390"/>
      <c r="ISU5" s="390"/>
      <c r="ISV5" s="390"/>
      <c r="ISW5" s="390"/>
      <c r="ISX5" s="390"/>
      <c r="ISY5" s="390"/>
      <c r="ISZ5" s="390"/>
      <c r="ITA5" s="390"/>
      <c r="ITB5" s="390"/>
      <c r="ITC5" s="390"/>
      <c r="ITD5" s="390"/>
      <c r="ITE5" s="390"/>
      <c r="ITF5" s="390"/>
      <c r="ITG5" s="390"/>
      <c r="ITH5" s="390"/>
      <c r="ITI5" s="390"/>
      <c r="ITJ5" s="390"/>
      <c r="ITK5" s="390"/>
      <c r="ITL5" s="390"/>
      <c r="ITM5" s="390"/>
      <c r="ITN5" s="390"/>
      <c r="ITO5" s="390"/>
      <c r="ITP5" s="390"/>
      <c r="ITQ5" s="390"/>
      <c r="ITR5" s="390"/>
      <c r="ITS5" s="390"/>
      <c r="ITT5" s="390"/>
      <c r="ITU5" s="390"/>
      <c r="ITV5" s="390"/>
      <c r="ITW5" s="390"/>
      <c r="ITX5" s="390"/>
      <c r="ITY5" s="390"/>
      <c r="ITZ5" s="390"/>
      <c r="IUA5" s="390"/>
      <c r="IUB5" s="390"/>
      <c r="IUC5" s="390"/>
      <c r="IUD5" s="390"/>
      <c r="IUE5" s="390"/>
      <c r="IUF5" s="390"/>
      <c r="IUG5" s="390"/>
      <c r="IUH5" s="390"/>
      <c r="IUI5" s="390"/>
      <c r="IUJ5" s="390"/>
      <c r="IUK5" s="390"/>
      <c r="IUL5" s="390"/>
      <c r="IUM5" s="390"/>
      <c r="IUN5" s="390"/>
      <c r="IUO5" s="390"/>
      <c r="IUP5" s="390"/>
      <c r="IUQ5" s="390"/>
      <c r="IUR5" s="390"/>
      <c r="IUS5" s="390"/>
      <c r="IUT5" s="390"/>
      <c r="IUU5" s="390"/>
      <c r="IUV5" s="390"/>
      <c r="IUW5" s="390"/>
      <c r="IUX5" s="390"/>
      <c r="IUY5" s="390"/>
      <c r="IUZ5" s="390"/>
      <c r="IVA5" s="390"/>
      <c r="IVB5" s="390"/>
      <c r="IVC5" s="390"/>
      <c r="IVD5" s="390"/>
      <c r="IVE5" s="390"/>
      <c r="IVF5" s="390"/>
      <c r="IVG5" s="390"/>
      <c r="IVH5" s="390"/>
      <c r="IVI5" s="390"/>
      <c r="IVJ5" s="390"/>
      <c r="IVK5" s="390"/>
      <c r="IVL5" s="390"/>
      <c r="IVM5" s="390"/>
      <c r="IVN5" s="390"/>
      <c r="IVO5" s="390"/>
      <c r="IVP5" s="390"/>
      <c r="IVQ5" s="390"/>
      <c r="IVR5" s="390"/>
      <c r="IVS5" s="390"/>
      <c r="IVT5" s="390"/>
      <c r="IVU5" s="390"/>
      <c r="IVV5" s="390"/>
      <c r="IVW5" s="390"/>
      <c r="IVX5" s="390"/>
      <c r="IVY5" s="390"/>
      <c r="IVZ5" s="390"/>
      <c r="IWA5" s="390"/>
      <c r="IWB5" s="390"/>
      <c r="IWC5" s="390"/>
      <c r="IWD5" s="390"/>
      <c r="IWE5" s="390"/>
      <c r="IWF5" s="390"/>
      <c r="IWG5" s="390"/>
      <c r="IWH5" s="390"/>
      <c r="IWI5" s="390"/>
      <c r="IWJ5" s="390"/>
      <c r="IWK5" s="390"/>
      <c r="IWL5" s="390"/>
      <c r="IWM5" s="390"/>
      <c r="IWN5" s="390"/>
      <c r="IWO5" s="390"/>
      <c r="IWP5" s="390"/>
      <c r="IWQ5" s="390"/>
      <c r="IWR5" s="390"/>
      <c r="IWS5" s="390"/>
      <c r="IWT5" s="390"/>
      <c r="IWU5" s="390"/>
      <c r="IWV5" s="390"/>
      <c r="IWW5" s="390"/>
      <c r="IWX5" s="390"/>
      <c r="IWY5" s="390"/>
      <c r="IWZ5" s="390"/>
      <c r="IXA5" s="390"/>
      <c r="IXB5" s="390"/>
      <c r="IXC5" s="390"/>
      <c r="IXD5" s="390"/>
      <c r="IXE5" s="390"/>
      <c r="IXF5" s="390"/>
      <c r="IXG5" s="390"/>
      <c r="IXH5" s="390"/>
      <c r="IXI5" s="390"/>
      <c r="IXJ5" s="390"/>
      <c r="IXK5" s="390"/>
      <c r="IXL5" s="390"/>
      <c r="IXM5" s="390"/>
      <c r="IXN5" s="390"/>
      <c r="IXO5" s="390"/>
      <c r="IXP5" s="390"/>
      <c r="IXQ5" s="390"/>
      <c r="IXR5" s="390"/>
      <c r="IXS5" s="390"/>
      <c r="IXT5" s="390"/>
      <c r="IXU5" s="390"/>
      <c r="IXV5" s="390"/>
      <c r="IXW5" s="390"/>
      <c r="IXX5" s="390"/>
      <c r="IXY5" s="390"/>
      <c r="IXZ5" s="390"/>
      <c r="IYA5" s="390"/>
      <c r="IYB5" s="390"/>
      <c r="IYC5" s="390"/>
      <c r="IYD5" s="390"/>
      <c r="IYE5" s="390"/>
      <c r="IYF5" s="390"/>
      <c r="IYG5" s="390"/>
      <c r="IYH5" s="390"/>
      <c r="IYI5" s="390"/>
      <c r="IYJ5" s="390"/>
      <c r="IYK5" s="390"/>
      <c r="IYL5" s="390"/>
      <c r="IYM5" s="390"/>
      <c r="IYN5" s="390"/>
      <c r="IYO5" s="390"/>
      <c r="IYP5" s="390"/>
      <c r="IYQ5" s="390"/>
      <c r="IYR5" s="390"/>
      <c r="IYS5" s="390"/>
      <c r="IYT5" s="390"/>
      <c r="IYU5" s="390"/>
      <c r="IYV5" s="390"/>
      <c r="IYW5" s="390"/>
      <c r="IYX5" s="390"/>
      <c r="IYY5" s="390"/>
      <c r="IYZ5" s="390"/>
      <c r="IZA5" s="390"/>
      <c r="IZB5" s="390"/>
      <c r="IZC5" s="390"/>
      <c r="IZD5" s="390"/>
      <c r="IZE5" s="390"/>
      <c r="IZF5" s="390"/>
      <c r="IZG5" s="390"/>
      <c r="IZH5" s="390"/>
      <c r="IZI5" s="390"/>
      <c r="IZJ5" s="390"/>
      <c r="IZK5" s="390"/>
      <c r="IZL5" s="390"/>
      <c r="IZM5" s="390"/>
      <c r="IZN5" s="390"/>
      <c r="IZO5" s="390"/>
      <c r="IZP5" s="390"/>
      <c r="IZQ5" s="390"/>
      <c r="IZR5" s="390"/>
      <c r="IZS5" s="390"/>
      <c r="IZT5" s="390"/>
      <c r="IZU5" s="390"/>
      <c r="IZV5" s="390"/>
      <c r="IZW5" s="390"/>
      <c r="IZX5" s="390"/>
      <c r="IZY5" s="390"/>
      <c r="IZZ5" s="390"/>
      <c r="JAA5" s="390"/>
      <c r="JAB5" s="390"/>
      <c r="JAC5" s="390"/>
      <c r="JAD5" s="390"/>
      <c r="JAE5" s="390"/>
      <c r="JAF5" s="390"/>
      <c r="JAG5" s="390"/>
      <c r="JAH5" s="390"/>
      <c r="JAI5" s="390"/>
      <c r="JAJ5" s="390"/>
      <c r="JAK5" s="390"/>
      <c r="JAL5" s="390"/>
      <c r="JAM5" s="390"/>
      <c r="JAN5" s="390"/>
      <c r="JAO5" s="390"/>
      <c r="JAP5" s="390"/>
      <c r="JAQ5" s="390"/>
      <c r="JAR5" s="390"/>
      <c r="JAS5" s="390"/>
      <c r="JAT5" s="390"/>
      <c r="JAU5" s="390"/>
      <c r="JAV5" s="390"/>
      <c r="JAW5" s="390"/>
      <c r="JAX5" s="390"/>
      <c r="JAY5" s="390"/>
      <c r="JAZ5" s="390"/>
      <c r="JBA5" s="390"/>
      <c r="JBB5" s="390"/>
      <c r="JBC5" s="390"/>
      <c r="JBD5" s="390"/>
      <c r="JBE5" s="390"/>
      <c r="JBF5" s="390"/>
      <c r="JBG5" s="390"/>
      <c r="JBH5" s="390"/>
      <c r="JBI5" s="390"/>
      <c r="JBJ5" s="390"/>
      <c r="JBK5" s="390"/>
      <c r="JBL5" s="390"/>
      <c r="JBM5" s="390"/>
      <c r="JBN5" s="390"/>
      <c r="JBO5" s="390"/>
      <c r="JBP5" s="390"/>
      <c r="JBQ5" s="390"/>
      <c r="JBR5" s="390"/>
      <c r="JBS5" s="390"/>
      <c r="JBT5" s="390"/>
      <c r="JBU5" s="390"/>
      <c r="JBV5" s="390"/>
      <c r="JBW5" s="390"/>
      <c r="JBX5" s="390"/>
      <c r="JBY5" s="390"/>
      <c r="JBZ5" s="390"/>
      <c r="JCA5" s="390"/>
      <c r="JCB5" s="390"/>
      <c r="JCC5" s="390"/>
      <c r="JCD5" s="390"/>
      <c r="JCE5" s="390"/>
      <c r="JCF5" s="390"/>
      <c r="JCG5" s="390"/>
      <c r="JCH5" s="390"/>
      <c r="JCI5" s="390"/>
      <c r="JCJ5" s="390"/>
      <c r="JCK5" s="390"/>
      <c r="JCL5" s="390"/>
      <c r="JCM5" s="390"/>
      <c r="JCN5" s="390"/>
      <c r="JCO5" s="390"/>
      <c r="JCP5" s="390"/>
      <c r="JCQ5" s="390"/>
      <c r="JCR5" s="390"/>
      <c r="JCS5" s="390"/>
      <c r="JCT5" s="390"/>
      <c r="JCU5" s="390"/>
      <c r="JCV5" s="390"/>
      <c r="JCW5" s="390"/>
      <c r="JCX5" s="390"/>
      <c r="JCY5" s="390"/>
      <c r="JCZ5" s="390"/>
      <c r="JDA5" s="390"/>
      <c r="JDB5" s="390"/>
      <c r="JDC5" s="390"/>
      <c r="JDD5" s="390"/>
      <c r="JDE5" s="390"/>
      <c r="JDF5" s="390"/>
      <c r="JDG5" s="390"/>
      <c r="JDH5" s="390"/>
      <c r="JDI5" s="390"/>
      <c r="JDJ5" s="390"/>
      <c r="JDK5" s="390"/>
      <c r="JDL5" s="390"/>
      <c r="JDM5" s="390"/>
      <c r="JDN5" s="390"/>
      <c r="JDO5" s="390"/>
      <c r="JDP5" s="390"/>
      <c r="JDQ5" s="390"/>
      <c r="JDR5" s="390"/>
      <c r="JDS5" s="390"/>
      <c r="JDT5" s="390"/>
      <c r="JDU5" s="390"/>
      <c r="JDV5" s="390"/>
      <c r="JDW5" s="390"/>
      <c r="JDX5" s="390"/>
      <c r="JDY5" s="390"/>
      <c r="JDZ5" s="390"/>
      <c r="JEA5" s="390"/>
      <c r="JEB5" s="390"/>
      <c r="JEC5" s="390"/>
      <c r="JED5" s="390"/>
      <c r="JEE5" s="390"/>
      <c r="JEF5" s="390"/>
      <c r="JEG5" s="390"/>
      <c r="JEH5" s="390"/>
      <c r="JEI5" s="390"/>
      <c r="JEJ5" s="390"/>
      <c r="JEK5" s="390"/>
      <c r="JEL5" s="390"/>
      <c r="JEM5" s="390"/>
      <c r="JEN5" s="390"/>
      <c r="JEO5" s="390"/>
      <c r="JEP5" s="390"/>
      <c r="JEQ5" s="390"/>
      <c r="JER5" s="390"/>
      <c r="JES5" s="390"/>
      <c r="JET5" s="390"/>
      <c r="JEU5" s="390"/>
      <c r="JEV5" s="390"/>
      <c r="JEW5" s="390"/>
      <c r="JEX5" s="390"/>
      <c r="JEY5" s="390"/>
      <c r="JEZ5" s="390"/>
      <c r="JFA5" s="390"/>
      <c r="JFB5" s="390"/>
      <c r="JFC5" s="390"/>
      <c r="JFD5" s="390"/>
      <c r="JFE5" s="390"/>
      <c r="JFF5" s="390"/>
      <c r="JFG5" s="390"/>
      <c r="JFH5" s="390"/>
      <c r="JFI5" s="390"/>
      <c r="JFJ5" s="390"/>
      <c r="JFK5" s="390"/>
      <c r="JFL5" s="390"/>
      <c r="JFM5" s="390"/>
      <c r="JFN5" s="390"/>
      <c r="JFO5" s="390"/>
      <c r="JFP5" s="390"/>
      <c r="JFQ5" s="390"/>
      <c r="JFR5" s="390"/>
      <c r="JFS5" s="390"/>
      <c r="JFT5" s="390"/>
      <c r="JFU5" s="390"/>
      <c r="JFV5" s="390"/>
      <c r="JFW5" s="390"/>
      <c r="JFX5" s="390"/>
      <c r="JFY5" s="390"/>
      <c r="JFZ5" s="390"/>
      <c r="JGA5" s="390"/>
      <c r="JGB5" s="390"/>
      <c r="JGC5" s="390"/>
      <c r="JGD5" s="390"/>
      <c r="JGE5" s="390"/>
      <c r="JGF5" s="390"/>
      <c r="JGG5" s="390"/>
      <c r="JGH5" s="390"/>
      <c r="JGI5" s="390"/>
      <c r="JGJ5" s="390"/>
      <c r="JGK5" s="390"/>
      <c r="JGL5" s="390"/>
      <c r="JGM5" s="390"/>
      <c r="JGN5" s="390"/>
      <c r="JGO5" s="390"/>
      <c r="JGP5" s="390"/>
      <c r="JGQ5" s="390"/>
      <c r="JGR5" s="390"/>
      <c r="JGS5" s="390"/>
      <c r="JGT5" s="390"/>
      <c r="JGU5" s="390"/>
      <c r="JGV5" s="390"/>
      <c r="JGW5" s="390"/>
      <c r="JGX5" s="390"/>
      <c r="JGY5" s="390"/>
      <c r="JGZ5" s="390"/>
      <c r="JHA5" s="390"/>
      <c r="JHB5" s="390"/>
      <c r="JHC5" s="390"/>
      <c r="JHD5" s="390"/>
      <c r="JHE5" s="390"/>
      <c r="JHF5" s="390"/>
      <c r="JHG5" s="390"/>
      <c r="JHH5" s="390"/>
      <c r="JHI5" s="390"/>
      <c r="JHJ5" s="390"/>
      <c r="JHK5" s="390"/>
      <c r="JHL5" s="390"/>
      <c r="JHM5" s="390"/>
      <c r="JHN5" s="390"/>
      <c r="JHO5" s="390"/>
      <c r="JHP5" s="390"/>
      <c r="JHQ5" s="390"/>
      <c r="JHR5" s="390"/>
      <c r="JHS5" s="390"/>
      <c r="JHT5" s="390"/>
      <c r="JHU5" s="390"/>
      <c r="JHV5" s="390"/>
      <c r="JHW5" s="390"/>
      <c r="JHX5" s="390"/>
      <c r="JHY5" s="390"/>
      <c r="JHZ5" s="390"/>
      <c r="JIA5" s="390"/>
      <c r="JIB5" s="390"/>
      <c r="JIC5" s="390"/>
      <c r="JID5" s="390"/>
      <c r="JIE5" s="390"/>
      <c r="JIF5" s="390"/>
      <c r="JIG5" s="390"/>
      <c r="JIH5" s="390"/>
      <c r="JII5" s="390"/>
      <c r="JIJ5" s="390"/>
      <c r="JIK5" s="390"/>
      <c r="JIL5" s="390"/>
      <c r="JIM5" s="390"/>
      <c r="JIN5" s="390"/>
      <c r="JIO5" s="390"/>
      <c r="JIP5" s="390"/>
      <c r="JIQ5" s="390"/>
      <c r="JIR5" s="390"/>
      <c r="JIS5" s="390"/>
      <c r="JIT5" s="390"/>
      <c r="JIU5" s="390"/>
      <c r="JIV5" s="390"/>
      <c r="JIW5" s="390"/>
      <c r="JIX5" s="390"/>
      <c r="JIY5" s="390"/>
      <c r="JIZ5" s="390"/>
      <c r="JJA5" s="390"/>
      <c r="JJB5" s="390"/>
      <c r="JJC5" s="390"/>
      <c r="JJD5" s="390"/>
      <c r="JJE5" s="390"/>
      <c r="JJF5" s="390"/>
      <c r="JJG5" s="390"/>
      <c r="JJH5" s="390"/>
      <c r="JJI5" s="390"/>
      <c r="JJJ5" s="390"/>
      <c r="JJK5" s="390"/>
      <c r="JJL5" s="390"/>
      <c r="JJM5" s="390"/>
      <c r="JJN5" s="390"/>
      <c r="JJO5" s="390"/>
      <c r="JJP5" s="390"/>
      <c r="JJQ5" s="390"/>
      <c r="JJR5" s="390"/>
      <c r="JJS5" s="390"/>
      <c r="JJT5" s="390"/>
      <c r="JJU5" s="390"/>
      <c r="JJV5" s="390"/>
      <c r="JJW5" s="390"/>
      <c r="JJX5" s="390"/>
      <c r="JJY5" s="390"/>
      <c r="JJZ5" s="390"/>
      <c r="JKA5" s="390"/>
      <c r="JKB5" s="390"/>
      <c r="JKC5" s="390"/>
      <c r="JKD5" s="390"/>
      <c r="JKE5" s="390"/>
      <c r="JKF5" s="390"/>
      <c r="JKG5" s="390"/>
      <c r="JKH5" s="390"/>
      <c r="JKI5" s="390"/>
      <c r="JKJ5" s="390"/>
      <c r="JKK5" s="390"/>
      <c r="JKL5" s="390"/>
      <c r="JKM5" s="390"/>
      <c r="JKN5" s="390"/>
      <c r="JKO5" s="390"/>
      <c r="JKP5" s="390"/>
      <c r="JKQ5" s="390"/>
      <c r="JKR5" s="390"/>
      <c r="JKS5" s="390"/>
      <c r="JKT5" s="390"/>
      <c r="JKU5" s="390"/>
      <c r="JKV5" s="390"/>
      <c r="JKW5" s="390"/>
      <c r="JKX5" s="390"/>
      <c r="JKY5" s="390"/>
      <c r="JKZ5" s="390"/>
      <c r="JLA5" s="390"/>
      <c r="JLB5" s="390"/>
      <c r="JLC5" s="390"/>
      <c r="JLD5" s="390"/>
      <c r="JLE5" s="390"/>
      <c r="JLF5" s="390"/>
      <c r="JLG5" s="390"/>
      <c r="JLH5" s="390"/>
      <c r="JLI5" s="390"/>
      <c r="JLJ5" s="390"/>
      <c r="JLK5" s="390"/>
      <c r="JLL5" s="390"/>
      <c r="JLM5" s="390"/>
      <c r="JLN5" s="390"/>
      <c r="JLO5" s="390"/>
      <c r="JLP5" s="390"/>
      <c r="JLQ5" s="390"/>
      <c r="JLR5" s="390"/>
      <c r="JLS5" s="390"/>
      <c r="JLT5" s="390"/>
      <c r="JLU5" s="390"/>
      <c r="JLV5" s="390"/>
      <c r="JLW5" s="390"/>
      <c r="JLX5" s="390"/>
      <c r="JLY5" s="390"/>
      <c r="JLZ5" s="390"/>
      <c r="JMA5" s="390"/>
      <c r="JMB5" s="390"/>
      <c r="JMC5" s="390"/>
      <c r="JMD5" s="390"/>
      <c r="JME5" s="390"/>
      <c r="JMF5" s="390"/>
      <c r="JMG5" s="390"/>
      <c r="JMH5" s="390"/>
      <c r="JMI5" s="390"/>
      <c r="JMJ5" s="390"/>
      <c r="JMK5" s="390"/>
      <c r="JML5" s="390"/>
      <c r="JMM5" s="390"/>
      <c r="JMN5" s="390"/>
      <c r="JMO5" s="390"/>
      <c r="JMP5" s="390"/>
      <c r="JMQ5" s="390"/>
      <c r="JMR5" s="390"/>
      <c r="JMS5" s="390"/>
      <c r="JMT5" s="390"/>
      <c r="JMU5" s="390"/>
      <c r="JMV5" s="390"/>
      <c r="JMW5" s="390"/>
      <c r="JMX5" s="390"/>
      <c r="JMY5" s="390"/>
      <c r="JMZ5" s="390"/>
      <c r="JNA5" s="390"/>
      <c r="JNB5" s="390"/>
      <c r="JNC5" s="390"/>
      <c r="JND5" s="390"/>
      <c r="JNE5" s="390"/>
      <c r="JNF5" s="390"/>
      <c r="JNG5" s="390"/>
      <c r="JNH5" s="390"/>
      <c r="JNI5" s="390"/>
      <c r="JNJ5" s="390"/>
      <c r="JNK5" s="390"/>
      <c r="JNL5" s="390"/>
      <c r="JNM5" s="390"/>
      <c r="JNN5" s="390"/>
      <c r="JNO5" s="390"/>
      <c r="JNP5" s="390"/>
      <c r="JNQ5" s="390"/>
      <c r="JNR5" s="390"/>
      <c r="JNS5" s="390"/>
      <c r="JNT5" s="390"/>
      <c r="JNU5" s="390"/>
      <c r="JNV5" s="390"/>
      <c r="JNW5" s="390"/>
      <c r="JNX5" s="390"/>
      <c r="JNY5" s="390"/>
      <c r="JNZ5" s="390"/>
      <c r="JOA5" s="390"/>
      <c r="JOB5" s="390"/>
      <c r="JOC5" s="390"/>
      <c r="JOD5" s="390"/>
      <c r="JOE5" s="390"/>
      <c r="JOF5" s="390"/>
      <c r="JOG5" s="390"/>
      <c r="JOH5" s="390"/>
      <c r="JOI5" s="390"/>
      <c r="JOJ5" s="390"/>
      <c r="JOK5" s="390"/>
      <c r="JOL5" s="390"/>
      <c r="JOM5" s="390"/>
      <c r="JON5" s="390"/>
      <c r="JOO5" s="390"/>
      <c r="JOP5" s="390"/>
      <c r="JOQ5" s="390"/>
      <c r="JOR5" s="390"/>
      <c r="JOS5" s="390"/>
      <c r="JOT5" s="390"/>
      <c r="JOU5" s="390"/>
      <c r="JOV5" s="390"/>
      <c r="JOW5" s="390"/>
      <c r="JOX5" s="390"/>
      <c r="JOY5" s="390"/>
      <c r="JOZ5" s="390"/>
      <c r="JPA5" s="390"/>
      <c r="JPB5" s="390"/>
      <c r="JPC5" s="390"/>
      <c r="JPD5" s="390"/>
      <c r="JPE5" s="390"/>
      <c r="JPF5" s="390"/>
      <c r="JPG5" s="390"/>
      <c r="JPH5" s="390"/>
      <c r="JPI5" s="390"/>
      <c r="JPJ5" s="390"/>
      <c r="JPK5" s="390"/>
      <c r="JPL5" s="390"/>
      <c r="JPM5" s="390"/>
      <c r="JPN5" s="390"/>
      <c r="JPO5" s="390"/>
      <c r="JPP5" s="390"/>
      <c r="JPQ5" s="390"/>
      <c r="JPR5" s="390"/>
      <c r="JPS5" s="390"/>
      <c r="JPT5" s="390"/>
      <c r="JPU5" s="390"/>
      <c r="JPV5" s="390"/>
      <c r="JPW5" s="390"/>
      <c r="JPX5" s="390"/>
      <c r="JPY5" s="390"/>
      <c r="JPZ5" s="390"/>
      <c r="JQA5" s="390"/>
      <c r="JQB5" s="390"/>
      <c r="JQC5" s="390"/>
      <c r="JQD5" s="390"/>
      <c r="JQE5" s="390"/>
      <c r="JQF5" s="390"/>
      <c r="JQG5" s="390"/>
      <c r="JQH5" s="390"/>
      <c r="JQI5" s="390"/>
      <c r="JQJ5" s="390"/>
      <c r="JQK5" s="390"/>
      <c r="JQL5" s="390"/>
      <c r="JQM5" s="390"/>
      <c r="JQN5" s="390"/>
      <c r="JQO5" s="390"/>
      <c r="JQP5" s="390"/>
      <c r="JQQ5" s="390"/>
      <c r="JQR5" s="390"/>
      <c r="JQS5" s="390"/>
      <c r="JQT5" s="390"/>
      <c r="JQU5" s="390"/>
      <c r="JQV5" s="390"/>
      <c r="JQW5" s="390"/>
      <c r="JQX5" s="390"/>
      <c r="JQY5" s="390"/>
      <c r="JQZ5" s="390"/>
      <c r="JRA5" s="390"/>
      <c r="JRB5" s="390"/>
      <c r="JRC5" s="390"/>
      <c r="JRD5" s="390"/>
      <c r="JRE5" s="390"/>
      <c r="JRF5" s="390"/>
      <c r="JRG5" s="390"/>
      <c r="JRH5" s="390"/>
      <c r="JRI5" s="390"/>
      <c r="JRJ5" s="390"/>
      <c r="JRK5" s="390"/>
      <c r="JRL5" s="390"/>
      <c r="JRM5" s="390"/>
      <c r="JRN5" s="390"/>
      <c r="JRO5" s="390"/>
      <c r="JRP5" s="390"/>
      <c r="JRQ5" s="390"/>
      <c r="JRR5" s="390"/>
      <c r="JRS5" s="390"/>
      <c r="JRT5" s="390"/>
      <c r="JRU5" s="390"/>
      <c r="JRV5" s="390"/>
      <c r="JRW5" s="390"/>
      <c r="JRX5" s="390"/>
      <c r="JRY5" s="390"/>
      <c r="JRZ5" s="390"/>
      <c r="JSA5" s="390"/>
      <c r="JSB5" s="390"/>
      <c r="JSC5" s="390"/>
      <c r="JSD5" s="390"/>
      <c r="JSE5" s="390"/>
      <c r="JSF5" s="390"/>
      <c r="JSG5" s="390"/>
      <c r="JSH5" s="390"/>
      <c r="JSI5" s="390"/>
      <c r="JSJ5" s="390"/>
      <c r="JSK5" s="390"/>
      <c r="JSL5" s="390"/>
      <c r="JSM5" s="390"/>
      <c r="JSN5" s="390"/>
      <c r="JSO5" s="390"/>
      <c r="JSP5" s="390"/>
      <c r="JSQ5" s="390"/>
      <c r="JSR5" s="390"/>
      <c r="JSS5" s="390"/>
      <c r="JST5" s="390"/>
      <c r="JSU5" s="390"/>
      <c r="JSV5" s="390"/>
      <c r="JSW5" s="390"/>
      <c r="JSX5" s="390"/>
      <c r="JSY5" s="390"/>
      <c r="JSZ5" s="390"/>
      <c r="JTA5" s="390"/>
      <c r="JTB5" s="390"/>
      <c r="JTC5" s="390"/>
      <c r="JTD5" s="390"/>
      <c r="JTE5" s="390"/>
      <c r="JTF5" s="390"/>
      <c r="JTG5" s="390"/>
      <c r="JTH5" s="390"/>
      <c r="JTI5" s="390"/>
      <c r="JTJ5" s="390"/>
      <c r="JTK5" s="390"/>
      <c r="JTL5" s="390"/>
      <c r="JTM5" s="390"/>
      <c r="JTN5" s="390"/>
      <c r="JTO5" s="390"/>
      <c r="JTP5" s="390"/>
      <c r="JTQ5" s="390"/>
      <c r="JTR5" s="390"/>
      <c r="JTS5" s="390"/>
      <c r="JTT5" s="390"/>
      <c r="JTU5" s="390"/>
      <c r="JTV5" s="390"/>
      <c r="JTW5" s="390"/>
      <c r="JTX5" s="390"/>
      <c r="JTY5" s="390"/>
      <c r="JTZ5" s="390"/>
      <c r="JUA5" s="390"/>
      <c r="JUB5" s="390"/>
      <c r="JUC5" s="390"/>
      <c r="JUD5" s="390"/>
      <c r="JUE5" s="390"/>
      <c r="JUF5" s="390"/>
      <c r="JUG5" s="390"/>
      <c r="JUH5" s="390"/>
      <c r="JUI5" s="390"/>
      <c r="JUJ5" s="390"/>
      <c r="JUK5" s="390"/>
      <c r="JUL5" s="390"/>
      <c r="JUM5" s="390"/>
      <c r="JUN5" s="390"/>
      <c r="JUO5" s="390"/>
      <c r="JUP5" s="390"/>
      <c r="JUQ5" s="390"/>
      <c r="JUR5" s="390"/>
      <c r="JUS5" s="390"/>
      <c r="JUT5" s="390"/>
      <c r="JUU5" s="390"/>
      <c r="JUV5" s="390"/>
      <c r="JUW5" s="390"/>
      <c r="JUX5" s="390"/>
      <c r="JUY5" s="390"/>
      <c r="JUZ5" s="390"/>
      <c r="JVA5" s="390"/>
      <c r="JVB5" s="390"/>
      <c r="JVC5" s="390"/>
      <c r="JVD5" s="390"/>
      <c r="JVE5" s="390"/>
      <c r="JVF5" s="390"/>
      <c r="JVG5" s="390"/>
      <c r="JVH5" s="390"/>
      <c r="JVI5" s="390"/>
      <c r="JVJ5" s="390"/>
      <c r="JVK5" s="390"/>
      <c r="JVL5" s="390"/>
      <c r="JVM5" s="390"/>
      <c r="JVN5" s="390"/>
      <c r="JVO5" s="390"/>
      <c r="JVP5" s="390"/>
      <c r="JVQ5" s="390"/>
      <c r="JVR5" s="390"/>
      <c r="JVS5" s="390"/>
      <c r="JVT5" s="390"/>
      <c r="JVU5" s="390"/>
      <c r="JVV5" s="390"/>
      <c r="JVW5" s="390"/>
      <c r="JVX5" s="390"/>
      <c r="JVY5" s="390"/>
      <c r="JVZ5" s="390"/>
      <c r="JWA5" s="390"/>
      <c r="JWB5" s="390"/>
      <c r="JWC5" s="390"/>
      <c r="JWD5" s="390"/>
      <c r="JWE5" s="390"/>
      <c r="JWF5" s="390"/>
      <c r="JWG5" s="390"/>
      <c r="JWH5" s="390"/>
      <c r="JWI5" s="390"/>
      <c r="JWJ5" s="390"/>
      <c r="JWK5" s="390"/>
      <c r="JWL5" s="390"/>
      <c r="JWM5" s="390"/>
      <c r="JWN5" s="390"/>
      <c r="JWO5" s="390"/>
      <c r="JWP5" s="390"/>
      <c r="JWQ5" s="390"/>
      <c r="JWR5" s="390"/>
      <c r="JWS5" s="390"/>
      <c r="JWT5" s="390"/>
      <c r="JWU5" s="390"/>
      <c r="JWV5" s="390"/>
      <c r="JWW5" s="390"/>
      <c r="JWX5" s="390"/>
      <c r="JWY5" s="390"/>
      <c r="JWZ5" s="390"/>
      <c r="JXA5" s="390"/>
      <c r="JXB5" s="390"/>
      <c r="JXC5" s="390"/>
      <c r="JXD5" s="390"/>
      <c r="JXE5" s="390"/>
      <c r="JXF5" s="390"/>
      <c r="JXG5" s="390"/>
      <c r="JXH5" s="390"/>
      <c r="JXI5" s="390"/>
      <c r="JXJ5" s="390"/>
      <c r="JXK5" s="390"/>
      <c r="JXL5" s="390"/>
      <c r="JXM5" s="390"/>
      <c r="JXN5" s="390"/>
      <c r="JXO5" s="390"/>
      <c r="JXP5" s="390"/>
      <c r="JXQ5" s="390"/>
      <c r="JXR5" s="390"/>
      <c r="JXS5" s="390"/>
      <c r="JXT5" s="390"/>
      <c r="JXU5" s="390"/>
      <c r="JXV5" s="390"/>
      <c r="JXW5" s="390"/>
      <c r="JXX5" s="390"/>
      <c r="JXY5" s="390"/>
      <c r="JXZ5" s="390"/>
      <c r="JYA5" s="390"/>
      <c r="JYB5" s="390"/>
      <c r="JYC5" s="390"/>
      <c r="JYD5" s="390"/>
      <c r="JYE5" s="390"/>
      <c r="JYF5" s="390"/>
      <c r="JYG5" s="390"/>
      <c r="JYH5" s="390"/>
      <c r="JYI5" s="390"/>
      <c r="JYJ5" s="390"/>
      <c r="JYK5" s="390"/>
      <c r="JYL5" s="390"/>
      <c r="JYM5" s="390"/>
      <c r="JYN5" s="390"/>
      <c r="JYO5" s="390"/>
      <c r="JYP5" s="390"/>
      <c r="JYQ5" s="390"/>
      <c r="JYR5" s="390"/>
      <c r="JYS5" s="390"/>
      <c r="JYT5" s="390"/>
      <c r="JYU5" s="390"/>
      <c r="JYV5" s="390"/>
      <c r="JYW5" s="390"/>
      <c r="JYX5" s="390"/>
      <c r="JYY5" s="390"/>
      <c r="JYZ5" s="390"/>
      <c r="JZA5" s="390"/>
      <c r="JZB5" s="390"/>
      <c r="JZC5" s="390"/>
      <c r="JZD5" s="390"/>
      <c r="JZE5" s="390"/>
      <c r="JZF5" s="390"/>
      <c r="JZG5" s="390"/>
      <c r="JZH5" s="390"/>
      <c r="JZI5" s="390"/>
      <c r="JZJ5" s="390"/>
      <c r="JZK5" s="390"/>
      <c r="JZL5" s="390"/>
      <c r="JZM5" s="390"/>
      <c r="JZN5" s="390"/>
      <c r="JZO5" s="390"/>
      <c r="JZP5" s="390"/>
      <c r="JZQ5" s="390"/>
      <c r="JZR5" s="390"/>
      <c r="JZS5" s="390"/>
      <c r="JZT5" s="390"/>
      <c r="JZU5" s="390"/>
      <c r="JZV5" s="390"/>
      <c r="JZW5" s="390"/>
      <c r="JZX5" s="390"/>
      <c r="JZY5" s="390"/>
      <c r="JZZ5" s="390"/>
      <c r="KAA5" s="390"/>
      <c r="KAB5" s="390"/>
      <c r="KAC5" s="390"/>
      <c r="KAD5" s="390"/>
      <c r="KAE5" s="390"/>
      <c r="KAF5" s="390"/>
      <c r="KAG5" s="390"/>
      <c r="KAH5" s="390"/>
      <c r="KAI5" s="390"/>
      <c r="KAJ5" s="390"/>
      <c r="KAK5" s="390"/>
      <c r="KAL5" s="390"/>
      <c r="KAM5" s="390"/>
      <c r="KAN5" s="390"/>
      <c r="KAO5" s="390"/>
      <c r="KAP5" s="390"/>
      <c r="KAQ5" s="390"/>
      <c r="KAR5" s="390"/>
      <c r="KAS5" s="390"/>
      <c r="KAT5" s="390"/>
      <c r="KAU5" s="390"/>
      <c r="KAV5" s="390"/>
      <c r="KAW5" s="390"/>
      <c r="KAX5" s="390"/>
      <c r="KAY5" s="390"/>
      <c r="KAZ5" s="390"/>
      <c r="KBA5" s="390"/>
      <c r="KBB5" s="390"/>
      <c r="KBC5" s="390"/>
      <c r="KBD5" s="390"/>
      <c r="KBE5" s="390"/>
      <c r="KBF5" s="390"/>
      <c r="KBG5" s="390"/>
      <c r="KBH5" s="390"/>
      <c r="KBI5" s="390"/>
      <c r="KBJ5" s="390"/>
      <c r="KBK5" s="390"/>
      <c r="KBL5" s="390"/>
      <c r="KBM5" s="390"/>
      <c r="KBN5" s="390"/>
      <c r="KBO5" s="390"/>
      <c r="KBP5" s="390"/>
      <c r="KBQ5" s="390"/>
      <c r="KBR5" s="390"/>
      <c r="KBS5" s="390"/>
      <c r="KBT5" s="390"/>
      <c r="KBU5" s="390"/>
      <c r="KBV5" s="390"/>
      <c r="KBW5" s="390"/>
      <c r="KBX5" s="390"/>
      <c r="KBY5" s="390"/>
      <c r="KBZ5" s="390"/>
      <c r="KCA5" s="390"/>
      <c r="KCB5" s="390"/>
      <c r="KCC5" s="390"/>
      <c r="KCD5" s="390"/>
      <c r="KCE5" s="390"/>
      <c r="KCF5" s="390"/>
      <c r="KCG5" s="390"/>
      <c r="KCH5" s="390"/>
      <c r="KCI5" s="390"/>
      <c r="KCJ5" s="390"/>
      <c r="KCK5" s="390"/>
      <c r="KCL5" s="390"/>
      <c r="KCM5" s="390"/>
      <c r="KCN5" s="390"/>
      <c r="KCO5" s="390"/>
      <c r="KCP5" s="390"/>
      <c r="KCQ5" s="390"/>
      <c r="KCR5" s="390"/>
      <c r="KCS5" s="390"/>
      <c r="KCT5" s="390"/>
      <c r="KCU5" s="390"/>
      <c r="KCV5" s="390"/>
      <c r="KCW5" s="390"/>
      <c r="KCX5" s="390"/>
      <c r="KCY5" s="390"/>
      <c r="KCZ5" s="390"/>
      <c r="KDA5" s="390"/>
      <c r="KDB5" s="390"/>
      <c r="KDC5" s="390"/>
      <c r="KDD5" s="390"/>
      <c r="KDE5" s="390"/>
      <c r="KDF5" s="390"/>
      <c r="KDG5" s="390"/>
      <c r="KDH5" s="390"/>
      <c r="KDI5" s="390"/>
      <c r="KDJ5" s="390"/>
      <c r="KDK5" s="390"/>
      <c r="KDL5" s="390"/>
      <c r="KDM5" s="390"/>
      <c r="KDN5" s="390"/>
      <c r="KDO5" s="390"/>
      <c r="KDP5" s="390"/>
      <c r="KDQ5" s="390"/>
      <c r="KDR5" s="390"/>
      <c r="KDS5" s="390"/>
      <c r="KDT5" s="390"/>
      <c r="KDU5" s="390"/>
      <c r="KDV5" s="390"/>
      <c r="KDW5" s="390"/>
      <c r="KDX5" s="390"/>
      <c r="KDY5" s="390"/>
      <c r="KDZ5" s="390"/>
      <c r="KEA5" s="390"/>
      <c r="KEB5" s="390"/>
      <c r="KEC5" s="390"/>
      <c r="KED5" s="390"/>
      <c r="KEE5" s="390"/>
      <c r="KEF5" s="390"/>
      <c r="KEG5" s="390"/>
      <c r="KEH5" s="390"/>
      <c r="KEI5" s="390"/>
      <c r="KEJ5" s="390"/>
      <c r="KEK5" s="390"/>
      <c r="KEL5" s="390"/>
      <c r="KEM5" s="390"/>
      <c r="KEN5" s="390"/>
      <c r="KEO5" s="390"/>
      <c r="KEP5" s="390"/>
      <c r="KEQ5" s="390"/>
      <c r="KER5" s="390"/>
      <c r="KES5" s="390"/>
      <c r="KET5" s="390"/>
      <c r="KEU5" s="390"/>
      <c r="KEV5" s="390"/>
      <c r="KEW5" s="390"/>
      <c r="KEX5" s="390"/>
      <c r="KEY5" s="390"/>
      <c r="KEZ5" s="390"/>
      <c r="KFA5" s="390"/>
      <c r="KFB5" s="390"/>
      <c r="KFC5" s="390"/>
      <c r="KFD5" s="390"/>
      <c r="KFE5" s="390"/>
      <c r="KFF5" s="390"/>
      <c r="KFG5" s="390"/>
      <c r="KFH5" s="390"/>
      <c r="KFI5" s="390"/>
      <c r="KFJ5" s="390"/>
      <c r="KFK5" s="390"/>
      <c r="KFL5" s="390"/>
      <c r="KFM5" s="390"/>
      <c r="KFN5" s="390"/>
      <c r="KFO5" s="390"/>
      <c r="KFP5" s="390"/>
      <c r="KFQ5" s="390"/>
      <c r="KFR5" s="390"/>
      <c r="KFS5" s="390"/>
      <c r="KFT5" s="390"/>
      <c r="KFU5" s="390"/>
      <c r="KFV5" s="390"/>
      <c r="KFW5" s="390"/>
      <c r="KFX5" s="390"/>
      <c r="KFY5" s="390"/>
      <c r="KFZ5" s="390"/>
      <c r="KGA5" s="390"/>
      <c r="KGB5" s="390"/>
      <c r="KGC5" s="390"/>
      <c r="KGD5" s="390"/>
      <c r="KGE5" s="390"/>
      <c r="KGF5" s="390"/>
      <c r="KGG5" s="390"/>
      <c r="KGH5" s="390"/>
      <c r="KGI5" s="390"/>
      <c r="KGJ5" s="390"/>
      <c r="KGK5" s="390"/>
      <c r="KGL5" s="390"/>
      <c r="KGM5" s="390"/>
      <c r="KGN5" s="390"/>
      <c r="KGO5" s="390"/>
      <c r="KGP5" s="390"/>
      <c r="KGQ5" s="390"/>
      <c r="KGR5" s="390"/>
      <c r="KGS5" s="390"/>
      <c r="KGT5" s="390"/>
      <c r="KGU5" s="390"/>
      <c r="KGV5" s="390"/>
      <c r="KGW5" s="390"/>
      <c r="KGX5" s="390"/>
      <c r="KGY5" s="390"/>
      <c r="KGZ5" s="390"/>
      <c r="KHA5" s="390"/>
      <c r="KHB5" s="390"/>
      <c r="KHC5" s="390"/>
      <c r="KHD5" s="390"/>
      <c r="KHE5" s="390"/>
      <c r="KHF5" s="390"/>
      <c r="KHG5" s="390"/>
      <c r="KHH5" s="390"/>
      <c r="KHI5" s="390"/>
      <c r="KHJ5" s="390"/>
      <c r="KHK5" s="390"/>
      <c r="KHL5" s="390"/>
      <c r="KHM5" s="390"/>
      <c r="KHN5" s="390"/>
      <c r="KHO5" s="390"/>
      <c r="KHP5" s="390"/>
      <c r="KHQ5" s="390"/>
      <c r="KHR5" s="390"/>
      <c r="KHS5" s="390"/>
      <c r="KHT5" s="390"/>
      <c r="KHU5" s="390"/>
      <c r="KHV5" s="390"/>
      <c r="KHW5" s="390"/>
      <c r="KHX5" s="390"/>
      <c r="KHY5" s="390"/>
      <c r="KHZ5" s="390"/>
      <c r="KIA5" s="390"/>
      <c r="KIB5" s="390"/>
      <c r="KIC5" s="390"/>
      <c r="KID5" s="390"/>
      <c r="KIE5" s="390"/>
      <c r="KIF5" s="390"/>
      <c r="KIG5" s="390"/>
      <c r="KIH5" s="390"/>
      <c r="KII5" s="390"/>
      <c r="KIJ5" s="390"/>
      <c r="KIK5" s="390"/>
      <c r="KIL5" s="390"/>
      <c r="KIM5" s="390"/>
      <c r="KIN5" s="390"/>
      <c r="KIO5" s="390"/>
      <c r="KIP5" s="390"/>
      <c r="KIQ5" s="390"/>
      <c r="KIR5" s="390"/>
      <c r="KIS5" s="390"/>
      <c r="KIT5" s="390"/>
      <c r="KIU5" s="390"/>
      <c r="KIV5" s="390"/>
      <c r="KIW5" s="390"/>
      <c r="KIX5" s="390"/>
      <c r="KIY5" s="390"/>
      <c r="KIZ5" s="390"/>
      <c r="KJA5" s="390"/>
      <c r="KJB5" s="390"/>
      <c r="KJC5" s="390"/>
      <c r="KJD5" s="390"/>
      <c r="KJE5" s="390"/>
      <c r="KJF5" s="390"/>
      <c r="KJG5" s="390"/>
      <c r="KJH5" s="390"/>
      <c r="KJI5" s="390"/>
      <c r="KJJ5" s="390"/>
      <c r="KJK5" s="390"/>
      <c r="KJL5" s="390"/>
      <c r="KJM5" s="390"/>
      <c r="KJN5" s="390"/>
      <c r="KJO5" s="390"/>
      <c r="KJP5" s="390"/>
      <c r="KJQ5" s="390"/>
      <c r="KJR5" s="390"/>
      <c r="KJS5" s="390"/>
      <c r="KJT5" s="390"/>
      <c r="KJU5" s="390"/>
      <c r="KJV5" s="390"/>
      <c r="KJW5" s="390"/>
      <c r="KJX5" s="390"/>
      <c r="KJY5" s="390"/>
      <c r="KJZ5" s="390"/>
      <c r="KKA5" s="390"/>
      <c r="KKB5" s="390"/>
      <c r="KKC5" s="390"/>
      <c r="KKD5" s="390"/>
      <c r="KKE5" s="390"/>
      <c r="KKF5" s="390"/>
      <c r="KKG5" s="390"/>
      <c r="KKH5" s="390"/>
      <c r="KKI5" s="390"/>
      <c r="KKJ5" s="390"/>
      <c r="KKK5" s="390"/>
      <c r="KKL5" s="390"/>
      <c r="KKM5" s="390"/>
      <c r="KKN5" s="390"/>
      <c r="KKO5" s="390"/>
      <c r="KKP5" s="390"/>
      <c r="KKQ5" s="390"/>
      <c r="KKR5" s="390"/>
      <c r="KKS5" s="390"/>
      <c r="KKT5" s="390"/>
      <c r="KKU5" s="390"/>
      <c r="KKV5" s="390"/>
      <c r="KKW5" s="390"/>
      <c r="KKX5" s="390"/>
      <c r="KKY5" s="390"/>
      <c r="KKZ5" s="390"/>
      <c r="KLA5" s="390"/>
      <c r="KLB5" s="390"/>
      <c r="KLC5" s="390"/>
      <c r="KLD5" s="390"/>
      <c r="KLE5" s="390"/>
      <c r="KLF5" s="390"/>
      <c r="KLG5" s="390"/>
      <c r="KLH5" s="390"/>
      <c r="KLI5" s="390"/>
      <c r="KLJ5" s="390"/>
      <c r="KLK5" s="390"/>
      <c r="KLL5" s="390"/>
      <c r="KLM5" s="390"/>
      <c r="KLN5" s="390"/>
      <c r="KLO5" s="390"/>
      <c r="KLP5" s="390"/>
      <c r="KLQ5" s="390"/>
      <c r="KLR5" s="390"/>
      <c r="KLS5" s="390"/>
      <c r="KLT5" s="390"/>
      <c r="KLU5" s="390"/>
      <c r="KLV5" s="390"/>
      <c r="KLW5" s="390"/>
      <c r="KLX5" s="390"/>
      <c r="KLY5" s="390"/>
      <c r="KLZ5" s="390"/>
      <c r="KMA5" s="390"/>
      <c r="KMB5" s="390"/>
      <c r="KMC5" s="390"/>
      <c r="KMD5" s="390"/>
      <c r="KME5" s="390"/>
      <c r="KMF5" s="390"/>
      <c r="KMG5" s="390"/>
      <c r="KMH5" s="390"/>
      <c r="KMI5" s="390"/>
      <c r="KMJ5" s="390"/>
      <c r="KMK5" s="390"/>
      <c r="KML5" s="390"/>
      <c r="KMM5" s="390"/>
      <c r="KMN5" s="390"/>
      <c r="KMO5" s="390"/>
      <c r="KMP5" s="390"/>
      <c r="KMQ5" s="390"/>
      <c r="KMR5" s="390"/>
      <c r="KMS5" s="390"/>
      <c r="KMT5" s="390"/>
      <c r="KMU5" s="390"/>
      <c r="KMV5" s="390"/>
      <c r="KMW5" s="390"/>
      <c r="KMX5" s="390"/>
      <c r="KMY5" s="390"/>
      <c r="KMZ5" s="390"/>
      <c r="KNA5" s="390"/>
      <c r="KNB5" s="390"/>
      <c r="KNC5" s="390"/>
      <c r="KND5" s="390"/>
      <c r="KNE5" s="390"/>
      <c r="KNF5" s="390"/>
      <c r="KNG5" s="390"/>
      <c r="KNH5" s="390"/>
      <c r="KNI5" s="390"/>
      <c r="KNJ5" s="390"/>
      <c r="KNK5" s="390"/>
      <c r="KNL5" s="390"/>
      <c r="KNM5" s="390"/>
      <c r="KNN5" s="390"/>
      <c r="KNO5" s="390"/>
      <c r="KNP5" s="390"/>
      <c r="KNQ5" s="390"/>
      <c r="KNR5" s="390"/>
      <c r="KNS5" s="390"/>
      <c r="KNT5" s="390"/>
      <c r="KNU5" s="390"/>
      <c r="KNV5" s="390"/>
      <c r="KNW5" s="390"/>
      <c r="KNX5" s="390"/>
      <c r="KNY5" s="390"/>
      <c r="KNZ5" s="390"/>
      <c r="KOA5" s="390"/>
      <c r="KOB5" s="390"/>
      <c r="KOC5" s="390"/>
      <c r="KOD5" s="390"/>
      <c r="KOE5" s="390"/>
      <c r="KOF5" s="390"/>
      <c r="KOG5" s="390"/>
      <c r="KOH5" s="390"/>
      <c r="KOI5" s="390"/>
      <c r="KOJ5" s="390"/>
      <c r="KOK5" s="390"/>
      <c r="KOL5" s="390"/>
      <c r="KOM5" s="390"/>
      <c r="KON5" s="390"/>
      <c r="KOO5" s="390"/>
      <c r="KOP5" s="390"/>
      <c r="KOQ5" s="390"/>
      <c r="KOR5" s="390"/>
      <c r="KOS5" s="390"/>
      <c r="KOT5" s="390"/>
      <c r="KOU5" s="390"/>
      <c r="KOV5" s="390"/>
      <c r="KOW5" s="390"/>
      <c r="KOX5" s="390"/>
      <c r="KOY5" s="390"/>
      <c r="KOZ5" s="390"/>
      <c r="KPA5" s="390"/>
      <c r="KPB5" s="390"/>
      <c r="KPC5" s="390"/>
      <c r="KPD5" s="390"/>
      <c r="KPE5" s="390"/>
      <c r="KPF5" s="390"/>
      <c r="KPG5" s="390"/>
      <c r="KPH5" s="390"/>
      <c r="KPI5" s="390"/>
      <c r="KPJ5" s="390"/>
      <c r="KPK5" s="390"/>
      <c r="KPL5" s="390"/>
      <c r="KPM5" s="390"/>
      <c r="KPN5" s="390"/>
      <c r="KPO5" s="390"/>
      <c r="KPP5" s="390"/>
      <c r="KPQ5" s="390"/>
      <c r="KPR5" s="390"/>
      <c r="KPS5" s="390"/>
      <c r="KPT5" s="390"/>
      <c r="KPU5" s="390"/>
      <c r="KPV5" s="390"/>
      <c r="KPW5" s="390"/>
      <c r="KPX5" s="390"/>
      <c r="KPY5" s="390"/>
      <c r="KPZ5" s="390"/>
      <c r="KQA5" s="390"/>
      <c r="KQB5" s="390"/>
      <c r="KQC5" s="390"/>
      <c r="KQD5" s="390"/>
      <c r="KQE5" s="390"/>
      <c r="KQF5" s="390"/>
      <c r="KQG5" s="390"/>
      <c r="KQH5" s="390"/>
      <c r="KQI5" s="390"/>
      <c r="KQJ5" s="390"/>
      <c r="KQK5" s="390"/>
      <c r="KQL5" s="390"/>
      <c r="KQM5" s="390"/>
      <c r="KQN5" s="390"/>
      <c r="KQO5" s="390"/>
      <c r="KQP5" s="390"/>
      <c r="KQQ5" s="390"/>
      <c r="KQR5" s="390"/>
      <c r="KQS5" s="390"/>
      <c r="KQT5" s="390"/>
      <c r="KQU5" s="390"/>
      <c r="KQV5" s="390"/>
      <c r="KQW5" s="390"/>
      <c r="KQX5" s="390"/>
      <c r="KQY5" s="390"/>
      <c r="KQZ5" s="390"/>
      <c r="KRA5" s="390"/>
      <c r="KRB5" s="390"/>
      <c r="KRC5" s="390"/>
      <c r="KRD5" s="390"/>
      <c r="KRE5" s="390"/>
      <c r="KRF5" s="390"/>
      <c r="KRG5" s="390"/>
      <c r="KRH5" s="390"/>
      <c r="KRI5" s="390"/>
      <c r="KRJ5" s="390"/>
      <c r="KRK5" s="390"/>
      <c r="KRL5" s="390"/>
      <c r="KRM5" s="390"/>
      <c r="KRN5" s="390"/>
      <c r="KRO5" s="390"/>
      <c r="KRP5" s="390"/>
      <c r="KRQ5" s="390"/>
      <c r="KRR5" s="390"/>
      <c r="KRS5" s="390"/>
      <c r="KRT5" s="390"/>
      <c r="KRU5" s="390"/>
      <c r="KRV5" s="390"/>
      <c r="KRW5" s="390"/>
      <c r="KRX5" s="390"/>
      <c r="KRY5" s="390"/>
      <c r="KRZ5" s="390"/>
      <c r="KSA5" s="390"/>
      <c r="KSB5" s="390"/>
      <c r="KSC5" s="390"/>
      <c r="KSD5" s="390"/>
      <c r="KSE5" s="390"/>
      <c r="KSF5" s="390"/>
      <c r="KSG5" s="390"/>
      <c r="KSH5" s="390"/>
      <c r="KSI5" s="390"/>
      <c r="KSJ5" s="390"/>
      <c r="KSK5" s="390"/>
      <c r="KSL5" s="390"/>
      <c r="KSM5" s="390"/>
      <c r="KSN5" s="390"/>
      <c r="KSO5" s="390"/>
      <c r="KSP5" s="390"/>
      <c r="KSQ5" s="390"/>
      <c r="KSR5" s="390"/>
      <c r="KSS5" s="390"/>
      <c r="KST5" s="390"/>
      <c r="KSU5" s="390"/>
      <c r="KSV5" s="390"/>
      <c r="KSW5" s="390"/>
      <c r="KSX5" s="390"/>
      <c r="KSY5" s="390"/>
      <c r="KSZ5" s="390"/>
      <c r="KTA5" s="390"/>
      <c r="KTB5" s="390"/>
      <c r="KTC5" s="390"/>
      <c r="KTD5" s="390"/>
      <c r="KTE5" s="390"/>
      <c r="KTF5" s="390"/>
      <c r="KTG5" s="390"/>
      <c r="KTH5" s="390"/>
      <c r="KTI5" s="390"/>
      <c r="KTJ5" s="390"/>
      <c r="KTK5" s="390"/>
      <c r="KTL5" s="390"/>
      <c r="KTM5" s="390"/>
      <c r="KTN5" s="390"/>
      <c r="KTO5" s="390"/>
      <c r="KTP5" s="390"/>
      <c r="KTQ5" s="390"/>
      <c r="KTR5" s="390"/>
      <c r="KTS5" s="390"/>
      <c r="KTT5" s="390"/>
      <c r="KTU5" s="390"/>
      <c r="KTV5" s="390"/>
      <c r="KTW5" s="390"/>
      <c r="KTX5" s="390"/>
      <c r="KTY5" s="390"/>
      <c r="KTZ5" s="390"/>
      <c r="KUA5" s="390"/>
      <c r="KUB5" s="390"/>
      <c r="KUC5" s="390"/>
      <c r="KUD5" s="390"/>
      <c r="KUE5" s="390"/>
      <c r="KUF5" s="390"/>
      <c r="KUG5" s="390"/>
      <c r="KUH5" s="390"/>
      <c r="KUI5" s="390"/>
      <c r="KUJ5" s="390"/>
      <c r="KUK5" s="390"/>
      <c r="KUL5" s="390"/>
      <c r="KUM5" s="390"/>
      <c r="KUN5" s="390"/>
      <c r="KUO5" s="390"/>
      <c r="KUP5" s="390"/>
      <c r="KUQ5" s="390"/>
      <c r="KUR5" s="390"/>
      <c r="KUS5" s="390"/>
      <c r="KUT5" s="390"/>
      <c r="KUU5" s="390"/>
      <c r="KUV5" s="390"/>
      <c r="KUW5" s="390"/>
      <c r="KUX5" s="390"/>
      <c r="KUY5" s="390"/>
      <c r="KUZ5" s="390"/>
      <c r="KVA5" s="390"/>
      <c r="KVB5" s="390"/>
      <c r="KVC5" s="390"/>
      <c r="KVD5" s="390"/>
      <c r="KVE5" s="390"/>
      <c r="KVF5" s="390"/>
      <c r="KVG5" s="390"/>
      <c r="KVH5" s="390"/>
      <c r="KVI5" s="390"/>
      <c r="KVJ5" s="390"/>
      <c r="KVK5" s="390"/>
      <c r="KVL5" s="390"/>
      <c r="KVM5" s="390"/>
      <c r="KVN5" s="390"/>
      <c r="KVO5" s="390"/>
      <c r="KVP5" s="390"/>
      <c r="KVQ5" s="390"/>
      <c r="KVR5" s="390"/>
      <c r="KVS5" s="390"/>
      <c r="KVT5" s="390"/>
      <c r="KVU5" s="390"/>
      <c r="KVV5" s="390"/>
      <c r="KVW5" s="390"/>
      <c r="KVX5" s="390"/>
      <c r="KVY5" s="390"/>
      <c r="KVZ5" s="390"/>
      <c r="KWA5" s="390"/>
      <c r="KWB5" s="390"/>
      <c r="KWC5" s="390"/>
      <c r="KWD5" s="390"/>
      <c r="KWE5" s="390"/>
      <c r="KWF5" s="390"/>
      <c r="KWG5" s="390"/>
      <c r="KWH5" s="390"/>
      <c r="KWI5" s="390"/>
      <c r="KWJ5" s="390"/>
      <c r="KWK5" s="390"/>
      <c r="KWL5" s="390"/>
      <c r="KWM5" s="390"/>
      <c r="KWN5" s="390"/>
      <c r="KWO5" s="390"/>
      <c r="KWP5" s="390"/>
      <c r="KWQ5" s="390"/>
      <c r="KWR5" s="390"/>
      <c r="KWS5" s="390"/>
      <c r="KWT5" s="390"/>
      <c r="KWU5" s="390"/>
      <c r="KWV5" s="390"/>
      <c r="KWW5" s="390"/>
      <c r="KWX5" s="390"/>
      <c r="KWY5" s="390"/>
      <c r="KWZ5" s="390"/>
      <c r="KXA5" s="390"/>
      <c r="KXB5" s="390"/>
      <c r="KXC5" s="390"/>
      <c r="KXD5" s="390"/>
      <c r="KXE5" s="390"/>
      <c r="KXF5" s="390"/>
      <c r="KXG5" s="390"/>
      <c r="KXH5" s="390"/>
      <c r="KXI5" s="390"/>
      <c r="KXJ5" s="390"/>
      <c r="KXK5" s="390"/>
      <c r="KXL5" s="390"/>
      <c r="KXM5" s="390"/>
      <c r="KXN5" s="390"/>
      <c r="KXO5" s="390"/>
      <c r="KXP5" s="390"/>
      <c r="KXQ5" s="390"/>
      <c r="KXR5" s="390"/>
      <c r="KXS5" s="390"/>
      <c r="KXT5" s="390"/>
      <c r="KXU5" s="390"/>
      <c r="KXV5" s="390"/>
      <c r="KXW5" s="390"/>
      <c r="KXX5" s="390"/>
      <c r="KXY5" s="390"/>
      <c r="KXZ5" s="390"/>
      <c r="KYA5" s="390"/>
      <c r="KYB5" s="390"/>
      <c r="KYC5" s="390"/>
      <c r="KYD5" s="390"/>
      <c r="KYE5" s="390"/>
      <c r="KYF5" s="390"/>
      <c r="KYG5" s="390"/>
      <c r="KYH5" s="390"/>
      <c r="KYI5" s="390"/>
      <c r="KYJ5" s="390"/>
      <c r="KYK5" s="390"/>
      <c r="KYL5" s="390"/>
      <c r="KYM5" s="390"/>
      <c r="KYN5" s="390"/>
      <c r="KYO5" s="390"/>
      <c r="KYP5" s="390"/>
      <c r="KYQ5" s="390"/>
      <c r="KYR5" s="390"/>
      <c r="KYS5" s="390"/>
      <c r="KYT5" s="390"/>
      <c r="KYU5" s="390"/>
      <c r="KYV5" s="390"/>
      <c r="KYW5" s="390"/>
      <c r="KYX5" s="390"/>
      <c r="KYY5" s="390"/>
      <c r="KYZ5" s="390"/>
      <c r="KZA5" s="390"/>
      <c r="KZB5" s="390"/>
      <c r="KZC5" s="390"/>
      <c r="KZD5" s="390"/>
      <c r="KZE5" s="390"/>
      <c r="KZF5" s="390"/>
      <c r="KZG5" s="390"/>
      <c r="KZH5" s="390"/>
      <c r="KZI5" s="390"/>
      <c r="KZJ5" s="390"/>
      <c r="KZK5" s="390"/>
      <c r="KZL5" s="390"/>
      <c r="KZM5" s="390"/>
      <c r="KZN5" s="390"/>
      <c r="KZO5" s="390"/>
      <c r="KZP5" s="390"/>
      <c r="KZQ5" s="390"/>
      <c r="KZR5" s="390"/>
      <c r="KZS5" s="390"/>
      <c r="KZT5" s="390"/>
      <c r="KZU5" s="390"/>
      <c r="KZV5" s="390"/>
      <c r="KZW5" s="390"/>
      <c r="KZX5" s="390"/>
      <c r="KZY5" s="390"/>
      <c r="KZZ5" s="390"/>
      <c r="LAA5" s="390"/>
      <c r="LAB5" s="390"/>
      <c r="LAC5" s="390"/>
      <c r="LAD5" s="390"/>
      <c r="LAE5" s="390"/>
      <c r="LAF5" s="390"/>
      <c r="LAG5" s="390"/>
      <c r="LAH5" s="390"/>
      <c r="LAI5" s="390"/>
      <c r="LAJ5" s="390"/>
      <c r="LAK5" s="390"/>
      <c r="LAL5" s="390"/>
      <c r="LAM5" s="390"/>
      <c r="LAN5" s="390"/>
      <c r="LAO5" s="390"/>
      <c r="LAP5" s="390"/>
      <c r="LAQ5" s="390"/>
      <c r="LAR5" s="390"/>
      <c r="LAS5" s="390"/>
      <c r="LAT5" s="390"/>
      <c r="LAU5" s="390"/>
      <c r="LAV5" s="390"/>
      <c r="LAW5" s="390"/>
      <c r="LAX5" s="390"/>
      <c r="LAY5" s="390"/>
      <c r="LAZ5" s="390"/>
      <c r="LBA5" s="390"/>
      <c r="LBB5" s="390"/>
      <c r="LBC5" s="390"/>
      <c r="LBD5" s="390"/>
      <c r="LBE5" s="390"/>
      <c r="LBF5" s="390"/>
      <c r="LBG5" s="390"/>
      <c r="LBH5" s="390"/>
      <c r="LBI5" s="390"/>
      <c r="LBJ5" s="390"/>
      <c r="LBK5" s="390"/>
      <c r="LBL5" s="390"/>
      <c r="LBM5" s="390"/>
      <c r="LBN5" s="390"/>
      <c r="LBO5" s="390"/>
      <c r="LBP5" s="390"/>
      <c r="LBQ5" s="390"/>
      <c r="LBR5" s="390"/>
      <c r="LBS5" s="390"/>
      <c r="LBT5" s="390"/>
      <c r="LBU5" s="390"/>
      <c r="LBV5" s="390"/>
      <c r="LBW5" s="390"/>
      <c r="LBX5" s="390"/>
      <c r="LBY5" s="390"/>
      <c r="LBZ5" s="390"/>
      <c r="LCA5" s="390"/>
      <c r="LCB5" s="390"/>
      <c r="LCC5" s="390"/>
      <c r="LCD5" s="390"/>
      <c r="LCE5" s="390"/>
      <c r="LCF5" s="390"/>
      <c r="LCG5" s="390"/>
      <c r="LCH5" s="390"/>
      <c r="LCI5" s="390"/>
      <c r="LCJ5" s="390"/>
      <c r="LCK5" s="390"/>
      <c r="LCL5" s="390"/>
      <c r="LCM5" s="390"/>
      <c r="LCN5" s="390"/>
      <c r="LCO5" s="390"/>
      <c r="LCP5" s="390"/>
      <c r="LCQ5" s="390"/>
      <c r="LCR5" s="390"/>
      <c r="LCS5" s="390"/>
      <c r="LCT5" s="390"/>
      <c r="LCU5" s="390"/>
      <c r="LCV5" s="390"/>
      <c r="LCW5" s="390"/>
      <c r="LCX5" s="390"/>
      <c r="LCY5" s="390"/>
      <c r="LCZ5" s="390"/>
      <c r="LDA5" s="390"/>
      <c r="LDB5" s="390"/>
      <c r="LDC5" s="390"/>
      <c r="LDD5" s="390"/>
      <c r="LDE5" s="390"/>
      <c r="LDF5" s="390"/>
      <c r="LDG5" s="390"/>
      <c r="LDH5" s="390"/>
      <c r="LDI5" s="390"/>
      <c r="LDJ5" s="390"/>
      <c r="LDK5" s="390"/>
      <c r="LDL5" s="390"/>
      <c r="LDM5" s="390"/>
      <c r="LDN5" s="390"/>
      <c r="LDO5" s="390"/>
      <c r="LDP5" s="390"/>
      <c r="LDQ5" s="390"/>
      <c r="LDR5" s="390"/>
      <c r="LDS5" s="390"/>
      <c r="LDT5" s="390"/>
      <c r="LDU5" s="390"/>
      <c r="LDV5" s="390"/>
      <c r="LDW5" s="390"/>
      <c r="LDX5" s="390"/>
      <c r="LDY5" s="390"/>
      <c r="LDZ5" s="390"/>
      <c r="LEA5" s="390"/>
      <c r="LEB5" s="390"/>
      <c r="LEC5" s="390"/>
      <c r="LED5" s="390"/>
      <c r="LEE5" s="390"/>
      <c r="LEF5" s="390"/>
      <c r="LEG5" s="390"/>
      <c r="LEH5" s="390"/>
      <c r="LEI5" s="390"/>
      <c r="LEJ5" s="390"/>
      <c r="LEK5" s="390"/>
      <c r="LEL5" s="390"/>
      <c r="LEM5" s="390"/>
      <c r="LEN5" s="390"/>
      <c r="LEO5" s="390"/>
      <c r="LEP5" s="390"/>
      <c r="LEQ5" s="390"/>
      <c r="LER5" s="390"/>
      <c r="LES5" s="390"/>
      <c r="LET5" s="390"/>
      <c r="LEU5" s="390"/>
      <c r="LEV5" s="390"/>
      <c r="LEW5" s="390"/>
      <c r="LEX5" s="390"/>
      <c r="LEY5" s="390"/>
      <c r="LEZ5" s="390"/>
      <c r="LFA5" s="390"/>
      <c r="LFB5" s="390"/>
      <c r="LFC5" s="390"/>
      <c r="LFD5" s="390"/>
      <c r="LFE5" s="390"/>
      <c r="LFF5" s="390"/>
      <c r="LFG5" s="390"/>
      <c r="LFH5" s="390"/>
      <c r="LFI5" s="390"/>
      <c r="LFJ5" s="390"/>
      <c r="LFK5" s="390"/>
      <c r="LFL5" s="390"/>
      <c r="LFM5" s="390"/>
      <c r="LFN5" s="390"/>
      <c r="LFO5" s="390"/>
      <c r="LFP5" s="390"/>
      <c r="LFQ5" s="390"/>
      <c r="LFR5" s="390"/>
      <c r="LFS5" s="390"/>
      <c r="LFT5" s="390"/>
      <c r="LFU5" s="390"/>
      <c r="LFV5" s="390"/>
      <c r="LFW5" s="390"/>
      <c r="LFX5" s="390"/>
      <c r="LFY5" s="390"/>
      <c r="LFZ5" s="390"/>
      <c r="LGA5" s="390"/>
      <c r="LGB5" s="390"/>
      <c r="LGC5" s="390"/>
      <c r="LGD5" s="390"/>
      <c r="LGE5" s="390"/>
      <c r="LGF5" s="390"/>
      <c r="LGG5" s="390"/>
      <c r="LGH5" s="390"/>
      <c r="LGI5" s="390"/>
      <c r="LGJ5" s="390"/>
      <c r="LGK5" s="390"/>
      <c r="LGL5" s="390"/>
      <c r="LGM5" s="390"/>
      <c r="LGN5" s="390"/>
      <c r="LGO5" s="390"/>
      <c r="LGP5" s="390"/>
      <c r="LGQ5" s="390"/>
      <c r="LGR5" s="390"/>
      <c r="LGS5" s="390"/>
      <c r="LGT5" s="390"/>
      <c r="LGU5" s="390"/>
      <c r="LGV5" s="390"/>
      <c r="LGW5" s="390"/>
      <c r="LGX5" s="390"/>
      <c r="LGY5" s="390"/>
      <c r="LGZ5" s="390"/>
      <c r="LHA5" s="390"/>
      <c r="LHB5" s="390"/>
      <c r="LHC5" s="390"/>
      <c r="LHD5" s="390"/>
      <c r="LHE5" s="390"/>
      <c r="LHF5" s="390"/>
      <c r="LHG5" s="390"/>
      <c r="LHH5" s="390"/>
      <c r="LHI5" s="390"/>
      <c r="LHJ5" s="390"/>
      <c r="LHK5" s="390"/>
      <c r="LHL5" s="390"/>
      <c r="LHM5" s="390"/>
      <c r="LHN5" s="390"/>
      <c r="LHO5" s="390"/>
      <c r="LHP5" s="390"/>
      <c r="LHQ5" s="390"/>
      <c r="LHR5" s="390"/>
      <c r="LHS5" s="390"/>
      <c r="LHT5" s="390"/>
      <c r="LHU5" s="390"/>
      <c r="LHV5" s="390"/>
      <c r="LHW5" s="390"/>
      <c r="LHX5" s="390"/>
      <c r="LHY5" s="390"/>
      <c r="LHZ5" s="390"/>
      <c r="LIA5" s="390"/>
      <c r="LIB5" s="390"/>
      <c r="LIC5" s="390"/>
      <c r="LID5" s="390"/>
      <c r="LIE5" s="390"/>
      <c r="LIF5" s="390"/>
      <c r="LIG5" s="390"/>
      <c r="LIH5" s="390"/>
      <c r="LII5" s="390"/>
      <c r="LIJ5" s="390"/>
      <c r="LIK5" s="390"/>
      <c r="LIL5" s="390"/>
      <c r="LIM5" s="390"/>
      <c r="LIN5" s="390"/>
      <c r="LIO5" s="390"/>
      <c r="LIP5" s="390"/>
      <c r="LIQ5" s="390"/>
      <c r="LIR5" s="390"/>
      <c r="LIS5" s="390"/>
      <c r="LIT5" s="390"/>
      <c r="LIU5" s="390"/>
      <c r="LIV5" s="390"/>
      <c r="LIW5" s="390"/>
      <c r="LIX5" s="390"/>
      <c r="LIY5" s="390"/>
      <c r="LIZ5" s="390"/>
      <c r="LJA5" s="390"/>
      <c r="LJB5" s="390"/>
      <c r="LJC5" s="390"/>
      <c r="LJD5" s="390"/>
      <c r="LJE5" s="390"/>
      <c r="LJF5" s="390"/>
      <c r="LJG5" s="390"/>
      <c r="LJH5" s="390"/>
      <c r="LJI5" s="390"/>
      <c r="LJJ5" s="390"/>
      <c r="LJK5" s="390"/>
      <c r="LJL5" s="390"/>
      <c r="LJM5" s="390"/>
      <c r="LJN5" s="390"/>
      <c r="LJO5" s="390"/>
      <c r="LJP5" s="390"/>
      <c r="LJQ5" s="390"/>
      <c r="LJR5" s="390"/>
      <c r="LJS5" s="390"/>
      <c r="LJT5" s="390"/>
      <c r="LJU5" s="390"/>
      <c r="LJV5" s="390"/>
      <c r="LJW5" s="390"/>
      <c r="LJX5" s="390"/>
      <c r="LJY5" s="390"/>
      <c r="LJZ5" s="390"/>
      <c r="LKA5" s="390"/>
      <c r="LKB5" s="390"/>
      <c r="LKC5" s="390"/>
      <c r="LKD5" s="390"/>
      <c r="LKE5" s="390"/>
      <c r="LKF5" s="390"/>
      <c r="LKG5" s="390"/>
      <c r="LKH5" s="390"/>
      <c r="LKI5" s="390"/>
      <c r="LKJ5" s="390"/>
      <c r="LKK5" s="390"/>
      <c r="LKL5" s="390"/>
      <c r="LKM5" s="390"/>
      <c r="LKN5" s="390"/>
      <c r="LKO5" s="390"/>
      <c r="LKP5" s="390"/>
      <c r="LKQ5" s="390"/>
      <c r="LKR5" s="390"/>
      <c r="LKS5" s="390"/>
      <c r="LKT5" s="390"/>
      <c r="LKU5" s="390"/>
      <c r="LKV5" s="390"/>
      <c r="LKW5" s="390"/>
      <c r="LKX5" s="390"/>
      <c r="LKY5" s="390"/>
      <c r="LKZ5" s="390"/>
      <c r="LLA5" s="390"/>
      <c r="LLB5" s="390"/>
      <c r="LLC5" s="390"/>
      <c r="LLD5" s="390"/>
      <c r="LLE5" s="390"/>
      <c r="LLF5" s="390"/>
      <c r="LLG5" s="390"/>
      <c r="LLH5" s="390"/>
      <c r="LLI5" s="390"/>
      <c r="LLJ5" s="390"/>
      <c r="LLK5" s="390"/>
      <c r="LLL5" s="390"/>
      <c r="LLM5" s="390"/>
      <c r="LLN5" s="390"/>
      <c r="LLO5" s="390"/>
      <c r="LLP5" s="390"/>
      <c r="LLQ5" s="390"/>
      <c r="LLR5" s="390"/>
      <c r="LLS5" s="390"/>
      <c r="LLT5" s="390"/>
      <c r="LLU5" s="390"/>
      <c r="LLV5" s="390"/>
      <c r="LLW5" s="390"/>
      <c r="LLX5" s="390"/>
      <c r="LLY5" s="390"/>
      <c r="LLZ5" s="390"/>
      <c r="LMA5" s="390"/>
      <c r="LMB5" s="390"/>
      <c r="LMC5" s="390"/>
      <c r="LMD5" s="390"/>
      <c r="LME5" s="390"/>
      <c r="LMF5" s="390"/>
      <c r="LMG5" s="390"/>
      <c r="LMH5" s="390"/>
      <c r="LMI5" s="390"/>
      <c r="LMJ5" s="390"/>
      <c r="LMK5" s="390"/>
      <c r="LML5" s="390"/>
      <c r="LMM5" s="390"/>
      <c r="LMN5" s="390"/>
      <c r="LMO5" s="390"/>
      <c r="LMP5" s="390"/>
      <c r="LMQ5" s="390"/>
      <c r="LMR5" s="390"/>
      <c r="LMS5" s="390"/>
      <c r="LMT5" s="390"/>
      <c r="LMU5" s="390"/>
      <c r="LMV5" s="390"/>
      <c r="LMW5" s="390"/>
      <c r="LMX5" s="390"/>
      <c r="LMY5" s="390"/>
      <c r="LMZ5" s="390"/>
      <c r="LNA5" s="390"/>
      <c r="LNB5" s="390"/>
      <c r="LNC5" s="390"/>
      <c r="LND5" s="390"/>
      <c r="LNE5" s="390"/>
      <c r="LNF5" s="390"/>
      <c r="LNG5" s="390"/>
      <c r="LNH5" s="390"/>
      <c r="LNI5" s="390"/>
      <c r="LNJ5" s="390"/>
      <c r="LNK5" s="390"/>
      <c r="LNL5" s="390"/>
      <c r="LNM5" s="390"/>
      <c r="LNN5" s="390"/>
      <c r="LNO5" s="390"/>
      <c r="LNP5" s="390"/>
      <c r="LNQ5" s="390"/>
      <c r="LNR5" s="390"/>
      <c r="LNS5" s="390"/>
      <c r="LNT5" s="390"/>
      <c r="LNU5" s="390"/>
      <c r="LNV5" s="390"/>
      <c r="LNW5" s="390"/>
      <c r="LNX5" s="390"/>
      <c r="LNY5" s="390"/>
      <c r="LNZ5" s="390"/>
      <c r="LOA5" s="390"/>
      <c r="LOB5" s="390"/>
      <c r="LOC5" s="390"/>
      <c r="LOD5" s="390"/>
      <c r="LOE5" s="390"/>
      <c r="LOF5" s="390"/>
      <c r="LOG5" s="390"/>
      <c r="LOH5" s="390"/>
      <c r="LOI5" s="390"/>
      <c r="LOJ5" s="390"/>
      <c r="LOK5" s="390"/>
      <c r="LOL5" s="390"/>
      <c r="LOM5" s="390"/>
      <c r="LON5" s="390"/>
      <c r="LOO5" s="390"/>
      <c r="LOP5" s="390"/>
      <c r="LOQ5" s="390"/>
      <c r="LOR5" s="390"/>
      <c r="LOS5" s="390"/>
      <c r="LOT5" s="390"/>
      <c r="LOU5" s="390"/>
      <c r="LOV5" s="390"/>
      <c r="LOW5" s="390"/>
      <c r="LOX5" s="390"/>
      <c r="LOY5" s="390"/>
      <c r="LOZ5" s="390"/>
      <c r="LPA5" s="390"/>
      <c r="LPB5" s="390"/>
      <c r="LPC5" s="390"/>
      <c r="LPD5" s="390"/>
      <c r="LPE5" s="390"/>
      <c r="LPF5" s="390"/>
      <c r="LPG5" s="390"/>
      <c r="LPH5" s="390"/>
      <c r="LPI5" s="390"/>
      <c r="LPJ5" s="390"/>
      <c r="LPK5" s="390"/>
      <c r="LPL5" s="390"/>
      <c r="LPM5" s="390"/>
      <c r="LPN5" s="390"/>
      <c r="LPO5" s="390"/>
      <c r="LPP5" s="390"/>
      <c r="LPQ5" s="390"/>
      <c r="LPR5" s="390"/>
      <c r="LPS5" s="390"/>
      <c r="LPT5" s="390"/>
      <c r="LPU5" s="390"/>
      <c r="LPV5" s="390"/>
      <c r="LPW5" s="390"/>
      <c r="LPX5" s="390"/>
      <c r="LPY5" s="390"/>
      <c r="LPZ5" s="390"/>
      <c r="LQA5" s="390"/>
      <c r="LQB5" s="390"/>
      <c r="LQC5" s="390"/>
      <c r="LQD5" s="390"/>
      <c r="LQE5" s="390"/>
      <c r="LQF5" s="390"/>
      <c r="LQG5" s="390"/>
      <c r="LQH5" s="390"/>
      <c r="LQI5" s="390"/>
      <c r="LQJ5" s="390"/>
      <c r="LQK5" s="390"/>
      <c r="LQL5" s="390"/>
      <c r="LQM5" s="390"/>
      <c r="LQN5" s="390"/>
      <c r="LQO5" s="390"/>
      <c r="LQP5" s="390"/>
      <c r="LQQ5" s="390"/>
      <c r="LQR5" s="390"/>
      <c r="LQS5" s="390"/>
      <c r="LQT5" s="390"/>
      <c r="LQU5" s="390"/>
      <c r="LQV5" s="390"/>
      <c r="LQW5" s="390"/>
      <c r="LQX5" s="390"/>
      <c r="LQY5" s="390"/>
      <c r="LQZ5" s="390"/>
      <c r="LRA5" s="390"/>
      <c r="LRB5" s="390"/>
      <c r="LRC5" s="390"/>
      <c r="LRD5" s="390"/>
      <c r="LRE5" s="390"/>
      <c r="LRF5" s="390"/>
      <c r="LRG5" s="390"/>
      <c r="LRH5" s="390"/>
      <c r="LRI5" s="390"/>
      <c r="LRJ5" s="390"/>
      <c r="LRK5" s="390"/>
      <c r="LRL5" s="390"/>
      <c r="LRM5" s="390"/>
      <c r="LRN5" s="390"/>
      <c r="LRO5" s="390"/>
      <c r="LRP5" s="390"/>
      <c r="LRQ5" s="390"/>
      <c r="LRR5" s="390"/>
      <c r="LRS5" s="390"/>
      <c r="LRT5" s="390"/>
      <c r="LRU5" s="390"/>
      <c r="LRV5" s="390"/>
      <c r="LRW5" s="390"/>
      <c r="LRX5" s="390"/>
      <c r="LRY5" s="390"/>
      <c r="LRZ5" s="390"/>
      <c r="LSA5" s="390"/>
      <c r="LSB5" s="390"/>
      <c r="LSC5" s="390"/>
      <c r="LSD5" s="390"/>
      <c r="LSE5" s="390"/>
      <c r="LSF5" s="390"/>
      <c r="LSG5" s="390"/>
      <c r="LSH5" s="390"/>
      <c r="LSI5" s="390"/>
      <c r="LSJ5" s="390"/>
      <c r="LSK5" s="390"/>
      <c r="LSL5" s="390"/>
      <c r="LSM5" s="390"/>
      <c r="LSN5" s="390"/>
      <c r="LSO5" s="390"/>
      <c r="LSP5" s="390"/>
      <c r="LSQ5" s="390"/>
      <c r="LSR5" s="390"/>
      <c r="LSS5" s="390"/>
      <c r="LST5" s="390"/>
      <c r="LSU5" s="390"/>
      <c r="LSV5" s="390"/>
      <c r="LSW5" s="390"/>
      <c r="LSX5" s="390"/>
      <c r="LSY5" s="390"/>
      <c r="LSZ5" s="390"/>
      <c r="LTA5" s="390"/>
      <c r="LTB5" s="390"/>
      <c r="LTC5" s="390"/>
      <c r="LTD5" s="390"/>
      <c r="LTE5" s="390"/>
      <c r="LTF5" s="390"/>
      <c r="LTG5" s="390"/>
      <c r="LTH5" s="390"/>
      <c r="LTI5" s="390"/>
      <c r="LTJ5" s="390"/>
      <c r="LTK5" s="390"/>
      <c r="LTL5" s="390"/>
      <c r="LTM5" s="390"/>
      <c r="LTN5" s="390"/>
      <c r="LTO5" s="390"/>
      <c r="LTP5" s="390"/>
      <c r="LTQ5" s="390"/>
      <c r="LTR5" s="390"/>
      <c r="LTS5" s="390"/>
      <c r="LTT5" s="390"/>
      <c r="LTU5" s="390"/>
      <c r="LTV5" s="390"/>
      <c r="LTW5" s="390"/>
      <c r="LTX5" s="390"/>
      <c r="LTY5" s="390"/>
      <c r="LTZ5" s="390"/>
      <c r="LUA5" s="390"/>
      <c r="LUB5" s="390"/>
      <c r="LUC5" s="390"/>
      <c r="LUD5" s="390"/>
      <c r="LUE5" s="390"/>
      <c r="LUF5" s="390"/>
      <c r="LUG5" s="390"/>
      <c r="LUH5" s="390"/>
      <c r="LUI5" s="390"/>
      <c r="LUJ5" s="390"/>
      <c r="LUK5" s="390"/>
      <c r="LUL5" s="390"/>
      <c r="LUM5" s="390"/>
      <c r="LUN5" s="390"/>
      <c r="LUO5" s="390"/>
      <c r="LUP5" s="390"/>
      <c r="LUQ5" s="390"/>
      <c r="LUR5" s="390"/>
      <c r="LUS5" s="390"/>
      <c r="LUT5" s="390"/>
      <c r="LUU5" s="390"/>
      <c r="LUV5" s="390"/>
      <c r="LUW5" s="390"/>
      <c r="LUX5" s="390"/>
      <c r="LUY5" s="390"/>
      <c r="LUZ5" s="390"/>
      <c r="LVA5" s="390"/>
      <c r="LVB5" s="390"/>
      <c r="LVC5" s="390"/>
      <c r="LVD5" s="390"/>
      <c r="LVE5" s="390"/>
      <c r="LVF5" s="390"/>
      <c r="LVG5" s="390"/>
      <c r="LVH5" s="390"/>
      <c r="LVI5" s="390"/>
      <c r="LVJ5" s="390"/>
      <c r="LVK5" s="390"/>
      <c r="LVL5" s="390"/>
      <c r="LVM5" s="390"/>
      <c r="LVN5" s="390"/>
      <c r="LVO5" s="390"/>
      <c r="LVP5" s="390"/>
      <c r="LVQ5" s="390"/>
      <c r="LVR5" s="390"/>
      <c r="LVS5" s="390"/>
      <c r="LVT5" s="390"/>
      <c r="LVU5" s="390"/>
      <c r="LVV5" s="390"/>
      <c r="LVW5" s="390"/>
      <c r="LVX5" s="390"/>
      <c r="LVY5" s="390"/>
      <c r="LVZ5" s="390"/>
      <c r="LWA5" s="390"/>
      <c r="LWB5" s="390"/>
      <c r="LWC5" s="390"/>
      <c r="LWD5" s="390"/>
      <c r="LWE5" s="390"/>
      <c r="LWF5" s="390"/>
      <c r="LWG5" s="390"/>
      <c r="LWH5" s="390"/>
      <c r="LWI5" s="390"/>
      <c r="LWJ5" s="390"/>
      <c r="LWK5" s="390"/>
      <c r="LWL5" s="390"/>
      <c r="LWM5" s="390"/>
      <c r="LWN5" s="390"/>
      <c r="LWO5" s="390"/>
      <c r="LWP5" s="390"/>
      <c r="LWQ5" s="390"/>
      <c r="LWR5" s="390"/>
      <c r="LWS5" s="390"/>
      <c r="LWT5" s="390"/>
      <c r="LWU5" s="390"/>
      <c r="LWV5" s="390"/>
      <c r="LWW5" s="390"/>
      <c r="LWX5" s="390"/>
      <c r="LWY5" s="390"/>
      <c r="LWZ5" s="390"/>
      <c r="LXA5" s="390"/>
      <c r="LXB5" s="390"/>
      <c r="LXC5" s="390"/>
      <c r="LXD5" s="390"/>
      <c r="LXE5" s="390"/>
      <c r="LXF5" s="390"/>
      <c r="LXG5" s="390"/>
      <c r="LXH5" s="390"/>
      <c r="LXI5" s="390"/>
      <c r="LXJ5" s="390"/>
      <c r="LXK5" s="390"/>
      <c r="LXL5" s="390"/>
      <c r="LXM5" s="390"/>
      <c r="LXN5" s="390"/>
      <c r="LXO5" s="390"/>
      <c r="LXP5" s="390"/>
      <c r="LXQ5" s="390"/>
      <c r="LXR5" s="390"/>
      <c r="LXS5" s="390"/>
      <c r="LXT5" s="390"/>
      <c r="LXU5" s="390"/>
      <c r="LXV5" s="390"/>
      <c r="LXW5" s="390"/>
      <c r="LXX5" s="390"/>
      <c r="LXY5" s="390"/>
      <c r="LXZ5" s="390"/>
      <c r="LYA5" s="390"/>
      <c r="LYB5" s="390"/>
      <c r="LYC5" s="390"/>
      <c r="LYD5" s="390"/>
      <c r="LYE5" s="390"/>
      <c r="LYF5" s="390"/>
      <c r="LYG5" s="390"/>
      <c r="LYH5" s="390"/>
      <c r="LYI5" s="390"/>
      <c r="LYJ5" s="390"/>
      <c r="LYK5" s="390"/>
      <c r="LYL5" s="390"/>
      <c r="LYM5" s="390"/>
      <c r="LYN5" s="390"/>
      <c r="LYO5" s="390"/>
      <c r="LYP5" s="390"/>
      <c r="LYQ5" s="390"/>
      <c r="LYR5" s="390"/>
      <c r="LYS5" s="390"/>
      <c r="LYT5" s="390"/>
      <c r="LYU5" s="390"/>
      <c r="LYV5" s="390"/>
      <c r="LYW5" s="390"/>
      <c r="LYX5" s="390"/>
      <c r="LYY5" s="390"/>
      <c r="LYZ5" s="390"/>
      <c r="LZA5" s="390"/>
      <c r="LZB5" s="390"/>
      <c r="LZC5" s="390"/>
      <c r="LZD5" s="390"/>
      <c r="LZE5" s="390"/>
      <c r="LZF5" s="390"/>
      <c r="LZG5" s="390"/>
      <c r="LZH5" s="390"/>
      <c r="LZI5" s="390"/>
      <c r="LZJ5" s="390"/>
      <c r="LZK5" s="390"/>
      <c r="LZL5" s="390"/>
      <c r="LZM5" s="390"/>
      <c r="LZN5" s="390"/>
      <c r="LZO5" s="390"/>
      <c r="LZP5" s="390"/>
      <c r="LZQ5" s="390"/>
      <c r="LZR5" s="390"/>
      <c r="LZS5" s="390"/>
      <c r="LZT5" s="390"/>
      <c r="LZU5" s="390"/>
      <c r="LZV5" s="390"/>
      <c r="LZW5" s="390"/>
      <c r="LZX5" s="390"/>
      <c r="LZY5" s="390"/>
      <c r="LZZ5" s="390"/>
      <c r="MAA5" s="390"/>
      <c r="MAB5" s="390"/>
      <c r="MAC5" s="390"/>
      <c r="MAD5" s="390"/>
      <c r="MAE5" s="390"/>
      <c r="MAF5" s="390"/>
      <c r="MAG5" s="390"/>
      <c r="MAH5" s="390"/>
      <c r="MAI5" s="390"/>
      <c r="MAJ5" s="390"/>
      <c r="MAK5" s="390"/>
      <c r="MAL5" s="390"/>
      <c r="MAM5" s="390"/>
      <c r="MAN5" s="390"/>
      <c r="MAO5" s="390"/>
      <c r="MAP5" s="390"/>
      <c r="MAQ5" s="390"/>
      <c r="MAR5" s="390"/>
      <c r="MAS5" s="390"/>
      <c r="MAT5" s="390"/>
      <c r="MAU5" s="390"/>
      <c r="MAV5" s="390"/>
      <c r="MAW5" s="390"/>
      <c r="MAX5" s="390"/>
      <c r="MAY5" s="390"/>
      <c r="MAZ5" s="390"/>
      <c r="MBA5" s="390"/>
      <c r="MBB5" s="390"/>
      <c r="MBC5" s="390"/>
      <c r="MBD5" s="390"/>
      <c r="MBE5" s="390"/>
      <c r="MBF5" s="390"/>
      <c r="MBG5" s="390"/>
      <c r="MBH5" s="390"/>
      <c r="MBI5" s="390"/>
      <c r="MBJ5" s="390"/>
      <c r="MBK5" s="390"/>
      <c r="MBL5" s="390"/>
      <c r="MBM5" s="390"/>
      <c r="MBN5" s="390"/>
      <c r="MBO5" s="390"/>
      <c r="MBP5" s="390"/>
      <c r="MBQ5" s="390"/>
      <c r="MBR5" s="390"/>
      <c r="MBS5" s="390"/>
      <c r="MBT5" s="390"/>
      <c r="MBU5" s="390"/>
      <c r="MBV5" s="390"/>
      <c r="MBW5" s="390"/>
      <c r="MBX5" s="390"/>
      <c r="MBY5" s="390"/>
      <c r="MBZ5" s="390"/>
      <c r="MCA5" s="390"/>
      <c r="MCB5" s="390"/>
      <c r="MCC5" s="390"/>
      <c r="MCD5" s="390"/>
      <c r="MCE5" s="390"/>
      <c r="MCF5" s="390"/>
      <c r="MCG5" s="390"/>
      <c r="MCH5" s="390"/>
      <c r="MCI5" s="390"/>
      <c r="MCJ5" s="390"/>
      <c r="MCK5" s="390"/>
      <c r="MCL5" s="390"/>
      <c r="MCM5" s="390"/>
      <c r="MCN5" s="390"/>
      <c r="MCO5" s="390"/>
      <c r="MCP5" s="390"/>
      <c r="MCQ5" s="390"/>
      <c r="MCR5" s="390"/>
      <c r="MCS5" s="390"/>
      <c r="MCT5" s="390"/>
      <c r="MCU5" s="390"/>
      <c r="MCV5" s="390"/>
      <c r="MCW5" s="390"/>
      <c r="MCX5" s="390"/>
      <c r="MCY5" s="390"/>
      <c r="MCZ5" s="390"/>
      <c r="MDA5" s="390"/>
      <c r="MDB5" s="390"/>
      <c r="MDC5" s="390"/>
      <c r="MDD5" s="390"/>
      <c r="MDE5" s="390"/>
      <c r="MDF5" s="390"/>
      <c r="MDG5" s="390"/>
      <c r="MDH5" s="390"/>
      <c r="MDI5" s="390"/>
      <c r="MDJ5" s="390"/>
      <c r="MDK5" s="390"/>
      <c r="MDL5" s="390"/>
      <c r="MDM5" s="390"/>
      <c r="MDN5" s="390"/>
      <c r="MDO5" s="390"/>
      <c r="MDP5" s="390"/>
      <c r="MDQ5" s="390"/>
      <c r="MDR5" s="390"/>
      <c r="MDS5" s="390"/>
      <c r="MDT5" s="390"/>
      <c r="MDU5" s="390"/>
      <c r="MDV5" s="390"/>
      <c r="MDW5" s="390"/>
      <c r="MDX5" s="390"/>
      <c r="MDY5" s="390"/>
      <c r="MDZ5" s="390"/>
      <c r="MEA5" s="390"/>
      <c r="MEB5" s="390"/>
      <c r="MEC5" s="390"/>
      <c r="MED5" s="390"/>
      <c r="MEE5" s="390"/>
      <c r="MEF5" s="390"/>
      <c r="MEG5" s="390"/>
      <c r="MEH5" s="390"/>
      <c r="MEI5" s="390"/>
      <c r="MEJ5" s="390"/>
      <c r="MEK5" s="390"/>
      <c r="MEL5" s="390"/>
      <c r="MEM5" s="390"/>
      <c r="MEN5" s="390"/>
      <c r="MEO5" s="390"/>
      <c r="MEP5" s="390"/>
      <c r="MEQ5" s="390"/>
      <c r="MER5" s="390"/>
      <c r="MES5" s="390"/>
      <c r="MET5" s="390"/>
      <c r="MEU5" s="390"/>
      <c r="MEV5" s="390"/>
      <c r="MEW5" s="390"/>
      <c r="MEX5" s="390"/>
      <c r="MEY5" s="390"/>
      <c r="MEZ5" s="390"/>
      <c r="MFA5" s="390"/>
      <c r="MFB5" s="390"/>
      <c r="MFC5" s="390"/>
      <c r="MFD5" s="390"/>
      <c r="MFE5" s="390"/>
      <c r="MFF5" s="390"/>
      <c r="MFG5" s="390"/>
      <c r="MFH5" s="390"/>
      <c r="MFI5" s="390"/>
      <c r="MFJ5" s="390"/>
      <c r="MFK5" s="390"/>
      <c r="MFL5" s="390"/>
      <c r="MFM5" s="390"/>
      <c r="MFN5" s="390"/>
      <c r="MFO5" s="390"/>
      <c r="MFP5" s="390"/>
      <c r="MFQ5" s="390"/>
      <c r="MFR5" s="390"/>
      <c r="MFS5" s="390"/>
      <c r="MFT5" s="390"/>
      <c r="MFU5" s="390"/>
      <c r="MFV5" s="390"/>
      <c r="MFW5" s="390"/>
      <c r="MFX5" s="390"/>
      <c r="MFY5" s="390"/>
      <c r="MFZ5" s="390"/>
      <c r="MGA5" s="390"/>
      <c r="MGB5" s="390"/>
      <c r="MGC5" s="390"/>
      <c r="MGD5" s="390"/>
      <c r="MGE5" s="390"/>
      <c r="MGF5" s="390"/>
      <c r="MGG5" s="390"/>
      <c r="MGH5" s="390"/>
      <c r="MGI5" s="390"/>
      <c r="MGJ5" s="390"/>
      <c r="MGK5" s="390"/>
      <c r="MGL5" s="390"/>
      <c r="MGM5" s="390"/>
      <c r="MGN5" s="390"/>
      <c r="MGO5" s="390"/>
      <c r="MGP5" s="390"/>
      <c r="MGQ5" s="390"/>
      <c r="MGR5" s="390"/>
      <c r="MGS5" s="390"/>
      <c r="MGT5" s="390"/>
      <c r="MGU5" s="390"/>
      <c r="MGV5" s="390"/>
      <c r="MGW5" s="390"/>
      <c r="MGX5" s="390"/>
      <c r="MGY5" s="390"/>
      <c r="MGZ5" s="390"/>
      <c r="MHA5" s="390"/>
      <c r="MHB5" s="390"/>
      <c r="MHC5" s="390"/>
      <c r="MHD5" s="390"/>
      <c r="MHE5" s="390"/>
      <c r="MHF5" s="390"/>
      <c r="MHG5" s="390"/>
      <c r="MHH5" s="390"/>
      <c r="MHI5" s="390"/>
      <c r="MHJ5" s="390"/>
      <c r="MHK5" s="390"/>
      <c r="MHL5" s="390"/>
      <c r="MHM5" s="390"/>
      <c r="MHN5" s="390"/>
      <c r="MHO5" s="390"/>
      <c r="MHP5" s="390"/>
      <c r="MHQ5" s="390"/>
      <c r="MHR5" s="390"/>
      <c r="MHS5" s="390"/>
      <c r="MHT5" s="390"/>
      <c r="MHU5" s="390"/>
      <c r="MHV5" s="390"/>
      <c r="MHW5" s="390"/>
      <c r="MHX5" s="390"/>
      <c r="MHY5" s="390"/>
      <c r="MHZ5" s="390"/>
      <c r="MIA5" s="390"/>
      <c r="MIB5" s="390"/>
      <c r="MIC5" s="390"/>
      <c r="MID5" s="390"/>
      <c r="MIE5" s="390"/>
      <c r="MIF5" s="390"/>
      <c r="MIG5" s="390"/>
      <c r="MIH5" s="390"/>
      <c r="MII5" s="390"/>
      <c r="MIJ5" s="390"/>
      <c r="MIK5" s="390"/>
      <c r="MIL5" s="390"/>
      <c r="MIM5" s="390"/>
      <c r="MIN5" s="390"/>
      <c r="MIO5" s="390"/>
      <c r="MIP5" s="390"/>
      <c r="MIQ5" s="390"/>
      <c r="MIR5" s="390"/>
      <c r="MIS5" s="390"/>
      <c r="MIT5" s="390"/>
      <c r="MIU5" s="390"/>
      <c r="MIV5" s="390"/>
      <c r="MIW5" s="390"/>
      <c r="MIX5" s="390"/>
      <c r="MIY5" s="390"/>
      <c r="MIZ5" s="390"/>
      <c r="MJA5" s="390"/>
      <c r="MJB5" s="390"/>
      <c r="MJC5" s="390"/>
      <c r="MJD5" s="390"/>
      <c r="MJE5" s="390"/>
      <c r="MJF5" s="390"/>
      <c r="MJG5" s="390"/>
      <c r="MJH5" s="390"/>
      <c r="MJI5" s="390"/>
      <c r="MJJ5" s="390"/>
      <c r="MJK5" s="390"/>
      <c r="MJL5" s="390"/>
      <c r="MJM5" s="390"/>
      <c r="MJN5" s="390"/>
      <c r="MJO5" s="390"/>
      <c r="MJP5" s="390"/>
      <c r="MJQ5" s="390"/>
      <c r="MJR5" s="390"/>
      <c r="MJS5" s="390"/>
      <c r="MJT5" s="390"/>
      <c r="MJU5" s="390"/>
      <c r="MJV5" s="390"/>
      <c r="MJW5" s="390"/>
      <c r="MJX5" s="390"/>
      <c r="MJY5" s="390"/>
      <c r="MJZ5" s="390"/>
      <c r="MKA5" s="390"/>
      <c r="MKB5" s="390"/>
      <c r="MKC5" s="390"/>
      <c r="MKD5" s="390"/>
      <c r="MKE5" s="390"/>
      <c r="MKF5" s="390"/>
      <c r="MKG5" s="390"/>
      <c r="MKH5" s="390"/>
      <c r="MKI5" s="390"/>
      <c r="MKJ5" s="390"/>
      <c r="MKK5" s="390"/>
      <c r="MKL5" s="390"/>
      <c r="MKM5" s="390"/>
      <c r="MKN5" s="390"/>
      <c r="MKO5" s="390"/>
      <c r="MKP5" s="390"/>
      <c r="MKQ5" s="390"/>
      <c r="MKR5" s="390"/>
      <c r="MKS5" s="390"/>
      <c r="MKT5" s="390"/>
      <c r="MKU5" s="390"/>
      <c r="MKV5" s="390"/>
      <c r="MKW5" s="390"/>
      <c r="MKX5" s="390"/>
      <c r="MKY5" s="390"/>
      <c r="MKZ5" s="390"/>
      <c r="MLA5" s="390"/>
      <c r="MLB5" s="390"/>
      <c r="MLC5" s="390"/>
      <c r="MLD5" s="390"/>
      <c r="MLE5" s="390"/>
      <c r="MLF5" s="390"/>
      <c r="MLG5" s="390"/>
      <c r="MLH5" s="390"/>
      <c r="MLI5" s="390"/>
      <c r="MLJ5" s="390"/>
      <c r="MLK5" s="390"/>
      <c r="MLL5" s="390"/>
      <c r="MLM5" s="390"/>
      <c r="MLN5" s="390"/>
      <c r="MLO5" s="390"/>
      <c r="MLP5" s="390"/>
      <c r="MLQ5" s="390"/>
      <c r="MLR5" s="390"/>
      <c r="MLS5" s="390"/>
      <c r="MLT5" s="390"/>
      <c r="MLU5" s="390"/>
      <c r="MLV5" s="390"/>
      <c r="MLW5" s="390"/>
      <c r="MLX5" s="390"/>
      <c r="MLY5" s="390"/>
      <c r="MLZ5" s="390"/>
      <c r="MMA5" s="390"/>
      <c r="MMB5" s="390"/>
      <c r="MMC5" s="390"/>
      <c r="MMD5" s="390"/>
      <c r="MME5" s="390"/>
      <c r="MMF5" s="390"/>
      <c r="MMG5" s="390"/>
      <c r="MMH5" s="390"/>
      <c r="MMI5" s="390"/>
      <c r="MMJ5" s="390"/>
      <c r="MMK5" s="390"/>
      <c r="MML5" s="390"/>
      <c r="MMM5" s="390"/>
      <c r="MMN5" s="390"/>
      <c r="MMO5" s="390"/>
      <c r="MMP5" s="390"/>
      <c r="MMQ5" s="390"/>
      <c r="MMR5" s="390"/>
      <c r="MMS5" s="390"/>
      <c r="MMT5" s="390"/>
      <c r="MMU5" s="390"/>
      <c r="MMV5" s="390"/>
      <c r="MMW5" s="390"/>
      <c r="MMX5" s="390"/>
      <c r="MMY5" s="390"/>
      <c r="MMZ5" s="390"/>
      <c r="MNA5" s="390"/>
      <c r="MNB5" s="390"/>
      <c r="MNC5" s="390"/>
      <c r="MND5" s="390"/>
      <c r="MNE5" s="390"/>
      <c r="MNF5" s="390"/>
      <c r="MNG5" s="390"/>
      <c r="MNH5" s="390"/>
      <c r="MNI5" s="390"/>
      <c r="MNJ5" s="390"/>
      <c r="MNK5" s="390"/>
      <c r="MNL5" s="390"/>
      <c r="MNM5" s="390"/>
      <c r="MNN5" s="390"/>
      <c r="MNO5" s="390"/>
      <c r="MNP5" s="390"/>
      <c r="MNQ5" s="390"/>
      <c r="MNR5" s="390"/>
      <c r="MNS5" s="390"/>
      <c r="MNT5" s="390"/>
      <c r="MNU5" s="390"/>
      <c r="MNV5" s="390"/>
      <c r="MNW5" s="390"/>
      <c r="MNX5" s="390"/>
      <c r="MNY5" s="390"/>
      <c r="MNZ5" s="390"/>
      <c r="MOA5" s="390"/>
      <c r="MOB5" s="390"/>
      <c r="MOC5" s="390"/>
      <c r="MOD5" s="390"/>
      <c r="MOE5" s="390"/>
      <c r="MOF5" s="390"/>
      <c r="MOG5" s="390"/>
      <c r="MOH5" s="390"/>
      <c r="MOI5" s="390"/>
      <c r="MOJ5" s="390"/>
      <c r="MOK5" s="390"/>
      <c r="MOL5" s="390"/>
      <c r="MOM5" s="390"/>
      <c r="MON5" s="390"/>
      <c r="MOO5" s="390"/>
      <c r="MOP5" s="390"/>
      <c r="MOQ5" s="390"/>
      <c r="MOR5" s="390"/>
      <c r="MOS5" s="390"/>
      <c r="MOT5" s="390"/>
      <c r="MOU5" s="390"/>
      <c r="MOV5" s="390"/>
      <c r="MOW5" s="390"/>
      <c r="MOX5" s="390"/>
      <c r="MOY5" s="390"/>
      <c r="MOZ5" s="390"/>
      <c r="MPA5" s="390"/>
      <c r="MPB5" s="390"/>
      <c r="MPC5" s="390"/>
      <c r="MPD5" s="390"/>
      <c r="MPE5" s="390"/>
      <c r="MPF5" s="390"/>
      <c r="MPG5" s="390"/>
      <c r="MPH5" s="390"/>
      <c r="MPI5" s="390"/>
      <c r="MPJ5" s="390"/>
      <c r="MPK5" s="390"/>
      <c r="MPL5" s="390"/>
      <c r="MPM5" s="390"/>
      <c r="MPN5" s="390"/>
      <c r="MPO5" s="390"/>
      <c r="MPP5" s="390"/>
      <c r="MPQ5" s="390"/>
      <c r="MPR5" s="390"/>
      <c r="MPS5" s="390"/>
      <c r="MPT5" s="390"/>
      <c r="MPU5" s="390"/>
      <c r="MPV5" s="390"/>
      <c r="MPW5" s="390"/>
      <c r="MPX5" s="390"/>
      <c r="MPY5" s="390"/>
      <c r="MPZ5" s="390"/>
      <c r="MQA5" s="390"/>
      <c r="MQB5" s="390"/>
      <c r="MQC5" s="390"/>
      <c r="MQD5" s="390"/>
      <c r="MQE5" s="390"/>
      <c r="MQF5" s="390"/>
      <c r="MQG5" s="390"/>
      <c r="MQH5" s="390"/>
      <c r="MQI5" s="390"/>
      <c r="MQJ5" s="390"/>
      <c r="MQK5" s="390"/>
      <c r="MQL5" s="390"/>
      <c r="MQM5" s="390"/>
      <c r="MQN5" s="390"/>
      <c r="MQO5" s="390"/>
      <c r="MQP5" s="390"/>
      <c r="MQQ5" s="390"/>
      <c r="MQR5" s="390"/>
      <c r="MQS5" s="390"/>
      <c r="MQT5" s="390"/>
      <c r="MQU5" s="390"/>
      <c r="MQV5" s="390"/>
      <c r="MQW5" s="390"/>
      <c r="MQX5" s="390"/>
      <c r="MQY5" s="390"/>
      <c r="MQZ5" s="390"/>
      <c r="MRA5" s="390"/>
      <c r="MRB5" s="390"/>
      <c r="MRC5" s="390"/>
      <c r="MRD5" s="390"/>
      <c r="MRE5" s="390"/>
      <c r="MRF5" s="390"/>
      <c r="MRG5" s="390"/>
      <c r="MRH5" s="390"/>
      <c r="MRI5" s="390"/>
      <c r="MRJ5" s="390"/>
      <c r="MRK5" s="390"/>
      <c r="MRL5" s="390"/>
      <c r="MRM5" s="390"/>
      <c r="MRN5" s="390"/>
      <c r="MRO5" s="390"/>
      <c r="MRP5" s="390"/>
      <c r="MRQ5" s="390"/>
      <c r="MRR5" s="390"/>
      <c r="MRS5" s="390"/>
      <c r="MRT5" s="390"/>
      <c r="MRU5" s="390"/>
      <c r="MRV5" s="390"/>
      <c r="MRW5" s="390"/>
      <c r="MRX5" s="390"/>
      <c r="MRY5" s="390"/>
      <c r="MRZ5" s="390"/>
      <c r="MSA5" s="390"/>
      <c r="MSB5" s="390"/>
      <c r="MSC5" s="390"/>
      <c r="MSD5" s="390"/>
      <c r="MSE5" s="390"/>
      <c r="MSF5" s="390"/>
      <c r="MSG5" s="390"/>
      <c r="MSH5" s="390"/>
      <c r="MSI5" s="390"/>
      <c r="MSJ5" s="390"/>
      <c r="MSK5" s="390"/>
      <c r="MSL5" s="390"/>
      <c r="MSM5" s="390"/>
      <c r="MSN5" s="390"/>
      <c r="MSO5" s="390"/>
      <c r="MSP5" s="390"/>
      <c r="MSQ5" s="390"/>
      <c r="MSR5" s="390"/>
      <c r="MSS5" s="390"/>
      <c r="MST5" s="390"/>
      <c r="MSU5" s="390"/>
      <c r="MSV5" s="390"/>
      <c r="MSW5" s="390"/>
      <c r="MSX5" s="390"/>
      <c r="MSY5" s="390"/>
      <c r="MSZ5" s="390"/>
      <c r="MTA5" s="390"/>
      <c r="MTB5" s="390"/>
      <c r="MTC5" s="390"/>
      <c r="MTD5" s="390"/>
      <c r="MTE5" s="390"/>
      <c r="MTF5" s="390"/>
      <c r="MTG5" s="390"/>
      <c r="MTH5" s="390"/>
      <c r="MTI5" s="390"/>
      <c r="MTJ5" s="390"/>
      <c r="MTK5" s="390"/>
      <c r="MTL5" s="390"/>
      <c r="MTM5" s="390"/>
      <c r="MTN5" s="390"/>
      <c r="MTO5" s="390"/>
      <c r="MTP5" s="390"/>
      <c r="MTQ5" s="390"/>
      <c r="MTR5" s="390"/>
      <c r="MTS5" s="390"/>
      <c r="MTT5" s="390"/>
      <c r="MTU5" s="390"/>
      <c r="MTV5" s="390"/>
      <c r="MTW5" s="390"/>
      <c r="MTX5" s="390"/>
      <c r="MTY5" s="390"/>
      <c r="MTZ5" s="390"/>
      <c r="MUA5" s="390"/>
      <c r="MUB5" s="390"/>
      <c r="MUC5" s="390"/>
      <c r="MUD5" s="390"/>
      <c r="MUE5" s="390"/>
      <c r="MUF5" s="390"/>
      <c r="MUG5" s="390"/>
      <c r="MUH5" s="390"/>
      <c r="MUI5" s="390"/>
      <c r="MUJ5" s="390"/>
      <c r="MUK5" s="390"/>
      <c r="MUL5" s="390"/>
      <c r="MUM5" s="390"/>
      <c r="MUN5" s="390"/>
      <c r="MUO5" s="390"/>
      <c r="MUP5" s="390"/>
      <c r="MUQ5" s="390"/>
      <c r="MUR5" s="390"/>
      <c r="MUS5" s="390"/>
      <c r="MUT5" s="390"/>
      <c r="MUU5" s="390"/>
      <c r="MUV5" s="390"/>
      <c r="MUW5" s="390"/>
      <c r="MUX5" s="390"/>
      <c r="MUY5" s="390"/>
      <c r="MUZ5" s="390"/>
      <c r="MVA5" s="390"/>
      <c r="MVB5" s="390"/>
      <c r="MVC5" s="390"/>
      <c r="MVD5" s="390"/>
      <c r="MVE5" s="390"/>
      <c r="MVF5" s="390"/>
      <c r="MVG5" s="390"/>
      <c r="MVH5" s="390"/>
      <c r="MVI5" s="390"/>
      <c r="MVJ5" s="390"/>
      <c r="MVK5" s="390"/>
      <c r="MVL5" s="390"/>
      <c r="MVM5" s="390"/>
      <c r="MVN5" s="390"/>
      <c r="MVO5" s="390"/>
      <c r="MVP5" s="390"/>
      <c r="MVQ5" s="390"/>
      <c r="MVR5" s="390"/>
      <c r="MVS5" s="390"/>
      <c r="MVT5" s="390"/>
      <c r="MVU5" s="390"/>
      <c r="MVV5" s="390"/>
      <c r="MVW5" s="390"/>
      <c r="MVX5" s="390"/>
      <c r="MVY5" s="390"/>
      <c r="MVZ5" s="390"/>
      <c r="MWA5" s="390"/>
      <c r="MWB5" s="390"/>
      <c r="MWC5" s="390"/>
      <c r="MWD5" s="390"/>
      <c r="MWE5" s="390"/>
      <c r="MWF5" s="390"/>
      <c r="MWG5" s="390"/>
      <c r="MWH5" s="390"/>
      <c r="MWI5" s="390"/>
      <c r="MWJ5" s="390"/>
      <c r="MWK5" s="390"/>
      <c r="MWL5" s="390"/>
      <c r="MWM5" s="390"/>
      <c r="MWN5" s="390"/>
      <c r="MWO5" s="390"/>
      <c r="MWP5" s="390"/>
      <c r="MWQ5" s="390"/>
      <c r="MWR5" s="390"/>
      <c r="MWS5" s="390"/>
      <c r="MWT5" s="390"/>
      <c r="MWU5" s="390"/>
      <c r="MWV5" s="390"/>
      <c r="MWW5" s="390"/>
      <c r="MWX5" s="390"/>
      <c r="MWY5" s="390"/>
      <c r="MWZ5" s="390"/>
      <c r="MXA5" s="390"/>
      <c r="MXB5" s="390"/>
      <c r="MXC5" s="390"/>
      <c r="MXD5" s="390"/>
      <c r="MXE5" s="390"/>
      <c r="MXF5" s="390"/>
      <c r="MXG5" s="390"/>
      <c r="MXH5" s="390"/>
      <c r="MXI5" s="390"/>
      <c r="MXJ5" s="390"/>
      <c r="MXK5" s="390"/>
      <c r="MXL5" s="390"/>
      <c r="MXM5" s="390"/>
      <c r="MXN5" s="390"/>
      <c r="MXO5" s="390"/>
      <c r="MXP5" s="390"/>
      <c r="MXQ5" s="390"/>
      <c r="MXR5" s="390"/>
      <c r="MXS5" s="390"/>
      <c r="MXT5" s="390"/>
      <c r="MXU5" s="390"/>
      <c r="MXV5" s="390"/>
      <c r="MXW5" s="390"/>
      <c r="MXX5" s="390"/>
      <c r="MXY5" s="390"/>
      <c r="MXZ5" s="390"/>
      <c r="MYA5" s="390"/>
      <c r="MYB5" s="390"/>
      <c r="MYC5" s="390"/>
      <c r="MYD5" s="390"/>
      <c r="MYE5" s="390"/>
      <c r="MYF5" s="390"/>
      <c r="MYG5" s="390"/>
      <c r="MYH5" s="390"/>
      <c r="MYI5" s="390"/>
      <c r="MYJ5" s="390"/>
      <c r="MYK5" s="390"/>
      <c r="MYL5" s="390"/>
      <c r="MYM5" s="390"/>
      <c r="MYN5" s="390"/>
      <c r="MYO5" s="390"/>
      <c r="MYP5" s="390"/>
      <c r="MYQ5" s="390"/>
      <c r="MYR5" s="390"/>
      <c r="MYS5" s="390"/>
      <c r="MYT5" s="390"/>
      <c r="MYU5" s="390"/>
      <c r="MYV5" s="390"/>
      <c r="MYW5" s="390"/>
      <c r="MYX5" s="390"/>
      <c r="MYY5" s="390"/>
      <c r="MYZ5" s="390"/>
      <c r="MZA5" s="390"/>
      <c r="MZB5" s="390"/>
      <c r="MZC5" s="390"/>
      <c r="MZD5" s="390"/>
      <c r="MZE5" s="390"/>
      <c r="MZF5" s="390"/>
      <c r="MZG5" s="390"/>
      <c r="MZH5" s="390"/>
      <c r="MZI5" s="390"/>
      <c r="MZJ5" s="390"/>
      <c r="MZK5" s="390"/>
      <c r="MZL5" s="390"/>
      <c r="MZM5" s="390"/>
      <c r="MZN5" s="390"/>
      <c r="MZO5" s="390"/>
      <c r="MZP5" s="390"/>
      <c r="MZQ5" s="390"/>
      <c r="MZR5" s="390"/>
      <c r="MZS5" s="390"/>
      <c r="MZT5" s="390"/>
      <c r="MZU5" s="390"/>
      <c r="MZV5" s="390"/>
      <c r="MZW5" s="390"/>
      <c r="MZX5" s="390"/>
      <c r="MZY5" s="390"/>
      <c r="MZZ5" s="390"/>
      <c r="NAA5" s="390"/>
      <c r="NAB5" s="390"/>
      <c r="NAC5" s="390"/>
      <c r="NAD5" s="390"/>
      <c r="NAE5" s="390"/>
      <c r="NAF5" s="390"/>
      <c r="NAG5" s="390"/>
      <c r="NAH5" s="390"/>
      <c r="NAI5" s="390"/>
      <c r="NAJ5" s="390"/>
      <c r="NAK5" s="390"/>
      <c r="NAL5" s="390"/>
      <c r="NAM5" s="390"/>
      <c r="NAN5" s="390"/>
      <c r="NAO5" s="390"/>
      <c r="NAP5" s="390"/>
      <c r="NAQ5" s="390"/>
      <c r="NAR5" s="390"/>
      <c r="NAS5" s="390"/>
      <c r="NAT5" s="390"/>
      <c r="NAU5" s="390"/>
      <c r="NAV5" s="390"/>
      <c r="NAW5" s="390"/>
      <c r="NAX5" s="390"/>
      <c r="NAY5" s="390"/>
      <c r="NAZ5" s="390"/>
      <c r="NBA5" s="390"/>
      <c r="NBB5" s="390"/>
      <c r="NBC5" s="390"/>
      <c r="NBD5" s="390"/>
      <c r="NBE5" s="390"/>
      <c r="NBF5" s="390"/>
      <c r="NBG5" s="390"/>
      <c r="NBH5" s="390"/>
      <c r="NBI5" s="390"/>
      <c r="NBJ5" s="390"/>
      <c r="NBK5" s="390"/>
      <c r="NBL5" s="390"/>
      <c r="NBM5" s="390"/>
      <c r="NBN5" s="390"/>
      <c r="NBO5" s="390"/>
      <c r="NBP5" s="390"/>
      <c r="NBQ5" s="390"/>
      <c r="NBR5" s="390"/>
      <c r="NBS5" s="390"/>
      <c r="NBT5" s="390"/>
      <c r="NBU5" s="390"/>
      <c r="NBV5" s="390"/>
      <c r="NBW5" s="390"/>
      <c r="NBX5" s="390"/>
      <c r="NBY5" s="390"/>
      <c r="NBZ5" s="390"/>
      <c r="NCA5" s="390"/>
      <c r="NCB5" s="390"/>
      <c r="NCC5" s="390"/>
      <c r="NCD5" s="390"/>
      <c r="NCE5" s="390"/>
      <c r="NCF5" s="390"/>
      <c r="NCG5" s="390"/>
      <c r="NCH5" s="390"/>
      <c r="NCI5" s="390"/>
      <c r="NCJ5" s="390"/>
      <c r="NCK5" s="390"/>
      <c r="NCL5" s="390"/>
      <c r="NCM5" s="390"/>
      <c r="NCN5" s="390"/>
      <c r="NCO5" s="390"/>
      <c r="NCP5" s="390"/>
      <c r="NCQ5" s="390"/>
      <c r="NCR5" s="390"/>
      <c r="NCS5" s="390"/>
      <c r="NCT5" s="390"/>
      <c r="NCU5" s="390"/>
      <c r="NCV5" s="390"/>
      <c r="NCW5" s="390"/>
      <c r="NCX5" s="390"/>
      <c r="NCY5" s="390"/>
      <c r="NCZ5" s="390"/>
      <c r="NDA5" s="390"/>
      <c r="NDB5" s="390"/>
      <c r="NDC5" s="390"/>
      <c r="NDD5" s="390"/>
      <c r="NDE5" s="390"/>
      <c r="NDF5" s="390"/>
      <c r="NDG5" s="390"/>
      <c r="NDH5" s="390"/>
      <c r="NDI5" s="390"/>
      <c r="NDJ5" s="390"/>
      <c r="NDK5" s="390"/>
      <c r="NDL5" s="390"/>
      <c r="NDM5" s="390"/>
      <c r="NDN5" s="390"/>
      <c r="NDO5" s="390"/>
      <c r="NDP5" s="390"/>
      <c r="NDQ5" s="390"/>
      <c r="NDR5" s="390"/>
      <c r="NDS5" s="390"/>
      <c r="NDT5" s="390"/>
      <c r="NDU5" s="390"/>
      <c r="NDV5" s="390"/>
      <c r="NDW5" s="390"/>
      <c r="NDX5" s="390"/>
      <c r="NDY5" s="390"/>
      <c r="NDZ5" s="390"/>
      <c r="NEA5" s="390"/>
      <c r="NEB5" s="390"/>
      <c r="NEC5" s="390"/>
      <c r="NED5" s="390"/>
      <c r="NEE5" s="390"/>
      <c r="NEF5" s="390"/>
      <c r="NEG5" s="390"/>
      <c r="NEH5" s="390"/>
      <c r="NEI5" s="390"/>
      <c r="NEJ5" s="390"/>
      <c r="NEK5" s="390"/>
      <c r="NEL5" s="390"/>
      <c r="NEM5" s="390"/>
      <c r="NEN5" s="390"/>
      <c r="NEO5" s="390"/>
      <c r="NEP5" s="390"/>
      <c r="NEQ5" s="390"/>
      <c r="NER5" s="390"/>
      <c r="NES5" s="390"/>
      <c r="NET5" s="390"/>
      <c r="NEU5" s="390"/>
      <c r="NEV5" s="390"/>
      <c r="NEW5" s="390"/>
      <c r="NEX5" s="390"/>
      <c r="NEY5" s="390"/>
      <c r="NEZ5" s="390"/>
      <c r="NFA5" s="390"/>
      <c r="NFB5" s="390"/>
      <c r="NFC5" s="390"/>
      <c r="NFD5" s="390"/>
      <c r="NFE5" s="390"/>
      <c r="NFF5" s="390"/>
      <c r="NFG5" s="390"/>
      <c r="NFH5" s="390"/>
      <c r="NFI5" s="390"/>
      <c r="NFJ5" s="390"/>
      <c r="NFK5" s="390"/>
      <c r="NFL5" s="390"/>
      <c r="NFM5" s="390"/>
      <c r="NFN5" s="390"/>
      <c r="NFO5" s="390"/>
      <c r="NFP5" s="390"/>
      <c r="NFQ5" s="390"/>
      <c r="NFR5" s="390"/>
      <c r="NFS5" s="390"/>
      <c r="NFT5" s="390"/>
      <c r="NFU5" s="390"/>
      <c r="NFV5" s="390"/>
      <c r="NFW5" s="390"/>
      <c r="NFX5" s="390"/>
      <c r="NFY5" s="390"/>
      <c r="NFZ5" s="390"/>
      <c r="NGA5" s="390"/>
      <c r="NGB5" s="390"/>
      <c r="NGC5" s="390"/>
      <c r="NGD5" s="390"/>
      <c r="NGE5" s="390"/>
      <c r="NGF5" s="390"/>
      <c r="NGG5" s="390"/>
      <c r="NGH5" s="390"/>
      <c r="NGI5" s="390"/>
      <c r="NGJ5" s="390"/>
      <c r="NGK5" s="390"/>
      <c r="NGL5" s="390"/>
      <c r="NGM5" s="390"/>
      <c r="NGN5" s="390"/>
      <c r="NGO5" s="390"/>
      <c r="NGP5" s="390"/>
      <c r="NGQ5" s="390"/>
      <c r="NGR5" s="390"/>
      <c r="NGS5" s="390"/>
      <c r="NGT5" s="390"/>
      <c r="NGU5" s="390"/>
      <c r="NGV5" s="390"/>
      <c r="NGW5" s="390"/>
      <c r="NGX5" s="390"/>
      <c r="NGY5" s="390"/>
      <c r="NGZ5" s="390"/>
      <c r="NHA5" s="390"/>
      <c r="NHB5" s="390"/>
      <c r="NHC5" s="390"/>
      <c r="NHD5" s="390"/>
      <c r="NHE5" s="390"/>
      <c r="NHF5" s="390"/>
      <c r="NHG5" s="390"/>
      <c r="NHH5" s="390"/>
      <c r="NHI5" s="390"/>
      <c r="NHJ5" s="390"/>
      <c r="NHK5" s="390"/>
      <c r="NHL5" s="390"/>
      <c r="NHM5" s="390"/>
      <c r="NHN5" s="390"/>
      <c r="NHO5" s="390"/>
      <c r="NHP5" s="390"/>
      <c r="NHQ5" s="390"/>
      <c r="NHR5" s="390"/>
      <c r="NHS5" s="390"/>
      <c r="NHT5" s="390"/>
      <c r="NHU5" s="390"/>
      <c r="NHV5" s="390"/>
      <c r="NHW5" s="390"/>
      <c r="NHX5" s="390"/>
      <c r="NHY5" s="390"/>
      <c r="NHZ5" s="390"/>
      <c r="NIA5" s="390"/>
      <c r="NIB5" s="390"/>
      <c r="NIC5" s="390"/>
      <c r="NID5" s="390"/>
      <c r="NIE5" s="390"/>
      <c r="NIF5" s="390"/>
      <c r="NIG5" s="390"/>
      <c r="NIH5" s="390"/>
      <c r="NII5" s="390"/>
      <c r="NIJ5" s="390"/>
      <c r="NIK5" s="390"/>
      <c r="NIL5" s="390"/>
      <c r="NIM5" s="390"/>
      <c r="NIN5" s="390"/>
      <c r="NIO5" s="390"/>
      <c r="NIP5" s="390"/>
      <c r="NIQ5" s="390"/>
      <c r="NIR5" s="390"/>
      <c r="NIS5" s="390"/>
      <c r="NIT5" s="390"/>
      <c r="NIU5" s="390"/>
      <c r="NIV5" s="390"/>
      <c r="NIW5" s="390"/>
      <c r="NIX5" s="390"/>
      <c r="NIY5" s="390"/>
      <c r="NIZ5" s="390"/>
      <c r="NJA5" s="390"/>
      <c r="NJB5" s="390"/>
      <c r="NJC5" s="390"/>
      <c r="NJD5" s="390"/>
      <c r="NJE5" s="390"/>
      <c r="NJF5" s="390"/>
      <c r="NJG5" s="390"/>
      <c r="NJH5" s="390"/>
      <c r="NJI5" s="390"/>
      <c r="NJJ5" s="390"/>
      <c r="NJK5" s="390"/>
      <c r="NJL5" s="390"/>
      <c r="NJM5" s="390"/>
      <c r="NJN5" s="390"/>
      <c r="NJO5" s="390"/>
      <c r="NJP5" s="390"/>
      <c r="NJQ5" s="390"/>
      <c r="NJR5" s="390"/>
      <c r="NJS5" s="390"/>
      <c r="NJT5" s="390"/>
      <c r="NJU5" s="390"/>
      <c r="NJV5" s="390"/>
      <c r="NJW5" s="390"/>
      <c r="NJX5" s="390"/>
      <c r="NJY5" s="390"/>
      <c r="NJZ5" s="390"/>
      <c r="NKA5" s="390"/>
      <c r="NKB5" s="390"/>
      <c r="NKC5" s="390"/>
      <c r="NKD5" s="390"/>
      <c r="NKE5" s="390"/>
      <c r="NKF5" s="390"/>
      <c r="NKG5" s="390"/>
      <c r="NKH5" s="390"/>
      <c r="NKI5" s="390"/>
      <c r="NKJ5" s="390"/>
      <c r="NKK5" s="390"/>
      <c r="NKL5" s="390"/>
      <c r="NKM5" s="390"/>
      <c r="NKN5" s="390"/>
      <c r="NKO5" s="390"/>
      <c r="NKP5" s="390"/>
      <c r="NKQ5" s="390"/>
      <c r="NKR5" s="390"/>
      <c r="NKS5" s="390"/>
      <c r="NKT5" s="390"/>
      <c r="NKU5" s="390"/>
      <c r="NKV5" s="390"/>
      <c r="NKW5" s="390"/>
      <c r="NKX5" s="390"/>
      <c r="NKY5" s="390"/>
      <c r="NKZ5" s="390"/>
      <c r="NLA5" s="390"/>
      <c r="NLB5" s="390"/>
      <c r="NLC5" s="390"/>
      <c r="NLD5" s="390"/>
      <c r="NLE5" s="390"/>
      <c r="NLF5" s="390"/>
      <c r="NLG5" s="390"/>
      <c r="NLH5" s="390"/>
      <c r="NLI5" s="390"/>
      <c r="NLJ5" s="390"/>
      <c r="NLK5" s="390"/>
      <c r="NLL5" s="390"/>
      <c r="NLM5" s="390"/>
      <c r="NLN5" s="390"/>
      <c r="NLO5" s="390"/>
      <c r="NLP5" s="390"/>
      <c r="NLQ5" s="390"/>
      <c r="NLR5" s="390"/>
      <c r="NLS5" s="390"/>
      <c r="NLT5" s="390"/>
      <c r="NLU5" s="390"/>
      <c r="NLV5" s="390"/>
      <c r="NLW5" s="390"/>
      <c r="NLX5" s="390"/>
      <c r="NLY5" s="390"/>
      <c r="NLZ5" s="390"/>
      <c r="NMA5" s="390"/>
      <c r="NMB5" s="390"/>
      <c r="NMC5" s="390"/>
      <c r="NMD5" s="390"/>
      <c r="NME5" s="390"/>
      <c r="NMF5" s="390"/>
      <c r="NMG5" s="390"/>
      <c r="NMH5" s="390"/>
      <c r="NMI5" s="390"/>
      <c r="NMJ5" s="390"/>
      <c r="NMK5" s="390"/>
      <c r="NML5" s="390"/>
      <c r="NMM5" s="390"/>
      <c r="NMN5" s="390"/>
      <c r="NMO5" s="390"/>
      <c r="NMP5" s="390"/>
      <c r="NMQ5" s="390"/>
      <c r="NMR5" s="390"/>
      <c r="NMS5" s="390"/>
      <c r="NMT5" s="390"/>
      <c r="NMU5" s="390"/>
      <c r="NMV5" s="390"/>
      <c r="NMW5" s="390"/>
      <c r="NMX5" s="390"/>
      <c r="NMY5" s="390"/>
      <c r="NMZ5" s="390"/>
      <c r="NNA5" s="390"/>
      <c r="NNB5" s="390"/>
      <c r="NNC5" s="390"/>
      <c r="NND5" s="390"/>
      <c r="NNE5" s="390"/>
      <c r="NNF5" s="390"/>
      <c r="NNG5" s="390"/>
      <c r="NNH5" s="390"/>
      <c r="NNI5" s="390"/>
      <c r="NNJ5" s="390"/>
      <c r="NNK5" s="390"/>
      <c r="NNL5" s="390"/>
      <c r="NNM5" s="390"/>
      <c r="NNN5" s="390"/>
      <c r="NNO5" s="390"/>
      <c r="NNP5" s="390"/>
      <c r="NNQ5" s="390"/>
      <c r="NNR5" s="390"/>
      <c r="NNS5" s="390"/>
      <c r="NNT5" s="390"/>
      <c r="NNU5" s="390"/>
      <c r="NNV5" s="390"/>
      <c r="NNW5" s="390"/>
      <c r="NNX5" s="390"/>
      <c r="NNY5" s="390"/>
      <c r="NNZ5" s="390"/>
      <c r="NOA5" s="390"/>
      <c r="NOB5" s="390"/>
      <c r="NOC5" s="390"/>
      <c r="NOD5" s="390"/>
      <c r="NOE5" s="390"/>
      <c r="NOF5" s="390"/>
      <c r="NOG5" s="390"/>
      <c r="NOH5" s="390"/>
      <c r="NOI5" s="390"/>
      <c r="NOJ5" s="390"/>
      <c r="NOK5" s="390"/>
      <c r="NOL5" s="390"/>
      <c r="NOM5" s="390"/>
      <c r="NON5" s="390"/>
      <c r="NOO5" s="390"/>
      <c r="NOP5" s="390"/>
      <c r="NOQ5" s="390"/>
      <c r="NOR5" s="390"/>
      <c r="NOS5" s="390"/>
      <c r="NOT5" s="390"/>
      <c r="NOU5" s="390"/>
      <c r="NOV5" s="390"/>
      <c r="NOW5" s="390"/>
      <c r="NOX5" s="390"/>
      <c r="NOY5" s="390"/>
      <c r="NOZ5" s="390"/>
      <c r="NPA5" s="390"/>
      <c r="NPB5" s="390"/>
      <c r="NPC5" s="390"/>
      <c r="NPD5" s="390"/>
      <c r="NPE5" s="390"/>
      <c r="NPF5" s="390"/>
      <c r="NPG5" s="390"/>
      <c r="NPH5" s="390"/>
      <c r="NPI5" s="390"/>
      <c r="NPJ5" s="390"/>
      <c r="NPK5" s="390"/>
      <c r="NPL5" s="390"/>
      <c r="NPM5" s="390"/>
      <c r="NPN5" s="390"/>
      <c r="NPO5" s="390"/>
      <c r="NPP5" s="390"/>
      <c r="NPQ5" s="390"/>
      <c r="NPR5" s="390"/>
      <c r="NPS5" s="390"/>
      <c r="NPT5" s="390"/>
      <c r="NPU5" s="390"/>
      <c r="NPV5" s="390"/>
      <c r="NPW5" s="390"/>
      <c r="NPX5" s="390"/>
      <c r="NPY5" s="390"/>
      <c r="NPZ5" s="390"/>
      <c r="NQA5" s="390"/>
      <c r="NQB5" s="390"/>
      <c r="NQC5" s="390"/>
      <c r="NQD5" s="390"/>
      <c r="NQE5" s="390"/>
      <c r="NQF5" s="390"/>
      <c r="NQG5" s="390"/>
      <c r="NQH5" s="390"/>
      <c r="NQI5" s="390"/>
      <c r="NQJ5" s="390"/>
      <c r="NQK5" s="390"/>
      <c r="NQL5" s="390"/>
      <c r="NQM5" s="390"/>
      <c r="NQN5" s="390"/>
      <c r="NQO5" s="390"/>
      <c r="NQP5" s="390"/>
      <c r="NQQ5" s="390"/>
      <c r="NQR5" s="390"/>
      <c r="NQS5" s="390"/>
      <c r="NQT5" s="390"/>
      <c r="NQU5" s="390"/>
      <c r="NQV5" s="390"/>
      <c r="NQW5" s="390"/>
      <c r="NQX5" s="390"/>
      <c r="NQY5" s="390"/>
      <c r="NQZ5" s="390"/>
      <c r="NRA5" s="390"/>
      <c r="NRB5" s="390"/>
      <c r="NRC5" s="390"/>
      <c r="NRD5" s="390"/>
      <c r="NRE5" s="390"/>
      <c r="NRF5" s="390"/>
      <c r="NRG5" s="390"/>
      <c r="NRH5" s="390"/>
      <c r="NRI5" s="390"/>
      <c r="NRJ5" s="390"/>
      <c r="NRK5" s="390"/>
      <c r="NRL5" s="390"/>
      <c r="NRM5" s="390"/>
      <c r="NRN5" s="390"/>
      <c r="NRO5" s="390"/>
      <c r="NRP5" s="390"/>
      <c r="NRQ5" s="390"/>
      <c r="NRR5" s="390"/>
      <c r="NRS5" s="390"/>
      <c r="NRT5" s="390"/>
      <c r="NRU5" s="390"/>
      <c r="NRV5" s="390"/>
      <c r="NRW5" s="390"/>
      <c r="NRX5" s="390"/>
      <c r="NRY5" s="390"/>
      <c r="NRZ5" s="390"/>
      <c r="NSA5" s="390"/>
      <c r="NSB5" s="390"/>
      <c r="NSC5" s="390"/>
      <c r="NSD5" s="390"/>
      <c r="NSE5" s="390"/>
      <c r="NSF5" s="390"/>
      <c r="NSG5" s="390"/>
      <c r="NSH5" s="390"/>
      <c r="NSI5" s="390"/>
      <c r="NSJ5" s="390"/>
      <c r="NSK5" s="390"/>
      <c r="NSL5" s="390"/>
      <c r="NSM5" s="390"/>
      <c r="NSN5" s="390"/>
      <c r="NSO5" s="390"/>
      <c r="NSP5" s="390"/>
      <c r="NSQ5" s="390"/>
      <c r="NSR5" s="390"/>
      <c r="NSS5" s="390"/>
      <c r="NST5" s="390"/>
      <c r="NSU5" s="390"/>
      <c r="NSV5" s="390"/>
      <c r="NSW5" s="390"/>
      <c r="NSX5" s="390"/>
      <c r="NSY5" s="390"/>
      <c r="NSZ5" s="390"/>
      <c r="NTA5" s="390"/>
      <c r="NTB5" s="390"/>
      <c r="NTC5" s="390"/>
      <c r="NTD5" s="390"/>
      <c r="NTE5" s="390"/>
      <c r="NTF5" s="390"/>
      <c r="NTG5" s="390"/>
      <c r="NTH5" s="390"/>
      <c r="NTI5" s="390"/>
      <c r="NTJ5" s="390"/>
      <c r="NTK5" s="390"/>
      <c r="NTL5" s="390"/>
      <c r="NTM5" s="390"/>
      <c r="NTN5" s="390"/>
      <c r="NTO5" s="390"/>
      <c r="NTP5" s="390"/>
      <c r="NTQ5" s="390"/>
      <c r="NTR5" s="390"/>
      <c r="NTS5" s="390"/>
      <c r="NTT5" s="390"/>
      <c r="NTU5" s="390"/>
      <c r="NTV5" s="390"/>
      <c r="NTW5" s="390"/>
      <c r="NTX5" s="390"/>
      <c r="NTY5" s="390"/>
      <c r="NTZ5" s="390"/>
      <c r="NUA5" s="390"/>
      <c r="NUB5" s="390"/>
      <c r="NUC5" s="390"/>
      <c r="NUD5" s="390"/>
      <c r="NUE5" s="390"/>
      <c r="NUF5" s="390"/>
      <c r="NUG5" s="390"/>
      <c r="NUH5" s="390"/>
      <c r="NUI5" s="390"/>
      <c r="NUJ5" s="390"/>
      <c r="NUK5" s="390"/>
      <c r="NUL5" s="390"/>
      <c r="NUM5" s="390"/>
      <c r="NUN5" s="390"/>
      <c r="NUO5" s="390"/>
      <c r="NUP5" s="390"/>
      <c r="NUQ5" s="390"/>
      <c r="NUR5" s="390"/>
      <c r="NUS5" s="390"/>
      <c r="NUT5" s="390"/>
      <c r="NUU5" s="390"/>
      <c r="NUV5" s="390"/>
      <c r="NUW5" s="390"/>
      <c r="NUX5" s="390"/>
      <c r="NUY5" s="390"/>
      <c r="NUZ5" s="390"/>
      <c r="NVA5" s="390"/>
      <c r="NVB5" s="390"/>
      <c r="NVC5" s="390"/>
      <c r="NVD5" s="390"/>
      <c r="NVE5" s="390"/>
      <c r="NVF5" s="390"/>
      <c r="NVG5" s="390"/>
      <c r="NVH5" s="390"/>
      <c r="NVI5" s="390"/>
      <c r="NVJ5" s="390"/>
      <c r="NVK5" s="390"/>
      <c r="NVL5" s="390"/>
      <c r="NVM5" s="390"/>
      <c r="NVN5" s="390"/>
      <c r="NVO5" s="390"/>
      <c r="NVP5" s="390"/>
      <c r="NVQ5" s="390"/>
      <c r="NVR5" s="390"/>
      <c r="NVS5" s="390"/>
      <c r="NVT5" s="390"/>
      <c r="NVU5" s="390"/>
      <c r="NVV5" s="390"/>
      <c r="NVW5" s="390"/>
      <c r="NVX5" s="390"/>
      <c r="NVY5" s="390"/>
      <c r="NVZ5" s="390"/>
      <c r="NWA5" s="390"/>
      <c r="NWB5" s="390"/>
      <c r="NWC5" s="390"/>
      <c r="NWD5" s="390"/>
      <c r="NWE5" s="390"/>
      <c r="NWF5" s="390"/>
      <c r="NWG5" s="390"/>
      <c r="NWH5" s="390"/>
      <c r="NWI5" s="390"/>
      <c r="NWJ5" s="390"/>
      <c r="NWK5" s="390"/>
      <c r="NWL5" s="390"/>
      <c r="NWM5" s="390"/>
      <c r="NWN5" s="390"/>
      <c r="NWO5" s="390"/>
      <c r="NWP5" s="390"/>
      <c r="NWQ5" s="390"/>
      <c r="NWR5" s="390"/>
      <c r="NWS5" s="390"/>
      <c r="NWT5" s="390"/>
      <c r="NWU5" s="390"/>
      <c r="NWV5" s="390"/>
      <c r="NWW5" s="390"/>
      <c r="NWX5" s="390"/>
      <c r="NWY5" s="390"/>
      <c r="NWZ5" s="390"/>
      <c r="NXA5" s="390"/>
      <c r="NXB5" s="390"/>
      <c r="NXC5" s="390"/>
      <c r="NXD5" s="390"/>
      <c r="NXE5" s="390"/>
      <c r="NXF5" s="390"/>
      <c r="NXG5" s="390"/>
      <c r="NXH5" s="390"/>
      <c r="NXI5" s="390"/>
      <c r="NXJ5" s="390"/>
      <c r="NXK5" s="390"/>
      <c r="NXL5" s="390"/>
      <c r="NXM5" s="390"/>
      <c r="NXN5" s="390"/>
      <c r="NXO5" s="390"/>
      <c r="NXP5" s="390"/>
      <c r="NXQ5" s="390"/>
      <c r="NXR5" s="390"/>
      <c r="NXS5" s="390"/>
      <c r="NXT5" s="390"/>
      <c r="NXU5" s="390"/>
      <c r="NXV5" s="390"/>
      <c r="NXW5" s="390"/>
      <c r="NXX5" s="390"/>
      <c r="NXY5" s="390"/>
      <c r="NXZ5" s="390"/>
      <c r="NYA5" s="390"/>
      <c r="NYB5" s="390"/>
      <c r="NYC5" s="390"/>
      <c r="NYD5" s="390"/>
      <c r="NYE5" s="390"/>
      <c r="NYF5" s="390"/>
      <c r="NYG5" s="390"/>
      <c r="NYH5" s="390"/>
      <c r="NYI5" s="390"/>
      <c r="NYJ5" s="390"/>
      <c r="NYK5" s="390"/>
      <c r="NYL5" s="390"/>
      <c r="NYM5" s="390"/>
      <c r="NYN5" s="390"/>
      <c r="NYO5" s="390"/>
      <c r="NYP5" s="390"/>
      <c r="NYQ5" s="390"/>
      <c r="NYR5" s="390"/>
      <c r="NYS5" s="390"/>
      <c r="NYT5" s="390"/>
      <c r="NYU5" s="390"/>
      <c r="NYV5" s="390"/>
      <c r="NYW5" s="390"/>
      <c r="NYX5" s="390"/>
      <c r="NYY5" s="390"/>
      <c r="NYZ5" s="390"/>
      <c r="NZA5" s="390"/>
      <c r="NZB5" s="390"/>
      <c r="NZC5" s="390"/>
      <c r="NZD5" s="390"/>
      <c r="NZE5" s="390"/>
      <c r="NZF5" s="390"/>
      <c r="NZG5" s="390"/>
      <c r="NZH5" s="390"/>
      <c r="NZI5" s="390"/>
      <c r="NZJ5" s="390"/>
      <c r="NZK5" s="390"/>
      <c r="NZL5" s="390"/>
      <c r="NZM5" s="390"/>
      <c r="NZN5" s="390"/>
      <c r="NZO5" s="390"/>
      <c r="NZP5" s="390"/>
      <c r="NZQ5" s="390"/>
      <c r="NZR5" s="390"/>
      <c r="NZS5" s="390"/>
      <c r="NZT5" s="390"/>
      <c r="NZU5" s="390"/>
      <c r="NZV5" s="390"/>
      <c r="NZW5" s="390"/>
      <c r="NZX5" s="390"/>
      <c r="NZY5" s="390"/>
      <c r="NZZ5" s="390"/>
      <c r="OAA5" s="390"/>
      <c r="OAB5" s="390"/>
      <c r="OAC5" s="390"/>
      <c r="OAD5" s="390"/>
      <c r="OAE5" s="390"/>
      <c r="OAF5" s="390"/>
      <c r="OAG5" s="390"/>
      <c r="OAH5" s="390"/>
      <c r="OAI5" s="390"/>
      <c r="OAJ5" s="390"/>
      <c r="OAK5" s="390"/>
      <c r="OAL5" s="390"/>
      <c r="OAM5" s="390"/>
      <c r="OAN5" s="390"/>
      <c r="OAO5" s="390"/>
      <c r="OAP5" s="390"/>
      <c r="OAQ5" s="390"/>
      <c r="OAR5" s="390"/>
      <c r="OAS5" s="390"/>
      <c r="OAT5" s="390"/>
      <c r="OAU5" s="390"/>
      <c r="OAV5" s="390"/>
      <c r="OAW5" s="390"/>
      <c r="OAX5" s="390"/>
      <c r="OAY5" s="390"/>
      <c r="OAZ5" s="390"/>
      <c r="OBA5" s="390"/>
      <c r="OBB5" s="390"/>
      <c r="OBC5" s="390"/>
      <c r="OBD5" s="390"/>
      <c r="OBE5" s="390"/>
      <c r="OBF5" s="390"/>
      <c r="OBG5" s="390"/>
      <c r="OBH5" s="390"/>
      <c r="OBI5" s="390"/>
      <c r="OBJ5" s="390"/>
      <c r="OBK5" s="390"/>
      <c r="OBL5" s="390"/>
      <c r="OBM5" s="390"/>
      <c r="OBN5" s="390"/>
      <c r="OBO5" s="390"/>
      <c r="OBP5" s="390"/>
      <c r="OBQ5" s="390"/>
      <c r="OBR5" s="390"/>
      <c r="OBS5" s="390"/>
      <c r="OBT5" s="390"/>
      <c r="OBU5" s="390"/>
      <c r="OBV5" s="390"/>
      <c r="OBW5" s="390"/>
      <c r="OBX5" s="390"/>
      <c r="OBY5" s="390"/>
      <c r="OBZ5" s="390"/>
      <c r="OCA5" s="390"/>
      <c r="OCB5" s="390"/>
      <c r="OCC5" s="390"/>
      <c r="OCD5" s="390"/>
      <c r="OCE5" s="390"/>
      <c r="OCF5" s="390"/>
      <c r="OCG5" s="390"/>
      <c r="OCH5" s="390"/>
      <c r="OCI5" s="390"/>
      <c r="OCJ5" s="390"/>
      <c r="OCK5" s="390"/>
      <c r="OCL5" s="390"/>
      <c r="OCM5" s="390"/>
      <c r="OCN5" s="390"/>
      <c r="OCO5" s="390"/>
      <c r="OCP5" s="390"/>
      <c r="OCQ5" s="390"/>
      <c r="OCR5" s="390"/>
      <c r="OCS5" s="390"/>
      <c r="OCT5" s="390"/>
      <c r="OCU5" s="390"/>
      <c r="OCV5" s="390"/>
      <c r="OCW5" s="390"/>
      <c r="OCX5" s="390"/>
      <c r="OCY5" s="390"/>
      <c r="OCZ5" s="390"/>
      <c r="ODA5" s="390"/>
      <c r="ODB5" s="390"/>
      <c r="ODC5" s="390"/>
      <c r="ODD5" s="390"/>
      <c r="ODE5" s="390"/>
      <c r="ODF5" s="390"/>
      <c r="ODG5" s="390"/>
      <c r="ODH5" s="390"/>
      <c r="ODI5" s="390"/>
      <c r="ODJ5" s="390"/>
      <c r="ODK5" s="390"/>
      <c r="ODL5" s="390"/>
      <c r="ODM5" s="390"/>
      <c r="ODN5" s="390"/>
      <c r="ODO5" s="390"/>
      <c r="ODP5" s="390"/>
      <c r="ODQ5" s="390"/>
      <c r="ODR5" s="390"/>
      <c r="ODS5" s="390"/>
      <c r="ODT5" s="390"/>
      <c r="ODU5" s="390"/>
      <c r="ODV5" s="390"/>
      <c r="ODW5" s="390"/>
      <c r="ODX5" s="390"/>
      <c r="ODY5" s="390"/>
      <c r="ODZ5" s="390"/>
      <c r="OEA5" s="390"/>
      <c r="OEB5" s="390"/>
      <c r="OEC5" s="390"/>
      <c r="OED5" s="390"/>
      <c r="OEE5" s="390"/>
      <c r="OEF5" s="390"/>
      <c r="OEG5" s="390"/>
      <c r="OEH5" s="390"/>
      <c r="OEI5" s="390"/>
      <c r="OEJ5" s="390"/>
      <c r="OEK5" s="390"/>
      <c r="OEL5" s="390"/>
      <c r="OEM5" s="390"/>
      <c r="OEN5" s="390"/>
      <c r="OEO5" s="390"/>
      <c r="OEP5" s="390"/>
      <c r="OEQ5" s="390"/>
      <c r="OER5" s="390"/>
      <c r="OES5" s="390"/>
      <c r="OET5" s="390"/>
      <c r="OEU5" s="390"/>
      <c r="OEV5" s="390"/>
      <c r="OEW5" s="390"/>
      <c r="OEX5" s="390"/>
      <c r="OEY5" s="390"/>
      <c r="OEZ5" s="390"/>
      <c r="OFA5" s="390"/>
      <c r="OFB5" s="390"/>
      <c r="OFC5" s="390"/>
      <c r="OFD5" s="390"/>
      <c r="OFE5" s="390"/>
      <c r="OFF5" s="390"/>
      <c r="OFG5" s="390"/>
      <c r="OFH5" s="390"/>
      <c r="OFI5" s="390"/>
      <c r="OFJ5" s="390"/>
      <c r="OFK5" s="390"/>
      <c r="OFL5" s="390"/>
      <c r="OFM5" s="390"/>
      <c r="OFN5" s="390"/>
      <c r="OFO5" s="390"/>
      <c r="OFP5" s="390"/>
      <c r="OFQ5" s="390"/>
      <c r="OFR5" s="390"/>
      <c r="OFS5" s="390"/>
      <c r="OFT5" s="390"/>
      <c r="OFU5" s="390"/>
      <c r="OFV5" s="390"/>
      <c r="OFW5" s="390"/>
      <c r="OFX5" s="390"/>
      <c r="OFY5" s="390"/>
      <c r="OFZ5" s="390"/>
      <c r="OGA5" s="390"/>
      <c r="OGB5" s="390"/>
      <c r="OGC5" s="390"/>
      <c r="OGD5" s="390"/>
      <c r="OGE5" s="390"/>
      <c r="OGF5" s="390"/>
      <c r="OGG5" s="390"/>
      <c r="OGH5" s="390"/>
      <c r="OGI5" s="390"/>
      <c r="OGJ5" s="390"/>
      <c r="OGK5" s="390"/>
      <c r="OGL5" s="390"/>
      <c r="OGM5" s="390"/>
      <c r="OGN5" s="390"/>
      <c r="OGO5" s="390"/>
      <c r="OGP5" s="390"/>
      <c r="OGQ5" s="390"/>
      <c r="OGR5" s="390"/>
      <c r="OGS5" s="390"/>
      <c r="OGT5" s="390"/>
      <c r="OGU5" s="390"/>
      <c r="OGV5" s="390"/>
      <c r="OGW5" s="390"/>
      <c r="OGX5" s="390"/>
      <c r="OGY5" s="390"/>
      <c r="OGZ5" s="390"/>
      <c r="OHA5" s="390"/>
      <c r="OHB5" s="390"/>
      <c r="OHC5" s="390"/>
      <c r="OHD5" s="390"/>
      <c r="OHE5" s="390"/>
      <c r="OHF5" s="390"/>
      <c r="OHG5" s="390"/>
      <c r="OHH5" s="390"/>
      <c r="OHI5" s="390"/>
      <c r="OHJ5" s="390"/>
      <c r="OHK5" s="390"/>
      <c r="OHL5" s="390"/>
      <c r="OHM5" s="390"/>
      <c r="OHN5" s="390"/>
      <c r="OHO5" s="390"/>
      <c r="OHP5" s="390"/>
      <c r="OHQ5" s="390"/>
      <c r="OHR5" s="390"/>
      <c r="OHS5" s="390"/>
      <c r="OHT5" s="390"/>
      <c r="OHU5" s="390"/>
      <c r="OHV5" s="390"/>
      <c r="OHW5" s="390"/>
      <c r="OHX5" s="390"/>
      <c r="OHY5" s="390"/>
      <c r="OHZ5" s="390"/>
      <c r="OIA5" s="390"/>
      <c r="OIB5" s="390"/>
      <c r="OIC5" s="390"/>
      <c r="OID5" s="390"/>
      <c r="OIE5" s="390"/>
      <c r="OIF5" s="390"/>
      <c r="OIG5" s="390"/>
      <c r="OIH5" s="390"/>
      <c r="OII5" s="390"/>
      <c r="OIJ5" s="390"/>
      <c r="OIK5" s="390"/>
      <c r="OIL5" s="390"/>
      <c r="OIM5" s="390"/>
      <c r="OIN5" s="390"/>
      <c r="OIO5" s="390"/>
      <c r="OIP5" s="390"/>
      <c r="OIQ5" s="390"/>
      <c r="OIR5" s="390"/>
      <c r="OIS5" s="390"/>
      <c r="OIT5" s="390"/>
      <c r="OIU5" s="390"/>
      <c r="OIV5" s="390"/>
      <c r="OIW5" s="390"/>
      <c r="OIX5" s="390"/>
      <c r="OIY5" s="390"/>
      <c r="OIZ5" s="390"/>
      <c r="OJA5" s="390"/>
      <c r="OJB5" s="390"/>
      <c r="OJC5" s="390"/>
      <c r="OJD5" s="390"/>
      <c r="OJE5" s="390"/>
      <c r="OJF5" s="390"/>
      <c r="OJG5" s="390"/>
      <c r="OJH5" s="390"/>
      <c r="OJI5" s="390"/>
      <c r="OJJ5" s="390"/>
      <c r="OJK5" s="390"/>
      <c r="OJL5" s="390"/>
      <c r="OJM5" s="390"/>
      <c r="OJN5" s="390"/>
      <c r="OJO5" s="390"/>
      <c r="OJP5" s="390"/>
      <c r="OJQ5" s="390"/>
      <c r="OJR5" s="390"/>
      <c r="OJS5" s="390"/>
      <c r="OJT5" s="390"/>
      <c r="OJU5" s="390"/>
      <c r="OJV5" s="390"/>
      <c r="OJW5" s="390"/>
      <c r="OJX5" s="390"/>
      <c r="OJY5" s="390"/>
      <c r="OJZ5" s="390"/>
      <c r="OKA5" s="390"/>
      <c r="OKB5" s="390"/>
      <c r="OKC5" s="390"/>
      <c r="OKD5" s="390"/>
      <c r="OKE5" s="390"/>
      <c r="OKF5" s="390"/>
      <c r="OKG5" s="390"/>
      <c r="OKH5" s="390"/>
      <c r="OKI5" s="390"/>
      <c r="OKJ5" s="390"/>
      <c r="OKK5" s="390"/>
      <c r="OKL5" s="390"/>
      <c r="OKM5" s="390"/>
      <c r="OKN5" s="390"/>
      <c r="OKO5" s="390"/>
      <c r="OKP5" s="390"/>
      <c r="OKQ5" s="390"/>
      <c r="OKR5" s="390"/>
      <c r="OKS5" s="390"/>
      <c r="OKT5" s="390"/>
      <c r="OKU5" s="390"/>
      <c r="OKV5" s="390"/>
      <c r="OKW5" s="390"/>
      <c r="OKX5" s="390"/>
      <c r="OKY5" s="390"/>
      <c r="OKZ5" s="390"/>
      <c r="OLA5" s="390"/>
      <c r="OLB5" s="390"/>
      <c r="OLC5" s="390"/>
      <c r="OLD5" s="390"/>
      <c r="OLE5" s="390"/>
      <c r="OLF5" s="390"/>
      <c r="OLG5" s="390"/>
      <c r="OLH5" s="390"/>
      <c r="OLI5" s="390"/>
      <c r="OLJ5" s="390"/>
      <c r="OLK5" s="390"/>
      <c r="OLL5" s="390"/>
      <c r="OLM5" s="390"/>
      <c r="OLN5" s="390"/>
      <c r="OLO5" s="390"/>
      <c r="OLP5" s="390"/>
      <c r="OLQ5" s="390"/>
      <c r="OLR5" s="390"/>
      <c r="OLS5" s="390"/>
      <c r="OLT5" s="390"/>
      <c r="OLU5" s="390"/>
      <c r="OLV5" s="390"/>
      <c r="OLW5" s="390"/>
      <c r="OLX5" s="390"/>
      <c r="OLY5" s="390"/>
      <c r="OLZ5" s="390"/>
      <c r="OMA5" s="390"/>
      <c r="OMB5" s="390"/>
      <c r="OMC5" s="390"/>
      <c r="OMD5" s="390"/>
      <c r="OME5" s="390"/>
      <c r="OMF5" s="390"/>
      <c r="OMG5" s="390"/>
      <c r="OMH5" s="390"/>
      <c r="OMI5" s="390"/>
      <c r="OMJ5" s="390"/>
      <c r="OMK5" s="390"/>
      <c r="OML5" s="390"/>
      <c r="OMM5" s="390"/>
      <c r="OMN5" s="390"/>
      <c r="OMO5" s="390"/>
      <c r="OMP5" s="390"/>
      <c r="OMQ5" s="390"/>
      <c r="OMR5" s="390"/>
      <c r="OMS5" s="390"/>
      <c r="OMT5" s="390"/>
      <c r="OMU5" s="390"/>
      <c r="OMV5" s="390"/>
      <c r="OMW5" s="390"/>
      <c r="OMX5" s="390"/>
      <c r="OMY5" s="390"/>
      <c r="OMZ5" s="390"/>
      <c r="ONA5" s="390"/>
      <c r="ONB5" s="390"/>
      <c r="ONC5" s="390"/>
      <c r="OND5" s="390"/>
      <c r="ONE5" s="390"/>
      <c r="ONF5" s="390"/>
      <c r="ONG5" s="390"/>
      <c r="ONH5" s="390"/>
      <c r="ONI5" s="390"/>
      <c r="ONJ5" s="390"/>
      <c r="ONK5" s="390"/>
      <c r="ONL5" s="390"/>
      <c r="ONM5" s="390"/>
      <c r="ONN5" s="390"/>
      <c r="ONO5" s="390"/>
      <c r="ONP5" s="390"/>
      <c r="ONQ5" s="390"/>
      <c r="ONR5" s="390"/>
      <c r="ONS5" s="390"/>
      <c r="ONT5" s="390"/>
      <c r="ONU5" s="390"/>
      <c r="ONV5" s="390"/>
      <c r="ONW5" s="390"/>
      <c r="ONX5" s="390"/>
      <c r="ONY5" s="390"/>
      <c r="ONZ5" s="390"/>
      <c r="OOA5" s="390"/>
      <c r="OOB5" s="390"/>
      <c r="OOC5" s="390"/>
      <c r="OOD5" s="390"/>
      <c r="OOE5" s="390"/>
      <c r="OOF5" s="390"/>
      <c r="OOG5" s="390"/>
      <c r="OOH5" s="390"/>
      <c r="OOI5" s="390"/>
      <c r="OOJ5" s="390"/>
      <c r="OOK5" s="390"/>
      <c r="OOL5" s="390"/>
      <c r="OOM5" s="390"/>
      <c r="OON5" s="390"/>
      <c r="OOO5" s="390"/>
      <c r="OOP5" s="390"/>
      <c r="OOQ5" s="390"/>
      <c r="OOR5" s="390"/>
      <c r="OOS5" s="390"/>
      <c r="OOT5" s="390"/>
      <c r="OOU5" s="390"/>
      <c r="OOV5" s="390"/>
      <c r="OOW5" s="390"/>
      <c r="OOX5" s="390"/>
      <c r="OOY5" s="390"/>
      <c r="OOZ5" s="390"/>
      <c r="OPA5" s="390"/>
      <c r="OPB5" s="390"/>
      <c r="OPC5" s="390"/>
      <c r="OPD5" s="390"/>
      <c r="OPE5" s="390"/>
      <c r="OPF5" s="390"/>
      <c r="OPG5" s="390"/>
      <c r="OPH5" s="390"/>
      <c r="OPI5" s="390"/>
      <c r="OPJ5" s="390"/>
      <c r="OPK5" s="390"/>
      <c r="OPL5" s="390"/>
      <c r="OPM5" s="390"/>
      <c r="OPN5" s="390"/>
      <c r="OPO5" s="390"/>
      <c r="OPP5" s="390"/>
      <c r="OPQ5" s="390"/>
      <c r="OPR5" s="390"/>
      <c r="OPS5" s="390"/>
      <c r="OPT5" s="390"/>
      <c r="OPU5" s="390"/>
      <c r="OPV5" s="390"/>
      <c r="OPW5" s="390"/>
      <c r="OPX5" s="390"/>
      <c r="OPY5" s="390"/>
      <c r="OPZ5" s="390"/>
      <c r="OQA5" s="390"/>
      <c r="OQB5" s="390"/>
      <c r="OQC5" s="390"/>
      <c r="OQD5" s="390"/>
      <c r="OQE5" s="390"/>
      <c r="OQF5" s="390"/>
      <c r="OQG5" s="390"/>
      <c r="OQH5" s="390"/>
      <c r="OQI5" s="390"/>
      <c r="OQJ5" s="390"/>
      <c r="OQK5" s="390"/>
      <c r="OQL5" s="390"/>
      <c r="OQM5" s="390"/>
      <c r="OQN5" s="390"/>
      <c r="OQO5" s="390"/>
      <c r="OQP5" s="390"/>
      <c r="OQQ5" s="390"/>
      <c r="OQR5" s="390"/>
      <c r="OQS5" s="390"/>
      <c r="OQT5" s="390"/>
      <c r="OQU5" s="390"/>
      <c r="OQV5" s="390"/>
      <c r="OQW5" s="390"/>
      <c r="OQX5" s="390"/>
      <c r="OQY5" s="390"/>
      <c r="OQZ5" s="390"/>
      <c r="ORA5" s="390"/>
      <c r="ORB5" s="390"/>
      <c r="ORC5" s="390"/>
      <c r="ORD5" s="390"/>
      <c r="ORE5" s="390"/>
      <c r="ORF5" s="390"/>
      <c r="ORG5" s="390"/>
      <c r="ORH5" s="390"/>
      <c r="ORI5" s="390"/>
      <c r="ORJ5" s="390"/>
      <c r="ORK5" s="390"/>
      <c r="ORL5" s="390"/>
      <c r="ORM5" s="390"/>
      <c r="ORN5" s="390"/>
      <c r="ORO5" s="390"/>
      <c r="ORP5" s="390"/>
      <c r="ORQ5" s="390"/>
      <c r="ORR5" s="390"/>
      <c r="ORS5" s="390"/>
      <c r="ORT5" s="390"/>
      <c r="ORU5" s="390"/>
      <c r="ORV5" s="390"/>
      <c r="ORW5" s="390"/>
      <c r="ORX5" s="390"/>
      <c r="ORY5" s="390"/>
      <c r="ORZ5" s="390"/>
      <c r="OSA5" s="390"/>
      <c r="OSB5" s="390"/>
      <c r="OSC5" s="390"/>
      <c r="OSD5" s="390"/>
      <c r="OSE5" s="390"/>
      <c r="OSF5" s="390"/>
      <c r="OSG5" s="390"/>
      <c r="OSH5" s="390"/>
      <c r="OSI5" s="390"/>
      <c r="OSJ5" s="390"/>
      <c r="OSK5" s="390"/>
      <c r="OSL5" s="390"/>
      <c r="OSM5" s="390"/>
      <c r="OSN5" s="390"/>
      <c r="OSO5" s="390"/>
      <c r="OSP5" s="390"/>
      <c r="OSQ5" s="390"/>
      <c r="OSR5" s="390"/>
      <c r="OSS5" s="390"/>
      <c r="OST5" s="390"/>
      <c r="OSU5" s="390"/>
      <c r="OSV5" s="390"/>
      <c r="OSW5" s="390"/>
      <c r="OSX5" s="390"/>
      <c r="OSY5" s="390"/>
      <c r="OSZ5" s="390"/>
      <c r="OTA5" s="390"/>
      <c r="OTB5" s="390"/>
      <c r="OTC5" s="390"/>
      <c r="OTD5" s="390"/>
      <c r="OTE5" s="390"/>
      <c r="OTF5" s="390"/>
      <c r="OTG5" s="390"/>
      <c r="OTH5" s="390"/>
      <c r="OTI5" s="390"/>
      <c r="OTJ5" s="390"/>
      <c r="OTK5" s="390"/>
      <c r="OTL5" s="390"/>
      <c r="OTM5" s="390"/>
      <c r="OTN5" s="390"/>
      <c r="OTO5" s="390"/>
      <c r="OTP5" s="390"/>
      <c r="OTQ5" s="390"/>
      <c r="OTR5" s="390"/>
      <c r="OTS5" s="390"/>
      <c r="OTT5" s="390"/>
      <c r="OTU5" s="390"/>
      <c r="OTV5" s="390"/>
      <c r="OTW5" s="390"/>
      <c r="OTX5" s="390"/>
      <c r="OTY5" s="390"/>
      <c r="OTZ5" s="390"/>
      <c r="OUA5" s="390"/>
      <c r="OUB5" s="390"/>
      <c r="OUC5" s="390"/>
      <c r="OUD5" s="390"/>
      <c r="OUE5" s="390"/>
      <c r="OUF5" s="390"/>
      <c r="OUG5" s="390"/>
      <c r="OUH5" s="390"/>
      <c r="OUI5" s="390"/>
      <c r="OUJ5" s="390"/>
      <c r="OUK5" s="390"/>
      <c r="OUL5" s="390"/>
      <c r="OUM5" s="390"/>
      <c r="OUN5" s="390"/>
      <c r="OUO5" s="390"/>
      <c r="OUP5" s="390"/>
      <c r="OUQ5" s="390"/>
      <c r="OUR5" s="390"/>
      <c r="OUS5" s="390"/>
      <c r="OUT5" s="390"/>
      <c r="OUU5" s="390"/>
      <c r="OUV5" s="390"/>
      <c r="OUW5" s="390"/>
      <c r="OUX5" s="390"/>
      <c r="OUY5" s="390"/>
      <c r="OUZ5" s="390"/>
      <c r="OVA5" s="390"/>
      <c r="OVB5" s="390"/>
      <c r="OVC5" s="390"/>
      <c r="OVD5" s="390"/>
      <c r="OVE5" s="390"/>
      <c r="OVF5" s="390"/>
      <c r="OVG5" s="390"/>
      <c r="OVH5" s="390"/>
      <c r="OVI5" s="390"/>
      <c r="OVJ5" s="390"/>
      <c r="OVK5" s="390"/>
      <c r="OVL5" s="390"/>
      <c r="OVM5" s="390"/>
      <c r="OVN5" s="390"/>
      <c r="OVO5" s="390"/>
      <c r="OVP5" s="390"/>
      <c r="OVQ5" s="390"/>
      <c r="OVR5" s="390"/>
      <c r="OVS5" s="390"/>
      <c r="OVT5" s="390"/>
      <c r="OVU5" s="390"/>
      <c r="OVV5" s="390"/>
      <c r="OVW5" s="390"/>
      <c r="OVX5" s="390"/>
      <c r="OVY5" s="390"/>
      <c r="OVZ5" s="390"/>
      <c r="OWA5" s="390"/>
      <c r="OWB5" s="390"/>
      <c r="OWC5" s="390"/>
      <c r="OWD5" s="390"/>
      <c r="OWE5" s="390"/>
      <c r="OWF5" s="390"/>
      <c r="OWG5" s="390"/>
      <c r="OWH5" s="390"/>
      <c r="OWI5" s="390"/>
      <c r="OWJ5" s="390"/>
      <c r="OWK5" s="390"/>
      <c r="OWL5" s="390"/>
      <c r="OWM5" s="390"/>
      <c r="OWN5" s="390"/>
      <c r="OWO5" s="390"/>
      <c r="OWP5" s="390"/>
      <c r="OWQ5" s="390"/>
      <c r="OWR5" s="390"/>
      <c r="OWS5" s="390"/>
      <c r="OWT5" s="390"/>
      <c r="OWU5" s="390"/>
      <c r="OWV5" s="390"/>
      <c r="OWW5" s="390"/>
      <c r="OWX5" s="390"/>
      <c r="OWY5" s="390"/>
      <c r="OWZ5" s="390"/>
      <c r="OXA5" s="390"/>
      <c r="OXB5" s="390"/>
      <c r="OXC5" s="390"/>
      <c r="OXD5" s="390"/>
      <c r="OXE5" s="390"/>
      <c r="OXF5" s="390"/>
      <c r="OXG5" s="390"/>
      <c r="OXH5" s="390"/>
      <c r="OXI5" s="390"/>
      <c r="OXJ5" s="390"/>
      <c r="OXK5" s="390"/>
      <c r="OXL5" s="390"/>
      <c r="OXM5" s="390"/>
      <c r="OXN5" s="390"/>
      <c r="OXO5" s="390"/>
      <c r="OXP5" s="390"/>
      <c r="OXQ5" s="390"/>
      <c r="OXR5" s="390"/>
      <c r="OXS5" s="390"/>
      <c r="OXT5" s="390"/>
      <c r="OXU5" s="390"/>
      <c r="OXV5" s="390"/>
      <c r="OXW5" s="390"/>
      <c r="OXX5" s="390"/>
      <c r="OXY5" s="390"/>
      <c r="OXZ5" s="390"/>
      <c r="OYA5" s="390"/>
      <c r="OYB5" s="390"/>
      <c r="OYC5" s="390"/>
      <c r="OYD5" s="390"/>
      <c r="OYE5" s="390"/>
      <c r="OYF5" s="390"/>
      <c r="OYG5" s="390"/>
      <c r="OYH5" s="390"/>
      <c r="OYI5" s="390"/>
      <c r="OYJ5" s="390"/>
      <c r="OYK5" s="390"/>
      <c r="OYL5" s="390"/>
      <c r="OYM5" s="390"/>
      <c r="OYN5" s="390"/>
      <c r="OYO5" s="390"/>
      <c r="OYP5" s="390"/>
      <c r="OYQ5" s="390"/>
      <c r="OYR5" s="390"/>
      <c r="OYS5" s="390"/>
      <c r="OYT5" s="390"/>
      <c r="OYU5" s="390"/>
      <c r="OYV5" s="390"/>
      <c r="OYW5" s="390"/>
      <c r="OYX5" s="390"/>
      <c r="OYY5" s="390"/>
      <c r="OYZ5" s="390"/>
      <c r="OZA5" s="390"/>
      <c r="OZB5" s="390"/>
      <c r="OZC5" s="390"/>
      <c r="OZD5" s="390"/>
      <c r="OZE5" s="390"/>
      <c r="OZF5" s="390"/>
      <c r="OZG5" s="390"/>
      <c r="OZH5" s="390"/>
      <c r="OZI5" s="390"/>
      <c r="OZJ5" s="390"/>
      <c r="OZK5" s="390"/>
      <c r="OZL5" s="390"/>
      <c r="OZM5" s="390"/>
      <c r="OZN5" s="390"/>
      <c r="OZO5" s="390"/>
      <c r="OZP5" s="390"/>
      <c r="OZQ5" s="390"/>
      <c r="OZR5" s="390"/>
      <c r="OZS5" s="390"/>
      <c r="OZT5" s="390"/>
      <c r="OZU5" s="390"/>
      <c r="OZV5" s="390"/>
      <c r="OZW5" s="390"/>
      <c r="OZX5" s="390"/>
      <c r="OZY5" s="390"/>
      <c r="OZZ5" s="390"/>
      <c r="PAA5" s="390"/>
      <c r="PAB5" s="390"/>
      <c r="PAC5" s="390"/>
      <c r="PAD5" s="390"/>
      <c r="PAE5" s="390"/>
      <c r="PAF5" s="390"/>
      <c r="PAG5" s="390"/>
      <c r="PAH5" s="390"/>
      <c r="PAI5" s="390"/>
      <c r="PAJ5" s="390"/>
      <c r="PAK5" s="390"/>
      <c r="PAL5" s="390"/>
      <c r="PAM5" s="390"/>
      <c r="PAN5" s="390"/>
      <c r="PAO5" s="390"/>
      <c r="PAP5" s="390"/>
      <c r="PAQ5" s="390"/>
      <c r="PAR5" s="390"/>
      <c r="PAS5" s="390"/>
      <c r="PAT5" s="390"/>
      <c r="PAU5" s="390"/>
      <c r="PAV5" s="390"/>
      <c r="PAW5" s="390"/>
      <c r="PAX5" s="390"/>
      <c r="PAY5" s="390"/>
      <c r="PAZ5" s="390"/>
      <c r="PBA5" s="390"/>
      <c r="PBB5" s="390"/>
      <c r="PBC5" s="390"/>
      <c r="PBD5" s="390"/>
      <c r="PBE5" s="390"/>
      <c r="PBF5" s="390"/>
      <c r="PBG5" s="390"/>
      <c r="PBH5" s="390"/>
      <c r="PBI5" s="390"/>
      <c r="PBJ5" s="390"/>
      <c r="PBK5" s="390"/>
      <c r="PBL5" s="390"/>
      <c r="PBM5" s="390"/>
      <c r="PBN5" s="390"/>
      <c r="PBO5" s="390"/>
      <c r="PBP5" s="390"/>
      <c r="PBQ5" s="390"/>
      <c r="PBR5" s="390"/>
      <c r="PBS5" s="390"/>
      <c r="PBT5" s="390"/>
      <c r="PBU5" s="390"/>
      <c r="PBV5" s="390"/>
      <c r="PBW5" s="390"/>
      <c r="PBX5" s="390"/>
      <c r="PBY5" s="390"/>
      <c r="PBZ5" s="390"/>
      <c r="PCA5" s="390"/>
      <c r="PCB5" s="390"/>
      <c r="PCC5" s="390"/>
      <c r="PCD5" s="390"/>
      <c r="PCE5" s="390"/>
      <c r="PCF5" s="390"/>
      <c r="PCG5" s="390"/>
      <c r="PCH5" s="390"/>
      <c r="PCI5" s="390"/>
      <c r="PCJ5" s="390"/>
      <c r="PCK5" s="390"/>
      <c r="PCL5" s="390"/>
      <c r="PCM5" s="390"/>
      <c r="PCN5" s="390"/>
      <c r="PCO5" s="390"/>
      <c r="PCP5" s="390"/>
      <c r="PCQ5" s="390"/>
      <c r="PCR5" s="390"/>
      <c r="PCS5" s="390"/>
      <c r="PCT5" s="390"/>
      <c r="PCU5" s="390"/>
      <c r="PCV5" s="390"/>
      <c r="PCW5" s="390"/>
      <c r="PCX5" s="390"/>
      <c r="PCY5" s="390"/>
      <c r="PCZ5" s="390"/>
      <c r="PDA5" s="390"/>
      <c r="PDB5" s="390"/>
      <c r="PDC5" s="390"/>
      <c r="PDD5" s="390"/>
      <c r="PDE5" s="390"/>
      <c r="PDF5" s="390"/>
      <c r="PDG5" s="390"/>
      <c r="PDH5" s="390"/>
      <c r="PDI5" s="390"/>
      <c r="PDJ5" s="390"/>
      <c r="PDK5" s="390"/>
      <c r="PDL5" s="390"/>
      <c r="PDM5" s="390"/>
      <c r="PDN5" s="390"/>
      <c r="PDO5" s="390"/>
      <c r="PDP5" s="390"/>
      <c r="PDQ5" s="390"/>
      <c r="PDR5" s="390"/>
      <c r="PDS5" s="390"/>
      <c r="PDT5" s="390"/>
      <c r="PDU5" s="390"/>
      <c r="PDV5" s="390"/>
      <c r="PDW5" s="390"/>
      <c r="PDX5" s="390"/>
      <c r="PDY5" s="390"/>
      <c r="PDZ5" s="390"/>
      <c r="PEA5" s="390"/>
      <c r="PEB5" s="390"/>
      <c r="PEC5" s="390"/>
      <c r="PED5" s="390"/>
      <c r="PEE5" s="390"/>
      <c r="PEF5" s="390"/>
      <c r="PEG5" s="390"/>
      <c r="PEH5" s="390"/>
      <c r="PEI5" s="390"/>
      <c r="PEJ5" s="390"/>
      <c r="PEK5" s="390"/>
      <c r="PEL5" s="390"/>
      <c r="PEM5" s="390"/>
      <c r="PEN5" s="390"/>
      <c r="PEO5" s="390"/>
      <c r="PEP5" s="390"/>
      <c r="PEQ5" s="390"/>
      <c r="PER5" s="390"/>
      <c r="PES5" s="390"/>
      <c r="PET5" s="390"/>
      <c r="PEU5" s="390"/>
      <c r="PEV5" s="390"/>
      <c r="PEW5" s="390"/>
      <c r="PEX5" s="390"/>
      <c r="PEY5" s="390"/>
      <c r="PEZ5" s="390"/>
      <c r="PFA5" s="390"/>
      <c r="PFB5" s="390"/>
      <c r="PFC5" s="390"/>
      <c r="PFD5" s="390"/>
      <c r="PFE5" s="390"/>
      <c r="PFF5" s="390"/>
      <c r="PFG5" s="390"/>
      <c r="PFH5" s="390"/>
      <c r="PFI5" s="390"/>
      <c r="PFJ5" s="390"/>
      <c r="PFK5" s="390"/>
      <c r="PFL5" s="390"/>
      <c r="PFM5" s="390"/>
      <c r="PFN5" s="390"/>
      <c r="PFO5" s="390"/>
      <c r="PFP5" s="390"/>
      <c r="PFQ5" s="390"/>
      <c r="PFR5" s="390"/>
      <c r="PFS5" s="390"/>
      <c r="PFT5" s="390"/>
      <c r="PFU5" s="390"/>
      <c r="PFV5" s="390"/>
      <c r="PFW5" s="390"/>
      <c r="PFX5" s="390"/>
      <c r="PFY5" s="390"/>
      <c r="PFZ5" s="390"/>
      <c r="PGA5" s="390"/>
      <c r="PGB5" s="390"/>
      <c r="PGC5" s="390"/>
      <c r="PGD5" s="390"/>
      <c r="PGE5" s="390"/>
      <c r="PGF5" s="390"/>
      <c r="PGG5" s="390"/>
      <c r="PGH5" s="390"/>
      <c r="PGI5" s="390"/>
      <c r="PGJ5" s="390"/>
      <c r="PGK5" s="390"/>
      <c r="PGL5" s="390"/>
      <c r="PGM5" s="390"/>
      <c r="PGN5" s="390"/>
      <c r="PGO5" s="390"/>
      <c r="PGP5" s="390"/>
      <c r="PGQ5" s="390"/>
      <c r="PGR5" s="390"/>
      <c r="PGS5" s="390"/>
      <c r="PGT5" s="390"/>
      <c r="PGU5" s="390"/>
      <c r="PGV5" s="390"/>
      <c r="PGW5" s="390"/>
      <c r="PGX5" s="390"/>
      <c r="PGY5" s="390"/>
      <c r="PGZ5" s="390"/>
      <c r="PHA5" s="390"/>
      <c r="PHB5" s="390"/>
      <c r="PHC5" s="390"/>
      <c r="PHD5" s="390"/>
      <c r="PHE5" s="390"/>
      <c r="PHF5" s="390"/>
      <c r="PHG5" s="390"/>
      <c r="PHH5" s="390"/>
      <c r="PHI5" s="390"/>
      <c r="PHJ5" s="390"/>
      <c r="PHK5" s="390"/>
      <c r="PHL5" s="390"/>
      <c r="PHM5" s="390"/>
      <c r="PHN5" s="390"/>
      <c r="PHO5" s="390"/>
      <c r="PHP5" s="390"/>
      <c r="PHQ5" s="390"/>
      <c r="PHR5" s="390"/>
      <c r="PHS5" s="390"/>
      <c r="PHT5" s="390"/>
      <c r="PHU5" s="390"/>
      <c r="PHV5" s="390"/>
      <c r="PHW5" s="390"/>
      <c r="PHX5" s="390"/>
      <c r="PHY5" s="390"/>
      <c r="PHZ5" s="390"/>
      <c r="PIA5" s="390"/>
      <c r="PIB5" s="390"/>
      <c r="PIC5" s="390"/>
      <c r="PID5" s="390"/>
      <c r="PIE5" s="390"/>
      <c r="PIF5" s="390"/>
      <c r="PIG5" s="390"/>
      <c r="PIH5" s="390"/>
      <c r="PII5" s="390"/>
      <c r="PIJ5" s="390"/>
      <c r="PIK5" s="390"/>
      <c r="PIL5" s="390"/>
      <c r="PIM5" s="390"/>
      <c r="PIN5" s="390"/>
      <c r="PIO5" s="390"/>
      <c r="PIP5" s="390"/>
      <c r="PIQ5" s="390"/>
      <c r="PIR5" s="390"/>
      <c r="PIS5" s="390"/>
      <c r="PIT5" s="390"/>
      <c r="PIU5" s="390"/>
      <c r="PIV5" s="390"/>
      <c r="PIW5" s="390"/>
      <c r="PIX5" s="390"/>
      <c r="PIY5" s="390"/>
      <c r="PIZ5" s="390"/>
      <c r="PJA5" s="390"/>
      <c r="PJB5" s="390"/>
      <c r="PJC5" s="390"/>
      <c r="PJD5" s="390"/>
      <c r="PJE5" s="390"/>
      <c r="PJF5" s="390"/>
      <c r="PJG5" s="390"/>
      <c r="PJH5" s="390"/>
      <c r="PJI5" s="390"/>
      <c r="PJJ5" s="390"/>
      <c r="PJK5" s="390"/>
      <c r="PJL5" s="390"/>
      <c r="PJM5" s="390"/>
      <c r="PJN5" s="390"/>
      <c r="PJO5" s="390"/>
      <c r="PJP5" s="390"/>
      <c r="PJQ5" s="390"/>
      <c r="PJR5" s="390"/>
      <c r="PJS5" s="390"/>
      <c r="PJT5" s="390"/>
      <c r="PJU5" s="390"/>
      <c r="PJV5" s="390"/>
      <c r="PJW5" s="390"/>
      <c r="PJX5" s="390"/>
      <c r="PJY5" s="390"/>
      <c r="PJZ5" s="390"/>
      <c r="PKA5" s="390"/>
      <c r="PKB5" s="390"/>
      <c r="PKC5" s="390"/>
      <c r="PKD5" s="390"/>
      <c r="PKE5" s="390"/>
      <c r="PKF5" s="390"/>
      <c r="PKG5" s="390"/>
      <c r="PKH5" s="390"/>
      <c r="PKI5" s="390"/>
      <c r="PKJ5" s="390"/>
      <c r="PKK5" s="390"/>
      <c r="PKL5" s="390"/>
      <c r="PKM5" s="390"/>
      <c r="PKN5" s="390"/>
      <c r="PKO5" s="390"/>
      <c r="PKP5" s="390"/>
      <c r="PKQ5" s="390"/>
      <c r="PKR5" s="390"/>
      <c r="PKS5" s="390"/>
      <c r="PKT5" s="390"/>
      <c r="PKU5" s="390"/>
      <c r="PKV5" s="390"/>
      <c r="PKW5" s="390"/>
      <c r="PKX5" s="390"/>
      <c r="PKY5" s="390"/>
      <c r="PKZ5" s="390"/>
      <c r="PLA5" s="390"/>
      <c r="PLB5" s="390"/>
      <c r="PLC5" s="390"/>
      <c r="PLD5" s="390"/>
      <c r="PLE5" s="390"/>
      <c r="PLF5" s="390"/>
      <c r="PLG5" s="390"/>
      <c r="PLH5" s="390"/>
      <c r="PLI5" s="390"/>
      <c r="PLJ5" s="390"/>
      <c r="PLK5" s="390"/>
      <c r="PLL5" s="390"/>
      <c r="PLM5" s="390"/>
      <c r="PLN5" s="390"/>
      <c r="PLO5" s="390"/>
      <c r="PLP5" s="390"/>
      <c r="PLQ5" s="390"/>
      <c r="PLR5" s="390"/>
      <c r="PLS5" s="390"/>
      <c r="PLT5" s="390"/>
      <c r="PLU5" s="390"/>
      <c r="PLV5" s="390"/>
      <c r="PLW5" s="390"/>
      <c r="PLX5" s="390"/>
      <c r="PLY5" s="390"/>
      <c r="PLZ5" s="390"/>
      <c r="PMA5" s="390"/>
      <c r="PMB5" s="390"/>
      <c r="PMC5" s="390"/>
      <c r="PMD5" s="390"/>
      <c r="PME5" s="390"/>
      <c r="PMF5" s="390"/>
      <c r="PMG5" s="390"/>
      <c r="PMH5" s="390"/>
      <c r="PMI5" s="390"/>
      <c r="PMJ5" s="390"/>
      <c r="PMK5" s="390"/>
      <c r="PML5" s="390"/>
      <c r="PMM5" s="390"/>
      <c r="PMN5" s="390"/>
      <c r="PMO5" s="390"/>
      <c r="PMP5" s="390"/>
      <c r="PMQ5" s="390"/>
      <c r="PMR5" s="390"/>
      <c r="PMS5" s="390"/>
      <c r="PMT5" s="390"/>
      <c r="PMU5" s="390"/>
      <c r="PMV5" s="390"/>
      <c r="PMW5" s="390"/>
      <c r="PMX5" s="390"/>
      <c r="PMY5" s="390"/>
      <c r="PMZ5" s="390"/>
      <c r="PNA5" s="390"/>
      <c r="PNB5" s="390"/>
      <c r="PNC5" s="390"/>
      <c r="PND5" s="390"/>
      <c r="PNE5" s="390"/>
      <c r="PNF5" s="390"/>
      <c r="PNG5" s="390"/>
      <c r="PNH5" s="390"/>
      <c r="PNI5" s="390"/>
      <c r="PNJ5" s="390"/>
      <c r="PNK5" s="390"/>
      <c r="PNL5" s="390"/>
      <c r="PNM5" s="390"/>
      <c r="PNN5" s="390"/>
      <c r="PNO5" s="390"/>
      <c r="PNP5" s="390"/>
      <c r="PNQ5" s="390"/>
      <c r="PNR5" s="390"/>
      <c r="PNS5" s="390"/>
      <c r="PNT5" s="390"/>
      <c r="PNU5" s="390"/>
      <c r="PNV5" s="390"/>
      <c r="PNW5" s="390"/>
      <c r="PNX5" s="390"/>
      <c r="PNY5" s="390"/>
      <c r="PNZ5" s="390"/>
      <c r="POA5" s="390"/>
      <c r="POB5" s="390"/>
      <c r="POC5" s="390"/>
      <c r="POD5" s="390"/>
      <c r="POE5" s="390"/>
      <c r="POF5" s="390"/>
      <c r="POG5" s="390"/>
      <c r="POH5" s="390"/>
      <c r="POI5" s="390"/>
      <c r="POJ5" s="390"/>
      <c r="POK5" s="390"/>
      <c r="POL5" s="390"/>
      <c r="POM5" s="390"/>
      <c r="PON5" s="390"/>
      <c r="POO5" s="390"/>
      <c r="POP5" s="390"/>
      <c r="POQ5" s="390"/>
      <c r="POR5" s="390"/>
      <c r="POS5" s="390"/>
      <c r="POT5" s="390"/>
      <c r="POU5" s="390"/>
      <c r="POV5" s="390"/>
      <c r="POW5" s="390"/>
      <c r="POX5" s="390"/>
      <c r="POY5" s="390"/>
      <c r="POZ5" s="390"/>
      <c r="PPA5" s="390"/>
      <c r="PPB5" s="390"/>
      <c r="PPC5" s="390"/>
      <c r="PPD5" s="390"/>
      <c r="PPE5" s="390"/>
      <c r="PPF5" s="390"/>
      <c r="PPG5" s="390"/>
      <c r="PPH5" s="390"/>
      <c r="PPI5" s="390"/>
      <c r="PPJ5" s="390"/>
      <c r="PPK5" s="390"/>
      <c r="PPL5" s="390"/>
      <c r="PPM5" s="390"/>
      <c r="PPN5" s="390"/>
      <c r="PPO5" s="390"/>
      <c r="PPP5" s="390"/>
      <c r="PPQ5" s="390"/>
      <c r="PPR5" s="390"/>
      <c r="PPS5" s="390"/>
      <c r="PPT5" s="390"/>
      <c r="PPU5" s="390"/>
      <c r="PPV5" s="390"/>
      <c r="PPW5" s="390"/>
      <c r="PPX5" s="390"/>
      <c r="PPY5" s="390"/>
      <c r="PPZ5" s="390"/>
      <c r="PQA5" s="390"/>
      <c r="PQB5" s="390"/>
      <c r="PQC5" s="390"/>
      <c r="PQD5" s="390"/>
      <c r="PQE5" s="390"/>
      <c r="PQF5" s="390"/>
      <c r="PQG5" s="390"/>
      <c r="PQH5" s="390"/>
      <c r="PQI5" s="390"/>
      <c r="PQJ5" s="390"/>
      <c r="PQK5" s="390"/>
      <c r="PQL5" s="390"/>
      <c r="PQM5" s="390"/>
      <c r="PQN5" s="390"/>
      <c r="PQO5" s="390"/>
      <c r="PQP5" s="390"/>
      <c r="PQQ5" s="390"/>
      <c r="PQR5" s="390"/>
      <c r="PQS5" s="390"/>
      <c r="PQT5" s="390"/>
      <c r="PQU5" s="390"/>
      <c r="PQV5" s="390"/>
      <c r="PQW5" s="390"/>
      <c r="PQX5" s="390"/>
      <c r="PQY5" s="390"/>
      <c r="PQZ5" s="390"/>
      <c r="PRA5" s="390"/>
      <c r="PRB5" s="390"/>
      <c r="PRC5" s="390"/>
      <c r="PRD5" s="390"/>
      <c r="PRE5" s="390"/>
      <c r="PRF5" s="390"/>
      <c r="PRG5" s="390"/>
      <c r="PRH5" s="390"/>
      <c r="PRI5" s="390"/>
      <c r="PRJ5" s="390"/>
      <c r="PRK5" s="390"/>
      <c r="PRL5" s="390"/>
      <c r="PRM5" s="390"/>
      <c r="PRN5" s="390"/>
      <c r="PRO5" s="390"/>
      <c r="PRP5" s="390"/>
      <c r="PRQ5" s="390"/>
      <c r="PRR5" s="390"/>
      <c r="PRS5" s="390"/>
      <c r="PRT5" s="390"/>
      <c r="PRU5" s="390"/>
      <c r="PRV5" s="390"/>
      <c r="PRW5" s="390"/>
      <c r="PRX5" s="390"/>
      <c r="PRY5" s="390"/>
      <c r="PRZ5" s="390"/>
      <c r="PSA5" s="390"/>
      <c r="PSB5" s="390"/>
      <c r="PSC5" s="390"/>
      <c r="PSD5" s="390"/>
      <c r="PSE5" s="390"/>
      <c r="PSF5" s="390"/>
      <c r="PSG5" s="390"/>
      <c r="PSH5" s="390"/>
      <c r="PSI5" s="390"/>
      <c r="PSJ5" s="390"/>
      <c r="PSK5" s="390"/>
      <c r="PSL5" s="390"/>
      <c r="PSM5" s="390"/>
      <c r="PSN5" s="390"/>
      <c r="PSO5" s="390"/>
      <c r="PSP5" s="390"/>
      <c r="PSQ5" s="390"/>
      <c r="PSR5" s="390"/>
      <c r="PSS5" s="390"/>
      <c r="PST5" s="390"/>
      <c r="PSU5" s="390"/>
      <c r="PSV5" s="390"/>
      <c r="PSW5" s="390"/>
      <c r="PSX5" s="390"/>
      <c r="PSY5" s="390"/>
      <c r="PSZ5" s="390"/>
      <c r="PTA5" s="390"/>
      <c r="PTB5" s="390"/>
      <c r="PTC5" s="390"/>
      <c r="PTD5" s="390"/>
      <c r="PTE5" s="390"/>
      <c r="PTF5" s="390"/>
      <c r="PTG5" s="390"/>
      <c r="PTH5" s="390"/>
      <c r="PTI5" s="390"/>
      <c r="PTJ5" s="390"/>
      <c r="PTK5" s="390"/>
      <c r="PTL5" s="390"/>
      <c r="PTM5" s="390"/>
      <c r="PTN5" s="390"/>
      <c r="PTO5" s="390"/>
      <c r="PTP5" s="390"/>
      <c r="PTQ5" s="390"/>
      <c r="PTR5" s="390"/>
      <c r="PTS5" s="390"/>
      <c r="PTT5" s="390"/>
      <c r="PTU5" s="390"/>
      <c r="PTV5" s="390"/>
      <c r="PTW5" s="390"/>
      <c r="PTX5" s="390"/>
      <c r="PTY5" s="390"/>
      <c r="PTZ5" s="390"/>
      <c r="PUA5" s="390"/>
      <c r="PUB5" s="390"/>
      <c r="PUC5" s="390"/>
      <c r="PUD5" s="390"/>
      <c r="PUE5" s="390"/>
      <c r="PUF5" s="390"/>
      <c r="PUG5" s="390"/>
      <c r="PUH5" s="390"/>
      <c r="PUI5" s="390"/>
      <c r="PUJ5" s="390"/>
      <c r="PUK5" s="390"/>
      <c r="PUL5" s="390"/>
      <c r="PUM5" s="390"/>
      <c r="PUN5" s="390"/>
      <c r="PUO5" s="390"/>
      <c r="PUP5" s="390"/>
      <c r="PUQ5" s="390"/>
      <c r="PUR5" s="390"/>
      <c r="PUS5" s="390"/>
      <c r="PUT5" s="390"/>
      <c r="PUU5" s="390"/>
      <c r="PUV5" s="390"/>
      <c r="PUW5" s="390"/>
      <c r="PUX5" s="390"/>
      <c r="PUY5" s="390"/>
      <c r="PUZ5" s="390"/>
      <c r="PVA5" s="390"/>
      <c r="PVB5" s="390"/>
      <c r="PVC5" s="390"/>
      <c r="PVD5" s="390"/>
      <c r="PVE5" s="390"/>
      <c r="PVF5" s="390"/>
      <c r="PVG5" s="390"/>
      <c r="PVH5" s="390"/>
      <c r="PVI5" s="390"/>
      <c r="PVJ5" s="390"/>
      <c r="PVK5" s="390"/>
      <c r="PVL5" s="390"/>
      <c r="PVM5" s="390"/>
      <c r="PVN5" s="390"/>
      <c r="PVO5" s="390"/>
      <c r="PVP5" s="390"/>
      <c r="PVQ5" s="390"/>
      <c r="PVR5" s="390"/>
      <c r="PVS5" s="390"/>
      <c r="PVT5" s="390"/>
      <c r="PVU5" s="390"/>
      <c r="PVV5" s="390"/>
      <c r="PVW5" s="390"/>
      <c r="PVX5" s="390"/>
      <c r="PVY5" s="390"/>
      <c r="PVZ5" s="390"/>
      <c r="PWA5" s="390"/>
      <c r="PWB5" s="390"/>
      <c r="PWC5" s="390"/>
      <c r="PWD5" s="390"/>
      <c r="PWE5" s="390"/>
      <c r="PWF5" s="390"/>
      <c r="PWG5" s="390"/>
      <c r="PWH5" s="390"/>
      <c r="PWI5" s="390"/>
      <c r="PWJ5" s="390"/>
      <c r="PWK5" s="390"/>
      <c r="PWL5" s="390"/>
      <c r="PWM5" s="390"/>
      <c r="PWN5" s="390"/>
      <c r="PWO5" s="390"/>
      <c r="PWP5" s="390"/>
      <c r="PWQ5" s="390"/>
      <c r="PWR5" s="390"/>
      <c r="PWS5" s="390"/>
      <c r="PWT5" s="390"/>
      <c r="PWU5" s="390"/>
      <c r="PWV5" s="390"/>
      <c r="PWW5" s="390"/>
      <c r="PWX5" s="390"/>
      <c r="PWY5" s="390"/>
      <c r="PWZ5" s="390"/>
      <c r="PXA5" s="390"/>
      <c r="PXB5" s="390"/>
      <c r="PXC5" s="390"/>
      <c r="PXD5" s="390"/>
      <c r="PXE5" s="390"/>
      <c r="PXF5" s="390"/>
      <c r="PXG5" s="390"/>
      <c r="PXH5" s="390"/>
      <c r="PXI5" s="390"/>
      <c r="PXJ5" s="390"/>
      <c r="PXK5" s="390"/>
      <c r="PXL5" s="390"/>
      <c r="PXM5" s="390"/>
      <c r="PXN5" s="390"/>
      <c r="PXO5" s="390"/>
      <c r="PXP5" s="390"/>
      <c r="PXQ5" s="390"/>
      <c r="PXR5" s="390"/>
      <c r="PXS5" s="390"/>
      <c r="PXT5" s="390"/>
      <c r="PXU5" s="390"/>
      <c r="PXV5" s="390"/>
      <c r="PXW5" s="390"/>
      <c r="PXX5" s="390"/>
      <c r="PXY5" s="390"/>
      <c r="PXZ5" s="390"/>
      <c r="PYA5" s="390"/>
      <c r="PYB5" s="390"/>
      <c r="PYC5" s="390"/>
      <c r="PYD5" s="390"/>
      <c r="PYE5" s="390"/>
      <c r="PYF5" s="390"/>
      <c r="PYG5" s="390"/>
      <c r="PYH5" s="390"/>
      <c r="PYI5" s="390"/>
      <c r="PYJ5" s="390"/>
      <c r="PYK5" s="390"/>
      <c r="PYL5" s="390"/>
      <c r="PYM5" s="390"/>
      <c r="PYN5" s="390"/>
      <c r="PYO5" s="390"/>
      <c r="PYP5" s="390"/>
      <c r="PYQ5" s="390"/>
      <c r="PYR5" s="390"/>
      <c r="PYS5" s="390"/>
      <c r="PYT5" s="390"/>
      <c r="PYU5" s="390"/>
      <c r="PYV5" s="390"/>
      <c r="PYW5" s="390"/>
      <c r="PYX5" s="390"/>
      <c r="PYY5" s="390"/>
      <c r="PYZ5" s="390"/>
      <c r="PZA5" s="390"/>
      <c r="PZB5" s="390"/>
      <c r="PZC5" s="390"/>
      <c r="PZD5" s="390"/>
      <c r="PZE5" s="390"/>
      <c r="PZF5" s="390"/>
      <c r="PZG5" s="390"/>
      <c r="PZH5" s="390"/>
      <c r="PZI5" s="390"/>
      <c r="PZJ5" s="390"/>
      <c r="PZK5" s="390"/>
      <c r="PZL5" s="390"/>
      <c r="PZM5" s="390"/>
      <c r="PZN5" s="390"/>
      <c r="PZO5" s="390"/>
      <c r="PZP5" s="390"/>
      <c r="PZQ5" s="390"/>
      <c r="PZR5" s="390"/>
      <c r="PZS5" s="390"/>
      <c r="PZT5" s="390"/>
      <c r="PZU5" s="390"/>
      <c r="PZV5" s="390"/>
      <c r="PZW5" s="390"/>
      <c r="PZX5" s="390"/>
      <c r="PZY5" s="390"/>
      <c r="PZZ5" s="390"/>
      <c r="QAA5" s="390"/>
      <c r="QAB5" s="390"/>
      <c r="QAC5" s="390"/>
      <c r="QAD5" s="390"/>
      <c r="QAE5" s="390"/>
      <c r="QAF5" s="390"/>
      <c r="QAG5" s="390"/>
      <c r="QAH5" s="390"/>
      <c r="QAI5" s="390"/>
      <c r="QAJ5" s="390"/>
      <c r="QAK5" s="390"/>
      <c r="QAL5" s="390"/>
      <c r="QAM5" s="390"/>
      <c r="QAN5" s="390"/>
      <c r="QAO5" s="390"/>
      <c r="QAP5" s="390"/>
      <c r="QAQ5" s="390"/>
      <c r="QAR5" s="390"/>
      <c r="QAS5" s="390"/>
      <c r="QAT5" s="390"/>
      <c r="QAU5" s="390"/>
      <c r="QAV5" s="390"/>
      <c r="QAW5" s="390"/>
      <c r="QAX5" s="390"/>
      <c r="QAY5" s="390"/>
      <c r="QAZ5" s="390"/>
      <c r="QBA5" s="390"/>
      <c r="QBB5" s="390"/>
      <c r="QBC5" s="390"/>
      <c r="QBD5" s="390"/>
      <c r="QBE5" s="390"/>
      <c r="QBF5" s="390"/>
      <c r="QBG5" s="390"/>
      <c r="QBH5" s="390"/>
      <c r="QBI5" s="390"/>
      <c r="QBJ5" s="390"/>
      <c r="QBK5" s="390"/>
      <c r="QBL5" s="390"/>
      <c r="QBM5" s="390"/>
      <c r="QBN5" s="390"/>
      <c r="QBO5" s="390"/>
      <c r="QBP5" s="390"/>
      <c r="QBQ5" s="390"/>
      <c r="QBR5" s="390"/>
      <c r="QBS5" s="390"/>
      <c r="QBT5" s="390"/>
      <c r="QBU5" s="390"/>
      <c r="QBV5" s="390"/>
      <c r="QBW5" s="390"/>
      <c r="QBX5" s="390"/>
      <c r="QBY5" s="390"/>
      <c r="QBZ5" s="390"/>
      <c r="QCA5" s="390"/>
      <c r="QCB5" s="390"/>
      <c r="QCC5" s="390"/>
      <c r="QCD5" s="390"/>
      <c r="QCE5" s="390"/>
      <c r="QCF5" s="390"/>
      <c r="QCG5" s="390"/>
      <c r="QCH5" s="390"/>
      <c r="QCI5" s="390"/>
      <c r="QCJ5" s="390"/>
      <c r="QCK5" s="390"/>
      <c r="QCL5" s="390"/>
      <c r="QCM5" s="390"/>
      <c r="QCN5" s="390"/>
      <c r="QCO5" s="390"/>
      <c r="QCP5" s="390"/>
      <c r="QCQ5" s="390"/>
      <c r="QCR5" s="390"/>
      <c r="QCS5" s="390"/>
      <c r="QCT5" s="390"/>
      <c r="QCU5" s="390"/>
      <c r="QCV5" s="390"/>
      <c r="QCW5" s="390"/>
      <c r="QCX5" s="390"/>
      <c r="QCY5" s="390"/>
      <c r="QCZ5" s="390"/>
      <c r="QDA5" s="390"/>
      <c r="QDB5" s="390"/>
      <c r="QDC5" s="390"/>
      <c r="QDD5" s="390"/>
      <c r="QDE5" s="390"/>
      <c r="QDF5" s="390"/>
      <c r="QDG5" s="390"/>
      <c r="QDH5" s="390"/>
      <c r="QDI5" s="390"/>
      <c r="QDJ5" s="390"/>
      <c r="QDK5" s="390"/>
      <c r="QDL5" s="390"/>
      <c r="QDM5" s="390"/>
      <c r="QDN5" s="390"/>
      <c r="QDO5" s="390"/>
      <c r="QDP5" s="390"/>
      <c r="QDQ5" s="390"/>
      <c r="QDR5" s="390"/>
      <c r="QDS5" s="390"/>
      <c r="QDT5" s="390"/>
      <c r="QDU5" s="390"/>
      <c r="QDV5" s="390"/>
      <c r="QDW5" s="390"/>
      <c r="QDX5" s="390"/>
      <c r="QDY5" s="390"/>
      <c r="QDZ5" s="390"/>
      <c r="QEA5" s="390"/>
      <c r="QEB5" s="390"/>
      <c r="QEC5" s="390"/>
      <c r="QED5" s="390"/>
      <c r="QEE5" s="390"/>
      <c r="QEF5" s="390"/>
      <c r="QEG5" s="390"/>
      <c r="QEH5" s="390"/>
      <c r="QEI5" s="390"/>
      <c r="QEJ5" s="390"/>
      <c r="QEK5" s="390"/>
      <c r="QEL5" s="390"/>
      <c r="QEM5" s="390"/>
      <c r="QEN5" s="390"/>
      <c r="QEO5" s="390"/>
      <c r="QEP5" s="390"/>
      <c r="QEQ5" s="390"/>
      <c r="QER5" s="390"/>
      <c r="QES5" s="390"/>
      <c r="QET5" s="390"/>
      <c r="QEU5" s="390"/>
      <c r="QEV5" s="390"/>
      <c r="QEW5" s="390"/>
      <c r="QEX5" s="390"/>
      <c r="QEY5" s="390"/>
      <c r="QEZ5" s="390"/>
      <c r="QFA5" s="390"/>
      <c r="QFB5" s="390"/>
      <c r="QFC5" s="390"/>
      <c r="QFD5" s="390"/>
      <c r="QFE5" s="390"/>
      <c r="QFF5" s="390"/>
      <c r="QFG5" s="390"/>
      <c r="QFH5" s="390"/>
      <c r="QFI5" s="390"/>
      <c r="QFJ5" s="390"/>
      <c r="QFK5" s="390"/>
      <c r="QFL5" s="390"/>
      <c r="QFM5" s="390"/>
      <c r="QFN5" s="390"/>
      <c r="QFO5" s="390"/>
      <c r="QFP5" s="390"/>
      <c r="QFQ5" s="390"/>
      <c r="QFR5" s="390"/>
      <c r="QFS5" s="390"/>
      <c r="QFT5" s="390"/>
      <c r="QFU5" s="390"/>
      <c r="QFV5" s="390"/>
      <c r="QFW5" s="390"/>
      <c r="QFX5" s="390"/>
      <c r="QFY5" s="390"/>
      <c r="QFZ5" s="390"/>
      <c r="QGA5" s="390"/>
      <c r="QGB5" s="390"/>
      <c r="QGC5" s="390"/>
      <c r="QGD5" s="390"/>
      <c r="QGE5" s="390"/>
      <c r="QGF5" s="390"/>
      <c r="QGG5" s="390"/>
      <c r="QGH5" s="390"/>
      <c r="QGI5" s="390"/>
      <c r="QGJ5" s="390"/>
      <c r="QGK5" s="390"/>
      <c r="QGL5" s="390"/>
      <c r="QGM5" s="390"/>
      <c r="QGN5" s="390"/>
      <c r="QGO5" s="390"/>
      <c r="QGP5" s="390"/>
      <c r="QGQ5" s="390"/>
      <c r="QGR5" s="390"/>
      <c r="QGS5" s="390"/>
      <c r="QGT5" s="390"/>
      <c r="QGU5" s="390"/>
      <c r="QGV5" s="390"/>
      <c r="QGW5" s="390"/>
      <c r="QGX5" s="390"/>
      <c r="QGY5" s="390"/>
      <c r="QGZ5" s="390"/>
      <c r="QHA5" s="390"/>
      <c r="QHB5" s="390"/>
      <c r="QHC5" s="390"/>
      <c r="QHD5" s="390"/>
      <c r="QHE5" s="390"/>
      <c r="QHF5" s="390"/>
      <c r="QHG5" s="390"/>
      <c r="QHH5" s="390"/>
      <c r="QHI5" s="390"/>
      <c r="QHJ5" s="390"/>
      <c r="QHK5" s="390"/>
      <c r="QHL5" s="390"/>
      <c r="QHM5" s="390"/>
      <c r="QHN5" s="390"/>
      <c r="QHO5" s="390"/>
      <c r="QHP5" s="390"/>
      <c r="QHQ5" s="390"/>
      <c r="QHR5" s="390"/>
      <c r="QHS5" s="390"/>
      <c r="QHT5" s="390"/>
      <c r="QHU5" s="390"/>
      <c r="QHV5" s="390"/>
      <c r="QHW5" s="390"/>
      <c r="QHX5" s="390"/>
      <c r="QHY5" s="390"/>
      <c r="QHZ5" s="390"/>
      <c r="QIA5" s="390"/>
      <c r="QIB5" s="390"/>
      <c r="QIC5" s="390"/>
      <c r="QID5" s="390"/>
      <c r="QIE5" s="390"/>
      <c r="QIF5" s="390"/>
      <c r="QIG5" s="390"/>
      <c r="QIH5" s="390"/>
      <c r="QII5" s="390"/>
      <c r="QIJ5" s="390"/>
      <c r="QIK5" s="390"/>
      <c r="QIL5" s="390"/>
      <c r="QIM5" s="390"/>
      <c r="QIN5" s="390"/>
      <c r="QIO5" s="390"/>
      <c r="QIP5" s="390"/>
      <c r="QIQ5" s="390"/>
      <c r="QIR5" s="390"/>
      <c r="QIS5" s="390"/>
      <c r="QIT5" s="390"/>
      <c r="QIU5" s="390"/>
      <c r="QIV5" s="390"/>
      <c r="QIW5" s="390"/>
      <c r="QIX5" s="390"/>
      <c r="QIY5" s="390"/>
      <c r="QIZ5" s="390"/>
      <c r="QJA5" s="390"/>
      <c r="QJB5" s="390"/>
      <c r="QJC5" s="390"/>
      <c r="QJD5" s="390"/>
      <c r="QJE5" s="390"/>
      <c r="QJF5" s="390"/>
      <c r="QJG5" s="390"/>
      <c r="QJH5" s="390"/>
      <c r="QJI5" s="390"/>
      <c r="QJJ5" s="390"/>
      <c r="QJK5" s="390"/>
      <c r="QJL5" s="390"/>
      <c r="QJM5" s="390"/>
      <c r="QJN5" s="390"/>
      <c r="QJO5" s="390"/>
      <c r="QJP5" s="390"/>
      <c r="QJQ5" s="390"/>
      <c r="QJR5" s="390"/>
      <c r="QJS5" s="390"/>
      <c r="QJT5" s="390"/>
      <c r="QJU5" s="390"/>
      <c r="QJV5" s="390"/>
      <c r="QJW5" s="390"/>
      <c r="QJX5" s="390"/>
      <c r="QJY5" s="390"/>
      <c r="QJZ5" s="390"/>
      <c r="QKA5" s="390"/>
      <c r="QKB5" s="390"/>
      <c r="QKC5" s="390"/>
      <c r="QKD5" s="390"/>
      <c r="QKE5" s="390"/>
      <c r="QKF5" s="390"/>
      <c r="QKG5" s="390"/>
      <c r="QKH5" s="390"/>
      <c r="QKI5" s="390"/>
      <c r="QKJ5" s="390"/>
      <c r="QKK5" s="390"/>
      <c r="QKL5" s="390"/>
      <c r="QKM5" s="390"/>
      <c r="QKN5" s="390"/>
      <c r="QKO5" s="390"/>
      <c r="QKP5" s="390"/>
      <c r="QKQ5" s="390"/>
      <c r="QKR5" s="390"/>
      <c r="QKS5" s="390"/>
      <c r="QKT5" s="390"/>
      <c r="QKU5" s="390"/>
      <c r="QKV5" s="390"/>
      <c r="QKW5" s="390"/>
      <c r="QKX5" s="390"/>
      <c r="QKY5" s="390"/>
      <c r="QKZ5" s="390"/>
      <c r="QLA5" s="390"/>
      <c r="QLB5" s="390"/>
      <c r="QLC5" s="390"/>
      <c r="QLD5" s="390"/>
      <c r="QLE5" s="390"/>
      <c r="QLF5" s="390"/>
      <c r="QLG5" s="390"/>
      <c r="QLH5" s="390"/>
      <c r="QLI5" s="390"/>
      <c r="QLJ5" s="390"/>
      <c r="QLK5" s="390"/>
      <c r="QLL5" s="390"/>
      <c r="QLM5" s="390"/>
      <c r="QLN5" s="390"/>
      <c r="QLO5" s="390"/>
      <c r="QLP5" s="390"/>
      <c r="QLQ5" s="390"/>
      <c r="QLR5" s="390"/>
      <c r="QLS5" s="390"/>
      <c r="QLT5" s="390"/>
      <c r="QLU5" s="390"/>
      <c r="QLV5" s="390"/>
      <c r="QLW5" s="390"/>
      <c r="QLX5" s="390"/>
      <c r="QLY5" s="390"/>
      <c r="QLZ5" s="390"/>
      <c r="QMA5" s="390"/>
      <c r="QMB5" s="390"/>
      <c r="QMC5" s="390"/>
      <c r="QMD5" s="390"/>
      <c r="QME5" s="390"/>
      <c r="QMF5" s="390"/>
      <c r="QMG5" s="390"/>
      <c r="QMH5" s="390"/>
      <c r="QMI5" s="390"/>
      <c r="QMJ5" s="390"/>
      <c r="QMK5" s="390"/>
      <c r="QML5" s="390"/>
      <c r="QMM5" s="390"/>
      <c r="QMN5" s="390"/>
      <c r="QMO5" s="390"/>
      <c r="QMP5" s="390"/>
      <c r="QMQ5" s="390"/>
      <c r="QMR5" s="390"/>
      <c r="QMS5" s="390"/>
      <c r="QMT5" s="390"/>
      <c r="QMU5" s="390"/>
      <c r="QMV5" s="390"/>
      <c r="QMW5" s="390"/>
      <c r="QMX5" s="390"/>
      <c r="QMY5" s="390"/>
      <c r="QMZ5" s="390"/>
      <c r="QNA5" s="390"/>
      <c r="QNB5" s="390"/>
      <c r="QNC5" s="390"/>
      <c r="QND5" s="390"/>
      <c r="QNE5" s="390"/>
      <c r="QNF5" s="390"/>
      <c r="QNG5" s="390"/>
      <c r="QNH5" s="390"/>
      <c r="QNI5" s="390"/>
      <c r="QNJ5" s="390"/>
      <c r="QNK5" s="390"/>
      <c r="QNL5" s="390"/>
      <c r="QNM5" s="390"/>
      <c r="QNN5" s="390"/>
      <c r="QNO5" s="390"/>
      <c r="QNP5" s="390"/>
      <c r="QNQ5" s="390"/>
      <c r="QNR5" s="390"/>
      <c r="QNS5" s="390"/>
      <c r="QNT5" s="390"/>
      <c r="QNU5" s="390"/>
      <c r="QNV5" s="390"/>
      <c r="QNW5" s="390"/>
      <c r="QNX5" s="390"/>
      <c r="QNY5" s="390"/>
      <c r="QNZ5" s="390"/>
      <c r="QOA5" s="390"/>
      <c r="QOB5" s="390"/>
      <c r="QOC5" s="390"/>
      <c r="QOD5" s="390"/>
      <c r="QOE5" s="390"/>
      <c r="QOF5" s="390"/>
      <c r="QOG5" s="390"/>
      <c r="QOH5" s="390"/>
      <c r="QOI5" s="390"/>
      <c r="QOJ5" s="390"/>
      <c r="QOK5" s="390"/>
      <c r="QOL5" s="390"/>
      <c r="QOM5" s="390"/>
      <c r="QON5" s="390"/>
      <c r="QOO5" s="390"/>
      <c r="QOP5" s="390"/>
      <c r="QOQ5" s="390"/>
      <c r="QOR5" s="390"/>
      <c r="QOS5" s="390"/>
      <c r="QOT5" s="390"/>
      <c r="QOU5" s="390"/>
      <c r="QOV5" s="390"/>
      <c r="QOW5" s="390"/>
      <c r="QOX5" s="390"/>
      <c r="QOY5" s="390"/>
      <c r="QOZ5" s="390"/>
      <c r="QPA5" s="390"/>
      <c r="QPB5" s="390"/>
      <c r="QPC5" s="390"/>
      <c r="QPD5" s="390"/>
      <c r="QPE5" s="390"/>
      <c r="QPF5" s="390"/>
      <c r="QPG5" s="390"/>
      <c r="QPH5" s="390"/>
      <c r="QPI5" s="390"/>
      <c r="QPJ5" s="390"/>
      <c r="QPK5" s="390"/>
      <c r="QPL5" s="390"/>
      <c r="QPM5" s="390"/>
      <c r="QPN5" s="390"/>
      <c r="QPO5" s="390"/>
      <c r="QPP5" s="390"/>
      <c r="QPQ5" s="390"/>
      <c r="QPR5" s="390"/>
      <c r="QPS5" s="390"/>
      <c r="QPT5" s="390"/>
      <c r="QPU5" s="390"/>
      <c r="QPV5" s="390"/>
      <c r="QPW5" s="390"/>
      <c r="QPX5" s="390"/>
      <c r="QPY5" s="390"/>
      <c r="QPZ5" s="390"/>
      <c r="QQA5" s="390"/>
      <c r="QQB5" s="390"/>
      <c r="QQC5" s="390"/>
      <c r="QQD5" s="390"/>
      <c r="QQE5" s="390"/>
      <c r="QQF5" s="390"/>
      <c r="QQG5" s="390"/>
      <c r="QQH5" s="390"/>
      <c r="QQI5" s="390"/>
      <c r="QQJ5" s="390"/>
      <c r="QQK5" s="390"/>
      <c r="QQL5" s="390"/>
      <c r="QQM5" s="390"/>
      <c r="QQN5" s="390"/>
      <c r="QQO5" s="390"/>
      <c r="QQP5" s="390"/>
      <c r="QQQ5" s="390"/>
      <c r="QQR5" s="390"/>
      <c r="QQS5" s="390"/>
      <c r="QQT5" s="390"/>
      <c r="QQU5" s="390"/>
      <c r="QQV5" s="390"/>
      <c r="QQW5" s="390"/>
      <c r="QQX5" s="390"/>
      <c r="QQY5" s="390"/>
      <c r="QQZ5" s="390"/>
      <c r="QRA5" s="390"/>
      <c r="QRB5" s="390"/>
      <c r="QRC5" s="390"/>
      <c r="QRD5" s="390"/>
      <c r="QRE5" s="390"/>
      <c r="QRF5" s="390"/>
      <c r="QRG5" s="390"/>
      <c r="QRH5" s="390"/>
      <c r="QRI5" s="390"/>
      <c r="QRJ5" s="390"/>
      <c r="QRK5" s="390"/>
      <c r="QRL5" s="390"/>
      <c r="QRM5" s="390"/>
      <c r="QRN5" s="390"/>
      <c r="QRO5" s="390"/>
      <c r="QRP5" s="390"/>
      <c r="QRQ5" s="390"/>
      <c r="QRR5" s="390"/>
      <c r="QRS5" s="390"/>
      <c r="QRT5" s="390"/>
      <c r="QRU5" s="390"/>
      <c r="QRV5" s="390"/>
      <c r="QRW5" s="390"/>
      <c r="QRX5" s="390"/>
      <c r="QRY5" s="390"/>
      <c r="QRZ5" s="390"/>
      <c r="QSA5" s="390"/>
      <c r="QSB5" s="390"/>
      <c r="QSC5" s="390"/>
      <c r="QSD5" s="390"/>
      <c r="QSE5" s="390"/>
      <c r="QSF5" s="390"/>
      <c r="QSG5" s="390"/>
      <c r="QSH5" s="390"/>
      <c r="QSI5" s="390"/>
      <c r="QSJ5" s="390"/>
      <c r="QSK5" s="390"/>
      <c r="QSL5" s="390"/>
      <c r="QSM5" s="390"/>
      <c r="QSN5" s="390"/>
      <c r="QSO5" s="390"/>
      <c r="QSP5" s="390"/>
      <c r="QSQ5" s="390"/>
      <c r="QSR5" s="390"/>
      <c r="QSS5" s="390"/>
      <c r="QST5" s="390"/>
      <c r="QSU5" s="390"/>
      <c r="QSV5" s="390"/>
      <c r="QSW5" s="390"/>
      <c r="QSX5" s="390"/>
      <c r="QSY5" s="390"/>
      <c r="QSZ5" s="390"/>
      <c r="QTA5" s="390"/>
      <c r="QTB5" s="390"/>
      <c r="QTC5" s="390"/>
      <c r="QTD5" s="390"/>
      <c r="QTE5" s="390"/>
      <c r="QTF5" s="390"/>
      <c r="QTG5" s="390"/>
      <c r="QTH5" s="390"/>
      <c r="QTI5" s="390"/>
      <c r="QTJ5" s="390"/>
      <c r="QTK5" s="390"/>
      <c r="QTL5" s="390"/>
      <c r="QTM5" s="390"/>
      <c r="QTN5" s="390"/>
      <c r="QTO5" s="390"/>
      <c r="QTP5" s="390"/>
      <c r="QTQ5" s="390"/>
      <c r="QTR5" s="390"/>
      <c r="QTS5" s="390"/>
      <c r="QTT5" s="390"/>
      <c r="QTU5" s="390"/>
      <c r="QTV5" s="390"/>
      <c r="QTW5" s="390"/>
      <c r="QTX5" s="390"/>
      <c r="QTY5" s="390"/>
      <c r="QTZ5" s="390"/>
      <c r="QUA5" s="390"/>
      <c r="QUB5" s="390"/>
      <c r="QUC5" s="390"/>
      <c r="QUD5" s="390"/>
      <c r="QUE5" s="390"/>
      <c r="QUF5" s="390"/>
      <c r="QUG5" s="390"/>
      <c r="QUH5" s="390"/>
      <c r="QUI5" s="390"/>
      <c r="QUJ5" s="390"/>
      <c r="QUK5" s="390"/>
      <c r="QUL5" s="390"/>
      <c r="QUM5" s="390"/>
      <c r="QUN5" s="390"/>
      <c r="QUO5" s="390"/>
      <c r="QUP5" s="390"/>
      <c r="QUQ5" s="390"/>
      <c r="QUR5" s="390"/>
      <c r="QUS5" s="390"/>
      <c r="QUT5" s="390"/>
      <c r="QUU5" s="390"/>
      <c r="QUV5" s="390"/>
      <c r="QUW5" s="390"/>
      <c r="QUX5" s="390"/>
      <c r="QUY5" s="390"/>
      <c r="QUZ5" s="390"/>
      <c r="QVA5" s="390"/>
      <c r="QVB5" s="390"/>
      <c r="QVC5" s="390"/>
      <c r="QVD5" s="390"/>
      <c r="QVE5" s="390"/>
      <c r="QVF5" s="390"/>
      <c r="QVG5" s="390"/>
      <c r="QVH5" s="390"/>
      <c r="QVI5" s="390"/>
      <c r="QVJ5" s="390"/>
      <c r="QVK5" s="390"/>
      <c r="QVL5" s="390"/>
      <c r="QVM5" s="390"/>
      <c r="QVN5" s="390"/>
      <c r="QVO5" s="390"/>
      <c r="QVP5" s="390"/>
      <c r="QVQ5" s="390"/>
      <c r="QVR5" s="390"/>
      <c r="QVS5" s="390"/>
      <c r="QVT5" s="390"/>
      <c r="QVU5" s="390"/>
      <c r="QVV5" s="390"/>
      <c r="QVW5" s="390"/>
      <c r="QVX5" s="390"/>
      <c r="QVY5" s="390"/>
      <c r="QVZ5" s="390"/>
      <c r="QWA5" s="390"/>
      <c r="QWB5" s="390"/>
      <c r="QWC5" s="390"/>
      <c r="QWD5" s="390"/>
      <c r="QWE5" s="390"/>
      <c r="QWF5" s="390"/>
      <c r="QWG5" s="390"/>
      <c r="QWH5" s="390"/>
      <c r="QWI5" s="390"/>
      <c r="QWJ5" s="390"/>
      <c r="QWK5" s="390"/>
      <c r="QWL5" s="390"/>
      <c r="QWM5" s="390"/>
      <c r="QWN5" s="390"/>
      <c r="QWO5" s="390"/>
      <c r="QWP5" s="390"/>
      <c r="QWQ5" s="390"/>
      <c r="QWR5" s="390"/>
      <c r="QWS5" s="390"/>
      <c r="QWT5" s="390"/>
      <c r="QWU5" s="390"/>
      <c r="QWV5" s="390"/>
      <c r="QWW5" s="390"/>
      <c r="QWX5" s="390"/>
      <c r="QWY5" s="390"/>
      <c r="QWZ5" s="390"/>
      <c r="QXA5" s="390"/>
      <c r="QXB5" s="390"/>
      <c r="QXC5" s="390"/>
      <c r="QXD5" s="390"/>
      <c r="QXE5" s="390"/>
      <c r="QXF5" s="390"/>
      <c r="QXG5" s="390"/>
      <c r="QXH5" s="390"/>
      <c r="QXI5" s="390"/>
      <c r="QXJ5" s="390"/>
      <c r="QXK5" s="390"/>
      <c r="QXL5" s="390"/>
      <c r="QXM5" s="390"/>
      <c r="QXN5" s="390"/>
      <c r="QXO5" s="390"/>
      <c r="QXP5" s="390"/>
      <c r="QXQ5" s="390"/>
      <c r="QXR5" s="390"/>
      <c r="QXS5" s="390"/>
      <c r="QXT5" s="390"/>
      <c r="QXU5" s="390"/>
      <c r="QXV5" s="390"/>
      <c r="QXW5" s="390"/>
      <c r="QXX5" s="390"/>
      <c r="QXY5" s="390"/>
      <c r="QXZ5" s="390"/>
      <c r="QYA5" s="390"/>
      <c r="QYB5" s="390"/>
      <c r="QYC5" s="390"/>
      <c r="QYD5" s="390"/>
      <c r="QYE5" s="390"/>
      <c r="QYF5" s="390"/>
      <c r="QYG5" s="390"/>
      <c r="QYH5" s="390"/>
      <c r="QYI5" s="390"/>
      <c r="QYJ5" s="390"/>
      <c r="QYK5" s="390"/>
      <c r="QYL5" s="390"/>
      <c r="QYM5" s="390"/>
      <c r="QYN5" s="390"/>
      <c r="QYO5" s="390"/>
      <c r="QYP5" s="390"/>
      <c r="QYQ5" s="390"/>
      <c r="QYR5" s="390"/>
      <c r="QYS5" s="390"/>
      <c r="QYT5" s="390"/>
      <c r="QYU5" s="390"/>
      <c r="QYV5" s="390"/>
      <c r="QYW5" s="390"/>
      <c r="QYX5" s="390"/>
      <c r="QYY5" s="390"/>
      <c r="QYZ5" s="390"/>
      <c r="QZA5" s="390"/>
      <c r="QZB5" s="390"/>
      <c r="QZC5" s="390"/>
      <c r="QZD5" s="390"/>
      <c r="QZE5" s="390"/>
      <c r="QZF5" s="390"/>
      <c r="QZG5" s="390"/>
      <c r="QZH5" s="390"/>
      <c r="QZI5" s="390"/>
      <c r="QZJ5" s="390"/>
      <c r="QZK5" s="390"/>
      <c r="QZL5" s="390"/>
      <c r="QZM5" s="390"/>
      <c r="QZN5" s="390"/>
      <c r="QZO5" s="390"/>
      <c r="QZP5" s="390"/>
      <c r="QZQ5" s="390"/>
      <c r="QZR5" s="390"/>
      <c r="QZS5" s="390"/>
      <c r="QZT5" s="390"/>
      <c r="QZU5" s="390"/>
      <c r="QZV5" s="390"/>
      <c r="QZW5" s="390"/>
      <c r="QZX5" s="390"/>
      <c r="QZY5" s="390"/>
      <c r="QZZ5" s="390"/>
      <c r="RAA5" s="390"/>
      <c r="RAB5" s="390"/>
      <c r="RAC5" s="390"/>
      <c r="RAD5" s="390"/>
      <c r="RAE5" s="390"/>
      <c r="RAF5" s="390"/>
      <c r="RAG5" s="390"/>
      <c r="RAH5" s="390"/>
      <c r="RAI5" s="390"/>
      <c r="RAJ5" s="390"/>
      <c r="RAK5" s="390"/>
      <c r="RAL5" s="390"/>
      <c r="RAM5" s="390"/>
      <c r="RAN5" s="390"/>
      <c r="RAO5" s="390"/>
      <c r="RAP5" s="390"/>
      <c r="RAQ5" s="390"/>
      <c r="RAR5" s="390"/>
      <c r="RAS5" s="390"/>
      <c r="RAT5" s="390"/>
      <c r="RAU5" s="390"/>
      <c r="RAV5" s="390"/>
      <c r="RAW5" s="390"/>
      <c r="RAX5" s="390"/>
      <c r="RAY5" s="390"/>
      <c r="RAZ5" s="390"/>
      <c r="RBA5" s="390"/>
      <c r="RBB5" s="390"/>
      <c r="RBC5" s="390"/>
      <c r="RBD5" s="390"/>
      <c r="RBE5" s="390"/>
      <c r="RBF5" s="390"/>
      <c r="RBG5" s="390"/>
      <c r="RBH5" s="390"/>
      <c r="RBI5" s="390"/>
      <c r="RBJ5" s="390"/>
      <c r="RBK5" s="390"/>
      <c r="RBL5" s="390"/>
      <c r="RBM5" s="390"/>
      <c r="RBN5" s="390"/>
      <c r="RBO5" s="390"/>
      <c r="RBP5" s="390"/>
      <c r="RBQ5" s="390"/>
      <c r="RBR5" s="390"/>
      <c r="RBS5" s="390"/>
      <c r="RBT5" s="390"/>
      <c r="RBU5" s="390"/>
      <c r="RBV5" s="390"/>
      <c r="RBW5" s="390"/>
      <c r="RBX5" s="390"/>
      <c r="RBY5" s="390"/>
      <c r="RBZ5" s="390"/>
      <c r="RCA5" s="390"/>
      <c r="RCB5" s="390"/>
      <c r="RCC5" s="390"/>
      <c r="RCD5" s="390"/>
      <c r="RCE5" s="390"/>
      <c r="RCF5" s="390"/>
      <c r="RCG5" s="390"/>
      <c r="RCH5" s="390"/>
      <c r="RCI5" s="390"/>
      <c r="RCJ5" s="390"/>
      <c r="RCK5" s="390"/>
      <c r="RCL5" s="390"/>
      <c r="RCM5" s="390"/>
      <c r="RCN5" s="390"/>
      <c r="RCO5" s="390"/>
      <c r="RCP5" s="390"/>
      <c r="RCQ5" s="390"/>
      <c r="RCR5" s="390"/>
      <c r="RCS5" s="390"/>
      <c r="RCT5" s="390"/>
      <c r="RCU5" s="390"/>
      <c r="RCV5" s="390"/>
      <c r="RCW5" s="390"/>
      <c r="RCX5" s="390"/>
      <c r="RCY5" s="390"/>
      <c r="RCZ5" s="390"/>
      <c r="RDA5" s="390"/>
      <c r="RDB5" s="390"/>
      <c r="RDC5" s="390"/>
      <c r="RDD5" s="390"/>
      <c r="RDE5" s="390"/>
      <c r="RDF5" s="390"/>
      <c r="RDG5" s="390"/>
      <c r="RDH5" s="390"/>
      <c r="RDI5" s="390"/>
      <c r="RDJ5" s="390"/>
      <c r="RDK5" s="390"/>
      <c r="RDL5" s="390"/>
      <c r="RDM5" s="390"/>
      <c r="RDN5" s="390"/>
      <c r="RDO5" s="390"/>
      <c r="RDP5" s="390"/>
      <c r="RDQ5" s="390"/>
      <c r="RDR5" s="390"/>
      <c r="RDS5" s="390"/>
      <c r="RDT5" s="390"/>
      <c r="RDU5" s="390"/>
      <c r="RDV5" s="390"/>
      <c r="RDW5" s="390"/>
      <c r="RDX5" s="390"/>
      <c r="RDY5" s="390"/>
      <c r="RDZ5" s="390"/>
      <c r="REA5" s="390"/>
      <c r="REB5" s="390"/>
      <c r="REC5" s="390"/>
      <c r="RED5" s="390"/>
      <c r="REE5" s="390"/>
      <c r="REF5" s="390"/>
      <c r="REG5" s="390"/>
      <c r="REH5" s="390"/>
      <c r="REI5" s="390"/>
      <c r="REJ5" s="390"/>
      <c r="REK5" s="390"/>
      <c r="REL5" s="390"/>
      <c r="REM5" s="390"/>
      <c r="REN5" s="390"/>
      <c r="REO5" s="390"/>
      <c r="REP5" s="390"/>
      <c r="REQ5" s="390"/>
      <c r="RER5" s="390"/>
      <c r="RES5" s="390"/>
      <c r="RET5" s="390"/>
      <c r="REU5" s="390"/>
      <c r="REV5" s="390"/>
      <c r="REW5" s="390"/>
      <c r="REX5" s="390"/>
      <c r="REY5" s="390"/>
      <c r="REZ5" s="390"/>
      <c r="RFA5" s="390"/>
      <c r="RFB5" s="390"/>
      <c r="RFC5" s="390"/>
      <c r="RFD5" s="390"/>
      <c r="RFE5" s="390"/>
      <c r="RFF5" s="390"/>
      <c r="RFG5" s="390"/>
      <c r="RFH5" s="390"/>
      <c r="RFI5" s="390"/>
      <c r="RFJ5" s="390"/>
      <c r="RFK5" s="390"/>
      <c r="RFL5" s="390"/>
      <c r="RFM5" s="390"/>
      <c r="RFN5" s="390"/>
      <c r="RFO5" s="390"/>
      <c r="RFP5" s="390"/>
      <c r="RFQ5" s="390"/>
      <c r="RFR5" s="390"/>
      <c r="RFS5" s="390"/>
      <c r="RFT5" s="390"/>
      <c r="RFU5" s="390"/>
      <c r="RFV5" s="390"/>
      <c r="RFW5" s="390"/>
      <c r="RFX5" s="390"/>
      <c r="RFY5" s="390"/>
      <c r="RFZ5" s="390"/>
      <c r="RGA5" s="390"/>
      <c r="RGB5" s="390"/>
      <c r="RGC5" s="390"/>
      <c r="RGD5" s="390"/>
      <c r="RGE5" s="390"/>
      <c r="RGF5" s="390"/>
      <c r="RGG5" s="390"/>
      <c r="RGH5" s="390"/>
      <c r="RGI5" s="390"/>
      <c r="RGJ5" s="390"/>
      <c r="RGK5" s="390"/>
      <c r="RGL5" s="390"/>
      <c r="RGM5" s="390"/>
      <c r="RGN5" s="390"/>
      <c r="RGO5" s="390"/>
      <c r="RGP5" s="390"/>
      <c r="RGQ5" s="390"/>
      <c r="RGR5" s="390"/>
      <c r="RGS5" s="390"/>
      <c r="RGT5" s="390"/>
      <c r="RGU5" s="390"/>
      <c r="RGV5" s="390"/>
      <c r="RGW5" s="390"/>
      <c r="RGX5" s="390"/>
      <c r="RGY5" s="390"/>
      <c r="RGZ5" s="390"/>
      <c r="RHA5" s="390"/>
      <c r="RHB5" s="390"/>
      <c r="RHC5" s="390"/>
      <c r="RHD5" s="390"/>
      <c r="RHE5" s="390"/>
      <c r="RHF5" s="390"/>
      <c r="RHG5" s="390"/>
      <c r="RHH5" s="390"/>
      <c r="RHI5" s="390"/>
      <c r="RHJ5" s="390"/>
      <c r="RHK5" s="390"/>
      <c r="RHL5" s="390"/>
      <c r="RHM5" s="390"/>
      <c r="RHN5" s="390"/>
      <c r="RHO5" s="390"/>
      <c r="RHP5" s="390"/>
      <c r="RHQ5" s="390"/>
      <c r="RHR5" s="390"/>
      <c r="RHS5" s="390"/>
      <c r="RHT5" s="390"/>
      <c r="RHU5" s="390"/>
      <c r="RHV5" s="390"/>
      <c r="RHW5" s="390"/>
      <c r="RHX5" s="390"/>
      <c r="RHY5" s="390"/>
      <c r="RHZ5" s="390"/>
      <c r="RIA5" s="390"/>
      <c r="RIB5" s="390"/>
      <c r="RIC5" s="390"/>
      <c r="RID5" s="390"/>
      <c r="RIE5" s="390"/>
      <c r="RIF5" s="390"/>
      <c r="RIG5" s="390"/>
      <c r="RIH5" s="390"/>
      <c r="RII5" s="390"/>
      <c r="RIJ5" s="390"/>
      <c r="RIK5" s="390"/>
      <c r="RIL5" s="390"/>
      <c r="RIM5" s="390"/>
      <c r="RIN5" s="390"/>
      <c r="RIO5" s="390"/>
      <c r="RIP5" s="390"/>
      <c r="RIQ5" s="390"/>
      <c r="RIR5" s="390"/>
      <c r="RIS5" s="390"/>
      <c r="RIT5" s="390"/>
      <c r="RIU5" s="390"/>
      <c r="RIV5" s="390"/>
      <c r="RIW5" s="390"/>
      <c r="RIX5" s="390"/>
      <c r="RIY5" s="390"/>
      <c r="RIZ5" s="390"/>
      <c r="RJA5" s="390"/>
      <c r="RJB5" s="390"/>
      <c r="RJC5" s="390"/>
      <c r="RJD5" s="390"/>
      <c r="RJE5" s="390"/>
      <c r="RJF5" s="390"/>
      <c r="RJG5" s="390"/>
      <c r="RJH5" s="390"/>
      <c r="RJI5" s="390"/>
      <c r="RJJ5" s="390"/>
      <c r="RJK5" s="390"/>
      <c r="RJL5" s="390"/>
      <c r="RJM5" s="390"/>
      <c r="RJN5" s="390"/>
      <c r="RJO5" s="390"/>
      <c r="RJP5" s="390"/>
      <c r="RJQ5" s="390"/>
      <c r="RJR5" s="390"/>
      <c r="RJS5" s="390"/>
      <c r="RJT5" s="390"/>
      <c r="RJU5" s="390"/>
      <c r="RJV5" s="390"/>
      <c r="RJW5" s="390"/>
      <c r="RJX5" s="390"/>
      <c r="RJY5" s="390"/>
      <c r="RJZ5" s="390"/>
      <c r="RKA5" s="390"/>
      <c r="RKB5" s="390"/>
      <c r="RKC5" s="390"/>
      <c r="RKD5" s="390"/>
      <c r="RKE5" s="390"/>
      <c r="RKF5" s="390"/>
      <c r="RKG5" s="390"/>
      <c r="RKH5" s="390"/>
      <c r="RKI5" s="390"/>
      <c r="RKJ5" s="390"/>
      <c r="RKK5" s="390"/>
      <c r="RKL5" s="390"/>
      <c r="RKM5" s="390"/>
      <c r="RKN5" s="390"/>
      <c r="RKO5" s="390"/>
      <c r="RKP5" s="390"/>
      <c r="RKQ5" s="390"/>
      <c r="RKR5" s="390"/>
      <c r="RKS5" s="390"/>
      <c r="RKT5" s="390"/>
      <c r="RKU5" s="390"/>
      <c r="RKV5" s="390"/>
      <c r="RKW5" s="390"/>
      <c r="RKX5" s="390"/>
      <c r="RKY5" s="390"/>
      <c r="RKZ5" s="390"/>
      <c r="RLA5" s="390"/>
      <c r="RLB5" s="390"/>
      <c r="RLC5" s="390"/>
      <c r="RLD5" s="390"/>
      <c r="RLE5" s="390"/>
      <c r="RLF5" s="390"/>
      <c r="RLG5" s="390"/>
      <c r="RLH5" s="390"/>
      <c r="RLI5" s="390"/>
      <c r="RLJ5" s="390"/>
      <c r="RLK5" s="390"/>
      <c r="RLL5" s="390"/>
      <c r="RLM5" s="390"/>
      <c r="RLN5" s="390"/>
      <c r="RLO5" s="390"/>
      <c r="RLP5" s="390"/>
      <c r="RLQ5" s="390"/>
      <c r="RLR5" s="390"/>
      <c r="RLS5" s="390"/>
      <c r="RLT5" s="390"/>
      <c r="RLU5" s="390"/>
      <c r="RLV5" s="390"/>
      <c r="RLW5" s="390"/>
      <c r="RLX5" s="390"/>
      <c r="RLY5" s="390"/>
      <c r="RLZ5" s="390"/>
      <c r="RMA5" s="390"/>
      <c r="RMB5" s="390"/>
      <c r="RMC5" s="390"/>
      <c r="RMD5" s="390"/>
      <c r="RME5" s="390"/>
      <c r="RMF5" s="390"/>
      <c r="RMG5" s="390"/>
      <c r="RMH5" s="390"/>
      <c r="RMI5" s="390"/>
      <c r="RMJ5" s="390"/>
      <c r="RMK5" s="390"/>
      <c r="RML5" s="390"/>
      <c r="RMM5" s="390"/>
      <c r="RMN5" s="390"/>
      <c r="RMO5" s="390"/>
      <c r="RMP5" s="390"/>
      <c r="RMQ5" s="390"/>
      <c r="RMR5" s="390"/>
      <c r="RMS5" s="390"/>
      <c r="RMT5" s="390"/>
      <c r="RMU5" s="390"/>
      <c r="RMV5" s="390"/>
      <c r="RMW5" s="390"/>
      <c r="RMX5" s="390"/>
      <c r="RMY5" s="390"/>
      <c r="RMZ5" s="390"/>
      <c r="RNA5" s="390"/>
      <c r="RNB5" s="390"/>
      <c r="RNC5" s="390"/>
      <c r="RND5" s="390"/>
      <c r="RNE5" s="390"/>
      <c r="RNF5" s="390"/>
      <c r="RNG5" s="390"/>
      <c r="RNH5" s="390"/>
      <c r="RNI5" s="390"/>
      <c r="RNJ5" s="390"/>
      <c r="RNK5" s="390"/>
      <c r="RNL5" s="390"/>
      <c r="RNM5" s="390"/>
      <c r="RNN5" s="390"/>
      <c r="RNO5" s="390"/>
      <c r="RNP5" s="390"/>
      <c r="RNQ5" s="390"/>
      <c r="RNR5" s="390"/>
      <c r="RNS5" s="390"/>
      <c r="RNT5" s="390"/>
      <c r="RNU5" s="390"/>
      <c r="RNV5" s="390"/>
      <c r="RNW5" s="390"/>
      <c r="RNX5" s="390"/>
      <c r="RNY5" s="390"/>
      <c r="RNZ5" s="390"/>
      <c r="ROA5" s="390"/>
      <c r="ROB5" s="390"/>
      <c r="ROC5" s="390"/>
      <c r="ROD5" s="390"/>
      <c r="ROE5" s="390"/>
      <c r="ROF5" s="390"/>
      <c r="ROG5" s="390"/>
      <c r="ROH5" s="390"/>
      <c r="ROI5" s="390"/>
      <c r="ROJ5" s="390"/>
      <c r="ROK5" s="390"/>
      <c r="ROL5" s="390"/>
      <c r="ROM5" s="390"/>
      <c r="RON5" s="390"/>
      <c r="ROO5" s="390"/>
      <c r="ROP5" s="390"/>
      <c r="ROQ5" s="390"/>
      <c r="ROR5" s="390"/>
      <c r="ROS5" s="390"/>
      <c r="ROT5" s="390"/>
      <c r="ROU5" s="390"/>
      <c r="ROV5" s="390"/>
      <c r="ROW5" s="390"/>
      <c r="ROX5" s="390"/>
      <c r="ROY5" s="390"/>
      <c r="ROZ5" s="390"/>
      <c r="RPA5" s="390"/>
      <c r="RPB5" s="390"/>
      <c r="RPC5" s="390"/>
      <c r="RPD5" s="390"/>
      <c r="RPE5" s="390"/>
      <c r="RPF5" s="390"/>
      <c r="RPG5" s="390"/>
      <c r="RPH5" s="390"/>
      <c r="RPI5" s="390"/>
      <c r="RPJ5" s="390"/>
      <c r="RPK5" s="390"/>
      <c r="RPL5" s="390"/>
      <c r="RPM5" s="390"/>
      <c r="RPN5" s="390"/>
      <c r="RPO5" s="390"/>
      <c r="RPP5" s="390"/>
      <c r="RPQ5" s="390"/>
      <c r="RPR5" s="390"/>
      <c r="RPS5" s="390"/>
      <c r="RPT5" s="390"/>
      <c r="RPU5" s="390"/>
      <c r="RPV5" s="390"/>
      <c r="RPW5" s="390"/>
      <c r="RPX5" s="390"/>
      <c r="RPY5" s="390"/>
      <c r="RPZ5" s="390"/>
      <c r="RQA5" s="390"/>
      <c r="RQB5" s="390"/>
      <c r="RQC5" s="390"/>
      <c r="RQD5" s="390"/>
      <c r="RQE5" s="390"/>
      <c r="RQF5" s="390"/>
      <c r="RQG5" s="390"/>
      <c r="RQH5" s="390"/>
      <c r="RQI5" s="390"/>
      <c r="RQJ5" s="390"/>
      <c r="RQK5" s="390"/>
      <c r="RQL5" s="390"/>
      <c r="RQM5" s="390"/>
      <c r="RQN5" s="390"/>
      <c r="RQO5" s="390"/>
      <c r="RQP5" s="390"/>
      <c r="RQQ5" s="390"/>
      <c r="RQR5" s="390"/>
      <c r="RQS5" s="390"/>
      <c r="RQT5" s="390"/>
      <c r="RQU5" s="390"/>
      <c r="RQV5" s="390"/>
      <c r="RQW5" s="390"/>
      <c r="RQX5" s="390"/>
      <c r="RQY5" s="390"/>
      <c r="RQZ5" s="390"/>
      <c r="RRA5" s="390"/>
      <c r="RRB5" s="390"/>
      <c r="RRC5" s="390"/>
      <c r="RRD5" s="390"/>
      <c r="RRE5" s="390"/>
      <c r="RRF5" s="390"/>
      <c r="RRG5" s="390"/>
      <c r="RRH5" s="390"/>
      <c r="RRI5" s="390"/>
      <c r="RRJ5" s="390"/>
      <c r="RRK5" s="390"/>
      <c r="RRL5" s="390"/>
      <c r="RRM5" s="390"/>
      <c r="RRN5" s="390"/>
      <c r="RRO5" s="390"/>
      <c r="RRP5" s="390"/>
      <c r="RRQ5" s="390"/>
      <c r="RRR5" s="390"/>
      <c r="RRS5" s="390"/>
      <c r="RRT5" s="390"/>
      <c r="RRU5" s="390"/>
      <c r="RRV5" s="390"/>
      <c r="RRW5" s="390"/>
      <c r="RRX5" s="390"/>
      <c r="RRY5" s="390"/>
      <c r="RRZ5" s="390"/>
      <c r="RSA5" s="390"/>
      <c r="RSB5" s="390"/>
      <c r="RSC5" s="390"/>
      <c r="RSD5" s="390"/>
      <c r="RSE5" s="390"/>
      <c r="RSF5" s="390"/>
      <c r="RSG5" s="390"/>
      <c r="RSH5" s="390"/>
      <c r="RSI5" s="390"/>
      <c r="RSJ5" s="390"/>
      <c r="RSK5" s="390"/>
      <c r="RSL5" s="390"/>
      <c r="RSM5" s="390"/>
      <c r="RSN5" s="390"/>
      <c r="RSO5" s="390"/>
      <c r="RSP5" s="390"/>
      <c r="RSQ5" s="390"/>
      <c r="RSR5" s="390"/>
      <c r="RSS5" s="390"/>
      <c r="RST5" s="390"/>
      <c r="RSU5" s="390"/>
      <c r="RSV5" s="390"/>
      <c r="RSW5" s="390"/>
      <c r="RSX5" s="390"/>
      <c r="RSY5" s="390"/>
      <c r="RSZ5" s="390"/>
      <c r="RTA5" s="390"/>
      <c r="RTB5" s="390"/>
      <c r="RTC5" s="390"/>
      <c r="RTD5" s="390"/>
      <c r="RTE5" s="390"/>
      <c r="RTF5" s="390"/>
      <c r="RTG5" s="390"/>
      <c r="RTH5" s="390"/>
      <c r="RTI5" s="390"/>
      <c r="RTJ5" s="390"/>
      <c r="RTK5" s="390"/>
      <c r="RTL5" s="390"/>
      <c r="RTM5" s="390"/>
      <c r="RTN5" s="390"/>
      <c r="RTO5" s="390"/>
      <c r="RTP5" s="390"/>
      <c r="RTQ5" s="390"/>
      <c r="RTR5" s="390"/>
      <c r="RTS5" s="390"/>
      <c r="RTT5" s="390"/>
      <c r="RTU5" s="390"/>
      <c r="RTV5" s="390"/>
      <c r="RTW5" s="390"/>
      <c r="RTX5" s="390"/>
      <c r="RTY5" s="390"/>
      <c r="RTZ5" s="390"/>
      <c r="RUA5" s="390"/>
      <c r="RUB5" s="390"/>
      <c r="RUC5" s="390"/>
      <c r="RUD5" s="390"/>
      <c r="RUE5" s="390"/>
      <c r="RUF5" s="390"/>
      <c r="RUG5" s="390"/>
      <c r="RUH5" s="390"/>
      <c r="RUI5" s="390"/>
      <c r="RUJ5" s="390"/>
      <c r="RUK5" s="390"/>
      <c r="RUL5" s="390"/>
      <c r="RUM5" s="390"/>
      <c r="RUN5" s="390"/>
      <c r="RUO5" s="390"/>
      <c r="RUP5" s="390"/>
      <c r="RUQ5" s="390"/>
      <c r="RUR5" s="390"/>
      <c r="RUS5" s="390"/>
      <c r="RUT5" s="390"/>
      <c r="RUU5" s="390"/>
      <c r="RUV5" s="390"/>
      <c r="RUW5" s="390"/>
      <c r="RUX5" s="390"/>
      <c r="RUY5" s="390"/>
      <c r="RUZ5" s="390"/>
      <c r="RVA5" s="390"/>
      <c r="RVB5" s="390"/>
      <c r="RVC5" s="390"/>
      <c r="RVD5" s="390"/>
      <c r="RVE5" s="390"/>
      <c r="RVF5" s="390"/>
      <c r="RVG5" s="390"/>
      <c r="RVH5" s="390"/>
      <c r="RVI5" s="390"/>
      <c r="RVJ5" s="390"/>
      <c r="RVK5" s="390"/>
      <c r="RVL5" s="390"/>
      <c r="RVM5" s="390"/>
      <c r="RVN5" s="390"/>
      <c r="RVO5" s="390"/>
      <c r="RVP5" s="390"/>
      <c r="RVQ5" s="390"/>
      <c r="RVR5" s="390"/>
      <c r="RVS5" s="390"/>
      <c r="RVT5" s="390"/>
      <c r="RVU5" s="390"/>
      <c r="RVV5" s="390"/>
      <c r="RVW5" s="390"/>
      <c r="RVX5" s="390"/>
      <c r="RVY5" s="390"/>
      <c r="RVZ5" s="390"/>
      <c r="RWA5" s="390"/>
      <c r="RWB5" s="390"/>
      <c r="RWC5" s="390"/>
      <c r="RWD5" s="390"/>
      <c r="RWE5" s="390"/>
      <c r="RWF5" s="390"/>
      <c r="RWG5" s="390"/>
      <c r="RWH5" s="390"/>
      <c r="RWI5" s="390"/>
      <c r="RWJ5" s="390"/>
      <c r="RWK5" s="390"/>
      <c r="RWL5" s="390"/>
      <c r="RWM5" s="390"/>
      <c r="RWN5" s="390"/>
      <c r="RWO5" s="390"/>
      <c r="RWP5" s="390"/>
      <c r="RWQ5" s="390"/>
      <c r="RWR5" s="390"/>
      <c r="RWS5" s="390"/>
      <c r="RWT5" s="390"/>
      <c r="RWU5" s="390"/>
      <c r="RWV5" s="390"/>
      <c r="RWW5" s="390"/>
      <c r="RWX5" s="390"/>
      <c r="RWY5" s="390"/>
      <c r="RWZ5" s="390"/>
      <c r="RXA5" s="390"/>
      <c r="RXB5" s="390"/>
      <c r="RXC5" s="390"/>
      <c r="RXD5" s="390"/>
      <c r="RXE5" s="390"/>
      <c r="RXF5" s="390"/>
      <c r="RXG5" s="390"/>
      <c r="RXH5" s="390"/>
      <c r="RXI5" s="390"/>
      <c r="RXJ5" s="390"/>
      <c r="RXK5" s="390"/>
      <c r="RXL5" s="390"/>
      <c r="RXM5" s="390"/>
      <c r="RXN5" s="390"/>
      <c r="RXO5" s="390"/>
      <c r="RXP5" s="390"/>
      <c r="RXQ5" s="390"/>
      <c r="RXR5" s="390"/>
      <c r="RXS5" s="390"/>
      <c r="RXT5" s="390"/>
      <c r="RXU5" s="390"/>
      <c r="RXV5" s="390"/>
      <c r="RXW5" s="390"/>
      <c r="RXX5" s="390"/>
      <c r="RXY5" s="390"/>
      <c r="RXZ5" s="390"/>
      <c r="RYA5" s="390"/>
      <c r="RYB5" s="390"/>
      <c r="RYC5" s="390"/>
      <c r="RYD5" s="390"/>
      <c r="RYE5" s="390"/>
      <c r="RYF5" s="390"/>
      <c r="RYG5" s="390"/>
      <c r="RYH5" s="390"/>
      <c r="RYI5" s="390"/>
      <c r="RYJ5" s="390"/>
      <c r="RYK5" s="390"/>
      <c r="RYL5" s="390"/>
      <c r="RYM5" s="390"/>
      <c r="RYN5" s="390"/>
      <c r="RYO5" s="390"/>
      <c r="RYP5" s="390"/>
      <c r="RYQ5" s="390"/>
      <c r="RYR5" s="390"/>
      <c r="RYS5" s="390"/>
      <c r="RYT5" s="390"/>
      <c r="RYU5" s="390"/>
      <c r="RYV5" s="390"/>
      <c r="RYW5" s="390"/>
      <c r="RYX5" s="390"/>
      <c r="RYY5" s="390"/>
      <c r="RYZ5" s="390"/>
      <c r="RZA5" s="390"/>
      <c r="RZB5" s="390"/>
      <c r="RZC5" s="390"/>
      <c r="RZD5" s="390"/>
      <c r="RZE5" s="390"/>
      <c r="RZF5" s="390"/>
      <c r="RZG5" s="390"/>
      <c r="RZH5" s="390"/>
      <c r="RZI5" s="390"/>
      <c r="RZJ5" s="390"/>
      <c r="RZK5" s="390"/>
      <c r="RZL5" s="390"/>
      <c r="RZM5" s="390"/>
      <c r="RZN5" s="390"/>
      <c r="RZO5" s="390"/>
      <c r="RZP5" s="390"/>
      <c r="RZQ5" s="390"/>
      <c r="RZR5" s="390"/>
      <c r="RZS5" s="390"/>
      <c r="RZT5" s="390"/>
      <c r="RZU5" s="390"/>
      <c r="RZV5" s="390"/>
      <c r="RZW5" s="390"/>
      <c r="RZX5" s="390"/>
      <c r="RZY5" s="390"/>
      <c r="RZZ5" s="390"/>
      <c r="SAA5" s="390"/>
      <c r="SAB5" s="390"/>
      <c r="SAC5" s="390"/>
      <c r="SAD5" s="390"/>
      <c r="SAE5" s="390"/>
      <c r="SAF5" s="390"/>
      <c r="SAG5" s="390"/>
      <c r="SAH5" s="390"/>
      <c r="SAI5" s="390"/>
      <c r="SAJ5" s="390"/>
      <c r="SAK5" s="390"/>
      <c r="SAL5" s="390"/>
      <c r="SAM5" s="390"/>
      <c r="SAN5" s="390"/>
      <c r="SAO5" s="390"/>
      <c r="SAP5" s="390"/>
      <c r="SAQ5" s="390"/>
      <c r="SAR5" s="390"/>
      <c r="SAS5" s="390"/>
      <c r="SAT5" s="390"/>
      <c r="SAU5" s="390"/>
      <c r="SAV5" s="390"/>
      <c r="SAW5" s="390"/>
      <c r="SAX5" s="390"/>
      <c r="SAY5" s="390"/>
      <c r="SAZ5" s="390"/>
      <c r="SBA5" s="390"/>
      <c r="SBB5" s="390"/>
      <c r="SBC5" s="390"/>
      <c r="SBD5" s="390"/>
      <c r="SBE5" s="390"/>
      <c r="SBF5" s="390"/>
      <c r="SBG5" s="390"/>
      <c r="SBH5" s="390"/>
      <c r="SBI5" s="390"/>
      <c r="SBJ5" s="390"/>
      <c r="SBK5" s="390"/>
      <c r="SBL5" s="390"/>
      <c r="SBM5" s="390"/>
      <c r="SBN5" s="390"/>
      <c r="SBO5" s="390"/>
      <c r="SBP5" s="390"/>
      <c r="SBQ5" s="390"/>
      <c r="SBR5" s="390"/>
      <c r="SBS5" s="390"/>
      <c r="SBT5" s="390"/>
      <c r="SBU5" s="390"/>
      <c r="SBV5" s="390"/>
      <c r="SBW5" s="390"/>
      <c r="SBX5" s="390"/>
      <c r="SBY5" s="390"/>
      <c r="SBZ5" s="390"/>
      <c r="SCA5" s="390"/>
      <c r="SCB5" s="390"/>
      <c r="SCC5" s="390"/>
      <c r="SCD5" s="390"/>
      <c r="SCE5" s="390"/>
      <c r="SCF5" s="390"/>
      <c r="SCG5" s="390"/>
      <c r="SCH5" s="390"/>
      <c r="SCI5" s="390"/>
      <c r="SCJ5" s="390"/>
      <c r="SCK5" s="390"/>
      <c r="SCL5" s="390"/>
      <c r="SCM5" s="390"/>
      <c r="SCN5" s="390"/>
      <c r="SCO5" s="390"/>
      <c r="SCP5" s="390"/>
      <c r="SCQ5" s="390"/>
      <c r="SCR5" s="390"/>
      <c r="SCS5" s="390"/>
      <c r="SCT5" s="390"/>
      <c r="SCU5" s="390"/>
      <c r="SCV5" s="390"/>
      <c r="SCW5" s="390"/>
      <c r="SCX5" s="390"/>
      <c r="SCY5" s="390"/>
      <c r="SCZ5" s="390"/>
      <c r="SDA5" s="390"/>
      <c r="SDB5" s="390"/>
      <c r="SDC5" s="390"/>
      <c r="SDD5" s="390"/>
      <c r="SDE5" s="390"/>
      <c r="SDF5" s="390"/>
      <c r="SDG5" s="390"/>
      <c r="SDH5" s="390"/>
      <c r="SDI5" s="390"/>
      <c r="SDJ5" s="390"/>
      <c r="SDK5" s="390"/>
      <c r="SDL5" s="390"/>
      <c r="SDM5" s="390"/>
      <c r="SDN5" s="390"/>
      <c r="SDO5" s="390"/>
      <c r="SDP5" s="390"/>
      <c r="SDQ5" s="390"/>
      <c r="SDR5" s="390"/>
      <c r="SDS5" s="390"/>
      <c r="SDT5" s="390"/>
      <c r="SDU5" s="390"/>
      <c r="SDV5" s="390"/>
      <c r="SDW5" s="390"/>
      <c r="SDX5" s="390"/>
      <c r="SDY5" s="390"/>
      <c r="SDZ5" s="390"/>
      <c r="SEA5" s="390"/>
      <c r="SEB5" s="390"/>
      <c r="SEC5" s="390"/>
      <c r="SED5" s="390"/>
      <c r="SEE5" s="390"/>
      <c r="SEF5" s="390"/>
      <c r="SEG5" s="390"/>
      <c r="SEH5" s="390"/>
      <c r="SEI5" s="390"/>
      <c r="SEJ5" s="390"/>
      <c r="SEK5" s="390"/>
      <c r="SEL5" s="390"/>
      <c r="SEM5" s="390"/>
      <c r="SEN5" s="390"/>
      <c r="SEO5" s="390"/>
      <c r="SEP5" s="390"/>
      <c r="SEQ5" s="390"/>
      <c r="SER5" s="390"/>
      <c r="SES5" s="390"/>
      <c r="SET5" s="390"/>
      <c r="SEU5" s="390"/>
      <c r="SEV5" s="390"/>
      <c r="SEW5" s="390"/>
      <c r="SEX5" s="390"/>
      <c r="SEY5" s="390"/>
      <c r="SEZ5" s="390"/>
      <c r="SFA5" s="390"/>
      <c r="SFB5" s="390"/>
      <c r="SFC5" s="390"/>
      <c r="SFD5" s="390"/>
      <c r="SFE5" s="390"/>
      <c r="SFF5" s="390"/>
      <c r="SFG5" s="390"/>
      <c r="SFH5" s="390"/>
      <c r="SFI5" s="390"/>
      <c r="SFJ5" s="390"/>
      <c r="SFK5" s="390"/>
      <c r="SFL5" s="390"/>
      <c r="SFM5" s="390"/>
      <c r="SFN5" s="390"/>
      <c r="SFO5" s="390"/>
      <c r="SFP5" s="390"/>
      <c r="SFQ5" s="390"/>
      <c r="SFR5" s="390"/>
      <c r="SFS5" s="390"/>
      <c r="SFT5" s="390"/>
      <c r="SFU5" s="390"/>
      <c r="SFV5" s="390"/>
      <c r="SFW5" s="390"/>
      <c r="SFX5" s="390"/>
      <c r="SFY5" s="390"/>
      <c r="SFZ5" s="390"/>
      <c r="SGA5" s="390"/>
      <c r="SGB5" s="390"/>
      <c r="SGC5" s="390"/>
      <c r="SGD5" s="390"/>
      <c r="SGE5" s="390"/>
      <c r="SGF5" s="390"/>
      <c r="SGG5" s="390"/>
      <c r="SGH5" s="390"/>
      <c r="SGI5" s="390"/>
      <c r="SGJ5" s="390"/>
      <c r="SGK5" s="390"/>
      <c r="SGL5" s="390"/>
      <c r="SGM5" s="390"/>
      <c r="SGN5" s="390"/>
      <c r="SGO5" s="390"/>
      <c r="SGP5" s="390"/>
      <c r="SGQ5" s="390"/>
      <c r="SGR5" s="390"/>
      <c r="SGS5" s="390"/>
      <c r="SGT5" s="390"/>
      <c r="SGU5" s="390"/>
      <c r="SGV5" s="390"/>
      <c r="SGW5" s="390"/>
      <c r="SGX5" s="390"/>
      <c r="SGY5" s="390"/>
      <c r="SGZ5" s="390"/>
      <c r="SHA5" s="390"/>
      <c r="SHB5" s="390"/>
      <c r="SHC5" s="390"/>
      <c r="SHD5" s="390"/>
      <c r="SHE5" s="390"/>
      <c r="SHF5" s="390"/>
      <c r="SHG5" s="390"/>
      <c r="SHH5" s="390"/>
      <c r="SHI5" s="390"/>
      <c r="SHJ5" s="390"/>
      <c r="SHK5" s="390"/>
      <c r="SHL5" s="390"/>
      <c r="SHM5" s="390"/>
      <c r="SHN5" s="390"/>
      <c r="SHO5" s="390"/>
      <c r="SHP5" s="390"/>
      <c r="SHQ5" s="390"/>
      <c r="SHR5" s="390"/>
      <c r="SHS5" s="390"/>
      <c r="SHT5" s="390"/>
      <c r="SHU5" s="390"/>
      <c r="SHV5" s="390"/>
      <c r="SHW5" s="390"/>
      <c r="SHX5" s="390"/>
      <c r="SHY5" s="390"/>
      <c r="SHZ5" s="390"/>
      <c r="SIA5" s="390"/>
      <c r="SIB5" s="390"/>
      <c r="SIC5" s="390"/>
      <c r="SID5" s="390"/>
      <c r="SIE5" s="390"/>
      <c r="SIF5" s="390"/>
      <c r="SIG5" s="390"/>
      <c r="SIH5" s="390"/>
      <c r="SII5" s="390"/>
      <c r="SIJ5" s="390"/>
      <c r="SIK5" s="390"/>
      <c r="SIL5" s="390"/>
      <c r="SIM5" s="390"/>
      <c r="SIN5" s="390"/>
      <c r="SIO5" s="390"/>
      <c r="SIP5" s="390"/>
      <c r="SIQ5" s="390"/>
      <c r="SIR5" s="390"/>
      <c r="SIS5" s="390"/>
      <c r="SIT5" s="390"/>
      <c r="SIU5" s="390"/>
      <c r="SIV5" s="390"/>
      <c r="SIW5" s="390"/>
      <c r="SIX5" s="390"/>
      <c r="SIY5" s="390"/>
      <c r="SIZ5" s="390"/>
      <c r="SJA5" s="390"/>
      <c r="SJB5" s="390"/>
      <c r="SJC5" s="390"/>
      <c r="SJD5" s="390"/>
      <c r="SJE5" s="390"/>
      <c r="SJF5" s="390"/>
      <c r="SJG5" s="390"/>
      <c r="SJH5" s="390"/>
      <c r="SJI5" s="390"/>
      <c r="SJJ5" s="390"/>
      <c r="SJK5" s="390"/>
      <c r="SJL5" s="390"/>
      <c r="SJM5" s="390"/>
      <c r="SJN5" s="390"/>
      <c r="SJO5" s="390"/>
      <c r="SJP5" s="390"/>
      <c r="SJQ5" s="390"/>
      <c r="SJR5" s="390"/>
      <c r="SJS5" s="390"/>
      <c r="SJT5" s="390"/>
      <c r="SJU5" s="390"/>
      <c r="SJV5" s="390"/>
      <c r="SJW5" s="390"/>
      <c r="SJX5" s="390"/>
      <c r="SJY5" s="390"/>
      <c r="SJZ5" s="390"/>
      <c r="SKA5" s="390"/>
      <c r="SKB5" s="390"/>
      <c r="SKC5" s="390"/>
      <c r="SKD5" s="390"/>
      <c r="SKE5" s="390"/>
      <c r="SKF5" s="390"/>
      <c r="SKG5" s="390"/>
      <c r="SKH5" s="390"/>
      <c r="SKI5" s="390"/>
      <c r="SKJ5" s="390"/>
      <c r="SKK5" s="390"/>
      <c r="SKL5" s="390"/>
      <c r="SKM5" s="390"/>
      <c r="SKN5" s="390"/>
      <c r="SKO5" s="390"/>
      <c r="SKP5" s="390"/>
      <c r="SKQ5" s="390"/>
      <c r="SKR5" s="390"/>
      <c r="SKS5" s="390"/>
      <c r="SKT5" s="390"/>
      <c r="SKU5" s="390"/>
      <c r="SKV5" s="390"/>
      <c r="SKW5" s="390"/>
      <c r="SKX5" s="390"/>
      <c r="SKY5" s="390"/>
      <c r="SKZ5" s="390"/>
      <c r="SLA5" s="390"/>
      <c r="SLB5" s="390"/>
      <c r="SLC5" s="390"/>
      <c r="SLD5" s="390"/>
      <c r="SLE5" s="390"/>
      <c r="SLF5" s="390"/>
      <c r="SLG5" s="390"/>
      <c r="SLH5" s="390"/>
      <c r="SLI5" s="390"/>
      <c r="SLJ5" s="390"/>
      <c r="SLK5" s="390"/>
      <c r="SLL5" s="390"/>
      <c r="SLM5" s="390"/>
      <c r="SLN5" s="390"/>
      <c r="SLO5" s="390"/>
      <c r="SLP5" s="390"/>
      <c r="SLQ5" s="390"/>
      <c r="SLR5" s="390"/>
      <c r="SLS5" s="390"/>
      <c r="SLT5" s="390"/>
      <c r="SLU5" s="390"/>
      <c r="SLV5" s="390"/>
      <c r="SLW5" s="390"/>
      <c r="SLX5" s="390"/>
      <c r="SLY5" s="390"/>
      <c r="SLZ5" s="390"/>
      <c r="SMA5" s="390"/>
      <c r="SMB5" s="390"/>
      <c r="SMC5" s="390"/>
      <c r="SMD5" s="390"/>
      <c r="SME5" s="390"/>
      <c r="SMF5" s="390"/>
      <c r="SMG5" s="390"/>
      <c r="SMH5" s="390"/>
      <c r="SMI5" s="390"/>
      <c r="SMJ5" s="390"/>
      <c r="SMK5" s="390"/>
      <c r="SML5" s="390"/>
      <c r="SMM5" s="390"/>
      <c r="SMN5" s="390"/>
      <c r="SMO5" s="390"/>
      <c r="SMP5" s="390"/>
      <c r="SMQ5" s="390"/>
      <c r="SMR5" s="390"/>
      <c r="SMS5" s="390"/>
      <c r="SMT5" s="390"/>
      <c r="SMU5" s="390"/>
      <c r="SMV5" s="390"/>
      <c r="SMW5" s="390"/>
      <c r="SMX5" s="390"/>
      <c r="SMY5" s="390"/>
      <c r="SMZ5" s="390"/>
      <c r="SNA5" s="390"/>
      <c r="SNB5" s="390"/>
      <c r="SNC5" s="390"/>
      <c r="SND5" s="390"/>
      <c r="SNE5" s="390"/>
      <c r="SNF5" s="390"/>
      <c r="SNG5" s="390"/>
      <c r="SNH5" s="390"/>
      <c r="SNI5" s="390"/>
      <c r="SNJ5" s="390"/>
      <c r="SNK5" s="390"/>
      <c r="SNL5" s="390"/>
      <c r="SNM5" s="390"/>
      <c r="SNN5" s="390"/>
      <c r="SNO5" s="390"/>
      <c r="SNP5" s="390"/>
      <c r="SNQ5" s="390"/>
      <c r="SNR5" s="390"/>
      <c r="SNS5" s="390"/>
      <c r="SNT5" s="390"/>
      <c r="SNU5" s="390"/>
      <c r="SNV5" s="390"/>
      <c r="SNW5" s="390"/>
      <c r="SNX5" s="390"/>
      <c r="SNY5" s="390"/>
      <c r="SNZ5" s="390"/>
      <c r="SOA5" s="390"/>
      <c r="SOB5" s="390"/>
      <c r="SOC5" s="390"/>
      <c r="SOD5" s="390"/>
      <c r="SOE5" s="390"/>
      <c r="SOF5" s="390"/>
      <c r="SOG5" s="390"/>
      <c r="SOH5" s="390"/>
      <c r="SOI5" s="390"/>
      <c r="SOJ5" s="390"/>
      <c r="SOK5" s="390"/>
      <c r="SOL5" s="390"/>
      <c r="SOM5" s="390"/>
      <c r="SON5" s="390"/>
      <c r="SOO5" s="390"/>
      <c r="SOP5" s="390"/>
      <c r="SOQ5" s="390"/>
      <c r="SOR5" s="390"/>
      <c r="SOS5" s="390"/>
      <c r="SOT5" s="390"/>
      <c r="SOU5" s="390"/>
      <c r="SOV5" s="390"/>
      <c r="SOW5" s="390"/>
      <c r="SOX5" s="390"/>
      <c r="SOY5" s="390"/>
      <c r="SOZ5" s="390"/>
      <c r="SPA5" s="390"/>
      <c r="SPB5" s="390"/>
      <c r="SPC5" s="390"/>
      <c r="SPD5" s="390"/>
      <c r="SPE5" s="390"/>
      <c r="SPF5" s="390"/>
      <c r="SPG5" s="390"/>
      <c r="SPH5" s="390"/>
      <c r="SPI5" s="390"/>
      <c r="SPJ5" s="390"/>
      <c r="SPK5" s="390"/>
      <c r="SPL5" s="390"/>
      <c r="SPM5" s="390"/>
      <c r="SPN5" s="390"/>
      <c r="SPO5" s="390"/>
      <c r="SPP5" s="390"/>
      <c r="SPQ5" s="390"/>
      <c r="SPR5" s="390"/>
      <c r="SPS5" s="390"/>
      <c r="SPT5" s="390"/>
      <c r="SPU5" s="390"/>
      <c r="SPV5" s="390"/>
      <c r="SPW5" s="390"/>
      <c r="SPX5" s="390"/>
      <c r="SPY5" s="390"/>
      <c r="SPZ5" s="390"/>
      <c r="SQA5" s="390"/>
      <c r="SQB5" s="390"/>
      <c r="SQC5" s="390"/>
      <c r="SQD5" s="390"/>
      <c r="SQE5" s="390"/>
      <c r="SQF5" s="390"/>
      <c r="SQG5" s="390"/>
      <c r="SQH5" s="390"/>
      <c r="SQI5" s="390"/>
      <c r="SQJ5" s="390"/>
      <c r="SQK5" s="390"/>
      <c r="SQL5" s="390"/>
      <c r="SQM5" s="390"/>
      <c r="SQN5" s="390"/>
      <c r="SQO5" s="390"/>
      <c r="SQP5" s="390"/>
      <c r="SQQ5" s="390"/>
      <c r="SQR5" s="390"/>
      <c r="SQS5" s="390"/>
      <c r="SQT5" s="390"/>
      <c r="SQU5" s="390"/>
      <c r="SQV5" s="390"/>
      <c r="SQW5" s="390"/>
      <c r="SQX5" s="390"/>
      <c r="SQY5" s="390"/>
      <c r="SQZ5" s="390"/>
      <c r="SRA5" s="390"/>
      <c r="SRB5" s="390"/>
      <c r="SRC5" s="390"/>
      <c r="SRD5" s="390"/>
      <c r="SRE5" s="390"/>
      <c r="SRF5" s="390"/>
      <c r="SRG5" s="390"/>
      <c r="SRH5" s="390"/>
      <c r="SRI5" s="390"/>
      <c r="SRJ5" s="390"/>
      <c r="SRK5" s="390"/>
      <c r="SRL5" s="390"/>
      <c r="SRM5" s="390"/>
      <c r="SRN5" s="390"/>
      <c r="SRO5" s="390"/>
      <c r="SRP5" s="390"/>
      <c r="SRQ5" s="390"/>
      <c r="SRR5" s="390"/>
      <c r="SRS5" s="390"/>
      <c r="SRT5" s="390"/>
      <c r="SRU5" s="390"/>
      <c r="SRV5" s="390"/>
      <c r="SRW5" s="390"/>
      <c r="SRX5" s="390"/>
      <c r="SRY5" s="390"/>
      <c r="SRZ5" s="390"/>
      <c r="SSA5" s="390"/>
      <c r="SSB5" s="390"/>
      <c r="SSC5" s="390"/>
      <c r="SSD5" s="390"/>
      <c r="SSE5" s="390"/>
      <c r="SSF5" s="390"/>
      <c r="SSG5" s="390"/>
      <c r="SSH5" s="390"/>
      <c r="SSI5" s="390"/>
      <c r="SSJ5" s="390"/>
      <c r="SSK5" s="390"/>
      <c r="SSL5" s="390"/>
      <c r="SSM5" s="390"/>
      <c r="SSN5" s="390"/>
      <c r="SSO5" s="390"/>
      <c r="SSP5" s="390"/>
      <c r="SSQ5" s="390"/>
      <c r="SSR5" s="390"/>
      <c r="SSS5" s="390"/>
      <c r="SST5" s="390"/>
      <c r="SSU5" s="390"/>
      <c r="SSV5" s="390"/>
      <c r="SSW5" s="390"/>
      <c r="SSX5" s="390"/>
      <c r="SSY5" s="390"/>
      <c r="SSZ5" s="390"/>
      <c r="STA5" s="390"/>
      <c r="STB5" s="390"/>
      <c r="STC5" s="390"/>
      <c r="STD5" s="390"/>
      <c r="STE5" s="390"/>
      <c r="STF5" s="390"/>
      <c r="STG5" s="390"/>
      <c r="STH5" s="390"/>
      <c r="STI5" s="390"/>
      <c r="STJ5" s="390"/>
      <c r="STK5" s="390"/>
      <c r="STL5" s="390"/>
      <c r="STM5" s="390"/>
      <c r="STN5" s="390"/>
      <c r="STO5" s="390"/>
      <c r="STP5" s="390"/>
      <c r="STQ5" s="390"/>
      <c r="STR5" s="390"/>
      <c r="STS5" s="390"/>
      <c r="STT5" s="390"/>
      <c r="STU5" s="390"/>
      <c r="STV5" s="390"/>
      <c r="STW5" s="390"/>
      <c r="STX5" s="390"/>
      <c r="STY5" s="390"/>
      <c r="STZ5" s="390"/>
      <c r="SUA5" s="390"/>
      <c r="SUB5" s="390"/>
      <c r="SUC5" s="390"/>
      <c r="SUD5" s="390"/>
      <c r="SUE5" s="390"/>
      <c r="SUF5" s="390"/>
      <c r="SUG5" s="390"/>
      <c r="SUH5" s="390"/>
      <c r="SUI5" s="390"/>
      <c r="SUJ5" s="390"/>
      <c r="SUK5" s="390"/>
      <c r="SUL5" s="390"/>
      <c r="SUM5" s="390"/>
      <c r="SUN5" s="390"/>
      <c r="SUO5" s="390"/>
      <c r="SUP5" s="390"/>
      <c r="SUQ5" s="390"/>
      <c r="SUR5" s="390"/>
      <c r="SUS5" s="390"/>
      <c r="SUT5" s="390"/>
      <c r="SUU5" s="390"/>
      <c r="SUV5" s="390"/>
      <c r="SUW5" s="390"/>
      <c r="SUX5" s="390"/>
      <c r="SUY5" s="390"/>
      <c r="SUZ5" s="390"/>
      <c r="SVA5" s="390"/>
      <c r="SVB5" s="390"/>
      <c r="SVC5" s="390"/>
      <c r="SVD5" s="390"/>
      <c r="SVE5" s="390"/>
      <c r="SVF5" s="390"/>
      <c r="SVG5" s="390"/>
      <c r="SVH5" s="390"/>
      <c r="SVI5" s="390"/>
      <c r="SVJ5" s="390"/>
      <c r="SVK5" s="390"/>
      <c r="SVL5" s="390"/>
      <c r="SVM5" s="390"/>
      <c r="SVN5" s="390"/>
      <c r="SVO5" s="390"/>
      <c r="SVP5" s="390"/>
      <c r="SVQ5" s="390"/>
      <c r="SVR5" s="390"/>
      <c r="SVS5" s="390"/>
      <c r="SVT5" s="390"/>
      <c r="SVU5" s="390"/>
      <c r="SVV5" s="390"/>
      <c r="SVW5" s="390"/>
      <c r="SVX5" s="390"/>
      <c r="SVY5" s="390"/>
      <c r="SVZ5" s="390"/>
      <c r="SWA5" s="390"/>
      <c r="SWB5" s="390"/>
      <c r="SWC5" s="390"/>
      <c r="SWD5" s="390"/>
      <c r="SWE5" s="390"/>
      <c r="SWF5" s="390"/>
      <c r="SWG5" s="390"/>
      <c r="SWH5" s="390"/>
      <c r="SWI5" s="390"/>
      <c r="SWJ5" s="390"/>
      <c r="SWK5" s="390"/>
      <c r="SWL5" s="390"/>
      <c r="SWM5" s="390"/>
      <c r="SWN5" s="390"/>
      <c r="SWO5" s="390"/>
      <c r="SWP5" s="390"/>
      <c r="SWQ5" s="390"/>
      <c r="SWR5" s="390"/>
      <c r="SWS5" s="390"/>
      <c r="SWT5" s="390"/>
      <c r="SWU5" s="390"/>
      <c r="SWV5" s="390"/>
      <c r="SWW5" s="390"/>
      <c r="SWX5" s="390"/>
      <c r="SWY5" s="390"/>
      <c r="SWZ5" s="390"/>
      <c r="SXA5" s="390"/>
      <c r="SXB5" s="390"/>
      <c r="SXC5" s="390"/>
      <c r="SXD5" s="390"/>
      <c r="SXE5" s="390"/>
      <c r="SXF5" s="390"/>
      <c r="SXG5" s="390"/>
      <c r="SXH5" s="390"/>
      <c r="SXI5" s="390"/>
      <c r="SXJ5" s="390"/>
      <c r="SXK5" s="390"/>
      <c r="SXL5" s="390"/>
      <c r="SXM5" s="390"/>
      <c r="SXN5" s="390"/>
      <c r="SXO5" s="390"/>
      <c r="SXP5" s="390"/>
      <c r="SXQ5" s="390"/>
      <c r="SXR5" s="390"/>
      <c r="SXS5" s="390"/>
      <c r="SXT5" s="390"/>
      <c r="SXU5" s="390"/>
      <c r="SXV5" s="390"/>
      <c r="SXW5" s="390"/>
      <c r="SXX5" s="390"/>
      <c r="SXY5" s="390"/>
      <c r="SXZ5" s="390"/>
      <c r="SYA5" s="390"/>
      <c r="SYB5" s="390"/>
      <c r="SYC5" s="390"/>
      <c r="SYD5" s="390"/>
      <c r="SYE5" s="390"/>
      <c r="SYF5" s="390"/>
      <c r="SYG5" s="390"/>
      <c r="SYH5" s="390"/>
      <c r="SYI5" s="390"/>
      <c r="SYJ5" s="390"/>
      <c r="SYK5" s="390"/>
      <c r="SYL5" s="390"/>
      <c r="SYM5" s="390"/>
      <c r="SYN5" s="390"/>
      <c r="SYO5" s="390"/>
      <c r="SYP5" s="390"/>
      <c r="SYQ5" s="390"/>
      <c r="SYR5" s="390"/>
      <c r="SYS5" s="390"/>
      <c r="SYT5" s="390"/>
      <c r="SYU5" s="390"/>
      <c r="SYV5" s="390"/>
      <c r="SYW5" s="390"/>
      <c r="SYX5" s="390"/>
      <c r="SYY5" s="390"/>
      <c r="SYZ5" s="390"/>
      <c r="SZA5" s="390"/>
      <c r="SZB5" s="390"/>
      <c r="SZC5" s="390"/>
      <c r="SZD5" s="390"/>
      <c r="SZE5" s="390"/>
      <c r="SZF5" s="390"/>
      <c r="SZG5" s="390"/>
      <c r="SZH5" s="390"/>
      <c r="SZI5" s="390"/>
      <c r="SZJ5" s="390"/>
      <c r="SZK5" s="390"/>
      <c r="SZL5" s="390"/>
      <c r="SZM5" s="390"/>
      <c r="SZN5" s="390"/>
      <c r="SZO5" s="390"/>
      <c r="SZP5" s="390"/>
      <c r="SZQ5" s="390"/>
      <c r="SZR5" s="390"/>
      <c r="SZS5" s="390"/>
      <c r="SZT5" s="390"/>
      <c r="SZU5" s="390"/>
      <c r="SZV5" s="390"/>
      <c r="SZW5" s="390"/>
      <c r="SZX5" s="390"/>
      <c r="SZY5" s="390"/>
      <c r="SZZ5" s="390"/>
      <c r="TAA5" s="390"/>
      <c r="TAB5" s="390"/>
      <c r="TAC5" s="390"/>
      <c r="TAD5" s="390"/>
      <c r="TAE5" s="390"/>
      <c r="TAF5" s="390"/>
      <c r="TAG5" s="390"/>
      <c r="TAH5" s="390"/>
      <c r="TAI5" s="390"/>
      <c r="TAJ5" s="390"/>
      <c r="TAK5" s="390"/>
      <c r="TAL5" s="390"/>
      <c r="TAM5" s="390"/>
      <c r="TAN5" s="390"/>
      <c r="TAO5" s="390"/>
      <c r="TAP5" s="390"/>
      <c r="TAQ5" s="390"/>
      <c r="TAR5" s="390"/>
      <c r="TAS5" s="390"/>
      <c r="TAT5" s="390"/>
      <c r="TAU5" s="390"/>
      <c r="TAV5" s="390"/>
      <c r="TAW5" s="390"/>
      <c r="TAX5" s="390"/>
      <c r="TAY5" s="390"/>
      <c r="TAZ5" s="390"/>
      <c r="TBA5" s="390"/>
      <c r="TBB5" s="390"/>
      <c r="TBC5" s="390"/>
      <c r="TBD5" s="390"/>
      <c r="TBE5" s="390"/>
      <c r="TBF5" s="390"/>
      <c r="TBG5" s="390"/>
      <c r="TBH5" s="390"/>
      <c r="TBI5" s="390"/>
      <c r="TBJ5" s="390"/>
      <c r="TBK5" s="390"/>
      <c r="TBL5" s="390"/>
      <c r="TBM5" s="390"/>
      <c r="TBN5" s="390"/>
      <c r="TBO5" s="390"/>
      <c r="TBP5" s="390"/>
      <c r="TBQ5" s="390"/>
      <c r="TBR5" s="390"/>
      <c r="TBS5" s="390"/>
      <c r="TBT5" s="390"/>
      <c r="TBU5" s="390"/>
      <c r="TBV5" s="390"/>
      <c r="TBW5" s="390"/>
      <c r="TBX5" s="390"/>
      <c r="TBY5" s="390"/>
      <c r="TBZ5" s="390"/>
      <c r="TCA5" s="390"/>
      <c r="TCB5" s="390"/>
      <c r="TCC5" s="390"/>
      <c r="TCD5" s="390"/>
      <c r="TCE5" s="390"/>
      <c r="TCF5" s="390"/>
      <c r="TCG5" s="390"/>
      <c r="TCH5" s="390"/>
      <c r="TCI5" s="390"/>
      <c r="TCJ5" s="390"/>
      <c r="TCK5" s="390"/>
      <c r="TCL5" s="390"/>
      <c r="TCM5" s="390"/>
      <c r="TCN5" s="390"/>
      <c r="TCO5" s="390"/>
      <c r="TCP5" s="390"/>
      <c r="TCQ5" s="390"/>
      <c r="TCR5" s="390"/>
      <c r="TCS5" s="390"/>
      <c r="TCT5" s="390"/>
      <c r="TCU5" s="390"/>
      <c r="TCV5" s="390"/>
      <c r="TCW5" s="390"/>
      <c r="TCX5" s="390"/>
      <c r="TCY5" s="390"/>
      <c r="TCZ5" s="390"/>
      <c r="TDA5" s="390"/>
      <c r="TDB5" s="390"/>
      <c r="TDC5" s="390"/>
      <c r="TDD5" s="390"/>
      <c r="TDE5" s="390"/>
      <c r="TDF5" s="390"/>
      <c r="TDG5" s="390"/>
      <c r="TDH5" s="390"/>
      <c r="TDI5" s="390"/>
      <c r="TDJ5" s="390"/>
      <c r="TDK5" s="390"/>
      <c r="TDL5" s="390"/>
      <c r="TDM5" s="390"/>
      <c r="TDN5" s="390"/>
      <c r="TDO5" s="390"/>
      <c r="TDP5" s="390"/>
      <c r="TDQ5" s="390"/>
      <c r="TDR5" s="390"/>
      <c r="TDS5" s="390"/>
      <c r="TDT5" s="390"/>
      <c r="TDU5" s="390"/>
      <c r="TDV5" s="390"/>
      <c r="TDW5" s="390"/>
      <c r="TDX5" s="390"/>
      <c r="TDY5" s="390"/>
      <c r="TDZ5" s="390"/>
      <c r="TEA5" s="390"/>
      <c r="TEB5" s="390"/>
      <c r="TEC5" s="390"/>
      <c r="TED5" s="390"/>
      <c r="TEE5" s="390"/>
      <c r="TEF5" s="390"/>
      <c r="TEG5" s="390"/>
      <c r="TEH5" s="390"/>
      <c r="TEI5" s="390"/>
      <c r="TEJ5" s="390"/>
      <c r="TEK5" s="390"/>
      <c r="TEL5" s="390"/>
      <c r="TEM5" s="390"/>
      <c r="TEN5" s="390"/>
      <c r="TEO5" s="390"/>
      <c r="TEP5" s="390"/>
      <c r="TEQ5" s="390"/>
      <c r="TER5" s="390"/>
      <c r="TES5" s="390"/>
      <c r="TET5" s="390"/>
      <c r="TEU5" s="390"/>
      <c r="TEV5" s="390"/>
      <c r="TEW5" s="390"/>
      <c r="TEX5" s="390"/>
      <c r="TEY5" s="390"/>
      <c r="TEZ5" s="390"/>
      <c r="TFA5" s="390"/>
      <c r="TFB5" s="390"/>
      <c r="TFC5" s="390"/>
      <c r="TFD5" s="390"/>
      <c r="TFE5" s="390"/>
      <c r="TFF5" s="390"/>
      <c r="TFG5" s="390"/>
      <c r="TFH5" s="390"/>
      <c r="TFI5" s="390"/>
      <c r="TFJ5" s="390"/>
      <c r="TFK5" s="390"/>
      <c r="TFL5" s="390"/>
      <c r="TFM5" s="390"/>
      <c r="TFN5" s="390"/>
      <c r="TFO5" s="390"/>
      <c r="TFP5" s="390"/>
      <c r="TFQ5" s="390"/>
      <c r="TFR5" s="390"/>
      <c r="TFS5" s="390"/>
      <c r="TFT5" s="390"/>
      <c r="TFU5" s="390"/>
      <c r="TFV5" s="390"/>
      <c r="TFW5" s="390"/>
      <c r="TFX5" s="390"/>
      <c r="TFY5" s="390"/>
      <c r="TFZ5" s="390"/>
      <c r="TGA5" s="390"/>
      <c r="TGB5" s="390"/>
      <c r="TGC5" s="390"/>
      <c r="TGD5" s="390"/>
      <c r="TGE5" s="390"/>
      <c r="TGF5" s="390"/>
      <c r="TGG5" s="390"/>
      <c r="TGH5" s="390"/>
      <c r="TGI5" s="390"/>
      <c r="TGJ5" s="390"/>
      <c r="TGK5" s="390"/>
      <c r="TGL5" s="390"/>
      <c r="TGM5" s="390"/>
      <c r="TGN5" s="390"/>
      <c r="TGO5" s="390"/>
      <c r="TGP5" s="390"/>
      <c r="TGQ5" s="390"/>
      <c r="TGR5" s="390"/>
      <c r="TGS5" s="390"/>
      <c r="TGT5" s="390"/>
      <c r="TGU5" s="390"/>
      <c r="TGV5" s="390"/>
      <c r="TGW5" s="390"/>
      <c r="TGX5" s="390"/>
      <c r="TGY5" s="390"/>
      <c r="TGZ5" s="390"/>
      <c r="THA5" s="390"/>
      <c r="THB5" s="390"/>
      <c r="THC5" s="390"/>
      <c r="THD5" s="390"/>
      <c r="THE5" s="390"/>
      <c r="THF5" s="390"/>
      <c r="THG5" s="390"/>
      <c r="THH5" s="390"/>
      <c r="THI5" s="390"/>
      <c r="THJ5" s="390"/>
      <c r="THK5" s="390"/>
      <c r="THL5" s="390"/>
      <c r="THM5" s="390"/>
      <c r="THN5" s="390"/>
      <c r="THO5" s="390"/>
      <c r="THP5" s="390"/>
      <c r="THQ5" s="390"/>
      <c r="THR5" s="390"/>
      <c r="THS5" s="390"/>
      <c r="THT5" s="390"/>
      <c r="THU5" s="390"/>
      <c r="THV5" s="390"/>
      <c r="THW5" s="390"/>
      <c r="THX5" s="390"/>
      <c r="THY5" s="390"/>
      <c r="THZ5" s="390"/>
      <c r="TIA5" s="390"/>
      <c r="TIB5" s="390"/>
      <c r="TIC5" s="390"/>
      <c r="TID5" s="390"/>
      <c r="TIE5" s="390"/>
      <c r="TIF5" s="390"/>
      <c r="TIG5" s="390"/>
      <c r="TIH5" s="390"/>
      <c r="TII5" s="390"/>
      <c r="TIJ5" s="390"/>
      <c r="TIK5" s="390"/>
      <c r="TIL5" s="390"/>
      <c r="TIM5" s="390"/>
      <c r="TIN5" s="390"/>
      <c r="TIO5" s="390"/>
      <c r="TIP5" s="390"/>
      <c r="TIQ5" s="390"/>
      <c r="TIR5" s="390"/>
      <c r="TIS5" s="390"/>
      <c r="TIT5" s="390"/>
      <c r="TIU5" s="390"/>
      <c r="TIV5" s="390"/>
      <c r="TIW5" s="390"/>
      <c r="TIX5" s="390"/>
      <c r="TIY5" s="390"/>
      <c r="TIZ5" s="390"/>
      <c r="TJA5" s="390"/>
      <c r="TJB5" s="390"/>
      <c r="TJC5" s="390"/>
      <c r="TJD5" s="390"/>
      <c r="TJE5" s="390"/>
      <c r="TJF5" s="390"/>
      <c r="TJG5" s="390"/>
      <c r="TJH5" s="390"/>
      <c r="TJI5" s="390"/>
      <c r="TJJ5" s="390"/>
      <c r="TJK5" s="390"/>
      <c r="TJL5" s="390"/>
      <c r="TJM5" s="390"/>
      <c r="TJN5" s="390"/>
      <c r="TJO5" s="390"/>
      <c r="TJP5" s="390"/>
      <c r="TJQ5" s="390"/>
      <c r="TJR5" s="390"/>
      <c r="TJS5" s="390"/>
      <c r="TJT5" s="390"/>
      <c r="TJU5" s="390"/>
      <c r="TJV5" s="390"/>
      <c r="TJW5" s="390"/>
      <c r="TJX5" s="390"/>
      <c r="TJY5" s="390"/>
      <c r="TJZ5" s="390"/>
      <c r="TKA5" s="390"/>
      <c r="TKB5" s="390"/>
      <c r="TKC5" s="390"/>
      <c r="TKD5" s="390"/>
      <c r="TKE5" s="390"/>
      <c r="TKF5" s="390"/>
      <c r="TKG5" s="390"/>
      <c r="TKH5" s="390"/>
      <c r="TKI5" s="390"/>
      <c r="TKJ5" s="390"/>
      <c r="TKK5" s="390"/>
      <c r="TKL5" s="390"/>
      <c r="TKM5" s="390"/>
      <c r="TKN5" s="390"/>
      <c r="TKO5" s="390"/>
      <c r="TKP5" s="390"/>
      <c r="TKQ5" s="390"/>
      <c r="TKR5" s="390"/>
      <c r="TKS5" s="390"/>
      <c r="TKT5" s="390"/>
      <c r="TKU5" s="390"/>
      <c r="TKV5" s="390"/>
      <c r="TKW5" s="390"/>
      <c r="TKX5" s="390"/>
      <c r="TKY5" s="390"/>
      <c r="TKZ5" s="390"/>
      <c r="TLA5" s="390"/>
      <c r="TLB5" s="390"/>
      <c r="TLC5" s="390"/>
      <c r="TLD5" s="390"/>
      <c r="TLE5" s="390"/>
      <c r="TLF5" s="390"/>
      <c r="TLG5" s="390"/>
      <c r="TLH5" s="390"/>
      <c r="TLI5" s="390"/>
      <c r="TLJ5" s="390"/>
      <c r="TLK5" s="390"/>
      <c r="TLL5" s="390"/>
      <c r="TLM5" s="390"/>
      <c r="TLN5" s="390"/>
      <c r="TLO5" s="390"/>
      <c r="TLP5" s="390"/>
      <c r="TLQ5" s="390"/>
      <c r="TLR5" s="390"/>
      <c r="TLS5" s="390"/>
      <c r="TLT5" s="390"/>
      <c r="TLU5" s="390"/>
      <c r="TLV5" s="390"/>
      <c r="TLW5" s="390"/>
      <c r="TLX5" s="390"/>
      <c r="TLY5" s="390"/>
      <c r="TLZ5" s="390"/>
      <c r="TMA5" s="390"/>
      <c r="TMB5" s="390"/>
      <c r="TMC5" s="390"/>
      <c r="TMD5" s="390"/>
      <c r="TME5" s="390"/>
      <c r="TMF5" s="390"/>
      <c r="TMG5" s="390"/>
      <c r="TMH5" s="390"/>
      <c r="TMI5" s="390"/>
      <c r="TMJ5" s="390"/>
      <c r="TMK5" s="390"/>
      <c r="TML5" s="390"/>
      <c r="TMM5" s="390"/>
      <c r="TMN5" s="390"/>
      <c r="TMO5" s="390"/>
      <c r="TMP5" s="390"/>
      <c r="TMQ5" s="390"/>
      <c r="TMR5" s="390"/>
      <c r="TMS5" s="390"/>
      <c r="TMT5" s="390"/>
      <c r="TMU5" s="390"/>
      <c r="TMV5" s="390"/>
      <c r="TMW5" s="390"/>
      <c r="TMX5" s="390"/>
      <c r="TMY5" s="390"/>
      <c r="TMZ5" s="390"/>
      <c r="TNA5" s="390"/>
      <c r="TNB5" s="390"/>
      <c r="TNC5" s="390"/>
      <c r="TND5" s="390"/>
      <c r="TNE5" s="390"/>
      <c r="TNF5" s="390"/>
      <c r="TNG5" s="390"/>
      <c r="TNH5" s="390"/>
      <c r="TNI5" s="390"/>
      <c r="TNJ5" s="390"/>
      <c r="TNK5" s="390"/>
      <c r="TNL5" s="390"/>
      <c r="TNM5" s="390"/>
      <c r="TNN5" s="390"/>
      <c r="TNO5" s="390"/>
      <c r="TNP5" s="390"/>
      <c r="TNQ5" s="390"/>
      <c r="TNR5" s="390"/>
      <c r="TNS5" s="390"/>
      <c r="TNT5" s="390"/>
      <c r="TNU5" s="390"/>
      <c r="TNV5" s="390"/>
      <c r="TNW5" s="390"/>
      <c r="TNX5" s="390"/>
      <c r="TNY5" s="390"/>
      <c r="TNZ5" s="390"/>
      <c r="TOA5" s="390"/>
      <c r="TOB5" s="390"/>
      <c r="TOC5" s="390"/>
      <c r="TOD5" s="390"/>
      <c r="TOE5" s="390"/>
      <c r="TOF5" s="390"/>
      <c r="TOG5" s="390"/>
      <c r="TOH5" s="390"/>
      <c r="TOI5" s="390"/>
      <c r="TOJ5" s="390"/>
      <c r="TOK5" s="390"/>
      <c r="TOL5" s="390"/>
      <c r="TOM5" s="390"/>
      <c r="TON5" s="390"/>
      <c r="TOO5" s="390"/>
      <c r="TOP5" s="390"/>
      <c r="TOQ5" s="390"/>
      <c r="TOR5" s="390"/>
      <c r="TOS5" s="390"/>
      <c r="TOT5" s="390"/>
      <c r="TOU5" s="390"/>
      <c r="TOV5" s="390"/>
      <c r="TOW5" s="390"/>
      <c r="TOX5" s="390"/>
      <c r="TOY5" s="390"/>
      <c r="TOZ5" s="390"/>
      <c r="TPA5" s="390"/>
      <c r="TPB5" s="390"/>
      <c r="TPC5" s="390"/>
      <c r="TPD5" s="390"/>
      <c r="TPE5" s="390"/>
      <c r="TPF5" s="390"/>
      <c r="TPG5" s="390"/>
      <c r="TPH5" s="390"/>
      <c r="TPI5" s="390"/>
      <c r="TPJ5" s="390"/>
      <c r="TPK5" s="390"/>
      <c r="TPL5" s="390"/>
      <c r="TPM5" s="390"/>
      <c r="TPN5" s="390"/>
      <c r="TPO5" s="390"/>
      <c r="TPP5" s="390"/>
      <c r="TPQ5" s="390"/>
      <c r="TPR5" s="390"/>
      <c r="TPS5" s="390"/>
      <c r="TPT5" s="390"/>
      <c r="TPU5" s="390"/>
      <c r="TPV5" s="390"/>
      <c r="TPW5" s="390"/>
      <c r="TPX5" s="390"/>
      <c r="TPY5" s="390"/>
      <c r="TPZ5" s="390"/>
      <c r="TQA5" s="390"/>
      <c r="TQB5" s="390"/>
      <c r="TQC5" s="390"/>
      <c r="TQD5" s="390"/>
      <c r="TQE5" s="390"/>
      <c r="TQF5" s="390"/>
      <c r="TQG5" s="390"/>
      <c r="TQH5" s="390"/>
      <c r="TQI5" s="390"/>
      <c r="TQJ5" s="390"/>
      <c r="TQK5" s="390"/>
      <c r="TQL5" s="390"/>
      <c r="TQM5" s="390"/>
      <c r="TQN5" s="390"/>
      <c r="TQO5" s="390"/>
      <c r="TQP5" s="390"/>
      <c r="TQQ5" s="390"/>
      <c r="TQR5" s="390"/>
      <c r="TQS5" s="390"/>
      <c r="TQT5" s="390"/>
      <c r="TQU5" s="390"/>
      <c r="TQV5" s="390"/>
      <c r="TQW5" s="390"/>
      <c r="TQX5" s="390"/>
      <c r="TQY5" s="390"/>
      <c r="TQZ5" s="390"/>
      <c r="TRA5" s="390"/>
      <c r="TRB5" s="390"/>
      <c r="TRC5" s="390"/>
      <c r="TRD5" s="390"/>
      <c r="TRE5" s="390"/>
      <c r="TRF5" s="390"/>
      <c r="TRG5" s="390"/>
      <c r="TRH5" s="390"/>
      <c r="TRI5" s="390"/>
      <c r="TRJ5" s="390"/>
      <c r="TRK5" s="390"/>
      <c r="TRL5" s="390"/>
      <c r="TRM5" s="390"/>
      <c r="TRN5" s="390"/>
      <c r="TRO5" s="390"/>
      <c r="TRP5" s="390"/>
      <c r="TRQ5" s="390"/>
      <c r="TRR5" s="390"/>
      <c r="TRS5" s="390"/>
      <c r="TRT5" s="390"/>
      <c r="TRU5" s="390"/>
      <c r="TRV5" s="390"/>
      <c r="TRW5" s="390"/>
      <c r="TRX5" s="390"/>
      <c r="TRY5" s="390"/>
      <c r="TRZ5" s="390"/>
      <c r="TSA5" s="390"/>
      <c r="TSB5" s="390"/>
      <c r="TSC5" s="390"/>
      <c r="TSD5" s="390"/>
      <c r="TSE5" s="390"/>
      <c r="TSF5" s="390"/>
      <c r="TSG5" s="390"/>
      <c r="TSH5" s="390"/>
      <c r="TSI5" s="390"/>
      <c r="TSJ5" s="390"/>
      <c r="TSK5" s="390"/>
      <c r="TSL5" s="390"/>
      <c r="TSM5" s="390"/>
      <c r="TSN5" s="390"/>
      <c r="TSO5" s="390"/>
      <c r="TSP5" s="390"/>
      <c r="TSQ5" s="390"/>
      <c r="TSR5" s="390"/>
      <c r="TSS5" s="390"/>
      <c r="TST5" s="390"/>
      <c r="TSU5" s="390"/>
      <c r="TSV5" s="390"/>
      <c r="TSW5" s="390"/>
      <c r="TSX5" s="390"/>
      <c r="TSY5" s="390"/>
      <c r="TSZ5" s="390"/>
      <c r="TTA5" s="390"/>
      <c r="TTB5" s="390"/>
      <c r="TTC5" s="390"/>
      <c r="TTD5" s="390"/>
      <c r="TTE5" s="390"/>
      <c r="TTF5" s="390"/>
      <c r="TTG5" s="390"/>
      <c r="TTH5" s="390"/>
      <c r="TTI5" s="390"/>
      <c r="TTJ5" s="390"/>
      <c r="TTK5" s="390"/>
      <c r="TTL5" s="390"/>
      <c r="TTM5" s="390"/>
      <c r="TTN5" s="390"/>
      <c r="TTO5" s="390"/>
      <c r="TTP5" s="390"/>
      <c r="TTQ5" s="390"/>
      <c r="TTR5" s="390"/>
      <c r="TTS5" s="390"/>
      <c r="TTT5" s="390"/>
      <c r="TTU5" s="390"/>
      <c r="TTV5" s="390"/>
      <c r="TTW5" s="390"/>
      <c r="TTX5" s="390"/>
      <c r="TTY5" s="390"/>
      <c r="TTZ5" s="390"/>
      <c r="TUA5" s="390"/>
      <c r="TUB5" s="390"/>
      <c r="TUC5" s="390"/>
      <c r="TUD5" s="390"/>
      <c r="TUE5" s="390"/>
      <c r="TUF5" s="390"/>
      <c r="TUG5" s="390"/>
      <c r="TUH5" s="390"/>
      <c r="TUI5" s="390"/>
      <c r="TUJ5" s="390"/>
      <c r="TUK5" s="390"/>
      <c r="TUL5" s="390"/>
      <c r="TUM5" s="390"/>
      <c r="TUN5" s="390"/>
      <c r="TUO5" s="390"/>
      <c r="TUP5" s="390"/>
      <c r="TUQ5" s="390"/>
      <c r="TUR5" s="390"/>
      <c r="TUS5" s="390"/>
      <c r="TUT5" s="390"/>
      <c r="TUU5" s="390"/>
      <c r="TUV5" s="390"/>
      <c r="TUW5" s="390"/>
      <c r="TUX5" s="390"/>
      <c r="TUY5" s="390"/>
      <c r="TUZ5" s="390"/>
      <c r="TVA5" s="390"/>
      <c r="TVB5" s="390"/>
      <c r="TVC5" s="390"/>
      <c r="TVD5" s="390"/>
      <c r="TVE5" s="390"/>
      <c r="TVF5" s="390"/>
      <c r="TVG5" s="390"/>
      <c r="TVH5" s="390"/>
      <c r="TVI5" s="390"/>
      <c r="TVJ5" s="390"/>
      <c r="TVK5" s="390"/>
      <c r="TVL5" s="390"/>
      <c r="TVM5" s="390"/>
      <c r="TVN5" s="390"/>
      <c r="TVO5" s="390"/>
      <c r="TVP5" s="390"/>
      <c r="TVQ5" s="390"/>
      <c r="TVR5" s="390"/>
      <c r="TVS5" s="390"/>
      <c r="TVT5" s="390"/>
      <c r="TVU5" s="390"/>
      <c r="TVV5" s="390"/>
      <c r="TVW5" s="390"/>
      <c r="TVX5" s="390"/>
      <c r="TVY5" s="390"/>
      <c r="TVZ5" s="390"/>
      <c r="TWA5" s="390"/>
      <c r="TWB5" s="390"/>
      <c r="TWC5" s="390"/>
      <c r="TWD5" s="390"/>
      <c r="TWE5" s="390"/>
      <c r="TWF5" s="390"/>
      <c r="TWG5" s="390"/>
      <c r="TWH5" s="390"/>
      <c r="TWI5" s="390"/>
      <c r="TWJ5" s="390"/>
      <c r="TWK5" s="390"/>
      <c r="TWL5" s="390"/>
      <c r="TWM5" s="390"/>
      <c r="TWN5" s="390"/>
      <c r="TWO5" s="390"/>
      <c r="TWP5" s="390"/>
      <c r="TWQ5" s="390"/>
      <c r="TWR5" s="390"/>
      <c r="TWS5" s="390"/>
      <c r="TWT5" s="390"/>
      <c r="TWU5" s="390"/>
      <c r="TWV5" s="390"/>
      <c r="TWW5" s="390"/>
      <c r="TWX5" s="390"/>
      <c r="TWY5" s="390"/>
      <c r="TWZ5" s="390"/>
      <c r="TXA5" s="390"/>
      <c r="TXB5" s="390"/>
      <c r="TXC5" s="390"/>
      <c r="TXD5" s="390"/>
      <c r="TXE5" s="390"/>
      <c r="TXF5" s="390"/>
      <c r="TXG5" s="390"/>
      <c r="TXH5" s="390"/>
      <c r="TXI5" s="390"/>
      <c r="TXJ5" s="390"/>
      <c r="TXK5" s="390"/>
      <c r="TXL5" s="390"/>
      <c r="TXM5" s="390"/>
      <c r="TXN5" s="390"/>
      <c r="TXO5" s="390"/>
      <c r="TXP5" s="390"/>
      <c r="TXQ5" s="390"/>
      <c r="TXR5" s="390"/>
      <c r="TXS5" s="390"/>
      <c r="TXT5" s="390"/>
      <c r="TXU5" s="390"/>
      <c r="TXV5" s="390"/>
      <c r="TXW5" s="390"/>
      <c r="TXX5" s="390"/>
      <c r="TXY5" s="390"/>
      <c r="TXZ5" s="390"/>
      <c r="TYA5" s="390"/>
      <c r="TYB5" s="390"/>
      <c r="TYC5" s="390"/>
      <c r="TYD5" s="390"/>
      <c r="TYE5" s="390"/>
      <c r="TYF5" s="390"/>
      <c r="TYG5" s="390"/>
      <c r="TYH5" s="390"/>
      <c r="TYI5" s="390"/>
      <c r="TYJ5" s="390"/>
      <c r="TYK5" s="390"/>
      <c r="TYL5" s="390"/>
      <c r="TYM5" s="390"/>
      <c r="TYN5" s="390"/>
      <c r="TYO5" s="390"/>
      <c r="TYP5" s="390"/>
      <c r="TYQ5" s="390"/>
      <c r="TYR5" s="390"/>
      <c r="TYS5" s="390"/>
      <c r="TYT5" s="390"/>
      <c r="TYU5" s="390"/>
      <c r="TYV5" s="390"/>
      <c r="TYW5" s="390"/>
      <c r="TYX5" s="390"/>
      <c r="TYY5" s="390"/>
      <c r="TYZ5" s="390"/>
      <c r="TZA5" s="390"/>
      <c r="TZB5" s="390"/>
      <c r="TZC5" s="390"/>
      <c r="TZD5" s="390"/>
      <c r="TZE5" s="390"/>
      <c r="TZF5" s="390"/>
      <c r="TZG5" s="390"/>
      <c r="TZH5" s="390"/>
      <c r="TZI5" s="390"/>
      <c r="TZJ5" s="390"/>
      <c r="TZK5" s="390"/>
      <c r="TZL5" s="390"/>
      <c r="TZM5" s="390"/>
      <c r="TZN5" s="390"/>
      <c r="TZO5" s="390"/>
      <c r="TZP5" s="390"/>
      <c r="TZQ5" s="390"/>
      <c r="TZR5" s="390"/>
      <c r="TZS5" s="390"/>
      <c r="TZT5" s="390"/>
      <c r="TZU5" s="390"/>
      <c r="TZV5" s="390"/>
      <c r="TZW5" s="390"/>
      <c r="TZX5" s="390"/>
      <c r="TZY5" s="390"/>
      <c r="TZZ5" s="390"/>
      <c r="UAA5" s="390"/>
      <c r="UAB5" s="390"/>
      <c r="UAC5" s="390"/>
      <c r="UAD5" s="390"/>
      <c r="UAE5" s="390"/>
      <c r="UAF5" s="390"/>
      <c r="UAG5" s="390"/>
      <c r="UAH5" s="390"/>
      <c r="UAI5" s="390"/>
      <c r="UAJ5" s="390"/>
      <c r="UAK5" s="390"/>
      <c r="UAL5" s="390"/>
      <c r="UAM5" s="390"/>
      <c r="UAN5" s="390"/>
      <c r="UAO5" s="390"/>
      <c r="UAP5" s="390"/>
      <c r="UAQ5" s="390"/>
      <c r="UAR5" s="390"/>
      <c r="UAS5" s="390"/>
      <c r="UAT5" s="390"/>
      <c r="UAU5" s="390"/>
      <c r="UAV5" s="390"/>
      <c r="UAW5" s="390"/>
      <c r="UAX5" s="390"/>
      <c r="UAY5" s="390"/>
      <c r="UAZ5" s="390"/>
      <c r="UBA5" s="390"/>
      <c r="UBB5" s="390"/>
      <c r="UBC5" s="390"/>
      <c r="UBD5" s="390"/>
      <c r="UBE5" s="390"/>
      <c r="UBF5" s="390"/>
      <c r="UBG5" s="390"/>
      <c r="UBH5" s="390"/>
      <c r="UBI5" s="390"/>
      <c r="UBJ5" s="390"/>
      <c r="UBK5" s="390"/>
      <c r="UBL5" s="390"/>
      <c r="UBM5" s="390"/>
      <c r="UBN5" s="390"/>
      <c r="UBO5" s="390"/>
      <c r="UBP5" s="390"/>
      <c r="UBQ5" s="390"/>
      <c r="UBR5" s="390"/>
      <c r="UBS5" s="390"/>
      <c r="UBT5" s="390"/>
      <c r="UBU5" s="390"/>
      <c r="UBV5" s="390"/>
      <c r="UBW5" s="390"/>
      <c r="UBX5" s="390"/>
      <c r="UBY5" s="390"/>
      <c r="UBZ5" s="390"/>
      <c r="UCA5" s="390"/>
      <c r="UCB5" s="390"/>
      <c r="UCC5" s="390"/>
      <c r="UCD5" s="390"/>
      <c r="UCE5" s="390"/>
      <c r="UCF5" s="390"/>
      <c r="UCG5" s="390"/>
      <c r="UCH5" s="390"/>
      <c r="UCI5" s="390"/>
      <c r="UCJ5" s="390"/>
      <c r="UCK5" s="390"/>
      <c r="UCL5" s="390"/>
      <c r="UCM5" s="390"/>
      <c r="UCN5" s="390"/>
      <c r="UCO5" s="390"/>
      <c r="UCP5" s="390"/>
      <c r="UCQ5" s="390"/>
      <c r="UCR5" s="390"/>
      <c r="UCS5" s="390"/>
      <c r="UCT5" s="390"/>
      <c r="UCU5" s="390"/>
      <c r="UCV5" s="390"/>
      <c r="UCW5" s="390"/>
      <c r="UCX5" s="390"/>
      <c r="UCY5" s="390"/>
      <c r="UCZ5" s="390"/>
      <c r="UDA5" s="390"/>
      <c r="UDB5" s="390"/>
      <c r="UDC5" s="390"/>
      <c r="UDD5" s="390"/>
      <c r="UDE5" s="390"/>
      <c r="UDF5" s="390"/>
      <c r="UDG5" s="390"/>
      <c r="UDH5" s="390"/>
      <c r="UDI5" s="390"/>
      <c r="UDJ5" s="390"/>
      <c r="UDK5" s="390"/>
      <c r="UDL5" s="390"/>
      <c r="UDM5" s="390"/>
      <c r="UDN5" s="390"/>
      <c r="UDO5" s="390"/>
      <c r="UDP5" s="390"/>
      <c r="UDQ5" s="390"/>
      <c r="UDR5" s="390"/>
      <c r="UDS5" s="390"/>
      <c r="UDT5" s="390"/>
      <c r="UDU5" s="390"/>
      <c r="UDV5" s="390"/>
      <c r="UDW5" s="390"/>
      <c r="UDX5" s="390"/>
      <c r="UDY5" s="390"/>
      <c r="UDZ5" s="390"/>
      <c r="UEA5" s="390"/>
      <c r="UEB5" s="390"/>
      <c r="UEC5" s="390"/>
      <c r="UED5" s="390"/>
      <c r="UEE5" s="390"/>
      <c r="UEF5" s="390"/>
      <c r="UEG5" s="390"/>
      <c r="UEH5" s="390"/>
      <c r="UEI5" s="390"/>
      <c r="UEJ5" s="390"/>
      <c r="UEK5" s="390"/>
      <c r="UEL5" s="390"/>
      <c r="UEM5" s="390"/>
      <c r="UEN5" s="390"/>
      <c r="UEO5" s="390"/>
      <c r="UEP5" s="390"/>
      <c r="UEQ5" s="390"/>
      <c r="UER5" s="390"/>
      <c r="UES5" s="390"/>
      <c r="UET5" s="390"/>
      <c r="UEU5" s="390"/>
      <c r="UEV5" s="390"/>
      <c r="UEW5" s="390"/>
      <c r="UEX5" s="390"/>
      <c r="UEY5" s="390"/>
      <c r="UEZ5" s="390"/>
      <c r="UFA5" s="390"/>
      <c r="UFB5" s="390"/>
      <c r="UFC5" s="390"/>
      <c r="UFD5" s="390"/>
      <c r="UFE5" s="390"/>
      <c r="UFF5" s="390"/>
      <c r="UFG5" s="390"/>
      <c r="UFH5" s="390"/>
      <c r="UFI5" s="390"/>
      <c r="UFJ5" s="390"/>
      <c r="UFK5" s="390"/>
      <c r="UFL5" s="390"/>
      <c r="UFM5" s="390"/>
      <c r="UFN5" s="390"/>
      <c r="UFO5" s="390"/>
      <c r="UFP5" s="390"/>
      <c r="UFQ5" s="390"/>
      <c r="UFR5" s="390"/>
      <c r="UFS5" s="390"/>
      <c r="UFT5" s="390"/>
      <c r="UFU5" s="390"/>
      <c r="UFV5" s="390"/>
      <c r="UFW5" s="390"/>
      <c r="UFX5" s="390"/>
      <c r="UFY5" s="390"/>
      <c r="UFZ5" s="390"/>
      <c r="UGA5" s="390"/>
      <c r="UGB5" s="390"/>
      <c r="UGC5" s="390"/>
      <c r="UGD5" s="390"/>
      <c r="UGE5" s="390"/>
      <c r="UGF5" s="390"/>
      <c r="UGG5" s="390"/>
      <c r="UGH5" s="390"/>
      <c r="UGI5" s="390"/>
      <c r="UGJ5" s="390"/>
      <c r="UGK5" s="390"/>
      <c r="UGL5" s="390"/>
      <c r="UGM5" s="390"/>
      <c r="UGN5" s="390"/>
      <c r="UGO5" s="390"/>
      <c r="UGP5" s="390"/>
      <c r="UGQ5" s="390"/>
      <c r="UGR5" s="390"/>
      <c r="UGS5" s="390"/>
      <c r="UGT5" s="390"/>
      <c r="UGU5" s="390"/>
      <c r="UGV5" s="390"/>
      <c r="UGW5" s="390"/>
      <c r="UGX5" s="390"/>
      <c r="UGY5" s="390"/>
      <c r="UGZ5" s="390"/>
      <c r="UHA5" s="390"/>
      <c r="UHB5" s="390"/>
      <c r="UHC5" s="390"/>
      <c r="UHD5" s="390"/>
      <c r="UHE5" s="390"/>
      <c r="UHF5" s="390"/>
      <c r="UHG5" s="390"/>
      <c r="UHH5" s="390"/>
      <c r="UHI5" s="390"/>
      <c r="UHJ5" s="390"/>
      <c r="UHK5" s="390"/>
      <c r="UHL5" s="390"/>
      <c r="UHM5" s="390"/>
      <c r="UHN5" s="390"/>
      <c r="UHO5" s="390"/>
      <c r="UHP5" s="390"/>
      <c r="UHQ5" s="390"/>
      <c r="UHR5" s="390"/>
      <c r="UHS5" s="390"/>
      <c r="UHT5" s="390"/>
      <c r="UHU5" s="390"/>
      <c r="UHV5" s="390"/>
      <c r="UHW5" s="390"/>
      <c r="UHX5" s="390"/>
      <c r="UHY5" s="390"/>
      <c r="UHZ5" s="390"/>
      <c r="UIA5" s="390"/>
      <c r="UIB5" s="390"/>
      <c r="UIC5" s="390"/>
      <c r="UID5" s="390"/>
      <c r="UIE5" s="390"/>
      <c r="UIF5" s="390"/>
      <c r="UIG5" s="390"/>
      <c r="UIH5" s="390"/>
      <c r="UII5" s="390"/>
      <c r="UIJ5" s="390"/>
      <c r="UIK5" s="390"/>
      <c r="UIL5" s="390"/>
      <c r="UIM5" s="390"/>
      <c r="UIN5" s="390"/>
      <c r="UIO5" s="390"/>
      <c r="UIP5" s="390"/>
      <c r="UIQ5" s="390"/>
      <c r="UIR5" s="390"/>
      <c r="UIS5" s="390"/>
      <c r="UIT5" s="390"/>
      <c r="UIU5" s="390"/>
      <c r="UIV5" s="390"/>
      <c r="UIW5" s="390"/>
      <c r="UIX5" s="390"/>
      <c r="UIY5" s="390"/>
      <c r="UIZ5" s="390"/>
      <c r="UJA5" s="390"/>
      <c r="UJB5" s="390"/>
      <c r="UJC5" s="390"/>
      <c r="UJD5" s="390"/>
      <c r="UJE5" s="390"/>
      <c r="UJF5" s="390"/>
      <c r="UJG5" s="390"/>
      <c r="UJH5" s="390"/>
      <c r="UJI5" s="390"/>
      <c r="UJJ5" s="390"/>
      <c r="UJK5" s="390"/>
      <c r="UJL5" s="390"/>
      <c r="UJM5" s="390"/>
      <c r="UJN5" s="390"/>
      <c r="UJO5" s="390"/>
      <c r="UJP5" s="390"/>
      <c r="UJQ5" s="390"/>
      <c r="UJR5" s="390"/>
      <c r="UJS5" s="390"/>
      <c r="UJT5" s="390"/>
      <c r="UJU5" s="390"/>
      <c r="UJV5" s="390"/>
      <c r="UJW5" s="390"/>
      <c r="UJX5" s="390"/>
      <c r="UJY5" s="390"/>
      <c r="UJZ5" s="390"/>
      <c r="UKA5" s="390"/>
      <c r="UKB5" s="390"/>
      <c r="UKC5" s="390"/>
      <c r="UKD5" s="390"/>
      <c r="UKE5" s="390"/>
      <c r="UKF5" s="390"/>
      <c r="UKG5" s="390"/>
      <c r="UKH5" s="390"/>
      <c r="UKI5" s="390"/>
      <c r="UKJ5" s="390"/>
      <c r="UKK5" s="390"/>
      <c r="UKL5" s="390"/>
      <c r="UKM5" s="390"/>
      <c r="UKN5" s="390"/>
      <c r="UKO5" s="390"/>
      <c r="UKP5" s="390"/>
      <c r="UKQ5" s="390"/>
      <c r="UKR5" s="390"/>
      <c r="UKS5" s="390"/>
      <c r="UKT5" s="390"/>
      <c r="UKU5" s="390"/>
      <c r="UKV5" s="390"/>
      <c r="UKW5" s="390"/>
      <c r="UKX5" s="390"/>
      <c r="UKY5" s="390"/>
      <c r="UKZ5" s="390"/>
      <c r="ULA5" s="390"/>
      <c r="ULB5" s="390"/>
      <c r="ULC5" s="390"/>
      <c r="ULD5" s="390"/>
      <c r="ULE5" s="390"/>
      <c r="ULF5" s="390"/>
      <c r="ULG5" s="390"/>
      <c r="ULH5" s="390"/>
      <c r="ULI5" s="390"/>
      <c r="ULJ5" s="390"/>
      <c r="ULK5" s="390"/>
      <c r="ULL5" s="390"/>
      <c r="ULM5" s="390"/>
      <c r="ULN5" s="390"/>
      <c r="ULO5" s="390"/>
      <c r="ULP5" s="390"/>
      <c r="ULQ5" s="390"/>
      <c r="ULR5" s="390"/>
      <c r="ULS5" s="390"/>
      <c r="ULT5" s="390"/>
      <c r="ULU5" s="390"/>
      <c r="ULV5" s="390"/>
      <c r="ULW5" s="390"/>
      <c r="ULX5" s="390"/>
      <c r="ULY5" s="390"/>
      <c r="ULZ5" s="390"/>
      <c r="UMA5" s="390"/>
      <c r="UMB5" s="390"/>
      <c r="UMC5" s="390"/>
      <c r="UMD5" s="390"/>
      <c r="UME5" s="390"/>
      <c r="UMF5" s="390"/>
      <c r="UMG5" s="390"/>
      <c r="UMH5" s="390"/>
      <c r="UMI5" s="390"/>
      <c r="UMJ5" s="390"/>
      <c r="UMK5" s="390"/>
      <c r="UML5" s="390"/>
      <c r="UMM5" s="390"/>
      <c r="UMN5" s="390"/>
      <c r="UMO5" s="390"/>
      <c r="UMP5" s="390"/>
      <c r="UMQ5" s="390"/>
      <c r="UMR5" s="390"/>
      <c r="UMS5" s="390"/>
      <c r="UMT5" s="390"/>
      <c r="UMU5" s="390"/>
      <c r="UMV5" s="390"/>
      <c r="UMW5" s="390"/>
      <c r="UMX5" s="390"/>
      <c r="UMY5" s="390"/>
      <c r="UMZ5" s="390"/>
      <c r="UNA5" s="390"/>
      <c r="UNB5" s="390"/>
      <c r="UNC5" s="390"/>
      <c r="UND5" s="390"/>
      <c r="UNE5" s="390"/>
      <c r="UNF5" s="390"/>
      <c r="UNG5" s="390"/>
      <c r="UNH5" s="390"/>
      <c r="UNI5" s="390"/>
      <c r="UNJ5" s="390"/>
      <c r="UNK5" s="390"/>
      <c r="UNL5" s="390"/>
      <c r="UNM5" s="390"/>
      <c r="UNN5" s="390"/>
      <c r="UNO5" s="390"/>
      <c r="UNP5" s="390"/>
      <c r="UNQ5" s="390"/>
      <c r="UNR5" s="390"/>
      <c r="UNS5" s="390"/>
      <c r="UNT5" s="390"/>
      <c r="UNU5" s="390"/>
      <c r="UNV5" s="390"/>
      <c r="UNW5" s="390"/>
      <c r="UNX5" s="390"/>
      <c r="UNY5" s="390"/>
      <c r="UNZ5" s="390"/>
      <c r="UOA5" s="390"/>
      <c r="UOB5" s="390"/>
      <c r="UOC5" s="390"/>
      <c r="UOD5" s="390"/>
      <c r="UOE5" s="390"/>
      <c r="UOF5" s="390"/>
      <c r="UOG5" s="390"/>
      <c r="UOH5" s="390"/>
      <c r="UOI5" s="390"/>
      <c r="UOJ5" s="390"/>
      <c r="UOK5" s="390"/>
      <c r="UOL5" s="390"/>
      <c r="UOM5" s="390"/>
      <c r="UON5" s="390"/>
      <c r="UOO5" s="390"/>
      <c r="UOP5" s="390"/>
      <c r="UOQ5" s="390"/>
      <c r="UOR5" s="390"/>
      <c r="UOS5" s="390"/>
      <c r="UOT5" s="390"/>
      <c r="UOU5" s="390"/>
      <c r="UOV5" s="390"/>
      <c r="UOW5" s="390"/>
      <c r="UOX5" s="390"/>
      <c r="UOY5" s="390"/>
      <c r="UOZ5" s="390"/>
      <c r="UPA5" s="390"/>
      <c r="UPB5" s="390"/>
      <c r="UPC5" s="390"/>
      <c r="UPD5" s="390"/>
      <c r="UPE5" s="390"/>
      <c r="UPF5" s="390"/>
      <c r="UPG5" s="390"/>
      <c r="UPH5" s="390"/>
      <c r="UPI5" s="390"/>
      <c r="UPJ5" s="390"/>
      <c r="UPK5" s="390"/>
      <c r="UPL5" s="390"/>
      <c r="UPM5" s="390"/>
      <c r="UPN5" s="390"/>
      <c r="UPO5" s="390"/>
      <c r="UPP5" s="390"/>
      <c r="UPQ5" s="390"/>
      <c r="UPR5" s="390"/>
      <c r="UPS5" s="390"/>
      <c r="UPT5" s="390"/>
      <c r="UPU5" s="390"/>
      <c r="UPV5" s="390"/>
      <c r="UPW5" s="390"/>
      <c r="UPX5" s="390"/>
      <c r="UPY5" s="390"/>
      <c r="UPZ5" s="390"/>
      <c r="UQA5" s="390"/>
      <c r="UQB5" s="390"/>
      <c r="UQC5" s="390"/>
      <c r="UQD5" s="390"/>
      <c r="UQE5" s="390"/>
      <c r="UQF5" s="390"/>
      <c r="UQG5" s="390"/>
      <c r="UQH5" s="390"/>
      <c r="UQI5" s="390"/>
      <c r="UQJ5" s="390"/>
      <c r="UQK5" s="390"/>
      <c r="UQL5" s="390"/>
      <c r="UQM5" s="390"/>
      <c r="UQN5" s="390"/>
      <c r="UQO5" s="390"/>
      <c r="UQP5" s="390"/>
      <c r="UQQ5" s="390"/>
      <c r="UQR5" s="390"/>
      <c r="UQS5" s="390"/>
      <c r="UQT5" s="390"/>
      <c r="UQU5" s="390"/>
      <c r="UQV5" s="390"/>
      <c r="UQW5" s="390"/>
      <c r="UQX5" s="390"/>
      <c r="UQY5" s="390"/>
      <c r="UQZ5" s="390"/>
      <c r="URA5" s="390"/>
      <c r="URB5" s="390"/>
      <c r="URC5" s="390"/>
      <c r="URD5" s="390"/>
      <c r="URE5" s="390"/>
      <c r="URF5" s="390"/>
      <c r="URG5" s="390"/>
      <c r="URH5" s="390"/>
      <c r="URI5" s="390"/>
      <c r="URJ5" s="390"/>
      <c r="URK5" s="390"/>
      <c r="URL5" s="390"/>
      <c r="URM5" s="390"/>
      <c r="URN5" s="390"/>
      <c r="URO5" s="390"/>
      <c r="URP5" s="390"/>
      <c r="URQ5" s="390"/>
      <c r="URR5" s="390"/>
      <c r="URS5" s="390"/>
      <c r="URT5" s="390"/>
      <c r="URU5" s="390"/>
      <c r="URV5" s="390"/>
      <c r="URW5" s="390"/>
      <c r="URX5" s="390"/>
      <c r="URY5" s="390"/>
      <c r="URZ5" s="390"/>
      <c r="USA5" s="390"/>
      <c r="USB5" s="390"/>
      <c r="USC5" s="390"/>
      <c r="USD5" s="390"/>
      <c r="USE5" s="390"/>
      <c r="USF5" s="390"/>
      <c r="USG5" s="390"/>
      <c r="USH5" s="390"/>
      <c r="USI5" s="390"/>
      <c r="USJ5" s="390"/>
      <c r="USK5" s="390"/>
      <c r="USL5" s="390"/>
      <c r="USM5" s="390"/>
      <c r="USN5" s="390"/>
      <c r="USO5" s="390"/>
      <c r="USP5" s="390"/>
      <c r="USQ5" s="390"/>
      <c r="USR5" s="390"/>
      <c r="USS5" s="390"/>
      <c r="UST5" s="390"/>
      <c r="USU5" s="390"/>
      <c r="USV5" s="390"/>
      <c r="USW5" s="390"/>
      <c r="USX5" s="390"/>
      <c r="USY5" s="390"/>
      <c r="USZ5" s="390"/>
      <c r="UTA5" s="390"/>
      <c r="UTB5" s="390"/>
      <c r="UTC5" s="390"/>
      <c r="UTD5" s="390"/>
      <c r="UTE5" s="390"/>
      <c r="UTF5" s="390"/>
      <c r="UTG5" s="390"/>
      <c r="UTH5" s="390"/>
      <c r="UTI5" s="390"/>
      <c r="UTJ5" s="390"/>
      <c r="UTK5" s="390"/>
      <c r="UTL5" s="390"/>
      <c r="UTM5" s="390"/>
      <c r="UTN5" s="390"/>
      <c r="UTO5" s="390"/>
      <c r="UTP5" s="390"/>
      <c r="UTQ5" s="390"/>
      <c r="UTR5" s="390"/>
      <c r="UTS5" s="390"/>
      <c r="UTT5" s="390"/>
      <c r="UTU5" s="390"/>
      <c r="UTV5" s="390"/>
      <c r="UTW5" s="390"/>
      <c r="UTX5" s="390"/>
      <c r="UTY5" s="390"/>
      <c r="UTZ5" s="390"/>
      <c r="UUA5" s="390"/>
      <c r="UUB5" s="390"/>
      <c r="UUC5" s="390"/>
      <c r="UUD5" s="390"/>
      <c r="UUE5" s="390"/>
      <c r="UUF5" s="390"/>
      <c r="UUG5" s="390"/>
      <c r="UUH5" s="390"/>
      <c r="UUI5" s="390"/>
      <c r="UUJ5" s="390"/>
      <c r="UUK5" s="390"/>
      <c r="UUL5" s="390"/>
      <c r="UUM5" s="390"/>
      <c r="UUN5" s="390"/>
      <c r="UUO5" s="390"/>
      <c r="UUP5" s="390"/>
      <c r="UUQ5" s="390"/>
      <c r="UUR5" s="390"/>
      <c r="UUS5" s="390"/>
      <c r="UUT5" s="390"/>
      <c r="UUU5" s="390"/>
      <c r="UUV5" s="390"/>
      <c r="UUW5" s="390"/>
      <c r="UUX5" s="390"/>
      <c r="UUY5" s="390"/>
      <c r="UUZ5" s="390"/>
      <c r="UVA5" s="390"/>
      <c r="UVB5" s="390"/>
      <c r="UVC5" s="390"/>
      <c r="UVD5" s="390"/>
      <c r="UVE5" s="390"/>
      <c r="UVF5" s="390"/>
      <c r="UVG5" s="390"/>
      <c r="UVH5" s="390"/>
      <c r="UVI5" s="390"/>
      <c r="UVJ5" s="390"/>
      <c r="UVK5" s="390"/>
      <c r="UVL5" s="390"/>
      <c r="UVM5" s="390"/>
      <c r="UVN5" s="390"/>
      <c r="UVO5" s="390"/>
      <c r="UVP5" s="390"/>
      <c r="UVQ5" s="390"/>
      <c r="UVR5" s="390"/>
      <c r="UVS5" s="390"/>
      <c r="UVT5" s="390"/>
      <c r="UVU5" s="390"/>
      <c r="UVV5" s="390"/>
      <c r="UVW5" s="390"/>
      <c r="UVX5" s="390"/>
      <c r="UVY5" s="390"/>
      <c r="UVZ5" s="390"/>
      <c r="UWA5" s="390"/>
      <c r="UWB5" s="390"/>
      <c r="UWC5" s="390"/>
      <c r="UWD5" s="390"/>
      <c r="UWE5" s="390"/>
      <c r="UWF5" s="390"/>
      <c r="UWG5" s="390"/>
      <c r="UWH5" s="390"/>
      <c r="UWI5" s="390"/>
      <c r="UWJ5" s="390"/>
      <c r="UWK5" s="390"/>
      <c r="UWL5" s="390"/>
      <c r="UWM5" s="390"/>
      <c r="UWN5" s="390"/>
      <c r="UWO5" s="390"/>
      <c r="UWP5" s="390"/>
      <c r="UWQ5" s="390"/>
      <c r="UWR5" s="390"/>
      <c r="UWS5" s="390"/>
      <c r="UWT5" s="390"/>
      <c r="UWU5" s="390"/>
      <c r="UWV5" s="390"/>
      <c r="UWW5" s="390"/>
      <c r="UWX5" s="390"/>
      <c r="UWY5" s="390"/>
      <c r="UWZ5" s="390"/>
      <c r="UXA5" s="390"/>
      <c r="UXB5" s="390"/>
      <c r="UXC5" s="390"/>
      <c r="UXD5" s="390"/>
      <c r="UXE5" s="390"/>
      <c r="UXF5" s="390"/>
      <c r="UXG5" s="390"/>
      <c r="UXH5" s="390"/>
      <c r="UXI5" s="390"/>
      <c r="UXJ5" s="390"/>
      <c r="UXK5" s="390"/>
      <c r="UXL5" s="390"/>
      <c r="UXM5" s="390"/>
      <c r="UXN5" s="390"/>
      <c r="UXO5" s="390"/>
      <c r="UXP5" s="390"/>
      <c r="UXQ5" s="390"/>
      <c r="UXR5" s="390"/>
      <c r="UXS5" s="390"/>
      <c r="UXT5" s="390"/>
      <c r="UXU5" s="390"/>
      <c r="UXV5" s="390"/>
      <c r="UXW5" s="390"/>
      <c r="UXX5" s="390"/>
      <c r="UXY5" s="390"/>
      <c r="UXZ5" s="390"/>
      <c r="UYA5" s="390"/>
      <c r="UYB5" s="390"/>
      <c r="UYC5" s="390"/>
      <c r="UYD5" s="390"/>
      <c r="UYE5" s="390"/>
      <c r="UYF5" s="390"/>
      <c r="UYG5" s="390"/>
      <c r="UYH5" s="390"/>
      <c r="UYI5" s="390"/>
      <c r="UYJ5" s="390"/>
      <c r="UYK5" s="390"/>
      <c r="UYL5" s="390"/>
      <c r="UYM5" s="390"/>
      <c r="UYN5" s="390"/>
      <c r="UYO5" s="390"/>
      <c r="UYP5" s="390"/>
      <c r="UYQ5" s="390"/>
      <c r="UYR5" s="390"/>
      <c r="UYS5" s="390"/>
      <c r="UYT5" s="390"/>
      <c r="UYU5" s="390"/>
      <c r="UYV5" s="390"/>
      <c r="UYW5" s="390"/>
      <c r="UYX5" s="390"/>
      <c r="UYY5" s="390"/>
      <c r="UYZ5" s="390"/>
      <c r="UZA5" s="390"/>
      <c r="UZB5" s="390"/>
      <c r="UZC5" s="390"/>
      <c r="UZD5" s="390"/>
      <c r="UZE5" s="390"/>
      <c r="UZF5" s="390"/>
      <c r="UZG5" s="390"/>
      <c r="UZH5" s="390"/>
      <c r="UZI5" s="390"/>
      <c r="UZJ5" s="390"/>
      <c r="UZK5" s="390"/>
      <c r="UZL5" s="390"/>
      <c r="UZM5" s="390"/>
      <c r="UZN5" s="390"/>
      <c r="UZO5" s="390"/>
      <c r="UZP5" s="390"/>
      <c r="UZQ5" s="390"/>
      <c r="UZR5" s="390"/>
      <c r="UZS5" s="390"/>
      <c r="UZT5" s="390"/>
      <c r="UZU5" s="390"/>
      <c r="UZV5" s="390"/>
      <c r="UZW5" s="390"/>
      <c r="UZX5" s="390"/>
      <c r="UZY5" s="390"/>
      <c r="UZZ5" s="390"/>
      <c r="VAA5" s="390"/>
      <c r="VAB5" s="390"/>
      <c r="VAC5" s="390"/>
      <c r="VAD5" s="390"/>
      <c r="VAE5" s="390"/>
      <c r="VAF5" s="390"/>
      <c r="VAG5" s="390"/>
      <c r="VAH5" s="390"/>
      <c r="VAI5" s="390"/>
      <c r="VAJ5" s="390"/>
      <c r="VAK5" s="390"/>
      <c r="VAL5" s="390"/>
      <c r="VAM5" s="390"/>
      <c r="VAN5" s="390"/>
      <c r="VAO5" s="390"/>
      <c r="VAP5" s="390"/>
      <c r="VAQ5" s="390"/>
      <c r="VAR5" s="390"/>
      <c r="VAS5" s="390"/>
      <c r="VAT5" s="390"/>
      <c r="VAU5" s="390"/>
      <c r="VAV5" s="390"/>
      <c r="VAW5" s="390"/>
      <c r="VAX5" s="390"/>
      <c r="VAY5" s="390"/>
      <c r="VAZ5" s="390"/>
      <c r="VBA5" s="390"/>
      <c r="VBB5" s="390"/>
      <c r="VBC5" s="390"/>
      <c r="VBD5" s="390"/>
      <c r="VBE5" s="390"/>
      <c r="VBF5" s="390"/>
      <c r="VBG5" s="390"/>
      <c r="VBH5" s="390"/>
      <c r="VBI5" s="390"/>
      <c r="VBJ5" s="390"/>
      <c r="VBK5" s="390"/>
      <c r="VBL5" s="390"/>
      <c r="VBM5" s="390"/>
      <c r="VBN5" s="390"/>
      <c r="VBO5" s="390"/>
      <c r="VBP5" s="390"/>
      <c r="VBQ5" s="390"/>
      <c r="VBR5" s="390"/>
      <c r="VBS5" s="390"/>
      <c r="VBT5" s="390"/>
      <c r="VBU5" s="390"/>
      <c r="VBV5" s="390"/>
      <c r="VBW5" s="390"/>
      <c r="VBX5" s="390"/>
      <c r="VBY5" s="390"/>
      <c r="VBZ5" s="390"/>
      <c r="VCA5" s="390"/>
      <c r="VCB5" s="390"/>
      <c r="VCC5" s="390"/>
      <c r="VCD5" s="390"/>
      <c r="VCE5" s="390"/>
      <c r="VCF5" s="390"/>
      <c r="VCG5" s="390"/>
      <c r="VCH5" s="390"/>
      <c r="VCI5" s="390"/>
      <c r="VCJ5" s="390"/>
      <c r="VCK5" s="390"/>
      <c r="VCL5" s="390"/>
      <c r="VCM5" s="390"/>
      <c r="VCN5" s="390"/>
      <c r="VCO5" s="390"/>
      <c r="VCP5" s="390"/>
      <c r="VCQ5" s="390"/>
      <c r="VCR5" s="390"/>
      <c r="VCS5" s="390"/>
      <c r="VCT5" s="390"/>
      <c r="VCU5" s="390"/>
      <c r="VCV5" s="390"/>
      <c r="VCW5" s="390"/>
      <c r="VCX5" s="390"/>
      <c r="VCY5" s="390"/>
      <c r="VCZ5" s="390"/>
      <c r="VDA5" s="390"/>
      <c r="VDB5" s="390"/>
      <c r="VDC5" s="390"/>
      <c r="VDD5" s="390"/>
      <c r="VDE5" s="390"/>
      <c r="VDF5" s="390"/>
      <c r="VDG5" s="390"/>
      <c r="VDH5" s="390"/>
      <c r="VDI5" s="390"/>
      <c r="VDJ5" s="390"/>
      <c r="VDK5" s="390"/>
      <c r="VDL5" s="390"/>
      <c r="VDM5" s="390"/>
      <c r="VDN5" s="390"/>
      <c r="VDO5" s="390"/>
      <c r="VDP5" s="390"/>
      <c r="VDQ5" s="390"/>
      <c r="VDR5" s="390"/>
      <c r="VDS5" s="390"/>
      <c r="VDT5" s="390"/>
      <c r="VDU5" s="390"/>
      <c r="VDV5" s="390"/>
      <c r="VDW5" s="390"/>
      <c r="VDX5" s="390"/>
      <c r="VDY5" s="390"/>
      <c r="VDZ5" s="390"/>
      <c r="VEA5" s="390"/>
      <c r="VEB5" s="390"/>
      <c r="VEC5" s="390"/>
      <c r="VED5" s="390"/>
      <c r="VEE5" s="390"/>
      <c r="VEF5" s="390"/>
      <c r="VEG5" s="390"/>
      <c r="VEH5" s="390"/>
      <c r="VEI5" s="390"/>
      <c r="VEJ5" s="390"/>
      <c r="VEK5" s="390"/>
      <c r="VEL5" s="390"/>
      <c r="VEM5" s="390"/>
      <c r="VEN5" s="390"/>
      <c r="VEO5" s="390"/>
      <c r="VEP5" s="390"/>
      <c r="VEQ5" s="390"/>
      <c r="VER5" s="390"/>
      <c r="VES5" s="390"/>
      <c r="VET5" s="390"/>
      <c r="VEU5" s="390"/>
      <c r="VEV5" s="390"/>
      <c r="VEW5" s="390"/>
      <c r="VEX5" s="390"/>
      <c r="VEY5" s="390"/>
      <c r="VEZ5" s="390"/>
      <c r="VFA5" s="390"/>
      <c r="VFB5" s="390"/>
      <c r="VFC5" s="390"/>
      <c r="VFD5" s="390"/>
      <c r="VFE5" s="390"/>
      <c r="VFF5" s="390"/>
      <c r="VFG5" s="390"/>
      <c r="VFH5" s="390"/>
      <c r="VFI5" s="390"/>
      <c r="VFJ5" s="390"/>
      <c r="VFK5" s="390"/>
      <c r="VFL5" s="390"/>
      <c r="VFM5" s="390"/>
      <c r="VFN5" s="390"/>
      <c r="VFO5" s="390"/>
      <c r="VFP5" s="390"/>
      <c r="VFQ5" s="390"/>
      <c r="VFR5" s="390"/>
      <c r="VFS5" s="390"/>
      <c r="VFT5" s="390"/>
      <c r="VFU5" s="390"/>
      <c r="VFV5" s="390"/>
      <c r="VFW5" s="390"/>
      <c r="VFX5" s="390"/>
      <c r="VFY5" s="390"/>
      <c r="VFZ5" s="390"/>
      <c r="VGA5" s="390"/>
      <c r="VGB5" s="390"/>
      <c r="VGC5" s="390"/>
      <c r="VGD5" s="390"/>
      <c r="VGE5" s="390"/>
      <c r="VGF5" s="390"/>
      <c r="VGG5" s="390"/>
      <c r="VGH5" s="390"/>
      <c r="VGI5" s="390"/>
      <c r="VGJ5" s="390"/>
      <c r="VGK5" s="390"/>
      <c r="VGL5" s="390"/>
      <c r="VGM5" s="390"/>
      <c r="VGN5" s="390"/>
      <c r="VGO5" s="390"/>
      <c r="VGP5" s="390"/>
      <c r="VGQ5" s="390"/>
      <c r="VGR5" s="390"/>
      <c r="VGS5" s="390"/>
      <c r="VGT5" s="390"/>
      <c r="VGU5" s="390"/>
      <c r="VGV5" s="390"/>
      <c r="VGW5" s="390"/>
      <c r="VGX5" s="390"/>
      <c r="VGY5" s="390"/>
      <c r="VGZ5" s="390"/>
      <c r="VHA5" s="390"/>
      <c r="VHB5" s="390"/>
      <c r="VHC5" s="390"/>
      <c r="VHD5" s="390"/>
      <c r="VHE5" s="390"/>
      <c r="VHF5" s="390"/>
      <c r="VHG5" s="390"/>
      <c r="VHH5" s="390"/>
      <c r="VHI5" s="390"/>
      <c r="VHJ5" s="390"/>
      <c r="VHK5" s="390"/>
      <c r="VHL5" s="390"/>
      <c r="VHM5" s="390"/>
      <c r="VHN5" s="390"/>
      <c r="VHO5" s="390"/>
      <c r="VHP5" s="390"/>
      <c r="VHQ5" s="390"/>
      <c r="VHR5" s="390"/>
      <c r="VHS5" s="390"/>
      <c r="VHT5" s="390"/>
      <c r="VHU5" s="390"/>
      <c r="VHV5" s="390"/>
      <c r="VHW5" s="390"/>
      <c r="VHX5" s="390"/>
      <c r="VHY5" s="390"/>
      <c r="VHZ5" s="390"/>
      <c r="VIA5" s="390"/>
      <c r="VIB5" s="390"/>
      <c r="VIC5" s="390"/>
      <c r="VID5" s="390"/>
      <c r="VIE5" s="390"/>
      <c r="VIF5" s="390"/>
      <c r="VIG5" s="390"/>
      <c r="VIH5" s="390"/>
      <c r="VII5" s="390"/>
      <c r="VIJ5" s="390"/>
      <c r="VIK5" s="390"/>
      <c r="VIL5" s="390"/>
      <c r="VIM5" s="390"/>
      <c r="VIN5" s="390"/>
      <c r="VIO5" s="390"/>
      <c r="VIP5" s="390"/>
      <c r="VIQ5" s="390"/>
      <c r="VIR5" s="390"/>
      <c r="VIS5" s="390"/>
      <c r="VIT5" s="390"/>
      <c r="VIU5" s="390"/>
      <c r="VIV5" s="390"/>
      <c r="VIW5" s="390"/>
      <c r="VIX5" s="390"/>
      <c r="VIY5" s="390"/>
      <c r="VIZ5" s="390"/>
      <c r="VJA5" s="390"/>
      <c r="VJB5" s="390"/>
      <c r="VJC5" s="390"/>
      <c r="VJD5" s="390"/>
      <c r="VJE5" s="390"/>
      <c r="VJF5" s="390"/>
      <c r="VJG5" s="390"/>
      <c r="VJH5" s="390"/>
      <c r="VJI5" s="390"/>
      <c r="VJJ5" s="390"/>
      <c r="VJK5" s="390"/>
      <c r="VJL5" s="390"/>
      <c r="VJM5" s="390"/>
      <c r="VJN5" s="390"/>
      <c r="VJO5" s="390"/>
      <c r="VJP5" s="390"/>
      <c r="VJQ5" s="390"/>
      <c r="VJR5" s="390"/>
      <c r="VJS5" s="390"/>
      <c r="VJT5" s="390"/>
      <c r="VJU5" s="390"/>
      <c r="VJV5" s="390"/>
      <c r="VJW5" s="390"/>
      <c r="VJX5" s="390"/>
      <c r="VJY5" s="390"/>
      <c r="VJZ5" s="390"/>
      <c r="VKA5" s="390"/>
      <c r="VKB5" s="390"/>
      <c r="VKC5" s="390"/>
      <c r="VKD5" s="390"/>
      <c r="VKE5" s="390"/>
      <c r="VKF5" s="390"/>
      <c r="VKG5" s="390"/>
      <c r="VKH5" s="390"/>
      <c r="VKI5" s="390"/>
      <c r="VKJ5" s="390"/>
      <c r="VKK5" s="390"/>
      <c r="VKL5" s="390"/>
      <c r="VKM5" s="390"/>
      <c r="VKN5" s="390"/>
      <c r="VKO5" s="390"/>
      <c r="VKP5" s="390"/>
      <c r="VKQ5" s="390"/>
      <c r="VKR5" s="390"/>
      <c r="VKS5" s="390"/>
      <c r="VKT5" s="390"/>
      <c r="VKU5" s="390"/>
      <c r="VKV5" s="390"/>
      <c r="VKW5" s="390"/>
      <c r="VKX5" s="390"/>
      <c r="VKY5" s="390"/>
      <c r="VKZ5" s="390"/>
      <c r="VLA5" s="390"/>
      <c r="VLB5" s="390"/>
      <c r="VLC5" s="390"/>
      <c r="VLD5" s="390"/>
      <c r="VLE5" s="390"/>
      <c r="VLF5" s="390"/>
      <c r="VLG5" s="390"/>
      <c r="VLH5" s="390"/>
      <c r="VLI5" s="390"/>
      <c r="VLJ5" s="390"/>
      <c r="VLK5" s="390"/>
      <c r="VLL5" s="390"/>
      <c r="VLM5" s="390"/>
      <c r="VLN5" s="390"/>
      <c r="VLO5" s="390"/>
      <c r="VLP5" s="390"/>
      <c r="VLQ5" s="390"/>
      <c r="VLR5" s="390"/>
      <c r="VLS5" s="390"/>
      <c r="VLT5" s="390"/>
      <c r="VLU5" s="390"/>
      <c r="VLV5" s="390"/>
      <c r="VLW5" s="390"/>
      <c r="VLX5" s="390"/>
      <c r="VLY5" s="390"/>
      <c r="VLZ5" s="390"/>
      <c r="VMA5" s="390"/>
      <c r="VMB5" s="390"/>
      <c r="VMC5" s="390"/>
      <c r="VMD5" s="390"/>
      <c r="VME5" s="390"/>
      <c r="VMF5" s="390"/>
      <c r="VMG5" s="390"/>
      <c r="VMH5" s="390"/>
      <c r="VMI5" s="390"/>
      <c r="VMJ5" s="390"/>
      <c r="VMK5" s="390"/>
      <c r="VML5" s="390"/>
      <c r="VMM5" s="390"/>
      <c r="VMN5" s="390"/>
      <c r="VMO5" s="390"/>
      <c r="VMP5" s="390"/>
      <c r="VMQ5" s="390"/>
      <c r="VMR5" s="390"/>
      <c r="VMS5" s="390"/>
      <c r="VMT5" s="390"/>
      <c r="VMU5" s="390"/>
      <c r="VMV5" s="390"/>
      <c r="VMW5" s="390"/>
      <c r="VMX5" s="390"/>
      <c r="VMY5" s="390"/>
      <c r="VMZ5" s="390"/>
      <c r="VNA5" s="390"/>
      <c r="VNB5" s="390"/>
      <c r="VNC5" s="390"/>
      <c r="VND5" s="390"/>
      <c r="VNE5" s="390"/>
      <c r="VNF5" s="390"/>
      <c r="VNG5" s="390"/>
      <c r="VNH5" s="390"/>
      <c r="VNI5" s="390"/>
      <c r="VNJ5" s="390"/>
      <c r="VNK5" s="390"/>
      <c r="VNL5" s="390"/>
      <c r="VNM5" s="390"/>
      <c r="VNN5" s="390"/>
      <c r="VNO5" s="390"/>
      <c r="VNP5" s="390"/>
      <c r="VNQ5" s="390"/>
      <c r="VNR5" s="390"/>
      <c r="VNS5" s="390"/>
      <c r="VNT5" s="390"/>
      <c r="VNU5" s="390"/>
      <c r="VNV5" s="390"/>
      <c r="VNW5" s="390"/>
      <c r="VNX5" s="390"/>
      <c r="VNY5" s="390"/>
      <c r="VNZ5" s="390"/>
      <c r="VOA5" s="390"/>
      <c r="VOB5" s="390"/>
      <c r="VOC5" s="390"/>
      <c r="VOD5" s="390"/>
      <c r="VOE5" s="390"/>
      <c r="VOF5" s="390"/>
      <c r="VOG5" s="390"/>
      <c r="VOH5" s="390"/>
      <c r="VOI5" s="390"/>
      <c r="VOJ5" s="390"/>
      <c r="VOK5" s="390"/>
      <c r="VOL5" s="390"/>
      <c r="VOM5" s="390"/>
      <c r="VON5" s="390"/>
      <c r="VOO5" s="390"/>
      <c r="VOP5" s="390"/>
      <c r="VOQ5" s="390"/>
      <c r="VOR5" s="390"/>
      <c r="VOS5" s="390"/>
      <c r="VOT5" s="390"/>
      <c r="VOU5" s="390"/>
      <c r="VOV5" s="390"/>
      <c r="VOW5" s="390"/>
      <c r="VOX5" s="390"/>
      <c r="VOY5" s="390"/>
      <c r="VOZ5" s="390"/>
      <c r="VPA5" s="390"/>
      <c r="VPB5" s="390"/>
      <c r="VPC5" s="390"/>
      <c r="VPD5" s="390"/>
      <c r="VPE5" s="390"/>
      <c r="VPF5" s="390"/>
      <c r="VPG5" s="390"/>
      <c r="VPH5" s="390"/>
      <c r="VPI5" s="390"/>
      <c r="VPJ5" s="390"/>
      <c r="VPK5" s="390"/>
      <c r="VPL5" s="390"/>
      <c r="VPM5" s="390"/>
      <c r="VPN5" s="390"/>
      <c r="VPO5" s="390"/>
      <c r="VPP5" s="390"/>
      <c r="VPQ5" s="390"/>
      <c r="VPR5" s="390"/>
      <c r="VPS5" s="390"/>
      <c r="VPT5" s="390"/>
      <c r="VPU5" s="390"/>
      <c r="VPV5" s="390"/>
      <c r="VPW5" s="390"/>
      <c r="VPX5" s="390"/>
      <c r="VPY5" s="390"/>
      <c r="VPZ5" s="390"/>
      <c r="VQA5" s="390"/>
      <c r="VQB5" s="390"/>
      <c r="VQC5" s="390"/>
      <c r="VQD5" s="390"/>
      <c r="VQE5" s="390"/>
      <c r="VQF5" s="390"/>
      <c r="VQG5" s="390"/>
      <c r="VQH5" s="390"/>
      <c r="VQI5" s="390"/>
      <c r="VQJ5" s="390"/>
      <c r="VQK5" s="390"/>
      <c r="VQL5" s="390"/>
      <c r="VQM5" s="390"/>
      <c r="VQN5" s="390"/>
      <c r="VQO5" s="390"/>
      <c r="VQP5" s="390"/>
      <c r="VQQ5" s="390"/>
      <c r="VQR5" s="390"/>
      <c r="VQS5" s="390"/>
      <c r="VQT5" s="390"/>
      <c r="VQU5" s="390"/>
      <c r="VQV5" s="390"/>
      <c r="VQW5" s="390"/>
      <c r="VQX5" s="390"/>
      <c r="VQY5" s="390"/>
      <c r="VQZ5" s="390"/>
      <c r="VRA5" s="390"/>
      <c r="VRB5" s="390"/>
      <c r="VRC5" s="390"/>
      <c r="VRD5" s="390"/>
      <c r="VRE5" s="390"/>
      <c r="VRF5" s="390"/>
      <c r="VRG5" s="390"/>
      <c r="VRH5" s="390"/>
      <c r="VRI5" s="390"/>
      <c r="VRJ5" s="390"/>
      <c r="VRK5" s="390"/>
      <c r="VRL5" s="390"/>
      <c r="VRM5" s="390"/>
      <c r="VRN5" s="390"/>
      <c r="VRO5" s="390"/>
      <c r="VRP5" s="390"/>
      <c r="VRQ5" s="390"/>
      <c r="VRR5" s="390"/>
      <c r="VRS5" s="390"/>
      <c r="VRT5" s="390"/>
      <c r="VRU5" s="390"/>
      <c r="VRV5" s="390"/>
      <c r="VRW5" s="390"/>
      <c r="VRX5" s="390"/>
      <c r="VRY5" s="390"/>
      <c r="VRZ5" s="390"/>
      <c r="VSA5" s="390"/>
      <c r="VSB5" s="390"/>
      <c r="VSC5" s="390"/>
      <c r="VSD5" s="390"/>
      <c r="VSE5" s="390"/>
      <c r="VSF5" s="390"/>
      <c r="VSG5" s="390"/>
      <c r="VSH5" s="390"/>
      <c r="VSI5" s="390"/>
      <c r="VSJ5" s="390"/>
      <c r="VSK5" s="390"/>
      <c r="VSL5" s="390"/>
      <c r="VSM5" s="390"/>
      <c r="VSN5" s="390"/>
      <c r="VSO5" s="390"/>
      <c r="VSP5" s="390"/>
      <c r="VSQ5" s="390"/>
      <c r="VSR5" s="390"/>
      <c r="VSS5" s="390"/>
      <c r="VST5" s="390"/>
      <c r="VSU5" s="390"/>
      <c r="VSV5" s="390"/>
      <c r="VSW5" s="390"/>
      <c r="VSX5" s="390"/>
      <c r="VSY5" s="390"/>
      <c r="VSZ5" s="390"/>
      <c r="VTA5" s="390"/>
      <c r="VTB5" s="390"/>
      <c r="VTC5" s="390"/>
      <c r="VTD5" s="390"/>
      <c r="VTE5" s="390"/>
      <c r="VTF5" s="390"/>
      <c r="VTG5" s="390"/>
      <c r="VTH5" s="390"/>
      <c r="VTI5" s="390"/>
      <c r="VTJ5" s="390"/>
      <c r="VTK5" s="390"/>
      <c r="VTL5" s="390"/>
      <c r="VTM5" s="390"/>
      <c r="VTN5" s="390"/>
      <c r="VTO5" s="390"/>
      <c r="VTP5" s="390"/>
      <c r="VTQ5" s="390"/>
      <c r="VTR5" s="390"/>
      <c r="VTS5" s="390"/>
      <c r="VTT5" s="390"/>
      <c r="VTU5" s="390"/>
      <c r="VTV5" s="390"/>
      <c r="VTW5" s="390"/>
      <c r="VTX5" s="390"/>
      <c r="VTY5" s="390"/>
      <c r="VTZ5" s="390"/>
      <c r="VUA5" s="390"/>
      <c r="VUB5" s="390"/>
      <c r="VUC5" s="390"/>
      <c r="VUD5" s="390"/>
      <c r="VUE5" s="390"/>
      <c r="VUF5" s="390"/>
      <c r="VUG5" s="390"/>
      <c r="VUH5" s="390"/>
      <c r="VUI5" s="390"/>
      <c r="VUJ5" s="390"/>
      <c r="VUK5" s="390"/>
      <c r="VUL5" s="390"/>
      <c r="VUM5" s="390"/>
      <c r="VUN5" s="390"/>
      <c r="VUO5" s="390"/>
      <c r="VUP5" s="390"/>
      <c r="VUQ5" s="390"/>
      <c r="VUR5" s="390"/>
      <c r="VUS5" s="390"/>
      <c r="VUT5" s="390"/>
      <c r="VUU5" s="390"/>
      <c r="VUV5" s="390"/>
      <c r="VUW5" s="390"/>
      <c r="VUX5" s="390"/>
      <c r="VUY5" s="390"/>
      <c r="VUZ5" s="390"/>
      <c r="VVA5" s="390"/>
      <c r="VVB5" s="390"/>
      <c r="VVC5" s="390"/>
      <c r="VVD5" s="390"/>
      <c r="VVE5" s="390"/>
      <c r="VVF5" s="390"/>
      <c r="VVG5" s="390"/>
      <c r="VVH5" s="390"/>
      <c r="VVI5" s="390"/>
      <c r="VVJ5" s="390"/>
      <c r="VVK5" s="390"/>
      <c r="VVL5" s="390"/>
      <c r="VVM5" s="390"/>
      <c r="VVN5" s="390"/>
      <c r="VVO5" s="390"/>
      <c r="VVP5" s="390"/>
      <c r="VVQ5" s="390"/>
      <c r="VVR5" s="390"/>
      <c r="VVS5" s="390"/>
      <c r="VVT5" s="390"/>
      <c r="VVU5" s="390"/>
      <c r="VVV5" s="390"/>
      <c r="VVW5" s="390"/>
      <c r="VVX5" s="390"/>
      <c r="VVY5" s="390"/>
      <c r="VVZ5" s="390"/>
      <c r="VWA5" s="390"/>
      <c r="VWB5" s="390"/>
      <c r="VWC5" s="390"/>
      <c r="VWD5" s="390"/>
      <c r="VWE5" s="390"/>
      <c r="VWF5" s="390"/>
      <c r="VWG5" s="390"/>
      <c r="VWH5" s="390"/>
      <c r="VWI5" s="390"/>
      <c r="VWJ5" s="390"/>
      <c r="VWK5" s="390"/>
      <c r="VWL5" s="390"/>
      <c r="VWM5" s="390"/>
      <c r="VWN5" s="390"/>
      <c r="VWO5" s="390"/>
      <c r="VWP5" s="390"/>
      <c r="VWQ5" s="390"/>
      <c r="VWR5" s="390"/>
      <c r="VWS5" s="390"/>
      <c r="VWT5" s="390"/>
      <c r="VWU5" s="390"/>
      <c r="VWV5" s="390"/>
      <c r="VWW5" s="390"/>
      <c r="VWX5" s="390"/>
      <c r="VWY5" s="390"/>
      <c r="VWZ5" s="390"/>
      <c r="VXA5" s="390"/>
      <c r="VXB5" s="390"/>
      <c r="VXC5" s="390"/>
      <c r="VXD5" s="390"/>
      <c r="VXE5" s="390"/>
      <c r="VXF5" s="390"/>
      <c r="VXG5" s="390"/>
      <c r="VXH5" s="390"/>
      <c r="VXI5" s="390"/>
      <c r="VXJ5" s="390"/>
      <c r="VXK5" s="390"/>
      <c r="VXL5" s="390"/>
      <c r="VXM5" s="390"/>
      <c r="VXN5" s="390"/>
      <c r="VXO5" s="390"/>
      <c r="VXP5" s="390"/>
      <c r="VXQ5" s="390"/>
      <c r="VXR5" s="390"/>
      <c r="VXS5" s="390"/>
      <c r="VXT5" s="390"/>
      <c r="VXU5" s="390"/>
      <c r="VXV5" s="390"/>
      <c r="VXW5" s="390"/>
      <c r="VXX5" s="390"/>
      <c r="VXY5" s="390"/>
      <c r="VXZ5" s="390"/>
      <c r="VYA5" s="390"/>
      <c r="VYB5" s="390"/>
      <c r="VYC5" s="390"/>
      <c r="VYD5" s="390"/>
      <c r="VYE5" s="390"/>
      <c r="VYF5" s="390"/>
      <c r="VYG5" s="390"/>
      <c r="VYH5" s="390"/>
      <c r="VYI5" s="390"/>
      <c r="VYJ5" s="390"/>
      <c r="VYK5" s="390"/>
      <c r="VYL5" s="390"/>
      <c r="VYM5" s="390"/>
      <c r="VYN5" s="390"/>
      <c r="VYO5" s="390"/>
      <c r="VYP5" s="390"/>
      <c r="VYQ5" s="390"/>
      <c r="VYR5" s="390"/>
      <c r="VYS5" s="390"/>
      <c r="VYT5" s="390"/>
      <c r="VYU5" s="390"/>
      <c r="VYV5" s="390"/>
      <c r="VYW5" s="390"/>
      <c r="VYX5" s="390"/>
      <c r="VYY5" s="390"/>
      <c r="VYZ5" s="390"/>
      <c r="VZA5" s="390"/>
      <c r="VZB5" s="390"/>
      <c r="VZC5" s="390"/>
      <c r="VZD5" s="390"/>
      <c r="VZE5" s="390"/>
      <c r="VZF5" s="390"/>
      <c r="VZG5" s="390"/>
      <c r="VZH5" s="390"/>
      <c r="VZI5" s="390"/>
      <c r="VZJ5" s="390"/>
      <c r="VZK5" s="390"/>
      <c r="VZL5" s="390"/>
      <c r="VZM5" s="390"/>
      <c r="VZN5" s="390"/>
      <c r="VZO5" s="390"/>
      <c r="VZP5" s="390"/>
      <c r="VZQ5" s="390"/>
      <c r="VZR5" s="390"/>
      <c r="VZS5" s="390"/>
      <c r="VZT5" s="390"/>
      <c r="VZU5" s="390"/>
      <c r="VZV5" s="390"/>
      <c r="VZW5" s="390"/>
      <c r="VZX5" s="390"/>
      <c r="VZY5" s="390"/>
      <c r="VZZ5" s="390"/>
      <c r="WAA5" s="390"/>
      <c r="WAB5" s="390"/>
      <c r="WAC5" s="390"/>
      <c r="WAD5" s="390"/>
      <c r="WAE5" s="390"/>
      <c r="WAF5" s="390"/>
      <c r="WAG5" s="390"/>
      <c r="WAH5" s="390"/>
      <c r="WAI5" s="390"/>
      <c r="WAJ5" s="390"/>
      <c r="WAK5" s="390"/>
      <c r="WAL5" s="390"/>
      <c r="WAM5" s="390"/>
      <c r="WAN5" s="390"/>
      <c r="WAO5" s="390"/>
      <c r="WAP5" s="390"/>
      <c r="WAQ5" s="390"/>
      <c r="WAR5" s="390"/>
      <c r="WAS5" s="390"/>
      <c r="WAT5" s="390"/>
      <c r="WAU5" s="390"/>
      <c r="WAV5" s="390"/>
      <c r="WAW5" s="390"/>
      <c r="WAX5" s="390"/>
      <c r="WAY5" s="390"/>
      <c r="WAZ5" s="390"/>
      <c r="WBA5" s="390"/>
      <c r="WBB5" s="390"/>
      <c r="WBC5" s="390"/>
      <c r="WBD5" s="390"/>
      <c r="WBE5" s="390"/>
      <c r="WBF5" s="390"/>
      <c r="WBG5" s="390"/>
      <c r="WBH5" s="390"/>
      <c r="WBI5" s="390"/>
      <c r="WBJ5" s="390"/>
      <c r="WBK5" s="390"/>
      <c r="WBL5" s="390"/>
      <c r="WBM5" s="390"/>
      <c r="WBN5" s="390"/>
      <c r="WBO5" s="390"/>
      <c r="WBP5" s="390"/>
      <c r="WBQ5" s="390"/>
      <c r="WBR5" s="390"/>
      <c r="WBS5" s="390"/>
      <c r="WBT5" s="390"/>
      <c r="WBU5" s="390"/>
      <c r="WBV5" s="390"/>
      <c r="WBW5" s="390"/>
      <c r="WBX5" s="390"/>
      <c r="WBY5" s="390"/>
      <c r="WBZ5" s="390"/>
      <c r="WCA5" s="390"/>
      <c r="WCB5" s="390"/>
      <c r="WCC5" s="390"/>
      <c r="WCD5" s="390"/>
      <c r="WCE5" s="390"/>
      <c r="WCF5" s="390"/>
      <c r="WCG5" s="390"/>
      <c r="WCH5" s="390"/>
      <c r="WCI5" s="390"/>
      <c r="WCJ5" s="390"/>
      <c r="WCK5" s="390"/>
      <c r="WCL5" s="390"/>
      <c r="WCM5" s="390"/>
      <c r="WCN5" s="390"/>
      <c r="WCO5" s="390"/>
      <c r="WCP5" s="390"/>
      <c r="WCQ5" s="390"/>
      <c r="WCR5" s="390"/>
      <c r="WCS5" s="390"/>
      <c r="WCT5" s="390"/>
      <c r="WCU5" s="390"/>
      <c r="WCV5" s="390"/>
      <c r="WCW5" s="390"/>
      <c r="WCX5" s="390"/>
      <c r="WCY5" s="390"/>
      <c r="WCZ5" s="390"/>
      <c r="WDA5" s="390"/>
      <c r="WDB5" s="390"/>
      <c r="WDC5" s="390"/>
      <c r="WDD5" s="390"/>
      <c r="WDE5" s="390"/>
      <c r="WDF5" s="390"/>
      <c r="WDG5" s="390"/>
      <c r="WDH5" s="390"/>
      <c r="WDI5" s="390"/>
      <c r="WDJ5" s="390"/>
      <c r="WDK5" s="390"/>
      <c r="WDL5" s="390"/>
      <c r="WDM5" s="390"/>
      <c r="WDN5" s="390"/>
      <c r="WDO5" s="390"/>
      <c r="WDP5" s="390"/>
      <c r="WDQ5" s="390"/>
      <c r="WDR5" s="390"/>
      <c r="WDS5" s="390"/>
      <c r="WDT5" s="390"/>
      <c r="WDU5" s="390"/>
      <c r="WDV5" s="390"/>
      <c r="WDW5" s="390"/>
      <c r="WDX5" s="390"/>
      <c r="WDY5" s="390"/>
      <c r="WDZ5" s="390"/>
      <c r="WEA5" s="390"/>
      <c r="WEB5" s="390"/>
      <c r="WEC5" s="390"/>
      <c r="WED5" s="390"/>
      <c r="WEE5" s="390"/>
      <c r="WEF5" s="390"/>
      <c r="WEG5" s="390"/>
      <c r="WEH5" s="390"/>
      <c r="WEI5" s="390"/>
      <c r="WEJ5" s="390"/>
      <c r="WEK5" s="390"/>
      <c r="WEL5" s="390"/>
      <c r="WEM5" s="390"/>
      <c r="WEN5" s="390"/>
      <c r="WEO5" s="390"/>
      <c r="WEP5" s="390"/>
      <c r="WEQ5" s="390"/>
      <c r="WER5" s="390"/>
      <c r="WES5" s="390"/>
      <c r="WET5" s="390"/>
      <c r="WEU5" s="390"/>
      <c r="WEV5" s="390"/>
      <c r="WEW5" s="390"/>
      <c r="WEX5" s="390"/>
      <c r="WEY5" s="390"/>
      <c r="WEZ5" s="390"/>
      <c r="WFA5" s="390"/>
      <c r="WFB5" s="390"/>
      <c r="WFC5" s="390"/>
      <c r="WFD5" s="390"/>
      <c r="WFE5" s="390"/>
      <c r="WFF5" s="390"/>
      <c r="WFG5" s="390"/>
      <c r="WFH5" s="390"/>
      <c r="WFI5" s="390"/>
      <c r="WFJ5" s="390"/>
      <c r="WFK5" s="390"/>
      <c r="WFL5" s="390"/>
      <c r="WFM5" s="390"/>
      <c r="WFN5" s="390"/>
      <c r="WFO5" s="390"/>
      <c r="WFP5" s="390"/>
      <c r="WFQ5" s="390"/>
      <c r="WFR5" s="390"/>
      <c r="WFS5" s="390"/>
      <c r="WFT5" s="390"/>
      <c r="WFU5" s="390"/>
      <c r="WFV5" s="390"/>
      <c r="WFW5" s="390"/>
      <c r="WFX5" s="390"/>
      <c r="WFY5" s="390"/>
      <c r="WFZ5" s="390"/>
      <c r="WGA5" s="390"/>
      <c r="WGB5" s="390"/>
      <c r="WGC5" s="390"/>
      <c r="WGD5" s="390"/>
      <c r="WGE5" s="390"/>
      <c r="WGF5" s="390"/>
      <c r="WGG5" s="390"/>
      <c r="WGH5" s="390"/>
      <c r="WGI5" s="390"/>
      <c r="WGJ5" s="390"/>
      <c r="WGK5" s="390"/>
      <c r="WGL5" s="390"/>
      <c r="WGM5" s="390"/>
      <c r="WGN5" s="390"/>
      <c r="WGO5" s="390"/>
      <c r="WGP5" s="390"/>
      <c r="WGQ5" s="390"/>
      <c r="WGR5" s="390"/>
      <c r="WGS5" s="390"/>
      <c r="WGT5" s="390"/>
      <c r="WGU5" s="390"/>
      <c r="WGV5" s="390"/>
      <c r="WGW5" s="390"/>
      <c r="WGX5" s="390"/>
      <c r="WGY5" s="390"/>
      <c r="WGZ5" s="390"/>
      <c r="WHA5" s="390"/>
      <c r="WHB5" s="390"/>
      <c r="WHC5" s="390"/>
      <c r="WHD5" s="390"/>
      <c r="WHE5" s="390"/>
      <c r="WHF5" s="390"/>
      <c r="WHG5" s="390"/>
      <c r="WHH5" s="390"/>
      <c r="WHI5" s="390"/>
      <c r="WHJ5" s="390"/>
      <c r="WHK5" s="390"/>
      <c r="WHL5" s="390"/>
      <c r="WHM5" s="390"/>
      <c r="WHN5" s="390"/>
      <c r="WHO5" s="390"/>
      <c r="WHP5" s="390"/>
      <c r="WHQ5" s="390"/>
      <c r="WHR5" s="390"/>
      <c r="WHS5" s="390"/>
      <c r="WHT5" s="390"/>
      <c r="WHU5" s="390"/>
      <c r="WHV5" s="390"/>
      <c r="WHW5" s="390"/>
      <c r="WHX5" s="390"/>
      <c r="WHY5" s="390"/>
      <c r="WHZ5" s="390"/>
      <c r="WIA5" s="390"/>
      <c r="WIB5" s="390"/>
      <c r="WIC5" s="390"/>
      <c r="WID5" s="390"/>
      <c r="WIE5" s="390"/>
      <c r="WIF5" s="390"/>
      <c r="WIG5" s="390"/>
      <c r="WIH5" s="390"/>
      <c r="WII5" s="390"/>
      <c r="WIJ5" s="390"/>
      <c r="WIK5" s="390"/>
      <c r="WIL5" s="390"/>
      <c r="WIM5" s="390"/>
      <c r="WIN5" s="390"/>
      <c r="WIO5" s="390"/>
      <c r="WIP5" s="390"/>
      <c r="WIQ5" s="390"/>
      <c r="WIR5" s="390"/>
      <c r="WIS5" s="390"/>
      <c r="WIT5" s="390"/>
      <c r="WIU5" s="390"/>
      <c r="WIV5" s="390"/>
      <c r="WIW5" s="390"/>
      <c r="WIX5" s="390"/>
      <c r="WIY5" s="390"/>
      <c r="WIZ5" s="390"/>
      <c r="WJA5" s="390"/>
      <c r="WJB5" s="390"/>
      <c r="WJC5" s="390"/>
      <c r="WJD5" s="390"/>
      <c r="WJE5" s="390"/>
      <c r="WJF5" s="390"/>
      <c r="WJG5" s="390"/>
      <c r="WJH5" s="390"/>
      <c r="WJI5" s="390"/>
      <c r="WJJ5" s="390"/>
      <c r="WJK5" s="390"/>
      <c r="WJL5" s="390"/>
      <c r="WJM5" s="390"/>
      <c r="WJN5" s="390"/>
      <c r="WJO5" s="390"/>
      <c r="WJP5" s="390"/>
      <c r="WJQ5" s="390"/>
      <c r="WJR5" s="390"/>
      <c r="WJS5" s="390"/>
      <c r="WJT5" s="390"/>
      <c r="WJU5" s="390"/>
      <c r="WJV5" s="390"/>
      <c r="WJW5" s="390"/>
      <c r="WJX5" s="390"/>
      <c r="WJY5" s="390"/>
      <c r="WJZ5" s="390"/>
      <c r="WKA5" s="390"/>
      <c r="WKB5" s="390"/>
      <c r="WKC5" s="390"/>
      <c r="WKD5" s="390"/>
      <c r="WKE5" s="390"/>
      <c r="WKF5" s="390"/>
      <c r="WKG5" s="390"/>
      <c r="WKH5" s="390"/>
      <c r="WKI5" s="390"/>
      <c r="WKJ5" s="390"/>
      <c r="WKK5" s="390"/>
      <c r="WKL5" s="390"/>
      <c r="WKM5" s="390"/>
      <c r="WKN5" s="390"/>
      <c r="WKO5" s="390"/>
      <c r="WKP5" s="390"/>
      <c r="WKQ5" s="390"/>
      <c r="WKR5" s="390"/>
      <c r="WKS5" s="390"/>
      <c r="WKT5" s="390"/>
      <c r="WKU5" s="390"/>
      <c r="WKV5" s="390"/>
      <c r="WKW5" s="390"/>
      <c r="WKX5" s="390"/>
      <c r="WKY5" s="390"/>
      <c r="WKZ5" s="390"/>
      <c r="WLA5" s="390"/>
      <c r="WLB5" s="390"/>
      <c r="WLC5" s="390"/>
      <c r="WLD5" s="390"/>
      <c r="WLE5" s="390"/>
      <c r="WLF5" s="390"/>
      <c r="WLG5" s="390"/>
      <c r="WLH5" s="390"/>
      <c r="WLI5" s="390"/>
      <c r="WLJ5" s="390"/>
      <c r="WLK5" s="390"/>
      <c r="WLL5" s="390"/>
      <c r="WLM5" s="390"/>
      <c r="WLN5" s="390"/>
      <c r="WLO5" s="390"/>
      <c r="WLP5" s="390"/>
      <c r="WLQ5" s="390"/>
      <c r="WLR5" s="390"/>
      <c r="WLS5" s="390"/>
      <c r="WLT5" s="390"/>
      <c r="WLU5" s="390"/>
      <c r="WLV5" s="390"/>
      <c r="WLW5" s="390"/>
      <c r="WLX5" s="390"/>
      <c r="WLY5" s="390"/>
      <c r="WLZ5" s="390"/>
      <c r="WMA5" s="390"/>
      <c r="WMB5" s="390"/>
      <c r="WMC5" s="390"/>
      <c r="WMD5" s="390"/>
      <c r="WME5" s="390"/>
      <c r="WMF5" s="390"/>
      <c r="WMG5" s="390"/>
      <c r="WMH5" s="390"/>
      <c r="WMI5" s="390"/>
      <c r="WMJ5" s="390"/>
      <c r="WMK5" s="390"/>
      <c r="WML5" s="390"/>
      <c r="WMM5" s="390"/>
      <c r="WMN5" s="390"/>
      <c r="WMO5" s="390"/>
      <c r="WMP5" s="390"/>
      <c r="WMQ5" s="390"/>
      <c r="WMR5" s="390"/>
      <c r="WMS5" s="390"/>
      <c r="WMT5" s="390"/>
      <c r="WMU5" s="390"/>
      <c r="WMV5" s="390"/>
      <c r="WMW5" s="390"/>
      <c r="WMX5" s="390"/>
      <c r="WMY5" s="390"/>
      <c r="WMZ5" s="390"/>
      <c r="WNA5" s="390"/>
      <c r="WNB5" s="390"/>
      <c r="WNC5" s="390"/>
      <c r="WND5" s="390"/>
      <c r="WNE5" s="390"/>
      <c r="WNF5" s="390"/>
      <c r="WNG5" s="390"/>
      <c r="WNH5" s="390"/>
      <c r="WNI5" s="390"/>
      <c r="WNJ5" s="390"/>
      <c r="WNK5" s="390"/>
      <c r="WNL5" s="390"/>
      <c r="WNM5" s="390"/>
      <c r="WNN5" s="390"/>
      <c r="WNO5" s="390"/>
      <c r="WNP5" s="390"/>
      <c r="WNQ5" s="390"/>
      <c r="WNR5" s="390"/>
      <c r="WNS5" s="390"/>
      <c r="WNT5" s="390"/>
      <c r="WNU5" s="390"/>
      <c r="WNV5" s="390"/>
      <c r="WNW5" s="390"/>
      <c r="WNX5" s="390"/>
      <c r="WNY5" s="390"/>
      <c r="WNZ5" s="390"/>
      <c r="WOA5" s="390"/>
      <c r="WOB5" s="390"/>
      <c r="WOC5" s="390"/>
      <c r="WOD5" s="390"/>
      <c r="WOE5" s="390"/>
      <c r="WOF5" s="390"/>
      <c r="WOG5" s="390"/>
      <c r="WOH5" s="390"/>
      <c r="WOI5" s="390"/>
      <c r="WOJ5" s="390"/>
      <c r="WOK5" s="390"/>
      <c r="WOL5" s="390"/>
      <c r="WOM5" s="390"/>
      <c r="WON5" s="390"/>
      <c r="WOO5" s="390"/>
      <c r="WOP5" s="390"/>
      <c r="WOQ5" s="390"/>
      <c r="WOR5" s="390"/>
      <c r="WOS5" s="390"/>
      <c r="WOT5" s="390"/>
      <c r="WOU5" s="390"/>
      <c r="WOV5" s="390"/>
      <c r="WOW5" s="390"/>
      <c r="WOX5" s="390"/>
      <c r="WOY5" s="390"/>
      <c r="WOZ5" s="390"/>
      <c r="WPA5" s="390"/>
      <c r="WPB5" s="390"/>
      <c r="WPC5" s="390"/>
      <c r="WPD5" s="390"/>
      <c r="WPE5" s="390"/>
      <c r="WPF5" s="390"/>
      <c r="WPG5" s="390"/>
      <c r="WPH5" s="390"/>
      <c r="WPI5" s="390"/>
      <c r="WPJ5" s="390"/>
      <c r="WPK5" s="390"/>
      <c r="WPL5" s="390"/>
      <c r="WPM5" s="390"/>
      <c r="WPN5" s="390"/>
      <c r="WPO5" s="390"/>
      <c r="WPP5" s="390"/>
      <c r="WPQ5" s="390"/>
      <c r="WPR5" s="390"/>
      <c r="WPS5" s="390"/>
      <c r="WPT5" s="390"/>
      <c r="WPU5" s="390"/>
      <c r="WPV5" s="390"/>
      <c r="WPW5" s="390"/>
      <c r="WPX5" s="390"/>
      <c r="WPY5" s="390"/>
      <c r="WPZ5" s="390"/>
      <c r="WQA5" s="390"/>
      <c r="WQB5" s="390"/>
      <c r="WQC5" s="390"/>
      <c r="WQD5" s="390"/>
      <c r="WQE5" s="390"/>
      <c r="WQF5" s="390"/>
      <c r="WQG5" s="390"/>
      <c r="WQH5" s="390"/>
      <c r="WQI5" s="390"/>
      <c r="WQJ5" s="390"/>
      <c r="WQK5" s="390"/>
      <c r="WQL5" s="390"/>
      <c r="WQM5" s="390"/>
      <c r="WQN5" s="390"/>
      <c r="WQO5" s="390"/>
      <c r="WQP5" s="390"/>
      <c r="WQQ5" s="390"/>
      <c r="WQR5" s="390"/>
      <c r="WQS5" s="390"/>
      <c r="WQT5" s="390"/>
      <c r="WQU5" s="390"/>
      <c r="WQV5" s="390"/>
      <c r="WQW5" s="390"/>
      <c r="WQX5" s="390"/>
      <c r="WQY5" s="390"/>
      <c r="WQZ5" s="390"/>
      <c r="WRA5" s="390"/>
      <c r="WRB5" s="390"/>
      <c r="WRC5" s="390"/>
      <c r="WRD5" s="390"/>
      <c r="WRE5" s="390"/>
      <c r="WRF5" s="390"/>
      <c r="WRG5" s="390"/>
      <c r="WRH5" s="390"/>
      <c r="WRI5" s="390"/>
      <c r="WRJ5" s="390"/>
      <c r="WRK5" s="390"/>
      <c r="WRL5" s="390"/>
      <c r="WRM5" s="390"/>
      <c r="WRN5" s="390"/>
      <c r="WRO5" s="390"/>
      <c r="WRP5" s="390"/>
      <c r="WRQ5" s="390"/>
      <c r="WRR5" s="390"/>
      <c r="WRS5" s="390"/>
      <c r="WRT5" s="390"/>
      <c r="WRU5" s="390"/>
      <c r="WRV5" s="390"/>
      <c r="WRW5" s="390"/>
      <c r="WRX5" s="390"/>
      <c r="WRY5" s="390"/>
      <c r="WRZ5" s="390"/>
      <c r="WSA5" s="390"/>
      <c r="WSB5" s="390"/>
      <c r="WSC5" s="390"/>
      <c r="WSD5" s="390"/>
      <c r="WSE5" s="390"/>
      <c r="WSF5" s="390"/>
      <c r="WSG5" s="390"/>
      <c r="WSH5" s="390"/>
      <c r="WSI5" s="390"/>
      <c r="WSJ5" s="390"/>
      <c r="WSK5" s="390"/>
      <c r="WSL5" s="390"/>
      <c r="WSM5" s="390"/>
      <c r="WSN5" s="390"/>
      <c r="WSO5" s="390"/>
      <c r="WSP5" s="390"/>
      <c r="WSQ5" s="390"/>
      <c r="WSR5" s="390"/>
      <c r="WSS5" s="390"/>
      <c r="WST5" s="390"/>
      <c r="WSU5" s="390"/>
      <c r="WSV5" s="390"/>
      <c r="WSW5" s="390"/>
      <c r="WSX5" s="390"/>
      <c r="WSY5" s="390"/>
      <c r="WSZ5" s="390"/>
      <c r="WTA5" s="390"/>
      <c r="WTB5" s="390"/>
      <c r="WTC5" s="390"/>
      <c r="WTD5" s="390"/>
      <c r="WTE5" s="390"/>
      <c r="WTF5" s="390"/>
      <c r="WTG5" s="390"/>
      <c r="WTH5" s="390"/>
      <c r="WTI5" s="390"/>
      <c r="WTJ5" s="390"/>
      <c r="WTK5" s="390"/>
      <c r="WTL5" s="390"/>
      <c r="WTM5" s="390"/>
      <c r="WTN5" s="390"/>
      <c r="WTO5" s="390"/>
      <c r="WTP5" s="390"/>
      <c r="WTQ5" s="390"/>
      <c r="WTR5" s="390"/>
      <c r="WTS5" s="390"/>
      <c r="WTT5" s="390"/>
      <c r="WTU5" s="390"/>
      <c r="WTV5" s="390"/>
      <c r="WTW5" s="390"/>
      <c r="WTX5" s="390"/>
      <c r="WTY5" s="390"/>
      <c r="WTZ5" s="390"/>
      <c r="WUA5" s="390"/>
      <c r="WUB5" s="390"/>
      <c r="WUC5" s="390"/>
      <c r="WUD5" s="390"/>
      <c r="WUE5" s="390"/>
      <c r="WUF5" s="390"/>
      <c r="WUG5" s="390"/>
      <c r="WUH5" s="390"/>
      <c r="WUI5" s="390"/>
      <c r="WUJ5" s="390"/>
      <c r="WUK5" s="390"/>
      <c r="WUL5" s="390"/>
      <c r="WUM5" s="390"/>
      <c r="WUN5" s="390"/>
      <c r="WUO5" s="390"/>
      <c r="WUP5" s="390"/>
      <c r="WUQ5" s="390"/>
      <c r="WUR5" s="390"/>
      <c r="WUS5" s="390"/>
      <c r="WUT5" s="390"/>
      <c r="WUU5" s="390"/>
      <c r="WUV5" s="390"/>
      <c r="WUW5" s="390"/>
      <c r="WUX5" s="390"/>
      <c r="WUY5" s="390"/>
      <c r="WUZ5" s="390"/>
      <c r="WVA5" s="390"/>
      <c r="WVB5" s="390"/>
      <c r="WVC5" s="390"/>
      <c r="WVD5" s="390"/>
      <c r="WVE5" s="390"/>
      <c r="WVF5" s="390"/>
      <c r="WVG5" s="390"/>
      <c r="WVH5" s="390"/>
      <c r="WVI5" s="390"/>
      <c r="WVJ5" s="390"/>
      <c r="WVK5" s="390"/>
      <c r="WVL5" s="390"/>
      <c r="WVM5" s="390"/>
      <c r="WVN5" s="390"/>
      <c r="WVO5" s="390"/>
      <c r="WVP5" s="390"/>
      <c r="WVQ5" s="390"/>
      <c r="WVR5" s="390"/>
      <c r="WVS5" s="390"/>
      <c r="WVT5" s="390"/>
      <c r="WVU5" s="390"/>
      <c r="WVV5" s="390"/>
      <c r="WVW5" s="390"/>
      <c r="WVX5" s="390"/>
      <c r="WVY5" s="390"/>
      <c r="WVZ5" s="390"/>
      <c r="WWA5" s="390"/>
      <c r="WWB5" s="390"/>
      <c r="WWC5" s="390"/>
      <c r="WWD5" s="390"/>
      <c r="WWE5" s="390"/>
      <c r="WWF5" s="390"/>
      <c r="WWG5" s="390"/>
      <c r="WWH5" s="390"/>
      <c r="WWI5" s="390"/>
      <c r="WWJ5" s="390"/>
      <c r="WWK5" s="390"/>
      <c r="WWL5" s="390"/>
      <c r="WWM5" s="390"/>
      <c r="WWN5" s="390"/>
      <c r="WWO5" s="390"/>
      <c r="WWP5" s="390"/>
      <c r="WWQ5" s="390"/>
      <c r="WWR5" s="390"/>
      <c r="WWS5" s="390"/>
      <c r="WWT5" s="390"/>
      <c r="WWU5" s="390"/>
      <c r="WWV5" s="390"/>
      <c r="WWW5" s="390"/>
      <c r="WWX5" s="390"/>
      <c r="WWY5" s="390"/>
      <c r="WWZ5" s="390"/>
      <c r="WXA5" s="390"/>
      <c r="WXB5" s="390"/>
      <c r="WXC5" s="390"/>
      <c r="WXD5" s="390"/>
      <c r="WXE5" s="390"/>
      <c r="WXF5" s="390"/>
      <c r="WXG5" s="390"/>
      <c r="WXH5" s="390"/>
      <c r="WXI5" s="390"/>
      <c r="WXJ5" s="390"/>
      <c r="WXK5" s="390"/>
      <c r="WXL5" s="390"/>
      <c r="WXM5" s="390"/>
      <c r="WXN5" s="390"/>
      <c r="WXO5" s="390"/>
      <c r="WXP5" s="390"/>
      <c r="WXQ5" s="390"/>
      <c r="WXR5" s="390"/>
      <c r="WXS5" s="390"/>
      <c r="WXT5" s="390"/>
      <c r="WXU5" s="390"/>
      <c r="WXV5" s="390"/>
      <c r="WXW5" s="390"/>
      <c r="WXX5" s="390"/>
      <c r="WXY5" s="390"/>
      <c r="WXZ5" s="390"/>
      <c r="WYA5" s="390"/>
      <c r="WYB5" s="390"/>
      <c r="WYC5" s="390"/>
      <c r="WYD5" s="390"/>
      <c r="WYE5" s="390"/>
      <c r="WYF5" s="390"/>
      <c r="WYG5" s="390"/>
      <c r="WYH5" s="390"/>
      <c r="WYI5" s="390"/>
      <c r="WYJ5" s="390"/>
      <c r="WYK5" s="390"/>
      <c r="WYL5" s="390"/>
      <c r="WYM5" s="390"/>
      <c r="WYN5" s="390"/>
      <c r="WYO5" s="390"/>
      <c r="WYP5" s="390"/>
      <c r="WYQ5" s="390"/>
      <c r="WYR5" s="390"/>
      <c r="WYS5" s="390"/>
      <c r="WYT5" s="390"/>
      <c r="WYU5" s="390"/>
      <c r="WYV5" s="390"/>
      <c r="WYW5" s="390"/>
      <c r="WYX5" s="390"/>
      <c r="WYY5" s="390"/>
      <c r="WYZ5" s="390"/>
      <c r="WZA5" s="390"/>
      <c r="WZB5" s="390"/>
      <c r="WZC5" s="390"/>
      <c r="WZD5" s="390"/>
      <c r="WZE5" s="390"/>
      <c r="WZF5" s="390"/>
      <c r="WZG5" s="390"/>
      <c r="WZH5" s="390"/>
      <c r="WZI5" s="390"/>
      <c r="WZJ5" s="390"/>
      <c r="WZK5" s="390"/>
      <c r="WZL5" s="390"/>
      <c r="WZM5" s="390"/>
      <c r="WZN5" s="390"/>
      <c r="WZO5" s="390"/>
      <c r="WZP5" s="390"/>
      <c r="WZQ5" s="390"/>
      <c r="WZR5" s="390"/>
      <c r="WZS5" s="390"/>
      <c r="WZT5" s="390"/>
      <c r="WZU5" s="390"/>
      <c r="WZV5" s="390"/>
      <c r="WZW5" s="390"/>
      <c r="WZX5" s="390"/>
      <c r="WZY5" s="390"/>
      <c r="WZZ5" s="390"/>
      <c r="XAA5" s="390"/>
      <c r="XAB5" s="390"/>
      <c r="XAC5" s="390"/>
      <c r="XAD5" s="390"/>
      <c r="XAE5" s="390"/>
      <c r="XAF5" s="390"/>
      <c r="XAG5" s="390"/>
      <c r="XAH5" s="390"/>
      <c r="XAI5" s="390"/>
      <c r="XAJ5" s="390"/>
      <c r="XAK5" s="390"/>
      <c r="XAL5" s="390"/>
      <c r="XAM5" s="390"/>
      <c r="XAN5" s="390"/>
      <c r="XAO5" s="390"/>
      <c r="XAP5" s="390"/>
      <c r="XAQ5" s="390"/>
      <c r="XAR5" s="390"/>
      <c r="XAS5" s="390"/>
      <c r="XAT5" s="390"/>
      <c r="XAU5" s="390"/>
      <c r="XAV5" s="390"/>
      <c r="XAW5" s="390"/>
      <c r="XAX5" s="390"/>
      <c r="XAY5" s="390"/>
      <c r="XAZ5" s="390"/>
      <c r="XBA5" s="390"/>
      <c r="XBB5" s="390"/>
      <c r="XBC5" s="390"/>
      <c r="XBD5" s="390"/>
      <c r="XBE5" s="390"/>
      <c r="XBF5" s="390"/>
      <c r="XBG5" s="390"/>
      <c r="XBH5" s="390"/>
      <c r="XBI5" s="390"/>
      <c r="XBJ5" s="390"/>
      <c r="XBK5" s="390"/>
      <c r="XBL5" s="390"/>
      <c r="XBM5" s="390"/>
      <c r="XBN5" s="390"/>
      <c r="XBO5" s="390"/>
      <c r="XBP5" s="390"/>
      <c r="XBQ5" s="390"/>
      <c r="XBR5" s="390"/>
      <c r="XBS5" s="390"/>
      <c r="XBT5" s="390"/>
      <c r="XBU5" s="390"/>
      <c r="XBV5" s="390"/>
      <c r="XBW5" s="390"/>
      <c r="XBX5" s="390"/>
      <c r="XBY5" s="390"/>
      <c r="XBZ5" s="390"/>
      <c r="XCA5" s="390"/>
      <c r="XCB5" s="390"/>
      <c r="XCC5" s="390"/>
      <c r="XCD5" s="390"/>
      <c r="XCE5" s="390"/>
      <c r="XCF5" s="390"/>
      <c r="XCG5" s="390"/>
      <c r="XCH5" s="390"/>
      <c r="XCI5" s="390"/>
      <c r="XCJ5" s="390"/>
      <c r="XCK5" s="390"/>
      <c r="XCL5" s="390"/>
      <c r="XCM5" s="390"/>
      <c r="XCN5" s="390"/>
      <c r="XCO5" s="390"/>
      <c r="XCP5" s="390"/>
      <c r="XCQ5" s="390"/>
      <c r="XCR5" s="390"/>
      <c r="XCS5" s="390"/>
      <c r="XCT5" s="390"/>
      <c r="XCU5" s="390"/>
      <c r="XCV5" s="390"/>
      <c r="XCW5" s="390"/>
      <c r="XCX5" s="390"/>
      <c r="XCY5" s="390"/>
      <c r="XCZ5" s="390"/>
      <c r="XDA5" s="390"/>
      <c r="XDB5" s="390"/>
      <c r="XDC5" s="390"/>
      <c r="XDD5" s="390"/>
      <c r="XDE5" s="390"/>
      <c r="XDF5" s="390"/>
      <c r="XDG5" s="390"/>
      <c r="XDH5" s="390"/>
      <c r="XDI5" s="390"/>
      <c r="XDJ5" s="390"/>
      <c r="XDK5" s="390"/>
      <c r="XDL5" s="390"/>
      <c r="XDM5" s="390"/>
      <c r="XDN5" s="390"/>
      <c r="XDO5" s="390"/>
      <c r="XDP5" s="390"/>
      <c r="XDQ5" s="390"/>
      <c r="XDR5" s="390"/>
      <c r="XDS5" s="390"/>
      <c r="XDT5" s="390"/>
      <c r="XDU5" s="390"/>
      <c r="XDV5" s="390"/>
      <c r="XDW5" s="390"/>
      <c r="XDX5" s="390"/>
      <c r="XDY5" s="390"/>
      <c r="XDZ5" s="390"/>
      <c r="XEA5" s="390"/>
      <c r="XEB5" s="390"/>
      <c r="XEC5" s="390"/>
      <c r="XED5" s="390"/>
      <c r="XEE5" s="390"/>
      <c r="XEF5" s="390"/>
      <c r="XEG5" s="390"/>
      <c r="XEH5" s="390"/>
      <c r="XEI5" s="390"/>
      <c r="XEJ5" s="390"/>
      <c r="XEK5" s="390"/>
      <c r="XEL5" s="390"/>
      <c r="XEM5" s="390"/>
      <c r="XEN5" s="390"/>
      <c r="XEO5" s="390"/>
      <c r="XEP5" s="390"/>
      <c r="XEQ5" s="390"/>
      <c r="XER5" s="390"/>
      <c r="XES5" s="390"/>
      <c r="XET5" s="390"/>
      <c r="XEU5" s="390"/>
      <c r="XEV5" s="390"/>
      <c r="XEW5" s="390"/>
      <c r="XEX5" s="390"/>
      <c r="XEY5" s="390"/>
      <c r="XEZ5" s="390"/>
      <c r="XFA5" s="390"/>
      <c r="XFB5" s="390"/>
    </row>
    <row r="6" spans="1:16382" x14ac:dyDescent="0.45">
      <c r="A6" s="390" t="s">
        <v>2034</v>
      </c>
      <c r="B6" s="390"/>
      <c r="C6" s="390"/>
      <c r="D6" s="390"/>
      <c r="E6" s="390"/>
      <c r="F6" s="390"/>
      <c r="G6" s="390"/>
      <c r="H6" s="390"/>
      <c r="I6" s="392"/>
      <c r="J6" s="392"/>
      <c r="K6" s="392"/>
      <c r="L6" s="392"/>
      <c r="M6" s="392"/>
      <c r="N6" s="392"/>
    </row>
    <row r="7" spans="1:16382" x14ac:dyDescent="0.45">
      <c r="A7" s="399"/>
      <c r="B7" s="399"/>
      <c r="C7" s="399"/>
      <c r="D7" s="400"/>
      <c r="E7" s="400"/>
      <c r="F7" s="400"/>
      <c r="G7" s="400"/>
      <c r="H7" s="400"/>
    </row>
    <row r="8" spans="1:16382" s="2" customFormat="1" x14ac:dyDescent="0.45">
      <c r="A8" s="401" t="s">
        <v>2035</v>
      </c>
      <c r="B8" s="402"/>
      <c r="C8" s="402"/>
      <c r="D8" s="403"/>
      <c r="E8" s="403"/>
      <c r="F8" s="403"/>
      <c r="G8" s="403"/>
      <c r="H8" s="404"/>
    </row>
    <row r="9" spans="1:16382" s="2" customFormat="1" x14ac:dyDescent="0.45">
      <c r="A9" s="393" t="s">
        <v>4</v>
      </c>
      <c r="B9" s="394"/>
      <c r="C9" s="394"/>
      <c r="D9" s="394"/>
      <c r="E9" s="394"/>
      <c r="F9" s="394"/>
      <c r="G9" s="394"/>
      <c r="H9" s="395"/>
    </row>
    <row r="10" spans="1:16382" s="2" customFormat="1" x14ac:dyDescent="0.45">
      <c r="A10" s="396" t="s">
        <v>5143</v>
      </c>
      <c r="B10" s="397"/>
      <c r="C10" s="397"/>
      <c r="D10" s="397"/>
      <c r="E10" s="397"/>
      <c r="F10" s="397"/>
      <c r="G10" s="397"/>
      <c r="H10" s="398"/>
    </row>
    <row r="11" spans="1:16382" ht="24.6" x14ac:dyDescent="0.45">
      <c r="A11" s="3" t="s">
        <v>5</v>
      </c>
      <c r="B11" s="221" t="s">
        <v>5002</v>
      </c>
      <c r="C11" s="221" t="s">
        <v>6</v>
      </c>
      <c r="D11" s="5" t="s">
        <v>7</v>
      </c>
      <c r="E11" s="3" t="s">
        <v>8</v>
      </c>
      <c r="F11" s="3" t="s">
        <v>9</v>
      </c>
      <c r="G11" s="3" t="s">
        <v>10</v>
      </c>
      <c r="H11" s="3" t="s">
        <v>11</v>
      </c>
    </row>
    <row r="12" spans="1:16382" s="11" customFormat="1" ht="4.95" customHeight="1" x14ac:dyDescent="0.45">
      <c r="A12" s="6"/>
      <c r="B12" s="7"/>
      <c r="C12" s="7"/>
      <c r="D12" s="8"/>
      <c r="E12" s="7"/>
      <c r="F12" s="9"/>
      <c r="G12" s="9"/>
      <c r="H12" s="10"/>
    </row>
    <row r="13" spans="1:16382" x14ac:dyDescent="0.45">
      <c r="A13" s="12" t="s">
        <v>2036</v>
      </c>
      <c r="B13" s="13"/>
      <c r="C13" s="13"/>
      <c r="D13" s="246" t="s">
        <v>13</v>
      </c>
      <c r="E13" s="15"/>
      <c r="F13" s="14"/>
      <c r="G13" s="15"/>
      <c r="H13" s="14"/>
    </row>
    <row r="14" spans="1:16382" x14ac:dyDescent="0.4">
      <c r="A14" s="16"/>
      <c r="B14" s="222">
        <v>1501000</v>
      </c>
      <c r="C14" s="18"/>
      <c r="D14" s="223" t="s">
        <v>14</v>
      </c>
      <c r="E14" s="20"/>
      <c r="F14" s="21"/>
      <c r="G14" s="20"/>
      <c r="H14" s="21"/>
    </row>
    <row r="15" spans="1:16382" ht="24.6" x14ac:dyDescent="0.45">
      <c r="A15" s="22" t="s">
        <v>2037</v>
      </c>
      <c r="B15" s="23"/>
      <c r="C15" s="23">
        <v>3.1</v>
      </c>
      <c r="D15" s="5" t="s">
        <v>16</v>
      </c>
      <c r="E15" s="23">
        <v>12</v>
      </c>
      <c r="F15" s="23" t="s">
        <v>17</v>
      </c>
      <c r="G15" s="24"/>
      <c r="H15" s="24">
        <f>G15*E15</f>
        <v>0</v>
      </c>
    </row>
    <row r="16" spans="1:16382" x14ac:dyDescent="0.4">
      <c r="A16" s="16"/>
      <c r="B16" s="222">
        <v>1502000</v>
      </c>
      <c r="C16" s="18"/>
      <c r="D16" s="223" t="s">
        <v>18</v>
      </c>
      <c r="E16" s="20"/>
      <c r="F16" s="21"/>
      <c r="G16" s="21"/>
      <c r="H16" s="21"/>
    </row>
    <row r="17" spans="1:8" x14ac:dyDescent="0.45">
      <c r="A17" s="25"/>
      <c r="B17" s="26"/>
      <c r="C17" s="26">
        <v>3.1</v>
      </c>
      <c r="D17" s="27" t="s">
        <v>19</v>
      </c>
      <c r="E17" s="28"/>
      <c r="F17" s="28"/>
      <c r="G17" s="28"/>
      <c r="H17" s="28"/>
    </row>
    <row r="18" spans="1:8" x14ac:dyDescent="0.45">
      <c r="A18" s="22" t="s">
        <v>2038</v>
      </c>
      <c r="B18" s="23">
        <v>1502000</v>
      </c>
      <c r="C18" s="23" t="s">
        <v>21</v>
      </c>
      <c r="D18" s="29" t="s">
        <v>22</v>
      </c>
      <c r="E18" s="23">
        <v>12</v>
      </c>
      <c r="F18" s="23" t="s">
        <v>17</v>
      </c>
      <c r="G18" s="24"/>
      <c r="H18" s="24">
        <f>G18*E18</f>
        <v>0</v>
      </c>
    </row>
    <row r="19" spans="1:8" x14ac:dyDescent="0.45">
      <c r="A19" s="22" t="s">
        <v>2039</v>
      </c>
      <c r="B19" s="23">
        <v>1502000</v>
      </c>
      <c r="C19" s="23" t="s">
        <v>24</v>
      </c>
      <c r="D19" s="29" t="s">
        <v>25</v>
      </c>
      <c r="E19" s="23">
        <v>12</v>
      </c>
      <c r="F19" s="23" t="s">
        <v>17</v>
      </c>
      <c r="G19" s="24"/>
      <c r="H19" s="24">
        <f>G19*E19</f>
        <v>0</v>
      </c>
    </row>
    <row r="20" spans="1:8" x14ac:dyDescent="0.45">
      <c r="A20" s="22" t="s">
        <v>2040</v>
      </c>
      <c r="B20" s="23">
        <v>1502000</v>
      </c>
      <c r="C20" s="23" t="s">
        <v>27</v>
      </c>
      <c r="D20" s="29" t="s">
        <v>28</v>
      </c>
      <c r="E20" s="23">
        <v>12</v>
      </c>
      <c r="F20" s="23" t="s">
        <v>17</v>
      </c>
      <c r="G20" s="24"/>
      <c r="H20" s="24">
        <f>G20*E20</f>
        <v>0</v>
      </c>
    </row>
    <row r="21" spans="1:8" x14ac:dyDescent="0.45">
      <c r="A21" s="25"/>
      <c r="B21" s="26"/>
      <c r="C21" s="26">
        <v>3.2</v>
      </c>
      <c r="D21" s="27" t="s">
        <v>29</v>
      </c>
      <c r="E21" s="28"/>
      <c r="F21" s="28"/>
      <c r="G21" s="28"/>
      <c r="H21" s="28"/>
    </row>
    <row r="22" spans="1:8" x14ac:dyDescent="0.45">
      <c r="A22" s="22" t="s">
        <v>2041</v>
      </c>
      <c r="B22" s="23">
        <v>1502000</v>
      </c>
      <c r="C22" s="286">
        <v>3.2</v>
      </c>
      <c r="D22" s="29" t="s">
        <v>5072</v>
      </c>
      <c r="E22" s="23">
        <v>12</v>
      </c>
      <c r="F22" s="23" t="s">
        <v>17</v>
      </c>
      <c r="G22" s="24"/>
      <c r="H22" s="24">
        <f>G22*E22</f>
        <v>0</v>
      </c>
    </row>
    <row r="23" spans="1:8" x14ac:dyDescent="0.45">
      <c r="A23" s="25"/>
      <c r="B23" s="26"/>
      <c r="C23" s="26">
        <v>3.3</v>
      </c>
      <c r="D23" s="27" t="s">
        <v>31</v>
      </c>
      <c r="E23" s="28"/>
      <c r="F23" s="28"/>
      <c r="G23" s="28"/>
      <c r="H23" s="28"/>
    </row>
    <row r="24" spans="1:8" x14ac:dyDescent="0.45">
      <c r="A24" s="22" t="s">
        <v>2042</v>
      </c>
      <c r="B24" s="23">
        <v>1502000</v>
      </c>
      <c r="C24" s="23" t="s">
        <v>33</v>
      </c>
      <c r="D24" s="30" t="s">
        <v>34</v>
      </c>
      <c r="E24" s="23">
        <v>12</v>
      </c>
      <c r="F24" s="23" t="s">
        <v>17</v>
      </c>
      <c r="G24" s="24"/>
      <c r="H24" s="31">
        <f t="shared" ref="H24:H33" si="0">G24*E24</f>
        <v>0</v>
      </c>
    </row>
    <row r="25" spans="1:8" x14ac:dyDescent="0.45">
      <c r="A25" s="22" t="s">
        <v>2043</v>
      </c>
      <c r="B25" s="23">
        <v>1502000</v>
      </c>
      <c r="C25" s="23" t="s">
        <v>36</v>
      </c>
      <c r="D25" s="32" t="s">
        <v>37</v>
      </c>
      <c r="E25" s="33">
        <v>12</v>
      </c>
      <c r="F25" s="23" t="s">
        <v>17</v>
      </c>
      <c r="G25" s="24"/>
      <c r="H25" s="24">
        <f t="shared" si="0"/>
        <v>0</v>
      </c>
    </row>
    <row r="26" spans="1:8" x14ac:dyDescent="0.45">
      <c r="A26" s="22" t="s">
        <v>2044</v>
      </c>
      <c r="B26" s="23">
        <v>1502000</v>
      </c>
      <c r="C26" s="23" t="s">
        <v>39</v>
      </c>
      <c r="D26" s="32" t="s">
        <v>40</v>
      </c>
      <c r="E26" s="33">
        <v>12</v>
      </c>
      <c r="F26" s="23" t="s">
        <v>17</v>
      </c>
      <c r="G26" s="24"/>
      <c r="H26" s="24">
        <f t="shared" si="0"/>
        <v>0</v>
      </c>
    </row>
    <row r="27" spans="1:8" x14ac:dyDescent="0.45">
      <c r="A27" s="22" t="s">
        <v>2045</v>
      </c>
      <c r="B27" s="23">
        <v>1502000</v>
      </c>
      <c r="C27" s="224" t="s">
        <v>42</v>
      </c>
      <c r="D27" s="30" t="s">
        <v>43</v>
      </c>
      <c r="E27" s="33">
        <v>12</v>
      </c>
      <c r="F27" s="23" t="s">
        <v>17</v>
      </c>
      <c r="G27" s="24"/>
      <c r="H27" s="24">
        <f t="shared" si="0"/>
        <v>0</v>
      </c>
    </row>
    <row r="28" spans="1:8" x14ac:dyDescent="0.45">
      <c r="A28" s="22" t="s">
        <v>2046</v>
      </c>
      <c r="B28" s="23">
        <v>1502000</v>
      </c>
      <c r="C28" s="23" t="s">
        <v>45</v>
      </c>
      <c r="D28" s="30" t="s">
        <v>46</v>
      </c>
      <c r="E28" s="33">
        <v>12</v>
      </c>
      <c r="F28" s="23" t="s">
        <v>17</v>
      </c>
      <c r="G28" s="24"/>
      <c r="H28" s="24">
        <f t="shared" si="0"/>
        <v>0</v>
      </c>
    </row>
    <row r="29" spans="1:8" x14ac:dyDescent="0.45">
      <c r="A29" s="22" t="s">
        <v>2047</v>
      </c>
      <c r="B29" s="23">
        <v>1502000</v>
      </c>
      <c r="C29" s="23" t="s">
        <v>48</v>
      </c>
      <c r="D29" s="30" t="s">
        <v>49</v>
      </c>
      <c r="E29" s="33">
        <v>12</v>
      </c>
      <c r="F29" s="23" t="s">
        <v>17</v>
      </c>
      <c r="G29" s="24"/>
      <c r="H29" s="24">
        <f t="shared" si="0"/>
        <v>0</v>
      </c>
    </row>
    <row r="30" spans="1:8" x14ac:dyDescent="0.45">
      <c r="A30" s="22" t="s">
        <v>2048</v>
      </c>
      <c r="B30" s="23">
        <v>1502000</v>
      </c>
      <c r="C30" s="23" t="s">
        <v>51</v>
      </c>
      <c r="D30" s="30" t="s">
        <v>52</v>
      </c>
      <c r="E30" s="33">
        <v>12</v>
      </c>
      <c r="F30" s="23" t="s">
        <v>17</v>
      </c>
      <c r="G30" s="24"/>
      <c r="H30" s="24">
        <f t="shared" si="0"/>
        <v>0</v>
      </c>
    </row>
    <row r="31" spans="1:8" x14ac:dyDescent="0.45">
      <c r="A31" s="22" t="s">
        <v>2049</v>
      </c>
      <c r="B31" s="23">
        <v>1502000</v>
      </c>
      <c r="C31" s="23" t="s">
        <v>54</v>
      </c>
      <c r="D31" s="30" t="s">
        <v>55</v>
      </c>
      <c r="E31" s="33">
        <v>12</v>
      </c>
      <c r="F31" s="23" t="s">
        <v>17</v>
      </c>
      <c r="G31" s="24"/>
      <c r="H31" s="24">
        <f t="shared" si="0"/>
        <v>0</v>
      </c>
    </row>
    <row r="32" spans="1:8" x14ac:dyDescent="0.45">
      <c r="A32" s="22" t="s">
        <v>2050</v>
      </c>
      <c r="B32" s="23">
        <v>1502000</v>
      </c>
      <c r="C32" s="23" t="s">
        <v>57</v>
      </c>
      <c r="D32" s="30" t="s">
        <v>58</v>
      </c>
      <c r="E32" s="33">
        <v>12</v>
      </c>
      <c r="F32" s="23" t="s">
        <v>17</v>
      </c>
      <c r="G32" s="24"/>
      <c r="H32" s="24">
        <f t="shared" si="0"/>
        <v>0</v>
      </c>
    </row>
    <row r="33" spans="1:8" x14ac:dyDescent="0.45">
      <c r="A33" s="22" t="s">
        <v>2051</v>
      </c>
      <c r="B33" s="23">
        <v>1502000</v>
      </c>
      <c r="C33" s="23" t="s">
        <v>60</v>
      </c>
      <c r="D33" s="30" t="s">
        <v>61</v>
      </c>
      <c r="E33" s="33">
        <v>12</v>
      </c>
      <c r="F33" s="23" t="s">
        <v>17</v>
      </c>
      <c r="G33" s="24"/>
      <c r="H33" s="24">
        <f t="shared" si="0"/>
        <v>0</v>
      </c>
    </row>
    <row r="34" spans="1:8" x14ac:dyDescent="0.45">
      <c r="A34" s="25"/>
      <c r="B34" s="26"/>
      <c r="C34" s="26">
        <v>3.4</v>
      </c>
      <c r="D34" s="27" t="s">
        <v>62</v>
      </c>
      <c r="E34" s="28"/>
      <c r="F34" s="28"/>
      <c r="G34" s="28"/>
      <c r="H34" s="28"/>
    </row>
    <row r="35" spans="1:8" x14ac:dyDescent="0.45">
      <c r="A35" s="22" t="s">
        <v>2052</v>
      </c>
      <c r="B35" s="23">
        <v>1502000</v>
      </c>
      <c r="C35" s="23" t="s">
        <v>64</v>
      </c>
      <c r="D35" s="35" t="s">
        <v>65</v>
      </c>
      <c r="E35" s="23">
        <v>12</v>
      </c>
      <c r="F35" s="23" t="s">
        <v>17</v>
      </c>
      <c r="G35" s="24"/>
      <c r="H35" s="24">
        <f>G35*E35</f>
        <v>0</v>
      </c>
    </row>
    <row r="36" spans="1:8" x14ac:dyDescent="0.45">
      <c r="A36" s="22" t="s">
        <v>2053</v>
      </c>
      <c r="B36" s="23">
        <v>1502000</v>
      </c>
      <c r="C36" s="23" t="s">
        <v>67</v>
      </c>
      <c r="D36" s="35" t="s">
        <v>68</v>
      </c>
      <c r="E36" s="23">
        <v>12</v>
      </c>
      <c r="F36" s="23" t="s">
        <v>17</v>
      </c>
      <c r="G36" s="24"/>
      <c r="H36" s="24">
        <f>G36*E36</f>
        <v>0</v>
      </c>
    </row>
    <row r="37" spans="1:8" x14ac:dyDescent="0.45">
      <c r="A37" s="22" t="s">
        <v>2054</v>
      </c>
      <c r="B37" s="23">
        <v>1502000</v>
      </c>
      <c r="C37" s="33" t="s">
        <v>70</v>
      </c>
      <c r="D37" s="36" t="s">
        <v>71</v>
      </c>
      <c r="E37" s="33">
        <v>12</v>
      </c>
      <c r="F37" s="23" t="s">
        <v>17</v>
      </c>
      <c r="G37" s="24"/>
      <c r="H37" s="24">
        <f>G37*E37</f>
        <v>0</v>
      </c>
    </row>
    <row r="38" spans="1:8" x14ac:dyDescent="0.45">
      <c r="A38" s="25"/>
      <c r="B38" s="26"/>
      <c r="C38" s="26">
        <v>3.5</v>
      </c>
      <c r="D38" s="27" t="s">
        <v>72</v>
      </c>
      <c r="E38" s="28"/>
      <c r="F38" s="28"/>
      <c r="G38" s="28"/>
      <c r="H38" s="28"/>
    </row>
    <row r="39" spans="1:8" x14ac:dyDescent="0.45">
      <c r="A39" s="22" t="s">
        <v>2055</v>
      </c>
      <c r="B39" s="23">
        <v>1502000</v>
      </c>
      <c r="C39" s="23" t="s">
        <v>74</v>
      </c>
      <c r="D39" s="32" t="s">
        <v>37</v>
      </c>
      <c r="E39" s="33">
        <v>12</v>
      </c>
      <c r="F39" s="23" t="s">
        <v>17</v>
      </c>
      <c r="G39" s="24"/>
      <c r="H39" s="24">
        <f>G39*E39</f>
        <v>0</v>
      </c>
    </row>
    <row r="40" spans="1:8" x14ac:dyDescent="0.45">
      <c r="A40" s="25"/>
      <c r="B40" s="37"/>
      <c r="C40" s="37">
        <v>3.6</v>
      </c>
      <c r="D40" s="38" t="s">
        <v>75</v>
      </c>
      <c r="E40" s="28"/>
      <c r="F40" s="28"/>
      <c r="G40" s="28"/>
      <c r="H40" s="28"/>
    </row>
    <row r="41" spans="1:8" x14ac:dyDescent="0.45">
      <c r="A41" s="22" t="s">
        <v>2056</v>
      </c>
      <c r="B41" s="23">
        <v>1502000</v>
      </c>
      <c r="C41" s="33" t="s">
        <v>77</v>
      </c>
      <c r="D41" s="39" t="s">
        <v>78</v>
      </c>
      <c r="E41" s="33">
        <v>12</v>
      </c>
      <c r="F41" s="23" t="s">
        <v>17</v>
      </c>
      <c r="G41" s="24"/>
      <c r="H41" s="24">
        <f t="shared" ref="H41:H52" si="1">G41*E41</f>
        <v>0</v>
      </c>
    </row>
    <row r="42" spans="1:8" x14ac:dyDescent="0.45">
      <c r="A42" s="22" t="s">
        <v>2057</v>
      </c>
      <c r="B42" s="23">
        <v>1502000</v>
      </c>
      <c r="C42" s="33" t="s">
        <v>80</v>
      </c>
      <c r="D42" s="39" t="s">
        <v>81</v>
      </c>
      <c r="E42" s="33">
        <v>12</v>
      </c>
      <c r="F42" s="23" t="s">
        <v>17</v>
      </c>
      <c r="G42" s="24"/>
      <c r="H42" s="24">
        <f t="shared" si="1"/>
        <v>0</v>
      </c>
    </row>
    <row r="43" spans="1:8" x14ac:dyDescent="0.45">
      <c r="A43" s="22" t="s">
        <v>2058</v>
      </c>
      <c r="B43" s="23">
        <v>1502000</v>
      </c>
      <c r="C43" s="33" t="s">
        <v>83</v>
      </c>
      <c r="D43" s="39" t="s">
        <v>84</v>
      </c>
      <c r="E43" s="33">
        <v>12</v>
      </c>
      <c r="F43" s="23" t="s">
        <v>17</v>
      </c>
      <c r="G43" s="24"/>
      <c r="H43" s="24">
        <f t="shared" si="1"/>
        <v>0</v>
      </c>
    </row>
    <row r="44" spans="1:8" x14ac:dyDescent="0.45">
      <c r="A44" s="22" t="s">
        <v>2059</v>
      </c>
      <c r="B44" s="23">
        <v>1502000</v>
      </c>
      <c r="C44" s="33" t="s">
        <v>86</v>
      </c>
      <c r="D44" s="39" t="s">
        <v>87</v>
      </c>
      <c r="E44" s="33">
        <v>12</v>
      </c>
      <c r="F44" s="23" t="s">
        <v>17</v>
      </c>
      <c r="G44" s="24"/>
      <c r="H44" s="24">
        <f t="shared" si="1"/>
        <v>0</v>
      </c>
    </row>
    <row r="45" spans="1:8" x14ac:dyDescent="0.45">
      <c r="A45" s="22" t="s">
        <v>2060</v>
      </c>
      <c r="B45" s="23">
        <v>1502000</v>
      </c>
      <c r="C45" s="33" t="s">
        <v>89</v>
      </c>
      <c r="D45" s="39" t="s">
        <v>90</v>
      </c>
      <c r="E45" s="33">
        <v>12</v>
      </c>
      <c r="F45" s="23" t="s">
        <v>17</v>
      </c>
      <c r="G45" s="24"/>
      <c r="H45" s="24">
        <f t="shared" si="1"/>
        <v>0</v>
      </c>
    </row>
    <row r="46" spans="1:8" x14ac:dyDescent="0.45">
      <c r="A46" s="22" t="s">
        <v>2061</v>
      </c>
      <c r="B46" s="23">
        <v>1502000</v>
      </c>
      <c r="C46" s="33" t="s">
        <v>92</v>
      </c>
      <c r="D46" s="39" t="s">
        <v>93</v>
      </c>
      <c r="E46" s="33">
        <v>12</v>
      </c>
      <c r="F46" s="23" t="s">
        <v>17</v>
      </c>
      <c r="G46" s="24"/>
      <c r="H46" s="24">
        <f t="shared" si="1"/>
        <v>0</v>
      </c>
    </row>
    <row r="47" spans="1:8" x14ac:dyDescent="0.45">
      <c r="A47" s="22" t="s">
        <v>2062</v>
      </c>
      <c r="B47" s="23">
        <v>1502000</v>
      </c>
      <c r="C47" s="33" t="s">
        <v>95</v>
      </c>
      <c r="D47" s="39" t="s">
        <v>96</v>
      </c>
      <c r="E47" s="33">
        <v>12</v>
      </c>
      <c r="F47" s="23" t="s">
        <v>17</v>
      </c>
      <c r="G47" s="24"/>
      <c r="H47" s="24">
        <f t="shared" si="1"/>
        <v>0</v>
      </c>
    </row>
    <row r="48" spans="1:8" x14ac:dyDescent="0.45">
      <c r="A48" s="22" t="s">
        <v>2063</v>
      </c>
      <c r="B48" s="23">
        <v>1502000</v>
      </c>
      <c r="C48" s="33" t="s">
        <v>98</v>
      </c>
      <c r="D48" s="39" t="s">
        <v>99</v>
      </c>
      <c r="E48" s="33">
        <v>12</v>
      </c>
      <c r="F48" s="23" t="s">
        <v>17</v>
      </c>
      <c r="G48" s="24"/>
      <c r="H48" s="24">
        <f t="shared" si="1"/>
        <v>0</v>
      </c>
    </row>
    <row r="49" spans="1:8" s="293" customFormat="1" x14ac:dyDescent="0.45">
      <c r="A49" s="257" t="s">
        <v>2064</v>
      </c>
      <c r="B49" s="286">
        <v>1502000</v>
      </c>
      <c r="C49" s="301" t="s">
        <v>273</v>
      </c>
      <c r="D49" s="372" t="s">
        <v>309</v>
      </c>
      <c r="E49" s="301">
        <v>12</v>
      </c>
      <c r="F49" s="286" t="s">
        <v>17</v>
      </c>
      <c r="G49" s="302"/>
      <c r="H49" s="302">
        <f t="shared" si="1"/>
        <v>0</v>
      </c>
    </row>
    <row r="50" spans="1:8" x14ac:dyDescent="0.45">
      <c r="A50" s="257" t="s">
        <v>2065</v>
      </c>
      <c r="B50" s="23">
        <v>1502000</v>
      </c>
      <c r="C50" s="33" t="s">
        <v>101</v>
      </c>
      <c r="D50" s="39" t="s">
        <v>102</v>
      </c>
      <c r="E50" s="33">
        <v>12</v>
      </c>
      <c r="F50" s="23" t="s">
        <v>17</v>
      </c>
      <c r="G50" s="24"/>
      <c r="H50" s="24">
        <f t="shared" si="1"/>
        <v>0</v>
      </c>
    </row>
    <row r="51" spans="1:8" x14ac:dyDescent="0.45">
      <c r="A51" s="257" t="s">
        <v>2066</v>
      </c>
      <c r="B51" s="23">
        <v>1502000</v>
      </c>
      <c r="C51" s="23" t="s">
        <v>104</v>
      </c>
      <c r="D51" s="35" t="s">
        <v>105</v>
      </c>
      <c r="E51" s="33">
        <v>12</v>
      </c>
      <c r="F51" s="23" t="s">
        <v>17</v>
      </c>
      <c r="G51" s="24"/>
      <c r="H51" s="24">
        <f t="shared" si="1"/>
        <v>0</v>
      </c>
    </row>
    <row r="52" spans="1:8" x14ac:dyDescent="0.45">
      <c r="A52" s="257" t="s">
        <v>2067</v>
      </c>
      <c r="B52" s="23">
        <v>1502000</v>
      </c>
      <c r="C52" s="23" t="s">
        <v>107</v>
      </c>
      <c r="D52" s="22" t="s">
        <v>108</v>
      </c>
      <c r="E52" s="33">
        <v>12</v>
      </c>
      <c r="F52" s="23" t="s">
        <v>17</v>
      </c>
      <c r="G52" s="24"/>
      <c r="H52" s="24">
        <f t="shared" si="1"/>
        <v>0</v>
      </c>
    </row>
    <row r="53" spans="1:8" x14ac:dyDescent="0.45">
      <c r="A53" s="287"/>
      <c r="B53" s="41">
        <v>1503010</v>
      </c>
      <c r="C53" s="41"/>
      <c r="D53" s="42" t="s">
        <v>109</v>
      </c>
      <c r="E53" s="43"/>
      <c r="F53" s="44"/>
      <c r="G53" s="44"/>
      <c r="H53" s="45"/>
    </row>
    <row r="54" spans="1:8" x14ac:dyDescent="0.45">
      <c r="A54" s="257" t="s">
        <v>2068</v>
      </c>
      <c r="B54" s="33">
        <v>1503010</v>
      </c>
      <c r="C54" s="33">
        <v>3.1</v>
      </c>
      <c r="D54" s="36" t="s">
        <v>111</v>
      </c>
      <c r="E54" s="33">
        <v>12</v>
      </c>
      <c r="F54" s="23" t="s">
        <v>17</v>
      </c>
      <c r="G54" s="24"/>
      <c r="H54" s="24">
        <f>G54*E54</f>
        <v>0</v>
      </c>
    </row>
    <row r="55" spans="1:8" x14ac:dyDescent="0.45">
      <c r="A55" s="257" t="s">
        <v>2069</v>
      </c>
      <c r="B55" s="33">
        <v>1503010</v>
      </c>
      <c r="C55" s="33">
        <v>3.1</v>
      </c>
      <c r="D55" s="36" t="s">
        <v>113</v>
      </c>
      <c r="E55" s="33">
        <v>12</v>
      </c>
      <c r="F55" s="23" t="s">
        <v>17</v>
      </c>
      <c r="G55" s="24"/>
      <c r="H55" s="24">
        <f>G55*E55</f>
        <v>0</v>
      </c>
    </row>
    <row r="56" spans="1:8" x14ac:dyDescent="0.45">
      <c r="A56" s="287"/>
      <c r="B56" s="41">
        <v>1503020</v>
      </c>
      <c r="C56" s="41"/>
      <c r="D56" s="42" t="s">
        <v>114</v>
      </c>
      <c r="E56" s="43"/>
      <c r="F56" s="44"/>
      <c r="G56" s="44"/>
      <c r="H56" s="45"/>
    </row>
    <row r="57" spans="1:8" x14ac:dyDescent="0.45">
      <c r="A57" s="257" t="s">
        <v>2070</v>
      </c>
      <c r="B57" s="33">
        <v>1503020</v>
      </c>
      <c r="C57" s="33">
        <v>3.1</v>
      </c>
      <c r="D57" s="36" t="s">
        <v>116</v>
      </c>
      <c r="E57" s="33">
        <v>12</v>
      </c>
      <c r="F57" s="23" t="s">
        <v>17</v>
      </c>
      <c r="G57" s="24"/>
      <c r="H57" s="24">
        <f>G57*E57</f>
        <v>0</v>
      </c>
    </row>
    <row r="58" spans="1:8" x14ac:dyDescent="0.45">
      <c r="A58" s="257" t="s">
        <v>2071</v>
      </c>
      <c r="B58" s="33">
        <v>1503020</v>
      </c>
      <c r="C58" s="33">
        <v>3.2</v>
      </c>
      <c r="D58" s="36" t="s">
        <v>118</v>
      </c>
      <c r="E58" s="33">
        <v>12</v>
      </c>
      <c r="F58" s="23" t="s">
        <v>17</v>
      </c>
      <c r="G58" s="24"/>
      <c r="H58" s="24">
        <f>G58*E58</f>
        <v>0</v>
      </c>
    </row>
    <row r="59" spans="1:8" x14ac:dyDescent="0.45">
      <c r="A59" s="257" t="s">
        <v>2072</v>
      </c>
      <c r="B59" s="33">
        <v>1503020</v>
      </c>
      <c r="C59" s="33">
        <v>3.3</v>
      </c>
      <c r="D59" s="36" t="s">
        <v>120</v>
      </c>
      <c r="E59" s="33">
        <v>12</v>
      </c>
      <c r="F59" s="23" t="s">
        <v>17</v>
      </c>
      <c r="G59" s="24"/>
      <c r="H59" s="24">
        <f>G59*E59</f>
        <v>0</v>
      </c>
    </row>
    <row r="60" spans="1:8" x14ac:dyDescent="0.45">
      <c r="A60" s="287"/>
      <c r="B60" s="43">
        <v>1503030</v>
      </c>
      <c r="C60" s="41"/>
      <c r="D60" s="42" t="s">
        <v>121</v>
      </c>
      <c r="E60" s="43"/>
      <c r="F60" s="44"/>
      <c r="G60" s="44"/>
      <c r="H60" s="45"/>
    </row>
    <row r="61" spans="1:8" x14ac:dyDescent="0.45">
      <c r="A61" s="257" t="s">
        <v>2073</v>
      </c>
      <c r="B61" s="33">
        <v>1503030</v>
      </c>
      <c r="C61" s="33" t="s">
        <v>123</v>
      </c>
      <c r="D61" s="36" t="s">
        <v>124</v>
      </c>
      <c r="E61" s="33">
        <v>12</v>
      </c>
      <c r="F61" s="23" t="s">
        <v>17</v>
      </c>
      <c r="G61" s="24"/>
      <c r="H61" s="24">
        <f>G61*E61</f>
        <v>0</v>
      </c>
    </row>
    <row r="62" spans="1:8" x14ac:dyDescent="0.45">
      <c r="A62" s="257" t="s">
        <v>2074</v>
      </c>
      <c r="B62" s="33">
        <v>1503030</v>
      </c>
      <c r="C62" s="33">
        <v>3.6</v>
      </c>
      <c r="D62" s="36" t="s">
        <v>126</v>
      </c>
      <c r="E62" s="33">
        <v>12</v>
      </c>
      <c r="F62" s="23" t="s">
        <v>17</v>
      </c>
      <c r="G62" s="24"/>
      <c r="H62" s="24">
        <f>G62*E62</f>
        <v>0</v>
      </c>
    </row>
    <row r="63" spans="1:8" x14ac:dyDescent="0.45">
      <c r="A63" s="287"/>
      <c r="B63" s="41">
        <v>1503050</v>
      </c>
      <c r="C63" s="41"/>
      <c r="D63" s="42" t="s">
        <v>127</v>
      </c>
      <c r="E63" s="43"/>
      <c r="F63" s="44"/>
      <c r="G63" s="44"/>
      <c r="H63" s="45"/>
    </row>
    <row r="64" spans="1:8" x14ac:dyDescent="0.45">
      <c r="A64" s="257" t="s">
        <v>2075</v>
      </c>
      <c r="B64" s="33">
        <v>1503050</v>
      </c>
      <c r="C64" s="33">
        <v>3.1</v>
      </c>
      <c r="D64" s="46" t="s">
        <v>129</v>
      </c>
      <c r="E64" s="33">
        <v>12</v>
      </c>
      <c r="F64" s="23" t="s">
        <v>17</v>
      </c>
      <c r="G64" s="24"/>
      <c r="H64" s="24">
        <f>G64*E64</f>
        <v>0</v>
      </c>
    </row>
    <row r="65" spans="1:8" x14ac:dyDescent="0.45">
      <c r="A65" s="257" t="s">
        <v>2076</v>
      </c>
      <c r="B65" s="33">
        <v>1503050</v>
      </c>
      <c r="C65" s="33">
        <v>3.2</v>
      </c>
      <c r="D65" s="36" t="s">
        <v>131</v>
      </c>
      <c r="E65" s="33">
        <v>12</v>
      </c>
      <c r="F65" s="23" t="s">
        <v>17</v>
      </c>
      <c r="G65" s="24"/>
      <c r="H65" s="24">
        <f>G65*E65</f>
        <v>0</v>
      </c>
    </row>
    <row r="66" spans="1:8" x14ac:dyDescent="0.45">
      <c r="A66" s="257" t="s">
        <v>2077</v>
      </c>
      <c r="B66" s="33">
        <v>1503050</v>
      </c>
      <c r="C66" s="33">
        <v>3.3</v>
      </c>
      <c r="D66" s="36" t="s">
        <v>133</v>
      </c>
      <c r="E66" s="33">
        <v>12</v>
      </c>
      <c r="F66" s="23" t="s">
        <v>17</v>
      </c>
      <c r="G66" s="24"/>
      <c r="H66" s="24">
        <f>G66*E66</f>
        <v>0</v>
      </c>
    </row>
    <row r="67" spans="1:8" x14ac:dyDescent="0.45">
      <c r="A67" s="257" t="s">
        <v>2078</v>
      </c>
      <c r="B67" s="33">
        <v>1503050</v>
      </c>
      <c r="C67" s="33">
        <v>3.4</v>
      </c>
      <c r="D67" s="36" t="s">
        <v>135</v>
      </c>
      <c r="E67" s="33">
        <v>12</v>
      </c>
      <c r="F67" s="23" t="s">
        <v>17</v>
      </c>
      <c r="G67" s="24"/>
      <c r="H67" s="24">
        <f>G67*E67</f>
        <v>0</v>
      </c>
    </row>
    <row r="68" spans="1:8" s="389" customFormat="1" x14ac:dyDescent="0.45">
      <c r="A68" s="257" t="s">
        <v>2079</v>
      </c>
      <c r="B68" s="301">
        <v>1503050</v>
      </c>
      <c r="C68" s="301">
        <v>3.4</v>
      </c>
      <c r="D68" s="295" t="s">
        <v>5024</v>
      </c>
      <c r="E68" s="301">
        <v>12</v>
      </c>
      <c r="F68" s="286" t="s">
        <v>17</v>
      </c>
      <c r="G68" s="302"/>
      <c r="H68" s="302">
        <f>G68*E68</f>
        <v>0</v>
      </c>
    </row>
    <row r="69" spans="1:8" s="389" customFormat="1" x14ac:dyDescent="0.45">
      <c r="A69" s="257" t="s">
        <v>5144</v>
      </c>
      <c r="B69" s="33">
        <v>1503050</v>
      </c>
      <c r="C69" s="33">
        <v>3.5</v>
      </c>
      <c r="D69" s="47" t="s">
        <v>137</v>
      </c>
      <c r="E69" s="33">
        <v>12</v>
      </c>
      <c r="F69" s="23" t="s">
        <v>17</v>
      </c>
      <c r="G69" s="24"/>
      <c r="H69" s="24">
        <f>G69*E69</f>
        <v>0</v>
      </c>
    </row>
    <row r="70" spans="1:8" x14ac:dyDescent="0.45">
      <c r="A70" s="287"/>
      <c r="B70" s="41">
        <v>1503060</v>
      </c>
      <c r="C70" s="41"/>
      <c r="D70" s="42" t="s">
        <v>138</v>
      </c>
      <c r="E70" s="43"/>
      <c r="F70" s="44"/>
      <c r="G70" s="44"/>
      <c r="H70" s="45"/>
    </row>
    <row r="71" spans="1:8" x14ac:dyDescent="0.45">
      <c r="A71" s="257" t="s">
        <v>2080</v>
      </c>
      <c r="B71" s="33">
        <v>1503060</v>
      </c>
      <c r="C71" s="33">
        <v>3.1</v>
      </c>
      <c r="D71" s="36" t="s">
        <v>140</v>
      </c>
      <c r="E71" s="23">
        <v>12</v>
      </c>
      <c r="F71" s="23" t="s">
        <v>17</v>
      </c>
      <c r="G71" s="24"/>
      <c r="H71" s="24">
        <f>G71*E71</f>
        <v>0</v>
      </c>
    </row>
    <row r="72" spans="1:8" x14ac:dyDescent="0.45">
      <c r="A72" s="257" t="s">
        <v>2081</v>
      </c>
      <c r="B72" s="33">
        <v>1503060</v>
      </c>
      <c r="C72" s="33">
        <v>3.2</v>
      </c>
      <c r="D72" s="36" t="s">
        <v>142</v>
      </c>
      <c r="E72" s="23">
        <v>12</v>
      </c>
      <c r="F72" s="23" t="s">
        <v>17</v>
      </c>
      <c r="G72" s="24"/>
      <c r="H72" s="24">
        <f>G72*E72</f>
        <v>0</v>
      </c>
    </row>
    <row r="73" spans="1:8" x14ac:dyDescent="0.45">
      <c r="A73" s="287"/>
      <c r="B73" s="41">
        <v>1601000</v>
      </c>
      <c r="C73" s="41"/>
      <c r="D73" s="42" t="s">
        <v>143</v>
      </c>
      <c r="E73" s="43"/>
      <c r="F73" s="44"/>
      <c r="G73" s="44"/>
      <c r="H73" s="45"/>
    </row>
    <row r="74" spans="1:8" x14ac:dyDescent="0.45">
      <c r="A74" s="363"/>
      <c r="B74" s="26"/>
      <c r="C74" s="26">
        <v>3.1</v>
      </c>
      <c r="D74" s="27" t="s">
        <v>144</v>
      </c>
      <c r="E74" s="28"/>
      <c r="F74" s="28"/>
      <c r="G74" s="28"/>
      <c r="H74" s="28"/>
    </row>
    <row r="75" spans="1:8" x14ac:dyDescent="0.45">
      <c r="A75" s="257" t="s">
        <v>2082</v>
      </c>
      <c r="B75" s="23">
        <v>1601000</v>
      </c>
      <c r="C75" s="23" t="s">
        <v>21</v>
      </c>
      <c r="D75" s="48" t="s">
        <v>146</v>
      </c>
      <c r="E75" s="23">
        <v>12</v>
      </c>
      <c r="F75" s="23" t="s">
        <v>17</v>
      </c>
      <c r="G75" s="24"/>
      <c r="H75" s="24">
        <f>G75*E75</f>
        <v>0</v>
      </c>
    </row>
    <row r="76" spans="1:8" x14ac:dyDescent="0.45">
      <c r="A76" s="257" t="s">
        <v>2083</v>
      </c>
      <c r="B76" s="23">
        <v>1601000</v>
      </c>
      <c r="C76" s="23" t="s">
        <v>24</v>
      </c>
      <c r="D76" s="48" t="s">
        <v>148</v>
      </c>
      <c r="E76" s="23">
        <v>12</v>
      </c>
      <c r="F76" s="23" t="s">
        <v>17</v>
      </c>
      <c r="G76" s="24"/>
      <c r="H76" s="24">
        <f>G76*E76</f>
        <v>0</v>
      </c>
    </row>
    <row r="77" spans="1:8" x14ac:dyDescent="0.45">
      <c r="A77" s="257" t="s">
        <v>2084</v>
      </c>
      <c r="B77" s="23">
        <v>1601000</v>
      </c>
      <c r="C77" s="23">
        <v>3.2</v>
      </c>
      <c r="D77" s="48" t="s">
        <v>150</v>
      </c>
      <c r="E77" s="23">
        <v>12</v>
      </c>
      <c r="F77" s="23" t="s">
        <v>17</v>
      </c>
      <c r="G77" s="24"/>
      <c r="H77" s="24">
        <f>G77*E77</f>
        <v>0</v>
      </c>
    </row>
    <row r="78" spans="1:8" x14ac:dyDescent="0.45">
      <c r="A78" s="257" t="s">
        <v>2085</v>
      </c>
      <c r="B78" s="23">
        <v>1601000</v>
      </c>
      <c r="C78" s="23">
        <v>3.3</v>
      </c>
      <c r="D78" s="48" t="s">
        <v>152</v>
      </c>
      <c r="E78" s="23">
        <v>12</v>
      </c>
      <c r="F78" s="23" t="s">
        <v>17</v>
      </c>
      <c r="G78" s="24"/>
      <c r="H78" s="24">
        <f>G78*E78</f>
        <v>0</v>
      </c>
    </row>
    <row r="79" spans="1:8" x14ac:dyDescent="0.45">
      <c r="A79" s="287"/>
      <c r="B79" s="41">
        <v>1602000</v>
      </c>
      <c r="C79" s="41"/>
      <c r="D79" s="42" t="s">
        <v>153</v>
      </c>
      <c r="E79" s="43"/>
      <c r="F79" s="44" t="s">
        <v>154</v>
      </c>
      <c r="G79" s="44"/>
      <c r="H79" s="45"/>
    </row>
    <row r="80" spans="1:8" x14ac:dyDescent="0.45">
      <c r="A80" s="363"/>
      <c r="B80" s="26"/>
      <c r="C80" s="26">
        <v>3.1</v>
      </c>
      <c r="D80" s="27" t="s">
        <v>31</v>
      </c>
      <c r="E80" s="28"/>
      <c r="F80" s="28"/>
      <c r="G80" s="28"/>
      <c r="H80" s="28"/>
    </row>
    <row r="81" spans="1:8" x14ac:dyDescent="0.45">
      <c r="A81" s="257" t="s">
        <v>2086</v>
      </c>
      <c r="B81" s="23">
        <v>1602000</v>
      </c>
      <c r="C81" s="23" t="s">
        <v>21</v>
      </c>
      <c r="D81" s="48" t="s">
        <v>156</v>
      </c>
      <c r="E81" s="23">
        <v>12</v>
      </c>
      <c r="F81" s="23" t="s">
        <v>17</v>
      </c>
      <c r="G81" s="24"/>
      <c r="H81" s="24">
        <f>G81*E81</f>
        <v>0</v>
      </c>
    </row>
    <row r="82" spans="1:8" x14ac:dyDescent="0.45">
      <c r="A82" s="363"/>
      <c r="B82" s="49"/>
      <c r="C82" s="26">
        <v>3.2</v>
      </c>
      <c r="D82" s="28" t="s">
        <v>75</v>
      </c>
      <c r="E82" s="28"/>
      <c r="F82" s="28"/>
      <c r="G82" s="28"/>
      <c r="H82" s="28"/>
    </row>
    <row r="83" spans="1:8" x14ac:dyDescent="0.45">
      <c r="A83" s="257" t="s">
        <v>2087</v>
      </c>
      <c r="B83" s="23">
        <v>1602000</v>
      </c>
      <c r="C83" s="23" t="s">
        <v>158</v>
      </c>
      <c r="D83" s="48" t="s">
        <v>159</v>
      </c>
      <c r="E83" s="23">
        <v>12</v>
      </c>
      <c r="F83" s="23" t="s">
        <v>17</v>
      </c>
      <c r="G83" s="24"/>
      <c r="H83" s="24">
        <f>G83*E83</f>
        <v>0</v>
      </c>
    </row>
    <row r="84" spans="1:8" x14ac:dyDescent="0.45">
      <c r="A84" s="287"/>
      <c r="B84" s="41">
        <v>1603000</v>
      </c>
      <c r="C84" s="41"/>
      <c r="D84" s="42" t="s">
        <v>160</v>
      </c>
      <c r="E84" s="50"/>
      <c r="F84" s="50"/>
      <c r="G84" s="44"/>
      <c r="H84" s="51"/>
    </row>
    <row r="85" spans="1:8" x14ac:dyDescent="0.45">
      <c r="A85" s="257" t="s">
        <v>2088</v>
      </c>
      <c r="B85" s="23">
        <v>1603000</v>
      </c>
      <c r="C85" s="23">
        <v>3.1</v>
      </c>
      <c r="D85" s="48" t="s">
        <v>62</v>
      </c>
      <c r="E85" s="23">
        <v>12</v>
      </c>
      <c r="F85" s="23" t="s">
        <v>17</v>
      </c>
      <c r="G85" s="24"/>
      <c r="H85" s="24">
        <f>G85*E85</f>
        <v>0</v>
      </c>
    </row>
    <row r="86" spans="1:8" x14ac:dyDescent="0.45">
      <c r="A86" s="287"/>
      <c r="B86" s="41">
        <v>1604000</v>
      </c>
      <c r="C86" s="41"/>
      <c r="D86" s="42" t="s">
        <v>162</v>
      </c>
      <c r="E86" s="50"/>
      <c r="F86" s="50"/>
      <c r="G86" s="44"/>
      <c r="H86" s="51"/>
    </row>
    <row r="87" spans="1:8" x14ac:dyDescent="0.45">
      <c r="A87" s="257" t="s">
        <v>2089</v>
      </c>
      <c r="B87" s="23">
        <v>1604000</v>
      </c>
      <c r="C87" s="23">
        <v>3.1</v>
      </c>
      <c r="D87" s="30" t="s">
        <v>31</v>
      </c>
      <c r="E87" s="52">
        <v>12</v>
      </c>
      <c r="F87" s="52" t="s">
        <v>17</v>
      </c>
      <c r="G87" s="24"/>
      <c r="H87" s="53">
        <f>G87*E87</f>
        <v>0</v>
      </c>
    </row>
    <row r="88" spans="1:8" x14ac:dyDescent="0.45">
      <c r="A88" s="257" t="s">
        <v>2090</v>
      </c>
      <c r="B88" s="23">
        <v>1604000</v>
      </c>
      <c r="C88" s="23">
        <v>3.2</v>
      </c>
      <c r="D88" s="30" t="s">
        <v>165</v>
      </c>
      <c r="E88" s="52">
        <v>12</v>
      </c>
      <c r="F88" s="52" t="s">
        <v>17</v>
      </c>
      <c r="G88" s="24"/>
      <c r="H88" s="53">
        <f>G88*E88</f>
        <v>0</v>
      </c>
    </row>
    <row r="89" spans="1:8" x14ac:dyDescent="0.45">
      <c r="A89" s="287"/>
      <c r="B89" s="41">
        <v>1606001</v>
      </c>
      <c r="C89" s="41"/>
      <c r="D89" s="54" t="s">
        <v>166</v>
      </c>
      <c r="E89" s="55"/>
      <c r="F89" s="55"/>
      <c r="G89" s="44"/>
      <c r="H89" s="55"/>
    </row>
    <row r="90" spans="1:8" x14ac:dyDescent="0.45">
      <c r="A90" s="257" t="s">
        <v>2091</v>
      </c>
      <c r="B90" s="23">
        <v>1606001</v>
      </c>
      <c r="C90" s="23">
        <v>3.1</v>
      </c>
      <c r="D90" s="56" t="s">
        <v>31</v>
      </c>
      <c r="E90" s="23">
        <v>12</v>
      </c>
      <c r="F90" s="23" t="s">
        <v>17</v>
      </c>
      <c r="G90" s="24"/>
      <c r="H90" s="24">
        <f>G90*E90</f>
        <v>0</v>
      </c>
    </row>
    <row r="91" spans="1:8" x14ac:dyDescent="0.45">
      <c r="A91" s="257" t="s">
        <v>2092</v>
      </c>
      <c r="B91" s="23">
        <v>1606001</v>
      </c>
      <c r="C91" s="23">
        <v>3.2</v>
      </c>
      <c r="D91" s="56" t="s">
        <v>169</v>
      </c>
      <c r="E91" s="23">
        <v>12</v>
      </c>
      <c r="F91" s="23" t="s">
        <v>17</v>
      </c>
      <c r="G91" s="24"/>
      <c r="H91" s="24">
        <f>G91*E91</f>
        <v>0</v>
      </c>
    </row>
    <row r="92" spans="1:8" x14ac:dyDescent="0.45">
      <c r="A92" s="257" t="s">
        <v>2093</v>
      </c>
      <c r="B92" s="23">
        <v>1606001</v>
      </c>
      <c r="C92" s="23">
        <v>3.3</v>
      </c>
      <c r="D92" s="56" t="s">
        <v>170</v>
      </c>
      <c r="E92" s="23">
        <v>12</v>
      </c>
      <c r="F92" s="23" t="s">
        <v>17</v>
      </c>
      <c r="G92" s="24"/>
      <c r="H92" s="24">
        <f>G92*E92</f>
        <v>0</v>
      </c>
    </row>
    <row r="93" spans="1:8" x14ac:dyDescent="0.45">
      <c r="A93" s="287"/>
      <c r="B93" s="41">
        <v>1700000</v>
      </c>
      <c r="C93" s="41"/>
      <c r="D93" s="42" t="s">
        <v>171</v>
      </c>
      <c r="E93" s="50"/>
      <c r="F93" s="50"/>
      <c r="G93" s="44"/>
      <c r="H93" s="51"/>
    </row>
    <row r="94" spans="1:8" x14ac:dyDescent="0.45">
      <c r="A94" s="257" t="s">
        <v>2094</v>
      </c>
      <c r="B94" s="23">
        <v>1700000</v>
      </c>
      <c r="C94" s="23">
        <v>3.1</v>
      </c>
      <c r="D94" s="30" t="s">
        <v>173</v>
      </c>
      <c r="E94" s="23">
        <v>12</v>
      </c>
      <c r="F94" s="23" t="s">
        <v>17</v>
      </c>
      <c r="G94" s="24"/>
      <c r="H94" s="24">
        <f>G94*E94</f>
        <v>0</v>
      </c>
    </row>
    <row r="95" spans="1:8" x14ac:dyDescent="0.45">
      <c r="A95" s="287"/>
      <c r="B95" s="41">
        <v>1800000</v>
      </c>
      <c r="C95" s="41"/>
      <c r="D95" s="42" t="s">
        <v>174</v>
      </c>
      <c r="E95" s="43"/>
      <c r="F95" s="44"/>
      <c r="G95" s="44"/>
      <c r="H95" s="45"/>
    </row>
    <row r="96" spans="1:8" ht="25.2" x14ac:dyDescent="0.45">
      <c r="A96" s="257" t="s">
        <v>5330</v>
      </c>
      <c r="B96" s="23">
        <v>1800000</v>
      </c>
      <c r="C96" s="23">
        <v>3.1</v>
      </c>
      <c r="D96" s="57" t="s">
        <v>176</v>
      </c>
      <c r="E96" s="23">
        <v>12</v>
      </c>
      <c r="F96" s="23" t="s">
        <v>17</v>
      </c>
      <c r="G96" s="24"/>
      <c r="H96" s="24">
        <f>G96*E96</f>
        <v>0</v>
      </c>
    </row>
    <row r="97" spans="1:8" x14ac:dyDescent="0.45">
      <c r="A97" s="58"/>
      <c r="B97" s="59"/>
      <c r="C97" s="59"/>
      <c r="D97" s="60" t="s">
        <v>177</v>
      </c>
      <c r="E97" s="59"/>
      <c r="F97" s="59"/>
      <c r="G97" s="59"/>
      <c r="H97" s="62">
        <f>SUM(H15:H96)</f>
        <v>0</v>
      </c>
    </row>
    <row r="98" spans="1:8" hidden="1" x14ac:dyDescent="0.45">
      <c r="A98" s="63"/>
      <c r="B98" s="64"/>
      <c r="C98" s="64"/>
      <c r="D98" s="65"/>
      <c r="E98" s="64"/>
      <c r="F98" s="64"/>
      <c r="G98" s="64"/>
      <c r="H98" s="66"/>
    </row>
    <row r="99" spans="1:8" s="70" customFormat="1" ht="13.5" hidden="1" customHeight="1" x14ac:dyDescent="0.45">
      <c r="A99" s="67"/>
      <c r="B99" s="68"/>
      <c r="C99" s="68"/>
      <c r="D99" s="69"/>
      <c r="E99" s="69"/>
      <c r="F99" s="69"/>
      <c r="G99" s="69"/>
      <c r="H99" s="69"/>
    </row>
    <row r="100" spans="1:8" s="70" customFormat="1" ht="12.3" hidden="1" x14ac:dyDescent="0.45">
      <c r="A100" s="71"/>
      <c r="B100" s="72"/>
      <c r="C100" s="72"/>
      <c r="D100" s="73" t="s">
        <v>178</v>
      </c>
      <c r="E100" s="74"/>
      <c r="F100" s="74"/>
      <c r="G100" s="74"/>
      <c r="H100" s="75"/>
    </row>
    <row r="101" spans="1:8" s="70" customFormat="1" ht="12.3" hidden="1" x14ac:dyDescent="0.45">
      <c r="A101" s="76"/>
      <c r="B101" s="77"/>
      <c r="C101" s="77"/>
      <c r="D101" s="78" t="s">
        <v>179</v>
      </c>
      <c r="E101" s="79">
        <v>12</v>
      </c>
      <c r="F101" s="79" t="s">
        <v>17</v>
      </c>
      <c r="G101" s="79"/>
      <c r="H101" s="80">
        <f>G101*E101</f>
        <v>0</v>
      </c>
    </row>
    <row r="102" spans="1:8" s="70" customFormat="1" ht="12.3" hidden="1" x14ac:dyDescent="0.45">
      <c r="A102" s="71"/>
      <c r="B102" s="72"/>
      <c r="C102" s="72"/>
      <c r="D102" s="73" t="s">
        <v>180</v>
      </c>
      <c r="E102" s="72"/>
      <c r="F102" s="81"/>
      <c r="G102" s="81"/>
      <c r="H102" s="82"/>
    </row>
    <row r="103" spans="1:8" s="70" customFormat="1" ht="12.3" hidden="1" x14ac:dyDescent="0.45">
      <c r="A103" s="83"/>
      <c r="B103" s="84"/>
      <c r="C103" s="84"/>
      <c r="D103" s="85" t="s">
        <v>181</v>
      </c>
      <c r="E103" s="84"/>
      <c r="F103" s="84"/>
      <c r="G103" s="84"/>
      <c r="H103" s="86">
        <f>SUM(H100:H102)</f>
        <v>0</v>
      </c>
    </row>
    <row r="104" spans="1:8" x14ac:dyDescent="0.45">
      <c r="A104" s="87"/>
      <c r="B104" s="88"/>
      <c r="C104" s="88"/>
      <c r="D104" s="89"/>
      <c r="E104" s="64"/>
      <c r="F104" s="64"/>
      <c r="G104" s="64"/>
      <c r="H104" s="66"/>
    </row>
    <row r="105" spans="1:8" x14ac:dyDescent="0.45">
      <c r="A105" s="12" t="s">
        <v>2095</v>
      </c>
      <c r="B105" s="90"/>
      <c r="C105" s="13"/>
      <c r="D105" s="12" t="s">
        <v>183</v>
      </c>
      <c r="E105" s="91"/>
      <c r="F105" s="91"/>
      <c r="G105" s="91"/>
      <c r="H105" s="91"/>
    </row>
    <row r="106" spans="1:8" x14ac:dyDescent="0.4">
      <c r="A106" s="40"/>
      <c r="B106" s="222">
        <v>1502000</v>
      </c>
      <c r="C106" s="18"/>
      <c r="D106" s="223" t="s">
        <v>18</v>
      </c>
      <c r="E106" s="50"/>
      <c r="F106" s="50"/>
      <c r="G106" s="50"/>
      <c r="H106" s="51"/>
    </row>
    <row r="107" spans="1:8" x14ac:dyDescent="0.45">
      <c r="A107" s="25"/>
      <c r="B107" s="26"/>
      <c r="C107" s="26">
        <v>3.1</v>
      </c>
      <c r="D107" s="27" t="s">
        <v>19</v>
      </c>
      <c r="E107" s="28"/>
      <c r="F107" s="28"/>
      <c r="G107" s="28"/>
      <c r="H107" s="28"/>
    </row>
    <row r="108" spans="1:8" x14ac:dyDescent="0.45">
      <c r="A108" s="22" t="s">
        <v>2096</v>
      </c>
      <c r="B108" s="23">
        <v>1502000</v>
      </c>
      <c r="C108" s="23" t="s">
        <v>21</v>
      </c>
      <c r="D108" s="29" t="s">
        <v>22</v>
      </c>
      <c r="E108" s="23">
        <v>12</v>
      </c>
      <c r="F108" s="23" t="s">
        <v>17</v>
      </c>
      <c r="G108" s="24"/>
      <c r="H108" s="24">
        <f>G108*E108</f>
        <v>0</v>
      </c>
    </row>
    <row r="109" spans="1:8" x14ac:dyDescent="0.45">
      <c r="A109" s="22" t="s">
        <v>2097</v>
      </c>
      <c r="B109" s="23">
        <v>1502000</v>
      </c>
      <c r="C109" s="23" t="s">
        <v>24</v>
      </c>
      <c r="D109" s="29" t="s">
        <v>25</v>
      </c>
      <c r="E109" s="23">
        <v>12</v>
      </c>
      <c r="F109" s="23" t="s">
        <v>17</v>
      </c>
      <c r="G109" s="24"/>
      <c r="H109" s="24">
        <f>G109*E109</f>
        <v>0</v>
      </c>
    </row>
    <row r="110" spans="1:8" x14ac:dyDescent="0.45">
      <c r="A110" s="22" t="s">
        <v>2098</v>
      </c>
      <c r="B110" s="23">
        <v>1502000</v>
      </c>
      <c r="C110" s="23" t="s">
        <v>27</v>
      </c>
      <c r="D110" s="29" t="s">
        <v>28</v>
      </c>
      <c r="E110" s="23">
        <v>12</v>
      </c>
      <c r="F110" s="23" t="s">
        <v>17</v>
      </c>
      <c r="G110" s="24"/>
      <c r="H110" s="24">
        <f>G110*E110</f>
        <v>0</v>
      </c>
    </row>
    <row r="111" spans="1:8" x14ac:dyDescent="0.45">
      <c r="A111" s="25"/>
      <c r="B111" s="26"/>
      <c r="C111" s="26">
        <v>3.4</v>
      </c>
      <c r="D111" s="27" t="s">
        <v>62</v>
      </c>
      <c r="E111" s="28"/>
      <c r="F111" s="28"/>
      <c r="G111" s="28"/>
      <c r="H111" s="28"/>
    </row>
    <row r="112" spans="1:8" x14ac:dyDescent="0.45">
      <c r="A112" s="22" t="s">
        <v>2099</v>
      </c>
      <c r="B112" s="23">
        <v>1502000</v>
      </c>
      <c r="C112" s="23" t="s">
        <v>67</v>
      </c>
      <c r="D112" s="35" t="s">
        <v>68</v>
      </c>
      <c r="E112" s="23">
        <v>12</v>
      </c>
      <c r="F112" s="23" t="s">
        <v>17</v>
      </c>
      <c r="G112" s="24"/>
      <c r="H112" s="24">
        <f>G112*E112</f>
        <v>0</v>
      </c>
    </row>
    <row r="113" spans="1:8" x14ac:dyDescent="0.45">
      <c r="A113" s="25"/>
      <c r="B113" s="37"/>
      <c r="C113" s="37">
        <v>3.6</v>
      </c>
      <c r="D113" s="38" t="s">
        <v>75</v>
      </c>
      <c r="E113" s="28"/>
      <c r="F113" s="28"/>
      <c r="G113" s="28"/>
      <c r="H113" s="28"/>
    </row>
    <row r="114" spans="1:8" s="263" customFormat="1" x14ac:dyDescent="0.45">
      <c r="A114" s="258" t="s">
        <v>2100</v>
      </c>
      <c r="B114" s="261">
        <v>1502000</v>
      </c>
      <c r="C114" s="259" t="s">
        <v>77</v>
      </c>
      <c r="D114" s="275" t="s">
        <v>78</v>
      </c>
      <c r="E114" s="261">
        <v>12</v>
      </c>
      <c r="F114" s="261" t="s">
        <v>17</v>
      </c>
      <c r="G114" s="262"/>
      <c r="H114" s="262">
        <f>G114*E114</f>
        <v>0</v>
      </c>
    </row>
    <row r="115" spans="1:8" s="389" customFormat="1" x14ac:dyDescent="0.45">
      <c r="A115" s="22" t="s">
        <v>2101</v>
      </c>
      <c r="B115" s="23">
        <v>1502000</v>
      </c>
      <c r="C115" s="33" t="s">
        <v>95</v>
      </c>
      <c r="D115" s="39" t="s">
        <v>96</v>
      </c>
      <c r="E115" s="23">
        <v>12</v>
      </c>
      <c r="F115" s="23" t="s">
        <v>17</v>
      </c>
      <c r="G115" s="24"/>
      <c r="H115" s="24">
        <f>G115*E115</f>
        <v>0</v>
      </c>
    </row>
    <row r="116" spans="1:8" s="263" customFormat="1" x14ac:dyDescent="0.45">
      <c r="A116" s="258" t="s">
        <v>2102</v>
      </c>
      <c r="B116" s="261">
        <v>1502000</v>
      </c>
      <c r="C116" s="259" t="s">
        <v>101</v>
      </c>
      <c r="D116" s="275" t="s">
        <v>102</v>
      </c>
      <c r="E116" s="261">
        <v>12</v>
      </c>
      <c r="F116" s="261" t="s">
        <v>17</v>
      </c>
      <c r="G116" s="262"/>
      <c r="H116" s="262">
        <f>G116*E116</f>
        <v>0</v>
      </c>
    </row>
    <row r="117" spans="1:8" x14ac:dyDescent="0.45">
      <c r="A117" s="40"/>
      <c r="B117" s="41">
        <v>1503010</v>
      </c>
      <c r="C117" s="41"/>
      <c r="D117" s="42" t="s">
        <v>109</v>
      </c>
      <c r="E117" s="43"/>
      <c r="F117" s="44"/>
      <c r="G117" s="44"/>
      <c r="H117" s="45"/>
    </row>
    <row r="118" spans="1:8" x14ac:dyDescent="0.45">
      <c r="A118" s="22" t="s">
        <v>5145</v>
      </c>
      <c r="B118" s="33">
        <v>1503010</v>
      </c>
      <c r="C118" s="33">
        <v>3.1</v>
      </c>
      <c r="D118" s="36" t="s">
        <v>111</v>
      </c>
      <c r="E118" s="23">
        <v>12</v>
      </c>
      <c r="F118" s="23" t="s">
        <v>17</v>
      </c>
      <c r="G118" s="24"/>
      <c r="H118" s="24">
        <f>G118*E118</f>
        <v>0</v>
      </c>
    </row>
    <row r="119" spans="1:8" x14ac:dyDescent="0.45">
      <c r="A119" s="40"/>
      <c r="B119" s="92">
        <v>1503020</v>
      </c>
      <c r="C119" s="92"/>
      <c r="D119" s="93" t="s">
        <v>114</v>
      </c>
      <c r="E119" s="50"/>
      <c r="F119" s="50"/>
      <c r="G119" s="44"/>
      <c r="H119" s="51"/>
    </row>
    <row r="120" spans="1:8" x14ac:dyDescent="0.45">
      <c r="A120" s="22" t="s">
        <v>5146</v>
      </c>
      <c r="B120" s="33">
        <v>1503020</v>
      </c>
      <c r="C120" s="33">
        <v>3.1</v>
      </c>
      <c r="D120" s="36" t="s">
        <v>116</v>
      </c>
      <c r="E120" s="23">
        <v>12</v>
      </c>
      <c r="F120" s="23" t="s">
        <v>17</v>
      </c>
      <c r="G120" s="24"/>
      <c r="H120" s="24">
        <f>G120*E120</f>
        <v>0</v>
      </c>
    </row>
    <row r="121" spans="1:8" x14ac:dyDescent="0.45">
      <c r="A121" s="22" t="s">
        <v>5147</v>
      </c>
      <c r="B121" s="33">
        <v>1503020</v>
      </c>
      <c r="C121" s="33">
        <v>3.3</v>
      </c>
      <c r="D121" s="36" t="s">
        <v>120</v>
      </c>
      <c r="E121" s="23">
        <v>12</v>
      </c>
      <c r="F121" s="23" t="s">
        <v>17</v>
      </c>
      <c r="G121" s="24"/>
      <c r="H121" s="24">
        <f>G121*E121</f>
        <v>0</v>
      </c>
    </row>
    <row r="122" spans="1:8" x14ac:dyDescent="0.45">
      <c r="A122" s="58"/>
      <c r="B122" s="59"/>
      <c r="C122" s="59"/>
      <c r="D122" s="60" t="s">
        <v>190</v>
      </c>
      <c r="E122" s="59"/>
      <c r="F122" s="59"/>
      <c r="G122" s="59"/>
      <c r="H122" s="62">
        <f>SUM(H107:H121)</f>
        <v>0</v>
      </c>
    </row>
    <row r="123" spans="1:8" x14ac:dyDescent="0.45">
      <c r="A123" s="87"/>
      <c r="B123" s="88"/>
      <c r="C123" s="88"/>
      <c r="D123" s="89"/>
      <c r="E123" s="88"/>
      <c r="F123" s="88"/>
      <c r="G123" s="88"/>
      <c r="H123" s="94"/>
    </row>
    <row r="124" spans="1:8" x14ac:dyDescent="0.45">
      <c r="A124" s="12" t="s">
        <v>2103</v>
      </c>
      <c r="B124" s="13"/>
      <c r="C124" s="13"/>
      <c r="D124" s="12" t="s">
        <v>192</v>
      </c>
      <c r="E124" s="91"/>
      <c r="F124" s="91"/>
      <c r="G124" s="91"/>
      <c r="H124" s="91"/>
    </row>
    <row r="125" spans="1:8" x14ac:dyDescent="0.4">
      <c r="A125" s="40"/>
      <c r="B125" s="222">
        <v>1502000</v>
      </c>
      <c r="C125" s="18"/>
      <c r="D125" s="223" t="s">
        <v>18</v>
      </c>
      <c r="E125" s="43"/>
      <c r="F125" s="44"/>
      <c r="G125" s="43"/>
      <c r="H125" s="45"/>
    </row>
    <row r="126" spans="1:8" x14ac:dyDescent="0.45">
      <c r="A126" s="25"/>
      <c r="B126" s="26"/>
      <c r="C126" s="26">
        <v>3.4</v>
      </c>
      <c r="D126" s="27" t="s">
        <v>62</v>
      </c>
      <c r="E126" s="28"/>
      <c r="F126" s="28"/>
      <c r="G126" s="28"/>
      <c r="H126" s="28"/>
    </row>
    <row r="127" spans="1:8" x14ac:dyDescent="0.45">
      <c r="A127" s="22" t="s">
        <v>2104</v>
      </c>
      <c r="B127" s="23">
        <v>1502000</v>
      </c>
      <c r="C127" s="23" t="s">
        <v>67</v>
      </c>
      <c r="D127" s="35" t="s">
        <v>68</v>
      </c>
      <c r="E127" s="23">
        <v>12</v>
      </c>
      <c r="F127" s="23" t="s">
        <v>17</v>
      </c>
      <c r="G127" s="24"/>
      <c r="H127" s="24">
        <f>G127*E127</f>
        <v>0</v>
      </c>
    </row>
    <row r="128" spans="1:8" s="263" customFormat="1" x14ac:dyDescent="0.45">
      <c r="A128" s="265"/>
      <c r="B128" s="376"/>
      <c r="C128" s="376">
        <v>3.6</v>
      </c>
      <c r="D128" s="377" t="s">
        <v>75</v>
      </c>
      <c r="E128" s="268"/>
      <c r="F128" s="268"/>
      <c r="G128" s="268"/>
      <c r="H128" s="268"/>
    </row>
    <row r="129" spans="1:8" s="263" customFormat="1" x14ac:dyDescent="0.45">
      <c r="A129" s="258" t="s">
        <v>2105</v>
      </c>
      <c r="B129" s="261">
        <v>1502000</v>
      </c>
      <c r="C129" s="259" t="s">
        <v>77</v>
      </c>
      <c r="D129" s="275" t="s">
        <v>78</v>
      </c>
      <c r="E129" s="261">
        <v>12</v>
      </c>
      <c r="F129" s="261" t="s">
        <v>17</v>
      </c>
      <c r="G129" s="262"/>
      <c r="H129" s="262">
        <f>G129*E129</f>
        <v>0</v>
      </c>
    </row>
    <row r="130" spans="1:8" x14ac:dyDescent="0.45">
      <c r="A130" s="40"/>
      <c r="B130" s="92">
        <v>1503020</v>
      </c>
      <c r="C130" s="92"/>
      <c r="D130" s="93" t="s">
        <v>114</v>
      </c>
      <c r="E130" s="50"/>
      <c r="F130" s="50"/>
      <c r="G130" s="50"/>
      <c r="H130" s="51"/>
    </row>
    <row r="131" spans="1:8" x14ac:dyDescent="0.45">
      <c r="A131" s="22" t="s">
        <v>5148</v>
      </c>
      <c r="B131" s="33">
        <v>1503020</v>
      </c>
      <c r="C131" s="33">
        <v>3.1</v>
      </c>
      <c r="D131" s="36" t="s">
        <v>116</v>
      </c>
      <c r="E131" s="23">
        <v>12</v>
      </c>
      <c r="F131" s="23" t="s">
        <v>17</v>
      </c>
      <c r="G131" s="24"/>
      <c r="H131" s="24">
        <f>G131*E131</f>
        <v>0</v>
      </c>
    </row>
    <row r="132" spans="1:8" x14ac:dyDescent="0.45">
      <c r="A132" s="22" t="s">
        <v>5149</v>
      </c>
      <c r="B132" s="33">
        <v>1503020</v>
      </c>
      <c r="C132" s="33">
        <v>3.2</v>
      </c>
      <c r="D132" s="36" t="s">
        <v>118</v>
      </c>
      <c r="E132" s="23">
        <v>12</v>
      </c>
      <c r="F132" s="23" t="s">
        <v>17</v>
      </c>
      <c r="G132" s="24"/>
      <c r="H132" s="24">
        <f>G132*E132</f>
        <v>0</v>
      </c>
    </row>
    <row r="133" spans="1:8" x14ac:dyDescent="0.45">
      <c r="A133" s="22" t="s">
        <v>5150</v>
      </c>
      <c r="B133" s="33">
        <v>1503020</v>
      </c>
      <c r="C133" s="33">
        <v>3.3</v>
      </c>
      <c r="D133" s="36" t="s">
        <v>120</v>
      </c>
      <c r="E133" s="23">
        <v>12</v>
      </c>
      <c r="F133" s="23" t="s">
        <v>17</v>
      </c>
      <c r="G133" s="24"/>
      <c r="H133" s="24">
        <f>G133*E133</f>
        <v>0</v>
      </c>
    </row>
    <row r="134" spans="1:8" x14ac:dyDescent="0.45">
      <c r="A134" s="40"/>
      <c r="B134" s="43">
        <v>1503030</v>
      </c>
      <c r="C134" s="41"/>
      <c r="D134" s="42" t="s">
        <v>121</v>
      </c>
      <c r="E134" s="95"/>
      <c r="F134" s="95"/>
      <c r="G134" s="44"/>
      <c r="H134" s="95"/>
    </row>
    <row r="135" spans="1:8" x14ac:dyDescent="0.45">
      <c r="A135" s="22" t="s">
        <v>5151</v>
      </c>
      <c r="B135" s="33">
        <v>1503030</v>
      </c>
      <c r="C135" s="33" t="s">
        <v>123</v>
      </c>
      <c r="D135" s="36" t="s">
        <v>124</v>
      </c>
      <c r="E135" s="23">
        <v>12</v>
      </c>
      <c r="F135" s="23" t="s">
        <v>17</v>
      </c>
      <c r="G135" s="24"/>
      <c r="H135" s="24">
        <f>G135*E135</f>
        <v>0</v>
      </c>
    </row>
    <row r="136" spans="1:8" x14ac:dyDescent="0.45">
      <c r="A136" s="58"/>
      <c r="B136" s="59"/>
      <c r="C136" s="59"/>
      <c r="D136" s="60" t="s">
        <v>195</v>
      </c>
      <c r="E136" s="59"/>
      <c r="F136" s="59"/>
      <c r="G136" s="59"/>
      <c r="H136" s="62">
        <f>SUM(H127:H135)</f>
        <v>0</v>
      </c>
    </row>
    <row r="137" spans="1:8" x14ac:dyDescent="0.45">
      <c r="A137" s="87"/>
      <c r="B137" s="88"/>
      <c r="C137" s="88"/>
      <c r="D137" s="65"/>
      <c r="E137" s="64"/>
      <c r="F137" s="64"/>
      <c r="G137" s="64"/>
      <c r="H137" s="66"/>
    </row>
    <row r="138" spans="1:8" x14ac:dyDescent="0.45">
      <c r="A138" s="12" t="s">
        <v>2106</v>
      </c>
      <c r="B138" s="13"/>
      <c r="C138" s="13"/>
      <c r="D138" s="12" t="s">
        <v>197</v>
      </c>
      <c r="E138" s="91"/>
      <c r="F138" s="91"/>
      <c r="G138" s="91"/>
      <c r="H138" s="91"/>
    </row>
    <row r="139" spans="1:8" x14ac:dyDescent="0.45">
      <c r="A139" s="40"/>
      <c r="B139" s="41">
        <v>1503010</v>
      </c>
      <c r="C139" s="41"/>
      <c r="D139" s="42" t="s">
        <v>109</v>
      </c>
      <c r="E139" s="43"/>
      <c r="F139" s="44"/>
      <c r="G139" s="44"/>
      <c r="H139" s="45"/>
    </row>
    <row r="140" spans="1:8" x14ac:dyDescent="0.45">
      <c r="A140" s="22" t="s">
        <v>2107</v>
      </c>
      <c r="B140" s="33">
        <v>1503010</v>
      </c>
      <c r="C140" s="33">
        <v>3.1</v>
      </c>
      <c r="D140" s="36" t="s">
        <v>111</v>
      </c>
      <c r="E140" s="23">
        <v>12</v>
      </c>
      <c r="F140" s="23" t="s">
        <v>17</v>
      </c>
      <c r="G140" s="24"/>
      <c r="H140" s="24">
        <f>G140*E140</f>
        <v>0</v>
      </c>
    </row>
    <row r="141" spans="1:8" x14ac:dyDescent="0.45">
      <c r="A141" s="40"/>
      <c r="B141" s="43">
        <v>1503030</v>
      </c>
      <c r="C141" s="41"/>
      <c r="D141" s="42" t="s">
        <v>121</v>
      </c>
      <c r="E141" s="50"/>
      <c r="F141" s="50"/>
      <c r="G141" s="44"/>
      <c r="H141" s="51"/>
    </row>
    <row r="142" spans="1:8" x14ac:dyDescent="0.45">
      <c r="A142" s="22" t="s">
        <v>2108</v>
      </c>
      <c r="B142" s="33">
        <v>1503030</v>
      </c>
      <c r="C142" s="33" t="s">
        <v>123</v>
      </c>
      <c r="D142" s="36" t="s">
        <v>124</v>
      </c>
      <c r="E142" s="23">
        <v>12</v>
      </c>
      <c r="F142" s="23" t="s">
        <v>17</v>
      </c>
      <c r="G142" s="24"/>
      <c r="H142" s="24">
        <f>G142*E142</f>
        <v>0</v>
      </c>
    </row>
    <row r="143" spans="1:8" x14ac:dyDescent="0.45">
      <c r="A143" s="58"/>
      <c r="B143" s="59"/>
      <c r="C143" s="59"/>
      <c r="D143" s="60" t="s">
        <v>200</v>
      </c>
      <c r="E143" s="59"/>
      <c r="F143" s="59"/>
      <c r="G143" s="59"/>
      <c r="H143" s="62">
        <f>SUM(H138:H142)</f>
        <v>0</v>
      </c>
    </row>
    <row r="144" spans="1:8" x14ac:dyDescent="0.45">
      <c r="A144" s="96"/>
      <c r="B144" s="97"/>
      <c r="C144" s="97"/>
      <c r="D144" s="98"/>
      <c r="E144" s="97"/>
      <c r="F144" s="97"/>
      <c r="G144" s="64"/>
      <c r="H144" s="99"/>
    </row>
    <row r="145" spans="1:8" x14ac:dyDescent="0.45">
      <c r="A145" s="12" t="s">
        <v>2109</v>
      </c>
      <c r="B145" s="13"/>
      <c r="C145" s="13"/>
      <c r="D145" s="12" t="s">
        <v>202</v>
      </c>
      <c r="E145" s="100"/>
      <c r="F145" s="101"/>
      <c r="G145" s="91"/>
      <c r="H145" s="102"/>
    </row>
    <row r="146" spans="1:8" x14ac:dyDescent="0.45">
      <c r="A146" s="40"/>
      <c r="B146" s="41">
        <v>1503010</v>
      </c>
      <c r="C146" s="41"/>
      <c r="D146" s="42" t="s">
        <v>109</v>
      </c>
      <c r="E146" s="43"/>
      <c r="F146" s="44"/>
      <c r="G146" s="44"/>
      <c r="H146" s="45"/>
    </row>
    <row r="147" spans="1:8" x14ac:dyDescent="0.45">
      <c r="A147" s="22" t="s">
        <v>2110</v>
      </c>
      <c r="B147" s="33">
        <v>1503010</v>
      </c>
      <c r="C147" s="33">
        <v>3.1</v>
      </c>
      <c r="D147" s="36" t="s">
        <v>111</v>
      </c>
      <c r="E147" s="23">
        <v>12</v>
      </c>
      <c r="F147" s="23" t="s">
        <v>17</v>
      </c>
      <c r="G147" s="24"/>
      <c r="H147" s="24">
        <f>G147*E147</f>
        <v>0</v>
      </c>
    </row>
    <row r="148" spans="1:8" x14ac:dyDescent="0.45">
      <c r="A148" s="40"/>
      <c r="B148" s="43">
        <v>1503030</v>
      </c>
      <c r="C148" s="41"/>
      <c r="D148" s="42" t="s">
        <v>121</v>
      </c>
      <c r="E148" s="43"/>
      <c r="F148" s="44"/>
      <c r="G148" s="44"/>
      <c r="H148" s="45"/>
    </row>
    <row r="149" spans="1:8" x14ac:dyDescent="0.45">
      <c r="A149" s="22" t="s">
        <v>2111</v>
      </c>
      <c r="B149" s="33">
        <v>1503030</v>
      </c>
      <c r="C149" s="33" t="s">
        <v>123</v>
      </c>
      <c r="D149" s="36" t="s">
        <v>124</v>
      </c>
      <c r="E149" s="23">
        <v>12</v>
      </c>
      <c r="F149" s="23" t="s">
        <v>17</v>
      </c>
      <c r="G149" s="24"/>
      <c r="H149" s="24">
        <f>G149*E149</f>
        <v>0</v>
      </c>
    </row>
    <row r="150" spans="1:8" x14ac:dyDescent="0.45">
      <c r="A150" s="58"/>
      <c r="B150" s="59"/>
      <c r="C150" s="59"/>
      <c r="D150" s="60" t="s">
        <v>205</v>
      </c>
      <c r="E150" s="59"/>
      <c r="F150" s="59"/>
      <c r="G150" s="59"/>
      <c r="H150" s="62">
        <f>SUM(H147:H149)</f>
        <v>0</v>
      </c>
    </row>
    <row r="151" spans="1:8" x14ac:dyDescent="0.45">
      <c r="A151" s="96"/>
      <c r="B151" s="97"/>
      <c r="C151" s="97"/>
      <c r="D151" s="98"/>
      <c r="E151" s="97"/>
      <c r="F151" s="97"/>
      <c r="G151" s="97"/>
      <c r="H151" s="99"/>
    </row>
    <row r="152" spans="1:8" x14ac:dyDescent="0.45">
      <c r="A152" s="12" t="s">
        <v>2112</v>
      </c>
      <c r="B152" s="13"/>
      <c r="C152" s="13"/>
      <c r="D152" s="12" t="s">
        <v>207</v>
      </c>
      <c r="E152" s="100"/>
      <c r="F152" s="101"/>
      <c r="G152" s="101"/>
      <c r="H152" s="102"/>
    </row>
    <row r="153" spans="1:8" x14ac:dyDescent="0.4">
      <c r="A153" s="40"/>
      <c r="B153" s="222">
        <v>1502000</v>
      </c>
      <c r="C153" s="18"/>
      <c r="D153" s="223" t="s">
        <v>18</v>
      </c>
      <c r="E153" s="43"/>
      <c r="F153" s="44"/>
      <c r="G153" s="44"/>
      <c r="H153" s="45"/>
    </row>
    <row r="154" spans="1:8" x14ac:dyDescent="0.45">
      <c r="A154" s="25"/>
      <c r="B154" s="37"/>
      <c r="C154" s="37">
        <v>3.6</v>
      </c>
      <c r="D154" s="38" t="s">
        <v>75</v>
      </c>
      <c r="E154" s="28"/>
      <c r="F154" s="28"/>
      <c r="G154" s="28"/>
      <c r="H154" s="28"/>
    </row>
    <row r="155" spans="1:8" x14ac:dyDescent="0.45">
      <c r="A155" s="22" t="s">
        <v>2113</v>
      </c>
      <c r="B155" s="23">
        <v>1502000</v>
      </c>
      <c r="C155" s="33" t="s">
        <v>77</v>
      </c>
      <c r="D155" s="39" t="s">
        <v>78</v>
      </c>
      <c r="E155" s="23">
        <v>12</v>
      </c>
      <c r="F155" s="23" t="s">
        <v>17</v>
      </c>
      <c r="G155" s="24"/>
      <c r="H155" s="24">
        <f>G155*E155</f>
        <v>0</v>
      </c>
    </row>
    <row r="156" spans="1:8" x14ac:dyDescent="0.45">
      <c r="A156" s="22" t="s">
        <v>2114</v>
      </c>
      <c r="B156" s="23">
        <v>1502000</v>
      </c>
      <c r="C156" s="33" t="s">
        <v>101</v>
      </c>
      <c r="D156" s="39" t="s">
        <v>102</v>
      </c>
      <c r="E156" s="23">
        <v>12</v>
      </c>
      <c r="F156" s="23" t="s">
        <v>17</v>
      </c>
      <c r="G156" s="24"/>
      <c r="H156" s="24">
        <f>G156*E156</f>
        <v>0</v>
      </c>
    </row>
    <row r="157" spans="1:8" x14ac:dyDescent="0.45">
      <c r="A157" s="40"/>
      <c r="B157" s="41">
        <v>1503010</v>
      </c>
      <c r="C157" s="41"/>
      <c r="D157" s="42" t="s">
        <v>109</v>
      </c>
      <c r="E157" s="43"/>
      <c r="F157" s="44"/>
      <c r="G157" s="44"/>
      <c r="H157" s="45"/>
    </row>
    <row r="158" spans="1:8" x14ac:dyDescent="0.45">
      <c r="A158" s="22" t="s">
        <v>2115</v>
      </c>
      <c r="B158" s="33">
        <v>1503010</v>
      </c>
      <c r="C158" s="33">
        <v>3.1</v>
      </c>
      <c r="D158" s="36" t="s">
        <v>111</v>
      </c>
      <c r="E158" s="23">
        <v>12</v>
      </c>
      <c r="F158" s="23" t="s">
        <v>17</v>
      </c>
      <c r="G158" s="24"/>
      <c r="H158" s="24">
        <f>G158*E158</f>
        <v>0</v>
      </c>
    </row>
    <row r="159" spans="1:8" x14ac:dyDescent="0.45">
      <c r="A159" s="40"/>
      <c r="B159" s="92">
        <v>1503020</v>
      </c>
      <c r="C159" s="92"/>
      <c r="D159" s="93" t="s">
        <v>114</v>
      </c>
      <c r="E159" s="43"/>
      <c r="F159" s="44"/>
      <c r="G159" s="44"/>
      <c r="H159" s="45"/>
    </row>
    <row r="160" spans="1:8" x14ac:dyDescent="0.45">
      <c r="A160" s="22" t="s">
        <v>2116</v>
      </c>
      <c r="B160" s="33">
        <v>1503020</v>
      </c>
      <c r="C160" s="33">
        <v>3.1</v>
      </c>
      <c r="D160" s="36" t="s">
        <v>116</v>
      </c>
      <c r="E160" s="23">
        <v>12</v>
      </c>
      <c r="F160" s="23" t="s">
        <v>17</v>
      </c>
      <c r="G160" s="24"/>
      <c r="H160" s="24">
        <f>G160*E160</f>
        <v>0</v>
      </c>
    </row>
    <row r="161" spans="1:8" x14ac:dyDescent="0.45">
      <c r="A161" s="22" t="s">
        <v>2117</v>
      </c>
      <c r="B161" s="33">
        <v>1503020</v>
      </c>
      <c r="C161" s="33">
        <v>3.2</v>
      </c>
      <c r="D161" s="36" t="s">
        <v>118</v>
      </c>
      <c r="E161" s="23">
        <v>12</v>
      </c>
      <c r="F161" s="23" t="s">
        <v>17</v>
      </c>
      <c r="G161" s="24"/>
      <c r="H161" s="24">
        <f>G161*E161</f>
        <v>0</v>
      </c>
    </row>
    <row r="162" spans="1:8" x14ac:dyDescent="0.45">
      <c r="A162" s="22" t="s">
        <v>2118</v>
      </c>
      <c r="B162" s="33">
        <v>1503020</v>
      </c>
      <c r="C162" s="33">
        <v>3.3</v>
      </c>
      <c r="D162" s="36" t="s">
        <v>120</v>
      </c>
      <c r="E162" s="23">
        <v>12</v>
      </c>
      <c r="F162" s="23" t="s">
        <v>17</v>
      </c>
      <c r="G162" s="24"/>
      <c r="H162" s="24">
        <f>G162*E162</f>
        <v>0</v>
      </c>
    </row>
    <row r="163" spans="1:8" x14ac:dyDescent="0.45">
      <c r="A163" s="40"/>
      <c r="B163" s="43">
        <v>1503030</v>
      </c>
      <c r="C163" s="41"/>
      <c r="D163" s="42" t="s">
        <v>121</v>
      </c>
      <c r="E163" s="43"/>
      <c r="F163" s="44"/>
      <c r="G163" s="44"/>
      <c r="H163" s="45"/>
    </row>
    <row r="164" spans="1:8" x14ac:dyDescent="0.45">
      <c r="A164" s="22" t="s">
        <v>2119</v>
      </c>
      <c r="B164" s="33">
        <v>1503030</v>
      </c>
      <c r="C164" s="33" t="s">
        <v>123</v>
      </c>
      <c r="D164" s="36" t="s">
        <v>124</v>
      </c>
      <c r="E164" s="23">
        <v>12</v>
      </c>
      <c r="F164" s="23" t="s">
        <v>17</v>
      </c>
      <c r="G164" s="24"/>
      <c r="H164" s="24">
        <f>G164*E164</f>
        <v>0</v>
      </c>
    </row>
    <row r="165" spans="1:8" x14ac:dyDescent="0.45">
      <c r="A165" s="58"/>
      <c r="B165" s="59"/>
      <c r="C165" s="59"/>
      <c r="D165" s="60" t="s">
        <v>215</v>
      </c>
      <c r="E165" s="59"/>
      <c r="F165" s="59"/>
      <c r="G165" s="59"/>
      <c r="H165" s="62">
        <f>SUM(H154:H164)</f>
        <v>0</v>
      </c>
    </row>
    <row r="166" spans="1:8" x14ac:dyDescent="0.45">
      <c r="A166" s="96"/>
      <c r="B166" s="97"/>
      <c r="C166" s="97"/>
      <c r="D166" s="98"/>
      <c r="E166" s="97"/>
      <c r="F166" s="97"/>
      <c r="G166" s="97"/>
      <c r="H166" s="99"/>
    </row>
    <row r="167" spans="1:8" x14ac:dyDescent="0.45">
      <c r="A167" s="12" t="s">
        <v>2120</v>
      </c>
      <c r="B167" s="13"/>
      <c r="C167" s="13"/>
      <c r="D167" s="12" t="s">
        <v>217</v>
      </c>
      <c r="E167" s="100"/>
      <c r="F167" s="101"/>
      <c r="G167" s="101"/>
      <c r="H167" s="102"/>
    </row>
    <row r="168" spans="1:8" s="263" customFormat="1" x14ac:dyDescent="0.4">
      <c r="A168" s="278"/>
      <c r="B168" s="430">
        <v>1502000</v>
      </c>
      <c r="C168" s="280"/>
      <c r="D168" s="431" t="s">
        <v>18</v>
      </c>
      <c r="E168" s="282"/>
      <c r="F168" s="283"/>
      <c r="G168" s="283"/>
      <c r="H168" s="284"/>
    </row>
    <row r="169" spans="1:8" s="263" customFormat="1" x14ac:dyDescent="0.45">
      <c r="A169" s="265"/>
      <c r="B169" s="266"/>
      <c r="C169" s="266">
        <v>3.1</v>
      </c>
      <c r="D169" s="267" t="s">
        <v>19</v>
      </c>
      <c r="E169" s="266"/>
      <c r="F169" s="266"/>
      <c r="G169" s="268"/>
      <c r="H169" s="273"/>
    </row>
    <row r="170" spans="1:8" s="263" customFormat="1" x14ac:dyDescent="0.45">
      <c r="A170" s="258" t="s">
        <v>2121</v>
      </c>
      <c r="B170" s="261">
        <v>1502000</v>
      </c>
      <c r="C170" s="261" t="s">
        <v>21</v>
      </c>
      <c r="D170" s="264" t="s">
        <v>22</v>
      </c>
      <c r="E170" s="261">
        <v>12</v>
      </c>
      <c r="F170" s="261" t="s">
        <v>17</v>
      </c>
      <c r="G170" s="262"/>
      <c r="H170" s="262">
        <f>G170*E170</f>
        <v>0</v>
      </c>
    </row>
    <row r="171" spans="1:8" s="263" customFormat="1" x14ac:dyDescent="0.45">
      <c r="A171" s="258" t="s">
        <v>2122</v>
      </c>
      <c r="B171" s="261">
        <v>1502000</v>
      </c>
      <c r="C171" s="261" t="s">
        <v>24</v>
      </c>
      <c r="D171" s="264" t="s">
        <v>25</v>
      </c>
      <c r="E171" s="261">
        <v>12</v>
      </c>
      <c r="F171" s="261" t="s">
        <v>17</v>
      </c>
      <c r="G171" s="262"/>
      <c r="H171" s="262">
        <f>G171*E171</f>
        <v>0</v>
      </c>
    </row>
    <row r="172" spans="1:8" s="263" customFormat="1" ht="13.5" customHeight="1" x14ac:dyDescent="0.45">
      <c r="A172" s="258" t="s">
        <v>2123</v>
      </c>
      <c r="B172" s="261">
        <v>1502000</v>
      </c>
      <c r="C172" s="261" t="s">
        <v>27</v>
      </c>
      <c r="D172" s="264" t="s">
        <v>28</v>
      </c>
      <c r="E172" s="261">
        <v>12</v>
      </c>
      <c r="F172" s="261" t="s">
        <v>17</v>
      </c>
      <c r="G172" s="262"/>
      <c r="H172" s="262">
        <f>G172*E172</f>
        <v>0</v>
      </c>
    </row>
    <row r="173" spans="1:8" s="263" customFormat="1" x14ac:dyDescent="0.45">
      <c r="A173" s="265"/>
      <c r="B173" s="266"/>
      <c r="C173" s="266">
        <v>3.1</v>
      </c>
      <c r="D173" s="267" t="s">
        <v>31</v>
      </c>
      <c r="E173" s="268"/>
      <c r="F173" s="268"/>
      <c r="G173" s="268"/>
      <c r="H173" s="268"/>
    </row>
    <row r="174" spans="1:8" s="263" customFormat="1" x14ac:dyDescent="0.45">
      <c r="A174" s="258" t="s">
        <v>2124</v>
      </c>
      <c r="B174" s="261">
        <v>1502000</v>
      </c>
      <c r="C174" s="261" t="s">
        <v>222</v>
      </c>
      <c r="D174" s="269" t="s">
        <v>223</v>
      </c>
      <c r="E174" s="261">
        <v>12</v>
      </c>
      <c r="F174" s="261" t="s">
        <v>17</v>
      </c>
      <c r="G174" s="262"/>
      <c r="H174" s="262">
        <f t="shared" ref="H174:H191" si="2">G174*E174</f>
        <v>0</v>
      </c>
    </row>
    <row r="175" spans="1:8" s="263" customFormat="1" x14ac:dyDescent="0.45">
      <c r="A175" s="258" t="s">
        <v>2125</v>
      </c>
      <c r="B175" s="261">
        <v>1502000</v>
      </c>
      <c r="C175" s="261" t="s">
        <v>33</v>
      </c>
      <c r="D175" s="269" t="s">
        <v>34</v>
      </c>
      <c r="E175" s="261">
        <v>12</v>
      </c>
      <c r="F175" s="261" t="s">
        <v>17</v>
      </c>
      <c r="G175" s="262"/>
      <c r="H175" s="262">
        <f t="shared" si="2"/>
        <v>0</v>
      </c>
    </row>
    <row r="176" spans="1:8" s="263" customFormat="1" x14ac:dyDescent="0.45">
      <c r="A176" s="258" t="s">
        <v>2126</v>
      </c>
      <c r="B176" s="261">
        <v>1502000</v>
      </c>
      <c r="C176" s="261" t="s">
        <v>36</v>
      </c>
      <c r="D176" s="269" t="s">
        <v>37</v>
      </c>
      <c r="E176" s="261">
        <v>12</v>
      </c>
      <c r="F176" s="261" t="s">
        <v>17</v>
      </c>
      <c r="G176" s="262"/>
      <c r="H176" s="262">
        <f t="shared" si="2"/>
        <v>0</v>
      </c>
    </row>
    <row r="177" spans="1:8" s="263" customFormat="1" x14ac:dyDescent="0.45">
      <c r="A177" s="258" t="s">
        <v>2127</v>
      </c>
      <c r="B177" s="261">
        <v>1502000</v>
      </c>
      <c r="C177" s="261" t="s">
        <v>227</v>
      </c>
      <c r="D177" s="270" t="s">
        <v>228</v>
      </c>
      <c r="E177" s="261">
        <v>12</v>
      </c>
      <c r="F177" s="261" t="s">
        <v>17</v>
      </c>
      <c r="G177" s="262"/>
      <c r="H177" s="262">
        <f t="shared" si="2"/>
        <v>0</v>
      </c>
    </row>
    <row r="178" spans="1:8" s="263" customFormat="1" x14ac:dyDescent="0.45">
      <c r="A178" s="258" t="s">
        <v>2128</v>
      </c>
      <c r="B178" s="261">
        <v>1502000</v>
      </c>
      <c r="C178" s="261" t="s">
        <v>39</v>
      </c>
      <c r="D178" s="269" t="s">
        <v>230</v>
      </c>
      <c r="E178" s="261">
        <v>12</v>
      </c>
      <c r="F178" s="261" t="s">
        <v>17</v>
      </c>
      <c r="G178" s="262"/>
      <c r="H178" s="262">
        <f t="shared" si="2"/>
        <v>0</v>
      </c>
    </row>
    <row r="179" spans="1:8" s="263" customFormat="1" x14ac:dyDescent="0.45">
      <c r="A179" s="258" t="s">
        <v>2129</v>
      </c>
      <c r="B179" s="261">
        <v>1502000</v>
      </c>
      <c r="C179" s="261" t="s">
        <v>232</v>
      </c>
      <c r="D179" s="269" t="s">
        <v>233</v>
      </c>
      <c r="E179" s="261">
        <v>12</v>
      </c>
      <c r="F179" s="261" t="s">
        <v>17</v>
      </c>
      <c r="G179" s="262"/>
      <c r="H179" s="262">
        <f t="shared" si="2"/>
        <v>0</v>
      </c>
    </row>
    <row r="180" spans="1:8" s="263" customFormat="1" x14ac:dyDescent="0.45">
      <c r="A180" s="258" t="s">
        <v>2130</v>
      </c>
      <c r="B180" s="261">
        <v>1502000</v>
      </c>
      <c r="C180" s="271" t="s">
        <v>235</v>
      </c>
      <c r="D180" s="263" t="s">
        <v>236</v>
      </c>
      <c r="E180" s="261">
        <v>12</v>
      </c>
      <c r="F180" s="261" t="s">
        <v>17</v>
      </c>
      <c r="G180" s="262"/>
      <c r="H180" s="262">
        <f t="shared" si="2"/>
        <v>0</v>
      </c>
    </row>
    <row r="181" spans="1:8" s="263" customFormat="1" x14ac:dyDescent="0.45">
      <c r="A181" s="258" t="s">
        <v>2131</v>
      </c>
      <c r="B181" s="261">
        <v>1502000</v>
      </c>
      <c r="C181" s="261" t="s">
        <v>238</v>
      </c>
      <c r="D181" s="269" t="s">
        <v>239</v>
      </c>
      <c r="E181" s="261">
        <v>12</v>
      </c>
      <c r="F181" s="261" t="s">
        <v>17</v>
      </c>
      <c r="G181" s="262"/>
      <c r="H181" s="262">
        <f t="shared" si="2"/>
        <v>0</v>
      </c>
    </row>
    <row r="182" spans="1:8" s="263" customFormat="1" x14ac:dyDescent="0.45">
      <c r="A182" s="258" t="s">
        <v>2132</v>
      </c>
      <c r="B182" s="261">
        <v>1502000</v>
      </c>
      <c r="C182" s="261" t="s">
        <v>241</v>
      </c>
      <c r="D182" s="269" t="s">
        <v>242</v>
      </c>
      <c r="E182" s="261">
        <v>12</v>
      </c>
      <c r="F182" s="261" t="s">
        <v>17</v>
      </c>
      <c r="G182" s="262"/>
      <c r="H182" s="262">
        <f t="shared" si="2"/>
        <v>0</v>
      </c>
    </row>
    <row r="183" spans="1:8" s="263" customFormat="1" x14ac:dyDescent="0.45">
      <c r="A183" s="258" t="s">
        <v>2133</v>
      </c>
      <c r="B183" s="261">
        <v>1502000</v>
      </c>
      <c r="C183" s="261" t="s">
        <v>244</v>
      </c>
      <c r="D183" s="269" t="s">
        <v>245</v>
      </c>
      <c r="E183" s="261">
        <v>12</v>
      </c>
      <c r="F183" s="261" t="s">
        <v>17</v>
      </c>
      <c r="G183" s="262"/>
      <c r="H183" s="262">
        <f t="shared" si="2"/>
        <v>0</v>
      </c>
    </row>
    <row r="184" spans="1:8" s="263" customFormat="1" x14ac:dyDescent="0.45">
      <c r="A184" s="258" t="s">
        <v>2134</v>
      </c>
      <c r="B184" s="261">
        <v>1502000</v>
      </c>
      <c r="C184" s="261" t="s">
        <v>247</v>
      </c>
      <c r="D184" s="269" t="s">
        <v>248</v>
      </c>
      <c r="E184" s="261">
        <v>12</v>
      </c>
      <c r="F184" s="261" t="s">
        <v>17</v>
      </c>
      <c r="G184" s="262"/>
      <c r="H184" s="262">
        <f t="shared" si="2"/>
        <v>0</v>
      </c>
    </row>
    <row r="185" spans="1:8" s="263" customFormat="1" x14ac:dyDescent="0.45">
      <c r="A185" s="258" t="s">
        <v>2135</v>
      </c>
      <c r="B185" s="261">
        <v>1502000</v>
      </c>
      <c r="C185" s="261" t="s">
        <v>250</v>
      </c>
      <c r="D185" s="269" t="s">
        <v>251</v>
      </c>
      <c r="E185" s="261">
        <v>12</v>
      </c>
      <c r="F185" s="261" t="s">
        <v>17</v>
      </c>
      <c r="G185" s="262"/>
      <c r="H185" s="262">
        <f t="shared" si="2"/>
        <v>0</v>
      </c>
    </row>
    <row r="186" spans="1:8" s="263" customFormat="1" x14ac:dyDescent="0.45">
      <c r="A186" s="258" t="s">
        <v>2136</v>
      </c>
      <c r="B186" s="261">
        <v>1502000</v>
      </c>
      <c r="C186" s="261" t="s">
        <v>253</v>
      </c>
      <c r="D186" s="269" t="s">
        <v>254</v>
      </c>
      <c r="E186" s="261">
        <v>12</v>
      </c>
      <c r="F186" s="261" t="s">
        <v>17</v>
      </c>
      <c r="G186" s="262"/>
      <c r="H186" s="262">
        <f t="shared" si="2"/>
        <v>0</v>
      </c>
    </row>
    <row r="187" spans="1:8" s="263" customFormat="1" x14ac:dyDescent="0.45">
      <c r="A187" s="258" t="s">
        <v>2137</v>
      </c>
      <c r="B187" s="261">
        <v>1502000</v>
      </c>
      <c r="C187" s="261" t="s">
        <v>45</v>
      </c>
      <c r="D187" s="269" t="s">
        <v>46</v>
      </c>
      <c r="E187" s="261">
        <v>12</v>
      </c>
      <c r="F187" s="261" t="s">
        <v>17</v>
      </c>
      <c r="G187" s="262"/>
      <c r="H187" s="262">
        <f t="shared" si="2"/>
        <v>0</v>
      </c>
    </row>
    <row r="188" spans="1:8" s="263" customFormat="1" x14ac:dyDescent="0.45">
      <c r="A188" s="258" t="s">
        <v>2138</v>
      </c>
      <c r="B188" s="261">
        <v>1502000</v>
      </c>
      <c r="C188" s="261" t="s">
        <v>48</v>
      </c>
      <c r="D188" s="269" t="s">
        <v>257</v>
      </c>
      <c r="E188" s="261">
        <v>12</v>
      </c>
      <c r="F188" s="261" t="s">
        <v>17</v>
      </c>
      <c r="G188" s="262"/>
      <c r="H188" s="262">
        <f t="shared" si="2"/>
        <v>0</v>
      </c>
    </row>
    <row r="189" spans="1:8" s="263" customFormat="1" x14ac:dyDescent="0.45">
      <c r="A189" s="258" t="s">
        <v>2139</v>
      </c>
      <c r="B189" s="261">
        <v>1502000</v>
      </c>
      <c r="C189" s="261" t="s">
        <v>54</v>
      </c>
      <c r="D189" s="269" t="s">
        <v>55</v>
      </c>
      <c r="E189" s="261">
        <v>12</v>
      </c>
      <c r="F189" s="261" t="s">
        <v>17</v>
      </c>
      <c r="G189" s="262"/>
      <c r="H189" s="262">
        <f t="shared" si="2"/>
        <v>0</v>
      </c>
    </row>
    <row r="190" spans="1:8" s="263" customFormat="1" x14ac:dyDescent="0.45">
      <c r="A190" s="258" t="s">
        <v>2140</v>
      </c>
      <c r="B190" s="261">
        <v>1502000</v>
      </c>
      <c r="C190" s="261" t="s">
        <v>260</v>
      </c>
      <c r="D190" s="269" t="s">
        <v>261</v>
      </c>
      <c r="E190" s="261">
        <v>12</v>
      </c>
      <c r="F190" s="261" t="s">
        <v>17</v>
      </c>
      <c r="G190" s="262"/>
      <c r="H190" s="262">
        <f t="shared" si="2"/>
        <v>0</v>
      </c>
    </row>
    <row r="191" spans="1:8" s="263" customFormat="1" x14ac:dyDescent="0.45">
      <c r="A191" s="258" t="s">
        <v>2141</v>
      </c>
      <c r="B191" s="261">
        <v>1502000</v>
      </c>
      <c r="C191" s="271" t="s">
        <v>60</v>
      </c>
      <c r="D191" s="432" t="s">
        <v>61</v>
      </c>
      <c r="E191" s="261">
        <v>12</v>
      </c>
      <c r="F191" s="261" t="s">
        <v>17</v>
      </c>
      <c r="G191" s="262"/>
      <c r="H191" s="262">
        <f t="shared" si="2"/>
        <v>0</v>
      </c>
    </row>
    <row r="192" spans="1:8" s="263" customFormat="1" x14ac:dyDescent="0.45">
      <c r="A192" s="265"/>
      <c r="B192" s="266"/>
      <c r="C192" s="266">
        <v>3.4</v>
      </c>
      <c r="D192" s="267" t="s">
        <v>62</v>
      </c>
      <c r="E192" s="266"/>
      <c r="F192" s="266"/>
      <c r="G192" s="268"/>
      <c r="H192" s="273"/>
    </row>
    <row r="193" spans="1:8" s="263" customFormat="1" x14ac:dyDescent="0.45">
      <c r="A193" s="258" t="s">
        <v>2142</v>
      </c>
      <c r="B193" s="261">
        <v>1502000</v>
      </c>
      <c r="C193" s="261" t="s">
        <v>64</v>
      </c>
      <c r="D193" s="270" t="s">
        <v>65</v>
      </c>
      <c r="E193" s="261">
        <v>12</v>
      </c>
      <c r="F193" s="261" t="s">
        <v>17</v>
      </c>
      <c r="G193" s="262"/>
      <c r="H193" s="262">
        <f>G193*E193</f>
        <v>0</v>
      </c>
    </row>
    <row r="194" spans="1:8" s="263" customFormat="1" x14ac:dyDescent="0.45">
      <c r="A194" s="258" t="s">
        <v>2143</v>
      </c>
      <c r="B194" s="261">
        <v>1502000</v>
      </c>
      <c r="C194" s="261" t="s">
        <v>67</v>
      </c>
      <c r="D194" s="270" t="s">
        <v>68</v>
      </c>
      <c r="E194" s="261">
        <v>12</v>
      </c>
      <c r="F194" s="261" t="s">
        <v>17</v>
      </c>
      <c r="G194" s="262"/>
      <c r="H194" s="262">
        <f>G194*E194</f>
        <v>0</v>
      </c>
    </row>
    <row r="195" spans="1:8" s="263" customFormat="1" x14ac:dyDescent="0.45">
      <c r="A195" s="258" t="s">
        <v>2144</v>
      </c>
      <c r="B195" s="261">
        <v>1502000</v>
      </c>
      <c r="C195" s="259" t="s">
        <v>70</v>
      </c>
      <c r="D195" s="260" t="s">
        <v>71</v>
      </c>
      <c r="E195" s="261">
        <v>12</v>
      </c>
      <c r="F195" s="261" t="s">
        <v>17</v>
      </c>
      <c r="G195" s="262"/>
      <c r="H195" s="262">
        <f>G195*E195</f>
        <v>0</v>
      </c>
    </row>
    <row r="196" spans="1:8" s="263" customFormat="1" x14ac:dyDescent="0.45">
      <c r="A196" s="265"/>
      <c r="B196" s="266"/>
      <c r="C196" s="266">
        <v>3.5</v>
      </c>
      <c r="D196" s="267" t="s">
        <v>72</v>
      </c>
      <c r="E196" s="268"/>
      <c r="F196" s="268"/>
      <c r="G196" s="268"/>
      <c r="H196" s="268"/>
    </row>
    <row r="197" spans="1:8" s="263" customFormat="1" x14ac:dyDescent="0.45">
      <c r="A197" s="258" t="s">
        <v>2145</v>
      </c>
      <c r="B197" s="261">
        <v>1502000</v>
      </c>
      <c r="C197" s="261" t="s">
        <v>267</v>
      </c>
      <c r="D197" s="274" t="s">
        <v>71</v>
      </c>
      <c r="E197" s="261">
        <v>12</v>
      </c>
      <c r="F197" s="261" t="s">
        <v>17</v>
      </c>
      <c r="G197" s="262"/>
      <c r="H197" s="262">
        <f>G197*E197</f>
        <v>0</v>
      </c>
    </row>
    <row r="198" spans="1:8" s="263" customFormat="1" x14ac:dyDescent="0.45">
      <c r="A198" s="258" t="s">
        <v>2146</v>
      </c>
      <c r="B198" s="261">
        <v>1502000</v>
      </c>
      <c r="C198" s="261" t="s">
        <v>74</v>
      </c>
      <c r="D198" s="269" t="s">
        <v>37</v>
      </c>
      <c r="E198" s="261">
        <v>12</v>
      </c>
      <c r="F198" s="261" t="s">
        <v>17</v>
      </c>
      <c r="G198" s="262"/>
      <c r="H198" s="262">
        <f>G198*E198</f>
        <v>0</v>
      </c>
    </row>
    <row r="199" spans="1:8" s="263" customFormat="1" x14ac:dyDescent="0.45">
      <c r="A199" s="265"/>
      <c r="B199" s="266"/>
      <c r="C199" s="266">
        <v>3.6</v>
      </c>
      <c r="D199" s="267" t="s">
        <v>75</v>
      </c>
      <c r="E199" s="266"/>
      <c r="F199" s="266"/>
      <c r="G199" s="268"/>
      <c r="H199" s="273"/>
    </row>
    <row r="200" spans="1:8" s="263" customFormat="1" x14ac:dyDescent="0.45">
      <c r="A200" s="258" t="s">
        <v>2147</v>
      </c>
      <c r="B200" s="261">
        <v>1502000</v>
      </c>
      <c r="C200" s="259" t="s">
        <v>77</v>
      </c>
      <c r="D200" s="275" t="s">
        <v>78</v>
      </c>
      <c r="E200" s="261">
        <v>12</v>
      </c>
      <c r="F200" s="261" t="s">
        <v>17</v>
      </c>
      <c r="G200" s="262"/>
      <c r="H200" s="262">
        <f>G200*E200</f>
        <v>0</v>
      </c>
    </row>
    <row r="201" spans="1:8" s="263" customFormat="1" x14ac:dyDescent="0.45">
      <c r="A201" s="258" t="s">
        <v>2148</v>
      </c>
      <c r="B201" s="261">
        <v>1502000</v>
      </c>
      <c r="C201" s="259" t="s">
        <v>80</v>
      </c>
      <c r="D201" s="275" t="s">
        <v>81</v>
      </c>
      <c r="E201" s="261">
        <v>12</v>
      </c>
      <c r="F201" s="261" t="s">
        <v>17</v>
      </c>
      <c r="G201" s="262"/>
      <c r="H201" s="262">
        <f>G201*E201</f>
        <v>0</v>
      </c>
    </row>
    <row r="202" spans="1:8" s="263" customFormat="1" x14ac:dyDescent="0.45">
      <c r="A202" s="258" t="s">
        <v>2149</v>
      </c>
      <c r="B202" s="261">
        <v>1502000</v>
      </c>
      <c r="C202" s="259" t="s">
        <v>83</v>
      </c>
      <c r="D202" s="275" t="s">
        <v>84</v>
      </c>
      <c r="E202" s="261">
        <v>12</v>
      </c>
      <c r="F202" s="261" t="s">
        <v>17</v>
      </c>
      <c r="G202" s="262"/>
      <c r="H202" s="262">
        <f>G202*E202</f>
        <v>0</v>
      </c>
    </row>
    <row r="203" spans="1:8" s="263" customFormat="1" x14ac:dyDescent="0.45">
      <c r="A203" s="258" t="s">
        <v>2150</v>
      </c>
      <c r="B203" s="261">
        <v>1502000</v>
      </c>
      <c r="C203" s="261" t="s">
        <v>273</v>
      </c>
      <c r="D203" s="276" t="s">
        <v>274</v>
      </c>
      <c r="E203" s="261">
        <v>12</v>
      </c>
      <c r="F203" s="261" t="s">
        <v>17</v>
      </c>
      <c r="G203" s="262"/>
      <c r="H203" s="262">
        <f>G203*E203</f>
        <v>0</v>
      </c>
    </row>
    <row r="204" spans="1:8" s="263" customFormat="1" x14ac:dyDescent="0.45">
      <c r="A204" s="258" t="s">
        <v>2151</v>
      </c>
      <c r="B204" s="261">
        <v>1502000</v>
      </c>
      <c r="C204" s="277" t="s">
        <v>276</v>
      </c>
      <c r="D204" s="276" t="s">
        <v>277</v>
      </c>
      <c r="E204" s="261">
        <v>12</v>
      </c>
      <c r="F204" s="261" t="s">
        <v>17</v>
      </c>
      <c r="G204" s="262"/>
      <c r="H204" s="262">
        <f>G204*E204</f>
        <v>0</v>
      </c>
    </row>
    <row r="205" spans="1:8" x14ac:dyDescent="0.45">
      <c r="A205" s="40"/>
      <c r="B205" s="41">
        <v>1503010</v>
      </c>
      <c r="C205" s="41"/>
      <c r="D205" s="42" t="s">
        <v>109</v>
      </c>
      <c r="E205" s="43"/>
      <c r="F205" s="44"/>
      <c r="G205" s="44"/>
      <c r="H205" s="45"/>
    </row>
    <row r="206" spans="1:8" x14ac:dyDescent="0.45">
      <c r="A206" s="257" t="s">
        <v>2145</v>
      </c>
      <c r="B206" s="33">
        <v>1503010</v>
      </c>
      <c r="C206" s="33">
        <v>3.1</v>
      </c>
      <c r="D206" s="36" t="s">
        <v>111</v>
      </c>
      <c r="E206" s="23">
        <v>12</v>
      </c>
      <c r="F206" s="23" t="s">
        <v>17</v>
      </c>
      <c r="G206" s="24"/>
      <c r="H206" s="24">
        <f>G206*E206</f>
        <v>0</v>
      </c>
    </row>
    <row r="207" spans="1:8" x14ac:dyDescent="0.45">
      <c r="A207" s="257" t="s">
        <v>2146</v>
      </c>
      <c r="B207" s="33">
        <v>1503010</v>
      </c>
      <c r="C207" s="33">
        <v>3.2</v>
      </c>
      <c r="D207" s="36" t="s">
        <v>278</v>
      </c>
      <c r="E207" s="23">
        <v>12</v>
      </c>
      <c r="F207" s="23" t="s">
        <v>17</v>
      </c>
      <c r="G207" s="24"/>
      <c r="H207" s="24">
        <f>G207*E207</f>
        <v>0</v>
      </c>
    </row>
    <row r="208" spans="1:8" x14ac:dyDescent="0.45">
      <c r="A208" s="287"/>
      <c r="B208" s="43">
        <v>1503020</v>
      </c>
      <c r="C208" s="41"/>
      <c r="D208" s="42" t="s">
        <v>114</v>
      </c>
      <c r="E208" s="43"/>
      <c r="F208" s="44"/>
      <c r="G208" s="44"/>
      <c r="H208" s="45"/>
    </row>
    <row r="209" spans="1:8" ht="13.45" customHeight="1" x14ac:dyDescent="0.45">
      <c r="A209" s="257" t="s">
        <v>2147</v>
      </c>
      <c r="B209" s="33">
        <v>1503020</v>
      </c>
      <c r="C209" s="33">
        <v>3.1</v>
      </c>
      <c r="D209" s="36" t="s">
        <v>116</v>
      </c>
      <c r="E209" s="23">
        <v>12</v>
      </c>
      <c r="F209" s="23" t="s">
        <v>17</v>
      </c>
      <c r="G209" s="24"/>
      <c r="H209" s="24">
        <f>G209*E209</f>
        <v>0</v>
      </c>
    </row>
    <row r="210" spans="1:8" ht="13.45" customHeight="1" x14ac:dyDescent="0.45">
      <c r="A210" s="257" t="s">
        <v>2148</v>
      </c>
      <c r="B210" s="33">
        <v>1503020</v>
      </c>
      <c r="C210" s="33">
        <v>3.3</v>
      </c>
      <c r="D210" s="36" t="s">
        <v>120</v>
      </c>
      <c r="E210" s="23">
        <v>12</v>
      </c>
      <c r="F210" s="23" t="s">
        <v>17</v>
      </c>
      <c r="G210" s="24"/>
      <c r="H210" s="24">
        <f>G210*E210</f>
        <v>0</v>
      </c>
    </row>
    <row r="211" spans="1:8" x14ac:dyDescent="0.45">
      <c r="A211" s="287"/>
      <c r="B211" s="43">
        <v>1503030</v>
      </c>
      <c r="C211" s="41"/>
      <c r="D211" s="42" t="s">
        <v>121</v>
      </c>
      <c r="E211" s="43"/>
      <c r="F211" s="44"/>
      <c r="G211" s="44"/>
      <c r="H211" s="45"/>
    </row>
    <row r="212" spans="1:8" x14ac:dyDescent="0.45">
      <c r="A212" s="257" t="s">
        <v>2149</v>
      </c>
      <c r="B212" s="33">
        <v>1503030</v>
      </c>
      <c r="C212" s="33" t="s">
        <v>123</v>
      </c>
      <c r="D212" s="36" t="s">
        <v>124</v>
      </c>
      <c r="E212" s="23">
        <v>12</v>
      </c>
      <c r="F212" s="23" t="s">
        <v>17</v>
      </c>
      <c r="G212" s="24"/>
      <c r="H212" s="24">
        <f>G212*E212</f>
        <v>0</v>
      </c>
    </row>
    <row r="213" spans="1:8" x14ac:dyDescent="0.45">
      <c r="A213" s="287"/>
      <c r="B213" s="41">
        <v>1503050</v>
      </c>
      <c r="C213" s="41"/>
      <c r="D213" s="42" t="s">
        <v>127</v>
      </c>
      <c r="E213" s="43"/>
      <c r="F213" s="44"/>
      <c r="G213" s="44"/>
      <c r="H213" s="45"/>
    </row>
    <row r="214" spans="1:8" x14ac:dyDescent="0.45">
      <c r="A214" s="257" t="s">
        <v>2150</v>
      </c>
      <c r="B214" s="33">
        <v>1503050</v>
      </c>
      <c r="C214" s="33">
        <v>3.1</v>
      </c>
      <c r="D214" s="46" t="s">
        <v>129</v>
      </c>
      <c r="E214" s="23">
        <v>12</v>
      </c>
      <c r="F214" s="23" t="s">
        <v>17</v>
      </c>
      <c r="G214" s="24"/>
      <c r="H214" s="24">
        <f>G214*E214</f>
        <v>0</v>
      </c>
    </row>
    <row r="215" spans="1:8" x14ac:dyDescent="0.45">
      <c r="A215" s="257" t="s">
        <v>2151</v>
      </c>
      <c r="B215" s="33">
        <v>1503050</v>
      </c>
      <c r="C215" s="33">
        <v>3.4</v>
      </c>
      <c r="D215" s="36" t="s">
        <v>135</v>
      </c>
      <c r="E215" s="23">
        <v>12</v>
      </c>
      <c r="F215" s="23" t="s">
        <v>17</v>
      </c>
      <c r="G215" s="24"/>
      <c r="H215" s="24">
        <f>G215*E215</f>
        <v>0</v>
      </c>
    </row>
    <row r="216" spans="1:8" x14ac:dyDescent="0.45">
      <c r="A216" s="58"/>
      <c r="B216" s="59"/>
      <c r="C216" s="59"/>
      <c r="D216" s="60" t="s">
        <v>279</v>
      </c>
      <c r="E216" s="59"/>
      <c r="F216" s="59"/>
      <c r="G216" s="59"/>
      <c r="H216" s="62">
        <f>SUM(H169:H215)</f>
        <v>0</v>
      </c>
    </row>
    <row r="217" spans="1:8" x14ac:dyDescent="0.45">
      <c r="A217" s="6"/>
      <c r="B217" s="107"/>
      <c r="C217" s="107"/>
      <c r="D217" s="108"/>
      <c r="E217" s="107"/>
      <c r="F217" s="109"/>
      <c r="G217" s="97"/>
      <c r="H217" s="110"/>
    </row>
    <row r="218" spans="1:8" x14ac:dyDescent="0.45">
      <c r="A218" s="12" t="s">
        <v>2152</v>
      </c>
      <c r="B218" s="13"/>
      <c r="C218" s="13"/>
      <c r="D218" s="111" t="s">
        <v>281</v>
      </c>
      <c r="E218" s="100"/>
      <c r="F218" s="101"/>
      <c r="G218" s="101"/>
      <c r="H218" s="102"/>
    </row>
    <row r="219" spans="1:8" x14ac:dyDescent="0.45">
      <c r="A219" s="103"/>
      <c r="B219" s="41">
        <v>1502000</v>
      </c>
      <c r="C219" s="43"/>
      <c r="D219" s="42" t="s">
        <v>18</v>
      </c>
      <c r="E219" s="43"/>
      <c r="F219" s="44"/>
      <c r="G219" s="44"/>
      <c r="H219" s="45"/>
    </row>
    <row r="220" spans="1:8" x14ac:dyDescent="0.45">
      <c r="A220" s="25"/>
      <c r="B220" s="26"/>
      <c r="C220" s="26">
        <v>3.1</v>
      </c>
      <c r="D220" s="27" t="s">
        <v>19</v>
      </c>
      <c r="E220" s="28"/>
      <c r="F220" s="28"/>
      <c r="G220" s="28"/>
      <c r="H220" s="28"/>
    </row>
    <row r="221" spans="1:8" x14ac:dyDescent="0.45">
      <c r="A221" s="22" t="s">
        <v>2153</v>
      </c>
      <c r="B221" s="23"/>
      <c r="C221" s="23" t="s">
        <v>24</v>
      </c>
      <c r="D221" s="29" t="s">
        <v>25</v>
      </c>
      <c r="E221" s="23">
        <v>12</v>
      </c>
      <c r="F221" s="23" t="s">
        <v>17</v>
      </c>
      <c r="G221" s="24"/>
      <c r="H221" s="24">
        <f>G221*E221</f>
        <v>0</v>
      </c>
    </row>
    <row r="222" spans="1:8" x14ac:dyDescent="0.45">
      <c r="A222" s="25"/>
      <c r="B222" s="26"/>
      <c r="C222" s="26">
        <v>3.1</v>
      </c>
      <c r="D222" s="27" t="s">
        <v>31</v>
      </c>
      <c r="E222" s="28"/>
      <c r="F222" s="28"/>
      <c r="G222" s="28"/>
      <c r="H222" s="28"/>
    </row>
    <row r="223" spans="1:8" x14ac:dyDescent="0.45">
      <c r="A223" s="22" t="s">
        <v>2154</v>
      </c>
      <c r="B223" s="105">
        <v>1502000</v>
      </c>
      <c r="C223" s="105" t="s">
        <v>36</v>
      </c>
      <c r="D223" s="112" t="s">
        <v>37</v>
      </c>
      <c r="E223" s="23">
        <v>12</v>
      </c>
      <c r="F223" s="23" t="s">
        <v>17</v>
      </c>
      <c r="G223" s="24"/>
      <c r="H223" s="24">
        <f>G223*E223</f>
        <v>0</v>
      </c>
    </row>
    <row r="224" spans="1:8" x14ac:dyDescent="0.45">
      <c r="A224" s="25"/>
      <c r="B224" s="26"/>
      <c r="C224" s="26">
        <v>3.4</v>
      </c>
      <c r="D224" s="27" t="s">
        <v>62</v>
      </c>
      <c r="E224" s="26"/>
      <c r="F224" s="26"/>
      <c r="G224" s="28"/>
      <c r="H224" s="104"/>
    </row>
    <row r="225" spans="1:8" x14ac:dyDescent="0.45">
      <c r="A225" s="22" t="s">
        <v>2155</v>
      </c>
      <c r="B225" s="23">
        <v>1502000</v>
      </c>
      <c r="C225" s="23" t="s">
        <v>67</v>
      </c>
      <c r="D225" s="35" t="s">
        <v>68</v>
      </c>
      <c r="E225" s="23">
        <v>12</v>
      </c>
      <c r="F225" s="23" t="s">
        <v>17</v>
      </c>
      <c r="G225" s="24"/>
      <c r="H225" s="24">
        <f>G225*E225</f>
        <v>0</v>
      </c>
    </row>
    <row r="226" spans="1:8" x14ac:dyDescent="0.45">
      <c r="A226" s="25"/>
      <c r="B226" s="26"/>
      <c r="C226" s="26">
        <v>3.5</v>
      </c>
      <c r="D226" s="27" t="s">
        <v>72</v>
      </c>
      <c r="E226" s="28"/>
      <c r="F226" s="28"/>
      <c r="G226" s="28"/>
      <c r="H226" s="28"/>
    </row>
    <row r="227" spans="1:8" x14ac:dyDescent="0.45">
      <c r="A227" s="22" t="s">
        <v>2156</v>
      </c>
      <c r="B227" s="23">
        <v>1502000</v>
      </c>
      <c r="C227" s="23" t="s">
        <v>74</v>
      </c>
      <c r="D227" s="32" t="s">
        <v>37</v>
      </c>
      <c r="E227" s="23">
        <v>12</v>
      </c>
      <c r="F227" s="23" t="s">
        <v>17</v>
      </c>
      <c r="G227" s="24"/>
      <c r="H227" s="24">
        <f>G227*E227</f>
        <v>0</v>
      </c>
    </row>
    <row r="228" spans="1:8" s="263" customFormat="1" x14ac:dyDescent="0.45">
      <c r="A228" s="265"/>
      <c r="B228" s="266"/>
      <c r="C228" s="266">
        <v>3.6</v>
      </c>
      <c r="D228" s="267" t="s">
        <v>75</v>
      </c>
      <c r="E228" s="266"/>
      <c r="F228" s="266"/>
      <c r="G228" s="268"/>
      <c r="H228" s="273"/>
    </row>
    <row r="229" spans="1:8" s="263" customFormat="1" x14ac:dyDescent="0.45">
      <c r="A229" s="258" t="s">
        <v>2157</v>
      </c>
      <c r="B229" s="261">
        <v>1502000</v>
      </c>
      <c r="C229" s="259" t="s">
        <v>101</v>
      </c>
      <c r="D229" s="275" t="s">
        <v>102</v>
      </c>
      <c r="E229" s="261">
        <v>12</v>
      </c>
      <c r="F229" s="261" t="s">
        <v>17</v>
      </c>
      <c r="G229" s="262"/>
      <c r="H229" s="262">
        <f>G229*E229</f>
        <v>0</v>
      </c>
    </row>
    <row r="230" spans="1:8" x14ac:dyDescent="0.45">
      <c r="A230" s="40"/>
      <c r="B230" s="43">
        <v>1503020</v>
      </c>
      <c r="C230" s="41"/>
      <c r="D230" s="42" t="s">
        <v>114</v>
      </c>
      <c r="E230" s="43"/>
      <c r="F230" s="44"/>
      <c r="G230" s="44"/>
      <c r="H230" s="45"/>
    </row>
    <row r="231" spans="1:8" ht="13.45" customHeight="1" x14ac:dyDescent="0.45">
      <c r="A231" s="22" t="s">
        <v>5152</v>
      </c>
      <c r="B231" s="33">
        <v>1503020</v>
      </c>
      <c r="C231" s="33">
        <v>3.1</v>
      </c>
      <c r="D231" s="36" t="s">
        <v>116</v>
      </c>
      <c r="E231" s="23">
        <v>12</v>
      </c>
      <c r="F231" s="23" t="s">
        <v>17</v>
      </c>
      <c r="G231" s="24"/>
      <c r="H231" s="24">
        <f>G231*E231</f>
        <v>0</v>
      </c>
    </row>
    <row r="232" spans="1:8" ht="13.45" customHeight="1" x14ac:dyDescent="0.45">
      <c r="A232" s="22" t="s">
        <v>5153</v>
      </c>
      <c r="B232" s="33">
        <v>1503020</v>
      </c>
      <c r="C232" s="33">
        <v>3.2</v>
      </c>
      <c r="D232" s="36" t="s">
        <v>118</v>
      </c>
      <c r="E232" s="23">
        <v>12</v>
      </c>
      <c r="F232" s="23" t="s">
        <v>17</v>
      </c>
      <c r="G232" s="24"/>
      <c r="H232" s="24">
        <f>G232*E232</f>
        <v>0</v>
      </c>
    </row>
    <row r="233" spans="1:8" x14ac:dyDescent="0.45">
      <c r="A233" s="22" t="s">
        <v>5154</v>
      </c>
      <c r="B233" s="33">
        <v>1503020</v>
      </c>
      <c r="C233" s="33">
        <v>3.3</v>
      </c>
      <c r="D233" s="36" t="s">
        <v>120</v>
      </c>
      <c r="E233" s="23">
        <v>12</v>
      </c>
      <c r="F233" s="23" t="s">
        <v>17</v>
      </c>
      <c r="G233" s="24"/>
      <c r="H233" s="24">
        <f>G233*E233</f>
        <v>0</v>
      </c>
    </row>
    <row r="234" spans="1:8" x14ac:dyDescent="0.45">
      <c r="A234" s="40"/>
      <c r="B234" s="43">
        <v>1503030</v>
      </c>
      <c r="C234" s="41"/>
      <c r="D234" s="42" t="s">
        <v>121</v>
      </c>
      <c r="E234" s="43"/>
      <c r="F234" s="44"/>
      <c r="G234" s="44"/>
      <c r="H234" s="45"/>
    </row>
    <row r="235" spans="1:8" x14ac:dyDescent="0.45">
      <c r="A235" s="22" t="s">
        <v>5155</v>
      </c>
      <c r="B235" s="33">
        <v>1503030</v>
      </c>
      <c r="C235" s="33" t="s">
        <v>123</v>
      </c>
      <c r="D235" s="36" t="s">
        <v>124</v>
      </c>
      <c r="E235" s="23">
        <v>12</v>
      </c>
      <c r="F235" s="23" t="s">
        <v>17</v>
      </c>
      <c r="G235" s="24"/>
      <c r="H235" s="24">
        <f>G235*E235</f>
        <v>0</v>
      </c>
    </row>
    <row r="236" spans="1:8" x14ac:dyDescent="0.45">
      <c r="A236" s="58"/>
      <c r="B236" s="59"/>
      <c r="C236" s="59"/>
      <c r="D236" s="60" t="s">
        <v>287</v>
      </c>
      <c r="E236" s="59"/>
      <c r="F236" s="59"/>
      <c r="G236" s="59"/>
      <c r="H236" s="62">
        <f>SUM(H221:H235)</f>
        <v>0</v>
      </c>
    </row>
    <row r="237" spans="1:8" x14ac:dyDescent="0.45">
      <c r="A237" s="96"/>
      <c r="B237" s="97"/>
      <c r="C237" s="97"/>
      <c r="D237" s="98"/>
      <c r="E237" s="97"/>
      <c r="F237" s="97"/>
      <c r="G237" s="97"/>
      <c r="H237" s="99"/>
    </row>
    <row r="238" spans="1:8" x14ac:dyDescent="0.45">
      <c r="A238" s="12" t="s">
        <v>2158</v>
      </c>
      <c r="B238" s="13"/>
      <c r="C238" s="13"/>
      <c r="D238" s="12" t="s">
        <v>289</v>
      </c>
      <c r="E238" s="100"/>
      <c r="F238" s="101"/>
      <c r="G238" s="101"/>
      <c r="H238" s="102"/>
    </row>
    <row r="239" spans="1:8" x14ac:dyDescent="0.45">
      <c r="A239" s="103"/>
      <c r="B239" s="41">
        <v>1502000</v>
      </c>
      <c r="C239" s="43"/>
      <c r="D239" s="42" t="s">
        <v>18</v>
      </c>
      <c r="E239" s="43"/>
      <c r="F239" s="44"/>
      <c r="G239" s="44"/>
      <c r="H239" s="45"/>
    </row>
    <row r="240" spans="1:8" x14ac:dyDescent="0.45">
      <c r="A240" s="25"/>
      <c r="B240" s="26"/>
      <c r="C240" s="26">
        <v>3.4</v>
      </c>
      <c r="D240" s="27" t="s">
        <v>62</v>
      </c>
      <c r="E240" s="26"/>
      <c r="F240" s="26"/>
      <c r="G240" s="28"/>
      <c r="H240" s="104"/>
    </row>
    <row r="241" spans="1:8" x14ac:dyDescent="0.45">
      <c r="A241" s="22" t="s">
        <v>2159</v>
      </c>
      <c r="B241" s="23">
        <v>1502000</v>
      </c>
      <c r="C241" s="23" t="s">
        <v>67</v>
      </c>
      <c r="D241" s="35" t="s">
        <v>68</v>
      </c>
      <c r="E241" s="23">
        <v>12</v>
      </c>
      <c r="F241" s="23" t="s">
        <v>17</v>
      </c>
      <c r="G241" s="24"/>
      <c r="H241" s="24">
        <f>G241*E241</f>
        <v>0</v>
      </c>
    </row>
    <row r="242" spans="1:8" x14ac:dyDescent="0.45">
      <c r="A242" s="58"/>
      <c r="B242" s="59"/>
      <c r="C242" s="59"/>
      <c r="D242" s="60" t="s">
        <v>291</v>
      </c>
      <c r="E242" s="59"/>
      <c r="F242" s="59"/>
      <c r="G242" s="59"/>
      <c r="H242" s="62">
        <f>SUM(H241)</f>
        <v>0</v>
      </c>
    </row>
    <row r="243" spans="1:8" x14ac:dyDescent="0.45">
      <c r="A243" s="96"/>
      <c r="B243" s="97"/>
      <c r="C243" s="97"/>
      <c r="D243" s="98"/>
      <c r="E243" s="97"/>
      <c r="F243" s="97"/>
      <c r="G243" s="97"/>
      <c r="H243" s="99"/>
    </row>
    <row r="244" spans="1:8" x14ac:dyDescent="0.45">
      <c r="A244" s="12" t="s">
        <v>2160</v>
      </c>
      <c r="B244" s="13"/>
      <c r="C244" s="13"/>
      <c r="D244" s="12" t="s">
        <v>293</v>
      </c>
      <c r="E244" s="100"/>
      <c r="F244" s="101"/>
      <c r="G244" s="13"/>
      <c r="H244" s="102"/>
    </row>
    <row r="245" spans="1:8" x14ac:dyDescent="0.45">
      <c r="A245" s="40"/>
      <c r="B245" s="43">
        <v>1503030</v>
      </c>
      <c r="C245" s="41"/>
      <c r="D245" s="42" t="s">
        <v>121</v>
      </c>
      <c r="E245" s="43"/>
      <c r="F245" s="44"/>
      <c r="G245" s="44"/>
      <c r="H245" s="45"/>
    </row>
    <row r="246" spans="1:8" x14ac:dyDescent="0.45">
      <c r="A246" s="22" t="s">
        <v>2161</v>
      </c>
      <c r="B246" s="33">
        <v>1503030</v>
      </c>
      <c r="C246" s="33" t="s">
        <v>123</v>
      </c>
      <c r="D246" s="36" t="s">
        <v>124</v>
      </c>
      <c r="E246" s="23">
        <v>12</v>
      </c>
      <c r="F246" s="23" t="s">
        <v>17</v>
      </c>
      <c r="G246" s="24"/>
      <c r="H246" s="24">
        <f>G246*E246</f>
        <v>0</v>
      </c>
    </row>
    <row r="247" spans="1:8" x14ac:dyDescent="0.45">
      <c r="A247" s="58"/>
      <c r="B247" s="59"/>
      <c r="C247" s="59"/>
      <c r="D247" s="60" t="s">
        <v>295</v>
      </c>
      <c r="E247" s="59"/>
      <c r="F247" s="59"/>
      <c r="G247" s="59"/>
      <c r="H247" s="62">
        <f>SUM(H246)</f>
        <v>0</v>
      </c>
    </row>
    <row r="248" spans="1:8" x14ac:dyDescent="0.45">
      <c r="A248" s="96"/>
      <c r="B248" s="97"/>
      <c r="C248" s="97"/>
      <c r="D248" s="98"/>
      <c r="E248" s="97"/>
      <c r="F248" s="97"/>
      <c r="G248" s="97"/>
      <c r="H248" s="99"/>
    </row>
    <row r="249" spans="1:8" x14ac:dyDescent="0.45">
      <c r="A249" s="12" t="s">
        <v>2162</v>
      </c>
      <c r="B249" s="13"/>
      <c r="C249" s="13"/>
      <c r="D249" s="12" t="s">
        <v>297</v>
      </c>
      <c r="E249" s="100"/>
      <c r="F249" s="101"/>
      <c r="G249" s="101"/>
      <c r="H249" s="102"/>
    </row>
    <row r="250" spans="1:8" x14ac:dyDescent="0.45">
      <c r="A250" s="103"/>
      <c r="B250" s="41">
        <v>1502000</v>
      </c>
      <c r="C250" s="43"/>
      <c r="D250" s="42" t="s">
        <v>18</v>
      </c>
      <c r="E250" s="43"/>
      <c r="F250" s="44"/>
      <c r="G250" s="44"/>
      <c r="H250" s="45"/>
    </row>
    <row r="251" spans="1:8" x14ac:dyDescent="0.45">
      <c r="A251" s="27"/>
      <c r="B251" s="26"/>
      <c r="C251" s="26">
        <v>3.1</v>
      </c>
      <c r="D251" s="27" t="s">
        <v>19</v>
      </c>
      <c r="E251" s="26"/>
      <c r="F251" s="26"/>
      <c r="G251" s="28"/>
      <c r="H251" s="104"/>
    </row>
    <row r="252" spans="1:8" x14ac:dyDescent="0.45">
      <c r="A252" s="22" t="s">
        <v>2163</v>
      </c>
      <c r="B252" s="23">
        <v>1502000</v>
      </c>
      <c r="C252" s="23" t="s">
        <v>21</v>
      </c>
      <c r="D252" s="29" t="s">
        <v>22</v>
      </c>
      <c r="E252" s="23">
        <v>12</v>
      </c>
      <c r="F252" s="23" t="s">
        <v>17</v>
      </c>
      <c r="G252" s="24"/>
      <c r="H252" s="24">
        <f>G252*E252</f>
        <v>0</v>
      </c>
    </row>
    <row r="253" spans="1:8" x14ac:dyDescent="0.45">
      <c r="A253" s="22" t="s">
        <v>2164</v>
      </c>
      <c r="B253" s="23">
        <v>1502000</v>
      </c>
      <c r="C253" s="23" t="s">
        <v>24</v>
      </c>
      <c r="D253" s="29" t="s">
        <v>25</v>
      </c>
      <c r="E253" s="23">
        <v>12</v>
      </c>
      <c r="F253" s="23" t="s">
        <v>17</v>
      </c>
      <c r="G253" s="24"/>
      <c r="H253" s="24">
        <f>G253*E253</f>
        <v>0</v>
      </c>
    </row>
    <row r="254" spans="1:8" x14ac:dyDescent="0.45">
      <c r="A254" s="22" t="s">
        <v>2165</v>
      </c>
      <c r="B254" s="23">
        <v>1502000</v>
      </c>
      <c r="C254" s="23" t="s">
        <v>27</v>
      </c>
      <c r="D254" s="29" t="s">
        <v>28</v>
      </c>
      <c r="E254" s="23">
        <v>12</v>
      </c>
      <c r="F254" s="23" t="s">
        <v>17</v>
      </c>
      <c r="G254" s="24"/>
      <c r="H254" s="24">
        <f>G254*E254</f>
        <v>0</v>
      </c>
    </row>
    <row r="255" spans="1:8" x14ac:dyDescent="0.45">
      <c r="A255" s="25"/>
      <c r="B255" s="26"/>
      <c r="C255" s="26">
        <v>3.1</v>
      </c>
      <c r="D255" s="27" t="s">
        <v>31</v>
      </c>
      <c r="E255" s="28"/>
      <c r="F255" s="28"/>
      <c r="G255" s="28"/>
      <c r="H255" s="28"/>
    </row>
    <row r="256" spans="1:8" x14ac:dyDescent="0.45">
      <c r="A256" s="22" t="s">
        <v>2166</v>
      </c>
      <c r="B256" s="23">
        <v>1502000</v>
      </c>
      <c r="C256" s="286" t="s">
        <v>5022</v>
      </c>
      <c r="D256" s="32" t="s">
        <v>37</v>
      </c>
      <c r="E256" s="23">
        <v>12</v>
      </c>
      <c r="F256" s="23" t="s">
        <v>17</v>
      </c>
      <c r="G256" s="24"/>
      <c r="H256" s="24">
        <f>G256*E256</f>
        <v>0</v>
      </c>
    </row>
    <row r="257" spans="1:8" x14ac:dyDescent="0.45">
      <c r="A257" s="22" t="s">
        <v>2167</v>
      </c>
      <c r="B257" s="23">
        <v>1502000</v>
      </c>
      <c r="C257" s="23" t="s">
        <v>45</v>
      </c>
      <c r="D257" s="30" t="s">
        <v>46</v>
      </c>
      <c r="E257" s="23">
        <v>12</v>
      </c>
      <c r="F257" s="23" t="s">
        <v>17</v>
      </c>
      <c r="G257" s="24"/>
      <c r="H257" s="24">
        <f>G257*E257</f>
        <v>0</v>
      </c>
    </row>
    <row r="258" spans="1:8" x14ac:dyDescent="0.45">
      <c r="A258" s="25"/>
      <c r="B258" s="26"/>
      <c r="C258" s="26">
        <v>3.4</v>
      </c>
      <c r="D258" s="27" t="s">
        <v>62</v>
      </c>
      <c r="E258" s="26"/>
      <c r="F258" s="26"/>
      <c r="G258" s="28"/>
      <c r="H258" s="104"/>
    </row>
    <row r="259" spans="1:8" x14ac:dyDescent="0.45">
      <c r="A259" s="22" t="s">
        <v>2168</v>
      </c>
      <c r="B259" s="23">
        <v>1502000</v>
      </c>
      <c r="C259" s="23" t="s">
        <v>67</v>
      </c>
      <c r="D259" s="35" t="s">
        <v>68</v>
      </c>
      <c r="E259" s="23">
        <v>12</v>
      </c>
      <c r="F259" s="23" t="s">
        <v>17</v>
      </c>
      <c r="G259" s="24"/>
      <c r="H259" s="24">
        <f>G259*E259</f>
        <v>0</v>
      </c>
    </row>
    <row r="260" spans="1:8" x14ac:dyDescent="0.45">
      <c r="A260" s="25"/>
      <c r="B260" s="26"/>
      <c r="C260" s="26">
        <v>3.5</v>
      </c>
      <c r="D260" s="27" t="s">
        <v>72</v>
      </c>
      <c r="E260" s="28"/>
      <c r="F260" s="28"/>
      <c r="G260" s="28"/>
      <c r="H260" s="28"/>
    </row>
    <row r="261" spans="1:8" x14ac:dyDescent="0.45">
      <c r="A261" s="22" t="s">
        <v>2169</v>
      </c>
      <c r="B261" s="23">
        <v>1502000</v>
      </c>
      <c r="C261" s="23" t="s">
        <v>74</v>
      </c>
      <c r="D261" s="32" t="s">
        <v>37</v>
      </c>
      <c r="E261" s="23">
        <v>12</v>
      </c>
      <c r="F261" s="23" t="s">
        <v>17</v>
      </c>
      <c r="G261" s="24"/>
      <c r="H261" s="24">
        <f>G261*E261</f>
        <v>0</v>
      </c>
    </row>
    <row r="262" spans="1:8" x14ac:dyDescent="0.45">
      <c r="A262" s="25"/>
      <c r="B262" s="26"/>
      <c r="C262" s="26">
        <v>3.6</v>
      </c>
      <c r="D262" s="27" t="s">
        <v>75</v>
      </c>
      <c r="E262" s="26"/>
      <c r="F262" s="26"/>
      <c r="G262" s="28"/>
      <c r="H262" s="104"/>
    </row>
    <row r="263" spans="1:8" x14ac:dyDescent="0.45">
      <c r="A263" s="22" t="s">
        <v>2170</v>
      </c>
      <c r="B263" s="23">
        <v>1502000</v>
      </c>
      <c r="C263" s="33" t="s">
        <v>86</v>
      </c>
      <c r="D263" s="39" t="s">
        <v>87</v>
      </c>
      <c r="E263" s="23">
        <v>12</v>
      </c>
      <c r="F263" s="23" t="s">
        <v>17</v>
      </c>
      <c r="G263" s="24"/>
      <c r="H263" s="24">
        <f>G263*E263</f>
        <v>0</v>
      </c>
    </row>
    <row r="264" spans="1:8" x14ac:dyDescent="0.45">
      <c r="A264" s="22" t="s">
        <v>2171</v>
      </c>
      <c r="B264" s="23">
        <v>1502000</v>
      </c>
      <c r="C264" s="33" t="s">
        <v>89</v>
      </c>
      <c r="D264" s="39" t="s">
        <v>90</v>
      </c>
      <c r="E264" s="23">
        <v>12</v>
      </c>
      <c r="F264" s="23" t="s">
        <v>17</v>
      </c>
      <c r="G264" s="24"/>
      <c r="H264" s="24">
        <f>G264*E264</f>
        <v>0</v>
      </c>
    </row>
    <row r="265" spans="1:8" x14ac:dyDescent="0.45">
      <c r="A265" s="22" t="s">
        <v>2172</v>
      </c>
      <c r="B265" s="23">
        <v>1502000</v>
      </c>
      <c r="C265" s="23" t="s">
        <v>308</v>
      </c>
      <c r="D265" s="106" t="s">
        <v>309</v>
      </c>
      <c r="E265" s="23">
        <v>12</v>
      </c>
      <c r="F265" s="23" t="s">
        <v>17</v>
      </c>
      <c r="G265" s="24"/>
      <c r="H265" s="24">
        <f>G265*E265</f>
        <v>0</v>
      </c>
    </row>
    <row r="266" spans="1:8" x14ac:dyDescent="0.45">
      <c r="A266" s="40"/>
      <c r="B266" s="43">
        <v>1503020</v>
      </c>
      <c r="C266" s="41"/>
      <c r="D266" s="42" t="s">
        <v>114</v>
      </c>
      <c r="E266" s="43"/>
      <c r="F266" s="44"/>
      <c r="G266" s="44"/>
      <c r="H266" s="45"/>
    </row>
    <row r="267" spans="1:8" x14ac:dyDescent="0.45">
      <c r="A267" s="22" t="s">
        <v>2173</v>
      </c>
      <c r="B267" s="33">
        <v>1503020</v>
      </c>
      <c r="C267" s="33">
        <v>3.1</v>
      </c>
      <c r="D267" s="36" t="s">
        <v>116</v>
      </c>
      <c r="E267" s="23">
        <v>12</v>
      </c>
      <c r="F267" s="23" t="s">
        <v>17</v>
      </c>
      <c r="G267" s="24"/>
      <c r="H267" s="24">
        <f>G267*E267</f>
        <v>0</v>
      </c>
    </row>
    <row r="268" spans="1:8" x14ac:dyDescent="0.45">
      <c r="A268" s="22" t="s">
        <v>2174</v>
      </c>
      <c r="B268" s="33">
        <v>1503020</v>
      </c>
      <c r="C268" s="33">
        <v>3.2</v>
      </c>
      <c r="D268" s="36" t="s">
        <v>118</v>
      </c>
      <c r="E268" s="23">
        <v>12</v>
      </c>
      <c r="F268" s="23" t="s">
        <v>17</v>
      </c>
      <c r="G268" s="24"/>
      <c r="H268" s="24">
        <f>G268*E268</f>
        <v>0</v>
      </c>
    </row>
    <row r="269" spans="1:8" x14ac:dyDescent="0.45">
      <c r="A269" s="22" t="s">
        <v>2175</v>
      </c>
      <c r="B269" s="33">
        <v>1503020</v>
      </c>
      <c r="C269" s="33">
        <v>3.3</v>
      </c>
      <c r="D269" s="36" t="s">
        <v>120</v>
      </c>
      <c r="E269" s="23">
        <v>12</v>
      </c>
      <c r="F269" s="23" t="s">
        <v>17</v>
      </c>
      <c r="G269" s="24"/>
      <c r="H269" s="24">
        <f>G269*E269</f>
        <v>0</v>
      </c>
    </row>
    <row r="270" spans="1:8" x14ac:dyDescent="0.45">
      <c r="A270" s="40"/>
      <c r="B270" s="43">
        <v>1503030</v>
      </c>
      <c r="C270" s="41"/>
      <c r="D270" s="42" t="s">
        <v>121</v>
      </c>
      <c r="E270" s="43"/>
      <c r="F270" s="44"/>
      <c r="G270" s="44"/>
      <c r="H270" s="45"/>
    </row>
    <row r="271" spans="1:8" x14ac:dyDescent="0.45">
      <c r="A271" s="22" t="s">
        <v>2176</v>
      </c>
      <c r="B271" s="33">
        <v>1503030</v>
      </c>
      <c r="C271" s="33" t="s">
        <v>123</v>
      </c>
      <c r="D271" s="36" t="s">
        <v>124</v>
      </c>
      <c r="E271" s="23">
        <v>12</v>
      </c>
      <c r="F271" s="23" t="s">
        <v>17</v>
      </c>
      <c r="G271" s="24"/>
      <c r="H271" s="24">
        <f>G271*E271</f>
        <v>0</v>
      </c>
    </row>
    <row r="272" spans="1:8" x14ac:dyDescent="0.45">
      <c r="A272" s="58"/>
      <c r="B272" s="59"/>
      <c r="C272" s="59"/>
      <c r="D272" s="60" t="s">
        <v>314</v>
      </c>
      <c r="E272" s="59"/>
      <c r="F272" s="59"/>
      <c r="G272" s="59"/>
      <c r="H272" s="62">
        <f>SUM(H252:H271)</f>
        <v>0</v>
      </c>
    </row>
    <row r="273" spans="1:8" x14ac:dyDescent="0.45">
      <c r="A273" s="96"/>
      <c r="B273" s="97"/>
      <c r="C273" s="97"/>
      <c r="D273" s="98"/>
      <c r="E273" s="97"/>
      <c r="F273" s="97"/>
      <c r="G273" s="97"/>
      <c r="H273" s="99"/>
    </row>
    <row r="274" spans="1:8" x14ac:dyDescent="0.45">
      <c r="A274" s="12" t="s">
        <v>2177</v>
      </c>
      <c r="B274" s="13"/>
      <c r="C274" s="13"/>
      <c r="D274" s="12" t="s">
        <v>316</v>
      </c>
      <c r="E274" s="100"/>
      <c r="F274" s="101"/>
      <c r="G274" s="13"/>
      <c r="H274" s="102"/>
    </row>
    <row r="275" spans="1:8" x14ac:dyDescent="0.45">
      <c r="A275" s="40"/>
      <c r="B275" s="41">
        <v>1503010</v>
      </c>
      <c r="C275" s="41"/>
      <c r="D275" s="42" t="s">
        <v>109</v>
      </c>
      <c r="E275" s="43"/>
      <c r="F275" s="44"/>
      <c r="G275" s="44"/>
      <c r="H275" s="45"/>
    </row>
    <row r="276" spans="1:8" x14ac:dyDescent="0.45">
      <c r="A276" s="22" t="s">
        <v>2178</v>
      </c>
      <c r="B276" s="33">
        <v>1503010</v>
      </c>
      <c r="C276" s="33">
        <v>3.1</v>
      </c>
      <c r="D276" s="36" t="s">
        <v>111</v>
      </c>
      <c r="E276" s="23">
        <v>12</v>
      </c>
      <c r="F276" s="23" t="s">
        <v>17</v>
      </c>
      <c r="G276" s="24"/>
      <c r="H276" s="24">
        <f>G276*E276</f>
        <v>0</v>
      </c>
    </row>
    <row r="277" spans="1:8" x14ac:dyDescent="0.45">
      <c r="A277" s="40"/>
      <c r="B277" s="43">
        <v>1503020</v>
      </c>
      <c r="C277" s="41"/>
      <c r="D277" s="42" t="s">
        <v>114</v>
      </c>
      <c r="E277" s="43"/>
      <c r="F277" s="44"/>
      <c r="G277" s="44"/>
      <c r="H277" s="45"/>
    </row>
    <row r="278" spans="1:8" ht="13.45" customHeight="1" x14ac:dyDescent="0.45">
      <c r="A278" s="22" t="s">
        <v>2179</v>
      </c>
      <c r="B278" s="33">
        <v>1503020</v>
      </c>
      <c r="C278" s="33">
        <v>3.1</v>
      </c>
      <c r="D278" s="36" t="s">
        <v>116</v>
      </c>
      <c r="E278" s="23">
        <v>12</v>
      </c>
      <c r="F278" s="23" t="s">
        <v>17</v>
      </c>
      <c r="G278" s="24"/>
      <c r="H278" s="24">
        <f>G278*E278</f>
        <v>0</v>
      </c>
    </row>
    <row r="279" spans="1:8" ht="13.45" customHeight="1" x14ac:dyDescent="0.45">
      <c r="A279" s="22" t="s">
        <v>2180</v>
      </c>
      <c r="B279" s="33">
        <v>1503020</v>
      </c>
      <c r="C279" s="33">
        <v>3.2</v>
      </c>
      <c r="D279" s="36" t="s">
        <v>118</v>
      </c>
      <c r="E279" s="23">
        <v>12</v>
      </c>
      <c r="F279" s="23" t="s">
        <v>17</v>
      </c>
      <c r="G279" s="24"/>
      <c r="H279" s="24">
        <f>G279*E279</f>
        <v>0</v>
      </c>
    </row>
    <row r="280" spans="1:8" x14ac:dyDescent="0.45">
      <c r="A280" s="22" t="s">
        <v>2181</v>
      </c>
      <c r="B280" s="33">
        <v>1503020</v>
      </c>
      <c r="C280" s="33">
        <v>3.3</v>
      </c>
      <c r="D280" s="36" t="s">
        <v>120</v>
      </c>
      <c r="E280" s="23">
        <v>12</v>
      </c>
      <c r="F280" s="23" t="s">
        <v>17</v>
      </c>
      <c r="G280" s="24"/>
      <c r="H280" s="24">
        <f>G280*E280</f>
        <v>0</v>
      </c>
    </row>
    <row r="281" spans="1:8" x14ac:dyDescent="0.45">
      <c r="A281" s="58"/>
      <c r="B281" s="59"/>
      <c r="C281" s="59"/>
      <c r="D281" s="60" t="s">
        <v>321</v>
      </c>
      <c r="E281" s="59"/>
      <c r="F281" s="59"/>
      <c r="G281" s="59"/>
      <c r="H281" s="62">
        <f>SUM(H276:H280)</f>
        <v>0</v>
      </c>
    </row>
    <row r="282" spans="1:8" x14ac:dyDescent="0.45">
      <c r="A282" s="96"/>
      <c r="B282" s="97"/>
      <c r="C282" s="97"/>
      <c r="D282" s="98"/>
      <c r="E282" s="97"/>
      <c r="F282" s="97"/>
      <c r="G282" s="97"/>
      <c r="H282" s="99"/>
    </row>
    <row r="283" spans="1:8" x14ac:dyDescent="0.45">
      <c r="A283" s="12" t="s">
        <v>2182</v>
      </c>
      <c r="B283" s="13"/>
      <c r="C283" s="13"/>
      <c r="D283" s="12" t="s">
        <v>323</v>
      </c>
      <c r="E283" s="13"/>
      <c r="F283" s="13"/>
      <c r="G283" s="101"/>
      <c r="H283" s="102"/>
    </row>
    <row r="284" spans="1:8" x14ac:dyDescent="0.45">
      <c r="A284" s="103"/>
      <c r="B284" s="41">
        <v>1502000</v>
      </c>
      <c r="C284" s="43"/>
      <c r="D284" s="42" t="s">
        <v>18</v>
      </c>
      <c r="E284" s="43"/>
      <c r="F284" s="44"/>
      <c r="G284" s="44"/>
      <c r="H284" s="45"/>
    </row>
    <row r="285" spans="1:8" x14ac:dyDescent="0.45">
      <c r="A285" s="27"/>
      <c r="B285" s="26"/>
      <c r="C285" s="26">
        <v>3.1</v>
      </c>
      <c r="D285" s="27" t="s">
        <v>19</v>
      </c>
      <c r="E285" s="26"/>
      <c r="F285" s="26"/>
      <c r="G285" s="28"/>
      <c r="H285" s="104"/>
    </row>
    <row r="286" spans="1:8" x14ac:dyDescent="0.45">
      <c r="A286" s="22" t="s">
        <v>2183</v>
      </c>
      <c r="B286" s="23">
        <v>1502000</v>
      </c>
      <c r="C286" s="23" t="s">
        <v>21</v>
      </c>
      <c r="D286" s="29" t="s">
        <v>22</v>
      </c>
      <c r="E286" s="23">
        <v>12</v>
      </c>
      <c r="F286" s="23" t="s">
        <v>17</v>
      </c>
      <c r="G286" s="24"/>
      <c r="H286" s="24">
        <f>G286*E286</f>
        <v>0</v>
      </c>
    </row>
    <row r="287" spans="1:8" x14ac:dyDescent="0.45">
      <c r="A287" s="22" t="s">
        <v>2184</v>
      </c>
      <c r="B287" s="23">
        <v>1502000</v>
      </c>
      <c r="C287" s="23" t="s">
        <v>24</v>
      </c>
      <c r="D287" s="29" t="s">
        <v>25</v>
      </c>
      <c r="E287" s="23">
        <v>12</v>
      </c>
      <c r="F287" s="23" t="s">
        <v>17</v>
      </c>
      <c r="G287" s="24"/>
      <c r="H287" s="24">
        <f>G287*E287</f>
        <v>0</v>
      </c>
    </row>
    <row r="288" spans="1:8" x14ac:dyDescent="0.45">
      <c r="A288" s="22" t="s">
        <v>2185</v>
      </c>
      <c r="B288" s="23">
        <v>1502000</v>
      </c>
      <c r="C288" s="23" t="s">
        <v>27</v>
      </c>
      <c r="D288" s="29" t="s">
        <v>28</v>
      </c>
      <c r="E288" s="23">
        <v>12</v>
      </c>
      <c r="F288" s="23" t="s">
        <v>17</v>
      </c>
      <c r="G288" s="24"/>
      <c r="H288" s="24">
        <f>G288*E288</f>
        <v>0</v>
      </c>
    </row>
    <row r="289" spans="1:8" x14ac:dyDescent="0.45">
      <c r="A289" s="25"/>
      <c r="B289" s="26"/>
      <c r="C289" s="26">
        <v>3.1</v>
      </c>
      <c r="D289" s="27" t="s">
        <v>31</v>
      </c>
      <c r="E289" s="28"/>
      <c r="F289" s="28"/>
      <c r="G289" s="28"/>
      <c r="H289" s="28"/>
    </row>
    <row r="290" spans="1:8" x14ac:dyDescent="0.45">
      <c r="A290" s="22" t="s">
        <v>2186</v>
      </c>
      <c r="B290" s="23">
        <v>1502000</v>
      </c>
      <c r="C290" s="23" t="s">
        <v>33</v>
      </c>
      <c r="D290" s="30" t="s">
        <v>34</v>
      </c>
      <c r="E290" s="23">
        <v>12</v>
      </c>
      <c r="F290" s="23" t="s">
        <v>17</v>
      </c>
      <c r="G290" s="24"/>
      <c r="H290" s="24">
        <f t="shared" ref="H290:H295" si="3">G290*E290</f>
        <v>0</v>
      </c>
    </row>
    <row r="291" spans="1:8" x14ac:dyDescent="0.45">
      <c r="A291" s="22" t="s">
        <v>2187</v>
      </c>
      <c r="B291" s="23">
        <v>1502000</v>
      </c>
      <c r="C291" s="23" t="s">
        <v>5016</v>
      </c>
      <c r="D291" s="30" t="s">
        <v>46</v>
      </c>
      <c r="E291" s="23">
        <v>12</v>
      </c>
      <c r="F291" s="23" t="s">
        <v>17</v>
      </c>
      <c r="G291" s="24"/>
      <c r="H291" s="24">
        <f t="shared" si="3"/>
        <v>0</v>
      </c>
    </row>
    <row r="292" spans="1:8" x14ac:dyDescent="0.45">
      <c r="A292" s="258" t="s">
        <v>2188</v>
      </c>
      <c r="B292" s="261">
        <v>1502000</v>
      </c>
      <c r="C292" s="261" t="s">
        <v>5017</v>
      </c>
      <c r="D292" s="269" t="s">
        <v>55</v>
      </c>
      <c r="E292" s="261">
        <v>12</v>
      </c>
      <c r="F292" s="261" t="s">
        <v>17</v>
      </c>
      <c r="G292" s="262"/>
      <c r="H292" s="262">
        <f t="shared" si="3"/>
        <v>0</v>
      </c>
    </row>
    <row r="293" spans="1:8" x14ac:dyDescent="0.45">
      <c r="A293" s="22" t="s">
        <v>5156</v>
      </c>
      <c r="B293" s="23">
        <v>1502000</v>
      </c>
      <c r="C293" s="113" t="s">
        <v>5018</v>
      </c>
      <c r="D293" s="114" t="s">
        <v>330</v>
      </c>
      <c r="E293" s="23">
        <v>12</v>
      </c>
      <c r="F293" s="23" t="s">
        <v>17</v>
      </c>
      <c r="G293" s="24"/>
      <c r="H293" s="24">
        <f t="shared" si="3"/>
        <v>0</v>
      </c>
    </row>
    <row r="294" spans="1:8" x14ac:dyDescent="0.45">
      <c r="A294" s="22" t="s">
        <v>5157</v>
      </c>
      <c r="B294" s="23">
        <v>1502000</v>
      </c>
      <c r="C294" s="113" t="s">
        <v>5019</v>
      </c>
      <c r="D294" s="114" t="s">
        <v>331</v>
      </c>
      <c r="E294" s="23">
        <v>12</v>
      </c>
      <c r="F294" s="23" t="s">
        <v>17</v>
      </c>
      <c r="G294" s="24"/>
      <c r="H294" s="24">
        <f t="shared" si="3"/>
        <v>0</v>
      </c>
    </row>
    <row r="295" spans="1:8" x14ac:dyDescent="0.45">
      <c r="A295" s="22" t="s">
        <v>5158</v>
      </c>
      <c r="B295" s="23">
        <v>1502000</v>
      </c>
      <c r="C295" s="113" t="s">
        <v>5020</v>
      </c>
      <c r="D295" s="114" t="s">
        <v>333</v>
      </c>
      <c r="E295" s="23">
        <v>12</v>
      </c>
      <c r="F295" s="23" t="s">
        <v>17</v>
      </c>
      <c r="G295" s="24"/>
      <c r="H295" s="24">
        <f t="shared" si="3"/>
        <v>0</v>
      </c>
    </row>
    <row r="296" spans="1:8" x14ac:dyDescent="0.45">
      <c r="A296" s="25"/>
      <c r="B296" s="26"/>
      <c r="C296" s="26">
        <v>3.4</v>
      </c>
      <c r="D296" s="27" t="s">
        <v>62</v>
      </c>
      <c r="E296" s="26"/>
      <c r="F296" s="26"/>
      <c r="G296" s="28"/>
      <c r="H296" s="104"/>
    </row>
    <row r="297" spans="1:8" x14ac:dyDescent="0.45">
      <c r="A297" s="22" t="s">
        <v>5159</v>
      </c>
      <c r="B297" s="23">
        <v>1502000</v>
      </c>
      <c r="C297" s="23" t="s">
        <v>67</v>
      </c>
      <c r="D297" s="35" t="s">
        <v>68</v>
      </c>
      <c r="E297" s="23">
        <v>12</v>
      </c>
      <c r="F297" s="23" t="s">
        <v>17</v>
      </c>
      <c r="G297" s="24"/>
      <c r="H297" s="24">
        <f>G297*E297</f>
        <v>0</v>
      </c>
    </row>
    <row r="298" spans="1:8" x14ac:dyDescent="0.45">
      <c r="A298" s="25"/>
      <c r="B298" s="26"/>
      <c r="C298" s="26">
        <v>3.6</v>
      </c>
      <c r="D298" s="27" t="s">
        <v>75</v>
      </c>
      <c r="E298" s="26"/>
      <c r="F298" s="26"/>
      <c r="G298" s="28"/>
      <c r="H298" s="104"/>
    </row>
    <row r="299" spans="1:8" x14ac:dyDescent="0.45">
      <c r="A299" s="22" t="s">
        <v>5160</v>
      </c>
      <c r="B299" s="23">
        <v>1502000</v>
      </c>
      <c r="C299" s="33" t="s">
        <v>89</v>
      </c>
      <c r="D299" s="39" t="s">
        <v>90</v>
      </c>
      <c r="E299" s="23">
        <v>12</v>
      </c>
      <c r="F299" s="23" t="s">
        <v>17</v>
      </c>
      <c r="G299" s="24"/>
      <c r="H299" s="24">
        <f>G299*E299</f>
        <v>0</v>
      </c>
    </row>
    <row r="300" spans="1:8" x14ac:dyDescent="0.45">
      <c r="A300" s="22" t="s">
        <v>5161</v>
      </c>
      <c r="B300" s="23">
        <v>1502000</v>
      </c>
      <c r="C300" s="33" t="s">
        <v>101</v>
      </c>
      <c r="D300" s="39" t="s">
        <v>102</v>
      </c>
      <c r="E300" s="23">
        <v>12</v>
      </c>
      <c r="F300" s="23" t="s">
        <v>17</v>
      </c>
      <c r="G300" s="24"/>
      <c r="H300" s="24">
        <f>G300*E300</f>
        <v>0</v>
      </c>
    </row>
    <row r="301" spans="1:8" x14ac:dyDescent="0.45">
      <c r="A301" s="40"/>
      <c r="B301" s="41">
        <v>1503010</v>
      </c>
      <c r="C301" s="41"/>
      <c r="D301" s="42" t="s">
        <v>109</v>
      </c>
      <c r="E301" s="43"/>
      <c r="F301" s="44"/>
      <c r="G301" s="44"/>
      <c r="H301" s="45"/>
    </row>
    <row r="302" spans="1:8" x14ac:dyDescent="0.45">
      <c r="A302" s="22" t="s">
        <v>5162</v>
      </c>
      <c r="B302" s="33">
        <v>1503010</v>
      </c>
      <c r="C302" s="33">
        <v>3.1</v>
      </c>
      <c r="D302" s="36" t="s">
        <v>111</v>
      </c>
      <c r="E302" s="23">
        <v>12</v>
      </c>
      <c r="F302" s="115" t="s">
        <v>17</v>
      </c>
      <c r="G302" s="24"/>
      <c r="H302" s="24">
        <f>G302*E302</f>
        <v>0</v>
      </c>
    </row>
    <row r="303" spans="1:8" x14ac:dyDescent="0.45">
      <c r="A303" s="58"/>
      <c r="B303" s="59"/>
      <c r="C303" s="59"/>
      <c r="D303" s="60" t="s">
        <v>334</v>
      </c>
      <c r="E303" s="59"/>
      <c r="F303" s="59"/>
      <c r="G303" s="59"/>
      <c r="H303" s="62">
        <f>SUM(H286:H302)</f>
        <v>0</v>
      </c>
    </row>
    <row r="304" spans="1:8" x14ac:dyDescent="0.45">
      <c r="A304" s="96"/>
      <c r="B304" s="97"/>
      <c r="C304" s="97"/>
      <c r="D304" s="116"/>
      <c r="E304" s="97"/>
      <c r="F304" s="97"/>
      <c r="G304" s="97"/>
      <c r="H304" s="99"/>
    </row>
    <row r="305" spans="1:8" x14ac:dyDescent="0.45">
      <c r="A305" s="12" t="s">
        <v>2189</v>
      </c>
      <c r="B305" s="13"/>
      <c r="C305" s="13"/>
      <c r="D305" s="247" t="s">
        <v>5009</v>
      </c>
      <c r="E305" s="13"/>
      <c r="F305" s="13"/>
      <c r="G305" s="101"/>
      <c r="H305" s="102"/>
    </row>
    <row r="306" spans="1:8" x14ac:dyDescent="0.45">
      <c r="A306" s="40"/>
      <c r="B306" s="41">
        <v>1401000</v>
      </c>
      <c r="C306" s="41"/>
      <c r="D306" s="42" t="s">
        <v>336</v>
      </c>
      <c r="E306" s="43"/>
      <c r="F306" s="44"/>
      <c r="G306" s="44"/>
      <c r="H306" s="45"/>
    </row>
    <row r="307" spans="1:8" x14ac:dyDescent="0.45">
      <c r="A307" s="22" t="s">
        <v>2190</v>
      </c>
      <c r="B307" s="23">
        <v>1401000</v>
      </c>
      <c r="C307" s="23">
        <v>3.1</v>
      </c>
      <c r="D307" s="27" t="s">
        <v>338</v>
      </c>
      <c r="E307" s="26"/>
      <c r="F307" s="26"/>
      <c r="G307" s="28"/>
      <c r="H307" s="104"/>
    </row>
    <row r="308" spans="1:8" x14ac:dyDescent="0.45">
      <c r="A308" s="22" t="s">
        <v>2191</v>
      </c>
      <c r="B308" s="117">
        <v>1401000</v>
      </c>
      <c r="C308" s="117" t="s">
        <v>340</v>
      </c>
      <c r="D308" s="106" t="s">
        <v>22</v>
      </c>
      <c r="E308" s="118">
        <v>12</v>
      </c>
      <c r="F308" s="118" t="s">
        <v>17</v>
      </c>
      <c r="G308" s="24"/>
      <c r="H308" s="24">
        <f>G308*E308</f>
        <v>0</v>
      </c>
    </row>
    <row r="309" spans="1:8" x14ac:dyDescent="0.45">
      <c r="A309" s="22" t="s">
        <v>2192</v>
      </c>
      <c r="B309" s="117">
        <v>1401000</v>
      </c>
      <c r="C309" s="117" t="s">
        <v>342</v>
      </c>
      <c r="D309" s="106" t="s">
        <v>25</v>
      </c>
      <c r="E309" s="118">
        <v>12</v>
      </c>
      <c r="F309" s="118" t="s">
        <v>17</v>
      </c>
      <c r="G309" s="24"/>
      <c r="H309" s="24">
        <f>G309*E309</f>
        <v>0</v>
      </c>
    </row>
    <row r="310" spans="1:8" x14ac:dyDescent="0.45">
      <c r="A310" s="22" t="s">
        <v>2193</v>
      </c>
      <c r="B310" s="117">
        <v>1401000</v>
      </c>
      <c r="C310" s="117" t="s">
        <v>344</v>
      </c>
      <c r="D310" s="106" t="s">
        <v>28</v>
      </c>
      <c r="E310" s="118">
        <v>12</v>
      </c>
      <c r="F310" s="118" t="s">
        <v>17</v>
      </c>
      <c r="G310" s="24"/>
      <c r="H310" s="24">
        <f>G310*E310</f>
        <v>0</v>
      </c>
    </row>
    <row r="311" spans="1:8" x14ac:dyDescent="0.45">
      <c r="A311" s="22" t="s">
        <v>2194</v>
      </c>
      <c r="B311" s="117">
        <v>1401000</v>
      </c>
      <c r="C311" s="117" t="s">
        <v>24</v>
      </c>
      <c r="D311" s="106" t="s">
        <v>346</v>
      </c>
      <c r="E311" s="118">
        <v>12</v>
      </c>
      <c r="F311" s="118" t="s">
        <v>17</v>
      </c>
      <c r="G311" s="24"/>
      <c r="H311" s="24">
        <f>G311*E311</f>
        <v>0</v>
      </c>
    </row>
    <row r="312" spans="1:8" x14ac:dyDescent="0.45">
      <c r="A312" s="103"/>
      <c r="B312" s="41">
        <v>1502000</v>
      </c>
      <c r="C312" s="43"/>
      <c r="D312" s="42" t="s">
        <v>18</v>
      </c>
      <c r="E312" s="43"/>
      <c r="F312" s="44"/>
      <c r="G312" s="44"/>
      <c r="H312" s="45"/>
    </row>
    <row r="313" spans="1:8" x14ac:dyDescent="0.45">
      <c r="A313" s="25"/>
      <c r="B313" s="26"/>
      <c r="C313" s="26">
        <v>3.1</v>
      </c>
      <c r="D313" s="27" t="s">
        <v>31</v>
      </c>
      <c r="E313" s="28"/>
      <c r="F313" s="28"/>
      <c r="G313" s="28"/>
      <c r="H313" s="28"/>
    </row>
    <row r="314" spans="1:8" x14ac:dyDescent="0.45">
      <c r="A314" s="22" t="s">
        <v>2195</v>
      </c>
      <c r="B314" s="33">
        <v>1502000</v>
      </c>
      <c r="C314" s="33" t="s">
        <v>60</v>
      </c>
      <c r="D314" s="30" t="s">
        <v>61</v>
      </c>
      <c r="E314" s="118">
        <v>12</v>
      </c>
      <c r="F314" s="118" t="s">
        <v>17</v>
      </c>
      <c r="G314" s="24"/>
      <c r="H314" s="24">
        <f>G314*E314</f>
        <v>0</v>
      </c>
    </row>
    <row r="315" spans="1:8" x14ac:dyDescent="0.45">
      <c r="A315" s="25"/>
      <c r="B315" s="26"/>
      <c r="C315" s="26">
        <v>3.4</v>
      </c>
      <c r="D315" s="27" t="s">
        <v>62</v>
      </c>
      <c r="E315" s="26"/>
      <c r="F315" s="26"/>
      <c r="G315" s="28"/>
      <c r="H315" s="104"/>
    </row>
    <row r="316" spans="1:8" x14ac:dyDescent="0.45">
      <c r="A316" s="22" t="s">
        <v>2196</v>
      </c>
      <c r="B316" s="23">
        <v>1502000</v>
      </c>
      <c r="C316" s="23" t="s">
        <v>64</v>
      </c>
      <c r="D316" s="35" t="s">
        <v>65</v>
      </c>
      <c r="E316" s="118">
        <v>12</v>
      </c>
      <c r="F316" s="118" t="s">
        <v>17</v>
      </c>
      <c r="G316" s="24"/>
      <c r="H316" s="24">
        <f>G316*E316</f>
        <v>0</v>
      </c>
    </row>
    <row r="317" spans="1:8" x14ac:dyDescent="0.45">
      <c r="A317" s="22" t="s">
        <v>2197</v>
      </c>
      <c r="B317" s="23">
        <v>1502000</v>
      </c>
      <c r="C317" s="33" t="s">
        <v>70</v>
      </c>
      <c r="D317" s="36" t="s">
        <v>71</v>
      </c>
      <c r="E317" s="118">
        <v>12</v>
      </c>
      <c r="F317" s="118" t="s">
        <v>17</v>
      </c>
      <c r="G317" s="24"/>
      <c r="H317" s="24">
        <f>G317*E317</f>
        <v>0</v>
      </c>
    </row>
    <row r="318" spans="1:8" x14ac:dyDescent="0.45">
      <c r="A318" s="25"/>
      <c r="B318" s="26"/>
      <c r="C318" s="26">
        <v>3.6</v>
      </c>
      <c r="D318" s="27" t="s">
        <v>75</v>
      </c>
      <c r="E318" s="26"/>
      <c r="F318" s="26"/>
      <c r="G318" s="28"/>
      <c r="H318" s="104"/>
    </row>
    <row r="319" spans="1:8" x14ac:dyDescent="0.45">
      <c r="A319" s="22" t="s">
        <v>2198</v>
      </c>
      <c r="B319" s="23">
        <v>1502000</v>
      </c>
      <c r="C319" s="23" t="s">
        <v>80</v>
      </c>
      <c r="D319" s="30" t="s">
        <v>81</v>
      </c>
      <c r="E319" s="118">
        <v>12</v>
      </c>
      <c r="F319" s="118" t="s">
        <v>17</v>
      </c>
      <c r="G319" s="24"/>
      <c r="H319" s="24">
        <f>G319*E319</f>
        <v>0</v>
      </c>
    </row>
    <row r="320" spans="1:8" x14ac:dyDescent="0.45">
      <c r="A320" s="22" t="s">
        <v>2199</v>
      </c>
      <c r="B320" s="23">
        <v>1502000</v>
      </c>
      <c r="C320" s="33" t="s">
        <v>86</v>
      </c>
      <c r="D320" s="39" t="s">
        <v>87</v>
      </c>
      <c r="E320" s="118">
        <v>12</v>
      </c>
      <c r="F320" s="118" t="s">
        <v>17</v>
      </c>
      <c r="G320" s="24"/>
      <c r="H320" s="24">
        <f>G320*E320</f>
        <v>0</v>
      </c>
    </row>
    <row r="321" spans="1:8" x14ac:dyDescent="0.45">
      <c r="A321" s="40"/>
      <c r="B321" s="41">
        <v>1503010</v>
      </c>
      <c r="C321" s="41"/>
      <c r="D321" s="42" t="s">
        <v>109</v>
      </c>
      <c r="E321" s="43"/>
      <c r="F321" s="44"/>
      <c r="G321" s="44"/>
      <c r="H321" s="45"/>
    </row>
    <row r="322" spans="1:8" x14ac:dyDescent="0.45">
      <c r="A322" s="22" t="s">
        <v>2200</v>
      </c>
      <c r="B322" s="33">
        <v>1503010</v>
      </c>
      <c r="C322" s="33">
        <v>3.1</v>
      </c>
      <c r="D322" s="36" t="s">
        <v>111</v>
      </c>
      <c r="E322" s="23">
        <v>12</v>
      </c>
      <c r="F322" s="23" t="s">
        <v>17</v>
      </c>
      <c r="G322" s="24"/>
      <c r="H322" s="24">
        <f>G322*E322</f>
        <v>0</v>
      </c>
    </row>
    <row r="323" spans="1:8" x14ac:dyDescent="0.45">
      <c r="A323" s="40"/>
      <c r="B323" s="43">
        <v>1503020</v>
      </c>
      <c r="C323" s="41"/>
      <c r="D323" s="42" t="s">
        <v>114</v>
      </c>
      <c r="E323" s="43"/>
      <c r="F323" s="44"/>
      <c r="G323" s="44"/>
      <c r="H323" s="45"/>
    </row>
    <row r="324" spans="1:8" s="254" customFormat="1" x14ac:dyDescent="0.45">
      <c r="A324" s="249" t="s">
        <v>2201</v>
      </c>
      <c r="B324" s="250">
        <v>1503020</v>
      </c>
      <c r="C324" s="250">
        <v>3.1</v>
      </c>
      <c r="D324" s="295" t="s">
        <v>116</v>
      </c>
      <c r="E324" s="252">
        <v>12</v>
      </c>
      <c r="F324" s="252" t="s">
        <v>17</v>
      </c>
      <c r="G324" s="253"/>
      <c r="H324" s="253">
        <f>G324*E324</f>
        <v>0</v>
      </c>
    </row>
    <row r="325" spans="1:8" s="254" customFormat="1" x14ac:dyDescent="0.45">
      <c r="A325" s="249" t="s">
        <v>2202</v>
      </c>
      <c r="B325" s="250">
        <v>1503020</v>
      </c>
      <c r="C325" s="250">
        <v>3.2</v>
      </c>
      <c r="D325" s="251" t="s">
        <v>118</v>
      </c>
      <c r="E325" s="252">
        <v>12</v>
      </c>
      <c r="F325" s="252" t="s">
        <v>17</v>
      </c>
      <c r="G325" s="253"/>
      <c r="H325" s="253">
        <f>G325*E325</f>
        <v>0</v>
      </c>
    </row>
    <row r="326" spans="1:8" s="300" customFormat="1" x14ac:dyDescent="0.45">
      <c r="A326" s="269" t="s">
        <v>2202</v>
      </c>
      <c r="B326" s="296">
        <v>1503020</v>
      </c>
      <c r="C326" s="296" t="s">
        <v>158</v>
      </c>
      <c r="D326" s="297" t="s">
        <v>5015</v>
      </c>
      <c r="E326" s="298">
        <v>12</v>
      </c>
      <c r="F326" s="298" t="s">
        <v>17</v>
      </c>
      <c r="G326" s="299"/>
      <c r="H326" s="299">
        <f>G326*E326</f>
        <v>0</v>
      </c>
    </row>
    <row r="327" spans="1:8" s="140" customFormat="1" x14ac:dyDescent="0.45">
      <c r="A327" s="249" t="s">
        <v>2203</v>
      </c>
      <c r="B327" s="52">
        <v>1503020</v>
      </c>
      <c r="C327" s="52">
        <v>3.3</v>
      </c>
      <c r="D327" s="36" t="s">
        <v>120</v>
      </c>
      <c r="E327" s="255">
        <v>12</v>
      </c>
      <c r="F327" s="255" t="s">
        <v>17</v>
      </c>
      <c r="G327" s="256"/>
      <c r="H327" s="256">
        <f>G327*E327</f>
        <v>0</v>
      </c>
    </row>
    <row r="328" spans="1:8" x14ac:dyDescent="0.45">
      <c r="A328" s="40"/>
      <c r="B328" s="43">
        <v>1503030</v>
      </c>
      <c r="C328" s="41"/>
      <c r="D328" s="42" t="s">
        <v>121</v>
      </c>
      <c r="E328" s="43"/>
      <c r="F328" s="44"/>
      <c r="G328" s="44"/>
      <c r="H328" s="45"/>
    </row>
    <row r="329" spans="1:8" x14ac:dyDescent="0.45">
      <c r="A329" s="22" t="s">
        <v>5163</v>
      </c>
      <c r="B329" s="33">
        <v>1503030</v>
      </c>
      <c r="C329" s="33" t="s">
        <v>123</v>
      </c>
      <c r="D329" s="36" t="s">
        <v>124</v>
      </c>
      <c r="E329" s="23">
        <v>12</v>
      </c>
      <c r="F329" s="23" t="s">
        <v>17</v>
      </c>
      <c r="G329" s="24"/>
      <c r="H329" s="24">
        <f>G329*E329</f>
        <v>0</v>
      </c>
    </row>
    <row r="330" spans="1:8" x14ac:dyDescent="0.45">
      <c r="A330" s="40"/>
      <c r="B330" s="41">
        <v>1503050</v>
      </c>
      <c r="C330" s="41"/>
      <c r="D330" s="42" t="s">
        <v>127</v>
      </c>
      <c r="E330" s="43"/>
      <c r="F330" s="44"/>
      <c r="G330" s="44"/>
      <c r="H330" s="45"/>
    </row>
    <row r="331" spans="1:8" x14ac:dyDescent="0.45">
      <c r="A331" s="22" t="s">
        <v>5164</v>
      </c>
      <c r="B331" s="23">
        <v>1503050</v>
      </c>
      <c r="C331" s="23">
        <v>3.1</v>
      </c>
      <c r="D331" s="106" t="s">
        <v>129</v>
      </c>
      <c r="E331" s="23">
        <v>12</v>
      </c>
      <c r="F331" s="23" t="s">
        <v>17</v>
      </c>
      <c r="G331" s="24"/>
      <c r="H331" s="24">
        <f>G331*E331</f>
        <v>0</v>
      </c>
    </row>
    <row r="332" spans="1:8" x14ac:dyDescent="0.45">
      <c r="A332" s="40"/>
      <c r="B332" s="41">
        <v>1503060</v>
      </c>
      <c r="C332" s="41"/>
      <c r="D332" s="42" t="s">
        <v>138</v>
      </c>
      <c r="E332" s="43"/>
      <c r="F332" s="44"/>
      <c r="G332" s="44"/>
      <c r="H332" s="45"/>
    </row>
    <row r="333" spans="1:8" x14ac:dyDescent="0.45">
      <c r="A333" s="249" t="s">
        <v>5165</v>
      </c>
      <c r="B333" s="23">
        <v>1503060</v>
      </c>
      <c r="C333" s="23">
        <v>3.1</v>
      </c>
      <c r="D333" s="106" t="s">
        <v>129</v>
      </c>
      <c r="E333" s="23">
        <v>12</v>
      </c>
      <c r="F333" s="23" t="s">
        <v>17</v>
      </c>
      <c r="G333" s="24"/>
      <c r="H333" s="24">
        <f>G333*E333</f>
        <v>0</v>
      </c>
    </row>
    <row r="334" spans="1:8" x14ac:dyDescent="0.45">
      <c r="A334" s="58"/>
      <c r="B334" s="59"/>
      <c r="C334" s="59"/>
      <c r="D334" s="60" t="s">
        <v>358</v>
      </c>
      <c r="E334" s="59"/>
      <c r="F334" s="59"/>
      <c r="G334" s="59"/>
      <c r="H334" s="62">
        <f>SUM(H308:H333)</f>
        <v>0</v>
      </c>
    </row>
    <row r="335" spans="1:8" x14ac:dyDescent="0.45">
      <c r="A335" s="121"/>
      <c r="B335" s="122"/>
      <c r="C335" s="122"/>
      <c r="D335" s="123"/>
      <c r="E335" s="122"/>
      <c r="F335" s="124"/>
      <c r="G335" s="97"/>
      <c r="H335" s="110"/>
    </row>
    <row r="336" spans="1:8" x14ac:dyDescent="0.45">
      <c r="A336" s="12" t="s">
        <v>2204</v>
      </c>
      <c r="B336" s="13"/>
      <c r="C336" s="13"/>
      <c r="D336" s="12" t="s">
        <v>360</v>
      </c>
      <c r="E336" s="100"/>
      <c r="F336" s="101"/>
      <c r="G336" s="13"/>
      <c r="H336" s="102"/>
    </row>
    <row r="337" spans="1:8" x14ac:dyDescent="0.45">
      <c r="A337" s="40"/>
      <c r="B337" s="41">
        <v>1402000</v>
      </c>
      <c r="C337" s="41">
        <v>3</v>
      </c>
      <c r="D337" s="42" t="s">
        <v>124</v>
      </c>
      <c r="E337" s="43"/>
      <c r="F337" s="44"/>
      <c r="G337" s="44"/>
      <c r="H337" s="45"/>
    </row>
    <row r="338" spans="1:8" x14ac:dyDescent="0.45">
      <c r="A338" s="22" t="s">
        <v>2205</v>
      </c>
      <c r="B338" s="23">
        <v>1402000</v>
      </c>
      <c r="C338" s="23">
        <v>3.1</v>
      </c>
      <c r="D338" s="106" t="s">
        <v>362</v>
      </c>
      <c r="E338" s="23">
        <v>12</v>
      </c>
      <c r="F338" s="23" t="s">
        <v>17</v>
      </c>
      <c r="G338" s="24"/>
      <c r="H338" s="24">
        <f>G338*E338</f>
        <v>0</v>
      </c>
    </row>
    <row r="339" spans="1:8" s="429" customFormat="1" x14ac:dyDescent="0.45">
      <c r="A339" s="258" t="s">
        <v>2206</v>
      </c>
      <c r="B339" s="261">
        <v>1402000</v>
      </c>
      <c r="C339" s="26">
        <v>3.2</v>
      </c>
      <c r="D339" s="27" t="s">
        <v>364</v>
      </c>
      <c r="E339" s="28"/>
      <c r="F339" s="28"/>
      <c r="G339" s="28"/>
      <c r="H339" s="28"/>
    </row>
    <row r="340" spans="1:8" s="293" customFormat="1" x14ac:dyDescent="0.45">
      <c r="A340" s="257" t="s">
        <v>2206</v>
      </c>
      <c r="B340" s="286">
        <v>1402000</v>
      </c>
      <c r="C340" s="286">
        <v>3.2</v>
      </c>
      <c r="D340" s="180" t="s">
        <v>5027</v>
      </c>
      <c r="E340" s="286">
        <v>150</v>
      </c>
      <c r="F340" s="286" t="s">
        <v>472</v>
      </c>
      <c r="G340" s="302"/>
      <c r="H340" s="302">
        <f t="shared" ref="H340:H343" si="4">G340*E340</f>
        <v>0</v>
      </c>
    </row>
    <row r="341" spans="1:8" s="389" customFormat="1" x14ac:dyDescent="0.45">
      <c r="A341" s="257" t="s">
        <v>2207</v>
      </c>
      <c r="B341" s="286">
        <v>1402000</v>
      </c>
      <c r="C341" s="286">
        <v>3.2</v>
      </c>
      <c r="D341" s="180" t="s">
        <v>5028</v>
      </c>
      <c r="E341" s="286">
        <v>200</v>
      </c>
      <c r="F341" s="286" t="s">
        <v>472</v>
      </c>
      <c r="G341" s="302"/>
      <c r="H341" s="302">
        <f t="shared" si="4"/>
        <v>0</v>
      </c>
    </row>
    <row r="342" spans="1:8" s="389" customFormat="1" x14ac:dyDescent="0.45">
      <c r="A342" s="257" t="s">
        <v>5166</v>
      </c>
      <c r="B342" s="286">
        <v>1402000</v>
      </c>
      <c r="C342" s="286">
        <v>3.2</v>
      </c>
      <c r="D342" s="180" t="s">
        <v>5029</v>
      </c>
      <c r="E342" s="286">
        <v>150</v>
      </c>
      <c r="F342" s="286" t="s">
        <v>472</v>
      </c>
      <c r="G342" s="302"/>
      <c r="H342" s="302">
        <f t="shared" si="4"/>
        <v>0</v>
      </c>
    </row>
    <row r="343" spans="1:8" s="389" customFormat="1" x14ac:dyDescent="0.45">
      <c r="A343" s="257" t="s">
        <v>5167</v>
      </c>
      <c r="B343" s="286">
        <v>1402000</v>
      </c>
      <c r="C343" s="286">
        <v>3.2</v>
      </c>
      <c r="D343" s="180" t="s">
        <v>5030</v>
      </c>
      <c r="E343" s="286">
        <v>200</v>
      </c>
      <c r="F343" s="286" t="s">
        <v>472</v>
      </c>
      <c r="G343" s="302"/>
      <c r="H343" s="302">
        <f t="shared" si="4"/>
        <v>0</v>
      </c>
    </row>
    <row r="344" spans="1:8" x14ac:dyDescent="0.45">
      <c r="A344" s="22" t="s">
        <v>5311</v>
      </c>
      <c r="B344" s="23">
        <v>1402000</v>
      </c>
      <c r="C344" s="23">
        <v>3.3</v>
      </c>
      <c r="D344" s="106" t="s">
        <v>366</v>
      </c>
      <c r="E344" s="23">
        <v>12</v>
      </c>
      <c r="F344" s="23" t="s">
        <v>17</v>
      </c>
      <c r="G344" s="24"/>
      <c r="H344" s="24">
        <f>G344*E344</f>
        <v>0</v>
      </c>
    </row>
    <row r="345" spans="1:8" x14ac:dyDescent="0.45">
      <c r="A345" s="58"/>
      <c r="B345" s="59"/>
      <c r="C345" s="59"/>
      <c r="D345" s="60" t="s">
        <v>367</v>
      </c>
      <c r="E345" s="59"/>
      <c r="F345" s="59"/>
      <c r="G345" s="59"/>
      <c r="H345" s="62">
        <f>SUM(H338:H344)</f>
        <v>0</v>
      </c>
    </row>
    <row r="346" spans="1:8" x14ac:dyDescent="0.45">
      <c r="A346" s="121"/>
      <c r="B346" s="122"/>
      <c r="C346" s="122"/>
      <c r="D346" s="123"/>
      <c r="E346" s="122"/>
      <c r="F346" s="124"/>
      <c r="G346" s="97"/>
      <c r="H346" s="110"/>
    </row>
    <row r="347" spans="1:8" x14ac:dyDescent="0.45">
      <c r="A347" s="12" t="s">
        <v>2208</v>
      </c>
      <c r="B347" s="13"/>
      <c r="C347" s="13"/>
      <c r="D347" s="12" t="s">
        <v>369</v>
      </c>
      <c r="E347" s="100"/>
      <c r="F347" s="101"/>
      <c r="G347" s="101"/>
      <c r="H347" s="102"/>
    </row>
    <row r="348" spans="1:8" x14ac:dyDescent="0.45">
      <c r="A348" s="103"/>
      <c r="B348" s="41">
        <v>1502000</v>
      </c>
      <c r="C348" s="43"/>
      <c r="D348" s="42" t="s">
        <v>18</v>
      </c>
      <c r="E348" s="43"/>
      <c r="F348" s="44"/>
      <c r="G348" s="44"/>
      <c r="H348" s="45"/>
    </row>
    <row r="349" spans="1:8" x14ac:dyDescent="0.45">
      <c r="A349" s="27"/>
      <c r="B349" s="26"/>
      <c r="C349" s="26">
        <v>3.1</v>
      </c>
      <c r="D349" s="27" t="s">
        <v>19</v>
      </c>
      <c r="E349" s="26"/>
      <c r="F349" s="26"/>
      <c r="G349" s="28"/>
      <c r="H349" s="104"/>
    </row>
    <row r="350" spans="1:8" x14ac:dyDescent="0.45">
      <c r="A350" s="22" t="s">
        <v>2209</v>
      </c>
      <c r="B350" s="23">
        <v>1502000</v>
      </c>
      <c r="C350" s="23" t="s">
        <v>21</v>
      </c>
      <c r="D350" s="29" t="s">
        <v>22</v>
      </c>
      <c r="E350" s="23">
        <v>12</v>
      </c>
      <c r="F350" s="23" t="s">
        <v>17</v>
      </c>
      <c r="G350" s="24"/>
      <c r="H350" s="24">
        <f>G350*E350</f>
        <v>0</v>
      </c>
    </row>
    <row r="351" spans="1:8" x14ac:dyDescent="0.45">
      <c r="A351" s="22" t="s">
        <v>2210</v>
      </c>
      <c r="B351" s="23">
        <v>1502000</v>
      </c>
      <c r="C351" s="23" t="s">
        <v>24</v>
      </c>
      <c r="D351" s="29" t="s">
        <v>25</v>
      </c>
      <c r="E351" s="23">
        <v>12</v>
      </c>
      <c r="F351" s="23" t="s">
        <v>17</v>
      </c>
      <c r="G351" s="24"/>
      <c r="H351" s="24">
        <f>G351*E351</f>
        <v>0</v>
      </c>
    </row>
    <row r="352" spans="1:8" x14ac:dyDescent="0.45">
      <c r="A352" s="22" t="s">
        <v>2211</v>
      </c>
      <c r="B352" s="23">
        <v>1502000</v>
      </c>
      <c r="C352" s="23" t="s">
        <v>27</v>
      </c>
      <c r="D352" s="29" t="s">
        <v>28</v>
      </c>
      <c r="E352" s="23">
        <v>12</v>
      </c>
      <c r="F352" s="23" t="s">
        <v>17</v>
      </c>
      <c r="G352" s="24"/>
      <c r="H352" s="24">
        <f>G352*E352</f>
        <v>0</v>
      </c>
    </row>
    <row r="353" spans="1:8" x14ac:dyDescent="0.45">
      <c r="A353" s="25"/>
      <c r="B353" s="26"/>
      <c r="C353" s="26">
        <v>3.1</v>
      </c>
      <c r="D353" s="27" t="s">
        <v>31</v>
      </c>
      <c r="E353" s="28"/>
      <c r="F353" s="28"/>
      <c r="G353" s="28"/>
      <c r="H353" s="28"/>
    </row>
    <row r="354" spans="1:8" x14ac:dyDescent="0.45">
      <c r="A354" s="22" t="s">
        <v>2212</v>
      </c>
      <c r="B354" s="23">
        <v>1502000</v>
      </c>
      <c r="C354" s="23" t="s">
        <v>222</v>
      </c>
      <c r="D354" s="29" t="s">
        <v>223</v>
      </c>
      <c r="E354" s="23">
        <v>12</v>
      </c>
      <c r="F354" s="23" t="s">
        <v>17</v>
      </c>
      <c r="G354" s="24"/>
      <c r="H354" s="24">
        <f t="shared" ref="H354:H366" si="5">G354*E354</f>
        <v>0</v>
      </c>
    </row>
    <row r="355" spans="1:8" x14ac:dyDescent="0.45">
      <c r="A355" s="22" t="s">
        <v>2213</v>
      </c>
      <c r="B355" s="23">
        <v>1502000</v>
      </c>
      <c r="C355" s="23" t="s">
        <v>33</v>
      </c>
      <c r="D355" s="29" t="s">
        <v>34</v>
      </c>
      <c r="E355" s="23">
        <v>12</v>
      </c>
      <c r="F355" s="23" t="s">
        <v>17</v>
      </c>
      <c r="G355" s="24"/>
      <c r="H355" s="24">
        <f t="shared" si="5"/>
        <v>0</v>
      </c>
    </row>
    <row r="356" spans="1:8" x14ac:dyDescent="0.45">
      <c r="A356" s="22" t="s">
        <v>2214</v>
      </c>
      <c r="B356" s="23">
        <v>1502000</v>
      </c>
      <c r="C356" s="23" t="s">
        <v>227</v>
      </c>
      <c r="D356" s="29" t="s">
        <v>228</v>
      </c>
      <c r="E356" s="23">
        <v>12</v>
      </c>
      <c r="F356" s="23" t="s">
        <v>17</v>
      </c>
      <c r="G356" s="24"/>
      <c r="H356" s="24">
        <f t="shared" si="5"/>
        <v>0</v>
      </c>
    </row>
    <row r="357" spans="1:8" x14ac:dyDescent="0.45">
      <c r="A357" s="22" t="s">
        <v>2215</v>
      </c>
      <c r="B357" s="23">
        <v>1502000</v>
      </c>
      <c r="C357" s="23" t="s">
        <v>39</v>
      </c>
      <c r="D357" s="29" t="s">
        <v>230</v>
      </c>
      <c r="E357" s="23">
        <v>12</v>
      </c>
      <c r="F357" s="23" t="s">
        <v>17</v>
      </c>
      <c r="G357" s="24"/>
      <c r="H357" s="24">
        <f t="shared" si="5"/>
        <v>0</v>
      </c>
    </row>
    <row r="358" spans="1:8" x14ac:dyDescent="0.45">
      <c r="A358" s="22" t="s">
        <v>2216</v>
      </c>
      <c r="B358" s="23">
        <v>1502000</v>
      </c>
      <c r="C358" s="23" t="s">
        <v>232</v>
      </c>
      <c r="D358" s="29" t="s">
        <v>233</v>
      </c>
      <c r="E358" s="23">
        <v>12</v>
      </c>
      <c r="F358" s="23" t="s">
        <v>17</v>
      </c>
      <c r="G358" s="24"/>
      <c r="H358" s="24">
        <f t="shared" si="5"/>
        <v>0</v>
      </c>
    </row>
    <row r="359" spans="1:8" x14ac:dyDescent="0.45">
      <c r="A359" s="22" t="s">
        <v>2217</v>
      </c>
      <c r="B359" s="23">
        <v>1502000</v>
      </c>
      <c r="C359" s="23" t="s">
        <v>250</v>
      </c>
      <c r="D359" s="29" t="s">
        <v>379</v>
      </c>
      <c r="E359" s="23">
        <v>12</v>
      </c>
      <c r="F359" s="23" t="s">
        <v>17</v>
      </c>
      <c r="G359" s="24"/>
      <c r="H359" s="24">
        <f t="shared" si="5"/>
        <v>0</v>
      </c>
    </row>
    <row r="360" spans="1:8" x14ac:dyDescent="0.45">
      <c r="A360" s="22" t="s">
        <v>2218</v>
      </c>
      <c r="B360" s="23">
        <v>1502000</v>
      </c>
      <c r="C360" s="23" t="s">
        <v>45</v>
      </c>
      <c r="D360" s="29" t="s">
        <v>46</v>
      </c>
      <c r="E360" s="23">
        <v>12</v>
      </c>
      <c r="F360" s="23" t="s">
        <v>17</v>
      </c>
      <c r="G360" s="24"/>
      <c r="H360" s="24">
        <f t="shared" si="5"/>
        <v>0</v>
      </c>
    </row>
    <row r="361" spans="1:8" x14ac:dyDescent="0.45">
      <c r="A361" s="22" t="s">
        <v>2219</v>
      </c>
      <c r="B361" s="23">
        <v>1502000</v>
      </c>
      <c r="C361" s="23" t="s">
        <v>48</v>
      </c>
      <c r="D361" s="29" t="s">
        <v>257</v>
      </c>
      <c r="E361" s="23">
        <v>12</v>
      </c>
      <c r="F361" s="23" t="s">
        <v>17</v>
      </c>
      <c r="G361" s="24"/>
      <c r="H361" s="24">
        <f t="shared" si="5"/>
        <v>0</v>
      </c>
    </row>
    <row r="362" spans="1:8" x14ac:dyDescent="0.45">
      <c r="A362" s="22" t="s">
        <v>2220</v>
      </c>
      <c r="B362" s="23">
        <v>1502000</v>
      </c>
      <c r="C362" s="23" t="s">
        <v>51</v>
      </c>
      <c r="D362" s="29" t="s">
        <v>383</v>
      </c>
      <c r="E362" s="23">
        <v>12</v>
      </c>
      <c r="F362" s="23" t="s">
        <v>17</v>
      </c>
      <c r="G362" s="24"/>
      <c r="H362" s="24">
        <f t="shared" si="5"/>
        <v>0</v>
      </c>
    </row>
    <row r="363" spans="1:8" x14ac:dyDescent="0.45">
      <c r="A363" s="22" t="s">
        <v>2221</v>
      </c>
      <c r="B363" s="23">
        <v>1502000</v>
      </c>
      <c r="C363" s="23" t="s">
        <v>54</v>
      </c>
      <c r="D363" s="29" t="s">
        <v>55</v>
      </c>
      <c r="E363" s="23">
        <v>12</v>
      </c>
      <c r="F363" s="23" t="s">
        <v>17</v>
      </c>
      <c r="G363" s="24"/>
      <c r="H363" s="24">
        <f t="shared" si="5"/>
        <v>0</v>
      </c>
    </row>
    <row r="364" spans="1:8" x14ac:dyDescent="0.45">
      <c r="A364" s="22" t="s">
        <v>2222</v>
      </c>
      <c r="B364" s="23">
        <v>1502000</v>
      </c>
      <c r="C364" s="23" t="s">
        <v>260</v>
      </c>
      <c r="D364" s="29" t="s">
        <v>386</v>
      </c>
      <c r="E364" s="23">
        <v>12</v>
      </c>
      <c r="F364" s="23" t="s">
        <v>17</v>
      </c>
      <c r="G364" s="24"/>
      <c r="H364" s="24">
        <f t="shared" si="5"/>
        <v>0</v>
      </c>
    </row>
    <row r="365" spans="1:8" x14ac:dyDescent="0.45">
      <c r="A365" s="22" t="s">
        <v>2223</v>
      </c>
      <c r="B365" s="23">
        <v>1502000</v>
      </c>
      <c r="C365" s="23" t="s">
        <v>332</v>
      </c>
      <c r="D365" s="29" t="s">
        <v>388</v>
      </c>
      <c r="E365" s="23">
        <v>12</v>
      </c>
      <c r="F365" s="23" t="s">
        <v>17</v>
      </c>
      <c r="G365" s="24"/>
      <c r="H365" s="24">
        <f t="shared" si="5"/>
        <v>0</v>
      </c>
    </row>
    <row r="366" spans="1:8" x14ac:dyDescent="0.45">
      <c r="A366" s="22" t="s">
        <v>2224</v>
      </c>
      <c r="B366" s="23">
        <v>1502000</v>
      </c>
      <c r="C366" s="23" t="s">
        <v>390</v>
      </c>
      <c r="D366" s="29" t="s">
        <v>391</v>
      </c>
      <c r="E366" s="23">
        <v>12</v>
      </c>
      <c r="F366" s="23" t="s">
        <v>17</v>
      </c>
      <c r="G366" s="24"/>
      <c r="H366" s="24">
        <f t="shared" si="5"/>
        <v>0</v>
      </c>
    </row>
    <row r="367" spans="1:8" x14ac:dyDescent="0.45">
      <c r="A367" s="25"/>
      <c r="B367" s="26">
        <v>1502000</v>
      </c>
      <c r="C367" s="26">
        <v>3.4</v>
      </c>
      <c r="D367" s="27" t="s">
        <v>62</v>
      </c>
      <c r="E367" s="26"/>
      <c r="F367" s="26"/>
      <c r="G367" s="28"/>
      <c r="H367" s="104"/>
    </row>
    <row r="368" spans="1:8" x14ac:dyDescent="0.45">
      <c r="A368" s="22" t="s">
        <v>2225</v>
      </c>
      <c r="B368" s="23">
        <v>1502000</v>
      </c>
      <c r="C368" s="23" t="s">
        <v>64</v>
      </c>
      <c r="D368" s="106" t="s">
        <v>65</v>
      </c>
      <c r="E368" s="23">
        <v>12</v>
      </c>
      <c r="F368" s="23" t="s">
        <v>17</v>
      </c>
      <c r="G368" s="24"/>
      <c r="H368" s="24">
        <f>G368*E368</f>
        <v>0</v>
      </c>
    </row>
    <row r="369" spans="1:8" x14ac:dyDescent="0.45">
      <c r="A369" s="22" t="s">
        <v>2226</v>
      </c>
      <c r="B369" s="23">
        <v>1502000</v>
      </c>
      <c r="C369" s="23" t="s">
        <v>67</v>
      </c>
      <c r="D369" s="120" t="s">
        <v>68</v>
      </c>
      <c r="E369" s="23">
        <v>12</v>
      </c>
      <c r="F369" s="23" t="s">
        <v>17</v>
      </c>
      <c r="G369" s="24"/>
      <c r="H369" s="24">
        <f>G369*E369</f>
        <v>0</v>
      </c>
    </row>
    <row r="370" spans="1:8" x14ac:dyDescent="0.45">
      <c r="A370" s="22" t="s">
        <v>2227</v>
      </c>
      <c r="B370" s="23">
        <v>1502000</v>
      </c>
      <c r="C370" s="23" t="s">
        <v>70</v>
      </c>
      <c r="D370" s="106" t="s">
        <v>71</v>
      </c>
      <c r="E370" s="23">
        <v>12</v>
      </c>
      <c r="F370" s="23" t="s">
        <v>17</v>
      </c>
      <c r="G370" s="24"/>
      <c r="H370" s="24">
        <f>G370*E370</f>
        <v>0</v>
      </c>
    </row>
    <row r="371" spans="1:8" x14ac:dyDescent="0.45">
      <c r="A371" s="25"/>
      <c r="B371" s="26"/>
      <c r="C371" s="26">
        <v>3.5</v>
      </c>
      <c r="D371" s="27" t="s">
        <v>72</v>
      </c>
      <c r="E371" s="28"/>
      <c r="F371" s="28"/>
      <c r="G371" s="28"/>
      <c r="H371" s="28"/>
    </row>
    <row r="372" spans="1:8" x14ac:dyDescent="0.45">
      <c r="A372" s="22" t="s">
        <v>2228</v>
      </c>
      <c r="B372" s="23">
        <v>1502000</v>
      </c>
      <c r="C372" s="301" t="s">
        <v>5021</v>
      </c>
      <c r="D372" s="36" t="s">
        <v>71</v>
      </c>
      <c r="E372" s="23">
        <v>12</v>
      </c>
      <c r="F372" s="23" t="s">
        <v>17</v>
      </c>
      <c r="G372" s="24"/>
      <c r="H372" s="24">
        <f>G372*E372</f>
        <v>0</v>
      </c>
    </row>
    <row r="373" spans="1:8" x14ac:dyDescent="0.45">
      <c r="A373" s="27"/>
      <c r="B373" s="125"/>
      <c r="C373" s="125"/>
      <c r="D373" s="27" t="s">
        <v>75</v>
      </c>
      <c r="E373" s="26"/>
      <c r="F373" s="26"/>
      <c r="G373" s="28"/>
      <c r="H373" s="104"/>
    </row>
    <row r="374" spans="1:8" x14ac:dyDescent="0.45">
      <c r="A374" s="22" t="s">
        <v>2229</v>
      </c>
      <c r="B374" s="23">
        <v>1502000</v>
      </c>
      <c r="C374" s="23" t="s">
        <v>80</v>
      </c>
      <c r="D374" s="30" t="s">
        <v>81</v>
      </c>
      <c r="E374" s="23">
        <v>12</v>
      </c>
      <c r="F374" s="23" t="s">
        <v>17</v>
      </c>
      <c r="G374" s="24"/>
      <c r="H374" s="24">
        <f t="shared" ref="H374:H379" si="6">G374*E374</f>
        <v>0</v>
      </c>
    </row>
    <row r="375" spans="1:8" x14ac:dyDescent="0.45">
      <c r="A375" s="22" t="s">
        <v>2230</v>
      </c>
      <c r="B375" s="23">
        <v>1502000</v>
      </c>
      <c r="C375" s="23" t="s">
        <v>83</v>
      </c>
      <c r="D375" s="30" t="s">
        <v>84</v>
      </c>
      <c r="E375" s="23">
        <v>12</v>
      </c>
      <c r="F375" s="23" t="s">
        <v>17</v>
      </c>
      <c r="G375" s="24"/>
      <c r="H375" s="24">
        <f t="shared" si="6"/>
        <v>0</v>
      </c>
    </row>
    <row r="376" spans="1:8" x14ac:dyDescent="0.45">
      <c r="A376" s="22" t="s">
        <v>2231</v>
      </c>
      <c r="B376" s="23">
        <v>1502000</v>
      </c>
      <c r="C376" s="23" t="s">
        <v>86</v>
      </c>
      <c r="D376" s="106" t="s">
        <v>87</v>
      </c>
      <c r="E376" s="23">
        <v>12</v>
      </c>
      <c r="F376" s="23" t="s">
        <v>17</v>
      </c>
      <c r="G376" s="24"/>
      <c r="H376" s="24">
        <f t="shared" si="6"/>
        <v>0</v>
      </c>
    </row>
    <row r="377" spans="1:8" x14ac:dyDescent="0.45">
      <c r="A377" s="22" t="s">
        <v>2232</v>
      </c>
      <c r="B377" s="23">
        <v>1502000</v>
      </c>
      <c r="C377" s="23" t="s">
        <v>400</v>
      </c>
      <c r="D377" s="106" t="s">
        <v>401</v>
      </c>
      <c r="E377" s="23">
        <v>12</v>
      </c>
      <c r="F377" s="23" t="s">
        <v>17</v>
      </c>
      <c r="G377" s="24"/>
      <c r="H377" s="24">
        <f t="shared" si="6"/>
        <v>0</v>
      </c>
    </row>
    <row r="378" spans="1:8" x14ac:dyDescent="0.45">
      <c r="A378" s="22" t="s">
        <v>2233</v>
      </c>
      <c r="B378" s="23">
        <v>1502000</v>
      </c>
      <c r="C378" s="286" t="s">
        <v>5037</v>
      </c>
      <c r="D378" s="22" t="s">
        <v>108</v>
      </c>
      <c r="E378" s="33">
        <v>12</v>
      </c>
      <c r="F378" s="23" t="s">
        <v>17</v>
      </c>
      <c r="G378" s="24"/>
      <c r="H378" s="24">
        <f t="shared" si="6"/>
        <v>0</v>
      </c>
    </row>
    <row r="379" spans="1:8" x14ac:dyDescent="0.45">
      <c r="A379" s="22" t="s">
        <v>2234</v>
      </c>
      <c r="B379" s="23">
        <v>1502000</v>
      </c>
      <c r="C379" s="23" t="s">
        <v>107</v>
      </c>
      <c r="D379" s="126" t="s">
        <v>277</v>
      </c>
      <c r="E379" s="23">
        <v>12</v>
      </c>
      <c r="F379" s="23" t="s">
        <v>17</v>
      </c>
      <c r="G379" s="24"/>
      <c r="H379" s="24">
        <f t="shared" si="6"/>
        <v>0</v>
      </c>
    </row>
    <row r="380" spans="1:8" x14ac:dyDescent="0.45">
      <c r="A380" s="40"/>
      <c r="B380" s="41">
        <v>1503010</v>
      </c>
      <c r="C380" s="41"/>
      <c r="D380" s="42" t="s">
        <v>109</v>
      </c>
      <c r="E380" s="43"/>
      <c r="F380" s="44"/>
      <c r="G380" s="44"/>
      <c r="H380" s="45"/>
    </row>
    <row r="381" spans="1:8" x14ac:dyDescent="0.45">
      <c r="A381" s="22" t="s">
        <v>2235</v>
      </c>
      <c r="B381" s="33">
        <v>1503010</v>
      </c>
      <c r="C381" s="33">
        <v>3.1</v>
      </c>
      <c r="D381" s="36" t="s">
        <v>111</v>
      </c>
      <c r="E381" s="23">
        <v>12</v>
      </c>
      <c r="F381" s="23" t="s">
        <v>17</v>
      </c>
      <c r="G381" s="24"/>
      <c r="H381" s="24">
        <f>G381*E381</f>
        <v>0</v>
      </c>
    </row>
    <row r="382" spans="1:8" x14ac:dyDescent="0.45">
      <c r="A382" s="40"/>
      <c r="B382" s="43">
        <v>1503020</v>
      </c>
      <c r="C382" s="41"/>
      <c r="D382" s="42" t="s">
        <v>114</v>
      </c>
      <c r="E382" s="43"/>
      <c r="F382" s="44"/>
      <c r="G382" s="44"/>
      <c r="H382" s="44"/>
    </row>
    <row r="383" spans="1:8" x14ac:dyDescent="0.45">
      <c r="A383" s="22" t="s">
        <v>2236</v>
      </c>
      <c r="B383" s="33">
        <v>1503020</v>
      </c>
      <c r="C383" s="23">
        <v>3.1</v>
      </c>
      <c r="D383" s="206" t="s">
        <v>406</v>
      </c>
      <c r="E383" s="23">
        <v>12</v>
      </c>
      <c r="F383" s="115" t="s">
        <v>17</v>
      </c>
      <c r="G383" s="24"/>
      <c r="H383" s="24">
        <f>G383*E383</f>
        <v>0</v>
      </c>
    </row>
    <row r="384" spans="1:8" x14ac:dyDescent="0.45">
      <c r="A384" s="22" t="s">
        <v>2237</v>
      </c>
      <c r="B384" s="33">
        <v>1503020</v>
      </c>
      <c r="C384" s="33">
        <v>3.2</v>
      </c>
      <c r="D384" s="36" t="s">
        <v>118</v>
      </c>
      <c r="E384" s="23">
        <v>12</v>
      </c>
      <c r="F384" s="23" t="s">
        <v>17</v>
      </c>
      <c r="G384" s="24"/>
      <c r="H384" s="24">
        <f>G384*E384</f>
        <v>0</v>
      </c>
    </row>
    <row r="385" spans="1:8" x14ac:dyDescent="0.45">
      <c r="A385" s="22" t="s">
        <v>2238</v>
      </c>
      <c r="B385" s="33">
        <v>1503020</v>
      </c>
      <c r="C385" s="23">
        <v>3.3</v>
      </c>
      <c r="D385" s="106" t="s">
        <v>120</v>
      </c>
      <c r="E385" s="23">
        <v>12</v>
      </c>
      <c r="F385" s="23" t="s">
        <v>17</v>
      </c>
      <c r="G385" s="24"/>
      <c r="H385" s="24">
        <f>G385*E385</f>
        <v>0</v>
      </c>
    </row>
    <row r="386" spans="1:8" x14ac:dyDescent="0.45">
      <c r="A386" s="40"/>
      <c r="B386" s="43">
        <v>1503030</v>
      </c>
      <c r="C386" s="41"/>
      <c r="D386" s="42" t="s">
        <v>121</v>
      </c>
      <c r="E386" s="43"/>
      <c r="F386" s="44"/>
      <c r="G386" s="44"/>
      <c r="H386" s="45"/>
    </row>
    <row r="387" spans="1:8" x14ac:dyDescent="0.45">
      <c r="A387" s="22" t="s">
        <v>2239</v>
      </c>
      <c r="B387" s="33">
        <v>1503030</v>
      </c>
      <c r="C387" s="33" t="s">
        <v>123</v>
      </c>
      <c r="D387" s="36" t="s">
        <v>124</v>
      </c>
      <c r="E387" s="23">
        <v>12</v>
      </c>
      <c r="F387" s="23" t="s">
        <v>17</v>
      </c>
      <c r="G387" s="24"/>
      <c r="H387" s="24">
        <f>G387*E387</f>
        <v>0</v>
      </c>
    </row>
    <row r="388" spans="1:8" x14ac:dyDescent="0.45">
      <c r="A388" s="58"/>
      <c r="B388" s="59"/>
      <c r="C388" s="59"/>
      <c r="D388" s="60" t="s">
        <v>410</v>
      </c>
      <c r="E388" s="59"/>
      <c r="F388" s="59"/>
      <c r="G388" s="59"/>
      <c r="H388" s="62">
        <f>SUM(H350:H387)</f>
        <v>0</v>
      </c>
    </row>
    <row r="389" spans="1:8" x14ac:dyDescent="0.45">
      <c r="A389" s="121"/>
      <c r="B389" s="122"/>
      <c r="C389" s="122"/>
      <c r="D389" s="123"/>
      <c r="E389" s="122"/>
      <c r="F389" s="124"/>
      <c r="G389" s="97"/>
      <c r="H389" s="110"/>
    </row>
    <row r="390" spans="1:8" x14ac:dyDescent="0.45">
      <c r="A390" s="12" t="s">
        <v>2240</v>
      </c>
      <c r="B390" s="13"/>
      <c r="C390" s="13"/>
      <c r="D390" s="12" t="s">
        <v>412</v>
      </c>
      <c r="E390" s="13"/>
      <c r="F390" s="13"/>
      <c r="G390" s="101"/>
      <c r="H390" s="102"/>
    </row>
    <row r="391" spans="1:8" x14ac:dyDescent="0.45">
      <c r="A391" s="103"/>
      <c r="B391" s="41">
        <v>1502000</v>
      </c>
      <c r="C391" s="43"/>
      <c r="D391" s="42" t="s">
        <v>18</v>
      </c>
      <c r="E391" s="43"/>
      <c r="F391" s="44"/>
      <c r="G391" s="44"/>
      <c r="H391" s="45"/>
    </row>
    <row r="392" spans="1:8" x14ac:dyDescent="0.45">
      <c r="A392" s="25"/>
      <c r="B392" s="26">
        <v>1502000</v>
      </c>
      <c r="C392" s="26">
        <v>3.4</v>
      </c>
      <c r="D392" s="27" t="s">
        <v>62</v>
      </c>
      <c r="E392" s="26"/>
      <c r="F392" s="26"/>
      <c r="G392" s="28"/>
      <c r="H392" s="104"/>
    </row>
    <row r="393" spans="1:8" x14ac:dyDescent="0.45">
      <c r="A393" s="22" t="s">
        <v>2241</v>
      </c>
      <c r="B393" s="23">
        <v>1502000</v>
      </c>
      <c r="C393" s="23" t="s">
        <v>67</v>
      </c>
      <c r="D393" s="120" t="s">
        <v>68</v>
      </c>
      <c r="E393" s="23">
        <v>12</v>
      </c>
      <c r="F393" s="23" t="s">
        <v>17</v>
      </c>
      <c r="G393" s="24"/>
      <c r="H393" s="24">
        <f>G393*E393</f>
        <v>0</v>
      </c>
    </row>
    <row r="394" spans="1:8" x14ac:dyDescent="0.45">
      <c r="A394" s="40"/>
      <c r="B394" s="41">
        <v>1503010</v>
      </c>
      <c r="C394" s="41"/>
      <c r="D394" s="42" t="s">
        <v>109</v>
      </c>
      <c r="E394" s="43"/>
      <c r="F394" s="44"/>
      <c r="G394" s="44"/>
      <c r="H394" s="45"/>
    </row>
    <row r="395" spans="1:8" x14ac:dyDescent="0.45">
      <c r="A395" s="22" t="s">
        <v>2242</v>
      </c>
      <c r="B395" s="33">
        <v>1503010</v>
      </c>
      <c r="C395" s="33">
        <v>3.1</v>
      </c>
      <c r="D395" s="36" t="s">
        <v>111</v>
      </c>
      <c r="E395" s="23">
        <v>12</v>
      </c>
      <c r="F395" s="23" t="s">
        <v>17</v>
      </c>
      <c r="G395" s="24"/>
      <c r="H395" s="24">
        <f>G395*E395</f>
        <v>0</v>
      </c>
    </row>
    <row r="396" spans="1:8" x14ac:dyDescent="0.45">
      <c r="A396" s="58"/>
      <c r="B396" s="59"/>
      <c r="C396" s="59"/>
      <c r="D396" s="60" t="s">
        <v>415</v>
      </c>
      <c r="E396" s="59"/>
      <c r="F396" s="59"/>
      <c r="G396" s="59"/>
      <c r="H396" s="62">
        <f>SUM(H393:H395)</f>
        <v>0</v>
      </c>
    </row>
    <row r="397" spans="1:8" x14ac:dyDescent="0.45">
      <c r="A397" s="121"/>
      <c r="B397" s="122"/>
      <c r="C397" s="122"/>
      <c r="D397" s="123"/>
      <c r="E397" s="122"/>
      <c r="F397" s="124"/>
      <c r="G397" s="97"/>
      <c r="H397" s="110"/>
    </row>
    <row r="398" spans="1:8" x14ac:dyDescent="0.45">
      <c r="A398" s="12" t="s">
        <v>2243</v>
      </c>
      <c r="B398" s="13"/>
      <c r="C398" s="13"/>
      <c r="D398" s="12" t="s">
        <v>417</v>
      </c>
      <c r="E398" s="13"/>
      <c r="F398" s="13"/>
      <c r="G398" s="101"/>
      <c r="H398" s="102"/>
    </row>
    <row r="399" spans="1:8" x14ac:dyDescent="0.45">
      <c r="A399" s="103"/>
      <c r="B399" s="41">
        <v>1502000</v>
      </c>
      <c r="C399" s="43"/>
      <c r="D399" s="42" t="s">
        <v>18</v>
      </c>
      <c r="E399" s="43"/>
      <c r="F399" s="44"/>
      <c r="G399" s="44"/>
      <c r="H399" s="45"/>
    </row>
    <row r="400" spans="1:8" x14ac:dyDescent="0.45">
      <c r="A400" s="27"/>
      <c r="B400" s="26"/>
      <c r="C400" s="26">
        <v>3.1</v>
      </c>
      <c r="D400" s="27" t="s">
        <v>19</v>
      </c>
      <c r="E400" s="26"/>
      <c r="F400" s="26"/>
      <c r="G400" s="28"/>
      <c r="H400" s="104"/>
    </row>
    <row r="401" spans="1:8" x14ac:dyDescent="0.45">
      <c r="A401" s="22" t="s">
        <v>2244</v>
      </c>
      <c r="B401" s="23">
        <v>1502000</v>
      </c>
      <c r="C401" s="23" t="s">
        <v>21</v>
      </c>
      <c r="D401" s="29" t="s">
        <v>22</v>
      </c>
      <c r="E401" s="23">
        <v>12</v>
      </c>
      <c r="F401" s="23" t="s">
        <v>17</v>
      </c>
      <c r="G401" s="24"/>
      <c r="H401" s="24">
        <f>G401*E401</f>
        <v>0</v>
      </c>
    </row>
    <row r="402" spans="1:8" x14ac:dyDescent="0.45">
      <c r="A402" s="22" t="s">
        <v>2245</v>
      </c>
      <c r="B402" s="23">
        <v>1502000</v>
      </c>
      <c r="C402" s="23" t="s">
        <v>24</v>
      </c>
      <c r="D402" s="29" t="s">
        <v>25</v>
      </c>
      <c r="E402" s="23">
        <v>12</v>
      </c>
      <c r="F402" s="23" t="s">
        <v>17</v>
      </c>
      <c r="G402" s="24"/>
      <c r="H402" s="24">
        <f>G402*E402</f>
        <v>0</v>
      </c>
    </row>
    <row r="403" spans="1:8" x14ac:dyDescent="0.45">
      <c r="A403" s="22" t="s">
        <v>2246</v>
      </c>
      <c r="B403" s="23">
        <v>1502000</v>
      </c>
      <c r="C403" s="23" t="s">
        <v>27</v>
      </c>
      <c r="D403" s="29" t="s">
        <v>28</v>
      </c>
      <c r="E403" s="23">
        <v>12</v>
      </c>
      <c r="F403" s="23" t="s">
        <v>17</v>
      </c>
      <c r="G403" s="24"/>
      <c r="H403" s="24">
        <f>G403*E403</f>
        <v>0</v>
      </c>
    </row>
    <row r="404" spans="1:8" x14ac:dyDescent="0.45">
      <c r="A404" s="25"/>
      <c r="B404" s="26">
        <v>1502000</v>
      </c>
      <c r="C404" s="26">
        <v>3.4</v>
      </c>
      <c r="D404" s="27" t="s">
        <v>62</v>
      </c>
      <c r="E404" s="26"/>
      <c r="F404" s="26"/>
      <c r="G404" s="28"/>
      <c r="H404" s="104"/>
    </row>
    <row r="405" spans="1:8" x14ac:dyDescent="0.45">
      <c r="A405" s="22" t="s">
        <v>2247</v>
      </c>
      <c r="B405" s="23">
        <v>1502000</v>
      </c>
      <c r="C405" s="23" t="s">
        <v>67</v>
      </c>
      <c r="D405" s="35" t="s">
        <v>68</v>
      </c>
      <c r="E405" s="23">
        <v>12</v>
      </c>
      <c r="F405" s="23" t="s">
        <v>17</v>
      </c>
      <c r="G405" s="24"/>
      <c r="H405" s="24">
        <f>G405*E405</f>
        <v>0</v>
      </c>
    </row>
    <row r="406" spans="1:8" x14ac:dyDescent="0.45">
      <c r="A406" s="58"/>
      <c r="B406" s="59"/>
      <c r="C406" s="59"/>
      <c r="D406" s="60" t="s">
        <v>422</v>
      </c>
      <c r="E406" s="59"/>
      <c r="F406" s="59"/>
      <c r="G406" s="59"/>
      <c r="H406" s="62">
        <f>SUM(H401:H405)</f>
        <v>0</v>
      </c>
    </row>
    <row r="407" spans="1:8" x14ac:dyDescent="0.45">
      <c r="A407" s="121"/>
      <c r="B407" s="122"/>
      <c r="C407" s="122"/>
      <c r="D407" s="123"/>
      <c r="E407" s="122"/>
      <c r="F407" s="124"/>
      <c r="G407" s="97"/>
      <c r="H407" s="110"/>
    </row>
    <row r="408" spans="1:8" x14ac:dyDescent="0.45">
      <c r="A408" s="12" t="s">
        <v>2248</v>
      </c>
      <c r="B408" s="13"/>
      <c r="C408" s="13"/>
      <c r="D408" s="111" t="s">
        <v>424</v>
      </c>
      <c r="E408" s="100"/>
      <c r="F408" s="101"/>
      <c r="G408" s="101"/>
      <c r="H408" s="102"/>
    </row>
    <row r="409" spans="1:8" x14ac:dyDescent="0.45">
      <c r="A409" s="103"/>
      <c r="B409" s="41">
        <v>1502000</v>
      </c>
      <c r="C409" s="43"/>
      <c r="D409" s="42" t="s">
        <v>18</v>
      </c>
      <c r="E409" s="43"/>
      <c r="F409" s="44"/>
      <c r="G409" s="44"/>
      <c r="H409" s="45"/>
    </row>
    <row r="410" spans="1:8" x14ac:dyDescent="0.45">
      <c r="A410" s="27"/>
      <c r="B410" s="26"/>
      <c r="C410" s="26">
        <v>3.1</v>
      </c>
      <c r="D410" s="27" t="s">
        <v>19</v>
      </c>
      <c r="E410" s="26"/>
      <c r="F410" s="26"/>
      <c r="G410" s="28"/>
      <c r="H410" s="104"/>
    </row>
    <row r="411" spans="1:8" x14ac:dyDescent="0.45">
      <c r="A411" s="22" t="s">
        <v>2249</v>
      </c>
      <c r="B411" s="23">
        <v>1502000</v>
      </c>
      <c r="C411" s="23" t="s">
        <v>21</v>
      </c>
      <c r="D411" s="29" t="s">
        <v>22</v>
      </c>
      <c r="E411" s="23">
        <v>12</v>
      </c>
      <c r="F411" s="23" t="s">
        <v>17</v>
      </c>
      <c r="G411" s="24"/>
      <c r="H411" s="24">
        <f>G411*E411</f>
        <v>0</v>
      </c>
    </row>
    <row r="412" spans="1:8" x14ac:dyDescent="0.45">
      <c r="A412" s="22" t="s">
        <v>2250</v>
      </c>
      <c r="B412" s="23">
        <v>1502000</v>
      </c>
      <c r="C412" s="23" t="s">
        <v>24</v>
      </c>
      <c r="D412" s="29" t="s">
        <v>25</v>
      </c>
      <c r="E412" s="23">
        <v>12</v>
      </c>
      <c r="F412" s="23" t="s">
        <v>17</v>
      </c>
      <c r="G412" s="24"/>
      <c r="H412" s="24">
        <f>G412*E412</f>
        <v>0</v>
      </c>
    </row>
    <row r="413" spans="1:8" x14ac:dyDescent="0.45">
      <c r="A413" s="22" t="s">
        <v>2251</v>
      </c>
      <c r="B413" s="23">
        <v>1502000</v>
      </c>
      <c r="C413" s="23" t="s">
        <v>27</v>
      </c>
      <c r="D413" s="29" t="s">
        <v>28</v>
      </c>
      <c r="E413" s="23">
        <v>12</v>
      </c>
      <c r="F413" s="23" t="s">
        <v>17</v>
      </c>
      <c r="G413" s="24"/>
      <c r="H413" s="24">
        <f>G413*E413</f>
        <v>0</v>
      </c>
    </row>
    <row r="414" spans="1:8" x14ac:dyDescent="0.45">
      <c r="A414" s="40"/>
      <c r="B414" s="41">
        <v>1503010</v>
      </c>
      <c r="C414" s="41"/>
      <c r="D414" s="42" t="s">
        <v>109</v>
      </c>
      <c r="E414" s="43"/>
      <c r="F414" s="44"/>
      <c r="G414" s="44"/>
      <c r="H414" s="45"/>
    </row>
    <row r="415" spans="1:8" x14ac:dyDescent="0.45">
      <c r="A415" s="22" t="s">
        <v>2252</v>
      </c>
      <c r="B415" s="33">
        <v>1503010</v>
      </c>
      <c r="C415" s="33">
        <v>3.1</v>
      </c>
      <c r="D415" s="36" t="s">
        <v>111</v>
      </c>
      <c r="E415" s="23">
        <v>12</v>
      </c>
      <c r="F415" s="23" t="s">
        <v>17</v>
      </c>
      <c r="G415" s="24"/>
      <c r="H415" s="24">
        <f>G415*E415</f>
        <v>0</v>
      </c>
    </row>
    <row r="416" spans="1:8" x14ac:dyDescent="0.45">
      <c r="A416" s="40"/>
      <c r="B416" s="43">
        <v>1503030</v>
      </c>
      <c r="C416" s="41"/>
      <c r="D416" s="42" t="s">
        <v>121</v>
      </c>
      <c r="E416" s="43"/>
      <c r="F416" s="44"/>
      <c r="G416" s="44"/>
      <c r="H416" s="45"/>
    </row>
    <row r="417" spans="1:8" x14ac:dyDescent="0.45">
      <c r="A417" s="22" t="s">
        <v>2253</v>
      </c>
      <c r="B417" s="33">
        <v>1503030</v>
      </c>
      <c r="C417" s="33" t="s">
        <v>123</v>
      </c>
      <c r="D417" s="36" t="s">
        <v>124</v>
      </c>
      <c r="E417" s="23">
        <v>12</v>
      </c>
      <c r="F417" s="23" t="s">
        <v>17</v>
      </c>
      <c r="G417" s="24"/>
      <c r="H417" s="24">
        <f>G417*E417</f>
        <v>0</v>
      </c>
    </row>
    <row r="418" spans="1:8" s="293" customFormat="1" x14ac:dyDescent="0.45">
      <c r="A418" s="287"/>
      <c r="B418" s="288">
        <v>1503050</v>
      </c>
      <c r="C418" s="288"/>
      <c r="D418" s="289" t="s">
        <v>5014</v>
      </c>
      <c r="E418" s="290"/>
      <c r="F418" s="291"/>
      <c r="G418" s="291"/>
      <c r="H418" s="292"/>
    </row>
    <row r="419" spans="1:8" s="293" customFormat="1" x14ac:dyDescent="0.45">
      <c r="A419" s="257" t="s">
        <v>5168</v>
      </c>
      <c r="B419" s="301">
        <v>1503050</v>
      </c>
      <c r="C419" s="301">
        <v>3.4</v>
      </c>
      <c r="D419" s="295" t="s">
        <v>135</v>
      </c>
      <c r="E419" s="301">
        <v>12</v>
      </c>
      <c r="F419" s="286" t="s">
        <v>17</v>
      </c>
      <c r="G419" s="302"/>
      <c r="H419" s="302">
        <f>G419*E419</f>
        <v>0</v>
      </c>
    </row>
    <row r="420" spans="1:8" x14ac:dyDescent="0.45">
      <c r="A420" s="58"/>
      <c r="B420" s="59"/>
      <c r="C420" s="59"/>
      <c r="D420" s="60" t="s">
        <v>430</v>
      </c>
      <c r="E420" s="59"/>
      <c r="F420" s="59"/>
      <c r="G420" s="59"/>
      <c r="H420" s="62">
        <f>SUM(H411:H419)</f>
        <v>0</v>
      </c>
    </row>
    <row r="421" spans="1:8" x14ac:dyDescent="0.45">
      <c r="A421" s="121"/>
      <c r="B421" s="122"/>
      <c r="C421" s="122"/>
      <c r="D421" s="123"/>
      <c r="E421" s="122"/>
      <c r="F421" s="124"/>
      <c r="G421" s="97"/>
      <c r="H421" s="110"/>
    </row>
    <row r="422" spans="1:8" x14ac:dyDescent="0.45">
      <c r="A422" s="12" t="s">
        <v>2254</v>
      </c>
      <c r="B422" s="13"/>
      <c r="C422" s="13"/>
      <c r="D422" s="12" t="s">
        <v>432</v>
      </c>
      <c r="E422" s="13"/>
      <c r="F422" s="13"/>
      <c r="G422" s="101"/>
      <c r="H422" s="102"/>
    </row>
    <row r="423" spans="1:8" x14ac:dyDescent="0.45">
      <c r="A423" s="103"/>
      <c r="B423" s="41">
        <v>1502000</v>
      </c>
      <c r="C423" s="43"/>
      <c r="D423" s="42" t="s">
        <v>18</v>
      </c>
      <c r="E423" s="43"/>
      <c r="F423" s="44"/>
      <c r="G423" s="44"/>
      <c r="H423" s="45"/>
    </row>
    <row r="424" spans="1:8" x14ac:dyDescent="0.45">
      <c r="A424" s="27"/>
      <c r="B424" s="26"/>
      <c r="C424" s="26">
        <v>3.1</v>
      </c>
      <c r="D424" s="27" t="s">
        <v>19</v>
      </c>
      <c r="E424" s="26"/>
      <c r="F424" s="26"/>
      <c r="G424" s="28"/>
      <c r="H424" s="104"/>
    </row>
    <row r="425" spans="1:8" x14ac:dyDescent="0.45">
      <c r="A425" s="22" t="s">
        <v>2255</v>
      </c>
      <c r="B425" s="23">
        <v>1502000</v>
      </c>
      <c r="C425" s="23" t="s">
        <v>21</v>
      </c>
      <c r="D425" s="29" t="s">
        <v>22</v>
      </c>
      <c r="E425" s="23">
        <v>12</v>
      </c>
      <c r="F425" s="23" t="s">
        <v>17</v>
      </c>
      <c r="G425" s="24"/>
      <c r="H425" s="24">
        <f>G425*E425</f>
        <v>0</v>
      </c>
    </row>
    <row r="426" spans="1:8" x14ac:dyDescent="0.45">
      <c r="A426" s="22" t="s">
        <v>2256</v>
      </c>
      <c r="B426" s="23">
        <v>1502000</v>
      </c>
      <c r="C426" s="23" t="s">
        <v>24</v>
      </c>
      <c r="D426" s="29" t="s">
        <v>25</v>
      </c>
      <c r="E426" s="23">
        <v>12</v>
      </c>
      <c r="F426" s="23" t="s">
        <v>17</v>
      </c>
      <c r="G426" s="24"/>
      <c r="H426" s="24">
        <f>G426*E426</f>
        <v>0</v>
      </c>
    </row>
    <row r="427" spans="1:8" x14ac:dyDescent="0.45">
      <c r="A427" s="22" t="s">
        <v>2257</v>
      </c>
      <c r="B427" s="23">
        <v>1502000</v>
      </c>
      <c r="C427" s="23" t="s">
        <v>27</v>
      </c>
      <c r="D427" s="29" t="s">
        <v>28</v>
      </c>
      <c r="E427" s="23">
        <v>12</v>
      </c>
      <c r="F427" s="23" t="s">
        <v>17</v>
      </c>
      <c r="G427" s="24"/>
      <c r="H427" s="24">
        <f>G427*E427</f>
        <v>0</v>
      </c>
    </row>
    <row r="428" spans="1:8" x14ac:dyDescent="0.45">
      <c r="A428" s="25"/>
      <c r="B428" s="26"/>
      <c r="C428" s="26">
        <v>3.1</v>
      </c>
      <c r="D428" s="27" t="s">
        <v>31</v>
      </c>
      <c r="E428" s="28"/>
      <c r="F428" s="28"/>
      <c r="G428" s="28"/>
      <c r="H428" s="28"/>
    </row>
    <row r="429" spans="1:8" x14ac:dyDescent="0.45">
      <c r="A429" s="22" t="s">
        <v>2258</v>
      </c>
      <c r="B429" s="23">
        <v>1502000</v>
      </c>
      <c r="C429" s="23" t="s">
        <v>39</v>
      </c>
      <c r="D429" s="29" t="s">
        <v>230</v>
      </c>
      <c r="E429" s="23">
        <v>12</v>
      </c>
      <c r="F429" s="23" t="s">
        <v>17</v>
      </c>
      <c r="G429" s="24"/>
      <c r="H429" s="24">
        <f>G429*E429</f>
        <v>0</v>
      </c>
    </row>
    <row r="430" spans="1:8" x14ac:dyDescent="0.45">
      <c r="A430" s="22" t="s">
        <v>2259</v>
      </c>
      <c r="B430" s="23">
        <v>1502000</v>
      </c>
      <c r="C430" s="23" t="s">
        <v>250</v>
      </c>
      <c r="D430" s="29" t="s">
        <v>379</v>
      </c>
      <c r="E430" s="23">
        <v>12</v>
      </c>
      <c r="F430" s="23" t="s">
        <v>17</v>
      </c>
      <c r="G430" s="24"/>
      <c r="H430" s="24">
        <f>G430*E430</f>
        <v>0</v>
      </c>
    </row>
    <row r="431" spans="1:8" x14ac:dyDescent="0.45">
      <c r="A431" s="22" t="s">
        <v>2260</v>
      </c>
      <c r="B431" s="23">
        <v>1502000</v>
      </c>
      <c r="C431" s="23" t="s">
        <v>54</v>
      </c>
      <c r="D431" s="29" t="s">
        <v>55</v>
      </c>
      <c r="E431" s="23">
        <v>12</v>
      </c>
      <c r="F431" s="23" t="s">
        <v>17</v>
      </c>
      <c r="G431" s="24"/>
      <c r="H431" s="24">
        <f>G431*E431</f>
        <v>0</v>
      </c>
    </row>
    <row r="432" spans="1:8" x14ac:dyDescent="0.45">
      <c r="A432" s="25"/>
      <c r="B432" s="26">
        <v>1502000</v>
      </c>
      <c r="C432" s="26">
        <v>3.4</v>
      </c>
      <c r="D432" s="27" t="s">
        <v>62</v>
      </c>
      <c r="E432" s="26"/>
      <c r="F432" s="26"/>
      <c r="G432" s="28"/>
      <c r="H432" s="104"/>
    </row>
    <row r="433" spans="1:8" x14ac:dyDescent="0.45">
      <c r="A433" s="22" t="s">
        <v>2261</v>
      </c>
      <c r="B433" s="23">
        <v>1502000</v>
      </c>
      <c r="C433" s="23" t="s">
        <v>64</v>
      </c>
      <c r="D433" s="106" t="s">
        <v>65</v>
      </c>
      <c r="E433" s="23">
        <v>12</v>
      </c>
      <c r="F433" s="23" t="s">
        <v>17</v>
      </c>
      <c r="G433" s="24"/>
      <c r="H433" s="24">
        <f>G433*E433</f>
        <v>0</v>
      </c>
    </row>
    <row r="434" spans="1:8" x14ac:dyDescent="0.45">
      <c r="A434" s="22" t="s">
        <v>2262</v>
      </c>
      <c r="B434" s="23">
        <v>1502000</v>
      </c>
      <c r="C434" s="23" t="s">
        <v>67</v>
      </c>
      <c r="D434" s="120" t="s">
        <v>68</v>
      </c>
      <c r="E434" s="23">
        <v>12</v>
      </c>
      <c r="F434" s="23" t="s">
        <v>17</v>
      </c>
      <c r="G434" s="24"/>
      <c r="H434" s="24">
        <f>G434*E434</f>
        <v>0</v>
      </c>
    </row>
    <row r="435" spans="1:8" x14ac:dyDescent="0.45">
      <c r="A435" s="22" t="s">
        <v>2263</v>
      </c>
      <c r="B435" s="23">
        <v>1502000</v>
      </c>
      <c r="C435" s="23" t="s">
        <v>70</v>
      </c>
      <c r="D435" s="106" t="s">
        <v>71</v>
      </c>
      <c r="E435" s="23">
        <v>12</v>
      </c>
      <c r="F435" s="23" t="s">
        <v>17</v>
      </c>
      <c r="G435" s="24"/>
      <c r="H435" s="24">
        <f>G435*E435</f>
        <v>0</v>
      </c>
    </row>
    <row r="436" spans="1:8" x14ac:dyDescent="0.45">
      <c r="A436" s="27"/>
      <c r="B436" s="125"/>
      <c r="C436" s="125"/>
      <c r="D436" s="27" t="s">
        <v>75</v>
      </c>
      <c r="E436" s="26"/>
      <c r="F436" s="26"/>
      <c r="G436" s="28"/>
      <c r="H436" s="104"/>
    </row>
    <row r="437" spans="1:8" x14ac:dyDescent="0.45">
      <c r="A437" s="22" t="s">
        <v>2264</v>
      </c>
      <c r="B437" s="23">
        <v>1502000</v>
      </c>
      <c r="C437" s="23" t="s">
        <v>80</v>
      </c>
      <c r="D437" s="30" t="s">
        <v>81</v>
      </c>
      <c r="E437" s="23">
        <v>12</v>
      </c>
      <c r="F437" s="23" t="s">
        <v>17</v>
      </c>
      <c r="G437" s="24"/>
      <c r="H437" s="24">
        <f>G437*E437</f>
        <v>0</v>
      </c>
    </row>
    <row r="438" spans="1:8" x14ac:dyDescent="0.45">
      <c r="A438" s="22" t="s">
        <v>2265</v>
      </c>
      <c r="B438" s="23">
        <v>1502000</v>
      </c>
      <c r="C438" s="23" t="s">
        <v>86</v>
      </c>
      <c r="D438" s="106" t="s">
        <v>87</v>
      </c>
      <c r="E438" s="23">
        <v>12</v>
      </c>
      <c r="F438" s="23" t="s">
        <v>17</v>
      </c>
      <c r="G438" s="24"/>
      <c r="H438" s="24">
        <f>G438*E438</f>
        <v>0</v>
      </c>
    </row>
    <row r="439" spans="1:8" x14ac:dyDescent="0.45">
      <c r="A439" s="40"/>
      <c r="B439" s="41">
        <v>1503010</v>
      </c>
      <c r="C439" s="41"/>
      <c r="D439" s="42" t="s">
        <v>109</v>
      </c>
      <c r="E439" s="43"/>
      <c r="F439" s="44"/>
      <c r="G439" s="44"/>
      <c r="H439" s="45"/>
    </row>
    <row r="440" spans="1:8" x14ac:dyDescent="0.45">
      <c r="A440" s="22" t="s">
        <v>2266</v>
      </c>
      <c r="B440" s="33">
        <v>1503010</v>
      </c>
      <c r="C440" s="33">
        <v>3.1</v>
      </c>
      <c r="D440" s="36" t="s">
        <v>111</v>
      </c>
      <c r="E440" s="23">
        <v>12</v>
      </c>
      <c r="F440" s="23" t="s">
        <v>17</v>
      </c>
      <c r="G440" s="24"/>
      <c r="H440" s="24">
        <f>G440*E440</f>
        <v>0</v>
      </c>
    </row>
    <row r="441" spans="1:8" x14ac:dyDescent="0.45">
      <c r="A441" s="40"/>
      <c r="B441" s="43">
        <v>1503020</v>
      </c>
      <c r="C441" s="41"/>
      <c r="D441" s="42" t="s">
        <v>114</v>
      </c>
      <c r="E441" s="43"/>
      <c r="F441" s="44"/>
      <c r="G441" s="44"/>
      <c r="H441" s="45"/>
    </row>
    <row r="442" spans="1:8" ht="13.45" customHeight="1" x14ac:dyDescent="0.45">
      <c r="A442" s="22" t="s">
        <v>2267</v>
      </c>
      <c r="B442" s="33">
        <v>1503020</v>
      </c>
      <c r="C442" s="33">
        <v>3.1</v>
      </c>
      <c r="D442" s="36" t="s">
        <v>116</v>
      </c>
      <c r="E442" s="23">
        <v>12</v>
      </c>
      <c r="F442" s="23" t="s">
        <v>17</v>
      </c>
      <c r="G442" s="24"/>
      <c r="H442" s="24">
        <f>G442*E442</f>
        <v>0</v>
      </c>
    </row>
    <row r="443" spans="1:8" x14ac:dyDescent="0.45">
      <c r="A443" s="22" t="s">
        <v>2268</v>
      </c>
      <c r="B443" s="33">
        <v>1503020</v>
      </c>
      <c r="C443" s="33">
        <v>3.2</v>
      </c>
      <c r="D443" s="36" t="s">
        <v>118</v>
      </c>
      <c r="E443" s="23">
        <v>12</v>
      </c>
      <c r="F443" s="23" t="s">
        <v>17</v>
      </c>
      <c r="G443" s="24"/>
      <c r="H443" s="24">
        <f>G443*E443</f>
        <v>0</v>
      </c>
    </row>
    <row r="444" spans="1:8" x14ac:dyDescent="0.45">
      <c r="A444" s="22" t="s">
        <v>2269</v>
      </c>
      <c r="B444" s="33">
        <v>1503020</v>
      </c>
      <c r="C444" s="33">
        <v>3.3</v>
      </c>
      <c r="D444" s="36" t="s">
        <v>120</v>
      </c>
      <c r="E444" s="23">
        <v>12</v>
      </c>
      <c r="F444" s="23" t="s">
        <v>17</v>
      </c>
      <c r="G444" s="24"/>
      <c r="H444" s="24">
        <f>G444*E444</f>
        <v>0</v>
      </c>
    </row>
    <row r="445" spans="1:8" x14ac:dyDescent="0.45">
      <c r="A445" s="40"/>
      <c r="B445" s="43">
        <v>1503030</v>
      </c>
      <c r="C445" s="41"/>
      <c r="D445" s="42" t="s">
        <v>121</v>
      </c>
      <c r="E445" s="43"/>
      <c r="F445" s="44"/>
      <c r="G445" s="44"/>
      <c r="H445" s="45"/>
    </row>
    <row r="446" spans="1:8" x14ac:dyDescent="0.45">
      <c r="A446" s="22" t="s">
        <v>2270</v>
      </c>
      <c r="B446" s="33">
        <v>1503030</v>
      </c>
      <c r="C446" s="33" t="s">
        <v>123</v>
      </c>
      <c r="D446" s="36" t="s">
        <v>124</v>
      </c>
      <c r="E446" s="23">
        <v>12</v>
      </c>
      <c r="F446" s="23" t="s">
        <v>17</v>
      </c>
      <c r="G446" s="24"/>
      <c r="H446" s="24">
        <f>G446*E446</f>
        <v>0</v>
      </c>
    </row>
    <row r="447" spans="1:8" x14ac:dyDescent="0.45">
      <c r="A447" s="58"/>
      <c r="B447" s="59"/>
      <c r="C447" s="59"/>
      <c r="D447" s="60" t="s">
        <v>449</v>
      </c>
      <c r="E447" s="59"/>
      <c r="F447" s="59"/>
      <c r="G447" s="59"/>
      <c r="H447" s="62">
        <f>SUM(H425:H446)</f>
        <v>0</v>
      </c>
    </row>
    <row r="448" spans="1:8" x14ac:dyDescent="0.45">
      <c r="A448" s="96"/>
      <c r="B448" s="97"/>
      <c r="C448" s="97"/>
      <c r="D448" s="116"/>
      <c r="E448" s="97"/>
      <c r="F448" s="97"/>
      <c r="G448" s="97"/>
      <c r="H448" s="99"/>
    </row>
    <row r="449" spans="1:8" x14ac:dyDescent="0.45">
      <c r="A449" s="12" t="s">
        <v>2271</v>
      </c>
      <c r="B449" s="13"/>
      <c r="C449" s="13"/>
      <c r="D449" s="12" t="s">
        <v>451</v>
      </c>
      <c r="E449" s="13"/>
      <c r="F449" s="13"/>
      <c r="G449" s="13"/>
      <c r="H449" s="102"/>
    </row>
    <row r="450" spans="1:8" x14ac:dyDescent="0.45">
      <c r="A450" s="368"/>
      <c r="B450" s="369">
        <v>1503010</v>
      </c>
      <c r="C450" s="369"/>
      <c r="D450" s="370" t="s">
        <v>109</v>
      </c>
      <c r="E450" s="282"/>
      <c r="F450" s="283"/>
      <c r="G450" s="283"/>
      <c r="H450" s="284"/>
    </row>
    <row r="451" spans="1:8" x14ac:dyDescent="0.45">
      <c r="A451" s="258" t="s">
        <v>5096</v>
      </c>
      <c r="B451" s="259">
        <v>1503010</v>
      </c>
      <c r="C451" s="259">
        <v>3.1</v>
      </c>
      <c r="D451" s="260" t="s">
        <v>111</v>
      </c>
      <c r="E451" s="261">
        <v>12</v>
      </c>
      <c r="F451" s="261" t="s">
        <v>17</v>
      </c>
      <c r="G451" s="262"/>
      <c r="H451" s="262">
        <f>G451*E451</f>
        <v>0</v>
      </c>
    </row>
    <row r="452" spans="1:8" x14ac:dyDescent="0.45">
      <c r="A452" s="40"/>
      <c r="B452" s="43">
        <v>1503020</v>
      </c>
      <c r="C452" s="41"/>
      <c r="D452" s="42" t="s">
        <v>114</v>
      </c>
      <c r="E452" s="43"/>
      <c r="F452" s="44"/>
      <c r="G452" s="44"/>
      <c r="H452" s="45"/>
    </row>
    <row r="453" spans="1:8" ht="13.45" customHeight="1" x14ac:dyDescent="0.45">
      <c r="A453" s="22" t="s">
        <v>5203</v>
      </c>
      <c r="B453" s="33">
        <v>1503020</v>
      </c>
      <c r="C453" s="33">
        <v>3.1</v>
      </c>
      <c r="D453" s="36" t="s">
        <v>116</v>
      </c>
      <c r="E453" s="23">
        <v>12</v>
      </c>
      <c r="F453" s="23" t="s">
        <v>17</v>
      </c>
      <c r="G453" s="24"/>
      <c r="H453" s="24">
        <f>G453*E453</f>
        <v>0</v>
      </c>
    </row>
    <row r="454" spans="1:8" x14ac:dyDescent="0.45">
      <c r="A454" s="22" t="s">
        <v>5204</v>
      </c>
      <c r="B454" s="33">
        <v>1503020</v>
      </c>
      <c r="C454" s="33">
        <v>3.3</v>
      </c>
      <c r="D454" s="36" t="s">
        <v>120</v>
      </c>
      <c r="E454" s="23">
        <v>12</v>
      </c>
      <c r="F454" s="23" t="s">
        <v>17</v>
      </c>
      <c r="G454" s="24"/>
      <c r="H454" s="24">
        <f>G454*E454</f>
        <v>0</v>
      </c>
    </row>
    <row r="455" spans="1:8" x14ac:dyDescent="0.45">
      <c r="A455" s="58"/>
      <c r="B455" s="59"/>
      <c r="C455" s="59"/>
      <c r="D455" s="60" t="s">
        <v>453</v>
      </c>
      <c r="E455" s="59"/>
      <c r="F455" s="59"/>
      <c r="G455" s="61"/>
      <c r="H455" s="62">
        <f>SUM(H451:H454)</f>
        <v>0</v>
      </c>
    </row>
    <row r="456" spans="1:8" s="389" customFormat="1" x14ac:dyDescent="0.45">
      <c r="A456" s="87"/>
      <c r="B456" s="88"/>
      <c r="C456" s="88"/>
      <c r="D456" s="89"/>
      <c r="E456" s="64"/>
      <c r="F456" s="64"/>
      <c r="G456" s="66"/>
      <c r="H456" s="66"/>
    </row>
    <row r="457" spans="1:8" s="389" customFormat="1" x14ac:dyDescent="0.45">
      <c r="A457" s="378" t="s">
        <v>5170</v>
      </c>
      <c r="B457" s="379"/>
      <c r="C457" s="380"/>
      <c r="D457" s="378" t="s">
        <v>5047</v>
      </c>
      <c r="E457" s="381"/>
      <c r="F457" s="381"/>
      <c r="G457" s="381"/>
      <c r="H457" s="381"/>
    </row>
    <row r="458" spans="1:8" s="389" customFormat="1" x14ac:dyDescent="0.4">
      <c r="A458" s="287"/>
      <c r="B458" s="382">
        <v>1502000</v>
      </c>
      <c r="C458" s="383"/>
      <c r="D458" s="384" t="s">
        <v>18</v>
      </c>
      <c r="E458" s="385"/>
      <c r="F458" s="385"/>
      <c r="G458" s="386"/>
      <c r="H458" s="386"/>
    </row>
    <row r="459" spans="1:8" s="389" customFormat="1" x14ac:dyDescent="0.45">
      <c r="A459" s="363"/>
      <c r="B459" s="373"/>
      <c r="C459" s="373">
        <v>3.6</v>
      </c>
      <c r="D459" s="374" t="s">
        <v>75</v>
      </c>
      <c r="E459" s="375"/>
      <c r="F459" s="375"/>
      <c r="G459" s="375"/>
      <c r="H459" s="375"/>
    </row>
    <row r="460" spans="1:8" s="389" customFormat="1" x14ac:dyDescent="0.45">
      <c r="A460" s="257" t="s">
        <v>5171</v>
      </c>
      <c r="B460" s="286">
        <v>1502000</v>
      </c>
      <c r="C460" s="301" t="s">
        <v>77</v>
      </c>
      <c r="D460" s="372" t="s">
        <v>78</v>
      </c>
      <c r="E460" s="286">
        <v>12</v>
      </c>
      <c r="F460" s="286" t="s">
        <v>17</v>
      </c>
      <c r="G460" s="302"/>
      <c r="H460" s="302">
        <f>G460*E460</f>
        <v>0</v>
      </c>
    </row>
    <row r="461" spans="1:8" s="389" customFormat="1" x14ac:dyDescent="0.45">
      <c r="A461" s="257" t="s">
        <v>5172</v>
      </c>
      <c r="B461" s="286">
        <v>1502000</v>
      </c>
      <c r="C461" s="301" t="s">
        <v>101</v>
      </c>
      <c r="D461" s="372" t="s">
        <v>102</v>
      </c>
      <c r="E461" s="286">
        <v>12</v>
      </c>
      <c r="F461" s="286" t="s">
        <v>17</v>
      </c>
      <c r="G461" s="302"/>
      <c r="H461" s="302">
        <f>G461*E461</f>
        <v>0</v>
      </c>
    </row>
    <row r="462" spans="1:8" s="389" customFormat="1" x14ac:dyDescent="0.45">
      <c r="A462" s="58"/>
      <c r="B462" s="59"/>
      <c r="C462" s="59"/>
      <c r="D462" s="387" t="s">
        <v>5048</v>
      </c>
      <c r="E462" s="59"/>
      <c r="F462" s="59"/>
      <c r="G462" s="61"/>
      <c r="H462" s="388">
        <f>SUM(H460:H461)</f>
        <v>0</v>
      </c>
    </row>
    <row r="463" spans="1:8" s="389" customFormat="1" x14ac:dyDescent="0.45">
      <c r="A463" s="87"/>
      <c r="B463" s="88"/>
      <c r="C463" s="88"/>
      <c r="D463" s="89"/>
      <c r="E463" s="64"/>
      <c r="F463" s="64"/>
      <c r="G463" s="66"/>
      <c r="H463" s="66"/>
    </row>
    <row r="464" spans="1:8" s="293" customFormat="1" x14ac:dyDescent="0.45">
      <c r="A464" s="378" t="s">
        <v>5173</v>
      </c>
      <c r="B464" s="380"/>
      <c r="C464" s="380"/>
      <c r="D464" s="378" t="s">
        <v>5050</v>
      </c>
      <c r="E464" s="381"/>
      <c r="F464" s="381"/>
      <c r="G464" s="381"/>
      <c r="H464" s="381"/>
    </row>
    <row r="465" spans="1:8" s="293" customFormat="1" x14ac:dyDescent="0.4">
      <c r="A465" s="287"/>
      <c r="B465" s="382">
        <v>1502000</v>
      </c>
      <c r="C465" s="383"/>
      <c r="D465" s="384" t="s">
        <v>18</v>
      </c>
      <c r="E465" s="290"/>
      <c r="F465" s="291"/>
      <c r="G465" s="291"/>
      <c r="H465" s="292"/>
    </row>
    <row r="466" spans="1:8" s="293" customFormat="1" x14ac:dyDescent="0.45">
      <c r="A466" s="363"/>
      <c r="B466" s="373"/>
      <c r="C466" s="373">
        <v>3.6</v>
      </c>
      <c r="D466" s="374" t="s">
        <v>75</v>
      </c>
      <c r="E466" s="375"/>
      <c r="F466" s="375"/>
      <c r="G466" s="375"/>
      <c r="H466" s="375"/>
    </row>
    <row r="467" spans="1:8" s="293" customFormat="1" x14ac:dyDescent="0.45">
      <c r="A467" s="257" t="s">
        <v>5174</v>
      </c>
      <c r="B467" s="286">
        <v>1502000</v>
      </c>
      <c r="C467" s="301" t="s">
        <v>77</v>
      </c>
      <c r="D467" s="372" t="s">
        <v>78</v>
      </c>
      <c r="E467" s="286">
        <v>12</v>
      </c>
      <c r="F467" s="286" t="s">
        <v>17</v>
      </c>
      <c r="G467" s="302"/>
      <c r="H467" s="302">
        <f>G467*E467</f>
        <v>0</v>
      </c>
    </row>
    <row r="468" spans="1:8" s="389" customFormat="1" x14ac:dyDescent="0.45">
      <c r="A468" s="58"/>
      <c r="B468" s="59"/>
      <c r="C468" s="59"/>
      <c r="D468" s="387" t="s">
        <v>5051</v>
      </c>
      <c r="E468" s="59"/>
      <c r="F468" s="59"/>
      <c r="G468" s="61"/>
      <c r="H468" s="388">
        <f>SUM(H466:H467)</f>
        <v>0</v>
      </c>
    </row>
    <row r="469" spans="1:8" s="389" customFormat="1" x14ac:dyDescent="0.45">
      <c r="B469" s="105"/>
      <c r="C469" s="105"/>
      <c r="D469" s="140"/>
      <c r="E469" s="105"/>
      <c r="F469" s="105"/>
      <c r="G469" s="141"/>
      <c r="H469" s="141"/>
    </row>
    <row r="470" spans="1:8" ht="7.5" customHeight="1" x14ac:dyDescent="0.45">
      <c r="A470" s="130"/>
      <c r="B470" s="131"/>
      <c r="C470" s="131"/>
      <c r="D470" s="132"/>
      <c r="E470" s="131"/>
      <c r="F470" s="133"/>
      <c r="G470" s="133"/>
      <c r="H470" s="134"/>
    </row>
    <row r="471" spans="1:8" s="139" customFormat="1" ht="15" x14ac:dyDescent="0.45">
      <c r="A471" s="135" t="s">
        <v>5169</v>
      </c>
      <c r="B471" s="136"/>
      <c r="C471" s="136"/>
      <c r="D471" s="137"/>
      <c r="E471" s="137"/>
      <c r="F471" s="137"/>
      <c r="G471" s="137"/>
      <c r="H471" s="138">
        <f>H455+H447+H420+H406+H396+H388+H345+H334+H303+H281+H272+H247+H242+H236+H216+H165+H150+H143+H136+H122+H97+H462+H468</f>
        <v>0</v>
      </c>
    </row>
  </sheetData>
  <mergeCells count="2354">
    <mergeCell ref="A9:H9"/>
    <mergeCell ref="A10:H10"/>
    <mergeCell ref="XER5:XEX5"/>
    <mergeCell ref="XEY5:XFB5"/>
    <mergeCell ref="A6:H6"/>
    <mergeCell ref="I6:N6"/>
    <mergeCell ref="A7:H7"/>
    <mergeCell ref="A8:H8"/>
    <mergeCell ref="XDB5:XDH5"/>
    <mergeCell ref="XDI5:XDO5"/>
    <mergeCell ref="XDP5:XDV5"/>
    <mergeCell ref="XDW5:XEC5"/>
    <mergeCell ref="XED5:XEJ5"/>
    <mergeCell ref="XEK5:XEQ5"/>
    <mergeCell ref="XBL5:XBR5"/>
    <mergeCell ref="XBS5:XBY5"/>
    <mergeCell ref="XBZ5:XCF5"/>
    <mergeCell ref="XCG5:XCM5"/>
    <mergeCell ref="XCN5:XCT5"/>
    <mergeCell ref="XCU5:XDA5"/>
    <mergeCell ref="WZV5:XAB5"/>
    <mergeCell ref="XAC5:XAI5"/>
    <mergeCell ref="XAJ5:XAP5"/>
    <mergeCell ref="XAQ5:XAW5"/>
    <mergeCell ref="XAX5:XBD5"/>
    <mergeCell ref="XBE5:XBK5"/>
    <mergeCell ref="WYF5:WYL5"/>
    <mergeCell ref="WYM5:WYS5"/>
    <mergeCell ref="WYT5:WYZ5"/>
    <mergeCell ref="WZA5:WZG5"/>
    <mergeCell ref="WZH5:WZN5"/>
    <mergeCell ref="WZO5:WZU5"/>
    <mergeCell ref="WWP5:WWV5"/>
    <mergeCell ref="WWW5:WXC5"/>
    <mergeCell ref="WXD5:WXJ5"/>
    <mergeCell ref="WXK5:WXQ5"/>
    <mergeCell ref="WXR5:WXX5"/>
    <mergeCell ref="WXY5:WYE5"/>
    <mergeCell ref="WUZ5:WVF5"/>
    <mergeCell ref="WVG5:WVM5"/>
    <mergeCell ref="WVN5:WVT5"/>
    <mergeCell ref="WVU5:WWA5"/>
    <mergeCell ref="WWB5:WWH5"/>
    <mergeCell ref="WWI5:WWO5"/>
    <mergeCell ref="WTJ5:WTP5"/>
    <mergeCell ref="WTQ5:WTW5"/>
    <mergeCell ref="WTX5:WUD5"/>
    <mergeCell ref="WUE5:WUK5"/>
    <mergeCell ref="WUL5:WUR5"/>
    <mergeCell ref="WUS5:WUY5"/>
    <mergeCell ref="WRT5:WRZ5"/>
    <mergeCell ref="WSA5:WSG5"/>
    <mergeCell ref="WSH5:WSN5"/>
    <mergeCell ref="WSO5:WSU5"/>
    <mergeCell ref="WSV5:WTB5"/>
    <mergeCell ref="WTC5:WTI5"/>
    <mergeCell ref="WQD5:WQJ5"/>
    <mergeCell ref="WQK5:WQQ5"/>
    <mergeCell ref="WQR5:WQX5"/>
    <mergeCell ref="WQY5:WRE5"/>
    <mergeCell ref="WRF5:WRL5"/>
    <mergeCell ref="WRM5:WRS5"/>
    <mergeCell ref="WON5:WOT5"/>
    <mergeCell ref="WOU5:WPA5"/>
    <mergeCell ref="WPB5:WPH5"/>
    <mergeCell ref="WPI5:WPO5"/>
    <mergeCell ref="WPP5:WPV5"/>
    <mergeCell ref="WPW5:WQC5"/>
    <mergeCell ref="WMX5:WND5"/>
    <mergeCell ref="WNE5:WNK5"/>
    <mergeCell ref="WNL5:WNR5"/>
    <mergeCell ref="WNS5:WNY5"/>
    <mergeCell ref="WNZ5:WOF5"/>
    <mergeCell ref="WOG5:WOM5"/>
    <mergeCell ref="WLH5:WLN5"/>
    <mergeCell ref="WLO5:WLU5"/>
    <mergeCell ref="WLV5:WMB5"/>
    <mergeCell ref="WMC5:WMI5"/>
    <mergeCell ref="WMJ5:WMP5"/>
    <mergeCell ref="WMQ5:WMW5"/>
    <mergeCell ref="WJR5:WJX5"/>
    <mergeCell ref="WJY5:WKE5"/>
    <mergeCell ref="WKF5:WKL5"/>
    <mergeCell ref="WKM5:WKS5"/>
    <mergeCell ref="WKT5:WKZ5"/>
    <mergeCell ref="WLA5:WLG5"/>
    <mergeCell ref="WIB5:WIH5"/>
    <mergeCell ref="WII5:WIO5"/>
    <mergeCell ref="WIP5:WIV5"/>
    <mergeCell ref="WIW5:WJC5"/>
    <mergeCell ref="WJD5:WJJ5"/>
    <mergeCell ref="WJK5:WJQ5"/>
    <mergeCell ref="WGL5:WGR5"/>
    <mergeCell ref="WGS5:WGY5"/>
    <mergeCell ref="WGZ5:WHF5"/>
    <mergeCell ref="WHG5:WHM5"/>
    <mergeCell ref="WHN5:WHT5"/>
    <mergeCell ref="WHU5:WIA5"/>
    <mergeCell ref="WEV5:WFB5"/>
    <mergeCell ref="WFC5:WFI5"/>
    <mergeCell ref="WFJ5:WFP5"/>
    <mergeCell ref="WFQ5:WFW5"/>
    <mergeCell ref="WFX5:WGD5"/>
    <mergeCell ref="WGE5:WGK5"/>
    <mergeCell ref="WDF5:WDL5"/>
    <mergeCell ref="WDM5:WDS5"/>
    <mergeCell ref="WDT5:WDZ5"/>
    <mergeCell ref="WEA5:WEG5"/>
    <mergeCell ref="WEH5:WEN5"/>
    <mergeCell ref="WEO5:WEU5"/>
    <mergeCell ref="WBP5:WBV5"/>
    <mergeCell ref="WBW5:WCC5"/>
    <mergeCell ref="WCD5:WCJ5"/>
    <mergeCell ref="WCK5:WCQ5"/>
    <mergeCell ref="WCR5:WCX5"/>
    <mergeCell ref="WCY5:WDE5"/>
    <mergeCell ref="VZZ5:WAF5"/>
    <mergeCell ref="WAG5:WAM5"/>
    <mergeCell ref="WAN5:WAT5"/>
    <mergeCell ref="WAU5:WBA5"/>
    <mergeCell ref="WBB5:WBH5"/>
    <mergeCell ref="WBI5:WBO5"/>
    <mergeCell ref="VYJ5:VYP5"/>
    <mergeCell ref="VYQ5:VYW5"/>
    <mergeCell ref="VYX5:VZD5"/>
    <mergeCell ref="VZE5:VZK5"/>
    <mergeCell ref="VZL5:VZR5"/>
    <mergeCell ref="VZS5:VZY5"/>
    <mergeCell ref="VWT5:VWZ5"/>
    <mergeCell ref="VXA5:VXG5"/>
    <mergeCell ref="VXH5:VXN5"/>
    <mergeCell ref="VXO5:VXU5"/>
    <mergeCell ref="VXV5:VYB5"/>
    <mergeCell ref="VYC5:VYI5"/>
    <mergeCell ref="VVD5:VVJ5"/>
    <mergeCell ref="VVK5:VVQ5"/>
    <mergeCell ref="VVR5:VVX5"/>
    <mergeCell ref="VVY5:VWE5"/>
    <mergeCell ref="VWF5:VWL5"/>
    <mergeCell ref="VWM5:VWS5"/>
    <mergeCell ref="VTN5:VTT5"/>
    <mergeCell ref="VTU5:VUA5"/>
    <mergeCell ref="VUB5:VUH5"/>
    <mergeCell ref="VUI5:VUO5"/>
    <mergeCell ref="VUP5:VUV5"/>
    <mergeCell ref="VUW5:VVC5"/>
    <mergeCell ref="VRX5:VSD5"/>
    <mergeCell ref="VSE5:VSK5"/>
    <mergeCell ref="VSL5:VSR5"/>
    <mergeCell ref="VSS5:VSY5"/>
    <mergeCell ref="VSZ5:VTF5"/>
    <mergeCell ref="VTG5:VTM5"/>
    <mergeCell ref="VQH5:VQN5"/>
    <mergeCell ref="VQO5:VQU5"/>
    <mergeCell ref="VQV5:VRB5"/>
    <mergeCell ref="VRC5:VRI5"/>
    <mergeCell ref="VRJ5:VRP5"/>
    <mergeCell ref="VRQ5:VRW5"/>
    <mergeCell ref="VOR5:VOX5"/>
    <mergeCell ref="VOY5:VPE5"/>
    <mergeCell ref="VPF5:VPL5"/>
    <mergeCell ref="VPM5:VPS5"/>
    <mergeCell ref="VPT5:VPZ5"/>
    <mergeCell ref="VQA5:VQG5"/>
    <mergeCell ref="VNB5:VNH5"/>
    <mergeCell ref="VNI5:VNO5"/>
    <mergeCell ref="VNP5:VNV5"/>
    <mergeCell ref="VNW5:VOC5"/>
    <mergeCell ref="VOD5:VOJ5"/>
    <mergeCell ref="VOK5:VOQ5"/>
    <mergeCell ref="VLL5:VLR5"/>
    <mergeCell ref="VLS5:VLY5"/>
    <mergeCell ref="VLZ5:VMF5"/>
    <mergeCell ref="VMG5:VMM5"/>
    <mergeCell ref="VMN5:VMT5"/>
    <mergeCell ref="VMU5:VNA5"/>
    <mergeCell ref="VJV5:VKB5"/>
    <mergeCell ref="VKC5:VKI5"/>
    <mergeCell ref="VKJ5:VKP5"/>
    <mergeCell ref="VKQ5:VKW5"/>
    <mergeCell ref="VKX5:VLD5"/>
    <mergeCell ref="VLE5:VLK5"/>
    <mergeCell ref="VIF5:VIL5"/>
    <mergeCell ref="VIM5:VIS5"/>
    <mergeCell ref="VIT5:VIZ5"/>
    <mergeCell ref="VJA5:VJG5"/>
    <mergeCell ref="VJH5:VJN5"/>
    <mergeCell ref="VJO5:VJU5"/>
    <mergeCell ref="VGP5:VGV5"/>
    <mergeCell ref="VGW5:VHC5"/>
    <mergeCell ref="VHD5:VHJ5"/>
    <mergeCell ref="VHK5:VHQ5"/>
    <mergeCell ref="VHR5:VHX5"/>
    <mergeCell ref="VHY5:VIE5"/>
    <mergeCell ref="VEZ5:VFF5"/>
    <mergeCell ref="VFG5:VFM5"/>
    <mergeCell ref="VFN5:VFT5"/>
    <mergeCell ref="VFU5:VGA5"/>
    <mergeCell ref="VGB5:VGH5"/>
    <mergeCell ref="VGI5:VGO5"/>
    <mergeCell ref="VDJ5:VDP5"/>
    <mergeCell ref="VDQ5:VDW5"/>
    <mergeCell ref="VDX5:VED5"/>
    <mergeCell ref="VEE5:VEK5"/>
    <mergeCell ref="VEL5:VER5"/>
    <mergeCell ref="VES5:VEY5"/>
    <mergeCell ref="VBT5:VBZ5"/>
    <mergeCell ref="VCA5:VCG5"/>
    <mergeCell ref="VCH5:VCN5"/>
    <mergeCell ref="VCO5:VCU5"/>
    <mergeCell ref="VCV5:VDB5"/>
    <mergeCell ref="VDC5:VDI5"/>
    <mergeCell ref="VAD5:VAJ5"/>
    <mergeCell ref="VAK5:VAQ5"/>
    <mergeCell ref="VAR5:VAX5"/>
    <mergeCell ref="VAY5:VBE5"/>
    <mergeCell ref="VBF5:VBL5"/>
    <mergeCell ref="VBM5:VBS5"/>
    <mergeCell ref="UYN5:UYT5"/>
    <mergeCell ref="UYU5:UZA5"/>
    <mergeCell ref="UZB5:UZH5"/>
    <mergeCell ref="UZI5:UZO5"/>
    <mergeCell ref="UZP5:UZV5"/>
    <mergeCell ref="UZW5:VAC5"/>
    <mergeCell ref="UWX5:UXD5"/>
    <mergeCell ref="UXE5:UXK5"/>
    <mergeCell ref="UXL5:UXR5"/>
    <mergeCell ref="UXS5:UXY5"/>
    <mergeCell ref="UXZ5:UYF5"/>
    <mergeCell ref="UYG5:UYM5"/>
    <mergeCell ref="UVH5:UVN5"/>
    <mergeCell ref="UVO5:UVU5"/>
    <mergeCell ref="UVV5:UWB5"/>
    <mergeCell ref="UWC5:UWI5"/>
    <mergeCell ref="UWJ5:UWP5"/>
    <mergeCell ref="UWQ5:UWW5"/>
    <mergeCell ref="UTR5:UTX5"/>
    <mergeCell ref="UTY5:UUE5"/>
    <mergeCell ref="UUF5:UUL5"/>
    <mergeCell ref="UUM5:UUS5"/>
    <mergeCell ref="UUT5:UUZ5"/>
    <mergeCell ref="UVA5:UVG5"/>
    <mergeCell ref="USB5:USH5"/>
    <mergeCell ref="USI5:USO5"/>
    <mergeCell ref="USP5:USV5"/>
    <mergeCell ref="USW5:UTC5"/>
    <mergeCell ref="UTD5:UTJ5"/>
    <mergeCell ref="UTK5:UTQ5"/>
    <mergeCell ref="UQL5:UQR5"/>
    <mergeCell ref="UQS5:UQY5"/>
    <mergeCell ref="UQZ5:URF5"/>
    <mergeCell ref="URG5:URM5"/>
    <mergeCell ref="URN5:URT5"/>
    <mergeCell ref="URU5:USA5"/>
    <mergeCell ref="UOV5:UPB5"/>
    <mergeCell ref="UPC5:UPI5"/>
    <mergeCell ref="UPJ5:UPP5"/>
    <mergeCell ref="UPQ5:UPW5"/>
    <mergeCell ref="UPX5:UQD5"/>
    <mergeCell ref="UQE5:UQK5"/>
    <mergeCell ref="UNF5:UNL5"/>
    <mergeCell ref="UNM5:UNS5"/>
    <mergeCell ref="UNT5:UNZ5"/>
    <mergeCell ref="UOA5:UOG5"/>
    <mergeCell ref="UOH5:UON5"/>
    <mergeCell ref="UOO5:UOU5"/>
    <mergeCell ref="ULP5:ULV5"/>
    <mergeCell ref="ULW5:UMC5"/>
    <mergeCell ref="UMD5:UMJ5"/>
    <mergeCell ref="UMK5:UMQ5"/>
    <mergeCell ref="UMR5:UMX5"/>
    <mergeCell ref="UMY5:UNE5"/>
    <mergeCell ref="UJZ5:UKF5"/>
    <mergeCell ref="UKG5:UKM5"/>
    <mergeCell ref="UKN5:UKT5"/>
    <mergeCell ref="UKU5:ULA5"/>
    <mergeCell ref="ULB5:ULH5"/>
    <mergeCell ref="ULI5:ULO5"/>
    <mergeCell ref="UIJ5:UIP5"/>
    <mergeCell ref="UIQ5:UIW5"/>
    <mergeCell ref="UIX5:UJD5"/>
    <mergeCell ref="UJE5:UJK5"/>
    <mergeCell ref="UJL5:UJR5"/>
    <mergeCell ref="UJS5:UJY5"/>
    <mergeCell ref="UGT5:UGZ5"/>
    <mergeCell ref="UHA5:UHG5"/>
    <mergeCell ref="UHH5:UHN5"/>
    <mergeCell ref="UHO5:UHU5"/>
    <mergeCell ref="UHV5:UIB5"/>
    <mergeCell ref="UIC5:UII5"/>
    <mergeCell ref="UFD5:UFJ5"/>
    <mergeCell ref="UFK5:UFQ5"/>
    <mergeCell ref="UFR5:UFX5"/>
    <mergeCell ref="UFY5:UGE5"/>
    <mergeCell ref="UGF5:UGL5"/>
    <mergeCell ref="UGM5:UGS5"/>
    <mergeCell ref="UDN5:UDT5"/>
    <mergeCell ref="UDU5:UEA5"/>
    <mergeCell ref="UEB5:UEH5"/>
    <mergeCell ref="UEI5:UEO5"/>
    <mergeCell ref="UEP5:UEV5"/>
    <mergeCell ref="UEW5:UFC5"/>
    <mergeCell ref="UBX5:UCD5"/>
    <mergeCell ref="UCE5:UCK5"/>
    <mergeCell ref="UCL5:UCR5"/>
    <mergeCell ref="UCS5:UCY5"/>
    <mergeCell ref="UCZ5:UDF5"/>
    <mergeCell ref="UDG5:UDM5"/>
    <mergeCell ref="UAH5:UAN5"/>
    <mergeCell ref="UAO5:UAU5"/>
    <mergeCell ref="UAV5:UBB5"/>
    <mergeCell ref="UBC5:UBI5"/>
    <mergeCell ref="UBJ5:UBP5"/>
    <mergeCell ref="UBQ5:UBW5"/>
    <mergeCell ref="TYR5:TYX5"/>
    <mergeCell ref="TYY5:TZE5"/>
    <mergeCell ref="TZF5:TZL5"/>
    <mergeCell ref="TZM5:TZS5"/>
    <mergeCell ref="TZT5:TZZ5"/>
    <mergeCell ref="UAA5:UAG5"/>
    <mergeCell ref="TXB5:TXH5"/>
    <mergeCell ref="TXI5:TXO5"/>
    <mergeCell ref="TXP5:TXV5"/>
    <mergeCell ref="TXW5:TYC5"/>
    <mergeCell ref="TYD5:TYJ5"/>
    <mergeCell ref="TYK5:TYQ5"/>
    <mergeCell ref="TVL5:TVR5"/>
    <mergeCell ref="TVS5:TVY5"/>
    <mergeCell ref="TVZ5:TWF5"/>
    <mergeCell ref="TWG5:TWM5"/>
    <mergeCell ref="TWN5:TWT5"/>
    <mergeCell ref="TWU5:TXA5"/>
    <mergeCell ref="TTV5:TUB5"/>
    <mergeCell ref="TUC5:TUI5"/>
    <mergeCell ref="TUJ5:TUP5"/>
    <mergeCell ref="TUQ5:TUW5"/>
    <mergeCell ref="TUX5:TVD5"/>
    <mergeCell ref="TVE5:TVK5"/>
    <mergeCell ref="TSF5:TSL5"/>
    <mergeCell ref="TSM5:TSS5"/>
    <mergeCell ref="TST5:TSZ5"/>
    <mergeCell ref="TTA5:TTG5"/>
    <mergeCell ref="TTH5:TTN5"/>
    <mergeCell ref="TTO5:TTU5"/>
    <mergeCell ref="TQP5:TQV5"/>
    <mergeCell ref="TQW5:TRC5"/>
    <mergeCell ref="TRD5:TRJ5"/>
    <mergeCell ref="TRK5:TRQ5"/>
    <mergeCell ref="TRR5:TRX5"/>
    <mergeCell ref="TRY5:TSE5"/>
    <mergeCell ref="TOZ5:TPF5"/>
    <mergeCell ref="TPG5:TPM5"/>
    <mergeCell ref="TPN5:TPT5"/>
    <mergeCell ref="TPU5:TQA5"/>
    <mergeCell ref="TQB5:TQH5"/>
    <mergeCell ref="TQI5:TQO5"/>
    <mergeCell ref="TNJ5:TNP5"/>
    <mergeCell ref="TNQ5:TNW5"/>
    <mergeCell ref="TNX5:TOD5"/>
    <mergeCell ref="TOE5:TOK5"/>
    <mergeCell ref="TOL5:TOR5"/>
    <mergeCell ref="TOS5:TOY5"/>
    <mergeCell ref="TLT5:TLZ5"/>
    <mergeCell ref="TMA5:TMG5"/>
    <mergeCell ref="TMH5:TMN5"/>
    <mergeCell ref="TMO5:TMU5"/>
    <mergeCell ref="TMV5:TNB5"/>
    <mergeCell ref="TNC5:TNI5"/>
    <mergeCell ref="TKD5:TKJ5"/>
    <mergeCell ref="TKK5:TKQ5"/>
    <mergeCell ref="TKR5:TKX5"/>
    <mergeCell ref="TKY5:TLE5"/>
    <mergeCell ref="TLF5:TLL5"/>
    <mergeCell ref="TLM5:TLS5"/>
    <mergeCell ref="TIN5:TIT5"/>
    <mergeCell ref="TIU5:TJA5"/>
    <mergeCell ref="TJB5:TJH5"/>
    <mergeCell ref="TJI5:TJO5"/>
    <mergeCell ref="TJP5:TJV5"/>
    <mergeCell ref="TJW5:TKC5"/>
    <mergeCell ref="TGX5:THD5"/>
    <mergeCell ref="THE5:THK5"/>
    <mergeCell ref="THL5:THR5"/>
    <mergeCell ref="THS5:THY5"/>
    <mergeCell ref="THZ5:TIF5"/>
    <mergeCell ref="TIG5:TIM5"/>
    <mergeCell ref="TFH5:TFN5"/>
    <mergeCell ref="TFO5:TFU5"/>
    <mergeCell ref="TFV5:TGB5"/>
    <mergeCell ref="TGC5:TGI5"/>
    <mergeCell ref="TGJ5:TGP5"/>
    <mergeCell ref="TGQ5:TGW5"/>
    <mergeCell ref="TDR5:TDX5"/>
    <mergeCell ref="TDY5:TEE5"/>
    <mergeCell ref="TEF5:TEL5"/>
    <mergeCell ref="TEM5:TES5"/>
    <mergeCell ref="TET5:TEZ5"/>
    <mergeCell ref="TFA5:TFG5"/>
    <mergeCell ref="TCB5:TCH5"/>
    <mergeCell ref="TCI5:TCO5"/>
    <mergeCell ref="TCP5:TCV5"/>
    <mergeCell ref="TCW5:TDC5"/>
    <mergeCell ref="TDD5:TDJ5"/>
    <mergeCell ref="TDK5:TDQ5"/>
    <mergeCell ref="TAL5:TAR5"/>
    <mergeCell ref="TAS5:TAY5"/>
    <mergeCell ref="TAZ5:TBF5"/>
    <mergeCell ref="TBG5:TBM5"/>
    <mergeCell ref="TBN5:TBT5"/>
    <mergeCell ref="TBU5:TCA5"/>
    <mergeCell ref="SYV5:SZB5"/>
    <mergeCell ref="SZC5:SZI5"/>
    <mergeCell ref="SZJ5:SZP5"/>
    <mergeCell ref="SZQ5:SZW5"/>
    <mergeCell ref="SZX5:TAD5"/>
    <mergeCell ref="TAE5:TAK5"/>
    <mergeCell ref="SXF5:SXL5"/>
    <mergeCell ref="SXM5:SXS5"/>
    <mergeCell ref="SXT5:SXZ5"/>
    <mergeCell ref="SYA5:SYG5"/>
    <mergeCell ref="SYH5:SYN5"/>
    <mergeCell ref="SYO5:SYU5"/>
    <mergeCell ref="SVP5:SVV5"/>
    <mergeCell ref="SVW5:SWC5"/>
    <mergeCell ref="SWD5:SWJ5"/>
    <mergeCell ref="SWK5:SWQ5"/>
    <mergeCell ref="SWR5:SWX5"/>
    <mergeCell ref="SWY5:SXE5"/>
    <mergeCell ref="STZ5:SUF5"/>
    <mergeCell ref="SUG5:SUM5"/>
    <mergeCell ref="SUN5:SUT5"/>
    <mergeCell ref="SUU5:SVA5"/>
    <mergeCell ref="SVB5:SVH5"/>
    <mergeCell ref="SVI5:SVO5"/>
    <mergeCell ref="SSJ5:SSP5"/>
    <mergeCell ref="SSQ5:SSW5"/>
    <mergeCell ref="SSX5:STD5"/>
    <mergeCell ref="STE5:STK5"/>
    <mergeCell ref="STL5:STR5"/>
    <mergeCell ref="STS5:STY5"/>
    <mergeCell ref="SQT5:SQZ5"/>
    <mergeCell ref="SRA5:SRG5"/>
    <mergeCell ref="SRH5:SRN5"/>
    <mergeCell ref="SRO5:SRU5"/>
    <mergeCell ref="SRV5:SSB5"/>
    <mergeCell ref="SSC5:SSI5"/>
    <mergeCell ref="SPD5:SPJ5"/>
    <mergeCell ref="SPK5:SPQ5"/>
    <mergeCell ref="SPR5:SPX5"/>
    <mergeCell ref="SPY5:SQE5"/>
    <mergeCell ref="SQF5:SQL5"/>
    <mergeCell ref="SQM5:SQS5"/>
    <mergeCell ref="SNN5:SNT5"/>
    <mergeCell ref="SNU5:SOA5"/>
    <mergeCell ref="SOB5:SOH5"/>
    <mergeCell ref="SOI5:SOO5"/>
    <mergeCell ref="SOP5:SOV5"/>
    <mergeCell ref="SOW5:SPC5"/>
    <mergeCell ref="SLX5:SMD5"/>
    <mergeCell ref="SME5:SMK5"/>
    <mergeCell ref="SML5:SMR5"/>
    <mergeCell ref="SMS5:SMY5"/>
    <mergeCell ref="SMZ5:SNF5"/>
    <mergeCell ref="SNG5:SNM5"/>
    <mergeCell ref="SKH5:SKN5"/>
    <mergeCell ref="SKO5:SKU5"/>
    <mergeCell ref="SKV5:SLB5"/>
    <mergeCell ref="SLC5:SLI5"/>
    <mergeCell ref="SLJ5:SLP5"/>
    <mergeCell ref="SLQ5:SLW5"/>
    <mergeCell ref="SIR5:SIX5"/>
    <mergeCell ref="SIY5:SJE5"/>
    <mergeCell ref="SJF5:SJL5"/>
    <mergeCell ref="SJM5:SJS5"/>
    <mergeCell ref="SJT5:SJZ5"/>
    <mergeCell ref="SKA5:SKG5"/>
    <mergeCell ref="SHB5:SHH5"/>
    <mergeCell ref="SHI5:SHO5"/>
    <mergeCell ref="SHP5:SHV5"/>
    <mergeCell ref="SHW5:SIC5"/>
    <mergeCell ref="SID5:SIJ5"/>
    <mergeCell ref="SIK5:SIQ5"/>
    <mergeCell ref="SFL5:SFR5"/>
    <mergeCell ref="SFS5:SFY5"/>
    <mergeCell ref="SFZ5:SGF5"/>
    <mergeCell ref="SGG5:SGM5"/>
    <mergeCell ref="SGN5:SGT5"/>
    <mergeCell ref="SGU5:SHA5"/>
    <mergeCell ref="SDV5:SEB5"/>
    <mergeCell ref="SEC5:SEI5"/>
    <mergeCell ref="SEJ5:SEP5"/>
    <mergeCell ref="SEQ5:SEW5"/>
    <mergeCell ref="SEX5:SFD5"/>
    <mergeCell ref="SFE5:SFK5"/>
    <mergeCell ref="SCF5:SCL5"/>
    <mergeCell ref="SCM5:SCS5"/>
    <mergeCell ref="SCT5:SCZ5"/>
    <mergeCell ref="SDA5:SDG5"/>
    <mergeCell ref="SDH5:SDN5"/>
    <mergeCell ref="SDO5:SDU5"/>
    <mergeCell ref="SAP5:SAV5"/>
    <mergeCell ref="SAW5:SBC5"/>
    <mergeCell ref="SBD5:SBJ5"/>
    <mergeCell ref="SBK5:SBQ5"/>
    <mergeCell ref="SBR5:SBX5"/>
    <mergeCell ref="SBY5:SCE5"/>
    <mergeCell ref="RYZ5:RZF5"/>
    <mergeCell ref="RZG5:RZM5"/>
    <mergeCell ref="RZN5:RZT5"/>
    <mergeCell ref="RZU5:SAA5"/>
    <mergeCell ref="SAB5:SAH5"/>
    <mergeCell ref="SAI5:SAO5"/>
    <mergeCell ref="RXJ5:RXP5"/>
    <mergeCell ref="RXQ5:RXW5"/>
    <mergeCell ref="RXX5:RYD5"/>
    <mergeCell ref="RYE5:RYK5"/>
    <mergeCell ref="RYL5:RYR5"/>
    <mergeCell ref="RYS5:RYY5"/>
    <mergeCell ref="RVT5:RVZ5"/>
    <mergeCell ref="RWA5:RWG5"/>
    <mergeCell ref="RWH5:RWN5"/>
    <mergeCell ref="RWO5:RWU5"/>
    <mergeCell ref="RWV5:RXB5"/>
    <mergeCell ref="RXC5:RXI5"/>
    <mergeCell ref="RUD5:RUJ5"/>
    <mergeCell ref="RUK5:RUQ5"/>
    <mergeCell ref="RUR5:RUX5"/>
    <mergeCell ref="RUY5:RVE5"/>
    <mergeCell ref="RVF5:RVL5"/>
    <mergeCell ref="RVM5:RVS5"/>
    <mergeCell ref="RSN5:RST5"/>
    <mergeCell ref="RSU5:RTA5"/>
    <mergeCell ref="RTB5:RTH5"/>
    <mergeCell ref="RTI5:RTO5"/>
    <mergeCell ref="RTP5:RTV5"/>
    <mergeCell ref="RTW5:RUC5"/>
    <mergeCell ref="RQX5:RRD5"/>
    <mergeCell ref="RRE5:RRK5"/>
    <mergeCell ref="RRL5:RRR5"/>
    <mergeCell ref="RRS5:RRY5"/>
    <mergeCell ref="RRZ5:RSF5"/>
    <mergeCell ref="RSG5:RSM5"/>
    <mergeCell ref="RPH5:RPN5"/>
    <mergeCell ref="RPO5:RPU5"/>
    <mergeCell ref="RPV5:RQB5"/>
    <mergeCell ref="RQC5:RQI5"/>
    <mergeCell ref="RQJ5:RQP5"/>
    <mergeCell ref="RQQ5:RQW5"/>
    <mergeCell ref="RNR5:RNX5"/>
    <mergeCell ref="RNY5:ROE5"/>
    <mergeCell ref="ROF5:ROL5"/>
    <mergeCell ref="ROM5:ROS5"/>
    <mergeCell ref="ROT5:ROZ5"/>
    <mergeCell ref="RPA5:RPG5"/>
    <mergeCell ref="RMB5:RMH5"/>
    <mergeCell ref="RMI5:RMO5"/>
    <mergeCell ref="RMP5:RMV5"/>
    <mergeCell ref="RMW5:RNC5"/>
    <mergeCell ref="RND5:RNJ5"/>
    <mergeCell ref="RNK5:RNQ5"/>
    <mergeCell ref="RKL5:RKR5"/>
    <mergeCell ref="RKS5:RKY5"/>
    <mergeCell ref="RKZ5:RLF5"/>
    <mergeCell ref="RLG5:RLM5"/>
    <mergeCell ref="RLN5:RLT5"/>
    <mergeCell ref="RLU5:RMA5"/>
    <mergeCell ref="RIV5:RJB5"/>
    <mergeCell ref="RJC5:RJI5"/>
    <mergeCell ref="RJJ5:RJP5"/>
    <mergeCell ref="RJQ5:RJW5"/>
    <mergeCell ref="RJX5:RKD5"/>
    <mergeCell ref="RKE5:RKK5"/>
    <mergeCell ref="RHF5:RHL5"/>
    <mergeCell ref="RHM5:RHS5"/>
    <mergeCell ref="RHT5:RHZ5"/>
    <mergeCell ref="RIA5:RIG5"/>
    <mergeCell ref="RIH5:RIN5"/>
    <mergeCell ref="RIO5:RIU5"/>
    <mergeCell ref="RFP5:RFV5"/>
    <mergeCell ref="RFW5:RGC5"/>
    <mergeCell ref="RGD5:RGJ5"/>
    <mergeCell ref="RGK5:RGQ5"/>
    <mergeCell ref="RGR5:RGX5"/>
    <mergeCell ref="RGY5:RHE5"/>
    <mergeCell ref="RDZ5:REF5"/>
    <mergeCell ref="REG5:REM5"/>
    <mergeCell ref="REN5:RET5"/>
    <mergeCell ref="REU5:RFA5"/>
    <mergeCell ref="RFB5:RFH5"/>
    <mergeCell ref="RFI5:RFO5"/>
    <mergeCell ref="RCJ5:RCP5"/>
    <mergeCell ref="RCQ5:RCW5"/>
    <mergeCell ref="RCX5:RDD5"/>
    <mergeCell ref="RDE5:RDK5"/>
    <mergeCell ref="RDL5:RDR5"/>
    <mergeCell ref="RDS5:RDY5"/>
    <mergeCell ref="RAT5:RAZ5"/>
    <mergeCell ref="RBA5:RBG5"/>
    <mergeCell ref="RBH5:RBN5"/>
    <mergeCell ref="RBO5:RBU5"/>
    <mergeCell ref="RBV5:RCB5"/>
    <mergeCell ref="RCC5:RCI5"/>
    <mergeCell ref="QZD5:QZJ5"/>
    <mergeCell ref="QZK5:QZQ5"/>
    <mergeCell ref="QZR5:QZX5"/>
    <mergeCell ref="QZY5:RAE5"/>
    <mergeCell ref="RAF5:RAL5"/>
    <mergeCell ref="RAM5:RAS5"/>
    <mergeCell ref="QXN5:QXT5"/>
    <mergeCell ref="QXU5:QYA5"/>
    <mergeCell ref="QYB5:QYH5"/>
    <mergeCell ref="QYI5:QYO5"/>
    <mergeCell ref="QYP5:QYV5"/>
    <mergeCell ref="QYW5:QZC5"/>
    <mergeCell ref="QVX5:QWD5"/>
    <mergeCell ref="QWE5:QWK5"/>
    <mergeCell ref="QWL5:QWR5"/>
    <mergeCell ref="QWS5:QWY5"/>
    <mergeCell ref="QWZ5:QXF5"/>
    <mergeCell ref="QXG5:QXM5"/>
    <mergeCell ref="QUH5:QUN5"/>
    <mergeCell ref="QUO5:QUU5"/>
    <mergeCell ref="QUV5:QVB5"/>
    <mergeCell ref="QVC5:QVI5"/>
    <mergeCell ref="QVJ5:QVP5"/>
    <mergeCell ref="QVQ5:QVW5"/>
    <mergeCell ref="QSR5:QSX5"/>
    <mergeCell ref="QSY5:QTE5"/>
    <mergeCell ref="QTF5:QTL5"/>
    <mergeCell ref="QTM5:QTS5"/>
    <mergeCell ref="QTT5:QTZ5"/>
    <mergeCell ref="QUA5:QUG5"/>
    <mergeCell ref="QRB5:QRH5"/>
    <mergeCell ref="QRI5:QRO5"/>
    <mergeCell ref="QRP5:QRV5"/>
    <mergeCell ref="QRW5:QSC5"/>
    <mergeCell ref="QSD5:QSJ5"/>
    <mergeCell ref="QSK5:QSQ5"/>
    <mergeCell ref="QPL5:QPR5"/>
    <mergeCell ref="QPS5:QPY5"/>
    <mergeCell ref="QPZ5:QQF5"/>
    <mergeCell ref="QQG5:QQM5"/>
    <mergeCell ref="QQN5:QQT5"/>
    <mergeCell ref="QQU5:QRA5"/>
    <mergeCell ref="QNV5:QOB5"/>
    <mergeCell ref="QOC5:QOI5"/>
    <mergeCell ref="QOJ5:QOP5"/>
    <mergeCell ref="QOQ5:QOW5"/>
    <mergeCell ref="QOX5:QPD5"/>
    <mergeCell ref="QPE5:QPK5"/>
    <mergeCell ref="QMF5:QML5"/>
    <mergeCell ref="QMM5:QMS5"/>
    <mergeCell ref="QMT5:QMZ5"/>
    <mergeCell ref="QNA5:QNG5"/>
    <mergeCell ref="QNH5:QNN5"/>
    <mergeCell ref="QNO5:QNU5"/>
    <mergeCell ref="QKP5:QKV5"/>
    <mergeCell ref="QKW5:QLC5"/>
    <mergeCell ref="QLD5:QLJ5"/>
    <mergeCell ref="QLK5:QLQ5"/>
    <mergeCell ref="QLR5:QLX5"/>
    <mergeCell ref="QLY5:QME5"/>
    <mergeCell ref="QIZ5:QJF5"/>
    <mergeCell ref="QJG5:QJM5"/>
    <mergeCell ref="QJN5:QJT5"/>
    <mergeCell ref="QJU5:QKA5"/>
    <mergeCell ref="QKB5:QKH5"/>
    <mergeCell ref="QKI5:QKO5"/>
    <mergeCell ref="QHJ5:QHP5"/>
    <mergeCell ref="QHQ5:QHW5"/>
    <mergeCell ref="QHX5:QID5"/>
    <mergeCell ref="QIE5:QIK5"/>
    <mergeCell ref="QIL5:QIR5"/>
    <mergeCell ref="QIS5:QIY5"/>
    <mergeCell ref="QFT5:QFZ5"/>
    <mergeCell ref="QGA5:QGG5"/>
    <mergeCell ref="QGH5:QGN5"/>
    <mergeCell ref="QGO5:QGU5"/>
    <mergeCell ref="QGV5:QHB5"/>
    <mergeCell ref="QHC5:QHI5"/>
    <mergeCell ref="QED5:QEJ5"/>
    <mergeCell ref="QEK5:QEQ5"/>
    <mergeCell ref="QER5:QEX5"/>
    <mergeCell ref="QEY5:QFE5"/>
    <mergeCell ref="QFF5:QFL5"/>
    <mergeCell ref="QFM5:QFS5"/>
    <mergeCell ref="QCN5:QCT5"/>
    <mergeCell ref="QCU5:QDA5"/>
    <mergeCell ref="QDB5:QDH5"/>
    <mergeCell ref="QDI5:QDO5"/>
    <mergeCell ref="QDP5:QDV5"/>
    <mergeCell ref="QDW5:QEC5"/>
    <mergeCell ref="QAX5:QBD5"/>
    <mergeCell ref="QBE5:QBK5"/>
    <mergeCell ref="QBL5:QBR5"/>
    <mergeCell ref="QBS5:QBY5"/>
    <mergeCell ref="QBZ5:QCF5"/>
    <mergeCell ref="QCG5:QCM5"/>
    <mergeCell ref="PZH5:PZN5"/>
    <mergeCell ref="PZO5:PZU5"/>
    <mergeCell ref="PZV5:QAB5"/>
    <mergeCell ref="QAC5:QAI5"/>
    <mergeCell ref="QAJ5:QAP5"/>
    <mergeCell ref="QAQ5:QAW5"/>
    <mergeCell ref="PXR5:PXX5"/>
    <mergeCell ref="PXY5:PYE5"/>
    <mergeCell ref="PYF5:PYL5"/>
    <mergeCell ref="PYM5:PYS5"/>
    <mergeCell ref="PYT5:PYZ5"/>
    <mergeCell ref="PZA5:PZG5"/>
    <mergeCell ref="PWB5:PWH5"/>
    <mergeCell ref="PWI5:PWO5"/>
    <mergeCell ref="PWP5:PWV5"/>
    <mergeCell ref="PWW5:PXC5"/>
    <mergeCell ref="PXD5:PXJ5"/>
    <mergeCell ref="PXK5:PXQ5"/>
    <mergeCell ref="PUL5:PUR5"/>
    <mergeCell ref="PUS5:PUY5"/>
    <mergeCell ref="PUZ5:PVF5"/>
    <mergeCell ref="PVG5:PVM5"/>
    <mergeCell ref="PVN5:PVT5"/>
    <mergeCell ref="PVU5:PWA5"/>
    <mergeCell ref="PSV5:PTB5"/>
    <mergeCell ref="PTC5:PTI5"/>
    <mergeCell ref="PTJ5:PTP5"/>
    <mergeCell ref="PTQ5:PTW5"/>
    <mergeCell ref="PTX5:PUD5"/>
    <mergeCell ref="PUE5:PUK5"/>
    <mergeCell ref="PRF5:PRL5"/>
    <mergeCell ref="PRM5:PRS5"/>
    <mergeCell ref="PRT5:PRZ5"/>
    <mergeCell ref="PSA5:PSG5"/>
    <mergeCell ref="PSH5:PSN5"/>
    <mergeCell ref="PSO5:PSU5"/>
    <mergeCell ref="PPP5:PPV5"/>
    <mergeCell ref="PPW5:PQC5"/>
    <mergeCell ref="PQD5:PQJ5"/>
    <mergeCell ref="PQK5:PQQ5"/>
    <mergeCell ref="PQR5:PQX5"/>
    <mergeCell ref="PQY5:PRE5"/>
    <mergeCell ref="PNZ5:POF5"/>
    <mergeCell ref="POG5:POM5"/>
    <mergeCell ref="PON5:POT5"/>
    <mergeCell ref="POU5:PPA5"/>
    <mergeCell ref="PPB5:PPH5"/>
    <mergeCell ref="PPI5:PPO5"/>
    <mergeCell ref="PMJ5:PMP5"/>
    <mergeCell ref="PMQ5:PMW5"/>
    <mergeCell ref="PMX5:PND5"/>
    <mergeCell ref="PNE5:PNK5"/>
    <mergeCell ref="PNL5:PNR5"/>
    <mergeCell ref="PNS5:PNY5"/>
    <mergeCell ref="PKT5:PKZ5"/>
    <mergeCell ref="PLA5:PLG5"/>
    <mergeCell ref="PLH5:PLN5"/>
    <mergeCell ref="PLO5:PLU5"/>
    <mergeCell ref="PLV5:PMB5"/>
    <mergeCell ref="PMC5:PMI5"/>
    <mergeCell ref="PJD5:PJJ5"/>
    <mergeCell ref="PJK5:PJQ5"/>
    <mergeCell ref="PJR5:PJX5"/>
    <mergeCell ref="PJY5:PKE5"/>
    <mergeCell ref="PKF5:PKL5"/>
    <mergeCell ref="PKM5:PKS5"/>
    <mergeCell ref="PHN5:PHT5"/>
    <mergeCell ref="PHU5:PIA5"/>
    <mergeCell ref="PIB5:PIH5"/>
    <mergeCell ref="PII5:PIO5"/>
    <mergeCell ref="PIP5:PIV5"/>
    <mergeCell ref="PIW5:PJC5"/>
    <mergeCell ref="PFX5:PGD5"/>
    <mergeCell ref="PGE5:PGK5"/>
    <mergeCell ref="PGL5:PGR5"/>
    <mergeCell ref="PGS5:PGY5"/>
    <mergeCell ref="PGZ5:PHF5"/>
    <mergeCell ref="PHG5:PHM5"/>
    <mergeCell ref="PEH5:PEN5"/>
    <mergeCell ref="PEO5:PEU5"/>
    <mergeCell ref="PEV5:PFB5"/>
    <mergeCell ref="PFC5:PFI5"/>
    <mergeCell ref="PFJ5:PFP5"/>
    <mergeCell ref="PFQ5:PFW5"/>
    <mergeCell ref="PCR5:PCX5"/>
    <mergeCell ref="PCY5:PDE5"/>
    <mergeCell ref="PDF5:PDL5"/>
    <mergeCell ref="PDM5:PDS5"/>
    <mergeCell ref="PDT5:PDZ5"/>
    <mergeCell ref="PEA5:PEG5"/>
    <mergeCell ref="PBB5:PBH5"/>
    <mergeCell ref="PBI5:PBO5"/>
    <mergeCell ref="PBP5:PBV5"/>
    <mergeCell ref="PBW5:PCC5"/>
    <mergeCell ref="PCD5:PCJ5"/>
    <mergeCell ref="PCK5:PCQ5"/>
    <mergeCell ref="OZL5:OZR5"/>
    <mergeCell ref="OZS5:OZY5"/>
    <mergeCell ref="OZZ5:PAF5"/>
    <mergeCell ref="PAG5:PAM5"/>
    <mergeCell ref="PAN5:PAT5"/>
    <mergeCell ref="PAU5:PBA5"/>
    <mergeCell ref="OXV5:OYB5"/>
    <mergeCell ref="OYC5:OYI5"/>
    <mergeCell ref="OYJ5:OYP5"/>
    <mergeCell ref="OYQ5:OYW5"/>
    <mergeCell ref="OYX5:OZD5"/>
    <mergeCell ref="OZE5:OZK5"/>
    <mergeCell ref="OWF5:OWL5"/>
    <mergeCell ref="OWM5:OWS5"/>
    <mergeCell ref="OWT5:OWZ5"/>
    <mergeCell ref="OXA5:OXG5"/>
    <mergeCell ref="OXH5:OXN5"/>
    <mergeCell ref="OXO5:OXU5"/>
    <mergeCell ref="OUP5:OUV5"/>
    <mergeCell ref="OUW5:OVC5"/>
    <mergeCell ref="OVD5:OVJ5"/>
    <mergeCell ref="OVK5:OVQ5"/>
    <mergeCell ref="OVR5:OVX5"/>
    <mergeCell ref="OVY5:OWE5"/>
    <mergeCell ref="OSZ5:OTF5"/>
    <mergeCell ref="OTG5:OTM5"/>
    <mergeCell ref="OTN5:OTT5"/>
    <mergeCell ref="OTU5:OUA5"/>
    <mergeCell ref="OUB5:OUH5"/>
    <mergeCell ref="OUI5:OUO5"/>
    <mergeCell ref="ORJ5:ORP5"/>
    <mergeCell ref="ORQ5:ORW5"/>
    <mergeCell ref="ORX5:OSD5"/>
    <mergeCell ref="OSE5:OSK5"/>
    <mergeCell ref="OSL5:OSR5"/>
    <mergeCell ref="OSS5:OSY5"/>
    <mergeCell ref="OPT5:OPZ5"/>
    <mergeCell ref="OQA5:OQG5"/>
    <mergeCell ref="OQH5:OQN5"/>
    <mergeCell ref="OQO5:OQU5"/>
    <mergeCell ref="OQV5:ORB5"/>
    <mergeCell ref="ORC5:ORI5"/>
    <mergeCell ref="OOD5:OOJ5"/>
    <mergeCell ref="OOK5:OOQ5"/>
    <mergeCell ref="OOR5:OOX5"/>
    <mergeCell ref="OOY5:OPE5"/>
    <mergeCell ref="OPF5:OPL5"/>
    <mergeCell ref="OPM5:OPS5"/>
    <mergeCell ref="OMN5:OMT5"/>
    <mergeCell ref="OMU5:ONA5"/>
    <mergeCell ref="ONB5:ONH5"/>
    <mergeCell ref="ONI5:ONO5"/>
    <mergeCell ref="ONP5:ONV5"/>
    <mergeCell ref="ONW5:OOC5"/>
    <mergeCell ref="OKX5:OLD5"/>
    <mergeCell ref="OLE5:OLK5"/>
    <mergeCell ref="OLL5:OLR5"/>
    <mergeCell ref="OLS5:OLY5"/>
    <mergeCell ref="OLZ5:OMF5"/>
    <mergeCell ref="OMG5:OMM5"/>
    <mergeCell ref="OJH5:OJN5"/>
    <mergeCell ref="OJO5:OJU5"/>
    <mergeCell ref="OJV5:OKB5"/>
    <mergeCell ref="OKC5:OKI5"/>
    <mergeCell ref="OKJ5:OKP5"/>
    <mergeCell ref="OKQ5:OKW5"/>
    <mergeCell ref="OHR5:OHX5"/>
    <mergeCell ref="OHY5:OIE5"/>
    <mergeCell ref="OIF5:OIL5"/>
    <mergeCell ref="OIM5:OIS5"/>
    <mergeCell ref="OIT5:OIZ5"/>
    <mergeCell ref="OJA5:OJG5"/>
    <mergeCell ref="OGB5:OGH5"/>
    <mergeCell ref="OGI5:OGO5"/>
    <mergeCell ref="OGP5:OGV5"/>
    <mergeCell ref="OGW5:OHC5"/>
    <mergeCell ref="OHD5:OHJ5"/>
    <mergeCell ref="OHK5:OHQ5"/>
    <mergeCell ref="OEL5:OER5"/>
    <mergeCell ref="OES5:OEY5"/>
    <mergeCell ref="OEZ5:OFF5"/>
    <mergeCell ref="OFG5:OFM5"/>
    <mergeCell ref="OFN5:OFT5"/>
    <mergeCell ref="OFU5:OGA5"/>
    <mergeCell ref="OCV5:ODB5"/>
    <mergeCell ref="ODC5:ODI5"/>
    <mergeCell ref="ODJ5:ODP5"/>
    <mergeCell ref="ODQ5:ODW5"/>
    <mergeCell ref="ODX5:OED5"/>
    <mergeCell ref="OEE5:OEK5"/>
    <mergeCell ref="OBF5:OBL5"/>
    <mergeCell ref="OBM5:OBS5"/>
    <mergeCell ref="OBT5:OBZ5"/>
    <mergeCell ref="OCA5:OCG5"/>
    <mergeCell ref="OCH5:OCN5"/>
    <mergeCell ref="OCO5:OCU5"/>
    <mergeCell ref="NZP5:NZV5"/>
    <mergeCell ref="NZW5:OAC5"/>
    <mergeCell ref="OAD5:OAJ5"/>
    <mergeCell ref="OAK5:OAQ5"/>
    <mergeCell ref="OAR5:OAX5"/>
    <mergeCell ref="OAY5:OBE5"/>
    <mergeCell ref="NXZ5:NYF5"/>
    <mergeCell ref="NYG5:NYM5"/>
    <mergeCell ref="NYN5:NYT5"/>
    <mergeCell ref="NYU5:NZA5"/>
    <mergeCell ref="NZB5:NZH5"/>
    <mergeCell ref="NZI5:NZO5"/>
    <mergeCell ref="NWJ5:NWP5"/>
    <mergeCell ref="NWQ5:NWW5"/>
    <mergeCell ref="NWX5:NXD5"/>
    <mergeCell ref="NXE5:NXK5"/>
    <mergeCell ref="NXL5:NXR5"/>
    <mergeCell ref="NXS5:NXY5"/>
    <mergeCell ref="NUT5:NUZ5"/>
    <mergeCell ref="NVA5:NVG5"/>
    <mergeCell ref="NVH5:NVN5"/>
    <mergeCell ref="NVO5:NVU5"/>
    <mergeCell ref="NVV5:NWB5"/>
    <mergeCell ref="NWC5:NWI5"/>
    <mergeCell ref="NTD5:NTJ5"/>
    <mergeCell ref="NTK5:NTQ5"/>
    <mergeCell ref="NTR5:NTX5"/>
    <mergeCell ref="NTY5:NUE5"/>
    <mergeCell ref="NUF5:NUL5"/>
    <mergeCell ref="NUM5:NUS5"/>
    <mergeCell ref="NRN5:NRT5"/>
    <mergeCell ref="NRU5:NSA5"/>
    <mergeCell ref="NSB5:NSH5"/>
    <mergeCell ref="NSI5:NSO5"/>
    <mergeCell ref="NSP5:NSV5"/>
    <mergeCell ref="NSW5:NTC5"/>
    <mergeCell ref="NPX5:NQD5"/>
    <mergeCell ref="NQE5:NQK5"/>
    <mergeCell ref="NQL5:NQR5"/>
    <mergeCell ref="NQS5:NQY5"/>
    <mergeCell ref="NQZ5:NRF5"/>
    <mergeCell ref="NRG5:NRM5"/>
    <mergeCell ref="NOH5:NON5"/>
    <mergeCell ref="NOO5:NOU5"/>
    <mergeCell ref="NOV5:NPB5"/>
    <mergeCell ref="NPC5:NPI5"/>
    <mergeCell ref="NPJ5:NPP5"/>
    <mergeCell ref="NPQ5:NPW5"/>
    <mergeCell ref="NMR5:NMX5"/>
    <mergeCell ref="NMY5:NNE5"/>
    <mergeCell ref="NNF5:NNL5"/>
    <mergeCell ref="NNM5:NNS5"/>
    <mergeCell ref="NNT5:NNZ5"/>
    <mergeCell ref="NOA5:NOG5"/>
    <mergeCell ref="NLB5:NLH5"/>
    <mergeCell ref="NLI5:NLO5"/>
    <mergeCell ref="NLP5:NLV5"/>
    <mergeCell ref="NLW5:NMC5"/>
    <mergeCell ref="NMD5:NMJ5"/>
    <mergeCell ref="NMK5:NMQ5"/>
    <mergeCell ref="NJL5:NJR5"/>
    <mergeCell ref="NJS5:NJY5"/>
    <mergeCell ref="NJZ5:NKF5"/>
    <mergeCell ref="NKG5:NKM5"/>
    <mergeCell ref="NKN5:NKT5"/>
    <mergeCell ref="NKU5:NLA5"/>
    <mergeCell ref="NHV5:NIB5"/>
    <mergeCell ref="NIC5:NII5"/>
    <mergeCell ref="NIJ5:NIP5"/>
    <mergeCell ref="NIQ5:NIW5"/>
    <mergeCell ref="NIX5:NJD5"/>
    <mergeCell ref="NJE5:NJK5"/>
    <mergeCell ref="NGF5:NGL5"/>
    <mergeCell ref="NGM5:NGS5"/>
    <mergeCell ref="NGT5:NGZ5"/>
    <mergeCell ref="NHA5:NHG5"/>
    <mergeCell ref="NHH5:NHN5"/>
    <mergeCell ref="NHO5:NHU5"/>
    <mergeCell ref="NEP5:NEV5"/>
    <mergeCell ref="NEW5:NFC5"/>
    <mergeCell ref="NFD5:NFJ5"/>
    <mergeCell ref="NFK5:NFQ5"/>
    <mergeCell ref="NFR5:NFX5"/>
    <mergeCell ref="NFY5:NGE5"/>
    <mergeCell ref="NCZ5:NDF5"/>
    <mergeCell ref="NDG5:NDM5"/>
    <mergeCell ref="NDN5:NDT5"/>
    <mergeCell ref="NDU5:NEA5"/>
    <mergeCell ref="NEB5:NEH5"/>
    <mergeCell ref="NEI5:NEO5"/>
    <mergeCell ref="NBJ5:NBP5"/>
    <mergeCell ref="NBQ5:NBW5"/>
    <mergeCell ref="NBX5:NCD5"/>
    <mergeCell ref="NCE5:NCK5"/>
    <mergeCell ref="NCL5:NCR5"/>
    <mergeCell ref="NCS5:NCY5"/>
    <mergeCell ref="MZT5:MZZ5"/>
    <mergeCell ref="NAA5:NAG5"/>
    <mergeCell ref="NAH5:NAN5"/>
    <mergeCell ref="NAO5:NAU5"/>
    <mergeCell ref="NAV5:NBB5"/>
    <mergeCell ref="NBC5:NBI5"/>
    <mergeCell ref="MYD5:MYJ5"/>
    <mergeCell ref="MYK5:MYQ5"/>
    <mergeCell ref="MYR5:MYX5"/>
    <mergeCell ref="MYY5:MZE5"/>
    <mergeCell ref="MZF5:MZL5"/>
    <mergeCell ref="MZM5:MZS5"/>
    <mergeCell ref="MWN5:MWT5"/>
    <mergeCell ref="MWU5:MXA5"/>
    <mergeCell ref="MXB5:MXH5"/>
    <mergeCell ref="MXI5:MXO5"/>
    <mergeCell ref="MXP5:MXV5"/>
    <mergeCell ref="MXW5:MYC5"/>
    <mergeCell ref="MUX5:MVD5"/>
    <mergeCell ref="MVE5:MVK5"/>
    <mergeCell ref="MVL5:MVR5"/>
    <mergeCell ref="MVS5:MVY5"/>
    <mergeCell ref="MVZ5:MWF5"/>
    <mergeCell ref="MWG5:MWM5"/>
    <mergeCell ref="MTH5:MTN5"/>
    <mergeCell ref="MTO5:MTU5"/>
    <mergeCell ref="MTV5:MUB5"/>
    <mergeCell ref="MUC5:MUI5"/>
    <mergeCell ref="MUJ5:MUP5"/>
    <mergeCell ref="MUQ5:MUW5"/>
    <mergeCell ref="MRR5:MRX5"/>
    <mergeCell ref="MRY5:MSE5"/>
    <mergeCell ref="MSF5:MSL5"/>
    <mergeCell ref="MSM5:MSS5"/>
    <mergeCell ref="MST5:MSZ5"/>
    <mergeCell ref="MTA5:MTG5"/>
    <mergeCell ref="MQB5:MQH5"/>
    <mergeCell ref="MQI5:MQO5"/>
    <mergeCell ref="MQP5:MQV5"/>
    <mergeCell ref="MQW5:MRC5"/>
    <mergeCell ref="MRD5:MRJ5"/>
    <mergeCell ref="MRK5:MRQ5"/>
    <mergeCell ref="MOL5:MOR5"/>
    <mergeCell ref="MOS5:MOY5"/>
    <mergeCell ref="MOZ5:MPF5"/>
    <mergeCell ref="MPG5:MPM5"/>
    <mergeCell ref="MPN5:MPT5"/>
    <mergeCell ref="MPU5:MQA5"/>
    <mergeCell ref="MMV5:MNB5"/>
    <mergeCell ref="MNC5:MNI5"/>
    <mergeCell ref="MNJ5:MNP5"/>
    <mergeCell ref="MNQ5:MNW5"/>
    <mergeCell ref="MNX5:MOD5"/>
    <mergeCell ref="MOE5:MOK5"/>
    <mergeCell ref="MLF5:MLL5"/>
    <mergeCell ref="MLM5:MLS5"/>
    <mergeCell ref="MLT5:MLZ5"/>
    <mergeCell ref="MMA5:MMG5"/>
    <mergeCell ref="MMH5:MMN5"/>
    <mergeCell ref="MMO5:MMU5"/>
    <mergeCell ref="MJP5:MJV5"/>
    <mergeCell ref="MJW5:MKC5"/>
    <mergeCell ref="MKD5:MKJ5"/>
    <mergeCell ref="MKK5:MKQ5"/>
    <mergeCell ref="MKR5:MKX5"/>
    <mergeCell ref="MKY5:MLE5"/>
    <mergeCell ref="MHZ5:MIF5"/>
    <mergeCell ref="MIG5:MIM5"/>
    <mergeCell ref="MIN5:MIT5"/>
    <mergeCell ref="MIU5:MJA5"/>
    <mergeCell ref="MJB5:MJH5"/>
    <mergeCell ref="MJI5:MJO5"/>
    <mergeCell ref="MGJ5:MGP5"/>
    <mergeCell ref="MGQ5:MGW5"/>
    <mergeCell ref="MGX5:MHD5"/>
    <mergeCell ref="MHE5:MHK5"/>
    <mergeCell ref="MHL5:MHR5"/>
    <mergeCell ref="MHS5:MHY5"/>
    <mergeCell ref="MET5:MEZ5"/>
    <mergeCell ref="MFA5:MFG5"/>
    <mergeCell ref="MFH5:MFN5"/>
    <mergeCell ref="MFO5:MFU5"/>
    <mergeCell ref="MFV5:MGB5"/>
    <mergeCell ref="MGC5:MGI5"/>
    <mergeCell ref="MDD5:MDJ5"/>
    <mergeCell ref="MDK5:MDQ5"/>
    <mergeCell ref="MDR5:MDX5"/>
    <mergeCell ref="MDY5:MEE5"/>
    <mergeCell ref="MEF5:MEL5"/>
    <mergeCell ref="MEM5:MES5"/>
    <mergeCell ref="MBN5:MBT5"/>
    <mergeCell ref="MBU5:MCA5"/>
    <mergeCell ref="MCB5:MCH5"/>
    <mergeCell ref="MCI5:MCO5"/>
    <mergeCell ref="MCP5:MCV5"/>
    <mergeCell ref="MCW5:MDC5"/>
    <mergeCell ref="LZX5:MAD5"/>
    <mergeCell ref="MAE5:MAK5"/>
    <mergeCell ref="MAL5:MAR5"/>
    <mergeCell ref="MAS5:MAY5"/>
    <mergeCell ref="MAZ5:MBF5"/>
    <mergeCell ref="MBG5:MBM5"/>
    <mergeCell ref="LYH5:LYN5"/>
    <mergeCell ref="LYO5:LYU5"/>
    <mergeCell ref="LYV5:LZB5"/>
    <mergeCell ref="LZC5:LZI5"/>
    <mergeCell ref="LZJ5:LZP5"/>
    <mergeCell ref="LZQ5:LZW5"/>
    <mergeCell ref="LWR5:LWX5"/>
    <mergeCell ref="LWY5:LXE5"/>
    <mergeCell ref="LXF5:LXL5"/>
    <mergeCell ref="LXM5:LXS5"/>
    <mergeCell ref="LXT5:LXZ5"/>
    <mergeCell ref="LYA5:LYG5"/>
    <mergeCell ref="LVB5:LVH5"/>
    <mergeCell ref="LVI5:LVO5"/>
    <mergeCell ref="LVP5:LVV5"/>
    <mergeCell ref="LVW5:LWC5"/>
    <mergeCell ref="LWD5:LWJ5"/>
    <mergeCell ref="LWK5:LWQ5"/>
    <mergeCell ref="LTL5:LTR5"/>
    <mergeCell ref="LTS5:LTY5"/>
    <mergeCell ref="LTZ5:LUF5"/>
    <mergeCell ref="LUG5:LUM5"/>
    <mergeCell ref="LUN5:LUT5"/>
    <mergeCell ref="LUU5:LVA5"/>
    <mergeCell ref="LRV5:LSB5"/>
    <mergeCell ref="LSC5:LSI5"/>
    <mergeCell ref="LSJ5:LSP5"/>
    <mergeCell ref="LSQ5:LSW5"/>
    <mergeCell ref="LSX5:LTD5"/>
    <mergeCell ref="LTE5:LTK5"/>
    <mergeCell ref="LQF5:LQL5"/>
    <mergeCell ref="LQM5:LQS5"/>
    <mergeCell ref="LQT5:LQZ5"/>
    <mergeCell ref="LRA5:LRG5"/>
    <mergeCell ref="LRH5:LRN5"/>
    <mergeCell ref="LRO5:LRU5"/>
    <mergeCell ref="LOP5:LOV5"/>
    <mergeCell ref="LOW5:LPC5"/>
    <mergeCell ref="LPD5:LPJ5"/>
    <mergeCell ref="LPK5:LPQ5"/>
    <mergeCell ref="LPR5:LPX5"/>
    <mergeCell ref="LPY5:LQE5"/>
    <mergeCell ref="LMZ5:LNF5"/>
    <mergeCell ref="LNG5:LNM5"/>
    <mergeCell ref="LNN5:LNT5"/>
    <mergeCell ref="LNU5:LOA5"/>
    <mergeCell ref="LOB5:LOH5"/>
    <mergeCell ref="LOI5:LOO5"/>
    <mergeCell ref="LLJ5:LLP5"/>
    <mergeCell ref="LLQ5:LLW5"/>
    <mergeCell ref="LLX5:LMD5"/>
    <mergeCell ref="LME5:LMK5"/>
    <mergeCell ref="LML5:LMR5"/>
    <mergeCell ref="LMS5:LMY5"/>
    <mergeCell ref="LJT5:LJZ5"/>
    <mergeCell ref="LKA5:LKG5"/>
    <mergeCell ref="LKH5:LKN5"/>
    <mergeCell ref="LKO5:LKU5"/>
    <mergeCell ref="LKV5:LLB5"/>
    <mergeCell ref="LLC5:LLI5"/>
    <mergeCell ref="LID5:LIJ5"/>
    <mergeCell ref="LIK5:LIQ5"/>
    <mergeCell ref="LIR5:LIX5"/>
    <mergeCell ref="LIY5:LJE5"/>
    <mergeCell ref="LJF5:LJL5"/>
    <mergeCell ref="LJM5:LJS5"/>
    <mergeCell ref="LGN5:LGT5"/>
    <mergeCell ref="LGU5:LHA5"/>
    <mergeCell ref="LHB5:LHH5"/>
    <mergeCell ref="LHI5:LHO5"/>
    <mergeCell ref="LHP5:LHV5"/>
    <mergeCell ref="LHW5:LIC5"/>
    <mergeCell ref="LEX5:LFD5"/>
    <mergeCell ref="LFE5:LFK5"/>
    <mergeCell ref="LFL5:LFR5"/>
    <mergeCell ref="LFS5:LFY5"/>
    <mergeCell ref="LFZ5:LGF5"/>
    <mergeCell ref="LGG5:LGM5"/>
    <mergeCell ref="LDH5:LDN5"/>
    <mergeCell ref="LDO5:LDU5"/>
    <mergeCell ref="LDV5:LEB5"/>
    <mergeCell ref="LEC5:LEI5"/>
    <mergeCell ref="LEJ5:LEP5"/>
    <mergeCell ref="LEQ5:LEW5"/>
    <mergeCell ref="LBR5:LBX5"/>
    <mergeCell ref="LBY5:LCE5"/>
    <mergeCell ref="LCF5:LCL5"/>
    <mergeCell ref="LCM5:LCS5"/>
    <mergeCell ref="LCT5:LCZ5"/>
    <mergeCell ref="LDA5:LDG5"/>
    <mergeCell ref="LAB5:LAH5"/>
    <mergeCell ref="LAI5:LAO5"/>
    <mergeCell ref="LAP5:LAV5"/>
    <mergeCell ref="LAW5:LBC5"/>
    <mergeCell ref="LBD5:LBJ5"/>
    <mergeCell ref="LBK5:LBQ5"/>
    <mergeCell ref="KYL5:KYR5"/>
    <mergeCell ref="KYS5:KYY5"/>
    <mergeCell ref="KYZ5:KZF5"/>
    <mergeCell ref="KZG5:KZM5"/>
    <mergeCell ref="KZN5:KZT5"/>
    <mergeCell ref="KZU5:LAA5"/>
    <mergeCell ref="KWV5:KXB5"/>
    <mergeCell ref="KXC5:KXI5"/>
    <mergeCell ref="KXJ5:KXP5"/>
    <mergeCell ref="KXQ5:KXW5"/>
    <mergeCell ref="KXX5:KYD5"/>
    <mergeCell ref="KYE5:KYK5"/>
    <mergeCell ref="KVF5:KVL5"/>
    <mergeCell ref="KVM5:KVS5"/>
    <mergeCell ref="KVT5:KVZ5"/>
    <mergeCell ref="KWA5:KWG5"/>
    <mergeCell ref="KWH5:KWN5"/>
    <mergeCell ref="KWO5:KWU5"/>
    <mergeCell ref="KTP5:KTV5"/>
    <mergeCell ref="KTW5:KUC5"/>
    <mergeCell ref="KUD5:KUJ5"/>
    <mergeCell ref="KUK5:KUQ5"/>
    <mergeCell ref="KUR5:KUX5"/>
    <mergeCell ref="KUY5:KVE5"/>
    <mergeCell ref="KRZ5:KSF5"/>
    <mergeCell ref="KSG5:KSM5"/>
    <mergeCell ref="KSN5:KST5"/>
    <mergeCell ref="KSU5:KTA5"/>
    <mergeCell ref="KTB5:KTH5"/>
    <mergeCell ref="KTI5:KTO5"/>
    <mergeCell ref="KQJ5:KQP5"/>
    <mergeCell ref="KQQ5:KQW5"/>
    <mergeCell ref="KQX5:KRD5"/>
    <mergeCell ref="KRE5:KRK5"/>
    <mergeCell ref="KRL5:KRR5"/>
    <mergeCell ref="KRS5:KRY5"/>
    <mergeCell ref="KOT5:KOZ5"/>
    <mergeCell ref="KPA5:KPG5"/>
    <mergeCell ref="KPH5:KPN5"/>
    <mergeCell ref="KPO5:KPU5"/>
    <mergeCell ref="KPV5:KQB5"/>
    <mergeCell ref="KQC5:KQI5"/>
    <mergeCell ref="KND5:KNJ5"/>
    <mergeCell ref="KNK5:KNQ5"/>
    <mergeCell ref="KNR5:KNX5"/>
    <mergeCell ref="KNY5:KOE5"/>
    <mergeCell ref="KOF5:KOL5"/>
    <mergeCell ref="KOM5:KOS5"/>
    <mergeCell ref="KLN5:KLT5"/>
    <mergeCell ref="KLU5:KMA5"/>
    <mergeCell ref="KMB5:KMH5"/>
    <mergeCell ref="KMI5:KMO5"/>
    <mergeCell ref="KMP5:KMV5"/>
    <mergeCell ref="KMW5:KNC5"/>
    <mergeCell ref="KJX5:KKD5"/>
    <mergeCell ref="KKE5:KKK5"/>
    <mergeCell ref="KKL5:KKR5"/>
    <mergeCell ref="KKS5:KKY5"/>
    <mergeCell ref="KKZ5:KLF5"/>
    <mergeCell ref="KLG5:KLM5"/>
    <mergeCell ref="KIH5:KIN5"/>
    <mergeCell ref="KIO5:KIU5"/>
    <mergeCell ref="KIV5:KJB5"/>
    <mergeCell ref="KJC5:KJI5"/>
    <mergeCell ref="KJJ5:KJP5"/>
    <mergeCell ref="KJQ5:KJW5"/>
    <mergeCell ref="KGR5:KGX5"/>
    <mergeCell ref="KGY5:KHE5"/>
    <mergeCell ref="KHF5:KHL5"/>
    <mergeCell ref="KHM5:KHS5"/>
    <mergeCell ref="KHT5:KHZ5"/>
    <mergeCell ref="KIA5:KIG5"/>
    <mergeCell ref="KFB5:KFH5"/>
    <mergeCell ref="KFI5:KFO5"/>
    <mergeCell ref="KFP5:KFV5"/>
    <mergeCell ref="KFW5:KGC5"/>
    <mergeCell ref="KGD5:KGJ5"/>
    <mergeCell ref="KGK5:KGQ5"/>
    <mergeCell ref="KDL5:KDR5"/>
    <mergeCell ref="KDS5:KDY5"/>
    <mergeCell ref="KDZ5:KEF5"/>
    <mergeCell ref="KEG5:KEM5"/>
    <mergeCell ref="KEN5:KET5"/>
    <mergeCell ref="KEU5:KFA5"/>
    <mergeCell ref="KBV5:KCB5"/>
    <mergeCell ref="KCC5:KCI5"/>
    <mergeCell ref="KCJ5:KCP5"/>
    <mergeCell ref="KCQ5:KCW5"/>
    <mergeCell ref="KCX5:KDD5"/>
    <mergeCell ref="KDE5:KDK5"/>
    <mergeCell ref="KAF5:KAL5"/>
    <mergeCell ref="KAM5:KAS5"/>
    <mergeCell ref="KAT5:KAZ5"/>
    <mergeCell ref="KBA5:KBG5"/>
    <mergeCell ref="KBH5:KBN5"/>
    <mergeCell ref="KBO5:KBU5"/>
    <mergeCell ref="JYP5:JYV5"/>
    <mergeCell ref="JYW5:JZC5"/>
    <mergeCell ref="JZD5:JZJ5"/>
    <mergeCell ref="JZK5:JZQ5"/>
    <mergeCell ref="JZR5:JZX5"/>
    <mergeCell ref="JZY5:KAE5"/>
    <mergeCell ref="JWZ5:JXF5"/>
    <mergeCell ref="JXG5:JXM5"/>
    <mergeCell ref="JXN5:JXT5"/>
    <mergeCell ref="JXU5:JYA5"/>
    <mergeCell ref="JYB5:JYH5"/>
    <mergeCell ref="JYI5:JYO5"/>
    <mergeCell ref="JVJ5:JVP5"/>
    <mergeCell ref="JVQ5:JVW5"/>
    <mergeCell ref="JVX5:JWD5"/>
    <mergeCell ref="JWE5:JWK5"/>
    <mergeCell ref="JWL5:JWR5"/>
    <mergeCell ref="JWS5:JWY5"/>
    <mergeCell ref="JTT5:JTZ5"/>
    <mergeCell ref="JUA5:JUG5"/>
    <mergeCell ref="JUH5:JUN5"/>
    <mergeCell ref="JUO5:JUU5"/>
    <mergeCell ref="JUV5:JVB5"/>
    <mergeCell ref="JVC5:JVI5"/>
    <mergeCell ref="JSD5:JSJ5"/>
    <mergeCell ref="JSK5:JSQ5"/>
    <mergeCell ref="JSR5:JSX5"/>
    <mergeCell ref="JSY5:JTE5"/>
    <mergeCell ref="JTF5:JTL5"/>
    <mergeCell ref="JTM5:JTS5"/>
    <mergeCell ref="JQN5:JQT5"/>
    <mergeCell ref="JQU5:JRA5"/>
    <mergeCell ref="JRB5:JRH5"/>
    <mergeCell ref="JRI5:JRO5"/>
    <mergeCell ref="JRP5:JRV5"/>
    <mergeCell ref="JRW5:JSC5"/>
    <mergeCell ref="JOX5:JPD5"/>
    <mergeCell ref="JPE5:JPK5"/>
    <mergeCell ref="JPL5:JPR5"/>
    <mergeCell ref="JPS5:JPY5"/>
    <mergeCell ref="JPZ5:JQF5"/>
    <mergeCell ref="JQG5:JQM5"/>
    <mergeCell ref="JNH5:JNN5"/>
    <mergeCell ref="JNO5:JNU5"/>
    <mergeCell ref="JNV5:JOB5"/>
    <mergeCell ref="JOC5:JOI5"/>
    <mergeCell ref="JOJ5:JOP5"/>
    <mergeCell ref="JOQ5:JOW5"/>
    <mergeCell ref="JLR5:JLX5"/>
    <mergeCell ref="JLY5:JME5"/>
    <mergeCell ref="JMF5:JML5"/>
    <mergeCell ref="JMM5:JMS5"/>
    <mergeCell ref="JMT5:JMZ5"/>
    <mergeCell ref="JNA5:JNG5"/>
    <mergeCell ref="JKB5:JKH5"/>
    <mergeCell ref="JKI5:JKO5"/>
    <mergeCell ref="JKP5:JKV5"/>
    <mergeCell ref="JKW5:JLC5"/>
    <mergeCell ref="JLD5:JLJ5"/>
    <mergeCell ref="JLK5:JLQ5"/>
    <mergeCell ref="JIL5:JIR5"/>
    <mergeCell ref="JIS5:JIY5"/>
    <mergeCell ref="JIZ5:JJF5"/>
    <mergeCell ref="JJG5:JJM5"/>
    <mergeCell ref="JJN5:JJT5"/>
    <mergeCell ref="JJU5:JKA5"/>
    <mergeCell ref="JGV5:JHB5"/>
    <mergeCell ref="JHC5:JHI5"/>
    <mergeCell ref="JHJ5:JHP5"/>
    <mergeCell ref="JHQ5:JHW5"/>
    <mergeCell ref="JHX5:JID5"/>
    <mergeCell ref="JIE5:JIK5"/>
    <mergeCell ref="JFF5:JFL5"/>
    <mergeCell ref="JFM5:JFS5"/>
    <mergeCell ref="JFT5:JFZ5"/>
    <mergeCell ref="JGA5:JGG5"/>
    <mergeCell ref="JGH5:JGN5"/>
    <mergeCell ref="JGO5:JGU5"/>
    <mergeCell ref="JDP5:JDV5"/>
    <mergeCell ref="JDW5:JEC5"/>
    <mergeCell ref="JED5:JEJ5"/>
    <mergeCell ref="JEK5:JEQ5"/>
    <mergeCell ref="JER5:JEX5"/>
    <mergeCell ref="JEY5:JFE5"/>
    <mergeCell ref="JBZ5:JCF5"/>
    <mergeCell ref="JCG5:JCM5"/>
    <mergeCell ref="JCN5:JCT5"/>
    <mergeCell ref="JCU5:JDA5"/>
    <mergeCell ref="JDB5:JDH5"/>
    <mergeCell ref="JDI5:JDO5"/>
    <mergeCell ref="JAJ5:JAP5"/>
    <mergeCell ref="JAQ5:JAW5"/>
    <mergeCell ref="JAX5:JBD5"/>
    <mergeCell ref="JBE5:JBK5"/>
    <mergeCell ref="JBL5:JBR5"/>
    <mergeCell ref="JBS5:JBY5"/>
    <mergeCell ref="IYT5:IYZ5"/>
    <mergeCell ref="IZA5:IZG5"/>
    <mergeCell ref="IZH5:IZN5"/>
    <mergeCell ref="IZO5:IZU5"/>
    <mergeCell ref="IZV5:JAB5"/>
    <mergeCell ref="JAC5:JAI5"/>
    <mergeCell ref="IXD5:IXJ5"/>
    <mergeCell ref="IXK5:IXQ5"/>
    <mergeCell ref="IXR5:IXX5"/>
    <mergeCell ref="IXY5:IYE5"/>
    <mergeCell ref="IYF5:IYL5"/>
    <mergeCell ref="IYM5:IYS5"/>
    <mergeCell ref="IVN5:IVT5"/>
    <mergeCell ref="IVU5:IWA5"/>
    <mergeCell ref="IWB5:IWH5"/>
    <mergeCell ref="IWI5:IWO5"/>
    <mergeCell ref="IWP5:IWV5"/>
    <mergeCell ref="IWW5:IXC5"/>
    <mergeCell ref="ITX5:IUD5"/>
    <mergeCell ref="IUE5:IUK5"/>
    <mergeCell ref="IUL5:IUR5"/>
    <mergeCell ref="IUS5:IUY5"/>
    <mergeCell ref="IUZ5:IVF5"/>
    <mergeCell ref="IVG5:IVM5"/>
    <mergeCell ref="ISH5:ISN5"/>
    <mergeCell ref="ISO5:ISU5"/>
    <mergeCell ref="ISV5:ITB5"/>
    <mergeCell ref="ITC5:ITI5"/>
    <mergeCell ref="ITJ5:ITP5"/>
    <mergeCell ref="ITQ5:ITW5"/>
    <mergeCell ref="IQR5:IQX5"/>
    <mergeCell ref="IQY5:IRE5"/>
    <mergeCell ref="IRF5:IRL5"/>
    <mergeCell ref="IRM5:IRS5"/>
    <mergeCell ref="IRT5:IRZ5"/>
    <mergeCell ref="ISA5:ISG5"/>
    <mergeCell ref="IPB5:IPH5"/>
    <mergeCell ref="IPI5:IPO5"/>
    <mergeCell ref="IPP5:IPV5"/>
    <mergeCell ref="IPW5:IQC5"/>
    <mergeCell ref="IQD5:IQJ5"/>
    <mergeCell ref="IQK5:IQQ5"/>
    <mergeCell ref="INL5:INR5"/>
    <mergeCell ref="INS5:INY5"/>
    <mergeCell ref="INZ5:IOF5"/>
    <mergeCell ref="IOG5:IOM5"/>
    <mergeCell ref="ION5:IOT5"/>
    <mergeCell ref="IOU5:IPA5"/>
    <mergeCell ref="ILV5:IMB5"/>
    <mergeCell ref="IMC5:IMI5"/>
    <mergeCell ref="IMJ5:IMP5"/>
    <mergeCell ref="IMQ5:IMW5"/>
    <mergeCell ref="IMX5:IND5"/>
    <mergeCell ref="INE5:INK5"/>
    <mergeCell ref="IKF5:IKL5"/>
    <mergeCell ref="IKM5:IKS5"/>
    <mergeCell ref="IKT5:IKZ5"/>
    <mergeCell ref="ILA5:ILG5"/>
    <mergeCell ref="ILH5:ILN5"/>
    <mergeCell ref="ILO5:ILU5"/>
    <mergeCell ref="IIP5:IIV5"/>
    <mergeCell ref="IIW5:IJC5"/>
    <mergeCell ref="IJD5:IJJ5"/>
    <mergeCell ref="IJK5:IJQ5"/>
    <mergeCell ref="IJR5:IJX5"/>
    <mergeCell ref="IJY5:IKE5"/>
    <mergeCell ref="IGZ5:IHF5"/>
    <mergeCell ref="IHG5:IHM5"/>
    <mergeCell ref="IHN5:IHT5"/>
    <mergeCell ref="IHU5:IIA5"/>
    <mergeCell ref="IIB5:IIH5"/>
    <mergeCell ref="III5:IIO5"/>
    <mergeCell ref="IFJ5:IFP5"/>
    <mergeCell ref="IFQ5:IFW5"/>
    <mergeCell ref="IFX5:IGD5"/>
    <mergeCell ref="IGE5:IGK5"/>
    <mergeCell ref="IGL5:IGR5"/>
    <mergeCell ref="IGS5:IGY5"/>
    <mergeCell ref="IDT5:IDZ5"/>
    <mergeCell ref="IEA5:IEG5"/>
    <mergeCell ref="IEH5:IEN5"/>
    <mergeCell ref="IEO5:IEU5"/>
    <mergeCell ref="IEV5:IFB5"/>
    <mergeCell ref="IFC5:IFI5"/>
    <mergeCell ref="ICD5:ICJ5"/>
    <mergeCell ref="ICK5:ICQ5"/>
    <mergeCell ref="ICR5:ICX5"/>
    <mergeCell ref="ICY5:IDE5"/>
    <mergeCell ref="IDF5:IDL5"/>
    <mergeCell ref="IDM5:IDS5"/>
    <mergeCell ref="IAN5:IAT5"/>
    <mergeCell ref="IAU5:IBA5"/>
    <mergeCell ref="IBB5:IBH5"/>
    <mergeCell ref="IBI5:IBO5"/>
    <mergeCell ref="IBP5:IBV5"/>
    <mergeCell ref="IBW5:ICC5"/>
    <mergeCell ref="HYX5:HZD5"/>
    <mergeCell ref="HZE5:HZK5"/>
    <mergeCell ref="HZL5:HZR5"/>
    <mergeCell ref="HZS5:HZY5"/>
    <mergeCell ref="HZZ5:IAF5"/>
    <mergeCell ref="IAG5:IAM5"/>
    <mergeCell ref="HXH5:HXN5"/>
    <mergeCell ref="HXO5:HXU5"/>
    <mergeCell ref="HXV5:HYB5"/>
    <mergeCell ref="HYC5:HYI5"/>
    <mergeCell ref="HYJ5:HYP5"/>
    <mergeCell ref="HYQ5:HYW5"/>
    <mergeCell ref="HVR5:HVX5"/>
    <mergeCell ref="HVY5:HWE5"/>
    <mergeCell ref="HWF5:HWL5"/>
    <mergeCell ref="HWM5:HWS5"/>
    <mergeCell ref="HWT5:HWZ5"/>
    <mergeCell ref="HXA5:HXG5"/>
    <mergeCell ref="HUB5:HUH5"/>
    <mergeCell ref="HUI5:HUO5"/>
    <mergeCell ref="HUP5:HUV5"/>
    <mergeCell ref="HUW5:HVC5"/>
    <mergeCell ref="HVD5:HVJ5"/>
    <mergeCell ref="HVK5:HVQ5"/>
    <mergeCell ref="HSL5:HSR5"/>
    <mergeCell ref="HSS5:HSY5"/>
    <mergeCell ref="HSZ5:HTF5"/>
    <mergeCell ref="HTG5:HTM5"/>
    <mergeCell ref="HTN5:HTT5"/>
    <mergeCell ref="HTU5:HUA5"/>
    <mergeCell ref="HQV5:HRB5"/>
    <mergeCell ref="HRC5:HRI5"/>
    <mergeCell ref="HRJ5:HRP5"/>
    <mergeCell ref="HRQ5:HRW5"/>
    <mergeCell ref="HRX5:HSD5"/>
    <mergeCell ref="HSE5:HSK5"/>
    <mergeCell ref="HPF5:HPL5"/>
    <mergeCell ref="HPM5:HPS5"/>
    <mergeCell ref="HPT5:HPZ5"/>
    <mergeCell ref="HQA5:HQG5"/>
    <mergeCell ref="HQH5:HQN5"/>
    <mergeCell ref="HQO5:HQU5"/>
    <mergeCell ref="HNP5:HNV5"/>
    <mergeCell ref="HNW5:HOC5"/>
    <mergeCell ref="HOD5:HOJ5"/>
    <mergeCell ref="HOK5:HOQ5"/>
    <mergeCell ref="HOR5:HOX5"/>
    <mergeCell ref="HOY5:HPE5"/>
    <mergeCell ref="HLZ5:HMF5"/>
    <mergeCell ref="HMG5:HMM5"/>
    <mergeCell ref="HMN5:HMT5"/>
    <mergeCell ref="HMU5:HNA5"/>
    <mergeCell ref="HNB5:HNH5"/>
    <mergeCell ref="HNI5:HNO5"/>
    <mergeCell ref="HKJ5:HKP5"/>
    <mergeCell ref="HKQ5:HKW5"/>
    <mergeCell ref="HKX5:HLD5"/>
    <mergeCell ref="HLE5:HLK5"/>
    <mergeCell ref="HLL5:HLR5"/>
    <mergeCell ref="HLS5:HLY5"/>
    <mergeCell ref="HIT5:HIZ5"/>
    <mergeCell ref="HJA5:HJG5"/>
    <mergeCell ref="HJH5:HJN5"/>
    <mergeCell ref="HJO5:HJU5"/>
    <mergeCell ref="HJV5:HKB5"/>
    <mergeCell ref="HKC5:HKI5"/>
    <mergeCell ref="HHD5:HHJ5"/>
    <mergeCell ref="HHK5:HHQ5"/>
    <mergeCell ref="HHR5:HHX5"/>
    <mergeCell ref="HHY5:HIE5"/>
    <mergeCell ref="HIF5:HIL5"/>
    <mergeCell ref="HIM5:HIS5"/>
    <mergeCell ref="HFN5:HFT5"/>
    <mergeCell ref="HFU5:HGA5"/>
    <mergeCell ref="HGB5:HGH5"/>
    <mergeCell ref="HGI5:HGO5"/>
    <mergeCell ref="HGP5:HGV5"/>
    <mergeCell ref="HGW5:HHC5"/>
    <mergeCell ref="HDX5:HED5"/>
    <mergeCell ref="HEE5:HEK5"/>
    <mergeCell ref="HEL5:HER5"/>
    <mergeCell ref="HES5:HEY5"/>
    <mergeCell ref="HEZ5:HFF5"/>
    <mergeCell ref="HFG5:HFM5"/>
    <mergeCell ref="HCH5:HCN5"/>
    <mergeCell ref="HCO5:HCU5"/>
    <mergeCell ref="HCV5:HDB5"/>
    <mergeCell ref="HDC5:HDI5"/>
    <mergeCell ref="HDJ5:HDP5"/>
    <mergeCell ref="HDQ5:HDW5"/>
    <mergeCell ref="HAR5:HAX5"/>
    <mergeCell ref="HAY5:HBE5"/>
    <mergeCell ref="HBF5:HBL5"/>
    <mergeCell ref="HBM5:HBS5"/>
    <mergeCell ref="HBT5:HBZ5"/>
    <mergeCell ref="HCA5:HCG5"/>
    <mergeCell ref="GZB5:GZH5"/>
    <mergeCell ref="GZI5:GZO5"/>
    <mergeCell ref="GZP5:GZV5"/>
    <mergeCell ref="GZW5:HAC5"/>
    <mergeCell ref="HAD5:HAJ5"/>
    <mergeCell ref="HAK5:HAQ5"/>
    <mergeCell ref="GXL5:GXR5"/>
    <mergeCell ref="GXS5:GXY5"/>
    <mergeCell ref="GXZ5:GYF5"/>
    <mergeCell ref="GYG5:GYM5"/>
    <mergeCell ref="GYN5:GYT5"/>
    <mergeCell ref="GYU5:GZA5"/>
    <mergeCell ref="GVV5:GWB5"/>
    <mergeCell ref="GWC5:GWI5"/>
    <mergeCell ref="GWJ5:GWP5"/>
    <mergeCell ref="GWQ5:GWW5"/>
    <mergeCell ref="GWX5:GXD5"/>
    <mergeCell ref="GXE5:GXK5"/>
    <mergeCell ref="GUF5:GUL5"/>
    <mergeCell ref="GUM5:GUS5"/>
    <mergeCell ref="GUT5:GUZ5"/>
    <mergeCell ref="GVA5:GVG5"/>
    <mergeCell ref="GVH5:GVN5"/>
    <mergeCell ref="GVO5:GVU5"/>
    <mergeCell ref="GSP5:GSV5"/>
    <mergeCell ref="GSW5:GTC5"/>
    <mergeCell ref="GTD5:GTJ5"/>
    <mergeCell ref="GTK5:GTQ5"/>
    <mergeCell ref="GTR5:GTX5"/>
    <mergeCell ref="GTY5:GUE5"/>
    <mergeCell ref="GQZ5:GRF5"/>
    <mergeCell ref="GRG5:GRM5"/>
    <mergeCell ref="GRN5:GRT5"/>
    <mergeCell ref="GRU5:GSA5"/>
    <mergeCell ref="GSB5:GSH5"/>
    <mergeCell ref="GSI5:GSO5"/>
    <mergeCell ref="GPJ5:GPP5"/>
    <mergeCell ref="GPQ5:GPW5"/>
    <mergeCell ref="GPX5:GQD5"/>
    <mergeCell ref="GQE5:GQK5"/>
    <mergeCell ref="GQL5:GQR5"/>
    <mergeCell ref="GQS5:GQY5"/>
    <mergeCell ref="GNT5:GNZ5"/>
    <mergeCell ref="GOA5:GOG5"/>
    <mergeCell ref="GOH5:GON5"/>
    <mergeCell ref="GOO5:GOU5"/>
    <mergeCell ref="GOV5:GPB5"/>
    <mergeCell ref="GPC5:GPI5"/>
    <mergeCell ref="GMD5:GMJ5"/>
    <mergeCell ref="GMK5:GMQ5"/>
    <mergeCell ref="GMR5:GMX5"/>
    <mergeCell ref="GMY5:GNE5"/>
    <mergeCell ref="GNF5:GNL5"/>
    <mergeCell ref="GNM5:GNS5"/>
    <mergeCell ref="GKN5:GKT5"/>
    <mergeCell ref="GKU5:GLA5"/>
    <mergeCell ref="GLB5:GLH5"/>
    <mergeCell ref="GLI5:GLO5"/>
    <mergeCell ref="GLP5:GLV5"/>
    <mergeCell ref="GLW5:GMC5"/>
    <mergeCell ref="GIX5:GJD5"/>
    <mergeCell ref="GJE5:GJK5"/>
    <mergeCell ref="GJL5:GJR5"/>
    <mergeCell ref="GJS5:GJY5"/>
    <mergeCell ref="GJZ5:GKF5"/>
    <mergeCell ref="GKG5:GKM5"/>
    <mergeCell ref="GHH5:GHN5"/>
    <mergeCell ref="GHO5:GHU5"/>
    <mergeCell ref="GHV5:GIB5"/>
    <mergeCell ref="GIC5:GII5"/>
    <mergeCell ref="GIJ5:GIP5"/>
    <mergeCell ref="GIQ5:GIW5"/>
    <mergeCell ref="GFR5:GFX5"/>
    <mergeCell ref="GFY5:GGE5"/>
    <mergeCell ref="GGF5:GGL5"/>
    <mergeCell ref="GGM5:GGS5"/>
    <mergeCell ref="GGT5:GGZ5"/>
    <mergeCell ref="GHA5:GHG5"/>
    <mergeCell ref="GEB5:GEH5"/>
    <mergeCell ref="GEI5:GEO5"/>
    <mergeCell ref="GEP5:GEV5"/>
    <mergeCell ref="GEW5:GFC5"/>
    <mergeCell ref="GFD5:GFJ5"/>
    <mergeCell ref="GFK5:GFQ5"/>
    <mergeCell ref="GCL5:GCR5"/>
    <mergeCell ref="GCS5:GCY5"/>
    <mergeCell ref="GCZ5:GDF5"/>
    <mergeCell ref="GDG5:GDM5"/>
    <mergeCell ref="GDN5:GDT5"/>
    <mergeCell ref="GDU5:GEA5"/>
    <mergeCell ref="GAV5:GBB5"/>
    <mergeCell ref="GBC5:GBI5"/>
    <mergeCell ref="GBJ5:GBP5"/>
    <mergeCell ref="GBQ5:GBW5"/>
    <mergeCell ref="GBX5:GCD5"/>
    <mergeCell ref="GCE5:GCK5"/>
    <mergeCell ref="FZF5:FZL5"/>
    <mergeCell ref="FZM5:FZS5"/>
    <mergeCell ref="FZT5:FZZ5"/>
    <mergeCell ref="GAA5:GAG5"/>
    <mergeCell ref="GAH5:GAN5"/>
    <mergeCell ref="GAO5:GAU5"/>
    <mergeCell ref="FXP5:FXV5"/>
    <mergeCell ref="FXW5:FYC5"/>
    <mergeCell ref="FYD5:FYJ5"/>
    <mergeCell ref="FYK5:FYQ5"/>
    <mergeCell ref="FYR5:FYX5"/>
    <mergeCell ref="FYY5:FZE5"/>
    <mergeCell ref="FVZ5:FWF5"/>
    <mergeCell ref="FWG5:FWM5"/>
    <mergeCell ref="FWN5:FWT5"/>
    <mergeCell ref="FWU5:FXA5"/>
    <mergeCell ref="FXB5:FXH5"/>
    <mergeCell ref="FXI5:FXO5"/>
    <mergeCell ref="FUJ5:FUP5"/>
    <mergeCell ref="FUQ5:FUW5"/>
    <mergeCell ref="FUX5:FVD5"/>
    <mergeCell ref="FVE5:FVK5"/>
    <mergeCell ref="FVL5:FVR5"/>
    <mergeCell ref="FVS5:FVY5"/>
    <mergeCell ref="FST5:FSZ5"/>
    <mergeCell ref="FTA5:FTG5"/>
    <mergeCell ref="FTH5:FTN5"/>
    <mergeCell ref="FTO5:FTU5"/>
    <mergeCell ref="FTV5:FUB5"/>
    <mergeCell ref="FUC5:FUI5"/>
    <mergeCell ref="FRD5:FRJ5"/>
    <mergeCell ref="FRK5:FRQ5"/>
    <mergeCell ref="FRR5:FRX5"/>
    <mergeCell ref="FRY5:FSE5"/>
    <mergeCell ref="FSF5:FSL5"/>
    <mergeCell ref="FSM5:FSS5"/>
    <mergeCell ref="FPN5:FPT5"/>
    <mergeCell ref="FPU5:FQA5"/>
    <mergeCell ref="FQB5:FQH5"/>
    <mergeCell ref="FQI5:FQO5"/>
    <mergeCell ref="FQP5:FQV5"/>
    <mergeCell ref="FQW5:FRC5"/>
    <mergeCell ref="FNX5:FOD5"/>
    <mergeCell ref="FOE5:FOK5"/>
    <mergeCell ref="FOL5:FOR5"/>
    <mergeCell ref="FOS5:FOY5"/>
    <mergeCell ref="FOZ5:FPF5"/>
    <mergeCell ref="FPG5:FPM5"/>
    <mergeCell ref="FMH5:FMN5"/>
    <mergeCell ref="FMO5:FMU5"/>
    <mergeCell ref="FMV5:FNB5"/>
    <mergeCell ref="FNC5:FNI5"/>
    <mergeCell ref="FNJ5:FNP5"/>
    <mergeCell ref="FNQ5:FNW5"/>
    <mergeCell ref="FKR5:FKX5"/>
    <mergeCell ref="FKY5:FLE5"/>
    <mergeCell ref="FLF5:FLL5"/>
    <mergeCell ref="FLM5:FLS5"/>
    <mergeCell ref="FLT5:FLZ5"/>
    <mergeCell ref="FMA5:FMG5"/>
    <mergeCell ref="FJB5:FJH5"/>
    <mergeCell ref="FJI5:FJO5"/>
    <mergeCell ref="FJP5:FJV5"/>
    <mergeCell ref="FJW5:FKC5"/>
    <mergeCell ref="FKD5:FKJ5"/>
    <mergeCell ref="FKK5:FKQ5"/>
    <mergeCell ref="FHL5:FHR5"/>
    <mergeCell ref="FHS5:FHY5"/>
    <mergeCell ref="FHZ5:FIF5"/>
    <mergeCell ref="FIG5:FIM5"/>
    <mergeCell ref="FIN5:FIT5"/>
    <mergeCell ref="FIU5:FJA5"/>
    <mergeCell ref="FFV5:FGB5"/>
    <mergeCell ref="FGC5:FGI5"/>
    <mergeCell ref="FGJ5:FGP5"/>
    <mergeCell ref="FGQ5:FGW5"/>
    <mergeCell ref="FGX5:FHD5"/>
    <mergeCell ref="FHE5:FHK5"/>
    <mergeCell ref="FEF5:FEL5"/>
    <mergeCell ref="FEM5:FES5"/>
    <mergeCell ref="FET5:FEZ5"/>
    <mergeCell ref="FFA5:FFG5"/>
    <mergeCell ref="FFH5:FFN5"/>
    <mergeCell ref="FFO5:FFU5"/>
    <mergeCell ref="FCP5:FCV5"/>
    <mergeCell ref="FCW5:FDC5"/>
    <mergeCell ref="FDD5:FDJ5"/>
    <mergeCell ref="FDK5:FDQ5"/>
    <mergeCell ref="FDR5:FDX5"/>
    <mergeCell ref="FDY5:FEE5"/>
    <mergeCell ref="FAZ5:FBF5"/>
    <mergeCell ref="FBG5:FBM5"/>
    <mergeCell ref="FBN5:FBT5"/>
    <mergeCell ref="FBU5:FCA5"/>
    <mergeCell ref="FCB5:FCH5"/>
    <mergeCell ref="FCI5:FCO5"/>
    <mergeCell ref="EZJ5:EZP5"/>
    <mergeCell ref="EZQ5:EZW5"/>
    <mergeCell ref="EZX5:FAD5"/>
    <mergeCell ref="FAE5:FAK5"/>
    <mergeCell ref="FAL5:FAR5"/>
    <mergeCell ref="FAS5:FAY5"/>
    <mergeCell ref="EXT5:EXZ5"/>
    <mergeCell ref="EYA5:EYG5"/>
    <mergeCell ref="EYH5:EYN5"/>
    <mergeCell ref="EYO5:EYU5"/>
    <mergeCell ref="EYV5:EZB5"/>
    <mergeCell ref="EZC5:EZI5"/>
    <mergeCell ref="EWD5:EWJ5"/>
    <mergeCell ref="EWK5:EWQ5"/>
    <mergeCell ref="EWR5:EWX5"/>
    <mergeCell ref="EWY5:EXE5"/>
    <mergeCell ref="EXF5:EXL5"/>
    <mergeCell ref="EXM5:EXS5"/>
    <mergeCell ref="EUN5:EUT5"/>
    <mergeCell ref="EUU5:EVA5"/>
    <mergeCell ref="EVB5:EVH5"/>
    <mergeCell ref="EVI5:EVO5"/>
    <mergeCell ref="EVP5:EVV5"/>
    <mergeCell ref="EVW5:EWC5"/>
    <mergeCell ref="ESX5:ETD5"/>
    <mergeCell ref="ETE5:ETK5"/>
    <mergeCell ref="ETL5:ETR5"/>
    <mergeCell ref="ETS5:ETY5"/>
    <mergeCell ref="ETZ5:EUF5"/>
    <mergeCell ref="EUG5:EUM5"/>
    <mergeCell ref="ERH5:ERN5"/>
    <mergeCell ref="ERO5:ERU5"/>
    <mergeCell ref="ERV5:ESB5"/>
    <mergeCell ref="ESC5:ESI5"/>
    <mergeCell ref="ESJ5:ESP5"/>
    <mergeCell ref="ESQ5:ESW5"/>
    <mergeCell ref="EPR5:EPX5"/>
    <mergeCell ref="EPY5:EQE5"/>
    <mergeCell ref="EQF5:EQL5"/>
    <mergeCell ref="EQM5:EQS5"/>
    <mergeCell ref="EQT5:EQZ5"/>
    <mergeCell ref="ERA5:ERG5"/>
    <mergeCell ref="EOB5:EOH5"/>
    <mergeCell ref="EOI5:EOO5"/>
    <mergeCell ref="EOP5:EOV5"/>
    <mergeCell ref="EOW5:EPC5"/>
    <mergeCell ref="EPD5:EPJ5"/>
    <mergeCell ref="EPK5:EPQ5"/>
    <mergeCell ref="EML5:EMR5"/>
    <mergeCell ref="EMS5:EMY5"/>
    <mergeCell ref="EMZ5:ENF5"/>
    <mergeCell ref="ENG5:ENM5"/>
    <mergeCell ref="ENN5:ENT5"/>
    <mergeCell ref="ENU5:EOA5"/>
    <mergeCell ref="EKV5:ELB5"/>
    <mergeCell ref="ELC5:ELI5"/>
    <mergeCell ref="ELJ5:ELP5"/>
    <mergeCell ref="ELQ5:ELW5"/>
    <mergeCell ref="ELX5:EMD5"/>
    <mergeCell ref="EME5:EMK5"/>
    <mergeCell ref="EJF5:EJL5"/>
    <mergeCell ref="EJM5:EJS5"/>
    <mergeCell ref="EJT5:EJZ5"/>
    <mergeCell ref="EKA5:EKG5"/>
    <mergeCell ref="EKH5:EKN5"/>
    <mergeCell ref="EKO5:EKU5"/>
    <mergeCell ref="EHP5:EHV5"/>
    <mergeCell ref="EHW5:EIC5"/>
    <mergeCell ref="EID5:EIJ5"/>
    <mergeCell ref="EIK5:EIQ5"/>
    <mergeCell ref="EIR5:EIX5"/>
    <mergeCell ref="EIY5:EJE5"/>
    <mergeCell ref="EFZ5:EGF5"/>
    <mergeCell ref="EGG5:EGM5"/>
    <mergeCell ref="EGN5:EGT5"/>
    <mergeCell ref="EGU5:EHA5"/>
    <mergeCell ref="EHB5:EHH5"/>
    <mergeCell ref="EHI5:EHO5"/>
    <mergeCell ref="EEJ5:EEP5"/>
    <mergeCell ref="EEQ5:EEW5"/>
    <mergeCell ref="EEX5:EFD5"/>
    <mergeCell ref="EFE5:EFK5"/>
    <mergeCell ref="EFL5:EFR5"/>
    <mergeCell ref="EFS5:EFY5"/>
    <mergeCell ref="ECT5:ECZ5"/>
    <mergeCell ref="EDA5:EDG5"/>
    <mergeCell ref="EDH5:EDN5"/>
    <mergeCell ref="EDO5:EDU5"/>
    <mergeCell ref="EDV5:EEB5"/>
    <mergeCell ref="EEC5:EEI5"/>
    <mergeCell ref="EBD5:EBJ5"/>
    <mergeCell ref="EBK5:EBQ5"/>
    <mergeCell ref="EBR5:EBX5"/>
    <mergeCell ref="EBY5:ECE5"/>
    <mergeCell ref="ECF5:ECL5"/>
    <mergeCell ref="ECM5:ECS5"/>
    <mergeCell ref="DZN5:DZT5"/>
    <mergeCell ref="DZU5:EAA5"/>
    <mergeCell ref="EAB5:EAH5"/>
    <mergeCell ref="EAI5:EAO5"/>
    <mergeCell ref="EAP5:EAV5"/>
    <mergeCell ref="EAW5:EBC5"/>
    <mergeCell ref="DXX5:DYD5"/>
    <mergeCell ref="DYE5:DYK5"/>
    <mergeCell ref="DYL5:DYR5"/>
    <mergeCell ref="DYS5:DYY5"/>
    <mergeCell ref="DYZ5:DZF5"/>
    <mergeCell ref="DZG5:DZM5"/>
    <mergeCell ref="DWH5:DWN5"/>
    <mergeCell ref="DWO5:DWU5"/>
    <mergeCell ref="DWV5:DXB5"/>
    <mergeCell ref="DXC5:DXI5"/>
    <mergeCell ref="DXJ5:DXP5"/>
    <mergeCell ref="DXQ5:DXW5"/>
    <mergeCell ref="DUR5:DUX5"/>
    <mergeCell ref="DUY5:DVE5"/>
    <mergeCell ref="DVF5:DVL5"/>
    <mergeCell ref="DVM5:DVS5"/>
    <mergeCell ref="DVT5:DVZ5"/>
    <mergeCell ref="DWA5:DWG5"/>
    <mergeCell ref="DTB5:DTH5"/>
    <mergeCell ref="DTI5:DTO5"/>
    <mergeCell ref="DTP5:DTV5"/>
    <mergeCell ref="DTW5:DUC5"/>
    <mergeCell ref="DUD5:DUJ5"/>
    <mergeCell ref="DUK5:DUQ5"/>
    <mergeCell ref="DRL5:DRR5"/>
    <mergeCell ref="DRS5:DRY5"/>
    <mergeCell ref="DRZ5:DSF5"/>
    <mergeCell ref="DSG5:DSM5"/>
    <mergeCell ref="DSN5:DST5"/>
    <mergeCell ref="DSU5:DTA5"/>
    <mergeCell ref="DPV5:DQB5"/>
    <mergeCell ref="DQC5:DQI5"/>
    <mergeCell ref="DQJ5:DQP5"/>
    <mergeCell ref="DQQ5:DQW5"/>
    <mergeCell ref="DQX5:DRD5"/>
    <mergeCell ref="DRE5:DRK5"/>
    <mergeCell ref="DOF5:DOL5"/>
    <mergeCell ref="DOM5:DOS5"/>
    <mergeCell ref="DOT5:DOZ5"/>
    <mergeCell ref="DPA5:DPG5"/>
    <mergeCell ref="DPH5:DPN5"/>
    <mergeCell ref="DPO5:DPU5"/>
    <mergeCell ref="DMP5:DMV5"/>
    <mergeCell ref="DMW5:DNC5"/>
    <mergeCell ref="DND5:DNJ5"/>
    <mergeCell ref="DNK5:DNQ5"/>
    <mergeCell ref="DNR5:DNX5"/>
    <mergeCell ref="DNY5:DOE5"/>
    <mergeCell ref="DKZ5:DLF5"/>
    <mergeCell ref="DLG5:DLM5"/>
    <mergeCell ref="DLN5:DLT5"/>
    <mergeCell ref="DLU5:DMA5"/>
    <mergeCell ref="DMB5:DMH5"/>
    <mergeCell ref="DMI5:DMO5"/>
    <mergeCell ref="DJJ5:DJP5"/>
    <mergeCell ref="DJQ5:DJW5"/>
    <mergeCell ref="DJX5:DKD5"/>
    <mergeCell ref="DKE5:DKK5"/>
    <mergeCell ref="DKL5:DKR5"/>
    <mergeCell ref="DKS5:DKY5"/>
    <mergeCell ref="DHT5:DHZ5"/>
    <mergeCell ref="DIA5:DIG5"/>
    <mergeCell ref="DIH5:DIN5"/>
    <mergeCell ref="DIO5:DIU5"/>
    <mergeCell ref="DIV5:DJB5"/>
    <mergeCell ref="DJC5:DJI5"/>
    <mergeCell ref="DGD5:DGJ5"/>
    <mergeCell ref="DGK5:DGQ5"/>
    <mergeCell ref="DGR5:DGX5"/>
    <mergeCell ref="DGY5:DHE5"/>
    <mergeCell ref="DHF5:DHL5"/>
    <mergeCell ref="DHM5:DHS5"/>
    <mergeCell ref="DEN5:DET5"/>
    <mergeCell ref="DEU5:DFA5"/>
    <mergeCell ref="DFB5:DFH5"/>
    <mergeCell ref="DFI5:DFO5"/>
    <mergeCell ref="DFP5:DFV5"/>
    <mergeCell ref="DFW5:DGC5"/>
    <mergeCell ref="DCX5:DDD5"/>
    <mergeCell ref="DDE5:DDK5"/>
    <mergeCell ref="DDL5:DDR5"/>
    <mergeCell ref="DDS5:DDY5"/>
    <mergeCell ref="DDZ5:DEF5"/>
    <mergeCell ref="DEG5:DEM5"/>
    <mergeCell ref="DBH5:DBN5"/>
    <mergeCell ref="DBO5:DBU5"/>
    <mergeCell ref="DBV5:DCB5"/>
    <mergeCell ref="DCC5:DCI5"/>
    <mergeCell ref="DCJ5:DCP5"/>
    <mergeCell ref="DCQ5:DCW5"/>
    <mergeCell ref="CZR5:CZX5"/>
    <mergeCell ref="CZY5:DAE5"/>
    <mergeCell ref="DAF5:DAL5"/>
    <mergeCell ref="DAM5:DAS5"/>
    <mergeCell ref="DAT5:DAZ5"/>
    <mergeCell ref="DBA5:DBG5"/>
    <mergeCell ref="CYB5:CYH5"/>
    <mergeCell ref="CYI5:CYO5"/>
    <mergeCell ref="CYP5:CYV5"/>
    <mergeCell ref="CYW5:CZC5"/>
    <mergeCell ref="CZD5:CZJ5"/>
    <mergeCell ref="CZK5:CZQ5"/>
    <mergeCell ref="CWL5:CWR5"/>
    <mergeCell ref="CWS5:CWY5"/>
    <mergeCell ref="CWZ5:CXF5"/>
    <mergeCell ref="CXG5:CXM5"/>
    <mergeCell ref="CXN5:CXT5"/>
    <mergeCell ref="CXU5:CYA5"/>
    <mergeCell ref="CUV5:CVB5"/>
    <mergeCell ref="CVC5:CVI5"/>
    <mergeCell ref="CVJ5:CVP5"/>
    <mergeCell ref="CVQ5:CVW5"/>
    <mergeCell ref="CVX5:CWD5"/>
    <mergeCell ref="CWE5:CWK5"/>
    <mergeCell ref="CTF5:CTL5"/>
    <mergeCell ref="CTM5:CTS5"/>
    <mergeCell ref="CTT5:CTZ5"/>
    <mergeCell ref="CUA5:CUG5"/>
    <mergeCell ref="CUH5:CUN5"/>
    <mergeCell ref="CUO5:CUU5"/>
    <mergeCell ref="CRP5:CRV5"/>
    <mergeCell ref="CRW5:CSC5"/>
    <mergeCell ref="CSD5:CSJ5"/>
    <mergeCell ref="CSK5:CSQ5"/>
    <mergeCell ref="CSR5:CSX5"/>
    <mergeCell ref="CSY5:CTE5"/>
    <mergeCell ref="CPZ5:CQF5"/>
    <mergeCell ref="CQG5:CQM5"/>
    <mergeCell ref="CQN5:CQT5"/>
    <mergeCell ref="CQU5:CRA5"/>
    <mergeCell ref="CRB5:CRH5"/>
    <mergeCell ref="CRI5:CRO5"/>
    <mergeCell ref="COJ5:COP5"/>
    <mergeCell ref="COQ5:COW5"/>
    <mergeCell ref="COX5:CPD5"/>
    <mergeCell ref="CPE5:CPK5"/>
    <mergeCell ref="CPL5:CPR5"/>
    <mergeCell ref="CPS5:CPY5"/>
    <mergeCell ref="CMT5:CMZ5"/>
    <mergeCell ref="CNA5:CNG5"/>
    <mergeCell ref="CNH5:CNN5"/>
    <mergeCell ref="CNO5:CNU5"/>
    <mergeCell ref="CNV5:COB5"/>
    <mergeCell ref="COC5:COI5"/>
    <mergeCell ref="CLD5:CLJ5"/>
    <mergeCell ref="CLK5:CLQ5"/>
    <mergeCell ref="CLR5:CLX5"/>
    <mergeCell ref="CLY5:CME5"/>
    <mergeCell ref="CMF5:CML5"/>
    <mergeCell ref="CMM5:CMS5"/>
    <mergeCell ref="CJN5:CJT5"/>
    <mergeCell ref="CJU5:CKA5"/>
    <mergeCell ref="CKB5:CKH5"/>
    <mergeCell ref="CKI5:CKO5"/>
    <mergeCell ref="CKP5:CKV5"/>
    <mergeCell ref="CKW5:CLC5"/>
    <mergeCell ref="CHX5:CID5"/>
    <mergeCell ref="CIE5:CIK5"/>
    <mergeCell ref="CIL5:CIR5"/>
    <mergeCell ref="CIS5:CIY5"/>
    <mergeCell ref="CIZ5:CJF5"/>
    <mergeCell ref="CJG5:CJM5"/>
    <mergeCell ref="CGH5:CGN5"/>
    <mergeCell ref="CGO5:CGU5"/>
    <mergeCell ref="CGV5:CHB5"/>
    <mergeCell ref="CHC5:CHI5"/>
    <mergeCell ref="CHJ5:CHP5"/>
    <mergeCell ref="CHQ5:CHW5"/>
    <mergeCell ref="CER5:CEX5"/>
    <mergeCell ref="CEY5:CFE5"/>
    <mergeCell ref="CFF5:CFL5"/>
    <mergeCell ref="CFM5:CFS5"/>
    <mergeCell ref="CFT5:CFZ5"/>
    <mergeCell ref="CGA5:CGG5"/>
    <mergeCell ref="CDB5:CDH5"/>
    <mergeCell ref="CDI5:CDO5"/>
    <mergeCell ref="CDP5:CDV5"/>
    <mergeCell ref="CDW5:CEC5"/>
    <mergeCell ref="CED5:CEJ5"/>
    <mergeCell ref="CEK5:CEQ5"/>
    <mergeCell ref="CBL5:CBR5"/>
    <mergeCell ref="CBS5:CBY5"/>
    <mergeCell ref="CBZ5:CCF5"/>
    <mergeCell ref="CCG5:CCM5"/>
    <mergeCell ref="CCN5:CCT5"/>
    <mergeCell ref="CCU5:CDA5"/>
    <mergeCell ref="BZV5:CAB5"/>
    <mergeCell ref="CAC5:CAI5"/>
    <mergeCell ref="CAJ5:CAP5"/>
    <mergeCell ref="CAQ5:CAW5"/>
    <mergeCell ref="CAX5:CBD5"/>
    <mergeCell ref="CBE5:CBK5"/>
    <mergeCell ref="BYF5:BYL5"/>
    <mergeCell ref="BYM5:BYS5"/>
    <mergeCell ref="BYT5:BYZ5"/>
    <mergeCell ref="BZA5:BZG5"/>
    <mergeCell ref="BZH5:BZN5"/>
    <mergeCell ref="BZO5:BZU5"/>
    <mergeCell ref="BWP5:BWV5"/>
    <mergeCell ref="BWW5:BXC5"/>
    <mergeCell ref="BXD5:BXJ5"/>
    <mergeCell ref="BXK5:BXQ5"/>
    <mergeCell ref="BXR5:BXX5"/>
    <mergeCell ref="BXY5:BYE5"/>
    <mergeCell ref="BUZ5:BVF5"/>
    <mergeCell ref="BVG5:BVM5"/>
    <mergeCell ref="BVN5:BVT5"/>
    <mergeCell ref="BVU5:BWA5"/>
    <mergeCell ref="BWB5:BWH5"/>
    <mergeCell ref="BWI5:BWO5"/>
    <mergeCell ref="BTJ5:BTP5"/>
    <mergeCell ref="BTQ5:BTW5"/>
    <mergeCell ref="BTX5:BUD5"/>
    <mergeCell ref="BUE5:BUK5"/>
    <mergeCell ref="BUL5:BUR5"/>
    <mergeCell ref="BUS5:BUY5"/>
    <mergeCell ref="BRT5:BRZ5"/>
    <mergeCell ref="BSA5:BSG5"/>
    <mergeCell ref="BSH5:BSN5"/>
    <mergeCell ref="BSO5:BSU5"/>
    <mergeCell ref="BSV5:BTB5"/>
    <mergeCell ref="BTC5:BTI5"/>
    <mergeCell ref="BQD5:BQJ5"/>
    <mergeCell ref="BQK5:BQQ5"/>
    <mergeCell ref="BQR5:BQX5"/>
    <mergeCell ref="BQY5:BRE5"/>
    <mergeCell ref="BRF5:BRL5"/>
    <mergeCell ref="BRM5:BRS5"/>
    <mergeCell ref="BON5:BOT5"/>
    <mergeCell ref="BOU5:BPA5"/>
    <mergeCell ref="BPB5:BPH5"/>
    <mergeCell ref="BPI5:BPO5"/>
    <mergeCell ref="BPP5:BPV5"/>
    <mergeCell ref="BPW5:BQC5"/>
    <mergeCell ref="BMX5:BND5"/>
    <mergeCell ref="BNE5:BNK5"/>
    <mergeCell ref="BNL5:BNR5"/>
    <mergeCell ref="BNS5:BNY5"/>
    <mergeCell ref="BNZ5:BOF5"/>
    <mergeCell ref="BOG5:BOM5"/>
    <mergeCell ref="BLH5:BLN5"/>
    <mergeCell ref="BLO5:BLU5"/>
    <mergeCell ref="BLV5:BMB5"/>
    <mergeCell ref="BMC5:BMI5"/>
    <mergeCell ref="BMJ5:BMP5"/>
    <mergeCell ref="BMQ5:BMW5"/>
    <mergeCell ref="BJR5:BJX5"/>
    <mergeCell ref="BJY5:BKE5"/>
    <mergeCell ref="BKF5:BKL5"/>
    <mergeCell ref="BKM5:BKS5"/>
    <mergeCell ref="BKT5:BKZ5"/>
    <mergeCell ref="BLA5:BLG5"/>
    <mergeCell ref="BIB5:BIH5"/>
    <mergeCell ref="BII5:BIO5"/>
    <mergeCell ref="BIP5:BIV5"/>
    <mergeCell ref="BIW5:BJC5"/>
    <mergeCell ref="BJD5:BJJ5"/>
    <mergeCell ref="BJK5:BJQ5"/>
    <mergeCell ref="BGL5:BGR5"/>
    <mergeCell ref="BGS5:BGY5"/>
    <mergeCell ref="BGZ5:BHF5"/>
    <mergeCell ref="BHG5:BHM5"/>
    <mergeCell ref="BHN5:BHT5"/>
    <mergeCell ref="BHU5:BIA5"/>
    <mergeCell ref="BEV5:BFB5"/>
    <mergeCell ref="BFC5:BFI5"/>
    <mergeCell ref="BFJ5:BFP5"/>
    <mergeCell ref="BFQ5:BFW5"/>
    <mergeCell ref="BFX5:BGD5"/>
    <mergeCell ref="BGE5:BGK5"/>
    <mergeCell ref="BDF5:BDL5"/>
    <mergeCell ref="BDM5:BDS5"/>
    <mergeCell ref="BDT5:BDZ5"/>
    <mergeCell ref="BEA5:BEG5"/>
    <mergeCell ref="BEH5:BEN5"/>
    <mergeCell ref="BEO5:BEU5"/>
    <mergeCell ref="BBP5:BBV5"/>
    <mergeCell ref="BBW5:BCC5"/>
    <mergeCell ref="BCD5:BCJ5"/>
    <mergeCell ref="BCK5:BCQ5"/>
    <mergeCell ref="BCR5:BCX5"/>
    <mergeCell ref="BCY5:BDE5"/>
    <mergeCell ref="AZZ5:BAF5"/>
    <mergeCell ref="BAG5:BAM5"/>
    <mergeCell ref="BAN5:BAT5"/>
    <mergeCell ref="BAU5:BBA5"/>
    <mergeCell ref="BBB5:BBH5"/>
    <mergeCell ref="BBI5:BBO5"/>
    <mergeCell ref="AYJ5:AYP5"/>
    <mergeCell ref="AYQ5:AYW5"/>
    <mergeCell ref="AYX5:AZD5"/>
    <mergeCell ref="AZE5:AZK5"/>
    <mergeCell ref="AZL5:AZR5"/>
    <mergeCell ref="AZS5:AZY5"/>
    <mergeCell ref="AWT5:AWZ5"/>
    <mergeCell ref="AXA5:AXG5"/>
    <mergeCell ref="AXH5:AXN5"/>
    <mergeCell ref="AXO5:AXU5"/>
    <mergeCell ref="AXV5:AYB5"/>
    <mergeCell ref="AYC5:AYI5"/>
    <mergeCell ref="AVD5:AVJ5"/>
    <mergeCell ref="AVK5:AVQ5"/>
    <mergeCell ref="AVR5:AVX5"/>
    <mergeCell ref="AVY5:AWE5"/>
    <mergeCell ref="AWF5:AWL5"/>
    <mergeCell ref="AWM5:AWS5"/>
    <mergeCell ref="ATN5:ATT5"/>
    <mergeCell ref="ATU5:AUA5"/>
    <mergeCell ref="AUB5:AUH5"/>
    <mergeCell ref="AUI5:AUO5"/>
    <mergeCell ref="AUP5:AUV5"/>
    <mergeCell ref="AUW5:AVC5"/>
    <mergeCell ref="ARX5:ASD5"/>
    <mergeCell ref="ASE5:ASK5"/>
    <mergeCell ref="ASL5:ASR5"/>
    <mergeCell ref="ASS5:ASY5"/>
    <mergeCell ref="ASZ5:ATF5"/>
    <mergeCell ref="ATG5:ATM5"/>
    <mergeCell ref="AQH5:AQN5"/>
    <mergeCell ref="AQO5:AQU5"/>
    <mergeCell ref="AQV5:ARB5"/>
    <mergeCell ref="ARC5:ARI5"/>
    <mergeCell ref="ARJ5:ARP5"/>
    <mergeCell ref="ARQ5:ARW5"/>
    <mergeCell ref="AOR5:AOX5"/>
    <mergeCell ref="AOY5:APE5"/>
    <mergeCell ref="APF5:APL5"/>
    <mergeCell ref="APM5:APS5"/>
    <mergeCell ref="APT5:APZ5"/>
    <mergeCell ref="AQA5:AQG5"/>
    <mergeCell ref="ANB5:ANH5"/>
    <mergeCell ref="ANI5:ANO5"/>
    <mergeCell ref="ANP5:ANV5"/>
    <mergeCell ref="ANW5:AOC5"/>
    <mergeCell ref="AOD5:AOJ5"/>
    <mergeCell ref="AOK5:AOQ5"/>
    <mergeCell ref="ALL5:ALR5"/>
    <mergeCell ref="ALS5:ALY5"/>
    <mergeCell ref="ALZ5:AMF5"/>
    <mergeCell ref="AMG5:AMM5"/>
    <mergeCell ref="AMN5:AMT5"/>
    <mergeCell ref="AMU5:ANA5"/>
    <mergeCell ref="AJV5:AKB5"/>
    <mergeCell ref="AKC5:AKI5"/>
    <mergeCell ref="AKJ5:AKP5"/>
    <mergeCell ref="AKQ5:AKW5"/>
    <mergeCell ref="AKX5:ALD5"/>
    <mergeCell ref="ALE5:ALK5"/>
    <mergeCell ref="AIF5:AIL5"/>
    <mergeCell ref="AIM5:AIS5"/>
    <mergeCell ref="AIT5:AIZ5"/>
    <mergeCell ref="AJA5:AJG5"/>
    <mergeCell ref="AJH5:AJN5"/>
    <mergeCell ref="AJO5:AJU5"/>
    <mergeCell ref="AGP5:AGV5"/>
    <mergeCell ref="AGW5:AHC5"/>
    <mergeCell ref="AHD5:AHJ5"/>
    <mergeCell ref="AHK5:AHQ5"/>
    <mergeCell ref="AHR5:AHX5"/>
    <mergeCell ref="AHY5:AIE5"/>
    <mergeCell ref="AEZ5:AFF5"/>
    <mergeCell ref="AFG5:AFM5"/>
    <mergeCell ref="AFN5:AFT5"/>
    <mergeCell ref="AFU5:AGA5"/>
    <mergeCell ref="AGB5:AGH5"/>
    <mergeCell ref="AGI5:AGO5"/>
    <mergeCell ref="ADJ5:ADP5"/>
    <mergeCell ref="ADQ5:ADW5"/>
    <mergeCell ref="ADX5:AED5"/>
    <mergeCell ref="AEE5:AEK5"/>
    <mergeCell ref="AEL5:AER5"/>
    <mergeCell ref="AES5:AEY5"/>
    <mergeCell ref="ABT5:ABZ5"/>
    <mergeCell ref="ACA5:ACG5"/>
    <mergeCell ref="ACH5:ACN5"/>
    <mergeCell ref="ACO5:ACU5"/>
    <mergeCell ref="ACV5:ADB5"/>
    <mergeCell ref="ADC5:ADI5"/>
    <mergeCell ref="AAD5:AAJ5"/>
    <mergeCell ref="AAK5:AAQ5"/>
    <mergeCell ref="AAR5:AAX5"/>
    <mergeCell ref="AAY5:ABE5"/>
    <mergeCell ref="ABF5:ABL5"/>
    <mergeCell ref="ABM5:ABS5"/>
    <mergeCell ref="YN5:YT5"/>
    <mergeCell ref="YU5:ZA5"/>
    <mergeCell ref="ZB5:ZH5"/>
    <mergeCell ref="ZI5:ZO5"/>
    <mergeCell ref="ZP5:ZV5"/>
    <mergeCell ref="ZW5:AAC5"/>
    <mergeCell ref="WX5:XD5"/>
    <mergeCell ref="XE5:XK5"/>
    <mergeCell ref="XL5:XR5"/>
    <mergeCell ref="XS5:XY5"/>
    <mergeCell ref="XZ5:YF5"/>
    <mergeCell ref="YG5:YM5"/>
    <mergeCell ref="VH5:VN5"/>
    <mergeCell ref="VO5:VU5"/>
    <mergeCell ref="VV5:WB5"/>
    <mergeCell ref="WC5:WI5"/>
    <mergeCell ref="WJ5:WP5"/>
    <mergeCell ref="WQ5:WW5"/>
    <mergeCell ref="TR5:TX5"/>
    <mergeCell ref="TY5:UE5"/>
    <mergeCell ref="UF5:UL5"/>
    <mergeCell ref="UM5:US5"/>
    <mergeCell ref="UT5:UZ5"/>
    <mergeCell ref="VA5:VG5"/>
    <mergeCell ref="SB5:SH5"/>
    <mergeCell ref="SI5:SO5"/>
    <mergeCell ref="SP5:SV5"/>
    <mergeCell ref="SW5:TC5"/>
    <mergeCell ref="TD5:TJ5"/>
    <mergeCell ref="TK5:TQ5"/>
    <mergeCell ref="QL5:QR5"/>
    <mergeCell ref="QS5:QY5"/>
    <mergeCell ref="QZ5:RF5"/>
    <mergeCell ref="RG5:RM5"/>
    <mergeCell ref="RN5:RT5"/>
    <mergeCell ref="RU5:SA5"/>
    <mergeCell ref="OV5:PB5"/>
    <mergeCell ref="PC5:PI5"/>
    <mergeCell ref="PJ5:PP5"/>
    <mergeCell ref="PQ5:PW5"/>
    <mergeCell ref="PX5:QD5"/>
    <mergeCell ref="QE5:QK5"/>
    <mergeCell ref="NF5:NL5"/>
    <mergeCell ref="NM5:NS5"/>
    <mergeCell ref="NT5:NZ5"/>
    <mergeCell ref="OA5:OG5"/>
    <mergeCell ref="OH5:ON5"/>
    <mergeCell ref="OO5:OU5"/>
    <mergeCell ref="LP5:LV5"/>
    <mergeCell ref="LW5:MC5"/>
    <mergeCell ref="MD5:MJ5"/>
    <mergeCell ref="MK5:MQ5"/>
    <mergeCell ref="MR5:MX5"/>
    <mergeCell ref="MY5:NE5"/>
    <mergeCell ref="JZ5:KF5"/>
    <mergeCell ref="KG5:KM5"/>
    <mergeCell ref="KN5:KT5"/>
    <mergeCell ref="KU5:LA5"/>
    <mergeCell ref="LB5:LH5"/>
    <mergeCell ref="LI5:LO5"/>
    <mergeCell ref="IJ5:IP5"/>
    <mergeCell ref="IQ5:IW5"/>
    <mergeCell ref="IX5:JD5"/>
    <mergeCell ref="JE5:JK5"/>
    <mergeCell ref="JL5:JR5"/>
    <mergeCell ref="JS5:JY5"/>
    <mergeCell ref="GT5:GZ5"/>
    <mergeCell ref="HA5:HG5"/>
    <mergeCell ref="HH5:HN5"/>
    <mergeCell ref="HO5:HU5"/>
    <mergeCell ref="HV5:IB5"/>
    <mergeCell ref="IC5:II5"/>
    <mergeCell ref="FD5:FJ5"/>
    <mergeCell ref="FK5:FQ5"/>
    <mergeCell ref="FR5:FX5"/>
    <mergeCell ref="FY5:GE5"/>
    <mergeCell ref="GF5:GL5"/>
    <mergeCell ref="GM5:GS5"/>
    <mergeCell ref="DN5:DT5"/>
    <mergeCell ref="DU5:EA5"/>
    <mergeCell ref="EB5:EH5"/>
    <mergeCell ref="EI5:EO5"/>
    <mergeCell ref="EP5:EV5"/>
    <mergeCell ref="EW5:FC5"/>
    <mergeCell ref="BX5:CD5"/>
    <mergeCell ref="CE5:CK5"/>
    <mergeCell ref="CL5:CR5"/>
    <mergeCell ref="CS5:CY5"/>
    <mergeCell ref="CZ5:DF5"/>
    <mergeCell ref="DG5:DM5"/>
    <mergeCell ref="AH5:AN5"/>
    <mergeCell ref="AO5:AU5"/>
    <mergeCell ref="AV5:BB5"/>
    <mergeCell ref="BC5:BI5"/>
    <mergeCell ref="BJ5:BP5"/>
    <mergeCell ref="BQ5:BW5"/>
    <mergeCell ref="A4:H4"/>
    <mergeCell ref="A5:H5"/>
    <mergeCell ref="I5:L5"/>
    <mergeCell ref="M5:S5"/>
    <mergeCell ref="T5:Z5"/>
    <mergeCell ref="AA5:AG5"/>
    <mergeCell ref="A1:H1"/>
    <mergeCell ref="I1:N1"/>
    <mergeCell ref="A2:H2"/>
    <mergeCell ref="I2:N2"/>
    <mergeCell ref="A3:H3"/>
    <mergeCell ref="I3:N3"/>
  </mergeCells>
  <printOptions horizontalCentered="1"/>
  <pageMargins left="0.5" right="0.5" top="0.75" bottom="0.75" header="0.5" footer="0.5"/>
  <pageSetup scale="90" fitToHeight="3" orientation="landscape" r:id="rId1"/>
  <headerFooter alignWithMargins="0">
    <oddFooter>&amp;C&amp;"Times New Roman,Regular"Page &amp;P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518CD-BCBF-436F-AC7A-8AFE1A6F02B3}">
  <sheetPr>
    <tabColor rgb="FFCCFFFF"/>
  </sheetPr>
  <dimension ref="A1:J267"/>
  <sheetViews>
    <sheetView zoomScaleNormal="100" workbookViewId="0">
      <selection activeCell="A11" sqref="A11"/>
    </sheetView>
  </sheetViews>
  <sheetFormatPr defaultColWidth="10.5859375" defaultRowHeight="12.6" x14ac:dyDescent="0.45"/>
  <cols>
    <col min="1" max="2" width="12.05859375" style="198" customWidth="1"/>
    <col min="3" max="3" width="24.05859375" style="142" customWidth="1"/>
    <col min="4" max="4" width="88" style="142" customWidth="1"/>
    <col min="5" max="5" width="12.05859375" style="169" customWidth="1"/>
    <col min="6" max="6" width="7.46875" style="199" customWidth="1"/>
    <col min="7" max="7" width="11.5859375" style="200" customWidth="1"/>
    <col min="8" max="8" width="15.3515625" style="201" customWidth="1"/>
    <col min="9" max="16384" width="10.5859375" style="142"/>
  </cols>
  <sheetData>
    <row r="1" spans="1:9" ht="12.75" customHeight="1" x14ac:dyDescent="0.45">
      <c r="A1" s="390" t="s">
        <v>4992</v>
      </c>
      <c r="B1" s="390"/>
      <c r="C1" s="390"/>
      <c r="D1" s="390"/>
      <c r="E1" s="390"/>
      <c r="F1" s="390"/>
      <c r="G1" s="390"/>
      <c r="H1" s="390"/>
    </row>
    <row r="2" spans="1:9" ht="12.75" customHeight="1" x14ac:dyDescent="0.45">
      <c r="A2" s="390" t="s">
        <v>0</v>
      </c>
      <c r="B2" s="390"/>
      <c r="C2" s="390"/>
      <c r="D2" s="390"/>
      <c r="E2" s="390"/>
      <c r="F2" s="390"/>
      <c r="G2" s="390"/>
      <c r="H2" s="390"/>
    </row>
    <row r="3" spans="1:9" ht="12.75" customHeight="1" x14ac:dyDescent="0.45">
      <c r="A3" s="390" t="s">
        <v>4991</v>
      </c>
      <c r="B3" s="390"/>
      <c r="C3" s="390"/>
      <c r="D3" s="390"/>
      <c r="E3" s="390"/>
      <c r="F3" s="390"/>
      <c r="G3" s="390"/>
      <c r="H3" s="390"/>
    </row>
    <row r="4" spans="1:9" x14ac:dyDescent="0.45">
      <c r="A4" s="410"/>
      <c r="B4" s="410"/>
      <c r="C4" s="410"/>
      <c r="D4" s="410"/>
      <c r="E4" s="410"/>
      <c r="F4" s="410"/>
      <c r="G4" s="410"/>
      <c r="H4" s="410"/>
    </row>
    <row r="5" spans="1:9" x14ac:dyDescent="0.45">
      <c r="A5" s="410" t="s">
        <v>5003</v>
      </c>
      <c r="B5" s="410"/>
      <c r="C5" s="410"/>
      <c r="D5" s="410"/>
      <c r="E5" s="410"/>
      <c r="F5" s="410"/>
      <c r="G5" s="410"/>
      <c r="H5" s="410"/>
    </row>
    <row r="6" spans="1:9" x14ac:dyDescent="0.45">
      <c r="A6" s="410" t="s">
        <v>2272</v>
      </c>
      <c r="B6" s="410"/>
      <c r="C6" s="410"/>
      <c r="D6" s="410"/>
      <c r="E6" s="410"/>
      <c r="F6" s="410"/>
      <c r="G6" s="410"/>
      <c r="H6" s="410"/>
    </row>
    <row r="7" spans="1:9" x14ac:dyDescent="0.45">
      <c r="A7" s="410"/>
      <c r="B7" s="410"/>
      <c r="C7" s="410"/>
      <c r="D7" s="410"/>
      <c r="E7" s="410"/>
      <c r="F7" s="410"/>
      <c r="G7" s="410"/>
      <c r="H7" s="410"/>
    </row>
    <row r="8" spans="1:9" x14ac:dyDescent="0.45">
      <c r="A8" s="413" t="s">
        <v>2273</v>
      </c>
      <c r="B8" s="414"/>
      <c r="C8" s="414"/>
      <c r="D8" s="415"/>
      <c r="E8" s="415"/>
      <c r="F8" s="415"/>
      <c r="G8" s="415"/>
      <c r="H8" s="416"/>
    </row>
    <row r="9" spans="1:9" ht="27.7" customHeight="1" x14ac:dyDescent="0.45">
      <c r="A9" s="417" t="s">
        <v>457</v>
      </c>
      <c r="B9" s="418"/>
      <c r="C9" s="418"/>
      <c r="D9" s="418"/>
      <c r="E9" s="418"/>
      <c r="F9" s="418"/>
      <c r="G9" s="418"/>
      <c r="H9" s="419"/>
    </row>
    <row r="10" spans="1:9" x14ac:dyDescent="0.45">
      <c r="A10" s="420" t="s">
        <v>2274</v>
      </c>
      <c r="B10" s="421"/>
      <c r="C10" s="421"/>
      <c r="D10" s="421"/>
      <c r="E10" s="421"/>
      <c r="F10" s="421"/>
      <c r="G10" s="421"/>
      <c r="H10" s="422"/>
    </row>
    <row r="11" spans="1:9" s="207" customFormat="1" ht="24.6" x14ac:dyDescent="0.45">
      <c r="A11" s="435" t="s">
        <v>459</v>
      </c>
      <c r="B11" s="143" t="s">
        <v>460</v>
      </c>
      <c r="C11" s="144" t="s">
        <v>461</v>
      </c>
      <c r="D11" s="145" t="s">
        <v>462</v>
      </c>
      <c r="E11" s="146" t="s">
        <v>463</v>
      </c>
      <c r="F11" s="147" t="s">
        <v>464</v>
      </c>
      <c r="G11" s="148" t="s">
        <v>465</v>
      </c>
      <c r="H11" s="149" t="s">
        <v>466</v>
      </c>
    </row>
    <row r="12" spans="1:9" s="208" customFormat="1" x14ac:dyDescent="0.45">
      <c r="A12" s="423" t="s">
        <v>467</v>
      </c>
      <c r="B12" s="424"/>
      <c r="C12" s="425"/>
      <c r="D12" s="425"/>
      <c r="E12" s="150"/>
      <c r="F12" s="151"/>
      <c r="G12" s="152"/>
      <c r="H12" s="153"/>
    </row>
    <row r="13" spans="1:9" ht="7.5" customHeight="1" x14ac:dyDescent="0.45">
      <c r="A13" s="154"/>
      <c r="B13" s="154"/>
      <c r="C13" s="155"/>
      <c r="D13" s="155"/>
      <c r="E13" s="156"/>
      <c r="F13" s="155"/>
      <c r="G13" s="157"/>
      <c r="H13" s="158"/>
    </row>
    <row r="14" spans="1:9" ht="13" customHeight="1" x14ac:dyDescent="0.45">
      <c r="A14" s="159"/>
      <c r="B14" s="160">
        <v>200000</v>
      </c>
      <c r="C14" s="159"/>
      <c r="D14" s="159" t="s">
        <v>468</v>
      </c>
      <c r="E14" s="209"/>
      <c r="F14" s="209"/>
      <c r="G14" s="210"/>
      <c r="H14" s="211"/>
    </row>
    <row r="15" spans="1:9" ht="50.4" x14ac:dyDescent="0.45">
      <c r="A15" s="164" t="s">
        <v>2275</v>
      </c>
      <c r="B15" s="164"/>
      <c r="C15" s="212" t="s">
        <v>470</v>
      </c>
      <c r="D15" s="165" t="s">
        <v>471</v>
      </c>
      <c r="E15" s="166"/>
      <c r="F15" s="164" t="s">
        <v>472</v>
      </c>
      <c r="G15" s="167">
        <v>5</v>
      </c>
      <c r="H15" s="168">
        <f>SUM(E15)*G15</f>
        <v>0</v>
      </c>
      <c r="I15" s="169"/>
    </row>
    <row r="16" spans="1:9" x14ac:dyDescent="0.45">
      <c r="A16" s="118" t="s">
        <v>2276</v>
      </c>
      <c r="B16" s="184" t="s">
        <v>180</v>
      </c>
      <c r="D16" s="120"/>
      <c r="E16" s="171"/>
      <c r="F16" s="171"/>
      <c r="G16" s="142"/>
      <c r="H16" s="168"/>
    </row>
    <row r="17" spans="1:8" ht="13" customHeight="1" x14ac:dyDescent="0.45">
      <c r="A17" s="159"/>
      <c r="B17" s="159">
        <v>1401000</v>
      </c>
      <c r="C17" s="159"/>
      <c r="D17" s="159" t="s">
        <v>474</v>
      </c>
      <c r="E17" s="159"/>
      <c r="F17" s="159"/>
      <c r="G17" s="159"/>
      <c r="H17" s="163"/>
    </row>
    <row r="18" spans="1:8" ht="75.599999999999994" x14ac:dyDescent="0.45">
      <c r="A18" s="171" t="s">
        <v>2277</v>
      </c>
      <c r="B18" s="171"/>
      <c r="C18" s="184" t="s">
        <v>476</v>
      </c>
      <c r="D18" s="106" t="s">
        <v>477</v>
      </c>
      <c r="E18" s="166"/>
      <c r="F18" s="171" t="s">
        <v>472</v>
      </c>
      <c r="G18" s="172">
        <v>4</v>
      </c>
      <c r="H18" s="168">
        <f t="shared" ref="H18:H29" si="0">SUM(E18)*G18</f>
        <v>0</v>
      </c>
    </row>
    <row r="19" spans="1:8" ht="50.4" x14ac:dyDescent="0.45">
      <c r="A19" s="171" t="s">
        <v>2278</v>
      </c>
      <c r="B19" s="171"/>
      <c r="C19" s="106" t="s">
        <v>479</v>
      </c>
      <c r="D19" s="106" t="s">
        <v>480</v>
      </c>
      <c r="E19" s="166"/>
      <c r="F19" s="171" t="s">
        <v>472</v>
      </c>
      <c r="G19" s="172">
        <v>4</v>
      </c>
      <c r="H19" s="168">
        <f t="shared" si="0"/>
        <v>0</v>
      </c>
    </row>
    <row r="20" spans="1:8" ht="50.4" x14ac:dyDescent="0.45">
      <c r="A20" s="171" t="s">
        <v>2279</v>
      </c>
      <c r="B20" s="171"/>
      <c r="C20" s="106" t="s">
        <v>482</v>
      </c>
      <c r="D20" s="106" t="s">
        <v>483</v>
      </c>
      <c r="E20" s="166"/>
      <c r="F20" s="171" t="s">
        <v>472</v>
      </c>
      <c r="G20" s="172">
        <v>4</v>
      </c>
      <c r="H20" s="168">
        <f t="shared" si="0"/>
        <v>0</v>
      </c>
    </row>
    <row r="21" spans="1:8" ht="50.4" x14ac:dyDescent="0.45">
      <c r="A21" s="171" t="s">
        <v>2280</v>
      </c>
      <c r="B21" s="171"/>
      <c r="C21" s="106" t="s">
        <v>485</v>
      </c>
      <c r="D21" s="106" t="s">
        <v>486</v>
      </c>
      <c r="E21" s="166"/>
      <c r="F21" s="171" t="s">
        <v>472</v>
      </c>
      <c r="G21" s="172">
        <v>8</v>
      </c>
      <c r="H21" s="168">
        <f t="shared" si="0"/>
        <v>0</v>
      </c>
    </row>
    <row r="22" spans="1:8" ht="63" x14ac:dyDescent="0.45">
      <c r="A22" s="171" t="s">
        <v>2281</v>
      </c>
      <c r="B22" s="171"/>
      <c r="C22" s="106" t="s">
        <v>488</v>
      </c>
      <c r="D22" s="106" t="s">
        <v>489</v>
      </c>
      <c r="E22" s="166"/>
      <c r="F22" s="171" t="s">
        <v>472</v>
      </c>
      <c r="G22" s="172">
        <v>4</v>
      </c>
      <c r="H22" s="168">
        <f t="shared" si="0"/>
        <v>0</v>
      </c>
    </row>
    <row r="23" spans="1:8" ht="50.4" x14ac:dyDescent="0.45">
      <c r="A23" s="171" t="s">
        <v>2282</v>
      </c>
      <c r="B23" s="171"/>
      <c r="C23" s="106" t="s">
        <v>491</v>
      </c>
      <c r="D23" s="106" t="s">
        <v>492</v>
      </c>
      <c r="E23" s="166"/>
      <c r="F23" s="171" t="s">
        <v>472</v>
      </c>
      <c r="G23" s="172">
        <v>4</v>
      </c>
      <c r="H23" s="168">
        <f t="shared" si="0"/>
        <v>0</v>
      </c>
    </row>
    <row r="24" spans="1:8" ht="50.4" x14ac:dyDescent="0.45">
      <c r="A24" s="171" t="s">
        <v>2283</v>
      </c>
      <c r="B24" s="171"/>
      <c r="C24" s="106" t="s">
        <v>494</v>
      </c>
      <c r="D24" s="106" t="s">
        <v>495</v>
      </c>
      <c r="E24" s="166"/>
      <c r="F24" s="171" t="s">
        <v>472</v>
      </c>
      <c r="G24" s="172">
        <v>4</v>
      </c>
      <c r="H24" s="168">
        <f t="shared" si="0"/>
        <v>0</v>
      </c>
    </row>
    <row r="25" spans="1:8" ht="50.4" x14ac:dyDescent="0.45">
      <c r="A25" s="171" t="s">
        <v>2284</v>
      </c>
      <c r="B25" s="171"/>
      <c r="C25" s="106" t="s">
        <v>497</v>
      </c>
      <c r="D25" s="106" t="s">
        <v>498</v>
      </c>
      <c r="E25" s="166"/>
      <c r="F25" s="171" t="s">
        <v>472</v>
      </c>
      <c r="G25" s="172">
        <v>4</v>
      </c>
      <c r="H25" s="168">
        <f t="shared" si="0"/>
        <v>0</v>
      </c>
    </row>
    <row r="26" spans="1:8" ht="50.4" x14ac:dyDescent="0.45">
      <c r="A26" s="171" t="s">
        <v>2285</v>
      </c>
      <c r="B26" s="171"/>
      <c r="C26" s="106" t="s">
        <v>500</v>
      </c>
      <c r="D26" s="106" t="s">
        <v>501</v>
      </c>
      <c r="E26" s="166"/>
      <c r="F26" s="171" t="s">
        <v>472</v>
      </c>
      <c r="G26" s="172">
        <v>4</v>
      </c>
      <c r="H26" s="168">
        <f t="shared" si="0"/>
        <v>0</v>
      </c>
    </row>
    <row r="27" spans="1:8" s="177" customFormat="1" ht="100.8" x14ac:dyDescent="0.45">
      <c r="A27" s="173" t="s">
        <v>2286</v>
      </c>
      <c r="B27" s="173"/>
      <c r="C27" s="174" t="s">
        <v>503</v>
      </c>
      <c r="D27" s="174" t="s">
        <v>504</v>
      </c>
      <c r="E27" s="166"/>
      <c r="F27" s="173" t="s">
        <v>472</v>
      </c>
      <c r="G27" s="175">
        <v>10</v>
      </c>
      <c r="H27" s="176">
        <f t="shared" si="0"/>
        <v>0</v>
      </c>
    </row>
    <row r="28" spans="1:8" ht="75.599999999999994" x14ac:dyDescent="0.45">
      <c r="A28" s="171" t="s">
        <v>2287</v>
      </c>
      <c r="B28" s="171"/>
      <c r="C28" s="106" t="s">
        <v>506</v>
      </c>
      <c r="D28" s="178" t="s">
        <v>507</v>
      </c>
      <c r="E28" s="166"/>
      <c r="F28" s="171" t="s">
        <v>508</v>
      </c>
      <c r="G28" s="172">
        <v>300</v>
      </c>
      <c r="H28" s="168">
        <f t="shared" si="0"/>
        <v>0</v>
      </c>
    </row>
    <row r="29" spans="1:8" ht="75.599999999999994" x14ac:dyDescent="0.45">
      <c r="A29" s="171" t="s">
        <v>2288</v>
      </c>
      <c r="B29" s="171"/>
      <c r="C29" s="106" t="s">
        <v>510</v>
      </c>
      <c r="D29" s="178" t="s">
        <v>511</v>
      </c>
      <c r="E29" s="166"/>
      <c r="F29" s="171" t="s">
        <v>508</v>
      </c>
      <c r="G29" s="172">
        <v>300</v>
      </c>
      <c r="H29" s="168">
        <f t="shared" si="0"/>
        <v>0</v>
      </c>
    </row>
    <row r="30" spans="1:8" x14ac:dyDescent="0.45">
      <c r="A30" s="118" t="s">
        <v>2289</v>
      </c>
      <c r="B30" s="184" t="s">
        <v>180</v>
      </c>
      <c r="D30" s="120"/>
      <c r="E30" s="171"/>
      <c r="F30" s="218"/>
      <c r="G30" s="218"/>
      <c r="H30" s="168"/>
    </row>
    <row r="31" spans="1:8" ht="13" customHeight="1" x14ac:dyDescent="0.45">
      <c r="A31" s="159"/>
      <c r="B31" s="159">
        <v>1402000</v>
      </c>
      <c r="C31" s="159"/>
      <c r="D31" s="159" t="s">
        <v>513</v>
      </c>
      <c r="E31" s="159"/>
      <c r="F31" s="159"/>
      <c r="G31" s="159"/>
      <c r="H31" s="163"/>
    </row>
    <row r="32" spans="1:8" ht="63" x14ac:dyDescent="0.45">
      <c r="A32" s="171" t="s">
        <v>2290</v>
      </c>
      <c r="B32" s="171"/>
      <c r="C32" s="184" t="s">
        <v>515</v>
      </c>
      <c r="D32" s="184" t="s">
        <v>516</v>
      </c>
      <c r="E32" s="166"/>
      <c r="F32" s="171" t="s">
        <v>472</v>
      </c>
      <c r="G32" s="172">
        <v>50</v>
      </c>
      <c r="H32" s="168">
        <f>SUM(E32)*G32</f>
        <v>0</v>
      </c>
    </row>
    <row r="33" spans="1:8" ht="63" x14ac:dyDescent="0.45">
      <c r="A33" s="171" t="s">
        <v>2291</v>
      </c>
      <c r="B33" s="171"/>
      <c r="C33" s="184" t="s">
        <v>518</v>
      </c>
      <c r="D33" s="184" t="s">
        <v>519</v>
      </c>
      <c r="E33" s="166"/>
      <c r="F33" s="171" t="s">
        <v>472</v>
      </c>
      <c r="G33" s="172">
        <v>40</v>
      </c>
      <c r="H33" s="168">
        <f>SUM(E33)*G33</f>
        <v>0</v>
      </c>
    </row>
    <row r="34" spans="1:8" ht="37.799999999999997" x14ac:dyDescent="0.45">
      <c r="A34" s="171" t="s">
        <v>2292</v>
      </c>
      <c r="B34" s="171"/>
      <c r="C34" s="184" t="s">
        <v>521</v>
      </c>
      <c r="D34" s="184" t="s">
        <v>522</v>
      </c>
      <c r="E34" s="166"/>
      <c r="F34" s="171" t="s">
        <v>472</v>
      </c>
      <c r="G34" s="172">
        <v>50</v>
      </c>
      <c r="H34" s="168">
        <f>SUM(E34)*G34</f>
        <v>0</v>
      </c>
    </row>
    <row r="35" spans="1:8" ht="37.799999999999997" x14ac:dyDescent="0.45">
      <c r="A35" s="171" t="s">
        <v>2293</v>
      </c>
      <c r="B35" s="171"/>
      <c r="C35" s="184" t="s">
        <v>524</v>
      </c>
      <c r="D35" s="184" t="s">
        <v>525</v>
      </c>
      <c r="E35" s="166"/>
      <c r="F35" s="171" t="s">
        <v>472</v>
      </c>
      <c r="G35" s="172">
        <v>40</v>
      </c>
      <c r="H35" s="168">
        <f>SUM(E35)*G35</f>
        <v>0</v>
      </c>
    </row>
    <row r="36" spans="1:8" x14ac:dyDescent="0.45">
      <c r="A36" s="118" t="s">
        <v>2294</v>
      </c>
      <c r="B36" s="184" t="s">
        <v>180</v>
      </c>
      <c r="D36" s="120"/>
      <c r="E36" s="171"/>
      <c r="F36" s="171"/>
      <c r="G36" s="172"/>
      <c r="H36" s="168"/>
    </row>
    <row r="37" spans="1:8" ht="13" customHeight="1" x14ac:dyDescent="0.45">
      <c r="A37" s="159"/>
      <c r="B37" s="159">
        <v>1502000</v>
      </c>
      <c r="C37" s="159"/>
      <c r="D37" s="159" t="s">
        <v>18</v>
      </c>
      <c r="E37" s="159"/>
      <c r="F37" s="159"/>
      <c r="G37" s="162"/>
      <c r="H37" s="163"/>
    </row>
    <row r="38" spans="1:8" ht="37.799999999999997" x14ac:dyDescent="0.45">
      <c r="A38" s="171" t="s">
        <v>2295</v>
      </c>
      <c r="B38" s="171"/>
      <c r="C38" s="184" t="s">
        <v>528</v>
      </c>
      <c r="D38" s="184" t="s">
        <v>529</v>
      </c>
      <c r="E38" s="166"/>
      <c r="F38" s="171" t="s">
        <v>508</v>
      </c>
      <c r="G38" s="172">
        <v>3000</v>
      </c>
      <c r="H38" s="168">
        <f t="shared" ref="H38:H49" si="1">SUM(E38)*G38</f>
        <v>0</v>
      </c>
    </row>
    <row r="39" spans="1:8" ht="50.4" x14ac:dyDescent="0.45">
      <c r="A39" s="171" t="s">
        <v>2296</v>
      </c>
      <c r="B39" s="171"/>
      <c r="C39" s="184" t="s">
        <v>531</v>
      </c>
      <c r="D39" s="184" t="s">
        <v>532</v>
      </c>
      <c r="E39" s="166"/>
      <c r="F39" s="171" t="s">
        <v>533</v>
      </c>
      <c r="G39" s="172">
        <v>3000</v>
      </c>
      <c r="H39" s="168">
        <f t="shared" si="1"/>
        <v>0</v>
      </c>
    </row>
    <row r="40" spans="1:8" ht="63" x14ac:dyDescent="0.45">
      <c r="A40" s="171" t="s">
        <v>2297</v>
      </c>
      <c r="B40" s="171"/>
      <c r="C40" s="184" t="s">
        <v>535</v>
      </c>
      <c r="D40" s="184" t="s">
        <v>536</v>
      </c>
      <c r="E40" s="166"/>
      <c r="F40" s="171" t="s">
        <v>508</v>
      </c>
      <c r="G40" s="172">
        <v>2000</v>
      </c>
      <c r="H40" s="168">
        <f t="shared" si="1"/>
        <v>0</v>
      </c>
    </row>
    <row r="41" spans="1:8" ht="63" x14ac:dyDescent="0.45">
      <c r="A41" s="171" t="s">
        <v>2298</v>
      </c>
      <c r="B41" s="171"/>
      <c r="C41" s="184" t="s">
        <v>538</v>
      </c>
      <c r="D41" s="184" t="s">
        <v>539</v>
      </c>
      <c r="E41" s="166"/>
      <c r="F41" s="171" t="s">
        <v>508</v>
      </c>
      <c r="G41" s="172">
        <v>2000</v>
      </c>
      <c r="H41" s="168">
        <f t="shared" si="1"/>
        <v>0</v>
      </c>
    </row>
    <row r="42" spans="1:8" ht="50.4" x14ac:dyDescent="0.45">
      <c r="A42" s="171" t="s">
        <v>2299</v>
      </c>
      <c r="B42" s="171"/>
      <c r="C42" s="184" t="s">
        <v>541</v>
      </c>
      <c r="D42" s="184" t="s">
        <v>542</v>
      </c>
      <c r="E42" s="166"/>
      <c r="F42" s="171" t="s">
        <v>543</v>
      </c>
      <c r="G42" s="172">
        <v>19500</v>
      </c>
      <c r="H42" s="168">
        <f t="shared" si="1"/>
        <v>0</v>
      </c>
    </row>
    <row r="43" spans="1:8" ht="37.799999999999997" x14ac:dyDescent="0.45">
      <c r="A43" s="171" t="s">
        <v>2300</v>
      </c>
      <c r="B43" s="171"/>
      <c r="C43" s="184" t="s">
        <v>545</v>
      </c>
      <c r="D43" s="184" t="s">
        <v>546</v>
      </c>
      <c r="E43" s="166"/>
      <c r="F43" s="171" t="s">
        <v>472</v>
      </c>
      <c r="G43" s="172">
        <v>10</v>
      </c>
      <c r="H43" s="168">
        <f t="shared" si="1"/>
        <v>0</v>
      </c>
    </row>
    <row r="44" spans="1:8" ht="151.19999999999999" x14ac:dyDescent="0.45">
      <c r="A44" s="171" t="s">
        <v>2301</v>
      </c>
      <c r="B44" s="171"/>
      <c r="C44" s="184" t="s">
        <v>548</v>
      </c>
      <c r="D44" s="106" t="s">
        <v>549</v>
      </c>
      <c r="E44" s="166"/>
      <c r="F44" s="171" t="s">
        <v>472</v>
      </c>
      <c r="G44" s="172">
        <v>25</v>
      </c>
      <c r="H44" s="168">
        <f t="shared" si="1"/>
        <v>0</v>
      </c>
    </row>
    <row r="45" spans="1:8" ht="37.799999999999997" x14ac:dyDescent="0.45">
      <c r="A45" s="171" t="s">
        <v>2302</v>
      </c>
      <c r="B45" s="171"/>
      <c r="C45" s="106" t="s">
        <v>551</v>
      </c>
      <c r="D45" s="184" t="s">
        <v>552</v>
      </c>
      <c r="E45" s="166"/>
      <c r="F45" s="171" t="s">
        <v>472</v>
      </c>
      <c r="G45" s="172">
        <v>38</v>
      </c>
      <c r="H45" s="168">
        <f t="shared" si="1"/>
        <v>0</v>
      </c>
    </row>
    <row r="46" spans="1:8" ht="37.799999999999997" x14ac:dyDescent="0.45">
      <c r="A46" s="171" t="s">
        <v>2303</v>
      </c>
      <c r="B46" s="171"/>
      <c r="C46" s="106" t="s">
        <v>554</v>
      </c>
      <c r="D46" s="184" t="s">
        <v>555</v>
      </c>
      <c r="E46" s="166"/>
      <c r="F46" s="171" t="s">
        <v>472</v>
      </c>
      <c r="G46" s="172">
        <v>38</v>
      </c>
      <c r="H46" s="168">
        <f t="shared" si="1"/>
        <v>0</v>
      </c>
    </row>
    <row r="47" spans="1:8" ht="37.799999999999997" x14ac:dyDescent="0.45">
      <c r="A47" s="171" t="s">
        <v>2304</v>
      </c>
      <c r="B47" s="171"/>
      <c r="C47" s="106" t="s">
        <v>557</v>
      </c>
      <c r="D47" s="184" t="s">
        <v>558</v>
      </c>
      <c r="E47" s="166"/>
      <c r="F47" s="171" t="s">
        <v>472</v>
      </c>
      <c r="G47" s="172">
        <v>38</v>
      </c>
      <c r="H47" s="168">
        <f t="shared" si="1"/>
        <v>0</v>
      </c>
    </row>
    <row r="48" spans="1:8" ht="70.5" x14ac:dyDescent="0.45">
      <c r="A48" s="171" t="s">
        <v>2305</v>
      </c>
      <c r="B48" s="171"/>
      <c r="C48" s="106" t="s">
        <v>560</v>
      </c>
      <c r="D48" s="179" t="s">
        <v>561</v>
      </c>
      <c r="E48" s="166"/>
      <c r="F48" s="171" t="s">
        <v>472</v>
      </c>
      <c r="G48" s="172">
        <v>14</v>
      </c>
      <c r="H48" s="168">
        <f t="shared" si="1"/>
        <v>0</v>
      </c>
    </row>
    <row r="49" spans="1:8" ht="56.4" x14ac:dyDescent="0.45">
      <c r="A49" s="171" t="s">
        <v>2306</v>
      </c>
      <c r="B49" s="171"/>
      <c r="C49" s="106" t="s">
        <v>563</v>
      </c>
      <c r="D49" s="179" t="s">
        <v>564</v>
      </c>
      <c r="E49" s="166"/>
      <c r="F49" s="171" t="s">
        <v>472</v>
      </c>
      <c r="G49" s="172">
        <v>14</v>
      </c>
      <c r="H49" s="168">
        <f t="shared" si="1"/>
        <v>0</v>
      </c>
    </row>
    <row r="50" spans="1:8" ht="70.5" x14ac:dyDescent="0.45">
      <c r="A50" s="171" t="s">
        <v>2307</v>
      </c>
      <c r="B50" s="171"/>
      <c r="C50" s="106" t="s">
        <v>566</v>
      </c>
      <c r="D50" s="179" t="s">
        <v>567</v>
      </c>
      <c r="E50" s="166"/>
      <c r="F50" s="171" t="s">
        <v>568</v>
      </c>
      <c r="G50" s="172">
        <v>35</v>
      </c>
      <c r="H50" s="168">
        <f>SUM(E50)*G50</f>
        <v>0</v>
      </c>
    </row>
    <row r="51" spans="1:8" ht="106.5" customHeight="1" x14ac:dyDescent="0.45">
      <c r="A51" s="213" t="s">
        <v>2308</v>
      </c>
      <c r="B51" s="180"/>
      <c r="C51" s="182" t="s">
        <v>570</v>
      </c>
      <c r="D51" s="182" t="s">
        <v>571</v>
      </c>
      <c r="E51" s="166"/>
      <c r="F51" s="171" t="s">
        <v>472</v>
      </c>
      <c r="G51" s="172">
        <v>50</v>
      </c>
      <c r="H51" s="168">
        <f t="shared" ref="H51:H54" si="2">SUM(E51)*G51</f>
        <v>0</v>
      </c>
    </row>
    <row r="52" spans="1:8" s="183" customFormat="1" ht="329.7" customHeight="1" x14ac:dyDescent="0.45">
      <c r="A52" s="185" t="s">
        <v>2309</v>
      </c>
      <c r="B52" s="182"/>
      <c r="C52" s="182" t="s">
        <v>573</v>
      </c>
      <c r="D52" s="182" t="s">
        <v>574</v>
      </c>
      <c r="E52" s="166"/>
      <c r="F52" s="185" t="s">
        <v>508</v>
      </c>
      <c r="G52" s="214">
        <v>1500</v>
      </c>
      <c r="H52" s="168">
        <f t="shared" si="2"/>
        <v>0</v>
      </c>
    </row>
    <row r="53" spans="1:8" s="183" customFormat="1" ht="206.95" customHeight="1" x14ac:dyDescent="0.45">
      <c r="A53" s="185" t="s">
        <v>2310</v>
      </c>
      <c r="B53" s="182"/>
      <c r="C53" s="182" t="s">
        <v>576</v>
      </c>
      <c r="D53" s="182" t="s">
        <v>577</v>
      </c>
      <c r="E53" s="166"/>
      <c r="F53" s="185" t="s">
        <v>508</v>
      </c>
      <c r="G53" s="214">
        <v>2500</v>
      </c>
      <c r="H53" s="168">
        <f t="shared" si="2"/>
        <v>0</v>
      </c>
    </row>
    <row r="54" spans="1:8" s="183" customFormat="1" ht="75.599999999999994" x14ac:dyDescent="0.45">
      <c r="A54" s="185" t="s">
        <v>2311</v>
      </c>
      <c r="B54" s="182"/>
      <c r="C54" s="219" t="s">
        <v>579</v>
      </c>
      <c r="D54" s="219" t="s">
        <v>580</v>
      </c>
      <c r="E54" s="166"/>
      <c r="F54" s="185" t="s">
        <v>508</v>
      </c>
      <c r="G54" s="214">
        <v>2000</v>
      </c>
      <c r="H54" s="168">
        <f t="shared" si="2"/>
        <v>0</v>
      </c>
    </row>
    <row r="55" spans="1:8" x14ac:dyDescent="0.45">
      <c r="A55" s="118" t="s">
        <v>2312</v>
      </c>
      <c r="B55" s="184" t="s">
        <v>180</v>
      </c>
      <c r="D55" s="170"/>
      <c r="E55" s="171"/>
      <c r="F55" s="172"/>
      <c r="G55" s="168"/>
      <c r="H55" s="142"/>
    </row>
    <row r="56" spans="1:8" ht="13" customHeight="1" x14ac:dyDescent="0.45">
      <c r="A56" s="159"/>
      <c r="B56" s="159">
        <v>1503010</v>
      </c>
      <c r="C56" s="159"/>
      <c r="D56" s="159" t="s">
        <v>109</v>
      </c>
      <c r="E56" s="159"/>
      <c r="F56" s="209"/>
      <c r="G56" s="210"/>
      <c r="H56" s="163"/>
    </row>
    <row r="57" spans="1:8" ht="25.2" x14ac:dyDescent="0.45">
      <c r="A57" s="171" t="s">
        <v>2313</v>
      </c>
      <c r="B57" s="171"/>
      <c r="C57" s="106" t="s">
        <v>583</v>
      </c>
      <c r="D57" s="106" t="s">
        <v>584</v>
      </c>
      <c r="E57" s="166"/>
      <c r="F57" s="171" t="s">
        <v>508</v>
      </c>
      <c r="G57" s="172">
        <v>500</v>
      </c>
      <c r="H57" s="168">
        <f t="shared" ref="H57:H74" si="3">SUM(E57)*G57</f>
        <v>0</v>
      </c>
    </row>
    <row r="58" spans="1:8" ht="50.4" x14ac:dyDescent="0.45">
      <c r="A58" s="171" t="s">
        <v>2314</v>
      </c>
      <c r="B58" s="171"/>
      <c r="C58" s="106" t="s">
        <v>586</v>
      </c>
      <c r="D58" s="106" t="s">
        <v>587</v>
      </c>
      <c r="E58" s="166"/>
      <c r="F58" s="171" t="s">
        <v>508</v>
      </c>
      <c r="G58" s="172">
        <v>500</v>
      </c>
      <c r="H58" s="168">
        <f t="shared" si="3"/>
        <v>0</v>
      </c>
    </row>
    <row r="59" spans="1:8" ht="50.4" x14ac:dyDescent="0.45">
      <c r="A59" s="171" t="s">
        <v>2315</v>
      </c>
      <c r="B59" s="171"/>
      <c r="C59" s="106" t="s">
        <v>589</v>
      </c>
      <c r="D59" s="106" t="s">
        <v>590</v>
      </c>
      <c r="E59" s="166"/>
      <c r="F59" s="171" t="s">
        <v>508</v>
      </c>
      <c r="G59" s="172">
        <v>1000</v>
      </c>
      <c r="H59" s="168">
        <f t="shared" si="3"/>
        <v>0</v>
      </c>
    </row>
    <row r="60" spans="1:8" ht="37.799999999999997" x14ac:dyDescent="0.45">
      <c r="A60" s="171" t="s">
        <v>2316</v>
      </c>
      <c r="B60" s="171"/>
      <c r="C60" s="106" t="s">
        <v>592</v>
      </c>
      <c r="D60" s="106" t="s">
        <v>593</v>
      </c>
      <c r="E60" s="166"/>
      <c r="F60" s="171" t="s">
        <v>508</v>
      </c>
      <c r="G60" s="172">
        <v>1000</v>
      </c>
      <c r="H60" s="168">
        <f t="shared" si="3"/>
        <v>0</v>
      </c>
    </row>
    <row r="61" spans="1:8" ht="75.599999999999994" x14ac:dyDescent="0.45">
      <c r="A61" s="171" t="s">
        <v>2317</v>
      </c>
      <c r="B61" s="171"/>
      <c r="C61" s="106" t="s">
        <v>595</v>
      </c>
      <c r="D61" s="106" t="s">
        <v>596</v>
      </c>
      <c r="E61" s="166"/>
      <c r="F61" s="171" t="s">
        <v>508</v>
      </c>
      <c r="G61" s="172">
        <v>1000</v>
      </c>
      <c r="H61" s="168">
        <f t="shared" si="3"/>
        <v>0</v>
      </c>
    </row>
    <row r="62" spans="1:8" ht="63" x14ac:dyDescent="0.45">
      <c r="A62" s="171" t="s">
        <v>2318</v>
      </c>
      <c r="B62" s="171"/>
      <c r="C62" s="106" t="s">
        <v>598</v>
      </c>
      <c r="D62" s="106" t="s">
        <v>599</v>
      </c>
      <c r="E62" s="166"/>
      <c r="F62" s="171" t="s">
        <v>508</v>
      </c>
      <c r="G62" s="172">
        <v>1000</v>
      </c>
      <c r="H62" s="168">
        <f t="shared" si="3"/>
        <v>0</v>
      </c>
    </row>
    <row r="63" spans="1:8" ht="50.4" x14ac:dyDescent="0.45">
      <c r="A63" s="171" t="s">
        <v>2319</v>
      </c>
      <c r="B63" s="171"/>
      <c r="C63" s="106" t="s">
        <v>601</v>
      </c>
      <c r="D63" s="106" t="s">
        <v>602</v>
      </c>
      <c r="E63" s="166"/>
      <c r="F63" s="171" t="s">
        <v>508</v>
      </c>
      <c r="G63" s="172">
        <v>1000</v>
      </c>
      <c r="H63" s="168">
        <f t="shared" si="3"/>
        <v>0</v>
      </c>
    </row>
    <row r="64" spans="1:8" ht="50.4" x14ac:dyDescent="0.45">
      <c r="A64" s="171" t="s">
        <v>2320</v>
      </c>
      <c r="B64" s="171"/>
      <c r="C64" s="106" t="s">
        <v>604</v>
      </c>
      <c r="D64" s="106" t="s">
        <v>605</v>
      </c>
      <c r="E64" s="166"/>
      <c r="F64" s="171" t="s">
        <v>508</v>
      </c>
      <c r="G64" s="172">
        <v>500</v>
      </c>
      <c r="H64" s="168">
        <f t="shared" si="3"/>
        <v>0</v>
      </c>
    </row>
    <row r="65" spans="1:8" ht="50.4" x14ac:dyDescent="0.45">
      <c r="A65" s="171" t="s">
        <v>2321</v>
      </c>
      <c r="B65" s="171"/>
      <c r="C65" s="106" t="s">
        <v>607</v>
      </c>
      <c r="D65" s="106" t="s">
        <v>608</v>
      </c>
      <c r="E65" s="166"/>
      <c r="F65" s="171" t="s">
        <v>508</v>
      </c>
      <c r="G65" s="172">
        <v>500</v>
      </c>
      <c r="H65" s="168">
        <f t="shared" si="3"/>
        <v>0</v>
      </c>
    </row>
    <row r="66" spans="1:8" ht="25.2" x14ac:dyDescent="0.45">
      <c r="A66" s="171" t="s">
        <v>2322</v>
      </c>
      <c r="B66" s="171"/>
      <c r="C66" s="106" t="s">
        <v>610</v>
      </c>
      <c r="D66" s="106" t="s">
        <v>611</v>
      </c>
      <c r="E66" s="166"/>
      <c r="F66" s="171" t="s">
        <v>508</v>
      </c>
      <c r="G66" s="172">
        <v>500</v>
      </c>
      <c r="H66" s="168">
        <f t="shared" si="3"/>
        <v>0</v>
      </c>
    </row>
    <row r="67" spans="1:8" ht="50.4" x14ac:dyDescent="0.45">
      <c r="A67" s="171" t="s">
        <v>2323</v>
      </c>
      <c r="B67" s="171"/>
      <c r="C67" s="106" t="s">
        <v>613</v>
      </c>
      <c r="D67" s="106" t="s">
        <v>614</v>
      </c>
      <c r="E67" s="166"/>
      <c r="F67" s="171" t="s">
        <v>508</v>
      </c>
      <c r="G67" s="172">
        <v>250</v>
      </c>
      <c r="H67" s="168">
        <f t="shared" si="3"/>
        <v>0</v>
      </c>
    </row>
    <row r="68" spans="1:8" ht="50.4" x14ac:dyDescent="0.45">
      <c r="A68" s="171" t="s">
        <v>2324</v>
      </c>
      <c r="B68" s="171"/>
      <c r="C68" s="106" t="s">
        <v>616</v>
      </c>
      <c r="D68" s="106" t="s">
        <v>617</v>
      </c>
      <c r="E68" s="166"/>
      <c r="F68" s="171" t="s">
        <v>508</v>
      </c>
      <c r="G68" s="172">
        <v>500</v>
      </c>
      <c r="H68" s="168">
        <f t="shared" si="3"/>
        <v>0</v>
      </c>
    </row>
    <row r="69" spans="1:8" ht="50.4" x14ac:dyDescent="0.45">
      <c r="A69" s="171" t="s">
        <v>2325</v>
      </c>
      <c r="B69" s="171"/>
      <c r="C69" s="106" t="s">
        <v>619</v>
      </c>
      <c r="D69" s="106" t="s">
        <v>620</v>
      </c>
      <c r="E69" s="166"/>
      <c r="F69" s="171" t="s">
        <v>508</v>
      </c>
      <c r="G69" s="172">
        <v>1000</v>
      </c>
      <c r="H69" s="168">
        <f t="shared" si="3"/>
        <v>0</v>
      </c>
    </row>
    <row r="70" spans="1:8" ht="25.2" x14ac:dyDescent="0.45">
      <c r="A70" s="171" t="s">
        <v>2326</v>
      </c>
      <c r="B70" s="171"/>
      <c r="C70" s="106" t="s">
        <v>622</v>
      </c>
      <c r="D70" s="106" t="s">
        <v>623</v>
      </c>
      <c r="E70" s="166"/>
      <c r="F70" s="171" t="s">
        <v>508</v>
      </c>
      <c r="G70" s="172">
        <v>3000</v>
      </c>
      <c r="H70" s="168">
        <f t="shared" si="3"/>
        <v>0</v>
      </c>
    </row>
    <row r="71" spans="1:8" ht="37.799999999999997" x14ac:dyDescent="0.45">
      <c r="A71" s="171" t="s">
        <v>2327</v>
      </c>
      <c r="B71" s="171"/>
      <c r="C71" s="106" t="s">
        <v>625</v>
      </c>
      <c r="D71" s="106" t="s">
        <v>626</v>
      </c>
      <c r="E71" s="166"/>
      <c r="F71" s="171" t="s">
        <v>472</v>
      </c>
      <c r="G71" s="172">
        <v>100</v>
      </c>
      <c r="H71" s="168">
        <f t="shared" si="3"/>
        <v>0</v>
      </c>
    </row>
    <row r="72" spans="1:8" ht="37.799999999999997" x14ac:dyDescent="0.45">
      <c r="A72" s="171" t="s">
        <v>2328</v>
      </c>
      <c r="B72" s="171"/>
      <c r="C72" s="106" t="s">
        <v>628</v>
      </c>
      <c r="D72" s="106" t="s">
        <v>629</v>
      </c>
      <c r="E72" s="166"/>
      <c r="F72" s="171" t="s">
        <v>472</v>
      </c>
      <c r="G72" s="172">
        <v>50</v>
      </c>
      <c r="H72" s="168">
        <f t="shared" si="3"/>
        <v>0</v>
      </c>
    </row>
    <row r="73" spans="1:8" ht="63" x14ac:dyDescent="0.45">
      <c r="A73" s="171" t="s">
        <v>2329</v>
      </c>
      <c r="B73" s="171"/>
      <c r="C73" s="106" t="s">
        <v>631</v>
      </c>
      <c r="D73" s="184" t="s">
        <v>632</v>
      </c>
      <c r="E73" s="166"/>
      <c r="F73" s="171" t="s">
        <v>633</v>
      </c>
      <c r="G73" s="172">
        <v>240</v>
      </c>
      <c r="H73" s="168">
        <f t="shared" si="3"/>
        <v>0</v>
      </c>
    </row>
    <row r="74" spans="1:8" s="183" customFormat="1" ht="151.19999999999999" x14ac:dyDescent="0.45">
      <c r="A74" s="185" t="s">
        <v>2330</v>
      </c>
      <c r="B74" s="185"/>
      <c r="C74" s="216" t="s">
        <v>635</v>
      </c>
      <c r="D74" s="216" t="s">
        <v>636</v>
      </c>
      <c r="E74" s="166"/>
      <c r="F74" s="185" t="s">
        <v>472</v>
      </c>
      <c r="G74" s="172">
        <v>6</v>
      </c>
      <c r="H74" s="168">
        <f t="shared" si="3"/>
        <v>0</v>
      </c>
    </row>
    <row r="75" spans="1:8" x14ac:dyDescent="0.45">
      <c r="A75" s="118" t="s">
        <v>2331</v>
      </c>
      <c r="B75" s="184" t="s">
        <v>180</v>
      </c>
      <c r="C75" s="120"/>
      <c r="D75" s="170"/>
      <c r="E75" s="171"/>
      <c r="F75" s="172"/>
      <c r="G75" s="168"/>
      <c r="H75" s="142"/>
    </row>
    <row r="76" spans="1:8" ht="13" customHeight="1" x14ac:dyDescent="0.45">
      <c r="A76" s="159"/>
      <c r="B76" s="159">
        <v>1503020</v>
      </c>
      <c r="C76" s="159"/>
      <c r="D76" s="159" t="s">
        <v>638</v>
      </c>
      <c r="E76" s="159"/>
      <c r="F76" s="159"/>
      <c r="G76" s="210"/>
      <c r="H76" s="163"/>
    </row>
    <row r="77" spans="1:8" ht="37.799999999999997" x14ac:dyDescent="0.45">
      <c r="A77" s="171" t="s">
        <v>2332</v>
      </c>
      <c r="B77" s="171"/>
      <c r="C77" s="106" t="s">
        <v>640</v>
      </c>
      <c r="D77" s="106" t="s">
        <v>641</v>
      </c>
      <c r="E77" s="166"/>
      <c r="F77" s="171" t="s">
        <v>472</v>
      </c>
      <c r="G77" s="172">
        <v>16</v>
      </c>
      <c r="H77" s="168">
        <f t="shared" ref="H77:H89" si="4">SUM(E77)*G77</f>
        <v>0</v>
      </c>
    </row>
    <row r="78" spans="1:8" ht="63" x14ac:dyDescent="0.45">
      <c r="A78" s="171" t="s">
        <v>2333</v>
      </c>
      <c r="B78" s="171"/>
      <c r="C78" s="106" t="s">
        <v>643</v>
      </c>
      <c r="D78" s="106" t="s">
        <v>644</v>
      </c>
      <c r="E78" s="166"/>
      <c r="F78" s="171" t="s">
        <v>645</v>
      </c>
      <c r="G78" s="172">
        <v>16</v>
      </c>
      <c r="H78" s="168">
        <f t="shared" si="4"/>
        <v>0</v>
      </c>
    </row>
    <row r="79" spans="1:8" ht="37.799999999999997" x14ac:dyDescent="0.45">
      <c r="A79" s="171" t="s">
        <v>2334</v>
      </c>
      <c r="B79" s="171"/>
      <c r="C79" s="106" t="s">
        <v>647</v>
      </c>
      <c r="D79" s="106" t="s">
        <v>648</v>
      </c>
      <c r="E79" s="166"/>
      <c r="F79" s="171" t="s">
        <v>472</v>
      </c>
      <c r="G79" s="172">
        <v>16</v>
      </c>
      <c r="H79" s="168">
        <f t="shared" si="4"/>
        <v>0</v>
      </c>
    </row>
    <row r="80" spans="1:8" ht="37.799999999999997" x14ac:dyDescent="0.45">
      <c r="A80" s="171" t="s">
        <v>2335</v>
      </c>
      <c r="B80" s="171"/>
      <c r="C80" s="106" t="s">
        <v>650</v>
      </c>
      <c r="D80" s="106" t="s">
        <v>651</v>
      </c>
      <c r="E80" s="166"/>
      <c r="F80" s="171" t="s">
        <v>472</v>
      </c>
      <c r="G80" s="172">
        <v>16</v>
      </c>
      <c r="H80" s="168">
        <f t="shared" si="4"/>
        <v>0</v>
      </c>
    </row>
    <row r="81" spans="1:10" ht="63" x14ac:dyDescent="0.45">
      <c r="A81" s="171" t="s">
        <v>2336</v>
      </c>
      <c r="B81" s="171"/>
      <c r="C81" s="106" t="s">
        <v>653</v>
      </c>
      <c r="D81" s="106" t="s">
        <v>654</v>
      </c>
      <c r="E81" s="166"/>
      <c r="F81" s="171" t="s">
        <v>472</v>
      </c>
      <c r="G81" s="172">
        <v>70</v>
      </c>
      <c r="H81" s="168">
        <f t="shared" si="4"/>
        <v>0</v>
      </c>
    </row>
    <row r="82" spans="1:10" ht="50.4" x14ac:dyDescent="0.45">
      <c r="A82" s="171" t="s">
        <v>2337</v>
      </c>
      <c r="B82" s="171"/>
      <c r="C82" s="106" t="s">
        <v>656</v>
      </c>
      <c r="D82" s="106" t="s">
        <v>657</v>
      </c>
      <c r="E82" s="166"/>
      <c r="F82" s="171" t="s">
        <v>472</v>
      </c>
      <c r="G82" s="172">
        <v>30</v>
      </c>
      <c r="H82" s="168">
        <f t="shared" si="4"/>
        <v>0</v>
      </c>
    </row>
    <row r="83" spans="1:10" ht="75.599999999999994" x14ac:dyDescent="0.45">
      <c r="A83" s="171" t="s">
        <v>2338</v>
      </c>
      <c r="B83" s="171"/>
      <c r="C83" s="106" t="s">
        <v>659</v>
      </c>
      <c r="D83" s="106" t="s">
        <v>660</v>
      </c>
      <c r="E83" s="166"/>
      <c r="F83" s="171" t="s">
        <v>472</v>
      </c>
      <c r="G83" s="172">
        <v>175</v>
      </c>
      <c r="H83" s="168">
        <f t="shared" si="4"/>
        <v>0</v>
      </c>
    </row>
    <row r="84" spans="1:10" ht="50.4" x14ac:dyDescent="0.45">
      <c r="A84" s="171" t="s">
        <v>2339</v>
      </c>
      <c r="B84" s="171"/>
      <c r="C84" s="184" t="s">
        <v>662</v>
      </c>
      <c r="D84" s="184" t="s">
        <v>663</v>
      </c>
      <c r="E84" s="166"/>
      <c r="F84" s="171" t="s">
        <v>472</v>
      </c>
      <c r="G84" s="172">
        <v>50</v>
      </c>
      <c r="H84" s="168">
        <f t="shared" si="4"/>
        <v>0</v>
      </c>
    </row>
    <row r="85" spans="1:10" ht="37.799999999999997" x14ac:dyDescent="0.45">
      <c r="A85" s="171" t="s">
        <v>2340</v>
      </c>
      <c r="B85" s="171"/>
      <c r="C85" s="184" t="s">
        <v>665</v>
      </c>
      <c r="D85" s="184" t="s">
        <v>666</v>
      </c>
      <c r="E85" s="166"/>
      <c r="F85" s="171" t="s">
        <v>508</v>
      </c>
      <c r="G85" s="172">
        <v>300</v>
      </c>
      <c r="H85" s="168">
        <f t="shared" si="4"/>
        <v>0</v>
      </c>
    </row>
    <row r="86" spans="1:10" ht="126" x14ac:dyDescent="0.45">
      <c r="A86" s="171" t="s">
        <v>2341</v>
      </c>
      <c r="B86" s="171"/>
      <c r="C86" s="184" t="s">
        <v>668</v>
      </c>
      <c r="D86" s="106" t="s">
        <v>669</v>
      </c>
      <c r="E86" s="166"/>
      <c r="F86" s="171" t="s">
        <v>508</v>
      </c>
      <c r="G86" s="172">
        <v>3500</v>
      </c>
      <c r="H86" s="168">
        <f t="shared" si="4"/>
        <v>0</v>
      </c>
    </row>
    <row r="87" spans="1:10" ht="37.799999999999997" x14ac:dyDescent="0.45">
      <c r="A87" s="171" t="s">
        <v>2342</v>
      </c>
      <c r="B87" s="171"/>
      <c r="C87" s="186" t="s">
        <v>671</v>
      </c>
      <c r="D87" s="186" t="s">
        <v>672</v>
      </c>
      <c r="E87" s="166"/>
      <c r="F87" s="171" t="s">
        <v>472</v>
      </c>
      <c r="G87" s="172">
        <v>20</v>
      </c>
      <c r="H87" s="168">
        <f t="shared" si="4"/>
        <v>0</v>
      </c>
    </row>
    <row r="88" spans="1:10" ht="37.799999999999997" x14ac:dyDescent="0.45">
      <c r="A88" s="171" t="s">
        <v>2343</v>
      </c>
      <c r="B88" s="171"/>
      <c r="C88" s="349" t="s">
        <v>5044</v>
      </c>
      <c r="D88" s="186" t="s">
        <v>1377</v>
      </c>
      <c r="E88" s="166"/>
      <c r="F88" s="171" t="s">
        <v>472</v>
      </c>
      <c r="G88" s="172">
        <v>20</v>
      </c>
      <c r="H88" s="168">
        <f t="shared" si="4"/>
        <v>0</v>
      </c>
    </row>
    <row r="89" spans="1:10" ht="302.39999999999998" x14ac:dyDescent="0.45">
      <c r="A89" s="171" t="s">
        <v>2344</v>
      </c>
      <c r="B89" s="171"/>
      <c r="C89" s="106" t="s">
        <v>675</v>
      </c>
      <c r="D89" s="106" t="s">
        <v>676</v>
      </c>
      <c r="E89" s="166"/>
      <c r="F89" s="171" t="s">
        <v>472</v>
      </c>
      <c r="G89" s="172">
        <v>15</v>
      </c>
      <c r="H89" s="168">
        <f t="shared" si="4"/>
        <v>0</v>
      </c>
      <c r="I89" s="169"/>
    </row>
    <row r="90" spans="1:10" x14ac:dyDescent="0.45">
      <c r="A90" s="118" t="s">
        <v>2345</v>
      </c>
      <c r="B90" s="184" t="s">
        <v>180</v>
      </c>
      <c r="D90" s="120"/>
      <c r="E90" s="171"/>
      <c r="F90" s="171"/>
      <c r="G90" s="172"/>
      <c r="H90" s="220"/>
    </row>
    <row r="91" spans="1:10" ht="13" customHeight="1" x14ac:dyDescent="0.45">
      <c r="A91" s="159"/>
      <c r="B91" s="159">
        <v>1503030</v>
      </c>
      <c r="C91" s="159"/>
      <c r="D91" s="159" t="s">
        <v>678</v>
      </c>
      <c r="E91" s="159"/>
      <c r="F91" s="209"/>
      <c r="G91" s="210"/>
      <c r="H91" s="163"/>
    </row>
    <row r="92" spans="1:10" ht="75.599999999999994" x14ac:dyDescent="0.45">
      <c r="A92" s="171" t="s">
        <v>2346</v>
      </c>
      <c r="B92" s="171"/>
      <c r="C92" s="106" t="s">
        <v>680</v>
      </c>
      <c r="D92" s="106" t="s">
        <v>681</v>
      </c>
      <c r="E92" s="166"/>
      <c r="F92" s="171" t="s">
        <v>682</v>
      </c>
      <c r="G92" s="171">
        <v>10</v>
      </c>
      <c r="H92" s="168">
        <f t="shared" ref="H92:H112" si="5">SUM(E92)*G92</f>
        <v>0</v>
      </c>
      <c r="I92" s="169"/>
    </row>
    <row r="93" spans="1:10" ht="75.599999999999994" x14ac:dyDescent="0.45">
      <c r="A93" s="171" t="s">
        <v>2347</v>
      </c>
      <c r="B93" s="171"/>
      <c r="C93" s="106" t="s">
        <v>684</v>
      </c>
      <c r="D93" s="106" t="s">
        <v>685</v>
      </c>
      <c r="E93" s="166"/>
      <c r="F93" s="171" t="s">
        <v>472</v>
      </c>
      <c r="G93" s="171">
        <v>5</v>
      </c>
      <c r="H93" s="168">
        <f t="shared" si="5"/>
        <v>0</v>
      </c>
      <c r="I93" s="169"/>
    </row>
    <row r="94" spans="1:10" ht="75.599999999999994" x14ac:dyDescent="0.45">
      <c r="A94" s="171" t="s">
        <v>2348</v>
      </c>
      <c r="B94" s="171"/>
      <c r="C94" s="106" t="s">
        <v>687</v>
      </c>
      <c r="D94" s="106" t="s">
        <v>688</v>
      </c>
      <c r="E94" s="166"/>
      <c r="F94" s="171" t="s">
        <v>472</v>
      </c>
      <c r="G94" s="171">
        <v>5</v>
      </c>
      <c r="H94" s="168">
        <f t="shared" si="5"/>
        <v>0</v>
      </c>
      <c r="I94" s="169"/>
      <c r="J94" s="187"/>
    </row>
    <row r="95" spans="1:10" ht="75.599999999999994" x14ac:dyDescent="0.45">
      <c r="A95" s="171" t="s">
        <v>2349</v>
      </c>
      <c r="B95" s="171"/>
      <c r="C95" s="106" t="s">
        <v>690</v>
      </c>
      <c r="D95" s="106" t="s">
        <v>691</v>
      </c>
      <c r="E95" s="166"/>
      <c r="F95" s="367" t="s">
        <v>472</v>
      </c>
      <c r="G95" s="171">
        <v>10</v>
      </c>
      <c r="H95" s="168">
        <f t="shared" si="5"/>
        <v>0</v>
      </c>
      <c r="I95" s="169"/>
      <c r="J95" s="187"/>
    </row>
    <row r="96" spans="1:10" ht="75.599999999999994" x14ac:dyDescent="0.45">
      <c r="A96" s="171" t="s">
        <v>2350</v>
      </c>
      <c r="B96" s="171"/>
      <c r="C96" s="106" t="s">
        <v>693</v>
      </c>
      <c r="D96" s="106" t="s">
        <v>694</v>
      </c>
      <c r="E96" s="166"/>
      <c r="F96" s="367" t="s">
        <v>472</v>
      </c>
      <c r="G96" s="171">
        <v>5</v>
      </c>
      <c r="H96" s="168">
        <f t="shared" si="5"/>
        <v>0</v>
      </c>
      <c r="I96" s="169"/>
      <c r="J96" s="187"/>
    </row>
    <row r="97" spans="1:9" ht="75.599999999999994" x14ac:dyDescent="0.45">
      <c r="A97" s="171" t="s">
        <v>2351</v>
      </c>
      <c r="B97" s="171"/>
      <c r="C97" s="106" t="s">
        <v>696</v>
      </c>
      <c r="D97" s="106" t="s">
        <v>697</v>
      </c>
      <c r="E97" s="166"/>
      <c r="F97" s="367" t="s">
        <v>472</v>
      </c>
      <c r="G97" s="171">
        <v>5</v>
      </c>
      <c r="H97" s="168">
        <f t="shared" si="5"/>
        <v>0</v>
      </c>
      <c r="I97" s="169"/>
    </row>
    <row r="98" spans="1:9" ht="75.599999999999994" x14ac:dyDescent="0.45">
      <c r="A98" s="171" t="s">
        <v>2352</v>
      </c>
      <c r="B98" s="171"/>
      <c r="C98" s="106" t="s">
        <v>699</v>
      </c>
      <c r="D98" s="106" t="s">
        <v>700</v>
      </c>
      <c r="E98" s="166"/>
      <c r="F98" s="367" t="s">
        <v>472</v>
      </c>
      <c r="G98" s="171">
        <v>5</v>
      </c>
      <c r="H98" s="168">
        <f t="shared" si="5"/>
        <v>0</v>
      </c>
      <c r="I98" s="169"/>
    </row>
    <row r="99" spans="1:9" ht="88.2" x14ac:dyDescent="0.45">
      <c r="A99" s="171" t="s">
        <v>2353</v>
      </c>
      <c r="B99" s="171"/>
      <c r="C99" s="106" t="s">
        <v>702</v>
      </c>
      <c r="D99" s="106" t="s">
        <v>703</v>
      </c>
      <c r="E99" s="166"/>
      <c r="F99" s="367" t="s">
        <v>472</v>
      </c>
      <c r="G99" s="171">
        <v>5</v>
      </c>
      <c r="H99" s="168">
        <f t="shared" si="5"/>
        <v>0</v>
      </c>
      <c r="I99" s="169"/>
    </row>
    <row r="100" spans="1:9" ht="88.2" x14ac:dyDescent="0.45">
      <c r="A100" s="171" t="s">
        <v>2354</v>
      </c>
      <c r="B100" s="171"/>
      <c r="C100" s="106" t="s">
        <v>705</v>
      </c>
      <c r="D100" s="106" t="s">
        <v>706</v>
      </c>
      <c r="E100" s="166"/>
      <c r="F100" s="367" t="s">
        <v>472</v>
      </c>
      <c r="G100" s="171">
        <v>5</v>
      </c>
      <c r="H100" s="168">
        <f t="shared" si="5"/>
        <v>0</v>
      </c>
      <c r="I100" s="169"/>
    </row>
    <row r="101" spans="1:9" ht="75.599999999999994" x14ac:dyDescent="0.45">
      <c r="A101" s="171" t="s">
        <v>2355</v>
      </c>
      <c r="B101" s="171"/>
      <c r="C101" s="106" t="s">
        <v>708</v>
      </c>
      <c r="D101" s="106" t="s">
        <v>709</v>
      </c>
      <c r="E101" s="166"/>
      <c r="F101" s="367" t="s">
        <v>472</v>
      </c>
      <c r="G101" s="171">
        <v>5</v>
      </c>
      <c r="H101" s="168">
        <f t="shared" si="5"/>
        <v>0</v>
      </c>
      <c r="I101" s="169"/>
    </row>
    <row r="102" spans="1:9" ht="75.599999999999994" x14ac:dyDescent="0.45">
      <c r="A102" s="171" t="s">
        <v>2356</v>
      </c>
      <c r="B102" s="171"/>
      <c r="C102" s="106" t="s">
        <v>711</v>
      </c>
      <c r="D102" s="106" t="s">
        <v>712</v>
      </c>
      <c r="E102" s="166"/>
      <c r="F102" s="367" t="s">
        <v>472</v>
      </c>
      <c r="G102" s="171">
        <v>5</v>
      </c>
      <c r="H102" s="168">
        <f t="shared" si="5"/>
        <v>0</v>
      </c>
      <c r="I102" s="169"/>
    </row>
    <row r="103" spans="1:9" ht="75.599999999999994" x14ac:dyDescent="0.45">
      <c r="A103" s="171" t="s">
        <v>2357</v>
      </c>
      <c r="B103" s="171"/>
      <c r="C103" s="106" t="s">
        <v>714</v>
      </c>
      <c r="D103" s="106" t="s">
        <v>715</v>
      </c>
      <c r="E103" s="166"/>
      <c r="F103" s="367" t="s">
        <v>472</v>
      </c>
      <c r="G103" s="171">
        <v>5</v>
      </c>
      <c r="H103" s="168">
        <f t="shared" si="5"/>
        <v>0</v>
      </c>
      <c r="I103" s="169"/>
    </row>
    <row r="104" spans="1:9" ht="75.599999999999994" x14ac:dyDescent="0.45">
      <c r="A104" s="171" t="s">
        <v>2358</v>
      </c>
      <c r="B104" s="171"/>
      <c r="C104" s="106" t="s">
        <v>717</v>
      </c>
      <c r="D104" s="106" t="s">
        <v>718</v>
      </c>
      <c r="E104" s="166"/>
      <c r="F104" s="367" t="s">
        <v>472</v>
      </c>
      <c r="G104" s="171">
        <v>5</v>
      </c>
      <c r="H104" s="168">
        <f t="shared" si="5"/>
        <v>0</v>
      </c>
      <c r="I104" s="169"/>
    </row>
    <row r="105" spans="1:9" ht="50.4" x14ac:dyDescent="0.45">
      <c r="A105" s="171" t="s">
        <v>2359</v>
      </c>
      <c r="B105" s="171"/>
      <c r="C105" s="106" t="s">
        <v>720</v>
      </c>
      <c r="D105" s="106" t="s">
        <v>721</v>
      </c>
      <c r="E105" s="166"/>
      <c r="F105" s="367" t="s">
        <v>472</v>
      </c>
      <c r="G105" s="188">
        <v>5</v>
      </c>
      <c r="H105" s="168">
        <f t="shared" si="5"/>
        <v>0</v>
      </c>
    </row>
    <row r="106" spans="1:9" ht="63" x14ac:dyDescent="0.45">
      <c r="A106" s="171" t="s">
        <v>2360</v>
      </c>
      <c r="B106" s="171"/>
      <c r="C106" s="106" t="s">
        <v>723</v>
      </c>
      <c r="D106" s="106" t="s">
        <v>724</v>
      </c>
      <c r="E106" s="166"/>
      <c r="F106" s="171" t="s">
        <v>472</v>
      </c>
      <c r="G106" s="171">
        <v>5</v>
      </c>
      <c r="H106" s="168">
        <f t="shared" si="5"/>
        <v>0</v>
      </c>
    </row>
    <row r="107" spans="1:9" ht="63" x14ac:dyDescent="0.45">
      <c r="A107" s="171" t="s">
        <v>2361</v>
      </c>
      <c r="B107" s="171"/>
      <c r="C107" s="106" t="s">
        <v>726</v>
      </c>
      <c r="D107" s="106" t="s">
        <v>727</v>
      </c>
      <c r="E107" s="166"/>
      <c r="F107" s="171" t="s">
        <v>472</v>
      </c>
      <c r="G107" s="171">
        <v>5</v>
      </c>
      <c r="H107" s="168">
        <f t="shared" si="5"/>
        <v>0</v>
      </c>
    </row>
    <row r="108" spans="1:9" ht="50.4" x14ac:dyDescent="0.45">
      <c r="A108" s="171" t="s">
        <v>2362</v>
      </c>
      <c r="B108" s="171"/>
      <c r="C108" s="106" t="s">
        <v>729</v>
      </c>
      <c r="D108" s="189" t="s">
        <v>730</v>
      </c>
      <c r="E108" s="166"/>
      <c r="F108" s="171" t="s">
        <v>472</v>
      </c>
      <c r="G108" s="171">
        <v>5</v>
      </c>
      <c r="H108" s="168">
        <f t="shared" si="5"/>
        <v>0</v>
      </c>
    </row>
    <row r="109" spans="1:9" ht="50.4" x14ac:dyDescent="0.45">
      <c r="A109" s="171" t="s">
        <v>2363</v>
      </c>
      <c r="B109" s="171"/>
      <c r="C109" s="106" t="s">
        <v>732</v>
      </c>
      <c r="D109" s="189" t="s">
        <v>733</v>
      </c>
      <c r="E109" s="166"/>
      <c r="F109" s="171" t="s">
        <v>472</v>
      </c>
      <c r="G109" s="171">
        <v>5</v>
      </c>
      <c r="H109" s="168">
        <f t="shared" si="5"/>
        <v>0</v>
      </c>
    </row>
    <row r="110" spans="1:9" ht="50.4" x14ac:dyDescent="0.45">
      <c r="A110" s="171" t="s">
        <v>2364</v>
      </c>
      <c r="B110" s="171"/>
      <c r="C110" s="106" t="s">
        <v>735</v>
      </c>
      <c r="D110" s="189" t="s">
        <v>736</v>
      </c>
      <c r="E110" s="166"/>
      <c r="F110" s="171" t="s">
        <v>472</v>
      </c>
      <c r="G110" s="171">
        <v>10</v>
      </c>
      <c r="H110" s="168">
        <f t="shared" si="5"/>
        <v>0</v>
      </c>
    </row>
    <row r="111" spans="1:9" ht="63" x14ac:dyDescent="0.45">
      <c r="A111" s="171" t="s">
        <v>2365</v>
      </c>
      <c r="B111" s="171"/>
      <c r="C111" s="106" t="s">
        <v>738</v>
      </c>
      <c r="D111" s="189" t="s">
        <v>739</v>
      </c>
      <c r="E111" s="166"/>
      <c r="F111" s="171" t="s">
        <v>472</v>
      </c>
      <c r="G111" s="171">
        <v>5</v>
      </c>
      <c r="H111" s="168">
        <f t="shared" si="5"/>
        <v>0</v>
      </c>
    </row>
    <row r="112" spans="1:9" s="183" customFormat="1" ht="63" x14ac:dyDescent="0.45">
      <c r="A112" s="185" t="s">
        <v>2366</v>
      </c>
      <c r="B112" s="185"/>
      <c r="C112" s="216" t="s">
        <v>741</v>
      </c>
      <c r="D112" s="216" t="s">
        <v>742</v>
      </c>
      <c r="E112" s="166"/>
      <c r="F112" s="185" t="s">
        <v>472</v>
      </c>
      <c r="G112" s="217">
        <v>20</v>
      </c>
      <c r="H112" s="168">
        <f t="shared" si="5"/>
        <v>0</v>
      </c>
    </row>
    <row r="113" spans="1:8" x14ac:dyDescent="0.45">
      <c r="A113" s="118" t="s">
        <v>2367</v>
      </c>
      <c r="B113" s="184" t="s">
        <v>180</v>
      </c>
      <c r="C113" s="120"/>
      <c r="D113" s="170"/>
      <c r="E113" s="171"/>
      <c r="F113" s="172"/>
      <c r="G113" s="168"/>
      <c r="H113" s="142"/>
    </row>
    <row r="114" spans="1:8" ht="13" customHeight="1" x14ac:dyDescent="0.45">
      <c r="A114" s="159"/>
      <c r="B114" s="159">
        <v>1503050</v>
      </c>
      <c r="C114" s="159"/>
      <c r="D114" s="159" t="s">
        <v>127</v>
      </c>
      <c r="E114" s="159"/>
      <c r="F114" s="209"/>
      <c r="G114" s="210"/>
      <c r="H114" s="163"/>
    </row>
    <row r="115" spans="1:8" ht="88.2" x14ac:dyDescent="0.45">
      <c r="A115" s="118" t="s">
        <v>2368</v>
      </c>
      <c r="B115" s="118"/>
      <c r="C115" s="184" t="s">
        <v>745</v>
      </c>
      <c r="D115" s="120" t="s">
        <v>746</v>
      </c>
      <c r="E115" s="166"/>
      <c r="F115" s="171" t="s">
        <v>508</v>
      </c>
      <c r="G115" s="172">
        <v>10000</v>
      </c>
      <c r="H115" s="168">
        <f t="shared" ref="H115:H134" si="6">SUM(E115)*G115</f>
        <v>0</v>
      </c>
    </row>
    <row r="116" spans="1:8" ht="63" x14ac:dyDescent="0.45">
      <c r="A116" s="171" t="s">
        <v>2369</v>
      </c>
      <c r="B116" s="171"/>
      <c r="C116" s="106" t="s">
        <v>748</v>
      </c>
      <c r="D116" s="106" t="s">
        <v>749</v>
      </c>
      <c r="E116" s="166"/>
      <c r="F116" s="171" t="s">
        <v>750</v>
      </c>
      <c r="G116" s="172">
        <v>3000</v>
      </c>
      <c r="H116" s="168">
        <f t="shared" si="6"/>
        <v>0</v>
      </c>
    </row>
    <row r="117" spans="1:8" ht="37.799999999999997" x14ac:dyDescent="0.45">
      <c r="A117" s="171" t="s">
        <v>2370</v>
      </c>
      <c r="B117" s="171"/>
      <c r="C117" s="106" t="s">
        <v>752</v>
      </c>
      <c r="D117" s="106" t="s">
        <v>753</v>
      </c>
      <c r="E117" s="166"/>
      <c r="F117" s="171" t="s">
        <v>508</v>
      </c>
      <c r="G117" s="172">
        <v>10000</v>
      </c>
      <c r="H117" s="168">
        <f t="shared" si="6"/>
        <v>0</v>
      </c>
    </row>
    <row r="118" spans="1:8" ht="63" x14ac:dyDescent="0.45">
      <c r="A118" s="171" t="s">
        <v>2371</v>
      </c>
      <c r="B118" s="171"/>
      <c r="C118" s="106" t="s">
        <v>755</v>
      </c>
      <c r="D118" s="106" t="s">
        <v>756</v>
      </c>
      <c r="E118" s="166"/>
      <c r="F118" s="171" t="s">
        <v>508</v>
      </c>
      <c r="G118" s="172">
        <v>10000</v>
      </c>
      <c r="H118" s="168">
        <f t="shared" si="6"/>
        <v>0</v>
      </c>
    </row>
    <row r="119" spans="1:8" ht="88.2" x14ac:dyDescent="0.45">
      <c r="A119" s="171" t="s">
        <v>2372</v>
      </c>
      <c r="B119" s="171"/>
      <c r="C119" s="106" t="s">
        <v>758</v>
      </c>
      <c r="D119" s="106" t="s">
        <v>759</v>
      </c>
      <c r="E119" s="166"/>
      <c r="F119" s="171" t="s">
        <v>472</v>
      </c>
      <c r="G119" s="172">
        <v>150</v>
      </c>
      <c r="H119" s="168">
        <f t="shared" si="6"/>
        <v>0</v>
      </c>
    </row>
    <row r="120" spans="1:8" ht="88.2" x14ac:dyDescent="0.45">
      <c r="A120" s="171" t="s">
        <v>2373</v>
      </c>
      <c r="B120" s="171"/>
      <c r="C120" s="106" t="s">
        <v>761</v>
      </c>
      <c r="D120" s="106" t="s">
        <v>759</v>
      </c>
      <c r="E120" s="166"/>
      <c r="F120" s="171" t="s">
        <v>750</v>
      </c>
      <c r="G120" s="172">
        <v>2000</v>
      </c>
      <c r="H120" s="168">
        <f t="shared" si="6"/>
        <v>0</v>
      </c>
    </row>
    <row r="121" spans="1:8" ht="151.19999999999999" x14ac:dyDescent="0.45">
      <c r="A121" s="171" t="s">
        <v>2374</v>
      </c>
      <c r="B121" s="171"/>
      <c r="C121" s="106" t="s">
        <v>763</v>
      </c>
      <c r="D121" s="106" t="s">
        <v>764</v>
      </c>
      <c r="E121" s="166"/>
      <c r="F121" s="171" t="s">
        <v>472</v>
      </c>
      <c r="G121" s="171">
        <v>150</v>
      </c>
      <c r="H121" s="168">
        <f t="shared" si="6"/>
        <v>0</v>
      </c>
    </row>
    <row r="122" spans="1:8" ht="151.19999999999999" x14ac:dyDescent="0.45">
      <c r="A122" s="171" t="s">
        <v>2375</v>
      </c>
      <c r="B122" s="171"/>
      <c r="C122" s="106" t="s">
        <v>766</v>
      </c>
      <c r="D122" s="106" t="s">
        <v>764</v>
      </c>
      <c r="E122" s="166"/>
      <c r="F122" s="171" t="s">
        <v>472</v>
      </c>
      <c r="G122" s="171">
        <v>150</v>
      </c>
      <c r="H122" s="168">
        <f t="shared" si="6"/>
        <v>0</v>
      </c>
    </row>
    <row r="123" spans="1:8" ht="63" x14ac:dyDescent="0.45">
      <c r="A123" s="171" t="s">
        <v>2376</v>
      </c>
      <c r="B123" s="171"/>
      <c r="C123" s="106" t="s">
        <v>768</v>
      </c>
      <c r="D123" s="106" t="s">
        <v>769</v>
      </c>
      <c r="E123" s="166"/>
      <c r="F123" s="171" t="s">
        <v>472</v>
      </c>
      <c r="G123" s="171">
        <v>25</v>
      </c>
      <c r="H123" s="168">
        <f t="shared" si="6"/>
        <v>0</v>
      </c>
    </row>
    <row r="124" spans="1:8" ht="63" x14ac:dyDescent="0.45">
      <c r="A124" s="171" t="s">
        <v>2377</v>
      </c>
      <c r="B124" s="171"/>
      <c r="C124" s="106" t="s">
        <v>771</v>
      </c>
      <c r="D124" s="106" t="s">
        <v>772</v>
      </c>
      <c r="E124" s="166"/>
      <c r="F124" s="171" t="s">
        <v>472</v>
      </c>
      <c r="G124" s="171">
        <v>50</v>
      </c>
      <c r="H124" s="168">
        <f t="shared" si="6"/>
        <v>0</v>
      </c>
    </row>
    <row r="125" spans="1:8" ht="63" x14ac:dyDescent="0.45">
      <c r="A125" s="171" t="s">
        <v>2378</v>
      </c>
      <c r="B125" s="171"/>
      <c r="C125" s="106" t="s">
        <v>774</v>
      </c>
      <c r="D125" s="106" t="s">
        <v>772</v>
      </c>
      <c r="E125" s="166"/>
      <c r="F125" s="171" t="s">
        <v>472</v>
      </c>
      <c r="G125" s="171">
        <v>50</v>
      </c>
      <c r="H125" s="168">
        <f t="shared" si="6"/>
        <v>0</v>
      </c>
    </row>
    <row r="126" spans="1:8" ht="50.4" x14ac:dyDescent="0.45">
      <c r="A126" s="171" t="s">
        <v>2379</v>
      </c>
      <c r="B126" s="171"/>
      <c r="C126" s="106" t="s">
        <v>776</v>
      </c>
      <c r="D126" s="106" t="s">
        <v>777</v>
      </c>
      <c r="E126" s="166"/>
      <c r="F126" s="171" t="s">
        <v>472</v>
      </c>
      <c r="G126" s="171">
        <v>100</v>
      </c>
      <c r="H126" s="168">
        <f t="shared" si="6"/>
        <v>0</v>
      </c>
    </row>
    <row r="127" spans="1:8" ht="113.4" x14ac:dyDescent="0.45">
      <c r="A127" s="171" t="s">
        <v>2380</v>
      </c>
      <c r="B127" s="171"/>
      <c r="C127" s="106" t="s">
        <v>779</v>
      </c>
      <c r="D127" s="106" t="s">
        <v>780</v>
      </c>
      <c r="E127" s="166"/>
      <c r="F127" s="171" t="s">
        <v>472</v>
      </c>
      <c r="G127" s="171">
        <v>150</v>
      </c>
      <c r="H127" s="168">
        <f t="shared" si="6"/>
        <v>0</v>
      </c>
    </row>
    <row r="128" spans="1:8" ht="113.4" x14ac:dyDescent="0.45">
      <c r="A128" s="171" t="s">
        <v>2381</v>
      </c>
      <c r="B128" s="171"/>
      <c r="C128" s="106" t="s">
        <v>782</v>
      </c>
      <c r="D128" s="106" t="s">
        <v>783</v>
      </c>
      <c r="E128" s="166"/>
      <c r="F128" s="171" t="s">
        <v>472</v>
      </c>
      <c r="G128" s="171">
        <v>150</v>
      </c>
      <c r="H128" s="168">
        <f t="shared" si="6"/>
        <v>0</v>
      </c>
    </row>
    <row r="129" spans="1:8" ht="100.8" x14ac:dyDescent="0.45">
      <c r="A129" s="171" t="s">
        <v>2382</v>
      </c>
      <c r="B129" s="171"/>
      <c r="C129" s="106" t="s">
        <v>785</v>
      </c>
      <c r="D129" s="106" t="s">
        <v>786</v>
      </c>
      <c r="E129" s="166"/>
      <c r="F129" s="171" t="s">
        <v>472</v>
      </c>
      <c r="G129" s="171">
        <v>150</v>
      </c>
      <c r="H129" s="168">
        <f t="shared" si="6"/>
        <v>0</v>
      </c>
    </row>
    <row r="130" spans="1:8" ht="75.599999999999994" x14ac:dyDescent="0.45">
      <c r="A130" s="171" t="s">
        <v>2383</v>
      </c>
      <c r="B130" s="171"/>
      <c r="C130" s="106" t="s">
        <v>788</v>
      </c>
      <c r="D130" s="106" t="s">
        <v>789</v>
      </c>
      <c r="E130" s="166"/>
      <c r="F130" s="171" t="s">
        <v>508</v>
      </c>
      <c r="G130" s="171">
        <v>5000</v>
      </c>
      <c r="H130" s="168">
        <f t="shared" si="6"/>
        <v>0</v>
      </c>
    </row>
    <row r="131" spans="1:8" ht="88.2" x14ac:dyDescent="0.45">
      <c r="A131" s="171" t="s">
        <v>2384</v>
      </c>
      <c r="B131" s="171"/>
      <c r="C131" s="106" t="s">
        <v>791</v>
      </c>
      <c r="D131" s="106" t="s">
        <v>792</v>
      </c>
      <c r="E131" s="166"/>
      <c r="F131" s="171" t="s">
        <v>508</v>
      </c>
      <c r="G131" s="171">
        <v>1750</v>
      </c>
      <c r="H131" s="168">
        <f t="shared" si="6"/>
        <v>0</v>
      </c>
    </row>
    <row r="132" spans="1:8" ht="75.599999999999994" x14ac:dyDescent="0.45">
      <c r="A132" s="171" t="s">
        <v>2385</v>
      </c>
      <c r="B132" s="171"/>
      <c r="C132" s="106" t="s">
        <v>794</v>
      </c>
      <c r="D132" s="106" t="s">
        <v>795</v>
      </c>
      <c r="E132" s="166"/>
      <c r="F132" s="171" t="s">
        <v>508</v>
      </c>
      <c r="G132" s="171">
        <v>6000</v>
      </c>
      <c r="H132" s="168">
        <f t="shared" si="6"/>
        <v>0</v>
      </c>
    </row>
    <row r="133" spans="1:8" ht="75.599999999999994" x14ac:dyDescent="0.45">
      <c r="A133" s="171" t="s">
        <v>2386</v>
      </c>
      <c r="B133" s="171"/>
      <c r="C133" s="106" t="s">
        <v>797</v>
      </c>
      <c r="D133" s="106" t="s">
        <v>798</v>
      </c>
      <c r="E133" s="166"/>
      <c r="F133" s="171" t="s">
        <v>682</v>
      </c>
      <c r="G133" s="171">
        <v>450</v>
      </c>
      <c r="H133" s="168">
        <f t="shared" si="6"/>
        <v>0</v>
      </c>
    </row>
    <row r="134" spans="1:8" ht="75.599999999999994" x14ac:dyDescent="0.45">
      <c r="A134" s="171" t="s">
        <v>2387</v>
      </c>
      <c r="B134" s="171"/>
      <c r="C134" s="106" t="s">
        <v>800</v>
      </c>
      <c r="D134" s="106" t="s">
        <v>801</v>
      </c>
      <c r="E134" s="166"/>
      <c r="F134" s="171" t="s">
        <v>508</v>
      </c>
      <c r="G134" s="172">
        <v>12000</v>
      </c>
      <c r="H134" s="168">
        <f t="shared" si="6"/>
        <v>0</v>
      </c>
    </row>
    <row r="135" spans="1:8" x14ac:dyDescent="0.45">
      <c r="A135" s="118" t="s">
        <v>2388</v>
      </c>
      <c r="B135" s="184" t="s">
        <v>180</v>
      </c>
      <c r="D135" s="120"/>
      <c r="E135" s="171"/>
      <c r="F135" s="171"/>
      <c r="G135" s="172"/>
      <c r="H135" s="168"/>
    </row>
    <row r="136" spans="1:8" x14ac:dyDescent="0.45">
      <c r="A136" s="159"/>
      <c r="B136" s="159">
        <v>1503060</v>
      </c>
      <c r="C136" s="159"/>
      <c r="D136" s="159" t="s">
        <v>138</v>
      </c>
      <c r="E136" s="159"/>
      <c r="F136" s="159"/>
      <c r="G136" s="210"/>
      <c r="H136" s="163"/>
    </row>
    <row r="137" spans="1:8" ht="113.4" x14ac:dyDescent="0.45">
      <c r="A137" s="171" t="s">
        <v>2389</v>
      </c>
      <c r="B137" s="171"/>
      <c r="C137" s="106" t="s">
        <v>138</v>
      </c>
      <c r="D137" s="106" t="s">
        <v>804</v>
      </c>
      <c r="E137" s="166"/>
      <c r="F137" s="171" t="s">
        <v>508</v>
      </c>
      <c r="G137" s="172">
        <v>800000</v>
      </c>
      <c r="H137" s="168">
        <f>SUM(E137)*G137</f>
        <v>0</v>
      </c>
    </row>
    <row r="138" spans="1:8" ht="88.2" x14ac:dyDescent="0.45">
      <c r="A138" s="171" t="s">
        <v>2390</v>
      </c>
      <c r="B138" s="171"/>
      <c r="C138" s="106" t="s">
        <v>806</v>
      </c>
      <c r="D138" s="106" t="s">
        <v>807</v>
      </c>
      <c r="E138" s="166"/>
      <c r="F138" s="171" t="s">
        <v>508</v>
      </c>
      <c r="G138" s="172">
        <v>13000</v>
      </c>
      <c r="H138" s="168">
        <f>SUM(E138)*G138</f>
        <v>0</v>
      </c>
    </row>
    <row r="139" spans="1:8" x14ac:dyDescent="0.45">
      <c r="A139" s="118" t="s">
        <v>2391</v>
      </c>
      <c r="B139" s="184" t="s">
        <v>180</v>
      </c>
      <c r="D139" s="120"/>
      <c r="E139" s="171"/>
      <c r="F139" s="171"/>
      <c r="G139" s="172"/>
      <c r="H139" s="168"/>
    </row>
    <row r="140" spans="1:8" ht="13" customHeight="1" x14ac:dyDescent="0.45">
      <c r="A140" s="159"/>
      <c r="B140" s="159">
        <v>1700000</v>
      </c>
      <c r="C140" s="159"/>
      <c r="D140" s="159" t="s">
        <v>171</v>
      </c>
      <c r="E140" s="159"/>
      <c r="F140" s="159"/>
      <c r="G140" s="210"/>
      <c r="H140" s="163"/>
    </row>
    <row r="141" spans="1:8" ht="75.599999999999994" x14ac:dyDescent="0.45">
      <c r="A141" s="171" t="s">
        <v>2392</v>
      </c>
      <c r="B141" s="171"/>
      <c r="C141" s="106" t="s">
        <v>810</v>
      </c>
      <c r="D141" s="106" t="s">
        <v>811</v>
      </c>
      <c r="E141" s="166"/>
      <c r="F141" s="171" t="s">
        <v>633</v>
      </c>
      <c r="G141" s="171">
        <v>45</v>
      </c>
      <c r="H141" s="168">
        <f>SUM(E141)*G141</f>
        <v>0</v>
      </c>
    </row>
    <row r="142" spans="1:8" ht="75.599999999999994" x14ac:dyDescent="0.45">
      <c r="A142" s="171" t="s">
        <v>2393</v>
      </c>
      <c r="B142" s="171"/>
      <c r="C142" s="106" t="s">
        <v>813</v>
      </c>
      <c r="D142" s="106" t="s">
        <v>814</v>
      </c>
      <c r="E142" s="166"/>
      <c r="F142" s="171" t="s">
        <v>633</v>
      </c>
      <c r="G142" s="171">
        <v>45</v>
      </c>
      <c r="H142" s="168">
        <f>SUM(E142)*G142</f>
        <v>0</v>
      </c>
    </row>
    <row r="143" spans="1:8" x14ac:dyDescent="0.45">
      <c r="A143" s="118" t="s">
        <v>2394</v>
      </c>
      <c r="B143" s="184" t="s">
        <v>180</v>
      </c>
      <c r="D143" s="120"/>
      <c r="E143" s="171"/>
      <c r="F143" s="171"/>
      <c r="G143" s="172"/>
      <c r="H143" s="220"/>
    </row>
    <row r="144" spans="1:8" ht="13" customHeight="1" x14ac:dyDescent="0.45">
      <c r="A144" s="159"/>
      <c r="B144" s="159">
        <v>1800000</v>
      </c>
      <c r="C144" s="159"/>
      <c r="D144" s="159" t="s">
        <v>174</v>
      </c>
      <c r="E144" s="159"/>
      <c r="F144" s="209"/>
      <c r="G144" s="210"/>
      <c r="H144" s="163"/>
    </row>
    <row r="145" spans="1:8" ht="176.4" x14ac:dyDescent="0.45">
      <c r="A145" s="171" t="s">
        <v>2395</v>
      </c>
      <c r="B145" s="171"/>
      <c r="C145" s="186" t="s">
        <v>817</v>
      </c>
      <c r="D145" s="186" t="s">
        <v>818</v>
      </c>
      <c r="E145" s="166"/>
      <c r="F145" s="171" t="s">
        <v>472</v>
      </c>
      <c r="G145" s="171">
        <v>25</v>
      </c>
      <c r="H145" s="168">
        <f t="shared" ref="H145:H208" si="7">SUM(E145)*G145</f>
        <v>0</v>
      </c>
    </row>
    <row r="146" spans="1:8" ht="176.4" x14ac:dyDescent="0.45">
      <c r="A146" s="171" t="s">
        <v>2396</v>
      </c>
      <c r="B146" s="171"/>
      <c r="C146" s="186" t="s">
        <v>820</v>
      </c>
      <c r="D146" s="186" t="s">
        <v>818</v>
      </c>
      <c r="E146" s="166"/>
      <c r="F146" s="171" t="s">
        <v>472</v>
      </c>
      <c r="G146" s="171">
        <v>20</v>
      </c>
      <c r="H146" s="168">
        <f t="shared" si="7"/>
        <v>0</v>
      </c>
    </row>
    <row r="147" spans="1:8" ht="176.4" x14ac:dyDescent="0.45">
      <c r="A147" s="171" t="s">
        <v>2397</v>
      </c>
      <c r="B147" s="171"/>
      <c r="C147" s="106" t="s">
        <v>822</v>
      </c>
      <c r="D147" s="106" t="s">
        <v>823</v>
      </c>
      <c r="E147" s="166"/>
      <c r="F147" s="171" t="s">
        <v>472</v>
      </c>
      <c r="G147" s="171">
        <v>6</v>
      </c>
      <c r="H147" s="168">
        <f t="shared" si="7"/>
        <v>0</v>
      </c>
    </row>
    <row r="148" spans="1:8" ht="176.4" x14ac:dyDescent="0.45">
      <c r="A148" s="171" t="s">
        <v>2398</v>
      </c>
      <c r="B148" s="171"/>
      <c r="C148" s="106" t="s">
        <v>825</v>
      </c>
      <c r="D148" s="106" t="s">
        <v>823</v>
      </c>
      <c r="E148" s="166"/>
      <c r="F148" s="171" t="s">
        <v>472</v>
      </c>
      <c r="G148" s="172">
        <v>1</v>
      </c>
      <c r="H148" s="168">
        <f t="shared" si="7"/>
        <v>0</v>
      </c>
    </row>
    <row r="149" spans="1:8" ht="176.4" x14ac:dyDescent="0.45">
      <c r="A149" s="171" t="s">
        <v>2399</v>
      </c>
      <c r="B149" s="171"/>
      <c r="C149" s="106" t="s">
        <v>827</v>
      </c>
      <c r="D149" s="106" t="s">
        <v>828</v>
      </c>
      <c r="E149" s="166"/>
      <c r="F149" s="171" t="s">
        <v>472</v>
      </c>
      <c r="G149" s="172">
        <v>1</v>
      </c>
      <c r="H149" s="168">
        <f t="shared" si="7"/>
        <v>0</v>
      </c>
    </row>
    <row r="150" spans="1:8" ht="50.4" x14ac:dyDescent="0.45">
      <c r="A150" s="171" t="s">
        <v>2400</v>
      </c>
      <c r="B150" s="171"/>
      <c r="C150" s="106" t="s">
        <v>830</v>
      </c>
      <c r="D150" s="106" t="s">
        <v>831</v>
      </c>
      <c r="E150" s="166"/>
      <c r="F150" s="171" t="s">
        <v>543</v>
      </c>
      <c r="G150" s="172">
        <v>33000</v>
      </c>
      <c r="H150" s="168">
        <f t="shared" si="7"/>
        <v>0</v>
      </c>
    </row>
    <row r="151" spans="1:8" ht="63" x14ac:dyDescent="0.45">
      <c r="A151" s="171" t="s">
        <v>2401</v>
      </c>
      <c r="B151" s="171"/>
      <c r="C151" s="186" t="s">
        <v>833</v>
      </c>
      <c r="D151" s="186" t="s">
        <v>1436</v>
      </c>
      <c r="E151" s="166"/>
      <c r="F151" s="171" t="s">
        <v>543</v>
      </c>
      <c r="G151" s="172">
        <v>2400</v>
      </c>
      <c r="H151" s="168">
        <f t="shared" si="7"/>
        <v>0</v>
      </c>
    </row>
    <row r="152" spans="1:8" ht="63" x14ac:dyDescent="0.45">
      <c r="A152" s="171" t="s">
        <v>2402</v>
      </c>
      <c r="B152" s="171"/>
      <c r="C152" s="186" t="s">
        <v>835</v>
      </c>
      <c r="D152" s="186" t="s">
        <v>1438</v>
      </c>
      <c r="E152" s="166"/>
      <c r="F152" s="171" t="s">
        <v>543</v>
      </c>
      <c r="G152" s="172">
        <v>7000</v>
      </c>
      <c r="H152" s="168">
        <f t="shared" si="7"/>
        <v>0</v>
      </c>
    </row>
    <row r="153" spans="1:8" ht="63" x14ac:dyDescent="0.45">
      <c r="A153" s="171" t="s">
        <v>2403</v>
      </c>
      <c r="B153" s="171"/>
      <c r="C153" s="186" t="s">
        <v>837</v>
      </c>
      <c r="D153" s="186" t="s">
        <v>1440</v>
      </c>
      <c r="E153" s="166"/>
      <c r="F153" s="171" t="s">
        <v>543</v>
      </c>
      <c r="G153" s="172">
        <v>1750</v>
      </c>
      <c r="H153" s="168">
        <f t="shared" si="7"/>
        <v>0</v>
      </c>
    </row>
    <row r="154" spans="1:8" ht="63" x14ac:dyDescent="0.45">
      <c r="A154" s="171" t="s">
        <v>2404</v>
      </c>
      <c r="B154" s="171"/>
      <c r="C154" s="186" t="s">
        <v>839</v>
      </c>
      <c r="D154" s="186" t="s">
        <v>1442</v>
      </c>
      <c r="E154" s="166"/>
      <c r="F154" s="171" t="s">
        <v>543</v>
      </c>
      <c r="G154" s="172">
        <v>300</v>
      </c>
      <c r="H154" s="168">
        <f t="shared" si="7"/>
        <v>0</v>
      </c>
    </row>
    <row r="155" spans="1:8" ht="63" x14ac:dyDescent="0.45">
      <c r="A155" s="171" t="s">
        <v>2405</v>
      </c>
      <c r="B155" s="171"/>
      <c r="C155" s="186" t="s">
        <v>841</v>
      </c>
      <c r="D155" s="186" t="s">
        <v>1444</v>
      </c>
      <c r="E155" s="166"/>
      <c r="F155" s="171" t="s">
        <v>543</v>
      </c>
      <c r="G155" s="172">
        <v>5880</v>
      </c>
      <c r="H155" s="168">
        <f t="shared" si="7"/>
        <v>0</v>
      </c>
    </row>
    <row r="156" spans="1:8" ht="63" x14ac:dyDescent="0.45">
      <c r="A156" s="171" t="s">
        <v>2406</v>
      </c>
      <c r="B156" s="171"/>
      <c r="C156" s="186" t="s">
        <v>843</v>
      </c>
      <c r="D156" s="186" t="s">
        <v>1446</v>
      </c>
      <c r="E156" s="166"/>
      <c r="F156" s="171" t="s">
        <v>543</v>
      </c>
      <c r="G156" s="172">
        <v>1020</v>
      </c>
      <c r="H156" s="168">
        <f t="shared" si="7"/>
        <v>0</v>
      </c>
    </row>
    <row r="157" spans="1:8" ht="63" x14ac:dyDescent="0.45">
      <c r="A157" s="171" t="s">
        <v>2407</v>
      </c>
      <c r="B157" s="171"/>
      <c r="C157" s="186" t="s">
        <v>845</v>
      </c>
      <c r="D157" s="186" t="s">
        <v>1438</v>
      </c>
      <c r="E157" s="166"/>
      <c r="F157" s="171" t="s">
        <v>543</v>
      </c>
      <c r="G157" s="172">
        <v>3000</v>
      </c>
      <c r="H157" s="168">
        <f t="shared" si="7"/>
        <v>0</v>
      </c>
    </row>
    <row r="158" spans="1:8" ht="63" x14ac:dyDescent="0.45">
      <c r="A158" s="171" t="s">
        <v>2408</v>
      </c>
      <c r="B158" s="171"/>
      <c r="C158" s="186" t="s">
        <v>837</v>
      </c>
      <c r="D158" s="186" t="s">
        <v>1440</v>
      </c>
      <c r="E158" s="166"/>
      <c r="F158" s="171" t="s">
        <v>543</v>
      </c>
      <c r="G158" s="172">
        <v>750</v>
      </c>
      <c r="H158" s="168">
        <f t="shared" si="7"/>
        <v>0</v>
      </c>
    </row>
    <row r="159" spans="1:8" ht="63" x14ac:dyDescent="0.45">
      <c r="A159" s="171" t="s">
        <v>2409</v>
      </c>
      <c r="B159" s="171"/>
      <c r="C159" s="186" t="s">
        <v>839</v>
      </c>
      <c r="D159" s="186" t="s">
        <v>1442</v>
      </c>
      <c r="E159" s="166"/>
      <c r="F159" s="171" t="s">
        <v>543</v>
      </c>
      <c r="G159" s="172">
        <v>125</v>
      </c>
      <c r="H159" s="168">
        <f t="shared" si="7"/>
        <v>0</v>
      </c>
    </row>
    <row r="160" spans="1:8" ht="63" x14ac:dyDescent="0.45">
      <c r="A160" s="171" t="s">
        <v>2410</v>
      </c>
      <c r="B160" s="171"/>
      <c r="C160" s="186" t="s">
        <v>849</v>
      </c>
      <c r="D160" s="186" t="s">
        <v>1451</v>
      </c>
      <c r="E160" s="166"/>
      <c r="F160" s="171" t="s">
        <v>543</v>
      </c>
      <c r="G160" s="172">
        <v>2050</v>
      </c>
      <c r="H160" s="168">
        <f t="shared" si="7"/>
        <v>0</v>
      </c>
    </row>
    <row r="161" spans="1:8" ht="50.4" x14ac:dyDescent="0.45">
      <c r="A161" s="171" t="s">
        <v>2411</v>
      </c>
      <c r="B161" s="171"/>
      <c r="C161" s="106" t="s">
        <v>851</v>
      </c>
      <c r="D161" s="106" t="s">
        <v>852</v>
      </c>
      <c r="E161" s="166"/>
      <c r="F161" s="171" t="s">
        <v>543</v>
      </c>
      <c r="G161" s="172">
        <v>15000</v>
      </c>
      <c r="H161" s="168">
        <f t="shared" si="7"/>
        <v>0</v>
      </c>
    </row>
    <row r="162" spans="1:8" ht="63" x14ac:dyDescent="0.45">
      <c r="A162" s="171" t="s">
        <v>2412</v>
      </c>
      <c r="B162" s="171"/>
      <c r="C162" s="106" t="s">
        <v>854</v>
      </c>
      <c r="D162" s="106" t="s">
        <v>855</v>
      </c>
      <c r="E162" s="166"/>
      <c r="F162" s="171" t="s">
        <v>472</v>
      </c>
      <c r="G162" s="171">
        <v>10</v>
      </c>
      <c r="H162" s="168">
        <f t="shared" si="7"/>
        <v>0</v>
      </c>
    </row>
    <row r="163" spans="1:8" ht="63" x14ac:dyDescent="0.45">
      <c r="A163" s="171" t="s">
        <v>2413</v>
      </c>
      <c r="B163" s="171"/>
      <c r="C163" s="106" t="s">
        <v>857</v>
      </c>
      <c r="D163" s="184" t="s">
        <v>858</v>
      </c>
      <c r="E163" s="166"/>
      <c r="F163" s="171" t="s">
        <v>543</v>
      </c>
      <c r="G163" s="172">
        <v>33000</v>
      </c>
      <c r="H163" s="168">
        <f t="shared" si="7"/>
        <v>0</v>
      </c>
    </row>
    <row r="164" spans="1:8" ht="63" x14ac:dyDescent="0.45">
      <c r="A164" s="171" t="s">
        <v>2414</v>
      </c>
      <c r="B164" s="171"/>
      <c r="C164" s="106" t="s">
        <v>860</v>
      </c>
      <c r="D164" s="184" t="s">
        <v>861</v>
      </c>
      <c r="E164" s="166"/>
      <c r="F164" s="171" t="s">
        <v>543</v>
      </c>
      <c r="G164" s="172">
        <v>39000</v>
      </c>
      <c r="H164" s="168">
        <f t="shared" si="7"/>
        <v>0</v>
      </c>
    </row>
    <row r="165" spans="1:8" ht="37.799999999999997" x14ac:dyDescent="0.45">
      <c r="A165" s="171" t="s">
        <v>2415</v>
      </c>
      <c r="B165" s="171"/>
      <c r="C165" s="106" t="s">
        <v>863</v>
      </c>
      <c r="D165" s="106" t="s">
        <v>864</v>
      </c>
      <c r="E165" s="166"/>
      <c r="F165" s="171" t="s">
        <v>472</v>
      </c>
      <c r="G165" s="171">
        <v>10</v>
      </c>
      <c r="H165" s="168">
        <f t="shared" si="7"/>
        <v>0</v>
      </c>
    </row>
    <row r="166" spans="1:8" ht="37.799999999999997" x14ac:dyDescent="0.45">
      <c r="A166" s="171" t="s">
        <v>2416</v>
      </c>
      <c r="B166" s="171"/>
      <c r="C166" s="106" t="s">
        <v>866</v>
      </c>
      <c r="D166" s="106" t="s">
        <v>864</v>
      </c>
      <c r="E166" s="166"/>
      <c r="F166" s="171" t="s">
        <v>472</v>
      </c>
      <c r="G166" s="171">
        <v>10</v>
      </c>
      <c r="H166" s="168">
        <f t="shared" si="7"/>
        <v>0</v>
      </c>
    </row>
    <row r="167" spans="1:8" ht="37.799999999999997" x14ac:dyDescent="0.45">
      <c r="A167" s="171" t="s">
        <v>2417</v>
      </c>
      <c r="B167" s="171"/>
      <c r="C167" s="106" t="s">
        <v>868</v>
      </c>
      <c r="D167" s="106" t="s">
        <v>869</v>
      </c>
      <c r="E167" s="166"/>
      <c r="F167" s="171" t="s">
        <v>472</v>
      </c>
      <c r="G167" s="171">
        <v>10</v>
      </c>
      <c r="H167" s="168">
        <f t="shared" si="7"/>
        <v>0</v>
      </c>
    </row>
    <row r="168" spans="1:8" ht="37.799999999999997" x14ac:dyDescent="0.45">
      <c r="A168" s="171" t="s">
        <v>2418</v>
      </c>
      <c r="B168" s="171"/>
      <c r="C168" s="106" t="s">
        <v>871</v>
      </c>
      <c r="D168" s="106" t="s">
        <v>869</v>
      </c>
      <c r="E168" s="166"/>
      <c r="F168" s="171" t="s">
        <v>472</v>
      </c>
      <c r="G168" s="171">
        <v>10</v>
      </c>
      <c r="H168" s="168">
        <f t="shared" si="7"/>
        <v>0</v>
      </c>
    </row>
    <row r="169" spans="1:8" ht="37.799999999999997" x14ac:dyDescent="0.45">
      <c r="A169" s="171" t="s">
        <v>2419</v>
      </c>
      <c r="B169" s="171"/>
      <c r="C169" s="106" t="s">
        <v>873</v>
      </c>
      <c r="D169" s="106" t="s">
        <v>864</v>
      </c>
      <c r="E169" s="166"/>
      <c r="F169" s="171" t="s">
        <v>472</v>
      </c>
      <c r="G169" s="171">
        <v>10</v>
      </c>
      <c r="H169" s="168">
        <f t="shared" si="7"/>
        <v>0</v>
      </c>
    </row>
    <row r="170" spans="1:8" ht="37.799999999999997" x14ac:dyDescent="0.45">
      <c r="A170" s="171" t="s">
        <v>2420</v>
      </c>
      <c r="B170" s="171"/>
      <c r="C170" s="106" t="s">
        <v>875</v>
      </c>
      <c r="D170" s="106" t="s">
        <v>864</v>
      </c>
      <c r="E170" s="166"/>
      <c r="F170" s="171" t="s">
        <v>472</v>
      </c>
      <c r="G170" s="171">
        <v>10</v>
      </c>
      <c r="H170" s="168">
        <f t="shared" si="7"/>
        <v>0</v>
      </c>
    </row>
    <row r="171" spans="1:8" ht="37.799999999999997" x14ac:dyDescent="0.45">
      <c r="A171" s="171" t="s">
        <v>2421</v>
      </c>
      <c r="B171" s="171"/>
      <c r="C171" s="106" t="s">
        <v>877</v>
      </c>
      <c r="D171" s="106" t="s">
        <v>864</v>
      </c>
      <c r="E171" s="166"/>
      <c r="F171" s="171" t="s">
        <v>472</v>
      </c>
      <c r="G171" s="171">
        <v>10</v>
      </c>
      <c r="H171" s="168">
        <f t="shared" si="7"/>
        <v>0</v>
      </c>
    </row>
    <row r="172" spans="1:8" ht="37.799999999999997" x14ac:dyDescent="0.45">
      <c r="A172" s="171" t="s">
        <v>2422</v>
      </c>
      <c r="B172" s="171"/>
      <c r="C172" s="106" t="s">
        <v>879</v>
      </c>
      <c r="D172" s="106" t="s">
        <v>864</v>
      </c>
      <c r="E172" s="166"/>
      <c r="F172" s="171" t="s">
        <v>472</v>
      </c>
      <c r="G172" s="171">
        <v>10</v>
      </c>
      <c r="H172" s="168">
        <f t="shared" si="7"/>
        <v>0</v>
      </c>
    </row>
    <row r="173" spans="1:8" ht="37.799999999999997" x14ac:dyDescent="0.45">
      <c r="A173" s="171" t="s">
        <v>2423</v>
      </c>
      <c r="B173" s="171"/>
      <c r="C173" s="106" t="s">
        <v>881</v>
      </c>
      <c r="D173" s="106" t="s">
        <v>864</v>
      </c>
      <c r="E173" s="166"/>
      <c r="F173" s="171" t="s">
        <v>472</v>
      </c>
      <c r="G173" s="171">
        <v>10</v>
      </c>
      <c r="H173" s="168">
        <f t="shared" si="7"/>
        <v>0</v>
      </c>
    </row>
    <row r="174" spans="1:8" ht="37.799999999999997" x14ac:dyDescent="0.45">
      <c r="A174" s="171" t="s">
        <v>2424</v>
      </c>
      <c r="B174" s="171"/>
      <c r="C174" s="106" t="s">
        <v>883</v>
      </c>
      <c r="D174" s="106" t="s">
        <v>864</v>
      </c>
      <c r="E174" s="166"/>
      <c r="F174" s="171" t="s">
        <v>472</v>
      </c>
      <c r="G174" s="171">
        <v>10</v>
      </c>
      <c r="H174" s="168">
        <f t="shared" si="7"/>
        <v>0</v>
      </c>
    </row>
    <row r="175" spans="1:8" ht="37.799999999999997" x14ac:dyDescent="0.45">
      <c r="A175" s="171" t="s">
        <v>2425</v>
      </c>
      <c r="B175" s="171"/>
      <c r="C175" s="106" t="s">
        <v>885</v>
      </c>
      <c r="D175" s="106" t="s">
        <v>864</v>
      </c>
      <c r="E175" s="166"/>
      <c r="F175" s="171" t="s">
        <v>472</v>
      </c>
      <c r="G175" s="171">
        <v>10</v>
      </c>
      <c r="H175" s="168">
        <f t="shared" si="7"/>
        <v>0</v>
      </c>
    </row>
    <row r="176" spans="1:8" ht="37.799999999999997" x14ac:dyDescent="0.45">
      <c r="A176" s="171" t="s">
        <v>2426</v>
      </c>
      <c r="B176" s="171"/>
      <c r="C176" s="106" t="s">
        <v>887</v>
      </c>
      <c r="D176" s="106" t="s">
        <v>864</v>
      </c>
      <c r="E176" s="166"/>
      <c r="F176" s="171" t="s">
        <v>472</v>
      </c>
      <c r="G176" s="171">
        <v>10</v>
      </c>
      <c r="H176" s="168">
        <f t="shared" si="7"/>
        <v>0</v>
      </c>
    </row>
    <row r="177" spans="1:8" ht="37.799999999999997" x14ac:dyDescent="0.45">
      <c r="A177" s="171" t="s">
        <v>2427</v>
      </c>
      <c r="B177" s="171"/>
      <c r="C177" s="106" t="s">
        <v>889</v>
      </c>
      <c r="D177" s="106" t="s">
        <v>864</v>
      </c>
      <c r="E177" s="166"/>
      <c r="F177" s="171" t="s">
        <v>472</v>
      </c>
      <c r="G177" s="171">
        <v>10</v>
      </c>
      <c r="H177" s="168">
        <f t="shared" si="7"/>
        <v>0</v>
      </c>
    </row>
    <row r="178" spans="1:8" ht="37.799999999999997" x14ac:dyDescent="0.45">
      <c r="A178" s="171" t="s">
        <v>2428</v>
      </c>
      <c r="B178" s="171"/>
      <c r="C178" s="106" t="s">
        <v>891</v>
      </c>
      <c r="D178" s="106" t="s">
        <v>864</v>
      </c>
      <c r="E178" s="166"/>
      <c r="F178" s="171" t="s">
        <v>472</v>
      </c>
      <c r="G178" s="171">
        <v>10</v>
      </c>
      <c r="H178" s="168">
        <f t="shared" si="7"/>
        <v>0</v>
      </c>
    </row>
    <row r="179" spans="1:8" ht="37.799999999999997" x14ac:dyDescent="0.45">
      <c r="A179" s="171" t="s">
        <v>2429</v>
      </c>
      <c r="B179" s="171"/>
      <c r="C179" s="106" t="s">
        <v>893</v>
      </c>
      <c r="D179" s="106" t="s">
        <v>864</v>
      </c>
      <c r="E179" s="166"/>
      <c r="F179" s="171" t="s">
        <v>472</v>
      </c>
      <c r="G179" s="171">
        <v>10</v>
      </c>
      <c r="H179" s="168">
        <f t="shared" si="7"/>
        <v>0</v>
      </c>
    </row>
    <row r="180" spans="1:8" ht="37.799999999999997" x14ac:dyDescent="0.45">
      <c r="A180" s="171" t="s">
        <v>2430</v>
      </c>
      <c r="B180" s="171"/>
      <c r="C180" s="106" t="s">
        <v>895</v>
      </c>
      <c r="D180" s="106" t="s">
        <v>864</v>
      </c>
      <c r="E180" s="166"/>
      <c r="F180" s="171" t="s">
        <v>472</v>
      </c>
      <c r="G180" s="171">
        <v>10</v>
      </c>
      <c r="H180" s="168">
        <f t="shared" si="7"/>
        <v>0</v>
      </c>
    </row>
    <row r="181" spans="1:8" ht="37.799999999999997" x14ac:dyDescent="0.45">
      <c r="A181" s="171" t="s">
        <v>2431</v>
      </c>
      <c r="B181" s="171"/>
      <c r="C181" s="106" t="s">
        <v>897</v>
      </c>
      <c r="D181" s="106" t="s">
        <v>864</v>
      </c>
      <c r="E181" s="166"/>
      <c r="F181" s="171" t="s">
        <v>472</v>
      </c>
      <c r="G181" s="171">
        <v>10</v>
      </c>
      <c r="H181" s="168">
        <f t="shared" si="7"/>
        <v>0</v>
      </c>
    </row>
    <row r="182" spans="1:8" ht="37.799999999999997" x14ac:dyDescent="0.45">
      <c r="A182" s="171" t="s">
        <v>2432</v>
      </c>
      <c r="B182" s="171"/>
      <c r="C182" s="106" t="s">
        <v>899</v>
      </c>
      <c r="D182" s="106" t="s">
        <v>864</v>
      </c>
      <c r="E182" s="166"/>
      <c r="F182" s="171" t="s">
        <v>472</v>
      </c>
      <c r="G182" s="171">
        <v>10</v>
      </c>
      <c r="H182" s="168">
        <f t="shared" si="7"/>
        <v>0</v>
      </c>
    </row>
    <row r="183" spans="1:8" ht="37.799999999999997" x14ac:dyDescent="0.45">
      <c r="A183" s="171" t="s">
        <v>2433</v>
      </c>
      <c r="B183" s="171"/>
      <c r="C183" s="106" t="s">
        <v>901</v>
      </c>
      <c r="D183" s="106" t="s">
        <v>864</v>
      </c>
      <c r="E183" s="166"/>
      <c r="F183" s="171" t="s">
        <v>472</v>
      </c>
      <c r="G183" s="171">
        <v>10</v>
      </c>
      <c r="H183" s="168">
        <f t="shared" si="7"/>
        <v>0</v>
      </c>
    </row>
    <row r="184" spans="1:8" ht="37.799999999999997" x14ac:dyDescent="0.45">
      <c r="A184" s="171" t="s">
        <v>2434</v>
      </c>
      <c r="B184" s="171"/>
      <c r="C184" s="106" t="s">
        <v>903</v>
      </c>
      <c r="D184" s="106" t="s">
        <v>864</v>
      </c>
      <c r="E184" s="166"/>
      <c r="F184" s="171" t="s">
        <v>472</v>
      </c>
      <c r="G184" s="171">
        <v>10</v>
      </c>
      <c r="H184" s="168">
        <f t="shared" si="7"/>
        <v>0</v>
      </c>
    </row>
    <row r="185" spans="1:8" ht="37.799999999999997" x14ac:dyDescent="0.45">
      <c r="A185" s="171" t="s">
        <v>2435</v>
      </c>
      <c r="B185" s="171"/>
      <c r="C185" s="106" t="s">
        <v>905</v>
      </c>
      <c r="D185" s="106" t="s">
        <v>864</v>
      </c>
      <c r="E185" s="166"/>
      <c r="F185" s="171" t="s">
        <v>472</v>
      </c>
      <c r="G185" s="171">
        <v>10</v>
      </c>
      <c r="H185" s="168">
        <f t="shared" si="7"/>
        <v>0</v>
      </c>
    </row>
    <row r="186" spans="1:8" ht="37.799999999999997" x14ac:dyDescent="0.45">
      <c r="A186" s="171" t="s">
        <v>2436</v>
      </c>
      <c r="B186" s="171"/>
      <c r="C186" s="106" t="s">
        <v>907</v>
      </c>
      <c r="D186" s="106" t="s">
        <v>864</v>
      </c>
      <c r="E186" s="166"/>
      <c r="F186" s="171" t="s">
        <v>472</v>
      </c>
      <c r="G186" s="171">
        <v>10</v>
      </c>
      <c r="H186" s="168">
        <f t="shared" si="7"/>
        <v>0</v>
      </c>
    </row>
    <row r="187" spans="1:8" ht="37.799999999999997" x14ac:dyDescent="0.45">
      <c r="A187" s="171" t="s">
        <v>2437</v>
      </c>
      <c r="B187" s="171"/>
      <c r="C187" s="106" t="s">
        <v>909</v>
      </c>
      <c r="D187" s="106" t="s">
        <v>864</v>
      </c>
      <c r="E187" s="166"/>
      <c r="F187" s="171" t="s">
        <v>472</v>
      </c>
      <c r="G187" s="171">
        <v>10</v>
      </c>
      <c r="H187" s="168">
        <f t="shared" si="7"/>
        <v>0</v>
      </c>
    </row>
    <row r="188" spans="1:8" ht="50.4" x14ac:dyDescent="0.45">
      <c r="A188" s="171" t="s">
        <v>2438</v>
      </c>
      <c r="B188" s="171"/>
      <c r="C188" s="106" t="s">
        <v>911</v>
      </c>
      <c r="D188" s="106" t="s">
        <v>864</v>
      </c>
      <c r="E188" s="166"/>
      <c r="F188" s="171" t="s">
        <v>472</v>
      </c>
      <c r="G188" s="171">
        <v>10</v>
      </c>
      <c r="H188" s="168">
        <f t="shared" si="7"/>
        <v>0</v>
      </c>
    </row>
    <row r="189" spans="1:8" ht="37.799999999999997" x14ac:dyDescent="0.45">
      <c r="A189" s="171" t="s">
        <v>2439</v>
      </c>
      <c r="B189" s="171"/>
      <c r="C189" s="106" t="s">
        <v>913</v>
      </c>
      <c r="D189" s="106" t="s">
        <v>864</v>
      </c>
      <c r="E189" s="166"/>
      <c r="F189" s="171" t="s">
        <v>472</v>
      </c>
      <c r="G189" s="171">
        <v>10</v>
      </c>
      <c r="H189" s="168">
        <f t="shared" si="7"/>
        <v>0</v>
      </c>
    </row>
    <row r="190" spans="1:8" ht="50.4" x14ac:dyDescent="0.45">
      <c r="A190" s="171" t="s">
        <v>2440</v>
      </c>
      <c r="B190" s="171"/>
      <c r="C190" s="106" t="s">
        <v>915</v>
      </c>
      <c r="D190" s="106" t="s">
        <v>864</v>
      </c>
      <c r="E190" s="166"/>
      <c r="F190" s="171" t="s">
        <v>472</v>
      </c>
      <c r="G190" s="171">
        <v>10</v>
      </c>
      <c r="H190" s="168">
        <f t="shared" si="7"/>
        <v>0</v>
      </c>
    </row>
    <row r="191" spans="1:8" ht="50.4" x14ac:dyDescent="0.45">
      <c r="A191" s="171" t="s">
        <v>2441</v>
      </c>
      <c r="B191" s="171"/>
      <c r="C191" s="106" t="s">
        <v>917</v>
      </c>
      <c r="D191" s="106" t="s">
        <v>864</v>
      </c>
      <c r="E191" s="166"/>
      <c r="F191" s="171" t="s">
        <v>472</v>
      </c>
      <c r="G191" s="171">
        <v>10</v>
      </c>
      <c r="H191" s="168">
        <f t="shared" si="7"/>
        <v>0</v>
      </c>
    </row>
    <row r="192" spans="1:8" ht="50.4" x14ac:dyDescent="0.45">
      <c r="A192" s="171" t="s">
        <v>2442</v>
      </c>
      <c r="B192" s="171"/>
      <c r="C192" s="106" t="s">
        <v>919</v>
      </c>
      <c r="D192" s="106" t="s">
        <v>864</v>
      </c>
      <c r="E192" s="166"/>
      <c r="F192" s="171" t="s">
        <v>472</v>
      </c>
      <c r="G192" s="171">
        <v>10</v>
      </c>
      <c r="H192" s="168">
        <f t="shared" si="7"/>
        <v>0</v>
      </c>
    </row>
    <row r="193" spans="1:8" ht="37.799999999999997" x14ac:dyDescent="0.45">
      <c r="A193" s="171" t="s">
        <v>2443</v>
      </c>
      <c r="B193" s="171"/>
      <c r="C193" s="106" t="s">
        <v>921</v>
      </c>
      <c r="D193" s="106" t="s">
        <v>864</v>
      </c>
      <c r="E193" s="166"/>
      <c r="F193" s="171" t="s">
        <v>472</v>
      </c>
      <c r="G193" s="171">
        <v>10</v>
      </c>
      <c r="H193" s="168">
        <f t="shared" si="7"/>
        <v>0</v>
      </c>
    </row>
    <row r="194" spans="1:8" ht="50.4" x14ac:dyDescent="0.45">
      <c r="A194" s="171" t="s">
        <v>2444</v>
      </c>
      <c r="B194" s="171"/>
      <c r="C194" s="106" t="s">
        <v>923</v>
      </c>
      <c r="D194" s="106" t="s">
        <v>864</v>
      </c>
      <c r="E194" s="166"/>
      <c r="F194" s="171" t="s">
        <v>472</v>
      </c>
      <c r="G194" s="171">
        <v>10</v>
      </c>
      <c r="H194" s="168">
        <f t="shared" si="7"/>
        <v>0</v>
      </c>
    </row>
    <row r="195" spans="1:8" ht="50.4" x14ac:dyDescent="0.45">
      <c r="A195" s="171" t="s">
        <v>2445</v>
      </c>
      <c r="B195" s="171"/>
      <c r="C195" s="106" t="s">
        <v>925</v>
      </c>
      <c r="D195" s="106" t="s">
        <v>864</v>
      </c>
      <c r="E195" s="166"/>
      <c r="F195" s="171" t="s">
        <v>472</v>
      </c>
      <c r="G195" s="171">
        <v>10</v>
      </c>
      <c r="H195" s="168">
        <f t="shared" si="7"/>
        <v>0</v>
      </c>
    </row>
    <row r="196" spans="1:8" ht="50.4" x14ac:dyDescent="0.45">
      <c r="A196" s="171" t="s">
        <v>2446</v>
      </c>
      <c r="B196" s="171"/>
      <c r="C196" s="106" t="s">
        <v>927</v>
      </c>
      <c r="D196" s="106" t="s">
        <v>864</v>
      </c>
      <c r="E196" s="166"/>
      <c r="F196" s="171" t="s">
        <v>472</v>
      </c>
      <c r="G196" s="171">
        <v>10</v>
      </c>
      <c r="H196" s="168">
        <f t="shared" si="7"/>
        <v>0</v>
      </c>
    </row>
    <row r="197" spans="1:8" ht="50.4" x14ac:dyDescent="0.45">
      <c r="A197" s="171" t="s">
        <v>2447</v>
      </c>
      <c r="B197" s="171"/>
      <c r="C197" s="106" t="s">
        <v>929</v>
      </c>
      <c r="D197" s="106" t="s">
        <v>864</v>
      </c>
      <c r="E197" s="166"/>
      <c r="F197" s="171" t="s">
        <v>472</v>
      </c>
      <c r="G197" s="171">
        <v>10</v>
      </c>
      <c r="H197" s="168">
        <f t="shared" si="7"/>
        <v>0</v>
      </c>
    </row>
    <row r="198" spans="1:8" ht="50.4" x14ac:dyDescent="0.45">
      <c r="A198" s="171" t="s">
        <v>2448</v>
      </c>
      <c r="B198" s="171"/>
      <c r="C198" s="106" t="s">
        <v>931</v>
      </c>
      <c r="D198" s="106" t="s">
        <v>864</v>
      </c>
      <c r="E198" s="166"/>
      <c r="F198" s="171" t="s">
        <v>472</v>
      </c>
      <c r="G198" s="171">
        <v>10</v>
      </c>
      <c r="H198" s="168">
        <f t="shared" si="7"/>
        <v>0</v>
      </c>
    </row>
    <row r="199" spans="1:8" ht="37.799999999999997" x14ac:dyDescent="0.45">
      <c r="A199" s="171" t="s">
        <v>2449</v>
      </c>
      <c r="B199" s="171"/>
      <c r="C199" s="106" t="s">
        <v>933</v>
      </c>
      <c r="D199" s="106" t="s">
        <v>864</v>
      </c>
      <c r="E199" s="166"/>
      <c r="F199" s="171" t="s">
        <v>472</v>
      </c>
      <c r="G199" s="171">
        <v>10</v>
      </c>
      <c r="H199" s="168">
        <f t="shared" si="7"/>
        <v>0</v>
      </c>
    </row>
    <row r="200" spans="1:8" ht="37.799999999999997" x14ac:dyDescent="0.45">
      <c r="A200" s="171" t="s">
        <v>2450</v>
      </c>
      <c r="B200" s="171"/>
      <c r="C200" s="106" t="s">
        <v>935</v>
      </c>
      <c r="D200" s="106" t="s">
        <v>864</v>
      </c>
      <c r="E200" s="166"/>
      <c r="F200" s="171" t="s">
        <v>472</v>
      </c>
      <c r="G200" s="171">
        <v>10</v>
      </c>
      <c r="H200" s="168">
        <f t="shared" si="7"/>
        <v>0</v>
      </c>
    </row>
    <row r="201" spans="1:8" ht="50.4" x14ac:dyDescent="0.45">
      <c r="A201" s="171" t="s">
        <v>2451</v>
      </c>
      <c r="B201" s="171"/>
      <c r="C201" s="106" t="s">
        <v>937</v>
      </c>
      <c r="D201" s="106" t="s">
        <v>864</v>
      </c>
      <c r="E201" s="166"/>
      <c r="F201" s="171" t="s">
        <v>472</v>
      </c>
      <c r="G201" s="171">
        <v>10</v>
      </c>
      <c r="H201" s="168">
        <f t="shared" si="7"/>
        <v>0</v>
      </c>
    </row>
    <row r="202" spans="1:8" ht="50.4" x14ac:dyDescent="0.45">
      <c r="A202" s="171" t="s">
        <v>2452</v>
      </c>
      <c r="B202" s="171"/>
      <c r="C202" s="106" t="s">
        <v>939</v>
      </c>
      <c r="D202" s="106" t="s">
        <v>864</v>
      </c>
      <c r="E202" s="166"/>
      <c r="F202" s="171" t="s">
        <v>472</v>
      </c>
      <c r="G202" s="171">
        <v>10</v>
      </c>
      <c r="H202" s="168">
        <f t="shared" si="7"/>
        <v>0</v>
      </c>
    </row>
    <row r="203" spans="1:8" ht="50.4" x14ac:dyDescent="0.45">
      <c r="A203" s="171" t="s">
        <v>2453</v>
      </c>
      <c r="B203" s="171"/>
      <c r="C203" s="106" t="s">
        <v>941</v>
      </c>
      <c r="D203" s="106" t="s">
        <v>864</v>
      </c>
      <c r="E203" s="166"/>
      <c r="F203" s="171" t="s">
        <v>472</v>
      </c>
      <c r="G203" s="171">
        <v>10</v>
      </c>
      <c r="H203" s="168">
        <f t="shared" si="7"/>
        <v>0</v>
      </c>
    </row>
    <row r="204" spans="1:8" ht="50.4" x14ac:dyDescent="0.45">
      <c r="A204" s="171" t="s">
        <v>2454</v>
      </c>
      <c r="B204" s="171"/>
      <c r="C204" s="106" t="s">
        <v>943</v>
      </c>
      <c r="D204" s="106" t="s">
        <v>864</v>
      </c>
      <c r="E204" s="166"/>
      <c r="F204" s="171" t="s">
        <v>472</v>
      </c>
      <c r="G204" s="171">
        <v>10</v>
      </c>
      <c r="H204" s="168">
        <f t="shared" si="7"/>
        <v>0</v>
      </c>
    </row>
    <row r="205" spans="1:8" ht="50.4" x14ac:dyDescent="0.45">
      <c r="A205" s="171" t="s">
        <v>2455</v>
      </c>
      <c r="B205" s="171"/>
      <c r="C205" s="106" t="s">
        <v>945</v>
      </c>
      <c r="D205" s="106" t="s">
        <v>864</v>
      </c>
      <c r="E205" s="166"/>
      <c r="F205" s="171" t="s">
        <v>472</v>
      </c>
      <c r="G205" s="171">
        <v>10</v>
      </c>
      <c r="H205" s="168">
        <f t="shared" si="7"/>
        <v>0</v>
      </c>
    </row>
    <row r="206" spans="1:8" ht="50.4" x14ac:dyDescent="0.45">
      <c r="A206" s="171" t="s">
        <v>2456</v>
      </c>
      <c r="B206" s="171"/>
      <c r="C206" s="106" t="s">
        <v>947</v>
      </c>
      <c r="D206" s="106" t="s">
        <v>864</v>
      </c>
      <c r="E206" s="166"/>
      <c r="F206" s="171" t="s">
        <v>472</v>
      </c>
      <c r="G206" s="171">
        <v>10</v>
      </c>
      <c r="H206" s="168">
        <f t="shared" si="7"/>
        <v>0</v>
      </c>
    </row>
    <row r="207" spans="1:8" ht="50.4" x14ac:dyDescent="0.45">
      <c r="A207" s="171" t="s">
        <v>2457</v>
      </c>
      <c r="B207" s="171"/>
      <c r="C207" s="106" t="s">
        <v>949</v>
      </c>
      <c r="D207" s="106" t="s">
        <v>864</v>
      </c>
      <c r="E207" s="166"/>
      <c r="F207" s="171" t="s">
        <v>472</v>
      </c>
      <c r="G207" s="171">
        <v>10</v>
      </c>
      <c r="H207" s="168">
        <f t="shared" si="7"/>
        <v>0</v>
      </c>
    </row>
    <row r="208" spans="1:8" ht="50.4" x14ac:dyDescent="0.45">
      <c r="A208" s="171" t="s">
        <v>2458</v>
      </c>
      <c r="B208" s="171"/>
      <c r="C208" s="106" t="s">
        <v>951</v>
      </c>
      <c r="D208" s="106" t="s">
        <v>864</v>
      </c>
      <c r="E208" s="166"/>
      <c r="F208" s="171" t="s">
        <v>472</v>
      </c>
      <c r="G208" s="171">
        <v>10</v>
      </c>
      <c r="H208" s="168">
        <f t="shared" si="7"/>
        <v>0</v>
      </c>
    </row>
    <row r="209" spans="1:8" ht="50.4" x14ac:dyDescent="0.45">
      <c r="A209" s="171" t="s">
        <v>2459</v>
      </c>
      <c r="B209" s="171"/>
      <c r="C209" s="106" t="s">
        <v>953</v>
      </c>
      <c r="D209" s="106" t="s">
        <v>864</v>
      </c>
      <c r="E209" s="166"/>
      <c r="F209" s="171" t="s">
        <v>472</v>
      </c>
      <c r="G209" s="171">
        <v>10</v>
      </c>
      <c r="H209" s="168">
        <f t="shared" ref="H209:H258" si="8">SUM(E209)*G209</f>
        <v>0</v>
      </c>
    </row>
    <row r="210" spans="1:8" ht="50.4" x14ac:dyDescent="0.45">
      <c r="A210" s="171" t="s">
        <v>2460</v>
      </c>
      <c r="B210" s="171"/>
      <c r="C210" s="106" t="s">
        <v>955</v>
      </c>
      <c r="D210" s="106" t="s">
        <v>864</v>
      </c>
      <c r="E210" s="166"/>
      <c r="F210" s="171" t="s">
        <v>472</v>
      </c>
      <c r="G210" s="171">
        <v>10</v>
      </c>
      <c r="H210" s="168">
        <f t="shared" si="8"/>
        <v>0</v>
      </c>
    </row>
    <row r="211" spans="1:8" ht="50.4" x14ac:dyDescent="0.45">
      <c r="A211" s="171" t="s">
        <v>2461</v>
      </c>
      <c r="B211" s="171"/>
      <c r="C211" s="106" t="s">
        <v>957</v>
      </c>
      <c r="D211" s="106" t="s">
        <v>864</v>
      </c>
      <c r="E211" s="166"/>
      <c r="F211" s="171" t="s">
        <v>472</v>
      </c>
      <c r="G211" s="171">
        <v>10</v>
      </c>
      <c r="H211" s="168">
        <f t="shared" si="8"/>
        <v>0</v>
      </c>
    </row>
    <row r="212" spans="1:8" ht="50.4" x14ac:dyDescent="0.45">
      <c r="A212" s="171" t="s">
        <v>2462</v>
      </c>
      <c r="B212" s="171"/>
      <c r="C212" s="106" t="s">
        <v>959</v>
      </c>
      <c r="D212" s="106" t="s">
        <v>864</v>
      </c>
      <c r="E212" s="166"/>
      <c r="F212" s="171" t="s">
        <v>472</v>
      </c>
      <c r="G212" s="171">
        <v>10</v>
      </c>
      <c r="H212" s="168">
        <f t="shared" si="8"/>
        <v>0</v>
      </c>
    </row>
    <row r="213" spans="1:8" ht="50.4" x14ac:dyDescent="0.45">
      <c r="A213" s="171" t="s">
        <v>2463</v>
      </c>
      <c r="B213" s="171"/>
      <c r="C213" s="106" t="s">
        <v>961</v>
      </c>
      <c r="D213" s="106" t="s">
        <v>864</v>
      </c>
      <c r="E213" s="166"/>
      <c r="F213" s="171" t="s">
        <v>472</v>
      </c>
      <c r="G213" s="171">
        <v>10</v>
      </c>
      <c r="H213" s="168">
        <f t="shared" si="8"/>
        <v>0</v>
      </c>
    </row>
    <row r="214" spans="1:8" ht="50.4" x14ac:dyDescent="0.45">
      <c r="A214" s="171" t="s">
        <v>2464</v>
      </c>
      <c r="B214" s="171"/>
      <c r="C214" s="106" t="s">
        <v>963</v>
      </c>
      <c r="D214" s="106" t="s">
        <v>864</v>
      </c>
      <c r="E214" s="166"/>
      <c r="F214" s="171" t="s">
        <v>472</v>
      </c>
      <c r="G214" s="171">
        <v>10</v>
      </c>
      <c r="H214" s="168">
        <f t="shared" si="8"/>
        <v>0</v>
      </c>
    </row>
    <row r="215" spans="1:8" ht="50.4" x14ac:dyDescent="0.45">
      <c r="A215" s="171" t="s">
        <v>2465</v>
      </c>
      <c r="B215" s="171"/>
      <c r="C215" s="106" t="s">
        <v>965</v>
      </c>
      <c r="D215" s="106" t="s">
        <v>864</v>
      </c>
      <c r="E215" s="166"/>
      <c r="F215" s="171" t="s">
        <v>472</v>
      </c>
      <c r="G215" s="171">
        <v>10</v>
      </c>
      <c r="H215" s="168">
        <f t="shared" si="8"/>
        <v>0</v>
      </c>
    </row>
    <row r="216" spans="1:8" ht="50.4" x14ac:dyDescent="0.45">
      <c r="A216" s="171" t="s">
        <v>2466</v>
      </c>
      <c r="B216" s="171"/>
      <c r="C216" s="106" t="s">
        <v>967</v>
      </c>
      <c r="D216" s="106" t="s">
        <v>864</v>
      </c>
      <c r="E216" s="166"/>
      <c r="F216" s="171" t="s">
        <v>472</v>
      </c>
      <c r="G216" s="171">
        <v>10</v>
      </c>
      <c r="H216" s="168">
        <f t="shared" si="8"/>
        <v>0</v>
      </c>
    </row>
    <row r="217" spans="1:8" ht="50.4" x14ac:dyDescent="0.45">
      <c r="A217" s="171" t="s">
        <v>2467</v>
      </c>
      <c r="B217" s="171"/>
      <c r="C217" s="106" t="s">
        <v>969</v>
      </c>
      <c r="D217" s="106" t="s">
        <v>864</v>
      </c>
      <c r="E217" s="166"/>
      <c r="F217" s="171" t="s">
        <v>472</v>
      </c>
      <c r="G217" s="171">
        <v>10</v>
      </c>
      <c r="H217" s="168">
        <f t="shared" si="8"/>
        <v>0</v>
      </c>
    </row>
    <row r="218" spans="1:8" ht="50.4" x14ac:dyDescent="0.45">
      <c r="A218" s="171" t="s">
        <v>2468</v>
      </c>
      <c r="B218" s="171"/>
      <c r="C218" s="106" t="s">
        <v>971</v>
      </c>
      <c r="D218" s="106" t="s">
        <v>864</v>
      </c>
      <c r="E218" s="166"/>
      <c r="F218" s="171" t="s">
        <v>472</v>
      </c>
      <c r="G218" s="171">
        <v>10</v>
      </c>
      <c r="H218" s="168">
        <f t="shared" si="8"/>
        <v>0</v>
      </c>
    </row>
    <row r="219" spans="1:8" ht="50.4" x14ac:dyDescent="0.45">
      <c r="A219" s="171" t="s">
        <v>2469</v>
      </c>
      <c r="B219" s="171"/>
      <c r="C219" s="106" t="s">
        <v>973</v>
      </c>
      <c r="D219" s="106" t="s">
        <v>864</v>
      </c>
      <c r="E219" s="166"/>
      <c r="F219" s="171" t="s">
        <v>472</v>
      </c>
      <c r="G219" s="171">
        <v>10</v>
      </c>
      <c r="H219" s="168">
        <f t="shared" si="8"/>
        <v>0</v>
      </c>
    </row>
    <row r="220" spans="1:8" ht="37.799999999999997" x14ac:dyDescent="0.45">
      <c r="A220" s="171" t="s">
        <v>2470</v>
      </c>
      <c r="B220" s="171"/>
      <c r="C220" s="106" t="s">
        <v>975</v>
      </c>
      <c r="D220" s="106" t="s">
        <v>864</v>
      </c>
      <c r="E220" s="166"/>
      <c r="F220" s="171" t="s">
        <v>472</v>
      </c>
      <c r="G220" s="171">
        <v>10</v>
      </c>
      <c r="H220" s="168">
        <f t="shared" si="8"/>
        <v>0</v>
      </c>
    </row>
    <row r="221" spans="1:8" ht="37.799999999999997" x14ac:dyDescent="0.45">
      <c r="A221" s="171" t="s">
        <v>2471</v>
      </c>
      <c r="B221" s="171"/>
      <c r="C221" s="106" t="s">
        <v>977</v>
      </c>
      <c r="D221" s="106" t="s">
        <v>864</v>
      </c>
      <c r="E221" s="166"/>
      <c r="F221" s="171" t="s">
        <v>472</v>
      </c>
      <c r="G221" s="171">
        <v>10</v>
      </c>
      <c r="H221" s="168">
        <f t="shared" si="8"/>
        <v>0</v>
      </c>
    </row>
    <row r="222" spans="1:8" ht="37.799999999999997" x14ac:dyDescent="0.45">
      <c r="A222" s="171" t="s">
        <v>2472</v>
      </c>
      <c r="B222" s="171"/>
      <c r="C222" s="106" t="s">
        <v>979</v>
      </c>
      <c r="D222" s="106" t="s">
        <v>864</v>
      </c>
      <c r="E222" s="166"/>
      <c r="F222" s="171" t="s">
        <v>472</v>
      </c>
      <c r="G222" s="171">
        <v>10</v>
      </c>
      <c r="H222" s="168">
        <f t="shared" si="8"/>
        <v>0</v>
      </c>
    </row>
    <row r="223" spans="1:8" ht="37.799999999999997" x14ac:dyDescent="0.45">
      <c r="A223" s="171" t="s">
        <v>2473</v>
      </c>
      <c r="B223" s="171"/>
      <c r="C223" s="106" t="s">
        <v>981</v>
      </c>
      <c r="D223" s="106" t="s">
        <v>864</v>
      </c>
      <c r="E223" s="166"/>
      <c r="F223" s="171" t="s">
        <v>472</v>
      </c>
      <c r="G223" s="171">
        <v>10</v>
      </c>
      <c r="H223" s="168">
        <f t="shared" si="8"/>
        <v>0</v>
      </c>
    </row>
    <row r="224" spans="1:8" ht="37.799999999999997" x14ac:dyDescent="0.45">
      <c r="A224" s="171" t="s">
        <v>2474</v>
      </c>
      <c r="B224" s="171"/>
      <c r="C224" s="106" t="s">
        <v>983</v>
      </c>
      <c r="D224" s="106" t="s">
        <v>864</v>
      </c>
      <c r="E224" s="166"/>
      <c r="F224" s="171" t="s">
        <v>472</v>
      </c>
      <c r="G224" s="171">
        <v>10</v>
      </c>
      <c r="H224" s="168">
        <f t="shared" si="8"/>
        <v>0</v>
      </c>
    </row>
    <row r="225" spans="1:8" ht="63" x14ac:dyDescent="0.45">
      <c r="A225" s="171" t="s">
        <v>2475</v>
      </c>
      <c r="B225" s="171"/>
      <c r="C225" s="106" t="s">
        <v>985</v>
      </c>
      <c r="D225" s="106" t="s">
        <v>864</v>
      </c>
      <c r="E225" s="166"/>
      <c r="F225" s="171" t="s">
        <v>472</v>
      </c>
      <c r="G225" s="171">
        <v>10</v>
      </c>
      <c r="H225" s="168">
        <f t="shared" si="8"/>
        <v>0</v>
      </c>
    </row>
    <row r="226" spans="1:8" ht="63" x14ac:dyDescent="0.45">
      <c r="A226" s="171" t="s">
        <v>2476</v>
      </c>
      <c r="B226" s="171"/>
      <c r="C226" s="106" t="s">
        <v>987</v>
      </c>
      <c r="D226" s="106" t="s">
        <v>864</v>
      </c>
      <c r="E226" s="166"/>
      <c r="F226" s="171" t="s">
        <v>472</v>
      </c>
      <c r="G226" s="171">
        <v>10</v>
      </c>
      <c r="H226" s="168">
        <f t="shared" si="8"/>
        <v>0</v>
      </c>
    </row>
    <row r="227" spans="1:8" ht="37.799999999999997" x14ac:dyDescent="0.45">
      <c r="A227" s="171" t="s">
        <v>2477</v>
      </c>
      <c r="B227" s="171"/>
      <c r="C227" s="106" t="s">
        <v>989</v>
      </c>
      <c r="D227" s="106" t="s">
        <v>864</v>
      </c>
      <c r="E227" s="166"/>
      <c r="F227" s="171" t="s">
        <v>472</v>
      </c>
      <c r="G227" s="171">
        <v>10</v>
      </c>
      <c r="H227" s="168">
        <f t="shared" si="8"/>
        <v>0</v>
      </c>
    </row>
    <row r="228" spans="1:8" ht="37.799999999999997" x14ac:dyDescent="0.45">
      <c r="A228" s="171" t="s">
        <v>2478</v>
      </c>
      <c r="B228" s="171"/>
      <c r="C228" s="106" t="s">
        <v>991</v>
      </c>
      <c r="D228" s="106" t="s">
        <v>864</v>
      </c>
      <c r="E228" s="166"/>
      <c r="F228" s="171" t="s">
        <v>472</v>
      </c>
      <c r="G228" s="171">
        <v>10</v>
      </c>
      <c r="H228" s="168">
        <f t="shared" si="8"/>
        <v>0</v>
      </c>
    </row>
    <row r="229" spans="1:8" ht="37.799999999999997" x14ac:dyDescent="0.45">
      <c r="A229" s="171" t="s">
        <v>2479</v>
      </c>
      <c r="B229" s="171"/>
      <c r="C229" s="106" t="s">
        <v>993</v>
      </c>
      <c r="D229" s="106" t="s">
        <v>864</v>
      </c>
      <c r="E229" s="166"/>
      <c r="F229" s="171" t="s">
        <v>472</v>
      </c>
      <c r="G229" s="171">
        <v>10</v>
      </c>
      <c r="H229" s="168">
        <f t="shared" si="8"/>
        <v>0</v>
      </c>
    </row>
    <row r="230" spans="1:8" ht="37.799999999999997" x14ac:dyDescent="0.45">
      <c r="A230" s="171" t="s">
        <v>2480</v>
      </c>
      <c r="B230" s="171"/>
      <c r="C230" s="106" t="s">
        <v>995</v>
      </c>
      <c r="D230" s="106" t="s">
        <v>864</v>
      </c>
      <c r="E230" s="166"/>
      <c r="F230" s="171" t="s">
        <v>472</v>
      </c>
      <c r="G230" s="171">
        <v>10</v>
      </c>
      <c r="H230" s="168">
        <f t="shared" si="8"/>
        <v>0</v>
      </c>
    </row>
    <row r="231" spans="1:8" ht="37.799999999999997" x14ac:dyDescent="0.45">
      <c r="A231" s="171" t="s">
        <v>2481</v>
      </c>
      <c r="B231" s="171"/>
      <c r="C231" s="106" t="s">
        <v>997</v>
      </c>
      <c r="D231" s="106" t="s">
        <v>864</v>
      </c>
      <c r="E231" s="166"/>
      <c r="F231" s="171" t="s">
        <v>472</v>
      </c>
      <c r="G231" s="171">
        <v>10</v>
      </c>
      <c r="H231" s="168">
        <f t="shared" si="8"/>
        <v>0</v>
      </c>
    </row>
    <row r="232" spans="1:8" ht="37.799999999999997" x14ac:dyDescent="0.45">
      <c r="A232" s="171" t="s">
        <v>2482</v>
      </c>
      <c r="B232" s="171"/>
      <c r="C232" s="106" t="s">
        <v>999</v>
      </c>
      <c r="D232" s="106" t="s">
        <v>864</v>
      </c>
      <c r="E232" s="166"/>
      <c r="F232" s="171" t="s">
        <v>472</v>
      </c>
      <c r="G232" s="171">
        <v>10</v>
      </c>
      <c r="H232" s="168">
        <f t="shared" si="8"/>
        <v>0</v>
      </c>
    </row>
    <row r="233" spans="1:8" ht="37.799999999999997" x14ac:dyDescent="0.45">
      <c r="A233" s="171" t="s">
        <v>2483</v>
      </c>
      <c r="B233" s="171"/>
      <c r="C233" s="106" t="s">
        <v>1001</v>
      </c>
      <c r="D233" s="106" t="s">
        <v>864</v>
      </c>
      <c r="E233" s="166"/>
      <c r="F233" s="171" t="s">
        <v>472</v>
      </c>
      <c r="G233" s="171">
        <v>10</v>
      </c>
      <c r="H233" s="168">
        <f t="shared" si="8"/>
        <v>0</v>
      </c>
    </row>
    <row r="234" spans="1:8" ht="37.799999999999997" x14ac:dyDescent="0.45">
      <c r="A234" s="171" t="s">
        <v>2484</v>
      </c>
      <c r="B234" s="171"/>
      <c r="C234" s="106" t="s">
        <v>1003</v>
      </c>
      <c r="D234" s="106" t="s">
        <v>864</v>
      </c>
      <c r="E234" s="166"/>
      <c r="F234" s="171" t="s">
        <v>472</v>
      </c>
      <c r="G234" s="171">
        <v>10</v>
      </c>
      <c r="H234" s="168">
        <f t="shared" si="8"/>
        <v>0</v>
      </c>
    </row>
    <row r="235" spans="1:8" ht="37.799999999999997" x14ac:dyDescent="0.45">
      <c r="A235" s="171" t="s">
        <v>2485</v>
      </c>
      <c r="B235" s="171"/>
      <c r="C235" s="106" t="s">
        <v>1005</v>
      </c>
      <c r="D235" s="106" t="s">
        <v>864</v>
      </c>
      <c r="E235" s="166"/>
      <c r="F235" s="171" t="s">
        <v>472</v>
      </c>
      <c r="G235" s="171">
        <v>10</v>
      </c>
      <c r="H235" s="168">
        <f t="shared" si="8"/>
        <v>0</v>
      </c>
    </row>
    <row r="236" spans="1:8" ht="37.799999999999997" x14ac:dyDescent="0.45">
      <c r="A236" s="171" t="s">
        <v>2486</v>
      </c>
      <c r="B236" s="171"/>
      <c r="C236" s="106" t="s">
        <v>1007</v>
      </c>
      <c r="D236" s="106" t="s">
        <v>864</v>
      </c>
      <c r="E236" s="166"/>
      <c r="F236" s="171" t="s">
        <v>472</v>
      </c>
      <c r="G236" s="171">
        <v>10</v>
      </c>
      <c r="H236" s="168">
        <f t="shared" si="8"/>
        <v>0</v>
      </c>
    </row>
    <row r="237" spans="1:8" ht="37.799999999999997" x14ac:dyDescent="0.45">
      <c r="A237" s="171" t="s">
        <v>2487</v>
      </c>
      <c r="B237" s="171"/>
      <c r="C237" s="106" t="s">
        <v>1009</v>
      </c>
      <c r="D237" s="106" t="s">
        <v>864</v>
      </c>
      <c r="E237" s="166"/>
      <c r="F237" s="171" t="s">
        <v>472</v>
      </c>
      <c r="G237" s="171">
        <v>10</v>
      </c>
      <c r="H237" s="168">
        <f t="shared" si="8"/>
        <v>0</v>
      </c>
    </row>
    <row r="238" spans="1:8" ht="37.799999999999997" x14ac:dyDescent="0.45">
      <c r="A238" s="171" t="s">
        <v>2488</v>
      </c>
      <c r="B238" s="171"/>
      <c r="C238" s="106" t="s">
        <v>1011</v>
      </c>
      <c r="D238" s="106" t="s">
        <v>864</v>
      </c>
      <c r="E238" s="166"/>
      <c r="F238" s="171" t="s">
        <v>472</v>
      </c>
      <c r="G238" s="171">
        <v>10</v>
      </c>
      <c r="H238" s="168">
        <f t="shared" si="8"/>
        <v>0</v>
      </c>
    </row>
    <row r="239" spans="1:8" ht="37.799999999999997" x14ac:dyDescent="0.45">
      <c r="A239" s="171" t="s">
        <v>2489</v>
      </c>
      <c r="B239" s="171"/>
      <c r="C239" s="106" t="s">
        <v>1013</v>
      </c>
      <c r="D239" s="106" t="s">
        <v>864</v>
      </c>
      <c r="E239" s="166"/>
      <c r="F239" s="171" t="s">
        <v>472</v>
      </c>
      <c r="G239" s="171">
        <v>10</v>
      </c>
      <c r="H239" s="168">
        <f t="shared" si="8"/>
        <v>0</v>
      </c>
    </row>
    <row r="240" spans="1:8" ht="37.799999999999997" x14ac:dyDescent="0.45">
      <c r="A240" s="171" t="s">
        <v>2490</v>
      </c>
      <c r="B240" s="171"/>
      <c r="C240" s="106" t="s">
        <v>1015</v>
      </c>
      <c r="D240" s="106" t="s">
        <v>864</v>
      </c>
      <c r="E240" s="166"/>
      <c r="F240" s="171" t="s">
        <v>472</v>
      </c>
      <c r="G240" s="171">
        <v>10</v>
      </c>
      <c r="H240" s="168">
        <f t="shared" si="8"/>
        <v>0</v>
      </c>
    </row>
    <row r="241" spans="1:8" ht="37.799999999999997" x14ac:dyDescent="0.45">
      <c r="A241" s="171" t="s">
        <v>2491</v>
      </c>
      <c r="B241" s="171"/>
      <c r="C241" s="106" t="s">
        <v>1017</v>
      </c>
      <c r="D241" s="106" t="s">
        <v>864</v>
      </c>
      <c r="E241" s="166"/>
      <c r="F241" s="171" t="s">
        <v>472</v>
      </c>
      <c r="G241" s="171">
        <v>10</v>
      </c>
      <c r="H241" s="168">
        <f t="shared" si="8"/>
        <v>0</v>
      </c>
    </row>
    <row r="242" spans="1:8" ht="37.799999999999997" x14ac:dyDescent="0.45">
      <c r="A242" s="171" t="s">
        <v>2492</v>
      </c>
      <c r="B242" s="171"/>
      <c r="C242" s="106" t="s">
        <v>1019</v>
      </c>
      <c r="D242" s="106" t="s">
        <v>864</v>
      </c>
      <c r="E242" s="166"/>
      <c r="F242" s="171" t="s">
        <v>472</v>
      </c>
      <c r="G242" s="171">
        <v>10</v>
      </c>
      <c r="H242" s="168">
        <f t="shared" si="8"/>
        <v>0</v>
      </c>
    </row>
    <row r="243" spans="1:8" ht="37.799999999999997" x14ac:dyDescent="0.45">
      <c r="A243" s="171" t="s">
        <v>2493</v>
      </c>
      <c r="B243" s="171"/>
      <c r="C243" s="106" t="s">
        <v>1021</v>
      </c>
      <c r="D243" s="106" t="s">
        <v>864</v>
      </c>
      <c r="E243" s="166"/>
      <c r="F243" s="171" t="s">
        <v>472</v>
      </c>
      <c r="G243" s="171">
        <v>10</v>
      </c>
      <c r="H243" s="168">
        <f t="shared" si="8"/>
        <v>0</v>
      </c>
    </row>
    <row r="244" spans="1:8" ht="37.799999999999997" x14ac:dyDescent="0.45">
      <c r="A244" s="171" t="s">
        <v>2494</v>
      </c>
      <c r="B244" s="171"/>
      <c r="C244" s="106" t="s">
        <v>1023</v>
      </c>
      <c r="D244" s="106" t="s">
        <v>864</v>
      </c>
      <c r="E244" s="166"/>
      <c r="F244" s="171" t="s">
        <v>472</v>
      </c>
      <c r="G244" s="171">
        <v>10</v>
      </c>
      <c r="H244" s="168">
        <f t="shared" si="8"/>
        <v>0</v>
      </c>
    </row>
    <row r="245" spans="1:8" ht="37.799999999999997" x14ac:dyDescent="0.45">
      <c r="A245" s="171" t="s">
        <v>2495</v>
      </c>
      <c r="B245" s="171"/>
      <c r="C245" s="106" t="s">
        <v>1025</v>
      </c>
      <c r="D245" s="106" t="s">
        <v>864</v>
      </c>
      <c r="E245" s="166"/>
      <c r="F245" s="171" t="s">
        <v>472</v>
      </c>
      <c r="G245" s="171">
        <v>10</v>
      </c>
      <c r="H245" s="168">
        <f t="shared" si="8"/>
        <v>0</v>
      </c>
    </row>
    <row r="246" spans="1:8" ht="37.799999999999997" x14ac:dyDescent="0.45">
      <c r="A246" s="171" t="s">
        <v>2496</v>
      </c>
      <c r="B246" s="171"/>
      <c r="C246" s="106" t="s">
        <v>1027</v>
      </c>
      <c r="D246" s="106" t="s">
        <v>864</v>
      </c>
      <c r="E246" s="166"/>
      <c r="F246" s="171" t="s">
        <v>472</v>
      </c>
      <c r="G246" s="171">
        <v>10</v>
      </c>
      <c r="H246" s="168">
        <f t="shared" si="8"/>
        <v>0</v>
      </c>
    </row>
    <row r="247" spans="1:8" ht="37.799999999999997" x14ac:dyDescent="0.45">
      <c r="A247" s="171" t="s">
        <v>2497</v>
      </c>
      <c r="B247" s="171"/>
      <c r="C247" s="106" t="s">
        <v>1029</v>
      </c>
      <c r="D247" s="106" t="s">
        <v>864</v>
      </c>
      <c r="E247" s="166"/>
      <c r="F247" s="171" t="s">
        <v>472</v>
      </c>
      <c r="G247" s="171">
        <v>10</v>
      </c>
      <c r="H247" s="168">
        <f t="shared" si="8"/>
        <v>0</v>
      </c>
    </row>
    <row r="248" spans="1:8" ht="37.799999999999997" x14ac:dyDescent="0.45">
      <c r="A248" s="171" t="s">
        <v>2498</v>
      </c>
      <c r="B248" s="171"/>
      <c r="C248" s="106" t="s">
        <v>1031</v>
      </c>
      <c r="D248" s="106" t="s">
        <v>864</v>
      </c>
      <c r="E248" s="166"/>
      <c r="F248" s="171" t="s">
        <v>472</v>
      </c>
      <c r="G248" s="171">
        <v>10</v>
      </c>
      <c r="H248" s="168">
        <f t="shared" si="8"/>
        <v>0</v>
      </c>
    </row>
    <row r="249" spans="1:8" ht="37.799999999999997" x14ac:dyDescent="0.45">
      <c r="A249" s="171" t="s">
        <v>2499</v>
      </c>
      <c r="B249" s="171"/>
      <c r="C249" s="106" t="s">
        <v>1033</v>
      </c>
      <c r="D249" s="106" t="s">
        <v>864</v>
      </c>
      <c r="E249" s="166"/>
      <c r="F249" s="171" t="s">
        <v>472</v>
      </c>
      <c r="G249" s="171">
        <v>10</v>
      </c>
      <c r="H249" s="168">
        <f t="shared" si="8"/>
        <v>0</v>
      </c>
    </row>
    <row r="250" spans="1:8" ht="37.799999999999997" x14ac:dyDescent="0.45">
      <c r="A250" s="171" t="s">
        <v>2500</v>
      </c>
      <c r="B250" s="171"/>
      <c r="C250" s="106" t="s">
        <v>1035</v>
      </c>
      <c r="D250" s="106" t="s">
        <v>864</v>
      </c>
      <c r="E250" s="166"/>
      <c r="F250" s="171" t="s">
        <v>472</v>
      </c>
      <c r="G250" s="171">
        <v>10</v>
      </c>
      <c r="H250" s="168">
        <f t="shared" si="8"/>
        <v>0</v>
      </c>
    </row>
    <row r="251" spans="1:8" ht="37.799999999999997" x14ac:dyDescent="0.45">
      <c r="A251" s="171" t="s">
        <v>2501</v>
      </c>
      <c r="B251" s="171"/>
      <c r="C251" s="106" t="s">
        <v>1037</v>
      </c>
      <c r="D251" s="106" t="s">
        <v>864</v>
      </c>
      <c r="E251" s="166"/>
      <c r="F251" s="171" t="s">
        <v>472</v>
      </c>
      <c r="G251" s="171">
        <v>10</v>
      </c>
      <c r="H251" s="168">
        <f t="shared" si="8"/>
        <v>0</v>
      </c>
    </row>
    <row r="252" spans="1:8" ht="37.799999999999997" x14ac:dyDescent="0.45">
      <c r="A252" s="171" t="s">
        <v>2502</v>
      </c>
      <c r="B252" s="171"/>
      <c r="C252" s="106" t="s">
        <v>1039</v>
      </c>
      <c r="D252" s="106" t="s">
        <v>864</v>
      </c>
      <c r="E252" s="166"/>
      <c r="F252" s="171" t="s">
        <v>472</v>
      </c>
      <c r="G252" s="171">
        <v>10</v>
      </c>
      <c r="H252" s="168">
        <f t="shared" si="8"/>
        <v>0</v>
      </c>
    </row>
    <row r="253" spans="1:8" ht="37.799999999999997" x14ac:dyDescent="0.45">
      <c r="A253" s="171" t="s">
        <v>2503</v>
      </c>
      <c r="B253" s="171"/>
      <c r="C253" s="106" t="s">
        <v>1041</v>
      </c>
      <c r="D253" s="106" t="s">
        <v>864</v>
      </c>
      <c r="E253" s="166"/>
      <c r="F253" s="171" t="s">
        <v>472</v>
      </c>
      <c r="G253" s="171">
        <v>10</v>
      </c>
      <c r="H253" s="168">
        <f t="shared" si="8"/>
        <v>0</v>
      </c>
    </row>
    <row r="254" spans="1:8" ht="37.799999999999997" x14ac:dyDescent="0.45">
      <c r="A254" s="171" t="s">
        <v>2504</v>
      </c>
      <c r="B254" s="171"/>
      <c r="C254" s="106" t="s">
        <v>1043</v>
      </c>
      <c r="D254" s="106" t="s">
        <v>864</v>
      </c>
      <c r="E254" s="166"/>
      <c r="F254" s="171" t="s">
        <v>472</v>
      </c>
      <c r="G254" s="171">
        <v>10</v>
      </c>
      <c r="H254" s="168">
        <f t="shared" si="8"/>
        <v>0</v>
      </c>
    </row>
    <row r="255" spans="1:8" ht="37.799999999999997" x14ac:dyDescent="0.45">
      <c r="A255" s="171" t="s">
        <v>2505</v>
      </c>
      <c r="B255" s="171"/>
      <c r="C255" s="106" t="s">
        <v>1045</v>
      </c>
      <c r="D255" s="106" t="s">
        <v>864</v>
      </c>
      <c r="E255" s="166"/>
      <c r="F255" s="171" t="s">
        <v>472</v>
      </c>
      <c r="G255" s="171">
        <v>10</v>
      </c>
      <c r="H255" s="168">
        <f t="shared" si="8"/>
        <v>0</v>
      </c>
    </row>
    <row r="256" spans="1:8" ht="37.799999999999997" x14ac:dyDescent="0.45">
      <c r="A256" s="171" t="s">
        <v>2506</v>
      </c>
      <c r="B256" s="171"/>
      <c r="C256" s="106" t="s">
        <v>1047</v>
      </c>
      <c r="D256" s="106" t="s">
        <v>864</v>
      </c>
      <c r="E256" s="166"/>
      <c r="F256" s="171" t="s">
        <v>472</v>
      </c>
      <c r="G256" s="171">
        <v>10</v>
      </c>
      <c r="H256" s="168">
        <f t="shared" si="8"/>
        <v>0</v>
      </c>
    </row>
    <row r="257" spans="1:8" ht="37.799999999999997" x14ac:dyDescent="0.45">
      <c r="A257" s="171" t="s">
        <v>2507</v>
      </c>
      <c r="B257" s="171"/>
      <c r="C257" s="106" t="s">
        <v>1049</v>
      </c>
      <c r="D257" s="106" t="s">
        <v>864</v>
      </c>
      <c r="E257" s="166"/>
      <c r="F257" s="171" t="s">
        <v>472</v>
      </c>
      <c r="G257" s="171">
        <v>10</v>
      </c>
      <c r="H257" s="168">
        <f t="shared" si="8"/>
        <v>0</v>
      </c>
    </row>
    <row r="258" spans="1:8" ht="37.799999999999997" x14ac:dyDescent="0.45">
      <c r="A258" s="171" t="s">
        <v>2508</v>
      </c>
      <c r="B258" s="171"/>
      <c r="C258" s="106" t="s">
        <v>1051</v>
      </c>
      <c r="D258" s="106" t="s">
        <v>864</v>
      </c>
      <c r="E258" s="166"/>
      <c r="F258" s="171" t="s">
        <v>472</v>
      </c>
      <c r="G258" s="171">
        <v>10</v>
      </c>
      <c r="H258" s="168">
        <f t="shared" si="8"/>
        <v>0</v>
      </c>
    </row>
    <row r="259" spans="1:8" x14ac:dyDescent="0.45">
      <c r="A259" s="118" t="s">
        <v>2509</v>
      </c>
      <c r="B259" s="184" t="s">
        <v>180</v>
      </c>
      <c r="D259" s="120"/>
      <c r="E259" s="171"/>
      <c r="F259" s="171"/>
      <c r="G259" s="172"/>
      <c r="H259" s="220"/>
    </row>
    <row r="260" spans="1:8" ht="13" customHeight="1" x14ac:dyDescent="0.45">
      <c r="A260" s="310"/>
      <c r="B260" s="426" t="s">
        <v>1053</v>
      </c>
      <c r="C260" s="427"/>
      <c r="D260" s="428"/>
      <c r="E260" s="159"/>
      <c r="F260" s="209"/>
      <c r="G260" s="210"/>
      <c r="H260" s="163"/>
    </row>
    <row r="261" spans="1:8" ht="63" x14ac:dyDescent="0.45">
      <c r="A261" s="171" t="s">
        <v>2510</v>
      </c>
      <c r="B261" s="171"/>
      <c r="C261" s="106" t="s">
        <v>1055</v>
      </c>
      <c r="D261" s="106" t="s">
        <v>1056</v>
      </c>
      <c r="E261" s="166"/>
      <c r="F261" s="171" t="s">
        <v>633</v>
      </c>
      <c r="G261" s="172">
        <v>2500</v>
      </c>
      <c r="H261" s="168">
        <f>SUM(E261)*G261</f>
        <v>0</v>
      </c>
    </row>
    <row r="262" spans="1:8" ht="50.4" x14ac:dyDescent="0.45">
      <c r="A262" s="171" t="s">
        <v>2511</v>
      </c>
      <c r="B262" s="171"/>
      <c r="C262" s="106" t="s">
        <v>1058</v>
      </c>
      <c r="D262" s="106" t="s">
        <v>1059</v>
      </c>
      <c r="E262" s="166"/>
      <c r="F262" s="171" t="s">
        <v>633</v>
      </c>
      <c r="G262" s="172">
        <v>2500</v>
      </c>
      <c r="H262" s="168">
        <f>SUM(E262)*G262</f>
        <v>0</v>
      </c>
    </row>
    <row r="263" spans="1:8" ht="37.799999999999997" x14ac:dyDescent="0.45">
      <c r="A263" s="171" t="s">
        <v>2512</v>
      </c>
      <c r="B263" s="171"/>
      <c r="C263" s="106" t="s">
        <v>1061</v>
      </c>
      <c r="D263" s="106" t="s">
        <v>1062</v>
      </c>
      <c r="E263" s="190"/>
      <c r="F263" s="171" t="s">
        <v>1063</v>
      </c>
      <c r="G263" s="172" t="s">
        <v>1064</v>
      </c>
      <c r="H263" s="168">
        <v>100000</v>
      </c>
    </row>
    <row r="264" spans="1:8" x14ac:dyDescent="0.45">
      <c r="A264" s="191"/>
      <c r="B264" s="191"/>
      <c r="C264" s="192"/>
      <c r="D264" s="193"/>
      <c r="E264" s="194"/>
      <c r="F264" s="193"/>
      <c r="G264" s="195"/>
      <c r="H264" s="168"/>
    </row>
    <row r="265" spans="1:8" ht="7.5" customHeight="1" x14ac:dyDescent="0.45">
      <c r="A265" s="154"/>
      <c r="B265" s="154"/>
      <c r="C265" s="155"/>
      <c r="D265" s="155"/>
      <c r="E265" s="156"/>
      <c r="F265" s="155"/>
      <c r="G265" s="157"/>
      <c r="H265" s="437"/>
    </row>
    <row r="266" spans="1:8" ht="13.2" customHeight="1" x14ac:dyDescent="0.45">
      <c r="A266" s="411" t="s">
        <v>2513</v>
      </c>
      <c r="B266" s="412"/>
      <c r="C266" s="412"/>
      <c r="D266" s="412"/>
      <c r="E266" s="412"/>
      <c r="F266" s="412"/>
      <c r="G266" s="196"/>
      <c r="H266" s="436">
        <f>SUM(H15:H263)</f>
        <v>100000</v>
      </c>
    </row>
    <row r="267" spans="1:8" ht="7.5" customHeight="1" x14ac:dyDescent="0.45">
      <c r="A267" s="154"/>
      <c r="B267" s="154"/>
      <c r="C267" s="155"/>
      <c r="D267" s="155"/>
      <c r="E267" s="156"/>
      <c r="F267" s="155"/>
      <c r="G267" s="157"/>
      <c r="H267" s="158"/>
    </row>
  </sheetData>
  <mergeCells count="13">
    <mergeCell ref="A266:F266"/>
    <mergeCell ref="A7:H7"/>
    <mergeCell ref="A8:H8"/>
    <mergeCell ref="A9:H9"/>
    <mergeCell ref="A10:H10"/>
    <mergeCell ref="A12:D12"/>
    <mergeCell ref="B260:D260"/>
    <mergeCell ref="A6:H6"/>
    <mergeCell ref="A1:H1"/>
    <mergeCell ref="A2:H2"/>
    <mergeCell ref="A3:H3"/>
    <mergeCell ref="A4:H4"/>
    <mergeCell ref="A5:H5"/>
  </mergeCells>
  <printOptions horizontalCentered="1"/>
  <pageMargins left="0.28000000000000003" right="0.23" top="0.51" bottom="0.56000000000000005" header="0.3" footer="0.31"/>
  <pageSetup scale="80" orientation="landscape" horizontalDpi="4294967293" r:id="rId1"/>
  <headerFooter alignWithMargins="0">
    <oddFooter>&amp;C&amp;"Times New Roman,Regular"Page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0328B-E917-49D4-AB74-3760513322C5}">
  <sheetPr>
    <tabColor rgb="FFFFFFCC"/>
  </sheetPr>
  <dimension ref="A1:XFB471"/>
  <sheetViews>
    <sheetView zoomScaleNormal="100" zoomScaleSheetLayoutView="100" workbookViewId="0">
      <selection activeCell="A11" sqref="A11"/>
    </sheetView>
  </sheetViews>
  <sheetFormatPr defaultColWidth="9.05859375" defaultRowHeight="12.6" x14ac:dyDescent="0.45"/>
  <cols>
    <col min="1" max="1" width="9.5859375" style="1" customWidth="1"/>
    <col min="2" max="3" width="9.8203125" style="105" customWidth="1"/>
    <col min="4" max="4" width="49.5859375" style="140" customWidth="1"/>
    <col min="5" max="6" width="9.5859375" style="105" customWidth="1"/>
    <col min="7" max="7" width="13.5859375" style="141" customWidth="1"/>
    <col min="8" max="8" width="17.5859375" style="141" customWidth="1"/>
    <col min="9" max="108" width="8.8203125" style="1" customWidth="1"/>
    <col min="109" max="16384" width="9.05859375" style="1"/>
  </cols>
  <sheetData>
    <row r="1" spans="1:16382" x14ac:dyDescent="0.45">
      <c r="A1" s="390" t="s">
        <v>4992</v>
      </c>
      <c r="B1" s="390"/>
      <c r="C1" s="390"/>
      <c r="D1" s="390"/>
      <c r="E1" s="390"/>
      <c r="F1" s="390"/>
      <c r="G1" s="390"/>
      <c r="H1" s="390"/>
      <c r="I1" s="392"/>
      <c r="J1" s="392"/>
      <c r="K1" s="392"/>
      <c r="L1" s="392"/>
      <c r="M1" s="392"/>
      <c r="N1" s="392"/>
    </row>
    <row r="2" spans="1:16382" x14ac:dyDescent="0.45">
      <c r="A2" s="390" t="s">
        <v>0</v>
      </c>
      <c r="B2" s="390"/>
      <c r="C2" s="390"/>
      <c r="D2" s="390"/>
      <c r="E2" s="390"/>
      <c r="F2" s="390"/>
      <c r="G2" s="390"/>
      <c r="H2" s="390"/>
      <c r="I2" s="392"/>
      <c r="J2" s="392"/>
      <c r="K2" s="392"/>
      <c r="L2" s="392"/>
      <c r="M2" s="392"/>
      <c r="N2" s="392"/>
    </row>
    <row r="3" spans="1:16382" x14ac:dyDescent="0.45">
      <c r="A3" s="390" t="s">
        <v>4991</v>
      </c>
      <c r="B3" s="390"/>
      <c r="C3" s="390"/>
      <c r="D3" s="390"/>
      <c r="E3" s="390"/>
      <c r="F3" s="390"/>
      <c r="G3" s="390"/>
      <c r="H3" s="390"/>
      <c r="I3" s="392"/>
      <c r="J3" s="392"/>
      <c r="K3" s="392"/>
      <c r="L3" s="392"/>
      <c r="M3" s="392"/>
      <c r="N3" s="392"/>
    </row>
    <row r="4" spans="1:16382" x14ac:dyDescent="0.45">
      <c r="A4" s="390"/>
      <c r="B4" s="390"/>
      <c r="C4" s="390"/>
      <c r="D4" s="391"/>
      <c r="E4" s="391"/>
      <c r="F4" s="391"/>
      <c r="G4" s="391"/>
      <c r="H4" s="391"/>
    </row>
    <row r="5" spans="1:16382" x14ac:dyDescent="0.45">
      <c r="A5" s="390" t="s">
        <v>4996</v>
      </c>
      <c r="B5" s="390"/>
      <c r="C5" s="390"/>
      <c r="D5" s="390"/>
      <c r="E5" s="390"/>
      <c r="F5" s="390"/>
      <c r="G5" s="390"/>
      <c r="H5" s="390"/>
      <c r="I5" s="390"/>
      <c r="J5" s="390"/>
      <c r="K5" s="390"/>
      <c r="L5" s="390"/>
      <c r="M5" s="390"/>
      <c r="N5" s="390"/>
      <c r="O5" s="390"/>
      <c r="P5" s="390"/>
      <c r="Q5" s="390"/>
      <c r="R5" s="390"/>
      <c r="S5" s="390"/>
      <c r="T5" s="390"/>
      <c r="U5" s="390"/>
      <c r="V5" s="390"/>
      <c r="W5" s="390"/>
      <c r="X5" s="390"/>
      <c r="Y5" s="390"/>
      <c r="Z5" s="390"/>
      <c r="AA5" s="390"/>
      <c r="AB5" s="390"/>
      <c r="AC5" s="390"/>
      <c r="AD5" s="390"/>
      <c r="AE5" s="390"/>
      <c r="AF5" s="390"/>
      <c r="AG5" s="390"/>
      <c r="AH5" s="390"/>
      <c r="AI5" s="390"/>
      <c r="AJ5" s="390"/>
      <c r="AK5" s="390"/>
      <c r="AL5" s="390"/>
      <c r="AM5" s="390"/>
      <c r="AN5" s="390"/>
      <c r="AO5" s="390"/>
      <c r="AP5" s="390"/>
      <c r="AQ5" s="390"/>
      <c r="AR5" s="390"/>
      <c r="AS5" s="390"/>
      <c r="AT5" s="390"/>
      <c r="AU5" s="390"/>
      <c r="AV5" s="390"/>
      <c r="AW5" s="390"/>
      <c r="AX5" s="390"/>
      <c r="AY5" s="390"/>
      <c r="AZ5" s="390"/>
      <c r="BA5" s="390"/>
      <c r="BB5" s="390"/>
      <c r="BC5" s="390"/>
      <c r="BD5" s="390"/>
      <c r="BE5" s="390"/>
      <c r="BF5" s="390"/>
      <c r="BG5" s="390"/>
      <c r="BH5" s="390"/>
      <c r="BI5" s="390"/>
      <c r="BJ5" s="390"/>
      <c r="BK5" s="390"/>
      <c r="BL5" s="390"/>
      <c r="BM5" s="390"/>
      <c r="BN5" s="390"/>
      <c r="BO5" s="390"/>
      <c r="BP5" s="390"/>
      <c r="BQ5" s="390"/>
      <c r="BR5" s="390"/>
      <c r="BS5" s="390"/>
      <c r="BT5" s="390"/>
      <c r="BU5" s="390"/>
      <c r="BV5" s="390"/>
      <c r="BW5" s="390"/>
      <c r="BX5" s="390"/>
      <c r="BY5" s="390"/>
      <c r="BZ5" s="390"/>
      <c r="CA5" s="390"/>
      <c r="CB5" s="390"/>
      <c r="CC5" s="390"/>
      <c r="CD5" s="390"/>
      <c r="CE5" s="390"/>
      <c r="CF5" s="390"/>
      <c r="CG5" s="390"/>
      <c r="CH5" s="390"/>
      <c r="CI5" s="390"/>
      <c r="CJ5" s="390"/>
      <c r="CK5" s="390"/>
      <c r="CL5" s="390"/>
      <c r="CM5" s="390"/>
      <c r="CN5" s="390"/>
      <c r="CO5" s="390"/>
      <c r="CP5" s="390"/>
      <c r="CQ5" s="390"/>
      <c r="CR5" s="390"/>
      <c r="CS5" s="390"/>
      <c r="CT5" s="390"/>
      <c r="CU5" s="390"/>
      <c r="CV5" s="390"/>
      <c r="CW5" s="390"/>
      <c r="CX5" s="390"/>
      <c r="CY5" s="390"/>
      <c r="CZ5" s="390"/>
      <c r="DA5" s="390"/>
      <c r="DB5" s="390"/>
      <c r="DC5" s="390"/>
      <c r="DD5" s="390"/>
      <c r="DE5" s="390"/>
      <c r="DF5" s="390"/>
      <c r="DG5" s="390"/>
      <c r="DH5" s="390"/>
      <c r="DI5" s="390"/>
      <c r="DJ5" s="390"/>
      <c r="DK5" s="390"/>
      <c r="DL5" s="390"/>
      <c r="DM5" s="390"/>
      <c r="DN5" s="390"/>
      <c r="DO5" s="390"/>
      <c r="DP5" s="390"/>
      <c r="DQ5" s="390"/>
      <c r="DR5" s="390"/>
      <c r="DS5" s="390"/>
      <c r="DT5" s="390"/>
      <c r="DU5" s="390"/>
      <c r="DV5" s="390"/>
      <c r="DW5" s="390"/>
      <c r="DX5" s="390"/>
      <c r="DY5" s="390"/>
      <c r="DZ5" s="390"/>
      <c r="EA5" s="390"/>
      <c r="EB5" s="390"/>
      <c r="EC5" s="390"/>
      <c r="ED5" s="390"/>
      <c r="EE5" s="390"/>
      <c r="EF5" s="390"/>
      <c r="EG5" s="390"/>
      <c r="EH5" s="390"/>
      <c r="EI5" s="390"/>
      <c r="EJ5" s="390"/>
      <c r="EK5" s="390"/>
      <c r="EL5" s="390"/>
      <c r="EM5" s="390"/>
      <c r="EN5" s="390"/>
      <c r="EO5" s="390"/>
      <c r="EP5" s="390"/>
      <c r="EQ5" s="390"/>
      <c r="ER5" s="390"/>
      <c r="ES5" s="390"/>
      <c r="ET5" s="390"/>
      <c r="EU5" s="390"/>
      <c r="EV5" s="390"/>
      <c r="EW5" s="390"/>
      <c r="EX5" s="390"/>
      <c r="EY5" s="390"/>
      <c r="EZ5" s="390"/>
      <c r="FA5" s="390"/>
      <c r="FB5" s="390"/>
      <c r="FC5" s="390"/>
      <c r="FD5" s="390"/>
      <c r="FE5" s="390"/>
      <c r="FF5" s="390"/>
      <c r="FG5" s="390"/>
      <c r="FH5" s="390"/>
      <c r="FI5" s="390"/>
      <c r="FJ5" s="390"/>
      <c r="FK5" s="390"/>
      <c r="FL5" s="390"/>
      <c r="FM5" s="390"/>
      <c r="FN5" s="390"/>
      <c r="FO5" s="390"/>
      <c r="FP5" s="390"/>
      <c r="FQ5" s="390"/>
      <c r="FR5" s="390"/>
      <c r="FS5" s="390"/>
      <c r="FT5" s="390"/>
      <c r="FU5" s="390"/>
      <c r="FV5" s="390"/>
      <c r="FW5" s="390"/>
      <c r="FX5" s="390"/>
      <c r="FY5" s="390"/>
      <c r="FZ5" s="390"/>
      <c r="GA5" s="390"/>
      <c r="GB5" s="390"/>
      <c r="GC5" s="390"/>
      <c r="GD5" s="390"/>
      <c r="GE5" s="390"/>
      <c r="GF5" s="390"/>
      <c r="GG5" s="390"/>
      <c r="GH5" s="390"/>
      <c r="GI5" s="390"/>
      <c r="GJ5" s="390"/>
      <c r="GK5" s="390"/>
      <c r="GL5" s="390"/>
      <c r="GM5" s="390"/>
      <c r="GN5" s="390"/>
      <c r="GO5" s="390"/>
      <c r="GP5" s="390"/>
      <c r="GQ5" s="390"/>
      <c r="GR5" s="390"/>
      <c r="GS5" s="390"/>
      <c r="GT5" s="390"/>
      <c r="GU5" s="390"/>
      <c r="GV5" s="390"/>
      <c r="GW5" s="390"/>
      <c r="GX5" s="390"/>
      <c r="GY5" s="390"/>
      <c r="GZ5" s="390"/>
      <c r="HA5" s="390"/>
      <c r="HB5" s="390"/>
      <c r="HC5" s="390"/>
      <c r="HD5" s="390"/>
      <c r="HE5" s="390"/>
      <c r="HF5" s="390"/>
      <c r="HG5" s="390"/>
      <c r="HH5" s="390"/>
      <c r="HI5" s="390"/>
      <c r="HJ5" s="390"/>
      <c r="HK5" s="390"/>
      <c r="HL5" s="390"/>
      <c r="HM5" s="390"/>
      <c r="HN5" s="390"/>
      <c r="HO5" s="390"/>
      <c r="HP5" s="390"/>
      <c r="HQ5" s="390"/>
      <c r="HR5" s="390"/>
      <c r="HS5" s="390"/>
      <c r="HT5" s="390"/>
      <c r="HU5" s="390"/>
      <c r="HV5" s="390"/>
      <c r="HW5" s="390"/>
      <c r="HX5" s="390"/>
      <c r="HY5" s="390"/>
      <c r="HZ5" s="390"/>
      <c r="IA5" s="390"/>
      <c r="IB5" s="390"/>
      <c r="IC5" s="390"/>
      <c r="ID5" s="390"/>
      <c r="IE5" s="390"/>
      <c r="IF5" s="390"/>
      <c r="IG5" s="390"/>
      <c r="IH5" s="390"/>
      <c r="II5" s="390"/>
      <c r="IJ5" s="390"/>
      <c r="IK5" s="390"/>
      <c r="IL5" s="390"/>
      <c r="IM5" s="390"/>
      <c r="IN5" s="390"/>
      <c r="IO5" s="390"/>
      <c r="IP5" s="390"/>
      <c r="IQ5" s="390"/>
      <c r="IR5" s="390"/>
      <c r="IS5" s="390"/>
      <c r="IT5" s="390"/>
      <c r="IU5" s="390"/>
      <c r="IV5" s="390"/>
      <c r="IW5" s="390"/>
      <c r="IX5" s="390"/>
      <c r="IY5" s="390"/>
      <c r="IZ5" s="390"/>
      <c r="JA5" s="390"/>
      <c r="JB5" s="390"/>
      <c r="JC5" s="390"/>
      <c r="JD5" s="390"/>
      <c r="JE5" s="390"/>
      <c r="JF5" s="390"/>
      <c r="JG5" s="390"/>
      <c r="JH5" s="390"/>
      <c r="JI5" s="390"/>
      <c r="JJ5" s="390"/>
      <c r="JK5" s="390"/>
      <c r="JL5" s="390"/>
      <c r="JM5" s="390"/>
      <c r="JN5" s="390"/>
      <c r="JO5" s="390"/>
      <c r="JP5" s="390"/>
      <c r="JQ5" s="390"/>
      <c r="JR5" s="390"/>
      <c r="JS5" s="390"/>
      <c r="JT5" s="390"/>
      <c r="JU5" s="390"/>
      <c r="JV5" s="390"/>
      <c r="JW5" s="390"/>
      <c r="JX5" s="390"/>
      <c r="JY5" s="390"/>
      <c r="JZ5" s="390"/>
      <c r="KA5" s="390"/>
      <c r="KB5" s="390"/>
      <c r="KC5" s="390"/>
      <c r="KD5" s="390"/>
      <c r="KE5" s="390"/>
      <c r="KF5" s="390"/>
      <c r="KG5" s="390"/>
      <c r="KH5" s="390"/>
      <c r="KI5" s="390"/>
      <c r="KJ5" s="390"/>
      <c r="KK5" s="390"/>
      <c r="KL5" s="390"/>
      <c r="KM5" s="390"/>
      <c r="KN5" s="390"/>
      <c r="KO5" s="390"/>
      <c r="KP5" s="390"/>
      <c r="KQ5" s="390"/>
      <c r="KR5" s="390"/>
      <c r="KS5" s="390"/>
      <c r="KT5" s="390"/>
      <c r="KU5" s="390"/>
      <c r="KV5" s="390"/>
      <c r="KW5" s="390"/>
      <c r="KX5" s="390"/>
      <c r="KY5" s="390"/>
      <c r="KZ5" s="390"/>
      <c r="LA5" s="390"/>
      <c r="LB5" s="390"/>
      <c r="LC5" s="390"/>
      <c r="LD5" s="390"/>
      <c r="LE5" s="390"/>
      <c r="LF5" s="390"/>
      <c r="LG5" s="390"/>
      <c r="LH5" s="390"/>
      <c r="LI5" s="390"/>
      <c r="LJ5" s="390"/>
      <c r="LK5" s="390"/>
      <c r="LL5" s="390"/>
      <c r="LM5" s="390"/>
      <c r="LN5" s="390"/>
      <c r="LO5" s="390"/>
      <c r="LP5" s="390"/>
      <c r="LQ5" s="390"/>
      <c r="LR5" s="390"/>
      <c r="LS5" s="390"/>
      <c r="LT5" s="390"/>
      <c r="LU5" s="390"/>
      <c r="LV5" s="390"/>
      <c r="LW5" s="390"/>
      <c r="LX5" s="390"/>
      <c r="LY5" s="390"/>
      <c r="LZ5" s="390"/>
      <c r="MA5" s="390"/>
      <c r="MB5" s="390"/>
      <c r="MC5" s="390"/>
      <c r="MD5" s="390"/>
      <c r="ME5" s="390"/>
      <c r="MF5" s="390"/>
      <c r="MG5" s="390"/>
      <c r="MH5" s="390"/>
      <c r="MI5" s="390"/>
      <c r="MJ5" s="390"/>
      <c r="MK5" s="390"/>
      <c r="ML5" s="390"/>
      <c r="MM5" s="390"/>
      <c r="MN5" s="390"/>
      <c r="MO5" s="390"/>
      <c r="MP5" s="390"/>
      <c r="MQ5" s="390"/>
      <c r="MR5" s="390"/>
      <c r="MS5" s="390"/>
      <c r="MT5" s="390"/>
      <c r="MU5" s="390"/>
      <c r="MV5" s="390"/>
      <c r="MW5" s="390"/>
      <c r="MX5" s="390"/>
      <c r="MY5" s="390"/>
      <c r="MZ5" s="390"/>
      <c r="NA5" s="390"/>
      <c r="NB5" s="390"/>
      <c r="NC5" s="390"/>
      <c r="ND5" s="390"/>
      <c r="NE5" s="390"/>
      <c r="NF5" s="390"/>
      <c r="NG5" s="390"/>
      <c r="NH5" s="390"/>
      <c r="NI5" s="390"/>
      <c r="NJ5" s="390"/>
      <c r="NK5" s="390"/>
      <c r="NL5" s="390"/>
      <c r="NM5" s="390"/>
      <c r="NN5" s="390"/>
      <c r="NO5" s="390"/>
      <c r="NP5" s="390"/>
      <c r="NQ5" s="390"/>
      <c r="NR5" s="390"/>
      <c r="NS5" s="390"/>
      <c r="NT5" s="390"/>
      <c r="NU5" s="390"/>
      <c r="NV5" s="390"/>
      <c r="NW5" s="390"/>
      <c r="NX5" s="390"/>
      <c r="NY5" s="390"/>
      <c r="NZ5" s="390"/>
      <c r="OA5" s="390"/>
      <c r="OB5" s="390"/>
      <c r="OC5" s="390"/>
      <c r="OD5" s="390"/>
      <c r="OE5" s="390"/>
      <c r="OF5" s="390"/>
      <c r="OG5" s="390"/>
      <c r="OH5" s="390"/>
      <c r="OI5" s="390"/>
      <c r="OJ5" s="390"/>
      <c r="OK5" s="390"/>
      <c r="OL5" s="390"/>
      <c r="OM5" s="390"/>
      <c r="ON5" s="390"/>
      <c r="OO5" s="390"/>
      <c r="OP5" s="390"/>
      <c r="OQ5" s="390"/>
      <c r="OR5" s="390"/>
      <c r="OS5" s="390"/>
      <c r="OT5" s="390"/>
      <c r="OU5" s="390"/>
      <c r="OV5" s="390"/>
      <c r="OW5" s="390"/>
      <c r="OX5" s="390"/>
      <c r="OY5" s="390"/>
      <c r="OZ5" s="390"/>
      <c r="PA5" s="390"/>
      <c r="PB5" s="390"/>
      <c r="PC5" s="390"/>
      <c r="PD5" s="390"/>
      <c r="PE5" s="390"/>
      <c r="PF5" s="390"/>
      <c r="PG5" s="390"/>
      <c r="PH5" s="390"/>
      <c r="PI5" s="390"/>
      <c r="PJ5" s="390"/>
      <c r="PK5" s="390"/>
      <c r="PL5" s="390"/>
      <c r="PM5" s="390"/>
      <c r="PN5" s="390"/>
      <c r="PO5" s="390"/>
      <c r="PP5" s="390"/>
      <c r="PQ5" s="390"/>
      <c r="PR5" s="390"/>
      <c r="PS5" s="390"/>
      <c r="PT5" s="390"/>
      <c r="PU5" s="390"/>
      <c r="PV5" s="390"/>
      <c r="PW5" s="390"/>
      <c r="PX5" s="390"/>
      <c r="PY5" s="390"/>
      <c r="PZ5" s="390"/>
      <c r="QA5" s="390"/>
      <c r="QB5" s="390"/>
      <c r="QC5" s="390"/>
      <c r="QD5" s="390"/>
      <c r="QE5" s="390"/>
      <c r="QF5" s="390"/>
      <c r="QG5" s="390"/>
      <c r="QH5" s="390"/>
      <c r="QI5" s="390"/>
      <c r="QJ5" s="390"/>
      <c r="QK5" s="390"/>
      <c r="QL5" s="390"/>
      <c r="QM5" s="390"/>
      <c r="QN5" s="390"/>
      <c r="QO5" s="390"/>
      <c r="QP5" s="390"/>
      <c r="QQ5" s="390"/>
      <c r="QR5" s="390"/>
      <c r="QS5" s="390"/>
      <c r="QT5" s="390"/>
      <c r="QU5" s="390"/>
      <c r="QV5" s="390"/>
      <c r="QW5" s="390"/>
      <c r="QX5" s="390"/>
      <c r="QY5" s="390"/>
      <c r="QZ5" s="390"/>
      <c r="RA5" s="390"/>
      <c r="RB5" s="390"/>
      <c r="RC5" s="390"/>
      <c r="RD5" s="390"/>
      <c r="RE5" s="390"/>
      <c r="RF5" s="390"/>
      <c r="RG5" s="390"/>
      <c r="RH5" s="390"/>
      <c r="RI5" s="390"/>
      <c r="RJ5" s="390"/>
      <c r="RK5" s="390"/>
      <c r="RL5" s="390"/>
      <c r="RM5" s="390"/>
      <c r="RN5" s="390"/>
      <c r="RO5" s="390"/>
      <c r="RP5" s="390"/>
      <c r="RQ5" s="390"/>
      <c r="RR5" s="390"/>
      <c r="RS5" s="390"/>
      <c r="RT5" s="390"/>
      <c r="RU5" s="390"/>
      <c r="RV5" s="390"/>
      <c r="RW5" s="390"/>
      <c r="RX5" s="390"/>
      <c r="RY5" s="390"/>
      <c r="RZ5" s="390"/>
      <c r="SA5" s="390"/>
      <c r="SB5" s="390"/>
      <c r="SC5" s="390"/>
      <c r="SD5" s="390"/>
      <c r="SE5" s="390"/>
      <c r="SF5" s="390"/>
      <c r="SG5" s="390"/>
      <c r="SH5" s="390"/>
      <c r="SI5" s="390"/>
      <c r="SJ5" s="390"/>
      <c r="SK5" s="390"/>
      <c r="SL5" s="390"/>
      <c r="SM5" s="390"/>
      <c r="SN5" s="390"/>
      <c r="SO5" s="390"/>
      <c r="SP5" s="390"/>
      <c r="SQ5" s="390"/>
      <c r="SR5" s="390"/>
      <c r="SS5" s="390"/>
      <c r="ST5" s="390"/>
      <c r="SU5" s="390"/>
      <c r="SV5" s="390"/>
      <c r="SW5" s="390"/>
      <c r="SX5" s="390"/>
      <c r="SY5" s="390"/>
      <c r="SZ5" s="390"/>
      <c r="TA5" s="390"/>
      <c r="TB5" s="390"/>
      <c r="TC5" s="390"/>
      <c r="TD5" s="390"/>
      <c r="TE5" s="390"/>
      <c r="TF5" s="390"/>
      <c r="TG5" s="390"/>
      <c r="TH5" s="390"/>
      <c r="TI5" s="390"/>
      <c r="TJ5" s="390"/>
      <c r="TK5" s="390"/>
      <c r="TL5" s="390"/>
      <c r="TM5" s="390"/>
      <c r="TN5" s="390"/>
      <c r="TO5" s="390"/>
      <c r="TP5" s="390"/>
      <c r="TQ5" s="390"/>
      <c r="TR5" s="390"/>
      <c r="TS5" s="390"/>
      <c r="TT5" s="390"/>
      <c r="TU5" s="390"/>
      <c r="TV5" s="390"/>
      <c r="TW5" s="390"/>
      <c r="TX5" s="390"/>
      <c r="TY5" s="390"/>
      <c r="TZ5" s="390"/>
      <c r="UA5" s="390"/>
      <c r="UB5" s="390"/>
      <c r="UC5" s="390"/>
      <c r="UD5" s="390"/>
      <c r="UE5" s="390"/>
      <c r="UF5" s="390"/>
      <c r="UG5" s="390"/>
      <c r="UH5" s="390"/>
      <c r="UI5" s="390"/>
      <c r="UJ5" s="390"/>
      <c r="UK5" s="390"/>
      <c r="UL5" s="390"/>
      <c r="UM5" s="390"/>
      <c r="UN5" s="390"/>
      <c r="UO5" s="390"/>
      <c r="UP5" s="390"/>
      <c r="UQ5" s="390"/>
      <c r="UR5" s="390"/>
      <c r="US5" s="390"/>
      <c r="UT5" s="390"/>
      <c r="UU5" s="390"/>
      <c r="UV5" s="390"/>
      <c r="UW5" s="390"/>
      <c r="UX5" s="390"/>
      <c r="UY5" s="390"/>
      <c r="UZ5" s="390"/>
      <c r="VA5" s="390"/>
      <c r="VB5" s="390"/>
      <c r="VC5" s="390"/>
      <c r="VD5" s="390"/>
      <c r="VE5" s="390"/>
      <c r="VF5" s="390"/>
      <c r="VG5" s="390"/>
      <c r="VH5" s="390"/>
      <c r="VI5" s="390"/>
      <c r="VJ5" s="390"/>
      <c r="VK5" s="390"/>
      <c r="VL5" s="390"/>
      <c r="VM5" s="390"/>
      <c r="VN5" s="390"/>
      <c r="VO5" s="390"/>
      <c r="VP5" s="390"/>
      <c r="VQ5" s="390"/>
      <c r="VR5" s="390"/>
      <c r="VS5" s="390"/>
      <c r="VT5" s="390"/>
      <c r="VU5" s="390"/>
      <c r="VV5" s="390"/>
      <c r="VW5" s="390"/>
      <c r="VX5" s="390"/>
      <c r="VY5" s="390"/>
      <c r="VZ5" s="390"/>
      <c r="WA5" s="390"/>
      <c r="WB5" s="390"/>
      <c r="WC5" s="390"/>
      <c r="WD5" s="390"/>
      <c r="WE5" s="390"/>
      <c r="WF5" s="390"/>
      <c r="WG5" s="390"/>
      <c r="WH5" s="390"/>
      <c r="WI5" s="390"/>
      <c r="WJ5" s="390"/>
      <c r="WK5" s="390"/>
      <c r="WL5" s="390"/>
      <c r="WM5" s="390"/>
      <c r="WN5" s="390"/>
      <c r="WO5" s="390"/>
      <c r="WP5" s="390"/>
      <c r="WQ5" s="390"/>
      <c r="WR5" s="390"/>
      <c r="WS5" s="390"/>
      <c r="WT5" s="390"/>
      <c r="WU5" s="390"/>
      <c r="WV5" s="390"/>
      <c r="WW5" s="390"/>
      <c r="WX5" s="390"/>
      <c r="WY5" s="390"/>
      <c r="WZ5" s="390"/>
      <c r="XA5" s="390"/>
      <c r="XB5" s="390"/>
      <c r="XC5" s="390"/>
      <c r="XD5" s="390"/>
      <c r="XE5" s="390"/>
      <c r="XF5" s="390"/>
      <c r="XG5" s="390"/>
      <c r="XH5" s="390"/>
      <c r="XI5" s="390"/>
      <c r="XJ5" s="390"/>
      <c r="XK5" s="390"/>
      <c r="XL5" s="390"/>
      <c r="XM5" s="390"/>
      <c r="XN5" s="390"/>
      <c r="XO5" s="390"/>
      <c r="XP5" s="390"/>
      <c r="XQ5" s="390"/>
      <c r="XR5" s="390"/>
      <c r="XS5" s="390"/>
      <c r="XT5" s="390"/>
      <c r="XU5" s="390"/>
      <c r="XV5" s="390"/>
      <c r="XW5" s="390"/>
      <c r="XX5" s="390"/>
      <c r="XY5" s="390"/>
      <c r="XZ5" s="390"/>
      <c r="YA5" s="390"/>
      <c r="YB5" s="390"/>
      <c r="YC5" s="390"/>
      <c r="YD5" s="390"/>
      <c r="YE5" s="390"/>
      <c r="YF5" s="390"/>
      <c r="YG5" s="390"/>
      <c r="YH5" s="390"/>
      <c r="YI5" s="390"/>
      <c r="YJ5" s="390"/>
      <c r="YK5" s="390"/>
      <c r="YL5" s="390"/>
      <c r="YM5" s="390"/>
      <c r="YN5" s="390"/>
      <c r="YO5" s="390"/>
      <c r="YP5" s="390"/>
      <c r="YQ5" s="390"/>
      <c r="YR5" s="390"/>
      <c r="YS5" s="390"/>
      <c r="YT5" s="390"/>
      <c r="YU5" s="390"/>
      <c r="YV5" s="390"/>
      <c r="YW5" s="390"/>
      <c r="YX5" s="390"/>
      <c r="YY5" s="390"/>
      <c r="YZ5" s="390"/>
      <c r="ZA5" s="390"/>
      <c r="ZB5" s="390"/>
      <c r="ZC5" s="390"/>
      <c r="ZD5" s="390"/>
      <c r="ZE5" s="390"/>
      <c r="ZF5" s="390"/>
      <c r="ZG5" s="390"/>
      <c r="ZH5" s="390"/>
      <c r="ZI5" s="390"/>
      <c r="ZJ5" s="390"/>
      <c r="ZK5" s="390"/>
      <c r="ZL5" s="390"/>
      <c r="ZM5" s="390"/>
      <c r="ZN5" s="390"/>
      <c r="ZO5" s="390"/>
      <c r="ZP5" s="390"/>
      <c r="ZQ5" s="390"/>
      <c r="ZR5" s="390"/>
      <c r="ZS5" s="390"/>
      <c r="ZT5" s="390"/>
      <c r="ZU5" s="390"/>
      <c r="ZV5" s="390"/>
      <c r="ZW5" s="390"/>
      <c r="ZX5" s="390"/>
      <c r="ZY5" s="390"/>
      <c r="ZZ5" s="390"/>
      <c r="AAA5" s="390"/>
      <c r="AAB5" s="390"/>
      <c r="AAC5" s="390"/>
      <c r="AAD5" s="390"/>
      <c r="AAE5" s="390"/>
      <c r="AAF5" s="390"/>
      <c r="AAG5" s="390"/>
      <c r="AAH5" s="390"/>
      <c r="AAI5" s="390"/>
      <c r="AAJ5" s="390"/>
      <c r="AAK5" s="390"/>
      <c r="AAL5" s="390"/>
      <c r="AAM5" s="390"/>
      <c r="AAN5" s="390"/>
      <c r="AAO5" s="390"/>
      <c r="AAP5" s="390"/>
      <c r="AAQ5" s="390"/>
      <c r="AAR5" s="390"/>
      <c r="AAS5" s="390"/>
      <c r="AAT5" s="390"/>
      <c r="AAU5" s="390"/>
      <c r="AAV5" s="390"/>
      <c r="AAW5" s="390"/>
      <c r="AAX5" s="390"/>
      <c r="AAY5" s="390"/>
      <c r="AAZ5" s="390"/>
      <c r="ABA5" s="390"/>
      <c r="ABB5" s="390"/>
      <c r="ABC5" s="390"/>
      <c r="ABD5" s="390"/>
      <c r="ABE5" s="390"/>
      <c r="ABF5" s="390"/>
      <c r="ABG5" s="390"/>
      <c r="ABH5" s="390"/>
      <c r="ABI5" s="390"/>
      <c r="ABJ5" s="390"/>
      <c r="ABK5" s="390"/>
      <c r="ABL5" s="390"/>
      <c r="ABM5" s="390"/>
      <c r="ABN5" s="390"/>
      <c r="ABO5" s="390"/>
      <c r="ABP5" s="390"/>
      <c r="ABQ5" s="390"/>
      <c r="ABR5" s="390"/>
      <c r="ABS5" s="390"/>
      <c r="ABT5" s="390"/>
      <c r="ABU5" s="390"/>
      <c r="ABV5" s="390"/>
      <c r="ABW5" s="390"/>
      <c r="ABX5" s="390"/>
      <c r="ABY5" s="390"/>
      <c r="ABZ5" s="390"/>
      <c r="ACA5" s="390"/>
      <c r="ACB5" s="390"/>
      <c r="ACC5" s="390"/>
      <c r="ACD5" s="390"/>
      <c r="ACE5" s="390"/>
      <c r="ACF5" s="390"/>
      <c r="ACG5" s="390"/>
      <c r="ACH5" s="390"/>
      <c r="ACI5" s="390"/>
      <c r="ACJ5" s="390"/>
      <c r="ACK5" s="390"/>
      <c r="ACL5" s="390"/>
      <c r="ACM5" s="390"/>
      <c r="ACN5" s="390"/>
      <c r="ACO5" s="390"/>
      <c r="ACP5" s="390"/>
      <c r="ACQ5" s="390"/>
      <c r="ACR5" s="390"/>
      <c r="ACS5" s="390"/>
      <c r="ACT5" s="390"/>
      <c r="ACU5" s="390"/>
      <c r="ACV5" s="390"/>
      <c r="ACW5" s="390"/>
      <c r="ACX5" s="390"/>
      <c r="ACY5" s="390"/>
      <c r="ACZ5" s="390"/>
      <c r="ADA5" s="390"/>
      <c r="ADB5" s="390"/>
      <c r="ADC5" s="390"/>
      <c r="ADD5" s="390"/>
      <c r="ADE5" s="390"/>
      <c r="ADF5" s="390"/>
      <c r="ADG5" s="390"/>
      <c r="ADH5" s="390"/>
      <c r="ADI5" s="390"/>
      <c r="ADJ5" s="390"/>
      <c r="ADK5" s="390"/>
      <c r="ADL5" s="390"/>
      <c r="ADM5" s="390"/>
      <c r="ADN5" s="390"/>
      <c r="ADO5" s="390"/>
      <c r="ADP5" s="390"/>
      <c r="ADQ5" s="390"/>
      <c r="ADR5" s="390"/>
      <c r="ADS5" s="390"/>
      <c r="ADT5" s="390"/>
      <c r="ADU5" s="390"/>
      <c r="ADV5" s="390"/>
      <c r="ADW5" s="390"/>
      <c r="ADX5" s="390"/>
      <c r="ADY5" s="390"/>
      <c r="ADZ5" s="390"/>
      <c r="AEA5" s="390"/>
      <c r="AEB5" s="390"/>
      <c r="AEC5" s="390"/>
      <c r="AED5" s="390"/>
      <c r="AEE5" s="390"/>
      <c r="AEF5" s="390"/>
      <c r="AEG5" s="390"/>
      <c r="AEH5" s="390"/>
      <c r="AEI5" s="390"/>
      <c r="AEJ5" s="390"/>
      <c r="AEK5" s="390"/>
      <c r="AEL5" s="390"/>
      <c r="AEM5" s="390"/>
      <c r="AEN5" s="390"/>
      <c r="AEO5" s="390"/>
      <c r="AEP5" s="390"/>
      <c r="AEQ5" s="390"/>
      <c r="AER5" s="390"/>
      <c r="AES5" s="390"/>
      <c r="AET5" s="390"/>
      <c r="AEU5" s="390"/>
      <c r="AEV5" s="390"/>
      <c r="AEW5" s="390"/>
      <c r="AEX5" s="390"/>
      <c r="AEY5" s="390"/>
      <c r="AEZ5" s="390"/>
      <c r="AFA5" s="390"/>
      <c r="AFB5" s="390"/>
      <c r="AFC5" s="390"/>
      <c r="AFD5" s="390"/>
      <c r="AFE5" s="390"/>
      <c r="AFF5" s="390"/>
      <c r="AFG5" s="390"/>
      <c r="AFH5" s="390"/>
      <c r="AFI5" s="390"/>
      <c r="AFJ5" s="390"/>
      <c r="AFK5" s="390"/>
      <c r="AFL5" s="390"/>
      <c r="AFM5" s="390"/>
      <c r="AFN5" s="390"/>
      <c r="AFO5" s="390"/>
      <c r="AFP5" s="390"/>
      <c r="AFQ5" s="390"/>
      <c r="AFR5" s="390"/>
      <c r="AFS5" s="390"/>
      <c r="AFT5" s="390"/>
      <c r="AFU5" s="390"/>
      <c r="AFV5" s="390"/>
      <c r="AFW5" s="390"/>
      <c r="AFX5" s="390"/>
      <c r="AFY5" s="390"/>
      <c r="AFZ5" s="390"/>
      <c r="AGA5" s="390"/>
      <c r="AGB5" s="390"/>
      <c r="AGC5" s="390"/>
      <c r="AGD5" s="390"/>
      <c r="AGE5" s="390"/>
      <c r="AGF5" s="390"/>
      <c r="AGG5" s="390"/>
      <c r="AGH5" s="390"/>
      <c r="AGI5" s="390"/>
      <c r="AGJ5" s="390"/>
      <c r="AGK5" s="390"/>
      <c r="AGL5" s="390"/>
      <c r="AGM5" s="390"/>
      <c r="AGN5" s="390"/>
      <c r="AGO5" s="390"/>
      <c r="AGP5" s="390"/>
      <c r="AGQ5" s="390"/>
      <c r="AGR5" s="390"/>
      <c r="AGS5" s="390"/>
      <c r="AGT5" s="390"/>
      <c r="AGU5" s="390"/>
      <c r="AGV5" s="390"/>
      <c r="AGW5" s="390"/>
      <c r="AGX5" s="390"/>
      <c r="AGY5" s="390"/>
      <c r="AGZ5" s="390"/>
      <c r="AHA5" s="390"/>
      <c r="AHB5" s="390"/>
      <c r="AHC5" s="390"/>
      <c r="AHD5" s="390"/>
      <c r="AHE5" s="390"/>
      <c r="AHF5" s="390"/>
      <c r="AHG5" s="390"/>
      <c r="AHH5" s="390"/>
      <c r="AHI5" s="390"/>
      <c r="AHJ5" s="390"/>
      <c r="AHK5" s="390"/>
      <c r="AHL5" s="390"/>
      <c r="AHM5" s="390"/>
      <c r="AHN5" s="390"/>
      <c r="AHO5" s="390"/>
      <c r="AHP5" s="390"/>
      <c r="AHQ5" s="390"/>
      <c r="AHR5" s="390"/>
      <c r="AHS5" s="390"/>
      <c r="AHT5" s="390"/>
      <c r="AHU5" s="390"/>
      <c r="AHV5" s="390"/>
      <c r="AHW5" s="390"/>
      <c r="AHX5" s="390"/>
      <c r="AHY5" s="390"/>
      <c r="AHZ5" s="390"/>
      <c r="AIA5" s="390"/>
      <c r="AIB5" s="390"/>
      <c r="AIC5" s="390"/>
      <c r="AID5" s="390"/>
      <c r="AIE5" s="390"/>
      <c r="AIF5" s="390"/>
      <c r="AIG5" s="390"/>
      <c r="AIH5" s="390"/>
      <c r="AII5" s="390"/>
      <c r="AIJ5" s="390"/>
      <c r="AIK5" s="390"/>
      <c r="AIL5" s="390"/>
      <c r="AIM5" s="390"/>
      <c r="AIN5" s="390"/>
      <c r="AIO5" s="390"/>
      <c r="AIP5" s="390"/>
      <c r="AIQ5" s="390"/>
      <c r="AIR5" s="390"/>
      <c r="AIS5" s="390"/>
      <c r="AIT5" s="390"/>
      <c r="AIU5" s="390"/>
      <c r="AIV5" s="390"/>
      <c r="AIW5" s="390"/>
      <c r="AIX5" s="390"/>
      <c r="AIY5" s="390"/>
      <c r="AIZ5" s="390"/>
      <c r="AJA5" s="390"/>
      <c r="AJB5" s="390"/>
      <c r="AJC5" s="390"/>
      <c r="AJD5" s="390"/>
      <c r="AJE5" s="390"/>
      <c r="AJF5" s="390"/>
      <c r="AJG5" s="390"/>
      <c r="AJH5" s="390"/>
      <c r="AJI5" s="390"/>
      <c r="AJJ5" s="390"/>
      <c r="AJK5" s="390"/>
      <c r="AJL5" s="390"/>
      <c r="AJM5" s="390"/>
      <c r="AJN5" s="390"/>
      <c r="AJO5" s="390"/>
      <c r="AJP5" s="390"/>
      <c r="AJQ5" s="390"/>
      <c r="AJR5" s="390"/>
      <c r="AJS5" s="390"/>
      <c r="AJT5" s="390"/>
      <c r="AJU5" s="390"/>
      <c r="AJV5" s="390"/>
      <c r="AJW5" s="390"/>
      <c r="AJX5" s="390"/>
      <c r="AJY5" s="390"/>
      <c r="AJZ5" s="390"/>
      <c r="AKA5" s="390"/>
      <c r="AKB5" s="390"/>
      <c r="AKC5" s="390"/>
      <c r="AKD5" s="390"/>
      <c r="AKE5" s="390"/>
      <c r="AKF5" s="390"/>
      <c r="AKG5" s="390"/>
      <c r="AKH5" s="390"/>
      <c r="AKI5" s="390"/>
      <c r="AKJ5" s="390"/>
      <c r="AKK5" s="390"/>
      <c r="AKL5" s="390"/>
      <c r="AKM5" s="390"/>
      <c r="AKN5" s="390"/>
      <c r="AKO5" s="390"/>
      <c r="AKP5" s="390"/>
      <c r="AKQ5" s="390"/>
      <c r="AKR5" s="390"/>
      <c r="AKS5" s="390"/>
      <c r="AKT5" s="390"/>
      <c r="AKU5" s="390"/>
      <c r="AKV5" s="390"/>
      <c r="AKW5" s="390"/>
      <c r="AKX5" s="390"/>
      <c r="AKY5" s="390"/>
      <c r="AKZ5" s="390"/>
      <c r="ALA5" s="390"/>
      <c r="ALB5" s="390"/>
      <c r="ALC5" s="390"/>
      <c r="ALD5" s="390"/>
      <c r="ALE5" s="390"/>
      <c r="ALF5" s="390"/>
      <c r="ALG5" s="390"/>
      <c r="ALH5" s="390"/>
      <c r="ALI5" s="390"/>
      <c r="ALJ5" s="390"/>
      <c r="ALK5" s="390"/>
      <c r="ALL5" s="390"/>
      <c r="ALM5" s="390"/>
      <c r="ALN5" s="390"/>
      <c r="ALO5" s="390"/>
      <c r="ALP5" s="390"/>
      <c r="ALQ5" s="390"/>
      <c r="ALR5" s="390"/>
      <c r="ALS5" s="390"/>
      <c r="ALT5" s="390"/>
      <c r="ALU5" s="390"/>
      <c r="ALV5" s="390"/>
      <c r="ALW5" s="390"/>
      <c r="ALX5" s="390"/>
      <c r="ALY5" s="390"/>
      <c r="ALZ5" s="390"/>
      <c r="AMA5" s="390"/>
      <c r="AMB5" s="390"/>
      <c r="AMC5" s="390"/>
      <c r="AMD5" s="390"/>
      <c r="AME5" s="390"/>
      <c r="AMF5" s="390"/>
      <c r="AMG5" s="390"/>
      <c r="AMH5" s="390"/>
      <c r="AMI5" s="390"/>
      <c r="AMJ5" s="390"/>
      <c r="AMK5" s="390"/>
      <c r="AML5" s="390"/>
      <c r="AMM5" s="390"/>
      <c r="AMN5" s="390"/>
      <c r="AMO5" s="390"/>
      <c r="AMP5" s="390"/>
      <c r="AMQ5" s="390"/>
      <c r="AMR5" s="390"/>
      <c r="AMS5" s="390"/>
      <c r="AMT5" s="390"/>
      <c r="AMU5" s="390"/>
      <c r="AMV5" s="390"/>
      <c r="AMW5" s="390"/>
      <c r="AMX5" s="390"/>
      <c r="AMY5" s="390"/>
      <c r="AMZ5" s="390"/>
      <c r="ANA5" s="390"/>
      <c r="ANB5" s="390"/>
      <c r="ANC5" s="390"/>
      <c r="AND5" s="390"/>
      <c r="ANE5" s="390"/>
      <c r="ANF5" s="390"/>
      <c r="ANG5" s="390"/>
      <c r="ANH5" s="390"/>
      <c r="ANI5" s="390"/>
      <c r="ANJ5" s="390"/>
      <c r="ANK5" s="390"/>
      <c r="ANL5" s="390"/>
      <c r="ANM5" s="390"/>
      <c r="ANN5" s="390"/>
      <c r="ANO5" s="390"/>
      <c r="ANP5" s="390"/>
      <c r="ANQ5" s="390"/>
      <c r="ANR5" s="390"/>
      <c r="ANS5" s="390"/>
      <c r="ANT5" s="390"/>
      <c r="ANU5" s="390"/>
      <c r="ANV5" s="390"/>
      <c r="ANW5" s="390"/>
      <c r="ANX5" s="390"/>
      <c r="ANY5" s="390"/>
      <c r="ANZ5" s="390"/>
      <c r="AOA5" s="390"/>
      <c r="AOB5" s="390"/>
      <c r="AOC5" s="390"/>
      <c r="AOD5" s="390"/>
      <c r="AOE5" s="390"/>
      <c r="AOF5" s="390"/>
      <c r="AOG5" s="390"/>
      <c r="AOH5" s="390"/>
      <c r="AOI5" s="390"/>
      <c r="AOJ5" s="390"/>
      <c r="AOK5" s="390"/>
      <c r="AOL5" s="390"/>
      <c r="AOM5" s="390"/>
      <c r="AON5" s="390"/>
      <c r="AOO5" s="390"/>
      <c r="AOP5" s="390"/>
      <c r="AOQ5" s="390"/>
      <c r="AOR5" s="390"/>
      <c r="AOS5" s="390"/>
      <c r="AOT5" s="390"/>
      <c r="AOU5" s="390"/>
      <c r="AOV5" s="390"/>
      <c r="AOW5" s="390"/>
      <c r="AOX5" s="390"/>
      <c r="AOY5" s="390"/>
      <c r="AOZ5" s="390"/>
      <c r="APA5" s="390"/>
      <c r="APB5" s="390"/>
      <c r="APC5" s="390"/>
      <c r="APD5" s="390"/>
      <c r="APE5" s="390"/>
      <c r="APF5" s="390"/>
      <c r="APG5" s="390"/>
      <c r="APH5" s="390"/>
      <c r="API5" s="390"/>
      <c r="APJ5" s="390"/>
      <c r="APK5" s="390"/>
      <c r="APL5" s="390"/>
      <c r="APM5" s="390"/>
      <c r="APN5" s="390"/>
      <c r="APO5" s="390"/>
      <c r="APP5" s="390"/>
      <c r="APQ5" s="390"/>
      <c r="APR5" s="390"/>
      <c r="APS5" s="390"/>
      <c r="APT5" s="390"/>
      <c r="APU5" s="390"/>
      <c r="APV5" s="390"/>
      <c r="APW5" s="390"/>
      <c r="APX5" s="390"/>
      <c r="APY5" s="390"/>
      <c r="APZ5" s="390"/>
      <c r="AQA5" s="390"/>
      <c r="AQB5" s="390"/>
      <c r="AQC5" s="390"/>
      <c r="AQD5" s="390"/>
      <c r="AQE5" s="390"/>
      <c r="AQF5" s="390"/>
      <c r="AQG5" s="390"/>
      <c r="AQH5" s="390"/>
      <c r="AQI5" s="390"/>
      <c r="AQJ5" s="390"/>
      <c r="AQK5" s="390"/>
      <c r="AQL5" s="390"/>
      <c r="AQM5" s="390"/>
      <c r="AQN5" s="390"/>
      <c r="AQO5" s="390"/>
      <c r="AQP5" s="390"/>
      <c r="AQQ5" s="390"/>
      <c r="AQR5" s="390"/>
      <c r="AQS5" s="390"/>
      <c r="AQT5" s="390"/>
      <c r="AQU5" s="390"/>
      <c r="AQV5" s="390"/>
      <c r="AQW5" s="390"/>
      <c r="AQX5" s="390"/>
      <c r="AQY5" s="390"/>
      <c r="AQZ5" s="390"/>
      <c r="ARA5" s="390"/>
      <c r="ARB5" s="390"/>
      <c r="ARC5" s="390"/>
      <c r="ARD5" s="390"/>
      <c r="ARE5" s="390"/>
      <c r="ARF5" s="390"/>
      <c r="ARG5" s="390"/>
      <c r="ARH5" s="390"/>
      <c r="ARI5" s="390"/>
      <c r="ARJ5" s="390"/>
      <c r="ARK5" s="390"/>
      <c r="ARL5" s="390"/>
      <c r="ARM5" s="390"/>
      <c r="ARN5" s="390"/>
      <c r="ARO5" s="390"/>
      <c r="ARP5" s="390"/>
      <c r="ARQ5" s="390"/>
      <c r="ARR5" s="390"/>
      <c r="ARS5" s="390"/>
      <c r="ART5" s="390"/>
      <c r="ARU5" s="390"/>
      <c r="ARV5" s="390"/>
      <c r="ARW5" s="390"/>
      <c r="ARX5" s="390"/>
      <c r="ARY5" s="390"/>
      <c r="ARZ5" s="390"/>
      <c r="ASA5" s="390"/>
      <c r="ASB5" s="390"/>
      <c r="ASC5" s="390"/>
      <c r="ASD5" s="390"/>
      <c r="ASE5" s="390"/>
      <c r="ASF5" s="390"/>
      <c r="ASG5" s="390"/>
      <c r="ASH5" s="390"/>
      <c r="ASI5" s="390"/>
      <c r="ASJ5" s="390"/>
      <c r="ASK5" s="390"/>
      <c r="ASL5" s="390"/>
      <c r="ASM5" s="390"/>
      <c r="ASN5" s="390"/>
      <c r="ASO5" s="390"/>
      <c r="ASP5" s="390"/>
      <c r="ASQ5" s="390"/>
      <c r="ASR5" s="390"/>
      <c r="ASS5" s="390"/>
      <c r="AST5" s="390"/>
      <c r="ASU5" s="390"/>
      <c r="ASV5" s="390"/>
      <c r="ASW5" s="390"/>
      <c r="ASX5" s="390"/>
      <c r="ASY5" s="390"/>
      <c r="ASZ5" s="390"/>
      <c r="ATA5" s="390"/>
      <c r="ATB5" s="390"/>
      <c r="ATC5" s="390"/>
      <c r="ATD5" s="390"/>
      <c r="ATE5" s="390"/>
      <c r="ATF5" s="390"/>
      <c r="ATG5" s="390"/>
      <c r="ATH5" s="390"/>
      <c r="ATI5" s="390"/>
      <c r="ATJ5" s="390"/>
      <c r="ATK5" s="390"/>
      <c r="ATL5" s="390"/>
      <c r="ATM5" s="390"/>
      <c r="ATN5" s="390"/>
      <c r="ATO5" s="390"/>
      <c r="ATP5" s="390"/>
      <c r="ATQ5" s="390"/>
      <c r="ATR5" s="390"/>
      <c r="ATS5" s="390"/>
      <c r="ATT5" s="390"/>
      <c r="ATU5" s="390"/>
      <c r="ATV5" s="390"/>
      <c r="ATW5" s="390"/>
      <c r="ATX5" s="390"/>
      <c r="ATY5" s="390"/>
      <c r="ATZ5" s="390"/>
      <c r="AUA5" s="390"/>
      <c r="AUB5" s="390"/>
      <c r="AUC5" s="390"/>
      <c r="AUD5" s="390"/>
      <c r="AUE5" s="390"/>
      <c r="AUF5" s="390"/>
      <c r="AUG5" s="390"/>
      <c r="AUH5" s="390"/>
      <c r="AUI5" s="390"/>
      <c r="AUJ5" s="390"/>
      <c r="AUK5" s="390"/>
      <c r="AUL5" s="390"/>
      <c r="AUM5" s="390"/>
      <c r="AUN5" s="390"/>
      <c r="AUO5" s="390"/>
      <c r="AUP5" s="390"/>
      <c r="AUQ5" s="390"/>
      <c r="AUR5" s="390"/>
      <c r="AUS5" s="390"/>
      <c r="AUT5" s="390"/>
      <c r="AUU5" s="390"/>
      <c r="AUV5" s="390"/>
      <c r="AUW5" s="390"/>
      <c r="AUX5" s="390"/>
      <c r="AUY5" s="390"/>
      <c r="AUZ5" s="390"/>
      <c r="AVA5" s="390"/>
      <c r="AVB5" s="390"/>
      <c r="AVC5" s="390"/>
      <c r="AVD5" s="390"/>
      <c r="AVE5" s="390"/>
      <c r="AVF5" s="390"/>
      <c r="AVG5" s="390"/>
      <c r="AVH5" s="390"/>
      <c r="AVI5" s="390"/>
      <c r="AVJ5" s="390"/>
      <c r="AVK5" s="390"/>
      <c r="AVL5" s="390"/>
      <c r="AVM5" s="390"/>
      <c r="AVN5" s="390"/>
      <c r="AVO5" s="390"/>
      <c r="AVP5" s="390"/>
      <c r="AVQ5" s="390"/>
      <c r="AVR5" s="390"/>
      <c r="AVS5" s="390"/>
      <c r="AVT5" s="390"/>
      <c r="AVU5" s="390"/>
      <c r="AVV5" s="390"/>
      <c r="AVW5" s="390"/>
      <c r="AVX5" s="390"/>
      <c r="AVY5" s="390"/>
      <c r="AVZ5" s="390"/>
      <c r="AWA5" s="390"/>
      <c r="AWB5" s="390"/>
      <c r="AWC5" s="390"/>
      <c r="AWD5" s="390"/>
      <c r="AWE5" s="390"/>
      <c r="AWF5" s="390"/>
      <c r="AWG5" s="390"/>
      <c r="AWH5" s="390"/>
      <c r="AWI5" s="390"/>
      <c r="AWJ5" s="390"/>
      <c r="AWK5" s="390"/>
      <c r="AWL5" s="390"/>
      <c r="AWM5" s="390"/>
      <c r="AWN5" s="390"/>
      <c r="AWO5" s="390"/>
      <c r="AWP5" s="390"/>
      <c r="AWQ5" s="390"/>
      <c r="AWR5" s="390"/>
      <c r="AWS5" s="390"/>
      <c r="AWT5" s="390"/>
      <c r="AWU5" s="390"/>
      <c r="AWV5" s="390"/>
      <c r="AWW5" s="390"/>
      <c r="AWX5" s="390"/>
      <c r="AWY5" s="390"/>
      <c r="AWZ5" s="390"/>
      <c r="AXA5" s="390"/>
      <c r="AXB5" s="390"/>
      <c r="AXC5" s="390"/>
      <c r="AXD5" s="390"/>
      <c r="AXE5" s="390"/>
      <c r="AXF5" s="390"/>
      <c r="AXG5" s="390"/>
      <c r="AXH5" s="390"/>
      <c r="AXI5" s="390"/>
      <c r="AXJ5" s="390"/>
      <c r="AXK5" s="390"/>
      <c r="AXL5" s="390"/>
      <c r="AXM5" s="390"/>
      <c r="AXN5" s="390"/>
      <c r="AXO5" s="390"/>
      <c r="AXP5" s="390"/>
      <c r="AXQ5" s="390"/>
      <c r="AXR5" s="390"/>
      <c r="AXS5" s="390"/>
      <c r="AXT5" s="390"/>
      <c r="AXU5" s="390"/>
      <c r="AXV5" s="390"/>
      <c r="AXW5" s="390"/>
      <c r="AXX5" s="390"/>
      <c r="AXY5" s="390"/>
      <c r="AXZ5" s="390"/>
      <c r="AYA5" s="390"/>
      <c r="AYB5" s="390"/>
      <c r="AYC5" s="390"/>
      <c r="AYD5" s="390"/>
      <c r="AYE5" s="390"/>
      <c r="AYF5" s="390"/>
      <c r="AYG5" s="390"/>
      <c r="AYH5" s="390"/>
      <c r="AYI5" s="390"/>
      <c r="AYJ5" s="390"/>
      <c r="AYK5" s="390"/>
      <c r="AYL5" s="390"/>
      <c r="AYM5" s="390"/>
      <c r="AYN5" s="390"/>
      <c r="AYO5" s="390"/>
      <c r="AYP5" s="390"/>
      <c r="AYQ5" s="390"/>
      <c r="AYR5" s="390"/>
      <c r="AYS5" s="390"/>
      <c r="AYT5" s="390"/>
      <c r="AYU5" s="390"/>
      <c r="AYV5" s="390"/>
      <c r="AYW5" s="390"/>
      <c r="AYX5" s="390"/>
      <c r="AYY5" s="390"/>
      <c r="AYZ5" s="390"/>
      <c r="AZA5" s="390"/>
      <c r="AZB5" s="390"/>
      <c r="AZC5" s="390"/>
      <c r="AZD5" s="390"/>
      <c r="AZE5" s="390"/>
      <c r="AZF5" s="390"/>
      <c r="AZG5" s="390"/>
      <c r="AZH5" s="390"/>
      <c r="AZI5" s="390"/>
      <c r="AZJ5" s="390"/>
      <c r="AZK5" s="390"/>
      <c r="AZL5" s="390"/>
      <c r="AZM5" s="390"/>
      <c r="AZN5" s="390"/>
      <c r="AZO5" s="390"/>
      <c r="AZP5" s="390"/>
      <c r="AZQ5" s="390"/>
      <c r="AZR5" s="390"/>
      <c r="AZS5" s="390"/>
      <c r="AZT5" s="390"/>
      <c r="AZU5" s="390"/>
      <c r="AZV5" s="390"/>
      <c r="AZW5" s="390"/>
      <c r="AZX5" s="390"/>
      <c r="AZY5" s="390"/>
      <c r="AZZ5" s="390"/>
      <c r="BAA5" s="390"/>
      <c r="BAB5" s="390"/>
      <c r="BAC5" s="390"/>
      <c r="BAD5" s="390"/>
      <c r="BAE5" s="390"/>
      <c r="BAF5" s="390"/>
      <c r="BAG5" s="390"/>
      <c r="BAH5" s="390"/>
      <c r="BAI5" s="390"/>
      <c r="BAJ5" s="390"/>
      <c r="BAK5" s="390"/>
      <c r="BAL5" s="390"/>
      <c r="BAM5" s="390"/>
      <c r="BAN5" s="390"/>
      <c r="BAO5" s="390"/>
      <c r="BAP5" s="390"/>
      <c r="BAQ5" s="390"/>
      <c r="BAR5" s="390"/>
      <c r="BAS5" s="390"/>
      <c r="BAT5" s="390"/>
      <c r="BAU5" s="390"/>
      <c r="BAV5" s="390"/>
      <c r="BAW5" s="390"/>
      <c r="BAX5" s="390"/>
      <c r="BAY5" s="390"/>
      <c r="BAZ5" s="390"/>
      <c r="BBA5" s="390"/>
      <c r="BBB5" s="390"/>
      <c r="BBC5" s="390"/>
      <c r="BBD5" s="390"/>
      <c r="BBE5" s="390"/>
      <c r="BBF5" s="390"/>
      <c r="BBG5" s="390"/>
      <c r="BBH5" s="390"/>
      <c r="BBI5" s="390"/>
      <c r="BBJ5" s="390"/>
      <c r="BBK5" s="390"/>
      <c r="BBL5" s="390"/>
      <c r="BBM5" s="390"/>
      <c r="BBN5" s="390"/>
      <c r="BBO5" s="390"/>
      <c r="BBP5" s="390"/>
      <c r="BBQ5" s="390"/>
      <c r="BBR5" s="390"/>
      <c r="BBS5" s="390"/>
      <c r="BBT5" s="390"/>
      <c r="BBU5" s="390"/>
      <c r="BBV5" s="390"/>
      <c r="BBW5" s="390"/>
      <c r="BBX5" s="390"/>
      <c r="BBY5" s="390"/>
      <c r="BBZ5" s="390"/>
      <c r="BCA5" s="390"/>
      <c r="BCB5" s="390"/>
      <c r="BCC5" s="390"/>
      <c r="BCD5" s="390"/>
      <c r="BCE5" s="390"/>
      <c r="BCF5" s="390"/>
      <c r="BCG5" s="390"/>
      <c r="BCH5" s="390"/>
      <c r="BCI5" s="390"/>
      <c r="BCJ5" s="390"/>
      <c r="BCK5" s="390"/>
      <c r="BCL5" s="390"/>
      <c r="BCM5" s="390"/>
      <c r="BCN5" s="390"/>
      <c r="BCO5" s="390"/>
      <c r="BCP5" s="390"/>
      <c r="BCQ5" s="390"/>
      <c r="BCR5" s="390"/>
      <c r="BCS5" s="390"/>
      <c r="BCT5" s="390"/>
      <c r="BCU5" s="390"/>
      <c r="BCV5" s="390"/>
      <c r="BCW5" s="390"/>
      <c r="BCX5" s="390"/>
      <c r="BCY5" s="390"/>
      <c r="BCZ5" s="390"/>
      <c r="BDA5" s="390"/>
      <c r="BDB5" s="390"/>
      <c r="BDC5" s="390"/>
      <c r="BDD5" s="390"/>
      <c r="BDE5" s="390"/>
      <c r="BDF5" s="390"/>
      <c r="BDG5" s="390"/>
      <c r="BDH5" s="390"/>
      <c r="BDI5" s="390"/>
      <c r="BDJ5" s="390"/>
      <c r="BDK5" s="390"/>
      <c r="BDL5" s="390"/>
      <c r="BDM5" s="390"/>
      <c r="BDN5" s="390"/>
      <c r="BDO5" s="390"/>
      <c r="BDP5" s="390"/>
      <c r="BDQ5" s="390"/>
      <c r="BDR5" s="390"/>
      <c r="BDS5" s="390"/>
      <c r="BDT5" s="390"/>
      <c r="BDU5" s="390"/>
      <c r="BDV5" s="390"/>
      <c r="BDW5" s="390"/>
      <c r="BDX5" s="390"/>
      <c r="BDY5" s="390"/>
      <c r="BDZ5" s="390"/>
      <c r="BEA5" s="390"/>
      <c r="BEB5" s="390"/>
      <c r="BEC5" s="390"/>
      <c r="BED5" s="390"/>
      <c r="BEE5" s="390"/>
      <c r="BEF5" s="390"/>
      <c r="BEG5" s="390"/>
      <c r="BEH5" s="390"/>
      <c r="BEI5" s="390"/>
      <c r="BEJ5" s="390"/>
      <c r="BEK5" s="390"/>
      <c r="BEL5" s="390"/>
      <c r="BEM5" s="390"/>
      <c r="BEN5" s="390"/>
      <c r="BEO5" s="390"/>
      <c r="BEP5" s="390"/>
      <c r="BEQ5" s="390"/>
      <c r="BER5" s="390"/>
      <c r="BES5" s="390"/>
      <c r="BET5" s="390"/>
      <c r="BEU5" s="390"/>
      <c r="BEV5" s="390"/>
      <c r="BEW5" s="390"/>
      <c r="BEX5" s="390"/>
      <c r="BEY5" s="390"/>
      <c r="BEZ5" s="390"/>
      <c r="BFA5" s="390"/>
      <c r="BFB5" s="390"/>
      <c r="BFC5" s="390"/>
      <c r="BFD5" s="390"/>
      <c r="BFE5" s="390"/>
      <c r="BFF5" s="390"/>
      <c r="BFG5" s="390"/>
      <c r="BFH5" s="390"/>
      <c r="BFI5" s="390"/>
      <c r="BFJ5" s="390"/>
      <c r="BFK5" s="390"/>
      <c r="BFL5" s="390"/>
      <c r="BFM5" s="390"/>
      <c r="BFN5" s="390"/>
      <c r="BFO5" s="390"/>
      <c r="BFP5" s="390"/>
      <c r="BFQ5" s="390"/>
      <c r="BFR5" s="390"/>
      <c r="BFS5" s="390"/>
      <c r="BFT5" s="390"/>
      <c r="BFU5" s="390"/>
      <c r="BFV5" s="390"/>
      <c r="BFW5" s="390"/>
      <c r="BFX5" s="390"/>
      <c r="BFY5" s="390"/>
      <c r="BFZ5" s="390"/>
      <c r="BGA5" s="390"/>
      <c r="BGB5" s="390"/>
      <c r="BGC5" s="390"/>
      <c r="BGD5" s="390"/>
      <c r="BGE5" s="390"/>
      <c r="BGF5" s="390"/>
      <c r="BGG5" s="390"/>
      <c r="BGH5" s="390"/>
      <c r="BGI5" s="390"/>
      <c r="BGJ5" s="390"/>
      <c r="BGK5" s="390"/>
      <c r="BGL5" s="390"/>
      <c r="BGM5" s="390"/>
      <c r="BGN5" s="390"/>
      <c r="BGO5" s="390"/>
      <c r="BGP5" s="390"/>
      <c r="BGQ5" s="390"/>
      <c r="BGR5" s="390"/>
      <c r="BGS5" s="390"/>
      <c r="BGT5" s="390"/>
      <c r="BGU5" s="390"/>
      <c r="BGV5" s="390"/>
      <c r="BGW5" s="390"/>
      <c r="BGX5" s="390"/>
      <c r="BGY5" s="390"/>
      <c r="BGZ5" s="390"/>
      <c r="BHA5" s="390"/>
      <c r="BHB5" s="390"/>
      <c r="BHC5" s="390"/>
      <c r="BHD5" s="390"/>
      <c r="BHE5" s="390"/>
      <c r="BHF5" s="390"/>
      <c r="BHG5" s="390"/>
      <c r="BHH5" s="390"/>
      <c r="BHI5" s="390"/>
      <c r="BHJ5" s="390"/>
      <c r="BHK5" s="390"/>
      <c r="BHL5" s="390"/>
      <c r="BHM5" s="390"/>
      <c r="BHN5" s="390"/>
      <c r="BHO5" s="390"/>
      <c r="BHP5" s="390"/>
      <c r="BHQ5" s="390"/>
      <c r="BHR5" s="390"/>
      <c r="BHS5" s="390"/>
      <c r="BHT5" s="390"/>
      <c r="BHU5" s="390"/>
      <c r="BHV5" s="390"/>
      <c r="BHW5" s="390"/>
      <c r="BHX5" s="390"/>
      <c r="BHY5" s="390"/>
      <c r="BHZ5" s="390"/>
      <c r="BIA5" s="390"/>
      <c r="BIB5" s="390"/>
      <c r="BIC5" s="390"/>
      <c r="BID5" s="390"/>
      <c r="BIE5" s="390"/>
      <c r="BIF5" s="390"/>
      <c r="BIG5" s="390"/>
      <c r="BIH5" s="390"/>
      <c r="BII5" s="390"/>
      <c r="BIJ5" s="390"/>
      <c r="BIK5" s="390"/>
      <c r="BIL5" s="390"/>
      <c r="BIM5" s="390"/>
      <c r="BIN5" s="390"/>
      <c r="BIO5" s="390"/>
      <c r="BIP5" s="390"/>
      <c r="BIQ5" s="390"/>
      <c r="BIR5" s="390"/>
      <c r="BIS5" s="390"/>
      <c r="BIT5" s="390"/>
      <c r="BIU5" s="390"/>
      <c r="BIV5" s="390"/>
      <c r="BIW5" s="390"/>
      <c r="BIX5" s="390"/>
      <c r="BIY5" s="390"/>
      <c r="BIZ5" s="390"/>
      <c r="BJA5" s="390"/>
      <c r="BJB5" s="390"/>
      <c r="BJC5" s="390"/>
      <c r="BJD5" s="390"/>
      <c r="BJE5" s="390"/>
      <c r="BJF5" s="390"/>
      <c r="BJG5" s="390"/>
      <c r="BJH5" s="390"/>
      <c r="BJI5" s="390"/>
      <c r="BJJ5" s="390"/>
      <c r="BJK5" s="390"/>
      <c r="BJL5" s="390"/>
      <c r="BJM5" s="390"/>
      <c r="BJN5" s="390"/>
      <c r="BJO5" s="390"/>
      <c r="BJP5" s="390"/>
      <c r="BJQ5" s="390"/>
      <c r="BJR5" s="390"/>
      <c r="BJS5" s="390"/>
      <c r="BJT5" s="390"/>
      <c r="BJU5" s="390"/>
      <c r="BJV5" s="390"/>
      <c r="BJW5" s="390"/>
      <c r="BJX5" s="390"/>
      <c r="BJY5" s="390"/>
      <c r="BJZ5" s="390"/>
      <c r="BKA5" s="390"/>
      <c r="BKB5" s="390"/>
      <c r="BKC5" s="390"/>
      <c r="BKD5" s="390"/>
      <c r="BKE5" s="390"/>
      <c r="BKF5" s="390"/>
      <c r="BKG5" s="390"/>
      <c r="BKH5" s="390"/>
      <c r="BKI5" s="390"/>
      <c r="BKJ5" s="390"/>
      <c r="BKK5" s="390"/>
      <c r="BKL5" s="390"/>
      <c r="BKM5" s="390"/>
      <c r="BKN5" s="390"/>
      <c r="BKO5" s="390"/>
      <c r="BKP5" s="390"/>
      <c r="BKQ5" s="390"/>
      <c r="BKR5" s="390"/>
      <c r="BKS5" s="390"/>
      <c r="BKT5" s="390"/>
      <c r="BKU5" s="390"/>
      <c r="BKV5" s="390"/>
      <c r="BKW5" s="390"/>
      <c r="BKX5" s="390"/>
      <c r="BKY5" s="390"/>
      <c r="BKZ5" s="390"/>
      <c r="BLA5" s="390"/>
      <c r="BLB5" s="390"/>
      <c r="BLC5" s="390"/>
      <c r="BLD5" s="390"/>
      <c r="BLE5" s="390"/>
      <c r="BLF5" s="390"/>
      <c r="BLG5" s="390"/>
      <c r="BLH5" s="390"/>
      <c r="BLI5" s="390"/>
      <c r="BLJ5" s="390"/>
      <c r="BLK5" s="390"/>
      <c r="BLL5" s="390"/>
      <c r="BLM5" s="390"/>
      <c r="BLN5" s="390"/>
      <c r="BLO5" s="390"/>
      <c r="BLP5" s="390"/>
      <c r="BLQ5" s="390"/>
      <c r="BLR5" s="390"/>
      <c r="BLS5" s="390"/>
      <c r="BLT5" s="390"/>
      <c r="BLU5" s="390"/>
      <c r="BLV5" s="390"/>
      <c r="BLW5" s="390"/>
      <c r="BLX5" s="390"/>
      <c r="BLY5" s="390"/>
      <c r="BLZ5" s="390"/>
      <c r="BMA5" s="390"/>
      <c r="BMB5" s="390"/>
      <c r="BMC5" s="390"/>
      <c r="BMD5" s="390"/>
      <c r="BME5" s="390"/>
      <c r="BMF5" s="390"/>
      <c r="BMG5" s="390"/>
      <c r="BMH5" s="390"/>
      <c r="BMI5" s="390"/>
      <c r="BMJ5" s="390"/>
      <c r="BMK5" s="390"/>
      <c r="BML5" s="390"/>
      <c r="BMM5" s="390"/>
      <c r="BMN5" s="390"/>
      <c r="BMO5" s="390"/>
      <c r="BMP5" s="390"/>
      <c r="BMQ5" s="390"/>
      <c r="BMR5" s="390"/>
      <c r="BMS5" s="390"/>
      <c r="BMT5" s="390"/>
      <c r="BMU5" s="390"/>
      <c r="BMV5" s="390"/>
      <c r="BMW5" s="390"/>
      <c r="BMX5" s="390"/>
      <c r="BMY5" s="390"/>
      <c r="BMZ5" s="390"/>
      <c r="BNA5" s="390"/>
      <c r="BNB5" s="390"/>
      <c r="BNC5" s="390"/>
      <c r="BND5" s="390"/>
      <c r="BNE5" s="390"/>
      <c r="BNF5" s="390"/>
      <c r="BNG5" s="390"/>
      <c r="BNH5" s="390"/>
      <c r="BNI5" s="390"/>
      <c r="BNJ5" s="390"/>
      <c r="BNK5" s="390"/>
      <c r="BNL5" s="390"/>
      <c r="BNM5" s="390"/>
      <c r="BNN5" s="390"/>
      <c r="BNO5" s="390"/>
      <c r="BNP5" s="390"/>
      <c r="BNQ5" s="390"/>
      <c r="BNR5" s="390"/>
      <c r="BNS5" s="390"/>
      <c r="BNT5" s="390"/>
      <c r="BNU5" s="390"/>
      <c r="BNV5" s="390"/>
      <c r="BNW5" s="390"/>
      <c r="BNX5" s="390"/>
      <c r="BNY5" s="390"/>
      <c r="BNZ5" s="390"/>
      <c r="BOA5" s="390"/>
      <c r="BOB5" s="390"/>
      <c r="BOC5" s="390"/>
      <c r="BOD5" s="390"/>
      <c r="BOE5" s="390"/>
      <c r="BOF5" s="390"/>
      <c r="BOG5" s="390"/>
      <c r="BOH5" s="390"/>
      <c r="BOI5" s="390"/>
      <c r="BOJ5" s="390"/>
      <c r="BOK5" s="390"/>
      <c r="BOL5" s="390"/>
      <c r="BOM5" s="390"/>
      <c r="BON5" s="390"/>
      <c r="BOO5" s="390"/>
      <c r="BOP5" s="390"/>
      <c r="BOQ5" s="390"/>
      <c r="BOR5" s="390"/>
      <c r="BOS5" s="390"/>
      <c r="BOT5" s="390"/>
      <c r="BOU5" s="390"/>
      <c r="BOV5" s="390"/>
      <c r="BOW5" s="390"/>
      <c r="BOX5" s="390"/>
      <c r="BOY5" s="390"/>
      <c r="BOZ5" s="390"/>
      <c r="BPA5" s="390"/>
      <c r="BPB5" s="390"/>
      <c r="BPC5" s="390"/>
      <c r="BPD5" s="390"/>
      <c r="BPE5" s="390"/>
      <c r="BPF5" s="390"/>
      <c r="BPG5" s="390"/>
      <c r="BPH5" s="390"/>
      <c r="BPI5" s="390"/>
      <c r="BPJ5" s="390"/>
      <c r="BPK5" s="390"/>
      <c r="BPL5" s="390"/>
      <c r="BPM5" s="390"/>
      <c r="BPN5" s="390"/>
      <c r="BPO5" s="390"/>
      <c r="BPP5" s="390"/>
      <c r="BPQ5" s="390"/>
      <c r="BPR5" s="390"/>
      <c r="BPS5" s="390"/>
      <c r="BPT5" s="390"/>
      <c r="BPU5" s="390"/>
      <c r="BPV5" s="390"/>
      <c r="BPW5" s="390"/>
      <c r="BPX5" s="390"/>
      <c r="BPY5" s="390"/>
      <c r="BPZ5" s="390"/>
      <c r="BQA5" s="390"/>
      <c r="BQB5" s="390"/>
      <c r="BQC5" s="390"/>
      <c r="BQD5" s="390"/>
      <c r="BQE5" s="390"/>
      <c r="BQF5" s="390"/>
      <c r="BQG5" s="390"/>
      <c r="BQH5" s="390"/>
      <c r="BQI5" s="390"/>
      <c r="BQJ5" s="390"/>
      <c r="BQK5" s="390"/>
      <c r="BQL5" s="390"/>
      <c r="BQM5" s="390"/>
      <c r="BQN5" s="390"/>
      <c r="BQO5" s="390"/>
      <c r="BQP5" s="390"/>
      <c r="BQQ5" s="390"/>
      <c r="BQR5" s="390"/>
      <c r="BQS5" s="390"/>
      <c r="BQT5" s="390"/>
      <c r="BQU5" s="390"/>
      <c r="BQV5" s="390"/>
      <c r="BQW5" s="390"/>
      <c r="BQX5" s="390"/>
      <c r="BQY5" s="390"/>
      <c r="BQZ5" s="390"/>
      <c r="BRA5" s="390"/>
      <c r="BRB5" s="390"/>
      <c r="BRC5" s="390"/>
      <c r="BRD5" s="390"/>
      <c r="BRE5" s="390"/>
      <c r="BRF5" s="390"/>
      <c r="BRG5" s="390"/>
      <c r="BRH5" s="390"/>
      <c r="BRI5" s="390"/>
      <c r="BRJ5" s="390"/>
      <c r="BRK5" s="390"/>
      <c r="BRL5" s="390"/>
      <c r="BRM5" s="390"/>
      <c r="BRN5" s="390"/>
      <c r="BRO5" s="390"/>
      <c r="BRP5" s="390"/>
      <c r="BRQ5" s="390"/>
      <c r="BRR5" s="390"/>
      <c r="BRS5" s="390"/>
      <c r="BRT5" s="390"/>
      <c r="BRU5" s="390"/>
      <c r="BRV5" s="390"/>
      <c r="BRW5" s="390"/>
      <c r="BRX5" s="390"/>
      <c r="BRY5" s="390"/>
      <c r="BRZ5" s="390"/>
      <c r="BSA5" s="390"/>
      <c r="BSB5" s="390"/>
      <c r="BSC5" s="390"/>
      <c r="BSD5" s="390"/>
      <c r="BSE5" s="390"/>
      <c r="BSF5" s="390"/>
      <c r="BSG5" s="390"/>
      <c r="BSH5" s="390"/>
      <c r="BSI5" s="390"/>
      <c r="BSJ5" s="390"/>
      <c r="BSK5" s="390"/>
      <c r="BSL5" s="390"/>
      <c r="BSM5" s="390"/>
      <c r="BSN5" s="390"/>
      <c r="BSO5" s="390"/>
      <c r="BSP5" s="390"/>
      <c r="BSQ5" s="390"/>
      <c r="BSR5" s="390"/>
      <c r="BSS5" s="390"/>
      <c r="BST5" s="390"/>
      <c r="BSU5" s="390"/>
      <c r="BSV5" s="390"/>
      <c r="BSW5" s="390"/>
      <c r="BSX5" s="390"/>
      <c r="BSY5" s="390"/>
      <c r="BSZ5" s="390"/>
      <c r="BTA5" s="390"/>
      <c r="BTB5" s="390"/>
      <c r="BTC5" s="390"/>
      <c r="BTD5" s="390"/>
      <c r="BTE5" s="390"/>
      <c r="BTF5" s="390"/>
      <c r="BTG5" s="390"/>
      <c r="BTH5" s="390"/>
      <c r="BTI5" s="390"/>
      <c r="BTJ5" s="390"/>
      <c r="BTK5" s="390"/>
      <c r="BTL5" s="390"/>
      <c r="BTM5" s="390"/>
      <c r="BTN5" s="390"/>
      <c r="BTO5" s="390"/>
      <c r="BTP5" s="390"/>
      <c r="BTQ5" s="390"/>
      <c r="BTR5" s="390"/>
      <c r="BTS5" s="390"/>
      <c r="BTT5" s="390"/>
      <c r="BTU5" s="390"/>
      <c r="BTV5" s="390"/>
      <c r="BTW5" s="390"/>
      <c r="BTX5" s="390"/>
      <c r="BTY5" s="390"/>
      <c r="BTZ5" s="390"/>
      <c r="BUA5" s="390"/>
      <c r="BUB5" s="390"/>
      <c r="BUC5" s="390"/>
      <c r="BUD5" s="390"/>
      <c r="BUE5" s="390"/>
      <c r="BUF5" s="390"/>
      <c r="BUG5" s="390"/>
      <c r="BUH5" s="390"/>
      <c r="BUI5" s="390"/>
      <c r="BUJ5" s="390"/>
      <c r="BUK5" s="390"/>
      <c r="BUL5" s="390"/>
      <c r="BUM5" s="390"/>
      <c r="BUN5" s="390"/>
      <c r="BUO5" s="390"/>
      <c r="BUP5" s="390"/>
      <c r="BUQ5" s="390"/>
      <c r="BUR5" s="390"/>
      <c r="BUS5" s="390"/>
      <c r="BUT5" s="390"/>
      <c r="BUU5" s="390"/>
      <c r="BUV5" s="390"/>
      <c r="BUW5" s="390"/>
      <c r="BUX5" s="390"/>
      <c r="BUY5" s="390"/>
      <c r="BUZ5" s="390"/>
      <c r="BVA5" s="390"/>
      <c r="BVB5" s="390"/>
      <c r="BVC5" s="390"/>
      <c r="BVD5" s="390"/>
      <c r="BVE5" s="390"/>
      <c r="BVF5" s="390"/>
      <c r="BVG5" s="390"/>
      <c r="BVH5" s="390"/>
      <c r="BVI5" s="390"/>
      <c r="BVJ5" s="390"/>
      <c r="BVK5" s="390"/>
      <c r="BVL5" s="390"/>
      <c r="BVM5" s="390"/>
      <c r="BVN5" s="390"/>
      <c r="BVO5" s="390"/>
      <c r="BVP5" s="390"/>
      <c r="BVQ5" s="390"/>
      <c r="BVR5" s="390"/>
      <c r="BVS5" s="390"/>
      <c r="BVT5" s="390"/>
      <c r="BVU5" s="390"/>
      <c r="BVV5" s="390"/>
      <c r="BVW5" s="390"/>
      <c r="BVX5" s="390"/>
      <c r="BVY5" s="390"/>
      <c r="BVZ5" s="390"/>
      <c r="BWA5" s="390"/>
      <c r="BWB5" s="390"/>
      <c r="BWC5" s="390"/>
      <c r="BWD5" s="390"/>
      <c r="BWE5" s="390"/>
      <c r="BWF5" s="390"/>
      <c r="BWG5" s="390"/>
      <c r="BWH5" s="390"/>
      <c r="BWI5" s="390"/>
      <c r="BWJ5" s="390"/>
      <c r="BWK5" s="390"/>
      <c r="BWL5" s="390"/>
      <c r="BWM5" s="390"/>
      <c r="BWN5" s="390"/>
      <c r="BWO5" s="390"/>
      <c r="BWP5" s="390"/>
      <c r="BWQ5" s="390"/>
      <c r="BWR5" s="390"/>
      <c r="BWS5" s="390"/>
      <c r="BWT5" s="390"/>
      <c r="BWU5" s="390"/>
      <c r="BWV5" s="390"/>
      <c r="BWW5" s="390"/>
      <c r="BWX5" s="390"/>
      <c r="BWY5" s="390"/>
      <c r="BWZ5" s="390"/>
      <c r="BXA5" s="390"/>
      <c r="BXB5" s="390"/>
      <c r="BXC5" s="390"/>
      <c r="BXD5" s="390"/>
      <c r="BXE5" s="390"/>
      <c r="BXF5" s="390"/>
      <c r="BXG5" s="390"/>
      <c r="BXH5" s="390"/>
      <c r="BXI5" s="390"/>
      <c r="BXJ5" s="390"/>
      <c r="BXK5" s="390"/>
      <c r="BXL5" s="390"/>
      <c r="BXM5" s="390"/>
      <c r="BXN5" s="390"/>
      <c r="BXO5" s="390"/>
      <c r="BXP5" s="390"/>
      <c r="BXQ5" s="390"/>
      <c r="BXR5" s="390"/>
      <c r="BXS5" s="390"/>
      <c r="BXT5" s="390"/>
      <c r="BXU5" s="390"/>
      <c r="BXV5" s="390"/>
      <c r="BXW5" s="390"/>
      <c r="BXX5" s="390"/>
      <c r="BXY5" s="390"/>
      <c r="BXZ5" s="390"/>
      <c r="BYA5" s="390"/>
      <c r="BYB5" s="390"/>
      <c r="BYC5" s="390"/>
      <c r="BYD5" s="390"/>
      <c r="BYE5" s="390"/>
      <c r="BYF5" s="390"/>
      <c r="BYG5" s="390"/>
      <c r="BYH5" s="390"/>
      <c r="BYI5" s="390"/>
      <c r="BYJ5" s="390"/>
      <c r="BYK5" s="390"/>
      <c r="BYL5" s="390"/>
      <c r="BYM5" s="390"/>
      <c r="BYN5" s="390"/>
      <c r="BYO5" s="390"/>
      <c r="BYP5" s="390"/>
      <c r="BYQ5" s="390"/>
      <c r="BYR5" s="390"/>
      <c r="BYS5" s="390"/>
      <c r="BYT5" s="390"/>
      <c r="BYU5" s="390"/>
      <c r="BYV5" s="390"/>
      <c r="BYW5" s="390"/>
      <c r="BYX5" s="390"/>
      <c r="BYY5" s="390"/>
      <c r="BYZ5" s="390"/>
      <c r="BZA5" s="390"/>
      <c r="BZB5" s="390"/>
      <c r="BZC5" s="390"/>
      <c r="BZD5" s="390"/>
      <c r="BZE5" s="390"/>
      <c r="BZF5" s="390"/>
      <c r="BZG5" s="390"/>
      <c r="BZH5" s="390"/>
      <c r="BZI5" s="390"/>
      <c r="BZJ5" s="390"/>
      <c r="BZK5" s="390"/>
      <c r="BZL5" s="390"/>
      <c r="BZM5" s="390"/>
      <c r="BZN5" s="390"/>
      <c r="BZO5" s="390"/>
      <c r="BZP5" s="390"/>
      <c r="BZQ5" s="390"/>
      <c r="BZR5" s="390"/>
      <c r="BZS5" s="390"/>
      <c r="BZT5" s="390"/>
      <c r="BZU5" s="390"/>
      <c r="BZV5" s="390"/>
      <c r="BZW5" s="390"/>
      <c r="BZX5" s="390"/>
      <c r="BZY5" s="390"/>
      <c r="BZZ5" s="390"/>
      <c r="CAA5" s="390"/>
      <c r="CAB5" s="390"/>
      <c r="CAC5" s="390"/>
      <c r="CAD5" s="390"/>
      <c r="CAE5" s="390"/>
      <c r="CAF5" s="390"/>
      <c r="CAG5" s="390"/>
      <c r="CAH5" s="390"/>
      <c r="CAI5" s="390"/>
      <c r="CAJ5" s="390"/>
      <c r="CAK5" s="390"/>
      <c r="CAL5" s="390"/>
      <c r="CAM5" s="390"/>
      <c r="CAN5" s="390"/>
      <c r="CAO5" s="390"/>
      <c r="CAP5" s="390"/>
      <c r="CAQ5" s="390"/>
      <c r="CAR5" s="390"/>
      <c r="CAS5" s="390"/>
      <c r="CAT5" s="390"/>
      <c r="CAU5" s="390"/>
      <c r="CAV5" s="390"/>
      <c r="CAW5" s="390"/>
      <c r="CAX5" s="390"/>
      <c r="CAY5" s="390"/>
      <c r="CAZ5" s="390"/>
      <c r="CBA5" s="390"/>
      <c r="CBB5" s="390"/>
      <c r="CBC5" s="390"/>
      <c r="CBD5" s="390"/>
      <c r="CBE5" s="390"/>
      <c r="CBF5" s="390"/>
      <c r="CBG5" s="390"/>
      <c r="CBH5" s="390"/>
      <c r="CBI5" s="390"/>
      <c r="CBJ5" s="390"/>
      <c r="CBK5" s="390"/>
      <c r="CBL5" s="390"/>
      <c r="CBM5" s="390"/>
      <c r="CBN5" s="390"/>
      <c r="CBO5" s="390"/>
      <c r="CBP5" s="390"/>
      <c r="CBQ5" s="390"/>
      <c r="CBR5" s="390"/>
      <c r="CBS5" s="390"/>
      <c r="CBT5" s="390"/>
      <c r="CBU5" s="390"/>
      <c r="CBV5" s="390"/>
      <c r="CBW5" s="390"/>
      <c r="CBX5" s="390"/>
      <c r="CBY5" s="390"/>
      <c r="CBZ5" s="390"/>
      <c r="CCA5" s="390"/>
      <c r="CCB5" s="390"/>
      <c r="CCC5" s="390"/>
      <c r="CCD5" s="390"/>
      <c r="CCE5" s="390"/>
      <c r="CCF5" s="390"/>
      <c r="CCG5" s="390"/>
      <c r="CCH5" s="390"/>
      <c r="CCI5" s="390"/>
      <c r="CCJ5" s="390"/>
      <c r="CCK5" s="390"/>
      <c r="CCL5" s="390"/>
      <c r="CCM5" s="390"/>
      <c r="CCN5" s="390"/>
      <c r="CCO5" s="390"/>
      <c r="CCP5" s="390"/>
      <c r="CCQ5" s="390"/>
      <c r="CCR5" s="390"/>
      <c r="CCS5" s="390"/>
      <c r="CCT5" s="390"/>
      <c r="CCU5" s="390"/>
      <c r="CCV5" s="390"/>
      <c r="CCW5" s="390"/>
      <c r="CCX5" s="390"/>
      <c r="CCY5" s="390"/>
      <c r="CCZ5" s="390"/>
      <c r="CDA5" s="390"/>
      <c r="CDB5" s="390"/>
      <c r="CDC5" s="390"/>
      <c r="CDD5" s="390"/>
      <c r="CDE5" s="390"/>
      <c r="CDF5" s="390"/>
      <c r="CDG5" s="390"/>
      <c r="CDH5" s="390"/>
      <c r="CDI5" s="390"/>
      <c r="CDJ5" s="390"/>
      <c r="CDK5" s="390"/>
      <c r="CDL5" s="390"/>
      <c r="CDM5" s="390"/>
      <c r="CDN5" s="390"/>
      <c r="CDO5" s="390"/>
      <c r="CDP5" s="390"/>
      <c r="CDQ5" s="390"/>
      <c r="CDR5" s="390"/>
      <c r="CDS5" s="390"/>
      <c r="CDT5" s="390"/>
      <c r="CDU5" s="390"/>
      <c r="CDV5" s="390"/>
      <c r="CDW5" s="390"/>
      <c r="CDX5" s="390"/>
      <c r="CDY5" s="390"/>
      <c r="CDZ5" s="390"/>
      <c r="CEA5" s="390"/>
      <c r="CEB5" s="390"/>
      <c r="CEC5" s="390"/>
      <c r="CED5" s="390"/>
      <c r="CEE5" s="390"/>
      <c r="CEF5" s="390"/>
      <c r="CEG5" s="390"/>
      <c r="CEH5" s="390"/>
      <c r="CEI5" s="390"/>
      <c r="CEJ5" s="390"/>
      <c r="CEK5" s="390"/>
      <c r="CEL5" s="390"/>
      <c r="CEM5" s="390"/>
      <c r="CEN5" s="390"/>
      <c r="CEO5" s="390"/>
      <c r="CEP5" s="390"/>
      <c r="CEQ5" s="390"/>
      <c r="CER5" s="390"/>
      <c r="CES5" s="390"/>
      <c r="CET5" s="390"/>
      <c r="CEU5" s="390"/>
      <c r="CEV5" s="390"/>
      <c r="CEW5" s="390"/>
      <c r="CEX5" s="390"/>
      <c r="CEY5" s="390"/>
      <c r="CEZ5" s="390"/>
      <c r="CFA5" s="390"/>
      <c r="CFB5" s="390"/>
      <c r="CFC5" s="390"/>
      <c r="CFD5" s="390"/>
      <c r="CFE5" s="390"/>
      <c r="CFF5" s="390"/>
      <c r="CFG5" s="390"/>
      <c r="CFH5" s="390"/>
      <c r="CFI5" s="390"/>
      <c r="CFJ5" s="390"/>
      <c r="CFK5" s="390"/>
      <c r="CFL5" s="390"/>
      <c r="CFM5" s="390"/>
      <c r="CFN5" s="390"/>
      <c r="CFO5" s="390"/>
      <c r="CFP5" s="390"/>
      <c r="CFQ5" s="390"/>
      <c r="CFR5" s="390"/>
      <c r="CFS5" s="390"/>
      <c r="CFT5" s="390"/>
      <c r="CFU5" s="390"/>
      <c r="CFV5" s="390"/>
      <c r="CFW5" s="390"/>
      <c r="CFX5" s="390"/>
      <c r="CFY5" s="390"/>
      <c r="CFZ5" s="390"/>
      <c r="CGA5" s="390"/>
      <c r="CGB5" s="390"/>
      <c r="CGC5" s="390"/>
      <c r="CGD5" s="390"/>
      <c r="CGE5" s="390"/>
      <c r="CGF5" s="390"/>
      <c r="CGG5" s="390"/>
      <c r="CGH5" s="390"/>
      <c r="CGI5" s="390"/>
      <c r="CGJ5" s="390"/>
      <c r="CGK5" s="390"/>
      <c r="CGL5" s="390"/>
      <c r="CGM5" s="390"/>
      <c r="CGN5" s="390"/>
      <c r="CGO5" s="390"/>
      <c r="CGP5" s="390"/>
      <c r="CGQ5" s="390"/>
      <c r="CGR5" s="390"/>
      <c r="CGS5" s="390"/>
      <c r="CGT5" s="390"/>
      <c r="CGU5" s="390"/>
      <c r="CGV5" s="390"/>
      <c r="CGW5" s="390"/>
      <c r="CGX5" s="390"/>
      <c r="CGY5" s="390"/>
      <c r="CGZ5" s="390"/>
      <c r="CHA5" s="390"/>
      <c r="CHB5" s="390"/>
      <c r="CHC5" s="390"/>
      <c r="CHD5" s="390"/>
      <c r="CHE5" s="390"/>
      <c r="CHF5" s="390"/>
      <c r="CHG5" s="390"/>
      <c r="CHH5" s="390"/>
      <c r="CHI5" s="390"/>
      <c r="CHJ5" s="390"/>
      <c r="CHK5" s="390"/>
      <c r="CHL5" s="390"/>
      <c r="CHM5" s="390"/>
      <c r="CHN5" s="390"/>
      <c r="CHO5" s="390"/>
      <c r="CHP5" s="390"/>
      <c r="CHQ5" s="390"/>
      <c r="CHR5" s="390"/>
      <c r="CHS5" s="390"/>
      <c r="CHT5" s="390"/>
      <c r="CHU5" s="390"/>
      <c r="CHV5" s="390"/>
      <c r="CHW5" s="390"/>
      <c r="CHX5" s="390"/>
      <c r="CHY5" s="390"/>
      <c r="CHZ5" s="390"/>
      <c r="CIA5" s="390"/>
      <c r="CIB5" s="390"/>
      <c r="CIC5" s="390"/>
      <c r="CID5" s="390"/>
      <c r="CIE5" s="390"/>
      <c r="CIF5" s="390"/>
      <c r="CIG5" s="390"/>
      <c r="CIH5" s="390"/>
      <c r="CII5" s="390"/>
      <c r="CIJ5" s="390"/>
      <c r="CIK5" s="390"/>
      <c r="CIL5" s="390"/>
      <c r="CIM5" s="390"/>
      <c r="CIN5" s="390"/>
      <c r="CIO5" s="390"/>
      <c r="CIP5" s="390"/>
      <c r="CIQ5" s="390"/>
      <c r="CIR5" s="390"/>
      <c r="CIS5" s="390"/>
      <c r="CIT5" s="390"/>
      <c r="CIU5" s="390"/>
      <c r="CIV5" s="390"/>
      <c r="CIW5" s="390"/>
      <c r="CIX5" s="390"/>
      <c r="CIY5" s="390"/>
      <c r="CIZ5" s="390"/>
      <c r="CJA5" s="390"/>
      <c r="CJB5" s="390"/>
      <c r="CJC5" s="390"/>
      <c r="CJD5" s="390"/>
      <c r="CJE5" s="390"/>
      <c r="CJF5" s="390"/>
      <c r="CJG5" s="390"/>
      <c r="CJH5" s="390"/>
      <c r="CJI5" s="390"/>
      <c r="CJJ5" s="390"/>
      <c r="CJK5" s="390"/>
      <c r="CJL5" s="390"/>
      <c r="CJM5" s="390"/>
      <c r="CJN5" s="390"/>
      <c r="CJO5" s="390"/>
      <c r="CJP5" s="390"/>
      <c r="CJQ5" s="390"/>
      <c r="CJR5" s="390"/>
      <c r="CJS5" s="390"/>
      <c r="CJT5" s="390"/>
      <c r="CJU5" s="390"/>
      <c r="CJV5" s="390"/>
      <c r="CJW5" s="390"/>
      <c r="CJX5" s="390"/>
      <c r="CJY5" s="390"/>
      <c r="CJZ5" s="390"/>
      <c r="CKA5" s="390"/>
      <c r="CKB5" s="390"/>
      <c r="CKC5" s="390"/>
      <c r="CKD5" s="390"/>
      <c r="CKE5" s="390"/>
      <c r="CKF5" s="390"/>
      <c r="CKG5" s="390"/>
      <c r="CKH5" s="390"/>
      <c r="CKI5" s="390"/>
      <c r="CKJ5" s="390"/>
      <c r="CKK5" s="390"/>
      <c r="CKL5" s="390"/>
      <c r="CKM5" s="390"/>
      <c r="CKN5" s="390"/>
      <c r="CKO5" s="390"/>
      <c r="CKP5" s="390"/>
      <c r="CKQ5" s="390"/>
      <c r="CKR5" s="390"/>
      <c r="CKS5" s="390"/>
      <c r="CKT5" s="390"/>
      <c r="CKU5" s="390"/>
      <c r="CKV5" s="390"/>
      <c r="CKW5" s="390"/>
      <c r="CKX5" s="390"/>
      <c r="CKY5" s="390"/>
      <c r="CKZ5" s="390"/>
      <c r="CLA5" s="390"/>
      <c r="CLB5" s="390"/>
      <c r="CLC5" s="390"/>
      <c r="CLD5" s="390"/>
      <c r="CLE5" s="390"/>
      <c r="CLF5" s="390"/>
      <c r="CLG5" s="390"/>
      <c r="CLH5" s="390"/>
      <c r="CLI5" s="390"/>
      <c r="CLJ5" s="390"/>
      <c r="CLK5" s="390"/>
      <c r="CLL5" s="390"/>
      <c r="CLM5" s="390"/>
      <c r="CLN5" s="390"/>
      <c r="CLO5" s="390"/>
      <c r="CLP5" s="390"/>
      <c r="CLQ5" s="390"/>
      <c r="CLR5" s="390"/>
      <c r="CLS5" s="390"/>
      <c r="CLT5" s="390"/>
      <c r="CLU5" s="390"/>
      <c r="CLV5" s="390"/>
      <c r="CLW5" s="390"/>
      <c r="CLX5" s="390"/>
      <c r="CLY5" s="390"/>
      <c r="CLZ5" s="390"/>
      <c r="CMA5" s="390"/>
      <c r="CMB5" s="390"/>
      <c r="CMC5" s="390"/>
      <c r="CMD5" s="390"/>
      <c r="CME5" s="390"/>
      <c r="CMF5" s="390"/>
      <c r="CMG5" s="390"/>
      <c r="CMH5" s="390"/>
      <c r="CMI5" s="390"/>
      <c r="CMJ5" s="390"/>
      <c r="CMK5" s="390"/>
      <c r="CML5" s="390"/>
      <c r="CMM5" s="390"/>
      <c r="CMN5" s="390"/>
      <c r="CMO5" s="390"/>
      <c r="CMP5" s="390"/>
      <c r="CMQ5" s="390"/>
      <c r="CMR5" s="390"/>
      <c r="CMS5" s="390"/>
      <c r="CMT5" s="390"/>
      <c r="CMU5" s="390"/>
      <c r="CMV5" s="390"/>
      <c r="CMW5" s="390"/>
      <c r="CMX5" s="390"/>
      <c r="CMY5" s="390"/>
      <c r="CMZ5" s="390"/>
      <c r="CNA5" s="390"/>
      <c r="CNB5" s="390"/>
      <c r="CNC5" s="390"/>
      <c r="CND5" s="390"/>
      <c r="CNE5" s="390"/>
      <c r="CNF5" s="390"/>
      <c r="CNG5" s="390"/>
      <c r="CNH5" s="390"/>
      <c r="CNI5" s="390"/>
      <c r="CNJ5" s="390"/>
      <c r="CNK5" s="390"/>
      <c r="CNL5" s="390"/>
      <c r="CNM5" s="390"/>
      <c r="CNN5" s="390"/>
      <c r="CNO5" s="390"/>
      <c r="CNP5" s="390"/>
      <c r="CNQ5" s="390"/>
      <c r="CNR5" s="390"/>
      <c r="CNS5" s="390"/>
      <c r="CNT5" s="390"/>
      <c r="CNU5" s="390"/>
      <c r="CNV5" s="390"/>
      <c r="CNW5" s="390"/>
      <c r="CNX5" s="390"/>
      <c r="CNY5" s="390"/>
      <c r="CNZ5" s="390"/>
      <c r="COA5" s="390"/>
      <c r="COB5" s="390"/>
      <c r="COC5" s="390"/>
      <c r="COD5" s="390"/>
      <c r="COE5" s="390"/>
      <c r="COF5" s="390"/>
      <c r="COG5" s="390"/>
      <c r="COH5" s="390"/>
      <c r="COI5" s="390"/>
      <c r="COJ5" s="390"/>
      <c r="COK5" s="390"/>
      <c r="COL5" s="390"/>
      <c r="COM5" s="390"/>
      <c r="CON5" s="390"/>
      <c r="COO5" s="390"/>
      <c r="COP5" s="390"/>
      <c r="COQ5" s="390"/>
      <c r="COR5" s="390"/>
      <c r="COS5" s="390"/>
      <c r="COT5" s="390"/>
      <c r="COU5" s="390"/>
      <c r="COV5" s="390"/>
      <c r="COW5" s="390"/>
      <c r="COX5" s="390"/>
      <c r="COY5" s="390"/>
      <c r="COZ5" s="390"/>
      <c r="CPA5" s="390"/>
      <c r="CPB5" s="390"/>
      <c r="CPC5" s="390"/>
      <c r="CPD5" s="390"/>
      <c r="CPE5" s="390"/>
      <c r="CPF5" s="390"/>
      <c r="CPG5" s="390"/>
      <c r="CPH5" s="390"/>
      <c r="CPI5" s="390"/>
      <c r="CPJ5" s="390"/>
      <c r="CPK5" s="390"/>
      <c r="CPL5" s="390"/>
      <c r="CPM5" s="390"/>
      <c r="CPN5" s="390"/>
      <c r="CPO5" s="390"/>
      <c r="CPP5" s="390"/>
      <c r="CPQ5" s="390"/>
      <c r="CPR5" s="390"/>
      <c r="CPS5" s="390"/>
      <c r="CPT5" s="390"/>
      <c r="CPU5" s="390"/>
      <c r="CPV5" s="390"/>
      <c r="CPW5" s="390"/>
      <c r="CPX5" s="390"/>
      <c r="CPY5" s="390"/>
      <c r="CPZ5" s="390"/>
      <c r="CQA5" s="390"/>
      <c r="CQB5" s="390"/>
      <c r="CQC5" s="390"/>
      <c r="CQD5" s="390"/>
      <c r="CQE5" s="390"/>
      <c r="CQF5" s="390"/>
      <c r="CQG5" s="390"/>
      <c r="CQH5" s="390"/>
      <c r="CQI5" s="390"/>
      <c r="CQJ5" s="390"/>
      <c r="CQK5" s="390"/>
      <c r="CQL5" s="390"/>
      <c r="CQM5" s="390"/>
      <c r="CQN5" s="390"/>
      <c r="CQO5" s="390"/>
      <c r="CQP5" s="390"/>
      <c r="CQQ5" s="390"/>
      <c r="CQR5" s="390"/>
      <c r="CQS5" s="390"/>
      <c r="CQT5" s="390"/>
      <c r="CQU5" s="390"/>
      <c r="CQV5" s="390"/>
      <c r="CQW5" s="390"/>
      <c r="CQX5" s="390"/>
      <c r="CQY5" s="390"/>
      <c r="CQZ5" s="390"/>
      <c r="CRA5" s="390"/>
      <c r="CRB5" s="390"/>
      <c r="CRC5" s="390"/>
      <c r="CRD5" s="390"/>
      <c r="CRE5" s="390"/>
      <c r="CRF5" s="390"/>
      <c r="CRG5" s="390"/>
      <c r="CRH5" s="390"/>
      <c r="CRI5" s="390"/>
      <c r="CRJ5" s="390"/>
      <c r="CRK5" s="390"/>
      <c r="CRL5" s="390"/>
      <c r="CRM5" s="390"/>
      <c r="CRN5" s="390"/>
      <c r="CRO5" s="390"/>
      <c r="CRP5" s="390"/>
      <c r="CRQ5" s="390"/>
      <c r="CRR5" s="390"/>
      <c r="CRS5" s="390"/>
      <c r="CRT5" s="390"/>
      <c r="CRU5" s="390"/>
      <c r="CRV5" s="390"/>
      <c r="CRW5" s="390"/>
      <c r="CRX5" s="390"/>
      <c r="CRY5" s="390"/>
      <c r="CRZ5" s="390"/>
      <c r="CSA5" s="390"/>
      <c r="CSB5" s="390"/>
      <c r="CSC5" s="390"/>
      <c r="CSD5" s="390"/>
      <c r="CSE5" s="390"/>
      <c r="CSF5" s="390"/>
      <c r="CSG5" s="390"/>
      <c r="CSH5" s="390"/>
      <c r="CSI5" s="390"/>
      <c r="CSJ5" s="390"/>
      <c r="CSK5" s="390"/>
      <c r="CSL5" s="390"/>
      <c r="CSM5" s="390"/>
      <c r="CSN5" s="390"/>
      <c r="CSO5" s="390"/>
      <c r="CSP5" s="390"/>
      <c r="CSQ5" s="390"/>
      <c r="CSR5" s="390"/>
      <c r="CSS5" s="390"/>
      <c r="CST5" s="390"/>
      <c r="CSU5" s="390"/>
      <c r="CSV5" s="390"/>
      <c r="CSW5" s="390"/>
      <c r="CSX5" s="390"/>
      <c r="CSY5" s="390"/>
      <c r="CSZ5" s="390"/>
      <c r="CTA5" s="390"/>
      <c r="CTB5" s="390"/>
      <c r="CTC5" s="390"/>
      <c r="CTD5" s="390"/>
      <c r="CTE5" s="390"/>
      <c r="CTF5" s="390"/>
      <c r="CTG5" s="390"/>
      <c r="CTH5" s="390"/>
      <c r="CTI5" s="390"/>
      <c r="CTJ5" s="390"/>
      <c r="CTK5" s="390"/>
      <c r="CTL5" s="390"/>
      <c r="CTM5" s="390"/>
      <c r="CTN5" s="390"/>
      <c r="CTO5" s="390"/>
      <c r="CTP5" s="390"/>
      <c r="CTQ5" s="390"/>
      <c r="CTR5" s="390"/>
      <c r="CTS5" s="390"/>
      <c r="CTT5" s="390"/>
      <c r="CTU5" s="390"/>
      <c r="CTV5" s="390"/>
      <c r="CTW5" s="390"/>
      <c r="CTX5" s="390"/>
      <c r="CTY5" s="390"/>
      <c r="CTZ5" s="390"/>
      <c r="CUA5" s="390"/>
      <c r="CUB5" s="390"/>
      <c r="CUC5" s="390"/>
      <c r="CUD5" s="390"/>
      <c r="CUE5" s="390"/>
      <c r="CUF5" s="390"/>
      <c r="CUG5" s="390"/>
      <c r="CUH5" s="390"/>
      <c r="CUI5" s="390"/>
      <c r="CUJ5" s="390"/>
      <c r="CUK5" s="390"/>
      <c r="CUL5" s="390"/>
      <c r="CUM5" s="390"/>
      <c r="CUN5" s="390"/>
      <c r="CUO5" s="390"/>
      <c r="CUP5" s="390"/>
      <c r="CUQ5" s="390"/>
      <c r="CUR5" s="390"/>
      <c r="CUS5" s="390"/>
      <c r="CUT5" s="390"/>
      <c r="CUU5" s="390"/>
      <c r="CUV5" s="390"/>
      <c r="CUW5" s="390"/>
      <c r="CUX5" s="390"/>
      <c r="CUY5" s="390"/>
      <c r="CUZ5" s="390"/>
      <c r="CVA5" s="390"/>
      <c r="CVB5" s="390"/>
      <c r="CVC5" s="390"/>
      <c r="CVD5" s="390"/>
      <c r="CVE5" s="390"/>
      <c r="CVF5" s="390"/>
      <c r="CVG5" s="390"/>
      <c r="CVH5" s="390"/>
      <c r="CVI5" s="390"/>
      <c r="CVJ5" s="390"/>
      <c r="CVK5" s="390"/>
      <c r="CVL5" s="390"/>
      <c r="CVM5" s="390"/>
      <c r="CVN5" s="390"/>
      <c r="CVO5" s="390"/>
      <c r="CVP5" s="390"/>
      <c r="CVQ5" s="390"/>
      <c r="CVR5" s="390"/>
      <c r="CVS5" s="390"/>
      <c r="CVT5" s="390"/>
      <c r="CVU5" s="390"/>
      <c r="CVV5" s="390"/>
      <c r="CVW5" s="390"/>
      <c r="CVX5" s="390"/>
      <c r="CVY5" s="390"/>
      <c r="CVZ5" s="390"/>
      <c r="CWA5" s="390"/>
      <c r="CWB5" s="390"/>
      <c r="CWC5" s="390"/>
      <c r="CWD5" s="390"/>
      <c r="CWE5" s="390"/>
      <c r="CWF5" s="390"/>
      <c r="CWG5" s="390"/>
      <c r="CWH5" s="390"/>
      <c r="CWI5" s="390"/>
      <c r="CWJ5" s="390"/>
      <c r="CWK5" s="390"/>
      <c r="CWL5" s="390"/>
      <c r="CWM5" s="390"/>
      <c r="CWN5" s="390"/>
      <c r="CWO5" s="390"/>
      <c r="CWP5" s="390"/>
      <c r="CWQ5" s="390"/>
      <c r="CWR5" s="390"/>
      <c r="CWS5" s="390"/>
      <c r="CWT5" s="390"/>
      <c r="CWU5" s="390"/>
      <c r="CWV5" s="390"/>
      <c r="CWW5" s="390"/>
      <c r="CWX5" s="390"/>
      <c r="CWY5" s="390"/>
      <c r="CWZ5" s="390"/>
      <c r="CXA5" s="390"/>
      <c r="CXB5" s="390"/>
      <c r="CXC5" s="390"/>
      <c r="CXD5" s="390"/>
      <c r="CXE5" s="390"/>
      <c r="CXF5" s="390"/>
      <c r="CXG5" s="390"/>
      <c r="CXH5" s="390"/>
      <c r="CXI5" s="390"/>
      <c r="CXJ5" s="390"/>
      <c r="CXK5" s="390"/>
      <c r="CXL5" s="390"/>
      <c r="CXM5" s="390"/>
      <c r="CXN5" s="390"/>
      <c r="CXO5" s="390"/>
      <c r="CXP5" s="390"/>
      <c r="CXQ5" s="390"/>
      <c r="CXR5" s="390"/>
      <c r="CXS5" s="390"/>
      <c r="CXT5" s="390"/>
      <c r="CXU5" s="390"/>
      <c r="CXV5" s="390"/>
      <c r="CXW5" s="390"/>
      <c r="CXX5" s="390"/>
      <c r="CXY5" s="390"/>
      <c r="CXZ5" s="390"/>
      <c r="CYA5" s="390"/>
      <c r="CYB5" s="390"/>
      <c r="CYC5" s="390"/>
      <c r="CYD5" s="390"/>
      <c r="CYE5" s="390"/>
      <c r="CYF5" s="390"/>
      <c r="CYG5" s="390"/>
      <c r="CYH5" s="390"/>
      <c r="CYI5" s="390"/>
      <c r="CYJ5" s="390"/>
      <c r="CYK5" s="390"/>
      <c r="CYL5" s="390"/>
      <c r="CYM5" s="390"/>
      <c r="CYN5" s="390"/>
      <c r="CYO5" s="390"/>
      <c r="CYP5" s="390"/>
      <c r="CYQ5" s="390"/>
      <c r="CYR5" s="390"/>
      <c r="CYS5" s="390"/>
      <c r="CYT5" s="390"/>
      <c r="CYU5" s="390"/>
      <c r="CYV5" s="390"/>
      <c r="CYW5" s="390"/>
      <c r="CYX5" s="390"/>
      <c r="CYY5" s="390"/>
      <c r="CYZ5" s="390"/>
      <c r="CZA5" s="390"/>
      <c r="CZB5" s="390"/>
      <c r="CZC5" s="390"/>
      <c r="CZD5" s="390"/>
      <c r="CZE5" s="390"/>
      <c r="CZF5" s="390"/>
      <c r="CZG5" s="390"/>
      <c r="CZH5" s="390"/>
      <c r="CZI5" s="390"/>
      <c r="CZJ5" s="390"/>
      <c r="CZK5" s="390"/>
      <c r="CZL5" s="390"/>
      <c r="CZM5" s="390"/>
      <c r="CZN5" s="390"/>
      <c r="CZO5" s="390"/>
      <c r="CZP5" s="390"/>
      <c r="CZQ5" s="390"/>
      <c r="CZR5" s="390"/>
      <c r="CZS5" s="390"/>
      <c r="CZT5" s="390"/>
      <c r="CZU5" s="390"/>
      <c r="CZV5" s="390"/>
      <c r="CZW5" s="390"/>
      <c r="CZX5" s="390"/>
      <c r="CZY5" s="390"/>
      <c r="CZZ5" s="390"/>
      <c r="DAA5" s="390"/>
      <c r="DAB5" s="390"/>
      <c r="DAC5" s="390"/>
      <c r="DAD5" s="390"/>
      <c r="DAE5" s="390"/>
      <c r="DAF5" s="390"/>
      <c r="DAG5" s="390"/>
      <c r="DAH5" s="390"/>
      <c r="DAI5" s="390"/>
      <c r="DAJ5" s="390"/>
      <c r="DAK5" s="390"/>
      <c r="DAL5" s="390"/>
      <c r="DAM5" s="390"/>
      <c r="DAN5" s="390"/>
      <c r="DAO5" s="390"/>
      <c r="DAP5" s="390"/>
      <c r="DAQ5" s="390"/>
      <c r="DAR5" s="390"/>
      <c r="DAS5" s="390"/>
      <c r="DAT5" s="390"/>
      <c r="DAU5" s="390"/>
      <c r="DAV5" s="390"/>
      <c r="DAW5" s="390"/>
      <c r="DAX5" s="390"/>
      <c r="DAY5" s="390"/>
      <c r="DAZ5" s="390"/>
      <c r="DBA5" s="390"/>
      <c r="DBB5" s="390"/>
      <c r="DBC5" s="390"/>
      <c r="DBD5" s="390"/>
      <c r="DBE5" s="390"/>
      <c r="DBF5" s="390"/>
      <c r="DBG5" s="390"/>
      <c r="DBH5" s="390"/>
      <c r="DBI5" s="390"/>
      <c r="DBJ5" s="390"/>
      <c r="DBK5" s="390"/>
      <c r="DBL5" s="390"/>
      <c r="DBM5" s="390"/>
      <c r="DBN5" s="390"/>
      <c r="DBO5" s="390"/>
      <c r="DBP5" s="390"/>
      <c r="DBQ5" s="390"/>
      <c r="DBR5" s="390"/>
      <c r="DBS5" s="390"/>
      <c r="DBT5" s="390"/>
      <c r="DBU5" s="390"/>
      <c r="DBV5" s="390"/>
      <c r="DBW5" s="390"/>
      <c r="DBX5" s="390"/>
      <c r="DBY5" s="390"/>
      <c r="DBZ5" s="390"/>
      <c r="DCA5" s="390"/>
      <c r="DCB5" s="390"/>
      <c r="DCC5" s="390"/>
      <c r="DCD5" s="390"/>
      <c r="DCE5" s="390"/>
      <c r="DCF5" s="390"/>
      <c r="DCG5" s="390"/>
      <c r="DCH5" s="390"/>
      <c r="DCI5" s="390"/>
      <c r="DCJ5" s="390"/>
      <c r="DCK5" s="390"/>
      <c r="DCL5" s="390"/>
      <c r="DCM5" s="390"/>
      <c r="DCN5" s="390"/>
      <c r="DCO5" s="390"/>
      <c r="DCP5" s="390"/>
      <c r="DCQ5" s="390"/>
      <c r="DCR5" s="390"/>
      <c r="DCS5" s="390"/>
      <c r="DCT5" s="390"/>
      <c r="DCU5" s="390"/>
      <c r="DCV5" s="390"/>
      <c r="DCW5" s="390"/>
      <c r="DCX5" s="390"/>
      <c r="DCY5" s="390"/>
      <c r="DCZ5" s="390"/>
      <c r="DDA5" s="390"/>
      <c r="DDB5" s="390"/>
      <c r="DDC5" s="390"/>
      <c r="DDD5" s="390"/>
      <c r="DDE5" s="390"/>
      <c r="DDF5" s="390"/>
      <c r="DDG5" s="390"/>
      <c r="DDH5" s="390"/>
      <c r="DDI5" s="390"/>
      <c r="DDJ5" s="390"/>
      <c r="DDK5" s="390"/>
      <c r="DDL5" s="390"/>
      <c r="DDM5" s="390"/>
      <c r="DDN5" s="390"/>
      <c r="DDO5" s="390"/>
      <c r="DDP5" s="390"/>
      <c r="DDQ5" s="390"/>
      <c r="DDR5" s="390"/>
      <c r="DDS5" s="390"/>
      <c r="DDT5" s="390"/>
      <c r="DDU5" s="390"/>
      <c r="DDV5" s="390"/>
      <c r="DDW5" s="390"/>
      <c r="DDX5" s="390"/>
      <c r="DDY5" s="390"/>
      <c r="DDZ5" s="390"/>
      <c r="DEA5" s="390"/>
      <c r="DEB5" s="390"/>
      <c r="DEC5" s="390"/>
      <c r="DED5" s="390"/>
      <c r="DEE5" s="390"/>
      <c r="DEF5" s="390"/>
      <c r="DEG5" s="390"/>
      <c r="DEH5" s="390"/>
      <c r="DEI5" s="390"/>
      <c r="DEJ5" s="390"/>
      <c r="DEK5" s="390"/>
      <c r="DEL5" s="390"/>
      <c r="DEM5" s="390"/>
      <c r="DEN5" s="390"/>
      <c r="DEO5" s="390"/>
      <c r="DEP5" s="390"/>
      <c r="DEQ5" s="390"/>
      <c r="DER5" s="390"/>
      <c r="DES5" s="390"/>
      <c r="DET5" s="390"/>
      <c r="DEU5" s="390"/>
      <c r="DEV5" s="390"/>
      <c r="DEW5" s="390"/>
      <c r="DEX5" s="390"/>
      <c r="DEY5" s="390"/>
      <c r="DEZ5" s="390"/>
      <c r="DFA5" s="390"/>
      <c r="DFB5" s="390"/>
      <c r="DFC5" s="390"/>
      <c r="DFD5" s="390"/>
      <c r="DFE5" s="390"/>
      <c r="DFF5" s="390"/>
      <c r="DFG5" s="390"/>
      <c r="DFH5" s="390"/>
      <c r="DFI5" s="390"/>
      <c r="DFJ5" s="390"/>
      <c r="DFK5" s="390"/>
      <c r="DFL5" s="390"/>
      <c r="DFM5" s="390"/>
      <c r="DFN5" s="390"/>
      <c r="DFO5" s="390"/>
      <c r="DFP5" s="390"/>
      <c r="DFQ5" s="390"/>
      <c r="DFR5" s="390"/>
      <c r="DFS5" s="390"/>
      <c r="DFT5" s="390"/>
      <c r="DFU5" s="390"/>
      <c r="DFV5" s="390"/>
      <c r="DFW5" s="390"/>
      <c r="DFX5" s="390"/>
      <c r="DFY5" s="390"/>
      <c r="DFZ5" s="390"/>
      <c r="DGA5" s="390"/>
      <c r="DGB5" s="390"/>
      <c r="DGC5" s="390"/>
      <c r="DGD5" s="390"/>
      <c r="DGE5" s="390"/>
      <c r="DGF5" s="390"/>
      <c r="DGG5" s="390"/>
      <c r="DGH5" s="390"/>
      <c r="DGI5" s="390"/>
      <c r="DGJ5" s="390"/>
      <c r="DGK5" s="390"/>
      <c r="DGL5" s="390"/>
      <c r="DGM5" s="390"/>
      <c r="DGN5" s="390"/>
      <c r="DGO5" s="390"/>
      <c r="DGP5" s="390"/>
      <c r="DGQ5" s="390"/>
      <c r="DGR5" s="390"/>
      <c r="DGS5" s="390"/>
      <c r="DGT5" s="390"/>
      <c r="DGU5" s="390"/>
      <c r="DGV5" s="390"/>
      <c r="DGW5" s="390"/>
      <c r="DGX5" s="390"/>
      <c r="DGY5" s="390"/>
      <c r="DGZ5" s="390"/>
      <c r="DHA5" s="390"/>
      <c r="DHB5" s="390"/>
      <c r="DHC5" s="390"/>
      <c r="DHD5" s="390"/>
      <c r="DHE5" s="390"/>
      <c r="DHF5" s="390"/>
      <c r="DHG5" s="390"/>
      <c r="DHH5" s="390"/>
      <c r="DHI5" s="390"/>
      <c r="DHJ5" s="390"/>
      <c r="DHK5" s="390"/>
      <c r="DHL5" s="390"/>
      <c r="DHM5" s="390"/>
      <c r="DHN5" s="390"/>
      <c r="DHO5" s="390"/>
      <c r="DHP5" s="390"/>
      <c r="DHQ5" s="390"/>
      <c r="DHR5" s="390"/>
      <c r="DHS5" s="390"/>
      <c r="DHT5" s="390"/>
      <c r="DHU5" s="390"/>
      <c r="DHV5" s="390"/>
      <c r="DHW5" s="390"/>
      <c r="DHX5" s="390"/>
      <c r="DHY5" s="390"/>
      <c r="DHZ5" s="390"/>
      <c r="DIA5" s="390"/>
      <c r="DIB5" s="390"/>
      <c r="DIC5" s="390"/>
      <c r="DID5" s="390"/>
      <c r="DIE5" s="390"/>
      <c r="DIF5" s="390"/>
      <c r="DIG5" s="390"/>
      <c r="DIH5" s="390"/>
      <c r="DII5" s="390"/>
      <c r="DIJ5" s="390"/>
      <c r="DIK5" s="390"/>
      <c r="DIL5" s="390"/>
      <c r="DIM5" s="390"/>
      <c r="DIN5" s="390"/>
      <c r="DIO5" s="390"/>
      <c r="DIP5" s="390"/>
      <c r="DIQ5" s="390"/>
      <c r="DIR5" s="390"/>
      <c r="DIS5" s="390"/>
      <c r="DIT5" s="390"/>
      <c r="DIU5" s="390"/>
      <c r="DIV5" s="390"/>
      <c r="DIW5" s="390"/>
      <c r="DIX5" s="390"/>
      <c r="DIY5" s="390"/>
      <c r="DIZ5" s="390"/>
      <c r="DJA5" s="390"/>
      <c r="DJB5" s="390"/>
      <c r="DJC5" s="390"/>
      <c r="DJD5" s="390"/>
      <c r="DJE5" s="390"/>
      <c r="DJF5" s="390"/>
      <c r="DJG5" s="390"/>
      <c r="DJH5" s="390"/>
      <c r="DJI5" s="390"/>
      <c r="DJJ5" s="390"/>
      <c r="DJK5" s="390"/>
      <c r="DJL5" s="390"/>
      <c r="DJM5" s="390"/>
      <c r="DJN5" s="390"/>
      <c r="DJO5" s="390"/>
      <c r="DJP5" s="390"/>
      <c r="DJQ5" s="390"/>
      <c r="DJR5" s="390"/>
      <c r="DJS5" s="390"/>
      <c r="DJT5" s="390"/>
      <c r="DJU5" s="390"/>
      <c r="DJV5" s="390"/>
      <c r="DJW5" s="390"/>
      <c r="DJX5" s="390"/>
      <c r="DJY5" s="390"/>
      <c r="DJZ5" s="390"/>
      <c r="DKA5" s="390"/>
      <c r="DKB5" s="390"/>
      <c r="DKC5" s="390"/>
      <c r="DKD5" s="390"/>
      <c r="DKE5" s="390"/>
      <c r="DKF5" s="390"/>
      <c r="DKG5" s="390"/>
      <c r="DKH5" s="390"/>
      <c r="DKI5" s="390"/>
      <c r="DKJ5" s="390"/>
      <c r="DKK5" s="390"/>
      <c r="DKL5" s="390"/>
      <c r="DKM5" s="390"/>
      <c r="DKN5" s="390"/>
      <c r="DKO5" s="390"/>
      <c r="DKP5" s="390"/>
      <c r="DKQ5" s="390"/>
      <c r="DKR5" s="390"/>
      <c r="DKS5" s="390"/>
      <c r="DKT5" s="390"/>
      <c r="DKU5" s="390"/>
      <c r="DKV5" s="390"/>
      <c r="DKW5" s="390"/>
      <c r="DKX5" s="390"/>
      <c r="DKY5" s="390"/>
      <c r="DKZ5" s="390"/>
      <c r="DLA5" s="390"/>
      <c r="DLB5" s="390"/>
      <c r="DLC5" s="390"/>
      <c r="DLD5" s="390"/>
      <c r="DLE5" s="390"/>
      <c r="DLF5" s="390"/>
      <c r="DLG5" s="390"/>
      <c r="DLH5" s="390"/>
      <c r="DLI5" s="390"/>
      <c r="DLJ5" s="390"/>
      <c r="DLK5" s="390"/>
      <c r="DLL5" s="390"/>
      <c r="DLM5" s="390"/>
      <c r="DLN5" s="390"/>
      <c r="DLO5" s="390"/>
      <c r="DLP5" s="390"/>
      <c r="DLQ5" s="390"/>
      <c r="DLR5" s="390"/>
      <c r="DLS5" s="390"/>
      <c r="DLT5" s="390"/>
      <c r="DLU5" s="390"/>
      <c r="DLV5" s="390"/>
      <c r="DLW5" s="390"/>
      <c r="DLX5" s="390"/>
      <c r="DLY5" s="390"/>
      <c r="DLZ5" s="390"/>
      <c r="DMA5" s="390"/>
      <c r="DMB5" s="390"/>
      <c r="DMC5" s="390"/>
      <c r="DMD5" s="390"/>
      <c r="DME5" s="390"/>
      <c r="DMF5" s="390"/>
      <c r="DMG5" s="390"/>
      <c r="DMH5" s="390"/>
      <c r="DMI5" s="390"/>
      <c r="DMJ5" s="390"/>
      <c r="DMK5" s="390"/>
      <c r="DML5" s="390"/>
      <c r="DMM5" s="390"/>
      <c r="DMN5" s="390"/>
      <c r="DMO5" s="390"/>
      <c r="DMP5" s="390"/>
      <c r="DMQ5" s="390"/>
      <c r="DMR5" s="390"/>
      <c r="DMS5" s="390"/>
      <c r="DMT5" s="390"/>
      <c r="DMU5" s="390"/>
      <c r="DMV5" s="390"/>
      <c r="DMW5" s="390"/>
      <c r="DMX5" s="390"/>
      <c r="DMY5" s="390"/>
      <c r="DMZ5" s="390"/>
      <c r="DNA5" s="390"/>
      <c r="DNB5" s="390"/>
      <c r="DNC5" s="390"/>
      <c r="DND5" s="390"/>
      <c r="DNE5" s="390"/>
      <c r="DNF5" s="390"/>
      <c r="DNG5" s="390"/>
      <c r="DNH5" s="390"/>
      <c r="DNI5" s="390"/>
      <c r="DNJ5" s="390"/>
      <c r="DNK5" s="390"/>
      <c r="DNL5" s="390"/>
      <c r="DNM5" s="390"/>
      <c r="DNN5" s="390"/>
      <c r="DNO5" s="390"/>
      <c r="DNP5" s="390"/>
      <c r="DNQ5" s="390"/>
      <c r="DNR5" s="390"/>
      <c r="DNS5" s="390"/>
      <c r="DNT5" s="390"/>
      <c r="DNU5" s="390"/>
      <c r="DNV5" s="390"/>
      <c r="DNW5" s="390"/>
      <c r="DNX5" s="390"/>
      <c r="DNY5" s="390"/>
      <c r="DNZ5" s="390"/>
      <c r="DOA5" s="390"/>
      <c r="DOB5" s="390"/>
      <c r="DOC5" s="390"/>
      <c r="DOD5" s="390"/>
      <c r="DOE5" s="390"/>
      <c r="DOF5" s="390"/>
      <c r="DOG5" s="390"/>
      <c r="DOH5" s="390"/>
      <c r="DOI5" s="390"/>
      <c r="DOJ5" s="390"/>
      <c r="DOK5" s="390"/>
      <c r="DOL5" s="390"/>
      <c r="DOM5" s="390"/>
      <c r="DON5" s="390"/>
      <c r="DOO5" s="390"/>
      <c r="DOP5" s="390"/>
      <c r="DOQ5" s="390"/>
      <c r="DOR5" s="390"/>
      <c r="DOS5" s="390"/>
      <c r="DOT5" s="390"/>
      <c r="DOU5" s="390"/>
      <c r="DOV5" s="390"/>
      <c r="DOW5" s="390"/>
      <c r="DOX5" s="390"/>
      <c r="DOY5" s="390"/>
      <c r="DOZ5" s="390"/>
      <c r="DPA5" s="390"/>
      <c r="DPB5" s="390"/>
      <c r="DPC5" s="390"/>
      <c r="DPD5" s="390"/>
      <c r="DPE5" s="390"/>
      <c r="DPF5" s="390"/>
      <c r="DPG5" s="390"/>
      <c r="DPH5" s="390"/>
      <c r="DPI5" s="390"/>
      <c r="DPJ5" s="390"/>
      <c r="DPK5" s="390"/>
      <c r="DPL5" s="390"/>
      <c r="DPM5" s="390"/>
      <c r="DPN5" s="390"/>
      <c r="DPO5" s="390"/>
      <c r="DPP5" s="390"/>
      <c r="DPQ5" s="390"/>
      <c r="DPR5" s="390"/>
      <c r="DPS5" s="390"/>
      <c r="DPT5" s="390"/>
      <c r="DPU5" s="390"/>
      <c r="DPV5" s="390"/>
      <c r="DPW5" s="390"/>
      <c r="DPX5" s="390"/>
      <c r="DPY5" s="390"/>
      <c r="DPZ5" s="390"/>
      <c r="DQA5" s="390"/>
      <c r="DQB5" s="390"/>
      <c r="DQC5" s="390"/>
      <c r="DQD5" s="390"/>
      <c r="DQE5" s="390"/>
      <c r="DQF5" s="390"/>
      <c r="DQG5" s="390"/>
      <c r="DQH5" s="390"/>
      <c r="DQI5" s="390"/>
      <c r="DQJ5" s="390"/>
      <c r="DQK5" s="390"/>
      <c r="DQL5" s="390"/>
      <c r="DQM5" s="390"/>
      <c r="DQN5" s="390"/>
      <c r="DQO5" s="390"/>
      <c r="DQP5" s="390"/>
      <c r="DQQ5" s="390"/>
      <c r="DQR5" s="390"/>
      <c r="DQS5" s="390"/>
      <c r="DQT5" s="390"/>
      <c r="DQU5" s="390"/>
      <c r="DQV5" s="390"/>
      <c r="DQW5" s="390"/>
      <c r="DQX5" s="390"/>
      <c r="DQY5" s="390"/>
      <c r="DQZ5" s="390"/>
      <c r="DRA5" s="390"/>
      <c r="DRB5" s="390"/>
      <c r="DRC5" s="390"/>
      <c r="DRD5" s="390"/>
      <c r="DRE5" s="390"/>
      <c r="DRF5" s="390"/>
      <c r="DRG5" s="390"/>
      <c r="DRH5" s="390"/>
      <c r="DRI5" s="390"/>
      <c r="DRJ5" s="390"/>
      <c r="DRK5" s="390"/>
      <c r="DRL5" s="390"/>
      <c r="DRM5" s="390"/>
      <c r="DRN5" s="390"/>
      <c r="DRO5" s="390"/>
      <c r="DRP5" s="390"/>
      <c r="DRQ5" s="390"/>
      <c r="DRR5" s="390"/>
      <c r="DRS5" s="390"/>
      <c r="DRT5" s="390"/>
      <c r="DRU5" s="390"/>
      <c r="DRV5" s="390"/>
      <c r="DRW5" s="390"/>
      <c r="DRX5" s="390"/>
      <c r="DRY5" s="390"/>
      <c r="DRZ5" s="390"/>
      <c r="DSA5" s="390"/>
      <c r="DSB5" s="390"/>
      <c r="DSC5" s="390"/>
      <c r="DSD5" s="390"/>
      <c r="DSE5" s="390"/>
      <c r="DSF5" s="390"/>
      <c r="DSG5" s="390"/>
      <c r="DSH5" s="390"/>
      <c r="DSI5" s="390"/>
      <c r="DSJ5" s="390"/>
      <c r="DSK5" s="390"/>
      <c r="DSL5" s="390"/>
      <c r="DSM5" s="390"/>
      <c r="DSN5" s="390"/>
      <c r="DSO5" s="390"/>
      <c r="DSP5" s="390"/>
      <c r="DSQ5" s="390"/>
      <c r="DSR5" s="390"/>
      <c r="DSS5" s="390"/>
      <c r="DST5" s="390"/>
      <c r="DSU5" s="390"/>
      <c r="DSV5" s="390"/>
      <c r="DSW5" s="390"/>
      <c r="DSX5" s="390"/>
      <c r="DSY5" s="390"/>
      <c r="DSZ5" s="390"/>
      <c r="DTA5" s="390"/>
      <c r="DTB5" s="390"/>
      <c r="DTC5" s="390"/>
      <c r="DTD5" s="390"/>
      <c r="DTE5" s="390"/>
      <c r="DTF5" s="390"/>
      <c r="DTG5" s="390"/>
      <c r="DTH5" s="390"/>
      <c r="DTI5" s="390"/>
      <c r="DTJ5" s="390"/>
      <c r="DTK5" s="390"/>
      <c r="DTL5" s="390"/>
      <c r="DTM5" s="390"/>
      <c r="DTN5" s="390"/>
      <c r="DTO5" s="390"/>
      <c r="DTP5" s="390"/>
      <c r="DTQ5" s="390"/>
      <c r="DTR5" s="390"/>
      <c r="DTS5" s="390"/>
      <c r="DTT5" s="390"/>
      <c r="DTU5" s="390"/>
      <c r="DTV5" s="390"/>
      <c r="DTW5" s="390"/>
      <c r="DTX5" s="390"/>
      <c r="DTY5" s="390"/>
      <c r="DTZ5" s="390"/>
      <c r="DUA5" s="390"/>
      <c r="DUB5" s="390"/>
      <c r="DUC5" s="390"/>
      <c r="DUD5" s="390"/>
      <c r="DUE5" s="390"/>
      <c r="DUF5" s="390"/>
      <c r="DUG5" s="390"/>
      <c r="DUH5" s="390"/>
      <c r="DUI5" s="390"/>
      <c r="DUJ5" s="390"/>
      <c r="DUK5" s="390"/>
      <c r="DUL5" s="390"/>
      <c r="DUM5" s="390"/>
      <c r="DUN5" s="390"/>
      <c r="DUO5" s="390"/>
      <c r="DUP5" s="390"/>
      <c r="DUQ5" s="390"/>
      <c r="DUR5" s="390"/>
      <c r="DUS5" s="390"/>
      <c r="DUT5" s="390"/>
      <c r="DUU5" s="390"/>
      <c r="DUV5" s="390"/>
      <c r="DUW5" s="390"/>
      <c r="DUX5" s="390"/>
      <c r="DUY5" s="390"/>
      <c r="DUZ5" s="390"/>
      <c r="DVA5" s="390"/>
      <c r="DVB5" s="390"/>
      <c r="DVC5" s="390"/>
      <c r="DVD5" s="390"/>
      <c r="DVE5" s="390"/>
      <c r="DVF5" s="390"/>
      <c r="DVG5" s="390"/>
      <c r="DVH5" s="390"/>
      <c r="DVI5" s="390"/>
      <c r="DVJ5" s="390"/>
      <c r="DVK5" s="390"/>
      <c r="DVL5" s="390"/>
      <c r="DVM5" s="390"/>
      <c r="DVN5" s="390"/>
      <c r="DVO5" s="390"/>
      <c r="DVP5" s="390"/>
      <c r="DVQ5" s="390"/>
      <c r="DVR5" s="390"/>
      <c r="DVS5" s="390"/>
      <c r="DVT5" s="390"/>
      <c r="DVU5" s="390"/>
      <c r="DVV5" s="390"/>
      <c r="DVW5" s="390"/>
      <c r="DVX5" s="390"/>
      <c r="DVY5" s="390"/>
      <c r="DVZ5" s="390"/>
      <c r="DWA5" s="390"/>
      <c r="DWB5" s="390"/>
      <c r="DWC5" s="390"/>
      <c r="DWD5" s="390"/>
      <c r="DWE5" s="390"/>
      <c r="DWF5" s="390"/>
      <c r="DWG5" s="390"/>
      <c r="DWH5" s="390"/>
      <c r="DWI5" s="390"/>
      <c r="DWJ5" s="390"/>
      <c r="DWK5" s="390"/>
      <c r="DWL5" s="390"/>
      <c r="DWM5" s="390"/>
      <c r="DWN5" s="390"/>
      <c r="DWO5" s="390"/>
      <c r="DWP5" s="390"/>
      <c r="DWQ5" s="390"/>
      <c r="DWR5" s="390"/>
      <c r="DWS5" s="390"/>
      <c r="DWT5" s="390"/>
      <c r="DWU5" s="390"/>
      <c r="DWV5" s="390"/>
      <c r="DWW5" s="390"/>
      <c r="DWX5" s="390"/>
      <c r="DWY5" s="390"/>
      <c r="DWZ5" s="390"/>
      <c r="DXA5" s="390"/>
      <c r="DXB5" s="390"/>
      <c r="DXC5" s="390"/>
      <c r="DXD5" s="390"/>
      <c r="DXE5" s="390"/>
      <c r="DXF5" s="390"/>
      <c r="DXG5" s="390"/>
      <c r="DXH5" s="390"/>
      <c r="DXI5" s="390"/>
      <c r="DXJ5" s="390"/>
      <c r="DXK5" s="390"/>
      <c r="DXL5" s="390"/>
      <c r="DXM5" s="390"/>
      <c r="DXN5" s="390"/>
      <c r="DXO5" s="390"/>
      <c r="DXP5" s="390"/>
      <c r="DXQ5" s="390"/>
      <c r="DXR5" s="390"/>
      <c r="DXS5" s="390"/>
      <c r="DXT5" s="390"/>
      <c r="DXU5" s="390"/>
      <c r="DXV5" s="390"/>
      <c r="DXW5" s="390"/>
      <c r="DXX5" s="390"/>
      <c r="DXY5" s="390"/>
      <c r="DXZ5" s="390"/>
      <c r="DYA5" s="390"/>
      <c r="DYB5" s="390"/>
      <c r="DYC5" s="390"/>
      <c r="DYD5" s="390"/>
      <c r="DYE5" s="390"/>
      <c r="DYF5" s="390"/>
      <c r="DYG5" s="390"/>
      <c r="DYH5" s="390"/>
      <c r="DYI5" s="390"/>
      <c r="DYJ5" s="390"/>
      <c r="DYK5" s="390"/>
      <c r="DYL5" s="390"/>
      <c r="DYM5" s="390"/>
      <c r="DYN5" s="390"/>
      <c r="DYO5" s="390"/>
      <c r="DYP5" s="390"/>
      <c r="DYQ5" s="390"/>
      <c r="DYR5" s="390"/>
      <c r="DYS5" s="390"/>
      <c r="DYT5" s="390"/>
      <c r="DYU5" s="390"/>
      <c r="DYV5" s="390"/>
      <c r="DYW5" s="390"/>
      <c r="DYX5" s="390"/>
      <c r="DYY5" s="390"/>
      <c r="DYZ5" s="390"/>
      <c r="DZA5" s="390"/>
      <c r="DZB5" s="390"/>
      <c r="DZC5" s="390"/>
      <c r="DZD5" s="390"/>
      <c r="DZE5" s="390"/>
      <c r="DZF5" s="390"/>
      <c r="DZG5" s="390"/>
      <c r="DZH5" s="390"/>
      <c r="DZI5" s="390"/>
      <c r="DZJ5" s="390"/>
      <c r="DZK5" s="390"/>
      <c r="DZL5" s="390"/>
      <c r="DZM5" s="390"/>
      <c r="DZN5" s="390"/>
      <c r="DZO5" s="390"/>
      <c r="DZP5" s="390"/>
      <c r="DZQ5" s="390"/>
      <c r="DZR5" s="390"/>
      <c r="DZS5" s="390"/>
      <c r="DZT5" s="390"/>
      <c r="DZU5" s="390"/>
      <c r="DZV5" s="390"/>
      <c r="DZW5" s="390"/>
      <c r="DZX5" s="390"/>
      <c r="DZY5" s="390"/>
      <c r="DZZ5" s="390"/>
      <c r="EAA5" s="390"/>
      <c r="EAB5" s="390"/>
      <c r="EAC5" s="390"/>
      <c r="EAD5" s="390"/>
      <c r="EAE5" s="390"/>
      <c r="EAF5" s="390"/>
      <c r="EAG5" s="390"/>
      <c r="EAH5" s="390"/>
      <c r="EAI5" s="390"/>
      <c r="EAJ5" s="390"/>
      <c r="EAK5" s="390"/>
      <c r="EAL5" s="390"/>
      <c r="EAM5" s="390"/>
      <c r="EAN5" s="390"/>
      <c r="EAO5" s="390"/>
      <c r="EAP5" s="390"/>
      <c r="EAQ5" s="390"/>
      <c r="EAR5" s="390"/>
      <c r="EAS5" s="390"/>
      <c r="EAT5" s="390"/>
      <c r="EAU5" s="390"/>
      <c r="EAV5" s="390"/>
      <c r="EAW5" s="390"/>
      <c r="EAX5" s="390"/>
      <c r="EAY5" s="390"/>
      <c r="EAZ5" s="390"/>
      <c r="EBA5" s="390"/>
      <c r="EBB5" s="390"/>
      <c r="EBC5" s="390"/>
      <c r="EBD5" s="390"/>
      <c r="EBE5" s="390"/>
      <c r="EBF5" s="390"/>
      <c r="EBG5" s="390"/>
      <c r="EBH5" s="390"/>
      <c r="EBI5" s="390"/>
      <c r="EBJ5" s="390"/>
      <c r="EBK5" s="390"/>
      <c r="EBL5" s="390"/>
      <c r="EBM5" s="390"/>
      <c r="EBN5" s="390"/>
      <c r="EBO5" s="390"/>
      <c r="EBP5" s="390"/>
      <c r="EBQ5" s="390"/>
      <c r="EBR5" s="390"/>
      <c r="EBS5" s="390"/>
      <c r="EBT5" s="390"/>
      <c r="EBU5" s="390"/>
      <c r="EBV5" s="390"/>
      <c r="EBW5" s="390"/>
      <c r="EBX5" s="390"/>
      <c r="EBY5" s="390"/>
      <c r="EBZ5" s="390"/>
      <c r="ECA5" s="390"/>
      <c r="ECB5" s="390"/>
      <c r="ECC5" s="390"/>
      <c r="ECD5" s="390"/>
      <c r="ECE5" s="390"/>
      <c r="ECF5" s="390"/>
      <c r="ECG5" s="390"/>
      <c r="ECH5" s="390"/>
      <c r="ECI5" s="390"/>
      <c r="ECJ5" s="390"/>
      <c r="ECK5" s="390"/>
      <c r="ECL5" s="390"/>
      <c r="ECM5" s="390"/>
      <c r="ECN5" s="390"/>
      <c r="ECO5" s="390"/>
      <c r="ECP5" s="390"/>
      <c r="ECQ5" s="390"/>
      <c r="ECR5" s="390"/>
      <c r="ECS5" s="390"/>
      <c r="ECT5" s="390"/>
      <c r="ECU5" s="390"/>
      <c r="ECV5" s="390"/>
      <c r="ECW5" s="390"/>
      <c r="ECX5" s="390"/>
      <c r="ECY5" s="390"/>
      <c r="ECZ5" s="390"/>
      <c r="EDA5" s="390"/>
      <c r="EDB5" s="390"/>
      <c r="EDC5" s="390"/>
      <c r="EDD5" s="390"/>
      <c r="EDE5" s="390"/>
      <c r="EDF5" s="390"/>
      <c r="EDG5" s="390"/>
      <c r="EDH5" s="390"/>
      <c r="EDI5" s="390"/>
      <c r="EDJ5" s="390"/>
      <c r="EDK5" s="390"/>
      <c r="EDL5" s="390"/>
      <c r="EDM5" s="390"/>
      <c r="EDN5" s="390"/>
      <c r="EDO5" s="390"/>
      <c r="EDP5" s="390"/>
      <c r="EDQ5" s="390"/>
      <c r="EDR5" s="390"/>
      <c r="EDS5" s="390"/>
      <c r="EDT5" s="390"/>
      <c r="EDU5" s="390"/>
      <c r="EDV5" s="390"/>
      <c r="EDW5" s="390"/>
      <c r="EDX5" s="390"/>
      <c r="EDY5" s="390"/>
      <c r="EDZ5" s="390"/>
      <c r="EEA5" s="390"/>
      <c r="EEB5" s="390"/>
      <c r="EEC5" s="390"/>
      <c r="EED5" s="390"/>
      <c r="EEE5" s="390"/>
      <c r="EEF5" s="390"/>
      <c r="EEG5" s="390"/>
      <c r="EEH5" s="390"/>
      <c r="EEI5" s="390"/>
      <c r="EEJ5" s="390"/>
      <c r="EEK5" s="390"/>
      <c r="EEL5" s="390"/>
      <c r="EEM5" s="390"/>
      <c r="EEN5" s="390"/>
      <c r="EEO5" s="390"/>
      <c r="EEP5" s="390"/>
      <c r="EEQ5" s="390"/>
      <c r="EER5" s="390"/>
      <c r="EES5" s="390"/>
      <c r="EET5" s="390"/>
      <c r="EEU5" s="390"/>
      <c r="EEV5" s="390"/>
      <c r="EEW5" s="390"/>
      <c r="EEX5" s="390"/>
      <c r="EEY5" s="390"/>
      <c r="EEZ5" s="390"/>
      <c r="EFA5" s="390"/>
      <c r="EFB5" s="390"/>
      <c r="EFC5" s="390"/>
      <c r="EFD5" s="390"/>
      <c r="EFE5" s="390"/>
      <c r="EFF5" s="390"/>
      <c r="EFG5" s="390"/>
      <c r="EFH5" s="390"/>
      <c r="EFI5" s="390"/>
      <c r="EFJ5" s="390"/>
      <c r="EFK5" s="390"/>
      <c r="EFL5" s="390"/>
      <c r="EFM5" s="390"/>
      <c r="EFN5" s="390"/>
      <c r="EFO5" s="390"/>
      <c r="EFP5" s="390"/>
      <c r="EFQ5" s="390"/>
      <c r="EFR5" s="390"/>
      <c r="EFS5" s="390"/>
      <c r="EFT5" s="390"/>
      <c r="EFU5" s="390"/>
      <c r="EFV5" s="390"/>
      <c r="EFW5" s="390"/>
      <c r="EFX5" s="390"/>
      <c r="EFY5" s="390"/>
      <c r="EFZ5" s="390"/>
      <c r="EGA5" s="390"/>
      <c r="EGB5" s="390"/>
      <c r="EGC5" s="390"/>
      <c r="EGD5" s="390"/>
      <c r="EGE5" s="390"/>
      <c r="EGF5" s="390"/>
      <c r="EGG5" s="390"/>
      <c r="EGH5" s="390"/>
      <c r="EGI5" s="390"/>
      <c r="EGJ5" s="390"/>
      <c r="EGK5" s="390"/>
      <c r="EGL5" s="390"/>
      <c r="EGM5" s="390"/>
      <c r="EGN5" s="390"/>
      <c r="EGO5" s="390"/>
      <c r="EGP5" s="390"/>
      <c r="EGQ5" s="390"/>
      <c r="EGR5" s="390"/>
      <c r="EGS5" s="390"/>
      <c r="EGT5" s="390"/>
      <c r="EGU5" s="390"/>
      <c r="EGV5" s="390"/>
      <c r="EGW5" s="390"/>
      <c r="EGX5" s="390"/>
      <c r="EGY5" s="390"/>
      <c r="EGZ5" s="390"/>
      <c r="EHA5" s="390"/>
      <c r="EHB5" s="390"/>
      <c r="EHC5" s="390"/>
      <c r="EHD5" s="390"/>
      <c r="EHE5" s="390"/>
      <c r="EHF5" s="390"/>
      <c r="EHG5" s="390"/>
      <c r="EHH5" s="390"/>
      <c r="EHI5" s="390"/>
      <c r="EHJ5" s="390"/>
      <c r="EHK5" s="390"/>
      <c r="EHL5" s="390"/>
      <c r="EHM5" s="390"/>
      <c r="EHN5" s="390"/>
      <c r="EHO5" s="390"/>
      <c r="EHP5" s="390"/>
      <c r="EHQ5" s="390"/>
      <c r="EHR5" s="390"/>
      <c r="EHS5" s="390"/>
      <c r="EHT5" s="390"/>
      <c r="EHU5" s="390"/>
      <c r="EHV5" s="390"/>
      <c r="EHW5" s="390"/>
      <c r="EHX5" s="390"/>
      <c r="EHY5" s="390"/>
      <c r="EHZ5" s="390"/>
      <c r="EIA5" s="390"/>
      <c r="EIB5" s="390"/>
      <c r="EIC5" s="390"/>
      <c r="EID5" s="390"/>
      <c r="EIE5" s="390"/>
      <c r="EIF5" s="390"/>
      <c r="EIG5" s="390"/>
      <c r="EIH5" s="390"/>
      <c r="EII5" s="390"/>
      <c r="EIJ5" s="390"/>
      <c r="EIK5" s="390"/>
      <c r="EIL5" s="390"/>
      <c r="EIM5" s="390"/>
      <c r="EIN5" s="390"/>
      <c r="EIO5" s="390"/>
      <c r="EIP5" s="390"/>
      <c r="EIQ5" s="390"/>
      <c r="EIR5" s="390"/>
      <c r="EIS5" s="390"/>
      <c r="EIT5" s="390"/>
      <c r="EIU5" s="390"/>
      <c r="EIV5" s="390"/>
      <c r="EIW5" s="390"/>
      <c r="EIX5" s="390"/>
      <c r="EIY5" s="390"/>
      <c r="EIZ5" s="390"/>
      <c r="EJA5" s="390"/>
      <c r="EJB5" s="390"/>
      <c r="EJC5" s="390"/>
      <c r="EJD5" s="390"/>
      <c r="EJE5" s="390"/>
      <c r="EJF5" s="390"/>
      <c r="EJG5" s="390"/>
      <c r="EJH5" s="390"/>
      <c r="EJI5" s="390"/>
      <c r="EJJ5" s="390"/>
      <c r="EJK5" s="390"/>
      <c r="EJL5" s="390"/>
      <c r="EJM5" s="390"/>
      <c r="EJN5" s="390"/>
      <c r="EJO5" s="390"/>
      <c r="EJP5" s="390"/>
      <c r="EJQ5" s="390"/>
      <c r="EJR5" s="390"/>
      <c r="EJS5" s="390"/>
      <c r="EJT5" s="390"/>
      <c r="EJU5" s="390"/>
      <c r="EJV5" s="390"/>
      <c r="EJW5" s="390"/>
      <c r="EJX5" s="390"/>
      <c r="EJY5" s="390"/>
      <c r="EJZ5" s="390"/>
      <c r="EKA5" s="390"/>
      <c r="EKB5" s="390"/>
      <c r="EKC5" s="390"/>
      <c r="EKD5" s="390"/>
      <c r="EKE5" s="390"/>
      <c r="EKF5" s="390"/>
      <c r="EKG5" s="390"/>
      <c r="EKH5" s="390"/>
      <c r="EKI5" s="390"/>
      <c r="EKJ5" s="390"/>
      <c r="EKK5" s="390"/>
      <c r="EKL5" s="390"/>
      <c r="EKM5" s="390"/>
      <c r="EKN5" s="390"/>
      <c r="EKO5" s="390"/>
      <c r="EKP5" s="390"/>
      <c r="EKQ5" s="390"/>
      <c r="EKR5" s="390"/>
      <c r="EKS5" s="390"/>
      <c r="EKT5" s="390"/>
      <c r="EKU5" s="390"/>
      <c r="EKV5" s="390"/>
      <c r="EKW5" s="390"/>
      <c r="EKX5" s="390"/>
      <c r="EKY5" s="390"/>
      <c r="EKZ5" s="390"/>
      <c r="ELA5" s="390"/>
      <c r="ELB5" s="390"/>
      <c r="ELC5" s="390"/>
      <c r="ELD5" s="390"/>
      <c r="ELE5" s="390"/>
      <c r="ELF5" s="390"/>
      <c r="ELG5" s="390"/>
      <c r="ELH5" s="390"/>
      <c r="ELI5" s="390"/>
      <c r="ELJ5" s="390"/>
      <c r="ELK5" s="390"/>
      <c r="ELL5" s="390"/>
      <c r="ELM5" s="390"/>
      <c r="ELN5" s="390"/>
      <c r="ELO5" s="390"/>
      <c r="ELP5" s="390"/>
      <c r="ELQ5" s="390"/>
      <c r="ELR5" s="390"/>
      <c r="ELS5" s="390"/>
      <c r="ELT5" s="390"/>
      <c r="ELU5" s="390"/>
      <c r="ELV5" s="390"/>
      <c r="ELW5" s="390"/>
      <c r="ELX5" s="390"/>
      <c r="ELY5" s="390"/>
      <c r="ELZ5" s="390"/>
      <c r="EMA5" s="390"/>
      <c r="EMB5" s="390"/>
      <c r="EMC5" s="390"/>
      <c r="EMD5" s="390"/>
      <c r="EME5" s="390"/>
      <c r="EMF5" s="390"/>
      <c r="EMG5" s="390"/>
      <c r="EMH5" s="390"/>
      <c r="EMI5" s="390"/>
      <c r="EMJ5" s="390"/>
      <c r="EMK5" s="390"/>
      <c r="EML5" s="390"/>
      <c r="EMM5" s="390"/>
      <c r="EMN5" s="390"/>
      <c r="EMO5" s="390"/>
      <c r="EMP5" s="390"/>
      <c r="EMQ5" s="390"/>
      <c r="EMR5" s="390"/>
      <c r="EMS5" s="390"/>
      <c r="EMT5" s="390"/>
      <c r="EMU5" s="390"/>
      <c r="EMV5" s="390"/>
      <c r="EMW5" s="390"/>
      <c r="EMX5" s="390"/>
      <c r="EMY5" s="390"/>
      <c r="EMZ5" s="390"/>
      <c r="ENA5" s="390"/>
      <c r="ENB5" s="390"/>
      <c r="ENC5" s="390"/>
      <c r="END5" s="390"/>
      <c r="ENE5" s="390"/>
      <c r="ENF5" s="390"/>
      <c r="ENG5" s="390"/>
      <c r="ENH5" s="390"/>
      <c r="ENI5" s="390"/>
      <c r="ENJ5" s="390"/>
      <c r="ENK5" s="390"/>
      <c r="ENL5" s="390"/>
      <c r="ENM5" s="390"/>
      <c r="ENN5" s="390"/>
      <c r="ENO5" s="390"/>
      <c r="ENP5" s="390"/>
      <c r="ENQ5" s="390"/>
      <c r="ENR5" s="390"/>
      <c r="ENS5" s="390"/>
      <c r="ENT5" s="390"/>
      <c r="ENU5" s="390"/>
      <c r="ENV5" s="390"/>
      <c r="ENW5" s="390"/>
      <c r="ENX5" s="390"/>
      <c r="ENY5" s="390"/>
      <c r="ENZ5" s="390"/>
      <c r="EOA5" s="390"/>
      <c r="EOB5" s="390"/>
      <c r="EOC5" s="390"/>
      <c r="EOD5" s="390"/>
      <c r="EOE5" s="390"/>
      <c r="EOF5" s="390"/>
      <c r="EOG5" s="390"/>
      <c r="EOH5" s="390"/>
      <c r="EOI5" s="390"/>
      <c r="EOJ5" s="390"/>
      <c r="EOK5" s="390"/>
      <c r="EOL5" s="390"/>
      <c r="EOM5" s="390"/>
      <c r="EON5" s="390"/>
      <c r="EOO5" s="390"/>
      <c r="EOP5" s="390"/>
      <c r="EOQ5" s="390"/>
      <c r="EOR5" s="390"/>
      <c r="EOS5" s="390"/>
      <c r="EOT5" s="390"/>
      <c r="EOU5" s="390"/>
      <c r="EOV5" s="390"/>
      <c r="EOW5" s="390"/>
      <c r="EOX5" s="390"/>
      <c r="EOY5" s="390"/>
      <c r="EOZ5" s="390"/>
      <c r="EPA5" s="390"/>
      <c r="EPB5" s="390"/>
      <c r="EPC5" s="390"/>
      <c r="EPD5" s="390"/>
      <c r="EPE5" s="390"/>
      <c r="EPF5" s="390"/>
      <c r="EPG5" s="390"/>
      <c r="EPH5" s="390"/>
      <c r="EPI5" s="390"/>
      <c r="EPJ5" s="390"/>
      <c r="EPK5" s="390"/>
      <c r="EPL5" s="390"/>
      <c r="EPM5" s="390"/>
      <c r="EPN5" s="390"/>
      <c r="EPO5" s="390"/>
      <c r="EPP5" s="390"/>
      <c r="EPQ5" s="390"/>
      <c r="EPR5" s="390"/>
      <c r="EPS5" s="390"/>
      <c r="EPT5" s="390"/>
      <c r="EPU5" s="390"/>
      <c r="EPV5" s="390"/>
      <c r="EPW5" s="390"/>
      <c r="EPX5" s="390"/>
      <c r="EPY5" s="390"/>
      <c r="EPZ5" s="390"/>
      <c r="EQA5" s="390"/>
      <c r="EQB5" s="390"/>
      <c r="EQC5" s="390"/>
      <c r="EQD5" s="390"/>
      <c r="EQE5" s="390"/>
      <c r="EQF5" s="390"/>
      <c r="EQG5" s="390"/>
      <c r="EQH5" s="390"/>
      <c r="EQI5" s="390"/>
      <c r="EQJ5" s="390"/>
      <c r="EQK5" s="390"/>
      <c r="EQL5" s="390"/>
      <c r="EQM5" s="390"/>
      <c r="EQN5" s="390"/>
      <c r="EQO5" s="390"/>
      <c r="EQP5" s="390"/>
      <c r="EQQ5" s="390"/>
      <c r="EQR5" s="390"/>
      <c r="EQS5" s="390"/>
      <c r="EQT5" s="390"/>
      <c r="EQU5" s="390"/>
      <c r="EQV5" s="390"/>
      <c r="EQW5" s="390"/>
      <c r="EQX5" s="390"/>
      <c r="EQY5" s="390"/>
      <c r="EQZ5" s="390"/>
      <c r="ERA5" s="390"/>
      <c r="ERB5" s="390"/>
      <c r="ERC5" s="390"/>
      <c r="ERD5" s="390"/>
      <c r="ERE5" s="390"/>
      <c r="ERF5" s="390"/>
      <c r="ERG5" s="390"/>
      <c r="ERH5" s="390"/>
      <c r="ERI5" s="390"/>
      <c r="ERJ5" s="390"/>
      <c r="ERK5" s="390"/>
      <c r="ERL5" s="390"/>
      <c r="ERM5" s="390"/>
      <c r="ERN5" s="390"/>
      <c r="ERO5" s="390"/>
      <c r="ERP5" s="390"/>
      <c r="ERQ5" s="390"/>
      <c r="ERR5" s="390"/>
      <c r="ERS5" s="390"/>
      <c r="ERT5" s="390"/>
      <c r="ERU5" s="390"/>
      <c r="ERV5" s="390"/>
      <c r="ERW5" s="390"/>
      <c r="ERX5" s="390"/>
      <c r="ERY5" s="390"/>
      <c r="ERZ5" s="390"/>
      <c r="ESA5" s="390"/>
      <c r="ESB5" s="390"/>
      <c r="ESC5" s="390"/>
      <c r="ESD5" s="390"/>
      <c r="ESE5" s="390"/>
      <c r="ESF5" s="390"/>
      <c r="ESG5" s="390"/>
      <c r="ESH5" s="390"/>
      <c r="ESI5" s="390"/>
      <c r="ESJ5" s="390"/>
      <c r="ESK5" s="390"/>
      <c r="ESL5" s="390"/>
      <c r="ESM5" s="390"/>
      <c r="ESN5" s="390"/>
      <c r="ESO5" s="390"/>
      <c r="ESP5" s="390"/>
      <c r="ESQ5" s="390"/>
      <c r="ESR5" s="390"/>
      <c r="ESS5" s="390"/>
      <c r="EST5" s="390"/>
      <c r="ESU5" s="390"/>
      <c r="ESV5" s="390"/>
      <c r="ESW5" s="390"/>
      <c r="ESX5" s="390"/>
      <c r="ESY5" s="390"/>
      <c r="ESZ5" s="390"/>
      <c r="ETA5" s="390"/>
      <c r="ETB5" s="390"/>
      <c r="ETC5" s="390"/>
      <c r="ETD5" s="390"/>
      <c r="ETE5" s="390"/>
      <c r="ETF5" s="390"/>
      <c r="ETG5" s="390"/>
      <c r="ETH5" s="390"/>
      <c r="ETI5" s="390"/>
      <c r="ETJ5" s="390"/>
      <c r="ETK5" s="390"/>
      <c r="ETL5" s="390"/>
      <c r="ETM5" s="390"/>
      <c r="ETN5" s="390"/>
      <c r="ETO5" s="390"/>
      <c r="ETP5" s="390"/>
      <c r="ETQ5" s="390"/>
      <c r="ETR5" s="390"/>
      <c r="ETS5" s="390"/>
      <c r="ETT5" s="390"/>
      <c r="ETU5" s="390"/>
      <c r="ETV5" s="390"/>
      <c r="ETW5" s="390"/>
      <c r="ETX5" s="390"/>
      <c r="ETY5" s="390"/>
      <c r="ETZ5" s="390"/>
      <c r="EUA5" s="390"/>
      <c r="EUB5" s="390"/>
      <c r="EUC5" s="390"/>
      <c r="EUD5" s="390"/>
      <c r="EUE5" s="390"/>
      <c r="EUF5" s="390"/>
      <c r="EUG5" s="390"/>
      <c r="EUH5" s="390"/>
      <c r="EUI5" s="390"/>
      <c r="EUJ5" s="390"/>
      <c r="EUK5" s="390"/>
      <c r="EUL5" s="390"/>
      <c r="EUM5" s="390"/>
      <c r="EUN5" s="390"/>
      <c r="EUO5" s="390"/>
      <c r="EUP5" s="390"/>
      <c r="EUQ5" s="390"/>
      <c r="EUR5" s="390"/>
      <c r="EUS5" s="390"/>
      <c r="EUT5" s="390"/>
      <c r="EUU5" s="390"/>
      <c r="EUV5" s="390"/>
      <c r="EUW5" s="390"/>
      <c r="EUX5" s="390"/>
      <c r="EUY5" s="390"/>
      <c r="EUZ5" s="390"/>
      <c r="EVA5" s="390"/>
      <c r="EVB5" s="390"/>
      <c r="EVC5" s="390"/>
      <c r="EVD5" s="390"/>
      <c r="EVE5" s="390"/>
      <c r="EVF5" s="390"/>
      <c r="EVG5" s="390"/>
      <c r="EVH5" s="390"/>
      <c r="EVI5" s="390"/>
      <c r="EVJ5" s="390"/>
      <c r="EVK5" s="390"/>
      <c r="EVL5" s="390"/>
      <c r="EVM5" s="390"/>
      <c r="EVN5" s="390"/>
      <c r="EVO5" s="390"/>
      <c r="EVP5" s="390"/>
      <c r="EVQ5" s="390"/>
      <c r="EVR5" s="390"/>
      <c r="EVS5" s="390"/>
      <c r="EVT5" s="390"/>
      <c r="EVU5" s="390"/>
      <c r="EVV5" s="390"/>
      <c r="EVW5" s="390"/>
      <c r="EVX5" s="390"/>
      <c r="EVY5" s="390"/>
      <c r="EVZ5" s="390"/>
      <c r="EWA5" s="390"/>
      <c r="EWB5" s="390"/>
      <c r="EWC5" s="390"/>
      <c r="EWD5" s="390"/>
      <c r="EWE5" s="390"/>
      <c r="EWF5" s="390"/>
      <c r="EWG5" s="390"/>
      <c r="EWH5" s="390"/>
      <c r="EWI5" s="390"/>
      <c r="EWJ5" s="390"/>
      <c r="EWK5" s="390"/>
      <c r="EWL5" s="390"/>
      <c r="EWM5" s="390"/>
      <c r="EWN5" s="390"/>
      <c r="EWO5" s="390"/>
      <c r="EWP5" s="390"/>
      <c r="EWQ5" s="390"/>
      <c r="EWR5" s="390"/>
      <c r="EWS5" s="390"/>
      <c r="EWT5" s="390"/>
      <c r="EWU5" s="390"/>
      <c r="EWV5" s="390"/>
      <c r="EWW5" s="390"/>
      <c r="EWX5" s="390"/>
      <c r="EWY5" s="390"/>
      <c r="EWZ5" s="390"/>
      <c r="EXA5" s="390"/>
      <c r="EXB5" s="390"/>
      <c r="EXC5" s="390"/>
      <c r="EXD5" s="390"/>
      <c r="EXE5" s="390"/>
      <c r="EXF5" s="390"/>
      <c r="EXG5" s="390"/>
      <c r="EXH5" s="390"/>
      <c r="EXI5" s="390"/>
      <c r="EXJ5" s="390"/>
      <c r="EXK5" s="390"/>
      <c r="EXL5" s="390"/>
      <c r="EXM5" s="390"/>
      <c r="EXN5" s="390"/>
      <c r="EXO5" s="390"/>
      <c r="EXP5" s="390"/>
      <c r="EXQ5" s="390"/>
      <c r="EXR5" s="390"/>
      <c r="EXS5" s="390"/>
      <c r="EXT5" s="390"/>
      <c r="EXU5" s="390"/>
      <c r="EXV5" s="390"/>
      <c r="EXW5" s="390"/>
      <c r="EXX5" s="390"/>
      <c r="EXY5" s="390"/>
      <c r="EXZ5" s="390"/>
      <c r="EYA5" s="390"/>
      <c r="EYB5" s="390"/>
      <c r="EYC5" s="390"/>
      <c r="EYD5" s="390"/>
      <c r="EYE5" s="390"/>
      <c r="EYF5" s="390"/>
      <c r="EYG5" s="390"/>
      <c r="EYH5" s="390"/>
      <c r="EYI5" s="390"/>
      <c r="EYJ5" s="390"/>
      <c r="EYK5" s="390"/>
      <c r="EYL5" s="390"/>
      <c r="EYM5" s="390"/>
      <c r="EYN5" s="390"/>
      <c r="EYO5" s="390"/>
      <c r="EYP5" s="390"/>
      <c r="EYQ5" s="390"/>
      <c r="EYR5" s="390"/>
      <c r="EYS5" s="390"/>
      <c r="EYT5" s="390"/>
      <c r="EYU5" s="390"/>
      <c r="EYV5" s="390"/>
      <c r="EYW5" s="390"/>
      <c r="EYX5" s="390"/>
      <c r="EYY5" s="390"/>
      <c r="EYZ5" s="390"/>
      <c r="EZA5" s="390"/>
      <c r="EZB5" s="390"/>
      <c r="EZC5" s="390"/>
      <c r="EZD5" s="390"/>
      <c r="EZE5" s="390"/>
      <c r="EZF5" s="390"/>
      <c r="EZG5" s="390"/>
      <c r="EZH5" s="390"/>
      <c r="EZI5" s="390"/>
      <c r="EZJ5" s="390"/>
      <c r="EZK5" s="390"/>
      <c r="EZL5" s="390"/>
      <c r="EZM5" s="390"/>
      <c r="EZN5" s="390"/>
      <c r="EZO5" s="390"/>
      <c r="EZP5" s="390"/>
      <c r="EZQ5" s="390"/>
      <c r="EZR5" s="390"/>
      <c r="EZS5" s="390"/>
      <c r="EZT5" s="390"/>
      <c r="EZU5" s="390"/>
      <c r="EZV5" s="390"/>
      <c r="EZW5" s="390"/>
      <c r="EZX5" s="390"/>
      <c r="EZY5" s="390"/>
      <c r="EZZ5" s="390"/>
      <c r="FAA5" s="390"/>
      <c r="FAB5" s="390"/>
      <c r="FAC5" s="390"/>
      <c r="FAD5" s="390"/>
      <c r="FAE5" s="390"/>
      <c r="FAF5" s="390"/>
      <c r="FAG5" s="390"/>
      <c r="FAH5" s="390"/>
      <c r="FAI5" s="390"/>
      <c r="FAJ5" s="390"/>
      <c r="FAK5" s="390"/>
      <c r="FAL5" s="390"/>
      <c r="FAM5" s="390"/>
      <c r="FAN5" s="390"/>
      <c r="FAO5" s="390"/>
      <c r="FAP5" s="390"/>
      <c r="FAQ5" s="390"/>
      <c r="FAR5" s="390"/>
      <c r="FAS5" s="390"/>
      <c r="FAT5" s="390"/>
      <c r="FAU5" s="390"/>
      <c r="FAV5" s="390"/>
      <c r="FAW5" s="390"/>
      <c r="FAX5" s="390"/>
      <c r="FAY5" s="390"/>
      <c r="FAZ5" s="390"/>
      <c r="FBA5" s="390"/>
      <c r="FBB5" s="390"/>
      <c r="FBC5" s="390"/>
      <c r="FBD5" s="390"/>
      <c r="FBE5" s="390"/>
      <c r="FBF5" s="390"/>
      <c r="FBG5" s="390"/>
      <c r="FBH5" s="390"/>
      <c r="FBI5" s="390"/>
      <c r="FBJ5" s="390"/>
      <c r="FBK5" s="390"/>
      <c r="FBL5" s="390"/>
      <c r="FBM5" s="390"/>
      <c r="FBN5" s="390"/>
      <c r="FBO5" s="390"/>
      <c r="FBP5" s="390"/>
      <c r="FBQ5" s="390"/>
      <c r="FBR5" s="390"/>
      <c r="FBS5" s="390"/>
      <c r="FBT5" s="390"/>
      <c r="FBU5" s="390"/>
      <c r="FBV5" s="390"/>
      <c r="FBW5" s="390"/>
      <c r="FBX5" s="390"/>
      <c r="FBY5" s="390"/>
      <c r="FBZ5" s="390"/>
      <c r="FCA5" s="390"/>
      <c r="FCB5" s="390"/>
      <c r="FCC5" s="390"/>
      <c r="FCD5" s="390"/>
      <c r="FCE5" s="390"/>
      <c r="FCF5" s="390"/>
      <c r="FCG5" s="390"/>
      <c r="FCH5" s="390"/>
      <c r="FCI5" s="390"/>
      <c r="FCJ5" s="390"/>
      <c r="FCK5" s="390"/>
      <c r="FCL5" s="390"/>
      <c r="FCM5" s="390"/>
      <c r="FCN5" s="390"/>
      <c r="FCO5" s="390"/>
      <c r="FCP5" s="390"/>
      <c r="FCQ5" s="390"/>
      <c r="FCR5" s="390"/>
      <c r="FCS5" s="390"/>
      <c r="FCT5" s="390"/>
      <c r="FCU5" s="390"/>
      <c r="FCV5" s="390"/>
      <c r="FCW5" s="390"/>
      <c r="FCX5" s="390"/>
      <c r="FCY5" s="390"/>
      <c r="FCZ5" s="390"/>
      <c r="FDA5" s="390"/>
      <c r="FDB5" s="390"/>
      <c r="FDC5" s="390"/>
      <c r="FDD5" s="390"/>
      <c r="FDE5" s="390"/>
      <c r="FDF5" s="390"/>
      <c r="FDG5" s="390"/>
      <c r="FDH5" s="390"/>
      <c r="FDI5" s="390"/>
      <c r="FDJ5" s="390"/>
      <c r="FDK5" s="390"/>
      <c r="FDL5" s="390"/>
      <c r="FDM5" s="390"/>
      <c r="FDN5" s="390"/>
      <c r="FDO5" s="390"/>
      <c r="FDP5" s="390"/>
      <c r="FDQ5" s="390"/>
      <c r="FDR5" s="390"/>
      <c r="FDS5" s="390"/>
      <c r="FDT5" s="390"/>
      <c r="FDU5" s="390"/>
      <c r="FDV5" s="390"/>
      <c r="FDW5" s="390"/>
      <c r="FDX5" s="390"/>
      <c r="FDY5" s="390"/>
      <c r="FDZ5" s="390"/>
      <c r="FEA5" s="390"/>
      <c r="FEB5" s="390"/>
      <c r="FEC5" s="390"/>
      <c r="FED5" s="390"/>
      <c r="FEE5" s="390"/>
      <c r="FEF5" s="390"/>
      <c r="FEG5" s="390"/>
      <c r="FEH5" s="390"/>
      <c r="FEI5" s="390"/>
      <c r="FEJ5" s="390"/>
      <c r="FEK5" s="390"/>
      <c r="FEL5" s="390"/>
      <c r="FEM5" s="390"/>
      <c r="FEN5" s="390"/>
      <c r="FEO5" s="390"/>
      <c r="FEP5" s="390"/>
      <c r="FEQ5" s="390"/>
      <c r="FER5" s="390"/>
      <c r="FES5" s="390"/>
      <c r="FET5" s="390"/>
      <c r="FEU5" s="390"/>
      <c r="FEV5" s="390"/>
      <c r="FEW5" s="390"/>
      <c r="FEX5" s="390"/>
      <c r="FEY5" s="390"/>
      <c r="FEZ5" s="390"/>
      <c r="FFA5" s="390"/>
      <c r="FFB5" s="390"/>
      <c r="FFC5" s="390"/>
      <c r="FFD5" s="390"/>
      <c r="FFE5" s="390"/>
      <c r="FFF5" s="390"/>
      <c r="FFG5" s="390"/>
      <c r="FFH5" s="390"/>
      <c r="FFI5" s="390"/>
      <c r="FFJ5" s="390"/>
      <c r="FFK5" s="390"/>
      <c r="FFL5" s="390"/>
      <c r="FFM5" s="390"/>
      <c r="FFN5" s="390"/>
      <c r="FFO5" s="390"/>
      <c r="FFP5" s="390"/>
      <c r="FFQ5" s="390"/>
      <c r="FFR5" s="390"/>
      <c r="FFS5" s="390"/>
      <c r="FFT5" s="390"/>
      <c r="FFU5" s="390"/>
      <c r="FFV5" s="390"/>
      <c r="FFW5" s="390"/>
      <c r="FFX5" s="390"/>
      <c r="FFY5" s="390"/>
      <c r="FFZ5" s="390"/>
      <c r="FGA5" s="390"/>
      <c r="FGB5" s="390"/>
      <c r="FGC5" s="390"/>
      <c r="FGD5" s="390"/>
      <c r="FGE5" s="390"/>
      <c r="FGF5" s="390"/>
      <c r="FGG5" s="390"/>
      <c r="FGH5" s="390"/>
      <c r="FGI5" s="390"/>
      <c r="FGJ5" s="390"/>
      <c r="FGK5" s="390"/>
      <c r="FGL5" s="390"/>
      <c r="FGM5" s="390"/>
      <c r="FGN5" s="390"/>
      <c r="FGO5" s="390"/>
      <c r="FGP5" s="390"/>
      <c r="FGQ5" s="390"/>
      <c r="FGR5" s="390"/>
      <c r="FGS5" s="390"/>
      <c r="FGT5" s="390"/>
      <c r="FGU5" s="390"/>
      <c r="FGV5" s="390"/>
      <c r="FGW5" s="390"/>
      <c r="FGX5" s="390"/>
      <c r="FGY5" s="390"/>
      <c r="FGZ5" s="390"/>
      <c r="FHA5" s="390"/>
      <c r="FHB5" s="390"/>
      <c r="FHC5" s="390"/>
      <c r="FHD5" s="390"/>
      <c r="FHE5" s="390"/>
      <c r="FHF5" s="390"/>
      <c r="FHG5" s="390"/>
      <c r="FHH5" s="390"/>
      <c r="FHI5" s="390"/>
      <c r="FHJ5" s="390"/>
      <c r="FHK5" s="390"/>
      <c r="FHL5" s="390"/>
      <c r="FHM5" s="390"/>
      <c r="FHN5" s="390"/>
      <c r="FHO5" s="390"/>
      <c r="FHP5" s="390"/>
      <c r="FHQ5" s="390"/>
      <c r="FHR5" s="390"/>
      <c r="FHS5" s="390"/>
      <c r="FHT5" s="390"/>
      <c r="FHU5" s="390"/>
      <c r="FHV5" s="390"/>
      <c r="FHW5" s="390"/>
      <c r="FHX5" s="390"/>
      <c r="FHY5" s="390"/>
      <c r="FHZ5" s="390"/>
      <c r="FIA5" s="390"/>
      <c r="FIB5" s="390"/>
      <c r="FIC5" s="390"/>
      <c r="FID5" s="390"/>
      <c r="FIE5" s="390"/>
      <c r="FIF5" s="390"/>
      <c r="FIG5" s="390"/>
      <c r="FIH5" s="390"/>
      <c r="FII5" s="390"/>
      <c r="FIJ5" s="390"/>
      <c r="FIK5" s="390"/>
      <c r="FIL5" s="390"/>
      <c r="FIM5" s="390"/>
      <c r="FIN5" s="390"/>
      <c r="FIO5" s="390"/>
      <c r="FIP5" s="390"/>
      <c r="FIQ5" s="390"/>
      <c r="FIR5" s="390"/>
      <c r="FIS5" s="390"/>
      <c r="FIT5" s="390"/>
      <c r="FIU5" s="390"/>
      <c r="FIV5" s="390"/>
      <c r="FIW5" s="390"/>
      <c r="FIX5" s="390"/>
      <c r="FIY5" s="390"/>
      <c r="FIZ5" s="390"/>
      <c r="FJA5" s="390"/>
      <c r="FJB5" s="390"/>
      <c r="FJC5" s="390"/>
      <c r="FJD5" s="390"/>
      <c r="FJE5" s="390"/>
      <c r="FJF5" s="390"/>
      <c r="FJG5" s="390"/>
      <c r="FJH5" s="390"/>
      <c r="FJI5" s="390"/>
      <c r="FJJ5" s="390"/>
      <c r="FJK5" s="390"/>
      <c r="FJL5" s="390"/>
      <c r="FJM5" s="390"/>
      <c r="FJN5" s="390"/>
      <c r="FJO5" s="390"/>
      <c r="FJP5" s="390"/>
      <c r="FJQ5" s="390"/>
      <c r="FJR5" s="390"/>
      <c r="FJS5" s="390"/>
      <c r="FJT5" s="390"/>
      <c r="FJU5" s="390"/>
      <c r="FJV5" s="390"/>
      <c r="FJW5" s="390"/>
      <c r="FJX5" s="390"/>
      <c r="FJY5" s="390"/>
      <c r="FJZ5" s="390"/>
      <c r="FKA5" s="390"/>
      <c r="FKB5" s="390"/>
      <c r="FKC5" s="390"/>
      <c r="FKD5" s="390"/>
      <c r="FKE5" s="390"/>
      <c r="FKF5" s="390"/>
      <c r="FKG5" s="390"/>
      <c r="FKH5" s="390"/>
      <c r="FKI5" s="390"/>
      <c r="FKJ5" s="390"/>
      <c r="FKK5" s="390"/>
      <c r="FKL5" s="390"/>
      <c r="FKM5" s="390"/>
      <c r="FKN5" s="390"/>
      <c r="FKO5" s="390"/>
      <c r="FKP5" s="390"/>
      <c r="FKQ5" s="390"/>
      <c r="FKR5" s="390"/>
      <c r="FKS5" s="390"/>
      <c r="FKT5" s="390"/>
      <c r="FKU5" s="390"/>
      <c r="FKV5" s="390"/>
      <c r="FKW5" s="390"/>
      <c r="FKX5" s="390"/>
      <c r="FKY5" s="390"/>
      <c r="FKZ5" s="390"/>
      <c r="FLA5" s="390"/>
      <c r="FLB5" s="390"/>
      <c r="FLC5" s="390"/>
      <c r="FLD5" s="390"/>
      <c r="FLE5" s="390"/>
      <c r="FLF5" s="390"/>
      <c r="FLG5" s="390"/>
      <c r="FLH5" s="390"/>
      <c r="FLI5" s="390"/>
      <c r="FLJ5" s="390"/>
      <c r="FLK5" s="390"/>
      <c r="FLL5" s="390"/>
      <c r="FLM5" s="390"/>
      <c r="FLN5" s="390"/>
      <c r="FLO5" s="390"/>
      <c r="FLP5" s="390"/>
      <c r="FLQ5" s="390"/>
      <c r="FLR5" s="390"/>
      <c r="FLS5" s="390"/>
      <c r="FLT5" s="390"/>
      <c r="FLU5" s="390"/>
      <c r="FLV5" s="390"/>
      <c r="FLW5" s="390"/>
      <c r="FLX5" s="390"/>
      <c r="FLY5" s="390"/>
      <c r="FLZ5" s="390"/>
      <c r="FMA5" s="390"/>
      <c r="FMB5" s="390"/>
      <c r="FMC5" s="390"/>
      <c r="FMD5" s="390"/>
      <c r="FME5" s="390"/>
      <c r="FMF5" s="390"/>
      <c r="FMG5" s="390"/>
      <c r="FMH5" s="390"/>
      <c r="FMI5" s="390"/>
      <c r="FMJ5" s="390"/>
      <c r="FMK5" s="390"/>
      <c r="FML5" s="390"/>
      <c r="FMM5" s="390"/>
      <c r="FMN5" s="390"/>
      <c r="FMO5" s="390"/>
      <c r="FMP5" s="390"/>
      <c r="FMQ5" s="390"/>
      <c r="FMR5" s="390"/>
      <c r="FMS5" s="390"/>
      <c r="FMT5" s="390"/>
      <c r="FMU5" s="390"/>
      <c r="FMV5" s="390"/>
      <c r="FMW5" s="390"/>
      <c r="FMX5" s="390"/>
      <c r="FMY5" s="390"/>
      <c r="FMZ5" s="390"/>
      <c r="FNA5" s="390"/>
      <c r="FNB5" s="390"/>
      <c r="FNC5" s="390"/>
      <c r="FND5" s="390"/>
      <c r="FNE5" s="390"/>
      <c r="FNF5" s="390"/>
      <c r="FNG5" s="390"/>
      <c r="FNH5" s="390"/>
      <c r="FNI5" s="390"/>
      <c r="FNJ5" s="390"/>
      <c r="FNK5" s="390"/>
      <c r="FNL5" s="390"/>
      <c r="FNM5" s="390"/>
      <c r="FNN5" s="390"/>
      <c r="FNO5" s="390"/>
      <c r="FNP5" s="390"/>
      <c r="FNQ5" s="390"/>
      <c r="FNR5" s="390"/>
      <c r="FNS5" s="390"/>
      <c r="FNT5" s="390"/>
      <c r="FNU5" s="390"/>
      <c r="FNV5" s="390"/>
      <c r="FNW5" s="390"/>
      <c r="FNX5" s="390"/>
      <c r="FNY5" s="390"/>
      <c r="FNZ5" s="390"/>
      <c r="FOA5" s="390"/>
      <c r="FOB5" s="390"/>
      <c r="FOC5" s="390"/>
      <c r="FOD5" s="390"/>
      <c r="FOE5" s="390"/>
      <c r="FOF5" s="390"/>
      <c r="FOG5" s="390"/>
      <c r="FOH5" s="390"/>
      <c r="FOI5" s="390"/>
      <c r="FOJ5" s="390"/>
      <c r="FOK5" s="390"/>
      <c r="FOL5" s="390"/>
      <c r="FOM5" s="390"/>
      <c r="FON5" s="390"/>
      <c r="FOO5" s="390"/>
      <c r="FOP5" s="390"/>
      <c r="FOQ5" s="390"/>
      <c r="FOR5" s="390"/>
      <c r="FOS5" s="390"/>
      <c r="FOT5" s="390"/>
      <c r="FOU5" s="390"/>
      <c r="FOV5" s="390"/>
      <c r="FOW5" s="390"/>
      <c r="FOX5" s="390"/>
      <c r="FOY5" s="390"/>
      <c r="FOZ5" s="390"/>
      <c r="FPA5" s="390"/>
      <c r="FPB5" s="390"/>
      <c r="FPC5" s="390"/>
      <c r="FPD5" s="390"/>
      <c r="FPE5" s="390"/>
      <c r="FPF5" s="390"/>
      <c r="FPG5" s="390"/>
      <c r="FPH5" s="390"/>
      <c r="FPI5" s="390"/>
      <c r="FPJ5" s="390"/>
      <c r="FPK5" s="390"/>
      <c r="FPL5" s="390"/>
      <c r="FPM5" s="390"/>
      <c r="FPN5" s="390"/>
      <c r="FPO5" s="390"/>
      <c r="FPP5" s="390"/>
      <c r="FPQ5" s="390"/>
      <c r="FPR5" s="390"/>
      <c r="FPS5" s="390"/>
      <c r="FPT5" s="390"/>
      <c r="FPU5" s="390"/>
      <c r="FPV5" s="390"/>
      <c r="FPW5" s="390"/>
      <c r="FPX5" s="390"/>
      <c r="FPY5" s="390"/>
      <c r="FPZ5" s="390"/>
      <c r="FQA5" s="390"/>
      <c r="FQB5" s="390"/>
      <c r="FQC5" s="390"/>
      <c r="FQD5" s="390"/>
      <c r="FQE5" s="390"/>
      <c r="FQF5" s="390"/>
      <c r="FQG5" s="390"/>
      <c r="FQH5" s="390"/>
      <c r="FQI5" s="390"/>
      <c r="FQJ5" s="390"/>
      <c r="FQK5" s="390"/>
      <c r="FQL5" s="390"/>
      <c r="FQM5" s="390"/>
      <c r="FQN5" s="390"/>
      <c r="FQO5" s="390"/>
      <c r="FQP5" s="390"/>
      <c r="FQQ5" s="390"/>
      <c r="FQR5" s="390"/>
      <c r="FQS5" s="390"/>
      <c r="FQT5" s="390"/>
      <c r="FQU5" s="390"/>
      <c r="FQV5" s="390"/>
      <c r="FQW5" s="390"/>
      <c r="FQX5" s="390"/>
      <c r="FQY5" s="390"/>
      <c r="FQZ5" s="390"/>
      <c r="FRA5" s="390"/>
      <c r="FRB5" s="390"/>
      <c r="FRC5" s="390"/>
      <c r="FRD5" s="390"/>
      <c r="FRE5" s="390"/>
      <c r="FRF5" s="390"/>
      <c r="FRG5" s="390"/>
      <c r="FRH5" s="390"/>
      <c r="FRI5" s="390"/>
      <c r="FRJ5" s="390"/>
      <c r="FRK5" s="390"/>
      <c r="FRL5" s="390"/>
      <c r="FRM5" s="390"/>
      <c r="FRN5" s="390"/>
      <c r="FRO5" s="390"/>
      <c r="FRP5" s="390"/>
      <c r="FRQ5" s="390"/>
      <c r="FRR5" s="390"/>
      <c r="FRS5" s="390"/>
      <c r="FRT5" s="390"/>
      <c r="FRU5" s="390"/>
      <c r="FRV5" s="390"/>
      <c r="FRW5" s="390"/>
      <c r="FRX5" s="390"/>
      <c r="FRY5" s="390"/>
      <c r="FRZ5" s="390"/>
      <c r="FSA5" s="390"/>
      <c r="FSB5" s="390"/>
      <c r="FSC5" s="390"/>
      <c r="FSD5" s="390"/>
      <c r="FSE5" s="390"/>
      <c r="FSF5" s="390"/>
      <c r="FSG5" s="390"/>
      <c r="FSH5" s="390"/>
      <c r="FSI5" s="390"/>
      <c r="FSJ5" s="390"/>
      <c r="FSK5" s="390"/>
      <c r="FSL5" s="390"/>
      <c r="FSM5" s="390"/>
      <c r="FSN5" s="390"/>
      <c r="FSO5" s="390"/>
      <c r="FSP5" s="390"/>
      <c r="FSQ5" s="390"/>
      <c r="FSR5" s="390"/>
      <c r="FSS5" s="390"/>
      <c r="FST5" s="390"/>
      <c r="FSU5" s="390"/>
      <c r="FSV5" s="390"/>
      <c r="FSW5" s="390"/>
      <c r="FSX5" s="390"/>
      <c r="FSY5" s="390"/>
      <c r="FSZ5" s="390"/>
      <c r="FTA5" s="390"/>
      <c r="FTB5" s="390"/>
      <c r="FTC5" s="390"/>
      <c r="FTD5" s="390"/>
      <c r="FTE5" s="390"/>
      <c r="FTF5" s="390"/>
      <c r="FTG5" s="390"/>
      <c r="FTH5" s="390"/>
      <c r="FTI5" s="390"/>
      <c r="FTJ5" s="390"/>
      <c r="FTK5" s="390"/>
      <c r="FTL5" s="390"/>
      <c r="FTM5" s="390"/>
      <c r="FTN5" s="390"/>
      <c r="FTO5" s="390"/>
      <c r="FTP5" s="390"/>
      <c r="FTQ5" s="390"/>
      <c r="FTR5" s="390"/>
      <c r="FTS5" s="390"/>
      <c r="FTT5" s="390"/>
      <c r="FTU5" s="390"/>
      <c r="FTV5" s="390"/>
      <c r="FTW5" s="390"/>
      <c r="FTX5" s="390"/>
      <c r="FTY5" s="390"/>
      <c r="FTZ5" s="390"/>
      <c r="FUA5" s="390"/>
      <c r="FUB5" s="390"/>
      <c r="FUC5" s="390"/>
      <c r="FUD5" s="390"/>
      <c r="FUE5" s="390"/>
      <c r="FUF5" s="390"/>
      <c r="FUG5" s="390"/>
      <c r="FUH5" s="390"/>
      <c r="FUI5" s="390"/>
      <c r="FUJ5" s="390"/>
      <c r="FUK5" s="390"/>
      <c r="FUL5" s="390"/>
      <c r="FUM5" s="390"/>
      <c r="FUN5" s="390"/>
      <c r="FUO5" s="390"/>
      <c r="FUP5" s="390"/>
      <c r="FUQ5" s="390"/>
      <c r="FUR5" s="390"/>
      <c r="FUS5" s="390"/>
      <c r="FUT5" s="390"/>
      <c r="FUU5" s="390"/>
      <c r="FUV5" s="390"/>
      <c r="FUW5" s="390"/>
      <c r="FUX5" s="390"/>
      <c r="FUY5" s="390"/>
      <c r="FUZ5" s="390"/>
      <c r="FVA5" s="390"/>
      <c r="FVB5" s="390"/>
      <c r="FVC5" s="390"/>
      <c r="FVD5" s="390"/>
      <c r="FVE5" s="390"/>
      <c r="FVF5" s="390"/>
      <c r="FVG5" s="390"/>
      <c r="FVH5" s="390"/>
      <c r="FVI5" s="390"/>
      <c r="FVJ5" s="390"/>
      <c r="FVK5" s="390"/>
      <c r="FVL5" s="390"/>
      <c r="FVM5" s="390"/>
      <c r="FVN5" s="390"/>
      <c r="FVO5" s="390"/>
      <c r="FVP5" s="390"/>
      <c r="FVQ5" s="390"/>
      <c r="FVR5" s="390"/>
      <c r="FVS5" s="390"/>
      <c r="FVT5" s="390"/>
      <c r="FVU5" s="390"/>
      <c r="FVV5" s="390"/>
      <c r="FVW5" s="390"/>
      <c r="FVX5" s="390"/>
      <c r="FVY5" s="390"/>
      <c r="FVZ5" s="390"/>
      <c r="FWA5" s="390"/>
      <c r="FWB5" s="390"/>
      <c r="FWC5" s="390"/>
      <c r="FWD5" s="390"/>
      <c r="FWE5" s="390"/>
      <c r="FWF5" s="390"/>
      <c r="FWG5" s="390"/>
      <c r="FWH5" s="390"/>
      <c r="FWI5" s="390"/>
      <c r="FWJ5" s="390"/>
      <c r="FWK5" s="390"/>
      <c r="FWL5" s="390"/>
      <c r="FWM5" s="390"/>
      <c r="FWN5" s="390"/>
      <c r="FWO5" s="390"/>
      <c r="FWP5" s="390"/>
      <c r="FWQ5" s="390"/>
      <c r="FWR5" s="390"/>
      <c r="FWS5" s="390"/>
      <c r="FWT5" s="390"/>
      <c r="FWU5" s="390"/>
      <c r="FWV5" s="390"/>
      <c r="FWW5" s="390"/>
      <c r="FWX5" s="390"/>
      <c r="FWY5" s="390"/>
      <c r="FWZ5" s="390"/>
      <c r="FXA5" s="390"/>
      <c r="FXB5" s="390"/>
      <c r="FXC5" s="390"/>
      <c r="FXD5" s="390"/>
      <c r="FXE5" s="390"/>
      <c r="FXF5" s="390"/>
      <c r="FXG5" s="390"/>
      <c r="FXH5" s="390"/>
      <c r="FXI5" s="390"/>
      <c r="FXJ5" s="390"/>
      <c r="FXK5" s="390"/>
      <c r="FXL5" s="390"/>
      <c r="FXM5" s="390"/>
      <c r="FXN5" s="390"/>
      <c r="FXO5" s="390"/>
      <c r="FXP5" s="390"/>
      <c r="FXQ5" s="390"/>
      <c r="FXR5" s="390"/>
      <c r="FXS5" s="390"/>
      <c r="FXT5" s="390"/>
      <c r="FXU5" s="390"/>
      <c r="FXV5" s="390"/>
      <c r="FXW5" s="390"/>
      <c r="FXX5" s="390"/>
      <c r="FXY5" s="390"/>
      <c r="FXZ5" s="390"/>
      <c r="FYA5" s="390"/>
      <c r="FYB5" s="390"/>
      <c r="FYC5" s="390"/>
      <c r="FYD5" s="390"/>
      <c r="FYE5" s="390"/>
      <c r="FYF5" s="390"/>
      <c r="FYG5" s="390"/>
      <c r="FYH5" s="390"/>
      <c r="FYI5" s="390"/>
      <c r="FYJ5" s="390"/>
      <c r="FYK5" s="390"/>
      <c r="FYL5" s="390"/>
      <c r="FYM5" s="390"/>
      <c r="FYN5" s="390"/>
      <c r="FYO5" s="390"/>
      <c r="FYP5" s="390"/>
      <c r="FYQ5" s="390"/>
      <c r="FYR5" s="390"/>
      <c r="FYS5" s="390"/>
      <c r="FYT5" s="390"/>
      <c r="FYU5" s="390"/>
      <c r="FYV5" s="390"/>
      <c r="FYW5" s="390"/>
      <c r="FYX5" s="390"/>
      <c r="FYY5" s="390"/>
      <c r="FYZ5" s="390"/>
      <c r="FZA5" s="390"/>
      <c r="FZB5" s="390"/>
      <c r="FZC5" s="390"/>
      <c r="FZD5" s="390"/>
      <c r="FZE5" s="390"/>
      <c r="FZF5" s="390"/>
      <c r="FZG5" s="390"/>
      <c r="FZH5" s="390"/>
      <c r="FZI5" s="390"/>
      <c r="FZJ5" s="390"/>
      <c r="FZK5" s="390"/>
      <c r="FZL5" s="390"/>
      <c r="FZM5" s="390"/>
      <c r="FZN5" s="390"/>
      <c r="FZO5" s="390"/>
      <c r="FZP5" s="390"/>
      <c r="FZQ5" s="390"/>
      <c r="FZR5" s="390"/>
      <c r="FZS5" s="390"/>
      <c r="FZT5" s="390"/>
      <c r="FZU5" s="390"/>
      <c r="FZV5" s="390"/>
      <c r="FZW5" s="390"/>
      <c r="FZX5" s="390"/>
      <c r="FZY5" s="390"/>
      <c r="FZZ5" s="390"/>
      <c r="GAA5" s="390"/>
      <c r="GAB5" s="390"/>
      <c r="GAC5" s="390"/>
      <c r="GAD5" s="390"/>
      <c r="GAE5" s="390"/>
      <c r="GAF5" s="390"/>
      <c r="GAG5" s="390"/>
      <c r="GAH5" s="390"/>
      <c r="GAI5" s="390"/>
      <c r="GAJ5" s="390"/>
      <c r="GAK5" s="390"/>
      <c r="GAL5" s="390"/>
      <c r="GAM5" s="390"/>
      <c r="GAN5" s="390"/>
      <c r="GAO5" s="390"/>
      <c r="GAP5" s="390"/>
      <c r="GAQ5" s="390"/>
      <c r="GAR5" s="390"/>
      <c r="GAS5" s="390"/>
      <c r="GAT5" s="390"/>
      <c r="GAU5" s="390"/>
      <c r="GAV5" s="390"/>
      <c r="GAW5" s="390"/>
      <c r="GAX5" s="390"/>
      <c r="GAY5" s="390"/>
      <c r="GAZ5" s="390"/>
      <c r="GBA5" s="390"/>
      <c r="GBB5" s="390"/>
      <c r="GBC5" s="390"/>
      <c r="GBD5" s="390"/>
      <c r="GBE5" s="390"/>
      <c r="GBF5" s="390"/>
      <c r="GBG5" s="390"/>
      <c r="GBH5" s="390"/>
      <c r="GBI5" s="390"/>
      <c r="GBJ5" s="390"/>
      <c r="GBK5" s="390"/>
      <c r="GBL5" s="390"/>
      <c r="GBM5" s="390"/>
      <c r="GBN5" s="390"/>
      <c r="GBO5" s="390"/>
      <c r="GBP5" s="390"/>
      <c r="GBQ5" s="390"/>
      <c r="GBR5" s="390"/>
      <c r="GBS5" s="390"/>
      <c r="GBT5" s="390"/>
      <c r="GBU5" s="390"/>
      <c r="GBV5" s="390"/>
      <c r="GBW5" s="390"/>
      <c r="GBX5" s="390"/>
      <c r="GBY5" s="390"/>
      <c r="GBZ5" s="390"/>
      <c r="GCA5" s="390"/>
      <c r="GCB5" s="390"/>
      <c r="GCC5" s="390"/>
      <c r="GCD5" s="390"/>
      <c r="GCE5" s="390"/>
      <c r="GCF5" s="390"/>
      <c r="GCG5" s="390"/>
      <c r="GCH5" s="390"/>
      <c r="GCI5" s="390"/>
      <c r="GCJ5" s="390"/>
      <c r="GCK5" s="390"/>
      <c r="GCL5" s="390"/>
      <c r="GCM5" s="390"/>
      <c r="GCN5" s="390"/>
      <c r="GCO5" s="390"/>
      <c r="GCP5" s="390"/>
      <c r="GCQ5" s="390"/>
      <c r="GCR5" s="390"/>
      <c r="GCS5" s="390"/>
      <c r="GCT5" s="390"/>
      <c r="GCU5" s="390"/>
      <c r="GCV5" s="390"/>
      <c r="GCW5" s="390"/>
      <c r="GCX5" s="390"/>
      <c r="GCY5" s="390"/>
      <c r="GCZ5" s="390"/>
      <c r="GDA5" s="390"/>
      <c r="GDB5" s="390"/>
      <c r="GDC5" s="390"/>
      <c r="GDD5" s="390"/>
      <c r="GDE5" s="390"/>
      <c r="GDF5" s="390"/>
      <c r="GDG5" s="390"/>
      <c r="GDH5" s="390"/>
      <c r="GDI5" s="390"/>
      <c r="GDJ5" s="390"/>
      <c r="GDK5" s="390"/>
      <c r="GDL5" s="390"/>
      <c r="GDM5" s="390"/>
      <c r="GDN5" s="390"/>
      <c r="GDO5" s="390"/>
      <c r="GDP5" s="390"/>
      <c r="GDQ5" s="390"/>
      <c r="GDR5" s="390"/>
      <c r="GDS5" s="390"/>
      <c r="GDT5" s="390"/>
      <c r="GDU5" s="390"/>
      <c r="GDV5" s="390"/>
      <c r="GDW5" s="390"/>
      <c r="GDX5" s="390"/>
      <c r="GDY5" s="390"/>
      <c r="GDZ5" s="390"/>
      <c r="GEA5" s="390"/>
      <c r="GEB5" s="390"/>
      <c r="GEC5" s="390"/>
      <c r="GED5" s="390"/>
      <c r="GEE5" s="390"/>
      <c r="GEF5" s="390"/>
      <c r="GEG5" s="390"/>
      <c r="GEH5" s="390"/>
      <c r="GEI5" s="390"/>
      <c r="GEJ5" s="390"/>
      <c r="GEK5" s="390"/>
      <c r="GEL5" s="390"/>
      <c r="GEM5" s="390"/>
      <c r="GEN5" s="390"/>
      <c r="GEO5" s="390"/>
      <c r="GEP5" s="390"/>
      <c r="GEQ5" s="390"/>
      <c r="GER5" s="390"/>
      <c r="GES5" s="390"/>
      <c r="GET5" s="390"/>
      <c r="GEU5" s="390"/>
      <c r="GEV5" s="390"/>
      <c r="GEW5" s="390"/>
      <c r="GEX5" s="390"/>
      <c r="GEY5" s="390"/>
      <c r="GEZ5" s="390"/>
      <c r="GFA5" s="390"/>
      <c r="GFB5" s="390"/>
      <c r="GFC5" s="390"/>
      <c r="GFD5" s="390"/>
      <c r="GFE5" s="390"/>
      <c r="GFF5" s="390"/>
      <c r="GFG5" s="390"/>
      <c r="GFH5" s="390"/>
      <c r="GFI5" s="390"/>
      <c r="GFJ5" s="390"/>
      <c r="GFK5" s="390"/>
      <c r="GFL5" s="390"/>
      <c r="GFM5" s="390"/>
      <c r="GFN5" s="390"/>
      <c r="GFO5" s="390"/>
      <c r="GFP5" s="390"/>
      <c r="GFQ5" s="390"/>
      <c r="GFR5" s="390"/>
      <c r="GFS5" s="390"/>
      <c r="GFT5" s="390"/>
      <c r="GFU5" s="390"/>
      <c r="GFV5" s="390"/>
      <c r="GFW5" s="390"/>
      <c r="GFX5" s="390"/>
      <c r="GFY5" s="390"/>
      <c r="GFZ5" s="390"/>
      <c r="GGA5" s="390"/>
      <c r="GGB5" s="390"/>
      <c r="GGC5" s="390"/>
      <c r="GGD5" s="390"/>
      <c r="GGE5" s="390"/>
      <c r="GGF5" s="390"/>
      <c r="GGG5" s="390"/>
      <c r="GGH5" s="390"/>
      <c r="GGI5" s="390"/>
      <c r="GGJ5" s="390"/>
      <c r="GGK5" s="390"/>
      <c r="GGL5" s="390"/>
      <c r="GGM5" s="390"/>
      <c r="GGN5" s="390"/>
      <c r="GGO5" s="390"/>
      <c r="GGP5" s="390"/>
      <c r="GGQ5" s="390"/>
      <c r="GGR5" s="390"/>
      <c r="GGS5" s="390"/>
      <c r="GGT5" s="390"/>
      <c r="GGU5" s="390"/>
      <c r="GGV5" s="390"/>
      <c r="GGW5" s="390"/>
      <c r="GGX5" s="390"/>
      <c r="GGY5" s="390"/>
      <c r="GGZ5" s="390"/>
      <c r="GHA5" s="390"/>
      <c r="GHB5" s="390"/>
      <c r="GHC5" s="390"/>
      <c r="GHD5" s="390"/>
      <c r="GHE5" s="390"/>
      <c r="GHF5" s="390"/>
      <c r="GHG5" s="390"/>
      <c r="GHH5" s="390"/>
      <c r="GHI5" s="390"/>
      <c r="GHJ5" s="390"/>
      <c r="GHK5" s="390"/>
      <c r="GHL5" s="390"/>
      <c r="GHM5" s="390"/>
      <c r="GHN5" s="390"/>
      <c r="GHO5" s="390"/>
      <c r="GHP5" s="390"/>
      <c r="GHQ5" s="390"/>
      <c r="GHR5" s="390"/>
      <c r="GHS5" s="390"/>
      <c r="GHT5" s="390"/>
      <c r="GHU5" s="390"/>
      <c r="GHV5" s="390"/>
      <c r="GHW5" s="390"/>
      <c r="GHX5" s="390"/>
      <c r="GHY5" s="390"/>
      <c r="GHZ5" s="390"/>
      <c r="GIA5" s="390"/>
      <c r="GIB5" s="390"/>
      <c r="GIC5" s="390"/>
      <c r="GID5" s="390"/>
      <c r="GIE5" s="390"/>
      <c r="GIF5" s="390"/>
      <c r="GIG5" s="390"/>
      <c r="GIH5" s="390"/>
      <c r="GII5" s="390"/>
      <c r="GIJ5" s="390"/>
      <c r="GIK5" s="390"/>
      <c r="GIL5" s="390"/>
      <c r="GIM5" s="390"/>
      <c r="GIN5" s="390"/>
      <c r="GIO5" s="390"/>
      <c r="GIP5" s="390"/>
      <c r="GIQ5" s="390"/>
      <c r="GIR5" s="390"/>
      <c r="GIS5" s="390"/>
      <c r="GIT5" s="390"/>
      <c r="GIU5" s="390"/>
      <c r="GIV5" s="390"/>
      <c r="GIW5" s="390"/>
      <c r="GIX5" s="390"/>
      <c r="GIY5" s="390"/>
      <c r="GIZ5" s="390"/>
      <c r="GJA5" s="390"/>
      <c r="GJB5" s="390"/>
      <c r="GJC5" s="390"/>
      <c r="GJD5" s="390"/>
      <c r="GJE5" s="390"/>
      <c r="GJF5" s="390"/>
      <c r="GJG5" s="390"/>
      <c r="GJH5" s="390"/>
      <c r="GJI5" s="390"/>
      <c r="GJJ5" s="390"/>
      <c r="GJK5" s="390"/>
      <c r="GJL5" s="390"/>
      <c r="GJM5" s="390"/>
      <c r="GJN5" s="390"/>
      <c r="GJO5" s="390"/>
      <c r="GJP5" s="390"/>
      <c r="GJQ5" s="390"/>
      <c r="GJR5" s="390"/>
      <c r="GJS5" s="390"/>
      <c r="GJT5" s="390"/>
      <c r="GJU5" s="390"/>
      <c r="GJV5" s="390"/>
      <c r="GJW5" s="390"/>
      <c r="GJX5" s="390"/>
      <c r="GJY5" s="390"/>
      <c r="GJZ5" s="390"/>
      <c r="GKA5" s="390"/>
      <c r="GKB5" s="390"/>
      <c r="GKC5" s="390"/>
      <c r="GKD5" s="390"/>
      <c r="GKE5" s="390"/>
      <c r="GKF5" s="390"/>
      <c r="GKG5" s="390"/>
      <c r="GKH5" s="390"/>
      <c r="GKI5" s="390"/>
      <c r="GKJ5" s="390"/>
      <c r="GKK5" s="390"/>
      <c r="GKL5" s="390"/>
      <c r="GKM5" s="390"/>
      <c r="GKN5" s="390"/>
      <c r="GKO5" s="390"/>
      <c r="GKP5" s="390"/>
      <c r="GKQ5" s="390"/>
      <c r="GKR5" s="390"/>
      <c r="GKS5" s="390"/>
      <c r="GKT5" s="390"/>
      <c r="GKU5" s="390"/>
      <c r="GKV5" s="390"/>
      <c r="GKW5" s="390"/>
      <c r="GKX5" s="390"/>
      <c r="GKY5" s="390"/>
      <c r="GKZ5" s="390"/>
      <c r="GLA5" s="390"/>
      <c r="GLB5" s="390"/>
      <c r="GLC5" s="390"/>
      <c r="GLD5" s="390"/>
      <c r="GLE5" s="390"/>
      <c r="GLF5" s="390"/>
      <c r="GLG5" s="390"/>
      <c r="GLH5" s="390"/>
      <c r="GLI5" s="390"/>
      <c r="GLJ5" s="390"/>
      <c r="GLK5" s="390"/>
      <c r="GLL5" s="390"/>
      <c r="GLM5" s="390"/>
      <c r="GLN5" s="390"/>
      <c r="GLO5" s="390"/>
      <c r="GLP5" s="390"/>
      <c r="GLQ5" s="390"/>
      <c r="GLR5" s="390"/>
      <c r="GLS5" s="390"/>
      <c r="GLT5" s="390"/>
      <c r="GLU5" s="390"/>
      <c r="GLV5" s="390"/>
      <c r="GLW5" s="390"/>
      <c r="GLX5" s="390"/>
      <c r="GLY5" s="390"/>
      <c r="GLZ5" s="390"/>
      <c r="GMA5" s="390"/>
      <c r="GMB5" s="390"/>
      <c r="GMC5" s="390"/>
      <c r="GMD5" s="390"/>
      <c r="GME5" s="390"/>
      <c r="GMF5" s="390"/>
      <c r="GMG5" s="390"/>
      <c r="GMH5" s="390"/>
      <c r="GMI5" s="390"/>
      <c r="GMJ5" s="390"/>
      <c r="GMK5" s="390"/>
      <c r="GML5" s="390"/>
      <c r="GMM5" s="390"/>
      <c r="GMN5" s="390"/>
      <c r="GMO5" s="390"/>
      <c r="GMP5" s="390"/>
      <c r="GMQ5" s="390"/>
      <c r="GMR5" s="390"/>
      <c r="GMS5" s="390"/>
      <c r="GMT5" s="390"/>
      <c r="GMU5" s="390"/>
      <c r="GMV5" s="390"/>
      <c r="GMW5" s="390"/>
      <c r="GMX5" s="390"/>
      <c r="GMY5" s="390"/>
      <c r="GMZ5" s="390"/>
      <c r="GNA5" s="390"/>
      <c r="GNB5" s="390"/>
      <c r="GNC5" s="390"/>
      <c r="GND5" s="390"/>
      <c r="GNE5" s="390"/>
      <c r="GNF5" s="390"/>
      <c r="GNG5" s="390"/>
      <c r="GNH5" s="390"/>
      <c r="GNI5" s="390"/>
      <c r="GNJ5" s="390"/>
      <c r="GNK5" s="390"/>
      <c r="GNL5" s="390"/>
      <c r="GNM5" s="390"/>
      <c r="GNN5" s="390"/>
      <c r="GNO5" s="390"/>
      <c r="GNP5" s="390"/>
      <c r="GNQ5" s="390"/>
      <c r="GNR5" s="390"/>
      <c r="GNS5" s="390"/>
      <c r="GNT5" s="390"/>
      <c r="GNU5" s="390"/>
      <c r="GNV5" s="390"/>
      <c r="GNW5" s="390"/>
      <c r="GNX5" s="390"/>
      <c r="GNY5" s="390"/>
      <c r="GNZ5" s="390"/>
      <c r="GOA5" s="390"/>
      <c r="GOB5" s="390"/>
      <c r="GOC5" s="390"/>
      <c r="GOD5" s="390"/>
      <c r="GOE5" s="390"/>
      <c r="GOF5" s="390"/>
      <c r="GOG5" s="390"/>
      <c r="GOH5" s="390"/>
      <c r="GOI5" s="390"/>
      <c r="GOJ5" s="390"/>
      <c r="GOK5" s="390"/>
      <c r="GOL5" s="390"/>
      <c r="GOM5" s="390"/>
      <c r="GON5" s="390"/>
      <c r="GOO5" s="390"/>
      <c r="GOP5" s="390"/>
      <c r="GOQ5" s="390"/>
      <c r="GOR5" s="390"/>
      <c r="GOS5" s="390"/>
      <c r="GOT5" s="390"/>
      <c r="GOU5" s="390"/>
      <c r="GOV5" s="390"/>
      <c r="GOW5" s="390"/>
      <c r="GOX5" s="390"/>
      <c r="GOY5" s="390"/>
      <c r="GOZ5" s="390"/>
      <c r="GPA5" s="390"/>
      <c r="GPB5" s="390"/>
      <c r="GPC5" s="390"/>
      <c r="GPD5" s="390"/>
      <c r="GPE5" s="390"/>
      <c r="GPF5" s="390"/>
      <c r="GPG5" s="390"/>
      <c r="GPH5" s="390"/>
      <c r="GPI5" s="390"/>
      <c r="GPJ5" s="390"/>
      <c r="GPK5" s="390"/>
      <c r="GPL5" s="390"/>
      <c r="GPM5" s="390"/>
      <c r="GPN5" s="390"/>
      <c r="GPO5" s="390"/>
      <c r="GPP5" s="390"/>
      <c r="GPQ5" s="390"/>
      <c r="GPR5" s="390"/>
      <c r="GPS5" s="390"/>
      <c r="GPT5" s="390"/>
      <c r="GPU5" s="390"/>
      <c r="GPV5" s="390"/>
      <c r="GPW5" s="390"/>
      <c r="GPX5" s="390"/>
      <c r="GPY5" s="390"/>
      <c r="GPZ5" s="390"/>
      <c r="GQA5" s="390"/>
      <c r="GQB5" s="390"/>
      <c r="GQC5" s="390"/>
      <c r="GQD5" s="390"/>
      <c r="GQE5" s="390"/>
      <c r="GQF5" s="390"/>
      <c r="GQG5" s="390"/>
      <c r="GQH5" s="390"/>
      <c r="GQI5" s="390"/>
      <c r="GQJ5" s="390"/>
      <c r="GQK5" s="390"/>
      <c r="GQL5" s="390"/>
      <c r="GQM5" s="390"/>
      <c r="GQN5" s="390"/>
      <c r="GQO5" s="390"/>
      <c r="GQP5" s="390"/>
      <c r="GQQ5" s="390"/>
      <c r="GQR5" s="390"/>
      <c r="GQS5" s="390"/>
      <c r="GQT5" s="390"/>
      <c r="GQU5" s="390"/>
      <c r="GQV5" s="390"/>
      <c r="GQW5" s="390"/>
      <c r="GQX5" s="390"/>
      <c r="GQY5" s="390"/>
      <c r="GQZ5" s="390"/>
      <c r="GRA5" s="390"/>
      <c r="GRB5" s="390"/>
      <c r="GRC5" s="390"/>
      <c r="GRD5" s="390"/>
      <c r="GRE5" s="390"/>
      <c r="GRF5" s="390"/>
      <c r="GRG5" s="390"/>
      <c r="GRH5" s="390"/>
      <c r="GRI5" s="390"/>
      <c r="GRJ5" s="390"/>
      <c r="GRK5" s="390"/>
      <c r="GRL5" s="390"/>
      <c r="GRM5" s="390"/>
      <c r="GRN5" s="390"/>
      <c r="GRO5" s="390"/>
      <c r="GRP5" s="390"/>
      <c r="GRQ5" s="390"/>
      <c r="GRR5" s="390"/>
      <c r="GRS5" s="390"/>
      <c r="GRT5" s="390"/>
      <c r="GRU5" s="390"/>
      <c r="GRV5" s="390"/>
      <c r="GRW5" s="390"/>
      <c r="GRX5" s="390"/>
      <c r="GRY5" s="390"/>
      <c r="GRZ5" s="390"/>
      <c r="GSA5" s="390"/>
      <c r="GSB5" s="390"/>
      <c r="GSC5" s="390"/>
      <c r="GSD5" s="390"/>
      <c r="GSE5" s="390"/>
      <c r="GSF5" s="390"/>
      <c r="GSG5" s="390"/>
      <c r="GSH5" s="390"/>
      <c r="GSI5" s="390"/>
      <c r="GSJ5" s="390"/>
      <c r="GSK5" s="390"/>
      <c r="GSL5" s="390"/>
      <c r="GSM5" s="390"/>
      <c r="GSN5" s="390"/>
      <c r="GSO5" s="390"/>
      <c r="GSP5" s="390"/>
      <c r="GSQ5" s="390"/>
      <c r="GSR5" s="390"/>
      <c r="GSS5" s="390"/>
      <c r="GST5" s="390"/>
      <c r="GSU5" s="390"/>
      <c r="GSV5" s="390"/>
      <c r="GSW5" s="390"/>
      <c r="GSX5" s="390"/>
      <c r="GSY5" s="390"/>
      <c r="GSZ5" s="390"/>
      <c r="GTA5" s="390"/>
      <c r="GTB5" s="390"/>
      <c r="GTC5" s="390"/>
      <c r="GTD5" s="390"/>
      <c r="GTE5" s="390"/>
      <c r="GTF5" s="390"/>
      <c r="GTG5" s="390"/>
      <c r="GTH5" s="390"/>
      <c r="GTI5" s="390"/>
      <c r="GTJ5" s="390"/>
      <c r="GTK5" s="390"/>
      <c r="GTL5" s="390"/>
      <c r="GTM5" s="390"/>
      <c r="GTN5" s="390"/>
      <c r="GTO5" s="390"/>
      <c r="GTP5" s="390"/>
      <c r="GTQ5" s="390"/>
      <c r="GTR5" s="390"/>
      <c r="GTS5" s="390"/>
      <c r="GTT5" s="390"/>
      <c r="GTU5" s="390"/>
      <c r="GTV5" s="390"/>
      <c r="GTW5" s="390"/>
      <c r="GTX5" s="390"/>
      <c r="GTY5" s="390"/>
      <c r="GTZ5" s="390"/>
      <c r="GUA5" s="390"/>
      <c r="GUB5" s="390"/>
      <c r="GUC5" s="390"/>
      <c r="GUD5" s="390"/>
      <c r="GUE5" s="390"/>
      <c r="GUF5" s="390"/>
      <c r="GUG5" s="390"/>
      <c r="GUH5" s="390"/>
      <c r="GUI5" s="390"/>
      <c r="GUJ5" s="390"/>
      <c r="GUK5" s="390"/>
      <c r="GUL5" s="390"/>
      <c r="GUM5" s="390"/>
      <c r="GUN5" s="390"/>
      <c r="GUO5" s="390"/>
      <c r="GUP5" s="390"/>
      <c r="GUQ5" s="390"/>
      <c r="GUR5" s="390"/>
      <c r="GUS5" s="390"/>
      <c r="GUT5" s="390"/>
      <c r="GUU5" s="390"/>
      <c r="GUV5" s="390"/>
      <c r="GUW5" s="390"/>
      <c r="GUX5" s="390"/>
      <c r="GUY5" s="390"/>
      <c r="GUZ5" s="390"/>
      <c r="GVA5" s="390"/>
      <c r="GVB5" s="390"/>
      <c r="GVC5" s="390"/>
      <c r="GVD5" s="390"/>
      <c r="GVE5" s="390"/>
      <c r="GVF5" s="390"/>
      <c r="GVG5" s="390"/>
      <c r="GVH5" s="390"/>
      <c r="GVI5" s="390"/>
      <c r="GVJ5" s="390"/>
      <c r="GVK5" s="390"/>
      <c r="GVL5" s="390"/>
      <c r="GVM5" s="390"/>
      <c r="GVN5" s="390"/>
      <c r="GVO5" s="390"/>
      <c r="GVP5" s="390"/>
      <c r="GVQ5" s="390"/>
      <c r="GVR5" s="390"/>
      <c r="GVS5" s="390"/>
      <c r="GVT5" s="390"/>
      <c r="GVU5" s="390"/>
      <c r="GVV5" s="390"/>
      <c r="GVW5" s="390"/>
      <c r="GVX5" s="390"/>
      <c r="GVY5" s="390"/>
      <c r="GVZ5" s="390"/>
      <c r="GWA5" s="390"/>
      <c r="GWB5" s="390"/>
      <c r="GWC5" s="390"/>
      <c r="GWD5" s="390"/>
      <c r="GWE5" s="390"/>
      <c r="GWF5" s="390"/>
      <c r="GWG5" s="390"/>
      <c r="GWH5" s="390"/>
      <c r="GWI5" s="390"/>
      <c r="GWJ5" s="390"/>
      <c r="GWK5" s="390"/>
      <c r="GWL5" s="390"/>
      <c r="GWM5" s="390"/>
      <c r="GWN5" s="390"/>
      <c r="GWO5" s="390"/>
      <c r="GWP5" s="390"/>
      <c r="GWQ5" s="390"/>
      <c r="GWR5" s="390"/>
      <c r="GWS5" s="390"/>
      <c r="GWT5" s="390"/>
      <c r="GWU5" s="390"/>
      <c r="GWV5" s="390"/>
      <c r="GWW5" s="390"/>
      <c r="GWX5" s="390"/>
      <c r="GWY5" s="390"/>
      <c r="GWZ5" s="390"/>
      <c r="GXA5" s="390"/>
      <c r="GXB5" s="390"/>
      <c r="GXC5" s="390"/>
      <c r="GXD5" s="390"/>
      <c r="GXE5" s="390"/>
      <c r="GXF5" s="390"/>
      <c r="GXG5" s="390"/>
      <c r="GXH5" s="390"/>
      <c r="GXI5" s="390"/>
      <c r="GXJ5" s="390"/>
      <c r="GXK5" s="390"/>
      <c r="GXL5" s="390"/>
      <c r="GXM5" s="390"/>
      <c r="GXN5" s="390"/>
      <c r="GXO5" s="390"/>
      <c r="GXP5" s="390"/>
      <c r="GXQ5" s="390"/>
      <c r="GXR5" s="390"/>
      <c r="GXS5" s="390"/>
      <c r="GXT5" s="390"/>
      <c r="GXU5" s="390"/>
      <c r="GXV5" s="390"/>
      <c r="GXW5" s="390"/>
      <c r="GXX5" s="390"/>
      <c r="GXY5" s="390"/>
      <c r="GXZ5" s="390"/>
      <c r="GYA5" s="390"/>
      <c r="GYB5" s="390"/>
      <c r="GYC5" s="390"/>
      <c r="GYD5" s="390"/>
      <c r="GYE5" s="390"/>
      <c r="GYF5" s="390"/>
      <c r="GYG5" s="390"/>
      <c r="GYH5" s="390"/>
      <c r="GYI5" s="390"/>
      <c r="GYJ5" s="390"/>
      <c r="GYK5" s="390"/>
      <c r="GYL5" s="390"/>
      <c r="GYM5" s="390"/>
      <c r="GYN5" s="390"/>
      <c r="GYO5" s="390"/>
      <c r="GYP5" s="390"/>
      <c r="GYQ5" s="390"/>
      <c r="GYR5" s="390"/>
      <c r="GYS5" s="390"/>
      <c r="GYT5" s="390"/>
      <c r="GYU5" s="390"/>
      <c r="GYV5" s="390"/>
      <c r="GYW5" s="390"/>
      <c r="GYX5" s="390"/>
      <c r="GYY5" s="390"/>
      <c r="GYZ5" s="390"/>
      <c r="GZA5" s="390"/>
      <c r="GZB5" s="390"/>
      <c r="GZC5" s="390"/>
      <c r="GZD5" s="390"/>
      <c r="GZE5" s="390"/>
      <c r="GZF5" s="390"/>
      <c r="GZG5" s="390"/>
      <c r="GZH5" s="390"/>
      <c r="GZI5" s="390"/>
      <c r="GZJ5" s="390"/>
      <c r="GZK5" s="390"/>
      <c r="GZL5" s="390"/>
      <c r="GZM5" s="390"/>
      <c r="GZN5" s="390"/>
      <c r="GZO5" s="390"/>
      <c r="GZP5" s="390"/>
      <c r="GZQ5" s="390"/>
      <c r="GZR5" s="390"/>
      <c r="GZS5" s="390"/>
      <c r="GZT5" s="390"/>
      <c r="GZU5" s="390"/>
      <c r="GZV5" s="390"/>
      <c r="GZW5" s="390"/>
      <c r="GZX5" s="390"/>
      <c r="GZY5" s="390"/>
      <c r="GZZ5" s="390"/>
      <c r="HAA5" s="390"/>
      <c r="HAB5" s="390"/>
      <c r="HAC5" s="390"/>
      <c r="HAD5" s="390"/>
      <c r="HAE5" s="390"/>
      <c r="HAF5" s="390"/>
      <c r="HAG5" s="390"/>
      <c r="HAH5" s="390"/>
      <c r="HAI5" s="390"/>
      <c r="HAJ5" s="390"/>
      <c r="HAK5" s="390"/>
      <c r="HAL5" s="390"/>
      <c r="HAM5" s="390"/>
      <c r="HAN5" s="390"/>
      <c r="HAO5" s="390"/>
      <c r="HAP5" s="390"/>
      <c r="HAQ5" s="390"/>
      <c r="HAR5" s="390"/>
      <c r="HAS5" s="390"/>
      <c r="HAT5" s="390"/>
      <c r="HAU5" s="390"/>
      <c r="HAV5" s="390"/>
      <c r="HAW5" s="390"/>
      <c r="HAX5" s="390"/>
      <c r="HAY5" s="390"/>
      <c r="HAZ5" s="390"/>
      <c r="HBA5" s="390"/>
      <c r="HBB5" s="390"/>
      <c r="HBC5" s="390"/>
      <c r="HBD5" s="390"/>
      <c r="HBE5" s="390"/>
      <c r="HBF5" s="390"/>
      <c r="HBG5" s="390"/>
      <c r="HBH5" s="390"/>
      <c r="HBI5" s="390"/>
      <c r="HBJ5" s="390"/>
      <c r="HBK5" s="390"/>
      <c r="HBL5" s="390"/>
      <c r="HBM5" s="390"/>
      <c r="HBN5" s="390"/>
      <c r="HBO5" s="390"/>
      <c r="HBP5" s="390"/>
      <c r="HBQ5" s="390"/>
      <c r="HBR5" s="390"/>
      <c r="HBS5" s="390"/>
      <c r="HBT5" s="390"/>
      <c r="HBU5" s="390"/>
      <c r="HBV5" s="390"/>
      <c r="HBW5" s="390"/>
      <c r="HBX5" s="390"/>
      <c r="HBY5" s="390"/>
      <c r="HBZ5" s="390"/>
      <c r="HCA5" s="390"/>
      <c r="HCB5" s="390"/>
      <c r="HCC5" s="390"/>
      <c r="HCD5" s="390"/>
      <c r="HCE5" s="390"/>
      <c r="HCF5" s="390"/>
      <c r="HCG5" s="390"/>
      <c r="HCH5" s="390"/>
      <c r="HCI5" s="390"/>
      <c r="HCJ5" s="390"/>
      <c r="HCK5" s="390"/>
      <c r="HCL5" s="390"/>
      <c r="HCM5" s="390"/>
      <c r="HCN5" s="390"/>
      <c r="HCO5" s="390"/>
      <c r="HCP5" s="390"/>
      <c r="HCQ5" s="390"/>
      <c r="HCR5" s="390"/>
      <c r="HCS5" s="390"/>
      <c r="HCT5" s="390"/>
      <c r="HCU5" s="390"/>
      <c r="HCV5" s="390"/>
      <c r="HCW5" s="390"/>
      <c r="HCX5" s="390"/>
      <c r="HCY5" s="390"/>
      <c r="HCZ5" s="390"/>
      <c r="HDA5" s="390"/>
      <c r="HDB5" s="390"/>
      <c r="HDC5" s="390"/>
      <c r="HDD5" s="390"/>
      <c r="HDE5" s="390"/>
      <c r="HDF5" s="390"/>
      <c r="HDG5" s="390"/>
      <c r="HDH5" s="390"/>
      <c r="HDI5" s="390"/>
      <c r="HDJ5" s="390"/>
      <c r="HDK5" s="390"/>
      <c r="HDL5" s="390"/>
      <c r="HDM5" s="390"/>
      <c r="HDN5" s="390"/>
      <c r="HDO5" s="390"/>
      <c r="HDP5" s="390"/>
      <c r="HDQ5" s="390"/>
      <c r="HDR5" s="390"/>
      <c r="HDS5" s="390"/>
      <c r="HDT5" s="390"/>
      <c r="HDU5" s="390"/>
      <c r="HDV5" s="390"/>
      <c r="HDW5" s="390"/>
      <c r="HDX5" s="390"/>
      <c r="HDY5" s="390"/>
      <c r="HDZ5" s="390"/>
      <c r="HEA5" s="390"/>
      <c r="HEB5" s="390"/>
      <c r="HEC5" s="390"/>
      <c r="HED5" s="390"/>
      <c r="HEE5" s="390"/>
      <c r="HEF5" s="390"/>
      <c r="HEG5" s="390"/>
      <c r="HEH5" s="390"/>
      <c r="HEI5" s="390"/>
      <c r="HEJ5" s="390"/>
      <c r="HEK5" s="390"/>
      <c r="HEL5" s="390"/>
      <c r="HEM5" s="390"/>
      <c r="HEN5" s="390"/>
      <c r="HEO5" s="390"/>
      <c r="HEP5" s="390"/>
      <c r="HEQ5" s="390"/>
      <c r="HER5" s="390"/>
      <c r="HES5" s="390"/>
      <c r="HET5" s="390"/>
      <c r="HEU5" s="390"/>
      <c r="HEV5" s="390"/>
      <c r="HEW5" s="390"/>
      <c r="HEX5" s="390"/>
      <c r="HEY5" s="390"/>
      <c r="HEZ5" s="390"/>
      <c r="HFA5" s="390"/>
      <c r="HFB5" s="390"/>
      <c r="HFC5" s="390"/>
      <c r="HFD5" s="390"/>
      <c r="HFE5" s="390"/>
      <c r="HFF5" s="390"/>
      <c r="HFG5" s="390"/>
      <c r="HFH5" s="390"/>
      <c r="HFI5" s="390"/>
      <c r="HFJ5" s="390"/>
      <c r="HFK5" s="390"/>
      <c r="HFL5" s="390"/>
      <c r="HFM5" s="390"/>
      <c r="HFN5" s="390"/>
      <c r="HFO5" s="390"/>
      <c r="HFP5" s="390"/>
      <c r="HFQ5" s="390"/>
      <c r="HFR5" s="390"/>
      <c r="HFS5" s="390"/>
      <c r="HFT5" s="390"/>
      <c r="HFU5" s="390"/>
      <c r="HFV5" s="390"/>
      <c r="HFW5" s="390"/>
      <c r="HFX5" s="390"/>
      <c r="HFY5" s="390"/>
      <c r="HFZ5" s="390"/>
      <c r="HGA5" s="390"/>
      <c r="HGB5" s="390"/>
      <c r="HGC5" s="390"/>
      <c r="HGD5" s="390"/>
      <c r="HGE5" s="390"/>
      <c r="HGF5" s="390"/>
      <c r="HGG5" s="390"/>
      <c r="HGH5" s="390"/>
      <c r="HGI5" s="390"/>
      <c r="HGJ5" s="390"/>
      <c r="HGK5" s="390"/>
      <c r="HGL5" s="390"/>
      <c r="HGM5" s="390"/>
      <c r="HGN5" s="390"/>
      <c r="HGO5" s="390"/>
      <c r="HGP5" s="390"/>
      <c r="HGQ5" s="390"/>
      <c r="HGR5" s="390"/>
      <c r="HGS5" s="390"/>
      <c r="HGT5" s="390"/>
      <c r="HGU5" s="390"/>
      <c r="HGV5" s="390"/>
      <c r="HGW5" s="390"/>
      <c r="HGX5" s="390"/>
      <c r="HGY5" s="390"/>
      <c r="HGZ5" s="390"/>
      <c r="HHA5" s="390"/>
      <c r="HHB5" s="390"/>
      <c r="HHC5" s="390"/>
      <c r="HHD5" s="390"/>
      <c r="HHE5" s="390"/>
      <c r="HHF5" s="390"/>
      <c r="HHG5" s="390"/>
      <c r="HHH5" s="390"/>
      <c r="HHI5" s="390"/>
      <c r="HHJ5" s="390"/>
      <c r="HHK5" s="390"/>
      <c r="HHL5" s="390"/>
      <c r="HHM5" s="390"/>
      <c r="HHN5" s="390"/>
      <c r="HHO5" s="390"/>
      <c r="HHP5" s="390"/>
      <c r="HHQ5" s="390"/>
      <c r="HHR5" s="390"/>
      <c r="HHS5" s="390"/>
      <c r="HHT5" s="390"/>
      <c r="HHU5" s="390"/>
      <c r="HHV5" s="390"/>
      <c r="HHW5" s="390"/>
      <c r="HHX5" s="390"/>
      <c r="HHY5" s="390"/>
      <c r="HHZ5" s="390"/>
      <c r="HIA5" s="390"/>
      <c r="HIB5" s="390"/>
      <c r="HIC5" s="390"/>
      <c r="HID5" s="390"/>
      <c r="HIE5" s="390"/>
      <c r="HIF5" s="390"/>
      <c r="HIG5" s="390"/>
      <c r="HIH5" s="390"/>
      <c r="HII5" s="390"/>
      <c r="HIJ5" s="390"/>
      <c r="HIK5" s="390"/>
      <c r="HIL5" s="390"/>
      <c r="HIM5" s="390"/>
      <c r="HIN5" s="390"/>
      <c r="HIO5" s="390"/>
      <c r="HIP5" s="390"/>
      <c r="HIQ5" s="390"/>
      <c r="HIR5" s="390"/>
      <c r="HIS5" s="390"/>
      <c r="HIT5" s="390"/>
      <c r="HIU5" s="390"/>
      <c r="HIV5" s="390"/>
      <c r="HIW5" s="390"/>
      <c r="HIX5" s="390"/>
      <c r="HIY5" s="390"/>
      <c r="HIZ5" s="390"/>
      <c r="HJA5" s="390"/>
      <c r="HJB5" s="390"/>
      <c r="HJC5" s="390"/>
      <c r="HJD5" s="390"/>
      <c r="HJE5" s="390"/>
      <c r="HJF5" s="390"/>
      <c r="HJG5" s="390"/>
      <c r="HJH5" s="390"/>
      <c r="HJI5" s="390"/>
      <c r="HJJ5" s="390"/>
      <c r="HJK5" s="390"/>
      <c r="HJL5" s="390"/>
      <c r="HJM5" s="390"/>
      <c r="HJN5" s="390"/>
      <c r="HJO5" s="390"/>
      <c r="HJP5" s="390"/>
      <c r="HJQ5" s="390"/>
      <c r="HJR5" s="390"/>
      <c r="HJS5" s="390"/>
      <c r="HJT5" s="390"/>
      <c r="HJU5" s="390"/>
      <c r="HJV5" s="390"/>
      <c r="HJW5" s="390"/>
      <c r="HJX5" s="390"/>
      <c r="HJY5" s="390"/>
      <c r="HJZ5" s="390"/>
      <c r="HKA5" s="390"/>
      <c r="HKB5" s="390"/>
      <c r="HKC5" s="390"/>
      <c r="HKD5" s="390"/>
      <c r="HKE5" s="390"/>
      <c r="HKF5" s="390"/>
      <c r="HKG5" s="390"/>
      <c r="HKH5" s="390"/>
      <c r="HKI5" s="390"/>
      <c r="HKJ5" s="390"/>
      <c r="HKK5" s="390"/>
      <c r="HKL5" s="390"/>
      <c r="HKM5" s="390"/>
      <c r="HKN5" s="390"/>
      <c r="HKO5" s="390"/>
      <c r="HKP5" s="390"/>
      <c r="HKQ5" s="390"/>
      <c r="HKR5" s="390"/>
      <c r="HKS5" s="390"/>
      <c r="HKT5" s="390"/>
      <c r="HKU5" s="390"/>
      <c r="HKV5" s="390"/>
      <c r="HKW5" s="390"/>
      <c r="HKX5" s="390"/>
      <c r="HKY5" s="390"/>
      <c r="HKZ5" s="390"/>
      <c r="HLA5" s="390"/>
      <c r="HLB5" s="390"/>
      <c r="HLC5" s="390"/>
      <c r="HLD5" s="390"/>
      <c r="HLE5" s="390"/>
      <c r="HLF5" s="390"/>
      <c r="HLG5" s="390"/>
      <c r="HLH5" s="390"/>
      <c r="HLI5" s="390"/>
      <c r="HLJ5" s="390"/>
      <c r="HLK5" s="390"/>
      <c r="HLL5" s="390"/>
      <c r="HLM5" s="390"/>
      <c r="HLN5" s="390"/>
      <c r="HLO5" s="390"/>
      <c r="HLP5" s="390"/>
      <c r="HLQ5" s="390"/>
      <c r="HLR5" s="390"/>
      <c r="HLS5" s="390"/>
      <c r="HLT5" s="390"/>
      <c r="HLU5" s="390"/>
      <c r="HLV5" s="390"/>
      <c r="HLW5" s="390"/>
      <c r="HLX5" s="390"/>
      <c r="HLY5" s="390"/>
      <c r="HLZ5" s="390"/>
      <c r="HMA5" s="390"/>
      <c r="HMB5" s="390"/>
      <c r="HMC5" s="390"/>
      <c r="HMD5" s="390"/>
      <c r="HME5" s="390"/>
      <c r="HMF5" s="390"/>
      <c r="HMG5" s="390"/>
      <c r="HMH5" s="390"/>
      <c r="HMI5" s="390"/>
      <c r="HMJ5" s="390"/>
      <c r="HMK5" s="390"/>
      <c r="HML5" s="390"/>
      <c r="HMM5" s="390"/>
      <c r="HMN5" s="390"/>
      <c r="HMO5" s="390"/>
      <c r="HMP5" s="390"/>
      <c r="HMQ5" s="390"/>
      <c r="HMR5" s="390"/>
      <c r="HMS5" s="390"/>
      <c r="HMT5" s="390"/>
      <c r="HMU5" s="390"/>
      <c r="HMV5" s="390"/>
      <c r="HMW5" s="390"/>
      <c r="HMX5" s="390"/>
      <c r="HMY5" s="390"/>
      <c r="HMZ5" s="390"/>
      <c r="HNA5" s="390"/>
      <c r="HNB5" s="390"/>
      <c r="HNC5" s="390"/>
      <c r="HND5" s="390"/>
      <c r="HNE5" s="390"/>
      <c r="HNF5" s="390"/>
      <c r="HNG5" s="390"/>
      <c r="HNH5" s="390"/>
      <c r="HNI5" s="390"/>
      <c r="HNJ5" s="390"/>
      <c r="HNK5" s="390"/>
      <c r="HNL5" s="390"/>
      <c r="HNM5" s="390"/>
      <c r="HNN5" s="390"/>
      <c r="HNO5" s="390"/>
      <c r="HNP5" s="390"/>
      <c r="HNQ5" s="390"/>
      <c r="HNR5" s="390"/>
      <c r="HNS5" s="390"/>
      <c r="HNT5" s="390"/>
      <c r="HNU5" s="390"/>
      <c r="HNV5" s="390"/>
      <c r="HNW5" s="390"/>
      <c r="HNX5" s="390"/>
      <c r="HNY5" s="390"/>
      <c r="HNZ5" s="390"/>
      <c r="HOA5" s="390"/>
      <c r="HOB5" s="390"/>
      <c r="HOC5" s="390"/>
      <c r="HOD5" s="390"/>
      <c r="HOE5" s="390"/>
      <c r="HOF5" s="390"/>
      <c r="HOG5" s="390"/>
      <c r="HOH5" s="390"/>
      <c r="HOI5" s="390"/>
      <c r="HOJ5" s="390"/>
      <c r="HOK5" s="390"/>
      <c r="HOL5" s="390"/>
      <c r="HOM5" s="390"/>
      <c r="HON5" s="390"/>
      <c r="HOO5" s="390"/>
      <c r="HOP5" s="390"/>
      <c r="HOQ5" s="390"/>
      <c r="HOR5" s="390"/>
      <c r="HOS5" s="390"/>
      <c r="HOT5" s="390"/>
      <c r="HOU5" s="390"/>
      <c r="HOV5" s="390"/>
      <c r="HOW5" s="390"/>
      <c r="HOX5" s="390"/>
      <c r="HOY5" s="390"/>
      <c r="HOZ5" s="390"/>
      <c r="HPA5" s="390"/>
      <c r="HPB5" s="390"/>
      <c r="HPC5" s="390"/>
      <c r="HPD5" s="390"/>
      <c r="HPE5" s="390"/>
      <c r="HPF5" s="390"/>
      <c r="HPG5" s="390"/>
      <c r="HPH5" s="390"/>
      <c r="HPI5" s="390"/>
      <c r="HPJ5" s="390"/>
      <c r="HPK5" s="390"/>
      <c r="HPL5" s="390"/>
      <c r="HPM5" s="390"/>
      <c r="HPN5" s="390"/>
      <c r="HPO5" s="390"/>
      <c r="HPP5" s="390"/>
      <c r="HPQ5" s="390"/>
      <c r="HPR5" s="390"/>
      <c r="HPS5" s="390"/>
      <c r="HPT5" s="390"/>
      <c r="HPU5" s="390"/>
      <c r="HPV5" s="390"/>
      <c r="HPW5" s="390"/>
      <c r="HPX5" s="390"/>
      <c r="HPY5" s="390"/>
      <c r="HPZ5" s="390"/>
      <c r="HQA5" s="390"/>
      <c r="HQB5" s="390"/>
      <c r="HQC5" s="390"/>
      <c r="HQD5" s="390"/>
      <c r="HQE5" s="390"/>
      <c r="HQF5" s="390"/>
      <c r="HQG5" s="390"/>
      <c r="HQH5" s="390"/>
      <c r="HQI5" s="390"/>
      <c r="HQJ5" s="390"/>
      <c r="HQK5" s="390"/>
      <c r="HQL5" s="390"/>
      <c r="HQM5" s="390"/>
      <c r="HQN5" s="390"/>
      <c r="HQO5" s="390"/>
      <c r="HQP5" s="390"/>
      <c r="HQQ5" s="390"/>
      <c r="HQR5" s="390"/>
      <c r="HQS5" s="390"/>
      <c r="HQT5" s="390"/>
      <c r="HQU5" s="390"/>
      <c r="HQV5" s="390"/>
      <c r="HQW5" s="390"/>
      <c r="HQX5" s="390"/>
      <c r="HQY5" s="390"/>
      <c r="HQZ5" s="390"/>
      <c r="HRA5" s="390"/>
      <c r="HRB5" s="390"/>
      <c r="HRC5" s="390"/>
      <c r="HRD5" s="390"/>
      <c r="HRE5" s="390"/>
      <c r="HRF5" s="390"/>
      <c r="HRG5" s="390"/>
      <c r="HRH5" s="390"/>
      <c r="HRI5" s="390"/>
      <c r="HRJ5" s="390"/>
      <c r="HRK5" s="390"/>
      <c r="HRL5" s="390"/>
      <c r="HRM5" s="390"/>
      <c r="HRN5" s="390"/>
      <c r="HRO5" s="390"/>
      <c r="HRP5" s="390"/>
      <c r="HRQ5" s="390"/>
      <c r="HRR5" s="390"/>
      <c r="HRS5" s="390"/>
      <c r="HRT5" s="390"/>
      <c r="HRU5" s="390"/>
      <c r="HRV5" s="390"/>
      <c r="HRW5" s="390"/>
      <c r="HRX5" s="390"/>
      <c r="HRY5" s="390"/>
      <c r="HRZ5" s="390"/>
      <c r="HSA5" s="390"/>
      <c r="HSB5" s="390"/>
      <c r="HSC5" s="390"/>
      <c r="HSD5" s="390"/>
      <c r="HSE5" s="390"/>
      <c r="HSF5" s="390"/>
      <c r="HSG5" s="390"/>
      <c r="HSH5" s="390"/>
      <c r="HSI5" s="390"/>
      <c r="HSJ5" s="390"/>
      <c r="HSK5" s="390"/>
      <c r="HSL5" s="390"/>
      <c r="HSM5" s="390"/>
      <c r="HSN5" s="390"/>
      <c r="HSO5" s="390"/>
      <c r="HSP5" s="390"/>
      <c r="HSQ5" s="390"/>
      <c r="HSR5" s="390"/>
      <c r="HSS5" s="390"/>
      <c r="HST5" s="390"/>
      <c r="HSU5" s="390"/>
      <c r="HSV5" s="390"/>
      <c r="HSW5" s="390"/>
      <c r="HSX5" s="390"/>
      <c r="HSY5" s="390"/>
      <c r="HSZ5" s="390"/>
      <c r="HTA5" s="390"/>
      <c r="HTB5" s="390"/>
      <c r="HTC5" s="390"/>
      <c r="HTD5" s="390"/>
      <c r="HTE5" s="390"/>
      <c r="HTF5" s="390"/>
      <c r="HTG5" s="390"/>
      <c r="HTH5" s="390"/>
      <c r="HTI5" s="390"/>
      <c r="HTJ5" s="390"/>
      <c r="HTK5" s="390"/>
      <c r="HTL5" s="390"/>
      <c r="HTM5" s="390"/>
      <c r="HTN5" s="390"/>
      <c r="HTO5" s="390"/>
      <c r="HTP5" s="390"/>
      <c r="HTQ5" s="390"/>
      <c r="HTR5" s="390"/>
      <c r="HTS5" s="390"/>
      <c r="HTT5" s="390"/>
      <c r="HTU5" s="390"/>
      <c r="HTV5" s="390"/>
      <c r="HTW5" s="390"/>
      <c r="HTX5" s="390"/>
      <c r="HTY5" s="390"/>
      <c r="HTZ5" s="390"/>
      <c r="HUA5" s="390"/>
      <c r="HUB5" s="390"/>
      <c r="HUC5" s="390"/>
      <c r="HUD5" s="390"/>
      <c r="HUE5" s="390"/>
      <c r="HUF5" s="390"/>
      <c r="HUG5" s="390"/>
      <c r="HUH5" s="390"/>
      <c r="HUI5" s="390"/>
      <c r="HUJ5" s="390"/>
      <c r="HUK5" s="390"/>
      <c r="HUL5" s="390"/>
      <c r="HUM5" s="390"/>
      <c r="HUN5" s="390"/>
      <c r="HUO5" s="390"/>
      <c r="HUP5" s="390"/>
      <c r="HUQ5" s="390"/>
      <c r="HUR5" s="390"/>
      <c r="HUS5" s="390"/>
      <c r="HUT5" s="390"/>
      <c r="HUU5" s="390"/>
      <c r="HUV5" s="390"/>
      <c r="HUW5" s="390"/>
      <c r="HUX5" s="390"/>
      <c r="HUY5" s="390"/>
      <c r="HUZ5" s="390"/>
      <c r="HVA5" s="390"/>
      <c r="HVB5" s="390"/>
      <c r="HVC5" s="390"/>
      <c r="HVD5" s="390"/>
      <c r="HVE5" s="390"/>
      <c r="HVF5" s="390"/>
      <c r="HVG5" s="390"/>
      <c r="HVH5" s="390"/>
      <c r="HVI5" s="390"/>
      <c r="HVJ5" s="390"/>
      <c r="HVK5" s="390"/>
      <c r="HVL5" s="390"/>
      <c r="HVM5" s="390"/>
      <c r="HVN5" s="390"/>
      <c r="HVO5" s="390"/>
      <c r="HVP5" s="390"/>
      <c r="HVQ5" s="390"/>
      <c r="HVR5" s="390"/>
      <c r="HVS5" s="390"/>
      <c r="HVT5" s="390"/>
      <c r="HVU5" s="390"/>
      <c r="HVV5" s="390"/>
      <c r="HVW5" s="390"/>
      <c r="HVX5" s="390"/>
      <c r="HVY5" s="390"/>
      <c r="HVZ5" s="390"/>
      <c r="HWA5" s="390"/>
      <c r="HWB5" s="390"/>
      <c r="HWC5" s="390"/>
      <c r="HWD5" s="390"/>
      <c r="HWE5" s="390"/>
      <c r="HWF5" s="390"/>
      <c r="HWG5" s="390"/>
      <c r="HWH5" s="390"/>
      <c r="HWI5" s="390"/>
      <c r="HWJ5" s="390"/>
      <c r="HWK5" s="390"/>
      <c r="HWL5" s="390"/>
      <c r="HWM5" s="390"/>
      <c r="HWN5" s="390"/>
      <c r="HWO5" s="390"/>
      <c r="HWP5" s="390"/>
      <c r="HWQ5" s="390"/>
      <c r="HWR5" s="390"/>
      <c r="HWS5" s="390"/>
      <c r="HWT5" s="390"/>
      <c r="HWU5" s="390"/>
      <c r="HWV5" s="390"/>
      <c r="HWW5" s="390"/>
      <c r="HWX5" s="390"/>
      <c r="HWY5" s="390"/>
      <c r="HWZ5" s="390"/>
      <c r="HXA5" s="390"/>
      <c r="HXB5" s="390"/>
      <c r="HXC5" s="390"/>
      <c r="HXD5" s="390"/>
      <c r="HXE5" s="390"/>
      <c r="HXF5" s="390"/>
      <c r="HXG5" s="390"/>
      <c r="HXH5" s="390"/>
      <c r="HXI5" s="390"/>
      <c r="HXJ5" s="390"/>
      <c r="HXK5" s="390"/>
      <c r="HXL5" s="390"/>
      <c r="HXM5" s="390"/>
      <c r="HXN5" s="390"/>
      <c r="HXO5" s="390"/>
      <c r="HXP5" s="390"/>
      <c r="HXQ5" s="390"/>
      <c r="HXR5" s="390"/>
      <c r="HXS5" s="390"/>
      <c r="HXT5" s="390"/>
      <c r="HXU5" s="390"/>
      <c r="HXV5" s="390"/>
      <c r="HXW5" s="390"/>
      <c r="HXX5" s="390"/>
      <c r="HXY5" s="390"/>
      <c r="HXZ5" s="390"/>
      <c r="HYA5" s="390"/>
      <c r="HYB5" s="390"/>
      <c r="HYC5" s="390"/>
      <c r="HYD5" s="390"/>
      <c r="HYE5" s="390"/>
      <c r="HYF5" s="390"/>
      <c r="HYG5" s="390"/>
      <c r="HYH5" s="390"/>
      <c r="HYI5" s="390"/>
      <c r="HYJ5" s="390"/>
      <c r="HYK5" s="390"/>
      <c r="HYL5" s="390"/>
      <c r="HYM5" s="390"/>
      <c r="HYN5" s="390"/>
      <c r="HYO5" s="390"/>
      <c r="HYP5" s="390"/>
      <c r="HYQ5" s="390"/>
      <c r="HYR5" s="390"/>
      <c r="HYS5" s="390"/>
      <c r="HYT5" s="390"/>
      <c r="HYU5" s="390"/>
      <c r="HYV5" s="390"/>
      <c r="HYW5" s="390"/>
      <c r="HYX5" s="390"/>
      <c r="HYY5" s="390"/>
      <c r="HYZ5" s="390"/>
      <c r="HZA5" s="390"/>
      <c r="HZB5" s="390"/>
      <c r="HZC5" s="390"/>
      <c r="HZD5" s="390"/>
      <c r="HZE5" s="390"/>
      <c r="HZF5" s="390"/>
      <c r="HZG5" s="390"/>
      <c r="HZH5" s="390"/>
      <c r="HZI5" s="390"/>
      <c r="HZJ5" s="390"/>
      <c r="HZK5" s="390"/>
      <c r="HZL5" s="390"/>
      <c r="HZM5" s="390"/>
      <c r="HZN5" s="390"/>
      <c r="HZO5" s="390"/>
      <c r="HZP5" s="390"/>
      <c r="HZQ5" s="390"/>
      <c r="HZR5" s="390"/>
      <c r="HZS5" s="390"/>
      <c r="HZT5" s="390"/>
      <c r="HZU5" s="390"/>
      <c r="HZV5" s="390"/>
      <c r="HZW5" s="390"/>
      <c r="HZX5" s="390"/>
      <c r="HZY5" s="390"/>
      <c r="HZZ5" s="390"/>
      <c r="IAA5" s="390"/>
      <c r="IAB5" s="390"/>
      <c r="IAC5" s="390"/>
      <c r="IAD5" s="390"/>
      <c r="IAE5" s="390"/>
      <c r="IAF5" s="390"/>
      <c r="IAG5" s="390"/>
      <c r="IAH5" s="390"/>
      <c r="IAI5" s="390"/>
      <c r="IAJ5" s="390"/>
      <c r="IAK5" s="390"/>
      <c r="IAL5" s="390"/>
      <c r="IAM5" s="390"/>
      <c r="IAN5" s="390"/>
      <c r="IAO5" s="390"/>
      <c r="IAP5" s="390"/>
      <c r="IAQ5" s="390"/>
      <c r="IAR5" s="390"/>
      <c r="IAS5" s="390"/>
      <c r="IAT5" s="390"/>
      <c r="IAU5" s="390"/>
      <c r="IAV5" s="390"/>
      <c r="IAW5" s="390"/>
      <c r="IAX5" s="390"/>
      <c r="IAY5" s="390"/>
      <c r="IAZ5" s="390"/>
      <c r="IBA5" s="390"/>
      <c r="IBB5" s="390"/>
      <c r="IBC5" s="390"/>
      <c r="IBD5" s="390"/>
      <c r="IBE5" s="390"/>
      <c r="IBF5" s="390"/>
      <c r="IBG5" s="390"/>
      <c r="IBH5" s="390"/>
      <c r="IBI5" s="390"/>
      <c r="IBJ5" s="390"/>
      <c r="IBK5" s="390"/>
      <c r="IBL5" s="390"/>
      <c r="IBM5" s="390"/>
      <c r="IBN5" s="390"/>
      <c r="IBO5" s="390"/>
      <c r="IBP5" s="390"/>
      <c r="IBQ5" s="390"/>
      <c r="IBR5" s="390"/>
      <c r="IBS5" s="390"/>
      <c r="IBT5" s="390"/>
      <c r="IBU5" s="390"/>
      <c r="IBV5" s="390"/>
      <c r="IBW5" s="390"/>
      <c r="IBX5" s="390"/>
      <c r="IBY5" s="390"/>
      <c r="IBZ5" s="390"/>
      <c r="ICA5" s="390"/>
      <c r="ICB5" s="390"/>
      <c r="ICC5" s="390"/>
      <c r="ICD5" s="390"/>
      <c r="ICE5" s="390"/>
      <c r="ICF5" s="390"/>
      <c r="ICG5" s="390"/>
      <c r="ICH5" s="390"/>
      <c r="ICI5" s="390"/>
      <c r="ICJ5" s="390"/>
      <c r="ICK5" s="390"/>
      <c r="ICL5" s="390"/>
      <c r="ICM5" s="390"/>
      <c r="ICN5" s="390"/>
      <c r="ICO5" s="390"/>
      <c r="ICP5" s="390"/>
      <c r="ICQ5" s="390"/>
      <c r="ICR5" s="390"/>
      <c r="ICS5" s="390"/>
      <c r="ICT5" s="390"/>
      <c r="ICU5" s="390"/>
      <c r="ICV5" s="390"/>
      <c r="ICW5" s="390"/>
      <c r="ICX5" s="390"/>
      <c r="ICY5" s="390"/>
      <c r="ICZ5" s="390"/>
      <c r="IDA5" s="390"/>
      <c r="IDB5" s="390"/>
      <c r="IDC5" s="390"/>
      <c r="IDD5" s="390"/>
      <c r="IDE5" s="390"/>
      <c r="IDF5" s="390"/>
      <c r="IDG5" s="390"/>
      <c r="IDH5" s="390"/>
      <c r="IDI5" s="390"/>
      <c r="IDJ5" s="390"/>
      <c r="IDK5" s="390"/>
      <c r="IDL5" s="390"/>
      <c r="IDM5" s="390"/>
      <c r="IDN5" s="390"/>
      <c r="IDO5" s="390"/>
      <c r="IDP5" s="390"/>
      <c r="IDQ5" s="390"/>
      <c r="IDR5" s="390"/>
      <c r="IDS5" s="390"/>
      <c r="IDT5" s="390"/>
      <c r="IDU5" s="390"/>
      <c r="IDV5" s="390"/>
      <c r="IDW5" s="390"/>
      <c r="IDX5" s="390"/>
      <c r="IDY5" s="390"/>
      <c r="IDZ5" s="390"/>
      <c r="IEA5" s="390"/>
      <c r="IEB5" s="390"/>
      <c r="IEC5" s="390"/>
      <c r="IED5" s="390"/>
      <c r="IEE5" s="390"/>
      <c r="IEF5" s="390"/>
      <c r="IEG5" s="390"/>
      <c r="IEH5" s="390"/>
      <c r="IEI5" s="390"/>
      <c r="IEJ5" s="390"/>
      <c r="IEK5" s="390"/>
      <c r="IEL5" s="390"/>
      <c r="IEM5" s="390"/>
      <c r="IEN5" s="390"/>
      <c r="IEO5" s="390"/>
      <c r="IEP5" s="390"/>
      <c r="IEQ5" s="390"/>
      <c r="IER5" s="390"/>
      <c r="IES5" s="390"/>
      <c r="IET5" s="390"/>
      <c r="IEU5" s="390"/>
      <c r="IEV5" s="390"/>
      <c r="IEW5" s="390"/>
      <c r="IEX5" s="390"/>
      <c r="IEY5" s="390"/>
      <c r="IEZ5" s="390"/>
      <c r="IFA5" s="390"/>
      <c r="IFB5" s="390"/>
      <c r="IFC5" s="390"/>
      <c r="IFD5" s="390"/>
      <c r="IFE5" s="390"/>
      <c r="IFF5" s="390"/>
      <c r="IFG5" s="390"/>
      <c r="IFH5" s="390"/>
      <c r="IFI5" s="390"/>
      <c r="IFJ5" s="390"/>
      <c r="IFK5" s="390"/>
      <c r="IFL5" s="390"/>
      <c r="IFM5" s="390"/>
      <c r="IFN5" s="390"/>
      <c r="IFO5" s="390"/>
      <c r="IFP5" s="390"/>
      <c r="IFQ5" s="390"/>
      <c r="IFR5" s="390"/>
      <c r="IFS5" s="390"/>
      <c r="IFT5" s="390"/>
      <c r="IFU5" s="390"/>
      <c r="IFV5" s="390"/>
      <c r="IFW5" s="390"/>
      <c r="IFX5" s="390"/>
      <c r="IFY5" s="390"/>
      <c r="IFZ5" s="390"/>
      <c r="IGA5" s="390"/>
      <c r="IGB5" s="390"/>
      <c r="IGC5" s="390"/>
      <c r="IGD5" s="390"/>
      <c r="IGE5" s="390"/>
      <c r="IGF5" s="390"/>
      <c r="IGG5" s="390"/>
      <c r="IGH5" s="390"/>
      <c r="IGI5" s="390"/>
      <c r="IGJ5" s="390"/>
      <c r="IGK5" s="390"/>
      <c r="IGL5" s="390"/>
      <c r="IGM5" s="390"/>
      <c r="IGN5" s="390"/>
      <c r="IGO5" s="390"/>
      <c r="IGP5" s="390"/>
      <c r="IGQ5" s="390"/>
      <c r="IGR5" s="390"/>
      <c r="IGS5" s="390"/>
      <c r="IGT5" s="390"/>
      <c r="IGU5" s="390"/>
      <c r="IGV5" s="390"/>
      <c r="IGW5" s="390"/>
      <c r="IGX5" s="390"/>
      <c r="IGY5" s="390"/>
      <c r="IGZ5" s="390"/>
      <c r="IHA5" s="390"/>
      <c r="IHB5" s="390"/>
      <c r="IHC5" s="390"/>
      <c r="IHD5" s="390"/>
      <c r="IHE5" s="390"/>
      <c r="IHF5" s="390"/>
      <c r="IHG5" s="390"/>
      <c r="IHH5" s="390"/>
      <c r="IHI5" s="390"/>
      <c r="IHJ5" s="390"/>
      <c r="IHK5" s="390"/>
      <c r="IHL5" s="390"/>
      <c r="IHM5" s="390"/>
      <c r="IHN5" s="390"/>
      <c r="IHO5" s="390"/>
      <c r="IHP5" s="390"/>
      <c r="IHQ5" s="390"/>
      <c r="IHR5" s="390"/>
      <c r="IHS5" s="390"/>
      <c r="IHT5" s="390"/>
      <c r="IHU5" s="390"/>
      <c r="IHV5" s="390"/>
      <c r="IHW5" s="390"/>
      <c r="IHX5" s="390"/>
      <c r="IHY5" s="390"/>
      <c r="IHZ5" s="390"/>
      <c r="IIA5" s="390"/>
      <c r="IIB5" s="390"/>
      <c r="IIC5" s="390"/>
      <c r="IID5" s="390"/>
      <c r="IIE5" s="390"/>
      <c r="IIF5" s="390"/>
      <c r="IIG5" s="390"/>
      <c r="IIH5" s="390"/>
      <c r="III5" s="390"/>
      <c r="IIJ5" s="390"/>
      <c r="IIK5" s="390"/>
      <c r="IIL5" s="390"/>
      <c r="IIM5" s="390"/>
      <c r="IIN5" s="390"/>
      <c r="IIO5" s="390"/>
      <c r="IIP5" s="390"/>
      <c r="IIQ5" s="390"/>
      <c r="IIR5" s="390"/>
      <c r="IIS5" s="390"/>
      <c r="IIT5" s="390"/>
      <c r="IIU5" s="390"/>
      <c r="IIV5" s="390"/>
      <c r="IIW5" s="390"/>
      <c r="IIX5" s="390"/>
      <c r="IIY5" s="390"/>
      <c r="IIZ5" s="390"/>
      <c r="IJA5" s="390"/>
      <c r="IJB5" s="390"/>
      <c r="IJC5" s="390"/>
      <c r="IJD5" s="390"/>
      <c r="IJE5" s="390"/>
      <c r="IJF5" s="390"/>
      <c r="IJG5" s="390"/>
      <c r="IJH5" s="390"/>
      <c r="IJI5" s="390"/>
      <c r="IJJ5" s="390"/>
      <c r="IJK5" s="390"/>
      <c r="IJL5" s="390"/>
      <c r="IJM5" s="390"/>
      <c r="IJN5" s="390"/>
      <c r="IJO5" s="390"/>
      <c r="IJP5" s="390"/>
      <c r="IJQ5" s="390"/>
      <c r="IJR5" s="390"/>
      <c r="IJS5" s="390"/>
      <c r="IJT5" s="390"/>
      <c r="IJU5" s="390"/>
      <c r="IJV5" s="390"/>
      <c r="IJW5" s="390"/>
      <c r="IJX5" s="390"/>
      <c r="IJY5" s="390"/>
      <c r="IJZ5" s="390"/>
      <c r="IKA5" s="390"/>
      <c r="IKB5" s="390"/>
      <c r="IKC5" s="390"/>
      <c r="IKD5" s="390"/>
      <c r="IKE5" s="390"/>
      <c r="IKF5" s="390"/>
      <c r="IKG5" s="390"/>
      <c r="IKH5" s="390"/>
      <c r="IKI5" s="390"/>
      <c r="IKJ5" s="390"/>
      <c r="IKK5" s="390"/>
      <c r="IKL5" s="390"/>
      <c r="IKM5" s="390"/>
      <c r="IKN5" s="390"/>
      <c r="IKO5" s="390"/>
      <c r="IKP5" s="390"/>
      <c r="IKQ5" s="390"/>
      <c r="IKR5" s="390"/>
      <c r="IKS5" s="390"/>
      <c r="IKT5" s="390"/>
      <c r="IKU5" s="390"/>
      <c r="IKV5" s="390"/>
      <c r="IKW5" s="390"/>
      <c r="IKX5" s="390"/>
      <c r="IKY5" s="390"/>
      <c r="IKZ5" s="390"/>
      <c r="ILA5" s="390"/>
      <c r="ILB5" s="390"/>
      <c r="ILC5" s="390"/>
      <c r="ILD5" s="390"/>
      <c r="ILE5" s="390"/>
      <c r="ILF5" s="390"/>
      <c r="ILG5" s="390"/>
      <c r="ILH5" s="390"/>
      <c r="ILI5" s="390"/>
      <c r="ILJ5" s="390"/>
      <c r="ILK5" s="390"/>
      <c r="ILL5" s="390"/>
      <c r="ILM5" s="390"/>
      <c r="ILN5" s="390"/>
      <c r="ILO5" s="390"/>
      <c r="ILP5" s="390"/>
      <c r="ILQ5" s="390"/>
      <c r="ILR5" s="390"/>
      <c r="ILS5" s="390"/>
      <c r="ILT5" s="390"/>
      <c r="ILU5" s="390"/>
      <c r="ILV5" s="390"/>
      <c r="ILW5" s="390"/>
      <c r="ILX5" s="390"/>
      <c r="ILY5" s="390"/>
      <c r="ILZ5" s="390"/>
      <c r="IMA5" s="390"/>
      <c r="IMB5" s="390"/>
      <c r="IMC5" s="390"/>
      <c r="IMD5" s="390"/>
      <c r="IME5" s="390"/>
      <c r="IMF5" s="390"/>
      <c r="IMG5" s="390"/>
      <c r="IMH5" s="390"/>
      <c r="IMI5" s="390"/>
      <c r="IMJ5" s="390"/>
      <c r="IMK5" s="390"/>
      <c r="IML5" s="390"/>
      <c r="IMM5" s="390"/>
      <c r="IMN5" s="390"/>
      <c r="IMO5" s="390"/>
      <c r="IMP5" s="390"/>
      <c r="IMQ5" s="390"/>
      <c r="IMR5" s="390"/>
      <c r="IMS5" s="390"/>
      <c r="IMT5" s="390"/>
      <c r="IMU5" s="390"/>
      <c r="IMV5" s="390"/>
      <c r="IMW5" s="390"/>
      <c r="IMX5" s="390"/>
      <c r="IMY5" s="390"/>
      <c r="IMZ5" s="390"/>
      <c r="INA5" s="390"/>
      <c r="INB5" s="390"/>
      <c r="INC5" s="390"/>
      <c r="IND5" s="390"/>
      <c r="INE5" s="390"/>
      <c r="INF5" s="390"/>
      <c r="ING5" s="390"/>
      <c r="INH5" s="390"/>
      <c r="INI5" s="390"/>
      <c r="INJ5" s="390"/>
      <c r="INK5" s="390"/>
      <c r="INL5" s="390"/>
      <c r="INM5" s="390"/>
      <c r="INN5" s="390"/>
      <c r="INO5" s="390"/>
      <c r="INP5" s="390"/>
      <c r="INQ5" s="390"/>
      <c r="INR5" s="390"/>
      <c r="INS5" s="390"/>
      <c r="INT5" s="390"/>
      <c r="INU5" s="390"/>
      <c r="INV5" s="390"/>
      <c r="INW5" s="390"/>
      <c r="INX5" s="390"/>
      <c r="INY5" s="390"/>
      <c r="INZ5" s="390"/>
      <c r="IOA5" s="390"/>
      <c r="IOB5" s="390"/>
      <c r="IOC5" s="390"/>
      <c r="IOD5" s="390"/>
      <c r="IOE5" s="390"/>
      <c r="IOF5" s="390"/>
      <c r="IOG5" s="390"/>
      <c r="IOH5" s="390"/>
      <c r="IOI5" s="390"/>
      <c r="IOJ5" s="390"/>
      <c r="IOK5" s="390"/>
      <c r="IOL5" s="390"/>
      <c r="IOM5" s="390"/>
      <c r="ION5" s="390"/>
      <c r="IOO5" s="390"/>
      <c r="IOP5" s="390"/>
      <c r="IOQ5" s="390"/>
      <c r="IOR5" s="390"/>
      <c r="IOS5" s="390"/>
      <c r="IOT5" s="390"/>
      <c r="IOU5" s="390"/>
      <c r="IOV5" s="390"/>
      <c r="IOW5" s="390"/>
      <c r="IOX5" s="390"/>
      <c r="IOY5" s="390"/>
      <c r="IOZ5" s="390"/>
      <c r="IPA5" s="390"/>
      <c r="IPB5" s="390"/>
      <c r="IPC5" s="390"/>
      <c r="IPD5" s="390"/>
      <c r="IPE5" s="390"/>
      <c r="IPF5" s="390"/>
      <c r="IPG5" s="390"/>
      <c r="IPH5" s="390"/>
      <c r="IPI5" s="390"/>
      <c r="IPJ5" s="390"/>
      <c r="IPK5" s="390"/>
      <c r="IPL5" s="390"/>
      <c r="IPM5" s="390"/>
      <c r="IPN5" s="390"/>
      <c r="IPO5" s="390"/>
      <c r="IPP5" s="390"/>
      <c r="IPQ5" s="390"/>
      <c r="IPR5" s="390"/>
      <c r="IPS5" s="390"/>
      <c r="IPT5" s="390"/>
      <c r="IPU5" s="390"/>
      <c r="IPV5" s="390"/>
      <c r="IPW5" s="390"/>
      <c r="IPX5" s="390"/>
      <c r="IPY5" s="390"/>
      <c r="IPZ5" s="390"/>
      <c r="IQA5" s="390"/>
      <c r="IQB5" s="390"/>
      <c r="IQC5" s="390"/>
      <c r="IQD5" s="390"/>
      <c r="IQE5" s="390"/>
      <c r="IQF5" s="390"/>
      <c r="IQG5" s="390"/>
      <c r="IQH5" s="390"/>
      <c r="IQI5" s="390"/>
      <c r="IQJ5" s="390"/>
      <c r="IQK5" s="390"/>
      <c r="IQL5" s="390"/>
      <c r="IQM5" s="390"/>
      <c r="IQN5" s="390"/>
      <c r="IQO5" s="390"/>
      <c r="IQP5" s="390"/>
      <c r="IQQ5" s="390"/>
      <c r="IQR5" s="390"/>
      <c r="IQS5" s="390"/>
      <c r="IQT5" s="390"/>
      <c r="IQU5" s="390"/>
      <c r="IQV5" s="390"/>
      <c r="IQW5" s="390"/>
      <c r="IQX5" s="390"/>
      <c r="IQY5" s="390"/>
      <c r="IQZ5" s="390"/>
      <c r="IRA5" s="390"/>
      <c r="IRB5" s="390"/>
      <c r="IRC5" s="390"/>
      <c r="IRD5" s="390"/>
      <c r="IRE5" s="390"/>
      <c r="IRF5" s="390"/>
      <c r="IRG5" s="390"/>
      <c r="IRH5" s="390"/>
      <c r="IRI5" s="390"/>
      <c r="IRJ5" s="390"/>
      <c r="IRK5" s="390"/>
      <c r="IRL5" s="390"/>
      <c r="IRM5" s="390"/>
      <c r="IRN5" s="390"/>
      <c r="IRO5" s="390"/>
      <c r="IRP5" s="390"/>
      <c r="IRQ5" s="390"/>
      <c r="IRR5" s="390"/>
      <c r="IRS5" s="390"/>
      <c r="IRT5" s="390"/>
      <c r="IRU5" s="390"/>
      <c r="IRV5" s="390"/>
      <c r="IRW5" s="390"/>
      <c r="IRX5" s="390"/>
      <c r="IRY5" s="390"/>
      <c r="IRZ5" s="390"/>
      <c r="ISA5" s="390"/>
      <c r="ISB5" s="390"/>
      <c r="ISC5" s="390"/>
      <c r="ISD5" s="390"/>
      <c r="ISE5" s="390"/>
      <c r="ISF5" s="390"/>
      <c r="ISG5" s="390"/>
      <c r="ISH5" s="390"/>
      <c r="ISI5" s="390"/>
      <c r="ISJ5" s="390"/>
      <c r="ISK5" s="390"/>
      <c r="ISL5" s="390"/>
      <c r="ISM5" s="390"/>
      <c r="ISN5" s="390"/>
      <c r="ISO5" s="390"/>
      <c r="ISP5" s="390"/>
      <c r="ISQ5" s="390"/>
      <c r="ISR5" s="390"/>
      <c r="ISS5" s="390"/>
      <c r="IST5" s="390"/>
      <c r="ISU5" s="390"/>
      <c r="ISV5" s="390"/>
      <c r="ISW5" s="390"/>
      <c r="ISX5" s="390"/>
      <c r="ISY5" s="390"/>
      <c r="ISZ5" s="390"/>
      <c r="ITA5" s="390"/>
      <c r="ITB5" s="390"/>
      <c r="ITC5" s="390"/>
      <c r="ITD5" s="390"/>
      <c r="ITE5" s="390"/>
      <c r="ITF5" s="390"/>
      <c r="ITG5" s="390"/>
      <c r="ITH5" s="390"/>
      <c r="ITI5" s="390"/>
      <c r="ITJ5" s="390"/>
      <c r="ITK5" s="390"/>
      <c r="ITL5" s="390"/>
      <c r="ITM5" s="390"/>
      <c r="ITN5" s="390"/>
      <c r="ITO5" s="390"/>
      <c r="ITP5" s="390"/>
      <c r="ITQ5" s="390"/>
      <c r="ITR5" s="390"/>
      <c r="ITS5" s="390"/>
      <c r="ITT5" s="390"/>
      <c r="ITU5" s="390"/>
      <c r="ITV5" s="390"/>
      <c r="ITW5" s="390"/>
      <c r="ITX5" s="390"/>
      <c r="ITY5" s="390"/>
      <c r="ITZ5" s="390"/>
      <c r="IUA5" s="390"/>
      <c r="IUB5" s="390"/>
      <c r="IUC5" s="390"/>
      <c r="IUD5" s="390"/>
      <c r="IUE5" s="390"/>
      <c r="IUF5" s="390"/>
      <c r="IUG5" s="390"/>
      <c r="IUH5" s="390"/>
      <c r="IUI5" s="390"/>
      <c r="IUJ5" s="390"/>
      <c r="IUK5" s="390"/>
      <c r="IUL5" s="390"/>
      <c r="IUM5" s="390"/>
      <c r="IUN5" s="390"/>
      <c r="IUO5" s="390"/>
      <c r="IUP5" s="390"/>
      <c r="IUQ5" s="390"/>
      <c r="IUR5" s="390"/>
      <c r="IUS5" s="390"/>
      <c r="IUT5" s="390"/>
      <c r="IUU5" s="390"/>
      <c r="IUV5" s="390"/>
      <c r="IUW5" s="390"/>
      <c r="IUX5" s="390"/>
      <c r="IUY5" s="390"/>
      <c r="IUZ5" s="390"/>
      <c r="IVA5" s="390"/>
      <c r="IVB5" s="390"/>
      <c r="IVC5" s="390"/>
      <c r="IVD5" s="390"/>
      <c r="IVE5" s="390"/>
      <c r="IVF5" s="390"/>
      <c r="IVG5" s="390"/>
      <c r="IVH5" s="390"/>
      <c r="IVI5" s="390"/>
      <c r="IVJ5" s="390"/>
      <c r="IVK5" s="390"/>
      <c r="IVL5" s="390"/>
      <c r="IVM5" s="390"/>
      <c r="IVN5" s="390"/>
      <c r="IVO5" s="390"/>
      <c r="IVP5" s="390"/>
      <c r="IVQ5" s="390"/>
      <c r="IVR5" s="390"/>
      <c r="IVS5" s="390"/>
      <c r="IVT5" s="390"/>
      <c r="IVU5" s="390"/>
      <c r="IVV5" s="390"/>
      <c r="IVW5" s="390"/>
      <c r="IVX5" s="390"/>
      <c r="IVY5" s="390"/>
      <c r="IVZ5" s="390"/>
      <c r="IWA5" s="390"/>
      <c r="IWB5" s="390"/>
      <c r="IWC5" s="390"/>
      <c r="IWD5" s="390"/>
      <c r="IWE5" s="390"/>
      <c r="IWF5" s="390"/>
      <c r="IWG5" s="390"/>
      <c r="IWH5" s="390"/>
      <c r="IWI5" s="390"/>
      <c r="IWJ5" s="390"/>
      <c r="IWK5" s="390"/>
      <c r="IWL5" s="390"/>
      <c r="IWM5" s="390"/>
      <c r="IWN5" s="390"/>
      <c r="IWO5" s="390"/>
      <c r="IWP5" s="390"/>
      <c r="IWQ5" s="390"/>
      <c r="IWR5" s="390"/>
      <c r="IWS5" s="390"/>
      <c r="IWT5" s="390"/>
      <c r="IWU5" s="390"/>
      <c r="IWV5" s="390"/>
      <c r="IWW5" s="390"/>
      <c r="IWX5" s="390"/>
      <c r="IWY5" s="390"/>
      <c r="IWZ5" s="390"/>
      <c r="IXA5" s="390"/>
      <c r="IXB5" s="390"/>
      <c r="IXC5" s="390"/>
      <c r="IXD5" s="390"/>
      <c r="IXE5" s="390"/>
      <c r="IXF5" s="390"/>
      <c r="IXG5" s="390"/>
      <c r="IXH5" s="390"/>
      <c r="IXI5" s="390"/>
      <c r="IXJ5" s="390"/>
      <c r="IXK5" s="390"/>
      <c r="IXL5" s="390"/>
      <c r="IXM5" s="390"/>
      <c r="IXN5" s="390"/>
      <c r="IXO5" s="390"/>
      <c r="IXP5" s="390"/>
      <c r="IXQ5" s="390"/>
      <c r="IXR5" s="390"/>
      <c r="IXS5" s="390"/>
      <c r="IXT5" s="390"/>
      <c r="IXU5" s="390"/>
      <c r="IXV5" s="390"/>
      <c r="IXW5" s="390"/>
      <c r="IXX5" s="390"/>
      <c r="IXY5" s="390"/>
      <c r="IXZ5" s="390"/>
      <c r="IYA5" s="390"/>
      <c r="IYB5" s="390"/>
      <c r="IYC5" s="390"/>
      <c r="IYD5" s="390"/>
      <c r="IYE5" s="390"/>
      <c r="IYF5" s="390"/>
      <c r="IYG5" s="390"/>
      <c r="IYH5" s="390"/>
      <c r="IYI5" s="390"/>
      <c r="IYJ5" s="390"/>
      <c r="IYK5" s="390"/>
      <c r="IYL5" s="390"/>
      <c r="IYM5" s="390"/>
      <c r="IYN5" s="390"/>
      <c r="IYO5" s="390"/>
      <c r="IYP5" s="390"/>
      <c r="IYQ5" s="390"/>
      <c r="IYR5" s="390"/>
      <c r="IYS5" s="390"/>
      <c r="IYT5" s="390"/>
      <c r="IYU5" s="390"/>
      <c r="IYV5" s="390"/>
      <c r="IYW5" s="390"/>
      <c r="IYX5" s="390"/>
      <c r="IYY5" s="390"/>
      <c r="IYZ5" s="390"/>
      <c r="IZA5" s="390"/>
      <c r="IZB5" s="390"/>
      <c r="IZC5" s="390"/>
      <c r="IZD5" s="390"/>
      <c r="IZE5" s="390"/>
      <c r="IZF5" s="390"/>
      <c r="IZG5" s="390"/>
      <c r="IZH5" s="390"/>
      <c r="IZI5" s="390"/>
      <c r="IZJ5" s="390"/>
      <c r="IZK5" s="390"/>
      <c r="IZL5" s="390"/>
      <c r="IZM5" s="390"/>
      <c r="IZN5" s="390"/>
      <c r="IZO5" s="390"/>
      <c r="IZP5" s="390"/>
      <c r="IZQ5" s="390"/>
      <c r="IZR5" s="390"/>
      <c r="IZS5" s="390"/>
      <c r="IZT5" s="390"/>
      <c r="IZU5" s="390"/>
      <c r="IZV5" s="390"/>
      <c r="IZW5" s="390"/>
      <c r="IZX5" s="390"/>
      <c r="IZY5" s="390"/>
      <c r="IZZ5" s="390"/>
      <c r="JAA5" s="390"/>
      <c r="JAB5" s="390"/>
      <c r="JAC5" s="390"/>
      <c r="JAD5" s="390"/>
      <c r="JAE5" s="390"/>
      <c r="JAF5" s="390"/>
      <c r="JAG5" s="390"/>
      <c r="JAH5" s="390"/>
      <c r="JAI5" s="390"/>
      <c r="JAJ5" s="390"/>
      <c r="JAK5" s="390"/>
      <c r="JAL5" s="390"/>
      <c r="JAM5" s="390"/>
      <c r="JAN5" s="390"/>
      <c r="JAO5" s="390"/>
      <c r="JAP5" s="390"/>
      <c r="JAQ5" s="390"/>
      <c r="JAR5" s="390"/>
      <c r="JAS5" s="390"/>
      <c r="JAT5" s="390"/>
      <c r="JAU5" s="390"/>
      <c r="JAV5" s="390"/>
      <c r="JAW5" s="390"/>
      <c r="JAX5" s="390"/>
      <c r="JAY5" s="390"/>
      <c r="JAZ5" s="390"/>
      <c r="JBA5" s="390"/>
      <c r="JBB5" s="390"/>
      <c r="JBC5" s="390"/>
      <c r="JBD5" s="390"/>
      <c r="JBE5" s="390"/>
      <c r="JBF5" s="390"/>
      <c r="JBG5" s="390"/>
      <c r="JBH5" s="390"/>
      <c r="JBI5" s="390"/>
      <c r="JBJ5" s="390"/>
      <c r="JBK5" s="390"/>
      <c r="JBL5" s="390"/>
      <c r="JBM5" s="390"/>
      <c r="JBN5" s="390"/>
      <c r="JBO5" s="390"/>
      <c r="JBP5" s="390"/>
      <c r="JBQ5" s="390"/>
      <c r="JBR5" s="390"/>
      <c r="JBS5" s="390"/>
      <c r="JBT5" s="390"/>
      <c r="JBU5" s="390"/>
      <c r="JBV5" s="390"/>
      <c r="JBW5" s="390"/>
      <c r="JBX5" s="390"/>
      <c r="JBY5" s="390"/>
      <c r="JBZ5" s="390"/>
      <c r="JCA5" s="390"/>
      <c r="JCB5" s="390"/>
      <c r="JCC5" s="390"/>
      <c r="JCD5" s="390"/>
      <c r="JCE5" s="390"/>
      <c r="JCF5" s="390"/>
      <c r="JCG5" s="390"/>
      <c r="JCH5" s="390"/>
      <c r="JCI5" s="390"/>
      <c r="JCJ5" s="390"/>
      <c r="JCK5" s="390"/>
      <c r="JCL5" s="390"/>
      <c r="JCM5" s="390"/>
      <c r="JCN5" s="390"/>
      <c r="JCO5" s="390"/>
      <c r="JCP5" s="390"/>
      <c r="JCQ5" s="390"/>
      <c r="JCR5" s="390"/>
      <c r="JCS5" s="390"/>
      <c r="JCT5" s="390"/>
      <c r="JCU5" s="390"/>
      <c r="JCV5" s="390"/>
      <c r="JCW5" s="390"/>
      <c r="JCX5" s="390"/>
      <c r="JCY5" s="390"/>
      <c r="JCZ5" s="390"/>
      <c r="JDA5" s="390"/>
      <c r="JDB5" s="390"/>
      <c r="JDC5" s="390"/>
      <c r="JDD5" s="390"/>
      <c r="JDE5" s="390"/>
      <c r="JDF5" s="390"/>
      <c r="JDG5" s="390"/>
      <c r="JDH5" s="390"/>
      <c r="JDI5" s="390"/>
      <c r="JDJ5" s="390"/>
      <c r="JDK5" s="390"/>
      <c r="JDL5" s="390"/>
      <c r="JDM5" s="390"/>
      <c r="JDN5" s="390"/>
      <c r="JDO5" s="390"/>
      <c r="JDP5" s="390"/>
      <c r="JDQ5" s="390"/>
      <c r="JDR5" s="390"/>
      <c r="JDS5" s="390"/>
      <c r="JDT5" s="390"/>
      <c r="JDU5" s="390"/>
      <c r="JDV5" s="390"/>
      <c r="JDW5" s="390"/>
      <c r="JDX5" s="390"/>
      <c r="JDY5" s="390"/>
      <c r="JDZ5" s="390"/>
      <c r="JEA5" s="390"/>
      <c r="JEB5" s="390"/>
      <c r="JEC5" s="390"/>
      <c r="JED5" s="390"/>
      <c r="JEE5" s="390"/>
      <c r="JEF5" s="390"/>
      <c r="JEG5" s="390"/>
      <c r="JEH5" s="390"/>
      <c r="JEI5" s="390"/>
      <c r="JEJ5" s="390"/>
      <c r="JEK5" s="390"/>
      <c r="JEL5" s="390"/>
      <c r="JEM5" s="390"/>
      <c r="JEN5" s="390"/>
      <c r="JEO5" s="390"/>
      <c r="JEP5" s="390"/>
      <c r="JEQ5" s="390"/>
      <c r="JER5" s="390"/>
      <c r="JES5" s="390"/>
      <c r="JET5" s="390"/>
      <c r="JEU5" s="390"/>
      <c r="JEV5" s="390"/>
      <c r="JEW5" s="390"/>
      <c r="JEX5" s="390"/>
      <c r="JEY5" s="390"/>
      <c r="JEZ5" s="390"/>
      <c r="JFA5" s="390"/>
      <c r="JFB5" s="390"/>
      <c r="JFC5" s="390"/>
      <c r="JFD5" s="390"/>
      <c r="JFE5" s="390"/>
      <c r="JFF5" s="390"/>
      <c r="JFG5" s="390"/>
      <c r="JFH5" s="390"/>
      <c r="JFI5" s="390"/>
      <c r="JFJ5" s="390"/>
      <c r="JFK5" s="390"/>
      <c r="JFL5" s="390"/>
      <c r="JFM5" s="390"/>
      <c r="JFN5" s="390"/>
      <c r="JFO5" s="390"/>
      <c r="JFP5" s="390"/>
      <c r="JFQ5" s="390"/>
      <c r="JFR5" s="390"/>
      <c r="JFS5" s="390"/>
      <c r="JFT5" s="390"/>
      <c r="JFU5" s="390"/>
      <c r="JFV5" s="390"/>
      <c r="JFW5" s="390"/>
      <c r="JFX5" s="390"/>
      <c r="JFY5" s="390"/>
      <c r="JFZ5" s="390"/>
      <c r="JGA5" s="390"/>
      <c r="JGB5" s="390"/>
      <c r="JGC5" s="390"/>
      <c r="JGD5" s="390"/>
      <c r="JGE5" s="390"/>
      <c r="JGF5" s="390"/>
      <c r="JGG5" s="390"/>
      <c r="JGH5" s="390"/>
      <c r="JGI5" s="390"/>
      <c r="JGJ5" s="390"/>
      <c r="JGK5" s="390"/>
      <c r="JGL5" s="390"/>
      <c r="JGM5" s="390"/>
      <c r="JGN5" s="390"/>
      <c r="JGO5" s="390"/>
      <c r="JGP5" s="390"/>
      <c r="JGQ5" s="390"/>
      <c r="JGR5" s="390"/>
      <c r="JGS5" s="390"/>
      <c r="JGT5" s="390"/>
      <c r="JGU5" s="390"/>
      <c r="JGV5" s="390"/>
      <c r="JGW5" s="390"/>
      <c r="JGX5" s="390"/>
      <c r="JGY5" s="390"/>
      <c r="JGZ5" s="390"/>
      <c r="JHA5" s="390"/>
      <c r="JHB5" s="390"/>
      <c r="JHC5" s="390"/>
      <c r="JHD5" s="390"/>
      <c r="JHE5" s="390"/>
      <c r="JHF5" s="390"/>
      <c r="JHG5" s="390"/>
      <c r="JHH5" s="390"/>
      <c r="JHI5" s="390"/>
      <c r="JHJ5" s="390"/>
      <c r="JHK5" s="390"/>
      <c r="JHL5" s="390"/>
      <c r="JHM5" s="390"/>
      <c r="JHN5" s="390"/>
      <c r="JHO5" s="390"/>
      <c r="JHP5" s="390"/>
      <c r="JHQ5" s="390"/>
      <c r="JHR5" s="390"/>
      <c r="JHS5" s="390"/>
      <c r="JHT5" s="390"/>
      <c r="JHU5" s="390"/>
      <c r="JHV5" s="390"/>
      <c r="JHW5" s="390"/>
      <c r="JHX5" s="390"/>
      <c r="JHY5" s="390"/>
      <c r="JHZ5" s="390"/>
      <c r="JIA5" s="390"/>
      <c r="JIB5" s="390"/>
      <c r="JIC5" s="390"/>
      <c r="JID5" s="390"/>
      <c r="JIE5" s="390"/>
      <c r="JIF5" s="390"/>
      <c r="JIG5" s="390"/>
      <c r="JIH5" s="390"/>
      <c r="JII5" s="390"/>
      <c r="JIJ5" s="390"/>
      <c r="JIK5" s="390"/>
      <c r="JIL5" s="390"/>
      <c r="JIM5" s="390"/>
      <c r="JIN5" s="390"/>
      <c r="JIO5" s="390"/>
      <c r="JIP5" s="390"/>
      <c r="JIQ5" s="390"/>
      <c r="JIR5" s="390"/>
      <c r="JIS5" s="390"/>
      <c r="JIT5" s="390"/>
      <c r="JIU5" s="390"/>
      <c r="JIV5" s="390"/>
      <c r="JIW5" s="390"/>
      <c r="JIX5" s="390"/>
      <c r="JIY5" s="390"/>
      <c r="JIZ5" s="390"/>
      <c r="JJA5" s="390"/>
      <c r="JJB5" s="390"/>
      <c r="JJC5" s="390"/>
      <c r="JJD5" s="390"/>
      <c r="JJE5" s="390"/>
      <c r="JJF5" s="390"/>
      <c r="JJG5" s="390"/>
      <c r="JJH5" s="390"/>
      <c r="JJI5" s="390"/>
      <c r="JJJ5" s="390"/>
      <c r="JJK5" s="390"/>
      <c r="JJL5" s="390"/>
      <c r="JJM5" s="390"/>
      <c r="JJN5" s="390"/>
      <c r="JJO5" s="390"/>
      <c r="JJP5" s="390"/>
      <c r="JJQ5" s="390"/>
      <c r="JJR5" s="390"/>
      <c r="JJS5" s="390"/>
      <c r="JJT5" s="390"/>
      <c r="JJU5" s="390"/>
      <c r="JJV5" s="390"/>
      <c r="JJW5" s="390"/>
      <c r="JJX5" s="390"/>
      <c r="JJY5" s="390"/>
      <c r="JJZ5" s="390"/>
      <c r="JKA5" s="390"/>
      <c r="JKB5" s="390"/>
      <c r="JKC5" s="390"/>
      <c r="JKD5" s="390"/>
      <c r="JKE5" s="390"/>
      <c r="JKF5" s="390"/>
      <c r="JKG5" s="390"/>
      <c r="JKH5" s="390"/>
      <c r="JKI5" s="390"/>
      <c r="JKJ5" s="390"/>
      <c r="JKK5" s="390"/>
      <c r="JKL5" s="390"/>
      <c r="JKM5" s="390"/>
      <c r="JKN5" s="390"/>
      <c r="JKO5" s="390"/>
      <c r="JKP5" s="390"/>
      <c r="JKQ5" s="390"/>
      <c r="JKR5" s="390"/>
      <c r="JKS5" s="390"/>
      <c r="JKT5" s="390"/>
      <c r="JKU5" s="390"/>
      <c r="JKV5" s="390"/>
      <c r="JKW5" s="390"/>
      <c r="JKX5" s="390"/>
      <c r="JKY5" s="390"/>
      <c r="JKZ5" s="390"/>
      <c r="JLA5" s="390"/>
      <c r="JLB5" s="390"/>
      <c r="JLC5" s="390"/>
      <c r="JLD5" s="390"/>
      <c r="JLE5" s="390"/>
      <c r="JLF5" s="390"/>
      <c r="JLG5" s="390"/>
      <c r="JLH5" s="390"/>
      <c r="JLI5" s="390"/>
      <c r="JLJ5" s="390"/>
      <c r="JLK5" s="390"/>
      <c r="JLL5" s="390"/>
      <c r="JLM5" s="390"/>
      <c r="JLN5" s="390"/>
      <c r="JLO5" s="390"/>
      <c r="JLP5" s="390"/>
      <c r="JLQ5" s="390"/>
      <c r="JLR5" s="390"/>
      <c r="JLS5" s="390"/>
      <c r="JLT5" s="390"/>
      <c r="JLU5" s="390"/>
      <c r="JLV5" s="390"/>
      <c r="JLW5" s="390"/>
      <c r="JLX5" s="390"/>
      <c r="JLY5" s="390"/>
      <c r="JLZ5" s="390"/>
      <c r="JMA5" s="390"/>
      <c r="JMB5" s="390"/>
      <c r="JMC5" s="390"/>
      <c r="JMD5" s="390"/>
      <c r="JME5" s="390"/>
      <c r="JMF5" s="390"/>
      <c r="JMG5" s="390"/>
      <c r="JMH5" s="390"/>
      <c r="JMI5" s="390"/>
      <c r="JMJ5" s="390"/>
      <c r="JMK5" s="390"/>
      <c r="JML5" s="390"/>
      <c r="JMM5" s="390"/>
      <c r="JMN5" s="390"/>
      <c r="JMO5" s="390"/>
      <c r="JMP5" s="390"/>
      <c r="JMQ5" s="390"/>
      <c r="JMR5" s="390"/>
      <c r="JMS5" s="390"/>
      <c r="JMT5" s="390"/>
      <c r="JMU5" s="390"/>
      <c r="JMV5" s="390"/>
      <c r="JMW5" s="390"/>
      <c r="JMX5" s="390"/>
      <c r="JMY5" s="390"/>
      <c r="JMZ5" s="390"/>
      <c r="JNA5" s="390"/>
      <c r="JNB5" s="390"/>
      <c r="JNC5" s="390"/>
      <c r="JND5" s="390"/>
      <c r="JNE5" s="390"/>
      <c r="JNF5" s="390"/>
      <c r="JNG5" s="390"/>
      <c r="JNH5" s="390"/>
      <c r="JNI5" s="390"/>
      <c r="JNJ5" s="390"/>
      <c r="JNK5" s="390"/>
      <c r="JNL5" s="390"/>
      <c r="JNM5" s="390"/>
      <c r="JNN5" s="390"/>
      <c r="JNO5" s="390"/>
      <c r="JNP5" s="390"/>
      <c r="JNQ5" s="390"/>
      <c r="JNR5" s="390"/>
      <c r="JNS5" s="390"/>
      <c r="JNT5" s="390"/>
      <c r="JNU5" s="390"/>
      <c r="JNV5" s="390"/>
      <c r="JNW5" s="390"/>
      <c r="JNX5" s="390"/>
      <c r="JNY5" s="390"/>
      <c r="JNZ5" s="390"/>
      <c r="JOA5" s="390"/>
      <c r="JOB5" s="390"/>
      <c r="JOC5" s="390"/>
      <c r="JOD5" s="390"/>
      <c r="JOE5" s="390"/>
      <c r="JOF5" s="390"/>
      <c r="JOG5" s="390"/>
      <c r="JOH5" s="390"/>
      <c r="JOI5" s="390"/>
      <c r="JOJ5" s="390"/>
      <c r="JOK5" s="390"/>
      <c r="JOL5" s="390"/>
      <c r="JOM5" s="390"/>
      <c r="JON5" s="390"/>
      <c r="JOO5" s="390"/>
      <c r="JOP5" s="390"/>
      <c r="JOQ5" s="390"/>
      <c r="JOR5" s="390"/>
      <c r="JOS5" s="390"/>
      <c r="JOT5" s="390"/>
      <c r="JOU5" s="390"/>
      <c r="JOV5" s="390"/>
      <c r="JOW5" s="390"/>
      <c r="JOX5" s="390"/>
      <c r="JOY5" s="390"/>
      <c r="JOZ5" s="390"/>
      <c r="JPA5" s="390"/>
      <c r="JPB5" s="390"/>
      <c r="JPC5" s="390"/>
      <c r="JPD5" s="390"/>
      <c r="JPE5" s="390"/>
      <c r="JPF5" s="390"/>
      <c r="JPG5" s="390"/>
      <c r="JPH5" s="390"/>
      <c r="JPI5" s="390"/>
      <c r="JPJ5" s="390"/>
      <c r="JPK5" s="390"/>
      <c r="JPL5" s="390"/>
      <c r="JPM5" s="390"/>
      <c r="JPN5" s="390"/>
      <c r="JPO5" s="390"/>
      <c r="JPP5" s="390"/>
      <c r="JPQ5" s="390"/>
      <c r="JPR5" s="390"/>
      <c r="JPS5" s="390"/>
      <c r="JPT5" s="390"/>
      <c r="JPU5" s="390"/>
      <c r="JPV5" s="390"/>
      <c r="JPW5" s="390"/>
      <c r="JPX5" s="390"/>
      <c r="JPY5" s="390"/>
      <c r="JPZ5" s="390"/>
      <c r="JQA5" s="390"/>
      <c r="JQB5" s="390"/>
      <c r="JQC5" s="390"/>
      <c r="JQD5" s="390"/>
      <c r="JQE5" s="390"/>
      <c r="JQF5" s="390"/>
      <c r="JQG5" s="390"/>
      <c r="JQH5" s="390"/>
      <c r="JQI5" s="390"/>
      <c r="JQJ5" s="390"/>
      <c r="JQK5" s="390"/>
      <c r="JQL5" s="390"/>
      <c r="JQM5" s="390"/>
      <c r="JQN5" s="390"/>
      <c r="JQO5" s="390"/>
      <c r="JQP5" s="390"/>
      <c r="JQQ5" s="390"/>
      <c r="JQR5" s="390"/>
      <c r="JQS5" s="390"/>
      <c r="JQT5" s="390"/>
      <c r="JQU5" s="390"/>
      <c r="JQV5" s="390"/>
      <c r="JQW5" s="390"/>
      <c r="JQX5" s="390"/>
      <c r="JQY5" s="390"/>
      <c r="JQZ5" s="390"/>
      <c r="JRA5" s="390"/>
      <c r="JRB5" s="390"/>
      <c r="JRC5" s="390"/>
      <c r="JRD5" s="390"/>
      <c r="JRE5" s="390"/>
      <c r="JRF5" s="390"/>
      <c r="JRG5" s="390"/>
      <c r="JRH5" s="390"/>
      <c r="JRI5" s="390"/>
      <c r="JRJ5" s="390"/>
      <c r="JRK5" s="390"/>
      <c r="JRL5" s="390"/>
      <c r="JRM5" s="390"/>
      <c r="JRN5" s="390"/>
      <c r="JRO5" s="390"/>
      <c r="JRP5" s="390"/>
      <c r="JRQ5" s="390"/>
      <c r="JRR5" s="390"/>
      <c r="JRS5" s="390"/>
      <c r="JRT5" s="390"/>
      <c r="JRU5" s="390"/>
      <c r="JRV5" s="390"/>
      <c r="JRW5" s="390"/>
      <c r="JRX5" s="390"/>
      <c r="JRY5" s="390"/>
      <c r="JRZ5" s="390"/>
      <c r="JSA5" s="390"/>
      <c r="JSB5" s="390"/>
      <c r="JSC5" s="390"/>
      <c r="JSD5" s="390"/>
      <c r="JSE5" s="390"/>
      <c r="JSF5" s="390"/>
      <c r="JSG5" s="390"/>
      <c r="JSH5" s="390"/>
      <c r="JSI5" s="390"/>
      <c r="JSJ5" s="390"/>
      <c r="JSK5" s="390"/>
      <c r="JSL5" s="390"/>
      <c r="JSM5" s="390"/>
      <c r="JSN5" s="390"/>
      <c r="JSO5" s="390"/>
      <c r="JSP5" s="390"/>
      <c r="JSQ5" s="390"/>
      <c r="JSR5" s="390"/>
      <c r="JSS5" s="390"/>
      <c r="JST5" s="390"/>
      <c r="JSU5" s="390"/>
      <c r="JSV5" s="390"/>
      <c r="JSW5" s="390"/>
      <c r="JSX5" s="390"/>
      <c r="JSY5" s="390"/>
      <c r="JSZ5" s="390"/>
      <c r="JTA5" s="390"/>
      <c r="JTB5" s="390"/>
      <c r="JTC5" s="390"/>
      <c r="JTD5" s="390"/>
      <c r="JTE5" s="390"/>
      <c r="JTF5" s="390"/>
      <c r="JTG5" s="390"/>
      <c r="JTH5" s="390"/>
      <c r="JTI5" s="390"/>
      <c r="JTJ5" s="390"/>
      <c r="JTK5" s="390"/>
      <c r="JTL5" s="390"/>
      <c r="JTM5" s="390"/>
      <c r="JTN5" s="390"/>
      <c r="JTO5" s="390"/>
      <c r="JTP5" s="390"/>
      <c r="JTQ5" s="390"/>
      <c r="JTR5" s="390"/>
      <c r="JTS5" s="390"/>
      <c r="JTT5" s="390"/>
      <c r="JTU5" s="390"/>
      <c r="JTV5" s="390"/>
      <c r="JTW5" s="390"/>
      <c r="JTX5" s="390"/>
      <c r="JTY5" s="390"/>
      <c r="JTZ5" s="390"/>
      <c r="JUA5" s="390"/>
      <c r="JUB5" s="390"/>
      <c r="JUC5" s="390"/>
      <c r="JUD5" s="390"/>
      <c r="JUE5" s="390"/>
      <c r="JUF5" s="390"/>
      <c r="JUG5" s="390"/>
      <c r="JUH5" s="390"/>
      <c r="JUI5" s="390"/>
      <c r="JUJ5" s="390"/>
      <c r="JUK5" s="390"/>
      <c r="JUL5" s="390"/>
      <c r="JUM5" s="390"/>
      <c r="JUN5" s="390"/>
      <c r="JUO5" s="390"/>
      <c r="JUP5" s="390"/>
      <c r="JUQ5" s="390"/>
      <c r="JUR5" s="390"/>
      <c r="JUS5" s="390"/>
      <c r="JUT5" s="390"/>
      <c r="JUU5" s="390"/>
      <c r="JUV5" s="390"/>
      <c r="JUW5" s="390"/>
      <c r="JUX5" s="390"/>
      <c r="JUY5" s="390"/>
      <c r="JUZ5" s="390"/>
      <c r="JVA5" s="390"/>
      <c r="JVB5" s="390"/>
      <c r="JVC5" s="390"/>
      <c r="JVD5" s="390"/>
      <c r="JVE5" s="390"/>
      <c r="JVF5" s="390"/>
      <c r="JVG5" s="390"/>
      <c r="JVH5" s="390"/>
      <c r="JVI5" s="390"/>
      <c r="JVJ5" s="390"/>
      <c r="JVK5" s="390"/>
      <c r="JVL5" s="390"/>
      <c r="JVM5" s="390"/>
      <c r="JVN5" s="390"/>
      <c r="JVO5" s="390"/>
      <c r="JVP5" s="390"/>
      <c r="JVQ5" s="390"/>
      <c r="JVR5" s="390"/>
      <c r="JVS5" s="390"/>
      <c r="JVT5" s="390"/>
      <c r="JVU5" s="390"/>
      <c r="JVV5" s="390"/>
      <c r="JVW5" s="390"/>
      <c r="JVX5" s="390"/>
      <c r="JVY5" s="390"/>
      <c r="JVZ5" s="390"/>
      <c r="JWA5" s="390"/>
      <c r="JWB5" s="390"/>
      <c r="JWC5" s="390"/>
      <c r="JWD5" s="390"/>
      <c r="JWE5" s="390"/>
      <c r="JWF5" s="390"/>
      <c r="JWG5" s="390"/>
      <c r="JWH5" s="390"/>
      <c r="JWI5" s="390"/>
      <c r="JWJ5" s="390"/>
      <c r="JWK5" s="390"/>
      <c r="JWL5" s="390"/>
      <c r="JWM5" s="390"/>
      <c r="JWN5" s="390"/>
      <c r="JWO5" s="390"/>
      <c r="JWP5" s="390"/>
      <c r="JWQ5" s="390"/>
      <c r="JWR5" s="390"/>
      <c r="JWS5" s="390"/>
      <c r="JWT5" s="390"/>
      <c r="JWU5" s="390"/>
      <c r="JWV5" s="390"/>
      <c r="JWW5" s="390"/>
      <c r="JWX5" s="390"/>
      <c r="JWY5" s="390"/>
      <c r="JWZ5" s="390"/>
      <c r="JXA5" s="390"/>
      <c r="JXB5" s="390"/>
      <c r="JXC5" s="390"/>
      <c r="JXD5" s="390"/>
      <c r="JXE5" s="390"/>
      <c r="JXF5" s="390"/>
      <c r="JXG5" s="390"/>
      <c r="JXH5" s="390"/>
      <c r="JXI5" s="390"/>
      <c r="JXJ5" s="390"/>
      <c r="JXK5" s="390"/>
      <c r="JXL5" s="390"/>
      <c r="JXM5" s="390"/>
      <c r="JXN5" s="390"/>
      <c r="JXO5" s="390"/>
      <c r="JXP5" s="390"/>
      <c r="JXQ5" s="390"/>
      <c r="JXR5" s="390"/>
      <c r="JXS5" s="390"/>
      <c r="JXT5" s="390"/>
      <c r="JXU5" s="390"/>
      <c r="JXV5" s="390"/>
      <c r="JXW5" s="390"/>
      <c r="JXX5" s="390"/>
      <c r="JXY5" s="390"/>
      <c r="JXZ5" s="390"/>
      <c r="JYA5" s="390"/>
      <c r="JYB5" s="390"/>
      <c r="JYC5" s="390"/>
      <c r="JYD5" s="390"/>
      <c r="JYE5" s="390"/>
      <c r="JYF5" s="390"/>
      <c r="JYG5" s="390"/>
      <c r="JYH5" s="390"/>
      <c r="JYI5" s="390"/>
      <c r="JYJ5" s="390"/>
      <c r="JYK5" s="390"/>
      <c r="JYL5" s="390"/>
      <c r="JYM5" s="390"/>
      <c r="JYN5" s="390"/>
      <c r="JYO5" s="390"/>
      <c r="JYP5" s="390"/>
      <c r="JYQ5" s="390"/>
      <c r="JYR5" s="390"/>
      <c r="JYS5" s="390"/>
      <c r="JYT5" s="390"/>
      <c r="JYU5" s="390"/>
      <c r="JYV5" s="390"/>
      <c r="JYW5" s="390"/>
      <c r="JYX5" s="390"/>
      <c r="JYY5" s="390"/>
      <c r="JYZ5" s="390"/>
      <c r="JZA5" s="390"/>
      <c r="JZB5" s="390"/>
      <c r="JZC5" s="390"/>
      <c r="JZD5" s="390"/>
      <c r="JZE5" s="390"/>
      <c r="JZF5" s="390"/>
      <c r="JZG5" s="390"/>
      <c r="JZH5" s="390"/>
      <c r="JZI5" s="390"/>
      <c r="JZJ5" s="390"/>
      <c r="JZK5" s="390"/>
      <c r="JZL5" s="390"/>
      <c r="JZM5" s="390"/>
      <c r="JZN5" s="390"/>
      <c r="JZO5" s="390"/>
      <c r="JZP5" s="390"/>
      <c r="JZQ5" s="390"/>
      <c r="JZR5" s="390"/>
      <c r="JZS5" s="390"/>
      <c r="JZT5" s="390"/>
      <c r="JZU5" s="390"/>
      <c r="JZV5" s="390"/>
      <c r="JZW5" s="390"/>
      <c r="JZX5" s="390"/>
      <c r="JZY5" s="390"/>
      <c r="JZZ5" s="390"/>
      <c r="KAA5" s="390"/>
      <c r="KAB5" s="390"/>
      <c r="KAC5" s="390"/>
      <c r="KAD5" s="390"/>
      <c r="KAE5" s="390"/>
      <c r="KAF5" s="390"/>
      <c r="KAG5" s="390"/>
      <c r="KAH5" s="390"/>
      <c r="KAI5" s="390"/>
      <c r="KAJ5" s="390"/>
      <c r="KAK5" s="390"/>
      <c r="KAL5" s="390"/>
      <c r="KAM5" s="390"/>
      <c r="KAN5" s="390"/>
      <c r="KAO5" s="390"/>
      <c r="KAP5" s="390"/>
      <c r="KAQ5" s="390"/>
      <c r="KAR5" s="390"/>
      <c r="KAS5" s="390"/>
      <c r="KAT5" s="390"/>
      <c r="KAU5" s="390"/>
      <c r="KAV5" s="390"/>
      <c r="KAW5" s="390"/>
      <c r="KAX5" s="390"/>
      <c r="KAY5" s="390"/>
      <c r="KAZ5" s="390"/>
      <c r="KBA5" s="390"/>
      <c r="KBB5" s="390"/>
      <c r="KBC5" s="390"/>
      <c r="KBD5" s="390"/>
      <c r="KBE5" s="390"/>
      <c r="KBF5" s="390"/>
      <c r="KBG5" s="390"/>
      <c r="KBH5" s="390"/>
      <c r="KBI5" s="390"/>
      <c r="KBJ5" s="390"/>
      <c r="KBK5" s="390"/>
      <c r="KBL5" s="390"/>
      <c r="KBM5" s="390"/>
      <c r="KBN5" s="390"/>
      <c r="KBO5" s="390"/>
      <c r="KBP5" s="390"/>
      <c r="KBQ5" s="390"/>
      <c r="KBR5" s="390"/>
      <c r="KBS5" s="390"/>
      <c r="KBT5" s="390"/>
      <c r="KBU5" s="390"/>
      <c r="KBV5" s="390"/>
      <c r="KBW5" s="390"/>
      <c r="KBX5" s="390"/>
      <c r="KBY5" s="390"/>
      <c r="KBZ5" s="390"/>
      <c r="KCA5" s="390"/>
      <c r="KCB5" s="390"/>
      <c r="KCC5" s="390"/>
      <c r="KCD5" s="390"/>
      <c r="KCE5" s="390"/>
      <c r="KCF5" s="390"/>
      <c r="KCG5" s="390"/>
      <c r="KCH5" s="390"/>
      <c r="KCI5" s="390"/>
      <c r="KCJ5" s="390"/>
      <c r="KCK5" s="390"/>
      <c r="KCL5" s="390"/>
      <c r="KCM5" s="390"/>
      <c r="KCN5" s="390"/>
      <c r="KCO5" s="390"/>
      <c r="KCP5" s="390"/>
      <c r="KCQ5" s="390"/>
      <c r="KCR5" s="390"/>
      <c r="KCS5" s="390"/>
      <c r="KCT5" s="390"/>
      <c r="KCU5" s="390"/>
      <c r="KCV5" s="390"/>
      <c r="KCW5" s="390"/>
      <c r="KCX5" s="390"/>
      <c r="KCY5" s="390"/>
      <c r="KCZ5" s="390"/>
      <c r="KDA5" s="390"/>
      <c r="KDB5" s="390"/>
      <c r="KDC5" s="390"/>
      <c r="KDD5" s="390"/>
      <c r="KDE5" s="390"/>
      <c r="KDF5" s="390"/>
      <c r="KDG5" s="390"/>
      <c r="KDH5" s="390"/>
      <c r="KDI5" s="390"/>
      <c r="KDJ5" s="390"/>
      <c r="KDK5" s="390"/>
      <c r="KDL5" s="390"/>
      <c r="KDM5" s="390"/>
      <c r="KDN5" s="390"/>
      <c r="KDO5" s="390"/>
      <c r="KDP5" s="390"/>
      <c r="KDQ5" s="390"/>
      <c r="KDR5" s="390"/>
      <c r="KDS5" s="390"/>
      <c r="KDT5" s="390"/>
      <c r="KDU5" s="390"/>
      <c r="KDV5" s="390"/>
      <c r="KDW5" s="390"/>
      <c r="KDX5" s="390"/>
      <c r="KDY5" s="390"/>
      <c r="KDZ5" s="390"/>
      <c r="KEA5" s="390"/>
      <c r="KEB5" s="390"/>
      <c r="KEC5" s="390"/>
      <c r="KED5" s="390"/>
      <c r="KEE5" s="390"/>
      <c r="KEF5" s="390"/>
      <c r="KEG5" s="390"/>
      <c r="KEH5" s="390"/>
      <c r="KEI5" s="390"/>
      <c r="KEJ5" s="390"/>
      <c r="KEK5" s="390"/>
      <c r="KEL5" s="390"/>
      <c r="KEM5" s="390"/>
      <c r="KEN5" s="390"/>
      <c r="KEO5" s="390"/>
      <c r="KEP5" s="390"/>
      <c r="KEQ5" s="390"/>
      <c r="KER5" s="390"/>
      <c r="KES5" s="390"/>
      <c r="KET5" s="390"/>
      <c r="KEU5" s="390"/>
      <c r="KEV5" s="390"/>
      <c r="KEW5" s="390"/>
      <c r="KEX5" s="390"/>
      <c r="KEY5" s="390"/>
      <c r="KEZ5" s="390"/>
      <c r="KFA5" s="390"/>
      <c r="KFB5" s="390"/>
      <c r="KFC5" s="390"/>
      <c r="KFD5" s="390"/>
      <c r="KFE5" s="390"/>
      <c r="KFF5" s="390"/>
      <c r="KFG5" s="390"/>
      <c r="KFH5" s="390"/>
      <c r="KFI5" s="390"/>
      <c r="KFJ5" s="390"/>
      <c r="KFK5" s="390"/>
      <c r="KFL5" s="390"/>
      <c r="KFM5" s="390"/>
      <c r="KFN5" s="390"/>
      <c r="KFO5" s="390"/>
      <c r="KFP5" s="390"/>
      <c r="KFQ5" s="390"/>
      <c r="KFR5" s="390"/>
      <c r="KFS5" s="390"/>
      <c r="KFT5" s="390"/>
      <c r="KFU5" s="390"/>
      <c r="KFV5" s="390"/>
      <c r="KFW5" s="390"/>
      <c r="KFX5" s="390"/>
      <c r="KFY5" s="390"/>
      <c r="KFZ5" s="390"/>
      <c r="KGA5" s="390"/>
      <c r="KGB5" s="390"/>
      <c r="KGC5" s="390"/>
      <c r="KGD5" s="390"/>
      <c r="KGE5" s="390"/>
      <c r="KGF5" s="390"/>
      <c r="KGG5" s="390"/>
      <c r="KGH5" s="390"/>
      <c r="KGI5" s="390"/>
      <c r="KGJ5" s="390"/>
      <c r="KGK5" s="390"/>
      <c r="KGL5" s="390"/>
      <c r="KGM5" s="390"/>
      <c r="KGN5" s="390"/>
      <c r="KGO5" s="390"/>
      <c r="KGP5" s="390"/>
      <c r="KGQ5" s="390"/>
      <c r="KGR5" s="390"/>
      <c r="KGS5" s="390"/>
      <c r="KGT5" s="390"/>
      <c r="KGU5" s="390"/>
      <c r="KGV5" s="390"/>
      <c r="KGW5" s="390"/>
      <c r="KGX5" s="390"/>
      <c r="KGY5" s="390"/>
      <c r="KGZ5" s="390"/>
      <c r="KHA5" s="390"/>
      <c r="KHB5" s="390"/>
      <c r="KHC5" s="390"/>
      <c r="KHD5" s="390"/>
      <c r="KHE5" s="390"/>
      <c r="KHF5" s="390"/>
      <c r="KHG5" s="390"/>
      <c r="KHH5" s="390"/>
      <c r="KHI5" s="390"/>
      <c r="KHJ5" s="390"/>
      <c r="KHK5" s="390"/>
      <c r="KHL5" s="390"/>
      <c r="KHM5" s="390"/>
      <c r="KHN5" s="390"/>
      <c r="KHO5" s="390"/>
      <c r="KHP5" s="390"/>
      <c r="KHQ5" s="390"/>
      <c r="KHR5" s="390"/>
      <c r="KHS5" s="390"/>
      <c r="KHT5" s="390"/>
      <c r="KHU5" s="390"/>
      <c r="KHV5" s="390"/>
      <c r="KHW5" s="390"/>
      <c r="KHX5" s="390"/>
      <c r="KHY5" s="390"/>
      <c r="KHZ5" s="390"/>
      <c r="KIA5" s="390"/>
      <c r="KIB5" s="390"/>
      <c r="KIC5" s="390"/>
      <c r="KID5" s="390"/>
      <c r="KIE5" s="390"/>
      <c r="KIF5" s="390"/>
      <c r="KIG5" s="390"/>
      <c r="KIH5" s="390"/>
      <c r="KII5" s="390"/>
      <c r="KIJ5" s="390"/>
      <c r="KIK5" s="390"/>
      <c r="KIL5" s="390"/>
      <c r="KIM5" s="390"/>
      <c r="KIN5" s="390"/>
      <c r="KIO5" s="390"/>
      <c r="KIP5" s="390"/>
      <c r="KIQ5" s="390"/>
      <c r="KIR5" s="390"/>
      <c r="KIS5" s="390"/>
      <c r="KIT5" s="390"/>
      <c r="KIU5" s="390"/>
      <c r="KIV5" s="390"/>
      <c r="KIW5" s="390"/>
      <c r="KIX5" s="390"/>
      <c r="KIY5" s="390"/>
      <c r="KIZ5" s="390"/>
      <c r="KJA5" s="390"/>
      <c r="KJB5" s="390"/>
      <c r="KJC5" s="390"/>
      <c r="KJD5" s="390"/>
      <c r="KJE5" s="390"/>
      <c r="KJF5" s="390"/>
      <c r="KJG5" s="390"/>
      <c r="KJH5" s="390"/>
      <c r="KJI5" s="390"/>
      <c r="KJJ5" s="390"/>
      <c r="KJK5" s="390"/>
      <c r="KJL5" s="390"/>
      <c r="KJM5" s="390"/>
      <c r="KJN5" s="390"/>
      <c r="KJO5" s="390"/>
      <c r="KJP5" s="390"/>
      <c r="KJQ5" s="390"/>
      <c r="KJR5" s="390"/>
      <c r="KJS5" s="390"/>
      <c r="KJT5" s="390"/>
      <c r="KJU5" s="390"/>
      <c r="KJV5" s="390"/>
      <c r="KJW5" s="390"/>
      <c r="KJX5" s="390"/>
      <c r="KJY5" s="390"/>
      <c r="KJZ5" s="390"/>
      <c r="KKA5" s="390"/>
      <c r="KKB5" s="390"/>
      <c r="KKC5" s="390"/>
      <c r="KKD5" s="390"/>
      <c r="KKE5" s="390"/>
      <c r="KKF5" s="390"/>
      <c r="KKG5" s="390"/>
      <c r="KKH5" s="390"/>
      <c r="KKI5" s="390"/>
      <c r="KKJ5" s="390"/>
      <c r="KKK5" s="390"/>
      <c r="KKL5" s="390"/>
      <c r="KKM5" s="390"/>
      <c r="KKN5" s="390"/>
      <c r="KKO5" s="390"/>
      <c r="KKP5" s="390"/>
      <c r="KKQ5" s="390"/>
      <c r="KKR5" s="390"/>
      <c r="KKS5" s="390"/>
      <c r="KKT5" s="390"/>
      <c r="KKU5" s="390"/>
      <c r="KKV5" s="390"/>
      <c r="KKW5" s="390"/>
      <c r="KKX5" s="390"/>
      <c r="KKY5" s="390"/>
      <c r="KKZ5" s="390"/>
      <c r="KLA5" s="390"/>
      <c r="KLB5" s="390"/>
      <c r="KLC5" s="390"/>
      <c r="KLD5" s="390"/>
      <c r="KLE5" s="390"/>
      <c r="KLF5" s="390"/>
      <c r="KLG5" s="390"/>
      <c r="KLH5" s="390"/>
      <c r="KLI5" s="390"/>
      <c r="KLJ5" s="390"/>
      <c r="KLK5" s="390"/>
      <c r="KLL5" s="390"/>
      <c r="KLM5" s="390"/>
      <c r="KLN5" s="390"/>
      <c r="KLO5" s="390"/>
      <c r="KLP5" s="390"/>
      <c r="KLQ5" s="390"/>
      <c r="KLR5" s="390"/>
      <c r="KLS5" s="390"/>
      <c r="KLT5" s="390"/>
      <c r="KLU5" s="390"/>
      <c r="KLV5" s="390"/>
      <c r="KLW5" s="390"/>
      <c r="KLX5" s="390"/>
      <c r="KLY5" s="390"/>
      <c r="KLZ5" s="390"/>
      <c r="KMA5" s="390"/>
      <c r="KMB5" s="390"/>
      <c r="KMC5" s="390"/>
      <c r="KMD5" s="390"/>
      <c r="KME5" s="390"/>
      <c r="KMF5" s="390"/>
      <c r="KMG5" s="390"/>
      <c r="KMH5" s="390"/>
      <c r="KMI5" s="390"/>
      <c r="KMJ5" s="390"/>
      <c r="KMK5" s="390"/>
      <c r="KML5" s="390"/>
      <c r="KMM5" s="390"/>
      <c r="KMN5" s="390"/>
      <c r="KMO5" s="390"/>
      <c r="KMP5" s="390"/>
      <c r="KMQ5" s="390"/>
      <c r="KMR5" s="390"/>
      <c r="KMS5" s="390"/>
      <c r="KMT5" s="390"/>
      <c r="KMU5" s="390"/>
      <c r="KMV5" s="390"/>
      <c r="KMW5" s="390"/>
      <c r="KMX5" s="390"/>
      <c r="KMY5" s="390"/>
      <c r="KMZ5" s="390"/>
      <c r="KNA5" s="390"/>
      <c r="KNB5" s="390"/>
      <c r="KNC5" s="390"/>
      <c r="KND5" s="390"/>
      <c r="KNE5" s="390"/>
      <c r="KNF5" s="390"/>
      <c r="KNG5" s="390"/>
      <c r="KNH5" s="390"/>
      <c r="KNI5" s="390"/>
      <c r="KNJ5" s="390"/>
      <c r="KNK5" s="390"/>
      <c r="KNL5" s="390"/>
      <c r="KNM5" s="390"/>
      <c r="KNN5" s="390"/>
      <c r="KNO5" s="390"/>
      <c r="KNP5" s="390"/>
      <c r="KNQ5" s="390"/>
      <c r="KNR5" s="390"/>
      <c r="KNS5" s="390"/>
      <c r="KNT5" s="390"/>
      <c r="KNU5" s="390"/>
      <c r="KNV5" s="390"/>
      <c r="KNW5" s="390"/>
      <c r="KNX5" s="390"/>
      <c r="KNY5" s="390"/>
      <c r="KNZ5" s="390"/>
      <c r="KOA5" s="390"/>
      <c r="KOB5" s="390"/>
      <c r="KOC5" s="390"/>
      <c r="KOD5" s="390"/>
      <c r="KOE5" s="390"/>
      <c r="KOF5" s="390"/>
      <c r="KOG5" s="390"/>
      <c r="KOH5" s="390"/>
      <c r="KOI5" s="390"/>
      <c r="KOJ5" s="390"/>
      <c r="KOK5" s="390"/>
      <c r="KOL5" s="390"/>
      <c r="KOM5" s="390"/>
      <c r="KON5" s="390"/>
      <c r="KOO5" s="390"/>
      <c r="KOP5" s="390"/>
      <c r="KOQ5" s="390"/>
      <c r="KOR5" s="390"/>
      <c r="KOS5" s="390"/>
      <c r="KOT5" s="390"/>
      <c r="KOU5" s="390"/>
      <c r="KOV5" s="390"/>
      <c r="KOW5" s="390"/>
      <c r="KOX5" s="390"/>
      <c r="KOY5" s="390"/>
      <c r="KOZ5" s="390"/>
      <c r="KPA5" s="390"/>
      <c r="KPB5" s="390"/>
      <c r="KPC5" s="390"/>
      <c r="KPD5" s="390"/>
      <c r="KPE5" s="390"/>
      <c r="KPF5" s="390"/>
      <c r="KPG5" s="390"/>
      <c r="KPH5" s="390"/>
      <c r="KPI5" s="390"/>
      <c r="KPJ5" s="390"/>
      <c r="KPK5" s="390"/>
      <c r="KPL5" s="390"/>
      <c r="KPM5" s="390"/>
      <c r="KPN5" s="390"/>
      <c r="KPO5" s="390"/>
      <c r="KPP5" s="390"/>
      <c r="KPQ5" s="390"/>
      <c r="KPR5" s="390"/>
      <c r="KPS5" s="390"/>
      <c r="KPT5" s="390"/>
      <c r="KPU5" s="390"/>
      <c r="KPV5" s="390"/>
      <c r="KPW5" s="390"/>
      <c r="KPX5" s="390"/>
      <c r="KPY5" s="390"/>
      <c r="KPZ5" s="390"/>
      <c r="KQA5" s="390"/>
      <c r="KQB5" s="390"/>
      <c r="KQC5" s="390"/>
      <c r="KQD5" s="390"/>
      <c r="KQE5" s="390"/>
      <c r="KQF5" s="390"/>
      <c r="KQG5" s="390"/>
      <c r="KQH5" s="390"/>
      <c r="KQI5" s="390"/>
      <c r="KQJ5" s="390"/>
      <c r="KQK5" s="390"/>
      <c r="KQL5" s="390"/>
      <c r="KQM5" s="390"/>
      <c r="KQN5" s="390"/>
      <c r="KQO5" s="390"/>
      <c r="KQP5" s="390"/>
      <c r="KQQ5" s="390"/>
      <c r="KQR5" s="390"/>
      <c r="KQS5" s="390"/>
      <c r="KQT5" s="390"/>
      <c r="KQU5" s="390"/>
      <c r="KQV5" s="390"/>
      <c r="KQW5" s="390"/>
      <c r="KQX5" s="390"/>
      <c r="KQY5" s="390"/>
      <c r="KQZ5" s="390"/>
      <c r="KRA5" s="390"/>
      <c r="KRB5" s="390"/>
      <c r="KRC5" s="390"/>
      <c r="KRD5" s="390"/>
      <c r="KRE5" s="390"/>
      <c r="KRF5" s="390"/>
      <c r="KRG5" s="390"/>
      <c r="KRH5" s="390"/>
      <c r="KRI5" s="390"/>
      <c r="KRJ5" s="390"/>
      <c r="KRK5" s="390"/>
      <c r="KRL5" s="390"/>
      <c r="KRM5" s="390"/>
      <c r="KRN5" s="390"/>
      <c r="KRO5" s="390"/>
      <c r="KRP5" s="390"/>
      <c r="KRQ5" s="390"/>
      <c r="KRR5" s="390"/>
      <c r="KRS5" s="390"/>
      <c r="KRT5" s="390"/>
      <c r="KRU5" s="390"/>
      <c r="KRV5" s="390"/>
      <c r="KRW5" s="390"/>
      <c r="KRX5" s="390"/>
      <c r="KRY5" s="390"/>
      <c r="KRZ5" s="390"/>
      <c r="KSA5" s="390"/>
      <c r="KSB5" s="390"/>
      <c r="KSC5" s="390"/>
      <c r="KSD5" s="390"/>
      <c r="KSE5" s="390"/>
      <c r="KSF5" s="390"/>
      <c r="KSG5" s="390"/>
      <c r="KSH5" s="390"/>
      <c r="KSI5" s="390"/>
      <c r="KSJ5" s="390"/>
      <c r="KSK5" s="390"/>
      <c r="KSL5" s="390"/>
      <c r="KSM5" s="390"/>
      <c r="KSN5" s="390"/>
      <c r="KSO5" s="390"/>
      <c r="KSP5" s="390"/>
      <c r="KSQ5" s="390"/>
      <c r="KSR5" s="390"/>
      <c r="KSS5" s="390"/>
      <c r="KST5" s="390"/>
      <c r="KSU5" s="390"/>
      <c r="KSV5" s="390"/>
      <c r="KSW5" s="390"/>
      <c r="KSX5" s="390"/>
      <c r="KSY5" s="390"/>
      <c r="KSZ5" s="390"/>
      <c r="KTA5" s="390"/>
      <c r="KTB5" s="390"/>
      <c r="KTC5" s="390"/>
      <c r="KTD5" s="390"/>
      <c r="KTE5" s="390"/>
      <c r="KTF5" s="390"/>
      <c r="KTG5" s="390"/>
      <c r="KTH5" s="390"/>
      <c r="KTI5" s="390"/>
      <c r="KTJ5" s="390"/>
      <c r="KTK5" s="390"/>
      <c r="KTL5" s="390"/>
      <c r="KTM5" s="390"/>
      <c r="KTN5" s="390"/>
      <c r="KTO5" s="390"/>
      <c r="KTP5" s="390"/>
      <c r="KTQ5" s="390"/>
      <c r="KTR5" s="390"/>
      <c r="KTS5" s="390"/>
      <c r="KTT5" s="390"/>
      <c r="KTU5" s="390"/>
      <c r="KTV5" s="390"/>
      <c r="KTW5" s="390"/>
      <c r="KTX5" s="390"/>
      <c r="KTY5" s="390"/>
      <c r="KTZ5" s="390"/>
      <c r="KUA5" s="390"/>
      <c r="KUB5" s="390"/>
      <c r="KUC5" s="390"/>
      <c r="KUD5" s="390"/>
      <c r="KUE5" s="390"/>
      <c r="KUF5" s="390"/>
      <c r="KUG5" s="390"/>
      <c r="KUH5" s="390"/>
      <c r="KUI5" s="390"/>
      <c r="KUJ5" s="390"/>
      <c r="KUK5" s="390"/>
      <c r="KUL5" s="390"/>
      <c r="KUM5" s="390"/>
      <c r="KUN5" s="390"/>
      <c r="KUO5" s="390"/>
      <c r="KUP5" s="390"/>
      <c r="KUQ5" s="390"/>
      <c r="KUR5" s="390"/>
      <c r="KUS5" s="390"/>
      <c r="KUT5" s="390"/>
      <c r="KUU5" s="390"/>
      <c r="KUV5" s="390"/>
      <c r="KUW5" s="390"/>
      <c r="KUX5" s="390"/>
      <c r="KUY5" s="390"/>
      <c r="KUZ5" s="390"/>
      <c r="KVA5" s="390"/>
      <c r="KVB5" s="390"/>
      <c r="KVC5" s="390"/>
      <c r="KVD5" s="390"/>
      <c r="KVE5" s="390"/>
      <c r="KVF5" s="390"/>
      <c r="KVG5" s="390"/>
      <c r="KVH5" s="390"/>
      <c r="KVI5" s="390"/>
      <c r="KVJ5" s="390"/>
      <c r="KVK5" s="390"/>
      <c r="KVL5" s="390"/>
      <c r="KVM5" s="390"/>
      <c r="KVN5" s="390"/>
      <c r="KVO5" s="390"/>
      <c r="KVP5" s="390"/>
      <c r="KVQ5" s="390"/>
      <c r="KVR5" s="390"/>
      <c r="KVS5" s="390"/>
      <c r="KVT5" s="390"/>
      <c r="KVU5" s="390"/>
      <c r="KVV5" s="390"/>
      <c r="KVW5" s="390"/>
      <c r="KVX5" s="390"/>
      <c r="KVY5" s="390"/>
      <c r="KVZ5" s="390"/>
      <c r="KWA5" s="390"/>
      <c r="KWB5" s="390"/>
      <c r="KWC5" s="390"/>
      <c r="KWD5" s="390"/>
      <c r="KWE5" s="390"/>
      <c r="KWF5" s="390"/>
      <c r="KWG5" s="390"/>
      <c r="KWH5" s="390"/>
      <c r="KWI5" s="390"/>
      <c r="KWJ5" s="390"/>
      <c r="KWK5" s="390"/>
      <c r="KWL5" s="390"/>
      <c r="KWM5" s="390"/>
      <c r="KWN5" s="390"/>
      <c r="KWO5" s="390"/>
      <c r="KWP5" s="390"/>
      <c r="KWQ5" s="390"/>
      <c r="KWR5" s="390"/>
      <c r="KWS5" s="390"/>
      <c r="KWT5" s="390"/>
      <c r="KWU5" s="390"/>
      <c r="KWV5" s="390"/>
      <c r="KWW5" s="390"/>
      <c r="KWX5" s="390"/>
      <c r="KWY5" s="390"/>
      <c r="KWZ5" s="390"/>
      <c r="KXA5" s="390"/>
      <c r="KXB5" s="390"/>
      <c r="KXC5" s="390"/>
      <c r="KXD5" s="390"/>
      <c r="KXE5" s="390"/>
      <c r="KXF5" s="390"/>
      <c r="KXG5" s="390"/>
      <c r="KXH5" s="390"/>
      <c r="KXI5" s="390"/>
      <c r="KXJ5" s="390"/>
      <c r="KXK5" s="390"/>
      <c r="KXL5" s="390"/>
      <c r="KXM5" s="390"/>
      <c r="KXN5" s="390"/>
      <c r="KXO5" s="390"/>
      <c r="KXP5" s="390"/>
      <c r="KXQ5" s="390"/>
      <c r="KXR5" s="390"/>
      <c r="KXS5" s="390"/>
      <c r="KXT5" s="390"/>
      <c r="KXU5" s="390"/>
      <c r="KXV5" s="390"/>
      <c r="KXW5" s="390"/>
      <c r="KXX5" s="390"/>
      <c r="KXY5" s="390"/>
      <c r="KXZ5" s="390"/>
      <c r="KYA5" s="390"/>
      <c r="KYB5" s="390"/>
      <c r="KYC5" s="390"/>
      <c r="KYD5" s="390"/>
      <c r="KYE5" s="390"/>
      <c r="KYF5" s="390"/>
      <c r="KYG5" s="390"/>
      <c r="KYH5" s="390"/>
      <c r="KYI5" s="390"/>
      <c r="KYJ5" s="390"/>
      <c r="KYK5" s="390"/>
      <c r="KYL5" s="390"/>
      <c r="KYM5" s="390"/>
      <c r="KYN5" s="390"/>
      <c r="KYO5" s="390"/>
      <c r="KYP5" s="390"/>
      <c r="KYQ5" s="390"/>
      <c r="KYR5" s="390"/>
      <c r="KYS5" s="390"/>
      <c r="KYT5" s="390"/>
      <c r="KYU5" s="390"/>
      <c r="KYV5" s="390"/>
      <c r="KYW5" s="390"/>
      <c r="KYX5" s="390"/>
      <c r="KYY5" s="390"/>
      <c r="KYZ5" s="390"/>
      <c r="KZA5" s="390"/>
      <c r="KZB5" s="390"/>
      <c r="KZC5" s="390"/>
      <c r="KZD5" s="390"/>
      <c r="KZE5" s="390"/>
      <c r="KZF5" s="390"/>
      <c r="KZG5" s="390"/>
      <c r="KZH5" s="390"/>
      <c r="KZI5" s="390"/>
      <c r="KZJ5" s="390"/>
      <c r="KZK5" s="390"/>
      <c r="KZL5" s="390"/>
      <c r="KZM5" s="390"/>
      <c r="KZN5" s="390"/>
      <c r="KZO5" s="390"/>
      <c r="KZP5" s="390"/>
      <c r="KZQ5" s="390"/>
      <c r="KZR5" s="390"/>
      <c r="KZS5" s="390"/>
      <c r="KZT5" s="390"/>
      <c r="KZU5" s="390"/>
      <c r="KZV5" s="390"/>
      <c r="KZW5" s="390"/>
      <c r="KZX5" s="390"/>
      <c r="KZY5" s="390"/>
      <c r="KZZ5" s="390"/>
      <c r="LAA5" s="390"/>
      <c r="LAB5" s="390"/>
      <c r="LAC5" s="390"/>
      <c r="LAD5" s="390"/>
      <c r="LAE5" s="390"/>
      <c r="LAF5" s="390"/>
      <c r="LAG5" s="390"/>
      <c r="LAH5" s="390"/>
      <c r="LAI5" s="390"/>
      <c r="LAJ5" s="390"/>
      <c r="LAK5" s="390"/>
      <c r="LAL5" s="390"/>
      <c r="LAM5" s="390"/>
      <c r="LAN5" s="390"/>
      <c r="LAO5" s="390"/>
      <c r="LAP5" s="390"/>
      <c r="LAQ5" s="390"/>
      <c r="LAR5" s="390"/>
      <c r="LAS5" s="390"/>
      <c r="LAT5" s="390"/>
      <c r="LAU5" s="390"/>
      <c r="LAV5" s="390"/>
      <c r="LAW5" s="390"/>
      <c r="LAX5" s="390"/>
      <c r="LAY5" s="390"/>
      <c r="LAZ5" s="390"/>
      <c r="LBA5" s="390"/>
      <c r="LBB5" s="390"/>
      <c r="LBC5" s="390"/>
      <c r="LBD5" s="390"/>
      <c r="LBE5" s="390"/>
      <c r="LBF5" s="390"/>
      <c r="LBG5" s="390"/>
      <c r="LBH5" s="390"/>
      <c r="LBI5" s="390"/>
      <c r="LBJ5" s="390"/>
      <c r="LBK5" s="390"/>
      <c r="LBL5" s="390"/>
      <c r="LBM5" s="390"/>
      <c r="LBN5" s="390"/>
      <c r="LBO5" s="390"/>
      <c r="LBP5" s="390"/>
      <c r="LBQ5" s="390"/>
      <c r="LBR5" s="390"/>
      <c r="LBS5" s="390"/>
      <c r="LBT5" s="390"/>
      <c r="LBU5" s="390"/>
      <c r="LBV5" s="390"/>
      <c r="LBW5" s="390"/>
      <c r="LBX5" s="390"/>
      <c r="LBY5" s="390"/>
      <c r="LBZ5" s="390"/>
      <c r="LCA5" s="390"/>
      <c r="LCB5" s="390"/>
      <c r="LCC5" s="390"/>
      <c r="LCD5" s="390"/>
      <c r="LCE5" s="390"/>
      <c r="LCF5" s="390"/>
      <c r="LCG5" s="390"/>
      <c r="LCH5" s="390"/>
      <c r="LCI5" s="390"/>
      <c r="LCJ5" s="390"/>
      <c r="LCK5" s="390"/>
      <c r="LCL5" s="390"/>
      <c r="LCM5" s="390"/>
      <c r="LCN5" s="390"/>
      <c r="LCO5" s="390"/>
      <c r="LCP5" s="390"/>
      <c r="LCQ5" s="390"/>
      <c r="LCR5" s="390"/>
      <c r="LCS5" s="390"/>
      <c r="LCT5" s="390"/>
      <c r="LCU5" s="390"/>
      <c r="LCV5" s="390"/>
      <c r="LCW5" s="390"/>
      <c r="LCX5" s="390"/>
      <c r="LCY5" s="390"/>
      <c r="LCZ5" s="390"/>
      <c r="LDA5" s="390"/>
      <c r="LDB5" s="390"/>
      <c r="LDC5" s="390"/>
      <c r="LDD5" s="390"/>
      <c r="LDE5" s="390"/>
      <c r="LDF5" s="390"/>
      <c r="LDG5" s="390"/>
      <c r="LDH5" s="390"/>
      <c r="LDI5" s="390"/>
      <c r="LDJ5" s="390"/>
      <c r="LDK5" s="390"/>
      <c r="LDL5" s="390"/>
      <c r="LDM5" s="390"/>
      <c r="LDN5" s="390"/>
      <c r="LDO5" s="390"/>
      <c r="LDP5" s="390"/>
      <c r="LDQ5" s="390"/>
      <c r="LDR5" s="390"/>
      <c r="LDS5" s="390"/>
      <c r="LDT5" s="390"/>
      <c r="LDU5" s="390"/>
      <c r="LDV5" s="390"/>
      <c r="LDW5" s="390"/>
      <c r="LDX5" s="390"/>
      <c r="LDY5" s="390"/>
      <c r="LDZ5" s="390"/>
      <c r="LEA5" s="390"/>
      <c r="LEB5" s="390"/>
      <c r="LEC5" s="390"/>
      <c r="LED5" s="390"/>
      <c r="LEE5" s="390"/>
      <c r="LEF5" s="390"/>
      <c r="LEG5" s="390"/>
      <c r="LEH5" s="390"/>
      <c r="LEI5" s="390"/>
      <c r="LEJ5" s="390"/>
      <c r="LEK5" s="390"/>
      <c r="LEL5" s="390"/>
      <c r="LEM5" s="390"/>
      <c r="LEN5" s="390"/>
      <c r="LEO5" s="390"/>
      <c r="LEP5" s="390"/>
      <c r="LEQ5" s="390"/>
      <c r="LER5" s="390"/>
      <c r="LES5" s="390"/>
      <c r="LET5" s="390"/>
      <c r="LEU5" s="390"/>
      <c r="LEV5" s="390"/>
      <c r="LEW5" s="390"/>
      <c r="LEX5" s="390"/>
      <c r="LEY5" s="390"/>
      <c r="LEZ5" s="390"/>
      <c r="LFA5" s="390"/>
      <c r="LFB5" s="390"/>
      <c r="LFC5" s="390"/>
      <c r="LFD5" s="390"/>
      <c r="LFE5" s="390"/>
      <c r="LFF5" s="390"/>
      <c r="LFG5" s="390"/>
      <c r="LFH5" s="390"/>
      <c r="LFI5" s="390"/>
      <c r="LFJ5" s="390"/>
      <c r="LFK5" s="390"/>
      <c r="LFL5" s="390"/>
      <c r="LFM5" s="390"/>
      <c r="LFN5" s="390"/>
      <c r="LFO5" s="390"/>
      <c r="LFP5" s="390"/>
      <c r="LFQ5" s="390"/>
      <c r="LFR5" s="390"/>
      <c r="LFS5" s="390"/>
      <c r="LFT5" s="390"/>
      <c r="LFU5" s="390"/>
      <c r="LFV5" s="390"/>
      <c r="LFW5" s="390"/>
      <c r="LFX5" s="390"/>
      <c r="LFY5" s="390"/>
      <c r="LFZ5" s="390"/>
      <c r="LGA5" s="390"/>
      <c r="LGB5" s="390"/>
      <c r="LGC5" s="390"/>
      <c r="LGD5" s="390"/>
      <c r="LGE5" s="390"/>
      <c r="LGF5" s="390"/>
      <c r="LGG5" s="390"/>
      <c r="LGH5" s="390"/>
      <c r="LGI5" s="390"/>
      <c r="LGJ5" s="390"/>
      <c r="LGK5" s="390"/>
      <c r="LGL5" s="390"/>
      <c r="LGM5" s="390"/>
      <c r="LGN5" s="390"/>
      <c r="LGO5" s="390"/>
      <c r="LGP5" s="390"/>
      <c r="LGQ5" s="390"/>
      <c r="LGR5" s="390"/>
      <c r="LGS5" s="390"/>
      <c r="LGT5" s="390"/>
      <c r="LGU5" s="390"/>
      <c r="LGV5" s="390"/>
      <c r="LGW5" s="390"/>
      <c r="LGX5" s="390"/>
      <c r="LGY5" s="390"/>
      <c r="LGZ5" s="390"/>
      <c r="LHA5" s="390"/>
      <c r="LHB5" s="390"/>
      <c r="LHC5" s="390"/>
      <c r="LHD5" s="390"/>
      <c r="LHE5" s="390"/>
      <c r="LHF5" s="390"/>
      <c r="LHG5" s="390"/>
      <c r="LHH5" s="390"/>
      <c r="LHI5" s="390"/>
      <c r="LHJ5" s="390"/>
      <c r="LHK5" s="390"/>
      <c r="LHL5" s="390"/>
      <c r="LHM5" s="390"/>
      <c r="LHN5" s="390"/>
      <c r="LHO5" s="390"/>
      <c r="LHP5" s="390"/>
      <c r="LHQ5" s="390"/>
      <c r="LHR5" s="390"/>
      <c r="LHS5" s="390"/>
      <c r="LHT5" s="390"/>
      <c r="LHU5" s="390"/>
      <c r="LHV5" s="390"/>
      <c r="LHW5" s="390"/>
      <c r="LHX5" s="390"/>
      <c r="LHY5" s="390"/>
      <c r="LHZ5" s="390"/>
      <c r="LIA5" s="390"/>
      <c r="LIB5" s="390"/>
      <c r="LIC5" s="390"/>
      <c r="LID5" s="390"/>
      <c r="LIE5" s="390"/>
      <c r="LIF5" s="390"/>
      <c r="LIG5" s="390"/>
      <c r="LIH5" s="390"/>
      <c r="LII5" s="390"/>
      <c r="LIJ5" s="390"/>
      <c r="LIK5" s="390"/>
      <c r="LIL5" s="390"/>
      <c r="LIM5" s="390"/>
      <c r="LIN5" s="390"/>
      <c r="LIO5" s="390"/>
      <c r="LIP5" s="390"/>
      <c r="LIQ5" s="390"/>
      <c r="LIR5" s="390"/>
      <c r="LIS5" s="390"/>
      <c r="LIT5" s="390"/>
      <c r="LIU5" s="390"/>
      <c r="LIV5" s="390"/>
      <c r="LIW5" s="390"/>
      <c r="LIX5" s="390"/>
      <c r="LIY5" s="390"/>
      <c r="LIZ5" s="390"/>
      <c r="LJA5" s="390"/>
      <c r="LJB5" s="390"/>
      <c r="LJC5" s="390"/>
      <c r="LJD5" s="390"/>
      <c r="LJE5" s="390"/>
      <c r="LJF5" s="390"/>
      <c r="LJG5" s="390"/>
      <c r="LJH5" s="390"/>
      <c r="LJI5" s="390"/>
      <c r="LJJ5" s="390"/>
      <c r="LJK5" s="390"/>
      <c r="LJL5" s="390"/>
      <c r="LJM5" s="390"/>
      <c r="LJN5" s="390"/>
      <c r="LJO5" s="390"/>
      <c r="LJP5" s="390"/>
      <c r="LJQ5" s="390"/>
      <c r="LJR5" s="390"/>
      <c r="LJS5" s="390"/>
      <c r="LJT5" s="390"/>
      <c r="LJU5" s="390"/>
      <c r="LJV5" s="390"/>
      <c r="LJW5" s="390"/>
      <c r="LJX5" s="390"/>
      <c r="LJY5" s="390"/>
      <c r="LJZ5" s="390"/>
      <c r="LKA5" s="390"/>
      <c r="LKB5" s="390"/>
      <c r="LKC5" s="390"/>
      <c r="LKD5" s="390"/>
      <c r="LKE5" s="390"/>
      <c r="LKF5" s="390"/>
      <c r="LKG5" s="390"/>
      <c r="LKH5" s="390"/>
      <c r="LKI5" s="390"/>
      <c r="LKJ5" s="390"/>
      <c r="LKK5" s="390"/>
      <c r="LKL5" s="390"/>
      <c r="LKM5" s="390"/>
      <c r="LKN5" s="390"/>
      <c r="LKO5" s="390"/>
      <c r="LKP5" s="390"/>
      <c r="LKQ5" s="390"/>
      <c r="LKR5" s="390"/>
      <c r="LKS5" s="390"/>
      <c r="LKT5" s="390"/>
      <c r="LKU5" s="390"/>
      <c r="LKV5" s="390"/>
      <c r="LKW5" s="390"/>
      <c r="LKX5" s="390"/>
      <c r="LKY5" s="390"/>
      <c r="LKZ5" s="390"/>
      <c r="LLA5" s="390"/>
      <c r="LLB5" s="390"/>
      <c r="LLC5" s="390"/>
      <c r="LLD5" s="390"/>
      <c r="LLE5" s="390"/>
      <c r="LLF5" s="390"/>
      <c r="LLG5" s="390"/>
      <c r="LLH5" s="390"/>
      <c r="LLI5" s="390"/>
      <c r="LLJ5" s="390"/>
      <c r="LLK5" s="390"/>
      <c r="LLL5" s="390"/>
      <c r="LLM5" s="390"/>
      <c r="LLN5" s="390"/>
      <c r="LLO5" s="390"/>
      <c r="LLP5" s="390"/>
      <c r="LLQ5" s="390"/>
      <c r="LLR5" s="390"/>
      <c r="LLS5" s="390"/>
      <c r="LLT5" s="390"/>
      <c r="LLU5" s="390"/>
      <c r="LLV5" s="390"/>
      <c r="LLW5" s="390"/>
      <c r="LLX5" s="390"/>
      <c r="LLY5" s="390"/>
      <c r="LLZ5" s="390"/>
      <c r="LMA5" s="390"/>
      <c r="LMB5" s="390"/>
      <c r="LMC5" s="390"/>
      <c r="LMD5" s="390"/>
      <c r="LME5" s="390"/>
      <c r="LMF5" s="390"/>
      <c r="LMG5" s="390"/>
      <c r="LMH5" s="390"/>
      <c r="LMI5" s="390"/>
      <c r="LMJ5" s="390"/>
      <c r="LMK5" s="390"/>
      <c r="LML5" s="390"/>
      <c r="LMM5" s="390"/>
      <c r="LMN5" s="390"/>
      <c r="LMO5" s="390"/>
      <c r="LMP5" s="390"/>
      <c r="LMQ5" s="390"/>
      <c r="LMR5" s="390"/>
      <c r="LMS5" s="390"/>
      <c r="LMT5" s="390"/>
      <c r="LMU5" s="390"/>
      <c r="LMV5" s="390"/>
      <c r="LMW5" s="390"/>
      <c r="LMX5" s="390"/>
      <c r="LMY5" s="390"/>
      <c r="LMZ5" s="390"/>
      <c r="LNA5" s="390"/>
      <c r="LNB5" s="390"/>
      <c r="LNC5" s="390"/>
      <c r="LND5" s="390"/>
      <c r="LNE5" s="390"/>
      <c r="LNF5" s="390"/>
      <c r="LNG5" s="390"/>
      <c r="LNH5" s="390"/>
      <c r="LNI5" s="390"/>
      <c r="LNJ5" s="390"/>
      <c r="LNK5" s="390"/>
      <c r="LNL5" s="390"/>
      <c r="LNM5" s="390"/>
      <c r="LNN5" s="390"/>
      <c r="LNO5" s="390"/>
      <c r="LNP5" s="390"/>
      <c r="LNQ5" s="390"/>
      <c r="LNR5" s="390"/>
      <c r="LNS5" s="390"/>
      <c r="LNT5" s="390"/>
      <c r="LNU5" s="390"/>
      <c r="LNV5" s="390"/>
      <c r="LNW5" s="390"/>
      <c r="LNX5" s="390"/>
      <c r="LNY5" s="390"/>
      <c r="LNZ5" s="390"/>
      <c r="LOA5" s="390"/>
      <c r="LOB5" s="390"/>
      <c r="LOC5" s="390"/>
      <c r="LOD5" s="390"/>
      <c r="LOE5" s="390"/>
      <c r="LOF5" s="390"/>
      <c r="LOG5" s="390"/>
      <c r="LOH5" s="390"/>
      <c r="LOI5" s="390"/>
      <c r="LOJ5" s="390"/>
      <c r="LOK5" s="390"/>
      <c r="LOL5" s="390"/>
      <c r="LOM5" s="390"/>
      <c r="LON5" s="390"/>
      <c r="LOO5" s="390"/>
      <c r="LOP5" s="390"/>
      <c r="LOQ5" s="390"/>
      <c r="LOR5" s="390"/>
      <c r="LOS5" s="390"/>
      <c r="LOT5" s="390"/>
      <c r="LOU5" s="390"/>
      <c r="LOV5" s="390"/>
      <c r="LOW5" s="390"/>
      <c r="LOX5" s="390"/>
      <c r="LOY5" s="390"/>
      <c r="LOZ5" s="390"/>
      <c r="LPA5" s="390"/>
      <c r="LPB5" s="390"/>
      <c r="LPC5" s="390"/>
      <c r="LPD5" s="390"/>
      <c r="LPE5" s="390"/>
      <c r="LPF5" s="390"/>
      <c r="LPG5" s="390"/>
      <c r="LPH5" s="390"/>
      <c r="LPI5" s="390"/>
      <c r="LPJ5" s="390"/>
      <c r="LPK5" s="390"/>
      <c r="LPL5" s="390"/>
      <c r="LPM5" s="390"/>
      <c r="LPN5" s="390"/>
      <c r="LPO5" s="390"/>
      <c r="LPP5" s="390"/>
      <c r="LPQ5" s="390"/>
      <c r="LPR5" s="390"/>
      <c r="LPS5" s="390"/>
      <c r="LPT5" s="390"/>
      <c r="LPU5" s="390"/>
      <c r="LPV5" s="390"/>
      <c r="LPW5" s="390"/>
      <c r="LPX5" s="390"/>
      <c r="LPY5" s="390"/>
      <c r="LPZ5" s="390"/>
      <c r="LQA5" s="390"/>
      <c r="LQB5" s="390"/>
      <c r="LQC5" s="390"/>
      <c r="LQD5" s="390"/>
      <c r="LQE5" s="390"/>
      <c r="LQF5" s="390"/>
      <c r="LQG5" s="390"/>
      <c r="LQH5" s="390"/>
      <c r="LQI5" s="390"/>
      <c r="LQJ5" s="390"/>
      <c r="LQK5" s="390"/>
      <c r="LQL5" s="390"/>
      <c r="LQM5" s="390"/>
      <c r="LQN5" s="390"/>
      <c r="LQO5" s="390"/>
      <c r="LQP5" s="390"/>
      <c r="LQQ5" s="390"/>
      <c r="LQR5" s="390"/>
      <c r="LQS5" s="390"/>
      <c r="LQT5" s="390"/>
      <c r="LQU5" s="390"/>
      <c r="LQV5" s="390"/>
      <c r="LQW5" s="390"/>
      <c r="LQX5" s="390"/>
      <c r="LQY5" s="390"/>
      <c r="LQZ5" s="390"/>
      <c r="LRA5" s="390"/>
      <c r="LRB5" s="390"/>
      <c r="LRC5" s="390"/>
      <c r="LRD5" s="390"/>
      <c r="LRE5" s="390"/>
      <c r="LRF5" s="390"/>
      <c r="LRG5" s="390"/>
      <c r="LRH5" s="390"/>
      <c r="LRI5" s="390"/>
      <c r="LRJ5" s="390"/>
      <c r="LRK5" s="390"/>
      <c r="LRL5" s="390"/>
      <c r="LRM5" s="390"/>
      <c r="LRN5" s="390"/>
      <c r="LRO5" s="390"/>
      <c r="LRP5" s="390"/>
      <c r="LRQ5" s="390"/>
      <c r="LRR5" s="390"/>
      <c r="LRS5" s="390"/>
      <c r="LRT5" s="390"/>
      <c r="LRU5" s="390"/>
      <c r="LRV5" s="390"/>
      <c r="LRW5" s="390"/>
      <c r="LRX5" s="390"/>
      <c r="LRY5" s="390"/>
      <c r="LRZ5" s="390"/>
      <c r="LSA5" s="390"/>
      <c r="LSB5" s="390"/>
      <c r="LSC5" s="390"/>
      <c r="LSD5" s="390"/>
      <c r="LSE5" s="390"/>
      <c r="LSF5" s="390"/>
      <c r="LSG5" s="390"/>
      <c r="LSH5" s="390"/>
      <c r="LSI5" s="390"/>
      <c r="LSJ5" s="390"/>
      <c r="LSK5" s="390"/>
      <c r="LSL5" s="390"/>
      <c r="LSM5" s="390"/>
      <c r="LSN5" s="390"/>
      <c r="LSO5" s="390"/>
      <c r="LSP5" s="390"/>
      <c r="LSQ5" s="390"/>
      <c r="LSR5" s="390"/>
      <c r="LSS5" s="390"/>
      <c r="LST5" s="390"/>
      <c r="LSU5" s="390"/>
      <c r="LSV5" s="390"/>
      <c r="LSW5" s="390"/>
      <c r="LSX5" s="390"/>
      <c r="LSY5" s="390"/>
      <c r="LSZ5" s="390"/>
      <c r="LTA5" s="390"/>
      <c r="LTB5" s="390"/>
      <c r="LTC5" s="390"/>
      <c r="LTD5" s="390"/>
      <c r="LTE5" s="390"/>
      <c r="LTF5" s="390"/>
      <c r="LTG5" s="390"/>
      <c r="LTH5" s="390"/>
      <c r="LTI5" s="390"/>
      <c r="LTJ5" s="390"/>
      <c r="LTK5" s="390"/>
      <c r="LTL5" s="390"/>
      <c r="LTM5" s="390"/>
      <c r="LTN5" s="390"/>
      <c r="LTO5" s="390"/>
      <c r="LTP5" s="390"/>
      <c r="LTQ5" s="390"/>
      <c r="LTR5" s="390"/>
      <c r="LTS5" s="390"/>
      <c r="LTT5" s="390"/>
      <c r="LTU5" s="390"/>
      <c r="LTV5" s="390"/>
      <c r="LTW5" s="390"/>
      <c r="LTX5" s="390"/>
      <c r="LTY5" s="390"/>
      <c r="LTZ5" s="390"/>
      <c r="LUA5" s="390"/>
      <c r="LUB5" s="390"/>
      <c r="LUC5" s="390"/>
      <c r="LUD5" s="390"/>
      <c r="LUE5" s="390"/>
      <c r="LUF5" s="390"/>
      <c r="LUG5" s="390"/>
      <c r="LUH5" s="390"/>
      <c r="LUI5" s="390"/>
      <c r="LUJ5" s="390"/>
      <c r="LUK5" s="390"/>
      <c r="LUL5" s="390"/>
      <c r="LUM5" s="390"/>
      <c r="LUN5" s="390"/>
      <c r="LUO5" s="390"/>
      <c r="LUP5" s="390"/>
      <c r="LUQ5" s="390"/>
      <c r="LUR5" s="390"/>
      <c r="LUS5" s="390"/>
      <c r="LUT5" s="390"/>
      <c r="LUU5" s="390"/>
      <c r="LUV5" s="390"/>
      <c r="LUW5" s="390"/>
      <c r="LUX5" s="390"/>
      <c r="LUY5" s="390"/>
      <c r="LUZ5" s="390"/>
      <c r="LVA5" s="390"/>
      <c r="LVB5" s="390"/>
      <c r="LVC5" s="390"/>
      <c r="LVD5" s="390"/>
      <c r="LVE5" s="390"/>
      <c r="LVF5" s="390"/>
      <c r="LVG5" s="390"/>
      <c r="LVH5" s="390"/>
      <c r="LVI5" s="390"/>
      <c r="LVJ5" s="390"/>
      <c r="LVK5" s="390"/>
      <c r="LVL5" s="390"/>
      <c r="LVM5" s="390"/>
      <c r="LVN5" s="390"/>
      <c r="LVO5" s="390"/>
      <c r="LVP5" s="390"/>
      <c r="LVQ5" s="390"/>
      <c r="LVR5" s="390"/>
      <c r="LVS5" s="390"/>
      <c r="LVT5" s="390"/>
      <c r="LVU5" s="390"/>
      <c r="LVV5" s="390"/>
      <c r="LVW5" s="390"/>
      <c r="LVX5" s="390"/>
      <c r="LVY5" s="390"/>
      <c r="LVZ5" s="390"/>
      <c r="LWA5" s="390"/>
      <c r="LWB5" s="390"/>
      <c r="LWC5" s="390"/>
      <c r="LWD5" s="390"/>
      <c r="LWE5" s="390"/>
      <c r="LWF5" s="390"/>
      <c r="LWG5" s="390"/>
      <c r="LWH5" s="390"/>
      <c r="LWI5" s="390"/>
      <c r="LWJ5" s="390"/>
      <c r="LWK5" s="390"/>
      <c r="LWL5" s="390"/>
      <c r="LWM5" s="390"/>
      <c r="LWN5" s="390"/>
      <c r="LWO5" s="390"/>
      <c r="LWP5" s="390"/>
      <c r="LWQ5" s="390"/>
      <c r="LWR5" s="390"/>
      <c r="LWS5" s="390"/>
      <c r="LWT5" s="390"/>
      <c r="LWU5" s="390"/>
      <c r="LWV5" s="390"/>
      <c r="LWW5" s="390"/>
      <c r="LWX5" s="390"/>
      <c r="LWY5" s="390"/>
      <c r="LWZ5" s="390"/>
      <c r="LXA5" s="390"/>
      <c r="LXB5" s="390"/>
      <c r="LXC5" s="390"/>
      <c r="LXD5" s="390"/>
      <c r="LXE5" s="390"/>
      <c r="LXF5" s="390"/>
      <c r="LXG5" s="390"/>
      <c r="LXH5" s="390"/>
      <c r="LXI5" s="390"/>
      <c r="LXJ5" s="390"/>
      <c r="LXK5" s="390"/>
      <c r="LXL5" s="390"/>
      <c r="LXM5" s="390"/>
      <c r="LXN5" s="390"/>
      <c r="LXO5" s="390"/>
      <c r="LXP5" s="390"/>
      <c r="LXQ5" s="390"/>
      <c r="LXR5" s="390"/>
      <c r="LXS5" s="390"/>
      <c r="LXT5" s="390"/>
      <c r="LXU5" s="390"/>
      <c r="LXV5" s="390"/>
      <c r="LXW5" s="390"/>
      <c r="LXX5" s="390"/>
      <c r="LXY5" s="390"/>
      <c r="LXZ5" s="390"/>
      <c r="LYA5" s="390"/>
      <c r="LYB5" s="390"/>
      <c r="LYC5" s="390"/>
      <c r="LYD5" s="390"/>
      <c r="LYE5" s="390"/>
      <c r="LYF5" s="390"/>
      <c r="LYG5" s="390"/>
      <c r="LYH5" s="390"/>
      <c r="LYI5" s="390"/>
      <c r="LYJ5" s="390"/>
      <c r="LYK5" s="390"/>
      <c r="LYL5" s="390"/>
      <c r="LYM5" s="390"/>
      <c r="LYN5" s="390"/>
      <c r="LYO5" s="390"/>
      <c r="LYP5" s="390"/>
      <c r="LYQ5" s="390"/>
      <c r="LYR5" s="390"/>
      <c r="LYS5" s="390"/>
      <c r="LYT5" s="390"/>
      <c r="LYU5" s="390"/>
      <c r="LYV5" s="390"/>
      <c r="LYW5" s="390"/>
      <c r="LYX5" s="390"/>
      <c r="LYY5" s="390"/>
      <c r="LYZ5" s="390"/>
      <c r="LZA5" s="390"/>
      <c r="LZB5" s="390"/>
      <c r="LZC5" s="390"/>
      <c r="LZD5" s="390"/>
      <c r="LZE5" s="390"/>
      <c r="LZF5" s="390"/>
      <c r="LZG5" s="390"/>
      <c r="LZH5" s="390"/>
      <c r="LZI5" s="390"/>
      <c r="LZJ5" s="390"/>
      <c r="LZK5" s="390"/>
      <c r="LZL5" s="390"/>
      <c r="LZM5" s="390"/>
      <c r="LZN5" s="390"/>
      <c r="LZO5" s="390"/>
      <c r="LZP5" s="390"/>
      <c r="LZQ5" s="390"/>
      <c r="LZR5" s="390"/>
      <c r="LZS5" s="390"/>
      <c r="LZT5" s="390"/>
      <c r="LZU5" s="390"/>
      <c r="LZV5" s="390"/>
      <c r="LZW5" s="390"/>
      <c r="LZX5" s="390"/>
      <c r="LZY5" s="390"/>
      <c r="LZZ5" s="390"/>
      <c r="MAA5" s="390"/>
      <c r="MAB5" s="390"/>
      <c r="MAC5" s="390"/>
      <c r="MAD5" s="390"/>
      <c r="MAE5" s="390"/>
      <c r="MAF5" s="390"/>
      <c r="MAG5" s="390"/>
      <c r="MAH5" s="390"/>
      <c r="MAI5" s="390"/>
      <c r="MAJ5" s="390"/>
      <c r="MAK5" s="390"/>
      <c r="MAL5" s="390"/>
      <c r="MAM5" s="390"/>
      <c r="MAN5" s="390"/>
      <c r="MAO5" s="390"/>
      <c r="MAP5" s="390"/>
      <c r="MAQ5" s="390"/>
      <c r="MAR5" s="390"/>
      <c r="MAS5" s="390"/>
      <c r="MAT5" s="390"/>
      <c r="MAU5" s="390"/>
      <c r="MAV5" s="390"/>
      <c r="MAW5" s="390"/>
      <c r="MAX5" s="390"/>
      <c r="MAY5" s="390"/>
      <c r="MAZ5" s="390"/>
      <c r="MBA5" s="390"/>
      <c r="MBB5" s="390"/>
      <c r="MBC5" s="390"/>
      <c r="MBD5" s="390"/>
      <c r="MBE5" s="390"/>
      <c r="MBF5" s="390"/>
      <c r="MBG5" s="390"/>
      <c r="MBH5" s="390"/>
      <c r="MBI5" s="390"/>
      <c r="MBJ5" s="390"/>
      <c r="MBK5" s="390"/>
      <c r="MBL5" s="390"/>
      <c r="MBM5" s="390"/>
      <c r="MBN5" s="390"/>
      <c r="MBO5" s="390"/>
      <c r="MBP5" s="390"/>
      <c r="MBQ5" s="390"/>
      <c r="MBR5" s="390"/>
      <c r="MBS5" s="390"/>
      <c r="MBT5" s="390"/>
      <c r="MBU5" s="390"/>
      <c r="MBV5" s="390"/>
      <c r="MBW5" s="390"/>
      <c r="MBX5" s="390"/>
      <c r="MBY5" s="390"/>
      <c r="MBZ5" s="390"/>
      <c r="MCA5" s="390"/>
      <c r="MCB5" s="390"/>
      <c r="MCC5" s="390"/>
      <c r="MCD5" s="390"/>
      <c r="MCE5" s="390"/>
      <c r="MCF5" s="390"/>
      <c r="MCG5" s="390"/>
      <c r="MCH5" s="390"/>
      <c r="MCI5" s="390"/>
      <c r="MCJ5" s="390"/>
      <c r="MCK5" s="390"/>
      <c r="MCL5" s="390"/>
      <c r="MCM5" s="390"/>
      <c r="MCN5" s="390"/>
      <c r="MCO5" s="390"/>
      <c r="MCP5" s="390"/>
      <c r="MCQ5" s="390"/>
      <c r="MCR5" s="390"/>
      <c r="MCS5" s="390"/>
      <c r="MCT5" s="390"/>
      <c r="MCU5" s="390"/>
      <c r="MCV5" s="390"/>
      <c r="MCW5" s="390"/>
      <c r="MCX5" s="390"/>
      <c r="MCY5" s="390"/>
      <c r="MCZ5" s="390"/>
      <c r="MDA5" s="390"/>
      <c r="MDB5" s="390"/>
      <c r="MDC5" s="390"/>
      <c r="MDD5" s="390"/>
      <c r="MDE5" s="390"/>
      <c r="MDF5" s="390"/>
      <c r="MDG5" s="390"/>
      <c r="MDH5" s="390"/>
      <c r="MDI5" s="390"/>
      <c r="MDJ5" s="390"/>
      <c r="MDK5" s="390"/>
      <c r="MDL5" s="390"/>
      <c r="MDM5" s="390"/>
      <c r="MDN5" s="390"/>
      <c r="MDO5" s="390"/>
      <c r="MDP5" s="390"/>
      <c r="MDQ5" s="390"/>
      <c r="MDR5" s="390"/>
      <c r="MDS5" s="390"/>
      <c r="MDT5" s="390"/>
      <c r="MDU5" s="390"/>
      <c r="MDV5" s="390"/>
      <c r="MDW5" s="390"/>
      <c r="MDX5" s="390"/>
      <c r="MDY5" s="390"/>
      <c r="MDZ5" s="390"/>
      <c r="MEA5" s="390"/>
      <c r="MEB5" s="390"/>
      <c r="MEC5" s="390"/>
      <c r="MED5" s="390"/>
      <c r="MEE5" s="390"/>
      <c r="MEF5" s="390"/>
      <c r="MEG5" s="390"/>
      <c r="MEH5" s="390"/>
      <c r="MEI5" s="390"/>
      <c r="MEJ5" s="390"/>
      <c r="MEK5" s="390"/>
      <c r="MEL5" s="390"/>
      <c r="MEM5" s="390"/>
      <c r="MEN5" s="390"/>
      <c r="MEO5" s="390"/>
      <c r="MEP5" s="390"/>
      <c r="MEQ5" s="390"/>
      <c r="MER5" s="390"/>
      <c r="MES5" s="390"/>
      <c r="MET5" s="390"/>
      <c r="MEU5" s="390"/>
      <c r="MEV5" s="390"/>
      <c r="MEW5" s="390"/>
      <c r="MEX5" s="390"/>
      <c r="MEY5" s="390"/>
      <c r="MEZ5" s="390"/>
      <c r="MFA5" s="390"/>
      <c r="MFB5" s="390"/>
      <c r="MFC5" s="390"/>
      <c r="MFD5" s="390"/>
      <c r="MFE5" s="390"/>
      <c r="MFF5" s="390"/>
      <c r="MFG5" s="390"/>
      <c r="MFH5" s="390"/>
      <c r="MFI5" s="390"/>
      <c r="MFJ5" s="390"/>
      <c r="MFK5" s="390"/>
      <c r="MFL5" s="390"/>
      <c r="MFM5" s="390"/>
      <c r="MFN5" s="390"/>
      <c r="MFO5" s="390"/>
      <c r="MFP5" s="390"/>
      <c r="MFQ5" s="390"/>
      <c r="MFR5" s="390"/>
      <c r="MFS5" s="390"/>
      <c r="MFT5" s="390"/>
      <c r="MFU5" s="390"/>
      <c r="MFV5" s="390"/>
      <c r="MFW5" s="390"/>
      <c r="MFX5" s="390"/>
      <c r="MFY5" s="390"/>
      <c r="MFZ5" s="390"/>
      <c r="MGA5" s="390"/>
      <c r="MGB5" s="390"/>
      <c r="MGC5" s="390"/>
      <c r="MGD5" s="390"/>
      <c r="MGE5" s="390"/>
      <c r="MGF5" s="390"/>
      <c r="MGG5" s="390"/>
      <c r="MGH5" s="390"/>
      <c r="MGI5" s="390"/>
      <c r="MGJ5" s="390"/>
      <c r="MGK5" s="390"/>
      <c r="MGL5" s="390"/>
      <c r="MGM5" s="390"/>
      <c r="MGN5" s="390"/>
      <c r="MGO5" s="390"/>
      <c r="MGP5" s="390"/>
      <c r="MGQ5" s="390"/>
      <c r="MGR5" s="390"/>
      <c r="MGS5" s="390"/>
      <c r="MGT5" s="390"/>
      <c r="MGU5" s="390"/>
      <c r="MGV5" s="390"/>
      <c r="MGW5" s="390"/>
      <c r="MGX5" s="390"/>
      <c r="MGY5" s="390"/>
      <c r="MGZ5" s="390"/>
      <c r="MHA5" s="390"/>
      <c r="MHB5" s="390"/>
      <c r="MHC5" s="390"/>
      <c r="MHD5" s="390"/>
      <c r="MHE5" s="390"/>
      <c r="MHF5" s="390"/>
      <c r="MHG5" s="390"/>
      <c r="MHH5" s="390"/>
      <c r="MHI5" s="390"/>
      <c r="MHJ5" s="390"/>
      <c r="MHK5" s="390"/>
      <c r="MHL5" s="390"/>
      <c r="MHM5" s="390"/>
      <c r="MHN5" s="390"/>
      <c r="MHO5" s="390"/>
      <c r="MHP5" s="390"/>
      <c r="MHQ5" s="390"/>
      <c r="MHR5" s="390"/>
      <c r="MHS5" s="390"/>
      <c r="MHT5" s="390"/>
      <c r="MHU5" s="390"/>
      <c r="MHV5" s="390"/>
      <c r="MHW5" s="390"/>
      <c r="MHX5" s="390"/>
      <c r="MHY5" s="390"/>
      <c r="MHZ5" s="390"/>
      <c r="MIA5" s="390"/>
      <c r="MIB5" s="390"/>
      <c r="MIC5" s="390"/>
      <c r="MID5" s="390"/>
      <c r="MIE5" s="390"/>
      <c r="MIF5" s="390"/>
      <c r="MIG5" s="390"/>
      <c r="MIH5" s="390"/>
      <c r="MII5" s="390"/>
      <c r="MIJ5" s="390"/>
      <c r="MIK5" s="390"/>
      <c r="MIL5" s="390"/>
      <c r="MIM5" s="390"/>
      <c r="MIN5" s="390"/>
      <c r="MIO5" s="390"/>
      <c r="MIP5" s="390"/>
      <c r="MIQ5" s="390"/>
      <c r="MIR5" s="390"/>
      <c r="MIS5" s="390"/>
      <c r="MIT5" s="390"/>
      <c r="MIU5" s="390"/>
      <c r="MIV5" s="390"/>
      <c r="MIW5" s="390"/>
      <c r="MIX5" s="390"/>
      <c r="MIY5" s="390"/>
      <c r="MIZ5" s="390"/>
      <c r="MJA5" s="390"/>
      <c r="MJB5" s="390"/>
      <c r="MJC5" s="390"/>
      <c r="MJD5" s="390"/>
      <c r="MJE5" s="390"/>
      <c r="MJF5" s="390"/>
      <c r="MJG5" s="390"/>
      <c r="MJH5" s="390"/>
      <c r="MJI5" s="390"/>
      <c r="MJJ5" s="390"/>
      <c r="MJK5" s="390"/>
      <c r="MJL5" s="390"/>
      <c r="MJM5" s="390"/>
      <c r="MJN5" s="390"/>
      <c r="MJO5" s="390"/>
      <c r="MJP5" s="390"/>
      <c r="MJQ5" s="390"/>
      <c r="MJR5" s="390"/>
      <c r="MJS5" s="390"/>
      <c r="MJT5" s="390"/>
      <c r="MJU5" s="390"/>
      <c r="MJV5" s="390"/>
      <c r="MJW5" s="390"/>
      <c r="MJX5" s="390"/>
      <c r="MJY5" s="390"/>
      <c r="MJZ5" s="390"/>
      <c r="MKA5" s="390"/>
      <c r="MKB5" s="390"/>
      <c r="MKC5" s="390"/>
      <c r="MKD5" s="390"/>
      <c r="MKE5" s="390"/>
      <c r="MKF5" s="390"/>
      <c r="MKG5" s="390"/>
      <c r="MKH5" s="390"/>
      <c r="MKI5" s="390"/>
      <c r="MKJ5" s="390"/>
      <c r="MKK5" s="390"/>
      <c r="MKL5" s="390"/>
      <c r="MKM5" s="390"/>
      <c r="MKN5" s="390"/>
      <c r="MKO5" s="390"/>
      <c r="MKP5" s="390"/>
      <c r="MKQ5" s="390"/>
      <c r="MKR5" s="390"/>
      <c r="MKS5" s="390"/>
      <c r="MKT5" s="390"/>
      <c r="MKU5" s="390"/>
      <c r="MKV5" s="390"/>
      <c r="MKW5" s="390"/>
      <c r="MKX5" s="390"/>
      <c r="MKY5" s="390"/>
      <c r="MKZ5" s="390"/>
      <c r="MLA5" s="390"/>
      <c r="MLB5" s="390"/>
      <c r="MLC5" s="390"/>
      <c r="MLD5" s="390"/>
      <c r="MLE5" s="390"/>
      <c r="MLF5" s="390"/>
      <c r="MLG5" s="390"/>
      <c r="MLH5" s="390"/>
      <c r="MLI5" s="390"/>
      <c r="MLJ5" s="390"/>
      <c r="MLK5" s="390"/>
      <c r="MLL5" s="390"/>
      <c r="MLM5" s="390"/>
      <c r="MLN5" s="390"/>
      <c r="MLO5" s="390"/>
      <c r="MLP5" s="390"/>
      <c r="MLQ5" s="390"/>
      <c r="MLR5" s="390"/>
      <c r="MLS5" s="390"/>
      <c r="MLT5" s="390"/>
      <c r="MLU5" s="390"/>
      <c r="MLV5" s="390"/>
      <c r="MLW5" s="390"/>
      <c r="MLX5" s="390"/>
      <c r="MLY5" s="390"/>
      <c r="MLZ5" s="390"/>
      <c r="MMA5" s="390"/>
      <c r="MMB5" s="390"/>
      <c r="MMC5" s="390"/>
      <c r="MMD5" s="390"/>
      <c r="MME5" s="390"/>
      <c r="MMF5" s="390"/>
      <c r="MMG5" s="390"/>
      <c r="MMH5" s="390"/>
      <c r="MMI5" s="390"/>
      <c r="MMJ5" s="390"/>
      <c r="MMK5" s="390"/>
      <c r="MML5" s="390"/>
      <c r="MMM5" s="390"/>
      <c r="MMN5" s="390"/>
      <c r="MMO5" s="390"/>
      <c r="MMP5" s="390"/>
      <c r="MMQ5" s="390"/>
      <c r="MMR5" s="390"/>
      <c r="MMS5" s="390"/>
      <c r="MMT5" s="390"/>
      <c r="MMU5" s="390"/>
      <c r="MMV5" s="390"/>
      <c r="MMW5" s="390"/>
      <c r="MMX5" s="390"/>
      <c r="MMY5" s="390"/>
      <c r="MMZ5" s="390"/>
      <c r="MNA5" s="390"/>
      <c r="MNB5" s="390"/>
      <c r="MNC5" s="390"/>
      <c r="MND5" s="390"/>
      <c r="MNE5" s="390"/>
      <c r="MNF5" s="390"/>
      <c r="MNG5" s="390"/>
      <c r="MNH5" s="390"/>
      <c r="MNI5" s="390"/>
      <c r="MNJ5" s="390"/>
      <c r="MNK5" s="390"/>
      <c r="MNL5" s="390"/>
      <c r="MNM5" s="390"/>
      <c r="MNN5" s="390"/>
      <c r="MNO5" s="390"/>
      <c r="MNP5" s="390"/>
      <c r="MNQ5" s="390"/>
      <c r="MNR5" s="390"/>
      <c r="MNS5" s="390"/>
      <c r="MNT5" s="390"/>
      <c r="MNU5" s="390"/>
      <c r="MNV5" s="390"/>
      <c r="MNW5" s="390"/>
      <c r="MNX5" s="390"/>
      <c r="MNY5" s="390"/>
      <c r="MNZ5" s="390"/>
      <c r="MOA5" s="390"/>
      <c r="MOB5" s="390"/>
      <c r="MOC5" s="390"/>
      <c r="MOD5" s="390"/>
      <c r="MOE5" s="390"/>
      <c r="MOF5" s="390"/>
      <c r="MOG5" s="390"/>
      <c r="MOH5" s="390"/>
      <c r="MOI5" s="390"/>
      <c r="MOJ5" s="390"/>
      <c r="MOK5" s="390"/>
      <c r="MOL5" s="390"/>
      <c r="MOM5" s="390"/>
      <c r="MON5" s="390"/>
      <c r="MOO5" s="390"/>
      <c r="MOP5" s="390"/>
      <c r="MOQ5" s="390"/>
      <c r="MOR5" s="390"/>
      <c r="MOS5" s="390"/>
      <c r="MOT5" s="390"/>
      <c r="MOU5" s="390"/>
      <c r="MOV5" s="390"/>
      <c r="MOW5" s="390"/>
      <c r="MOX5" s="390"/>
      <c r="MOY5" s="390"/>
      <c r="MOZ5" s="390"/>
      <c r="MPA5" s="390"/>
      <c r="MPB5" s="390"/>
      <c r="MPC5" s="390"/>
      <c r="MPD5" s="390"/>
      <c r="MPE5" s="390"/>
      <c r="MPF5" s="390"/>
      <c r="MPG5" s="390"/>
      <c r="MPH5" s="390"/>
      <c r="MPI5" s="390"/>
      <c r="MPJ5" s="390"/>
      <c r="MPK5" s="390"/>
      <c r="MPL5" s="390"/>
      <c r="MPM5" s="390"/>
      <c r="MPN5" s="390"/>
      <c r="MPO5" s="390"/>
      <c r="MPP5" s="390"/>
      <c r="MPQ5" s="390"/>
      <c r="MPR5" s="390"/>
      <c r="MPS5" s="390"/>
      <c r="MPT5" s="390"/>
      <c r="MPU5" s="390"/>
      <c r="MPV5" s="390"/>
      <c r="MPW5" s="390"/>
      <c r="MPX5" s="390"/>
      <c r="MPY5" s="390"/>
      <c r="MPZ5" s="390"/>
      <c r="MQA5" s="390"/>
      <c r="MQB5" s="390"/>
      <c r="MQC5" s="390"/>
      <c r="MQD5" s="390"/>
      <c r="MQE5" s="390"/>
      <c r="MQF5" s="390"/>
      <c r="MQG5" s="390"/>
      <c r="MQH5" s="390"/>
      <c r="MQI5" s="390"/>
      <c r="MQJ5" s="390"/>
      <c r="MQK5" s="390"/>
      <c r="MQL5" s="390"/>
      <c r="MQM5" s="390"/>
      <c r="MQN5" s="390"/>
      <c r="MQO5" s="390"/>
      <c r="MQP5" s="390"/>
      <c r="MQQ5" s="390"/>
      <c r="MQR5" s="390"/>
      <c r="MQS5" s="390"/>
      <c r="MQT5" s="390"/>
      <c r="MQU5" s="390"/>
      <c r="MQV5" s="390"/>
      <c r="MQW5" s="390"/>
      <c r="MQX5" s="390"/>
      <c r="MQY5" s="390"/>
      <c r="MQZ5" s="390"/>
      <c r="MRA5" s="390"/>
      <c r="MRB5" s="390"/>
      <c r="MRC5" s="390"/>
      <c r="MRD5" s="390"/>
      <c r="MRE5" s="390"/>
      <c r="MRF5" s="390"/>
      <c r="MRG5" s="390"/>
      <c r="MRH5" s="390"/>
      <c r="MRI5" s="390"/>
      <c r="MRJ5" s="390"/>
      <c r="MRK5" s="390"/>
      <c r="MRL5" s="390"/>
      <c r="MRM5" s="390"/>
      <c r="MRN5" s="390"/>
      <c r="MRO5" s="390"/>
      <c r="MRP5" s="390"/>
      <c r="MRQ5" s="390"/>
      <c r="MRR5" s="390"/>
      <c r="MRS5" s="390"/>
      <c r="MRT5" s="390"/>
      <c r="MRU5" s="390"/>
      <c r="MRV5" s="390"/>
      <c r="MRW5" s="390"/>
      <c r="MRX5" s="390"/>
      <c r="MRY5" s="390"/>
      <c r="MRZ5" s="390"/>
      <c r="MSA5" s="390"/>
      <c r="MSB5" s="390"/>
      <c r="MSC5" s="390"/>
      <c r="MSD5" s="390"/>
      <c r="MSE5" s="390"/>
      <c r="MSF5" s="390"/>
      <c r="MSG5" s="390"/>
      <c r="MSH5" s="390"/>
      <c r="MSI5" s="390"/>
      <c r="MSJ5" s="390"/>
      <c r="MSK5" s="390"/>
      <c r="MSL5" s="390"/>
      <c r="MSM5" s="390"/>
      <c r="MSN5" s="390"/>
      <c r="MSO5" s="390"/>
      <c r="MSP5" s="390"/>
      <c r="MSQ5" s="390"/>
      <c r="MSR5" s="390"/>
      <c r="MSS5" s="390"/>
      <c r="MST5" s="390"/>
      <c r="MSU5" s="390"/>
      <c r="MSV5" s="390"/>
      <c r="MSW5" s="390"/>
      <c r="MSX5" s="390"/>
      <c r="MSY5" s="390"/>
      <c r="MSZ5" s="390"/>
      <c r="MTA5" s="390"/>
      <c r="MTB5" s="390"/>
      <c r="MTC5" s="390"/>
      <c r="MTD5" s="390"/>
      <c r="MTE5" s="390"/>
      <c r="MTF5" s="390"/>
      <c r="MTG5" s="390"/>
      <c r="MTH5" s="390"/>
      <c r="MTI5" s="390"/>
      <c r="MTJ5" s="390"/>
      <c r="MTK5" s="390"/>
      <c r="MTL5" s="390"/>
      <c r="MTM5" s="390"/>
      <c r="MTN5" s="390"/>
      <c r="MTO5" s="390"/>
      <c r="MTP5" s="390"/>
      <c r="MTQ5" s="390"/>
      <c r="MTR5" s="390"/>
      <c r="MTS5" s="390"/>
      <c r="MTT5" s="390"/>
      <c r="MTU5" s="390"/>
      <c r="MTV5" s="390"/>
      <c r="MTW5" s="390"/>
      <c r="MTX5" s="390"/>
      <c r="MTY5" s="390"/>
      <c r="MTZ5" s="390"/>
      <c r="MUA5" s="390"/>
      <c r="MUB5" s="390"/>
      <c r="MUC5" s="390"/>
      <c r="MUD5" s="390"/>
      <c r="MUE5" s="390"/>
      <c r="MUF5" s="390"/>
      <c r="MUG5" s="390"/>
      <c r="MUH5" s="390"/>
      <c r="MUI5" s="390"/>
      <c r="MUJ5" s="390"/>
      <c r="MUK5" s="390"/>
      <c r="MUL5" s="390"/>
      <c r="MUM5" s="390"/>
      <c r="MUN5" s="390"/>
      <c r="MUO5" s="390"/>
      <c r="MUP5" s="390"/>
      <c r="MUQ5" s="390"/>
      <c r="MUR5" s="390"/>
      <c r="MUS5" s="390"/>
      <c r="MUT5" s="390"/>
      <c r="MUU5" s="390"/>
      <c r="MUV5" s="390"/>
      <c r="MUW5" s="390"/>
      <c r="MUX5" s="390"/>
      <c r="MUY5" s="390"/>
      <c r="MUZ5" s="390"/>
      <c r="MVA5" s="390"/>
      <c r="MVB5" s="390"/>
      <c r="MVC5" s="390"/>
      <c r="MVD5" s="390"/>
      <c r="MVE5" s="390"/>
      <c r="MVF5" s="390"/>
      <c r="MVG5" s="390"/>
      <c r="MVH5" s="390"/>
      <c r="MVI5" s="390"/>
      <c r="MVJ5" s="390"/>
      <c r="MVK5" s="390"/>
      <c r="MVL5" s="390"/>
      <c r="MVM5" s="390"/>
      <c r="MVN5" s="390"/>
      <c r="MVO5" s="390"/>
      <c r="MVP5" s="390"/>
      <c r="MVQ5" s="390"/>
      <c r="MVR5" s="390"/>
      <c r="MVS5" s="390"/>
      <c r="MVT5" s="390"/>
      <c r="MVU5" s="390"/>
      <c r="MVV5" s="390"/>
      <c r="MVW5" s="390"/>
      <c r="MVX5" s="390"/>
      <c r="MVY5" s="390"/>
      <c r="MVZ5" s="390"/>
      <c r="MWA5" s="390"/>
      <c r="MWB5" s="390"/>
      <c r="MWC5" s="390"/>
      <c r="MWD5" s="390"/>
      <c r="MWE5" s="390"/>
      <c r="MWF5" s="390"/>
      <c r="MWG5" s="390"/>
      <c r="MWH5" s="390"/>
      <c r="MWI5" s="390"/>
      <c r="MWJ5" s="390"/>
      <c r="MWK5" s="390"/>
      <c r="MWL5" s="390"/>
      <c r="MWM5" s="390"/>
      <c r="MWN5" s="390"/>
      <c r="MWO5" s="390"/>
      <c r="MWP5" s="390"/>
      <c r="MWQ5" s="390"/>
      <c r="MWR5" s="390"/>
      <c r="MWS5" s="390"/>
      <c r="MWT5" s="390"/>
      <c r="MWU5" s="390"/>
      <c r="MWV5" s="390"/>
      <c r="MWW5" s="390"/>
      <c r="MWX5" s="390"/>
      <c r="MWY5" s="390"/>
      <c r="MWZ5" s="390"/>
      <c r="MXA5" s="390"/>
      <c r="MXB5" s="390"/>
      <c r="MXC5" s="390"/>
      <c r="MXD5" s="390"/>
      <c r="MXE5" s="390"/>
      <c r="MXF5" s="390"/>
      <c r="MXG5" s="390"/>
      <c r="MXH5" s="390"/>
      <c r="MXI5" s="390"/>
      <c r="MXJ5" s="390"/>
      <c r="MXK5" s="390"/>
      <c r="MXL5" s="390"/>
      <c r="MXM5" s="390"/>
      <c r="MXN5" s="390"/>
      <c r="MXO5" s="390"/>
      <c r="MXP5" s="390"/>
      <c r="MXQ5" s="390"/>
      <c r="MXR5" s="390"/>
      <c r="MXS5" s="390"/>
      <c r="MXT5" s="390"/>
      <c r="MXU5" s="390"/>
      <c r="MXV5" s="390"/>
      <c r="MXW5" s="390"/>
      <c r="MXX5" s="390"/>
      <c r="MXY5" s="390"/>
      <c r="MXZ5" s="390"/>
      <c r="MYA5" s="390"/>
      <c r="MYB5" s="390"/>
      <c r="MYC5" s="390"/>
      <c r="MYD5" s="390"/>
      <c r="MYE5" s="390"/>
      <c r="MYF5" s="390"/>
      <c r="MYG5" s="390"/>
      <c r="MYH5" s="390"/>
      <c r="MYI5" s="390"/>
      <c r="MYJ5" s="390"/>
      <c r="MYK5" s="390"/>
      <c r="MYL5" s="390"/>
      <c r="MYM5" s="390"/>
      <c r="MYN5" s="390"/>
      <c r="MYO5" s="390"/>
      <c r="MYP5" s="390"/>
      <c r="MYQ5" s="390"/>
      <c r="MYR5" s="390"/>
      <c r="MYS5" s="390"/>
      <c r="MYT5" s="390"/>
      <c r="MYU5" s="390"/>
      <c r="MYV5" s="390"/>
      <c r="MYW5" s="390"/>
      <c r="MYX5" s="390"/>
      <c r="MYY5" s="390"/>
      <c r="MYZ5" s="390"/>
      <c r="MZA5" s="390"/>
      <c r="MZB5" s="390"/>
      <c r="MZC5" s="390"/>
      <c r="MZD5" s="390"/>
      <c r="MZE5" s="390"/>
      <c r="MZF5" s="390"/>
      <c r="MZG5" s="390"/>
      <c r="MZH5" s="390"/>
      <c r="MZI5" s="390"/>
      <c r="MZJ5" s="390"/>
      <c r="MZK5" s="390"/>
      <c r="MZL5" s="390"/>
      <c r="MZM5" s="390"/>
      <c r="MZN5" s="390"/>
      <c r="MZO5" s="390"/>
      <c r="MZP5" s="390"/>
      <c r="MZQ5" s="390"/>
      <c r="MZR5" s="390"/>
      <c r="MZS5" s="390"/>
      <c r="MZT5" s="390"/>
      <c r="MZU5" s="390"/>
      <c r="MZV5" s="390"/>
      <c r="MZW5" s="390"/>
      <c r="MZX5" s="390"/>
      <c r="MZY5" s="390"/>
      <c r="MZZ5" s="390"/>
      <c r="NAA5" s="390"/>
      <c r="NAB5" s="390"/>
      <c r="NAC5" s="390"/>
      <c r="NAD5" s="390"/>
      <c r="NAE5" s="390"/>
      <c r="NAF5" s="390"/>
      <c r="NAG5" s="390"/>
      <c r="NAH5" s="390"/>
      <c r="NAI5" s="390"/>
      <c r="NAJ5" s="390"/>
      <c r="NAK5" s="390"/>
      <c r="NAL5" s="390"/>
      <c r="NAM5" s="390"/>
      <c r="NAN5" s="390"/>
      <c r="NAO5" s="390"/>
      <c r="NAP5" s="390"/>
      <c r="NAQ5" s="390"/>
      <c r="NAR5" s="390"/>
      <c r="NAS5" s="390"/>
      <c r="NAT5" s="390"/>
      <c r="NAU5" s="390"/>
      <c r="NAV5" s="390"/>
      <c r="NAW5" s="390"/>
      <c r="NAX5" s="390"/>
      <c r="NAY5" s="390"/>
      <c r="NAZ5" s="390"/>
      <c r="NBA5" s="390"/>
      <c r="NBB5" s="390"/>
      <c r="NBC5" s="390"/>
      <c r="NBD5" s="390"/>
      <c r="NBE5" s="390"/>
      <c r="NBF5" s="390"/>
      <c r="NBG5" s="390"/>
      <c r="NBH5" s="390"/>
      <c r="NBI5" s="390"/>
      <c r="NBJ5" s="390"/>
      <c r="NBK5" s="390"/>
      <c r="NBL5" s="390"/>
      <c r="NBM5" s="390"/>
      <c r="NBN5" s="390"/>
      <c r="NBO5" s="390"/>
      <c r="NBP5" s="390"/>
      <c r="NBQ5" s="390"/>
      <c r="NBR5" s="390"/>
      <c r="NBS5" s="390"/>
      <c r="NBT5" s="390"/>
      <c r="NBU5" s="390"/>
      <c r="NBV5" s="390"/>
      <c r="NBW5" s="390"/>
      <c r="NBX5" s="390"/>
      <c r="NBY5" s="390"/>
      <c r="NBZ5" s="390"/>
      <c r="NCA5" s="390"/>
      <c r="NCB5" s="390"/>
      <c r="NCC5" s="390"/>
      <c r="NCD5" s="390"/>
      <c r="NCE5" s="390"/>
      <c r="NCF5" s="390"/>
      <c r="NCG5" s="390"/>
      <c r="NCH5" s="390"/>
      <c r="NCI5" s="390"/>
      <c r="NCJ5" s="390"/>
      <c r="NCK5" s="390"/>
      <c r="NCL5" s="390"/>
      <c r="NCM5" s="390"/>
      <c r="NCN5" s="390"/>
      <c r="NCO5" s="390"/>
      <c r="NCP5" s="390"/>
      <c r="NCQ5" s="390"/>
      <c r="NCR5" s="390"/>
      <c r="NCS5" s="390"/>
      <c r="NCT5" s="390"/>
      <c r="NCU5" s="390"/>
      <c r="NCV5" s="390"/>
      <c r="NCW5" s="390"/>
      <c r="NCX5" s="390"/>
      <c r="NCY5" s="390"/>
      <c r="NCZ5" s="390"/>
      <c r="NDA5" s="390"/>
      <c r="NDB5" s="390"/>
      <c r="NDC5" s="390"/>
      <c r="NDD5" s="390"/>
      <c r="NDE5" s="390"/>
      <c r="NDF5" s="390"/>
      <c r="NDG5" s="390"/>
      <c r="NDH5" s="390"/>
      <c r="NDI5" s="390"/>
      <c r="NDJ5" s="390"/>
      <c r="NDK5" s="390"/>
      <c r="NDL5" s="390"/>
      <c r="NDM5" s="390"/>
      <c r="NDN5" s="390"/>
      <c r="NDO5" s="390"/>
      <c r="NDP5" s="390"/>
      <c r="NDQ5" s="390"/>
      <c r="NDR5" s="390"/>
      <c r="NDS5" s="390"/>
      <c r="NDT5" s="390"/>
      <c r="NDU5" s="390"/>
      <c r="NDV5" s="390"/>
      <c r="NDW5" s="390"/>
      <c r="NDX5" s="390"/>
      <c r="NDY5" s="390"/>
      <c r="NDZ5" s="390"/>
      <c r="NEA5" s="390"/>
      <c r="NEB5" s="390"/>
      <c r="NEC5" s="390"/>
      <c r="NED5" s="390"/>
      <c r="NEE5" s="390"/>
      <c r="NEF5" s="390"/>
      <c r="NEG5" s="390"/>
      <c r="NEH5" s="390"/>
      <c r="NEI5" s="390"/>
      <c r="NEJ5" s="390"/>
      <c r="NEK5" s="390"/>
      <c r="NEL5" s="390"/>
      <c r="NEM5" s="390"/>
      <c r="NEN5" s="390"/>
      <c r="NEO5" s="390"/>
      <c r="NEP5" s="390"/>
      <c r="NEQ5" s="390"/>
      <c r="NER5" s="390"/>
      <c r="NES5" s="390"/>
      <c r="NET5" s="390"/>
      <c r="NEU5" s="390"/>
      <c r="NEV5" s="390"/>
      <c r="NEW5" s="390"/>
      <c r="NEX5" s="390"/>
      <c r="NEY5" s="390"/>
      <c r="NEZ5" s="390"/>
      <c r="NFA5" s="390"/>
      <c r="NFB5" s="390"/>
      <c r="NFC5" s="390"/>
      <c r="NFD5" s="390"/>
      <c r="NFE5" s="390"/>
      <c r="NFF5" s="390"/>
      <c r="NFG5" s="390"/>
      <c r="NFH5" s="390"/>
      <c r="NFI5" s="390"/>
      <c r="NFJ5" s="390"/>
      <c r="NFK5" s="390"/>
      <c r="NFL5" s="390"/>
      <c r="NFM5" s="390"/>
      <c r="NFN5" s="390"/>
      <c r="NFO5" s="390"/>
      <c r="NFP5" s="390"/>
      <c r="NFQ5" s="390"/>
      <c r="NFR5" s="390"/>
      <c r="NFS5" s="390"/>
      <c r="NFT5" s="390"/>
      <c r="NFU5" s="390"/>
      <c r="NFV5" s="390"/>
      <c r="NFW5" s="390"/>
      <c r="NFX5" s="390"/>
      <c r="NFY5" s="390"/>
      <c r="NFZ5" s="390"/>
      <c r="NGA5" s="390"/>
      <c r="NGB5" s="390"/>
      <c r="NGC5" s="390"/>
      <c r="NGD5" s="390"/>
      <c r="NGE5" s="390"/>
      <c r="NGF5" s="390"/>
      <c r="NGG5" s="390"/>
      <c r="NGH5" s="390"/>
      <c r="NGI5" s="390"/>
      <c r="NGJ5" s="390"/>
      <c r="NGK5" s="390"/>
      <c r="NGL5" s="390"/>
      <c r="NGM5" s="390"/>
      <c r="NGN5" s="390"/>
      <c r="NGO5" s="390"/>
      <c r="NGP5" s="390"/>
      <c r="NGQ5" s="390"/>
      <c r="NGR5" s="390"/>
      <c r="NGS5" s="390"/>
      <c r="NGT5" s="390"/>
      <c r="NGU5" s="390"/>
      <c r="NGV5" s="390"/>
      <c r="NGW5" s="390"/>
      <c r="NGX5" s="390"/>
      <c r="NGY5" s="390"/>
      <c r="NGZ5" s="390"/>
      <c r="NHA5" s="390"/>
      <c r="NHB5" s="390"/>
      <c r="NHC5" s="390"/>
      <c r="NHD5" s="390"/>
      <c r="NHE5" s="390"/>
      <c r="NHF5" s="390"/>
      <c r="NHG5" s="390"/>
      <c r="NHH5" s="390"/>
      <c r="NHI5" s="390"/>
      <c r="NHJ5" s="390"/>
      <c r="NHK5" s="390"/>
      <c r="NHL5" s="390"/>
      <c r="NHM5" s="390"/>
      <c r="NHN5" s="390"/>
      <c r="NHO5" s="390"/>
      <c r="NHP5" s="390"/>
      <c r="NHQ5" s="390"/>
      <c r="NHR5" s="390"/>
      <c r="NHS5" s="390"/>
      <c r="NHT5" s="390"/>
      <c r="NHU5" s="390"/>
      <c r="NHV5" s="390"/>
      <c r="NHW5" s="390"/>
      <c r="NHX5" s="390"/>
      <c r="NHY5" s="390"/>
      <c r="NHZ5" s="390"/>
      <c r="NIA5" s="390"/>
      <c r="NIB5" s="390"/>
      <c r="NIC5" s="390"/>
      <c r="NID5" s="390"/>
      <c r="NIE5" s="390"/>
      <c r="NIF5" s="390"/>
      <c r="NIG5" s="390"/>
      <c r="NIH5" s="390"/>
      <c r="NII5" s="390"/>
      <c r="NIJ5" s="390"/>
      <c r="NIK5" s="390"/>
      <c r="NIL5" s="390"/>
      <c r="NIM5" s="390"/>
      <c r="NIN5" s="390"/>
      <c r="NIO5" s="390"/>
      <c r="NIP5" s="390"/>
      <c r="NIQ5" s="390"/>
      <c r="NIR5" s="390"/>
      <c r="NIS5" s="390"/>
      <c r="NIT5" s="390"/>
      <c r="NIU5" s="390"/>
      <c r="NIV5" s="390"/>
      <c r="NIW5" s="390"/>
      <c r="NIX5" s="390"/>
      <c r="NIY5" s="390"/>
      <c r="NIZ5" s="390"/>
      <c r="NJA5" s="390"/>
      <c r="NJB5" s="390"/>
      <c r="NJC5" s="390"/>
      <c r="NJD5" s="390"/>
      <c r="NJE5" s="390"/>
      <c r="NJF5" s="390"/>
      <c r="NJG5" s="390"/>
      <c r="NJH5" s="390"/>
      <c r="NJI5" s="390"/>
      <c r="NJJ5" s="390"/>
      <c r="NJK5" s="390"/>
      <c r="NJL5" s="390"/>
      <c r="NJM5" s="390"/>
      <c r="NJN5" s="390"/>
      <c r="NJO5" s="390"/>
      <c r="NJP5" s="390"/>
      <c r="NJQ5" s="390"/>
      <c r="NJR5" s="390"/>
      <c r="NJS5" s="390"/>
      <c r="NJT5" s="390"/>
      <c r="NJU5" s="390"/>
      <c r="NJV5" s="390"/>
      <c r="NJW5" s="390"/>
      <c r="NJX5" s="390"/>
      <c r="NJY5" s="390"/>
      <c r="NJZ5" s="390"/>
      <c r="NKA5" s="390"/>
      <c r="NKB5" s="390"/>
      <c r="NKC5" s="390"/>
      <c r="NKD5" s="390"/>
      <c r="NKE5" s="390"/>
      <c r="NKF5" s="390"/>
      <c r="NKG5" s="390"/>
      <c r="NKH5" s="390"/>
      <c r="NKI5" s="390"/>
      <c r="NKJ5" s="390"/>
      <c r="NKK5" s="390"/>
      <c r="NKL5" s="390"/>
      <c r="NKM5" s="390"/>
      <c r="NKN5" s="390"/>
      <c r="NKO5" s="390"/>
      <c r="NKP5" s="390"/>
      <c r="NKQ5" s="390"/>
      <c r="NKR5" s="390"/>
      <c r="NKS5" s="390"/>
      <c r="NKT5" s="390"/>
      <c r="NKU5" s="390"/>
      <c r="NKV5" s="390"/>
      <c r="NKW5" s="390"/>
      <c r="NKX5" s="390"/>
      <c r="NKY5" s="390"/>
      <c r="NKZ5" s="390"/>
      <c r="NLA5" s="390"/>
      <c r="NLB5" s="390"/>
      <c r="NLC5" s="390"/>
      <c r="NLD5" s="390"/>
      <c r="NLE5" s="390"/>
      <c r="NLF5" s="390"/>
      <c r="NLG5" s="390"/>
      <c r="NLH5" s="390"/>
      <c r="NLI5" s="390"/>
      <c r="NLJ5" s="390"/>
      <c r="NLK5" s="390"/>
      <c r="NLL5" s="390"/>
      <c r="NLM5" s="390"/>
      <c r="NLN5" s="390"/>
      <c r="NLO5" s="390"/>
      <c r="NLP5" s="390"/>
      <c r="NLQ5" s="390"/>
      <c r="NLR5" s="390"/>
      <c r="NLS5" s="390"/>
      <c r="NLT5" s="390"/>
      <c r="NLU5" s="390"/>
      <c r="NLV5" s="390"/>
      <c r="NLW5" s="390"/>
      <c r="NLX5" s="390"/>
      <c r="NLY5" s="390"/>
      <c r="NLZ5" s="390"/>
      <c r="NMA5" s="390"/>
      <c r="NMB5" s="390"/>
      <c r="NMC5" s="390"/>
      <c r="NMD5" s="390"/>
      <c r="NME5" s="390"/>
      <c r="NMF5" s="390"/>
      <c r="NMG5" s="390"/>
      <c r="NMH5" s="390"/>
      <c r="NMI5" s="390"/>
      <c r="NMJ5" s="390"/>
      <c r="NMK5" s="390"/>
      <c r="NML5" s="390"/>
      <c r="NMM5" s="390"/>
      <c r="NMN5" s="390"/>
      <c r="NMO5" s="390"/>
      <c r="NMP5" s="390"/>
      <c r="NMQ5" s="390"/>
      <c r="NMR5" s="390"/>
      <c r="NMS5" s="390"/>
      <c r="NMT5" s="390"/>
      <c r="NMU5" s="390"/>
      <c r="NMV5" s="390"/>
      <c r="NMW5" s="390"/>
      <c r="NMX5" s="390"/>
      <c r="NMY5" s="390"/>
      <c r="NMZ5" s="390"/>
      <c r="NNA5" s="390"/>
      <c r="NNB5" s="390"/>
      <c r="NNC5" s="390"/>
      <c r="NND5" s="390"/>
      <c r="NNE5" s="390"/>
      <c r="NNF5" s="390"/>
      <c r="NNG5" s="390"/>
      <c r="NNH5" s="390"/>
      <c r="NNI5" s="390"/>
      <c r="NNJ5" s="390"/>
      <c r="NNK5" s="390"/>
      <c r="NNL5" s="390"/>
      <c r="NNM5" s="390"/>
      <c r="NNN5" s="390"/>
      <c r="NNO5" s="390"/>
      <c r="NNP5" s="390"/>
      <c r="NNQ5" s="390"/>
      <c r="NNR5" s="390"/>
      <c r="NNS5" s="390"/>
      <c r="NNT5" s="390"/>
      <c r="NNU5" s="390"/>
      <c r="NNV5" s="390"/>
      <c r="NNW5" s="390"/>
      <c r="NNX5" s="390"/>
      <c r="NNY5" s="390"/>
      <c r="NNZ5" s="390"/>
      <c r="NOA5" s="390"/>
      <c r="NOB5" s="390"/>
      <c r="NOC5" s="390"/>
      <c r="NOD5" s="390"/>
      <c r="NOE5" s="390"/>
      <c r="NOF5" s="390"/>
      <c r="NOG5" s="390"/>
      <c r="NOH5" s="390"/>
      <c r="NOI5" s="390"/>
      <c r="NOJ5" s="390"/>
      <c r="NOK5" s="390"/>
      <c r="NOL5" s="390"/>
      <c r="NOM5" s="390"/>
      <c r="NON5" s="390"/>
      <c r="NOO5" s="390"/>
      <c r="NOP5" s="390"/>
      <c r="NOQ5" s="390"/>
      <c r="NOR5" s="390"/>
      <c r="NOS5" s="390"/>
      <c r="NOT5" s="390"/>
      <c r="NOU5" s="390"/>
      <c r="NOV5" s="390"/>
      <c r="NOW5" s="390"/>
      <c r="NOX5" s="390"/>
      <c r="NOY5" s="390"/>
      <c r="NOZ5" s="390"/>
      <c r="NPA5" s="390"/>
      <c r="NPB5" s="390"/>
      <c r="NPC5" s="390"/>
      <c r="NPD5" s="390"/>
      <c r="NPE5" s="390"/>
      <c r="NPF5" s="390"/>
      <c r="NPG5" s="390"/>
      <c r="NPH5" s="390"/>
      <c r="NPI5" s="390"/>
      <c r="NPJ5" s="390"/>
      <c r="NPK5" s="390"/>
      <c r="NPL5" s="390"/>
      <c r="NPM5" s="390"/>
      <c r="NPN5" s="390"/>
      <c r="NPO5" s="390"/>
      <c r="NPP5" s="390"/>
      <c r="NPQ5" s="390"/>
      <c r="NPR5" s="390"/>
      <c r="NPS5" s="390"/>
      <c r="NPT5" s="390"/>
      <c r="NPU5" s="390"/>
      <c r="NPV5" s="390"/>
      <c r="NPW5" s="390"/>
      <c r="NPX5" s="390"/>
      <c r="NPY5" s="390"/>
      <c r="NPZ5" s="390"/>
      <c r="NQA5" s="390"/>
      <c r="NQB5" s="390"/>
      <c r="NQC5" s="390"/>
      <c r="NQD5" s="390"/>
      <c r="NQE5" s="390"/>
      <c r="NQF5" s="390"/>
      <c r="NQG5" s="390"/>
      <c r="NQH5" s="390"/>
      <c r="NQI5" s="390"/>
      <c r="NQJ5" s="390"/>
      <c r="NQK5" s="390"/>
      <c r="NQL5" s="390"/>
      <c r="NQM5" s="390"/>
      <c r="NQN5" s="390"/>
      <c r="NQO5" s="390"/>
      <c r="NQP5" s="390"/>
      <c r="NQQ5" s="390"/>
      <c r="NQR5" s="390"/>
      <c r="NQS5" s="390"/>
      <c r="NQT5" s="390"/>
      <c r="NQU5" s="390"/>
      <c r="NQV5" s="390"/>
      <c r="NQW5" s="390"/>
      <c r="NQX5" s="390"/>
      <c r="NQY5" s="390"/>
      <c r="NQZ5" s="390"/>
      <c r="NRA5" s="390"/>
      <c r="NRB5" s="390"/>
      <c r="NRC5" s="390"/>
      <c r="NRD5" s="390"/>
      <c r="NRE5" s="390"/>
      <c r="NRF5" s="390"/>
      <c r="NRG5" s="390"/>
      <c r="NRH5" s="390"/>
      <c r="NRI5" s="390"/>
      <c r="NRJ5" s="390"/>
      <c r="NRK5" s="390"/>
      <c r="NRL5" s="390"/>
      <c r="NRM5" s="390"/>
      <c r="NRN5" s="390"/>
      <c r="NRO5" s="390"/>
      <c r="NRP5" s="390"/>
      <c r="NRQ5" s="390"/>
      <c r="NRR5" s="390"/>
      <c r="NRS5" s="390"/>
      <c r="NRT5" s="390"/>
      <c r="NRU5" s="390"/>
      <c r="NRV5" s="390"/>
      <c r="NRW5" s="390"/>
      <c r="NRX5" s="390"/>
      <c r="NRY5" s="390"/>
      <c r="NRZ5" s="390"/>
      <c r="NSA5" s="390"/>
      <c r="NSB5" s="390"/>
      <c r="NSC5" s="390"/>
      <c r="NSD5" s="390"/>
      <c r="NSE5" s="390"/>
      <c r="NSF5" s="390"/>
      <c r="NSG5" s="390"/>
      <c r="NSH5" s="390"/>
      <c r="NSI5" s="390"/>
      <c r="NSJ5" s="390"/>
      <c r="NSK5" s="390"/>
      <c r="NSL5" s="390"/>
      <c r="NSM5" s="390"/>
      <c r="NSN5" s="390"/>
      <c r="NSO5" s="390"/>
      <c r="NSP5" s="390"/>
      <c r="NSQ5" s="390"/>
      <c r="NSR5" s="390"/>
      <c r="NSS5" s="390"/>
      <c r="NST5" s="390"/>
      <c r="NSU5" s="390"/>
      <c r="NSV5" s="390"/>
      <c r="NSW5" s="390"/>
      <c r="NSX5" s="390"/>
      <c r="NSY5" s="390"/>
      <c r="NSZ5" s="390"/>
      <c r="NTA5" s="390"/>
      <c r="NTB5" s="390"/>
      <c r="NTC5" s="390"/>
      <c r="NTD5" s="390"/>
      <c r="NTE5" s="390"/>
      <c r="NTF5" s="390"/>
      <c r="NTG5" s="390"/>
      <c r="NTH5" s="390"/>
      <c r="NTI5" s="390"/>
      <c r="NTJ5" s="390"/>
      <c r="NTK5" s="390"/>
      <c r="NTL5" s="390"/>
      <c r="NTM5" s="390"/>
      <c r="NTN5" s="390"/>
      <c r="NTO5" s="390"/>
      <c r="NTP5" s="390"/>
      <c r="NTQ5" s="390"/>
      <c r="NTR5" s="390"/>
      <c r="NTS5" s="390"/>
      <c r="NTT5" s="390"/>
      <c r="NTU5" s="390"/>
      <c r="NTV5" s="390"/>
      <c r="NTW5" s="390"/>
      <c r="NTX5" s="390"/>
      <c r="NTY5" s="390"/>
      <c r="NTZ5" s="390"/>
      <c r="NUA5" s="390"/>
      <c r="NUB5" s="390"/>
      <c r="NUC5" s="390"/>
      <c r="NUD5" s="390"/>
      <c r="NUE5" s="390"/>
      <c r="NUF5" s="390"/>
      <c r="NUG5" s="390"/>
      <c r="NUH5" s="390"/>
      <c r="NUI5" s="390"/>
      <c r="NUJ5" s="390"/>
      <c r="NUK5" s="390"/>
      <c r="NUL5" s="390"/>
      <c r="NUM5" s="390"/>
      <c r="NUN5" s="390"/>
      <c r="NUO5" s="390"/>
      <c r="NUP5" s="390"/>
      <c r="NUQ5" s="390"/>
      <c r="NUR5" s="390"/>
      <c r="NUS5" s="390"/>
      <c r="NUT5" s="390"/>
      <c r="NUU5" s="390"/>
      <c r="NUV5" s="390"/>
      <c r="NUW5" s="390"/>
      <c r="NUX5" s="390"/>
      <c r="NUY5" s="390"/>
      <c r="NUZ5" s="390"/>
      <c r="NVA5" s="390"/>
      <c r="NVB5" s="390"/>
      <c r="NVC5" s="390"/>
      <c r="NVD5" s="390"/>
      <c r="NVE5" s="390"/>
      <c r="NVF5" s="390"/>
      <c r="NVG5" s="390"/>
      <c r="NVH5" s="390"/>
      <c r="NVI5" s="390"/>
      <c r="NVJ5" s="390"/>
      <c r="NVK5" s="390"/>
      <c r="NVL5" s="390"/>
      <c r="NVM5" s="390"/>
      <c r="NVN5" s="390"/>
      <c r="NVO5" s="390"/>
      <c r="NVP5" s="390"/>
      <c r="NVQ5" s="390"/>
      <c r="NVR5" s="390"/>
      <c r="NVS5" s="390"/>
      <c r="NVT5" s="390"/>
      <c r="NVU5" s="390"/>
      <c r="NVV5" s="390"/>
      <c r="NVW5" s="390"/>
      <c r="NVX5" s="390"/>
      <c r="NVY5" s="390"/>
      <c r="NVZ5" s="390"/>
      <c r="NWA5" s="390"/>
      <c r="NWB5" s="390"/>
      <c r="NWC5" s="390"/>
      <c r="NWD5" s="390"/>
      <c r="NWE5" s="390"/>
      <c r="NWF5" s="390"/>
      <c r="NWG5" s="390"/>
      <c r="NWH5" s="390"/>
      <c r="NWI5" s="390"/>
      <c r="NWJ5" s="390"/>
      <c r="NWK5" s="390"/>
      <c r="NWL5" s="390"/>
      <c r="NWM5" s="390"/>
      <c r="NWN5" s="390"/>
      <c r="NWO5" s="390"/>
      <c r="NWP5" s="390"/>
      <c r="NWQ5" s="390"/>
      <c r="NWR5" s="390"/>
      <c r="NWS5" s="390"/>
      <c r="NWT5" s="390"/>
      <c r="NWU5" s="390"/>
      <c r="NWV5" s="390"/>
      <c r="NWW5" s="390"/>
      <c r="NWX5" s="390"/>
      <c r="NWY5" s="390"/>
      <c r="NWZ5" s="390"/>
      <c r="NXA5" s="390"/>
      <c r="NXB5" s="390"/>
      <c r="NXC5" s="390"/>
      <c r="NXD5" s="390"/>
      <c r="NXE5" s="390"/>
      <c r="NXF5" s="390"/>
      <c r="NXG5" s="390"/>
      <c r="NXH5" s="390"/>
      <c r="NXI5" s="390"/>
      <c r="NXJ5" s="390"/>
      <c r="NXK5" s="390"/>
      <c r="NXL5" s="390"/>
      <c r="NXM5" s="390"/>
      <c r="NXN5" s="390"/>
      <c r="NXO5" s="390"/>
      <c r="NXP5" s="390"/>
      <c r="NXQ5" s="390"/>
      <c r="NXR5" s="390"/>
      <c r="NXS5" s="390"/>
      <c r="NXT5" s="390"/>
      <c r="NXU5" s="390"/>
      <c r="NXV5" s="390"/>
      <c r="NXW5" s="390"/>
      <c r="NXX5" s="390"/>
      <c r="NXY5" s="390"/>
      <c r="NXZ5" s="390"/>
      <c r="NYA5" s="390"/>
      <c r="NYB5" s="390"/>
      <c r="NYC5" s="390"/>
      <c r="NYD5" s="390"/>
      <c r="NYE5" s="390"/>
      <c r="NYF5" s="390"/>
      <c r="NYG5" s="390"/>
      <c r="NYH5" s="390"/>
      <c r="NYI5" s="390"/>
      <c r="NYJ5" s="390"/>
      <c r="NYK5" s="390"/>
      <c r="NYL5" s="390"/>
      <c r="NYM5" s="390"/>
      <c r="NYN5" s="390"/>
      <c r="NYO5" s="390"/>
      <c r="NYP5" s="390"/>
      <c r="NYQ5" s="390"/>
      <c r="NYR5" s="390"/>
      <c r="NYS5" s="390"/>
      <c r="NYT5" s="390"/>
      <c r="NYU5" s="390"/>
      <c r="NYV5" s="390"/>
      <c r="NYW5" s="390"/>
      <c r="NYX5" s="390"/>
      <c r="NYY5" s="390"/>
      <c r="NYZ5" s="390"/>
      <c r="NZA5" s="390"/>
      <c r="NZB5" s="390"/>
      <c r="NZC5" s="390"/>
      <c r="NZD5" s="390"/>
      <c r="NZE5" s="390"/>
      <c r="NZF5" s="390"/>
      <c r="NZG5" s="390"/>
      <c r="NZH5" s="390"/>
      <c r="NZI5" s="390"/>
      <c r="NZJ5" s="390"/>
      <c r="NZK5" s="390"/>
      <c r="NZL5" s="390"/>
      <c r="NZM5" s="390"/>
      <c r="NZN5" s="390"/>
      <c r="NZO5" s="390"/>
      <c r="NZP5" s="390"/>
      <c r="NZQ5" s="390"/>
      <c r="NZR5" s="390"/>
      <c r="NZS5" s="390"/>
      <c r="NZT5" s="390"/>
      <c r="NZU5" s="390"/>
      <c r="NZV5" s="390"/>
      <c r="NZW5" s="390"/>
      <c r="NZX5" s="390"/>
      <c r="NZY5" s="390"/>
      <c r="NZZ5" s="390"/>
      <c r="OAA5" s="390"/>
      <c r="OAB5" s="390"/>
      <c r="OAC5" s="390"/>
      <c r="OAD5" s="390"/>
      <c r="OAE5" s="390"/>
      <c r="OAF5" s="390"/>
      <c r="OAG5" s="390"/>
      <c r="OAH5" s="390"/>
      <c r="OAI5" s="390"/>
      <c r="OAJ5" s="390"/>
      <c r="OAK5" s="390"/>
      <c r="OAL5" s="390"/>
      <c r="OAM5" s="390"/>
      <c r="OAN5" s="390"/>
      <c r="OAO5" s="390"/>
      <c r="OAP5" s="390"/>
      <c r="OAQ5" s="390"/>
      <c r="OAR5" s="390"/>
      <c r="OAS5" s="390"/>
      <c r="OAT5" s="390"/>
      <c r="OAU5" s="390"/>
      <c r="OAV5" s="390"/>
      <c r="OAW5" s="390"/>
      <c r="OAX5" s="390"/>
      <c r="OAY5" s="390"/>
      <c r="OAZ5" s="390"/>
      <c r="OBA5" s="390"/>
      <c r="OBB5" s="390"/>
      <c r="OBC5" s="390"/>
      <c r="OBD5" s="390"/>
      <c r="OBE5" s="390"/>
      <c r="OBF5" s="390"/>
      <c r="OBG5" s="390"/>
      <c r="OBH5" s="390"/>
      <c r="OBI5" s="390"/>
      <c r="OBJ5" s="390"/>
      <c r="OBK5" s="390"/>
      <c r="OBL5" s="390"/>
      <c r="OBM5" s="390"/>
      <c r="OBN5" s="390"/>
      <c r="OBO5" s="390"/>
      <c r="OBP5" s="390"/>
      <c r="OBQ5" s="390"/>
      <c r="OBR5" s="390"/>
      <c r="OBS5" s="390"/>
      <c r="OBT5" s="390"/>
      <c r="OBU5" s="390"/>
      <c r="OBV5" s="390"/>
      <c r="OBW5" s="390"/>
      <c r="OBX5" s="390"/>
      <c r="OBY5" s="390"/>
      <c r="OBZ5" s="390"/>
      <c r="OCA5" s="390"/>
      <c r="OCB5" s="390"/>
      <c r="OCC5" s="390"/>
      <c r="OCD5" s="390"/>
      <c r="OCE5" s="390"/>
      <c r="OCF5" s="390"/>
      <c r="OCG5" s="390"/>
      <c r="OCH5" s="390"/>
      <c r="OCI5" s="390"/>
      <c r="OCJ5" s="390"/>
      <c r="OCK5" s="390"/>
      <c r="OCL5" s="390"/>
      <c r="OCM5" s="390"/>
      <c r="OCN5" s="390"/>
      <c r="OCO5" s="390"/>
      <c r="OCP5" s="390"/>
      <c r="OCQ5" s="390"/>
      <c r="OCR5" s="390"/>
      <c r="OCS5" s="390"/>
      <c r="OCT5" s="390"/>
      <c r="OCU5" s="390"/>
      <c r="OCV5" s="390"/>
      <c r="OCW5" s="390"/>
      <c r="OCX5" s="390"/>
      <c r="OCY5" s="390"/>
      <c r="OCZ5" s="390"/>
      <c r="ODA5" s="390"/>
      <c r="ODB5" s="390"/>
      <c r="ODC5" s="390"/>
      <c r="ODD5" s="390"/>
      <c r="ODE5" s="390"/>
      <c r="ODF5" s="390"/>
      <c r="ODG5" s="390"/>
      <c r="ODH5" s="390"/>
      <c r="ODI5" s="390"/>
      <c r="ODJ5" s="390"/>
      <c r="ODK5" s="390"/>
      <c r="ODL5" s="390"/>
      <c r="ODM5" s="390"/>
      <c r="ODN5" s="390"/>
      <c r="ODO5" s="390"/>
      <c r="ODP5" s="390"/>
      <c r="ODQ5" s="390"/>
      <c r="ODR5" s="390"/>
      <c r="ODS5" s="390"/>
      <c r="ODT5" s="390"/>
      <c r="ODU5" s="390"/>
      <c r="ODV5" s="390"/>
      <c r="ODW5" s="390"/>
      <c r="ODX5" s="390"/>
      <c r="ODY5" s="390"/>
      <c r="ODZ5" s="390"/>
      <c r="OEA5" s="390"/>
      <c r="OEB5" s="390"/>
      <c r="OEC5" s="390"/>
      <c r="OED5" s="390"/>
      <c r="OEE5" s="390"/>
      <c r="OEF5" s="390"/>
      <c r="OEG5" s="390"/>
      <c r="OEH5" s="390"/>
      <c r="OEI5" s="390"/>
      <c r="OEJ5" s="390"/>
      <c r="OEK5" s="390"/>
      <c r="OEL5" s="390"/>
      <c r="OEM5" s="390"/>
      <c r="OEN5" s="390"/>
      <c r="OEO5" s="390"/>
      <c r="OEP5" s="390"/>
      <c r="OEQ5" s="390"/>
      <c r="OER5" s="390"/>
      <c r="OES5" s="390"/>
      <c r="OET5" s="390"/>
      <c r="OEU5" s="390"/>
      <c r="OEV5" s="390"/>
      <c r="OEW5" s="390"/>
      <c r="OEX5" s="390"/>
      <c r="OEY5" s="390"/>
      <c r="OEZ5" s="390"/>
      <c r="OFA5" s="390"/>
      <c r="OFB5" s="390"/>
      <c r="OFC5" s="390"/>
      <c r="OFD5" s="390"/>
      <c r="OFE5" s="390"/>
      <c r="OFF5" s="390"/>
      <c r="OFG5" s="390"/>
      <c r="OFH5" s="390"/>
      <c r="OFI5" s="390"/>
      <c r="OFJ5" s="390"/>
      <c r="OFK5" s="390"/>
      <c r="OFL5" s="390"/>
      <c r="OFM5" s="390"/>
      <c r="OFN5" s="390"/>
      <c r="OFO5" s="390"/>
      <c r="OFP5" s="390"/>
      <c r="OFQ5" s="390"/>
      <c r="OFR5" s="390"/>
      <c r="OFS5" s="390"/>
      <c r="OFT5" s="390"/>
      <c r="OFU5" s="390"/>
      <c r="OFV5" s="390"/>
      <c r="OFW5" s="390"/>
      <c r="OFX5" s="390"/>
      <c r="OFY5" s="390"/>
      <c r="OFZ5" s="390"/>
      <c r="OGA5" s="390"/>
      <c r="OGB5" s="390"/>
      <c r="OGC5" s="390"/>
      <c r="OGD5" s="390"/>
      <c r="OGE5" s="390"/>
      <c r="OGF5" s="390"/>
      <c r="OGG5" s="390"/>
      <c r="OGH5" s="390"/>
      <c r="OGI5" s="390"/>
      <c r="OGJ5" s="390"/>
      <c r="OGK5" s="390"/>
      <c r="OGL5" s="390"/>
      <c r="OGM5" s="390"/>
      <c r="OGN5" s="390"/>
      <c r="OGO5" s="390"/>
      <c r="OGP5" s="390"/>
      <c r="OGQ5" s="390"/>
      <c r="OGR5" s="390"/>
      <c r="OGS5" s="390"/>
      <c r="OGT5" s="390"/>
      <c r="OGU5" s="390"/>
      <c r="OGV5" s="390"/>
      <c r="OGW5" s="390"/>
      <c r="OGX5" s="390"/>
      <c r="OGY5" s="390"/>
      <c r="OGZ5" s="390"/>
      <c r="OHA5" s="390"/>
      <c r="OHB5" s="390"/>
      <c r="OHC5" s="390"/>
      <c r="OHD5" s="390"/>
      <c r="OHE5" s="390"/>
      <c r="OHF5" s="390"/>
      <c r="OHG5" s="390"/>
      <c r="OHH5" s="390"/>
      <c r="OHI5" s="390"/>
      <c r="OHJ5" s="390"/>
      <c r="OHK5" s="390"/>
      <c r="OHL5" s="390"/>
      <c r="OHM5" s="390"/>
      <c r="OHN5" s="390"/>
      <c r="OHO5" s="390"/>
      <c r="OHP5" s="390"/>
      <c r="OHQ5" s="390"/>
      <c r="OHR5" s="390"/>
      <c r="OHS5" s="390"/>
      <c r="OHT5" s="390"/>
      <c r="OHU5" s="390"/>
      <c r="OHV5" s="390"/>
      <c r="OHW5" s="390"/>
      <c r="OHX5" s="390"/>
      <c r="OHY5" s="390"/>
      <c r="OHZ5" s="390"/>
      <c r="OIA5" s="390"/>
      <c r="OIB5" s="390"/>
      <c r="OIC5" s="390"/>
      <c r="OID5" s="390"/>
      <c r="OIE5" s="390"/>
      <c r="OIF5" s="390"/>
      <c r="OIG5" s="390"/>
      <c r="OIH5" s="390"/>
      <c r="OII5" s="390"/>
      <c r="OIJ5" s="390"/>
      <c r="OIK5" s="390"/>
      <c r="OIL5" s="390"/>
      <c r="OIM5" s="390"/>
      <c r="OIN5" s="390"/>
      <c r="OIO5" s="390"/>
      <c r="OIP5" s="390"/>
      <c r="OIQ5" s="390"/>
      <c r="OIR5" s="390"/>
      <c r="OIS5" s="390"/>
      <c r="OIT5" s="390"/>
      <c r="OIU5" s="390"/>
      <c r="OIV5" s="390"/>
      <c r="OIW5" s="390"/>
      <c r="OIX5" s="390"/>
      <c r="OIY5" s="390"/>
      <c r="OIZ5" s="390"/>
      <c r="OJA5" s="390"/>
      <c r="OJB5" s="390"/>
      <c r="OJC5" s="390"/>
      <c r="OJD5" s="390"/>
      <c r="OJE5" s="390"/>
      <c r="OJF5" s="390"/>
      <c r="OJG5" s="390"/>
      <c r="OJH5" s="390"/>
      <c r="OJI5" s="390"/>
      <c r="OJJ5" s="390"/>
      <c r="OJK5" s="390"/>
      <c r="OJL5" s="390"/>
      <c r="OJM5" s="390"/>
      <c r="OJN5" s="390"/>
      <c r="OJO5" s="390"/>
      <c r="OJP5" s="390"/>
      <c r="OJQ5" s="390"/>
      <c r="OJR5" s="390"/>
      <c r="OJS5" s="390"/>
      <c r="OJT5" s="390"/>
      <c r="OJU5" s="390"/>
      <c r="OJV5" s="390"/>
      <c r="OJW5" s="390"/>
      <c r="OJX5" s="390"/>
      <c r="OJY5" s="390"/>
      <c r="OJZ5" s="390"/>
      <c r="OKA5" s="390"/>
      <c r="OKB5" s="390"/>
      <c r="OKC5" s="390"/>
      <c r="OKD5" s="390"/>
      <c r="OKE5" s="390"/>
      <c r="OKF5" s="390"/>
      <c r="OKG5" s="390"/>
      <c r="OKH5" s="390"/>
      <c r="OKI5" s="390"/>
      <c r="OKJ5" s="390"/>
      <c r="OKK5" s="390"/>
      <c r="OKL5" s="390"/>
      <c r="OKM5" s="390"/>
      <c r="OKN5" s="390"/>
      <c r="OKO5" s="390"/>
      <c r="OKP5" s="390"/>
      <c r="OKQ5" s="390"/>
      <c r="OKR5" s="390"/>
      <c r="OKS5" s="390"/>
      <c r="OKT5" s="390"/>
      <c r="OKU5" s="390"/>
      <c r="OKV5" s="390"/>
      <c r="OKW5" s="390"/>
      <c r="OKX5" s="390"/>
      <c r="OKY5" s="390"/>
      <c r="OKZ5" s="390"/>
      <c r="OLA5" s="390"/>
      <c r="OLB5" s="390"/>
      <c r="OLC5" s="390"/>
      <c r="OLD5" s="390"/>
      <c r="OLE5" s="390"/>
      <c r="OLF5" s="390"/>
      <c r="OLG5" s="390"/>
      <c r="OLH5" s="390"/>
      <c r="OLI5" s="390"/>
      <c r="OLJ5" s="390"/>
      <c r="OLK5" s="390"/>
      <c r="OLL5" s="390"/>
      <c r="OLM5" s="390"/>
      <c r="OLN5" s="390"/>
      <c r="OLO5" s="390"/>
      <c r="OLP5" s="390"/>
      <c r="OLQ5" s="390"/>
      <c r="OLR5" s="390"/>
      <c r="OLS5" s="390"/>
      <c r="OLT5" s="390"/>
      <c r="OLU5" s="390"/>
      <c r="OLV5" s="390"/>
      <c r="OLW5" s="390"/>
      <c r="OLX5" s="390"/>
      <c r="OLY5" s="390"/>
      <c r="OLZ5" s="390"/>
      <c r="OMA5" s="390"/>
      <c r="OMB5" s="390"/>
      <c r="OMC5" s="390"/>
      <c r="OMD5" s="390"/>
      <c r="OME5" s="390"/>
      <c r="OMF5" s="390"/>
      <c r="OMG5" s="390"/>
      <c r="OMH5" s="390"/>
      <c r="OMI5" s="390"/>
      <c r="OMJ5" s="390"/>
      <c r="OMK5" s="390"/>
      <c r="OML5" s="390"/>
      <c r="OMM5" s="390"/>
      <c r="OMN5" s="390"/>
      <c r="OMO5" s="390"/>
      <c r="OMP5" s="390"/>
      <c r="OMQ5" s="390"/>
      <c r="OMR5" s="390"/>
      <c r="OMS5" s="390"/>
      <c r="OMT5" s="390"/>
      <c r="OMU5" s="390"/>
      <c r="OMV5" s="390"/>
      <c r="OMW5" s="390"/>
      <c r="OMX5" s="390"/>
      <c r="OMY5" s="390"/>
      <c r="OMZ5" s="390"/>
      <c r="ONA5" s="390"/>
      <c r="ONB5" s="390"/>
      <c r="ONC5" s="390"/>
      <c r="OND5" s="390"/>
      <c r="ONE5" s="390"/>
      <c r="ONF5" s="390"/>
      <c r="ONG5" s="390"/>
      <c r="ONH5" s="390"/>
      <c r="ONI5" s="390"/>
      <c r="ONJ5" s="390"/>
      <c r="ONK5" s="390"/>
      <c r="ONL5" s="390"/>
      <c r="ONM5" s="390"/>
      <c r="ONN5" s="390"/>
      <c r="ONO5" s="390"/>
      <c r="ONP5" s="390"/>
      <c r="ONQ5" s="390"/>
      <c r="ONR5" s="390"/>
      <c r="ONS5" s="390"/>
      <c r="ONT5" s="390"/>
      <c r="ONU5" s="390"/>
      <c r="ONV5" s="390"/>
      <c r="ONW5" s="390"/>
      <c r="ONX5" s="390"/>
      <c r="ONY5" s="390"/>
      <c r="ONZ5" s="390"/>
      <c r="OOA5" s="390"/>
      <c r="OOB5" s="390"/>
      <c r="OOC5" s="390"/>
      <c r="OOD5" s="390"/>
      <c r="OOE5" s="390"/>
      <c r="OOF5" s="390"/>
      <c r="OOG5" s="390"/>
      <c r="OOH5" s="390"/>
      <c r="OOI5" s="390"/>
      <c r="OOJ5" s="390"/>
      <c r="OOK5" s="390"/>
      <c r="OOL5" s="390"/>
      <c r="OOM5" s="390"/>
      <c r="OON5" s="390"/>
      <c r="OOO5" s="390"/>
      <c r="OOP5" s="390"/>
      <c r="OOQ5" s="390"/>
      <c r="OOR5" s="390"/>
      <c r="OOS5" s="390"/>
      <c r="OOT5" s="390"/>
      <c r="OOU5" s="390"/>
      <c r="OOV5" s="390"/>
      <c r="OOW5" s="390"/>
      <c r="OOX5" s="390"/>
      <c r="OOY5" s="390"/>
      <c r="OOZ5" s="390"/>
      <c r="OPA5" s="390"/>
      <c r="OPB5" s="390"/>
      <c r="OPC5" s="390"/>
      <c r="OPD5" s="390"/>
      <c r="OPE5" s="390"/>
      <c r="OPF5" s="390"/>
      <c r="OPG5" s="390"/>
      <c r="OPH5" s="390"/>
      <c r="OPI5" s="390"/>
      <c r="OPJ5" s="390"/>
      <c r="OPK5" s="390"/>
      <c r="OPL5" s="390"/>
      <c r="OPM5" s="390"/>
      <c r="OPN5" s="390"/>
      <c r="OPO5" s="390"/>
      <c r="OPP5" s="390"/>
      <c r="OPQ5" s="390"/>
      <c r="OPR5" s="390"/>
      <c r="OPS5" s="390"/>
      <c r="OPT5" s="390"/>
      <c r="OPU5" s="390"/>
      <c r="OPV5" s="390"/>
      <c r="OPW5" s="390"/>
      <c r="OPX5" s="390"/>
      <c r="OPY5" s="390"/>
      <c r="OPZ5" s="390"/>
      <c r="OQA5" s="390"/>
      <c r="OQB5" s="390"/>
      <c r="OQC5" s="390"/>
      <c r="OQD5" s="390"/>
      <c r="OQE5" s="390"/>
      <c r="OQF5" s="390"/>
      <c r="OQG5" s="390"/>
      <c r="OQH5" s="390"/>
      <c r="OQI5" s="390"/>
      <c r="OQJ5" s="390"/>
      <c r="OQK5" s="390"/>
      <c r="OQL5" s="390"/>
      <c r="OQM5" s="390"/>
      <c r="OQN5" s="390"/>
      <c r="OQO5" s="390"/>
      <c r="OQP5" s="390"/>
      <c r="OQQ5" s="390"/>
      <c r="OQR5" s="390"/>
      <c r="OQS5" s="390"/>
      <c r="OQT5" s="390"/>
      <c r="OQU5" s="390"/>
      <c r="OQV5" s="390"/>
      <c r="OQW5" s="390"/>
      <c r="OQX5" s="390"/>
      <c r="OQY5" s="390"/>
      <c r="OQZ5" s="390"/>
      <c r="ORA5" s="390"/>
      <c r="ORB5" s="390"/>
      <c r="ORC5" s="390"/>
      <c r="ORD5" s="390"/>
      <c r="ORE5" s="390"/>
      <c r="ORF5" s="390"/>
      <c r="ORG5" s="390"/>
      <c r="ORH5" s="390"/>
      <c r="ORI5" s="390"/>
      <c r="ORJ5" s="390"/>
      <c r="ORK5" s="390"/>
      <c r="ORL5" s="390"/>
      <c r="ORM5" s="390"/>
      <c r="ORN5" s="390"/>
      <c r="ORO5" s="390"/>
      <c r="ORP5" s="390"/>
      <c r="ORQ5" s="390"/>
      <c r="ORR5" s="390"/>
      <c r="ORS5" s="390"/>
      <c r="ORT5" s="390"/>
      <c r="ORU5" s="390"/>
      <c r="ORV5" s="390"/>
      <c r="ORW5" s="390"/>
      <c r="ORX5" s="390"/>
      <c r="ORY5" s="390"/>
      <c r="ORZ5" s="390"/>
      <c r="OSA5" s="390"/>
      <c r="OSB5" s="390"/>
      <c r="OSC5" s="390"/>
      <c r="OSD5" s="390"/>
      <c r="OSE5" s="390"/>
      <c r="OSF5" s="390"/>
      <c r="OSG5" s="390"/>
      <c r="OSH5" s="390"/>
      <c r="OSI5" s="390"/>
      <c r="OSJ5" s="390"/>
      <c r="OSK5" s="390"/>
      <c r="OSL5" s="390"/>
      <c r="OSM5" s="390"/>
      <c r="OSN5" s="390"/>
      <c r="OSO5" s="390"/>
      <c r="OSP5" s="390"/>
      <c r="OSQ5" s="390"/>
      <c r="OSR5" s="390"/>
      <c r="OSS5" s="390"/>
      <c r="OST5" s="390"/>
      <c r="OSU5" s="390"/>
      <c r="OSV5" s="390"/>
      <c r="OSW5" s="390"/>
      <c r="OSX5" s="390"/>
      <c r="OSY5" s="390"/>
      <c r="OSZ5" s="390"/>
      <c r="OTA5" s="390"/>
      <c r="OTB5" s="390"/>
      <c r="OTC5" s="390"/>
      <c r="OTD5" s="390"/>
      <c r="OTE5" s="390"/>
      <c r="OTF5" s="390"/>
      <c r="OTG5" s="390"/>
      <c r="OTH5" s="390"/>
      <c r="OTI5" s="390"/>
      <c r="OTJ5" s="390"/>
      <c r="OTK5" s="390"/>
      <c r="OTL5" s="390"/>
      <c r="OTM5" s="390"/>
      <c r="OTN5" s="390"/>
      <c r="OTO5" s="390"/>
      <c r="OTP5" s="390"/>
      <c r="OTQ5" s="390"/>
      <c r="OTR5" s="390"/>
      <c r="OTS5" s="390"/>
      <c r="OTT5" s="390"/>
      <c r="OTU5" s="390"/>
      <c r="OTV5" s="390"/>
      <c r="OTW5" s="390"/>
      <c r="OTX5" s="390"/>
      <c r="OTY5" s="390"/>
      <c r="OTZ5" s="390"/>
      <c r="OUA5" s="390"/>
      <c r="OUB5" s="390"/>
      <c r="OUC5" s="390"/>
      <c r="OUD5" s="390"/>
      <c r="OUE5" s="390"/>
      <c r="OUF5" s="390"/>
      <c r="OUG5" s="390"/>
      <c r="OUH5" s="390"/>
      <c r="OUI5" s="390"/>
      <c r="OUJ5" s="390"/>
      <c r="OUK5" s="390"/>
      <c r="OUL5" s="390"/>
      <c r="OUM5" s="390"/>
      <c r="OUN5" s="390"/>
      <c r="OUO5" s="390"/>
      <c r="OUP5" s="390"/>
      <c r="OUQ5" s="390"/>
      <c r="OUR5" s="390"/>
      <c r="OUS5" s="390"/>
      <c r="OUT5" s="390"/>
      <c r="OUU5" s="390"/>
      <c r="OUV5" s="390"/>
      <c r="OUW5" s="390"/>
      <c r="OUX5" s="390"/>
      <c r="OUY5" s="390"/>
      <c r="OUZ5" s="390"/>
      <c r="OVA5" s="390"/>
      <c r="OVB5" s="390"/>
      <c r="OVC5" s="390"/>
      <c r="OVD5" s="390"/>
      <c r="OVE5" s="390"/>
      <c r="OVF5" s="390"/>
      <c r="OVG5" s="390"/>
      <c r="OVH5" s="390"/>
      <c r="OVI5" s="390"/>
      <c r="OVJ5" s="390"/>
      <c r="OVK5" s="390"/>
      <c r="OVL5" s="390"/>
      <c r="OVM5" s="390"/>
      <c r="OVN5" s="390"/>
      <c r="OVO5" s="390"/>
      <c r="OVP5" s="390"/>
      <c r="OVQ5" s="390"/>
      <c r="OVR5" s="390"/>
      <c r="OVS5" s="390"/>
      <c r="OVT5" s="390"/>
      <c r="OVU5" s="390"/>
      <c r="OVV5" s="390"/>
      <c r="OVW5" s="390"/>
      <c r="OVX5" s="390"/>
      <c r="OVY5" s="390"/>
      <c r="OVZ5" s="390"/>
      <c r="OWA5" s="390"/>
      <c r="OWB5" s="390"/>
      <c r="OWC5" s="390"/>
      <c r="OWD5" s="390"/>
      <c r="OWE5" s="390"/>
      <c r="OWF5" s="390"/>
      <c r="OWG5" s="390"/>
      <c r="OWH5" s="390"/>
      <c r="OWI5" s="390"/>
      <c r="OWJ5" s="390"/>
      <c r="OWK5" s="390"/>
      <c r="OWL5" s="390"/>
      <c r="OWM5" s="390"/>
      <c r="OWN5" s="390"/>
      <c r="OWO5" s="390"/>
      <c r="OWP5" s="390"/>
      <c r="OWQ5" s="390"/>
      <c r="OWR5" s="390"/>
      <c r="OWS5" s="390"/>
      <c r="OWT5" s="390"/>
      <c r="OWU5" s="390"/>
      <c r="OWV5" s="390"/>
      <c r="OWW5" s="390"/>
      <c r="OWX5" s="390"/>
      <c r="OWY5" s="390"/>
      <c r="OWZ5" s="390"/>
      <c r="OXA5" s="390"/>
      <c r="OXB5" s="390"/>
      <c r="OXC5" s="390"/>
      <c r="OXD5" s="390"/>
      <c r="OXE5" s="390"/>
      <c r="OXF5" s="390"/>
      <c r="OXG5" s="390"/>
      <c r="OXH5" s="390"/>
      <c r="OXI5" s="390"/>
      <c r="OXJ5" s="390"/>
      <c r="OXK5" s="390"/>
      <c r="OXL5" s="390"/>
      <c r="OXM5" s="390"/>
      <c r="OXN5" s="390"/>
      <c r="OXO5" s="390"/>
      <c r="OXP5" s="390"/>
      <c r="OXQ5" s="390"/>
      <c r="OXR5" s="390"/>
      <c r="OXS5" s="390"/>
      <c r="OXT5" s="390"/>
      <c r="OXU5" s="390"/>
      <c r="OXV5" s="390"/>
      <c r="OXW5" s="390"/>
      <c r="OXX5" s="390"/>
      <c r="OXY5" s="390"/>
      <c r="OXZ5" s="390"/>
      <c r="OYA5" s="390"/>
      <c r="OYB5" s="390"/>
      <c r="OYC5" s="390"/>
      <c r="OYD5" s="390"/>
      <c r="OYE5" s="390"/>
      <c r="OYF5" s="390"/>
      <c r="OYG5" s="390"/>
      <c r="OYH5" s="390"/>
      <c r="OYI5" s="390"/>
      <c r="OYJ5" s="390"/>
      <c r="OYK5" s="390"/>
      <c r="OYL5" s="390"/>
      <c r="OYM5" s="390"/>
      <c r="OYN5" s="390"/>
      <c r="OYO5" s="390"/>
      <c r="OYP5" s="390"/>
      <c r="OYQ5" s="390"/>
      <c r="OYR5" s="390"/>
      <c r="OYS5" s="390"/>
      <c r="OYT5" s="390"/>
      <c r="OYU5" s="390"/>
      <c r="OYV5" s="390"/>
      <c r="OYW5" s="390"/>
      <c r="OYX5" s="390"/>
      <c r="OYY5" s="390"/>
      <c r="OYZ5" s="390"/>
      <c r="OZA5" s="390"/>
      <c r="OZB5" s="390"/>
      <c r="OZC5" s="390"/>
      <c r="OZD5" s="390"/>
      <c r="OZE5" s="390"/>
      <c r="OZF5" s="390"/>
      <c r="OZG5" s="390"/>
      <c r="OZH5" s="390"/>
      <c r="OZI5" s="390"/>
      <c r="OZJ5" s="390"/>
      <c r="OZK5" s="390"/>
      <c r="OZL5" s="390"/>
      <c r="OZM5" s="390"/>
      <c r="OZN5" s="390"/>
      <c r="OZO5" s="390"/>
      <c r="OZP5" s="390"/>
      <c r="OZQ5" s="390"/>
      <c r="OZR5" s="390"/>
      <c r="OZS5" s="390"/>
      <c r="OZT5" s="390"/>
      <c r="OZU5" s="390"/>
      <c r="OZV5" s="390"/>
      <c r="OZW5" s="390"/>
      <c r="OZX5" s="390"/>
      <c r="OZY5" s="390"/>
      <c r="OZZ5" s="390"/>
      <c r="PAA5" s="390"/>
      <c r="PAB5" s="390"/>
      <c r="PAC5" s="390"/>
      <c r="PAD5" s="390"/>
      <c r="PAE5" s="390"/>
      <c r="PAF5" s="390"/>
      <c r="PAG5" s="390"/>
      <c r="PAH5" s="390"/>
      <c r="PAI5" s="390"/>
      <c r="PAJ5" s="390"/>
      <c r="PAK5" s="390"/>
      <c r="PAL5" s="390"/>
      <c r="PAM5" s="390"/>
      <c r="PAN5" s="390"/>
      <c r="PAO5" s="390"/>
      <c r="PAP5" s="390"/>
      <c r="PAQ5" s="390"/>
      <c r="PAR5" s="390"/>
      <c r="PAS5" s="390"/>
      <c r="PAT5" s="390"/>
      <c r="PAU5" s="390"/>
      <c r="PAV5" s="390"/>
      <c r="PAW5" s="390"/>
      <c r="PAX5" s="390"/>
      <c r="PAY5" s="390"/>
      <c r="PAZ5" s="390"/>
      <c r="PBA5" s="390"/>
      <c r="PBB5" s="390"/>
      <c r="PBC5" s="390"/>
      <c r="PBD5" s="390"/>
      <c r="PBE5" s="390"/>
      <c r="PBF5" s="390"/>
      <c r="PBG5" s="390"/>
      <c r="PBH5" s="390"/>
      <c r="PBI5" s="390"/>
      <c r="PBJ5" s="390"/>
      <c r="PBK5" s="390"/>
      <c r="PBL5" s="390"/>
      <c r="PBM5" s="390"/>
      <c r="PBN5" s="390"/>
      <c r="PBO5" s="390"/>
      <c r="PBP5" s="390"/>
      <c r="PBQ5" s="390"/>
      <c r="PBR5" s="390"/>
      <c r="PBS5" s="390"/>
      <c r="PBT5" s="390"/>
      <c r="PBU5" s="390"/>
      <c r="PBV5" s="390"/>
      <c r="PBW5" s="390"/>
      <c r="PBX5" s="390"/>
      <c r="PBY5" s="390"/>
      <c r="PBZ5" s="390"/>
      <c r="PCA5" s="390"/>
      <c r="PCB5" s="390"/>
      <c r="PCC5" s="390"/>
      <c r="PCD5" s="390"/>
      <c r="PCE5" s="390"/>
      <c r="PCF5" s="390"/>
      <c r="PCG5" s="390"/>
      <c r="PCH5" s="390"/>
      <c r="PCI5" s="390"/>
      <c r="PCJ5" s="390"/>
      <c r="PCK5" s="390"/>
      <c r="PCL5" s="390"/>
      <c r="PCM5" s="390"/>
      <c r="PCN5" s="390"/>
      <c r="PCO5" s="390"/>
      <c r="PCP5" s="390"/>
      <c r="PCQ5" s="390"/>
      <c r="PCR5" s="390"/>
      <c r="PCS5" s="390"/>
      <c r="PCT5" s="390"/>
      <c r="PCU5" s="390"/>
      <c r="PCV5" s="390"/>
      <c r="PCW5" s="390"/>
      <c r="PCX5" s="390"/>
      <c r="PCY5" s="390"/>
      <c r="PCZ5" s="390"/>
      <c r="PDA5" s="390"/>
      <c r="PDB5" s="390"/>
      <c r="PDC5" s="390"/>
      <c r="PDD5" s="390"/>
      <c r="PDE5" s="390"/>
      <c r="PDF5" s="390"/>
      <c r="PDG5" s="390"/>
      <c r="PDH5" s="390"/>
      <c r="PDI5" s="390"/>
      <c r="PDJ5" s="390"/>
      <c r="PDK5" s="390"/>
      <c r="PDL5" s="390"/>
      <c r="PDM5" s="390"/>
      <c r="PDN5" s="390"/>
      <c r="PDO5" s="390"/>
      <c r="PDP5" s="390"/>
      <c r="PDQ5" s="390"/>
      <c r="PDR5" s="390"/>
      <c r="PDS5" s="390"/>
      <c r="PDT5" s="390"/>
      <c r="PDU5" s="390"/>
      <c r="PDV5" s="390"/>
      <c r="PDW5" s="390"/>
      <c r="PDX5" s="390"/>
      <c r="PDY5" s="390"/>
      <c r="PDZ5" s="390"/>
      <c r="PEA5" s="390"/>
      <c r="PEB5" s="390"/>
      <c r="PEC5" s="390"/>
      <c r="PED5" s="390"/>
      <c r="PEE5" s="390"/>
      <c r="PEF5" s="390"/>
      <c r="PEG5" s="390"/>
      <c r="PEH5" s="390"/>
      <c r="PEI5" s="390"/>
      <c r="PEJ5" s="390"/>
      <c r="PEK5" s="390"/>
      <c r="PEL5" s="390"/>
      <c r="PEM5" s="390"/>
      <c r="PEN5" s="390"/>
      <c r="PEO5" s="390"/>
      <c r="PEP5" s="390"/>
      <c r="PEQ5" s="390"/>
      <c r="PER5" s="390"/>
      <c r="PES5" s="390"/>
      <c r="PET5" s="390"/>
      <c r="PEU5" s="390"/>
      <c r="PEV5" s="390"/>
      <c r="PEW5" s="390"/>
      <c r="PEX5" s="390"/>
      <c r="PEY5" s="390"/>
      <c r="PEZ5" s="390"/>
      <c r="PFA5" s="390"/>
      <c r="PFB5" s="390"/>
      <c r="PFC5" s="390"/>
      <c r="PFD5" s="390"/>
      <c r="PFE5" s="390"/>
      <c r="PFF5" s="390"/>
      <c r="PFG5" s="390"/>
      <c r="PFH5" s="390"/>
      <c r="PFI5" s="390"/>
      <c r="PFJ5" s="390"/>
      <c r="PFK5" s="390"/>
      <c r="PFL5" s="390"/>
      <c r="PFM5" s="390"/>
      <c r="PFN5" s="390"/>
      <c r="PFO5" s="390"/>
      <c r="PFP5" s="390"/>
      <c r="PFQ5" s="390"/>
      <c r="PFR5" s="390"/>
      <c r="PFS5" s="390"/>
      <c r="PFT5" s="390"/>
      <c r="PFU5" s="390"/>
      <c r="PFV5" s="390"/>
      <c r="PFW5" s="390"/>
      <c r="PFX5" s="390"/>
      <c r="PFY5" s="390"/>
      <c r="PFZ5" s="390"/>
      <c r="PGA5" s="390"/>
      <c r="PGB5" s="390"/>
      <c r="PGC5" s="390"/>
      <c r="PGD5" s="390"/>
      <c r="PGE5" s="390"/>
      <c r="PGF5" s="390"/>
      <c r="PGG5" s="390"/>
      <c r="PGH5" s="390"/>
      <c r="PGI5" s="390"/>
      <c r="PGJ5" s="390"/>
      <c r="PGK5" s="390"/>
      <c r="PGL5" s="390"/>
      <c r="PGM5" s="390"/>
      <c r="PGN5" s="390"/>
      <c r="PGO5" s="390"/>
      <c r="PGP5" s="390"/>
      <c r="PGQ5" s="390"/>
      <c r="PGR5" s="390"/>
      <c r="PGS5" s="390"/>
      <c r="PGT5" s="390"/>
      <c r="PGU5" s="390"/>
      <c r="PGV5" s="390"/>
      <c r="PGW5" s="390"/>
      <c r="PGX5" s="390"/>
      <c r="PGY5" s="390"/>
      <c r="PGZ5" s="390"/>
      <c r="PHA5" s="390"/>
      <c r="PHB5" s="390"/>
      <c r="PHC5" s="390"/>
      <c r="PHD5" s="390"/>
      <c r="PHE5" s="390"/>
      <c r="PHF5" s="390"/>
      <c r="PHG5" s="390"/>
      <c r="PHH5" s="390"/>
      <c r="PHI5" s="390"/>
      <c r="PHJ5" s="390"/>
      <c r="PHK5" s="390"/>
      <c r="PHL5" s="390"/>
      <c r="PHM5" s="390"/>
      <c r="PHN5" s="390"/>
      <c r="PHO5" s="390"/>
      <c r="PHP5" s="390"/>
      <c r="PHQ5" s="390"/>
      <c r="PHR5" s="390"/>
      <c r="PHS5" s="390"/>
      <c r="PHT5" s="390"/>
      <c r="PHU5" s="390"/>
      <c r="PHV5" s="390"/>
      <c r="PHW5" s="390"/>
      <c r="PHX5" s="390"/>
      <c r="PHY5" s="390"/>
      <c r="PHZ5" s="390"/>
      <c r="PIA5" s="390"/>
      <c r="PIB5" s="390"/>
      <c r="PIC5" s="390"/>
      <c r="PID5" s="390"/>
      <c r="PIE5" s="390"/>
      <c r="PIF5" s="390"/>
      <c r="PIG5" s="390"/>
      <c r="PIH5" s="390"/>
      <c r="PII5" s="390"/>
      <c r="PIJ5" s="390"/>
      <c r="PIK5" s="390"/>
      <c r="PIL5" s="390"/>
      <c r="PIM5" s="390"/>
      <c r="PIN5" s="390"/>
      <c r="PIO5" s="390"/>
      <c r="PIP5" s="390"/>
      <c r="PIQ5" s="390"/>
      <c r="PIR5" s="390"/>
      <c r="PIS5" s="390"/>
      <c r="PIT5" s="390"/>
      <c r="PIU5" s="390"/>
      <c r="PIV5" s="390"/>
      <c r="PIW5" s="390"/>
      <c r="PIX5" s="390"/>
      <c r="PIY5" s="390"/>
      <c r="PIZ5" s="390"/>
      <c r="PJA5" s="390"/>
      <c r="PJB5" s="390"/>
      <c r="PJC5" s="390"/>
      <c r="PJD5" s="390"/>
      <c r="PJE5" s="390"/>
      <c r="PJF5" s="390"/>
      <c r="PJG5" s="390"/>
      <c r="PJH5" s="390"/>
      <c r="PJI5" s="390"/>
      <c r="PJJ5" s="390"/>
      <c r="PJK5" s="390"/>
      <c r="PJL5" s="390"/>
      <c r="PJM5" s="390"/>
      <c r="PJN5" s="390"/>
      <c r="PJO5" s="390"/>
      <c r="PJP5" s="390"/>
      <c r="PJQ5" s="390"/>
      <c r="PJR5" s="390"/>
      <c r="PJS5" s="390"/>
      <c r="PJT5" s="390"/>
      <c r="PJU5" s="390"/>
      <c r="PJV5" s="390"/>
      <c r="PJW5" s="390"/>
      <c r="PJX5" s="390"/>
      <c r="PJY5" s="390"/>
      <c r="PJZ5" s="390"/>
      <c r="PKA5" s="390"/>
      <c r="PKB5" s="390"/>
      <c r="PKC5" s="390"/>
      <c r="PKD5" s="390"/>
      <c r="PKE5" s="390"/>
      <c r="PKF5" s="390"/>
      <c r="PKG5" s="390"/>
      <c r="PKH5" s="390"/>
      <c r="PKI5" s="390"/>
      <c r="PKJ5" s="390"/>
      <c r="PKK5" s="390"/>
      <c r="PKL5" s="390"/>
      <c r="PKM5" s="390"/>
      <c r="PKN5" s="390"/>
      <c r="PKO5" s="390"/>
      <c r="PKP5" s="390"/>
      <c r="PKQ5" s="390"/>
      <c r="PKR5" s="390"/>
      <c r="PKS5" s="390"/>
      <c r="PKT5" s="390"/>
      <c r="PKU5" s="390"/>
      <c r="PKV5" s="390"/>
      <c r="PKW5" s="390"/>
      <c r="PKX5" s="390"/>
      <c r="PKY5" s="390"/>
      <c r="PKZ5" s="390"/>
      <c r="PLA5" s="390"/>
      <c r="PLB5" s="390"/>
      <c r="PLC5" s="390"/>
      <c r="PLD5" s="390"/>
      <c r="PLE5" s="390"/>
      <c r="PLF5" s="390"/>
      <c r="PLG5" s="390"/>
      <c r="PLH5" s="390"/>
      <c r="PLI5" s="390"/>
      <c r="PLJ5" s="390"/>
      <c r="PLK5" s="390"/>
      <c r="PLL5" s="390"/>
      <c r="PLM5" s="390"/>
      <c r="PLN5" s="390"/>
      <c r="PLO5" s="390"/>
      <c r="PLP5" s="390"/>
      <c r="PLQ5" s="390"/>
      <c r="PLR5" s="390"/>
      <c r="PLS5" s="390"/>
      <c r="PLT5" s="390"/>
      <c r="PLU5" s="390"/>
      <c r="PLV5" s="390"/>
      <c r="PLW5" s="390"/>
      <c r="PLX5" s="390"/>
      <c r="PLY5" s="390"/>
      <c r="PLZ5" s="390"/>
      <c r="PMA5" s="390"/>
      <c r="PMB5" s="390"/>
      <c r="PMC5" s="390"/>
      <c r="PMD5" s="390"/>
      <c r="PME5" s="390"/>
      <c r="PMF5" s="390"/>
      <c r="PMG5" s="390"/>
      <c r="PMH5" s="390"/>
      <c r="PMI5" s="390"/>
      <c r="PMJ5" s="390"/>
      <c r="PMK5" s="390"/>
      <c r="PML5" s="390"/>
      <c r="PMM5" s="390"/>
      <c r="PMN5" s="390"/>
      <c r="PMO5" s="390"/>
      <c r="PMP5" s="390"/>
      <c r="PMQ5" s="390"/>
      <c r="PMR5" s="390"/>
      <c r="PMS5" s="390"/>
      <c r="PMT5" s="390"/>
      <c r="PMU5" s="390"/>
      <c r="PMV5" s="390"/>
      <c r="PMW5" s="390"/>
      <c r="PMX5" s="390"/>
      <c r="PMY5" s="390"/>
      <c r="PMZ5" s="390"/>
      <c r="PNA5" s="390"/>
      <c r="PNB5" s="390"/>
      <c r="PNC5" s="390"/>
      <c r="PND5" s="390"/>
      <c r="PNE5" s="390"/>
      <c r="PNF5" s="390"/>
      <c r="PNG5" s="390"/>
      <c r="PNH5" s="390"/>
      <c r="PNI5" s="390"/>
      <c r="PNJ5" s="390"/>
      <c r="PNK5" s="390"/>
      <c r="PNL5" s="390"/>
      <c r="PNM5" s="390"/>
      <c r="PNN5" s="390"/>
      <c r="PNO5" s="390"/>
      <c r="PNP5" s="390"/>
      <c r="PNQ5" s="390"/>
      <c r="PNR5" s="390"/>
      <c r="PNS5" s="390"/>
      <c r="PNT5" s="390"/>
      <c r="PNU5" s="390"/>
      <c r="PNV5" s="390"/>
      <c r="PNW5" s="390"/>
      <c r="PNX5" s="390"/>
      <c r="PNY5" s="390"/>
      <c r="PNZ5" s="390"/>
      <c r="POA5" s="390"/>
      <c r="POB5" s="390"/>
      <c r="POC5" s="390"/>
      <c r="POD5" s="390"/>
      <c r="POE5" s="390"/>
      <c r="POF5" s="390"/>
      <c r="POG5" s="390"/>
      <c r="POH5" s="390"/>
      <c r="POI5" s="390"/>
      <c r="POJ5" s="390"/>
      <c r="POK5" s="390"/>
      <c r="POL5" s="390"/>
      <c r="POM5" s="390"/>
      <c r="PON5" s="390"/>
      <c r="POO5" s="390"/>
      <c r="POP5" s="390"/>
      <c r="POQ5" s="390"/>
      <c r="POR5" s="390"/>
      <c r="POS5" s="390"/>
      <c r="POT5" s="390"/>
      <c r="POU5" s="390"/>
      <c r="POV5" s="390"/>
      <c r="POW5" s="390"/>
      <c r="POX5" s="390"/>
      <c r="POY5" s="390"/>
      <c r="POZ5" s="390"/>
      <c r="PPA5" s="390"/>
      <c r="PPB5" s="390"/>
      <c r="PPC5" s="390"/>
      <c r="PPD5" s="390"/>
      <c r="PPE5" s="390"/>
      <c r="PPF5" s="390"/>
      <c r="PPG5" s="390"/>
      <c r="PPH5" s="390"/>
      <c r="PPI5" s="390"/>
      <c r="PPJ5" s="390"/>
      <c r="PPK5" s="390"/>
      <c r="PPL5" s="390"/>
      <c r="PPM5" s="390"/>
      <c r="PPN5" s="390"/>
      <c r="PPO5" s="390"/>
      <c r="PPP5" s="390"/>
      <c r="PPQ5" s="390"/>
      <c r="PPR5" s="390"/>
      <c r="PPS5" s="390"/>
      <c r="PPT5" s="390"/>
      <c r="PPU5" s="390"/>
      <c r="PPV5" s="390"/>
      <c r="PPW5" s="390"/>
      <c r="PPX5" s="390"/>
      <c r="PPY5" s="390"/>
      <c r="PPZ5" s="390"/>
      <c r="PQA5" s="390"/>
      <c r="PQB5" s="390"/>
      <c r="PQC5" s="390"/>
      <c r="PQD5" s="390"/>
      <c r="PQE5" s="390"/>
      <c r="PQF5" s="390"/>
      <c r="PQG5" s="390"/>
      <c r="PQH5" s="390"/>
      <c r="PQI5" s="390"/>
      <c r="PQJ5" s="390"/>
      <c r="PQK5" s="390"/>
      <c r="PQL5" s="390"/>
      <c r="PQM5" s="390"/>
      <c r="PQN5" s="390"/>
      <c r="PQO5" s="390"/>
      <c r="PQP5" s="390"/>
      <c r="PQQ5" s="390"/>
      <c r="PQR5" s="390"/>
      <c r="PQS5" s="390"/>
      <c r="PQT5" s="390"/>
      <c r="PQU5" s="390"/>
      <c r="PQV5" s="390"/>
      <c r="PQW5" s="390"/>
      <c r="PQX5" s="390"/>
      <c r="PQY5" s="390"/>
      <c r="PQZ5" s="390"/>
      <c r="PRA5" s="390"/>
      <c r="PRB5" s="390"/>
      <c r="PRC5" s="390"/>
      <c r="PRD5" s="390"/>
      <c r="PRE5" s="390"/>
      <c r="PRF5" s="390"/>
      <c r="PRG5" s="390"/>
      <c r="PRH5" s="390"/>
      <c r="PRI5" s="390"/>
      <c r="PRJ5" s="390"/>
      <c r="PRK5" s="390"/>
      <c r="PRL5" s="390"/>
      <c r="PRM5" s="390"/>
      <c r="PRN5" s="390"/>
      <c r="PRO5" s="390"/>
      <c r="PRP5" s="390"/>
      <c r="PRQ5" s="390"/>
      <c r="PRR5" s="390"/>
      <c r="PRS5" s="390"/>
      <c r="PRT5" s="390"/>
      <c r="PRU5" s="390"/>
      <c r="PRV5" s="390"/>
      <c r="PRW5" s="390"/>
      <c r="PRX5" s="390"/>
      <c r="PRY5" s="390"/>
      <c r="PRZ5" s="390"/>
      <c r="PSA5" s="390"/>
      <c r="PSB5" s="390"/>
      <c r="PSC5" s="390"/>
      <c r="PSD5" s="390"/>
      <c r="PSE5" s="390"/>
      <c r="PSF5" s="390"/>
      <c r="PSG5" s="390"/>
      <c r="PSH5" s="390"/>
      <c r="PSI5" s="390"/>
      <c r="PSJ5" s="390"/>
      <c r="PSK5" s="390"/>
      <c r="PSL5" s="390"/>
      <c r="PSM5" s="390"/>
      <c r="PSN5" s="390"/>
      <c r="PSO5" s="390"/>
      <c r="PSP5" s="390"/>
      <c r="PSQ5" s="390"/>
      <c r="PSR5" s="390"/>
      <c r="PSS5" s="390"/>
      <c r="PST5" s="390"/>
      <c r="PSU5" s="390"/>
      <c r="PSV5" s="390"/>
      <c r="PSW5" s="390"/>
      <c r="PSX5" s="390"/>
      <c r="PSY5" s="390"/>
      <c r="PSZ5" s="390"/>
      <c r="PTA5" s="390"/>
      <c r="PTB5" s="390"/>
      <c r="PTC5" s="390"/>
      <c r="PTD5" s="390"/>
      <c r="PTE5" s="390"/>
      <c r="PTF5" s="390"/>
      <c r="PTG5" s="390"/>
      <c r="PTH5" s="390"/>
      <c r="PTI5" s="390"/>
      <c r="PTJ5" s="390"/>
      <c r="PTK5" s="390"/>
      <c r="PTL5" s="390"/>
      <c r="PTM5" s="390"/>
      <c r="PTN5" s="390"/>
      <c r="PTO5" s="390"/>
      <c r="PTP5" s="390"/>
      <c r="PTQ5" s="390"/>
      <c r="PTR5" s="390"/>
      <c r="PTS5" s="390"/>
      <c r="PTT5" s="390"/>
      <c r="PTU5" s="390"/>
      <c r="PTV5" s="390"/>
      <c r="PTW5" s="390"/>
      <c r="PTX5" s="390"/>
      <c r="PTY5" s="390"/>
      <c r="PTZ5" s="390"/>
      <c r="PUA5" s="390"/>
      <c r="PUB5" s="390"/>
      <c r="PUC5" s="390"/>
      <c r="PUD5" s="390"/>
      <c r="PUE5" s="390"/>
      <c r="PUF5" s="390"/>
      <c r="PUG5" s="390"/>
      <c r="PUH5" s="390"/>
      <c r="PUI5" s="390"/>
      <c r="PUJ5" s="390"/>
      <c r="PUK5" s="390"/>
      <c r="PUL5" s="390"/>
      <c r="PUM5" s="390"/>
      <c r="PUN5" s="390"/>
      <c r="PUO5" s="390"/>
      <c r="PUP5" s="390"/>
      <c r="PUQ5" s="390"/>
      <c r="PUR5" s="390"/>
      <c r="PUS5" s="390"/>
      <c r="PUT5" s="390"/>
      <c r="PUU5" s="390"/>
      <c r="PUV5" s="390"/>
      <c r="PUW5" s="390"/>
      <c r="PUX5" s="390"/>
      <c r="PUY5" s="390"/>
      <c r="PUZ5" s="390"/>
      <c r="PVA5" s="390"/>
      <c r="PVB5" s="390"/>
      <c r="PVC5" s="390"/>
      <c r="PVD5" s="390"/>
      <c r="PVE5" s="390"/>
      <c r="PVF5" s="390"/>
      <c r="PVG5" s="390"/>
      <c r="PVH5" s="390"/>
      <c r="PVI5" s="390"/>
      <c r="PVJ5" s="390"/>
      <c r="PVK5" s="390"/>
      <c r="PVL5" s="390"/>
      <c r="PVM5" s="390"/>
      <c r="PVN5" s="390"/>
      <c r="PVO5" s="390"/>
      <c r="PVP5" s="390"/>
      <c r="PVQ5" s="390"/>
      <c r="PVR5" s="390"/>
      <c r="PVS5" s="390"/>
      <c r="PVT5" s="390"/>
      <c r="PVU5" s="390"/>
      <c r="PVV5" s="390"/>
      <c r="PVW5" s="390"/>
      <c r="PVX5" s="390"/>
      <c r="PVY5" s="390"/>
      <c r="PVZ5" s="390"/>
      <c r="PWA5" s="390"/>
      <c r="PWB5" s="390"/>
      <c r="PWC5" s="390"/>
      <c r="PWD5" s="390"/>
      <c r="PWE5" s="390"/>
      <c r="PWF5" s="390"/>
      <c r="PWG5" s="390"/>
      <c r="PWH5" s="390"/>
      <c r="PWI5" s="390"/>
      <c r="PWJ5" s="390"/>
      <c r="PWK5" s="390"/>
      <c r="PWL5" s="390"/>
      <c r="PWM5" s="390"/>
      <c r="PWN5" s="390"/>
      <c r="PWO5" s="390"/>
      <c r="PWP5" s="390"/>
      <c r="PWQ5" s="390"/>
      <c r="PWR5" s="390"/>
      <c r="PWS5" s="390"/>
      <c r="PWT5" s="390"/>
      <c r="PWU5" s="390"/>
      <c r="PWV5" s="390"/>
      <c r="PWW5" s="390"/>
      <c r="PWX5" s="390"/>
      <c r="PWY5" s="390"/>
      <c r="PWZ5" s="390"/>
      <c r="PXA5" s="390"/>
      <c r="PXB5" s="390"/>
      <c r="PXC5" s="390"/>
      <c r="PXD5" s="390"/>
      <c r="PXE5" s="390"/>
      <c r="PXF5" s="390"/>
      <c r="PXG5" s="390"/>
      <c r="PXH5" s="390"/>
      <c r="PXI5" s="390"/>
      <c r="PXJ5" s="390"/>
      <c r="PXK5" s="390"/>
      <c r="PXL5" s="390"/>
      <c r="PXM5" s="390"/>
      <c r="PXN5" s="390"/>
      <c r="PXO5" s="390"/>
      <c r="PXP5" s="390"/>
      <c r="PXQ5" s="390"/>
      <c r="PXR5" s="390"/>
      <c r="PXS5" s="390"/>
      <c r="PXT5" s="390"/>
      <c r="PXU5" s="390"/>
      <c r="PXV5" s="390"/>
      <c r="PXW5" s="390"/>
      <c r="PXX5" s="390"/>
      <c r="PXY5" s="390"/>
      <c r="PXZ5" s="390"/>
      <c r="PYA5" s="390"/>
      <c r="PYB5" s="390"/>
      <c r="PYC5" s="390"/>
      <c r="PYD5" s="390"/>
      <c r="PYE5" s="390"/>
      <c r="PYF5" s="390"/>
      <c r="PYG5" s="390"/>
      <c r="PYH5" s="390"/>
      <c r="PYI5" s="390"/>
      <c r="PYJ5" s="390"/>
      <c r="PYK5" s="390"/>
      <c r="PYL5" s="390"/>
      <c r="PYM5" s="390"/>
      <c r="PYN5" s="390"/>
      <c r="PYO5" s="390"/>
      <c r="PYP5" s="390"/>
      <c r="PYQ5" s="390"/>
      <c r="PYR5" s="390"/>
      <c r="PYS5" s="390"/>
      <c r="PYT5" s="390"/>
      <c r="PYU5" s="390"/>
      <c r="PYV5" s="390"/>
      <c r="PYW5" s="390"/>
      <c r="PYX5" s="390"/>
      <c r="PYY5" s="390"/>
      <c r="PYZ5" s="390"/>
      <c r="PZA5" s="390"/>
      <c r="PZB5" s="390"/>
      <c r="PZC5" s="390"/>
      <c r="PZD5" s="390"/>
      <c r="PZE5" s="390"/>
      <c r="PZF5" s="390"/>
      <c r="PZG5" s="390"/>
      <c r="PZH5" s="390"/>
      <c r="PZI5" s="390"/>
      <c r="PZJ5" s="390"/>
      <c r="PZK5" s="390"/>
      <c r="PZL5" s="390"/>
      <c r="PZM5" s="390"/>
      <c r="PZN5" s="390"/>
      <c r="PZO5" s="390"/>
      <c r="PZP5" s="390"/>
      <c r="PZQ5" s="390"/>
      <c r="PZR5" s="390"/>
      <c r="PZS5" s="390"/>
      <c r="PZT5" s="390"/>
      <c r="PZU5" s="390"/>
      <c r="PZV5" s="390"/>
      <c r="PZW5" s="390"/>
      <c r="PZX5" s="390"/>
      <c r="PZY5" s="390"/>
      <c r="PZZ5" s="390"/>
      <c r="QAA5" s="390"/>
      <c r="QAB5" s="390"/>
      <c r="QAC5" s="390"/>
      <c r="QAD5" s="390"/>
      <c r="QAE5" s="390"/>
      <c r="QAF5" s="390"/>
      <c r="QAG5" s="390"/>
      <c r="QAH5" s="390"/>
      <c r="QAI5" s="390"/>
      <c r="QAJ5" s="390"/>
      <c r="QAK5" s="390"/>
      <c r="QAL5" s="390"/>
      <c r="QAM5" s="390"/>
      <c r="QAN5" s="390"/>
      <c r="QAO5" s="390"/>
      <c r="QAP5" s="390"/>
      <c r="QAQ5" s="390"/>
      <c r="QAR5" s="390"/>
      <c r="QAS5" s="390"/>
      <c r="QAT5" s="390"/>
      <c r="QAU5" s="390"/>
      <c r="QAV5" s="390"/>
      <c r="QAW5" s="390"/>
      <c r="QAX5" s="390"/>
      <c r="QAY5" s="390"/>
      <c r="QAZ5" s="390"/>
      <c r="QBA5" s="390"/>
      <c r="QBB5" s="390"/>
      <c r="QBC5" s="390"/>
      <c r="QBD5" s="390"/>
      <c r="QBE5" s="390"/>
      <c r="QBF5" s="390"/>
      <c r="QBG5" s="390"/>
      <c r="QBH5" s="390"/>
      <c r="QBI5" s="390"/>
      <c r="QBJ5" s="390"/>
      <c r="QBK5" s="390"/>
      <c r="QBL5" s="390"/>
      <c r="QBM5" s="390"/>
      <c r="QBN5" s="390"/>
      <c r="QBO5" s="390"/>
      <c r="QBP5" s="390"/>
      <c r="QBQ5" s="390"/>
      <c r="QBR5" s="390"/>
      <c r="QBS5" s="390"/>
      <c r="QBT5" s="390"/>
      <c r="QBU5" s="390"/>
      <c r="QBV5" s="390"/>
      <c r="QBW5" s="390"/>
      <c r="QBX5" s="390"/>
      <c r="QBY5" s="390"/>
      <c r="QBZ5" s="390"/>
      <c r="QCA5" s="390"/>
      <c r="QCB5" s="390"/>
      <c r="QCC5" s="390"/>
      <c r="QCD5" s="390"/>
      <c r="QCE5" s="390"/>
      <c r="QCF5" s="390"/>
      <c r="QCG5" s="390"/>
      <c r="QCH5" s="390"/>
      <c r="QCI5" s="390"/>
      <c r="QCJ5" s="390"/>
      <c r="QCK5" s="390"/>
      <c r="QCL5" s="390"/>
      <c r="QCM5" s="390"/>
      <c r="QCN5" s="390"/>
      <c r="QCO5" s="390"/>
      <c r="QCP5" s="390"/>
      <c r="QCQ5" s="390"/>
      <c r="QCR5" s="390"/>
      <c r="QCS5" s="390"/>
      <c r="QCT5" s="390"/>
      <c r="QCU5" s="390"/>
      <c r="QCV5" s="390"/>
      <c r="QCW5" s="390"/>
      <c r="QCX5" s="390"/>
      <c r="QCY5" s="390"/>
      <c r="QCZ5" s="390"/>
      <c r="QDA5" s="390"/>
      <c r="QDB5" s="390"/>
      <c r="QDC5" s="390"/>
      <c r="QDD5" s="390"/>
      <c r="QDE5" s="390"/>
      <c r="QDF5" s="390"/>
      <c r="QDG5" s="390"/>
      <c r="QDH5" s="390"/>
      <c r="QDI5" s="390"/>
      <c r="QDJ5" s="390"/>
      <c r="QDK5" s="390"/>
      <c r="QDL5" s="390"/>
      <c r="QDM5" s="390"/>
      <c r="QDN5" s="390"/>
      <c r="QDO5" s="390"/>
      <c r="QDP5" s="390"/>
      <c r="QDQ5" s="390"/>
      <c r="QDR5" s="390"/>
      <c r="QDS5" s="390"/>
      <c r="QDT5" s="390"/>
      <c r="QDU5" s="390"/>
      <c r="QDV5" s="390"/>
      <c r="QDW5" s="390"/>
      <c r="QDX5" s="390"/>
      <c r="QDY5" s="390"/>
      <c r="QDZ5" s="390"/>
      <c r="QEA5" s="390"/>
      <c r="QEB5" s="390"/>
      <c r="QEC5" s="390"/>
      <c r="QED5" s="390"/>
      <c r="QEE5" s="390"/>
      <c r="QEF5" s="390"/>
      <c r="QEG5" s="390"/>
      <c r="QEH5" s="390"/>
      <c r="QEI5" s="390"/>
      <c r="QEJ5" s="390"/>
      <c r="QEK5" s="390"/>
      <c r="QEL5" s="390"/>
      <c r="QEM5" s="390"/>
      <c r="QEN5" s="390"/>
      <c r="QEO5" s="390"/>
      <c r="QEP5" s="390"/>
      <c r="QEQ5" s="390"/>
      <c r="QER5" s="390"/>
      <c r="QES5" s="390"/>
      <c r="QET5" s="390"/>
      <c r="QEU5" s="390"/>
      <c r="QEV5" s="390"/>
      <c r="QEW5" s="390"/>
      <c r="QEX5" s="390"/>
      <c r="QEY5" s="390"/>
      <c r="QEZ5" s="390"/>
      <c r="QFA5" s="390"/>
      <c r="QFB5" s="390"/>
      <c r="QFC5" s="390"/>
      <c r="QFD5" s="390"/>
      <c r="QFE5" s="390"/>
      <c r="QFF5" s="390"/>
      <c r="QFG5" s="390"/>
      <c r="QFH5" s="390"/>
      <c r="QFI5" s="390"/>
      <c r="QFJ5" s="390"/>
      <c r="QFK5" s="390"/>
      <c r="QFL5" s="390"/>
      <c r="QFM5" s="390"/>
      <c r="QFN5" s="390"/>
      <c r="QFO5" s="390"/>
      <c r="QFP5" s="390"/>
      <c r="QFQ5" s="390"/>
      <c r="QFR5" s="390"/>
      <c r="QFS5" s="390"/>
      <c r="QFT5" s="390"/>
      <c r="QFU5" s="390"/>
      <c r="QFV5" s="390"/>
      <c r="QFW5" s="390"/>
      <c r="QFX5" s="390"/>
      <c r="QFY5" s="390"/>
      <c r="QFZ5" s="390"/>
      <c r="QGA5" s="390"/>
      <c r="QGB5" s="390"/>
      <c r="QGC5" s="390"/>
      <c r="QGD5" s="390"/>
      <c r="QGE5" s="390"/>
      <c r="QGF5" s="390"/>
      <c r="QGG5" s="390"/>
      <c r="QGH5" s="390"/>
      <c r="QGI5" s="390"/>
      <c r="QGJ5" s="390"/>
      <c r="QGK5" s="390"/>
      <c r="QGL5" s="390"/>
      <c r="QGM5" s="390"/>
      <c r="QGN5" s="390"/>
      <c r="QGO5" s="390"/>
      <c r="QGP5" s="390"/>
      <c r="QGQ5" s="390"/>
      <c r="QGR5" s="390"/>
      <c r="QGS5" s="390"/>
      <c r="QGT5" s="390"/>
      <c r="QGU5" s="390"/>
      <c r="QGV5" s="390"/>
      <c r="QGW5" s="390"/>
      <c r="QGX5" s="390"/>
      <c r="QGY5" s="390"/>
      <c r="QGZ5" s="390"/>
      <c r="QHA5" s="390"/>
      <c r="QHB5" s="390"/>
      <c r="QHC5" s="390"/>
      <c r="QHD5" s="390"/>
      <c r="QHE5" s="390"/>
      <c r="QHF5" s="390"/>
      <c r="QHG5" s="390"/>
      <c r="QHH5" s="390"/>
      <c r="QHI5" s="390"/>
      <c r="QHJ5" s="390"/>
      <c r="QHK5" s="390"/>
      <c r="QHL5" s="390"/>
      <c r="QHM5" s="390"/>
      <c r="QHN5" s="390"/>
      <c r="QHO5" s="390"/>
      <c r="QHP5" s="390"/>
      <c r="QHQ5" s="390"/>
      <c r="QHR5" s="390"/>
      <c r="QHS5" s="390"/>
      <c r="QHT5" s="390"/>
      <c r="QHU5" s="390"/>
      <c r="QHV5" s="390"/>
      <c r="QHW5" s="390"/>
      <c r="QHX5" s="390"/>
      <c r="QHY5" s="390"/>
      <c r="QHZ5" s="390"/>
      <c r="QIA5" s="390"/>
      <c r="QIB5" s="390"/>
      <c r="QIC5" s="390"/>
      <c r="QID5" s="390"/>
      <c r="QIE5" s="390"/>
      <c r="QIF5" s="390"/>
      <c r="QIG5" s="390"/>
      <c r="QIH5" s="390"/>
      <c r="QII5" s="390"/>
      <c r="QIJ5" s="390"/>
      <c r="QIK5" s="390"/>
      <c r="QIL5" s="390"/>
      <c r="QIM5" s="390"/>
      <c r="QIN5" s="390"/>
      <c r="QIO5" s="390"/>
      <c r="QIP5" s="390"/>
      <c r="QIQ5" s="390"/>
      <c r="QIR5" s="390"/>
      <c r="QIS5" s="390"/>
      <c r="QIT5" s="390"/>
      <c r="QIU5" s="390"/>
      <c r="QIV5" s="390"/>
      <c r="QIW5" s="390"/>
      <c r="QIX5" s="390"/>
      <c r="QIY5" s="390"/>
      <c r="QIZ5" s="390"/>
      <c r="QJA5" s="390"/>
      <c r="QJB5" s="390"/>
      <c r="QJC5" s="390"/>
      <c r="QJD5" s="390"/>
      <c r="QJE5" s="390"/>
      <c r="QJF5" s="390"/>
      <c r="QJG5" s="390"/>
      <c r="QJH5" s="390"/>
      <c r="QJI5" s="390"/>
      <c r="QJJ5" s="390"/>
      <c r="QJK5" s="390"/>
      <c r="QJL5" s="390"/>
      <c r="QJM5" s="390"/>
      <c r="QJN5" s="390"/>
      <c r="QJO5" s="390"/>
      <c r="QJP5" s="390"/>
      <c r="QJQ5" s="390"/>
      <c r="QJR5" s="390"/>
      <c r="QJS5" s="390"/>
      <c r="QJT5" s="390"/>
      <c r="QJU5" s="390"/>
      <c r="QJV5" s="390"/>
      <c r="QJW5" s="390"/>
      <c r="QJX5" s="390"/>
      <c r="QJY5" s="390"/>
      <c r="QJZ5" s="390"/>
      <c r="QKA5" s="390"/>
      <c r="QKB5" s="390"/>
      <c r="QKC5" s="390"/>
      <c r="QKD5" s="390"/>
      <c r="QKE5" s="390"/>
      <c r="QKF5" s="390"/>
      <c r="QKG5" s="390"/>
      <c r="QKH5" s="390"/>
      <c r="QKI5" s="390"/>
      <c r="QKJ5" s="390"/>
      <c r="QKK5" s="390"/>
      <c r="QKL5" s="390"/>
      <c r="QKM5" s="390"/>
      <c r="QKN5" s="390"/>
      <c r="QKO5" s="390"/>
      <c r="QKP5" s="390"/>
      <c r="QKQ5" s="390"/>
      <c r="QKR5" s="390"/>
      <c r="QKS5" s="390"/>
      <c r="QKT5" s="390"/>
      <c r="QKU5" s="390"/>
      <c r="QKV5" s="390"/>
      <c r="QKW5" s="390"/>
      <c r="QKX5" s="390"/>
      <c r="QKY5" s="390"/>
      <c r="QKZ5" s="390"/>
      <c r="QLA5" s="390"/>
      <c r="QLB5" s="390"/>
      <c r="QLC5" s="390"/>
      <c r="QLD5" s="390"/>
      <c r="QLE5" s="390"/>
      <c r="QLF5" s="390"/>
      <c r="QLG5" s="390"/>
      <c r="QLH5" s="390"/>
      <c r="QLI5" s="390"/>
      <c r="QLJ5" s="390"/>
      <c r="QLK5" s="390"/>
      <c r="QLL5" s="390"/>
      <c r="QLM5" s="390"/>
      <c r="QLN5" s="390"/>
      <c r="QLO5" s="390"/>
      <c r="QLP5" s="390"/>
      <c r="QLQ5" s="390"/>
      <c r="QLR5" s="390"/>
      <c r="QLS5" s="390"/>
      <c r="QLT5" s="390"/>
      <c r="QLU5" s="390"/>
      <c r="QLV5" s="390"/>
      <c r="QLW5" s="390"/>
      <c r="QLX5" s="390"/>
      <c r="QLY5" s="390"/>
      <c r="QLZ5" s="390"/>
      <c r="QMA5" s="390"/>
      <c r="QMB5" s="390"/>
      <c r="QMC5" s="390"/>
      <c r="QMD5" s="390"/>
      <c r="QME5" s="390"/>
      <c r="QMF5" s="390"/>
      <c r="QMG5" s="390"/>
      <c r="QMH5" s="390"/>
      <c r="QMI5" s="390"/>
      <c r="QMJ5" s="390"/>
      <c r="QMK5" s="390"/>
      <c r="QML5" s="390"/>
      <c r="QMM5" s="390"/>
      <c r="QMN5" s="390"/>
      <c r="QMO5" s="390"/>
      <c r="QMP5" s="390"/>
      <c r="QMQ5" s="390"/>
      <c r="QMR5" s="390"/>
      <c r="QMS5" s="390"/>
      <c r="QMT5" s="390"/>
      <c r="QMU5" s="390"/>
      <c r="QMV5" s="390"/>
      <c r="QMW5" s="390"/>
      <c r="QMX5" s="390"/>
      <c r="QMY5" s="390"/>
      <c r="QMZ5" s="390"/>
      <c r="QNA5" s="390"/>
      <c r="QNB5" s="390"/>
      <c r="QNC5" s="390"/>
      <c r="QND5" s="390"/>
      <c r="QNE5" s="390"/>
      <c r="QNF5" s="390"/>
      <c r="QNG5" s="390"/>
      <c r="QNH5" s="390"/>
      <c r="QNI5" s="390"/>
      <c r="QNJ5" s="390"/>
      <c r="QNK5" s="390"/>
      <c r="QNL5" s="390"/>
      <c r="QNM5" s="390"/>
      <c r="QNN5" s="390"/>
      <c r="QNO5" s="390"/>
      <c r="QNP5" s="390"/>
      <c r="QNQ5" s="390"/>
      <c r="QNR5" s="390"/>
      <c r="QNS5" s="390"/>
      <c r="QNT5" s="390"/>
      <c r="QNU5" s="390"/>
      <c r="QNV5" s="390"/>
      <c r="QNW5" s="390"/>
      <c r="QNX5" s="390"/>
      <c r="QNY5" s="390"/>
      <c r="QNZ5" s="390"/>
      <c r="QOA5" s="390"/>
      <c r="QOB5" s="390"/>
      <c r="QOC5" s="390"/>
      <c r="QOD5" s="390"/>
      <c r="QOE5" s="390"/>
      <c r="QOF5" s="390"/>
      <c r="QOG5" s="390"/>
      <c r="QOH5" s="390"/>
      <c r="QOI5" s="390"/>
      <c r="QOJ5" s="390"/>
      <c r="QOK5" s="390"/>
      <c r="QOL5" s="390"/>
      <c r="QOM5" s="390"/>
      <c r="QON5" s="390"/>
      <c r="QOO5" s="390"/>
      <c r="QOP5" s="390"/>
      <c r="QOQ5" s="390"/>
      <c r="QOR5" s="390"/>
      <c r="QOS5" s="390"/>
      <c r="QOT5" s="390"/>
      <c r="QOU5" s="390"/>
      <c r="QOV5" s="390"/>
      <c r="QOW5" s="390"/>
      <c r="QOX5" s="390"/>
      <c r="QOY5" s="390"/>
      <c r="QOZ5" s="390"/>
      <c r="QPA5" s="390"/>
      <c r="QPB5" s="390"/>
      <c r="QPC5" s="390"/>
      <c r="QPD5" s="390"/>
      <c r="QPE5" s="390"/>
      <c r="QPF5" s="390"/>
      <c r="QPG5" s="390"/>
      <c r="QPH5" s="390"/>
      <c r="QPI5" s="390"/>
      <c r="QPJ5" s="390"/>
      <c r="QPK5" s="390"/>
      <c r="QPL5" s="390"/>
      <c r="QPM5" s="390"/>
      <c r="QPN5" s="390"/>
      <c r="QPO5" s="390"/>
      <c r="QPP5" s="390"/>
      <c r="QPQ5" s="390"/>
      <c r="QPR5" s="390"/>
      <c r="QPS5" s="390"/>
      <c r="QPT5" s="390"/>
      <c r="QPU5" s="390"/>
      <c r="QPV5" s="390"/>
      <c r="QPW5" s="390"/>
      <c r="QPX5" s="390"/>
      <c r="QPY5" s="390"/>
      <c r="QPZ5" s="390"/>
      <c r="QQA5" s="390"/>
      <c r="QQB5" s="390"/>
      <c r="QQC5" s="390"/>
      <c r="QQD5" s="390"/>
      <c r="QQE5" s="390"/>
      <c r="QQF5" s="390"/>
      <c r="QQG5" s="390"/>
      <c r="QQH5" s="390"/>
      <c r="QQI5" s="390"/>
      <c r="QQJ5" s="390"/>
      <c r="QQK5" s="390"/>
      <c r="QQL5" s="390"/>
      <c r="QQM5" s="390"/>
      <c r="QQN5" s="390"/>
      <c r="QQO5" s="390"/>
      <c r="QQP5" s="390"/>
      <c r="QQQ5" s="390"/>
      <c r="QQR5" s="390"/>
      <c r="QQS5" s="390"/>
      <c r="QQT5" s="390"/>
      <c r="QQU5" s="390"/>
      <c r="QQV5" s="390"/>
      <c r="QQW5" s="390"/>
      <c r="QQX5" s="390"/>
      <c r="QQY5" s="390"/>
      <c r="QQZ5" s="390"/>
      <c r="QRA5" s="390"/>
      <c r="QRB5" s="390"/>
      <c r="QRC5" s="390"/>
      <c r="QRD5" s="390"/>
      <c r="QRE5" s="390"/>
      <c r="QRF5" s="390"/>
      <c r="QRG5" s="390"/>
      <c r="QRH5" s="390"/>
      <c r="QRI5" s="390"/>
      <c r="QRJ5" s="390"/>
      <c r="QRK5" s="390"/>
      <c r="QRL5" s="390"/>
      <c r="QRM5" s="390"/>
      <c r="QRN5" s="390"/>
      <c r="QRO5" s="390"/>
      <c r="QRP5" s="390"/>
      <c r="QRQ5" s="390"/>
      <c r="QRR5" s="390"/>
      <c r="QRS5" s="390"/>
      <c r="QRT5" s="390"/>
      <c r="QRU5" s="390"/>
      <c r="QRV5" s="390"/>
      <c r="QRW5" s="390"/>
      <c r="QRX5" s="390"/>
      <c r="QRY5" s="390"/>
      <c r="QRZ5" s="390"/>
      <c r="QSA5" s="390"/>
      <c r="QSB5" s="390"/>
      <c r="QSC5" s="390"/>
      <c r="QSD5" s="390"/>
      <c r="QSE5" s="390"/>
      <c r="QSF5" s="390"/>
      <c r="QSG5" s="390"/>
      <c r="QSH5" s="390"/>
      <c r="QSI5" s="390"/>
      <c r="QSJ5" s="390"/>
      <c r="QSK5" s="390"/>
      <c r="QSL5" s="390"/>
      <c r="QSM5" s="390"/>
      <c r="QSN5" s="390"/>
      <c r="QSO5" s="390"/>
      <c r="QSP5" s="390"/>
      <c r="QSQ5" s="390"/>
      <c r="QSR5" s="390"/>
      <c r="QSS5" s="390"/>
      <c r="QST5" s="390"/>
      <c r="QSU5" s="390"/>
      <c r="QSV5" s="390"/>
      <c r="QSW5" s="390"/>
      <c r="QSX5" s="390"/>
      <c r="QSY5" s="390"/>
      <c r="QSZ5" s="390"/>
      <c r="QTA5" s="390"/>
      <c r="QTB5" s="390"/>
      <c r="QTC5" s="390"/>
      <c r="QTD5" s="390"/>
      <c r="QTE5" s="390"/>
      <c r="QTF5" s="390"/>
      <c r="QTG5" s="390"/>
      <c r="QTH5" s="390"/>
      <c r="QTI5" s="390"/>
      <c r="QTJ5" s="390"/>
      <c r="QTK5" s="390"/>
      <c r="QTL5" s="390"/>
      <c r="QTM5" s="390"/>
      <c r="QTN5" s="390"/>
      <c r="QTO5" s="390"/>
      <c r="QTP5" s="390"/>
      <c r="QTQ5" s="390"/>
      <c r="QTR5" s="390"/>
      <c r="QTS5" s="390"/>
      <c r="QTT5" s="390"/>
      <c r="QTU5" s="390"/>
      <c r="QTV5" s="390"/>
      <c r="QTW5" s="390"/>
      <c r="QTX5" s="390"/>
      <c r="QTY5" s="390"/>
      <c r="QTZ5" s="390"/>
      <c r="QUA5" s="390"/>
      <c r="QUB5" s="390"/>
      <c r="QUC5" s="390"/>
      <c r="QUD5" s="390"/>
      <c r="QUE5" s="390"/>
      <c r="QUF5" s="390"/>
      <c r="QUG5" s="390"/>
      <c r="QUH5" s="390"/>
      <c r="QUI5" s="390"/>
      <c r="QUJ5" s="390"/>
      <c r="QUK5" s="390"/>
      <c r="QUL5" s="390"/>
      <c r="QUM5" s="390"/>
      <c r="QUN5" s="390"/>
      <c r="QUO5" s="390"/>
      <c r="QUP5" s="390"/>
      <c r="QUQ5" s="390"/>
      <c r="QUR5" s="390"/>
      <c r="QUS5" s="390"/>
      <c r="QUT5" s="390"/>
      <c r="QUU5" s="390"/>
      <c r="QUV5" s="390"/>
      <c r="QUW5" s="390"/>
      <c r="QUX5" s="390"/>
      <c r="QUY5" s="390"/>
      <c r="QUZ5" s="390"/>
      <c r="QVA5" s="390"/>
      <c r="QVB5" s="390"/>
      <c r="QVC5" s="390"/>
      <c r="QVD5" s="390"/>
      <c r="QVE5" s="390"/>
      <c r="QVF5" s="390"/>
      <c r="QVG5" s="390"/>
      <c r="QVH5" s="390"/>
      <c r="QVI5" s="390"/>
      <c r="QVJ5" s="390"/>
      <c r="QVK5" s="390"/>
      <c r="QVL5" s="390"/>
      <c r="QVM5" s="390"/>
      <c r="QVN5" s="390"/>
      <c r="QVO5" s="390"/>
      <c r="QVP5" s="390"/>
      <c r="QVQ5" s="390"/>
      <c r="QVR5" s="390"/>
      <c r="QVS5" s="390"/>
      <c r="QVT5" s="390"/>
      <c r="QVU5" s="390"/>
      <c r="QVV5" s="390"/>
      <c r="QVW5" s="390"/>
      <c r="QVX5" s="390"/>
      <c r="QVY5" s="390"/>
      <c r="QVZ5" s="390"/>
      <c r="QWA5" s="390"/>
      <c r="QWB5" s="390"/>
      <c r="QWC5" s="390"/>
      <c r="QWD5" s="390"/>
      <c r="QWE5" s="390"/>
      <c r="QWF5" s="390"/>
      <c r="QWG5" s="390"/>
      <c r="QWH5" s="390"/>
      <c r="QWI5" s="390"/>
      <c r="QWJ5" s="390"/>
      <c r="QWK5" s="390"/>
      <c r="QWL5" s="390"/>
      <c r="QWM5" s="390"/>
      <c r="QWN5" s="390"/>
      <c r="QWO5" s="390"/>
      <c r="QWP5" s="390"/>
      <c r="QWQ5" s="390"/>
      <c r="QWR5" s="390"/>
      <c r="QWS5" s="390"/>
      <c r="QWT5" s="390"/>
      <c r="QWU5" s="390"/>
      <c r="QWV5" s="390"/>
      <c r="QWW5" s="390"/>
      <c r="QWX5" s="390"/>
      <c r="QWY5" s="390"/>
      <c r="QWZ5" s="390"/>
      <c r="QXA5" s="390"/>
      <c r="QXB5" s="390"/>
      <c r="QXC5" s="390"/>
      <c r="QXD5" s="390"/>
      <c r="QXE5" s="390"/>
      <c r="QXF5" s="390"/>
      <c r="QXG5" s="390"/>
      <c r="QXH5" s="390"/>
      <c r="QXI5" s="390"/>
      <c r="QXJ5" s="390"/>
      <c r="QXK5" s="390"/>
      <c r="QXL5" s="390"/>
      <c r="QXM5" s="390"/>
      <c r="QXN5" s="390"/>
      <c r="QXO5" s="390"/>
      <c r="QXP5" s="390"/>
      <c r="QXQ5" s="390"/>
      <c r="QXR5" s="390"/>
      <c r="QXS5" s="390"/>
      <c r="QXT5" s="390"/>
      <c r="QXU5" s="390"/>
      <c r="QXV5" s="390"/>
      <c r="QXW5" s="390"/>
      <c r="QXX5" s="390"/>
      <c r="QXY5" s="390"/>
      <c r="QXZ5" s="390"/>
      <c r="QYA5" s="390"/>
      <c r="QYB5" s="390"/>
      <c r="QYC5" s="390"/>
      <c r="QYD5" s="390"/>
      <c r="QYE5" s="390"/>
      <c r="QYF5" s="390"/>
      <c r="QYG5" s="390"/>
      <c r="QYH5" s="390"/>
      <c r="QYI5" s="390"/>
      <c r="QYJ5" s="390"/>
      <c r="QYK5" s="390"/>
      <c r="QYL5" s="390"/>
      <c r="QYM5" s="390"/>
      <c r="QYN5" s="390"/>
      <c r="QYO5" s="390"/>
      <c r="QYP5" s="390"/>
      <c r="QYQ5" s="390"/>
      <c r="QYR5" s="390"/>
      <c r="QYS5" s="390"/>
      <c r="QYT5" s="390"/>
      <c r="QYU5" s="390"/>
      <c r="QYV5" s="390"/>
      <c r="QYW5" s="390"/>
      <c r="QYX5" s="390"/>
      <c r="QYY5" s="390"/>
      <c r="QYZ5" s="390"/>
      <c r="QZA5" s="390"/>
      <c r="QZB5" s="390"/>
      <c r="QZC5" s="390"/>
      <c r="QZD5" s="390"/>
      <c r="QZE5" s="390"/>
      <c r="QZF5" s="390"/>
      <c r="QZG5" s="390"/>
      <c r="QZH5" s="390"/>
      <c r="QZI5" s="390"/>
      <c r="QZJ5" s="390"/>
      <c r="QZK5" s="390"/>
      <c r="QZL5" s="390"/>
      <c r="QZM5" s="390"/>
      <c r="QZN5" s="390"/>
      <c r="QZO5" s="390"/>
      <c r="QZP5" s="390"/>
      <c r="QZQ5" s="390"/>
      <c r="QZR5" s="390"/>
      <c r="QZS5" s="390"/>
      <c r="QZT5" s="390"/>
      <c r="QZU5" s="390"/>
      <c r="QZV5" s="390"/>
      <c r="QZW5" s="390"/>
      <c r="QZX5" s="390"/>
      <c r="QZY5" s="390"/>
      <c r="QZZ5" s="390"/>
      <c r="RAA5" s="390"/>
      <c r="RAB5" s="390"/>
      <c r="RAC5" s="390"/>
      <c r="RAD5" s="390"/>
      <c r="RAE5" s="390"/>
      <c r="RAF5" s="390"/>
      <c r="RAG5" s="390"/>
      <c r="RAH5" s="390"/>
      <c r="RAI5" s="390"/>
      <c r="RAJ5" s="390"/>
      <c r="RAK5" s="390"/>
      <c r="RAL5" s="390"/>
      <c r="RAM5" s="390"/>
      <c r="RAN5" s="390"/>
      <c r="RAO5" s="390"/>
      <c r="RAP5" s="390"/>
      <c r="RAQ5" s="390"/>
      <c r="RAR5" s="390"/>
      <c r="RAS5" s="390"/>
      <c r="RAT5" s="390"/>
      <c r="RAU5" s="390"/>
      <c r="RAV5" s="390"/>
      <c r="RAW5" s="390"/>
      <c r="RAX5" s="390"/>
      <c r="RAY5" s="390"/>
      <c r="RAZ5" s="390"/>
      <c r="RBA5" s="390"/>
      <c r="RBB5" s="390"/>
      <c r="RBC5" s="390"/>
      <c r="RBD5" s="390"/>
      <c r="RBE5" s="390"/>
      <c r="RBF5" s="390"/>
      <c r="RBG5" s="390"/>
      <c r="RBH5" s="390"/>
      <c r="RBI5" s="390"/>
      <c r="RBJ5" s="390"/>
      <c r="RBK5" s="390"/>
      <c r="RBL5" s="390"/>
      <c r="RBM5" s="390"/>
      <c r="RBN5" s="390"/>
      <c r="RBO5" s="390"/>
      <c r="RBP5" s="390"/>
      <c r="RBQ5" s="390"/>
      <c r="RBR5" s="390"/>
      <c r="RBS5" s="390"/>
      <c r="RBT5" s="390"/>
      <c r="RBU5" s="390"/>
      <c r="RBV5" s="390"/>
      <c r="RBW5" s="390"/>
      <c r="RBX5" s="390"/>
      <c r="RBY5" s="390"/>
      <c r="RBZ5" s="390"/>
      <c r="RCA5" s="390"/>
      <c r="RCB5" s="390"/>
      <c r="RCC5" s="390"/>
      <c r="RCD5" s="390"/>
      <c r="RCE5" s="390"/>
      <c r="RCF5" s="390"/>
      <c r="RCG5" s="390"/>
      <c r="RCH5" s="390"/>
      <c r="RCI5" s="390"/>
      <c r="RCJ5" s="390"/>
      <c r="RCK5" s="390"/>
      <c r="RCL5" s="390"/>
      <c r="RCM5" s="390"/>
      <c r="RCN5" s="390"/>
      <c r="RCO5" s="390"/>
      <c r="RCP5" s="390"/>
      <c r="RCQ5" s="390"/>
      <c r="RCR5" s="390"/>
      <c r="RCS5" s="390"/>
      <c r="RCT5" s="390"/>
      <c r="RCU5" s="390"/>
      <c r="RCV5" s="390"/>
      <c r="RCW5" s="390"/>
      <c r="RCX5" s="390"/>
      <c r="RCY5" s="390"/>
      <c r="RCZ5" s="390"/>
      <c r="RDA5" s="390"/>
      <c r="RDB5" s="390"/>
      <c r="RDC5" s="390"/>
      <c r="RDD5" s="390"/>
      <c r="RDE5" s="390"/>
      <c r="RDF5" s="390"/>
      <c r="RDG5" s="390"/>
      <c r="RDH5" s="390"/>
      <c r="RDI5" s="390"/>
      <c r="RDJ5" s="390"/>
      <c r="RDK5" s="390"/>
      <c r="RDL5" s="390"/>
      <c r="RDM5" s="390"/>
      <c r="RDN5" s="390"/>
      <c r="RDO5" s="390"/>
      <c r="RDP5" s="390"/>
      <c r="RDQ5" s="390"/>
      <c r="RDR5" s="390"/>
      <c r="RDS5" s="390"/>
      <c r="RDT5" s="390"/>
      <c r="RDU5" s="390"/>
      <c r="RDV5" s="390"/>
      <c r="RDW5" s="390"/>
      <c r="RDX5" s="390"/>
      <c r="RDY5" s="390"/>
      <c r="RDZ5" s="390"/>
      <c r="REA5" s="390"/>
      <c r="REB5" s="390"/>
      <c r="REC5" s="390"/>
      <c r="RED5" s="390"/>
      <c r="REE5" s="390"/>
      <c r="REF5" s="390"/>
      <c r="REG5" s="390"/>
      <c r="REH5" s="390"/>
      <c r="REI5" s="390"/>
      <c r="REJ5" s="390"/>
      <c r="REK5" s="390"/>
      <c r="REL5" s="390"/>
      <c r="REM5" s="390"/>
      <c r="REN5" s="390"/>
      <c r="REO5" s="390"/>
      <c r="REP5" s="390"/>
      <c r="REQ5" s="390"/>
      <c r="RER5" s="390"/>
      <c r="RES5" s="390"/>
      <c r="RET5" s="390"/>
      <c r="REU5" s="390"/>
      <c r="REV5" s="390"/>
      <c r="REW5" s="390"/>
      <c r="REX5" s="390"/>
      <c r="REY5" s="390"/>
      <c r="REZ5" s="390"/>
      <c r="RFA5" s="390"/>
      <c r="RFB5" s="390"/>
      <c r="RFC5" s="390"/>
      <c r="RFD5" s="390"/>
      <c r="RFE5" s="390"/>
      <c r="RFF5" s="390"/>
      <c r="RFG5" s="390"/>
      <c r="RFH5" s="390"/>
      <c r="RFI5" s="390"/>
      <c r="RFJ5" s="390"/>
      <c r="RFK5" s="390"/>
      <c r="RFL5" s="390"/>
      <c r="RFM5" s="390"/>
      <c r="RFN5" s="390"/>
      <c r="RFO5" s="390"/>
      <c r="RFP5" s="390"/>
      <c r="RFQ5" s="390"/>
      <c r="RFR5" s="390"/>
      <c r="RFS5" s="390"/>
      <c r="RFT5" s="390"/>
      <c r="RFU5" s="390"/>
      <c r="RFV5" s="390"/>
      <c r="RFW5" s="390"/>
      <c r="RFX5" s="390"/>
      <c r="RFY5" s="390"/>
      <c r="RFZ5" s="390"/>
      <c r="RGA5" s="390"/>
      <c r="RGB5" s="390"/>
      <c r="RGC5" s="390"/>
      <c r="RGD5" s="390"/>
      <c r="RGE5" s="390"/>
      <c r="RGF5" s="390"/>
      <c r="RGG5" s="390"/>
      <c r="RGH5" s="390"/>
      <c r="RGI5" s="390"/>
      <c r="RGJ5" s="390"/>
      <c r="RGK5" s="390"/>
      <c r="RGL5" s="390"/>
      <c r="RGM5" s="390"/>
      <c r="RGN5" s="390"/>
      <c r="RGO5" s="390"/>
      <c r="RGP5" s="390"/>
      <c r="RGQ5" s="390"/>
      <c r="RGR5" s="390"/>
      <c r="RGS5" s="390"/>
      <c r="RGT5" s="390"/>
      <c r="RGU5" s="390"/>
      <c r="RGV5" s="390"/>
      <c r="RGW5" s="390"/>
      <c r="RGX5" s="390"/>
      <c r="RGY5" s="390"/>
      <c r="RGZ5" s="390"/>
      <c r="RHA5" s="390"/>
      <c r="RHB5" s="390"/>
      <c r="RHC5" s="390"/>
      <c r="RHD5" s="390"/>
      <c r="RHE5" s="390"/>
      <c r="RHF5" s="390"/>
      <c r="RHG5" s="390"/>
      <c r="RHH5" s="390"/>
      <c r="RHI5" s="390"/>
      <c r="RHJ5" s="390"/>
      <c r="RHK5" s="390"/>
      <c r="RHL5" s="390"/>
      <c r="RHM5" s="390"/>
      <c r="RHN5" s="390"/>
      <c r="RHO5" s="390"/>
      <c r="RHP5" s="390"/>
      <c r="RHQ5" s="390"/>
      <c r="RHR5" s="390"/>
      <c r="RHS5" s="390"/>
      <c r="RHT5" s="390"/>
      <c r="RHU5" s="390"/>
      <c r="RHV5" s="390"/>
      <c r="RHW5" s="390"/>
      <c r="RHX5" s="390"/>
      <c r="RHY5" s="390"/>
      <c r="RHZ5" s="390"/>
      <c r="RIA5" s="390"/>
      <c r="RIB5" s="390"/>
      <c r="RIC5" s="390"/>
      <c r="RID5" s="390"/>
      <c r="RIE5" s="390"/>
      <c r="RIF5" s="390"/>
      <c r="RIG5" s="390"/>
      <c r="RIH5" s="390"/>
      <c r="RII5" s="390"/>
      <c r="RIJ5" s="390"/>
      <c r="RIK5" s="390"/>
      <c r="RIL5" s="390"/>
      <c r="RIM5" s="390"/>
      <c r="RIN5" s="390"/>
      <c r="RIO5" s="390"/>
      <c r="RIP5" s="390"/>
      <c r="RIQ5" s="390"/>
      <c r="RIR5" s="390"/>
      <c r="RIS5" s="390"/>
      <c r="RIT5" s="390"/>
      <c r="RIU5" s="390"/>
      <c r="RIV5" s="390"/>
      <c r="RIW5" s="390"/>
      <c r="RIX5" s="390"/>
      <c r="RIY5" s="390"/>
      <c r="RIZ5" s="390"/>
      <c r="RJA5" s="390"/>
      <c r="RJB5" s="390"/>
      <c r="RJC5" s="390"/>
      <c r="RJD5" s="390"/>
      <c r="RJE5" s="390"/>
      <c r="RJF5" s="390"/>
      <c r="RJG5" s="390"/>
      <c r="RJH5" s="390"/>
      <c r="RJI5" s="390"/>
      <c r="RJJ5" s="390"/>
      <c r="RJK5" s="390"/>
      <c r="RJL5" s="390"/>
      <c r="RJM5" s="390"/>
      <c r="RJN5" s="390"/>
      <c r="RJO5" s="390"/>
      <c r="RJP5" s="390"/>
      <c r="RJQ5" s="390"/>
      <c r="RJR5" s="390"/>
      <c r="RJS5" s="390"/>
      <c r="RJT5" s="390"/>
      <c r="RJU5" s="390"/>
      <c r="RJV5" s="390"/>
      <c r="RJW5" s="390"/>
      <c r="RJX5" s="390"/>
      <c r="RJY5" s="390"/>
      <c r="RJZ5" s="390"/>
      <c r="RKA5" s="390"/>
      <c r="RKB5" s="390"/>
      <c r="RKC5" s="390"/>
      <c r="RKD5" s="390"/>
      <c r="RKE5" s="390"/>
      <c r="RKF5" s="390"/>
      <c r="RKG5" s="390"/>
      <c r="RKH5" s="390"/>
      <c r="RKI5" s="390"/>
      <c r="RKJ5" s="390"/>
      <c r="RKK5" s="390"/>
      <c r="RKL5" s="390"/>
      <c r="RKM5" s="390"/>
      <c r="RKN5" s="390"/>
      <c r="RKO5" s="390"/>
      <c r="RKP5" s="390"/>
      <c r="RKQ5" s="390"/>
      <c r="RKR5" s="390"/>
      <c r="RKS5" s="390"/>
      <c r="RKT5" s="390"/>
      <c r="RKU5" s="390"/>
      <c r="RKV5" s="390"/>
      <c r="RKW5" s="390"/>
      <c r="RKX5" s="390"/>
      <c r="RKY5" s="390"/>
      <c r="RKZ5" s="390"/>
      <c r="RLA5" s="390"/>
      <c r="RLB5" s="390"/>
      <c r="RLC5" s="390"/>
      <c r="RLD5" s="390"/>
      <c r="RLE5" s="390"/>
      <c r="RLF5" s="390"/>
      <c r="RLG5" s="390"/>
      <c r="RLH5" s="390"/>
      <c r="RLI5" s="390"/>
      <c r="RLJ5" s="390"/>
      <c r="RLK5" s="390"/>
      <c r="RLL5" s="390"/>
      <c r="RLM5" s="390"/>
      <c r="RLN5" s="390"/>
      <c r="RLO5" s="390"/>
      <c r="RLP5" s="390"/>
      <c r="RLQ5" s="390"/>
      <c r="RLR5" s="390"/>
      <c r="RLS5" s="390"/>
      <c r="RLT5" s="390"/>
      <c r="RLU5" s="390"/>
      <c r="RLV5" s="390"/>
      <c r="RLW5" s="390"/>
      <c r="RLX5" s="390"/>
      <c r="RLY5" s="390"/>
      <c r="RLZ5" s="390"/>
      <c r="RMA5" s="390"/>
      <c r="RMB5" s="390"/>
      <c r="RMC5" s="390"/>
      <c r="RMD5" s="390"/>
      <c r="RME5" s="390"/>
      <c r="RMF5" s="390"/>
      <c r="RMG5" s="390"/>
      <c r="RMH5" s="390"/>
      <c r="RMI5" s="390"/>
      <c r="RMJ5" s="390"/>
      <c r="RMK5" s="390"/>
      <c r="RML5" s="390"/>
      <c r="RMM5" s="390"/>
      <c r="RMN5" s="390"/>
      <c r="RMO5" s="390"/>
      <c r="RMP5" s="390"/>
      <c r="RMQ5" s="390"/>
      <c r="RMR5" s="390"/>
      <c r="RMS5" s="390"/>
      <c r="RMT5" s="390"/>
      <c r="RMU5" s="390"/>
      <c r="RMV5" s="390"/>
      <c r="RMW5" s="390"/>
      <c r="RMX5" s="390"/>
      <c r="RMY5" s="390"/>
      <c r="RMZ5" s="390"/>
      <c r="RNA5" s="390"/>
      <c r="RNB5" s="390"/>
      <c r="RNC5" s="390"/>
      <c r="RND5" s="390"/>
      <c r="RNE5" s="390"/>
      <c r="RNF5" s="390"/>
      <c r="RNG5" s="390"/>
      <c r="RNH5" s="390"/>
      <c r="RNI5" s="390"/>
      <c r="RNJ5" s="390"/>
      <c r="RNK5" s="390"/>
      <c r="RNL5" s="390"/>
      <c r="RNM5" s="390"/>
      <c r="RNN5" s="390"/>
      <c r="RNO5" s="390"/>
      <c r="RNP5" s="390"/>
      <c r="RNQ5" s="390"/>
      <c r="RNR5" s="390"/>
      <c r="RNS5" s="390"/>
      <c r="RNT5" s="390"/>
      <c r="RNU5" s="390"/>
      <c r="RNV5" s="390"/>
      <c r="RNW5" s="390"/>
      <c r="RNX5" s="390"/>
      <c r="RNY5" s="390"/>
      <c r="RNZ5" s="390"/>
      <c r="ROA5" s="390"/>
      <c r="ROB5" s="390"/>
      <c r="ROC5" s="390"/>
      <c r="ROD5" s="390"/>
      <c r="ROE5" s="390"/>
      <c r="ROF5" s="390"/>
      <c r="ROG5" s="390"/>
      <c r="ROH5" s="390"/>
      <c r="ROI5" s="390"/>
      <c r="ROJ5" s="390"/>
      <c r="ROK5" s="390"/>
      <c r="ROL5" s="390"/>
      <c r="ROM5" s="390"/>
      <c r="RON5" s="390"/>
      <c r="ROO5" s="390"/>
      <c r="ROP5" s="390"/>
      <c r="ROQ5" s="390"/>
      <c r="ROR5" s="390"/>
      <c r="ROS5" s="390"/>
      <c r="ROT5" s="390"/>
      <c r="ROU5" s="390"/>
      <c r="ROV5" s="390"/>
      <c r="ROW5" s="390"/>
      <c r="ROX5" s="390"/>
      <c r="ROY5" s="390"/>
      <c r="ROZ5" s="390"/>
      <c r="RPA5" s="390"/>
      <c r="RPB5" s="390"/>
      <c r="RPC5" s="390"/>
      <c r="RPD5" s="390"/>
      <c r="RPE5" s="390"/>
      <c r="RPF5" s="390"/>
      <c r="RPG5" s="390"/>
      <c r="RPH5" s="390"/>
      <c r="RPI5" s="390"/>
      <c r="RPJ5" s="390"/>
      <c r="RPK5" s="390"/>
      <c r="RPL5" s="390"/>
      <c r="RPM5" s="390"/>
      <c r="RPN5" s="390"/>
      <c r="RPO5" s="390"/>
      <c r="RPP5" s="390"/>
      <c r="RPQ5" s="390"/>
      <c r="RPR5" s="390"/>
      <c r="RPS5" s="390"/>
      <c r="RPT5" s="390"/>
      <c r="RPU5" s="390"/>
      <c r="RPV5" s="390"/>
      <c r="RPW5" s="390"/>
      <c r="RPX5" s="390"/>
      <c r="RPY5" s="390"/>
      <c r="RPZ5" s="390"/>
      <c r="RQA5" s="390"/>
      <c r="RQB5" s="390"/>
      <c r="RQC5" s="390"/>
      <c r="RQD5" s="390"/>
      <c r="RQE5" s="390"/>
      <c r="RQF5" s="390"/>
      <c r="RQG5" s="390"/>
      <c r="RQH5" s="390"/>
      <c r="RQI5" s="390"/>
      <c r="RQJ5" s="390"/>
      <c r="RQK5" s="390"/>
      <c r="RQL5" s="390"/>
      <c r="RQM5" s="390"/>
      <c r="RQN5" s="390"/>
      <c r="RQO5" s="390"/>
      <c r="RQP5" s="390"/>
      <c r="RQQ5" s="390"/>
      <c r="RQR5" s="390"/>
      <c r="RQS5" s="390"/>
      <c r="RQT5" s="390"/>
      <c r="RQU5" s="390"/>
      <c r="RQV5" s="390"/>
      <c r="RQW5" s="390"/>
      <c r="RQX5" s="390"/>
      <c r="RQY5" s="390"/>
      <c r="RQZ5" s="390"/>
      <c r="RRA5" s="390"/>
      <c r="RRB5" s="390"/>
      <c r="RRC5" s="390"/>
      <c r="RRD5" s="390"/>
      <c r="RRE5" s="390"/>
      <c r="RRF5" s="390"/>
      <c r="RRG5" s="390"/>
      <c r="RRH5" s="390"/>
      <c r="RRI5" s="390"/>
      <c r="RRJ5" s="390"/>
      <c r="RRK5" s="390"/>
      <c r="RRL5" s="390"/>
      <c r="RRM5" s="390"/>
      <c r="RRN5" s="390"/>
      <c r="RRO5" s="390"/>
      <c r="RRP5" s="390"/>
      <c r="RRQ5" s="390"/>
      <c r="RRR5" s="390"/>
      <c r="RRS5" s="390"/>
      <c r="RRT5" s="390"/>
      <c r="RRU5" s="390"/>
      <c r="RRV5" s="390"/>
      <c r="RRW5" s="390"/>
      <c r="RRX5" s="390"/>
      <c r="RRY5" s="390"/>
      <c r="RRZ5" s="390"/>
      <c r="RSA5" s="390"/>
      <c r="RSB5" s="390"/>
      <c r="RSC5" s="390"/>
      <c r="RSD5" s="390"/>
      <c r="RSE5" s="390"/>
      <c r="RSF5" s="390"/>
      <c r="RSG5" s="390"/>
      <c r="RSH5" s="390"/>
      <c r="RSI5" s="390"/>
      <c r="RSJ5" s="390"/>
      <c r="RSK5" s="390"/>
      <c r="RSL5" s="390"/>
      <c r="RSM5" s="390"/>
      <c r="RSN5" s="390"/>
      <c r="RSO5" s="390"/>
      <c r="RSP5" s="390"/>
      <c r="RSQ5" s="390"/>
      <c r="RSR5" s="390"/>
      <c r="RSS5" s="390"/>
      <c r="RST5" s="390"/>
      <c r="RSU5" s="390"/>
      <c r="RSV5" s="390"/>
      <c r="RSW5" s="390"/>
      <c r="RSX5" s="390"/>
      <c r="RSY5" s="390"/>
      <c r="RSZ5" s="390"/>
      <c r="RTA5" s="390"/>
      <c r="RTB5" s="390"/>
      <c r="RTC5" s="390"/>
      <c r="RTD5" s="390"/>
      <c r="RTE5" s="390"/>
      <c r="RTF5" s="390"/>
      <c r="RTG5" s="390"/>
      <c r="RTH5" s="390"/>
      <c r="RTI5" s="390"/>
      <c r="RTJ5" s="390"/>
      <c r="RTK5" s="390"/>
      <c r="RTL5" s="390"/>
      <c r="RTM5" s="390"/>
      <c r="RTN5" s="390"/>
      <c r="RTO5" s="390"/>
      <c r="RTP5" s="390"/>
      <c r="RTQ5" s="390"/>
      <c r="RTR5" s="390"/>
      <c r="RTS5" s="390"/>
      <c r="RTT5" s="390"/>
      <c r="RTU5" s="390"/>
      <c r="RTV5" s="390"/>
      <c r="RTW5" s="390"/>
      <c r="RTX5" s="390"/>
      <c r="RTY5" s="390"/>
      <c r="RTZ5" s="390"/>
      <c r="RUA5" s="390"/>
      <c r="RUB5" s="390"/>
      <c r="RUC5" s="390"/>
      <c r="RUD5" s="390"/>
      <c r="RUE5" s="390"/>
      <c r="RUF5" s="390"/>
      <c r="RUG5" s="390"/>
      <c r="RUH5" s="390"/>
      <c r="RUI5" s="390"/>
      <c r="RUJ5" s="390"/>
      <c r="RUK5" s="390"/>
      <c r="RUL5" s="390"/>
      <c r="RUM5" s="390"/>
      <c r="RUN5" s="390"/>
      <c r="RUO5" s="390"/>
      <c r="RUP5" s="390"/>
      <c r="RUQ5" s="390"/>
      <c r="RUR5" s="390"/>
      <c r="RUS5" s="390"/>
      <c r="RUT5" s="390"/>
      <c r="RUU5" s="390"/>
      <c r="RUV5" s="390"/>
      <c r="RUW5" s="390"/>
      <c r="RUX5" s="390"/>
      <c r="RUY5" s="390"/>
      <c r="RUZ5" s="390"/>
      <c r="RVA5" s="390"/>
      <c r="RVB5" s="390"/>
      <c r="RVC5" s="390"/>
      <c r="RVD5" s="390"/>
      <c r="RVE5" s="390"/>
      <c r="RVF5" s="390"/>
      <c r="RVG5" s="390"/>
      <c r="RVH5" s="390"/>
      <c r="RVI5" s="390"/>
      <c r="RVJ5" s="390"/>
      <c r="RVK5" s="390"/>
      <c r="RVL5" s="390"/>
      <c r="RVM5" s="390"/>
      <c r="RVN5" s="390"/>
      <c r="RVO5" s="390"/>
      <c r="RVP5" s="390"/>
      <c r="RVQ5" s="390"/>
      <c r="RVR5" s="390"/>
      <c r="RVS5" s="390"/>
      <c r="RVT5" s="390"/>
      <c r="RVU5" s="390"/>
      <c r="RVV5" s="390"/>
      <c r="RVW5" s="390"/>
      <c r="RVX5" s="390"/>
      <c r="RVY5" s="390"/>
      <c r="RVZ5" s="390"/>
      <c r="RWA5" s="390"/>
      <c r="RWB5" s="390"/>
      <c r="RWC5" s="390"/>
      <c r="RWD5" s="390"/>
      <c r="RWE5" s="390"/>
      <c r="RWF5" s="390"/>
      <c r="RWG5" s="390"/>
      <c r="RWH5" s="390"/>
      <c r="RWI5" s="390"/>
      <c r="RWJ5" s="390"/>
      <c r="RWK5" s="390"/>
      <c r="RWL5" s="390"/>
      <c r="RWM5" s="390"/>
      <c r="RWN5" s="390"/>
      <c r="RWO5" s="390"/>
      <c r="RWP5" s="390"/>
      <c r="RWQ5" s="390"/>
      <c r="RWR5" s="390"/>
      <c r="RWS5" s="390"/>
      <c r="RWT5" s="390"/>
      <c r="RWU5" s="390"/>
      <c r="RWV5" s="390"/>
      <c r="RWW5" s="390"/>
      <c r="RWX5" s="390"/>
      <c r="RWY5" s="390"/>
      <c r="RWZ5" s="390"/>
      <c r="RXA5" s="390"/>
      <c r="RXB5" s="390"/>
      <c r="RXC5" s="390"/>
      <c r="RXD5" s="390"/>
      <c r="RXE5" s="390"/>
      <c r="RXF5" s="390"/>
      <c r="RXG5" s="390"/>
      <c r="RXH5" s="390"/>
      <c r="RXI5" s="390"/>
      <c r="RXJ5" s="390"/>
      <c r="RXK5" s="390"/>
      <c r="RXL5" s="390"/>
      <c r="RXM5" s="390"/>
      <c r="RXN5" s="390"/>
      <c r="RXO5" s="390"/>
      <c r="RXP5" s="390"/>
      <c r="RXQ5" s="390"/>
      <c r="RXR5" s="390"/>
      <c r="RXS5" s="390"/>
      <c r="RXT5" s="390"/>
      <c r="RXU5" s="390"/>
      <c r="RXV5" s="390"/>
      <c r="RXW5" s="390"/>
      <c r="RXX5" s="390"/>
      <c r="RXY5" s="390"/>
      <c r="RXZ5" s="390"/>
      <c r="RYA5" s="390"/>
      <c r="RYB5" s="390"/>
      <c r="RYC5" s="390"/>
      <c r="RYD5" s="390"/>
      <c r="RYE5" s="390"/>
      <c r="RYF5" s="390"/>
      <c r="RYG5" s="390"/>
      <c r="RYH5" s="390"/>
      <c r="RYI5" s="390"/>
      <c r="RYJ5" s="390"/>
      <c r="RYK5" s="390"/>
      <c r="RYL5" s="390"/>
      <c r="RYM5" s="390"/>
      <c r="RYN5" s="390"/>
      <c r="RYO5" s="390"/>
      <c r="RYP5" s="390"/>
      <c r="RYQ5" s="390"/>
      <c r="RYR5" s="390"/>
      <c r="RYS5" s="390"/>
      <c r="RYT5" s="390"/>
      <c r="RYU5" s="390"/>
      <c r="RYV5" s="390"/>
      <c r="RYW5" s="390"/>
      <c r="RYX5" s="390"/>
      <c r="RYY5" s="390"/>
      <c r="RYZ5" s="390"/>
      <c r="RZA5" s="390"/>
      <c r="RZB5" s="390"/>
      <c r="RZC5" s="390"/>
      <c r="RZD5" s="390"/>
      <c r="RZE5" s="390"/>
      <c r="RZF5" s="390"/>
      <c r="RZG5" s="390"/>
      <c r="RZH5" s="390"/>
      <c r="RZI5" s="390"/>
      <c r="RZJ5" s="390"/>
      <c r="RZK5" s="390"/>
      <c r="RZL5" s="390"/>
      <c r="RZM5" s="390"/>
      <c r="RZN5" s="390"/>
      <c r="RZO5" s="390"/>
      <c r="RZP5" s="390"/>
      <c r="RZQ5" s="390"/>
      <c r="RZR5" s="390"/>
      <c r="RZS5" s="390"/>
      <c r="RZT5" s="390"/>
      <c r="RZU5" s="390"/>
      <c r="RZV5" s="390"/>
      <c r="RZW5" s="390"/>
      <c r="RZX5" s="390"/>
      <c r="RZY5" s="390"/>
      <c r="RZZ5" s="390"/>
      <c r="SAA5" s="390"/>
      <c r="SAB5" s="390"/>
      <c r="SAC5" s="390"/>
      <c r="SAD5" s="390"/>
      <c r="SAE5" s="390"/>
      <c r="SAF5" s="390"/>
      <c r="SAG5" s="390"/>
      <c r="SAH5" s="390"/>
      <c r="SAI5" s="390"/>
      <c r="SAJ5" s="390"/>
      <c r="SAK5" s="390"/>
      <c r="SAL5" s="390"/>
      <c r="SAM5" s="390"/>
      <c r="SAN5" s="390"/>
      <c r="SAO5" s="390"/>
      <c r="SAP5" s="390"/>
      <c r="SAQ5" s="390"/>
      <c r="SAR5" s="390"/>
      <c r="SAS5" s="390"/>
      <c r="SAT5" s="390"/>
      <c r="SAU5" s="390"/>
      <c r="SAV5" s="390"/>
      <c r="SAW5" s="390"/>
      <c r="SAX5" s="390"/>
      <c r="SAY5" s="390"/>
      <c r="SAZ5" s="390"/>
      <c r="SBA5" s="390"/>
      <c r="SBB5" s="390"/>
      <c r="SBC5" s="390"/>
      <c r="SBD5" s="390"/>
      <c r="SBE5" s="390"/>
      <c r="SBF5" s="390"/>
      <c r="SBG5" s="390"/>
      <c r="SBH5" s="390"/>
      <c r="SBI5" s="390"/>
      <c r="SBJ5" s="390"/>
      <c r="SBK5" s="390"/>
      <c r="SBL5" s="390"/>
      <c r="SBM5" s="390"/>
      <c r="SBN5" s="390"/>
      <c r="SBO5" s="390"/>
      <c r="SBP5" s="390"/>
      <c r="SBQ5" s="390"/>
      <c r="SBR5" s="390"/>
      <c r="SBS5" s="390"/>
      <c r="SBT5" s="390"/>
      <c r="SBU5" s="390"/>
      <c r="SBV5" s="390"/>
      <c r="SBW5" s="390"/>
      <c r="SBX5" s="390"/>
      <c r="SBY5" s="390"/>
      <c r="SBZ5" s="390"/>
      <c r="SCA5" s="390"/>
      <c r="SCB5" s="390"/>
      <c r="SCC5" s="390"/>
      <c r="SCD5" s="390"/>
      <c r="SCE5" s="390"/>
      <c r="SCF5" s="390"/>
      <c r="SCG5" s="390"/>
      <c r="SCH5" s="390"/>
      <c r="SCI5" s="390"/>
      <c r="SCJ5" s="390"/>
      <c r="SCK5" s="390"/>
      <c r="SCL5" s="390"/>
      <c r="SCM5" s="390"/>
      <c r="SCN5" s="390"/>
      <c r="SCO5" s="390"/>
      <c r="SCP5" s="390"/>
      <c r="SCQ5" s="390"/>
      <c r="SCR5" s="390"/>
      <c r="SCS5" s="390"/>
      <c r="SCT5" s="390"/>
      <c r="SCU5" s="390"/>
      <c r="SCV5" s="390"/>
      <c r="SCW5" s="390"/>
      <c r="SCX5" s="390"/>
      <c r="SCY5" s="390"/>
      <c r="SCZ5" s="390"/>
      <c r="SDA5" s="390"/>
      <c r="SDB5" s="390"/>
      <c r="SDC5" s="390"/>
      <c r="SDD5" s="390"/>
      <c r="SDE5" s="390"/>
      <c r="SDF5" s="390"/>
      <c r="SDG5" s="390"/>
      <c r="SDH5" s="390"/>
      <c r="SDI5" s="390"/>
      <c r="SDJ5" s="390"/>
      <c r="SDK5" s="390"/>
      <c r="SDL5" s="390"/>
      <c r="SDM5" s="390"/>
      <c r="SDN5" s="390"/>
      <c r="SDO5" s="390"/>
      <c r="SDP5" s="390"/>
      <c r="SDQ5" s="390"/>
      <c r="SDR5" s="390"/>
      <c r="SDS5" s="390"/>
      <c r="SDT5" s="390"/>
      <c r="SDU5" s="390"/>
      <c r="SDV5" s="390"/>
      <c r="SDW5" s="390"/>
      <c r="SDX5" s="390"/>
      <c r="SDY5" s="390"/>
      <c r="SDZ5" s="390"/>
      <c r="SEA5" s="390"/>
      <c r="SEB5" s="390"/>
      <c r="SEC5" s="390"/>
      <c r="SED5" s="390"/>
      <c r="SEE5" s="390"/>
      <c r="SEF5" s="390"/>
      <c r="SEG5" s="390"/>
      <c r="SEH5" s="390"/>
      <c r="SEI5" s="390"/>
      <c r="SEJ5" s="390"/>
      <c r="SEK5" s="390"/>
      <c r="SEL5" s="390"/>
      <c r="SEM5" s="390"/>
      <c r="SEN5" s="390"/>
      <c r="SEO5" s="390"/>
      <c r="SEP5" s="390"/>
      <c r="SEQ5" s="390"/>
      <c r="SER5" s="390"/>
      <c r="SES5" s="390"/>
      <c r="SET5" s="390"/>
      <c r="SEU5" s="390"/>
      <c r="SEV5" s="390"/>
      <c r="SEW5" s="390"/>
      <c r="SEX5" s="390"/>
      <c r="SEY5" s="390"/>
      <c r="SEZ5" s="390"/>
      <c r="SFA5" s="390"/>
      <c r="SFB5" s="390"/>
      <c r="SFC5" s="390"/>
      <c r="SFD5" s="390"/>
      <c r="SFE5" s="390"/>
      <c r="SFF5" s="390"/>
      <c r="SFG5" s="390"/>
      <c r="SFH5" s="390"/>
      <c r="SFI5" s="390"/>
      <c r="SFJ5" s="390"/>
      <c r="SFK5" s="390"/>
      <c r="SFL5" s="390"/>
      <c r="SFM5" s="390"/>
      <c r="SFN5" s="390"/>
      <c r="SFO5" s="390"/>
      <c r="SFP5" s="390"/>
      <c r="SFQ5" s="390"/>
      <c r="SFR5" s="390"/>
      <c r="SFS5" s="390"/>
      <c r="SFT5" s="390"/>
      <c r="SFU5" s="390"/>
      <c r="SFV5" s="390"/>
      <c r="SFW5" s="390"/>
      <c r="SFX5" s="390"/>
      <c r="SFY5" s="390"/>
      <c r="SFZ5" s="390"/>
      <c r="SGA5" s="390"/>
      <c r="SGB5" s="390"/>
      <c r="SGC5" s="390"/>
      <c r="SGD5" s="390"/>
      <c r="SGE5" s="390"/>
      <c r="SGF5" s="390"/>
      <c r="SGG5" s="390"/>
      <c r="SGH5" s="390"/>
      <c r="SGI5" s="390"/>
      <c r="SGJ5" s="390"/>
      <c r="SGK5" s="390"/>
      <c r="SGL5" s="390"/>
      <c r="SGM5" s="390"/>
      <c r="SGN5" s="390"/>
      <c r="SGO5" s="390"/>
      <c r="SGP5" s="390"/>
      <c r="SGQ5" s="390"/>
      <c r="SGR5" s="390"/>
      <c r="SGS5" s="390"/>
      <c r="SGT5" s="390"/>
      <c r="SGU5" s="390"/>
      <c r="SGV5" s="390"/>
      <c r="SGW5" s="390"/>
      <c r="SGX5" s="390"/>
      <c r="SGY5" s="390"/>
      <c r="SGZ5" s="390"/>
      <c r="SHA5" s="390"/>
      <c r="SHB5" s="390"/>
      <c r="SHC5" s="390"/>
      <c r="SHD5" s="390"/>
      <c r="SHE5" s="390"/>
      <c r="SHF5" s="390"/>
      <c r="SHG5" s="390"/>
      <c r="SHH5" s="390"/>
      <c r="SHI5" s="390"/>
      <c r="SHJ5" s="390"/>
      <c r="SHK5" s="390"/>
      <c r="SHL5" s="390"/>
      <c r="SHM5" s="390"/>
      <c r="SHN5" s="390"/>
      <c r="SHO5" s="390"/>
      <c r="SHP5" s="390"/>
      <c r="SHQ5" s="390"/>
      <c r="SHR5" s="390"/>
      <c r="SHS5" s="390"/>
      <c r="SHT5" s="390"/>
      <c r="SHU5" s="390"/>
      <c r="SHV5" s="390"/>
      <c r="SHW5" s="390"/>
      <c r="SHX5" s="390"/>
      <c r="SHY5" s="390"/>
      <c r="SHZ5" s="390"/>
      <c r="SIA5" s="390"/>
      <c r="SIB5" s="390"/>
      <c r="SIC5" s="390"/>
      <c r="SID5" s="390"/>
      <c r="SIE5" s="390"/>
      <c r="SIF5" s="390"/>
      <c r="SIG5" s="390"/>
      <c r="SIH5" s="390"/>
      <c r="SII5" s="390"/>
      <c r="SIJ5" s="390"/>
      <c r="SIK5" s="390"/>
      <c r="SIL5" s="390"/>
      <c r="SIM5" s="390"/>
      <c r="SIN5" s="390"/>
      <c r="SIO5" s="390"/>
      <c r="SIP5" s="390"/>
      <c r="SIQ5" s="390"/>
      <c r="SIR5" s="390"/>
      <c r="SIS5" s="390"/>
      <c r="SIT5" s="390"/>
      <c r="SIU5" s="390"/>
      <c r="SIV5" s="390"/>
      <c r="SIW5" s="390"/>
      <c r="SIX5" s="390"/>
      <c r="SIY5" s="390"/>
      <c r="SIZ5" s="390"/>
      <c r="SJA5" s="390"/>
      <c r="SJB5" s="390"/>
      <c r="SJC5" s="390"/>
      <c r="SJD5" s="390"/>
      <c r="SJE5" s="390"/>
      <c r="SJF5" s="390"/>
      <c r="SJG5" s="390"/>
      <c r="SJH5" s="390"/>
      <c r="SJI5" s="390"/>
      <c r="SJJ5" s="390"/>
      <c r="SJK5" s="390"/>
      <c r="SJL5" s="390"/>
      <c r="SJM5" s="390"/>
      <c r="SJN5" s="390"/>
      <c r="SJO5" s="390"/>
      <c r="SJP5" s="390"/>
      <c r="SJQ5" s="390"/>
      <c r="SJR5" s="390"/>
      <c r="SJS5" s="390"/>
      <c r="SJT5" s="390"/>
      <c r="SJU5" s="390"/>
      <c r="SJV5" s="390"/>
      <c r="SJW5" s="390"/>
      <c r="SJX5" s="390"/>
      <c r="SJY5" s="390"/>
      <c r="SJZ5" s="390"/>
      <c r="SKA5" s="390"/>
      <c r="SKB5" s="390"/>
      <c r="SKC5" s="390"/>
      <c r="SKD5" s="390"/>
      <c r="SKE5" s="390"/>
      <c r="SKF5" s="390"/>
      <c r="SKG5" s="390"/>
      <c r="SKH5" s="390"/>
      <c r="SKI5" s="390"/>
      <c r="SKJ5" s="390"/>
      <c r="SKK5" s="390"/>
      <c r="SKL5" s="390"/>
      <c r="SKM5" s="390"/>
      <c r="SKN5" s="390"/>
      <c r="SKO5" s="390"/>
      <c r="SKP5" s="390"/>
      <c r="SKQ5" s="390"/>
      <c r="SKR5" s="390"/>
      <c r="SKS5" s="390"/>
      <c r="SKT5" s="390"/>
      <c r="SKU5" s="390"/>
      <c r="SKV5" s="390"/>
      <c r="SKW5" s="390"/>
      <c r="SKX5" s="390"/>
      <c r="SKY5" s="390"/>
      <c r="SKZ5" s="390"/>
      <c r="SLA5" s="390"/>
      <c r="SLB5" s="390"/>
      <c r="SLC5" s="390"/>
      <c r="SLD5" s="390"/>
      <c r="SLE5" s="390"/>
      <c r="SLF5" s="390"/>
      <c r="SLG5" s="390"/>
      <c r="SLH5" s="390"/>
      <c r="SLI5" s="390"/>
      <c r="SLJ5" s="390"/>
      <c r="SLK5" s="390"/>
      <c r="SLL5" s="390"/>
      <c r="SLM5" s="390"/>
      <c r="SLN5" s="390"/>
      <c r="SLO5" s="390"/>
      <c r="SLP5" s="390"/>
      <c r="SLQ5" s="390"/>
      <c r="SLR5" s="390"/>
      <c r="SLS5" s="390"/>
      <c r="SLT5" s="390"/>
      <c r="SLU5" s="390"/>
      <c r="SLV5" s="390"/>
      <c r="SLW5" s="390"/>
      <c r="SLX5" s="390"/>
      <c r="SLY5" s="390"/>
      <c r="SLZ5" s="390"/>
      <c r="SMA5" s="390"/>
      <c r="SMB5" s="390"/>
      <c r="SMC5" s="390"/>
      <c r="SMD5" s="390"/>
      <c r="SME5" s="390"/>
      <c r="SMF5" s="390"/>
      <c r="SMG5" s="390"/>
      <c r="SMH5" s="390"/>
      <c r="SMI5" s="390"/>
      <c r="SMJ5" s="390"/>
      <c r="SMK5" s="390"/>
      <c r="SML5" s="390"/>
      <c r="SMM5" s="390"/>
      <c r="SMN5" s="390"/>
      <c r="SMO5" s="390"/>
      <c r="SMP5" s="390"/>
      <c r="SMQ5" s="390"/>
      <c r="SMR5" s="390"/>
      <c r="SMS5" s="390"/>
      <c r="SMT5" s="390"/>
      <c r="SMU5" s="390"/>
      <c r="SMV5" s="390"/>
      <c r="SMW5" s="390"/>
      <c r="SMX5" s="390"/>
      <c r="SMY5" s="390"/>
      <c r="SMZ5" s="390"/>
      <c r="SNA5" s="390"/>
      <c r="SNB5" s="390"/>
      <c r="SNC5" s="390"/>
      <c r="SND5" s="390"/>
      <c r="SNE5" s="390"/>
      <c r="SNF5" s="390"/>
      <c r="SNG5" s="390"/>
      <c r="SNH5" s="390"/>
      <c r="SNI5" s="390"/>
      <c r="SNJ5" s="390"/>
      <c r="SNK5" s="390"/>
      <c r="SNL5" s="390"/>
      <c r="SNM5" s="390"/>
      <c r="SNN5" s="390"/>
      <c r="SNO5" s="390"/>
      <c r="SNP5" s="390"/>
      <c r="SNQ5" s="390"/>
      <c r="SNR5" s="390"/>
      <c r="SNS5" s="390"/>
      <c r="SNT5" s="390"/>
      <c r="SNU5" s="390"/>
      <c r="SNV5" s="390"/>
      <c r="SNW5" s="390"/>
      <c r="SNX5" s="390"/>
      <c r="SNY5" s="390"/>
      <c r="SNZ5" s="390"/>
      <c r="SOA5" s="390"/>
      <c r="SOB5" s="390"/>
      <c r="SOC5" s="390"/>
      <c r="SOD5" s="390"/>
      <c r="SOE5" s="390"/>
      <c r="SOF5" s="390"/>
      <c r="SOG5" s="390"/>
      <c r="SOH5" s="390"/>
      <c r="SOI5" s="390"/>
      <c r="SOJ5" s="390"/>
      <c r="SOK5" s="390"/>
      <c r="SOL5" s="390"/>
      <c r="SOM5" s="390"/>
      <c r="SON5" s="390"/>
      <c r="SOO5" s="390"/>
      <c r="SOP5" s="390"/>
      <c r="SOQ5" s="390"/>
      <c r="SOR5" s="390"/>
      <c r="SOS5" s="390"/>
      <c r="SOT5" s="390"/>
      <c r="SOU5" s="390"/>
      <c r="SOV5" s="390"/>
      <c r="SOW5" s="390"/>
      <c r="SOX5" s="390"/>
      <c r="SOY5" s="390"/>
      <c r="SOZ5" s="390"/>
      <c r="SPA5" s="390"/>
      <c r="SPB5" s="390"/>
      <c r="SPC5" s="390"/>
      <c r="SPD5" s="390"/>
      <c r="SPE5" s="390"/>
      <c r="SPF5" s="390"/>
      <c r="SPG5" s="390"/>
      <c r="SPH5" s="390"/>
      <c r="SPI5" s="390"/>
      <c r="SPJ5" s="390"/>
      <c r="SPK5" s="390"/>
      <c r="SPL5" s="390"/>
      <c r="SPM5" s="390"/>
      <c r="SPN5" s="390"/>
      <c r="SPO5" s="390"/>
      <c r="SPP5" s="390"/>
      <c r="SPQ5" s="390"/>
      <c r="SPR5" s="390"/>
      <c r="SPS5" s="390"/>
      <c r="SPT5" s="390"/>
      <c r="SPU5" s="390"/>
      <c r="SPV5" s="390"/>
      <c r="SPW5" s="390"/>
      <c r="SPX5" s="390"/>
      <c r="SPY5" s="390"/>
      <c r="SPZ5" s="390"/>
      <c r="SQA5" s="390"/>
      <c r="SQB5" s="390"/>
      <c r="SQC5" s="390"/>
      <c r="SQD5" s="390"/>
      <c r="SQE5" s="390"/>
      <c r="SQF5" s="390"/>
      <c r="SQG5" s="390"/>
      <c r="SQH5" s="390"/>
      <c r="SQI5" s="390"/>
      <c r="SQJ5" s="390"/>
      <c r="SQK5" s="390"/>
      <c r="SQL5" s="390"/>
      <c r="SQM5" s="390"/>
      <c r="SQN5" s="390"/>
      <c r="SQO5" s="390"/>
      <c r="SQP5" s="390"/>
      <c r="SQQ5" s="390"/>
      <c r="SQR5" s="390"/>
      <c r="SQS5" s="390"/>
      <c r="SQT5" s="390"/>
      <c r="SQU5" s="390"/>
      <c r="SQV5" s="390"/>
      <c r="SQW5" s="390"/>
      <c r="SQX5" s="390"/>
      <c r="SQY5" s="390"/>
      <c r="SQZ5" s="390"/>
      <c r="SRA5" s="390"/>
      <c r="SRB5" s="390"/>
      <c r="SRC5" s="390"/>
      <c r="SRD5" s="390"/>
      <c r="SRE5" s="390"/>
      <c r="SRF5" s="390"/>
      <c r="SRG5" s="390"/>
      <c r="SRH5" s="390"/>
      <c r="SRI5" s="390"/>
      <c r="SRJ5" s="390"/>
      <c r="SRK5" s="390"/>
      <c r="SRL5" s="390"/>
      <c r="SRM5" s="390"/>
      <c r="SRN5" s="390"/>
      <c r="SRO5" s="390"/>
      <c r="SRP5" s="390"/>
      <c r="SRQ5" s="390"/>
      <c r="SRR5" s="390"/>
      <c r="SRS5" s="390"/>
      <c r="SRT5" s="390"/>
      <c r="SRU5" s="390"/>
      <c r="SRV5" s="390"/>
      <c r="SRW5" s="390"/>
      <c r="SRX5" s="390"/>
      <c r="SRY5" s="390"/>
      <c r="SRZ5" s="390"/>
      <c r="SSA5" s="390"/>
      <c r="SSB5" s="390"/>
      <c r="SSC5" s="390"/>
      <c r="SSD5" s="390"/>
      <c r="SSE5" s="390"/>
      <c r="SSF5" s="390"/>
      <c r="SSG5" s="390"/>
      <c r="SSH5" s="390"/>
      <c r="SSI5" s="390"/>
      <c r="SSJ5" s="390"/>
      <c r="SSK5" s="390"/>
      <c r="SSL5" s="390"/>
      <c r="SSM5" s="390"/>
      <c r="SSN5" s="390"/>
      <c r="SSO5" s="390"/>
      <c r="SSP5" s="390"/>
      <c r="SSQ5" s="390"/>
      <c r="SSR5" s="390"/>
      <c r="SSS5" s="390"/>
      <c r="SST5" s="390"/>
      <c r="SSU5" s="390"/>
      <c r="SSV5" s="390"/>
      <c r="SSW5" s="390"/>
      <c r="SSX5" s="390"/>
      <c r="SSY5" s="390"/>
      <c r="SSZ5" s="390"/>
      <c r="STA5" s="390"/>
      <c r="STB5" s="390"/>
      <c r="STC5" s="390"/>
      <c r="STD5" s="390"/>
      <c r="STE5" s="390"/>
      <c r="STF5" s="390"/>
      <c r="STG5" s="390"/>
      <c r="STH5" s="390"/>
      <c r="STI5" s="390"/>
      <c r="STJ5" s="390"/>
      <c r="STK5" s="390"/>
      <c r="STL5" s="390"/>
      <c r="STM5" s="390"/>
      <c r="STN5" s="390"/>
      <c r="STO5" s="390"/>
      <c r="STP5" s="390"/>
      <c r="STQ5" s="390"/>
      <c r="STR5" s="390"/>
      <c r="STS5" s="390"/>
      <c r="STT5" s="390"/>
      <c r="STU5" s="390"/>
      <c r="STV5" s="390"/>
      <c r="STW5" s="390"/>
      <c r="STX5" s="390"/>
      <c r="STY5" s="390"/>
      <c r="STZ5" s="390"/>
      <c r="SUA5" s="390"/>
      <c r="SUB5" s="390"/>
      <c r="SUC5" s="390"/>
      <c r="SUD5" s="390"/>
      <c r="SUE5" s="390"/>
      <c r="SUF5" s="390"/>
      <c r="SUG5" s="390"/>
      <c r="SUH5" s="390"/>
      <c r="SUI5" s="390"/>
      <c r="SUJ5" s="390"/>
      <c r="SUK5" s="390"/>
      <c r="SUL5" s="390"/>
      <c r="SUM5" s="390"/>
      <c r="SUN5" s="390"/>
      <c r="SUO5" s="390"/>
      <c r="SUP5" s="390"/>
      <c r="SUQ5" s="390"/>
      <c r="SUR5" s="390"/>
      <c r="SUS5" s="390"/>
      <c r="SUT5" s="390"/>
      <c r="SUU5" s="390"/>
      <c r="SUV5" s="390"/>
      <c r="SUW5" s="390"/>
      <c r="SUX5" s="390"/>
      <c r="SUY5" s="390"/>
      <c r="SUZ5" s="390"/>
      <c r="SVA5" s="390"/>
      <c r="SVB5" s="390"/>
      <c r="SVC5" s="390"/>
      <c r="SVD5" s="390"/>
      <c r="SVE5" s="390"/>
      <c r="SVF5" s="390"/>
      <c r="SVG5" s="390"/>
      <c r="SVH5" s="390"/>
      <c r="SVI5" s="390"/>
      <c r="SVJ5" s="390"/>
      <c r="SVK5" s="390"/>
      <c r="SVL5" s="390"/>
      <c r="SVM5" s="390"/>
      <c r="SVN5" s="390"/>
      <c r="SVO5" s="390"/>
      <c r="SVP5" s="390"/>
      <c r="SVQ5" s="390"/>
      <c r="SVR5" s="390"/>
      <c r="SVS5" s="390"/>
      <c r="SVT5" s="390"/>
      <c r="SVU5" s="390"/>
      <c r="SVV5" s="390"/>
      <c r="SVW5" s="390"/>
      <c r="SVX5" s="390"/>
      <c r="SVY5" s="390"/>
      <c r="SVZ5" s="390"/>
      <c r="SWA5" s="390"/>
      <c r="SWB5" s="390"/>
      <c r="SWC5" s="390"/>
      <c r="SWD5" s="390"/>
      <c r="SWE5" s="390"/>
      <c r="SWF5" s="390"/>
      <c r="SWG5" s="390"/>
      <c r="SWH5" s="390"/>
      <c r="SWI5" s="390"/>
      <c r="SWJ5" s="390"/>
      <c r="SWK5" s="390"/>
      <c r="SWL5" s="390"/>
      <c r="SWM5" s="390"/>
      <c r="SWN5" s="390"/>
      <c r="SWO5" s="390"/>
      <c r="SWP5" s="390"/>
      <c r="SWQ5" s="390"/>
      <c r="SWR5" s="390"/>
      <c r="SWS5" s="390"/>
      <c r="SWT5" s="390"/>
      <c r="SWU5" s="390"/>
      <c r="SWV5" s="390"/>
      <c r="SWW5" s="390"/>
      <c r="SWX5" s="390"/>
      <c r="SWY5" s="390"/>
      <c r="SWZ5" s="390"/>
      <c r="SXA5" s="390"/>
      <c r="SXB5" s="390"/>
      <c r="SXC5" s="390"/>
      <c r="SXD5" s="390"/>
      <c r="SXE5" s="390"/>
      <c r="SXF5" s="390"/>
      <c r="SXG5" s="390"/>
      <c r="SXH5" s="390"/>
      <c r="SXI5" s="390"/>
      <c r="SXJ5" s="390"/>
      <c r="SXK5" s="390"/>
      <c r="SXL5" s="390"/>
      <c r="SXM5" s="390"/>
      <c r="SXN5" s="390"/>
      <c r="SXO5" s="390"/>
      <c r="SXP5" s="390"/>
      <c r="SXQ5" s="390"/>
      <c r="SXR5" s="390"/>
      <c r="SXS5" s="390"/>
      <c r="SXT5" s="390"/>
      <c r="SXU5" s="390"/>
      <c r="SXV5" s="390"/>
      <c r="SXW5" s="390"/>
      <c r="SXX5" s="390"/>
      <c r="SXY5" s="390"/>
      <c r="SXZ5" s="390"/>
      <c r="SYA5" s="390"/>
      <c r="SYB5" s="390"/>
      <c r="SYC5" s="390"/>
      <c r="SYD5" s="390"/>
      <c r="SYE5" s="390"/>
      <c r="SYF5" s="390"/>
      <c r="SYG5" s="390"/>
      <c r="SYH5" s="390"/>
      <c r="SYI5" s="390"/>
      <c r="SYJ5" s="390"/>
      <c r="SYK5" s="390"/>
      <c r="SYL5" s="390"/>
      <c r="SYM5" s="390"/>
      <c r="SYN5" s="390"/>
      <c r="SYO5" s="390"/>
      <c r="SYP5" s="390"/>
      <c r="SYQ5" s="390"/>
      <c r="SYR5" s="390"/>
      <c r="SYS5" s="390"/>
      <c r="SYT5" s="390"/>
      <c r="SYU5" s="390"/>
      <c r="SYV5" s="390"/>
      <c r="SYW5" s="390"/>
      <c r="SYX5" s="390"/>
      <c r="SYY5" s="390"/>
      <c r="SYZ5" s="390"/>
      <c r="SZA5" s="390"/>
      <c r="SZB5" s="390"/>
      <c r="SZC5" s="390"/>
      <c r="SZD5" s="390"/>
      <c r="SZE5" s="390"/>
      <c r="SZF5" s="390"/>
      <c r="SZG5" s="390"/>
      <c r="SZH5" s="390"/>
      <c r="SZI5" s="390"/>
      <c r="SZJ5" s="390"/>
      <c r="SZK5" s="390"/>
      <c r="SZL5" s="390"/>
      <c r="SZM5" s="390"/>
      <c r="SZN5" s="390"/>
      <c r="SZO5" s="390"/>
      <c r="SZP5" s="390"/>
      <c r="SZQ5" s="390"/>
      <c r="SZR5" s="390"/>
      <c r="SZS5" s="390"/>
      <c r="SZT5" s="390"/>
      <c r="SZU5" s="390"/>
      <c r="SZV5" s="390"/>
      <c r="SZW5" s="390"/>
      <c r="SZX5" s="390"/>
      <c r="SZY5" s="390"/>
      <c r="SZZ5" s="390"/>
      <c r="TAA5" s="390"/>
      <c r="TAB5" s="390"/>
      <c r="TAC5" s="390"/>
      <c r="TAD5" s="390"/>
      <c r="TAE5" s="390"/>
      <c r="TAF5" s="390"/>
      <c r="TAG5" s="390"/>
      <c r="TAH5" s="390"/>
      <c r="TAI5" s="390"/>
      <c r="TAJ5" s="390"/>
      <c r="TAK5" s="390"/>
      <c r="TAL5" s="390"/>
      <c r="TAM5" s="390"/>
      <c r="TAN5" s="390"/>
      <c r="TAO5" s="390"/>
      <c r="TAP5" s="390"/>
      <c r="TAQ5" s="390"/>
      <c r="TAR5" s="390"/>
      <c r="TAS5" s="390"/>
      <c r="TAT5" s="390"/>
      <c r="TAU5" s="390"/>
      <c r="TAV5" s="390"/>
      <c r="TAW5" s="390"/>
      <c r="TAX5" s="390"/>
      <c r="TAY5" s="390"/>
      <c r="TAZ5" s="390"/>
      <c r="TBA5" s="390"/>
      <c r="TBB5" s="390"/>
      <c r="TBC5" s="390"/>
      <c r="TBD5" s="390"/>
      <c r="TBE5" s="390"/>
      <c r="TBF5" s="390"/>
      <c r="TBG5" s="390"/>
      <c r="TBH5" s="390"/>
      <c r="TBI5" s="390"/>
      <c r="TBJ5" s="390"/>
      <c r="TBK5" s="390"/>
      <c r="TBL5" s="390"/>
      <c r="TBM5" s="390"/>
      <c r="TBN5" s="390"/>
      <c r="TBO5" s="390"/>
      <c r="TBP5" s="390"/>
      <c r="TBQ5" s="390"/>
      <c r="TBR5" s="390"/>
      <c r="TBS5" s="390"/>
      <c r="TBT5" s="390"/>
      <c r="TBU5" s="390"/>
      <c r="TBV5" s="390"/>
      <c r="TBW5" s="390"/>
      <c r="TBX5" s="390"/>
      <c r="TBY5" s="390"/>
      <c r="TBZ5" s="390"/>
      <c r="TCA5" s="390"/>
      <c r="TCB5" s="390"/>
      <c r="TCC5" s="390"/>
      <c r="TCD5" s="390"/>
      <c r="TCE5" s="390"/>
      <c r="TCF5" s="390"/>
      <c r="TCG5" s="390"/>
      <c r="TCH5" s="390"/>
      <c r="TCI5" s="390"/>
      <c r="TCJ5" s="390"/>
      <c r="TCK5" s="390"/>
      <c r="TCL5" s="390"/>
      <c r="TCM5" s="390"/>
      <c r="TCN5" s="390"/>
      <c r="TCO5" s="390"/>
      <c r="TCP5" s="390"/>
      <c r="TCQ5" s="390"/>
      <c r="TCR5" s="390"/>
      <c r="TCS5" s="390"/>
      <c r="TCT5" s="390"/>
      <c r="TCU5" s="390"/>
      <c r="TCV5" s="390"/>
      <c r="TCW5" s="390"/>
      <c r="TCX5" s="390"/>
      <c r="TCY5" s="390"/>
      <c r="TCZ5" s="390"/>
      <c r="TDA5" s="390"/>
      <c r="TDB5" s="390"/>
      <c r="TDC5" s="390"/>
      <c r="TDD5" s="390"/>
      <c r="TDE5" s="390"/>
      <c r="TDF5" s="390"/>
      <c r="TDG5" s="390"/>
      <c r="TDH5" s="390"/>
      <c r="TDI5" s="390"/>
      <c r="TDJ5" s="390"/>
      <c r="TDK5" s="390"/>
      <c r="TDL5" s="390"/>
      <c r="TDM5" s="390"/>
      <c r="TDN5" s="390"/>
      <c r="TDO5" s="390"/>
      <c r="TDP5" s="390"/>
      <c r="TDQ5" s="390"/>
      <c r="TDR5" s="390"/>
      <c r="TDS5" s="390"/>
      <c r="TDT5" s="390"/>
      <c r="TDU5" s="390"/>
      <c r="TDV5" s="390"/>
      <c r="TDW5" s="390"/>
      <c r="TDX5" s="390"/>
      <c r="TDY5" s="390"/>
      <c r="TDZ5" s="390"/>
      <c r="TEA5" s="390"/>
      <c r="TEB5" s="390"/>
      <c r="TEC5" s="390"/>
      <c r="TED5" s="390"/>
      <c r="TEE5" s="390"/>
      <c r="TEF5" s="390"/>
      <c r="TEG5" s="390"/>
      <c r="TEH5" s="390"/>
      <c r="TEI5" s="390"/>
      <c r="TEJ5" s="390"/>
      <c r="TEK5" s="390"/>
      <c r="TEL5" s="390"/>
      <c r="TEM5" s="390"/>
      <c r="TEN5" s="390"/>
      <c r="TEO5" s="390"/>
      <c r="TEP5" s="390"/>
      <c r="TEQ5" s="390"/>
      <c r="TER5" s="390"/>
      <c r="TES5" s="390"/>
      <c r="TET5" s="390"/>
      <c r="TEU5" s="390"/>
      <c r="TEV5" s="390"/>
      <c r="TEW5" s="390"/>
      <c r="TEX5" s="390"/>
      <c r="TEY5" s="390"/>
      <c r="TEZ5" s="390"/>
      <c r="TFA5" s="390"/>
      <c r="TFB5" s="390"/>
      <c r="TFC5" s="390"/>
      <c r="TFD5" s="390"/>
      <c r="TFE5" s="390"/>
      <c r="TFF5" s="390"/>
      <c r="TFG5" s="390"/>
      <c r="TFH5" s="390"/>
      <c r="TFI5" s="390"/>
      <c r="TFJ5" s="390"/>
      <c r="TFK5" s="390"/>
      <c r="TFL5" s="390"/>
      <c r="TFM5" s="390"/>
      <c r="TFN5" s="390"/>
      <c r="TFO5" s="390"/>
      <c r="TFP5" s="390"/>
      <c r="TFQ5" s="390"/>
      <c r="TFR5" s="390"/>
      <c r="TFS5" s="390"/>
      <c r="TFT5" s="390"/>
      <c r="TFU5" s="390"/>
      <c r="TFV5" s="390"/>
      <c r="TFW5" s="390"/>
      <c r="TFX5" s="390"/>
      <c r="TFY5" s="390"/>
      <c r="TFZ5" s="390"/>
      <c r="TGA5" s="390"/>
      <c r="TGB5" s="390"/>
      <c r="TGC5" s="390"/>
      <c r="TGD5" s="390"/>
      <c r="TGE5" s="390"/>
      <c r="TGF5" s="390"/>
      <c r="TGG5" s="390"/>
      <c r="TGH5" s="390"/>
      <c r="TGI5" s="390"/>
      <c r="TGJ5" s="390"/>
      <c r="TGK5" s="390"/>
      <c r="TGL5" s="390"/>
      <c r="TGM5" s="390"/>
      <c r="TGN5" s="390"/>
      <c r="TGO5" s="390"/>
      <c r="TGP5" s="390"/>
      <c r="TGQ5" s="390"/>
      <c r="TGR5" s="390"/>
      <c r="TGS5" s="390"/>
      <c r="TGT5" s="390"/>
      <c r="TGU5" s="390"/>
      <c r="TGV5" s="390"/>
      <c r="TGW5" s="390"/>
      <c r="TGX5" s="390"/>
      <c r="TGY5" s="390"/>
      <c r="TGZ5" s="390"/>
      <c r="THA5" s="390"/>
      <c r="THB5" s="390"/>
      <c r="THC5" s="390"/>
      <c r="THD5" s="390"/>
      <c r="THE5" s="390"/>
      <c r="THF5" s="390"/>
      <c r="THG5" s="390"/>
      <c r="THH5" s="390"/>
      <c r="THI5" s="390"/>
      <c r="THJ5" s="390"/>
      <c r="THK5" s="390"/>
      <c r="THL5" s="390"/>
      <c r="THM5" s="390"/>
      <c r="THN5" s="390"/>
      <c r="THO5" s="390"/>
      <c r="THP5" s="390"/>
      <c r="THQ5" s="390"/>
      <c r="THR5" s="390"/>
      <c r="THS5" s="390"/>
      <c r="THT5" s="390"/>
      <c r="THU5" s="390"/>
      <c r="THV5" s="390"/>
      <c r="THW5" s="390"/>
      <c r="THX5" s="390"/>
      <c r="THY5" s="390"/>
      <c r="THZ5" s="390"/>
      <c r="TIA5" s="390"/>
      <c r="TIB5" s="390"/>
      <c r="TIC5" s="390"/>
      <c r="TID5" s="390"/>
      <c r="TIE5" s="390"/>
      <c r="TIF5" s="390"/>
      <c r="TIG5" s="390"/>
      <c r="TIH5" s="390"/>
      <c r="TII5" s="390"/>
      <c r="TIJ5" s="390"/>
      <c r="TIK5" s="390"/>
      <c r="TIL5" s="390"/>
      <c r="TIM5" s="390"/>
      <c r="TIN5" s="390"/>
      <c r="TIO5" s="390"/>
      <c r="TIP5" s="390"/>
      <c r="TIQ5" s="390"/>
      <c r="TIR5" s="390"/>
      <c r="TIS5" s="390"/>
      <c r="TIT5" s="390"/>
      <c r="TIU5" s="390"/>
      <c r="TIV5" s="390"/>
      <c r="TIW5" s="390"/>
      <c r="TIX5" s="390"/>
      <c r="TIY5" s="390"/>
      <c r="TIZ5" s="390"/>
      <c r="TJA5" s="390"/>
      <c r="TJB5" s="390"/>
      <c r="TJC5" s="390"/>
      <c r="TJD5" s="390"/>
      <c r="TJE5" s="390"/>
      <c r="TJF5" s="390"/>
      <c r="TJG5" s="390"/>
      <c r="TJH5" s="390"/>
      <c r="TJI5" s="390"/>
      <c r="TJJ5" s="390"/>
      <c r="TJK5" s="390"/>
      <c r="TJL5" s="390"/>
      <c r="TJM5" s="390"/>
      <c r="TJN5" s="390"/>
      <c r="TJO5" s="390"/>
      <c r="TJP5" s="390"/>
      <c r="TJQ5" s="390"/>
      <c r="TJR5" s="390"/>
      <c r="TJS5" s="390"/>
      <c r="TJT5" s="390"/>
      <c r="TJU5" s="390"/>
      <c r="TJV5" s="390"/>
      <c r="TJW5" s="390"/>
      <c r="TJX5" s="390"/>
      <c r="TJY5" s="390"/>
      <c r="TJZ5" s="390"/>
      <c r="TKA5" s="390"/>
      <c r="TKB5" s="390"/>
      <c r="TKC5" s="390"/>
      <c r="TKD5" s="390"/>
      <c r="TKE5" s="390"/>
      <c r="TKF5" s="390"/>
      <c r="TKG5" s="390"/>
      <c r="TKH5" s="390"/>
      <c r="TKI5" s="390"/>
      <c r="TKJ5" s="390"/>
      <c r="TKK5" s="390"/>
      <c r="TKL5" s="390"/>
      <c r="TKM5" s="390"/>
      <c r="TKN5" s="390"/>
      <c r="TKO5" s="390"/>
      <c r="TKP5" s="390"/>
      <c r="TKQ5" s="390"/>
      <c r="TKR5" s="390"/>
      <c r="TKS5" s="390"/>
      <c r="TKT5" s="390"/>
      <c r="TKU5" s="390"/>
      <c r="TKV5" s="390"/>
      <c r="TKW5" s="390"/>
      <c r="TKX5" s="390"/>
      <c r="TKY5" s="390"/>
      <c r="TKZ5" s="390"/>
      <c r="TLA5" s="390"/>
      <c r="TLB5" s="390"/>
      <c r="TLC5" s="390"/>
      <c r="TLD5" s="390"/>
      <c r="TLE5" s="390"/>
      <c r="TLF5" s="390"/>
      <c r="TLG5" s="390"/>
      <c r="TLH5" s="390"/>
      <c r="TLI5" s="390"/>
      <c r="TLJ5" s="390"/>
      <c r="TLK5" s="390"/>
      <c r="TLL5" s="390"/>
      <c r="TLM5" s="390"/>
      <c r="TLN5" s="390"/>
      <c r="TLO5" s="390"/>
      <c r="TLP5" s="390"/>
      <c r="TLQ5" s="390"/>
      <c r="TLR5" s="390"/>
      <c r="TLS5" s="390"/>
      <c r="TLT5" s="390"/>
      <c r="TLU5" s="390"/>
      <c r="TLV5" s="390"/>
      <c r="TLW5" s="390"/>
      <c r="TLX5" s="390"/>
      <c r="TLY5" s="390"/>
      <c r="TLZ5" s="390"/>
      <c r="TMA5" s="390"/>
      <c r="TMB5" s="390"/>
      <c r="TMC5" s="390"/>
      <c r="TMD5" s="390"/>
      <c r="TME5" s="390"/>
      <c r="TMF5" s="390"/>
      <c r="TMG5" s="390"/>
      <c r="TMH5" s="390"/>
      <c r="TMI5" s="390"/>
      <c r="TMJ5" s="390"/>
      <c r="TMK5" s="390"/>
      <c r="TML5" s="390"/>
      <c r="TMM5" s="390"/>
      <c r="TMN5" s="390"/>
      <c r="TMO5" s="390"/>
      <c r="TMP5" s="390"/>
      <c r="TMQ5" s="390"/>
      <c r="TMR5" s="390"/>
      <c r="TMS5" s="390"/>
      <c r="TMT5" s="390"/>
      <c r="TMU5" s="390"/>
      <c r="TMV5" s="390"/>
      <c r="TMW5" s="390"/>
      <c r="TMX5" s="390"/>
      <c r="TMY5" s="390"/>
      <c r="TMZ5" s="390"/>
      <c r="TNA5" s="390"/>
      <c r="TNB5" s="390"/>
      <c r="TNC5" s="390"/>
      <c r="TND5" s="390"/>
      <c r="TNE5" s="390"/>
      <c r="TNF5" s="390"/>
      <c r="TNG5" s="390"/>
      <c r="TNH5" s="390"/>
      <c r="TNI5" s="390"/>
      <c r="TNJ5" s="390"/>
      <c r="TNK5" s="390"/>
      <c r="TNL5" s="390"/>
      <c r="TNM5" s="390"/>
      <c r="TNN5" s="390"/>
      <c r="TNO5" s="390"/>
      <c r="TNP5" s="390"/>
      <c r="TNQ5" s="390"/>
      <c r="TNR5" s="390"/>
      <c r="TNS5" s="390"/>
      <c r="TNT5" s="390"/>
      <c r="TNU5" s="390"/>
      <c r="TNV5" s="390"/>
      <c r="TNW5" s="390"/>
      <c r="TNX5" s="390"/>
      <c r="TNY5" s="390"/>
      <c r="TNZ5" s="390"/>
      <c r="TOA5" s="390"/>
      <c r="TOB5" s="390"/>
      <c r="TOC5" s="390"/>
      <c r="TOD5" s="390"/>
      <c r="TOE5" s="390"/>
      <c r="TOF5" s="390"/>
      <c r="TOG5" s="390"/>
      <c r="TOH5" s="390"/>
      <c r="TOI5" s="390"/>
      <c r="TOJ5" s="390"/>
      <c r="TOK5" s="390"/>
      <c r="TOL5" s="390"/>
      <c r="TOM5" s="390"/>
      <c r="TON5" s="390"/>
      <c r="TOO5" s="390"/>
      <c r="TOP5" s="390"/>
      <c r="TOQ5" s="390"/>
      <c r="TOR5" s="390"/>
      <c r="TOS5" s="390"/>
      <c r="TOT5" s="390"/>
      <c r="TOU5" s="390"/>
      <c r="TOV5" s="390"/>
      <c r="TOW5" s="390"/>
      <c r="TOX5" s="390"/>
      <c r="TOY5" s="390"/>
      <c r="TOZ5" s="390"/>
      <c r="TPA5" s="390"/>
      <c r="TPB5" s="390"/>
      <c r="TPC5" s="390"/>
      <c r="TPD5" s="390"/>
      <c r="TPE5" s="390"/>
      <c r="TPF5" s="390"/>
      <c r="TPG5" s="390"/>
      <c r="TPH5" s="390"/>
      <c r="TPI5" s="390"/>
      <c r="TPJ5" s="390"/>
      <c r="TPK5" s="390"/>
      <c r="TPL5" s="390"/>
      <c r="TPM5" s="390"/>
      <c r="TPN5" s="390"/>
      <c r="TPO5" s="390"/>
      <c r="TPP5" s="390"/>
      <c r="TPQ5" s="390"/>
      <c r="TPR5" s="390"/>
      <c r="TPS5" s="390"/>
      <c r="TPT5" s="390"/>
      <c r="TPU5" s="390"/>
      <c r="TPV5" s="390"/>
      <c r="TPW5" s="390"/>
      <c r="TPX5" s="390"/>
      <c r="TPY5" s="390"/>
      <c r="TPZ5" s="390"/>
      <c r="TQA5" s="390"/>
      <c r="TQB5" s="390"/>
      <c r="TQC5" s="390"/>
      <c r="TQD5" s="390"/>
      <c r="TQE5" s="390"/>
      <c r="TQF5" s="390"/>
      <c r="TQG5" s="390"/>
      <c r="TQH5" s="390"/>
      <c r="TQI5" s="390"/>
      <c r="TQJ5" s="390"/>
      <c r="TQK5" s="390"/>
      <c r="TQL5" s="390"/>
      <c r="TQM5" s="390"/>
      <c r="TQN5" s="390"/>
      <c r="TQO5" s="390"/>
      <c r="TQP5" s="390"/>
      <c r="TQQ5" s="390"/>
      <c r="TQR5" s="390"/>
      <c r="TQS5" s="390"/>
      <c r="TQT5" s="390"/>
      <c r="TQU5" s="390"/>
      <c r="TQV5" s="390"/>
      <c r="TQW5" s="390"/>
      <c r="TQX5" s="390"/>
      <c r="TQY5" s="390"/>
      <c r="TQZ5" s="390"/>
      <c r="TRA5" s="390"/>
      <c r="TRB5" s="390"/>
      <c r="TRC5" s="390"/>
      <c r="TRD5" s="390"/>
      <c r="TRE5" s="390"/>
      <c r="TRF5" s="390"/>
      <c r="TRG5" s="390"/>
      <c r="TRH5" s="390"/>
      <c r="TRI5" s="390"/>
      <c r="TRJ5" s="390"/>
      <c r="TRK5" s="390"/>
      <c r="TRL5" s="390"/>
      <c r="TRM5" s="390"/>
      <c r="TRN5" s="390"/>
      <c r="TRO5" s="390"/>
      <c r="TRP5" s="390"/>
      <c r="TRQ5" s="390"/>
      <c r="TRR5" s="390"/>
      <c r="TRS5" s="390"/>
      <c r="TRT5" s="390"/>
      <c r="TRU5" s="390"/>
      <c r="TRV5" s="390"/>
      <c r="TRW5" s="390"/>
      <c r="TRX5" s="390"/>
      <c r="TRY5" s="390"/>
      <c r="TRZ5" s="390"/>
      <c r="TSA5" s="390"/>
      <c r="TSB5" s="390"/>
      <c r="TSC5" s="390"/>
      <c r="TSD5" s="390"/>
      <c r="TSE5" s="390"/>
      <c r="TSF5" s="390"/>
      <c r="TSG5" s="390"/>
      <c r="TSH5" s="390"/>
      <c r="TSI5" s="390"/>
      <c r="TSJ5" s="390"/>
      <c r="TSK5" s="390"/>
      <c r="TSL5" s="390"/>
      <c r="TSM5" s="390"/>
      <c r="TSN5" s="390"/>
      <c r="TSO5" s="390"/>
      <c r="TSP5" s="390"/>
      <c r="TSQ5" s="390"/>
      <c r="TSR5" s="390"/>
      <c r="TSS5" s="390"/>
      <c r="TST5" s="390"/>
      <c r="TSU5" s="390"/>
      <c r="TSV5" s="390"/>
      <c r="TSW5" s="390"/>
      <c r="TSX5" s="390"/>
      <c r="TSY5" s="390"/>
      <c r="TSZ5" s="390"/>
      <c r="TTA5" s="390"/>
      <c r="TTB5" s="390"/>
      <c r="TTC5" s="390"/>
      <c r="TTD5" s="390"/>
      <c r="TTE5" s="390"/>
      <c r="TTF5" s="390"/>
      <c r="TTG5" s="390"/>
      <c r="TTH5" s="390"/>
      <c r="TTI5" s="390"/>
      <c r="TTJ5" s="390"/>
      <c r="TTK5" s="390"/>
      <c r="TTL5" s="390"/>
      <c r="TTM5" s="390"/>
      <c r="TTN5" s="390"/>
      <c r="TTO5" s="390"/>
      <c r="TTP5" s="390"/>
      <c r="TTQ5" s="390"/>
      <c r="TTR5" s="390"/>
      <c r="TTS5" s="390"/>
      <c r="TTT5" s="390"/>
      <c r="TTU5" s="390"/>
      <c r="TTV5" s="390"/>
      <c r="TTW5" s="390"/>
      <c r="TTX5" s="390"/>
      <c r="TTY5" s="390"/>
      <c r="TTZ5" s="390"/>
      <c r="TUA5" s="390"/>
      <c r="TUB5" s="390"/>
      <c r="TUC5" s="390"/>
      <c r="TUD5" s="390"/>
      <c r="TUE5" s="390"/>
      <c r="TUF5" s="390"/>
      <c r="TUG5" s="390"/>
      <c r="TUH5" s="390"/>
      <c r="TUI5" s="390"/>
      <c r="TUJ5" s="390"/>
      <c r="TUK5" s="390"/>
      <c r="TUL5" s="390"/>
      <c r="TUM5" s="390"/>
      <c r="TUN5" s="390"/>
      <c r="TUO5" s="390"/>
      <c r="TUP5" s="390"/>
      <c r="TUQ5" s="390"/>
      <c r="TUR5" s="390"/>
      <c r="TUS5" s="390"/>
      <c r="TUT5" s="390"/>
      <c r="TUU5" s="390"/>
      <c r="TUV5" s="390"/>
      <c r="TUW5" s="390"/>
      <c r="TUX5" s="390"/>
      <c r="TUY5" s="390"/>
      <c r="TUZ5" s="390"/>
      <c r="TVA5" s="390"/>
      <c r="TVB5" s="390"/>
      <c r="TVC5" s="390"/>
      <c r="TVD5" s="390"/>
      <c r="TVE5" s="390"/>
      <c r="TVF5" s="390"/>
      <c r="TVG5" s="390"/>
      <c r="TVH5" s="390"/>
      <c r="TVI5" s="390"/>
      <c r="TVJ5" s="390"/>
      <c r="TVK5" s="390"/>
      <c r="TVL5" s="390"/>
      <c r="TVM5" s="390"/>
      <c r="TVN5" s="390"/>
      <c r="TVO5" s="390"/>
      <c r="TVP5" s="390"/>
      <c r="TVQ5" s="390"/>
      <c r="TVR5" s="390"/>
      <c r="TVS5" s="390"/>
      <c r="TVT5" s="390"/>
      <c r="TVU5" s="390"/>
      <c r="TVV5" s="390"/>
      <c r="TVW5" s="390"/>
      <c r="TVX5" s="390"/>
      <c r="TVY5" s="390"/>
      <c r="TVZ5" s="390"/>
      <c r="TWA5" s="390"/>
      <c r="TWB5" s="390"/>
      <c r="TWC5" s="390"/>
      <c r="TWD5" s="390"/>
      <c r="TWE5" s="390"/>
      <c r="TWF5" s="390"/>
      <c r="TWG5" s="390"/>
      <c r="TWH5" s="390"/>
      <c r="TWI5" s="390"/>
      <c r="TWJ5" s="390"/>
      <c r="TWK5" s="390"/>
      <c r="TWL5" s="390"/>
      <c r="TWM5" s="390"/>
      <c r="TWN5" s="390"/>
      <c r="TWO5" s="390"/>
      <c r="TWP5" s="390"/>
      <c r="TWQ5" s="390"/>
      <c r="TWR5" s="390"/>
      <c r="TWS5" s="390"/>
      <c r="TWT5" s="390"/>
      <c r="TWU5" s="390"/>
      <c r="TWV5" s="390"/>
      <c r="TWW5" s="390"/>
      <c r="TWX5" s="390"/>
      <c r="TWY5" s="390"/>
      <c r="TWZ5" s="390"/>
      <c r="TXA5" s="390"/>
      <c r="TXB5" s="390"/>
      <c r="TXC5" s="390"/>
      <c r="TXD5" s="390"/>
      <c r="TXE5" s="390"/>
      <c r="TXF5" s="390"/>
      <c r="TXG5" s="390"/>
      <c r="TXH5" s="390"/>
      <c r="TXI5" s="390"/>
      <c r="TXJ5" s="390"/>
      <c r="TXK5" s="390"/>
      <c r="TXL5" s="390"/>
      <c r="TXM5" s="390"/>
      <c r="TXN5" s="390"/>
      <c r="TXO5" s="390"/>
      <c r="TXP5" s="390"/>
      <c r="TXQ5" s="390"/>
      <c r="TXR5" s="390"/>
      <c r="TXS5" s="390"/>
      <c r="TXT5" s="390"/>
      <c r="TXU5" s="390"/>
      <c r="TXV5" s="390"/>
      <c r="TXW5" s="390"/>
      <c r="TXX5" s="390"/>
      <c r="TXY5" s="390"/>
      <c r="TXZ5" s="390"/>
      <c r="TYA5" s="390"/>
      <c r="TYB5" s="390"/>
      <c r="TYC5" s="390"/>
      <c r="TYD5" s="390"/>
      <c r="TYE5" s="390"/>
      <c r="TYF5" s="390"/>
      <c r="TYG5" s="390"/>
      <c r="TYH5" s="390"/>
      <c r="TYI5" s="390"/>
      <c r="TYJ5" s="390"/>
      <c r="TYK5" s="390"/>
      <c r="TYL5" s="390"/>
      <c r="TYM5" s="390"/>
      <c r="TYN5" s="390"/>
      <c r="TYO5" s="390"/>
      <c r="TYP5" s="390"/>
      <c r="TYQ5" s="390"/>
      <c r="TYR5" s="390"/>
      <c r="TYS5" s="390"/>
      <c r="TYT5" s="390"/>
      <c r="TYU5" s="390"/>
      <c r="TYV5" s="390"/>
      <c r="TYW5" s="390"/>
      <c r="TYX5" s="390"/>
      <c r="TYY5" s="390"/>
      <c r="TYZ5" s="390"/>
      <c r="TZA5" s="390"/>
      <c r="TZB5" s="390"/>
      <c r="TZC5" s="390"/>
      <c r="TZD5" s="390"/>
      <c r="TZE5" s="390"/>
      <c r="TZF5" s="390"/>
      <c r="TZG5" s="390"/>
      <c r="TZH5" s="390"/>
      <c r="TZI5" s="390"/>
      <c r="TZJ5" s="390"/>
      <c r="TZK5" s="390"/>
      <c r="TZL5" s="390"/>
      <c r="TZM5" s="390"/>
      <c r="TZN5" s="390"/>
      <c r="TZO5" s="390"/>
      <c r="TZP5" s="390"/>
      <c r="TZQ5" s="390"/>
      <c r="TZR5" s="390"/>
      <c r="TZS5" s="390"/>
      <c r="TZT5" s="390"/>
      <c r="TZU5" s="390"/>
      <c r="TZV5" s="390"/>
      <c r="TZW5" s="390"/>
      <c r="TZX5" s="390"/>
      <c r="TZY5" s="390"/>
      <c r="TZZ5" s="390"/>
      <c r="UAA5" s="390"/>
      <c r="UAB5" s="390"/>
      <c r="UAC5" s="390"/>
      <c r="UAD5" s="390"/>
      <c r="UAE5" s="390"/>
      <c r="UAF5" s="390"/>
      <c r="UAG5" s="390"/>
      <c r="UAH5" s="390"/>
      <c r="UAI5" s="390"/>
      <c r="UAJ5" s="390"/>
      <c r="UAK5" s="390"/>
      <c r="UAL5" s="390"/>
      <c r="UAM5" s="390"/>
      <c r="UAN5" s="390"/>
      <c r="UAO5" s="390"/>
      <c r="UAP5" s="390"/>
      <c r="UAQ5" s="390"/>
      <c r="UAR5" s="390"/>
      <c r="UAS5" s="390"/>
      <c r="UAT5" s="390"/>
      <c r="UAU5" s="390"/>
      <c r="UAV5" s="390"/>
      <c r="UAW5" s="390"/>
      <c r="UAX5" s="390"/>
      <c r="UAY5" s="390"/>
      <c r="UAZ5" s="390"/>
      <c r="UBA5" s="390"/>
      <c r="UBB5" s="390"/>
      <c r="UBC5" s="390"/>
      <c r="UBD5" s="390"/>
      <c r="UBE5" s="390"/>
      <c r="UBF5" s="390"/>
      <c r="UBG5" s="390"/>
      <c r="UBH5" s="390"/>
      <c r="UBI5" s="390"/>
      <c r="UBJ5" s="390"/>
      <c r="UBK5" s="390"/>
      <c r="UBL5" s="390"/>
      <c r="UBM5" s="390"/>
      <c r="UBN5" s="390"/>
      <c r="UBO5" s="390"/>
      <c r="UBP5" s="390"/>
      <c r="UBQ5" s="390"/>
      <c r="UBR5" s="390"/>
      <c r="UBS5" s="390"/>
      <c r="UBT5" s="390"/>
      <c r="UBU5" s="390"/>
      <c r="UBV5" s="390"/>
      <c r="UBW5" s="390"/>
      <c r="UBX5" s="390"/>
      <c r="UBY5" s="390"/>
      <c r="UBZ5" s="390"/>
      <c r="UCA5" s="390"/>
      <c r="UCB5" s="390"/>
      <c r="UCC5" s="390"/>
      <c r="UCD5" s="390"/>
      <c r="UCE5" s="390"/>
      <c r="UCF5" s="390"/>
      <c r="UCG5" s="390"/>
      <c r="UCH5" s="390"/>
      <c r="UCI5" s="390"/>
      <c r="UCJ5" s="390"/>
      <c r="UCK5" s="390"/>
      <c r="UCL5" s="390"/>
      <c r="UCM5" s="390"/>
      <c r="UCN5" s="390"/>
      <c r="UCO5" s="390"/>
      <c r="UCP5" s="390"/>
      <c r="UCQ5" s="390"/>
      <c r="UCR5" s="390"/>
      <c r="UCS5" s="390"/>
      <c r="UCT5" s="390"/>
      <c r="UCU5" s="390"/>
      <c r="UCV5" s="390"/>
      <c r="UCW5" s="390"/>
      <c r="UCX5" s="390"/>
      <c r="UCY5" s="390"/>
      <c r="UCZ5" s="390"/>
      <c r="UDA5" s="390"/>
      <c r="UDB5" s="390"/>
      <c r="UDC5" s="390"/>
      <c r="UDD5" s="390"/>
      <c r="UDE5" s="390"/>
      <c r="UDF5" s="390"/>
      <c r="UDG5" s="390"/>
      <c r="UDH5" s="390"/>
      <c r="UDI5" s="390"/>
      <c r="UDJ5" s="390"/>
      <c r="UDK5" s="390"/>
      <c r="UDL5" s="390"/>
      <c r="UDM5" s="390"/>
      <c r="UDN5" s="390"/>
      <c r="UDO5" s="390"/>
      <c r="UDP5" s="390"/>
      <c r="UDQ5" s="390"/>
      <c r="UDR5" s="390"/>
      <c r="UDS5" s="390"/>
      <c r="UDT5" s="390"/>
      <c r="UDU5" s="390"/>
      <c r="UDV5" s="390"/>
      <c r="UDW5" s="390"/>
      <c r="UDX5" s="390"/>
      <c r="UDY5" s="390"/>
      <c r="UDZ5" s="390"/>
      <c r="UEA5" s="390"/>
      <c r="UEB5" s="390"/>
      <c r="UEC5" s="390"/>
      <c r="UED5" s="390"/>
      <c r="UEE5" s="390"/>
      <c r="UEF5" s="390"/>
      <c r="UEG5" s="390"/>
      <c r="UEH5" s="390"/>
      <c r="UEI5" s="390"/>
      <c r="UEJ5" s="390"/>
      <c r="UEK5" s="390"/>
      <c r="UEL5" s="390"/>
      <c r="UEM5" s="390"/>
      <c r="UEN5" s="390"/>
      <c r="UEO5" s="390"/>
      <c r="UEP5" s="390"/>
      <c r="UEQ5" s="390"/>
      <c r="UER5" s="390"/>
      <c r="UES5" s="390"/>
      <c r="UET5" s="390"/>
      <c r="UEU5" s="390"/>
      <c r="UEV5" s="390"/>
      <c r="UEW5" s="390"/>
      <c r="UEX5" s="390"/>
      <c r="UEY5" s="390"/>
      <c r="UEZ5" s="390"/>
      <c r="UFA5" s="390"/>
      <c r="UFB5" s="390"/>
      <c r="UFC5" s="390"/>
      <c r="UFD5" s="390"/>
      <c r="UFE5" s="390"/>
      <c r="UFF5" s="390"/>
      <c r="UFG5" s="390"/>
      <c r="UFH5" s="390"/>
      <c r="UFI5" s="390"/>
      <c r="UFJ5" s="390"/>
      <c r="UFK5" s="390"/>
      <c r="UFL5" s="390"/>
      <c r="UFM5" s="390"/>
      <c r="UFN5" s="390"/>
      <c r="UFO5" s="390"/>
      <c r="UFP5" s="390"/>
      <c r="UFQ5" s="390"/>
      <c r="UFR5" s="390"/>
      <c r="UFS5" s="390"/>
      <c r="UFT5" s="390"/>
      <c r="UFU5" s="390"/>
      <c r="UFV5" s="390"/>
      <c r="UFW5" s="390"/>
      <c r="UFX5" s="390"/>
      <c r="UFY5" s="390"/>
      <c r="UFZ5" s="390"/>
      <c r="UGA5" s="390"/>
      <c r="UGB5" s="390"/>
      <c r="UGC5" s="390"/>
      <c r="UGD5" s="390"/>
      <c r="UGE5" s="390"/>
      <c r="UGF5" s="390"/>
      <c r="UGG5" s="390"/>
      <c r="UGH5" s="390"/>
      <c r="UGI5" s="390"/>
      <c r="UGJ5" s="390"/>
      <c r="UGK5" s="390"/>
      <c r="UGL5" s="390"/>
      <c r="UGM5" s="390"/>
      <c r="UGN5" s="390"/>
      <c r="UGO5" s="390"/>
      <c r="UGP5" s="390"/>
      <c r="UGQ5" s="390"/>
      <c r="UGR5" s="390"/>
      <c r="UGS5" s="390"/>
      <c r="UGT5" s="390"/>
      <c r="UGU5" s="390"/>
      <c r="UGV5" s="390"/>
      <c r="UGW5" s="390"/>
      <c r="UGX5" s="390"/>
      <c r="UGY5" s="390"/>
      <c r="UGZ5" s="390"/>
      <c r="UHA5" s="390"/>
      <c r="UHB5" s="390"/>
      <c r="UHC5" s="390"/>
      <c r="UHD5" s="390"/>
      <c r="UHE5" s="390"/>
      <c r="UHF5" s="390"/>
      <c r="UHG5" s="390"/>
      <c r="UHH5" s="390"/>
      <c r="UHI5" s="390"/>
      <c r="UHJ5" s="390"/>
      <c r="UHK5" s="390"/>
      <c r="UHL5" s="390"/>
      <c r="UHM5" s="390"/>
      <c r="UHN5" s="390"/>
      <c r="UHO5" s="390"/>
      <c r="UHP5" s="390"/>
      <c r="UHQ5" s="390"/>
      <c r="UHR5" s="390"/>
      <c r="UHS5" s="390"/>
      <c r="UHT5" s="390"/>
      <c r="UHU5" s="390"/>
      <c r="UHV5" s="390"/>
      <c r="UHW5" s="390"/>
      <c r="UHX5" s="390"/>
      <c r="UHY5" s="390"/>
      <c r="UHZ5" s="390"/>
      <c r="UIA5" s="390"/>
      <c r="UIB5" s="390"/>
      <c r="UIC5" s="390"/>
      <c r="UID5" s="390"/>
      <c r="UIE5" s="390"/>
      <c r="UIF5" s="390"/>
      <c r="UIG5" s="390"/>
      <c r="UIH5" s="390"/>
      <c r="UII5" s="390"/>
      <c r="UIJ5" s="390"/>
      <c r="UIK5" s="390"/>
      <c r="UIL5" s="390"/>
      <c r="UIM5" s="390"/>
      <c r="UIN5" s="390"/>
      <c r="UIO5" s="390"/>
      <c r="UIP5" s="390"/>
      <c r="UIQ5" s="390"/>
      <c r="UIR5" s="390"/>
      <c r="UIS5" s="390"/>
      <c r="UIT5" s="390"/>
      <c r="UIU5" s="390"/>
      <c r="UIV5" s="390"/>
      <c r="UIW5" s="390"/>
      <c r="UIX5" s="390"/>
      <c r="UIY5" s="390"/>
      <c r="UIZ5" s="390"/>
      <c r="UJA5" s="390"/>
      <c r="UJB5" s="390"/>
      <c r="UJC5" s="390"/>
      <c r="UJD5" s="390"/>
      <c r="UJE5" s="390"/>
      <c r="UJF5" s="390"/>
      <c r="UJG5" s="390"/>
      <c r="UJH5" s="390"/>
      <c r="UJI5" s="390"/>
      <c r="UJJ5" s="390"/>
      <c r="UJK5" s="390"/>
      <c r="UJL5" s="390"/>
      <c r="UJM5" s="390"/>
      <c r="UJN5" s="390"/>
      <c r="UJO5" s="390"/>
      <c r="UJP5" s="390"/>
      <c r="UJQ5" s="390"/>
      <c r="UJR5" s="390"/>
      <c r="UJS5" s="390"/>
      <c r="UJT5" s="390"/>
      <c r="UJU5" s="390"/>
      <c r="UJV5" s="390"/>
      <c r="UJW5" s="390"/>
      <c r="UJX5" s="390"/>
      <c r="UJY5" s="390"/>
      <c r="UJZ5" s="390"/>
      <c r="UKA5" s="390"/>
      <c r="UKB5" s="390"/>
      <c r="UKC5" s="390"/>
      <c r="UKD5" s="390"/>
      <c r="UKE5" s="390"/>
      <c r="UKF5" s="390"/>
      <c r="UKG5" s="390"/>
      <c r="UKH5" s="390"/>
      <c r="UKI5" s="390"/>
      <c r="UKJ5" s="390"/>
      <c r="UKK5" s="390"/>
      <c r="UKL5" s="390"/>
      <c r="UKM5" s="390"/>
      <c r="UKN5" s="390"/>
      <c r="UKO5" s="390"/>
      <c r="UKP5" s="390"/>
      <c r="UKQ5" s="390"/>
      <c r="UKR5" s="390"/>
      <c r="UKS5" s="390"/>
      <c r="UKT5" s="390"/>
      <c r="UKU5" s="390"/>
      <c r="UKV5" s="390"/>
      <c r="UKW5" s="390"/>
      <c r="UKX5" s="390"/>
      <c r="UKY5" s="390"/>
      <c r="UKZ5" s="390"/>
      <c r="ULA5" s="390"/>
      <c r="ULB5" s="390"/>
      <c r="ULC5" s="390"/>
      <c r="ULD5" s="390"/>
      <c r="ULE5" s="390"/>
      <c r="ULF5" s="390"/>
      <c r="ULG5" s="390"/>
      <c r="ULH5" s="390"/>
      <c r="ULI5" s="390"/>
      <c r="ULJ5" s="390"/>
      <c r="ULK5" s="390"/>
      <c r="ULL5" s="390"/>
      <c r="ULM5" s="390"/>
      <c r="ULN5" s="390"/>
      <c r="ULO5" s="390"/>
      <c r="ULP5" s="390"/>
      <c r="ULQ5" s="390"/>
      <c r="ULR5" s="390"/>
      <c r="ULS5" s="390"/>
      <c r="ULT5" s="390"/>
      <c r="ULU5" s="390"/>
      <c r="ULV5" s="390"/>
      <c r="ULW5" s="390"/>
      <c r="ULX5" s="390"/>
      <c r="ULY5" s="390"/>
      <c r="ULZ5" s="390"/>
      <c r="UMA5" s="390"/>
      <c r="UMB5" s="390"/>
      <c r="UMC5" s="390"/>
      <c r="UMD5" s="390"/>
      <c r="UME5" s="390"/>
      <c r="UMF5" s="390"/>
      <c r="UMG5" s="390"/>
      <c r="UMH5" s="390"/>
      <c r="UMI5" s="390"/>
      <c r="UMJ5" s="390"/>
      <c r="UMK5" s="390"/>
      <c r="UML5" s="390"/>
      <c r="UMM5" s="390"/>
      <c r="UMN5" s="390"/>
      <c r="UMO5" s="390"/>
      <c r="UMP5" s="390"/>
      <c r="UMQ5" s="390"/>
      <c r="UMR5" s="390"/>
      <c r="UMS5" s="390"/>
      <c r="UMT5" s="390"/>
      <c r="UMU5" s="390"/>
      <c r="UMV5" s="390"/>
      <c r="UMW5" s="390"/>
      <c r="UMX5" s="390"/>
      <c r="UMY5" s="390"/>
      <c r="UMZ5" s="390"/>
      <c r="UNA5" s="390"/>
      <c r="UNB5" s="390"/>
      <c r="UNC5" s="390"/>
      <c r="UND5" s="390"/>
      <c r="UNE5" s="390"/>
      <c r="UNF5" s="390"/>
      <c r="UNG5" s="390"/>
      <c r="UNH5" s="390"/>
      <c r="UNI5" s="390"/>
      <c r="UNJ5" s="390"/>
      <c r="UNK5" s="390"/>
      <c r="UNL5" s="390"/>
      <c r="UNM5" s="390"/>
      <c r="UNN5" s="390"/>
      <c r="UNO5" s="390"/>
      <c r="UNP5" s="390"/>
      <c r="UNQ5" s="390"/>
      <c r="UNR5" s="390"/>
      <c r="UNS5" s="390"/>
      <c r="UNT5" s="390"/>
      <c r="UNU5" s="390"/>
      <c r="UNV5" s="390"/>
      <c r="UNW5" s="390"/>
      <c r="UNX5" s="390"/>
      <c r="UNY5" s="390"/>
      <c r="UNZ5" s="390"/>
      <c r="UOA5" s="390"/>
      <c r="UOB5" s="390"/>
      <c r="UOC5" s="390"/>
      <c r="UOD5" s="390"/>
      <c r="UOE5" s="390"/>
      <c r="UOF5" s="390"/>
      <c r="UOG5" s="390"/>
      <c r="UOH5" s="390"/>
      <c r="UOI5" s="390"/>
      <c r="UOJ5" s="390"/>
      <c r="UOK5" s="390"/>
      <c r="UOL5" s="390"/>
      <c r="UOM5" s="390"/>
      <c r="UON5" s="390"/>
      <c r="UOO5" s="390"/>
      <c r="UOP5" s="390"/>
      <c r="UOQ5" s="390"/>
      <c r="UOR5" s="390"/>
      <c r="UOS5" s="390"/>
      <c r="UOT5" s="390"/>
      <c r="UOU5" s="390"/>
      <c r="UOV5" s="390"/>
      <c r="UOW5" s="390"/>
      <c r="UOX5" s="390"/>
      <c r="UOY5" s="390"/>
      <c r="UOZ5" s="390"/>
      <c r="UPA5" s="390"/>
      <c r="UPB5" s="390"/>
      <c r="UPC5" s="390"/>
      <c r="UPD5" s="390"/>
      <c r="UPE5" s="390"/>
      <c r="UPF5" s="390"/>
      <c r="UPG5" s="390"/>
      <c r="UPH5" s="390"/>
      <c r="UPI5" s="390"/>
      <c r="UPJ5" s="390"/>
      <c r="UPK5" s="390"/>
      <c r="UPL5" s="390"/>
      <c r="UPM5" s="390"/>
      <c r="UPN5" s="390"/>
      <c r="UPO5" s="390"/>
      <c r="UPP5" s="390"/>
      <c r="UPQ5" s="390"/>
      <c r="UPR5" s="390"/>
      <c r="UPS5" s="390"/>
      <c r="UPT5" s="390"/>
      <c r="UPU5" s="390"/>
      <c r="UPV5" s="390"/>
      <c r="UPW5" s="390"/>
      <c r="UPX5" s="390"/>
      <c r="UPY5" s="390"/>
      <c r="UPZ5" s="390"/>
      <c r="UQA5" s="390"/>
      <c r="UQB5" s="390"/>
      <c r="UQC5" s="390"/>
      <c r="UQD5" s="390"/>
      <c r="UQE5" s="390"/>
      <c r="UQF5" s="390"/>
      <c r="UQG5" s="390"/>
      <c r="UQH5" s="390"/>
      <c r="UQI5" s="390"/>
      <c r="UQJ5" s="390"/>
      <c r="UQK5" s="390"/>
      <c r="UQL5" s="390"/>
      <c r="UQM5" s="390"/>
      <c r="UQN5" s="390"/>
      <c r="UQO5" s="390"/>
      <c r="UQP5" s="390"/>
      <c r="UQQ5" s="390"/>
      <c r="UQR5" s="390"/>
      <c r="UQS5" s="390"/>
      <c r="UQT5" s="390"/>
      <c r="UQU5" s="390"/>
      <c r="UQV5" s="390"/>
      <c r="UQW5" s="390"/>
      <c r="UQX5" s="390"/>
      <c r="UQY5" s="390"/>
      <c r="UQZ5" s="390"/>
      <c r="URA5" s="390"/>
      <c r="URB5" s="390"/>
      <c r="URC5" s="390"/>
      <c r="URD5" s="390"/>
      <c r="URE5" s="390"/>
      <c r="URF5" s="390"/>
      <c r="URG5" s="390"/>
      <c r="URH5" s="390"/>
      <c r="URI5" s="390"/>
      <c r="URJ5" s="390"/>
      <c r="URK5" s="390"/>
      <c r="URL5" s="390"/>
      <c r="URM5" s="390"/>
      <c r="URN5" s="390"/>
      <c r="URO5" s="390"/>
      <c r="URP5" s="390"/>
      <c r="URQ5" s="390"/>
      <c r="URR5" s="390"/>
      <c r="URS5" s="390"/>
      <c r="URT5" s="390"/>
      <c r="URU5" s="390"/>
      <c r="URV5" s="390"/>
      <c r="URW5" s="390"/>
      <c r="URX5" s="390"/>
      <c r="URY5" s="390"/>
      <c r="URZ5" s="390"/>
      <c r="USA5" s="390"/>
      <c r="USB5" s="390"/>
      <c r="USC5" s="390"/>
      <c r="USD5" s="390"/>
      <c r="USE5" s="390"/>
      <c r="USF5" s="390"/>
      <c r="USG5" s="390"/>
      <c r="USH5" s="390"/>
      <c r="USI5" s="390"/>
      <c r="USJ5" s="390"/>
      <c r="USK5" s="390"/>
      <c r="USL5" s="390"/>
      <c r="USM5" s="390"/>
      <c r="USN5" s="390"/>
      <c r="USO5" s="390"/>
      <c r="USP5" s="390"/>
      <c r="USQ5" s="390"/>
      <c r="USR5" s="390"/>
      <c r="USS5" s="390"/>
      <c r="UST5" s="390"/>
      <c r="USU5" s="390"/>
      <c r="USV5" s="390"/>
      <c r="USW5" s="390"/>
      <c r="USX5" s="390"/>
      <c r="USY5" s="390"/>
      <c r="USZ5" s="390"/>
      <c r="UTA5" s="390"/>
      <c r="UTB5" s="390"/>
      <c r="UTC5" s="390"/>
      <c r="UTD5" s="390"/>
      <c r="UTE5" s="390"/>
      <c r="UTF5" s="390"/>
      <c r="UTG5" s="390"/>
      <c r="UTH5" s="390"/>
      <c r="UTI5" s="390"/>
      <c r="UTJ5" s="390"/>
      <c r="UTK5" s="390"/>
      <c r="UTL5" s="390"/>
      <c r="UTM5" s="390"/>
      <c r="UTN5" s="390"/>
      <c r="UTO5" s="390"/>
      <c r="UTP5" s="390"/>
      <c r="UTQ5" s="390"/>
      <c r="UTR5" s="390"/>
      <c r="UTS5" s="390"/>
      <c r="UTT5" s="390"/>
      <c r="UTU5" s="390"/>
      <c r="UTV5" s="390"/>
      <c r="UTW5" s="390"/>
      <c r="UTX5" s="390"/>
      <c r="UTY5" s="390"/>
      <c r="UTZ5" s="390"/>
      <c r="UUA5" s="390"/>
      <c r="UUB5" s="390"/>
      <c r="UUC5" s="390"/>
      <c r="UUD5" s="390"/>
      <c r="UUE5" s="390"/>
      <c r="UUF5" s="390"/>
      <c r="UUG5" s="390"/>
      <c r="UUH5" s="390"/>
      <c r="UUI5" s="390"/>
      <c r="UUJ5" s="390"/>
      <c r="UUK5" s="390"/>
      <c r="UUL5" s="390"/>
      <c r="UUM5" s="390"/>
      <c r="UUN5" s="390"/>
      <c r="UUO5" s="390"/>
      <c r="UUP5" s="390"/>
      <c r="UUQ5" s="390"/>
      <c r="UUR5" s="390"/>
      <c r="UUS5" s="390"/>
      <c r="UUT5" s="390"/>
      <c r="UUU5" s="390"/>
      <c r="UUV5" s="390"/>
      <c r="UUW5" s="390"/>
      <c r="UUX5" s="390"/>
      <c r="UUY5" s="390"/>
      <c r="UUZ5" s="390"/>
      <c r="UVA5" s="390"/>
      <c r="UVB5" s="390"/>
      <c r="UVC5" s="390"/>
      <c r="UVD5" s="390"/>
      <c r="UVE5" s="390"/>
      <c r="UVF5" s="390"/>
      <c r="UVG5" s="390"/>
      <c r="UVH5" s="390"/>
      <c r="UVI5" s="390"/>
      <c r="UVJ5" s="390"/>
      <c r="UVK5" s="390"/>
      <c r="UVL5" s="390"/>
      <c r="UVM5" s="390"/>
      <c r="UVN5" s="390"/>
      <c r="UVO5" s="390"/>
      <c r="UVP5" s="390"/>
      <c r="UVQ5" s="390"/>
      <c r="UVR5" s="390"/>
      <c r="UVS5" s="390"/>
      <c r="UVT5" s="390"/>
      <c r="UVU5" s="390"/>
      <c r="UVV5" s="390"/>
      <c r="UVW5" s="390"/>
      <c r="UVX5" s="390"/>
      <c r="UVY5" s="390"/>
      <c r="UVZ5" s="390"/>
      <c r="UWA5" s="390"/>
      <c r="UWB5" s="390"/>
      <c r="UWC5" s="390"/>
      <c r="UWD5" s="390"/>
      <c r="UWE5" s="390"/>
      <c r="UWF5" s="390"/>
      <c r="UWG5" s="390"/>
      <c r="UWH5" s="390"/>
      <c r="UWI5" s="390"/>
      <c r="UWJ5" s="390"/>
      <c r="UWK5" s="390"/>
      <c r="UWL5" s="390"/>
      <c r="UWM5" s="390"/>
      <c r="UWN5" s="390"/>
      <c r="UWO5" s="390"/>
      <c r="UWP5" s="390"/>
      <c r="UWQ5" s="390"/>
      <c r="UWR5" s="390"/>
      <c r="UWS5" s="390"/>
      <c r="UWT5" s="390"/>
      <c r="UWU5" s="390"/>
      <c r="UWV5" s="390"/>
      <c r="UWW5" s="390"/>
      <c r="UWX5" s="390"/>
      <c r="UWY5" s="390"/>
      <c r="UWZ5" s="390"/>
      <c r="UXA5" s="390"/>
      <c r="UXB5" s="390"/>
      <c r="UXC5" s="390"/>
      <c r="UXD5" s="390"/>
      <c r="UXE5" s="390"/>
      <c r="UXF5" s="390"/>
      <c r="UXG5" s="390"/>
      <c r="UXH5" s="390"/>
      <c r="UXI5" s="390"/>
      <c r="UXJ5" s="390"/>
      <c r="UXK5" s="390"/>
      <c r="UXL5" s="390"/>
      <c r="UXM5" s="390"/>
      <c r="UXN5" s="390"/>
      <c r="UXO5" s="390"/>
      <c r="UXP5" s="390"/>
      <c r="UXQ5" s="390"/>
      <c r="UXR5" s="390"/>
      <c r="UXS5" s="390"/>
      <c r="UXT5" s="390"/>
      <c r="UXU5" s="390"/>
      <c r="UXV5" s="390"/>
      <c r="UXW5" s="390"/>
      <c r="UXX5" s="390"/>
      <c r="UXY5" s="390"/>
      <c r="UXZ5" s="390"/>
      <c r="UYA5" s="390"/>
      <c r="UYB5" s="390"/>
      <c r="UYC5" s="390"/>
      <c r="UYD5" s="390"/>
      <c r="UYE5" s="390"/>
      <c r="UYF5" s="390"/>
      <c r="UYG5" s="390"/>
      <c r="UYH5" s="390"/>
      <c r="UYI5" s="390"/>
      <c r="UYJ5" s="390"/>
      <c r="UYK5" s="390"/>
      <c r="UYL5" s="390"/>
      <c r="UYM5" s="390"/>
      <c r="UYN5" s="390"/>
      <c r="UYO5" s="390"/>
      <c r="UYP5" s="390"/>
      <c r="UYQ5" s="390"/>
      <c r="UYR5" s="390"/>
      <c r="UYS5" s="390"/>
      <c r="UYT5" s="390"/>
      <c r="UYU5" s="390"/>
      <c r="UYV5" s="390"/>
      <c r="UYW5" s="390"/>
      <c r="UYX5" s="390"/>
      <c r="UYY5" s="390"/>
      <c r="UYZ5" s="390"/>
      <c r="UZA5" s="390"/>
      <c r="UZB5" s="390"/>
      <c r="UZC5" s="390"/>
      <c r="UZD5" s="390"/>
      <c r="UZE5" s="390"/>
      <c r="UZF5" s="390"/>
      <c r="UZG5" s="390"/>
      <c r="UZH5" s="390"/>
      <c r="UZI5" s="390"/>
      <c r="UZJ5" s="390"/>
      <c r="UZK5" s="390"/>
      <c r="UZL5" s="390"/>
      <c r="UZM5" s="390"/>
      <c r="UZN5" s="390"/>
      <c r="UZO5" s="390"/>
      <c r="UZP5" s="390"/>
      <c r="UZQ5" s="390"/>
      <c r="UZR5" s="390"/>
      <c r="UZS5" s="390"/>
      <c r="UZT5" s="390"/>
      <c r="UZU5" s="390"/>
      <c r="UZV5" s="390"/>
      <c r="UZW5" s="390"/>
      <c r="UZX5" s="390"/>
      <c r="UZY5" s="390"/>
      <c r="UZZ5" s="390"/>
      <c r="VAA5" s="390"/>
      <c r="VAB5" s="390"/>
      <c r="VAC5" s="390"/>
      <c r="VAD5" s="390"/>
      <c r="VAE5" s="390"/>
      <c r="VAF5" s="390"/>
      <c r="VAG5" s="390"/>
      <c r="VAH5" s="390"/>
      <c r="VAI5" s="390"/>
      <c r="VAJ5" s="390"/>
      <c r="VAK5" s="390"/>
      <c r="VAL5" s="390"/>
      <c r="VAM5" s="390"/>
      <c r="VAN5" s="390"/>
      <c r="VAO5" s="390"/>
      <c r="VAP5" s="390"/>
      <c r="VAQ5" s="390"/>
      <c r="VAR5" s="390"/>
      <c r="VAS5" s="390"/>
      <c r="VAT5" s="390"/>
      <c r="VAU5" s="390"/>
      <c r="VAV5" s="390"/>
      <c r="VAW5" s="390"/>
      <c r="VAX5" s="390"/>
      <c r="VAY5" s="390"/>
      <c r="VAZ5" s="390"/>
      <c r="VBA5" s="390"/>
      <c r="VBB5" s="390"/>
      <c r="VBC5" s="390"/>
      <c r="VBD5" s="390"/>
      <c r="VBE5" s="390"/>
      <c r="VBF5" s="390"/>
      <c r="VBG5" s="390"/>
      <c r="VBH5" s="390"/>
      <c r="VBI5" s="390"/>
      <c r="VBJ5" s="390"/>
      <c r="VBK5" s="390"/>
      <c r="VBL5" s="390"/>
      <c r="VBM5" s="390"/>
      <c r="VBN5" s="390"/>
      <c r="VBO5" s="390"/>
      <c r="VBP5" s="390"/>
      <c r="VBQ5" s="390"/>
      <c r="VBR5" s="390"/>
      <c r="VBS5" s="390"/>
      <c r="VBT5" s="390"/>
      <c r="VBU5" s="390"/>
      <c r="VBV5" s="390"/>
      <c r="VBW5" s="390"/>
      <c r="VBX5" s="390"/>
      <c r="VBY5" s="390"/>
      <c r="VBZ5" s="390"/>
      <c r="VCA5" s="390"/>
      <c r="VCB5" s="390"/>
      <c r="VCC5" s="390"/>
      <c r="VCD5" s="390"/>
      <c r="VCE5" s="390"/>
      <c r="VCF5" s="390"/>
      <c r="VCG5" s="390"/>
      <c r="VCH5" s="390"/>
      <c r="VCI5" s="390"/>
      <c r="VCJ5" s="390"/>
      <c r="VCK5" s="390"/>
      <c r="VCL5" s="390"/>
      <c r="VCM5" s="390"/>
      <c r="VCN5" s="390"/>
      <c r="VCO5" s="390"/>
      <c r="VCP5" s="390"/>
      <c r="VCQ5" s="390"/>
      <c r="VCR5" s="390"/>
      <c r="VCS5" s="390"/>
      <c r="VCT5" s="390"/>
      <c r="VCU5" s="390"/>
      <c r="VCV5" s="390"/>
      <c r="VCW5" s="390"/>
      <c r="VCX5" s="390"/>
      <c r="VCY5" s="390"/>
      <c r="VCZ5" s="390"/>
      <c r="VDA5" s="390"/>
      <c r="VDB5" s="390"/>
      <c r="VDC5" s="390"/>
      <c r="VDD5" s="390"/>
      <c r="VDE5" s="390"/>
      <c r="VDF5" s="390"/>
      <c r="VDG5" s="390"/>
      <c r="VDH5" s="390"/>
      <c r="VDI5" s="390"/>
      <c r="VDJ5" s="390"/>
      <c r="VDK5" s="390"/>
      <c r="VDL5" s="390"/>
      <c r="VDM5" s="390"/>
      <c r="VDN5" s="390"/>
      <c r="VDO5" s="390"/>
      <c r="VDP5" s="390"/>
      <c r="VDQ5" s="390"/>
      <c r="VDR5" s="390"/>
      <c r="VDS5" s="390"/>
      <c r="VDT5" s="390"/>
      <c r="VDU5" s="390"/>
      <c r="VDV5" s="390"/>
      <c r="VDW5" s="390"/>
      <c r="VDX5" s="390"/>
      <c r="VDY5" s="390"/>
      <c r="VDZ5" s="390"/>
      <c r="VEA5" s="390"/>
      <c r="VEB5" s="390"/>
      <c r="VEC5" s="390"/>
      <c r="VED5" s="390"/>
      <c r="VEE5" s="390"/>
      <c r="VEF5" s="390"/>
      <c r="VEG5" s="390"/>
      <c r="VEH5" s="390"/>
      <c r="VEI5" s="390"/>
      <c r="VEJ5" s="390"/>
      <c r="VEK5" s="390"/>
      <c r="VEL5" s="390"/>
      <c r="VEM5" s="390"/>
      <c r="VEN5" s="390"/>
      <c r="VEO5" s="390"/>
      <c r="VEP5" s="390"/>
      <c r="VEQ5" s="390"/>
      <c r="VER5" s="390"/>
      <c r="VES5" s="390"/>
      <c r="VET5" s="390"/>
      <c r="VEU5" s="390"/>
      <c r="VEV5" s="390"/>
      <c r="VEW5" s="390"/>
      <c r="VEX5" s="390"/>
      <c r="VEY5" s="390"/>
      <c r="VEZ5" s="390"/>
      <c r="VFA5" s="390"/>
      <c r="VFB5" s="390"/>
      <c r="VFC5" s="390"/>
      <c r="VFD5" s="390"/>
      <c r="VFE5" s="390"/>
      <c r="VFF5" s="390"/>
      <c r="VFG5" s="390"/>
      <c r="VFH5" s="390"/>
      <c r="VFI5" s="390"/>
      <c r="VFJ5" s="390"/>
      <c r="VFK5" s="390"/>
      <c r="VFL5" s="390"/>
      <c r="VFM5" s="390"/>
      <c r="VFN5" s="390"/>
      <c r="VFO5" s="390"/>
      <c r="VFP5" s="390"/>
      <c r="VFQ5" s="390"/>
      <c r="VFR5" s="390"/>
      <c r="VFS5" s="390"/>
      <c r="VFT5" s="390"/>
      <c r="VFU5" s="390"/>
      <c r="VFV5" s="390"/>
      <c r="VFW5" s="390"/>
      <c r="VFX5" s="390"/>
      <c r="VFY5" s="390"/>
      <c r="VFZ5" s="390"/>
      <c r="VGA5" s="390"/>
      <c r="VGB5" s="390"/>
      <c r="VGC5" s="390"/>
      <c r="VGD5" s="390"/>
      <c r="VGE5" s="390"/>
      <c r="VGF5" s="390"/>
      <c r="VGG5" s="390"/>
      <c r="VGH5" s="390"/>
      <c r="VGI5" s="390"/>
      <c r="VGJ5" s="390"/>
      <c r="VGK5" s="390"/>
      <c r="VGL5" s="390"/>
      <c r="VGM5" s="390"/>
      <c r="VGN5" s="390"/>
      <c r="VGO5" s="390"/>
      <c r="VGP5" s="390"/>
      <c r="VGQ5" s="390"/>
      <c r="VGR5" s="390"/>
      <c r="VGS5" s="390"/>
      <c r="VGT5" s="390"/>
      <c r="VGU5" s="390"/>
      <c r="VGV5" s="390"/>
      <c r="VGW5" s="390"/>
      <c r="VGX5" s="390"/>
      <c r="VGY5" s="390"/>
      <c r="VGZ5" s="390"/>
      <c r="VHA5" s="390"/>
      <c r="VHB5" s="390"/>
      <c r="VHC5" s="390"/>
      <c r="VHD5" s="390"/>
      <c r="VHE5" s="390"/>
      <c r="VHF5" s="390"/>
      <c r="VHG5" s="390"/>
      <c r="VHH5" s="390"/>
      <c r="VHI5" s="390"/>
      <c r="VHJ5" s="390"/>
      <c r="VHK5" s="390"/>
      <c r="VHL5" s="390"/>
      <c r="VHM5" s="390"/>
      <c r="VHN5" s="390"/>
      <c r="VHO5" s="390"/>
      <c r="VHP5" s="390"/>
      <c r="VHQ5" s="390"/>
      <c r="VHR5" s="390"/>
      <c r="VHS5" s="390"/>
      <c r="VHT5" s="390"/>
      <c r="VHU5" s="390"/>
      <c r="VHV5" s="390"/>
      <c r="VHW5" s="390"/>
      <c r="VHX5" s="390"/>
      <c r="VHY5" s="390"/>
      <c r="VHZ5" s="390"/>
      <c r="VIA5" s="390"/>
      <c r="VIB5" s="390"/>
      <c r="VIC5" s="390"/>
      <c r="VID5" s="390"/>
      <c r="VIE5" s="390"/>
      <c r="VIF5" s="390"/>
      <c r="VIG5" s="390"/>
      <c r="VIH5" s="390"/>
      <c r="VII5" s="390"/>
      <c r="VIJ5" s="390"/>
      <c r="VIK5" s="390"/>
      <c r="VIL5" s="390"/>
      <c r="VIM5" s="390"/>
      <c r="VIN5" s="390"/>
      <c r="VIO5" s="390"/>
      <c r="VIP5" s="390"/>
      <c r="VIQ5" s="390"/>
      <c r="VIR5" s="390"/>
      <c r="VIS5" s="390"/>
      <c r="VIT5" s="390"/>
      <c r="VIU5" s="390"/>
      <c r="VIV5" s="390"/>
      <c r="VIW5" s="390"/>
      <c r="VIX5" s="390"/>
      <c r="VIY5" s="390"/>
      <c r="VIZ5" s="390"/>
      <c r="VJA5" s="390"/>
      <c r="VJB5" s="390"/>
      <c r="VJC5" s="390"/>
      <c r="VJD5" s="390"/>
      <c r="VJE5" s="390"/>
      <c r="VJF5" s="390"/>
      <c r="VJG5" s="390"/>
      <c r="VJH5" s="390"/>
      <c r="VJI5" s="390"/>
      <c r="VJJ5" s="390"/>
      <c r="VJK5" s="390"/>
      <c r="VJL5" s="390"/>
      <c r="VJM5" s="390"/>
      <c r="VJN5" s="390"/>
      <c r="VJO5" s="390"/>
      <c r="VJP5" s="390"/>
      <c r="VJQ5" s="390"/>
      <c r="VJR5" s="390"/>
      <c r="VJS5" s="390"/>
      <c r="VJT5" s="390"/>
      <c r="VJU5" s="390"/>
      <c r="VJV5" s="390"/>
      <c r="VJW5" s="390"/>
      <c r="VJX5" s="390"/>
      <c r="VJY5" s="390"/>
      <c r="VJZ5" s="390"/>
      <c r="VKA5" s="390"/>
      <c r="VKB5" s="390"/>
      <c r="VKC5" s="390"/>
      <c r="VKD5" s="390"/>
      <c r="VKE5" s="390"/>
      <c r="VKF5" s="390"/>
      <c r="VKG5" s="390"/>
      <c r="VKH5" s="390"/>
      <c r="VKI5" s="390"/>
      <c r="VKJ5" s="390"/>
      <c r="VKK5" s="390"/>
      <c r="VKL5" s="390"/>
      <c r="VKM5" s="390"/>
      <c r="VKN5" s="390"/>
      <c r="VKO5" s="390"/>
      <c r="VKP5" s="390"/>
      <c r="VKQ5" s="390"/>
      <c r="VKR5" s="390"/>
      <c r="VKS5" s="390"/>
      <c r="VKT5" s="390"/>
      <c r="VKU5" s="390"/>
      <c r="VKV5" s="390"/>
      <c r="VKW5" s="390"/>
      <c r="VKX5" s="390"/>
      <c r="VKY5" s="390"/>
      <c r="VKZ5" s="390"/>
      <c r="VLA5" s="390"/>
      <c r="VLB5" s="390"/>
      <c r="VLC5" s="390"/>
      <c r="VLD5" s="390"/>
      <c r="VLE5" s="390"/>
      <c r="VLF5" s="390"/>
      <c r="VLG5" s="390"/>
      <c r="VLH5" s="390"/>
      <c r="VLI5" s="390"/>
      <c r="VLJ5" s="390"/>
      <c r="VLK5" s="390"/>
      <c r="VLL5" s="390"/>
      <c r="VLM5" s="390"/>
      <c r="VLN5" s="390"/>
      <c r="VLO5" s="390"/>
      <c r="VLP5" s="390"/>
      <c r="VLQ5" s="390"/>
      <c r="VLR5" s="390"/>
      <c r="VLS5" s="390"/>
      <c r="VLT5" s="390"/>
      <c r="VLU5" s="390"/>
      <c r="VLV5" s="390"/>
      <c r="VLW5" s="390"/>
      <c r="VLX5" s="390"/>
      <c r="VLY5" s="390"/>
      <c r="VLZ5" s="390"/>
      <c r="VMA5" s="390"/>
      <c r="VMB5" s="390"/>
      <c r="VMC5" s="390"/>
      <c r="VMD5" s="390"/>
      <c r="VME5" s="390"/>
      <c r="VMF5" s="390"/>
      <c r="VMG5" s="390"/>
      <c r="VMH5" s="390"/>
      <c r="VMI5" s="390"/>
      <c r="VMJ5" s="390"/>
      <c r="VMK5" s="390"/>
      <c r="VML5" s="390"/>
      <c r="VMM5" s="390"/>
      <c r="VMN5" s="390"/>
      <c r="VMO5" s="390"/>
      <c r="VMP5" s="390"/>
      <c r="VMQ5" s="390"/>
      <c r="VMR5" s="390"/>
      <c r="VMS5" s="390"/>
      <c r="VMT5" s="390"/>
      <c r="VMU5" s="390"/>
      <c r="VMV5" s="390"/>
      <c r="VMW5" s="390"/>
      <c r="VMX5" s="390"/>
      <c r="VMY5" s="390"/>
      <c r="VMZ5" s="390"/>
      <c r="VNA5" s="390"/>
      <c r="VNB5" s="390"/>
      <c r="VNC5" s="390"/>
      <c r="VND5" s="390"/>
      <c r="VNE5" s="390"/>
      <c r="VNF5" s="390"/>
      <c r="VNG5" s="390"/>
      <c r="VNH5" s="390"/>
      <c r="VNI5" s="390"/>
      <c r="VNJ5" s="390"/>
      <c r="VNK5" s="390"/>
      <c r="VNL5" s="390"/>
      <c r="VNM5" s="390"/>
      <c r="VNN5" s="390"/>
      <c r="VNO5" s="390"/>
      <c r="VNP5" s="390"/>
      <c r="VNQ5" s="390"/>
      <c r="VNR5" s="390"/>
      <c r="VNS5" s="390"/>
      <c r="VNT5" s="390"/>
      <c r="VNU5" s="390"/>
      <c r="VNV5" s="390"/>
      <c r="VNW5" s="390"/>
      <c r="VNX5" s="390"/>
      <c r="VNY5" s="390"/>
      <c r="VNZ5" s="390"/>
      <c r="VOA5" s="390"/>
      <c r="VOB5" s="390"/>
      <c r="VOC5" s="390"/>
      <c r="VOD5" s="390"/>
      <c r="VOE5" s="390"/>
      <c r="VOF5" s="390"/>
      <c r="VOG5" s="390"/>
      <c r="VOH5" s="390"/>
      <c r="VOI5" s="390"/>
      <c r="VOJ5" s="390"/>
      <c r="VOK5" s="390"/>
      <c r="VOL5" s="390"/>
      <c r="VOM5" s="390"/>
      <c r="VON5" s="390"/>
      <c r="VOO5" s="390"/>
      <c r="VOP5" s="390"/>
      <c r="VOQ5" s="390"/>
      <c r="VOR5" s="390"/>
      <c r="VOS5" s="390"/>
      <c r="VOT5" s="390"/>
      <c r="VOU5" s="390"/>
      <c r="VOV5" s="390"/>
      <c r="VOW5" s="390"/>
      <c r="VOX5" s="390"/>
      <c r="VOY5" s="390"/>
      <c r="VOZ5" s="390"/>
      <c r="VPA5" s="390"/>
      <c r="VPB5" s="390"/>
      <c r="VPC5" s="390"/>
      <c r="VPD5" s="390"/>
      <c r="VPE5" s="390"/>
      <c r="VPF5" s="390"/>
      <c r="VPG5" s="390"/>
      <c r="VPH5" s="390"/>
      <c r="VPI5" s="390"/>
      <c r="VPJ5" s="390"/>
      <c r="VPK5" s="390"/>
      <c r="VPL5" s="390"/>
      <c r="VPM5" s="390"/>
      <c r="VPN5" s="390"/>
      <c r="VPO5" s="390"/>
      <c r="VPP5" s="390"/>
      <c r="VPQ5" s="390"/>
      <c r="VPR5" s="390"/>
      <c r="VPS5" s="390"/>
      <c r="VPT5" s="390"/>
      <c r="VPU5" s="390"/>
      <c r="VPV5" s="390"/>
      <c r="VPW5" s="390"/>
      <c r="VPX5" s="390"/>
      <c r="VPY5" s="390"/>
      <c r="VPZ5" s="390"/>
      <c r="VQA5" s="390"/>
      <c r="VQB5" s="390"/>
      <c r="VQC5" s="390"/>
      <c r="VQD5" s="390"/>
      <c r="VQE5" s="390"/>
      <c r="VQF5" s="390"/>
      <c r="VQG5" s="390"/>
      <c r="VQH5" s="390"/>
      <c r="VQI5" s="390"/>
      <c r="VQJ5" s="390"/>
      <c r="VQK5" s="390"/>
      <c r="VQL5" s="390"/>
      <c r="VQM5" s="390"/>
      <c r="VQN5" s="390"/>
      <c r="VQO5" s="390"/>
      <c r="VQP5" s="390"/>
      <c r="VQQ5" s="390"/>
      <c r="VQR5" s="390"/>
      <c r="VQS5" s="390"/>
      <c r="VQT5" s="390"/>
      <c r="VQU5" s="390"/>
      <c r="VQV5" s="390"/>
      <c r="VQW5" s="390"/>
      <c r="VQX5" s="390"/>
      <c r="VQY5" s="390"/>
      <c r="VQZ5" s="390"/>
      <c r="VRA5" s="390"/>
      <c r="VRB5" s="390"/>
      <c r="VRC5" s="390"/>
      <c r="VRD5" s="390"/>
      <c r="VRE5" s="390"/>
      <c r="VRF5" s="390"/>
      <c r="VRG5" s="390"/>
      <c r="VRH5" s="390"/>
      <c r="VRI5" s="390"/>
      <c r="VRJ5" s="390"/>
      <c r="VRK5" s="390"/>
      <c r="VRL5" s="390"/>
      <c r="VRM5" s="390"/>
      <c r="VRN5" s="390"/>
      <c r="VRO5" s="390"/>
      <c r="VRP5" s="390"/>
      <c r="VRQ5" s="390"/>
      <c r="VRR5" s="390"/>
      <c r="VRS5" s="390"/>
      <c r="VRT5" s="390"/>
      <c r="VRU5" s="390"/>
      <c r="VRV5" s="390"/>
      <c r="VRW5" s="390"/>
      <c r="VRX5" s="390"/>
      <c r="VRY5" s="390"/>
      <c r="VRZ5" s="390"/>
      <c r="VSA5" s="390"/>
      <c r="VSB5" s="390"/>
      <c r="VSC5" s="390"/>
      <c r="VSD5" s="390"/>
      <c r="VSE5" s="390"/>
      <c r="VSF5" s="390"/>
      <c r="VSG5" s="390"/>
      <c r="VSH5" s="390"/>
      <c r="VSI5" s="390"/>
      <c r="VSJ5" s="390"/>
      <c r="VSK5" s="390"/>
      <c r="VSL5" s="390"/>
      <c r="VSM5" s="390"/>
      <c r="VSN5" s="390"/>
      <c r="VSO5" s="390"/>
      <c r="VSP5" s="390"/>
      <c r="VSQ5" s="390"/>
      <c r="VSR5" s="390"/>
      <c r="VSS5" s="390"/>
      <c r="VST5" s="390"/>
      <c r="VSU5" s="390"/>
      <c r="VSV5" s="390"/>
      <c r="VSW5" s="390"/>
      <c r="VSX5" s="390"/>
      <c r="VSY5" s="390"/>
      <c r="VSZ5" s="390"/>
      <c r="VTA5" s="390"/>
      <c r="VTB5" s="390"/>
      <c r="VTC5" s="390"/>
      <c r="VTD5" s="390"/>
      <c r="VTE5" s="390"/>
      <c r="VTF5" s="390"/>
      <c r="VTG5" s="390"/>
      <c r="VTH5" s="390"/>
      <c r="VTI5" s="390"/>
      <c r="VTJ5" s="390"/>
      <c r="VTK5" s="390"/>
      <c r="VTL5" s="390"/>
      <c r="VTM5" s="390"/>
      <c r="VTN5" s="390"/>
      <c r="VTO5" s="390"/>
      <c r="VTP5" s="390"/>
      <c r="VTQ5" s="390"/>
      <c r="VTR5" s="390"/>
      <c r="VTS5" s="390"/>
      <c r="VTT5" s="390"/>
      <c r="VTU5" s="390"/>
      <c r="VTV5" s="390"/>
      <c r="VTW5" s="390"/>
      <c r="VTX5" s="390"/>
      <c r="VTY5" s="390"/>
      <c r="VTZ5" s="390"/>
      <c r="VUA5" s="390"/>
      <c r="VUB5" s="390"/>
      <c r="VUC5" s="390"/>
      <c r="VUD5" s="390"/>
      <c r="VUE5" s="390"/>
      <c r="VUF5" s="390"/>
      <c r="VUG5" s="390"/>
      <c r="VUH5" s="390"/>
      <c r="VUI5" s="390"/>
      <c r="VUJ5" s="390"/>
      <c r="VUK5" s="390"/>
      <c r="VUL5" s="390"/>
      <c r="VUM5" s="390"/>
      <c r="VUN5" s="390"/>
      <c r="VUO5" s="390"/>
      <c r="VUP5" s="390"/>
      <c r="VUQ5" s="390"/>
      <c r="VUR5" s="390"/>
      <c r="VUS5" s="390"/>
      <c r="VUT5" s="390"/>
      <c r="VUU5" s="390"/>
      <c r="VUV5" s="390"/>
      <c r="VUW5" s="390"/>
      <c r="VUX5" s="390"/>
      <c r="VUY5" s="390"/>
      <c r="VUZ5" s="390"/>
      <c r="VVA5" s="390"/>
      <c r="VVB5" s="390"/>
      <c r="VVC5" s="390"/>
      <c r="VVD5" s="390"/>
      <c r="VVE5" s="390"/>
      <c r="VVF5" s="390"/>
      <c r="VVG5" s="390"/>
      <c r="VVH5" s="390"/>
      <c r="VVI5" s="390"/>
      <c r="VVJ5" s="390"/>
      <c r="VVK5" s="390"/>
      <c r="VVL5" s="390"/>
      <c r="VVM5" s="390"/>
      <c r="VVN5" s="390"/>
      <c r="VVO5" s="390"/>
      <c r="VVP5" s="390"/>
      <c r="VVQ5" s="390"/>
      <c r="VVR5" s="390"/>
      <c r="VVS5" s="390"/>
      <c r="VVT5" s="390"/>
      <c r="VVU5" s="390"/>
      <c r="VVV5" s="390"/>
      <c r="VVW5" s="390"/>
      <c r="VVX5" s="390"/>
      <c r="VVY5" s="390"/>
      <c r="VVZ5" s="390"/>
      <c r="VWA5" s="390"/>
      <c r="VWB5" s="390"/>
      <c r="VWC5" s="390"/>
      <c r="VWD5" s="390"/>
      <c r="VWE5" s="390"/>
      <c r="VWF5" s="390"/>
      <c r="VWG5" s="390"/>
      <c r="VWH5" s="390"/>
      <c r="VWI5" s="390"/>
      <c r="VWJ5" s="390"/>
      <c r="VWK5" s="390"/>
      <c r="VWL5" s="390"/>
      <c r="VWM5" s="390"/>
      <c r="VWN5" s="390"/>
      <c r="VWO5" s="390"/>
      <c r="VWP5" s="390"/>
      <c r="VWQ5" s="390"/>
      <c r="VWR5" s="390"/>
      <c r="VWS5" s="390"/>
      <c r="VWT5" s="390"/>
      <c r="VWU5" s="390"/>
      <c r="VWV5" s="390"/>
      <c r="VWW5" s="390"/>
      <c r="VWX5" s="390"/>
      <c r="VWY5" s="390"/>
      <c r="VWZ5" s="390"/>
      <c r="VXA5" s="390"/>
      <c r="VXB5" s="390"/>
      <c r="VXC5" s="390"/>
      <c r="VXD5" s="390"/>
      <c r="VXE5" s="390"/>
      <c r="VXF5" s="390"/>
      <c r="VXG5" s="390"/>
      <c r="VXH5" s="390"/>
      <c r="VXI5" s="390"/>
      <c r="VXJ5" s="390"/>
      <c r="VXK5" s="390"/>
      <c r="VXL5" s="390"/>
      <c r="VXM5" s="390"/>
      <c r="VXN5" s="390"/>
      <c r="VXO5" s="390"/>
      <c r="VXP5" s="390"/>
      <c r="VXQ5" s="390"/>
      <c r="VXR5" s="390"/>
      <c r="VXS5" s="390"/>
      <c r="VXT5" s="390"/>
      <c r="VXU5" s="390"/>
      <c r="VXV5" s="390"/>
      <c r="VXW5" s="390"/>
      <c r="VXX5" s="390"/>
      <c r="VXY5" s="390"/>
      <c r="VXZ5" s="390"/>
      <c r="VYA5" s="390"/>
      <c r="VYB5" s="390"/>
      <c r="VYC5" s="390"/>
      <c r="VYD5" s="390"/>
      <c r="VYE5" s="390"/>
      <c r="VYF5" s="390"/>
      <c r="VYG5" s="390"/>
      <c r="VYH5" s="390"/>
      <c r="VYI5" s="390"/>
      <c r="VYJ5" s="390"/>
      <c r="VYK5" s="390"/>
      <c r="VYL5" s="390"/>
      <c r="VYM5" s="390"/>
      <c r="VYN5" s="390"/>
      <c r="VYO5" s="390"/>
      <c r="VYP5" s="390"/>
      <c r="VYQ5" s="390"/>
      <c r="VYR5" s="390"/>
      <c r="VYS5" s="390"/>
      <c r="VYT5" s="390"/>
      <c r="VYU5" s="390"/>
      <c r="VYV5" s="390"/>
      <c r="VYW5" s="390"/>
      <c r="VYX5" s="390"/>
      <c r="VYY5" s="390"/>
      <c r="VYZ5" s="390"/>
      <c r="VZA5" s="390"/>
      <c r="VZB5" s="390"/>
      <c r="VZC5" s="390"/>
      <c r="VZD5" s="390"/>
      <c r="VZE5" s="390"/>
      <c r="VZF5" s="390"/>
      <c r="VZG5" s="390"/>
      <c r="VZH5" s="390"/>
      <c r="VZI5" s="390"/>
      <c r="VZJ5" s="390"/>
      <c r="VZK5" s="390"/>
      <c r="VZL5" s="390"/>
      <c r="VZM5" s="390"/>
      <c r="VZN5" s="390"/>
      <c r="VZO5" s="390"/>
      <c r="VZP5" s="390"/>
      <c r="VZQ5" s="390"/>
      <c r="VZR5" s="390"/>
      <c r="VZS5" s="390"/>
      <c r="VZT5" s="390"/>
      <c r="VZU5" s="390"/>
      <c r="VZV5" s="390"/>
      <c r="VZW5" s="390"/>
      <c r="VZX5" s="390"/>
      <c r="VZY5" s="390"/>
      <c r="VZZ5" s="390"/>
      <c r="WAA5" s="390"/>
      <c r="WAB5" s="390"/>
      <c r="WAC5" s="390"/>
      <c r="WAD5" s="390"/>
      <c r="WAE5" s="390"/>
      <c r="WAF5" s="390"/>
      <c r="WAG5" s="390"/>
      <c r="WAH5" s="390"/>
      <c r="WAI5" s="390"/>
      <c r="WAJ5" s="390"/>
      <c r="WAK5" s="390"/>
      <c r="WAL5" s="390"/>
      <c r="WAM5" s="390"/>
      <c r="WAN5" s="390"/>
      <c r="WAO5" s="390"/>
      <c r="WAP5" s="390"/>
      <c r="WAQ5" s="390"/>
      <c r="WAR5" s="390"/>
      <c r="WAS5" s="390"/>
      <c r="WAT5" s="390"/>
      <c r="WAU5" s="390"/>
      <c r="WAV5" s="390"/>
      <c r="WAW5" s="390"/>
      <c r="WAX5" s="390"/>
      <c r="WAY5" s="390"/>
      <c r="WAZ5" s="390"/>
      <c r="WBA5" s="390"/>
      <c r="WBB5" s="390"/>
      <c r="WBC5" s="390"/>
      <c r="WBD5" s="390"/>
      <c r="WBE5" s="390"/>
      <c r="WBF5" s="390"/>
      <c r="WBG5" s="390"/>
      <c r="WBH5" s="390"/>
      <c r="WBI5" s="390"/>
      <c r="WBJ5" s="390"/>
      <c r="WBK5" s="390"/>
      <c r="WBL5" s="390"/>
      <c r="WBM5" s="390"/>
      <c r="WBN5" s="390"/>
      <c r="WBO5" s="390"/>
      <c r="WBP5" s="390"/>
      <c r="WBQ5" s="390"/>
      <c r="WBR5" s="390"/>
      <c r="WBS5" s="390"/>
      <c r="WBT5" s="390"/>
      <c r="WBU5" s="390"/>
      <c r="WBV5" s="390"/>
      <c r="WBW5" s="390"/>
      <c r="WBX5" s="390"/>
      <c r="WBY5" s="390"/>
      <c r="WBZ5" s="390"/>
      <c r="WCA5" s="390"/>
      <c r="WCB5" s="390"/>
      <c r="WCC5" s="390"/>
      <c r="WCD5" s="390"/>
      <c r="WCE5" s="390"/>
      <c r="WCF5" s="390"/>
      <c r="WCG5" s="390"/>
      <c r="WCH5" s="390"/>
      <c r="WCI5" s="390"/>
      <c r="WCJ5" s="390"/>
      <c r="WCK5" s="390"/>
      <c r="WCL5" s="390"/>
      <c r="WCM5" s="390"/>
      <c r="WCN5" s="390"/>
      <c r="WCO5" s="390"/>
      <c r="WCP5" s="390"/>
      <c r="WCQ5" s="390"/>
      <c r="WCR5" s="390"/>
      <c r="WCS5" s="390"/>
      <c r="WCT5" s="390"/>
      <c r="WCU5" s="390"/>
      <c r="WCV5" s="390"/>
      <c r="WCW5" s="390"/>
      <c r="WCX5" s="390"/>
      <c r="WCY5" s="390"/>
      <c r="WCZ5" s="390"/>
      <c r="WDA5" s="390"/>
      <c r="WDB5" s="390"/>
      <c r="WDC5" s="390"/>
      <c r="WDD5" s="390"/>
      <c r="WDE5" s="390"/>
      <c r="WDF5" s="390"/>
      <c r="WDG5" s="390"/>
      <c r="WDH5" s="390"/>
      <c r="WDI5" s="390"/>
      <c r="WDJ5" s="390"/>
      <c r="WDK5" s="390"/>
      <c r="WDL5" s="390"/>
      <c r="WDM5" s="390"/>
      <c r="WDN5" s="390"/>
      <c r="WDO5" s="390"/>
      <c r="WDP5" s="390"/>
      <c r="WDQ5" s="390"/>
      <c r="WDR5" s="390"/>
      <c r="WDS5" s="390"/>
      <c r="WDT5" s="390"/>
      <c r="WDU5" s="390"/>
      <c r="WDV5" s="390"/>
      <c r="WDW5" s="390"/>
      <c r="WDX5" s="390"/>
      <c r="WDY5" s="390"/>
      <c r="WDZ5" s="390"/>
      <c r="WEA5" s="390"/>
      <c r="WEB5" s="390"/>
      <c r="WEC5" s="390"/>
      <c r="WED5" s="390"/>
      <c r="WEE5" s="390"/>
      <c r="WEF5" s="390"/>
      <c r="WEG5" s="390"/>
      <c r="WEH5" s="390"/>
      <c r="WEI5" s="390"/>
      <c r="WEJ5" s="390"/>
      <c r="WEK5" s="390"/>
      <c r="WEL5" s="390"/>
      <c r="WEM5" s="390"/>
      <c r="WEN5" s="390"/>
      <c r="WEO5" s="390"/>
      <c r="WEP5" s="390"/>
      <c r="WEQ5" s="390"/>
      <c r="WER5" s="390"/>
      <c r="WES5" s="390"/>
      <c r="WET5" s="390"/>
      <c r="WEU5" s="390"/>
      <c r="WEV5" s="390"/>
      <c r="WEW5" s="390"/>
      <c r="WEX5" s="390"/>
      <c r="WEY5" s="390"/>
      <c r="WEZ5" s="390"/>
      <c r="WFA5" s="390"/>
      <c r="WFB5" s="390"/>
      <c r="WFC5" s="390"/>
      <c r="WFD5" s="390"/>
      <c r="WFE5" s="390"/>
      <c r="WFF5" s="390"/>
      <c r="WFG5" s="390"/>
      <c r="WFH5" s="390"/>
      <c r="WFI5" s="390"/>
      <c r="WFJ5" s="390"/>
      <c r="WFK5" s="390"/>
      <c r="WFL5" s="390"/>
      <c r="WFM5" s="390"/>
      <c r="WFN5" s="390"/>
      <c r="WFO5" s="390"/>
      <c r="WFP5" s="390"/>
      <c r="WFQ5" s="390"/>
      <c r="WFR5" s="390"/>
      <c r="WFS5" s="390"/>
      <c r="WFT5" s="390"/>
      <c r="WFU5" s="390"/>
      <c r="WFV5" s="390"/>
      <c r="WFW5" s="390"/>
      <c r="WFX5" s="390"/>
      <c r="WFY5" s="390"/>
      <c r="WFZ5" s="390"/>
      <c r="WGA5" s="390"/>
      <c r="WGB5" s="390"/>
      <c r="WGC5" s="390"/>
      <c r="WGD5" s="390"/>
      <c r="WGE5" s="390"/>
      <c r="WGF5" s="390"/>
      <c r="WGG5" s="390"/>
      <c r="WGH5" s="390"/>
      <c r="WGI5" s="390"/>
      <c r="WGJ5" s="390"/>
      <c r="WGK5" s="390"/>
      <c r="WGL5" s="390"/>
      <c r="WGM5" s="390"/>
      <c r="WGN5" s="390"/>
      <c r="WGO5" s="390"/>
      <c r="WGP5" s="390"/>
      <c r="WGQ5" s="390"/>
      <c r="WGR5" s="390"/>
      <c r="WGS5" s="390"/>
      <c r="WGT5" s="390"/>
      <c r="WGU5" s="390"/>
      <c r="WGV5" s="390"/>
      <c r="WGW5" s="390"/>
      <c r="WGX5" s="390"/>
      <c r="WGY5" s="390"/>
      <c r="WGZ5" s="390"/>
      <c r="WHA5" s="390"/>
      <c r="WHB5" s="390"/>
      <c r="WHC5" s="390"/>
      <c r="WHD5" s="390"/>
      <c r="WHE5" s="390"/>
      <c r="WHF5" s="390"/>
      <c r="WHG5" s="390"/>
      <c r="WHH5" s="390"/>
      <c r="WHI5" s="390"/>
      <c r="WHJ5" s="390"/>
      <c r="WHK5" s="390"/>
      <c r="WHL5" s="390"/>
      <c r="WHM5" s="390"/>
      <c r="WHN5" s="390"/>
      <c r="WHO5" s="390"/>
      <c r="WHP5" s="390"/>
      <c r="WHQ5" s="390"/>
      <c r="WHR5" s="390"/>
      <c r="WHS5" s="390"/>
      <c r="WHT5" s="390"/>
      <c r="WHU5" s="390"/>
      <c r="WHV5" s="390"/>
      <c r="WHW5" s="390"/>
      <c r="WHX5" s="390"/>
      <c r="WHY5" s="390"/>
      <c r="WHZ5" s="390"/>
      <c r="WIA5" s="390"/>
      <c r="WIB5" s="390"/>
      <c r="WIC5" s="390"/>
      <c r="WID5" s="390"/>
      <c r="WIE5" s="390"/>
      <c r="WIF5" s="390"/>
      <c r="WIG5" s="390"/>
      <c r="WIH5" s="390"/>
      <c r="WII5" s="390"/>
      <c r="WIJ5" s="390"/>
      <c r="WIK5" s="390"/>
      <c r="WIL5" s="390"/>
      <c r="WIM5" s="390"/>
      <c r="WIN5" s="390"/>
      <c r="WIO5" s="390"/>
      <c r="WIP5" s="390"/>
      <c r="WIQ5" s="390"/>
      <c r="WIR5" s="390"/>
      <c r="WIS5" s="390"/>
      <c r="WIT5" s="390"/>
      <c r="WIU5" s="390"/>
      <c r="WIV5" s="390"/>
      <c r="WIW5" s="390"/>
      <c r="WIX5" s="390"/>
      <c r="WIY5" s="390"/>
      <c r="WIZ5" s="390"/>
      <c r="WJA5" s="390"/>
      <c r="WJB5" s="390"/>
      <c r="WJC5" s="390"/>
      <c r="WJD5" s="390"/>
      <c r="WJE5" s="390"/>
      <c r="WJF5" s="390"/>
      <c r="WJG5" s="390"/>
      <c r="WJH5" s="390"/>
      <c r="WJI5" s="390"/>
      <c r="WJJ5" s="390"/>
      <c r="WJK5" s="390"/>
      <c r="WJL5" s="390"/>
      <c r="WJM5" s="390"/>
      <c r="WJN5" s="390"/>
      <c r="WJO5" s="390"/>
      <c r="WJP5" s="390"/>
      <c r="WJQ5" s="390"/>
      <c r="WJR5" s="390"/>
      <c r="WJS5" s="390"/>
      <c r="WJT5" s="390"/>
      <c r="WJU5" s="390"/>
      <c r="WJV5" s="390"/>
      <c r="WJW5" s="390"/>
      <c r="WJX5" s="390"/>
      <c r="WJY5" s="390"/>
      <c r="WJZ5" s="390"/>
      <c r="WKA5" s="390"/>
      <c r="WKB5" s="390"/>
      <c r="WKC5" s="390"/>
      <c r="WKD5" s="390"/>
      <c r="WKE5" s="390"/>
      <c r="WKF5" s="390"/>
      <c r="WKG5" s="390"/>
      <c r="WKH5" s="390"/>
      <c r="WKI5" s="390"/>
      <c r="WKJ5" s="390"/>
      <c r="WKK5" s="390"/>
      <c r="WKL5" s="390"/>
      <c r="WKM5" s="390"/>
      <c r="WKN5" s="390"/>
      <c r="WKO5" s="390"/>
      <c r="WKP5" s="390"/>
      <c r="WKQ5" s="390"/>
      <c r="WKR5" s="390"/>
      <c r="WKS5" s="390"/>
      <c r="WKT5" s="390"/>
      <c r="WKU5" s="390"/>
      <c r="WKV5" s="390"/>
      <c r="WKW5" s="390"/>
      <c r="WKX5" s="390"/>
      <c r="WKY5" s="390"/>
      <c r="WKZ5" s="390"/>
      <c r="WLA5" s="390"/>
      <c r="WLB5" s="390"/>
      <c r="WLC5" s="390"/>
      <c r="WLD5" s="390"/>
      <c r="WLE5" s="390"/>
      <c r="WLF5" s="390"/>
      <c r="WLG5" s="390"/>
      <c r="WLH5" s="390"/>
      <c r="WLI5" s="390"/>
      <c r="WLJ5" s="390"/>
      <c r="WLK5" s="390"/>
      <c r="WLL5" s="390"/>
      <c r="WLM5" s="390"/>
      <c r="WLN5" s="390"/>
      <c r="WLO5" s="390"/>
      <c r="WLP5" s="390"/>
      <c r="WLQ5" s="390"/>
      <c r="WLR5" s="390"/>
      <c r="WLS5" s="390"/>
      <c r="WLT5" s="390"/>
      <c r="WLU5" s="390"/>
      <c r="WLV5" s="390"/>
      <c r="WLW5" s="390"/>
      <c r="WLX5" s="390"/>
      <c r="WLY5" s="390"/>
      <c r="WLZ5" s="390"/>
      <c r="WMA5" s="390"/>
      <c r="WMB5" s="390"/>
      <c r="WMC5" s="390"/>
      <c r="WMD5" s="390"/>
      <c r="WME5" s="390"/>
      <c r="WMF5" s="390"/>
      <c r="WMG5" s="390"/>
      <c r="WMH5" s="390"/>
      <c r="WMI5" s="390"/>
      <c r="WMJ5" s="390"/>
      <c r="WMK5" s="390"/>
      <c r="WML5" s="390"/>
      <c r="WMM5" s="390"/>
      <c r="WMN5" s="390"/>
      <c r="WMO5" s="390"/>
      <c r="WMP5" s="390"/>
      <c r="WMQ5" s="390"/>
      <c r="WMR5" s="390"/>
      <c r="WMS5" s="390"/>
      <c r="WMT5" s="390"/>
      <c r="WMU5" s="390"/>
      <c r="WMV5" s="390"/>
      <c r="WMW5" s="390"/>
      <c r="WMX5" s="390"/>
      <c r="WMY5" s="390"/>
      <c r="WMZ5" s="390"/>
      <c r="WNA5" s="390"/>
      <c r="WNB5" s="390"/>
      <c r="WNC5" s="390"/>
      <c r="WND5" s="390"/>
      <c r="WNE5" s="390"/>
      <c r="WNF5" s="390"/>
      <c r="WNG5" s="390"/>
      <c r="WNH5" s="390"/>
      <c r="WNI5" s="390"/>
      <c r="WNJ5" s="390"/>
      <c r="WNK5" s="390"/>
      <c r="WNL5" s="390"/>
      <c r="WNM5" s="390"/>
      <c r="WNN5" s="390"/>
      <c r="WNO5" s="390"/>
      <c r="WNP5" s="390"/>
      <c r="WNQ5" s="390"/>
      <c r="WNR5" s="390"/>
      <c r="WNS5" s="390"/>
      <c r="WNT5" s="390"/>
      <c r="WNU5" s="390"/>
      <c r="WNV5" s="390"/>
      <c r="WNW5" s="390"/>
      <c r="WNX5" s="390"/>
      <c r="WNY5" s="390"/>
      <c r="WNZ5" s="390"/>
      <c r="WOA5" s="390"/>
      <c r="WOB5" s="390"/>
      <c r="WOC5" s="390"/>
      <c r="WOD5" s="390"/>
      <c r="WOE5" s="390"/>
      <c r="WOF5" s="390"/>
      <c r="WOG5" s="390"/>
      <c r="WOH5" s="390"/>
      <c r="WOI5" s="390"/>
      <c r="WOJ5" s="390"/>
      <c r="WOK5" s="390"/>
      <c r="WOL5" s="390"/>
      <c r="WOM5" s="390"/>
      <c r="WON5" s="390"/>
      <c r="WOO5" s="390"/>
      <c r="WOP5" s="390"/>
      <c r="WOQ5" s="390"/>
      <c r="WOR5" s="390"/>
      <c r="WOS5" s="390"/>
      <c r="WOT5" s="390"/>
      <c r="WOU5" s="390"/>
      <c r="WOV5" s="390"/>
      <c r="WOW5" s="390"/>
      <c r="WOX5" s="390"/>
      <c r="WOY5" s="390"/>
      <c r="WOZ5" s="390"/>
      <c r="WPA5" s="390"/>
      <c r="WPB5" s="390"/>
      <c r="WPC5" s="390"/>
      <c r="WPD5" s="390"/>
      <c r="WPE5" s="390"/>
      <c r="WPF5" s="390"/>
      <c r="WPG5" s="390"/>
      <c r="WPH5" s="390"/>
      <c r="WPI5" s="390"/>
      <c r="WPJ5" s="390"/>
      <c r="WPK5" s="390"/>
      <c r="WPL5" s="390"/>
      <c r="WPM5" s="390"/>
      <c r="WPN5" s="390"/>
      <c r="WPO5" s="390"/>
      <c r="WPP5" s="390"/>
      <c r="WPQ5" s="390"/>
      <c r="WPR5" s="390"/>
      <c r="WPS5" s="390"/>
      <c r="WPT5" s="390"/>
      <c r="WPU5" s="390"/>
      <c r="WPV5" s="390"/>
      <c r="WPW5" s="390"/>
      <c r="WPX5" s="390"/>
      <c r="WPY5" s="390"/>
      <c r="WPZ5" s="390"/>
      <c r="WQA5" s="390"/>
      <c r="WQB5" s="390"/>
      <c r="WQC5" s="390"/>
      <c r="WQD5" s="390"/>
      <c r="WQE5" s="390"/>
      <c r="WQF5" s="390"/>
      <c r="WQG5" s="390"/>
      <c r="WQH5" s="390"/>
      <c r="WQI5" s="390"/>
      <c r="WQJ5" s="390"/>
      <c r="WQK5" s="390"/>
      <c r="WQL5" s="390"/>
      <c r="WQM5" s="390"/>
      <c r="WQN5" s="390"/>
      <c r="WQO5" s="390"/>
      <c r="WQP5" s="390"/>
      <c r="WQQ5" s="390"/>
      <c r="WQR5" s="390"/>
      <c r="WQS5" s="390"/>
      <c r="WQT5" s="390"/>
      <c r="WQU5" s="390"/>
      <c r="WQV5" s="390"/>
      <c r="WQW5" s="390"/>
      <c r="WQX5" s="390"/>
      <c r="WQY5" s="390"/>
      <c r="WQZ5" s="390"/>
      <c r="WRA5" s="390"/>
      <c r="WRB5" s="390"/>
      <c r="WRC5" s="390"/>
      <c r="WRD5" s="390"/>
      <c r="WRE5" s="390"/>
      <c r="WRF5" s="390"/>
      <c r="WRG5" s="390"/>
      <c r="WRH5" s="390"/>
      <c r="WRI5" s="390"/>
      <c r="WRJ5" s="390"/>
      <c r="WRK5" s="390"/>
      <c r="WRL5" s="390"/>
      <c r="WRM5" s="390"/>
      <c r="WRN5" s="390"/>
      <c r="WRO5" s="390"/>
      <c r="WRP5" s="390"/>
      <c r="WRQ5" s="390"/>
      <c r="WRR5" s="390"/>
      <c r="WRS5" s="390"/>
      <c r="WRT5" s="390"/>
      <c r="WRU5" s="390"/>
      <c r="WRV5" s="390"/>
      <c r="WRW5" s="390"/>
      <c r="WRX5" s="390"/>
      <c r="WRY5" s="390"/>
      <c r="WRZ5" s="390"/>
      <c r="WSA5" s="390"/>
      <c r="WSB5" s="390"/>
      <c r="WSC5" s="390"/>
      <c r="WSD5" s="390"/>
      <c r="WSE5" s="390"/>
      <c r="WSF5" s="390"/>
      <c r="WSG5" s="390"/>
      <c r="WSH5" s="390"/>
      <c r="WSI5" s="390"/>
      <c r="WSJ5" s="390"/>
      <c r="WSK5" s="390"/>
      <c r="WSL5" s="390"/>
      <c r="WSM5" s="390"/>
      <c r="WSN5" s="390"/>
      <c r="WSO5" s="390"/>
      <c r="WSP5" s="390"/>
      <c r="WSQ5" s="390"/>
      <c r="WSR5" s="390"/>
      <c r="WSS5" s="390"/>
      <c r="WST5" s="390"/>
      <c r="WSU5" s="390"/>
      <c r="WSV5" s="390"/>
      <c r="WSW5" s="390"/>
      <c r="WSX5" s="390"/>
      <c r="WSY5" s="390"/>
      <c r="WSZ5" s="390"/>
      <c r="WTA5" s="390"/>
      <c r="WTB5" s="390"/>
      <c r="WTC5" s="390"/>
      <c r="WTD5" s="390"/>
      <c r="WTE5" s="390"/>
      <c r="WTF5" s="390"/>
      <c r="WTG5" s="390"/>
      <c r="WTH5" s="390"/>
      <c r="WTI5" s="390"/>
      <c r="WTJ5" s="390"/>
      <c r="WTK5" s="390"/>
      <c r="WTL5" s="390"/>
      <c r="WTM5" s="390"/>
      <c r="WTN5" s="390"/>
      <c r="WTO5" s="390"/>
      <c r="WTP5" s="390"/>
      <c r="WTQ5" s="390"/>
      <c r="WTR5" s="390"/>
      <c r="WTS5" s="390"/>
      <c r="WTT5" s="390"/>
      <c r="WTU5" s="390"/>
      <c r="WTV5" s="390"/>
      <c r="WTW5" s="390"/>
      <c r="WTX5" s="390"/>
      <c r="WTY5" s="390"/>
      <c r="WTZ5" s="390"/>
      <c r="WUA5" s="390"/>
      <c r="WUB5" s="390"/>
      <c r="WUC5" s="390"/>
      <c r="WUD5" s="390"/>
      <c r="WUE5" s="390"/>
      <c r="WUF5" s="390"/>
      <c r="WUG5" s="390"/>
      <c r="WUH5" s="390"/>
      <c r="WUI5" s="390"/>
      <c r="WUJ5" s="390"/>
      <c r="WUK5" s="390"/>
      <c r="WUL5" s="390"/>
      <c r="WUM5" s="390"/>
      <c r="WUN5" s="390"/>
      <c r="WUO5" s="390"/>
      <c r="WUP5" s="390"/>
      <c r="WUQ5" s="390"/>
      <c r="WUR5" s="390"/>
      <c r="WUS5" s="390"/>
      <c r="WUT5" s="390"/>
      <c r="WUU5" s="390"/>
      <c r="WUV5" s="390"/>
      <c r="WUW5" s="390"/>
      <c r="WUX5" s="390"/>
      <c r="WUY5" s="390"/>
      <c r="WUZ5" s="390"/>
      <c r="WVA5" s="390"/>
      <c r="WVB5" s="390"/>
      <c r="WVC5" s="390"/>
      <c r="WVD5" s="390"/>
      <c r="WVE5" s="390"/>
      <c r="WVF5" s="390"/>
      <c r="WVG5" s="390"/>
      <c r="WVH5" s="390"/>
      <c r="WVI5" s="390"/>
      <c r="WVJ5" s="390"/>
      <c r="WVK5" s="390"/>
      <c r="WVL5" s="390"/>
      <c r="WVM5" s="390"/>
      <c r="WVN5" s="390"/>
      <c r="WVO5" s="390"/>
      <c r="WVP5" s="390"/>
      <c r="WVQ5" s="390"/>
      <c r="WVR5" s="390"/>
      <c r="WVS5" s="390"/>
      <c r="WVT5" s="390"/>
      <c r="WVU5" s="390"/>
      <c r="WVV5" s="390"/>
      <c r="WVW5" s="390"/>
      <c r="WVX5" s="390"/>
      <c r="WVY5" s="390"/>
      <c r="WVZ5" s="390"/>
      <c r="WWA5" s="390"/>
      <c r="WWB5" s="390"/>
      <c r="WWC5" s="390"/>
      <c r="WWD5" s="390"/>
      <c r="WWE5" s="390"/>
      <c r="WWF5" s="390"/>
      <c r="WWG5" s="390"/>
      <c r="WWH5" s="390"/>
      <c r="WWI5" s="390"/>
      <c r="WWJ5" s="390"/>
      <c r="WWK5" s="390"/>
      <c r="WWL5" s="390"/>
      <c r="WWM5" s="390"/>
      <c r="WWN5" s="390"/>
      <c r="WWO5" s="390"/>
      <c r="WWP5" s="390"/>
      <c r="WWQ5" s="390"/>
      <c r="WWR5" s="390"/>
      <c r="WWS5" s="390"/>
      <c r="WWT5" s="390"/>
      <c r="WWU5" s="390"/>
      <c r="WWV5" s="390"/>
      <c r="WWW5" s="390"/>
      <c r="WWX5" s="390"/>
      <c r="WWY5" s="390"/>
      <c r="WWZ5" s="390"/>
      <c r="WXA5" s="390"/>
      <c r="WXB5" s="390"/>
      <c r="WXC5" s="390"/>
      <c r="WXD5" s="390"/>
      <c r="WXE5" s="390"/>
      <c r="WXF5" s="390"/>
      <c r="WXG5" s="390"/>
      <c r="WXH5" s="390"/>
      <c r="WXI5" s="390"/>
      <c r="WXJ5" s="390"/>
      <c r="WXK5" s="390"/>
      <c r="WXL5" s="390"/>
      <c r="WXM5" s="390"/>
      <c r="WXN5" s="390"/>
      <c r="WXO5" s="390"/>
      <c r="WXP5" s="390"/>
      <c r="WXQ5" s="390"/>
      <c r="WXR5" s="390"/>
      <c r="WXS5" s="390"/>
      <c r="WXT5" s="390"/>
      <c r="WXU5" s="390"/>
      <c r="WXV5" s="390"/>
      <c r="WXW5" s="390"/>
      <c r="WXX5" s="390"/>
      <c r="WXY5" s="390"/>
      <c r="WXZ5" s="390"/>
      <c r="WYA5" s="390"/>
      <c r="WYB5" s="390"/>
      <c r="WYC5" s="390"/>
      <c r="WYD5" s="390"/>
      <c r="WYE5" s="390"/>
      <c r="WYF5" s="390"/>
      <c r="WYG5" s="390"/>
      <c r="WYH5" s="390"/>
      <c r="WYI5" s="390"/>
      <c r="WYJ5" s="390"/>
      <c r="WYK5" s="390"/>
      <c r="WYL5" s="390"/>
      <c r="WYM5" s="390"/>
      <c r="WYN5" s="390"/>
      <c r="WYO5" s="390"/>
      <c r="WYP5" s="390"/>
      <c r="WYQ5" s="390"/>
      <c r="WYR5" s="390"/>
      <c r="WYS5" s="390"/>
      <c r="WYT5" s="390"/>
      <c r="WYU5" s="390"/>
      <c r="WYV5" s="390"/>
      <c r="WYW5" s="390"/>
      <c r="WYX5" s="390"/>
      <c r="WYY5" s="390"/>
      <c r="WYZ5" s="390"/>
      <c r="WZA5" s="390"/>
      <c r="WZB5" s="390"/>
      <c r="WZC5" s="390"/>
      <c r="WZD5" s="390"/>
      <c r="WZE5" s="390"/>
      <c r="WZF5" s="390"/>
      <c r="WZG5" s="390"/>
      <c r="WZH5" s="390"/>
      <c r="WZI5" s="390"/>
      <c r="WZJ5" s="390"/>
      <c r="WZK5" s="390"/>
      <c r="WZL5" s="390"/>
      <c r="WZM5" s="390"/>
      <c r="WZN5" s="390"/>
      <c r="WZO5" s="390"/>
      <c r="WZP5" s="390"/>
      <c r="WZQ5" s="390"/>
      <c r="WZR5" s="390"/>
      <c r="WZS5" s="390"/>
      <c r="WZT5" s="390"/>
      <c r="WZU5" s="390"/>
      <c r="WZV5" s="390"/>
      <c r="WZW5" s="390"/>
      <c r="WZX5" s="390"/>
      <c r="WZY5" s="390"/>
      <c r="WZZ5" s="390"/>
      <c r="XAA5" s="390"/>
      <c r="XAB5" s="390"/>
      <c r="XAC5" s="390"/>
      <c r="XAD5" s="390"/>
      <c r="XAE5" s="390"/>
      <c r="XAF5" s="390"/>
      <c r="XAG5" s="390"/>
      <c r="XAH5" s="390"/>
      <c r="XAI5" s="390"/>
      <c r="XAJ5" s="390"/>
      <c r="XAK5" s="390"/>
      <c r="XAL5" s="390"/>
      <c r="XAM5" s="390"/>
      <c r="XAN5" s="390"/>
      <c r="XAO5" s="390"/>
      <c r="XAP5" s="390"/>
      <c r="XAQ5" s="390"/>
      <c r="XAR5" s="390"/>
      <c r="XAS5" s="390"/>
      <c r="XAT5" s="390"/>
      <c r="XAU5" s="390"/>
      <c r="XAV5" s="390"/>
      <c r="XAW5" s="390"/>
      <c r="XAX5" s="390"/>
      <c r="XAY5" s="390"/>
      <c r="XAZ5" s="390"/>
      <c r="XBA5" s="390"/>
      <c r="XBB5" s="390"/>
      <c r="XBC5" s="390"/>
      <c r="XBD5" s="390"/>
      <c r="XBE5" s="390"/>
      <c r="XBF5" s="390"/>
      <c r="XBG5" s="390"/>
      <c r="XBH5" s="390"/>
      <c r="XBI5" s="390"/>
      <c r="XBJ5" s="390"/>
      <c r="XBK5" s="390"/>
      <c r="XBL5" s="390"/>
      <c r="XBM5" s="390"/>
      <c r="XBN5" s="390"/>
      <c r="XBO5" s="390"/>
      <c r="XBP5" s="390"/>
      <c r="XBQ5" s="390"/>
      <c r="XBR5" s="390"/>
      <c r="XBS5" s="390"/>
      <c r="XBT5" s="390"/>
      <c r="XBU5" s="390"/>
      <c r="XBV5" s="390"/>
      <c r="XBW5" s="390"/>
      <c r="XBX5" s="390"/>
      <c r="XBY5" s="390"/>
      <c r="XBZ5" s="390"/>
      <c r="XCA5" s="390"/>
      <c r="XCB5" s="390"/>
      <c r="XCC5" s="390"/>
      <c r="XCD5" s="390"/>
      <c r="XCE5" s="390"/>
      <c r="XCF5" s="390"/>
      <c r="XCG5" s="390"/>
      <c r="XCH5" s="390"/>
      <c r="XCI5" s="390"/>
      <c r="XCJ5" s="390"/>
      <c r="XCK5" s="390"/>
      <c r="XCL5" s="390"/>
      <c r="XCM5" s="390"/>
      <c r="XCN5" s="390"/>
      <c r="XCO5" s="390"/>
      <c r="XCP5" s="390"/>
      <c r="XCQ5" s="390"/>
      <c r="XCR5" s="390"/>
      <c r="XCS5" s="390"/>
      <c r="XCT5" s="390"/>
      <c r="XCU5" s="390"/>
      <c r="XCV5" s="390"/>
      <c r="XCW5" s="390"/>
      <c r="XCX5" s="390"/>
      <c r="XCY5" s="390"/>
      <c r="XCZ5" s="390"/>
      <c r="XDA5" s="390"/>
      <c r="XDB5" s="390"/>
      <c r="XDC5" s="390"/>
      <c r="XDD5" s="390"/>
      <c r="XDE5" s="390"/>
      <c r="XDF5" s="390"/>
      <c r="XDG5" s="390"/>
      <c r="XDH5" s="390"/>
      <c r="XDI5" s="390"/>
      <c r="XDJ5" s="390"/>
      <c r="XDK5" s="390"/>
      <c r="XDL5" s="390"/>
      <c r="XDM5" s="390"/>
      <c r="XDN5" s="390"/>
      <c r="XDO5" s="390"/>
      <c r="XDP5" s="390"/>
      <c r="XDQ5" s="390"/>
      <c r="XDR5" s="390"/>
      <c r="XDS5" s="390"/>
      <c r="XDT5" s="390"/>
      <c r="XDU5" s="390"/>
      <c r="XDV5" s="390"/>
      <c r="XDW5" s="390"/>
      <c r="XDX5" s="390"/>
      <c r="XDY5" s="390"/>
      <c r="XDZ5" s="390"/>
      <c r="XEA5" s="390"/>
      <c r="XEB5" s="390"/>
      <c r="XEC5" s="390"/>
      <c r="XED5" s="390"/>
      <c r="XEE5" s="390"/>
      <c r="XEF5" s="390"/>
      <c r="XEG5" s="390"/>
      <c r="XEH5" s="390"/>
      <c r="XEI5" s="390"/>
      <c r="XEJ5" s="390"/>
      <c r="XEK5" s="390"/>
      <c r="XEL5" s="390"/>
      <c r="XEM5" s="390"/>
      <c r="XEN5" s="390"/>
      <c r="XEO5" s="390"/>
      <c r="XEP5" s="390"/>
      <c r="XEQ5" s="390"/>
      <c r="XER5" s="390"/>
      <c r="XES5" s="390"/>
      <c r="XET5" s="390"/>
      <c r="XEU5" s="390"/>
      <c r="XEV5" s="390"/>
      <c r="XEW5" s="390"/>
      <c r="XEX5" s="390"/>
      <c r="XEY5" s="390"/>
      <c r="XEZ5" s="390"/>
      <c r="XFA5" s="390"/>
      <c r="XFB5" s="390"/>
    </row>
    <row r="6" spans="1:16382" x14ac:dyDescent="0.45">
      <c r="A6" s="390" t="s">
        <v>2514</v>
      </c>
      <c r="B6" s="390"/>
      <c r="C6" s="390"/>
      <c r="D6" s="390"/>
      <c r="E6" s="390"/>
      <c r="F6" s="390"/>
      <c r="G6" s="390"/>
      <c r="H6" s="390"/>
      <c r="I6" s="392"/>
      <c r="J6" s="392"/>
      <c r="K6" s="392"/>
      <c r="L6" s="392"/>
      <c r="M6" s="392"/>
      <c r="N6" s="392"/>
    </row>
    <row r="7" spans="1:16382" x14ac:dyDescent="0.45">
      <c r="A7" s="399"/>
      <c r="B7" s="399"/>
      <c r="C7" s="399"/>
      <c r="D7" s="400"/>
      <c r="E7" s="400"/>
      <c r="F7" s="400"/>
      <c r="G7" s="400"/>
      <c r="H7" s="400"/>
    </row>
    <row r="8" spans="1:16382" s="2" customFormat="1" x14ac:dyDescent="0.45">
      <c r="A8" s="401" t="s">
        <v>2515</v>
      </c>
      <c r="B8" s="402"/>
      <c r="C8" s="402"/>
      <c r="D8" s="403"/>
      <c r="E8" s="403"/>
      <c r="F8" s="403"/>
      <c r="G8" s="403"/>
      <c r="H8" s="404"/>
    </row>
    <row r="9" spans="1:16382" s="2" customFormat="1" x14ac:dyDescent="0.45">
      <c r="A9" s="393" t="s">
        <v>4</v>
      </c>
      <c r="B9" s="394"/>
      <c r="C9" s="394"/>
      <c r="D9" s="394"/>
      <c r="E9" s="394"/>
      <c r="F9" s="394"/>
      <c r="G9" s="394"/>
      <c r="H9" s="395"/>
    </row>
    <row r="10" spans="1:16382" s="2" customFormat="1" x14ac:dyDescent="0.45">
      <c r="A10" s="396" t="s">
        <v>5245</v>
      </c>
      <c r="B10" s="397"/>
      <c r="C10" s="397"/>
      <c r="D10" s="397"/>
      <c r="E10" s="397"/>
      <c r="F10" s="397"/>
      <c r="G10" s="397"/>
      <c r="H10" s="398"/>
    </row>
    <row r="11" spans="1:16382" ht="24.6" x14ac:dyDescent="0.45">
      <c r="A11" s="3" t="s">
        <v>5</v>
      </c>
      <c r="B11" s="221" t="s">
        <v>5002</v>
      </c>
      <c r="C11" s="221" t="s">
        <v>6</v>
      </c>
      <c r="D11" s="5" t="s">
        <v>7</v>
      </c>
      <c r="E11" s="3" t="s">
        <v>8</v>
      </c>
      <c r="F11" s="3" t="s">
        <v>9</v>
      </c>
      <c r="G11" s="3" t="s">
        <v>10</v>
      </c>
      <c r="H11" s="3" t="s">
        <v>11</v>
      </c>
    </row>
    <row r="12" spans="1:16382" s="11" customFormat="1" ht="4.95" customHeight="1" x14ac:dyDescent="0.45">
      <c r="A12" s="6"/>
      <c r="B12" s="7"/>
      <c r="C12" s="7"/>
      <c r="D12" s="8"/>
      <c r="E12" s="7"/>
      <c r="F12" s="9"/>
      <c r="G12" s="9"/>
      <c r="H12" s="10"/>
    </row>
    <row r="13" spans="1:16382" x14ac:dyDescent="0.45">
      <c r="A13" s="12" t="s">
        <v>2516</v>
      </c>
      <c r="B13" s="13"/>
      <c r="C13" s="13"/>
      <c r="D13" s="246" t="s">
        <v>13</v>
      </c>
      <c r="E13" s="15"/>
      <c r="F13" s="14"/>
      <c r="G13" s="15"/>
      <c r="H13" s="14"/>
    </row>
    <row r="14" spans="1:16382" x14ac:dyDescent="0.4">
      <c r="A14" s="16"/>
      <c r="B14" s="222">
        <v>1501000</v>
      </c>
      <c r="C14" s="18"/>
      <c r="D14" s="223" t="s">
        <v>14</v>
      </c>
      <c r="E14" s="20"/>
      <c r="F14" s="21"/>
      <c r="G14" s="20"/>
      <c r="H14" s="21"/>
    </row>
    <row r="15" spans="1:16382" ht="24.6" x14ac:dyDescent="0.45">
      <c r="A15" s="22" t="s">
        <v>2517</v>
      </c>
      <c r="B15" s="23"/>
      <c r="C15" s="23">
        <v>3.1</v>
      </c>
      <c r="D15" s="5" t="s">
        <v>16</v>
      </c>
      <c r="E15" s="23">
        <v>12</v>
      </c>
      <c r="F15" s="23" t="s">
        <v>17</v>
      </c>
      <c r="G15" s="24"/>
      <c r="H15" s="24">
        <f>G15*E15</f>
        <v>0</v>
      </c>
    </row>
    <row r="16" spans="1:16382" x14ac:dyDescent="0.4">
      <c r="A16" s="16"/>
      <c r="B16" s="222">
        <v>1502000</v>
      </c>
      <c r="C16" s="18"/>
      <c r="D16" s="223" t="s">
        <v>18</v>
      </c>
      <c r="E16" s="20"/>
      <c r="F16" s="21"/>
      <c r="G16" s="21"/>
      <c r="H16" s="21"/>
    </row>
    <row r="17" spans="1:8" x14ac:dyDescent="0.45">
      <c r="A17" s="25"/>
      <c r="B17" s="26"/>
      <c r="C17" s="26">
        <v>3.1</v>
      </c>
      <c r="D17" s="27" t="s">
        <v>19</v>
      </c>
      <c r="E17" s="28"/>
      <c r="F17" s="28"/>
      <c r="G17" s="28"/>
      <c r="H17" s="28"/>
    </row>
    <row r="18" spans="1:8" x14ac:dyDescent="0.45">
      <c r="A18" s="22" t="s">
        <v>2518</v>
      </c>
      <c r="B18" s="23">
        <v>1502000</v>
      </c>
      <c r="C18" s="23" t="s">
        <v>21</v>
      </c>
      <c r="D18" s="29" t="s">
        <v>22</v>
      </c>
      <c r="E18" s="23">
        <v>12</v>
      </c>
      <c r="F18" s="23" t="s">
        <v>17</v>
      </c>
      <c r="G18" s="24"/>
      <c r="H18" s="24">
        <f>G18*E18</f>
        <v>0</v>
      </c>
    </row>
    <row r="19" spans="1:8" x14ac:dyDescent="0.45">
      <c r="A19" s="22" t="s">
        <v>2519</v>
      </c>
      <c r="B19" s="23">
        <v>1502000</v>
      </c>
      <c r="C19" s="23" t="s">
        <v>24</v>
      </c>
      <c r="D19" s="29" t="s">
        <v>25</v>
      </c>
      <c r="E19" s="23">
        <v>12</v>
      </c>
      <c r="F19" s="23" t="s">
        <v>17</v>
      </c>
      <c r="G19" s="24"/>
      <c r="H19" s="24">
        <f>G19*E19</f>
        <v>0</v>
      </c>
    </row>
    <row r="20" spans="1:8" x14ac:dyDescent="0.45">
      <c r="A20" s="22" t="s">
        <v>2520</v>
      </c>
      <c r="B20" s="23">
        <v>1502000</v>
      </c>
      <c r="C20" s="23" t="s">
        <v>27</v>
      </c>
      <c r="D20" s="29" t="s">
        <v>28</v>
      </c>
      <c r="E20" s="23">
        <v>12</v>
      </c>
      <c r="F20" s="23" t="s">
        <v>17</v>
      </c>
      <c r="G20" s="24"/>
      <c r="H20" s="24">
        <f>G20*E20</f>
        <v>0</v>
      </c>
    </row>
    <row r="21" spans="1:8" x14ac:dyDescent="0.45">
      <c r="A21" s="25"/>
      <c r="B21" s="26"/>
      <c r="C21" s="26">
        <v>3.2</v>
      </c>
      <c r="D21" s="27" t="s">
        <v>29</v>
      </c>
      <c r="E21" s="28"/>
      <c r="F21" s="28"/>
      <c r="G21" s="28"/>
      <c r="H21" s="28"/>
    </row>
    <row r="22" spans="1:8" x14ac:dyDescent="0.45">
      <c r="A22" s="22" t="s">
        <v>2521</v>
      </c>
      <c r="B22" s="23">
        <v>1502000</v>
      </c>
      <c r="C22" s="286">
        <v>3.2</v>
      </c>
      <c r="D22" s="29" t="s">
        <v>5072</v>
      </c>
      <c r="E22" s="23">
        <v>12</v>
      </c>
      <c r="F22" s="23" t="s">
        <v>17</v>
      </c>
      <c r="G22" s="24"/>
      <c r="H22" s="24">
        <f>G22*E22</f>
        <v>0</v>
      </c>
    </row>
    <row r="23" spans="1:8" x14ac:dyDescent="0.45">
      <c r="A23" s="25"/>
      <c r="B23" s="26"/>
      <c r="C23" s="26">
        <v>3.3</v>
      </c>
      <c r="D23" s="27" t="s">
        <v>31</v>
      </c>
      <c r="E23" s="28"/>
      <c r="F23" s="28"/>
      <c r="G23" s="28"/>
      <c r="H23" s="28"/>
    </row>
    <row r="24" spans="1:8" x14ac:dyDescent="0.45">
      <c r="A24" s="22" t="s">
        <v>2522</v>
      </c>
      <c r="B24" s="23">
        <v>1502000</v>
      </c>
      <c r="C24" s="23" t="s">
        <v>33</v>
      </c>
      <c r="D24" s="30" t="s">
        <v>34</v>
      </c>
      <c r="E24" s="23">
        <v>12</v>
      </c>
      <c r="F24" s="23" t="s">
        <v>17</v>
      </c>
      <c r="G24" s="24"/>
      <c r="H24" s="31">
        <f t="shared" ref="H24:H33" si="0">G24*E24</f>
        <v>0</v>
      </c>
    </row>
    <row r="25" spans="1:8" x14ac:dyDescent="0.45">
      <c r="A25" s="22" t="s">
        <v>2523</v>
      </c>
      <c r="B25" s="23">
        <v>1502000</v>
      </c>
      <c r="C25" s="23" t="s">
        <v>36</v>
      </c>
      <c r="D25" s="32" t="s">
        <v>37</v>
      </c>
      <c r="E25" s="33">
        <v>12</v>
      </c>
      <c r="F25" s="23" t="s">
        <v>17</v>
      </c>
      <c r="G25" s="24"/>
      <c r="H25" s="24">
        <f t="shared" si="0"/>
        <v>0</v>
      </c>
    </row>
    <row r="26" spans="1:8" x14ac:dyDescent="0.45">
      <c r="A26" s="22" t="s">
        <v>2524</v>
      </c>
      <c r="B26" s="23">
        <v>1502000</v>
      </c>
      <c r="C26" s="23" t="s">
        <v>39</v>
      </c>
      <c r="D26" s="32" t="s">
        <v>40</v>
      </c>
      <c r="E26" s="33">
        <v>12</v>
      </c>
      <c r="F26" s="23" t="s">
        <v>17</v>
      </c>
      <c r="G26" s="24"/>
      <c r="H26" s="24">
        <f t="shared" si="0"/>
        <v>0</v>
      </c>
    </row>
    <row r="27" spans="1:8" x14ac:dyDescent="0.45">
      <c r="A27" s="22" t="s">
        <v>2525</v>
      </c>
      <c r="B27" s="23">
        <v>1502000</v>
      </c>
      <c r="C27" s="224" t="s">
        <v>42</v>
      </c>
      <c r="D27" s="30" t="s">
        <v>43</v>
      </c>
      <c r="E27" s="33">
        <v>12</v>
      </c>
      <c r="F27" s="23" t="s">
        <v>17</v>
      </c>
      <c r="G27" s="24"/>
      <c r="H27" s="24">
        <f t="shared" si="0"/>
        <v>0</v>
      </c>
    </row>
    <row r="28" spans="1:8" x14ac:dyDescent="0.45">
      <c r="A28" s="22" t="s">
        <v>2526</v>
      </c>
      <c r="B28" s="23">
        <v>1502000</v>
      </c>
      <c r="C28" s="23" t="s">
        <v>45</v>
      </c>
      <c r="D28" s="30" t="s">
        <v>46</v>
      </c>
      <c r="E28" s="33">
        <v>12</v>
      </c>
      <c r="F28" s="23" t="s">
        <v>17</v>
      </c>
      <c r="G28" s="24"/>
      <c r="H28" s="24">
        <f t="shared" si="0"/>
        <v>0</v>
      </c>
    </row>
    <row r="29" spans="1:8" x14ac:dyDescent="0.45">
      <c r="A29" s="22" t="s">
        <v>2527</v>
      </c>
      <c r="B29" s="23">
        <v>1502000</v>
      </c>
      <c r="C29" s="23" t="s">
        <v>48</v>
      </c>
      <c r="D29" s="30" t="s">
        <v>49</v>
      </c>
      <c r="E29" s="33">
        <v>12</v>
      </c>
      <c r="F29" s="23" t="s">
        <v>17</v>
      </c>
      <c r="G29" s="24"/>
      <c r="H29" s="24">
        <f t="shared" si="0"/>
        <v>0</v>
      </c>
    </row>
    <row r="30" spans="1:8" x14ac:dyDescent="0.45">
      <c r="A30" s="22" t="s">
        <v>2528</v>
      </c>
      <c r="B30" s="23">
        <v>1502000</v>
      </c>
      <c r="C30" s="23" t="s">
        <v>51</v>
      </c>
      <c r="D30" s="30" t="s">
        <v>52</v>
      </c>
      <c r="E30" s="33">
        <v>12</v>
      </c>
      <c r="F30" s="23" t="s">
        <v>17</v>
      </c>
      <c r="G30" s="24"/>
      <c r="H30" s="24">
        <f t="shared" si="0"/>
        <v>0</v>
      </c>
    </row>
    <row r="31" spans="1:8" x14ac:dyDescent="0.45">
      <c r="A31" s="22" t="s">
        <v>2529</v>
      </c>
      <c r="B31" s="23">
        <v>1502000</v>
      </c>
      <c r="C31" s="23" t="s">
        <v>54</v>
      </c>
      <c r="D31" s="30" t="s">
        <v>55</v>
      </c>
      <c r="E31" s="33">
        <v>12</v>
      </c>
      <c r="F31" s="23" t="s">
        <v>17</v>
      </c>
      <c r="G31" s="24"/>
      <c r="H31" s="24">
        <f t="shared" si="0"/>
        <v>0</v>
      </c>
    </row>
    <row r="32" spans="1:8" x14ac:dyDescent="0.45">
      <c r="A32" s="22" t="s">
        <v>2530</v>
      </c>
      <c r="B32" s="23">
        <v>1502000</v>
      </c>
      <c r="C32" s="23" t="s">
        <v>57</v>
      </c>
      <c r="D32" s="30" t="s">
        <v>58</v>
      </c>
      <c r="E32" s="33">
        <v>12</v>
      </c>
      <c r="F32" s="23" t="s">
        <v>17</v>
      </c>
      <c r="G32" s="24"/>
      <c r="H32" s="24">
        <f t="shared" si="0"/>
        <v>0</v>
      </c>
    </row>
    <row r="33" spans="1:8" x14ac:dyDescent="0.45">
      <c r="A33" s="22" t="s">
        <v>2531</v>
      </c>
      <c r="B33" s="23">
        <v>1502000</v>
      </c>
      <c r="C33" s="23" t="s">
        <v>60</v>
      </c>
      <c r="D33" s="30" t="s">
        <v>61</v>
      </c>
      <c r="E33" s="33">
        <v>12</v>
      </c>
      <c r="F33" s="23" t="s">
        <v>17</v>
      </c>
      <c r="G33" s="24"/>
      <c r="H33" s="24">
        <f t="shared" si="0"/>
        <v>0</v>
      </c>
    </row>
    <row r="34" spans="1:8" x14ac:dyDescent="0.45">
      <c r="A34" s="25"/>
      <c r="B34" s="26"/>
      <c r="C34" s="26">
        <v>3.4</v>
      </c>
      <c r="D34" s="27" t="s">
        <v>62</v>
      </c>
      <c r="E34" s="28"/>
      <c r="F34" s="28"/>
      <c r="G34" s="28"/>
      <c r="H34" s="28"/>
    </row>
    <row r="35" spans="1:8" x14ac:dyDescent="0.45">
      <c r="A35" s="22" t="s">
        <v>2532</v>
      </c>
      <c r="B35" s="23">
        <v>1502000</v>
      </c>
      <c r="C35" s="23" t="s">
        <v>64</v>
      </c>
      <c r="D35" s="35" t="s">
        <v>65</v>
      </c>
      <c r="E35" s="23">
        <v>12</v>
      </c>
      <c r="F35" s="23" t="s">
        <v>17</v>
      </c>
      <c r="G35" s="24"/>
      <c r="H35" s="24">
        <f>G35*E35</f>
        <v>0</v>
      </c>
    </row>
    <row r="36" spans="1:8" x14ac:dyDescent="0.45">
      <c r="A36" s="22" t="s">
        <v>2533</v>
      </c>
      <c r="B36" s="23">
        <v>1502000</v>
      </c>
      <c r="C36" s="23" t="s">
        <v>67</v>
      </c>
      <c r="D36" s="35" t="s">
        <v>68</v>
      </c>
      <c r="E36" s="23">
        <v>12</v>
      </c>
      <c r="F36" s="23" t="s">
        <v>17</v>
      </c>
      <c r="G36" s="24"/>
      <c r="H36" s="24">
        <f>G36*E36</f>
        <v>0</v>
      </c>
    </row>
    <row r="37" spans="1:8" x14ac:dyDescent="0.45">
      <c r="A37" s="22" t="s">
        <v>2534</v>
      </c>
      <c r="B37" s="23">
        <v>1502000</v>
      </c>
      <c r="C37" s="33" t="s">
        <v>70</v>
      </c>
      <c r="D37" s="36" t="s">
        <v>71</v>
      </c>
      <c r="E37" s="33">
        <v>12</v>
      </c>
      <c r="F37" s="23" t="s">
        <v>17</v>
      </c>
      <c r="G37" s="24"/>
      <c r="H37" s="24">
        <f>G37*E37</f>
        <v>0</v>
      </c>
    </row>
    <row r="38" spans="1:8" x14ac:dyDescent="0.45">
      <c r="A38" s="25"/>
      <c r="B38" s="26"/>
      <c r="C38" s="26">
        <v>3.5</v>
      </c>
      <c r="D38" s="27" t="s">
        <v>72</v>
      </c>
      <c r="E38" s="28"/>
      <c r="F38" s="28"/>
      <c r="G38" s="28"/>
      <c r="H38" s="28"/>
    </row>
    <row r="39" spans="1:8" x14ac:dyDescent="0.45">
      <c r="A39" s="22" t="s">
        <v>2535</v>
      </c>
      <c r="B39" s="23">
        <v>1502000</v>
      </c>
      <c r="C39" s="23" t="s">
        <v>74</v>
      </c>
      <c r="D39" s="32" t="s">
        <v>37</v>
      </c>
      <c r="E39" s="33">
        <v>12</v>
      </c>
      <c r="F39" s="23" t="s">
        <v>17</v>
      </c>
      <c r="G39" s="24"/>
      <c r="H39" s="24">
        <f>G39*E39</f>
        <v>0</v>
      </c>
    </row>
    <row r="40" spans="1:8" x14ac:dyDescent="0.45">
      <c r="A40" s="25"/>
      <c r="B40" s="37"/>
      <c r="C40" s="37">
        <v>3.6</v>
      </c>
      <c r="D40" s="38" t="s">
        <v>75</v>
      </c>
      <c r="E40" s="28"/>
      <c r="F40" s="28"/>
      <c r="G40" s="28"/>
      <c r="H40" s="28"/>
    </row>
    <row r="41" spans="1:8" x14ac:dyDescent="0.45">
      <c r="A41" s="22" t="s">
        <v>2536</v>
      </c>
      <c r="B41" s="23">
        <v>1502000</v>
      </c>
      <c r="C41" s="33" t="s">
        <v>77</v>
      </c>
      <c r="D41" s="39" t="s">
        <v>78</v>
      </c>
      <c r="E41" s="33">
        <v>12</v>
      </c>
      <c r="F41" s="23" t="s">
        <v>17</v>
      </c>
      <c r="G41" s="24"/>
      <c r="H41" s="24">
        <f t="shared" ref="H41:H52" si="1">G41*E41</f>
        <v>0</v>
      </c>
    </row>
    <row r="42" spans="1:8" x14ac:dyDescent="0.45">
      <c r="A42" s="22" t="s">
        <v>2537</v>
      </c>
      <c r="B42" s="23">
        <v>1502000</v>
      </c>
      <c r="C42" s="33" t="s">
        <v>80</v>
      </c>
      <c r="D42" s="39" t="s">
        <v>81</v>
      </c>
      <c r="E42" s="33">
        <v>12</v>
      </c>
      <c r="F42" s="23" t="s">
        <v>17</v>
      </c>
      <c r="G42" s="24"/>
      <c r="H42" s="24">
        <f t="shared" si="1"/>
        <v>0</v>
      </c>
    </row>
    <row r="43" spans="1:8" x14ac:dyDescent="0.45">
      <c r="A43" s="22" t="s">
        <v>2538</v>
      </c>
      <c r="B43" s="23">
        <v>1502000</v>
      </c>
      <c r="C43" s="33" t="s">
        <v>83</v>
      </c>
      <c r="D43" s="39" t="s">
        <v>84</v>
      </c>
      <c r="E43" s="33">
        <v>12</v>
      </c>
      <c r="F43" s="23" t="s">
        <v>17</v>
      </c>
      <c r="G43" s="24"/>
      <c r="H43" s="24">
        <f t="shared" si="1"/>
        <v>0</v>
      </c>
    </row>
    <row r="44" spans="1:8" x14ac:dyDescent="0.45">
      <c r="A44" s="22" t="s">
        <v>2539</v>
      </c>
      <c r="B44" s="23">
        <v>1502000</v>
      </c>
      <c r="C44" s="33" t="s">
        <v>86</v>
      </c>
      <c r="D44" s="39" t="s">
        <v>87</v>
      </c>
      <c r="E44" s="33">
        <v>12</v>
      </c>
      <c r="F44" s="23" t="s">
        <v>17</v>
      </c>
      <c r="G44" s="24"/>
      <c r="H44" s="24">
        <f t="shared" si="1"/>
        <v>0</v>
      </c>
    </row>
    <row r="45" spans="1:8" x14ac:dyDescent="0.45">
      <c r="A45" s="22" t="s">
        <v>2540</v>
      </c>
      <c r="B45" s="23">
        <v>1502000</v>
      </c>
      <c r="C45" s="33" t="s">
        <v>89</v>
      </c>
      <c r="D45" s="39" t="s">
        <v>90</v>
      </c>
      <c r="E45" s="33">
        <v>12</v>
      </c>
      <c r="F45" s="23" t="s">
        <v>17</v>
      </c>
      <c r="G45" s="24"/>
      <c r="H45" s="24">
        <f t="shared" si="1"/>
        <v>0</v>
      </c>
    </row>
    <row r="46" spans="1:8" x14ac:dyDescent="0.45">
      <c r="A46" s="22" t="s">
        <v>2541</v>
      </c>
      <c r="B46" s="23">
        <v>1502000</v>
      </c>
      <c r="C46" s="33" t="s">
        <v>92</v>
      </c>
      <c r="D46" s="39" t="s">
        <v>93</v>
      </c>
      <c r="E46" s="33">
        <v>12</v>
      </c>
      <c r="F46" s="23" t="s">
        <v>17</v>
      </c>
      <c r="G46" s="24"/>
      <c r="H46" s="24">
        <f t="shared" si="1"/>
        <v>0</v>
      </c>
    </row>
    <row r="47" spans="1:8" x14ac:dyDescent="0.45">
      <c r="A47" s="22" t="s">
        <v>2542</v>
      </c>
      <c r="B47" s="23">
        <v>1502000</v>
      </c>
      <c r="C47" s="33" t="s">
        <v>95</v>
      </c>
      <c r="D47" s="39" t="s">
        <v>96</v>
      </c>
      <c r="E47" s="33">
        <v>12</v>
      </c>
      <c r="F47" s="23" t="s">
        <v>17</v>
      </c>
      <c r="G47" s="24"/>
      <c r="H47" s="24">
        <f t="shared" si="1"/>
        <v>0</v>
      </c>
    </row>
    <row r="48" spans="1:8" x14ac:dyDescent="0.45">
      <c r="A48" s="22" t="s">
        <v>2543</v>
      </c>
      <c r="B48" s="23">
        <v>1502000</v>
      </c>
      <c r="C48" s="33" t="s">
        <v>98</v>
      </c>
      <c r="D48" s="39" t="s">
        <v>99</v>
      </c>
      <c r="E48" s="33">
        <v>12</v>
      </c>
      <c r="F48" s="23" t="s">
        <v>17</v>
      </c>
      <c r="G48" s="24"/>
      <c r="H48" s="24">
        <f t="shared" si="1"/>
        <v>0</v>
      </c>
    </row>
    <row r="49" spans="1:8" s="293" customFormat="1" x14ac:dyDescent="0.45">
      <c r="A49" s="257" t="s">
        <v>2544</v>
      </c>
      <c r="B49" s="286">
        <v>1502000</v>
      </c>
      <c r="C49" s="301" t="s">
        <v>273</v>
      </c>
      <c r="D49" s="372" t="s">
        <v>309</v>
      </c>
      <c r="E49" s="301">
        <v>12</v>
      </c>
      <c r="F49" s="286" t="s">
        <v>17</v>
      </c>
      <c r="G49" s="302"/>
      <c r="H49" s="302">
        <f t="shared" si="1"/>
        <v>0</v>
      </c>
    </row>
    <row r="50" spans="1:8" x14ac:dyDescent="0.45">
      <c r="A50" s="257" t="s">
        <v>2545</v>
      </c>
      <c r="B50" s="23">
        <v>1502000</v>
      </c>
      <c r="C50" s="33" t="s">
        <v>101</v>
      </c>
      <c r="D50" s="39" t="s">
        <v>102</v>
      </c>
      <c r="E50" s="33">
        <v>12</v>
      </c>
      <c r="F50" s="23" t="s">
        <v>17</v>
      </c>
      <c r="G50" s="24"/>
      <c r="H50" s="24">
        <f t="shared" si="1"/>
        <v>0</v>
      </c>
    </row>
    <row r="51" spans="1:8" x14ac:dyDescent="0.45">
      <c r="A51" s="257" t="s">
        <v>2546</v>
      </c>
      <c r="B51" s="23">
        <v>1502000</v>
      </c>
      <c r="C51" s="23" t="s">
        <v>104</v>
      </c>
      <c r="D51" s="35" t="s">
        <v>105</v>
      </c>
      <c r="E51" s="33">
        <v>12</v>
      </c>
      <c r="F51" s="23" t="s">
        <v>17</v>
      </c>
      <c r="G51" s="24"/>
      <c r="H51" s="24">
        <f t="shared" si="1"/>
        <v>0</v>
      </c>
    </row>
    <row r="52" spans="1:8" x14ac:dyDescent="0.45">
      <c r="A52" s="257" t="s">
        <v>2547</v>
      </c>
      <c r="B52" s="23">
        <v>1502000</v>
      </c>
      <c r="C52" s="23" t="s">
        <v>107</v>
      </c>
      <c r="D52" s="22" t="s">
        <v>108</v>
      </c>
      <c r="E52" s="33">
        <v>12</v>
      </c>
      <c r="F52" s="23" t="s">
        <v>17</v>
      </c>
      <c r="G52" s="24"/>
      <c r="H52" s="24">
        <f t="shared" si="1"/>
        <v>0</v>
      </c>
    </row>
    <row r="53" spans="1:8" x14ac:dyDescent="0.45">
      <c r="A53" s="287"/>
      <c r="B53" s="41">
        <v>1503010</v>
      </c>
      <c r="C53" s="41"/>
      <c r="D53" s="42" t="s">
        <v>109</v>
      </c>
      <c r="E53" s="43"/>
      <c r="F53" s="44"/>
      <c r="G53" s="44"/>
      <c r="H53" s="45"/>
    </row>
    <row r="54" spans="1:8" x14ac:dyDescent="0.45">
      <c r="A54" s="257" t="s">
        <v>2548</v>
      </c>
      <c r="B54" s="33">
        <v>1503010</v>
      </c>
      <c r="C54" s="33">
        <v>3.1</v>
      </c>
      <c r="D54" s="36" t="s">
        <v>111</v>
      </c>
      <c r="E54" s="33">
        <v>12</v>
      </c>
      <c r="F54" s="23" t="s">
        <v>17</v>
      </c>
      <c r="G54" s="24"/>
      <c r="H54" s="24">
        <f>G54*E54</f>
        <v>0</v>
      </c>
    </row>
    <row r="55" spans="1:8" x14ac:dyDescent="0.45">
      <c r="A55" s="257" t="s">
        <v>2549</v>
      </c>
      <c r="B55" s="33">
        <v>1503010</v>
      </c>
      <c r="C55" s="33">
        <v>3.1</v>
      </c>
      <c r="D55" s="36" t="s">
        <v>113</v>
      </c>
      <c r="E55" s="33">
        <v>12</v>
      </c>
      <c r="F55" s="23" t="s">
        <v>17</v>
      </c>
      <c r="G55" s="24"/>
      <c r="H55" s="24">
        <f>G55*E55</f>
        <v>0</v>
      </c>
    </row>
    <row r="56" spans="1:8" x14ac:dyDescent="0.45">
      <c r="A56" s="287"/>
      <c r="B56" s="41">
        <v>1503020</v>
      </c>
      <c r="C56" s="41"/>
      <c r="D56" s="42" t="s">
        <v>114</v>
      </c>
      <c r="E56" s="43"/>
      <c r="F56" s="44"/>
      <c r="G56" s="44"/>
      <c r="H56" s="45"/>
    </row>
    <row r="57" spans="1:8" x14ac:dyDescent="0.45">
      <c r="A57" s="257" t="s">
        <v>2550</v>
      </c>
      <c r="B57" s="33">
        <v>1503020</v>
      </c>
      <c r="C57" s="33">
        <v>3.1</v>
      </c>
      <c r="D57" s="36" t="s">
        <v>116</v>
      </c>
      <c r="E57" s="33">
        <v>12</v>
      </c>
      <c r="F57" s="23" t="s">
        <v>17</v>
      </c>
      <c r="G57" s="24"/>
      <c r="H57" s="24">
        <f>G57*E57</f>
        <v>0</v>
      </c>
    </row>
    <row r="58" spans="1:8" x14ac:dyDescent="0.45">
      <c r="A58" s="257" t="s">
        <v>2551</v>
      </c>
      <c r="B58" s="33">
        <v>1503020</v>
      </c>
      <c r="C58" s="33">
        <v>3.2</v>
      </c>
      <c r="D58" s="36" t="s">
        <v>118</v>
      </c>
      <c r="E58" s="33">
        <v>12</v>
      </c>
      <c r="F58" s="23" t="s">
        <v>17</v>
      </c>
      <c r="G58" s="24"/>
      <c r="H58" s="24">
        <f>G58*E58</f>
        <v>0</v>
      </c>
    </row>
    <row r="59" spans="1:8" x14ac:dyDescent="0.45">
      <c r="A59" s="257" t="s">
        <v>2552</v>
      </c>
      <c r="B59" s="33">
        <v>1503020</v>
      </c>
      <c r="C59" s="33">
        <v>3.3</v>
      </c>
      <c r="D59" s="36" t="s">
        <v>120</v>
      </c>
      <c r="E59" s="33">
        <v>12</v>
      </c>
      <c r="F59" s="23" t="s">
        <v>17</v>
      </c>
      <c r="G59" s="24"/>
      <c r="H59" s="24">
        <f>G59*E59</f>
        <v>0</v>
      </c>
    </row>
    <row r="60" spans="1:8" x14ac:dyDescent="0.45">
      <c r="A60" s="287"/>
      <c r="B60" s="43">
        <v>1503030</v>
      </c>
      <c r="C60" s="41"/>
      <c r="D60" s="42" t="s">
        <v>121</v>
      </c>
      <c r="E60" s="43"/>
      <c r="F60" s="44"/>
      <c r="G60" s="44"/>
      <c r="H60" s="45"/>
    </row>
    <row r="61" spans="1:8" x14ac:dyDescent="0.45">
      <c r="A61" s="257" t="s">
        <v>2553</v>
      </c>
      <c r="B61" s="33">
        <v>1503030</v>
      </c>
      <c r="C61" s="33" t="s">
        <v>123</v>
      </c>
      <c r="D61" s="36" t="s">
        <v>124</v>
      </c>
      <c r="E61" s="33">
        <v>12</v>
      </c>
      <c r="F61" s="23" t="s">
        <v>17</v>
      </c>
      <c r="G61" s="24"/>
      <c r="H61" s="24">
        <f>G61*E61</f>
        <v>0</v>
      </c>
    </row>
    <row r="62" spans="1:8" x14ac:dyDescent="0.45">
      <c r="A62" s="257" t="s">
        <v>2554</v>
      </c>
      <c r="B62" s="33">
        <v>1503030</v>
      </c>
      <c r="C62" s="33">
        <v>3.6</v>
      </c>
      <c r="D62" s="36" t="s">
        <v>126</v>
      </c>
      <c r="E62" s="33">
        <v>12</v>
      </c>
      <c r="F62" s="23" t="s">
        <v>17</v>
      </c>
      <c r="G62" s="24"/>
      <c r="H62" s="24">
        <f>G62*E62</f>
        <v>0</v>
      </c>
    </row>
    <row r="63" spans="1:8" x14ac:dyDescent="0.45">
      <c r="A63" s="287"/>
      <c r="B63" s="41">
        <v>1503050</v>
      </c>
      <c r="C63" s="41"/>
      <c r="D63" s="42" t="s">
        <v>127</v>
      </c>
      <c r="E63" s="43"/>
      <c r="F63" s="44"/>
      <c r="G63" s="44"/>
      <c r="H63" s="45"/>
    </row>
    <row r="64" spans="1:8" x14ac:dyDescent="0.45">
      <c r="A64" s="257" t="s">
        <v>2555</v>
      </c>
      <c r="B64" s="33">
        <v>1503050</v>
      </c>
      <c r="C64" s="33">
        <v>3.1</v>
      </c>
      <c r="D64" s="46" t="s">
        <v>129</v>
      </c>
      <c r="E64" s="33">
        <v>12</v>
      </c>
      <c r="F64" s="23" t="s">
        <v>17</v>
      </c>
      <c r="G64" s="24"/>
      <c r="H64" s="24">
        <f>G64*E64</f>
        <v>0</v>
      </c>
    </row>
    <row r="65" spans="1:8" x14ac:dyDescent="0.45">
      <c r="A65" s="257" t="s">
        <v>2556</v>
      </c>
      <c r="B65" s="33">
        <v>1503050</v>
      </c>
      <c r="C65" s="33">
        <v>3.2</v>
      </c>
      <c r="D65" s="36" t="s">
        <v>131</v>
      </c>
      <c r="E65" s="33">
        <v>12</v>
      </c>
      <c r="F65" s="23" t="s">
        <v>17</v>
      </c>
      <c r="G65" s="24"/>
      <c r="H65" s="24">
        <f>G65*E65</f>
        <v>0</v>
      </c>
    </row>
    <row r="66" spans="1:8" x14ac:dyDescent="0.45">
      <c r="A66" s="257" t="s">
        <v>2557</v>
      </c>
      <c r="B66" s="33">
        <v>1503050</v>
      </c>
      <c r="C66" s="33">
        <v>3.3</v>
      </c>
      <c r="D66" s="36" t="s">
        <v>133</v>
      </c>
      <c r="E66" s="33">
        <v>12</v>
      </c>
      <c r="F66" s="23" t="s">
        <v>17</v>
      </c>
      <c r="G66" s="24"/>
      <c r="H66" s="24">
        <f>G66*E66</f>
        <v>0</v>
      </c>
    </row>
    <row r="67" spans="1:8" x14ac:dyDescent="0.45">
      <c r="A67" s="257" t="s">
        <v>2558</v>
      </c>
      <c r="B67" s="33">
        <v>1503050</v>
      </c>
      <c r="C67" s="33">
        <v>3.4</v>
      </c>
      <c r="D67" s="36" t="s">
        <v>135</v>
      </c>
      <c r="E67" s="33">
        <v>12</v>
      </c>
      <c r="F67" s="23" t="s">
        <v>17</v>
      </c>
      <c r="G67" s="24"/>
      <c r="H67" s="24">
        <f>G67*E67</f>
        <v>0</v>
      </c>
    </row>
    <row r="68" spans="1:8" s="389" customFormat="1" x14ac:dyDescent="0.45">
      <c r="A68" s="257" t="s">
        <v>2559</v>
      </c>
      <c r="B68" s="301">
        <v>1503050</v>
      </c>
      <c r="C68" s="301">
        <v>3.4</v>
      </c>
      <c r="D68" s="295" t="s">
        <v>5024</v>
      </c>
      <c r="E68" s="301">
        <v>12</v>
      </c>
      <c r="F68" s="286" t="s">
        <v>17</v>
      </c>
      <c r="G68" s="302"/>
      <c r="H68" s="302">
        <f>G68*E68</f>
        <v>0</v>
      </c>
    </row>
    <row r="69" spans="1:8" s="389" customFormat="1" x14ac:dyDescent="0.45">
      <c r="A69" s="257" t="s">
        <v>5175</v>
      </c>
      <c r="B69" s="33">
        <v>1503050</v>
      </c>
      <c r="C69" s="33">
        <v>3.5</v>
      </c>
      <c r="D69" s="47" t="s">
        <v>137</v>
      </c>
      <c r="E69" s="33">
        <v>12</v>
      </c>
      <c r="F69" s="23" t="s">
        <v>17</v>
      </c>
      <c r="G69" s="24"/>
      <c r="H69" s="24">
        <f>G69*E69</f>
        <v>0</v>
      </c>
    </row>
    <row r="70" spans="1:8" x14ac:dyDescent="0.45">
      <c r="A70" s="287"/>
      <c r="B70" s="41">
        <v>1503060</v>
      </c>
      <c r="C70" s="41"/>
      <c r="D70" s="42" t="s">
        <v>138</v>
      </c>
      <c r="E70" s="43"/>
      <c r="F70" s="44"/>
      <c r="G70" s="44"/>
      <c r="H70" s="45"/>
    </row>
    <row r="71" spans="1:8" x14ac:dyDescent="0.45">
      <c r="A71" s="257" t="s">
        <v>2560</v>
      </c>
      <c r="B71" s="33">
        <v>1503060</v>
      </c>
      <c r="C71" s="33">
        <v>3.1</v>
      </c>
      <c r="D71" s="36" t="s">
        <v>140</v>
      </c>
      <c r="E71" s="23">
        <v>12</v>
      </c>
      <c r="F71" s="23" t="s">
        <v>17</v>
      </c>
      <c r="G71" s="24"/>
      <c r="H71" s="24">
        <f>G71*E71</f>
        <v>0</v>
      </c>
    </row>
    <row r="72" spans="1:8" x14ac:dyDescent="0.45">
      <c r="A72" s="257" t="s">
        <v>2561</v>
      </c>
      <c r="B72" s="33">
        <v>1503060</v>
      </c>
      <c r="C72" s="33">
        <v>3.2</v>
      </c>
      <c r="D72" s="36" t="s">
        <v>142</v>
      </c>
      <c r="E72" s="23">
        <v>12</v>
      </c>
      <c r="F72" s="23" t="s">
        <v>17</v>
      </c>
      <c r="G72" s="24"/>
      <c r="H72" s="24">
        <f>G72*E72</f>
        <v>0</v>
      </c>
    </row>
    <row r="73" spans="1:8" x14ac:dyDescent="0.45">
      <c r="A73" s="287"/>
      <c r="B73" s="41">
        <v>1601000</v>
      </c>
      <c r="C73" s="41"/>
      <c r="D73" s="42" t="s">
        <v>143</v>
      </c>
      <c r="E73" s="43"/>
      <c r="F73" s="44"/>
      <c r="G73" s="44"/>
      <c r="H73" s="45"/>
    </row>
    <row r="74" spans="1:8" x14ac:dyDescent="0.45">
      <c r="A74" s="363"/>
      <c r="B74" s="26"/>
      <c r="C74" s="26">
        <v>3.1</v>
      </c>
      <c r="D74" s="27" t="s">
        <v>144</v>
      </c>
      <c r="E74" s="28"/>
      <c r="F74" s="28"/>
      <c r="G74" s="28"/>
      <c r="H74" s="28"/>
    </row>
    <row r="75" spans="1:8" x14ac:dyDescent="0.45">
      <c r="A75" s="257" t="s">
        <v>2562</v>
      </c>
      <c r="B75" s="23">
        <v>1601000</v>
      </c>
      <c r="C75" s="23" t="s">
        <v>21</v>
      </c>
      <c r="D75" s="48" t="s">
        <v>146</v>
      </c>
      <c r="E75" s="23">
        <v>12</v>
      </c>
      <c r="F75" s="23" t="s">
        <v>17</v>
      </c>
      <c r="G75" s="24"/>
      <c r="H75" s="24">
        <f>G75*E75</f>
        <v>0</v>
      </c>
    </row>
    <row r="76" spans="1:8" x14ac:dyDescent="0.45">
      <c r="A76" s="257" t="s">
        <v>2563</v>
      </c>
      <c r="B76" s="23">
        <v>1601000</v>
      </c>
      <c r="C76" s="23" t="s">
        <v>24</v>
      </c>
      <c r="D76" s="48" t="s">
        <v>148</v>
      </c>
      <c r="E76" s="23">
        <v>12</v>
      </c>
      <c r="F76" s="23" t="s">
        <v>17</v>
      </c>
      <c r="G76" s="24"/>
      <c r="H76" s="24">
        <f>G76*E76</f>
        <v>0</v>
      </c>
    </row>
    <row r="77" spans="1:8" x14ac:dyDescent="0.45">
      <c r="A77" s="257" t="s">
        <v>2564</v>
      </c>
      <c r="B77" s="23">
        <v>1601000</v>
      </c>
      <c r="C77" s="23">
        <v>3.2</v>
      </c>
      <c r="D77" s="48" t="s">
        <v>150</v>
      </c>
      <c r="E77" s="23">
        <v>12</v>
      </c>
      <c r="F77" s="23" t="s">
        <v>17</v>
      </c>
      <c r="G77" s="24"/>
      <c r="H77" s="24">
        <f>G77*E77</f>
        <v>0</v>
      </c>
    </row>
    <row r="78" spans="1:8" x14ac:dyDescent="0.45">
      <c r="A78" s="257" t="s">
        <v>2565</v>
      </c>
      <c r="B78" s="23">
        <v>1601000</v>
      </c>
      <c r="C78" s="23">
        <v>3.3</v>
      </c>
      <c r="D78" s="48" t="s">
        <v>152</v>
      </c>
      <c r="E78" s="23">
        <v>12</v>
      </c>
      <c r="F78" s="23" t="s">
        <v>17</v>
      </c>
      <c r="G78" s="24"/>
      <c r="H78" s="24">
        <f>G78*E78</f>
        <v>0</v>
      </c>
    </row>
    <row r="79" spans="1:8" x14ac:dyDescent="0.45">
      <c r="A79" s="287"/>
      <c r="B79" s="41">
        <v>1602000</v>
      </c>
      <c r="C79" s="41"/>
      <c r="D79" s="42" t="s">
        <v>153</v>
      </c>
      <c r="E79" s="43"/>
      <c r="F79" s="44" t="s">
        <v>154</v>
      </c>
      <c r="G79" s="44"/>
      <c r="H79" s="45"/>
    </row>
    <row r="80" spans="1:8" x14ac:dyDescent="0.45">
      <c r="A80" s="363"/>
      <c r="B80" s="26"/>
      <c r="C80" s="26">
        <v>3.1</v>
      </c>
      <c r="D80" s="27" t="s">
        <v>31</v>
      </c>
      <c r="E80" s="28"/>
      <c r="F80" s="28"/>
      <c r="G80" s="28"/>
      <c r="H80" s="28"/>
    </row>
    <row r="81" spans="1:8" x14ac:dyDescent="0.45">
      <c r="A81" s="257" t="s">
        <v>2566</v>
      </c>
      <c r="B81" s="23">
        <v>1602000</v>
      </c>
      <c r="C81" s="23" t="s">
        <v>21</v>
      </c>
      <c r="D81" s="48" t="s">
        <v>156</v>
      </c>
      <c r="E81" s="23">
        <v>12</v>
      </c>
      <c r="F81" s="23" t="s">
        <v>17</v>
      </c>
      <c r="G81" s="24"/>
      <c r="H81" s="24">
        <f>G81*E81</f>
        <v>0</v>
      </c>
    </row>
    <row r="82" spans="1:8" x14ac:dyDescent="0.45">
      <c r="A82" s="363"/>
      <c r="B82" s="49"/>
      <c r="C82" s="26">
        <v>3.2</v>
      </c>
      <c r="D82" s="28" t="s">
        <v>75</v>
      </c>
      <c r="E82" s="28"/>
      <c r="F82" s="28"/>
      <c r="G82" s="28"/>
      <c r="H82" s="28"/>
    </row>
    <row r="83" spans="1:8" x14ac:dyDescent="0.45">
      <c r="A83" s="257" t="s">
        <v>2567</v>
      </c>
      <c r="B83" s="23">
        <v>1602000</v>
      </c>
      <c r="C83" s="23" t="s">
        <v>158</v>
      </c>
      <c r="D83" s="48" t="s">
        <v>159</v>
      </c>
      <c r="E83" s="23">
        <v>12</v>
      </c>
      <c r="F83" s="23" t="s">
        <v>17</v>
      </c>
      <c r="G83" s="24"/>
      <c r="H83" s="24">
        <f>G83*E83</f>
        <v>0</v>
      </c>
    </row>
    <row r="84" spans="1:8" x14ac:dyDescent="0.45">
      <c r="A84" s="287"/>
      <c r="B84" s="41">
        <v>1603000</v>
      </c>
      <c r="C84" s="41"/>
      <c r="D84" s="42" t="s">
        <v>160</v>
      </c>
      <c r="E84" s="50"/>
      <c r="F84" s="50"/>
      <c r="G84" s="44"/>
      <c r="H84" s="51"/>
    </row>
    <row r="85" spans="1:8" x14ac:dyDescent="0.45">
      <c r="A85" s="257" t="s">
        <v>2568</v>
      </c>
      <c r="B85" s="23">
        <v>1603000</v>
      </c>
      <c r="C85" s="23">
        <v>3.1</v>
      </c>
      <c r="D85" s="48" t="s">
        <v>62</v>
      </c>
      <c r="E85" s="23">
        <v>12</v>
      </c>
      <c r="F85" s="23" t="s">
        <v>17</v>
      </c>
      <c r="G85" s="24"/>
      <c r="H85" s="24">
        <f>G85*E85</f>
        <v>0</v>
      </c>
    </row>
    <row r="86" spans="1:8" x14ac:dyDescent="0.45">
      <c r="A86" s="287"/>
      <c r="B86" s="41">
        <v>1604000</v>
      </c>
      <c r="C86" s="41"/>
      <c r="D86" s="42" t="s">
        <v>162</v>
      </c>
      <c r="E86" s="50"/>
      <c r="F86" s="50"/>
      <c r="G86" s="44"/>
      <c r="H86" s="51"/>
    </row>
    <row r="87" spans="1:8" x14ac:dyDescent="0.45">
      <c r="A87" s="257" t="s">
        <v>2569</v>
      </c>
      <c r="B87" s="23">
        <v>1604000</v>
      </c>
      <c r="C87" s="23">
        <v>3.1</v>
      </c>
      <c r="D87" s="30" t="s">
        <v>31</v>
      </c>
      <c r="E87" s="52">
        <v>12</v>
      </c>
      <c r="F87" s="52" t="s">
        <v>17</v>
      </c>
      <c r="G87" s="24"/>
      <c r="H87" s="53">
        <f>G87*E87</f>
        <v>0</v>
      </c>
    </row>
    <row r="88" spans="1:8" x14ac:dyDescent="0.45">
      <c r="A88" s="257" t="s">
        <v>2570</v>
      </c>
      <c r="B88" s="23">
        <v>1604000</v>
      </c>
      <c r="C88" s="23">
        <v>3.2</v>
      </c>
      <c r="D88" s="30" t="s">
        <v>165</v>
      </c>
      <c r="E88" s="52">
        <v>12</v>
      </c>
      <c r="F88" s="52" t="s">
        <v>17</v>
      </c>
      <c r="G88" s="24"/>
      <c r="H88" s="53">
        <f>G88*E88</f>
        <v>0</v>
      </c>
    </row>
    <row r="89" spans="1:8" x14ac:dyDescent="0.45">
      <c r="A89" s="287"/>
      <c r="B89" s="41">
        <v>1606001</v>
      </c>
      <c r="C89" s="41"/>
      <c r="D89" s="54" t="s">
        <v>166</v>
      </c>
      <c r="E89" s="55"/>
      <c r="F89" s="55"/>
      <c r="G89" s="44"/>
      <c r="H89" s="55"/>
    </row>
    <row r="90" spans="1:8" x14ac:dyDescent="0.45">
      <c r="A90" s="257" t="s">
        <v>2571</v>
      </c>
      <c r="B90" s="23">
        <v>1606001</v>
      </c>
      <c r="C90" s="23">
        <v>3.1</v>
      </c>
      <c r="D90" s="56" t="s">
        <v>31</v>
      </c>
      <c r="E90" s="23">
        <v>12</v>
      </c>
      <c r="F90" s="23" t="s">
        <v>17</v>
      </c>
      <c r="G90" s="24"/>
      <c r="H90" s="24">
        <f>G90*E90</f>
        <v>0</v>
      </c>
    </row>
    <row r="91" spans="1:8" x14ac:dyDescent="0.45">
      <c r="A91" s="257" t="s">
        <v>2572</v>
      </c>
      <c r="B91" s="23">
        <v>1606001</v>
      </c>
      <c r="C91" s="23">
        <v>3.2</v>
      </c>
      <c r="D91" s="56" t="s">
        <v>169</v>
      </c>
      <c r="E91" s="23">
        <v>12</v>
      </c>
      <c r="F91" s="23" t="s">
        <v>17</v>
      </c>
      <c r="G91" s="24"/>
      <c r="H91" s="24">
        <f>G91*E91</f>
        <v>0</v>
      </c>
    </row>
    <row r="92" spans="1:8" x14ac:dyDescent="0.45">
      <c r="A92" s="257" t="s">
        <v>2573</v>
      </c>
      <c r="B92" s="23">
        <v>1606001</v>
      </c>
      <c r="C92" s="23">
        <v>3.3</v>
      </c>
      <c r="D92" s="56" t="s">
        <v>170</v>
      </c>
      <c r="E92" s="23">
        <v>12</v>
      </c>
      <c r="F92" s="23" t="s">
        <v>17</v>
      </c>
      <c r="G92" s="24"/>
      <c r="H92" s="24">
        <f>G92*E92</f>
        <v>0</v>
      </c>
    </row>
    <row r="93" spans="1:8" x14ac:dyDescent="0.45">
      <c r="A93" s="287"/>
      <c r="B93" s="41">
        <v>1700000</v>
      </c>
      <c r="C93" s="41"/>
      <c r="D93" s="42" t="s">
        <v>171</v>
      </c>
      <c r="E93" s="50"/>
      <c r="F93" s="50"/>
      <c r="G93" s="44"/>
      <c r="H93" s="51"/>
    </row>
    <row r="94" spans="1:8" x14ac:dyDescent="0.45">
      <c r="A94" s="257" t="s">
        <v>2574</v>
      </c>
      <c r="B94" s="23">
        <v>1700000</v>
      </c>
      <c r="C94" s="23">
        <v>3.1</v>
      </c>
      <c r="D94" s="30" t="s">
        <v>173</v>
      </c>
      <c r="E94" s="23">
        <v>12</v>
      </c>
      <c r="F94" s="23" t="s">
        <v>17</v>
      </c>
      <c r="G94" s="24"/>
      <c r="H94" s="24">
        <f>G94*E94</f>
        <v>0</v>
      </c>
    </row>
    <row r="95" spans="1:8" x14ac:dyDescent="0.45">
      <c r="A95" s="287"/>
      <c r="B95" s="41">
        <v>1800000</v>
      </c>
      <c r="C95" s="41"/>
      <c r="D95" s="42" t="s">
        <v>174</v>
      </c>
      <c r="E95" s="43"/>
      <c r="F95" s="44"/>
      <c r="G95" s="44"/>
      <c r="H95" s="45"/>
    </row>
    <row r="96" spans="1:8" ht="25.2" x14ac:dyDescent="0.45">
      <c r="A96" s="257" t="s">
        <v>5331</v>
      </c>
      <c r="B96" s="23">
        <v>1800000</v>
      </c>
      <c r="C96" s="23">
        <v>3.1</v>
      </c>
      <c r="D96" s="57" t="s">
        <v>176</v>
      </c>
      <c r="E96" s="23">
        <v>12</v>
      </c>
      <c r="F96" s="23" t="s">
        <v>17</v>
      </c>
      <c r="G96" s="24"/>
      <c r="H96" s="24">
        <f>G96*E96</f>
        <v>0</v>
      </c>
    </row>
    <row r="97" spans="1:8" x14ac:dyDescent="0.45">
      <c r="A97" s="58"/>
      <c r="B97" s="59"/>
      <c r="C97" s="59"/>
      <c r="D97" s="60" t="s">
        <v>177</v>
      </c>
      <c r="E97" s="59"/>
      <c r="F97" s="59"/>
      <c r="G97" s="59"/>
      <c r="H97" s="62">
        <f>SUM(H15:H96)</f>
        <v>0</v>
      </c>
    </row>
    <row r="98" spans="1:8" hidden="1" x14ac:dyDescent="0.45">
      <c r="A98" s="63"/>
      <c r="B98" s="64"/>
      <c r="C98" s="64"/>
      <c r="D98" s="65"/>
      <c r="E98" s="64"/>
      <c r="F98" s="64"/>
      <c r="G98" s="64"/>
      <c r="H98" s="66"/>
    </row>
    <row r="99" spans="1:8" s="70" customFormat="1" ht="13.5" hidden="1" customHeight="1" x14ac:dyDescent="0.45">
      <c r="A99" s="67"/>
      <c r="B99" s="68"/>
      <c r="C99" s="68"/>
      <c r="D99" s="69"/>
      <c r="E99" s="69"/>
      <c r="F99" s="69"/>
      <c r="G99" s="69"/>
      <c r="H99" s="69"/>
    </row>
    <row r="100" spans="1:8" s="70" customFormat="1" ht="12.3" hidden="1" x14ac:dyDescent="0.45">
      <c r="A100" s="71"/>
      <c r="B100" s="72"/>
      <c r="C100" s="72"/>
      <c r="D100" s="73" t="s">
        <v>178</v>
      </c>
      <c r="E100" s="74"/>
      <c r="F100" s="74"/>
      <c r="G100" s="74"/>
      <c r="H100" s="75"/>
    </row>
    <row r="101" spans="1:8" s="70" customFormat="1" ht="12.3" hidden="1" x14ac:dyDescent="0.45">
      <c r="A101" s="76"/>
      <c r="B101" s="77"/>
      <c r="C101" s="77"/>
      <c r="D101" s="78" t="s">
        <v>179</v>
      </c>
      <c r="E101" s="79">
        <v>12</v>
      </c>
      <c r="F101" s="79" t="s">
        <v>17</v>
      </c>
      <c r="G101" s="79"/>
      <c r="H101" s="80">
        <f>G101*E101</f>
        <v>0</v>
      </c>
    </row>
    <row r="102" spans="1:8" s="70" customFormat="1" ht="12.3" hidden="1" x14ac:dyDescent="0.45">
      <c r="A102" s="71"/>
      <c r="B102" s="72"/>
      <c r="C102" s="72"/>
      <c r="D102" s="73" t="s">
        <v>180</v>
      </c>
      <c r="E102" s="72"/>
      <c r="F102" s="81"/>
      <c r="G102" s="81"/>
      <c r="H102" s="82"/>
    </row>
    <row r="103" spans="1:8" s="70" customFormat="1" ht="12.3" hidden="1" x14ac:dyDescent="0.45">
      <c r="A103" s="83"/>
      <c r="B103" s="84"/>
      <c r="C103" s="84"/>
      <c r="D103" s="85" t="s">
        <v>181</v>
      </c>
      <c r="E103" s="84"/>
      <c r="F103" s="84"/>
      <c r="G103" s="84"/>
      <c r="H103" s="86">
        <f>SUM(H100:H102)</f>
        <v>0</v>
      </c>
    </row>
    <row r="104" spans="1:8" x14ac:dyDescent="0.45">
      <c r="A104" s="87"/>
      <c r="B104" s="88"/>
      <c r="C104" s="88"/>
      <c r="D104" s="89"/>
      <c r="E104" s="64"/>
      <c r="F104" s="64"/>
      <c r="G104" s="64"/>
      <c r="H104" s="66"/>
    </row>
    <row r="105" spans="1:8" x14ac:dyDescent="0.45">
      <c r="A105" s="12" t="s">
        <v>2575</v>
      </c>
      <c r="B105" s="90"/>
      <c r="C105" s="13"/>
      <c r="D105" s="12" t="s">
        <v>183</v>
      </c>
      <c r="E105" s="91"/>
      <c r="F105" s="91"/>
      <c r="G105" s="91"/>
      <c r="H105" s="91"/>
    </row>
    <row r="106" spans="1:8" x14ac:dyDescent="0.4">
      <c r="A106" s="40"/>
      <c r="B106" s="222">
        <v>1502000</v>
      </c>
      <c r="C106" s="18"/>
      <c r="D106" s="223" t="s">
        <v>18</v>
      </c>
      <c r="E106" s="50"/>
      <c r="F106" s="50"/>
      <c r="G106" s="50"/>
      <c r="H106" s="51"/>
    </row>
    <row r="107" spans="1:8" x14ac:dyDescent="0.45">
      <c r="A107" s="25"/>
      <c r="B107" s="26"/>
      <c r="C107" s="26">
        <v>3.1</v>
      </c>
      <c r="D107" s="27" t="s">
        <v>19</v>
      </c>
      <c r="E107" s="28"/>
      <c r="F107" s="28"/>
      <c r="G107" s="28"/>
      <c r="H107" s="28"/>
    </row>
    <row r="108" spans="1:8" x14ac:dyDescent="0.45">
      <c r="A108" s="22" t="s">
        <v>2576</v>
      </c>
      <c r="B108" s="23">
        <v>1502000</v>
      </c>
      <c r="C108" s="23" t="s">
        <v>21</v>
      </c>
      <c r="D108" s="29" t="s">
        <v>22</v>
      </c>
      <c r="E108" s="23">
        <v>12</v>
      </c>
      <c r="F108" s="23" t="s">
        <v>17</v>
      </c>
      <c r="G108" s="24"/>
      <c r="H108" s="24">
        <f>G108*E108</f>
        <v>0</v>
      </c>
    </row>
    <row r="109" spans="1:8" x14ac:dyDescent="0.45">
      <c r="A109" s="22" t="s">
        <v>2577</v>
      </c>
      <c r="B109" s="23">
        <v>1502000</v>
      </c>
      <c r="C109" s="23" t="s">
        <v>24</v>
      </c>
      <c r="D109" s="29" t="s">
        <v>25</v>
      </c>
      <c r="E109" s="23">
        <v>12</v>
      </c>
      <c r="F109" s="23" t="s">
        <v>17</v>
      </c>
      <c r="G109" s="24"/>
      <c r="H109" s="24">
        <f>G109*E109</f>
        <v>0</v>
      </c>
    </row>
    <row r="110" spans="1:8" x14ac:dyDescent="0.45">
      <c r="A110" s="22" t="s">
        <v>2578</v>
      </c>
      <c r="B110" s="23">
        <v>1502000</v>
      </c>
      <c r="C110" s="23" t="s">
        <v>27</v>
      </c>
      <c r="D110" s="29" t="s">
        <v>28</v>
      </c>
      <c r="E110" s="23">
        <v>12</v>
      </c>
      <c r="F110" s="23" t="s">
        <v>17</v>
      </c>
      <c r="G110" s="24"/>
      <c r="H110" s="24">
        <f>G110*E110</f>
        <v>0</v>
      </c>
    </row>
    <row r="111" spans="1:8" x14ac:dyDescent="0.45">
      <c r="A111" s="25"/>
      <c r="B111" s="26"/>
      <c r="C111" s="26">
        <v>3.4</v>
      </c>
      <c r="D111" s="27" t="s">
        <v>62</v>
      </c>
      <c r="E111" s="28"/>
      <c r="F111" s="28"/>
      <c r="G111" s="28"/>
      <c r="H111" s="28"/>
    </row>
    <row r="112" spans="1:8" x14ac:dyDescent="0.45">
      <c r="A112" s="22" t="s">
        <v>2579</v>
      </c>
      <c r="B112" s="23">
        <v>1502000</v>
      </c>
      <c r="C112" s="23" t="s">
        <v>67</v>
      </c>
      <c r="D112" s="35" t="s">
        <v>68</v>
      </c>
      <c r="E112" s="23">
        <v>12</v>
      </c>
      <c r="F112" s="23" t="s">
        <v>17</v>
      </c>
      <c r="G112" s="24"/>
      <c r="H112" s="24">
        <f>G112*E112</f>
        <v>0</v>
      </c>
    </row>
    <row r="113" spans="1:8" x14ac:dyDescent="0.45">
      <c r="A113" s="25"/>
      <c r="B113" s="37"/>
      <c r="C113" s="37">
        <v>3.6</v>
      </c>
      <c r="D113" s="38" t="s">
        <v>75</v>
      </c>
      <c r="E113" s="28"/>
      <c r="F113" s="28"/>
      <c r="G113" s="28"/>
      <c r="H113" s="28"/>
    </row>
    <row r="114" spans="1:8" s="263" customFormat="1" x14ac:dyDescent="0.45">
      <c r="A114" s="258" t="s">
        <v>2580</v>
      </c>
      <c r="B114" s="261">
        <v>1502000</v>
      </c>
      <c r="C114" s="259" t="s">
        <v>77</v>
      </c>
      <c r="D114" s="275" t="s">
        <v>78</v>
      </c>
      <c r="E114" s="261">
        <v>12</v>
      </c>
      <c r="F114" s="261" t="s">
        <v>17</v>
      </c>
      <c r="G114" s="262"/>
      <c r="H114" s="262">
        <f>G114*E114</f>
        <v>0</v>
      </c>
    </row>
    <row r="115" spans="1:8" s="389" customFormat="1" x14ac:dyDescent="0.45">
      <c r="A115" s="22" t="s">
        <v>2581</v>
      </c>
      <c r="B115" s="23">
        <v>1502000</v>
      </c>
      <c r="C115" s="33" t="s">
        <v>95</v>
      </c>
      <c r="D115" s="39" t="s">
        <v>96</v>
      </c>
      <c r="E115" s="23">
        <v>12</v>
      </c>
      <c r="F115" s="23" t="s">
        <v>17</v>
      </c>
      <c r="G115" s="24"/>
      <c r="H115" s="24">
        <f>G115*E115</f>
        <v>0</v>
      </c>
    </row>
    <row r="116" spans="1:8" s="263" customFormat="1" x14ac:dyDescent="0.45">
      <c r="A116" s="258" t="s">
        <v>2582</v>
      </c>
      <c r="B116" s="261">
        <v>1502000</v>
      </c>
      <c r="C116" s="259" t="s">
        <v>101</v>
      </c>
      <c r="D116" s="275" t="s">
        <v>102</v>
      </c>
      <c r="E116" s="261">
        <v>12</v>
      </c>
      <c r="F116" s="261" t="s">
        <v>17</v>
      </c>
      <c r="G116" s="262"/>
      <c r="H116" s="262">
        <f>G116*E116</f>
        <v>0</v>
      </c>
    </row>
    <row r="117" spans="1:8" x14ac:dyDescent="0.45">
      <c r="A117" s="40"/>
      <c r="B117" s="41">
        <v>1503010</v>
      </c>
      <c r="C117" s="41"/>
      <c r="D117" s="42" t="s">
        <v>109</v>
      </c>
      <c r="E117" s="43"/>
      <c r="F117" s="44"/>
      <c r="G117" s="44"/>
      <c r="H117" s="45"/>
    </row>
    <row r="118" spans="1:8" x14ac:dyDescent="0.45">
      <c r="A118" s="22" t="s">
        <v>5176</v>
      </c>
      <c r="B118" s="33">
        <v>1503010</v>
      </c>
      <c r="C118" s="33">
        <v>3.1</v>
      </c>
      <c r="D118" s="36" t="s">
        <v>111</v>
      </c>
      <c r="E118" s="23">
        <v>12</v>
      </c>
      <c r="F118" s="23" t="s">
        <v>17</v>
      </c>
      <c r="G118" s="24"/>
      <c r="H118" s="24">
        <f>G118*E118</f>
        <v>0</v>
      </c>
    </row>
    <row r="119" spans="1:8" x14ac:dyDescent="0.45">
      <c r="A119" s="40"/>
      <c r="B119" s="92">
        <v>1503020</v>
      </c>
      <c r="C119" s="92"/>
      <c r="D119" s="93" t="s">
        <v>114</v>
      </c>
      <c r="E119" s="50"/>
      <c r="F119" s="50"/>
      <c r="G119" s="44"/>
      <c r="H119" s="51"/>
    </row>
    <row r="120" spans="1:8" x14ac:dyDescent="0.45">
      <c r="A120" s="22" t="s">
        <v>5177</v>
      </c>
      <c r="B120" s="33">
        <v>1503020</v>
      </c>
      <c r="C120" s="33">
        <v>3.1</v>
      </c>
      <c r="D120" s="36" t="s">
        <v>116</v>
      </c>
      <c r="E120" s="23">
        <v>12</v>
      </c>
      <c r="F120" s="23" t="s">
        <v>17</v>
      </c>
      <c r="G120" s="24"/>
      <c r="H120" s="24">
        <f>G120*E120</f>
        <v>0</v>
      </c>
    </row>
    <row r="121" spans="1:8" x14ac:dyDescent="0.45">
      <c r="A121" s="22" t="s">
        <v>5178</v>
      </c>
      <c r="B121" s="33">
        <v>1503020</v>
      </c>
      <c r="C121" s="33">
        <v>3.3</v>
      </c>
      <c r="D121" s="36" t="s">
        <v>120</v>
      </c>
      <c r="E121" s="23">
        <v>12</v>
      </c>
      <c r="F121" s="23" t="s">
        <v>17</v>
      </c>
      <c r="G121" s="24"/>
      <c r="H121" s="24">
        <f>G121*E121</f>
        <v>0</v>
      </c>
    </row>
    <row r="122" spans="1:8" x14ac:dyDescent="0.45">
      <c r="A122" s="58"/>
      <c r="B122" s="59"/>
      <c r="C122" s="59"/>
      <c r="D122" s="60" t="s">
        <v>190</v>
      </c>
      <c r="E122" s="59"/>
      <c r="F122" s="59"/>
      <c r="G122" s="59"/>
      <c r="H122" s="62">
        <f>SUM(H107:H121)</f>
        <v>0</v>
      </c>
    </row>
    <row r="123" spans="1:8" x14ac:dyDescent="0.45">
      <c r="A123" s="87"/>
      <c r="B123" s="88"/>
      <c r="C123" s="88"/>
      <c r="D123" s="89"/>
      <c r="E123" s="88"/>
      <c r="F123" s="88"/>
      <c r="G123" s="88"/>
      <c r="H123" s="94"/>
    </row>
    <row r="124" spans="1:8" x14ac:dyDescent="0.45">
      <c r="A124" s="12" t="s">
        <v>2583</v>
      </c>
      <c r="B124" s="13"/>
      <c r="C124" s="13"/>
      <c r="D124" s="12" t="s">
        <v>192</v>
      </c>
      <c r="E124" s="91"/>
      <c r="F124" s="91"/>
      <c r="G124" s="91"/>
      <c r="H124" s="91"/>
    </row>
    <row r="125" spans="1:8" x14ac:dyDescent="0.4">
      <c r="A125" s="40"/>
      <c r="B125" s="222">
        <v>1502000</v>
      </c>
      <c r="C125" s="18"/>
      <c r="D125" s="223" t="s">
        <v>18</v>
      </c>
      <c r="E125" s="43"/>
      <c r="F125" s="44"/>
      <c r="G125" s="43"/>
      <c r="H125" s="45"/>
    </row>
    <row r="126" spans="1:8" x14ac:dyDescent="0.45">
      <c r="A126" s="25"/>
      <c r="B126" s="26"/>
      <c r="C126" s="26">
        <v>3.4</v>
      </c>
      <c r="D126" s="27" t="s">
        <v>62</v>
      </c>
      <c r="E126" s="28"/>
      <c r="F126" s="28"/>
      <c r="G126" s="28"/>
      <c r="H126" s="28"/>
    </row>
    <row r="127" spans="1:8" x14ac:dyDescent="0.45">
      <c r="A127" s="22" t="s">
        <v>2584</v>
      </c>
      <c r="B127" s="23">
        <v>1502000</v>
      </c>
      <c r="C127" s="23" t="s">
        <v>67</v>
      </c>
      <c r="D127" s="35" t="s">
        <v>68</v>
      </c>
      <c r="E127" s="23">
        <v>12</v>
      </c>
      <c r="F127" s="23" t="s">
        <v>17</v>
      </c>
      <c r="G127" s="24"/>
      <c r="H127" s="24">
        <f>G127*E127</f>
        <v>0</v>
      </c>
    </row>
    <row r="128" spans="1:8" s="263" customFormat="1" x14ac:dyDescent="0.45">
      <c r="A128" s="265"/>
      <c r="B128" s="376"/>
      <c r="C128" s="376">
        <v>3.6</v>
      </c>
      <c r="D128" s="377" t="s">
        <v>75</v>
      </c>
      <c r="E128" s="268"/>
      <c r="F128" s="268"/>
      <c r="G128" s="268"/>
      <c r="H128" s="268"/>
    </row>
    <row r="129" spans="1:8" s="263" customFormat="1" x14ac:dyDescent="0.45">
      <c r="A129" s="258" t="s">
        <v>2585</v>
      </c>
      <c r="B129" s="261">
        <v>1502000</v>
      </c>
      <c r="C129" s="259" t="s">
        <v>77</v>
      </c>
      <c r="D129" s="275" t="s">
        <v>78</v>
      </c>
      <c r="E129" s="261">
        <v>12</v>
      </c>
      <c r="F129" s="261" t="s">
        <v>17</v>
      </c>
      <c r="G129" s="262"/>
      <c r="H129" s="262">
        <f>G129*E129</f>
        <v>0</v>
      </c>
    </row>
    <row r="130" spans="1:8" x14ac:dyDescent="0.45">
      <c r="A130" s="40"/>
      <c r="B130" s="92">
        <v>1503020</v>
      </c>
      <c r="C130" s="92"/>
      <c r="D130" s="93" t="s">
        <v>114</v>
      </c>
      <c r="E130" s="50"/>
      <c r="F130" s="50"/>
      <c r="G130" s="44"/>
      <c r="H130" s="51"/>
    </row>
    <row r="131" spans="1:8" x14ac:dyDescent="0.45">
      <c r="A131" s="22" t="s">
        <v>5179</v>
      </c>
      <c r="B131" s="33">
        <v>1503020</v>
      </c>
      <c r="C131" s="33">
        <v>3.1</v>
      </c>
      <c r="D131" s="36" t="s">
        <v>116</v>
      </c>
      <c r="E131" s="23">
        <v>12</v>
      </c>
      <c r="F131" s="23" t="s">
        <v>17</v>
      </c>
      <c r="G131" s="24"/>
      <c r="H131" s="24">
        <f>G131*E131</f>
        <v>0</v>
      </c>
    </row>
    <row r="132" spans="1:8" x14ac:dyDescent="0.45">
      <c r="A132" s="22" t="s">
        <v>5180</v>
      </c>
      <c r="B132" s="33">
        <v>1503020</v>
      </c>
      <c r="C132" s="33">
        <v>3.2</v>
      </c>
      <c r="D132" s="36" t="s">
        <v>118</v>
      </c>
      <c r="E132" s="23">
        <v>12</v>
      </c>
      <c r="F132" s="23" t="s">
        <v>17</v>
      </c>
      <c r="G132" s="24"/>
      <c r="H132" s="24">
        <f>G132*E132</f>
        <v>0</v>
      </c>
    </row>
    <row r="133" spans="1:8" x14ac:dyDescent="0.45">
      <c r="A133" s="22" t="s">
        <v>5181</v>
      </c>
      <c r="B133" s="33">
        <v>1503020</v>
      </c>
      <c r="C133" s="33">
        <v>3.3</v>
      </c>
      <c r="D133" s="36" t="s">
        <v>120</v>
      </c>
      <c r="E133" s="23">
        <v>12</v>
      </c>
      <c r="F133" s="23" t="s">
        <v>17</v>
      </c>
      <c r="G133" s="24"/>
      <c r="H133" s="24">
        <f>G133*E133</f>
        <v>0</v>
      </c>
    </row>
    <row r="134" spans="1:8" x14ac:dyDescent="0.45">
      <c r="A134" s="40"/>
      <c r="B134" s="43">
        <v>1503030</v>
      </c>
      <c r="C134" s="41"/>
      <c r="D134" s="42" t="s">
        <v>121</v>
      </c>
      <c r="E134" s="95"/>
      <c r="F134" s="95"/>
      <c r="G134" s="44"/>
      <c r="H134" s="95"/>
    </row>
    <row r="135" spans="1:8" x14ac:dyDescent="0.45">
      <c r="A135" s="22" t="s">
        <v>5182</v>
      </c>
      <c r="B135" s="33">
        <v>1503030</v>
      </c>
      <c r="C135" s="33" t="s">
        <v>123</v>
      </c>
      <c r="D135" s="36" t="s">
        <v>124</v>
      </c>
      <c r="E135" s="23">
        <v>12</v>
      </c>
      <c r="F135" s="23" t="s">
        <v>17</v>
      </c>
      <c r="G135" s="24"/>
      <c r="H135" s="24">
        <f>G135*E135</f>
        <v>0</v>
      </c>
    </row>
    <row r="136" spans="1:8" x14ac:dyDescent="0.45">
      <c r="A136" s="58"/>
      <c r="B136" s="59"/>
      <c r="C136" s="59"/>
      <c r="D136" s="60" t="s">
        <v>195</v>
      </c>
      <c r="E136" s="59"/>
      <c r="F136" s="59"/>
      <c r="G136" s="59"/>
      <c r="H136" s="62">
        <f>SUM(H127:H135)</f>
        <v>0</v>
      </c>
    </row>
    <row r="137" spans="1:8" x14ac:dyDescent="0.45">
      <c r="A137" s="87"/>
      <c r="B137" s="88"/>
      <c r="C137" s="88"/>
      <c r="D137" s="65"/>
      <c r="E137" s="64"/>
      <c r="F137" s="64"/>
      <c r="G137" s="97"/>
      <c r="H137" s="66"/>
    </row>
    <row r="138" spans="1:8" x14ac:dyDescent="0.45">
      <c r="A138" s="12" t="s">
        <v>2586</v>
      </c>
      <c r="B138" s="13"/>
      <c r="C138" s="13"/>
      <c r="D138" s="12" t="s">
        <v>197</v>
      </c>
      <c r="E138" s="91"/>
      <c r="F138" s="91"/>
      <c r="G138" s="101"/>
      <c r="H138" s="91"/>
    </row>
    <row r="139" spans="1:8" x14ac:dyDescent="0.45">
      <c r="A139" s="40"/>
      <c r="B139" s="41">
        <v>1503010</v>
      </c>
      <c r="C139" s="41"/>
      <c r="D139" s="42" t="s">
        <v>109</v>
      </c>
      <c r="E139" s="43"/>
      <c r="F139" s="44"/>
      <c r="G139" s="44"/>
      <c r="H139" s="45"/>
    </row>
    <row r="140" spans="1:8" x14ac:dyDescent="0.45">
      <c r="A140" s="22" t="s">
        <v>2587</v>
      </c>
      <c r="B140" s="33">
        <v>1503010</v>
      </c>
      <c r="C140" s="33">
        <v>3.1</v>
      </c>
      <c r="D140" s="36" t="s">
        <v>111</v>
      </c>
      <c r="E140" s="23">
        <v>12</v>
      </c>
      <c r="F140" s="23" t="s">
        <v>17</v>
      </c>
      <c r="G140" s="24"/>
      <c r="H140" s="24">
        <f>G140*E140</f>
        <v>0</v>
      </c>
    </row>
    <row r="141" spans="1:8" x14ac:dyDescent="0.45">
      <c r="A141" s="40"/>
      <c r="B141" s="43">
        <v>1503030</v>
      </c>
      <c r="C141" s="41"/>
      <c r="D141" s="42" t="s">
        <v>121</v>
      </c>
      <c r="E141" s="50"/>
      <c r="F141" s="50"/>
      <c r="G141" s="44"/>
      <c r="H141" s="51"/>
    </row>
    <row r="142" spans="1:8" x14ac:dyDescent="0.45">
      <c r="A142" s="22" t="s">
        <v>2588</v>
      </c>
      <c r="B142" s="33">
        <v>1503030</v>
      </c>
      <c r="C142" s="33" t="s">
        <v>123</v>
      </c>
      <c r="D142" s="36" t="s">
        <v>124</v>
      </c>
      <c r="E142" s="23">
        <v>12</v>
      </c>
      <c r="F142" s="23" t="s">
        <v>17</v>
      </c>
      <c r="G142" s="24"/>
      <c r="H142" s="24">
        <f>G142*E142</f>
        <v>0</v>
      </c>
    </row>
    <row r="143" spans="1:8" x14ac:dyDescent="0.45">
      <c r="A143" s="58"/>
      <c r="B143" s="59"/>
      <c r="C143" s="59"/>
      <c r="D143" s="60" t="s">
        <v>200</v>
      </c>
      <c r="E143" s="59"/>
      <c r="F143" s="59"/>
      <c r="G143" s="59"/>
      <c r="H143" s="62">
        <f>SUM(H138:H142)</f>
        <v>0</v>
      </c>
    </row>
    <row r="144" spans="1:8" x14ac:dyDescent="0.45">
      <c r="A144" s="96"/>
      <c r="B144" s="97"/>
      <c r="C144" s="97"/>
      <c r="D144" s="98"/>
      <c r="E144" s="97"/>
      <c r="F144" s="97"/>
      <c r="G144" s="97"/>
      <c r="H144" s="99"/>
    </row>
    <row r="145" spans="1:8" x14ac:dyDescent="0.45">
      <c r="A145" s="12" t="s">
        <v>2589</v>
      </c>
      <c r="B145" s="13"/>
      <c r="C145" s="13"/>
      <c r="D145" s="12" t="s">
        <v>202</v>
      </c>
      <c r="E145" s="100"/>
      <c r="F145" s="101"/>
      <c r="G145" s="101"/>
      <c r="H145" s="102"/>
    </row>
    <row r="146" spans="1:8" x14ac:dyDescent="0.45">
      <c r="A146" s="40"/>
      <c r="B146" s="41">
        <v>1503010</v>
      </c>
      <c r="C146" s="41"/>
      <c r="D146" s="42" t="s">
        <v>109</v>
      </c>
      <c r="E146" s="43"/>
      <c r="F146" s="44"/>
      <c r="G146" s="44"/>
      <c r="H146" s="45"/>
    </row>
    <row r="147" spans="1:8" x14ac:dyDescent="0.45">
      <c r="A147" s="22" t="s">
        <v>2590</v>
      </c>
      <c r="B147" s="33">
        <v>1503010</v>
      </c>
      <c r="C147" s="33">
        <v>3.1</v>
      </c>
      <c r="D147" s="36" t="s">
        <v>111</v>
      </c>
      <c r="E147" s="23">
        <v>12</v>
      </c>
      <c r="F147" s="23" t="s">
        <v>17</v>
      </c>
      <c r="G147" s="24"/>
      <c r="H147" s="24">
        <f>G147*E147</f>
        <v>0</v>
      </c>
    </row>
    <row r="148" spans="1:8" x14ac:dyDescent="0.45">
      <c r="A148" s="40"/>
      <c r="B148" s="43">
        <v>1503030</v>
      </c>
      <c r="C148" s="41"/>
      <c r="D148" s="42" t="s">
        <v>121</v>
      </c>
      <c r="E148" s="43"/>
      <c r="F148" s="44"/>
      <c r="G148" s="44"/>
      <c r="H148" s="45"/>
    </row>
    <row r="149" spans="1:8" x14ac:dyDescent="0.45">
      <c r="A149" s="22" t="s">
        <v>2591</v>
      </c>
      <c r="B149" s="33">
        <v>1503030</v>
      </c>
      <c r="C149" s="33" t="s">
        <v>123</v>
      </c>
      <c r="D149" s="36" t="s">
        <v>124</v>
      </c>
      <c r="E149" s="23">
        <v>12</v>
      </c>
      <c r="F149" s="23" t="s">
        <v>17</v>
      </c>
      <c r="G149" s="24"/>
      <c r="H149" s="24">
        <f>G149*E149</f>
        <v>0</v>
      </c>
    </row>
    <row r="150" spans="1:8" x14ac:dyDescent="0.45">
      <c r="A150" s="58"/>
      <c r="B150" s="59"/>
      <c r="C150" s="59"/>
      <c r="D150" s="60" t="s">
        <v>205</v>
      </c>
      <c r="E150" s="59"/>
      <c r="F150" s="59"/>
      <c r="G150" s="59"/>
      <c r="H150" s="62">
        <f>SUM(H147:H149)</f>
        <v>0</v>
      </c>
    </row>
    <row r="151" spans="1:8" x14ac:dyDescent="0.45">
      <c r="A151" s="96"/>
      <c r="B151" s="97"/>
      <c r="C151" s="97"/>
      <c r="D151" s="98"/>
      <c r="E151" s="97"/>
      <c r="F151" s="97"/>
      <c r="G151" s="88"/>
      <c r="H151" s="99"/>
    </row>
    <row r="152" spans="1:8" x14ac:dyDescent="0.45">
      <c r="A152" s="12" t="s">
        <v>2592</v>
      </c>
      <c r="B152" s="13"/>
      <c r="C152" s="13"/>
      <c r="D152" s="12" t="s">
        <v>207</v>
      </c>
      <c r="E152" s="100"/>
      <c r="F152" s="101"/>
      <c r="G152" s="91"/>
      <c r="H152" s="102"/>
    </row>
    <row r="153" spans="1:8" x14ac:dyDescent="0.4">
      <c r="A153" s="40"/>
      <c r="B153" s="222">
        <v>1502000</v>
      </c>
      <c r="C153" s="18"/>
      <c r="D153" s="223" t="s">
        <v>18</v>
      </c>
      <c r="E153" s="43"/>
      <c r="F153" s="44"/>
      <c r="G153" s="43"/>
      <c r="H153" s="45"/>
    </row>
    <row r="154" spans="1:8" x14ac:dyDescent="0.45">
      <c r="A154" s="25"/>
      <c r="B154" s="37"/>
      <c r="C154" s="37">
        <v>3.6</v>
      </c>
      <c r="D154" s="38" t="s">
        <v>75</v>
      </c>
      <c r="E154" s="28"/>
      <c r="F154" s="28"/>
      <c r="G154" s="28"/>
      <c r="H154" s="28"/>
    </row>
    <row r="155" spans="1:8" x14ac:dyDescent="0.45">
      <c r="A155" s="22" t="s">
        <v>2593</v>
      </c>
      <c r="B155" s="23">
        <v>1502000</v>
      </c>
      <c r="C155" s="33" t="s">
        <v>77</v>
      </c>
      <c r="D155" s="39" t="s">
        <v>78</v>
      </c>
      <c r="E155" s="23">
        <v>12</v>
      </c>
      <c r="F155" s="23" t="s">
        <v>17</v>
      </c>
      <c r="G155" s="24"/>
      <c r="H155" s="24">
        <f>G155*E155</f>
        <v>0</v>
      </c>
    </row>
    <row r="156" spans="1:8" x14ac:dyDescent="0.45">
      <c r="A156" s="22" t="s">
        <v>2594</v>
      </c>
      <c r="B156" s="23">
        <v>1502000</v>
      </c>
      <c r="C156" s="33" t="s">
        <v>101</v>
      </c>
      <c r="D156" s="39" t="s">
        <v>102</v>
      </c>
      <c r="E156" s="23">
        <v>12</v>
      </c>
      <c r="F156" s="23" t="s">
        <v>17</v>
      </c>
      <c r="G156" s="24"/>
      <c r="H156" s="24">
        <f>G156*E156</f>
        <v>0</v>
      </c>
    </row>
    <row r="157" spans="1:8" x14ac:dyDescent="0.45">
      <c r="A157" s="40"/>
      <c r="B157" s="41">
        <v>1503010</v>
      </c>
      <c r="C157" s="41"/>
      <c r="D157" s="42" t="s">
        <v>109</v>
      </c>
      <c r="E157" s="43"/>
      <c r="F157" s="44"/>
      <c r="G157" s="44"/>
      <c r="H157" s="45"/>
    </row>
    <row r="158" spans="1:8" x14ac:dyDescent="0.45">
      <c r="A158" s="22" t="s">
        <v>2595</v>
      </c>
      <c r="B158" s="33">
        <v>1503010</v>
      </c>
      <c r="C158" s="33">
        <v>3.1</v>
      </c>
      <c r="D158" s="36" t="s">
        <v>111</v>
      </c>
      <c r="E158" s="23">
        <v>12</v>
      </c>
      <c r="F158" s="23" t="s">
        <v>17</v>
      </c>
      <c r="G158" s="24"/>
      <c r="H158" s="24">
        <f>G158*E158</f>
        <v>0</v>
      </c>
    </row>
    <row r="159" spans="1:8" x14ac:dyDescent="0.45">
      <c r="A159" s="40"/>
      <c r="B159" s="92">
        <v>1503020</v>
      </c>
      <c r="C159" s="92"/>
      <c r="D159" s="93" t="s">
        <v>114</v>
      </c>
      <c r="E159" s="43"/>
      <c r="F159" s="44"/>
      <c r="G159" s="44"/>
      <c r="H159" s="45"/>
    </row>
    <row r="160" spans="1:8" x14ac:dyDescent="0.45">
      <c r="A160" s="22" t="s">
        <v>2596</v>
      </c>
      <c r="B160" s="33">
        <v>1503020</v>
      </c>
      <c r="C160" s="33">
        <v>3.1</v>
      </c>
      <c r="D160" s="36" t="s">
        <v>116</v>
      </c>
      <c r="E160" s="23">
        <v>12</v>
      </c>
      <c r="F160" s="23" t="s">
        <v>17</v>
      </c>
      <c r="G160" s="24"/>
      <c r="H160" s="24">
        <f>G160*E160</f>
        <v>0</v>
      </c>
    </row>
    <row r="161" spans="1:8" x14ac:dyDescent="0.45">
      <c r="A161" s="22" t="s">
        <v>2597</v>
      </c>
      <c r="B161" s="33">
        <v>1503020</v>
      </c>
      <c r="C161" s="33">
        <v>3.2</v>
      </c>
      <c r="D161" s="36" t="s">
        <v>118</v>
      </c>
      <c r="E161" s="23">
        <v>12</v>
      </c>
      <c r="F161" s="23" t="s">
        <v>17</v>
      </c>
      <c r="G161" s="24"/>
      <c r="H161" s="24">
        <f>G161*E161</f>
        <v>0</v>
      </c>
    </row>
    <row r="162" spans="1:8" x14ac:dyDescent="0.45">
      <c r="A162" s="22" t="s">
        <v>2598</v>
      </c>
      <c r="B162" s="33">
        <v>1503020</v>
      </c>
      <c r="C162" s="33">
        <v>3.3</v>
      </c>
      <c r="D162" s="36" t="s">
        <v>120</v>
      </c>
      <c r="E162" s="23">
        <v>12</v>
      </c>
      <c r="F162" s="23" t="s">
        <v>17</v>
      </c>
      <c r="G162" s="24"/>
      <c r="H162" s="24">
        <f>G162*E162</f>
        <v>0</v>
      </c>
    </row>
    <row r="163" spans="1:8" x14ac:dyDescent="0.45">
      <c r="A163" s="40"/>
      <c r="B163" s="43">
        <v>1503030</v>
      </c>
      <c r="C163" s="41"/>
      <c r="D163" s="42" t="s">
        <v>121</v>
      </c>
      <c r="E163" s="43"/>
      <c r="F163" s="44"/>
      <c r="G163" s="44"/>
      <c r="H163" s="45"/>
    </row>
    <row r="164" spans="1:8" x14ac:dyDescent="0.45">
      <c r="A164" s="22" t="s">
        <v>2599</v>
      </c>
      <c r="B164" s="33">
        <v>1503030</v>
      </c>
      <c r="C164" s="33" t="s">
        <v>123</v>
      </c>
      <c r="D164" s="36" t="s">
        <v>124</v>
      </c>
      <c r="E164" s="23">
        <v>12</v>
      </c>
      <c r="F164" s="23" t="s">
        <v>17</v>
      </c>
      <c r="G164" s="24"/>
      <c r="H164" s="24">
        <f>G164*E164</f>
        <v>0</v>
      </c>
    </row>
    <row r="165" spans="1:8" x14ac:dyDescent="0.45">
      <c r="A165" s="58"/>
      <c r="B165" s="59"/>
      <c r="C165" s="59"/>
      <c r="D165" s="60" t="s">
        <v>215</v>
      </c>
      <c r="E165" s="59"/>
      <c r="F165" s="59"/>
      <c r="G165" s="59"/>
      <c r="H165" s="62">
        <f>SUM(H154:H164)</f>
        <v>0</v>
      </c>
    </row>
    <row r="166" spans="1:8" x14ac:dyDescent="0.45">
      <c r="A166" s="96"/>
      <c r="B166" s="97"/>
      <c r="C166" s="97"/>
      <c r="D166" s="98"/>
      <c r="E166" s="97"/>
      <c r="F166" s="97"/>
      <c r="G166" s="88"/>
      <c r="H166" s="99"/>
    </row>
    <row r="167" spans="1:8" x14ac:dyDescent="0.45">
      <c r="A167" s="12" t="s">
        <v>2600</v>
      </c>
      <c r="B167" s="13"/>
      <c r="C167" s="13"/>
      <c r="D167" s="12" t="s">
        <v>217</v>
      </c>
      <c r="E167" s="100"/>
      <c r="F167" s="101"/>
      <c r="G167" s="91"/>
      <c r="H167" s="102"/>
    </row>
    <row r="168" spans="1:8" s="263" customFormat="1" x14ac:dyDescent="0.4">
      <c r="A168" s="278"/>
      <c r="B168" s="430">
        <v>1502000</v>
      </c>
      <c r="C168" s="280"/>
      <c r="D168" s="431" t="s">
        <v>18</v>
      </c>
      <c r="E168" s="282"/>
      <c r="F168" s="283"/>
      <c r="G168" s="282"/>
      <c r="H168" s="284"/>
    </row>
    <row r="169" spans="1:8" s="263" customFormat="1" x14ac:dyDescent="0.45">
      <c r="A169" s="265"/>
      <c r="B169" s="266"/>
      <c r="C169" s="266">
        <v>3.1</v>
      </c>
      <c r="D169" s="267" t="s">
        <v>19</v>
      </c>
      <c r="E169" s="266"/>
      <c r="F169" s="266"/>
      <c r="G169" s="268"/>
      <c r="H169" s="273"/>
    </row>
    <row r="170" spans="1:8" s="263" customFormat="1" x14ac:dyDescent="0.45">
      <c r="A170" s="258" t="s">
        <v>2601</v>
      </c>
      <c r="B170" s="261">
        <v>1502000</v>
      </c>
      <c r="C170" s="261" t="s">
        <v>21</v>
      </c>
      <c r="D170" s="264" t="s">
        <v>22</v>
      </c>
      <c r="E170" s="261">
        <v>12</v>
      </c>
      <c r="F170" s="261" t="s">
        <v>17</v>
      </c>
      <c r="G170" s="262"/>
      <c r="H170" s="262">
        <f>G170*E170</f>
        <v>0</v>
      </c>
    </row>
    <row r="171" spans="1:8" s="263" customFormat="1" x14ac:dyDescent="0.45">
      <c r="A171" s="258" t="s">
        <v>2602</v>
      </c>
      <c r="B171" s="261">
        <v>1502000</v>
      </c>
      <c r="C171" s="261" t="s">
        <v>24</v>
      </c>
      <c r="D171" s="264" t="s">
        <v>25</v>
      </c>
      <c r="E171" s="261">
        <v>12</v>
      </c>
      <c r="F171" s="261" t="s">
        <v>17</v>
      </c>
      <c r="G171" s="262"/>
      <c r="H171" s="262">
        <f>G171*E171</f>
        <v>0</v>
      </c>
    </row>
    <row r="172" spans="1:8" s="263" customFormat="1" ht="13.5" customHeight="1" x14ac:dyDescent="0.45">
      <c r="A172" s="258" t="s">
        <v>2603</v>
      </c>
      <c r="B172" s="261">
        <v>1502000</v>
      </c>
      <c r="C172" s="261" t="s">
        <v>27</v>
      </c>
      <c r="D172" s="264" t="s">
        <v>28</v>
      </c>
      <c r="E172" s="261">
        <v>12</v>
      </c>
      <c r="F172" s="261" t="s">
        <v>17</v>
      </c>
      <c r="G172" s="262"/>
      <c r="H172" s="262">
        <f>G172*E172</f>
        <v>0</v>
      </c>
    </row>
    <row r="173" spans="1:8" s="263" customFormat="1" x14ac:dyDescent="0.45">
      <c r="A173" s="265"/>
      <c r="B173" s="266"/>
      <c r="C173" s="266">
        <v>3.1</v>
      </c>
      <c r="D173" s="267" t="s">
        <v>31</v>
      </c>
      <c r="E173" s="268"/>
      <c r="F173" s="268"/>
      <c r="G173" s="268"/>
      <c r="H173" s="268"/>
    </row>
    <row r="174" spans="1:8" s="263" customFormat="1" x14ac:dyDescent="0.45">
      <c r="A174" s="258" t="s">
        <v>2604</v>
      </c>
      <c r="B174" s="261">
        <v>1502000</v>
      </c>
      <c r="C174" s="261" t="s">
        <v>222</v>
      </c>
      <c r="D174" s="269" t="s">
        <v>223</v>
      </c>
      <c r="E174" s="261">
        <v>12</v>
      </c>
      <c r="F174" s="261" t="s">
        <v>17</v>
      </c>
      <c r="G174" s="262"/>
      <c r="H174" s="262">
        <f t="shared" ref="H174:H191" si="2">G174*E174</f>
        <v>0</v>
      </c>
    </row>
    <row r="175" spans="1:8" s="263" customFormat="1" x14ac:dyDescent="0.45">
      <c r="A175" s="258" t="s">
        <v>2605</v>
      </c>
      <c r="B175" s="261">
        <v>1502000</v>
      </c>
      <c r="C175" s="261" t="s">
        <v>33</v>
      </c>
      <c r="D175" s="269" t="s">
        <v>34</v>
      </c>
      <c r="E175" s="261">
        <v>12</v>
      </c>
      <c r="F175" s="261" t="s">
        <v>17</v>
      </c>
      <c r="G175" s="262"/>
      <c r="H175" s="262">
        <f t="shared" si="2"/>
        <v>0</v>
      </c>
    </row>
    <row r="176" spans="1:8" s="263" customFormat="1" x14ac:dyDescent="0.45">
      <c r="A176" s="258" t="s">
        <v>2606</v>
      </c>
      <c r="B176" s="261">
        <v>1502000</v>
      </c>
      <c r="C176" s="261" t="s">
        <v>36</v>
      </c>
      <c r="D176" s="269" t="s">
        <v>37</v>
      </c>
      <c r="E176" s="261">
        <v>12</v>
      </c>
      <c r="F176" s="261" t="s">
        <v>17</v>
      </c>
      <c r="G176" s="262"/>
      <c r="H176" s="262">
        <f t="shared" si="2"/>
        <v>0</v>
      </c>
    </row>
    <row r="177" spans="1:8" s="263" customFormat="1" x14ac:dyDescent="0.45">
      <c r="A177" s="258" t="s">
        <v>2607</v>
      </c>
      <c r="B177" s="261">
        <v>1502000</v>
      </c>
      <c r="C177" s="261" t="s">
        <v>227</v>
      </c>
      <c r="D177" s="270" t="s">
        <v>228</v>
      </c>
      <c r="E177" s="261">
        <v>12</v>
      </c>
      <c r="F177" s="261" t="s">
        <v>17</v>
      </c>
      <c r="G177" s="262"/>
      <c r="H177" s="262">
        <f t="shared" si="2"/>
        <v>0</v>
      </c>
    </row>
    <row r="178" spans="1:8" s="263" customFormat="1" x14ac:dyDescent="0.45">
      <c r="A178" s="258" t="s">
        <v>2608</v>
      </c>
      <c r="B178" s="261">
        <v>1502000</v>
      </c>
      <c r="C178" s="261" t="s">
        <v>39</v>
      </c>
      <c r="D178" s="269" t="s">
        <v>230</v>
      </c>
      <c r="E178" s="261">
        <v>12</v>
      </c>
      <c r="F178" s="261" t="s">
        <v>17</v>
      </c>
      <c r="G178" s="262"/>
      <c r="H178" s="262">
        <f t="shared" si="2"/>
        <v>0</v>
      </c>
    </row>
    <row r="179" spans="1:8" s="263" customFormat="1" x14ac:dyDescent="0.45">
      <c r="A179" s="258" t="s">
        <v>2609</v>
      </c>
      <c r="B179" s="261">
        <v>1502000</v>
      </c>
      <c r="C179" s="261" t="s">
        <v>232</v>
      </c>
      <c r="D179" s="269" t="s">
        <v>233</v>
      </c>
      <c r="E179" s="261">
        <v>12</v>
      </c>
      <c r="F179" s="261" t="s">
        <v>17</v>
      </c>
      <c r="G179" s="262"/>
      <c r="H179" s="262">
        <f t="shared" si="2"/>
        <v>0</v>
      </c>
    </row>
    <row r="180" spans="1:8" s="263" customFormat="1" x14ac:dyDescent="0.45">
      <c r="A180" s="258" t="s">
        <v>2610</v>
      </c>
      <c r="B180" s="261">
        <v>1502000</v>
      </c>
      <c r="C180" s="271" t="s">
        <v>235</v>
      </c>
      <c r="D180" s="263" t="s">
        <v>236</v>
      </c>
      <c r="E180" s="261">
        <v>12</v>
      </c>
      <c r="F180" s="261" t="s">
        <v>17</v>
      </c>
      <c r="G180" s="262"/>
      <c r="H180" s="262">
        <f t="shared" si="2"/>
        <v>0</v>
      </c>
    </row>
    <row r="181" spans="1:8" s="263" customFormat="1" x14ac:dyDescent="0.45">
      <c r="A181" s="258" t="s">
        <v>2611</v>
      </c>
      <c r="B181" s="261">
        <v>1502000</v>
      </c>
      <c r="C181" s="261" t="s">
        <v>238</v>
      </c>
      <c r="D181" s="269" t="s">
        <v>239</v>
      </c>
      <c r="E181" s="261">
        <v>12</v>
      </c>
      <c r="F181" s="261" t="s">
        <v>17</v>
      </c>
      <c r="G181" s="262"/>
      <c r="H181" s="262">
        <f t="shared" si="2"/>
        <v>0</v>
      </c>
    </row>
    <row r="182" spans="1:8" s="263" customFormat="1" x14ac:dyDescent="0.45">
      <c r="A182" s="258" t="s">
        <v>2612</v>
      </c>
      <c r="B182" s="261">
        <v>1502000</v>
      </c>
      <c r="C182" s="261" t="s">
        <v>241</v>
      </c>
      <c r="D182" s="269" t="s">
        <v>242</v>
      </c>
      <c r="E182" s="261">
        <v>12</v>
      </c>
      <c r="F182" s="261" t="s">
        <v>17</v>
      </c>
      <c r="G182" s="262"/>
      <c r="H182" s="262">
        <f t="shared" si="2"/>
        <v>0</v>
      </c>
    </row>
    <row r="183" spans="1:8" s="263" customFormat="1" x14ac:dyDescent="0.45">
      <c r="A183" s="258" t="s">
        <v>2613</v>
      </c>
      <c r="B183" s="261">
        <v>1502000</v>
      </c>
      <c r="C183" s="261" t="s">
        <v>244</v>
      </c>
      <c r="D183" s="269" t="s">
        <v>245</v>
      </c>
      <c r="E183" s="261">
        <v>12</v>
      </c>
      <c r="F183" s="261" t="s">
        <v>17</v>
      </c>
      <c r="G183" s="262"/>
      <c r="H183" s="262">
        <f t="shared" si="2"/>
        <v>0</v>
      </c>
    </row>
    <row r="184" spans="1:8" s="263" customFormat="1" x14ac:dyDescent="0.45">
      <c r="A184" s="258" t="s">
        <v>2614</v>
      </c>
      <c r="B184" s="261">
        <v>1502000</v>
      </c>
      <c r="C184" s="261" t="s">
        <v>247</v>
      </c>
      <c r="D184" s="269" t="s">
        <v>248</v>
      </c>
      <c r="E184" s="261">
        <v>12</v>
      </c>
      <c r="F184" s="261" t="s">
        <v>17</v>
      </c>
      <c r="G184" s="262"/>
      <c r="H184" s="262">
        <f t="shared" si="2"/>
        <v>0</v>
      </c>
    </row>
    <row r="185" spans="1:8" s="263" customFormat="1" x14ac:dyDescent="0.45">
      <c r="A185" s="258" t="s">
        <v>2615</v>
      </c>
      <c r="B185" s="261">
        <v>1502000</v>
      </c>
      <c r="C185" s="261" t="s">
        <v>250</v>
      </c>
      <c r="D185" s="269" t="s">
        <v>251</v>
      </c>
      <c r="E185" s="261">
        <v>12</v>
      </c>
      <c r="F185" s="261" t="s">
        <v>17</v>
      </c>
      <c r="G185" s="262"/>
      <c r="H185" s="262">
        <f t="shared" si="2"/>
        <v>0</v>
      </c>
    </row>
    <row r="186" spans="1:8" s="263" customFormat="1" x14ac:dyDescent="0.45">
      <c r="A186" s="258" t="s">
        <v>2616</v>
      </c>
      <c r="B186" s="261">
        <v>1502000</v>
      </c>
      <c r="C186" s="261" t="s">
        <v>253</v>
      </c>
      <c r="D186" s="269" t="s">
        <v>254</v>
      </c>
      <c r="E186" s="261">
        <v>12</v>
      </c>
      <c r="F186" s="261" t="s">
        <v>17</v>
      </c>
      <c r="G186" s="262"/>
      <c r="H186" s="262">
        <f t="shared" si="2"/>
        <v>0</v>
      </c>
    </row>
    <row r="187" spans="1:8" s="263" customFormat="1" x14ac:dyDescent="0.45">
      <c r="A187" s="258" t="s">
        <v>2617</v>
      </c>
      <c r="B187" s="261">
        <v>1502000</v>
      </c>
      <c r="C187" s="261" t="s">
        <v>45</v>
      </c>
      <c r="D187" s="269" t="s">
        <v>46</v>
      </c>
      <c r="E187" s="261">
        <v>12</v>
      </c>
      <c r="F187" s="261" t="s">
        <v>17</v>
      </c>
      <c r="G187" s="262"/>
      <c r="H187" s="262">
        <f t="shared" si="2"/>
        <v>0</v>
      </c>
    </row>
    <row r="188" spans="1:8" s="263" customFormat="1" x14ac:dyDescent="0.45">
      <c r="A188" s="258" t="s">
        <v>2618</v>
      </c>
      <c r="B188" s="261">
        <v>1502000</v>
      </c>
      <c r="C188" s="261" t="s">
        <v>48</v>
      </c>
      <c r="D188" s="269" t="s">
        <v>257</v>
      </c>
      <c r="E188" s="261">
        <v>12</v>
      </c>
      <c r="F188" s="261" t="s">
        <v>17</v>
      </c>
      <c r="G188" s="262"/>
      <c r="H188" s="262">
        <f t="shared" si="2"/>
        <v>0</v>
      </c>
    </row>
    <row r="189" spans="1:8" s="263" customFormat="1" x14ac:dyDescent="0.45">
      <c r="A189" s="258" t="s">
        <v>2619</v>
      </c>
      <c r="B189" s="261">
        <v>1502000</v>
      </c>
      <c r="C189" s="261" t="s">
        <v>54</v>
      </c>
      <c r="D189" s="269" t="s">
        <v>55</v>
      </c>
      <c r="E189" s="261">
        <v>12</v>
      </c>
      <c r="F189" s="261" t="s">
        <v>17</v>
      </c>
      <c r="G189" s="262"/>
      <c r="H189" s="262">
        <f t="shared" si="2"/>
        <v>0</v>
      </c>
    </row>
    <row r="190" spans="1:8" s="263" customFormat="1" x14ac:dyDescent="0.45">
      <c r="A190" s="258" t="s">
        <v>2620</v>
      </c>
      <c r="B190" s="261">
        <v>1502000</v>
      </c>
      <c r="C190" s="261" t="s">
        <v>260</v>
      </c>
      <c r="D190" s="269" t="s">
        <v>261</v>
      </c>
      <c r="E190" s="261">
        <v>12</v>
      </c>
      <c r="F190" s="261" t="s">
        <v>17</v>
      </c>
      <c r="G190" s="262"/>
      <c r="H190" s="262">
        <f t="shared" si="2"/>
        <v>0</v>
      </c>
    </row>
    <row r="191" spans="1:8" s="263" customFormat="1" x14ac:dyDescent="0.45">
      <c r="A191" s="258" t="s">
        <v>2621</v>
      </c>
      <c r="B191" s="261">
        <v>1502000</v>
      </c>
      <c r="C191" s="271" t="s">
        <v>60</v>
      </c>
      <c r="D191" s="432" t="s">
        <v>61</v>
      </c>
      <c r="E191" s="261">
        <v>12</v>
      </c>
      <c r="F191" s="261" t="s">
        <v>17</v>
      </c>
      <c r="G191" s="262"/>
      <c r="H191" s="262">
        <f t="shared" si="2"/>
        <v>0</v>
      </c>
    </row>
    <row r="192" spans="1:8" s="263" customFormat="1" x14ac:dyDescent="0.45">
      <c r="A192" s="265"/>
      <c r="B192" s="266"/>
      <c r="C192" s="266">
        <v>3.4</v>
      </c>
      <c r="D192" s="267" t="s">
        <v>62</v>
      </c>
      <c r="E192" s="266"/>
      <c r="F192" s="266"/>
      <c r="G192" s="268"/>
      <c r="H192" s="273"/>
    </row>
    <row r="193" spans="1:8" s="263" customFormat="1" x14ac:dyDescent="0.45">
      <c r="A193" s="258" t="s">
        <v>2622</v>
      </c>
      <c r="B193" s="261">
        <v>1502000</v>
      </c>
      <c r="C193" s="261" t="s">
        <v>64</v>
      </c>
      <c r="D193" s="270" t="s">
        <v>65</v>
      </c>
      <c r="E193" s="261">
        <v>12</v>
      </c>
      <c r="F193" s="261" t="s">
        <v>17</v>
      </c>
      <c r="G193" s="262"/>
      <c r="H193" s="262">
        <f>G193*E193</f>
        <v>0</v>
      </c>
    </row>
    <row r="194" spans="1:8" s="263" customFormat="1" x14ac:dyDescent="0.45">
      <c r="A194" s="258" t="s">
        <v>2623</v>
      </c>
      <c r="B194" s="261">
        <v>1502000</v>
      </c>
      <c r="C194" s="261" t="s">
        <v>67</v>
      </c>
      <c r="D194" s="270" t="s">
        <v>68</v>
      </c>
      <c r="E194" s="261">
        <v>12</v>
      </c>
      <c r="F194" s="261" t="s">
        <v>17</v>
      </c>
      <c r="G194" s="262"/>
      <c r="H194" s="262">
        <f>G194*E194</f>
        <v>0</v>
      </c>
    </row>
    <row r="195" spans="1:8" s="263" customFormat="1" x14ac:dyDescent="0.45">
      <c r="A195" s="258" t="s">
        <v>2624</v>
      </c>
      <c r="B195" s="261">
        <v>1502000</v>
      </c>
      <c r="C195" s="259" t="s">
        <v>70</v>
      </c>
      <c r="D195" s="260" t="s">
        <v>71</v>
      </c>
      <c r="E195" s="261">
        <v>12</v>
      </c>
      <c r="F195" s="261" t="s">
        <v>17</v>
      </c>
      <c r="G195" s="262"/>
      <c r="H195" s="262">
        <f>G195*E195</f>
        <v>0</v>
      </c>
    </row>
    <row r="196" spans="1:8" s="263" customFormat="1" x14ac:dyDescent="0.45">
      <c r="A196" s="265"/>
      <c r="B196" s="266"/>
      <c r="C196" s="266">
        <v>3.5</v>
      </c>
      <c r="D196" s="267" t="s">
        <v>72</v>
      </c>
      <c r="E196" s="268"/>
      <c r="F196" s="268"/>
      <c r="G196" s="268"/>
      <c r="H196" s="268"/>
    </row>
    <row r="197" spans="1:8" s="263" customFormat="1" x14ac:dyDescent="0.45">
      <c r="A197" s="258" t="s">
        <v>2625</v>
      </c>
      <c r="B197" s="261">
        <v>1502000</v>
      </c>
      <c r="C197" s="261" t="s">
        <v>267</v>
      </c>
      <c r="D197" s="274" t="s">
        <v>71</v>
      </c>
      <c r="E197" s="261">
        <v>12</v>
      </c>
      <c r="F197" s="261" t="s">
        <v>17</v>
      </c>
      <c r="G197" s="262"/>
      <c r="H197" s="262">
        <f>G197*E197</f>
        <v>0</v>
      </c>
    </row>
    <row r="198" spans="1:8" s="263" customFormat="1" x14ac:dyDescent="0.45">
      <c r="A198" s="258" t="s">
        <v>2626</v>
      </c>
      <c r="B198" s="261">
        <v>1502000</v>
      </c>
      <c r="C198" s="261" t="s">
        <v>74</v>
      </c>
      <c r="D198" s="269" t="s">
        <v>37</v>
      </c>
      <c r="E198" s="261">
        <v>12</v>
      </c>
      <c r="F198" s="261" t="s">
        <v>17</v>
      </c>
      <c r="G198" s="262"/>
      <c r="H198" s="262">
        <f>G198*E198</f>
        <v>0</v>
      </c>
    </row>
    <row r="199" spans="1:8" s="263" customFormat="1" x14ac:dyDescent="0.45">
      <c r="A199" s="265"/>
      <c r="B199" s="266"/>
      <c r="C199" s="266">
        <v>3.6</v>
      </c>
      <c r="D199" s="267" t="s">
        <v>75</v>
      </c>
      <c r="E199" s="266"/>
      <c r="F199" s="266"/>
      <c r="G199" s="268"/>
      <c r="H199" s="273"/>
    </row>
    <row r="200" spans="1:8" s="263" customFormat="1" x14ac:dyDescent="0.45">
      <c r="A200" s="258" t="s">
        <v>2627</v>
      </c>
      <c r="B200" s="261">
        <v>1502000</v>
      </c>
      <c r="C200" s="259" t="s">
        <v>77</v>
      </c>
      <c r="D200" s="275" t="s">
        <v>78</v>
      </c>
      <c r="E200" s="261">
        <v>12</v>
      </c>
      <c r="F200" s="261" t="s">
        <v>17</v>
      </c>
      <c r="G200" s="262"/>
      <c r="H200" s="262">
        <f>G200*E200</f>
        <v>0</v>
      </c>
    </row>
    <row r="201" spans="1:8" s="263" customFormat="1" x14ac:dyDescent="0.45">
      <c r="A201" s="258" t="s">
        <v>2628</v>
      </c>
      <c r="B201" s="261">
        <v>1502000</v>
      </c>
      <c r="C201" s="259" t="s">
        <v>80</v>
      </c>
      <c r="D201" s="275" t="s">
        <v>81</v>
      </c>
      <c r="E201" s="261">
        <v>12</v>
      </c>
      <c r="F201" s="261" t="s">
        <v>17</v>
      </c>
      <c r="G201" s="262"/>
      <c r="H201" s="262">
        <f>G201*E201</f>
        <v>0</v>
      </c>
    </row>
    <row r="202" spans="1:8" s="263" customFormat="1" x14ac:dyDescent="0.45">
      <c r="A202" s="258" t="s">
        <v>2629</v>
      </c>
      <c r="B202" s="261">
        <v>1502000</v>
      </c>
      <c r="C202" s="259" t="s">
        <v>83</v>
      </c>
      <c r="D202" s="275" t="s">
        <v>84</v>
      </c>
      <c r="E202" s="261">
        <v>12</v>
      </c>
      <c r="F202" s="261" t="s">
        <v>17</v>
      </c>
      <c r="G202" s="262"/>
      <c r="H202" s="262">
        <f>G202*E202</f>
        <v>0</v>
      </c>
    </row>
    <row r="203" spans="1:8" s="263" customFormat="1" x14ac:dyDescent="0.45">
      <c r="A203" s="258" t="s">
        <v>2630</v>
      </c>
      <c r="B203" s="261">
        <v>1502000</v>
      </c>
      <c r="C203" s="261" t="s">
        <v>273</v>
      </c>
      <c r="D203" s="276" t="s">
        <v>274</v>
      </c>
      <c r="E203" s="261">
        <v>12</v>
      </c>
      <c r="F203" s="261" t="s">
        <v>17</v>
      </c>
      <c r="G203" s="262"/>
      <c r="H203" s="262">
        <f>G203*E203</f>
        <v>0</v>
      </c>
    </row>
    <row r="204" spans="1:8" s="263" customFormat="1" x14ac:dyDescent="0.45">
      <c r="A204" s="258" t="s">
        <v>2631</v>
      </c>
      <c r="B204" s="261">
        <v>1502000</v>
      </c>
      <c r="C204" s="277" t="s">
        <v>276</v>
      </c>
      <c r="D204" s="276" t="s">
        <v>277</v>
      </c>
      <c r="E204" s="261">
        <v>12</v>
      </c>
      <c r="F204" s="261" t="s">
        <v>17</v>
      </c>
      <c r="G204" s="262"/>
      <c r="H204" s="262">
        <f>G204*E204</f>
        <v>0</v>
      </c>
    </row>
    <row r="205" spans="1:8" x14ac:dyDescent="0.45">
      <c r="A205" s="40"/>
      <c r="B205" s="41">
        <v>1503010</v>
      </c>
      <c r="C205" s="41"/>
      <c r="D205" s="42" t="s">
        <v>109</v>
      </c>
      <c r="E205" s="43"/>
      <c r="F205" s="44"/>
      <c r="G205" s="44"/>
      <c r="H205" s="45"/>
    </row>
    <row r="206" spans="1:8" x14ac:dyDescent="0.45">
      <c r="A206" s="257" t="s">
        <v>2625</v>
      </c>
      <c r="B206" s="33">
        <v>1503010</v>
      </c>
      <c r="C206" s="33">
        <v>3.1</v>
      </c>
      <c r="D206" s="36" t="s">
        <v>111</v>
      </c>
      <c r="E206" s="23">
        <v>12</v>
      </c>
      <c r="F206" s="23" t="s">
        <v>17</v>
      </c>
      <c r="G206" s="24"/>
      <c r="H206" s="24">
        <f>G206*E206</f>
        <v>0</v>
      </c>
    </row>
    <row r="207" spans="1:8" x14ac:dyDescent="0.45">
      <c r="A207" s="257" t="s">
        <v>2626</v>
      </c>
      <c r="B207" s="33">
        <v>1503010</v>
      </c>
      <c r="C207" s="33">
        <v>3.2</v>
      </c>
      <c r="D207" s="36" t="s">
        <v>278</v>
      </c>
      <c r="E207" s="23">
        <v>12</v>
      </c>
      <c r="F207" s="23" t="s">
        <v>17</v>
      </c>
      <c r="G207" s="24"/>
      <c r="H207" s="24">
        <f>G207*E207</f>
        <v>0</v>
      </c>
    </row>
    <row r="208" spans="1:8" x14ac:dyDescent="0.45">
      <c r="A208" s="287"/>
      <c r="B208" s="43">
        <v>1503020</v>
      </c>
      <c r="C208" s="41"/>
      <c r="D208" s="42" t="s">
        <v>114</v>
      </c>
      <c r="E208" s="43"/>
      <c r="F208" s="44"/>
      <c r="G208" s="44"/>
      <c r="H208" s="45"/>
    </row>
    <row r="209" spans="1:8" ht="13.45" customHeight="1" x14ac:dyDescent="0.45">
      <c r="A209" s="257" t="s">
        <v>2627</v>
      </c>
      <c r="B209" s="33">
        <v>1503020</v>
      </c>
      <c r="C209" s="33">
        <v>3.1</v>
      </c>
      <c r="D209" s="36" t="s">
        <v>116</v>
      </c>
      <c r="E209" s="23">
        <v>12</v>
      </c>
      <c r="F209" s="23" t="s">
        <v>17</v>
      </c>
      <c r="G209" s="24"/>
      <c r="H209" s="24">
        <f>G209*E209</f>
        <v>0</v>
      </c>
    </row>
    <row r="210" spans="1:8" ht="13.45" customHeight="1" x14ac:dyDescent="0.45">
      <c r="A210" s="257" t="s">
        <v>2628</v>
      </c>
      <c r="B210" s="33">
        <v>1503020</v>
      </c>
      <c r="C210" s="33">
        <v>3.3</v>
      </c>
      <c r="D210" s="36" t="s">
        <v>120</v>
      </c>
      <c r="E210" s="23">
        <v>12</v>
      </c>
      <c r="F210" s="23" t="s">
        <v>17</v>
      </c>
      <c r="G210" s="24"/>
      <c r="H210" s="24">
        <f>G210*E210</f>
        <v>0</v>
      </c>
    </row>
    <row r="211" spans="1:8" x14ac:dyDescent="0.45">
      <c r="A211" s="287"/>
      <c r="B211" s="43">
        <v>1503030</v>
      </c>
      <c r="C211" s="41"/>
      <c r="D211" s="42" t="s">
        <v>121</v>
      </c>
      <c r="E211" s="43"/>
      <c r="F211" s="44"/>
      <c r="G211" s="44"/>
      <c r="H211" s="45"/>
    </row>
    <row r="212" spans="1:8" x14ac:dyDescent="0.45">
      <c r="A212" s="257" t="s">
        <v>2629</v>
      </c>
      <c r="B212" s="33">
        <v>1503030</v>
      </c>
      <c r="C212" s="33" t="s">
        <v>123</v>
      </c>
      <c r="D212" s="36" t="s">
        <v>124</v>
      </c>
      <c r="E212" s="23">
        <v>12</v>
      </c>
      <c r="F212" s="23" t="s">
        <v>17</v>
      </c>
      <c r="G212" s="24"/>
      <c r="H212" s="24">
        <f>G212*E212</f>
        <v>0</v>
      </c>
    </row>
    <row r="213" spans="1:8" x14ac:dyDescent="0.45">
      <c r="A213" s="287"/>
      <c r="B213" s="41">
        <v>1503050</v>
      </c>
      <c r="C213" s="41"/>
      <c r="D213" s="42" t="s">
        <v>127</v>
      </c>
      <c r="E213" s="43"/>
      <c r="F213" s="44"/>
      <c r="G213" s="44"/>
      <c r="H213" s="45"/>
    </row>
    <row r="214" spans="1:8" x14ac:dyDescent="0.45">
      <c r="A214" s="257" t="s">
        <v>2630</v>
      </c>
      <c r="B214" s="33">
        <v>1503050</v>
      </c>
      <c r="C214" s="33">
        <v>3.1</v>
      </c>
      <c r="D214" s="46" t="s">
        <v>129</v>
      </c>
      <c r="E214" s="23">
        <v>12</v>
      </c>
      <c r="F214" s="23" t="s">
        <v>17</v>
      </c>
      <c r="G214" s="24"/>
      <c r="H214" s="24">
        <f>G214*E214</f>
        <v>0</v>
      </c>
    </row>
    <row r="215" spans="1:8" x14ac:dyDescent="0.45">
      <c r="A215" s="257" t="s">
        <v>2631</v>
      </c>
      <c r="B215" s="33">
        <v>1503050</v>
      </c>
      <c r="C215" s="33">
        <v>3.4</v>
      </c>
      <c r="D215" s="36" t="s">
        <v>135</v>
      </c>
      <c r="E215" s="23">
        <v>12</v>
      </c>
      <c r="F215" s="23" t="s">
        <v>17</v>
      </c>
      <c r="G215" s="24"/>
      <c r="H215" s="24">
        <f>G215*E215</f>
        <v>0</v>
      </c>
    </row>
    <row r="216" spans="1:8" x14ac:dyDescent="0.45">
      <c r="A216" s="58"/>
      <c r="B216" s="59"/>
      <c r="C216" s="59"/>
      <c r="D216" s="60" t="s">
        <v>279</v>
      </c>
      <c r="E216" s="59"/>
      <c r="F216" s="59"/>
      <c r="G216" s="59"/>
      <c r="H216" s="62">
        <f>SUM(H169:H215)</f>
        <v>0</v>
      </c>
    </row>
    <row r="217" spans="1:8" x14ac:dyDescent="0.45">
      <c r="A217" s="6"/>
      <c r="B217" s="107"/>
      <c r="C217" s="107"/>
      <c r="D217" s="108"/>
      <c r="E217" s="107"/>
      <c r="F217" s="109"/>
      <c r="G217" s="88"/>
      <c r="H217" s="110"/>
    </row>
    <row r="218" spans="1:8" x14ac:dyDescent="0.45">
      <c r="A218" s="12" t="s">
        <v>2632</v>
      </c>
      <c r="B218" s="13"/>
      <c r="C218" s="13"/>
      <c r="D218" s="111" t="s">
        <v>281</v>
      </c>
      <c r="E218" s="100"/>
      <c r="F218" s="101"/>
      <c r="G218" s="91"/>
      <c r="H218" s="102"/>
    </row>
    <row r="219" spans="1:8" x14ac:dyDescent="0.45">
      <c r="A219" s="103"/>
      <c r="B219" s="41">
        <v>1502000</v>
      </c>
      <c r="C219" s="43"/>
      <c r="D219" s="42" t="s">
        <v>18</v>
      </c>
      <c r="E219" s="43"/>
      <c r="F219" s="44"/>
      <c r="G219" s="43"/>
      <c r="H219" s="45"/>
    </row>
    <row r="220" spans="1:8" x14ac:dyDescent="0.45">
      <c r="A220" s="25"/>
      <c r="B220" s="26"/>
      <c r="C220" s="26">
        <v>3.1</v>
      </c>
      <c r="D220" s="27" t="s">
        <v>19</v>
      </c>
      <c r="E220" s="28"/>
      <c r="F220" s="28"/>
      <c r="G220" s="28"/>
      <c r="H220" s="28"/>
    </row>
    <row r="221" spans="1:8" x14ac:dyDescent="0.45">
      <c r="A221" s="22" t="s">
        <v>2633</v>
      </c>
      <c r="B221" s="23"/>
      <c r="C221" s="23" t="s">
        <v>24</v>
      </c>
      <c r="D221" s="29" t="s">
        <v>25</v>
      </c>
      <c r="E221" s="23">
        <v>12</v>
      </c>
      <c r="F221" s="23" t="s">
        <v>17</v>
      </c>
      <c r="G221" s="24"/>
      <c r="H221" s="24">
        <f>G221*E221</f>
        <v>0</v>
      </c>
    </row>
    <row r="222" spans="1:8" x14ac:dyDescent="0.45">
      <c r="A222" s="25"/>
      <c r="B222" s="26"/>
      <c r="C222" s="26">
        <v>3.1</v>
      </c>
      <c r="D222" s="27" t="s">
        <v>31</v>
      </c>
      <c r="E222" s="28"/>
      <c r="F222" s="28"/>
      <c r="G222" s="28"/>
      <c r="H222" s="28"/>
    </row>
    <row r="223" spans="1:8" x14ac:dyDescent="0.45">
      <c r="A223" s="22" t="s">
        <v>2634</v>
      </c>
      <c r="B223" s="105">
        <v>1502000</v>
      </c>
      <c r="C223" s="105" t="s">
        <v>36</v>
      </c>
      <c r="D223" s="112" t="s">
        <v>37</v>
      </c>
      <c r="E223" s="23">
        <v>12</v>
      </c>
      <c r="F223" s="23" t="s">
        <v>17</v>
      </c>
      <c r="G223" s="24"/>
      <c r="H223" s="24">
        <f>G223*E223</f>
        <v>0</v>
      </c>
    </row>
    <row r="224" spans="1:8" x14ac:dyDescent="0.45">
      <c r="A224" s="25"/>
      <c r="B224" s="26"/>
      <c r="C224" s="26">
        <v>3.4</v>
      </c>
      <c r="D224" s="27" t="s">
        <v>62</v>
      </c>
      <c r="E224" s="26"/>
      <c r="F224" s="26"/>
      <c r="G224" s="28"/>
      <c r="H224" s="104"/>
    </row>
    <row r="225" spans="1:8" x14ac:dyDescent="0.45">
      <c r="A225" s="22" t="s">
        <v>2635</v>
      </c>
      <c r="B225" s="23">
        <v>1502000</v>
      </c>
      <c r="C225" s="23" t="s">
        <v>67</v>
      </c>
      <c r="D225" s="35" t="s">
        <v>68</v>
      </c>
      <c r="E225" s="23">
        <v>12</v>
      </c>
      <c r="F225" s="23" t="s">
        <v>17</v>
      </c>
      <c r="G225" s="24"/>
      <c r="H225" s="24">
        <f>G225*E225</f>
        <v>0</v>
      </c>
    </row>
    <row r="226" spans="1:8" x14ac:dyDescent="0.45">
      <c r="A226" s="25"/>
      <c r="B226" s="26"/>
      <c r="C226" s="26">
        <v>3.5</v>
      </c>
      <c r="D226" s="27" t="s">
        <v>72</v>
      </c>
      <c r="E226" s="28"/>
      <c r="F226" s="28"/>
      <c r="G226" s="28"/>
      <c r="H226" s="28"/>
    </row>
    <row r="227" spans="1:8" x14ac:dyDescent="0.45">
      <c r="A227" s="22" t="s">
        <v>2636</v>
      </c>
      <c r="B227" s="23">
        <v>1502000</v>
      </c>
      <c r="C227" s="23" t="s">
        <v>74</v>
      </c>
      <c r="D227" s="32" t="s">
        <v>37</v>
      </c>
      <c r="E227" s="23">
        <v>12</v>
      </c>
      <c r="F227" s="23" t="s">
        <v>17</v>
      </c>
      <c r="G227" s="24"/>
      <c r="H227" s="24">
        <f>G227*E227</f>
        <v>0</v>
      </c>
    </row>
    <row r="228" spans="1:8" s="263" customFormat="1" x14ac:dyDescent="0.45">
      <c r="A228" s="265"/>
      <c r="B228" s="266"/>
      <c r="C228" s="266">
        <v>3.6</v>
      </c>
      <c r="D228" s="267" t="s">
        <v>75</v>
      </c>
      <c r="E228" s="266"/>
      <c r="F228" s="266"/>
      <c r="G228" s="268"/>
      <c r="H228" s="273"/>
    </row>
    <row r="229" spans="1:8" s="263" customFormat="1" x14ac:dyDescent="0.45">
      <c r="A229" s="258" t="s">
        <v>2637</v>
      </c>
      <c r="B229" s="261">
        <v>1502000</v>
      </c>
      <c r="C229" s="259" t="s">
        <v>101</v>
      </c>
      <c r="D229" s="275" t="s">
        <v>102</v>
      </c>
      <c r="E229" s="261">
        <v>12</v>
      </c>
      <c r="F229" s="261" t="s">
        <v>17</v>
      </c>
      <c r="G229" s="262"/>
      <c r="H229" s="262">
        <f>G229*E229</f>
        <v>0</v>
      </c>
    </row>
    <row r="230" spans="1:8" x14ac:dyDescent="0.45">
      <c r="A230" s="40"/>
      <c r="B230" s="43">
        <v>1503020</v>
      </c>
      <c r="C230" s="41"/>
      <c r="D230" s="42" t="s">
        <v>114</v>
      </c>
      <c r="E230" s="43"/>
      <c r="F230" s="44"/>
      <c r="G230" s="44"/>
      <c r="H230" s="45"/>
    </row>
    <row r="231" spans="1:8" ht="13.45" customHeight="1" x14ac:dyDescent="0.45">
      <c r="A231" s="22" t="s">
        <v>5183</v>
      </c>
      <c r="B231" s="33">
        <v>1503020</v>
      </c>
      <c r="C231" s="33">
        <v>3.1</v>
      </c>
      <c r="D231" s="36" t="s">
        <v>116</v>
      </c>
      <c r="E231" s="23">
        <v>12</v>
      </c>
      <c r="F231" s="23" t="s">
        <v>17</v>
      </c>
      <c r="G231" s="24"/>
      <c r="H231" s="24">
        <f>G231*E231</f>
        <v>0</v>
      </c>
    </row>
    <row r="232" spans="1:8" ht="13.45" customHeight="1" x14ac:dyDescent="0.45">
      <c r="A232" s="22" t="s">
        <v>5184</v>
      </c>
      <c r="B232" s="33">
        <v>1503020</v>
      </c>
      <c r="C232" s="33">
        <v>3.2</v>
      </c>
      <c r="D232" s="36" t="s">
        <v>118</v>
      </c>
      <c r="E232" s="23">
        <v>12</v>
      </c>
      <c r="F232" s="23" t="s">
        <v>17</v>
      </c>
      <c r="G232" s="24"/>
      <c r="H232" s="24">
        <f>G232*E232</f>
        <v>0</v>
      </c>
    </row>
    <row r="233" spans="1:8" x14ac:dyDescent="0.45">
      <c r="A233" s="22" t="s">
        <v>5185</v>
      </c>
      <c r="B233" s="33">
        <v>1503020</v>
      </c>
      <c r="C233" s="33">
        <v>3.3</v>
      </c>
      <c r="D233" s="36" t="s">
        <v>120</v>
      </c>
      <c r="E233" s="23">
        <v>12</v>
      </c>
      <c r="F233" s="23" t="s">
        <v>17</v>
      </c>
      <c r="G233" s="24"/>
      <c r="H233" s="24">
        <f>G233*E233</f>
        <v>0</v>
      </c>
    </row>
    <row r="234" spans="1:8" x14ac:dyDescent="0.45">
      <c r="A234" s="40"/>
      <c r="B234" s="43">
        <v>1503030</v>
      </c>
      <c r="C234" s="41"/>
      <c r="D234" s="42" t="s">
        <v>121</v>
      </c>
      <c r="E234" s="43"/>
      <c r="F234" s="44"/>
      <c r="G234" s="44"/>
      <c r="H234" s="45"/>
    </row>
    <row r="235" spans="1:8" x14ac:dyDescent="0.45">
      <c r="A235" s="22" t="s">
        <v>5186</v>
      </c>
      <c r="B235" s="33">
        <v>1503030</v>
      </c>
      <c r="C235" s="33" t="s">
        <v>123</v>
      </c>
      <c r="D235" s="36" t="s">
        <v>124</v>
      </c>
      <c r="E235" s="23">
        <v>12</v>
      </c>
      <c r="F235" s="23" t="s">
        <v>17</v>
      </c>
      <c r="G235" s="24"/>
      <c r="H235" s="24">
        <f>G235*E235</f>
        <v>0</v>
      </c>
    </row>
    <row r="236" spans="1:8" x14ac:dyDescent="0.45">
      <c r="A236" s="58"/>
      <c r="B236" s="59"/>
      <c r="C236" s="59"/>
      <c r="D236" s="60" t="s">
        <v>287</v>
      </c>
      <c r="E236" s="59"/>
      <c r="F236" s="59"/>
      <c r="G236" s="59"/>
      <c r="H236" s="62">
        <f>SUM(H221:H235)</f>
        <v>0</v>
      </c>
    </row>
    <row r="237" spans="1:8" x14ac:dyDescent="0.45">
      <c r="A237" s="96"/>
      <c r="B237" s="97"/>
      <c r="C237" s="97"/>
      <c r="D237" s="98"/>
      <c r="E237" s="97"/>
      <c r="F237" s="97"/>
      <c r="G237" s="88"/>
      <c r="H237" s="99"/>
    </row>
    <row r="238" spans="1:8" x14ac:dyDescent="0.45">
      <c r="A238" s="12" t="s">
        <v>2638</v>
      </c>
      <c r="B238" s="13"/>
      <c r="C238" s="13"/>
      <c r="D238" s="12" t="s">
        <v>289</v>
      </c>
      <c r="E238" s="100"/>
      <c r="F238" s="101"/>
      <c r="G238" s="91"/>
      <c r="H238" s="102"/>
    </row>
    <row r="239" spans="1:8" x14ac:dyDescent="0.45">
      <c r="A239" s="103"/>
      <c r="B239" s="41">
        <v>1502000</v>
      </c>
      <c r="C239" s="43"/>
      <c r="D239" s="42" t="s">
        <v>18</v>
      </c>
      <c r="E239" s="43"/>
      <c r="F239" s="44"/>
      <c r="G239" s="43"/>
      <c r="H239" s="45"/>
    </row>
    <row r="240" spans="1:8" x14ac:dyDescent="0.45">
      <c r="A240" s="25"/>
      <c r="B240" s="26"/>
      <c r="C240" s="26">
        <v>3.4</v>
      </c>
      <c r="D240" s="27" t="s">
        <v>62</v>
      </c>
      <c r="E240" s="26"/>
      <c r="F240" s="26"/>
      <c r="G240" s="28"/>
      <c r="H240" s="104"/>
    </row>
    <row r="241" spans="1:8" x14ac:dyDescent="0.45">
      <c r="A241" s="22" t="s">
        <v>2639</v>
      </c>
      <c r="B241" s="23">
        <v>1502000</v>
      </c>
      <c r="C241" s="23" t="s">
        <v>67</v>
      </c>
      <c r="D241" s="35" t="s">
        <v>68</v>
      </c>
      <c r="E241" s="23">
        <v>12</v>
      </c>
      <c r="F241" s="23" t="s">
        <v>17</v>
      </c>
      <c r="G241" s="24"/>
      <c r="H241" s="24">
        <f>G241*E241</f>
        <v>0</v>
      </c>
    </row>
    <row r="242" spans="1:8" x14ac:dyDescent="0.45">
      <c r="A242" s="58"/>
      <c r="B242" s="59"/>
      <c r="C242" s="59"/>
      <c r="D242" s="60" t="s">
        <v>291</v>
      </c>
      <c r="E242" s="59"/>
      <c r="F242" s="59"/>
      <c r="G242" s="59"/>
      <c r="H242" s="62">
        <f>SUM(H241)</f>
        <v>0</v>
      </c>
    </row>
    <row r="243" spans="1:8" x14ac:dyDescent="0.45">
      <c r="A243" s="96"/>
      <c r="B243" s="97"/>
      <c r="C243" s="97"/>
      <c r="D243" s="98"/>
      <c r="E243" s="97"/>
      <c r="F243" s="97"/>
      <c r="G243" s="97"/>
      <c r="H243" s="99"/>
    </row>
    <row r="244" spans="1:8" x14ac:dyDescent="0.45">
      <c r="A244" s="12" t="s">
        <v>2640</v>
      </c>
      <c r="B244" s="13"/>
      <c r="C244" s="13"/>
      <c r="D244" s="12" t="s">
        <v>293</v>
      </c>
      <c r="E244" s="100"/>
      <c r="F244" s="101"/>
      <c r="G244" s="101"/>
      <c r="H244" s="102"/>
    </row>
    <row r="245" spans="1:8" x14ac:dyDescent="0.45">
      <c r="A245" s="40"/>
      <c r="B245" s="43">
        <v>1503030</v>
      </c>
      <c r="C245" s="41"/>
      <c r="D245" s="42" t="s">
        <v>121</v>
      </c>
      <c r="E245" s="43"/>
      <c r="F245" s="44"/>
      <c r="G245" s="44"/>
      <c r="H245" s="45"/>
    </row>
    <row r="246" spans="1:8" x14ac:dyDescent="0.45">
      <c r="A246" s="22" t="s">
        <v>2641</v>
      </c>
      <c r="B246" s="33">
        <v>1503030</v>
      </c>
      <c r="C246" s="33" t="s">
        <v>123</v>
      </c>
      <c r="D246" s="36" t="s">
        <v>124</v>
      </c>
      <c r="E246" s="23">
        <v>12</v>
      </c>
      <c r="F246" s="23" t="s">
        <v>17</v>
      </c>
      <c r="G246" s="24"/>
      <c r="H246" s="24">
        <f>G246*E246</f>
        <v>0</v>
      </c>
    </row>
    <row r="247" spans="1:8" x14ac:dyDescent="0.45">
      <c r="A247" s="58"/>
      <c r="B247" s="59"/>
      <c r="C247" s="59"/>
      <c r="D247" s="60" t="s">
        <v>295</v>
      </c>
      <c r="E247" s="59"/>
      <c r="F247" s="59"/>
      <c r="G247" s="59"/>
      <c r="H247" s="62">
        <f>SUM(H246)</f>
        <v>0</v>
      </c>
    </row>
    <row r="248" spans="1:8" x14ac:dyDescent="0.45">
      <c r="A248" s="96"/>
      <c r="B248" s="97"/>
      <c r="C248" s="97"/>
      <c r="D248" s="98"/>
      <c r="E248" s="97"/>
      <c r="F248" s="97"/>
      <c r="G248" s="88"/>
      <c r="H248" s="99"/>
    </row>
    <row r="249" spans="1:8" x14ac:dyDescent="0.45">
      <c r="A249" s="12" t="s">
        <v>2642</v>
      </c>
      <c r="B249" s="13"/>
      <c r="C249" s="13"/>
      <c r="D249" s="12" t="s">
        <v>297</v>
      </c>
      <c r="E249" s="100"/>
      <c r="F249" s="101"/>
      <c r="G249" s="91"/>
      <c r="H249" s="102"/>
    </row>
    <row r="250" spans="1:8" x14ac:dyDescent="0.45">
      <c r="A250" s="103"/>
      <c r="B250" s="41">
        <v>1502000</v>
      </c>
      <c r="C250" s="43"/>
      <c r="D250" s="42" t="s">
        <v>18</v>
      </c>
      <c r="E250" s="43"/>
      <c r="F250" s="44"/>
      <c r="G250" s="43"/>
      <c r="H250" s="45"/>
    </row>
    <row r="251" spans="1:8" x14ac:dyDescent="0.45">
      <c r="A251" s="27"/>
      <c r="B251" s="26"/>
      <c r="C251" s="26">
        <v>3.1</v>
      </c>
      <c r="D251" s="27" t="s">
        <v>19</v>
      </c>
      <c r="E251" s="26"/>
      <c r="F251" s="26"/>
      <c r="G251" s="28"/>
      <c r="H251" s="104"/>
    </row>
    <row r="252" spans="1:8" x14ac:dyDescent="0.45">
      <c r="A252" s="22" t="s">
        <v>2643</v>
      </c>
      <c r="B252" s="23">
        <v>1502000</v>
      </c>
      <c r="C252" s="23" t="s">
        <v>21</v>
      </c>
      <c r="D252" s="29" t="s">
        <v>22</v>
      </c>
      <c r="E252" s="23">
        <v>12</v>
      </c>
      <c r="F252" s="23" t="s">
        <v>17</v>
      </c>
      <c r="G252" s="24"/>
      <c r="H252" s="24">
        <f>G252*E252</f>
        <v>0</v>
      </c>
    </row>
    <row r="253" spans="1:8" x14ac:dyDescent="0.45">
      <c r="A253" s="22" t="s">
        <v>2644</v>
      </c>
      <c r="B253" s="23">
        <v>1502000</v>
      </c>
      <c r="C253" s="23" t="s">
        <v>24</v>
      </c>
      <c r="D253" s="29" t="s">
        <v>25</v>
      </c>
      <c r="E253" s="23">
        <v>12</v>
      </c>
      <c r="F253" s="23" t="s">
        <v>17</v>
      </c>
      <c r="G253" s="24"/>
      <c r="H253" s="24">
        <f>G253*E253</f>
        <v>0</v>
      </c>
    </row>
    <row r="254" spans="1:8" x14ac:dyDescent="0.45">
      <c r="A254" s="22" t="s">
        <v>2645</v>
      </c>
      <c r="B254" s="23">
        <v>1502000</v>
      </c>
      <c r="C254" s="23" t="s">
        <v>27</v>
      </c>
      <c r="D254" s="29" t="s">
        <v>28</v>
      </c>
      <c r="E254" s="23">
        <v>12</v>
      </c>
      <c r="F254" s="23" t="s">
        <v>17</v>
      </c>
      <c r="G254" s="24"/>
      <c r="H254" s="24">
        <f>G254*E254</f>
        <v>0</v>
      </c>
    </row>
    <row r="255" spans="1:8" x14ac:dyDescent="0.45">
      <c r="A255" s="25"/>
      <c r="B255" s="26"/>
      <c r="C255" s="26">
        <v>3.1</v>
      </c>
      <c r="D255" s="27" t="s">
        <v>31</v>
      </c>
      <c r="E255" s="28"/>
      <c r="F255" s="28"/>
      <c r="G255" s="28"/>
      <c r="H255" s="28"/>
    </row>
    <row r="256" spans="1:8" x14ac:dyDescent="0.45">
      <c r="A256" s="22" t="s">
        <v>2646</v>
      </c>
      <c r="B256" s="23">
        <v>1502000</v>
      </c>
      <c r="C256" s="286" t="s">
        <v>5022</v>
      </c>
      <c r="D256" s="32" t="s">
        <v>37</v>
      </c>
      <c r="E256" s="23">
        <v>12</v>
      </c>
      <c r="F256" s="23" t="s">
        <v>17</v>
      </c>
      <c r="G256" s="24"/>
      <c r="H256" s="24">
        <f>G256*E256</f>
        <v>0</v>
      </c>
    </row>
    <row r="257" spans="1:8" x14ac:dyDescent="0.45">
      <c r="A257" s="22" t="s">
        <v>2647</v>
      </c>
      <c r="B257" s="23">
        <v>1502000</v>
      </c>
      <c r="C257" s="23" t="s">
        <v>45</v>
      </c>
      <c r="D257" s="30" t="s">
        <v>46</v>
      </c>
      <c r="E257" s="23">
        <v>12</v>
      </c>
      <c r="F257" s="23" t="s">
        <v>17</v>
      </c>
      <c r="G257" s="24"/>
      <c r="H257" s="24">
        <f>G257*E257</f>
        <v>0</v>
      </c>
    </row>
    <row r="258" spans="1:8" x14ac:dyDescent="0.45">
      <c r="A258" s="25"/>
      <c r="B258" s="26"/>
      <c r="C258" s="26">
        <v>3.4</v>
      </c>
      <c r="D258" s="27" t="s">
        <v>62</v>
      </c>
      <c r="E258" s="26"/>
      <c r="F258" s="26"/>
      <c r="G258" s="28"/>
      <c r="H258" s="104"/>
    </row>
    <row r="259" spans="1:8" x14ac:dyDescent="0.45">
      <c r="A259" s="22" t="s">
        <v>2648</v>
      </c>
      <c r="B259" s="23">
        <v>1502000</v>
      </c>
      <c r="C259" s="23" t="s">
        <v>67</v>
      </c>
      <c r="D259" s="35" t="s">
        <v>68</v>
      </c>
      <c r="E259" s="23">
        <v>12</v>
      </c>
      <c r="F259" s="23" t="s">
        <v>17</v>
      </c>
      <c r="G259" s="24"/>
      <c r="H259" s="24">
        <f>G259*E259</f>
        <v>0</v>
      </c>
    </row>
    <row r="260" spans="1:8" x14ac:dyDescent="0.45">
      <c r="A260" s="25"/>
      <c r="B260" s="26"/>
      <c r="C260" s="26">
        <v>3.5</v>
      </c>
      <c r="D260" s="27" t="s">
        <v>72</v>
      </c>
      <c r="E260" s="28"/>
      <c r="F260" s="28"/>
      <c r="G260" s="28"/>
      <c r="H260" s="28"/>
    </row>
    <row r="261" spans="1:8" x14ac:dyDescent="0.45">
      <c r="A261" s="22" t="s">
        <v>2649</v>
      </c>
      <c r="B261" s="23">
        <v>1502000</v>
      </c>
      <c r="C261" s="23" t="s">
        <v>74</v>
      </c>
      <c r="D261" s="32" t="s">
        <v>37</v>
      </c>
      <c r="E261" s="23">
        <v>12</v>
      </c>
      <c r="F261" s="23" t="s">
        <v>17</v>
      </c>
      <c r="G261" s="24"/>
      <c r="H261" s="24">
        <f>G261*E261</f>
        <v>0</v>
      </c>
    </row>
    <row r="262" spans="1:8" x14ac:dyDescent="0.45">
      <c r="A262" s="25"/>
      <c r="B262" s="26"/>
      <c r="C262" s="26">
        <v>3.6</v>
      </c>
      <c r="D262" s="27" t="s">
        <v>75</v>
      </c>
      <c r="E262" s="26"/>
      <c r="F262" s="26"/>
      <c r="G262" s="28"/>
      <c r="H262" s="104"/>
    </row>
    <row r="263" spans="1:8" x14ac:dyDescent="0.45">
      <c r="A263" s="22" t="s">
        <v>2650</v>
      </c>
      <c r="B263" s="23">
        <v>1502000</v>
      </c>
      <c r="C263" s="33" t="s">
        <v>86</v>
      </c>
      <c r="D263" s="39" t="s">
        <v>87</v>
      </c>
      <c r="E263" s="23">
        <v>12</v>
      </c>
      <c r="F263" s="23" t="s">
        <v>17</v>
      </c>
      <c r="G263" s="24"/>
      <c r="H263" s="24">
        <f>G263*E263</f>
        <v>0</v>
      </c>
    </row>
    <row r="264" spans="1:8" x14ac:dyDescent="0.45">
      <c r="A264" s="22" t="s">
        <v>2651</v>
      </c>
      <c r="B264" s="23">
        <v>1502000</v>
      </c>
      <c r="C264" s="33" t="s">
        <v>89</v>
      </c>
      <c r="D264" s="39" t="s">
        <v>90</v>
      </c>
      <c r="E264" s="23">
        <v>12</v>
      </c>
      <c r="F264" s="23" t="s">
        <v>17</v>
      </c>
      <c r="G264" s="24"/>
      <c r="H264" s="24">
        <f>G264*E264</f>
        <v>0</v>
      </c>
    </row>
    <row r="265" spans="1:8" x14ac:dyDescent="0.45">
      <c r="A265" s="22" t="s">
        <v>2652</v>
      </c>
      <c r="B265" s="23">
        <v>1502000</v>
      </c>
      <c r="C265" s="23" t="s">
        <v>308</v>
      </c>
      <c r="D265" s="106" t="s">
        <v>309</v>
      </c>
      <c r="E265" s="23">
        <v>12</v>
      </c>
      <c r="F265" s="23" t="s">
        <v>17</v>
      </c>
      <c r="G265" s="24"/>
      <c r="H265" s="24">
        <f>G265*E265</f>
        <v>0</v>
      </c>
    </row>
    <row r="266" spans="1:8" x14ac:dyDescent="0.45">
      <c r="A266" s="40"/>
      <c r="B266" s="43">
        <v>1503020</v>
      </c>
      <c r="C266" s="41"/>
      <c r="D266" s="42" t="s">
        <v>114</v>
      </c>
      <c r="E266" s="43"/>
      <c r="F266" s="44"/>
      <c r="G266" s="44"/>
      <c r="H266" s="45"/>
    </row>
    <row r="267" spans="1:8" x14ac:dyDescent="0.45">
      <c r="A267" s="22" t="s">
        <v>2653</v>
      </c>
      <c r="B267" s="33">
        <v>1503020</v>
      </c>
      <c r="C267" s="33">
        <v>3.1</v>
      </c>
      <c r="D267" s="36" t="s">
        <v>116</v>
      </c>
      <c r="E267" s="23">
        <v>12</v>
      </c>
      <c r="F267" s="23" t="s">
        <v>17</v>
      </c>
      <c r="G267" s="24"/>
      <c r="H267" s="24">
        <f>G267*E267</f>
        <v>0</v>
      </c>
    </row>
    <row r="268" spans="1:8" x14ac:dyDescent="0.45">
      <c r="A268" s="22" t="s">
        <v>2654</v>
      </c>
      <c r="B268" s="33">
        <v>1503020</v>
      </c>
      <c r="C268" s="33">
        <v>3.2</v>
      </c>
      <c r="D268" s="36" t="s">
        <v>118</v>
      </c>
      <c r="E268" s="23">
        <v>12</v>
      </c>
      <c r="F268" s="23" t="s">
        <v>17</v>
      </c>
      <c r="G268" s="24"/>
      <c r="H268" s="24">
        <f>G268*E268</f>
        <v>0</v>
      </c>
    </row>
    <row r="269" spans="1:8" x14ac:dyDescent="0.45">
      <c r="A269" s="22" t="s">
        <v>2655</v>
      </c>
      <c r="B269" s="33">
        <v>1503020</v>
      </c>
      <c r="C269" s="33">
        <v>3.3</v>
      </c>
      <c r="D269" s="36" t="s">
        <v>120</v>
      </c>
      <c r="E269" s="23">
        <v>12</v>
      </c>
      <c r="F269" s="23" t="s">
        <v>17</v>
      </c>
      <c r="G269" s="24"/>
      <c r="H269" s="24">
        <f>G269*E269</f>
        <v>0</v>
      </c>
    </row>
    <row r="270" spans="1:8" x14ac:dyDescent="0.45">
      <c r="A270" s="40"/>
      <c r="B270" s="43">
        <v>1503030</v>
      </c>
      <c r="C270" s="41"/>
      <c r="D270" s="42" t="s">
        <v>121</v>
      </c>
      <c r="E270" s="43"/>
      <c r="F270" s="44"/>
      <c r="G270" s="44"/>
      <c r="H270" s="45"/>
    </row>
    <row r="271" spans="1:8" x14ac:dyDescent="0.45">
      <c r="A271" s="22" t="s">
        <v>2656</v>
      </c>
      <c r="B271" s="33">
        <v>1503030</v>
      </c>
      <c r="C271" s="33" t="s">
        <v>123</v>
      </c>
      <c r="D271" s="36" t="s">
        <v>124</v>
      </c>
      <c r="E271" s="23">
        <v>12</v>
      </c>
      <c r="F271" s="23" t="s">
        <v>17</v>
      </c>
      <c r="G271" s="24"/>
      <c r="H271" s="24">
        <f>G271*E271</f>
        <v>0</v>
      </c>
    </row>
    <row r="272" spans="1:8" x14ac:dyDescent="0.45">
      <c r="A272" s="58"/>
      <c r="B272" s="59"/>
      <c r="C272" s="59"/>
      <c r="D272" s="60" t="s">
        <v>314</v>
      </c>
      <c r="E272" s="59"/>
      <c r="F272" s="59"/>
      <c r="G272" s="59"/>
      <c r="H272" s="62">
        <f>SUM(H252:H271)</f>
        <v>0</v>
      </c>
    </row>
    <row r="273" spans="1:8" x14ac:dyDescent="0.45">
      <c r="A273" s="96"/>
      <c r="B273" s="97"/>
      <c r="C273" s="97"/>
      <c r="D273" s="98"/>
      <c r="E273" s="97"/>
      <c r="F273" s="97"/>
      <c r="G273" s="97"/>
      <c r="H273" s="99"/>
    </row>
    <row r="274" spans="1:8" x14ac:dyDescent="0.45">
      <c r="A274" s="12" t="s">
        <v>2657</v>
      </c>
      <c r="B274" s="13"/>
      <c r="C274" s="13"/>
      <c r="D274" s="12" t="s">
        <v>316</v>
      </c>
      <c r="E274" s="100"/>
      <c r="F274" s="101"/>
      <c r="G274" s="101"/>
      <c r="H274" s="102"/>
    </row>
    <row r="275" spans="1:8" x14ac:dyDescent="0.45">
      <c r="A275" s="40"/>
      <c r="B275" s="41">
        <v>1503010</v>
      </c>
      <c r="C275" s="41"/>
      <c r="D275" s="42" t="s">
        <v>109</v>
      </c>
      <c r="E275" s="43"/>
      <c r="F275" s="44"/>
      <c r="G275" s="44"/>
      <c r="H275" s="45"/>
    </row>
    <row r="276" spans="1:8" x14ac:dyDescent="0.45">
      <c r="A276" s="22" t="s">
        <v>2658</v>
      </c>
      <c r="B276" s="33">
        <v>1503010</v>
      </c>
      <c r="C276" s="33">
        <v>3.1</v>
      </c>
      <c r="D276" s="36" t="s">
        <v>111</v>
      </c>
      <c r="E276" s="23">
        <v>12</v>
      </c>
      <c r="F276" s="23" t="s">
        <v>17</v>
      </c>
      <c r="G276" s="24"/>
      <c r="H276" s="24">
        <f>G276*E276</f>
        <v>0</v>
      </c>
    </row>
    <row r="277" spans="1:8" x14ac:dyDescent="0.45">
      <c r="A277" s="40"/>
      <c r="B277" s="43">
        <v>1503020</v>
      </c>
      <c r="C277" s="41"/>
      <c r="D277" s="42" t="s">
        <v>114</v>
      </c>
      <c r="E277" s="43"/>
      <c r="F277" s="44"/>
      <c r="G277" s="44"/>
      <c r="H277" s="45"/>
    </row>
    <row r="278" spans="1:8" ht="13.45" customHeight="1" x14ac:dyDescent="0.45">
      <c r="A278" s="22" t="s">
        <v>2659</v>
      </c>
      <c r="B278" s="33">
        <v>1503020</v>
      </c>
      <c r="C278" s="33">
        <v>3.1</v>
      </c>
      <c r="D278" s="36" t="s">
        <v>116</v>
      </c>
      <c r="E278" s="23">
        <v>12</v>
      </c>
      <c r="F278" s="23" t="s">
        <v>17</v>
      </c>
      <c r="G278" s="24"/>
      <c r="H278" s="24">
        <f>G278*E278</f>
        <v>0</v>
      </c>
    </row>
    <row r="279" spans="1:8" ht="13.45" customHeight="1" x14ac:dyDescent="0.45">
      <c r="A279" s="22" t="s">
        <v>2660</v>
      </c>
      <c r="B279" s="33">
        <v>1503020</v>
      </c>
      <c r="C279" s="33">
        <v>3.2</v>
      </c>
      <c r="D279" s="36" t="s">
        <v>118</v>
      </c>
      <c r="E279" s="23">
        <v>12</v>
      </c>
      <c r="F279" s="23" t="s">
        <v>17</v>
      </c>
      <c r="G279" s="24"/>
      <c r="H279" s="24">
        <f>G279*E279</f>
        <v>0</v>
      </c>
    </row>
    <row r="280" spans="1:8" x14ac:dyDescent="0.45">
      <c r="A280" s="22" t="s">
        <v>2661</v>
      </c>
      <c r="B280" s="33">
        <v>1503020</v>
      </c>
      <c r="C280" s="33">
        <v>3.3</v>
      </c>
      <c r="D280" s="36" t="s">
        <v>120</v>
      </c>
      <c r="E280" s="23">
        <v>12</v>
      </c>
      <c r="F280" s="23" t="s">
        <v>17</v>
      </c>
      <c r="G280" s="24"/>
      <c r="H280" s="24">
        <f>G280*E280</f>
        <v>0</v>
      </c>
    </row>
    <row r="281" spans="1:8" x14ac:dyDescent="0.45">
      <c r="A281" s="58"/>
      <c r="B281" s="59"/>
      <c r="C281" s="59"/>
      <c r="D281" s="60" t="s">
        <v>321</v>
      </c>
      <c r="E281" s="59"/>
      <c r="F281" s="59"/>
      <c r="G281" s="59"/>
      <c r="H281" s="62">
        <f>SUM(H276:H280)</f>
        <v>0</v>
      </c>
    </row>
    <row r="282" spans="1:8" x14ac:dyDescent="0.45">
      <c r="A282" s="96"/>
      <c r="B282" s="97"/>
      <c r="C282" s="97"/>
      <c r="D282" s="98"/>
      <c r="E282" s="97"/>
      <c r="F282" s="97"/>
      <c r="G282" s="88"/>
      <c r="H282" s="99"/>
    </row>
    <row r="283" spans="1:8" x14ac:dyDescent="0.45">
      <c r="A283" s="12" t="s">
        <v>2662</v>
      </c>
      <c r="B283" s="13"/>
      <c r="C283" s="13"/>
      <c r="D283" s="12" t="s">
        <v>323</v>
      </c>
      <c r="E283" s="13"/>
      <c r="F283" s="13"/>
      <c r="G283" s="91"/>
      <c r="H283" s="102"/>
    </row>
    <row r="284" spans="1:8" x14ac:dyDescent="0.45">
      <c r="A284" s="103"/>
      <c r="B284" s="41">
        <v>1502000</v>
      </c>
      <c r="C284" s="43"/>
      <c r="D284" s="42" t="s">
        <v>18</v>
      </c>
      <c r="E284" s="43"/>
      <c r="F284" s="44"/>
      <c r="G284" s="43"/>
      <c r="H284" s="45"/>
    </row>
    <row r="285" spans="1:8" x14ac:dyDescent="0.45">
      <c r="A285" s="27"/>
      <c r="B285" s="26"/>
      <c r="C285" s="26">
        <v>3.1</v>
      </c>
      <c r="D285" s="27" t="s">
        <v>19</v>
      </c>
      <c r="E285" s="26"/>
      <c r="F285" s="26"/>
      <c r="G285" s="28"/>
      <c r="H285" s="104"/>
    </row>
    <row r="286" spans="1:8" x14ac:dyDescent="0.45">
      <c r="A286" s="22" t="s">
        <v>2663</v>
      </c>
      <c r="B286" s="23">
        <v>1502000</v>
      </c>
      <c r="C286" s="23" t="s">
        <v>21</v>
      </c>
      <c r="D286" s="29" t="s">
        <v>22</v>
      </c>
      <c r="E286" s="23">
        <v>12</v>
      </c>
      <c r="F286" s="23" t="s">
        <v>17</v>
      </c>
      <c r="G286" s="24"/>
      <c r="H286" s="24">
        <f>G286*E286</f>
        <v>0</v>
      </c>
    </row>
    <row r="287" spans="1:8" x14ac:dyDescent="0.45">
      <c r="A287" s="22" t="s">
        <v>2664</v>
      </c>
      <c r="B287" s="23">
        <v>1502000</v>
      </c>
      <c r="C287" s="23" t="s">
        <v>24</v>
      </c>
      <c r="D287" s="29" t="s">
        <v>25</v>
      </c>
      <c r="E287" s="23">
        <v>12</v>
      </c>
      <c r="F287" s="23" t="s">
        <v>17</v>
      </c>
      <c r="G287" s="24"/>
      <c r="H287" s="24">
        <f>G287*E287</f>
        <v>0</v>
      </c>
    </row>
    <row r="288" spans="1:8" x14ac:dyDescent="0.45">
      <c r="A288" s="22" t="s">
        <v>2665</v>
      </c>
      <c r="B288" s="23">
        <v>1502000</v>
      </c>
      <c r="C288" s="23" t="s">
        <v>27</v>
      </c>
      <c r="D288" s="29" t="s">
        <v>28</v>
      </c>
      <c r="E288" s="23">
        <v>12</v>
      </c>
      <c r="F288" s="23" t="s">
        <v>17</v>
      </c>
      <c r="G288" s="24"/>
      <c r="H288" s="24">
        <f>G288*E288</f>
        <v>0</v>
      </c>
    </row>
    <row r="289" spans="1:8" x14ac:dyDescent="0.45">
      <c r="A289" s="25"/>
      <c r="B289" s="26"/>
      <c r="C289" s="26">
        <v>3.1</v>
      </c>
      <c r="D289" s="27" t="s">
        <v>31</v>
      </c>
      <c r="E289" s="28"/>
      <c r="F289" s="28"/>
      <c r="G289" s="28"/>
      <c r="H289" s="28"/>
    </row>
    <row r="290" spans="1:8" x14ac:dyDescent="0.45">
      <c r="A290" s="22" t="s">
        <v>2666</v>
      </c>
      <c r="B290" s="23">
        <v>1502000</v>
      </c>
      <c r="C290" s="23" t="s">
        <v>33</v>
      </c>
      <c r="D290" s="30" t="s">
        <v>34</v>
      </c>
      <c r="E290" s="23">
        <v>12</v>
      </c>
      <c r="F290" s="23" t="s">
        <v>17</v>
      </c>
      <c r="G290" s="24"/>
      <c r="H290" s="24">
        <f t="shared" ref="H290:H295" si="3">G290*E290</f>
        <v>0</v>
      </c>
    </row>
    <row r="291" spans="1:8" s="389" customFormat="1" x14ac:dyDescent="0.45">
      <c r="A291" s="22" t="s">
        <v>2667</v>
      </c>
      <c r="B291" s="23">
        <v>1502000</v>
      </c>
      <c r="C291" s="23" t="s">
        <v>5016</v>
      </c>
      <c r="D291" s="30" t="s">
        <v>46</v>
      </c>
      <c r="E291" s="23">
        <v>12</v>
      </c>
      <c r="F291" s="23" t="s">
        <v>17</v>
      </c>
      <c r="G291" s="24"/>
      <c r="H291" s="24">
        <f t="shared" si="3"/>
        <v>0</v>
      </c>
    </row>
    <row r="292" spans="1:8" s="389" customFormat="1" x14ac:dyDescent="0.45">
      <c r="A292" s="258" t="s">
        <v>2668</v>
      </c>
      <c r="B292" s="261">
        <v>1502000</v>
      </c>
      <c r="C292" s="261" t="s">
        <v>5017</v>
      </c>
      <c r="D292" s="269" t="s">
        <v>55</v>
      </c>
      <c r="E292" s="261">
        <v>12</v>
      </c>
      <c r="F292" s="261" t="s">
        <v>17</v>
      </c>
      <c r="G292" s="262"/>
      <c r="H292" s="262">
        <f t="shared" si="3"/>
        <v>0</v>
      </c>
    </row>
    <row r="293" spans="1:8" s="389" customFormat="1" x14ac:dyDescent="0.45">
      <c r="A293" s="22" t="s">
        <v>5187</v>
      </c>
      <c r="B293" s="23">
        <v>1502000</v>
      </c>
      <c r="C293" s="113" t="s">
        <v>5018</v>
      </c>
      <c r="D293" s="114" t="s">
        <v>330</v>
      </c>
      <c r="E293" s="23">
        <v>12</v>
      </c>
      <c r="F293" s="23" t="s">
        <v>17</v>
      </c>
      <c r="G293" s="24"/>
      <c r="H293" s="24">
        <f t="shared" si="3"/>
        <v>0</v>
      </c>
    </row>
    <row r="294" spans="1:8" s="389" customFormat="1" x14ac:dyDescent="0.45">
      <c r="A294" s="22" t="s">
        <v>5188</v>
      </c>
      <c r="B294" s="23">
        <v>1502000</v>
      </c>
      <c r="C294" s="113" t="s">
        <v>5019</v>
      </c>
      <c r="D294" s="114" t="s">
        <v>331</v>
      </c>
      <c r="E294" s="23">
        <v>12</v>
      </c>
      <c r="F294" s="23" t="s">
        <v>17</v>
      </c>
      <c r="G294" s="24"/>
      <c r="H294" s="24">
        <f t="shared" si="3"/>
        <v>0</v>
      </c>
    </row>
    <row r="295" spans="1:8" s="389" customFormat="1" x14ac:dyDescent="0.45">
      <c r="A295" s="22" t="s">
        <v>5189</v>
      </c>
      <c r="B295" s="23">
        <v>1502000</v>
      </c>
      <c r="C295" s="113" t="s">
        <v>5020</v>
      </c>
      <c r="D295" s="114" t="s">
        <v>333</v>
      </c>
      <c r="E295" s="23">
        <v>12</v>
      </c>
      <c r="F295" s="23" t="s">
        <v>17</v>
      </c>
      <c r="G295" s="24"/>
      <c r="H295" s="24">
        <f t="shared" si="3"/>
        <v>0</v>
      </c>
    </row>
    <row r="296" spans="1:8" s="389" customFormat="1" x14ac:dyDescent="0.45">
      <c r="A296" s="25"/>
      <c r="B296" s="26"/>
      <c r="C296" s="26">
        <v>3.4</v>
      </c>
      <c r="D296" s="27" t="s">
        <v>62</v>
      </c>
      <c r="E296" s="26"/>
      <c r="F296" s="26"/>
      <c r="G296" s="28"/>
      <c r="H296" s="104"/>
    </row>
    <row r="297" spans="1:8" s="389" customFormat="1" x14ac:dyDescent="0.45">
      <c r="A297" s="22" t="s">
        <v>5190</v>
      </c>
      <c r="B297" s="23">
        <v>1502000</v>
      </c>
      <c r="C297" s="23" t="s">
        <v>67</v>
      </c>
      <c r="D297" s="35" t="s">
        <v>68</v>
      </c>
      <c r="E297" s="23">
        <v>12</v>
      </c>
      <c r="F297" s="23" t="s">
        <v>17</v>
      </c>
      <c r="G297" s="24"/>
      <c r="H297" s="24">
        <f>G297*E297</f>
        <v>0</v>
      </c>
    </row>
    <row r="298" spans="1:8" s="389" customFormat="1" x14ac:dyDescent="0.45">
      <c r="A298" s="25"/>
      <c r="B298" s="26"/>
      <c r="C298" s="26">
        <v>3.6</v>
      </c>
      <c r="D298" s="27" t="s">
        <v>75</v>
      </c>
      <c r="E298" s="26"/>
      <c r="F298" s="26"/>
      <c r="G298" s="28"/>
      <c r="H298" s="104"/>
    </row>
    <row r="299" spans="1:8" s="389" customFormat="1" x14ac:dyDescent="0.45">
      <c r="A299" s="22" t="s">
        <v>5191</v>
      </c>
      <c r="B299" s="23">
        <v>1502000</v>
      </c>
      <c r="C299" s="33" t="s">
        <v>89</v>
      </c>
      <c r="D299" s="39" t="s">
        <v>90</v>
      </c>
      <c r="E299" s="23">
        <v>12</v>
      </c>
      <c r="F299" s="23" t="s">
        <v>17</v>
      </c>
      <c r="G299" s="24"/>
      <c r="H299" s="24">
        <f>G299*E299</f>
        <v>0</v>
      </c>
    </row>
    <row r="300" spans="1:8" s="389" customFormat="1" x14ac:dyDescent="0.45">
      <c r="A300" s="22" t="s">
        <v>5192</v>
      </c>
      <c r="B300" s="23">
        <v>1502000</v>
      </c>
      <c r="C300" s="33" t="s">
        <v>101</v>
      </c>
      <c r="D300" s="39" t="s">
        <v>102</v>
      </c>
      <c r="E300" s="23">
        <v>12</v>
      </c>
      <c r="F300" s="23" t="s">
        <v>17</v>
      </c>
      <c r="G300" s="24"/>
      <c r="H300" s="24">
        <f>G300*E300</f>
        <v>0</v>
      </c>
    </row>
    <row r="301" spans="1:8" s="389" customFormat="1" x14ac:dyDescent="0.45">
      <c r="A301" s="40"/>
      <c r="B301" s="41">
        <v>1503010</v>
      </c>
      <c r="C301" s="41"/>
      <c r="D301" s="42" t="s">
        <v>109</v>
      </c>
      <c r="E301" s="43"/>
      <c r="F301" s="44"/>
      <c r="G301" s="44"/>
      <c r="H301" s="45"/>
    </row>
    <row r="302" spans="1:8" s="389" customFormat="1" x14ac:dyDescent="0.45">
      <c r="A302" s="22" t="s">
        <v>5193</v>
      </c>
      <c r="B302" s="33">
        <v>1503010</v>
      </c>
      <c r="C302" s="33">
        <v>3.1</v>
      </c>
      <c r="D302" s="36" t="s">
        <v>111</v>
      </c>
      <c r="E302" s="23">
        <v>12</v>
      </c>
      <c r="F302" s="115" t="s">
        <v>17</v>
      </c>
      <c r="G302" s="24"/>
      <c r="H302" s="24">
        <f>G302*E302</f>
        <v>0</v>
      </c>
    </row>
    <row r="303" spans="1:8" x14ac:dyDescent="0.45">
      <c r="A303" s="58"/>
      <c r="B303" s="59"/>
      <c r="C303" s="59"/>
      <c r="D303" s="60" t="s">
        <v>334</v>
      </c>
      <c r="E303" s="59"/>
      <c r="F303" s="59"/>
      <c r="G303" s="59"/>
      <c r="H303" s="62">
        <f>SUM(H286:H302)</f>
        <v>0</v>
      </c>
    </row>
    <row r="304" spans="1:8" x14ac:dyDescent="0.45">
      <c r="A304" s="96"/>
      <c r="B304" s="97"/>
      <c r="C304" s="97"/>
      <c r="D304" s="116"/>
      <c r="E304" s="97"/>
      <c r="F304" s="97"/>
      <c r="G304" s="88"/>
      <c r="H304" s="99"/>
    </row>
    <row r="305" spans="1:8" x14ac:dyDescent="0.45">
      <c r="A305" s="12" t="s">
        <v>2669</v>
      </c>
      <c r="B305" s="13"/>
      <c r="C305" s="13"/>
      <c r="D305" s="247" t="s">
        <v>5009</v>
      </c>
      <c r="E305" s="13"/>
      <c r="F305" s="13"/>
      <c r="G305" s="91"/>
      <c r="H305" s="102"/>
    </row>
    <row r="306" spans="1:8" x14ac:dyDescent="0.45">
      <c r="A306" s="40"/>
      <c r="B306" s="41">
        <v>1401000</v>
      </c>
      <c r="C306" s="41"/>
      <c r="D306" s="42" t="s">
        <v>336</v>
      </c>
      <c r="E306" s="43"/>
      <c r="F306" s="44"/>
      <c r="G306" s="43"/>
      <c r="H306" s="45"/>
    </row>
    <row r="307" spans="1:8" x14ac:dyDescent="0.45">
      <c r="A307" s="22" t="s">
        <v>2670</v>
      </c>
      <c r="B307" s="23">
        <v>1401000</v>
      </c>
      <c r="C307" s="23">
        <v>3.1</v>
      </c>
      <c r="D307" s="27" t="s">
        <v>338</v>
      </c>
      <c r="E307" s="26"/>
      <c r="F307" s="26"/>
      <c r="G307" s="28"/>
      <c r="H307" s="104"/>
    </row>
    <row r="308" spans="1:8" x14ac:dyDescent="0.45">
      <c r="A308" s="22" t="s">
        <v>2671</v>
      </c>
      <c r="B308" s="117">
        <v>1401000</v>
      </c>
      <c r="C308" s="117" t="s">
        <v>340</v>
      </c>
      <c r="D308" s="106" t="s">
        <v>22</v>
      </c>
      <c r="E308" s="118">
        <v>12</v>
      </c>
      <c r="F308" s="118" t="s">
        <v>17</v>
      </c>
      <c r="G308" s="24"/>
      <c r="H308" s="24">
        <f>G308*E308</f>
        <v>0</v>
      </c>
    </row>
    <row r="309" spans="1:8" x14ac:dyDescent="0.45">
      <c r="A309" s="22" t="s">
        <v>2672</v>
      </c>
      <c r="B309" s="117">
        <v>1401000</v>
      </c>
      <c r="C309" s="117" t="s">
        <v>342</v>
      </c>
      <c r="D309" s="106" t="s">
        <v>25</v>
      </c>
      <c r="E309" s="118">
        <v>12</v>
      </c>
      <c r="F309" s="118" t="s">
        <v>17</v>
      </c>
      <c r="G309" s="24"/>
      <c r="H309" s="24">
        <f>G309*E309</f>
        <v>0</v>
      </c>
    </row>
    <row r="310" spans="1:8" x14ac:dyDescent="0.45">
      <c r="A310" s="22" t="s">
        <v>2673</v>
      </c>
      <c r="B310" s="117">
        <v>1401000</v>
      </c>
      <c r="C310" s="117" t="s">
        <v>344</v>
      </c>
      <c r="D310" s="106" t="s">
        <v>28</v>
      </c>
      <c r="E310" s="118">
        <v>12</v>
      </c>
      <c r="F310" s="118" t="s">
        <v>17</v>
      </c>
      <c r="G310" s="24"/>
      <c r="H310" s="24">
        <f>G310*E310</f>
        <v>0</v>
      </c>
    </row>
    <row r="311" spans="1:8" x14ac:dyDescent="0.45">
      <c r="A311" s="22" t="s">
        <v>2674</v>
      </c>
      <c r="B311" s="117">
        <v>1401000</v>
      </c>
      <c r="C311" s="117" t="s">
        <v>24</v>
      </c>
      <c r="D311" s="106" t="s">
        <v>346</v>
      </c>
      <c r="E311" s="118">
        <v>12</v>
      </c>
      <c r="F311" s="118" t="s">
        <v>17</v>
      </c>
      <c r="G311" s="24"/>
      <c r="H311" s="24">
        <f>G311*E311</f>
        <v>0</v>
      </c>
    </row>
    <row r="312" spans="1:8" x14ac:dyDescent="0.45">
      <c r="A312" s="103"/>
      <c r="B312" s="41">
        <v>1502000</v>
      </c>
      <c r="C312" s="43"/>
      <c r="D312" s="42" t="s">
        <v>18</v>
      </c>
      <c r="E312" s="43"/>
      <c r="F312" s="44"/>
      <c r="G312" s="44"/>
      <c r="H312" s="45"/>
    </row>
    <row r="313" spans="1:8" x14ac:dyDescent="0.45">
      <c r="A313" s="25"/>
      <c r="B313" s="26"/>
      <c r="C313" s="26">
        <v>3.1</v>
      </c>
      <c r="D313" s="27" t="s">
        <v>31</v>
      </c>
      <c r="E313" s="28"/>
      <c r="F313" s="28"/>
      <c r="G313" s="28"/>
      <c r="H313" s="28"/>
    </row>
    <row r="314" spans="1:8" x14ac:dyDescent="0.45">
      <c r="A314" s="22" t="s">
        <v>2675</v>
      </c>
      <c r="B314" s="33">
        <v>1502000</v>
      </c>
      <c r="C314" s="33" t="s">
        <v>60</v>
      </c>
      <c r="D314" s="30" t="s">
        <v>61</v>
      </c>
      <c r="E314" s="118">
        <v>12</v>
      </c>
      <c r="F314" s="118" t="s">
        <v>17</v>
      </c>
      <c r="G314" s="24"/>
      <c r="H314" s="24">
        <f>G314*E314</f>
        <v>0</v>
      </c>
    </row>
    <row r="315" spans="1:8" x14ac:dyDescent="0.45">
      <c r="A315" s="25"/>
      <c r="B315" s="26"/>
      <c r="C315" s="26">
        <v>3.4</v>
      </c>
      <c r="D315" s="27" t="s">
        <v>62</v>
      </c>
      <c r="E315" s="26"/>
      <c r="F315" s="26"/>
      <c r="G315" s="28"/>
      <c r="H315" s="104"/>
    </row>
    <row r="316" spans="1:8" x14ac:dyDescent="0.45">
      <c r="A316" s="22" t="s">
        <v>2676</v>
      </c>
      <c r="B316" s="23">
        <v>1502000</v>
      </c>
      <c r="C316" s="23" t="s">
        <v>64</v>
      </c>
      <c r="D316" s="35" t="s">
        <v>65</v>
      </c>
      <c r="E316" s="118">
        <v>12</v>
      </c>
      <c r="F316" s="118" t="s">
        <v>17</v>
      </c>
      <c r="G316" s="24"/>
      <c r="H316" s="24">
        <f>G316*E316</f>
        <v>0</v>
      </c>
    </row>
    <row r="317" spans="1:8" x14ac:dyDescent="0.45">
      <c r="A317" s="22" t="s">
        <v>2677</v>
      </c>
      <c r="B317" s="23">
        <v>1502000</v>
      </c>
      <c r="C317" s="33" t="s">
        <v>70</v>
      </c>
      <c r="D317" s="36" t="s">
        <v>71</v>
      </c>
      <c r="E317" s="118">
        <v>12</v>
      </c>
      <c r="F317" s="118" t="s">
        <v>17</v>
      </c>
      <c r="G317" s="24"/>
      <c r="H317" s="24">
        <f>G317*E317</f>
        <v>0</v>
      </c>
    </row>
    <row r="318" spans="1:8" x14ac:dyDescent="0.45">
      <c r="A318" s="25"/>
      <c r="B318" s="26"/>
      <c r="C318" s="26">
        <v>3.6</v>
      </c>
      <c r="D318" s="27" t="s">
        <v>75</v>
      </c>
      <c r="E318" s="26"/>
      <c r="F318" s="26"/>
      <c r="G318" s="28"/>
      <c r="H318" s="104"/>
    </row>
    <row r="319" spans="1:8" x14ac:dyDescent="0.45">
      <c r="A319" s="22" t="s">
        <v>2678</v>
      </c>
      <c r="B319" s="23">
        <v>1502000</v>
      </c>
      <c r="C319" s="23" t="s">
        <v>80</v>
      </c>
      <c r="D319" s="30" t="s">
        <v>81</v>
      </c>
      <c r="E319" s="118">
        <v>12</v>
      </c>
      <c r="F319" s="118" t="s">
        <v>17</v>
      </c>
      <c r="G319" s="24"/>
      <c r="H319" s="24">
        <f>G319*E319</f>
        <v>0</v>
      </c>
    </row>
    <row r="320" spans="1:8" x14ac:dyDescent="0.45">
      <c r="A320" s="22" t="s">
        <v>2679</v>
      </c>
      <c r="B320" s="23">
        <v>1502000</v>
      </c>
      <c r="C320" s="33" t="s">
        <v>86</v>
      </c>
      <c r="D320" s="39" t="s">
        <v>87</v>
      </c>
      <c r="E320" s="118">
        <v>12</v>
      </c>
      <c r="F320" s="118" t="s">
        <v>17</v>
      </c>
      <c r="G320" s="24"/>
      <c r="H320" s="24">
        <f>G320*E320</f>
        <v>0</v>
      </c>
    </row>
    <row r="321" spans="1:8" x14ac:dyDescent="0.45">
      <c r="A321" s="40"/>
      <c r="B321" s="41">
        <v>1503010</v>
      </c>
      <c r="C321" s="41"/>
      <c r="D321" s="42" t="s">
        <v>109</v>
      </c>
      <c r="E321" s="43"/>
      <c r="F321" s="44"/>
      <c r="G321" s="44"/>
      <c r="H321" s="45"/>
    </row>
    <row r="322" spans="1:8" x14ac:dyDescent="0.45">
      <c r="A322" s="22" t="s">
        <v>2680</v>
      </c>
      <c r="B322" s="33">
        <v>1503010</v>
      </c>
      <c r="C322" s="33">
        <v>3.1</v>
      </c>
      <c r="D322" s="36" t="s">
        <v>111</v>
      </c>
      <c r="E322" s="23">
        <v>12</v>
      </c>
      <c r="F322" s="23" t="s">
        <v>17</v>
      </c>
      <c r="G322" s="24"/>
      <c r="H322" s="24">
        <f>G322*E322</f>
        <v>0</v>
      </c>
    </row>
    <row r="323" spans="1:8" x14ac:dyDescent="0.45">
      <c r="A323" s="40"/>
      <c r="B323" s="43">
        <v>1503020</v>
      </c>
      <c r="C323" s="41"/>
      <c r="D323" s="42" t="s">
        <v>114</v>
      </c>
      <c r="E323" s="43"/>
      <c r="F323" s="44"/>
      <c r="G323" s="44"/>
      <c r="H323" s="45"/>
    </row>
    <row r="324" spans="1:8" s="254" customFormat="1" x14ac:dyDescent="0.45">
      <c r="A324" s="249" t="s">
        <v>2681</v>
      </c>
      <c r="B324" s="250">
        <v>1503020</v>
      </c>
      <c r="C324" s="250">
        <v>3.1</v>
      </c>
      <c r="D324" s="295" t="s">
        <v>116</v>
      </c>
      <c r="E324" s="252">
        <v>12</v>
      </c>
      <c r="F324" s="252" t="s">
        <v>17</v>
      </c>
      <c r="G324" s="253"/>
      <c r="H324" s="253">
        <f>G324*E324</f>
        <v>0</v>
      </c>
    </row>
    <row r="325" spans="1:8" s="254" customFormat="1" x14ac:dyDescent="0.45">
      <c r="A325" s="249" t="s">
        <v>2682</v>
      </c>
      <c r="B325" s="250">
        <v>1503020</v>
      </c>
      <c r="C325" s="250">
        <v>3.2</v>
      </c>
      <c r="D325" s="251" t="s">
        <v>118</v>
      </c>
      <c r="E325" s="252">
        <v>12</v>
      </c>
      <c r="F325" s="252" t="s">
        <v>17</v>
      </c>
      <c r="G325" s="253"/>
      <c r="H325" s="253">
        <f>G325*E325</f>
        <v>0</v>
      </c>
    </row>
    <row r="326" spans="1:8" s="300" customFormat="1" x14ac:dyDescent="0.45">
      <c r="A326" s="269" t="s">
        <v>2682</v>
      </c>
      <c r="B326" s="296">
        <v>1503020</v>
      </c>
      <c r="C326" s="296" t="s">
        <v>158</v>
      </c>
      <c r="D326" s="297" t="s">
        <v>5015</v>
      </c>
      <c r="E326" s="298">
        <v>12</v>
      </c>
      <c r="F326" s="298" t="s">
        <v>17</v>
      </c>
      <c r="G326" s="299"/>
      <c r="H326" s="299">
        <f>G326*E326</f>
        <v>0</v>
      </c>
    </row>
    <row r="327" spans="1:8" s="140" customFormat="1" x14ac:dyDescent="0.45">
      <c r="A327" s="249" t="s">
        <v>2683</v>
      </c>
      <c r="B327" s="52">
        <v>1503020</v>
      </c>
      <c r="C327" s="52">
        <v>3.3</v>
      </c>
      <c r="D327" s="36" t="s">
        <v>120</v>
      </c>
      <c r="E327" s="255">
        <v>12</v>
      </c>
      <c r="F327" s="255" t="s">
        <v>17</v>
      </c>
      <c r="G327" s="256"/>
      <c r="H327" s="256">
        <f>G327*E327</f>
        <v>0</v>
      </c>
    </row>
    <row r="328" spans="1:8" x14ac:dyDescent="0.45">
      <c r="A328" s="40"/>
      <c r="B328" s="43">
        <v>1503030</v>
      </c>
      <c r="C328" s="41"/>
      <c r="D328" s="42" t="s">
        <v>121</v>
      </c>
      <c r="E328" s="43"/>
      <c r="F328" s="44"/>
      <c r="G328" s="44"/>
      <c r="H328" s="45"/>
    </row>
    <row r="329" spans="1:8" x14ac:dyDescent="0.45">
      <c r="A329" s="22" t="s">
        <v>5194</v>
      </c>
      <c r="B329" s="33">
        <v>1503030</v>
      </c>
      <c r="C329" s="33" t="s">
        <v>123</v>
      </c>
      <c r="D329" s="36" t="s">
        <v>124</v>
      </c>
      <c r="E329" s="23">
        <v>12</v>
      </c>
      <c r="F329" s="23" t="s">
        <v>17</v>
      </c>
      <c r="G329" s="24"/>
      <c r="H329" s="24">
        <f>G329*E329</f>
        <v>0</v>
      </c>
    </row>
    <row r="330" spans="1:8" x14ac:dyDescent="0.45">
      <c r="A330" s="40"/>
      <c r="B330" s="41">
        <v>1503050</v>
      </c>
      <c r="C330" s="41"/>
      <c r="D330" s="42" t="s">
        <v>127</v>
      </c>
      <c r="E330" s="43"/>
      <c r="F330" s="44"/>
      <c r="G330" s="44"/>
      <c r="H330" s="45"/>
    </row>
    <row r="331" spans="1:8" x14ac:dyDescent="0.45">
      <c r="A331" s="22" t="s">
        <v>5195</v>
      </c>
      <c r="B331" s="23">
        <v>1503050</v>
      </c>
      <c r="C331" s="23">
        <v>3.1</v>
      </c>
      <c r="D331" s="106" t="s">
        <v>129</v>
      </c>
      <c r="E331" s="23">
        <v>12</v>
      </c>
      <c r="F331" s="23" t="s">
        <v>17</v>
      </c>
      <c r="G331" s="24"/>
      <c r="H331" s="24">
        <f>G331*E331</f>
        <v>0</v>
      </c>
    </row>
    <row r="332" spans="1:8" x14ac:dyDescent="0.45">
      <c r="A332" s="40"/>
      <c r="B332" s="41">
        <v>1503060</v>
      </c>
      <c r="C332" s="41"/>
      <c r="D332" s="42" t="s">
        <v>138</v>
      </c>
      <c r="E332" s="43"/>
      <c r="F332" s="44"/>
      <c r="G332" s="44"/>
      <c r="H332" s="45"/>
    </row>
    <row r="333" spans="1:8" x14ac:dyDescent="0.45">
      <c r="A333" s="249" t="s">
        <v>5196</v>
      </c>
      <c r="B333" s="23">
        <v>1503060</v>
      </c>
      <c r="C333" s="23">
        <v>3.1</v>
      </c>
      <c r="D333" s="106" t="s">
        <v>129</v>
      </c>
      <c r="E333" s="23">
        <v>12</v>
      </c>
      <c r="F333" s="23" t="s">
        <v>17</v>
      </c>
      <c r="G333" s="24"/>
      <c r="H333" s="24">
        <f>G333*E333</f>
        <v>0</v>
      </c>
    </row>
    <row r="334" spans="1:8" x14ac:dyDescent="0.45">
      <c r="A334" s="58"/>
      <c r="B334" s="59"/>
      <c r="C334" s="59"/>
      <c r="D334" s="60" t="s">
        <v>358</v>
      </c>
      <c r="E334" s="59"/>
      <c r="F334" s="59"/>
      <c r="G334" s="59"/>
      <c r="H334" s="62">
        <f>SUM(H308:H333)</f>
        <v>0</v>
      </c>
    </row>
    <row r="335" spans="1:8" x14ac:dyDescent="0.45">
      <c r="A335" s="121"/>
      <c r="B335" s="122"/>
      <c r="C335" s="122"/>
      <c r="D335" s="123"/>
      <c r="E335" s="122"/>
      <c r="F335" s="124"/>
      <c r="G335" s="122"/>
      <c r="H335" s="110"/>
    </row>
    <row r="336" spans="1:8" x14ac:dyDescent="0.45">
      <c r="A336" s="12" t="s">
        <v>2684</v>
      </c>
      <c r="B336" s="13"/>
      <c r="C336" s="13"/>
      <c r="D336" s="12" t="s">
        <v>360</v>
      </c>
      <c r="E336" s="100"/>
      <c r="F336" s="101"/>
      <c r="G336" s="13"/>
      <c r="H336" s="102"/>
    </row>
    <row r="337" spans="1:8" x14ac:dyDescent="0.45">
      <c r="A337" s="40"/>
      <c r="B337" s="41">
        <v>1402000</v>
      </c>
      <c r="C337" s="41">
        <v>3</v>
      </c>
      <c r="D337" s="42" t="s">
        <v>124</v>
      </c>
      <c r="E337" s="43"/>
      <c r="F337" s="44"/>
      <c r="G337" s="43"/>
      <c r="H337" s="45"/>
    </row>
    <row r="338" spans="1:8" x14ac:dyDescent="0.45">
      <c r="A338" s="22" t="s">
        <v>2685</v>
      </c>
      <c r="B338" s="23">
        <v>1402000</v>
      </c>
      <c r="C338" s="23">
        <v>3.1</v>
      </c>
      <c r="D338" s="106" t="s">
        <v>362</v>
      </c>
      <c r="E338" s="23">
        <v>12</v>
      </c>
      <c r="F338" s="23" t="s">
        <v>17</v>
      </c>
      <c r="G338" s="24"/>
      <c r="H338" s="24">
        <f>G338*E338</f>
        <v>0</v>
      </c>
    </row>
    <row r="339" spans="1:8" s="429" customFormat="1" x14ac:dyDescent="0.45">
      <c r="A339" s="258" t="s">
        <v>2686</v>
      </c>
      <c r="B339" s="261">
        <v>1402000</v>
      </c>
      <c r="C339" s="26">
        <v>3.2</v>
      </c>
      <c r="D339" s="27" t="s">
        <v>364</v>
      </c>
      <c r="E339" s="28"/>
      <c r="F339" s="28"/>
      <c r="G339" s="28"/>
      <c r="H339" s="28"/>
    </row>
    <row r="340" spans="1:8" s="293" customFormat="1" x14ac:dyDescent="0.45">
      <c r="A340" s="257" t="s">
        <v>2686</v>
      </c>
      <c r="B340" s="286">
        <v>1402000</v>
      </c>
      <c r="C340" s="286">
        <v>3.2</v>
      </c>
      <c r="D340" s="180" t="s">
        <v>5027</v>
      </c>
      <c r="E340" s="286">
        <v>150</v>
      </c>
      <c r="F340" s="286" t="s">
        <v>472</v>
      </c>
      <c r="G340" s="302"/>
      <c r="H340" s="302">
        <f t="shared" ref="H340:H343" si="4">G340*E340</f>
        <v>0</v>
      </c>
    </row>
    <row r="341" spans="1:8" s="389" customFormat="1" x14ac:dyDescent="0.45">
      <c r="A341" s="257" t="s">
        <v>2687</v>
      </c>
      <c r="B341" s="286">
        <v>1402000</v>
      </c>
      <c r="C341" s="286">
        <v>3.2</v>
      </c>
      <c r="D341" s="180" t="s">
        <v>5028</v>
      </c>
      <c r="E341" s="286">
        <v>200</v>
      </c>
      <c r="F341" s="286" t="s">
        <v>472</v>
      </c>
      <c r="G341" s="302"/>
      <c r="H341" s="302">
        <f t="shared" si="4"/>
        <v>0</v>
      </c>
    </row>
    <row r="342" spans="1:8" s="389" customFormat="1" x14ac:dyDescent="0.45">
      <c r="A342" s="257" t="s">
        <v>5197</v>
      </c>
      <c r="B342" s="286">
        <v>1402000</v>
      </c>
      <c r="C342" s="286">
        <v>3.2</v>
      </c>
      <c r="D342" s="180" t="s">
        <v>5029</v>
      </c>
      <c r="E342" s="286">
        <v>150</v>
      </c>
      <c r="F342" s="286" t="s">
        <v>472</v>
      </c>
      <c r="G342" s="302"/>
      <c r="H342" s="302">
        <f t="shared" si="4"/>
        <v>0</v>
      </c>
    </row>
    <row r="343" spans="1:8" s="389" customFormat="1" x14ac:dyDescent="0.45">
      <c r="A343" s="257" t="s">
        <v>5198</v>
      </c>
      <c r="B343" s="286">
        <v>1402000</v>
      </c>
      <c r="C343" s="286">
        <v>3.2</v>
      </c>
      <c r="D343" s="180" t="s">
        <v>5030</v>
      </c>
      <c r="E343" s="286">
        <v>200</v>
      </c>
      <c r="F343" s="286" t="s">
        <v>472</v>
      </c>
      <c r="G343" s="302"/>
      <c r="H343" s="302">
        <f t="shared" si="4"/>
        <v>0</v>
      </c>
    </row>
    <row r="344" spans="1:8" x14ac:dyDescent="0.45">
      <c r="A344" s="22" t="s">
        <v>5310</v>
      </c>
      <c r="B344" s="23">
        <v>1402000</v>
      </c>
      <c r="C344" s="23">
        <v>3.3</v>
      </c>
      <c r="D344" s="106" t="s">
        <v>366</v>
      </c>
      <c r="E344" s="23">
        <v>12</v>
      </c>
      <c r="F344" s="23" t="s">
        <v>17</v>
      </c>
      <c r="G344" s="24"/>
      <c r="H344" s="24">
        <f>G344*E344</f>
        <v>0</v>
      </c>
    </row>
    <row r="345" spans="1:8" x14ac:dyDescent="0.45">
      <c r="A345" s="58"/>
      <c r="B345" s="59"/>
      <c r="C345" s="59"/>
      <c r="D345" s="60" t="s">
        <v>367</v>
      </c>
      <c r="E345" s="59"/>
      <c r="F345" s="59"/>
      <c r="G345" s="59"/>
      <c r="H345" s="62">
        <f>SUM(H338:H344)</f>
        <v>0</v>
      </c>
    </row>
    <row r="346" spans="1:8" x14ac:dyDescent="0.45">
      <c r="A346" s="121"/>
      <c r="B346" s="122"/>
      <c r="C346" s="122"/>
      <c r="D346" s="123"/>
      <c r="E346" s="122"/>
      <c r="F346" s="124"/>
      <c r="G346" s="88"/>
      <c r="H346" s="110"/>
    </row>
    <row r="347" spans="1:8" x14ac:dyDescent="0.45">
      <c r="A347" s="12" t="s">
        <v>2688</v>
      </c>
      <c r="B347" s="13"/>
      <c r="C347" s="13"/>
      <c r="D347" s="12" t="s">
        <v>369</v>
      </c>
      <c r="E347" s="100"/>
      <c r="F347" s="101"/>
      <c r="G347" s="91"/>
      <c r="H347" s="102"/>
    </row>
    <row r="348" spans="1:8" x14ac:dyDescent="0.45">
      <c r="A348" s="103"/>
      <c r="B348" s="41">
        <v>1502000</v>
      </c>
      <c r="C348" s="43"/>
      <c r="D348" s="42" t="s">
        <v>18</v>
      </c>
      <c r="E348" s="43"/>
      <c r="F348" s="44"/>
      <c r="G348" s="43"/>
      <c r="H348" s="45"/>
    </row>
    <row r="349" spans="1:8" x14ac:dyDescent="0.45">
      <c r="A349" s="27"/>
      <c r="B349" s="26"/>
      <c r="C349" s="26">
        <v>3.1</v>
      </c>
      <c r="D349" s="27" t="s">
        <v>19</v>
      </c>
      <c r="E349" s="26"/>
      <c r="F349" s="26"/>
      <c r="G349" s="28"/>
      <c r="H349" s="104"/>
    </row>
    <row r="350" spans="1:8" x14ac:dyDescent="0.45">
      <c r="A350" s="22" t="s">
        <v>2689</v>
      </c>
      <c r="B350" s="23">
        <v>1502000</v>
      </c>
      <c r="C350" s="23" t="s">
        <v>21</v>
      </c>
      <c r="D350" s="29" t="s">
        <v>22</v>
      </c>
      <c r="E350" s="23">
        <v>12</v>
      </c>
      <c r="F350" s="23" t="s">
        <v>17</v>
      </c>
      <c r="G350" s="24"/>
      <c r="H350" s="24">
        <f>G350*E350</f>
        <v>0</v>
      </c>
    </row>
    <row r="351" spans="1:8" x14ac:dyDescent="0.45">
      <c r="A351" s="22" t="s">
        <v>2690</v>
      </c>
      <c r="B351" s="23">
        <v>1502000</v>
      </c>
      <c r="C351" s="23" t="s">
        <v>24</v>
      </c>
      <c r="D351" s="29" t="s">
        <v>25</v>
      </c>
      <c r="E351" s="23">
        <v>12</v>
      </c>
      <c r="F351" s="23" t="s">
        <v>17</v>
      </c>
      <c r="G351" s="24"/>
      <c r="H351" s="24">
        <f>G351*E351</f>
        <v>0</v>
      </c>
    </row>
    <row r="352" spans="1:8" x14ac:dyDescent="0.45">
      <c r="A352" s="22" t="s">
        <v>2691</v>
      </c>
      <c r="B352" s="23">
        <v>1502000</v>
      </c>
      <c r="C352" s="23" t="s">
        <v>27</v>
      </c>
      <c r="D352" s="29" t="s">
        <v>28</v>
      </c>
      <c r="E352" s="23">
        <v>12</v>
      </c>
      <c r="F352" s="23" t="s">
        <v>17</v>
      </c>
      <c r="G352" s="24"/>
      <c r="H352" s="24">
        <f>G352*E352</f>
        <v>0</v>
      </c>
    </row>
    <row r="353" spans="1:8" x14ac:dyDescent="0.45">
      <c r="A353" s="25"/>
      <c r="B353" s="26"/>
      <c r="C353" s="26">
        <v>3.1</v>
      </c>
      <c r="D353" s="27" t="s">
        <v>31</v>
      </c>
      <c r="E353" s="28"/>
      <c r="F353" s="28"/>
      <c r="G353" s="28"/>
      <c r="H353" s="28"/>
    </row>
    <row r="354" spans="1:8" x14ac:dyDescent="0.45">
      <c r="A354" s="22" t="s">
        <v>2692</v>
      </c>
      <c r="B354" s="23">
        <v>1502000</v>
      </c>
      <c r="C354" s="23" t="s">
        <v>222</v>
      </c>
      <c r="D354" s="29" t="s">
        <v>223</v>
      </c>
      <c r="E354" s="23">
        <v>12</v>
      </c>
      <c r="F354" s="23" t="s">
        <v>17</v>
      </c>
      <c r="G354" s="24"/>
      <c r="H354" s="24">
        <f t="shared" ref="H354:H366" si="5">G354*E354</f>
        <v>0</v>
      </c>
    </row>
    <row r="355" spans="1:8" x14ac:dyDescent="0.45">
      <c r="A355" s="22" t="s">
        <v>2693</v>
      </c>
      <c r="B355" s="23">
        <v>1502000</v>
      </c>
      <c r="C355" s="23" t="s">
        <v>33</v>
      </c>
      <c r="D355" s="29" t="s">
        <v>34</v>
      </c>
      <c r="E355" s="23">
        <v>12</v>
      </c>
      <c r="F355" s="23" t="s">
        <v>17</v>
      </c>
      <c r="G355" s="24"/>
      <c r="H355" s="24">
        <f t="shared" si="5"/>
        <v>0</v>
      </c>
    </row>
    <row r="356" spans="1:8" x14ac:dyDescent="0.45">
      <c r="A356" s="22" t="s">
        <v>2694</v>
      </c>
      <c r="B356" s="23">
        <v>1502000</v>
      </c>
      <c r="C356" s="23" t="s">
        <v>227</v>
      </c>
      <c r="D356" s="29" t="s">
        <v>228</v>
      </c>
      <c r="E356" s="23">
        <v>12</v>
      </c>
      <c r="F356" s="23" t="s">
        <v>17</v>
      </c>
      <c r="G356" s="24"/>
      <c r="H356" s="24">
        <f t="shared" si="5"/>
        <v>0</v>
      </c>
    </row>
    <row r="357" spans="1:8" x14ac:dyDescent="0.45">
      <c r="A357" s="22" t="s">
        <v>2695</v>
      </c>
      <c r="B357" s="23">
        <v>1502000</v>
      </c>
      <c r="C357" s="23" t="s">
        <v>39</v>
      </c>
      <c r="D357" s="29" t="s">
        <v>230</v>
      </c>
      <c r="E357" s="23">
        <v>12</v>
      </c>
      <c r="F357" s="23" t="s">
        <v>17</v>
      </c>
      <c r="G357" s="24"/>
      <c r="H357" s="24">
        <f t="shared" si="5"/>
        <v>0</v>
      </c>
    </row>
    <row r="358" spans="1:8" x14ac:dyDescent="0.45">
      <c r="A358" s="22" t="s">
        <v>2696</v>
      </c>
      <c r="B358" s="23">
        <v>1502000</v>
      </c>
      <c r="C358" s="23" t="s">
        <v>232</v>
      </c>
      <c r="D358" s="29" t="s">
        <v>233</v>
      </c>
      <c r="E358" s="23">
        <v>12</v>
      </c>
      <c r="F358" s="23" t="s">
        <v>17</v>
      </c>
      <c r="G358" s="24"/>
      <c r="H358" s="24">
        <f t="shared" si="5"/>
        <v>0</v>
      </c>
    </row>
    <row r="359" spans="1:8" x14ac:dyDescent="0.45">
      <c r="A359" s="22" t="s">
        <v>2697</v>
      </c>
      <c r="B359" s="23">
        <v>1502000</v>
      </c>
      <c r="C359" s="23" t="s">
        <v>250</v>
      </c>
      <c r="D359" s="29" t="s">
        <v>379</v>
      </c>
      <c r="E359" s="23">
        <v>12</v>
      </c>
      <c r="F359" s="23" t="s">
        <v>17</v>
      </c>
      <c r="G359" s="24"/>
      <c r="H359" s="24">
        <f t="shared" si="5"/>
        <v>0</v>
      </c>
    </row>
    <row r="360" spans="1:8" x14ac:dyDescent="0.45">
      <c r="A360" s="22" t="s">
        <v>2698</v>
      </c>
      <c r="B360" s="23">
        <v>1502000</v>
      </c>
      <c r="C360" s="23" t="s">
        <v>45</v>
      </c>
      <c r="D360" s="29" t="s">
        <v>46</v>
      </c>
      <c r="E360" s="23">
        <v>12</v>
      </c>
      <c r="F360" s="23" t="s">
        <v>17</v>
      </c>
      <c r="G360" s="24"/>
      <c r="H360" s="24">
        <f t="shared" si="5"/>
        <v>0</v>
      </c>
    </row>
    <row r="361" spans="1:8" x14ac:dyDescent="0.45">
      <c r="A361" s="22" t="s">
        <v>2699</v>
      </c>
      <c r="B361" s="23">
        <v>1502000</v>
      </c>
      <c r="C361" s="23" t="s">
        <v>48</v>
      </c>
      <c r="D361" s="29" t="s">
        <v>257</v>
      </c>
      <c r="E361" s="23">
        <v>12</v>
      </c>
      <c r="F361" s="23" t="s">
        <v>17</v>
      </c>
      <c r="G361" s="24"/>
      <c r="H361" s="24">
        <f t="shared" si="5"/>
        <v>0</v>
      </c>
    </row>
    <row r="362" spans="1:8" x14ac:dyDescent="0.45">
      <c r="A362" s="22" t="s">
        <v>2700</v>
      </c>
      <c r="B362" s="23">
        <v>1502000</v>
      </c>
      <c r="C362" s="23" t="s">
        <v>51</v>
      </c>
      <c r="D362" s="29" t="s">
        <v>383</v>
      </c>
      <c r="E362" s="23">
        <v>12</v>
      </c>
      <c r="F362" s="23" t="s">
        <v>17</v>
      </c>
      <c r="G362" s="24"/>
      <c r="H362" s="24">
        <f t="shared" si="5"/>
        <v>0</v>
      </c>
    </row>
    <row r="363" spans="1:8" x14ac:dyDescent="0.45">
      <c r="A363" s="22" t="s">
        <v>2701</v>
      </c>
      <c r="B363" s="23">
        <v>1502000</v>
      </c>
      <c r="C363" s="23" t="s">
        <v>54</v>
      </c>
      <c r="D363" s="29" t="s">
        <v>55</v>
      </c>
      <c r="E363" s="23">
        <v>12</v>
      </c>
      <c r="F363" s="23" t="s">
        <v>17</v>
      </c>
      <c r="G363" s="24"/>
      <c r="H363" s="24">
        <f t="shared" si="5"/>
        <v>0</v>
      </c>
    </row>
    <row r="364" spans="1:8" x14ac:dyDescent="0.45">
      <c r="A364" s="22" t="s">
        <v>2702</v>
      </c>
      <c r="B364" s="23">
        <v>1502000</v>
      </c>
      <c r="C364" s="23" t="s">
        <v>260</v>
      </c>
      <c r="D364" s="29" t="s">
        <v>386</v>
      </c>
      <c r="E364" s="23">
        <v>12</v>
      </c>
      <c r="F364" s="23" t="s">
        <v>17</v>
      </c>
      <c r="G364" s="24"/>
      <c r="H364" s="24">
        <f t="shared" si="5"/>
        <v>0</v>
      </c>
    </row>
    <row r="365" spans="1:8" x14ac:dyDescent="0.45">
      <c r="A365" s="22" t="s">
        <v>2703</v>
      </c>
      <c r="B365" s="23">
        <v>1502000</v>
      </c>
      <c r="C365" s="23" t="s">
        <v>332</v>
      </c>
      <c r="D365" s="29" t="s">
        <v>388</v>
      </c>
      <c r="E365" s="23">
        <v>12</v>
      </c>
      <c r="F365" s="23" t="s">
        <v>17</v>
      </c>
      <c r="G365" s="24"/>
      <c r="H365" s="24">
        <f t="shared" si="5"/>
        <v>0</v>
      </c>
    </row>
    <row r="366" spans="1:8" x14ac:dyDescent="0.45">
      <c r="A366" s="22" t="s">
        <v>2704</v>
      </c>
      <c r="B366" s="23">
        <v>1502000</v>
      </c>
      <c r="C366" s="23" t="s">
        <v>390</v>
      </c>
      <c r="D366" s="29" t="s">
        <v>391</v>
      </c>
      <c r="E366" s="23">
        <v>12</v>
      </c>
      <c r="F366" s="23" t="s">
        <v>17</v>
      </c>
      <c r="G366" s="24"/>
      <c r="H366" s="24">
        <f t="shared" si="5"/>
        <v>0</v>
      </c>
    </row>
    <row r="367" spans="1:8" x14ac:dyDescent="0.45">
      <c r="A367" s="25"/>
      <c r="B367" s="26">
        <v>1502000</v>
      </c>
      <c r="C367" s="26">
        <v>3.4</v>
      </c>
      <c r="D367" s="27" t="s">
        <v>62</v>
      </c>
      <c r="E367" s="26"/>
      <c r="F367" s="26"/>
      <c r="G367" s="28"/>
      <c r="H367" s="104"/>
    </row>
    <row r="368" spans="1:8" x14ac:dyDescent="0.45">
      <c r="A368" s="22" t="s">
        <v>2705</v>
      </c>
      <c r="B368" s="23">
        <v>1502000</v>
      </c>
      <c r="C368" s="23" t="s">
        <v>64</v>
      </c>
      <c r="D368" s="106" t="s">
        <v>65</v>
      </c>
      <c r="E368" s="23">
        <v>12</v>
      </c>
      <c r="F368" s="23" t="s">
        <v>17</v>
      </c>
      <c r="G368" s="24"/>
      <c r="H368" s="24">
        <f>G368*E368</f>
        <v>0</v>
      </c>
    </row>
    <row r="369" spans="1:8" x14ac:dyDescent="0.45">
      <c r="A369" s="22" t="s">
        <v>2706</v>
      </c>
      <c r="B369" s="23">
        <v>1502000</v>
      </c>
      <c r="C369" s="23" t="s">
        <v>67</v>
      </c>
      <c r="D369" s="120" t="s">
        <v>68</v>
      </c>
      <c r="E369" s="23">
        <v>12</v>
      </c>
      <c r="F369" s="23" t="s">
        <v>17</v>
      </c>
      <c r="G369" s="24"/>
      <c r="H369" s="24">
        <f>G369*E369</f>
        <v>0</v>
      </c>
    </row>
    <row r="370" spans="1:8" x14ac:dyDescent="0.45">
      <c r="A370" s="22" t="s">
        <v>2707</v>
      </c>
      <c r="B370" s="23">
        <v>1502000</v>
      </c>
      <c r="C370" s="23" t="s">
        <v>70</v>
      </c>
      <c r="D370" s="106" t="s">
        <v>71</v>
      </c>
      <c r="E370" s="23">
        <v>12</v>
      </c>
      <c r="F370" s="23" t="s">
        <v>17</v>
      </c>
      <c r="G370" s="24"/>
      <c r="H370" s="24">
        <f>G370*E370</f>
        <v>0</v>
      </c>
    </row>
    <row r="371" spans="1:8" x14ac:dyDescent="0.45">
      <c r="A371" s="25"/>
      <c r="B371" s="26"/>
      <c r="C371" s="26">
        <v>3.5</v>
      </c>
      <c r="D371" s="27" t="s">
        <v>72</v>
      </c>
      <c r="E371" s="28"/>
      <c r="F371" s="28"/>
      <c r="G371" s="28"/>
      <c r="H371" s="28"/>
    </row>
    <row r="372" spans="1:8" x14ac:dyDescent="0.45">
      <c r="A372" s="22" t="s">
        <v>2708</v>
      </c>
      <c r="B372" s="23">
        <v>1502000</v>
      </c>
      <c r="C372" s="301" t="s">
        <v>5021</v>
      </c>
      <c r="D372" s="36" t="s">
        <v>71</v>
      </c>
      <c r="E372" s="23">
        <v>12</v>
      </c>
      <c r="F372" s="23" t="s">
        <v>17</v>
      </c>
      <c r="G372" s="24"/>
      <c r="H372" s="24">
        <f>G372*E372</f>
        <v>0</v>
      </c>
    </row>
    <row r="373" spans="1:8" x14ac:dyDescent="0.45">
      <c r="A373" s="27"/>
      <c r="B373" s="125"/>
      <c r="C373" s="125"/>
      <c r="D373" s="27" t="s">
        <v>75</v>
      </c>
      <c r="E373" s="26"/>
      <c r="F373" s="26"/>
      <c r="G373" s="28"/>
      <c r="H373" s="104"/>
    </row>
    <row r="374" spans="1:8" x14ac:dyDescent="0.45">
      <c r="A374" s="22" t="s">
        <v>2709</v>
      </c>
      <c r="B374" s="23">
        <v>1502000</v>
      </c>
      <c r="C374" s="23" t="s">
        <v>80</v>
      </c>
      <c r="D374" s="30" t="s">
        <v>81</v>
      </c>
      <c r="E374" s="23">
        <v>12</v>
      </c>
      <c r="F374" s="23" t="s">
        <v>17</v>
      </c>
      <c r="G374" s="24"/>
      <c r="H374" s="24">
        <f t="shared" ref="H374:H379" si="6">G374*E374</f>
        <v>0</v>
      </c>
    </row>
    <row r="375" spans="1:8" x14ac:dyDescent="0.45">
      <c r="A375" s="22" t="s">
        <v>2710</v>
      </c>
      <c r="B375" s="23">
        <v>1502000</v>
      </c>
      <c r="C375" s="23" t="s">
        <v>83</v>
      </c>
      <c r="D375" s="30" t="s">
        <v>84</v>
      </c>
      <c r="E375" s="23">
        <v>12</v>
      </c>
      <c r="F375" s="23" t="s">
        <v>17</v>
      </c>
      <c r="G375" s="24"/>
      <c r="H375" s="24">
        <f t="shared" si="6"/>
        <v>0</v>
      </c>
    </row>
    <row r="376" spans="1:8" x14ac:dyDescent="0.45">
      <c r="A376" s="22" t="s">
        <v>2711</v>
      </c>
      <c r="B376" s="23">
        <v>1502000</v>
      </c>
      <c r="C376" s="23" t="s">
        <v>86</v>
      </c>
      <c r="D376" s="106" t="s">
        <v>87</v>
      </c>
      <c r="E376" s="23">
        <v>12</v>
      </c>
      <c r="F376" s="23" t="s">
        <v>17</v>
      </c>
      <c r="G376" s="24"/>
      <c r="H376" s="24">
        <f t="shared" si="6"/>
        <v>0</v>
      </c>
    </row>
    <row r="377" spans="1:8" x14ac:dyDescent="0.45">
      <c r="A377" s="22" t="s">
        <v>2712</v>
      </c>
      <c r="B377" s="23">
        <v>1502000</v>
      </c>
      <c r="C377" s="23" t="s">
        <v>400</v>
      </c>
      <c r="D377" s="106" t="s">
        <v>401</v>
      </c>
      <c r="E377" s="23">
        <v>12</v>
      </c>
      <c r="F377" s="23" t="s">
        <v>17</v>
      </c>
      <c r="G377" s="24"/>
      <c r="H377" s="24">
        <f t="shared" si="6"/>
        <v>0</v>
      </c>
    </row>
    <row r="378" spans="1:8" x14ac:dyDescent="0.45">
      <c r="A378" s="22" t="s">
        <v>2713</v>
      </c>
      <c r="B378" s="23">
        <v>1502000</v>
      </c>
      <c r="C378" s="286" t="s">
        <v>5037</v>
      </c>
      <c r="D378" s="22" t="s">
        <v>108</v>
      </c>
      <c r="E378" s="33">
        <v>12</v>
      </c>
      <c r="F378" s="23" t="s">
        <v>17</v>
      </c>
      <c r="G378" s="24"/>
      <c r="H378" s="24">
        <f t="shared" si="6"/>
        <v>0</v>
      </c>
    </row>
    <row r="379" spans="1:8" x14ac:dyDescent="0.45">
      <c r="A379" s="22" t="s">
        <v>2714</v>
      </c>
      <c r="B379" s="23">
        <v>1502000</v>
      </c>
      <c r="C379" s="23" t="s">
        <v>107</v>
      </c>
      <c r="D379" s="126" t="s">
        <v>277</v>
      </c>
      <c r="E379" s="23">
        <v>12</v>
      </c>
      <c r="F379" s="23" t="s">
        <v>17</v>
      </c>
      <c r="G379" s="24"/>
      <c r="H379" s="24">
        <f t="shared" si="6"/>
        <v>0</v>
      </c>
    </row>
    <row r="380" spans="1:8" x14ac:dyDescent="0.45">
      <c r="A380" s="40"/>
      <c r="B380" s="41">
        <v>1503010</v>
      </c>
      <c r="C380" s="41"/>
      <c r="D380" s="42" t="s">
        <v>109</v>
      </c>
      <c r="E380" s="43"/>
      <c r="F380" s="44"/>
      <c r="G380" s="44"/>
      <c r="H380" s="45"/>
    </row>
    <row r="381" spans="1:8" x14ac:dyDescent="0.45">
      <c r="A381" s="22" t="s">
        <v>2715</v>
      </c>
      <c r="B381" s="33">
        <v>1503010</v>
      </c>
      <c r="C381" s="33">
        <v>3.1</v>
      </c>
      <c r="D381" s="36" t="s">
        <v>111</v>
      </c>
      <c r="E381" s="23">
        <v>12</v>
      </c>
      <c r="F381" s="23" t="s">
        <v>17</v>
      </c>
      <c r="G381" s="24"/>
      <c r="H381" s="24">
        <f>G381*E381</f>
        <v>0</v>
      </c>
    </row>
    <row r="382" spans="1:8" x14ac:dyDescent="0.45">
      <c r="A382" s="40"/>
      <c r="B382" s="43">
        <v>1503020</v>
      </c>
      <c r="C382" s="41"/>
      <c r="D382" s="42" t="s">
        <v>114</v>
      </c>
      <c r="E382" s="43"/>
      <c r="F382" s="44"/>
      <c r="G382" s="44"/>
      <c r="H382" s="44"/>
    </row>
    <row r="383" spans="1:8" x14ac:dyDescent="0.45">
      <c r="A383" s="22" t="s">
        <v>2716</v>
      </c>
      <c r="B383" s="33">
        <v>1503020</v>
      </c>
      <c r="C383" s="23">
        <v>3.1</v>
      </c>
      <c r="D383" s="206" t="s">
        <v>406</v>
      </c>
      <c r="E383" s="23">
        <v>12</v>
      </c>
      <c r="F383" s="115" t="s">
        <v>17</v>
      </c>
      <c r="G383" s="24"/>
      <c r="H383" s="24">
        <f>G383*E383</f>
        <v>0</v>
      </c>
    </row>
    <row r="384" spans="1:8" x14ac:dyDescent="0.45">
      <c r="A384" s="22" t="s">
        <v>2717</v>
      </c>
      <c r="B384" s="33">
        <v>1503020</v>
      </c>
      <c r="C384" s="33">
        <v>3.2</v>
      </c>
      <c r="D384" s="36" t="s">
        <v>118</v>
      </c>
      <c r="E384" s="23">
        <v>12</v>
      </c>
      <c r="F384" s="23" t="s">
        <v>17</v>
      </c>
      <c r="G384" s="24"/>
      <c r="H384" s="24">
        <f>G384*E384</f>
        <v>0</v>
      </c>
    </row>
    <row r="385" spans="1:8" x14ac:dyDescent="0.45">
      <c r="A385" s="22" t="s">
        <v>2718</v>
      </c>
      <c r="B385" s="33">
        <v>1503020</v>
      </c>
      <c r="C385" s="23">
        <v>3.3</v>
      </c>
      <c r="D385" s="106" t="s">
        <v>120</v>
      </c>
      <c r="E385" s="23">
        <v>12</v>
      </c>
      <c r="F385" s="23" t="s">
        <v>17</v>
      </c>
      <c r="G385" s="24"/>
      <c r="H385" s="24">
        <f>G385*E385</f>
        <v>0</v>
      </c>
    </row>
    <row r="386" spans="1:8" x14ac:dyDescent="0.45">
      <c r="A386" s="40"/>
      <c r="B386" s="43">
        <v>1503030</v>
      </c>
      <c r="C386" s="41"/>
      <c r="D386" s="42" t="s">
        <v>121</v>
      </c>
      <c r="E386" s="43"/>
      <c r="F386" s="44"/>
      <c r="G386" s="44"/>
      <c r="H386" s="45"/>
    </row>
    <row r="387" spans="1:8" x14ac:dyDescent="0.45">
      <c r="A387" s="22" t="s">
        <v>2719</v>
      </c>
      <c r="B387" s="33">
        <v>1503030</v>
      </c>
      <c r="C387" s="33" t="s">
        <v>123</v>
      </c>
      <c r="D387" s="36" t="s">
        <v>124</v>
      </c>
      <c r="E387" s="23">
        <v>12</v>
      </c>
      <c r="F387" s="23" t="s">
        <v>17</v>
      </c>
      <c r="G387" s="24"/>
      <c r="H387" s="24">
        <f>G387*E387</f>
        <v>0</v>
      </c>
    </row>
    <row r="388" spans="1:8" x14ac:dyDescent="0.45">
      <c r="A388" s="58"/>
      <c r="B388" s="59"/>
      <c r="C388" s="59"/>
      <c r="D388" s="60" t="s">
        <v>410</v>
      </c>
      <c r="E388" s="59"/>
      <c r="F388" s="59"/>
      <c r="G388" s="59"/>
      <c r="H388" s="62">
        <f>SUM(H350:H387)</f>
        <v>0</v>
      </c>
    </row>
    <row r="389" spans="1:8" x14ac:dyDescent="0.45">
      <c r="A389" s="121"/>
      <c r="B389" s="122"/>
      <c r="C389" s="122"/>
      <c r="D389" s="123"/>
      <c r="E389" s="122"/>
      <c r="F389" s="124"/>
      <c r="G389" s="88"/>
      <c r="H389" s="110"/>
    </row>
    <row r="390" spans="1:8" x14ac:dyDescent="0.45">
      <c r="A390" s="12" t="s">
        <v>2720</v>
      </c>
      <c r="B390" s="13"/>
      <c r="C390" s="13"/>
      <c r="D390" s="12" t="s">
        <v>412</v>
      </c>
      <c r="E390" s="13"/>
      <c r="F390" s="13"/>
      <c r="G390" s="91"/>
      <c r="H390" s="102"/>
    </row>
    <row r="391" spans="1:8" x14ac:dyDescent="0.45">
      <c r="A391" s="103"/>
      <c r="B391" s="41">
        <v>1502000</v>
      </c>
      <c r="C391" s="43"/>
      <c r="D391" s="42" t="s">
        <v>18</v>
      </c>
      <c r="E391" s="43"/>
      <c r="F391" s="44"/>
      <c r="G391" s="43"/>
      <c r="H391" s="45"/>
    </row>
    <row r="392" spans="1:8" x14ac:dyDescent="0.45">
      <c r="A392" s="25"/>
      <c r="B392" s="26">
        <v>1502000</v>
      </c>
      <c r="C392" s="26">
        <v>3.4</v>
      </c>
      <c r="D392" s="27" t="s">
        <v>62</v>
      </c>
      <c r="E392" s="26"/>
      <c r="F392" s="26"/>
      <c r="G392" s="28"/>
      <c r="H392" s="104"/>
    </row>
    <row r="393" spans="1:8" x14ac:dyDescent="0.45">
      <c r="A393" s="22" t="s">
        <v>2721</v>
      </c>
      <c r="B393" s="23">
        <v>1502000</v>
      </c>
      <c r="C393" s="23" t="s">
        <v>67</v>
      </c>
      <c r="D393" s="120" t="s">
        <v>68</v>
      </c>
      <c r="E393" s="23">
        <v>12</v>
      </c>
      <c r="F393" s="23" t="s">
        <v>17</v>
      </c>
      <c r="G393" s="24"/>
      <c r="H393" s="24">
        <f>G393*E393</f>
        <v>0</v>
      </c>
    </row>
    <row r="394" spans="1:8" x14ac:dyDescent="0.45">
      <c r="A394" s="40"/>
      <c r="B394" s="41">
        <v>1503010</v>
      </c>
      <c r="C394" s="41"/>
      <c r="D394" s="42" t="s">
        <v>109</v>
      </c>
      <c r="E394" s="43"/>
      <c r="F394" s="44"/>
      <c r="G394" s="44"/>
      <c r="H394" s="45"/>
    </row>
    <row r="395" spans="1:8" x14ac:dyDescent="0.45">
      <c r="A395" s="22" t="s">
        <v>2722</v>
      </c>
      <c r="B395" s="33">
        <v>1503010</v>
      </c>
      <c r="C395" s="33">
        <v>3.1</v>
      </c>
      <c r="D395" s="36" t="s">
        <v>111</v>
      </c>
      <c r="E395" s="23">
        <v>12</v>
      </c>
      <c r="F395" s="23" t="s">
        <v>17</v>
      </c>
      <c r="G395" s="24"/>
      <c r="H395" s="24">
        <f>G395*E395</f>
        <v>0</v>
      </c>
    </row>
    <row r="396" spans="1:8" x14ac:dyDescent="0.45">
      <c r="A396" s="58"/>
      <c r="B396" s="59"/>
      <c r="C396" s="59"/>
      <c r="D396" s="60" t="s">
        <v>415</v>
      </c>
      <c r="E396" s="59"/>
      <c r="F396" s="59"/>
      <c r="G396" s="59"/>
      <c r="H396" s="62">
        <f>SUM(H393:H395)</f>
        <v>0</v>
      </c>
    </row>
    <row r="397" spans="1:8" x14ac:dyDescent="0.45">
      <c r="A397" s="121"/>
      <c r="B397" s="122"/>
      <c r="C397" s="122"/>
      <c r="D397" s="123"/>
      <c r="E397" s="122"/>
      <c r="F397" s="124"/>
      <c r="G397" s="97"/>
      <c r="H397" s="110"/>
    </row>
    <row r="398" spans="1:8" x14ac:dyDescent="0.45">
      <c r="A398" s="12" t="s">
        <v>2723</v>
      </c>
      <c r="B398" s="13"/>
      <c r="C398" s="13"/>
      <c r="D398" s="12" t="s">
        <v>417</v>
      </c>
      <c r="E398" s="13"/>
      <c r="F398" s="13"/>
      <c r="G398" s="13"/>
      <c r="H398" s="102"/>
    </row>
    <row r="399" spans="1:8" x14ac:dyDescent="0.45">
      <c r="A399" s="103"/>
      <c r="B399" s="41">
        <v>1502000</v>
      </c>
      <c r="C399" s="43"/>
      <c r="D399" s="42" t="s">
        <v>18</v>
      </c>
      <c r="E399" s="43"/>
      <c r="F399" s="44"/>
      <c r="G399" s="44"/>
      <c r="H399" s="45"/>
    </row>
    <row r="400" spans="1:8" x14ac:dyDescent="0.45">
      <c r="A400" s="27"/>
      <c r="B400" s="26"/>
      <c r="C400" s="26">
        <v>3.1</v>
      </c>
      <c r="D400" s="27" t="s">
        <v>19</v>
      </c>
      <c r="E400" s="26"/>
      <c r="F400" s="26"/>
      <c r="G400" s="26"/>
      <c r="H400" s="104"/>
    </row>
    <row r="401" spans="1:8" x14ac:dyDescent="0.45">
      <c r="A401" s="22" t="s">
        <v>2724</v>
      </c>
      <c r="B401" s="23">
        <v>1502000</v>
      </c>
      <c r="C401" s="23" t="s">
        <v>21</v>
      </c>
      <c r="D401" s="29" t="s">
        <v>22</v>
      </c>
      <c r="E401" s="23">
        <v>12</v>
      </c>
      <c r="F401" s="23" t="s">
        <v>17</v>
      </c>
      <c r="G401" s="24"/>
      <c r="H401" s="24">
        <f>G401*E401</f>
        <v>0</v>
      </c>
    </row>
    <row r="402" spans="1:8" x14ac:dyDescent="0.45">
      <c r="A402" s="22" t="s">
        <v>2725</v>
      </c>
      <c r="B402" s="23">
        <v>1502000</v>
      </c>
      <c r="C402" s="23" t="s">
        <v>24</v>
      </c>
      <c r="D402" s="29" t="s">
        <v>25</v>
      </c>
      <c r="E402" s="23">
        <v>12</v>
      </c>
      <c r="F402" s="23" t="s">
        <v>17</v>
      </c>
      <c r="G402" s="24"/>
      <c r="H402" s="24">
        <f>G402*E402</f>
        <v>0</v>
      </c>
    </row>
    <row r="403" spans="1:8" x14ac:dyDescent="0.45">
      <c r="A403" s="22" t="s">
        <v>2726</v>
      </c>
      <c r="B403" s="23">
        <v>1502000</v>
      </c>
      <c r="C403" s="23" t="s">
        <v>27</v>
      </c>
      <c r="D403" s="29" t="s">
        <v>28</v>
      </c>
      <c r="E403" s="23">
        <v>12</v>
      </c>
      <c r="F403" s="23" t="s">
        <v>17</v>
      </c>
      <c r="G403" s="24"/>
      <c r="H403" s="24">
        <f>G403*E403</f>
        <v>0</v>
      </c>
    </row>
    <row r="404" spans="1:8" x14ac:dyDescent="0.45">
      <c r="A404" s="25"/>
      <c r="B404" s="26">
        <v>1502000</v>
      </c>
      <c r="C404" s="26">
        <v>3.4</v>
      </c>
      <c r="D404" s="27" t="s">
        <v>62</v>
      </c>
      <c r="E404" s="26"/>
      <c r="F404" s="26"/>
      <c r="G404" s="28"/>
      <c r="H404" s="104"/>
    </row>
    <row r="405" spans="1:8" x14ac:dyDescent="0.45">
      <c r="A405" s="22" t="s">
        <v>2727</v>
      </c>
      <c r="B405" s="23">
        <v>1502000</v>
      </c>
      <c r="C405" s="23" t="s">
        <v>67</v>
      </c>
      <c r="D405" s="35" t="s">
        <v>68</v>
      </c>
      <c r="E405" s="23">
        <v>12</v>
      </c>
      <c r="F405" s="23" t="s">
        <v>17</v>
      </c>
      <c r="G405" s="24"/>
      <c r="H405" s="24">
        <f>G405*E405</f>
        <v>0</v>
      </c>
    </row>
    <row r="406" spans="1:8" x14ac:dyDescent="0.45">
      <c r="A406" s="58"/>
      <c r="B406" s="59"/>
      <c r="C406" s="59"/>
      <c r="D406" s="60" t="s">
        <v>422</v>
      </c>
      <c r="E406" s="59"/>
      <c r="F406" s="59"/>
      <c r="G406" s="59"/>
      <c r="H406" s="62">
        <f>SUM(H401:H405)</f>
        <v>0</v>
      </c>
    </row>
    <row r="407" spans="1:8" x14ac:dyDescent="0.45">
      <c r="A407" s="121"/>
      <c r="B407" s="122"/>
      <c r="C407" s="122"/>
      <c r="D407" s="123"/>
      <c r="E407" s="122"/>
      <c r="F407" s="124"/>
      <c r="G407" s="88"/>
      <c r="H407" s="110"/>
    </row>
    <row r="408" spans="1:8" x14ac:dyDescent="0.45">
      <c r="A408" s="12" t="s">
        <v>2728</v>
      </c>
      <c r="B408" s="13"/>
      <c r="C408" s="13"/>
      <c r="D408" s="111" t="s">
        <v>424</v>
      </c>
      <c r="E408" s="100"/>
      <c r="F408" s="101"/>
      <c r="G408" s="91"/>
      <c r="H408" s="102"/>
    </row>
    <row r="409" spans="1:8" x14ac:dyDescent="0.45">
      <c r="A409" s="103"/>
      <c r="B409" s="41">
        <v>1502000</v>
      </c>
      <c r="C409" s="43"/>
      <c r="D409" s="42" t="s">
        <v>18</v>
      </c>
      <c r="E409" s="43"/>
      <c r="F409" s="44"/>
      <c r="G409" s="43"/>
      <c r="H409" s="45"/>
    </row>
    <row r="410" spans="1:8" x14ac:dyDescent="0.45">
      <c r="A410" s="27"/>
      <c r="B410" s="26"/>
      <c r="C410" s="26">
        <v>3.1</v>
      </c>
      <c r="D410" s="27" t="s">
        <v>19</v>
      </c>
      <c r="E410" s="26"/>
      <c r="F410" s="26"/>
      <c r="G410" s="28"/>
      <c r="H410" s="104"/>
    </row>
    <row r="411" spans="1:8" x14ac:dyDescent="0.45">
      <c r="A411" s="22" t="s">
        <v>2729</v>
      </c>
      <c r="B411" s="23">
        <v>1502000</v>
      </c>
      <c r="C411" s="23" t="s">
        <v>21</v>
      </c>
      <c r="D411" s="29" t="s">
        <v>22</v>
      </c>
      <c r="E411" s="23">
        <v>12</v>
      </c>
      <c r="F411" s="23" t="s">
        <v>17</v>
      </c>
      <c r="G411" s="24"/>
      <c r="H411" s="24">
        <f>G411*E411</f>
        <v>0</v>
      </c>
    </row>
    <row r="412" spans="1:8" x14ac:dyDescent="0.45">
      <c r="A412" s="22" t="s">
        <v>2730</v>
      </c>
      <c r="B412" s="23">
        <v>1502000</v>
      </c>
      <c r="C412" s="23" t="s">
        <v>24</v>
      </c>
      <c r="D412" s="29" t="s">
        <v>25</v>
      </c>
      <c r="E412" s="23">
        <v>12</v>
      </c>
      <c r="F412" s="23" t="s">
        <v>17</v>
      </c>
      <c r="G412" s="24"/>
      <c r="H412" s="24">
        <f>G412*E412</f>
        <v>0</v>
      </c>
    </row>
    <row r="413" spans="1:8" x14ac:dyDescent="0.45">
      <c r="A413" s="22" t="s">
        <v>2731</v>
      </c>
      <c r="B413" s="23">
        <v>1502000</v>
      </c>
      <c r="C413" s="23" t="s">
        <v>27</v>
      </c>
      <c r="D413" s="29" t="s">
        <v>28</v>
      </c>
      <c r="E413" s="23">
        <v>12</v>
      </c>
      <c r="F413" s="23" t="s">
        <v>17</v>
      </c>
      <c r="G413" s="24"/>
      <c r="H413" s="24">
        <f>G413*E413</f>
        <v>0</v>
      </c>
    </row>
    <row r="414" spans="1:8" x14ac:dyDescent="0.45">
      <c r="A414" s="40"/>
      <c r="B414" s="41">
        <v>1503010</v>
      </c>
      <c r="C414" s="41"/>
      <c r="D414" s="42" t="s">
        <v>109</v>
      </c>
      <c r="E414" s="43"/>
      <c r="F414" s="44"/>
      <c r="G414" s="44"/>
      <c r="H414" s="45"/>
    </row>
    <row r="415" spans="1:8" x14ac:dyDescent="0.45">
      <c r="A415" s="22" t="s">
        <v>2732</v>
      </c>
      <c r="B415" s="33">
        <v>1503010</v>
      </c>
      <c r="C415" s="33">
        <v>3.1</v>
      </c>
      <c r="D415" s="36" t="s">
        <v>111</v>
      </c>
      <c r="E415" s="23">
        <v>12</v>
      </c>
      <c r="F415" s="23" t="s">
        <v>17</v>
      </c>
      <c r="G415" s="24"/>
      <c r="H415" s="24">
        <f>G415*E415</f>
        <v>0</v>
      </c>
    </row>
    <row r="416" spans="1:8" x14ac:dyDescent="0.45">
      <c r="A416" s="40"/>
      <c r="B416" s="43">
        <v>1503030</v>
      </c>
      <c r="C416" s="41"/>
      <c r="D416" s="42" t="s">
        <v>121</v>
      </c>
      <c r="E416" s="43"/>
      <c r="F416" s="44"/>
      <c r="G416" s="44"/>
      <c r="H416" s="45"/>
    </row>
    <row r="417" spans="1:8" x14ac:dyDescent="0.45">
      <c r="A417" s="22" t="s">
        <v>2733</v>
      </c>
      <c r="B417" s="33">
        <v>1503030</v>
      </c>
      <c r="C417" s="33" t="s">
        <v>123</v>
      </c>
      <c r="D417" s="36" t="s">
        <v>124</v>
      </c>
      <c r="E417" s="23">
        <v>12</v>
      </c>
      <c r="F417" s="23" t="s">
        <v>17</v>
      </c>
      <c r="G417" s="24"/>
      <c r="H417" s="24">
        <f>G417*E417</f>
        <v>0</v>
      </c>
    </row>
    <row r="418" spans="1:8" s="293" customFormat="1" x14ac:dyDescent="0.45">
      <c r="A418" s="287"/>
      <c r="B418" s="288">
        <v>1503050</v>
      </c>
      <c r="C418" s="288"/>
      <c r="D418" s="289" t="s">
        <v>5014</v>
      </c>
      <c r="E418" s="290"/>
      <c r="F418" s="291"/>
      <c r="G418" s="291"/>
      <c r="H418" s="292"/>
    </row>
    <row r="419" spans="1:8" s="293" customFormat="1" x14ac:dyDescent="0.45">
      <c r="A419" s="257" t="s">
        <v>5199</v>
      </c>
      <c r="B419" s="301">
        <v>1503050</v>
      </c>
      <c r="C419" s="301">
        <v>3.4</v>
      </c>
      <c r="D419" s="295" t="s">
        <v>135</v>
      </c>
      <c r="E419" s="301">
        <v>12</v>
      </c>
      <c r="F419" s="286" t="s">
        <v>17</v>
      </c>
      <c r="G419" s="302"/>
      <c r="H419" s="302">
        <f>G419*E419</f>
        <v>0</v>
      </c>
    </row>
    <row r="420" spans="1:8" x14ac:dyDescent="0.45">
      <c r="A420" s="58"/>
      <c r="B420" s="59"/>
      <c r="C420" s="59"/>
      <c r="D420" s="60" t="s">
        <v>430</v>
      </c>
      <c r="E420" s="59"/>
      <c r="F420" s="59"/>
      <c r="G420" s="59"/>
      <c r="H420" s="62">
        <f>SUM(H411:H417)</f>
        <v>0</v>
      </c>
    </row>
    <row r="421" spans="1:8" x14ac:dyDescent="0.45">
      <c r="A421" s="121"/>
      <c r="B421" s="122"/>
      <c r="C421" s="122"/>
      <c r="D421" s="123"/>
      <c r="E421" s="122"/>
      <c r="F421" s="124"/>
      <c r="G421" s="88"/>
      <c r="H421" s="110"/>
    </row>
    <row r="422" spans="1:8" x14ac:dyDescent="0.45">
      <c r="A422" s="12" t="s">
        <v>2734</v>
      </c>
      <c r="B422" s="13"/>
      <c r="C422" s="13"/>
      <c r="D422" s="12" t="s">
        <v>432</v>
      </c>
      <c r="E422" s="13"/>
      <c r="F422" s="13"/>
      <c r="G422" s="91"/>
      <c r="H422" s="102"/>
    </row>
    <row r="423" spans="1:8" x14ac:dyDescent="0.45">
      <c r="A423" s="103"/>
      <c r="B423" s="41">
        <v>1502000</v>
      </c>
      <c r="C423" s="43"/>
      <c r="D423" s="42" t="s">
        <v>18</v>
      </c>
      <c r="E423" s="43"/>
      <c r="F423" s="44"/>
      <c r="G423" s="43"/>
      <c r="H423" s="45"/>
    </row>
    <row r="424" spans="1:8" x14ac:dyDescent="0.45">
      <c r="A424" s="27"/>
      <c r="B424" s="26"/>
      <c r="C424" s="26">
        <v>3.1</v>
      </c>
      <c r="D424" s="27" t="s">
        <v>19</v>
      </c>
      <c r="E424" s="26"/>
      <c r="F424" s="26"/>
      <c r="G424" s="28"/>
      <c r="H424" s="104"/>
    </row>
    <row r="425" spans="1:8" x14ac:dyDescent="0.45">
      <c r="A425" s="22" t="s">
        <v>2735</v>
      </c>
      <c r="B425" s="23">
        <v>1502000</v>
      </c>
      <c r="C425" s="23" t="s">
        <v>21</v>
      </c>
      <c r="D425" s="29" t="s">
        <v>22</v>
      </c>
      <c r="E425" s="23">
        <v>12</v>
      </c>
      <c r="F425" s="23" t="s">
        <v>17</v>
      </c>
      <c r="G425" s="24"/>
      <c r="H425" s="24">
        <f>G425*E425</f>
        <v>0</v>
      </c>
    </row>
    <row r="426" spans="1:8" x14ac:dyDescent="0.45">
      <c r="A426" s="22" t="s">
        <v>2736</v>
      </c>
      <c r="B426" s="23">
        <v>1502000</v>
      </c>
      <c r="C426" s="23" t="s">
        <v>24</v>
      </c>
      <c r="D426" s="29" t="s">
        <v>25</v>
      </c>
      <c r="E426" s="23">
        <v>12</v>
      </c>
      <c r="F426" s="23" t="s">
        <v>17</v>
      </c>
      <c r="G426" s="24"/>
      <c r="H426" s="24">
        <f>G426*E426</f>
        <v>0</v>
      </c>
    </row>
    <row r="427" spans="1:8" x14ac:dyDescent="0.45">
      <c r="A427" s="22" t="s">
        <v>2737</v>
      </c>
      <c r="B427" s="23">
        <v>1502000</v>
      </c>
      <c r="C427" s="23" t="s">
        <v>27</v>
      </c>
      <c r="D427" s="29" t="s">
        <v>28</v>
      </c>
      <c r="E427" s="23">
        <v>12</v>
      </c>
      <c r="F427" s="23" t="s">
        <v>17</v>
      </c>
      <c r="G427" s="24"/>
      <c r="H427" s="24">
        <f>G427*E427</f>
        <v>0</v>
      </c>
    </row>
    <row r="428" spans="1:8" x14ac:dyDescent="0.45">
      <c r="A428" s="25"/>
      <c r="B428" s="26"/>
      <c r="C428" s="26">
        <v>3.1</v>
      </c>
      <c r="D428" s="27" t="s">
        <v>31</v>
      </c>
      <c r="E428" s="28"/>
      <c r="F428" s="28"/>
      <c r="G428" s="28"/>
      <c r="H428" s="28"/>
    </row>
    <row r="429" spans="1:8" x14ac:dyDescent="0.45">
      <c r="A429" s="22" t="s">
        <v>2738</v>
      </c>
      <c r="B429" s="23">
        <v>1502000</v>
      </c>
      <c r="C429" s="23" t="s">
        <v>39</v>
      </c>
      <c r="D429" s="29" t="s">
        <v>230</v>
      </c>
      <c r="E429" s="23">
        <v>12</v>
      </c>
      <c r="F429" s="23" t="s">
        <v>17</v>
      </c>
      <c r="G429" s="24"/>
      <c r="H429" s="24">
        <f>G429*E429</f>
        <v>0</v>
      </c>
    </row>
    <row r="430" spans="1:8" x14ac:dyDescent="0.45">
      <c r="A430" s="22" t="s">
        <v>2739</v>
      </c>
      <c r="B430" s="23">
        <v>1502000</v>
      </c>
      <c r="C430" s="23" t="s">
        <v>250</v>
      </c>
      <c r="D430" s="29" t="s">
        <v>379</v>
      </c>
      <c r="E430" s="23">
        <v>12</v>
      </c>
      <c r="F430" s="23" t="s">
        <v>17</v>
      </c>
      <c r="G430" s="24"/>
      <c r="H430" s="24">
        <f>G430*E430</f>
        <v>0</v>
      </c>
    </row>
    <row r="431" spans="1:8" x14ac:dyDescent="0.45">
      <c r="A431" s="22" t="s">
        <v>2740</v>
      </c>
      <c r="B431" s="23">
        <v>1502000</v>
      </c>
      <c r="C431" s="23" t="s">
        <v>54</v>
      </c>
      <c r="D431" s="29" t="s">
        <v>55</v>
      </c>
      <c r="E431" s="23">
        <v>12</v>
      </c>
      <c r="F431" s="23" t="s">
        <v>17</v>
      </c>
      <c r="G431" s="24"/>
      <c r="H431" s="24">
        <f>G431*E431</f>
        <v>0</v>
      </c>
    </row>
    <row r="432" spans="1:8" x14ac:dyDescent="0.45">
      <c r="A432" s="25"/>
      <c r="B432" s="26">
        <v>1502000</v>
      </c>
      <c r="C432" s="26">
        <v>3.4</v>
      </c>
      <c r="D432" s="27" t="s">
        <v>62</v>
      </c>
      <c r="E432" s="26"/>
      <c r="F432" s="26"/>
      <c r="G432" s="28"/>
      <c r="H432" s="104"/>
    </row>
    <row r="433" spans="1:8" x14ac:dyDescent="0.45">
      <c r="A433" s="22" t="s">
        <v>2741</v>
      </c>
      <c r="B433" s="23">
        <v>1502000</v>
      </c>
      <c r="C433" s="23" t="s">
        <v>64</v>
      </c>
      <c r="D433" s="106" t="s">
        <v>65</v>
      </c>
      <c r="E433" s="23">
        <v>12</v>
      </c>
      <c r="F433" s="23" t="s">
        <v>17</v>
      </c>
      <c r="G433" s="24"/>
      <c r="H433" s="24">
        <f>G433*E433</f>
        <v>0</v>
      </c>
    </row>
    <row r="434" spans="1:8" x14ac:dyDescent="0.45">
      <c r="A434" s="22" t="s">
        <v>2742</v>
      </c>
      <c r="B434" s="23">
        <v>1502000</v>
      </c>
      <c r="C434" s="23" t="s">
        <v>67</v>
      </c>
      <c r="D434" s="120" t="s">
        <v>68</v>
      </c>
      <c r="E434" s="23">
        <v>12</v>
      </c>
      <c r="F434" s="23" t="s">
        <v>17</v>
      </c>
      <c r="G434" s="24"/>
      <c r="H434" s="24">
        <f>G434*E434</f>
        <v>0</v>
      </c>
    </row>
    <row r="435" spans="1:8" x14ac:dyDescent="0.45">
      <c r="A435" s="22" t="s">
        <v>2743</v>
      </c>
      <c r="B435" s="23">
        <v>1502000</v>
      </c>
      <c r="C435" s="23" t="s">
        <v>70</v>
      </c>
      <c r="D435" s="106" t="s">
        <v>71</v>
      </c>
      <c r="E435" s="23">
        <v>12</v>
      </c>
      <c r="F435" s="23" t="s">
        <v>17</v>
      </c>
      <c r="G435" s="24"/>
      <c r="H435" s="24">
        <f>G435*E435</f>
        <v>0</v>
      </c>
    </row>
    <row r="436" spans="1:8" x14ac:dyDescent="0.45">
      <c r="A436" s="27"/>
      <c r="B436" s="125"/>
      <c r="C436" s="125"/>
      <c r="D436" s="27" t="s">
        <v>75</v>
      </c>
      <c r="E436" s="26"/>
      <c r="F436" s="26"/>
      <c r="G436" s="28"/>
      <c r="H436" s="104"/>
    </row>
    <row r="437" spans="1:8" x14ac:dyDescent="0.45">
      <c r="A437" s="22" t="s">
        <v>2744</v>
      </c>
      <c r="B437" s="23">
        <v>1502000</v>
      </c>
      <c r="C437" s="23" t="s">
        <v>80</v>
      </c>
      <c r="D437" s="30" t="s">
        <v>81</v>
      </c>
      <c r="E437" s="23">
        <v>12</v>
      </c>
      <c r="F437" s="23" t="s">
        <v>17</v>
      </c>
      <c r="G437" s="24"/>
      <c r="H437" s="24">
        <f>G437*E437</f>
        <v>0</v>
      </c>
    </row>
    <row r="438" spans="1:8" x14ac:dyDescent="0.45">
      <c r="A438" s="22" t="s">
        <v>2745</v>
      </c>
      <c r="B438" s="23">
        <v>1502000</v>
      </c>
      <c r="C438" s="23" t="s">
        <v>86</v>
      </c>
      <c r="D438" s="106" t="s">
        <v>87</v>
      </c>
      <c r="E438" s="23">
        <v>12</v>
      </c>
      <c r="F438" s="23" t="s">
        <v>17</v>
      </c>
      <c r="G438" s="24"/>
      <c r="H438" s="24">
        <f>G438*E438</f>
        <v>0</v>
      </c>
    </row>
    <row r="439" spans="1:8" x14ac:dyDescent="0.45">
      <c r="A439" s="40"/>
      <c r="B439" s="41">
        <v>1503010</v>
      </c>
      <c r="C439" s="41"/>
      <c r="D439" s="42" t="s">
        <v>109</v>
      </c>
      <c r="E439" s="43"/>
      <c r="F439" s="44"/>
      <c r="G439" s="44"/>
      <c r="H439" s="45"/>
    </row>
    <row r="440" spans="1:8" x14ac:dyDescent="0.45">
      <c r="A440" s="22" t="s">
        <v>2746</v>
      </c>
      <c r="B440" s="33">
        <v>1503010</v>
      </c>
      <c r="C440" s="33">
        <v>3.1</v>
      </c>
      <c r="D440" s="36" t="s">
        <v>111</v>
      </c>
      <c r="E440" s="23">
        <v>12</v>
      </c>
      <c r="F440" s="23" t="s">
        <v>17</v>
      </c>
      <c r="G440" s="24"/>
      <c r="H440" s="24">
        <f>G440*E440</f>
        <v>0</v>
      </c>
    </row>
    <row r="441" spans="1:8" x14ac:dyDescent="0.45">
      <c r="A441" s="40"/>
      <c r="B441" s="43">
        <v>1503020</v>
      </c>
      <c r="C441" s="41"/>
      <c r="D441" s="42" t="s">
        <v>114</v>
      </c>
      <c r="E441" s="43"/>
      <c r="F441" s="44"/>
      <c r="G441" s="44"/>
      <c r="H441" s="45"/>
    </row>
    <row r="442" spans="1:8" ht="13.45" customHeight="1" x14ac:dyDescent="0.45">
      <c r="A442" s="22" t="s">
        <v>2747</v>
      </c>
      <c r="B442" s="33">
        <v>1503020</v>
      </c>
      <c r="C442" s="33">
        <v>3.1</v>
      </c>
      <c r="D442" s="36" t="s">
        <v>116</v>
      </c>
      <c r="E442" s="23">
        <v>12</v>
      </c>
      <c r="F442" s="23" t="s">
        <v>17</v>
      </c>
      <c r="G442" s="24"/>
      <c r="H442" s="24">
        <f>G442*E442</f>
        <v>0</v>
      </c>
    </row>
    <row r="443" spans="1:8" x14ac:dyDescent="0.45">
      <c r="A443" s="22" t="s">
        <v>2748</v>
      </c>
      <c r="B443" s="33">
        <v>1503020</v>
      </c>
      <c r="C443" s="33">
        <v>3.2</v>
      </c>
      <c r="D443" s="36" t="s">
        <v>118</v>
      </c>
      <c r="E443" s="23">
        <v>12</v>
      </c>
      <c r="F443" s="23" t="s">
        <v>17</v>
      </c>
      <c r="G443" s="24"/>
      <c r="H443" s="24">
        <f>G443*E443</f>
        <v>0</v>
      </c>
    </row>
    <row r="444" spans="1:8" x14ac:dyDescent="0.45">
      <c r="A444" s="22" t="s">
        <v>2749</v>
      </c>
      <c r="B444" s="33">
        <v>1503020</v>
      </c>
      <c r="C444" s="33">
        <v>3.3</v>
      </c>
      <c r="D444" s="36" t="s">
        <v>120</v>
      </c>
      <c r="E444" s="23">
        <v>12</v>
      </c>
      <c r="F444" s="23" t="s">
        <v>17</v>
      </c>
      <c r="G444" s="24"/>
      <c r="H444" s="24">
        <f>G444*E444</f>
        <v>0</v>
      </c>
    </row>
    <row r="445" spans="1:8" x14ac:dyDescent="0.45">
      <c r="A445" s="40"/>
      <c r="B445" s="43">
        <v>1503030</v>
      </c>
      <c r="C445" s="41"/>
      <c r="D445" s="42" t="s">
        <v>121</v>
      </c>
      <c r="E445" s="43"/>
      <c r="F445" s="44"/>
      <c r="G445" s="44"/>
      <c r="H445" s="45"/>
    </row>
    <row r="446" spans="1:8" x14ac:dyDescent="0.45">
      <c r="A446" s="22" t="s">
        <v>2750</v>
      </c>
      <c r="B446" s="33">
        <v>1503030</v>
      </c>
      <c r="C446" s="33" t="s">
        <v>123</v>
      </c>
      <c r="D446" s="36" t="s">
        <v>124</v>
      </c>
      <c r="E446" s="23">
        <v>12</v>
      </c>
      <c r="F446" s="23" t="s">
        <v>17</v>
      </c>
      <c r="G446" s="24"/>
      <c r="H446" s="24">
        <f>G446*E446</f>
        <v>0</v>
      </c>
    </row>
    <row r="447" spans="1:8" x14ac:dyDescent="0.45">
      <c r="A447" s="58"/>
      <c r="B447" s="59"/>
      <c r="C447" s="59"/>
      <c r="D447" s="60" t="s">
        <v>449</v>
      </c>
      <c r="E447" s="59"/>
      <c r="F447" s="59"/>
      <c r="G447" s="59"/>
      <c r="H447" s="62">
        <f>SUM(H425:H446)</f>
        <v>0</v>
      </c>
    </row>
    <row r="448" spans="1:8" x14ac:dyDescent="0.45">
      <c r="A448" s="96"/>
      <c r="B448" s="97"/>
      <c r="C448" s="97"/>
      <c r="D448" s="116"/>
      <c r="E448" s="97"/>
      <c r="F448" s="97"/>
      <c r="G448" s="97"/>
      <c r="H448" s="99"/>
    </row>
    <row r="449" spans="1:8" x14ac:dyDescent="0.45">
      <c r="A449" s="12" t="s">
        <v>2751</v>
      </c>
      <c r="B449" s="13"/>
      <c r="C449" s="13"/>
      <c r="D449" s="12" t="s">
        <v>451</v>
      </c>
      <c r="E449" s="13"/>
      <c r="F449" s="13"/>
      <c r="G449" s="13"/>
      <c r="H449" s="102"/>
    </row>
    <row r="450" spans="1:8" x14ac:dyDescent="0.45">
      <c r="A450" s="368"/>
      <c r="B450" s="369">
        <v>1503010</v>
      </c>
      <c r="C450" s="369"/>
      <c r="D450" s="370" t="s">
        <v>109</v>
      </c>
      <c r="E450" s="282"/>
      <c r="F450" s="283"/>
      <c r="G450" s="283"/>
      <c r="H450" s="284"/>
    </row>
    <row r="451" spans="1:8" x14ac:dyDescent="0.45">
      <c r="A451" s="258" t="s">
        <v>5200</v>
      </c>
      <c r="B451" s="259">
        <v>1503010</v>
      </c>
      <c r="C451" s="259">
        <v>3.1</v>
      </c>
      <c r="D451" s="260" t="s">
        <v>111</v>
      </c>
      <c r="E451" s="261">
        <v>12</v>
      </c>
      <c r="F451" s="261" t="s">
        <v>17</v>
      </c>
      <c r="G451" s="262"/>
      <c r="H451" s="262">
        <f>G451*E451</f>
        <v>0</v>
      </c>
    </row>
    <row r="452" spans="1:8" x14ac:dyDescent="0.45">
      <c r="A452" s="40"/>
      <c r="B452" s="43">
        <v>1503020</v>
      </c>
      <c r="C452" s="41"/>
      <c r="D452" s="42" t="s">
        <v>114</v>
      </c>
      <c r="E452" s="43"/>
      <c r="F452" s="44"/>
      <c r="G452" s="44"/>
      <c r="H452" s="45"/>
    </row>
    <row r="453" spans="1:8" ht="13.45" customHeight="1" x14ac:dyDescent="0.45">
      <c r="A453" s="22" t="s">
        <v>5201</v>
      </c>
      <c r="B453" s="33">
        <v>1503020</v>
      </c>
      <c r="C453" s="33">
        <v>3.1</v>
      </c>
      <c r="D453" s="36" t="s">
        <v>116</v>
      </c>
      <c r="E453" s="23">
        <v>12</v>
      </c>
      <c r="F453" s="23" t="s">
        <v>17</v>
      </c>
      <c r="G453" s="24"/>
      <c r="H453" s="24">
        <f>G453*E453</f>
        <v>0</v>
      </c>
    </row>
    <row r="454" spans="1:8" x14ac:dyDescent="0.45">
      <c r="A454" s="22" t="s">
        <v>5202</v>
      </c>
      <c r="B454" s="33">
        <v>1503020</v>
      </c>
      <c r="C454" s="33">
        <v>3.3</v>
      </c>
      <c r="D454" s="36" t="s">
        <v>120</v>
      </c>
      <c r="E454" s="23">
        <v>12</v>
      </c>
      <c r="F454" s="23" t="s">
        <v>17</v>
      </c>
      <c r="G454" s="24"/>
      <c r="H454" s="24">
        <f>G454*E454</f>
        <v>0</v>
      </c>
    </row>
    <row r="455" spans="1:8" x14ac:dyDescent="0.45">
      <c r="A455" s="58"/>
      <c r="B455" s="59"/>
      <c r="C455" s="59"/>
      <c r="D455" s="60" t="s">
        <v>453</v>
      </c>
      <c r="E455" s="59"/>
      <c r="F455" s="59"/>
      <c r="G455" s="61"/>
      <c r="H455" s="62">
        <f>SUM(H451:H454)</f>
        <v>0</v>
      </c>
    </row>
    <row r="456" spans="1:8" s="389" customFormat="1" x14ac:dyDescent="0.45">
      <c r="A456" s="87"/>
      <c r="B456" s="88"/>
      <c r="C456" s="88"/>
      <c r="D456" s="89"/>
      <c r="E456" s="64"/>
      <c r="F456" s="64"/>
      <c r="G456" s="66"/>
      <c r="H456" s="66"/>
    </row>
    <row r="457" spans="1:8" s="389" customFormat="1" x14ac:dyDescent="0.45">
      <c r="A457" s="378" t="s">
        <v>5210</v>
      </c>
      <c r="B457" s="379"/>
      <c r="C457" s="380"/>
      <c r="D457" s="378" t="s">
        <v>5047</v>
      </c>
      <c r="E457" s="381"/>
      <c r="F457" s="381"/>
      <c r="G457" s="381"/>
      <c r="H457" s="381"/>
    </row>
    <row r="458" spans="1:8" s="389" customFormat="1" x14ac:dyDescent="0.4">
      <c r="A458" s="287"/>
      <c r="B458" s="382">
        <v>1502000</v>
      </c>
      <c r="C458" s="383"/>
      <c r="D458" s="384" t="s">
        <v>18</v>
      </c>
      <c r="E458" s="385"/>
      <c r="F458" s="385"/>
      <c r="G458" s="386"/>
      <c r="H458" s="386"/>
    </row>
    <row r="459" spans="1:8" s="389" customFormat="1" x14ac:dyDescent="0.45">
      <c r="A459" s="363"/>
      <c r="B459" s="373"/>
      <c r="C459" s="373">
        <v>3.6</v>
      </c>
      <c r="D459" s="374" t="s">
        <v>75</v>
      </c>
      <c r="E459" s="375"/>
      <c r="F459" s="375"/>
      <c r="G459" s="375"/>
      <c r="H459" s="375"/>
    </row>
    <row r="460" spans="1:8" s="389" customFormat="1" x14ac:dyDescent="0.45">
      <c r="A460" s="257" t="s">
        <v>5211</v>
      </c>
      <c r="B460" s="286">
        <v>1502000</v>
      </c>
      <c r="C460" s="301" t="s">
        <v>77</v>
      </c>
      <c r="D460" s="372" t="s">
        <v>78</v>
      </c>
      <c r="E460" s="286">
        <v>12</v>
      </c>
      <c r="F460" s="286" t="s">
        <v>17</v>
      </c>
      <c r="G460" s="302"/>
      <c r="H460" s="302">
        <f>G460*E460</f>
        <v>0</v>
      </c>
    </row>
    <row r="461" spans="1:8" s="389" customFormat="1" x14ac:dyDescent="0.45">
      <c r="A461" s="257" t="s">
        <v>5212</v>
      </c>
      <c r="B461" s="286">
        <v>1502000</v>
      </c>
      <c r="C461" s="301" t="s">
        <v>101</v>
      </c>
      <c r="D461" s="372" t="s">
        <v>102</v>
      </c>
      <c r="E461" s="286">
        <v>12</v>
      </c>
      <c r="F461" s="286" t="s">
        <v>17</v>
      </c>
      <c r="G461" s="302"/>
      <c r="H461" s="302">
        <f>G461*E461</f>
        <v>0</v>
      </c>
    </row>
    <row r="462" spans="1:8" s="389" customFormat="1" x14ac:dyDescent="0.45">
      <c r="A462" s="58"/>
      <c r="B462" s="59"/>
      <c r="C462" s="59"/>
      <c r="D462" s="387" t="s">
        <v>5048</v>
      </c>
      <c r="E462" s="59"/>
      <c r="F462" s="59"/>
      <c r="G462" s="61"/>
      <c r="H462" s="388">
        <f>SUM(H460:H461)</f>
        <v>0</v>
      </c>
    </row>
    <row r="463" spans="1:8" s="389" customFormat="1" x14ac:dyDescent="0.45">
      <c r="A463" s="87"/>
      <c r="B463" s="88"/>
      <c r="C463" s="88"/>
      <c r="D463" s="89"/>
      <c r="E463" s="64"/>
      <c r="F463" s="64"/>
      <c r="G463" s="66"/>
      <c r="H463" s="66"/>
    </row>
    <row r="464" spans="1:8" s="293" customFormat="1" x14ac:dyDescent="0.45">
      <c r="A464" s="378" t="s">
        <v>5213</v>
      </c>
      <c r="B464" s="380"/>
      <c r="C464" s="380"/>
      <c r="D464" s="378" t="s">
        <v>5050</v>
      </c>
      <c r="E464" s="381"/>
      <c r="F464" s="381"/>
      <c r="G464" s="381"/>
      <c r="H464" s="381"/>
    </row>
    <row r="465" spans="1:8" s="293" customFormat="1" x14ac:dyDescent="0.4">
      <c r="A465" s="287"/>
      <c r="B465" s="382">
        <v>1502000</v>
      </c>
      <c r="C465" s="383"/>
      <c r="D465" s="384" t="s">
        <v>18</v>
      </c>
      <c r="E465" s="290"/>
      <c r="F465" s="291"/>
      <c r="G465" s="291"/>
      <c r="H465" s="292"/>
    </row>
    <row r="466" spans="1:8" s="293" customFormat="1" x14ac:dyDescent="0.45">
      <c r="A466" s="363"/>
      <c r="B466" s="373"/>
      <c r="C466" s="373">
        <v>3.6</v>
      </c>
      <c r="D466" s="374" t="s">
        <v>75</v>
      </c>
      <c r="E466" s="375"/>
      <c r="F466" s="375"/>
      <c r="G466" s="375"/>
      <c r="H466" s="375"/>
    </row>
    <row r="467" spans="1:8" s="293" customFormat="1" x14ac:dyDescent="0.45">
      <c r="A467" s="257" t="s">
        <v>5214</v>
      </c>
      <c r="B467" s="286">
        <v>1502000</v>
      </c>
      <c r="C467" s="301" t="s">
        <v>77</v>
      </c>
      <c r="D467" s="372" t="s">
        <v>78</v>
      </c>
      <c r="E467" s="286">
        <v>12</v>
      </c>
      <c r="F467" s="286" t="s">
        <v>17</v>
      </c>
      <c r="G467" s="302"/>
      <c r="H467" s="302">
        <f>G467*E467</f>
        <v>0</v>
      </c>
    </row>
    <row r="468" spans="1:8" s="389" customFormat="1" x14ac:dyDescent="0.45">
      <c r="A468" s="58"/>
      <c r="B468" s="59"/>
      <c r="C468" s="59"/>
      <c r="D468" s="387" t="s">
        <v>5051</v>
      </c>
      <c r="E468" s="59"/>
      <c r="F468" s="59"/>
      <c r="G468" s="61"/>
      <c r="H468" s="388">
        <f>SUM(H466:H467)</f>
        <v>0</v>
      </c>
    </row>
    <row r="469" spans="1:8" s="389" customFormat="1" x14ac:dyDescent="0.45">
      <c r="B469" s="105"/>
      <c r="C469" s="105"/>
      <c r="D469" s="140"/>
      <c r="E469" s="105"/>
      <c r="F469" s="105"/>
      <c r="G469" s="141"/>
      <c r="H469" s="141"/>
    </row>
    <row r="470" spans="1:8" ht="7.5" customHeight="1" x14ac:dyDescent="0.45">
      <c r="A470" s="130"/>
      <c r="B470" s="131"/>
      <c r="C470" s="131"/>
      <c r="D470" s="132"/>
      <c r="E470" s="131"/>
      <c r="F470" s="133"/>
      <c r="G470" s="133"/>
      <c r="H470" s="134"/>
    </row>
    <row r="471" spans="1:8" s="139" customFormat="1" ht="15" x14ac:dyDescent="0.45">
      <c r="A471" s="135" t="s">
        <v>5209</v>
      </c>
      <c r="B471" s="136"/>
      <c r="C471" s="136"/>
      <c r="D471" s="137"/>
      <c r="E471" s="137"/>
      <c r="F471" s="137"/>
      <c r="G471" s="137"/>
      <c r="H471" s="138">
        <f>H455+H447+H420+H406+H396+H388+H345+H334+H303+H281+H272+H247+H242+H236+H216+H165+H150+H143+H136+H122+H97+H462+H468</f>
        <v>0</v>
      </c>
    </row>
  </sheetData>
  <mergeCells count="2354">
    <mergeCell ref="A9:H9"/>
    <mergeCell ref="A10:H10"/>
    <mergeCell ref="XER5:XEX5"/>
    <mergeCell ref="XEY5:XFB5"/>
    <mergeCell ref="A6:H6"/>
    <mergeCell ref="I6:N6"/>
    <mergeCell ref="A7:H7"/>
    <mergeCell ref="A8:H8"/>
    <mergeCell ref="XDB5:XDH5"/>
    <mergeCell ref="XDI5:XDO5"/>
    <mergeCell ref="XDP5:XDV5"/>
    <mergeCell ref="XDW5:XEC5"/>
    <mergeCell ref="XED5:XEJ5"/>
    <mergeCell ref="XEK5:XEQ5"/>
    <mergeCell ref="XBL5:XBR5"/>
    <mergeCell ref="XBS5:XBY5"/>
    <mergeCell ref="XBZ5:XCF5"/>
    <mergeCell ref="XCG5:XCM5"/>
    <mergeCell ref="XCN5:XCT5"/>
    <mergeCell ref="XCU5:XDA5"/>
    <mergeCell ref="WZV5:XAB5"/>
    <mergeCell ref="XAC5:XAI5"/>
    <mergeCell ref="XAJ5:XAP5"/>
    <mergeCell ref="XAQ5:XAW5"/>
    <mergeCell ref="XAX5:XBD5"/>
    <mergeCell ref="XBE5:XBK5"/>
    <mergeCell ref="WYF5:WYL5"/>
    <mergeCell ref="WYM5:WYS5"/>
    <mergeCell ref="WYT5:WYZ5"/>
    <mergeCell ref="WZA5:WZG5"/>
    <mergeCell ref="WZH5:WZN5"/>
    <mergeCell ref="WZO5:WZU5"/>
    <mergeCell ref="WWP5:WWV5"/>
    <mergeCell ref="WWW5:WXC5"/>
    <mergeCell ref="WXD5:WXJ5"/>
    <mergeCell ref="WXK5:WXQ5"/>
    <mergeCell ref="WXR5:WXX5"/>
    <mergeCell ref="WXY5:WYE5"/>
    <mergeCell ref="WUZ5:WVF5"/>
    <mergeCell ref="WVG5:WVM5"/>
    <mergeCell ref="WVN5:WVT5"/>
    <mergeCell ref="WVU5:WWA5"/>
    <mergeCell ref="WWB5:WWH5"/>
    <mergeCell ref="WWI5:WWO5"/>
    <mergeCell ref="WTJ5:WTP5"/>
    <mergeCell ref="WTQ5:WTW5"/>
    <mergeCell ref="WTX5:WUD5"/>
    <mergeCell ref="WUE5:WUK5"/>
    <mergeCell ref="WUL5:WUR5"/>
    <mergeCell ref="WUS5:WUY5"/>
    <mergeCell ref="WRT5:WRZ5"/>
    <mergeCell ref="WSA5:WSG5"/>
    <mergeCell ref="WSH5:WSN5"/>
    <mergeCell ref="WSO5:WSU5"/>
    <mergeCell ref="WSV5:WTB5"/>
    <mergeCell ref="WTC5:WTI5"/>
    <mergeCell ref="WQD5:WQJ5"/>
    <mergeCell ref="WQK5:WQQ5"/>
    <mergeCell ref="WQR5:WQX5"/>
    <mergeCell ref="WQY5:WRE5"/>
    <mergeCell ref="WRF5:WRL5"/>
    <mergeCell ref="WRM5:WRS5"/>
    <mergeCell ref="WON5:WOT5"/>
    <mergeCell ref="WOU5:WPA5"/>
    <mergeCell ref="WPB5:WPH5"/>
    <mergeCell ref="WPI5:WPO5"/>
    <mergeCell ref="WPP5:WPV5"/>
    <mergeCell ref="WPW5:WQC5"/>
    <mergeCell ref="WMX5:WND5"/>
    <mergeCell ref="WNE5:WNK5"/>
    <mergeCell ref="WNL5:WNR5"/>
    <mergeCell ref="WNS5:WNY5"/>
    <mergeCell ref="WNZ5:WOF5"/>
    <mergeCell ref="WOG5:WOM5"/>
    <mergeCell ref="WLH5:WLN5"/>
    <mergeCell ref="WLO5:WLU5"/>
    <mergeCell ref="WLV5:WMB5"/>
    <mergeCell ref="WMC5:WMI5"/>
    <mergeCell ref="WMJ5:WMP5"/>
    <mergeCell ref="WMQ5:WMW5"/>
    <mergeCell ref="WJR5:WJX5"/>
    <mergeCell ref="WJY5:WKE5"/>
    <mergeCell ref="WKF5:WKL5"/>
    <mergeCell ref="WKM5:WKS5"/>
    <mergeCell ref="WKT5:WKZ5"/>
    <mergeCell ref="WLA5:WLG5"/>
    <mergeCell ref="WIB5:WIH5"/>
    <mergeCell ref="WII5:WIO5"/>
    <mergeCell ref="WIP5:WIV5"/>
    <mergeCell ref="WIW5:WJC5"/>
    <mergeCell ref="WJD5:WJJ5"/>
    <mergeCell ref="WJK5:WJQ5"/>
    <mergeCell ref="WGL5:WGR5"/>
    <mergeCell ref="WGS5:WGY5"/>
    <mergeCell ref="WGZ5:WHF5"/>
    <mergeCell ref="WHG5:WHM5"/>
    <mergeCell ref="WHN5:WHT5"/>
    <mergeCell ref="WHU5:WIA5"/>
    <mergeCell ref="WEV5:WFB5"/>
    <mergeCell ref="WFC5:WFI5"/>
    <mergeCell ref="WFJ5:WFP5"/>
    <mergeCell ref="WFQ5:WFW5"/>
    <mergeCell ref="WFX5:WGD5"/>
    <mergeCell ref="WGE5:WGK5"/>
    <mergeCell ref="WDF5:WDL5"/>
    <mergeCell ref="WDM5:WDS5"/>
    <mergeCell ref="WDT5:WDZ5"/>
    <mergeCell ref="WEA5:WEG5"/>
    <mergeCell ref="WEH5:WEN5"/>
    <mergeCell ref="WEO5:WEU5"/>
    <mergeCell ref="WBP5:WBV5"/>
    <mergeCell ref="WBW5:WCC5"/>
    <mergeCell ref="WCD5:WCJ5"/>
    <mergeCell ref="WCK5:WCQ5"/>
    <mergeCell ref="WCR5:WCX5"/>
    <mergeCell ref="WCY5:WDE5"/>
    <mergeCell ref="VZZ5:WAF5"/>
    <mergeCell ref="WAG5:WAM5"/>
    <mergeCell ref="WAN5:WAT5"/>
    <mergeCell ref="WAU5:WBA5"/>
    <mergeCell ref="WBB5:WBH5"/>
    <mergeCell ref="WBI5:WBO5"/>
    <mergeCell ref="VYJ5:VYP5"/>
    <mergeCell ref="VYQ5:VYW5"/>
    <mergeCell ref="VYX5:VZD5"/>
    <mergeCell ref="VZE5:VZK5"/>
    <mergeCell ref="VZL5:VZR5"/>
    <mergeCell ref="VZS5:VZY5"/>
    <mergeCell ref="VWT5:VWZ5"/>
    <mergeCell ref="VXA5:VXG5"/>
    <mergeCell ref="VXH5:VXN5"/>
    <mergeCell ref="VXO5:VXU5"/>
    <mergeCell ref="VXV5:VYB5"/>
    <mergeCell ref="VYC5:VYI5"/>
    <mergeCell ref="VVD5:VVJ5"/>
    <mergeCell ref="VVK5:VVQ5"/>
    <mergeCell ref="VVR5:VVX5"/>
    <mergeCell ref="VVY5:VWE5"/>
    <mergeCell ref="VWF5:VWL5"/>
    <mergeCell ref="VWM5:VWS5"/>
    <mergeCell ref="VTN5:VTT5"/>
    <mergeCell ref="VTU5:VUA5"/>
    <mergeCell ref="VUB5:VUH5"/>
    <mergeCell ref="VUI5:VUO5"/>
    <mergeCell ref="VUP5:VUV5"/>
    <mergeCell ref="VUW5:VVC5"/>
    <mergeCell ref="VRX5:VSD5"/>
    <mergeCell ref="VSE5:VSK5"/>
    <mergeCell ref="VSL5:VSR5"/>
    <mergeCell ref="VSS5:VSY5"/>
    <mergeCell ref="VSZ5:VTF5"/>
    <mergeCell ref="VTG5:VTM5"/>
    <mergeCell ref="VQH5:VQN5"/>
    <mergeCell ref="VQO5:VQU5"/>
    <mergeCell ref="VQV5:VRB5"/>
    <mergeCell ref="VRC5:VRI5"/>
    <mergeCell ref="VRJ5:VRP5"/>
    <mergeCell ref="VRQ5:VRW5"/>
    <mergeCell ref="VOR5:VOX5"/>
    <mergeCell ref="VOY5:VPE5"/>
    <mergeCell ref="VPF5:VPL5"/>
    <mergeCell ref="VPM5:VPS5"/>
    <mergeCell ref="VPT5:VPZ5"/>
    <mergeCell ref="VQA5:VQG5"/>
    <mergeCell ref="VNB5:VNH5"/>
    <mergeCell ref="VNI5:VNO5"/>
    <mergeCell ref="VNP5:VNV5"/>
    <mergeCell ref="VNW5:VOC5"/>
    <mergeCell ref="VOD5:VOJ5"/>
    <mergeCell ref="VOK5:VOQ5"/>
    <mergeCell ref="VLL5:VLR5"/>
    <mergeCell ref="VLS5:VLY5"/>
    <mergeCell ref="VLZ5:VMF5"/>
    <mergeCell ref="VMG5:VMM5"/>
    <mergeCell ref="VMN5:VMT5"/>
    <mergeCell ref="VMU5:VNA5"/>
    <mergeCell ref="VJV5:VKB5"/>
    <mergeCell ref="VKC5:VKI5"/>
    <mergeCell ref="VKJ5:VKP5"/>
    <mergeCell ref="VKQ5:VKW5"/>
    <mergeCell ref="VKX5:VLD5"/>
    <mergeCell ref="VLE5:VLK5"/>
    <mergeCell ref="VIF5:VIL5"/>
    <mergeCell ref="VIM5:VIS5"/>
    <mergeCell ref="VIT5:VIZ5"/>
    <mergeCell ref="VJA5:VJG5"/>
    <mergeCell ref="VJH5:VJN5"/>
    <mergeCell ref="VJO5:VJU5"/>
    <mergeCell ref="VGP5:VGV5"/>
    <mergeCell ref="VGW5:VHC5"/>
    <mergeCell ref="VHD5:VHJ5"/>
    <mergeCell ref="VHK5:VHQ5"/>
    <mergeCell ref="VHR5:VHX5"/>
    <mergeCell ref="VHY5:VIE5"/>
    <mergeCell ref="VEZ5:VFF5"/>
    <mergeCell ref="VFG5:VFM5"/>
    <mergeCell ref="VFN5:VFT5"/>
    <mergeCell ref="VFU5:VGA5"/>
    <mergeCell ref="VGB5:VGH5"/>
    <mergeCell ref="VGI5:VGO5"/>
    <mergeCell ref="VDJ5:VDP5"/>
    <mergeCell ref="VDQ5:VDW5"/>
    <mergeCell ref="VDX5:VED5"/>
    <mergeCell ref="VEE5:VEK5"/>
    <mergeCell ref="VEL5:VER5"/>
    <mergeCell ref="VES5:VEY5"/>
    <mergeCell ref="VBT5:VBZ5"/>
    <mergeCell ref="VCA5:VCG5"/>
    <mergeCell ref="VCH5:VCN5"/>
    <mergeCell ref="VCO5:VCU5"/>
    <mergeCell ref="VCV5:VDB5"/>
    <mergeCell ref="VDC5:VDI5"/>
    <mergeCell ref="VAD5:VAJ5"/>
    <mergeCell ref="VAK5:VAQ5"/>
    <mergeCell ref="VAR5:VAX5"/>
    <mergeCell ref="VAY5:VBE5"/>
    <mergeCell ref="VBF5:VBL5"/>
    <mergeCell ref="VBM5:VBS5"/>
    <mergeCell ref="UYN5:UYT5"/>
    <mergeCell ref="UYU5:UZA5"/>
    <mergeCell ref="UZB5:UZH5"/>
    <mergeCell ref="UZI5:UZO5"/>
    <mergeCell ref="UZP5:UZV5"/>
    <mergeCell ref="UZW5:VAC5"/>
    <mergeCell ref="UWX5:UXD5"/>
    <mergeCell ref="UXE5:UXK5"/>
    <mergeCell ref="UXL5:UXR5"/>
    <mergeCell ref="UXS5:UXY5"/>
    <mergeCell ref="UXZ5:UYF5"/>
    <mergeCell ref="UYG5:UYM5"/>
    <mergeCell ref="UVH5:UVN5"/>
    <mergeCell ref="UVO5:UVU5"/>
    <mergeCell ref="UVV5:UWB5"/>
    <mergeCell ref="UWC5:UWI5"/>
    <mergeCell ref="UWJ5:UWP5"/>
    <mergeCell ref="UWQ5:UWW5"/>
    <mergeCell ref="UTR5:UTX5"/>
    <mergeCell ref="UTY5:UUE5"/>
    <mergeCell ref="UUF5:UUL5"/>
    <mergeCell ref="UUM5:UUS5"/>
    <mergeCell ref="UUT5:UUZ5"/>
    <mergeCell ref="UVA5:UVG5"/>
    <mergeCell ref="USB5:USH5"/>
    <mergeCell ref="USI5:USO5"/>
    <mergeCell ref="USP5:USV5"/>
    <mergeCell ref="USW5:UTC5"/>
    <mergeCell ref="UTD5:UTJ5"/>
    <mergeCell ref="UTK5:UTQ5"/>
    <mergeCell ref="UQL5:UQR5"/>
    <mergeCell ref="UQS5:UQY5"/>
    <mergeCell ref="UQZ5:URF5"/>
    <mergeCell ref="URG5:URM5"/>
    <mergeCell ref="URN5:URT5"/>
    <mergeCell ref="URU5:USA5"/>
    <mergeCell ref="UOV5:UPB5"/>
    <mergeCell ref="UPC5:UPI5"/>
    <mergeCell ref="UPJ5:UPP5"/>
    <mergeCell ref="UPQ5:UPW5"/>
    <mergeCell ref="UPX5:UQD5"/>
    <mergeCell ref="UQE5:UQK5"/>
    <mergeCell ref="UNF5:UNL5"/>
    <mergeCell ref="UNM5:UNS5"/>
    <mergeCell ref="UNT5:UNZ5"/>
    <mergeCell ref="UOA5:UOG5"/>
    <mergeCell ref="UOH5:UON5"/>
    <mergeCell ref="UOO5:UOU5"/>
    <mergeCell ref="ULP5:ULV5"/>
    <mergeCell ref="ULW5:UMC5"/>
    <mergeCell ref="UMD5:UMJ5"/>
    <mergeCell ref="UMK5:UMQ5"/>
    <mergeCell ref="UMR5:UMX5"/>
    <mergeCell ref="UMY5:UNE5"/>
    <mergeCell ref="UJZ5:UKF5"/>
    <mergeCell ref="UKG5:UKM5"/>
    <mergeCell ref="UKN5:UKT5"/>
    <mergeCell ref="UKU5:ULA5"/>
    <mergeCell ref="ULB5:ULH5"/>
    <mergeCell ref="ULI5:ULO5"/>
    <mergeCell ref="UIJ5:UIP5"/>
    <mergeCell ref="UIQ5:UIW5"/>
    <mergeCell ref="UIX5:UJD5"/>
    <mergeCell ref="UJE5:UJK5"/>
    <mergeCell ref="UJL5:UJR5"/>
    <mergeCell ref="UJS5:UJY5"/>
    <mergeCell ref="UGT5:UGZ5"/>
    <mergeCell ref="UHA5:UHG5"/>
    <mergeCell ref="UHH5:UHN5"/>
    <mergeCell ref="UHO5:UHU5"/>
    <mergeCell ref="UHV5:UIB5"/>
    <mergeCell ref="UIC5:UII5"/>
    <mergeCell ref="UFD5:UFJ5"/>
    <mergeCell ref="UFK5:UFQ5"/>
    <mergeCell ref="UFR5:UFX5"/>
    <mergeCell ref="UFY5:UGE5"/>
    <mergeCell ref="UGF5:UGL5"/>
    <mergeCell ref="UGM5:UGS5"/>
    <mergeCell ref="UDN5:UDT5"/>
    <mergeCell ref="UDU5:UEA5"/>
    <mergeCell ref="UEB5:UEH5"/>
    <mergeCell ref="UEI5:UEO5"/>
    <mergeCell ref="UEP5:UEV5"/>
    <mergeCell ref="UEW5:UFC5"/>
    <mergeCell ref="UBX5:UCD5"/>
    <mergeCell ref="UCE5:UCK5"/>
    <mergeCell ref="UCL5:UCR5"/>
    <mergeCell ref="UCS5:UCY5"/>
    <mergeCell ref="UCZ5:UDF5"/>
    <mergeCell ref="UDG5:UDM5"/>
    <mergeCell ref="UAH5:UAN5"/>
    <mergeCell ref="UAO5:UAU5"/>
    <mergeCell ref="UAV5:UBB5"/>
    <mergeCell ref="UBC5:UBI5"/>
    <mergeCell ref="UBJ5:UBP5"/>
    <mergeCell ref="UBQ5:UBW5"/>
    <mergeCell ref="TYR5:TYX5"/>
    <mergeCell ref="TYY5:TZE5"/>
    <mergeCell ref="TZF5:TZL5"/>
    <mergeCell ref="TZM5:TZS5"/>
    <mergeCell ref="TZT5:TZZ5"/>
    <mergeCell ref="UAA5:UAG5"/>
    <mergeCell ref="TXB5:TXH5"/>
    <mergeCell ref="TXI5:TXO5"/>
    <mergeCell ref="TXP5:TXV5"/>
    <mergeCell ref="TXW5:TYC5"/>
    <mergeCell ref="TYD5:TYJ5"/>
    <mergeCell ref="TYK5:TYQ5"/>
    <mergeCell ref="TVL5:TVR5"/>
    <mergeCell ref="TVS5:TVY5"/>
    <mergeCell ref="TVZ5:TWF5"/>
    <mergeCell ref="TWG5:TWM5"/>
    <mergeCell ref="TWN5:TWT5"/>
    <mergeCell ref="TWU5:TXA5"/>
    <mergeCell ref="TTV5:TUB5"/>
    <mergeCell ref="TUC5:TUI5"/>
    <mergeCell ref="TUJ5:TUP5"/>
    <mergeCell ref="TUQ5:TUW5"/>
    <mergeCell ref="TUX5:TVD5"/>
    <mergeCell ref="TVE5:TVK5"/>
    <mergeCell ref="TSF5:TSL5"/>
    <mergeCell ref="TSM5:TSS5"/>
    <mergeCell ref="TST5:TSZ5"/>
    <mergeCell ref="TTA5:TTG5"/>
    <mergeCell ref="TTH5:TTN5"/>
    <mergeCell ref="TTO5:TTU5"/>
    <mergeCell ref="TQP5:TQV5"/>
    <mergeCell ref="TQW5:TRC5"/>
    <mergeCell ref="TRD5:TRJ5"/>
    <mergeCell ref="TRK5:TRQ5"/>
    <mergeCell ref="TRR5:TRX5"/>
    <mergeCell ref="TRY5:TSE5"/>
    <mergeCell ref="TOZ5:TPF5"/>
    <mergeCell ref="TPG5:TPM5"/>
    <mergeCell ref="TPN5:TPT5"/>
    <mergeCell ref="TPU5:TQA5"/>
    <mergeCell ref="TQB5:TQH5"/>
    <mergeCell ref="TQI5:TQO5"/>
    <mergeCell ref="TNJ5:TNP5"/>
    <mergeCell ref="TNQ5:TNW5"/>
    <mergeCell ref="TNX5:TOD5"/>
    <mergeCell ref="TOE5:TOK5"/>
    <mergeCell ref="TOL5:TOR5"/>
    <mergeCell ref="TOS5:TOY5"/>
    <mergeCell ref="TLT5:TLZ5"/>
    <mergeCell ref="TMA5:TMG5"/>
    <mergeCell ref="TMH5:TMN5"/>
    <mergeCell ref="TMO5:TMU5"/>
    <mergeCell ref="TMV5:TNB5"/>
    <mergeCell ref="TNC5:TNI5"/>
    <mergeCell ref="TKD5:TKJ5"/>
    <mergeCell ref="TKK5:TKQ5"/>
    <mergeCell ref="TKR5:TKX5"/>
    <mergeCell ref="TKY5:TLE5"/>
    <mergeCell ref="TLF5:TLL5"/>
    <mergeCell ref="TLM5:TLS5"/>
    <mergeCell ref="TIN5:TIT5"/>
    <mergeCell ref="TIU5:TJA5"/>
    <mergeCell ref="TJB5:TJH5"/>
    <mergeCell ref="TJI5:TJO5"/>
    <mergeCell ref="TJP5:TJV5"/>
    <mergeCell ref="TJW5:TKC5"/>
    <mergeCell ref="TGX5:THD5"/>
    <mergeCell ref="THE5:THK5"/>
    <mergeCell ref="THL5:THR5"/>
    <mergeCell ref="THS5:THY5"/>
    <mergeCell ref="THZ5:TIF5"/>
    <mergeCell ref="TIG5:TIM5"/>
    <mergeCell ref="TFH5:TFN5"/>
    <mergeCell ref="TFO5:TFU5"/>
    <mergeCell ref="TFV5:TGB5"/>
    <mergeCell ref="TGC5:TGI5"/>
    <mergeCell ref="TGJ5:TGP5"/>
    <mergeCell ref="TGQ5:TGW5"/>
    <mergeCell ref="TDR5:TDX5"/>
    <mergeCell ref="TDY5:TEE5"/>
    <mergeCell ref="TEF5:TEL5"/>
    <mergeCell ref="TEM5:TES5"/>
    <mergeCell ref="TET5:TEZ5"/>
    <mergeCell ref="TFA5:TFG5"/>
    <mergeCell ref="TCB5:TCH5"/>
    <mergeCell ref="TCI5:TCO5"/>
    <mergeCell ref="TCP5:TCV5"/>
    <mergeCell ref="TCW5:TDC5"/>
    <mergeCell ref="TDD5:TDJ5"/>
    <mergeCell ref="TDK5:TDQ5"/>
    <mergeCell ref="TAL5:TAR5"/>
    <mergeCell ref="TAS5:TAY5"/>
    <mergeCell ref="TAZ5:TBF5"/>
    <mergeCell ref="TBG5:TBM5"/>
    <mergeCell ref="TBN5:TBT5"/>
    <mergeCell ref="TBU5:TCA5"/>
    <mergeCell ref="SYV5:SZB5"/>
    <mergeCell ref="SZC5:SZI5"/>
    <mergeCell ref="SZJ5:SZP5"/>
    <mergeCell ref="SZQ5:SZW5"/>
    <mergeCell ref="SZX5:TAD5"/>
    <mergeCell ref="TAE5:TAK5"/>
    <mergeCell ref="SXF5:SXL5"/>
    <mergeCell ref="SXM5:SXS5"/>
    <mergeCell ref="SXT5:SXZ5"/>
    <mergeCell ref="SYA5:SYG5"/>
    <mergeCell ref="SYH5:SYN5"/>
    <mergeCell ref="SYO5:SYU5"/>
    <mergeCell ref="SVP5:SVV5"/>
    <mergeCell ref="SVW5:SWC5"/>
    <mergeCell ref="SWD5:SWJ5"/>
    <mergeCell ref="SWK5:SWQ5"/>
    <mergeCell ref="SWR5:SWX5"/>
    <mergeCell ref="SWY5:SXE5"/>
    <mergeCell ref="STZ5:SUF5"/>
    <mergeCell ref="SUG5:SUM5"/>
    <mergeCell ref="SUN5:SUT5"/>
    <mergeCell ref="SUU5:SVA5"/>
    <mergeCell ref="SVB5:SVH5"/>
    <mergeCell ref="SVI5:SVO5"/>
    <mergeCell ref="SSJ5:SSP5"/>
    <mergeCell ref="SSQ5:SSW5"/>
    <mergeCell ref="SSX5:STD5"/>
    <mergeCell ref="STE5:STK5"/>
    <mergeCell ref="STL5:STR5"/>
    <mergeCell ref="STS5:STY5"/>
    <mergeCell ref="SQT5:SQZ5"/>
    <mergeCell ref="SRA5:SRG5"/>
    <mergeCell ref="SRH5:SRN5"/>
    <mergeCell ref="SRO5:SRU5"/>
    <mergeCell ref="SRV5:SSB5"/>
    <mergeCell ref="SSC5:SSI5"/>
    <mergeCell ref="SPD5:SPJ5"/>
    <mergeCell ref="SPK5:SPQ5"/>
    <mergeCell ref="SPR5:SPX5"/>
    <mergeCell ref="SPY5:SQE5"/>
    <mergeCell ref="SQF5:SQL5"/>
    <mergeCell ref="SQM5:SQS5"/>
    <mergeCell ref="SNN5:SNT5"/>
    <mergeCell ref="SNU5:SOA5"/>
    <mergeCell ref="SOB5:SOH5"/>
    <mergeCell ref="SOI5:SOO5"/>
    <mergeCell ref="SOP5:SOV5"/>
    <mergeCell ref="SOW5:SPC5"/>
    <mergeCell ref="SLX5:SMD5"/>
    <mergeCell ref="SME5:SMK5"/>
    <mergeCell ref="SML5:SMR5"/>
    <mergeCell ref="SMS5:SMY5"/>
    <mergeCell ref="SMZ5:SNF5"/>
    <mergeCell ref="SNG5:SNM5"/>
    <mergeCell ref="SKH5:SKN5"/>
    <mergeCell ref="SKO5:SKU5"/>
    <mergeCell ref="SKV5:SLB5"/>
    <mergeCell ref="SLC5:SLI5"/>
    <mergeCell ref="SLJ5:SLP5"/>
    <mergeCell ref="SLQ5:SLW5"/>
    <mergeCell ref="SIR5:SIX5"/>
    <mergeCell ref="SIY5:SJE5"/>
    <mergeCell ref="SJF5:SJL5"/>
    <mergeCell ref="SJM5:SJS5"/>
    <mergeCell ref="SJT5:SJZ5"/>
    <mergeCell ref="SKA5:SKG5"/>
    <mergeCell ref="SHB5:SHH5"/>
    <mergeCell ref="SHI5:SHO5"/>
    <mergeCell ref="SHP5:SHV5"/>
    <mergeCell ref="SHW5:SIC5"/>
    <mergeCell ref="SID5:SIJ5"/>
    <mergeCell ref="SIK5:SIQ5"/>
    <mergeCell ref="SFL5:SFR5"/>
    <mergeCell ref="SFS5:SFY5"/>
    <mergeCell ref="SFZ5:SGF5"/>
    <mergeCell ref="SGG5:SGM5"/>
    <mergeCell ref="SGN5:SGT5"/>
    <mergeCell ref="SGU5:SHA5"/>
    <mergeCell ref="SDV5:SEB5"/>
    <mergeCell ref="SEC5:SEI5"/>
    <mergeCell ref="SEJ5:SEP5"/>
    <mergeCell ref="SEQ5:SEW5"/>
    <mergeCell ref="SEX5:SFD5"/>
    <mergeCell ref="SFE5:SFK5"/>
    <mergeCell ref="SCF5:SCL5"/>
    <mergeCell ref="SCM5:SCS5"/>
    <mergeCell ref="SCT5:SCZ5"/>
    <mergeCell ref="SDA5:SDG5"/>
    <mergeCell ref="SDH5:SDN5"/>
    <mergeCell ref="SDO5:SDU5"/>
    <mergeCell ref="SAP5:SAV5"/>
    <mergeCell ref="SAW5:SBC5"/>
    <mergeCell ref="SBD5:SBJ5"/>
    <mergeCell ref="SBK5:SBQ5"/>
    <mergeCell ref="SBR5:SBX5"/>
    <mergeCell ref="SBY5:SCE5"/>
    <mergeCell ref="RYZ5:RZF5"/>
    <mergeCell ref="RZG5:RZM5"/>
    <mergeCell ref="RZN5:RZT5"/>
    <mergeCell ref="RZU5:SAA5"/>
    <mergeCell ref="SAB5:SAH5"/>
    <mergeCell ref="SAI5:SAO5"/>
    <mergeCell ref="RXJ5:RXP5"/>
    <mergeCell ref="RXQ5:RXW5"/>
    <mergeCell ref="RXX5:RYD5"/>
    <mergeCell ref="RYE5:RYK5"/>
    <mergeCell ref="RYL5:RYR5"/>
    <mergeCell ref="RYS5:RYY5"/>
    <mergeCell ref="RVT5:RVZ5"/>
    <mergeCell ref="RWA5:RWG5"/>
    <mergeCell ref="RWH5:RWN5"/>
    <mergeCell ref="RWO5:RWU5"/>
    <mergeCell ref="RWV5:RXB5"/>
    <mergeCell ref="RXC5:RXI5"/>
    <mergeCell ref="RUD5:RUJ5"/>
    <mergeCell ref="RUK5:RUQ5"/>
    <mergeCell ref="RUR5:RUX5"/>
    <mergeCell ref="RUY5:RVE5"/>
    <mergeCell ref="RVF5:RVL5"/>
    <mergeCell ref="RVM5:RVS5"/>
    <mergeCell ref="RSN5:RST5"/>
    <mergeCell ref="RSU5:RTA5"/>
    <mergeCell ref="RTB5:RTH5"/>
    <mergeCell ref="RTI5:RTO5"/>
    <mergeCell ref="RTP5:RTV5"/>
    <mergeCell ref="RTW5:RUC5"/>
    <mergeCell ref="RQX5:RRD5"/>
    <mergeCell ref="RRE5:RRK5"/>
    <mergeCell ref="RRL5:RRR5"/>
    <mergeCell ref="RRS5:RRY5"/>
    <mergeCell ref="RRZ5:RSF5"/>
    <mergeCell ref="RSG5:RSM5"/>
    <mergeCell ref="RPH5:RPN5"/>
    <mergeCell ref="RPO5:RPU5"/>
    <mergeCell ref="RPV5:RQB5"/>
    <mergeCell ref="RQC5:RQI5"/>
    <mergeCell ref="RQJ5:RQP5"/>
    <mergeCell ref="RQQ5:RQW5"/>
    <mergeCell ref="RNR5:RNX5"/>
    <mergeCell ref="RNY5:ROE5"/>
    <mergeCell ref="ROF5:ROL5"/>
    <mergeCell ref="ROM5:ROS5"/>
    <mergeCell ref="ROT5:ROZ5"/>
    <mergeCell ref="RPA5:RPG5"/>
    <mergeCell ref="RMB5:RMH5"/>
    <mergeCell ref="RMI5:RMO5"/>
    <mergeCell ref="RMP5:RMV5"/>
    <mergeCell ref="RMW5:RNC5"/>
    <mergeCell ref="RND5:RNJ5"/>
    <mergeCell ref="RNK5:RNQ5"/>
    <mergeCell ref="RKL5:RKR5"/>
    <mergeCell ref="RKS5:RKY5"/>
    <mergeCell ref="RKZ5:RLF5"/>
    <mergeCell ref="RLG5:RLM5"/>
    <mergeCell ref="RLN5:RLT5"/>
    <mergeCell ref="RLU5:RMA5"/>
    <mergeCell ref="RIV5:RJB5"/>
    <mergeCell ref="RJC5:RJI5"/>
    <mergeCell ref="RJJ5:RJP5"/>
    <mergeCell ref="RJQ5:RJW5"/>
    <mergeCell ref="RJX5:RKD5"/>
    <mergeCell ref="RKE5:RKK5"/>
    <mergeCell ref="RHF5:RHL5"/>
    <mergeCell ref="RHM5:RHS5"/>
    <mergeCell ref="RHT5:RHZ5"/>
    <mergeCell ref="RIA5:RIG5"/>
    <mergeCell ref="RIH5:RIN5"/>
    <mergeCell ref="RIO5:RIU5"/>
    <mergeCell ref="RFP5:RFV5"/>
    <mergeCell ref="RFW5:RGC5"/>
    <mergeCell ref="RGD5:RGJ5"/>
    <mergeCell ref="RGK5:RGQ5"/>
    <mergeCell ref="RGR5:RGX5"/>
    <mergeCell ref="RGY5:RHE5"/>
    <mergeCell ref="RDZ5:REF5"/>
    <mergeCell ref="REG5:REM5"/>
    <mergeCell ref="REN5:RET5"/>
    <mergeCell ref="REU5:RFA5"/>
    <mergeCell ref="RFB5:RFH5"/>
    <mergeCell ref="RFI5:RFO5"/>
    <mergeCell ref="RCJ5:RCP5"/>
    <mergeCell ref="RCQ5:RCW5"/>
    <mergeCell ref="RCX5:RDD5"/>
    <mergeCell ref="RDE5:RDK5"/>
    <mergeCell ref="RDL5:RDR5"/>
    <mergeCell ref="RDS5:RDY5"/>
    <mergeCell ref="RAT5:RAZ5"/>
    <mergeCell ref="RBA5:RBG5"/>
    <mergeCell ref="RBH5:RBN5"/>
    <mergeCell ref="RBO5:RBU5"/>
    <mergeCell ref="RBV5:RCB5"/>
    <mergeCell ref="RCC5:RCI5"/>
    <mergeCell ref="QZD5:QZJ5"/>
    <mergeCell ref="QZK5:QZQ5"/>
    <mergeCell ref="QZR5:QZX5"/>
    <mergeCell ref="QZY5:RAE5"/>
    <mergeCell ref="RAF5:RAL5"/>
    <mergeCell ref="RAM5:RAS5"/>
    <mergeCell ref="QXN5:QXT5"/>
    <mergeCell ref="QXU5:QYA5"/>
    <mergeCell ref="QYB5:QYH5"/>
    <mergeCell ref="QYI5:QYO5"/>
    <mergeCell ref="QYP5:QYV5"/>
    <mergeCell ref="QYW5:QZC5"/>
    <mergeCell ref="QVX5:QWD5"/>
    <mergeCell ref="QWE5:QWK5"/>
    <mergeCell ref="QWL5:QWR5"/>
    <mergeCell ref="QWS5:QWY5"/>
    <mergeCell ref="QWZ5:QXF5"/>
    <mergeCell ref="QXG5:QXM5"/>
    <mergeCell ref="QUH5:QUN5"/>
    <mergeCell ref="QUO5:QUU5"/>
    <mergeCell ref="QUV5:QVB5"/>
    <mergeCell ref="QVC5:QVI5"/>
    <mergeCell ref="QVJ5:QVP5"/>
    <mergeCell ref="QVQ5:QVW5"/>
    <mergeCell ref="QSR5:QSX5"/>
    <mergeCell ref="QSY5:QTE5"/>
    <mergeCell ref="QTF5:QTL5"/>
    <mergeCell ref="QTM5:QTS5"/>
    <mergeCell ref="QTT5:QTZ5"/>
    <mergeCell ref="QUA5:QUG5"/>
    <mergeCell ref="QRB5:QRH5"/>
    <mergeCell ref="QRI5:QRO5"/>
    <mergeCell ref="QRP5:QRV5"/>
    <mergeCell ref="QRW5:QSC5"/>
    <mergeCell ref="QSD5:QSJ5"/>
    <mergeCell ref="QSK5:QSQ5"/>
    <mergeCell ref="QPL5:QPR5"/>
    <mergeCell ref="QPS5:QPY5"/>
    <mergeCell ref="QPZ5:QQF5"/>
    <mergeCell ref="QQG5:QQM5"/>
    <mergeCell ref="QQN5:QQT5"/>
    <mergeCell ref="QQU5:QRA5"/>
    <mergeCell ref="QNV5:QOB5"/>
    <mergeCell ref="QOC5:QOI5"/>
    <mergeCell ref="QOJ5:QOP5"/>
    <mergeCell ref="QOQ5:QOW5"/>
    <mergeCell ref="QOX5:QPD5"/>
    <mergeCell ref="QPE5:QPK5"/>
    <mergeCell ref="QMF5:QML5"/>
    <mergeCell ref="QMM5:QMS5"/>
    <mergeCell ref="QMT5:QMZ5"/>
    <mergeCell ref="QNA5:QNG5"/>
    <mergeCell ref="QNH5:QNN5"/>
    <mergeCell ref="QNO5:QNU5"/>
    <mergeCell ref="QKP5:QKV5"/>
    <mergeCell ref="QKW5:QLC5"/>
    <mergeCell ref="QLD5:QLJ5"/>
    <mergeCell ref="QLK5:QLQ5"/>
    <mergeCell ref="QLR5:QLX5"/>
    <mergeCell ref="QLY5:QME5"/>
    <mergeCell ref="QIZ5:QJF5"/>
    <mergeCell ref="QJG5:QJM5"/>
    <mergeCell ref="QJN5:QJT5"/>
    <mergeCell ref="QJU5:QKA5"/>
    <mergeCell ref="QKB5:QKH5"/>
    <mergeCell ref="QKI5:QKO5"/>
    <mergeCell ref="QHJ5:QHP5"/>
    <mergeCell ref="QHQ5:QHW5"/>
    <mergeCell ref="QHX5:QID5"/>
    <mergeCell ref="QIE5:QIK5"/>
    <mergeCell ref="QIL5:QIR5"/>
    <mergeCell ref="QIS5:QIY5"/>
    <mergeCell ref="QFT5:QFZ5"/>
    <mergeCell ref="QGA5:QGG5"/>
    <mergeCell ref="QGH5:QGN5"/>
    <mergeCell ref="QGO5:QGU5"/>
    <mergeCell ref="QGV5:QHB5"/>
    <mergeCell ref="QHC5:QHI5"/>
    <mergeCell ref="QED5:QEJ5"/>
    <mergeCell ref="QEK5:QEQ5"/>
    <mergeCell ref="QER5:QEX5"/>
    <mergeCell ref="QEY5:QFE5"/>
    <mergeCell ref="QFF5:QFL5"/>
    <mergeCell ref="QFM5:QFS5"/>
    <mergeCell ref="QCN5:QCT5"/>
    <mergeCell ref="QCU5:QDA5"/>
    <mergeCell ref="QDB5:QDH5"/>
    <mergeCell ref="QDI5:QDO5"/>
    <mergeCell ref="QDP5:QDV5"/>
    <mergeCell ref="QDW5:QEC5"/>
    <mergeCell ref="QAX5:QBD5"/>
    <mergeCell ref="QBE5:QBK5"/>
    <mergeCell ref="QBL5:QBR5"/>
    <mergeCell ref="QBS5:QBY5"/>
    <mergeCell ref="QBZ5:QCF5"/>
    <mergeCell ref="QCG5:QCM5"/>
    <mergeCell ref="PZH5:PZN5"/>
    <mergeCell ref="PZO5:PZU5"/>
    <mergeCell ref="PZV5:QAB5"/>
    <mergeCell ref="QAC5:QAI5"/>
    <mergeCell ref="QAJ5:QAP5"/>
    <mergeCell ref="QAQ5:QAW5"/>
    <mergeCell ref="PXR5:PXX5"/>
    <mergeCell ref="PXY5:PYE5"/>
    <mergeCell ref="PYF5:PYL5"/>
    <mergeCell ref="PYM5:PYS5"/>
    <mergeCell ref="PYT5:PYZ5"/>
    <mergeCell ref="PZA5:PZG5"/>
    <mergeCell ref="PWB5:PWH5"/>
    <mergeCell ref="PWI5:PWO5"/>
    <mergeCell ref="PWP5:PWV5"/>
    <mergeCell ref="PWW5:PXC5"/>
    <mergeCell ref="PXD5:PXJ5"/>
    <mergeCell ref="PXK5:PXQ5"/>
    <mergeCell ref="PUL5:PUR5"/>
    <mergeCell ref="PUS5:PUY5"/>
    <mergeCell ref="PUZ5:PVF5"/>
    <mergeCell ref="PVG5:PVM5"/>
    <mergeCell ref="PVN5:PVT5"/>
    <mergeCell ref="PVU5:PWA5"/>
    <mergeCell ref="PSV5:PTB5"/>
    <mergeCell ref="PTC5:PTI5"/>
    <mergeCell ref="PTJ5:PTP5"/>
    <mergeCell ref="PTQ5:PTW5"/>
    <mergeCell ref="PTX5:PUD5"/>
    <mergeCell ref="PUE5:PUK5"/>
    <mergeCell ref="PRF5:PRL5"/>
    <mergeCell ref="PRM5:PRS5"/>
    <mergeCell ref="PRT5:PRZ5"/>
    <mergeCell ref="PSA5:PSG5"/>
    <mergeCell ref="PSH5:PSN5"/>
    <mergeCell ref="PSO5:PSU5"/>
    <mergeCell ref="PPP5:PPV5"/>
    <mergeCell ref="PPW5:PQC5"/>
    <mergeCell ref="PQD5:PQJ5"/>
    <mergeCell ref="PQK5:PQQ5"/>
    <mergeCell ref="PQR5:PQX5"/>
    <mergeCell ref="PQY5:PRE5"/>
    <mergeCell ref="PNZ5:POF5"/>
    <mergeCell ref="POG5:POM5"/>
    <mergeCell ref="PON5:POT5"/>
    <mergeCell ref="POU5:PPA5"/>
    <mergeCell ref="PPB5:PPH5"/>
    <mergeCell ref="PPI5:PPO5"/>
    <mergeCell ref="PMJ5:PMP5"/>
    <mergeCell ref="PMQ5:PMW5"/>
    <mergeCell ref="PMX5:PND5"/>
    <mergeCell ref="PNE5:PNK5"/>
    <mergeCell ref="PNL5:PNR5"/>
    <mergeCell ref="PNS5:PNY5"/>
    <mergeCell ref="PKT5:PKZ5"/>
    <mergeCell ref="PLA5:PLG5"/>
    <mergeCell ref="PLH5:PLN5"/>
    <mergeCell ref="PLO5:PLU5"/>
    <mergeCell ref="PLV5:PMB5"/>
    <mergeCell ref="PMC5:PMI5"/>
    <mergeCell ref="PJD5:PJJ5"/>
    <mergeCell ref="PJK5:PJQ5"/>
    <mergeCell ref="PJR5:PJX5"/>
    <mergeCell ref="PJY5:PKE5"/>
    <mergeCell ref="PKF5:PKL5"/>
    <mergeCell ref="PKM5:PKS5"/>
    <mergeCell ref="PHN5:PHT5"/>
    <mergeCell ref="PHU5:PIA5"/>
    <mergeCell ref="PIB5:PIH5"/>
    <mergeCell ref="PII5:PIO5"/>
    <mergeCell ref="PIP5:PIV5"/>
    <mergeCell ref="PIW5:PJC5"/>
    <mergeCell ref="PFX5:PGD5"/>
    <mergeCell ref="PGE5:PGK5"/>
    <mergeCell ref="PGL5:PGR5"/>
    <mergeCell ref="PGS5:PGY5"/>
    <mergeCell ref="PGZ5:PHF5"/>
    <mergeCell ref="PHG5:PHM5"/>
    <mergeCell ref="PEH5:PEN5"/>
    <mergeCell ref="PEO5:PEU5"/>
    <mergeCell ref="PEV5:PFB5"/>
    <mergeCell ref="PFC5:PFI5"/>
    <mergeCell ref="PFJ5:PFP5"/>
    <mergeCell ref="PFQ5:PFW5"/>
    <mergeCell ref="PCR5:PCX5"/>
    <mergeCell ref="PCY5:PDE5"/>
    <mergeCell ref="PDF5:PDL5"/>
    <mergeCell ref="PDM5:PDS5"/>
    <mergeCell ref="PDT5:PDZ5"/>
    <mergeCell ref="PEA5:PEG5"/>
    <mergeCell ref="PBB5:PBH5"/>
    <mergeCell ref="PBI5:PBO5"/>
    <mergeCell ref="PBP5:PBV5"/>
    <mergeCell ref="PBW5:PCC5"/>
    <mergeCell ref="PCD5:PCJ5"/>
    <mergeCell ref="PCK5:PCQ5"/>
    <mergeCell ref="OZL5:OZR5"/>
    <mergeCell ref="OZS5:OZY5"/>
    <mergeCell ref="OZZ5:PAF5"/>
    <mergeCell ref="PAG5:PAM5"/>
    <mergeCell ref="PAN5:PAT5"/>
    <mergeCell ref="PAU5:PBA5"/>
    <mergeCell ref="OXV5:OYB5"/>
    <mergeCell ref="OYC5:OYI5"/>
    <mergeCell ref="OYJ5:OYP5"/>
    <mergeCell ref="OYQ5:OYW5"/>
    <mergeCell ref="OYX5:OZD5"/>
    <mergeCell ref="OZE5:OZK5"/>
    <mergeCell ref="OWF5:OWL5"/>
    <mergeCell ref="OWM5:OWS5"/>
    <mergeCell ref="OWT5:OWZ5"/>
    <mergeCell ref="OXA5:OXG5"/>
    <mergeCell ref="OXH5:OXN5"/>
    <mergeCell ref="OXO5:OXU5"/>
    <mergeCell ref="OUP5:OUV5"/>
    <mergeCell ref="OUW5:OVC5"/>
    <mergeCell ref="OVD5:OVJ5"/>
    <mergeCell ref="OVK5:OVQ5"/>
    <mergeCell ref="OVR5:OVX5"/>
    <mergeCell ref="OVY5:OWE5"/>
    <mergeCell ref="OSZ5:OTF5"/>
    <mergeCell ref="OTG5:OTM5"/>
    <mergeCell ref="OTN5:OTT5"/>
    <mergeCell ref="OTU5:OUA5"/>
    <mergeCell ref="OUB5:OUH5"/>
    <mergeCell ref="OUI5:OUO5"/>
    <mergeCell ref="ORJ5:ORP5"/>
    <mergeCell ref="ORQ5:ORW5"/>
    <mergeCell ref="ORX5:OSD5"/>
    <mergeCell ref="OSE5:OSK5"/>
    <mergeCell ref="OSL5:OSR5"/>
    <mergeCell ref="OSS5:OSY5"/>
    <mergeCell ref="OPT5:OPZ5"/>
    <mergeCell ref="OQA5:OQG5"/>
    <mergeCell ref="OQH5:OQN5"/>
    <mergeCell ref="OQO5:OQU5"/>
    <mergeCell ref="OQV5:ORB5"/>
    <mergeCell ref="ORC5:ORI5"/>
    <mergeCell ref="OOD5:OOJ5"/>
    <mergeCell ref="OOK5:OOQ5"/>
    <mergeCell ref="OOR5:OOX5"/>
    <mergeCell ref="OOY5:OPE5"/>
    <mergeCell ref="OPF5:OPL5"/>
    <mergeCell ref="OPM5:OPS5"/>
    <mergeCell ref="OMN5:OMT5"/>
    <mergeCell ref="OMU5:ONA5"/>
    <mergeCell ref="ONB5:ONH5"/>
    <mergeCell ref="ONI5:ONO5"/>
    <mergeCell ref="ONP5:ONV5"/>
    <mergeCell ref="ONW5:OOC5"/>
    <mergeCell ref="OKX5:OLD5"/>
    <mergeCell ref="OLE5:OLK5"/>
    <mergeCell ref="OLL5:OLR5"/>
    <mergeCell ref="OLS5:OLY5"/>
    <mergeCell ref="OLZ5:OMF5"/>
    <mergeCell ref="OMG5:OMM5"/>
    <mergeCell ref="OJH5:OJN5"/>
    <mergeCell ref="OJO5:OJU5"/>
    <mergeCell ref="OJV5:OKB5"/>
    <mergeCell ref="OKC5:OKI5"/>
    <mergeCell ref="OKJ5:OKP5"/>
    <mergeCell ref="OKQ5:OKW5"/>
    <mergeCell ref="OHR5:OHX5"/>
    <mergeCell ref="OHY5:OIE5"/>
    <mergeCell ref="OIF5:OIL5"/>
    <mergeCell ref="OIM5:OIS5"/>
    <mergeCell ref="OIT5:OIZ5"/>
    <mergeCell ref="OJA5:OJG5"/>
    <mergeCell ref="OGB5:OGH5"/>
    <mergeCell ref="OGI5:OGO5"/>
    <mergeCell ref="OGP5:OGV5"/>
    <mergeCell ref="OGW5:OHC5"/>
    <mergeCell ref="OHD5:OHJ5"/>
    <mergeCell ref="OHK5:OHQ5"/>
    <mergeCell ref="OEL5:OER5"/>
    <mergeCell ref="OES5:OEY5"/>
    <mergeCell ref="OEZ5:OFF5"/>
    <mergeCell ref="OFG5:OFM5"/>
    <mergeCell ref="OFN5:OFT5"/>
    <mergeCell ref="OFU5:OGA5"/>
    <mergeCell ref="OCV5:ODB5"/>
    <mergeCell ref="ODC5:ODI5"/>
    <mergeCell ref="ODJ5:ODP5"/>
    <mergeCell ref="ODQ5:ODW5"/>
    <mergeCell ref="ODX5:OED5"/>
    <mergeCell ref="OEE5:OEK5"/>
    <mergeCell ref="OBF5:OBL5"/>
    <mergeCell ref="OBM5:OBS5"/>
    <mergeCell ref="OBT5:OBZ5"/>
    <mergeCell ref="OCA5:OCG5"/>
    <mergeCell ref="OCH5:OCN5"/>
    <mergeCell ref="OCO5:OCU5"/>
    <mergeCell ref="NZP5:NZV5"/>
    <mergeCell ref="NZW5:OAC5"/>
    <mergeCell ref="OAD5:OAJ5"/>
    <mergeCell ref="OAK5:OAQ5"/>
    <mergeCell ref="OAR5:OAX5"/>
    <mergeCell ref="OAY5:OBE5"/>
    <mergeCell ref="NXZ5:NYF5"/>
    <mergeCell ref="NYG5:NYM5"/>
    <mergeCell ref="NYN5:NYT5"/>
    <mergeCell ref="NYU5:NZA5"/>
    <mergeCell ref="NZB5:NZH5"/>
    <mergeCell ref="NZI5:NZO5"/>
    <mergeCell ref="NWJ5:NWP5"/>
    <mergeCell ref="NWQ5:NWW5"/>
    <mergeCell ref="NWX5:NXD5"/>
    <mergeCell ref="NXE5:NXK5"/>
    <mergeCell ref="NXL5:NXR5"/>
    <mergeCell ref="NXS5:NXY5"/>
    <mergeCell ref="NUT5:NUZ5"/>
    <mergeCell ref="NVA5:NVG5"/>
    <mergeCell ref="NVH5:NVN5"/>
    <mergeCell ref="NVO5:NVU5"/>
    <mergeCell ref="NVV5:NWB5"/>
    <mergeCell ref="NWC5:NWI5"/>
    <mergeCell ref="NTD5:NTJ5"/>
    <mergeCell ref="NTK5:NTQ5"/>
    <mergeCell ref="NTR5:NTX5"/>
    <mergeCell ref="NTY5:NUE5"/>
    <mergeCell ref="NUF5:NUL5"/>
    <mergeCell ref="NUM5:NUS5"/>
    <mergeCell ref="NRN5:NRT5"/>
    <mergeCell ref="NRU5:NSA5"/>
    <mergeCell ref="NSB5:NSH5"/>
    <mergeCell ref="NSI5:NSO5"/>
    <mergeCell ref="NSP5:NSV5"/>
    <mergeCell ref="NSW5:NTC5"/>
    <mergeCell ref="NPX5:NQD5"/>
    <mergeCell ref="NQE5:NQK5"/>
    <mergeCell ref="NQL5:NQR5"/>
    <mergeCell ref="NQS5:NQY5"/>
    <mergeCell ref="NQZ5:NRF5"/>
    <mergeCell ref="NRG5:NRM5"/>
    <mergeCell ref="NOH5:NON5"/>
    <mergeCell ref="NOO5:NOU5"/>
    <mergeCell ref="NOV5:NPB5"/>
    <mergeCell ref="NPC5:NPI5"/>
    <mergeCell ref="NPJ5:NPP5"/>
    <mergeCell ref="NPQ5:NPW5"/>
    <mergeCell ref="NMR5:NMX5"/>
    <mergeCell ref="NMY5:NNE5"/>
    <mergeCell ref="NNF5:NNL5"/>
    <mergeCell ref="NNM5:NNS5"/>
    <mergeCell ref="NNT5:NNZ5"/>
    <mergeCell ref="NOA5:NOG5"/>
    <mergeCell ref="NLB5:NLH5"/>
    <mergeCell ref="NLI5:NLO5"/>
    <mergeCell ref="NLP5:NLV5"/>
    <mergeCell ref="NLW5:NMC5"/>
    <mergeCell ref="NMD5:NMJ5"/>
    <mergeCell ref="NMK5:NMQ5"/>
    <mergeCell ref="NJL5:NJR5"/>
    <mergeCell ref="NJS5:NJY5"/>
    <mergeCell ref="NJZ5:NKF5"/>
    <mergeCell ref="NKG5:NKM5"/>
    <mergeCell ref="NKN5:NKT5"/>
    <mergeCell ref="NKU5:NLA5"/>
    <mergeCell ref="NHV5:NIB5"/>
    <mergeCell ref="NIC5:NII5"/>
    <mergeCell ref="NIJ5:NIP5"/>
    <mergeCell ref="NIQ5:NIW5"/>
    <mergeCell ref="NIX5:NJD5"/>
    <mergeCell ref="NJE5:NJK5"/>
    <mergeCell ref="NGF5:NGL5"/>
    <mergeCell ref="NGM5:NGS5"/>
    <mergeCell ref="NGT5:NGZ5"/>
    <mergeCell ref="NHA5:NHG5"/>
    <mergeCell ref="NHH5:NHN5"/>
    <mergeCell ref="NHO5:NHU5"/>
    <mergeCell ref="NEP5:NEV5"/>
    <mergeCell ref="NEW5:NFC5"/>
    <mergeCell ref="NFD5:NFJ5"/>
    <mergeCell ref="NFK5:NFQ5"/>
    <mergeCell ref="NFR5:NFX5"/>
    <mergeCell ref="NFY5:NGE5"/>
    <mergeCell ref="NCZ5:NDF5"/>
    <mergeCell ref="NDG5:NDM5"/>
    <mergeCell ref="NDN5:NDT5"/>
    <mergeCell ref="NDU5:NEA5"/>
    <mergeCell ref="NEB5:NEH5"/>
    <mergeCell ref="NEI5:NEO5"/>
    <mergeCell ref="NBJ5:NBP5"/>
    <mergeCell ref="NBQ5:NBW5"/>
    <mergeCell ref="NBX5:NCD5"/>
    <mergeCell ref="NCE5:NCK5"/>
    <mergeCell ref="NCL5:NCR5"/>
    <mergeCell ref="NCS5:NCY5"/>
    <mergeCell ref="MZT5:MZZ5"/>
    <mergeCell ref="NAA5:NAG5"/>
    <mergeCell ref="NAH5:NAN5"/>
    <mergeCell ref="NAO5:NAU5"/>
    <mergeCell ref="NAV5:NBB5"/>
    <mergeCell ref="NBC5:NBI5"/>
    <mergeCell ref="MYD5:MYJ5"/>
    <mergeCell ref="MYK5:MYQ5"/>
    <mergeCell ref="MYR5:MYX5"/>
    <mergeCell ref="MYY5:MZE5"/>
    <mergeCell ref="MZF5:MZL5"/>
    <mergeCell ref="MZM5:MZS5"/>
    <mergeCell ref="MWN5:MWT5"/>
    <mergeCell ref="MWU5:MXA5"/>
    <mergeCell ref="MXB5:MXH5"/>
    <mergeCell ref="MXI5:MXO5"/>
    <mergeCell ref="MXP5:MXV5"/>
    <mergeCell ref="MXW5:MYC5"/>
    <mergeCell ref="MUX5:MVD5"/>
    <mergeCell ref="MVE5:MVK5"/>
    <mergeCell ref="MVL5:MVR5"/>
    <mergeCell ref="MVS5:MVY5"/>
    <mergeCell ref="MVZ5:MWF5"/>
    <mergeCell ref="MWG5:MWM5"/>
    <mergeCell ref="MTH5:MTN5"/>
    <mergeCell ref="MTO5:MTU5"/>
    <mergeCell ref="MTV5:MUB5"/>
    <mergeCell ref="MUC5:MUI5"/>
    <mergeCell ref="MUJ5:MUP5"/>
    <mergeCell ref="MUQ5:MUW5"/>
    <mergeCell ref="MRR5:MRX5"/>
    <mergeCell ref="MRY5:MSE5"/>
    <mergeCell ref="MSF5:MSL5"/>
    <mergeCell ref="MSM5:MSS5"/>
    <mergeCell ref="MST5:MSZ5"/>
    <mergeCell ref="MTA5:MTG5"/>
    <mergeCell ref="MQB5:MQH5"/>
    <mergeCell ref="MQI5:MQO5"/>
    <mergeCell ref="MQP5:MQV5"/>
    <mergeCell ref="MQW5:MRC5"/>
    <mergeCell ref="MRD5:MRJ5"/>
    <mergeCell ref="MRK5:MRQ5"/>
    <mergeCell ref="MOL5:MOR5"/>
    <mergeCell ref="MOS5:MOY5"/>
    <mergeCell ref="MOZ5:MPF5"/>
    <mergeCell ref="MPG5:MPM5"/>
    <mergeCell ref="MPN5:MPT5"/>
    <mergeCell ref="MPU5:MQA5"/>
    <mergeCell ref="MMV5:MNB5"/>
    <mergeCell ref="MNC5:MNI5"/>
    <mergeCell ref="MNJ5:MNP5"/>
    <mergeCell ref="MNQ5:MNW5"/>
    <mergeCell ref="MNX5:MOD5"/>
    <mergeCell ref="MOE5:MOK5"/>
    <mergeCell ref="MLF5:MLL5"/>
    <mergeCell ref="MLM5:MLS5"/>
    <mergeCell ref="MLT5:MLZ5"/>
    <mergeCell ref="MMA5:MMG5"/>
    <mergeCell ref="MMH5:MMN5"/>
    <mergeCell ref="MMO5:MMU5"/>
    <mergeCell ref="MJP5:MJV5"/>
    <mergeCell ref="MJW5:MKC5"/>
    <mergeCell ref="MKD5:MKJ5"/>
    <mergeCell ref="MKK5:MKQ5"/>
    <mergeCell ref="MKR5:MKX5"/>
    <mergeCell ref="MKY5:MLE5"/>
    <mergeCell ref="MHZ5:MIF5"/>
    <mergeCell ref="MIG5:MIM5"/>
    <mergeCell ref="MIN5:MIT5"/>
    <mergeCell ref="MIU5:MJA5"/>
    <mergeCell ref="MJB5:MJH5"/>
    <mergeCell ref="MJI5:MJO5"/>
    <mergeCell ref="MGJ5:MGP5"/>
    <mergeCell ref="MGQ5:MGW5"/>
    <mergeCell ref="MGX5:MHD5"/>
    <mergeCell ref="MHE5:MHK5"/>
    <mergeCell ref="MHL5:MHR5"/>
    <mergeCell ref="MHS5:MHY5"/>
    <mergeCell ref="MET5:MEZ5"/>
    <mergeCell ref="MFA5:MFG5"/>
    <mergeCell ref="MFH5:MFN5"/>
    <mergeCell ref="MFO5:MFU5"/>
    <mergeCell ref="MFV5:MGB5"/>
    <mergeCell ref="MGC5:MGI5"/>
    <mergeCell ref="MDD5:MDJ5"/>
    <mergeCell ref="MDK5:MDQ5"/>
    <mergeCell ref="MDR5:MDX5"/>
    <mergeCell ref="MDY5:MEE5"/>
    <mergeCell ref="MEF5:MEL5"/>
    <mergeCell ref="MEM5:MES5"/>
    <mergeCell ref="MBN5:MBT5"/>
    <mergeCell ref="MBU5:MCA5"/>
    <mergeCell ref="MCB5:MCH5"/>
    <mergeCell ref="MCI5:MCO5"/>
    <mergeCell ref="MCP5:MCV5"/>
    <mergeCell ref="MCW5:MDC5"/>
    <mergeCell ref="LZX5:MAD5"/>
    <mergeCell ref="MAE5:MAK5"/>
    <mergeCell ref="MAL5:MAR5"/>
    <mergeCell ref="MAS5:MAY5"/>
    <mergeCell ref="MAZ5:MBF5"/>
    <mergeCell ref="MBG5:MBM5"/>
    <mergeCell ref="LYH5:LYN5"/>
    <mergeCell ref="LYO5:LYU5"/>
    <mergeCell ref="LYV5:LZB5"/>
    <mergeCell ref="LZC5:LZI5"/>
    <mergeCell ref="LZJ5:LZP5"/>
    <mergeCell ref="LZQ5:LZW5"/>
    <mergeCell ref="LWR5:LWX5"/>
    <mergeCell ref="LWY5:LXE5"/>
    <mergeCell ref="LXF5:LXL5"/>
    <mergeCell ref="LXM5:LXS5"/>
    <mergeCell ref="LXT5:LXZ5"/>
    <mergeCell ref="LYA5:LYG5"/>
    <mergeCell ref="LVB5:LVH5"/>
    <mergeCell ref="LVI5:LVO5"/>
    <mergeCell ref="LVP5:LVV5"/>
    <mergeCell ref="LVW5:LWC5"/>
    <mergeCell ref="LWD5:LWJ5"/>
    <mergeCell ref="LWK5:LWQ5"/>
    <mergeCell ref="LTL5:LTR5"/>
    <mergeCell ref="LTS5:LTY5"/>
    <mergeCell ref="LTZ5:LUF5"/>
    <mergeCell ref="LUG5:LUM5"/>
    <mergeCell ref="LUN5:LUT5"/>
    <mergeCell ref="LUU5:LVA5"/>
    <mergeCell ref="LRV5:LSB5"/>
    <mergeCell ref="LSC5:LSI5"/>
    <mergeCell ref="LSJ5:LSP5"/>
    <mergeCell ref="LSQ5:LSW5"/>
    <mergeCell ref="LSX5:LTD5"/>
    <mergeCell ref="LTE5:LTK5"/>
    <mergeCell ref="LQF5:LQL5"/>
    <mergeCell ref="LQM5:LQS5"/>
    <mergeCell ref="LQT5:LQZ5"/>
    <mergeCell ref="LRA5:LRG5"/>
    <mergeCell ref="LRH5:LRN5"/>
    <mergeCell ref="LRO5:LRU5"/>
    <mergeCell ref="LOP5:LOV5"/>
    <mergeCell ref="LOW5:LPC5"/>
    <mergeCell ref="LPD5:LPJ5"/>
    <mergeCell ref="LPK5:LPQ5"/>
    <mergeCell ref="LPR5:LPX5"/>
    <mergeCell ref="LPY5:LQE5"/>
    <mergeCell ref="LMZ5:LNF5"/>
    <mergeCell ref="LNG5:LNM5"/>
    <mergeCell ref="LNN5:LNT5"/>
    <mergeCell ref="LNU5:LOA5"/>
    <mergeCell ref="LOB5:LOH5"/>
    <mergeCell ref="LOI5:LOO5"/>
    <mergeCell ref="LLJ5:LLP5"/>
    <mergeCell ref="LLQ5:LLW5"/>
    <mergeCell ref="LLX5:LMD5"/>
    <mergeCell ref="LME5:LMK5"/>
    <mergeCell ref="LML5:LMR5"/>
    <mergeCell ref="LMS5:LMY5"/>
    <mergeCell ref="LJT5:LJZ5"/>
    <mergeCell ref="LKA5:LKG5"/>
    <mergeCell ref="LKH5:LKN5"/>
    <mergeCell ref="LKO5:LKU5"/>
    <mergeCell ref="LKV5:LLB5"/>
    <mergeCell ref="LLC5:LLI5"/>
    <mergeCell ref="LID5:LIJ5"/>
    <mergeCell ref="LIK5:LIQ5"/>
    <mergeCell ref="LIR5:LIX5"/>
    <mergeCell ref="LIY5:LJE5"/>
    <mergeCell ref="LJF5:LJL5"/>
    <mergeCell ref="LJM5:LJS5"/>
    <mergeCell ref="LGN5:LGT5"/>
    <mergeCell ref="LGU5:LHA5"/>
    <mergeCell ref="LHB5:LHH5"/>
    <mergeCell ref="LHI5:LHO5"/>
    <mergeCell ref="LHP5:LHV5"/>
    <mergeCell ref="LHW5:LIC5"/>
    <mergeCell ref="LEX5:LFD5"/>
    <mergeCell ref="LFE5:LFK5"/>
    <mergeCell ref="LFL5:LFR5"/>
    <mergeCell ref="LFS5:LFY5"/>
    <mergeCell ref="LFZ5:LGF5"/>
    <mergeCell ref="LGG5:LGM5"/>
    <mergeCell ref="LDH5:LDN5"/>
    <mergeCell ref="LDO5:LDU5"/>
    <mergeCell ref="LDV5:LEB5"/>
    <mergeCell ref="LEC5:LEI5"/>
    <mergeCell ref="LEJ5:LEP5"/>
    <mergeCell ref="LEQ5:LEW5"/>
    <mergeCell ref="LBR5:LBX5"/>
    <mergeCell ref="LBY5:LCE5"/>
    <mergeCell ref="LCF5:LCL5"/>
    <mergeCell ref="LCM5:LCS5"/>
    <mergeCell ref="LCT5:LCZ5"/>
    <mergeCell ref="LDA5:LDG5"/>
    <mergeCell ref="LAB5:LAH5"/>
    <mergeCell ref="LAI5:LAO5"/>
    <mergeCell ref="LAP5:LAV5"/>
    <mergeCell ref="LAW5:LBC5"/>
    <mergeCell ref="LBD5:LBJ5"/>
    <mergeCell ref="LBK5:LBQ5"/>
    <mergeCell ref="KYL5:KYR5"/>
    <mergeCell ref="KYS5:KYY5"/>
    <mergeCell ref="KYZ5:KZF5"/>
    <mergeCell ref="KZG5:KZM5"/>
    <mergeCell ref="KZN5:KZT5"/>
    <mergeCell ref="KZU5:LAA5"/>
    <mergeCell ref="KWV5:KXB5"/>
    <mergeCell ref="KXC5:KXI5"/>
    <mergeCell ref="KXJ5:KXP5"/>
    <mergeCell ref="KXQ5:KXW5"/>
    <mergeCell ref="KXX5:KYD5"/>
    <mergeCell ref="KYE5:KYK5"/>
    <mergeCell ref="KVF5:KVL5"/>
    <mergeCell ref="KVM5:KVS5"/>
    <mergeCell ref="KVT5:KVZ5"/>
    <mergeCell ref="KWA5:KWG5"/>
    <mergeCell ref="KWH5:KWN5"/>
    <mergeCell ref="KWO5:KWU5"/>
    <mergeCell ref="KTP5:KTV5"/>
    <mergeCell ref="KTW5:KUC5"/>
    <mergeCell ref="KUD5:KUJ5"/>
    <mergeCell ref="KUK5:KUQ5"/>
    <mergeCell ref="KUR5:KUX5"/>
    <mergeCell ref="KUY5:KVE5"/>
    <mergeCell ref="KRZ5:KSF5"/>
    <mergeCell ref="KSG5:KSM5"/>
    <mergeCell ref="KSN5:KST5"/>
    <mergeCell ref="KSU5:KTA5"/>
    <mergeCell ref="KTB5:KTH5"/>
    <mergeCell ref="KTI5:KTO5"/>
    <mergeCell ref="KQJ5:KQP5"/>
    <mergeCell ref="KQQ5:KQW5"/>
    <mergeCell ref="KQX5:KRD5"/>
    <mergeCell ref="KRE5:KRK5"/>
    <mergeCell ref="KRL5:KRR5"/>
    <mergeCell ref="KRS5:KRY5"/>
    <mergeCell ref="KOT5:KOZ5"/>
    <mergeCell ref="KPA5:KPG5"/>
    <mergeCell ref="KPH5:KPN5"/>
    <mergeCell ref="KPO5:KPU5"/>
    <mergeCell ref="KPV5:KQB5"/>
    <mergeCell ref="KQC5:KQI5"/>
    <mergeCell ref="KND5:KNJ5"/>
    <mergeCell ref="KNK5:KNQ5"/>
    <mergeCell ref="KNR5:KNX5"/>
    <mergeCell ref="KNY5:KOE5"/>
    <mergeCell ref="KOF5:KOL5"/>
    <mergeCell ref="KOM5:KOS5"/>
    <mergeCell ref="KLN5:KLT5"/>
    <mergeCell ref="KLU5:KMA5"/>
    <mergeCell ref="KMB5:KMH5"/>
    <mergeCell ref="KMI5:KMO5"/>
    <mergeCell ref="KMP5:KMV5"/>
    <mergeCell ref="KMW5:KNC5"/>
    <mergeCell ref="KJX5:KKD5"/>
    <mergeCell ref="KKE5:KKK5"/>
    <mergeCell ref="KKL5:KKR5"/>
    <mergeCell ref="KKS5:KKY5"/>
    <mergeCell ref="KKZ5:KLF5"/>
    <mergeCell ref="KLG5:KLM5"/>
    <mergeCell ref="KIH5:KIN5"/>
    <mergeCell ref="KIO5:KIU5"/>
    <mergeCell ref="KIV5:KJB5"/>
    <mergeCell ref="KJC5:KJI5"/>
    <mergeCell ref="KJJ5:KJP5"/>
    <mergeCell ref="KJQ5:KJW5"/>
    <mergeCell ref="KGR5:KGX5"/>
    <mergeCell ref="KGY5:KHE5"/>
    <mergeCell ref="KHF5:KHL5"/>
    <mergeCell ref="KHM5:KHS5"/>
    <mergeCell ref="KHT5:KHZ5"/>
    <mergeCell ref="KIA5:KIG5"/>
    <mergeCell ref="KFB5:KFH5"/>
    <mergeCell ref="KFI5:KFO5"/>
    <mergeCell ref="KFP5:KFV5"/>
    <mergeCell ref="KFW5:KGC5"/>
    <mergeCell ref="KGD5:KGJ5"/>
    <mergeCell ref="KGK5:KGQ5"/>
    <mergeCell ref="KDL5:KDR5"/>
    <mergeCell ref="KDS5:KDY5"/>
    <mergeCell ref="KDZ5:KEF5"/>
    <mergeCell ref="KEG5:KEM5"/>
    <mergeCell ref="KEN5:KET5"/>
    <mergeCell ref="KEU5:KFA5"/>
    <mergeCell ref="KBV5:KCB5"/>
    <mergeCell ref="KCC5:KCI5"/>
    <mergeCell ref="KCJ5:KCP5"/>
    <mergeCell ref="KCQ5:KCW5"/>
    <mergeCell ref="KCX5:KDD5"/>
    <mergeCell ref="KDE5:KDK5"/>
    <mergeCell ref="KAF5:KAL5"/>
    <mergeCell ref="KAM5:KAS5"/>
    <mergeCell ref="KAT5:KAZ5"/>
    <mergeCell ref="KBA5:KBG5"/>
    <mergeCell ref="KBH5:KBN5"/>
    <mergeCell ref="KBO5:KBU5"/>
    <mergeCell ref="JYP5:JYV5"/>
    <mergeCell ref="JYW5:JZC5"/>
    <mergeCell ref="JZD5:JZJ5"/>
    <mergeCell ref="JZK5:JZQ5"/>
    <mergeCell ref="JZR5:JZX5"/>
    <mergeCell ref="JZY5:KAE5"/>
    <mergeCell ref="JWZ5:JXF5"/>
    <mergeCell ref="JXG5:JXM5"/>
    <mergeCell ref="JXN5:JXT5"/>
    <mergeCell ref="JXU5:JYA5"/>
    <mergeCell ref="JYB5:JYH5"/>
    <mergeCell ref="JYI5:JYO5"/>
    <mergeCell ref="JVJ5:JVP5"/>
    <mergeCell ref="JVQ5:JVW5"/>
    <mergeCell ref="JVX5:JWD5"/>
    <mergeCell ref="JWE5:JWK5"/>
    <mergeCell ref="JWL5:JWR5"/>
    <mergeCell ref="JWS5:JWY5"/>
    <mergeCell ref="JTT5:JTZ5"/>
    <mergeCell ref="JUA5:JUG5"/>
    <mergeCell ref="JUH5:JUN5"/>
    <mergeCell ref="JUO5:JUU5"/>
    <mergeCell ref="JUV5:JVB5"/>
    <mergeCell ref="JVC5:JVI5"/>
    <mergeCell ref="JSD5:JSJ5"/>
    <mergeCell ref="JSK5:JSQ5"/>
    <mergeCell ref="JSR5:JSX5"/>
    <mergeCell ref="JSY5:JTE5"/>
    <mergeCell ref="JTF5:JTL5"/>
    <mergeCell ref="JTM5:JTS5"/>
    <mergeCell ref="JQN5:JQT5"/>
    <mergeCell ref="JQU5:JRA5"/>
    <mergeCell ref="JRB5:JRH5"/>
    <mergeCell ref="JRI5:JRO5"/>
    <mergeCell ref="JRP5:JRV5"/>
    <mergeCell ref="JRW5:JSC5"/>
    <mergeCell ref="JOX5:JPD5"/>
    <mergeCell ref="JPE5:JPK5"/>
    <mergeCell ref="JPL5:JPR5"/>
    <mergeCell ref="JPS5:JPY5"/>
    <mergeCell ref="JPZ5:JQF5"/>
    <mergeCell ref="JQG5:JQM5"/>
    <mergeCell ref="JNH5:JNN5"/>
    <mergeCell ref="JNO5:JNU5"/>
    <mergeCell ref="JNV5:JOB5"/>
    <mergeCell ref="JOC5:JOI5"/>
    <mergeCell ref="JOJ5:JOP5"/>
    <mergeCell ref="JOQ5:JOW5"/>
    <mergeCell ref="JLR5:JLX5"/>
    <mergeCell ref="JLY5:JME5"/>
    <mergeCell ref="JMF5:JML5"/>
    <mergeCell ref="JMM5:JMS5"/>
    <mergeCell ref="JMT5:JMZ5"/>
    <mergeCell ref="JNA5:JNG5"/>
    <mergeCell ref="JKB5:JKH5"/>
    <mergeCell ref="JKI5:JKO5"/>
    <mergeCell ref="JKP5:JKV5"/>
    <mergeCell ref="JKW5:JLC5"/>
    <mergeCell ref="JLD5:JLJ5"/>
    <mergeCell ref="JLK5:JLQ5"/>
    <mergeCell ref="JIL5:JIR5"/>
    <mergeCell ref="JIS5:JIY5"/>
    <mergeCell ref="JIZ5:JJF5"/>
    <mergeCell ref="JJG5:JJM5"/>
    <mergeCell ref="JJN5:JJT5"/>
    <mergeCell ref="JJU5:JKA5"/>
    <mergeCell ref="JGV5:JHB5"/>
    <mergeCell ref="JHC5:JHI5"/>
    <mergeCell ref="JHJ5:JHP5"/>
    <mergeCell ref="JHQ5:JHW5"/>
    <mergeCell ref="JHX5:JID5"/>
    <mergeCell ref="JIE5:JIK5"/>
    <mergeCell ref="JFF5:JFL5"/>
    <mergeCell ref="JFM5:JFS5"/>
    <mergeCell ref="JFT5:JFZ5"/>
    <mergeCell ref="JGA5:JGG5"/>
    <mergeCell ref="JGH5:JGN5"/>
    <mergeCell ref="JGO5:JGU5"/>
    <mergeCell ref="JDP5:JDV5"/>
    <mergeCell ref="JDW5:JEC5"/>
    <mergeCell ref="JED5:JEJ5"/>
    <mergeCell ref="JEK5:JEQ5"/>
    <mergeCell ref="JER5:JEX5"/>
    <mergeCell ref="JEY5:JFE5"/>
    <mergeCell ref="JBZ5:JCF5"/>
    <mergeCell ref="JCG5:JCM5"/>
    <mergeCell ref="JCN5:JCT5"/>
    <mergeCell ref="JCU5:JDA5"/>
    <mergeCell ref="JDB5:JDH5"/>
    <mergeCell ref="JDI5:JDO5"/>
    <mergeCell ref="JAJ5:JAP5"/>
    <mergeCell ref="JAQ5:JAW5"/>
    <mergeCell ref="JAX5:JBD5"/>
    <mergeCell ref="JBE5:JBK5"/>
    <mergeCell ref="JBL5:JBR5"/>
    <mergeCell ref="JBS5:JBY5"/>
    <mergeCell ref="IYT5:IYZ5"/>
    <mergeCell ref="IZA5:IZG5"/>
    <mergeCell ref="IZH5:IZN5"/>
    <mergeCell ref="IZO5:IZU5"/>
    <mergeCell ref="IZV5:JAB5"/>
    <mergeCell ref="JAC5:JAI5"/>
    <mergeCell ref="IXD5:IXJ5"/>
    <mergeCell ref="IXK5:IXQ5"/>
    <mergeCell ref="IXR5:IXX5"/>
    <mergeCell ref="IXY5:IYE5"/>
    <mergeCell ref="IYF5:IYL5"/>
    <mergeCell ref="IYM5:IYS5"/>
    <mergeCell ref="IVN5:IVT5"/>
    <mergeCell ref="IVU5:IWA5"/>
    <mergeCell ref="IWB5:IWH5"/>
    <mergeCell ref="IWI5:IWO5"/>
    <mergeCell ref="IWP5:IWV5"/>
    <mergeCell ref="IWW5:IXC5"/>
    <mergeCell ref="ITX5:IUD5"/>
    <mergeCell ref="IUE5:IUK5"/>
    <mergeCell ref="IUL5:IUR5"/>
    <mergeCell ref="IUS5:IUY5"/>
    <mergeCell ref="IUZ5:IVF5"/>
    <mergeCell ref="IVG5:IVM5"/>
    <mergeCell ref="ISH5:ISN5"/>
    <mergeCell ref="ISO5:ISU5"/>
    <mergeCell ref="ISV5:ITB5"/>
    <mergeCell ref="ITC5:ITI5"/>
    <mergeCell ref="ITJ5:ITP5"/>
    <mergeCell ref="ITQ5:ITW5"/>
    <mergeCell ref="IQR5:IQX5"/>
    <mergeCell ref="IQY5:IRE5"/>
    <mergeCell ref="IRF5:IRL5"/>
    <mergeCell ref="IRM5:IRS5"/>
    <mergeCell ref="IRT5:IRZ5"/>
    <mergeCell ref="ISA5:ISG5"/>
    <mergeCell ref="IPB5:IPH5"/>
    <mergeCell ref="IPI5:IPO5"/>
    <mergeCell ref="IPP5:IPV5"/>
    <mergeCell ref="IPW5:IQC5"/>
    <mergeCell ref="IQD5:IQJ5"/>
    <mergeCell ref="IQK5:IQQ5"/>
    <mergeCell ref="INL5:INR5"/>
    <mergeCell ref="INS5:INY5"/>
    <mergeCell ref="INZ5:IOF5"/>
    <mergeCell ref="IOG5:IOM5"/>
    <mergeCell ref="ION5:IOT5"/>
    <mergeCell ref="IOU5:IPA5"/>
    <mergeCell ref="ILV5:IMB5"/>
    <mergeCell ref="IMC5:IMI5"/>
    <mergeCell ref="IMJ5:IMP5"/>
    <mergeCell ref="IMQ5:IMW5"/>
    <mergeCell ref="IMX5:IND5"/>
    <mergeCell ref="INE5:INK5"/>
    <mergeCell ref="IKF5:IKL5"/>
    <mergeCell ref="IKM5:IKS5"/>
    <mergeCell ref="IKT5:IKZ5"/>
    <mergeCell ref="ILA5:ILG5"/>
    <mergeCell ref="ILH5:ILN5"/>
    <mergeCell ref="ILO5:ILU5"/>
    <mergeCell ref="IIP5:IIV5"/>
    <mergeCell ref="IIW5:IJC5"/>
    <mergeCell ref="IJD5:IJJ5"/>
    <mergeCell ref="IJK5:IJQ5"/>
    <mergeCell ref="IJR5:IJX5"/>
    <mergeCell ref="IJY5:IKE5"/>
    <mergeCell ref="IGZ5:IHF5"/>
    <mergeCell ref="IHG5:IHM5"/>
    <mergeCell ref="IHN5:IHT5"/>
    <mergeCell ref="IHU5:IIA5"/>
    <mergeCell ref="IIB5:IIH5"/>
    <mergeCell ref="III5:IIO5"/>
    <mergeCell ref="IFJ5:IFP5"/>
    <mergeCell ref="IFQ5:IFW5"/>
    <mergeCell ref="IFX5:IGD5"/>
    <mergeCell ref="IGE5:IGK5"/>
    <mergeCell ref="IGL5:IGR5"/>
    <mergeCell ref="IGS5:IGY5"/>
    <mergeCell ref="IDT5:IDZ5"/>
    <mergeCell ref="IEA5:IEG5"/>
    <mergeCell ref="IEH5:IEN5"/>
    <mergeCell ref="IEO5:IEU5"/>
    <mergeCell ref="IEV5:IFB5"/>
    <mergeCell ref="IFC5:IFI5"/>
    <mergeCell ref="ICD5:ICJ5"/>
    <mergeCell ref="ICK5:ICQ5"/>
    <mergeCell ref="ICR5:ICX5"/>
    <mergeCell ref="ICY5:IDE5"/>
    <mergeCell ref="IDF5:IDL5"/>
    <mergeCell ref="IDM5:IDS5"/>
    <mergeCell ref="IAN5:IAT5"/>
    <mergeCell ref="IAU5:IBA5"/>
    <mergeCell ref="IBB5:IBH5"/>
    <mergeCell ref="IBI5:IBO5"/>
    <mergeCell ref="IBP5:IBV5"/>
    <mergeCell ref="IBW5:ICC5"/>
    <mergeCell ref="HYX5:HZD5"/>
    <mergeCell ref="HZE5:HZK5"/>
    <mergeCell ref="HZL5:HZR5"/>
    <mergeCell ref="HZS5:HZY5"/>
    <mergeCell ref="HZZ5:IAF5"/>
    <mergeCell ref="IAG5:IAM5"/>
    <mergeCell ref="HXH5:HXN5"/>
    <mergeCell ref="HXO5:HXU5"/>
    <mergeCell ref="HXV5:HYB5"/>
    <mergeCell ref="HYC5:HYI5"/>
    <mergeCell ref="HYJ5:HYP5"/>
    <mergeCell ref="HYQ5:HYW5"/>
    <mergeCell ref="HVR5:HVX5"/>
    <mergeCell ref="HVY5:HWE5"/>
    <mergeCell ref="HWF5:HWL5"/>
    <mergeCell ref="HWM5:HWS5"/>
    <mergeCell ref="HWT5:HWZ5"/>
    <mergeCell ref="HXA5:HXG5"/>
    <mergeCell ref="HUB5:HUH5"/>
    <mergeCell ref="HUI5:HUO5"/>
    <mergeCell ref="HUP5:HUV5"/>
    <mergeCell ref="HUW5:HVC5"/>
    <mergeCell ref="HVD5:HVJ5"/>
    <mergeCell ref="HVK5:HVQ5"/>
    <mergeCell ref="HSL5:HSR5"/>
    <mergeCell ref="HSS5:HSY5"/>
    <mergeCell ref="HSZ5:HTF5"/>
    <mergeCell ref="HTG5:HTM5"/>
    <mergeCell ref="HTN5:HTT5"/>
    <mergeCell ref="HTU5:HUA5"/>
    <mergeCell ref="HQV5:HRB5"/>
    <mergeCell ref="HRC5:HRI5"/>
    <mergeCell ref="HRJ5:HRP5"/>
    <mergeCell ref="HRQ5:HRW5"/>
    <mergeCell ref="HRX5:HSD5"/>
    <mergeCell ref="HSE5:HSK5"/>
    <mergeCell ref="HPF5:HPL5"/>
    <mergeCell ref="HPM5:HPS5"/>
    <mergeCell ref="HPT5:HPZ5"/>
    <mergeCell ref="HQA5:HQG5"/>
    <mergeCell ref="HQH5:HQN5"/>
    <mergeCell ref="HQO5:HQU5"/>
    <mergeCell ref="HNP5:HNV5"/>
    <mergeCell ref="HNW5:HOC5"/>
    <mergeCell ref="HOD5:HOJ5"/>
    <mergeCell ref="HOK5:HOQ5"/>
    <mergeCell ref="HOR5:HOX5"/>
    <mergeCell ref="HOY5:HPE5"/>
    <mergeCell ref="HLZ5:HMF5"/>
    <mergeCell ref="HMG5:HMM5"/>
    <mergeCell ref="HMN5:HMT5"/>
    <mergeCell ref="HMU5:HNA5"/>
    <mergeCell ref="HNB5:HNH5"/>
    <mergeCell ref="HNI5:HNO5"/>
    <mergeCell ref="HKJ5:HKP5"/>
    <mergeCell ref="HKQ5:HKW5"/>
    <mergeCell ref="HKX5:HLD5"/>
    <mergeCell ref="HLE5:HLK5"/>
    <mergeCell ref="HLL5:HLR5"/>
    <mergeCell ref="HLS5:HLY5"/>
    <mergeCell ref="HIT5:HIZ5"/>
    <mergeCell ref="HJA5:HJG5"/>
    <mergeCell ref="HJH5:HJN5"/>
    <mergeCell ref="HJO5:HJU5"/>
    <mergeCell ref="HJV5:HKB5"/>
    <mergeCell ref="HKC5:HKI5"/>
    <mergeCell ref="HHD5:HHJ5"/>
    <mergeCell ref="HHK5:HHQ5"/>
    <mergeCell ref="HHR5:HHX5"/>
    <mergeCell ref="HHY5:HIE5"/>
    <mergeCell ref="HIF5:HIL5"/>
    <mergeCell ref="HIM5:HIS5"/>
    <mergeCell ref="HFN5:HFT5"/>
    <mergeCell ref="HFU5:HGA5"/>
    <mergeCell ref="HGB5:HGH5"/>
    <mergeCell ref="HGI5:HGO5"/>
    <mergeCell ref="HGP5:HGV5"/>
    <mergeCell ref="HGW5:HHC5"/>
    <mergeCell ref="HDX5:HED5"/>
    <mergeCell ref="HEE5:HEK5"/>
    <mergeCell ref="HEL5:HER5"/>
    <mergeCell ref="HES5:HEY5"/>
    <mergeCell ref="HEZ5:HFF5"/>
    <mergeCell ref="HFG5:HFM5"/>
    <mergeCell ref="HCH5:HCN5"/>
    <mergeCell ref="HCO5:HCU5"/>
    <mergeCell ref="HCV5:HDB5"/>
    <mergeCell ref="HDC5:HDI5"/>
    <mergeCell ref="HDJ5:HDP5"/>
    <mergeCell ref="HDQ5:HDW5"/>
    <mergeCell ref="HAR5:HAX5"/>
    <mergeCell ref="HAY5:HBE5"/>
    <mergeCell ref="HBF5:HBL5"/>
    <mergeCell ref="HBM5:HBS5"/>
    <mergeCell ref="HBT5:HBZ5"/>
    <mergeCell ref="HCA5:HCG5"/>
    <mergeCell ref="GZB5:GZH5"/>
    <mergeCell ref="GZI5:GZO5"/>
    <mergeCell ref="GZP5:GZV5"/>
    <mergeCell ref="GZW5:HAC5"/>
    <mergeCell ref="HAD5:HAJ5"/>
    <mergeCell ref="HAK5:HAQ5"/>
    <mergeCell ref="GXL5:GXR5"/>
    <mergeCell ref="GXS5:GXY5"/>
    <mergeCell ref="GXZ5:GYF5"/>
    <mergeCell ref="GYG5:GYM5"/>
    <mergeCell ref="GYN5:GYT5"/>
    <mergeCell ref="GYU5:GZA5"/>
    <mergeCell ref="GVV5:GWB5"/>
    <mergeCell ref="GWC5:GWI5"/>
    <mergeCell ref="GWJ5:GWP5"/>
    <mergeCell ref="GWQ5:GWW5"/>
    <mergeCell ref="GWX5:GXD5"/>
    <mergeCell ref="GXE5:GXK5"/>
    <mergeCell ref="GUF5:GUL5"/>
    <mergeCell ref="GUM5:GUS5"/>
    <mergeCell ref="GUT5:GUZ5"/>
    <mergeCell ref="GVA5:GVG5"/>
    <mergeCell ref="GVH5:GVN5"/>
    <mergeCell ref="GVO5:GVU5"/>
    <mergeCell ref="GSP5:GSV5"/>
    <mergeCell ref="GSW5:GTC5"/>
    <mergeCell ref="GTD5:GTJ5"/>
    <mergeCell ref="GTK5:GTQ5"/>
    <mergeCell ref="GTR5:GTX5"/>
    <mergeCell ref="GTY5:GUE5"/>
    <mergeCell ref="GQZ5:GRF5"/>
    <mergeCell ref="GRG5:GRM5"/>
    <mergeCell ref="GRN5:GRT5"/>
    <mergeCell ref="GRU5:GSA5"/>
    <mergeCell ref="GSB5:GSH5"/>
    <mergeCell ref="GSI5:GSO5"/>
    <mergeCell ref="GPJ5:GPP5"/>
    <mergeCell ref="GPQ5:GPW5"/>
    <mergeCell ref="GPX5:GQD5"/>
    <mergeCell ref="GQE5:GQK5"/>
    <mergeCell ref="GQL5:GQR5"/>
    <mergeCell ref="GQS5:GQY5"/>
    <mergeCell ref="GNT5:GNZ5"/>
    <mergeCell ref="GOA5:GOG5"/>
    <mergeCell ref="GOH5:GON5"/>
    <mergeCell ref="GOO5:GOU5"/>
    <mergeCell ref="GOV5:GPB5"/>
    <mergeCell ref="GPC5:GPI5"/>
    <mergeCell ref="GMD5:GMJ5"/>
    <mergeCell ref="GMK5:GMQ5"/>
    <mergeCell ref="GMR5:GMX5"/>
    <mergeCell ref="GMY5:GNE5"/>
    <mergeCell ref="GNF5:GNL5"/>
    <mergeCell ref="GNM5:GNS5"/>
    <mergeCell ref="GKN5:GKT5"/>
    <mergeCell ref="GKU5:GLA5"/>
    <mergeCell ref="GLB5:GLH5"/>
    <mergeCell ref="GLI5:GLO5"/>
    <mergeCell ref="GLP5:GLV5"/>
    <mergeCell ref="GLW5:GMC5"/>
    <mergeCell ref="GIX5:GJD5"/>
    <mergeCell ref="GJE5:GJK5"/>
    <mergeCell ref="GJL5:GJR5"/>
    <mergeCell ref="GJS5:GJY5"/>
    <mergeCell ref="GJZ5:GKF5"/>
    <mergeCell ref="GKG5:GKM5"/>
    <mergeCell ref="GHH5:GHN5"/>
    <mergeCell ref="GHO5:GHU5"/>
    <mergeCell ref="GHV5:GIB5"/>
    <mergeCell ref="GIC5:GII5"/>
    <mergeCell ref="GIJ5:GIP5"/>
    <mergeCell ref="GIQ5:GIW5"/>
    <mergeCell ref="GFR5:GFX5"/>
    <mergeCell ref="GFY5:GGE5"/>
    <mergeCell ref="GGF5:GGL5"/>
    <mergeCell ref="GGM5:GGS5"/>
    <mergeCell ref="GGT5:GGZ5"/>
    <mergeCell ref="GHA5:GHG5"/>
    <mergeCell ref="GEB5:GEH5"/>
    <mergeCell ref="GEI5:GEO5"/>
    <mergeCell ref="GEP5:GEV5"/>
    <mergeCell ref="GEW5:GFC5"/>
    <mergeCell ref="GFD5:GFJ5"/>
    <mergeCell ref="GFK5:GFQ5"/>
    <mergeCell ref="GCL5:GCR5"/>
    <mergeCell ref="GCS5:GCY5"/>
    <mergeCell ref="GCZ5:GDF5"/>
    <mergeCell ref="GDG5:GDM5"/>
    <mergeCell ref="GDN5:GDT5"/>
    <mergeCell ref="GDU5:GEA5"/>
    <mergeCell ref="GAV5:GBB5"/>
    <mergeCell ref="GBC5:GBI5"/>
    <mergeCell ref="GBJ5:GBP5"/>
    <mergeCell ref="GBQ5:GBW5"/>
    <mergeCell ref="GBX5:GCD5"/>
    <mergeCell ref="GCE5:GCK5"/>
    <mergeCell ref="FZF5:FZL5"/>
    <mergeCell ref="FZM5:FZS5"/>
    <mergeCell ref="FZT5:FZZ5"/>
    <mergeCell ref="GAA5:GAG5"/>
    <mergeCell ref="GAH5:GAN5"/>
    <mergeCell ref="GAO5:GAU5"/>
    <mergeCell ref="FXP5:FXV5"/>
    <mergeCell ref="FXW5:FYC5"/>
    <mergeCell ref="FYD5:FYJ5"/>
    <mergeCell ref="FYK5:FYQ5"/>
    <mergeCell ref="FYR5:FYX5"/>
    <mergeCell ref="FYY5:FZE5"/>
    <mergeCell ref="FVZ5:FWF5"/>
    <mergeCell ref="FWG5:FWM5"/>
    <mergeCell ref="FWN5:FWT5"/>
    <mergeCell ref="FWU5:FXA5"/>
    <mergeCell ref="FXB5:FXH5"/>
    <mergeCell ref="FXI5:FXO5"/>
    <mergeCell ref="FUJ5:FUP5"/>
    <mergeCell ref="FUQ5:FUW5"/>
    <mergeCell ref="FUX5:FVD5"/>
    <mergeCell ref="FVE5:FVK5"/>
    <mergeCell ref="FVL5:FVR5"/>
    <mergeCell ref="FVS5:FVY5"/>
    <mergeCell ref="FST5:FSZ5"/>
    <mergeCell ref="FTA5:FTG5"/>
    <mergeCell ref="FTH5:FTN5"/>
    <mergeCell ref="FTO5:FTU5"/>
    <mergeCell ref="FTV5:FUB5"/>
    <mergeCell ref="FUC5:FUI5"/>
    <mergeCell ref="FRD5:FRJ5"/>
    <mergeCell ref="FRK5:FRQ5"/>
    <mergeCell ref="FRR5:FRX5"/>
    <mergeCell ref="FRY5:FSE5"/>
    <mergeCell ref="FSF5:FSL5"/>
    <mergeCell ref="FSM5:FSS5"/>
    <mergeCell ref="FPN5:FPT5"/>
    <mergeCell ref="FPU5:FQA5"/>
    <mergeCell ref="FQB5:FQH5"/>
    <mergeCell ref="FQI5:FQO5"/>
    <mergeCell ref="FQP5:FQV5"/>
    <mergeCell ref="FQW5:FRC5"/>
    <mergeCell ref="FNX5:FOD5"/>
    <mergeCell ref="FOE5:FOK5"/>
    <mergeCell ref="FOL5:FOR5"/>
    <mergeCell ref="FOS5:FOY5"/>
    <mergeCell ref="FOZ5:FPF5"/>
    <mergeCell ref="FPG5:FPM5"/>
    <mergeCell ref="FMH5:FMN5"/>
    <mergeCell ref="FMO5:FMU5"/>
    <mergeCell ref="FMV5:FNB5"/>
    <mergeCell ref="FNC5:FNI5"/>
    <mergeCell ref="FNJ5:FNP5"/>
    <mergeCell ref="FNQ5:FNW5"/>
    <mergeCell ref="FKR5:FKX5"/>
    <mergeCell ref="FKY5:FLE5"/>
    <mergeCell ref="FLF5:FLL5"/>
    <mergeCell ref="FLM5:FLS5"/>
    <mergeCell ref="FLT5:FLZ5"/>
    <mergeCell ref="FMA5:FMG5"/>
    <mergeCell ref="FJB5:FJH5"/>
    <mergeCell ref="FJI5:FJO5"/>
    <mergeCell ref="FJP5:FJV5"/>
    <mergeCell ref="FJW5:FKC5"/>
    <mergeCell ref="FKD5:FKJ5"/>
    <mergeCell ref="FKK5:FKQ5"/>
    <mergeCell ref="FHL5:FHR5"/>
    <mergeCell ref="FHS5:FHY5"/>
    <mergeCell ref="FHZ5:FIF5"/>
    <mergeCell ref="FIG5:FIM5"/>
    <mergeCell ref="FIN5:FIT5"/>
    <mergeCell ref="FIU5:FJA5"/>
    <mergeCell ref="FFV5:FGB5"/>
    <mergeCell ref="FGC5:FGI5"/>
    <mergeCell ref="FGJ5:FGP5"/>
    <mergeCell ref="FGQ5:FGW5"/>
    <mergeCell ref="FGX5:FHD5"/>
    <mergeCell ref="FHE5:FHK5"/>
    <mergeCell ref="FEF5:FEL5"/>
    <mergeCell ref="FEM5:FES5"/>
    <mergeCell ref="FET5:FEZ5"/>
    <mergeCell ref="FFA5:FFG5"/>
    <mergeCell ref="FFH5:FFN5"/>
    <mergeCell ref="FFO5:FFU5"/>
    <mergeCell ref="FCP5:FCV5"/>
    <mergeCell ref="FCW5:FDC5"/>
    <mergeCell ref="FDD5:FDJ5"/>
    <mergeCell ref="FDK5:FDQ5"/>
    <mergeCell ref="FDR5:FDX5"/>
    <mergeCell ref="FDY5:FEE5"/>
    <mergeCell ref="FAZ5:FBF5"/>
    <mergeCell ref="FBG5:FBM5"/>
    <mergeCell ref="FBN5:FBT5"/>
    <mergeCell ref="FBU5:FCA5"/>
    <mergeCell ref="FCB5:FCH5"/>
    <mergeCell ref="FCI5:FCO5"/>
    <mergeCell ref="EZJ5:EZP5"/>
    <mergeCell ref="EZQ5:EZW5"/>
    <mergeCell ref="EZX5:FAD5"/>
    <mergeCell ref="FAE5:FAK5"/>
    <mergeCell ref="FAL5:FAR5"/>
    <mergeCell ref="FAS5:FAY5"/>
    <mergeCell ref="EXT5:EXZ5"/>
    <mergeCell ref="EYA5:EYG5"/>
    <mergeCell ref="EYH5:EYN5"/>
    <mergeCell ref="EYO5:EYU5"/>
    <mergeCell ref="EYV5:EZB5"/>
    <mergeCell ref="EZC5:EZI5"/>
    <mergeCell ref="EWD5:EWJ5"/>
    <mergeCell ref="EWK5:EWQ5"/>
    <mergeCell ref="EWR5:EWX5"/>
    <mergeCell ref="EWY5:EXE5"/>
    <mergeCell ref="EXF5:EXL5"/>
    <mergeCell ref="EXM5:EXS5"/>
    <mergeCell ref="EUN5:EUT5"/>
    <mergeCell ref="EUU5:EVA5"/>
    <mergeCell ref="EVB5:EVH5"/>
    <mergeCell ref="EVI5:EVO5"/>
    <mergeCell ref="EVP5:EVV5"/>
    <mergeCell ref="EVW5:EWC5"/>
    <mergeCell ref="ESX5:ETD5"/>
    <mergeCell ref="ETE5:ETK5"/>
    <mergeCell ref="ETL5:ETR5"/>
    <mergeCell ref="ETS5:ETY5"/>
    <mergeCell ref="ETZ5:EUF5"/>
    <mergeCell ref="EUG5:EUM5"/>
    <mergeCell ref="ERH5:ERN5"/>
    <mergeCell ref="ERO5:ERU5"/>
    <mergeCell ref="ERV5:ESB5"/>
    <mergeCell ref="ESC5:ESI5"/>
    <mergeCell ref="ESJ5:ESP5"/>
    <mergeCell ref="ESQ5:ESW5"/>
    <mergeCell ref="EPR5:EPX5"/>
    <mergeCell ref="EPY5:EQE5"/>
    <mergeCell ref="EQF5:EQL5"/>
    <mergeCell ref="EQM5:EQS5"/>
    <mergeCell ref="EQT5:EQZ5"/>
    <mergeCell ref="ERA5:ERG5"/>
    <mergeCell ref="EOB5:EOH5"/>
    <mergeCell ref="EOI5:EOO5"/>
    <mergeCell ref="EOP5:EOV5"/>
    <mergeCell ref="EOW5:EPC5"/>
    <mergeCell ref="EPD5:EPJ5"/>
    <mergeCell ref="EPK5:EPQ5"/>
    <mergeCell ref="EML5:EMR5"/>
    <mergeCell ref="EMS5:EMY5"/>
    <mergeCell ref="EMZ5:ENF5"/>
    <mergeCell ref="ENG5:ENM5"/>
    <mergeCell ref="ENN5:ENT5"/>
    <mergeCell ref="ENU5:EOA5"/>
    <mergeCell ref="EKV5:ELB5"/>
    <mergeCell ref="ELC5:ELI5"/>
    <mergeCell ref="ELJ5:ELP5"/>
    <mergeCell ref="ELQ5:ELW5"/>
    <mergeCell ref="ELX5:EMD5"/>
    <mergeCell ref="EME5:EMK5"/>
    <mergeCell ref="EJF5:EJL5"/>
    <mergeCell ref="EJM5:EJS5"/>
    <mergeCell ref="EJT5:EJZ5"/>
    <mergeCell ref="EKA5:EKG5"/>
    <mergeCell ref="EKH5:EKN5"/>
    <mergeCell ref="EKO5:EKU5"/>
    <mergeCell ref="EHP5:EHV5"/>
    <mergeCell ref="EHW5:EIC5"/>
    <mergeCell ref="EID5:EIJ5"/>
    <mergeCell ref="EIK5:EIQ5"/>
    <mergeCell ref="EIR5:EIX5"/>
    <mergeCell ref="EIY5:EJE5"/>
    <mergeCell ref="EFZ5:EGF5"/>
    <mergeCell ref="EGG5:EGM5"/>
    <mergeCell ref="EGN5:EGT5"/>
    <mergeCell ref="EGU5:EHA5"/>
    <mergeCell ref="EHB5:EHH5"/>
    <mergeCell ref="EHI5:EHO5"/>
    <mergeCell ref="EEJ5:EEP5"/>
    <mergeCell ref="EEQ5:EEW5"/>
    <mergeCell ref="EEX5:EFD5"/>
    <mergeCell ref="EFE5:EFK5"/>
    <mergeCell ref="EFL5:EFR5"/>
    <mergeCell ref="EFS5:EFY5"/>
    <mergeCell ref="ECT5:ECZ5"/>
    <mergeCell ref="EDA5:EDG5"/>
    <mergeCell ref="EDH5:EDN5"/>
    <mergeCell ref="EDO5:EDU5"/>
    <mergeCell ref="EDV5:EEB5"/>
    <mergeCell ref="EEC5:EEI5"/>
    <mergeCell ref="EBD5:EBJ5"/>
    <mergeCell ref="EBK5:EBQ5"/>
    <mergeCell ref="EBR5:EBX5"/>
    <mergeCell ref="EBY5:ECE5"/>
    <mergeCell ref="ECF5:ECL5"/>
    <mergeCell ref="ECM5:ECS5"/>
    <mergeCell ref="DZN5:DZT5"/>
    <mergeCell ref="DZU5:EAA5"/>
    <mergeCell ref="EAB5:EAH5"/>
    <mergeCell ref="EAI5:EAO5"/>
    <mergeCell ref="EAP5:EAV5"/>
    <mergeCell ref="EAW5:EBC5"/>
    <mergeCell ref="DXX5:DYD5"/>
    <mergeCell ref="DYE5:DYK5"/>
    <mergeCell ref="DYL5:DYR5"/>
    <mergeCell ref="DYS5:DYY5"/>
    <mergeCell ref="DYZ5:DZF5"/>
    <mergeCell ref="DZG5:DZM5"/>
    <mergeCell ref="DWH5:DWN5"/>
    <mergeCell ref="DWO5:DWU5"/>
    <mergeCell ref="DWV5:DXB5"/>
    <mergeCell ref="DXC5:DXI5"/>
    <mergeCell ref="DXJ5:DXP5"/>
    <mergeCell ref="DXQ5:DXW5"/>
    <mergeCell ref="DUR5:DUX5"/>
    <mergeCell ref="DUY5:DVE5"/>
    <mergeCell ref="DVF5:DVL5"/>
    <mergeCell ref="DVM5:DVS5"/>
    <mergeCell ref="DVT5:DVZ5"/>
    <mergeCell ref="DWA5:DWG5"/>
    <mergeCell ref="DTB5:DTH5"/>
    <mergeCell ref="DTI5:DTO5"/>
    <mergeCell ref="DTP5:DTV5"/>
    <mergeCell ref="DTW5:DUC5"/>
    <mergeCell ref="DUD5:DUJ5"/>
    <mergeCell ref="DUK5:DUQ5"/>
    <mergeCell ref="DRL5:DRR5"/>
    <mergeCell ref="DRS5:DRY5"/>
    <mergeCell ref="DRZ5:DSF5"/>
    <mergeCell ref="DSG5:DSM5"/>
    <mergeCell ref="DSN5:DST5"/>
    <mergeCell ref="DSU5:DTA5"/>
    <mergeCell ref="DPV5:DQB5"/>
    <mergeCell ref="DQC5:DQI5"/>
    <mergeCell ref="DQJ5:DQP5"/>
    <mergeCell ref="DQQ5:DQW5"/>
    <mergeCell ref="DQX5:DRD5"/>
    <mergeCell ref="DRE5:DRK5"/>
    <mergeCell ref="DOF5:DOL5"/>
    <mergeCell ref="DOM5:DOS5"/>
    <mergeCell ref="DOT5:DOZ5"/>
    <mergeCell ref="DPA5:DPG5"/>
    <mergeCell ref="DPH5:DPN5"/>
    <mergeCell ref="DPO5:DPU5"/>
    <mergeCell ref="DMP5:DMV5"/>
    <mergeCell ref="DMW5:DNC5"/>
    <mergeCell ref="DND5:DNJ5"/>
    <mergeCell ref="DNK5:DNQ5"/>
    <mergeCell ref="DNR5:DNX5"/>
    <mergeCell ref="DNY5:DOE5"/>
    <mergeCell ref="DKZ5:DLF5"/>
    <mergeCell ref="DLG5:DLM5"/>
    <mergeCell ref="DLN5:DLT5"/>
    <mergeCell ref="DLU5:DMA5"/>
    <mergeCell ref="DMB5:DMH5"/>
    <mergeCell ref="DMI5:DMO5"/>
    <mergeCell ref="DJJ5:DJP5"/>
    <mergeCell ref="DJQ5:DJW5"/>
    <mergeCell ref="DJX5:DKD5"/>
    <mergeCell ref="DKE5:DKK5"/>
    <mergeCell ref="DKL5:DKR5"/>
    <mergeCell ref="DKS5:DKY5"/>
    <mergeCell ref="DHT5:DHZ5"/>
    <mergeCell ref="DIA5:DIG5"/>
    <mergeCell ref="DIH5:DIN5"/>
    <mergeCell ref="DIO5:DIU5"/>
    <mergeCell ref="DIV5:DJB5"/>
    <mergeCell ref="DJC5:DJI5"/>
    <mergeCell ref="DGD5:DGJ5"/>
    <mergeCell ref="DGK5:DGQ5"/>
    <mergeCell ref="DGR5:DGX5"/>
    <mergeCell ref="DGY5:DHE5"/>
    <mergeCell ref="DHF5:DHL5"/>
    <mergeCell ref="DHM5:DHS5"/>
    <mergeCell ref="DEN5:DET5"/>
    <mergeCell ref="DEU5:DFA5"/>
    <mergeCell ref="DFB5:DFH5"/>
    <mergeCell ref="DFI5:DFO5"/>
    <mergeCell ref="DFP5:DFV5"/>
    <mergeCell ref="DFW5:DGC5"/>
    <mergeCell ref="DCX5:DDD5"/>
    <mergeCell ref="DDE5:DDK5"/>
    <mergeCell ref="DDL5:DDR5"/>
    <mergeCell ref="DDS5:DDY5"/>
    <mergeCell ref="DDZ5:DEF5"/>
    <mergeCell ref="DEG5:DEM5"/>
    <mergeCell ref="DBH5:DBN5"/>
    <mergeCell ref="DBO5:DBU5"/>
    <mergeCell ref="DBV5:DCB5"/>
    <mergeCell ref="DCC5:DCI5"/>
    <mergeCell ref="DCJ5:DCP5"/>
    <mergeCell ref="DCQ5:DCW5"/>
    <mergeCell ref="CZR5:CZX5"/>
    <mergeCell ref="CZY5:DAE5"/>
    <mergeCell ref="DAF5:DAL5"/>
    <mergeCell ref="DAM5:DAS5"/>
    <mergeCell ref="DAT5:DAZ5"/>
    <mergeCell ref="DBA5:DBG5"/>
    <mergeCell ref="CYB5:CYH5"/>
    <mergeCell ref="CYI5:CYO5"/>
    <mergeCell ref="CYP5:CYV5"/>
    <mergeCell ref="CYW5:CZC5"/>
    <mergeCell ref="CZD5:CZJ5"/>
    <mergeCell ref="CZK5:CZQ5"/>
    <mergeCell ref="CWL5:CWR5"/>
    <mergeCell ref="CWS5:CWY5"/>
    <mergeCell ref="CWZ5:CXF5"/>
    <mergeCell ref="CXG5:CXM5"/>
    <mergeCell ref="CXN5:CXT5"/>
    <mergeCell ref="CXU5:CYA5"/>
    <mergeCell ref="CUV5:CVB5"/>
    <mergeCell ref="CVC5:CVI5"/>
    <mergeCell ref="CVJ5:CVP5"/>
    <mergeCell ref="CVQ5:CVW5"/>
    <mergeCell ref="CVX5:CWD5"/>
    <mergeCell ref="CWE5:CWK5"/>
    <mergeCell ref="CTF5:CTL5"/>
    <mergeCell ref="CTM5:CTS5"/>
    <mergeCell ref="CTT5:CTZ5"/>
    <mergeCell ref="CUA5:CUG5"/>
    <mergeCell ref="CUH5:CUN5"/>
    <mergeCell ref="CUO5:CUU5"/>
    <mergeCell ref="CRP5:CRV5"/>
    <mergeCell ref="CRW5:CSC5"/>
    <mergeCell ref="CSD5:CSJ5"/>
    <mergeCell ref="CSK5:CSQ5"/>
    <mergeCell ref="CSR5:CSX5"/>
    <mergeCell ref="CSY5:CTE5"/>
    <mergeCell ref="CPZ5:CQF5"/>
    <mergeCell ref="CQG5:CQM5"/>
    <mergeCell ref="CQN5:CQT5"/>
    <mergeCell ref="CQU5:CRA5"/>
    <mergeCell ref="CRB5:CRH5"/>
    <mergeCell ref="CRI5:CRO5"/>
    <mergeCell ref="COJ5:COP5"/>
    <mergeCell ref="COQ5:COW5"/>
    <mergeCell ref="COX5:CPD5"/>
    <mergeCell ref="CPE5:CPK5"/>
    <mergeCell ref="CPL5:CPR5"/>
    <mergeCell ref="CPS5:CPY5"/>
    <mergeCell ref="CMT5:CMZ5"/>
    <mergeCell ref="CNA5:CNG5"/>
    <mergeCell ref="CNH5:CNN5"/>
    <mergeCell ref="CNO5:CNU5"/>
    <mergeCell ref="CNV5:COB5"/>
    <mergeCell ref="COC5:COI5"/>
    <mergeCell ref="CLD5:CLJ5"/>
    <mergeCell ref="CLK5:CLQ5"/>
    <mergeCell ref="CLR5:CLX5"/>
    <mergeCell ref="CLY5:CME5"/>
    <mergeCell ref="CMF5:CML5"/>
    <mergeCell ref="CMM5:CMS5"/>
    <mergeCell ref="CJN5:CJT5"/>
    <mergeCell ref="CJU5:CKA5"/>
    <mergeCell ref="CKB5:CKH5"/>
    <mergeCell ref="CKI5:CKO5"/>
    <mergeCell ref="CKP5:CKV5"/>
    <mergeCell ref="CKW5:CLC5"/>
    <mergeCell ref="CHX5:CID5"/>
    <mergeCell ref="CIE5:CIK5"/>
    <mergeCell ref="CIL5:CIR5"/>
    <mergeCell ref="CIS5:CIY5"/>
    <mergeCell ref="CIZ5:CJF5"/>
    <mergeCell ref="CJG5:CJM5"/>
    <mergeCell ref="CGH5:CGN5"/>
    <mergeCell ref="CGO5:CGU5"/>
    <mergeCell ref="CGV5:CHB5"/>
    <mergeCell ref="CHC5:CHI5"/>
    <mergeCell ref="CHJ5:CHP5"/>
    <mergeCell ref="CHQ5:CHW5"/>
    <mergeCell ref="CER5:CEX5"/>
    <mergeCell ref="CEY5:CFE5"/>
    <mergeCell ref="CFF5:CFL5"/>
    <mergeCell ref="CFM5:CFS5"/>
    <mergeCell ref="CFT5:CFZ5"/>
    <mergeCell ref="CGA5:CGG5"/>
    <mergeCell ref="CDB5:CDH5"/>
    <mergeCell ref="CDI5:CDO5"/>
    <mergeCell ref="CDP5:CDV5"/>
    <mergeCell ref="CDW5:CEC5"/>
    <mergeCell ref="CED5:CEJ5"/>
    <mergeCell ref="CEK5:CEQ5"/>
    <mergeCell ref="CBL5:CBR5"/>
    <mergeCell ref="CBS5:CBY5"/>
    <mergeCell ref="CBZ5:CCF5"/>
    <mergeCell ref="CCG5:CCM5"/>
    <mergeCell ref="CCN5:CCT5"/>
    <mergeCell ref="CCU5:CDA5"/>
    <mergeCell ref="BZV5:CAB5"/>
    <mergeCell ref="CAC5:CAI5"/>
    <mergeCell ref="CAJ5:CAP5"/>
    <mergeCell ref="CAQ5:CAW5"/>
    <mergeCell ref="CAX5:CBD5"/>
    <mergeCell ref="CBE5:CBK5"/>
    <mergeCell ref="BYF5:BYL5"/>
    <mergeCell ref="BYM5:BYS5"/>
    <mergeCell ref="BYT5:BYZ5"/>
    <mergeCell ref="BZA5:BZG5"/>
    <mergeCell ref="BZH5:BZN5"/>
    <mergeCell ref="BZO5:BZU5"/>
    <mergeCell ref="BWP5:BWV5"/>
    <mergeCell ref="BWW5:BXC5"/>
    <mergeCell ref="BXD5:BXJ5"/>
    <mergeCell ref="BXK5:BXQ5"/>
    <mergeCell ref="BXR5:BXX5"/>
    <mergeCell ref="BXY5:BYE5"/>
    <mergeCell ref="BUZ5:BVF5"/>
    <mergeCell ref="BVG5:BVM5"/>
    <mergeCell ref="BVN5:BVT5"/>
    <mergeCell ref="BVU5:BWA5"/>
    <mergeCell ref="BWB5:BWH5"/>
    <mergeCell ref="BWI5:BWO5"/>
    <mergeCell ref="BTJ5:BTP5"/>
    <mergeCell ref="BTQ5:BTW5"/>
    <mergeCell ref="BTX5:BUD5"/>
    <mergeCell ref="BUE5:BUK5"/>
    <mergeCell ref="BUL5:BUR5"/>
    <mergeCell ref="BUS5:BUY5"/>
    <mergeCell ref="BRT5:BRZ5"/>
    <mergeCell ref="BSA5:BSG5"/>
    <mergeCell ref="BSH5:BSN5"/>
    <mergeCell ref="BSO5:BSU5"/>
    <mergeCell ref="BSV5:BTB5"/>
    <mergeCell ref="BTC5:BTI5"/>
    <mergeCell ref="BQD5:BQJ5"/>
    <mergeCell ref="BQK5:BQQ5"/>
    <mergeCell ref="BQR5:BQX5"/>
    <mergeCell ref="BQY5:BRE5"/>
    <mergeCell ref="BRF5:BRL5"/>
    <mergeCell ref="BRM5:BRS5"/>
    <mergeCell ref="BON5:BOT5"/>
    <mergeCell ref="BOU5:BPA5"/>
    <mergeCell ref="BPB5:BPH5"/>
    <mergeCell ref="BPI5:BPO5"/>
    <mergeCell ref="BPP5:BPV5"/>
    <mergeCell ref="BPW5:BQC5"/>
    <mergeCell ref="BMX5:BND5"/>
    <mergeCell ref="BNE5:BNK5"/>
    <mergeCell ref="BNL5:BNR5"/>
    <mergeCell ref="BNS5:BNY5"/>
    <mergeCell ref="BNZ5:BOF5"/>
    <mergeCell ref="BOG5:BOM5"/>
    <mergeCell ref="BLH5:BLN5"/>
    <mergeCell ref="BLO5:BLU5"/>
    <mergeCell ref="BLV5:BMB5"/>
    <mergeCell ref="BMC5:BMI5"/>
    <mergeCell ref="BMJ5:BMP5"/>
    <mergeCell ref="BMQ5:BMW5"/>
    <mergeCell ref="BJR5:BJX5"/>
    <mergeCell ref="BJY5:BKE5"/>
    <mergeCell ref="BKF5:BKL5"/>
    <mergeCell ref="BKM5:BKS5"/>
    <mergeCell ref="BKT5:BKZ5"/>
    <mergeCell ref="BLA5:BLG5"/>
    <mergeCell ref="BIB5:BIH5"/>
    <mergeCell ref="BII5:BIO5"/>
    <mergeCell ref="BIP5:BIV5"/>
    <mergeCell ref="BIW5:BJC5"/>
    <mergeCell ref="BJD5:BJJ5"/>
    <mergeCell ref="BJK5:BJQ5"/>
    <mergeCell ref="BGL5:BGR5"/>
    <mergeCell ref="BGS5:BGY5"/>
    <mergeCell ref="BGZ5:BHF5"/>
    <mergeCell ref="BHG5:BHM5"/>
    <mergeCell ref="BHN5:BHT5"/>
    <mergeCell ref="BHU5:BIA5"/>
    <mergeCell ref="BEV5:BFB5"/>
    <mergeCell ref="BFC5:BFI5"/>
    <mergeCell ref="BFJ5:BFP5"/>
    <mergeCell ref="BFQ5:BFW5"/>
    <mergeCell ref="BFX5:BGD5"/>
    <mergeCell ref="BGE5:BGK5"/>
    <mergeCell ref="BDF5:BDL5"/>
    <mergeCell ref="BDM5:BDS5"/>
    <mergeCell ref="BDT5:BDZ5"/>
    <mergeCell ref="BEA5:BEG5"/>
    <mergeCell ref="BEH5:BEN5"/>
    <mergeCell ref="BEO5:BEU5"/>
    <mergeCell ref="BBP5:BBV5"/>
    <mergeCell ref="BBW5:BCC5"/>
    <mergeCell ref="BCD5:BCJ5"/>
    <mergeCell ref="BCK5:BCQ5"/>
    <mergeCell ref="BCR5:BCX5"/>
    <mergeCell ref="BCY5:BDE5"/>
    <mergeCell ref="AZZ5:BAF5"/>
    <mergeCell ref="BAG5:BAM5"/>
    <mergeCell ref="BAN5:BAT5"/>
    <mergeCell ref="BAU5:BBA5"/>
    <mergeCell ref="BBB5:BBH5"/>
    <mergeCell ref="BBI5:BBO5"/>
    <mergeCell ref="AYJ5:AYP5"/>
    <mergeCell ref="AYQ5:AYW5"/>
    <mergeCell ref="AYX5:AZD5"/>
    <mergeCell ref="AZE5:AZK5"/>
    <mergeCell ref="AZL5:AZR5"/>
    <mergeCell ref="AZS5:AZY5"/>
    <mergeCell ref="AWT5:AWZ5"/>
    <mergeCell ref="AXA5:AXG5"/>
    <mergeCell ref="AXH5:AXN5"/>
    <mergeCell ref="AXO5:AXU5"/>
    <mergeCell ref="AXV5:AYB5"/>
    <mergeCell ref="AYC5:AYI5"/>
    <mergeCell ref="AVD5:AVJ5"/>
    <mergeCell ref="AVK5:AVQ5"/>
    <mergeCell ref="AVR5:AVX5"/>
    <mergeCell ref="AVY5:AWE5"/>
    <mergeCell ref="AWF5:AWL5"/>
    <mergeCell ref="AWM5:AWS5"/>
    <mergeCell ref="ATN5:ATT5"/>
    <mergeCell ref="ATU5:AUA5"/>
    <mergeCell ref="AUB5:AUH5"/>
    <mergeCell ref="AUI5:AUO5"/>
    <mergeCell ref="AUP5:AUV5"/>
    <mergeCell ref="AUW5:AVC5"/>
    <mergeCell ref="ARX5:ASD5"/>
    <mergeCell ref="ASE5:ASK5"/>
    <mergeCell ref="ASL5:ASR5"/>
    <mergeCell ref="ASS5:ASY5"/>
    <mergeCell ref="ASZ5:ATF5"/>
    <mergeCell ref="ATG5:ATM5"/>
    <mergeCell ref="AQH5:AQN5"/>
    <mergeCell ref="AQO5:AQU5"/>
    <mergeCell ref="AQV5:ARB5"/>
    <mergeCell ref="ARC5:ARI5"/>
    <mergeCell ref="ARJ5:ARP5"/>
    <mergeCell ref="ARQ5:ARW5"/>
    <mergeCell ref="AOR5:AOX5"/>
    <mergeCell ref="AOY5:APE5"/>
    <mergeCell ref="APF5:APL5"/>
    <mergeCell ref="APM5:APS5"/>
    <mergeCell ref="APT5:APZ5"/>
    <mergeCell ref="AQA5:AQG5"/>
    <mergeCell ref="ANB5:ANH5"/>
    <mergeCell ref="ANI5:ANO5"/>
    <mergeCell ref="ANP5:ANV5"/>
    <mergeCell ref="ANW5:AOC5"/>
    <mergeCell ref="AOD5:AOJ5"/>
    <mergeCell ref="AOK5:AOQ5"/>
    <mergeCell ref="ALL5:ALR5"/>
    <mergeCell ref="ALS5:ALY5"/>
    <mergeCell ref="ALZ5:AMF5"/>
    <mergeCell ref="AMG5:AMM5"/>
    <mergeCell ref="AMN5:AMT5"/>
    <mergeCell ref="AMU5:ANA5"/>
    <mergeCell ref="AJV5:AKB5"/>
    <mergeCell ref="AKC5:AKI5"/>
    <mergeCell ref="AKJ5:AKP5"/>
    <mergeCell ref="AKQ5:AKW5"/>
    <mergeCell ref="AKX5:ALD5"/>
    <mergeCell ref="ALE5:ALK5"/>
    <mergeCell ref="AIF5:AIL5"/>
    <mergeCell ref="AIM5:AIS5"/>
    <mergeCell ref="AIT5:AIZ5"/>
    <mergeCell ref="AJA5:AJG5"/>
    <mergeCell ref="AJH5:AJN5"/>
    <mergeCell ref="AJO5:AJU5"/>
    <mergeCell ref="AGP5:AGV5"/>
    <mergeCell ref="AGW5:AHC5"/>
    <mergeCell ref="AHD5:AHJ5"/>
    <mergeCell ref="AHK5:AHQ5"/>
    <mergeCell ref="AHR5:AHX5"/>
    <mergeCell ref="AHY5:AIE5"/>
    <mergeCell ref="AEZ5:AFF5"/>
    <mergeCell ref="AFG5:AFM5"/>
    <mergeCell ref="AFN5:AFT5"/>
    <mergeCell ref="AFU5:AGA5"/>
    <mergeCell ref="AGB5:AGH5"/>
    <mergeCell ref="AGI5:AGO5"/>
    <mergeCell ref="ADJ5:ADP5"/>
    <mergeCell ref="ADQ5:ADW5"/>
    <mergeCell ref="ADX5:AED5"/>
    <mergeCell ref="AEE5:AEK5"/>
    <mergeCell ref="AEL5:AER5"/>
    <mergeCell ref="AES5:AEY5"/>
    <mergeCell ref="ABT5:ABZ5"/>
    <mergeCell ref="ACA5:ACG5"/>
    <mergeCell ref="ACH5:ACN5"/>
    <mergeCell ref="ACO5:ACU5"/>
    <mergeCell ref="ACV5:ADB5"/>
    <mergeCell ref="ADC5:ADI5"/>
    <mergeCell ref="AAD5:AAJ5"/>
    <mergeCell ref="AAK5:AAQ5"/>
    <mergeCell ref="AAR5:AAX5"/>
    <mergeCell ref="AAY5:ABE5"/>
    <mergeCell ref="ABF5:ABL5"/>
    <mergeCell ref="ABM5:ABS5"/>
    <mergeCell ref="YN5:YT5"/>
    <mergeCell ref="YU5:ZA5"/>
    <mergeCell ref="ZB5:ZH5"/>
    <mergeCell ref="ZI5:ZO5"/>
    <mergeCell ref="ZP5:ZV5"/>
    <mergeCell ref="ZW5:AAC5"/>
    <mergeCell ref="WX5:XD5"/>
    <mergeCell ref="XE5:XK5"/>
    <mergeCell ref="XL5:XR5"/>
    <mergeCell ref="XS5:XY5"/>
    <mergeCell ref="XZ5:YF5"/>
    <mergeCell ref="YG5:YM5"/>
    <mergeCell ref="VH5:VN5"/>
    <mergeCell ref="VO5:VU5"/>
    <mergeCell ref="VV5:WB5"/>
    <mergeCell ref="WC5:WI5"/>
    <mergeCell ref="WJ5:WP5"/>
    <mergeCell ref="WQ5:WW5"/>
    <mergeCell ref="TR5:TX5"/>
    <mergeCell ref="TY5:UE5"/>
    <mergeCell ref="UF5:UL5"/>
    <mergeCell ref="UM5:US5"/>
    <mergeCell ref="UT5:UZ5"/>
    <mergeCell ref="VA5:VG5"/>
    <mergeCell ref="SB5:SH5"/>
    <mergeCell ref="SI5:SO5"/>
    <mergeCell ref="SP5:SV5"/>
    <mergeCell ref="SW5:TC5"/>
    <mergeCell ref="TD5:TJ5"/>
    <mergeCell ref="TK5:TQ5"/>
    <mergeCell ref="QL5:QR5"/>
    <mergeCell ref="QS5:QY5"/>
    <mergeCell ref="QZ5:RF5"/>
    <mergeCell ref="RG5:RM5"/>
    <mergeCell ref="RN5:RT5"/>
    <mergeCell ref="RU5:SA5"/>
    <mergeCell ref="OV5:PB5"/>
    <mergeCell ref="PC5:PI5"/>
    <mergeCell ref="PJ5:PP5"/>
    <mergeCell ref="PQ5:PW5"/>
    <mergeCell ref="PX5:QD5"/>
    <mergeCell ref="QE5:QK5"/>
    <mergeCell ref="NF5:NL5"/>
    <mergeCell ref="NM5:NS5"/>
    <mergeCell ref="NT5:NZ5"/>
    <mergeCell ref="OA5:OG5"/>
    <mergeCell ref="OH5:ON5"/>
    <mergeCell ref="OO5:OU5"/>
    <mergeCell ref="LP5:LV5"/>
    <mergeCell ref="LW5:MC5"/>
    <mergeCell ref="MD5:MJ5"/>
    <mergeCell ref="MK5:MQ5"/>
    <mergeCell ref="MR5:MX5"/>
    <mergeCell ref="MY5:NE5"/>
    <mergeCell ref="JZ5:KF5"/>
    <mergeCell ref="KG5:KM5"/>
    <mergeCell ref="KN5:KT5"/>
    <mergeCell ref="KU5:LA5"/>
    <mergeCell ref="LB5:LH5"/>
    <mergeCell ref="LI5:LO5"/>
    <mergeCell ref="IJ5:IP5"/>
    <mergeCell ref="IQ5:IW5"/>
    <mergeCell ref="IX5:JD5"/>
    <mergeCell ref="JE5:JK5"/>
    <mergeCell ref="JL5:JR5"/>
    <mergeCell ref="JS5:JY5"/>
    <mergeCell ref="GT5:GZ5"/>
    <mergeCell ref="HA5:HG5"/>
    <mergeCell ref="HH5:HN5"/>
    <mergeCell ref="HO5:HU5"/>
    <mergeCell ref="HV5:IB5"/>
    <mergeCell ref="IC5:II5"/>
    <mergeCell ref="FD5:FJ5"/>
    <mergeCell ref="FK5:FQ5"/>
    <mergeCell ref="FR5:FX5"/>
    <mergeCell ref="FY5:GE5"/>
    <mergeCell ref="GF5:GL5"/>
    <mergeCell ref="GM5:GS5"/>
    <mergeCell ref="DN5:DT5"/>
    <mergeCell ref="DU5:EA5"/>
    <mergeCell ref="EB5:EH5"/>
    <mergeCell ref="EI5:EO5"/>
    <mergeCell ref="EP5:EV5"/>
    <mergeCell ref="EW5:FC5"/>
    <mergeCell ref="BX5:CD5"/>
    <mergeCell ref="CE5:CK5"/>
    <mergeCell ref="CL5:CR5"/>
    <mergeCell ref="CS5:CY5"/>
    <mergeCell ref="CZ5:DF5"/>
    <mergeCell ref="DG5:DM5"/>
    <mergeCell ref="AH5:AN5"/>
    <mergeCell ref="AO5:AU5"/>
    <mergeCell ref="AV5:BB5"/>
    <mergeCell ref="BC5:BI5"/>
    <mergeCell ref="BJ5:BP5"/>
    <mergeCell ref="BQ5:BW5"/>
    <mergeCell ref="A4:H4"/>
    <mergeCell ref="A5:H5"/>
    <mergeCell ref="I5:L5"/>
    <mergeCell ref="M5:S5"/>
    <mergeCell ref="T5:Z5"/>
    <mergeCell ref="AA5:AG5"/>
    <mergeCell ref="A1:H1"/>
    <mergeCell ref="I1:N1"/>
    <mergeCell ref="A2:H2"/>
    <mergeCell ref="I2:N2"/>
    <mergeCell ref="A3:H3"/>
    <mergeCell ref="I3:N3"/>
  </mergeCells>
  <printOptions horizontalCentered="1"/>
  <pageMargins left="0.5" right="0.5" top="0.75" bottom="0.75" header="0.5" footer="0.5"/>
  <pageSetup scale="90" fitToHeight="3" orientation="landscape" r:id="rId1"/>
  <headerFooter alignWithMargins="0">
    <oddFooter>&amp;C&amp;"Times New Roman,Regular"Page &amp;P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24596-305A-4F0B-99A1-BE03DF69A8B0}">
  <sheetPr>
    <tabColor rgb="FFCCFFFF"/>
  </sheetPr>
  <dimension ref="A1:J267"/>
  <sheetViews>
    <sheetView zoomScaleNormal="100" workbookViewId="0">
      <selection activeCell="A11" sqref="A11"/>
    </sheetView>
  </sheetViews>
  <sheetFormatPr defaultColWidth="10.5859375" defaultRowHeight="12.6" x14ac:dyDescent="0.45"/>
  <cols>
    <col min="1" max="2" width="12.05859375" style="198" customWidth="1"/>
    <col min="3" max="3" width="24.05859375" style="142" customWidth="1"/>
    <col min="4" max="4" width="88" style="142" customWidth="1"/>
    <col min="5" max="5" width="12.05859375" style="169" customWidth="1"/>
    <col min="6" max="6" width="7.46875" style="199" customWidth="1"/>
    <col min="7" max="7" width="11.5859375" style="200" customWidth="1"/>
    <col min="8" max="8" width="15.3515625" style="201" customWidth="1"/>
    <col min="9" max="16384" width="10.5859375" style="142"/>
  </cols>
  <sheetData>
    <row r="1" spans="1:9" ht="12.75" customHeight="1" x14ac:dyDescent="0.45">
      <c r="A1" s="390" t="s">
        <v>4992</v>
      </c>
      <c r="B1" s="390"/>
      <c r="C1" s="390"/>
      <c r="D1" s="390"/>
      <c r="E1" s="390"/>
      <c r="F1" s="390"/>
      <c r="G1" s="390"/>
      <c r="H1" s="390"/>
    </row>
    <row r="2" spans="1:9" ht="12.75" customHeight="1" x14ac:dyDescent="0.45">
      <c r="A2" s="390" t="s">
        <v>0</v>
      </c>
      <c r="B2" s="390"/>
      <c r="C2" s="390"/>
      <c r="D2" s="390"/>
      <c r="E2" s="390"/>
      <c r="F2" s="390"/>
      <c r="G2" s="390"/>
      <c r="H2" s="390"/>
    </row>
    <row r="3" spans="1:9" ht="12.75" customHeight="1" x14ac:dyDescent="0.45">
      <c r="A3" s="390" t="s">
        <v>4991</v>
      </c>
      <c r="B3" s="390"/>
      <c r="C3" s="390"/>
      <c r="D3" s="390"/>
      <c r="E3" s="390"/>
      <c r="F3" s="390"/>
      <c r="G3" s="390"/>
      <c r="H3" s="390"/>
    </row>
    <row r="4" spans="1:9" x14ac:dyDescent="0.45">
      <c r="A4" s="410"/>
      <c r="B4" s="410"/>
      <c r="C4" s="410"/>
      <c r="D4" s="410"/>
      <c r="E4" s="410"/>
      <c r="F4" s="410"/>
      <c r="G4" s="410"/>
      <c r="H4" s="410"/>
    </row>
    <row r="5" spans="1:9" x14ac:dyDescent="0.45">
      <c r="A5" s="410" t="s">
        <v>5004</v>
      </c>
      <c r="B5" s="410"/>
      <c r="C5" s="410"/>
      <c r="D5" s="410"/>
      <c r="E5" s="410"/>
      <c r="F5" s="410"/>
      <c r="G5" s="410"/>
      <c r="H5" s="410"/>
    </row>
    <row r="6" spans="1:9" x14ac:dyDescent="0.45">
      <c r="A6" s="410" t="s">
        <v>2752</v>
      </c>
      <c r="B6" s="410"/>
      <c r="C6" s="410"/>
      <c r="D6" s="410"/>
      <c r="E6" s="410"/>
      <c r="F6" s="410"/>
      <c r="G6" s="410"/>
      <c r="H6" s="410"/>
    </row>
    <row r="7" spans="1:9" x14ac:dyDescent="0.45">
      <c r="A7" s="410"/>
      <c r="B7" s="410"/>
      <c r="C7" s="410"/>
      <c r="D7" s="410"/>
      <c r="E7" s="410"/>
      <c r="F7" s="410"/>
      <c r="G7" s="410"/>
      <c r="H7" s="410"/>
    </row>
    <row r="8" spans="1:9" x14ac:dyDescent="0.45">
      <c r="A8" s="413" t="s">
        <v>2753</v>
      </c>
      <c r="B8" s="414"/>
      <c r="C8" s="414"/>
      <c r="D8" s="415"/>
      <c r="E8" s="415"/>
      <c r="F8" s="415"/>
      <c r="G8" s="415"/>
      <c r="H8" s="416"/>
    </row>
    <row r="9" spans="1:9" ht="27.7" customHeight="1" x14ac:dyDescent="0.45">
      <c r="A9" s="417" t="s">
        <v>457</v>
      </c>
      <c r="B9" s="418"/>
      <c r="C9" s="418"/>
      <c r="D9" s="418"/>
      <c r="E9" s="418"/>
      <c r="F9" s="418"/>
      <c r="G9" s="418"/>
      <c r="H9" s="419"/>
    </row>
    <row r="10" spans="1:9" x14ac:dyDescent="0.45">
      <c r="A10" s="420" t="s">
        <v>2754</v>
      </c>
      <c r="B10" s="421"/>
      <c r="C10" s="421"/>
      <c r="D10" s="421"/>
      <c r="E10" s="421"/>
      <c r="F10" s="421"/>
      <c r="G10" s="421"/>
      <c r="H10" s="422"/>
    </row>
    <row r="11" spans="1:9" s="207" customFormat="1" ht="24.6" x14ac:dyDescent="0.45">
      <c r="A11" s="435" t="s">
        <v>459</v>
      </c>
      <c r="B11" s="143" t="s">
        <v>460</v>
      </c>
      <c r="C11" s="144" t="s">
        <v>461</v>
      </c>
      <c r="D11" s="145" t="s">
        <v>462</v>
      </c>
      <c r="E11" s="146" t="s">
        <v>463</v>
      </c>
      <c r="F11" s="147" t="s">
        <v>464</v>
      </c>
      <c r="G11" s="148" t="s">
        <v>465</v>
      </c>
      <c r="H11" s="149" t="s">
        <v>466</v>
      </c>
    </row>
    <row r="12" spans="1:9" s="208" customFormat="1" x14ac:dyDescent="0.45">
      <c r="A12" s="423" t="s">
        <v>467</v>
      </c>
      <c r="B12" s="424"/>
      <c r="C12" s="425"/>
      <c r="D12" s="425"/>
      <c r="E12" s="150"/>
      <c r="F12" s="151"/>
      <c r="G12" s="152"/>
      <c r="H12" s="153"/>
    </row>
    <row r="13" spans="1:9" ht="7.5" customHeight="1" x14ac:dyDescent="0.45">
      <c r="A13" s="154"/>
      <c r="B13" s="154"/>
      <c r="C13" s="155"/>
      <c r="D13" s="155"/>
      <c r="E13" s="156"/>
      <c r="F13" s="155"/>
      <c r="G13" s="157"/>
      <c r="H13" s="158"/>
    </row>
    <row r="14" spans="1:9" ht="13" customHeight="1" x14ac:dyDescent="0.45">
      <c r="A14" s="159"/>
      <c r="B14" s="160">
        <v>200000</v>
      </c>
      <c r="C14" s="159"/>
      <c r="D14" s="159" t="s">
        <v>468</v>
      </c>
      <c r="E14" s="209"/>
      <c r="F14" s="209"/>
      <c r="G14" s="210"/>
      <c r="H14" s="211"/>
    </row>
    <row r="15" spans="1:9" ht="50.4" x14ac:dyDescent="0.45">
      <c r="A15" s="164" t="s">
        <v>2755</v>
      </c>
      <c r="B15" s="164"/>
      <c r="C15" s="212" t="s">
        <v>470</v>
      </c>
      <c r="D15" s="165" t="s">
        <v>471</v>
      </c>
      <c r="E15" s="166"/>
      <c r="F15" s="164" t="s">
        <v>472</v>
      </c>
      <c r="G15" s="167">
        <v>5</v>
      </c>
      <c r="H15" s="168">
        <f>SUM(E15)*G15</f>
        <v>0</v>
      </c>
      <c r="I15" s="169"/>
    </row>
    <row r="16" spans="1:9" x14ac:dyDescent="0.45">
      <c r="A16" s="118" t="s">
        <v>2756</v>
      </c>
      <c r="B16" s="184" t="s">
        <v>180</v>
      </c>
      <c r="D16" s="120"/>
      <c r="E16" s="171"/>
      <c r="F16" s="171"/>
      <c r="G16" s="142"/>
      <c r="H16" s="168"/>
    </row>
    <row r="17" spans="1:8" ht="13" customHeight="1" x14ac:dyDescent="0.45">
      <c r="A17" s="159"/>
      <c r="B17" s="159">
        <v>1401000</v>
      </c>
      <c r="C17" s="159"/>
      <c r="D17" s="159" t="s">
        <v>474</v>
      </c>
      <c r="E17" s="159"/>
      <c r="F17" s="159"/>
      <c r="G17" s="159"/>
      <c r="H17" s="163"/>
    </row>
    <row r="18" spans="1:8" ht="75.599999999999994" x14ac:dyDescent="0.45">
      <c r="A18" s="171" t="s">
        <v>2757</v>
      </c>
      <c r="B18" s="171"/>
      <c r="C18" s="184" t="s">
        <v>476</v>
      </c>
      <c r="D18" s="106" t="s">
        <v>477</v>
      </c>
      <c r="E18" s="166"/>
      <c r="F18" s="171" t="s">
        <v>472</v>
      </c>
      <c r="G18" s="172">
        <v>4</v>
      </c>
      <c r="H18" s="168">
        <f t="shared" ref="H18:H29" si="0">SUM(E18)*G18</f>
        <v>0</v>
      </c>
    </row>
    <row r="19" spans="1:8" ht="50.4" x14ac:dyDescent="0.45">
      <c r="A19" s="171" t="s">
        <v>2758</v>
      </c>
      <c r="B19" s="171"/>
      <c r="C19" s="106" t="s">
        <v>479</v>
      </c>
      <c r="D19" s="106" t="s">
        <v>480</v>
      </c>
      <c r="E19" s="166"/>
      <c r="F19" s="171" t="s">
        <v>472</v>
      </c>
      <c r="G19" s="172">
        <v>4</v>
      </c>
      <c r="H19" s="168">
        <f t="shared" si="0"/>
        <v>0</v>
      </c>
    </row>
    <row r="20" spans="1:8" ht="50.4" x14ac:dyDescent="0.45">
      <c r="A20" s="171" t="s">
        <v>2759</v>
      </c>
      <c r="B20" s="171"/>
      <c r="C20" s="106" t="s">
        <v>482</v>
      </c>
      <c r="D20" s="106" t="s">
        <v>483</v>
      </c>
      <c r="E20" s="166"/>
      <c r="F20" s="171" t="s">
        <v>472</v>
      </c>
      <c r="G20" s="172">
        <v>4</v>
      </c>
      <c r="H20" s="168">
        <f t="shared" si="0"/>
        <v>0</v>
      </c>
    </row>
    <row r="21" spans="1:8" ht="50.4" x14ac:dyDescent="0.45">
      <c r="A21" s="171" t="s">
        <v>2760</v>
      </c>
      <c r="B21" s="171"/>
      <c r="C21" s="106" t="s">
        <v>485</v>
      </c>
      <c r="D21" s="106" t="s">
        <v>486</v>
      </c>
      <c r="E21" s="166"/>
      <c r="F21" s="171" t="s">
        <v>472</v>
      </c>
      <c r="G21" s="172">
        <v>8</v>
      </c>
      <c r="H21" s="168">
        <f t="shared" si="0"/>
        <v>0</v>
      </c>
    </row>
    <row r="22" spans="1:8" ht="63" x14ac:dyDescent="0.45">
      <c r="A22" s="171" t="s">
        <v>2761</v>
      </c>
      <c r="B22" s="171"/>
      <c r="C22" s="106" t="s">
        <v>488</v>
      </c>
      <c r="D22" s="106" t="s">
        <v>489</v>
      </c>
      <c r="E22" s="166"/>
      <c r="F22" s="171" t="s">
        <v>472</v>
      </c>
      <c r="G22" s="172">
        <v>4</v>
      </c>
      <c r="H22" s="168">
        <f t="shared" si="0"/>
        <v>0</v>
      </c>
    </row>
    <row r="23" spans="1:8" ht="50.4" x14ac:dyDescent="0.45">
      <c r="A23" s="171" t="s">
        <v>2762</v>
      </c>
      <c r="B23" s="171"/>
      <c r="C23" s="106" t="s">
        <v>491</v>
      </c>
      <c r="D23" s="106" t="s">
        <v>492</v>
      </c>
      <c r="E23" s="166"/>
      <c r="F23" s="171" t="s">
        <v>472</v>
      </c>
      <c r="G23" s="172">
        <v>4</v>
      </c>
      <c r="H23" s="168">
        <f t="shared" si="0"/>
        <v>0</v>
      </c>
    </row>
    <row r="24" spans="1:8" ht="50.4" x14ac:dyDescent="0.45">
      <c r="A24" s="171" t="s">
        <v>2763</v>
      </c>
      <c r="B24" s="171"/>
      <c r="C24" s="106" t="s">
        <v>494</v>
      </c>
      <c r="D24" s="106" t="s">
        <v>495</v>
      </c>
      <c r="E24" s="166"/>
      <c r="F24" s="171" t="s">
        <v>472</v>
      </c>
      <c r="G24" s="172">
        <v>4</v>
      </c>
      <c r="H24" s="168">
        <f t="shared" si="0"/>
        <v>0</v>
      </c>
    </row>
    <row r="25" spans="1:8" ht="50.4" x14ac:dyDescent="0.45">
      <c r="A25" s="171" t="s">
        <v>2764</v>
      </c>
      <c r="B25" s="171"/>
      <c r="C25" s="106" t="s">
        <v>497</v>
      </c>
      <c r="D25" s="106" t="s">
        <v>498</v>
      </c>
      <c r="E25" s="166"/>
      <c r="F25" s="171" t="s">
        <v>472</v>
      </c>
      <c r="G25" s="172">
        <v>4</v>
      </c>
      <c r="H25" s="168">
        <f t="shared" si="0"/>
        <v>0</v>
      </c>
    </row>
    <row r="26" spans="1:8" ht="50.4" x14ac:dyDescent="0.45">
      <c r="A26" s="171" t="s">
        <v>2765</v>
      </c>
      <c r="B26" s="171"/>
      <c r="C26" s="106" t="s">
        <v>500</v>
      </c>
      <c r="D26" s="106" t="s">
        <v>501</v>
      </c>
      <c r="E26" s="166"/>
      <c r="F26" s="171" t="s">
        <v>472</v>
      </c>
      <c r="G26" s="172">
        <v>4</v>
      </c>
      <c r="H26" s="168">
        <f t="shared" si="0"/>
        <v>0</v>
      </c>
    </row>
    <row r="27" spans="1:8" s="177" customFormat="1" ht="100.8" x14ac:dyDescent="0.45">
      <c r="A27" s="173" t="s">
        <v>2766</v>
      </c>
      <c r="B27" s="173"/>
      <c r="C27" s="174" t="s">
        <v>503</v>
      </c>
      <c r="D27" s="174" t="s">
        <v>504</v>
      </c>
      <c r="E27" s="166"/>
      <c r="F27" s="173" t="s">
        <v>472</v>
      </c>
      <c r="G27" s="175">
        <v>10</v>
      </c>
      <c r="H27" s="176">
        <f t="shared" si="0"/>
        <v>0</v>
      </c>
    </row>
    <row r="28" spans="1:8" ht="75.599999999999994" x14ac:dyDescent="0.45">
      <c r="A28" s="171" t="s">
        <v>2767</v>
      </c>
      <c r="B28" s="171"/>
      <c r="C28" s="106" t="s">
        <v>506</v>
      </c>
      <c r="D28" s="178" t="s">
        <v>507</v>
      </c>
      <c r="E28" s="166"/>
      <c r="F28" s="171" t="s">
        <v>508</v>
      </c>
      <c r="G28" s="172">
        <v>300</v>
      </c>
      <c r="H28" s="168">
        <f t="shared" si="0"/>
        <v>0</v>
      </c>
    </row>
    <row r="29" spans="1:8" ht="75.599999999999994" x14ac:dyDescent="0.45">
      <c r="A29" s="171" t="s">
        <v>2768</v>
      </c>
      <c r="B29" s="171"/>
      <c r="C29" s="106" t="s">
        <v>510</v>
      </c>
      <c r="D29" s="178" t="s">
        <v>511</v>
      </c>
      <c r="E29" s="166"/>
      <c r="F29" s="171" t="s">
        <v>508</v>
      </c>
      <c r="G29" s="172">
        <v>300</v>
      </c>
      <c r="H29" s="168">
        <f t="shared" si="0"/>
        <v>0</v>
      </c>
    </row>
    <row r="30" spans="1:8" x14ac:dyDescent="0.45">
      <c r="A30" s="118" t="s">
        <v>2769</v>
      </c>
      <c r="B30" s="184" t="s">
        <v>180</v>
      </c>
      <c r="D30" s="120"/>
      <c r="E30" s="171"/>
      <c r="F30" s="218"/>
      <c r="G30" s="218"/>
      <c r="H30" s="168"/>
    </row>
    <row r="31" spans="1:8" ht="13" customHeight="1" x14ac:dyDescent="0.45">
      <c r="A31" s="159"/>
      <c r="B31" s="159">
        <v>1402000</v>
      </c>
      <c r="C31" s="159"/>
      <c r="D31" s="159" t="s">
        <v>513</v>
      </c>
      <c r="E31" s="159"/>
      <c r="F31" s="159"/>
      <c r="G31" s="159"/>
      <c r="H31" s="163"/>
    </row>
    <row r="32" spans="1:8" ht="63" x14ac:dyDescent="0.45">
      <c r="A32" s="171" t="s">
        <v>2770</v>
      </c>
      <c r="B32" s="171"/>
      <c r="C32" s="184" t="s">
        <v>515</v>
      </c>
      <c r="D32" s="184" t="s">
        <v>516</v>
      </c>
      <c r="E32" s="166"/>
      <c r="F32" s="171" t="s">
        <v>472</v>
      </c>
      <c r="G32" s="172">
        <v>50</v>
      </c>
      <c r="H32" s="168">
        <f>SUM(E32)*G32</f>
        <v>0</v>
      </c>
    </row>
    <row r="33" spans="1:8" ht="63" x14ac:dyDescent="0.45">
      <c r="A33" s="171" t="s">
        <v>2771</v>
      </c>
      <c r="B33" s="171"/>
      <c r="C33" s="184" t="s">
        <v>518</v>
      </c>
      <c r="D33" s="184" t="s">
        <v>519</v>
      </c>
      <c r="E33" s="166"/>
      <c r="F33" s="171" t="s">
        <v>472</v>
      </c>
      <c r="G33" s="172">
        <v>40</v>
      </c>
      <c r="H33" s="168">
        <f>SUM(E33)*G33</f>
        <v>0</v>
      </c>
    </row>
    <row r="34" spans="1:8" ht="37.799999999999997" x14ac:dyDescent="0.45">
      <c r="A34" s="171" t="s">
        <v>2772</v>
      </c>
      <c r="B34" s="171"/>
      <c r="C34" s="184" t="s">
        <v>521</v>
      </c>
      <c r="D34" s="184" t="s">
        <v>522</v>
      </c>
      <c r="E34" s="166"/>
      <c r="F34" s="171" t="s">
        <v>472</v>
      </c>
      <c r="G34" s="172">
        <v>50</v>
      </c>
      <c r="H34" s="168">
        <f>SUM(E34)*G34</f>
        <v>0</v>
      </c>
    </row>
    <row r="35" spans="1:8" ht="37.799999999999997" x14ac:dyDescent="0.45">
      <c r="A35" s="171" t="s">
        <v>2773</v>
      </c>
      <c r="B35" s="171"/>
      <c r="C35" s="184" t="s">
        <v>524</v>
      </c>
      <c r="D35" s="184" t="s">
        <v>525</v>
      </c>
      <c r="E35" s="166"/>
      <c r="F35" s="171" t="s">
        <v>472</v>
      </c>
      <c r="G35" s="172">
        <v>40</v>
      </c>
      <c r="H35" s="168">
        <f>SUM(E35)*G35</f>
        <v>0</v>
      </c>
    </row>
    <row r="36" spans="1:8" x14ac:dyDescent="0.45">
      <c r="A36" s="118" t="s">
        <v>2774</v>
      </c>
      <c r="B36" s="184" t="s">
        <v>180</v>
      </c>
      <c r="D36" s="120"/>
      <c r="E36" s="171"/>
      <c r="F36" s="171"/>
      <c r="G36" s="172"/>
      <c r="H36" s="168"/>
    </row>
    <row r="37" spans="1:8" ht="13" customHeight="1" x14ac:dyDescent="0.45">
      <c r="A37" s="159"/>
      <c r="B37" s="159">
        <v>1502000</v>
      </c>
      <c r="C37" s="159"/>
      <c r="D37" s="159" t="s">
        <v>18</v>
      </c>
      <c r="E37" s="159"/>
      <c r="F37" s="159"/>
      <c r="G37" s="162"/>
      <c r="H37" s="163"/>
    </row>
    <row r="38" spans="1:8" ht="37.799999999999997" x14ac:dyDescent="0.45">
      <c r="A38" s="171" t="s">
        <v>2775</v>
      </c>
      <c r="B38" s="171"/>
      <c r="C38" s="184" t="s">
        <v>528</v>
      </c>
      <c r="D38" s="184" t="s">
        <v>529</v>
      </c>
      <c r="E38" s="166"/>
      <c r="F38" s="171" t="s">
        <v>508</v>
      </c>
      <c r="G38" s="172">
        <v>3000</v>
      </c>
      <c r="H38" s="168">
        <f t="shared" ref="H38:H49" si="1">SUM(E38)*G38</f>
        <v>0</v>
      </c>
    </row>
    <row r="39" spans="1:8" ht="50.4" x14ac:dyDescent="0.45">
      <c r="A39" s="171" t="s">
        <v>2776</v>
      </c>
      <c r="B39" s="171"/>
      <c r="C39" s="184" t="s">
        <v>531</v>
      </c>
      <c r="D39" s="184" t="s">
        <v>532</v>
      </c>
      <c r="E39" s="166"/>
      <c r="F39" s="171" t="s">
        <v>533</v>
      </c>
      <c r="G39" s="172">
        <v>3000</v>
      </c>
      <c r="H39" s="168">
        <f t="shared" si="1"/>
        <v>0</v>
      </c>
    </row>
    <row r="40" spans="1:8" ht="63" x14ac:dyDescent="0.45">
      <c r="A40" s="171" t="s">
        <v>2777</v>
      </c>
      <c r="B40" s="171"/>
      <c r="C40" s="184" t="s">
        <v>535</v>
      </c>
      <c r="D40" s="184" t="s">
        <v>536</v>
      </c>
      <c r="E40" s="166"/>
      <c r="F40" s="171" t="s">
        <v>508</v>
      </c>
      <c r="G40" s="172">
        <v>2000</v>
      </c>
      <c r="H40" s="168">
        <f t="shared" si="1"/>
        <v>0</v>
      </c>
    </row>
    <row r="41" spans="1:8" ht="63" x14ac:dyDescent="0.45">
      <c r="A41" s="171" t="s">
        <v>2778</v>
      </c>
      <c r="B41" s="171"/>
      <c r="C41" s="184" t="s">
        <v>538</v>
      </c>
      <c r="D41" s="184" t="s">
        <v>539</v>
      </c>
      <c r="E41" s="166"/>
      <c r="F41" s="171" t="s">
        <v>508</v>
      </c>
      <c r="G41" s="172">
        <v>2000</v>
      </c>
      <c r="H41" s="168">
        <f t="shared" si="1"/>
        <v>0</v>
      </c>
    </row>
    <row r="42" spans="1:8" ht="50.4" x14ac:dyDescent="0.45">
      <c r="A42" s="171" t="s">
        <v>2779</v>
      </c>
      <c r="B42" s="171"/>
      <c r="C42" s="184" t="s">
        <v>541</v>
      </c>
      <c r="D42" s="184" t="s">
        <v>542</v>
      </c>
      <c r="E42" s="166"/>
      <c r="F42" s="171" t="s">
        <v>543</v>
      </c>
      <c r="G42" s="172">
        <v>19500</v>
      </c>
      <c r="H42" s="168">
        <f t="shared" si="1"/>
        <v>0</v>
      </c>
    </row>
    <row r="43" spans="1:8" ht="37.799999999999997" x14ac:dyDescent="0.45">
      <c r="A43" s="171" t="s">
        <v>2780</v>
      </c>
      <c r="B43" s="171"/>
      <c r="C43" s="184" t="s">
        <v>545</v>
      </c>
      <c r="D43" s="184" t="s">
        <v>546</v>
      </c>
      <c r="E43" s="166"/>
      <c r="F43" s="171" t="s">
        <v>472</v>
      </c>
      <c r="G43" s="172">
        <v>10</v>
      </c>
      <c r="H43" s="168">
        <f t="shared" si="1"/>
        <v>0</v>
      </c>
    </row>
    <row r="44" spans="1:8" ht="151.19999999999999" x14ac:dyDescent="0.45">
      <c r="A44" s="171" t="s">
        <v>2781</v>
      </c>
      <c r="B44" s="171"/>
      <c r="C44" s="184" t="s">
        <v>548</v>
      </c>
      <c r="D44" s="106" t="s">
        <v>549</v>
      </c>
      <c r="E44" s="166"/>
      <c r="F44" s="171" t="s">
        <v>472</v>
      </c>
      <c r="G44" s="172">
        <v>25</v>
      </c>
      <c r="H44" s="168">
        <f t="shared" si="1"/>
        <v>0</v>
      </c>
    </row>
    <row r="45" spans="1:8" ht="37.799999999999997" x14ac:dyDescent="0.45">
      <c r="A45" s="171" t="s">
        <v>2782</v>
      </c>
      <c r="B45" s="171"/>
      <c r="C45" s="106" t="s">
        <v>551</v>
      </c>
      <c r="D45" s="184" t="s">
        <v>552</v>
      </c>
      <c r="E45" s="166"/>
      <c r="F45" s="171" t="s">
        <v>472</v>
      </c>
      <c r="G45" s="172">
        <v>38</v>
      </c>
      <c r="H45" s="168">
        <f t="shared" si="1"/>
        <v>0</v>
      </c>
    </row>
    <row r="46" spans="1:8" ht="37.799999999999997" x14ac:dyDescent="0.45">
      <c r="A46" s="171" t="s">
        <v>2783</v>
      </c>
      <c r="B46" s="171"/>
      <c r="C46" s="106" t="s">
        <v>554</v>
      </c>
      <c r="D46" s="184" t="s">
        <v>555</v>
      </c>
      <c r="E46" s="166"/>
      <c r="F46" s="171" t="s">
        <v>472</v>
      </c>
      <c r="G46" s="172">
        <v>38</v>
      </c>
      <c r="H46" s="168">
        <f t="shared" si="1"/>
        <v>0</v>
      </c>
    </row>
    <row r="47" spans="1:8" ht="37.799999999999997" x14ac:dyDescent="0.45">
      <c r="A47" s="171" t="s">
        <v>2784</v>
      </c>
      <c r="B47" s="171"/>
      <c r="C47" s="106" t="s">
        <v>557</v>
      </c>
      <c r="D47" s="184" t="s">
        <v>558</v>
      </c>
      <c r="E47" s="166"/>
      <c r="F47" s="171" t="s">
        <v>472</v>
      </c>
      <c r="G47" s="172">
        <v>38</v>
      </c>
      <c r="H47" s="168">
        <f t="shared" si="1"/>
        <v>0</v>
      </c>
    </row>
    <row r="48" spans="1:8" ht="70.5" x14ac:dyDescent="0.45">
      <c r="A48" s="171" t="s">
        <v>2785</v>
      </c>
      <c r="B48" s="171"/>
      <c r="C48" s="106" t="s">
        <v>560</v>
      </c>
      <c r="D48" s="179" t="s">
        <v>561</v>
      </c>
      <c r="E48" s="166"/>
      <c r="F48" s="171" t="s">
        <v>472</v>
      </c>
      <c r="G48" s="172">
        <v>14</v>
      </c>
      <c r="H48" s="168">
        <f t="shared" si="1"/>
        <v>0</v>
      </c>
    </row>
    <row r="49" spans="1:8" ht="56.4" x14ac:dyDescent="0.45">
      <c r="A49" s="171" t="s">
        <v>2786</v>
      </c>
      <c r="B49" s="171"/>
      <c r="C49" s="106" t="s">
        <v>563</v>
      </c>
      <c r="D49" s="179" t="s">
        <v>564</v>
      </c>
      <c r="E49" s="166"/>
      <c r="F49" s="171" t="s">
        <v>472</v>
      </c>
      <c r="G49" s="172">
        <v>14</v>
      </c>
      <c r="H49" s="168">
        <f t="shared" si="1"/>
        <v>0</v>
      </c>
    </row>
    <row r="50" spans="1:8" ht="70.5" x14ac:dyDescent="0.45">
      <c r="A50" s="171" t="s">
        <v>2787</v>
      </c>
      <c r="B50" s="171"/>
      <c r="C50" s="106" t="s">
        <v>566</v>
      </c>
      <c r="D50" s="179" t="s">
        <v>567</v>
      </c>
      <c r="E50" s="166"/>
      <c r="F50" s="171" t="s">
        <v>568</v>
      </c>
      <c r="G50" s="172">
        <v>35</v>
      </c>
      <c r="H50" s="168">
        <f>SUM(E50)*G50</f>
        <v>0</v>
      </c>
    </row>
    <row r="51" spans="1:8" ht="94.8" customHeight="1" x14ac:dyDescent="0.45">
      <c r="A51" s="171" t="s">
        <v>2788</v>
      </c>
      <c r="B51" s="180"/>
      <c r="C51" s="182" t="s">
        <v>570</v>
      </c>
      <c r="D51" s="182" t="s">
        <v>571</v>
      </c>
      <c r="E51" s="166"/>
      <c r="F51" s="171" t="s">
        <v>472</v>
      </c>
      <c r="G51" s="172">
        <v>50</v>
      </c>
      <c r="H51" s="168">
        <f t="shared" ref="H51:H54" si="2">SUM(E51)*G51</f>
        <v>0</v>
      </c>
    </row>
    <row r="52" spans="1:8" s="183" customFormat="1" ht="330.6" customHeight="1" x14ac:dyDescent="0.45">
      <c r="A52" s="185" t="s">
        <v>2789</v>
      </c>
      <c r="B52" s="182"/>
      <c r="C52" s="182" t="s">
        <v>573</v>
      </c>
      <c r="D52" s="182" t="s">
        <v>574</v>
      </c>
      <c r="E52" s="166"/>
      <c r="F52" s="185" t="s">
        <v>508</v>
      </c>
      <c r="G52" s="214">
        <v>1500</v>
      </c>
      <c r="H52" s="168">
        <f t="shared" si="2"/>
        <v>0</v>
      </c>
    </row>
    <row r="53" spans="1:8" s="183" customFormat="1" ht="206.95" customHeight="1" x14ac:dyDescent="0.45">
      <c r="A53" s="185" t="s">
        <v>2790</v>
      </c>
      <c r="B53" s="182"/>
      <c r="C53" s="182" t="s">
        <v>576</v>
      </c>
      <c r="D53" s="182" t="s">
        <v>577</v>
      </c>
      <c r="E53" s="166"/>
      <c r="F53" s="185" t="s">
        <v>508</v>
      </c>
      <c r="G53" s="214">
        <v>2500</v>
      </c>
      <c r="H53" s="168">
        <f t="shared" si="2"/>
        <v>0</v>
      </c>
    </row>
    <row r="54" spans="1:8" s="183" customFormat="1" ht="75.599999999999994" x14ac:dyDescent="0.45">
      <c r="A54" s="185" t="s">
        <v>2791</v>
      </c>
      <c r="B54" s="182"/>
      <c r="C54" s="219" t="s">
        <v>579</v>
      </c>
      <c r="D54" s="219" t="s">
        <v>580</v>
      </c>
      <c r="E54" s="166"/>
      <c r="F54" s="185" t="s">
        <v>508</v>
      </c>
      <c r="G54" s="214">
        <v>2000</v>
      </c>
      <c r="H54" s="168">
        <f t="shared" si="2"/>
        <v>0</v>
      </c>
    </row>
    <row r="55" spans="1:8" x14ac:dyDescent="0.45">
      <c r="A55" s="118" t="s">
        <v>2792</v>
      </c>
      <c r="B55" s="184" t="s">
        <v>180</v>
      </c>
      <c r="D55" s="170"/>
      <c r="E55" s="171"/>
      <c r="F55" s="172"/>
      <c r="G55" s="168"/>
      <c r="H55" s="142"/>
    </row>
    <row r="56" spans="1:8" ht="13" customHeight="1" x14ac:dyDescent="0.45">
      <c r="A56" s="159"/>
      <c r="B56" s="159">
        <v>1503010</v>
      </c>
      <c r="C56" s="159"/>
      <c r="D56" s="159" t="s">
        <v>109</v>
      </c>
      <c r="E56" s="159"/>
      <c r="F56" s="209"/>
      <c r="G56" s="210"/>
      <c r="H56" s="163"/>
    </row>
    <row r="57" spans="1:8" ht="25.2" x14ac:dyDescent="0.45">
      <c r="A57" s="171" t="s">
        <v>2793</v>
      </c>
      <c r="B57" s="171"/>
      <c r="C57" s="106" t="s">
        <v>583</v>
      </c>
      <c r="D57" s="106" t="s">
        <v>584</v>
      </c>
      <c r="E57" s="166"/>
      <c r="F57" s="171" t="s">
        <v>508</v>
      </c>
      <c r="G57" s="172">
        <v>500</v>
      </c>
      <c r="H57" s="168">
        <f t="shared" ref="H57:H74" si="3">SUM(E57)*G57</f>
        <v>0</v>
      </c>
    </row>
    <row r="58" spans="1:8" ht="50.4" x14ac:dyDescent="0.45">
      <c r="A58" s="171" t="s">
        <v>2794</v>
      </c>
      <c r="B58" s="171"/>
      <c r="C58" s="106" t="s">
        <v>586</v>
      </c>
      <c r="D58" s="106" t="s">
        <v>587</v>
      </c>
      <c r="E58" s="166"/>
      <c r="F58" s="171" t="s">
        <v>508</v>
      </c>
      <c r="G58" s="172">
        <v>500</v>
      </c>
      <c r="H58" s="168">
        <f t="shared" si="3"/>
        <v>0</v>
      </c>
    </row>
    <row r="59" spans="1:8" ht="50.4" x14ac:dyDescent="0.45">
      <c r="A59" s="171" t="s">
        <v>2795</v>
      </c>
      <c r="B59" s="171"/>
      <c r="C59" s="106" t="s">
        <v>589</v>
      </c>
      <c r="D59" s="106" t="s">
        <v>590</v>
      </c>
      <c r="E59" s="166"/>
      <c r="F59" s="171" t="s">
        <v>508</v>
      </c>
      <c r="G59" s="172">
        <v>1000</v>
      </c>
      <c r="H59" s="168">
        <f t="shared" si="3"/>
        <v>0</v>
      </c>
    </row>
    <row r="60" spans="1:8" ht="37.799999999999997" x14ac:dyDescent="0.45">
      <c r="A60" s="171" t="s">
        <v>2796</v>
      </c>
      <c r="B60" s="171"/>
      <c r="C60" s="106" t="s">
        <v>592</v>
      </c>
      <c r="D60" s="106" t="s">
        <v>593</v>
      </c>
      <c r="E60" s="166"/>
      <c r="F60" s="171" t="s">
        <v>508</v>
      </c>
      <c r="G60" s="172">
        <v>1000</v>
      </c>
      <c r="H60" s="168">
        <f t="shared" si="3"/>
        <v>0</v>
      </c>
    </row>
    <row r="61" spans="1:8" ht="75.599999999999994" x14ac:dyDescent="0.45">
      <c r="A61" s="171" t="s">
        <v>2797</v>
      </c>
      <c r="B61" s="171"/>
      <c r="C61" s="106" t="s">
        <v>595</v>
      </c>
      <c r="D61" s="106" t="s">
        <v>596</v>
      </c>
      <c r="E61" s="166"/>
      <c r="F61" s="171" t="s">
        <v>508</v>
      </c>
      <c r="G61" s="172">
        <v>1000</v>
      </c>
      <c r="H61" s="168">
        <f t="shared" si="3"/>
        <v>0</v>
      </c>
    </row>
    <row r="62" spans="1:8" ht="63" x14ac:dyDescent="0.45">
      <c r="A62" s="171" t="s">
        <v>2798</v>
      </c>
      <c r="B62" s="171"/>
      <c r="C62" s="106" t="s">
        <v>598</v>
      </c>
      <c r="D62" s="106" t="s">
        <v>599</v>
      </c>
      <c r="E62" s="166"/>
      <c r="F62" s="171" t="s">
        <v>508</v>
      </c>
      <c r="G62" s="172">
        <v>1000</v>
      </c>
      <c r="H62" s="168">
        <f t="shared" si="3"/>
        <v>0</v>
      </c>
    </row>
    <row r="63" spans="1:8" ht="50.4" x14ac:dyDescent="0.45">
      <c r="A63" s="171" t="s">
        <v>2799</v>
      </c>
      <c r="B63" s="171"/>
      <c r="C63" s="106" t="s">
        <v>601</v>
      </c>
      <c r="D63" s="106" t="s">
        <v>602</v>
      </c>
      <c r="E63" s="166"/>
      <c r="F63" s="171" t="s">
        <v>508</v>
      </c>
      <c r="G63" s="172">
        <v>1000</v>
      </c>
      <c r="H63" s="168">
        <f t="shared" si="3"/>
        <v>0</v>
      </c>
    </row>
    <row r="64" spans="1:8" ht="50.4" x14ac:dyDescent="0.45">
      <c r="A64" s="171" t="s">
        <v>2800</v>
      </c>
      <c r="B64" s="171"/>
      <c r="C64" s="106" t="s">
        <v>604</v>
      </c>
      <c r="D64" s="106" t="s">
        <v>605</v>
      </c>
      <c r="E64" s="166"/>
      <c r="F64" s="171" t="s">
        <v>508</v>
      </c>
      <c r="G64" s="172">
        <v>500</v>
      </c>
      <c r="H64" s="168">
        <f t="shared" si="3"/>
        <v>0</v>
      </c>
    </row>
    <row r="65" spans="1:8" ht="50.4" x14ac:dyDescent="0.45">
      <c r="A65" s="171" t="s">
        <v>2801</v>
      </c>
      <c r="B65" s="171"/>
      <c r="C65" s="106" t="s">
        <v>607</v>
      </c>
      <c r="D65" s="106" t="s">
        <v>608</v>
      </c>
      <c r="E65" s="166"/>
      <c r="F65" s="171" t="s">
        <v>508</v>
      </c>
      <c r="G65" s="172">
        <v>500</v>
      </c>
      <c r="H65" s="168">
        <f t="shared" si="3"/>
        <v>0</v>
      </c>
    </row>
    <row r="66" spans="1:8" ht="25.2" x14ac:dyDescent="0.45">
      <c r="A66" s="171" t="s">
        <v>2802</v>
      </c>
      <c r="B66" s="171"/>
      <c r="C66" s="106" t="s">
        <v>610</v>
      </c>
      <c r="D66" s="106" t="s">
        <v>611</v>
      </c>
      <c r="E66" s="166"/>
      <c r="F66" s="171" t="s">
        <v>508</v>
      </c>
      <c r="G66" s="172">
        <v>500</v>
      </c>
      <c r="H66" s="168">
        <f t="shared" si="3"/>
        <v>0</v>
      </c>
    </row>
    <row r="67" spans="1:8" ht="50.4" x14ac:dyDescent="0.45">
      <c r="A67" s="171" t="s">
        <v>2803</v>
      </c>
      <c r="B67" s="171"/>
      <c r="C67" s="106" t="s">
        <v>613</v>
      </c>
      <c r="D67" s="106" t="s">
        <v>614</v>
      </c>
      <c r="E67" s="166"/>
      <c r="F67" s="171" t="s">
        <v>508</v>
      </c>
      <c r="G67" s="172">
        <v>250</v>
      </c>
      <c r="H67" s="168">
        <f t="shared" si="3"/>
        <v>0</v>
      </c>
    </row>
    <row r="68" spans="1:8" ht="50.4" x14ac:dyDescent="0.45">
      <c r="A68" s="171" t="s">
        <v>2804</v>
      </c>
      <c r="B68" s="171"/>
      <c r="C68" s="106" t="s">
        <v>616</v>
      </c>
      <c r="D68" s="106" t="s">
        <v>617</v>
      </c>
      <c r="E68" s="166"/>
      <c r="F68" s="171" t="s">
        <v>508</v>
      </c>
      <c r="G68" s="172">
        <v>500</v>
      </c>
      <c r="H68" s="168">
        <f t="shared" si="3"/>
        <v>0</v>
      </c>
    </row>
    <row r="69" spans="1:8" ht="50.4" x14ac:dyDescent="0.45">
      <c r="A69" s="171" t="s">
        <v>2805</v>
      </c>
      <c r="B69" s="171"/>
      <c r="C69" s="106" t="s">
        <v>619</v>
      </c>
      <c r="D69" s="106" t="s">
        <v>620</v>
      </c>
      <c r="E69" s="166"/>
      <c r="F69" s="171" t="s">
        <v>508</v>
      </c>
      <c r="G69" s="172">
        <v>1000</v>
      </c>
      <c r="H69" s="168">
        <f t="shared" si="3"/>
        <v>0</v>
      </c>
    </row>
    <row r="70" spans="1:8" ht="25.2" x14ac:dyDescent="0.45">
      <c r="A70" s="171" t="s">
        <v>2806</v>
      </c>
      <c r="B70" s="171"/>
      <c r="C70" s="106" t="s">
        <v>622</v>
      </c>
      <c r="D70" s="106" t="s">
        <v>623</v>
      </c>
      <c r="E70" s="166"/>
      <c r="F70" s="171" t="s">
        <v>508</v>
      </c>
      <c r="G70" s="172">
        <v>3000</v>
      </c>
      <c r="H70" s="168">
        <f t="shared" si="3"/>
        <v>0</v>
      </c>
    </row>
    <row r="71" spans="1:8" ht="37.799999999999997" x14ac:dyDescent="0.45">
      <c r="A71" s="171" t="s">
        <v>2807</v>
      </c>
      <c r="B71" s="171"/>
      <c r="C71" s="106" t="s">
        <v>625</v>
      </c>
      <c r="D71" s="106" t="s">
        <v>626</v>
      </c>
      <c r="E71" s="166"/>
      <c r="F71" s="171" t="s">
        <v>472</v>
      </c>
      <c r="G71" s="172">
        <v>100</v>
      </c>
      <c r="H71" s="168">
        <f t="shared" si="3"/>
        <v>0</v>
      </c>
    </row>
    <row r="72" spans="1:8" ht="37.799999999999997" x14ac:dyDescent="0.45">
      <c r="A72" s="171" t="s">
        <v>2808</v>
      </c>
      <c r="B72" s="171"/>
      <c r="C72" s="106" t="s">
        <v>628</v>
      </c>
      <c r="D72" s="106" t="s">
        <v>629</v>
      </c>
      <c r="E72" s="166"/>
      <c r="F72" s="171" t="s">
        <v>472</v>
      </c>
      <c r="G72" s="172">
        <v>50</v>
      </c>
      <c r="H72" s="168">
        <f t="shared" si="3"/>
        <v>0</v>
      </c>
    </row>
    <row r="73" spans="1:8" ht="63" x14ac:dyDescent="0.45">
      <c r="A73" s="171" t="s">
        <v>2809</v>
      </c>
      <c r="B73" s="171"/>
      <c r="C73" s="106" t="s">
        <v>631</v>
      </c>
      <c r="D73" s="184" t="s">
        <v>632</v>
      </c>
      <c r="E73" s="166"/>
      <c r="F73" s="171" t="s">
        <v>633</v>
      </c>
      <c r="G73" s="172">
        <v>240</v>
      </c>
      <c r="H73" s="168">
        <f t="shared" si="3"/>
        <v>0</v>
      </c>
    </row>
    <row r="74" spans="1:8" s="183" customFormat="1" ht="151.19999999999999" x14ac:dyDescent="0.45">
      <c r="A74" s="185" t="s">
        <v>2810</v>
      </c>
      <c r="B74" s="185"/>
      <c r="C74" s="216" t="s">
        <v>635</v>
      </c>
      <c r="D74" s="216" t="s">
        <v>636</v>
      </c>
      <c r="E74" s="166"/>
      <c r="F74" s="185" t="s">
        <v>472</v>
      </c>
      <c r="G74" s="172">
        <v>6</v>
      </c>
      <c r="H74" s="168">
        <f t="shared" si="3"/>
        <v>0</v>
      </c>
    </row>
    <row r="75" spans="1:8" x14ac:dyDescent="0.45">
      <c r="A75" s="118" t="s">
        <v>2811</v>
      </c>
      <c r="B75" s="184" t="s">
        <v>180</v>
      </c>
      <c r="C75" s="120"/>
      <c r="D75" s="170"/>
      <c r="E75" s="171"/>
      <c r="F75" s="172"/>
      <c r="G75" s="168"/>
      <c r="H75" s="142"/>
    </row>
    <row r="76" spans="1:8" ht="13" customHeight="1" x14ac:dyDescent="0.45">
      <c r="A76" s="159"/>
      <c r="B76" s="159">
        <v>1503020</v>
      </c>
      <c r="C76" s="159"/>
      <c r="D76" s="159" t="s">
        <v>638</v>
      </c>
      <c r="E76" s="159"/>
      <c r="F76" s="159"/>
      <c r="G76" s="210"/>
      <c r="H76" s="163"/>
    </row>
    <row r="77" spans="1:8" ht="37.799999999999997" x14ac:dyDescent="0.45">
      <c r="A77" s="171" t="s">
        <v>2812</v>
      </c>
      <c r="B77" s="171"/>
      <c r="C77" s="106" t="s">
        <v>640</v>
      </c>
      <c r="D77" s="106" t="s">
        <v>641</v>
      </c>
      <c r="E77" s="166"/>
      <c r="F77" s="171" t="s">
        <v>472</v>
      </c>
      <c r="G77" s="172">
        <v>16</v>
      </c>
      <c r="H77" s="168">
        <f t="shared" ref="H77:H89" si="4">SUM(E77)*G77</f>
        <v>0</v>
      </c>
    </row>
    <row r="78" spans="1:8" ht="63" x14ac:dyDescent="0.45">
      <c r="A78" s="171" t="s">
        <v>2813</v>
      </c>
      <c r="B78" s="171"/>
      <c r="C78" s="106" t="s">
        <v>643</v>
      </c>
      <c r="D78" s="106" t="s">
        <v>644</v>
      </c>
      <c r="E78" s="166"/>
      <c r="F78" s="171" t="s">
        <v>645</v>
      </c>
      <c r="G78" s="172">
        <v>16</v>
      </c>
      <c r="H78" s="168">
        <f t="shared" si="4"/>
        <v>0</v>
      </c>
    </row>
    <row r="79" spans="1:8" ht="37.799999999999997" x14ac:dyDescent="0.45">
      <c r="A79" s="171" t="s">
        <v>2814</v>
      </c>
      <c r="B79" s="171"/>
      <c r="C79" s="106" t="s">
        <v>647</v>
      </c>
      <c r="D79" s="106" t="s">
        <v>648</v>
      </c>
      <c r="E79" s="166"/>
      <c r="F79" s="171" t="s">
        <v>472</v>
      </c>
      <c r="G79" s="172">
        <v>16</v>
      </c>
      <c r="H79" s="168">
        <f t="shared" si="4"/>
        <v>0</v>
      </c>
    </row>
    <row r="80" spans="1:8" ht="37.799999999999997" x14ac:dyDescent="0.45">
      <c r="A80" s="171" t="s">
        <v>2815</v>
      </c>
      <c r="B80" s="171"/>
      <c r="C80" s="106" t="s">
        <v>650</v>
      </c>
      <c r="D80" s="106" t="s">
        <v>651</v>
      </c>
      <c r="E80" s="166"/>
      <c r="F80" s="171" t="s">
        <v>472</v>
      </c>
      <c r="G80" s="172">
        <v>16</v>
      </c>
      <c r="H80" s="168">
        <f t="shared" si="4"/>
        <v>0</v>
      </c>
    </row>
    <row r="81" spans="1:10" ht="63" x14ac:dyDescent="0.45">
      <c r="A81" s="171" t="s">
        <v>2816</v>
      </c>
      <c r="B81" s="171"/>
      <c r="C81" s="106" t="s">
        <v>653</v>
      </c>
      <c r="D81" s="106" t="s">
        <v>654</v>
      </c>
      <c r="E81" s="166"/>
      <c r="F81" s="171" t="s">
        <v>472</v>
      </c>
      <c r="G81" s="172">
        <v>70</v>
      </c>
      <c r="H81" s="168">
        <f t="shared" si="4"/>
        <v>0</v>
      </c>
    </row>
    <row r="82" spans="1:10" ht="50.4" x14ac:dyDescent="0.45">
      <c r="A82" s="171" t="s">
        <v>2817</v>
      </c>
      <c r="B82" s="171"/>
      <c r="C82" s="106" t="s">
        <v>656</v>
      </c>
      <c r="D82" s="106" t="s">
        <v>657</v>
      </c>
      <c r="E82" s="166"/>
      <c r="F82" s="171" t="s">
        <v>472</v>
      </c>
      <c r="G82" s="172">
        <v>30</v>
      </c>
      <c r="H82" s="168">
        <f t="shared" si="4"/>
        <v>0</v>
      </c>
    </row>
    <row r="83" spans="1:10" ht="75.599999999999994" x14ac:dyDescent="0.45">
      <c r="A83" s="171" t="s">
        <v>2818</v>
      </c>
      <c r="B83" s="171"/>
      <c r="C83" s="106" t="s">
        <v>659</v>
      </c>
      <c r="D83" s="106" t="s">
        <v>660</v>
      </c>
      <c r="E83" s="166"/>
      <c r="F83" s="171" t="s">
        <v>472</v>
      </c>
      <c r="G83" s="172">
        <v>175</v>
      </c>
      <c r="H83" s="168">
        <f t="shared" si="4"/>
        <v>0</v>
      </c>
    </row>
    <row r="84" spans="1:10" ht="50.4" x14ac:dyDescent="0.45">
      <c r="A84" s="171" t="s">
        <v>2819</v>
      </c>
      <c r="B84" s="171"/>
      <c r="C84" s="184" t="s">
        <v>662</v>
      </c>
      <c r="D84" s="184" t="s">
        <v>663</v>
      </c>
      <c r="E84" s="166"/>
      <c r="F84" s="171" t="s">
        <v>472</v>
      </c>
      <c r="G84" s="172">
        <v>50</v>
      </c>
      <c r="H84" s="168">
        <f t="shared" si="4"/>
        <v>0</v>
      </c>
    </row>
    <row r="85" spans="1:10" ht="37.799999999999997" x14ac:dyDescent="0.45">
      <c r="A85" s="171" t="s">
        <v>2820</v>
      </c>
      <c r="B85" s="171"/>
      <c r="C85" s="184" t="s">
        <v>665</v>
      </c>
      <c r="D85" s="184" t="s">
        <v>666</v>
      </c>
      <c r="E85" s="166"/>
      <c r="F85" s="171" t="s">
        <v>508</v>
      </c>
      <c r="G85" s="172">
        <v>300</v>
      </c>
      <c r="H85" s="168">
        <f t="shared" si="4"/>
        <v>0</v>
      </c>
    </row>
    <row r="86" spans="1:10" ht="126" x14ac:dyDescent="0.45">
      <c r="A86" s="171" t="s">
        <v>2821</v>
      </c>
      <c r="B86" s="171"/>
      <c r="C86" s="184" t="s">
        <v>668</v>
      </c>
      <c r="D86" s="106" t="s">
        <v>669</v>
      </c>
      <c r="E86" s="166"/>
      <c r="F86" s="171" t="s">
        <v>508</v>
      </c>
      <c r="G86" s="172">
        <v>3500</v>
      </c>
      <c r="H86" s="168">
        <f t="shared" si="4"/>
        <v>0</v>
      </c>
    </row>
    <row r="87" spans="1:10" ht="37.799999999999997" x14ac:dyDescent="0.45">
      <c r="A87" s="171" t="s">
        <v>2822</v>
      </c>
      <c r="B87" s="171"/>
      <c r="C87" s="186" t="s">
        <v>671</v>
      </c>
      <c r="D87" s="186" t="s">
        <v>672</v>
      </c>
      <c r="E87" s="166"/>
      <c r="F87" s="171" t="s">
        <v>472</v>
      </c>
      <c r="G87" s="172">
        <v>20</v>
      </c>
      <c r="H87" s="168">
        <f t="shared" si="4"/>
        <v>0</v>
      </c>
    </row>
    <row r="88" spans="1:10" ht="37.799999999999997" x14ac:dyDescent="0.45">
      <c r="A88" s="171" t="s">
        <v>2823</v>
      </c>
      <c r="B88" s="171"/>
      <c r="C88" s="349" t="s">
        <v>5044</v>
      </c>
      <c r="D88" s="186" t="s">
        <v>1377</v>
      </c>
      <c r="E88" s="166"/>
      <c r="F88" s="171" t="s">
        <v>472</v>
      </c>
      <c r="G88" s="172">
        <v>20</v>
      </c>
      <c r="H88" s="168">
        <f t="shared" si="4"/>
        <v>0</v>
      </c>
    </row>
    <row r="89" spans="1:10" ht="302.39999999999998" x14ac:dyDescent="0.45">
      <c r="A89" s="171" t="s">
        <v>2824</v>
      </c>
      <c r="B89" s="171"/>
      <c r="C89" s="106" t="s">
        <v>675</v>
      </c>
      <c r="D89" s="106" t="s">
        <v>676</v>
      </c>
      <c r="E89" s="166"/>
      <c r="F89" s="171" t="s">
        <v>472</v>
      </c>
      <c r="G89" s="172">
        <v>15</v>
      </c>
      <c r="H89" s="168">
        <f t="shared" si="4"/>
        <v>0</v>
      </c>
      <c r="I89" s="169"/>
    </row>
    <row r="90" spans="1:10" x14ac:dyDescent="0.45">
      <c r="A90" s="118" t="s">
        <v>2825</v>
      </c>
      <c r="B90" s="184" t="s">
        <v>180</v>
      </c>
      <c r="D90" s="120"/>
      <c r="E90" s="171"/>
      <c r="F90" s="171"/>
      <c r="G90" s="172"/>
      <c r="H90" s="220"/>
    </row>
    <row r="91" spans="1:10" ht="13" customHeight="1" x14ac:dyDescent="0.45">
      <c r="A91" s="159"/>
      <c r="B91" s="159">
        <v>1503030</v>
      </c>
      <c r="C91" s="159"/>
      <c r="D91" s="159" t="s">
        <v>678</v>
      </c>
      <c r="E91" s="159"/>
      <c r="F91" s="209"/>
      <c r="G91" s="210"/>
      <c r="H91" s="163"/>
    </row>
    <row r="92" spans="1:10" ht="75.599999999999994" x14ac:dyDescent="0.45">
      <c r="A92" s="171" t="s">
        <v>2826</v>
      </c>
      <c r="B92" s="171"/>
      <c r="C92" s="106" t="s">
        <v>680</v>
      </c>
      <c r="D92" s="106" t="s">
        <v>681</v>
      </c>
      <c r="E92" s="166"/>
      <c r="F92" s="171" t="s">
        <v>682</v>
      </c>
      <c r="G92" s="171">
        <v>10</v>
      </c>
      <c r="H92" s="168">
        <f t="shared" ref="H92:H112" si="5">SUM(E92)*G92</f>
        <v>0</v>
      </c>
      <c r="I92" s="169"/>
    </row>
    <row r="93" spans="1:10" ht="75.599999999999994" x14ac:dyDescent="0.45">
      <c r="A93" s="171" t="s">
        <v>2827</v>
      </c>
      <c r="B93" s="171"/>
      <c r="C93" s="106" t="s">
        <v>684</v>
      </c>
      <c r="D93" s="106" t="s">
        <v>685</v>
      </c>
      <c r="E93" s="166"/>
      <c r="F93" s="171" t="s">
        <v>472</v>
      </c>
      <c r="G93" s="171">
        <v>5</v>
      </c>
      <c r="H93" s="168">
        <f t="shared" si="5"/>
        <v>0</v>
      </c>
      <c r="I93" s="169"/>
    </row>
    <row r="94" spans="1:10" ht="75.599999999999994" x14ac:dyDescent="0.45">
      <c r="A94" s="171" t="s">
        <v>2828</v>
      </c>
      <c r="B94" s="171"/>
      <c r="C94" s="106" t="s">
        <v>687</v>
      </c>
      <c r="D94" s="106" t="s">
        <v>688</v>
      </c>
      <c r="E94" s="166"/>
      <c r="F94" s="171" t="s">
        <v>472</v>
      </c>
      <c r="G94" s="171">
        <v>5</v>
      </c>
      <c r="H94" s="168">
        <f t="shared" si="5"/>
        <v>0</v>
      </c>
      <c r="I94" s="169"/>
      <c r="J94" s="187"/>
    </row>
    <row r="95" spans="1:10" ht="75.599999999999994" x14ac:dyDescent="0.45">
      <c r="A95" s="171" t="s">
        <v>2829</v>
      </c>
      <c r="B95" s="171"/>
      <c r="C95" s="106" t="s">
        <v>690</v>
      </c>
      <c r="D95" s="106" t="s">
        <v>691</v>
      </c>
      <c r="E95" s="166"/>
      <c r="F95" s="367" t="s">
        <v>472</v>
      </c>
      <c r="G95" s="171">
        <v>10</v>
      </c>
      <c r="H95" s="168">
        <f t="shared" si="5"/>
        <v>0</v>
      </c>
      <c r="I95" s="169"/>
      <c r="J95" s="187"/>
    </row>
    <row r="96" spans="1:10" ht="75.599999999999994" x14ac:dyDescent="0.45">
      <c r="A96" s="171" t="s">
        <v>2830</v>
      </c>
      <c r="B96" s="171"/>
      <c r="C96" s="106" t="s">
        <v>693</v>
      </c>
      <c r="D96" s="106" t="s">
        <v>694</v>
      </c>
      <c r="E96" s="166"/>
      <c r="F96" s="367" t="s">
        <v>472</v>
      </c>
      <c r="G96" s="171">
        <v>5</v>
      </c>
      <c r="H96" s="168">
        <f t="shared" si="5"/>
        <v>0</v>
      </c>
      <c r="I96" s="169"/>
      <c r="J96" s="187"/>
    </row>
    <row r="97" spans="1:9" ht="75.599999999999994" x14ac:dyDescent="0.45">
      <c r="A97" s="171" t="s">
        <v>2831</v>
      </c>
      <c r="B97" s="171"/>
      <c r="C97" s="106" t="s">
        <v>696</v>
      </c>
      <c r="D97" s="106" t="s">
        <v>697</v>
      </c>
      <c r="E97" s="166"/>
      <c r="F97" s="367" t="s">
        <v>472</v>
      </c>
      <c r="G97" s="171">
        <v>5</v>
      </c>
      <c r="H97" s="168">
        <f t="shared" si="5"/>
        <v>0</v>
      </c>
      <c r="I97" s="169"/>
    </row>
    <row r="98" spans="1:9" ht="75.599999999999994" x14ac:dyDescent="0.45">
      <c r="A98" s="171" t="s">
        <v>2832</v>
      </c>
      <c r="B98" s="171"/>
      <c r="C98" s="106" t="s">
        <v>699</v>
      </c>
      <c r="D98" s="106" t="s">
        <v>700</v>
      </c>
      <c r="E98" s="166"/>
      <c r="F98" s="367" t="s">
        <v>472</v>
      </c>
      <c r="G98" s="171">
        <v>5</v>
      </c>
      <c r="H98" s="168">
        <f t="shared" si="5"/>
        <v>0</v>
      </c>
      <c r="I98" s="169"/>
    </row>
    <row r="99" spans="1:9" ht="88.2" x14ac:dyDescent="0.45">
      <c r="A99" s="171" t="s">
        <v>2833</v>
      </c>
      <c r="B99" s="171"/>
      <c r="C99" s="106" t="s">
        <v>702</v>
      </c>
      <c r="D99" s="106" t="s">
        <v>703</v>
      </c>
      <c r="E99" s="166"/>
      <c r="F99" s="367" t="s">
        <v>472</v>
      </c>
      <c r="G99" s="171">
        <v>5</v>
      </c>
      <c r="H99" s="168">
        <f t="shared" si="5"/>
        <v>0</v>
      </c>
      <c r="I99" s="169"/>
    </row>
    <row r="100" spans="1:9" ht="88.2" x14ac:dyDescent="0.45">
      <c r="A100" s="171" t="s">
        <v>2834</v>
      </c>
      <c r="B100" s="171"/>
      <c r="C100" s="106" t="s">
        <v>705</v>
      </c>
      <c r="D100" s="106" t="s">
        <v>706</v>
      </c>
      <c r="E100" s="166"/>
      <c r="F100" s="367" t="s">
        <v>472</v>
      </c>
      <c r="G100" s="171">
        <v>5</v>
      </c>
      <c r="H100" s="168">
        <f t="shared" si="5"/>
        <v>0</v>
      </c>
      <c r="I100" s="169"/>
    </row>
    <row r="101" spans="1:9" ht="75.599999999999994" x14ac:dyDescent="0.45">
      <c r="A101" s="171" t="s">
        <v>2835</v>
      </c>
      <c r="B101" s="171"/>
      <c r="C101" s="106" t="s">
        <v>708</v>
      </c>
      <c r="D101" s="106" t="s">
        <v>709</v>
      </c>
      <c r="E101" s="166"/>
      <c r="F101" s="367" t="s">
        <v>472</v>
      </c>
      <c r="G101" s="171">
        <v>5</v>
      </c>
      <c r="H101" s="168">
        <f t="shared" si="5"/>
        <v>0</v>
      </c>
      <c r="I101" s="169"/>
    </row>
    <row r="102" spans="1:9" ht="75.599999999999994" x14ac:dyDescent="0.45">
      <c r="A102" s="171" t="s">
        <v>2836</v>
      </c>
      <c r="B102" s="171"/>
      <c r="C102" s="106" t="s">
        <v>711</v>
      </c>
      <c r="D102" s="106" t="s">
        <v>712</v>
      </c>
      <c r="E102" s="166"/>
      <c r="F102" s="367" t="s">
        <v>472</v>
      </c>
      <c r="G102" s="171">
        <v>5</v>
      </c>
      <c r="H102" s="168">
        <f t="shared" si="5"/>
        <v>0</v>
      </c>
      <c r="I102" s="169"/>
    </row>
    <row r="103" spans="1:9" ht="75.599999999999994" x14ac:dyDescent="0.45">
      <c r="A103" s="171" t="s">
        <v>2837</v>
      </c>
      <c r="B103" s="171"/>
      <c r="C103" s="106" t="s">
        <v>714</v>
      </c>
      <c r="D103" s="106" t="s">
        <v>715</v>
      </c>
      <c r="E103" s="166"/>
      <c r="F103" s="367" t="s">
        <v>472</v>
      </c>
      <c r="G103" s="171">
        <v>5</v>
      </c>
      <c r="H103" s="168">
        <f t="shared" si="5"/>
        <v>0</v>
      </c>
      <c r="I103" s="169"/>
    </row>
    <row r="104" spans="1:9" ht="75.599999999999994" x14ac:dyDescent="0.45">
      <c r="A104" s="171" t="s">
        <v>2838</v>
      </c>
      <c r="B104" s="171"/>
      <c r="C104" s="106" t="s">
        <v>717</v>
      </c>
      <c r="D104" s="106" t="s">
        <v>718</v>
      </c>
      <c r="E104" s="166"/>
      <c r="F104" s="367" t="s">
        <v>472</v>
      </c>
      <c r="G104" s="171">
        <v>5</v>
      </c>
      <c r="H104" s="168">
        <f t="shared" si="5"/>
        <v>0</v>
      </c>
      <c r="I104" s="169"/>
    </row>
    <row r="105" spans="1:9" ht="50.4" x14ac:dyDescent="0.45">
      <c r="A105" s="171" t="s">
        <v>2839</v>
      </c>
      <c r="B105" s="171"/>
      <c r="C105" s="106" t="s">
        <v>720</v>
      </c>
      <c r="D105" s="106" t="s">
        <v>721</v>
      </c>
      <c r="E105" s="166"/>
      <c r="F105" s="367" t="s">
        <v>472</v>
      </c>
      <c r="G105" s="188">
        <v>5</v>
      </c>
      <c r="H105" s="168">
        <f t="shared" si="5"/>
        <v>0</v>
      </c>
    </row>
    <row r="106" spans="1:9" ht="63" x14ac:dyDescent="0.45">
      <c r="A106" s="171" t="s">
        <v>2840</v>
      </c>
      <c r="B106" s="171"/>
      <c r="C106" s="106" t="s">
        <v>723</v>
      </c>
      <c r="D106" s="106" t="s">
        <v>724</v>
      </c>
      <c r="E106" s="166"/>
      <c r="F106" s="171" t="s">
        <v>472</v>
      </c>
      <c r="G106" s="171">
        <v>5</v>
      </c>
      <c r="H106" s="168">
        <f t="shared" si="5"/>
        <v>0</v>
      </c>
    </row>
    <row r="107" spans="1:9" ht="63" x14ac:dyDescent="0.45">
      <c r="A107" s="171" t="s">
        <v>2841</v>
      </c>
      <c r="B107" s="171"/>
      <c r="C107" s="106" t="s">
        <v>726</v>
      </c>
      <c r="D107" s="106" t="s">
        <v>727</v>
      </c>
      <c r="E107" s="166"/>
      <c r="F107" s="171" t="s">
        <v>472</v>
      </c>
      <c r="G107" s="171">
        <v>5</v>
      </c>
      <c r="H107" s="168">
        <f t="shared" si="5"/>
        <v>0</v>
      </c>
    </row>
    <row r="108" spans="1:9" ht="50.4" x14ac:dyDescent="0.45">
      <c r="A108" s="171" t="s">
        <v>2842</v>
      </c>
      <c r="B108" s="171"/>
      <c r="C108" s="106" t="s">
        <v>729</v>
      </c>
      <c r="D108" s="189" t="s">
        <v>730</v>
      </c>
      <c r="E108" s="166"/>
      <c r="F108" s="171" t="s">
        <v>472</v>
      </c>
      <c r="G108" s="171">
        <v>5</v>
      </c>
      <c r="H108" s="168">
        <f t="shared" si="5"/>
        <v>0</v>
      </c>
    </row>
    <row r="109" spans="1:9" ht="50.4" x14ac:dyDescent="0.45">
      <c r="A109" s="171" t="s">
        <v>2843</v>
      </c>
      <c r="B109" s="171"/>
      <c r="C109" s="106" t="s">
        <v>732</v>
      </c>
      <c r="D109" s="189" t="s">
        <v>733</v>
      </c>
      <c r="E109" s="166"/>
      <c r="F109" s="171" t="s">
        <v>472</v>
      </c>
      <c r="G109" s="171">
        <v>5</v>
      </c>
      <c r="H109" s="168">
        <f t="shared" si="5"/>
        <v>0</v>
      </c>
    </row>
    <row r="110" spans="1:9" ht="50.4" x14ac:dyDescent="0.45">
      <c r="A110" s="171" t="s">
        <v>2844</v>
      </c>
      <c r="B110" s="171"/>
      <c r="C110" s="106" t="s">
        <v>735</v>
      </c>
      <c r="D110" s="189" t="s">
        <v>736</v>
      </c>
      <c r="E110" s="166"/>
      <c r="F110" s="171" t="s">
        <v>472</v>
      </c>
      <c r="G110" s="171">
        <v>10</v>
      </c>
      <c r="H110" s="168">
        <f t="shared" si="5"/>
        <v>0</v>
      </c>
    </row>
    <row r="111" spans="1:9" ht="63" x14ac:dyDescent="0.45">
      <c r="A111" s="171" t="s">
        <v>2845</v>
      </c>
      <c r="B111" s="171"/>
      <c r="C111" s="106" t="s">
        <v>738</v>
      </c>
      <c r="D111" s="189" t="s">
        <v>739</v>
      </c>
      <c r="E111" s="166"/>
      <c r="F111" s="171" t="s">
        <v>472</v>
      </c>
      <c r="G111" s="171">
        <v>5</v>
      </c>
      <c r="H111" s="168">
        <f t="shared" si="5"/>
        <v>0</v>
      </c>
    </row>
    <row r="112" spans="1:9" s="183" customFormat="1" ht="63" x14ac:dyDescent="0.45">
      <c r="A112" s="185" t="s">
        <v>2846</v>
      </c>
      <c r="B112" s="185"/>
      <c r="C112" s="216" t="s">
        <v>741</v>
      </c>
      <c r="D112" s="216" t="s">
        <v>742</v>
      </c>
      <c r="E112" s="166"/>
      <c r="F112" s="185" t="s">
        <v>472</v>
      </c>
      <c r="G112" s="217">
        <v>20</v>
      </c>
      <c r="H112" s="168">
        <f t="shared" si="5"/>
        <v>0</v>
      </c>
    </row>
    <row r="113" spans="1:8" x14ac:dyDescent="0.45">
      <c r="A113" s="118" t="s">
        <v>2847</v>
      </c>
      <c r="B113" s="184" t="s">
        <v>180</v>
      </c>
      <c r="C113" s="120"/>
      <c r="D113" s="170"/>
      <c r="E113" s="171"/>
      <c r="F113" s="172"/>
      <c r="G113" s="168"/>
      <c r="H113" s="142"/>
    </row>
    <row r="114" spans="1:8" ht="13" customHeight="1" x14ac:dyDescent="0.45">
      <c r="A114" s="159"/>
      <c r="B114" s="159">
        <v>1503050</v>
      </c>
      <c r="C114" s="159"/>
      <c r="D114" s="159" t="s">
        <v>127</v>
      </c>
      <c r="E114" s="159"/>
      <c r="F114" s="209"/>
      <c r="G114" s="210"/>
      <c r="H114" s="163"/>
    </row>
    <row r="115" spans="1:8" ht="88.2" x14ac:dyDescent="0.45">
      <c r="A115" s="118" t="s">
        <v>2848</v>
      </c>
      <c r="B115" s="118"/>
      <c r="C115" s="184" t="s">
        <v>745</v>
      </c>
      <c r="D115" s="120" t="s">
        <v>746</v>
      </c>
      <c r="E115" s="166"/>
      <c r="F115" s="171" t="s">
        <v>508</v>
      </c>
      <c r="G115" s="172">
        <v>10000</v>
      </c>
      <c r="H115" s="168">
        <f t="shared" ref="H115:H134" si="6">SUM(E115)*G115</f>
        <v>0</v>
      </c>
    </row>
    <row r="116" spans="1:8" ht="63" x14ac:dyDescent="0.45">
      <c r="A116" s="171" t="s">
        <v>2849</v>
      </c>
      <c r="B116" s="171"/>
      <c r="C116" s="106" t="s">
        <v>748</v>
      </c>
      <c r="D116" s="106" t="s">
        <v>749</v>
      </c>
      <c r="E116" s="166"/>
      <c r="F116" s="171" t="s">
        <v>750</v>
      </c>
      <c r="G116" s="172">
        <v>3000</v>
      </c>
      <c r="H116" s="168">
        <f t="shared" si="6"/>
        <v>0</v>
      </c>
    </row>
    <row r="117" spans="1:8" ht="37.799999999999997" x14ac:dyDescent="0.45">
      <c r="A117" s="171" t="s">
        <v>2850</v>
      </c>
      <c r="B117" s="171"/>
      <c r="C117" s="106" t="s">
        <v>752</v>
      </c>
      <c r="D117" s="106" t="s">
        <v>753</v>
      </c>
      <c r="E117" s="166"/>
      <c r="F117" s="171" t="s">
        <v>508</v>
      </c>
      <c r="G117" s="172">
        <v>10000</v>
      </c>
      <c r="H117" s="168">
        <f t="shared" si="6"/>
        <v>0</v>
      </c>
    </row>
    <row r="118" spans="1:8" ht="63" x14ac:dyDescent="0.45">
      <c r="A118" s="171" t="s">
        <v>2851</v>
      </c>
      <c r="B118" s="171"/>
      <c r="C118" s="106" t="s">
        <v>755</v>
      </c>
      <c r="D118" s="106" t="s">
        <v>756</v>
      </c>
      <c r="E118" s="166"/>
      <c r="F118" s="171" t="s">
        <v>508</v>
      </c>
      <c r="G118" s="172">
        <v>10000</v>
      </c>
      <c r="H118" s="168">
        <f t="shared" si="6"/>
        <v>0</v>
      </c>
    </row>
    <row r="119" spans="1:8" ht="88.2" x14ac:dyDescent="0.45">
      <c r="A119" s="171" t="s">
        <v>2852</v>
      </c>
      <c r="B119" s="171"/>
      <c r="C119" s="106" t="s">
        <v>758</v>
      </c>
      <c r="D119" s="106" t="s">
        <v>759</v>
      </c>
      <c r="E119" s="166"/>
      <c r="F119" s="171" t="s">
        <v>472</v>
      </c>
      <c r="G119" s="172">
        <v>150</v>
      </c>
      <c r="H119" s="168">
        <f t="shared" si="6"/>
        <v>0</v>
      </c>
    </row>
    <row r="120" spans="1:8" ht="88.2" x14ac:dyDescent="0.45">
      <c r="A120" s="171" t="s">
        <v>2853</v>
      </c>
      <c r="B120" s="171"/>
      <c r="C120" s="106" t="s">
        <v>761</v>
      </c>
      <c r="D120" s="106" t="s">
        <v>759</v>
      </c>
      <c r="E120" s="166"/>
      <c r="F120" s="171" t="s">
        <v>750</v>
      </c>
      <c r="G120" s="172">
        <v>2000</v>
      </c>
      <c r="H120" s="168">
        <f t="shared" si="6"/>
        <v>0</v>
      </c>
    </row>
    <row r="121" spans="1:8" ht="151.19999999999999" x14ac:dyDescent="0.45">
      <c r="A121" s="171" t="s">
        <v>2854</v>
      </c>
      <c r="B121" s="171"/>
      <c r="C121" s="106" t="s">
        <v>763</v>
      </c>
      <c r="D121" s="106" t="s">
        <v>764</v>
      </c>
      <c r="E121" s="166"/>
      <c r="F121" s="171" t="s">
        <v>472</v>
      </c>
      <c r="G121" s="171">
        <v>150</v>
      </c>
      <c r="H121" s="168">
        <f t="shared" si="6"/>
        <v>0</v>
      </c>
    </row>
    <row r="122" spans="1:8" ht="151.19999999999999" x14ac:dyDescent="0.45">
      <c r="A122" s="171" t="s">
        <v>2855</v>
      </c>
      <c r="B122" s="171"/>
      <c r="C122" s="106" t="s">
        <v>766</v>
      </c>
      <c r="D122" s="106" t="s">
        <v>764</v>
      </c>
      <c r="E122" s="166"/>
      <c r="F122" s="171" t="s">
        <v>472</v>
      </c>
      <c r="G122" s="171">
        <v>150</v>
      </c>
      <c r="H122" s="168">
        <f t="shared" si="6"/>
        <v>0</v>
      </c>
    </row>
    <row r="123" spans="1:8" ht="63" x14ac:dyDescent="0.45">
      <c r="A123" s="171" t="s">
        <v>2856</v>
      </c>
      <c r="B123" s="171"/>
      <c r="C123" s="106" t="s">
        <v>768</v>
      </c>
      <c r="D123" s="106" t="s">
        <v>769</v>
      </c>
      <c r="E123" s="166"/>
      <c r="F123" s="171" t="s">
        <v>472</v>
      </c>
      <c r="G123" s="171">
        <v>25</v>
      </c>
      <c r="H123" s="168">
        <f t="shared" si="6"/>
        <v>0</v>
      </c>
    </row>
    <row r="124" spans="1:8" ht="63" x14ac:dyDescent="0.45">
      <c r="A124" s="171" t="s">
        <v>2857</v>
      </c>
      <c r="B124" s="171"/>
      <c r="C124" s="106" t="s">
        <v>771</v>
      </c>
      <c r="D124" s="106" t="s">
        <v>772</v>
      </c>
      <c r="E124" s="166"/>
      <c r="F124" s="171" t="s">
        <v>472</v>
      </c>
      <c r="G124" s="171">
        <v>50</v>
      </c>
      <c r="H124" s="168">
        <f t="shared" si="6"/>
        <v>0</v>
      </c>
    </row>
    <row r="125" spans="1:8" ht="63" x14ac:dyDescent="0.45">
      <c r="A125" s="171" t="s">
        <v>2858</v>
      </c>
      <c r="B125" s="171"/>
      <c r="C125" s="106" t="s">
        <v>774</v>
      </c>
      <c r="D125" s="106" t="s">
        <v>772</v>
      </c>
      <c r="E125" s="166"/>
      <c r="F125" s="171" t="s">
        <v>472</v>
      </c>
      <c r="G125" s="171">
        <v>50</v>
      </c>
      <c r="H125" s="168">
        <f t="shared" si="6"/>
        <v>0</v>
      </c>
    </row>
    <row r="126" spans="1:8" ht="50.4" x14ac:dyDescent="0.45">
      <c r="A126" s="171" t="s">
        <v>2859</v>
      </c>
      <c r="B126" s="171"/>
      <c r="C126" s="106" t="s">
        <v>776</v>
      </c>
      <c r="D126" s="106" t="s">
        <v>777</v>
      </c>
      <c r="E126" s="166"/>
      <c r="F126" s="171" t="s">
        <v>472</v>
      </c>
      <c r="G126" s="171">
        <v>100</v>
      </c>
      <c r="H126" s="168">
        <f t="shared" si="6"/>
        <v>0</v>
      </c>
    </row>
    <row r="127" spans="1:8" ht="113.4" x14ac:dyDescent="0.45">
      <c r="A127" s="171" t="s">
        <v>2860</v>
      </c>
      <c r="B127" s="171"/>
      <c r="C127" s="106" t="s">
        <v>779</v>
      </c>
      <c r="D127" s="106" t="s">
        <v>780</v>
      </c>
      <c r="E127" s="166"/>
      <c r="F127" s="171" t="s">
        <v>472</v>
      </c>
      <c r="G127" s="171">
        <v>150</v>
      </c>
      <c r="H127" s="168">
        <f t="shared" si="6"/>
        <v>0</v>
      </c>
    </row>
    <row r="128" spans="1:8" ht="113.4" x14ac:dyDescent="0.45">
      <c r="A128" s="171" t="s">
        <v>2861</v>
      </c>
      <c r="B128" s="171"/>
      <c r="C128" s="106" t="s">
        <v>782</v>
      </c>
      <c r="D128" s="106" t="s">
        <v>783</v>
      </c>
      <c r="E128" s="166"/>
      <c r="F128" s="171" t="s">
        <v>472</v>
      </c>
      <c r="G128" s="171">
        <v>150</v>
      </c>
      <c r="H128" s="168">
        <f t="shared" si="6"/>
        <v>0</v>
      </c>
    </row>
    <row r="129" spans="1:8" ht="100.8" x14ac:dyDescent="0.45">
      <c r="A129" s="171" t="s">
        <v>2862</v>
      </c>
      <c r="B129" s="171"/>
      <c r="C129" s="106" t="s">
        <v>785</v>
      </c>
      <c r="D129" s="106" t="s">
        <v>786</v>
      </c>
      <c r="E129" s="166"/>
      <c r="F129" s="171" t="s">
        <v>472</v>
      </c>
      <c r="G129" s="171">
        <v>150</v>
      </c>
      <c r="H129" s="168">
        <f t="shared" si="6"/>
        <v>0</v>
      </c>
    </row>
    <row r="130" spans="1:8" ht="75.599999999999994" x14ac:dyDescent="0.45">
      <c r="A130" s="171" t="s">
        <v>2863</v>
      </c>
      <c r="B130" s="171"/>
      <c r="C130" s="106" t="s">
        <v>788</v>
      </c>
      <c r="D130" s="106" t="s">
        <v>789</v>
      </c>
      <c r="E130" s="166"/>
      <c r="F130" s="171" t="s">
        <v>508</v>
      </c>
      <c r="G130" s="171">
        <v>5000</v>
      </c>
      <c r="H130" s="168">
        <f t="shared" si="6"/>
        <v>0</v>
      </c>
    </row>
    <row r="131" spans="1:8" ht="88.2" x14ac:dyDescent="0.45">
      <c r="A131" s="171" t="s">
        <v>2864</v>
      </c>
      <c r="B131" s="171"/>
      <c r="C131" s="106" t="s">
        <v>791</v>
      </c>
      <c r="D131" s="106" t="s">
        <v>792</v>
      </c>
      <c r="E131" s="166"/>
      <c r="F131" s="171" t="s">
        <v>508</v>
      </c>
      <c r="G131" s="171">
        <v>1750</v>
      </c>
      <c r="H131" s="168">
        <f t="shared" si="6"/>
        <v>0</v>
      </c>
    </row>
    <row r="132" spans="1:8" ht="75.599999999999994" x14ac:dyDescent="0.45">
      <c r="A132" s="171" t="s">
        <v>2865</v>
      </c>
      <c r="B132" s="171"/>
      <c r="C132" s="106" t="s">
        <v>794</v>
      </c>
      <c r="D132" s="106" t="s">
        <v>795</v>
      </c>
      <c r="E132" s="166"/>
      <c r="F132" s="171" t="s">
        <v>508</v>
      </c>
      <c r="G132" s="171">
        <v>6000</v>
      </c>
      <c r="H132" s="168">
        <f t="shared" si="6"/>
        <v>0</v>
      </c>
    </row>
    <row r="133" spans="1:8" ht="75.599999999999994" x14ac:dyDescent="0.45">
      <c r="A133" s="171" t="s">
        <v>2866</v>
      </c>
      <c r="B133" s="171"/>
      <c r="C133" s="106" t="s">
        <v>797</v>
      </c>
      <c r="D133" s="106" t="s">
        <v>798</v>
      </c>
      <c r="E133" s="166"/>
      <c r="F133" s="171" t="s">
        <v>682</v>
      </c>
      <c r="G133" s="171">
        <v>450</v>
      </c>
      <c r="H133" s="168">
        <f t="shared" si="6"/>
        <v>0</v>
      </c>
    </row>
    <row r="134" spans="1:8" ht="75.599999999999994" x14ac:dyDescent="0.45">
      <c r="A134" s="171" t="s">
        <v>2867</v>
      </c>
      <c r="B134" s="171"/>
      <c r="C134" s="106" t="s">
        <v>800</v>
      </c>
      <c r="D134" s="106" t="s">
        <v>801</v>
      </c>
      <c r="E134" s="166"/>
      <c r="F134" s="171" t="s">
        <v>508</v>
      </c>
      <c r="G134" s="172">
        <v>12000</v>
      </c>
      <c r="H134" s="168">
        <f t="shared" si="6"/>
        <v>0</v>
      </c>
    </row>
    <row r="135" spans="1:8" x14ac:dyDescent="0.45">
      <c r="A135" s="118" t="s">
        <v>2868</v>
      </c>
      <c r="B135" s="184" t="s">
        <v>180</v>
      </c>
      <c r="D135" s="120"/>
      <c r="E135" s="171"/>
      <c r="F135" s="171"/>
      <c r="G135" s="172"/>
      <c r="H135" s="168"/>
    </row>
    <row r="136" spans="1:8" x14ac:dyDescent="0.45">
      <c r="A136" s="159"/>
      <c r="B136" s="159">
        <v>1503060</v>
      </c>
      <c r="C136" s="159"/>
      <c r="D136" s="159" t="s">
        <v>138</v>
      </c>
      <c r="E136" s="159"/>
      <c r="F136" s="159"/>
      <c r="G136" s="210"/>
      <c r="H136" s="163"/>
    </row>
    <row r="137" spans="1:8" ht="113.4" x14ac:dyDescent="0.45">
      <c r="A137" s="171" t="s">
        <v>2869</v>
      </c>
      <c r="B137" s="171"/>
      <c r="C137" s="106" t="s">
        <v>138</v>
      </c>
      <c r="D137" s="106" t="s">
        <v>804</v>
      </c>
      <c r="E137" s="166"/>
      <c r="F137" s="171" t="s">
        <v>508</v>
      </c>
      <c r="G137" s="172">
        <v>800000</v>
      </c>
      <c r="H137" s="168">
        <f>SUM(E137)*G137</f>
        <v>0</v>
      </c>
    </row>
    <row r="138" spans="1:8" ht="88.2" x14ac:dyDescent="0.45">
      <c r="A138" s="171" t="s">
        <v>2870</v>
      </c>
      <c r="B138" s="171"/>
      <c r="C138" s="106" t="s">
        <v>806</v>
      </c>
      <c r="D138" s="106" t="s">
        <v>807</v>
      </c>
      <c r="E138" s="166"/>
      <c r="F138" s="171" t="s">
        <v>508</v>
      </c>
      <c r="G138" s="172">
        <v>13000</v>
      </c>
      <c r="H138" s="168">
        <f>SUM(E138)*G138</f>
        <v>0</v>
      </c>
    </row>
    <row r="139" spans="1:8" x14ac:dyDescent="0.45">
      <c r="A139" s="118" t="s">
        <v>2871</v>
      </c>
      <c r="B139" s="184" t="s">
        <v>180</v>
      </c>
      <c r="D139" s="120"/>
      <c r="E139" s="171"/>
      <c r="F139" s="171"/>
      <c r="G139" s="172"/>
      <c r="H139" s="168"/>
    </row>
    <row r="140" spans="1:8" ht="13" customHeight="1" x14ac:dyDescent="0.45">
      <c r="A140" s="159"/>
      <c r="B140" s="159">
        <v>1700000</v>
      </c>
      <c r="C140" s="159"/>
      <c r="D140" s="159" t="s">
        <v>171</v>
      </c>
      <c r="E140" s="159"/>
      <c r="F140" s="159"/>
      <c r="G140" s="210"/>
      <c r="H140" s="163"/>
    </row>
    <row r="141" spans="1:8" ht="75.599999999999994" x14ac:dyDescent="0.45">
      <c r="A141" s="171" t="s">
        <v>2872</v>
      </c>
      <c r="B141" s="171"/>
      <c r="C141" s="106" t="s">
        <v>810</v>
      </c>
      <c r="D141" s="106" t="s">
        <v>811</v>
      </c>
      <c r="E141" s="166"/>
      <c r="F141" s="171" t="s">
        <v>633</v>
      </c>
      <c r="G141" s="171">
        <v>45</v>
      </c>
      <c r="H141" s="168">
        <f>SUM(E141)*G141</f>
        <v>0</v>
      </c>
    </row>
    <row r="142" spans="1:8" ht="75.599999999999994" x14ac:dyDescent="0.45">
      <c r="A142" s="171" t="s">
        <v>2873</v>
      </c>
      <c r="B142" s="171"/>
      <c r="C142" s="106" t="s">
        <v>813</v>
      </c>
      <c r="D142" s="106" t="s">
        <v>814</v>
      </c>
      <c r="E142" s="166"/>
      <c r="F142" s="171" t="s">
        <v>633</v>
      </c>
      <c r="G142" s="171">
        <v>45</v>
      </c>
      <c r="H142" s="168">
        <f>SUM(E142)*G142</f>
        <v>0</v>
      </c>
    </row>
    <row r="143" spans="1:8" x14ac:dyDescent="0.45">
      <c r="A143" s="118" t="s">
        <v>2874</v>
      </c>
      <c r="B143" s="184" t="s">
        <v>180</v>
      </c>
      <c r="D143" s="120"/>
      <c r="E143" s="171"/>
      <c r="F143" s="171"/>
      <c r="G143" s="172"/>
      <c r="H143" s="220"/>
    </row>
    <row r="144" spans="1:8" ht="13" customHeight="1" x14ac:dyDescent="0.45">
      <c r="A144" s="159"/>
      <c r="B144" s="159">
        <v>1800000</v>
      </c>
      <c r="C144" s="159"/>
      <c r="D144" s="159" t="s">
        <v>174</v>
      </c>
      <c r="E144" s="159"/>
      <c r="F144" s="209"/>
      <c r="G144" s="210"/>
      <c r="H144" s="163"/>
    </row>
    <row r="145" spans="1:8" ht="176.4" x14ac:dyDescent="0.45">
      <c r="A145" s="171" t="s">
        <v>2875</v>
      </c>
      <c r="B145" s="171"/>
      <c r="C145" s="186" t="s">
        <v>817</v>
      </c>
      <c r="D145" s="186" t="s">
        <v>818</v>
      </c>
      <c r="E145" s="166"/>
      <c r="F145" s="171" t="s">
        <v>472</v>
      </c>
      <c r="G145" s="171">
        <v>25</v>
      </c>
      <c r="H145" s="168">
        <f t="shared" ref="H145:H208" si="7">SUM(E145)*G145</f>
        <v>0</v>
      </c>
    </row>
    <row r="146" spans="1:8" ht="176.4" x14ac:dyDescent="0.45">
      <c r="A146" s="171" t="s">
        <v>2876</v>
      </c>
      <c r="B146" s="171"/>
      <c r="C146" s="186" t="s">
        <v>820</v>
      </c>
      <c r="D146" s="186" t="s">
        <v>818</v>
      </c>
      <c r="E146" s="166"/>
      <c r="F146" s="171" t="s">
        <v>472</v>
      </c>
      <c r="G146" s="171">
        <v>20</v>
      </c>
      <c r="H146" s="168">
        <f t="shared" si="7"/>
        <v>0</v>
      </c>
    </row>
    <row r="147" spans="1:8" ht="176.4" x14ac:dyDescent="0.45">
      <c r="A147" s="171" t="s">
        <v>2877</v>
      </c>
      <c r="B147" s="171"/>
      <c r="C147" s="106" t="s">
        <v>822</v>
      </c>
      <c r="D147" s="106" t="s">
        <v>823</v>
      </c>
      <c r="E147" s="166"/>
      <c r="F147" s="171" t="s">
        <v>472</v>
      </c>
      <c r="G147" s="171">
        <v>6</v>
      </c>
      <c r="H147" s="168">
        <f t="shared" si="7"/>
        <v>0</v>
      </c>
    </row>
    <row r="148" spans="1:8" ht="176.4" x14ac:dyDescent="0.45">
      <c r="A148" s="171" t="s">
        <v>2878</v>
      </c>
      <c r="B148" s="171"/>
      <c r="C148" s="106" t="s">
        <v>825</v>
      </c>
      <c r="D148" s="106" t="s">
        <v>823</v>
      </c>
      <c r="E148" s="166"/>
      <c r="F148" s="171" t="s">
        <v>472</v>
      </c>
      <c r="G148" s="172">
        <v>1</v>
      </c>
      <c r="H148" s="168">
        <f t="shared" si="7"/>
        <v>0</v>
      </c>
    </row>
    <row r="149" spans="1:8" ht="176.4" x14ac:dyDescent="0.45">
      <c r="A149" s="171" t="s">
        <v>2879</v>
      </c>
      <c r="B149" s="171"/>
      <c r="C149" s="106" t="s">
        <v>827</v>
      </c>
      <c r="D149" s="106" t="s">
        <v>828</v>
      </c>
      <c r="E149" s="166"/>
      <c r="F149" s="171" t="s">
        <v>472</v>
      </c>
      <c r="G149" s="172">
        <v>1</v>
      </c>
      <c r="H149" s="168">
        <f t="shared" si="7"/>
        <v>0</v>
      </c>
    </row>
    <row r="150" spans="1:8" ht="50.4" x14ac:dyDescent="0.45">
      <c r="A150" s="171" t="s">
        <v>2880</v>
      </c>
      <c r="B150" s="171"/>
      <c r="C150" s="106" t="s">
        <v>830</v>
      </c>
      <c r="D150" s="106" t="s">
        <v>831</v>
      </c>
      <c r="E150" s="166"/>
      <c r="F150" s="171" t="s">
        <v>543</v>
      </c>
      <c r="G150" s="172">
        <v>33000</v>
      </c>
      <c r="H150" s="168">
        <f t="shared" si="7"/>
        <v>0</v>
      </c>
    </row>
    <row r="151" spans="1:8" ht="63" x14ac:dyDescent="0.45">
      <c r="A151" s="171" t="s">
        <v>2881</v>
      </c>
      <c r="B151" s="171"/>
      <c r="C151" s="186" t="s">
        <v>833</v>
      </c>
      <c r="D151" s="186" t="s">
        <v>1436</v>
      </c>
      <c r="E151" s="166"/>
      <c r="F151" s="171" t="s">
        <v>543</v>
      </c>
      <c r="G151" s="172">
        <v>2400</v>
      </c>
      <c r="H151" s="168">
        <f t="shared" si="7"/>
        <v>0</v>
      </c>
    </row>
    <row r="152" spans="1:8" ht="63" x14ac:dyDescent="0.45">
      <c r="A152" s="171" t="s">
        <v>2882</v>
      </c>
      <c r="B152" s="171"/>
      <c r="C152" s="186" t="s">
        <v>835</v>
      </c>
      <c r="D152" s="186" t="s">
        <v>1438</v>
      </c>
      <c r="E152" s="166"/>
      <c r="F152" s="171" t="s">
        <v>543</v>
      </c>
      <c r="G152" s="172">
        <v>7000</v>
      </c>
      <c r="H152" s="168">
        <f t="shared" si="7"/>
        <v>0</v>
      </c>
    </row>
    <row r="153" spans="1:8" ht="63" x14ac:dyDescent="0.45">
      <c r="A153" s="171" t="s">
        <v>2883</v>
      </c>
      <c r="B153" s="171"/>
      <c r="C153" s="186" t="s">
        <v>837</v>
      </c>
      <c r="D153" s="186" t="s">
        <v>1440</v>
      </c>
      <c r="E153" s="166"/>
      <c r="F153" s="171" t="s">
        <v>543</v>
      </c>
      <c r="G153" s="172">
        <v>1750</v>
      </c>
      <c r="H153" s="168">
        <f t="shared" si="7"/>
        <v>0</v>
      </c>
    </row>
    <row r="154" spans="1:8" ht="63" x14ac:dyDescent="0.45">
      <c r="A154" s="171" t="s">
        <v>2884</v>
      </c>
      <c r="B154" s="171"/>
      <c r="C154" s="186" t="s">
        <v>839</v>
      </c>
      <c r="D154" s="186" t="s">
        <v>1442</v>
      </c>
      <c r="E154" s="166"/>
      <c r="F154" s="171" t="s">
        <v>543</v>
      </c>
      <c r="G154" s="172">
        <v>300</v>
      </c>
      <c r="H154" s="168">
        <f t="shared" si="7"/>
        <v>0</v>
      </c>
    </row>
    <row r="155" spans="1:8" ht="63" x14ac:dyDescent="0.45">
      <c r="A155" s="171" t="s">
        <v>2885</v>
      </c>
      <c r="B155" s="171"/>
      <c r="C155" s="186" t="s">
        <v>841</v>
      </c>
      <c r="D155" s="186" t="s">
        <v>1444</v>
      </c>
      <c r="E155" s="166"/>
      <c r="F155" s="171" t="s">
        <v>543</v>
      </c>
      <c r="G155" s="172">
        <v>5880</v>
      </c>
      <c r="H155" s="168">
        <f t="shared" si="7"/>
        <v>0</v>
      </c>
    </row>
    <row r="156" spans="1:8" ht="63" x14ac:dyDescent="0.45">
      <c r="A156" s="171" t="s">
        <v>2886</v>
      </c>
      <c r="B156" s="171"/>
      <c r="C156" s="186" t="s">
        <v>843</v>
      </c>
      <c r="D156" s="186" t="s">
        <v>1446</v>
      </c>
      <c r="E156" s="166"/>
      <c r="F156" s="171" t="s">
        <v>543</v>
      </c>
      <c r="G156" s="172">
        <v>1020</v>
      </c>
      <c r="H156" s="168">
        <f t="shared" si="7"/>
        <v>0</v>
      </c>
    </row>
    <row r="157" spans="1:8" ht="63" x14ac:dyDescent="0.45">
      <c r="A157" s="171" t="s">
        <v>2887</v>
      </c>
      <c r="B157" s="171"/>
      <c r="C157" s="186" t="s">
        <v>845</v>
      </c>
      <c r="D157" s="186" t="s">
        <v>1438</v>
      </c>
      <c r="E157" s="166"/>
      <c r="F157" s="171" t="s">
        <v>543</v>
      </c>
      <c r="G157" s="172">
        <v>3000</v>
      </c>
      <c r="H157" s="168">
        <f t="shared" si="7"/>
        <v>0</v>
      </c>
    </row>
    <row r="158" spans="1:8" ht="63" x14ac:dyDescent="0.45">
      <c r="A158" s="171" t="s">
        <v>2888</v>
      </c>
      <c r="B158" s="171"/>
      <c r="C158" s="186" t="s">
        <v>837</v>
      </c>
      <c r="D158" s="186" t="s">
        <v>1440</v>
      </c>
      <c r="E158" s="166"/>
      <c r="F158" s="171" t="s">
        <v>543</v>
      </c>
      <c r="G158" s="172">
        <v>750</v>
      </c>
      <c r="H158" s="168">
        <f t="shared" si="7"/>
        <v>0</v>
      </c>
    </row>
    <row r="159" spans="1:8" ht="63" x14ac:dyDescent="0.45">
      <c r="A159" s="171" t="s">
        <v>2889</v>
      </c>
      <c r="B159" s="171"/>
      <c r="C159" s="186" t="s">
        <v>839</v>
      </c>
      <c r="D159" s="186" t="s">
        <v>1442</v>
      </c>
      <c r="E159" s="166"/>
      <c r="F159" s="171" t="s">
        <v>543</v>
      </c>
      <c r="G159" s="172">
        <v>125</v>
      </c>
      <c r="H159" s="168">
        <f t="shared" si="7"/>
        <v>0</v>
      </c>
    </row>
    <row r="160" spans="1:8" ht="63" x14ac:dyDescent="0.45">
      <c r="A160" s="171" t="s">
        <v>2890</v>
      </c>
      <c r="B160" s="171"/>
      <c r="C160" s="186" t="s">
        <v>849</v>
      </c>
      <c r="D160" s="186" t="s">
        <v>1451</v>
      </c>
      <c r="E160" s="166"/>
      <c r="F160" s="171" t="s">
        <v>543</v>
      </c>
      <c r="G160" s="172">
        <v>2050</v>
      </c>
      <c r="H160" s="168">
        <f t="shared" si="7"/>
        <v>0</v>
      </c>
    </row>
    <row r="161" spans="1:8" ht="50.4" x14ac:dyDescent="0.45">
      <c r="A161" s="171" t="s">
        <v>2891</v>
      </c>
      <c r="B161" s="171"/>
      <c r="C161" s="106" t="s">
        <v>851</v>
      </c>
      <c r="D161" s="106" t="s">
        <v>852</v>
      </c>
      <c r="E161" s="166"/>
      <c r="F161" s="171" t="s">
        <v>543</v>
      </c>
      <c r="G161" s="172">
        <v>15000</v>
      </c>
      <c r="H161" s="168">
        <f t="shared" si="7"/>
        <v>0</v>
      </c>
    </row>
    <row r="162" spans="1:8" ht="63" x14ac:dyDescent="0.45">
      <c r="A162" s="171" t="s">
        <v>2892</v>
      </c>
      <c r="B162" s="171"/>
      <c r="C162" s="106" t="s">
        <v>854</v>
      </c>
      <c r="D162" s="106" t="s">
        <v>855</v>
      </c>
      <c r="E162" s="166"/>
      <c r="F162" s="171" t="s">
        <v>472</v>
      </c>
      <c r="G162" s="171">
        <v>10</v>
      </c>
      <c r="H162" s="168">
        <f t="shared" si="7"/>
        <v>0</v>
      </c>
    </row>
    <row r="163" spans="1:8" ht="63" x14ac:dyDescent="0.45">
      <c r="A163" s="171" t="s">
        <v>2893</v>
      </c>
      <c r="B163" s="171"/>
      <c r="C163" s="106" t="s">
        <v>857</v>
      </c>
      <c r="D163" s="184" t="s">
        <v>858</v>
      </c>
      <c r="E163" s="166"/>
      <c r="F163" s="171" t="s">
        <v>543</v>
      </c>
      <c r="G163" s="172">
        <v>33000</v>
      </c>
      <c r="H163" s="168">
        <f t="shared" si="7"/>
        <v>0</v>
      </c>
    </row>
    <row r="164" spans="1:8" ht="63" x14ac:dyDescent="0.45">
      <c r="A164" s="171" t="s">
        <v>2894</v>
      </c>
      <c r="B164" s="171"/>
      <c r="C164" s="106" t="s">
        <v>860</v>
      </c>
      <c r="D164" s="184" t="s">
        <v>861</v>
      </c>
      <c r="E164" s="166"/>
      <c r="F164" s="171" t="s">
        <v>543</v>
      </c>
      <c r="G164" s="172">
        <v>39000</v>
      </c>
      <c r="H164" s="168">
        <f t="shared" si="7"/>
        <v>0</v>
      </c>
    </row>
    <row r="165" spans="1:8" ht="37.799999999999997" x14ac:dyDescent="0.45">
      <c r="A165" s="171" t="s">
        <v>2895</v>
      </c>
      <c r="B165" s="171"/>
      <c r="C165" s="106" t="s">
        <v>863</v>
      </c>
      <c r="D165" s="106" t="s">
        <v>864</v>
      </c>
      <c r="E165" s="166"/>
      <c r="F165" s="171" t="s">
        <v>472</v>
      </c>
      <c r="G165" s="171">
        <v>10</v>
      </c>
      <c r="H165" s="168">
        <f t="shared" si="7"/>
        <v>0</v>
      </c>
    </row>
    <row r="166" spans="1:8" ht="37.799999999999997" x14ac:dyDescent="0.45">
      <c r="A166" s="171" t="s">
        <v>2896</v>
      </c>
      <c r="B166" s="171"/>
      <c r="C166" s="106" t="s">
        <v>866</v>
      </c>
      <c r="D166" s="106" t="s">
        <v>864</v>
      </c>
      <c r="E166" s="166"/>
      <c r="F166" s="171" t="s">
        <v>472</v>
      </c>
      <c r="G166" s="171">
        <v>10</v>
      </c>
      <c r="H166" s="168">
        <f t="shared" si="7"/>
        <v>0</v>
      </c>
    </row>
    <row r="167" spans="1:8" ht="37.799999999999997" x14ac:dyDescent="0.45">
      <c r="A167" s="171" t="s">
        <v>2897</v>
      </c>
      <c r="B167" s="171"/>
      <c r="C167" s="106" t="s">
        <v>868</v>
      </c>
      <c r="D167" s="106" t="s">
        <v>869</v>
      </c>
      <c r="E167" s="166"/>
      <c r="F167" s="171" t="s">
        <v>472</v>
      </c>
      <c r="G167" s="171">
        <v>10</v>
      </c>
      <c r="H167" s="168">
        <f t="shared" si="7"/>
        <v>0</v>
      </c>
    </row>
    <row r="168" spans="1:8" ht="37.799999999999997" x14ac:dyDescent="0.45">
      <c r="A168" s="171" t="s">
        <v>2898</v>
      </c>
      <c r="B168" s="171"/>
      <c r="C168" s="106" t="s">
        <v>871</v>
      </c>
      <c r="D168" s="106" t="s">
        <v>869</v>
      </c>
      <c r="E168" s="166"/>
      <c r="F168" s="171" t="s">
        <v>472</v>
      </c>
      <c r="G168" s="171">
        <v>10</v>
      </c>
      <c r="H168" s="168">
        <f t="shared" si="7"/>
        <v>0</v>
      </c>
    </row>
    <row r="169" spans="1:8" ht="37.799999999999997" x14ac:dyDescent="0.45">
      <c r="A169" s="171" t="s">
        <v>2899</v>
      </c>
      <c r="B169" s="171"/>
      <c r="C169" s="106" t="s">
        <v>873</v>
      </c>
      <c r="D169" s="106" t="s">
        <v>864</v>
      </c>
      <c r="E169" s="166"/>
      <c r="F169" s="171" t="s">
        <v>472</v>
      </c>
      <c r="G169" s="171">
        <v>10</v>
      </c>
      <c r="H169" s="168">
        <f t="shared" si="7"/>
        <v>0</v>
      </c>
    </row>
    <row r="170" spans="1:8" ht="37.799999999999997" x14ac:dyDescent="0.45">
      <c r="A170" s="171" t="s">
        <v>2900</v>
      </c>
      <c r="B170" s="171"/>
      <c r="C170" s="106" t="s">
        <v>875</v>
      </c>
      <c r="D170" s="106" t="s">
        <v>864</v>
      </c>
      <c r="E170" s="166"/>
      <c r="F170" s="171" t="s">
        <v>472</v>
      </c>
      <c r="G170" s="171">
        <v>10</v>
      </c>
      <c r="H170" s="168">
        <f t="shared" si="7"/>
        <v>0</v>
      </c>
    </row>
    <row r="171" spans="1:8" ht="37.799999999999997" x14ac:dyDescent="0.45">
      <c r="A171" s="171" t="s">
        <v>2901</v>
      </c>
      <c r="B171" s="171"/>
      <c r="C171" s="106" t="s">
        <v>877</v>
      </c>
      <c r="D171" s="106" t="s">
        <v>864</v>
      </c>
      <c r="E171" s="166"/>
      <c r="F171" s="171" t="s">
        <v>472</v>
      </c>
      <c r="G171" s="171">
        <v>10</v>
      </c>
      <c r="H171" s="168">
        <f t="shared" si="7"/>
        <v>0</v>
      </c>
    </row>
    <row r="172" spans="1:8" ht="37.799999999999997" x14ac:dyDescent="0.45">
      <c r="A172" s="171" t="s">
        <v>2902</v>
      </c>
      <c r="B172" s="171"/>
      <c r="C172" s="106" t="s">
        <v>879</v>
      </c>
      <c r="D172" s="106" t="s">
        <v>864</v>
      </c>
      <c r="E172" s="166"/>
      <c r="F172" s="171" t="s">
        <v>472</v>
      </c>
      <c r="G172" s="171">
        <v>10</v>
      </c>
      <c r="H172" s="168">
        <f t="shared" si="7"/>
        <v>0</v>
      </c>
    </row>
    <row r="173" spans="1:8" ht="37.799999999999997" x14ac:dyDescent="0.45">
      <c r="A173" s="171" t="s">
        <v>2903</v>
      </c>
      <c r="B173" s="171"/>
      <c r="C173" s="106" t="s">
        <v>881</v>
      </c>
      <c r="D173" s="106" t="s">
        <v>864</v>
      </c>
      <c r="E173" s="166"/>
      <c r="F173" s="171" t="s">
        <v>472</v>
      </c>
      <c r="G173" s="171">
        <v>10</v>
      </c>
      <c r="H173" s="168">
        <f t="shared" si="7"/>
        <v>0</v>
      </c>
    </row>
    <row r="174" spans="1:8" ht="37.799999999999997" x14ac:dyDescent="0.45">
      <c r="A174" s="171" t="s">
        <v>2904</v>
      </c>
      <c r="B174" s="171"/>
      <c r="C174" s="106" t="s">
        <v>883</v>
      </c>
      <c r="D174" s="106" t="s">
        <v>864</v>
      </c>
      <c r="E174" s="166"/>
      <c r="F174" s="171" t="s">
        <v>472</v>
      </c>
      <c r="G174" s="171">
        <v>10</v>
      </c>
      <c r="H174" s="168">
        <f t="shared" si="7"/>
        <v>0</v>
      </c>
    </row>
    <row r="175" spans="1:8" ht="37.799999999999997" x14ac:dyDescent="0.45">
      <c r="A175" s="171" t="s">
        <v>2905</v>
      </c>
      <c r="B175" s="171"/>
      <c r="C175" s="106" t="s">
        <v>885</v>
      </c>
      <c r="D175" s="106" t="s">
        <v>864</v>
      </c>
      <c r="E175" s="166"/>
      <c r="F175" s="171" t="s">
        <v>472</v>
      </c>
      <c r="G175" s="171">
        <v>10</v>
      </c>
      <c r="H175" s="168">
        <f t="shared" si="7"/>
        <v>0</v>
      </c>
    </row>
    <row r="176" spans="1:8" ht="37.799999999999997" x14ac:dyDescent="0.45">
      <c r="A176" s="171" t="s">
        <v>2906</v>
      </c>
      <c r="B176" s="171"/>
      <c r="C176" s="106" t="s">
        <v>887</v>
      </c>
      <c r="D176" s="106" t="s">
        <v>864</v>
      </c>
      <c r="E176" s="166"/>
      <c r="F176" s="171" t="s">
        <v>472</v>
      </c>
      <c r="G176" s="171">
        <v>10</v>
      </c>
      <c r="H176" s="168">
        <f t="shared" si="7"/>
        <v>0</v>
      </c>
    </row>
    <row r="177" spans="1:8" ht="37.799999999999997" x14ac:dyDescent="0.45">
      <c r="A177" s="171" t="s">
        <v>2907</v>
      </c>
      <c r="B177" s="171"/>
      <c r="C177" s="106" t="s">
        <v>889</v>
      </c>
      <c r="D177" s="106" t="s">
        <v>864</v>
      </c>
      <c r="E177" s="166"/>
      <c r="F177" s="171" t="s">
        <v>472</v>
      </c>
      <c r="G177" s="171">
        <v>10</v>
      </c>
      <c r="H177" s="168">
        <f t="shared" si="7"/>
        <v>0</v>
      </c>
    </row>
    <row r="178" spans="1:8" ht="37.799999999999997" x14ac:dyDescent="0.45">
      <c r="A178" s="171" t="s">
        <v>2908</v>
      </c>
      <c r="B178" s="171"/>
      <c r="C178" s="106" t="s">
        <v>891</v>
      </c>
      <c r="D178" s="106" t="s">
        <v>864</v>
      </c>
      <c r="E178" s="166"/>
      <c r="F178" s="171" t="s">
        <v>472</v>
      </c>
      <c r="G178" s="171">
        <v>10</v>
      </c>
      <c r="H178" s="168">
        <f t="shared" si="7"/>
        <v>0</v>
      </c>
    </row>
    <row r="179" spans="1:8" ht="37.799999999999997" x14ac:dyDescent="0.45">
      <c r="A179" s="171" t="s">
        <v>2909</v>
      </c>
      <c r="B179" s="171"/>
      <c r="C179" s="106" t="s">
        <v>893</v>
      </c>
      <c r="D179" s="106" t="s">
        <v>864</v>
      </c>
      <c r="E179" s="166"/>
      <c r="F179" s="171" t="s">
        <v>472</v>
      </c>
      <c r="G179" s="171">
        <v>10</v>
      </c>
      <c r="H179" s="168">
        <f t="shared" si="7"/>
        <v>0</v>
      </c>
    </row>
    <row r="180" spans="1:8" ht="37.799999999999997" x14ac:dyDescent="0.45">
      <c r="A180" s="171" t="s">
        <v>2910</v>
      </c>
      <c r="B180" s="171"/>
      <c r="C180" s="106" t="s">
        <v>895</v>
      </c>
      <c r="D180" s="106" t="s">
        <v>864</v>
      </c>
      <c r="E180" s="166"/>
      <c r="F180" s="171" t="s">
        <v>472</v>
      </c>
      <c r="G180" s="171">
        <v>10</v>
      </c>
      <c r="H180" s="168">
        <f t="shared" si="7"/>
        <v>0</v>
      </c>
    </row>
    <row r="181" spans="1:8" ht="37.799999999999997" x14ac:dyDescent="0.45">
      <c r="A181" s="171" t="s">
        <v>2911</v>
      </c>
      <c r="B181" s="171"/>
      <c r="C181" s="106" t="s">
        <v>897</v>
      </c>
      <c r="D181" s="106" t="s">
        <v>864</v>
      </c>
      <c r="E181" s="166"/>
      <c r="F181" s="171" t="s">
        <v>472</v>
      </c>
      <c r="G181" s="171">
        <v>10</v>
      </c>
      <c r="H181" s="168">
        <f t="shared" si="7"/>
        <v>0</v>
      </c>
    </row>
    <row r="182" spans="1:8" ht="37.799999999999997" x14ac:dyDescent="0.45">
      <c r="A182" s="171" t="s">
        <v>2912</v>
      </c>
      <c r="B182" s="171"/>
      <c r="C182" s="106" t="s">
        <v>899</v>
      </c>
      <c r="D182" s="106" t="s">
        <v>864</v>
      </c>
      <c r="E182" s="166"/>
      <c r="F182" s="171" t="s">
        <v>472</v>
      </c>
      <c r="G182" s="171">
        <v>10</v>
      </c>
      <c r="H182" s="168">
        <f t="shared" si="7"/>
        <v>0</v>
      </c>
    </row>
    <row r="183" spans="1:8" ht="37.799999999999997" x14ac:dyDescent="0.45">
      <c r="A183" s="171" t="s">
        <v>2913</v>
      </c>
      <c r="B183" s="171"/>
      <c r="C183" s="106" t="s">
        <v>901</v>
      </c>
      <c r="D183" s="106" t="s">
        <v>864</v>
      </c>
      <c r="E183" s="166"/>
      <c r="F183" s="171" t="s">
        <v>472</v>
      </c>
      <c r="G183" s="171">
        <v>10</v>
      </c>
      <c r="H183" s="168">
        <f t="shared" si="7"/>
        <v>0</v>
      </c>
    </row>
    <row r="184" spans="1:8" ht="37.799999999999997" x14ac:dyDescent="0.45">
      <c r="A184" s="171" t="s">
        <v>2914</v>
      </c>
      <c r="B184" s="171"/>
      <c r="C184" s="106" t="s">
        <v>903</v>
      </c>
      <c r="D184" s="106" t="s">
        <v>864</v>
      </c>
      <c r="E184" s="166"/>
      <c r="F184" s="171" t="s">
        <v>472</v>
      </c>
      <c r="G184" s="171">
        <v>10</v>
      </c>
      <c r="H184" s="168">
        <f t="shared" si="7"/>
        <v>0</v>
      </c>
    </row>
    <row r="185" spans="1:8" ht="37.799999999999997" x14ac:dyDescent="0.45">
      <c r="A185" s="171" t="s">
        <v>2915</v>
      </c>
      <c r="B185" s="171"/>
      <c r="C185" s="106" t="s">
        <v>905</v>
      </c>
      <c r="D185" s="106" t="s">
        <v>864</v>
      </c>
      <c r="E185" s="166"/>
      <c r="F185" s="171" t="s">
        <v>472</v>
      </c>
      <c r="G185" s="171">
        <v>10</v>
      </c>
      <c r="H185" s="168">
        <f t="shared" si="7"/>
        <v>0</v>
      </c>
    </row>
    <row r="186" spans="1:8" ht="37.799999999999997" x14ac:dyDescent="0.45">
      <c r="A186" s="171" t="s">
        <v>2916</v>
      </c>
      <c r="B186" s="171"/>
      <c r="C186" s="106" t="s">
        <v>907</v>
      </c>
      <c r="D186" s="106" t="s">
        <v>864</v>
      </c>
      <c r="E186" s="166"/>
      <c r="F186" s="171" t="s">
        <v>472</v>
      </c>
      <c r="G186" s="171">
        <v>10</v>
      </c>
      <c r="H186" s="168">
        <f t="shared" si="7"/>
        <v>0</v>
      </c>
    </row>
    <row r="187" spans="1:8" ht="37.799999999999997" x14ac:dyDescent="0.45">
      <c r="A187" s="171" t="s">
        <v>2917</v>
      </c>
      <c r="B187" s="171"/>
      <c r="C187" s="106" t="s">
        <v>909</v>
      </c>
      <c r="D187" s="106" t="s">
        <v>864</v>
      </c>
      <c r="E187" s="166"/>
      <c r="F187" s="171" t="s">
        <v>472</v>
      </c>
      <c r="G187" s="171">
        <v>10</v>
      </c>
      <c r="H187" s="168">
        <f t="shared" si="7"/>
        <v>0</v>
      </c>
    </row>
    <row r="188" spans="1:8" ht="50.4" x14ac:dyDescent="0.45">
      <c r="A188" s="171" t="s">
        <v>2918</v>
      </c>
      <c r="B188" s="171"/>
      <c r="C188" s="106" t="s">
        <v>911</v>
      </c>
      <c r="D188" s="106" t="s">
        <v>864</v>
      </c>
      <c r="E188" s="166"/>
      <c r="F188" s="171" t="s">
        <v>472</v>
      </c>
      <c r="G188" s="171">
        <v>10</v>
      </c>
      <c r="H188" s="168">
        <f t="shared" si="7"/>
        <v>0</v>
      </c>
    </row>
    <row r="189" spans="1:8" ht="37.799999999999997" x14ac:dyDescent="0.45">
      <c r="A189" s="171" t="s">
        <v>2919</v>
      </c>
      <c r="B189" s="171"/>
      <c r="C189" s="106" t="s">
        <v>913</v>
      </c>
      <c r="D189" s="106" t="s">
        <v>864</v>
      </c>
      <c r="E189" s="166"/>
      <c r="F189" s="171" t="s">
        <v>472</v>
      </c>
      <c r="G189" s="171">
        <v>10</v>
      </c>
      <c r="H189" s="168">
        <f t="shared" si="7"/>
        <v>0</v>
      </c>
    </row>
    <row r="190" spans="1:8" ht="50.4" x14ac:dyDescent="0.45">
      <c r="A190" s="171" t="s">
        <v>2920</v>
      </c>
      <c r="B190" s="171"/>
      <c r="C190" s="106" t="s">
        <v>915</v>
      </c>
      <c r="D190" s="106" t="s">
        <v>864</v>
      </c>
      <c r="E190" s="166"/>
      <c r="F190" s="171" t="s">
        <v>472</v>
      </c>
      <c r="G190" s="171">
        <v>10</v>
      </c>
      <c r="H190" s="168">
        <f t="shared" si="7"/>
        <v>0</v>
      </c>
    </row>
    <row r="191" spans="1:8" ht="50.4" x14ac:dyDescent="0.45">
      <c r="A191" s="171" t="s">
        <v>2921</v>
      </c>
      <c r="B191" s="171"/>
      <c r="C191" s="106" t="s">
        <v>917</v>
      </c>
      <c r="D191" s="106" t="s">
        <v>864</v>
      </c>
      <c r="E191" s="166"/>
      <c r="F191" s="171" t="s">
        <v>472</v>
      </c>
      <c r="G191" s="171">
        <v>10</v>
      </c>
      <c r="H191" s="168">
        <f t="shared" si="7"/>
        <v>0</v>
      </c>
    </row>
    <row r="192" spans="1:8" ht="50.4" x14ac:dyDescent="0.45">
      <c r="A192" s="171" t="s">
        <v>2922</v>
      </c>
      <c r="B192" s="171"/>
      <c r="C192" s="106" t="s">
        <v>919</v>
      </c>
      <c r="D192" s="106" t="s">
        <v>864</v>
      </c>
      <c r="E192" s="166"/>
      <c r="F192" s="171" t="s">
        <v>472</v>
      </c>
      <c r="G192" s="171">
        <v>10</v>
      </c>
      <c r="H192" s="168">
        <f t="shared" si="7"/>
        <v>0</v>
      </c>
    </row>
    <row r="193" spans="1:8" ht="37.799999999999997" x14ac:dyDescent="0.45">
      <c r="A193" s="171" t="s">
        <v>2923</v>
      </c>
      <c r="B193" s="171"/>
      <c r="C193" s="106" t="s">
        <v>921</v>
      </c>
      <c r="D193" s="106" t="s">
        <v>864</v>
      </c>
      <c r="E193" s="166"/>
      <c r="F193" s="171" t="s">
        <v>472</v>
      </c>
      <c r="G193" s="171">
        <v>10</v>
      </c>
      <c r="H193" s="168">
        <f t="shared" si="7"/>
        <v>0</v>
      </c>
    </row>
    <row r="194" spans="1:8" ht="50.4" x14ac:dyDescent="0.45">
      <c r="A194" s="171" t="s">
        <v>2924</v>
      </c>
      <c r="B194" s="171"/>
      <c r="C194" s="106" t="s">
        <v>923</v>
      </c>
      <c r="D194" s="106" t="s">
        <v>864</v>
      </c>
      <c r="E194" s="166"/>
      <c r="F194" s="171" t="s">
        <v>472</v>
      </c>
      <c r="G194" s="171">
        <v>10</v>
      </c>
      <c r="H194" s="168">
        <f t="shared" si="7"/>
        <v>0</v>
      </c>
    </row>
    <row r="195" spans="1:8" ht="50.4" x14ac:dyDescent="0.45">
      <c r="A195" s="171" t="s">
        <v>2925</v>
      </c>
      <c r="B195" s="171"/>
      <c r="C195" s="106" t="s">
        <v>925</v>
      </c>
      <c r="D195" s="106" t="s">
        <v>864</v>
      </c>
      <c r="E195" s="166"/>
      <c r="F195" s="171" t="s">
        <v>472</v>
      </c>
      <c r="G195" s="171">
        <v>10</v>
      </c>
      <c r="H195" s="168">
        <f t="shared" si="7"/>
        <v>0</v>
      </c>
    </row>
    <row r="196" spans="1:8" ht="50.4" x14ac:dyDescent="0.45">
      <c r="A196" s="171" t="s">
        <v>2926</v>
      </c>
      <c r="B196" s="171"/>
      <c r="C196" s="106" t="s">
        <v>927</v>
      </c>
      <c r="D196" s="106" t="s">
        <v>864</v>
      </c>
      <c r="E196" s="166"/>
      <c r="F196" s="171" t="s">
        <v>472</v>
      </c>
      <c r="G196" s="171">
        <v>10</v>
      </c>
      <c r="H196" s="168">
        <f t="shared" si="7"/>
        <v>0</v>
      </c>
    </row>
    <row r="197" spans="1:8" ht="50.4" x14ac:dyDescent="0.45">
      <c r="A197" s="171" t="s">
        <v>2927</v>
      </c>
      <c r="B197" s="171"/>
      <c r="C197" s="106" t="s">
        <v>929</v>
      </c>
      <c r="D197" s="106" t="s">
        <v>864</v>
      </c>
      <c r="E197" s="166"/>
      <c r="F197" s="171" t="s">
        <v>472</v>
      </c>
      <c r="G197" s="171">
        <v>10</v>
      </c>
      <c r="H197" s="168">
        <f t="shared" si="7"/>
        <v>0</v>
      </c>
    </row>
    <row r="198" spans="1:8" ht="50.4" x14ac:dyDescent="0.45">
      <c r="A198" s="171" t="s">
        <v>2928</v>
      </c>
      <c r="B198" s="171"/>
      <c r="C198" s="106" t="s">
        <v>931</v>
      </c>
      <c r="D198" s="106" t="s">
        <v>864</v>
      </c>
      <c r="E198" s="166"/>
      <c r="F198" s="171" t="s">
        <v>472</v>
      </c>
      <c r="G198" s="171">
        <v>10</v>
      </c>
      <c r="H198" s="168">
        <f t="shared" si="7"/>
        <v>0</v>
      </c>
    </row>
    <row r="199" spans="1:8" ht="37.799999999999997" x14ac:dyDescent="0.45">
      <c r="A199" s="171" t="s">
        <v>2929</v>
      </c>
      <c r="B199" s="171"/>
      <c r="C199" s="106" t="s">
        <v>933</v>
      </c>
      <c r="D199" s="106" t="s">
        <v>864</v>
      </c>
      <c r="E199" s="166"/>
      <c r="F199" s="171" t="s">
        <v>472</v>
      </c>
      <c r="G199" s="171">
        <v>10</v>
      </c>
      <c r="H199" s="168">
        <f t="shared" si="7"/>
        <v>0</v>
      </c>
    </row>
    <row r="200" spans="1:8" ht="37.799999999999997" x14ac:dyDescent="0.45">
      <c r="A200" s="171" t="s">
        <v>2930</v>
      </c>
      <c r="B200" s="171"/>
      <c r="C200" s="106" t="s">
        <v>935</v>
      </c>
      <c r="D200" s="106" t="s">
        <v>864</v>
      </c>
      <c r="E200" s="166"/>
      <c r="F200" s="171" t="s">
        <v>472</v>
      </c>
      <c r="G200" s="171">
        <v>10</v>
      </c>
      <c r="H200" s="168">
        <f t="shared" si="7"/>
        <v>0</v>
      </c>
    </row>
    <row r="201" spans="1:8" ht="50.4" x14ac:dyDescent="0.45">
      <c r="A201" s="171" t="s">
        <v>2931</v>
      </c>
      <c r="B201" s="171"/>
      <c r="C201" s="106" t="s">
        <v>937</v>
      </c>
      <c r="D201" s="106" t="s">
        <v>864</v>
      </c>
      <c r="E201" s="166"/>
      <c r="F201" s="171" t="s">
        <v>472</v>
      </c>
      <c r="G201" s="171">
        <v>10</v>
      </c>
      <c r="H201" s="168">
        <f t="shared" si="7"/>
        <v>0</v>
      </c>
    </row>
    <row r="202" spans="1:8" ht="50.4" x14ac:dyDescent="0.45">
      <c r="A202" s="171" t="s">
        <v>2932</v>
      </c>
      <c r="B202" s="171"/>
      <c r="C202" s="106" t="s">
        <v>939</v>
      </c>
      <c r="D202" s="106" t="s">
        <v>864</v>
      </c>
      <c r="E202" s="166"/>
      <c r="F202" s="171" t="s">
        <v>472</v>
      </c>
      <c r="G202" s="171">
        <v>10</v>
      </c>
      <c r="H202" s="168">
        <f t="shared" si="7"/>
        <v>0</v>
      </c>
    </row>
    <row r="203" spans="1:8" ht="50.4" x14ac:dyDescent="0.45">
      <c r="A203" s="171" t="s">
        <v>2933</v>
      </c>
      <c r="B203" s="171"/>
      <c r="C203" s="106" t="s">
        <v>941</v>
      </c>
      <c r="D203" s="106" t="s">
        <v>864</v>
      </c>
      <c r="E203" s="166"/>
      <c r="F203" s="171" t="s">
        <v>472</v>
      </c>
      <c r="G203" s="171">
        <v>10</v>
      </c>
      <c r="H203" s="168">
        <f t="shared" si="7"/>
        <v>0</v>
      </c>
    </row>
    <row r="204" spans="1:8" ht="50.4" x14ac:dyDescent="0.45">
      <c r="A204" s="171" t="s">
        <v>2934</v>
      </c>
      <c r="B204" s="171"/>
      <c r="C204" s="106" t="s">
        <v>943</v>
      </c>
      <c r="D204" s="106" t="s">
        <v>864</v>
      </c>
      <c r="E204" s="166"/>
      <c r="F204" s="171" t="s">
        <v>472</v>
      </c>
      <c r="G204" s="171">
        <v>10</v>
      </c>
      <c r="H204" s="168">
        <f t="shared" si="7"/>
        <v>0</v>
      </c>
    </row>
    <row r="205" spans="1:8" ht="50.4" x14ac:dyDescent="0.45">
      <c r="A205" s="171" t="s">
        <v>2935</v>
      </c>
      <c r="B205" s="171"/>
      <c r="C205" s="106" t="s">
        <v>945</v>
      </c>
      <c r="D205" s="106" t="s">
        <v>864</v>
      </c>
      <c r="E205" s="166"/>
      <c r="F205" s="171" t="s">
        <v>472</v>
      </c>
      <c r="G205" s="171">
        <v>10</v>
      </c>
      <c r="H205" s="168">
        <f t="shared" si="7"/>
        <v>0</v>
      </c>
    </row>
    <row r="206" spans="1:8" ht="50.4" x14ac:dyDescent="0.45">
      <c r="A206" s="171" t="s">
        <v>2936</v>
      </c>
      <c r="B206" s="171"/>
      <c r="C206" s="106" t="s">
        <v>947</v>
      </c>
      <c r="D206" s="106" t="s">
        <v>864</v>
      </c>
      <c r="E206" s="166"/>
      <c r="F206" s="171" t="s">
        <v>472</v>
      </c>
      <c r="G206" s="171">
        <v>10</v>
      </c>
      <c r="H206" s="168">
        <f t="shared" si="7"/>
        <v>0</v>
      </c>
    </row>
    <row r="207" spans="1:8" ht="50.4" x14ac:dyDescent="0.45">
      <c r="A207" s="171" t="s">
        <v>2937</v>
      </c>
      <c r="B207" s="171"/>
      <c r="C207" s="106" t="s">
        <v>949</v>
      </c>
      <c r="D207" s="106" t="s">
        <v>864</v>
      </c>
      <c r="E207" s="166"/>
      <c r="F207" s="171" t="s">
        <v>472</v>
      </c>
      <c r="G207" s="171">
        <v>10</v>
      </c>
      <c r="H207" s="168">
        <f t="shared" si="7"/>
        <v>0</v>
      </c>
    </row>
    <row r="208" spans="1:8" ht="50.4" x14ac:dyDescent="0.45">
      <c r="A208" s="171" t="s">
        <v>2938</v>
      </c>
      <c r="B208" s="171"/>
      <c r="C208" s="106" t="s">
        <v>951</v>
      </c>
      <c r="D208" s="106" t="s">
        <v>864</v>
      </c>
      <c r="E208" s="166"/>
      <c r="F208" s="171" t="s">
        <v>472</v>
      </c>
      <c r="G208" s="171">
        <v>10</v>
      </c>
      <c r="H208" s="168">
        <f t="shared" si="7"/>
        <v>0</v>
      </c>
    </row>
    <row r="209" spans="1:8" ht="50.4" x14ac:dyDescent="0.45">
      <c r="A209" s="171" t="s">
        <v>2939</v>
      </c>
      <c r="B209" s="171"/>
      <c r="C209" s="106" t="s">
        <v>953</v>
      </c>
      <c r="D209" s="106" t="s">
        <v>864</v>
      </c>
      <c r="E209" s="166"/>
      <c r="F209" s="171" t="s">
        <v>472</v>
      </c>
      <c r="G209" s="171">
        <v>10</v>
      </c>
      <c r="H209" s="168">
        <f t="shared" ref="H209:H258" si="8">SUM(E209)*G209</f>
        <v>0</v>
      </c>
    </row>
    <row r="210" spans="1:8" ht="50.4" x14ac:dyDescent="0.45">
      <c r="A210" s="171" t="s">
        <v>2940</v>
      </c>
      <c r="B210" s="171"/>
      <c r="C210" s="106" t="s">
        <v>955</v>
      </c>
      <c r="D210" s="106" t="s">
        <v>864</v>
      </c>
      <c r="E210" s="166"/>
      <c r="F210" s="171" t="s">
        <v>472</v>
      </c>
      <c r="G210" s="171">
        <v>10</v>
      </c>
      <c r="H210" s="168">
        <f t="shared" si="8"/>
        <v>0</v>
      </c>
    </row>
    <row r="211" spans="1:8" ht="50.4" x14ac:dyDescent="0.45">
      <c r="A211" s="171" t="s">
        <v>2941</v>
      </c>
      <c r="B211" s="171"/>
      <c r="C211" s="106" t="s">
        <v>957</v>
      </c>
      <c r="D211" s="106" t="s">
        <v>864</v>
      </c>
      <c r="E211" s="166"/>
      <c r="F211" s="171" t="s">
        <v>472</v>
      </c>
      <c r="G211" s="171">
        <v>10</v>
      </c>
      <c r="H211" s="168">
        <f t="shared" si="8"/>
        <v>0</v>
      </c>
    </row>
    <row r="212" spans="1:8" ht="50.4" x14ac:dyDescent="0.45">
      <c r="A212" s="171" t="s">
        <v>2942</v>
      </c>
      <c r="B212" s="171"/>
      <c r="C212" s="106" t="s">
        <v>959</v>
      </c>
      <c r="D212" s="106" t="s">
        <v>864</v>
      </c>
      <c r="E212" s="166"/>
      <c r="F212" s="171" t="s">
        <v>472</v>
      </c>
      <c r="G212" s="171">
        <v>10</v>
      </c>
      <c r="H212" s="168">
        <f t="shared" si="8"/>
        <v>0</v>
      </c>
    </row>
    <row r="213" spans="1:8" ht="50.4" x14ac:dyDescent="0.45">
      <c r="A213" s="171" t="s">
        <v>2943</v>
      </c>
      <c r="B213" s="171"/>
      <c r="C213" s="106" t="s">
        <v>961</v>
      </c>
      <c r="D213" s="106" t="s">
        <v>864</v>
      </c>
      <c r="E213" s="166"/>
      <c r="F213" s="171" t="s">
        <v>472</v>
      </c>
      <c r="G213" s="171">
        <v>10</v>
      </c>
      <c r="H213" s="168">
        <f t="shared" si="8"/>
        <v>0</v>
      </c>
    </row>
    <row r="214" spans="1:8" ht="50.4" x14ac:dyDescent="0.45">
      <c r="A214" s="171" t="s">
        <v>2944</v>
      </c>
      <c r="B214" s="171"/>
      <c r="C214" s="106" t="s">
        <v>963</v>
      </c>
      <c r="D214" s="106" t="s">
        <v>864</v>
      </c>
      <c r="E214" s="166"/>
      <c r="F214" s="171" t="s">
        <v>472</v>
      </c>
      <c r="G214" s="171">
        <v>10</v>
      </c>
      <c r="H214" s="168">
        <f t="shared" si="8"/>
        <v>0</v>
      </c>
    </row>
    <row r="215" spans="1:8" ht="50.4" x14ac:dyDescent="0.45">
      <c r="A215" s="171" t="s">
        <v>2945</v>
      </c>
      <c r="B215" s="171"/>
      <c r="C215" s="106" t="s">
        <v>965</v>
      </c>
      <c r="D215" s="106" t="s">
        <v>864</v>
      </c>
      <c r="E215" s="166"/>
      <c r="F215" s="171" t="s">
        <v>472</v>
      </c>
      <c r="G215" s="171">
        <v>10</v>
      </c>
      <c r="H215" s="168">
        <f t="shared" si="8"/>
        <v>0</v>
      </c>
    </row>
    <row r="216" spans="1:8" ht="50.4" x14ac:dyDescent="0.45">
      <c r="A216" s="171" t="s">
        <v>2946</v>
      </c>
      <c r="B216" s="171"/>
      <c r="C216" s="106" t="s">
        <v>967</v>
      </c>
      <c r="D216" s="106" t="s">
        <v>864</v>
      </c>
      <c r="E216" s="166"/>
      <c r="F216" s="171" t="s">
        <v>472</v>
      </c>
      <c r="G216" s="171">
        <v>10</v>
      </c>
      <c r="H216" s="168">
        <f t="shared" si="8"/>
        <v>0</v>
      </c>
    </row>
    <row r="217" spans="1:8" ht="50.4" x14ac:dyDescent="0.45">
      <c r="A217" s="171" t="s">
        <v>2947</v>
      </c>
      <c r="B217" s="171"/>
      <c r="C217" s="106" t="s">
        <v>969</v>
      </c>
      <c r="D217" s="106" t="s">
        <v>864</v>
      </c>
      <c r="E217" s="166"/>
      <c r="F217" s="171" t="s">
        <v>472</v>
      </c>
      <c r="G217" s="171">
        <v>10</v>
      </c>
      <c r="H217" s="168">
        <f t="shared" si="8"/>
        <v>0</v>
      </c>
    </row>
    <row r="218" spans="1:8" ht="50.4" x14ac:dyDescent="0.45">
      <c r="A218" s="171" t="s">
        <v>2948</v>
      </c>
      <c r="B218" s="171"/>
      <c r="C218" s="106" t="s">
        <v>971</v>
      </c>
      <c r="D218" s="106" t="s">
        <v>864</v>
      </c>
      <c r="E218" s="166"/>
      <c r="F218" s="171" t="s">
        <v>472</v>
      </c>
      <c r="G218" s="171">
        <v>10</v>
      </c>
      <c r="H218" s="168">
        <f t="shared" si="8"/>
        <v>0</v>
      </c>
    </row>
    <row r="219" spans="1:8" ht="50.4" x14ac:dyDescent="0.45">
      <c r="A219" s="171" t="s">
        <v>2949</v>
      </c>
      <c r="B219" s="171"/>
      <c r="C219" s="106" t="s">
        <v>973</v>
      </c>
      <c r="D219" s="106" t="s">
        <v>864</v>
      </c>
      <c r="E219" s="166"/>
      <c r="F219" s="171" t="s">
        <v>472</v>
      </c>
      <c r="G219" s="171">
        <v>10</v>
      </c>
      <c r="H219" s="168">
        <f t="shared" si="8"/>
        <v>0</v>
      </c>
    </row>
    <row r="220" spans="1:8" ht="37.799999999999997" x14ac:dyDescent="0.45">
      <c r="A220" s="171" t="s">
        <v>2950</v>
      </c>
      <c r="B220" s="171"/>
      <c r="C220" s="106" t="s">
        <v>975</v>
      </c>
      <c r="D220" s="106" t="s">
        <v>864</v>
      </c>
      <c r="E220" s="166"/>
      <c r="F220" s="171" t="s">
        <v>472</v>
      </c>
      <c r="G220" s="171">
        <v>10</v>
      </c>
      <c r="H220" s="168">
        <f t="shared" si="8"/>
        <v>0</v>
      </c>
    </row>
    <row r="221" spans="1:8" ht="37.799999999999997" x14ac:dyDescent="0.45">
      <c r="A221" s="171" t="s">
        <v>2951</v>
      </c>
      <c r="B221" s="171"/>
      <c r="C221" s="106" t="s">
        <v>977</v>
      </c>
      <c r="D221" s="106" t="s">
        <v>864</v>
      </c>
      <c r="E221" s="166"/>
      <c r="F221" s="171" t="s">
        <v>472</v>
      </c>
      <c r="G221" s="171">
        <v>10</v>
      </c>
      <c r="H221" s="168">
        <f t="shared" si="8"/>
        <v>0</v>
      </c>
    </row>
    <row r="222" spans="1:8" ht="37.799999999999997" x14ac:dyDescent="0.45">
      <c r="A222" s="171" t="s">
        <v>2952</v>
      </c>
      <c r="B222" s="171"/>
      <c r="C222" s="106" t="s">
        <v>979</v>
      </c>
      <c r="D222" s="106" t="s">
        <v>864</v>
      </c>
      <c r="E222" s="166"/>
      <c r="F222" s="171" t="s">
        <v>472</v>
      </c>
      <c r="G222" s="171">
        <v>10</v>
      </c>
      <c r="H222" s="168">
        <f t="shared" si="8"/>
        <v>0</v>
      </c>
    </row>
    <row r="223" spans="1:8" ht="37.799999999999997" x14ac:dyDescent="0.45">
      <c r="A223" s="171" t="s">
        <v>2953</v>
      </c>
      <c r="B223" s="171"/>
      <c r="C223" s="106" t="s">
        <v>981</v>
      </c>
      <c r="D223" s="106" t="s">
        <v>864</v>
      </c>
      <c r="E223" s="166"/>
      <c r="F223" s="171" t="s">
        <v>472</v>
      </c>
      <c r="G223" s="171">
        <v>10</v>
      </c>
      <c r="H223" s="168">
        <f t="shared" si="8"/>
        <v>0</v>
      </c>
    </row>
    <row r="224" spans="1:8" ht="37.799999999999997" x14ac:dyDescent="0.45">
      <c r="A224" s="171" t="s">
        <v>2954</v>
      </c>
      <c r="B224" s="171"/>
      <c r="C224" s="106" t="s">
        <v>983</v>
      </c>
      <c r="D224" s="106" t="s">
        <v>864</v>
      </c>
      <c r="E224" s="166"/>
      <c r="F224" s="171" t="s">
        <v>472</v>
      </c>
      <c r="G224" s="171">
        <v>10</v>
      </c>
      <c r="H224" s="168">
        <f t="shared" si="8"/>
        <v>0</v>
      </c>
    </row>
    <row r="225" spans="1:8" ht="63" x14ac:dyDescent="0.45">
      <c r="A225" s="171" t="s">
        <v>2955</v>
      </c>
      <c r="B225" s="171"/>
      <c r="C225" s="106" t="s">
        <v>985</v>
      </c>
      <c r="D225" s="106" t="s">
        <v>864</v>
      </c>
      <c r="E225" s="166"/>
      <c r="F225" s="171" t="s">
        <v>472</v>
      </c>
      <c r="G225" s="171">
        <v>10</v>
      </c>
      <c r="H225" s="168">
        <f t="shared" si="8"/>
        <v>0</v>
      </c>
    </row>
    <row r="226" spans="1:8" ht="63" x14ac:dyDescent="0.45">
      <c r="A226" s="171" t="s">
        <v>2956</v>
      </c>
      <c r="B226" s="171"/>
      <c r="C226" s="106" t="s">
        <v>987</v>
      </c>
      <c r="D226" s="106" t="s">
        <v>864</v>
      </c>
      <c r="E226" s="166"/>
      <c r="F226" s="171" t="s">
        <v>472</v>
      </c>
      <c r="G226" s="171">
        <v>10</v>
      </c>
      <c r="H226" s="168">
        <f t="shared" si="8"/>
        <v>0</v>
      </c>
    </row>
    <row r="227" spans="1:8" ht="37.799999999999997" x14ac:dyDescent="0.45">
      <c r="A227" s="171" t="s">
        <v>2957</v>
      </c>
      <c r="B227" s="171"/>
      <c r="C227" s="106" t="s">
        <v>989</v>
      </c>
      <c r="D227" s="106" t="s">
        <v>864</v>
      </c>
      <c r="E227" s="166"/>
      <c r="F227" s="171" t="s">
        <v>472</v>
      </c>
      <c r="G227" s="171">
        <v>10</v>
      </c>
      <c r="H227" s="168">
        <f t="shared" si="8"/>
        <v>0</v>
      </c>
    </row>
    <row r="228" spans="1:8" ht="37.799999999999997" x14ac:dyDescent="0.45">
      <c r="A228" s="171" t="s">
        <v>2958</v>
      </c>
      <c r="B228" s="171"/>
      <c r="C228" s="106" t="s">
        <v>991</v>
      </c>
      <c r="D228" s="106" t="s">
        <v>864</v>
      </c>
      <c r="E228" s="166"/>
      <c r="F228" s="171" t="s">
        <v>472</v>
      </c>
      <c r="G228" s="171">
        <v>10</v>
      </c>
      <c r="H228" s="168">
        <f t="shared" si="8"/>
        <v>0</v>
      </c>
    </row>
    <row r="229" spans="1:8" ht="37.799999999999997" x14ac:dyDescent="0.45">
      <c r="A229" s="171" t="s">
        <v>2959</v>
      </c>
      <c r="B229" s="171"/>
      <c r="C229" s="106" t="s">
        <v>993</v>
      </c>
      <c r="D229" s="106" t="s">
        <v>864</v>
      </c>
      <c r="E229" s="166"/>
      <c r="F229" s="171" t="s">
        <v>472</v>
      </c>
      <c r="G229" s="171">
        <v>10</v>
      </c>
      <c r="H229" s="168">
        <f t="shared" si="8"/>
        <v>0</v>
      </c>
    </row>
    <row r="230" spans="1:8" ht="37.799999999999997" x14ac:dyDescent="0.45">
      <c r="A230" s="171" t="s">
        <v>2960</v>
      </c>
      <c r="B230" s="171"/>
      <c r="C230" s="106" t="s">
        <v>995</v>
      </c>
      <c r="D230" s="106" t="s">
        <v>864</v>
      </c>
      <c r="E230" s="166"/>
      <c r="F230" s="171" t="s">
        <v>472</v>
      </c>
      <c r="G230" s="171">
        <v>10</v>
      </c>
      <c r="H230" s="168">
        <f t="shared" si="8"/>
        <v>0</v>
      </c>
    </row>
    <row r="231" spans="1:8" ht="37.799999999999997" x14ac:dyDescent="0.45">
      <c r="A231" s="171" t="s">
        <v>2961</v>
      </c>
      <c r="B231" s="171"/>
      <c r="C231" s="106" t="s">
        <v>997</v>
      </c>
      <c r="D231" s="106" t="s">
        <v>864</v>
      </c>
      <c r="E231" s="166"/>
      <c r="F231" s="171" t="s">
        <v>472</v>
      </c>
      <c r="G231" s="171">
        <v>10</v>
      </c>
      <c r="H231" s="168">
        <f t="shared" si="8"/>
        <v>0</v>
      </c>
    </row>
    <row r="232" spans="1:8" ht="37.799999999999997" x14ac:dyDescent="0.45">
      <c r="A232" s="171" t="s">
        <v>2962</v>
      </c>
      <c r="B232" s="171"/>
      <c r="C232" s="106" t="s">
        <v>999</v>
      </c>
      <c r="D232" s="106" t="s">
        <v>864</v>
      </c>
      <c r="E232" s="166"/>
      <c r="F232" s="171" t="s">
        <v>472</v>
      </c>
      <c r="G232" s="171">
        <v>10</v>
      </c>
      <c r="H232" s="168">
        <f t="shared" si="8"/>
        <v>0</v>
      </c>
    </row>
    <row r="233" spans="1:8" ht="37.799999999999997" x14ac:dyDescent="0.45">
      <c r="A233" s="171" t="s">
        <v>2963</v>
      </c>
      <c r="B233" s="171"/>
      <c r="C233" s="106" t="s">
        <v>1001</v>
      </c>
      <c r="D233" s="106" t="s">
        <v>864</v>
      </c>
      <c r="E233" s="166"/>
      <c r="F233" s="171" t="s">
        <v>472</v>
      </c>
      <c r="G233" s="171">
        <v>10</v>
      </c>
      <c r="H233" s="168">
        <f t="shared" si="8"/>
        <v>0</v>
      </c>
    </row>
    <row r="234" spans="1:8" ht="37.799999999999997" x14ac:dyDescent="0.45">
      <c r="A234" s="171" t="s">
        <v>2964</v>
      </c>
      <c r="B234" s="171"/>
      <c r="C234" s="106" t="s">
        <v>1003</v>
      </c>
      <c r="D234" s="106" t="s">
        <v>864</v>
      </c>
      <c r="E234" s="166"/>
      <c r="F234" s="171" t="s">
        <v>472</v>
      </c>
      <c r="G234" s="171">
        <v>10</v>
      </c>
      <c r="H234" s="168">
        <f t="shared" si="8"/>
        <v>0</v>
      </c>
    </row>
    <row r="235" spans="1:8" ht="37.799999999999997" x14ac:dyDescent="0.45">
      <c r="A235" s="171" t="s">
        <v>2965</v>
      </c>
      <c r="B235" s="171"/>
      <c r="C235" s="106" t="s">
        <v>1005</v>
      </c>
      <c r="D235" s="106" t="s">
        <v>864</v>
      </c>
      <c r="E235" s="166"/>
      <c r="F235" s="171" t="s">
        <v>472</v>
      </c>
      <c r="G235" s="171">
        <v>10</v>
      </c>
      <c r="H235" s="168">
        <f t="shared" si="8"/>
        <v>0</v>
      </c>
    </row>
    <row r="236" spans="1:8" ht="37.799999999999997" x14ac:dyDescent="0.45">
      <c r="A236" s="171" t="s">
        <v>2966</v>
      </c>
      <c r="B236" s="171"/>
      <c r="C236" s="106" t="s">
        <v>1007</v>
      </c>
      <c r="D236" s="106" t="s">
        <v>864</v>
      </c>
      <c r="E236" s="166"/>
      <c r="F236" s="171" t="s">
        <v>472</v>
      </c>
      <c r="G236" s="171">
        <v>10</v>
      </c>
      <c r="H236" s="168">
        <f t="shared" si="8"/>
        <v>0</v>
      </c>
    </row>
    <row r="237" spans="1:8" ht="37.799999999999997" x14ac:dyDescent="0.45">
      <c r="A237" s="171" t="s">
        <v>2967</v>
      </c>
      <c r="B237" s="171"/>
      <c r="C237" s="106" t="s">
        <v>1009</v>
      </c>
      <c r="D237" s="106" t="s">
        <v>864</v>
      </c>
      <c r="E237" s="166"/>
      <c r="F237" s="171" t="s">
        <v>472</v>
      </c>
      <c r="G237" s="171">
        <v>10</v>
      </c>
      <c r="H237" s="168">
        <f t="shared" si="8"/>
        <v>0</v>
      </c>
    </row>
    <row r="238" spans="1:8" ht="37.799999999999997" x14ac:dyDescent="0.45">
      <c r="A238" s="171" t="s">
        <v>2968</v>
      </c>
      <c r="B238" s="171"/>
      <c r="C238" s="106" t="s">
        <v>1011</v>
      </c>
      <c r="D238" s="106" t="s">
        <v>864</v>
      </c>
      <c r="E238" s="166"/>
      <c r="F238" s="171" t="s">
        <v>472</v>
      </c>
      <c r="G238" s="171">
        <v>10</v>
      </c>
      <c r="H238" s="168">
        <f t="shared" si="8"/>
        <v>0</v>
      </c>
    </row>
    <row r="239" spans="1:8" ht="37.799999999999997" x14ac:dyDescent="0.45">
      <c r="A239" s="171" t="s">
        <v>2969</v>
      </c>
      <c r="B239" s="171"/>
      <c r="C239" s="106" t="s">
        <v>1013</v>
      </c>
      <c r="D239" s="106" t="s">
        <v>864</v>
      </c>
      <c r="E239" s="166"/>
      <c r="F239" s="171" t="s">
        <v>472</v>
      </c>
      <c r="G239" s="171">
        <v>10</v>
      </c>
      <c r="H239" s="168">
        <f t="shared" si="8"/>
        <v>0</v>
      </c>
    </row>
    <row r="240" spans="1:8" ht="37.799999999999997" x14ac:dyDescent="0.45">
      <c r="A240" s="171" t="s">
        <v>2970</v>
      </c>
      <c r="B240" s="171"/>
      <c r="C240" s="106" t="s">
        <v>1015</v>
      </c>
      <c r="D240" s="106" t="s">
        <v>864</v>
      </c>
      <c r="E240" s="166"/>
      <c r="F240" s="171" t="s">
        <v>472</v>
      </c>
      <c r="G240" s="171">
        <v>10</v>
      </c>
      <c r="H240" s="168">
        <f t="shared" si="8"/>
        <v>0</v>
      </c>
    </row>
    <row r="241" spans="1:8" ht="37.799999999999997" x14ac:dyDescent="0.45">
      <c r="A241" s="171" t="s">
        <v>2971</v>
      </c>
      <c r="B241" s="171"/>
      <c r="C241" s="106" t="s">
        <v>1017</v>
      </c>
      <c r="D241" s="106" t="s">
        <v>864</v>
      </c>
      <c r="E241" s="166"/>
      <c r="F241" s="171" t="s">
        <v>472</v>
      </c>
      <c r="G241" s="171">
        <v>10</v>
      </c>
      <c r="H241" s="168">
        <f t="shared" si="8"/>
        <v>0</v>
      </c>
    </row>
    <row r="242" spans="1:8" ht="37.799999999999997" x14ac:dyDescent="0.45">
      <c r="A242" s="171" t="s">
        <v>2972</v>
      </c>
      <c r="B242" s="171"/>
      <c r="C242" s="106" t="s">
        <v>1019</v>
      </c>
      <c r="D242" s="106" t="s">
        <v>864</v>
      </c>
      <c r="E242" s="166"/>
      <c r="F242" s="171" t="s">
        <v>472</v>
      </c>
      <c r="G242" s="171">
        <v>10</v>
      </c>
      <c r="H242" s="168">
        <f t="shared" si="8"/>
        <v>0</v>
      </c>
    </row>
    <row r="243" spans="1:8" ht="37.799999999999997" x14ac:dyDescent="0.45">
      <c r="A243" s="171" t="s">
        <v>2973</v>
      </c>
      <c r="B243" s="171"/>
      <c r="C243" s="106" t="s">
        <v>1021</v>
      </c>
      <c r="D243" s="106" t="s">
        <v>864</v>
      </c>
      <c r="E243" s="166"/>
      <c r="F243" s="171" t="s">
        <v>472</v>
      </c>
      <c r="G243" s="171">
        <v>10</v>
      </c>
      <c r="H243" s="168">
        <f t="shared" si="8"/>
        <v>0</v>
      </c>
    </row>
    <row r="244" spans="1:8" ht="37.799999999999997" x14ac:dyDescent="0.45">
      <c r="A244" s="171" t="s">
        <v>2974</v>
      </c>
      <c r="B244" s="171"/>
      <c r="C244" s="106" t="s">
        <v>1023</v>
      </c>
      <c r="D244" s="106" t="s">
        <v>864</v>
      </c>
      <c r="E244" s="166"/>
      <c r="F244" s="171" t="s">
        <v>472</v>
      </c>
      <c r="G244" s="171">
        <v>10</v>
      </c>
      <c r="H244" s="168">
        <f t="shared" si="8"/>
        <v>0</v>
      </c>
    </row>
    <row r="245" spans="1:8" ht="37.799999999999997" x14ac:dyDescent="0.45">
      <c r="A245" s="171" t="s">
        <v>2975</v>
      </c>
      <c r="B245" s="171"/>
      <c r="C245" s="106" t="s">
        <v>1025</v>
      </c>
      <c r="D245" s="106" t="s">
        <v>864</v>
      </c>
      <c r="E245" s="166"/>
      <c r="F245" s="171" t="s">
        <v>472</v>
      </c>
      <c r="G245" s="171">
        <v>10</v>
      </c>
      <c r="H245" s="168">
        <f t="shared" si="8"/>
        <v>0</v>
      </c>
    </row>
    <row r="246" spans="1:8" ht="37.799999999999997" x14ac:dyDescent="0.45">
      <c r="A246" s="171" t="s">
        <v>2976</v>
      </c>
      <c r="B246" s="171"/>
      <c r="C246" s="106" t="s">
        <v>1027</v>
      </c>
      <c r="D246" s="106" t="s">
        <v>864</v>
      </c>
      <c r="E246" s="166"/>
      <c r="F246" s="171" t="s">
        <v>472</v>
      </c>
      <c r="G246" s="171">
        <v>10</v>
      </c>
      <c r="H246" s="168">
        <f t="shared" si="8"/>
        <v>0</v>
      </c>
    </row>
    <row r="247" spans="1:8" ht="37.799999999999997" x14ac:dyDescent="0.45">
      <c r="A247" s="171" t="s">
        <v>2977</v>
      </c>
      <c r="B247" s="171"/>
      <c r="C247" s="106" t="s">
        <v>1029</v>
      </c>
      <c r="D247" s="106" t="s">
        <v>864</v>
      </c>
      <c r="E247" s="166"/>
      <c r="F247" s="171" t="s">
        <v>472</v>
      </c>
      <c r="G247" s="171">
        <v>10</v>
      </c>
      <c r="H247" s="168">
        <f t="shared" si="8"/>
        <v>0</v>
      </c>
    </row>
    <row r="248" spans="1:8" ht="37.799999999999997" x14ac:dyDescent="0.45">
      <c r="A248" s="171" t="s">
        <v>2978</v>
      </c>
      <c r="B248" s="171"/>
      <c r="C248" s="106" t="s">
        <v>1031</v>
      </c>
      <c r="D248" s="106" t="s">
        <v>864</v>
      </c>
      <c r="E248" s="166"/>
      <c r="F248" s="171" t="s">
        <v>472</v>
      </c>
      <c r="G248" s="171">
        <v>10</v>
      </c>
      <c r="H248" s="168">
        <f t="shared" si="8"/>
        <v>0</v>
      </c>
    </row>
    <row r="249" spans="1:8" ht="37.799999999999997" x14ac:dyDescent="0.45">
      <c r="A249" s="171" t="s">
        <v>2979</v>
      </c>
      <c r="B249" s="171"/>
      <c r="C249" s="106" t="s">
        <v>1033</v>
      </c>
      <c r="D249" s="106" t="s">
        <v>864</v>
      </c>
      <c r="E249" s="166"/>
      <c r="F249" s="171" t="s">
        <v>472</v>
      </c>
      <c r="G249" s="171">
        <v>10</v>
      </c>
      <c r="H249" s="168">
        <f t="shared" si="8"/>
        <v>0</v>
      </c>
    </row>
    <row r="250" spans="1:8" ht="37.799999999999997" x14ac:dyDescent="0.45">
      <c r="A250" s="171" t="s">
        <v>2980</v>
      </c>
      <c r="B250" s="171"/>
      <c r="C250" s="106" t="s">
        <v>1035</v>
      </c>
      <c r="D250" s="106" t="s">
        <v>864</v>
      </c>
      <c r="E250" s="166"/>
      <c r="F250" s="171" t="s">
        <v>472</v>
      </c>
      <c r="G250" s="171">
        <v>10</v>
      </c>
      <c r="H250" s="168">
        <f t="shared" si="8"/>
        <v>0</v>
      </c>
    </row>
    <row r="251" spans="1:8" ht="37.799999999999997" x14ac:dyDescent="0.45">
      <c r="A251" s="171" t="s">
        <v>2981</v>
      </c>
      <c r="B251" s="171"/>
      <c r="C251" s="106" t="s">
        <v>1037</v>
      </c>
      <c r="D251" s="106" t="s">
        <v>864</v>
      </c>
      <c r="E251" s="166"/>
      <c r="F251" s="171" t="s">
        <v>472</v>
      </c>
      <c r="G251" s="171">
        <v>10</v>
      </c>
      <c r="H251" s="168">
        <f t="shared" si="8"/>
        <v>0</v>
      </c>
    </row>
    <row r="252" spans="1:8" ht="37.799999999999997" x14ac:dyDescent="0.45">
      <c r="A252" s="171" t="s">
        <v>2982</v>
      </c>
      <c r="B252" s="171"/>
      <c r="C252" s="106" t="s">
        <v>1039</v>
      </c>
      <c r="D252" s="106" t="s">
        <v>864</v>
      </c>
      <c r="E252" s="166"/>
      <c r="F252" s="171" t="s">
        <v>472</v>
      </c>
      <c r="G252" s="171">
        <v>10</v>
      </c>
      <c r="H252" s="168">
        <f t="shared" si="8"/>
        <v>0</v>
      </c>
    </row>
    <row r="253" spans="1:8" ht="37.799999999999997" x14ac:dyDescent="0.45">
      <c r="A253" s="171" t="s">
        <v>2983</v>
      </c>
      <c r="B253" s="171"/>
      <c r="C253" s="106" t="s">
        <v>1041</v>
      </c>
      <c r="D253" s="106" t="s">
        <v>864</v>
      </c>
      <c r="E253" s="166"/>
      <c r="F253" s="171" t="s">
        <v>472</v>
      </c>
      <c r="G253" s="171">
        <v>10</v>
      </c>
      <c r="H253" s="168">
        <f t="shared" si="8"/>
        <v>0</v>
      </c>
    </row>
    <row r="254" spans="1:8" ht="37.799999999999997" x14ac:dyDescent="0.45">
      <c r="A254" s="171" t="s">
        <v>2984</v>
      </c>
      <c r="B254" s="171"/>
      <c r="C254" s="106" t="s">
        <v>1043</v>
      </c>
      <c r="D254" s="106" t="s">
        <v>864</v>
      </c>
      <c r="E254" s="166"/>
      <c r="F254" s="171" t="s">
        <v>472</v>
      </c>
      <c r="G254" s="171">
        <v>10</v>
      </c>
      <c r="H254" s="168">
        <f t="shared" si="8"/>
        <v>0</v>
      </c>
    </row>
    <row r="255" spans="1:8" ht="37.799999999999997" x14ac:dyDescent="0.45">
      <c r="A255" s="171" t="s">
        <v>2985</v>
      </c>
      <c r="B255" s="171"/>
      <c r="C255" s="106" t="s">
        <v>1045</v>
      </c>
      <c r="D255" s="106" t="s">
        <v>864</v>
      </c>
      <c r="E255" s="166"/>
      <c r="F255" s="171" t="s">
        <v>472</v>
      </c>
      <c r="G255" s="171">
        <v>10</v>
      </c>
      <c r="H255" s="168">
        <f t="shared" si="8"/>
        <v>0</v>
      </c>
    </row>
    <row r="256" spans="1:8" ht="37.799999999999997" x14ac:dyDescent="0.45">
      <c r="A256" s="171" t="s">
        <v>2986</v>
      </c>
      <c r="B256" s="171"/>
      <c r="C256" s="106" t="s">
        <v>1047</v>
      </c>
      <c r="D256" s="106" t="s">
        <v>864</v>
      </c>
      <c r="E256" s="166"/>
      <c r="F256" s="171" t="s">
        <v>472</v>
      </c>
      <c r="G256" s="171">
        <v>10</v>
      </c>
      <c r="H256" s="168">
        <f t="shared" si="8"/>
        <v>0</v>
      </c>
    </row>
    <row r="257" spans="1:8" ht="37.799999999999997" x14ac:dyDescent="0.45">
      <c r="A257" s="171" t="s">
        <v>2987</v>
      </c>
      <c r="B257" s="171"/>
      <c r="C257" s="106" t="s">
        <v>1049</v>
      </c>
      <c r="D257" s="106" t="s">
        <v>864</v>
      </c>
      <c r="E257" s="166"/>
      <c r="F257" s="171" t="s">
        <v>472</v>
      </c>
      <c r="G257" s="171">
        <v>10</v>
      </c>
      <c r="H257" s="168">
        <f t="shared" si="8"/>
        <v>0</v>
      </c>
    </row>
    <row r="258" spans="1:8" ht="37.799999999999997" x14ac:dyDescent="0.45">
      <c r="A258" s="171" t="s">
        <v>2988</v>
      </c>
      <c r="B258" s="171"/>
      <c r="C258" s="106" t="s">
        <v>1051</v>
      </c>
      <c r="D258" s="106" t="s">
        <v>864</v>
      </c>
      <c r="E258" s="166"/>
      <c r="F258" s="171" t="s">
        <v>472</v>
      </c>
      <c r="G258" s="171">
        <v>10</v>
      </c>
      <c r="H258" s="168">
        <f t="shared" si="8"/>
        <v>0</v>
      </c>
    </row>
    <row r="259" spans="1:8" x14ac:dyDescent="0.45">
      <c r="A259" s="118" t="s">
        <v>2989</v>
      </c>
      <c r="B259" s="184" t="s">
        <v>180</v>
      </c>
      <c r="D259" s="120"/>
      <c r="E259" s="171"/>
      <c r="F259" s="171"/>
      <c r="G259" s="172"/>
      <c r="H259" s="220"/>
    </row>
    <row r="260" spans="1:8" ht="13" customHeight="1" x14ac:dyDescent="0.45">
      <c r="A260" s="310"/>
      <c r="B260" s="426" t="s">
        <v>1053</v>
      </c>
      <c r="C260" s="427"/>
      <c r="D260" s="428"/>
      <c r="E260" s="159"/>
      <c r="F260" s="209"/>
      <c r="G260" s="210"/>
      <c r="H260" s="163"/>
    </row>
    <row r="261" spans="1:8" ht="63" x14ac:dyDescent="0.45">
      <c r="A261" s="171" t="s">
        <v>2990</v>
      </c>
      <c r="B261" s="171"/>
      <c r="C261" s="106" t="s">
        <v>1055</v>
      </c>
      <c r="D261" s="106" t="s">
        <v>1056</v>
      </c>
      <c r="E261" s="166"/>
      <c r="F261" s="171" t="s">
        <v>633</v>
      </c>
      <c r="G261" s="172">
        <v>2500</v>
      </c>
      <c r="H261" s="168">
        <f>SUM(E261)*G261</f>
        <v>0</v>
      </c>
    </row>
    <row r="262" spans="1:8" ht="50.4" x14ac:dyDescent="0.45">
      <c r="A262" s="171" t="s">
        <v>2991</v>
      </c>
      <c r="B262" s="171"/>
      <c r="C262" s="106" t="s">
        <v>1058</v>
      </c>
      <c r="D262" s="106" t="s">
        <v>1059</v>
      </c>
      <c r="E262" s="166"/>
      <c r="F262" s="171" t="s">
        <v>633</v>
      </c>
      <c r="G262" s="172">
        <v>2500</v>
      </c>
      <c r="H262" s="168">
        <f>SUM(E262)*G262</f>
        <v>0</v>
      </c>
    </row>
    <row r="263" spans="1:8" ht="37.799999999999997" x14ac:dyDescent="0.45">
      <c r="A263" s="171" t="s">
        <v>2992</v>
      </c>
      <c r="B263" s="171"/>
      <c r="C263" s="106" t="s">
        <v>1061</v>
      </c>
      <c r="D263" s="106" t="s">
        <v>1062</v>
      </c>
      <c r="E263" s="190"/>
      <c r="F263" s="171" t="s">
        <v>1063</v>
      </c>
      <c r="G263" s="172" t="s">
        <v>1064</v>
      </c>
      <c r="H263" s="168">
        <v>100000</v>
      </c>
    </row>
    <row r="264" spans="1:8" x14ac:dyDescent="0.45">
      <c r="A264" s="191"/>
      <c r="B264" s="191"/>
      <c r="C264" s="192"/>
      <c r="D264" s="193"/>
      <c r="E264" s="194"/>
      <c r="F264" s="193"/>
      <c r="G264" s="195"/>
      <c r="H264" s="168"/>
    </row>
    <row r="265" spans="1:8" ht="7.5" customHeight="1" x14ac:dyDescent="0.45">
      <c r="A265" s="154"/>
      <c r="B265" s="154"/>
      <c r="C265" s="155"/>
      <c r="D265" s="155"/>
      <c r="E265" s="156"/>
      <c r="F265" s="155"/>
      <c r="G265" s="157"/>
      <c r="H265" s="158"/>
    </row>
    <row r="266" spans="1:8" ht="13.2" customHeight="1" x14ac:dyDescent="0.45">
      <c r="A266" s="411" t="s">
        <v>2993</v>
      </c>
      <c r="B266" s="412"/>
      <c r="C266" s="412"/>
      <c r="D266" s="412"/>
      <c r="E266" s="412"/>
      <c r="F266" s="412"/>
      <c r="G266" s="196"/>
      <c r="H266" s="436">
        <f>SUM(H15:H263)</f>
        <v>100000</v>
      </c>
    </row>
    <row r="267" spans="1:8" ht="7.5" customHeight="1" x14ac:dyDescent="0.45">
      <c r="A267" s="154"/>
      <c r="B267" s="154"/>
      <c r="C267" s="155"/>
      <c r="D267" s="155"/>
      <c r="E267" s="156"/>
      <c r="F267" s="155"/>
      <c r="G267" s="157"/>
      <c r="H267" s="158"/>
    </row>
  </sheetData>
  <mergeCells count="13">
    <mergeCell ref="A266:F266"/>
    <mergeCell ref="A7:H7"/>
    <mergeCell ref="A8:H8"/>
    <mergeCell ref="A9:H9"/>
    <mergeCell ref="A10:H10"/>
    <mergeCell ref="A12:D12"/>
    <mergeCell ref="B260:D260"/>
    <mergeCell ref="A6:H6"/>
    <mergeCell ref="A1:H1"/>
    <mergeCell ref="A2:H2"/>
    <mergeCell ref="A3:H3"/>
    <mergeCell ref="A4:H4"/>
    <mergeCell ref="A5:H5"/>
  </mergeCells>
  <printOptions horizontalCentered="1"/>
  <pageMargins left="0.28000000000000003" right="0.23" top="0.51" bottom="0.56000000000000005" header="0.3" footer="0.31"/>
  <pageSetup scale="80" orientation="landscape" horizontalDpi="4294967293" r:id="rId1"/>
  <headerFooter alignWithMargins="0">
    <oddFooter>&amp;C&amp;"Times New Roman,Regular"Page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1285B-B620-479C-8573-4BB3FD72326F}">
  <sheetPr>
    <tabColor rgb="FFFFFFCC"/>
  </sheetPr>
  <dimension ref="A1:XFB471"/>
  <sheetViews>
    <sheetView zoomScaleNormal="100" zoomScaleSheetLayoutView="100" workbookViewId="0">
      <selection activeCell="A11" sqref="A11"/>
    </sheetView>
  </sheetViews>
  <sheetFormatPr defaultColWidth="9.05859375" defaultRowHeight="12.6" x14ac:dyDescent="0.45"/>
  <cols>
    <col min="1" max="1" width="9.5859375" style="1" customWidth="1"/>
    <col min="2" max="3" width="9.8203125" style="105" customWidth="1"/>
    <col min="4" max="4" width="49.5859375" style="140" customWidth="1"/>
    <col min="5" max="6" width="9.5859375" style="105" customWidth="1"/>
    <col min="7" max="7" width="13.5859375" style="141" customWidth="1"/>
    <col min="8" max="8" width="17.5859375" style="141" customWidth="1"/>
    <col min="9" max="108" width="8.8203125" style="1" customWidth="1"/>
    <col min="109" max="16384" width="9.05859375" style="1"/>
  </cols>
  <sheetData>
    <row r="1" spans="1:16382" x14ac:dyDescent="0.45">
      <c r="A1" s="390" t="s">
        <v>4992</v>
      </c>
      <c r="B1" s="390"/>
      <c r="C1" s="390"/>
      <c r="D1" s="390"/>
      <c r="E1" s="390"/>
      <c r="F1" s="390"/>
      <c r="G1" s="390"/>
      <c r="H1" s="390"/>
      <c r="I1" s="392"/>
      <c r="J1" s="392"/>
      <c r="K1" s="392"/>
      <c r="L1" s="392"/>
      <c r="M1" s="392"/>
      <c r="N1" s="392"/>
    </row>
    <row r="2" spans="1:16382" x14ac:dyDescent="0.45">
      <c r="A2" s="390" t="s">
        <v>0</v>
      </c>
      <c r="B2" s="390"/>
      <c r="C2" s="390"/>
      <c r="D2" s="390"/>
      <c r="E2" s="390"/>
      <c r="F2" s="390"/>
      <c r="G2" s="390"/>
      <c r="H2" s="390"/>
      <c r="I2" s="392"/>
      <c r="J2" s="392"/>
      <c r="K2" s="392"/>
      <c r="L2" s="392"/>
      <c r="M2" s="392"/>
      <c r="N2" s="392"/>
    </row>
    <row r="3" spans="1:16382" x14ac:dyDescent="0.45">
      <c r="A3" s="390" t="s">
        <v>4991</v>
      </c>
      <c r="B3" s="390"/>
      <c r="C3" s="390"/>
      <c r="D3" s="390"/>
      <c r="E3" s="390"/>
      <c r="F3" s="390"/>
      <c r="G3" s="390"/>
      <c r="H3" s="390"/>
      <c r="I3" s="392"/>
      <c r="J3" s="392"/>
      <c r="K3" s="392"/>
      <c r="L3" s="392"/>
      <c r="M3" s="392"/>
      <c r="N3" s="392"/>
    </row>
    <row r="4" spans="1:16382" x14ac:dyDescent="0.45">
      <c r="A4" s="390"/>
      <c r="B4" s="390"/>
      <c r="C4" s="390"/>
      <c r="D4" s="391"/>
      <c r="E4" s="391"/>
      <c r="F4" s="391"/>
      <c r="G4" s="391"/>
      <c r="H4" s="391"/>
    </row>
    <row r="5" spans="1:16382" x14ac:dyDescent="0.45">
      <c r="A5" s="390" t="s">
        <v>4997</v>
      </c>
      <c r="B5" s="390"/>
      <c r="C5" s="390"/>
      <c r="D5" s="390"/>
      <c r="E5" s="390"/>
      <c r="F5" s="390"/>
      <c r="G5" s="390"/>
      <c r="H5" s="390"/>
      <c r="I5" s="390"/>
      <c r="J5" s="390"/>
      <c r="K5" s="390"/>
      <c r="L5" s="390"/>
      <c r="M5" s="390"/>
      <c r="N5" s="390"/>
      <c r="O5" s="390"/>
      <c r="P5" s="390"/>
      <c r="Q5" s="390"/>
      <c r="R5" s="390"/>
      <c r="S5" s="390"/>
      <c r="T5" s="390"/>
      <c r="U5" s="390"/>
      <c r="V5" s="390"/>
      <c r="W5" s="390"/>
      <c r="X5" s="390"/>
      <c r="Y5" s="390"/>
      <c r="Z5" s="390"/>
      <c r="AA5" s="390"/>
      <c r="AB5" s="390"/>
      <c r="AC5" s="390"/>
      <c r="AD5" s="390"/>
      <c r="AE5" s="390"/>
      <c r="AF5" s="390"/>
      <c r="AG5" s="390"/>
      <c r="AH5" s="390"/>
      <c r="AI5" s="390"/>
      <c r="AJ5" s="390"/>
      <c r="AK5" s="390"/>
      <c r="AL5" s="390"/>
      <c r="AM5" s="390"/>
      <c r="AN5" s="390"/>
      <c r="AO5" s="390"/>
      <c r="AP5" s="390"/>
      <c r="AQ5" s="390"/>
      <c r="AR5" s="390"/>
      <c r="AS5" s="390"/>
      <c r="AT5" s="390"/>
      <c r="AU5" s="390"/>
      <c r="AV5" s="390"/>
      <c r="AW5" s="390"/>
      <c r="AX5" s="390"/>
      <c r="AY5" s="390"/>
      <c r="AZ5" s="390"/>
      <c r="BA5" s="390"/>
      <c r="BB5" s="390"/>
      <c r="BC5" s="390"/>
      <c r="BD5" s="390"/>
      <c r="BE5" s="390"/>
      <c r="BF5" s="390"/>
      <c r="BG5" s="390"/>
      <c r="BH5" s="390"/>
      <c r="BI5" s="390"/>
      <c r="BJ5" s="390"/>
      <c r="BK5" s="390"/>
      <c r="BL5" s="390"/>
      <c r="BM5" s="390"/>
      <c r="BN5" s="390"/>
      <c r="BO5" s="390"/>
      <c r="BP5" s="390"/>
      <c r="BQ5" s="390"/>
      <c r="BR5" s="390"/>
      <c r="BS5" s="390"/>
      <c r="BT5" s="390"/>
      <c r="BU5" s="390"/>
      <c r="BV5" s="390"/>
      <c r="BW5" s="390"/>
      <c r="BX5" s="390"/>
      <c r="BY5" s="390"/>
      <c r="BZ5" s="390"/>
      <c r="CA5" s="390"/>
      <c r="CB5" s="390"/>
      <c r="CC5" s="390"/>
      <c r="CD5" s="390"/>
      <c r="CE5" s="390"/>
      <c r="CF5" s="390"/>
      <c r="CG5" s="390"/>
      <c r="CH5" s="390"/>
      <c r="CI5" s="390"/>
      <c r="CJ5" s="390"/>
      <c r="CK5" s="390"/>
      <c r="CL5" s="390"/>
      <c r="CM5" s="390"/>
      <c r="CN5" s="390"/>
      <c r="CO5" s="390"/>
      <c r="CP5" s="390"/>
      <c r="CQ5" s="390"/>
      <c r="CR5" s="390"/>
      <c r="CS5" s="390"/>
      <c r="CT5" s="390"/>
      <c r="CU5" s="390"/>
      <c r="CV5" s="390"/>
      <c r="CW5" s="390"/>
      <c r="CX5" s="390"/>
      <c r="CY5" s="390"/>
      <c r="CZ5" s="390"/>
      <c r="DA5" s="390"/>
      <c r="DB5" s="390"/>
      <c r="DC5" s="390"/>
      <c r="DD5" s="390"/>
      <c r="DE5" s="390"/>
      <c r="DF5" s="390"/>
      <c r="DG5" s="390"/>
      <c r="DH5" s="390"/>
      <c r="DI5" s="390"/>
      <c r="DJ5" s="390"/>
      <c r="DK5" s="390"/>
      <c r="DL5" s="390"/>
      <c r="DM5" s="390"/>
      <c r="DN5" s="390"/>
      <c r="DO5" s="390"/>
      <c r="DP5" s="390"/>
      <c r="DQ5" s="390"/>
      <c r="DR5" s="390"/>
      <c r="DS5" s="390"/>
      <c r="DT5" s="390"/>
      <c r="DU5" s="390"/>
      <c r="DV5" s="390"/>
      <c r="DW5" s="390"/>
      <c r="DX5" s="390"/>
      <c r="DY5" s="390"/>
      <c r="DZ5" s="390"/>
      <c r="EA5" s="390"/>
      <c r="EB5" s="390"/>
      <c r="EC5" s="390"/>
      <c r="ED5" s="390"/>
      <c r="EE5" s="390"/>
      <c r="EF5" s="390"/>
      <c r="EG5" s="390"/>
      <c r="EH5" s="390"/>
      <c r="EI5" s="390"/>
      <c r="EJ5" s="390"/>
      <c r="EK5" s="390"/>
      <c r="EL5" s="390"/>
      <c r="EM5" s="390"/>
      <c r="EN5" s="390"/>
      <c r="EO5" s="390"/>
      <c r="EP5" s="390"/>
      <c r="EQ5" s="390"/>
      <c r="ER5" s="390"/>
      <c r="ES5" s="390"/>
      <c r="ET5" s="390"/>
      <c r="EU5" s="390"/>
      <c r="EV5" s="390"/>
      <c r="EW5" s="390"/>
      <c r="EX5" s="390"/>
      <c r="EY5" s="390"/>
      <c r="EZ5" s="390"/>
      <c r="FA5" s="390"/>
      <c r="FB5" s="390"/>
      <c r="FC5" s="390"/>
      <c r="FD5" s="390"/>
      <c r="FE5" s="390"/>
      <c r="FF5" s="390"/>
      <c r="FG5" s="390"/>
      <c r="FH5" s="390"/>
      <c r="FI5" s="390"/>
      <c r="FJ5" s="390"/>
      <c r="FK5" s="390"/>
      <c r="FL5" s="390"/>
      <c r="FM5" s="390"/>
      <c r="FN5" s="390"/>
      <c r="FO5" s="390"/>
      <c r="FP5" s="390"/>
      <c r="FQ5" s="390"/>
      <c r="FR5" s="390"/>
      <c r="FS5" s="390"/>
      <c r="FT5" s="390"/>
      <c r="FU5" s="390"/>
      <c r="FV5" s="390"/>
      <c r="FW5" s="390"/>
      <c r="FX5" s="390"/>
      <c r="FY5" s="390"/>
      <c r="FZ5" s="390"/>
      <c r="GA5" s="390"/>
      <c r="GB5" s="390"/>
      <c r="GC5" s="390"/>
      <c r="GD5" s="390"/>
      <c r="GE5" s="390"/>
      <c r="GF5" s="390"/>
      <c r="GG5" s="390"/>
      <c r="GH5" s="390"/>
      <c r="GI5" s="390"/>
      <c r="GJ5" s="390"/>
      <c r="GK5" s="390"/>
      <c r="GL5" s="390"/>
      <c r="GM5" s="390"/>
      <c r="GN5" s="390"/>
      <c r="GO5" s="390"/>
      <c r="GP5" s="390"/>
      <c r="GQ5" s="390"/>
      <c r="GR5" s="390"/>
      <c r="GS5" s="390"/>
      <c r="GT5" s="390"/>
      <c r="GU5" s="390"/>
      <c r="GV5" s="390"/>
      <c r="GW5" s="390"/>
      <c r="GX5" s="390"/>
      <c r="GY5" s="390"/>
      <c r="GZ5" s="390"/>
      <c r="HA5" s="390"/>
      <c r="HB5" s="390"/>
      <c r="HC5" s="390"/>
      <c r="HD5" s="390"/>
      <c r="HE5" s="390"/>
      <c r="HF5" s="390"/>
      <c r="HG5" s="390"/>
      <c r="HH5" s="390"/>
      <c r="HI5" s="390"/>
      <c r="HJ5" s="390"/>
      <c r="HK5" s="390"/>
      <c r="HL5" s="390"/>
      <c r="HM5" s="390"/>
      <c r="HN5" s="390"/>
      <c r="HO5" s="390"/>
      <c r="HP5" s="390"/>
      <c r="HQ5" s="390"/>
      <c r="HR5" s="390"/>
      <c r="HS5" s="390"/>
      <c r="HT5" s="390"/>
      <c r="HU5" s="390"/>
      <c r="HV5" s="390"/>
      <c r="HW5" s="390"/>
      <c r="HX5" s="390"/>
      <c r="HY5" s="390"/>
      <c r="HZ5" s="390"/>
      <c r="IA5" s="390"/>
      <c r="IB5" s="390"/>
      <c r="IC5" s="390"/>
      <c r="ID5" s="390"/>
      <c r="IE5" s="390"/>
      <c r="IF5" s="390"/>
      <c r="IG5" s="390"/>
      <c r="IH5" s="390"/>
      <c r="II5" s="390"/>
      <c r="IJ5" s="390"/>
      <c r="IK5" s="390"/>
      <c r="IL5" s="390"/>
      <c r="IM5" s="390"/>
      <c r="IN5" s="390"/>
      <c r="IO5" s="390"/>
      <c r="IP5" s="390"/>
      <c r="IQ5" s="390"/>
      <c r="IR5" s="390"/>
      <c r="IS5" s="390"/>
      <c r="IT5" s="390"/>
      <c r="IU5" s="390"/>
      <c r="IV5" s="390"/>
      <c r="IW5" s="390"/>
      <c r="IX5" s="390"/>
      <c r="IY5" s="390"/>
      <c r="IZ5" s="390"/>
      <c r="JA5" s="390"/>
      <c r="JB5" s="390"/>
      <c r="JC5" s="390"/>
      <c r="JD5" s="390"/>
      <c r="JE5" s="390"/>
      <c r="JF5" s="390"/>
      <c r="JG5" s="390"/>
      <c r="JH5" s="390"/>
      <c r="JI5" s="390"/>
      <c r="JJ5" s="390"/>
      <c r="JK5" s="390"/>
      <c r="JL5" s="390"/>
      <c r="JM5" s="390"/>
      <c r="JN5" s="390"/>
      <c r="JO5" s="390"/>
      <c r="JP5" s="390"/>
      <c r="JQ5" s="390"/>
      <c r="JR5" s="390"/>
      <c r="JS5" s="390"/>
      <c r="JT5" s="390"/>
      <c r="JU5" s="390"/>
      <c r="JV5" s="390"/>
      <c r="JW5" s="390"/>
      <c r="JX5" s="390"/>
      <c r="JY5" s="390"/>
      <c r="JZ5" s="390"/>
      <c r="KA5" s="390"/>
      <c r="KB5" s="390"/>
      <c r="KC5" s="390"/>
      <c r="KD5" s="390"/>
      <c r="KE5" s="390"/>
      <c r="KF5" s="390"/>
      <c r="KG5" s="390"/>
      <c r="KH5" s="390"/>
      <c r="KI5" s="390"/>
      <c r="KJ5" s="390"/>
      <c r="KK5" s="390"/>
      <c r="KL5" s="390"/>
      <c r="KM5" s="390"/>
      <c r="KN5" s="390"/>
      <c r="KO5" s="390"/>
      <c r="KP5" s="390"/>
      <c r="KQ5" s="390"/>
      <c r="KR5" s="390"/>
      <c r="KS5" s="390"/>
      <c r="KT5" s="390"/>
      <c r="KU5" s="390"/>
      <c r="KV5" s="390"/>
      <c r="KW5" s="390"/>
      <c r="KX5" s="390"/>
      <c r="KY5" s="390"/>
      <c r="KZ5" s="390"/>
      <c r="LA5" s="390"/>
      <c r="LB5" s="390"/>
      <c r="LC5" s="390"/>
      <c r="LD5" s="390"/>
      <c r="LE5" s="390"/>
      <c r="LF5" s="390"/>
      <c r="LG5" s="390"/>
      <c r="LH5" s="390"/>
      <c r="LI5" s="390"/>
      <c r="LJ5" s="390"/>
      <c r="LK5" s="390"/>
      <c r="LL5" s="390"/>
      <c r="LM5" s="390"/>
      <c r="LN5" s="390"/>
      <c r="LO5" s="390"/>
      <c r="LP5" s="390"/>
      <c r="LQ5" s="390"/>
      <c r="LR5" s="390"/>
      <c r="LS5" s="390"/>
      <c r="LT5" s="390"/>
      <c r="LU5" s="390"/>
      <c r="LV5" s="390"/>
      <c r="LW5" s="390"/>
      <c r="LX5" s="390"/>
      <c r="LY5" s="390"/>
      <c r="LZ5" s="390"/>
      <c r="MA5" s="390"/>
      <c r="MB5" s="390"/>
      <c r="MC5" s="390"/>
      <c r="MD5" s="390"/>
      <c r="ME5" s="390"/>
      <c r="MF5" s="390"/>
      <c r="MG5" s="390"/>
      <c r="MH5" s="390"/>
      <c r="MI5" s="390"/>
      <c r="MJ5" s="390"/>
      <c r="MK5" s="390"/>
      <c r="ML5" s="390"/>
      <c r="MM5" s="390"/>
      <c r="MN5" s="390"/>
      <c r="MO5" s="390"/>
      <c r="MP5" s="390"/>
      <c r="MQ5" s="390"/>
      <c r="MR5" s="390"/>
      <c r="MS5" s="390"/>
      <c r="MT5" s="390"/>
      <c r="MU5" s="390"/>
      <c r="MV5" s="390"/>
      <c r="MW5" s="390"/>
      <c r="MX5" s="390"/>
      <c r="MY5" s="390"/>
      <c r="MZ5" s="390"/>
      <c r="NA5" s="390"/>
      <c r="NB5" s="390"/>
      <c r="NC5" s="390"/>
      <c r="ND5" s="390"/>
      <c r="NE5" s="390"/>
      <c r="NF5" s="390"/>
      <c r="NG5" s="390"/>
      <c r="NH5" s="390"/>
      <c r="NI5" s="390"/>
      <c r="NJ5" s="390"/>
      <c r="NK5" s="390"/>
      <c r="NL5" s="390"/>
      <c r="NM5" s="390"/>
      <c r="NN5" s="390"/>
      <c r="NO5" s="390"/>
      <c r="NP5" s="390"/>
      <c r="NQ5" s="390"/>
      <c r="NR5" s="390"/>
      <c r="NS5" s="390"/>
      <c r="NT5" s="390"/>
      <c r="NU5" s="390"/>
      <c r="NV5" s="390"/>
      <c r="NW5" s="390"/>
      <c r="NX5" s="390"/>
      <c r="NY5" s="390"/>
      <c r="NZ5" s="390"/>
      <c r="OA5" s="390"/>
      <c r="OB5" s="390"/>
      <c r="OC5" s="390"/>
      <c r="OD5" s="390"/>
      <c r="OE5" s="390"/>
      <c r="OF5" s="390"/>
      <c r="OG5" s="390"/>
      <c r="OH5" s="390"/>
      <c r="OI5" s="390"/>
      <c r="OJ5" s="390"/>
      <c r="OK5" s="390"/>
      <c r="OL5" s="390"/>
      <c r="OM5" s="390"/>
      <c r="ON5" s="390"/>
      <c r="OO5" s="390"/>
      <c r="OP5" s="390"/>
      <c r="OQ5" s="390"/>
      <c r="OR5" s="390"/>
      <c r="OS5" s="390"/>
      <c r="OT5" s="390"/>
      <c r="OU5" s="390"/>
      <c r="OV5" s="390"/>
      <c r="OW5" s="390"/>
      <c r="OX5" s="390"/>
      <c r="OY5" s="390"/>
      <c r="OZ5" s="390"/>
      <c r="PA5" s="390"/>
      <c r="PB5" s="390"/>
      <c r="PC5" s="390"/>
      <c r="PD5" s="390"/>
      <c r="PE5" s="390"/>
      <c r="PF5" s="390"/>
      <c r="PG5" s="390"/>
      <c r="PH5" s="390"/>
      <c r="PI5" s="390"/>
      <c r="PJ5" s="390"/>
      <c r="PK5" s="390"/>
      <c r="PL5" s="390"/>
      <c r="PM5" s="390"/>
      <c r="PN5" s="390"/>
      <c r="PO5" s="390"/>
      <c r="PP5" s="390"/>
      <c r="PQ5" s="390"/>
      <c r="PR5" s="390"/>
      <c r="PS5" s="390"/>
      <c r="PT5" s="390"/>
      <c r="PU5" s="390"/>
      <c r="PV5" s="390"/>
      <c r="PW5" s="390"/>
      <c r="PX5" s="390"/>
      <c r="PY5" s="390"/>
      <c r="PZ5" s="390"/>
      <c r="QA5" s="390"/>
      <c r="QB5" s="390"/>
      <c r="QC5" s="390"/>
      <c r="QD5" s="390"/>
      <c r="QE5" s="390"/>
      <c r="QF5" s="390"/>
      <c r="QG5" s="390"/>
      <c r="QH5" s="390"/>
      <c r="QI5" s="390"/>
      <c r="QJ5" s="390"/>
      <c r="QK5" s="390"/>
      <c r="QL5" s="390"/>
      <c r="QM5" s="390"/>
      <c r="QN5" s="390"/>
      <c r="QO5" s="390"/>
      <c r="QP5" s="390"/>
      <c r="QQ5" s="390"/>
      <c r="QR5" s="390"/>
      <c r="QS5" s="390"/>
      <c r="QT5" s="390"/>
      <c r="QU5" s="390"/>
      <c r="QV5" s="390"/>
      <c r="QW5" s="390"/>
      <c r="QX5" s="390"/>
      <c r="QY5" s="390"/>
      <c r="QZ5" s="390"/>
      <c r="RA5" s="390"/>
      <c r="RB5" s="390"/>
      <c r="RC5" s="390"/>
      <c r="RD5" s="390"/>
      <c r="RE5" s="390"/>
      <c r="RF5" s="390"/>
      <c r="RG5" s="390"/>
      <c r="RH5" s="390"/>
      <c r="RI5" s="390"/>
      <c r="RJ5" s="390"/>
      <c r="RK5" s="390"/>
      <c r="RL5" s="390"/>
      <c r="RM5" s="390"/>
      <c r="RN5" s="390"/>
      <c r="RO5" s="390"/>
      <c r="RP5" s="390"/>
      <c r="RQ5" s="390"/>
      <c r="RR5" s="390"/>
      <c r="RS5" s="390"/>
      <c r="RT5" s="390"/>
      <c r="RU5" s="390"/>
      <c r="RV5" s="390"/>
      <c r="RW5" s="390"/>
      <c r="RX5" s="390"/>
      <c r="RY5" s="390"/>
      <c r="RZ5" s="390"/>
      <c r="SA5" s="390"/>
      <c r="SB5" s="390"/>
      <c r="SC5" s="390"/>
      <c r="SD5" s="390"/>
      <c r="SE5" s="390"/>
      <c r="SF5" s="390"/>
      <c r="SG5" s="390"/>
      <c r="SH5" s="390"/>
      <c r="SI5" s="390"/>
      <c r="SJ5" s="390"/>
      <c r="SK5" s="390"/>
      <c r="SL5" s="390"/>
      <c r="SM5" s="390"/>
      <c r="SN5" s="390"/>
      <c r="SO5" s="390"/>
      <c r="SP5" s="390"/>
      <c r="SQ5" s="390"/>
      <c r="SR5" s="390"/>
      <c r="SS5" s="390"/>
      <c r="ST5" s="390"/>
      <c r="SU5" s="390"/>
      <c r="SV5" s="390"/>
      <c r="SW5" s="390"/>
      <c r="SX5" s="390"/>
      <c r="SY5" s="390"/>
      <c r="SZ5" s="390"/>
      <c r="TA5" s="390"/>
      <c r="TB5" s="390"/>
      <c r="TC5" s="390"/>
      <c r="TD5" s="390"/>
      <c r="TE5" s="390"/>
      <c r="TF5" s="390"/>
      <c r="TG5" s="390"/>
      <c r="TH5" s="390"/>
      <c r="TI5" s="390"/>
      <c r="TJ5" s="390"/>
      <c r="TK5" s="390"/>
      <c r="TL5" s="390"/>
      <c r="TM5" s="390"/>
      <c r="TN5" s="390"/>
      <c r="TO5" s="390"/>
      <c r="TP5" s="390"/>
      <c r="TQ5" s="390"/>
      <c r="TR5" s="390"/>
      <c r="TS5" s="390"/>
      <c r="TT5" s="390"/>
      <c r="TU5" s="390"/>
      <c r="TV5" s="390"/>
      <c r="TW5" s="390"/>
      <c r="TX5" s="390"/>
      <c r="TY5" s="390"/>
      <c r="TZ5" s="390"/>
      <c r="UA5" s="390"/>
      <c r="UB5" s="390"/>
      <c r="UC5" s="390"/>
      <c r="UD5" s="390"/>
      <c r="UE5" s="390"/>
      <c r="UF5" s="390"/>
      <c r="UG5" s="390"/>
      <c r="UH5" s="390"/>
      <c r="UI5" s="390"/>
      <c r="UJ5" s="390"/>
      <c r="UK5" s="390"/>
      <c r="UL5" s="390"/>
      <c r="UM5" s="390"/>
      <c r="UN5" s="390"/>
      <c r="UO5" s="390"/>
      <c r="UP5" s="390"/>
      <c r="UQ5" s="390"/>
      <c r="UR5" s="390"/>
      <c r="US5" s="390"/>
      <c r="UT5" s="390"/>
      <c r="UU5" s="390"/>
      <c r="UV5" s="390"/>
      <c r="UW5" s="390"/>
      <c r="UX5" s="390"/>
      <c r="UY5" s="390"/>
      <c r="UZ5" s="390"/>
      <c r="VA5" s="390"/>
      <c r="VB5" s="390"/>
      <c r="VC5" s="390"/>
      <c r="VD5" s="390"/>
      <c r="VE5" s="390"/>
      <c r="VF5" s="390"/>
      <c r="VG5" s="390"/>
      <c r="VH5" s="390"/>
      <c r="VI5" s="390"/>
      <c r="VJ5" s="390"/>
      <c r="VK5" s="390"/>
      <c r="VL5" s="390"/>
      <c r="VM5" s="390"/>
      <c r="VN5" s="390"/>
      <c r="VO5" s="390"/>
      <c r="VP5" s="390"/>
      <c r="VQ5" s="390"/>
      <c r="VR5" s="390"/>
      <c r="VS5" s="390"/>
      <c r="VT5" s="390"/>
      <c r="VU5" s="390"/>
      <c r="VV5" s="390"/>
      <c r="VW5" s="390"/>
      <c r="VX5" s="390"/>
      <c r="VY5" s="390"/>
      <c r="VZ5" s="390"/>
      <c r="WA5" s="390"/>
      <c r="WB5" s="390"/>
      <c r="WC5" s="390"/>
      <c r="WD5" s="390"/>
      <c r="WE5" s="390"/>
      <c r="WF5" s="390"/>
      <c r="WG5" s="390"/>
      <c r="WH5" s="390"/>
      <c r="WI5" s="390"/>
      <c r="WJ5" s="390"/>
      <c r="WK5" s="390"/>
      <c r="WL5" s="390"/>
      <c r="WM5" s="390"/>
      <c r="WN5" s="390"/>
      <c r="WO5" s="390"/>
      <c r="WP5" s="390"/>
      <c r="WQ5" s="390"/>
      <c r="WR5" s="390"/>
      <c r="WS5" s="390"/>
      <c r="WT5" s="390"/>
      <c r="WU5" s="390"/>
      <c r="WV5" s="390"/>
      <c r="WW5" s="390"/>
      <c r="WX5" s="390"/>
      <c r="WY5" s="390"/>
      <c r="WZ5" s="390"/>
      <c r="XA5" s="390"/>
      <c r="XB5" s="390"/>
      <c r="XC5" s="390"/>
      <c r="XD5" s="390"/>
      <c r="XE5" s="390"/>
      <c r="XF5" s="390"/>
      <c r="XG5" s="390"/>
      <c r="XH5" s="390"/>
      <c r="XI5" s="390"/>
      <c r="XJ5" s="390"/>
      <c r="XK5" s="390"/>
      <c r="XL5" s="390"/>
      <c r="XM5" s="390"/>
      <c r="XN5" s="390"/>
      <c r="XO5" s="390"/>
      <c r="XP5" s="390"/>
      <c r="XQ5" s="390"/>
      <c r="XR5" s="390"/>
      <c r="XS5" s="390"/>
      <c r="XT5" s="390"/>
      <c r="XU5" s="390"/>
      <c r="XV5" s="390"/>
      <c r="XW5" s="390"/>
      <c r="XX5" s="390"/>
      <c r="XY5" s="390"/>
      <c r="XZ5" s="390"/>
      <c r="YA5" s="390"/>
      <c r="YB5" s="390"/>
      <c r="YC5" s="390"/>
      <c r="YD5" s="390"/>
      <c r="YE5" s="390"/>
      <c r="YF5" s="390"/>
      <c r="YG5" s="390"/>
      <c r="YH5" s="390"/>
      <c r="YI5" s="390"/>
      <c r="YJ5" s="390"/>
      <c r="YK5" s="390"/>
      <c r="YL5" s="390"/>
      <c r="YM5" s="390"/>
      <c r="YN5" s="390"/>
      <c r="YO5" s="390"/>
      <c r="YP5" s="390"/>
      <c r="YQ5" s="390"/>
      <c r="YR5" s="390"/>
      <c r="YS5" s="390"/>
      <c r="YT5" s="390"/>
      <c r="YU5" s="390"/>
      <c r="YV5" s="390"/>
      <c r="YW5" s="390"/>
      <c r="YX5" s="390"/>
      <c r="YY5" s="390"/>
      <c r="YZ5" s="390"/>
      <c r="ZA5" s="390"/>
      <c r="ZB5" s="390"/>
      <c r="ZC5" s="390"/>
      <c r="ZD5" s="390"/>
      <c r="ZE5" s="390"/>
      <c r="ZF5" s="390"/>
      <c r="ZG5" s="390"/>
      <c r="ZH5" s="390"/>
      <c r="ZI5" s="390"/>
      <c r="ZJ5" s="390"/>
      <c r="ZK5" s="390"/>
      <c r="ZL5" s="390"/>
      <c r="ZM5" s="390"/>
      <c r="ZN5" s="390"/>
      <c r="ZO5" s="390"/>
      <c r="ZP5" s="390"/>
      <c r="ZQ5" s="390"/>
      <c r="ZR5" s="390"/>
      <c r="ZS5" s="390"/>
      <c r="ZT5" s="390"/>
      <c r="ZU5" s="390"/>
      <c r="ZV5" s="390"/>
      <c r="ZW5" s="390"/>
      <c r="ZX5" s="390"/>
      <c r="ZY5" s="390"/>
      <c r="ZZ5" s="390"/>
      <c r="AAA5" s="390"/>
      <c r="AAB5" s="390"/>
      <c r="AAC5" s="390"/>
      <c r="AAD5" s="390"/>
      <c r="AAE5" s="390"/>
      <c r="AAF5" s="390"/>
      <c r="AAG5" s="390"/>
      <c r="AAH5" s="390"/>
      <c r="AAI5" s="390"/>
      <c r="AAJ5" s="390"/>
      <c r="AAK5" s="390"/>
      <c r="AAL5" s="390"/>
      <c r="AAM5" s="390"/>
      <c r="AAN5" s="390"/>
      <c r="AAO5" s="390"/>
      <c r="AAP5" s="390"/>
      <c r="AAQ5" s="390"/>
      <c r="AAR5" s="390"/>
      <c r="AAS5" s="390"/>
      <c r="AAT5" s="390"/>
      <c r="AAU5" s="390"/>
      <c r="AAV5" s="390"/>
      <c r="AAW5" s="390"/>
      <c r="AAX5" s="390"/>
      <c r="AAY5" s="390"/>
      <c r="AAZ5" s="390"/>
      <c r="ABA5" s="390"/>
      <c r="ABB5" s="390"/>
      <c r="ABC5" s="390"/>
      <c r="ABD5" s="390"/>
      <c r="ABE5" s="390"/>
      <c r="ABF5" s="390"/>
      <c r="ABG5" s="390"/>
      <c r="ABH5" s="390"/>
      <c r="ABI5" s="390"/>
      <c r="ABJ5" s="390"/>
      <c r="ABK5" s="390"/>
      <c r="ABL5" s="390"/>
      <c r="ABM5" s="390"/>
      <c r="ABN5" s="390"/>
      <c r="ABO5" s="390"/>
      <c r="ABP5" s="390"/>
      <c r="ABQ5" s="390"/>
      <c r="ABR5" s="390"/>
      <c r="ABS5" s="390"/>
      <c r="ABT5" s="390"/>
      <c r="ABU5" s="390"/>
      <c r="ABV5" s="390"/>
      <c r="ABW5" s="390"/>
      <c r="ABX5" s="390"/>
      <c r="ABY5" s="390"/>
      <c r="ABZ5" s="390"/>
      <c r="ACA5" s="390"/>
      <c r="ACB5" s="390"/>
      <c r="ACC5" s="390"/>
      <c r="ACD5" s="390"/>
      <c r="ACE5" s="390"/>
      <c r="ACF5" s="390"/>
      <c r="ACG5" s="390"/>
      <c r="ACH5" s="390"/>
      <c r="ACI5" s="390"/>
      <c r="ACJ5" s="390"/>
      <c r="ACK5" s="390"/>
      <c r="ACL5" s="390"/>
      <c r="ACM5" s="390"/>
      <c r="ACN5" s="390"/>
      <c r="ACO5" s="390"/>
      <c r="ACP5" s="390"/>
      <c r="ACQ5" s="390"/>
      <c r="ACR5" s="390"/>
      <c r="ACS5" s="390"/>
      <c r="ACT5" s="390"/>
      <c r="ACU5" s="390"/>
      <c r="ACV5" s="390"/>
      <c r="ACW5" s="390"/>
      <c r="ACX5" s="390"/>
      <c r="ACY5" s="390"/>
      <c r="ACZ5" s="390"/>
      <c r="ADA5" s="390"/>
      <c r="ADB5" s="390"/>
      <c r="ADC5" s="390"/>
      <c r="ADD5" s="390"/>
      <c r="ADE5" s="390"/>
      <c r="ADF5" s="390"/>
      <c r="ADG5" s="390"/>
      <c r="ADH5" s="390"/>
      <c r="ADI5" s="390"/>
      <c r="ADJ5" s="390"/>
      <c r="ADK5" s="390"/>
      <c r="ADL5" s="390"/>
      <c r="ADM5" s="390"/>
      <c r="ADN5" s="390"/>
      <c r="ADO5" s="390"/>
      <c r="ADP5" s="390"/>
      <c r="ADQ5" s="390"/>
      <c r="ADR5" s="390"/>
      <c r="ADS5" s="390"/>
      <c r="ADT5" s="390"/>
      <c r="ADU5" s="390"/>
      <c r="ADV5" s="390"/>
      <c r="ADW5" s="390"/>
      <c r="ADX5" s="390"/>
      <c r="ADY5" s="390"/>
      <c r="ADZ5" s="390"/>
      <c r="AEA5" s="390"/>
      <c r="AEB5" s="390"/>
      <c r="AEC5" s="390"/>
      <c r="AED5" s="390"/>
      <c r="AEE5" s="390"/>
      <c r="AEF5" s="390"/>
      <c r="AEG5" s="390"/>
      <c r="AEH5" s="390"/>
      <c r="AEI5" s="390"/>
      <c r="AEJ5" s="390"/>
      <c r="AEK5" s="390"/>
      <c r="AEL5" s="390"/>
      <c r="AEM5" s="390"/>
      <c r="AEN5" s="390"/>
      <c r="AEO5" s="390"/>
      <c r="AEP5" s="390"/>
      <c r="AEQ5" s="390"/>
      <c r="AER5" s="390"/>
      <c r="AES5" s="390"/>
      <c r="AET5" s="390"/>
      <c r="AEU5" s="390"/>
      <c r="AEV5" s="390"/>
      <c r="AEW5" s="390"/>
      <c r="AEX5" s="390"/>
      <c r="AEY5" s="390"/>
      <c r="AEZ5" s="390"/>
      <c r="AFA5" s="390"/>
      <c r="AFB5" s="390"/>
      <c r="AFC5" s="390"/>
      <c r="AFD5" s="390"/>
      <c r="AFE5" s="390"/>
      <c r="AFF5" s="390"/>
      <c r="AFG5" s="390"/>
      <c r="AFH5" s="390"/>
      <c r="AFI5" s="390"/>
      <c r="AFJ5" s="390"/>
      <c r="AFK5" s="390"/>
      <c r="AFL5" s="390"/>
      <c r="AFM5" s="390"/>
      <c r="AFN5" s="390"/>
      <c r="AFO5" s="390"/>
      <c r="AFP5" s="390"/>
      <c r="AFQ5" s="390"/>
      <c r="AFR5" s="390"/>
      <c r="AFS5" s="390"/>
      <c r="AFT5" s="390"/>
      <c r="AFU5" s="390"/>
      <c r="AFV5" s="390"/>
      <c r="AFW5" s="390"/>
      <c r="AFX5" s="390"/>
      <c r="AFY5" s="390"/>
      <c r="AFZ5" s="390"/>
      <c r="AGA5" s="390"/>
      <c r="AGB5" s="390"/>
      <c r="AGC5" s="390"/>
      <c r="AGD5" s="390"/>
      <c r="AGE5" s="390"/>
      <c r="AGF5" s="390"/>
      <c r="AGG5" s="390"/>
      <c r="AGH5" s="390"/>
      <c r="AGI5" s="390"/>
      <c r="AGJ5" s="390"/>
      <c r="AGK5" s="390"/>
      <c r="AGL5" s="390"/>
      <c r="AGM5" s="390"/>
      <c r="AGN5" s="390"/>
      <c r="AGO5" s="390"/>
      <c r="AGP5" s="390"/>
      <c r="AGQ5" s="390"/>
      <c r="AGR5" s="390"/>
      <c r="AGS5" s="390"/>
      <c r="AGT5" s="390"/>
      <c r="AGU5" s="390"/>
      <c r="AGV5" s="390"/>
      <c r="AGW5" s="390"/>
      <c r="AGX5" s="390"/>
      <c r="AGY5" s="390"/>
      <c r="AGZ5" s="390"/>
      <c r="AHA5" s="390"/>
      <c r="AHB5" s="390"/>
      <c r="AHC5" s="390"/>
      <c r="AHD5" s="390"/>
      <c r="AHE5" s="390"/>
      <c r="AHF5" s="390"/>
      <c r="AHG5" s="390"/>
      <c r="AHH5" s="390"/>
      <c r="AHI5" s="390"/>
      <c r="AHJ5" s="390"/>
      <c r="AHK5" s="390"/>
      <c r="AHL5" s="390"/>
      <c r="AHM5" s="390"/>
      <c r="AHN5" s="390"/>
      <c r="AHO5" s="390"/>
      <c r="AHP5" s="390"/>
      <c r="AHQ5" s="390"/>
      <c r="AHR5" s="390"/>
      <c r="AHS5" s="390"/>
      <c r="AHT5" s="390"/>
      <c r="AHU5" s="390"/>
      <c r="AHV5" s="390"/>
      <c r="AHW5" s="390"/>
      <c r="AHX5" s="390"/>
      <c r="AHY5" s="390"/>
      <c r="AHZ5" s="390"/>
      <c r="AIA5" s="390"/>
      <c r="AIB5" s="390"/>
      <c r="AIC5" s="390"/>
      <c r="AID5" s="390"/>
      <c r="AIE5" s="390"/>
      <c r="AIF5" s="390"/>
      <c r="AIG5" s="390"/>
      <c r="AIH5" s="390"/>
      <c r="AII5" s="390"/>
      <c r="AIJ5" s="390"/>
      <c r="AIK5" s="390"/>
      <c r="AIL5" s="390"/>
      <c r="AIM5" s="390"/>
      <c r="AIN5" s="390"/>
      <c r="AIO5" s="390"/>
      <c r="AIP5" s="390"/>
      <c r="AIQ5" s="390"/>
      <c r="AIR5" s="390"/>
      <c r="AIS5" s="390"/>
      <c r="AIT5" s="390"/>
      <c r="AIU5" s="390"/>
      <c r="AIV5" s="390"/>
      <c r="AIW5" s="390"/>
      <c r="AIX5" s="390"/>
      <c r="AIY5" s="390"/>
      <c r="AIZ5" s="390"/>
      <c r="AJA5" s="390"/>
      <c r="AJB5" s="390"/>
      <c r="AJC5" s="390"/>
      <c r="AJD5" s="390"/>
      <c r="AJE5" s="390"/>
      <c r="AJF5" s="390"/>
      <c r="AJG5" s="390"/>
      <c r="AJH5" s="390"/>
      <c r="AJI5" s="390"/>
      <c r="AJJ5" s="390"/>
      <c r="AJK5" s="390"/>
      <c r="AJL5" s="390"/>
      <c r="AJM5" s="390"/>
      <c r="AJN5" s="390"/>
      <c r="AJO5" s="390"/>
      <c r="AJP5" s="390"/>
      <c r="AJQ5" s="390"/>
      <c r="AJR5" s="390"/>
      <c r="AJS5" s="390"/>
      <c r="AJT5" s="390"/>
      <c r="AJU5" s="390"/>
      <c r="AJV5" s="390"/>
      <c r="AJW5" s="390"/>
      <c r="AJX5" s="390"/>
      <c r="AJY5" s="390"/>
      <c r="AJZ5" s="390"/>
      <c r="AKA5" s="390"/>
      <c r="AKB5" s="390"/>
      <c r="AKC5" s="390"/>
      <c r="AKD5" s="390"/>
      <c r="AKE5" s="390"/>
      <c r="AKF5" s="390"/>
      <c r="AKG5" s="390"/>
      <c r="AKH5" s="390"/>
      <c r="AKI5" s="390"/>
      <c r="AKJ5" s="390"/>
      <c r="AKK5" s="390"/>
      <c r="AKL5" s="390"/>
      <c r="AKM5" s="390"/>
      <c r="AKN5" s="390"/>
      <c r="AKO5" s="390"/>
      <c r="AKP5" s="390"/>
      <c r="AKQ5" s="390"/>
      <c r="AKR5" s="390"/>
      <c r="AKS5" s="390"/>
      <c r="AKT5" s="390"/>
      <c r="AKU5" s="390"/>
      <c r="AKV5" s="390"/>
      <c r="AKW5" s="390"/>
      <c r="AKX5" s="390"/>
      <c r="AKY5" s="390"/>
      <c r="AKZ5" s="390"/>
      <c r="ALA5" s="390"/>
      <c r="ALB5" s="390"/>
      <c r="ALC5" s="390"/>
      <c r="ALD5" s="390"/>
      <c r="ALE5" s="390"/>
      <c r="ALF5" s="390"/>
      <c r="ALG5" s="390"/>
      <c r="ALH5" s="390"/>
      <c r="ALI5" s="390"/>
      <c r="ALJ5" s="390"/>
      <c r="ALK5" s="390"/>
      <c r="ALL5" s="390"/>
      <c r="ALM5" s="390"/>
      <c r="ALN5" s="390"/>
      <c r="ALO5" s="390"/>
      <c r="ALP5" s="390"/>
      <c r="ALQ5" s="390"/>
      <c r="ALR5" s="390"/>
      <c r="ALS5" s="390"/>
      <c r="ALT5" s="390"/>
      <c r="ALU5" s="390"/>
      <c r="ALV5" s="390"/>
      <c r="ALW5" s="390"/>
      <c r="ALX5" s="390"/>
      <c r="ALY5" s="390"/>
      <c r="ALZ5" s="390"/>
      <c r="AMA5" s="390"/>
      <c r="AMB5" s="390"/>
      <c r="AMC5" s="390"/>
      <c r="AMD5" s="390"/>
      <c r="AME5" s="390"/>
      <c r="AMF5" s="390"/>
      <c r="AMG5" s="390"/>
      <c r="AMH5" s="390"/>
      <c r="AMI5" s="390"/>
      <c r="AMJ5" s="390"/>
      <c r="AMK5" s="390"/>
      <c r="AML5" s="390"/>
      <c r="AMM5" s="390"/>
      <c r="AMN5" s="390"/>
      <c r="AMO5" s="390"/>
      <c r="AMP5" s="390"/>
      <c r="AMQ5" s="390"/>
      <c r="AMR5" s="390"/>
      <c r="AMS5" s="390"/>
      <c r="AMT5" s="390"/>
      <c r="AMU5" s="390"/>
      <c r="AMV5" s="390"/>
      <c r="AMW5" s="390"/>
      <c r="AMX5" s="390"/>
      <c r="AMY5" s="390"/>
      <c r="AMZ5" s="390"/>
      <c r="ANA5" s="390"/>
      <c r="ANB5" s="390"/>
      <c r="ANC5" s="390"/>
      <c r="AND5" s="390"/>
      <c r="ANE5" s="390"/>
      <c r="ANF5" s="390"/>
      <c r="ANG5" s="390"/>
      <c r="ANH5" s="390"/>
      <c r="ANI5" s="390"/>
      <c r="ANJ5" s="390"/>
      <c r="ANK5" s="390"/>
      <c r="ANL5" s="390"/>
      <c r="ANM5" s="390"/>
      <c r="ANN5" s="390"/>
      <c r="ANO5" s="390"/>
      <c r="ANP5" s="390"/>
      <c r="ANQ5" s="390"/>
      <c r="ANR5" s="390"/>
      <c r="ANS5" s="390"/>
      <c r="ANT5" s="390"/>
      <c r="ANU5" s="390"/>
      <c r="ANV5" s="390"/>
      <c r="ANW5" s="390"/>
      <c r="ANX5" s="390"/>
      <c r="ANY5" s="390"/>
      <c r="ANZ5" s="390"/>
      <c r="AOA5" s="390"/>
      <c r="AOB5" s="390"/>
      <c r="AOC5" s="390"/>
      <c r="AOD5" s="390"/>
      <c r="AOE5" s="390"/>
      <c r="AOF5" s="390"/>
      <c r="AOG5" s="390"/>
      <c r="AOH5" s="390"/>
      <c r="AOI5" s="390"/>
      <c r="AOJ5" s="390"/>
      <c r="AOK5" s="390"/>
      <c r="AOL5" s="390"/>
      <c r="AOM5" s="390"/>
      <c r="AON5" s="390"/>
      <c r="AOO5" s="390"/>
      <c r="AOP5" s="390"/>
      <c r="AOQ5" s="390"/>
      <c r="AOR5" s="390"/>
      <c r="AOS5" s="390"/>
      <c r="AOT5" s="390"/>
      <c r="AOU5" s="390"/>
      <c r="AOV5" s="390"/>
      <c r="AOW5" s="390"/>
      <c r="AOX5" s="390"/>
      <c r="AOY5" s="390"/>
      <c r="AOZ5" s="390"/>
      <c r="APA5" s="390"/>
      <c r="APB5" s="390"/>
      <c r="APC5" s="390"/>
      <c r="APD5" s="390"/>
      <c r="APE5" s="390"/>
      <c r="APF5" s="390"/>
      <c r="APG5" s="390"/>
      <c r="APH5" s="390"/>
      <c r="API5" s="390"/>
      <c r="APJ5" s="390"/>
      <c r="APK5" s="390"/>
      <c r="APL5" s="390"/>
      <c r="APM5" s="390"/>
      <c r="APN5" s="390"/>
      <c r="APO5" s="390"/>
      <c r="APP5" s="390"/>
      <c r="APQ5" s="390"/>
      <c r="APR5" s="390"/>
      <c r="APS5" s="390"/>
      <c r="APT5" s="390"/>
      <c r="APU5" s="390"/>
      <c r="APV5" s="390"/>
      <c r="APW5" s="390"/>
      <c r="APX5" s="390"/>
      <c r="APY5" s="390"/>
      <c r="APZ5" s="390"/>
      <c r="AQA5" s="390"/>
      <c r="AQB5" s="390"/>
      <c r="AQC5" s="390"/>
      <c r="AQD5" s="390"/>
      <c r="AQE5" s="390"/>
      <c r="AQF5" s="390"/>
      <c r="AQG5" s="390"/>
      <c r="AQH5" s="390"/>
      <c r="AQI5" s="390"/>
      <c r="AQJ5" s="390"/>
      <c r="AQK5" s="390"/>
      <c r="AQL5" s="390"/>
      <c r="AQM5" s="390"/>
      <c r="AQN5" s="390"/>
      <c r="AQO5" s="390"/>
      <c r="AQP5" s="390"/>
      <c r="AQQ5" s="390"/>
      <c r="AQR5" s="390"/>
      <c r="AQS5" s="390"/>
      <c r="AQT5" s="390"/>
      <c r="AQU5" s="390"/>
      <c r="AQV5" s="390"/>
      <c r="AQW5" s="390"/>
      <c r="AQX5" s="390"/>
      <c r="AQY5" s="390"/>
      <c r="AQZ5" s="390"/>
      <c r="ARA5" s="390"/>
      <c r="ARB5" s="390"/>
      <c r="ARC5" s="390"/>
      <c r="ARD5" s="390"/>
      <c r="ARE5" s="390"/>
      <c r="ARF5" s="390"/>
      <c r="ARG5" s="390"/>
      <c r="ARH5" s="390"/>
      <c r="ARI5" s="390"/>
      <c r="ARJ5" s="390"/>
      <c r="ARK5" s="390"/>
      <c r="ARL5" s="390"/>
      <c r="ARM5" s="390"/>
      <c r="ARN5" s="390"/>
      <c r="ARO5" s="390"/>
      <c r="ARP5" s="390"/>
      <c r="ARQ5" s="390"/>
      <c r="ARR5" s="390"/>
      <c r="ARS5" s="390"/>
      <c r="ART5" s="390"/>
      <c r="ARU5" s="390"/>
      <c r="ARV5" s="390"/>
      <c r="ARW5" s="390"/>
      <c r="ARX5" s="390"/>
      <c r="ARY5" s="390"/>
      <c r="ARZ5" s="390"/>
      <c r="ASA5" s="390"/>
      <c r="ASB5" s="390"/>
      <c r="ASC5" s="390"/>
      <c r="ASD5" s="390"/>
      <c r="ASE5" s="390"/>
      <c r="ASF5" s="390"/>
      <c r="ASG5" s="390"/>
      <c r="ASH5" s="390"/>
      <c r="ASI5" s="390"/>
      <c r="ASJ5" s="390"/>
      <c r="ASK5" s="390"/>
      <c r="ASL5" s="390"/>
      <c r="ASM5" s="390"/>
      <c r="ASN5" s="390"/>
      <c r="ASO5" s="390"/>
      <c r="ASP5" s="390"/>
      <c r="ASQ5" s="390"/>
      <c r="ASR5" s="390"/>
      <c r="ASS5" s="390"/>
      <c r="AST5" s="390"/>
      <c r="ASU5" s="390"/>
      <c r="ASV5" s="390"/>
      <c r="ASW5" s="390"/>
      <c r="ASX5" s="390"/>
      <c r="ASY5" s="390"/>
      <c r="ASZ5" s="390"/>
      <c r="ATA5" s="390"/>
      <c r="ATB5" s="390"/>
      <c r="ATC5" s="390"/>
      <c r="ATD5" s="390"/>
      <c r="ATE5" s="390"/>
      <c r="ATF5" s="390"/>
      <c r="ATG5" s="390"/>
      <c r="ATH5" s="390"/>
      <c r="ATI5" s="390"/>
      <c r="ATJ5" s="390"/>
      <c r="ATK5" s="390"/>
      <c r="ATL5" s="390"/>
      <c r="ATM5" s="390"/>
      <c r="ATN5" s="390"/>
      <c r="ATO5" s="390"/>
      <c r="ATP5" s="390"/>
      <c r="ATQ5" s="390"/>
      <c r="ATR5" s="390"/>
      <c r="ATS5" s="390"/>
      <c r="ATT5" s="390"/>
      <c r="ATU5" s="390"/>
      <c r="ATV5" s="390"/>
      <c r="ATW5" s="390"/>
      <c r="ATX5" s="390"/>
      <c r="ATY5" s="390"/>
      <c r="ATZ5" s="390"/>
      <c r="AUA5" s="390"/>
      <c r="AUB5" s="390"/>
      <c r="AUC5" s="390"/>
      <c r="AUD5" s="390"/>
      <c r="AUE5" s="390"/>
      <c r="AUF5" s="390"/>
      <c r="AUG5" s="390"/>
      <c r="AUH5" s="390"/>
      <c r="AUI5" s="390"/>
      <c r="AUJ5" s="390"/>
      <c r="AUK5" s="390"/>
      <c r="AUL5" s="390"/>
      <c r="AUM5" s="390"/>
      <c r="AUN5" s="390"/>
      <c r="AUO5" s="390"/>
      <c r="AUP5" s="390"/>
      <c r="AUQ5" s="390"/>
      <c r="AUR5" s="390"/>
      <c r="AUS5" s="390"/>
      <c r="AUT5" s="390"/>
      <c r="AUU5" s="390"/>
      <c r="AUV5" s="390"/>
      <c r="AUW5" s="390"/>
      <c r="AUX5" s="390"/>
      <c r="AUY5" s="390"/>
      <c r="AUZ5" s="390"/>
      <c r="AVA5" s="390"/>
      <c r="AVB5" s="390"/>
      <c r="AVC5" s="390"/>
      <c r="AVD5" s="390"/>
      <c r="AVE5" s="390"/>
      <c r="AVF5" s="390"/>
      <c r="AVG5" s="390"/>
      <c r="AVH5" s="390"/>
      <c r="AVI5" s="390"/>
      <c r="AVJ5" s="390"/>
      <c r="AVK5" s="390"/>
      <c r="AVL5" s="390"/>
      <c r="AVM5" s="390"/>
      <c r="AVN5" s="390"/>
      <c r="AVO5" s="390"/>
      <c r="AVP5" s="390"/>
      <c r="AVQ5" s="390"/>
      <c r="AVR5" s="390"/>
      <c r="AVS5" s="390"/>
      <c r="AVT5" s="390"/>
      <c r="AVU5" s="390"/>
      <c r="AVV5" s="390"/>
      <c r="AVW5" s="390"/>
      <c r="AVX5" s="390"/>
      <c r="AVY5" s="390"/>
      <c r="AVZ5" s="390"/>
      <c r="AWA5" s="390"/>
      <c r="AWB5" s="390"/>
      <c r="AWC5" s="390"/>
      <c r="AWD5" s="390"/>
      <c r="AWE5" s="390"/>
      <c r="AWF5" s="390"/>
      <c r="AWG5" s="390"/>
      <c r="AWH5" s="390"/>
      <c r="AWI5" s="390"/>
      <c r="AWJ5" s="390"/>
      <c r="AWK5" s="390"/>
      <c r="AWL5" s="390"/>
      <c r="AWM5" s="390"/>
      <c r="AWN5" s="390"/>
      <c r="AWO5" s="390"/>
      <c r="AWP5" s="390"/>
      <c r="AWQ5" s="390"/>
      <c r="AWR5" s="390"/>
      <c r="AWS5" s="390"/>
      <c r="AWT5" s="390"/>
      <c r="AWU5" s="390"/>
      <c r="AWV5" s="390"/>
      <c r="AWW5" s="390"/>
      <c r="AWX5" s="390"/>
      <c r="AWY5" s="390"/>
      <c r="AWZ5" s="390"/>
      <c r="AXA5" s="390"/>
      <c r="AXB5" s="390"/>
      <c r="AXC5" s="390"/>
      <c r="AXD5" s="390"/>
      <c r="AXE5" s="390"/>
      <c r="AXF5" s="390"/>
      <c r="AXG5" s="390"/>
      <c r="AXH5" s="390"/>
      <c r="AXI5" s="390"/>
      <c r="AXJ5" s="390"/>
      <c r="AXK5" s="390"/>
      <c r="AXL5" s="390"/>
      <c r="AXM5" s="390"/>
      <c r="AXN5" s="390"/>
      <c r="AXO5" s="390"/>
      <c r="AXP5" s="390"/>
      <c r="AXQ5" s="390"/>
      <c r="AXR5" s="390"/>
      <c r="AXS5" s="390"/>
      <c r="AXT5" s="390"/>
      <c r="AXU5" s="390"/>
      <c r="AXV5" s="390"/>
      <c r="AXW5" s="390"/>
      <c r="AXX5" s="390"/>
      <c r="AXY5" s="390"/>
      <c r="AXZ5" s="390"/>
      <c r="AYA5" s="390"/>
      <c r="AYB5" s="390"/>
      <c r="AYC5" s="390"/>
      <c r="AYD5" s="390"/>
      <c r="AYE5" s="390"/>
      <c r="AYF5" s="390"/>
      <c r="AYG5" s="390"/>
      <c r="AYH5" s="390"/>
      <c r="AYI5" s="390"/>
      <c r="AYJ5" s="390"/>
      <c r="AYK5" s="390"/>
      <c r="AYL5" s="390"/>
      <c r="AYM5" s="390"/>
      <c r="AYN5" s="390"/>
      <c r="AYO5" s="390"/>
      <c r="AYP5" s="390"/>
      <c r="AYQ5" s="390"/>
      <c r="AYR5" s="390"/>
      <c r="AYS5" s="390"/>
      <c r="AYT5" s="390"/>
      <c r="AYU5" s="390"/>
      <c r="AYV5" s="390"/>
      <c r="AYW5" s="390"/>
      <c r="AYX5" s="390"/>
      <c r="AYY5" s="390"/>
      <c r="AYZ5" s="390"/>
      <c r="AZA5" s="390"/>
      <c r="AZB5" s="390"/>
      <c r="AZC5" s="390"/>
      <c r="AZD5" s="390"/>
      <c r="AZE5" s="390"/>
      <c r="AZF5" s="390"/>
      <c r="AZG5" s="390"/>
      <c r="AZH5" s="390"/>
      <c r="AZI5" s="390"/>
      <c r="AZJ5" s="390"/>
      <c r="AZK5" s="390"/>
      <c r="AZL5" s="390"/>
      <c r="AZM5" s="390"/>
      <c r="AZN5" s="390"/>
      <c r="AZO5" s="390"/>
      <c r="AZP5" s="390"/>
      <c r="AZQ5" s="390"/>
      <c r="AZR5" s="390"/>
      <c r="AZS5" s="390"/>
      <c r="AZT5" s="390"/>
      <c r="AZU5" s="390"/>
      <c r="AZV5" s="390"/>
      <c r="AZW5" s="390"/>
      <c r="AZX5" s="390"/>
      <c r="AZY5" s="390"/>
      <c r="AZZ5" s="390"/>
      <c r="BAA5" s="390"/>
      <c r="BAB5" s="390"/>
      <c r="BAC5" s="390"/>
      <c r="BAD5" s="390"/>
      <c r="BAE5" s="390"/>
      <c r="BAF5" s="390"/>
      <c r="BAG5" s="390"/>
      <c r="BAH5" s="390"/>
      <c r="BAI5" s="390"/>
      <c r="BAJ5" s="390"/>
      <c r="BAK5" s="390"/>
      <c r="BAL5" s="390"/>
      <c r="BAM5" s="390"/>
      <c r="BAN5" s="390"/>
      <c r="BAO5" s="390"/>
      <c r="BAP5" s="390"/>
      <c r="BAQ5" s="390"/>
      <c r="BAR5" s="390"/>
      <c r="BAS5" s="390"/>
      <c r="BAT5" s="390"/>
      <c r="BAU5" s="390"/>
      <c r="BAV5" s="390"/>
      <c r="BAW5" s="390"/>
      <c r="BAX5" s="390"/>
      <c r="BAY5" s="390"/>
      <c r="BAZ5" s="390"/>
      <c r="BBA5" s="390"/>
      <c r="BBB5" s="390"/>
      <c r="BBC5" s="390"/>
      <c r="BBD5" s="390"/>
      <c r="BBE5" s="390"/>
      <c r="BBF5" s="390"/>
      <c r="BBG5" s="390"/>
      <c r="BBH5" s="390"/>
      <c r="BBI5" s="390"/>
      <c r="BBJ5" s="390"/>
      <c r="BBK5" s="390"/>
      <c r="BBL5" s="390"/>
      <c r="BBM5" s="390"/>
      <c r="BBN5" s="390"/>
      <c r="BBO5" s="390"/>
      <c r="BBP5" s="390"/>
      <c r="BBQ5" s="390"/>
      <c r="BBR5" s="390"/>
      <c r="BBS5" s="390"/>
      <c r="BBT5" s="390"/>
      <c r="BBU5" s="390"/>
      <c r="BBV5" s="390"/>
      <c r="BBW5" s="390"/>
      <c r="BBX5" s="390"/>
      <c r="BBY5" s="390"/>
      <c r="BBZ5" s="390"/>
      <c r="BCA5" s="390"/>
      <c r="BCB5" s="390"/>
      <c r="BCC5" s="390"/>
      <c r="BCD5" s="390"/>
      <c r="BCE5" s="390"/>
      <c r="BCF5" s="390"/>
      <c r="BCG5" s="390"/>
      <c r="BCH5" s="390"/>
      <c r="BCI5" s="390"/>
      <c r="BCJ5" s="390"/>
      <c r="BCK5" s="390"/>
      <c r="BCL5" s="390"/>
      <c r="BCM5" s="390"/>
      <c r="BCN5" s="390"/>
      <c r="BCO5" s="390"/>
      <c r="BCP5" s="390"/>
      <c r="BCQ5" s="390"/>
      <c r="BCR5" s="390"/>
      <c r="BCS5" s="390"/>
      <c r="BCT5" s="390"/>
      <c r="BCU5" s="390"/>
      <c r="BCV5" s="390"/>
      <c r="BCW5" s="390"/>
      <c r="BCX5" s="390"/>
      <c r="BCY5" s="390"/>
      <c r="BCZ5" s="390"/>
      <c r="BDA5" s="390"/>
      <c r="BDB5" s="390"/>
      <c r="BDC5" s="390"/>
      <c r="BDD5" s="390"/>
      <c r="BDE5" s="390"/>
      <c r="BDF5" s="390"/>
      <c r="BDG5" s="390"/>
      <c r="BDH5" s="390"/>
      <c r="BDI5" s="390"/>
      <c r="BDJ5" s="390"/>
      <c r="BDK5" s="390"/>
      <c r="BDL5" s="390"/>
      <c r="BDM5" s="390"/>
      <c r="BDN5" s="390"/>
      <c r="BDO5" s="390"/>
      <c r="BDP5" s="390"/>
      <c r="BDQ5" s="390"/>
      <c r="BDR5" s="390"/>
      <c r="BDS5" s="390"/>
      <c r="BDT5" s="390"/>
      <c r="BDU5" s="390"/>
      <c r="BDV5" s="390"/>
      <c r="BDW5" s="390"/>
      <c r="BDX5" s="390"/>
      <c r="BDY5" s="390"/>
      <c r="BDZ5" s="390"/>
      <c r="BEA5" s="390"/>
      <c r="BEB5" s="390"/>
      <c r="BEC5" s="390"/>
      <c r="BED5" s="390"/>
      <c r="BEE5" s="390"/>
      <c r="BEF5" s="390"/>
      <c r="BEG5" s="390"/>
      <c r="BEH5" s="390"/>
      <c r="BEI5" s="390"/>
      <c r="BEJ5" s="390"/>
      <c r="BEK5" s="390"/>
      <c r="BEL5" s="390"/>
      <c r="BEM5" s="390"/>
      <c r="BEN5" s="390"/>
      <c r="BEO5" s="390"/>
      <c r="BEP5" s="390"/>
      <c r="BEQ5" s="390"/>
      <c r="BER5" s="390"/>
      <c r="BES5" s="390"/>
      <c r="BET5" s="390"/>
      <c r="BEU5" s="390"/>
      <c r="BEV5" s="390"/>
      <c r="BEW5" s="390"/>
      <c r="BEX5" s="390"/>
      <c r="BEY5" s="390"/>
      <c r="BEZ5" s="390"/>
      <c r="BFA5" s="390"/>
      <c r="BFB5" s="390"/>
      <c r="BFC5" s="390"/>
      <c r="BFD5" s="390"/>
      <c r="BFE5" s="390"/>
      <c r="BFF5" s="390"/>
      <c r="BFG5" s="390"/>
      <c r="BFH5" s="390"/>
      <c r="BFI5" s="390"/>
      <c r="BFJ5" s="390"/>
      <c r="BFK5" s="390"/>
      <c r="BFL5" s="390"/>
      <c r="BFM5" s="390"/>
      <c r="BFN5" s="390"/>
      <c r="BFO5" s="390"/>
      <c r="BFP5" s="390"/>
      <c r="BFQ5" s="390"/>
      <c r="BFR5" s="390"/>
      <c r="BFS5" s="390"/>
      <c r="BFT5" s="390"/>
      <c r="BFU5" s="390"/>
      <c r="BFV5" s="390"/>
      <c r="BFW5" s="390"/>
      <c r="BFX5" s="390"/>
      <c r="BFY5" s="390"/>
      <c r="BFZ5" s="390"/>
      <c r="BGA5" s="390"/>
      <c r="BGB5" s="390"/>
      <c r="BGC5" s="390"/>
      <c r="BGD5" s="390"/>
      <c r="BGE5" s="390"/>
      <c r="BGF5" s="390"/>
      <c r="BGG5" s="390"/>
      <c r="BGH5" s="390"/>
      <c r="BGI5" s="390"/>
      <c r="BGJ5" s="390"/>
      <c r="BGK5" s="390"/>
      <c r="BGL5" s="390"/>
      <c r="BGM5" s="390"/>
      <c r="BGN5" s="390"/>
      <c r="BGO5" s="390"/>
      <c r="BGP5" s="390"/>
      <c r="BGQ5" s="390"/>
      <c r="BGR5" s="390"/>
      <c r="BGS5" s="390"/>
      <c r="BGT5" s="390"/>
      <c r="BGU5" s="390"/>
      <c r="BGV5" s="390"/>
      <c r="BGW5" s="390"/>
      <c r="BGX5" s="390"/>
      <c r="BGY5" s="390"/>
      <c r="BGZ5" s="390"/>
      <c r="BHA5" s="390"/>
      <c r="BHB5" s="390"/>
      <c r="BHC5" s="390"/>
      <c r="BHD5" s="390"/>
      <c r="BHE5" s="390"/>
      <c r="BHF5" s="390"/>
      <c r="BHG5" s="390"/>
      <c r="BHH5" s="390"/>
      <c r="BHI5" s="390"/>
      <c r="BHJ5" s="390"/>
      <c r="BHK5" s="390"/>
      <c r="BHL5" s="390"/>
      <c r="BHM5" s="390"/>
      <c r="BHN5" s="390"/>
      <c r="BHO5" s="390"/>
      <c r="BHP5" s="390"/>
      <c r="BHQ5" s="390"/>
      <c r="BHR5" s="390"/>
      <c r="BHS5" s="390"/>
      <c r="BHT5" s="390"/>
      <c r="BHU5" s="390"/>
      <c r="BHV5" s="390"/>
      <c r="BHW5" s="390"/>
      <c r="BHX5" s="390"/>
      <c r="BHY5" s="390"/>
      <c r="BHZ5" s="390"/>
      <c r="BIA5" s="390"/>
      <c r="BIB5" s="390"/>
      <c r="BIC5" s="390"/>
      <c r="BID5" s="390"/>
      <c r="BIE5" s="390"/>
      <c r="BIF5" s="390"/>
      <c r="BIG5" s="390"/>
      <c r="BIH5" s="390"/>
      <c r="BII5" s="390"/>
      <c r="BIJ5" s="390"/>
      <c r="BIK5" s="390"/>
      <c r="BIL5" s="390"/>
      <c r="BIM5" s="390"/>
      <c r="BIN5" s="390"/>
      <c r="BIO5" s="390"/>
      <c r="BIP5" s="390"/>
      <c r="BIQ5" s="390"/>
      <c r="BIR5" s="390"/>
      <c r="BIS5" s="390"/>
      <c r="BIT5" s="390"/>
      <c r="BIU5" s="390"/>
      <c r="BIV5" s="390"/>
      <c r="BIW5" s="390"/>
      <c r="BIX5" s="390"/>
      <c r="BIY5" s="390"/>
      <c r="BIZ5" s="390"/>
      <c r="BJA5" s="390"/>
      <c r="BJB5" s="390"/>
      <c r="BJC5" s="390"/>
      <c r="BJD5" s="390"/>
      <c r="BJE5" s="390"/>
      <c r="BJF5" s="390"/>
      <c r="BJG5" s="390"/>
      <c r="BJH5" s="390"/>
      <c r="BJI5" s="390"/>
      <c r="BJJ5" s="390"/>
      <c r="BJK5" s="390"/>
      <c r="BJL5" s="390"/>
      <c r="BJM5" s="390"/>
      <c r="BJN5" s="390"/>
      <c r="BJO5" s="390"/>
      <c r="BJP5" s="390"/>
      <c r="BJQ5" s="390"/>
      <c r="BJR5" s="390"/>
      <c r="BJS5" s="390"/>
      <c r="BJT5" s="390"/>
      <c r="BJU5" s="390"/>
      <c r="BJV5" s="390"/>
      <c r="BJW5" s="390"/>
      <c r="BJX5" s="390"/>
      <c r="BJY5" s="390"/>
      <c r="BJZ5" s="390"/>
      <c r="BKA5" s="390"/>
      <c r="BKB5" s="390"/>
      <c r="BKC5" s="390"/>
      <c r="BKD5" s="390"/>
      <c r="BKE5" s="390"/>
      <c r="BKF5" s="390"/>
      <c r="BKG5" s="390"/>
      <c r="BKH5" s="390"/>
      <c r="BKI5" s="390"/>
      <c r="BKJ5" s="390"/>
      <c r="BKK5" s="390"/>
      <c r="BKL5" s="390"/>
      <c r="BKM5" s="390"/>
      <c r="BKN5" s="390"/>
      <c r="BKO5" s="390"/>
      <c r="BKP5" s="390"/>
      <c r="BKQ5" s="390"/>
      <c r="BKR5" s="390"/>
      <c r="BKS5" s="390"/>
      <c r="BKT5" s="390"/>
      <c r="BKU5" s="390"/>
      <c r="BKV5" s="390"/>
      <c r="BKW5" s="390"/>
      <c r="BKX5" s="390"/>
      <c r="BKY5" s="390"/>
      <c r="BKZ5" s="390"/>
      <c r="BLA5" s="390"/>
      <c r="BLB5" s="390"/>
      <c r="BLC5" s="390"/>
      <c r="BLD5" s="390"/>
      <c r="BLE5" s="390"/>
      <c r="BLF5" s="390"/>
      <c r="BLG5" s="390"/>
      <c r="BLH5" s="390"/>
      <c r="BLI5" s="390"/>
      <c r="BLJ5" s="390"/>
      <c r="BLK5" s="390"/>
      <c r="BLL5" s="390"/>
      <c r="BLM5" s="390"/>
      <c r="BLN5" s="390"/>
      <c r="BLO5" s="390"/>
      <c r="BLP5" s="390"/>
      <c r="BLQ5" s="390"/>
      <c r="BLR5" s="390"/>
      <c r="BLS5" s="390"/>
      <c r="BLT5" s="390"/>
      <c r="BLU5" s="390"/>
      <c r="BLV5" s="390"/>
      <c r="BLW5" s="390"/>
      <c r="BLX5" s="390"/>
      <c r="BLY5" s="390"/>
      <c r="BLZ5" s="390"/>
      <c r="BMA5" s="390"/>
      <c r="BMB5" s="390"/>
      <c r="BMC5" s="390"/>
      <c r="BMD5" s="390"/>
      <c r="BME5" s="390"/>
      <c r="BMF5" s="390"/>
      <c r="BMG5" s="390"/>
      <c r="BMH5" s="390"/>
      <c r="BMI5" s="390"/>
      <c r="BMJ5" s="390"/>
      <c r="BMK5" s="390"/>
      <c r="BML5" s="390"/>
      <c r="BMM5" s="390"/>
      <c r="BMN5" s="390"/>
      <c r="BMO5" s="390"/>
      <c r="BMP5" s="390"/>
      <c r="BMQ5" s="390"/>
      <c r="BMR5" s="390"/>
      <c r="BMS5" s="390"/>
      <c r="BMT5" s="390"/>
      <c r="BMU5" s="390"/>
      <c r="BMV5" s="390"/>
      <c r="BMW5" s="390"/>
      <c r="BMX5" s="390"/>
      <c r="BMY5" s="390"/>
      <c r="BMZ5" s="390"/>
      <c r="BNA5" s="390"/>
      <c r="BNB5" s="390"/>
      <c r="BNC5" s="390"/>
      <c r="BND5" s="390"/>
      <c r="BNE5" s="390"/>
      <c r="BNF5" s="390"/>
      <c r="BNG5" s="390"/>
      <c r="BNH5" s="390"/>
      <c r="BNI5" s="390"/>
      <c r="BNJ5" s="390"/>
      <c r="BNK5" s="390"/>
      <c r="BNL5" s="390"/>
      <c r="BNM5" s="390"/>
      <c r="BNN5" s="390"/>
      <c r="BNO5" s="390"/>
      <c r="BNP5" s="390"/>
      <c r="BNQ5" s="390"/>
      <c r="BNR5" s="390"/>
      <c r="BNS5" s="390"/>
      <c r="BNT5" s="390"/>
      <c r="BNU5" s="390"/>
      <c r="BNV5" s="390"/>
      <c r="BNW5" s="390"/>
      <c r="BNX5" s="390"/>
      <c r="BNY5" s="390"/>
      <c r="BNZ5" s="390"/>
      <c r="BOA5" s="390"/>
      <c r="BOB5" s="390"/>
      <c r="BOC5" s="390"/>
      <c r="BOD5" s="390"/>
      <c r="BOE5" s="390"/>
      <c r="BOF5" s="390"/>
      <c r="BOG5" s="390"/>
      <c r="BOH5" s="390"/>
      <c r="BOI5" s="390"/>
      <c r="BOJ5" s="390"/>
      <c r="BOK5" s="390"/>
      <c r="BOL5" s="390"/>
      <c r="BOM5" s="390"/>
      <c r="BON5" s="390"/>
      <c r="BOO5" s="390"/>
      <c r="BOP5" s="390"/>
      <c r="BOQ5" s="390"/>
      <c r="BOR5" s="390"/>
      <c r="BOS5" s="390"/>
      <c r="BOT5" s="390"/>
      <c r="BOU5" s="390"/>
      <c r="BOV5" s="390"/>
      <c r="BOW5" s="390"/>
      <c r="BOX5" s="390"/>
      <c r="BOY5" s="390"/>
      <c r="BOZ5" s="390"/>
      <c r="BPA5" s="390"/>
      <c r="BPB5" s="390"/>
      <c r="BPC5" s="390"/>
      <c r="BPD5" s="390"/>
      <c r="BPE5" s="390"/>
      <c r="BPF5" s="390"/>
      <c r="BPG5" s="390"/>
      <c r="BPH5" s="390"/>
      <c r="BPI5" s="390"/>
      <c r="BPJ5" s="390"/>
      <c r="BPK5" s="390"/>
      <c r="BPL5" s="390"/>
      <c r="BPM5" s="390"/>
      <c r="BPN5" s="390"/>
      <c r="BPO5" s="390"/>
      <c r="BPP5" s="390"/>
      <c r="BPQ5" s="390"/>
      <c r="BPR5" s="390"/>
      <c r="BPS5" s="390"/>
      <c r="BPT5" s="390"/>
      <c r="BPU5" s="390"/>
      <c r="BPV5" s="390"/>
      <c r="BPW5" s="390"/>
      <c r="BPX5" s="390"/>
      <c r="BPY5" s="390"/>
      <c r="BPZ5" s="390"/>
      <c r="BQA5" s="390"/>
      <c r="BQB5" s="390"/>
      <c r="BQC5" s="390"/>
      <c r="BQD5" s="390"/>
      <c r="BQE5" s="390"/>
      <c r="BQF5" s="390"/>
      <c r="BQG5" s="390"/>
      <c r="BQH5" s="390"/>
      <c r="BQI5" s="390"/>
      <c r="BQJ5" s="390"/>
      <c r="BQK5" s="390"/>
      <c r="BQL5" s="390"/>
      <c r="BQM5" s="390"/>
      <c r="BQN5" s="390"/>
      <c r="BQO5" s="390"/>
      <c r="BQP5" s="390"/>
      <c r="BQQ5" s="390"/>
      <c r="BQR5" s="390"/>
      <c r="BQS5" s="390"/>
      <c r="BQT5" s="390"/>
      <c r="BQU5" s="390"/>
      <c r="BQV5" s="390"/>
      <c r="BQW5" s="390"/>
      <c r="BQX5" s="390"/>
      <c r="BQY5" s="390"/>
      <c r="BQZ5" s="390"/>
      <c r="BRA5" s="390"/>
      <c r="BRB5" s="390"/>
      <c r="BRC5" s="390"/>
      <c r="BRD5" s="390"/>
      <c r="BRE5" s="390"/>
      <c r="BRF5" s="390"/>
      <c r="BRG5" s="390"/>
      <c r="BRH5" s="390"/>
      <c r="BRI5" s="390"/>
      <c r="BRJ5" s="390"/>
      <c r="BRK5" s="390"/>
      <c r="BRL5" s="390"/>
      <c r="BRM5" s="390"/>
      <c r="BRN5" s="390"/>
      <c r="BRO5" s="390"/>
      <c r="BRP5" s="390"/>
      <c r="BRQ5" s="390"/>
      <c r="BRR5" s="390"/>
      <c r="BRS5" s="390"/>
      <c r="BRT5" s="390"/>
      <c r="BRU5" s="390"/>
      <c r="BRV5" s="390"/>
      <c r="BRW5" s="390"/>
      <c r="BRX5" s="390"/>
      <c r="BRY5" s="390"/>
      <c r="BRZ5" s="390"/>
      <c r="BSA5" s="390"/>
      <c r="BSB5" s="390"/>
      <c r="BSC5" s="390"/>
      <c r="BSD5" s="390"/>
      <c r="BSE5" s="390"/>
      <c r="BSF5" s="390"/>
      <c r="BSG5" s="390"/>
      <c r="BSH5" s="390"/>
      <c r="BSI5" s="390"/>
      <c r="BSJ5" s="390"/>
      <c r="BSK5" s="390"/>
      <c r="BSL5" s="390"/>
      <c r="BSM5" s="390"/>
      <c r="BSN5" s="390"/>
      <c r="BSO5" s="390"/>
      <c r="BSP5" s="390"/>
      <c r="BSQ5" s="390"/>
      <c r="BSR5" s="390"/>
      <c r="BSS5" s="390"/>
      <c r="BST5" s="390"/>
      <c r="BSU5" s="390"/>
      <c r="BSV5" s="390"/>
      <c r="BSW5" s="390"/>
      <c r="BSX5" s="390"/>
      <c r="BSY5" s="390"/>
      <c r="BSZ5" s="390"/>
      <c r="BTA5" s="390"/>
      <c r="BTB5" s="390"/>
      <c r="BTC5" s="390"/>
      <c r="BTD5" s="390"/>
      <c r="BTE5" s="390"/>
      <c r="BTF5" s="390"/>
      <c r="BTG5" s="390"/>
      <c r="BTH5" s="390"/>
      <c r="BTI5" s="390"/>
      <c r="BTJ5" s="390"/>
      <c r="BTK5" s="390"/>
      <c r="BTL5" s="390"/>
      <c r="BTM5" s="390"/>
      <c r="BTN5" s="390"/>
      <c r="BTO5" s="390"/>
      <c r="BTP5" s="390"/>
      <c r="BTQ5" s="390"/>
      <c r="BTR5" s="390"/>
      <c r="BTS5" s="390"/>
      <c r="BTT5" s="390"/>
      <c r="BTU5" s="390"/>
      <c r="BTV5" s="390"/>
      <c r="BTW5" s="390"/>
      <c r="BTX5" s="390"/>
      <c r="BTY5" s="390"/>
      <c r="BTZ5" s="390"/>
      <c r="BUA5" s="390"/>
      <c r="BUB5" s="390"/>
      <c r="BUC5" s="390"/>
      <c r="BUD5" s="390"/>
      <c r="BUE5" s="390"/>
      <c r="BUF5" s="390"/>
      <c r="BUG5" s="390"/>
      <c r="BUH5" s="390"/>
      <c r="BUI5" s="390"/>
      <c r="BUJ5" s="390"/>
      <c r="BUK5" s="390"/>
      <c r="BUL5" s="390"/>
      <c r="BUM5" s="390"/>
      <c r="BUN5" s="390"/>
      <c r="BUO5" s="390"/>
      <c r="BUP5" s="390"/>
      <c r="BUQ5" s="390"/>
      <c r="BUR5" s="390"/>
      <c r="BUS5" s="390"/>
      <c r="BUT5" s="390"/>
      <c r="BUU5" s="390"/>
      <c r="BUV5" s="390"/>
      <c r="BUW5" s="390"/>
      <c r="BUX5" s="390"/>
      <c r="BUY5" s="390"/>
      <c r="BUZ5" s="390"/>
      <c r="BVA5" s="390"/>
      <c r="BVB5" s="390"/>
      <c r="BVC5" s="390"/>
      <c r="BVD5" s="390"/>
      <c r="BVE5" s="390"/>
      <c r="BVF5" s="390"/>
      <c r="BVG5" s="390"/>
      <c r="BVH5" s="390"/>
      <c r="BVI5" s="390"/>
      <c r="BVJ5" s="390"/>
      <c r="BVK5" s="390"/>
      <c r="BVL5" s="390"/>
      <c r="BVM5" s="390"/>
      <c r="BVN5" s="390"/>
      <c r="BVO5" s="390"/>
      <c r="BVP5" s="390"/>
      <c r="BVQ5" s="390"/>
      <c r="BVR5" s="390"/>
      <c r="BVS5" s="390"/>
      <c r="BVT5" s="390"/>
      <c r="BVU5" s="390"/>
      <c r="BVV5" s="390"/>
      <c r="BVW5" s="390"/>
      <c r="BVX5" s="390"/>
      <c r="BVY5" s="390"/>
      <c r="BVZ5" s="390"/>
      <c r="BWA5" s="390"/>
      <c r="BWB5" s="390"/>
      <c r="BWC5" s="390"/>
      <c r="BWD5" s="390"/>
      <c r="BWE5" s="390"/>
      <c r="BWF5" s="390"/>
      <c r="BWG5" s="390"/>
      <c r="BWH5" s="390"/>
      <c r="BWI5" s="390"/>
      <c r="BWJ5" s="390"/>
      <c r="BWK5" s="390"/>
      <c r="BWL5" s="390"/>
      <c r="BWM5" s="390"/>
      <c r="BWN5" s="390"/>
      <c r="BWO5" s="390"/>
      <c r="BWP5" s="390"/>
      <c r="BWQ5" s="390"/>
      <c r="BWR5" s="390"/>
      <c r="BWS5" s="390"/>
      <c r="BWT5" s="390"/>
      <c r="BWU5" s="390"/>
      <c r="BWV5" s="390"/>
      <c r="BWW5" s="390"/>
      <c r="BWX5" s="390"/>
      <c r="BWY5" s="390"/>
      <c r="BWZ5" s="390"/>
      <c r="BXA5" s="390"/>
      <c r="BXB5" s="390"/>
      <c r="BXC5" s="390"/>
      <c r="BXD5" s="390"/>
      <c r="BXE5" s="390"/>
      <c r="BXF5" s="390"/>
      <c r="BXG5" s="390"/>
      <c r="BXH5" s="390"/>
      <c r="BXI5" s="390"/>
      <c r="BXJ5" s="390"/>
      <c r="BXK5" s="390"/>
      <c r="BXL5" s="390"/>
      <c r="BXM5" s="390"/>
      <c r="BXN5" s="390"/>
      <c r="BXO5" s="390"/>
      <c r="BXP5" s="390"/>
      <c r="BXQ5" s="390"/>
      <c r="BXR5" s="390"/>
      <c r="BXS5" s="390"/>
      <c r="BXT5" s="390"/>
      <c r="BXU5" s="390"/>
      <c r="BXV5" s="390"/>
      <c r="BXW5" s="390"/>
      <c r="BXX5" s="390"/>
      <c r="BXY5" s="390"/>
      <c r="BXZ5" s="390"/>
      <c r="BYA5" s="390"/>
      <c r="BYB5" s="390"/>
      <c r="BYC5" s="390"/>
      <c r="BYD5" s="390"/>
      <c r="BYE5" s="390"/>
      <c r="BYF5" s="390"/>
      <c r="BYG5" s="390"/>
      <c r="BYH5" s="390"/>
      <c r="BYI5" s="390"/>
      <c r="BYJ5" s="390"/>
      <c r="BYK5" s="390"/>
      <c r="BYL5" s="390"/>
      <c r="BYM5" s="390"/>
      <c r="BYN5" s="390"/>
      <c r="BYO5" s="390"/>
      <c r="BYP5" s="390"/>
      <c r="BYQ5" s="390"/>
      <c r="BYR5" s="390"/>
      <c r="BYS5" s="390"/>
      <c r="BYT5" s="390"/>
      <c r="BYU5" s="390"/>
      <c r="BYV5" s="390"/>
      <c r="BYW5" s="390"/>
      <c r="BYX5" s="390"/>
      <c r="BYY5" s="390"/>
      <c r="BYZ5" s="390"/>
      <c r="BZA5" s="390"/>
      <c r="BZB5" s="390"/>
      <c r="BZC5" s="390"/>
      <c r="BZD5" s="390"/>
      <c r="BZE5" s="390"/>
      <c r="BZF5" s="390"/>
      <c r="BZG5" s="390"/>
      <c r="BZH5" s="390"/>
      <c r="BZI5" s="390"/>
      <c r="BZJ5" s="390"/>
      <c r="BZK5" s="390"/>
      <c r="BZL5" s="390"/>
      <c r="BZM5" s="390"/>
      <c r="BZN5" s="390"/>
      <c r="BZO5" s="390"/>
      <c r="BZP5" s="390"/>
      <c r="BZQ5" s="390"/>
      <c r="BZR5" s="390"/>
      <c r="BZS5" s="390"/>
      <c r="BZT5" s="390"/>
      <c r="BZU5" s="390"/>
      <c r="BZV5" s="390"/>
      <c r="BZW5" s="390"/>
      <c r="BZX5" s="390"/>
      <c r="BZY5" s="390"/>
      <c r="BZZ5" s="390"/>
      <c r="CAA5" s="390"/>
      <c r="CAB5" s="390"/>
      <c r="CAC5" s="390"/>
      <c r="CAD5" s="390"/>
      <c r="CAE5" s="390"/>
      <c r="CAF5" s="390"/>
      <c r="CAG5" s="390"/>
      <c r="CAH5" s="390"/>
      <c r="CAI5" s="390"/>
      <c r="CAJ5" s="390"/>
      <c r="CAK5" s="390"/>
      <c r="CAL5" s="390"/>
      <c r="CAM5" s="390"/>
      <c r="CAN5" s="390"/>
      <c r="CAO5" s="390"/>
      <c r="CAP5" s="390"/>
      <c r="CAQ5" s="390"/>
      <c r="CAR5" s="390"/>
      <c r="CAS5" s="390"/>
      <c r="CAT5" s="390"/>
      <c r="CAU5" s="390"/>
      <c r="CAV5" s="390"/>
      <c r="CAW5" s="390"/>
      <c r="CAX5" s="390"/>
      <c r="CAY5" s="390"/>
      <c r="CAZ5" s="390"/>
      <c r="CBA5" s="390"/>
      <c r="CBB5" s="390"/>
      <c r="CBC5" s="390"/>
      <c r="CBD5" s="390"/>
      <c r="CBE5" s="390"/>
      <c r="CBF5" s="390"/>
      <c r="CBG5" s="390"/>
      <c r="CBH5" s="390"/>
      <c r="CBI5" s="390"/>
      <c r="CBJ5" s="390"/>
      <c r="CBK5" s="390"/>
      <c r="CBL5" s="390"/>
      <c r="CBM5" s="390"/>
      <c r="CBN5" s="390"/>
      <c r="CBO5" s="390"/>
      <c r="CBP5" s="390"/>
      <c r="CBQ5" s="390"/>
      <c r="CBR5" s="390"/>
      <c r="CBS5" s="390"/>
      <c r="CBT5" s="390"/>
      <c r="CBU5" s="390"/>
      <c r="CBV5" s="390"/>
      <c r="CBW5" s="390"/>
      <c r="CBX5" s="390"/>
      <c r="CBY5" s="390"/>
      <c r="CBZ5" s="390"/>
      <c r="CCA5" s="390"/>
      <c r="CCB5" s="390"/>
      <c r="CCC5" s="390"/>
      <c r="CCD5" s="390"/>
      <c r="CCE5" s="390"/>
      <c r="CCF5" s="390"/>
      <c r="CCG5" s="390"/>
      <c r="CCH5" s="390"/>
      <c r="CCI5" s="390"/>
      <c r="CCJ5" s="390"/>
      <c r="CCK5" s="390"/>
      <c r="CCL5" s="390"/>
      <c r="CCM5" s="390"/>
      <c r="CCN5" s="390"/>
      <c r="CCO5" s="390"/>
      <c r="CCP5" s="390"/>
      <c r="CCQ5" s="390"/>
      <c r="CCR5" s="390"/>
      <c r="CCS5" s="390"/>
      <c r="CCT5" s="390"/>
      <c r="CCU5" s="390"/>
      <c r="CCV5" s="390"/>
      <c r="CCW5" s="390"/>
      <c r="CCX5" s="390"/>
      <c r="CCY5" s="390"/>
      <c r="CCZ5" s="390"/>
      <c r="CDA5" s="390"/>
      <c r="CDB5" s="390"/>
      <c r="CDC5" s="390"/>
      <c r="CDD5" s="390"/>
      <c r="CDE5" s="390"/>
      <c r="CDF5" s="390"/>
      <c r="CDG5" s="390"/>
      <c r="CDH5" s="390"/>
      <c r="CDI5" s="390"/>
      <c r="CDJ5" s="390"/>
      <c r="CDK5" s="390"/>
      <c r="CDL5" s="390"/>
      <c r="CDM5" s="390"/>
      <c r="CDN5" s="390"/>
      <c r="CDO5" s="390"/>
      <c r="CDP5" s="390"/>
      <c r="CDQ5" s="390"/>
      <c r="CDR5" s="390"/>
      <c r="CDS5" s="390"/>
      <c r="CDT5" s="390"/>
      <c r="CDU5" s="390"/>
      <c r="CDV5" s="390"/>
      <c r="CDW5" s="390"/>
      <c r="CDX5" s="390"/>
      <c r="CDY5" s="390"/>
      <c r="CDZ5" s="390"/>
      <c r="CEA5" s="390"/>
      <c r="CEB5" s="390"/>
      <c r="CEC5" s="390"/>
      <c r="CED5" s="390"/>
      <c r="CEE5" s="390"/>
      <c r="CEF5" s="390"/>
      <c r="CEG5" s="390"/>
      <c r="CEH5" s="390"/>
      <c r="CEI5" s="390"/>
      <c r="CEJ5" s="390"/>
      <c r="CEK5" s="390"/>
      <c r="CEL5" s="390"/>
      <c r="CEM5" s="390"/>
      <c r="CEN5" s="390"/>
      <c r="CEO5" s="390"/>
      <c r="CEP5" s="390"/>
      <c r="CEQ5" s="390"/>
      <c r="CER5" s="390"/>
      <c r="CES5" s="390"/>
      <c r="CET5" s="390"/>
      <c r="CEU5" s="390"/>
      <c r="CEV5" s="390"/>
      <c r="CEW5" s="390"/>
      <c r="CEX5" s="390"/>
      <c r="CEY5" s="390"/>
      <c r="CEZ5" s="390"/>
      <c r="CFA5" s="390"/>
      <c r="CFB5" s="390"/>
      <c r="CFC5" s="390"/>
      <c r="CFD5" s="390"/>
      <c r="CFE5" s="390"/>
      <c r="CFF5" s="390"/>
      <c r="CFG5" s="390"/>
      <c r="CFH5" s="390"/>
      <c r="CFI5" s="390"/>
      <c r="CFJ5" s="390"/>
      <c r="CFK5" s="390"/>
      <c r="CFL5" s="390"/>
      <c r="CFM5" s="390"/>
      <c r="CFN5" s="390"/>
      <c r="CFO5" s="390"/>
      <c r="CFP5" s="390"/>
      <c r="CFQ5" s="390"/>
      <c r="CFR5" s="390"/>
      <c r="CFS5" s="390"/>
      <c r="CFT5" s="390"/>
      <c r="CFU5" s="390"/>
      <c r="CFV5" s="390"/>
      <c r="CFW5" s="390"/>
      <c r="CFX5" s="390"/>
      <c r="CFY5" s="390"/>
      <c r="CFZ5" s="390"/>
      <c r="CGA5" s="390"/>
      <c r="CGB5" s="390"/>
      <c r="CGC5" s="390"/>
      <c r="CGD5" s="390"/>
      <c r="CGE5" s="390"/>
      <c r="CGF5" s="390"/>
      <c r="CGG5" s="390"/>
      <c r="CGH5" s="390"/>
      <c r="CGI5" s="390"/>
      <c r="CGJ5" s="390"/>
      <c r="CGK5" s="390"/>
      <c r="CGL5" s="390"/>
      <c r="CGM5" s="390"/>
      <c r="CGN5" s="390"/>
      <c r="CGO5" s="390"/>
      <c r="CGP5" s="390"/>
      <c r="CGQ5" s="390"/>
      <c r="CGR5" s="390"/>
      <c r="CGS5" s="390"/>
      <c r="CGT5" s="390"/>
      <c r="CGU5" s="390"/>
      <c r="CGV5" s="390"/>
      <c r="CGW5" s="390"/>
      <c r="CGX5" s="390"/>
      <c r="CGY5" s="390"/>
      <c r="CGZ5" s="390"/>
      <c r="CHA5" s="390"/>
      <c r="CHB5" s="390"/>
      <c r="CHC5" s="390"/>
      <c r="CHD5" s="390"/>
      <c r="CHE5" s="390"/>
      <c r="CHF5" s="390"/>
      <c r="CHG5" s="390"/>
      <c r="CHH5" s="390"/>
      <c r="CHI5" s="390"/>
      <c r="CHJ5" s="390"/>
      <c r="CHK5" s="390"/>
      <c r="CHL5" s="390"/>
      <c r="CHM5" s="390"/>
      <c r="CHN5" s="390"/>
      <c r="CHO5" s="390"/>
      <c r="CHP5" s="390"/>
      <c r="CHQ5" s="390"/>
      <c r="CHR5" s="390"/>
      <c r="CHS5" s="390"/>
      <c r="CHT5" s="390"/>
      <c r="CHU5" s="390"/>
      <c r="CHV5" s="390"/>
      <c r="CHW5" s="390"/>
      <c r="CHX5" s="390"/>
      <c r="CHY5" s="390"/>
      <c r="CHZ5" s="390"/>
      <c r="CIA5" s="390"/>
      <c r="CIB5" s="390"/>
      <c r="CIC5" s="390"/>
      <c r="CID5" s="390"/>
      <c r="CIE5" s="390"/>
      <c r="CIF5" s="390"/>
      <c r="CIG5" s="390"/>
      <c r="CIH5" s="390"/>
      <c r="CII5" s="390"/>
      <c r="CIJ5" s="390"/>
      <c r="CIK5" s="390"/>
      <c r="CIL5" s="390"/>
      <c r="CIM5" s="390"/>
      <c r="CIN5" s="390"/>
      <c r="CIO5" s="390"/>
      <c r="CIP5" s="390"/>
      <c r="CIQ5" s="390"/>
      <c r="CIR5" s="390"/>
      <c r="CIS5" s="390"/>
      <c r="CIT5" s="390"/>
      <c r="CIU5" s="390"/>
      <c r="CIV5" s="390"/>
      <c r="CIW5" s="390"/>
      <c r="CIX5" s="390"/>
      <c r="CIY5" s="390"/>
      <c r="CIZ5" s="390"/>
      <c r="CJA5" s="390"/>
      <c r="CJB5" s="390"/>
      <c r="CJC5" s="390"/>
      <c r="CJD5" s="390"/>
      <c r="CJE5" s="390"/>
      <c r="CJF5" s="390"/>
      <c r="CJG5" s="390"/>
      <c r="CJH5" s="390"/>
      <c r="CJI5" s="390"/>
      <c r="CJJ5" s="390"/>
      <c r="CJK5" s="390"/>
      <c r="CJL5" s="390"/>
      <c r="CJM5" s="390"/>
      <c r="CJN5" s="390"/>
      <c r="CJO5" s="390"/>
      <c r="CJP5" s="390"/>
      <c r="CJQ5" s="390"/>
      <c r="CJR5" s="390"/>
      <c r="CJS5" s="390"/>
      <c r="CJT5" s="390"/>
      <c r="CJU5" s="390"/>
      <c r="CJV5" s="390"/>
      <c r="CJW5" s="390"/>
      <c r="CJX5" s="390"/>
      <c r="CJY5" s="390"/>
      <c r="CJZ5" s="390"/>
      <c r="CKA5" s="390"/>
      <c r="CKB5" s="390"/>
      <c r="CKC5" s="390"/>
      <c r="CKD5" s="390"/>
      <c r="CKE5" s="390"/>
      <c r="CKF5" s="390"/>
      <c r="CKG5" s="390"/>
      <c r="CKH5" s="390"/>
      <c r="CKI5" s="390"/>
      <c r="CKJ5" s="390"/>
      <c r="CKK5" s="390"/>
      <c r="CKL5" s="390"/>
      <c r="CKM5" s="390"/>
      <c r="CKN5" s="390"/>
      <c r="CKO5" s="390"/>
      <c r="CKP5" s="390"/>
      <c r="CKQ5" s="390"/>
      <c r="CKR5" s="390"/>
      <c r="CKS5" s="390"/>
      <c r="CKT5" s="390"/>
      <c r="CKU5" s="390"/>
      <c r="CKV5" s="390"/>
      <c r="CKW5" s="390"/>
      <c r="CKX5" s="390"/>
      <c r="CKY5" s="390"/>
      <c r="CKZ5" s="390"/>
      <c r="CLA5" s="390"/>
      <c r="CLB5" s="390"/>
      <c r="CLC5" s="390"/>
      <c r="CLD5" s="390"/>
      <c r="CLE5" s="390"/>
      <c r="CLF5" s="390"/>
      <c r="CLG5" s="390"/>
      <c r="CLH5" s="390"/>
      <c r="CLI5" s="390"/>
      <c r="CLJ5" s="390"/>
      <c r="CLK5" s="390"/>
      <c r="CLL5" s="390"/>
      <c r="CLM5" s="390"/>
      <c r="CLN5" s="390"/>
      <c r="CLO5" s="390"/>
      <c r="CLP5" s="390"/>
      <c r="CLQ5" s="390"/>
      <c r="CLR5" s="390"/>
      <c r="CLS5" s="390"/>
      <c r="CLT5" s="390"/>
      <c r="CLU5" s="390"/>
      <c r="CLV5" s="390"/>
      <c r="CLW5" s="390"/>
      <c r="CLX5" s="390"/>
      <c r="CLY5" s="390"/>
      <c r="CLZ5" s="390"/>
      <c r="CMA5" s="390"/>
      <c r="CMB5" s="390"/>
      <c r="CMC5" s="390"/>
      <c r="CMD5" s="390"/>
      <c r="CME5" s="390"/>
      <c r="CMF5" s="390"/>
      <c r="CMG5" s="390"/>
      <c r="CMH5" s="390"/>
      <c r="CMI5" s="390"/>
      <c r="CMJ5" s="390"/>
      <c r="CMK5" s="390"/>
      <c r="CML5" s="390"/>
      <c r="CMM5" s="390"/>
      <c r="CMN5" s="390"/>
      <c r="CMO5" s="390"/>
      <c r="CMP5" s="390"/>
      <c r="CMQ5" s="390"/>
      <c r="CMR5" s="390"/>
      <c r="CMS5" s="390"/>
      <c r="CMT5" s="390"/>
      <c r="CMU5" s="390"/>
      <c r="CMV5" s="390"/>
      <c r="CMW5" s="390"/>
      <c r="CMX5" s="390"/>
      <c r="CMY5" s="390"/>
      <c r="CMZ5" s="390"/>
      <c r="CNA5" s="390"/>
      <c r="CNB5" s="390"/>
      <c r="CNC5" s="390"/>
      <c r="CND5" s="390"/>
      <c r="CNE5" s="390"/>
      <c r="CNF5" s="390"/>
      <c r="CNG5" s="390"/>
      <c r="CNH5" s="390"/>
      <c r="CNI5" s="390"/>
      <c r="CNJ5" s="390"/>
      <c r="CNK5" s="390"/>
      <c r="CNL5" s="390"/>
      <c r="CNM5" s="390"/>
      <c r="CNN5" s="390"/>
      <c r="CNO5" s="390"/>
      <c r="CNP5" s="390"/>
      <c r="CNQ5" s="390"/>
      <c r="CNR5" s="390"/>
      <c r="CNS5" s="390"/>
      <c r="CNT5" s="390"/>
      <c r="CNU5" s="390"/>
      <c r="CNV5" s="390"/>
      <c r="CNW5" s="390"/>
      <c r="CNX5" s="390"/>
      <c r="CNY5" s="390"/>
      <c r="CNZ5" s="390"/>
      <c r="COA5" s="390"/>
      <c r="COB5" s="390"/>
      <c r="COC5" s="390"/>
      <c r="COD5" s="390"/>
      <c r="COE5" s="390"/>
      <c r="COF5" s="390"/>
      <c r="COG5" s="390"/>
      <c r="COH5" s="390"/>
      <c r="COI5" s="390"/>
      <c r="COJ5" s="390"/>
      <c r="COK5" s="390"/>
      <c r="COL5" s="390"/>
      <c r="COM5" s="390"/>
      <c r="CON5" s="390"/>
      <c r="COO5" s="390"/>
      <c r="COP5" s="390"/>
      <c r="COQ5" s="390"/>
      <c r="COR5" s="390"/>
      <c r="COS5" s="390"/>
      <c r="COT5" s="390"/>
      <c r="COU5" s="390"/>
      <c r="COV5" s="390"/>
      <c r="COW5" s="390"/>
      <c r="COX5" s="390"/>
      <c r="COY5" s="390"/>
      <c r="COZ5" s="390"/>
      <c r="CPA5" s="390"/>
      <c r="CPB5" s="390"/>
      <c r="CPC5" s="390"/>
      <c r="CPD5" s="390"/>
      <c r="CPE5" s="390"/>
      <c r="CPF5" s="390"/>
      <c r="CPG5" s="390"/>
      <c r="CPH5" s="390"/>
      <c r="CPI5" s="390"/>
      <c r="CPJ5" s="390"/>
      <c r="CPK5" s="390"/>
      <c r="CPL5" s="390"/>
      <c r="CPM5" s="390"/>
      <c r="CPN5" s="390"/>
      <c r="CPO5" s="390"/>
      <c r="CPP5" s="390"/>
      <c r="CPQ5" s="390"/>
      <c r="CPR5" s="390"/>
      <c r="CPS5" s="390"/>
      <c r="CPT5" s="390"/>
      <c r="CPU5" s="390"/>
      <c r="CPV5" s="390"/>
      <c r="CPW5" s="390"/>
      <c r="CPX5" s="390"/>
      <c r="CPY5" s="390"/>
      <c r="CPZ5" s="390"/>
      <c r="CQA5" s="390"/>
      <c r="CQB5" s="390"/>
      <c r="CQC5" s="390"/>
      <c r="CQD5" s="390"/>
      <c r="CQE5" s="390"/>
      <c r="CQF5" s="390"/>
      <c r="CQG5" s="390"/>
      <c r="CQH5" s="390"/>
      <c r="CQI5" s="390"/>
      <c r="CQJ5" s="390"/>
      <c r="CQK5" s="390"/>
      <c r="CQL5" s="390"/>
      <c r="CQM5" s="390"/>
      <c r="CQN5" s="390"/>
      <c r="CQO5" s="390"/>
      <c r="CQP5" s="390"/>
      <c r="CQQ5" s="390"/>
      <c r="CQR5" s="390"/>
      <c r="CQS5" s="390"/>
      <c r="CQT5" s="390"/>
      <c r="CQU5" s="390"/>
      <c r="CQV5" s="390"/>
      <c r="CQW5" s="390"/>
      <c r="CQX5" s="390"/>
      <c r="CQY5" s="390"/>
      <c r="CQZ5" s="390"/>
      <c r="CRA5" s="390"/>
      <c r="CRB5" s="390"/>
      <c r="CRC5" s="390"/>
      <c r="CRD5" s="390"/>
      <c r="CRE5" s="390"/>
      <c r="CRF5" s="390"/>
      <c r="CRG5" s="390"/>
      <c r="CRH5" s="390"/>
      <c r="CRI5" s="390"/>
      <c r="CRJ5" s="390"/>
      <c r="CRK5" s="390"/>
      <c r="CRL5" s="390"/>
      <c r="CRM5" s="390"/>
      <c r="CRN5" s="390"/>
      <c r="CRO5" s="390"/>
      <c r="CRP5" s="390"/>
      <c r="CRQ5" s="390"/>
      <c r="CRR5" s="390"/>
      <c r="CRS5" s="390"/>
      <c r="CRT5" s="390"/>
      <c r="CRU5" s="390"/>
      <c r="CRV5" s="390"/>
      <c r="CRW5" s="390"/>
      <c r="CRX5" s="390"/>
      <c r="CRY5" s="390"/>
      <c r="CRZ5" s="390"/>
      <c r="CSA5" s="390"/>
      <c r="CSB5" s="390"/>
      <c r="CSC5" s="390"/>
      <c r="CSD5" s="390"/>
      <c r="CSE5" s="390"/>
      <c r="CSF5" s="390"/>
      <c r="CSG5" s="390"/>
      <c r="CSH5" s="390"/>
      <c r="CSI5" s="390"/>
      <c r="CSJ5" s="390"/>
      <c r="CSK5" s="390"/>
      <c r="CSL5" s="390"/>
      <c r="CSM5" s="390"/>
      <c r="CSN5" s="390"/>
      <c r="CSO5" s="390"/>
      <c r="CSP5" s="390"/>
      <c r="CSQ5" s="390"/>
      <c r="CSR5" s="390"/>
      <c r="CSS5" s="390"/>
      <c r="CST5" s="390"/>
      <c r="CSU5" s="390"/>
      <c r="CSV5" s="390"/>
      <c r="CSW5" s="390"/>
      <c r="CSX5" s="390"/>
      <c r="CSY5" s="390"/>
      <c r="CSZ5" s="390"/>
      <c r="CTA5" s="390"/>
      <c r="CTB5" s="390"/>
      <c r="CTC5" s="390"/>
      <c r="CTD5" s="390"/>
      <c r="CTE5" s="390"/>
      <c r="CTF5" s="390"/>
      <c r="CTG5" s="390"/>
      <c r="CTH5" s="390"/>
      <c r="CTI5" s="390"/>
      <c r="CTJ5" s="390"/>
      <c r="CTK5" s="390"/>
      <c r="CTL5" s="390"/>
      <c r="CTM5" s="390"/>
      <c r="CTN5" s="390"/>
      <c r="CTO5" s="390"/>
      <c r="CTP5" s="390"/>
      <c r="CTQ5" s="390"/>
      <c r="CTR5" s="390"/>
      <c r="CTS5" s="390"/>
      <c r="CTT5" s="390"/>
      <c r="CTU5" s="390"/>
      <c r="CTV5" s="390"/>
      <c r="CTW5" s="390"/>
      <c r="CTX5" s="390"/>
      <c r="CTY5" s="390"/>
      <c r="CTZ5" s="390"/>
      <c r="CUA5" s="390"/>
      <c r="CUB5" s="390"/>
      <c r="CUC5" s="390"/>
      <c r="CUD5" s="390"/>
      <c r="CUE5" s="390"/>
      <c r="CUF5" s="390"/>
      <c r="CUG5" s="390"/>
      <c r="CUH5" s="390"/>
      <c r="CUI5" s="390"/>
      <c r="CUJ5" s="390"/>
      <c r="CUK5" s="390"/>
      <c r="CUL5" s="390"/>
      <c r="CUM5" s="390"/>
      <c r="CUN5" s="390"/>
      <c r="CUO5" s="390"/>
      <c r="CUP5" s="390"/>
      <c r="CUQ5" s="390"/>
      <c r="CUR5" s="390"/>
      <c r="CUS5" s="390"/>
      <c r="CUT5" s="390"/>
      <c r="CUU5" s="390"/>
      <c r="CUV5" s="390"/>
      <c r="CUW5" s="390"/>
      <c r="CUX5" s="390"/>
      <c r="CUY5" s="390"/>
      <c r="CUZ5" s="390"/>
      <c r="CVA5" s="390"/>
      <c r="CVB5" s="390"/>
      <c r="CVC5" s="390"/>
      <c r="CVD5" s="390"/>
      <c r="CVE5" s="390"/>
      <c r="CVF5" s="390"/>
      <c r="CVG5" s="390"/>
      <c r="CVH5" s="390"/>
      <c r="CVI5" s="390"/>
      <c r="CVJ5" s="390"/>
      <c r="CVK5" s="390"/>
      <c r="CVL5" s="390"/>
      <c r="CVM5" s="390"/>
      <c r="CVN5" s="390"/>
      <c r="CVO5" s="390"/>
      <c r="CVP5" s="390"/>
      <c r="CVQ5" s="390"/>
      <c r="CVR5" s="390"/>
      <c r="CVS5" s="390"/>
      <c r="CVT5" s="390"/>
      <c r="CVU5" s="390"/>
      <c r="CVV5" s="390"/>
      <c r="CVW5" s="390"/>
      <c r="CVX5" s="390"/>
      <c r="CVY5" s="390"/>
      <c r="CVZ5" s="390"/>
      <c r="CWA5" s="390"/>
      <c r="CWB5" s="390"/>
      <c r="CWC5" s="390"/>
      <c r="CWD5" s="390"/>
      <c r="CWE5" s="390"/>
      <c r="CWF5" s="390"/>
      <c r="CWG5" s="390"/>
      <c r="CWH5" s="390"/>
      <c r="CWI5" s="390"/>
      <c r="CWJ5" s="390"/>
      <c r="CWK5" s="390"/>
      <c r="CWL5" s="390"/>
      <c r="CWM5" s="390"/>
      <c r="CWN5" s="390"/>
      <c r="CWO5" s="390"/>
      <c r="CWP5" s="390"/>
      <c r="CWQ5" s="390"/>
      <c r="CWR5" s="390"/>
      <c r="CWS5" s="390"/>
      <c r="CWT5" s="390"/>
      <c r="CWU5" s="390"/>
      <c r="CWV5" s="390"/>
      <c r="CWW5" s="390"/>
      <c r="CWX5" s="390"/>
      <c r="CWY5" s="390"/>
      <c r="CWZ5" s="390"/>
      <c r="CXA5" s="390"/>
      <c r="CXB5" s="390"/>
      <c r="CXC5" s="390"/>
      <c r="CXD5" s="390"/>
      <c r="CXE5" s="390"/>
      <c r="CXF5" s="390"/>
      <c r="CXG5" s="390"/>
      <c r="CXH5" s="390"/>
      <c r="CXI5" s="390"/>
      <c r="CXJ5" s="390"/>
      <c r="CXK5" s="390"/>
      <c r="CXL5" s="390"/>
      <c r="CXM5" s="390"/>
      <c r="CXN5" s="390"/>
      <c r="CXO5" s="390"/>
      <c r="CXP5" s="390"/>
      <c r="CXQ5" s="390"/>
      <c r="CXR5" s="390"/>
      <c r="CXS5" s="390"/>
      <c r="CXT5" s="390"/>
      <c r="CXU5" s="390"/>
      <c r="CXV5" s="390"/>
      <c r="CXW5" s="390"/>
      <c r="CXX5" s="390"/>
      <c r="CXY5" s="390"/>
      <c r="CXZ5" s="390"/>
      <c r="CYA5" s="390"/>
      <c r="CYB5" s="390"/>
      <c r="CYC5" s="390"/>
      <c r="CYD5" s="390"/>
      <c r="CYE5" s="390"/>
      <c r="CYF5" s="390"/>
      <c r="CYG5" s="390"/>
      <c r="CYH5" s="390"/>
      <c r="CYI5" s="390"/>
      <c r="CYJ5" s="390"/>
      <c r="CYK5" s="390"/>
      <c r="CYL5" s="390"/>
      <c r="CYM5" s="390"/>
      <c r="CYN5" s="390"/>
      <c r="CYO5" s="390"/>
      <c r="CYP5" s="390"/>
      <c r="CYQ5" s="390"/>
      <c r="CYR5" s="390"/>
      <c r="CYS5" s="390"/>
      <c r="CYT5" s="390"/>
      <c r="CYU5" s="390"/>
      <c r="CYV5" s="390"/>
      <c r="CYW5" s="390"/>
      <c r="CYX5" s="390"/>
      <c r="CYY5" s="390"/>
      <c r="CYZ5" s="390"/>
      <c r="CZA5" s="390"/>
      <c r="CZB5" s="390"/>
      <c r="CZC5" s="390"/>
      <c r="CZD5" s="390"/>
      <c r="CZE5" s="390"/>
      <c r="CZF5" s="390"/>
      <c r="CZG5" s="390"/>
      <c r="CZH5" s="390"/>
      <c r="CZI5" s="390"/>
      <c r="CZJ5" s="390"/>
      <c r="CZK5" s="390"/>
      <c r="CZL5" s="390"/>
      <c r="CZM5" s="390"/>
      <c r="CZN5" s="390"/>
      <c r="CZO5" s="390"/>
      <c r="CZP5" s="390"/>
      <c r="CZQ5" s="390"/>
      <c r="CZR5" s="390"/>
      <c r="CZS5" s="390"/>
      <c r="CZT5" s="390"/>
      <c r="CZU5" s="390"/>
      <c r="CZV5" s="390"/>
      <c r="CZW5" s="390"/>
      <c r="CZX5" s="390"/>
      <c r="CZY5" s="390"/>
      <c r="CZZ5" s="390"/>
      <c r="DAA5" s="390"/>
      <c r="DAB5" s="390"/>
      <c r="DAC5" s="390"/>
      <c r="DAD5" s="390"/>
      <c r="DAE5" s="390"/>
      <c r="DAF5" s="390"/>
      <c r="DAG5" s="390"/>
      <c r="DAH5" s="390"/>
      <c r="DAI5" s="390"/>
      <c r="DAJ5" s="390"/>
      <c r="DAK5" s="390"/>
      <c r="DAL5" s="390"/>
      <c r="DAM5" s="390"/>
      <c r="DAN5" s="390"/>
      <c r="DAO5" s="390"/>
      <c r="DAP5" s="390"/>
      <c r="DAQ5" s="390"/>
      <c r="DAR5" s="390"/>
      <c r="DAS5" s="390"/>
      <c r="DAT5" s="390"/>
      <c r="DAU5" s="390"/>
      <c r="DAV5" s="390"/>
      <c r="DAW5" s="390"/>
      <c r="DAX5" s="390"/>
      <c r="DAY5" s="390"/>
      <c r="DAZ5" s="390"/>
      <c r="DBA5" s="390"/>
      <c r="DBB5" s="390"/>
      <c r="DBC5" s="390"/>
      <c r="DBD5" s="390"/>
      <c r="DBE5" s="390"/>
      <c r="DBF5" s="390"/>
      <c r="DBG5" s="390"/>
      <c r="DBH5" s="390"/>
      <c r="DBI5" s="390"/>
      <c r="DBJ5" s="390"/>
      <c r="DBK5" s="390"/>
      <c r="DBL5" s="390"/>
      <c r="DBM5" s="390"/>
      <c r="DBN5" s="390"/>
      <c r="DBO5" s="390"/>
      <c r="DBP5" s="390"/>
      <c r="DBQ5" s="390"/>
      <c r="DBR5" s="390"/>
      <c r="DBS5" s="390"/>
      <c r="DBT5" s="390"/>
      <c r="DBU5" s="390"/>
      <c r="DBV5" s="390"/>
      <c r="DBW5" s="390"/>
      <c r="DBX5" s="390"/>
      <c r="DBY5" s="390"/>
      <c r="DBZ5" s="390"/>
      <c r="DCA5" s="390"/>
      <c r="DCB5" s="390"/>
      <c r="DCC5" s="390"/>
      <c r="DCD5" s="390"/>
      <c r="DCE5" s="390"/>
      <c r="DCF5" s="390"/>
      <c r="DCG5" s="390"/>
      <c r="DCH5" s="390"/>
      <c r="DCI5" s="390"/>
      <c r="DCJ5" s="390"/>
      <c r="DCK5" s="390"/>
      <c r="DCL5" s="390"/>
      <c r="DCM5" s="390"/>
      <c r="DCN5" s="390"/>
      <c r="DCO5" s="390"/>
      <c r="DCP5" s="390"/>
      <c r="DCQ5" s="390"/>
      <c r="DCR5" s="390"/>
      <c r="DCS5" s="390"/>
      <c r="DCT5" s="390"/>
      <c r="DCU5" s="390"/>
      <c r="DCV5" s="390"/>
      <c r="DCW5" s="390"/>
      <c r="DCX5" s="390"/>
      <c r="DCY5" s="390"/>
      <c r="DCZ5" s="390"/>
      <c r="DDA5" s="390"/>
      <c r="DDB5" s="390"/>
      <c r="DDC5" s="390"/>
      <c r="DDD5" s="390"/>
      <c r="DDE5" s="390"/>
      <c r="DDF5" s="390"/>
      <c r="DDG5" s="390"/>
      <c r="DDH5" s="390"/>
      <c r="DDI5" s="390"/>
      <c r="DDJ5" s="390"/>
      <c r="DDK5" s="390"/>
      <c r="DDL5" s="390"/>
      <c r="DDM5" s="390"/>
      <c r="DDN5" s="390"/>
      <c r="DDO5" s="390"/>
      <c r="DDP5" s="390"/>
      <c r="DDQ5" s="390"/>
      <c r="DDR5" s="390"/>
      <c r="DDS5" s="390"/>
      <c r="DDT5" s="390"/>
      <c r="DDU5" s="390"/>
      <c r="DDV5" s="390"/>
      <c r="DDW5" s="390"/>
      <c r="DDX5" s="390"/>
      <c r="DDY5" s="390"/>
      <c r="DDZ5" s="390"/>
      <c r="DEA5" s="390"/>
      <c r="DEB5" s="390"/>
      <c r="DEC5" s="390"/>
      <c r="DED5" s="390"/>
      <c r="DEE5" s="390"/>
      <c r="DEF5" s="390"/>
      <c r="DEG5" s="390"/>
      <c r="DEH5" s="390"/>
      <c r="DEI5" s="390"/>
      <c r="DEJ5" s="390"/>
      <c r="DEK5" s="390"/>
      <c r="DEL5" s="390"/>
      <c r="DEM5" s="390"/>
      <c r="DEN5" s="390"/>
      <c r="DEO5" s="390"/>
      <c r="DEP5" s="390"/>
      <c r="DEQ5" s="390"/>
      <c r="DER5" s="390"/>
      <c r="DES5" s="390"/>
      <c r="DET5" s="390"/>
      <c r="DEU5" s="390"/>
      <c r="DEV5" s="390"/>
      <c r="DEW5" s="390"/>
      <c r="DEX5" s="390"/>
      <c r="DEY5" s="390"/>
      <c r="DEZ5" s="390"/>
      <c r="DFA5" s="390"/>
      <c r="DFB5" s="390"/>
      <c r="DFC5" s="390"/>
      <c r="DFD5" s="390"/>
      <c r="DFE5" s="390"/>
      <c r="DFF5" s="390"/>
      <c r="DFG5" s="390"/>
      <c r="DFH5" s="390"/>
      <c r="DFI5" s="390"/>
      <c r="DFJ5" s="390"/>
      <c r="DFK5" s="390"/>
      <c r="DFL5" s="390"/>
      <c r="DFM5" s="390"/>
      <c r="DFN5" s="390"/>
      <c r="DFO5" s="390"/>
      <c r="DFP5" s="390"/>
      <c r="DFQ5" s="390"/>
      <c r="DFR5" s="390"/>
      <c r="DFS5" s="390"/>
      <c r="DFT5" s="390"/>
      <c r="DFU5" s="390"/>
      <c r="DFV5" s="390"/>
      <c r="DFW5" s="390"/>
      <c r="DFX5" s="390"/>
      <c r="DFY5" s="390"/>
      <c r="DFZ5" s="390"/>
      <c r="DGA5" s="390"/>
      <c r="DGB5" s="390"/>
      <c r="DGC5" s="390"/>
      <c r="DGD5" s="390"/>
      <c r="DGE5" s="390"/>
      <c r="DGF5" s="390"/>
      <c r="DGG5" s="390"/>
      <c r="DGH5" s="390"/>
      <c r="DGI5" s="390"/>
      <c r="DGJ5" s="390"/>
      <c r="DGK5" s="390"/>
      <c r="DGL5" s="390"/>
      <c r="DGM5" s="390"/>
      <c r="DGN5" s="390"/>
      <c r="DGO5" s="390"/>
      <c r="DGP5" s="390"/>
      <c r="DGQ5" s="390"/>
      <c r="DGR5" s="390"/>
      <c r="DGS5" s="390"/>
      <c r="DGT5" s="390"/>
      <c r="DGU5" s="390"/>
      <c r="DGV5" s="390"/>
      <c r="DGW5" s="390"/>
      <c r="DGX5" s="390"/>
      <c r="DGY5" s="390"/>
      <c r="DGZ5" s="390"/>
      <c r="DHA5" s="390"/>
      <c r="DHB5" s="390"/>
      <c r="DHC5" s="390"/>
      <c r="DHD5" s="390"/>
      <c r="DHE5" s="390"/>
      <c r="DHF5" s="390"/>
      <c r="DHG5" s="390"/>
      <c r="DHH5" s="390"/>
      <c r="DHI5" s="390"/>
      <c r="DHJ5" s="390"/>
      <c r="DHK5" s="390"/>
      <c r="DHL5" s="390"/>
      <c r="DHM5" s="390"/>
      <c r="DHN5" s="390"/>
      <c r="DHO5" s="390"/>
      <c r="DHP5" s="390"/>
      <c r="DHQ5" s="390"/>
      <c r="DHR5" s="390"/>
      <c r="DHS5" s="390"/>
      <c r="DHT5" s="390"/>
      <c r="DHU5" s="390"/>
      <c r="DHV5" s="390"/>
      <c r="DHW5" s="390"/>
      <c r="DHX5" s="390"/>
      <c r="DHY5" s="390"/>
      <c r="DHZ5" s="390"/>
      <c r="DIA5" s="390"/>
      <c r="DIB5" s="390"/>
      <c r="DIC5" s="390"/>
      <c r="DID5" s="390"/>
      <c r="DIE5" s="390"/>
      <c r="DIF5" s="390"/>
      <c r="DIG5" s="390"/>
      <c r="DIH5" s="390"/>
      <c r="DII5" s="390"/>
      <c r="DIJ5" s="390"/>
      <c r="DIK5" s="390"/>
      <c r="DIL5" s="390"/>
      <c r="DIM5" s="390"/>
      <c r="DIN5" s="390"/>
      <c r="DIO5" s="390"/>
      <c r="DIP5" s="390"/>
      <c r="DIQ5" s="390"/>
      <c r="DIR5" s="390"/>
      <c r="DIS5" s="390"/>
      <c r="DIT5" s="390"/>
      <c r="DIU5" s="390"/>
      <c r="DIV5" s="390"/>
      <c r="DIW5" s="390"/>
      <c r="DIX5" s="390"/>
      <c r="DIY5" s="390"/>
      <c r="DIZ5" s="390"/>
      <c r="DJA5" s="390"/>
      <c r="DJB5" s="390"/>
      <c r="DJC5" s="390"/>
      <c r="DJD5" s="390"/>
      <c r="DJE5" s="390"/>
      <c r="DJF5" s="390"/>
      <c r="DJG5" s="390"/>
      <c r="DJH5" s="390"/>
      <c r="DJI5" s="390"/>
      <c r="DJJ5" s="390"/>
      <c r="DJK5" s="390"/>
      <c r="DJL5" s="390"/>
      <c r="DJM5" s="390"/>
      <c r="DJN5" s="390"/>
      <c r="DJO5" s="390"/>
      <c r="DJP5" s="390"/>
      <c r="DJQ5" s="390"/>
      <c r="DJR5" s="390"/>
      <c r="DJS5" s="390"/>
      <c r="DJT5" s="390"/>
      <c r="DJU5" s="390"/>
      <c r="DJV5" s="390"/>
      <c r="DJW5" s="390"/>
      <c r="DJX5" s="390"/>
      <c r="DJY5" s="390"/>
      <c r="DJZ5" s="390"/>
      <c r="DKA5" s="390"/>
      <c r="DKB5" s="390"/>
      <c r="DKC5" s="390"/>
      <c r="DKD5" s="390"/>
      <c r="DKE5" s="390"/>
      <c r="DKF5" s="390"/>
      <c r="DKG5" s="390"/>
      <c r="DKH5" s="390"/>
      <c r="DKI5" s="390"/>
      <c r="DKJ5" s="390"/>
      <c r="DKK5" s="390"/>
      <c r="DKL5" s="390"/>
      <c r="DKM5" s="390"/>
      <c r="DKN5" s="390"/>
      <c r="DKO5" s="390"/>
      <c r="DKP5" s="390"/>
      <c r="DKQ5" s="390"/>
      <c r="DKR5" s="390"/>
      <c r="DKS5" s="390"/>
      <c r="DKT5" s="390"/>
      <c r="DKU5" s="390"/>
      <c r="DKV5" s="390"/>
      <c r="DKW5" s="390"/>
      <c r="DKX5" s="390"/>
      <c r="DKY5" s="390"/>
      <c r="DKZ5" s="390"/>
      <c r="DLA5" s="390"/>
      <c r="DLB5" s="390"/>
      <c r="DLC5" s="390"/>
      <c r="DLD5" s="390"/>
      <c r="DLE5" s="390"/>
      <c r="DLF5" s="390"/>
      <c r="DLG5" s="390"/>
      <c r="DLH5" s="390"/>
      <c r="DLI5" s="390"/>
      <c r="DLJ5" s="390"/>
      <c r="DLK5" s="390"/>
      <c r="DLL5" s="390"/>
      <c r="DLM5" s="390"/>
      <c r="DLN5" s="390"/>
      <c r="DLO5" s="390"/>
      <c r="DLP5" s="390"/>
      <c r="DLQ5" s="390"/>
      <c r="DLR5" s="390"/>
      <c r="DLS5" s="390"/>
      <c r="DLT5" s="390"/>
      <c r="DLU5" s="390"/>
      <c r="DLV5" s="390"/>
      <c r="DLW5" s="390"/>
      <c r="DLX5" s="390"/>
      <c r="DLY5" s="390"/>
      <c r="DLZ5" s="390"/>
      <c r="DMA5" s="390"/>
      <c r="DMB5" s="390"/>
      <c r="DMC5" s="390"/>
      <c r="DMD5" s="390"/>
      <c r="DME5" s="390"/>
      <c r="DMF5" s="390"/>
      <c r="DMG5" s="390"/>
      <c r="DMH5" s="390"/>
      <c r="DMI5" s="390"/>
      <c r="DMJ5" s="390"/>
      <c r="DMK5" s="390"/>
      <c r="DML5" s="390"/>
      <c r="DMM5" s="390"/>
      <c r="DMN5" s="390"/>
      <c r="DMO5" s="390"/>
      <c r="DMP5" s="390"/>
      <c r="DMQ5" s="390"/>
      <c r="DMR5" s="390"/>
      <c r="DMS5" s="390"/>
      <c r="DMT5" s="390"/>
      <c r="DMU5" s="390"/>
      <c r="DMV5" s="390"/>
      <c r="DMW5" s="390"/>
      <c r="DMX5" s="390"/>
      <c r="DMY5" s="390"/>
      <c r="DMZ5" s="390"/>
      <c r="DNA5" s="390"/>
      <c r="DNB5" s="390"/>
      <c r="DNC5" s="390"/>
      <c r="DND5" s="390"/>
      <c r="DNE5" s="390"/>
      <c r="DNF5" s="390"/>
      <c r="DNG5" s="390"/>
      <c r="DNH5" s="390"/>
      <c r="DNI5" s="390"/>
      <c r="DNJ5" s="390"/>
      <c r="DNK5" s="390"/>
      <c r="DNL5" s="390"/>
      <c r="DNM5" s="390"/>
      <c r="DNN5" s="390"/>
      <c r="DNO5" s="390"/>
      <c r="DNP5" s="390"/>
      <c r="DNQ5" s="390"/>
      <c r="DNR5" s="390"/>
      <c r="DNS5" s="390"/>
      <c r="DNT5" s="390"/>
      <c r="DNU5" s="390"/>
      <c r="DNV5" s="390"/>
      <c r="DNW5" s="390"/>
      <c r="DNX5" s="390"/>
      <c r="DNY5" s="390"/>
      <c r="DNZ5" s="390"/>
      <c r="DOA5" s="390"/>
      <c r="DOB5" s="390"/>
      <c r="DOC5" s="390"/>
      <c r="DOD5" s="390"/>
      <c r="DOE5" s="390"/>
      <c r="DOF5" s="390"/>
      <c r="DOG5" s="390"/>
      <c r="DOH5" s="390"/>
      <c r="DOI5" s="390"/>
      <c r="DOJ5" s="390"/>
      <c r="DOK5" s="390"/>
      <c r="DOL5" s="390"/>
      <c r="DOM5" s="390"/>
      <c r="DON5" s="390"/>
      <c r="DOO5" s="390"/>
      <c r="DOP5" s="390"/>
      <c r="DOQ5" s="390"/>
      <c r="DOR5" s="390"/>
      <c r="DOS5" s="390"/>
      <c r="DOT5" s="390"/>
      <c r="DOU5" s="390"/>
      <c r="DOV5" s="390"/>
      <c r="DOW5" s="390"/>
      <c r="DOX5" s="390"/>
      <c r="DOY5" s="390"/>
      <c r="DOZ5" s="390"/>
      <c r="DPA5" s="390"/>
      <c r="DPB5" s="390"/>
      <c r="DPC5" s="390"/>
      <c r="DPD5" s="390"/>
      <c r="DPE5" s="390"/>
      <c r="DPF5" s="390"/>
      <c r="DPG5" s="390"/>
      <c r="DPH5" s="390"/>
      <c r="DPI5" s="390"/>
      <c r="DPJ5" s="390"/>
      <c r="DPK5" s="390"/>
      <c r="DPL5" s="390"/>
      <c r="DPM5" s="390"/>
      <c r="DPN5" s="390"/>
      <c r="DPO5" s="390"/>
      <c r="DPP5" s="390"/>
      <c r="DPQ5" s="390"/>
      <c r="DPR5" s="390"/>
      <c r="DPS5" s="390"/>
      <c r="DPT5" s="390"/>
      <c r="DPU5" s="390"/>
      <c r="DPV5" s="390"/>
      <c r="DPW5" s="390"/>
      <c r="DPX5" s="390"/>
      <c r="DPY5" s="390"/>
      <c r="DPZ5" s="390"/>
      <c r="DQA5" s="390"/>
      <c r="DQB5" s="390"/>
      <c r="DQC5" s="390"/>
      <c r="DQD5" s="390"/>
      <c r="DQE5" s="390"/>
      <c r="DQF5" s="390"/>
      <c r="DQG5" s="390"/>
      <c r="DQH5" s="390"/>
      <c r="DQI5" s="390"/>
      <c r="DQJ5" s="390"/>
      <c r="DQK5" s="390"/>
      <c r="DQL5" s="390"/>
      <c r="DQM5" s="390"/>
      <c r="DQN5" s="390"/>
      <c r="DQO5" s="390"/>
      <c r="DQP5" s="390"/>
      <c r="DQQ5" s="390"/>
      <c r="DQR5" s="390"/>
      <c r="DQS5" s="390"/>
      <c r="DQT5" s="390"/>
      <c r="DQU5" s="390"/>
      <c r="DQV5" s="390"/>
      <c r="DQW5" s="390"/>
      <c r="DQX5" s="390"/>
      <c r="DQY5" s="390"/>
      <c r="DQZ5" s="390"/>
      <c r="DRA5" s="390"/>
      <c r="DRB5" s="390"/>
      <c r="DRC5" s="390"/>
      <c r="DRD5" s="390"/>
      <c r="DRE5" s="390"/>
      <c r="DRF5" s="390"/>
      <c r="DRG5" s="390"/>
      <c r="DRH5" s="390"/>
      <c r="DRI5" s="390"/>
      <c r="DRJ5" s="390"/>
      <c r="DRK5" s="390"/>
      <c r="DRL5" s="390"/>
      <c r="DRM5" s="390"/>
      <c r="DRN5" s="390"/>
      <c r="DRO5" s="390"/>
      <c r="DRP5" s="390"/>
      <c r="DRQ5" s="390"/>
      <c r="DRR5" s="390"/>
      <c r="DRS5" s="390"/>
      <c r="DRT5" s="390"/>
      <c r="DRU5" s="390"/>
      <c r="DRV5" s="390"/>
      <c r="DRW5" s="390"/>
      <c r="DRX5" s="390"/>
      <c r="DRY5" s="390"/>
      <c r="DRZ5" s="390"/>
      <c r="DSA5" s="390"/>
      <c r="DSB5" s="390"/>
      <c r="DSC5" s="390"/>
      <c r="DSD5" s="390"/>
      <c r="DSE5" s="390"/>
      <c r="DSF5" s="390"/>
      <c r="DSG5" s="390"/>
      <c r="DSH5" s="390"/>
      <c r="DSI5" s="390"/>
      <c r="DSJ5" s="390"/>
      <c r="DSK5" s="390"/>
      <c r="DSL5" s="390"/>
      <c r="DSM5" s="390"/>
      <c r="DSN5" s="390"/>
      <c r="DSO5" s="390"/>
      <c r="DSP5" s="390"/>
      <c r="DSQ5" s="390"/>
      <c r="DSR5" s="390"/>
      <c r="DSS5" s="390"/>
      <c r="DST5" s="390"/>
      <c r="DSU5" s="390"/>
      <c r="DSV5" s="390"/>
      <c r="DSW5" s="390"/>
      <c r="DSX5" s="390"/>
      <c r="DSY5" s="390"/>
      <c r="DSZ5" s="390"/>
      <c r="DTA5" s="390"/>
      <c r="DTB5" s="390"/>
      <c r="DTC5" s="390"/>
      <c r="DTD5" s="390"/>
      <c r="DTE5" s="390"/>
      <c r="DTF5" s="390"/>
      <c r="DTG5" s="390"/>
      <c r="DTH5" s="390"/>
      <c r="DTI5" s="390"/>
      <c r="DTJ5" s="390"/>
      <c r="DTK5" s="390"/>
      <c r="DTL5" s="390"/>
      <c r="DTM5" s="390"/>
      <c r="DTN5" s="390"/>
      <c r="DTO5" s="390"/>
      <c r="DTP5" s="390"/>
      <c r="DTQ5" s="390"/>
      <c r="DTR5" s="390"/>
      <c r="DTS5" s="390"/>
      <c r="DTT5" s="390"/>
      <c r="DTU5" s="390"/>
      <c r="DTV5" s="390"/>
      <c r="DTW5" s="390"/>
      <c r="DTX5" s="390"/>
      <c r="DTY5" s="390"/>
      <c r="DTZ5" s="390"/>
      <c r="DUA5" s="390"/>
      <c r="DUB5" s="390"/>
      <c r="DUC5" s="390"/>
      <c r="DUD5" s="390"/>
      <c r="DUE5" s="390"/>
      <c r="DUF5" s="390"/>
      <c r="DUG5" s="390"/>
      <c r="DUH5" s="390"/>
      <c r="DUI5" s="390"/>
      <c r="DUJ5" s="390"/>
      <c r="DUK5" s="390"/>
      <c r="DUL5" s="390"/>
      <c r="DUM5" s="390"/>
      <c r="DUN5" s="390"/>
      <c r="DUO5" s="390"/>
      <c r="DUP5" s="390"/>
      <c r="DUQ5" s="390"/>
      <c r="DUR5" s="390"/>
      <c r="DUS5" s="390"/>
      <c r="DUT5" s="390"/>
      <c r="DUU5" s="390"/>
      <c r="DUV5" s="390"/>
      <c r="DUW5" s="390"/>
      <c r="DUX5" s="390"/>
      <c r="DUY5" s="390"/>
      <c r="DUZ5" s="390"/>
      <c r="DVA5" s="390"/>
      <c r="DVB5" s="390"/>
      <c r="DVC5" s="390"/>
      <c r="DVD5" s="390"/>
      <c r="DVE5" s="390"/>
      <c r="DVF5" s="390"/>
      <c r="DVG5" s="390"/>
      <c r="DVH5" s="390"/>
      <c r="DVI5" s="390"/>
      <c r="DVJ5" s="390"/>
      <c r="DVK5" s="390"/>
      <c r="DVL5" s="390"/>
      <c r="DVM5" s="390"/>
      <c r="DVN5" s="390"/>
      <c r="DVO5" s="390"/>
      <c r="DVP5" s="390"/>
      <c r="DVQ5" s="390"/>
      <c r="DVR5" s="390"/>
      <c r="DVS5" s="390"/>
      <c r="DVT5" s="390"/>
      <c r="DVU5" s="390"/>
      <c r="DVV5" s="390"/>
      <c r="DVW5" s="390"/>
      <c r="DVX5" s="390"/>
      <c r="DVY5" s="390"/>
      <c r="DVZ5" s="390"/>
      <c r="DWA5" s="390"/>
      <c r="DWB5" s="390"/>
      <c r="DWC5" s="390"/>
      <c r="DWD5" s="390"/>
      <c r="DWE5" s="390"/>
      <c r="DWF5" s="390"/>
      <c r="DWG5" s="390"/>
      <c r="DWH5" s="390"/>
      <c r="DWI5" s="390"/>
      <c r="DWJ5" s="390"/>
      <c r="DWK5" s="390"/>
      <c r="DWL5" s="390"/>
      <c r="DWM5" s="390"/>
      <c r="DWN5" s="390"/>
      <c r="DWO5" s="390"/>
      <c r="DWP5" s="390"/>
      <c r="DWQ5" s="390"/>
      <c r="DWR5" s="390"/>
      <c r="DWS5" s="390"/>
      <c r="DWT5" s="390"/>
      <c r="DWU5" s="390"/>
      <c r="DWV5" s="390"/>
      <c r="DWW5" s="390"/>
      <c r="DWX5" s="390"/>
      <c r="DWY5" s="390"/>
      <c r="DWZ5" s="390"/>
      <c r="DXA5" s="390"/>
      <c r="DXB5" s="390"/>
      <c r="DXC5" s="390"/>
      <c r="DXD5" s="390"/>
      <c r="DXE5" s="390"/>
      <c r="DXF5" s="390"/>
      <c r="DXG5" s="390"/>
      <c r="DXH5" s="390"/>
      <c r="DXI5" s="390"/>
      <c r="DXJ5" s="390"/>
      <c r="DXK5" s="390"/>
      <c r="DXL5" s="390"/>
      <c r="DXM5" s="390"/>
      <c r="DXN5" s="390"/>
      <c r="DXO5" s="390"/>
      <c r="DXP5" s="390"/>
      <c r="DXQ5" s="390"/>
      <c r="DXR5" s="390"/>
      <c r="DXS5" s="390"/>
      <c r="DXT5" s="390"/>
      <c r="DXU5" s="390"/>
      <c r="DXV5" s="390"/>
      <c r="DXW5" s="390"/>
      <c r="DXX5" s="390"/>
      <c r="DXY5" s="390"/>
      <c r="DXZ5" s="390"/>
      <c r="DYA5" s="390"/>
      <c r="DYB5" s="390"/>
      <c r="DYC5" s="390"/>
      <c r="DYD5" s="390"/>
      <c r="DYE5" s="390"/>
      <c r="DYF5" s="390"/>
      <c r="DYG5" s="390"/>
      <c r="DYH5" s="390"/>
      <c r="DYI5" s="390"/>
      <c r="DYJ5" s="390"/>
      <c r="DYK5" s="390"/>
      <c r="DYL5" s="390"/>
      <c r="DYM5" s="390"/>
      <c r="DYN5" s="390"/>
      <c r="DYO5" s="390"/>
      <c r="DYP5" s="390"/>
      <c r="DYQ5" s="390"/>
      <c r="DYR5" s="390"/>
      <c r="DYS5" s="390"/>
      <c r="DYT5" s="390"/>
      <c r="DYU5" s="390"/>
      <c r="DYV5" s="390"/>
      <c r="DYW5" s="390"/>
      <c r="DYX5" s="390"/>
      <c r="DYY5" s="390"/>
      <c r="DYZ5" s="390"/>
      <c r="DZA5" s="390"/>
      <c r="DZB5" s="390"/>
      <c r="DZC5" s="390"/>
      <c r="DZD5" s="390"/>
      <c r="DZE5" s="390"/>
      <c r="DZF5" s="390"/>
      <c r="DZG5" s="390"/>
      <c r="DZH5" s="390"/>
      <c r="DZI5" s="390"/>
      <c r="DZJ5" s="390"/>
      <c r="DZK5" s="390"/>
      <c r="DZL5" s="390"/>
      <c r="DZM5" s="390"/>
      <c r="DZN5" s="390"/>
      <c r="DZO5" s="390"/>
      <c r="DZP5" s="390"/>
      <c r="DZQ5" s="390"/>
      <c r="DZR5" s="390"/>
      <c r="DZS5" s="390"/>
      <c r="DZT5" s="390"/>
      <c r="DZU5" s="390"/>
      <c r="DZV5" s="390"/>
      <c r="DZW5" s="390"/>
      <c r="DZX5" s="390"/>
      <c r="DZY5" s="390"/>
      <c r="DZZ5" s="390"/>
      <c r="EAA5" s="390"/>
      <c r="EAB5" s="390"/>
      <c r="EAC5" s="390"/>
      <c r="EAD5" s="390"/>
      <c r="EAE5" s="390"/>
      <c r="EAF5" s="390"/>
      <c r="EAG5" s="390"/>
      <c r="EAH5" s="390"/>
      <c r="EAI5" s="390"/>
      <c r="EAJ5" s="390"/>
      <c r="EAK5" s="390"/>
      <c r="EAL5" s="390"/>
      <c r="EAM5" s="390"/>
      <c r="EAN5" s="390"/>
      <c r="EAO5" s="390"/>
      <c r="EAP5" s="390"/>
      <c r="EAQ5" s="390"/>
      <c r="EAR5" s="390"/>
      <c r="EAS5" s="390"/>
      <c r="EAT5" s="390"/>
      <c r="EAU5" s="390"/>
      <c r="EAV5" s="390"/>
      <c r="EAW5" s="390"/>
      <c r="EAX5" s="390"/>
      <c r="EAY5" s="390"/>
      <c r="EAZ5" s="390"/>
      <c r="EBA5" s="390"/>
      <c r="EBB5" s="390"/>
      <c r="EBC5" s="390"/>
      <c r="EBD5" s="390"/>
      <c r="EBE5" s="390"/>
      <c r="EBF5" s="390"/>
      <c r="EBG5" s="390"/>
      <c r="EBH5" s="390"/>
      <c r="EBI5" s="390"/>
      <c r="EBJ5" s="390"/>
      <c r="EBK5" s="390"/>
      <c r="EBL5" s="390"/>
      <c r="EBM5" s="390"/>
      <c r="EBN5" s="390"/>
      <c r="EBO5" s="390"/>
      <c r="EBP5" s="390"/>
      <c r="EBQ5" s="390"/>
      <c r="EBR5" s="390"/>
      <c r="EBS5" s="390"/>
      <c r="EBT5" s="390"/>
      <c r="EBU5" s="390"/>
      <c r="EBV5" s="390"/>
      <c r="EBW5" s="390"/>
      <c r="EBX5" s="390"/>
      <c r="EBY5" s="390"/>
      <c r="EBZ5" s="390"/>
      <c r="ECA5" s="390"/>
      <c r="ECB5" s="390"/>
      <c r="ECC5" s="390"/>
      <c r="ECD5" s="390"/>
      <c r="ECE5" s="390"/>
      <c r="ECF5" s="390"/>
      <c r="ECG5" s="390"/>
      <c r="ECH5" s="390"/>
      <c r="ECI5" s="390"/>
      <c r="ECJ5" s="390"/>
      <c r="ECK5" s="390"/>
      <c r="ECL5" s="390"/>
      <c r="ECM5" s="390"/>
      <c r="ECN5" s="390"/>
      <c r="ECO5" s="390"/>
      <c r="ECP5" s="390"/>
      <c r="ECQ5" s="390"/>
      <c r="ECR5" s="390"/>
      <c r="ECS5" s="390"/>
      <c r="ECT5" s="390"/>
      <c r="ECU5" s="390"/>
      <c r="ECV5" s="390"/>
      <c r="ECW5" s="390"/>
      <c r="ECX5" s="390"/>
      <c r="ECY5" s="390"/>
      <c r="ECZ5" s="390"/>
      <c r="EDA5" s="390"/>
      <c r="EDB5" s="390"/>
      <c r="EDC5" s="390"/>
      <c r="EDD5" s="390"/>
      <c r="EDE5" s="390"/>
      <c r="EDF5" s="390"/>
      <c r="EDG5" s="390"/>
      <c r="EDH5" s="390"/>
      <c r="EDI5" s="390"/>
      <c r="EDJ5" s="390"/>
      <c r="EDK5" s="390"/>
      <c r="EDL5" s="390"/>
      <c r="EDM5" s="390"/>
      <c r="EDN5" s="390"/>
      <c r="EDO5" s="390"/>
      <c r="EDP5" s="390"/>
      <c r="EDQ5" s="390"/>
      <c r="EDR5" s="390"/>
      <c r="EDS5" s="390"/>
      <c r="EDT5" s="390"/>
      <c r="EDU5" s="390"/>
      <c r="EDV5" s="390"/>
      <c r="EDW5" s="390"/>
      <c r="EDX5" s="390"/>
      <c r="EDY5" s="390"/>
      <c r="EDZ5" s="390"/>
      <c r="EEA5" s="390"/>
      <c r="EEB5" s="390"/>
      <c r="EEC5" s="390"/>
      <c r="EED5" s="390"/>
      <c r="EEE5" s="390"/>
      <c r="EEF5" s="390"/>
      <c r="EEG5" s="390"/>
      <c r="EEH5" s="390"/>
      <c r="EEI5" s="390"/>
      <c r="EEJ5" s="390"/>
      <c r="EEK5" s="390"/>
      <c r="EEL5" s="390"/>
      <c r="EEM5" s="390"/>
      <c r="EEN5" s="390"/>
      <c r="EEO5" s="390"/>
      <c r="EEP5" s="390"/>
      <c r="EEQ5" s="390"/>
      <c r="EER5" s="390"/>
      <c r="EES5" s="390"/>
      <c r="EET5" s="390"/>
      <c r="EEU5" s="390"/>
      <c r="EEV5" s="390"/>
      <c r="EEW5" s="390"/>
      <c r="EEX5" s="390"/>
      <c r="EEY5" s="390"/>
      <c r="EEZ5" s="390"/>
      <c r="EFA5" s="390"/>
      <c r="EFB5" s="390"/>
      <c r="EFC5" s="390"/>
      <c r="EFD5" s="390"/>
      <c r="EFE5" s="390"/>
      <c r="EFF5" s="390"/>
      <c r="EFG5" s="390"/>
      <c r="EFH5" s="390"/>
      <c r="EFI5" s="390"/>
      <c r="EFJ5" s="390"/>
      <c r="EFK5" s="390"/>
      <c r="EFL5" s="390"/>
      <c r="EFM5" s="390"/>
      <c r="EFN5" s="390"/>
      <c r="EFO5" s="390"/>
      <c r="EFP5" s="390"/>
      <c r="EFQ5" s="390"/>
      <c r="EFR5" s="390"/>
      <c r="EFS5" s="390"/>
      <c r="EFT5" s="390"/>
      <c r="EFU5" s="390"/>
      <c r="EFV5" s="390"/>
      <c r="EFW5" s="390"/>
      <c r="EFX5" s="390"/>
      <c r="EFY5" s="390"/>
      <c r="EFZ5" s="390"/>
      <c r="EGA5" s="390"/>
      <c r="EGB5" s="390"/>
      <c r="EGC5" s="390"/>
      <c r="EGD5" s="390"/>
      <c r="EGE5" s="390"/>
      <c r="EGF5" s="390"/>
      <c r="EGG5" s="390"/>
      <c r="EGH5" s="390"/>
      <c r="EGI5" s="390"/>
      <c r="EGJ5" s="390"/>
      <c r="EGK5" s="390"/>
      <c r="EGL5" s="390"/>
      <c r="EGM5" s="390"/>
      <c r="EGN5" s="390"/>
      <c r="EGO5" s="390"/>
      <c r="EGP5" s="390"/>
      <c r="EGQ5" s="390"/>
      <c r="EGR5" s="390"/>
      <c r="EGS5" s="390"/>
      <c r="EGT5" s="390"/>
      <c r="EGU5" s="390"/>
      <c r="EGV5" s="390"/>
      <c r="EGW5" s="390"/>
      <c r="EGX5" s="390"/>
      <c r="EGY5" s="390"/>
      <c r="EGZ5" s="390"/>
      <c r="EHA5" s="390"/>
      <c r="EHB5" s="390"/>
      <c r="EHC5" s="390"/>
      <c r="EHD5" s="390"/>
      <c r="EHE5" s="390"/>
      <c r="EHF5" s="390"/>
      <c r="EHG5" s="390"/>
      <c r="EHH5" s="390"/>
      <c r="EHI5" s="390"/>
      <c r="EHJ5" s="390"/>
      <c r="EHK5" s="390"/>
      <c r="EHL5" s="390"/>
      <c r="EHM5" s="390"/>
      <c r="EHN5" s="390"/>
      <c r="EHO5" s="390"/>
      <c r="EHP5" s="390"/>
      <c r="EHQ5" s="390"/>
      <c r="EHR5" s="390"/>
      <c r="EHS5" s="390"/>
      <c r="EHT5" s="390"/>
      <c r="EHU5" s="390"/>
      <c r="EHV5" s="390"/>
      <c r="EHW5" s="390"/>
      <c r="EHX5" s="390"/>
      <c r="EHY5" s="390"/>
      <c r="EHZ5" s="390"/>
      <c r="EIA5" s="390"/>
      <c r="EIB5" s="390"/>
      <c r="EIC5" s="390"/>
      <c r="EID5" s="390"/>
      <c r="EIE5" s="390"/>
      <c r="EIF5" s="390"/>
      <c r="EIG5" s="390"/>
      <c r="EIH5" s="390"/>
      <c r="EII5" s="390"/>
      <c r="EIJ5" s="390"/>
      <c r="EIK5" s="390"/>
      <c r="EIL5" s="390"/>
      <c r="EIM5" s="390"/>
      <c r="EIN5" s="390"/>
      <c r="EIO5" s="390"/>
      <c r="EIP5" s="390"/>
      <c r="EIQ5" s="390"/>
      <c r="EIR5" s="390"/>
      <c r="EIS5" s="390"/>
      <c r="EIT5" s="390"/>
      <c r="EIU5" s="390"/>
      <c r="EIV5" s="390"/>
      <c r="EIW5" s="390"/>
      <c r="EIX5" s="390"/>
      <c r="EIY5" s="390"/>
      <c r="EIZ5" s="390"/>
      <c r="EJA5" s="390"/>
      <c r="EJB5" s="390"/>
      <c r="EJC5" s="390"/>
      <c r="EJD5" s="390"/>
      <c r="EJE5" s="390"/>
      <c r="EJF5" s="390"/>
      <c r="EJG5" s="390"/>
      <c r="EJH5" s="390"/>
      <c r="EJI5" s="390"/>
      <c r="EJJ5" s="390"/>
      <c r="EJK5" s="390"/>
      <c r="EJL5" s="390"/>
      <c r="EJM5" s="390"/>
      <c r="EJN5" s="390"/>
      <c r="EJO5" s="390"/>
      <c r="EJP5" s="390"/>
      <c r="EJQ5" s="390"/>
      <c r="EJR5" s="390"/>
      <c r="EJS5" s="390"/>
      <c r="EJT5" s="390"/>
      <c r="EJU5" s="390"/>
      <c r="EJV5" s="390"/>
      <c r="EJW5" s="390"/>
      <c r="EJX5" s="390"/>
      <c r="EJY5" s="390"/>
      <c r="EJZ5" s="390"/>
      <c r="EKA5" s="390"/>
      <c r="EKB5" s="390"/>
      <c r="EKC5" s="390"/>
      <c r="EKD5" s="390"/>
      <c r="EKE5" s="390"/>
      <c r="EKF5" s="390"/>
      <c r="EKG5" s="390"/>
      <c r="EKH5" s="390"/>
      <c r="EKI5" s="390"/>
      <c r="EKJ5" s="390"/>
      <c r="EKK5" s="390"/>
      <c r="EKL5" s="390"/>
      <c r="EKM5" s="390"/>
      <c r="EKN5" s="390"/>
      <c r="EKO5" s="390"/>
      <c r="EKP5" s="390"/>
      <c r="EKQ5" s="390"/>
      <c r="EKR5" s="390"/>
      <c r="EKS5" s="390"/>
      <c r="EKT5" s="390"/>
      <c r="EKU5" s="390"/>
      <c r="EKV5" s="390"/>
      <c r="EKW5" s="390"/>
      <c r="EKX5" s="390"/>
      <c r="EKY5" s="390"/>
      <c r="EKZ5" s="390"/>
      <c r="ELA5" s="390"/>
      <c r="ELB5" s="390"/>
      <c r="ELC5" s="390"/>
      <c r="ELD5" s="390"/>
      <c r="ELE5" s="390"/>
      <c r="ELF5" s="390"/>
      <c r="ELG5" s="390"/>
      <c r="ELH5" s="390"/>
      <c r="ELI5" s="390"/>
      <c r="ELJ5" s="390"/>
      <c r="ELK5" s="390"/>
      <c r="ELL5" s="390"/>
      <c r="ELM5" s="390"/>
      <c r="ELN5" s="390"/>
      <c r="ELO5" s="390"/>
      <c r="ELP5" s="390"/>
      <c r="ELQ5" s="390"/>
      <c r="ELR5" s="390"/>
      <c r="ELS5" s="390"/>
      <c r="ELT5" s="390"/>
      <c r="ELU5" s="390"/>
      <c r="ELV5" s="390"/>
      <c r="ELW5" s="390"/>
      <c r="ELX5" s="390"/>
      <c r="ELY5" s="390"/>
      <c r="ELZ5" s="390"/>
      <c r="EMA5" s="390"/>
      <c r="EMB5" s="390"/>
      <c r="EMC5" s="390"/>
      <c r="EMD5" s="390"/>
      <c r="EME5" s="390"/>
      <c r="EMF5" s="390"/>
      <c r="EMG5" s="390"/>
      <c r="EMH5" s="390"/>
      <c r="EMI5" s="390"/>
      <c r="EMJ5" s="390"/>
      <c r="EMK5" s="390"/>
      <c r="EML5" s="390"/>
      <c r="EMM5" s="390"/>
      <c r="EMN5" s="390"/>
      <c r="EMO5" s="390"/>
      <c r="EMP5" s="390"/>
      <c r="EMQ5" s="390"/>
      <c r="EMR5" s="390"/>
      <c r="EMS5" s="390"/>
      <c r="EMT5" s="390"/>
      <c r="EMU5" s="390"/>
      <c r="EMV5" s="390"/>
      <c r="EMW5" s="390"/>
      <c r="EMX5" s="390"/>
      <c r="EMY5" s="390"/>
      <c r="EMZ5" s="390"/>
      <c r="ENA5" s="390"/>
      <c r="ENB5" s="390"/>
      <c r="ENC5" s="390"/>
      <c r="END5" s="390"/>
      <c r="ENE5" s="390"/>
      <c r="ENF5" s="390"/>
      <c r="ENG5" s="390"/>
      <c r="ENH5" s="390"/>
      <c r="ENI5" s="390"/>
      <c r="ENJ5" s="390"/>
      <c r="ENK5" s="390"/>
      <c r="ENL5" s="390"/>
      <c r="ENM5" s="390"/>
      <c r="ENN5" s="390"/>
      <c r="ENO5" s="390"/>
      <c r="ENP5" s="390"/>
      <c r="ENQ5" s="390"/>
      <c r="ENR5" s="390"/>
      <c r="ENS5" s="390"/>
      <c r="ENT5" s="390"/>
      <c r="ENU5" s="390"/>
      <c r="ENV5" s="390"/>
      <c r="ENW5" s="390"/>
      <c r="ENX5" s="390"/>
      <c r="ENY5" s="390"/>
      <c r="ENZ5" s="390"/>
      <c r="EOA5" s="390"/>
      <c r="EOB5" s="390"/>
      <c r="EOC5" s="390"/>
      <c r="EOD5" s="390"/>
      <c r="EOE5" s="390"/>
      <c r="EOF5" s="390"/>
      <c r="EOG5" s="390"/>
      <c r="EOH5" s="390"/>
      <c r="EOI5" s="390"/>
      <c r="EOJ5" s="390"/>
      <c r="EOK5" s="390"/>
      <c r="EOL5" s="390"/>
      <c r="EOM5" s="390"/>
      <c r="EON5" s="390"/>
      <c r="EOO5" s="390"/>
      <c r="EOP5" s="390"/>
      <c r="EOQ5" s="390"/>
      <c r="EOR5" s="390"/>
      <c r="EOS5" s="390"/>
      <c r="EOT5" s="390"/>
      <c r="EOU5" s="390"/>
      <c r="EOV5" s="390"/>
      <c r="EOW5" s="390"/>
      <c r="EOX5" s="390"/>
      <c r="EOY5" s="390"/>
      <c r="EOZ5" s="390"/>
      <c r="EPA5" s="390"/>
      <c r="EPB5" s="390"/>
      <c r="EPC5" s="390"/>
      <c r="EPD5" s="390"/>
      <c r="EPE5" s="390"/>
      <c r="EPF5" s="390"/>
      <c r="EPG5" s="390"/>
      <c r="EPH5" s="390"/>
      <c r="EPI5" s="390"/>
      <c r="EPJ5" s="390"/>
      <c r="EPK5" s="390"/>
      <c r="EPL5" s="390"/>
      <c r="EPM5" s="390"/>
      <c r="EPN5" s="390"/>
      <c r="EPO5" s="390"/>
      <c r="EPP5" s="390"/>
      <c r="EPQ5" s="390"/>
      <c r="EPR5" s="390"/>
      <c r="EPS5" s="390"/>
      <c r="EPT5" s="390"/>
      <c r="EPU5" s="390"/>
      <c r="EPV5" s="390"/>
      <c r="EPW5" s="390"/>
      <c r="EPX5" s="390"/>
      <c r="EPY5" s="390"/>
      <c r="EPZ5" s="390"/>
      <c r="EQA5" s="390"/>
      <c r="EQB5" s="390"/>
      <c r="EQC5" s="390"/>
      <c r="EQD5" s="390"/>
      <c r="EQE5" s="390"/>
      <c r="EQF5" s="390"/>
      <c r="EQG5" s="390"/>
      <c r="EQH5" s="390"/>
      <c r="EQI5" s="390"/>
      <c r="EQJ5" s="390"/>
      <c r="EQK5" s="390"/>
      <c r="EQL5" s="390"/>
      <c r="EQM5" s="390"/>
      <c r="EQN5" s="390"/>
      <c r="EQO5" s="390"/>
      <c r="EQP5" s="390"/>
      <c r="EQQ5" s="390"/>
      <c r="EQR5" s="390"/>
      <c r="EQS5" s="390"/>
      <c r="EQT5" s="390"/>
      <c r="EQU5" s="390"/>
      <c r="EQV5" s="390"/>
      <c r="EQW5" s="390"/>
      <c r="EQX5" s="390"/>
      <c r="EQY5" s="390"/>
      <c r="EQZ5" s="390"/>
      <c r="ERA5" s="390"/>
      <c r="ERB5" s="390"/>
      <c r="ERC5" s="390"/>
      <c r="ERD5" s="390"/>
      <c r="ERE5" s="390"/>
      <c r="ERF5" s="390"/>
      <c r="ERG5" s="390"/>
      <c r="ERH5" s="390"/>
      <c r="ERI5" s="390"/>
      <c r="ERJ5" s="390"/>
      <c r="ERK5" s="390"/>
      <c r="ERL5" s="390"/>
      <c r="ERM5" s="390"/>
      <c r="ERN5" s="390"/>
      <c r="ERO5" s="390"/>
      <c r="ERP5" s="390"/>
      <c r="ERQ5" s="390"/>
      <c r="ERR5" s="390"/>
      <c r="ERS5" s="390"/>
      <c r="ERT5" s="390"/>
      <c r="ERU5" s="390"/>
      <c r="ERV5" s="390"/>
      <c r="ERW5" s="390"/>
      <c r="ERX5" s="390"/>
      <c r="ERY5" s="390"/>
      <c r="ERZ5" s="390"/>
      <c r="ESA5" s="390"/>
      <c r="ESB5" s="390"/>
      <c r="ESC5" s="390"/>
      <c r="ESD5" s="390"/>
      <c r="ESE5" s="390"/>
      <c r="ESF5" s="390"/>
      <c r="ESG5" s="390"/>
      <c r="ESH5" s="390"/>
      <c r="ESI5" s="390"/>
      <c r="ESJ5" s="390"/>
      <c r="ESK5" s="390"/>
      <c r="ESL5" s="390"/>
      <c r="ESM5" s="390"/>
      <c r="ESN5" s="390"/>
      <c r="ESO5" s="390"/>
      <c r="ESP5" s="390"/>
      <c r="ESQ5" s="390"/>
      <c r="ESR5" s="390"/>
      <c r="ESS5" s="390"/>
      <c r="EST5" s="390"/>
      <c r="ESU5" s="390"/>
      <c r="ESV5" s="390"/>
      <c r="ESW5" s="390"/>
      <c r="ESX5" s="390"/>
      <c r="ESY5" s="390"/>
      <c r="ESZ5" s="390"/>
      <c r="ETA5" s="390"/>
      <c r="ETB5" s="390"/>
      <c r="ETC5" s="390"/>
      <c r="ETD5" s="390"/>
      <c r="ETE5" s="390"/>
      <c r="ETF5" s="390"/>
      <c r="ETG5" s="390"/>
      <c r="ETH5" s="390"/>
      <c r="ETI5" s="390"/>
      <c r="ETJ5" s="390"/>
      <c r="ETK5" s="390"/>
      <c r="ETL5" s="390"/>
      <c r="ETM5" s="390"/>
      <c r="ETN5" s="390"/>
      <c r="ETO5" s="390"/>
      <c r="ETP5" s="390"/>
      <c r="ETQ5" s="390"/>
      <c r="ETR5" s="390"/>
      <c r="ETS5" s="390"/>
      <c r="ETT5" s="390"/>
      <c r="ETU5" s="390"/>
      <c r="ETV5" s="390"/>
      <c r="ETW5" s="390"/>
      <c r="ETX5" s="390"/>
      <c r="ETY5" s="390"/>
      <c r="ETZ5" s="390"/>
      <c r="EUA5" s="390"/>
      <c r="EUB5" s="390"/>
      <c r="EUC5" s="390"/>
      <c r="EUD5" s="390"/>
      <c r="EUE5" s="390"/>
      <c r="EUF5" s="390"/>
      <c r="EUG5" s="390"/>
      <c r="EUH5" s="390"/>
      <c r="EUI5" s="390"/>
      <c r="EUJ5" s="390"/>
      <c r="EUK5" s="390"/>
      <c r="EUL5" s="390"/>
      <c r="EUM5" s="390"/>
      <c r="EUN5" s="390"/>
      <c r="EUO5" s="390"/>
      <c r="EUP5" s="390"/>
      <c r="EUQ5" s="390"/>
      <c r="EUR5" s="390"/>
      <c r="EUS5" s="390"/>
      <c r="EUT5" s="390"/>
      <c r="EUU5" s="390"/>
      <c r="EUV5" s="390"/>
      <c r="EUW5" s="390"/>
      <c r="EUX5" s="390"/>
      <c r="EUY5" s="390"/>
      <c r="EUZ5" s="390"/>
      <c r="EVA5" s="390"/>
      <c r="EVB5" s="390"/>
      <c r="EVC5" s="390"/>
      <c r="EVD5" s="390"/>
      <c r="EVE5" s="390"/>
      <c r="EVF5" s="390"/>
      <c r="EVG5" s="390"/>
      <c r="EVH5" s="390"/>
      <c r="EVI5" s="390"/>
      <c r="EVJ5" s="390"/>
      <c r="EVK5" s="390"/>
      <c r="EVL5" s="390"/>
      <c r="EVM5" s="390"/>
      <c r="EVN5" s="390"/>
      <c r="EVO5" s="390"/>
      <c r="EVP5" s="390"/>
      <c r="EVQ5" s="390"/>
      <c r="EVR5" s="390"/>
      <c r="EVS5" s="390"/>
      <c r="EVT5" s="390"/>
      <c r="EVU5" s="390"/>
      <c r="EVV5" s="390"/>
      <c r="EVW5" s="390"/>
      <c r="EVX5" s="390"/>
      <c r="EVY5" s="390"/>
      <c r="EVZ5" s="390"/>
      <c r="EWA5" s="390"/>
      <c r="EWB5" s="390"/>
      <c r="EWC5" s="390"/>
      <c r="EWD5" s="390"/>
      <c r="EWE5" s="390"/>
      <c r="EWF5" s="390"/>
      <c r="EWG5" s="390"/>
      <c r="EWH5" s="390"/>
      <c r="EWI5" s="390"/>
      <c r="EWJ5" s="390"/>
      <c r="EWK5" s="390"/>
      <c r="EWL5" s="390"/>
      <c r="EWM5" s="390"/>
      <c r="EWN5" s="390"/>
      <c r="EWO5" s="390"/>
      <c r="EWP5" s="390"/>
      <c r="EWQ5" s="390"/>
      <c r="EWR5" s="390"/>
      <c r="EWS5" s="390"/>
      <c r="EWT5" s="390"/>
      <c r="EWU5" s="390"/>
      <c r="EWV5" s="390"/>
      <c r="EWW5" s="390"/>
      <c r="EWX5" s="390"/>
      <c r="EWY5" s="390"/>
      <c r="EWZ5" s="390"/>
      <c r="EXA5" s="390"/>
      <c r="EXB5" s="390"/>
      <c r="EXC5" s="390"/>
      <c r="EXD5" s="390"/>
      <c r="EXE5" s="390"/>
      <c r="EXF5" s="390"/>
      <c r="EXG5" s="390"/>
      <c r="EXH5" s="390"/>
      <c r="EXI5" s="390"/>
      <c r="EXJ5" s="390"/>
      <c r="EXK5" s="390"/>
      <c r="EXL5" s="390"/>
      <c r="EXM5" s="390"/>
      <c r="EXN5" s="390"/>
      <c r="EXO5" s="390"/>
      <c r="EXP5" s="390"/>
      <c r="EXQ5" s="390"/>
      <c r="EXR5" s="390"/>
      <c r="EXS5" s="390"/>
      <c r="EXT5" s="390"/>
      <c r="EXU5" s="390"/>
      <c r="EXV5" s="390"/>
      <c r="EXW5" s="390"/>
      <c r="EXX5" s="390"/>
      <c r="EXY5" s="390"/>
      <c r="EXZ5" s="390"/>
      <c r="EYA5" s="390"/>
      <c r="EYB5" s="390"/>
      <c r="EYC5" s="390"/>
      <c r="EYD5" s="390"/>
      <c r="EYE5" s="390"/>
      <c r="EYF5" s="390"/>
      <c r="EYG5" s="390"/>
      <c r="EYH5" s="390"/>
      <c r="EYI5" s="390"/>
      <c r="EYJ5" s="390"/>
      <c r="EYK5" s="390"/>
      <c r="EYL5" s="390"/>
      <c r="EYM5" s="390"/>
      <c r="EYN5" s="390"/>
      <c r="EYO5" s="390"/>
      <c r="EYP5" s="390"/>
      <c r="EYQ5" s="390"/>
      <c r="EYR5" s="390"/>
      <c r="EYS5" s="390"/>
      <c r="EYT5" s="390"/>
      <c r="EYU5" s="390"/>
      <c r="EYV5" s="390"/>
      <c r="EYW5" s="390"/>
      <c r="EYX5" s="390"/>
      <c r="EYY5" s="390"/>
      <c r="EYZ5" s="390"/>
      <c r="EZA5" s="390"/>
      <c r="EZB5" s="390"/>
      <c r="EZC5" s="390"/>
      <c r="EZD5" s="390"/>
      <c r="EZE5" s="390"/>
      <c r="EZF5" s="390"/>
      <c r="EZG5" s="390"/>
      <c r="EZH5" s="390"/>
      <c r="EZI5" s="390"/>
      <c r="EZJ5" s="390"/>
      <c r="EZK5" s="390"/>
      <c r="EZL5" s="390"/>
      <c r="EZM5" s="390"/>
      <c r="EZN5" s="390"/>
      <c r="EZO5" s="390"/>
      <c r="EZP5" s="390"/>
      <c r="EZQ5" s="390"/>
      <c r="EZR5" s="390"/>
      <c r="EZS5" s="390"/>
      <c r="EZT5" s="390"/>
      <c r="EZU5" s="390"/>
      <c r="EZV5" s="390"/>
      <c r="EZW5" s="390"/>
      <c r="EZX5" s="390"/>
      <c r="EZY5" s="390"/>
      <c r="EZZ5" s="390"/>
      <c r="FAA5" s="390"/>
      <c r="FAB5" s="390"/>
      <c r="FAC5" s="390"/>
      <c r="FAD5" s="390"/>
      <c r="FAE5" s="390"/>
      <c r="FAF5" s="390"/>
      <c r="FAG5" s="390"/>
      <c r="FAH5" s="390"/>
      <c r="FAI5" s="390"/>
      <c r="FAJ5" s="390"/>
      <c r="FAK5" s="390"/>
      <c r="FAL5" s="390"/>
      <c r="FAM5" s="390"/>
      <c r="FAN5" s="390"/>
      <c r="FAO5" s="390"/>
      <c r="FAP5" s="390"/>
      <c r="FAQ5" s="390"/>
      <c r="FAR5" s="390"/>
      <c r="FAS5" s="390"/>
      <c r="FAT5" s="390"/>
      <c r="FAU5" s="390"/>
      <c r="FAV5" s="390"/>
      <c r="FAW5" s="390"/>
      <c r="FAX5" s="390"/>
      <c r="FAY5" s="390"/>
      <c r="FAZ5" s="390"/>
      <c r="FBA5" s="390"/>
      <c r="FBB5" s="390"/>
      <c r="FBC5" s="390"/>
      <c r="FBD5" s="390"/>
      <c r="FBE5" s="390"/>
      <c r="FBF5" s="390"/>
      <c r="FBG5" s="390"/>
      <c r="FBH5" s="390"/>
      <c r="FBI5" s="390"/>
      <c r="FBJ5" s="390"/>
      <c r="FBK5" s="390"/>
      <c r="FBL5" s="390"/>
      <c r="FBM5" s="390"/>
      <c r="FBN5" s="390"/>
      <c r="FBO5" s="390"/>
      <c r="FBP5" s="390"/>
      <c r="FBQ5" s="390"/>
      <c r="FBR5" s="390"/>
      <c r="FBS5" s="390"/>
      <c r="FBT5" s="390"/>
      <c r="FBU5" s="390"/>
      <c r="FBV5" s="390"/>
      <c r="FBW5" s="390"/>
      <c r="FBX5" s="390"/>
      <c r="FBY5" s="390"/>
      <c r="FBZ5" s="390"/>
      <c r="FCA5" s="390"/>
      <c r="FCB5" s="390"/>
      <c r="FCC5" s="390"/>
      <c r="FCD5" s="390"/>
      <c r="FCE5" s="390"/>
      <c r="FCF5" s="390"/>
      <c r="FCG5" s="390"/>
      <c r="FCH5" s="390"/>
      <c r="FCI5" s="390"/>
      <c r="FCJ5" s="390"/>
      <c r="FCK5" s="390"/>
      <c r="FCL5" s="390"/>
      <c r="FCM5" s="390"/>
      <c r="FCN5" s="390"/>
      <c r="FCO5" s="390"/>
      <c r="FCP5" s="390"/>
      <c r="FCQ5" s="390"/>
      <c r="FCR5" s="390"/>
      <c r="FCS5" s="390"/>
      <c r="FCT5" s="390"/>
      <c r="FCU5" s="390"/>
      <c r="FCV5" s="390"/>
      <c r="FCW5" s="390"/>
      <c r="FCX5" s="390"/>
      <c r="FCY5" s="390"/>
      <c r="FCZ5" s="390"/>
      <c r="FDA5" s="390"/>
      <c r="FDB5" s="390"/>
      <c r="FDC5" s="390"/>
      <c r="FDD5" s="390"/>
      <c r="FDE5" s="390"/>
      <c r="FDF5" s="390"/>
      <c r="FDG5" s="390"/>
      <c r="FDH5" s="390"/>
      <c r="FDI5" s="390"/>
      <c r="FDJ5" s="390"/>
      <c r="FDK5" s="390"/>
      <c r="FDL5" s="390"/>
      <c r="FDM5" s="390"/>
      <c r="FDN5" s="390"/>
      <c r="FDO5" s="390"/>
      <c r="FDP5" s="390"/>
      <c r="FDQ5" s="390"/>
      <c r="FDR5" s="390"/>
      <c r="FDS5" s="390"/>
      <c r="FDT5" s="390"/>
      <c r="FDU5" s="390"/>
      <c r="FDV5" s="390"/>
      <c r="FDW5" s="390"/>
      <c r="FDX5" s="390"/>
      <c r="FDY5" s="390"/>
      <c r="FDZ5" s="390"/>
      <c r="FEA5" s="390"/>
      <c r="FEB5" s="390"/>
      <c r="FEC5" s="390"/>
      <c r="FED5" s="390"/>
      <c r="FEE5" s="390"/>
      <c r="FEF5" s="390"/>
      <c r="FEG5" s="390"/>
      <c r="FEH5" s="390"/>
      <c r="FEI5" s="390"/>
      <c r="FEJ5" s="390"/>
      <c r="FEK5" s="390"/>
      <c r="FEL5" s="390"/>
      <c r="FEM5" s="390"/>
      <c r="FEN5" s="390"/>
      <c r="FEO5" s="390"/>
      <c r="FEP5" s="390"/>
      <c r="FEQ5" s="390"/>
      <c r="FER5" s="390"/>
      <c r="FES5" s="390"/>
      <c r="FET5" s="390"/>
      <c r="FEU5" s="390"/>
      <c r="FEV5" s="390"/>
      <c r="FEW5" s="390"/>
      <c r="FEX5" s="390"/>
      <c r="FEY5" s="390"/>
      <c r="FEZ5" s="390"/>
      <c r="FFA5" s="390"/>
      <c r="FFB5" s="390"/>
      <c r="FFC5" s="390"/>
      <c r="FFD5" s="390"/>
      <c r="FFE5" s="390"/>
      <c r="FFF5" s="390"/>
      <c r="FFG5" s="390"/>
      <c r="FFH5" s="390"/>
      <c r="FFI5" s="390"/>
      <c r="FFJ5" s="390"/>
      <c r="FFK5" s="390"/>
      <c r="FFL5" s="390"/>
      <c r="FFM5" s="390"/>
      <c r="FFN5" s="390"/>
      <c r="FFO5" s="390"/>
      <c r="FFP5" s="390"/>
      <c r="FFQ5" s="390"/>
      <c r="FFR5" s="390"/>
      <c r="FFS5" s="390"/>
      <c r="FFT5" s="390"/>
      <c r="FFU5" s="390"/>
      <c r="FFV5" s="390"/>
      <c r="FFW5" s="390"/>
      <c r="FFX5" s="390"/>
      <c r="FFY5" s="390"/>
      <c r="FFZ5" s="390"/>
      <c r="FGA5" s="390"/>
      <c r="FGB5" s="390"/>
      <c r="FGC5" s="390"/>
      <c r="FGD5" s="390"/>
      <c r="FGE5" s="390"/>
      <c r="FGF5" s="390"/>
      <c r="FGG5" s="390"/>
      <c r="FGH5" s="390"/>
      <c r="FGI5" s="390"/>
      <c r="FGJ5" s="390"/>
      <c r="FGK5" s="390"/>
      <c r="FGL5" s="390"/>
      <c r="FGM5" s="390"/>
      <c r="FGN5" s="390"/>
      <c r="FGO5" s="390"/>
      <c r="FGP5" s="390"/>
      <c r="FGQ5" s="390"/>
      <c r="FGR5" s="390"/>
      <c r="FGS5" s="390"/>
      <c r="FGT5" s="390"/>
      <c r="FGU5" s="390"/>
      <c r="FGV5" s="390"/>
      <c r="FGW5" s="390"/>
      <c r="FGX5" s="390"/>
      <c r="FGY5" s="390"/>
      <c r="FGZ5" s="390"/>
      <c r="FHA5" s="390"/>
      <c r="FHB5" s="390"/>
      <c r="FHC5" s="390"/>
      <c r="FHD5" s="390"/>
      <c r="FHE5" s="390"/>
      <c r="FHF5" s="390"/>
      <c r="FHG5" s="390"/>
      <c r="FHH5" s="390"/>
      <c r="FHI5" s="390"/>
      <c r="FHJ5" s="390"/>
      <c r="FHK5" s="390"/>
      <c r="FHL5" s="390"/>
      <c r="FHM5" s="390"/>
      <c r="FHN5" s="390"/>
      <c r="FHO5" s="390"/>
      <c r="FHP5" s="390"/>
      <c r="FHQ5" s="390"/>
      <c r="FHR5" s="390"/>
      <c r="FHS5" s="390"/>
      <c r="FHT5" s="390"/>
      <c r="FHU5" s="390"/>
      <c r="FHV5" s="390"/>
      <c r="FHW5" s="390"/>
      <c r="FHX5" s="390"/>
      <c r="FHY5" s="390"/>
      <c r="FHZ5" s="390"/>
      <c r="FIA5" s="390"/>
      <c r="FIB5" s="390"/>
      <c r="FIC5" s="390"/>
      <c r="FID5" s="390"/>
      <c r="FIE5" s="390"/>
      <c r="FIF5" s="390"/>
      <c r="FIG5" s="390"/>
      <c r="FIH5" s="390"/>
      <c r="FII5" s="390"/>
      <c r="FIJ5" s="390"/>
      <c r="FIK5" s="390"/>
      <c r="FIL5" s="390"/>
      <c r="FIM5" s="390"/>
      <c r="FIN5" s="390"/>
      <c r="FIO5" s="390"/>
      <c r="FIP5" s="390"/>
      <c r="FIQ5" s="390"/>
      <c r="FIR5" s="390"/>
      <c r="FIS5" s="390"/>
      <c r="FIT5" s="390"/>
      <c r="FIU5" s="390"/>
      <c r="FIV5" s="390"/>
      <c r="FIW5" s="390"/>
      <c r="FIX5" s="390"/>
      <c r="FIY5" s="390"/>
      <c r="FIZ5" s="390"/>
      <c r="FJA5" s="390"/>
      <c r="FJB5" s="390"/>
      <c r="FJC5" s="390"/>
      <c r="FJD5" s="390"/>
      <c r="FJE5" s="390"/>
      <c r="FJF5" s="390"/>
      <c r="FJG5" s="390"/>
      <c r="FJH5" s="390"/>
      <c r="FJI5" s="390"/>
      <c r="FJJ5" s="390"/>
      <c r="FJK5" s="390"/>
      <c r="FJL5" s="390"/>
      <c r="FJM5" s="390"/>
      <c r="FJN5" s="390"/>
      <c r="FJO5" s="390"/>
      <c r="FJP5" s="390"/>
      <c r="FJQ5" s="390"/>
      <c r="FJR5" s="390"/>
      <c r="FJS5" s="390"/>
      <c r="FJT5" s="390"/>
      <c r="FJU5" s="390"/>
      <c r="FJV5" s="390"/>
      <c r="FJW5" s="390"/>
      <c r="FJX5" s="390"/>
      <c r="FJY5" s="390"/>
      <c r="FJZ5" s="390"/>
      <c r="FKA5" s="390"/>
      <c r="FKB5" s="390"/>
      <c r="FKC5" s="390"/>
      <c r="FKD5" s="390"/>
      <c r="FKE5" s="390"/>
      <c r="FKF5" s="390"/>
      <c r="FKG5" s="390"/>
      <c r="FKH5" s="390"/>
      <c r="FKI5" s="390"/>
      <c r="FKJ5" s="390"/>
      <c r="FKK5" s="390"/>
      <c r="FKL5" s="390"/>
      <c r="FKM5" s="390"/>
      <c r="FKN5" s="390"/>
      <c r="FKO5" s="390"/>
      <c r="FKP5" s="390"/>
      <c r="FKQ5" s="390"/>
      <c r="FKR5" s="390"/>
      <c r="FKS5" s="390"/>
      <c r="FKT5" s="390"/>
      <c r="FKU5" s="390"/>
      <c r="FKV5" s="390"/>
      <c r="FKW5" s="390"/>
      <c r="FKX5" s="390"/>
      <c r="FKY5" s="390"/>
      <c r="FKZ5" s="390"/>
      <c r="FLA5" s="390"/>
      <c r="FLB5" s="390"/>
      <c r="FLC5" s="390"/>
      <c r="FLD5" s="390"/>
      <c r="FLE5" s="390"/>
      <c r="FLF5" s="390"/>
      <c r="FLG5" s="390"/>
      <c r="FLH5" s="390"/>
      <c r="FLI5" s="390"/>
      <c r="FLJ5" s="390"/>
      <c r="FLK5" s="390"/>
      <c r="FLL5" s="390"/>
      <c r="FLM5" s="390"/>
      <c r="FLN5" s="390"/>
      <c r="FLO5" s="390"/>
      <c r="FLP5" s="390"/>
      <c r="FLQ5" s="390"/>
      <c r="FLR5" s="390"/>
      <c r="FLS5" s="390"/>
      <c r="FLT5" s="390"/>
      <c r="FLU5" s="390"/>
      <c r="FLV5" s="390"/>
      <c r="FLW5" s="390"/>
      <c r="FLX5" s="390"/>
      <c r="FLY5" s="390"/>
      <c r="FLZ5" s="390"/>
      <c r="FMA5" s="390"/>
      <c r="FMB5" s="390"/>
      <c r="FMC5" s="390"/>
      <c r="FMD5" s="390"/>
      <c r="FME5" s="390"/>
      <c r="FMF5" s="390"/>
      <c r="FMG5" s="390"/>
      <c r="FMH5" s="390"/>
      <c r="FMI5" s="390"/>
      <c r="FMJ5" s="390"/>
      <c r="FMK5" s="390"/>
      <c r="FML5" s="390"/>
      <c r="FMM5" s="390"/>
      <c r="FMN5" s="390"/>
      <c r="FMO5" s="390"/>
      <c r="FMP5" s="390"/>
      <c r="FMQ5" s="390"/>
      <c r="FMR5" s="390"/>
      <c r="FMS5" s="390"/>
      <c r="FMT5" s="390"/>
      <c r="FMU5" s="390"/>
      <c r="FMV5" s="390"/>
      <c r="FMW5" s="390"/>
      <c r="FMX5" s="390"/>
      <c r="FMY5" s="390"/>
      <c r="FMZ5" s="390"/>
      <c r="FNA5" s="390"/>
      <c r="FNB5" s="390"/>
      <c r="FNC5" s="390"/>
      <c r="FND5" s="390"/>
      <c r="FNE5" s="390"/>
      <c r="FNF5" s="390"/>
      <c r="FNG5" s="390"/>
      <c r="FNH5" s="390"/>
      <c r="FNI5" s="390"/>
      <c r="FNJ5" s="390"/>
      <c r="FNK5" s="390"/>
      <c r="FNL5" s="390"/>
      <c r="FNM5" s="390"/>
      <c r="FNN5" s="390"/>
      <c r="FNO5" s="390"/>
      <c r="FNP5" s="390"/>
      <c r="FNQ5" s="390"/>
      <c r="FNR5" s="390"/>
      <c r="FNS5" s="390"/>
      <c r="FNT5" s="390"/>
      <c r="FNU5" s="390"/>
      <c r="FNV5" s="390"/>
      <c r="FNW5" s="390"/>
      <c r="FNX5" s="390"/>
      <c r="FNY5" s="390"/>
      <c r="FNZ5" s="390"/>
      <c r="FOA5" s="390"/>
      <c r="FOB5" s="390"/>
      <c r="FOC5" s="390"/>
      <c r="FOD5" s="390"/>
      <c r="FOE5" s="390"/>
      <c r="FOF5" s="390"/>
      <c r="FOG5" s="390"/>
      <c r="FOH5" s="390"/>
      <c r="FOI5" s="390"/>
      <c r="FOJ5" s="390"/>
      <c r="FOK5" s="390"/>
      <c r="FOL5" s="390"/>
      <c r="FOM5" s="390"/>
      <c r="FON5" s="390"/>
      <c r="FOO5" s="390"/>
      <c r="FOP5" s="390"/>
      <c r="FOQ5" s="390"/>
      <c r="FOR5" s="390"/>
      <c r="FOS5" s="390"/>
      <c r="FOT5" s="390"/>
      <c r="FOU5" s="390"/>
      <c r="FOV5" s="390"/>
      <c r="FOW5" s="390"/>
      <c r="FOX5" s="390"/>
      <c r="FOY5" s="390"/>
      <c r="FOZ5" s="390"/>
      <c r="FPA5" s="390"/>
      <c r="FPB5" s="390"/>
      <c r="FPC5" s="390"/>
      <c r="FPD5" s="390"/>
      <c r="FPE5" s="390"/>
      <c r="FPF5" s="390"/>
      <c r="FPG5" s="390"/>
      <c r="FPH5" s="390"/>
      <c r="FPI5" s="390"/>
      <c r="FPJ5" s="390"/>
      <c r="FPK5" s="390"/>
      <c r="FPL5" s="390"/>
      <c r="FPM5" s="390"/>
      <c r="FPN5" s="390"/>
      <c r="FPO5" s="390"/>
      <c r="FPP5" s="390"/>
      <c r="FPQ5" s="390"/>
      <c r="FPR5" s="390"/>
      <c r="FPS5" s="390"/>
      <c r="FPT5" s="390"/>
      <c r="FPU5" s="390"/>
      <c r="FPV5" s="390"/>
      <c r="FPW5" s="390"/>
      <c r="FPX5" s="390"/>
      <c r="FPY5" s="390"/>
      <c r="FPZ5" s="390"/>
      <c r="FQA5" s="390"/>
      <c r="FQB5" s="390"/>
      <c r="FQC5" s="390"/>
      <c r="FQD5" s="390"/>
      <c r="FQE5" s="390"/>
      <c r="FQF5" s="390"/>
      <c r="FQG5" s="390"/>
      <c r="FQH5" s="390"/>
      <c r="FQI5" s="390"/>
      <c r="FQJ5" s="390"/>
      <c r="FQK5" s="390"/>
      <c r="FQL5" s="390"/>
      <c r="FQM5" s="390"/>
      <c r="FQN5" s="390"/>
      <c r="FQO5" s="390"/>
      <c r="FQP5" s="390"/>
      <c r="FQQ5" s="390"/>
      <c r="FQR5" s="390"/>
      <c r="FQS5" s="390"/>
      <c r="FQT5" s="390"/>
      <c r="FQU5" s="390"/>
      <c r="FQV5" s="390"/>
      <c r="FQW5" s="390"/>
      <c r="FQX5" s="390"/>
      <c r="FQY5" s="390"/>
      <c r="FQZ5" s="390"/>
      <c r="FRA5" s="390"/>
      <c r="FRB5" s="390"/>
      <c r="FRC5" s="390"/>
      <c r="FRD5" s="390"/>
      <c r="FRE5" s="390"/>
      <c r="FRF5" s="390"/>
      <c r="FRG5" s="390"/>
      <c r="FRH5" s="390"/>
      <c r="FRI5" s="390"/>
      <c r="FRJ5" s="390"/>
      <c r="FRK5" s="390"/>
      <c r="FRL5" s="390"/>
      <c r="FRM5" s="390"/>
      <c r="FRN5" s="390"/>
      <c r="FRO5" s="390"/>
      <c r="FRP5" s="390"/>
      <c r="FRQ5" s="390"/>
      <c r="FRR5" s="390"/>
      <c r="FRS5" s="390"/>
      <c r="FRT5" s="390"/>
      <c r="FRU5" s="390"/>
      <c r="FRV5" s="390"/>
      <c r="FRW5" s="390"/>
      <c r="FRX5" s="390"/>
      <c r="FRY5" s="390"/>
      <c r="FRZ5" s="390"/>
      <c r="FSA5" s="390"/>
      <c r="FSB5" s="390"/>
      <c r="FSC5" s="390"/>
      <c r="FSD5" s="390"/>
      <c r="FSE5" s="390"/>
      <c r="FSF5" s="390"/>
      <c r="FSG5" s="390"/>
      <c r="FSH5" s="390"/>
      <c r="FSI5" s="390"/>
      <c r="FSJ5" s="390"/>
      <c r="FSK5" s="390"/>
      <c r="FSL5" s="390"/>
      <c r="FSM5" s="390"/>
      <c r="FSN5" s="390"/>
      <c r="FSO5" s="390"/>
      <c r="FSP5" s="390"/>
      <c r="FSQ5" s="390"/>
      <c r="FSR5" s="390"/>
      <c r="FSS5" s="390"/>
      <c r="FST5" s="390"/>
      <c r="FSU5" s="390"/>
      <c r="FSV5" s="390"/>
      <c r="FSW5" s="390"/>
      <c r="FSX5" s="390"/>
      <c r="FSY5" s="390"/>
      <c r="FSZ5" s="390"/>
      <c r="FTA5" s="390"/>
      <c r="FTB5" s="390"/>
      <c r="FTC5" s="390"/>
      <c r="FTD5" s="390"/>
      <c r="FTE5" s="390"/>
      <c r="FTF5" s="390"/>
      <c r="FTG5" s="390"/>
      <c r="FTH5" s="390"/>
      <c r="FTI5" s="390"/>
      <c r="FTJ5" s="390"/>
      <c r="FTK5" s="390"/>
      <c r="FTL5" s="390"/>
      <c r="FTM5" s="390"/>
      <c r="FTN5" s="390"/>
      <c r="FTO5" s="390"/>
      <c r="FTP5" s="390"/>
      <c r="FTQ5" s="390"/>
      <c r="FTR5" s="390"/>
      <c r="FTS5" s="390"/>
      <c r="FTT5" s="390"/>
      <c r="FTU5" s="390"/>
      <c r="FTV5" s="390"/>
      <c r="FTW5" s="390"/>
      <c r="FTX5" s="390"/>
      <c r="FTY5" s="390"/>
      <c r="FTZ5" s="390"/>
      <c r="FUA5" s="390"/>
      <c r="FUB5" s="390"/>
      <c r="FUC5" s="390"/>
      <c r="FUD5" s="390"/>
      <c r="FUE5" s="390"/>
      <c r="FUF5" s="390"/>
      <c r="FUG5" s="390"/>
      <c r="FUH5" s="390"/>
      <c r="FUI5" s="390"/>
      <c r="FUJ5" s="390"/>
      <c r="FUK5" s="390"/>
      <c r="FUL5" s="390"/>
      <c r="FUM5" s="390"/>
      <c r="FUN5" s="390"/>
      <c r="FUO5" s="390"/>
      <c r="FUP5" s="390"/>
      <c r="FUQ5" s="390"/>
      <c r="FUR5" s="390"/>
      <c r="FUS5" s="390"/>
      <c r="FUT5" s="390"/>
      <c r="FUU5" s="390"/>
      <c r="FUV5" s="390"/>
      <c r="FUW5" s="390"/>
      <c r="FUX5" s="390"/>
      <c r="FUY5" s="390"/>
      <c r="FUZ5" s="390"/>
      <c r="FVA5" s="390"/>
      <c r="FVB5" s="390"/>
      <c r="FVC5" s="390"/>
      <c r="FVD5" s="390"/>
      <c r="FVE5" s="390"/>
      <c r="FVF5" s="390"/>
      <c r="FVG5" s="390"/>
      <c r="FVH5" s="390"/>
      <c r="FVI5" s="390"/>
      <c r="FVJ5" s="390"/>
      <c r="FVK5" s="390"/>
      <c r="FVL5" s="390"/>
      <c r="FVM5" s="390"/>
      <c r="FVN5" s="390"/>
      <c r="FVO5" s="390"/>
      <c r="FVP5" s="390"/>
      <c r="FVQ5" s="390"/>
      <c r="FVR5" s="390"/>
      <c r="FVS5" s="390"/>
      <c r="FVT5" s="390"/>
      <c r="FVU5" s="390"/>
      <c r="FVV5" s="390"/>
      <c r="FVW5" s="390"/>
      <c r="FVX5" s="390"/>
      <c r="FVY5" s="390"/>
      <c r="FVZ5" s="390"/>
      <c r="FWA5" s="390"/>
      <c r="FWB5" s="390"/>
      <c r="FWC5" s="390"/>
      <c r="FWD5" s="390"/>
      <c r="FWE5" s="390"/>
      <c r="FWF5" s="390"/>
      <c r="FWG5" s="390"/>
      <c r="FWH5" s="390"/>
      <c r="FWI5" s="390"/>
      <c r="FWJ5" s="390"/>
      <c r="FWK5" s="390"/>
      <c r="FWL5" s="390"/>
      <c r="FWM5" s="390"/>
      <c r="FWN5" s="390"/>
      <c r="FWO5" s="390"/>
      <c r="FWP5" s="390"/>
      <c r="FWQ5" s="390"/>
      <c r="FWR5" s="390"/>
      <c r="FWS5" s="390"/>
      <c r="FWT5" s="390"/>
      <c r="FWU5" s="390"/>
      <c r="FWV5" s="390"/>
      <c r="FWW5" s="390"/>
      <c r="FWX5" s="390"/>
      <c r="FWY5" s="390"/>
      <c r="FWZ5" s="390"/>
      <c r="FXA5" s="390"/>
      <c r="FXB5" s="390"/>
      <c r="FXC5" s="390"/>
      <c r="FXD5" s="390"/>
      <c r="FXE5" s="390"/>
      <c r="FXF5" s="390"/>
      <c r="FXG5" s="390"/>
      <c r="FXH5" s="390"/>
      <c r="FXI5" s="390"/>
      <c r="FXJ5" s="390"/>
      <c r="FXK5" s="390"/>
      <c r="FXL5" s="390"/>
      <c r="FXM5" s="390"/>
      <c r="FXN5" s="390"/>
      <c r="FXO5" s="390"/>
      <c r="FXP5" s="390"/>
      <c r="FXQ5" s="390"/>
      <c r="FXR5" s="390"/>
      <c r="FXS5" s="390"/>
      <c r="FXT5" s="390"/>
      <c r="FXU5" s="390"/>
      <c r="FXV5" s="390"/>
      <c r="FXW5" s="390"/>
      <c r="FXX5" s="390"/>
      <c r="FXY5" s="390"/>
      <c r="FXZ5" s="390"/>
      <c r="FYA5" s="390"/>
      <c r="FYB5" s="390"/>
      <c r="FYC5" s="390"/>
      <c r="FYD5" s="390"/>
      <c r="FYE5" s="390"/>
      <c r="FYF5" s="390"/>
      <c r="FYG5" s="390"/>
      <c r="FYH5" s="390"/>
      <c r="FYI5" s="390"/>
      <c r="FYJ5" s="390"/>
      <c r="FYK5" s="390"/>
      <c r="FYL5" s="390"/>
      <c r="FYM5" s="390"/>
      <c r="FYN5" s="390"/>
      <c r="FYO5" s="390"/>
      <c r="FYP5" s="390"/>
      <c r="FYQ5" s="390"/>
      <c r="FYR5" s="390"/>
      <c r="FYS5" s="390"/>
      <c r="FYT5" s="390"/>
      <c r="FYU5" s="390"/>
      <c r="FYV5" s="390"/>
      <c r="FYW5" s="390"/>
      <c r="FYX5" s="390"/>
      <c r="FYY5" s="390"/>
      <c r="FYZ5" s="390"/>
      <c r="FZA5" s="390"/>
      <c r="FZB5" s="390"/>
      <c r="FZC5" s="390"/>
      <c r="FZD5" s="390"/>
      <c r="FZE5" s="390"/>
      <c r="FZF5" s="390"/>
      <c r="FZG5" s="390"/>
      <c r="FZH5" s="390"/>
      <c r="FZI5" s="390"/>
      <c r="FZJ5" s="390"/>
      <c r="FZK5" s="390"/>
      <c r="FZL5" s="390"/>
      <c r="FZM5" s="390"/>
      <c r="FZN5" s="390"/>
      <c r="FZO5" s="390"/>
      <c r="FZP5" s="390"/>
      <c r="FZQ5" s="390"/>
      <c r="FZR5" s="390"/>
      <c r="FZS5" s="390"/>
      <c r="FZT5" s="390"/>
      <c r="FZU5" s="390"/>
      <c r="FZV5" s="390"/>
      <c r="FZW5" s="390"/>
      <c r="FZX5" s="390"/>
      <c r="FZY5" s="390"/>
      <c r="FZZ5" s="390"/>
      <c r="GAA5" s="390"/>
      <c r="GAB5" s="390"/>
      <c r="GAC5" s="390"/>
      <c r="GAD5" s="390"/>
      <c r="GAE5" s="390"/>
      <c r="GAF5" s="390"/>
      <c r="GAG5" s="390"/>
      <c r="GAH5" s="390"/>
      <c r="GAI5" s="390"/>
      <c r="GAJ5" s="390"/>
      <c r="GAK5" s="390"/>
      <c r="GAL5" s="390"/>
      <c r="GAM5" s="390"/>
      <c r="GAN5" s="390"/>
      <c r="GAO5" s="390"/>
      <c r="GAP5" s="390"/>
      <c r="GAQ5" s="390"/>
      <c r="GAR5" s="390"/>
      <c r="GAS5" s="390"/>
      <c r="GAT5" s="390"/>
      <c r="GAU5" s="390"/>
      <c r="GAV5" s="390"/>
      <c r="GAW5" s="390"/>
      <c r="GAX5" s="390"/>
      <c r="GAY5" s="390"/>
      <c r="GAZ5" s="390"/>
      <c r="GBA5" s="390"/>
      <c r="GBB5" s="390"/>
      <c r="GBC5" s="390"/>
      <c r="GBD5" s="390"/>
      <c r="GBE5" s="390"/>
      <c r="GBF5" s="390"/>
      <c r="GBG5" s="390"/>
      <c r="GBH5" s="390"/>
      <c r="GBI5" s="390"/>
      <c r="GBJ5" s="390"/>
      <c r="GBK5" s="390"/>
      <c r="GBL5" s="390"/>
      <c r="GBM5" s="390"/>
      <c r="GBN5" s="390"/>
      <c r="GBO5" s="390"/>
      <c r="GBP5" s="390"/>
      <c r="GBQ5" s="390"/>
      <c r="GBR5" s="390"/>
      <c r="GBS5" s="390"/>
      <c r="GBT5" s="390"/>
      <c r="GBU5" s="390"/>
      <c r="GBV5" s="390"/>
      <c r="GBW5" s="390"/>
      <c r="GBX5" s="390"/>
      <c r="GBY5" s="390"/>
      <c r="GBZ5" s="390"/>
      <c r="GCA5" s="390"/>
      <c r="GCB5" s="390"/>
      <c r="GCC5" s="390"/>
      <c r="GCD5" s="390"/>
      <c r="GCE5" s="390"/>
      <c r="GCF5" s="390"/>
      <c r="GCG5" s="390"/>
      <c r="GCH5" s="390"/>
      <c r="GCI5" s="390"/>
      <c r="GCJ5" s="390"/>
      <c r="GCK5" s="390"/>
      <c r="GCL5" s="390"/>
      <c r="GCM5" s="390"/>
      <c r="GCN5" s="390"/>
      <c r="GCO5" s="390"/>
      <c r="GCP5" s="390"/>
      <c r="GCQ5" s="390"/>
      <c r="GCR5" s="390"/>
      <c r="GCS5" s="390"/>
      <c r="GCT5" s="390"/>
      <c r="GCU5" s="390"/>
      <c r="GCV5" s="390"/>
      <c r="GCW5" s="390"/>
      <c r="GCX5" s="390"/>
      <c r="GCY5" s="390"/>
      <c r="GCZ5" s="390"/>
      <c r="GDA5" s="390"/>
      <c r="GDB5" s="390"/>
      <c r="GDC5" s="390"/>
      <c r="GDD5" s="390"/>
      <c r="GDE5" s="390"/>
      <c r="GDF5" s="390"/>
      <c r="GDG5" s="390"/>
      <c r="GDH5" s="390"/>
      <c r="GDI5" s="390"/>
      <c r="GDJ5" s="390"/>
      <c r="GDK5" s="390"/>
      <c r="GDL5" s="390"/>
      <c r="GDM5" s="390"/>
      <c r="GDN5" s="390"/>
      <c r="GDO5" s="390"/>
      <c r="GDP5" s="390"/>
      <c r="GDQ5" s="390"/>
      <c r="GDR5" s="390"/>
      <c r="GDS5" s="390"/>
      <c r="GDT5" s="390"/>
      <c r="GDU5" s="390"/>
      <c r="GDV5" s="390"/>
      <c r="GDW5" s="390"/>
      <c r="GDX5" s="390"/>
      <c r="GDY5" s="390"/>
      <c r="GDZ5" s="390"/>
      <c r="GEA5" s="390"/>
      <c r="GEB5" s="390"/>
      <c r="GEC5" s="390"/>
      <c r="GED5" s="390"/>
      <c r="GEE5" s="390"/>
      <c r="GEF5" s="390"/>
      <c r="GEG5" s="390"/>
      <c r="GEH5" s="390"/>
      <c r="GEI5" s="390"/>
      <c r="GEJ5" s="390"/>
      <c r="GEK5" s="390"/>
      <c r="GEL5" s="390"/>
      <c r="GEM5" s="390"/>
      <c r="GEN5" s="390"/>
      <c r="GEO5" s="390"/>
      <c r="GEP5" s="390"/>
      <c r="GEQ5" s="390"/>
      <c r="GER5" s="390"/>
      <c r="GES5" s="390"/>
      <c r="GET5" s="390"/>
      <c r="GEU5" s="390"/>
      <c r="GEV5" s="390"/>
      <c r="GEW5" s="390"/>
      <c r="GEX5" s="390"/>
      <c r="GEY5" s="390"/>
      <c r="GEZ5" s="390"/>
      <c r="GFA5" s="390"/>
      <c r="GFB5" s="390"/>
      <c r="GFC5" s="390"/>
      <c r="GFD5" s="390"/>
      <c r="GFE5" s="390"/>
      <c r="GFF5" s="390"/>
      <c r="GFG5" s="390"/>
      <c r="GFH5" s="390"/>
      <c r="GFI5" s="390"/>
      <c r="GFJ5" s="390"/>
      <c r="GFK5" s="390"/>
      <c r="GFL5" s="390"/>
      <c r="GFM5" s="390"/>
      <c r="GFN5" s="390"/>
      <c r="GFO5" s="390"/>
      <c r="GFP5" s="390"/>
      <c r="GFQ5" s="390"/>
      <c r="GFR5" s="390"/>
      <c r="GFS5" s="390"/>
      <c r="GFT5" s="390"/>
      <c r="GFU5" s="390"/>
      <c r="GFV5" s="390"/>
      <c r="GFW5" s="390"/>
      <c r="GFX5" s="390"/>
      <c r="GFY5" s="390"/>
      <c r="GFZ5" s="390"/>
      <c r="GGA5" s="390"/>
      <c r="GGB5" s="390"/>
      <c r="GGC5" s="390"/>
      <c r="GGD5" s="390"/>
      <c r="GGE5" s="390"/>
      <c r="GGF5" s="390"/>
      <c r="GGG5" s="390"/>
      <c r="GGH5" s="390"/>
      <c r="GGI5" s="390"/>
      <c r="GGJ5" s="390"/>
      <c r="GGK5" s="390"/>
      <c r="GGL5" s="390"/>
      <c r="GGM5" s="390"/>
      <c r="GGN5" s="390"/>
      <c r="GGO5" s="390"/>
      <c r="GGP5" s="390"/>
      <c r="GGQ5" s="390"/>
      <c r="GGR5" s="390"/>
      <c r="GGS5" s="390"/>
      <c r="GGT5" s="390"/>
      <c r="GGU5" s="390"/>
      <c r="GGV5" s="390"/>
      <c r="GGW5" s="390"/>
      <c r="GGX5" s="390"/>
      <c r="GGY5" s="390"/>
      <c r="GGZ5" s="390"/>
      <c r="GHA5" s="390"/>
      <c r="GHB5" s="390"/>
      <c r="GHC5" s="390"/>
      <c r="GHD5" s="390"/>
      <c r="GHE5" s="390"/>
      <c r="GHF5" s="390"/>
      <c r="GHG5" s="390"/>
      <c r="GHH5" s="390"/>
      <c r="GHI5" s="390"/>
      <c r="GHJ5" s="390"/>
      <c r="GHK5" s="390"/>
      <c r="GHL5" s="390"/>
      <c r="GHM5" s="390"/>
      <c r="GHN5" s="390"/>
      <c r="GHO5" s="390"/>
      <c r="GHP5" s="390"/>
      <c r="GHQ5" s="390"/>
      <c r="GHR5" s="390"/>
      <c r="GHS5" s="390"/>
      <c r="GHT5" s="390"/>
      <c r="GHU5" s="390"/>
      <c r="GHV5" s="390"/>
      <c r="GHW5" s="390"/>
      <c r="GHX5" s="390"/>
      <c r="GHY5" s="390"/>
      <c r="GHZ5" s="390"/>
      <c r="GIA5" s="390"/>
      <c r="GIB5" s="390"/>
      <c r="GIC5" s="390"/>
      <c r="GID5" s="390"/>
      <c r="GIE5" s="390"/>
      <c r="GIF5" s="390"/>
      <c r="GIG5" s="390"/>
      <c r="GIH5" s="390"/>
      <c r="GII5" s="390"/>
      <c r="GIJ5" s="390"/>
      <c r="GIK5" s="390"/>
      <c r="GIL5" s="390"/>
      <c r="GIM5" s="390"/>
      <c r="GIN5" s="390"/>
      <c r="GIO5" s="390"/>
      <c r="GIP5" s="390"/>
      <c r="GIQ5" s="390"/>
      <c r="GIR5" s="390"/>
      <c r="GIS5" s="390"/>
      <c r="GIT5" s="390"/>
      <c r="GIU5" s="390"/>
      <c r="GIV5" s="390"/>
      <c r="GIW5" s="390"/>
      <c r="GIX5" s="390"/>
      <c r="GIY5" s="390"/>
      <c r="GIZ5" s="390"/>
      <c r="GJA5" s="390"/>
      <c r="GJB5" s="390"/>
      <c r="GJC5" s="390"/>
      <c r="GJD5" s="390"/>
      <c r="GJE5" s="390"/>
      <c r="GJF5" s="390"/>
      <c r="GJG5" s="390"/>
      <c r="GJH5" s="390"/>
      <c r="GJI5" s="390"/>
      <c r="GJJ5" s="390"/>
      <c r="GJK5" s="390"/>
      <c r="GJL5" s="390"/>
      <c r="GJM5" s="390"/>
      <c r="GJN5" s="390"/>
      <c r="GJO5" s="390"/>
      <c r="GJP5" s="390"/>
      <c r="GJQ5" s="390"/>
      <c r="GJR5" s="390"/>
      <c r="GJS5" s="390"/>
      <c r="GJT5" s="390"/>
      <c r="GJU5" s="390"/>
      <c r="GJV5" s="390"/>
      <c r="GJW5" s="390"/>
      <c r="GJX5" s="390"/>
      <c r="GJY5" s="390"/>
      <c r="GJZ5" s="390"/>
      <c r="GKA5" s="390"/>
      <c r="GKB5" s="390"/>
      <c r="GKC5" s="390"/>
      <c r="GKD5" s="390"/>
      <c r="GKE5" s="390"/>
      <c r="GKF5" s="390"/>
      <c r="GKG5" s="390"/>
      <c r="GKH5" s="390"/>
      <c r="GKI5" s="390"/>
      <c r="GKJ5" s="390"/>
      <c r="GKK5" s="390"/>
      <c r="GKL5" s="390"/>
      <c r="GKM5" s="390"/>
      <c r="GKN5" s="390"/>
      <c r="GKO5" s="390"/>
      <c r="GKP5" s="390"/>
      <c r="GKQ5" s="390"/>
      <c r="GKR5" s="390"/>
      <c r="GKS5" s="390"/>
      <c r="GKT5" s="390"/>
      <c r="GKU5" s="390"/>
      <c r="GKV5" s="390"/>
      <c r="GKW5" s="390"/>
      <c r="GKX5" s="390"/>
      <c r="GKY5" s="390"/>
      <c r="GKZ5" s="390"/>
      <c r="GLA5" s="390"/>
      <c r="GLB5" s="390"/>
      <c r="GLC5" s="390"/>
      <c r="GLD5" s="390"/>
      <c r="GLE5" s="390"/>
      <c r="GLF5" s="390"/>
      <c r="GLG5" s="390"/>
      <c r="GLH5" s="390"/>
      <c r="GLI5" s="390"/>
      <c r="GLJ5" s="390"/>
      <c r="GLK5" s="390"/>
      <c r="GLL5" s="390"/>
      <c r="GLM5" s="390"/>
      <c r="GLN5" s="390"/>
      <c r="GLO5" s="390"/>
      <c r="GLP5" s="390"/>
      <c r="GLQ5" s="390"/>
      <c r="GLR5" s="390"/>
      <c r="GLS5" s="390"/>
      <c r="GLT5" s="390"/>
      <c r="GLU5" s="390"/>
      <c r="GLV5" s="390"/>
      <c r="GLW5" s="390"/>
      <c r="GLX5" s="390"/>
      <c r="GLY5" s="390"/>
      <c r="GLZ5" s="390"/>
      <c r="GMA5" s="390"/>
      <c r="GMB5" s="390"/>
      <c r="GMC5" s="390"/>
      <c r="GMD5" s="390"/>
      <c r="GME5" s="390"/>
      <c r="GMF5" s="390"/>
      <c r="GMG5" s="390"/>
      <c r="GMH5" s="390"/>
      <c r="GMI5" s="390"/>
      <c r="GMJ5" s="390"/>
      <c r="GMK5" s="390"/>
      <c r="GML5" s="390"/>
      <c r="GMM5" s="390"/>
      <c r="GMN5" s="390"/>
      <c r="GMO5" s="390"/>
      <c r="GMP5" s="390"/>
      <c r="GMQ5" s="390"/>
      <c r="GMR5" s="390"/>
      <c r="GMS5" s="390"/>
      <c r="GMT5" s="390"/>
      <c r="GMU5" s="390"/>
      <c r="GMV5" s="390"/>
      <c r="GMW5" s="390"/>
      <c r="GMX5" s="390"/>
      <c r="GMY5" s="390"/>
      <c r="GMZ5" s="390"/>
      <c r="GNA5" s="390"/>
      <c r="GNB5" s="390"/>
      <c r="GNC5" s="390"/>
      <c r="GND5" s="390"/>
      <c r="GNE5" s="390"/>
      <c r="GNF5" s="390"/>
      <c r="GNG5" s="390"/>
      <c r="GNH5" s="390"/>
      <c r="GNI5" s="390"/>
      <c r="GNJ5" s="390"/>
      <c r="GNK5" s="390"/>
      <c r="GNL5" s="390"/>
      <c r="GNM5" s="390"/>
      <c r="GNN5" s="390"/>
      <c r="GNO5" s="390"/>
      <c r="GNP5" s="390"/>
      <c r="GNQ5" s="390"/>
      <c r="GNR5" s="390"/>
      <c r="GNS5" s="390"/>
      <c r="GNT5" s="390"/>
      <c r="GNU5" s="390"/>
      <c r="GNV5" s="390"/>
      <c r="GNW5" s="390"/>
      <c r="GNX5" s="390"/>
      <c r="GNY5" s="390"/>
      <c r="GNZ5" s="390"/>
      <c r="GOA5" s="390"/>
      <c r="GOB5" s="390"/>
      <c r="GOC5" s="390"/>
      <c r="GOD5" s="390"/>
      <c r="GOE5" s="390"/>
      <c r="GOF5" s="390"/>
      <c r="GOG5" s="390"/>
      <c r="GOH5" s="390"/>
      <c r="GOI5" s="390"/>
      <c r="GOJ5" s="390"/>
      <c r="GOK5" s="390"/>
      <c r="GOL5" s="390"/>
      <c r="GOM5" s="390"/>
      <c r="GON5" s="390"/>
      <c r="GOO5" s="390"/>
      <c r="GOP5" s="390"/>
      <c r="GOQ5" s="390"/>
      <c r="GOR5" s="390"/>
      <c r="GOS5" s="390"/>
      <c r="GOT5" s="390"/>
      <c r="GOU5" s="390"/>
      <c r="GOV5" s="390"/>
      <c r="GOW5" s="390"/>
      <c r="GOX5" s="390"/>
      <c r="GOY5" s="390"/>
      <c r="GOZ5" s="390"/>
      <c r="GPA5" s="390"/>
      <c r="GPB5" s="390"/>
      <c r="GPC5" s="390"/>
      <c r="GPD5" s="390"/>
      <c r="GPE5" s="390"/>
      <c r="GPF5" s="390"/>
      <c r="GPG5" s="390"/>
      <c r="GPH5" s="390"/>
      <c r="GPI5" s="390"/>
      <c r="GPJ5" s="390"/>
      <c r="GPK5" s="390"/>
      <c r="GPL5" s="390"/>
      <c r="GPM5" s="390"/>
      <c r="GPN5" s="390"/>
      <c r="GPO5" s="390"/>
      <c r="GPP5" s="390"/>
      <c r="GPQ5" s="390"/>
      <c r="GPR5" s="390"/>
      <c r="GPS5" s="390"/>
      <c r="GPT5" s="390"/>
      <c r="GPU5" s="390"/>
      <c r="GPV5" s="390"/>
      <c r="GPW5" s="390"/>
      <c r="GPX5" s="390"/>
      <c r="GPY5" s="390"/>
      <c r="GPZ5" s="390"/>
      <c r="GQA5" s="390"/>
      <c r="GQB5" s="390"/>
      <c r="GQC5" s="390"/>
      <c r="GQD5" s="390"/>
      <c r="GQE5" s="390"/>
      <c r="GQF5" s="390"/>
      <c r="GQG5" s="390"/>
      <c r="GQH5" s="390"/>
      <c r="GQI5" s="390"/>
      <c r="GQJ5" s="390"/>
      <c r="GQK5" s="390"/>
      <c r="GQL5" s="390"/>
      <c r="GQM5" s="390"/>
      <c r="GQN5" s="390"/>
      <c r="GQO5" s="390"/>
      <c r="GQP5" s="390"/>
      <c r="GQQ5" s="390"/>
      <c r="GQR5" s="390"/>
      <c r="GQS5" s="390"/>
      <c r="GQT5" s="390"/>
      <c r="GQU5" s="390"/>
      <c r="GQV5" s="390"/>
      <c r="GQW5" s="390"/>
      <c r="GQX5" s="390"/>
      <c r="GQY5" s="390"/>
      <c r="GQZ5" s="390"/>
      <c r="GRA5" s="390"/>
      <c r="GRB5" s="390"/>
      <c r="GRC5" s="390"/>
      <c r="GRD5" s="390"/>
      <c r="GRE5" s="390"/>
      <c r="GRF5" s="390"/>
      <c r="GRG5" s="390"/>
      <c r="GRH5" s="390"/>
      <c r="GRI5" s="390"/>
      <c r="GRJ5" s="390"/>
      <c r="GRK5" s="390"/>
      <c r="GRL5" s="390"/>
      <c r="GRM5" s="390"/>
      <c r="GRN5" s="390"/>
      <c r="GRO5" s="390"/>
      <c r="GRP5" s="390"/>
      <c r="GRQ5" s="390"/>
      <c r="GRR5" s="390"/>
      <c r="GRS5" s="390"/>
      <c r="GRT5" s="390"/>
      <c r="GRU5" s="390"/>
      <c r="GRV5" s="390"/>
      <c r="GRW5" s="390"/>
      <c r="GRX5" s="390"/>
      <c r="GRY5" s="390"/>
      <c r="GRZ5" s="390"/>
      <c r="GSA5" s="390"/>
      <c r="GSB5" s="390"/>
      <c r="GSC5" s="390"/>
      <c r="GSD5" s="390"/>
      <c r="GSE5" s="390"/>
      <c r="GSF5" s="390"/>
      <c r="GSG5" s="390"/>
      <c r="GSH5" s="390"/>
      <c r="GSI5" s="390"/>
      <c r="GSJ5" s="390"/>
      <c r="GSK5" s="390"/>
      <c r="GSL5" s="390"/>
      <c r="GSM5" s="390"/>
      <c r="GSN5" s="390"/>
      <c r="GSO5" s="390"/>
      <c r="GSP5" s="390"/>
      <c r="GSQ5" s="390"/>
      <c r="GSR5" s="390"/>
      <c r="GSS5" s="390"/>
      <c r="GST5" s="390"/>
      <c r="GSU5" s="390"/>
      <c r="GSV5" s="390"/>
      <c r="GSW5" s="390"/>
      <c r="GSX5" s="390"/>
      <c r="GSY5" s="390"/>
      <c r="GSZ5" s="390"/>
      <c r="GTA5" s="390"/>
      <c r="GTB5" s="390"/>
      <c r="GTC5" s="390"/>
      <c r="GTD5" s="390"/>
      <c r="GTE5" s="390"/>
      <c r="GTF5" s="390"/>
      <c r="GTG5" s="390"/>
      <c r="GTH5" s="390"/>
      <c r="GTI5" s="390"/>
      <c r="GTJ5" s="390"/>
      <c r="GTK5" s="390"/>
      <c r="GTL5" s="390"/>
      <c r="GTM5" s="390"/>
      <c r="GTN5" s="390"/>
      <c r="GTO5" s="390"/>
      <c r="GTP5" s="390"/>
      <c r="GTQ5" s="390"/>
      <c r="GTR5" s="390"/>
      <c r="GTS5" s="390"/>
      <c r="GTT5" s="390"/>
      <c r="GTU5" s="390"/>
      <c r="GTV5" s="390"/>
      <c r="GTW5" s="390"/>
      <c r="GTX5" s="390"/>
      <c r="GTY5" s="390"/>
      <c r="GTZ5" s="390"/>
      <c r="GUA5" s="390"/>
      <c r="GUB5" s="390"/>
      <c r="GUC5" s="390"/>
      <c r="GUD5" s="390"/>
      <c r="GUE5" s="390"/>
      <c r="GUF5" s="390"/>
      <c r="GUG5" s="390"/>
      <c r="GUH5" s="390"/>
      <c r="GUI5" s="390"/>
      <c r="GUJ5" s="390"/>
      <c r="GUK5" s="390"/>
      <c r="GUL5" s="390"/>
      <c r="GUM5" s="390"/>
      <c r="GUN5" s="390"/>
      <c r="GUO5" s="390"/>
      <c r="GUP5" s="390"/>
      <c r="GUQ5" s="390"/>
      <c r="GUR5" s="390"/>
      <c r="GUS5" s="390"/>
      <c r="GUT5" s="390"/>
      <c r="GUU5" s="390"/>
      <c r="GUV5" s="390"/>
      <c r="GUW5" s="390"/>
      <c r="GUX5" s="390"/>
      <c r="GUY5" s="390"/>
      <c r="GUZ5" s="390"/>
      <c r="GVA5" s="390"/>
      <c r="GVB5" s="390"/>
      <c r="GVC5" s="390"/>
      <c r="GVD5" s="390"/>
      <c r="GVE5" s="390"/>
      <c r="GVF5" s="390"/>
      <c r="GVG5" s="390"/>
      <c r="GVH5" s="390"/>
      <c r="GVI5" s="390"/>
      <c r="GVJ5" s="390"/>
      <c r="GVK5" s="390"/>
      <c r="GVL5" s="390"/>
      <c r="GVM5" s="390"/>
      <c r="GVN5" s="390"/>
      <c r="GVO5" s="390"/>
      <c r="GVP5" s="390"/>
      <c r="GVQ5" s="390"/>
      <c r="GVR5" s="390"/>
      <c r="GVS5" s="390"/>
      <c r="GVT5" s="390"/>
      <c r="GVU5" s="390"/>
      <c r="GVV5" s="390"/>
      <c r="GVW5" s="390"/>
      <c r="GVX5" s="390"/>
      <c r="GVY5" s="390"/>
      <c r="GVZ5" s="390"/>
      <c r="GWA5" s="390"/>
      <c r="GWB5" s="390"/>
      <c r="GWC5" s="390"/>
      <c r="GWD5" s="390"/>
      <c r="GWE5" s="390"/>
      <c r="GWF5" s="390"/>
      <c r="GWG5" s="390"/>
      <c r="GWH5" s="390"/>
      <c r="GWI5" s="390"/>
      <c r="GWJ5" s="390"/>
      <c r="GWK5" s="390"/>
      <c r="GWL5" s="390"/>
      <c r="GWM5" s="390"/>
      <c r="GWN5" s="390"/>
      <c r="GWO5" s="390"/>
      <c r="GWP5" s="390"/>
      <c r="GWQ5" s="390"/>
      <c r="GWR5" s="390"/>
      <c r="GWS5" s="390"/>
      <c r="GWT5" s="390"/>
      <c r="GWU5" s="390"/>
      <c r="GWV5" s="390"/>
      <c r="GWW5" s="390"/>
      <c r="GWX5" s="390"/>
      <c r="GWY5" s="390"/>
      <c r="GWZ5" s="390"/>
      <c r="GXA5" s="390"/>
      <c r="GXB5" s="390"/>
      <c r="GXC5" s="390"/>
      <c r="GXD5" s="390"/>
      <c r="GXE5" s="390"/>
      <c r="GXF5" s="390"/>
      <c r="GXG5" s="390"/>
      <c r="GXH5" s="390"/>
      <c r="GXI5" s="390"/>
      <c r="GXJ5" s="390"/>
      <c r="GXK5" s="390"/>
      <c r="GXL5" s="390"/>
      <c r="GXM5" s="390"/>
      <c r="GXN5" s="390"/>
      <c r="GXO5" s="390"/>
      <c r="GXP5" s="390"/>
      <c r="GXQ5" s="390"/>
      <c r="GXR5" s="390"/>
      <c r="GXS5" s="390"/>
      <c r="GXT5" s="390"/>
      <c r="GXU5" s="390"/>
      <c r="GXV5" s="390"/>
      <c r="GXW5" s="390"/>
      <c r="GXX5" s="390"/>
      <c r="GXY5" s="390"/>
      <c r="GXZ5" s="390"/>
      <c r="GYA5" s="390"/>
      <c r="GYB5" s="390"/>
      <c r="GYC5" s="390"/>
      <c r="GYD5" s="390"/>
      <c r="GYE5" s="390"/>
      <c r="GYF5" s="390"/>
      <c r="GYG5" s="390"/>
      <c r="GYH5" s="390"/>
      <c r="GYI5" s="390"/>
      <c r="GYJ5" s="390"/>
      <c r="GYK5" s="390"/>
      <c r="GYL5" s="390"/>
      <c r="GYM5" s="390"/>
      <c r="GYN5" s="390"/>
      <c r="GYO5" s="390"/>
      <c r="GYP5" s="390"/>
      <c r="GYQ5" s="390"/>
      <c r="GYR5" s="390"/>
      <c r="GYS5" s="390"/>
      <c r="GYT5" s="390"/>
      <c r="GYU5" s="390"/>
      <c r="GYV5" s="390"/>
      <c r="GYW5" s="390"/>
      <c r="GYX5" s="390"/>
      <c r="GYY5" s="390"/>
      <c r="GYZ5" s="390"/>
      <c r="GZA5" s="390"/>
      <c r="GZB5" s="390"/>
      <c r="GZC5" s="390"/>
      <c r="GZD5" s="390"/>
      <c r="GZE5" s="390"/>
      <c r="GZF5" s="390"/>
      <c r="GZG5" s="390"/>
      <c r="GZH5" s="390"/>
      <c r="GZI5" s="390"/>
      <c r="GZJ5" s="390"/>
      <c r="GZK5" s="390"/>
      <c r="GZL5" s="390"/>
      <c r="GZM5" s="390"/>
      <c r="GZN5" s="390"/>
      <c r="GZO5" s="390"/>
      <c r="GZP5" s="390"/>
      <c r="GZQ5" s="390"/>
      <c r="GZR5" s="390"/>
      <c r="GZS5" s="390"/>
      <c r="GZT5" s="390"/>
      <c r="GZU5" s="390"/>
      <c r="GZV5" s="390"/>
      <c r="GZW5" s="390"/>
      <c r="GZX5" s="390"/>
      <c r="GZY5" s="390"/>
      <c r="GZZ5" s="390"/>
      <c r="HAA5" s="390"/>
      <c r="HAB5" s="390"/>
      <c r="HAC5" s="390"/>
      <c r="HAD5" s="390"/>
      <c r="HAE5" s="390"/>
      <c r="HAF5" s="390"/>
      <c r="HAG5" s="390"/>
      <c r="HAH5" s="390"/>
      <c r="HAI5" s="390"/>
      <c r="HAJ5" s="390"/>
      <c r="HAK5" s="390"/>
      <c r="HAL5" s="390"/>
      <c r="HAM5" s="390"/>
      <c r="HAN5" s="390"/>
      <c r="HAO5" s="390"/>
      <c r="HAP5" s="390"/>
      <c r="HAQ5" s="390"/>
      <c r="HAR5" s="390"/>
      <c r="HAS5" s="390"/>
      <c r="HAT5" s="390"/>
      <c r="HAU5" s="390"/>
      <c r="HAV5" s="390"/>
      <c r="HAW5" s="390"/>
      <c r="HAX5" s="390"/>
      <c r="HAY5" s="390"/>
      <c r="HAZ5" s="390"/>
      <c r="HBA5" s="390"/>
      <c r="HBB5" s="390"/>
      <c r="HBC5" s="390"/>
      <c r="HBD5" s="390"/>
      <c r="HBE5" s="390"/>
      <c r="HBF5" s="390"/>
      <c r="HBG5" s="390"/>
      <c r="HBH5" s="390"/>
      <c r="HBI5" s="390"/>
      <c r="HBJ5" s="390"/>
      <c r="HBK5" s="390"/>
      <c r="HBL5" s="390"/>
      <c r="HBM5" s="390"/>
      <c r="HBN5" s="390"/>
      <c r="HBO5" s="390"/>
      <c r="HBP5" s="390"/>
      <c r="HBQ5" s="390"/>
      <c r="HBR5" s="390"/>
      <c r="HBS5" s="390"/>
      <c r="HBT5" s="390"/>
      <c r="HBU5" s="390"/>
      <c r="HBV5" s="390"/>
      <c r="HBW5" s="390"/>
      <c r="HBX5" s="390"/>
      <c r="HBY5" s="390"/>
      <c r="HBZ5" s="390"/>
      <c r="HCA5" s="390"/>
      <c r="HCB5" s="390"/>
      <c r="HCC5" s="390"/>
      <c r="HCD5" s="390"/>
      <c r="HCE5" s="390"/>
      <c r="HCF5" s="390"/>
      <c r="HCG5" s="390"/>
      <c r="HCH5" s="390"/>
      <c r="HCI5" s="390"/>
      <c r="HCJ5" s="390"/>
      <c r="HCK5" s="390"/>
      <c r="HCL5" s="390"/>
      <c r="HCM5" s="390"/>
      <c r="HCN5" s="390"/>
      <c r="HCO5" s="390"/>
      <c r="HCP5" s="390"/>
      <c r="HCQ5" s="390"/>
      <c r="HCR5" s="390"/>
      <c r="HCS5" s="390"/>
      <c r="HCT5" s="390"/>
      <c r="HCU5" s="390"/>
      <c r="HCV5" s="390"/>
      <c r="HCW5" s="390"/>
      <c r="HCX5" s="390"/>
      <c r="HCY5" s="390"/>
      <c r="HCZ5" s="390"/>
      <c r="HDA5" s="390"/>
      <c r="HDB5" s="390"/>
      <c r="HDC5" s="390"/>
      <c r="HDD5" s="390"/>
      <c r="HDE5" s="390"/>
      <c r="HDF5" s="390"/>
      <c r="HDG5" s="390"/>
      <c r="HDH5" s="390"/>
      <c r="HDI5" s="390"/>
      <c r="HDJ5" s="390"/>
      <c r="HDK5" s="390"/>
      <c r="HDL5" s="390"/>
      <c r="HDM5" s="390"/>
      <c r="HDN5" s="390"/>
      <c r="HDO5" s="390"/>
      <c r="HDP5" s="390"/>
      <c r="HDQ5" s="390"/>
      <c r="HDR5" s="390"/>
      <c r="HDS5" s="390"/>
      <c r="HDT5" s="390"/>
      <c r="HDU5" s="390"/>
      <c r="HDV5" s="390"/>
      <c r="HDW5" s="390"/>
      <c r="HDX5" s="390"/>
      <c r="HDY5" s="390"/>
      <c r="HDZ5" s="390"/>
      <c r="HEA5" s="390"/>
      <c r="HEB5" s="390"/>
      <c r="HEC5" s="390"/>
      <c r="HED5" s="390"/>
      <c r="HEE5" s="390"/>
      <c r="HEF5" s="390"/>
      <c r="HEG5" s="390"/>
      <c r="HEH5" s="390"/>
      <c r="HEI5" s="390"/>
      <c r="HEJ5" s="390"/>
      <c r="HEK5" s="390"/>
      <c r="HEL5" s="390"/>
      <c r="HEM5" s="390"/>
      <c r="HEN5" s="390"/>
      <c r="HEO5" s="390"/>
      <c r="HEP5" s="390"/>
      <c r="HEQ5" s="390"/>
      <c r="HER5" s="390"/>
      <c r="HES5" s="390"/>
      <c r="HET5" s="390"/>
      <c r="HEU5" s="390"/>
      <c r="HEV5" s="390"/>
      <c r="HEW5" s="390"/>
      <c r="HEX5" s="390"/>
      <c r="HEY5" s="390"/>
      <c r="HEZ5" s="390"/>
      <c r="HFA5" s="390"/>
      <c r="HFB5" s="390"/>
      <c r="HFC5" s="390"/>
      <c r="HFD5" s="390"/>
      <c r="HFE5" s="390"/>
      <c r="HFF5" s="390"/>
      <c r="HFG5" s="390"/>
      <c r="HFH5" s="390"/>
      <c r="HFI5" s="390"/>
      <c r="HFJ5" s="390"/>
      <c r="HFK5" s="390"/>
      <c r="HFL5" s="390"/>
      <c r="HFM5" s="390"/>
      <c r="HFN5" s="390"/>
      <c r="HFO5" s="390"/>
      <c r="HFP5" s="390"/>
      <c r="HFQ5" s="390"/>
      <c r="HFR5" s="390"/>
      <c r="HFS5" s="390"/>
      <c r="HFT5" s="390"/>
      <c r="HFU5" s="390"/>
      <c r="HFV5" s="390"/>
      <c r="HFW5" s="390"/>
      <c r="HFX5" s="390"/>
      <c r="HFY5" s="390"/>
      <c r="HFZ5" s="390"/>
      <c r="HGA5" s="390"/>
      <c r="HGB5" s="390"/>
      <c r="HGC5" s="390"/>
      <c r="HGD5" s="390"/>
      <c r="HGE5" s="390"/>
      <c r="HGF5" s="390"/>
      <c r="HGG5" s="390"/>
      <c r="HGH5" s="390"/>
      <c r="HGI5" s="390"/>
      <c r="HGJ5" s="390"/>
      <c r="HGK5" s="390"/>
      <c r="HGL5" s="390"/>
      <c r="HGM5" s="390"/>
      <c r="HGN5" s="390"/>
      <c r="HGO5" s="390"/>
      <c r="HGP5" s="390"/>
      <c r="HGQ5" s="390"/>
      <c r="HGR5" s="390"/>
      <c r="HGS5" s="390"/>
      <c r="HGT5" s="390"/>
      <c r="HGU5" s="390"/>
      <c r="HGV5" s="390"/>
      <c r="HGW5" s="390"/>
      <c r="HGX5" s="390"/>
      <c r="HGY5" s="390"/>
      <c r="HGZ5" s="390"/>
      <c r="HHA5" s="390"/>
      <c r="HHB5" s="390"/>
      <c r="HHC5" s="390"/>
      <c r="HHD5" s="390"/>
      <c r="HHE5" s="390"/>
      <c r="HHF5" s="390"/>
      <c r="HHG5" s="390"/>
      <c r="HHH5" s="390"/>
      <c r="HHI5" s="390"/>
      <c r="HHJ5" s="390"/>
      <c r="HHK5" s="390"/>
      <c r="HHL5" s="390"/>
      <c r="HHM5" s="390"/>
      <c r="HHN5" s="390"/>
      <c r="HHO5" s="390"/>
      <c r="HHP5" s="390"/>
      <c r="HHQ5" s="390"/>
      <c r="HHR5" s="390"/>
      <c r="HHS5" s="390"/>
      <c r="HHT5" s="390"/>
      <c r="HHU5" s="390"/>
      <c r="HHV5" s="390"/>
      <c r="HHW5" s="390"/>
      <c r="HHX5" s="390"/>
      <c r="HHY5" s="390"/>
      <c r="HHZ5" s="390"/>
      <c r="HIA5" s="390"/>
      <c r="HIB5" s="390"/>
      <c r="HIC5" s="390"/>
      <c r="HID5" s="390"/>
      <c r="HIE5" s="390"/>
      <c r="HIF5" s="390"/>
      <c r="HIG5" s="390"/>
      <c r="HIH5" s="390"/>
      <c r="HII5" s="390"/>
      <c r="HIJ5" s="390"/>
      <c r="HIK5" s="390"/>
      <c r="HIL5" s="390"/>
      <c r="HIM5" s="390"/>
      <c r="HIN5" s="390"/>
      <c r="HIO5" s="390"/>
      <c r="HIP5" s="390"/>
      <c r="HIQ5" s="390"/>
      <c r="HIR5" s="390"/>
      <c r="HIS5" s="390"/>
      <c r="HIT5" s="390"/>
      <c r="HIU5" s="390"/>
      <c r="HIV5" s="390"/>
      <c r="HIW5" s="390"/>
      <c r="HIX5" s="390"/>
      <c r="HIY5" s="390"/>
      <c r="HIZ5" s="390"/>
      <c r="HJA5" s="390"/>
      <c r="HJB5" s="390"/>
      <c r="HJC5" s="390"/>
      <c r="HJD5" s="390"/>
      <c r="HJE5" s="390"/>
      <c r="HJF5" s="390"/>
      <c r="HJG5" s="390"/>
      <c r="HJH5" s="390"/>
      <c r="HJI5" s="390"/>
      <c r="HJJ5" s="390"/>
      <c r="HJK5" s="390"/>
      <c r="HJL5" s="390"/>
      <c r="HJM5" s="390"/>
      <c r="HJN5" s="390"/>
      <c r="HJO5" s="390"/>
      <c r="HJP5" s="390"/>
      <c r="HJQ5" s="390"/>
      <c r="HJR5" s="390"/>
      <c r="HJS5" s="390"/>
      <c r="HJT5" s="390"/>
      <c r="HJU5" s="390"/>
      <c r="HJV5" s="390"/>
      <c r="HJW5" s="390"/>
      <c r="HJX5" s="390"/>
      <c r="HJY5" s="390"/>
      <c r="HJZ5" s="390"/>
      <c r="HKA5" s="390"/>
      <c r="HKB5" s="390"/>
      <c r="HKC5" s="390"/>
      <c r="HKD5" s="390"/>
      <c r="HKE5" s="390"/>
      <c r="HKF5" s="390"/>
      <c r="HKG5" s="390"/>
      <c r="HKH5" s="390"/>
      <c r="HKI5" s="390"/>
      <c r="HKJ5" s="390"/>
      <c r="HKK5" s="390"/>
      <c r="HKL5" s="390"/>
      <c r="HKM5" s="390"/>
      <c r="HKN5" s="390"/>
      <c r="HKO5" s="390"/>
      <c r="HKP5" s="390"/>
      <c r="HKQ5" s="390"/>
      <c r="HKR5" s="390"/>
      <c r="HKS5" s="390"/>
      <c r="HKT5" s="390"/>
      <c r="HKU5" s="390"/>
      <c r="HKV5" s="390"/>
      <c r="HKW5" s="390"/>
      <c r="HKX5" s="390"/>
      <c r="HKY5" s="390"/>
      <c r="HKZ5" s="390"/>
      <c r="HLA5" s="390"/>
      <c r="HLB5" s="390"/>
      <c r="HLC5" s="390"/>
      <c r="HLD5" s="390"/>
      <c r="HLE5" s="390"/>
      <c r="HLF5" s="390"/>
      <c r="HLG5" s="390"/>
      <c r="HLH5" s="390"/>
      <c r="HLI5" s="390"/>
      <c r="HLJ5" s="390"/>
      <c r="HLK5" s="390"/>
      <c r="HLL5" s="390"/>
      <c r="HLM5" s="390"/>
      <c r="HLN5" s="390"/>
      <c r="HLO5" s="390"/>
      <c r="HLP5" s="390"/>
      <c r="HLQ5" s="390"/>
      <c r="HLR5" s="390"/>
      <c r="HLS5" s="390"/>
      <c r="HLT5" s="390"/>
      <c r="HLU5" s="390"/>
      <c r="HLV5" s="390"/>
      <c r="HLW5" s="390"/>
      <c r="HLX5" s="390"/>
      <c r="HLY5" s="390"/>
      <c r="HLZ5" s="390"/>
      <c r="HMA5" s="390"/>
      <c r="HMB5" s="390"/>
      <c r="HMC5" s="390"/>
      <c r="HMD5" s="390"/>
      <c r="HME5" s="390"/>
      <c r="HMF5" s="390"/>
      <c r="HMG5" s="390"/>
      <c r="HMH5" s="390"/>
      <c r="HMI5" s="390"/>
      <c r="HMJ5" s="390"/>
      <c r="HMK5" s="390"/>
      <c r="HML5" s="390"/>
      <c r="HMM5" s="390"/>
      <c r="HMN5" s="390"/>
      <c r="HMO5" s="390"/>
      <c r="HMP5" s="390"/>
      <c r="HMQ5" s="390"/>
      <c r="HMR5" s="390"/>
      <c r="HMS5" s="390"/>
      <c r="HMT5" s="390"/>
      <c r="HMU5" s="390"/>
      <c r="HMV5" s="390"/>
      <c r="HMW5" s="390"/>
      <c r="HMX5" s="390"/>
      <c r="HMY5" s="390"/>
      <c r="HMZ5" s="390"/>
      <c r="HNA5" s="390"/>
      <c r="HNB5" s="390"/>
      <c r="HNC5" s="390"/>
      <c r="HND5" s="390"/>
      <c r="HNE5" s="390"/>
      <c r="HNF5" s="390"/>
      <c r="HNG5" s="390"/>
      <c r="HNH5" s="390"/>
      <c r="HNI5" s="390"/>
      <c r="HNJ5" s="390"/>
      <c r="HNK5" s="390"/>
      <c r="HNL5" s="390"/>
      <c r="HNM5" s="390"/>
      <c r="HNN5" s="390"/>
      <c r="HNO5" s="390"/>
      <c r="HNP5" s="390"/>
      <c r="HNQ5" s="390"/>
      <c r="HNR5" s="390"/>
      <c r="HNS5" s="390"/>
      <c r="HNT5" s="390"/>
      <c r="HNU5" s="390"/>
      <c r="HNV5" s="390"/>
      <c r="HNW5" s="390"/>
      <c r="HNX5" s="390"/>
      <c r="HNY5" s="390"/>
      <c r="HNZ5" s="390"/>
      <c r="HOA5" s="390"/>
      <c r="HOB5" s="390"/>
      <c r="HOC5" s="390"/>
      <c r="HOD5" s="390"/>
      <c r="HOE5" s="390"/>
      <c r="HOF5" s="390"/>
      <c r="HOG5" s="390"/>
      <c r="HOH5" s="390"/>
      <c r="HOI5" s="390"/>
      <c r="HOJ5" s="390"/>
      <c r="HOK5" s="390"/>
      <c r="HOL5" s="390"/>
      <c r="HOM5" s="390"/>
      <c r="HON5" s="390"/>
      <c r="HOO5" s="390"/>
      <c r="HOP5" s="390"/>
      <c r="HOQ5" s="390"/>
      <c r="HOR5" s="390"/>
      <c r="HOS5" s="390"/>
      <c r="HOT5" s="390"/>
      <c r="HOU5" s="390"/>
      <c r="HOV5" s="390"/>
      <c r="HOW5" s="390"/>
      <c r="HOX5" s="390"/>
      <c r="HOY5" s="390"/>
      <c r="HOZ5" s="390"/>
      <c r="HPA5" s="390"/>
      <c r="HPB5" s="390"/>
      <c r="HPC5" s="390"/>
      <c r="HPD5" s="390"/>
      <c r="HPE5" s="390"/>
      <c r="HPF5" s="390"/>
      <c r="HPG5" s="390"/>
      <c r="HPH5" s="390"/>
      <c r="HPI5" s="390"/>
      <c r="HPJ5" s="390"/>
      <c r="HPK5" s="390"/>
      <c r="HPL5" s="390"/>
      <c r="HPM5" s="390"/>
      <c r="HPN5" s="390"/>
      <c r="HPO5" s="390"/>
      <c r="HPP5" s="390"/>
      <c r="HPQ5" s="390"/>
      <c r="HPR5" s="390"/>
      <c r="HPS5" s="390"/>
      <c r="HPT5" s="390"/>
      <c r="HPU5" s="390"/>
      <c r="HPV5" s="390"/>
      <c r="HPW5" s="390"/>
      <c r="HPX5" s="390"/>
      <c r="HPY5" s="390"/>
      <c r="HPZ5" s="390"/>
      <c r="HQA5" s="390"/>
      <c r="HQB5" s="390"/>
      <c r="HQC5" s="390"/>
      <c r="HQD5" s="390"/>
      <c r="HQE5" s="390"/>
      <c r="HQF5" s="390"/>
      <c r="HQG5" s="390"/>
      <c r="HQH5" s="390"/>
      <c r="HQI5" s="390"/>
      <c r="HQJ5" s="390"/>
      <c r="HQK5" s="390"/>
      <c r="HQL5" s="390"/>
      <c r="HQM5" s="390"/>
      <c r="HQN5" s="390"/>
      <c r="HQO5" s="390"/>
      <c r="HQP5" s="390"/>
      <c r="HQQ5" s="390"/>
      <c r="HQR5" s="390"/>
      <c r="HQS5" s="390"/>
      <c r="HQT5" s="390"/>
      <c r="HQU5" s="390"/>
      <c r="HQV5" s="390"/>
      <c r="HQW5" s="390"/>
      <c r="HQX5" s="390"/>
      <c r="HQY5" s="390"/>
      <c r="HQZ5" s="390"/>
      <c r="HRA5" s="390"/>
      <c r="HRB5" s="390"/>
      <c r="HRC5" s="390"/>
      <c r="HRD5" s="390"/>
      <c r="HRE5" s="390"/>
      <c r="HRF5" s="390"/>
      <c r="HRG5" s="390"/>
      <c r="HRH5" s="390"/>
      <c r="HRI5" s="390"/>
      <c r="HRJ5" s="390"/>
      <c r="HRK5" s="390"/>
      <c r="HRL5" s="390"/>
      <c r="HRM5" s="390"/>
      <c r="HRN5" s="390"/>
      <c r="HRO5" s="390"/>
      <c r="HRP5" s="390"/>
      <c r="HRQ5" s="390"/>
      <c r="HRR5" s="390"/>
      <c r="HRS5" s="390"/>
      <c r="HRT5" s="390"/>
      <c r="HRU5" s="390"/>
      <c r="HRV5" s="390"/>
      <c r="HRW5" s="390"/>
      <c r="HRX5" s="390"/>
      <c r="HRY5" s="390"/>
      <c r="HRZ5" s="390"/>
      <c r="HSA5" s="390"/>
      <c r="HSB5" s="390"/>
      <c r="HSC5" s="390"/>
      <c r="HSD5" s="390"/>
      <c r="HSE5" s="390"/>
      <c r="HSF5" s="390"/>
      <c r="HSG5" s="390"/>
      <c r="HSH5" s="390"/>
      <c r="HSI5" s="390"/>
      <c r="HSJ5" s="390"/>
      <c r="HSK5" s="390"/>
      <c r="HSL5" s="390"/>
      <c r="HSM5" s="390"/>
      <c r="HSN5" s="390"/>
      <c r="HSO5" s="390"/>
      <c r="HSP5" s="390"/>
      <c r="HSQ5" s="390"/>
      <c r="HSR5" s="390"/>
      <c r="HSS5" s="390"/>
      <c r="HST5" s="390"/>
      <c r="HSU5" s="390"/>
      <c r="HSV5" s="390"/>
      <c r="HSW5" s="390"/>
      <c r="HSX5" s="390"/>
      <c r="HSY5" s="390"/>
      <c r="HSZ5" s="390"/>
      <c r="HTA5" s="390"/>
      <c r="HTB5" s="390"/>
      <c r="HTC5" s="390"/>
      <c r="HTD5" s="390"/>
      <c r="HTE5" s="390"/>
      <c r="HTF5" s="390"/>
      <c r="HTG5" s="390"/>
      <c r="HTH5" s="390"/>
      <c r="HTI5" s="390"/>
      <c r="HTJ5" s="390"/>
      <c r="HTK5" s="390"/>
      <c r="HTL5" s="390"/>
      <c r="HTM5" s="390"/>
      <c r="HTN5" s="390"/>
      <c r="HTO5" s="390"/>
      <c r="HTP5" s="390"/>
      <c r="HTQ5" s="390"/>
      <c r="HTR5" s="390"/>
      <c r="HTS5" s="390"/>
      <c r="HTT5" s="390"/>
      <c r="HTU5" s="390"/>
      <c r="HTV5" s="390"/>
      <c r="HTW5" s="390"/>
      <c r="HTX5" s="390"/>
      <c r="HTY5" s="390"/>
      <c r="HTZ5" s="390"/>
      <c r="HUA5" s="390"/>
      <c r="HUB5" s="390"/>
      <c r="HUC5" s="390"/>
      <c r="HUD5" s="390"/>
      <c r="HUE5" s="390"/>
      <c r="HUF5" s="390"/>
      <c r="HUG5" s="390"/>
      <c r="HUH5" s="390"/>
      <c r="HUI5" s="390"/>
      <c r="HUJ5" s="390"/>
      <c r="HUK5" s="390"/>
      <c r="HUL5" s="390"/>
      <c r="HUM5" s="390"/>
      <c r="HUN5" s="390"/>
      <c r="HUO5" s="390"/>
      <c r="HUP5" s="390"/>
      <c r="HUQ5" s="390"/>
      <c r="HUR5" s="390"/>
      <c r="HUS5" s="390"/>
      <c r="HUT5" s="390"/>
      <c r="HUU5" s="390"/>
      <c r="HUV5" s="390"/>
      <c r="HUW5" s="390"/>
      <c r="HUX5" s="390"/>
      <c r="HUY5" s="390"/>
      <c r="HUZ5" s="390"/>
      <c r="HVA5" s="390"/>
      <c r="HVB5" s="390"/>
      <c r="HVC5" s="390"/>
      <c r="HVD5" s="390"/>
      <c r="HVE5" s="390"/>
      <c r="HVF5" s="390"/>
      <c r="HVG5" s="390"/>
      <c r="HVH5" s="390"/>
      <c r="HVI5" s="390"/>
      <c r="HVJ5" s="390"/>
      <c r="HVK5" s="390"/>
      <c r="HVL5" s="390"/>
      <c r="HVM5" s="390"/>
      <c r="HVN5" s="390"/>
      <c r="HVO5" s="390"/>
      <c r="HVP5" s="390"/>
      <c r="HVQ5" s="390"/>
      <c r="HVR5" s="390"/>
      <c r="HVS5" s="390"/>
      <c r="HVT5" s="390"/>
      <c r="HVU5" s="390"/>
      <c r="HVV5" s="390"/>
      <c r="HVW5" s="390"/>
      <c r="HVX5" s="390"/>
      <c r="HVY5" s="390"/>
      <c r="HVZ5" s="390"/>
      <c r="HWA5" s="390"/>
      <c r="HWB5" s="390"/>
      <c r="HWC5" s="390"/>
      <c r="HWD5" s="390"/>
      <c r="HWE5" s="390"/>
      <c r="HWF5" s="390"/>
      <c r="HWG5" s="390"/>
      <c r="HWH5" s="390"/>
      <c r="HWI5" s="390"/>
      <c r="HWJ5" s="390"/>
      <c r="HWK5" s="390"/>
      <c r="HWL5" s="390"/>
      <c r="HWM5" s="390"/>
      <c r="HWN5" s="390"/>
      <c r="HWO5" s="390"/>
      <c r="HWP5" s="390"/>
      <c r="HWQ5" s="390"/>
      <c r="HWR5" s="390"/>
      <c r="HWS5" s="390"/>
      <c r="HWT5" s="390"/>
      <c r="HWU5" s="390"/>
      <c r="HWV5" s="390"/>
      <c r="HWW5" s="390"/>
      <c r="HWX5" s="390"/>
      <c r="HWY5" s="390"/>
      <c r="HWZ5" s="390"/>
      <c r="HXA5" s="390"/>
      <c r="HXB5" s="390"/>
      <c r="HXC5" s="390"/>
      <c r="HXD5" s="390"/>
      <c r="HXE5" s="390"/>
      <c r="HXF5" s="390"/>
      <c r="HXG5" s="390"/>
      <c r="HXH5" s="390"/>
      <c r="HXI5" s="390"/>
      <c r="HXJ5" s="390"/>
      <c r="HXK5" s="390"/>
      <c r="HXL5" s="390"/>
      <c r="HXM5" s="390"/>
      <c r="HXN5" s="390"/>
      <c r="HXO5" s="390"/>
      <c r="HXP5" s="390"/>
      <c r="HXQ5" s="390"/>
      <c r="HXR5" s="390"/>
      <c r="HXS5" s="390"/>
      <c r="HXT5" s="390"/>
      <c r="HXU5" s="390"/>
      <c r="HXV5" s="390"/>
      <c r="HXW5" s="390"/>
      <c r="HXX5" s="390"/>
      <c r="HXY5" s="390"/>
      <c r="HXZ5" s="390"/>
      <c r="HYA5" s="390"/>
      <c r="HYB5" s="390"/>
      <c r="HYC5" s="390"/>
      <c r="HYD5" s="390"/>
      <c r="HYE5" s="390"/>
      <c r="HYF5" s="390"/>
      <c r="HYG5" s="390"/>
      <c r="HYH5" s="390"/>
      <c r="HYI5" s="390"/>
      <c r="HYJ5" s="390"/>
      <c r="HYK5" s="390"/>
      <c r="HYL5" s="390"/>
      <c r="HYM5" s="390"/>
      <c r="HYN5" s="390"/>
      <c r="HYO5" s="390"/>
      <c r="HYP5" s="390"/>
      <c r="HYQ5" s="390"/>
      <c r="HYR5" s="390"/>
      <c r="HYS5" s="390"/>
      <c r="HYT5" s="390"/>
      <c r="HYU5" s="390"/>
      <c r="HYV5" s="390"/>
      <c r="HYW5" s="390"/>
      <c r="HYX5" s="390"/>
      <c r="HYY5" s="390"/>
      <c r="HYZ5" s="390"/>
      <c r="HZA5" s="390"/>
      <c r="HZB5" s="390"/>
      <c r="HZC5" s="390"/>
      <c r="HZD5" s="390"/>
      <c r="HZE5" s="390"/>
      <c r="HZF5" s="390"/>
      <c r="HZG5" s="390"/>
      <c r="HZH5" s="390"/>
      <c r="HZI5" s="390"/>
      <c r="HZJ5" s="390"/>
      <c r="HZK5" s="390"/>
      <c r="HZL5" s="390"/>
      <c r="HZM5" s="390"/>
      <c r="HZN5" s="390"/>
      <c r="HZO5" s="390"/>
      <c r="HZP5" s="390"/>
      <c r="HZQ5" s="390"/>
      <c r="HZR5" s="390"/>
      <c r="HZS5" s="390"/>
      <c r="HZT5" s="390"/>
      <c r="HZU5" s="390"/>
      <c r="HZV5" s="390"/>
      <c r="HZW5" s="390"/>
      <c r="HZX5" s="390"/>
      <c r="HZY5" s="390"/>
      <c r="HZZ5" s="390"/>
      <c r="IAA5" s="390"/>
      <c r="IAB5" s="390"/>
      <c r="IAC5" s="390"/>
      <c r="IAD5" s="390"/>
      <c r="IAE5" s="390"/>
      <c r="IAF5" s="390"/>
      <c r="IAG5" s="390"/>
      <c r="IAH5" s="390"/>
      <c r="IAI5" s="390"/>
      <c r="IAJ5" s="390"/>
      <c r="IAK5" s="390"/>
      <c r="IAL5" s="390"/>
      <c r="IAM5" s="390"/>
      <c r="IAN5" s="390"/>
      <c r="IAO5" s="390"/>
      <c r="IAP5" s="390"/>
      <c r="IAQ5" s="390"/>
      <c r="IAR5" s="390"/>
      <c r="IAS5" s="390"/>
      <c r="IAT5" s="390"/>
      <c r="IAU5" s="390"/>
      <c r="IAV5" s="390"/>
      <c r="IAW5" s="390"/>
      <c r="IAX5" s="390"/>
      <c r="IAY5" s="390"/>
      <c r="IAZ5" s="390"/>
      <c r="IBA5" s="390"/>
      <c r="IBB5" s="390"/>
      <c r="IBC5" s="390"/>
      <c r="IBD5" s="390"/>
      <c r="IBE5" s="390"/>
      <c r="IBF5" s="390"/>
      <c r="IBG5" s="390"/>
      <c r="IBH5" s="390"/>
      <c r="IBI5" s="390"/>
      <c r="IBJ5" s="390"/>
      <c r="IBK5" s="390"/>
      <c r="IBL5" s="390"/>
      <c r="IBM5" s="390"/>
      <c r="IBN5" s="390"/>
      <c r="IBO5" s="390"/>
      <c r="IBP5" s="390"/>
      <c r="IBQ5" s="390"/>
      <c r="IBR5" s="390"/>
      <c r="IBS5" s="390"/>
      <c r="IBT5" s="390"/>
      <c r="IBU5" s="390"/>
      <c r="IBV5" s="390"/>
      <c r="IBW5" s="390"/>
      <c r="IBX5" s="390"/>
      <c r="IBY5" s="390"/>
      <c r="IBZ5" s="390"/>
      <c r="ICA5" s="390"/>
      <c r="ICB5" s="390"/>
      <c r="ICC5" s="390"/>
      <c r="ICD5" s="390"/>
      <c r="ICE5" s="390"/>
      <c r="ICF5" s="390"/>
      <c r="ICG5" s="390"/>
      <c r="ICH5" s="390"/>
      <c r="ICI5" s="390"/>
      <c r="ICJ5" s="390"/>
      <c r="ICK5" s="390"/>
      <c r="ICL5" s="390"/>
      <c r="ICM5" s="390"/>
      <c r="ICN5" s="390"/>
      <c r="ICO5" s="390"/>
      <c r="ICP5" s="390"/>
      <c r="ICQ5" s="390"/>
      <c r="ICR5" s="390"/>
      <c r="ICS5" s="390"/>
      <c r="ICT5" s="390"/>
      <c r="ICU5" s="390"/>
      <c r="ICV5" s="390"/>
      <c r="ICW5" s="390"/>
      <c r="ICX5" s="390"/>
      <c r="ICY5" s="390"/>
      <c r="ICZ5" s="390"/>
      <c r="IDA5" s="390"/>
      <c r="IDB5" s="390"/>
      <c r="IDC5" s="390"/>
      <c r="IDD5" s="390"/>
      <c r="IDE5" s="390"/>
      <c r="IDF5" s="390"/>
      <c r="IDG5" s="390"/>
      <c r="IDH5" s="390"/>
      <c r="IDI5" s="390"/>
      <c r="IDJ5" s="390"/>
      <c r="IDK5" s="390"/>
      <c r="IDL5" s="390"/>
      <c r="IDM5" s="390"/>
      <c r="IDN5" s="390"/>
      <c r="IDO5" s="390"/>
      <c r="IDP5" s="390"/>
      <c r="IDQ5" s="390"/>
      <c r="IDR5" s="390"/>
      <c r="IDS5" s="390"/>
      <c r="IDT5" s="390"/>
      <c r="IDU5" s="390"/>
      <c r="IDV5" s="390"/>
      <c r="IDW5" s="390"/>
      <c r="IDX5" s="390"/>
      <c r="IDY5" s="390"/>
      <c r="IDZ5" s="390"/>
      <c r="IEA5" s="390"/>
      <c r="IEB5" s="390"/>
      <c r="IEC5" s="390"/>
      <c r="IED5" s="390"/>
      <c r="IEE5" s="390"/>
      <c r="IEF5" s="390"/>
      <c r="IEG5" s="390"/>
      <c r="IEH5" s="390"/>
      <c r="IEI5" s="390"/>
      <c r="IEJ5" s="390"/>
      <c r="IEK5" s="390"/>
      <c r="IEL5" s="390"/>
      <c r="IEM5" s="390"/>
      <c r="IEN5" s="390"/>
      <c r="IEO5" s="390"/>
      <c r="IEP5" s="390"/>
      <c r="IEQ5" s="390"/>
      <c r="IER5" s="390"/>
      <c r="IES5" s="390"/>
      <c r="IET5" s="390"/>
      <c r="IEU5" s="390"/>
      <c r="IEV5" s="390"/>
      <c r="IEW5" s="390"/>
      <c r="IEX5" s="390"/>
      <c r="IEY5" s="390"/>
      <c r="IEZ5" s="390"/>
      <c r="IFA5" s="390"/>
      <c r="IFB5" s="390"/>
      <c r="IFC5" s="390"/>
      <c r="IFD5" s="390"/>
      <c r="IFE5" s="390"/>
      <c r="IFF5" s="390"/>
      <c r="IFG5" s="390"/>
      <c r="IFH5" s="390"/>
      <c r="IFI5" s="390"/>
      <c r="IFJ5" s="390"/>
      <c r="IFK5" s="390"/>
      <c r="IFL5" s="390"/>
      <c r="IFM5" s="390"/>
      <c r="IFN5" s="390"/>
      <c r="IFO5" s="390"/>
      <c r="IFP5" s="390"/>
      <c r="IFQ5" s="390"/>
      <c r="IFR5" s="390"/>
      <c r="IFS5" s="390"/>
      <c r="IFT5" s="390"/>
      <c r="IFU5" s="390"/>
      <c r="IFV5" s="390"/>
      <c r="IFW5" s="390"/>
      <c r="IFX5" s="390"/>
      <c r="IFY5" s="390"/>
      <c r="IFZ5" s="390"/>
      <c r="IGA5" s="390"/>
      <c r="IGB5" s="390"/>
      <c r="IGC5" s="390"/>
      <c r="IGD5" s="390"/>
      <c r="IGE5" s="390"/>
      <c r="IGF5" s="390"/>
      <c r="IGG5" s="390"/>
      <c r="IGH5" s="390"/>
      <c r="IGI5" s="390"/>
      <c r="IGJ5" s="390"/>
      <c r="IGK5" s="390"/>
      <c r="IGL5" s="390"/>
      <c r="IGM5" s="390"/>
      <c r="IGN5" s="390"/>
      <c r="IGO5" s="390"/>
      <c r="IGP5" s="390"/>
      <c r="IGQ5" s="390"/>
      <c r="IGR5" s="390"/>
      <c r="IGS5" s="390"/>
      <c r="IGT5" s="390"/>
      <c r="IGU5" s="390"/>
      <c r="IGV5" s="390"/>
      <c r="IGW5" s="390"/>
      <c r="IGX5" s="390"/>
      <c r="IGY5" s="390"/>
      <c r="IGZ5" s="390"/>
      <c r="IHA5" s="390"/>
      <c r="IHB5" s="390"/>
      <c r="IHC5" s="390"/>
      <c r="IHD5" s="390"/>
      <c r="IHE5" s="390"/>
      <c r="IHF5" s="390"/>
      <c r="IHG5" s="390"/>
      <c r="IHH5" s="390"/>
      <c r="IHI5" s="390"/>
      <c r="IHJ5" s="390"/>
      <c r="IHK5" s="390"/>
      <c r="IHL5" s="390"/>
      <c r="IHM5" s="390"/>
      <c r="IHN5" s="390"/>
      <c r="IHO5" s="390"/>
      <c r="IHP5" s="390"/>
      <c r="IHQ5" s="390"/>
      <c r="IHR5" s="390"/>
      <c r="IHS5" s="390"/>
      <c r="IHT5" s="390"/>
      <c r="IHU5" s="390"/>
      <c r="IHV5" s="390"/>
      <c r="IHW5" s="390"/>
      <c r="IHX5" s="390"/>
      <c r="IHY5" s="390"/>
      <c r="IHZ5" s="390"/>
      <c r="IIA5" s="390"/>
      <c r="IIB5" s="390"/>
      <c r="IIC5" s="390"/>
      <c r="IID5" s="390"/>
      <c r="IIE5" s="390"/>
      <c r="IIF5" s="390"/>
      <c r="IIG5" s="390"/>
      <c r="IIH5" s="390"/>
      <c r="III5" s="390"/>
      <c r="IIJ5" s="390"/>
      <c r="IIK5" s="390"/>
      <c r="IIL5" s="390"/>
      <c r="IIM5" s="390"/>
      <c r="IIN5" s="390"/>
      <c r="IIO5" s="390"/>
      <c r="IIP5" s="390"/>
      <c r="IIQ5" s="390"/>
      <c r="IIR5" s="390"/>
      <c r="IIS5" s="390"/>
      <c r="IIT5" s="390"/>
      <c r="IIU5" s="390"/>
      <c r="IIV5" s="390"/>
      <c r="IIW5" s="390"/>
      <c r="IIX5" s="390"/>
      <c r="IIY5" s="390"/>
      <c r="IIZ5" s="390"/>
      <c r="IJA5" s="390"/>
      <c r="IJB5" s="390"/>
      <c r="IJC5" s="390"/>
      <c r="IJD5" s="390"/>
      <c r="IJE5" s="390"/>
      <c r="IJF5" s="390"/>
      <c r="IJG5" s="390"/>
      <c r="IJH5" s="390"/>
      <c r="IJI5" s="390"/>
      <c r="IJJ5" s="390"/>
      <c r="IJK5" s="390"/>
      <c r="IJL5" s="390"/>
      <c r="IJM5" s="390"/>
      <c r="IJN5" s="390"/>
      <c r="IJO5" s="390"/>
      <c r="IJP5" s="390"/>
      <c r="IJQ5" s="390"/>
      <c r="IJR5" s="390"/>
      <c r="IJS5" s="390"/>
      <c r="IJT5" s="390"/>
      <c r="IJU5" s="390"/>
      <c r="IJV5" s="390"/>
      <c r="IJW5" s="390"/>
      <c r="IJX5" s="390"/>
      <c r="IJY5" s="390"/>
      <c r="IJZ5" s="390"/>
      <c r="IKA5" s="390"/>
      <c r="IKB5" s="390"/>
      <c r="IKC5" s="390"/>
      <c r="IKD5" s="390"/>
      <c r="IKE5" s="390"/>
      <c r="IKF5" s="390"/>
      <c r="IKG5" s="390"/>
      <c r="IKH5" s="390"/>
      <c r="IKI5" s="390"/>
      <c r="IKJ5" s="390"/>
      <c r="IKK5" s="390"/>
      <c r="IKL5" s="390"/>
      <c r="IKM5" s="390"/>
      <c r="IKN5" s="390"/>
      <c r="IKO5" s="390"/>
      <c r="IKP5" s="390"/>
      <c r="IKQ5" s="390"/>
      <c r="IKR5" s="390"/>
      <c r="IKS5" s="390"/>
      <c r="IKT5" s="390"/>
      <c r="IKU5" s="390"/>
      <c r="IKV5" s="390"/>
      <c r="IKW5" s="390"/>
      <c r="IKX5" s="390"/>
      <c r="IKY5" s="390"/>
      <c r="IKZ5" s="390"/>
      <c r="ILA5" s="390"/>
      <c r="ILB5" s="390"/>
      <c r="ILC5" s="390"/>
      <c r="ILD5" s="390"/>
      <c r="ILE5" s="390"/>
      <c r="ILF5" s="390"/>
      <c r="ILG5" s="390"/>
      <c r="ILH5" s="390"/>
      <c r="ILI5" s="390"/>
      <c r="ILJ5" s="390"/>
      <c r="ILK5" s="390"/>
      <c r="ILL5" s="390"/>
      <c r="ILM5" s="390"/>
      <c r="ILN5" s="390"/>
      <c r="ILO5" s="390"/>
      <c r="ILP5" s="390"/>
      <c r="ILQ5" s="390"/>
      <c r="ILR5" s="390"/>
      <c r="ILS5" s="390"/>
      <c r="ILT5" s="390"/>
      <c r="ILU5" s="390"/>
      <c r="ILV5" s="390"/>
      <c r="ILW5" s="390"/>
      <c r="ILX5" s="390"/>
      <c r="ILY5" s="390"/>
      <c r="ILZ5" s="390"/>
      <c r="IMA5" s="390"/>
      <c r="IMB5" s="390"/>
      <c r="IMC5" s="390"/>
      <c r="IMD5" s="390"/>
      <c r="IME5" s="390"/>
      <c r="IMF5" s="390"/>
      <c r="IMG5" s="390"/>
      <c r="IMH5" s="390"/>
      <c r="IMI5" s="390"/>
      <c r="IMJ5" s="390"/>
      <c r="IMK5" s="390"/>
      <c r="IML5" s="390"/>
      <c r="IMM5" s="390"/>
      <c r="IMN5" s="390"/>
      <c r="IMO5" s="390"/>
      <c r="IMP5" s="390"/>
      <c r="IMQ5" s="390"/>
      <c r="IMR5" s="390"/>
      <c r="IMS5" s="390"/>
      <c r="IMT5" s="390"/>
      <c r="IMU5" s="390"/>
      <c r="IMV5" s="390"/>
      <c r="IMW5" s="390"/>
      <c r="IMX5" s="390"/>
      <c r="IMY5" s="390"/>
      <c r="IMZ5" s="390"/>
      <c r="INA5" s="390"/>
      <c r="INB5" s="390"/>
      <c r="INC5" s="390"/>
      <c r="IND5" s="390"/>
      <c r="INE5" s="390"/>
      <c r="INF5" s="390"/>
      <c r="ING5" s="390"/>
      <c r="INH5" s="390"/>
      <c r="INI5" s="390"/>
      <c r="INJ5" s="390"/>
      <c r="INK5" s="390"/>
      <c r="INL5" s="390"/>
      <c r="INM5" s="390"/>
      <c r="INN5" s="390"/>
      <c r="INO5" s="390"/>
      <c r="INP5" s="390"/>
      <c r="INQ5" s="390"/>
      <c r="INR5" s="390"/>
      <c r="INS5" s="390"/>
      <c r="INT5" s="390"/>
      <c r="INU5" s="390"/>
      <c r="INV5" s="390"/>
      <c r="INW5" s="390"/>
      <c r="INX5" s="390"/>
      <c r="INY5" s="390"/>
      <c r="INZ5" s="390"/>
      <c r="IOA5" s="390"/>
      <c r="IOB5" s="390"/>
      <c r="IOC5" s="390"/>
      <c r="IOD5" s="390"/>
      <c r="IOE5" s="390"/>
      <c r="IOF5" s="390"/>
      <c r="IOG5" s="390"/>
      <c r="IOH5" s="390"/>
      <c r="IOI5" s="390"/>
      <c r="IOJ5" s="390"/>
      <c r="IOK5" s="390"/>
      <c r="IOL5" s="390"/>
      <c r="IOM5" s="390"/>
      <c r="ION5" s="390"/>
      <c r="IOO5" s="390"/>
      <c r="IOP5" s="390"/>
      <c r="IOQ5" s="390"/>
      <c r="IOR5" s="390"/>
      <c r="IOS5" s="390"/>
      <c r="IOT5" s="390"/>
      <c r="IOU5" s="390"/>
      <c r="IOV5" s="390"/>
      <c r="IOW5" s="390"/>
      <c r="IOX5" s="390"/>
      <c r="IOY5" s="390"/>
      <c r="IOZ5" s="390"/>
      <c r="IPA5" s="390"/>
      <c r="IPB5" s="390"/>
      <c r="IPC5" s="390"/>
      <c r="IPD5" s="390"/>
      <c r="IPE5" s="390"/>
      <c r="IPF5" s="390"/>
      <c r="IPG5" s="390"/>
      <c r="IPH5" s="390"/>
      <c r="IPI5" s="390"/>
      <c r="IPJ5" s="390"/>
      <c r="IPK5" s="390"/>
      <c r="IPL5" s="390"/>
      <c r="IPM5" s="390"/>
      <c r="IPN5" s="390"/>
      <c r="IPO5" s="390"/>
      <c r="IPP5" s="390"/>
      <c r="IPQ5" s="390"/>
      <c r="IPR5" s="390"/>
      <c r="IPS5" s="390"/>
      <c r="IPT5" s="390"/>
      <c r="IPU5" s="390"/>
      <c r="IPV5" s="390"/>
      <c r="IPW5" s="390"/>
      <c r="IPX5" s="390"/>
      <c r="IPY5" s="390"/>
      <c r="IPZ5" s="390"/>
      <c r="IQA5" s="390"/>
      <c r="IQB5" s="390"/>
      <c r="IQC5" s="390"/>
      <c r="IQD5" s="390"/>
      <c r="IQE5" s="390"/>
      <c r="IQF5" s="390"/>
      <c r="IQG5" s="390"/>
      <c r="IQH5" s="390"/>
      <c r="IQI5" s="390"/>
      <c r="IQJ5" s="390"/>
      <c r="IQK5" s="390"/>
      <c r="IQL5" s="390"/>
      <c r="IQM5" s="390"/>
      <c r="IQN5" s="390"/>
      <c r="IQO5" s="390"/>
      <c r="IQP5" s="390"/>
      <c r="IQQ5" s="390"/>
      <c r="IQR5" s="390"/>
      <c r="IQS5" s="390"/>
      <c r="IQT5" s="390"/>
      <c r="IQU5" s="390"/>
      <c r="IQV5" s="390"/>
      <c r="IQW5" s="390"/>
      <c r="IQX5" s="390"/>
      <c r="IQY5" s="390"/>
      <c r="IQZ5" s="390"/>
      <c r="IRA5" s="390"/>
      <c r="IRB5" s="390"/>
      <c r="IRC5" s="390"/>
      <c r="IRD5" s="390"/>
      <c r="IRE5" s="390"/>
      <c r="IRF5" s="390"/>
      <c r="IRG5" s="390"/>
      <c r="IRH5" s="390"/>
      <c r="IRI5" s="390"/>
      <c r="IRJ5" s="390"/>
      <c r="IRK5" s="390"/>
      <c r="IRL5" s="390"/>
      <c r="IRM5" s="390"/>
      <c r="IRN5" s="390"/>
      <c r="IRO5" s="390"/>
      <c r="IRP5" s="390"/>
      <c r="IRQ5" s="390"/>
      <c r="IRR5" s="390"/>
      <c r="IRS5" s="390"/>
      <c r="IRT5" s="390"/>
      <c r="IRU5" s="390"/>
      <c r="IRV5" s="390"/>
      <c r="IRW5" s="390"/>
      <c r="IRX5" s="390"/>
      <c r="IRY5" s="390"/>
      <c r="IRZ5" s="390"/>
      <c r="ISA5" s="390"/>
      <c r="ISB5" s="390"/>
      <c r="ISC5" s="390"/>
      <c r="ISD5" s="390"/>
      <c r="ISE5" s="390"/>
      <c r="ISF5" s="390"/>
      <c r="ISG5" s="390"/>
      <c r="ISH5" s="390"/>
      <c r="ISI5" s="390"/>
      <c r="ISJ5" s="390"/>
      <c r="ISK5" s="390"/>
      <c r="ISL5" s="390"/>
      <c r="ISM5" s="390"/>
      <c r="ISN5" s="390"/>
      <c r="ISO5" s="390"/>
      <c r="ISP5" s="390"/>
      <c r="ISQ5" s="390"/>
      <c r="ISR5" s="390"/>
      <c r="ISS5" s="390"/>
      <c r="IST5" s="390"/>
      <c r="ISU5" s="390"/>
      <c r="ISV5" s="390"/>
      <c r="ISW5" s="390"/>
      <c r="ISX5" s="390"/>
      <c r="ISY5" s="390"/>
      <c r="ISZ5" s="390"/>
      <c r="ITA5" s="390"/>
      <c r="ITB5" s="390"/>
      <c r="ITC5" s="390"/>
      <c r="ITD5" s="390"/>
      <c r="ITE5" s="390"/>
      <c r="ITF5" s="390"/>
      <c r="ITG5" s="390"/>
      <c r="ITH5" s="390"/>
      <c r="ITI5" s="390"/>
      <c r="ITJ5" s="390"/>
      <c r="ITK5" s="390"/>
      <c r="ITL5" s="390"/>
      <c r="ITM5" s="390"/>
      <c r="ITN5" s="390"/>
      <c r="ITO5" s="390"/>
      <c r="ITP5" s="390"/>
      <c r="ITQ5" s="390"/>
      <c r="ITR5" s="390"/>
      <c r="ITS5" s="390"/>
      <c r="ITT5" s="390"/>
      <c r="ITU5" s="390"/>
      <c r="ITV5" s="390"/>
      <c r="ITW5" s="390"/>
      <c r="ITX5" s="390"/>
      <c r="ITY5" s="390"/>
      <c r="ITZ5" s="390"/>
      <c r="IUA5" s="390"/>
      <c r="IUB5" s="390"/>
      <c r="IUC5" s="390"/>
      <c r="IUD5" s="390"/>
      <c r="IUE5" s="390"/>
      <c r="IUF5" s="390"/>
      <c r="IUG5" s="390"/>
      <c r="IUH5" s="390"/>
      <c r="IUI5" s="390"/>
      <c r="IUJ5" s="390"/>
      <c r="IUK5" s="390"/>
      <c r="IUL5" s="390"/>
      <c r="IUM5" s="390"/>
      <c r="IUN5" s="390"/>
      <c r="IUO5" s="390"/>
      <c r="IUP5" s="390"/>
      <c r="IUQ5" s="390"/>
      <c r="IUR5" s="390"/>
      <c r="IUS5" s="390"/>
      <c r="IUT5" s="390"/>
      <c r="IUU5" s="390"/>
      <c r="IUV5" s="390"/>
      <c r="IUW5" s="390"/>
      <c r="IUX5" s="390"/>
      <c r="IUY5" s="390"/>
      <c r="IUZ5" s="390"/>
      <c r="IVA5" s="390"/>
      <c r="IVB5" s="390"/>
      <c r="IVC5" s="390"/>
      <c r="IVD5" s="390"/>
      <c r="IVE5" s="390"/>
      <c r="IVF5" s="390"/>
      <c r="IVG5" s="390"/>
      <c r="IVH5" s="390"/>
      <c r="IVI5" s="390"/>
      <c r="IVJ5" s="390"/>
      <c r="IVK5" s="390"/>
      <c r="IVL5" s="390"/>
      <c r="IVM5" s="390"/>
      <c r="IVN5" s="390"/>
      <c r="IVO5" s="390"/>
      <c r="IVP5" s="390"/>
      <c r="IVQ5" s="390"/>
      <c r="IVR5" s="390"/>
      <c r="IVS5" s="390"/>
      <c r="IVT5" s="390"/>
      <c r="IVU5" s="390"/>
      <c r="IVV5" s="390"/>
      <c r="IVW5" s="390"/>
      <c r="IVX5" s="390"/>
      <c r="IVY5" s="390"/>
      <c r="IVZ5" s="390"/>
      <c r="IWA5" s="390"/>
      <c r="IWB5" s="390"/>
      <c r="IWC5" s="390"/>
      <c r="IWD5" s="390"/>
      <c r="IWE5" s="390"/>
      <c r="IWF5" s="390"/>
      <c r="IWG5" s="390"/>
      <c r="IWH5" s="390"/>
      <c r="IWI5" s="390"/>
      <c r="IWJ5" s="390"/>
      <c r="IWK5" s="390"/>
      <c r="IWL5" s="390"/>
      <c r="IWM5" s="390"/>
      <c r="IWN5" s="390"/>
      <c r="IWO5" s="390"/>
      <c r="IWP5" s="390"/>
      <c r="IWQ5" s="390"/>
      <c r="IWR5" s="390"/>
      <c r="IWS5" s="390"/>
      <c r="IWT5" s="390"/>
      <c r="IWU5" s="390"/>
      <c r="IWV5" s="390"/>
      <c r="IWW5" s="390"/>
      <c r="IWX5" s="390"/>
      <c r="IWY5" s="390"/>
      <c r="IWZ5" s="390"/>
      <c r="IXA5" s="390"/>
      <c r="IXB5" s="390"/>
      <c r="IXC5" s="390"/>
      <c r="IXD5" s="390"/>
      <c r="IXE5" s="390"/>
      <c r="IXF5" s="390"/>
      <c r="IXG5" s="390"/>
      <c r="IXH5" s="390"/>
      <c r="IXI5" s="390"/>
      <c r="IXJ5" s="390"/>
      <c r="IXK5" s="390"/>
      <c r="IXL5" s="390"/>
      <c r="IXM5" s="390"/>
      <c r="IXN5" s="390"/>
      <c r="IXO5" s="390"/>
      <c r="IXP5" s="390"/>
      <c r="IXQ5" s="390"/>
      <c r="IXR5" s="390"/>
      <c r="IXS5" s="390"/>
      <c r="IXT5" s="390"/>
      <c r="IXU5" s="390"/>
      <c r="IXV5" s="390"/>
      <c r="IXW5" s="390"/>
      <c r="IXX5" s="390"/>
      <c r="IXY5" s="390"/>
      <c r="IXZ5" s="390"/>
      <c r="IYA5" s="390"/>
      <c r="IYB5" s="390"/>
      <c r="IYC5" s="390"/>
      <c r="IYD5" s="390"/>
      <c r="IYE5" s="390"/>
      <c r="IYF5" s="390"/>
      <c r="IYG5" s="390"/>
      <c r="IYH5" s="390"/>
      <c r="IYI5" s="390"/>
      <c r="IYJ5" s="390"/>
      <c r="IYK5" s="390"/>
      <c r="IYL5" s="390"/>
      <c r="IYM5" s="390"/>
      <c r="IYN5" s="390"/>
      <c r="IYO5" s="390"/>
      <c r="IYP5" s="390"/>
      <c r="IYQ5" s="390"/>
      <c r="IYR5" s="390"/>
      <c r="IYS5" s="390"/>
      <c r="IYT5" s="390"/>
      <c r="IYU5" s="390"/>
      <c r="IYV5" s="390"/>
      <c r="IYW5" s="390"/>
      <c r="IYX5" s="390"/>
      <c r="IYY5" s="390"/>
      <c r="IYZ5" s="390"/>
      <c r="IZA5" s="390"/>
      <c r="IZB5" s="390"/>
      <c r="IZC5" s="390"/>
      <c r="IZD5" s="390"/>
      <c r="IZE5" s="390"/>
      <c r="IZF5" s="390"/>
      <c r="IZG5" s="390"/>
      <c r="IZH5" s="390"/>
      <c r="IZI5" s="390"/>
      <c r="IZJ5" s="390"/>
      <c r="IZK5" s="390"/>
      <c r="IZL5" s="390"/>
      <c r="IZM5" s="390"/>
      <c r="IZN5" s="390"/>
      <c r="IZO5" s="390"/>
      <c r="IZP5" s="390"/>
      <c r="IZQ5" s="390"/>
      <c r="IZR5" s="390"/>
      <c r="IZS5" s="390"/>
      <c r="IZT5" s="390"/>
      <c r="IZU5" s="390"/>
      <c r="IZV5" s="390"/>
      <c r="IZW5" s="390"/>
      <c r="IZX5" s="390"/>
      <c r="IZY5" s="390"/>
      <c r="IZZ5" s="390"/>
      <c r="JAA5" s="390"/>
      <c r="JAB5" s="390"/>
      <c r="JAC5" s="390"/>
      <c r="JAD5" s="390"/>
      <c r="JAE5" s="390"/>
      <c r="JAF5" s="390"/>
      <c r="JAG5" s="390"/>
      <c r="JAH5" s="390"/>
      <c r="JAI5" s="390"/>
      <c r="JAJ5" s="390"/>
      <c r="JAK5" s="390"/>
      <c r="JAL5" s="390"/>
      <c r="JAM5" s="390"/>
      <c r="JAN5" s="390"/>
      <c r="JAO5" s="390"/>
      <c r="JAP5" s="390"/>
      <c r="JAQ5" s="390"/>
      <c r="JAR5" s="390"/>
      <c r="JAS5" s="390"/>
      <c r="JAT5" s="390"/>
      <c r="JAU5" s="390"/>
      <c r="JAV5" s="390"/>
      <c r="JAW5" s="390"/>
      <c r="JAX5" s="390"/>
      <c r="JAY5" s="390"/>
      <c r="JAZ5" s="390"/>
      <c r="JBA5" s="390"/>
      <c r="JBB5" s="390"/>
      <c r="JBC5" s="390"/>
      <c r="JBD5" s="390"/>
      <c r="JBE5" s="390"/>
      <c r="JBF5" s="390"/>
      <c r="JBG5" s="390"/>
      <c r="JBH5" s="390"/>
      <c r="JBI5" s="390"/>
      <c r="JBJ5" s="390"/>
      <c r="JBK5" s="390"/>
      <c r="JBL5" s="390"/>
      <c r="JBM5" s="390"/>
      <c r="JBN5" s="390"/>
      <c r="JBO5" s="390"/>
      <c r="JBP5" s="390"/>
      <c r="JBQ5" s="390"/>
      <c r="JBR5" s="390"/>
      <c r="JBS5" s="390"/>
      <c r="JBT5" s="390"/>
      <c r="JBU5" s="390"/>
      <c r="JBV5" s="390"/>
      <c r="JBW5" s="390"/>
      <c r="JBX5" s="390"/>
      <c r="JBY5" s="390"/>
      <c r="JBZ5" s="390"/>
      <c r="JCA5" s="390"/>
      <c r="JCB5" s="390"/>
      <c r="JCC5" s="390"/>
      <c r="JCD5" s="390"/>
      <c r="JCE5" s="390"/>
      <c r="JCF5" s="390"/>
      <c r="JCG5" s="390"/>
      <c r="JCH5" s="390"/>
      <c r="JCI5" s="390"/>
      <c r="JCJ5" s="390"/>
      <c r="JCK5" s="390"/>
      <c r="JCL5" s="390"/>
      <c r="JCM5" s="390"/>
      <c r="JCN5" s="390"/>
      <c r="JCO5" s="390"/>
      <c r="JCP5" s="390"/>
      <c r="JCQ5" s="390"/>
      <c r="JCR5" s="390"/>
      <c r="JCS5" s="390"/>
      <c r="JCT5" s="390"/>
      <c r="JCU5" s="390"/>
      <c r="JCV5" s="390"/>
      <c r="JCW5" s="390"/>
      <c r="JCX5" s="390"/>
      <c r="JCY5" s="390"/>
      <c r="JCZ5" s="390"/>
      <c r="JDA5" s="390"/>
      <c r="JDB5" s="390"/>
      <c r="JDC5" s="390"/>
      <c r="JDD5" s="390"/>
      <c r="JDE5" s="390"/>
      <c r="JDF5" s="390"/>
      <c r="JDG5" s="390"/>
      <c r="JDH5" s="390"/>
      <c r="JDI5" s="390"/>
      <c r="JDJ5" s="390"/>
      <c r="JDK5" s="390"/>
      <c r="JDL5" s="390"/>
      <c r="JDM5" s="390"/>
      <c r="JDN5" s="390"/>
      <c r="JDO5" s="390"/>
      <c r="JDP5" s="390"/>
      <c r="JDQ5" s="390"/>
      <c r="JDR5" s="390"/>
      <c r="JDS5" s="390"/>
      <c r="JDT5" s="390"/>
      <c r="JDU5" s="390"/>
      <c r="JDV5" s="390"/>
      <c r="JDW5" s="390"/>
      <c r="JDX5" s="390"/>
      <c r="JDY5" s="390"/>
      <c r="JDZ5" s="390"/>
      <c r="JEA5" s="390"/>
      <c r="JEB5" s="390"/>
      <c r="JEC5" s="390"/>
      <c r="JED5" s="390"/>
      <c r="JEE5" s="390"/>
      <c r="JEF5" s="390"/>
      <c r="JEG5" s="390"/>
      <c r="JEH5" s="390"/>
      <c r="JEI5" s="390"/>
      <c r="JEJ5" s="390"/>
      <c r="JEK5" s="390"/>
      <c r="JEL5" s="390"/>
      <c r="JEM5" s="390"/>
      <c r="JEN5" s="390"/>
      <c r="JEO5" s="390"/>
      <c r="JEP5" s="390"/>
      <c r="JEQ5" s="390"/>
      <c r="JER5" s="390"/>
      <c r="JES5" s="390"/>
      <c r="JET5" s="390"/>
      <c r="JEU5" s="390"/>
      <c r="JEV5" s="390"/>
      <c r="JEW5" s="390"/>
      <c r="JEX5" s="390"/>
      <c r="JEY5" s="390"/>
      <c r="JEZ5" s="390"/>
      <c r="JFA5" s="390"/>
      <c r="JFB5" s="390"/>
      <c r="JFC5" s="390"/>
      <c r="JFD5" s="390"/>
      <c r="JFE5" s="390"/>
      <c r="JFF5" s="390"/>
      <c r="JFG5" s="390"/>
      <c r="JFH5" s="390"/>
      <c r="JFI5" s="390"/>
      <c r="JFJ5" s="390"/>
      <c r="JFK5" s="390"/>
      <c r="JFL5" s="390"/>
      <c r="JFM5" s="390"/>
      <c r="JFN5" s="390"/>
      <c r="JFO5" s="390"/>
      <c r="JFP5" s="390"/>
      <c r="JFQ5" s="390"/>
      <c r="JFR5" s="390"/>
      <c r="JFS5" s="390"/>
      <c r="JFT5" s="390"/>
      <c r="JFU5" s="390"/>
      <c r="JFV5" s="390"/>
      <c r="JFW5" s="390"/>
      <c r="JFX5" s="390"/>
      <c r="JFY5" s="390"/>
      <c r="JFZ5" s="390"/>
      <c r="JGA5" s="390"/>
      <c r="JGB5" s="390"/>
      <c r="JGC5" s="390"/>
      <c r="JGD5" s="390"/>
      <c r="JGE5" s="390"/>
      <c r="JGF5" s="390"/>
      <c r="JGG5" s="390"/>
      <c r="JGH5" s="390"/>
      <c r="JGI5" s="390"/>
      <c r="JGJ5" s="390"/>
      <c r="JGK5" s="390"/>
      <c r="JGL5" s="390"/>
      <c r="JGM5" s="390"/>
      <c r="JGN5" s="390"/>
      <c r="JGO5" s="390"/>
      <c r="JGP5" s="390"/>
      <c r="JGQ5" s="390"/>
      <c r="JGR5" s="390"/>
      <c r="JGS5" s="390"/>
      <c r="JGT5" s="390"/>
      <c r="JGU5" s="390"/>
      <c r="JGV5" s="390"/>
      <c r="JGW5" s="390"/>
      <c r="JGX5" s="390"/>
      <c r="JGY5" s="390"/>
      <c r="JGZ5" s="390"/>
      <c r="JHA5" s="390"/>
      <c r="JHB5" s="390"/>
      <c r="JHC5" s="390"/>
      <c r="JHD5" s="390"/>
      <c r="JHE5" s="390"/>
      <c r="JHF5" s="390"/>
      <c r="JHG5" s="390"/>
      <c r="JHH5" s="390"/>
      <c r="JHI5" s="390"/>
      <c r="JHJ5" s="390"/>
      <c r="JHK5" s="390"/>
      <c r="JHL5" s="390"/>
      <c r="JHM5" s="390"/>
      <c r="JHN5" s="390"/>
      <c r="JHO5" s="390"/>
      <c r="JHP5" s="390"/>
      <c r="JHQ5" s="390"/>
      <c r="JHR5" s="390"/>
      <c r="JHS5" s="390"/>
      <c r="JHT5" s="390"/>
      <c r="JHU5" s="390"/>
      <c r="JHV5" s="390"/>
      <c r="JHW5" s="390"/>
      <c r="JHX5" s="390"/>
      <c r="JHY5" s="390"/>
      <c r="JHZ5" s="390"/>
      <c r="JIA5" s="390"/>
      <c r="JIB5" s="390"/>
      <c r="JIC5" s="390"/>
      <c r="JID5" s="390"/>
      <c r="JIE5" s="390"/>
      <c r="JIF5" s="390"/>
      <c r="JIG5" s="390"/>
      <c r="JIH5" s="390"/>
      <c r="JII5" s="390"/>
      <c r="JIJ5" s="390"/>
      <c r="JIK5" s="390"/>
      <c r="JIL5" s="390"/>
      <c r="JIM5" s="390"/>
      <c r="JIN5" s="390"/>
      <c r="JIO5" s="390"/>
      <c r="JIP5" s="390"/>
      <c r="JIQ5" s="390"/>
      <c r="JIR5" s="390"/>
      <c r="JIS5" s="390"/>
      <c r="JIT5" s="390"/>
      <c r="JIU5" s="390"/>
      <c r="JIV5" s="390"/>
      <c r="JIW5" s="390"/>
      <c r="JIX5" s="390"/>
      <c r="JIY5" s="390"/>
      <c r="JIZ5" s="390"/>
      <c r="JJA5" s="390"/>
      <c r="JJB5" s="390"/>
      <c r="JJC5" s="390"/>
      <c r="JJD5" s="390"/>
      <c r="JJE5" s="390"/>
      <c r="JJF5" s="390"/>
      <c r="JJG5" s="390"/>
      <c r="JJH5" s="390"/>
      <c r="JJI5" s="390"/>
      <c r="JJJ5" s="390"/>
      <c r="JJK5" s="390"/>
      <c r="JJL5" s="390"/>
      <c r="JJM5" s="390"/>
      <c r="JJN5" s="390"/>
      <c r="JJO5" s="390"/>
      <c r="JJP5" s="390"/>
      <c r="JJQ5" s="390"/>
      <c r="JJR5" s="390"/>
      <c r="JJS5" s="390"/>
      <c r="JJT5" s="390"/>
      <c r="JJU5" s="390"/>
      <c r="JJV5" s="390"/>
      <c r="JJW5" s="390"/>
      <c r="JJX5" s="390"/>
      <c r="JJY5" s="390"/>
      <c r="JJZ5" s="390"/>
      <c r="JKA5" s="390"/>
      <c r="JKB5" s="390"/>
      <c r="JKC5" s="390"/>
      <c r="JKD5" s="390"/>
      <c r="JKE5" s="390"/>
      <c r="JKF5" s="390"/>
      <c r="JKG5" s="390"/>
      <c r="JKH5" s="390"/>
      <c r="JKI5" s="390"/>
      <c r="JKJ5" s="390"/>
      <c r="JKK5" s="390"/>
      <c r="JKL5" s="390"/>
      <c r="JKM5" s="390"/>
      <c r="JKN5" s="390"/>
      <c r="JKO5" s="390"/>
      <c r="JKP5" s="390"/>
      <c r="JKQ5" s="390"/>
      <c r="JKR5" s="390"/>
      <c r="JKS5" s="390"/>
      <c r="JKT5" s="390"/>
      <c r="JKU5" s="390"/>
      <c r="JKV5" s="390"/>
      <c r="JKW5" s="390"/>
      <c r="JKX5" s="390"/>
      <c r="JKY5" s="390"/>
      <c r="JKZ5" s="390"/>
      <c r="JLA5" s="390"/>
      <c r="JLB5" s="390"/>
      <c r="JLC5" s="390"/>
      <c r="JLD5" s="390"/>
      <c r="JLE5" s="390"/>
      <c r="JLF5" s="390"/>
      <c r="JLG5" s="390"/>
      <c r="JLH5" s="390"/>
      <c r="JLI5" s="390"/>
      <c r="JLJ5" s="390"/>
      <c r="JLK5" s="390"/>
      <c r="JLL5" s="390"/>
      <c r="JLM5" s="390"/>
      <c r="JLN5" s="390"/>
      <c r="JLO5" s="390"/>
      <c r="JLP5" s="390"/>
      <c r="JLQ5" s="390"/>
      <c r="JLR5" s="390"/>
      <c r="JLS5" s="390"/>
      <c r="JLT5" s="390"/>
      <c r="JLU5" s="390"/>
      <c r="JLV5" s="390"/>
      <c r="JLW5" s="390"/>
      <c r="JLX5" s="390"/>
      <c r="JLY5" s="390"/>
      <c r="JLZ5" s="390"/>
      <c r="JMA5" s="390"/>
      <c r="JMB5" s="390"/>
      <c r="JMC5" s="390"/>
      <c r="JMD5" s="390"/>
      <c r="JME5" s="390"/>
      <c r="JMF5" s="390"/>
      <c r="JMG5" s="390"/>
      <c r="JMH5" s="390"/>
      <c r="JMI5" s="390"/>
      <c r="JMJ5" s="390"/>
      <c r="JMK5" s="390"/>
      <c r="JML5" s="390"/>
      <c r="JMM5" s="390"/>
      <c r="JMN5" s="390"/>
      <c r="JMO5" s="390"/>
      <c r="JMP5" s="390"/>
      <c r="JMQ5" s="390"/>
      <c r="JMR5" s="390"/>
      <c r="JMS5" s="390"/>
      <c r="JMT5" s="390"/>
      <c r="JMU5" s="390"/>
      <c r="JMV5" s="390"/>
      <c r="JMW5" s="390"/>
      <c r="JMX5" s="390"/>
      <c r="JMY5" s="390"/>
      <c r="JMZ5" s="390"/>
      <c r="JNA5" s="390"/>
      <c r="JNB5" s="390"/>
      <c r="JNC5" s="390"/>
      <c r="JND5" s="390"/>
      <c r="JNE5" s="390"/>
      <c r="JNF5" s="390"/>
      <c r="JNG5" s="390"/>
      <c r="JNH5" s="390"/>
      <c r="JNI5" s="390"/>
      <c r="JNJ5" s="390"/>
      <c r="JNK5" s="390"/>
      <c r="JNL5" s="390"/>
      <c r="JNM5" s="390"/>
      <c r="JNN5" s="390"/>
      <c r="JNO5" s="390"/>
      <c r="JNP5" s="390"/>
      <c r="JNQ5" s="390"/>
      <c r="JNR5" s="390"/>
      <c r="JNS5" s="390"/>
      <c r="JNT5" s="390"/>
      <c r="JNU5" s="390"/>
      <c r="JNV5" s="390"/>
      <c r="JNW5" s="390"/>
      <c r="JNX5" s="390"/>
      <c r="JNY5" s="390"/>
      <c r="JNZ5" s="390"/>
      <c r="JOA5" s="390"/>
      <c r="JOB5" s="390"/>
      <c r="JOC5" s="390"/>
      <c r="JOD5" s="390"/>
      <c r="JOE5" s="390"/>
      <c r="JOF5" s="390"/>
      <c r="JOG5" s="390"/>
      <c r="JOH5" s="390"/>
      <c r="JOI5" s="390"/>
      <c r="JOJ5" s="390"/>
      <c r="JOK5" s="390"/>
      <c r="JOL5" s="390"/>
      <c r="JOM5" s="390"/>
      <c r="JON5" s="390"/>
      <c r="JOO5" s="390"/>
      <c r="JOP5" s="390"/>
      <c r="JOQ5" s="390"/>
      <c r="JOR5" s="390"/>
      <c r="JOS5" s="390"/>
      <c r="JOT5" s="390"/>
      <c r="JOU5" s="390"/>
      <c r="JOV5" s="390"/>
      <c r="JOW5" s="390"/>
      <c r="JOX5" s="390"/>
      <c r="JOY5" s="390"/>
      <c r="JOZ5" s="390"/>
      <c r="JPA5" s="390"/>
      <c r="JPB5" s="390"/>
      <c r="JPC5" s="390"/>
      <c r="JPD5" s="390"/>
      <c r="JPE5" s="390"/>
      <c r="JPF5" s="390"/>
      <c r="JPG5" s="390"/>
      <c r="JPH5" s="390"/>
      <c r="JPI5" s="390"/>
      <c r="JPJ5" s="390"/>
      <c r="JPK5" s="390"/>
      <c r="JPL5" s="390"/>
      <c r="JPM5" s="390"/>
      <c r="JPN5" s="390"/>
      <c r="JPO5" s="390"/>
      <c r="JPP5" s="390"/>
      <c r="JPQ5" s="390"/>
      <c r="JPR5" s="390"/>
      <c r="JPS5" s="390"/>
      <c r="JPT5" s="390"/>
      <c r="JPU5" s="390"/>
      <c r="JPV5" s="390"/>
      <c r="JPW5" s="390"/>
      <c r="JPX5" s="390"/>
      <c r="JPY5" s="390"/>
      <c r="JPZ5" s="390"/>
      <c r="JQA5" s="390"/>
      <c r="JQB5" s="390"/>
      <c r="JQC5" s="390"/>
      <c r="JQD5" s="390"/>
      <c r="JQE5" s="390"/>
      <c r="JQF5" s="390"/>
      <c r="JQG5" s="390"/>
      <c r="JQH5" s="390"/>
      <c r="JQI5" s="390"/>
      <c r="JQJ5" s="390"/>
      <c r="JQK5" s="390"/>
      <c r="JQL5" s="390"/>
      <c r="JQM5" s="390"/>
      <c r="JQN5" s="390"/>
      <c r="JQO5" s="390"/>
      <c r="JQP5" s="390"/>
      <c r="JQQ5" s="390"/>
      <c r="JQR5" s="390"/>
      <c r="JQS5" s="390"/>
      <c r="JQT5" s="390"/>
      <c r="JQU5" s="390"/>
      <c r="JQV5" s="390"/>
      <c r="JQW5" s="390"/>
      <c r="JQX5" s="390"/>
      <c r="JQY5" s="390"/>
      <c r="JQZ5" s="390"/>
      <c r="JRA5" s="390"/>
      <c r="JRB5" s="390"/>
      <c r="JRC5" s="390"/>
      <c r="JRD5" s="390"/>
      <c r="JRE5" s="390"/>
      <c r="JRF5" s="390"/>
      <c r="JRG5" s="390"/>
      <c r="JRH5" s="390"/>
      <c r="JRI5" s="390"/>
      <c r="JRJ5" s="390"/>
      <c r="JRK5" s="390"/>
      <c r="JRL5" s="390"/>
      <c r="JRM5" s="390"/>
      <c r="JRN5" s="390"/>
      <c r="JRO5" s="390"/>
      <c r="JRP5" s="390"/>
      <c r="JRQ5" s="390"/>
      <c r="JRR5" s="390"/>
      <c r="JRS5" s="390"/>
      <c r="JRT5" s="390"/>
      <c r="JRU5" s="390"/>
      <c r="JRV5" s="390"/>
      <c r="JRW5" s="390"/>
      <c r="JRX5" s="390"/>
      <c r="JRY5" s="390"/>
      <c r="JRZ5" s="390"/>
      <c r="JSA5" s="390"/>
      <c r="JSB5" s="390"/>
      <c r="JSC5" s="390"/>
      <c r="JSD5" s="390"/>
      <c r="JSE5" s="390"/>
      <c r="JSF5" s="390"/>
      <c r="JSG5" s="390"/>
      <c r="JSH5" s="390"/>
      <c r="JSI5" s="390"/>
      <c r="JSJ5" s="390"/>
      <c r="JSK5" s="390"/>
      <c r="JSL5" s="390"/>
      <c r="JSM5" s="390"/>
      <c r="JSN5" s="390"/>
      <c r="JSO5" s="390"/>
      <c r="JSP5" s="390"/>
      <c r="JSQ5" s="390"/>
      <c r="JSR5" s="390"/>
      <c r="JSS5" s="390"/>
      <c r="JST5" s="390"/>
      <c r="JSU5" s="390"/>
      <c r="JSV5" s="390"/>
      <c r="JSW5" s="390"/>
      <c r="JSX5" s="390"/>
      <c r="JSY5" s="390"/>
      <c r="JSZ5" s="390"/>
      <c r="JTA5" s="390"/>
      <c r="JTB5" s="390"/>
      <c r="JTC5" s="390"/>
      <c r="JTD5" s="390"/>
      <c r="JTE5" s="390"/>
      <c r="JTF5" s="390"/>
      <c r="JTG5" s="390"/>
      <c r="JTH5" s="390"/>
      <c r="JTI5" s="390"/>
      <c r="JTJ5" s="390"/>
      <c r="JTK5" s="390"/>
      <c r="JTL5" s="390"/>
      <c r="JTM5" s="390"/>
      <c r="JTN5" s="390"/>
      <c r="JTO5" s="390"/>
      <c r="JTP5" s="390"/>
      <c r="JTQ5" s="390"/>
      <c r="JTR5" s="390"/>
      <c r="JTS5" s="390"/>
      <c r="JTT5" s="390"/>
      <c r="JTU5" s="390"/>
      <c r="JTV5" s="390"/>
      <c r="JTW5" s="390"/>
      <c r="JTX5" s="390"/>
      <c r="JTY5" s="390"/>
      <c r="JTZ5" s="390"/>
      <c r="JUA5" s="390"/>
      <c r="JUB5" s="390"/>
      <c r="JUC5" s="390"/>
      <c r="JUD5" s="390"/>
      <c r="JUE5" s="390"/>
      <c r="JUF5" s="390"/>
      <c r="JUG5" s="390"/>
      <c r="JUH5" s="390"/>
      <c r="JUI5" s="390"/>
      <c r="JUJ5" s="390"/>
      <c r="JUK5" s="390"/>
      <c r="JUL5" s="390"/>
      <c r="JUM5" s="390"/>
      <c r="JUN5" s="390"/>
      <c r="JUO5" s="390"/>
      <c r="JUP5" s="390"/>
      <c r="JUQ5" s="390"/>
      <c r="JUR5" s="390"/>
      <c r="JUS5" s="390"/>
      <c r="JUT5" s="390"/>
      <c r="JUU5" s="390"/>
      <c r="JUV5" s="390"/>
      <c r="JUW5" s="390"/>
      <c r="JUX5" s="390"/>
      <c r="JUY5" s="390"/>
      <c r="JUZ5" s="390"/>
      <c r="JVA5" s="390"/>
      <c r="JVB5" s="390"/>
      <c r="JVC5" s="390"/>
      <c r="JVD5" s="390"/>
      <c r="JVE5" s="390"/>
      <c r="JVF5" s="390"/>
      <c r="JVG5" s="390"/>
      <c r="JVH5" s="390"/>
      <c r="JVI5" s="390"/>
      <c r="JVJ5" s="390"/>
      <c r="JVK5" s="390"/>
      <c r="JVL5" s="390"/>
      <c r="JVM5" s="390"/>
      <c r="JVN5" s="390"/>
      <c r="JVO5" s="390"/>
      <c r="JVP5" s="390"/>
      <c r="JVQ5" s="390"/>
      <c r="JVR5" s="390"/>
      <c r="JVS5" s="390"/>
      <c r="JVT5" s="390"/>
      <c r="JVU5" s="390"/>
      <c r="JVV5" s="390"/>
      <c r="JVW5" s="390"/>
      <c r="JVX5" s="390"/>
      <c r="JVY5" s="390"/>
      <c r="JVZ5" s="390"/>
      <c r="JWA5" s="390"/>
      <c r="JWB5" s="390"/>
      <c r="JWC5" s="390"/>
      <c r="JWD5" s="390"/>
      <c r="JWE5" s="390"/>
      <c r="JWF5" s="390"/>
      <c r="JWG5" s="390"/>
      <c r="JWH5" s="390"/>
      <c r="JWI5" s="390"/>
      <c r="JWJ5" s="390"/>
      <c r="JWK5" s="390"/>
      <c r="JWL5" s="390"/>
      <c r="JWM5" s="390"/>
      <c r="JWN5" s="390"/>
      <c r="JWO5" s="390"/>
      <c r="JWP5" s="390"/>
      <c r="JWQ5" s="390"/>
      <c r="JWR5" s="390"/>
      <c r="JWS5" s="390"/>
      <c r="JWT5" s="390"/>
      <c r="JWU5" s="390"/>
      <c r="JWV5" s="390"/>
      <c r="JWW5" s="390"/>
      <c r="JWX5" s="390"/>
      <c r="JWY5" s="390"/>
      <c r="JWZ5" s="390"/>
      <c r="JXA5" s="390"/>
      <c r="JXB5" s="390"/>
      <c r="JXC5" s="390"/>
      <c r="JXD5" s="390"/>
      <c r="JXE5" s="390"/>
      <c r="JXF5" s="390"/>
      <c r="JXG5" s="390"/>
      <c r="JXH5" s="390"/>
      <c r="JXI5" s="390"/>
      <c r="JXJ5" s="390"/>
      <c r="JXK5" s="390"/>
      <c r="JXL5" s="390"/>
      <c r="JXM5" s="390"/>
      <c r="JXN5" s="390"/>
      <c r="JXO5" s="390"/>
      <c r="JXP5" s="390"/>
      <c r="JXQ5" s="390"/>
      <c r="JXR5" s="390"/>
      <c r="JXS5" s="390"/>
      <c r="JXT5" s="390"/>
      <c r="JXU5" s="390"/>
      <c r="JXV5" s="390"/>
      <c r="JXW5" s="390"/>
      <c r="JXX5" s="390"/>
      <c r="JXY5" s="390"/>
      <c r="JXZ5" s="390"/>
      <c r="JYA5" s="390"/>
      <c r="JYB5" s="390"/>
      <c r="JYC5" s="390"/>
      <c r="JYD5" s="390"/>
      <c r="JYE5" s="390"/>
      <c r="JYF5" s="390"/>
      <c r="JYG5" s="390"/>
      <c r="JYH5" s="390"/>
      <c r="JYI5" s="390"/>
      <c r="JYJ5" s="390"/>
      <c r="JYK5" s="390"/>
      <c r="JYL5" s="390"/>
      <c r="JYM5" s="390"/>
      <c r="JYN5" s="390"/>
      <c r="JYO5" s="390"/>
      <c r="JYP5" s="390"/>
      <c r="JYQ5" s="390"/>
      <c r="JYR5" s="390"/>
      <c r="JYS5" s="390"/>
      <c r="JYT5" s="390"/>
      <c r="JYU5" s="390"/>
      <c r="JYV5" s="390"/>
      <c r="JYW5" s="390"/>
      <c r="JYX5" s="390"/>
      <c r="JYY5" s="390"/>
      <c r="JYZ5" s="390"/>
      <c r="JZA5" s="390"/>
      <c r="JZB5" s="390"/>
      <c r="JZC5" s="390"/>
      <c r="JZD5" s="390"/>
      <c r="JZE5" s="390"/>
      <c r="JZF5" s="390"/>
      <c r="JZG5" s="390"/>
      <c r="JZH5" s="390"/>
      <c r="JZI5" s="390"/>
      <c r="JZJ5" s="390"/>
      <c r="JZK5" s="390"/>
      <c r="JZL5" s="390"/>
      <c r="JZM5" s="390"/>
      <c r="JZN5" s="390"/>
      <c r="JZO5" s="390"/>
      <c r="JZP5" s="390"/>
      <c r="JZQ5" s="390"/>
      <c r="JZR5" s="390"/>
      <c r="JZS5" s="390"/>
      <c r="JZT5" s="390"/>
      <c r="JZU5" s="390"/>
      <c r="JZV5" s="390"/>
      <c r="JZW5" s="390"/>
      <c r="JZX5" s="390"/>
      <c r="JZY5" s="390"/>
      <c r="JZZ5" s="390"/>
      <c r="KAA5" s="390"/>
      <c r="KAB5" s="390"/>
      <c r="KAC5" s="390"/>
      <c r="KAD5" s="390"/>
      <c r="KAE5" s="390"/>
      <c r="KAF5" s="390"/>
      <c r="KAG5" s="390"/>
      <c r="KAH5" s="390"/>
      <c r="KAI5" s="390"/>
      <c r="KAJ5" s="390"/>
      <c r="KAK5" s="390"/>
      <c r="KAL5" s="390"/>
      <c r="KAM5" s="390"/>
      <c r="KAN5" s="390"/>
      <c r="KAO5" s="390"/>
      <c r="KAP5" s="390"/>
      <c r="KAQ5" s="390"/>
      <c r="KAR5" s="390"/>
      <c r="KAS5" s="390"/>
      <c r="KAT5" s="390"/>
      <c r="KAU5" s="390"/>
      <c r="KAV5" s="390"/>
      <c r="KAW5" s="390"/>
      <c r="KAX5" s="390"/>
      <c r="KAY5" s="390"/>
      <c r="KAZ5" s="390"/>
      <c r="KBA5" s="390"/>
      <c r="KBB5" s="390"/>
      <c r="KBC5" s="390"/>
      <c r="KBD5" s="390"/>
      <c r="KBE5" s="390"/>
      <c r="KBF5" s="390"/>
      <c r="KBG5" s="390"/>
      <c r="KBH5" s="390"/>
      <c r="KBI5" s="390"/>
      <c r="KBJ5" s="390"/>
      <c r="KBK5" s="390"/>
      <c r="KBL5" s="390"/>
      <c r="KBM5" s="390"/>
      <c r="KBN5" s="390"/>
      <c r="KBO5" s="390"/>
      <c r="KBP5" s="390"/>
      <c r="KBQ5" s="390"/>
      <c r="KBR5" s="390"/>
      <c r="KBS5" s="390"/>
      <c r="KBT5" s="390"/>
      <c r="KBU5" s="390"/>
      <c r="KBV5" s="390"/>
      <c r="KBW5" s="390"/>
      <c r="KBX5" s="390"/>
      <c r="KBY5" s="390"/>
      <c r="KBZ5" s="390"/>
      <c r="KCA5" s="390"/>
      <c r="KCB5" s="390"/>
      <c r="KCC5" s="390"/>
      <c r="KCD5" s="390"/>
      <c r="KCE5" s="390"/>
      <c r="KCF5" s="390"/>
      <c r="KCG5" s="390"/>
      <c r="KCH5" s="390"/>
      <c r="KCI5" s="390"/>
      <c r="KCJ5" s="390"/>
      <c r="KCK5" s="390"/>
      <c r="KCL5" s="390"/>
      <c r="KCM5" s="390"/>
      <c r="KCN5" s="390"/>
      <c r="KCO5" s="390"/>
      <c r="KCP5" s="390"/>
      <c r="KCQ5" s="390"/>
      <c r="KCR5" s="390"/>
      <c r="KCS5" s="390"/>
      <c r="KCT5" s="390"/>
      <c r="KCU5" s="390"/>
      <c r="KCV5" s="390"/>
      <c r="KCW5" s="390"/>
      <c r="KCX5" s="390"/>
      <c r="KCY5" s="390"/>
      <c r="KCZ5" s="390"/>
      <c r="KDA5" s="390"/>
      <c r="KDB5" s="390"/>
      <c r="KDC5" s="390"/>
      <c r="KDD5" s="390"/>
      <c r="KDE5" s="390"/>
      <c r="KDF5" s="390"/>
      <c r="KDG5" s="390"/>
      <c r="KDH5" s="390"/>
      <c r="KDI5" s="390"/>
      <c r="KDJ5" s="390"/>
      <c r="KDK5" s="390"/>
      <c r="KDL5" s="390"/>
      <c r="KDM5" s="390"/>
      <c r="KDN5" s="390"/>
      <c r="KDO5" s="390"/>
      <c r="KDP5" s="390"/>
      <c r="KDQ5" s="390"/>
      <c r="KDR5" s="390"/>
      <c r="KDS5" s="390"/>
      <c r="KDT5" s="390"/>
      <c r="KDU5" s="390"/>
      <c r="KDV5" s="390"/>
      <c r="KDW5" s="390"/>
      <c r="KDX5" s="390"/>
      <c r="KDY5" s="390"/>
      <c r="KDZ5" s="390"/>
      <c r="KEA5" s="390"/>
      <c r="KEB5" s="390"/>
      <c r="KEC5" s="390"/>
      <c r="KED5" s="390"/>
      <c r="KEE5" s="390"/>
      <c r="KEF5" s="390"/>
      <c r="KEG5" s="390"/>
      <c r="KEH5" s="390"/>
      <c r="KEI5" s="390"/>
      <c r="KEJ5" s="390"/>
      <c r="KEK5" s="390"/>
      <c r="KEL5" s="390"/>
      <c r="KEM5" s="390"/>
      <c r="KEN5" s="390"/>
      <c r="KEO5" s="390"/>
      <c r="KEP5" s="390"/>
      <c r="KEQ5" s="390"/>
      <c r="KER5" s="390"/>
      <c r="KES5" s="390"/>
      <c r="KET5" s="390"/>
      <c r="KEU5" s="390"/>
      <c r="KEV5" s="390"/>
      <c r="KEW5" s="390"/>
      <c r="KEX5" s="390"/>
      <c r="KEY5" s="390"/>
      <c r="KEZ5" s="390"/>
      <c r="KFA5" s="390"/>
      <c r="KFB5" s="390"/>
      <c r="KFC5" s="390"/>
      <c r="KFD5" s="390"/>
      <c r="KFE5" s="390"/>
      <c r="KFF5" s="390"/>
      <c r="KFG5" s="390"/>
      <c r="KFH5" s="390"/>
      <c r="KFI5" s="390"/>
      <c r="KFJ5" s="390"/>
      <c r="KFK5" s="390"/>
      <c r="KFL5" s="390"/>
      <c r="KFM5" s="390"/>
      <c r="KFN5" s="390"/>
      <c r="KFO5" s="390"/>
      <c r="KFP5" s="390"/>
      <c r="KFQ5" s="390"/>
      <c r="KFR5" s="390"/>
      <c r="KFS5" s="390"/>
      <c r="KFT5" s="390"/>
      <c r="KFU5" s="390"/>
      <c r="KFV5" s="390"/>
      <c r="KFW5" s="390"/>
      <c r="KFX5" s="390"/>
      <c r="KFY5" s="390"/>
      <c r="KFZ5" s="390"/>
      <c r="KGA5" s="390"/>
      <c r="KGB5" s="390"/>
      <c r="KGC5" s="390"/>
      <c r="KGD5" s="390"/>
      <c r="KGE5" s="390"/>
      <c r="KGF5" s="390"/>
      <c r="KGG5" s="390"/>
      <c r="KGH5" s="390"/>
      <c r="KGI5" s="390"/>
      <c r="KGJ5" s="390"/>
      <c r="KGK5" s="390"/>
      <c r="KGL5" s="390"/>
      <c r="KGM5" s="390"/>
      <c r="KGN5" s="390"/>
      <c r="KGO5" s="390"/>
      <c r="KGP5" s="390"/>
      <c r="KGQ5" s="390"/>
      <c r="KGR5" s="390"/>
      <c r="KGS5" s="390"/>
      <c r="KGT5" s="390"/>
      <c r="KGU5" s="390"/>
      <c r="KGV5" s="390"/>
      <c r="KGW5" s="390"/>
      <c r="KGX5" s="390"/>
      <c r="KGY5" s="390"/>
      <c r="KGZ5" s="390"/>
      <c r="KHA5" s="390"/>
      <c r="KHB5" s="390"/>
      <c r="KHC5" s="390"/>
      <c r="KHD5" s="390"/>
      <c r="KHE5" s="390"/>
      <c r="KHF5" s="390"/>
      <c r="KHG5" s="390"/>
      <c r="KHH5" s="390"/>
      <c r="KHI5" s="390"/>
      <c r="KHJ5" s="390"/>
      <c r="KHK5" s="390"/>
      <c r="KHL5" s="390"/>
      <c r="KHM5" s="390"/>
      <c r="KHN5" s="390"/>
      <c r="KHO5" s="390"/>
      <c r="KHP5" s="390"/>
      <c r="KHQ5" s="390"/>
      <c r="KHR5" s="390"/>
      <c r="KHS5" s="390"/>
      <c r="KHT5" s="390"/>
      <c r="KHU5" s="390"/>
      <c r="KHV5" s="390"/>
      <c r="KHW5" s="390"/>
      <c r="KHX5" s="390"/>
      <c r="KHY5" s="390"/>
      <c r="KHZ5" s="390"/>
      <c r="KIA5" s="390"/>
      <c r="KIB5" s="390"/>
      <c r="KIC5" s="390"/>
      <c r="KID5" s="390"/>
      <c r="KIE5" s="390"/>
      <c r="KIF5" s="390"/>
      <c r="KIG5" s="390"/>
      <c r="KIH5" s="390"/>
      <c r="KII5" s="390"/>
      <c r="KIJ5" s="390"/>
      <c r="KIK5" s="390"/>
      <c r="KIL5" s="390"/>
      <c r="KIM5" s="390"/>
      <c r="KIN5" s="390"/>
      <c r="KIO5" s="390"/>
      <c r="KIP5" s="390"/>
      <c r="KIQ5" s="390"/>
      <c r="KIR5" s="390"/>
      <c r="KIS5" s="390"/>
      <c r="KIT5" s="390"/>
      <c r="KIU5" s="390"/>
      <c r="KIV5" s="390"/>
      <c r="KIW5" s="390"/>
      <c r="KIX5" s="390"/>
      <c r="KIY5" s="390"/>
      <c r="KIZ5" s="390"/>
      <c r="KJA5" s="390"/>
      <c r="KJB5" s="390"/>
      <c r="KJC5" s="390"/>
      <c r="KJD5" s="390"/>
      <c r="KJE5" s="390"/>
      <c r="KJF5" s="390"/>
      <c r="KJG5" s="390"/>
      <c r="KJH5" s="390"/>
      <c r="KJI5" s="390"/>
      <c r="KJJ5" s="390"/>
      <c r="KJK5" s="390"/>
      <c r="KJL5" s="390"/>
      <c r="KJM5" s="390"/>
      <c r="KJN5" s="390"/>
      <c r="KJO5" s="390"/>
      <c r="KJP5" s="390"/>
      <c r="KJQ5" s="390"/>
      <c r="KJR5" s="390"/>
      <c r="KJS5" s="390"/>
      <c r="KJT5" s="390"/>
      <c r="KJU5" s="390"/>
      <c r="KJV5" s="390"/>
      <c r="KJW5" s="390"/>
      <c r="KJX5" s="390"/>
      <c r="KJY5" s="390"/>
      <c r="KJZ5" s="390"/>
      <c r="KKA5" s="390"/>
      <c r="KKB5" s="390"/>
      <c r="KKC5" s="390"/>
      <c r="KKD5" s="390"/>
      <c r="KKE5" s="390"/>
      <c r="KKF5" s="390"/>
      <c r="KKG5" s="390"/>
      <c r="KKH5" s="390"/>
      <c r="KKI5" s="390"/>
      <c r="KKJ5" s="390"/>
      <c r="KKK5" s="390"/>
      <c r="KKL5" s="390"/>
      <c r="KKM5" s="390"/>
      <c r="KKN5" s="390"/>
      <c r="KKO5" s="390"/>
      <c r="KKP5" s="390"/>
      <c r="KKQ5" s="390"/>
      <c r="KKR5" s="390"/>
      <c r="KKS5" s="390"/>
      <c r="KKT5" s="390"/>
      <c r="KKU5" s="390"/>
      <c r="KKV5" s="390"/>
      <c r="KKW5" s="390"/>
      <c r="KKX5" s="390"/>
      <c r="KKY5" s="390"/>
      <c r="KKZ5" s="390"/>
      <c r="KLA5" s="390"/>
      <c r="KLB5" s="390"/>
      <c r="KLC5" s="390"/>
      <c r="KLD5" s="390"/>
      <c r="KLE5" s="390"/>
      <c r="KLF5" s="390"/>
      <c r="KLG5" s="390"/>
      <c r="KLH5" s="390"/>
      <c r="KLI5" s="390"/>
      <c r="KLJ5" s="390"/>
      <c r="KLK5" s="390"/>
      <c r="KLL5" s="390"/>
      <c r="KLM5" s="390"/>
      <c r="KLN5" s="390"/>
      <c r="KLO5" s="390"/>
      <c r="KLP5" s="390"/>
      <c r="KLQ5" s="390"/>
      <c r="KLR5" s="390"/>
      <c r="KLS5" s="390"/>
      <c r="KLT5" s="390"/>
      <c r="KLU5" s="390"/>
      <c r="KLV5" s="390"/>
      <c r="KLW5" s="390"/>
      <c r="KLX5" s="390"/>
      <c r="KLY5" s="390"/>
      <c r="KLZ5" s="390"/>
      <c r="KMA5" s="390"/>
      <c r="KMB5" s="390"/>
      <c r="KMC5" s="390"/>
      <c r="KMD5" s="390"/>
      <c r="KME5" s="390"/>
      <c r="KMF5" s="390"/>
      <c r="KMG5" s="390"/>
      <c r="KMH5" s="390"/>
      <c r="KMI5" s="390"/>
      <c r="KMJ5" s="390"/>
      <c r="KMK5" s="390"/>
      <c r="KML5" s="390"/>
      <c r="KMM5" s="390"/>
      <c r="KMN5" s="390"/>
      <c r="KMO5" s="390"/>
      <c r="KMP5" s="390"/>
      <c r="KMQ5" s="390"/>
      <c r="KMR5" s="390"/>
      <c r="KMS5" s="390"/>
      <c r="KMT5" s="390"/>
      <c r="KMU5" s="390"/>
      <c r="KMV5" s="390"/>
      <c r="KMW5" s="390"/>
      <c r="KMX5" s="390"/>
      <c r="KMY5" s="390"/>
      <c r="KMZ5" s="390"/>
      <c r="KNA5" s="390"/>
      <c r="KNB5" s="390"/>
      <c r="KNC5" s="390"/>
      <c r="KND5" s="390"/>
      <c r="KNE5" s="390"/>
      <c r="KNF5" s="390"/>
      <c r="KNG5" s="390"/>
      <c r="KNH5" s="390"/>
      <c r="KNI5" s="390"/>
      <c r="KNJ5" s="390"/>
      <c r="KNK5" s="390"/>
      <c r="KNL5" s="390"/>
      <c r="KNM5" s="390"/>
      <c r="KNN5" s="390"/>
      <c r="KNO5" s="390"/>
      <c r="KNP5" s="390"/>
      <c r="KNQ5" s="390"/>
      <c r="KNR5" s="390"/>
      <c r="KNS5" s="390"/>
      <c r="KNT5" s="390"/>
      <c r="KNU5" s="390"/>
      <c r="KNV5" s="390"/>
      <c r="KNW5" s="390"/>
      <c r="KNX5" s="390"/>
      <c r="KNY5" s="390"/>
      <c r="KNZ5" s="390"/>
      <c r="KOA5" s="390"/>
      <c r="KOB5" s="390"/>
      <c r="KOC5" s="390"/>
      <c r="KOD5" s="390"/>
      <c r="KOE5" s="390"/>
      <c r="KOF5" s="390"/>
      <c r="KOG5" s="390"/>
      <c r="KOH5" s="390"/>
      <c r="KOI5" s="390"/>
      <c r="KOJ5" s="390"/>
      <c r="KOK5" s="390"/>
      <c r="KOL5" s="390"/>
      <c r="KOM5" s="390"/>
      <c r="KON5" s="390"/>
      <c r="KOO5" s="390"/>
      <c r="KOP5" s="390"/>
      <c r="KOQ5" s="390"/>
      <c r="KOR5" s="390"/>
      <c r="KOS5" s="390"/>
      <c r="KOT5" s="390"/>
      <c r="KOU5" s="390"/>
      <c r="KOV5" s="390"/>
      <c r="KOW5" s="390"/>
      <c r="KOX5" s="390"/>
      <c r="KOY5" s="390"/>
      <c r="KOZ5" s="390"/>
      <c r="KPA5" s="390"/>
      <c r="KPB5" s="390"/>
      <c r="KPC5" s="390"/>
      <c r="KPD5" s="390"/>
      <c r="KPE5" s="390"/>
      <c r="KPF5" s="390"/>
      <c r="KPG5" s="390"/>
      <c r="KPH5" s="390"/>
      <c r="KPI5" s="390"/>
      <c r="KPJ5" s="390"/>
      <c r="KPK5" s="390"/>
      <c r="KPL5" s="390"/>
      <c r="KPM5" s="390"/>
      <c r="KPN5" s="390"/>
      <c r="KPO5" s="390"/>
      <c r="KPP5" s="390"/>
      <c r="KPQ5" s="390"/>
      <c r="KPR5" s="390"/>
      <c r="KPS5" s="390"/>
      <c r="KPT5" s="390"/>
      <c r="KPU5" s="390"/>
      <c r="KPV5" s="390"/>
      <c r="KPW5" s="390"/>
      <c r="KPX5" s="390"/>
      <c r="KPY5" s="390"/>
      <c r="KPZ5" s="390"/>
      <c r="KQA5" s="390"/>
      <c r="KQB5" s="390"/>
      <c r="KQC5" s="390"/>
      <c r="KQD5" s="390"/>
      <c r="KQE5" s="390"/>
      <c r="KQF5" s="390"/>
      <c r="KQG5" s="390"/>
      <c r="KQH5" s="390"/>
      <c r="KQI5" s="390"/>
      <c r="KQJ5" s="390"/>
      <c r="KQK5" s="390"/>
      <c r="KQL5" s="390"/>
      <c r="KQM5" s="390"/>
      <c r="KQN5" s="390"/>
      <c r="KQO5" s="390"/>
      <c r="KQP5" s="390"/>
      <c r="KQQ5" s="390"/>
      <c r="KQR5" s="390"/>
      <c r="KQS5" s="390"/>
      <c r="KQT5" s="390"/>
      <c r="KQU5" s="390"/>
      <c r="KQV5" s="390"/>
      <c r="KQW5" s="390"/>
      <c r="KQX5" s="390"/>
      <c r="KQY5" s="390"/>
      <c r="KQZ5" s="390"/>
      <c r="KRA5" s="390"/>
      <c r="KRB5" s="390"/>
      <c r="KRC5" s="390"/>
      <c r="KRD5" s="390"/>
      <c r="KRE5" s="390"/>
      <c r="KRF5" s="390"/>
      <c r="KRG5" s="390"/>
      <c r="KRH5" s="390"/>
      <c r="KRI5" s="390"/>
      <c r="KRJ5" s="390"/>
      <c r="KRK5" s="390"/>
      <c r="KRL5" s="390"/>
      <c r="KRM5" s="390"/>
      <c r="KRN5" s="390"/>
      <c r="KRO5" s="390"/>
      <c r="KRP5" s="390"/>
      <c r="KRQ5" s="390"/>
      <c r="KRR5" s="390"/>
      <c r="KRS5" s="390"/>
      <c r="KRT5" s="390"/>
      <c r="KRU5" s="390"/>
      <c r="KRV5" s="390"/>
      <c r="KRW5" s="390"/>
      <c r="KRX5" s="390"/>
      <c r="KRY5" s="390"/>
      <c r="KRZ5" s="390"/>
      <c r="KSA5" s="390"/>
      <c r="KSB5" s="390"/>
      <c r="KSC5" s="390"/>
      <c r="KSD5" s="390"/>
      <c r="KSE5" s="390"/>
      <c r="KSF5" s="390"/>
      <c r="KSG5" s="390"/>
      <c r="KSH5" s="390"/>
      <c r="KSI5" s="390"/>
      <c r="KSJ5" s="390"/>
      <c r="KSK5" s="390"/>
      <c r="KSL5" s="390"/>
      <c r="KSM5" s="390"/>
      <c r="KSN5" s="390"/>
      <c r="KSO5" s="390"/>
      <c r="KSP5" s="390"/>
      <c r="KSQ5" s="390"/>
      <c r="KSR5" s="390"/>
      <c r="KSS5" s="390"/>
      <c r="KST5" s="390"/>
      <c r="KSU5" s="390"/>
      <c r="KSV5" s="390"/>
      <c r="KSW5" s="390"/>
      <c r="KSX5" s="390"/>
      <c r="KSY5" s="390"/>
      <c r="KSZ5" s="390"/>
      <c r="KTA5" s="390"/>
      <c r="KTB5" s="390"/>
      <c r="KTC5" s="390"/>
      <c r="KTD5" s="390"/>
      <c r="KTE5" s="390"/>
      <c r="KTF5" s="390"/>
      <c r="KTG5" s="390"/>
      <c r="KTH5" s="390"/>
      <c r="KTI5" s="390"/>
      <c r="KTJ5" s="390"/>
      <c r="KTK5" s="390"/>
      <c r="KTL5" s="390"/>
      <c r="KTM5" s="390"/>
      <c r="KTN5" s="390"/>
      <c r="KTO5" s="390"/>
      <c r="KTP5" s="390"/>
      <c r="KTQ5" s="390"/>
      <c r="KTR5" s="390"/>
      <c r="KTS5" s="390"/>
      <c r="KTT5" s="390"/>
      <c r="KTU5" s="390"/>
      <c r="KTV5" s="390"/>
      <c r="KTW5" s="390"/>
      <c r="KTX5" s="390"/>
      <c r="KTY5" s="390"/>
      <c r="KTZ5" s="390"/>
      <c r="KUA5" s="390"/>
      <c r="KUB5" s="390"/>
      <c r="KUC5" s="390"/>
      <c r="KUD5" s="390"/>
      <c r="KUE5" s="390"/>
      <c r="KUF5" s="390"/>
      <c r="KUG5" s="390"/>
      <c r="KUH5" s="390"/>
      <c r="KUI5" s="390"/>
      <c r="KUJ5" s="390"/>
      <c r="KUK5" s="390"/>
      <c r="KUL5" s="390"/>
      <c r="KUM5" s="390"/>
      <c r="KUN5" s="390"/>
      <c r="KUO5" s="390"/>
      <c r="KUP5" s="390"/>
      <c r="KUQ5" s="390"/>
      <c r="KUR5" s="390"/>
      <c r="KUS5" s="390"/>
      <c r="KUT5" s="390"/>
      <c r="KUU5" s="390"/>
      <c r="KUV5" s="390"/>
      <c r="KUW5" s="390"/>
      <c r="KUX5" s="390"/>
      <c r="KUY5" s="390"/>
      <c r="KUZ5" s="390"/>
      <c r="KVA5" s="390"/>
      <c r="KVB5" s="390"/>
      <c r="KVC5" s="390"/>
      <c r="KVD5" s="390"/>
      <c r="KVE5" s="390"/>
      <c r="KVF5" s="390"/>
      <c r="KVG5" s="390"/>
      <c r="KVH5" s="390"/>
      <c r="KVI5" s="390"/>
      <c r="KVJ5" s="390"/>
      <c r="KVK5" s="390"/>
      <c r="KVL5" s="390"/>
      <c r="KVM5" s="390"/>
      <c r="KVN5" s="390"/>
      <c r="KVO5" s="390"/>
      <c r="KVP5" s="390"/>
      <c r="KVQ5" s="390"/>
      <c r="KVR5" s="390"/>
      <c r="KVS5" s="390"/>
      <c r="KVT5" s="390"/>
      <c r="KVU5" s="390"/>
      <c r="KVV5" s="390"/>
      <c r="KVW5" s="390"/>
      <c r="KVX5" s="390"/>
      <c r="KVY5" s="390"/>
      <c r="KVZ5" s="390"/>
      <c r="KWA5" s="390"/>
      <c r="KWB5" s="390"/>
      <c r="KWC5" s="390"/>
      <c r="KWD5" s="390"/>
      <c r="KWE5" s="390"/>
      <c r="KWF5" s="390"/>
      <c r="KWG5" s="390"/>
      <c r="KWH5" s="390"/>
      <c r="KWI5" s="390"/>
      <c r="KWJ5" s="390"/>
      <c r="KWK5" s="390"/>
      <c r="KWL5" s="390"/>
      <c r="KWM5" s="390"/>
      <c r="KWN5" s="390"/>
      <c r="KWO5" s="390"/>
      <c r="KWP5" s="390"/>
      <c r="KWQ5" s="390"/>
      <c r="KWR5" s="390"/>
      <c r="KWS5" s="390"/>
      <c r="KWT5" s="390"/>
      <c r="KWU5" s="390"/>
      <c r="KWV5" s="390"/>
      <c r="KWW5" s="390"/>
      <c r="KWX5" s="390"/>
      <c r="KWY5" s="390"/>
      <c r="KWZ5" s="390"/>
      <c r="KXA5" s="390"/>
      <c r="KXB5" s="390"/>
      <c r="KXC5" s="390"/>
      <c r="KXD5" s="390"/>
      <c r="KXE5" s="390"/>
      <c r="KXF5" s="390"/>
      <c r="KXG5" s="390"/>
      <c r="KXH5" s="390"/>
      <c r="KXI5" s="390"/>
      <c r="KXJ5" s="390"/>
      <c r="KXK5" s="390"/>
      <c r="KXL5" s="390"/>
      <c r="KXM5" s="390"/>
      <c r="KXN5" s="390"/>
      <c r="KXO5" s="390"/>
      <c r="KXP5" s="390"/>
      <c r="KXQ5" s="390"/>
      <c r="KXR5" s="390"/>
      <c r="KXS5" s="390"/>
      <c r="KXT5" s="390"/>
      <c r="KXU5" s="390"/>
      <c r="KXV5" s="390"/>
      <c r="KXW5" s="390"/>
      <c r="KXX5" s="390"/>
      <c r="KXY5" s="390"/>
      <c r="KXZ5" s="390"/>
      <c r="KYA5" s="390"/>
      <c r="KYB5" s="390"/>
      <c r="KYC5" s="390"/>
      <c r="KYD5" s="390"/>
      <c r="KYE5" s="390"/>
      <c r="KYF5" s="390"/>
      <c r="KYG5" s="390"/>
      <c r="KYH5" s="390"/>
      <c r="KYI5" s="390"/>
      <c r="KYJ5" s="390"/>
      <c r="KYK5" s="390"/>
      <c r="KYL5" s="390"/>
      <c r="KYM5" s="390"/>
      <c r="KYN5" s="390"/>
      <c r="KYO5" s="390"/>
      <c r="KYP5" s="390"/>
      <c r="KYQ5" s="390"/>
      <c r="KYR5" s="390"/>
      <c r="KYS5" s="390"/>
      <c r="KYT5" s="390"/>
      <c r="KYU5" s="390"/>
      <c r="KYV5" s="390"/>
      <c r="KYW5" s="390"/>
      <c r="KYX5" s="390"/>
      <c r="KYY5" s="390"/>
      <c r="KYZ5" s="390"/>
      <c r="KZA5" s="390"/>
      <c r="KZB5" s="390"/>
      <c r="KZC5" s="390"/>
      <c r="KZD5" s="390"/>
      <c r="KZE5" s="390"/>
      <c r="KZF5" s="390"/>
      <c r="KZG5" s="390"/>
      <c r="KZH5" s="390"/>
      <c r="KZI5" s="390"/>
      <c r="KZJ5" s="390"/>
      <c r="KZK5" s="390"/>
      <c r="KZL5" s="390"/>
      <c r="KZM5" s="390"/>
      <c r="KZN5" s="390"/>
      <c r="KZO5" s="390"/>
      <c r="KZP5" s="390"/>
      <c r="KZQ5" s="390"/>
      <c r="KZR5" s="390"/>
      <c r="KZS5" s="390"/>
      <c r="KZT5" s="390"/>
      <c r="KZU5" s="390"/>
      <c r="KZV5" s="390"/>
      <c r="KZW5" s="390"/>
      <c r="KZX5" s="390"/>
      <c r="KZY5" s="390"/>
      <c r="KZZ5" s="390"/>
      <c r="LAA5" s="390"/>
      <c r="LAB5" s="390"/>
      <c r="LAC5" s="390"/>
      <c r="LAD5" s="390"/>
      <c r="LAE5" s="390"/>
      <c r="LAF5" s="390"/>
      <c r="LAG5" s="390"/>
      <c r="LAH5" s="390"/>
      <c r="LAI5" s="390"/>
      <c r="LAJ5" s="390"/>
      <c r="LAK5" s="390"/>
      <c r="LAL5" s="390"/>
      <c r="LAM5" s="390"/>
      <c r="LAN5" s="390"/>
      <c r="LAO5" s="390"/>
      <c r="LAP5" s="390"/>
      <c r="LAQ5" s="390"/>
      <c r="LAR5" s="390"/>
      <c r="LAS5" s="390"/>
      <c r="LAT5" s="390"/>
      <c r="LAU5" s="390"/>
      <c r="LAV5" s="390"/>
      <c r="LAW5" s="390"/>
      <c r="LAX5" s="390"/>
      <c r="LAY5" s="390"/>
      <c r="LAZ5" s="390"/>
      <c r="LBA5" s="390"/>
      <c r="LBB5" s="390"/>
      <c r="LBC5" s="390"/>
      <c r="LBD5" s="390"/>
      <c r="LBE5" s="390"/>
      <c r="LBF5" s="390"/>
      <c r="LBG5" s="390"/>
      <c r="LBH5" s="390"/>
      <c r="LBI5" s="390"/>
      <c r="LBJ5" s="390"/>
      <c r="LBK5" s="390"/>
      <c r="LBL5" s="390"/>
      <c r="LBM5" s="390"/>
      <c r="LBN5" s="390"/>
      <c r="LBO5" s="390"/>
      <c r="LBP5" s="390"/>
      <c r="LBQ5" s="390"/>
      <c r="LBR5" s="390"/>
      <c r="LBS5" s="390"/>
      <c r="LBT5" s="390"/>
      <c r="LBU5" s="390"/>
      <c r="LBV5" s="390"/>
      <c r="LBW5" s="390"/>
      <c r="LBX5" s="390"/>
      <c r="LBY5" s="390"/>
      <c r="LBZ5" s="390"/>
      <c r="LCA5" s="390"/>
      <c r="LCB5" s="390"/>
      <c r="LCC5" s="390"/>
      <c r="LCD5" s="390"/>
      <c r="LCE5" s="390"/>
      <c r="LCF5" s="390"/>
      <c r="LCG5" s="390"/>
      <c r="LCH5" s="390"/>
      <c r="LCI5" s="390"/>
      <c r="LCJ5" s="390"/>
      <c r="LCK5" s="390"/>
      <c r="LCL5" s="390"/>
      <c r="LCM5" s="390"/>
      <c r="LCN5" s="390"/>
      <c r="LCO5" s="390"/>
      <c r="LCP5" s="390"/>
      <c r="LCQ5" s="390"/>
      <c r="LCR5" s="390"/>
      <c r="LCS5" s="390"/>
      <c r="LCT5" s="390"/>
      <c r="LCU5" s="390"/>
      <c r="LCV5" s="390"/>
      <c r="LCW5" s="390"/>
      <c r="LCX5" s="390"/>
      <c r="LCY5" s="390"/>
      <c r="LCZ5" s="390"/>
      <c r="LDA5" s="390"/>
      <c r="LDB5" s="390"/>
      <c r="LDC5" s="390"/>
      <c r="LDD5" s="390"/>
      <c r="LDE5" s="390"/>
      <c r="LDF5" s="390"/>
      <c r="LDG5" s="390"/>
      <c r="LDH5" s="390"/>
      <c r="LDI5" s="390"/>
      <c r="LDJ5" s="390"/>
      <c r="LDK5" s="390"/>
      <c r="LDL5" s="390"/>
      <c r="LDM5" s="390"/>
      <c r="LDN5" s="390"/>
      <c r="LDO5" s="390"/>
      <c r="LDP5" s="390"/>
      <c r="LDQ5" s="390"/>
      <c r="LDR5" s="390"/>
      <c r="LDS5" s="390"/>
      <c r="LDT5" s="390"/>
      <c r="LDU5" s="390"/>
      <c r="LDV5" s="390"/>
      <c r="LDW5" s="390"/>
      <c r="LDX5" s="390"/>
      <c r="LDY5" s="390"/>
      <c r="LDZ5" s="390"/>
      <c r="LEA5" s="390"/>
      <c r="LEB5" s="390"/>
      <c r="LEC5" s="390"/>
      <c r="LED5" s="390"/>
      <c r="LEE5" s="390"/>
      <c r="LEF5" s="390"/>
      <c r="LEG5" s="390"/>
      <c r="LEH5" s="390"/>
      <c r="LEI5" s="390"/>
      <c r="LEJ5" s="390"/>
      <c r="LEK5" s="390"/>
      <c r="LEL5" s="390"/>
      <c r="LEM5" s="390"/>
      <c r="LEN5" s="390"/>
      <c r="LEO5" s="390"/>
      <c r="LEP5" s="390"/>
      <c r="LEQ5" s="390"/>
      <c r="LER5" s="390"/>
      <c r="LES5" s="390"/>
      <c r="LET5" s="390"/>
      <c r="LEU5" s="390"/>
      <c r="LEV5" s="390"/>
      <c r="LEW5" s="390"/>
      <c r="LEX5" s="390"/>
      <c r="LEY5" s="390"/>
      <c r="LEZ5" s="390"/>
      <c r="LFA5" s="390"/>
      <c r="LFB5" s="390"/>
      <c r="LFC5" s="390"/>
      <c r="LFD5" s="390"/>
      <c r="LFE5" s="390"/>
      <c r="LFF5" s="390"/>
      <c r="LFG5" s="390"/>
      <c r="LFH5" s="390"/>
      <c r="LFI5" s="390"/>
      <c r="LFJ5" s="390"/>
      <c r="LFK5" s="390"/>
      <c r="LFL5" s="390"/>
      <c r="LFM5" s="390"/>
      <c r="LFN5" s="390"/>
      <c r="LFO5" s="390"/>
      <c r="LFP5" s="390"/>
      <c r="LFQ5" s="390"/>
      <c r="LFR5" s="390"/>
      <c r="LFS5" s="390"/>
      <c r="LFT5" s="390"/>
      <c r="LFU5" s="390"/>
      <c r="LFV5" s="390"/>
      <c r="LFW5" s="390"/>
      <c r="LFX5" s="390"/>
      <c r="LFY5" s="390"/>
      <c r="LFZ5" s="390"/>
      <c r="LGA5" s="390"/>
      <c r="LGB5" s="390"/>
      <c r="LGC5" s="390"/>
      <c r="LGD5" s="390"/>
      <c r="LGE5" s="390"/>
      <c r="LGF5" s="390"/>
      <c r="LGG5" s="390"/>
      <c r="LGH5" s="390"/>
      <c r="LGI5" s="390"/>
      <c r="LGJ5" s="390"/>
      <c r="LGK5" s="390"/>
      <c r="LGL5" s="390"/>
      <c r="LGM5" s="390"/>
      <c r="LGN5" s="390"/>
      <c r="LGO5" s="390"/>
      <c r="LGP5" s="390"/>
      <c r="LGQ5" s="390"/>
      <c r="LGR5" s="390"/>
      <c r="LGS5" s="390"/>
      <c r="LGT5" s="390"/>
      <c r="LGU5" s="390"/>
      <c r="LGV5" s="390"/>
      <c r="LGW5" s="390"/>
      <c r="LGX5" s="390"/>
      <c r="LGY5" s="390"/>
      <c r="LGZ5" s="390"/>
      <c r="LHA5" s="390"/>
      <c r="LHB5" s="390"/>
      <c r="LHC5" s="390"/>
      <c r="LHD5" s="390"/>
      <c r="LHE5" s="390"/>
      <c r="LHF5" s="390"/>
      <c r="LHG5" s="390"/>
      <c r="LHH5" s="390"/>
      <c r="LHI5" s="390"/>
      <c r="LHJ5" s="390"/>
      <c r="LHK5" s="390"/>
      <c r="LHL5" s="390"/>
      <c r="LHM5" s="390"/>
      <c r="LHN5" s="390"/>
      <c r="LHO5" s="390"/>
      <c r="LHP5" s="390"/>
      <c r="LHQ5" s="390"/>
      <c r="LHR5" s="390"/>
      <c r="LHS5" s="390"/>
      <c r="LHT5" s="390"/>
      <c r="LHU5" s="390"/>
      <c r="LHV5" s="390"/>
      <c r="LHW5" s="390"/>
      <c r="LHX5" s="390"/>
      <c r="LHY5" s="390"/>
      <c r="LHZ5" s="390"/>
      <c r="LIA5" s="390"/>
      <c r="LIB5" s="390"/>
      <c r="LIC5" s="390"/>
      <c r="LID5" s="390"/>
      <c r="LIE5" s="390"/>
      <c r="LIF5" s="390"/>
      <c r="LIG5" s="390"/>
      <c r="LIH5" s="390"/>
      <c r="LII5" s="390"/>
      <c r="LIJ5" s="390"/>
      <c r="LIK5" s="390"/>
      <c r="LIL5" s="390"/>
      <c r="LIM5" s="390"/>
      <c r="LIN5" s="390"/>
      <c r="LIO5" s="390"/>
      <c r="LIP5" s="390"/>
      <c r="LIQ5" s="390"/>
      <c r="LIR5" s="390"/>
      <c r="LIS5" s="390"/>
      <c r="LIT5" s="390"/>
      <c r="LIU5" s="390"/>
      <c r="LIV5" s="390"/>
      <c r="LIW5" s="390"/>
      <c r="LIX5" s="390"/>
      <c r="LIY5" s="390"/>
      <c r="LIZ5" s="390"/>
      <c r="LJA5" s="390"/>
      <c r="LJB5" s="390"/>
      <c r="LJC5" s="390"/>
      <c r="LJD5" s="390"/>
      <c r="LJE5" s="390"/>
      <c r="LJF5" s="390"/>
      <c r="LJG5" s="390"/>
      <c r="LJH5" s="390"/>
      <c r="LJI5" s="390"/>
      <c r="LJJ5" s="390"/>
      <c r="LJK5" s="390"/>
      <c r="LJL5" s="390"/>
      <c r="LJM5" s="390"/>
      <c r="LJN5" s="390"/>
      <c r="LJO5" s="390"/>
      <c r="LJP5" s="390"/>
      <c r="LJQ5" s="390"/>
      <c r="LJR5" s="390"/>
      <c r="LJS5" s="390"/>
      <c r="LJT5" s="390"/>
      <c r="LJU5" s="390"/>
      <c r="LJV5" s="390"/>
      <c r="LJW5" s="390"/>
      <c r="LJX5" s="390"/>
      <c r="LJY5" s="390"/>
      <c r="LJZ5" s="390"/>
      <c r="LKA5" s="390"/>
      <c r="LKB5" s="390"/>
      <c r="LKC5" s="390"/>
      <c r="LKD5" s="390"/>
      <c r="LKE5" s="390"/>
      <c r="LKF5" s="390"/>
      <c r="LKG5" s="390"/>
      <c r="LKH5" s="390"/>
      <c r="LKI5" s="390"/>
      <c r="LKJ5" s="390"/>
      <c r="LKK5" s="390"/>
      <c r="LKL5" s="390"/>
      <c r="LKM5" s="390"/>
      <c r="LKN5" s="390"/>
      <c r="LKO5" s="390"/>
      <c r="LKP5" s="390"/>
      <c r="LKQ5" s="390"/>
      <c r="LKR5" s="390"/>
      <c r="LKS5" s="390"/>
      <c r="LKT5" s="390"/>
      <c r="LKU5" s="390"/>
      <c r="LKV5" s="390"/>
      <c r="LKW5" s="390"/>
      <c r="LKX5" s="390"/>
      <c r="LKY5" s="390"/>
      <c r="LKZ5" s="390"/>
      <c r="LLA5" s="390"/>
      <c r="LLB5" s="390"/>
      <c r="LLC5" s="390"/>
      <c r="LLD5" s="390"/>
      <c r="LLE5" s="390"/>
      <c r="LLF5" s="390"/>
      <c r="LLG5" s="390"/>
      <c r="LLH5" s="390"/>
      <c r="LLI5" s="390"/>
      <c r="LLJ5" s="390"/>
      <c r="LLK5" s="390"/>
      <c r="LLL5" s="390"/>
      <c r="LLM5" s="390"/>
      <c r="LLN5" s="390"/>
      <c r="LLO5" s="390"/>
      <c r="LLP5" s="390"/>
      <c r="LLQ5" s="390"/>
      <c r="LLR5" s="390"/>
      <c r="LLS5" s="390"/>
      <c r="LLT5" s="390"/>
      <c r="LLU5" s="390"/>
      <c r="LLV5" s="390"/>
      <c r="LLW5" s="390"/>
      <c r="LLX5" s="390"/>
      <c r="LLY5" s="390"/>
      <c r="LLZ5" s="390"/>
      <c r="LMA5" s="390"/>
      <c r="LMB5" s="390"/>
      <c r="LMC5" s="390"/>
      <c r="LMD5" s="390"/>
      <c r="LME5" s="390"/>
      <c r="LMF5" s="390"/>
      <c r="LMG5" s="390"/>
      <c r="LMH5" s="390"/>
      <c r="LMI5" s="390"/>
      <c r="LMJ5" s="390"/>
      <c r="LMK5" s="390"/>
      <c r="LML5" s="390"/>
      <c r="LMM5" s="390"/>
      <c r="LMN5" s="390"/>
      <c r="LMO5" s="390"/>
      <c r="LMP5" s="390"/>
      <c r="LMQ5" s="390"/>
      <c r="LMR5" s="390"/>
      <c r="LMS5" s="390"/>
      <c r="LMT5" s="390"/>
      <c r="LMU5" s="390"/>
      <c r="LMV5" s="390"/>
      <c r="LMW5" s="390"/>
      <c r="LMX5" s="390"/>
      <c r="LMY5" s="390"/>
      <c r="LMZ5" s="390"/>
      <c r="LNA5" s="390"/>
      <c r="LNB5" s="390"/>
      <c r="LNC5" s="390"/>
      <c r="LND5" s="390"/>
      <c r="LNE5" s="390"/>
      <c r="LNF5" s="390"/>
      <c r="LNG5" s="390"/>
      <c r="LNH5" s="390"/>
      <c r="LNI5" s="390"/>
      <c r="LNJ5" s="390"/>
      <c r="LNK5" s="390"/>
      <c r="LNL5" s="390"/>
      <c r="LNM5" s="390"/>
      <c r="LNN5" s="390"/>
      <c r="LNO5" s="390"/>
      <c r="LNP5" s="390"/>
      <c r="LNQ5" s="390"/>
      <c r="LNR5" s="390"/>
      <c r="LNS5" s="390"/>
      <c r="LNT5" s="390"/>
      <c r="LNU5" s="390"/>
      <c r="LNV5" s="390"/>
      <c r="LNW5" s="390"/>
      <c r="LNX5" s="390"/>
      <c r="LNY5" s="390"/>
      <c r="LNZ5" s="390"/>
      <c r="LOA5" s="390"/>
      <c r="LOB5" s="390"/>
      <c r="LOC5" s="390"/>
      <c r="LOD5" s="390"/>
      <c r="LOE5" s="390"/>
      <c r="LOF5" s="390"/>
      <c r="LOG5" s="390"/>
      <c r="LOH5" s="390"/>
      <c r="LOI5" s="390"/>
      <c r="LOJ5" s="390"/>
      <c r="LOK5" s="390"/>
      <c r="LOL5" s="390"/>
      <c r="LOM5" s="390"/>
      <c r="LON5" s="390"/>
      <c r="LOO5" s="390"/>
      <c r="LOP5" s="390"/>
      <c r="LOQ5" s="390"/>
      <c r="LOR5" s="390"/>
      <c r="LOS5" s="390"/>
      <c r="LOT5" s="390"/>
      <c r="LOU5" s="390"/>
      <c r="LOV5" s="390"/>
      <c r="LOW5" s="390"/>
      <c r="LOX5" s="390"/>
      <c r="LOY5" s="390"/>
      <c r="LOZ5" s="390"/>
      <c r="LPA5" s="390"/>
      <c r="LPB5" s="390"/>
      <c r="LPC5" s="390"/>
      <c r="LPD5" s="390"/>
      <c r="LPE5" s="390"/>
      <c r="LPF5" s="390"/>
      <c r="LPG5" s="390"/>
      <c r="LPH5" s="390"/>
      <c r="LPI5" s="390"/>
      <c r="LPJ5" s="390"/>
      <c r="LPK5" s="390"/>
      <c r="LPL5" s="390"/>
      <c r="LPM5" s="390"/>
      <c r="LPN5" s="390"/>
      <c r="LPO5" s="390"/>
      <c r="LPP5" s="390"/>
      <c r="LPQ5" s="390"/>
      <c r="LPR5" s="390"/>
      <c r="LPS5" s="390"/>
      <c r="LPT5" s="390"/>
      <c r="LPU5" s="390"/>
      <c r="LPV5" s="390"/>
      <c r="LPW5" s="390"/>
      <c r="LPX5" s="390"/>
      <c r="LPY5" s="390"/>
      <c r="LPZ5" s="390"/>
      <c r="LQA5" s="390"/>
      <c r="LQB5" s="390"/>
      <c r="LQC5" s="390"/>
      <c r="LQD5" s="390"/>
      <c r="LQE5" s="390"/>
      <c r="LQF5" s="390"/>
      <c r="LQG5" s="390"/>
      <c r="LQH5" s="390"/>
      <c r="LQI5" s="390"/>
      <c r="LQJ5" s="390"/>
      <c r="LQK5" s="390"/>
      <c r="LQL5" s="390"/>
      <c r="LQM5" s="390"/>
      <c r="LQN5" s="390"/>
      <c r="LQO5" s="390"/>
      <c r="LQP5" s="390"/>
      <c r="LQQ5" s="390"/>
      <c r="LQR5" s="390"/>
      <c r="LQS5" s="390"/>
      <c r="LQT5" s="390"/>
      <c r="LQU5" s="390"/>
      <c r="LQV5" s="390"/>
      <c r="LQW5" s="390"/>
      <c r="LQX5" s="390"/>
      <c r="LQY5" s="390"/>
      <c r="LQZ5" s="390"/>
      <c r="LRA5" s="390"/>
      <c r="LRB5" s="390"/>
      <c r="LRC5" s="390"/>
      <c r="LRD5" s="390"/>
      <c r="LRE5" s="390"/>
      <c r="LRF5" s="390"/>
      <c r="LRG5" s="390"/>
      <c r="LRH5" s="390"/>
      <c r="LRI5" s="390"/>
      <c r="LRJ5" s="390"/>
      <c r="LRK5" s="390"/>
      <c r="LRL5" s="390"/>
      <c r="LRM5" s="390"/>
      <c r="LRN5" s="390"/>
      <c r="LRO5" s="390"/>
      <c r="LRP5" s="390"/>
      <c r="LRQ5" s="390"/>
      <c r="LRR5" s="390"/>
      <c r="LRS5" s="390"/>
      <c r="LRT5" s="390"/>
      <c r="LRU5" s="390"/>
      <c r="LRV5" s="390"/>
      <c r="LRW5" s="390"/>
      <c r="LRX5" s="390"/>
      <c r="LRY5" s="390"/>
      <c r="LRZ5" s="390"/>
      <c r="LSA5" s="390"/>
      <c r="LSB5" s="390"/>
      <c r="LSC5" s="390"/>
      <c r="LSD5" s="390"/>
      <c r="LSE5" s="390"/>
      <c r="LSF5" s="390"/>
      <c r="LSG5" s="390"/>
      <c r="LSH5" s="390"/>
      <c r="LSI5" s="390"/>
      <c r="LSJ5" s="390"/>
      <c r="LSK5" s="390"/>
      <c r="LSL5" s="390"/>
      <c r="LSM5" s="390"/>
      <c r="LSN5" s="390"/>
      <c r="LSO5" s="390"/>
      <c r="LSP5" s="390"/>
      <c r="LSQ5" s="390"/>
      <c r="LSR5" s="390"/>
      <c r="LSS5" s="390"/>
      <c r="LST5" s="390"/>
      <c r="LSU5" s="390"/>
      <c r="LSV5" s="390"/>
      <c r="LSW5" s="390"/>
      <c r="LSX5" s="390"/>
      <c r="LSY5" s="390"/>
      <c r="LSZ5" s="390"/>
      <c r="LTA5" s="390"/>
      <c r="LTB5" s="390"/>
      <c r="LTC5" s="390"/>
      <c r="LTD5" s="390"/>
      <c r="LTE5" s="390"/>
      <c r="LTF5" s="390"/>
      <c r="LTG5" s="390"/>
      <c r="LTH5" s="390"/>
      <c r="LTI5" s="390"/>
      <c r="LTJ5" s="390"/>
      <c r="LTK5" s="390"/>
      <c r="LTL5" s="390"/>
      <c r="LTM5" s="390"/>
      <c r="LTN5" s="390"/>
      <c r="LTO5" s="390"/>
      <c r="LTP5" s="390"/>
      <c r="LTQ5" s="390"/>
      <c r="LTR5" s="390"/>
      <c r="LTS5" s="390"/>
      <c r="LTT5" s="390"/>
      <c r="LTU5" s="390"/>
      <c r="LTV5" s="390"/>
      <c r="LTW5" s="390"/>
      <c r="LTX5" s="390"/>
      <c r="LTY5" s="390"/>
      <c r="LTZ5" s="390"/>
      <c r="LUA5" s="390"/>
      <c r="LUB5" s="390"/>
      <c r="LUC5" s="390"/>
      <c r="LUD5" s="390"/>
      <c r="LUE5" s="390"/>
      <c r="LUF5" s="390"/>
      <c r="LUG5" s="390"/>
      <c r="LUH5" s="390"/>
      <c r="LUI5" s="390"/>
      <c r="LUJ5" s="390"/>
      <c r="LUK5" s="390"/>
      <c r="LUL5" s="390"/>
      <c r="LUM5" s="390"/>
      <c r="LUN5" s="390"/>
      <c r="LUO5" s="390"/>
      <c r="LUP5" s="390"/>
      <c r="LUQ5" s="390"/>
      <c r="LUR5" s="390"/>
      <c r="LUS5" s="390"/>
      <c r="LUT5" s="390"/>
      <c r="LUU5" s="390"/>
      <c r="LUV5" s="390"/>
      <c r="LUW5" s="390"/>
      <c r="LUX5" s="390"/>
      <c r="LUY5" s="390"/>
      <c r="LUZ5" s="390"/>
      <c r="LVA5" s="390"/>
      <c r="LVB5" s="390"/>
      <c r="LVC5" s="390"/>
      <c r="LVD5" s="390"/>
      <c r="LVE5" s="390"/>
      <c r="LVF5" s="390"/>
      <c r="LVG5" s="390"/>
      <c r="LVH5" s="390"/>
      <c r="LVI5" s="390"/>
      <c r="LVJ5" s="390"/>
      <c r="LVK5" s="390"/>
      <c r="LVL5" s="390"/>
      <c r="LVM5" s="390"/>
      <c r="LVN5" s="390"/>
      <c r="LVO5" s="390"/>
      <c r="LVP5" s="390"/>
      <c r="LVQ5" s="390"/>
      <c r="LVR5" s="390"/>
      <c r="LVS5" s="390"/>
      <c r="LVT5" s="390"/>
      <c r="LVU5" s="390"/>
      <c r="LVV5" s="390"/>
      <c r="LVW5" s="390"/>
      <c r="LVX5" s="390"/>
      <c r="LVY5" s="390"/>
      <c r="LVZ5" s="390"/>
      <c r="LWA5" s="390"/>
      <c r="LWB5" s="390"/>
      <c r="LWC5" s="390"/>
      <c r="LWD5" s="390"/>
      <c r="LWE5" s="390"/>
      <c r="LWF5" s="390"/>
      <c r="LWG5" s="390"/>
      <c r="LWH5" s="390"/>
      <c r="LWI5" s="390"/>
      <c r="LWJ5" s="390"/>
      <c r="LWK5" s="390"/>
      <c r="LWL5" s="390"/>
      <c r="LWM5" s="390"/>
      <c r="LWN5" s="390"/>
      <c r="LWO5" s="390"/>
      <c r="LWP5" s="390"/>
      <c r="LWQ5" s="390"/>
      <c r="LWR5" s="390"/>
      <c r="LWS5" s="390"/>
      <c r="LWT5" s="390"/>
      <c r="LWU5" s="390"/>
      <c r="LWV5" s="390"/>
      <c r="LWW5" s="390"/>
      <c r="LWX5" s="390"/>
      <c r="LWY5" s="390"/>
      <c r="LWZ5" s="390"/>
      <c r="LXA5" s="390"/>
      <c r="LXB5" s="390"/>
      <c r="LXC5" s="390"/>
      <c r="LXD5" s="390"/>
      <c r="LXE5" s="390"/>
      <c r="LXF5" s="390"/>
      <c r="LXG5" s="390"/>
      <c r="LXH5" s="390"/>
      <c r="LXI5" s="390"/>
      <c r="LXJ5" s="390"/>
      <c r="LXK5" s="390"/>
      <c r="LXL5" s="390"/>
      <c r="LXM5" s="390"/>
      <c r="LXN5" s="390"/>
      <c r="LXO5" s="390"/>
      <c r="LXP5" s="390"/>
      <c r="LXQ5" s="390"/>
      <c r="LXR5" s="390"/>
      <c r="LXS5" s="390"/>
      <c r="LXT5" s="390"/>
      <c r="LXU5" s="390"/>
      <c r="LXV5" s="390"/>
      <c r="LXW5" s="390"/>
      <c r="LXX5" s="390"/>
      <c r="LXY5" s="390"/>
      <c r="LXZ5" s="390"/>
      <c r="LYA5" s="390"/>
      <c r="LYB5" s="390"/>
      <c r="LYC5" s="390"/>
      <c r="LYD5" s="390"/>
      <c r="LYE5" s="390"/>
      <c r="LYF5" s="390"/>
      <c r="LYG5" s="390"/>
      <c r="LYH5" s="390"/>
      <c r="LYI5" s="390"/>
      <c r="LYJ5" s="390"/>
      <c r="LYK5" s="390"/>
      <c r="LYL5" s="390"/>
      <c r="LYM5" s="390"/>
      <c r="LYN5" s="390"/>
      <c r="LYO5" s="390"/>
      <c r="LYP5" s="390"/>
      <c r="LYQ5" s="390"/>
      <c r="LYR5" s="390"/>
      <c r="LYS5" s="390"/>
      <c r="LYT5" s="390"/>
      <c r="LYU5" s="390"/>
      <c r="LYV5" s="390"/>
      <c r="LYW5" s="390"/>
      <c r="LYX5" s="390"/>
      <c r="LYY5" s="390"/>
      <c r="LYZ5" s="390"/>
      <c r="LZA5" s="390"/>
      <c r="LZB5" s="390"/>
      <c r="LZC5" s="390"/>
      <c r="LZD5" s="390"/>
      <c r="LZE5" s="390"/>
      <c r="LZF5" s="390"/>
      <c r="LZG5" s="390"/>
      <c r="LZH5" s="390"/>
      <c r="LZI5" s="390"/>
      <c r="LZJ5" s="390"/>
      <c r="LZK5" s="390"/>
      <c r="LZL5" s="390"/>
      <c r="LZM5" s="390"/>
      <c r="LZN5" s="390"/>
      <c r="LZO5" s="390"/>
      <c r="LZP5" s="390"/>
      <c r="LZQ5" s="390"/>
      <c r="LZR5" s="390"/>
      <c r="LZS5" s="390"/>
      <c r="LZT5" s="390"/>
      <c r="LZU5" s="390"/>
      <c r="LZV5" s="390"/>
      <c r="LZW5" s="390"/>
      <c r="LZX5" s="390"/>
      <c r="LZY5" s="390"/>
      <c r="LZZ5" s="390"/>
      <c r="MAA5" s="390"/>
      <c r="MAB5" s="390"/>
      <c r="MAC5" s="390"/>
      <c r="MAD5" s="390"/>
      <c r="MAE5" s="390"/>
      <c r="MAF5" s="390"/>
      <c r="MAG5" s="390"/>
      <c r="MAH5" s="390"/>
      <c r="MAI5" s="390"/>
      <c r="MAJ5" s="390"/>
      <c r="MAK5" s="390"/>
      <c r="MAL5" s="390"/>
      <c r="MAM5" s="390"/>
      <c r="MAN5" s="390"/>
      <c r="MAO5" s="390"/>
      <c r="MAP5" s="390"/>
      <c r="MAQ5" s="390"/>
      <c r="MAR5" s="390"/>
      <c r="MAS5" s="390"/>
      <c r="MAT5" s="390"/>
      <c r="MAU5" s="390"/>
      <c r="MAV5" s="390"/>
      <c r="MAW5" s="390"/>
      <c r="MAX5" s="390"/>
      <c r="MAY5" s="390"/>
      <c r="MAZ5" s="390"/>
      <c r="MBA5" s="390"/>
      <c r="MBB5" s="390"/>
      <c r="MBC5" s="390"/>
      <c r="MBD5" s="390"/>
      <c r="MBE5" s="390"/>
      <c r="MBF5" s="390"/>
      <c r="MBG5" s="390"/>
      <c r="MBH5" s="390"/>
      <c r="MBI5" s="390"/>
      <c r="MBJ5" s="390"/>
      <c r="MBK5" s="390"/>
      <c r="MBL5" s="390"/>
      <c r="MBM5" s="390"/>
      <c r="MBN5" s="390"/>
      <c r="MBO5" s="390"/>
      <c r="MBP5" s="390"/>
      <c r="MBQ5" s="390"/>
      <c r="MBR5" s="390"/>
      <c r="MBS5" s="390"/>
      <c r="MBT5" s="390"/>
      <c r="MBU5" s="390"/>
      <c r="MBV5" s="390"/>
      <c r="MBW5" s="390"/>
      <c r="MBX5" s="390"/>
      <c r="MBY5" s="390"/>
      <c r="MBZ5" s="390"/>
      <c r="MCA5" s="390"/>
      <c r="MCB5" s="390"/>
      <c r="MCC5" s="390"/>
      <c r="MCD5" s="390"/>
      <c r="MCE5" s="390"/>
      <c r="MCF5" s="390"/>
      <c r="MCG5" s="390"/>
      <c r="MCH5" s="390"/>
      <c r="MCI5" s="390"/>
      <c r="MCJ5" s="390"/>
      <c r="MCK5" s="390"/>
      <c r="MCL5" s="390"/>
      <c r="MCM5" s="390"/>
      <c r="MCN5" s="390"/>
      <c r="MCO5" s="390"/>
      <c r="MCP5" s="390"/>
      <c r="MCQ5" s="390"/>
      <c r="MCR5" s="390"/>
      <c r="MCS5" s="390"/>
      <c r="MCT5" s="390"/>
      <c r="MCU5" s="390"/>
      <c r="MCV5" s="390"/>
      <c r="MCW5" s="390"/>
      <c r="MCX5" s="390"/>
      <c r="MCY5" s="390"/>
      <c r="MCZ5" s="390"/>
      <c r="MDA5" s="390"/>
      <c r="MDB5" s="390"/>
      <c r="MDC5" s="390"/>
      <c r="MDD5" s="390"/>
      <c r="MDE5" s="390"/>
      <c r="MDF5" s="390"/>
      <c r="MDG5" s="390"/>
      <c r="MDH5" s="390"/>
      <c r="MDI5" s="390"/>
      <c r="MDJ5" s="390"/>
      <c r="MDK5" s="390"/>
      <c r="MDL5" s="390"/>
      <c r="MDM5" s="390"/>
      <c r="MDN5" s="390"/>
      <c r="MDO5" s="390"/>
      <c r="MDP5" s="390"/>
      <c r="MDQ5" s="390"/>
      <c r="MDR5" s="390"/>
      <c r="MDS5" s="390"/>
      <c r="MDT5" s="390"/>
      <c r="MDU5" s="390"/>
      <c r="MDV5" s="390"/>
      <c r="MDW5" s="390"/>
      <c r="MDX5" s="390"/>
      <c r="MDY5" s="390"/>
      <c r="MDZ5" s="390"/>
      <c r="MEA5" s="390"/>
      <c r="MEB5" s="390"/>
      <c r="MEC5" s="390"/>
      <c r="MED5" s="390"/>
      <c r="MEE5" s="390"/>
      <c r="MEF5" s="390"/>
      <c r="MEG5" s="390"/>
      <c r="MEH5" s="390"/>
      <c r="MEI5" s="390"/>
      <c r="MEJ5" s="390"/>
      <c r="MEK5" s="390"/>
      <c r="MEL5" s="390"/>
      <c r="MEM5" s="390"/>
      <c r="MEN5" s="390"/>
      <c r="MEO5" s="390"/>
      <c r="MEP5" s="390"/>
      <c r="MEQ5" s="390"/>
      <c r="MER5" s="390"/>
      <c r="MES5" s="390"/>
      <c r="MET5" s="390"/>
      <c r="MEU5" s="390"/>
      <c r="MEV5" s="390"/>
      <c r="MEW5" s="390"/>
      <c r="MEX5" s="390"/>
      <c r="MEY5" s="390"/>
      <c r="MEZ5" s="390"/>
      <c r="MFA5" s="390"/>
      <c r="MFB5" s="390"/>
      <c r="MFC5" s="390"/>
      <c r="MFD5" s="390"/>
      <c r="MFE5" s="390"/>
      <c r="MFF5" s="390"/>
      <c r="MFG5" s="390"/>
      <c r="MFH5" s="390"/>
      <c r="MFI5" s="390"/>
      <c r="MFJ5" s="390"/>
      <c r="MFK5" s="390"/>
      <c r="MFL5" s="390"/>
      <c r="MFM5" s="390"/>
      <c r="MFN5" s="390"/>
      <c r="MFO5" s="390"/>
      <c r="MFP5" s="390"/>
      <c r="MFQ5" s="390"/>
      <c r="MFR5" s="390"/>
      <c r="MFS5" s="390"/>
      <c r="MFT5" s="390"/>
      <c r="MFU5" s="390"/>
      <c r="MFV5" s="390"/>
      <c r="MFW5" s="390"/>
      <c r="MFX5" s="390"/>
      <c r="MFY5" s="390"/>
      <c r="MFZ5" s="390"/>
      <c r="MGA5" s="390"/>
      <c r="MGB5" s="390"/>
      <c r="MGC5" s="390"/>
      <c r="MGD5" s="390"/>
      <c r="MGE5" s="390"/>
      <c r="MGF5" s="390"/>
      <c r="MGG5" s="390"/>
      <c r="MGH5" s="390"/>
      <c r="MGI5" s="390"/>
      <c r="MGJ5" s="390"/>
      <c r="MGK5" s="390"/>
      <c r="MGL5" s="390"/>
      <c r="MGM5" s="390"/>
      <c r="MGN5" s="390"/>
      <c r="MGO5" s="390"/>
      <c r="MGP5" s="390"/>
      <c r="MGQ5" s="390"/>
      <c r="MGR5" s="390"/>
      <c r="MGS5" s="390"/>
      <c r="MGT5" s="390"/>
      <c r="MGU5" s="390"/>
      <c r="MGV5" s="390"/>
      <c r="MGW5" s="390"/>
      <c r="MGX5" s="390"/>
      <c r="MGY5" s="390"/>
      <c r="MGZ5" s="390"/>
      <c r="MHA5" s="390"/>
      <c r="MHB5" s="390"/>
      <c r="MHC5" s="390"/>
      <c r="MHD5" s="390"/>
      <c r="MHE5" s="390"/>
      <c r="MHF5" s="390"/>
      <c r="MHG5" s="390"/>
      <c r="MHH5" s="390"/>
      <c r="MHI5" s="390"/>
      <c r="MHJ5" s="390"/>
      <c r="MHK5" s="390"/>
      <c r="MHL5" s="390"/>
      <c r="MHM5" s="390"/>
      <c r="MHN5" s="390"/>
      <c r="MHO5" s="390"/>
      <c r="MHP5" s="390"/>
      <c r="MHQ5" s="390"/>
      <c r="MHR5" s="390"/>
      <c r="MHS5" s="390"/>
      <c r="MHT5" s="390"/>
      <c r="MHU5" s="390"/>
      <c r="MHV5" s="390"/>
      <c r="MHW5" s="390"/>
      <c r="MHX5" s="390"/>
      <c r="MHY5" s="390"/>
      <c r="MHZ5" s="390"/>
      <c r="MIA5" s="390"/>
      <c r="MIB5" s="390"/>
      <c r="MIC5" s="390"/>
      <c r="MID5" s="390"/>
      <c r="MIE5" s="390"/>
      <c r="MIF5" s="390"/>
      <c r="MIG5" s="390"/>
      <c r="MIH5" s="390"/>
      <c r="MII5" s="390"/>
      <c r="MIJ5" s="390"/>
      <c r="MIK5" s="390"/>
      <c r="MIL5" s="390"/>
      <c r="MIM5" s="390"/>
      <c r="MIN5" s="390"/>
      <c r="MIO5" s="390"/>
      <c r="MIP5" s="390"/>
      <c r="MIQ5" s="390"/>
      <c r="MIR5" s="390"/>
      <c r="MIS5" s="390"/>
      <c r="MIT5" s="390"/>
      <c r="MIU5" s="390"/>
      <c r="MIV5" s="390"/>
      <c r="MIW5" s="390"/>
      <c r="MIX5" s="390"/>
      <c r="MIY5" s="390"/>
      <c r="MIZ5" s="390"/>
      <c r="MJA5" s="390"/>
      <c r="MJB5" s="390"/>
      <c r="MJC5" s="390"/>
      <c r="MJD5" s="390"/>
      <c r="MJE5" s="390"/>
      <c r="MJF5" s="390"/>
      <c r="MJG5" s="390"/>
      <c r="MJH5" s="390"/>
      <c r="MJI5" s="390"/>
      <c r="MJJ5" s="390"/>
      <c r="MJK5" s="390"/>
      <c r="MJL5" s="390"/>
      <c r="MJM5" s="390"/>
      <c r="MJN5" s="390"/>
      <c r="MJO5" s="390"/>
      <c r="MJP5" s="390"/>
      <c r="MJQ5" s="390"/>
      <c r="MJR5" s="390"/>
      <c r="MJS5" s="390"/>
      <c r="MJT5" s="390"/>
      <c r="MJU5" s="390"/>
      <c r="MJV5" s="390"/>
      <c r="MJW5" s="390"/>
      <c r="MJX5" s="390"/>
      <c r="MJY5" s="390"/>
      <c r="MJZ5" s="390"/>
      <c r="MKA5" s="390"/>
      <c r="MKB5" s="390"/>
      <c r="MKC5" s="390"/>
      <c r="MKD5" s="390"/>
      <c r="MKE5" s="390"/>
      <c r="MKF5" s="390"/>
      <c r="MKG5" s="390"/>
      <c r="MKH5" s="390"/>
      <c r="MKI5" s="390"/>
      <c r="MKJ5" s="390"/>
      <c r="MKK5" s="390"/>
      <c r="MKL5" s="390"/>
      <c r="MKM5" s="390"/>
      <c r="MKN5" s="390"/>
      <c r="MKO5" s="390"/>
      <c r="MKP5" s="390"/>
      <c r="MKQ5" s="390"/>
      <c r="MKR5" s="390"/>
      <c r="MKS5" s="390"/>
      <c r="MKT5" s="390"/>
      <c r="MKU5" s="390"/>
      <c r="MKV5" s="390"/>
      <c r="MKW5" s="390"/>
      <c r="MKX5" s="390"/>
      <c r="MKY5" s="390"/>
      <c r="MKZ5" s="390"/>
      <c r="MLA5" s="390"/>
      <c r="MLB5" s="390"/>
      <c r="MLC5" s="390"/>
      <c r="MLD5" s="390"/>
      <c r="MLE5" s="390"/>
      <c r="MLF5" s="390"/>
      <c r="MLG5" s="390"/>
      <c r="MLH5" s="390"/>
      <c r="MLI5" s="390"/>
      <c r="MLJ5" s="390"/>
      <c r="MLK5" s="390"/>
      <c r="MLL5" s="390"/>
      <c r="MLM5" s="390"/>
      <c r="MLN5" s="390"/>
      <c r="MLO5" s="390"/>
      <c r="MLP5" s="390"/>
      <c r="MLQ5" s="390"/>
      <c r="MLR5" s="390"/>
      <c r="MLS5" s="390"/>
      <c r="MLT5" s="390"/>
      <c r="MLU5" s="390"/>
      <c r="MLV5" s="390"/>
      <c r="MLW5" s="390"/>
      <c r="MLX5" s="390"/>
      <c r="MLY5" s="390"/>
      <c r="MLZ5" s="390"/>
      <c r="MMA5" s="390"/>
      <c r="MMB5" s="390"/>
      <c r="MMC5" s="390"/>
      <c r="MMD5" s="390"/>
      <c r="MME5" s="390"/>
      <c r="MMF5" s="390"/>
      <c r="MMG5" s="390"/>
      <c r="MMH5" s="390"/>
      <c r="MMI5" s="390"/>
      <c r="MMJ5" s="390"/>
      <c r="MMK5" s="390"/>
      <c r="MML5" s="390"/>
      <c r="MMM5" s="390"/>
      <c r="MMN5" s="390"/>
      <c r="MMO5" s="390"/>
      <c r="MMP5" s="390"/>
      <c r="MMQ5" s="390"/>
      <c r="MMR5" s="390"/>
      <c r="MMS5" s="390"/>
      <c r="MMT5" s="390"/>
      <c r="MMU5" s="390"/>
      <c r="MMV5" s="390"/>
      <c r="MMW5" s="390"/>
      <c r="MMX5" s="390"/>
      <c r="MMY5" s="390"/>
      <c r="MMZ5" s="390"/>
      <c r="MNA5" s="390"/>
      <c r="MNB5" s="390"/>
      <c r="MNC5" s="390"/>
      <c r="MND5" s="390"/>
      <c r="MNE5" s="390"/>
      <c r="MNF5" s="390"/>
      <c r="MNG5" s="390"/>
      <c r="MNH5" s="390"/>
      <c r="MNI5" s="390"/>
      <c r="MNJ5" s="390"/>
      <c r="MNK5" s="390"/>
      <c r="MNL5" s="390"/>
      <c r="MNM5" s="390"/>
      <c r="MNN5" s="390"/>
      <c r="MNO5" s="390"/>
      <c r="MNP5" s="390"/>
      <c r="MNQ5" s="390"/>
      <c r="MNR5" s="390"/>
      <c r="MNS5" s="390"/>
      <c r="MNT5" s="390"/>
      <c r="MNU5" s="390"/>
      <c r="MNV5" s="390"/>
      <c r="MNW5" s="390"/>
      <c r="MNX5" s="390"/>
      <c r="MNY5" s="390"/>
      <c r="MNZ5" s="390"/>
      <c r="MOA5" s="390"/>
      <c r="MOB5" s="390"/>
      <c r="MOC5" s="390"/>
      <c r="MOD5" s="390"/>
      <c r="MOE5" s="390"/>
      <c r="MOF5" s="390"/>
      <c r="MOG5" s="390"/>
      <c r="MOH5" s="390"/>
      <c r="MOI5" s="390"/>
      <c r="MOJ5" s="390"/>
      <c r="MOK5" s="390"/>
      <c r="MOL5" s="390"/>
      <c r="MOM5" s="390"/>
      <c r="MON5" s="390"/>
      <c r="MOO5" s="390"/>
      <c r="MOP5" s="390"/>
      <c r="MOQ5" s="390"/>
      <c r="MOR5" s="390"/>
      <c r="MOS5" s="390"/>
      <c r="MOT5" s="390"/>
      <c r="MOU5" s="390"/>
      <c r="MOV5" s="390"/>
      <c r="MOW5" s="390"/>
      <c r="MOX5" s="390"/>
      <c r="MOY5" s="390"/>
      <c r="MOZ5" s="390"/>
      <c r="MPA5" s="390"/>
      <c r="MPB5" s="390"/>
      <c r="MPC5" s="390"/>
      <c r="MPD5" s="390"/>
      <c r="MPE5" s="390"/>
      <c r="MPF5" s="390"/>
      <c r="MPG5" s="390"/>
      <c r="MPH5" s="390"/>
      <c r="MPI5" s="390"/>
      <c r="MPJ5" s="390"/>
      <c r="MPK5" s="390"/>
      <c r="MPL5" s="390"/>
      <c r="MPM5" s="390"/>
      <c r="MPN5" s="390"/>
      <c r="MPO5" s="390"/>
      <c r="MPP5" s="390"/>
      <c r="MPQ5" s="390"/>
      <c r="MPR5" s="390"/>
      <c r="MPS5" s="390"/>
      <c r="MPT5" s="390"/>
      <c r="MPU5" s="390"/>
      <c r="MPV5" s="390"/>
      <c r="MPW5" s="390"/>
      <c r="MPX5" s="390"/>
      <c r="MPY5" s="390"/>
      <c r="MPZ5" s="390"/>
      <c r="MQA5" s="390"/>
      <c r="MQB5" s="390"/>
      <c r="MQC5" s="390"/>
      <c r="MQD5" s="390"/>
      <c r="MQE5" s="390"/>
      <c r="MQF5" s="390"/>
      <c r="MQG5" s="390"/>
      <c r="MQH5" s="390"/>
      <c r="MQI5" s="390"/>
      <c r="MQJ5" s="390"/>
      <c r="MQK5" s="390"/>
      <c r="MQL5" s="390"/>
      <c r="MQM5" s="390"/>
      <c r="MQN5" s="390"/>
      <c r="MQO5" s="390"/>
      <c r="MQP5" s="390"/>
      <c r="MQQ5" s="390"/>
      <c r="MQR5" s="390"/>
      <c r="MQS5" s="390"/>
      <c r="MQT5" s="390"/>
      <c r="MQU5" s="390"/>
      <c r="MQV5" s="390"/>
      <c r="MQW5" s="390"/>
      <c r="MQX5" s="390"/>
      <c r="MQY5" s="390"/>
      <c r="MQZ5" s="390"/>
      <c r="MRA5" s="390"/>
      <c r="MRB5" s="390"/>
      <c r="MRC5" s="390"/>
      <c r="MRD5" s="390"/>
      <c r="MRE5" s="390"/>
      <c r="MRF5" s="390"/>
      <c r="MRG5" s="390"/>
      <c r="MRH5" s="390"/>
      <c r="MRI5" s="390"/>
      <c r="MRJ5" s="390"/>
      <c r="MRK5" s="390"/>
      <c r="MRL5" s="390"/>
      <c r="MRM5" s="390"/>
      <c r="MRN5" s="390"/>
      <c r="MRO5" s="390"/>
      <c r="MRP5" s="390"/>
      <c r="MRQ5" s="390"/>
      <c r="MRR5" s="390"/>
      <c r="MRS5" s="390"/>
      <c r="MRT5" s="390"/>
      <c r="MRU5" s="390"/>
      <c r="MRV5" s="390"/>
      <c r="MRW5" s="390"/>
      <c r="MRX5" s="390"/>
      <c r="MRY5" s="390"/>
      <c r="MRZ5" s="390"/>
      <c r="MSA5" s="390"/>
      <c r="MSB5" s="390"/>
      <c r="MSC5" s="390"/>
      <c r="MSD5" s="390"/>
      <c r="MSE5" s="390"/>
      <c r="MSF5" s="390"/>
      <c r="MSG5" s="390"/>
      <c r="MSH5" s="390"/>
      <c r="MSI5" s="390"/>
      <c r="MSJ5" s="390"/>
      <c r="MSK5" s="390"/>
      <c r="MSL5" s="390"/>
      <c r="MSM5" s="390"/>
      <c r="MSN5" s="390"/>
      <c r="MSO5" s="390"/>
      <c r="MSP5" s="390"/>
      <c r="MSQ5" s="390"/>
      <c r="MSR5" s="390"/>
      <c r="MSS5" s="390"/>
      <c r="MST5" s="390"/>
      <c r="MSU5" s="390"/>
      <c r="MSV5" s="390"/>
      <c r="MSW5" s="390"/>
      <c r="MSX5" s="390"/>
      <c r="MSY5" s="390"/>
      <c r="MSZ5" s="390"/>
      <c r="MTA5" s="390"/>
      <c r="MTB5" s="390"/>
      <c r="MTC5" s="390"/>
      <c r="MTD5" s="390"/>
      <c r="MTE5" s="390"/>
      <c r="MTF5" s="390"/>
      <c r="MTG5" s="390"/>
      <c r="MTH5" s="390"/>
      <c r="MTI5" s="390"/>
      <c r="MTJ5" s="390"/>
      <c r="MTK5" s="390"/>
      <c r="MTL5" s="390"/>
      <c r="MTM5" s="390"/>
      <c r="MTN5" s="390"/>
      <c r="MTO5" s="390"/>
      <c r="MTP5" s="390"/>
      <c r="MTQ5" s="390"/>
      <c r="MTR5" s="390"/>
      <c r="MTS5" s="390"/>
      <c r="MTT5" s="390"/>
      <c r="MTU5" s="390"/>
      <c r="MTV5" s="390"/>
      <c r="MTW5" s="390"/>
      <c r="MTX5" s="390"/>
      <c r="MTY5" s="390"/>
      <c r="MTZ5" s="390"/>
      <c r="MUA5" s="390"/>
      <c r="MUB5" s="390"/>
      <c r="MUC5" s="390"/>
      <c r="MUD5" s="390"/>
      <c r="MUE5" s="390"/>
      <c r="MUF5" s="390"/>
      <c r="MUG5" s="390"/>
      <c r="MUH5" s="390"/>
      <c r="MUI5" s="390"/>
      <c r="MUJ5" s="390"/>
      <c r="MUK5" s="390"/>
      <c r="MUL5" s="390"/>
      <c r="MUM5" s="390"/>
      <c r="MUN5" s="390"/>
      <c r="MUO5" s="390"/>
      <c r="MUP5" s="390"/>
      <c r="MUQ5" s="390"/>
      <c r="MUR5" s="390"/>
      <c r="MUS5" s="390"/>
      <c r="MUT5" s="390"/>
      <c r="MUU5" s="390"/>
      <c r="MUV5" s="390"/>
      <c r="MUW5" s="390"/>
      <c r="MUX5" s="390"/>
      <c r="MUY5" s="390"/>
      <c r="MUZ5" s="390"/>
      <c r="MVA5" s="390"/>
      <c r="MVB5" s="390"/>
      <c r="MVC5" s="390"/>
      <c r="MVD5" s="390"/>
      <c r="MVE5" s="390"/>
      <c r="MVF5" s="390"/>
      <c r="MVG5" s="390"/>
      <c r="MVH5" s="390"/>
      <c r="MVI5" s="390"/>
      <c r="MVJ5" s="390"/>
      <c r="MVK5" s="390"/>
      <c r="MVL5" s="390"/>
      <c r="MVM5" s="390"/>
      <c r="MVN5" s="390"/>
      <c r="MVO5" s="390"/>
      <c r="MVP5" s="390"/>
      <c r="MVQ5" s="390"/>
      <c r="MVR5" s="390"/>
      <c r="MVS5" s="390"/>
      <c r="MVT5" s="390"/>
      <c r="MVU5" s="390"/>
      <c r="MVV5" s="390"/>
      <c r="MVW5" s="390"/>
      <c r="MVX5" s="390"/>
      <c r="MVY5" s="390"/>
      <c r="MVZ5" s="390"/>
      <c r="MWA5" s="390"/>
      <c r="MWB5" s="390"/>
      <c r="MWC5" s="390"/>
      <c r="MWD5" s="390"/>
      <c r="MWE5" s="390"/>
      <c r="MWF5" s="390"/>
      <c r="MWG5" s="390"/>
      <c r="MWH5" s="390"/>
      <c r="MWI5" s="390"/>
      <c r="MWJ5" s="390"/>
      <c r="MWK5" s="390"/>
      <c r="MWL5" s="390"/>
      <c r="MWM5" s="390"/>
      <c r="MWN5" s="390"/>
      <c r="MWO5" s="390"/>
      <c r="MWP5" s="390"/>
      <c r="MWQ5" s="390"/>
      <c r="MWR5" s="390"/>
      <c r="MWS5" s="390"/>
      <c r="MWT5" s="390"/>
      <c r="MWU5" s="390"/>
      <c r="MWV5" s="390"/>
      <c r="MWW5" s="390"/>
      <c r="MWX5" s="390"/>
      <c r="MWY5" s="390"/>
      <c r="MWZ5" s="390"/>
      <c r="MXA5" s="390"/>
      <c r="MXB5" s="390"/>
      <c r="MXC5" s="390"/>
      <c r="MXD5" s="390"/>
      <c r="MXE5" s="390"/>
      <c r="MXF5" s="390"/>
      <c r="MXG5" s="390"/>
      <c r="MXH5" s="390"/>
      <c r="MXI5" s="390"/>
      <c r="MXJ5" s="390"/>
      <c r="MXK5" s="390"/>
      <c r="MXL5" s="390"/>
      <c r="MXM5" s="390"/>
      <c r="MXN5" s="390"/>
      <c r="MXO5" s="390"/>
      <c r="MXP5" s="390"/>
      <c r="MXQ5" s="390"/>
      <c r="MXR5" s="390"/>
      <c r="MXS5" s="390"/>
      <c r="MXT5" s="390"/>
      <c r="MXU5" s="390"/>
      <c r="MXV5" s="390"/>
      <c r="MXW5" s="390"/>
      <c r="MXX5" s="390"/>
      <c r="MXY5" s="390"/>
      <c r="MXZ5" s="390"/>
      <c r="MYA5" s="390"/>
      <c r="MYB5" s="390"/>
      <c r="MYC5" s="390"/>
      <c r="MYD5" s="390"/>
      <c r="MYE5" s="390"/>
      <c r="MYF5" s="390"/>
      <c r="MYG5" s="390"/>
      <c r="MYH5" s="390"/>
      <c r="MYI5" s="390"/>
      <c r="MYJ5" s="390"/>
      <c r="MYK5" s="390"/>
      <c r="MYL5" s="390"/>
      <c r="MYM5" s="390"/>
      <c r="MYN5" s="390"/>
      <c r="MYO5" s="390"/>
      <c r="MYP5" s="390"/>
      <c r="MYQ5" s="390"/>
      <c r="MYR5" s="390"/>
      <c r="MYS5" s="390"/>
      <c r="MYT5" s="390"/>
      <c r="MYU5" s="390"/>
      <c r="MYV5" s="390"/>
      <c r="MYW5" s="390"/>
      <c r="MYX5" s="390"/>
      <c r="MYY5" s="390"/>
      <c r="MYZ5" s="390"/>
      <c r="MZA5" s="390"/>
      <c r="MZB5" s="390"/>
      <c r="MZC5" s="390"/>
      <c r="MZD5" s="390"/>
      <c r="MZE5" s="390"/>
      <c r="MZF5" s="390"/>
      <c r="MZG5" s="390"/>
      <c r="MZH5" s="390"/>
      <c r="MZI5" s="390"/>
      <c r="MZJ5" s="390"/>
      <c r="MZK5" s="390"/>
      <c r="MZL5" s="390"/>
      <c r="MZM5" s="390"/>
      <c r="MZN5" s="390"/>
      <c r="MZO5" s="390"/>
      <c r="MZP5" s="390"/>
      <c r="MZQ5" s="390"/>
      <c r="MZR5" s="390"/>
      <c r="MZS5" s="390"/>
      <c r="MZT5" s="390"/>
      <c r="MZU5" s="390"/>
      <c r="MZV5" s="390"/>
      <c r="MZW5" s="390"/>
      <c r="MZX5" s="390"/>
      <c r="MZY5" s="390"/>
      <c r="MZZ5" s="390"/>
      <c r="NAA5" s="390"/>
      <c r="NAB5" s="390"/>
      <c r="NAC5" s="390"/>
      <c r="NAD5" s="390"/>
      <c r="NAE5" s="390"/>
      <c r="NAF5" s="390"/>
      <c r="NAG5" s="390"/>
      <c r="NAH5" s="390"/>
      <c r="NAI5" s="390"/>
      <c r="NAJ5" s="390"/>
      <c r="NAK5" s="390"/>
      <c r="NAL5" s="390"/>
      <c r="NAM5" s="390"/>
      <c r="NAN5" s="390"/>
      <c r="NAO5" s="390"/>
      <c r="NAP5" s="390"/>
      <c r="NAQ5" s="390"/>
      <c r="NAR5" s="390"/>
      <c r="NAS5" s="390"/>
      <c r="NAT5" s="390"/>
      <c r="NAU5" s="390"/>
      <c r="NAV5" s="390"/>
      <c r="NAW5" s="390"/>
      <c r="NAX5" s="390"/>
      <c r="NAY5" s="390"/>
      <c r="NAZ5" s="390"/>
      <c r="NBA5" s="390"/>
      <c r="NBB5" s="390"/>
      <c r="NBC5" s="390"/>
      <c r="NBD5" s="390"/>
      <c r="NBE5" s="390"/>
      <c r="NBF5" s="390"/>
      <c r="NBG5" s="390"/>
      <c r="NBH5" s="390"/>
      <c r="NBI5" s="390"/>
      <c r="NBJ5" s="390"/>
      <c r="NBK5" s="390"/>
      <c r="NBL5" s="390"/>
      <c r="NBM5" s="390"/>
      <c r="NBN5" s="390"/>
      <c r="NBO5" s="390"/>
      <c r="NBP5" s="390"/>
      <c r="NBQ5" s="390"/>
      <c r="NBR5" s="390"/>
      <c r="NBS5" s="390"/>
      <c r="NBT5" s="390"/>
      <c r="NBU5" s="390"/>
      <c r="NBV5" s="390"/>
      <c r="NBW5" s="390"/>
      <c r="NBX5" s="390"/>
      <c r="NBY5" s="390"/>
      <c r="NBZ5" s="390"/>
      <c r="NCA5" s="390"/>
      <c r="NCB5" s="390"/>
      <c r="NCC5" s="390"/>
      <c r="NCD5" s="390"/>
      <c r="NCE5" s="390"/>
      <c r="NCF5" s="390"/>
      <c r="NCG5" s="390"/>
      <c r="NCH5" s="390"/>
      <c r="NCI5" s="390"/>
      <c r="NCJ5" s="390"/>
      <c r="NCK5" s="390"/>
      <c r="NCL5" s="390"/>
      <c r="NCM5" s="390"/>
      <c r="NCN5" s="390"/>
      <c r="NCO5" s="390"/>
      <c r="NCP5" s="390"/>
      <c r="NCQ5" s="390"/>
      <c r="NCR5" s="390"/>
      <c r="NCS5" s="390"/>
      <c r="NCT5" s="390"/>
      <c r="NCU5" s="390"/>
      <c r="NCV5" s="390"/>
      <c r="NCW5" s="390"/>
      <c r="NCX5" s="390"/>
      <c r="NCY5" s="390"/>
      <c r="NCZ5" s="390"/>
      <c r="NDA5" s="390"/>
      <c r="NDB5" s="390"/>
      <c r="NDC5" s="390"/>
      <c r="NDD5" s="390"/>
      <c r="NDE5" s="390"/>
      <c r="NDF5" s="390"/>
      <c r="NDG5" s="390"/>
      <c r="NDH5" s="390"/>
      <c r="NDI5" s="390"/>
      <c r="NDJ5" s="390"/>
      <c r="NDK5" s="390"/>
      <c r="NDL5" s="390"/>
      <c r="NDM5" s="390"/>
      <c r="NDN5" s="390"/>
      <c r="NDO5" s="390"/>
      <c r="NDP5" s="390"/>
      <c r="NDQ5" s="390"/>
      <c r="NDR5" s="390"/>
      <c r="NDS5" s="390"/>
      <c r="NDT5" s="390"/>
      <c r="NDU5" s="390"/>
      <c r="NDV5" s="390"/>
      <c r="NDW5" s="390"/>
      <c r="NDX5" s="390"/>
      <c r="NDY5" s="390"/>
      <c r="NDZ5" s="390"/>
      <c r="NEA5" s="390"/>
      <c r="NEB5" s="390"/>
      <c r="NEC5" s="390"/>
      <c r="NED5" s="390"/>
      <c r="NEE5" s="390"/>
      <c r="NEF5" s="390"/>
      <c r="NEG5" s="390"/>
      <c r="NEH5" s="390"/>
      <c r="NEI5" s="390"/>
      <c r="NEJ5" s="390"/>
      <c r="NEK5" s="390"/>
      <c r="NEL5" s="390"/>
      <c r="NEM5" s="390"/>
      <c r="NEN5" s="390"/>
      <c r="NEO5" s="390"/>
      <c r="NEP5" s="390"/>
      <c r="NEQ5" s="390"/>
      <c r="NER5" s="390"/>
      <c r="NES5" s="390"/>
      <c r="NET5" s="390"/>
      <c r="NEU5" s="390"/>
      <c r="NEV5" s="390"/>
      <c r="NEW5" s="390"/>
      <c r="NEX5" s="390"/>
      <c r="NEY5" s="390"/>
      <c r="NEZ5" s="390"/>
      <c r="NFA5" s="390"/>
      <c r="NFB5" s="390"/>
      <c r="NFC5" s="390"/>
      <c r="NFD5" s="390"/>
      <c r="NFE5" s="390"/>
      <c r="NFF5" s="390"/>
      <c r="NFG5" s="390"/>
      <c r="NFH5" s="390"/>
      <c r="NFI5" s="390"/>
      <c r="NFJ5" s="390"/>
      <c r="NFK5" s="390"/>
      <c r="NFL5" s="390"/>
      <c r="NFM5" s="390"/>
      <c r="NFN5" s="390"/>
      <c r="NFO5" s="390"/>
      <c r="NFP5" s="390"/>
      <c r="NFQ5" s="390"/>
      <c r="NFR5" s="390"/>
      <c r="NFS5" s="390"/>
      <c r="NFT5" s="390"/>
      <c r="NFU5" s="390"/>
      <c r="NFV5" s="390"/>
      <c r="NFW5" s="390"/>
      <c r="NFX5" s="390"/>
      <c r="NFY5" s="390"/>
      <c r="NFZ5" s="390"/>
      <c r="NGA5" s="390"/>
      <c r="NGB5" s="390"/>
      <c r="NGC5" s="390"/>
      <c r="NGD5" s="390"/>
      <c r="NGE5" s="390"/>
      <c r="NGF5" s="390"/>
      <c r="NGG5" s="390"/>
      <c r="NGH5" s="390"/>
      <c r="NGI5" s="390"/>
      <c r="NGJ5" s="390"/>
      <c r="NGK5" s="390"/>
      <c r="NGL5" s="390"/>
      <c r="NGM5" s="390"/>
      <c r="NGN5" s="390"/>
      <c r="NGO5" s="390"/>
      <c r="NGP5" s="390"/>
      <c r="NGQ5" s="390"/>
      <c r="NGR5" s="390"/>
      <c r="NGS5" s="390"/>
      <c r="NGT5" s="390"/>
      <c r="NGU5" s="390"/>
      <c r="NGV5" s="390"/>
      <c r="NGW5" s="390"/>
      <c r="NGX5" s="390"/>
      <c r="NGY5" s="390"/>
      <c r="NGZ5" s="390"/>
      <c r="NHA5" s="390"/>
      <c r="NHB5" s="390"/>
      <c r="NHC5" s="390"/>
      <c r="NHD5" s="390"/>
      <c r="NHE5" s="390"/>
      <c r="NHF5" s="390"/>
      <c r="NHG5" s="390"/>
      <c r="NHH5" s="390"/>
      <c r="NHI5" s="390"/>
      <c r="NHJ5" s="390"/>
      <c r="NHK5" s="390"/>
      <c r="NHL5" s="390"/>
      <c r="NHM5" s="390"/>
      <c r="NHN5" s="390"/>
      <c r="NHO5" s="390"/>
      <c r="NHP5" s="390"/>
      <c r="NHQ5" s="390"/>
      <c r="NHR5" s="390"/>
      <c r="NHS5" s="390"/>
      <c r="NHT5" s="390"/>
      <c r="NHU5" s="390"/>
      <c r="NHV5" s="390"/>
      <c r="NHW5" s="390"/>
      <c r="NHX5" s="390"/>
      <c r="NHY5" s="390"/>
      <c r="NHZ5" s="390"/>
      <c r="NIA5" s="390"/>
      <c r="NIB5" s="390"/>
      <c r="NIC5" s="390"/>
      <c r="NID5" s="390"/>
      <c r="NIE5" s="390"/>
      <c r="NIF5" s="390"/>
      <c r="NIG5" s="390"/>
      <c r="NIH5" s="390"/>
      <c r="NII5" s="390"/>
      <c r="NIJ5" s="390"/>
      <c r="NIK5" s="390"/>
      <c r="NIL5" s="390"/>
      <c r="NIM5" s="390"/>
      <c r="NIN5" s="390"/>
      <c r="NIO5" s="390"/>
      <c r="NIP5" s="390"/>
      <c r="NIQ5" s="390"/>
      <c r="NIR5" s="390"/>
      <c r="NIS5" s="390"/>
      <c r="NIT5" s="390"/>
      <c r="NIU5" s="390"/>
      <c r="NIV5" s="390"/>
      <c r="NIW5" s="390"/>
      <c r="NIX5" s="390"/>
      <c r="NIY5" s="390"/>
      <c r="NIZ5" s="390"/>
      <c r="NJA5" s="390"/>
      <c r="NJB5" s="390"/>
      <c r="NJC5" s="390"/>
      <c r="NJD5" s="390"/>
      <c r="NJE5" s="390"/>
      <c r="NJF5" s="390"/>
      <c r="NJG5" s="390"/>
      <c r="NJH5" s="390"/>
      <c r="NJI5" s="390"/>
      <c r="NJJ5" s="390"/>
      <c r="NJK5" s="390"/>
      <c r="NJL5" s="390"/>
      <c r="NJM5" s="390"/>
      <c r="NJN5" s="390"/>
      <c r="NJO5" s="390"/>
      <c r="NJP5" s="390"/>
      <c r="NJQ5" s="390"/>
      <c r="NJR5" s="390"/>
      <c r="NJS5" s="390"/>
      <c r="NJT5" s="390"/>
      <c r="NJU5" s="390"/>
      <c r="NJV5" s="390"/>
      <c r="NJW5" s="390"/>
      <c r="NJX5" s="390"/>
      <c r="NJY5" s="390"/>
      <c r="NJZ5" s="390"/>
      <c r="NKA5" s="390"/>
      <c r="NKB5" s="390"/>
      <c r="NKC5" s="390"/>
      <c r="NKD5" s="390"/>
      <c r="NKE5" s="390"/>
      <c r="NKF5" s="390"/>
      <c r="NKG5" s="390"/>
      <c r="NKH5" s="390"/>
      <c r="NKI5" s="390"/>
      <c r="NKJ5" s="390"/>
      <c r="NKK5" s="390"/>
      <c r="NKL5" s="390"/>
      <c r="NKM5" s="390"/>
      <c r="NKN5" s="390"/>
      <c r="NKO5" s="390"/>
      <c r="NKP5" s="390"/>
      <c r="NKQ5" s="390"/>
      <c r="NKR5" s="390"/>
      <c r="NKS5" s="390"/>
      <c r="NKT5" s="390"/>
      <c r="NKU5" s="390"/>
      <c r="NKV5" s="390"/>
      <c r="NKW5" s="390"/>
      <c r="NKX5" s="390"/>
      <c r="NKY5" s="390"/>
      <c r="NKZ5" s="390"/>
      <c r="NLA5" s="390"/>
      <c r="NLB5" s="390"/>
      <c r="NLC5" s="390"/>
      <c r="NLD5" s="390"/>
      <c r="NLE5" s="390"/>
      <c r="NLF5" s="390"/>
      <c r="NLG5" s="390"/>
      <c r="NLH5" s="390"/>
      <c r="NLI5" s="390"/>
      <c r="NLJ5" s="390"/>
      <c r="NLK5" s="390"/>
      <c r="NLL5" s="390"/>
      <c r="NLM5" s="390"/>
      <c r="NLN5" s="390"/>
      <c r="NLO5" s="390"/>
      <c r="NLP5" s="390"/>
      <c r="NLQ5" s="390"/>
      <c r="NLR5" s="390"/>
      <c r="NLS5" s="390"/>
      <c r="NLT5" s="390"/>
      <c r="NLU5" s="390"/>
      <c r="NLV5" s="390"/>
      <c r="NLW5" s="390"/>
      <c r="NLX5" s="390"/>
      <c r="NLY5" s="390"/>
      <c r="NLZ5" s="390"/>
      <c r="NMA5" s="390"/>
      <c r="NMB5" s="390"/>
      <c r="NMC5" s="390"/>
      <c r="NMD5" s="390"/>
      <c r="NME5" s="390"/>
      <c r="NMF5" s="390"/>
      <c r="NMG5" s="390"/>
      <c r="NMH5" s="390"/>
      <c r="NMI5" s="390"/>
      <c r="NMJ5" s="390"/>
      <c r="NMK5" s="390"/>
      <c r="NML5" s="390"/>
      <c r="NMM5" s="390"/>
      <c r="NMN5" s="390"/>
      <c r="NMO5" s="390"/>
      <c r="NMP5" s="390"/>
      <c r="NMQ5" s="390"/>
      <c r="NMR5" s="390"/>
      <c r="NMS5" s="390"/>
      <c r="NMT5" s="390"/>
      <c r="NMU5" s="390"/>
      <c r="NMV5" s="390"/>
      <c r="NMW5" s="390"/>
      <c r="NMX5" s="390"/>
      <c r="NMY5" s="390"/>
      <c r="NMZ5" s="390"/>
      <c r="NNA5" s="390"/>
      <c r="NNB5" s="390"/>
      <c r="NNC5" s="390"/>
      <c r="NND5" s="390"/>
      <c r="NNE5" s="390"/>
      <c r="NNF5" s="390"/>
      <c r="NNG5" s="390"/>
      <c r="NNH5" s="390"/>
      <c r="NNI5" s="390"/>
      <c r="NNJ5" s="390"/>
      <c r="NNK5" s="390"/>
      <c r="NNL5" s="390"/>
      <c r="NNM5" s="390"/>
      <c r="NNN5" s="390"/>
      <c r="NNO5" s="390"/>
      <c r="NNP5" s="390"/>
      <c r="NNQ5" s="390"/>
      <c r="NNR5" s="390"/>
      <c r="NNS5" s="390"/>
      <c r="NNT5" s="390"/>
      <c r="NNU5" s="390"/>
      <c r="NNV5" s="390"/>
      <c r="NNW5" s="390"/>
      <c r="NNX5" s="390"/>
      <c r="NNY5" s="390"/>
      <c r="NNZ5" s="390"/>
      <c r="NOA5" s="390"/>
      <c r="NOB5" s="390"/>
      <c r="NOC5" s="390"/>
      <c r="NOD5" s="390"/>
      <c r="NOE5" s="390"/>
      <c r="NOF5" s="390"/>
      <c r="NOG5" s="390"/>
      <c r="NOH5" s="390"/>
      <c r="NOI5" s="390"/>
      <c r="NOJ5" s="390"/>
      <c r="NOK5" s="390"/>
      <c r="NOL5" s="390"/>
      <c r="NOM5" s="390"/>
      <c r="NON5" s="390"/>
      <c r="NOO5" s="390"/>
      <c r="NOP5" s="390"/>
      <c r="NOQ5" s="390"/>
      <c r="NOR5" s="390"/>
      <c r="NOS5" s="390"/>
      <c r="NOT5" s="390"/>
      <c r="NOU5" s="390"/>
      <c r="NOV5" s="390"/>
      <c r="NOW5" s="390"/>
      <c r="NOX5" s="390"/>
      <c r="NOY5" s="390"/>
      <c r="NOZ5" s="390"/>
      <c r="NPA5" s="390"/>
      <c r="NPB5" s="390"/>
      <c r="NPC5" s="390"/>
      <c r="NPD5" s="390"/>
      <c r="NPE5" s="390"/>
      <c r="NPF5" s="390"/>
      <c r="NPG5" s="390"/>
      <c r="NPH5" s="390"/>
      <c r="NPI5" s="390"/>
      <c r="NPJ5" s="390"/>
      <c r="NPK5" s="390"/>
      <c r="NPL5" s="390"/>
      <c r="NPM5" s="390"/>
      <c r="NPN5" s="390"/>
      <c r="NPO5" s="390"/>
      <c r="NPP5" s="390"/>
      <c r="NPQ5" s="390"/>
      <c r="NPR5" s="390"/>
      <c r="NPS5" s="390"/>
      <c r="NPT5" s="390"/>
      <c r="NPU5" s="390"/>
      <c r="NPV5" s="390"/>
      <c r="NPW5" s="390"/>
      <c r="NPX5" s="390"/>
      <c r="NPY5" s="390"/>
      <c r="NPZ5" s="390"/>
      <c r="NQA5" s="390"/>
      <c r="NQB5" s="390"/>
      <c r="NQC5" s="390"/>
      <c r="NQD5" s="390"/>
      <c r="NQE5" s="390"/>
      <c r="NQF5" s="390"/>
      <c r="NQG5" s="390"/>
      <c r="NQH5" s="390"/>
      <c r="NQI5" s="390"/>
      <c r="NQJ5" s="390"/>
      <c r="NQK5" s="390"/>
      <c r="NQL5" s="390"/>
      <c r="NQM5" s="390"/>
      <c r="NQN5" s="390"/>
      <c r="NQO5" s="390"/>
      <c r="NQP5" s="390"/>
      <c r="NQQ5" s="390"/>
      <c r="NQR5" s="390"/>
      <c r="NQS5" s="390"/>
      <c r="NQT5" s="390"/>
      <c r="NQU5" s="390"/>
      <c r="NQV5" s="390"/>
      <c r="NQW5" s="390"/>
      <c r="NQX5" s="390"/>
      <c r="NQY5" s="390"/>
      <c r="NQZ5" s="390"/>
      <c r="NRA5" s="390"/>
      <c r="NRB5" s="390"/>
      <c r="NRC5" s="390"/>
      <c r="NRD5" s="390"/>
      <c r="NRE5" s="390"/>
      <c r="NRF5" s="390"/>
      <c r="NRG5" s="390"/>
      <c r="NRH5" s="390"/>
      <c r="NRI5" s="390"/>
      <c r="NRJ5" s="390"/>
      <c r="NRK5" s="390"/>
      <c r="NRL5" s="390"/>
      <c r="NRM5" s="390"/>
      <c r="NRN5" s="390"/>
      <c r="NRO5" s="390"/>
      <c r="NRP5" s="390"/>
      <c r="NRQ5" s="390"/>
      <c r="NRR5" s="390"/>
      <c r="NRS5" s="390"/>
      <c r="NRT5" s="390"/>
      <c r="NRU5" s="390"/>
      <c r="NRV5" s="390"/>
      <c r="NRW5" s="390"/>
      <c r="NRX5" s="390"/>
      <c r="NRY5" s="390"/>
      <c r="NRZ5" s="390"/>
      <c r="NSA5" s="390"/>
      <c r="NSB5" s="390"/>
      <c r="NSC5" s="390"/>
      <c r="NSD5" s="390"/>
      <c r="NSE5" s="390"/>
      <c r="NSF5" s="390"/>
      <c r="NSG5" s="390"/>
      <c r="NSH5" s="390"/>
      <c r="NSI5" s="390"/>
      <c r="NSJ5" s="390"/>
      <c r="NSK5" s="390"/>
      <c r="NSL5" s="390"/>
      <c r="NSM5" s="390"/>
      <c r="NSN5" s="390"/>
      <c r="NSO5" s="390"/>
      <c r="NSP5" s="390"/>
      <c r="NSQ5" s="390"/>
      <c r="NSR5" s="390"/>
      <c r="NSS5" s="390"/>
      <c r="NST5" s="390"/>
      <c r="NSU5" s="390"/>
      <c r="NSV5" s="390"/>
      <c r="NSW5" s="390"/>
      <c r="NSX5" s="390"/>
      <c r="NSY5" s="390"/>
      <c r="NSZ5" s="390"/>
      <c r="NTA5" s="390"/>
      <c r="NTB5" s="390"/>
      <c r="NTC5" s="390"/>
      <c r="NTD5" s="390"/>
      <c r="NTE5" s="390"/>
      <c r="NTF5" s="390"/>
      <c r="NTG5" s="390"/>
      <c r="NTH5" s="390"/>
      <c r="NTI5" s="390"/>
      <c r="NTJ5" s="390"/>
      <c r="NTK5" s="390"/>
      <c r="NTL5" s="390"/>
      <c r="NTM5" s="390"/>
      <c r="NTN5" s="390"/>
      <c r="NTO5" s="390"/>
      <c r="NTP5" s="390"/>
      <c r="NTQ5" s="390"/>
      <c r="NTR5" s="390"/>
      <c r="NTS5" s="390"/>
      <c r="NTT5" s="390"/>
      <c r="NTU5" s="390"/>
      <c r="NTV5" s="390"/>
      <c r="NTW5" s="390"/>
      <c r="NTX5" s="390"/>
      <c r="NTY5" s="390"/>
      <c r="NTZ5" s="390"/>
      <c r="NUA5" s="390"/>
      <c r="NUB5" s="390"/>
      <c r="NUC5" s="390"/>
      <c r="NUD5" s="390"/>
      <c r="NUE5" s="390"/>
      <c r="NUF5" s="390"/>
      <c r="NUG5" s="390"/>
      <c r="NUH5" s="390"/>
      <c r="NUI5" s="390"/>
      <c r="NUJ5" s="390"/>
      <c r="NUK5" s="390"/>
      <c r="NUL5" s="390"/>
      <c r="NUM5" s="390"/>
      <c r="NUN5" s="390"/>
      <c r="NUO5" s="390"/>
      <c r="NUP5" s="390"/>
      <c r="NUQ5" s="390"/>
      <c r="NUR5" s="390"/>
      <c r="NUS5" s="390"/>
      <c r="NUT5" s="390"/>
      <c r="NUU5" s="390"/>
      <c r="NUV5" s="390"/>
      <c r="NUW5" s="390"/>
      <c r="NUX5" s="390"/>
      <c r="NUY5" s="390"/>
      <c r="NUZ5" s="390"/>
      <c r="NVA5" s="390"/>
      <c r="NVB5" s="390"/>
      <c r="NVC5" s="390"/>
      <c r="NVD5" s="390"/>
      <c r="NVE5" s="390"/>
      <c r="NVF5" s="390"/>
      <c r="NVG5" s="390"/>
      <c r="NVH5" s="390"/>
      <c r="NVI5" s="390"/>
      <c r="NVJ5" s="390"/>
      <c r="NVK5" s="390"/>
      <c r="NVL5" s="390"/>
      <c r="NVM5" s="390"/>
      <c r="NVN5" s="390"/>
      <c r="NVO5" s="390"/>
      <c r="NVP5" s="390"/>
      <c r="NVQ5" s="390"/>
      <c r="NVR5" s="390"/>
      <c r="NVS5" s="390"/>
      <c r="NVT5" s="390"/>
      <c r="NVU5" s="390"/>
      <c r="NVV5" s="390"/>
      <c r="NVW5" s="390"/>
      <c r="NVX5" s="390"/>
      <c r="NVY5" s="390"/>
      <c r="NVZ5" s="390"/>
      <c r="NWA5" s="390"/>
      <c r="NWB5" s="390"/>
      <c r="NWC5" s="390"/>
      <c r="NWD5" s="390"/>
      <c r="NWE5" s="390"/>
      <c r="NWF5" s="390"/>
      <c r="NWG5" s="390"/>
      <c r="NWH5" s="390"/>
      <c r="NWI5" s="390"/>
      <c r="NWJ5" s="390"/>
      <c r="NWK5" s="390"/>
      <c r="NWL5" s="390"/>
      <c r="NWM5" s="390"/>
      <c r="NWN5" s="390"/>
      <c r="NWO5" s="390"/>
      <c r="NWP5" s="390"/>
      <c r="NWQ5" s="390"/>
      <c r="NWR5" s="390"/>
      <c r="NWS5" s="390"/>
      <c r="NWT5" s="390"/>
      <c r="NWU5" s="390"/>
      <c r="NWV5" s="390"/>
      <c r="NWW5" s="390"/>
      <c r="NWX5" s="390"/>
      <c r="NWY5" s="390"/>
      <c r="NWZ5" s="390"/>
      <c r="NXA5" s="390"/>
      <c r="NXB5" s="390"/>
      <c r="NXC5" s="390"/>
      <c r="NXD5" s="390"/>
      <c r="NXE5" s="390"/>
      <c r="NXF5" s="390"/>
      <c r="NXG5" s="390"/>
      <c r="NXH5" s="390"/>
      <c r="NXI5" s="390"/>
      <c r="NXJ5" s="390"/>
      <c r="NXK5" s="390"/>
      <c r="NXL5" s="390"/>
      <c r="NXM5" s="390"/>
      <c r="NXN5" s="390"/>
      <c r="NXO5" s="390"/>
      <c r="NXP5" s="390"/>
      <c r="NXQ5" s="390"/>
      <c r="NXR5" s="390"/>
      <c r="NXS5" s="390"/>
      <c r="NXT5" s="390"/>
      <c r="NXU5" s="390"/>
      <c r="NXV5" s="390"/>
      <c r="NXW5" s="390"/>
      <c r="NXX5" s="390"/>
      <c r="NXY5" s="390"/>
      <c r="NXZ5" s="390"/>
      <c r="NYA5" s="390"/>
      <c r="NYB5" s="390"/>
      <c r="NYC5" s="390"/>
      <c r="NYD5" s="390"/>
      <c r="NYE5" s="390"/>
      <c r="NYF5" s="390"/>
      <c r="NYG5" s="390"/>
      <c r="NYH5" s="390"/>
      <c r="NYI5" s="390"/>
      <c r="NYJ5" s="390"/>
      <c r="NYK5" s="390"/>
      <c r="NYL5" s="390"/>
      <c r="NYM5" s="390"/>
      <c r="NYN5" s="390"/>
      <c r="NYO5" s="390"/>
      <c r="NYP5" s="390"/>
      <c r="NYQ5" s="390"/>
      <c r="NYR5" s="390"/>
      <c r="NYS5" s="390"/>
      <c r="NYT5" s="390"/>
      <c r="NYU5" s="390"/>
      <c r="NYV5" s="390"/>
      <c r="NYW5" s="390"/>
      <c r="NYX5" s="390"/>
      <c r="NYY5" s="390"/>
      <c r="NYZ5" s="390"/>
      <c r="NZA5" s="390"/>
      <c r="NZB5" s="390"/>
      <c r="NZC5" s="390"/>
      <c r="NZD5" s="390"/>
      <c r="NZE5" s="390"/>
      <c r="NZF5" s="390"/>
      <c r="NZG5" s="390"/>
      <c r="NZH5" s="390"/>
      <c r="NZI5" s="390"/>
      <c r="NZJ5" s="390"/>
      <c r="NZK5" s="390"/>
      <c r="NZL5" s="390"/>
      <c r="NZM5" s="390"/>
      <c r="NZN5" s="390"/>
      <c r="NZO5" s="390"/>
      <c r="NZP5" s="390"/>
      <c r="NZQ5" s="390"/>
      <c r="NZR5" s="390"/>
      <c r="NZS5" s="390"/>
      <c r="NZT5" s="390"/>
      <c r="NZU5" s="390"/>
      <c r="NZV5" s="390"/>
      <c r="NZW5" s="390"/>
      <c r="NZX5" s="390"/>
      <c r="NZY5" s="390"/>
      <c r="NZZ5" s="390"/>
      <c r="OAA5" s="390"/>
      <c r="OAB5" s="390"/>
      <c r="OAC5" s="390"/>
      <c r="OAD5" s="390"/>
      <c r="OAE5" s="390"/>
      <c r="OAF5" s="390"/>
      <c r="OAG5" s="390"/>
      <c r="OAH5" s="390"/>
      <c r="OAI5" s="390"/>
      <c r="OAJ5" s="390"/>
      <c r="OAK5" s="390"/>
      <c r="OAL5" s="390"/>
      <c r="OAM5" s="390"/>
      <c r="OAN5" s="390"/>
      <c r="OAO5" s="390"/>
      <c r="OAP5" s="390"/>
      <c r="OAQ5" s="390"/>
      <c r="OAR5" s="390"/>
      <c r="OAS5" s="390"/>
      <c r="OAT5" s="390"/>
      <c r="OAU5" s="390"/>
      <c r="OAV5" s="390"/>
      <c r="OAW5" s="390"/>
      <c r="OAX5" s="390"/>
      <c r="OAY5" s="390"/>
      <c r="OAZ5" s="390"/>
      <c r="OBA5" s="390"/>
      <c r="OBB5" s="390"/>
      <c r="OBC5" s="390"/>
      <c r="OBD5" s="390"/>
      <c r="OBE5" s="390"/>
      <c r="OBF5" s="390"/>
      <c r="OBG5" s="390"/>
      <c r="OBH5" s="390"/>
      <c r="OBI5" s="390"/>
      <c r="OBJ5" s="390"/>
      <c r="OBK5" s="390"/>
      <c r="OBL5" s="390"/>
      <c r="OBM5" s="390"/>
      <c r="OBN5" s="390"/>
      <c r="OBO5" s="390"/>
      <c r="OBP5" s="390"/>
      <c r="OBQ5" s="390"/>
      <c r="OBR5" s="390"/>
      <c r="OBS5" s="390"/>
      <c r="OBT5" s="390"/>
      <c r="OBU5" s="390"/>
      <c r="OBV5" s="390"/>
      <c r="OBW5" s="390"/>
      <c r="OBX5" s="390"/>
      <c r="OBY5" s="390"/>
      <c r="OBZ5" s="390"/>
      <c r="OCA5" s="390"/>
      <c r="OCB5" s="390"/>
      <c r="OCC5" s="390"/>
      <c r="OCD5" s="390"/>
      <c r="OCE5" s="390"/>
      <c r="OCF5" s="390"/>
      <c r="OCG5" s="390"/>
      <c r="OCH5" s="390"/>
      <c r="OCI5" s="390"/>
      <c r="OCJ5" s="390"/>
      <c r="OCK5" s="390"/>
      <c r="OCL5" s="390"/>
      <c r="OCM5" s="390"/>
      <c r="OCN5" s="390"/>
      <c r="OCO5" s="390"/>
      <c r="OCP5" s="390"/>
      <c r="OCQ5" s="390"/>
      <c r="OCR5" s="390"/>
      <c r="OCS5" s="390"/>
      <c r="OCT5" s="390"/>
      <c r="OCU5" s="390"/>
      <c r="OCV5" s="390"/>
      <c r="OCW5" s="390"/>
      <c r="OCX5" s="390"/>
      <c r="OCY5" s="390"/>
      <c r="OCZ5" s="390"/>
      <c r="ODA5" s="390"/>
      <c r="ODB5" s="390"/>
      <c r="ODC5" s="390"/>
      <c r="ODD5" s="390"/>
      <c r="ODE5" s="390"/>
      <c r="ODF5" s="390"/>
      <c r="ODG5" s="390"/>
      <c r="ODH5" s="390"/>
      <c r="ODI5" s="390"/>
      <c r="ODJ5" s="390"/>
      <c r="ODK5" s="390"/>
      <c r="ODL5" s="390"/>
      <c r="ODM5" s="390"/>
      <c r="ODN5" s="390"/>
      <c r="ODO5" s="390"/>
      <c r="ODP5" s="390"/>
      <c r="ODQ5" s="390"/>
      <c r="ODR5" s="390"/>
      <c r="ODS5" s="390"/>
      <c r="ODT5" s="390"/>
      <c r="ODU5" s="390"/>
      <c r="ODV5" s="390"/>
      <c r="ODW5" s="390"/>
      <c r="ODX5" s="390"/>
      <c r="ODY5" s="390"/>
      <c r="ODZ5" s="390"/>
      <c r="OEA5" s="390"/>
      <c r="OEB5" s="390"/>
      <c r="OEC5" s="390"/>
      <c r="OED5" s="390"/>
      <c r="OEE5" s="390"/>
      <c r="OEF5" s="390"/>
      <c r="OEG5" s="390"/>
      <c r="OEH5" s="390"/>
      <c r="OEI5" s="390"/>
      <c r="OEJ5" s="390"/>
      <c r="OEK5" s="390"/>
      <c r="OEL5" s="390"/>
      <c r="OEM5" s="390"/>
      <c r="OEN5" s="390"/>
      <c r="OEO5" s="390"/>
      <c r="OEP5" s="390"/>
      <c r="OEQ5" s="390"/>
      <c r="OER5" s="390"/>
      <c r="OES5" s="390"/>
      <c r="OET5" s="390"/>
      <c r="OEU5" s="390"/>
      <c r="OEV5" s="390"/>
      <c r="OEW5" s="390"/>
      <c r="OEX5" s="390"/>
      <c r="OEY5" s="390"/>
      <c r="OEZ5" s="390"/>
      <c r="OFA5" s="390"/>
      <c r="OFB5" s="390"/>
      <c r="OFC5" s="390"/>
      <c r="OFD5" s="390"/>
      <c r="OFE5" s="390"/>
      <c r="OFF5" s="390"/>
      <c r="OFG5" s="390"/>
      <c r="OFH5" s="390"/>
      <c r="OFI5" s="390"/>
      <c r="OFJ5" s="390"/>
      <c r="OFK5" s="390"/>
      <c r="OFL5" s="390"/>
      <c r="OFM5" s="390"/>
      <c r="OFN5" s="390"/>
      <c r="OFO5" s="390"/>
      <c r="OFP5" s="390"/>
      <c r="OFQ5" s="390"/>
      <c r="OFR5" s="390"/>
      <c r="OFS5" s="390"/>
      <c r="OFT5" s="390"/>
      <c r="OFU5" s="390"/>
      <c r="OFV5" s="390"/>
      <c r="OFW5" s="390"/>
      <c r="OFX5" s="390"/>
      <c r="OFY5" s="390"/>
      <c r="OFZ5" s="390"/>
      <c r="OGA5" s="390"/>
      <c r="OGB5" s="390"/>
      <c r="OGC5" s="390"/>
      <c r="OGD5" s="390"/>
      <c r="OGE5" s="390"/>
      <c r="OGF5" s="390"/>
      <c r="OGG5" s="390"/>
      <c r="OGH5" s="390"/>
      <c r="OGI5" s="390"/>
      <c r="OGJ5" s="390"/>
      <c r="OGK5" s="390"/>
      <c r="OGL5" s="390"/>
      <c r="OGM5" s="390"/>
      <c r="OGN5" s="390"/>
      <c r="OGO5" s="390"/>
      <c r="OGP5" s="390"/>
      <c r="OGQ5" s="390"/>
      <c r="OGR5" s="390"/>
      <c r="OGS5" s="390"/>
      <c r="OGT5" s="390"/>
      <c r="OGU5" s="390"/>
      <c r="OGV5" s="390"/>
      <c r="OGW5" s="390"/>
      <c r="OGX5" s="390"/>
      <c r="OGY5" s="390"/>
      <c r="OGZ5" s="390"/>
      <c r="OHA5" s="390"/>
      <c r="OHB5" s="390"/>
      <c r="OHC5" s="390"/>
      <c r="OHD5" s="390"/>
      <c r="OHE5" s="390"/>
      <c r="OHF5" s="390"/>
      <c r="OHG5" s="390"/>
      <c r="OHH5" s="390"/>
      <c r="OHI5" s="390"/>
      <c r="OHJ5" s="390"/>
      <c r="OHK5" s="390"/>
      <c r="OHL5" s="390"/>
      <c r="OHM5" s="390"/>
      <c r="OHN5" s="390"/>
      <c r="OHO5" s="390"/>
      <c r="OHP5" s="390"/>
      <c r="OHQ5" s="390"/>
      <c r="OHR5" s="390"/>
      <c r="OHS5" s="390"/>
      <c r="OHT5" s="390"/>
      <c r="OHU5" s="390"/>
      <c r="OHV5" s="390"/>
      <c r="OHW5" s="390"/>
      <c r="OHX5" s="390"/>
      <c r="OHY5" s="390"/>
      <c r="OHZ5" s="390"/>
      <c r="OIA5" s="390"/>
      <c r="OIB5" s="390"/>
      <c r="OIC5" s="390"/>
      <c r="OID5" s="390"/>
      <c r="OIE5" s="390"/>
      <c r="OIF5" s="390"/>
      <c r="OIG5" s="390"/>
      <c r="OIH5" s="390"/>
      <c r="OII5" s="390"/>
      <c r="OIJ5" s="390"/>
      <c r="OIK5" s="390"/>
      <c r="OIL5" s="390"/>
      <c r="OIM5" s="390"/>
      <c r="OIN5" s="390"/>
      <c r="OIO5" s="390"/>
      <c r="OIP5" s="390"/>
      <c r="OIQ5" s="390"/>
      <c r="OIR5" s="390"/>
      <c r="OIS5" s="390"/>
      <c r="OIT5" s="390"/>
      <c r="OIU5" s="390"/>
      <c r="OIV5" s="390"/>
      <c r="OIW5" s="390"/>
      <c r="OIX5" s="390"/>
      <c r="OIY5" s="390"/>
      <c r="OIZ5" s="390"/>
      <c r="OJA5" s="390"/>
      <c r="OJB5" s="390"/>
      <c r="OJC5" s="390"/>
      <c r="OJD5" s="390"/>
      <c r="OJE5" s="390"/>
      <c r="OJF5" s="390"/>
      <c r="OJG5" s="390"/>
      <c r="OJH5" s="390"/>
      <c r="OJI5" s="390"/>
      <c r="OJJ5" s="390"/>
      <c r="OJK5" s="390"/>
      <c r="OJL5" s="390"/>
      <c r="OJM5" s="390"/>
      <c r="OJN5" s="390"/>
      <c r="OJO5" s="390"/>
      <c r="OJP5" s="390"/>
      <c r="OJQ5" s="390"/>
      <c r="OJR5" s="390"/>
      <c r="OJS5" s="390"/>
      <c r="OJT5" s="390"/>
      <c r="OJU5" s="390"/>
      <c r="OJV5" s="390"/>
      <c r="OJW5" s="390"/>
      <c r="OJX5" s="390"/>
      <c r="OJY5" s="390"/>
      <c r="OJZ5" s="390"/>
      <c r="OKA5" s="390"/>
      <c r="OKB5" s="390"/>
      <c r="OKC5" s="390"/>
      <c r="OKD5" s="390"/>
      <c r="OKE5" s="390"/>
      <c r="OKF5" s="390"/>
      <c r="OKG5" s="390"/>
      <c r="OKH5" s="390"/>
      <c r="OKI5" s="390"/>
      <c r="OKJ5" s="390"/>
      <c r="OKK5" s="390"/>
      <c r="OKL5" s="390"/>
      <c r="OKM5" s="390"/>
      <c r="OKN5" s="390"/>
      <c r="OKO5" s="390"/>
      <c r="OKP5" s="390"/>
      <c r="OKQ5" s="390"/>
      <c r="OKR5" s="390"/>
      <c r="OKS5" s="390"/>
      <c r="OKT5" s="390"/>
      <c r="OKU5" s="390"/>
      <c r="OKV5" s="390"/>
      <c r="OKW5" s="390"/>
      <c r="OKX5" s="390"/>
      <c r="OKY5" s="390"/>
      <c r="OKZ5" s="390"/>
      <c r="OLA5" s="390"/>
      <c r="OLB5" s="390"/>
      <c r="OLC5" s="390"/>
      <c r="OLD5" s="390"/>
      <c r="OLE5" s="390"/>
      <c r="OLF5" s="390"/>
      <c r="OLG5" s="390"/>
      <c r="OLH5" s="390"/>
      <c r="OLI5" s="390"/>
      <c r="OLJ5" s="390"/>
      <c r="OLK5" s="390"/>
      <c r="OLL5" s="390"/>
      <c r="OLM5" s="390"/>
      <c r="OLN5" s="390"/>
      <c r="OLO5" s="390"/>
      <c r="OLP5" s="390"/>
      <c r="OLQ5" s="390"/>
      <c r="OLR5" s="390"/>
      <c r="OLS5" s="390"/>
      <c r="OLT5" s="390"/>
      <c r="OLU5" s="390"/>
      <c r="OLV5" s="390"/>
      <c r="OLW5" s="390"/>
      <c r="OLX5" s="390"/>
      <c r="OLY5" s="390"/>
      <c r="OLZ5" s="390"/>
      <c r="OMA5" s="390"/>
      <c r="OMB5" s="390"/>
      <c r="OMC5" s="390"/>
      <c r="OMD5" s="390"/>
      <c r="OME5" s="390"/>
      <c r="OMF5" s="390"/>
      <c r="OMG5" s="390"/>
      <c r="OMH5" s="390"/>
      <c r="OMI5" s="390"/>
      <c r="OMJ5" s="390"/>
      <c r="OMK5" s="390"/>
      <c r="OML5" s="390"/>
      <c r="OMM5" s="390"/>
      <c r="OMN5" s="390"/>
      <c r="OMO5" s="390"/>
      <c r="OMP5" s="390"/>
      <c r="OMQ5" s="390"/>
      <c r="OMR5" s="390"/>
      <c r="OMS5" s="390"/>
      <c r="OMT5" s="390"/>
      <c r="OMU5" s="390"/>
      <c r="OMV5" s="390"/>
      <c r="OMW5" s="390"/>
      <c r="OMX5" s="390"/>
      <c r="OMY5" s="390"/>
      <c r="OMZ5" s="390"/>
      <c r="ONA5" s="390"/>
      <c r="ONB5" s="390"/>
      <c r="ONC5" s="390"/>
      <c r="OND5" s="390"/>
      <c r="ONE5" s="390"/>
      <c r="ONF5" s="390"/>
      <c r="ONG5" s="390"/>
      <c r="ONH5" s="390"/>
      <c r="ONI5" s="390"/>
      <c r="ONJ5" s="390"/>
      <c r="ONK5" s="390"/>
      <c r="ONL5" s="390"/>
      <c r="ONM5" s="390"/>
      <c r="ONN5" s="390"/>
      <c r="ONO5" s="390"/>
      <c r="ONP5" s="390"/>
      <c r="ONQ5" s="390"/>
      <c r="ONR5" s="390"/>
      <c r="ONS5" s="390"/>
      <c r="ONT5" s="390"/>
      <c r="ONU5" s="390"/>
      <c r="ONV5" s="390"/>
      <c r="ONW5" s="390"/>
      <c r="ONX5" s="390"/>
      <c r="ONY5" s="390"/>
      <c r="ONZ5" s="390"/>
      <c r="OOA5" s="390"/>
      <c r="OOB5" s="390"/>
      <c r="OOC5" s="390"/>
      <c r="OOD5" s="390"/>
      <c r="OOE5" s="390"/>
      <c r="OOF5" s="390"/>
      <c r="OOG5" s="390"/>
      <c r="OOH5" s="390"/>
      <c r="OOI5" s="390"/>
      <c r="OOJ5" s="390"/>
      <c r="OOK5" s="390"/>
      <c r="OOL5" s="390"/>
      <c r="OOM5" s="390"/>
      <c r="OON5" s="390"/>
      <c r="OOO5" s="390"/>
      <c r="OOP5" s="390"/>
      <c r="OOQ5" s="390"/>
      <c r="OOR5" s="390"/>
      <c r="OOS5" s="390"/>
      <c r="OOT5" s="390"/>
      <c r="OOU5" s="390"/>
      <c r="OOV5" s="390"/>
      <c r="OOW5" s="390"/>
      <c r="OOX5" s="390"/>
      <c r="OOY5" s="390"/>
      <c r="OOZ5" s="390"/>
      <c r="OPA5" s="390"/>
      <c r="OPB5" s="390"/>
      <c r="OPC5" s="390"/>
      <c r="OPD5" s="390"/>
      <c r="OPE5" s="390"/>
      <c r="OPF5" s="390"/>
      <c r="OPG5" s="390"/>
      <c r="OPH5" s="390"/>
      <c r="OPI5" s="390"/>
      <c r="OPJ5" s="390"/>
      <c r="OPK5" s="390"/>
      <c r="OPL5" s="390"/>
      <c r="OPM5" s="390"/>
      <c r="OPN5" s="390"/>
      <c r="OPO5" s="390"/>
      <c r="OPP5" s="390"/>
      <c r="OPQ5" s="390"/>
      <c r="OPR5" s="390"/>
      <c r="OPS5" s="390"/>
      <c r="OPT5" s="390"/>
      <c r="OPU5" s="390"/>
      <c r="OPV5" s="390"/>
      <c r="OPW5" s="390"/>
      <c r="OPX5" s="390"/>
      <c r="OPY5" s="390"/>
      <c r="OPZ5" s="390"/>
      <c r="OQA5" s="390"/>
      <c r="OQB5" s="390"/>
      <c r="OQC5" s="390"/>
      <c r="OQD5" s="390"/>
      <c r="OQE5" s="390"/>
      <c r="OQF5" s="390"/>
      <c r="OQG5" s="390"/>
      <c r="OQH5" s="390"/>
      <c r="OQI5" s="390"/>
      <c r="OQJ5" s="390"/>
      <c r="OQK5" s="390"/>
      <c r="OQL5" s="390"/>
      <c r="OQM5" s="390"/>
      <c r="OQN5" s="390"/>
      <c r="OQO5" s="390"/>
      <c r="OQP5" s="390"/>
      <c r="OQQ5" s="390"/>
      <c r="OQR5" s="390"/>
      <c r="OQS5" s="390"/>
      <c r="OQT5" s="390"/>
      <c r="OQU5" s="390"/>
      <c r="OQV5" s="390"/>
      <c r="OQW5" s="390"/>
      <c r="OQX5" s="390"/>
      <c r="OQY5" s="390"/>
      <c r="OQZ5" s="390"/>
      <c r="ORA5" s="390"/>
      <c r="ORB5" s="390"/>
      <c r="ORC5" s="390"/>
      <c r="ORD5" s="390"/>
      <c r="ORE5" s="390"/>
      <c r="ORF5" s="390"/>
      <c r="ORG5" s="390"/>
      <c r="ORH5" s="390"/>
      <c r="ORI5" s="390"/>
      <c r="ORJ5" s="390"/>
      <c r="ORK5" s="390"/>
      <c r="ORL5" s="390"/>
      <c r="ORM5" s="390"/>
      <c r="ORN5" s="390"/>
      <c r="ORO5" s="390"/>
      <c r="ORP5" s="390"/>
      <c r="ORQ5" s="390"/>
      <c r="ORR5" s="390"/>
      <c r="ORS5" s="390"/>
      <c r="ORT5" s="390"/>
      <c r="ORU5" s="390"/>
      <c r="ORV5" s="390"/>
      <c r="ORW5" s="390"/>
      <c r="ORX5" s="390"/>
      <c r="ORY5" s="390"/>
      <c r="ORZ5" s="390"/>
      <c r="OSA5" s="390"/>
      <c r="OSB5" s="390"/>
      <c r="OSC5" s="390"/>
      <c r="OSD5" s="390"/>
      <c r="OSE5" s="390"/>
      <c r="OSF5" s="390"/>
      <c r="OSG5" s="390"/>
      <c r="OSH5" s="390"/>
      <c r="OSI5" s="390"/>
      <c r="OSJ5" s="390"/>
      <c r="OSK5" s="390"/>
      <c r="OSL5" s="390"/>
      <c r="OSM5" s="390"/>
      <c r="OSN5" s="390"/>
      <c r="OSO5" s="390"/>
      <c r="OSP5" s="390"/>
      <c r="OSQ5" s="390"/>
      <c r="OSR5" s="390"/>
      <c r="OSS5" s="390"/>
      <c r="OST5" s="390"/>
      <c r="OSU5" s="390"/>
      <c r="OSV5" s="390"/>
      <c r="OSW5" s="390"/>
      <c r="OSX5" s="390"/>
      <c r="OSY5" s="390"/>
      <c r="OSZ5" s="390"/>
      <c r="OTA5" s="390"/>
      <c r="OTB5" s="390"/>
      <c r="OTC5" s="390"/>
      <c r="OTD5" s="390"/>
      <c r="OTE5" s="390"/>
      <c r="OTF5" s="390"/>
      <c r="OTG5" s="390"/>
      <c r="OTH5" s="390"/>
      <c r="OTI5" s="390"/>
      <c r="OTJ5" s="390"/>
      <c r="OTK5" s="390"/>
      <c r="OTL5" s="390"/>
      <c r="OTM5" s="390"/>
      <c r="OTN5" s="390"/>
      <c r="OTO5" s="390"/>
      <c r="OTP5" s="390"/>
      <c r="OTQ5" s="390"/>
      <c r="OTR5" s="390"/>
      <c r="OTS5" s="390"/>
      <c r="OTT5" s="390"/>
      <c r="OTU5" s="390"/>
      <c r="OTV5" s="390"/>
      <c r="OTW5" s="390"/>
      <c r="OTX5" s="390"/>
      <c r="OTY5" s="390"/>
      <c r="OTZ5" s="390"/>
      <c r="OUA5" s="390"/>
      <c r="OUB5" s="390"/>
      <c r="OUC5" s="390"/>
      <c r="OUD5" s="390"/>
      <c r="OUE5" s="390"/>
      <c r="OUF5" s="390"/>
      <c r="OUG5" s="390"/>
      <c r="OUH5" s="390"/>
      <c r="OUI5" s="390"/>
      <c r="OUJ5" s="390"/>
      <c r="OUK5" s="390"/>
      <c r="OUL5" s="390"/>
      <c r="OUM5" s="390"/>
      <c r="OUN5" s="390"/>
      <c r="OUO5" s="390"/>
      <c r="OUP5" s="390"/>
      <c r="OUQ5" s="390"/>
      <c r="OUR5" s="390"/>
      <c r="OUS5" s="390"/>
      <c r="OUT5" s="390"/>
      <c r="OUU5" s="390"/>
      <c r="OUV5" s="390"/>
      <c r="OUW5" s="390"/>
      <c r="OUX5" s="390"/>
      <c r="OUY5" s="390"/>
      <c r="OUZ5" s="390"/>
      <c r="OVA5" s="390"/>
      <c r="OVB5" s="390"/>
      <c r="OVC5" s="390"/>
      <c r="OVD5" s="390"/>
      <c r="OVE5" s="390"/>
      <c r="OVF5" s="390"/>
      <c r="OVG5" s="390"/>
      <c r="OVH5" s="390"/>
      <c r="OVI5" s="390"/>
      <c r="OVJ5" s="390"/>
      <c r="OVK5" s="390"/>
      <c r="OVL5" s="390"/>
      <c r="OVM5" s="390"/>
      <c r="OVN5" s="390"/>
      <c r="OVO5" s="390"/>
      <c r="OVP5" s="390"/>
      <c r="OVQ5" s="390"/>
      <c r="OVR5" s="390"/>
      <c r="OVS5" s="390"/>
      <c r="OVT5" s="390"/>
      <c r="OVU5" s="390"/>
      <c r="OVV5" s="390"/>
      <c r="OVW5" s="390"/>
      <c r="OVX5" s="390"/>
      <c r="OVY5" s="390"/>
      <c r="OVZ5" s="390"/>
      <c r="OWA5" s="390"/>
      <c r="OWB5" s="390"/>
      <c r="OWC5" s="390"/>
      <c r="OWD5" s="390"/>
      <c r="OWE5" s="390"/>
      <c r="OWF5" s="390"/>
      <c r="OWG5" s="390"/>
      <c r="OWH5" s="390"/>
      <c r="OWI5" s="390"/>
      <c r="OWJ5" s="390"/>
      <c r="OWK5" s="390"/>
      <c r="OWL5" s="390"/>
      <c r="OWM5" s="390"/>
      <c r="OWN5" s="390"/>
      <c r="OWO5" s="390"/>
      <c r="OWP5" s="390"/>
      <c r="OWQ5" s="390"/>
      <c r="OWR5" s="390"/>
      <c r="OWS5" s="390"/>
      <c r="OWT5" s="390"/>
      <c r="OWU5" s="390"/>
      <c r="OWV5" s="390"/>
      <c r="OWW5" s="390"/>
      <c r="OWX5" s="390"/>
      <c r="OWY5" s="390"/>
      <c r="OWZ5" s="390"/>
      <c r="OXA5" s="390"/>
      <c r="OXB5" s="390"/>
      <c r="OXC5" s="390"/>
      <c r="OXD5" s="390"/>
      <c r="OXE5" s="390"/>
      <c r="OXF5" s="390"/>
      <c r="OXG5" s="390"/>
      <c r="OXH5" s="390"/>
      <c r="OXI5" s="390"/>
      <c r="OXJ5" s="390"/>
      <c r="OXK5" s="390"/>
      <c r="OXL5" s="390"/>
      <c r="OXM5" s="390"/>
      <c r="OXN5" s="390"/>
      <c r="OXO5" s="390"/>
      <c r="OXP5" s="390"/>
      <c r="OXQ5" s="390"/>
      <c r="OXR5" s="390"/>
      <c r="OXS5" s="390"/>
      <c r="OXT5" s="390"/>
      <c r="OXU5" s="390"/>
      <c r="OXV5" s="390"/>
      <c r="OXW5" s="390"/>
      <c r="OXX5" s="390"/>
      <c r="OXY5" s="390"/>
      <c r="OXZ5" s="390"/>
      <c r="OYA5" s="390"/>
      <c r="OYB5" s="390"/>
      <c r="OYC5" s="390"/>
      <c r="OYD5" s="390"/>
      <c r="OYE5" s="390"/>
      <c r="OYF5" s="390"/>
      <c r="OYG5" s="390"/>
      <c r="OYH5" s="390"/>
      <c r="OYI5" s="390"/>
      <c r="OYJ5" s="390"/>
      <c r="OYK5" s="390"/>
      <c r="OYL5" s="390"/>
      <c r="OYM5" s="390"/>
      <c r="OYN5" s="390"/>
      <c r="OYO5" s="390"/>
      <c r="OYP5" s="390"/>
      <c r="OYQ5" s="390"/>
      <c r="OYR5" s="390"/>
      <c r="OYS5" s="390"/>
      <c r="OYT5" s="390"/>
      <c r="OYU5" s="390"/>
      <c r="OYV5" s="390"/>
      <c r="OYW5" s="390"/>
      <c r="OYX5" s="390"/>
      <c r="OYY5" s="390"/>
      <c r="OYZ5" s="390"/>
      <c r="OZA5" s="390"/>
      <c r="OZB5" s="390"/>
      <c r="OZC5" s="390"/>
      <c r="OZD5" s="390"/>
      <c r="OZE5" s="390"/>
      <c r="OZF5" s="390"/>
      <c r="OZG5" s="390"/>
      <c r="OZH5" s="390"/>
      <c r="OZI5" s="390"/>
      <c r="OZJ5" s="390"/>
      <c r="OZK5" s="390"/>
      <c r="OZL5" s="390"/>
      <c r="OZM5" s="390"/>
      <c r="OZN5" s="390"/>
      <c r="OZO5" s="390"/>
      <c r="OZP5" s="390"/>
      <c r="OZQ5" s="390"/>
      <c r="OZR5" s="390"/>
      <c r="OZS5" s="390"/>
      <c r="OZT5" s="390"/>
      <c r="OZU5" s="390"/>
      <c r="OZV5" s="390"/>
      <c r="OZW5" s="390"/>
      <c r="OZX5" s="390"/>
      <c r="OZY5" s="390"/>
      <c r="OZZ5" s="390"/>
      <c r="PAA5" s="390"/>
      <c r="PAB5" s="390"/>
      <c r="PAC5" s="390"/>
      <c r="PAD5" s="390"/>
      <c r="PAE5" s="390"/>
      <c r="PAF5" s="390"/>
      <c r="PAG5" s="390"/>
      <c r="PAH5" s="390"/>
      <c r="PAI5" s="390"/>
      <c r="PAJ5" s="390"/>
      <c r="PAK5" s="390"/>
      <c r="PAL5" s="390"/>
      <c r="PAM5" s="390"/>
      <c r="PAN5" s="390"/>
      <c r="PAO5" s="390"/>
      <c r="PAP5" s="390"/>
      <c r="PAQ5" s="390"/>
      <c r="PAR5" s="390"/>
      <c r="PAS5" s="390"/>
      <c r="PAT5" s="390"/>
      <c r="PAU5" s="390"/>
      <c r="PAV5" s="390"/>
      <c r="PAW5" s="390"/>
      <c r="PAX5" s="390"/>
      <c r="PAY5" s="390"/>
      <c r="PAZ5" s="390"/>
      <c r="PBA5" s="390"/>
      <c r="PBB5" s="390"/>
      <c r="PBC5" s="390"/>
      <c r="PBD5" s="390"/>
      <c r="PBE5" s="390"/>
      <c r="PBF5" s="390"/>
      <c r="PBG5" s="390"/>
      <c r="PBH5" s="390"/>
      <c r="PBI5" s="390"/>
      <c r="PBJ5" s="390"/>
      <c r="PBK5" s="390"/>
      <c r="PBL5" s="390"/>
      <c r="PBM5" s="390"/>
      <c r="PBN5" s="390"/>
      <c r="PBO5" s="390"/>
      <c r="PBP5" s="390"/>
      <c r="PBQ5" s="390"/>
      <c r="PBR5" s="390"/>
      <c r="PBS5" s="390"/>
      <c r="PBT5" s="390"/>
      <c r="PBU5" s="390"/>
      <c r="PBV5" s="390"/>
      <c r="PBW5" s="390"/>
      <c r="PBX5" s="390"/>
      <c r="PBY5" s="390"/>
      <c r="PBZ5" s="390"/>
      <c r="PCA5" s="390"/>
      <c r="PCB5" s="390"/>
      <c r="PCC5" s="390"/>
      <c r="PCD5" s="390"/>
      <c r="PCE5" s="390"/>
      <c r="PCF5" s="390"/>
      <c r="PCG5" s="390"/>
      <c r="PCH5" s="390"/>
      <c r="PCI5" s="390"/>
      <c r="PCJ5" s="390"/>
      <c r="PCK5" s="390"/>
      <c r="PCL5" s="390"/>
      <c r="PCM5" s="390"/>
      <c r="PCN5" s="390"/>
      <c r="PCO5" s="390"/>
      <c r="PCP5" s="390"/>
      <c r="PCQ5" s="390"/>
      <c r="PCR5" s="390"/>
      <c r="PCS5" s="390"/>
      <c r="PCT5" s="390"/>
      <c r="PCU5" s="390"/>
      <c r="PCV5" s="390"/>
      <c r="PCW5" s="390"/>
      <c r="PCX5" s="390"/>
      <c r="PCY5" s="390"/>
      <c r="PCZ5" s="390"/>
      <c r="PDA5" s="390"/>
      <c r="PDB5" s="390"/>
      <c r="PDC5" s="390"/>
      <c r="PDD5" s="390"/>
      <c r="PDE5" s="390"/>
      <c r="PDF5" s="390"/>
      <c r="PDG5" s="390"/>
      <c r="PDH5" s="390"/>
      <c r="PDI5" s="390"/>
      <c r="PDJ5" s="390"/>
      <c r="PDK5" s="390"/>
      <c r="PDL5" s="390"/>
      <c r="PDM5" s="390"/>
      <c r="PDN5" s="390"/>
      <c r="PDO5" s="390"/>
      <c r="PDP5" s="390"/>
      <c r="PDQ5" s="390"/>
      <c r="PDR5" s="390"/>
      <c r="PDS5" s="390"/>
      <c r="PDT5" s="390"/>
      <c r="PDU5" s="390"/>
      <c r="PDV5" s="390"/>
      <c r="PDW5" s="390"/>
      <c r="PDX5" s="390"/>
      <c r="PDY5" s="390"/>
      <c r="PDZ5" s="390"/>
      <c r="PEA5" s="390"/>
      <c r="PEB5" s="390"/>
      <c r="PEC5" s="390"/>
      <c r="PED5" s="390"/>
      <c r="PEE5" s="390"/>
      <c r="PEF5" s="390"/>
      <c r="PEG5" s="390"/>
      <c r="PEH5" s="390"/>
      <c r="PEI5" s="390"/>
      <c r="PEJ5" s="390"/>
      <c r="PEK5" s="390"/>
      <c r="PEL5" s="390"/>
      <c r="PEM5" s="390"/>
      <c r="PEN5" s="390"/>
      <c r="PEO5" s="390"/>
      <c r="PEP5" s="390"/>
      <c r="PEQ5" s="390"/>
      <c r="PER5" s="390"/>
      <c r="PES5" s="390"/>
      <c r="PET5" s="390"/>
      <c r="PEU5" s="390"/>
      <c r="PEV5" s="390"/>
      <c r="PEW5" s="390"/>
      <c r="PEX5" s="390"/>
      <c r="PEY5" s="390"/>
      <c r="PEZ5" s="390"/>
      <c r="PFA5" s="390"/>
      <c r="PFB5" s="390"/>
      <c r="PFC5" s="390"/>
      <c r="PFD5" s="390"/>
      <c r="PFE5" s="390"/>
      <c r="PFF5" s="390"/>
      <c r="PFG5" s="390"/>
      <c r="PFH5" s="390"/>
      <c r="PFI5" s="390"/>
      <c r="PFJ5" s="390"/>
      <c r="PFK5" s="390"/>
      <c r="PFL5" s="390"/>
      <c r="PFM5" s="390"/>
      <c r="PFN5" s="390"/>
      <c r="PFO5" s="390"/>
      <c r="PFP5" s="390"/>
      <c r="PFQ5" s="390"/>
      <c r="PFR5" s="390"/>
      <c r="PFS5" s="390"/>
      <c r="PFT5" s="390"/>
      <c r="PFU5" s="390"/>
      <c r="PFV5" s="390"/>
      <c r="PFW5" s="390"/>
      <c r="PFX5" s="390"/>
      <c r="PFY5" s="390"/>
      <c r="PFZ5" s="390"/>
      <c r="PGA5" s="390"/>
      <c r="PGB5" s="390"/>
      <c r="PGC5" s="390"/>
      <c r="PGD5" s="390"/>
      <c r="PGE5" s="390"/>
      <c r="PGF5" s="390"/>
      <c r="PGG5" s="390"/>
      <c r="PGH5" s="390"/>
      <c r="PGI5" s="390"/>
      <c r="PGJ5" s="390"/>
      <c r="PGK5" s="390"/>
      <c r="PGL5" s="390"/>
      <c r="PGM5" s="390"/>
      <c r="PGN5" s="390"/>
      <c r="PGO5" s="390"/>
      <c r="PGP5" s="390"/>
      <c r="PGQ5" s="390"/>
      <c r="PGR5" s="390"/>
      <c r="PGS5" s="390"/>
      <c r="PGT5" s="390"/>
      <c r="PGU5" s="390"/>
      <c r="PGV5" s="390"/>
      <c r="PGW5" s="390"/>
      <c r="PGX5" s="390"/>
      <c r="PGY5" s="390"/>
      <c r="PGZ5" s="390"/>
      <c r="PHA5" s="390"/>
      <c r="PHB5" s="390"/>
      <c r="PHC5" s="390"/>
      <c r="PHD5" s="390"/>
      <c r="PHE5" s="390"/>
      <c r="PHF5" s="390"/>
      <c r="PHG5" s="390"/>
      <c r="PHH5" s="390"/>
      <c r="PHI5" s="390"/>
      <c r="PHJ5" s="390"/>
      <c r="PHK5" s="390"/>
      <c r="PHL5" s="390"/>
      <c r="PHM5" s="390"/>
      <c r="PHN5" s="390"/>
      <c r="PHO5" s="390"/>
      <c r="PHP5" s="390"/>
      <c r="PHQ5" s="390"/>
      <c r="PHR5" s="390"/>
      <c r="PHS5" s="390"/>
      <c r="PHT5" s="390"/>
      <c r="PHU5" s="390"/>
      <c r="PHV5" s="390"/>
      <c r="PHW5" s="390"/>
      <c r="PHX5" s="390"/>
      <c r="PHY5" s="390"/>
      <c r="PHZ5" s="390"/>
      <c r="PIA5" s="390"/>
      <c r="PIB5" s="390"/>
      <c r="PIC5" s="390"/>
      <c r="PID5" s="390"/>
      <c r="PIE5" s="390"/>
      <c r="PIF5" s="390"/>
      <c r="PIG5" s="390"/>
      <c r="PIH5" s="390"/>
      <c r="PII5" s="390"/>
      <c r="PIJ5" s="390"/>
      <c r="PIK5" s="390"/>
      <c r="PIL5" s="390"/>
      <c r="PIM5" s="390"/>
      <c r="PIN5" s="390"/>
      <c r="PIO5" s="390"/>
      <c r="PIP5" s="390"/>
      <c r="PIQ5" s="390"/>
      <c r="PIR5" s="390"/>
      <c r="PIS5" s="390"/>
      <c r="PIT5" s="390"/>
      <c r="PIU5" s="390"/>
      <c r="PIV5" s="390"/>
      <c r="PIW5" s="390"/>
      <c r="PIX5" s="390"/>
      <c r="PIY5" s="390"/>
      <c r="PIZ5" s="390"/>
      <c r="PJA5" s="390"/>
      <c r="PJB5" s="390"/>
      <c r="PJC5" s="390"/>
      <c r="PJD5" s="390"/>
      <c r="PJE5" s="390"/>
      <c r="PJF5" s="390"/>
      <c r="PJG5" s="390"/>
      <c r="PJH5" s="390"/>
      <c r="PJI5" s="390"/>
      <c r="PJJ5" s="390"/>
      <c r="PJK5" s="390"/>
      <c r="PJL5" s="390"/>
      <c r="PJM5" s="390"/>
      <c r="PJN5" s="390"/>
      <c r="PJO5" s="390"/>
      <c r="PJP5" s="390"/>
      <c r="PJQ5" s="390"/>
      <c r="PJR5" s="390"/>
      <c r="PJS5" s="390"/>
      <c r="PJT5" s="390"/>
      <c r="PJU5" s="390"/>
      <c r="PJV5" s="390"/>
      <c r="PJW5" s="390"/>
      <c r="PJX5" s="390"/>
      <c r="PJY5" s="390"/>
      <c r="PJZ5" s="390"/>
      <c r="PKA5" s="390"/>
      <c r="PKB5" s="390"/>
      <c r="PKC5" s="390"/>
      <c r="PKD5" s="390"/>
      <c r="PKE5" s="390"/>
      <c r="PKF5" s="390"/>
      <c r="PKG5" s="390"/>
      <c r="PKH5" s="390"/>
      <c r="PKI5" s="390"/>
      <c r="PKJ5" s="390"/>
      <c r="PKK5" s="390"/>
      <c r="PKL5" s="390"/>
      <c r="PKM5" s="390"/>
      <c r="PKN5" s="390"/>
      <c r="PKO5" s="390"/>
      <c r="PKP5" s="390"/>
      <c r="PKQ5" s="390"/>
      <c r="PKR5" s="390"/>
      <c r="PKS5" s="390"/>
      <c r="PKT5" s="390"/>
      <c r="PKU5" s="390"/>
      <c r="PKV5" s="390"/>
      <c r="PKW5" s="390"/>
      <c r="PKX5" s="390"/>
      <c r="PKY5" s="390"/>
      <c r="PKZ5" s="390"/>
      <c r="PLA5" s="390"/>
      <c r="PLB5" s="390"/>
      <c r="PLC5" s="390"/>
      <c r="PLD5" s="390"/>
      <c r="PLE5" s="390"/>
      <c r="PLF5" s="390"/>
      <c r="PLG5" s="390"/>
      <c r="PLH5" s="390"/>
      <c r="PLI5" s="390"/>
      <c r="PLJ5" s="390"/>
      <c r="PLK5" s="390"/>
      <c r="PLL5" s="390"/>
      <c r="PLM5" s="390"/>
      <c r="PLN5" s="390"/>
      <c r="PLO5" s="390"/>
      <c r="PLP5" s="390"/>
      <c r="PLQ5" s="390"/>
      <c r="PLR5" s="390"/>
      <c r="PLS5" s="390"/>
      <c r="PLT5" s="390"/>
      <c r="PLU5" s="390"/>
      <c r="PLV5" s="390"/>
      <c r="PLW5" s="390"/>
      <c r="PLX5" s="390"/>
      <c r="PLY5" s="390"/>
      <c r="PLZ5" s="390"/>
      <c r="PMA5" s="390"/>
      <c r="PMB5" s="390"/>
      <c r="PMC5" s="390"/>
      <c r="PMD5" s="390"/>
      <c r="PME5" s="390"/>
      <c r="PMF5" s="390"/>
      <c r="PMG5" s="390"/>
      <c r="PMH5" s="390"/>
      <c r="PMI5" s="390"/>
      <c r="PMJ5" s="390"/>
      <c r="PMK5" s="390"/>
      <c r="PML5" s="390"/>
      <c r="PMM5" s="390"/>
      <c r="PMN5" s="390"/>
      <c r="PMO5" s="390"/>
      <c r="PMP5" s="390"/>
      <c r="PMQ5" s="390"/>
      <c r="PMR5" s="390"/>
      <c r="PMS5" s="390"/>
      <c r="PMT5" s="390"/>
      <c r="PMU5" s="390"/>
      <c r="PMV5" s="390"/>
      <c r="PMW5" s="390"/>
      <c r="PMX5" s="390"/>
      <c r="PMY5" s="390"/>
      <c r="PMZ5" s="390"/>
      <c r="PNA5" s="390"/>
      <c r="PNB5" s="390"/>
      <c r="PNC5" s="390"/>
      <c r="PND5" s="390"/>
      <c r="PNE5" s="390"/>
      <c r="PNF5" s="390"/>
      <c r="PNG5" s="390"/>
      <c r="PNH5" s="390"/>
      <c r="PNI5" s="390"/>
      <c r="PNJ5" s="390"/>
      <c r="PNK5" s="390"/>
      <c r="PNL5" s="390"/>
      <c r="PNM5" s="390"/>
      <c r="PNN5" s="390"/>
      <c r="PNO5" s="390"/>
      <c r="PNP5" s="390"/>
      <c r="PNQ5" s="390"/>
      <c r="PNR5" s="390"/>
      <c r="PNS5" s="390"/>
      <c r="PNT5" s="390"/>
      <c r="PNU5" s="390"/>
      <c r="PNV5" s="390"/>
      <c r="PNW5" s="390"/>
      <c r="PNX5" s="390"/>
      <c r="PNY5" s="390"/>
      <c r="PNZ5" s="390"/>
      <c r="POA5" s="390"/>
      <c r="POB5" s="390"/>
      <c r="POC5" s="390"/>
      <c r="POD5" s="390"/>
      <c r="POE5" s="390"/>
      <c r="POF5" s="390"/>
      <c r="POG5" s="390"/>
      <c r="POH5" s="390"/>
      <c r="POI5" s="390"/>
      <c r="POJ5" s="390"/>
      <c r="POK5" s="390"/>
      <c r="POL5" s="390"/>
      <c r="POM5" s="390"/>
      <c r="PON5" s="390"/>
      <c r="POO5" s="390"/>
      <c r="POP5" s="390"/>
      <c r="POQ5" s="390"/>
      <c r="POR5" s="390"/>
      <c r="POS5" s="390"/>
      <c r="POT5" s="390"/>
      <c r="POU5" s="390"/>
      <c r="POV5" s="390"/>
      <c r="POW5" s="390"/>
      <c r="POX5" s="390"/>
      <c r="POY5" s="390"/>
      <c r="POZ5" s="390"/>
      <c r="PPA5" s="390"/>
      <c r="PPB5" s="390"/>
      <c r="PPC5" s="390"/>
      <c r="PPD5" s="390"/>
      <c r="PPE5" s="390"/>
      <c r="PPF5" s="390"/>
      <c r="PPG5" s="390"/>
      <c r="PPH5" s="390"/>
      <c r="PPI5" s="390"/>
      <c r="PPJ5" s="390"/>
      <c r="PPK5" s="390"/>
      <c r="PPL5" s="390"/>
      <c r="PPM5" s="390"/>
      <c r="PPN5" s="390"/>
      <c r="PPO5" s="390"/>
      <c r="PPP5" s="390"/>
      <c r="PPQ5" s="390"/>
      <c r="PPR5" s="390"/>
      <c r="PPS5" s="390"/>
      <c r="PPT5" s="390"/>
      <c r="PPU5" s="390"/>
      <c r="PPV5" s="390"/>
      <c r="PPW5" s="390"/>
      <c r="PPX5" s="390"/>
      <c r="PPY5" s="390"/>
      <c r="PPZ5" s="390"/>
      <c r="PQA5" s="390"/>
      <c r="PQB5" s="390"/>
      <c r="PQC5" s="390"/>
      <c r="PQD5" s="390"/>
      <c r="PQE5" s="390"/>
      <c r="PQF5" s="390"/>
      <c r="PQG5" s="390"/>
      <c r="PQH5" s="390"/>
      <c r="PQI5" s="390"/>
      <c r="PQJ5" s="390"/>
      <c r="PQK5" s="390"/>
      <c r="PQL5" s="390"/>
      <c r="PQM5" s="390"/>
      <c r="PQN5" s="390"/>
      <c r="PQO5" s="390"/>
      <c r="PQP5" s="390"/>
      <c r="PQQ5" s="390"/>
      <c r="PQR5" s="390"/>
      <c r="PQS5" s="390"/>
      <c r="PQT5" s="390"/>
      <c r="PQU5" s="390"/>
      <c r="PQV5" s="390"/>
      <c r="PQW5" s="390"/>
      <c r="PQX5" s="390"/>
      <c r="PQY5" s="390"/>
      <c r="PQZ5" s="390"/>
      <c r="PRA5" s="390"/>
      <c r="PRB5" s="390"/>
      <c r="PRC5" s="390"/>
      <c r="PRD5" s="390"/>
      <c r="PRE5" s="390"/>
      <c r="PRF5" s="390"/>
      <c r="PRG5" s="390"/>
      <c r="PRH5" s="390"/>
      <c r="PRI5" s="390"/>
      <c r="PRJ5" s="390"/>
      <c r="PRK5" s="390"/>
      <c r="PRL5" s="390"/>
      <c r="PRM5" s="390"/>
      <c r="PRN5" s="390"/>
      <c r="PRO5" s="390"/>
      <c r="PRP5" s="390"/>
      <c r="PRQ5" s="390"/>
      <c r="PRR5" s="390"/>
      <c r="PRS5" s="390"/>
      <c r="PRT5" s="390"/>
      <c r="PRU5" s="390"/>
      <c r="PRV5" s="390"/>
      <c r="PRW5" s="390"/>
      <c r="PRX5" s="390"/>
      <c r="PRY5" s="390"/>
      <c r="PRZ5" s="390"/>
      <c r="PSA5" s="390"/>
      <c r="PSB5" s="390"/>
      <c r="PSC5" s="390"/>
      <c r="PSD5" s="390"/>
      <c r="PSE5" s="390"/>
      <c r="PSF5" s="390"/>
      <c r="PSG5" s="390"/>
      <c r="PSH5" s="390"/>
      <c r="PSI5" s="390"/>
      <c r="PSJ5" s="390"/>
      <c r="PSK5" s="390"/>
      <c r="PSL5" s="390"/>
      <c r="PSM5" s="390"/>
      <c r="PSN5" s="390"/>
      <c r="PSO5" s="390"/>
      <c r="PSP5" s="390"/>
      <c r="PSQ5" s="390"/>
      <c r="PSR5" s="390"/>
      <c r="PSS5" s="390"/>
      <c r="PST5" s="390"/>
      <c r="PSU5" s="390"/>
      <c r="PSV5" s="390"/>
      <c r="PSW5" s="390"/>
      <c r="PSX5" s="390"/>
      <c r="PSY5" s="390"/>
      <c r="PSZ5" s="390"/>
      <c r="PTA5" s="390"/>
      <c r="PTB5" s="390"/>
      <c r="PTC5" s="390"/>
      <c r="PTD5" s="390"/>
      <c r="PTE5" s="390"/>
      <c r="PTF5" s="390"/>
      <c r="PTG5" s="390"/>
      <c r="PTH5" s="390"/>
      <c r="PTI5" s="390"/>
      <c r="PTJ5" s="390"/>
      <c r="PTK5" s="390"/>
      <c r="PTL5" s="390"/>
      <c r="PTM5" s="390"/>
      <c r="PTN5" s="390"/>
      <c r="PTO5" s="390"/>
      <c r="PTP5" s="390"/>
      <c r="PTQ5" s="390"/>
      <c r="PTR5" s="390"/>
      <c r="PTS5" s="390"/>
      <c r="PTT5" s="390"/>
      <c r="PTU5" s="390"/>
      <c r="PTV5" s="390"/>
      <c r="PTW5" s="390"/>
      <c r="PTX5" s="390"/>
      <c r="PTY5" s="390"/>
      <c r="PTZ5" s="390"/>
      <c r="PUA5" s="390"/>
      <c r="PUB5" s="390"/>
      <c r="PUC5" s="390"/>
      <c r="PUD5" s="390"/>
      <c r="PUE5" s="390"/>
      <c r="PUF5" s="390"/>
      <c r="PUG5" s="390"/>
      <c r="PUH5" s="390"/>
      <c r="PUI5" s="390"/>
      <c r="PUJ5" s="390"/>
      <c r="PUK5" s="390"/>
      <c r="PUL5" s="390"/>
      <c r="PUM5" s="390"/>
      <c r="PUN5" s="390"/>
      <c r="PUO5" s="390"/>
      <c r="PUP5" s="390"/>
      <c r="PUQ5" s="390"/>
      <c r="PUR5" s="390"/>
      <c r="PUS5" s="390"/>
      <c r="PUT5" s="390"/>
      <c r="PUU5" s="390"/>
      <c r="PUV5" s="390"/>
      <c r="PUW5" s="390"/>
      <c r="PUX5" s="390"/>
      <c r="PUY5" s="390"/>
      <c r="PUZ5" s="390"/>
      <c r="PVA5" s="390"/>
      <c r="PVB5" s="390"/>
      <c r="PVC5" s="390"/>
      <c r="PVD5" s="390"/>
      <c r="PVE5" s="390"/>
      <c r="PVF5" s="390"/>
      <c r="PVG5" s="390"/>
      <c r="PVH5" s="390"/>
      <c r="PVI5" s="390"/>
      <c r="PVJ5" s="390"/>
      <c r="PVK5" s="390"/>
      <c r="PVL5" s="390"/>
      <c r="PVM5" s="390"/>
      <c r="PVN5" s="390"/>
      <c r="PVO5" s="390"/>
      <c r="PVP5" s="390"/>
      <c r="PVQ5" s="390"/>
      <c r="PVR5" s="390"/>
      <c r="PVS5" s="390"/>
      <c r="PVT5" s="390"/>
      <c r="PVU5" s="390"/>
      <c r="PVV5" s="390"/>
      <c r="PVW5" s="390"/>
      <c r="PVX5" s="390"/>
      <c r="PVY5" s="390"/>
      <c r="PVZ5" s="390"/>
      <c r="PWA5" s="390"/>
      <c r="PWB5" s="390"/>
      <c r="PWC5" s="390"/>
      <c r="PWD5" s="390"/>
      <c r="PWE5" s="390"/>
      <c r="PWF5" s="390"/>
      <c r="PWG5" s="390"/>
      <c r="PWH5" s="390"/>
      <c r="PWI5" s="390"/>
      <c r="PWJ5" s="390"/>
      <c r="PWK5" s="390"/>
      <c r="PWL5" s="390"/>
      <c r="PWM5" s="390"/>
      <c r="PWN5" s="390"/>
      <c r="PWO5" s="390"/>
      <c r="PWP5" s="390"/>
      <c r="PWQ5" s="390"/>
      <c r="PWR5" s="390"/>
      <c r="PWS5" s="390"/>
      <c r="PWT5" s="390"/>
      <c r="PWU5" s="390"/>
      <c r="PWV5" s="390"/>
      <c r="PWW5" s="390"/>
      <c r="PWX5" s="390"/>
      <c r="PWY5" s="390"/>
      <c r="PWZ5" s="390"/>
      <c r="PXA5" s="390"/>
      <c r="PXB5" s="390"/>
      <c r="PXC5" s="390"/>
      <c r="PXD5" s="390"/>
      <c r="PXE5" s="390"/>
      <c r="PXF5" s="390"/>
      <c r="PXG5" s="390"/>
      <c r="PXH5" s="390"/>
      <c r="PXI5" s="390"/>
      <c r="PXJ5" s="390"/>
      <c r="PXK5" s="390"/>
      <c r="PXL5" s="390"/>
      <c r="PXM5" s="390"/>
      <c r="PXN5" s="390"/>
      <c r="PXO5" s="390"/>
      <c r="PXP5" s="390"/>
      <c r="PXQ5" s="390"/>
      <c r="PXR5" s="390"/>
      <c r="PXS5" s="390"/>
      <c r="PXT5" s="390"/>
      <c r="PXU5" s="390"/>
      <c r="PXV5" s="390"/>
      <c r="PXW5" s="390"/>
      <c r="PXX5" s="390"/>
      <c r="PXY5" s="390"/>
      <c r="PXZ5" s="390"/>
      <c r="PYA5" s="390"/>
      <c r="PYB5" s="390"/>
      <c r="PYC5" s="390"/>
      <c r="PYD5" s="390"/>
      <c r="PYE5" s="390"/>
      <c r="PYF5" s="390"/>
      <c r="PYG5" s="390"/>
      <c r="PYH5" s="390"/>
      <c r="PYI5" s="390"/>
      <c r="PYJ5" s="390"/>
      <c r="PYK5" s="390"/>
      <c r="PYL5" s="390"/>
      <c r="PYM5" s="390"/>
      <c r="PYN5" s="390"/>
      <c r="PYO5" s="390"/>
      <c r="PYP5" s="390"/>
      <c r="PYQ5" s="390"/>
      <c r="PYR5" s="390"/>
      <c r="PYS5" s="390"/>
      <c r="PYT5" s="390"/>
      <c r="PYU5" s="390"/>
      <c r="PYV5" s="390"/>
      <c r="PYW5" s="390"/>
      <c r="PYX5" s="390"/>
      <c r="PYY5" s="390"/>
      <c r="PYZ5" s="390"/>
      <c r="PZA5" s="390"/>
      <c r="PZB5" s="390"/>
      <c r="PZC5" s="390"/>
      <c r="PZD5" s="390"/>
      <c r="PZE5" s="390"/>
      <c r="PZF5" s="390"/>
      <c r="PZG5" s="390"/>
      <c r="PZH5" s="390"/>
      <c r="PZI5" s="390"/>
      <c r="PZJ5" s="390"/>
      <c r="PZK5" s="390"/>
      <c r="PZL5" s="390"/>
      <c r="PZM5" s="390"/>
      <c r="PZN5" s="390"/>
      <c r="PZO5" s="390"/>
      <c r="PZP5" s="390"/>
      <c r="PZQ5" s="390"/>
      <c r="PZR5" s="390"/>
      <c r="PZS5" s="390"/>
      <c r="PZT5" s="390"/>
      <c r="PZU5" s="390"/>
      <c r="PZV5" s="390"/>
      <c r="PZW5" s="390"/>
      <c r="PZX5" s="390"/>
      <c r="PZY5" s="390"/>
      <c r="PZZ5" s="390"/>
      <c r="QAA5" s="390"/>
      <c r="QAB5" s="390"/>
      <c r="QAC5" s="390"/>
      <c r="QAD5" s="390"/>
      <c r="QAE5" s="390"/>
      <c r="QAF5" s="390"/>
      <c r="QAG5" s="390"/>
      <c r="QAH5" s="390"/>
      <c r="QAI5" s="390"/>
      <c r="QAJ5" s="390"/>
      <c r="QAK5" s="390"/>
      <c r="QAL5" s="390"/>
      <c r="QAM5" s="390"/>
      <c r="QAN5" s="390"/>
      <c r="QAO5" s="390"/>
      <c r="QAP5" s="390"/>
      <c r="QAQ5" s="390"/>
      <c r="QAR5" s="390"/>
      <c r="QAS5" s="390"/>
      <c r="QAT5" s="390"/>
      <c r="QAU5" s="390"/>
      <c r="QAV5" s="390"/>
      <c r="QAW5" s="390"/>
      <c r="QAX5" s="390"/>
      <c r="QAY5" s="390"/>
      <c r="QAZ5" s="390"/>
      <c r="QBA5" s="390"/>
      <c r="QBB5" s="390"/>
      <c r="QBC5" s="390"/>
      <c r="QBD5" s="390"/>
      <c r="QBE5" s="390"/>
      <c r="QBF5" s="390"/>
      <c r="QBG5" s="390"/>
      <c r="QBH5" s="390"/>
      <c r="QBI5" s="390"/>
      <c r="QBJ5" s="390"/>
      <c r="QBK5" s="390"/>
      <c r="QBL5" s="390"/>
      <c r="QBM5" s="390"/>
      <c r="QBN5" s="390"/>
      <c r="QBO5" s="390"/>
      <c r="QBP5" s="390"/>
      <c r="QBQ5" s="390"/>
      <c r="QBR5" s="390"/>
      <c r="QBS5" s="390"/>
      <c r="QBT5" s="390"/>
      <c r="QBU5" s="390"/>
      <c r="QBV5" s="390"/>
      <c r="QBW5" s="390"/>
      <c r="QBX5" s="390"/>
      <c r="QBY5" s="390"/>
      <c r="QBZ5" s="390"/>
      <c r="QCA5" s="390"/>
      <c r="QCB5" s="390"/>
      <c r="QCC5" s="390"/>
      <c r="QCD5" s="390"/>
      <c r="QCE5" s="390"/>
      <c r="QCF5" s="390"/>
      <c r="QCG5" s="390"/>
      <c r="QCH5" s="390"/>
      <c r="QCI5" s="390"/>
      <c r="QCJ5" s="390"/>
      <c r="QCK5" s="390"/>
      <c r="QCL5" s="390"/>
      <c r="QCM5" s="390"/>
      <c r="QCN5" s="390"/>
      <c r="QCO5" s="390"/>
      <c r="QCP5" s="390"/>
      <c r="QCQ5" s="390"/>
      <c r="QCR5" s="390"/>
      <c r="QCS5" s="390"/>
      <c r="QCT5" s="390"/>
      <c r="QCU5" s="390"/>
      <c r="QCV5" s="390"/>
      <c r="QCW5" s="390"/>
      <c r="QCX5" s="390"/>
      <c r="QCY5" s="390"/>
      <c r="QCZ5" s="390"/>
      <c r="QDA5" s="390"/>
      <c r="QDB5" s="390"/>
      <c r="QDC5" s="390"/>
      <c r="QDD5" s="390"/>
      <c r="QDE5" s="390"/>
      <c r="QDF5" s="390"/>
      <c r="QDG5" s="390"/>
      <c r="QDH5" s="390"/>
      <c r="QDI5" s="390"/>
      <c r="QDJ5" s="390"/>
      <c r="QDK5" s="390"/>
      <c r="QDL5" s="390"/>
      <c r="QDM5" s="390"/>
      <c r="QDN5" s="390"/>
      <c r="QDO5" s="390"/>
      <c r="QDP5" s="390"/>
      <c r="QDQ5" s="390"/>
      <c r="QDR5" s="390"/>
      <c r="QDS5" s="390"/>
      <c r="QDT5" s="390"/>
      <c r="QDU5" s="390"/>
      <c r="QDV5" s="390"/>
      <c r="QDW5" s="390"/>
      <c r="QDX5" s="390"/>
      <c r="QDY5" s="390"/>
      <c r="QDZ5" s="390"/>
      <c r="QEA5" s="390"/>
      <c r="QEB5" s="390"/>
      <c r="QEC5" s="390"/>
      <c r="QED5" s="390"/>
      <c r="QEE5" s="390"/>
      <c r="QEF5" s="390"/>
      <c r="QEG5" s="390"/>
      <c r="QEH5" s="390"/>
      <c r="QEI5" s="390"/>
      <c r="QEJ5" s="390"/>
      <c r="QEK5" s="390"/>
      <c r="QEL5" s="390"/>
      <c r="QEM5" s="390"/>
      <c r="QEN5" s="390"/>
      <c r="QEO5" s="390"/>
      <c r="QEP5" s="390"/>
      <c r="QEQ5" s="390"/>
      <c r="QER5" s="390"/>
      <c r="QES5" s="390"/>
      <c r="QET5" s="390"/>
      <c r="QEU5" s="390"/>
      <c r="QEV5" s="390"/>
      <c r="QEW5" s="390"/>
      <c r="QEX5" s="390"/>
      <c r="QEY5" s="390"/>
      <c r="QEZ5" s="390"/>
      <c r="QFA5" s="390"/>
      <c r="QFB5" s="390"/>
      <c r="QFC5" s="390"/>
      <c r="QFD5" s="390"/>
      <c r="QFE5" s="390"/>
      <c r="QFF5" s="390"/>
      <c r="QFG5" s="390"/>
      <c r="QFH5" s="390"/>
      <c r="QFI5" s="390"/>
      <c r="QFJ5" s="390"/>
      <c r="QFK5" s="390"/>
      <c r="QFL5" s="390"/>
      <c r="QFM5" s="390"/>
      <c r="QFN5" s="390"/>
      <c r="QFO5" s="390"/>
      <c r="QFP5" s="390"/>
      <c r="QFQ5" s="390"/>
      <c r="QFR5" s="390"/>
      <c r="QFS5" s="390"/>
      <c r="QFT5" s="390"/>
      <c r="QFU5" s="390"/>
      <c r="QFV5" s="390"/>
      <c r="QFW5" s="390"/>
      <c r="QFX5" s="390"/>
      <c r="QFY5" s="390"/>
      <c r="QFZ5" s="390"/>
      <c r="QGA5" s="390"/>
      <c r="QGB5" s="390"/>
      <c r="QGC5" s="390"/>
      <c r="QGD5" s="390"/>
      <c r="QGE5" s="390"/>
      <c r="QGF5" s="390"/>
      <c r="QGG5" s="390"/>
      <c r="QGH5" s="390"/>
      <c r="QGI5" s="390"/>
      <c r="QGJ5" s="390"/>
      <c r="QGK5" s="390"/>
      <c r="QGL5" s="390"/>
      <c r="QGM5" s="390"/>
      <c r="QGN5" s="390"/>
      <c r="QGO5" s="390"/>
      <c r="QGP5" s="390"/>
      <c r="QGQ5" s="390"/>
      <c r="QGR5" s="390"/>
      <c r="QGS5" s="390"/>
      <c r="QGT5" s="390"/>
      <c r="QGU5" s="390"/>
      <c r="QGV5" s="390"/>
      <c r="QGW5" s="390"/>
      <c r="QGX5" s="390"/>
      <c r="QGY5" s="390"/>
      <c r="QGZ5" s="390"/>
      <c r="QHA5" s="390"/>
      <c r="QHB5" s="390"/>
      <c r="QHC5" s="390"/>
      <c r="QHD5" s="390"/>
      <c r="QHE5" s="390"/>
      <c r="QHF5" s="390"/>
      <c r="QHG5" s="390"/>
      <c r="QHH5" s="390"/>
      <c r="QHI5" s="390"/>
      <c r="QHJ5" s="390"/>
      <c r="QHK5" s="390"/>
      <c r="QHL5" s="390"/>
      <c r="QHM5" s="390"/>
      <c r="QHN5" s="390"/>
      <c r="QHO5" s="390"/>
      <c r="QHP5" s="390"/>
      <c r="QHQ5" s="390"/>
      <c r="QHR5" s="390"/>
      <c r="QHS5" s="390"/>
      <c r="QHT5" s="390"/>
      <c r="QHU5" s="390"/>
      <c r="QHV5" s="390"/>
      <c r="QHW5" s="390"/>
      <c r="QHX5" s="390"/>
      <c r="QHY5" s="390"/>
      <c r="QHZ5" s="390"/>
      <c r="QIA5" s="390"/>
      <c r="QIB5" s="390"/>
      <c r="QIC5" s="390"/>
      <c r="QID5" s="390"/>
      <c r="QIE5" s="390"/>
      <c r="QIF5" s="390"/>
      <c r="QIG5" s="390"/>
      <c r="QIH5" s="390"/>
      <c r="QII5" s="390"/>
      <c r="QIJ5" s="390"/>
      <c r="QIK5" s="390"/>
      <c r="QIL5" s="390"/>
      <c r="QIM5" s="390"/>
      <c r="QIN5" s="390"/>
      <c r="QIO5" s="390"/>
      <c r="QIP5" s="390"/>
      <c r="QIQ5" s="390"/>
      <c r="QIR5" s="390"/>
      <c r="QIS5" s="390"/>
      <c r="QIT5" s="390"/>
      <c r="QIU5" s="390"/>
      <c r="QIV5" s="390"/>
      <c r="QIW5" s="390"/>
      <c r="QIX5" s="390"/>
      <c r="QIY5" s="390"/>
      <c r="QIZ5" s="390"/>
      <c r="QJA5" s="390"/>
      <c r="QJB5" s="390"/>
      <c r="QJC5" s="390"/>
      <c r="QJD5" s="390"/>
      <c r="QJE5" s="390"/>
      <c r="QJF5" s="390"/>
      <c r="QJG5" s="390"/>
      <c r="QJH5" s="390"/>
      <c r="QJI5" s="390"/>
      <c r="QJJ5" s="390"/>
      <c r="QJK5" s="390"/>
      <c r="QJL5" s="390"/>
      <c r="QJM5" s="390"/>
      <c r="QJN5" s="390"/>
      <c r="QJO5" s="390"/>
      <c r="QJP5" s="390"/>
      <c r="QJQ5" s="390"/>
      <c r="QJR5" s="390"/>
      <c r="QJS5" s="390"/>
      <c r="QJT5" s="390"/>
      <c r="QJU5" s="390"/>
      <c r="QJV5" s="390"/>
      <c r="QJW5" s="390"/>
      <c r="QJX5" s="390"/>
      <c r="QJY5" s="390"/>
      <c r="QJZ5" s="390"/>
      <c r="QKA5" s="390"/>
      <c r="QKB5" s="390"/>
      <c r="QKC5" s="390"/>
      <c r="QKD5" s="390"/>
      <c r="QKE5" s="390"/>
      <c r="QKF5" s="390"/>
      <c r="QKG5" s="390"/>
      <c r="QKH5" s="390"/>
      <c r="QKI5" s="390"/>
      <c r="QKJ5" s="390"/>
      <c r="QKK5" s="390"/>
      <c r="QKL5" s="390"/>
      <c r="QKM5" s="390"/>
      <c r="QKN5" s="390"/>
      <c r="QKO5" s="390"/>
      <c r="QKP5" s="390"/>
      <c r="QKQ5" s="390"/>
      <c r="QKR5" s="390"/>
      <c r="QKS5" s="390"/>
      <c r="QKT5" s="390"/>
      <c r="QKU5" s="390"/>
      <c r="QKV5" s="390"/>
      <c r="QKW5" s="390"/>
      <c r="QKX5" s="390"/>
      <c r="QKY5" s="390"/>
      <c r="QKZ5" s="390"/>
      <c r="QLA5" s="390"/>
      <c r="QLB5" s="390"/>
      <c r="QLC5" s="390"/>
      <c r="QLD5" s="390"/>
      <c r="QLE5" s="390"/>
      <c r="QLF5" s="390"/>
      <c r="QLG5" s="390"/>
      <c r="QLH5" s="390"/>
      <c r="QLI5" s="390"/>
      <c r="QLJ5" s="390"/>
      <c r="QLK5" s="390"/>
      <c r="QLL5" s="390"/>
      <c r="QLM5" s="390"/>
      <c r="QLN5" s="390"/>
      <c r="QLO5" s="390"/>
      <c r="QLP5" s="390"/>
      <c r="QLQ5" s="390"/>
      <c r="QLR5" s="390"/>
      <c r="QLS5" s="390"/>
      <c r="QLT5" s="390"/>
      <c r="QLU5" s="390"/>
      <c r="QLV5" s="390"/>
      <c r="QLW5" s="390"/>
      <c r="QLX5" s="390"/>
      <c r="QLY5" s="390"/>
      <c r="QLZ5" s="390"/>
      <c r="QMA5" s="390"/>
      <c r="QMB5" s="390"/>
      <c r="QMC5" s="390"/>
      <c r="QMD5" s="390"/>
      <c r="QME5" s="390"/>
      <c r="QMF5" s="390"/>
      <c r="QMG5" s="390"/>
      <c r="QMH5" s="390"/>
      <c r="QMI5" s="390"/>
      <c r="QMJ5" s="390"/>
      <c r="QMK5" s="390"/>
      <c r="QML5" s="390"/>
      <c r="QMM5" s="390"/>
      <c r="QMN5" s="390"/>
      <c r="QMO5" s="390"/>
      <c r="QMP5" s="390"/>
      <c r="QMQ5" s="390"/>
      <c r="QMR5" s="390"/>
      <c r="QMS5" s="390"/>
      <c r="QMT5" s="390"/>
      <c r="QMU5" s="390"/>
      <c r="QMV5" s="390"/>
      <c r="QMW5" s="390"/>
      <c r="QMX5" s="390"/>
      <c r="QMY5" s="390"/>
      <c r="QMZ5" s="390"/>
      <c r="QNA5" s="390"/>
      <c r="QNB5" s="390"/>
      <c r="QNC5" s="390"/>
      <c r="QND5" s="390"/>
      <c r="QNE5" s="390"/>
      <c r="QNF5" s="390"/>
      <c r="QNG5" s="390"/>
      <c r="QNH5" s="390"/>
      <c r="QNI5" s="390"/>
      <c r="QNJ5" s="390"/>
      <c r="QNK5" s="390"/>
      <c r="QNL5" s="390"/>
      <c r="QNM5" s="390"/>
      <c r="QNN5" s="390"/>
      <c r="QNO5" s="390"/>
      <c r="QNP5" s="390"/>
      <c r="QNQ5" s="390"/>
      <c r="QNR5" s="390"/>
      <c r="QNS5" s="390"/>
      <c r="QNT5" s="390"/>
      <c r="QNU5" s="390"/>
      <c r="QNV5" s="390"/>
      <c r="QNW5" s="390"/>
      <c r="QNX5" s="390"/>
      <c r="QNY5" s="390"/>
      <c r="QNZ5" s="390"/>
      <c r="QOA5" s="390"/>
      <c r="QOB5" s="390"/>
      <c r="QOC5" s="390"/>
      <c r="QOD5" s="390"/>
      <c r="QOE5" s="390"/>
      <c r="QOF5" s="390"/>
      <c r="QOG5" s="390"/>
      <c r="QOH5" s="390"/>
      <c r="QOI5" s="390"/>
      <c r="QOJ5" s="390"/>
      <c r="QOK5" s="390"/>
      <c r="QOL5" s="390"/>
      <c r="QOM5" s="390"/>
      <c r="QON5" s="390"/>
      <c r="QOO5" s="390"/>
      <c r="QOP5" s="390"/>
      <c r="QOQ5" s="390"/>
      <c r="QOR5" s="390"/>
      <c r="QOS5" s="390"/>
      <c r="QOT5" s="390"/>
      <c r="QOU5" s="390"/>
      <c r="QOV5" s="390"/>
      <c r="QOW5" s="390"/>
      <c r="QOX5" s="390"/>
      <c r="QOY5" s="390"/>
      <c r="QOZ5" s="390"/>
      <c r="QPA5" s="390"/>
      <c r="QPB5" s="390"/>
      <c r="QPC5" s="390"/>
      <c r="QPD5" s="390"/>
      <c r="QPE5" s="390"/>
      <c r="QPF5" s="390"/>
      <c r="QPG5" s="390"/>
      <c r="QPH5" s="390"/>
      <c r="QPI5" s="390"/>
      <c r="QPJ5" s="390"/>
      <c r="QPK5" s="390"/>
      <c r="QPL5" s="390"/>
      <c r="QPM5" s="390"/>
      <c r="QPN5" s="390"/>
      <c r="QPO5" s="390"/>
      <c r="QPP5" s="390"/>
      <c r="QPQ5" s="390"/>
      <c r="QPR5" s="390"/>
      <c r="QPS5" s="390"/>
      <c r="QPT5" s="390"/>
      <c r="QPU5" s="390"/>
      <c r="QPV5" s="390"/>
      <c r="QPW5" s="390"/>
      <c r="QPX5" s="390"/>
      <c r="QPY5" s="390"/>
      <c r="QPZ5" s="390"/>
      <c r="QQA5" s="390"/>
      <c r="QQB5" s="390"/>
      <c r="QQC5" s="390"/>
      <c r="QQD5" s="390"/>
      <c r="QQE5" s="390"/>
      <c r="QQF5" s="390"/>
      <c r="QQG5" s="390"/>
      <c r="QQH5" s="390"/>
      <c r="QQI5" s="390"/>
      <c r="QQJ5" s="390"/>
      <c r="QQK5" s="390"/>
      <c r="QQL5" s="390"/>
      <c r="QQM5" s="390"/>
      <c r="QQN5" s="390"/>
      <c r="QQO5" s="390"/>
      <c r="QQP5" s="390"/>
      <c r="QQQ5" s="390"/>
      <c r="QQR5" s="390"/>
      <c r="QQS5" s="390"/>
      <c r="QQT5" s="390"/>
      <c r="QQU5" s="390"/>
      <c r="QQV5" s="390"/>
      <c r="QQW5" s="390"/>
      <c r="QQX5" s="390"/>
      <c r="QQY5" s="390"/>
      <c r="QQZ5" s="390"/>
      <c r="QRA5" s="390"/>
      <c r="QRB5" s="390"/>
      <c r="QRC5" s="390"/>
      <c r="QRD5" s="390"/>
      <c r="QRE5" s="390"/>
      <c r="QRF5" s="390"/>
      <c r="QRG5" s="390"/>
      <c r="QRH5" s="390"/>
      <c r="QRI5" s="390"/>
      <c r="QRJ5" s="390"/>
      <c r="QRK5" s="390"/>
      <c r="QRL5" s="390"/>
      <c r="QRM5" s="390"/>
      <c r="QRN5" s="390"/>
      <c r="QRO5" s="390"/>
      <c r="QRP5" s="390"/>
      <c r="QRQ5" s="390"/>
      <c r="QRR5" s="390"/>
      <c r="QRS5" s="390"/>
      <c r="QRT5" s="390"/>
      <c r="QRU5" s="390"/>
      <c r="QRV5" s="390"/>
      <c r="QRW5" s="390"/>
      <c r="QRX5" s="390"/>
      <c r="QRY5" s="390"/>
      <c r="QRZ5" s="390"/>
      <c r="QSA5" s="390"/>
      <c r="QSB5" s="390"/>
      <c r="QSC5" s="390"/>
      <c r="QSD5" s="390"/>
      <c r="QSE5" s="390"/>
      <c r="QSF5" s="390"/>
      <c r="QSG5" s="390"/>
      <c r="QSH5" s="390"/>
      <c r="QSI5" s="390"/>
      <c r="QSJ5" s="390"/>
      <c r="QSK5" s="390"/>
      <c r="QSL5" s="390"/>
      <c r="QSM5" s="390"/>
      <c r="QSN5" s="390"/>
      <c r="QSO5" s="390"/>
      <c r="QSP5" s="390"/>
      <c r="QSQ5" s="390"/>
      <c r="QSR5" s="390"/>
      <c r="QSS5" s="390"/>
      <c r="QST5" s="390"/>
      <c r="QSU5" s="390"/>
      <c r="QSV5" s="390"/>
      <c r="QSW5" s="390"/>
      <c r="QSX5" s="390"/>
      <c r="QSY5" s="390"/>
      <c r="QSZ5" s="390"/>
      <c r="QTA5" s="390"/>
      <c r="QTB5" s="390"/>
      <c r="QTC5" s="390"/>
      <c r="QTD5" s="390"/>
      <c r="QTE5" s="390"/>
      <c r="QTF5" s="390"/>
      <c r="QTG5" s="390"/>
      <c r="QTH5" s="390"/>
      <c r="QTI5" s="390"/>
      <c r="QTJ5" s="390"/>
      <c r="QTK5" s="390"/>
      <c r="QTL5" s="390"/>
      <c r="QTM5" s="390"/>
      <c r="QTN5" s="390"/>
      <c r="QTO5" s="390"/>
      <c r="QTP5" s="390"/>
      <c r="QTQ5" s="390"/>
      <c r="QTR5" s="390"/>
      <c r="QTS5" s="390"/>
      <c r="QTT5" s="390"/>
      <c r="QTU5" s="390"/>
      <c r="QTV5" s="390"/>
      <c r="QTW5" s="390"/>
      <c r="QTX5" s="390"/>
      <c r="QTY5" s="390"/>
      <c r="QTZ5" s="390"/>
      <c r="QUA5" s="390"/>
      <c r="QUB5" s="390"/>
      <c r="QUC5" s="390"/>
      <c r="QUD5" s="390"/>
      <c r="QUE5" s="390"/>
      <c r="QUF5" s="390"/>
      <c r="QUG5" s="390"/>
      <c r="QUH5" s="390"/>
      <c r="QUI5" s="390"/>
      <c r="QUJ5" s="390"/>
      <c r="QUK5" s="390"/>
      <c r="QUL5" s="390"/>
      <c r="QUM5" s="390"/>
      <c r="QUN5" s="390"/>
      <c r="QUO5" s="390"/>
      <c r="QUP5" s="390"/>
      <c r="QUQ5" s="390"/>
      <c r="QUR5" s="390"/>
      <c r="QUS5" s="390"/>
      <c r="QUT5" s="390"/>
      <c r="QUU5" s="390"/>
      <c r="QUV5" s="390"/>
      <c r="QUW5" s="390"/>
      <c r="QUX5" s="390"/>
      <c r="QUY5" s="390"/>
      <c r="QUZ5" s="390"/>
      <c r="QVA5" s="390"/>
      <c r="QVB5" s="390"/>
      <c r="QVC5" s="390"/>
      <c r="QVD5" s="390"/>
      <c r="QVE5" s="390"/>
      <c r="QVF5" s="390"/>
      <c r="QVG5" s="390"/>
      <c r="QVH5" s="390"/>
      <c r="QVI5" s="390"/>
      <c r="QVJ5" s="390"/>
      <c r="QVK5" s="390"/>
      <c r="QVL5" s="390"/>
      <c r="QVM5" s="390"/>
      <c r="QVN5" s="390"/>
      <c r="QVO5" s="390"/>
      <c r="QVP5" s="390"/>
      <c r="QVQ5" s="390"/>
      <c r="QVR5" s="390"/>
      <c r="QVS5" s="390"/>
      <c r="QVT5" s="390"/>
      <c r="QVU5" s="390"/>
      <c r="QVV5" s="390"/>
      <c r="QVW5" s="390"/>
      <c r="QVX5" s="390"/>
      <c r="QVY5" s="390"/>
      <c r="QVZ5" s="390"/>
      <c r="QWA5" s="390"/>
      <c r="QWB5" s="390"/>
      <c r="QWC5" s="390"/>
      <c r="QWD5" s="390"/>
      <c r="QWE5" s="390"/>
      <c r="QWF5" s="390"/>
      <c r="QWG5" s="390"/>
      <c r="QWH5" s="390"/>
      <c r="QWI5" s="390"/>
      <c r="QWJ5" s="390"/>
      <c r="QWK5" s="390"/>
      <c r="QWL5" s="390"/>
      <c r="QWM5" s="390"/>
      <c r="QWN5" s="390"/>
      <c r="QWO5" s="390"/>
      <c r="QWP5" s="390"/>
      <c r="QWQ5" s="390"/>
      <c r="QWR5" s="390"/>
      <c r="QWS5" s="390"/>
      <c r="QWT5" s="390"/>
      <c r="QWU5" s="390"/>
      <c r="QWV5" s="390"/>
      <c r="QWW5" s="390"/>
      <c r="QWX5" s="390"/>
      <c r="QWY5" s="390"/>
      <c r="QWZ5" s="390"/>
      <c r="QXA5" s="390"/>
      <c r="QXB5" s="390"/>
      <c r="QXC5" s="390"/>
      <c r="QXD5" s="390"/>
      <c r="QXE5" s="390"/>
      <c r="QXF5" s="390"/>
      <c r="QXG5" s="390"/>
      <c r="QXH5" s="390"/>
      <c r="QXI5" s="390"/>
      <c r="QXJ5" s="390"/>
      <c r="QXK5" s="390"/>
      <c r="QXL5" s="390"/>
      <c r="QXM5" s="390"/>
      <c r="QXN5" s="390"/>
      <c r="QXO5" s="390"/>
      <c r="QXP5" s="390"/>
      <c r="QXQ5" s="390"/>
      <c r="QXR5" s="390"/>
      <c r="QXS5" s="390"/>
      <c r="QXT5" s="390"/>
      <c r="QXU5" s="390"/>
      <c r="QXV5" s="390"/>
      <c r="QXW5" s="390"/>
      <c r="QXX5" s="390"/>
      <c r="QXY5" s="390"/>
      <c r="QXZ5" s="390"/>
      <c r="QYA5" s="390"/>
      <c r="QYB5" s="390"/>
      <c r="QYC5" s="390"/>
      <c r="QYD5" s="390"/>
      <c r="QYE5" s="390"/>
      <c r="QYF5" s="390"/>
      <c r="QYG5" s="390"/>
      <c r="QYH5" s="390"/>
      <c r="QYI5" s="390"/>
      <c r="QYJ5" s="390"/>
      <c r="QYK5" s="390"/>
      <c r="QYL5" s="390"/>
      <c r="QYM5" s="390"/>
      <c r="QYN5" s="390"/>
      <c r="QYO5" s="390"/>
      <c r="QYP5" s="390"/>
      <c r="QYQ5" s="390"/>
      <c r="QYR5" s="390"/>
      <c r="QYS5" s="390"/>
      <c r="QYT5" s="390"/>
      <c r="QYU5" s="390"/>
      <c r="QYV5" s="390"/>
      <c r="QYW5" s="390"/>
      <c r="QYX5" s="390"/>
      <c r="QYY5" s="390"/>
      <c r="QYZ5" s="390"/>
      <c r="QZA5" s="390"/>
      <c r="QZB5" s="390"/>
      <c r="QZC5" s="390"/>
      <c r="QZD5" s="390"/>
      <c r="QZE5" s="390"/>
      <c r="QZF5" s="390"/>
      <c r="QZG5" s="390"/>
      <c r="QZH5" s="390"/>
      <c r="QZI5" s="390"/>
      <c r="QZJ5" s="390"/>
      <c r="QZK5" s="390"/>
      <c r="QZL5" s="390"/>
      <c r="QZM5" s="390"/>
      <c r="QZN5" s="390"/>
      <c r="QZO5" s="390"/>
      <c r="QZP5" s="390"/>
      <c r="QZQ5" s="390"/>
      <c r="QZR5" s="390"/>
      <c r="QZS5" s="390"/>
      <c r="QZT5" s="390"/>
      <c r="QZU5" s="390"/>
      <c r="QZV5" s="390"/>
      <c r="QZW5" s="390"/>
      <c r="QZX5" s="390"/>
      <c r="QZY5" s="390"/>
      <c r="QZZ5" s="390"/>
      <c r="RAA5" s="390"/>
      <c r="RAB5" s="390"/>
      <c r="RAC5" s="390"/>
      <c r="RAD5" s="390"/>
      <c r="RAE5" s="390"/>
      <c r="RAF5" s="390"/>
      <c r="RAG5" s="390"/>
      <c r="RAH5" s="390"/>
      <c r="RAI5" s="390"/>
      <c r="RAJ5" s="390"/>
      <c r="RAK5" s="390"/>
      <c r="RAL5" s="390"/>
      <c r="RAM5" s="390"/>
      <c r="RAN5" s="390"/>
      <c r="RAO5" s="390"/>
      <c r="RAP5" s="390"/>
      <c r="RAQ5" s="390"/>
      <c r="RAR5" s="390"/>
      <c r="RAS5" s="390"/>
      <c r="RAT5" s="390"/>
      <c r="RAU5" s="390"/>
      <c r="RAV5" s="390"/>
      <c r="RAW5" s="390"/>
      <c r="RAX5" s="390"/>
      <c r="RAY5" s="390"/>
      <c r="RAZ5" s="390"/>
      <c r="RBA5" s="390"/>
      <c r="RBB5" s="390"/>
      <c r="RBC5" s="390"/>
      <c r="RBD5" s="390"/>
      <c r="RBE5" s="390"/>
      <c r="RBF5" s="390"/>
      <c r="RBG5" s="390"/>
      <c r="RBH5" s="390"/>
      <c r="RBI5" s="390"/>
      <c r="RBJ5" s="390"/>
      <c r="RBK5" s="390"/>
      <c r="RBL5" s="390"/>
      <c r="RBM5" s="390"/>
      <c r="RBN5" s="390"/>
      <c r="RBO5" s="390"/>
      <c r="RBP5" s="390"/>
      <c r="RBQ5" s="390"/>
      <c r="RBR5" s="390"/>
      <c r="RBS5" s="390"/>
      <c r="RBT5" s="390"/>
      <c r="RBU5" s="390"/>
      <c r="RBV5" s="390"/>
      <c r="RBW5" s="390"/>
      <c r="RBX5" s="390"/>
      <c r="RBY5" s="390"/>
      <c r="RBZ5" s="390"/>
      <c r="RCA5" s="390"/>
      <c r="RCB5" s="390"/>
      <c r="RCC5" s="390"/>
      <c r="RCD5" s="390"/>
      <c r="RCE5" s="390"/>
      <c r="RCF5" s="390"/>
      <c r="RCG5" s="390"/>
      <c r="RCH5" s="390"/>
      <c r="RCI5" s="390"/>
      <c r="RCJ5" s="390"/>
      <c r="RCK5" s="390"/>
      <c r="RCL5" s="390"/>
      <c r="RCM5" s="390"/>
      <c r="RCN5" s="390"/>
      <c r="RCO5" s="390"/>
      <c r="RCP5" s="390"/>
      <c r="RCQ5" s="390"/>
      <c r="RCR5" s="390"/>
      <c r="RCS5" s="390"/>
      <c r="RCT5" s="390"/>
      <c r="RCU5" s="390"/>
      <c r="RCV5" s="390"/>
      <c r="RCW5" s="390"/>
      <c r="RCX5" s="390"/>
      <c r="RCY5" s="390"/>
      <c r="RCZ5" s="390"/>
      <c r="RDA5" s="390"/>
      <c r="RDB5" s="390"/>
      <c r="RDC5" s="390"/>
      <c r="RDD5" s="390"/>
      <c r="RDE5" s="390"/>
      <c r="RDF5" s="390"/>
      <c r="RDG5" s="390"/>
      <c r="RDH5" s="390"/>
      <c r="RDI5" s="390"/>
      <c r="RDJ5" s="390"/>
      <c r="RDK5" s="390"/>
      <c r="RDL5" s="390"/>
      <c r="RDM5" s="390"/>
      <c r="RDN5" s="390"/>
      <c r="RDO5" s="390"/>
      <c r="RDP5" s="390"/>
      <c r="RDQ5" s="390"/>
      <c r="RDR5" s="390"/>
      <c r="RDS5" s="390"/>
      <c r="RDT5" s="390"/>
      <c r="RDU5" s="390"/>
      <c r="RDV5" s="390"/>
      <c r="RDW5" s="390"/>
      <c r="RDX5" s="390"/>
      <c r="RDY5" s="390"/>
      <c r="RDZ5" s="390"/>
      <c r="REA5" s="390"/>
      <c r="REB5" s="390"/>
      <c r="REC5" s="390"/>
      <c r="RED5" s="390"/>
      <c r="REE5" s="390"/>
      <c r="REF5" s="390"/>
      <c r="REG5" s="390"/>
      <c r="REH5" s="390"/>
      <c r="REI5" s="390"/>
      <c r="REJ5" s="390"/>
      <c r="REK5" s="390"/>
      <c r="REL5" s="390"/>
      <c r="REM5" s="390"/>
      <c r="REN5" s="390"/>
      <c r="REO5" s="390"/>
      <c r="REP5" s="390"/>
      <c r="REQ5" s="390"/>
      <c r="RER5" s="390"/>
      <c r="RES5" s="390"/>
      <c r="RET5" s="390"/>
      <c r="REU5" s="390"/>
      <c r="REV5" s="390"/>
      <c r="REW5" s="390"/>
      <c r="REX5" s="390"/>
      <c r="REY5" s="390"/>
      <c r="REZ5" s="390"/>
      <c r="RFA5" s="390"/>
      <c r="RFB5" s="390"/>
      <c r="RFC5" s="390"/>
      <c r="RFD5" s="390"/>
      <c r="RFE5" s="390"/>
      <c r="RFF5" s="390"/>
      <c r="RFG5" s="390"/>
      <c r="RFH5" s="390"/>
      <c r="RFI5" s="390"/>
      <c r="RFJ5" s="390"/>
      <c r="RFK5" s="390"/>
      <c r="RFL5" s="390"/>
      <c r="RFM5" s="390"/>
      <c r="RFN5" s="390"/>
      <c r="RFO5" s="390"/>
      <c r="RFP5" s="390"/>
      <c r="RFQ5" s="390"/>
      <c r="RFR5" s="390"/>
      <c r="RFS5" s="390"/>
      <c r="RFT5" s="390"/>
      <c r="RFU5" s="390"/>
      <c r="RFV5" s="390"/>
      <c r="RFW5" s="390"/>
      <c r="RFX5" s="390"/>
      <c r="RFY5" s="390"/>
      <c r="RFZ5" s="390"/>
      <c r="RGA5" s="390"/>
      <c r="RGB5" s="390"/>
      <c r="RGC5" s="390"/>
      <c r="RGD5" s="390"/>
      <c r="RGE5" s="390"/>
      <c r="RGF5" s="390"/>
      <c r="RGG5" s="390"/>
      <c r="RGH5" s="390"/>
      <c r="RGI5" s="390"/>
      <c r="RGJ5" s="390"/>
      <c r="RGK5" s="390"/>
      <c r="RGL5" s="390"/>
      <c r="RGM5" s="390"/>
      <c r="RGN5" s="390"/>
      <c r="RGO5" s="390"/>
      <c r="RGP5" s="390"/>
      <c r="RGQ5" s="390"/>
      <c r="RGR5" s="390"/>
      <c r="RGS5" s="390"/>
      <c r="RGT5" s="390"/>
      <c r="RGU5" s="390"/>
      <c r="RGV5" s="390"/>
      <c r="RGW5" s="390"/>
      <c r="RGX5" s="390"/>
      <c r="RGY5" s="390"/>
      <c r="RGZ5" s="390"/>
      <c r="RHA5" s="390"/>
      <c r="RHB5" s="390"/>
      <c r="RHC5" s="390"/>
      <c r="RHD5" s="390"/>
      <c r="RHE5" s="390"/>
      <c r="RHF5" s="390"/>
      <c r="RHG5" s="390"/>
      <c r="RHH5" s="390"/>
      <c r="RHI5" s="390"/>
      <c r="RHJ5" s="390"/>
      <c r="RHK5" s="390"/>
      <c r="RHL5" s="390"/>
      <c r="RHM5" s="390"/>
      <c r="RHN5" s="390"/>
      <c r="RHO5" s="390"/>
      <c r="RHP5" s="390"/>
      <c r="RHQ5" s="390"/>
      <c r="RHR5" s="390"/>
      <c r="RHS5" s="390"/>
      <c r="RHT5" s="390"/>
      <c r="RHU5" s="390"/>
      <c r="RHV5" s="390"/>
      <c r="RHW5" s="390"/>
      <c r="RHX5" s="390"/>
      <c r="RHY5" s="390"/>
      <c r="RHZ5" s="390"/>
      <c r="RIA5" s="390"/>
      <c r="RIB5" s="390"/>
      <c r="RIC5" s="390"/>
      <c r="RID5" s="390"/>
      <c r="RIE5" s="390"/>
      <c r="RIF5" s="390"/>
      <c r="RIG5" s="390"/>
      <c r="RIH5" s="390"/>
      <c r="RII5" s="390"/>
      <c r="RIJ5" s="390"/>
      <c r="RIK5" s="390"/>
      <c r="RIL5" s="390"/>
      <c r="RIM5" s="390"/>
      <c r="RIN5" s="390"/>
      <c r="RIO5" s="390"/>
      <c r="RIP5" s="390"/>
      <c r="RIQ5" s="390"/>
      <c r="RIR5" s="390"/>
      <c r="RIS5" s="390"/>
      <c r="RIT5" s="390"/>
      <c r="RIU5" s="390"/>
      <c r="RIV5" s="390"/>
      <c r="RIW5" s="390"/>
      <c r="RIX5" s="390"/>
      <c r="RIY5" s="390"/>
      <c r="RIZ5" s="390"/>
      <c r="RJA5" s="390"/>
      <c r="RJB5" s="390"/>
      <c r="RJC5" s="390"/>
      <c r="RJD5" s="390"/>
      <c r="RJE5" s="390"/>
      <c r="RJF5" s="390"/>
      <c r="RJG5" s="390"/>
      <c r="RJH5" s="390"/>
      <c r="RJI5" s="390"/>
      <c r="RJJ5" s="390"/>
      <c r="RJK5" s="390"/>
      <c r="RJL5" s="390"/>
      <c r="RJM5" s="390"/>
      <c r="RJN5" s="390"/>
      <c r="RJO5" s="390"/>
      <c r="RJP5" s="390"/>
      <c r="RJQ5" s="390"/>
      <c r="RJR5" s="390"/>
      <c r="RJS5" s="390"/>
      <c r="RJT5" s="390"/>
      <c r="RJU5" s="390"/>
      <c r="RJV5" s="390"/>
      <c r="RJW5" s="390"/>
      <c r="RJX5" s="390"/>
      <c r="RJY5" s="390"/>
      <c r="RJZ5" s="390"/>
      <c r="RKA5" s="390"/>
      <c r="RKB5" s="390"/>
      <c r="RKC5" s="390"/>
      <c r="RKD5" s="390"/>
      <c r="RKE5" s="390"/>
      <c r="RKF5" s="390"/>
      <c r="RKG5" s="390"/>
      <c r="RKH5" s="390"/>
      <c r="RKI5" s="390"/>
      <c r="RKJ5" s="390"/>
      <c r="RKK5" s="390"/>
      <c r="RKL5" s="390"/>
      <c r="RKM5" s="390"/>
      <c r="RKN5" s="390"/>
      <c r="RKO5" s="390"/>
      <c r="RKP5" s="390"/>
      <c r="RKQ5" s="390"/>
      <c r="RKR5" s="390"/>
      <c r="RKS5" s="390"/>
      <c r="RKT5" s="390"/>
      <c r="RKU5" s="390"/>
      <c r="RKV5" s="390"/>
      <c r="RKW5" s="390"/>
      <c r="RKX5" s="390"/>
      <c r="RKY5" s="390"/>
      <c r="RKZ5" s="390"/>
      <c r="RLA5" s="390"/>
      <c r="RLB5" s="390"/>
      <c r="RLC5" s="390"/>
      <c r="RLD5" s="390"/>
      <c r="RLE5" s="390"/>
      <c r="RLF5" s="390"/>
      <c r="RLG5" s="390"/>
      <c r="RLH5" s="390"/>
      <c r="RLI5" s="390"/>
      <c r="RLJ5" s="390"/>
      <c r="RLK5" s="390"/>
      <c r="RLL5" s="390"/>
      <c r="RLM5" s="390"/>
      <c r="RLN5" s="390"/>
      <c r="RLO5" s="390"/>
      <c r="RLP5" s="390"/>
      <c r="RLQ5" s="390"/>
      <c r="RLR5" s="390"/>
      <c r="RLS5" s="390"/>
      <c r="RLT5" s="390"/>
      <c r="RLU5" s="390"/>
      <c r="RLV5" s="390"/>
      <c r="RLW5" s="390"/>
      <c r="RLX5" s="390"/>
      <c r="RLY5" s="390"/>
      <c r="RLZ5" s="390"/>
      <c r="RMA5" s="390"/>
      <c r="RMB5" s="390"/>
      <c r="RMC5" s="390"/>
      <c r="RMD5" s="390"/>
      <c r="RME5" s="390"/>
      <c r="RMF5" s="390"/>
      <c r="RMG5" s="390"/>
      <c r="RMH5" s="390"/>
      <c r="RMI5" s="390"/>
      <c r="RMJ5" s="390"/>
      <c r="RMK5" s="390"/>
      <c r="RML5" s="390"/>
      <c r="RMM5" s="390"/>
      <c r="RMN5" s="390"/>
      <c r="RMO5" s="390"/>
      <c r="RMP5" s="390"/>
      <c r="RMQ5" s="390"/>
      <c r="RMR5" s="390"/>
      <c r="RMS5" s="390"/>
      <c r="RMT5" s="390"/>
      <c r="RMU5" s="390"/>
      <c r="RMV5" s="390"/>
      <c r="RMW5" s="390"/>
      <c r="RMX5" s="390"/>
      <c r="RMY5" s="390"/>
      <c r="RMZ5" s="390"/>
      <c r="RNA5" s="390"/>
      <c r="RNB5" s="390"/>
      <c r="RNC5" s="390"/>
      <c r="RND5" s="390"/>
      <c r="RNE5" s="390"/>
      <c r="RNF5" s="390"/>
      <c r="RNG5" s="390"/>
      <c r="RNH5" s="390"/>
      <c r="RNI5" s="390"/>
      <c r="RNJ5" s="390"/>
      <c r="RNK5" s="390"/>
      <c r="RNL5" s="390"/>
      <c r="RNM5" s="390"/>
      <c r="RNN5" s="390"/>
      <c r="RNO5" s="390"/>
      <c r="RNP5" s="390"/>
      <c r="RNQ5" s="390"/>
      <c r="RNR5" s="390"/>
      <c r="RNS5" s="390"/>
      <c r="RNT5" s="390"/>
      <c r="RNU5" s="390"/>
      <c r="RNV5" s="390"/>
      <c r="RNW5" s="390"/>
      <c r="RNX5" s="390"/>
      <c r="RNY5" s="390"/>
      <c r="RNZ5" s="390"/>
      <c r="ROA5" s="390"/>
      <c r="ROB5" s="390"/>
      <c r="ROC5" s="390"/>
      <c r="ROD5" s="390"/>
      <c r="ROE5" s="390"/>
      <c r="ROF5" s="390"/>
      <c r="ROG5" s="390"/>
      <c r="ROH5" s="390"/>
      <c r="ROI5" s="390"/>
      <c r="ROJ5" s="390"/>
      <c r="ROK5" s="390"/>
      <c r="ROL5" s="390"/>
      <c r="ROM5" s="390"/>
      <c r="RON5" s="390"/>
      <c r="ROO5" s="390"/>
      <c r="ROP5" s="390"/>
      <c r="ROQ5" s="390"/>
      <c r="ROR5" s="390"/>
      <c r="ROS5" s="390"/>
      <c r="ROT5" s="390"/>
      <c r="ROU5" s="390"/>
      <c r="ROV5" s="390"/>
      <c r="ROW5" s="390"/>
      <c r="ROX5" s="390"/>
      <c r="ROY5" s="390"/>
      <c r="ROZ5" s="390"/>
      <c r="RPA5" s="390"/>
      <c r="RPB5" s="390"/>
      <c r="RPC5" s="390"/>
      <c r="RPD5" s="390"/>
      <c r="RPE5" s="390"/>
      <c r="RPF5" s="390"/>
      <c r="RPG5" s="390"/>
      <c r="RPH5" s="390"/>
      <c r="RPI5" s="390"/>
      <c r="RPJ5" s="390"/>
      <c r="RPK5" s="390"/>
      <c r="RPL5" s="390"/>
      <c r="RPM5" s="390"/>
      <c r="RPN5" s="390"/>
      <c r="RPO5" s="390"/>
      <c r="RPP5" s="390"/>
      <c r="RPQ5" s="390"/>
      <c r="RPR5" s="390"/>
      <c r="RPS5" s="390"/>
      <c r="RPT5" s="390"/>
      <c r="RPU5" s="390"/>
      <c r="RPV5" s="390"/>
      <c r="RPW5" s="390"/>
      <c r="RPX5" s="390"/>
      <c r="RPY5" s="390"/>
      <c r="RPZ5" s="390"/>
      <c r="RQA5" s="390"/>
      <c r="RQB5" s="390"/>
      <c r="RQC5" s="390"/>
      <c r="RQD5" s="390"/>
      <c r="RQE5" s="390"/>
      <c r="RQF5" s="390"/>
      <c r="RQG5" s="390"/>
      <c r="RQH5" s="390"/>
      <c r="RQI5" s="390"/>
      <c r="RQJ5" s="390"/>
      <c r="RQK5" s="390"/>
      <c r="RQL5" s="390"/>
      <c r="RQM5" s="390"/>
      <c r="RQN5" s="390"/>
      <c r="RQO5" s="390"/>
      <c r="RQP5" s="390"/>
      <c r="RQQ5" s="390"/>
      <c r="RQR5" s="390"/>
      <c r="RQS5" s="390"/>
      <c r="RQT5" s="390"/>
      <c r="RQU5" s="390"/>
      <c r="RQV5" s="390"/>
      <c r="RQW5" s="390"/>
      <c r="RQX5" s="390"/>
      <c r="RQY5" s="390"/>
      <c r="RQZ5" s="390"/>
      <c r="RRA5" s="390"/>
      <c r="RRB5" s="390"/>
      <c r="RRC5" s="390"/>
      <c r="RRD5" s="390"/>
      <c r="RRE5" s="390"/>
      <c r="RRF5" s="390"/>
      <c r="RRG5" s="390"/>
      <c r="RRH5" s="390"/>
      <c r="RRI5" s="390"/>
      <c r="RRJ5" s="390"/>
      <c r="RRK5" s="390"/>
      <c r="RRL5" s="390"/>
      <c r="RRM5" s="390"/>
      <c r="RRN5" s="390"/>
      <c r="RRO5" s="390"/>
      <c r="RRP5" s="390"/>
      <c r="RRQ5" s="390"/>
      <c r="RRR5" s="390"/>
      <c r="RRS5" s="390"/>
      <c r="RRT5" s="390"/>
      <c r="RRU5" s="390"/>
      <c r="RRV5" s="390"/>
      <c r="RRW5" s="390"/>
      <c r="RRX5" s="390"/>
      <c r="RRY5" s="390"/>
      <c r="RRZ5" s="390"/>
      <c r="RSA5" s="390"/>
      <c r="RSB5" s="390"/>
      <c r="RSC5" s="390"/>
      <c r="RSD5" s="390"/>
      <c r="RSE5" s="390"/>
      <c r="RSF5" s="390"/>
      <c r="RSG5" s="390"/>
      <c r="RSH5" s="390"/>
      <c r="RSI5" s="390"/>
      <c r="RSJ5" s="390"/>
      <c r="RSK5" s="390"/>
      <c r="RSL5" s="390"/>
      <c r="RSM5" s="390"/>
      <c r="RSN5" s="390"/>
      <c r="RSO5" s="390"/>
      <c r="RSP5" s="390"/>
      <c r="RSQ5" s="390"/>
      <c r="RSR5" s="390"/>
      <c r="RSS5" s="390"/>
      <c r="RST5" s="390"/>
      <c r="RSU5" s="390"/>
      <c r="RSV5" s="390"/>
      <c r="RSW5" s="390"/>
      <c r="RSX5" s="390"/>
      <c r="RSY5" s="390"/>
      <c r="RSZ5" s="390"/>
      <c r="RTA5" s="390"/>
      <c r="RTB5" s="390"/>
      <c r="RTC5" s="390"/>
      <c r="RTD5" s="390"/>
      <c r="RTE5" s="390"/>
      <c r="RTF5" s="390"/>
      <c r="RTG5" s="390"/>
      <c r="RTH5" s="390"/>
      <c r="RTI5" s="390"/>
      <c r="RTJ5" s="390"/>
      <c r="RTK5" s="390"/>
      <c r="RTL5" s="390"/>
      <c r="RTM5" s="390"/>
      <c r="RTN5" s="390"/>
      <c r="RTO5" s="390"/>
      <c r="RTP5" s="390"/>
      <c r="RTQ5" s="390"/>
      <c r="RTR5" s="390"/>
      <c r="RTS5" s="390"/>
      <c r="RTT5" s="390"/>
      <c r="RTU5" s="390"/>
      <c r="RTV5" s="390"/>
      <c r="RTW5" s="390"/>
      <c r="RTX5" s="390"/>
      <c r="RTY5" s="390"/>
      <c r="RTZ5" s="390"/>
      <c r="RUA5" s="390"/>
      <c r="RUB5" s="390"/>
      <c r="RUC5" s="390"/>
      <c r="RUD5" s="390"/>
      <c r="RUE5" s="390"/>
      <c r="RUF5" s="390"/>
      <c r="RUG5" s="390"/>
      <c r="RUH5" s="390"/>
      <c r="RUI5" s="390"/>
      <c r="RUJ5" s="390"/>
      <c r="RUK5" s="390"/>
      <c r="RUL5" s="390"/>
      <c r="RUM5" s="390"/>
      <c r="RUN5" s="390"/>
      <c r="RUO5" s="390"/>
      <c r="RUP5" s="390"/>
      <c r="RUQ5" s="390"/>
      <c r="RUR5" s="390"/>
      <c r="RUS5" s="390"/>
      <c r="RUT5" s="390"/>
      <c r="RUU5" s="390"/>
      <c r="RUV5" s="390"/>
      <c r="RUW5" s="390"/>
      <c r="RUX5" s="390"/>
      <c r="RUY5" s="390"/>
      <c r="RUZ5" s="390"/>
      <c r="RVA5" s="390"/>
      <c r="RVB5" s="390"/>
      <c r="RVC5" s="390"/>
      <c r="RVD5" s="390"/>
      <c r="RVE5" s="390"/>
      <c r="RVF5" s="390"/>
      <c r="RVG5" s="390"/>
      <c r="RVH5" s="390"/>
      <c r="RVI5" s="390"/>
      <c r="RVJ5" s="390"/>
      <c r="RVK5" s="390"/>
      <c r="RVL5" s="390"/>
      <c r="RVM5" s="390"/>
      <c r="RVN5" s="390"/>
      <c r="RVO5" s="390"/>
      <c r="RVP5" s="390"/>
      <c r="RVQ5" s="390"/>
      <c r="RVR5" s="390"/>
      <c r="RVS5" s="390"/>
      <c r="RVT5" s="390"/>
      <c r="RVU5" s="390"/>
      <c r="RVV5" s="390"/>
      <c r="RVW5" s="390"/>
      <c r="RVX5" s="390"/>
      <c r="RVY5" s="390"/>
      <c r="RVZ5" s="390"/>
      <c r="RWA5" s="390"/>
      <c r="RWB5" s="390"/>
      <c r="RWC5" s="390"/>
      <c r="RWD5" s="390"/>
      <c r="RWE5" s="390"/>
      <c r="RWF5" s="390"/>
      <c r="RWG5" s="390"/>
      <c r="RWH5" s="390"/>
      <c r="RWI5" s="390"/>
      <c r="RWJ5" s="390"/>
      <c r="RWK5" s="390"/>
      <c r="RWL5" s="390"/>
      <c r="RWM5" s="390"/>
      <c r="RWN5" s="390"/>
      <c r="RWO5" s="390"/>
      <c r="RWP5" s="390"/>
      <c r="RWQ5" s="390"/>
      <c r="RWR5" s="390"/>
      <c r="RWS5" s="390"/>
      <c r="RWT5" s="390"/>
      <c r="RWU5" s="390"/>
      <c r="RWV5" s="390"/>
      <c r="RWW5" s="390"/>
      <c r="RWX5" s="390"/>
      <c r="RWY5" s="390"/>
      <c r="RWZ5" s="390"/>
      <c r="RXA5" s="390"/>
      <c r="RXB5" s="390"/>
      <c r="RXC5" s="390"/>
      <c r="RXD5" s="390"/>
      <c r="RXE5" s="390"/>
      <c r="RXF5" s="390"/>
      <c r="RXG5" s="390"/>
      <c r="RXH5" s="390"/>
      <c r="RXI5" s="390"/>
      <c r="RXJ5" s="390"/>
      <c r="RXK5" s="390"/>
      <c r="RXL5" s="390"/>
      <c r="RXM5" s="390"/>
      <c r="RXN5" s="390"/>
      <c r="RXO5" s="390"/>
      <c r="RXP5" s="390"/>
      <c r="RXQ5" s="390"/>
      <c r="RXR5" s="390"/>
      <c r="RXS5" s="390"/>
      <c r="RXT5" s="390"/>
      <c r="RXU5" s="390"/>
      <c r="RXV5" s="390"/>
      <c r="RXW5" s="390"/>
      <c r="RXX5" s="390"/>
      <c r="RXY5" s="390"/>
      <c r="RXZ5" s="390"/>
      <c r="RYA5" s="390"/>
      <c r="RYB5" s="390"/>
      <c r="RYC5" s="390"/>
      <c r="RYD5" s="390"/>
      <c r="RYE5" s="390"/>
      <c r="RYF5" s="390"/>
      <c r="RYG5" s="390"/>
      <c r="RYH5" s="390"/>
      <c r="RYI5" s="390"/>
      <c r="RYJ5" s="390"/>
      <c r="RYK5" s="390"/>
      <c r="RYL5" s="390"/>
      <c r="RYM5" s="390"/>
      <c r="RYN5" s="390"/>
      <c r="RYO5" s="390"/>
      <c r="RYP5" s="390"/>
      <c r="RYQ5" s="390"/>
      <c r="RYR5" s="390"/>
      <c r="RYS5" s="390"/>
      <c r="RYT5" s="390"/>
      <c r="RYU5" s="390"/>
      <c r="RYV5" s="390"/>
      <c r="RYW5" s="390"/>
      <c r="RYX5" s="390"/>
      <c r="RYY5" s="390"/>
      <c r="RYZ5" s="390"/>
      <c r="RZA5" s="390"/>
      <c r="RZB5" s="390"/>
      <c r="RZC5" s="390"/>
      <c r="RZD5" s="390"/>
      <c r="RZE5" s="390"/>
      <c r="RZF5" s="390"/>
      <c r="RZG5" s="390"/>
      <c r="RZH5" s="390"/>
      <c r="RZI5" s="390"/>
      <c r="RZJ5" s="390"/>
      <c r="RZK5" s="390"/>
      <c r="RZL5" s="390"/>
      <c r="RZM5" s="390"/>
      <c r="RZN5" s="390"/>
      <c r="RZO5" s="390"/>
      <c r="RZP5" s="390"/>
      <c r="RZQ5" s="390"/>
      <c r="RZR5" s="390"/>
      <c r="RZS5" s="390"/>
      <c r="RZT5" s="390"/>
      <c r="RZU5" s="390"/>
      <c r="RZV5" s="390"/>
      <c r="RZW5" s="390"/>
      <c r="RZX5" s="390"/>
      <c r="RZY5" s="390"/>
      <c r="RZZ5" s="390"/>
      <c r="SAA5" s="390"/>
      <c r="SAB5" s="390"/>
      <c r="SAC5" s="390"/>
      <c r="SAD5" s="390"/>
      <c r="SAE5" s="390"/>
      <c r="SAF5" s="390"/>
      <c r="SAG5" s="390"/>
      <c r="SAH5" s="390"/>
      <c r="SAI5" s="390"/>
      <c r="SAJ5" s="390"/>
      <c r="SAK5" s="390"/>
      <c r="SAL5" s="390"/>
      <c r="SAM5" s="390"/>
      <c r="SAN5" s="390"/>
      <c r="SAO5" s="390"/>
      <c r="SAP5" s="390"/>
      <c r="SAQ5" s="390"/>
      <c r="SAR5" s="390"/>
      <c r="SAS5" s="390"/>
      <c r="SAT5" s="390"/>
      <c r="SAU5" s="390"/>
      <c r="SAV5" s="390"/>
      <c r="SAW5" s="390"/>
      <c r="SAX5" s="390"/>
      <c r="SAY5" s="390"/>
      <c r="SAZ5" s="390"/>
      <c r="SBA5" s="390"/>
      <c r="SBB5" s="390"/>
      <c r="SBC5" s="390"/>
      <c r="SBD5" s="390"/>
      <c r="SBE5" s="390"/>
      <c r="SBF5" s="390"/>
      <c r="SBG5" s="390"/>
      <c r="SBH5" s="390"/>
      <c r="SBI5" s="390"/>
      <c r="SBJ5" s="390"/>
      <c r="SBK5" s="390"/>
      <c r="SBL5" s="390"/>
      <c r="SBM5" s="390"/>
      <c r="SBN5" s="390"/>
      <c r="SBO5" s="390"/>
      <c r="SBP5" s="390"/>
      <c r="SBQ5" s="390"/>
      <c r="SBR5" s="390"/>
      <c r="SBS5" s="390"/>
      <c r="SBT5" s="390"/>
      <c r="SBU5" s="390"/>
      <c r="SBV5" s="390"/>
      <c r="SBW5" s="390"/>
      <c r="SBX5" s="390"/>
      <c r="SBY5" s="390"/>
      <c r="SBZ5" s="390"/>
      <c r="SCA5" s="390"/>
      <c r="SCB5" s="390"/>
      <c r="SCC5" s="390"/>
      <c r="SCD5" s="390"/>
      <c r="SCE5" s="390"/>
      <c r="SCF5" s="390"/>
      <c r="SCG5" s="390"/>
      <c r="SCH5" s="390"/>
      <c r="SCI5" s="390"/>
      <c r="SCJ5" s="390"/>
      <c r="SCK5" s="390"/>
      <c r="SCL5" s="390"/>
      <c r="SCM5" s="390"/>
      <c r="SCN5" s="390"/>
      <c r="SCO5" s="390"/>
      <c r="SCP5" s="390"/>
      <c r="SCQ5" s="390"/>
      <c r="SCR5" s="390"/>
      <c r="SCS5" s="390"/>
      <c r="SCT5" s="390"/>
      <c r="SCU5" s="390"/>
      <c r="SCV5" s="390"/>
      <c r="SCW5" s="390"/>
      <c r="SCX5" s="390"/>
      <c r="SCY5" s="390"/>
      <c r="SCZ5" s="390"/>
      <c r="SDA5" s="390"/>
      <c r="SDB5" s="390"/>
      <c r="SDC5" s="390"/>
      <c r="SDD5" s="390"/>
      <c r="SDE5" s="390"/>
      <c r="SDF5" s="390"/>
      <c r="SDG5" s="390"/>
      <c r="SDH5" s="390"/>
      <c r="SDI5" s="390"/>
      <c r="SDJ5" s="390"/>
      <c r="SDK5" s="390"/>
      <c r="SDL5" s="390"/>
      <c r="SDM5" s="390"/>
      <c r="SDN5" s="390"/>
      <c r="SDO5" s="390"/>
      <c r="SDP5" s="390"/>
      <c r="SDQ5" s="390"/>
      <c r="SDR5" s="390"/>
      <c r="SDS5" s="390"/>
      <c r="SDT5" s="390"/>
      <c r="SDU5" s="390"/>
      <c r="SDV5" s="390"/>
      <c r="SDW5" s="390"/>
      <c r="SDX5" s="390"/>
      <c r="SDY5" s="390"/>
      <c r="SDZ5" s="390"/>
      <c r="SEA5" s="390"/>
      <c r="SEB5" s="390"/>
      <c r="SEC5" s="390"/>
      <c r="SED5" s="390"/>
      <c r="SEE5" s="390"/>
      <c r="SEF5" s="390"/>
      <c r="SEG5" s="390"/>
      <c r="SEH5" s="390"/>
      <c r="SEI5" s="390"/>
      <c r="SEJ5" s="390"/>
      <c r="SEK5" s="390"/>
      <c r="SEL5" s="390"/>
      <c r="SEM5" s="390"/>
      <c r="SEN5" s="390"/>
      <c r="SEO5" s="390"/>
      <c r="SEP5" s="390"/>
      <c r="SEQ5" s="390"/>
      <c r="SER5" s="390"/>
      <c r="SES5" s="390"/>
      <c r="SET5" s="390"/>
      <c r="SEU5" s="390"/>
      <c r="SEV5" s="390"/>
      <c r="SEW5" s="390"/>
      <c r="SEX5" s="390"/>
      <c r="SEY5" s="390"/>
      <c r="SEZ5" s="390"/>
      <c r="SFA5" s="390"/>
      <c r="SFB5" s="390"/>
      <c r="SFC5" s="390"/>
      <c r="SFD5" s="390"/>
      <c r="SFE5" s="390"/>
      <c r="SFF5" s="390"/>
      <c r="SFG5" s="390"/>
      <c r="SFH5" s="390"/>
      <c r="SFI5" s="390"/>
      <c r="SFJ5" s="390"/>
      <c r="SFK5" s="390"/>
      <c r="SFL5" s="390"/>
      <c r="SFM5" s="390"/>
      <c r="SFN5" s="390"/>
      <c r="SFO5" s="390"/>
      <c r="SFP5" s="390"/>
      <c r="SFQ5" s="390"/>
      <c r="SFR5" s="390"/>
      <c r="SFS5" s="390"/>
      <c r="SFT5" s="390"/>
      <c r="SFU5" s="390"/>
      <c r="SFV5" s="390"/>
      <c r="SFW5" s="390"/>
      <c r="SFX5" s="390"/>
      <c r="SFY5" s="390"/>
      <c r="SFZ5" s="390"/>
      <c r="SGA5" s="390"/>
      <c r="SGB5" s="390"/>
      <c r="SGC5" s="390"/>
      <c r="SGD5" s="390"/>
      <c r="SGE5" s="390"/>
      <c r="SGF5" s="390"/>
      <c r="SGG5" s="390"/>
      <c r="SGH5" s="390"/>
      <c r="SGI5" s="390"/>
      <c r="SGJ5" s="390"/>
      <c r="SGK5" s="390"/>
      <c r="SGL5" s="390"/>
      <c r="SGM5" s="390"/>
      <c r="SGN5" s="390"/>
      <c r="SGO5" s="390"/>
      <c r="SGP5" s="390"/>
      <c r="SGQ5" s="390"/>
      <c r="SGR5" s="390"/>
      <c r="SGS5" s="390"/>
      <c r="SGT5" s="390"/>
      <c r="SGU5" s="390"/>
      <c r="SGV5" s="390"/>
      <c r="SGW5" s="390"/>
      <c r="SGX5" s="390"/>
      <c r="SGY5" s="390"/>
      <c r="SGZ5" s="390"/>
      <c r="SHA5" s="390"/>
      <c r="SHB5" s="390"/>
      <c r="SHC5" s="390"/>
      <c r="SHD5" s="390"/>
      <c r="SHE5" s="390"/>
      <c r="SHF5" s="390"/>
      <c r="SHG5" s="390"/>
      <c r="SHH5" s="390"/>
      <c r="SHI5" s="390"/>
      <c r="SHJ5" s="390"/>
      <c r="SHK5" s="390"/>
      <c r="SHL5" s="390"/>
      <c r="SHM5" s="390"/>
      <c r="SHN5" s="390"/>
      <c r="SHO5" s="390"/>
      <c r="SHP5" s="390"/>
      <c r="SHQ5" s="390"/>
      <c r="SHR5" s="390"/>
      <c r="SHS5" s="390"/>
      <c r="SHT5" s="390"/>
      <c r="SHU5" s="390"/>
      <c r="SHV5" s="390"/>
      <c r="SHW5" s="390"/>
      <c r="SHX5" s="390"/>
      <c r="SHY5" s="390"/>
      <c r="SHZ5" s="390"/>
      <c r="SIA5" s="390"/>
      <c r="SIB5" s="390"/>
      <c r="SIC5" s="390"/>
      <c r="SID5" s="390"/>
      <c r="SIE5" s="390"/>
      <c r="SIF5" s="390"/>
      <c r="SIG5" s="390"/>
      <c r="SIH5" s="390"/>
      <c r="SII5" s="390"/>
      <c r="SIJ5" s="390"/>
      <c r="SIK5" s="390"/>
      <c r="SIL5" s="390"/>
      <c r="SIM5" s="390"/>
      <c r="SIN5" s="390"/>
      <c r="SIO5" s="390"/>
      <c r="SIP5" s="390"/>
      <c r="SIQ5" s="390"/>
      <c r="SIR5" s="390"/>
      <c r="SIS5" s="390"/>
      <c r="SIT5" s="390"/>
      <c r="SIU5" s="390"/>
      <c r="SIV5" s="390"/>
      <c r="SIW5" s="390"/>
      <c r="SIX5" s="390"/>
      <c r="SIY5" s="390"/>
      <c r="SIZ5" s="390"/>
      <c r="SJA5" s="390"/>
      <c r="SJB5" s="390"/>
      <c r="SJC5" s="390"/>
      <c r="SJD5" s="390"/>
      <c r="SJE5" s="390"/>
      <c r="SJF5" s="390"/>
      <c r="SJG5" s="390"/>
      <c r="SJH5" s="390"/>
      <c r="SJI5" s="390"/>
      <c r="SJJ5" s="390"/>
      <c r="SJK5" s="390"/>
      <c r="SJL5" s="390"/>
      <c r="SJM5" s="390"/>
      <c r="SJN5" s="390"/>
      <c r="SJO5" s="390"/>
      <c r="SJP5" s="390"/>
      <c r="SJQ5" s="390"/>
      <c r="SJR5" s="390"/>
      <c r="SJS5" s="390"/>
      <c r="SJT5" s="390"/>
      <c r="SJU5" s="390"/>
      <c r="SJV5" s="390"/>
      <c r="SJW5" s="390"/>
      <c r="SJX5" s="390"/>
      <c r="SJY5" s="390"/>
      <c r="SJZ5" s="390"/>
      <c r="SKA5" s="390"/>
      <c r="SKB5" s="390"/>
      <c r="SKC5" s="390"/>
      <c r="SKD5" s="390"/>
      <c r="SKE5" s="390"/>
      <c r="SKF5" s="390"/>
      <c r="SKG5" s="390"/>
      <c r="SKH5" s="390"/>
      <c r="SKI5" s="390"/>
      <c r="SKJ5" s="390"/>
      <c r="SKK5" s="390"/>
      <c r="SKL5" s="390"/>
      <c r="SKM5" s="390"/>
      <c r="SKN5" s="390"/>
      <c r="SKO5" s="390"/>
      <c r="SKP5" s="390"/>
      <c r="SKQ5" s="390"/>
      <c r="SKR5" s="390"/>
      <c r="SKS5" s="390"/>
      <c r="SKT5" s="390"/>
      <c r="SKU5" s="390"/>
      <c r="SKV5" s="390"/>
      <c r="SKW5" s="390"/>
      <c r="SKX5" s="390"/>
      <c r="SKY5" s="390"/>
      <c r="SKZ5" s="390"/>
      <c r="SLA5" s="390"/>
      <c r="SLB5" s="390"/>
      <c r="SLC5" s="390"/>
      <c r="SLD5" s="390"/>
      <c r="SLE5" s="390"/>
      <c r="SLF5" s="390"/>
      <c r="SLG5" s="390"/>
      <c r="SLH5" s="390"/>
      <c r="SLI5" s="390"/>
      <c r="SLJ5" s="390"/>
      <c r="SLK5" s="390"/>
      <c r="SLL5" s="390"/>
      <c r="SLM5" s="390"/>
      <c r="SLN5" s="390"/>
      <c r="SLO5" s="390"/>
      <c r="SLP5" s="390"/>
      <c r="SLQ5" s="390"/>
      <c r="SLR5" s="390"/>
      <c r="SLS5" s="390"/>
      <c r="SLT5" s="390"/>
      <c r="SLU5" s="390"/>
      <c r="SLV5" s="390"/>
      <c r="SLW5" s="390"/>
      <c r="SLX5" s="390"/>
      <c r="SLY5" s="390"/>
      <c r="SLZ5" s="390"/>
      <c r="SMA5" s="390"/>
      <c r="SMB5" s="390"/>
      <c r="SMC5" s="390"/>
      <c r="SMD5" s="390"/>
      <c r="SME5" s="390"/>
      <c r="SMF5" s="390"/>
      <c r="SMG5" s="390"/>
      <c r="SMH5" s="390"/>
      <c r="SMI5" s="390"/>
      <c r="SMJ5" s="390"/>
      <c r="SMK5" s="390"/>
      <c r="SML5" s="390"/>
      <c r="SMM5" s="390"/>
      <c r="SMN5" s="390"/>
      <c r="SMO5" s="390"/>
      <c r="SMP5" s="390"/>
      <c r="SMQ5" s="390"/>
      <c r="SMR5" s="390"/>
      <c r="SMS5" s="390"/>
      <c r="SMT5" s="390"/>
      <c r="SMU5" s="390"/>
      <c r="SMV5" s="390"/>
      <c r="SMW5" s="390"/>
      <c r="SMX5" s="390"/>
      <c r="SMY5" s="390"/>
      <c r="SMZ5" s="390"/>
      <c r="SNA5" s="390"/>
      <c r="SNB5" s="390"/>
      <c r="SNC5" s="390"/>
      <c r="SND5" s="390"/>
      <c r="SNE5" s="390"/>
      <c r="SNF5" s="390"/>
      <c r="SNG5" s="390"/>
      <c r="SNH5" s="390"/>
      <c r="SNI5" s="390"/>
      <c r="SNJ5" s="390"/>
      <c r="SNK5" s="390"/>
      <c r="SNL5" s="390"/>
      <c r="SNM5" s="390"/>
      <c r="SNN5" s="390"/>
      <c r="SNO5" s="390"/>
      <c r="SNP5" s="390"/>
      <c r="SNQ5" s="390"/>
      <c r="SNR5" s="390"/>
      <c r="SNS5" s="390"/>
      <c r="SNT5" s="390"/>
      <c r="SNU5" s="390"/>
      <c r="SNV5" s="390"/>
      <c r="SNW5" s="390"/>
      <c r="SNX5" s="390"/>
      <c r="SNY5" s="390"/>
      <c r="SNZ5" s="390"/>
      <c r="SOA5" s="390"/>
      <c r="SOB5" s="390"/>
      <c r="SOC5" s="390"/>
      <c r="SOD5" s="390"/>
      <c r="SOE5" s="390"/>
      <c r="SOF5" s="390"/>
      <c r="SOG5" s="390"/>
      <c r="SOH5" s="390"/>
      <c r="SOI5" s="390"/>
      <c r="SOJ5" s="390"/>
      <c r="SOK5" s="390"/>
      <c r="SOL5" s="390"/>
      <c r="SOM5" s="390"/>
      <c r="SON5" s="390"/>
      <c r="SOO5" s="390"/>
      <c r="SOP5" s="390"/>
      <c r="SOQ5" s="390"/>
      <c r="SOR5" s="390"/>
      <c r="SOS5" s="390"/>
      <c r="SOT5" s="390"/>
      <c r="SOU5" s="390"/>
      <c r="SOV5" s="390"/>
      <c r="SOW5" s="390"/>
      <c r="SOX5" s="390"/>
      <c r="SOY5" s="390"/>
      <c r="SOZ5" s="390"/>
      <c r="SPA5" s="390"/>
      <c r="SPB5" s="390"/>
      <c r="SPC5" s="390"/>
      <c r="SPD5" s="390"/>
      <c r="SPE5" s="390"/>
      <c r="SPF5" s="390"/>
      <c r="SPG5" s="390"/>
      <c r="SPH5" s="390"/>
      <c r="SPI5" s="390"/>
      <c r="SPJ5" s="390"/>
      <c r="SPK5" s="390"/>
      <c r="SPL5" s="390"/>
      <c r="SPM5" s="390"/>
      <c r="SPN5" s="390"/>
      <c r="SPO5" s="390"/>
      <c r="SPP5" s="390"/>
      <c r="SPQ5" s="390"/>
      <c r="SPR5" s="390"/>
      <c r="SPS5" s="390"/>
      <c r="SPT5" s="390"/>
      <c r="SPU5" s="390"/>
      <c r="SPV5" s="390"/>
      <c r="SPW5" s="390"/>
      <c r="SPX5" s="390"/>
      <c r="SPY5" s="390"/>
      <c r="SPZ5" s="390"/>
      <c r="SQA5" s="390"/>
      <c r="SQB5" s="390"/>
      <c r="SQC5" s="390"/>
      <c r="SQD5" s="390"/>
      <c r="SQE5" s="390"/>
      <c r="SQF5" s="390"/>
      <c r="SQG5" s="390"/>
      <c r="SQH5" s="390"/>
      <c r="SQI5" s="390"/>
      <c r="SQJ5" s="390"/>
      <c r="SQK5" s="390"/>
      <c r="SQL5" s="390"/>
      <c r="SQM5" s="390"/>
      <c r="SQN5" s="390"/>
      <c r="SQO5" s="390"/>
      <c r="SQP5" s="390"/>
      <c r="SQQ5" s="390"/>
      <c r="SQR5" s="390"/>
      <c r="SQS5" s="390"/>
      <c r="SQT5" s="390"/>
      <c r="SQU5" s="390"/>
      <c r="SQV5" s="390"/>
      <c r="SQW5" s="390"/>
      <c r="SQX5" s="390"/>
      <c r="SQY5" s="390"/>
      <c r="SQZ5" s="390"/>
      <c r="SRA5" s="390"/>
      <c r="SRB5" s="390"/>
      <c r="SRC5" s="390"/>
      <c r="SRD5" s="390"/>
      <c r="SRE5" s="390"/>
      <c r="SRF5" s="390"/>
      <c r="SRG5" s="390"/>
      <c r="SRH5" s="390"/>
      <c r="SRI5" s="390"/>
      <c r="SRJ5" s="390"/>
      <c r="SRK5" s="390"/>
      <c r="SRL5" s="390"/>
      <c r="SRM5" s="390"/>
      <c r="SRN5" s="390"/>
      <c r="SRO5" s="390"/>
      <c r="SRP5" s="390"/>
      <c r="SRQ5" s="390"/>
      <c r="SRR5" s="390"/>
      <c r="SRS5" s="390"/>
      <c r="SRT5" s="390"/>
      <c r="SRU5" s="390"/>
      <c r="SRV5" s="390"/>
      <c r="SRW5" s="390"/>
      <c r="SRX5" s="390"/>
      <c r="SRY5" s="390"/>
      <c r="SRZ5" s="390"/>
      <c r="SSA5" s="390"/>
      <c r="SSB5" s="390"/>
      <c r="SSC5" s="390"/>
      <c r="SSD5" s="390"/>
      <c r="SSE5" s="390"/>
      <c r="SSF5" s="390"/>
      <c r="SSG5" s="390"/>
      <c r="SSH5" s="390"/>
      <c r="SSI5" s="390"/>
      <c r="SSJ5" s="390"/>
      <c r="SSK5" s="390"/>
      <c r="SSL5" s="390"/>
      <c r="SSM5" s="390"/>
      <c r="SSN5" s="390"/>
      <c r="SSO5" s="390"/>
      <c r="SSP5" s="390"/>
      <c r="SSQ5" s="390"/>
      <c r="SSR5" s="390"/>
      <c r="SSS5" s="390"/>
      <c r="SST5" s="390"/>
      <c r="SSU5" s="390"/>
      <c r="SSV5" s="390"/>
      <c r="SSW5" s="390"/>
      <c r="SSX5" s="390"/>
      <c r="SSY5" s="390"/>
      <c r="SSZ5" s="390"/>
      <c r="STA5" s="390"/>
      <c r="STB5" s="390"/>
      <c r="STC5" s="390"/>
      <c r="STD5" s="390"/>
      <c r="STE5" s="390"/>
      <c r="STF5" s="390"/>
      <c r="STG5" s="390"/>
      <c r="STH5" s="390"/>
      <c r="STI5" s="390"/>
      <c r="STJ5" s="390"/>
      <c r="STK5" s="390"/>
      <c r="STL5" s="390"/>
      <c r="STM5" s="390"/>
      <c r="STN5" s="390"/>
      <c r="STO5" s="390"/>
      <c r="STP5" s="390"/>
      <c r="STQ5" s="390"/>
      <c r="STR5" s="390"/>
      <c r="STS5" s="390"/>
      <c r="STT5" s="390"/>
      <c r="STU5" s="390"/>
      <c r="STV5" s="390"/>
      <c r="STW5" s="390"/>
      <c r="STX5" s="390"/>
      <c r="STY5" s="390"/>
      <c r="STZ5" s="390"/>
      <c r="SUA5" s="390"/>
      <c r="SUB5" s="390"/>
      <c r="SUC5" s="390"/>
      <c r="SUD5" s="390"/>
      <c r="SUE5" s="390"/>
      <c r="SUF5" s="390"/>
      <c r="SUG5" s="390"/>
      <c r="SUH5" s="390"/>
      <c r="SUI5" s="390"/>
      <c r="SUJ5" s="390"/>
      <c r="SUK5" s="390"/>
      <c r="SUL5" s="390"/>
      <c r="SUM5" s="390"/>
      <c r="SUN5" s="390"/>
      <c r="SUO5" s="390"/>
      <c r="SUP5" s="390"/>
      <c r="SUQ5" s="390"/>
      <c r="SUR5" s="390"/>
      <c r="SUS5" s="390"/>
      <c r="SUT5" s="390"/>
      <c r="SUU5" s="390"/>
      <c r="SUV5" s="390"/>
      <c r="SUW5" s="390"/>
      <c r="SUX5" s="390"/>
      <c r="SUY5" s="390"/>
      <c r="SUZ5" s="390"/>
      <c r="SVA5" s="390"/>
      <c r="SVB5" s="390"/>
      <c r="SVC5" s="390"/>
      <c r="SVD5" s="390"/>
      <c r="SVE5" s="390"/>
      <c r="SVF5" s="390"/>
      <c r="SVG5" s="390"/>
      <c r="SVH5" s="390"/>
      <c r="SVI5" s="390"/>
      <c r="SVJ5" s="390"/>
      <c r="SVK5" s="390"/>
      <c r="SVL5" s="390"/>
      <c r="SVM5" s="390"/>
      <c r="SVN5" s="390"/>
      <c r="SVO5" s="390"/>
      <c r="SVP5" s="390"/>
      <c r="SVQ5" s="390"/>
      <c r="SVR5" s="390"/>
      <c r="SVS5" s="390"/>
      <c r="SVT5" s="390"/>
      <c r="SVU5" s="390"/>
      <c r="SVV5" s="390"/>
      <c r="SVW5" s="390"/>
      <c r="SVX5" s="390"/>
      <c r="SVY5" s="390"/>
      <c r="SVZ5" s="390"/>
      <c r="SWA5" s="390"/>
      <c r="SWB5" s="390"/>
      <c r="SWC5" s="390"/>
      <c r="SWD5" s="390"/>
      <c r="SWE5" s="390"/>
      <c r="SWF5" s="390"/>
      <c r="SWG5" s="390"/>
      <c r="SWH5" s="390"/>
      <c r="SWI5" s="390"/>
      <c r="SWJ5" s="390"/>
      <c r="SWK5" s="390"/>
      <c r="SWL5" s="390"/>
      <c r="SWM5" s="390"/>
      <c r="SWN5" s="390"/>
      <c r="SWO5" s="390"/>
      <c r="SWP5" s="390"/>
      <c r="SWQ5" s="390"/>
      <c r="SWR5" s="390"/>
      <c r="SWS5" s="390"/>
      <c r="SWT5" s="390"/>
      <c r="SWU5" s="390"/>
      <c r="SWV5" s="390"/>
      <c r="SWW5" s="390"/>
      <c r="SWX5" s="390"/>
      <c r="SWY5" s="390"/>
      <c r="SWZ5" s="390"/>
      <c r="SXA5" s="390"/>
      <c r="SXB5" s="390"/>
      <c r="SXC5" s="390"/>
      <c r="SXD5" s="390"/>
      <c r="SXE5" s="390"/>
      <c r="SXF5" s="390"/>
      <c r="SXG5" s="390"/>
      <c r="SXH5" s="390"/>
      <c r="SXI5" s="390"/>
      <c r="SXJ5" s="390"/>
      <c r="SXK5" s="390"/>
      <c r="SXL5" s="390"/>
      <c r="SXM5" s="390"/>
      <c r="SXN5" s="390"/>
      <c r="SXO5" s="390"/>
      <c r="SXP5" s="390"/>
      <c r="SXQ5" s="390"/>
      <c r="SXR5" s="390"/>
      <c r="SXS5" s="390"/>
      <c r="SXT5" s="390"/>
      <c r="SXU5" s="390"/>
      <c r="SXV5" s="390"/>
      <c r="SXW5" s="390"/>
      <c r="SXX5" s="390"/>
      <c r="SXY5" s="390"/>
      <c r="SXZ5" s="390"/>
      <c r="SYA5" s="390"/>
      <c r="SYB5" s="390"/>
      <c r="SYC5" s="390"/>
      <c r="SYD5" s="390"/>
      <c r="SYE5" s="390"/>
      <c r="SYF5" s="390"/>
      <c r="SYG5" s="390"/>
      <c r="SYH5" s="390"/>
      <c r="SYI5" s="390"/>
      <c r="SYJ5" s="390"/>
      <c r="SYK5" s="390"/>
      <c r="SYL5" s="390"/>
      <c r="SYM5" s="390"/>
      <c r="SYN5" s="390"/>
      <c r="SYO5" s="390"/>
      <c r="SYP5" s="390"/>
      <c r="SYQ5" s="390"/>
      <c r="SYR5" s="390"/>
      <c r="SYS5" s="390"/>
      <c r="SYT5" s="390"/>
      <c r="SYU5" s="390"/>
      <c r="SYV5" s="390"/>
      <c r="SYW5" s="390"/>
      <c r="SYX5" s="390"/>
      <c r="SYY5" s="390"/>
      <c r="SYZ5" s="390"/>
      <c r="SZA5" s="390"/>
      <c r="SZB5" s="390"/>
      <c r="SZC5" s="390"/>
      <c r="SZD5" s="390"/>
      <c r="SZE5" s="390"/>
      <c r="SZF5" s="390"/>
      <c r="SZG5" s="390"/>
      <c r="SZH5" s="390"/>
      <c r="SZI5" s="390"/>
      <c r="SZJ5" s="390"/>
      <c r="SZK5" s="390"/>
      <c r="SZL5" s="390"/>
      <c r="SZM5" s="390"/>
      <c r="SZN5" s="390"/>
      <c r="SZO5" s="390"/>
      <c r="SZP5" s="390"/>
      <c r="SZQ5" s="390"/>
      <c r="SZR5" s="390"/>
      <c r="SZS5" s="390"/>
      <c r="SZT5" s="390"/>
      <c r="SZU5" s="390"/>
      <c r="SZV5" s="390"/>
      <c r="SZW5" s="390"/>
      <c r="SZX5" s="390"/>
      <c r="SZY5" s="390"/>
      <c r="SZZ5" s="390"/>
      <c r="TAA5" s="390"/>
      <c r="TAB5" s="390"/>
      <c r="TAC5" s="390"/>
      <c r="TAD5" s="390"/>
      <c r="TAE5" s="390"/>
      <c r="TAF5" s="390"/>
      <c r="TAG5" s="390"/>
      <c r="TAH5" s="390"/>
      <c r="TAI5" s="390"/>
      <c r="TAJ5" s="390"/>
      <c r="TAK5" s="390"/>
      <c r="TAL5" s="390"/>
      <c r="TAM5" s="390"/>
      <c r="TAN5" s="390"/>
      <c r="TAO5" s="390"/>
      <c r="TAP5" s="390"/>
      <c r="TAQ5" s="390"/>
      <c r="TAR5" s="390"/>
      <c r="TAS5" s="390"/>
      <c r="TAT5" s="390"/>
      <c r="TAU5" s="390"/>
      <c r="TAV5" s="390"/>
      <c r="TAW5" s="390"/>
      <c r="TAX5" s="390"/>
      <c r="TAY5" s="390"/>
      <c r="TAZ5" s="390"/>
      <c r="TBA5" s="390"/>
      <c r="TBB5" s="390"/>
      <c r="TBC5" s="390"/>
      <c r="TBD5" s="390"/>
      <c r="TBE5" s="390"/>
      <c r="TBF5" s="390"/>
      <c r="TBG5" s="390"/>
      <c r="TBH5" s="390"/>
      <c r="TBI5" s="390"/>
      <c r="TBJ5" s="390"/>
      <c r="TBK5" s="390"/>
      <c r="TBL5" s="390"/>
      <c r="TBM5" s="390"/>
      <c r="TBN5" s="390"/>
      <c r="TBO5" s="390"/>
      <c r="TBP5" s="390"/>
      <c r="TBQ5" s="390"/>
      <c r="TBR5" s="390"/>
      <c r="TBS5" s="390"/>
      <c r="TBT5" s="390"/>
      <c r="TBU5" s="390"/>
      <c r="TBV5" s="390"/>
      <c r="TBW5" s="390"/>
      <c r="TBX5" s="390"/>
      <c r="TBY5" s="390"/>
      <c r="TBZ5" s="390"/>
      <c r="TCA5" s="390"/>
      <c r="TCB5" s="390"/>
      <c r="TCC5" s="390"/>
      <c r="TCD5" s="390"/>
      <c r="TCE5" s="390"/>
      <c r="TCF5" s="390"/>
      <c r="TCG5" s="390"/>
      <c r="TCH5" s="390"/>
      <c r="TCI5" s="390"/>
      <c r="TCJ5" s="390"/>
      <c r="TCK5" s="390"/>
      <c r="TCL5" s="390"/>
      <c r="TCM5" s="390"/>
      <c r="TCN5" s="390"/>
      <c r="TCO5" s="390"/>
      <c r="TCP5" s="390"/>
      <c r="TCQ5" s="390"/>
      <c r="TCR5" s="390"/>
      <c r="TCS5" s="390"/>
      <c r="TCT5" s="390"/>
      <c r="TCU5" s="390"/>
      <c r="TCV5" s="390"/>
      <c r="TCW5" s="390"/>
      <c r="TCX5" s="390"/>
      <c r="TCY5" s="390"/>
      <c r="TCZ5" s="390"/>
      <c r="TDA5" s="390"/>
      <c r="TDB5" s="390"/>
      <c r="TDC5" s="390"/>
      <c r="TDD5" s="390"/>
      <c r="TDE5" s="390"/>
      <c r="TDF5" s="390"/>
      <c r="TDG5" s="390"/>
      <c r="TDH5" s="390"/>
      <c r="TDI5" s="390"/>
      <c r="TDJ5" s="390"/>
      <c r="TDK5" s="390"/>
      <c r="TDL5" s="390"/>
      <c r="TDM5" s="390"/>
      <c r="TDN5" s="390"/>
      <c r="TDO5" s="390"/>
      <c r="TDP5" s="390"/>
      <c r="TDQ5" s="390"/>
      <c r="TDR5" s="390"/>
      <c r="TDS5" s="390"/>
      <c r="TDT5" s="390"/>
      <c r="TDU5" s="390"/>
      <c r="TDV5" s="390"/>
      <c r="TDW5" s="390"/>
      <c r="TDX5" s="390"/>
      <c r="TDY5" s="390"/>
      <c r="TDZ5" s="390"/>
      <c r="TEA5" s="390"/>
      <c r="TEB5" s="390"/>
      <c r="TEC5" s="390"/>
      <c r="TED5" s="390"/>
      <c r="TEE5" s="390"/>
      <c r="TEF5" s="390"/>
      <c r="TEG5" s="390"/>
      <c r="TEH5" s="390"/>
      <c r="TEI5" s="390"/>
      <c r="TEJ5" s="390"/>
      <c r="TEK5" s="390"/>
      <c r="TEL5" s="390"/>
      <c r="TEM5" s="390"/>
      <c r="TEN5" s="390"/>
      <c r="TEO5" s="390"/>
      <c r="TEP5" s="390"/>
      <c r="TEQ5" s="390"/>
      <c r="TER5" s="390"/>
      <c r="TES5" s="390"/>
      <c r="TET5" s="390"/>
      <c r="TEU5" s="390"/>
      <c r="TEV5" s="390"/>
      <c r="TEW5" s="390"/>
      <c r="TEX5" s="390"/>
      <c r="TEY5" s="390"/>
      <c r="TEZ5" s="390"/>
      <c r="TFA5" s="390"/>
      <c r="TFB5" s="390"/>
      <c r="TFC5" s="390"/>
      <c r="TFD5" s="390"/>
      <c r="TFE5" s="390"/>
      <c r="TFF5" s="390"/>
      <c r="TFG5" s="390"/>
      <c r="TFH5" s="390"/>
      <c r="TFI5" s="390"/>
      <c r="TFJ5" s="390"/>
      <c r="TFK5" s="390"/>
      <c r="TFL5" s="390"/>
      <c r="TFM5" s="390"/>
      <c r="TFN5" s="390"/>
      <c r="TFO5" s="390"/>
      <c r="TFP5" s="390"/>
      <c r="TFQ5" s="390"/>
      <c r="TFR5" s="390"/>
      <c r="TFS5" s="390"/>
      <c r="TFT5" s="390"/>
      <c r="TFU5" s="390"/>
      <c r="TFV5" s="390"/>
      <c r="TFW5" s="390"/>
      <c r="TFX5" s="390"/>
      <c r="TFY5" s="390"/>
      <c r="TFZ5" s="390"/>
      <c r="TGA5" s="390"/>
      <c r="TGB5" s="390"/>
      <c r="TGC5" s="390"/>
      <c r="TGD5" s="390"/>
      <c r="TGE5" s="390"/>
      <c r="TGF5" s="390"/>
      <c r="TGG5" s="390"/>
      <c r="TGH5" s="390"/>
      <c r="TGI5" s="390"/>
      <c r="TGJ5" s="390"/>
      <c r="TGK5" s="390"/>
      <c r="TGL5" s="390"/>
      <c r="TGM5" s="390"/>
      <c r="TGN5" s="390"/>
      <c r="TGO5" s="390"/>
      <c r="TGP5" s="390"/>
      <c r="TGQ5" s="390"/>
      <c r="TGR5" s="390"/>
      <c r="TGS5" s="390"/>
      <c r="TGT5" s="390"/>
      <c r="TGU5" s="390"/>
      <c r="TGV5" s="390"/>
      <c r="TGW5" s="390"/>
      <c r="TGX5" s="390"/>
      <c r="TGY5" s="390"/>
      <c r="TGZ5" s="390"/>
      <c r="THA5" s="390"/>
      <c r="THB5" s="390"/>
      <c r="THC5" s="390"/>
      <c r="THD5" s="390"/>
      <c r="THE5" s="390"/>
      <c r="THF5" s="390"/>
      <c r="THG5" s="390"/>
      <c r="THH5" s="390"/>
      <c r="THI5" s="390"/>
      <c r="THJ5" s="390"/>
      <c r="THK5" s="390"/>
      <c r="THL5" s="390"/>
      <c r="THM5" s="390"/>
      <c r="THN5" s="390"/>
      <c r="THO5" s="390"/>
      <c r="THP5" s="390"/>
      <c r="THQ5" s="390"/>
      <c r="THR5" s="390"/>
      <c r="THS5" s="390"/>
      <c r="THT5" s="390"/>
      <c r="THU5" s="390"/>
      <c r="THV5" s="390"/>
      <c r="THW5" s="390"/>
      <c r="THX5" s="390"/>
      <c r="THY5" s="390"/>
      <c r="THZ5" s="390"/>
      <c r="TIA5" s="390"/>
      <c r="TIB5" s="390"/>
      <c r="TIC5" s="390"/>
      <c r="TID5" s="390"/>
      <c r="TIE5" s="390"/>
      <c r="TIF5" s="390"/>
      <c r="TIG5" s="390"/>
      <c r="TIH5" s="390"/>
      <c r="TII5" s="390"/>
      <c r="TIJ5" s="390"/>
      <c r="TIK5" s="390"/>
      <c r="TIL5" s="390"/>
      <c r="TIM5" s="390"/>
      <c r="TIN5" s="390"/>
      <c r="TIO5" s="390"/>
      <c r="TIP5" s="390"/>
      <c r="TIQ5" s="390"/>
      <c r="TIR5" s="390"/>
      <c r="TIS5" s="390"/>
      <c r="TIT5" s="390"/>
      <c r="TIU5" s="390"/>
      <c r="TIV5" s="390"/>
      <c r="TIW5" s="390"/>
      <c r="TIX5" s="390"/>
      <c r="TIY5" s="390"/>
      <c r="TIZ5" s="390"/>
      <c r="TJA5" s="390"/>
      <c r="TJB5" s="390"/>
      <c r="TJC5" s="390"/>
      <c r="TJD5" s="390"/>
      <c r="TJE5" s="390"/>
      <c r="TJF5" s="390"/>
      <c r="TJG5" s="390"/>
      <c r="TJH5" s="390"/>
      <c r="TJI5" s="390"/>
      <c r="TJJ5" s="390"/>
      <c r="TJK5" s="390"/>
      <c r="TJL5" s="390"/>
      <c r="TJM5" s="390"/>
      <c r="TJN5" s="390"/>
      <c r="TJO5" s="390"/>
      <c r="TJP5" s="390"/>
      <c r="TJQ5" s="390"/>
      <c r="TJR5" s="390"/>
      <c r="TJS5" s="390"/>
      <c r="TJT5" s="390"/>
      <c r="TJU5" s="390"/>
      <c r="TJV5" s="390"/>
      <c r="TJW5" s="390"/>
      <c r="TJX5" s="390"/>
      <c r="TJY5" s="390"/>
      <c r="TJZ5" s="390"/>
      <c r="TKA5" s="390"/>
      <c r="TKB5" s="390"/>
      <c r="TKC5" s="390"/>
      <c r="TKD5" s="390"/>
      <c r="TKE5" s="390"/>
      <c r="TKF5" s="390"/>
      <c r="TKG5" s="390"/>
      <c r="TKH5" s="390"/>
      <c r="TKI5" s="390"/>
      <c r="TKJ5" s="390"/>
      <c r="TKK5" s="390"/>
      <c r="TKL5" s="390"/>
      <c r="TKM5" s="390"/>
      <c r="TKN5" s="390"/>
      <c r="TKO5" s="390"/>
      <c r="TKP5" s="390"/>
      <c r="TKQ5" s="390"/>
      <c r="TKR5" s="390"/>
      <c r="TKS5" s="390"/>
      <c r="TKT5" s="390"/>
      <c r="TKU5" s="390"/>
      <c r="TKV5" s="390"/>
      <c r="TKW5" s="390"/>
      <c r="TKX5" s="390"/>
      <c r="TKY5" s="390"/>
      <c r="TKZ5" s="390"/>
      <c r="TLA5" s="390"/>
      <c r="TLB5" s="390"/>
      <c r="TLC5" s="390"/>
      <c r="TLD5" s="390"/>
      <c r="TLE5" s="390"/>
      <c r="TLF5" s="390"/>
      <c r="TLG5" s="390"/>
      <c r="TLH5" s="390"/>
      <c r="TLI5" s="390"/>
      <c r="TLJ5" s="390"/>
      <c r="TLK5" s="390"/>
      <c r="TLL5" s="390"/>
      <c r="TLM5" s="390"/>
      <c r="TLN5" s="390"/>
      <c r="TLO5" s="390"/>
      <c r="TLP5" s="390"/>
      <c r="TLQ5" s="390"/>
      <c r="TLR5" s="390"/>
      <c r="TLS5" s="390"/>
      <c r="TLT5" s="390"/>
      <c r="TLU5" s="390"/>
      <c r="TLV5" s="390"/>
      <c r="TLW5" s="390"/>
      <c r="TLX5" s="390"/>
      <c r="TLY5" s="390"/>
      <c r="TLZ5" s="390"/>
      <c r="TMA5" s="390"/>
      <c r="TMB5" s="390"/>
      <c r="TMC5" s="390"/>
      <c r="TMD5" s="390"/>
      <c r="TME5" s="390"/>
      <c r="TMF5" s="390"/>
      <c r="TMG5" s="390"/>
      <c r="TMH5" s="390"/>
      <c r="TMI5" s="390"/>
      <c r="TMJ5" s="390"/>
      <c r="TMK5" s="390"/>
      <c r="TML5" s="390"/>
      <c r="TMM5" s="390"/>
      <c r="TMN5" s="390"/>
      <c r="TMO5" s="390"/>
      <c r="TMP5" s="390"/>
      <c r="TMQ5" s="390"/>
      <c r="TMR5" s="390"/>
      <c r="TMS5" s="390"/>
      <c r="TMT5" s="390"/>
      <c r="TMU5" s="390"/>
      <c r="TMV5" s="390"/>
      <c r="TMW5" s="390"/>
      <c r="TMX5" s="390"/>
      <c r="TMY5" s="390"/>
      <c r="TMZ5" s="390"/>
      <c r="TNA5" s="390"/>
      <c r="TNB5" s="390"/>
      <c r="TNC5" s="390"/>
      <c r="TND5" s="390"/>
      <c r="TNE5" s="390"/>
      <c r="TNF5" s="390"/>
      <c r="TNG5" s="390"/>
      <c r="TNH5" s="390"/>
      <c r="TNI5" s="390"/>
      <c r="TNJ5" s="390"/>
      <c r="TNK5" s="390"/>
      <c r="TNL5" s="390"/>
      <c r="TNM5" s="390"/>
      <c r="TNN5" s="390"/>
      <c r="TNO5" s="390"/>
      <c r="TNP5" s="390"/>
      <c r="TNQ5" s="390"/>
      <c r="TNR5" s="390"/>
      <c r="TNS5" s="390"/>
      <c r="TNT5" s="390"/>
      <c r="TNU5" s="390"/>
      <c r="TNV5" s="390"/>
      <c r="TNW5" s="390"/>
      <c r="TNX5" s="390"/>
      <c r="TNY5" s="390"/>
      <c r="TNZ5" s="390"/>
      <c r="TOA5" s="390"/>
      <c r="TOB5" s="390"/>
      <c r="TOC5" s="390"/>
      <c r="TOD5" s="390"/>
      <c r="TOE5" s="390"/>
      <c r="TOF5" s="390"/>
      <c r="TOG5" s="390"/>
      <c r="TOH5" s="390"/>
      <c r="TOI5" s="390"/>
      <c r="TOJ5" s="390"/>
      <c r="TOK5" s="390"/>
      <c r="TOL5" s="390"/>
      <c r="TOM5" s="390"/>
      <c r="TON5" s="390"/>
      <c r="TOO5" s="390"/>
      <c r="TOP5" s="390"/>
      <c r="TOQ5" s="390"/>
      <c r="TOR5" s="390"/>
      <c r="TOS5" s="390"/>
      <c r="TOT5" s="390"/>
      <c r="TOU5" s="390"/>
      <c r="TOV5" s="390"/>
      <c r="TOW5" s="390"/>
      <c r="TOX5" s="390"/>
      <c r="TOY5" s="390"/>
      <c r="TOZ5" s="390"/>
      <c r="TPA5" s="390"/>
      <c r="TPB5" s="390"/>
      <c r="TPC5" s="390"/>
      <c r="TPD5" s="390"/>
      <c r="TPE5" s="390"/>
      <c r="TPF5" s="390"/>
      <c r="TPG5" s="390"/>
      <c r="TPH5" s="390"/>
      <c r="TPI5" s="390"/>
      <c r="TPJ5" s="390"/>
      <c r="TPK5" s="390"/>
      <c r="TPL5" s="390"/>
      <c r="TPM5" s="390"/>
      <c r="TPN5" s="390"/>
      <c r="TPO5" s="390"/>
      <c r="TPP5" s="390"/>
      <c r="TPQ5" s="390"/>
      <c r="TPR5" s="390"/>
      <c r="TPS5" s="390"/>
      <c r="TPT5" s="390"/>
      <c r="TPU5" s="390"/>
      <c r="TPV5" s="390"/>
      <c r="TPW5" s="390"/>
      <c r="TPX5" s="390"/>
      <c r="TPY5" s="390"/>
      <c r="TPZ5" s="390"/>
      <c r="TQA5" s="390"/>
      <c r="TQB5" s="390"/>
      <c r="TQC5" s="390"/>
      <c r="TQD5" s="390"/>
      <c r="TQE5" s="390"/>
      <c r="TQF5" s="390"/>
      <c r="TQG5" s="390"/>
      <c r="TQH5" s="390"/>
      <c r="TQI5" s="390"/>
      <c r="TQJ5" s="390"/>
      <c r="TQK5" s="390"/>
      <c r="TQL5" s="390"/>
      <c r="TQM5" s="390"/>
      <c r="TQN5" s="390"/>
      <c r="TQO5" s="390"/>
      <c r="TQP5" s="390"/>
      <c r="TQQ5" s="390"/>
      <c r="TQR5" s="390"/>
      <c r="TQS5" s="390"/>
      <c r="TQT5" s="390"/>
      <c r="TQU5" s="390"/>
      <c r="TQV5" s="390"/>
      <c r="TQW5" s="390"/>
      <c r="TQX5" s="390"/>
      <c r="TQY5" s="390"/>
      <c r="TQZ5" s="390"/>
      <c r="TRA5" s="390"/>
      <c r="TRB5" s="390"/>
      <c r="TRC5" s="390"/>
      <c r="TRD5" s="390"/>
      <c r="TRE5" s="390"/>
      <c r="TRF5" s="390"/>
      <c r="TRG5" s="390"/>
      <c r="TRH5" s="390"/>
      <c r="TRI5" s="390"/>
      <c r="TRJ5" s="390"/>
      <c r="TRK5" s="390"/>
      <c r="TRL5" s="390"/>
      <c r="TRM5" s="390"/>
      <c r="TRN5" s="390"/>
      <c r="TRO5" s="390"/>
      <c r="TRP5" s="390"/>
      <c r="TRQ5" s="390"/>
      <c r="TRR5" s="390"/>
      <c r="TRS5" s="390"/>
      <c r="TRT5" s="390"/>
      <c r="TRU5" s="390"/>
      <c r="TRV5" s="390"/>
      <c r="TRW5" s="390"/>
      <c r="TRX5" s="390"/>
      <c r="TRY5" s="390"/>
      <c r="TRZ5" s="390"/>
      <c r="TSA5" s="390"/>
      <c r="TSB5" s="390"/>
      <c r="TSC5" s="390"/>
      <c r="TSD5" s="390"/>
      <c r="TSE5" s="390"/>
      <c r="TSF5" s="390"/>
      <c r="TSG5" s="390"/>
      <c r="TSH5" s="390"/>
      <c r="TSI5" s="390"/>
      <c r="TSJ5" s="390"/>
      <c r="TSK5" s="390"/>
      <c r="TSL5" s="390"/>
      <c r="TSM5" s="390"/>
      <c r="TSN5" s="390"/>
      <c r="TSO5" s="390"/>
      <c r="TSP5" s="390"/>
      <c r="TSQ5" s="390"/>
      <c r="TSR5" s="390"/>
      <c r="TSS5" s="390"/>
      <c r="TST5" s="390"/>
      <c r="TSU5" s="390"/>
      <c r="TSV5" s="390"/>
      <c r="TSW5" s="390"/>
      <c r="TSX5" s="390"/>
      <c r="TSY5" s="390"/>
      <c r="TSZ5" s="390"/>
      <c r="TTA5" s="390"/>
      <c r="TTB5" s="390"/>
      <c r="TTC5" s="390"/>
      <c r="TTD5" s="390"/>
      <c r="TTE5" s="390"/>
      <c r="TTF5" s="390"/>
      <c r="TTG5" s="390"/>
      <c r="TTH5" s="390"/>
      <c r="TTI5" s="390"/>
      <c r="TTJ5" s="390"/>
      <c r="TTK5" s="390"/>
      <c r="TTL5" s="390"/>
      <c r="TTM5" s="390"/>
      <c r="TTN5" s="390"/>
      <c r="TTO5" s="390"/>
      <c r="TTP5" s="390"/>
      <c r="TTQ5" s="390"/>
      <c r="TTR5" s="390"/>
      <c r="TTS5" s="390"/>
      <c r="TTT5" s="390"/>
      <c r="TTU5" s="390"/>
      <c r="TTV5" s="390"/>
      <c r="TTW5" s="390"/>
      <c r="TTX5" s="390"/>
      <c r="TTY5" s="390"/>
      <c r="TTZ5" s="390"/>
      <c r="TUA5" s="390"/>
      <c r="TUB5" s="390"/>
      <c r="TUC5" s="390"/>
      <c r="TUD5" s="390"/>
      <c r="TUE5" s="390"/>
      <c r="TUF5" s="390"/>
      <c r="TUG5" s="390"/>
      <c r="TUH5" s="390"/>
      <c r="TUI5" s="390"/>
      <c r="TUJ5" s="390"/>
      <c r="TUK5" s="390"/>
      <c r="TUL5" s="390"/>
      <c r="TUM5" s="390"/>
      <c r="TUN5" s="390"/>
      <c r="TUO5" s="390"/>
      <c r="TUP5" s="390"/>
      <c r="TUQ5" s="390"/>
      <c r="TUR5" s="390"/>
      <c r="TUS5" s="390"/>
      <c r="TUT5" s="390"/>
      <c r="TUU5" s="390"/>
      <c r="TUV5" s="390"/>
      <c r="TUW5" s="390"/>
      <c r="TUX5" s="390"/>
      <c r="TUY5" s="390"/>
      <c r="TUZ5" s="390"/>
      <c r="TVA5" s="390"/>
      <c r="TVB5" s="390"/>
      <c r="TVC5" s="390"/>
      <c r="TVD5" s="390"/>
      <c r="TVE5" s="390"/>
      <c r="TVF5" s="390"/>
      <c r="TVG5" s="390"/>
      <c r="TVH5" s="390"/>
      <c r="TVI5" s="390"/>
      <c r="TVJ5" s="390"/>
      <c r="TVK5" s="390"/>
      <c r="TVL5" s="390"/>
      <c r="TVM5" s="390"/>
      <c r="TVN5" s="390"/>
      <c r="TVO5" s="390"/>
      <c r="TVP5" s="390"/>
      <c r="TVQ5" s="390"/>
      <c r="TVR5" s="390"/>
      <c r="TVS5" s="390"/>
      <c r="TVT5" s="390"/>
      <c r="TVU5" s="390"/>
      <c r="TVV5" s="390"/>
      <c r="TVW5" s="390"/>
      <c r="TVX5" s="390"/>
      <c r="TVY5" s="390"/>
      <c r="TVZ5" s="390"/>
      <c r="TWA5" s="390"/>
      <c r="TWB5" s="390"/>
      <c r="TWC5" s="390"/>
      <c r="TWD5" s="390"/>
      <c r="TWE5" s="390"/>
      <c r="TWF5" s="390"/>
      <c r="TWG5" s="390"/>
      <c r="TWH5" s="390"/>
      <c r="TWI5" s="390"/>
      <c r="TWJ5" s="390"/>
      <c r="TWK5" s="390"/>
      <c r="TWL5" s="390"/>
      <c r="TWM5" s="390"/>
      <c r="TWN5" s="390"/>
      <c r="TWO5" s="390"/>
      <c r="TWP5" s="390"/>
      <c r="TWQ5" s="390"/>
      <c r="TWR5" s="390"/>
      <c r="TWS5" s="390"/>
      <c r="TWT5" s="390"/>
      <c r="TWU5" s="390"/>
      <c r="TWV5" s="390"/>
      <c r="TWW5" s="390"/>
      <c r="TWX5" s="390"/>
      <c r="TWY5" s="390"/>
      <c r="TWZ5" s="390"/>
      <c r="TXA5" s="390"/>
      <c r="TXB5" s="390"/>
      <c r="TXC5" s="390"/>
      <c r="TXD5" s="390"/>
      <c r="TXE5" s="390"/>
      <c r="TXF5" s="390"/>
      <c r="TXG5" s="390"/>
      <c r="TXH5" s="390"/>
      <c r="TXI5" s="390"/>
      <c r="TXJ5" s="390"/>
      <c r="TXK5" s="390"/>
      <c r="TXL5" s="390"/>
      <c r="TXM5" s="390"/>
      <c r="TXN5" s="390"/>
      <c r="TXO5" s="390"/>
      <c r="TXP5" s="390"/>
      <c r="TXQ5" s="390"/>
      <c r="TXR5" s="390"/>
      <c r="TXS5" s="390"/>
      <c r="TXT5" s="390"/>
      <c r="TXU5" s="390"/>
      <c r="TXV5" s="390"/>
      <c r="TXW5" s="390"/>
      <c r="TXX5" s="390"/>
      <c r="TXY5" s="390"/>
      <c r="TXZ5" s="390"/>
      <c r="TYA5" s="390"/>
      <c r="TYB5" s="390"/>
      <c r="TYC5" s="390"/>
      <c r="TYD5" s="390"/>
      <c r="TYE5" s="390"/>
      <c r="TYF5" s="390"/>
      <c r="TYG5" s="390"/>
      <c r="TYH5" s="390"/>
      <c r="TYI5" s="390"/>
      <c r="TYJ5" s="390"/>
      <c r="TYK5" s="390"/>
      <c r="TYL5" s="390"/>
      <c r="TYM5" s="390"/>
      <c r="TYN5" s="390"/>
      <c r="TYO5" s="390"/>
      <c r="TYP5" s="390"/>
      <c r="TYQ5" s="390"/>
      <c r="TYR5" s="390"/>
      <c r="TYS5" s="390"/>
      <c r="TYT5" s="390"/>
      <c r="TYU5" s="390"/>
      <c r="TYV5" s="390"/>
      <c r="TYW5" s="390"/>
      <c r="TYX5" s="390"/>
      <c r="TYY5" s="390"/>
      <c r="TYZ5" s="390"/>
      <c r="TZA5" s="390"/>
      <c r="TZB5" s="390"/>
      <c r="TZC5" s="390"/>
      <c r="TZD5" s="390"/>
      <c r="TZE5" s="390"/>
      <c r="TZF5" s="390"/>
      <c r="TZG5" s="390"/>
      <c r="TZH5" s="390"/>
      <c r="TZI5" s="390"/>
      <c r="TZJ5" s="390"/>
      <c r="TZK5" s="390"/>
      <c r="TZL5" s="390"/>
      <c r="TZM5" s="390"/>
      <c r="TZN5" s="390"/>
      <c r="TZO5" s="390"/>
      <c r="TZP5" s="390"/>
      <c r="TZQ5" s="390"/>
      <c r="TZR5" s="390"/>
      <c r="TZS5" s="390"/>
      <c r="TZT5" s="390"/>
      <c r="TZU5" s="390"/>
      <c r="TZV5" s="390"/>
      <c r="TZW5" s="390"/>
      <c r="TZX5" s="390"/>
      <c r="TZY5" s="390"/>
      <c r="TZZ5" s="390"/>
      <c r="UAA5" s="390"/>
      <c r="UAB5" s="390"/>
      <c r="UAC5" s="390"/>
      <c r="UAD5" s="390"/>
      <c r="UAE5" s="390"/>
      <c r="UAF5" s="390"/>
      <c r="UAG5" s="390"/>
      <c r="UAH5" s="390"/>
      <c r="UAI5" s="390"/>
      <c r="UAJ5" s="390"/>
      <c r="UAK5" s="390"/>
      <c r="UAL5" s="390"/>
      <c r="UAM5" s="390"/>
      <c r="UAN5" s="390"/>
      <c r="UAO5" s="390"/>
      <c r="UAP5" s="390"/>
      <c r="UAQ5" s="390"/>
      <c r="UAR5" s="390"/>
      <c r="UAS5" s="390"/>
      <c r="UAT5" s="390"/>
      <c r="UAU5" s="390"/>
      <c r="UAV5" s="390"/>
      <c r="UAW5" s="390"/>
      <c r="UAX5" s="390"/>
      <c r="UAY5" s="390"/>
      <c r="UAZ5" s="390"/>
      <c r="UBA5" s="390"/>
      <c r="UBB5" s="390"/>
      <c r="UBC5" s="390"/>
      <c r="UBD5" s="390"/>
      <c r="UBE5" s="390"/>
      <c r="UBF5" s="390"/>
      <c r="UBG5" s="390"/>
      <c r="UBH5" s="390"/>
      <c r="UBI5" s="390"/>
      <c r="UBJ5" s="390"/>
      <c r="UBK5" s="390"/>
      <c r="UBL5" s="390"/>
      <c r="UBM5" s="390"/>
      <c r="UBN5" s="390"/>
      <c r="UBO5" s="390"/>
      <c r="UBP5" s="390"/>
      <c r="UBQ5" s="390"/>
      <c r="UBR5" s="390"/>
      <c r="UBS5" s="390"/>
      <c r="UBT5" s="390"/>
      <c r="UBU5" s="390"/>
      <c r="UBV5" s="390"/>
      <c r="UBW5" s="390"/>
      <c r="UBX5" s="390"/>
      <c r="UBY5" s="390"/>
      <c r="UBZ5" s="390"/>
      <c r="UCA5" s="390"/>
      <c r="UCB5" s="390"/>
      <c r="UCC5" s="390"/>
      <c r="UCD5" s="390"/>
      <c r="UCE5" s="390"/>
      <c r="UCF5" s="390"/>
      <c r="UCG5" s="390"/>
      <c r="UCH5" s="390"/>
      <c r="UCI5" s="390"/>
      <c r="UCJ5" s="390"/>
      <c r="UCK5" s="390"/>
      <c r="UCL5" s="390"/>
      <c r="UCM5" s="390"/>
      <c r="UCN5" s="390"/>
      <c r="UCO5" s="390"/>
      <c r="UCP5" s="390"/>
      <c r="UCQ5" s="390"/>
      <c r="UCR5" s="390"/>
      <c r="UCS5" s="390"/>
      <c r="UCT5" s="390"/>
      <c r="UCU5" s="390"/>
      <c r="UCV5" s="390"/>
      <c r="UCW5" s="390"/>
      <c r="UCX5" s="390"/>
      <c r="UCY5" s="390"/>
      <c r="UCZ5" s="390"/>
      <c r="UDA5" s="390"/>
      <c r="UDB5" s="390"/>
      <c r="UDC5" s="390"/>
      <c r="UDD5" s="390"/>
      <c r="UDE5" s="390"/>
      <c r="UDF5" s="390"/>
      <c r="UDG5" s="390"/>
      <c r="UDH5" s="390"/>
      <c r="UDI5" s="390"/>
      <c r="UDJ5" s="390"/>
      <c r="UDK5" s="390"/>
      <c r="UDL5" s="390"/>
      <c r="UDM5" s="390"/>
      <c r="UDN5" s="390"/>
      <c r="UDO5" s="390"/>
      <c r="UDP5" s="390"/>
      <c r="UDQ5" s="390"/>
      <c r="UDR5" s="390"/>
      <c r="UDS5" s="390"/>
      <c r="UDT5" s="390"/>
      <c r="UDU5" s="390"/>
      <c r="UDV5" s="390"/>
      <c r="UDW5" s="390"/>
      <c r="UDX5" s="390"/>
      <c r="UDY5" s="390"/>
      <c r="UDZ5" s="390"/>
      <c r="UEA5" s="390"/>
      <c r="UEB5" s="390"/>
      <c r="UEC5" s="390"/>
      <c r="UED5" s="390"/>
      <c r="UEE5" s="390"/>
      <c r="UEF5" s="390"/>
      <c r="UEG5" s="390"/>
      <c r="UEH5" s="390"/>
      <c r="UEI5" s="390"/>
      <c r="UEJ5" s="390"/>
      <c r="UEK5" s="390"/>
      <c r="UEL5" s="390"/>
      <c r="UEM5" s="390"/>
      <c r="UEN5" s="390"/>
      <c r="UEO5" s="390"/>
      <c r="UEP5" s="390"/>
      <c r="UEQ5" s="390"/>
      <c r="UER5" s="390"/>
      <c r="UES5" s="390"/>
      <c r="UET5" s="390"/>
      <c r="UEU5" s="390"/>
      <c r="UEV5" s="390"/>
      <c r="UEW5" s="390"/>
      <c r="UEX5" s="390"/>
      <c r="UEY5" s="390"/>
      <c r="UEZ5" s="390"/>
      <c r="UFA5" s="390"/>
      <c r="UFB5" s="390"/>
      <c r="UFC5" s="390"/>
      <c r="UFD5" s="390"/>
      <c r="UFE5" s="390"/>
      <c r="UFF5" s="390"/>
      <c r="UFG5" s="390"/>
      <c r="UFH5" s="390"/>
      <c r="UFI5" s="390"/>
      <c r="UFJ5" s="390"/>
      <c r="UFK5" s="390"/>
      <c r="UFL5" s="390"/>
      <c r="UFM5" s="390"/>
      <c r="UFN5" s="390"/>
      <c r="UFO5" s="390"/>
      <c r="UFP5" s="390"/>
      <c r="UFQ5" s="390"/>
      <c r="UFR5" s="390"/>
      <c r="UFS5" s="390"/>
      <c r="UFT5" s="390"/>
      <c r="UFU5" s="390"/>
      <c r="UFV5" s="390"/>
      <c r="UFW5" s="390"/>
      <c r="UFX5" s="390"/>
      <c r="UFY5" s="390"/>
      <c r="UFZ5" s="390"/>
      <c r="UGA5" s="390"/>
      <c r="UGB5" s="390"/>
      <c r="UGC5" s="390"/>
      <c r="UGD5" s="390"/>
      <c r="UGE5" s="390"/>
      <c r="UGF5" s="390"/>
      <c r="UGG5" s="390"/>
      <c r="UGH5" s="390"/>
      <c r="UGI5" s="390"/>
      <c r="UGJ5" s="390"/>
      <c r="UGK5" s="390"/>
      <c r="UGL5" s="390"/>
      <c r="UGM5" s="390"/>
      <c r="UGN5" s="390"/>
      <c r="UGO5" s="390"/>
      <c r="UGP5" s="390"/>
      <c r="UGQ5" s="390"/>
      <c r="UGR5" s="390"/>
      <c r="UGS5" s="390"/>
      <c r="UGT5" s="390"/>
      <c r="UGU5" s="390"/>
      <c r="UGV5" s="390"/>
      <c r="UGW5" s="390"/>
      <c r="UGX5" s="390"/>
      <c r="UGY5" s="390"/>
      <c r="UGZ5" s="390"/>
      <c r="UHA5" s="390"/>
      <c r="UHB5" s="390"/>
      <c r="UHC5" s="390"/>
      <c r="UHD5" s="390"/>
      <c r="UHE5" s="390"/>
      <c r="UHF5" s="390"/>
      <c r="UHG5" s="390"/>
      <c r="UHH5" s="390"/>
      <c r="UHI5" s="390"/>
      <c r="UHJ5" s="390"/>
      <c r="UHK5" s="390"/>
      <c r="UHL5" s="390"/>
      <c r="UHM5" s="390"/>
      <c r="UHN5" s="390"/>
      <c r="UHO5" s="390"/>
      <c r="UHP5" s="390"/>
      <c r="UHQ5" s="390"/>
      <c r="UHR5" s="390"/>
      <c r="UHS5" s="390"/>
      <c r="UHT5" s="390"/>
      <c r="UHU5" s="390"/>
      <c r="UHV5" s="390"/>
      <c r="UHW5" s="390"/>
      <c r="UHX5" s="390"/>
      <c r="UHY5" s="390"/>
      <c r="UHZ5" s="390"/>
      <c r="UIA5" s="390"/>
      <c r="UIB5" s="390"/>
      <c r="UIC5" s="390"/>
      <c r="UID5" s="390"/>
      <c r="UIE5" s="390"/>
      <c r="UIF5" s="390"/>
      <c r="UIG5" s="390"/>
      <c r="UIH5" s="390"/>
      <c r="UII5" s="390"/>
      <c r="UIJ5" s="390"/>
      <c r="UIK5" s="390"/>
      <c r="UIL5" s="390"/>
      <c r="UIM5" s="390"/>
      <c r="UIN5" s="390"/>
      <c r="UIO5" s="390"/>
      <c r="UIP5" s="390"/>
      <c r="UIQ5" s="390"/>
      <c r="UIR5" s="390"/>
      <c r="UIS5" s="390"/>
      <c r="UIT5" s="390"/>
      <c r="UIU5" s="390"/>
      <c r="UIV5" s="390"/>
      <c r="UIW5" s="390"/>
      <c r="UIX5" s="390"/>
      <c r="UIY5" s="390"/>
      <c r="UIZ5" s="390"/>
      <c r="UJA5" s="390"/>
      <c r="UJB5" s="390"/>
      <c r="UJC5" s="390"/>
      <c r="UJD5" s="390"/>
      <c r="UJE5" s="390"/>
      <c r="UJF5" s="390"/>
      <c r="UJG5" s="390"/>
      <c r="UJH5" s="390"/>
      <c r="UJI5" s="390"/>
      <c r="UJJ5" s="390"/>
      <c r="UJK5" s="390"/>
      <c r="UJL5" s="390"/>
      <c r="UJM5" s="390"/>
      <c r="UJN5" s="390"/>
      <c r="UJO5" s="390"/>
      <c r="UJP5" s="390"/>
      <c r="UJQ5" s="390"/>
      <c r="UJR5" s="390"/>
      <c r="UJS5" s="390"/>
      <c r="UJT5" s="390"/>
      <c r="UJU5" s="390"/>
      <c r="UJV5" s="390"/>
      <c r="UJW5" s="390"/>
      <c r="UJX5" s="390"/>
      <c r="UJY5" s="390"/>
      <c r="UJZ5" s="390"/>
      <c r="UKA5" s="390"/>
      <c r="UKB5" s="390"/>
      <c r="UKC5" s="390"/>
      <c r="UKD5" s="390"/>
      <c r="UKE5" s="390"/>
      <c r="UKF5" s="390"/>
      <c r="UKG5" s="390"/>
      <c r="UKH5" s="390"/>
      <c r="UKI5" s="390"/>
      <c r="UKJ5" s="390"/>
      <c r="UKK5" s="390"/>
      <c r="UKL5" s="390"/>
      <c r="UKM5" s="390"/>
      <c r="UKN5" s="390"/>
      <c r="UKO5" s="390"/>
      <c r="UKP5" s="390"/>
      <c r="UKQ5" s="390"/>
      <c r="UKR5" s="390"/>
      <c r="UKS5" s="390"/>
      <c r="UKT5" s="390"/>
      <c r="UKU5" s="390"/>
      <c r="UKV5" s="390"/>
      <c r="UKW5" s="390"/>
      <c r="UKX5" s="390"/>
      <c r="UKY5" s="390"/>
      <c r="UKZ5" s="390"/>
      <c r="ULA5" s="390"/>
      <c r="ULB5" s="390"/>
      <c r="ULC5" s="390"/>
      <c r="ULD5" s="390"/>
      <c r="ULE5" s="390"/>
      <c r="ULF5" s="390"/>
      <c r="ULG5" s="390"/>
      <c r="ULH5" s="390"/>
      <c r="ULI5" s="390"/>
      <c r="ULJ5" s="390"/>
      <c r="ULK5" s="390"/>
      <c r="ULL5" s="390"/>
      <c r="ULM5" s="390"/>
      <c r="ULN5" s="390"/>
      <c r="ULO5" s="390"/>
      <c r="ULP5" s="390"/>
      <c r="ULQ5" s="390"/>
      <c r="ULR5" s="390"/>
      <c r="ULS5" s="390"/>
      <c r="ULT5" s="390"/>
      <c r="ULU5" s="390"/>
      <c r="ULV5" s="390"/>
      <c r="ULW5" s="390"/>
      <c r="ULX5" s="390"/>
      <c r="ULY5" s="390"/>
      <c r="ULZ5" s="390"/>
      <c r="UMA5" s="390"/>
      <c r="UMB5" s="390"/>
      <c r="UMC5" s="390"/>
      <c r="UMD5" s="390"/>
      <c r="UME5" s="390"/>
      <c r="UMF5" s="390"/>
      <c r="UMG5" s="390"/>
      <c r="UMH5" s="390"/>
      <c r="UMI5" s="390"/>
      <c r="UMJ5" s="390"/>
      <c r="UMK5" s="390"/>
      <c r="UML5" s="390"/>
      <c r="UMM5" s="390"/>
      <c r="UMN5" s="390"/>
      <c r="UMO5" s="390"/>
      <c r="UMP5" s="390"/>
      <c r="UMQ5" s="390"/>
      <c r="UMR5" s="390"/>
      <c r="UMS5" s="390"/>
      <c r="UMT5" s="390"/>
      <c r="UMU5" s="390"/>
      <c r="UMV5" s="390"/>
      <c r="UMW5" s="390"/>
      <c r="UMX5" s="390"/>
      <c r="UMY5" s="390"/>
      <c r="UMZ5" s="390"/>
      <c r="UNA5" s="390"/>
      <c r="UNB5" s="390"/>
      <c r="UNC5" s="390"/>
      <c r="UND5" s="390"/>
      <c r="UNE5" s="390"/>
      <c r="UNF5" s="390"/>
      <c r="UNG5" s="390"/>
      <c r="UNH5" s="390"/>
      <c r="UNI5" s="390"/>
      <c r="UNJ5" s="390"/>
      <c r="UNK5" s="390"/>
      <c r="UNL5" s="390"/>
      <c r="UNM5" s="390"/>
      <c r="UNN5" s="390"/>
      <c r="UNO5" s="390"/>
      <c r="UNP5" s="390"/>
      <c r="UNQ5" s="390"/>
      <c r="UNR5" s="390"/>
      <c r="UNS5" s="390"/>
      <c r="UNT5" s="390"/>
      <c r="UNU5" s="390"/>
      <c r="UNV5" s="390"/>
      <c r="UNW5" s="390"/>
      <c r="UNX5" s="390"/>
      <c r="UNY5" s="390"/>
      <c r="UNZ5" s="390"/>
      <c r="UOA5" s="390"/>
      <c r="UOB5" s="390"/>
      <c r="UOC5" s="390"/>
      <c r="UOD5" s="390"/>
      <c r="UOE5" s="390"/>
      <c r="UOF5" s="390"/>
      <c r="UOG5" s="390"/>
      <c r="UOH5" s="390"/>
      <c r="UOI5" s="390"/>
      <c r="UOJ5" s="390"/>
      <c r="UOK5" s="390"/>
      <c r="UOL5" s="390"/>
      <c r="UOM5" s="390"/>
      <c r="UON5" s="390"/>
      <c r="UOO5" s="390"/>
      <c r="UOP5" s="390"/>
      <c r="UOQ5" s="390"/>
      <c r="UOR5" s="390"/>
      <c r="UOS5" s="390"/>
      <c r="UOT5" s="390"/>
      <c r="UOU5" s="390"/>
      <c r="UOV5" s="390"/>
      <c r="UOW5" s="390"/>
      <c r="UOX5" s="390"/>
      <c r="UOY5" s="390"/>
      <c r="UOZ5" s="390"/>
      <c r="UPA5" s="390"/>
      <c r="UPB5" s="390"/>
      <c r="UPC5" s="390"/>
      <c r="UPD5" s="390"/>
      <c r="UPE5" s="390"/>
      <c r="UPF5" s="390"/>
      <c r="UPG5" s="390"/>
      <c r="UPH5" s="390"/>
      <c r="UPI5" s="390"/>
      <c r="UPJ5" s="390"/>
      <c r="UPK5" s="390"/>
      <c r="UPL5" s="390"/>
      <c r="UPM5" s="390"/>
      <c r="UPN5" s="390"/>
      <c r="UPO5" s="390"/>
      <c r="UPP5" s="390"/>
      <c r="UPQ5" s="390"/>
      <c r="UPR5" s="390"/>
      <c r="UPS5" s="390"/>
      <c r="UPT5" s="390"/>
      <c r="UPU5" s="390"/>
      <c r="UPV5" s="390"/>
      <c r="UPW5" s="390"/>
      <c r="UPX5" s="390"/>
      <c r="UPY5" s="390"/>
      <c r="UPZ5" s="390"/>
      <c r="UQA5" s="390"/>
      <c r="UQB5" s="390"/>
      <c r="UQC5" s="390"/>
      <c r="UQD5" s="390"/>
      <c r="UQE5" s="390"/>
      <c r="UQF5" s="390"/>
      <c r="UQG5" s="390"/>
      <c r="UQH5" s="390"/>
      <c r="UQI5" s="390"/>
      <c r="UQJ5" s="390"/>
      <c r="UQK5" s="390"/>
      <c r="UQL5" s="390"/>
      <c r="UQM5" s="390"/>
      <c r="UQN5" s="390"/>
      <c r="UQO5" s="390"/>
      <c r="UQP5" s="390"/>
      <c r="UQQ5" s="390"/>
      <c r="UQR5" s="390"/>
      <c r="UQS5" s="390"/>
      <c r="UQT5" s="390"/>
      <c r="UQU5" s="390"/>
      <c r="UQV5" s="390"/>
      <c r="UQW5" s="390"/>
      <c r="UQX5" s="390"/>
      <c r="UQY5" s="390"/>
      <c r="UQZ5" s="390"/>
      <c r="URA5" s="390"/>
      <c r="URB5" s="390"/>
      <c r="URC5" s="390"/>
      <c r="URD5" s="390"/>
      <c r="URE5" s="390"/>
      <c r="URF5" s="390"/>
      <c r="URG5" s="390"/>
      <c r="URH5" s="390"/>
      <c r="URI5" s="390"/>
      <c r="URJ5" s="390"/>
      <c r="URK5" s="390"/>
      <c r="URL5" s="390"/>
      <c r="URM5" s="390"/>
      <c r="URN5" s="390"/>
      <c r="URO5" s="390"/>
      <c r="URP5" s="390"/>
      <c r="URQ5" s="390"/>
      <c r="URR5" s="390"/>
      <c r="URS5" s="390"/>
      <c r="URT5" s="390"/>
      <c r="URU5" s="390"/>
      <c r="URV5" s="390"/>
      <c r="URW5" s="390"/>
      <c r="URX5" s="390"/>
      <c r="URY5" s="390"/>
      <c r="URZ5" s="390"/>
      <c r="USA5" s="390"/>
      <c r="USB5" s="390"/>
      <c r="USC5" s="390"/>
      <c r="USD5" s="390"/>
      <c r="USE5" s="390"/>
      <c r="USF5" s="390"/>
      <c r="USG5" s="390"/>
      <c r="USH5" s="390"/>
      <c r="USI5" s="390"/>
      <c r="USJ5" s="390"/>
      <c r="USK5" s="390"/>
      <c r="USL5" s="390"/>
      <c r="USM5" s="390"/>
      <c r="USN5" s="390"/>
      <c r="USO5" s="390"/>
      <c r="USP5" s="390"/>
      <c r="USQ5" s="390"/>
      <c r="USR5" s="390"/>
      <c r="USS5" s="390"/>
      <c r="UST5" s="390"/>
      <c r="USU5" s="390"/>
      <c r="USV5" s="390"/>
      <c r="USW5" s="390"/>
      <c r="USX5" s="390"/>
      <c r="USY5" s="390"/>
      <c r="USZ5" s="390"/>
      <c r="UTA5" s="390"/>
      <c r="UTB5" s="390"/>
      <c r="UTC5" s="390"/>
      <c r="UTD5" s="390"/>
      <c r="UTE5" s="390"/>
      <c r="UTF5" s="390"/>
      <c r="UTG5" s="390"/>
      <c r="UTH5" s="390"/>
      <c r="UTI5" s="390"/>
      <c r="UTJ5" s="390"/>
      <c r="UTK5" s="390"/>
      <c r="UTL5" s="390"/>
      <c r="UTM5" s="390"/>
      <c r="UTN5" s="390"/>
      <c r="UTO5" s="390"/>
      <c r="UTP5" s="390"/>
      <c r="UTQ5" s="390"/>
      <c r="UTR5" s="390"/>
      <c r="UTS5" s="390"/>
      <c r="UTT5" s="390"/>
      <c r="UTU5" s="390"/>
      <c r="UTV5" s="390"/>
      <c r="UTW5" s="390"/>
      <c r="UTX5" s="390"/>
      <c r="UTY5" s="390"/>
      <c r="UTZ5" s="390"/>
      <c r="UUA5" s="390"/>
      <c r="UUB5" s="390"/>
      <c r="UUC5" s="390"/>
      <c r="UUD5" s="390"/>
      <c r="UUE5" s="390"/>
      <c r="UUF5" s="390"/>
      <c r="UUG5" s="390"/>
      <c r="UUH5" s="390"/>
      <c r="UUI5" s="390"/>
      <c r="UUJ5" s="390"/>
      <c r="UUK5" s="390"/>
      <c r="UUL5" s="390"/>
      <c r="UUM5" s="390"/>
      <c r="UUN5" s="390"/>
      <c r="UUO5" s="390"/>
      <c r="UUP5" s="390"/>
      <c r="UUQ5" s="390"/>
      <c r="UUR5" s="390"/>
      <c r="UUS5" s="390"/>
      <c r="UUT5" s="390"/>
      <c r="UUU5" s="390"/>
      <c r="UUV5" s="390"/>
      <c r="UUW5" s="390"/>
      <c r="UUX5" s="390"/>
      <c r="UUY5" s="390"/>
      <c r="UUZ5" s="390"/>
      <c r="UVA5" s="390"/>
      <c r="UVB5" s="390"/>
      <c r="UVC5" s="390"/>
      <c r="UVD5" s="390"/>
      <c r="UVE5" s="390"/>
      <c r="UVF5" s="390"/>
      <c r="UVG5" s="390"/>
      <c r="UVH5" s="390"/>
      <c r="UVI5" s="390"/>
      <c r="UVJ5" s="390"/>
      <c r="UVK5" s="390"/>
      <c r="UVL5" s="390"/>
      <c r="UVM5" s="390"/>
      <c r="UVN5" s="390"/>
      <c r="UVO5" s="390"/>
      <c r="UVP5" s="390"/>
      <c r="UVQ5" s="390"/>
      <c r="UVR5" s="390"/>
      <c r="UVS5" s="390"/>
      <c r="UVT5" s="390"/>
      <c r="UVU5" s="390"/>
      <c r="UVV5" s="390"/>
      <c r="UVW5" s="390"/>
      <c r="UVX5" s="390"/>
      <c r="UVY5" s="390"/>
      <c r="UVZ5" s="390"/>
      <c r="UWA5" s="390"/>
      <c r="UWB5" s="390"/>
      <c r="UWC5" s="390"/>
      <c r="UWD5" s="390"/>
      <c r="UWE5" s="390"/>
      <c r="UWF5" s="390"/>
      <c r="UWG5" s="390"/>
      <c r="UWH5" s="390"/>
      <c r="UWI5" s="390"/>
      <c r="UWJ5" s="390"/>
      <c r="UWK5" s="390"/>
      <c r="UWL5" s="390"/>
      <c r="UWM5" s="390"/>
      <c r="UWN5" s="390"/>
      <c r="UWO5" s="390"/>
      <c r="UWP5" s="390"/>
      <c r="UWQ5" s="390"/>
      <c r="UWR5" s="390"/>
      <c r="UWS5" s="390"/>
      <c r="UWT5" s="390"/>
      <c r="UWU5" s="390"/>
      <c r="UWV5" s="390"/>
      <c r="UWW5" s="390"/>
      <c r="UWX5" s="390"/>
      <c r="UWY5" s="390"/>
      <c r="UWZ5" s="390"/>
      <c r="UXA5" s="390"/>
      <c r="UXB5" s="390"/>
      <c r="UXC5" s="390"/>
      <c r="UXD5" s="390"/>
      <c r="UXE5" s="390"/>
      <c r="UXF5" s="390"/>
      <c r="UXG5" s="390"/>
      <c r="UXH5" s="390"/>
      <c r="UXI5" s="390"/>
      <c r="UXJ5" s="390"/>
      <c r="UXK5" s="390"/>
      <c r="UXL5" s="390"/>
      <c r="UXM5" s="390"/>
      <c r="UXN5" s="390"/>
      <c r="UXO5" s="390"/>
      <c r="UXP5" s="390"/>
      <c r="UXQ5" s="390"/>
      <c r="UXR5" s="390"/>
      <c r="UXS5" s="390"/>
      <c r="UXT5" s="390"/>
      <c r="UXU5" s="390"/>
      <c r="UXV5" s="390"/>
      <c r="UXW5" s="390"/>
      <c r="UXX5" s="390"/>
      <c r="UXY5" s="390"/>
      <c r="UXZ5" s="390"/>
      <c r="UYA5" s="390"/>
      <c r="UYB5" s="390"/>
      <c r="UYC5" s="390"/>
      <c r="UYD5" s="390"/>
      <c r="UYE5" s="390"/>
      <c r="UYF5" s="390"/>
      <c r="UYG5" s="390"/>
      <c r="UYH5" s="390"/>
      <c r="UYI5" s="390"/>
      <c r="UYJ5" s="390"/>
      <c r="UYK5" s="390"/>
      <c r="UYL5" s="390"/>
      <c r="UYM5" s="390"/>
      <c r="UYN5" s="390"/>
      <c r="UYO5" s="390"/>
      <c r="UYP5" s="390"/>
      <c r="UYQ5" s="390"/>
      <c r="UYR5" s="390"/>
      <c r="UYS5" s="390"/>
      <c r="UYT5" s="390"/>
      <c r="UYU5" s="390"/>
      <c r="UYV5" s="390"/>
      <c r="UYW5" s="390"/>
      <c r="UYX5" s="390"/>
      <c r="UYY5" s="390"/>
      <c r="UYZ5" s="390"/>
      <c r="UZA5" s="390"/>
      <c r="UZB5" s="390"/>
      <c r="UZC5" s="390"/>
      <c r="UZD5" s="390"/>
      <c r="UZE5" s="390"/>
      <c r="UZF5" s="390"/>
      <c r="UZG5" s="390"/>
      <c r="UZH5" s="390"/>
      <c r="UZI5" s="390"/>
      <c r="UZJ5" s="390"/>
      <c r="UZK5" s="390"/>
      <c r="UZL5" s="390"/>
      <c r="UZM5" s="390"/>
      <c r="UZN5" s="390"/>
      <c r="UZO5" s="390"/>
      <c r="UZP5" s="390"/>
      <c r="UZQ5" s="390"/>
      <c r="UZR5" s="390"/>
      <c r="UZS5" s="390"/>
      <c r="UZT5" s="390"/>
      <c r="UZU5" s="390"/>
      <c r="UZV5" s="390"/>
      <c r="UZW5" s="390"/>
      <c r="UZX5" s="390"/>
      <c r="UZY5" s="390"/>
      <c r="UZZ5" s="390"/>
      <c r="VAA5" s="390"/>
      <c r="VAB5" s="390"/>
      <c r="VAC5" s="390"/>
      <c r="VAD5" s="390"/>
      <c r="VAE5" s="390"/>
      <c r="VAF5" s="390"/>
      <c r="VAG5" s="390"/>
      <c r="VAH5" s="390"/>
      <c r="VAI5" s="390"/>
      <c r="VAJ5" s="390"/>
      <c r="VAK5" s="390"/>
      <c r="VAL5" s="390"/>
      <c r="VAM5" s="390"/>
      <c r="VAN5" s="390"/>
      <c r="VAO5" s="390"/>
      <c r="VAP5" s="390"/>
      <c r="VAQ5" s="390"/>
      <c r="VAR5" s="390"/>
      <c r="VAS5" s="390"/>
      <c r="VAT5" s="390"/>
      <c r="VAU5" s="390"/>
      <c r="VAV5" s="390"/>
      <c r="VAW5" s="390"/>
      <c r="VAX5" s="390"/>
      <c r="VAY5" s="390"/>
      <c r="VAZ5" s="390"/>
      <c r="VBA5" s="390"/>
      <c r="VBB5" s="390"/>
      <c r="VBC5" s="390"/>
      <c r="VBD5" s="390"/>
      <c r="VBE5" s="390"/>
      <c r="VBF5" s="390"/>
      <c r="VBG5" s="390"/>
      <c r="VBH5" s="390"/>
      <c r="VBI5" s="390"/>
      <c r="VBJ5" s="390"/>
      <c r="VBK5" s="390"/>
      <c r="VBL5" s="390"/>
      <c r="VBM5" s="390"/>
      <c r="VBN5" s="390"/>
      <c r="VBO5" s="390"/>
      <c r="VBP5" s="390"/>
      <c r="VBQ5" s="390"/>
      <c r="VBR5" s="390"/>
      <c r="VBS5" s="390"/>
      <c r="VBT5" s="390"/>
      <c r="VBU5" s="390"/>
      <c r="VBV5" s="390"/>
      <c r="VBW5" s="390"/>
      <c r="VBX5" s="390"/>
      <c r="VBY5" s="390"/>
      <c r="VBZ5" s="390"/>
      <c r="VCA5" s="390"/>
      <c r="VCB5" s="390"/>
      <c r="VCC5" s="390"/>
      <c r="VCD5" s="390"/>
      <c r="VCE5" s="390"/>
      <c r="VCF5" s="390"/>
      <c r="VCG5" s="390"/>
      <c r="VCH5" s="390"/>
      <c r="VCI5" s="390"/>
      <c r="VCJ5" s="390"/>
      <c r="VCK5" s="390"/>
      <c r="VCL5" s="390"/>
      <c r="VCM5" s="390"/>
      <c r="VCN5" s="390"/>
      <c r="VCO5" s="390"/>
      <c r="VCP5" s="390"/>
      <c r="VCQ5" s="390"/>
      <c r="VCR5" s="390"/>
      <c r="VCS5" s="390"/>
      <c r="VCT5" s="390"/>
      <c r="VCU5" s="390"/>
      <c r="VCV5" s="390"/>
      <c r="VCW5" s="390"/>
      <c r="VCX5" s="390"/>
      <c r="VCY5" s="390"/>
      <c r="VCZ5" s="390"/>
      <c r="VDA5" s="390"/>
      <c r="VDB5" s="390"/>
      <c r="VDC5" s="390"/>
      <c r="VDD5" s="390"/>
      <c r="VDE5" s="390"/>
      <c r="VDF5" s="390"/>
      <c r="VDG5" s="390"/>
      <c r="VDH5" s="390"/>
      <c r="VDI5" s="390"/>
      <c r="VDJ5" s="390"/>
      <c r="VDK5" s="390"/>
      <c r="VDL5" s="390"/>
      <c r="VDM5" s="390"/>
      <c r="VDN5" s="390"/>
      <c r="VDO5" s="390"/>
      <c r="VDP5" s="390"/>
      <c r="VDQ5" s="390"/>
      <c r="VDR5" s="390"/>
      <c r="VDS5" s="390"/>
      <c r="VDT5" s="390"/>
      <c r="VDU5" s="390"/>
      <c r="VDV5" s="390"/>
      <c r="VDW5" s="390"/>
      <c r="VDX5" s="390"/>
      <c r="VDY5" s="390"/>
      <c r="VDZ5" s="390"/>
      <c r="VEA5" s="390"/>
      <c r="VEB5" s="390"/>
      <c r="VEC5" s="390"/>
      <c r="VED5" s="390"/>
      <c r="VEE5" s="390"/>
      <c r="VEF5" s="390"/>
      <c r="VEG5" s="390"/>
      <c r="VEH5" s="390"/>
      <c r="VEI5" s="390"/>
      <c r="VEJ5" s="390"/>
      <c r="VEK5" s="390"/>
      <c r="VEL5" s="390"/>
      <c r="VEM5" s="390"/>
      <c r="VEN5" s="390"/>
      <c r="VEO5" s="390"/>
      <c r="VEP5" s="390"/>
      <c r="VEQ5" s="390"/>
      <c r="VER5" s="390"/>
      <c r="VES5" s="390"/>
      <c r="VET5" s="390"/>
      <c r="VEU5" s="390"/>
      <c r="VEV5" s="390"/>
      <c r="VEW5" s="390"/>
      <c r="VEX5" s="390"/>
      <c r="VEY5" s="390"/>
      <c r="VEZ5" s="390"/>
      <c r="VFA5" s="390"/>
      <c r="VFB5" s="390"/>
      <c r="VFC5" s="390"/>
      <c r="VFD5" s="390"/>
      <c r="VFE5" s="390"/>
      <c r="VFF5" s="390"/>
      <c r="VFG5" s="390"/>
      <c r="VFH5" s="390"/>
      <c r="VFI5" s="390"/>
      <c r="VFJ5" s="390"/>
      <c r="VFK5" s="390"/>
      <c r="VFL5" s="390"/>
      <c r="VFM5" s="390"/>
      <c r="VFN5" s="390"/>
      <c r="VFO5" s="390"/>
      <c r="VFP5" s="390"/>
      <c r="VFQ5" s="390"/>
      <c r="VFR5" s="390"/>
      <c r="VFS5" s="390"/>
      <c r="VFT5" s="390"/>
      <c r="VFU5" s="390"/>
      <c r="VFV5" s="390"/>
      <c r="VFW5" s="390"/>
      <c r="VFX5" s="390"/>
      <c r="VFY5" s="390"/>
      <c r="VFZ5" s="390"/>
      <c r="VGA5" s="390"/>
      <c r="VGB5" s="390"/>
      <c r="VGC5" s="390"/>
      <c r="VGD5" s="390"/>
      <c r="VGE5" s="390"/>
      <c r="VGF5" s="390"/>
      <c r="VGG5" s="390"/>
      <c r="VGH5" s="390"/>
      <c r="VGI5" s="390"/>
      <c r="VGJ5" s="390"/>
      <c r="VGK5" s="390"/>
      <c r="VGL5" s="390"/>
      <c r="VGM5" s="390"/>
      <c r="VGN5" s="390"/>
      <c r="VGO5" s="390"/>
      <c r="VGP5" s="390"/>
      <c r="VGQ5" s="390"/>
      <c r="VGR5" s="390"/>
      <c r="VGS5" s="390"/>
      <c r="VGT5" s="390"/>
      <c r="VGU5" s="390"/>
      <c r="VGV5" s="390"/>
      <c r="VGW5" s="390"/>
      <c r="VGX5" s="390"/>
      <c r="VGY5" s="390"/>
      <c r="VGZ5" s="390"/>
      <c r="VHA5" s="390"/>
      <c r="VHB5" s="390"/>
      <c r="VHC5" s="390"/>
      <c r="VHD5" s="390"/>
      <c r="VHE5" s="390"/>
      <c r="VHF5" s="390"/>
      <c r="VHG5" s="390"/>
      <c r="VHH5" s="390"/>
      <c r="VHI5" s="390"/>
      <c r="VHJ5" s="390"/>
      <c r="VHK5" s="390"/>
      <c r="VHL5" s="390"/>
      <c r="VHM5" s="390"/>
      <c r="VHN5" s="390"/>
      <c r="VHO5" s="390"/>
      <c r="VHP5" s="390"/>
      <c r="VHQ5" s="390"/>
      <c r="VHR5" s="390"/>
      <c r="VHS5" s="390"/>
      <c r="VHT5" s="390"/>
      <c r="VHU5" s="390"/>
      <c r="VHV5" s="390"/>
      <c r="VHW5" s="390"/>
      <c r="VHX5" s="390"/>
      <c r="VHY5" s="390"/>
      <c r="VHZ5" s="390"/>
      <c r="VIA5" s="390"/>
      <c r="VIB5" s="390"/>
      <c r="VIC5" s="390"/>
      <c r="VID5" s="390"/>
      <c r="VIE5" s="390"/>
      <c r="VIF5" s="390"/>
      <c r="VIG5" s="390"/>
      <c r="VIH5" s="390"/>
      <c r="VII5" s="390"/>
      <c r="VIJ5" s="390"/>
      <c r="VIK5" s="390"/>
      <c r="VIL5" s="390"/>
      <c r="VIM5" s="390"/>
      <c r="VIN5" s="390"/>
      <c r="VIO5" s="390"/>
      <c r="VIP5" s="390"/>
      <c r="VIQ5" s="390"/>
      <c r="VIR5" s="390"/>
      <c r="VIS5" s="390"/>
      <c r="VIT5" s="390"/>
      <c r="VIU5" s="390"/>
      <c r="VIV5" s="390"/>
      <c r="VIW5" s="390"/>
      <c r="VIX5" s="390"/>
      <c r="VIY5" s="390"/>
      <c r="VIZ5" s="390"/>
      <c r="VJA5" s="390"/>
      <c r="VJB5" s="390"/>
      <c r="VJC5" s="390"/>
      <c r="VJD5" s="390"/>
      <c r="VJE5" s="390"/>
      <c r="VJF5" s="390"/>
      <c r="VJG5" s="390"/>
      <c r="VJH5" s="390"/>
      <c r="VJI5" s="390"/>
      <c r="VJJ5" s="390"/>
      <c r="VJK5" s="390"/>
      <c r="VJL5" s="390"/>
      <c r="VJM5" s="390"/>
      <c r="VJN5" s="390"/>
      <c r="VJO5" s="390"/>
      <c r="VJP5" s="390"/>
      <c r="VJQ5" s="390"/>
      <c r="VJR5" s="390"/>
      <c r="VJS5" s="390"/>
      <c r="VJT5" s="390"/>
      <c r="VJU5" s="390"/>
      <c r="VJV5" s="390"/>
      <c r="VJW5" s="390"/>
      <c r="VJX5" s="390"/>
      <c r="VJY5" s="390"/>
      <c r="VJZ5" s="390"/>
      <c r="VKA5" s="390"/>
      <c r="VKB5" s="390"/>
      <c r="VKC5" s="390"/>
      <c r="VKD5" s="390"/>
      <c r="VKE5" s="390"/>
      <c r="VKF5" s="390"/>
      <c r="VKG5" s="390"/>
      <c r="VKH5" s="390"/>
      <c r="VKI5" s="390"/>
      <c r="VKJ5" s="390"/>
      <c r="VKK5" s="390"/>
      <c r="VKL5" s="390"/>
      <c r="VKM5" s="390"/>
      <c r="VKN5" s="390"/>
      <c r="VKO5" s="390"/>
      <c r="VKP5" s="390"/>
      <c r="VKQ5" s="390"/>
      <c r="VKR5" s="390"/>
      <c r="VKS5" s="390"/>
      <c r="VKT5" s="390"/>
      <c r="VKU5" s="390"/>
      <c r="VKV5" s="390"/>
      <c r="VKW5" s="390"/>
      <c r="VKX5" s="390"/>
      <c r="VKY5" s="390"/>
      <c r="VKZ5" s="390"/>
      <c r="VLA5" s="390"/>
      <c r="VLB5" s="390"/>
      <c r="VLC5" s="390"/>
      <c r="VLD5" s="390"/>
      <c r="VLE5" s="390"/>
      <c r="VLF5" s="390"/>
      <c r="VLG5" s="390"/>
      <c r="VLH5" s="390"/>
      <c r="VLI5" s="390"/>
      <c r="VLJ5" s="390"/>
      <c r="VLK5" s="390"/>
      <c r="VLL5" s="390"/>
      <c r="VLM5" s="390"/>
      <c r="VLN5" s="390"/>
      <c r="VLO5" s="390"/>
      <c r="VLP5" s="390"/>
      <c r="VLQ5" s="390"/>
      <c r="VLR5" s="390"/>
      <c r="VLS5" s="390"/>
      <c r="VLT5" s="390"/>
      <c r="VLU5" s="390"/>
      <c r="VLV5" s="390"/>
      <c r="VLW5" s="390"/>
      <c r="VLX5" s="390"/>
      <c r="VLY5" s="390"/>
      <c r="VLZ5" s="390"/>
      <c r="VMA5" s="390"/>
      <c r="VMB5" s="390"/>
      <c r="VMC5" s="390"/>
      <c r="VMD5" s="390"/>
      <c r="VME5" s="390"/>
      <c r="VMF5" s="390"/>
      <c r="VMG5" s="390"/>
      <c r="VMH5" s="390"/>
      <c r="VMI5" s="390"/>
      <c r="VMJ5" s="390"/>
      <c r="VMK5" s="390"/>
      <c r="VML5" s="390"/>
      <c r="VMM5" s="390"/>
      <c r="VMN5" s="390"/>
      <c r="VMO5" s="390"/>
      <c r="VMP5" s="390"/>
      <c r="VMQ5" s="390"/>
      <c r="VMR5" s="390"/>
      <c r="VMS5" s="390"/>
      <c r="VMT5" s="390"/>
      <c r="VMU5" s="390"/>
      <c r="VMV5" s="390"/>
      <c r="VMW5" s="390"/>
      <c r="VMX5" s="390"/>
      <c r="VMY5" s="390"/>
      <c r="VMZ5" s="390"/>
      <c r="VNA5" s="390"/>
      <c r="VNB5" s="390"/>
      <c r="VNC5" s="390"/>
      <c r="VND5" s="390"/>
      <c r="VNE5" s="390"/>
      <c r="VNF5" s="390"/>
      <c r="VNG5" s="390"/>
      <c r="VNH5" s="390"/>
      <c r="VNI5" s="390"/>
      <c r="VNJ5" s="390"/>
      <c r="VNK5" s="390"/>
      <c r="VNL5" s="390"/>
      <c r="VNM5" s="390"/>
      <c r="VNN5" s="390"/>
      <c r="VNO5" s="390"/>
      <c r="VNP5" s="390"/>
      <c r="VNQ5" s="390"/>
      <c r="VNR5" s="390"/>
      <c r="VNS5" s="390"/>
      <c r="VNT5" s="390"/>
      <c r="VNU5" s="390"/>
      <c r="VNV5" s="390"/>
      <c r="VNW5" s="390"/>
      <c r="VNX5" s="390"/>
      <c r="VNY5" s="390"/>
      <c r="VNZ5" s="390"/>
      <c r="VOA5" s="390"/>
      <c r="VOB5" s="390"/>
      <c r="VOC5" s="390"/>
      <c r="VOD5" s="390"/>
      <c r="VOE5" s="390"/>
      <c r="VOF5" s="390"/>
      <c r="VOG5" s="390"/>
      <c r="VOH5" s="390"/>
      <c r="VOI5" s="390"/>
      <c r="VOJ5" s="390"/>
      <c r="VOK5" s="390"/>
      <c r="VOL5" s="390"/>
      <c r="VOM5" s="390"/>
      <c r="VON5" s="390"/>
      <c r="VOO5" s="390"/>
      <c r="VOP5" s="390"/>
      <c r="VOQ5" s="390"/>
      <c r="VOR5" s="390"/>
      <c r="VOS5" s="390"/>
      <c r="VOT5" s="390"/>
      <c r="VOU5" s="390"/>
      <c r="VOV5" s="390"/>
      <c r="VOW5" s="390"/>
      <c r="VOX5" s="390"/>
      <c r="VOY5" s="390"/>
      <c r="VOZ5" s="390"/>
      <c r="VPA5" s="390"/>
      <c r="VPB5" s="390"/>
      <c r="VPC5" s="390"/>
      <c r="VPD5" s="390"/>
      <c r="VPE5" s="390"/>
      <c r="VPF5" s="390"/>
      <c r="VPG5" s="390"/>
      <c r="VPH5" s="390"/>
      <c r="VPI5" s="390"/>
      <c r="VPJ5" s="390"/>
      <c r="VPK5" s="390"/>
      <c r="VPL5" s="390"/>
      <c r="VPM5" s="390"/>
      <c r="VPN5" s="390"/>
      <c r="VPO5" s="390"/>
      <c r="VPP5" s="390"/>
      <c r="VPQ5" s="390"/>
      <c r="VPR5" s="390"/>
      <c r="VPS5" s="390"/>
      <c r="VPT5" s="390"/>
      <c r="VPU5" s="390"/>
      <c r="VPV5" s="390"/>
      <c r="VPW5" s="390"/>
      <c r="VPX5" s="390"/>
      <c r="VPY5" s="390"/>
      <c r="VPZ5" s="390"/>
      <c r="VQA5" s="390"/>
      <c r="VQB5" s="390"/>
      <c r="VQC5" s="390"/>
      <c r="VQD5" s="390"/>
      <c r="VQE5" s="390"/>
      <c r="VQF5" s="390"/>
      <c r="VQG5" s="390"/>
      <c r="VQH5" s="390"/>
      <c r="VQI5" s="390"/>
      <c r="VQJ5" s="390"/>
      <c r="VQK5" s="390"/>
      <c r="VQL5" s="390"/>
      <c r="VQM5" s="390"/>
      <c r="VQN5" s="390"/>
      <c r="VQO5" s="390"/>
      <c r="VQP5" s="390"/>
      <c r="VQQ5" s="390"/>
      <c r="VQR5" s="390"/>
      <c r="VQS5" s="390"/>
      <c r="VQT5" s="390"/>
      <c r="VQU5" s="390"/>
      <c r="VQV5" s="390"/>
      <c r="VQW5" s="390"/>
      <c r="VQX5" s="390"/>
      <c r="VQY5" s="390"/>
      <c r="VQZ5" s="390"/>
      <c r="VRA5" s="390"/>
      <c r="VRB5" s="390"/>
      <c r="VRC5" s="390"/>
      <c r="VRD5" s="390"/>
      <c r="VRE5" s="390"/>
      <c r="VRF5" s="390"/>
      <c r="VRG5" s="390"/>
      <c r="VRH5" s="390"/>
      <c r="VRI5" s="390"/>
      <c r="VRJ5" s="390"/>
      <c r="VRK5" s="390"/>
      <c r="VRL5" s="390"/>
      <c r="VRM5" s="390"/>
      <c r="VRN5" s="390"/>
      <c r="VRO5" s="390"/>
      <c r="VRP5" s="390"/>
      <c r="VRQ5" s="390"/>
      <c r="VRR5" s="390"/>
      <c r="VRS5" s="390"/>
      <c r="VRT5" s="390"/>
      <c r="VRU5" s="390"/>
      <c r="VRV5" s="390"/>
      <c r="VRW5" s="390"/>
      <c r="VRX5" s="390"/>
      <c r="VRY5" s="390"/>
      <c r="VRZ5" s="390"/>
      <c r="VSA5" s="390"/>
      <c r="VSB5" s="390"/>
      <c r="VSC5" s="390"/>
      <c r="VSD5" s="390"/>
      <c r="VSE5" s="390"/>
      <c r="VSF5" s="390"/>
      <c r="VSG5" s="390"/>
      <c r="VSH5" s="390"/>
      <c r="VSI5" s="390"/>
      <c r="VSJ5" s="390"/>
      <c r="VSK5" s="390"/>
      <c r="VSL5" s="390"/>
      <c r="VSM5" s="390"/>
      <c r="VSN5" s="390"/>
      <c r="VSO5" s="390"/>
      <c r="VSP5" s="390"/>
      <c r="VSQ5" s="390"/>
      <c r="VSR5" s="390"/>
      <c r="VSS5" s="390"/>
      <c r="VST5" s="390"/>
      <c r="VSU5" s="390"/>
      <c r="VSV5" s="390"/>
      <c r="VSW5" s="390"/>
      <c r="VSX5" s="390"/>
      <c r="VSY5" s="390"/>
      <c r="VSZ5" s="390"/>
      <c r="VTA5" s="390"/>
      <c r="VTB5" s="390"/>
      <c r="VTC5" s="390"/>
      <c r="VTD5" s="390"/>
      <c r="VTE5" s="390"/>
      <c r="VTF5" s="390"/>
      <c r="VTG5" s="390"/>
      <c r="VTH5" s="390"/>
      <c r="VTI5" s="390"/>
      <c r="VTJ5" s="390"/>
      <c r="VTK5" s="390"/>
      <c r="VTL5" s="390"/>
      <c r="VTM5" s="390"/>
      <c r="VTN5" s="390"/>
      <c r="VTO5" s="390"/>
      <c r="VTP5" s="390"/>
      <c r="VTQ5" s="390"/>
      <c r="VTR5" s="390"/>
      <c r="VTS5" s="390"/>
      <c r="VTT5" s="390"/>
      <c r="VTU5" s="390"/>
      <c r="VTV5" s="390"/>
      <c r="VTW5" s="390"/>
      <c r="VTX5" s="390"/>
      <c r="VTY5" s="390"/>
      <c r="VTZ5" s="390"/>
      <c r="VUA5" s="390"/>
      <c r="VUB5" s="390"/>
      <c r="VUC5" s="390"/>
      <c r="VUD5" s="390"/>
      <c r="VUE5" s="390"/>
      <c r="VUF5" s="390"/>
      <c r="VUG5" s="390"/>
      <c r="VUH5" s="390"/>
      <c r="VUI5" s="390"/>
      <c r="VUJ5" s="390"/>
      <c r="VUK5" s="390"/>
      <c r="VUL5" s="390"/>
      <c r="VUM5" s="390"/>
      <c r="VUN5" s="390"/>
      <c r="VUO5" s="390"/>
      <c r="VUP5" s="390"/>
      <c r="VUQ5" s="390"/>
      <c r="VUR5" s="390"/>
      <c r="VUS5" s="390"/>
      <c r="VUT5" s="390"/>
      <c r="VUU5" s="390"/>
      <c r="VUV5" s="390"/>
      <c r="VUW5" s="390"/>
      <c r="VUX5" s="390"/>
      <c r="VUY5" s="390"/>
      <c r="VUZ5" s="390"/>
      <c r="VVA5" s="390"/>
      <c r="VVB5" s="390"/>
      <c r="VVC5" s="390"/>
      <c r="VVD5" s="390"/>
      <c r="VVE5" s="390"/>
      <c r="VVF5" s="390"/>
      <c r="VVG5" s="390"/>
      <c r="VVH5" s="390"/>
      <c r="VVI5" s="390"/>
      <c r="VVJ5" s="390"/>
      <c r="VVK5" s="390"/>
      <c r="VVL5" s="390"/>
      <c r="VVM5" s="390"/>
      <c r="VVN5" s="390"/>
      <c r="VVO5" s="390"/>
      <c r="VVP5" s="390"/>
      <c r="VVQ5" s="390"/>
      <c r="VVR5" s="390"/>
      <c r="VVS5" s="390"/>
      <c r="VVT5" s="390"/>
      <c r="VVU5" s="390"/>
      <c r="VVV5" s="390"/>
      <c r="VVW5" s="390"/>
      <c r="VVX5" s="390"/>
      <c r="VVY5" s="390"/>
      <c r="VVZ5" s="390"/>
      <c r="VWA5" s="390"/>
      <c r="VWB5" s="390"/>
      <c r="VWC5" s="390"/>
      <c r="VWD5" s="390"/>
      <c r="VWE5" s="390"/>
      <c r="VWF5" s="390"/>
      <c r="VWG5" s="390"/>
      <c r="VWH5" s="390"/>
      <c r="VWI5" s="390"/>
      <c r="VWJ5" s="390"/>
      <c r="VWK5" s="390"/>
      <c r="VWL5" s="390"/>
      <c r="VWM5" s="390"/>
      <c r="VWN5" s="390"/>
      <c r="VWO5" s="390"/>
      <c r="VWP5" s="390"/>
      <c r="VWQ5" s="390"/>
      <c r="VWR5" s="390"/>
      <c r="VWS5" s="390"/>
      <c r="VWT5" s="390"/>
      <c r="VWU5" s="390"/>
      <c r="VWV5" s="390"/>
      <c r="VWW5" s="390"/>
      <c r="VWX5" s="390"/>
      <c r="VWY5" s="390"/>
      <c r="VWZ5" s="390"/>
      <c r="VXA5" s="390"/>
      <c r="VXB5" s="390"/>
      <c r="VXC5" s="390"/>
      <c r="VXD5" s="390"/>
      <c r="VXE5" s="390"/>
      <c r="VXF5" s="390"/>
      <c r="VXG5" s="390"/>
      <c r="VXH5" s="390"/>
      <c r="VXI5" s="390"/>
      <c r="VXJ5" s="390"/>
      <c r="VXK5" s="390"/>
      <c r="VXL5" s="390"/>
      <c r="VXM5" s="390"/>
      <c r="VXN5" s="390"/>
      <c r="VXO5" s="390"/>
      <c r="VXP5" s="390"/>
      <c r="VXQ5" s="390"/>
      <c r="VXR5" s="390"/>
      <c r="VXS5" s="390"/>
      <c r="VXT5" s="390"/>
      <c r="VXU5" s="390"/>
      <c r="VXV5" s="390"/>
      <c r="VXW5" s="390"/>
      <c r="VXX5" s="390"/>
      <c r="VXY5" s="390"/>
      <c r="VXZ5" s="390"/>
      <c r="VYA5" s="390"/>
      <c r="VYB5" s="390"/>
      <c r="VYC5" s="390"/>
      <c r="VYD5" s="390"/>
      <c r="VYE5" s="390"/>
      <c r="VYF5" s="390"/>
      <c r="VYG5" s="390"/>
      <c r="VYH5" s="390"/>
      <c r="VYI5" s="390"/>
      <c r="VYJ5" s="390"/>
      <c r="VYK5" s="390"/>
      <c r="VYL5" s="390"/>
      <c r="VYM5" s="390"/>
      <c r="VYN5" s="390"/>
      <c r="VYO5" s="390"/>
      <c r="VYP5" s="390"/>
      <c r="VYQ5" s="390"/>
      <c r="VYR5" s="390"/>
      <c r="VYS5" s="390"/>
      <c r="VYT5" s="390"/>
      <c r="VYU5" s="390"/>
      <c r="VYV5" s="390"/>
      <c r="VYW5" s="390"/>
      <c r="VYX5" s="390"/>
      <c r="VYY5" s="390"/>
      <c r="VYZ5" s="390"/>
      <c r="VZA5" s="390"/>
      <c r="VZB5" s="390"/>
      <c r="VZC5" s="390"/>
      <c r="VZD5" s="390"/>
      <c r="VZE5" s="390"/>
      <c r="VZF5" s="390"/>
      <c r="VZG5" s="390"/>
      <c r="VZH5" s="390"/>
      <c r="VZI5" s="390"/>
      <c r="VZJ5" s="390"/>
      <c r="VZK5" s="390"/>
      <c r="VZL5" s="390"/>
      <c r="VZM5" s="390"/>
      <c r="VZN5" s="390"/>
      <c r="VZO5" s="390"/>
      <c r="VZP5" s="390"/>
      <c r="VZQ5" s="390"/>
      <c r="VZR5" s="390"/>
      <c r="VZS5" s="390"/>
      <c r="VZT5" s="390"/>
      <c r="VZU5" s="390"/>
      <c r="VZV5" s="390"/>
      <c r="VZW5" s="390"/>
      <c r="VZX5" s="390"/>
      <c r="VZY5" s="390"/>
      <c r="VZZ5" s="390"/>
      <c r="WAA5" s="390"/>
      <c r="WAB5" s="390"/>
      <c r="WAC5" s="390"/>
      <c r="WAD5" s="390"/>
      <c r="WAE5" s="390"/>
      <c r="WAF5" s="390"/>
      <c r="WAG5" s="390"/>
      <c r="WAH5" s="390"/>
      <c r="WAI5" s="390"/>
      <c r="WAJ5" s="390"/>
      <c r="WAK5" s="390"/>
      <c r="WAL5" s="390"/>
      <c r="WAM5" s="390"/>
      <c r="WAN5" s="390"/>
      <c r="WAO5" s="390"/>
      <c r="WAP5" s="390"/>
      <c r="WAQ5" s="390"/>
      <c r="WAR5" s="390"/>
      <c r="WAS5" s="390"/>
      <c r="WAT5" s="390"/>
      <c r="WAU5" s="390"/>
      <c r="WAV5" s="390"/>
      <c r="WAW5" s="390"/>
      <c r="WAX5" s="390"/>
      <c r="WAY5" s="390"/>
      <c r="WAZ5" s="390"/>
      <c r="WBA5" s="390"/>
      <c r="WBB5" s="390"/>
      <c r="WBC5" s="390"/>
      <c r="WBD5" s="390"/>
      <c r="WBE5" s="390"/>
      <c r="WBF5" s="390"/>
      <c r="WBG5" s="390"/>
      <c r="WBH5" s="390"/>
      <c r="WBI5" s="390"/>
      <c r="WBJ5" s="390"/>
      <c r="WBK5" s="390"/>
      <c r="WBL5" s="390"/>
      <c r="WBM5" s="390"/>
      <c r="WBN5" s="390"/>
      <c r="WBO5" s="390"/>
      <c r="WBP5" s="390"/>
      <c r="WBQ5" s="390"/>
      <c r="WBR5" s="390"/>
      <c r="WBS5" s="390"/>
      <c r="WBT5" s="390"/>
      <c r="WBU5" s="390"/>
      <c r="WBV5" s="390"/>
      <c r="WBW5" s="390"/>
      <c r="WBX5" s="390"/>
      <c r="WBY5" s="390"/>
      <c r="WBZ5" s="390"/>
      <c r="WCA5" s="390"/>
      <c r="WCB5" s="390"/>
      <c r="WCC5" s="390"/>
      <c r="WCD5" s="390"/>
      <c r="WCE5" s="390"/>
      <c r="WCF5" s="390"/>
      <c r="WCG5" s="390"/>
      <c r="WCH5" s="390"/>
      <c r="WCI5" s="390"/>
      <c r="WCJ5" s="390"/>
      <c r="WCK5" s="390"/>
      <c r="WCL5" s="390"/>
      <c r="WCM5" s="390"/>
      <c r="WCN5" s="390"/>
      <c r="WCO5" s="390"/>
      <c r="WCP5" s="390"/>
      <c r="WCQ5" s="390"/>
      <c r="WCR5" s="390"/>
      <c r="WCS5" s="390"/>
      <c r="WCT5" s="390"/>
      <c r="WCU5" s="390"/>
      <c r="WCV5" s="390"/>
      <c r="WCW5" s="390"/>
      <c r="WCX5" s="390"/>
      <c r="WCY5" s="390"/>
      <c r="WCZ5" s="390"/>
      <c r="WDA5" s="390"/>
      <c r="WDB5" s="390"/>
      <c r="WDC5" s="390"/>
      <c r="WDD5" s="390"/>
      <c r="WDE5" s="390"/>
      <c r="WDF5" s="390"/>
      <c r="WDG5" s="390"/>
      <c r="WDH5" s="390"/>
      <c r="WDI5" s="390"/>
      <c r="WDJ5" s="390"/>
      <c r="WDK5" s="390"/>
      <c r="WDL5" s="390"/>
      <c r="WDM5" s="390"/>
      <c r="WDN5" s="390"/>
      <c r="WDO5" s="390"/>
      <c r="WDP5" s="390"/>
      <c r="WDQ5" s="390"/>
      <c r="WDR5" s="390"/>
      <c r="WDS5" s="390"/>
      <c r="WDT5" s="390"/>
      <c r="WDU5" s="390"/>
      <c r="WDV5" s="390"/>
      <c r="WDW5" s="390"/>
      <c r="WDX5" s="390"/>
      <c r="WDY5" s="390"/>
      <c r="WDZ5" s="390"/>
      <c r="WEA5" s="390"/>
      <c r="WEB5" s="390"/>
      <c r="WEC5" s="390"/>
      <c r="WED5" s="390"/>
      <c r="WEE5" s="390"/>
      <c r="WEF5" s="390"/>
      <c r="WEG5" s="390"/>
      <c r="WEH5" s="390"/>
      <c r="WEI5" s="390"/>
      <c r="WEJ5" s="390"/>
      <c r="WEK5" s="390"/>
      <c r="WEL5" s="390"/>
      <c r="WEM5" s="390"/>
      <c r="WEN5" s="390"/>
      <c r="WEO5" s="390"/>
      <c r="WEP5" s="390"/>
      <c r="WEQ5" s="390"/>
      <c r="WER5" s="390"/>
      <c r="WES5" s="390"/>
      <c r="WET5" s="390"/>
      <c r="WEU5" s="390"/>
      <c r="WEV5" s="390"/>
      <c r="WEW5" s="390"/>
      <c r="WEX5" s="390"/>
      <c r="WEY5" s="390"/>
      <c r="WEZ5" s="390"/>
      <c r="WFA5" s="390"/>
      <c r="WFB5" s="390"/>
      <c r="WFC5" s="390"/>
      <c r="WFD5" s="390"/>
      <c r="WFE5" s="390"/>
      <c r="WFF5" s="390"/>
      <c r="WFG5" s="390"/>
      <c r="WFH5" s="390"/>
      <c r="WFI5" s="390"/>
      <c r="WFJ5" s="390"/>
      <c r="WFK5" s="390"/>
      <c r="WFL5" s="390"/>
      <c r="WFM5" s="390"/>
      <c r="WFN5" s="390"/>
      <c r="WFO5" s="390"/>
      <c r="WFP5" s="390"/>
      <c r="WFQ5" s="390"/>
      <c r="WFR5" s="390"/>
      <c r="WFS5" s="390"/>
      <c r="WFT5" s="390"/>
      <c r="WFU5" s="390"/>
      <c r="WFV5" s="390"/>
      <c r="WFW5" s="390"/>
      <c r="WFX5" s="390"/>
      <c r="WFY5" s="390"/>
      <c r="WFZ5" s="390"/>
      <c r="WGA5" s="390"/>
      <c r="WGB5" s="390"/>
      <c r="WGC5" s="390"/>
      <c r="WGD5" s="390"/>
      <c r="WGE5" s="390"/>
      <c r="WGF5" s="390"/>
      <c r="WGG5" s="390"/>
      <c r="WGH5" s="390"/>
      <c r="WGI5" s="390"/>
      <c r="WGJ5" s="390"/>
      <c r="WGK5" s="390"/>
      <c r="WGL5" s="390"/>
      <c r="WGM5" s="390"/>
      <c r="WGN5" s="390"/>
      <c r="WGO5" s="390"/>
      <c r="WGP5" s="390"/>
      <c r="WGQ5" s="390"/>
      <c r="WGR5" s="390"/>
      <c r="WGS5" s="390"/>
      <c r="WGT5" s="390"/>
      <c r="WGU5" s="390"/>
      <c r="WGV5" s="390"/>
      <c r="WGW5" s="390"/>
      <c r="WGX5" s="390"/>
      <c r="WGY5" s="390"/>
      <c r="WGZ5" s="390"/>
      <c r="WHA5" s="390"/>
      <c r="WHB5" s="390"/>
      <c r="WHC5" s="390"/>
      <c r="WHD5" s="390"/>
      <c r="WHE5" s="390"/>
      <c r="WHF5" s="390"/>
      <c r="WHG5" s="390"/>
      <c r="WHH5" s="390"/>
      <c r="WHI5" s="390"/>
      <c r="WHJ5" s="390"/>
      <c r="WHK5" s="390"/>
      <c r="WHL5" s="390"/>
      <c r="WHM5" s="390"/>
      <c r="WHN5" s="390"/>
      <c r="WHO5" s="390"/>
      <c r="WHP5" s="390"/>
      <c r="WHQ5" s="390"/>
      <c r="WHR5" s="390"/>
      <c r="WHS5" s="390"/>
      <c r="WHT5" s="390"/>
      <c r="WHU5" s="390"/>
      <c r="WHV5" s="390"/>
      <c r="WHW5" s="390"/>
      <c r="WHX5" s="390"/>
      <c r="WHY5" s="390"/>
      <c r="WHZ5" s="390"/>
      <c r="WIA5" s="390"/>
      <c r="WIB5" s="390"/>
      <c r="WIC5" s="390"/>
      <c r="WID5" s="390"/>
      <c r="WIE5" s="390"/>
      <c r="WIF5" s="390"/>
      <c r="WIG5" s="390"/>
      <c r="WIH5" s="390"/>
      <c r="WII5" s="390"/>
      <c r="WIJ5" s="390"/>
      <c r="WIK5" s="390"/>
      <c r="WIL5" s="390"/>
      <c r="WIM5" s="390"/>
      <c r="WIN5" s="390"/>
      <c r="WIO5" s="390"/>
      <c r="WIP5" s="390"/>
      <c r="WIQ5" s="390"/>
      <c r="WIR5" s="390"/>
      <c r="WIS5" s="390"/>
      <c r="WIT5" s="390"/>
      <c r="WIU5" s="390"/>
      <c r="WIV5" s="390"/>
      <c r="WIW5" s="390"/>
      <c r="WIX5" s="390"/>
      <c r="WIY5" s="390"/>
      <c r="WIZ5" s="390"/>
      <c r="WJA5" s="390"/>
      <c r="WJB5" s="390"/>
      <c r="WJC5" s="390"/>
      <c r="WJD5" s="390"/>
      <c r="WJE5" s="390"/>
      <c r="WJF5" s="390"/>
      <c r="WJG5" s="390"/>
      <c r="WJH5" s="390"/>
      <c r="WJI5" s="390"/>
      <c r="WJJ5" s="390"/>
      <c r="WJK5" s="390"/>
      <c r="WJL5" s="390"/>
      <c r="WJM5" s="390"/>
      <c r="WJN5" s="390"/>
      <c r="WJO5" s="390"/>
      <c r="WJP5" s="390"/>
      <c r="WJQ5" s="390"/>
      <c r="WJR5" s="390"/>
      <c r="WJS5" s="390"/>
      <c r="WJT5" s="390"/>
      <c r="WJU5" s="390"/>
      <c r="WJV5" s="390"/>
      <c r="WJW5" s="390"/>
      <c r="WJX5" s="390"/>
      <c r="WJY5" s="390"/>
      <c r="WJZ5" s="390"/>
      <c r="WKA5" s="390"/>
      <c r="WKB5" s="390"/>
      <c r="WKC5" s="390"/>
      <c r="WKD5" s="390"/>
      <c r="WKE5" s="390"/>
      <c r="WKF5" s="390"/>
      <c r="WKG5" s="390"/>
      <c r="WKH5" s="390"/>
      <c r="WKI5" s="390"/>
      <c r="WKJ5" s="390"/>
      <c r="WKK5" s="390"/>
      <c r="WKL5" s="390"/>
      <c r="WKM5" s="390"/>
      <c r="WKN5" s="390"/>
      <c r="WKO5" s="390"/>
      <c r="WKP5" s="390"/>
      <c r="WKQ5" s="390"/>
      <c r="WKR5" s="390"/>
      <c r="WKS5" s="390"/>
      <c r="WKT5" s="390"/>
      <c r="WKU5" s="390"/>
      <c r="WKV5" s="390"/>
      <c r="WKW5" s="390"/>
      <c r="WKX5" s="390"/>
      <c r="WKY5" s="390"/>
      <c r="WKZ5" s="390"/>
      <c r="WLA5" s="390"/>
      <c r="WLB5" s="390"/>
      <c r="WLC5" s="390"/>
      <c r="WLD5" s="390"/>
      <c r="WLE5" s="390"/>
      <c r="WLF5" s="390"/>
      <c r="WLG5" s="390"/>
      <c r="WLH5" s="390"/>
      <c r="WLI5" s="390"/>
      <c r="WLJ5" s="390"/>
      <c r="WLK5" s="390"/>
      <c r="WLL5" s="390"/>
      <c r="WLM5" s="390"/>
      <c r="WLN5" s="390"/>
      <c r="WLO5" s="390"/>
      <c r="WLP5" s="390"/>
      <c r="WLQ5" s="390"/>
      <c r="WLR5" s="390"/>
      <c r="WLS5" s="390"/>
      <c r="WLT5" s="390"/>
      <c r="WLU5" s="390"/>
      <c r="WLV5" s="390"/>
      <c r="WLW5" s="390"/>
      <c r="WLX5" s="390"/>
      <c r="WLY5" s="390"/>
      <c r="WLZ5" s="390"/>
      <c r="WMA5" s="390"/>
      <c r="WMB5" s="390"/>
      <c r="WMC5" s="390"/>
      <c r="WMD5" s="390"/>
      <c r="WME5" s="390"/>
      <c r="WMF5" s="390"/>
      <c r="WMG5" s="390"/>
      <c r="WMH5" s="390"/>
      <c r="WMI5" s="390"/>
      <c r="WMJ5" s="390"/>
      <c r="WMK5" s="390"/>
      <c r="WML5" s="390"/>
      <c r="WMM5" s="390"/>
      <c r="WMN5" s="390"/>
      <c r="WMO5" s="390"/>
      <c r="WMP5" s="390"/>
      <c r="WMQ5" s="390"/>
      <c r="WMR5" s="390"/>
      <c r="WMS5" s="390"/>
      <c r="WMT5" s="390"/>
      <c r="WMU5" s="390"/>
      <c r="WMV5" s="390"/>
      <c r="WMW5" s="390"/>
      <c r="WMX5" s="390"/>
      <c r="WMY5" s="390"/>
      <c r="WMZ5" s="390"/>
      <c r="WNA5" s="390"/>
      <c r="WNB5" s="390"/>
      <c r="WNC5" s="390"/>
      <c r="WND5" s="390"/>
      <c r="WNE5" s="390"/>
      <c r="WNF5" s="390"/>
      <c r="WNG5" s="390"/>
      <c r="WNH5" s="390"/>
      <c r="WNI5" s="390"/>
      <c r="WNJ5" s="390"/>
      <c r="WNK5" s="390"/>
      <c r="WNL5" s="390"/>
      <c r="WNM5" s="390"/>
      <c r="WNN5" s="390"/>
      <c r="WNO5" s="390"/>
      <c r="WNP5" s="390"/>
      <c r="WNQ5" s="390"/>
      <c r="WNR5" s="390"/>
      <c r="WNS5" s="390"/>
      <c r="WNT5" s="390"/>
      <c r="WNU5" s="390"/>
      <c r="WNV5" s="390"/>
      <c r="WNW5" s="390"/>
      <c r="WNX5" s="390"/>
      <c r="WNY5" s="390"/>
      <c r="WNZ5" s="390"/>
      <c r="WOA5" s="390"/>
      <c r="WOB5" s="390"/>
      <c r="WOC5" s="390"/>
      <c r="WOD5" s="390"/>
      <c r="WOE5" s="390"/>
      <c r="WOF5" s="390"/>
      <c r="WOG5" s="390"/>
      <c r="WOH5" s="390"/>
      <c r="WOI5" s="390"/>
      <c r="WOJ5" s="390"/>
      <c r="WOK5" s="390"/>
      <c r="WOL5" s="390"/>
      <c r="WOM5" s="390"/>
      <c r="WON5" s="390"/>
      <c r="WOO5" s="390"/>
      <c r="WOP5" s="390"/>
      <c r="WOQ5" s="390"/>
      <c r="WOR5" s="390"/>
      <c r="WOS5" s="390"/>
      <c r="WOT5" s="390"/>
      <c r="WOU5" s="390"/>
      <c r="WOV5" s="390"/>
      <c r="WOW5" s="390"/>
      <c r="WOX5" s="390"/>
      <c r="WOY5" s="390"/>
      <c r="WOZ5" s="390"/>
      <c r="WPA5" s="390"/>
      <c r="WPB5" s="390"/>
      <c r="WPC5" s="390"/>
      <c r="WPD5" s="390"/>
      <c r="WPE5" s="390"/>
      <c r="WPF5" s="390"/>
      <c r="WPG5" s="390"/>
      <c r="WPH5" s="390"/>
      <c r="WPI5" s="390"/>
      <c r="WPJ5" s="390"/>
      <c r="WPK5" s="390"/>
      <c r="WPL5" s="390"/>
      <c r="WPM5" s="390"/>
      <c r="WPN5" s="390"/>
      <c r="WPO5" s="390"/>
      <c r="WPP5" s="390"/>
      <c r="WPQ5" s="390"/>
      <c r="WPR5" s="390"/>
      <c r="WPS5" s="390"/>
      <c r="WPT5" s="390"/>
      <c r="WPU5" s="390"/>
      <c r="WPV5" s="390"/>
      <c r="WPW5" s="390"/>
      <c r="WPX5" s="390"/>
      <c r="WPY5" s="390"/>
      <c r="WPZ5" s="390"/>
      <c r="WQA5" s="390"/>
      <c r="WQB5" s="390"/>
      <c r="WQC5" s="390"/>
      <c r="WQD5" s="390"/>
      <c r="WQE5" s="390"/>
      <c r="WQF5" s="390"/>
      <c r="WQG5" s="390"/>
      <c r="WQH5" s="390"/>
      <c r="WQI5" s="390"/>
      <c r="WQJ5" s="390"/>
      <c r="WQK5" s="390"/>
      <c r="WQL5" s="390"/>
      <c r="WQM5" s="390"/>
      <c r="WQN5" s="390"/>
      <c r="WQO5" s="390"/>
      <c r="WQP5" s="390"/>
      <c r="WQQ5" s="390"/>
      <c r="WQR5" s="390"/>
      <c r="WQS5" s="390"/>
      <c r="WQT5" s="390"/>
      <c r="WQU5" s="390"/>
      <c r="WQV5" s="390"/>
      <c r="WQW5" s="390"/>
      <c r="WQX5" s="390"/>
      <c r="WQY5" s="390"/>
      <c r="WQZ5" s="390"/>
      <c r="WRA5" s="390"/>
      <c r="WRB5" s="390"/>
      <c r="WRC5" s="390"/>
      <c r="WRD5" s="390"/>
      <c r="WRE5" s="390"/>
      <c r="WRF5" s="390"/>
      <c r="WRG5" s="390"/>
      <c r="WRH5" s="390"/>
      <c r="WRI5" s="390"/>
      <c r="WRJ5" s="390"/>
      <c r="WRK5" s="390"/>
      <c r="WRL5" s="390"/>
      <c r="WRM5" s="390"/>
      <c r="WRN5" s="390"/>
      <c r="WRO5" s="390"/>
      <c r="WRP5" s="390"/>
      <c r="WRQ5" s="390"/>
      <c r="WRR5" s="390"/>
      <c r="WRS5" s="390"/>
      <c r="WRT5" s="390"/>
      <c r="WRU5" s="390"/>
      <c r="WRV5" s="390"/>
      <c r="WRW5" s="390"/>
      <c r="WRX5" s="390"/>
      <c r="WRY5" s="390"/>
      <c r="WRZ5" s="390"/>
      <c r="WSA5" s="390"/>
      <c r="WSB5" s="390"/>
      <c r="WSC5" s="390"/>
      <c r="WSD5" s="390"/>
      <c r="WSE5" s="390"/>
      <c r="WSF5" s="390"/>
      <c r="WSG5" s="390"/>
      <c r="WSH5" s="390"/>
      <c r="WSI5" s="390"/>
      <c r="WSJ5" s="390"/>
      <c r="WSK5" s="390"/>
      <c r="WSL5" s="390"/>
      <c r="WSM5" s="390"/>
      <c r="WSN5" s="390"/>
      <c r="WSO5" s="390"/>
      <c r="WSP5" s="390"/>
      <c r="WSQ5" s="390"/>
      <c r="WSR5" s="390"/>
      <c r="WSS5" s="390"/>
      <c r="WST5" s="390"/>
      <c r="WSU5" s="390"/>
      <c r="WSV5" s="390"/>
      <c r="WSW5" s="390"/>
      <c r="WSX5" s="390"/>
      <c r="WSY5" s="390"/>
      <c r="WSZ5" s="390"/>
      <c r="WTA5" s="390"/>
      <c r="WTB5" s="390"/>
      <c r="WTC5" s="390"/>
      <c r="WTD5" s="390"/>
      <c r="WTE5" s="390"/>
      <c r="WTF5" s="390"/>
      <c r="WTG5" s="390"/>
      <c r="WTH5" s="390"/>
      <c r="WTI5" s="390"/>
      <c r="WTJ5" s="390"/>
      <c r="WTK5" s="390"/>
      <c r="WTL5" s="390"/>
      <c r="WTM5" s="390"/>
      <c r="WTN5" s="390"/>
      <c r="WTO5" s="390"/>
      <c r="WTP5" s="390"/>
      <c r="WTQ5" s="390"/>
      <c r="WTR5" s="390"/>
      <c r="WTS5" s="390"/>
      <c r="WTT5" s="390"/>
      <c r="WTU5" s="390"/>
      <c r="WTV5" s="390"/>
      <c r="WTW5" s="390"/>
      <c r="WTX5" s="390"/>
      <c r="WTY5" s="390"/>
      <c r="WTZ5" s="390"/>
      <c r="WUA5" s="390"/>
      <c r="WUB5" s="390"/>
      <c r="WUC5" s="390"/>
      <c r="WUD5" s="390"/>
      <c r="WUE5" s="390"/>
      <c r="WUF5" s="390"/>
      <c r="WUG5" s="390"/>
      <c r="WUH5" s="390"/>
      <c r="WUI5" s="390"/>
      <c r="WUJ5" s="390"/>
      <c r="WUK5" s="390"/>
      <c r="WUL5" s="390"/>
      <c r="WUM5" s="390"/>
      <c r="WUN5" s="390"/>
      <c r="WUO5" s="390"/>
      <c r="WUP5" s="390"/>
      <c r="WUQ5" s="390"/>
      <c r="WUR5" s="390"/>
      <c r="WUS5" s="390"/>
      <c r="WUT5" s="390"/>
      <c r="WUU5" s="390"/>
      <c r="WUV5" s="390"/>
      <c r="WUW5" s="390"/>
      <c r="WUX5" s="390"/>
      <c r="WUY5" s="390"/>
      <c r="WUZ5" s="390"/>
      <c r="WVA5" s="390"/>
      <c r="WVB5" s="390"/>
      <c r="WVC5" s="390"/>
      <c r="WVD5" s="390"/>
      <c r="WVE5" s="390"/>
      <c r="WVF5" s="390"/>
      <c r="WVG5" s="390"/>
      <c r="WVH5" s="390"/>
      <c r="WVI5" s="390"/>
      <c r="WVJ5" s="390"/>
      <c r="WVK5" s="390"/>
      <c r="WVL5" s="390"/>
      <c r="WVM5" s="390"/>
      <c r="WVN5" s="390"/>
      <c r="WVO5" s="390"/>
      <c r="WVP5" s="390"/>
      <c r="WVQ5" s="390"/>
      <c r="WVR5" s="390"/>
      <c r="WVS5" s="390"/>
      <c r="WVT5" s="390"/>
      <c r="WVU5" s="390"/>
      <c r="WVV5" s="390"/>
      <c r="WVW5" s="390"/>
      <c r="WVX5" s="390"/>
      <c r="WVY5" s="390"/>
      <c r="WVZ5" s="390"/>
      <c r="WWA5" s="390"/>
      <c r="WWB5" s="390"/>
      <c r="WWC5" s="390"/>
      <c r="WWD5" s="390"/>
      <c r="WWE5" s="390"/>
      <c r="WWF5" s="390"/>
      <c r="WWG5" s="390"/>
      <c r="WWH5" s="390"/>
      <c r="WWI5" s="390"/>
      <c r="WWJ5" s="390"/>
      <c r="WWK5" s="390"/>
      <c r="WWL5" s="390"/>
      <c r="WWM5" s="390"/>
      <c r="WWN5" s="390"/>
      <c r="WWO5" s="390"/>
      <c r="WWP5" s="390"/>
      <c r="WWQ5" s="390"/>
      <c r="WWR5" s="390"/>
      <c r="WWS5" s="390"/>
      <c r="WWT5" s="390"/>
      <c r="WWU5" s="390"/>
      <c r="WWV5" s="390"/>
      <c r="WWW5" s="390"/>
      <c r="WWX5" s="390"/>
      <c r="WWY5" s="390"/>
      <c r="WWZ5" s="390"/>
      <c r="WXA5" s="390"/>
      <c r="WXB5" s="390"/>
      <c r="WXC5" s="390"/>
      <c r="WXD5" s="390"/>
      <c r="WXE5" s="390"/>
      <c r="WXF5" s="390"/>
      <c r="WXG5" s="390"/>
      <c r="WXH5" s="390"/>
      <c r="WXI5" s="390"/>
      <c r="WXJ5" s="390"/>
      <c r="WXK5" s="390"/>
      <c r="WXL5" s="390"/>
      <c r="WXM5" s="390"/>
      <c r="WXN5" s="390"/>
      <c r="WXO5" s="390"/>
      <c r="WXP5" s="390"/>
      <c r="WXQ5" s="390"/>
      <c r="WXR5" s="390"/>
      <c r="WXS5" s="390"/>
      <c r="WXT5" s="390"/>
      <c r="WXU5" s="390"/>
      <c r="WXV5" s="390"/>
      <c r="WXW5" s="390"/>
      <c r="WXX5" s="390"/>
      <c r="WXY5" s="390"/>
      <c r="WXZ5" s="390"/>
      <c r="WYA5" s="390"/>
      <c r="WYB5" s="390"/>
      <c r="WYC5" s="390"/>
      <c r="WYD5" s="390"/>
      <c r="WYE5" s="390"/>
      <c r="WYF5" s="390"/>
      <c r="WYG5" s="390"/>
      <c r="WYH5" s="390"/>
      <c r="WYI5" s="390"/>
      <c r="WYJ5" s="390"/>
      <c r="WYK5" s="390"/>
      <c r="WYL5" s="390"/>
      <c r="WYM5" s="390"/>
      <c r="WYN5" s="390"/>
      <c r="WYO5" s="390"/>
      <c r="WYP5" s="390"/>
      <c r="WYQ5" s="390"/>
      <c r="WYR5" s="390"/>
      <c r="WYS5" s="390"/>
      <c r="WYT5" s="390"/>
      <c r="WYU5" s="390"/>
      <c r="WYV5" s="390"/>
      <c r="WYW5" s="390"/>
      <c r="WYX5" s="390"/>
      <c r="WYY5" s="390"/>
      <c r="WYZ5" s="390"/>
      <c r="WZA5" s="390"/>
      <c r="WZB5" s="390"/>
      <c r="WZC5" s="390"/>
      <c r="WZD5" s="390"/>
      <c r="WZE5" s="390"/>
      <c r="WZF5" s="390"/>
      <c r="WZG5" s="390"/>
      <c r="WZH5" s="390"/>
      <c r="WZI5" s="390"/>
      <c r="WZJ5" s="390"/>
      <c r="WZK5" s="390"/>
      <c r="WZL5" s="390"/>
      <c r="WZM5" s="390"/>
      <c r="WZN5" s="390"/>
      <c r="WZO5" s="390"/>
      <c r="WZP5" s="390"/>
      <c r="WZQ5" s="390"/>
      <c r="WZR5" s="390"/>
      <c r="WZS5" s="390"/>
      <c r="WZT5" s="390"/>
      <c r="WZU5" s="390"/>
      <c r="WZV5" s="390"/>
      <c r="WZW5" s="390"/>
      <c r="WZX5" s="390"/>
      <c r="WZY5" s="390"/>
      <c r="WZZ5" s="390"/>
      <c r="XAA5" s="390"/>
      <c r="XAB5" s="390"/>
      <c r="XAC5" s="390"/>
      <c r="XAD5" s="390"/>
      <c r="XAE5" s="390"/>
      <c r="XAF5" s="390"/>
      <c r="XAG5" s="390"/>
      <c r="XAH5" s="390"/>
      <c r="XAI5" s="390"/>
      <c r="XAJ5" s="390"/>
      <c r="XAK5" s="390"/>
      <c r="XAL5" s="390"/>
      <c r="XAM5" s="390"/>
      <c r="XAN5" s="390"/>
      <c r="XAO5" s="390"/>
      <c r="XAP5" s="390"/>
      <c r="XAQ5" s="390"/>
      <c r="XAR5" s="390"/>
      <c r="XAS5" s="390"/>
      <c r="XAT5" s="390"/>
      <c r="XAU5" s="390"/>
      <c r="XAV5" s="390"/>
      <c r="XAW5" s="390"/>
      <c r="XAX5" s="390"/>
      <c r="XAY5" s="390"/>
      <c r="XAZ5" s="390"/>
      <c r="XBA5" s="390"/>
      <c r="XBB5" s="390"/>
      <c r="XBC5" s="390"/>
      <c r="XBD5" s="390"/>
      <c r="XBE5" s="390"/>
      <c r="XBF5" s="390"/>
      <c r="XBG5" s="390"/>
      <c r="XBH5" s="390"/>
      <c r="XBI5" s="390"/>
      <c r="XBJ5" s="390"/>
      <c r="XBK5" s="390"/>
      <c r="XBL5" s="390"/>
      <c r="XBM5" s="390"/>
      <c r="XBN5" s="390"/>
      <c r="XBO5" s="390"/>
      <c r="XBP5" s="390"/>
      <c r="XBQ5" s="390"/>
      <c r="XBR5" s="390"/>
      <c r="XBS5" s="390"/>
      <c r="XBT5" s="390"/>
      <c r="XBU5" s="390"/>
      <c r="XBV5" s="390"/>
      <c r="XBW5" s="390"/>
      <c r="XBX5" s="390"/>
      <c r="XBY5" s="390"/>
      <c r="XBZ5" s="390"/>
      <c r="XCA5" s="390"/>
      <c r="XCB5" s="390"/>
      <c r="XCC5" s="390"/>
      <c r="XCD5" s="390"/>
      <c r="XCE5" s="390"/>
      <c r="XCF5" s="390"/>
      <c r="XCG5" s="390"/>
      <c r="XCH5" s="390"/>
      <c r="XCI5" s="390"/>
      <c r="XCJ5" s="390"/>
      <c r="XCK5" s="390"/>
      <c r="XCL5" s="390"/>
      <c r="XCM5" s="390"/>
      <c r="XCN5" s="390"/>
      <c r="XCO5" s="390"/>
      <c r="XCP5" s="390"/>
      <c r="XCQ5" s="390"/>
      <c r="XCR5" s="390"/>
      <c r="XCS5" s="390"/>
      <c r="XCT5" s="390"/>
      <c r="XCU5" s="390"/>
      <c r="XCV5" s="390"/>
      <c r="XCW5" s="390"/>
      <c r="XCX5" s="390"/>
      <c r="XCY5" s="390"/>
      <c r="XCZ5" s="390"/>
      <c r="XDA5" s="390"/>
      <c r="XDB5" s="390"/>
      <c r="XDC5" s="390"/>
      <c r="XDD5" s="390"/>
      <c r="XDE5" s="390"/>
      <c r="XDF5" s="390"/>
      <c r="XDG5" s="390"/>
      <c r="XDH5" s="390"/>
      <c r="XDI5" s="390"/>
      <c r="XDJ5" s="390"/>
      <c r="XDK5" s="390"/>
      <c r="XDL5" s="390"/>
      <c r="XDM5" s="390"/>
      <c r="XDN5" s="390"/>
      <c r="XDO5" s="390"/>
      <c r="XDP5" s="390"/>
      <c r="XDQ5" s="390"/>
      <c r="XDR5" s="390"/>
      <c r="XDS5" s="390"/>
      <c r="XDT5" s="390"/>
      <c r="XDU5" s="390"/>
      <c r="XDV5" s="390"/>
      <c r="XDW5" s="390"/>
      <c r="XDX5" s="390"/>
      <c r="XDY5" s="390"/>
      <c r="XDZ5" s="390"/>
      <c r="XEA5" s="390"/>
      <c r="XEB5" s="390"/>
      <c r="XEC5" s="390"/>
      <c r="XED5" s="390"/>
      <c r="XEE5" s="390"/>
      <c r="XEF5" s="390"/>
      <c r="XEG5" s="390"/>
      <c r="XEH5" s="390"/>
      <c r="XEI5" s="390"/>
      <c r="XEJ5" s="390"/>
      <c r="XEK5" s="390"/>
      <c r="XEL5" s="390"/>
      <c r="XEM5" s="390"/>
      <c r="XEN5" s="390"/>
      <c r="XEO5" s="390"/>
      <c r="XEP5" s="390"/>
      <c r="XEQ5" s="390"/>
      <c r="XER5" s="390"/>
      <c r="XES5" s="390"/>
      <c r="XET5" s="390"/>
      <c r="XEU5" s="390"/>
      <c r="XEV5" s="390"/>
      <c r="XEW5" s="390"/>
      <c r="XEX5" s="390"/>
      <c r="XEY5" s="390"/>
      <c r="XEZ5" s="390"/>
      <c r="XFA5" s="390"/>
      <c r="XFB5" s="390"/>
    </row>
    <row r="6" spans="1:16382" x14ac:dyDescent="0.45">
      <c r="A6" s="390" t="s">
        <v>2994</v>
      </c>
      <c r="B6" s="390"/>
      <c r="C6" s="390"/>
      <c r="D6" s="390"/>
      <c r="E6" s="390"/>
      <c r="F6" s="390"/>
      <c r="G6" s="390"/>
      <c r="H6" s="390"/>
      <c r="I6" s="392"/>
      <c r="J6" s="392"/>
      <c r="K6" s="392"/>
      <c r="L6" s="392"/>
      <c r="M6" s="392"/>
      <c r="N6" s="392"/>
    </row>
    <row r="7" spans="1:16382" x14ac:dyDescent="0.45">
      <c r="A7" s="399"/>
      <c r="B7" s="399"/>
      <c r="C7" s="399"/>
      <c r="D7" s="400"/>
      <c r="E7" s="400"/>
      <c r="F7" s="400"/>
      <c r="G7" s="400"/>
      <c r="H7" s="400"/>
    </row>
    <row r="8" spans="1:16382" s="2" customFormat="1" x14ac:dyDescent="0.45">
      <c r="A8" s="401" t="s">
        <v>2995</v>
      </c>
      <c r="B8" s="402"/>
      <c r="C8" s="402"/>
      <c r="D8" s="403"/>
      <c r="E8" s="403"/>
      <c r="F8" s="403"/>
      <c r="G8" s="403"/>
      <c r="H8" s="404"/>
    </row>
    <row r="9" spans="1:16382" s="2" customFormat="1" x14ac:dyDescent="0.45">
      <c r="A9" s="393" t="s">
        <v>4</v>
      </c>
      <c r="B9" s="394"/>
      <c r="C9" s="394"/>
      <c r="D9" s="394"/>
      <c r="E9" s="394"/>
      <c r="F9" s="394"/>
      <c r="G9" s="394"/>
      <c r="H9" s="395"/>
    </row>
    <row r="10" spans="1:16382" s="2" customFormat="1" x14ac:dyDescent="0.45">
      <c r="A10" s="396" t="s">
        <v>5244</v>
      </c>
      <c r="B10" s="397"/>
      <c r="C10" s="397"/>
      <c r="D10" s="397"/>
      <c r="E10" s="397"/>
      <c r="F10" s="397"/>
      <c r="G10" s="397"/>
      <c r="H10" s="398"/>
    </row>
    <row r="11" spans="1:16382" ht="24.6" x14ac:dyDescent="0.45">
      <c r="A11" s="3" t="s">
        <v>5</v>
      </c>
      <c r="B11" s="221" t="s">
        <v>5002</v>
      </c>
      <c r="C11" s="221" t="s">
        <v>6</v>
      </c>
      <c r="D11" s="5" t="s">
        <v>7</v>
      </c>
      <c r="E11" s="3" t="s">
        <v>8</v>
      </c>
      <c r="F11" s="3" t="s">
        <v>9</v>
      </c>
      <c r="G11" s="3" t="s">
        <v>10</v>
      </c>
      <c r="H11" s="3" t="s">
        <v>11</v>
      </c>
    </row>
    <row r="12" spans="1:16382" s="11" customFormat="1" ht="4.95" customHeight="1" x14ac:dyDescent="0.45">
      <c r="A12" s="6"/>
      <c r="B12" s="7"/>
      <c r="C12" s="7"/>
      <c r="D12" s="8"/>
      <c r="E12" s="7"/>
      <c r="F12" s="9"/>
      <c r="G12" s="9"/>
      <c r="H12" s="10"/>
    </row>
    <row r="13" spans="1:16382" x14ac:dyDescent="0.45">
      <c r="A13" s="12" t="s">
        <v>2996</v>
      </c>
      <c r="B13" s="13"/>
      <c r="C13" s="13"/>
      <c r="D13" s="246" t="s">
        <v>13</v>
      </c>
      <c r="E13" s="15"/>
      <c r="F13" s="14"/>
      <c r="G13" s="15"/>
      <c r="H13" s="14"/>
    </row>
    <row r="14" spans="1:16382" x14ac:dyDescent="0.4">
      <c r="A14" s="16"/>
      <c r="B14" s="222">
        <v>1501000</v>
      </c>
      <c r="C14" s="18"/>
      <c r="D14" s="223" t="s">
        <v>14</v>
      </c>
      <c r="E14" s="20"/>
      <c r="F14" s="21"/>
      <c r="G14" s="20"/>
      <c r="H14" s="21"/>
    </row>
    <row r="15" spans="1:16382" ht="24.6" x14ac:dyDescent="0.45">
      <c r="A15" s="22" t="s">
        <v>2997</v>
      </c>
      <c r="B15" s="23"/>
      <c r="C15" s="23">
        <v>3.1</v>
      </c>
      <c r="D15" s="5" t="s">
        <v>16</v>
      </c>
      <c r="E15" s="23">
        <v>12</v>
      </c>
      <c r="F15" s="23" t="s">
        <v>17</v>
      </c>
      <c r="G15" s="24"/>
      <c r="H15" s="24">
        <f>G15*E15</f>
        <v>0</v>
      </c>
    </row>
    <row r="16" spans="1:16382" x14ac:dyDescent="0.4">
      <c r="A16" s="16"/>
      <c r="B16" s="222">
        <v>1502000</v>
      </c>
      <c r="C16" s="18"/>
      <c r="D16" s="223" t="s">
        <v>18</v>
      </c>
      <c r="E16" s="20"/>
      <c r="F16" s="21"/>
      <c r="G16" s="21"/>
      <c r="H16" s="21"/>
    </row>
    <row r="17" spans="1:8" x14ac:dyDescent="0.45">
      <c r="A17" s="25"/>
      <c r="B17" s="26"/>
      <c r="C17" s="26">
        <v>3.1</v>
      </c>
      <c r="D17" s="27" t="s">
        <v>19</v>
      </c>
      <c r="E17" s="28"/>
      <c r="F17" s="28"/>
      <c r="G17" s="28"/>
      <c r="H17" s="28"/>
    </row>
    <row r="18" spans="1:8" x14ac:dyDescent="0.45">
      <c r="A18" s="22" t="s">
        <v>2998</v>
      </c>
      <c r="B18" s="23">
        <v>1502000</v>
      </c>
      <c r="C18" s="23" t="s">
        <v>21</v>
      </c>
      <c r="D18" s="29" t="s">
        <v>22</v>
      </c>
      <c r="E18" s="23">
        <v>12</v>
      </c>
      <c r="F18" s="23" t="s">
        <v>17</v>
      </c>
      <c r="G18" s="24"/>
      <c r="H18" s="24">
        <f>G18*E18</f>
        <v>0</v>
      </c>
    </row>
    <row r="19" spans="1:8" x14ac:dyDescent="0.45">
      <c r="A19" s="22" t="s">
        <v>2999</v>
      </c>
      <c r="B19" s="23">
        <v>1502000</v>
      </c>
      <c r="C19" s="23" t="s">
        <v>24</v>
      </c>
      <c r="D19" s="29" t="s">
        <v>25</v>
      </c>
      <c r="E19" s="23">
        <v>12</v>
      </c>
      <c r="F19" s="23" t="s">
        <v>17</v>
      </c>
      <c r="G19" s="24"/>
      <c r="H19" s="24">
        <f>G19*E19</f>
        <v>0</v>
      </c>
    </row>
    <row r="20" spans="1:8" x14ac:dyDescent="0.45">
      <c r="A20" s="22" t="s">
        <v>3000</v>
      </c>
      <c r="B20" s="23">
        <v>1502000</v>
      </c>
      <c r="C20" s="23" t="s">
        <v>27</v>
      </c>
      <c r="D20" s="29" t="s">
        <v>28</v>
      </c>
      <c r="E20" s="23">
        <v>12</v>
      </c>
      <c r="F20" s="23" t="s">
        <v>17</v>
      </c>
      <c r="G20" s="24"/>
      <c r="H20" s="24">
        <f>G20*E20</f>
        <v>0</v>
      </c>
    </row>
    <row r="21" spans="1:8" x14ac:dyDescent="0.45">
      <c r="A21" s="25"/>
      <c r="B21" s="26"/>
      <c r="C21" s="26">
        <v>3.2</v>
      </c>
      <c r="D21" s="27" t="s">
        <v>29</v>
      </c>
      <c r="E21" s="28"/>
      <c r="F21" s="28"/>
      <c r="G21" s="28"/>
      <c r="H21" s="28"/>
    </row>
    <row r="22" spans="1:8" x14ac:dyDescent="0.45">
      <c r="A22" s="22" t="s">
        <v>3001</v>
      </c>
      <c r="B22" s="23">
        <v>1502000</v>
      </c>
      <c r="C22" s="286">
        <v>3.2</v>
      </c>
      <c r="D22" s="29" t="s">
        <v>5072</v>
      </c>
      <c r="E22" s="23">
        <v>12</v>
      </c>
      <c r="F22" s="23" t="s">
        <v>17</v>
      </c>
      <c r="G22" s="24"/>
      <c r="H22" s="24">
        <f>G22*E22</f>
        <v>0</v>
      </c>
    </row>
    <row r="23" spans="1:8" x14ac:dyDescent="0.45">
      <c r="A23" s="25"/>
      <c r="B23" s="26"/>
      <c r="C23" s="26">
        <v>3.3</v>
      </c>
      <c r="D23" s="27" t="s">
        <v>31</v>
      </c>
      <c r="E23" s="28"/>
      <c r="F23" s="28"/>
      <c r="G23" s="28"/>
      <c r="H23" s="28"/>
    </row>
    <row r="24" spans="1:8" x14ac:dyDescent="0.45">
      <c r="A24" s="22" t="s">
        <v>3002</v>
      </c>
      <c r="B24" s="23">
        <v>1502000</v>
      </c>
      <c r="C24" s="23" t="s">
        <v>33</v>
      </c>
      <c r="D24" s="30" t="s">
        <v>34</v>
      </c>
      <c r="E24" s="23">
        <v>12</v>
      </c>
      <c r="F24" s="23" t="s">
        <v>17</v>
      </c>
      <c r="G24" s="24"/>
      <c r="H24" s="24">
        <f t="shared" ref="H24:H33" si="0">G24*E24</f>
        <v>0</v>
      </c>
    </row>
    <row r="25" spans="1:8" x14ac:dyDescent="0.45">
      <c r="A25" s="22" t="s">
        <v>3003</v>
      </c>
      <c r="B25" s="23">
        <v>1502000</v>
      </c>
      <c r="C25" s="23" t="s">
        <v>36</v>
      </c>
      <c r="D25" s="32" t="s">
        <v>37</v>
      </c>
      <c r="E25" s="33">
        <v>12</v>
      </c>
      <c r="F25" s="23" t="s">
        <v>17</v>
      </c>
      <c r="G25" s="24"/>
      <c r="H25" s="24">
        <f t="shared" si="0"/>
        <v>0</v>
      </c>
    </row>
    <row r="26" spans="1:8" x14ac:dyDescent="0.45">
      <c r="A26" s="22" t="s">
        <v>3004</v>
      </c>
      <c r="B26" s="23">
        <v>1502000</v>
      </c>
      <c r="C26" s="23" t="s">
        <v>39</v>
      </c>
      <c r="D26" s="32" t="s">
        <v>40</v>
      </c>
      <c r="E26" s="33">
        <v>12</v>
      </c>
      <c r="F26" s="23" t="s">
        <v>17</v>
      </c>
      <c r="G26" s="24"/>
      <c r="H26" s="24">
        <f t="shared" si="0"/>
        <v>0</v>
      </c>
    </row>
    <row r="27" spans="1:8" x14ac:dyDescent="0.45">
      <c r="A27" s="22" t="s">
        <v>3005</v>
      </c>
      <c r="B27" s="23">
        <v>1502000</v>
      </c>
      <c r="C27" s="224" t="s">
        <v>42</v>
      </c>
      <c r="D27" s="30" t="s">
        <v>43</v>
      </c>
      <c r="E27" s="33">
        <v>12</v>
      </c>
      <c r="F27" s="23" t="s">
        <v>17</v>
      </c>
      <c r="G27" s="24"/>
      <c r="H27" s="24">
        <f t="shared" si="0"/>
        <v>0</v>
      </c>
    </row>
    <row r="28" spans="1:8" x14ac:dyDescent="0.45">
      <c r="A28" s="22" t="s">
        <v>3006</v>
      </c>
      <c r="B28" s="23">
        <v>1502000</v>
      </c>
      <c r="C28" s="23" t="s">
        <v>45</v>
      </c>
      <c r="D28" s="30" t="s">
        <v>46</v>
      </c>
      <c r="E28" s="33">
        <v>12</v>
      </c>
      <c r="F28" s="23" t="s">
        <v>17</v>
      </c>
      <c r="G28" s="24"/>
      <c r="H28" s="24">
        <f t="shared" si="0"/>
        <v>0</v>
      </c>
    </row>
    <row r="29" spans="1:8" x14ac:dyDescent="0.45">
      <c r="A29" s="22" t="s">
        <v>3007</v>
      </c>
      <c r="B29" s="23">
        <v>1502000</v>
      </c>
      <c r="C29" s="23" t="s">
        <v>48</v>
      </c>
      <c r="D29" s="30" t="s">
        <v>49</v>
      </c>
      <c r="E29" s="33">
        <v>12</v>
      </c>
      <c r="F29" s="23" t="s">
        <v>17</v>
      </c>
      <c r="G29" s="24"/>
      <c r="H29" s="24">
        <f t="shared" si="0"/>
        <v>0</v>
      </c>
    </row>
    <row r="30" spans="1:8" x14ac:dyDescent="0.45">
      <c r="A30" s="22" t="s">
        <v>3008</v>
      </c>
      <c r="B30" s="23">
        <v>1502000</v>
      </c>
      <c r="C30" s="23" t="s">
        <v>51</v>
      </c>
      <c r="D30" s="30" t="s">
        <v>52</v>
      </c>
      <c r="E30" s="33">
        <v>12</v>
      </c>
      <c r="F30" s="23" t="s">
        <v>17</v>
      </c>
      <c r="G30" s="24"/>
      <c r="H30" s="24">
        <f t="shared" si="0"/>
        <v>0</v>
      </c>
    </row>
    <row r="31" spans="1:8" x14ac:dyDescent="0.45">
      <c r="A31" s="22" t="s">
        <v>3009</v>
      </c>
      <c r="B31" s="23">
        <v>1502000</v>
      </c>
      <c r="C31" s="23" t="s">
        <v>54</v>
      </c>
      <c r="D31" s="30" t="s">
        <v>55</v>
      </c>
      <c r="E31" s="33">
        <v>12</v>
      </c>
      <c r="F31" s="23" t="s">
        <v>17</v>
      </c>
      <c r="G31" s="24"/>
      <c r="H31" s="24">
        <f t="shared" si="0"/>
        <v>0</v>
      </c>
    </row>
    <row r="32" spans="1:8" x14ac:dyDescent="0.45">
      <c r="A32" s="22" t="s">
        <v>3010</v>
      </c>
      <c r="B32" s="23">
        <v>1502000</v>
      </c>
      <c r="C32" s="23" t="s">
        <v>57</v>
      </c>
      <c r="D32" s="30" t="s">
        <v>58</v>
      </c>
      <c r="E32" s="33">
        <v>12</v>
      </c>
      <c r="F32" s="23" t="s">
        <v>17</v>
      </c>
      <c r="G32" s="24"/>
      <c r="H32" s="24">
        <f t="shared" si="0"/>
        <v>0</v>
      </c>
    </row>
    <row r="33" spans="1:8" x14ac:dyDescent="0.45">
      <c r="A33" s="22" t="s">
        <v>3011</v>
      </c>
      <c r="B33" s="23">
        <v>1502000</v>
      </c>
      <c r="C33" s="23" t="s">
        <v>60</v>
      </c>
      <c r="D33" s="30" t="s">
        <v>61</v>
      </c>
      <c r="E33" s="33">
        <v>12</v>
      </c>
      <c r="F33" s="23" t="s">
        <v>17</v>
      </c>
      <c r="G33" s="24"/>
      <c r="H33" s="24">
        <f t="shared" si="0"/>
        <v>0</v>
      </c>
    </row>
    <row r="34" spans="1:8" x14ac:dyDescent="0.45">
      <c r="A34" s="25"/>
      <c r="B34" s="26"/>
      <c r="C34" s="26">
        <v>3.4</v>
      </c>
      <c r="D34" s="27" t="s">
        <v>62</v>
      </c>
      <c r="E34" s="28"/>
      <c r="F34" s="28"/>
      <c r="G34" s="28"/>
      <c r="H34" s="28"/>
    </row>
    <row r="35" spans="1:8" x14ac:dyDescent="0.45">
      <c r="A35" s="22" t="s">
        <v>3012</v>
      </c>
      <c r="B35" s="23">
        <v>1502000</v>
      </c>
      <c r="C35" s="23" t="s">
        <v>64</v>
      </c>
      <c r="D35" s="35" t="s">
        <v>65</v>
      </c>
      <c r="E35" s="23">
        <v>12</v>
      </c>
      <c r="F35" s="23" t="s">
        <v>17</v>
      </c>
      <c r="G35" s="24"/>
      <c r="H35" s="24">
        <f>G35*E35</f>
        <v>0</v>
      </c>
    </row>
    <row r="36" spans="1:8" x14ac:dyDescent="0.45">
      <c r="A36" s="22" t="s">
        <v>3013</v>
      </c>
      <c r="B36" s="23">
        <v>1502000</v>
      </c>
      <c r="C36" s="23" t="s">
        <v>67</v>
      </c>
      <c r="D36" s="35" t="s">
        <v>68</v>
      </c>
      <c r="E36" s="23">
        <v>12</v>
      </c>
      <c r="F36" s="23" t="s">
        <v>17</v>
      </c>
      <c r="G36" s="24"/>
      <c r="H36" s="24">
        <f>G36*E36</f>
        <v>0</v>
      </c>
    </row>
    <row r="37" spans="1:8" x14ac:dyDescent="0.45">
      <c r="A37" s="22" t="s">
        <v>3014</v>
      </c>
      <c r="B37" s="23">
        <v>1502000</v>
      </c>
      <c r="C37" s="33" t="s">
        <v>70</v>
      </c>
      <c r="D37" s="36" t="s">
        <v>71</v>
      </c>
      <c r="E37" s="33">
        <v>12</v>
      </c>
      <c r="F37" s="23" t="s">
        <v>17</v>
      </c>
      <c r="G37" s="24"/>
      <c r="H37" s="24">
        <f>G37*E37</f>
        <v>0</v>
      </c>
    </row>
    <row r="38" spans="1:8" x14ac:dyDescent="0.45">
      <c r="A38" s="25"/>
      <c r="B38" s="26"/>
      <c r="C38" s="26">
        <v>3.5</v>
      </c>
      <c r="D38" s="27" t="s">
        <v>72</v>
      </c>
      <c r="E38" s="28"/>
      <c r="F38" s="28"/>
      <c r="G38" s="28"/>
      <c r="H38" s="28"/>
    </row>
    <row r="39" spans="1:8" x14ac:dyDescent="0.45">
      <c r="A39" s="22" t="s">
        <v>3015</v>
      </c>
      <c r="B39" s="23">
        <v>1502000</v>
      </c>
      <c r="C39" s="23" t="s">
        <v>74</v>
      </c>
      <c r="D39" s="32" t="s">
        <v>37</v>
      </c>
      <c r="E39" s="33">
        <v>12</v>
      </c>
      <c r="F39" s="23" t="s">
        <v>17</v>
      </c>
      <c r="G39" s="24"/>
      <c r="H39" s="24">
        <f>G39*E39</f>
        <v>0</v>
      </c>
    </row>
    <row r="40" spans="1:8" x14ac:dyDescent="0.45">
      <c r="A40" s="25"/>
      <c r="B40" s="37"/>
      <c r="C40" s="37">
        <v>3.6</v>
      </c>
      <c r="D40" s="38" t="s">
        <v>75</v>
      </c>
      <c r="E40" s="28"/>
      <c r="F40" s="28"/>
      <c r="G40" s="28"/>
      <c r="H40" s="28"/>
    </row>
    <row r="41" spans="1:8" x14ac:dyDescent="0.45">
      <c r="A41" s="22" t="s">
        <v>3016</v>
      </c>
      <c r="B41" s="23">
        <v>1502000</v>
      </c>
      <c r="C41" s="33" t="s">
        <v>77</v>
      </c>
      <c r="D41" s="39" t="s">
        <v>78</v>
      </c>
      <c r="E41" s="33">
        <v>12</v>
      </c>
      <c r="F41" s="23" t="s">
        <v>17</v>
      </c>
      <c r="G41" s="24"/>
      <c r="H41" s="24">
        <f t="shared" ref="H41:H52" si="1">G41*E41</f>
        <v>0</v>
      </c>
    </row>
    <row r="42" spans="1:8" x14ac:dyDescent="0.45">
      <c r="A42" s="22" t="s">
        <v>3017</v>
      </c>
      <c r="B42" s="23">
        <v>1502000</v>
      </c>
      <c r="C42" s="33" t="s">
        <v>80</v>
      </c>
      <c r="D42" s="39" t="s">
        <v>81</v>
      </c>
      <c r="E42" s="33">
        <v>12</v>
      </c>
      <c r="F42" s="23" t="s">
        <v>17</v>
      </c>
      <c r="G42" s="24"/>
      <c r="H42" s="24">
        <f t="shared" si="1"/>
        <v>0</v>
      </c>
    </row>
    <row r="43" spans="1:8" x14ac:dyDescent="0.45">
      <c r="A43" s="22" t="s">
        <v>3018</v>
      </c>
      <c r="B43" s="23">
        <v>1502000</v>
      </c>
      <c r="C43" s="33" t="s">
        <v>83</v>
      </c>
      <c r="D43" s="39" t="s">
        <v>84</v>
      </c>
      <c r="E43" s="33">
        <v>12</v>
      </c>
      <c r="F43" s="23" t="s">
        <v>17</v>
      </c>
      <c r="G43" s="24"/>
      <c r="H43" s="24">
        <f t="shared" si="1"/>
        <v>0</v>
      </c>
    </row>
    <row r="44" spans="1:8" x14ac:dyDescent="0.45">
      <c r="A44" s="22" t="s">
        <v>3019</v>
      </c>
      <c r="B44" s="23">
        <v>1502000</v>
      </c>
      <c r="C44" s="33" t="s">
        <v>86</v>
      </c>
      <c r="D44" s="39" t="s">
        <v>87</v>
      </c>
      <c r="E44" s="33">
        <v>12</v>
      </c>
      <c r="F44" s="23" t="s">
        <v>17</v>
      </c>
      <c r="G44" s="24"/>
      <c r="H44" s="24">
        <f t="shared" si="1"/>
        <v>0</v>
      </c>
    </row>
    <row r="45" spans="1:8" x14ac:dyDescent="0.45">
      <c r="A45" s="22" t="s">
        <v>3020</v>
      </c>
      <c r="B45" s="23">
        <v>1502000</v>
      </c>
      <c r="C45" s="33" t="s">
        <v>89</v>
      </c>
      <c r="D45" s="39" t="s">
        <v>90</v>
      </c>
      <c r="E45" s="33">
        <v>12</v>
      </c>
      <c r="F45" s="23" t="s">
        <v>17</v>
      </c>
      <c r="G45" s="24"/>
      <c r="H45" s="24">
        <f t="shared" si="1"/>
        <v>0</v>
      </c>
    </row>
    <row r="46" spans="1:8" x14ac:dyDescent="0.45">
      <c r="A46" s="22" t="s">
        <v>3021</v>
      </c>
      <c r="B46" s="23">
        <v>1502000</v>
      </c>
      <c r="C46" s="33" t="s">
        <v>92</v>
      </c>
      <c r="D46" s="39" t="s">
        <v>93</v>
      </c>
      <c r="E46" s="33">
        <v>12</v>
      </c>
      <c r="F46" s="23" t="s">
        <v>17</v>
      </c>
      <c r="G46" s="24"/>
      <c r="H46" s="24">
        <f t="shared" si="1"/>
        <v>0</v>
      </c>
    </row>
    <row r="47" spans="1:8" x14ac:dyDescent="0.45">
      <c r="A47" s="22" t="s">
        <v>3022</v>
      </c>
      <c r="B47" s="23">
        <v>1502000</v>
      </c>
      <c r="C47" s="33" t="s">
        <v>95</v>
      </c>
      <c r="D47" s="39" t="s">
        <v>96</v>
      </c>
      <c r="E47" s="33">
        <v>12</v>
      </c>
      <c r="F47" s="23" t="s">
        <v>17</v>
      </c>
      <c r="G47" s="24"/>
      <c r="H47" s="24">
        <f t="shared" si="1"/>
        <v>0</v>
      </c>
    </row>
    <row r="48" spans="1:8" x14ac:dyDescent="0.45">
      <c r="A48" s="22" t="s">
        <v>3023</v>
      </c>
      <c r="B48" s="23">
        <v>1502000</v>
      </c>
      <c r="C48" s="33" t="s">
        <v>98</v>
      </c>
      <c r="D48" s="39" t="s">
        <v>99</v>
      </c>
      <c r="E48" s="33">
        <v>12</v>
      </c>
      <c r="F48" s="23" t="s">
        <v>17</v>
      </c>
      <c r="G48" s="24"/>
      <c r="H48" s="24">
        <f t="shared" si="1"/>
        <v>0</v>
      </c>
    </row>
    <row r="49" spans="1:8" s="293" customFormat="1" x14ac:dyDescent="0.45">
      <c r="A49" s="257" t="s">
        <v>3024</v>
      </c>
      <c r="B49" s="286">
        <v>1502000</v>
      </c>
      <c r="C49" s="301" t="s">
        <v>273</v>
      </c>
      <c r="D49" s="372" t="s">
        <v>309</v>
      </c>
      <c r="E49" s="301">
        <v>12</v>
      </c>
      <c r="F49" s="286" t="s">
        <v>17</v>
      </c>
      <c r="G49" s="302"/>
      <c r="H49" s="302">
        <f t="shared" ref="H49" si="2">G49*E49</f>
        <v>0</v>
      </c>
    </row>
    <row r="50" spans="1:8" x14ac:dyDescent="0.45">
      <c r="A50" s="257" t="s">
        <v>3025</v>
      </c>
      <c r="B50" s="23">
        <v>1502000</v>
      </c>
      <c r="C50" s="33" t="s">
        <v>101</v>
      </c>
      <c r="D50" s="39" t="s">
        <v>102</v>
      </c>
      <c r="E50" s="33">
        <v>12</v>
      </c>
      <c r="F50" s="23" t="s">
        <v>17</v>
      </c>
      <c r="G50" s="24"/>
      <c r="H50" s="24">
        <f t="shared" si="1"/>
        <v>0</v>
      </c>
    </row>
    <row r="51" spans="1:8" x14ac:dyDescent="0.45">
      <c r="A51" s="257" t="s">
        <v>3026</v>
      </c>
      <c r="B51" s="23">
        <v>1502000</v>
      </c>
      <c r="C51" s="23" t="s">
        <v>104</v>
      </c>
      <c r="D51" s="35" t="s">
        <v>105</v>
      </c>
      <c r="E51" s="33">
        <v>12</v>
      </c>
      <c r="F51" s="23" t="s">
        <v>17</v>
      </c>
      <c r="G51" s="24"/>
      <c r="H51" s="24">
        <f t="shared" si="1"/>
        <v>0</v>
      </c>
    </row>
    <row r="52" spans="1:8" x14ac:dyDescent="0.45">
      <c r="A52" s="257" t="s">
        <v>3027</v>
      </c>
      <c r="B52" s="23">
        <v>1502000</v>
      </c>
      <c r="C52" s="23" t="s">
        <v>107</v>
      </c>
      <c r="D52" s="22" t="s">
        <v>108</v>
      </c>
      <c r="E52" s="33">
        <v>12</v>
      </c>
      <c r="F52" s="23" t="s">
        <v>17</v>
      </c>
      <c r="G52" s="24"/>
      <c r="H52" s="24">
        <f t="shared" si="1"/>
        <v>0</v>
      </c>
    </row>
    <row r="53" spans="1:8" x14ac:dyDescent="0.45">
      <c r="A53" s="287"/>
      <c r="B53" s="41">
        <v>1503010</v>
      </c>
      <c r="C53" s="41"/>
      <c r="D53" s="42" t="s">
        <v>109</v>
      </c>
      <c r="E53" s="43"/>
      <c r="F53" s="44"/>
      <c r="G53" s="44"/>
      <c r="H53" s="45"/>
    </row>
    <row r="54" spans="1:8" x14ac:dyDescent="0.45">
      <c r="A54" s="257" t="s">
        <v>3028</v>
      </c>
      <c r="B54" s="33">
        <v>1503010</v>
      </c>
      <c r="C54" s="33">
        <v>3.1</v>
      </c>
      <c r="D54" s="36" t="s">
        <v>111</v>
      </c>
      <c r="E54" s="33">
        <v>12</v>
      </c>
      <c r="F54" s="23" t="s">
        <v>17</v>
      </c>
      <c r="G54" s="24"/>
      <c r="H54" s="24">
        <f>G54*E54</f>
        <v>0</v>
      </c>
    </row>
    <row r="55" spans="1:8" x14ac:dyDescent="0.45">
      <c r="A55" s="257" t="s">
        <v>3029</v>
      </c>
      <c r="B55" s="33">
        <v>1503010</v>
      </c>
      <c r="C55" s="33">
        <v>3.1</v>
      </c>
      <c r="D55" s="36" t="s">
        <v>113</v>
      </c>
      <c r="E55" s="33">
        <v>12</v>
      </c>
      <c r="F55" s="23" t="s">
        <v>17</v>
      </c>
      <c r="G55" s="24"/>
      <c r="H55" s="24">
        <f>G55*E55</f>
        <v>0</v>
      </c>
    </row>
    <row r="56" spans="1:8" x14ac:dyDescent="0.45">
      <c r="A56" s="287"/>
      <c r="B56" s="41">
        <v>1503020</v>
      </c>
      <c r="C56" s="41"/>
      <c r="D56" s="42" t="s">
        <v>114</v>
      </c>
      <c r="E56" s="43"/>
      <c r="F56" s="44"/>
      <c r="G56" s="44"/>
      <c r="H56" s="45"/>
    </row>
    <row r="57" spans="1:8" x14ac:dyDescent="0.45">
      <c r="A57" s="257" t="s">
        <v>3030</v>
      </c>
      <c r="B57" s="33">
        <v>1503020</v>
      </c>
      <c r="C57" s="33">
        <v>3.1</v>
      </c>
      <c r="D57" s="36" t="s">
        <v>116</v>
      </c>
      <c r="E57" s="33">
        <v>12</v>
      </c>
      <c r="F57" s="23" t="s">
        <v>17</v>
      </c>
      <c r="G57" s="24"/>
      <c r="H57" s="24">
        <f>G57*E57</f>
        <v>0</v>
      </c>
    </row>
    <row r="58" spans="1:8" x14ac:dyDescent="0.45">
      <c r="A58" s="257" t="s">
        <v>3031</v>
      </c>
      <c r="B58" s="33">
        <v>1503020</v>
      </c>
      <c r="C58" s="33">
        <v>3.2</v>
      </c>
      <c r="D58" s="36" t="s">
        <v>118</v>
      </c>
      <c r="E58" s="33">
        <v>12</v>
      </c>
      <c r="F58" s="23" t="s">
        <v>17</v>
      </c>
      <c r="G58" s="24"/>
      <c r="H58" s="24">
        <f>G58*E58</f>
        <v>0</v>
      </c>
    </row>
    <row r="59" spans="1:8" x14ac:dyDescent="0.45">
      <c r="A59" s="257" t="s">
        <v>3032</v>
      </c>
      <c r="B59" s="33">
        <v>1503020</v>
      </c>
      <c r="C59" s="33">
        <v>3.3</v>
      </c>
      <c r="D59" s="36" t="s">
        <v>120</v>
      </c>
      <c r="E59" s="33">
        <v>12</v>
      </c>
      <c r="F59" s="23" t="s">
        <v>17</v>
      </c>
      <c r="G59" s="24"/>
      <c r="H59" s="24">
        <f>G59*E59</f>
        <v>0</v>
      </c>
    </row>
    <row r="60" spans="1:8" x14ac:dyDescent="0.45">
      <c r="A60" s="287"/>
      <c r="B60" s="43">
        <v>1503030</v>
      </c>
      <c r="C60" s="41"/>
      <c r="D60" s="42" t="s">
        <v>121</v>
      </c>
      <c r="E60" s="43"/>
      <c r="F60" s="44"/>
      <c r="G60" s="44"/>
      <c r="H60" s="45"/>
    </row>
    <row r="61" spans="1:8" x14ac:dyDescent="0.45">
      <c r="A61" s="257" t="s">
        <v>3033</v>
      </c>
      <c r="B61" s="33">
        <v>1503030</v>
      </c>
      <c r="C61" s="33" t="s">
        <v>123</v>
      </c>
      <c r="D61" s="36" t="s">
        <v>124</v>
      </c>
      <c r="E61" s="33">
        <v>12</v>
      </c>
      <c r="F61" s="23" t="s">
        <v>17</v>
      </c>
      <c r="G61" s="24"/>
      <c r="H61" s="24">
        <f>G61*E61</f>
        <v>0</v>
      </c>
    </row>
    <row r="62" spans="1:8" x14ac:dyDescent="0.45">
      <c r="A62" s="257" t="s">
        <v>3034</v>
      </c>
      <c r="B62" s="33">
        <v>1503030</v>
      </c>
      <c r="C62" s="33">
        <v>3.6</v>
      </c>
      <c r="D62" s="36" t="s">
        <v>126</v>
      </c>
      <c r="E62" s="33">
        <v>12</v>
      </c>
      <c r="F62" s="23" t="s">
        <v>17</v>
      </c>
      <c r="G62" s="24"/>
      <c r="H62" s="24">
        <f>G62*E62</f>
        <v>0</v>
      </c>
    </row>
    <row r="63" spans="1:8" x14ac:dyDescent="0.45">
      <c r="A63" s="287"/>
      <c r="B63" s="41">
        <v>1503050</v>
      </c>
      <c r="C63" s="41"/>
      <c r="D63" s="42" t="s">
        <v>127</v>
      </c>
      <c r="E63" s="43"/>
      <c r="F63" s="44"/>
      <c r="G63" s="44"/>
      <c r="H63" s="45"/>
    </row>
    <row r="64" spans="1:8" x14ac:dyDescent="0.45">
      <c r="A64" s="257" t="s">
        <v>3035</v>
      </c>
      <c r="B64" s="33">
        <v>1503050</v>
      </c>
      <c r="C64" s="33">
        <v>3.1</v>
      </c>
      <c r="D64" s="46" t="s">
        <v>129</v>
      </c>
      <c r="E64" s="33">
        <v>12</v>
      </c>
      <c r="F64" s="23" t="s">
        <v>17</v>
      </c>
      <c r="G64" s="24"/>
      <c r="H64" s="24">
        <f>G64*E64</f>
        <v>0</v>
      </c>
    </row>
    <row r="65" spans="1:8" x14ac:dyDescent="0.45">
      <c r="A65" s="257" t="s">
        <v>3036</v>
      </c>
      <c r="B65" s="33">
        <v>1503050</v>
      </c>
      <c r="C65" s="33">
        <v>3.2</v>
      </c>
      <c r="D65" s="36" t="s">
        <v>131</v>
      </c>
      <c r="E65" s="33">
        <v>12</v>
      </c>
      <c r="F65" s="23" t="s">
        <v>17</v>
      </c>
      <c r="G65" s="24"/>
      <c r="H65" s="24">
        <f>G65*E65</f>
        <v>0</v>
      </c>
    </row>
    <row r="66" spans="1:8" x14ac:dyDescent="0.45">
      <c r="A66" s="257" t="s">
        <v>3037</v>
      </c>
      <c r="B66" s="33">
        <v>1503050</v>
      </c>
      <c r="C66" s="33">
        <v>3.3</v>
      </c>
      <c r="D66" s="36" t="s">
        <v>133</v>
      </c>
      <c r="E66" s="33">
        <v>12</v>
      </c>
      <c r="F66" s="23" t="s">
        <v>17</v>
      </c>
      <c r="G66" s="24"/>
      <c r="H66" s="24">
        <f>G66*E66</f>
        <v>0</v>
      </c>
    </row>
    <row r="67" spans="1:8" x14ac:dyDescent="0.45">
      <c r="A67" s="257" t="s">
        <v>3038</v>
      </c>
      <c r="B67" s="33">
        <v>1503050</v>
      </c>
      <c r="C67" s="33">
        <v>3.4</v>
      </c>
      <c r="D67" s="36" t="s">
        <v>135</v>
      </c>
      <c r="E67" s="33">
        <v>12</v>
      </c>
      <c r="F67" s="23" t="s">
        <v>17</v>
      </c>
      <c r="G67" s="24"/>
      <c r="H67" s="24">
        <f>G67*E67</f>
        <v>0</v>
      </c>
    </row>
    <row r="68" spans="1:8" s="389" customFormat="1" x14ac:dyDescent="0.45">
      <c r="A68" s="257" t="s">
        <v>3039</v>
      </c>
      <c r="B68" s="301">
        <v>1503050</v>
      </c>
      <c r="C68" s="301">
        <v>3.4</v>
      </c>
      <c r="D68" s="295" t="s">
        <v>5024</v>
      </c>
      <c r="E68" s="301">
        <v>12</v>
      </c>
      <c r="F68" s="286" t="s">
        <v>17</v>
      </c>
      <c r="G68" s="302"/>
      <c r="H68" s="302">
        <f>G68*E68</f>
        <v>0</v>
      </c>
    </row>
    <row r="69" spans="1:8" s="389" customFormat="1" x14ac:dyDescent="0.45">
      <c r="A69" s="257" t="s">
        <v>5215</v>
      </c>
      <c r="B69" s="33">
        <v>1503050</v>
      </c>
      <c r="C69" s="33">
        <v>3.5</v>
      </c>
      <c r="D69" s="47" t="s">
        <v>137</v>
      </c>
      <c r="E69" s="33">
        <v>12</v>
      </c>
      <c r="F69" s="23" t="s">
        <v>17</v>
      </c>
      <c r="G69" s="24"/>
      <c r="H69" s="24">
        <f>G69*E69</f>
        <v>0</v>
      </c>
    </row>
    <row r="70" spans="1:8" x14ac:dyDescent="0.45">
      <c r="A70" s="287"/>
      <c r="B70" s="41">
        <v>1503060</v>
      </c>
      <c r="C70" s="41"/>
      <c r="D70" s="42" t="s">
        <v>138</v>
      </c>
      <c r="E70" s="43"/>
      <c r="F70" s="44"/>
      <c r="G70" s="44"/>
      <c r="H70" s="45"/>
    </row>
    <row r="71" spans="1:8" x14ac:dyDescent="0.45">
      <c r="A71" s="257" t="s">
        <v>3040</v>
      </c>
      <c r="B71" s="33">
        <v>1503060</v>
      </c>
      <c r="C71" s="33">
        <v>3.1</v>
      </c>
      <c r="D71" s="36" t="s">
        <v>140</v>
      </c>
      <c r="E71" s="23">
        <v>12</v>
      </c>
      <c r="F71" s="23" t="s">
        <v>17</v>
      </c>
      <c r="G71" s="24"/>
      <c r="H71" s="24">
        <f>G71*E71</f>
        <v>0</v>
      </c>
    </row>
    <row r="72" spans="1:8" x14ac:dyDescent="0.45">
      <c r="A72" s="257" t="s">
        <v>3041</v>
      </c>
      <c r="B72" s="33">
        <v>1503060</v>
      </c>
      <c r="C72" s="33">
        <v>3.2</v>
      </c>
      <c r="D72" s="36" t="s">
        <v>142</v>
      </c>
      <c r="E72" s="23">
        <v>12</v>
      </c>
      <c r="F72" s="23" t="s">
        <v>17</v>
      </c>
      <c r="G72" s="24"/>
      <c r="H72" s="24">
        <f>G72*E72</f>
        <v>0</v>
      </c>
    </row>
    <row r="73" spans="1:8" x14ac:dyDescent="0.45">
      <c r="A73" s="287"/>
      <c r="B73" s="41">
        <v>1601000</v>
      </c>
      <c r="C73" s="41"/>
      <c r="D73" s="42" t="s">
        <v>143</v>
      </c>
      <c r="E73" s="43"/>
      <c r="F73" s="44"/>
      <c r="G73" s="44"/>
      <c r="H73" s="45"/>
    </row>
    <row r="74" spans="1:8" x14ac:dyDescent="0.45">
      <c r="A74" s="363"/>
      <c r="B74" s="26"/>
      <c r="C74" s="26">
        <v>3.1</v>
      </c>
      <c r="D74" s="27" t="s">
        <v>144</v>
      </c>
      <c r="E74" s="28"/>
      <c r="F74" s="28"/>
      <c r="G74" s="28"/>
      <c r="H74" s="28"/>
    </row>
    <row r="75" spans="1:8" x14ac:dyDescent="0.45">
      <c r="A75" s="257" t="s">
        <v>3042</v>
      </c>
      <c r="B75" s="23">
        <v>1601000</v>
      </c>
      <c r="C75" s="23" t="s">
        <v>21</v>
      </c>
      <c r="D75" s="48" t="s">
        <v>146</v>
      </c>
      <c r="E75" s="23">
        <v>12</v>
      </c>
      <c r="F75" s="23" t="s">
        <v>17</v>
      </c>
      <c r="G75" s="24"/>
      <c r="H75" s="24">
        <f>G75*E75</f>
        <v>0</v>
      </c>
    </row>
    <row r="76" spans="1:8" x14ac:dyDescent="0.45">
      <c r="A76" s="257" t="s">
        <v>3043</v>
      </c>
      <c r="B76" s="23">
        <v>1601000</v>
      </c>
      <c r="C76" s="23" t="s">
        <v>24</v>
      </c>
      <c r="D76" s="48" t="s">
        <v>148</v>
      </c>
      <c r="E76" s="23">
        <v>12</v>
      </c>
      <c r="F76" s="23" t="s">
        <v>17</v>
      </c>
      <c r="G76" s="24"/>
      <c r="H76" s="24">
        <f>G76*E76</f>
        <v>0</v>
      </c>
    </row>
    <row r="77" spans="1:8" x14ac:dyDescent="0.45">
      <c r="A77" s="257" t="s">
        <v>3044</v>
      </c>
      <c r="B77" s="23">
        <v>1601000</v>
      </c>
      <c r="C77" s="23">
        <v>3.2</v>
      </c>
      <c r="D77" s="48" t="s">
        <v>150</v>
      </c>
      <c r="E77" s="23">
        <v>12</v>
      </c>
      <c r="F77" s="23" t="s">
        <v>17</v>
      </c>
      <c r="G77" s="24"/>
      <c r="H77" s="24">
        <f>G77*E77</f>
        <v>0</v>
      </c>
    </row>
    <row r="78" spans="1:8" x14ac:dyDescent="0.45">
      <c r="A78" s="257" t="s">
        <v>3045</v>
      </c>
      <c r="B78" s="23">
        <v>1601000</v>
      </c>
      <c r="C78" s="23">
        <v>3.3</v>
      </c>
      <c r="D78" s="48" t="s">
        <v>152</v>
      </c>
      <c r="E78" s="23">
        <v>12</v>
      </c>
      <c r="F78" s="23" t="s">
        <v>17</v>
      </c>
      <c r="G78" s="24"/>
      <c r="H78" s="24">
        <f>G78*E78</f>
        <v>0</v>
      </c>
    </row>
    <row r="79" spans="1:8" x14ac:dyDescent="0.45">
      <c r="A79" s="287"/>
      <c r="B79" s="41">
        <v>1602000</v>
      </c>
      <c r="C79" s="41"/>
      <c r="D79" s="42" t="s">
        <v>153</v>
      </c>
      <c r="E79" s="43"/>
      <c r="F79" s="44"/>
      <c r="G79" s="44"/>
      <c r="H79" s="45"/>
    </row>
    <row r="80" spans="1:8" x14ac:dyDescent="0.45">
      <c r="A80" s="363"/>
      <c r="B80" s="26"/>
      <c r="C80" s="26">
        <v>3.1</v>
      </c>
      <c r="D80" s="27" t="s">
        <v>31</v>
      </c>
      <c r="E80" s="28"/>
      <c r="F80" s="28"/>
      <c r="G80" s="28"/>
      <c r="H80" s="28"/>
    </row>
    <row r="81" spans="1:8" x14ac:dyDescent="0.45">
      <c r="A81" s="257" t="s">
        <v>3046</v>
      </c>
      <c r="B81" s="23">
        <v>1602000</v>
      </c>
      <c r="C81" s="23" t="s">
        <v>21</v>
      </c>
      <c r="D81" s="48" t="s">
        <v>156</v>
      </c>
      <c r="E81" s="23">
        <v>12</v>
      </c>
      <c r="F81" s="23" t="s">
        <v>17</v>
      </c>
      <c r="G81" s="24"/>
      <c r="H81" s="24">
        <f>G81*E81</f>
        <v>0</v>
      </c>
    </row>
    <row r="82" spans="1:8" x14ac:dyDescent="0.45">
      <c r="A82" s="363"/>
      <c r="B82" s="49"/>
      <c r="C82" s="26">
        <v>3.2</v>
      </c>
      <c r="D82" s="28" t="s">
        <v>75</v>
      </c>
      <c r="E82" s="28"/>
      <c r="F82" s="28"/>
      <c r="G82" s="28"/>
      <c r="H82" s="28"/>
    </row>
    <row r="83" spans="1:8" x14ac:dyDescent="0.45">
      <c r="A83" s="257" t="s">
        <v>3047</v>
      </c>
      <c r="B83" s="23">
        <v>1602000</v>
      </c>
      <c r="C83" s="23" t="s">
        <v>158</v>
      </c>
      <c r="D83" s="48" t="s">
        <v>159</v>
      </c>
      <c r="E83" s="23">
        <v>12</v>
      </c>
      <c r="F83" s="23" t="s">
        <v>17</v>
      </c>
      <c r="G83" s="24"/>
      <c r="H83" s="24">
        <f>G83*E83</f>
        <v>0</v>
      </c>
    </row>
    <row r="84" spans="1:8" x14ac:dyDescent="0.45">
      <c r="A84" s="287"/>
      <c r="B84" s="41">
        <v>1603000</v>
      </c>
      <c r="C84" s="41"/>
      <c r="D84" s="42" t="s">
        <v>160</v>
      </c>
      <c r="E84" s="50"/>
      <c r="F84" s="50"/>
      <c r="G84" s="44"/>
      <c r="H84" s="51"/>
    </row>
    <row r="85" spans="1:8" x14ac:dyDescent="0.45">
      <c r="A85" s="257" t="s">
        <v>3048</v>
      </c>
      <c r="B85" s="23">
        <v>1603000</v>
      </c>
      <c r="C85" s="23">
        <v>3.1</v>
      </c>
      <c r="D85" s="48" t="s">
        <v>62</v>
      </c>
      <c r="E85" s="23">
        <v>12</v>
      </c>
      <c r="F85" s="23" t="s">
        <v>17</v>
      </c>
      <c r="G85" s="24"/>
      <c r="H85" s="24">
        <f>G85*E85</f>
        <v>0</v>
      </c>
    </row>
    <row r="86" spans="1:8" x14ac:dyDescent="0.45">
      <c r="A86" s="287"/>
      <c r="B86" s="41">
        <v>1604000</v>
      </c>
      <c r="C86" s="41"/>
      <c r="D86" s="42" t="s">
        <v>162</v>
      </c>
      <c r="E86" s="50"/>
      <c r="F86" s="50"/>
      <c r="G86" s="44"/>
      <c r="H86" s="51"/>
    </row>
    <row r="87" spans="1:8" x14ac:dyDescent="0.45">
      <c r="A87" s="257" t="s">
        <v>3049</v>
      </c>
      <c r="B87" s="23">
        <v>1604000</v>
      </c>
      <c r="C87" s="23">
        <v>3.1</v>
      </c>
      <c r="D87" s="30" t="s">
        <v>31</v>
      </c>
      <c r="E87" s="52">
        <v>12</v>
      </c>
      <c r="F87" s="52" t="s">
        <v>17</v>
      </c>
      <c r="G87" s="24"/>
      <c r="H87" s="53">
        <f>G87*E87</f>
        <v>0</v>
      </c>
    </row>
    <row r="88" spans="1:8" x14ac:dyDescent="0.45">
      <c r="A88" s="257" t="s">
        <v>3050</v>
      </c>
      <c r="B88" s="23">
        <v>1604000</v>
      </c>
      <c r="C88" s="23">
        <v>3.2</v>
      </c>
      <c r="D88" s="30" t="s">
        <v>165</v>
      </c>
      <c r="E88" s="52">
        <v>12</v>
      </c>
      <c r="F88" s="52" t="s">
        <v>17</v>
      </c>
      <c r="G88" s="24"/>
      <c r="H88" s="53">
        <f>G88*E88</f>
        <v>0</v>
      </c>
    </row>
    <row r="89" spans="1:8" x14ac:dyDescent="0.45">
      <c r="A89" s="287"/>
      <c r="B89" s="41">
        <v>1606001</v>
      </c>
      <c r="C89" s="41"/>
      <c r="D89" s="54" t="s">
        <v>166</v>
      </c>
      <c r="E89" s="55"/>
      <c r="F89" s="55"/>
      <c r="G89" s="44"/>
      <c r="H89" s="55"/>
    </row>
    <row r="90" spans="1:8" x14ac:dyDescent="0.45">
      <c r="A90" s="257" t="s">
        <v>3051</v>
      </c>
      <c r="B90" s="23">
        <v>1606001</v>
      </c>
      <c r="C90" s="23">
        <v>3.1</v>
      </c>
      <c r="D90" s="56" t="s">
        <v>31</v>
      </c>
      <c r="E90" s="23">
        <v>12</v>
      </c>
      <c r="F90" s="23" t="s">
        <v>17</v>
      </c>
      <c r="G90" s="24"/>
      <c r="H90" s="24">
        <f>G90*E90</f>
        <v>0</v>
      </c>
    </row>
    <row r="91" spans="1:8" x14ac:dyDescent="0.45">
      <c r="A91" s="257" t="s">
        <v>3052</v>
      </c>
      <c r="B91" s="23">
        <v>1606001</v>
      </c>
      <c r="C91" s="23">
        <v>3.2</v>
      </c>
      <c r="D91" s="56" t="s">
        <v>169</v>
      </c>
      <c r="E91" s="23">
        <v>12</v>
      </c>
      <c r="F91" s="23" t="s">
        <v>17</v>
      </c>
      <c r="G91" s="24"/>
      <c r="H91" s="24">
        <f>G91*E91</f>
        <v>0</v>
      </c>
    </row>
    <row r="92" spans="1:8" x14ac:dyDescent="0.45">
      <c r="A92" s="257" t="s">
        <v>3053</v>
      </c>
      <c r="B92" s="23">
        <v>1606001</v>
      </c>
      <c r="C92" s="23">
        <v>3.3</v>
      </c>
      <c r="D92" s="56" t="s">
        <v>170</v>
      </c>
      <c r="E92" s="23">
        <v>12</v>
      </c>
      <c r="F92" s="23" t="s">
        <v>17</v>
      </c>
      <c r="G92" s="24"/>
      <c r="H92" s="24">
        <f>G92*E92</f>
        <v>0</v>
      </c>
    </row>
    <row r="93" spans="1:8" x14ac:dyDescent="0.45">
      <c r="A93" s="287"/>
      <c r="B93" s="41">
        <v>1700000</v>
      </c>
      <c r="C93" s="41"/>
      <c r="D93" s="42" t="s">
        <v>171</v>
      </c>
      <c r="E93" s="50"/>
      <c r="F93" s="50"/>
      <c r="G93" s="44"/>
      <c r="H93" s="51"/>
    </row>
    <row r="94" spans="1:8" x14ac:dyDescent="0.45">
      <c r="A94" s="257" t="s">
        <v>3054</v>
      </c>
      <c r="B94" s="23">
        <v>1700000</v>
      </c>
      <c r="C94" s="23">
        <v>3.1</v>
      </c>
      <c r="D94" s="30" t="s">
        <v>173</v>
      </c>
      <c r="E94" s="23">
        <v>12</v>
      </c>
      <c r="F94" s="23" t="s">
        <v>17</v>
      </c>
      <c r="G94" s="24"/>
      <c r="H94" s="24">
        <f>G94*E94</f>
        <v>0</v>
      </c>
    </row>
    <row r="95" spans="1:8" x14ac:dyDescent="0.45">
      <c r="A95" s="287"/>
      <c r="B95" s="41">
        <v>1800000</v>
      </c>
      <c r="C95" s="41"/>
      <c r="D95" s="42" t="s">
        <v>174</v>
      </c>
      <c r="E95" s="43"/>
      <c r="F95" s="44"/>
      <c r="G95" s="44"/>
      <c r="H95" s="45"/>
    </row>
    <row r="96" spans="1:8" ht="25.2" x14ac:dyDescent="0.45">
      <c r="A96" s="257" t="s">
        <v>5332</v>
      </c>
      <c r="B96" s="23">
        <v>1800000</v>
      </c>
      <c r="C96" s="23">
        <v>3.1</v>
      </c>
      <c r="D96" s="57" t="s">
        <v>176</v>
      </c>
      <c r="E96" s="23">
        <v>12</v>
      </c>
      <c r="F96" s="23" t="s">
        <v>17</v>
      </c>
      <c r="G96" s="24"/>
      <c r="H96" s="24">
        <f>G96*E96</f>
        <v>0</v>
      </c>
    </row>
    <row r="97" spans="1:8" x14ac:dyDescent="0.45">
      <c r="A97" s="58"/>
      <c r="B97" s="59"/>
      <c r="C97" s="59"/>
      <c r="D97" s="60" t="s">
        <v>177</v>
      </c>
      <c r="E97" s="59"/>
      <c r="F97" s="59"/>
      <c r="G97" s="59"/>
      <c r="H97" s="62">
        <f>SUM(H15:H96)</f>
        <v>0</v>
      </c>
    </row>
    <row r="98" spans="1:8" hidden="1" x14ac:dyDescent="0.45">
      <c r="A98" s="63"/>
      <c r="B98" s="64"/>
      <c r="C98" s="64"/>
      <c r="D98" s="65"/>
      <c r="E98" s="64"/>
      <c r="F98" s="64"/>
      <c r="G98" s="64"/>
      <c r="H98" s="66"/>
    </row>
    <row r="99" spans="1:8" s="70" customFormat="1" ht="13.5" hidden="1" customHeight="1" x14ac:dyDescent="0.45">
      <c r="A99" s="67"/>
      <c r="B99" s="68"/>
      <c r="C99" s="68"/>
      <c r="D99" s="69"/>
      <c r="E99" s="69"/>
      <c r="F99" s="69"/>
      <c r="G99" s="69"/>
      <c r="H99" s="69"/>
    </row>
    <row r="100" spans="1:8" s="70" customFormat="1" ht="12.3" hidden="1" x14ac:dyDescent="0.45">
      <c r="A100" s="71"/>
      <c r="B100" s="72"/>
      <c r="C100" s="72"/>
      <c r="D100" s="73" t="s">
        <v>178</v>
      </c>
      <c r="E100" s="74"/>
      <c r="F100" s="74"/>
      <c r="G100" s="74"/>
      <c r="H100" s="75"/>
    </row>
    <row r="101" spans="1:8" s="70" customFormat="1" ht="12.3" hidden="1" x14ac:dyDescent="0.45">
      <c r="A101" s="76"/>
      <c r="B101" s="77"/>
      <c r="C101" s="77"/>
      <c r="D101" s="78" t="s">
        <v>179</v>
      </c>
      <c r="E101" s="79">
        <v>12</v>
      </c>
      <c r="F101" s="79" t="s">
        <v>17</v>
      </c>
      <c r="G101" s="79"/>
      <c r="H101" s="80">
        <f>G101*E101</f>
        <v>0</v>
      </c>
    </row>
    <row r="102" spans="1:8" s="70" customFormat="1" ht="12.3" hidden="1" x14ac:dyDescent="0.45">
      <c r="A102" s="71"/>
      <c r="B102" s="72"/>
      <c r="C102" s="72"/>
      <c r="D102" s="73" t="s">
        <v>180</v>
      </c>
      <c r="E102" s="72"/>
      <c r="F102" s="81"/>
      <c r="G102" s="81"/>
      <c r="H102" s="82"/>
    </row>
    <row r="103" spans="1:8" s="70" customFormat="1" ht="12.3" hidden="1" x14ac:dyDescent="0.45">
      <c r="A103" s="83"/>
      <c r="B103" s="84"/>
      <c r="C103" s="84"/>
      <c r="D103" s="85" t="s">
        <v>181</v>
      </c>
      <c r="E103" s="84"/>
      <c r="F103" s="84"/>
      <c r="G103" s="84"/>
      <c r="H103" s="86">
        <f>SUM(H100:H102)</f>
        <v>0</v>
      </c>
    </row>
    <row r="104" spans="1:8" x14ac:dyDescent="0.45">
      <c r="A104" s="87"/>
      <c r="B104" s="88"/>
      <c r="C104" s="88"/>
      <c r="D104" s="89"/>
      <c r="E104" s="64"/>
      <c r="F104" s="64"/>
      <c r="G104" s="64"/>
      <c r="H104" s="66"/>
    </row>
    <row r="105" spans="1:8" x14ac:dyDescent="0.45">
      <c r="A105" s="12" t="s">
        <v>3055</v>
      </c>
      <c r="B105" s="90"/>
      <c r="C105" s="13"/>
      <c r="D105" s="12" t="s">
        <v>183</v>
      </c>
      <c r="E105" s="91"/>
      <c r="F105" s="91"/>
      <c r="G105" s="91"/>
      <c r="H105" s="91"/>
    </row>
    <row r="106" spans="1:8" x14ac:dyDescent="0.4">
      <c r="A106" s="40"/>
      <c r="B106" s="222">
        <v>1502000</v>
      </c>
      <c r="C106" s="18"/>
      <c r="D106" s="223" t="s">
        <v>18</v>
      </c>
      <c r="E106" s="50"/>
      <c r="F106" s="50"/>
      <c r="G106" s="50"/>
      <c r="H106" s="51"/>
    </row>
    <row r="107" spans="1:8" x14ac:dyDescent="0.45">
      <c r="A107" s="25"/>
      <c r="B107" s="26"/>
      <c r="C107" s="26">
        <v>3.1</v>
      </c>
      <c r="D107" s="27" t="s">
        <v>19</v>
      </c>
      <c r="E107" s="28"/>
      <c r="F107" s="28"/>
      <c r="G107" s="28"/>
      <c r="H107" s="28"/>
    </row>
    <row r="108" spans="1:8" x14ac:dyDescent="0.45">
      <c r="A108" s="22" t="s">
        <v>3056</v>
      </c>
      <c r="B108" s="23">
        <v>1502000</v>
      </c>
      <c r="C108" s="23" t="s">
        <v>21</v>
      </c>
      <c r="D108" s="29" t="s">
        <v>22</v>
      </c>
      <c r="E108" s="23">
        <v>12</v>
      </c>
      <c r="F108" s="23" t="s">
        <v>17</v>
      </c>
      <c r="G108" s="24"/>
      <c r="H108" s="24">
        <f>G108*E108</f>
        <v>0</v>
      </c>
    </row>
    <row r="109" spans="1:8" x14ac:dyDescent="0.45">
      <c r="A109" s="22" t="s">
        <v>3057</v>
      </c>
      <c r="B109" s="23">
        <v>1502000</v>
      </c>
      <c r="C109" s="23" t="s">
        <v>24</v>
      </c>
      <c r="D109" s="29" t="s">
        <v>25</v>
      </c>
      <c r="E109" s="23">
        <v>12</v>
      </c>
      <c r="F109" s="23" t="s">
        <v>17</v>
      </c>
      <c r="G109" s="24"/>
      <c r="H109" s="24">
        <f>G109*E109</f>
        <v>0</v>
      </c>
    </row>
    <row r="110" spans="1:8" x14ac:dyDescent="0.45">
      <c r="A110" s="22" t="s">
        <v>3058</v>
      </c>
      <c r="B110" s="23">
        <v>1502000</v>
      </c>
      <c r="C110" s="23" t="s">
        <v>27</v>
      </c>
      <c r="D110" s="29" t="s">
        <v>28</v>
      </c>
      <c r="E110" s="23">
        <v>12</v>
      </c>
      <c r="F110" s="23" t="s">
        <v>17</v>
      </c>
      <c r="G110" s="24"/>
      <c r="H110" s="24">
        <f>G110*E110</f>
        <v>0</v>
      </c>
    </row>
    <row r="111" spans="1:8" x14ac:dyDescent="0.45">
      <c r="A111" s="25"/>
      <c r="B111" s="26"/>
      <c r="C111" s="26">
        <v>3.4</v>
      </c>
      <c r="D111" s="27" t="s">
        <v>62</v>
      </c>
      <c r="E111" s="28"/>
      <c r="F111" s="28"/>
      <c r="G111" s="28"/>
      <c r="H111" s="28"/>
    </row>
    <row r="112" spans="1:8" x14ac:dyDescent="0.45">
      <c r="A112" s="22" t="s">
        <v>3059</v>
      </c>
      <c r="B112" s="23">
        <v>1502000</v>
      </c>
      <c r="C112" s="23" t="s">
        <v>67</v>
      </c>
      <c r="D112" s="35" t="s">
        <v>68</v>
      </c>
      <c r="E112" s="23">
        <v>12</v>
      </c>
      <c r="F112" s="23" t="s">
        <v>17</v>
      </c>
      <c r="G112" s="24"/>
      <c r="H112" s="24">
        <f>G112*E112</f>
        <v>0</v>
      </c>
    </row>
    <row r="113" spans="1:8" x14ac:dyDescent="0.45">
      <c r="A113" s="25"/>
      <c r="B113" s="37"/>
      <c r="C113" s="37">
        <v>3.6</v>
      </c>
      <c r="D113" s="38" t="s">
        <v>75</v>
      </c>
      <c r="E113" s="28"/>
      <c r="F113" s="28"/>
      <c r="G113" s="28"/>
      <c r="H113" s="28"/>
    </row>
    <row r="114" spans="1:8" s="263" customFormat="1" x14ac:dyDescent="0.45">
      <c r="A114" s="258" t="s">
        <v>3060</v>
      </c>
      <c r="B114" s="261">
        <v>1502000</v>
      </c>
      <c r="C114" s="259" t="s">
        <v>77</v>
      </c>
      <c r="D114" s="275" t="s">
        <v>78</v>
      </c>
      <c r="E114" s="261">
        <v>12</v>
      </c>
      <c r="F114" s="261" t="s">
        <v>17</v>
      </c>
      <c r="G114" s="262"/>
      <c r="H114" s="262">
        <f>G114*E114</f>
        <v>0</v>
      </c>
    </row>
    <row r="115" spans="1:8" s="389" customFormat="1" x14ac:dyDescent="0.45">
      <c r="A115" s="22" t="s">
        <v>3061</v>
      </c>
      <c r="B115" s="23">
        <v>1502000</v>
      </c>
      <c r="C115" s="33" t="s">
        <v>95</v>
      </c>
      <c r="D115" s="39" t="s">
        <v>96</v>
      </c>
      <c r="E115" s="23">
        <v>12</v>
      </c>
      <c r="F115" s="23" t="s">
        <v>17</v>
      </c>
      <c r="G115" s="24"/>
      <c r="H115" s="24">
        <f>G115*E115</f>
        <v>0</v>
      </c>
    </row>
    <row r="116" spans="1:8" s="263" customFormat="1" x14ac:dyDescent="0.45">
      <c r="A116" s="258" t="s">
        <v>3062</v>
      </c>
      <c r="B116" s="261">
        <v>1502000</v>
      </c>
      <c r="C116" s="259" t="s">
        <v>101</v>
      </c>
      <c r="D116" s="275" t="s">
        <v>102</v>
      </c>
      <c r="E116" s="261">
        <v>12</v>
      </c>
      <c r="F116" s="261" t="s">
        <v>17</v>
      </c>
      <c r="G116" s="262"/>
      <c r="H116" s="262">
        <f>G116*E116</f>
        <v>0</v>
      </c>
    </row>
    <row r="117" spans="1:8" x14ac:dyDescent="0.45">
      <c r="A117" s="40"/>
      <c r="B117" s="41">
        <v>1503010</v>
      </c>
      <c r="C117" s="41"/>
      <c r="D117" s="42" t="s">
        <v>109</v>
      </c>
      <c r="E117" s="43"/>
      <c r="F117" s="44"/>
      <c r="G117" s="44"/>
      <c r="H117" s="45"/>
    </row>
    <row r="118" spans="1:8" x14ac:dyDescent="0.45">
      <c r="A118" s="22" t="s">
        <v>3063</v>
      </c>
      <c r="B118" s="33">
        <v>1503010</v>
      </c>
      <c r="C118" s="33">
        <v>3.1</v>
      </c>
      <c r="D118" s="36" t="s">
        <v>111</v>
      </c>
      <c r="E118" s="23">
        <v>12</v>
      </c>
      <c r="F118" s="23" t="s">
        <v>17</v>
      </c>
      <c r="G118" s="24"/>
      <c r="H118" s="24">
        <f>G118*E118</f>
        <v>0</v>
      </c>
    </row>
    <row r="119" spans="1:8" x14ac:dyDescent="0.45">
      <c r="A119" s="40"/>
      <c r="B119" s="92">
        <v>1503020</v>
      </c>
      <c r="C119" s="92"/>
      <c r="D119" s="93" t="s">
        <v>114</v>
      </c>
      <c r="E119" s="50"/>
      <c r="F119" s="50"/>
      <c r="G119" s="44"/>
      <c r="H119" s="51"/>
    </row>
    <row r="120" spans="1:8" x14ac:dyDescent="0.45">
      <c r="A120" s="22" t="s">
        <v>3064</v>
      </c>
      <c r="B120" s="33">
        <v>1503020</v>
      </c>
      <c r="C120" s="33">
        <v>3.1</v>
      </c>
      <c r="D120" s="36" t="s">
        <v>116</v>
      </c>
      <c r="E120" s="23">
        <v>12</v>
      </c>
      <c r="F120" s="23" t="s">
        <v>17</v>
      </c>
      <c r="G120" s="24"/>
      <c r="H120" s="24">
        <f>G120*E120</f>
        <v>0</v>
      </c>
    </row>
    <row r="121" spans="1:8" x14ac:dyDescent="0.45">
      <c r="A121" s="22" t="s">
        <v>3065</v>
      </c>
      <c r="B121" s="33">
        <v>1503020</v>
      </c>
      <c r="C121" s="33">
        <v>3.3</v>
      </c>
      <c r="D121" s="36" t="s">
        <v>120</v>
      </c>
      <c r="E121" s="23">
        <v>12</v>
      </c>
      <c r="F121" s="23" t="s">
        <v>17</v>
      </c>
      <c r="G121" s="24"/>
      <c r="H121" s="24">
        <f>G121*E121</f>
        <v>0</v>
      </c>
    </row>
    <row r="122" spans="1:8" x14ac:dyDescent="0.45">
      <c r="A122" s="58"/>
      <c r="B122" s="59"/>
      <c r="C122" s="59"/>
      <c r="D122" s="60" t="s">
        <v>190</v>
      </c>
      <c r="E122" s="59"/>
      <c r="F122" s="59"/>
      <c r="G122" s="59"/>
      <c r="H122" s="62">
        <f>SUM(H107:H121)</f>
        <v>0</v>
      </c>
    </row>
    <row r="123" spans="1:8" x14ac:dyDescent="0.45">
      <c r="A123" s="87"/>
      <c r="B123" s="88"/>
      <c r="C123" s="88"/>
      <c r="D123" s="89"/>
      <c r="E123" s="88"/>
      <c r="F123" s="88"/>
      <c r="G123" s="88"/>
      <c r="H123" s="94"/>
    </row>
    <row r="124" spans="1:8" x14ac:dyDescent="0.45">
      <c r="A124" s="12" t="s">
        <v>3066</v>
      </c>
      <c r="B124" s="13"/>
      <c r="C124" s="13"/>
      <c r="D124" s="12" t="s">
        <v>192</v>
      </c>
      <c r="E124" s="91"/>
      <c r="F124" s="91"/>
      <c r="G124" s="91"/>
      <c r="H124" s="91"/>
    </row>
    <row r="125" spans="1:8" x14ac:dyDescent="0.4">
      <c r="A125" s="40"/>
      <c r="B125" s="222">
        <v>1502000</v>
      </c>
      <c r="C125" s="18"/>
      <c r="D125" s="223" t="s">
        <v>18</v>
      </c>
      <c r="E125" s="43"/>
      <c r="F125" s="44"/>
      <c r="G125" s="43"/>
      <c r="H125" s="45"/>
    </row>
    <row r="126" spans="1:8" x14ac:dyDescent="0.45">
      <c r="A126" s="25"/>
      <c r="B126" s="26"/>
      <c r="C126" s="26">
        <v>3.4</v>
      </c>
      <c r="D126" s="27" t="s">
        <v>62</v>
      </c>
      <c r="E126" s="28"/>
      <c r="F126" s="28"/>
      <c r="G126" s="28"/>
      <c r="H126" s="28"/>
    </row>
    <row r="127" spans="1:8" x14ac:dyDescent="0.45">
      <c r="A127" s="22" t="s">
        <v>3067</v>
      </c>
      <c r="B127" s="23">
        <v>1502000</v>
      </c>
      <c r="C127" s="23" t="s">
        <v>67</v>
      </c>
      <c r="D127" s="35" t="s">
        <v>68</v>
      </c>
      <c r="E127" s="23">
        <v>12</v>
      </c>
      <c r="F127" s="23" t="s">
        <v>17</v>
      </c>
      <c r="G127" s="24"/>
      <c r="H127" s="24">
        <f>G127*E127</f>
        <v>0</v>
      </c>
    </row>
    <row r="128" spans="1:8" s="263" customFormat="1" x14ac:dyDescent="0.45">
      <c r="A128" s="265"/>
      <c r="B128" s="376"/>
      <c r="C128" s="376">
        <v>3.6</v>
      </c>
      <c r="D128" s="377" t="s">
        <v>75</v>
      </c>
      <c r="E128" s="268"/>
      <c r="F128" s="268"/>
      <c r="G128" s="268"/>
      <c r="H128" s="268"/>
    </row>
    <row r="129" spans="1:8" s="263" customFormat="1" x14ac:dyDescent="0.45">
      <c r="A129" s="258" t="s">
        <v>3068</v>
      </c>
      <c r="B129" s="261">
        <v>1502000</v>
      </c>
      <c r="C129" s="259" t="s">
        <v>77</v>
      </c>
      <c r="D129" s="275" t="s">
        <v>78</v>
      </c>
      <c r="E129" s="261">
        <v>12</v>
      </c>
      <c r="F129" s="261" t="s">
        <v>17</v>
      </c>
      <c r="G129" s="262"/>
      <c r="H129" s="262">
        <f>G129*E129</f>
        <v>0</v>
      </c>
    </row>
    <row r="130" spans="1:8" x14ac:dyDescent="0.45">
      <c r="A130" s="40"/>
      <c r="B130" s="92">
        <v>1503020</v>
      </c>
      <c r="C130" s="92"/>
      <c r="D130" s="93" t="s">
        <v>114</v>
      </c>
      <c r="E130" s="50"/>
      <c r="F130" s="50"/>
      <c r="G130" s="44"/>
      <c r="H130" s="51"/>
    </row>
    <row r="131" spans="1:8" x14ac:dyDescent="0.45">
      <c r="A131" s="22" t="s">
        <v>5216</v>
      </c>
      <c r="B131" s="33">
        <v>1503020</v>
      </c>
      <c r="C131" s="33">
        <v>3.1</v>
      </c>
      <c r="D131" s="36" t="s">
        <v>116</v>
      </c>
      <c r="E131" s="23">
        <v>12</v>
      </c>
      <c r="F131" s="23" t="s">
        <v>17</v>
      </c>
      <c r="G131" s="24"/>
      <c r="H131" s="24">
        <f>G131*E131</f>
        <v>0</v>
      </c>
    </row>
    <row r="132" spans="1:8" x14ac:dyDescent="0.45">
      <c r="A132" s="22" t="s">
        <v>5217</v>
      </c>
      <c r="B132" s="33">
        <v>1503020</v>
      </c>
      <c r="C132" s="33">
        <v>3.2</v>
      </c>
      <c r="D132" s="36" t="s">
        <v>118</v>
      </c>
      <c r="E132" s="23">
        <v>12</v>
      </c>
      <c r="F132" s="23" t="s">
        <v>17</v>
      </c>
      <c r="G132" s="24"/>
      <c r="H132" s="24">
        <f>G132*E132</f>
        <v>0</v>
      </c>
    </row>
    <row r="133" spans="1:8" x14ac:dyDescent="0.45">
      <c r="A133" s="22" t="s">
        <v>5218</v>
      </c>
      <c r="B133" s="33">
        <v>1503020</v>
      </c>
      <c r="C133" s="33">
        <v>3.3</v>
      </c>
      <c r="D133" s="36" t="s">
        <v>120</v>
      </c>
      <c r="E133" s="23">
        <v>12</v>
      </c>
      <c r="F133" s="23" t="s">
        <v>17</v>
      </c>
      <c r="G133" s="24"/>
      <c r="H133" s="24">
        <f>G133*E133</f>
        <v>0</v>
      </c>
    </row>
    <row r="134" spans="1:8" x14ac:dyDescent="0.45">
      <c r="A134" s="40"/>
      <c r="B134" s="43">
        <v>1503030</v>
      </c>
      <c r="C134" s="41"/>
      <c r="D134" s="42" t="s">
        <v>121</v>
      </c>
      <c r="E134" s="95"/>
      <c r="F134" s="95"/>
      <c r="G134" s="44"/>
      <c r="H134" s="95"/>
    </row>
    <row r="135" spans="1:8" x14ac:dyDescent="0.45">
      <c r="A135" s="22" t="s">
        <v>5219</v>
      </c>
      <c r="B135" s="33">
        <v>1503030</v>
      </c>
      <c r="C135" s="33" t="s">
        <v>123</v>
      </c>
      <c r="D135" s="36" t="s">
        <v>124</v>
      </c>
      <c r="E135" s="23">
        <v>12</v>
      </c>
      <c r="F135" s="23" t="s">
        <v>17</v>
      </c>
      <c r="G135" s="24"/>
      <c r="H135" s="24">
        <f>G135*E135</f>
        <v>0</v>
      </c>
    </row>
    <row r="136" spans="1:8" x14ac:dyDescent="0.45">
      <c r="A136" s="58"/>
      <c r="B136" s="59"/>
      <c r="C136" s="59"/>
      <c r="D136" s="60" t="s">
        <v>195</v>
      </c>
      <c r="E136" s="59"/>
      <c r="F136" s="59"/>
      <c r="G136" s="59"/>
      <c r="H136" s="62">
        <f>SUM(H127:H135)</f>
        <v>0</v>
      </c>
    </row>
    <row r="137" spans="1:8" x14ac:dyDescent="0.45">
      <c r="A137" s="87"/>
      <c r="B137" s="88"/>
      <c r="C137" s="88"/>
      <c r="D137" s="65"/>
      <c r="E137" s="64"/>
      <c r="F137" s="64"/>
      <c r="G137" s="97"/>
      <c r="H137" s="66"/>
    </row>
    <row r="138" spans="1:8" x14ac:dyDescent="0.45">
      <c r="A138" s="12" t="s">
        <v>3069</v>
      </c>
      <c r="B138" s="13"/>
      <c r="C138" s="13"/>
      <c r="D138" s="12" t="s">
        <v>197</v>
      </c>
      <c r="E138" s="91"/>
      <c r="F138" s="91"/>
      <c r="G138" s="13"/>
      <c r="H138" s="91"/>
    </row>
    <row r="139" spans="1:8" x14ac:dyDescent="0.45">
      <c r="A139" s="40"/>
      <c r="B139" s="41">
        <v>1503010</v>
      </c>
      <c r="C139" s="41"/>
      <c r="D139" s="42" t="s">
        <v>109</v>
      </c>
      <c r="E139" s="43"/>
      <c r="F139" s="44"/>
      <c r="G139" s="44"/>
      <c r="H139" s="45"/>
    </row>
    <row r="140" spans="1:8" x14ac:dyDescent="0.45">
      <c r="A140" s="22" t="s">
        <v>3070</v>
      </c>
      <c r="B140" s="33">
        <v>1503010</v>
      </c>
      <c r="C140" s="33">
        <v>3.1</v>
      </c>
      <c r="D140" s="36" t="s">
        <v>111</v>
      </c>
      <c r="E140" s="23">
        <v>12</v>
      </c>
      <c r="F140" s="23" t="s">
        <v>17</v>
      </c>
      <c r="G140" s="24"/>
      <c r="H140" s="24">
        <f>G140*E140</f>
        <v>0</v>
      </c>
    </row>
    <row r="141" spans="1:8" x14ac:dyDescent="0.45">
      <c r="A141" s="40"/>
      <c r="B141" s="43">
        <v>1503030</v>
      </c>
      <c r="C141" s="41"/>
      <c r="D141" s="42" t="s">
        <v>121</v>
      </c>
      <c r="E141" s="50"/>
      <c r="F141" s="50"/>
      <c r="G141" s="44"/>
      <c r="H141" s="51"/>
    </row>
    <row r="142" spans="1:8" x14ac:dyDescent="0.45">
      <c r="A142" s="22" t="s">
        <v>3071</v>
      </c>
      <c r="B142" s="33">
        <v>1503030</v>
      </c>
      <c r="C142" s="33" t="s">
        <v>123</v>
      </c>
      <c r="D142" s="36" t="s">
        <v>124</v>
      </c>
      <c r="E142" s="23">
        <v>12</v>
      </c>
      <c r="F142" s="23" t="s">
        <v>17</v>
      </c>
      <c r="G142" s="24"/>
      <c r="H142" s="24">
        <f>G142*E142</f>
        <v>0</v>
      </c>
    </row>
    <row r="143" spans="1:8" x14ac:dyDescent="0.45">
      <c r="A143" s="58"/>
      <c r="B143" s="59"/>
      <c r="C143" s="59"/>
      <c r="D143" s="60" t="s">
        <v>200</v>
      </c>
      <c r="E143" s="59"/>
      <c r="F143" s="59"/>
      <c r="G143" s="59"/>
      <c r="H143" s="62">
        <f>SUM(H138:H142)</f>
        <v>0</v>
      </c>
    </row>
    <row r="144" spans="1:8" x14ac:dyDescent="0.45">
      <c r="A144" s="96"/>
      <c r="B144" s="97"/>
      <c r="C144" s="97"/>
      <c r="D144" s="98"/>
      <c r="E144" s="97"/>
      <c r="F144" s="97"/>
      <c r="G144" s="97"/>
      <c r="H144" s="99"/>
    </row>
    <row r="145" spans="1:8" x14ac:dyDescent="0.45">
      <c r="A145" s="12" t="s">
        <v>3072</v>
      </c>
      <c r="B145" s="13"/>
      <c r="C145" s="13"/>
      <c r="D145" s="12" t="s">
        <v>202</v>
      </c>
      <c r="E145" s="100"/>
      <c r="F145" s="101"/>
      <c r="G145" s="13"/>
      <c r="H145" s="102"/>
    </row>
    <row r="146" spans="1:8" x14ac:dyDescent="0.45">
      <c r="A146" s="40"/>
      <c r="B146" s="41">
        <v>1503010</v>
      </c>
      <c r="C146" s="41"/>
      <c r="D146" s="42" t="s">
        <v>109</v>
      </c>
      <c r="E146" s="43"/>
      <c r="F146" s="44"/>
      <c r="G146" s="44"/>
      <c r="H146" s="45"/>
    </row>
    <row r="147" spans="1:8" x14ac:dyDescent="0.45">
      <c r="A147" s="22" t="s">
        <v>3073</v>
      </c>
      <c r="B147" s="33">
        <v>1503010</v>
      </c>
      <c r="C147" s="33">
        <v>3.1</v>
      </c>
      <c r="D147" s="36" t="s">
        <v>111</v>
      </c>
      <c r="E147" s="23">
        <v>12</v>
      </c>
      <c r="F147" s="23" t="s">
        <v>17</v>
      </c>
      <c r="G147" s="24"/>
      <c r="H147" s="24">
        <f>G147*E147</f>
        <v>0</v>
      </c>
    </row>
    <row r="148" spans="1:8" x14ac:dyDescent="0.45">
      <c r="A148" s="40"/>
      <c r="B148" s="43">
        <v>1503030</v>
      </c>
      <c r="C148" s="41"/>
      <c r="D148" s="42" t="s">
        <v>121</v>
      </c>
      <c r="E148" s="43"/>
      <c r="F148" s="44"/>
      <c r="G148" s="44"/>
      <c r="H148" s="45"/>
    </row>
    <row r="149" spans="1:8" x14ac:dyDescent="0.45">
      <c r="A149" s="22" t="s">
        <v>3074</v>
      </c>
      <c r="B149" s="33">
        <v>1503030</v>
      </c>
      <c r="C149" s="33" t="s">
        <v>123</v>
      </c>
      <c r="D149" s="36" t="s">
        <v>124</v>
      </c>
      <c r="E149" s="23">
        <v>12</v>
      </c>
      <c r="F149" s="23" t="s">
        <v>17</v>
      </c>
      <c r="G149" s="24"/>
      <c r="H149" s="24">
        <f>G149*E149</f>
        <v>0</v>
      </c>
    </row>
    <row r="150" spans="1:8" x14ac:dyDescent="0.45">
      <c r="A150" s="58"/>
      <c r="B150" s="59"/>
      <c r="C150" s="59"/>
      <c r="D150" s="60" t="s">
        <v>205</v>
      </c>
      <c r="E150" s="59"/>
      <c r="F150" s="59"/>
      <c r="G150" s="59"/>
      <c r="H150" s="62">
        <f>SUM(H147:H149)</f>
        <v>0</v>
      </c>
    </row>
    <row r="151" spans="1:8" x14ac:dyDescent="0.45">
      <c r="A151" s="96"/>
      <c r="B151" s="97"/>
      <c r="C151" s="97"/>
      <c r="D151" s="98"/>
      <c r="E151" s="97"/>
      <c r="F151" s="97"/>
      <c r="G151" s="88"/>
      <c r="H151" s="99"/>
    </row>
    <row r="152" spans="1:8" x14ac:dyDescent="0.45">
      <c r="A152" s="12" t="s">
        <v>3075</v>
      </c>
      <c r="B152" s="13"/>
      <c r="C152" s="13"/>
      <c r="D152" s="12" t="s">
        <v>207</v>
      </c>
      <c r="E152" s="100"/>
      <c r="F152" s="101"/>
      <c r="G152" s="91"/>
      <c r="H152" s="102"/>
    </row>
    <row r="153" spans="1:8" x14ac:dyDescent="0.4">
      <c r="A153" s="40"/>
      <c r="B153" s="222">
        <v>1502000</v>
      </c>
      <c r="C153" s="18"/>
      <c r="D153" s="223" t="s">
        <v>18</v>
      </c>
      <c r="E153" s="43"/>
      <c r="F153" s="44"/>
      <c r="G153" s="43"/>
      <c r="H153" s="45"/>
    </row>
    <row r="154" spans="1:8" x14ac:dyDescent="0.45">
      <c r="A154" s="25"/>
      <c r="B154" s="37"/>
      <c r="C154" s="37">
        <v>3.6</v>
      </c>
      <c r="D154" s="38" t="s">
        <v>75</v>
      </c>
      <c r="E154" s="28"/>
      <c r="F154" s="28"/>
      <c r="G154" s="28"/>
      <c r="H154" s="28"/>
    </row>
    <row r="155" spans="1:8" x14ac:dyDescent="0.45">
      <c r="A155" s="22" t="s">
        <v>3076</v>
      </c>
      <c r="B155" s="23">
        <v>1502000</v>
      </c>
      <c r="C155" s="33" t="s">
        <v>77</v>
      </c>
      <c r="D155" s="39" t="s">
        <v>78</v>
      </c>
      <c r="E155" s="23">
        <v>12</v>
      </c>
      <c r="F155" s="23" t="s">
        <v>17</v>
      </c>
      <c r="G155" s="24"/>
      <c r="H155" s="24">
        <f>G155*E155</f>
        <v>0</v>
      </c>
    </row>
    <row r="156" spans="1:8" x14ac:dyDescent="0.45">
      <c r="A156" s="22" t="s">
        <v>3077</v>
      </c>
      <c r="B156" s="23">
        <v>1502000</v>
      </c>
      <c r="C156" s="33" t="s">
        <v>101</v>
      </c>
      <c r="D156" s="39" t="s">
        <v>102</v>
      </c>
      <c r="E156" s="23">
        <v>12</v>
      </c>
      <c r="F156" s="23" t="s">
        <v>17</v>
      </c>
      <c r="G156" s="24"/>
      <c r="H156" s="24">
        <f>G156*E156</f>
        <v>0</v>
      </c>
    </row>
    <row r="157" spans="1:8" x14ac:dyDescent="0.45">
      <c r="A157" s="40"/>
      <c r="B157" s="41">
        <v>1503010</v>
      </c>
      <c r="C157" s="41"/>
      <c r="D157" s="42" t="s">
        <v>109</v>
      </c>
      <c r="E157" s="43"/>
      <c r="F157" s="44"/>
      <c r="G157" s="44"/>
      <c r="H157" s="45"/>
    </row>
    <row r="158" spans="1:8" x14ac:dyDescent="0.45">
      <c r="A158" s="22" t="s">
        <v>3078</v>
      </c>
      <c r="B158" s="33">
        <v>1503010</v>
      </c>
      <c r="C158" s="33">
        <v>3.1</v>
      </c>
      <c r="D158" s="36" t="s">
        <v>111</v>
      </c>
      <c r="E158" s="23">
        <v>12</v>
      </c>
      <c r="F158" s="23" t="s">
        <v>17</v>
      </c>
      <c r="G158" s="24"/>
      <c r="H158" s="24">
        <f>G158*E158</f>
        <v>0</v>
      </c>
    </row>
    <row r="159" spans="1:8" x14ac:dyDescent="0.45">
      <c r="A159" s="40"/>
      <c r="B159" s="92">
        <v>1503020</v>
      </c>
      <c r="C159" s="92"/>
      <c r="D159" s="93" t="s">
        <v>114</v>
      </c>
      <c r="E159" s="43"/>
      <c r="F159" s="44"/>
      <c r="G159" s="44"/>
      <c r="H159" s="45"/>
    </row>
    <row r="160" spans="1:8" x14ac:dyDescent="0.45">
      <c r="A160" s="22" t="s">
        <v>3079</v>
      </c>
      <c r="B160" s="33">
        <v>1503020</v>
      </c>
      <c r="C160" s="33">
        <v>3.1</v>
      </c>
      <c r="D160" s="36" t="s">
        <v>116</v>
      </c>
      <c r="E160" s="23">
        <v>12</v>
      </c>
      <c r="F160" s="23" t="s">
        <v>17</v>
      </c>
      <c r="G160" s="24"/>
      <c r="H160" s="24">
        <f>G160*E160</f>
        <v>0</v>
      </c>
    </row>
    <row r="161" spans="1:8" x14ac:dyDescent="0.45">
      <c r="A161" s="22" t="s">
        <v>3080</v>
      </c>
      <c r="B161" s="33">
        <v>1503020</v>
      </c>
      <c r="C161" s="33">
        <v>3.2</v>
      </c>
      <c r="D161" s="36" t="s">
        <v>118</v>
      </c>
      <c r="E161" s="23">
        <v>12</v>
      </c>
      <c r="F161" s="23" t="s">
        <v>17</v>
      </c>
      <c r="G161" s="24"/>
      <c r="H161" s="24">
        <f>G161*E161</f>
        <v>0</v>
      </c>
    </row>
    <row r="162" spans="1:8" x14ac:dyDescent="0.45">
      <c r="A162" s="22" t="s">
        <v>3081</v>
      </c>
      <c r="B162" s="33">
        <v>1503020</v>
      </c>
      <c r="C162" s="33">
        <v>3.3</v>
      </c>
      <c r="D162" s="36" t="s">
        <v>120</v>
      </c>
      <c r="E162" s="23">
        <v>12</v>
      </c>
      <c r="F162" s="23" t="s">
        <v>17</v>
      </c>
      <c r="G162" s="24"/>
      <c r="H162" s="24">
        <f>G162*E162</f>
        <v>0</v>
      </c>
    </row>
    <row r="163" spans="1:8" x14ac:dyDescent="0.45">
      <c r="A163" s="40"/>
      <c r="B163" s="43">
        <v>1503030</v>
      </c>
      <c r="C163" s="41"/>
      <c r="D163" s="42" t="s">
        <v>121</v>
      </c>
      <c r="E163" s="43"/>
      <c r="F163" s="44"/>
      <c r="G163" s="44"/>
      <c r="H163" s="45"/>
    </row>
    <row r="164" spans="1:8" x14ac:dyDescent="0.45">
      <c r="A164" s="22" t="s">
        <v>3082</v>
      </c>
      <c r="B164" s="33">
        <v>1503030</v>
      </c>
      <c r="C164" s="33" t="s">
        <v>123</v>
      </c>
      <c r="D164" s="36" t="s">
        <v>124</v>
      </c>
      <c r="E164" s="23">
        <v>12</v>
      </c>
      <c r="F164" s="23" t="s">
        <v>17</v>
      </c>
      <c r="G164" s="24"/>
      <c r="H164" s="24">
        <f>G164*E164</f>
        <v>0</v>
      </c>
    </row>
    <row r="165" spans="1:8" x14ac:dyDescent="0.45">
      <c r="A165" s="58"/>
      <c r="B165" s="59"/>
      <c r="C165" s="59"/>
      <c r="D165" s="60" t="s">
        <v>215</v>
      </c>
      <c r="E165" s="59"/>
      <c r="F165" s="59"/>
      <c r="G165" s="59"/>
      <c r="H165" s="62">
        <f>SUM(H154:H164)</f>
        <v>0</v>
      </c>
    </row>
    <row r="166" spans="1:8" x14ac:dyDescent="0.45">
      <c r="A166" s="96"/>
      <c r="B166" s="97"/>
      <c r="C166" s="97"/>
      <c r="D166" s="98"/>
      <c r="E166" s="97"/>
      <c r="F166" s="97"/>
      <c r="G166" s="88"/>
      <c r="H166" s="99"/>
    </row>
    <row r="167" spans="1:8" x14ac:dyDescent="0.45">
      <c r="A167" s="12" t="s">
        <v>3083</v>
      </c>
      <c r="B167" s="13"/>
      <c r="C167" s="13"/>
      <c r="D167" s="12" t="s">
        <v>217</v>
      </c>
      <c r="E167" s="100"/>
      <c r="F167" s="101"/>
      <c r="G167" s="91"/>
      <c r="H167" s="102"/>
    </row>
    <row r="168" spans="1:8" s="263" customFormat="1" x14ac:dyDescent="0.4">
      <c r="A168" s="278"/>
      <c r="B168" s="430">
        <v>1502000</v>
      </c>
      <c r="C168" s="280"/>
      <c r="D168" s="431" t="s">
        <v>18</v>
      </c>
      <c r="E168" s="282"/>
      <c r="F168" s="283"/>
      <c r="G168" s="282"/>
      <c r="H168" s="284"/>
    </row>
    <row r="169" spans="1:8" s="263" customFormat="1" x14ac:dyDescent="0.45">
      <c r="A169" s="265"/>
      <c r="B169" s="266"/>
      <c r="C169" s="266">
        <v>3.1</v>
      </c>
      <c r="D169" s="267" t="s">
        <v>19</v>
      </c>
      <c r="E169" s="266"/>
      <c r="F169" s="266"/>
      <c r="G169" s="268"/>
      <c r="H169" s="273"/>
    </row>
    <row r="170" spans="1:8" s="263" customFormat="1" x14ac:dyDescent="0.45">
      <c r="A170" s="258" t="s">
        <v>3084</v>
      </c>
      <c r="B170" s="261">
        <v>1502000</v>
      </c>
      <c r="C170" s="261" t="s">
        <v>21</v>
      </c>
      <c r="D170" s="264" t="s">
        <v>22</v>
      </c>
      <c r="E170" s="261">
        <v>12</v>
      </c>
      <c r="F170" s="261" t="s">
        <v>17</v>
      </c>
      <c r="G170" s="262"/>
      <c r="H170" s="262">
        <f>G170*E170</f>
        <v>0</v>
      </c>
    </row>
    <row r="171" spans="1:8" s="263" customFormat="1" x14ac:dyDescent="0.45">
      <c r="A171" s="258" t="s">
        <v>3085</v>
      </c>
      <c r="B171" s="261">
        <v>1502000</v>
      </c>
      <c r="C171" s="261" t="s">
        <v>24</v>
      </c>
      <c r="D171" s="264" t="s">
        <v>25</v>
      </c>
      <c r="E171" s="261">
        <v>12</v>
      </c>
      <c r="F171" s="261" t="s">
        <v>17</v>
      </c>
      <c r="G171" s="262"/>
      <c r="H171" s="262">
        <f>G171*E171</f>
        <v>0</v>
      </c>
    </row>
    <row r="172" spans="1:8" s="263" customFormat="1" ht="13.5" customHeight="1" x14ac:dyDescent="0.45">
      <c r="A172" s="258" t="s">
        <v>3086</v>
      </c>
      <c r="B172" s="261">
        <v>1502000</v>
      </c>
      <c r="C172" s="261" t="s">
        <v>27</v>
      </c>
      <c r="D172" s="264" t="s">
        <v>28</v>
      </c>
      <c r="E172" s="261">
        <v>12</v>
      </c>
      <c r="F172" s="261" t="s">
        <v>17</v>
      </c>
      <c r="G172" s="262"/>
      <c r="H172" s="262">
        <f>G172*E172</f>
        <v>0</v>
      </c>
    </row>
    <row r="173" spans="1:8" s="263" customFormat="1" x14ac:dyDescent="0.45">
      <c r="A173" s="265"/>
      <c r="B173" s="266"/>
      <c r="C173" s="266">
        <v>3.1</v>
      </c>
      <c r="D173" s="267" t="s">
        <v>31</v>
      </c>
      <c r="E173" s="268"/>
      <c r="F173" s="268"/>
      <c r="G173" s="268"/>
      <c r="H173" s="268"/>
    </row>
    <row r="174" spans="1:8" s="263" customFormat="1" x14ac:dyDescent="0.45">
      <c r="A174" s="258" t="s">
        <v>3087</v>
      </c>
      <c r="B174" s="261">
        <v>1502000</v>
      </c>
      <c r="C174" s="261" t="s">
        <v>222</v>
      </c>
      <c r="D174" s="269" t="s">
        <v>223</v>
      </c>
      <c r="E174" s="261">
        <v>12</v>
      </c>
      <c r="F174" s="261" t="s">
        <v>17</v>
      </c>
      <c r="G174" s="262"/>
      <c r="H174" s="262">
        <f t="shared" ref="H174:H191" si="3">G174*E174</f>
        <v>0</v>
      </c>
    </row>
    <row r="175" spans="1:8" s="263" customFormat="1" x14ac:dyDescent="0.45">
      <c r="A175" s="258" t="s">
        <v>3088</v>
      </c>
      <c r="B175" s="261">
        <v>1502000</v>
      </c>
      <c r="C175" s="261" t="s">
        <v>33</v>
      </c>
      <c r="D175" s="269" t="s">
        <v>34</v>
      </c>
      <c r="E175" s="261">
        <v>12</v>
      </c>
      <c r="F175" s="261" t="s">
        <v>17</v>
      </c>
      <c r="G175" s="262"/>
      <c r="H175" s="262">
        <f t="shared" si="3"/>
        <v>0</v>
      </c>
    </row>
    <row r="176" spans="1:8" s="263" customFormat="1" x14ac:dyDescent="0.45">
      <c r="A176" s="258" t="s">
        <v>3089</v>
      </c>
      <c r="B176" s="261">
        <v>1502000</v>
      </c>
      <c r="C176" s="261" t="s">
        <v>36</v>
      </c>
      <c r="D176" s="269" t="s">
        <v>37</v>
      </c>
      <c r="E176" s="261">
        <v>12</v>
      </c>
      <c r="F176" s="261" t="s">
        <v>17</v>
      </c>
      <c r="G176" s="262"/>
      <c r="H176" s="262">
        <f t="shared" si="3"/>
        <v>0</v>
      </c>
    </row>
    <row r="177" spans="1:8" s="263" customFormat="1" x14ac:dyDescent="0.45">
      <c r="A177" s="258" t="s">
        <v>3090</v>
      </c>
      <c r="B177" s="261">
        <v>1502000</v>
      </c>
      <c r="C177" s="261" t="s">
        <v>227</v>
      </c>
      <c r="D177" s="270" t="s">
        <v>228</v>
      </c>
      <c r="E177" s="261">
        <v>12</v>
      </c>
      <c r="F177" s="261" t="s">
        <v>17</v>
      </c>
      <c r="G177" s="262"/>
      <c r="H177" s="262">
        <f t="shared" si="3"/>
        <v>0</v>
      </c>
    </row>
    <row r="178" spans="1:8" s="263" customFormat="1" x14ac:dyDescent="0.45">
      <c r="A178" s="258" t="s">
        <v>3091</v>
      </c>
      <c r="B178" s="261">
        <v>1502000</v>
      </c>
      <c r="C178" s="261" t="s">
        <v>39</v>
      </c>
      <c r="D178" s="269" t="s">
        <v>230</v>
      </c>
      <c r="E178" s="261">
        <v>12</v>
      </c>
      <c r="F178" s="261" t="s">
        <v>17</v>
      </c>
      <c r="G178" s="262"/>
      <c r="H178" s="262">
        <f t="shared" si="3"/>
        <v>0</v>
      </c>
    </row>
    <row r="179" spans="1:8" s="263" customFormat="1" x14ac:dyDescent="0.45">
      <c r="A179" s="258" t="s">
        <v>3092</v>
      </c>
      <c r="B179" s="261">
        <v>1502000</v>
      </c>
      <c r="C179" s="261" t="s">
        <v>232</v>
      </c>
      <c r="D179" s="269" t="s">
        <v>233</v>
      </c>
      <c r="E179" s="261">
        <v>12</v>
      </c>
      <c r="F179" s="261" t="s">
        <v>17</v>
      </c>
      <c r="G179" s="262"/>
      <c r="H179" s="262">
        <f t="shared" si="3"/>
        <v>0</v>
      </c>
    </row>
    <row r="180" spans="1:8" s="263" customFormat="1" x14ac:dyDescent="0.45">
      <c r="A180" s="258" t="s">
        <v>3093</v>
      </c>
      <c r="B180" s="261">
        <v>1502000</v>
      </c>
      <c r="C180" s="271" t="s">
        <v>235</v>
      </c>
      <c r="D180" s="263" t="s">
        <v>236</v>
      </c>
      <c r="E180" s="261">
        <v>12</v>
      </c>
      <c r="F180" s="261" t="s">
        <v>17</v>
      </c>
      <c r="G180" s="262"/>
      <c r="H180" s="262">
        <f t="shared" si="3"/>
        <v>0</v>
      </c>
    </row>
    <row r="181" spans="1:8" s="263" customFormat="1" x14ac:dyDescent="0.45">
      <c r="A181" s="258" t="s">
        <v>3094</v>
      </c>
      <c r="B181" s="261">
        <v>1502000</v>
      </c>
      <c r="C181" s="261" t="s">
        <v>238</v>
      </c>
      <c r="D181" s="269" t="s">
        <v>239</v>
      </c>
      <c r="E181" s="261">
        <v>12</v>
      </c>
      <c r="F181" s="261" t="s">
        <v>17</v>
      </c>
      <c r="G181" s="262"/>
      <c r="H181" s="262">
        <f t="shared" si="3"/>
        <v>0</v>
      </c>
    </row>
    <row r="182" spans="1:8" s="263" customFormat="1" x14ac:dyDescent="0.45">
      <c r="A182" s="258" t="s">
        <v>3095</v>
      </c>
      <c r="B182" s="261">
        <v>1502000</v>
      </c>
      <c r="C182" s="261" t="s">
        <v>241</v>
      </c>
      <c r="D182" s="269" t="s">
        <v>242</v>
      </c>
      <c r="E182" s="261">
        <v>12</v>
      </c>
      <c r="F182" s="261" t="s">
        <v>17</v>
      </c>
      <c r="G182" s="262"/>
      <c r="H182" s="262">
        <f t="shared" si="3"/>
        <v>0</v>
      </c>
    </row>
    <row r="183" spans="1:8" s="263" customFormat="1" x14ac:dyDescent="0.45">
      <c r="A183" s="258" t="s">
        <v>3096</v>
      </c>
      <c r="B183" s="261">
        <v>1502000</v>
      </c>
      <c r="C183" s="261" t="s">
        <v>244</v>
      </c>
      <c r="D183" s="269" t="s">
        <v>245</v>
      </c>
      <c r="E183" s="261">
        <v>12</v>
      </c>
      <c r="F183" s="261" t="s">
        <v>17</v>
      </c>
      <c r="G183" s="262"/>
      <c r="H183" s="262">
        <f t="shared" si="3"/>
        <v>0</v>
      </c>
    </row>
    <row r="184" spans="1:8" s="263" customFormat="1" x14ac:dyDescent="0.45">
      <c r="A184" s="258" t="s">
        <v>3097</v>
      </c>
      <c r="B184" s="261">
        <v>1502000</v>
      </c>
      <c r="C184" s="261" t="s">
        <v>247</v>
      </c>
      <c r="D184" s="269" t="s">
        <v>248</v>
      </c>
      <c r="E184" s="261">
        <v>12</v>
      </c>
      <c r="F184" s="261" t="s">
        <v>17</v>
      </c>
      <c r="G184" s="262"/>
      <c r="H184" s="262">
        <f t="shared" si="3"/>
        <v>0</v>
      </c>
    </row>
    <row r="185" spans="1:8" s="263" customFormat="1" x14ac:dyDescent="0.45">
      <c r="A185" s="258" t="s">
        <v>3098</v>
      </c>
      <c r="B185" s="261">
        <v>1502000</v>
      </c>
      <c r="C185" s="261" t="s">
        <v>250</v>
      </c>
      <c r="D185" s="269" t="s">
        <v>251</v>
      </c>
      <c r="E185" s="261">
        <v>12</v>
      </c>
      <c r="F185" s="261" t="s">
        <v>17</v>
      </c>
      <c r="G185" s="262"/>
      <c r="H185" s="262">
        <f t="shared" si="3"/>
        <v>0</v>
      </c>
    </row>
    <row r="186" spans="1:8" s="263" customFormat="1" x14ac:dyDescent="0.45">
      <c r="A186" s="258" t="s">
        <v>3099</v>
      </c>
      <c r="B186" s="261">
        <v>1502000</v>
      </c>
      <c r="C186" s="261" t="s">
        <v>253</v>
      </c>
      <c r="D186" s="269" t="s">
        <v>254</v>
      </c>
      <c r="E186" s="261">
        <v>12</v>
      </c>
      <c r="F186" s="261" t="s">
        <v>17</v>
      </c>
      <c r="G186" s="262"/>
      <c r="H186" s="262">
        <f t="shared" si="3"/>
        <v>0</v>
      </c>
    </row>
    <row r="187" spans="1:8" s="263" customFormat="1" x14ac:dyDescent="0.45">
      <c r="A187" s="258" t="s">
        <v>3100</v>
      </c>
      <c r="B187" s="261">
        <v>1502000</v>
      </c>
      <c r="C187" s="261" t="s">
        <v>45</v>
      </c>
      <c r="D187" s="269" t="s">
        <v>46</v>
      </c>
      <c r="E187" s="261">
        <v>12</v>
      </c>
      <c r="F187" s="261" t="s">
        <v>17</v>
      </c>
      <c r="G187" s="262"/>
      <c r="H187" s="262">
        <f t="shared" si="3"/>
        <v>0</v>
      </c>
    </row>
    <row r="188" spans="1:8" s="263" customFormat="1" x14ac:dyDescent="0.45">
      <c r="A188" s="258" t="s">
        <v>3101</v>
      </c>
      <c r="B188" s="261">
        <v>1502000</v>
      </c>
      <c r="C188" s="261" t="s">
        <v>48</v>
      </c>
      <c r="D188" s="269" t="s">
        <v>257</v>
      </c>
      <c r="E188" s="261">
        <v>12</v>
      </c>
      <c r="F188" s="261" t="s">
        <v>17</v>
      </c>
      <c r="G188" s="262"/>
      <c r="H188" s="262">
        <f t="shared" si="3"/>
        <v>0</v>
      </c>
    </row>
    <row r="189" spans="1:8" s="263" customFormat="1" x14ac:dyDescent="0.45">
      <c r="A189" s="258" t="s">
        <v>3102</v>
      </c>
      <c r="B189" s="261">
        <v>1502000</v>
      </c>
      <c r="C189" s="261" t="s">
        <v>54</v>
      </c>
      <c r="D189" s="269" t="s">
        <v>55</v>
      </c>
      <c r="E189" s="261">
        <v>12</v>
      </c>
      <c r="F189" s="261" t="s">
        <v>17</v>
      </c>
      <c r="G189" s="262"/>
      <c r="H189" s="262">
        <f t="shared" si="3"/>
        <v>0</v>
      </c>
    </row>
    <row r="190" spans="1:8" s="263" customFormat="1" x14ac:dyDescent="0.45">
      <c r="A190" s="258" t="s">
        <v>3103</v>
      </c>
      <c r="B190" s="261">
        <v>1502000</v>
      </c>
      <c r="C190" s="261" t="s">
        <v>260</v>
      </c>
      <c r="D190" s="269" t="s">
        <v>261</v>
      </c>
      <c r="E190" s="261">
        <v>12</v>
      </c>
      <c r="F190" s="261" t="s">
        <v>17</v>
      </c>
      <c r="G190" s="262"/>
      <c r="H190" s="262">
        <f t="shared" si="3"/>
        <v>0</v>
      </c>
    </row>
    <row r="191" spans="1:8" s="263" customFormat="1" x14ac:dyDescent="0.45">
      <c r="A191" s="258" t="s">
        <v>3104</v>
      </c>
      <c r="B191" s="261">
        <v>1502000</v>
      </c>
      <c r="C191" s="271" t="s">
        <v>60</v>
      </c>
      <c r="D191" s="432" t="s">
        <v>61</v>
      </c>
      <c r="E191" s="261">
        <v>12</v>
      </c>
      <c r="F191" s="261" t="s">
        <v>17</v>
      </c>
      <c r="G191" s="262"/>
      <c r="H191" s="262">
        <f t="shared" si="3"/>
        <v>0</v>
      </c>
    </row>
    <row r="192" spans="1:8" s="263" customFormat="1" x14ac:dyDescent="0.45">
      <c r="A192" s="265"/>
      <c r="B192" s="266"/>
      <c r="C192" s="266">
        <v>3.4</v>
      </c>
      <c r="D192" s="267" t="s">
        <v>62</v>
      </c>
      <c r="E192" s="266"/>
      <c r="F192" s="266"/>
      <c r="G192" s="268"/>
      <c r="H192" s="273"/>
    </row>
    <row r="193" spans="1:8" s="263" customFormat="1" x14ac:dyDescent="0.45">
      <c r="A193" s="258" t="s">
        <v>3105</v>
      </c>
      <c r="B193" s="261">
        <v>1502000</v>
      </c>
      <c r="C193" s="261" t="s">
        <v>64</v>
      </c>
      <c r="D193" s="270" t="s">
        <v>65</v>
      </c>
      <c r="E193" s="261">
        <v>12</v>
      </c>
      <c r="F193" s="261" t="s">
        <v>17</v>
      </c>
      <c r="G193" s="262"/>
      <c r="H193" s="262">
        <f>G193*E193</f>
        <v>0</v>
      </c>
    </row>
    <row r="194" spans="1:8" s="263" customFormat="1" x14ac:dyDescent="0.45">
      <c r="A194" s="258" t="s">
        <v>3106</v>
      </c>
      <c r="B194" s="261">
        <v>1502000</v>
      </c>
      <c r="C194" s="261" t="s">
        <v>67</v>
      </c>
      <c r="D194" s="270" t="s">
        <v>68</v>
      </c>
      <c r="E194" s="261">
        <v>12</v>
      </c>
      <c r="F194" s="261" t="s">
        <v>17</v>
      </c>
      <c r="G194" s="262"/>
      <c r="H194" s="262">
        <f>G194*E194</f>
        <v>0</v>
      </c>
    </row>
    <row r="195" spans="1:8" s="263" customFormat="1" x14ac:dyDescent="0.45">
      <c r="A195" s="258" t="s">
        <v>3107</v>
      </c>
      <c r="B195" s="261">
        <v>1502000</v>
      </c>
      <c r="C195" s="259" t="s">
        <v>70</v>
      </c>
      <c r="D195" s="260" t="s">
        <v>71</v>
      </c>
      <c r="E195" s="261">
        <v>12</v>
      </c>
      <c r="F195" s="261" t="s">
        <v>17</v>
      </c>
      <c r="G195" s="262"/>
      <c r="H195" s="262">
        <f>G195*E195</f>
        <v>0</v>
      </c>
    </row>
    <row r="196" spans="1:8" s="263" customFormat="1" x14ac:dyDescent="0.45">
      <c r="A196" s="265"/>
      <c r="B196" s="266"/>
      <c r="C196" s="266">
        <v>3.5</v>
      </c>
      <c r="D196" s="267" t="s">
        <v>72</v>
      </c>
      <c r="E196" s="268"/>
      <c r="F196" s="268"/>
      <c r="G196" s="268"/>
      <c r="H196" s="268"/>
    </row>
    <row r="197" spans="1:8" s="263" customFormat="1" x14ac:dyDescent="0.45">
      <c r="A197" s="258" t="s">
        <v>3108</v>
      </c>
      <c r="B197" s="261">
        <v>1502000</v>
      </c>
      <c r="C197" s="261" t="s">
        <v>267</v>
      </c>
      <c r="D197" s="274" t="s">
        <v>71</v>
      </c>
      <c r="E197" s="261">
        <v>12</v>
      </c>
      <c r="F197" s="261" t="s">
        <v>17</v>
      </c>
      <c r="G197" s="262"/>
      <c r="H197" s="262">
        <f>G197*E197</f>
        <v>0</v>
      </c>
    </row>
    <row r="198" spans="1:8" s="263" customFormat="1" x14ac:dyDescent="0.45">
      <c r="A198" s="258" t="s">
        <v>3109</v>
      </c>
      <c r="B198" s="261">
        <v>1502000</v>
      </c>
      <c r="C198" s="261" t="s">
        <v>74</v>
      </c>
      <c r="D198" s="269" t="s">
        <v>37</v>
      </c>
      <c r="E198" s="261">
        <v>12</v>
      </c>
      <c r="F198" s="261" t="s">
        <v>17</v>
      </c>
      <c r="G198" s="262"/>
      <c r="H198" s="262">
        <f>G198*E198</f>
        <v>0</v>
      </c>
    </row>
    <row r="199" spans="1:8" s="263" customFormat="1" x14ac:dyDescent="0.45">
      <c r="A199" s="265"/>
      <c r="B199" s="266"/>
      <c r="C199" s="266">
        <v>3.6</v>
      </c>
      <c r="D199" s="267" t="s">
        <v>75</v>
      </c>
      <c r="E199" s="266"/>
      <c r="F199" s="266"/>
      <c r="G199" s="268"/>
      <c r="H199" s="273"/>
    </row>
    <row r="200" spans="1:8" s="263" customFormat="1" x14ac:dyDescent="0.45">
      <c r="A200" s="258" t="s">
        <v>3110</v>
      </c>
      <c r="B200" s="261">
        <v>1502000</v>
      </c>
      <c r="C200" s="259" t="s">
        <v>77</v>
      </c>
      <c r="D200" s="275" t="s">
        <v>78</v>
      </c>
      <c r="E200" s="261">
        <v>12</v>
      </c>
      <c r="F200" s="261" t="s">
        <v>17</v>
      </c>
      <c r="G200" s="262"/>
      <c r="H200" s="262">
        <f>G200*E200</f>
        <v>0</v>
      </c>
    </row>
    <row r="201" spans="1:8" s="263" customFormat="1" x14ac:dyDescent="0.45">
      <c r="A201" s="258" t="s">
        <v>3111</v>
      </c>
      <c r="B201" s="261">
        <v>1502000</v>
      </c>
      <c r="C201" s="259" t="s">
        <v>80</v>
      </c>
      <c r="D201" s="275" t="s">
        <v>81</v>
      </c>
      <c r="E201" s="261">
        <v>12</v>
      </c>
      <c r="F201" s="261" t="s">
        <v>17</v>
      </c>
      <c r="G201" s="262"/>
      <c r="H201" s="262">
        <f>G201*E201</f>
        <v>0</v>
      </c>
    </row>
    <row r="202" spans="1:8" s="263" customFormat="1" x14ac:dyDescent="0.45">
      <c r="A202" s="258" t="s">
        <v>3112</v>
      </c>
      <c r="B202" s="261">
        <v>1502000</v>
      </c>
      <c r="C202" s="259" t="s">
        <v>83</v>
      </c>
      <c r="D202" s="275" t="s">
        <v>84</v>
      </c>
      <c r="E202" s="261">
        <v>12</v>
      </c>
      <c r="F202" s="261" t="s">
        <v>17</v>
      </c>
      <c r="G202" s="262"/>
      <c r="H202" s="262">
        <f>G202*E202</f>
        <v>0</v>
      </c>
    </row>
    <row r="203" spans="1:8" s="263" customFormat="1" x14ac:dyDescent="0.45">
      <c r="A203" s="258" t="s">
        <v>3113</v>
      </c>
      <c r="B203" s="261">
        <v>1502000</v>
      </c>
      <c r="C203" s="261" t="s">
        <v>273</v>
      </c>
      <c r="D203" s="276" t="s">
        <v>274</v>
      </c>
      <c r="E203" s="261">
        <v>12</v>
      </c>
      <c r="F203" s="261" t="s">
        <v>17</v>
      </c>
      <c r="G203" s="262"/>
      <c r="H203" s="262">
        <f>G203*E203</f>
        <v>0</v>
      </c>
    </row>
    <row r="204" spans="1:8" s="263" customFormat="1" x14ac:dyDescent="0.45">
      <c r="A204" s="258" t="s">
        <v>3114</v>
      </c>
      <c r="B204" s="261">
        <v>1502000</v>
      </c>
      <c r="C204" s="277" t="s">
        <v>276</v>
      </c>
      <c r="D204" s="276" t="s">
        <v>277</v>
      </c>
      <c r="E204" s="261">
        <v>12</v>
      </c>
      <c r="F204" s="261" t="s">
        <v>17</v>
      </c>
      <c r="G204" s="262"/>
      <c r="H204" s="262">
        <f>G204*E204</f>
        <v>0</v>
      </c>
    </row>
    <row r="205" spans="1:8" x14ac:dyDescent="0.45">
      <c r="A205" s="40"/>
      <c r="B205" s="41">
        <v>1503010</v>
      </c>
      <c r="C205" s="41"/>
      <c r="D205" s="42" t="s">
        <v>109</v>
      </c>
      <c r="E205" s="43"/>
      <c r="F205" s="44"/>
      <c r="G205" s="44"/>
      <c r="H205" s="45"/>
    </row>
    <row r="206" spans="1:8" x14ac:dyDescent="0.45">
      <c r="A206" s="257" t="s">
        <v>3108</v>
      </c>
      <c r="B206" s="33">
        <v>1503010</v>
      </c>
      <c r="C206" s="33">
        <v>3.1</v>
      </c>
      <c r="D206" s="36" t="s">
        <v>111</v>
      </c>
      <c r="E206" s="23">
        <v>12</v>
      </c>
      <c r="F206" s="23" t="s">
        <v>17</v>
      </c>
      <c r="G206" s="24"/>
      <c r="H206" s="24">
        <f>G206*E206</f>
        <v>0</v>
      </c>
    </row>
    <row r="207" spans="1:8" x14ac:dyDescent="0.45">
      <c r="A207" s="257" t="s">
        <v>3109</v>
      </c>
      <c r="B207" s="33">
        <v>1503010</v>
      </c>
      <c r="C207" s="33">
        <v>3.2</v>
      </c>
      <c r="D207" s="36" t="s">
        <v>278</v>
      </c>
      <c r="E207" s="23">
        <v>12</v>
      </c>
      <c r="F207" s="23" t="s">
        <v>17</v>
      </c>
      <c r="G207" s="24"/>
      <c r="H207" s="24">
        <f>G207*E207</f>
        <v>0</v>
      </c>
    </row>
    <row r="208" spans="1:8" x14ac:dyDescent="0.45">
      <c r="A208" s="287"/>
      <c r="B208" s="43">
        <v>1503020</v>
      </c>
      <c r="C208" s="41"/>
      <c r="D208" s="42" t="s">
        <v>114</v>
      </c>
      <c r="E208" s="43"/>
      <c r="F208" s="44"/>
      <c r="G208" s="44"/>
      <c r="H208" s="45"/>
    </row>
    <row r="209" spans="1:8" ht="13.45" customHeight="1" x14ac:dyDescent="0.45">
      <c r="A209" s="257" t="s">
        <v>3110</v>
      </c>
      <c r="B209" s="33">
        <v>1503020</v>
      </c>
      <c r="C209" s="33">
        <v>3.1</v>
      </c>
      <c r="D209" s="36" t="s">
        <v>116</v>
      </c>
      <c r="E209" s="23">
        <v>12</v>
      </c>
      <c r="F209" s="23" t="s">
        <v>17</v>
      </c>
      <c r="G209" s="24"/>
      <c r="H209" s="24">
        <f>G209*E209</f>
        <v>0</v>
      </c>
    </row>
    <row r="210" spans="1:8" ht="13.45" customHeight="1" x14ac:dyDescent="0.45">
      <c r="A210" s="257" t="s">
        <v>3111</v>
      </c>
      <c r="B210" s="33">
        <v>1503020</v>
      </c>
      <c r="C210" s="33">
        <v>3.3</v>
      </c>
      <c r="D210" s="36" t="s">
        <v>120</v>
      </c>
      <c r="E210" s="23">
        <v>12</v>
      </c>
      <c r="F210" s="23" t="s">
        <v>17</v>
      </c>
      <c r="G210" s="24"/>
      <c r="H210" s="24">
        <f>G210*E210</f>
        <v>0</v>
      </c>
    </row>
    <row r="211" spans="1:8" x14ac:dyDescent="0.45">
      <c r="A211" s="287"/>
      <c r="B211" s="43">
        <v>1503030</v>
      </c>
      <c r="C211" s="41"/>
      <c r="D211" s="42" t="s">
        <v>121</v>
      </c>
      <c r="E211" s="43"/>
      <c r="F211" s="44"/>
      <c r="G211" s="44"/>
      <c r="H211" s="45"/>
    </row>
    <row r="212" spans="1:8" x14ac:dyDescent="0.45">
      <c r="A212" s="257" t="s">
        <v>3112</v>
      </c>
      <c r="B212" s="33">
        <v>1503030</v>
      </c>
      <c r="C212" s="33" t="s">
        <v>123</v>
      </c>
      <c r="D212" s="36" t="s">
        <v>124</v>
      </c>
      <c r="E212" s="23">
        <v>12</v>
      </c>
      <c r="F212" s="23" t="s">
        <v>17</v>
      </c>
      <c r="G212" s="24"/>
      <c r="H212" s="24">
        <f>G212*E212</f>
        <v>0</v>
      </c>
    </row>
    <row r="213" spans="1:8" x14ac:dyDescent="0.45">
      <c r="A213" s="287"/>
      <c r="B213" s="41">
        <v>1503050</v>
      </c>
      <c r="C213" s="41"/>
      <c r="D213" s="42" t="s">
        <v>127</v>
      </c>
      <c r="E213" s="43"/>
      <c r="F213" s="44"/>
      <c r="G213" s="44"/>
      <c r="H213" s="45"/>
    </row>
    <row r="214" spans="1:8" x14ac:dyDescent="0.45">
      <c r="A214" s="257" t="s">
        <v>3113</v>
      </c>
      <c r="B214" s="33">
        <v>1503050</v>
      </c>
      <c r="C214" s="33">
        <v>3.1</v>
      </c>
      <c r="D214" s="46" t="s">
        <v>129</v>
      </c>
      <c r="E214" s="23">
        <v>12</v>
      </c>
      <c r="F214" s="23" t="s">
        <v>17</v>
      </c>
      <c r="G214" s="24"/>
      <c r="H214" s="24">
        <f>G214*E214</f>
        <v>0</v>
      </c>
    </row>
    <row r="215" spans="1:8" x14ac:dyDescent="0.45">
      <c r="A215" s="257" t="s">
        <v>3114</v>
      </c>
      <c r="B215" s="33">
        <v>1503050</v>
      </c>
      <c r="C215" s="33">
        <v>3.4</v>
      </c>
      <c r="D215" s="36" t="s">
        <v>135</v>
      </c>
      <c r="E215" s="23">
        <v>12</v>
      </c>
      <c r="F215" s="23" t="s">
        <v>17</v>
      </c>
      <c r="G215" s="24"/>
      <c r="H215" s="24">
        <f>G215*E215</f>
        <v>0</v>
      </c>
    </row>
    <row r="216" spans="1:8" x14ac:dyDescent="0.45">
      <c r="A216" s="58"/>
      <c r="B216" s="59"/>
      <c r="C216" s="59"/>
      <c r="D216" s="60" t="s">
        <v>279</v>
      </c>
      <c r="E216" s="59"/>
      <c r="F216" s="59"/>
      <c r="G216" s="59"/>
      <c r="H216" s="62">
        <f>SUM(H169:H215)</f>
        <v>0</v>
      </c>
    </row>
    <row r="217" spans="1:8" x14ac:dyDescent="0.45">
      <c r="A217" s="6"/>
      <c r="B217" s="107"/>
      <c r="C217" s="107"/>
      <c r="D217" s="108"/>
      <c r="E217" s="107"/>
      <c r="F217" s="109"/>
      <c r="G217" s="88"/>
      <c r="H217" s="110"/>
    </row>
    <row r="218" spans="1:8" x14ac:dyDescent="0.45">
      <c r="A218" s="12" t="s">
        <v>3115</v>
      </c>
      <c r="B218" s="13"/>
      <c r="C218" s="13"/>
      <c r="D218" s="111" t="s">
        <v>281</v>
      </c>
      <c r="E218" s="100"/>
      <c r="F218" s="101"/>
      <c r="G218" s="91"/>
      <c r="H218" s="102"/>
    </row>
    <row r="219" spans="1:8" x14ac:dyDescent="0.45">
      <c r="A219" s="103"/>
      <c r="B219" s="41">
        <v>1502000</v>
      </c>
      <c r="C219" s="43"/>
      <c r="D219" s="42" t="s">
        <v>18</v>
      </c>
      <c r="E219" s="43"/>
      <c r="F219" s="44"/>
      <c r="G219" s="43"/>
      <c r="H219" s="45"/>
    </row>
    <row r="220" spans="1:8" x14ac:dyDescent="0.45">
      <c r="A220" s="25"/>
      <c r="B220" s="26"/>
      <c r="C220" s="26">
        <v>3.1</v>
      </c>
      <c r="D220" s="27" t="s">
        <v>19</v>
      </c>
      <c r="E220" s="28"/>
      <c r="F220" s="28"/>
      <c r="G220" s="28"/>
      <c r="H220" s="28"/>
    </row>
    <row r="221" spans="1:8" x14ac:dyDescent="0.45">
      <c r="A221" s="22" t="s">
        <v>3116</v>
      </c>
      <c r="B221" s="23"/>
      <c r="C221" s="23" t="s">
        <v>24</v>
      </c>
      <c r="D221" s="29" t="s">
        <v>25</v>
      </c>
      <c r="E221" s="23">
        <v>12</v>
      </c>
      <c r="F221" s="23" t="s">
        <v>17</v>
      </c>
      <c r="G221" s="24"/>
      <c r="H221" s="24">
        <f>G221*E221</f>
        <v>0</v>
      </c>
    </row>
    <row r="222" spans="1:8" x14ac:dyDescent="0.45">
      <c r="A222" s="25"/>
      <c r="B222" s="26"/>
      <c r="C222" s="26">
        <v>3.1</v>
      </c>
      <c r="D222" s="27" t="s">
        <v>31</v>
      </c>
      <c r="E222" s="28"/>
      <c r="F222" s="28"/>
      <c r="G222" s="28"/>
      <c r="H222" s="28"/>
    </row>
    <row r="223" spans="1:8" x14ac:dyDescent="0.45">
      <c r="A223" s="22" t="s">
        <v>3117</v>
      </c>
      <c r="B223" s="105">
        <v>1502000</v>
      </c>
      <c r="C223" s="105" t="s">
        <v>36</v>
      </c>
      <c r="D223" s="112" t="s">
        <v>37</v>
      </c>
      <c r="E223" s="23">
        <v>12</v>
      </c>
      <c r="F223" s="23" t="s">
        <v>17</v>
      </c>
      <c r="G223" s="24"/>
      <c r="H223" s="24">
        <f>G223*E223</f>
        <v>0</v>
      </c>
    </row>
    <row r="224" spans="1:8" x14ac:dyDescent="0.45">
      <c r="A224" s="25"/>
      <c r="B224" s="26"/>
      <c r="C224" s="26">
        <v>3.4</v>
      </c>
      <c r="D224" s="27" t="s">
        <v>62</v>
      </c>
      <c r="E224" s="26"/>
      <c r="F224" s="26"/>
      <c r="G224" s="28"/>
      <c r="H224" s="104"/>
    </row>
    <row r="225" spans="1:8" x14ac:dyDescent="0.45">
      <c r="A225" s="22" t="s">
        <v>3118</v>
      </c>
      <c r="B225" s="23">
        <v>1502000</v>
      </c>
      <c r="C225" s="23" t="s">
        <v>67</v>
      </c>
      <c r="D225" s="35" t="s">
        <v>68</v>
      </c>
      <c r="E225" s="23">
        <v>12</v>
      </c>
      <c r="F225" s="23" t="s">
        <v>17</v>
      </c>
      <c r="G225" s="24"/>
      <c r="H225" s="24">
        <f>G225*E225</f>
        <v>0</v>
      </c>
    </row>
    <row r="226" spans="1:8" x14ac:dyDescent="0.45">
      <c r="A226" s="25"/>
      <c r="B226" s="26"/>
      <c r="C226" s="26">
        <v>3.5</v>
      </c>
      <c r="D226" s="27" t="s">
        <v>72</v>
      </c>
      <c r="E226" s="28"/>
      <c r="F226" s="28"/>
      <c r="G226" s="28"/>
      <c r="H226" s="28"/>
    </row>
    <row r="227" spans="1:8" x14ac:dyDescent="0.45">
      <c r="A227" s="22" t="s">
        <v>3119</v>
      </c>
      <c r="B227" s="23">
        <v>1502000</v>
      </c>
      <c r="C227" s="23" t="s">
        <v>74</v>
      </c>
      <c r="D227" s="32" t="s">
        <v>37</v>
      </c>
      <c r="E227" s="23">
        <v>12</v>
      </c>
      <c r="F227" s="23" t="s">
        <v>17</v>
      </c>
      <c r="G227" s="24"/>
      <c r="H227" s="24">
        <f>G227*E227</f>
        <v>0</v>
      </c>
    </row>
    <row r="228" spans="1:8" s="263" customFormat="1" x14ac:dyDescent="0.45">
      <c r="A228" s="265"/>
      <c r="B228" s="266"/>
      <c r="C228" s="266">
        <v>3.6</v>
      </c>
      <c r="D228" s="267" t="s">
        <v>75</v>
      </c>
      <c r="E228" s="266"/>
      <c r="F228" s="266"/>
      <c r="G228" s="268"/>
      <c r="H228" s="273"/>
    </row>
    <row r="229" spans="1:8" s="263" customFormat="1" x14ac:dyDescent="0.45">
      <c r="A229" s="258" t="s">
        <v>3120</v>
      </c>
      <c r="B229" s="261">
        <v>1502000</v>
      </c>
      <c r="C229" s="259" t="s">
        <v>101</v>
      </c>
      <c r="D229" s="275" t="s">
        <v>102</v>
      </c>
      <c r="E229" s="261">
        <v>12</v>
      </c>
      <c r="F229" s="261" t="s">
        <v>17</v>
      </c>
      <c r="G229" s="262"/>
      <c r="H229" s="262">
        <f>G229*E229</f>
        <v>0</v>
      </c>
    </row>
    <row r="230" spans="1:8" x14ac:dyDescent="0.45">
      <c r="A230" s="40"/>
      <c r="B230" s="43">
        <v>1503020</v>
      </c>
      <c r="C230" s="41"/>
      <c r="D230" s="42" t="s">
        <v>114</v>
      </c>
      <c r="E230" s="43"/>
      <c r="F230" s="44"/>
      <c r="G230" s="44"/>
      <c r="H230" s="45"/>
    </row>
    <row r="231" spans="1:8" ht="13.45" customHeight="1" x14ac:dyDescent="0.45">
      <c r="A231" s="22" t="s">
        <v>5220</v>
      </c>
      <c r="B231" s="33">
        <v>1503020</v>
      </c>
      <c r="C231" s="33">
        <v>3.1</v>
      </c>
      <c r="D231" s="36" t="s">
        <v>116</v>
      </c>
      <c r="E231" s="23">
        <v>12</v>
      </c>
      <c r="F231" s="23" t="s">
        <v>17</v>
      </c>
      <c r="G231" s="24"/>
      <c r="H231" s="24">
        <f>G231*E231</f>
        <v>0</v>
      </c>
    </row>
    <row r="232" spans="1:8" ht="13.45" customHeight="1" x14ac:dyDescent="0.45">
      <c r="A232" s="22" t="s">
        <v>5221</v>
      </c>
      <c r="B232" s="33">
        <v>1503020</v>
      </c>
      <c r="C232" s="33">
        <v>3.2</v>
      </c>
      <c r="D232" s="36" t="s">
        <v>118</v>
      </c>
      <c r="E232" s="23">
        <v>12</v>
      </c>
      <c r="F232" s="23" t="s">
        <v>17</v>
      </c>
      <c r="G232" s="24"/>
      <c r="H232" s="24">
        <f>G232*E232</f>
        <v>0</v>
      </c>
    </row>
    <row r="233" spans="1:8" x14ac:dyDescent="0.45">
      <c r="A233" s="22" t="s">
        <v>5222</v>
      </c>
      <c r="B233" s="33">
        <v>1503020</v>
      </c>
      <c r="C233" s="33">
        <v>3.3</v>
      </c>
      <c r="D233" s="36" t="s">
        <v>120</v>
      </c>
      <c r="E233" s="23">
        <v>12</v>
      </c>
      <c r="F233" s="23" t="s">
        <v>17</v>
      </c>
      <c r="G233" s="24"/>
      <c r="H233" s="24">
        <f>G233*E233</f>
        <v>0</v>
      </c>
    </row>
    <row r="234" spans="1:8" x14ac:dyDescent="0.45">
      <c r="A234" s="40"/>
      <c r="B234" s="43">
        <v>1503030</v>
      </c>
      <c r="C234" s="41"/>
      <c r="D234" s="42" t="s">
        <v>121</v>
      </c>
      <c r="E234" s="43"/>
      <c r="F234" s="44"/>
      <c r="G234" s="44"/>
      <c r="H234" s="45"/>
    </row>
    <row r="235" spans="1:8" x14ac:dyDescent="0.45">
      <c r="A235" s="22" t="s">
        <v>5223</v>
      </c>
      <c r="B235" s="33">
        <v>1503030</v>
      </c>
      <c r="C235" s="33" t="s">
        <v>123</v>
      </c>
      <c r="D235" s="36" t="s">
        <v>124</v>
      </c>
      <c r="E235" s="23">
        <v>12</v>
      </c>
      <c r="F235" s="23" t="s">
        <v>17</v>
      </c>
      <c r="G235" s="24"/>
      <c r="H235" s="24">
        <f>G235*E235</f>
        <v>0</v>
      </c>
    </row>
    <row r="236" spans="1:8" x14ac:dyDescent="0.45">
      <c r="A236" s="58"/>
      <c r="B236" s="59"/>
      <c r="C236" s="59"/>
      <c r="D236" s="60" t="s">
        <v>287</v>
      </c>
      <c r="E236" s="59"/>
      <c r="F236" s="59"/>
      <c r="G236" s="59"/>
      <c r="H236" s="62">
        <f>SUM(H221:H235)</f>
        <v>0</v>
      </c>
    </row>
    <row r="237" spans="1:8" x14ac:dyDescent="0.45">
      <c r="A237" s="96"/>
      <c r="B237" s="97"/>
      <c r="C237" s="97"/>
      <c r="D237" s="98"/>
      <c r="E237" s="97"/>
      <c r="F237" s="97"/>
      <c r="G237" s="88"/>
      <c r="H237" s="99"/>
    </row>
    <row r="238" spans="1:8" x14ac:dyDescent="0.45">
      <c r="A238" s="12" t="s">
        <v>3121</v>
      </c>
      <c r="B238" s="13"/>
      <c r="C238" s="13"/>
      <c r="D238" s="12" t="s">
        <v>289</v>
      </c>
      <c r="E238" s="100"/>
      <c r="F238" s="101"/>
      <c r="G238" s="91"/>
      <c r="H238" s="102"/>
    </row>
    <row r="239" spans="1:8" x14ac:dyDescent="0.45">
      <c r="A239" s="103"/>
      <c r="B239" s="41">
        <v>1502000</v>
      </c>
      <c r="C239" s="43"/>
      <c r="D239" s="42" t="s">
        <v>18</v>
      </c>
      <c r="E239" s="43"/>
      <c r="F239" s="44"/>
      <c r="G239" s="43"/>
      <c r="H239" s="45"/>
    </row>
    <row r="240" spans="1:8" x14ac:dyDescent="0.45">
      <c r="A240" s="25"/>
      <c r="B240" s="26"/>
      <c r="C240" s="26">
        <v>3.4</v>
      </c>
      <c r="D240" s="27" t="s">
        <v>62</v>
      </c>
      <c r="E240" s="26"/>
      <c r="F240" s="26"/>
      <c r="G240" s="28"/>
      <c r="H240" s="104"/>
    </row>
    <row r="241" spans="1:8" x14ac:dyDescent="0.45">
      <c r="A241" s="22" t="s">
        <v>3122</v>
      </c>
      <c r="B241" s="23">
        <v>1502000</v>
      </c>
      <c r="C241" s="23" t="s">
        <v>67</v>
      </c>
      <c r="D241" s="35" t="s">
        <v>68</v>
      </c>
      <c r="E241" s="23">
        <v>12</v>
      </c>
      <c r="F241" s="23" t="s">
        <v>17</v>
      </c>
      <c r="G241" s="24"/>
      <c r="H241" s="24">
        <f>G241*E241</f>
        <v>0</v>
      </c>
    </row>
    <row r="242" spans="1:8" x14ac:dyDescent="0.45">
      <c r="A242" s="58"/>
      <c r="B242" s="59"/>
      <c r="C242" s="59"/>
      <c r="D242" s="60" t="s">
        <v>291</v>
      </c>
      <c r="E242" s="59"/>
      <c r="F242" s="59"/>
      <c r="G242" s="59"/>
      <c r="H242" s="62">
        <f>SUM(H241)</f>
        <v>0</v>
      </c>
    </row>
    <row r="243" spans="1:8" x14ac:dyDescent="0.45">
      <c r="A243" s="96"/>
      <c r="B243" s="97"/>
      <c r="C243" s="97"/>
      <c r="D243" s="98"/>
      <c r="E243" s="97"/>
      <c r="F243" s="97"/>
      <c r="G243" s="97"/>
      <c r="H243" s="99"/>
    </row>
    <row r="244" spans="1:8" x14ac:dyDescent="0.45">
      <c r="A244" s="12" t="s">
        <v>3123</v>
      </c>
      <c r="B244" s="13"/>
      <c r="C244" s="13"/>
      <c r="D244" s="12" t="s">
        <v>293</v>
      </c>
      <c r="E244" s="100"/>
      <c r="F244" s="101"/>
      <c r="G244" s="13"/>
      <c r="H244" s="102"/>
    </row>
    <row r="245" spans="1:8" x14ac:dyDescent="0.45">
      <c r="A245" s="40"/>
      <c r="B245" s="43">
        <v>1503030</v>
      </c>
      <c r="C245" s="41"/>
      <c r="D245" s="42" t="s">
        <v>121</v>
      </c>
      <c r="E245" s="43"/>
      <c r="F245" s="44"/>
      <c r="G245" s="44"/>
      <c r="H245" s="45"/>
    </row>
    <row r="246" spans="1:8" x14ac:dyDescent="0.45">
      <c r="A246" s="22" t="s">
        <v>3124</v>
      </c>
      <c r="B246" s="33">
        <v>1503030</v>
      </c>
      <c r="C246" s="33" t="s">
        <v>123</v>
      </c>
      <c r="D246" s="36" t="s">
        <v>124</v>
      </c>
      <c r="E246" s="23">
        <v>12</v>
      </c>
      <c r="F246" s="23" t="s">
        <v>17</v>
      </c>
      <c r="G246" s="24"/>
      <c r="H246" s="24">
        <f>G246*E246</f>
        <v>0</v>
      </c>
    </row>
    <row r="247" spans="1:8" x14ac:dyDescent="0.45">
      <c r="A247" s="58"/>
      <c r="B247" s="59"/>
      <c r="C247" s="59"/>
      <c r="D247" s="60" t="s">
        <v>295</v>
      </c>
      <c r="E247" s="59"/>
      <c r="F247" s="59"/>
      <c r="G247" s="59"/>
      <c r="H247" s="62">
        <f>SUM(H246)</f>
        <v>0</v>
      </c>
    </row>
    <row r="248" spans="1:8" x14ac:dyDescent="0.45">
      <c r="A248" s="96"/>
      <c r="B248" s="97"/>
      <c r="C248" s="97"/>
      <c r="D248" s="98"/>
      <c r="E248" s="97"/>
      <c r="F248" s="97"/>
      <c r="G248" s="88"/>
      <c r="H248" s="99"/>
    </row>
    <row r="249" spans="1:8" x14ac:dyDescent="0.45">
      <c r="A249" s="12" t="s">
        <v>3125</v>
      </c>
      <c r="B249" s="13"/>
      <c r="C249" s="13"/>
      <c r="D249" s="12" t="s">
        <v>297</v>
      </c>
      <c r="E249" s="100"/>
      <c r="F249" s="101"/>
      <c r="G249" s="91"/>
      <c r="H249" s="102"/>
    </row>
    <row r="250" spans="1:8" x14ac:dyDescent="0.45">
      <c r="A250" s="103"/>
      <c r="B250" s="41">
        <v>1502000</v>
      </c>
      <c r="C250" s="43"/>
      <c r="D250" s="42" t="s">
        <v>18</v>
      </c>
      <c r="E250" s="43"/>
      <c r="F250" s="44"/>
      <c r="G250" s="43"/>
      <c r="H250" s="45"/>
    </row>
    <row r="251" spans="1:8" x14ac:dyDescent="0.45">
      <c r="A251" s="27"/>
      <c r="B251" s="26"/>
      <c r="C251" s="26">
        <v>3.1</v>
      </c>
      <c r="D251" s="27" t="s">
        <v>19</v>
      </c>
      <c r="E251" s="26"/>
      <c r="F251" s="26"/>
      <c r="G251" s="28"/>
      <c r="H251" s="104"/>
    </row>
    <row r="252" spans="1:8" x14ac:dyDescent="0.45">
      <c r="A252" s="22" t="s">
        <v>3126</v>
      </c>
      <c r="B252" s="23">
        <v>1502000</v>
      </c>
      <c r="C252" s="23" t="s">
        <v>21</v>
      </c>
      <c r="D252" s="29" t="s">
        <v>22</v>
      </c>
      <c r="E252" s="23">
        <v>12</v>
      </c>
      <c r="F252" s="23" t="s">
        <v>17</v>
      </c>
      <c r="G252" s="24"/>
      <c r="H252" s="24">
        <f>G252*E252</f>
        <v>0</v>
      </c>
    </row>
    <row r="253" spans="1:8" x14ac:dyDescent="0.45">
      <c r="A253" s="22" t="s">
        <v>3127</v>
      </c>
      <c r="B253" s="23">
        <v>1502000</v>
      </c>
      <c r="C253" s="23" t="s">
        <v>24</v>
      </c>
      <c r="D253" s="29" t="s">
        <v>25</v>
      </c>
      <c r="E253" s="23">
        <v>12</v>
      </c>
      <c r="F253" s="23" t="s">
        <v>17</v>
      </c>
      <c r="G253" s="24"/>
      <c r="H253" s="24">
        <f>G253*E253</f>
        <v>0</v>
      </c>
    </row>
    <row r="254" spans="1:8" x14ac:dyDescent="0.45">
      <c r="A254" s="22" t="s">
        <v>3128</v>
      </c>
      <c r="B254" s="23">
        <v>1502000</v>
      </c>
      <c r="C254" s="23" t="s">
        <v>27</v>
      </c>
      <c r="D254" s="29" t="s">
        <v>28</v>
      </c>
      <c r="E254" s="23">
        <v>12</v>
      </c>
      <c r="F254" s="23" t="s">
        <v>17</v>
      </c>
      <c r="G254" s="24"/>
      <c r="H254" s="24">
        <f>G254*E254</f>
        <v>0</v>
      </c>
    </row>
    <row r="255" spans="1:8" x14ac:dyDescent="0.45">
      <c r="A255" s="25"/>
      <c r="B255" s="26"/>
      <c r="C255" s="26">
        <v>3.1</v>
      </c>
      <c r="D255" s="27" t="s">
        <v>31</v>
      </c>
      <c r="E255" s="28"/>
      <c r="F255" s="28"/>
      <c r="G255" s="28"/>
      <c r="H255" s="28"/>
    </row>
    <row r="256" spans="1:8" x14ac:dyDescent="0.45">
      <c r="A256" s="22" t="s">
        <v>3129</v>
      </c>
      <c r="B256" s="23">
        <v>1502000</v>
      </c>
      <c r="C256" s="286" t="s">
        <v>5022</v>
      </c>
      <c r="D256" s="32" t="s">
        <v>37</v>
      </c>
      <c r="E256" s="23">
        <v>12</v>
      </c>
      <c r="F256" s="23" t="s">
        <v>17</v>
      </c>
      <c r="G256" s="24"/>
      <c r="H256" s="24">
        <f>G256*E256</f>
        <v>0</v>
      </c>
    </row>
    <row r="257" spans="1:8" x14ac:dyDescent="0.45">
      <c r="A257" s="22" t="s">
        <v>3130</v>
      </c>
      <c r="B257" s="23">
        <v>1502000</v>
      </c>
      <c r="C257" s="23" t="s">
        <v>45</v>
      </c>
      <c r="D257" s="30" t="s">
        <v>46</v>
      </c>
      <c r="E257" s="23">
        <v>12</v>
      </c>
      <c r="F257" s="23" t="s">
        <v>17</v>
      </c>
      <c r="G257" s="24"/>
      <c r="H257" s="24">
        <f>G257*E257</f>
        <v>0</v>
      </c>
    </row>
    <row r="258" spans="1:8" x14ac:dyDescent="0.45">
      <c r="A258" s="25"/>
      <c r="B258" s="26"/>
      <c r="C258" s="26">
        <v>3.4</v>
      </c>
      <c r="D258" s="27" t="s">
        <v>62</v>
      </c>
      <c r="E258" s="26"/>
      <c r="F258" s="26"/>
      <c r="G258" s="28"/>
      <c r="H258" s="104"/>
    </row>
    <row r="259" spans="1:8" x14ac:dyDescent="0.45">
      <c r="A259" s="22" t="s">
        <v>3131</v>
      </c>
      <c r="B259" s="23">
        <v>1502000</v>
      </c>
      <c r="C259" s="23" t="s">
        <v>67</v>
      </c>
      <c r="D259" s="35" t="s">
        <v>68</v>
      </c>
      <c r="E259" s="23">
        <v>12</v>
      </c>
      <c r="F259" s="23" t="s">
        <v>17</v>
      </c>
      <c r="G259" s="24"/>
      <c r="H259" s="24">
        <f>G259*E259</f>
        <v>0</v>
      </c>
    </row>
    <row r="260" spans="1:8" x14ac:dyDescent="0.45">
      <c r="A260" s="25"/>
      <c r="B260" s="26"/>
      <c r="C260" s="26">
        <v>3.5</v>
      </c>
      <c r="D260" s="27" t="s">
        <v>72</v>
      </c>
      <c r="E260" s="28"/>
      <c r="F260" s="28"/>
      <c r="G260" s="28"/>
      <c r="H260" s="28"/>
    </row>
    <row r="261" spans="1:8" x14ac:dyDescent="0.45">
      <c r="A261" s="22" t="s">
        <v>3132</v>
      </c>
      <c r="B261" s="23">
        <v>1502000</v>
      </c>
      <c r="C261" s="23" t="s">
        <v>74</v>
      </c>
      <c r="D261" s="32" t="s">
        <v>37</v>
      </c>
      <c r="E261" s="23">
        <v>12</v>
      </c>
      <c r="F261" s="23" t="s">
        <v>17</v>
      </c>
      <c r="G261" s="24"/>
      <c r="H261" s="24">
        <f>G261*E261</f>
        <v>0</v>
      </c>
    </row>
    <row r="262" spans="1:8" x14ac:dyDescent="0.45">
      <c r="A262" s="25"/>
      <c r="B262" s="26"/>
      <c r="C262" s="26">
        <v>3.6</v>
      </c>
      <c r="D262" s="27" t="s">
        <v>75</v>
      </c>
      <c r="E262" s="26"/>
      <c r="F262" s="26"/>
      <c r="G262" s="28"/>
      <c r="H262" s="104"/>
    </row>
    <row r="263" spans="1:8" x14ac:dyDescent="0.45">
      <c r="A263" s="22" t="s">
        <v>3133</v>
      </c>
      <c r="B263" s="23">
        <v>1502000</v>
      </c>
      <c r="C263" s="33" t="s">
        <v>86</v>
      </c>
      <c r="D263" s="39" t="s">
        <v>87</v>
      </c>
      <c r="E263" s="23">
        <v>12</v>
      </c>
      <c r="F263" s="23" t="s">
        <v>17</v>
      </c>
      <c r="G263" s="24"/>
      <c r="H263" s="24">
        <f>G263*E263</f>
        <v>0</v>
      </c>
    </row>
    <row r="264" spans="1:8" x14ac:dyDescent="0.45">
      <c r="A264" s="22" t="s">
        <v>3134</v>
      </c>
      <c r="B264" s="23">
        <v>1502000</v>
      </c>
      <c r="C264" s="33" t="s">
        <v>89</v>
      </c>
      <c r="D264" s="39" t="s">
        <v>90</v>
      </c>
      <c r="E264" s="23">
        <v>12</v>
      </c>
      <c r="F264" s="23" t="s">
        <v>17</v>
      </c>
      <c r="G264" s="24"/>
      <c r="H264" s="24">
        <f>G264*E264</f>
        <v>0</v>
      </c>
    </row>
    <row r="265" spans="1:8" x14ac:dyDescent="0.45">
      <c r="A265" s="22" t="s">
        <v>3135</v>
      </c>
      <c r="B265" s="23">
        <v>1502000</v>
      </c>
      <c r="C265" s="23" t="s">
        <v>308</v>
      </c>
      <c r="D265" s="106" t="s">
        <v>309</v>
      </c>
      <c r="E265" s="23">
        <v>12</v>
      </c>
      <c r="F265" s="23" t="s">
        <v>17</v>
      </c>
      <c r="G265" s="24"/>
      <c r="H265" s="24">
        <f>G265*E265</f>
        <v>0</v>
      </c>
    </row>
    <row r="266" spans="1:8" x14ac:dyDescent="0.45">
      <c r="A266" s="40"/>
      <c r="B266" s="43">
        <v>1503020</v>
      </c>
      <c r="C266" s="41"/>
      <c r="D266" s="42" t="s">
        <v>114</v>
      </c>
      <c r="E266" s="43"/>
      <c r="F266" s="44"/>
      <c r="G266" s="44"/>
      <c r="H266" s="45"/>
    </row>
    <row r="267" spans="1:8" x14ac:dyDescent="0.45">
      <c r="A267" s="22" t="s">
        <v>3136</v>
      </c>
      <c r="B267" s="33">
        <v>1503020</v>
      </c>
      <c r="C267" s="33">
        <v>3.1</v>
      </c>
      <c r="D267" s="36" t="s">
        <v>116</v>
      </c>
      <c r="E267" s="23">
        <v>12</v>
      </c>
      <c r="F267" s="23" t="s">
        <v>17</v>
      </c>
      <c r="G267" s="24"/>
      <c r="H267" s="24">
        <f>G267*E267</f>
        <v>0</v>
      </c>
    </row>
    <row r="268" spans="1:8" x14ac:dyDescent="0.45">
      <c r="A268" s="22" t="s">
        <v>3137</v>
      </c>
      <c r="B268" s="33">
        <v>1503020</v>
      </c>
      <c r="C268" s="33">
        <v>3.2</v>
      </c>
      <c r="D268" s="36" t="s">
        <v>118</v>
      </c>
      <c r="E268" s="23">
        <v>12</v>
      </c>
      <c r="F268" s="23" t="s">
        <v>17</v>
      </c>
      <c r="G268" s="24"/>
      <c r="H268" s="24">
        <f>G268*E268</f>
        <v>0</v>
      </c>
    </row>
    <row r="269" spans="1:8" x14ac:dyDescent="0.45">
      <c r="A269" s="22" t="s">
        <v>3138</v>
      </c>
      <c r="B269" s="33">
        <v>1503020</v>
      </c>
      <c r="C269" s="33">
        <v>3.3</v>
      </c>
      <c r="D269" s="36" t="s">
        <v>120</v>
      </c>
      <c r="E269" s="23">
        <v>12</v>
      </c>
      <c r="F269" s="23" t="s">
        <v>17</v>
      </c>
      <c r="G269" s="24"/>
      <c r="H269" s="24">
        <f>G269*E269</f>
        <v>0</v>
      </c>
    </row>
    <row r="270" spans="1:8" x14ac:dyDescent="0.45">
      <c r="A270" s="40"/>
      <c r="B270" s="43">
        <v>1503030</v>
      </c>
      <c r="C270" s="41"/>
      <c r="D270" s="42" t="s">
        <v>121</v>
      </c>
      <c r="E270" s="43"/>
      <c r="F270" s="44"/>
      <c r="G270" s="44"/>
      <c r="H270" s="45"/>
    </row>
    <row r="271" spans="1:8" x14ac:dyDescent="0.45">
      <c r="A271" s="22" t="s">
        <v>3139</v>
      </c>
      <c r="B271" s="33">
        <v>1503030</v>
      </c>
      <c r="C271" s="33" t="s">
        <v>123</v>
      </c>
      <c r="D271" s="36" t="s">
        <v>124</v>
      </c>
      <c r="E271" s="23">
        <v>12</v>
      </c>
      <c r="F271" s="23" t="s">
        <v>17</v>
      </c>
      <c r="G271" s="24"/>
      <c r="H271" s="24">
        <f>G271*E271</f>
        <v>0</v>
      </c>
    </row>
    <row r="272" spans="1:8" x14ac:dyDescent="0.45">
      <c r="A272" s="58"/>
      <c r="B272" s="59"/>
      <c r="C272" s="59"/>
      <c r="D272" s="60" t="s">
        <v>314</v>
      </c>
      <c r="E272" s="59"/>
      <c r="F272" s="59"/>
      <c r="G272" s="59"/>
      <c r="H272" s="62">
        <f>SUM(H252:H271)</f>
        <v>0</v>
      </c>
    </row>
    <row r="273" spans="1:8" x14ac:dyDescent="0.45">
      <c r="A273" s="96"/>
      <c r="B273" s="97"/>
      <c r="C273" s="97"/>
      <c r="D273" s="98"/>
      <c r="E273" s="97"/>
      <c r="F273" s="97"/>
      <c r="G273" s="97"/>
      <c r="H273" s="99"/>
    </row>
    <row r="274" spans="1:8" x14ac:dyDescent="0.45">
      <c r="A274" s="12" t="s">
        <v>3140</v>
      </c>
      <c r="B274" s="13"/>
      <c r="C274" s="13"/>
      <c r="D274" s="12" t="s">
        <v>316</v>
      </c>
      <c r="E274" s="100"/>
      <c r="F274" s="101"/>
      <c r="G274" s="13"/>
      <c r="H274" s="102"/>
    </row>
    <row r="275" spans="1:8" x14ac:dyDescent="0.45">
      <c r="A275" s="40"/>
      <c r="B275" s="41">
        <v>1503010</v>
      </c>
      <c r="C275" s="41"/>
      <c r="D275" s="42" t="s">
        <v>109</v>
      </c>
      <c r="E275" s="43"/>
      <c r="F275" s="44"/>
      <c r="G275" s="44"/>
      <c r="H275" s="45"/>
    </row>
    <row r="276" spans="1:8" x14ac:dyDescent="0.45">
      <c r="A276" s="22" t="s">
        <v>3141</v>
      </c>
      <c r="B276" s="33">
        <v>1503010</v>
      </c>
      <c r="C276" s="33">
        <v>3.1</v>
      </c>
      <c r="D276" s="36" t="s">
        <v>111</v>
      </c>
      <c r="E276" s="23">
        <v>12</v>
      </c>
      <c r="F276" s="23" t="s">
        <v>17</v>
      </c>
      <c r="G276" s="24"/>
      <c r="H276" s="24">
        <f>G276*E276</f>
        <v>0</v>
      </c>
    </row>
    <row r="277" spans="1:8" x14ac:dyDescent="0.45">
      <c r="A277" s="40"/>
      <c r="B277" s="43">
        <v>1503020</v>
      </c>
      <c r="C277" s="41"/>
      <c r="D277" s="42" t="s">
        <v>114</v>
      </c>
      <c r="E277" s="43"/>
      <c r="F277" s="44"/>
      <c r="G277" s="44"/>
      <c r="H277" s="45"/>
    </row>
    <row r="278" spans="1:8" ht="13.45" customHeight="1" x14ac:dyDescent="0.45">
      <c r="A278" s="22" t="s">
        <v>3142</v>
      </c>
      <c r="B278" s="33">
        <v>1503020</v>
      </c>
      <c r="C278" s="33">
        <v>3.1</v>
      </c>
      <c r="D278" s="36" t="s">
        <v>116</v>
      </c>
      <c r="E278" s="23">
        <v>12</v>
      </c>
      <c r="F278" s="23" t="s">
        <v>17</v>
      </c>
      <c r="G278" s="24"/>
      <c r="H278" s="24">
        <f>G278*E278</f>
        <v>0</v>
      </c>
    </row>
    <row r="279" spans="1:8" ht="13.45" customHeight="1" x14ac:dyDescent="0.45">
      <c r="A279" s="22" t="s">
        <v>3143</v>
      </c>
      <c r="B279" s="33">
        <v>1503020</v>
      </c>
      <c r="C279" s="33">
        <v>3.2</v>
      </c>
      <c r="D279" s="36" t="s">
        <v>118</v>
      </c>
      <c r="E279" s="23">
        <v>12</v>
      </c>
      <c r="F279" s="23" t="s">
        <v>17</v>
      </c>
      <c r="G279" s="24"/>
      <c r="H279" s="24">
        <f>G279*E279</f>
        <v>0</v>
      </c>
    </row>
    <row r="280" spans="1:8" x14ac:dyDescent="0.45">
      <c r="A280" s="22" t="s">
        <v>3144</v>
      </c>
      <c r="B280" s="33">
        <v>1503020</v>
      </c>
      <c r="C280" s="33">
        <v>3.3</v>
      </c>
      <c r="D280" s="36" t="s">
        <v>120</v>
      </c>
      <c r="E280" s="23">
        <v>12</v>
      </c>
      <c r="F280" s="23" t="s">
        <v>17</v>
      </c>
      <c r="G280" s="24"/>
      <c r="H280" s="24">
        <f>G280*E280</f>
        <v>0</v>
      </c>
    </row>
    <row r="281" spans="1:8" x14ac:dyDescent="0.45">
      <c r="A281" s="58"/>
      <c r="B281" s="59"/>
      <c r="C281" s="59"/>
      <c r="D281" s="60" t="s">
        <v>321</v>
      </c>
      <c r="E281" s="59"/>
      <c r="F281" s="59"/>
      <c r="G281" s="59"/>
      <c r="H281" s="62">
        <f>SUM(H276:H280)</f>
        <v>0</v>
      </c>
    </row>
    <row r="282" spans="1:8" x14ac:dyDescent="0.45">
      <c r="A282" s="96"/>
      <c r="B282" s="97"/>
      <c r="C282" s="97"/>
      <c r="D282" s="98"/>
      <c r="E282" s="97"/>
      <c r="F282" s="97"/>
      <c r="G282" s="88"/>
      <c r="H282" s="99"/>
    </row>
    <row r="283" spans="1:8" x14ac:dyDescent="0.45">
      <c r="A283" s="12" t="s">
        <v>3145</v>
      </c>
      <c r="B283" s="13"/>
      <c r="C283" s="13"/>
      <c r="D283" s="12" t="s">
        <v>323</v>
      </c>
      <c r="E283" s="13"/>
      <c r="F283" s="13"/>
      <c r="G283" s="91"/>
      <c r="H283" s="102"/>
    </row>
    <row r="284" spans="1:8" x14ac:dyDescent="0.45">
      <c r="A284" s="103"/>
      <c r="B284" s="41">
        <v>1502000</v>
      </c>
      <c r="C284" s="43"/>
      <c r="D284" s="42" t="s">
        <v>18</v>
      </c>
      <c r="E284" s="43"/>
      <c r="F284" s="44"/>
      <c r="G284" s="43"/>
      <c r="H284" s="45"/>
    </row>
    <row r="285" spans="1:8" x14ac:dyDescent="0.45">
      <c r="A285" s="27"/>
      <c r="B285" s="26"/>
      <c r="C285" s="26">
        <v>3.1</v>
      </c>
      <c r="D285" s="27" t="s">
        <v>19</v>
      </c>
      <c r="E285" s="26"/>
      <c r="F285" s="26"/>
      <c r="G285" s="28"/>
      <c r="H285" s="104"/>
    </row>
    <row r="286" spans="1:8" x14ac:dyDescent="0.45">
      <c r="A286" s="22" t="s">
        <v>3146</v>
      </c>
      <c r="B286" s="23">
        <v>1502000</v>
      </c>
      <c r="C286" s="23" t="s">
        <v>21</v>
      </c>
      <c r="D286" s="29" t="s">
        <v>22</v>
      </c>
      <c r="E286" s="23">
        <v>12</v>
      </c>
      <c r="F286" s="23" t="s">
        <v>17</v>
      </c>
      <c r="G286" s="24"/>
      <c r="H286" s="24">
        <f>G286*E286</f>
        <v>0</v>
      </c>
    </row>
    <row r="287" spans="1:8" x14ac:dyDescent="0.45">
      <c r="A287" s="22" t="s">
        <v>3147</v>
      </c>
      <c r="B287" s="23">
        <v>1502000</v>
      </c>
      <c r="C287" s="23" t="s">
        <v>24</v>
      </c>
      <c r="D287" s="29" t="s">
        <v>25</v>
      </c>
      <c r="E287" s="23">
        <v>12</v>
      </c>
      <c r="F287" s="23" t="s">
        <v>17</v>
      </c>
      <c r="G287" s="24"/>
      <c r="H287" s="24">
        <f>G287*E287</f>
        <v>0</v>
      </c>
    </row>
    <row r="288" spans="1:8" x14ac:dyDescent="0.45">
      <c r="A288" s="22" t="s">
        <v>3148</v>
      </c>
      <c r="B288" s="23">
        <v>1502000</v>
      </c>
      <c r="C288" s="23" t="s">
        <v>27</v>
      </c>
      <c r="D288" s="29" t="s">
        <v>28</v>
      </c>
      <c r="E288" s="23">
        <v>12</v>
      </c>
      <c r="F288" s="23" t="s">
        <v>17</v>
      </c>
      <c r="G288" s="24"/>
      <c r="H288" s="24">
        <f>G288*E288</f>
        <v>0</v>
      </c>
    </row>
    <row r="289" spans="1:8" x14ac:dyDescent="0.45">
      <c r="A289" s="25"/>
      <c r="B289" s="26"/>
      <c r="C289" s="26">
        <v>3.1</v>
      </c>
      <c r="D289" s="27" t="s">
        <v>31</v>
      </c>
      <c r="E289" s="28"/>
      <c r="F289" s="28"/>
      <c r="G289" s="28"/>
      <c r="H289" s="28"/>
    </row>
    <row r="290" spans="1:8" x14ac:dyDescent="0.45">
      <c r="A290" s="22" t="s">
        <v>3149</v>
      </c>
      <c r="B290" s="23">
        <v>1502000</v>
      </c>
      <c r="C290" s="23" t="s">
        <v>33</v>
      </c>
      <c r="D290" s="30" t="s">
        <v>34</v>
      </c>
      <c r="E290" s="23">
        <v>12</v>
      </c>
      <c r="F290" s="23" t="s">
        <v>17</v>
      </c>
      <c r="G290" s="24"/>
      <c r="H290" s="24">
        <f t="shared" ref="H290:H295" si="4">G290*E290</f>
        <v>0</v>
      </c>
    </row>
    <row r="291" spans="1:8" s="389" customFormat="1" x14ac:dyDescent="0.45">
      <c r="A291" s="22" t="s">
        <v>3150</v>
      </c>
      <c r="B291" s="23">
        <v>1502000</v>
      </c>
      <c r="C291" s="23" t="s">
        <v>5016</v>
      </c>
      <c r="D291" s="30" t="s">
        <v>46</v>
      </c>
      <c r="E291" s="23">
        <v>12</v>
      </c>
      <c r="F291" s="23" t="s">
        <v>17</v>
      </c>
      <c r="G291" s="24"/>
      <c r="H291" s="24">
        <f t="shared" si="4"/>
        <v>0</v>
      </c>
    </row>
    <row r="292" spans="1:8" s="389" customFormat="1" x14ac:dyDescent="0.45">
      <c r="A292" s="258" t="s">
        <v>3151</v>
      </c>
      <c r="B292" s="261">
        <v>1502000</v>
      </c>
      <c r="C292" s="261" t="s">
        <v>5017</v>
      </c>
      <c r="D292" s="269" t="s">
        <v>55</v>
      </c>
      <c r="E292" s="261">
        <v>12</v>
      </c>
      <c r="F292" s="261" t="s">
        <v>17</v>
      </c>
      <c r="G292" s="262"/>
      <c r="H292" s="262">
        <f t="shared" si="4"/>
        <v>0</v>
      </c>
    </row>
    <row r="293" spans="1:8" s="389" customFormat="1" x14ac:dyDescent="0.45">
      <c r="A293" s="22" t="s">
        <v>5224</v>
      </c>
      <c r="B293" s="23">
        <v>1502000</v>
      </c>
      <c r="C293" s="113" t="s">
        <v>5018</v>
      </c>
      <c r="D293" s="114" t="s">
        <v>330</v>
      </c>
      <c r="E293" s="23">
        <v>12</v>
      </c>
      <c r="F293" s="23" t="s">
        <v>17</v>
      </c>
      <c r="G293" s="24"/>
      <c r="H293" s="24">
        <f t="shared" si="4"/>
        <v>0</v>
      </c>
    </row>
    <row r="294" spans="1:8" s="389" customFormat="1" x14ac:dyDescent="0.45">
      <c r="A294" s="22" t="s">
        <v>5225</v>
      </c>
      <c r="B294" s="23">
        <v>1502000</v>
      </c>
      <c r="C294" s="113" t="s">
        <v>5019</v>
      </c>
      <c r="D294" s="114" t="s">
        <v>331</v>
      </c>
      <c r="E294" s="23">
        <v>12</v>
      </c>
      <c r="F294" s="23" t="s">
        <v>17</v>
      </c>
      <c r="G294" s="24"/>
      <c r="H294" s="24">
        <f t="shared" si="4"/>
        <v>0</v>
      </c>
    </row>
    <row r="295" spans="1:8" s="389" customFormat="1" x14ac:dyDescent="0.45">
      <c r="A295" s="22" t="s">
        <v>5226</v>
      </c>
      <c r="B295" s="23">
        <v>1502000</v>
      </c>
      <c r="C295" s="113" t="s">
        <v>5020</v>
      </c>
      <c r="D295" s="114" t="s">
        <v>333</v>
      </c>
      <c r="E295" s="23">
        <v>12</v>
      </c>
      <c r="F295" s="23" t="s">
        <v>17</v>
      </c>
      <c r="G295" s="24"/>
      <c r="H295" s="24">
        <f t="shared" si="4"/>
        <v>0</v>
      </c>
    </row>
    <row r="296" spans="1:8" x14ac:dyDescent="0.45">
      <c r="A296" s="25"/>
      <c r="B296" s="26"/>
      <c r="C296" s="26">
        <v>3.4</v>
      </c>
      <c r="D296" s="27" t="s">
        <v>62</v>
      </c>
      <c r="E296" s="26"/>
      <c r="F296" s="26"/>
      <c r="G296" s="28"/>
      <c r="H296" s="104"/>
    </row>
    <row r="297" spans="1:8" x14ac:dyDescent="0.45">
      <c r="A297" s="22" t="s">
        <v>5227</v>
      </c>
      <c r="B297" s="23">
        <v>1502000</v>
      </c>
      <c r="C297" s="23" t="s">
        <v>67</v>
      </c>
      <c r="D297" s="35" t="s">
        <v>68</v>
      </c>
      <c r="E297" s="23">
        <v>12</v>
      </c>
      <c r="F297" s="23" t="s">
        <v>17</v>
      </c>
      <c r="G297" s="24"/>
      <c r="H297" s="24">
        <f>G297*E297</f>
        <v>0</v>
      </c>
    </row>
    <row r="298" spans="1:8" x14ac:dyDescent="0.45">
      <c r="A298" s="25"/>
      <c r="B298" s="26"/>
      <c r="C298" s="26">
        <v>3.6</v>
      </c>
      <c r="D298" s="27" t="s">
        <v>75</v>
      </c>
      <c r="E298" s="26"/>
      <c r="F298" s="26"/>
      <c r="G298" s="28"/>
      <c r="H298" s="104"/>
    </row>
    <row r="299" spans="1:8" x14ac:dyDescent="0.45">
      <c r="A299" s="22" t="s">
        <v>5228</v>
      </c>
      <c r="B299" s="23">
        <v>1502000</v>
      </c>
      <c r="C299" s="33" t="s">
        <v>89</v>
      </c>
      <c r="D299" s="39" t="s">
        <v>90</v>
      </c>
      <c r="E299" s="23">
        <v>12</v>
      </c>
      <c r="F299" s="23" t="s">
        <v>17</v>
      </c>
      <c r="G299" s="24"/>
      <c r="H299" s="24">
        <f>G299*E299</f>
        <v>0</v>
      </c>
    </row>
    <row r="300" spans="1:8" x14ac:dyDescent="0.45">
      <c r="A300" s="22" t="s">
        <v>5229</v>
      </c>
      <c r="B300" s="23">
        <v>1502000</v>
      </c>
      <c r="C300" s="33" t="s">
        <v>101</v>
      </c>
      <c r="D300" s="39" t="s">
        <v>102</v>
      </c>
      <c r="E300" s="23">
        <v>12</v>
      </c>
      <c r="F300" s="23" t="s">
        <v>17</v>
      </c>
      <c r="G300" s="24"/>
      <c r="H300" s="24">
        <f>G300*E300</f>
        <v>0</v>
      </c>
    </row>
    <row r="301" spans="1:8" x14ac:dyDescent="0.45">
      <c r="A301" s="40"/>
      <c r="B301" s="41">
        <v>1503010</v>
      </c>
      <c r="C301" s="41"/>
      <c r="D301" s="42" t="s">
        <v>109</v>
      </c>
      <c r="E301" s="43"/>
      <c r="F301" s="44"/>
      <c r="G301" s="44"/>
      <c r="H301" s="45"/>
    </row>
    <row r="302" spans="1:8" x14ac:dyDescent="0.45">
      <c r="A302" s="22" t="s">
        <v>5230</v>
      </c>
      <c r="B302" s="33">
        <v>1503010</v>
      </c>
      <c r="C302" s="33">
        <v>3.1</v>
      </c>
      <c r="D302" s="36" t="s">
        <v>111</v>
      </c>
      <c r="E302" s="23">
        <v>12</v>
      </c>
      <c r="F302" s="115" t="s">
        <v>17</v>
      </c>
      <c r="G302" s="24"/>
      <c r="H302" s="24">
        <f>G302*E302</f>
        <v>0</v>
      </c>
    </row>
    <row r="303" spans="1:8" x14ac:dyDescent="0.45">
      <c r="A303" s="58"/>
      <c r="B303" s="59"/>
      <c r="C303" s="59"/>
      <c r="D303" s="60" t="s">
        <v>334</v>
      </c>
      <c r="E303" s="59"/>
      <c r="F303" s="59"/>
      <c r="G303" s="59"/>
      <c r="H303" s="62">
        <f>SUM(H286:H302)</f>
        <v>0</v>
      </c>
    </row>
    <row r="304" spans="1:8" x14ac:dyDescent="0.45">
      <c r="A304" s="96"/>
      <c r="B304" s="97"/>
      <c r="C304" s="97"/>
      <c r="D304" s="116"/>
      <c r="E304" s="97"/>
      <c r="F304" s="97"/>
      <c r="G304" s="88"/>
      <c r="H304" s="99"/>
    </row>
    <row r="305" spans="1:8" x14ac:dyDescent="0.45">
      <c r="A305" s="12" t="s">
        <v>3152</v>
      </c>
      <c r="B305" s="13"/>
      <c r="C305" s="13"/>
      <c r="D305" s="247" t="s">
        <v>5009</v>
      </c>
      <c r="E305" s="13"/>
      <c r="F305" s="13"/>
      <c r="G305" s="91"/>
      <c r="H305" s="102"/>
    </row>
    <row r="306" spans="1:8" x14ac:dyDescent="0.45">
      <c r="A306" s="40"/>
      <c r="B306" s="41">
        <v>1401000</v>
      </c>
      <c r="C306" s="41"/>
      <c r="D306" s="42" t="s">
        <v>336</v>
      </c>
      <c r="E306" s="43"/>
      <c r="F306" s="44"/>
      <c r="G306" s="43"/>
      <c r="H306" s="45"/>
    </row>
    <row r="307" spans="1:8" x14ac:dyDescent="0.45">
      <c r="A307" s="22" t="s">
        <v>3153</v>
      </c>
      <c r="B307" s="23">
        <v>1401000</v>
      </c>
      <c r="C307" s="23">
        <v>3.1</v>
      </c>
      <c r="D307" s="27" t="s">
        <v>338</v>
      </c>
      <c r="E307" s="26"/>
      <c r="F307" s="26"/>
      <c r="G307" s="28"/>
      <c r="H307" s="104"/>
    </row>
    <row r="308" spans="1:8" x14ac:dyDescent="0.45">
      <c r="A308" s="22" t="s">
        <v>3154</v>
      </c>
      <c r="B308" s="117">
        <v>1401000</v>
      </c>
      <c r="C308" s="117" t="s">
        <v>340</v>
      </c>
      <c r="D308" s="106" t="s">
        <v>22</v>
      </c>
      <c r="E308" s="118">
        <v>12</v>
      </c>
      <c r="F308" s="118" t="s">
        <v>17</v>
      </c>
      <c r="G308" s="24"/>
      <c r="H308" s="24">
        <f>G308*E308</f>
        <v>0</v>
      </c>
    </row>
    <row r="309" spans="1:8" x14ac:dyDescent="0.45">
      <c r="A309" s="22" t="s">
        <v>3155</v>
      </c>
      <c r="B309" s="117">
        <v>1401000</v>
      </c>
      <c r="C309" s="117" t="s">
        <v>342</v>
      </c>
      <c r="D309" s="106" t="s">
        <v>25</v>
      </c>
      <c r="E309" s="118">
        <v>12</v>
      </c>
      <c r="F309" s="118" t="s">
        <v>17</v>
      </c>
      <c r="G309" s="24"/>
      <c r="H309" s="24">
        <f>G309*E309</f>
        <v>0</v>
      </c>
    </row>
    <row r="310" spans="1:8" x14ac:dyDescent="0.45">
      <c r="A310" s="22" t="s">
        <v>3156</v>
      </c>
      <c r="B310" s="117">
        <v>1401000</v>
      </c>
      <c r="C310" s="117" t="s">
        <v>344</v>
      </c>
      <c r="D310" s="106" t="s">
        <v>28</v>
      </c>
      <c r="E310" s="118">
        <v>12</v>
      </c>
      <c r="F310" s="118" t="s">
        <v>17</v>
      </c>
      <c r="G310" s="24"/>
      <c r="H310" s="24">
        <f>G310*E310</f>
        <v>0</v>
      </c>
    </row>
    <row r="311" spans="1:8" x14ac:dyDescent="0.45">
      <c r="A311" s="22" t="s">
        <v>3157</v>
      </c>
      <c r="B311" s="117">
        <v>1401000</v>
      </c>
      <c r="C311" s="117" t="s">
        <v>24</v>
      </c>
      <c r="D311" s="106" t="s">
        <v>346</v>
      </c>
      <c r="E311" s="118">
        <v>12</v>
      </c>
      <c r="F311" s="118" t="s">
        <v>17</v>
      </c>
      <c r="G311" s="24"/>
      <c r="H311" s="24">
        <f>G311*E311</f>
        <v>0</v>
      </c>
    </row>
    <row r="312" spans="1:8" x14ac:dyDescent="0.45">
      <c r="A312" s="103"/>
      <c r="B312" s="41">
        <v>1502000</v>
      </c>
      <c r="C312" s="43"/>
      <c r="D312" s="42" t="s">
        <v>18</v>
      </c>
      <c r="E312" s="43"/>
      <c r="F312" s="44"/>
      <c r="G312" s="44"/>
      <c r="H312" s="45"/>
    </row>
    <row r="313" spans="1:8" x14ac:dyDescent="0.45">
      <c r="A313" s="25"/>
      <c r="B313" s="26"/>
      <c r="C313" s="26">
        <v>3.1</v>
      </c>
      <c r="D313" s="27" t="s">
        <v>31</v>
      </c>
      <c r="E313" s="28"/>
      <c r="F313" s="28"/>
      <c r="G313" s="28"/>
      <c r="H313" s="28"/>
    </row>
    <row r="314" spans="1:8" x14ac:dyDescent="0.45">
      <c r="A314" s="22" t="s">
        <v>3158</v>
      </c>
      <c r="B314" s="33">
        <v>1502000</v>
      </c>
      <c r="C314" s="33" t="s">
        <v>60</v>
      </c>
      <c r="D314" s="30" t="s">
        <v>61</v>
      </c>
      <c r="E314" s="118">
        <v>12</v>
      </c>
      <c r="F314" s="118" t="s">
        <v>17</v>
      </c>
      <c r="G314" s="24"/>
      <c r="H314" s="24">
        <f>G314*E314</f>
        <v>0</v>
      </c>
    </row>
    <row r="315" spans="1:8" x14ac:dyDescent="0.45">
      <c r="A315" s="25"/>
      <c r="B315" s="26"/>
      <c r="C315" s="26">
        <v>3.4</v>
      </c>
      <c r="D315" s="27" t="s">
        <v>62</v>
      </c>
      <c r="E315" s="26"/>
      <c r="F315" s="26"/>
      <c r="G315" s="28"/>
      <c r="H315" s="104"/>
    </row>
    <row r="316" spans="1:8" x14ac:dyDescent="0.45">
      <c r="A316" s="22" t="s">
        <v>3159</v>
      </c>
      <c r="B316" s="23">
        <v>1502000</v>
      </c>
      <c r="C316" s="23" t="s">
        <v>64</v>
      </c>
      <c r="D316" s="35" t="s">
        <v>65</v>
      </c>
      <c r="E316" s="118">
        <v>12</v>
      </c>
      <c r="F316" s="118" t="s">
        <v>17</v>
      </c>
      <c r="G316" s="24"/>
      <c r="H316" s="24">
        <f>G316*E316</f>
        <v>0</v>
      </c>
    </row>
    <row r="317" spans="1:8" x14ac:dyDescent="0.45">
      <c r="A317" s="22" t="s">
        <v>3160</v>
      </c>
      <c r="B317" s="23">
        <v>1502000</v>
      </c>
      <c r="C317" s="33" t="s">
        <v>70</v>
      </c>
      <c r="D317" s="36" t="s">
        <v>71</v>
      </c>
      <c r="E317" s="118">
        <v>12</v>
      </c>
      <c r="F317" s="118" t="s">
        <v>17</v>
      </c>
      <c r="G317" s="24"/>
      <c r="H317" s="24">
        <f>G317*E317</f>
        <v>0</v>
      </c>
    </row>
    <row r="318" spans="1:8" x14ac:dyDescent="0.45">
      <c r="A318" s="25"/>
      <c r="B318" s="26"/>
      <c r="C318" s="26">
        <v>3.6</v>
      </c>
      <c r="D318" s="27" t="s">
        <v>75</v>
      </c>
      <c r="E318" s="26"/>
      <c r="F318" s="26"/>
      <c r="G318" s="28"/>
      <c r="H318" s="104"/>
    </row>
    <row r="319" spans="1:8" x14ac:dyDescent="0.45">
      <c r="A319" s="22" t="s">
        <v>3161</v>
      </c>
      <c r="B319" s="23">
        <v>1502000</v>
      </c>
      <c r="C319" s="23" t="s">
        <v>80</v>
      </c>
      <c r="D319" s="30" t="s">
        <v>81</v>
      </c>
      <c r="E319" s="118">
        <v>12</v>
      </c>
      <c r="F319" s="118" t="s">
        <v>17</v>
      </c>
      <c r="G319" s="24"/>
      <c r="H319" s="24">
        <f>G319*E319</f>
        <v>0</v>
      </c>
    </row>
    <row r="320" spans="1:8" x14ac:dyDescent="0.45">
      <c r="A320" s="22" t="s">
        <v>3162</v>
      </c>
      <c r="B320" s="23">
        <v>1502000</v>
      </c>
      <c r="C320" s="33" t="s">
        <v>86</v>
      </c>
      <c r="D320" s="39" t="s">
        <v>87</v>
      </c>
      <c r="E320" s="118">
        <v>12</v>
      </c>
      <c r="F320" s="118" t="s">
        <v>17</v>
      </c>
      <c r="G320" s="24"/>
      <c r="H320" s="24">
        <f>G320*E320</f>
        <v>0</v>
      </c>
    </row>
    <row r="321" spans="1:8" x14ac:dyDescent="0.45">
      <c r="A321" s="40"/>
      <c r="B321" s="41">
        <v>1503010</v>
      </c>
      <c r="C321" s="41"/>
      <c r="D321" s="42" t="s">
        <v>109</v>
      </c>
      <c r="E321" s="43"/>
      <c r="F321" s="44"/>
      <c r="G321" s="44"/>
      <c r="H321" s="45"/>
    </row>
    <row r="322" spans="1:8" x14ac:dyDescent="0.45">
      <c r="A322" s="22" t="s">
        <v>3163</v>
      </c>
      <c r="B322" s="33">
        <v>1503010</v>
      </c>
      <c r="C322" s="33">
        <v>3.1</v>
      </c>
      <c r="D322" s="36" t="s">
        <v>111</v>
      </c>
      <c r="E322" s="23">
        <v>12</v>
      </c>
      <c r="F322" s="23" t="s">
        <v>17</v>
      </c>
      <c r="G322" s="24"/>
      <c r="H322" s="24">
        <f>G322*E322</f>
        <v>0</v>
      </c>
    </row>
    <row r="323" spans="1:8" x14ac:dyDescent="0.45">
      <c r="A323" s="40"/>
      <c r="B323" s="43">
        <v>1503020</v>
      </c>
      <c r="C323" s="41"/>
      <c r="D323" s="42" t="s">
        <v>114</v>
      </c>
      <c r="E323" s="43"/>
      <c r="F323" s="44"/>
      <c r="G323" s="44"/>
      <c r="H323" s="45"/>
    </row>
    <row r="324" spans="1:8" s="254" customFormat="1" x14ac:dyDescent="0.45">
      <c r="A324" s="249" t="s">
        <v>3164</v>
      </c>
      <c r="B324" s="250">
        <v>1503020</v>
      </c>
      <c r="C324" s="250">
        <v>3.1</v>
      </c>
      <c r="D324" s="295" t="s">
        <v>116</v>
      </c>
      <c r="E324" s="252">
        <v>12</v>
      </c>
      <c r="F324" s="252" t="s">
        <v>17</v>
      </c>
      <c r="G324" s="253"/>
      <c r="H324" s="253">
        <f>G324*E324</f>
        <v>0</v>
      </c>
    </row>
    <row r="325" spans="1:8" s="254" customFormat="1" x14ac:dyDescent="0.45">
      <c r="A325" s="249" t="s">
        <v>3165</v>
      </c>
      <c r="B325" s="250">
        <v>1503020</v>
      </c>
      <c r="C325" s="250">
        <v>3.2</v>
      </c>
      <c r="D325" s="251" t="s">
        <v>118</v>
      </c>
      <c r="E325" s="252">
        <v>12</v>
      </c>
      <c r="F325" s="252" t="s">
        <v>17</v>
      </c>
      <c r="G325" s="253"/>
      <c r="H325" s="253">
        <f>G325*E325</f>
        <v>0</v>
      </c>
    </row>
    <row r="326" spans="1:8" s="300" customFormat="1" x14ac:dyDescent="0.45">
      <c r="A326" s="269" t="s">
        <v>3165</v>
      </c>
      <c r="B326" s="296">
        <v>1503020</v>
      </c>
      <c r="C326" s="296" t="s">
        <v>158</v>
      </c>
      <c r="D326" s="297" t="s">
        <v>5015</v>
      </c>
      <c r="E326" s="298">
        <v>12</v>
      </c>
      <c r="F326" s="298" t="s">
        <v>17</v>
      </c>
      <c r="G326" s="299"/>
      <c r="H326" s="299">
        <f>G326*E326</f>
        <v>0</v>
      </c>
    </row>
    <row r="327" spans="1:8" s="140" customFormat="1" x14ac:dyDescent="0.45">
      <c r="A327" s="249" t="s">
        <v>3166</v>
      </c>
      <c r="B327" s="52">
        <v>1503020</v>
      </c>
      <c r="C327" s="52">
        <v>3.3</v>
      </c>
      <c r="D327" s="36" t="s">
        <v>120</v>
      </c>
      <c r="E327" s="255">
        <v>12</v>
      </c>
      <c r="F327" s="255" t="s">
        <v>17</v>
      </c>
      <c r="G327" s="256"/>
      <c r="H327" s="24">
        <f>G327*E327</f>
        <v>0</v>
      </c>
    </row>
    <row r="328" spans="1:8" x14ac:dyDescent="0.45">
      <c r="A328" s="40"/>
      <c r="B328" s="43">
        <v>1503030</v>
      </c>
      <c r="C328" s="41"/>
      <c r="D328" s="42" t="s">
        <v>121</v>
      </c>
      <c r="E328" s="43"/>
      <c r="F328" s="44"/>
      <c r="G328" s="44"/>
      <c r="H328" s="45"/>
    </row>
    <row r="329" spans="1:8" x14ac:dyDescent="0.45">
      <c r="A329" s="22" t="s">
        <v>5231</v>
      </c>
      <c r="B329" s="33">
        <v>1503030</v>
      </c>
      <c r="C329" s="33" t="s">
        <v>123</v>
      </c>
      <c r="D329" s="36" t="s">
        <v>124</v>
      </c>
      <c r="E329" s="23">
        <v>12</v>
      </c>
      <c r="F329" s="23" t="s">
        <v>17</v>
      </c>
      <c r="G329" s="24"/>
      <c r="H329" s="24">
        <f>G329*E329</f>
        <v>0</v>
      </c>
    </row>
    <row r="330" spans="1:8" x14ac:dyDescent="0.45">
      <c r="A330" s="40"/>
      <c r="B330" s="41">
        <v>1503050</v>
      </c>
      <c r="C330" s="41"/>
      <c r="D330" s="42" t="s">
        <v>127</v>
      </c>
      <c r="E330" s="43"/>
      <c r="F330" s="44"/>
      <c r="G330" s="44"/>
      <c r="H330" s="45"/>
    </row>
    <row r="331" spans="1:8" x14ac:dyDescent="0.45">
      <c r="A331" s="22" t="s">
        <v>5232</v>
      </c>
      <c r="B331" s="23">
        <v>1503050</v>
      </c>
      <c r="C331" s="23">
        <v>3.1</v>
      </c>
      <c r="D331" s="106" t="s">
        <v>129</v>
      </c>
      <c r="E331" s="23">
        <v>12</v>
      </c>
      <c r="F331" s="23" t="s">
        <v>17</v>
      </c>
      <c r="G331" s="24"/>
      <c r="H331" s="24">
        <f>G331*E331</f>
        <v>0</v>
      </c>
    </row>
    <row r="332" spans="1:8" x14ac:dyDescent="0.45">
      <c r="A332" s="40"/>
      <c r="B332" s="41">
        <v>1503060</v>
      </c>
      <c r="C332" s="41"/>
      <c r="D332" s="42" t="s">
        <v>138</v>
      </c>
      <c r="E332" s="43"/>
      <c r="F332" s="44"/>
      <c r="G332" s="44"/>
      <c r="H332" s="45"/>
    </row>
    <row r="333" spans="1:8" x14ac:dyDescent="0.45">
      <c r="A333" s="249" t="s">
        <v>5233</v>
      </c>
      <c r="B333" s="23">
        <v>1503060</v>
      </c>
      <c r="C333" s="23">
        <v>3.1</v>
      </c>
      <c r="D333" s="106" t="s">
        <v>129</v>
      </c>
      <c r="E333" s="23">
        <v>12</v>
      </c>
      <c r="F333" s="23" t="s">
        <v>17</v>
      </c>
      <c r="G333" s="24"/>
      <c r="H333" s="24">
        <f>G333*E333</f>
        <v>0</v>
      </c>
    </row>
    <row r="334" spans="1:8" x14ac:dyDescent="0.45">
      <c r="A334" s="58"/>
      <c r="B334" s="59"/>
      <c r="C334" s="59"/>
      <c r="D334" s="60" t="s">
        <v>358</v>
      </c>
      <c r="E334" s="59"/>
      <c r="F334" s="59"/>
      <c r="G334" s="59"/>
      <c r="H334" s="62">
        <f>SUM(H308:H333)</f>
        <v>0</v>
      </c>
    </row>
    <row r="335" spans="1:8" x14ac:dyDescent="0.45">
      <c r="A335" s="121"/>
      <c r="B335" s="122"/>
      <c r="C335" s="122"/>
      <c r="D335" s="123"/>
      <c r="E335" s="122"/>
      <c r="F335" s="124"/>
      <c r="G335" s="97"/>
      <c r="H335" s="110"/>
    </row>
    <row r="336" spans="1:8" x14ac:dyDescent="0.45">
      <c r="A336" s="12" t="s">
        <v>3167</v>
      </c>
      <c r="B336" s="13"/>
      <c r="C336" s="13"/>
      <c r="D336" s="12" t="s">
        <v>360</v>
      </c>
      <c r="E336" s="100"/>
      <c r="F336" s="101"/>
      <c r="G336" s="13"/>
      <c r="H336" s="102"/>
    </row>
    <row r="337" spans="1:8" x14ac:dyDescent="0.45">
      <c r="A337" s="40"/>
      <c r="B337" s="41">
        <v>1402000</v>
      </c>
      <c r="C337" s="41">
        <v>3</v>
      </c>
      <c r="D337" s="42" t="s">
        <v>124</v>
      </c>
      <c r="E337" s="43"/>
      <c r="F337" s="44"/>
      <c r="G337" s="44"/>
      <c r="H337" s="45"/>
    </row>
    <row r="338" spans="1:8" x14ac:dyDescent="0.45">
      <c r="A338" s="22" t="s">
        <v>3168</v>
      </c>
      <c r="B338" s="23">
        <v>1402000</v>
      </c>
      <c r="C338" s="23">
        <v>3.1</v>
      </c>
      <c r="D338" s="106" t="s">
        <v>362</v>
      </c>
      <c r="E338" s="23">
        <v>12</v>
      </c>
      <c r="F338" s="23" t="s">
        <v>17</v>
      </c>
      <c r="G338" s="24"/>
      <c r="H338" s="24">
        <f>G338*E338</f>
        <v>0</v>
      </c>
    </row>
    <row r="339" spans="1:8" s="429" customFormat="1" x14ac:dyDescent="0.45">
      <c r="A339" s="258" t="s">
        <v>3169</v>
      </c>
      <c r="B339" s="261">
        <v>1402000</v>
      </c>
      <c r="C339" s="26">
        <v>3.2</v>
      </c>
      <c r="D339" s="27" t="s">
        <v>364</v>
      </c>
      <c r="E339" s="28"/>
      <c r="F339" s="28"/>
      <c r="G339" s="28"/>
      <c r="H339" s="28"/>
    </row>
    <row r="340" spans="1:8" s="293" customFormat="1" x14ac:dyDescent="0.45">
      <c r="A340" s="257" t="s">
        <v>3169</v>
      </c>
      <c r="B340" s="286">
        <v>1402000</v>
      </c>
      <c r="C340" s="286">
        <v>3.2</v>
      </c>
      <c r="D340" s="180" t="s">
        <v>5027</v>
      </c>
      <c r="E340" s="286">
        <v>150</v>
      </c>
      <c r="F340" s="286" t="s">
        <v>472</v>
      </c>
      <c r="G340" s="302"/>
      <c r="H340" s="302">
        <f t="shared" ref="H340:H343" si="5">G340*E340</f>
        <v>0</v>
      </c>
    </row>
    <row r="341" spans="1:8" s="389" customFormat="1" x14ac:dyDescent="0.45">
      <c r="A341" s="257" t="s">
        <v>3170</v>
      </c>
      <c r="B341" s="286">
        <v>1402000</v>
      </c>
      <c r="C341" s="286">
        <v>3.2</v>
      </c>
      <c r="D341" s="180" t="s">
        <v>5028</v>
      </c>
      <c r="E341" s="286">
        <v>200</v>
      </c>
      <c r="F341" s="286" t="s">
        <v>472</v>
      </c>
      <c r="G341" s="302"/>
      <c r="H341" s="302">
        <f t="shared" si="5"/>
        <v>0</v>
      </c>
    </row>
    <row r="342" spans="1:8" s="389" customFormat="1" x14ac:dyDescent="0.45">
      <c r="A342" s="257" t="s">
        <v>5234</v>
      </c>
      <c r="B342" s="286">
        <v>1402000</v>
      </c>
      <c r="C342" s="286">
        <v>3.2</v>
      </c>
      <c r="D342" s="180" t="s">
        <v>5029</v>
      </c>
      <c r="E342" s="286">
        <v>150</v>
      </c>
      <c r="F342" s="286" t="s">
        <v>472</v>
      </c>
      <c r="G342" s="302"/>
      <c r="H342" s="302">
        <f t="shared" si="5"/>
        <v>0</v>
      </c>
    </row>
    <row r="343" spans="1:8" s="389" customFormat="1" x14ac:dyDescent="0.45">
      <c r="A343" s="257" t="s">
        <v>5235</v>
      </c>
      <c r="B343" s="286">
        <v>1402000</v>
      </c>
      <c r="C343" s="286">
        <v>3.2</v>
      </c>
      <c r="D343" s="180" t="s">
        <v>5030</v>
      </c>
      <c r="E343" s="286">
        <v>200</v>
      </c>
      <c r="F343" s="286" t="s">
        <v>472</v>
      </c>
      <c r="G343" s="302"/>
      <c r="H343" s="302">
        <f t="shared" si="5"/>
        <v>0</v>
      </c>
    </row>
    <row r="344" spans="1:8" x14ac:dyDescent="0.45">
      <c r="A344" s="22" t="s">
        <v>5309</v>
      </c>
      <c r="B344" s="23">
        <v>1402000</v>
      </c>
      <c r="C344" s="23">
        <v>3.3</v>
      </c>
      <c r="D344" s="106" t="s">
        <v>366</v>
      </c>
      <c r="E344" s="23">
        <v>12</v>
      </c>
      <c r="F344" s="23" t="s">
        <v>17</v>
      </c>
      <c r="G344" s="24"/>
      <c r="H344" s="24">
        <f>G344*E344</f>
        <v>0</v>
      </c>
    </row>
    <row r="345" spans="1:8" x14ac:dyDescent="0.45">
      <c r="A345" s="58"/>
      <c r="B345" s="59"/>
      <c r="C345" s="59"/>
      <c r="D345" s="60" t="s">
        <v>367</v>
      </c>
      <c r="E345" s="59"/>
      <c r="F345" s="59"/>
      <c r="G345" s="59"/>
      <c r="H345" s="62">
        <f>SUM(H338:H344)</f>
        <v>0</v>
      </c>
    </row>
    <row r="346" spans="1:8" x14ac:dyDescent="0.45">
      <c r="A346" s="121"/>
      <c r="B346" s="122"/>
      <c r="C346" s="122"/>
      <c r="D346" s="123"/>
      <c r="E346" s="122"/>
      <c r="F346" s="124"/>
      <c r="G346" s="88"/>
      <c r="H346" s="110"/>
    </row>
    <row r="347" spans="1:8" x14ac:dyDescent="0.45">
      <c r="A347" s="12" t="s">
        <v>3171</v>
      </c>
      <c r="B347" s="13"/>
      <c r="C347" s="13"/>
      <c r="D347" s="12" t="s">
        <v>369</v>
      </c>
      <c r="E347" s="100"/>
      <c r="F347" s="101"/>
      <c r="G347" s="91"/>
      <c r="H347" s="102"/>
    </row>
    <row r="348" spans="1:8" x14ac:dyDescent="0.45">
      <c r="A348" s="103"/>
      <c r="B348" s="41">
        <v>1502000</v>
      </c>
      <c r="C348" s="43"/>
      <c r="D348" s="42" t="s">
        <v>18</v>
      </c>
      <c r="E348" s="43"/>
      <c r="F348" s="44"/>
      <c r="G348" s="43"/>
      <c r="H348" s="45"/>
    </row>
    <row r="349" spans="1:8" x14ac:dyDescent="0.45">
      <c r="A349" s="27"/>
      <c r="B349" s="26"/>
      <c r="C349" s="26">
        <v>3.1</v>
      </c>
      <c r="D349" s="27" t="s">
        <v>19</v>
      </c>
      <c r="E349" s="26"/>
      <c r="F349" s="26"/>
      <c r="G349" s="28"/>
      <c r="H349" s="104"/>
    </row>
    <row r="350" spans="1:8" x14ac:dyDescent="0.45">
      <c r="A350" s="22" t="s">
        <v>3172</v>
      </c>
      <c r="B350" s="23">
        <v>1502000</v>
      </c>
      <c r="C350" s="23" t="s">
        <v>21</v>
      </c>
      <c r="D350" s="29" t="s">
        <v>22</v>
      </c>
      <c r="E350" s="23">
        <v>12</v>
      </c>
      <c r="F350" s="23" t="s">
        <v>17</v>
      </c>
      <c r="G350" s="24"/>
      <c r="H350" s="24">
        <f>G350*E350</f>
        <v>0</v>
      </c>
    </row>
    <row r="351" spans="1:8" x14ac:dyDescent="0.45">
      <c r="A351" s="22" t="s">
        <v>3173</v>
      </c>
      <c r="B351" s="23">
        <v>1502000</v>
      </c>
      <c r="C351" s="23" t="s">
        <v>24</v>
      </c>
      <c r="D351" s="29" t="s">
        <v>25</v>
      </c>
      <c r="E351" s="23">
        <v>12</v>
      </c>
      <c r="F351" s="23" t="s">
        <v>17</v>
      </c>
      <c r="G351" s="24"/>
      <c r="H351" s="24">
        <f>G351*E351</f>
        <v>0</v>
      </c>
    </row>
    <row r="352" spans="1:8" x14ac:dyDescent="0.45">
      <c r="A352" s="22" t="s">
        <v>3174</v>
      </c>
      <c r="B352" s="23">
        <v>1502000</v>
      </c>
      <c r="C352" s="23" t="s">
        <v>27</v>
      </c>
      <c r="D352" s="29" t="s">
        <v>28</v>
      </c>
      <c r="E352" s="23">
        <v>12</v>
      </c>
      <c r="F352" s="23" t="s">
        <v>17</v>
      </c>
      <c r="G352" s="24"/>
      <c r="H352" s="24">
        <f>G352*E352</f>
        <v>0</v>
      </c>
    </row>
    <row r="353" spans="1:8" x14ac:dyDescent="0.45">
      <c r="A353" s="25"/>
      <c r="B353" s="26"/>
      <c r="C353" s="26">
        <v>3.1</v>
      </c>
      <c r="D353" s="27" t="s">
        <v>31</v>
      </c>
      <c r="E353" s="28"/>
      <c r="F353" s="28"/>
      <c r="G353" s="28"/>
      <c r="H353" s="28"/>
    </row>
    <row r="354" spans="1:8" x14ac:dyDescent="0.45">
      <c r="A354" s="22" t="s">
        <v>3175</v>
      </c>
      <c r="B354" s="23">
        <v>1502000</v>
      </c>
      <c r="C354" s="23" t="s">
        <v>222</v>
      </c>
      <c r="D354" s="29" t="s">
        <v>223</v>
      </c>
      <c r="E354" s="23">
        <v>12</v>
      </c>
      <c r="F354" s="23" t="s">
        <v>17</v>
      </c>
      <c r="G354" s="24"/>
      <c r="H354" s="24">
        <f t="shared" ref="H354:H366" si="6">G354*E354</f>
        <v>0</v>
      </c>
    </row>
    <row r="355" spans="1:8" x14ac:dyDescent="0.45">
      <c r="A355" s="22" t="s">
        <v>3176</v>
      </c>
      <c r="B355" s="23">
        <v>1502000</v>
      </c>
      <c r="C355" s="23" t="s">
        <v>33</v>
      </c>
      <c r="D355" s="29" t="s">
        <v>34</v>
      </c>
      <c r="E355" s="23">
        <v>12</v>
      </c>
      <c r="F355" s="23" t="s">
        <v>17</v>
      </c>
      <c r="G355" s="24"/>
      <c r="H355" s="24">
        <f t="shared" si="6"/>
        <v>0</v>
      </c>
    </row>
    <row r="356" spans="1:8" x14ac:dyDescent="0.45">
      <c r="A356" s="22" t="s">
        <v>3177</v>
      </c>
      <c r="B356" s="23">
        <v>1502000</v>
      </c>
      <c r="C356" s="23" t="s">
        <v>227</v>
      </c>
      <c r="D356" s="29" t="s">
        <v>228</v>
      </c>
      <c r="E356" s="23">
        <v>12</v>
      </c>
      <c r="F356" s="23" t="s">
        <v>17</v>
      </c>
      <c r="G356" s="24"/>
      <c r="H356" s="24">
        <f t="shared" si="6"/>
        <v>0</v>
      </c>
    </row>
    <row r="357" spans="1:8" x14ac:dyDescent="0.45">
      <c r="A357" s="22" t="s">
        <v>3178</v>
      </c>
      <c r="B357" s="23">
        <v>1502000</v>
      </c>
      <c r="C357" s="23" t="s">
        <v>39</v>
      </c>
      <c r="D357" s="29" t="s">
        <v>230</v>
      </c>
      <c r="E357" s="23">
        <v>12</v>
      </c>
      <c r="F357" s="23" t="s">
        <v>17</v>
      </c>
      <c r="G357" s="24"/>
      <c r="H357" s="24">
        <f t="shared" si="6"/>
        <v>0</v>
      </c>
    </row>
    <row r="358" spans="1:8" x14ac:dyDescent="0.45">
      <c r="A358" s="22" t="s">
        <v>3179</v>
      </c>
      <c r="B358" s="23">
        <v>1502000</v>
      </c>
      <c r="C358" s="23" t="s">
        <v>232</v>
      </c>
      <c r="D358" s="29" t="s">
        <v>233</v>
      </c>
      <c r="E358" s="23">
        <v>12</v>
      </c>
      <c r="F358" s="23" t="s">
        <v>17</v>
      </c>
      <c r="G358" s="24"/>
      <c r="H358" s="24">
        <f t="shared" si="6"/>
        <v>0</v>
      </c>
    </row>
    <row r="359" spans="1:8" x14ac:dyDescent="0.45">
      <c r="A359" s="22" t="s">
        <v>3180</v>
      </c>
      <c r="B359" s="23">
        <v>1502000</v>
      </c>
      <c r="C359" s="23" t="s">
        <v>250</v>
      </c>
      <c r="D359" s="29" t="s">
        <v>379</v>
      </c>
      <c r="E359" s="23">
        <v>12</v>
      </c>
      <c r="F359" s="23" t="s">
        <v>17</v>
      </c>
      <c r="G359" s="24"/>
      <c r="H359" s="24">
        <f t="shared" si="6"/>
        <v>0</v>
      </c>
    </row>
    <row r="360" spans="1:8" x14ac:dyDescent="0.45">
      <c r="A360" s="22" t="s">
        <v>3181</v>
      </c>
      <c r="B360" s="23">
        <v>1502000</v>
      </c>
      <c r="C360" s="23" t="s">
        <v>45</v>
      </c>
      <c r="D360" s="29" t="s">
        <v>46</v>
      </c>
      <c r="E360" s="23">
        <v>12</v>
      </c>
      <c r="F360" s="23" t="s">
        <v>17</v>
      </c>
      <c r="G360" s="24"/>
      <c r="H360" s="24">
        <f t="shared" si="6"/>
        <v>0</v>
      </c>
    </row>
    <row r="361" spans="1:8" x14ac:dyDescent="0.45">
      <c r="A361" s="22" t="s">
        <v>3182</v>
      </c>
      <c r="B361" s="23">
        <v>1502000</v>
      </c>
      <c r="C361" s="23" t="s">
        <v>48</v>
      </c>
      <c r="D361" s="29" t="s">
        <v>257</v>
      </c>
      <c r="E361" s="23">
        <v>12</v>
      </c>
      <c r="F361" s="23" t="s">
        <v>17</v>
      </c>
      <c r="G361" s="24"/>
      <c r="H361" s="24">
        <f t="shared" si="6"/>
        <v>0</v>
      </c>
    </row>
    <row r="362" spans="1:8" x14ac:dyDescent="0.45">
      <c r="A362" s="22" t="s">
        <v>3183</v>
      </c>
      <c r="B362" s="23">
        <v>1502000</v>
      </c>
      <c r="C362" s="23" t="s">
        <v>51</v>
      </c>
      <c r="D362" s="29" t="s">
        <v>383</v>
      </c>
      <c r="E362" s="23">
        <v>12</v>
      </c>
      <c r="F362" s="23" t="s">
        <v>17</v>
      </c>
      <c r="G362" s="24"/>
      <c r="H362" s="24">
        <f t="shared" si="6"/>
        <v>0</v>
      </c>
    </row>
    <row r="363" spans="1:8" x14ac:dyDescent="0.45">
      <c r="A363" s="22" t="s">
        <v>3184</v>
      </c>
      <c r="B363" s="23">
        <v>1502000</v>
      </c>
      <c r="C363" s="23" t="s">
        <v>54</v>
      </c>
      <c r="D363" s="29" t="s">
        <v>55</v>
      </c>
      <c r="E363" s="23">
        <v>12</v>
      </c>
      <c r="F363" s="23" t="s">
        <v>17</v>
      </c>
      <c r="G363" s="24"/>
      <c r="H363" s="24">
        <f t="shared" si="6"/>
        <v>0</v>
      </c>
    </row>
    <row r="364" spans="1:8" x14ac:dyDescent="0.45">
      <c r="A364" s="22" t="s">
        <v>3185</v>
      </c>
      <c r="B364" s="23">
        <v>1502000</v>
      </c>
      <c r="C364" s="23" t="s">
        <v>260</v>
      </c>
      <c r="D364" s="29" t="s">
        <v>386</v>
      </c>
      <c r="E364" s="23">
        <v>12</v>
      </c>
      <c r="F364" s="23" t="s">
        <v>17</v>
      </c>
      <c r="G364" s="24"/>
      <c r="H364" s="24">
        <f t="shared" si="6"/>
        <v>0</v>
      </c>
    </row>
    <row r="365" spans="1:8" x14ac:dyDescent="0.45">
      <c r="A365" s="22" t="s">
        <v>3186</v>
      </c>
      <c r="B365" s="23">
        <v>1502000</v>
      </c>
      <c r="C365" s="23" t="s">
        <v>332</v>
      </c>
      <c r="D365" s="29" t="s">
        <v>388</v>
      </c>
      <c r="E365" s="23">
        <v>12</v>
      </c>
      <c r="F365" s="23" t="s">
        <v>17</v>
      </c>
      <c r="G365" s="24"/>
      <c r="H365" s="24">
        <f t="shared" si="6"/>
        <v>0</v>
      </c>
    </row>
    <row r="366" spans="1:8" x14ac:dyDescent="0.45">
      <c r="A366" s="22" t="s">
        <v>3187</v>
      </c>
      <c r="B366" s="23">
        <v>1502000</v>
      </c>
      <c r="C366" s="23" t="s">
        <v>390</v>
      </c>
      <c r="D366" s="29" t="s">
        <v>391</v>
      </c>
      <c r="E366" s="23">
        <v>12</v>
      </c>
      <c r="F366" s="23" t="s">
        <v>17</v>
      </c>
      <c r="G366" s="24"/>
      <c r="H366" s="24">
        <f t="shared" si="6"/>
        <v>0</v>
      </c>
    </row>
    <row r="367" spans="1:8" x14ac:dyDescent="0.45">
      <c r="A367" s="25"/>
      <c r="B367" s="26">
        <v>1502000</v>
      </c>
      <c r="C367" s="26">
        <v>3.4</v>
      </c>
      <c r="D367" s="27" t="s">
        <v>62</v>
      </c>
      <c r="E367" s="26"/>
      <c r="F367" s="26"/>
      <c r="G367" s="28"/>
      <c r="H367" s="104"/>
    </row>
    <row r="368" spans="1:8" x14ac:dyDescent="0.45">
      <c r="A368" s="22" t="s">
        <v>3188</v>
      </c>
      <c r="B368" s="23">
        <v>1502000</v>
      </c>
      <c r="C368" s="23" t="s">
        <v>64</v>
      </c>
      <c r="D368" s="106" t="s">
        <v>65</v>
      </c>
      <c r="E368" s="23">
        <v>12</v>
      </c>
      <c r="F368" s="23" t="s">
        <v>17</v>
      </c>
      <c r="G368" s="24"/>
      <c r="H368" s="24">
        <f>G368*E368</f>
        <v>0</v>
      </c>
    </row>
    <row r="369" spans="1:8" x14ac:dyDescent="0.45">
      <c r="A369" s="22" t="s">
        <v>3189</v>
      </c>
      <c r="B369" s="23">
        <v>1502000</v>
      </c>
      <c r="C369" s="23" t="s">
        <v>67</v>
      </c>
      <c r="D369" s="120" t="s">
        <v>68</v>
      </c>
      <c r="E369" s="23">
        <v>12</v>
      </c>
      <c r="F369" s="23" t="s">
        <v>17</v>
      </c>
      <c r="G369" s="24"/>
      <c r="H369" s="24">
        <f>G369*E369</f>
        <v>0</v>
      </c>
    </row>
    <row r="370" spans="1:8" x14ac:dyDescent="0.45">
      <c r="A370" s="22" t="s">
        <v>3190</v>
      </c>
      <c r="B370" s="23">
        <v>1502000</v>
      </c>
      <c r="C370" s="23" t="s">
        <v>70</v>
      </c>
      <c r="D370" s="106" t="s">
        <v>71</v>
      </c>
      <c r="E370" s="23">
        <v>12</v>
      </c>
      <c r="F370" s="23" t="s">
        <v>17</v>
      </c>
      <c r="G370" s="24"/>
      <c r="H370" s="24">
        <f>G370*E370</f>
        <v>0</v>
      </c>
    </row>
    <row r="371" spans="1:8" x14ac:dyDescent="0.45">
      <c r="A371" s="25"/>
      <c r="B371" s="26"/>
      <c r="C371" s="26">
        <v>3.5</v>
      </c>
      <c r="D371" s="27" t="s">
        <v>72</v>
      </c>
      <c r="E371" s="28"/>
      <c r="F371" s="28"/>
      <c r="G371" s="28"/>
      <c r="H371" s="28"/>
    </row>
    <row r="372" spans="1:8" x14ac:dyDescent="0.45">
      <c r="A372" s="22" t="s">
        <v>3191</v>
      </c>
      <c r="B372" s="23">
        <v>1502000</v>
      </c>
      <c r="C372" s="301" t="s">
        <v>5021</v>
      </c>
      <c r="D372" s="36" t="s">
        <v>71</v>
      </c>
      <c r="E372" s="23">
        <v>12</v>
      </c>
      <c r="F372" s="23" t="s">
        <v>17</v>
      </c>
      <c r="G372" s="24"/>
      <c r="H372" s="24">
        <f>G372*E372</f>
        <v>0</v>
      </c>
    </row>
    <row r="373" spans="1:8" x14ac:dyDescent="0.45">
      <c r="A373" s="27"/>
      <c r="B373" s="125"/>
      <c r="C373" s="125"/>
      <c r="D373" s="27" t="s">
        <v>75</v>
      </c>
      <c r="E373" s="26"/>
      <c r="F373" s="26"/>
      <c r="G373" s="28"/>
      <c r="H373" s="104"/>
    </row>
    <row r="374" spans="1:8" x14ac:dyDescent="0.45">
      <c r="A374" s="22" t="s">
        <v>3192</v>
      </c>
      <c r="B374" s="23">
        <v>1502000</v>
      </c>
      <c r="C374" s="23" t="s">
        <v>80</v>
      </c>
      <c r="D374" s="30" t="s">
        <v>81</v>
      </c>
      <c r="E374" s="23">
        <v>12</v>
      </c>
      <c r="F374" s="23" t="s">
        <v>17</v>
      </c>
      <c r="G374" s="24"/>
      <c r="H374" s="24">
        <f t="shared" ref="H374:H379" si="7">G374*E374</f>
        <v>0</v>
      </c>
    </row>
    <row r="375" spans="1:8" x14ac:dyDescent="0.45">
      <c r="A375" s="22" t="s">
        <v>3193</v>
      </c>
      <c r="B375" s="23">
        <v>1502000</v>
      </c>
      <c r="C375" s="23" t="s">
        <v>83</v>
      </c>
      <c r="D375" s="30" t="s">
        <v>84</v>
      </c>
      <c r="E375" s="23">
        <v>12</v>
      </c>
      <c r="F375" s="23" t="s">
        <v>17</v>
      </c>
      <c r="G375" s="24"/>
      <c r="H375" s="24">
        <f t="shared" si="7"/>
        <v>0</v>
      </c>
    </row>
    <row r="376" spans="1:8" x14ac:dyDescent="0.45">
      <c r="A376" s="22" t="s">
        <v>3194</v>
      </c>
      <c r="B376" s="23">
        <v>1502000</v>
      </c>
      <c r="C376" s="23" t="s">
        <v>86</v>
      </c>
      <c r="D376" s="106" t="s">
        <v>87</v>
      </c>
      <c r="E376" s="23">
        <v>12</v>
      </c>
      <c r="F376" s="23" t="s">
        <v>17</v>
      </c>
      <c r="G376" s="24"/>
      <c r="H376" s="24">
        <f t="shared" si="7"/>
        <v>0</v>
      </c>
    </row>
    <row r="377" spans="1:8" x14ac:dyDescent="0.45">
      <c r="A377" s="22" t="s">
        <v>3195</v>
      </c>
      <c r="B377" s="23">
        <v>1502000</v>
      </c>
      <c r="C377" s="23" t="s">
        <v>400</v>
      </c>
      <c r="D377" s="106" t="s">
        <v>401</v>
      </c>
      <c r="E377" s="23">
        <v>12</v>
      </c>
      <c r="F377" s="23" t="s">
        <v>17</v>
      </c>
      <c r="G377" s="24"/>
      <c r="H377" s="24">
        <f t="shared" si="7"/>
        <v>0</v>
      </c>
    </row>
    <row r="378" spans="1:8" x14ac:dyDescent="0.45">
      <c r="A378" s="22" t="s">
        <v>3196</v>
      </c>
      <c r="B378" s="23">
        <v>1502000</v>
      </c>
      <c r="C378" s="286" t="s">
        <v>5037</v>
      </c>
      <c r="D378" s="22" t="s">
        <v>108</v>
      </c>
      <c r="E378" s="33">
        <v>12</v>
      </c>
      <c r="F378" s="23" t="s">
        <v>17</v>
      </c>
      <c r="G378" s="24"/>
      <c r="H378" s="24">
        <f t="shared" si="7"/>
        <v>0</v>
      </c>
    </row>
    <row r="379" spans="1:8" x14ac:dyDescent="0.45">
      <c r="A379" s="22" t="s">
        <v>3197</v>
      </c>
      <c r="B379" s="23">
        <v>1502000</v>
      </c>
      <c r="C379" s="23" t="s">
        <v>107</v>
      </c>
      <c r="D379" s="126" t="s">
        <v>277</v>
      </c>
      <c r="E379" s="23">
        <v>12</v>
      </c>
      <c r="F379" s="23" t="s">
        <v>17</v>
      </c>
      <c r="G379" s="24"/>
      <c r="H379" s="24">
        <f t="shared" si="7"/>
        <v>0</v>
      </c>
    </row>
    <row r="380" spans="1:8" x14ac:dyDescent="0.45">
      <c r="A380" s="40"/>
      <c r="B380" s="41">
        <v>1503010</v>
      </c>
      <c r="C380" s="41"/>
      <c r="D380" s="42" t="s">
        <v>109</v>
      </c>
      <c r="E380" s="43"/>
      <c r="F380" s="44"/>
      <c r="G380" s="44"/>
      <c r="H380" s="45"/>
    </row>
    <row r="381" spans="1:8" x14ac:dyDescent="0.45">
      <c r="A381" s="22" t="s">
        <v>3198</v>
      </c>
      <c r="B381" s="33">
        <v>1503010</v>
      </c>
      <c r="C381" s="33">
        <v>3.1</v>
      </c>
      <c r="D381" s="36" t="s">
        <v>111</v>
      </c>
      <c r="E381" s="23">
        <v>12</v>
      </c>
      <c r="F381" s="23" t="s">
        <v>17</v>
      </c>
      <c r="G381" s="24"/>
      <c r="H381" s="24">
        <f>G381*E381</f>
        <v>0</v>
      </c>
    </row>
    <row r="382" spans="1:8" x14ac:dyDescent="0.45">
      <c r="A382" s="40"/>
      <c r="B382" s="43">
        <v>1503020</v>
      </c>
      <c r="C382" s="41"/>
      <c r="D382" s="42" t="s">
        <v>114</v>
      </c>
      <c r="E382" s="43"/>
      <c r="F382" s="44"/>
      <c r="G382" s="44"/>
      <c r="H382" s="44"/>
    </row>
    <row r="383" spans="1:8" x14ac:dyDescent="0.45">
      <c r="A383" s="22" t="s">
        <v>3199</v>
      </c>
      <c r="B383" s="33">
        <v>1503020</v>
      </c>
      <c r="C383" s="23">
        <v>3.1</v>
      </c>
      <c r="D383" s="206" t="s">
        <v>406</v>
      </c>
      <c r="E383" s="23">
        <v>12</v>
      </c>
      <c r="F383" s="115" t="s">
        <v>17</v>
      </c>
      <c r="G383" s="24"/>
      <c r="H383" s="24">
        <f>G383*E383</f>
        <v>0</v>
      </c>
    </row>
    <row r="384" spans="1:8" x14ac:dyDescent="0.45">
      <c r="A384" s="22" t="s">
        <v>3200</v>
      </c>
      <c r="B384" s="33">
        <v>1503020</v>
      </c>
      <c r="C384" s="33">
        <v>3.2</v>
      </c>
      <c r="D384" s="36" t="s">
        <v>118</v>
      </c>
      <c r="E384" s="23">
        <v>12</v>
      </c>
      <c r="F384" s="23" t="s">
        <v>17</v>
      </c>
      <c r="G384" s="24"/>
      <c r="H384" s="24">
        <f>G384*E384</f>
        <v>0</v>
      </c>
    </row>
    <row r="385" spans="1:8" x14ac:dyDescent="0.45">
      <c r="A385" s="22" t="s">
        <v>3201</v>
      </c>
      <c r="B385" s="33">
        <v>1503020</v>
      </c>
      <c r="C385" s="23">
        <v>3.3</v>
      </c>
      <c r="D385" s="106" t="s">
        <v>120</v>
      </c>
      <c r="E385" s="23">
        <v>12</v>
      </c>
      <c r="F385" s="23" t="s">
        <v>17</v>
      </c>
      <c r="G385" s="24"/>
      <c r="H385" s="24">
        <f>G385*E385</f>
        <v>0</v>
      </c>
    </row>
    <row r="386" spans="1:8" x14ac:dyDescent="0.45">
      <c r="A386" s="40"/>
      <c r="B386" s="43">
        <v>1503030</v>
      </c>
      <c r="C386" s="41"/>
      <c r="D386" s="42" t="s">
        <v>121</v>
      </c>
      <c r="E386" s="43"/>
      <c r="F386" s="44"/>
      <c r="G386" s="44"/>
      <c r="H386" s="45"/>
    </row>
    <row r="387" spans="1:8" x14ac:dyDescent="0.45">
      <c r="A387" s="22" t="s">
        <v>3202</v>
      </c>
      <c r="B387" s="33">
        <v>1503030</v>
      </c>
      <c r="C387" s="33" t="s">
        <v>123</v>
      </c>
      <c r="D387" s="36" t="s">
        <v>124</v>
      </c>
      <c r="E387" s="23">
        <v>12</v>
      </c>
      <c r="F387" s="23" t="s">
        <v>17</v>
      </c>
      <c r="G387" s="24"/>
      <c r="H387" s="24">
        <f>G387*E387</f>
        <v>0</v>
      </c>
    </row>
    <row r="388" spans="1:8" x14ac:dyDescent="0.45">
      <c r="A388" s="58"/>
      <c r="B388" s="59"/>
      <c r="C388" s="59"/>
      <c r="D388" s="60" t="s">
        <v>410</v>
      </c>
      <c r="E388" s="59"/>
      <c r="F388" s="59"/>
      <c r="G388" s="59"/>
      <c r="H388" s="62">
        <f>SUM(H350:H387)</f>
        <v>0</v>
      </c>
    </row>
    <row r="389" spans="1:8" x14ac:dyDescent="0.45">
      <c r="A389" s="121"/>
      <c r="B389" s="122"/>
      <c r="C389" s="122"/>
      <c r="D389" s="123"/>
      <c r="E389" s="122"/>
      <c r="F389" s="124"/>
      <c r="G389" s="88"/>
      <c r="H389" s="110"/>
    </row>
    <row r="390" spans="1:8" x14ac:dyDescent="0.45">
      <c r="A390" s="12" t="s">
        <v>3203</v>
      </c>
      <c r="B390" s="13"/>
      <c r="C390" s="13"/>
      <c r="D390" s="12" t="s">
        <v>412</v>
      </c>
      <c r="E390" s="13"/>
      <c r="F390" s="13"/>
      <c r="G390" s="91"/>
      <c r="H390" s="102"/>
    </row>
    <row r="391" spans="1:8" x14ac:dyDescent="0.45">
      <c r="A391" s="103"/>
      <c r="B391" s="41">
        <v>1502000</v>
      </c>
      <c r="C391" s="43"/>
      <c r="D391" s="42" t="s">
        <v>18</v>
      </c>
      <c r="E391" s="43"/>
      <c r="F391" s="44"/>
      <c r="G391" s="43"/>
      <c r="H391" s="45"/>
    </row>
    <row r="392" spans="1:8" x14ac:dyDescent="0.45">
      <c r="A392" s="25"/>
      <c r="B392" s="26">
        <v>1502000</v>
      </c>
      <c r="C392" s="26">
        <v>3.4</v>
      </c>
      <c r="D392" s="27" t="s">
        <v>62</v>
      </c>
      <c r="E392" s="26"/>
      <c r="F392" s="26"/>
      <c r="G392" s="28"/>
      <c r="H392" s="104"/>
    </row>
    <row r="393" spans="1:8" x14ac:dyDescent="0.45">
      <c r="A393" s="22" t="s">
        <v>3204</v>
      </c>
      <c r="B393" s="23">
        <v>1502000</v>
      </c>
      <c r="C393" s="23" t="s">
        <v>67</v>
      </c>
      <c r="D393" s="120" t="s">
        <v>68</v>
      </c>
      <c r="E393" s="23">
        <v>12</v>
      </c>
      <c r="F393" s="23" t="s">
        <v>17</v>
      </c>
      <c r="G393" s="24"/>
      <c r="H393" s="24">
        <f>G393*E393</f>
        <v>0</v>
      </c>
    </row>
    <row r="394" spans="1:8" x14ac:dyDescent="0.45">
      <c r="A394" s="40"/>
      <c r="B394" s="41">
        <v>1503010</v>
      </c>
      <c r="C394" s="41"/>
      <c r="D394" s="42" t="s">
        <v>109</v>
      </c>
      <c r="E394" s="43"/>
      <c r="F394" s="44"/>
      <c r="G394" s="44"/>
      <c r="H394" s="45"/>
    </row>
    <row r="395" spans="1:8" x14ac:dyDescent="0.45">
      <c r="A395" s="22" t="s">
        <v>3205</v>
      </c>
      <c r="B395" s="33">
        <v>1503010</v>
      </c>
      <c r="C395" s="33">
        <v>3.1</v>
      </c>
      <c r="D395" s="36" t="s">
        <v>111</v>
      </c>
      <c r="E395" s="23">
        <v>12</v>
      </c>
      <c r="F395" s="23" t="s">
        <v>17</v>
      </c>
      <c r="G395" s="24"/>
      <c r="H395" s="24">
        <f>G395*E395</f>
        <v>0</v>
      </c>
    </row>
    <row r="396" spans="1:8" x14ac:dyDescent="0.45">
      <c r="A396" s="58"/>
      <c r="B396" s="59"/>
      <c r="C396" s="59"/>
      <c r="D396" s="60" t="s">
        <v>415</v>
      </c>
      <c r="E396" s="59"/>
      <c r="F396" s="59"/>
      <c r="G396" s="59"/>
      <c r="H396" s="62">
        <f>SUM(H393:H395)</f>
        <v>0</v>
      </c>
    </row>
    <row r="397" spans="1:8" x14ac:dyDescent="0.45">
      <c r="A397" s="121"/>
      <c r="B397" s="122"/>
      <c r="C397" s="122"/>
      <c r="D397" s="123"/>
      <c r="E397" s="122"/>
      <c r="F397" s="124"/>
      <c r="G397" s="88"/>
      <c r="H397" s="110"/>
    </row>
    <row r="398" spans="1:8" x14ac:dyDescent="0.45">
      <c r="A398" s="12" t="s">
        <v>3206</v>
      </c>
      <c r="B398" s="13"/>
      <c r="C398" s="13"/>
      <c r="D398" s="12" t="s">
        <v>417</v>
      </c>
      <c r="E398" s="13"/>
      <c r="F398" s="13"/>
      <c r="G398" s="91"/>
      <c r="H398" s="102"/>
    </row>
    <row r="399" spans="1:8" x14ac:dyDescent="0.45">
      <c r="A399" s="103"/>
      <c r="B399" s="41">
        <v>1502000</v>
      </c>
      <c r="C399" s="43"/>
      <c r="D399" s="42" t="s">
        <v>18</v>
      </c>
      <c r="E399" s="43"/>
      <c r="F399" s="44"/>
      <c r="G399" s="43"/>
      <c r="H399" s="45"/>
    </row>
    <row r="400" spans="1:8" x14ac:dyDescent="0.45">
      <c r="A400" s="27"/>
      <c r="B400" s="26"/>
      <c r="C400" s="26">
        <v>3.1</v>
      </c>
      <c r="D400" s="27" t="s">
        <v>19</v>
      </c>
      <c r="E400" s="26"/>
      <c r="F400" s="26"/>
      <c r="G400" s="28"/>
      <c r="H400" s="104"/>
    </row>
    <row r="401" spans="1:8" x14ac:dyDescent="0.45">
      <c r="A401" s="22" t="s">
        <v>3207</v>
      </c>
      <c r="B401" s="23">
        <v>1502000</v>
      </c>
      <c r="C401" s="23" t="s">
        <v>21</v>
      </c>
      <c r="D401" s="29" t="s">
        <v>22</v>
      </c>
      <c r="E401" s="23">
        <v>12</v>
      </c>
      <c r="F401" s="23" t="s">
        <v>17</v>
      </c>
      <c r="G401" s="24"/>
      <c r="H401" s="24">
        <f>G401*E401</f>
        <v>0</v>
      </c>
    </row>
    <row r="402" spans="1:8" x14ac:dyDescent="0.45">
      <c r="A402" s="22" t="s">
        <v>3208</v>
      </c>
      <c r="B402" s="23">
        <v>1502000</v>
      </c>
      <c r="C402" s="23" t="s">
        <v>24</v>
      </c>
      <c r="D402" s="29" t="s">
        <v>25</v>
      </c>
      <c r="E402" s="23">
        <v>12</v>
      </c>
      <c r="F402" s="23" t="s">
        <v>17</v>
      </c>
      <c r="G402" s="24"/>
      <c r="H402" s="24">
        <f>G402*E402</f>
        <v>0</v>
      </c>
    </row>
    <row r="403" spans="1:8" x14ac:dyDescent="0.45">
      <c r="A403" s="22" t="s">
        <v>3209</v>
      </c>
      <c r="B403" s="23">
        <v>1502000</v>
      </c>
      <c r="C403" s="23" t="s">
        <v>27</v>
      </c>
      <c r="D403" s="29" t="s">
        <v>28</v>
      </c>
      <c r="E403" s="23">
        <v>12</v>
      </c>
      <c r="F403" s="23" t="s">
        <v>17</v>
      </c>
      <c r="G403" s="24"/>
      <c r="H403" s="24">
        <f>G403*E403</f>
        <v>0</v>
      </c>
    </row>
    <row r="404" spans="1:8" x14ac:dyDescent="0.45">
      <c r="A404" s="25"/>
      <c r="B404" s="26">
        <v>1502000</v>
      </c>
      <c r="C404" s="26">
        <v>3.4</v>
      </c>
      <c r="D404" s="27" t="s">
        <v>62</v>
      </c>
      <c r="E404" s="26"/>
      <c r="F404" s="26"/>
      <c r="G404" s="28"/>
      <c r="H404" s="104"/>
    </row>
    <row r="405" spans="1:8" x14ac:dyDescent="0.45">
      <c r="A405" s="22" t="s">
        <v>3210</v>
      </c>
      <c r="B405" s="23">
        <v>1502000</v>
      </c>
      <c r="C405" s="23" t="s">
        <v>67</v>
      </c>
      <c r="D405" s="35" t="s">
        <v>68</v>
      </c>
      <c r="E405" s="23">
        <v>12</v>
      </c>
      <c r="F405" s="23" t="s">
        <v>17</v>
      </c>
      <c r="G405" s="24"/>
      <c r="H405" s="24">
        <f>G405*E405</f>
        <v>0</v>
      </c>
    </row>
    <row r="406" spans="1:8" x14ac:dyDescent="0.45">
      <c r="A406" s="58"/>
      <c r="B406" s="59"/>
      <c r="C406" s="59"/>
      <c r="D406" s="60" t="s">
        <v>422</v>
      </c>
      <c r="E406" s="59"/>
      <c r="F406" s="59"/>
      <c r="G406" s="59"/>
      <c r="H406" s="62">
        <f>SUM(H401:H405)</f>
        <v>0</v>
      </c>
    </row>
    <row r="407" spans="1:8" x14ac:dyDescent="0.45">
      <c r="A407" s="121"/>
      <c r="B407" s="122"/>
      <c r="C407" s="122"/>
      <c r="D407" s="123"/>
      <c r="E407" s="122"/>
      <c r="F407" s="124"/>
      <c r="G407" s="88"/>
      <c r="H407" s="110"/>
    </row>
    <row r="408" spans="1:8" x14ac:dyDescent="0.45">
      <c r="A408" s="12" t="s">
        <v>3211</v>
      </c>
      <c r="B408" s="13"/>
      <c r="C408" s="13"/>
      <c r="D408" s="111" t="s">
        <v>424</v>
      </c>
      <c r="E408" s="100"/>
      <c r="F408" s="101"/>
      <c r="G408" s="91"/>
      <c r="H408" s="102"/>
    </row>
    <row r="409" spans="1:8" x14ac:dyDescent="0.45">
      <c r="A409" s="103"/>
      <c r="B409" s="41">
        <v>1502000</v>
      </c>
      <c r="C409" s="43"/>
      <c r="D409" s="42" t="s">
        <v>18</v>
      </c>
      <c r="E409" s="43"/>
      <c r="F409" s="44"/>
      <c r="G409" s="43"/>
      <c r="H409" s="45"/>
    </row>
    <row r="410" spans="1:8" x14ac:dyDescent="0.45">
      <c r="A410" s="27"/>
      <c r="B410" s="26"/>
      <c r="C410" s="26">
        <v>3.1</v>
      </c>
      <c r="D410" s="27" t="s">
        <v>19</v>
      </c>
      <c r="E410" s="26"/>
      <c r="F410" s="26"/>
      <c r="G410" s="28"/>
      <c r="H410" s="104"/>
    </row>
    <row r="411" spans="1:8" x14ac:dyDescent="0.45">
      <c r="A411" s="22" t="s">
        <v>3212</v>
      </c>
      <c r="B411" s="23">
        <v>1502000</v>
      </c>
      <c r="C411" s="23" t="s">
        <v>21</v>
      </c>
      <c r="D411" s="29" t="s">
        <v>22</v>
      </c>
      <c r="E411" s="23">
        <v>12</v>
      </c>
      <c r="F411" s="23" t="s">
        <v>17</v>
      </c>
      <c r="G411" s="24"/>
      <c r="H411" s="24">
        <f>G411*E411</f>
        <v>0</v>
      </c>
    </row>
    <row r="412" spans="1:8" x14ac:dyDescent="0.45">
      <c r="A412" s="22" t="s">
        <v>3213</v>
      </c>
      <c r="B412" s="23">
        <v>1502000</v>
      </c>
      <c r="C412" s="23" t="s">
        <v>24</v>
      </c>
      <c r="D412" s="29" t="s">
        <v>25</v>
      </c>
      <c r="E412" s="23">
        <v>12</v>
      </c>
      <c r="F412" s="23" t="s">
        <v>17</v>
      </c>
      <c r="G412" s="24"/>
      <c r="H412" s="24">
        <f>G412*E412</f>
        <v>0</v>
      </c>
    </row>
    <row r="413" spans="1:8" x14ac:dyDescent="0.45">
      <c r="A413" s="22" t="s">
        <v>3214</v>
      </c>
      <c r="B413" s="23">
        <v>1502000</v>
      </c>
      <c r="C413" s="23" t="s">
        <v>27</v>
      </c>
      <c r="D413" s="29" t="s">
        <v>28</v>
      </c>
      <c r="E413" s="23">
        <v>12</v>
      </c>
      <c r="F413" s="23" t="s">
        <v>17</v>
      </c>
      <c r="G413" s="24"/>
      <c r="H413" s="24">
        <f>G413*E413</f>
        <v>0</v>
      </c>
    </row>
    <row r="414" spans="1:8" x14ac:dyDescent="0.45">
      <c r="A414" s="40"/>
      <c r="B414" s="41">
        <v>1503010</v>
      </c>
      <c r="C414" s="41"/>
      <c r="D414" s="42" t="s">
        <v>109</v>
      </c>
      <c r="E414" s="43"/>
      <c r="F414" s="44"/>
      <c r="G414" s="44"/>
      <c r="H414" s="45"/>
    </row>
    <row r="415" spans="1:8" x14ac:dyDescent="0.45">
      <c r="A415" s="22" t="s">
        <v>3215</v>
      </c>
      <c r="B415" s="33">
        <v>1503010</v>
      </c>
      <c r="C415" s="33">
        <v>3.1</v>
      </c>
      <c r="D415" s="36" t="s">
        <v>111</v>
      </c>
      <c r="E415" s="23">
        <v>12</v>
      </c>
      <c r="F415" s="23" t="s">
        <v>17</v>
      </c>
      <c r="G415" s="24"/>
      <c r="H415" s="24">
        <f>G415*E415</f>
        <v>0</v>
      </c>
    </row>
    <row r="416" spans="1:8" x14ac:dyDescent="0.45">
      <c r="A416" s="40"/>
      <c r="B416" s="43">
        <v>1503030</v>
      </c>
      <c r="C416" s="41"/>
      <c r="D416" s="42" t="s">
        <v>121</v>
      </c>
      <c r="E416" s="43"/>
      <c r="F416" s="44"/>
      <c r="G416" s="44"/>
      <c r="H416" s="45"/>
    </row>
    <row r="417" spans="1:8" x14ac:dyDescent="0.45">
      <c r="A417" s="22" t="s">
        <v>3216</v>
      </c>
      <c r="B417" s="33">
        <v>1503030</v>
      </c>
      <c r="C417" s="33" t="s">
        <v>123</v>
      </c>
      <c r="D417" s="36" t="s">
        <v>124</v>
      </c>
      <c r="E417" s="23">
        <v>12</v>
      </c>
      <c r="F417" s="23" t="s">
        <v>17</v>
      </c>
      <c r="G417" s="24"/>
      <c r="H417" s="24">
        <f>G417*E417</f>
        <v>0</v>
      </c>
    </row>
    <row r="418" spans="1:8" s="293" customFormat="1" x14ac:dyDescent="0.45">
      <c r="A418" s="287"/>
      <c r="B418" s="288">
        <v>1503050</v>
      </c>
      <c r="C418" s="288"/>
      <c r="D418" s="289" t="s">
        <v>5014</v>
      </c>
      <c r="E418" s="290"/>
      <c r="F418" s="291"/>
      <c r="G418" s="291"/>
      <c r="H418" s="292"/>
    </row>
    <row r="419" spans="1:8" s="293" customFormat="1" x14ac:dyDescent="0.45">
      <c r="A419" s="257" t="s">
        <v>5236</v>
      </c>
      <c r="B419" s="301">
        <v>1503050</v>
      </c>
      <c r="C419" s="301">
        <v>3.4</v>
      </c>
      <c r="D419" s="295" t="s">
        <v>135</v>
      </c>
      <c r="E419" s="301">
        <v>12</v>
      </c>
      <c r="F419" s="286" t="s">
        <v>17</v>
      </c>
      <c r="G419" s="302"/>
      <c r="H419" s="302">
        <f>G419*E419</f>
        <v>0</v>
      </c>
    </row>
    <row r="420" spans="1:8" x14ac:dyDescent="0.45">
      <c r="A420" s="58"/>
      <c r="B420" s="59"/>
      <c r="C420" s="59"/>
      <c r="D420" s="60" t="s">
        <v>430</v>
      </c>
      <c r="E420" s="59"/>
      <c r="F420" s="59"/>
      <c r="G420" s="59"/>
      <c r="H420" s="62">
        <f>SUM(H411:H419)</f>
        <v>0</v>
      </c>
    </row>
    <row r="421" spans="1:8" x14ac:dyDescent="0.45">
      <c r="A421" s="121"/>
      <c r="B421" s="122"/>
      <c r="C421" s="122"/>
      <c r="D421" s="123"/>
      <c r="E421" s="122"/>
      <c r="F421" s="124"/>
      <c r="G421" s="88"/>
      <c r="H421" s="110"/>
    </row>
    <row r="422" spans="1:8" x14ac:dyDescent="0.45">
      <c r="A422" s="12" t="s">
        <v>3217</v>
      </c>
      <c r="B422" s="13"/>
      <c r="C422" s="13"/>
      <c r="D422" s="12" t="s">
        <v>432</v>
      </c>
      <c r="E422" s="13"/>
      <c r="F422" s="13"/>
      <c r="G422" s="91"/>
      <c r="H422" s="102"/>
    </row>
    <row r="423" spans="1:8" x14ac:dyDescent="0.45">
      <c r="A423" s="103"/>
      <c r="B423" s="41">
        <v>1502000</v>
      </c>
      <c r="C423" s="43"/>
      <c r="D423" s="42" t="s">
        <v>18</v>
      </c>
      <c r="E423" s="43"/>
      <c r="F423" s="44"/>
      <c r="G423" s="43"/>
      <c r="H423" s="45"/>
    </row>
    <row r="424" spans="1:8" x14ac:dyDescent="0.45">
      <c r="A424" s="27"/>
      <c r="B424" s="26"/>
      <c r="C424" s="26">
        <v>3.1</v>
      </c>
      <c r="D424" s="27" t="s">
        <v>19</v>
      </c>
      <c r="E424" s="26"/>
      <c r="F424" s="26"/>
      <c r="G424" s="28"/>
      <c r="H424" s="104"/>
    </row>
    <row r="425" spans="1:8" x14ac:dyDescent="0.45">
      <c r="A425" s="22" t="s">
        <v>3218</v>
      </c>
      <c r="B425" s="23">
        <v>1502000</v>
      </c>
      <c r="C425" s="23" t="s">
        <v>21</v>
      </c>
      <c r="D425" s="29" t="s">
        <v>22</v>
      </c>
      <c r="E425" s="23">
        <v>12</v>
      </c>
      <c r="F425" s="23" t="s">
        <v>17</v>
      </c>
      <c r="G425" s="24"/>
      <c r="H425" s="24">
        <f>G425*E425</f>
        <v>0</v>
      </c>
    </row>
    <row r="426" spans="1:8" x14ac:dyDescent="0.45">
      <c r="A426" s="22" t="s">
        <v>3219</v>
      </c>
      <c r="B426" s="23">
        <v>1502000</v>
      </c>
      <c r="C426" s="23" t="s">
        <v>24</v>
      </c>
      <c r="D426" s="29" t="s">
        <v>25</v>
      </c>
      <c r="E426" s="23">
        <v>12</v>
      </c>
      <c r="F426" s="23" t="s">
        <v>17</v>
      </c>
      <c r="G426" s="24"/>
      <c r="H426" s="24">
        <f>G426*E426</f>
        <v>0</v>
      </c>
    </row>
    <row r="427" spans="1:8" x14ac:dyDescent="0.45">
      <c r="A427" s="22" t="s">
        <v>3220</v>
      </c>
      <c r="B427" s="23">
        <v>1502000</v>
      </c>
      <c r="C427" s="23" t="s">
        <v>27</v>
      </c>
      <c r="D427" s="29" t="s">
        <v>28</v>
      </c>
      <c r="E427" s="23">
        <v>12</v>
      </c>
      <c r="F427" s="23" t="s">
        <v>17</v>
      </c>
      <c r="G427" s="24"/>
      <c r="H427" s="24">
        <f>G427*E427</f>
        <v>0</v>
      </c>
    </row>
    <row r="428" spans="1:8" x14ac:dyDescent="0.45">
      <c r="A428" s="25"/>
      <c r="B428" s="26"/>
      <c r="C428" s="26">
        <v>3.1</v>
      </c>
      <c r="D428" s="27" t="s">
        <v>31</v>
      </c>
      <c r="E428" s="28"/>
      <c r="F428" s="28"/>
      <c r="G428" s="28"/>
      <c r="H428" s="28"/>
    </row>
    <row r="429" spans="1:8" x14ac:dyDescent="0.45">
      <c r="A429" s="22" t="s">
        <v>3221</v>
      </c>
      <c r="B429" s="23">
        <v>1502000</v>
      </c>
      <c r="C429" s="23" t="s">
        <v>39</v>
      </c>
      <c r="D429" s="29" t="s">
        <v>230</v>
      </c>
      <c r="E429" s="23">
        <v>12</v>
      </c>
      <c r="F429" s="23" t="s">
        <v>17</v>
      </c>
      <c r="G429" s="24"/>
      <c r="H429" s="24">
        <f>G429*E429</f>
        <v>0</v>
      </c>
    </row>
    <row r="430" spans="1:8" x14ac:dyDescent="0.45">
      <c r="A430" s="22" t="s">
        <v>3222</v>
      </c>
      <c r="B430" s="23">
        <v>1502000</v>
      </c>
      <c r="C430" s="23" t="s">
        <v>250</v>
      </c>
      <c r="D430" s="29" t="s">
        <v>379</v>
      </c>
      <c r="E430" s="23">
        <v>12</v>
      </c>
      <c r="F430" s="23" t="s">
        <v>17</v>
      </c>
      <c r="G430" s="24"/>
      <c r="H430" s="24">
        <f>G430*E430</f>
        <v>0</v>
      </c>
    </row>
    <row r="431" spans="1:8" x14ac:dyDescent="0.45">
      <c r="A431" s="22" t="s">
        <v>3223</v>
      </c>
      <c r="B431" s="23">
        <v>1502000</v>
      </c>
      <c r="C431" s="23" t="s">
        <v>54</v>
      </c>
      <c r="D431" s="29" t="s">
        <v>55</v>
      </c>
      <c r="E431" s="23">
        <v>12</v>
      </c>
      <c r="F431" s="23" t="s">
        <v>17</v>
      </c>
      <c r="G431" s="24"/>
      <c r="H431" s="24">
        <f>G431*E431</f>
        <v>0</v>
      </c>
    </row>
    <row r="432" spans="1:8" x14ac:dyDescent="0.45">
      <c r="A432" s="25"/>
      <c r="B432" s="26">
        <v>1502000</v>
      </c>
      <c r="C432" s="26">
        <v>3.4</v>
      </c>
      <c r="D432" s="27" t="s">
        <v>62</v>
      </c>
      <c r="E432" s="26"/>
      <c r="F432" s="26"/>
      <c r="G432" s="28"/>
      <c r="H432" s="104"/>
    </row>
    <row r="433" spans="1:8" x14ac:dyDescent="0.45">
      <c r="A433" s="22" t="s">
        <v>3224</v>
      </c>
      <c r="B433" s="23">
        <v>1502000</v>
      </c>
      <c r="C433" s="23" t="s">
        <v>64</v>
      </c>
      <c r="D433" s="106" t="s">
        <v>65</v>
      </c>
      <c r="E433" s="23">
        <v>12</v>
      </c>
      <c r="F433" s="23" t="s">
        <v>17</v>
      </c>
      <c r="G433" s="24"/>
      <c r="H433" s="24">
        <f>G433*E433</f>
        <v>0</v>
      </c>
    </row>
    <row r="434" spans="1:8" x14ac:dyDescent="0.45">
      <c r="A434" s="22" t="s">
        <v>3225</v>
      </c>
      <c r="B434" s="23">
        <v>1502000</v>
      </c>
      <c r="C434" s="23" t="s">
        <v>67</v>
      </c>
      <c r="D434" s="120" t="s">
        <v>68</v>
      </c>
      <c r="E434" s="23">
        <v>12</v>
      </c>
      <c r="F434" s="23" t="s">
        <v>17</v>
      </c>
      <c r="G434" s="24"/>
      <c r="H434" s="24">
        <f>G434*E434</f>
        <v>0</v>
      </c>
    </row>
    <row r="435" spans="1:8" x14ac:dyDescent="0.45">
      <c r="A435" s="22" t="s">
        <v>3226</v>
      </c>
      <c r="B435" s="23">
        <v>1502000</v>
      </c>
      <c r="C435" s="23" t="s">
        <v>70</v>
      </c>
      <c r="D435" s="106" t="s">
        <v>71</v>
      </c>
      <c r="E435" s="23">
        <v>12</v>
      </c>
      <c r="F435" s="23" t="s">
        <v>17</v>
      </c>
      <c r="G435" s="24"/>
      <c r="H435" s="24">
        <f>G435*E435</f>
        <v>0</v>
      </c>
    </row>
    <row r="436" spans="1:8" x14ac:dyDescent="0.45">
      <c r="A436" s="27"/>
      <c r="B436" s="125"/>
      <c r="C436" s="125"/>
      <c r="D436" s="27" t="s">
        <v>75</v>
      </c>
      <c r="E436" s="26"/>
      <c r="F436" s="26"/>
      <c r="G436" s="28"/>
      <c r="H436" s="104"/>
    </row>
    <row r="437" spans="1:8" x14ac:dyDescent="0.45">
      <c r="A437" s="22" t="s">
        <v>3227</v>
      </c>
      <c r="B437" s="23">
        <v>1502000</v>
      </c>
      <c r="C437" s="23" t="s">
        <v>80</v>
      </c>
      <c r="D437" s="30" t="s">
        <v>81</v>
      </c>
      <c r="E437" s="23">
        <v>12</v>
      </c>
      <c r="F437" s="23" t="s">
        <v>17</v>
      </c>
      <c r="G437" s="24"/>
      <c r="H437" s="24">
        <f>G437*E437</f>
        <v>0</v>
      </c>
    </row>
    <row r="438" spans="1:8" x14ac:dyDescent="0.45">
      <c r="A438" s="22" t="s">
        <v>3228</v>
      </c>
      <c r="B438" s="23">
        <v>1502000</v>
      </c>
      <c r="C438" s="23" t="s">
        <v>86</v>
      </c>
      <c r="D438" s="106" t="s">
        <v>87</v>
      </c>
      <c r="E438" s="23">
        <v>12</v>
      </c>
      <c r="F438" s="23" t="s">
        <v>17</v>
      </c>
      <c r="G438" s="24"/>
      <c r="H438" s="24">
        <f>G438*E438</f>
        <v>0</v>
      </c>
    </row>
    <row r="439" spans="1:8" x14ac:dyDescent="0.45">
      <c r="A439" s="40"/>
      <c r="B439" s="41">
        <v>1503010</v>
      </c>
      <c r="C439" s="41"/>
      <c r="D439" s="42" t="s">
        <v>109</v>
      </c>
      <c r="E439" s="43"/>
      <c r="F439" s="44"/>
      <c r="G439" s="44"/>
      <c r="H439" s="45"/>
    </row>
    <row r="440" spans="1:8" x14ac:dyDescent="0.45">
      <c r="A440" s="22" t="s">
        <v>3229</v>
      </c>
      <c r="B440" s="33">
        <v>1503010</v>
      </c>
      <c r="C440" s="33">
        <v>3.1</v>
      </c>
      <c r="D440" s="36" t="s">
        <v>111</v>
      </c>
      <c r="E440" s="23">
        <v>12</v>
      </c>
      <c r="F440" s="23" t="s">
        <v>17</v>
      </c>
      <c r="G440" s="24"/>
      <c r="H440" s="24">
        <f>G440*E440</f>
        <v>0</v>
      </c>
    </row>
    <row r="441" spans="1:8" x14ac:dyDescent="0.45">
      <c r="A441" s="40"/>
      <c r="B441" s="43">
        <v>1503020</v>
      </c>
      <c r="C441" s="41"/>
      <c r="D441" s="42" t="s">
        <v>114</v>
      </c>
      <c r="E441" s="43"/>
      <c r="F441" s="44"/>
      <c r="G441" s="44"/>
      <c r="H441" s="45"/>
    </row>
    <row r="442" spans="1:8" ht="13.45" customHeight="1" x14ac:dyDescent="0.45">
      <c r="A442" s="22" t="s">
        <v>3230</v>
      </c>
      <c r="B442" s="33">
        <v>1503020</v>
      </c>
      <c r="C442" s="33">
        <v>3.1</v>
      </c>
      <c r="D442" s="36" t="s">
        <v>116</v>
      </c>
      <c r="E442" s="23">
        <v>12</v>
      </c>
      <c r="F442" s="23" t="s">
        <v>17</v>
      </c>
      <c r="G442" s="24"/>
      <c r="H442" s="24">
        <f>G442*E442</f>
        <v>0</v>
      </c>
    </row>
    <row r="443" spans="1:8" x14ac:dyDescent="0.45">
      <c r="A443" s="22" t="s">
        <v>3231</v>
      </c>
      <c r="B443" s="33">
        <v>1503020</v>
      </c>
      <c r="C443" s="33">
        <v>3.2</v>
      </c>
      <c r="D443" s="36" t="s">
        <v>118</v>
      </c>
      <c r="E443" s="23">
        <v>12</v>
      </c>
      <c r="F443" s="23" t="s">
        <v>17</v>
      </c>
      <c r="G443" s="24"/>
      <c r="H443" s="24">
        <f>G443*E443</f>
        <v>0</v>
      </c>
    </row>
    <row r="444" spans="1:8" x14ac:dyDescent="0.45">
      <c r="A444" s="22" t="s">
        <v>3232</v>
      </c>
      <c r="B444" s="33">
        <v>1503020</v>
      </c>
      <c r="C444" s="33">
        <v>3.3</v>
      </c>
      <c r="D444" s="36" t="s">
        <v>120</v>
      </c>
      <c r="E444" s="23">
        <v>12</v>
      </c>
      <c r="F444" s="23" t="s">
        <v>17</v>
      </c>
      <c r="G444" s="24"/>
      <c r="H444" s="24">
        <f>G444*E444</f>
        <v>0</v>
      </c>
    </row>
    <row r="445" spans="1:8" x14ac:dyDescent="0.45">
      <c r="A445" s="40"/>
      <c r="B445" s="43">
        <v>1503030</v>
      </c>
      <c r="C445" s="41"/>
      <c r="D445" s="42" t="s">
        <v>121</v>
      </c>
      <c r="E445" s="43"/>
      <c r="F445" s="44"/>
      <c r="G445" s="44"/>
      <c r="H445" s="45"/>
    </row>
    <row r="446" spans="1:8" x14ac:dyDescent="0.45">
      <c r="A446" s="22" t="s">
        <v>3233</v>
      </c>
      <c r="B446" s="33">
        <v>1503030</v>
      </c>
      <c r="C446" s="33" t="s">
        <v>123</v>
      </c>
      <c r="D446" s="36" t="s">
        <v>124</v>
      </c>
      <c r="E446" s="23">
        <v>12</v>
      </c>
      <c r="F446" s="23" t="s">
        <v>17</v>
      </c>
      <c r="G446" s="24"/>
      <c r="H446" s="24">
        <f>G446*E446</f>
        <v>0</v>
      </c>
    </row>
    <row r="447" spans="1:8" x14ac:dyDescent="0.45">
      <c r="A447" s="58"/>
      <c r="B447" s="59"/>
      <c r="C447" s="59"/>
      <c r="D447" s="60" t="s">
        <v>449</v>
      </c>
      <c r="E447" s="59"/>
      <c r="F447" s="59"/>
      <c r="G447" s="59"/>
      <c r="H447" s="62">
        <f>SUM(H425:H446)</f>
        <v>0</v>
      </c>
    </row>
    <row r="448" spans="1:8" x14ac:dyDescent="0.45">
      <c r="A448" s="96"/>
      <c r="B448" s="97"/>
      <c r="C448" s="97"/>
      <c r="D448" s="116"/>
      <c r="E448" s="97"/>
      <c r="F448" s="97"/>
      <c r="G448" s="97"/>
      <c r="H448" s="99"/>
    </row>
    <row r="449" spans="1:8" x14ac:dyDescent="0.45">
      <c r="A449" s="12" t="s">
        <v>3234</v>
      </c>
      <c r="B449" s="13"/>
      <c r="C449" s="13"/>
      <c r="D449" s="12" t="s">
        <v>451</v>
      </c>
      <c r="E449" s="13"/>
      <c r="F449" s="13"/>
      <c r="G449" s="13"/>
      <c r="H449" s="102"/>
    </row>
    <row r="450" spans="1:8" x14ac:dyDescent="0.45">
      <c r="A450" s="368"/>
      <c r="B450" s="369">
        <v>1503010</v>
      </c>
      <c r="C450" s="369"/>
      <c r="D450" s="370" t="s">
        <v>109</v>
      </c>
      <c r="E450" s="282"/>
      <c r="F450" s="283"/>
      <c r="G450" s="283"/>
      <c r="H450" s="284"/>
    </row>
    <row r="451" spans="1:8" x14ac:dyDescent="0.45">
      <c r="A451" s="258" t="s">
        <v>5237</v>
      </c>
      <c r="B451" s="259">
        <v>1503010</v>
      </c>
      <c r="C451" s="259">
        <v>3.1</v>
      </c>
      <c r="D451" s="260" t="s">
        <v>111</v>
      </c>
      <c r="E451" s="261">
        <v>12</v>
      </c>
      <c r="F451" s="261" t="s">
        <v>17</v>
      </c>
      <c r="G451" s="262"/>
      <c r="H451" s="262">
        <f>G451*E451</f>
        <v>0</v>
      </c>
    </row>
    <row r="452" spans="1:8" x14ac:dyDescent="0.45">
      <c r="A452" s="40"/>
      <c r="B452" s="43">
        <v>1503020</v>
      </c>
      <c r="C452" s="41"/>
      <c r="D452" s="42" t="s">
        <v>114</v>
      </c>
      <c r="E452" s="43"/>
      <c r="F452" s="44"/>
      <c r="G452" s="44"/>
      <c r="H452" s="45"/>
    </row>
    <row r="453" spans="1:8" ht="13.45" customHeight="1" x14ac:dyDescent="0.45">
      <c r="A453" s="22" t="s">
        <v>3235</v>
      </c>
      <c r="B453" s="33">
        <v>1503020</v>
      </c>
      <c r="C453" s="33">
        <v>3.1</v>
      </c>
      <c r="D453" s="36" t="s">
        <v>116</v>
      </c>
      <c r="E453" s="23">
        <v>12</v>
      </c>
      <c r="F453" s="23" t="s">
        <v>17</v>
      </c>
      <c r="G453" s="24"/>
      <c r="H453" s="24">
        <f>G453*E453</f>
        <v>0</v>
      </c>
    </row>
    <row r="454" spans="1:8" x14ac:dyDescent="0.45">
      <c r="A454" s="22" t="s">
        <v>3236</v>
      </c>
      <c r="B454" s="33">
        <v>1503020</v>
      </c>
      <c r="C454" s="33">
        <v>3.3</v>
      </c>
      <c r="D454" s="36" t="s">
        <v>120</v>
      </c>
      <c r="E454" s="23">
        <v>12</v>
      </c>
      <c r="F454" s="23" t="s">
        <v>17</v>
      </c>
      <c r="G454" s="24"/>
      <c r="H454" s="24">
        <f>G454*E454</f>
        <v>0</v>
      </c>
    </row>
    <row r="455" spans="1:8" x14ac:dyDescent="0.45">
      <c r="A455" s="58"/>
      <c r="B455" s="59"/>
      <c r="C455" s="59"/>
      <c r="D455" s="60" t="s">
        <v>453</v>
      </c>
      <c r="E455" s="59"/>
      <c r="F455" s="59"/>
      <c r="G455" s="61"/>
      <c r="H455" s="62">
        <f>SUM(H451:H454)</f>
        <v>0</v>
      </c>
    </row>
    <row r="456" spans="1:8" s="389" customFormat="1" x14ac:dyDescent="0.45">
      <c r="A456" s="87"/>
      <c r="B456" s="88"/>
      <c r="C456" s="88"/>
      <c r="D456" s="89"/>
      <c r="E456" s="64"/>
      <c r="F456" s="64"/>
      <c r="G456" s="66"/>
      <c r="H456" s="66"/>
    </row>
    <row r="457" spans="1:8" s="389" customFormat="1" x14ac:dyDescent="0.45">
      <c r="A457" s="378" t="s">
        <v>5238</v>
      </c>
      <c r="B457" s="379"/>
      <c r="C457" s="380"/>
      <c r="D457" s="378" t="s">
        <v>5047</v>
      </c>
      <c r="E457" s="381"/>
      <c r="F457" s="381"/>
      <c r="G457" s="381"/>
      <c r="H457" s="381"/>
    </row>
    <row r="458" spans="1:8" s="389" customFormat="1" x14ac:dyDescent="0.4">
      <c r="A458" s="287"/>
      <c r="B458" s="382">
        <v>1502000</v>
      </c>
      <c r="C458" s="383"/>
      <c r="D458" s="384" t="s">
        <v>18</v>
      </c>
      <c r="E458" s="385"/>
      <c r="F458" s="385"/>
      <c r="G458" s="386"/>
      <c r="H458" s="386"/>
    </row>
    <row r="459" spans="1:8" s="389" customFormat="1" x14ac:dyDescent="0.45">
      <c r="A459" s="363"/>
      <c r="B459" s="373"/>
      <c r="C459" s="373">
        <v>3.6</v>
      </c>
      <c r="D459" s="374" t="s">
        <v>75</v>
      </c>
      <c r="E459" s="375"/>
      <c r="F459" s="375"/>
      <c r="G459" s="375"/>
      <c r="H459" s="375"/>
    </row>
    <row r="460" spans="1:8" s="389" customFormat="1" x14ac:dyDescent="0.45">
      <c r="A460" s="257" t="s">
        <v>5239</v>
      </c>
      <c r="B460" s="286">
        <v>1502000</v>
      </c>
      <c r="C460" s="301" t="s">
        <v>77</v>
      </c>
      <c r="D460" s="372" t="s">
        <v>78</v>
      </c>
      <c r="E460" s="286">
        <v>12</v>
      </c>
      <c r="F460" s="286" t="s">
        <v>17</v>
      </c>
      <c r="G460" s="302"/>
      <c r="H460" s="302">
        <f>G460*E460</f>
        <v>0</v>
      </c>
    </row>
    <row r="461" spans="1:8" s="389" customFormat="1" x14ac:dyDescent="0.45">
      <c r="A461" s="257" t="s">
        <v>5240</v>
      </c>
      <c r="B461" s="286">
        <v>1502000</v>
      </c>
      <c r="C461" s="301" t="s">
        <v>101</v>
      </c>
      <c r="D461" s="372" t="s">
        <v>102</v>
      </c>
      <c r="E461" s="286">
        <v>12</v>
      </c>
      <c r="F461" s="286" t="s">
        <v>17</v>
      </c>
      <c r="G461" s="302"/>
      <c r="H461" s="302">
        <f>G461*E461</f>
        <v>0</v>
      </c>
    </row>
    <row r="462" spans="1:8" s="389" customFormat="1" x14ac:dyDescent="0.45">
      <c r="A462" s="58"/>
      <c r="B462" s="59"/>
      <c r="C462" s="59"/>
      <c r="D462" s="387" t="s">
        <v>5048</v>
      </c>
      <c r="E462" s="59"/>
      <c r="F462" s="59"/>
      <c r="G462" s="61"/>
      <c r="H462" s="388">
        <f>SUM(H460:H461)</f>
        <v>0</v>
      </c>
    </row>
    <row r="463" spans="1:8" s="389" customFormat="1" x14ac:dyDescent="0.45">
      <c r="A463" s="87"/>
      <c r="B463" s="88"/>
      <c r="C463" s="88"/>
      <c r="D463" s="89"/>
      <c r="E463" s="64"/>
      <c r="F463" s="64"/>
      <c r="G463" s="66"/>
      <c r="H463" s="66"/>
    </row>
    <row r="464" spans="1:8" s="293" customFormat="1" x14ac:dyDescent="0.45">
      <c r="A464" s="378" t="s">
        <v>5241</v>
      </c>
      <c r="B464" s="380"/>
      <c r="C464" s="380"/>
      <c r="D464" s="378" t="s">
        <v>5050</v>
      </c>
      <c r="E464" s="381"/>
      <c r="F464" s="381"/>
      <c r="G464" s="381"/>
      <c r="H464" s="381"/>
    </row>
    <row r="465" spans="1:8" s="293" customFormat="1" x14ac:dyDescent="0.4">
      <c r="A465" s="287"/>
      <c r="B465" s="382">
        <v>1502000</v>
      </c>
      <c r="C465" s="383"/>
      <c r="D465" s="384" t="s">
        <v>18</v>
      </c>
      <c r="E465" s="290"/>
      <c r="F465" s="291"/>
      <c r="G465" s="291"/>
      <c r="H465" s="292"/>
    </row>
    <row r="466" spans="1:8" s="293" customFormat="1" x14ac:dyDescent="0.45">
      <c r="A466" s="363"/>
      <c r="B466" s="373"/>
      <c r="C466" s="373">
        <v>3.6</v>
      </c>
      <c r="D466" s="374" t="s">
        <v>75</v>
      </c>
      <c r="E466" s="375"/>
      <c r="F466" s="375"/>
      <c r="G466" s="375"/>
      <c r="H466" s="375"/>
    </row>
    <row r="467" spans="1:8" s="293" customFormat="1" x14ac:dyDescent="0.45">
      <c r="A467" s="257" t="s">
        <v>5242</v>
      </c>
      <c r="B467" s="286">
        <v>1502000</v>
      </c>
      <c r="C467" s="301" t="s">
        <v>77</v>
      </c>
      <c r="D467" s="372" t="s">
        <v>78</v>
      </c>
      <c r="E467" s="286">
        <v>12</v>
      </c>
      <c r="F467" s="286" t="s">
        <v>17</v>
      </c>
      <c r="G467" s="302"/>
      <c r="H467" s="302">
        <f>G467*E467</f>
        <v>0</v>
      </c>
    </row>
    <row r="468" spans="1:8" s="389" customFormat="1" x14ac:dyDescent="0.45">
      <c r="A468" s="58"/>
      <c r="B468" s="59"/>
      <c r="C468" s="59"/>
      <c r="D468" s="387" t="s">
        <v>5051</v>
      </c>
      <c r="E468" s="59"/>
      <c r="F468" s="59"/>
      <c r="G468" s="61"/>
      <c r="H468" s="388">
        <f>SUM(H466:H467)</f>
        <v>0</v>
      </c>
    </row>
    <row r="469" spans="1:8" s="389" customFormat="1" x14ac:dyDescent="0.45">
      <c r="B469" s="105"/>
      <c r="C469" s="105"/>
      <c r="D469" s="140"/>
      <c r="E469" s="105"/>
      <c r="F469" s="105"/>
      <c r="G469" s="141"/>
      <c r="H469" s="141"/>
    </row>
    <row r="470" spans="1:8" ht="7.5" customHeight="1" x14ac:dyDescent="0.45">
      <c r="A470" s="130"/>
      <c r="B470" s="131"/>
      <c r="C470" s="131"/>
      <c r="D470" s="132"/>
      <c r="E470" s="131"/>
      <c r="F470" s="133"/>
      <c r="G470" s="133"/>
      <c r="H470" s="134"/>
    </row>
    <row r="471" spans="1:8" s="139" customFormat="1" ht="15" x14ac:dyDescent="0.45">
      <c r="A471" s="135" t="s">
        <v>5243</v>
      </c>
      <c r="B471" s="136"/>
      <c r="C471" s="136"/>
      <c r="D471" s="137"/>
      <c r="E471" s="137"/>
      <c r="F471" s="137"/>
      <c r="G471" s="137"/>
      <c r="H471" s="138">
        <f>H455+H447+H420+H406+H396+H388+H345+H334+H303+H281+H272+H247+H242+H236+H216+H165+H150+H143+H136+H122+H97+H462+H468</f>
        <v>0</v>
      </c>
    </row>
  </sheetData>
  <mergeCells count="2354">
    <mergeCell ref="A9:H9"/>
    <mergeCell ref="A10:H10"/>
    <mergeCell ref="XER5:XEX5"/>
    <mergeCell ref="XEY5:XFB5"/>
    <mergeCell ref="A6:H6"/>
    <mergeCell ref="I6:N6"/>
    <mergeCell ref="A7:H7"/>
    <mergeCell ref="A8:H8"/>
    <mergeCell ref="XDB5:XDH5"/>
    <mergeCell ref="XDI5:XDO5"/>
    <mergeCell ref="XDP5:XDV5"/>
    <mergeCell ref="XDW5:XEC5"/>
    <mergeCell ref="XED5:XEJ5"/>
    <mergeCell ref="XEK5:XEQ5"/>
    <mergeCell ref="XBL5:XBR5"/>
    <mergeCell ref="XBS5:XBY5"/>
    <mergeCell ref="XBZ5:XCF5"/>
    <mergeCell ref="XCG5:XCM5"/>
    <mergeCell ref="XCN5:XCT5"/>
    <mergeCell ref="XCU5:XDA5"/>
    <mergeCell ref="WZV5:XAB5"/>
    <mergeCell ref="XAC5:XAI5"/>
    <mergeCell ref="XAJ5:XAP5"/>
    <mergeCell ref="XAQ5:XAW5"/>
    <mergeCell ref="XAX5:XBD5"/>
    <mergeCell ref="XBE5:XBK5"/>
    <mergeCell ref="WYF5:WYL5"/>
    <mergeCell ref="WYM5:WYS5"/>
    <mergeCell ref="WYT5:WYZ5"/>
    <mergeCell ref="WZA5:WZG5"/>
    <mergeCell ref="WZH5:WZN5"/>
    <mergeCell ref="WZO5:WZU5"/>
    <mergeCell ref="WWP5:WWV5"/>
    <mergeCell ref="WWW5:WXC5"/>
    <mergeCell ref="WXD5:WXJ5"/>
    <mergeCell ref="WXK5:WXQ5"/>
    <mergeCell ref="WXR5:WXX5"/>
    <mergeCell ref="WXY5:WYE5"/>
    <mergeCell ref="WUZ5:WVF5"/>
    <mergeCell ref="WVG5:WVM5"/>
    <mergeCell ref="WVN5:WVT5"/>
    <mergeCell ref="WVU5:WWA5"/>
    <mergeCell ref="WWB5:WWH5"/>
    <mergeCell ref="WWI5:WWO5"/>
    <mergeCell ref="WTJ5:WTP5"/>
    <mergeCell ref="WTQ5:WTW5"/>
    <mergeCell ref="WTX5:WUD5"/>
    <mergeCell ref="WUE5:WUK5"/>
    <mergeCell ref="WUL5:WUR5"/>
    <mergeCell ref="WUS5:WUY5"/>
    <mergeCell ref="WRT5:WRZ5"/>
    <mergeCell ref="WSA5:WSG5"/>
    <mergeCell ref="WSH5:WSN5"/>
    <mergeCell ref="WSO5:WSU5"/>
    <mergeCell ref="WSV5:WTB5"/>
    <mergeCell ref="WTC5:WTI5"/>
    <mergeCell ref="WQD5:WQJ5"/>
    <mergeCell ref="WQK5:WQQ5"/>
    <mergeCell ref="WQR5:WQX5"/>
    <mergeCell ref="WQY5:WRE5"/>
    <mergeCell ref="WRF5:WRL5"/>
    <mergeCell ref="WRM5:WRS5"/>
    <mergeCell ref="WON5:WOT5"/>
    <mergeCell ref="WOU5:WPA5"/>
    <mergeCell ref="WPB5:WPH5"/>
    <mergeCell ref="WPI5:WPO5"/>
    <mergeCell ref="WPP5:WPV5"/>
    <mergeCell ref="WPW5:WQC5"/>
    <mergeCell ref="WMX5:WND5"/>
    <mergeCell ref="WNE5:WNK5"/>
    <mergeCell ref="WNL5:WNR5"/>
    <mergeCell ref="WNS5:WNY5"/>
    <mergeCell ref="WNZ5:WOF5"/>
    <mergeCell ref="WOG5:WOM5"/>
    <mergeCell ref="WLH5:WLN5"/>
    <mergeCell ref="WLO5:WLU5"/>
    <mergeCell ref="WLV5:WMB5"/>
    <mergeCell ref="WMC5:WMI5"/>
    <mergeCell ref="WMJ5:WMP5"/>
    <mergeCell ref="WMQ5:WMW5"/>
    <mergeCell ref="WJR5:WJX5"/>
    <mergeCell ref="WJY5:WKE5"/>
    <mergeCell ref="WKF5:WKL5"/>
    <mergeCell ref="WKM5:WKS5"/>
    <mergeCell ref="WKT5:WKZ5"/>
    <mergeCell ref="WLA5:WLG5"/>
    <mergeCell ref="WIB5:WIH5"/>
    <mergeCell ref="WII5:WIO5"/>
    <mergeCell ref="WIP5:WIV5"/>
    <mergeCell ref="WIW5:WJC5"/>
    <mergeCell ref="WJD5:WJJ5"/>
    <mergeCell ref="WJK5:WJQ5"/>
    <mergeCell ref="WGL5:WGR5"/>
    <mergeCell ref="WGS5:WGY5"/>
    <mergeCell ref="WGZ5:WHF5"/>
    <mergeCell ref="WHG5:WHM5"/>
    <mergeCell ref="WHN5:WHT5"/>
    <mergeCell ref="WHU5:WIA5"/>
    <mergeCell ref="WEV5:WFB5"/>
    <mergeCell ref="WFC5:WFI5"/>
    <mergeCell ref="WFJ5:WFP5"/>
    <mergeCell ref="WFQ5:WFW5"/>
    <mergeCell ref="WFX5:WGD5"/>
    <mergeCell ref="WGE5:WGK5"/>
    <mergeCell ref="WDF5:WDL5"/>
    <mergeCell ref="WDM5:WDS5"/>
    <mergeCell ref="WDT5:WDZ5"/>
    <mergeCell ref="WEA5:WEG5"/>
    <mergeCell ref="WEH5:WEN5"/>
    <mergeCell ref="WEO5:WEU5"/>
    <mergeCell ref="WBP5:WBV5"/>
    <mergeCell ref="WBW5:WCC5"/>
    <mergeCell ref="WCD5:WCJ5"/>
    <mergeCell ref="WCK5:WCQ5"/>
    <mergeCell ref="WCR5:WCX5"/>
    <mergeCell ref="WCY5:WDE5"/>
    <mergeCell ref="VZZ5:WAF5"/>
    <mergeCell ref="WAG5:WAM5"/>
    <mergeCell ref="WAN5:WAT5"/>
    <mergeCell ref="WAU5:WBA5"/>
    <mergeCell ref="WBB5:WBH5"/>
    <mergeCell ref="WBI5:WBO5"/>
    <mergeCell ref="VYJ5:VYP5"/>
    <mergeCell ref="VYQ5:VYW5"/>
    <mergeCell ref="VYX5:VZD5"/>
    <mergeCell ref="VZE5:VZK5"/>
    <mergeCell ref="VZL5:VZR5"/>
    <mergeCell ref="VZS5:VZY5"/>
    <mergeCell ref="VWT5:VWZ5"/>
    <mergeCell ref="VXA5:VXG5"/>
    <mergeCell ref="VXH5:VXN5"/>
    <mergeCell ref="VXO5:VXU5"/>
    <mergeCell ref="VXV5:VYB5"/>
    <mergeCell ref="VYC5:VYI5"/>
    <mergeCell ref="VVD5:VVJ5"/>
    <mergeCell ref="VVK5:VVQ5"/>
    <mergeCell ref="VVR5:VVX5"/>
    <mergeCell ref="VVY5:VWE5"/>
    <mergeCell ref="VWF5:VWL5"/>
    <mergeCell ref="VWM5:VWS5"/>
    <mergeCell ref="VTN5:VTT5"/>
    <mergeCell ref="VTU5:VUA5"/>
    <mergeCell ref="VUB5:VUH5"/>
    <mergeCell ref="VUI5:VUO5"/>
    <mergeCell ref="VUP5:VUV5"/>
    <mergeCell ref="VUW5:VVC5"/>
    <mergeCell ref="VRX5:VSD5"/>
    <mergeCell ref="VSE5:VSK5"/>
    <mergeCell ref="VSL5:VSR5"/>
    <mergeCell ref="VSS5:VSY5"/>
    <mergeCell ref="VSZ5:VTF5"/>
    <mergeCell ref="VTG5:VTM5"/>
    <mergeCell ref="VQH5:VQN5"/>
    <mergeCell ref="VQO5:VQU5"/>
    <mergeCell ref="VQV5:VRB5"/>
    <mergeCell ref="VRC5:VRI5"/>
    <mergeCell ref="VRJ5:VRP5"/>
    <mergeCell ref="VRQ5:VRW5"/>
    <mergeCell ref="VOR5:VOX5"/>
    <mergeCell ref="VOY5:VPE5"/>
    <mergeCell ref="VPF5:VPL5"/>
    <mergeCell ref="VPM5:VPS5"/>
    <mergeCell ref="VPT5:VPZ5"/>
    <mergeCell ref="VQA5:VQG5"/>
    <mergeCell ref="VNB5:VNH5"/>
    <mergeCell ref="VNI5:VNO5"/>
    <mergeCell ref="VNP5:VNV5"/>
    <mergeCell ref="VNW5:VOC5"/>
    <mergeCell ref="VOD5:VOJ5"/>
    <mergeCell ref="VOK5:VOQ5"/>
    <mergeCell ref="VLL5:VLR5"/>
    <mergeCell ref="VLS5:VLY5"/>
    <mergeCell ref="VLZ5:VMF5"/>
    <mergeCell ref="VMG5:VMM5"/>
    <mergeCell ref="VMN5:VMT5"/>
    <mergeCell ref="VMU5:VNA5"/>
    <mergeCell ref="VJV5:VKB5"/>
    <mergeCell ref="VKC5:VKI5"/>
    <mergeCell ref="VKJ5:VKP5"/>
    <mergeCell ref="VKQ5:VKW5"/>
    <mergeCell ref="VKX5:VLD5"/>
    <mergeCell ref="VLE5:VLK5"/>
    <mergeCell ref="VIF5:VIL5"/>
    <mergeCell ref="VIM5:VIS5"/>
    <mergeCell ref="VIT5:VIZ5"/>
    <mergeCell ref="VJA5:VJG5"/>
    <mergeCell ref="VJH5:VJN5"/>
    <mergeCell ref="VJO5:VJU5"/>
    <mergeCell ref="VGP5:VGV5"/>
    <mergeCell ref="VGW5:VHC5"/>
    <mergeCell ref="VHD5:VHJ5"/>
    <mergeCell ref="VHK5:VHQ5"/>
    <mergeCell ref="VHR5:VHX5"/>
    <mergeCell ref="VHY5:VIE5"/>
    <mergeCell ref="VEZ5:VFF5"/>
    <mergeCell ref="VFG5:VFM5"/>
    <mergeCell ref="VFN5:VFT5"/>
    <mergeCell ref="VFU5:VGA5"/>
    <mergeCell ref="VGB5:VGH5"/>
    <mergeCell ref="VGI5:VGO5"/>
    <mergeCell ref="VDJ5:VDP5"/>
    <mergeCell ref="VDQ5:VDW5"/>
    <mergeCell ref="VDX5:VED5"/>
    <mergeCell ref="VEE5:VEK5"/>
    <mergeCell ref="VEL5:VER5"/>
    <mergeCell ref="VES5:VEY5"/>
    <mergeCell ref="VBT5:VBZ5"/>
    <mergeCell ref="VCA5:VCG5"/>
    <mergeCell ref="VCH5:VCN5"/>
    <mergeCell ref="VCO5:VCU5"/>
    <mergeCell ref="VCV5:VDB5"/>
    <mergeCell ref="VDC5:VDI5"/>
    <mergeCell ref="VAD5:VAJ5"/>
    <mergeCell ref="VAK5:VAQ5"/>
    <mergeCell ref="VAR5:VAX5"/>
    <mergeCell ref="VAY5:VBE5"/>
    <mergeCell ref="VBF5:VBL5"/>
    <mergeCell ref="VBM5:VBS5"/>
    <mergeCell ref="UYN5:UYT5"/>
    <mergeCell ref="UYU5:UZA5"/>
    <mergeCell ref="UZB5:UZH5"/>
    <mergeCell ref="UZI5:UZO5"/>
    <mergeCell ref="UZP5:UZV5"/>
    <mergeCell ref="UZW5:VAC5"/>
    <mergeCell ref="UWX5:UXD5"/>
    <mergeCell ref="UXE5:UXK5"/>
    <mergeCell ref="UXL5:UXR5"/>
    <mergeCell ref="UXS5:UXY5"/>
    <mergeCell ref="UXZ5:UYF5"/>
    <mergeCell ref="UYG5:UYM5"/>
    <mergeCell ref="UVH5:UVN5"/>
    <mergeCell ref="UVO5:UVU5"/>
    <mergeCell ref="UVV5:UWB5"/>
    <mergeCell ref="UWC5:UWI5"/>
    <mergeCell ref="UWJ5:UWP5"/>
    <mergeCell ref="UWQ5:UWW5"/>
    <mergeCell ref="UTR5:UTX5"/>
    <mergeCell ref="UTY5:UUE5"/>
    <mergeCell ref="UUF5:UUL5"/>
    <mergeCell ref="UUM5:UUS5"/>
    <mergeCell ref="UUT5:UUZ5"/>
    <mergeCell ref="UVA5:UVG5"/>
    <mergeCell ref="USB5:USH5"/>
    <mergeCell ref="USI5:USO5"/>
    <mergeCell ref="USP5:USV5"/>
    <mergeCell ref="USW5:UTC5"/>
    <mergeCell ref="UTD5:UTJ5"/>
    <mergeCell ref="UTK5:UTQ5"/>
    <mergeCell ref="UQL5:UQR5"/>
    <mergeCell ref="UQS5:UQY5"/>
    <mergeCell ref="UQZ5:URF5"/>
    <mergeCell ref="URG5:URM5"/>
    <mergeCell ref="URN5:URT5"/>
    <mergeCell ref="URU5:USA5"/>
    <mergeCell ref="UOV5:UPB5"/>
    <mergeCell ref="UPC5:UPI5"/>
    <mergeCell ref="UPJ5:UPP5"/>
    <mergeCell ref="UPQ5:UPW5"/>
    <mergeCell ref="UPX5:UQD5"/>
    <mergeCell ref="UQE5:UQK5"/>
    <mergeCell ref="UNF5:UNL5"/>
    <mergeCell ref="UNM5:UNS5"/>
    <mergeCell ref="UNT5:UNZ5"/>
    <mergeCell ref="UOA5:UOG5"/>
    <mergeCell ref="UOH5:UON5"/>
    <mergeCell ref="UOO5:UOU5"/>
    <mergeCell ref="ULP5:ULV5"/>
    <mergeCell ref="ULW5:UMC5"/>
    <mergeCell ref="UMD5:UMJ5"/>
    <mergeCell ref="UMK5:UMQ5"/>
    <mergeCell ref="UMR5:UMX5"/>
    <mergeCell ref="UMY5:UNE5"/>
    <mergeCell ref="UJZ5:UKF5"/>
    <mergeCell ref="UKG5:UKM5"/>
    <mergeCell ref="UKN5:UKT5"/>
    <mergeCell ref="UKU5:ULA5"/>
    <mergeCell ref="ULB5:ULH5"/>
    <mergeCell ref="ULI5:ULO5"/>
    <mergeCell ref="UIJ5:UIP5"/>
    <mergeCell ref="UIQ5:UIW5"/>
    <mergeCell ref="UIX5:UJD5"/>
    <mergeCell ref="UJE5:UJK5"/>
    <mergeCell ref="UJL5:UJR5"/>
    <mergeCell ref="UJS5:UJY5"/>
    <mergeCell ref="UGT5:UGZ5"/>
    <mergeCell ref="UHA5:UHG5"/>
    <mergeCell ref="UHH5:UHN5"/>
    <mergeCell ref="UHO5:UHU5"/>
    <mergeCell ref="UHV5:UIB5"/>
    <mergeCell ref="UIC5:UII5"/>
    <mergeCell ref="UFD5:UFJ5"/>
    <mergeCell ref="UFK5:UFQ5"/>
    <mergeCell ref="UFR5:UFX5"/>
    <mergeCell ref="UFY5:UGE5"/>
    <mergeCell ref="UGF5:UGL5"/>
    <mergeCell ref="UGM5:UGS5"/>
    <mergeCell ref="UDN5:UDT5"/>
    <mergeCell ref="UDU5:UEA5"/>
    <mergeCell ref="UEB5:UEH5"/>
    <mergeCell ref="UEI5:UEO5"/>
    <mergeCell ref="UEP5:UEV5"/>
    <mergeCell ref="UEW5:UFC5"/>
    <mergeCell ref="UBX5:UCD5"/>
    <mergeCell ref="UCE5:UCK5"/>
    <mergeCell ref="UCL5:UCR5"/>
    <mergeCell ref="UCS5:UCY5"/>
    <mergeCell ref="UCZ5:UDF5"/>
    <mergeCell ref="UDG5:UDM5"/>
    <mergeCell ref="UAH5:UAN5"/>
    <mergeCell ref="UAO5:UAU5"/>
    <mergeCell ref="UAV5:UBB5"/>
    <mergeCell ref="UBC5:UBI5"/>
    <mergeCell ref="UBJ5:UBP5"/>
    <mergeCell ref="UBQ5:UBW5"/>
    <mergeCell ref="TYR5:TYX5"/>
    <mergeCell ref="TYY5:TZE5"/>
    <mergeCell ref="TZF5:TZL5"/>
    <mergeCell ref="TZM5:TZS5"/>
    <mergeCell ref="TZT5:TZZ5"/>
    <mergeCell ref="UAA5:UAG5"/>
    <mergeCell ref="TXB5:TXH5"/>
    <mergeCell ref="TXI5:TXO5"/>
    <mergeCell ref="TXP5:TXV5"/>
    <mergeCell ref="TXW5:TYC5"/>
    <mergeCell ref="TYD5:TYJ5"/>
    <mergeCell ref="TYK5:TYQ5"/>
    <mergeCell ref="TVL5:TVR5"/>
    <mergeCell ref="TVS5:TVY5"/>
    <mergeCell ref="TVZ5:TWF5"/>
    <mergeCell ref="TWG5:TWM5"/>
    <mergeCell ref="TWN5:TWT5"/>
    <mergeCell ref="TWU5:TXA5"/>
    <mergeCell ref="TTV5:TUB5"/>
    <mergeCell ref="TUC5:TUI5"/>
    <mergeCell ref="TUJ5:TUP5"/>
    <mergeCell ref="TUQ5:TUW5"/>
    <mergeCell ref="TUX5:TVD5"/>
    <mergeCell ref="TVE5:TVK5"/>
    <mergeCell ref="TSF5:TSL5"/>
    <mergeCell ref="TSM5:TSS5"/>
    <mergeCell ref="TST5:TSZ5"/>
    <mergeCell ref="TTA5:TTG5"/>
    <mergeCell ref="TTH5:TTN5"/>
    <mergeCell ref="TTO5:TTU5"/>
    <mergeCell ref="TQP5:TQV5"/>
    <mergeCell ref="TQW5:TRC5"/>
    <mergeCell ref="TRD5:TRJ5"/>
    <mergeCell ref="TRK5:TRQ5"/>
    <mergeCell ref="TRR5:TRX5"/>
    <mergeCell ref="TRY5:TSE5"/>
    <mergeCell ref="TOZ5:TPF5"/>
    <mergeCell ref="TPG5:TPM5"/>
    <mergeCell ref="TPN5:TPT5"/>
    <mergeCell ref="TPU5:TQA5"/>
    <mergeCell ref="TQB5:TQH5"/>
    <mergeCell ref="TQI5:TQO5"/>
    <mergeCell ref="TNJ5:TNP5"/>
    <mergeCell ref="TNQ5:TNW5"/>
    <mergeCell ref="TNX5:TOD5"/>
    <mergeCell ref="TOE5:TOK5"/>
    <mergeCell ref="TOL5:TOR5"/>
    <mergeCell ref="TOS5:TOY5"/>
    <mergeCell ref="TLT5:TLZ5"/>
    <mergeCell ref="TMA5:TMG5"/>
    <mergeCell ref="TMH5:TMN5"/>
    <mergeCell ref="TMO5:TMU5"/>
    <mergeCell ref="TMV5:TNB5"/>
    <mergeCell ref="TNC5:TNI5"/>
    <mergeCell ref="TKD5:TKJ5"/>
    <mergeCell ref="TKK5:TKQ5"/>
    <mergeCell ref="TKR5:TKX5"/>
    <mergeCell ref="TKY5:TLE5"/>
    <mergeCell ref="TLF5:TLL5"/>
    <mergeCell ref="TLM5:TLS5"/>
    <mergeCell ref="TIN5:TIT5"/>
    <mergeCell ref="TIU5:TJA5"/>
    <mergeCell ref="TJB5:TJH5"/>
    <mergeCell ref="TJI5:TJO5"/>
    <mergeCell ref="TJP5:TJV5"/>
    <mergeCell ref="TJW5:TKC5"/>
    <mergeCell ref="TGX5:THD5"/>
    <mergeCell ref="THE5:THK5"/>
    <mergeCell ref="THL5:THR5"/>
    <mergeCell ref="THS5:THY5"/>
    <mergeCell ref="THZ5:TIF5"/>
    <mergeCell ref="TIG5:TIM5"/>
    <mergeCell ref="TFH5:TFN5"/>
    <mergeCell ref="TFO5:TFU5"/>
    <mergeCell ref="TFV5:TGB5"/>
    <mergeCell ref="TGC5:TGI5"/>
    <mergeCell ref="TGJ5:TGP5"/>
    <mergeCell ref="TGQ5:TGW5"/>
    <mergeCell ref="TDR5:TDX5"/>
    <mergeCell ref="TDY5:TEE5"/>
    <mergeCell ref="TEF5:TEL5"/>
    <mergeCell ref="TEM5:TES5"/>
    <mergeCell ref="TET5:TEZ5"/>
    <mergeCell ref="TFA5:TFG5"/>
    <mergeCell ref="TCB5:TCH5"/>
    <mergeCell ref="TCI5:TCO5"/>
    <mergeCell ref="TCP5:TCV5"/>
    <mergeCell ref="TCW5:TDC5"/>
    <mergeCell ref="TDD5:TDJ5"/>
    <mergeCell ref="TDK5:TDQ5"/>
    <mergeCell ref="TAL5:TAR5"/>
    <mergeCell ref="TAS5:TAY5"/>
    <mergeCell ref="TAZ5:TBF5"/>
    <mergeCell ref="TBG5:TBM5"/>
    <mergeCell ref="TBN5:TBT5"/>
    <mergeCell ref="TBU5:TCA5"/>
    <mergeCell ref="SYV5:SZB5"/>
    <mergeCell ref="SZC5:SZI5"/>
    <mergeCell ref="SZJ5:SZP5"/>
    <mergeCell ref="SZQ5:SZW5"/>
    <mergeCell ref="SZX5:TAD5"/>
    <mergeCell ref="TAE5:TAK5"/>
    <mergeCell ref="SXF5:SXL5"/>
    <mergeCell ref="SXM5:SXS5"/>
    <mergeCell ref="SXT5:SXZ5"/>
    <mergeCell ref="SYA5:SYG5"/>
    <mergeCell ref="SYH5:SYN5"/>
    <mergeCell ref="SYO5:SYU5"/>
    <mergeCell ref="SVP5:SVV5"/>
    <mergeCell ref="SVW5:SWC5"/>
    <mergeCell ref="SWD5:SWJ5"/>
    <mergeCell ref="SWK5:SWQ5"/>
    <mergeCell ref="SWR5:SWX5"/>
    <mergeCell ref="SWY5:SXE5"/>
    <mergeCell ref="STZ5:SUF5"/>
    <mergeCell ref="SUG5:SUM5"/>
    <mergeCell ref="SUN5:SUT5"/>
    <mergeCell ref="SUU5:SVA5"/>
    <mergeCell ref="SVB5:SVH5"/>
    <mergeCell ref="SVI5:SVO5"/>
    <mergeCell ref="SSJ5:SSP5"/>
    <mergeCell ref="SSQ5:SSW5"/>
    <mergeCell ref="SSX5:STD5"/>
    <mergeCell ref="STE5:STK5"/>
    <mergeCell ref="STL5:STR5"/>
    <mergeCell ref="STS5:STY5"/>
    <mergeCell ref="SQT5:SQZ5"/>
    <mergeCell ref="SRA5:SRG5"/>
    <mergeCell ref="SRH5:SRN5"/>
    <mergeCell ref="SRO5:SRU5"/>
    <mergeCell ref="SRV5:SSB5"/>
    <mergeCell ref="SSC5:SSI5"/>
    <mergeCell ref="SPD5:SPJ5"/>
    <mergeCell ref="SPK5:SPQ5"/>
    <mergeCell ref="SPR5:SPX5"/>
    <mergeCell ref="SPY5:SQE5"/>
    <mergeCell ref="SQF5:SQL5"/>
    <mergeCell ref="SQM5:SQS5"/>
    <mergeCell ref="SNN5:SNT5"/>
    <mergeCell ref="SNU5:SOA5"/>
    <mergeCell ref="SOB5:SOH5"/>
    <mergeCell ref="SOI5:SOO5"/>
    <mergeCell ref="SOP5:SOV5"/>
    <mergeCell ref="SOW5:SPC5"/>
    <mergeCell ref="SLX5:SMD5"/>
    <mergeCell ref="SME5:SMK5"/>
    <mergeCell ref="SML5:SMR5"/>
    <mergeCell ref="SMS5:SMY5"/>
    <mergeCell ref="SMZ5:SNF5"/>
    <mergeCell ref="SNG5:SNM5"/>
    <mergeCell ref="SKH5:SKN5"/>
    <mergeCell ref="SKO5:SKU5"/>
    <mergeCell ref="SKV5:SLB5"/>
    <mergeCell ref="SLC5:SLI5"/>
    <mergeCell ref="SLJ5:SLP5"/>
    <mergeCell ref="SLQ5:SLW5"/>
    <mergeCell ref="SIR5:SIX5"/>
    <mergeCell ref="SIY5:SJE5"/>
    <mergeCell ref="SJF5:SJL5"/>
    <mergeCell ref="SJM5:SJS5"/>
    <mergeCell ref="SJT5:SJZ5"/>
    <mergeCell ref="SKA5:SKG5"/>
    <mergeCell ref="SHB5:SHH5"/>
    <mergeCell ref="SHI5:SHO5"/>
    <mergeCell ref="SHP5:SHV5"/>
    <mergeCell ref="SHW5:SIC5"/>
    <mergeCell ref="SID5:SIJ5"/>
    <mergeCell ref="SIK5:SIQ5"/>
    <mergeCell ref="SFL5:SFR5"/>
    <mergeCell ref="SFS5:SFY5"/>
    <mergeCell ref="SFZ5:SGF5"/>
    <mergeCell ref="SGG5:SGM5"/>
    <mergeCell ref="SGN5:SGT5"/>
    <mergeCell ref="SGU5:SHA5"/>
    <mergeCell ref="SDV5:SEB5"/>
    <mergeCell ref="SEC5:SEI5"/>
    <mergeCell ref="SEJ5:SEP5"/>
    <mergeCell ref="SEQ5:SEW5"/>
    <mergeCell ref="SEX5:SFD5"/>
    <mergeCell ref="SFE5:SFK5"/>
    <mergeCell ref="SCF5:SCL5"/>
    <mergeCell ref="SCM5:SCS5"/>
    <mergeCell ref="SCT5:SCZ5"/>
    <mergeCell ref="SDA5:SDG5"/>
    <mergeCell ref="SDH5:SDN5"/>
    <mergeCell ref="SDO5:SDU5"/>
    <mergeCell ref="SAP5:SAV5"/>
    <mergeCell ref="SAW5:SBC5"/>
    <mergeCell ref="SBD5:SBJ5"/>
    <mergeCell ref="SBK5:SBQ5"/>
    <mergeCell ref="SBR5:SBX5"/>
    <mergeCell ref="SBY5:SCE5"/>
    <mergeCell ref="RYZ5:RZF5"/>
    <mergeCell ref="RZG5:RZM5"/>
    <mergeCell ref="RZN5:RZT5"/>
    <mergeCell ref="RZU5:SAA5"/>
    <mergeCell ref="SAB5:SAH5"/>
    <mergeCell ref="SAI5:SAO5"/>
    <mergeCell ref="RXJ5:RXP5"/>
    <mergeCell ref="RXQ5:RXW5"/>
    <mergeCell ref="RXX5:RYD5"/>
    <mergeCell ref="RYE5:RYK5"/>
    <mergeCell ref="RYL5:RYR5"/>
    <mergeCell ref="RYS5:RYY5"/>
    <mergeCell ref="RVT5:RVZ5"/>
    <mergeCell ref="RWA5:RWG5"/>
    <mergeCell ref="RWH5:RWN5"/>
    <mergeCell ref="RWO5:RWU5"/>
    <mergeCell ref="RWV5:RXB5"/>
    <mergeCell ref="RXC5:RXI5"/>
    <mergeCell ref="RUD5:RUJ5"/>
    <mergeCell ref="RUK5:RUQ5"/>
    <mergeCell ref="RUR5:RUX5"/>
    <mergeCell ref="RUY5:RVE5"/>
    <mergeCell ref="RVF5:RVL5"/>
    <mergeCell ref="RVM5:RVS5"/>
    <mergeCell ref="RSN5:RST5"/>
    <mergeCell ref="RSU5:RTA5"/>
    <mergeCell ref="RTB5:RTH5"/>
    <mergeCell ref="RTI5:RTO5"/>
    <mergeCell ref="RTP5:RTV5"/>
    <mergeCell ref="RTW5:RUC5"/>
    <mergeCell ref="RQX5:RRD5"/>
    <mergeCell ref="RRE5:RRK5"/>
    <mergeCell ref="RRL5:RRR5"/>
    <mergeCell ref="RRS5:RRY5"/>
    <mergeCell ref="RRZ5:RSF5"/>
    <mergeCell ref="RSG5:RSM5"/>
    <mergeCell ref="RPH5:RPN5"/>
    <mergeCell ref="RPO5:RPU5"/>
    <mergeCell ref="RPV5:RQB5"/>
    <mergeCell ref="RQC5:RQI5"/>
    <mergeCell ref="RQJ5:RQP5"/>
    <mergeCell ref="RQQ5:RQW5"/>
    <mergeCell ref="RNR5:RNX5"/>
    <mergeCell ref="RNY5:ROE5"/>
    <mergeCell ref="ROF5:ROL5"/>
    <mergeCell ref="ROM5:ROS5"/>
    <mergeCell ref="ROT5:ROZ5"/>
    <mergeCell ref="RPA5:RPG5"/>
    <mergeCell ref="RMB5:RMH5"/>
    <mergeCell ref="RMI5:RMO5"/>
    <mergeCell ref="RMP5:RMV5"/>
    <mergeCell ref="RMW5:RNC5"/>
    <mergeCell ref="RND5:RNJ5"/>
    <mergeCell ref="RNK5:RNQ5"/>
    <mergeCell ref="RKL5:RKR5"/>
    <mergeCell ref="RKS5:RKY5"/>
    <mergeCell ref="RKZ5:RLF5"/>
    <mergeCell ref="RLG5:RLM5"/>
    <mergeCell ref="RLN5:RLT5"/>
    <mergeCell ref="RLU5:RMA5"/>
    <mergeCell ref="RIV5:RJB5"/>
    <mergeCell ref="RJC5:RJI5"/>
    <mergeCell ref="RJJ5:RJP5"/>
    <mergeCell ref="RJQ5:RJW5"/>
    <mergeCell ref="RJX5:RKD5"/>
    <mergeCell ref="RKE5:RKK5"/>
    <mergeCell ref="RHF5:RHL5"/>
    <mergeCell ref="RHM5:RHS5"/>
    <mergeCell ref="RHT5:RHZ5"/>
    <mergeCell ref="RIA5:RIG5"/>
    <mergeCell ref="RIH5:RIN5"/>
    <mergeCell ref="RIO5:RIU5"/>
    <mergeCell ref="RFP5:RFV5"/>
    <mergeCell ref="RFW5:RGC5"/>
    <mergeCell ref="RGD5:RGJ5"/>
    <mergeCell ref="RGK5:RGQ5"/>
    <mergeCell ref="RGR5:RGX5"/>
    <mergeCell ref="RGY5:RHE5"/>
    <mergeCell ref="RDZ5:REF5"/>
    <mergeCell ref="REG5:REM5"/>
    <mergeCell ref="REN5:RET5"/>
    <mergeCell ref="REU5:RFA5"/>
    <mergeCell ref="RFB5:RFH5"/>
    <mergeCell ref="RFI5:RFO5"/>
    <mergeCell ref="RCJ5:RCP5"/>
    <mergeCell ref="RCQ5:RCW5"/>
    <mergeCell ref="RCX5:RDD5"/>
    <mergeCell ref="RDE5:RDK5"/>
    <mergeCell ref="RDL5:RDR5"/>
    <mergeCell ref="RDS5:RDY5"/>
    <mergeCell ref="RAT5:RAZ5"/>
    <mergeCell ref="RBA5:RBG5"/>
    <mergeCell ref="RBH5:RBN5"/>
    <mergeCell ref="RBO5:RBU5"/>
    <mergeCell ref="RBV5:RCB5"/>
    <mergeCell ref="RCC5:RCI5"/>
    <mergeCell ref="QZD5:QZJ5"/>
    <mergeCell ref="QZK5:QZQ5"/>
    <mergeCell ref="QZR5:QZX5"/>
    <mergeCell ref="QZY5:RAE5"/>
    <mergeCell ref="RAF5:RAL5"/>
    <mergeCell ref="RAM5:RAS5"/>
    <mergeCell ref="QXN5:QXT5"/>
    <mergeCell ref="QXU5:QYA5"/>
    <mergeCell ref="QYB5:QYH5"/>
    <mergeCell ref="QYI5:QYO5"/>
    <mergeCell ref="QYP5:QYV5"/>
    <mergeCell ref="QYW5:QZC5"/>
    <mergeCell ref="QVX5:QWD5"/>
    <mergeCell ref="QWE5:QWK5"/>
    <mergeCell ref="QWL5:QWR5"/>
    <mergeCell ref="QWS5:QWY5"/>
    <mergeCell ref="QWZ5:QXF5"/>
    <mergeCell ref="QXG5:QXM5"/>
    <mergeCell ref="QUH5:QUN5"/>
    <mergeCell ref="QUO5:QUU5"/>
    <mergeCell ref="QUV5:QVB5"/>
    <mergeCell ref="QVC5:QVI5"/>
    <mergeCell ref="QVJ5:QVP5"/>
    <mergeCell ref="QVQ5:QVW5"/>
    <mergeCell ref="QSR5:QSX5"/>
    <mergeCell ref="QSY5:QTE5"/>
    <mergeCell ref="QTF5:QTL5"/>
    <mergeCell ref="QTM5:QTS5"/>
    <mergeCell ref="QTT5:QTZ5"/>
    <mergeCell ref="QUA5:QUG5"/>
    <mergeCell ref="QRB5:QRH5"/>
    <mergeCell ref="QRI5:QRO5"/>
    <mergeCell ref="QRP5:QRV5"/>
    <mergeCell ref="QRW5:QSC5"/>
    <mergeCell ref="QSD5:QSJ5"/>
    <mergeCell ref="QSK5:QSQ5"/>
    <mergeCell ref="QPL5:QPR5"/>
    <mergeCell ref="QPS5:QPY5"/>
    <mergeCell ref="QPZ5:QQF5"/>
    <mergeCell ref="QQG5:QQM5"/>
    <mergeCell ref="QQN5:QQT5"/>
    <mergeCell ref="QQU5:QRA5"/>
    <mergeCell ref="QNV5:QOB5"/>
    <mergeCell ref="QOC5:QOI5"/>
    <mergeCell ref="QOJ5:QOP5"/>
    <mergeCell ref="QOQ5:QOW5"/>
    <mergeCell ref="QOX5:QPD5"/>
    <mergeCell ref="QPE5:QPK5"/>
    <mergeCell ref="QMF5:QML5"/>
    <mergeCell ref="QMM5:QMS5"/>
    <mergeCell ref="QMT5:QMZ5"/>
    <mergeCell ref="QNA5:QNG5"/>
    <mergeCell ref="QNH5:QNN5"/>
    <mergeCell ref="QNO5:QNU5"/>
    <mergeCell ref="QKP5:QKV5"/>
    <mergeCell ref="QKW5:QLC5"/>
    <mergeCell ref="QLD5:QLJ5"/>
    <mergeCell ref="QLK5:QLQ5"/>
    <mergeCell ref="QLR5:QLX5"/>
    <mergeCell ref="QLY5:QME5"/>
    <mergeCell ref="QIZ5:QJF5"/>
    <mergeCell ref="QJG5:QJM5"/>
    <mergeCell ref="QJN5:QJT5"/>
    <mergeCell ref="QJU5:QKA5"/>
    <mergeCell ref="QKB5:QKH5"/>
    <mergeCell ref="QKI5:QKO5"/>
    <mergeCell ref="QHJ5:QHP5"/>
    <mergeCell ref="QHQ5:QHW5"/>
    <mergeCell ref="QHX5:QID5"/>
    <mergeCell ref="QIE5:QIK5"/>
    <mergeCell ref="QIL5:QIR5"/>
    <mergeCell ref="QIS5:QIY5"/>
    <mergeCell ref="QFT5:QFZ5"/>
    <mergeCell ref="QGA5:QGG5"/>
    <mergeCell ref="QGH5:QGN5"/>
    <mergeCell ref="QGO5:QGU5"/>
    <mergeCell ref="QGV5:QHB5"/>
    <mergeCell ref="QHC5:QHI5"/>
    <mergeCell ref="QED5:QEJ5"/>
    <mergeCell ref="QEK5:QEQ5"/>
    <mergeCell ref="QER5:QEX5"/>
    <mergeCell ref="QEY5:QFE5"/>
    <mergeCell ref="QFF5:QFL5"/>
    <mergeCell ref="QFM5:QFS5"/>
    <mergeCell ref="QCN5:QCT5"/>
    <mergeCell ref="QCU5:QDA5"/>
    <mergeCell ref="QDB5:QDH5"/>
    <mergeCell ref="QDI5:QDO5"/>
    <mergeCell ref="QDP5:QDV5"/>
    <mergeCell ref="QDW5:QEC5"/>
    <mergeCell ref="QAX5:QBD5"/>
    <mergeCell ref="QBE5:QBK5"/>
    <mergeCell ref="QBL5:QBR5"/>
    <mergeCell ref="QBS5:QBY5"/>
    <mergeCell ref="QBZ5:QCF5"/>
    <mergeCell ref="QCG5:QCM5"/>
    <mergeCell ref="PZH5:PZN5"/>
    <mergeCell ref="PZO5:PZU5"/>
    <mergeCell ref="PZV5:QAB5"/>
    <mergeCell ref="QAC5:QAI5"/>
    <mergeCell ref="QAJ5:QAP5"/>
    <mergeCell ref="QAQ5:QAW5"/>
    <mergeCell ref="PXR5:PXX5"/>
    <mergeCell ref="PXY5:PYE5"/>
    <mergeCell ref="PYF5:PYL5"/>
    <mergeCell ref="PYM5:PYS5"/>
    <mergeCell ref="PYT5:PYZ5"/>
    <mergeCell ref="PZA5:PZG5"/>
    <mergeCell ref="PWB5:PWH5"/>
    <mergeCell ref="PWI5:PWO5"/>
    <mergeCell ref="PWP5:PWV5"/>
    <mergeCell ref="PWW5:PXC5"/>
    <mergeCell ref="PXD5:PXJ5"/>
    <mergeCell ref="PXK5:PXQ5"/>
    <mergeCell ref="PUL5:PUR5"/>
    <mergeCell ref="PUS5:PUY5"/>
    <mergeCell ref="PUZ5:PVF5"/>
    <mergeCell ref="PVG5:PVM5"/>
    <mergeCell ref="PVN5:PVT5"/>
    <mergeCell ref="PVU5:PWA5"/>
    <mergeCell ref="PSV5:PTB5"/>
    <mergeCell ref="PTC5:PTI5"/>
    <mergeCell ref="PTJ5:PTP5"/>
    <mergeCell ref="PTQ5:PTW5"/>
    <mergeCell ref="PTX5:PUD5"/>
    <mergeCell ref="PUE5:PUK5"/>
    <mergeCell ref="PRF5:PRL5"/>
    <mergeCell ref="PRM5:PRS5"/>
    <mergeCell ref="PRT5:PRZ5"/>
    <mergeCell ref="PSA5:PSG5"/>
    <mergeCell ref="PSH5:PSN5"/>
    <mergeCell ref="PSO5:PSU5"/>
    <mergeCell ref="PPP5:PPV5"/>
    <mergeCell ref="PPW5:PQC5"/>
    <mergeCell ref="PQD5:PQJ5"/>
    <mergeCell ref="PQK5:PQQ5"/>
    <mergeCell ref="PQR5:PQX5"/>
    <mergeCell ref="PQY5:PRE5"/>
    <mergeCell ref="PNZ5:POF5"/>
    <mergeCell ref="POG5:POM5"/>
    <mergeCell ref="PON5:POT5"/>
    <mergeCell ref="POU5:PPA5"/>
    <mergeCell ref="PPB5:PPH5"/>
    <mergeCell ref="PPI5:PPO5"/>
    <mergeCell ref="PMJ5:PMP5"/>
    <mergeCell ref="PMQ5:PMW5"/>
    <mergeCell ref="PMX5:PND5"/>
    <mergeCell ref="PNE5:PNK5"/>
    <mergeCell ref="PNL5:PNR5"/>
    <mergeCell ref="PNS5:PNY5"/>
    <mergeCell ref="PKT5:PKZ5"/>
    <mergeCell ref="PLA5:PLG5"/>
    <mergeCell ref="PLH5:PLN5"/>
    <mergeCell ref="PLO5:PLU5"/>
    <mergeCell ref="PLV5:PMB5"/>
    <mergeCell ref="PMC5:PMI5"/>
    <mergeCell ref="PJD5:PJJ5"/>
    <mergeCell ref="PJK5:PJQ5"/>
    <mergeCell ref="PJR5:PJX5"/>
    <mergeCell ref="PJY5:PKE5"/>
    <mergeCell ref="PKF5:PKL5"/>
    <mergeCell ref="PKM5:PKS5"/>
    <mergeCell ref="PHN5:PHT5"/>
    <mergeCell ref="PHU5:PIA5"/>
    <mergeCell ref="PIB5:PIH5"/>
    <mergeCell ref="PII5:PIO5"/>
    <mergeCell ref="PIP5:PIV5"/>
    <mergeCell ref="PIW5:PJC5"/>
    <mergeCell ref="PFX5:PGD5"/>
    <mergeCell ref="PGE5:PGK5"/>
    <mergeCell ref="PGL5:PGR5"/>
    <mergeCell ref="PGS5:PGY5"/>
    <mergeCell ref="PGZ5:PHF5"/>
    <mergeCell ref="PHG5:PHM5"/>
    <mergeCell ref="PEH5:PEN5"/>
    <mergeCell ref="PEO5:PEU5"/>
    <mergeCell ref="PEV5:PFB5"/>
    <mergeCell ref="PFC5:PFI5"/>
    <mergeCell ref="PFJ5:PFP5"/>
    <mergeCell ref="PFQ5:PFW5"/>
    <mergeCell ref="PCR5:PCX5"/>
    <mergeCell ref="PCY5:PDE5"/>
    <mergeCell ref="PDF5:PDL5"/>
    <mergeCell ref="PDM5:PDS5"/>
    <mergeCell ref="PDT5:PDZ5"/>
    <mergeCell ref="PEA5:PEG5"/>
    <mergeCell ref="PBB5:PBH5"/>
    <mergeCell ref="PBI5:PBO5"/>
    <mergeCell ref="PBP5:PBV5"/>
    <mergeCell ref="PBW5:PCC5"/>
    <mergeCell ref="PCD5:PCJ5"/>
    <mergeCell ref="PCK5:PCQ5"/>
    <mergeCell ref="OZL5:OZR5"/>
    <mergeCell ref="OZS5:OZY5"/>
    <mergeCell ref="OZZ5:PAF5"/>
    <mergeCell ref="PAG5:PAM5"/>
    <mergeCell ref="PAN5:PAT5"/>
    <mergeCell ref="PAU5:PBA5"/>
    <mergeCell ref="OXV5:OYB5"/>
    <mergeCell ref="OYC5:OYI5"/>
    <mergeCell ref="OYJ5:OYP5"/>
    <mergeCell ref="OYQ5:OYW5"/>
    <mergeCell ref="OYX5:OZD5"/>
    <mergeCell ref="OZE5:OZK5"/>
    <mergeCell ref="OWF5:OWL5"/>
    <mergeCell ref="OWM5:OWS5"/>
    <mergeCell ref="OWT5:OWZ5"/>
    <mergeCell ref="OXA5:OXG5"/>
    <mergeCell ref="OXH5:OXN5"/>
    <mergeCell ref="OXO5:OXU5"/>
    <mergeCell ref="OUP5:OUV5"/>
    <mergeCell ref="OUW5:OVC5"/>
    <mergeCell ref="OVD5:OVJ5"/>
    <mergeCell ref="OVK5:OVQ5"/>
    <mergeCell ref="OVR5:OVX5"/>
    <mergeCell ref="OVY5:OWE5"/>
    <mergeCell ref="OSZ5:OTF5"/>
    <mergeCell ref="OTG5:OTM5"/>
    <mergeCell ref="OTN5:OTT5"/>
    <mergeCell ref="OTU5:OUA5"/>
    <mergeCell ref="OUB5:OUH5"/>
    <mergeCell ref="OUI5:OUO5"/>
    <mergeCell ref="ORJ5:ORP5"/>
    <mergeCell ref="ORQ5:ORW5"/>
    <mergeCell ref="ORX5:OSD5"/>
    <mergeCell ref="OSE5:OSK5"/>
    <mergeCell ref="OSL5:OSR5"/>
    <mergeCell ref="OSS5:OSY5"/>
    <mergeCell ref="OPT5:OPZ5"/>
    <mergeCell ref="OQA5:OQG5"/>
    <mergeCell ref="OQH5:OQN5"/>
    <mergeCell ref="OQO5:OQU5"/>
    <mergeCell ref="OQV5:ORB5"/>
    <mergeCell ref="ORC5:ORI5"/>
    <mergeCell ref="OOD5:OOJ5"/>
    <mergeCell ref="OOK5:OOQ5"/>
    <mergeCell ref="OOR5:OOX5"/>
    <mergeCell ref="OOY5:OPE5"/>
    <mergeCell ref="OPF5:OPL5"/>
    <mergeCell ref="OPM5:OPS5"/>
    <mergeCell ref="OMN5:OMT5"/>
    <mergeCell ref="OMU5:ONA5"/>
    <mergeCell ref="ONB5:ONH5"/>
    <mergeCell ref="ONI5:ONO5"/>
    <mergeCell ref="ONP5:ONV5"/>
    <mergeCell ref="ONW5:OOC5"/>
    <mergeCell ref="OKX5:OLD5"/>
    <mergeCell ref="OLE5:OLK5"/>
    <mergeCell ref="OLL5:OLR5"/>
    <mergeCell ref="OLS5:OLY5"/>
    <mergeCell ref="OLZ5:OMF5"/>
    <mergeCell ref="OMG5:OMM5"/>
    <mergeCell ref="OJH5:OJN5"/>
    <mergeCell ref="OJO5:OJU5"/>
    <mergeCell ref="OJV5:OKB5"/>
    <mergeCell ref="OKC5:OKI5"/>
    <mergeCell ref="OKJ5:OKP5"/>
    <mergeCell ref="OKQ5:OKW5"/>
    <mergeCell ref="OHR5:OHX5"/>
    <mergeCell ref="OHY5:OIE5"/>
    <mergeCell ref="OIF5:OIL5"/>
    <mergeCell ref="OIM5:OIS5"/>
    <mergeCell ref="OIT5:OIZ5"/>
    <mergeCell ref="OJA5:OJG5"/>
    <mergeCell ref="OGB5:OGH5"/>
    <mergeCell ref="OGI5:OGO5"/>
    <mergeCell ref="OGP5:OGV5"/>
    <mergeCell ref="OGW5:OHC5"/>
    <mergeCell ref="OHD5:OHJ5"/>
    <mergeCell ref="OHK5:OHQ5"/>
    <mergeCell ref="OEL5:OER5"/>
    <mergeCell ref="OES5:OEY5"/>
    <mergeCell ref="OEZ5:OFF5"/>
    <mergeCell ref="OFG5:OFM5"/>
    <mergeCell ref="OFN5:OFT5"/>
    <mergeCell ref="OFU5:OGA5"/>
    <mergeCell ref="OCV5:ODB5"/>
    <mergeCell ref="ODC5:ODI5"/>
    <mergeCell ref="ODJ5:ODP5"/>
    <mergeCell ref="ODQ5:ODW5"/>
    <mergeCell ref="ODX5:OED5"/>
    <mergeCell ref="OEE5:OEK5"/>
    <mergeCell ref="OBF5:OBL5"/>
    <mergeCell ref="OBM5:OBS5"/>
    <mergeCell ref="OBT5:OBZ5"/>
    <mergeCell ref="OCA5:OCG5"/>
    <mergeCell ref="OCH5:OCN5"/>
    <mergeCell ref="OCO5:OCU5"/>
    <mergeCell ref="NZP5:NZV5"/>
    <mergeCell ref="NZW5:OAC5"/>
    <mergeCell ref="OAD5:OAJ5"/>
    <mergeCell ref="OAK5:OAQ5"/>
    <mergeCell ref="OAR5:OAX5"/>
    <mergeCell ref="OAY5:OBE5"/>
    <mergeCell ref="NXZ5:NYF5"/>
    <mergeCell ref="NYG5:NYM5"/>
    <mergeCell ref="NYN5:NYT5"/>
    <mergeCell ref="NYU5:NZA5"/>
    <mergeCell ref="NZB5:NZH5"/>
    <mergeCell ref="NZI5:NZO5"/>
    <mergeCell ref="NWJ5:NWP5"/>
    <mergeCell ref="NWQ5:NWW5"/>
    <mergeCell ref="NWX5:NXD5"/>
    <mergeCell ref="NXE5:NXK5"/>
    <mergeCell ref="NXL5:NXR5"/>
    <mergeCell ref="NXS5:NXY5"/>
    <mergeCell ref="NUT5:NUZ5"/>
    <mergeCell ref="NVA5:NVG5"/>
    <mergeCell ref="NVH5:NVN5"/>
    <mergeCell ref="NVO5:NVU5"/>
    <mergeCell ref="NVV5:NWB5"/>
    <mergeCell ref="NWC5:NWI5"/>
    <mergeCell ref="NTD5:NTJ5"/>
    <mergeCell ref="NTK5:NTQ5"/>
    <mergeCell ref="NTR5:NTX5"/>
    <mergeCell ref="NTY5:NUE5"/>
    <mergeCell ref="NUF5:NUL5"/>
    <mergeCell ref="NUM5:NUS5"/>
    <mergeCell ref="NRN5:NRT5"/>
    <mergeCell ref="NRU5:NSA5"/>
    <mergeCell ref="NSB5:NSH5"/>
    <mergeCell ref="NSI5:NSO5"/>
    <mergeCell ref="NSP5:NSV5"/>
    <mergeCell ref="NSW5:NTC5"/>
    <mergeCell ref="NPX5:NQD5"/>
    <mergeCell ref="NQE5:NQK5"/>
    <mergeCell ref="NQL5:NQR5"/>
    <mergeCell ref="NQS5:NQY5"/>
    <mergeCell ref="NQZ5:NRF5"/>
    <mergeCell ref="NRG5:NRM5"/>
    <mergeCell ref="NOH5:NON5"/>
    <mergeCell ref="NOO5:NOU5"/>
    <mergeCell ref="NOV5:NPB5"/>
    <mergeCell ref="NPC5:NPI5"/>
    <mergeCell ref="NPJ5:NPP5"/>
    <mergeCell ref="NPQ5:NPW5"/>
    <mergeCell ref="NMR5:NMX5"/>
    <mergeCell ref="NMY5:NNE5"/>
    <mergeCell ref="NNF5:NNL5"/>
    <mergeCell ref="NNM5:NNS5"/>
    <mergeCell ref="NNT5:NNZ5"/>
    <mergeCell ref="NOA5:NOG5"/>
    <mergeCell ref="NLB5:NLH5"/>
    <mergeCell ref="NLI5:NLO5"/>
    <mergeCell ref="NLP5:NLV5"/>
    <mergeCell ref="NLW5:NMC5"/>
    <mergeCell ref="NMD5:NMJ5"/>
    <mergeCell ref="NMK5:NMQ5"/>
    <mergeCell ref="NJL5:NJR5"/>
    <mergeCell ref="NJS5:NJY5"/>
    <mergeCell ref="NJZ5:NKF5"/>
    <mergeCell ref="NKG5:NKM5"/>
    <mergeCell ref="NKN5:NKT5"/>
    <mergeCell ref="NKU5:NLA5"/>
    <mergeCell ref="NHV5:NIB5"/>
    <mergeCell ref="NIC5:NII5"/>
    <mergeCell ref="NIJ5:NIP5"/>
    <mergeCell ref="NIQ5:NIW5"/>
    <mergeCell ref="NIX5:NJD5"/>
    <mergeCell ref="NJE5:NJK5"/>
    <mergeCell ref="NGF5:NGL5"/>
    <mergeCell ref="NGM5:NGS5"/>
    <mergeCell ref="NGT5:NGZ5"/>
    <mergeCell ref="NHA5:NHG5"/>
    <mergeCell ref="NHH5:NHN5"/>
    <mergeCell ref="NHO5:NHU5"/>
    <mergeCell ref="NEP5:NEV5"/>
    <mergeCell ref="NEW5:NFC5"/>
    <mergeCell ref="NFD5:NFJ5"/>
    <mergeCell ref="NFK5:NFQ5"/>
    <mergeCell ref="NFR5:NFX5"/>
    <mergeCell ref="NFY5:NGE5"/>
    <mergeCell ref="NCZ5:NDF5"/>
    <mergeCell ref="NDG5:NDM5"/>
    <mergeCell ref="NDN5:NDT5"/>
    <mergeCell ref="NDU5:NEA5"/>
    <mergeCell ref="NEB5:NEH5"/>
    <mergeCell ref="NEI5:NEO5"/>
    <mergeCell ref="NBJ5:NBP5"/>
    <mergeCell ref="NBQ5:NBW5"/>
    <mergeCell ref="NBX5:NCD5"/>
    <mergeCell ref="NCE5:NCK5"/>
    <mergeCell ref="NCL5:NCR5"/>
    <mergeCell ref="NCS5:NCY5"/>
    <mergeCell ref="MZT5:MZZ5"/>
    <mergeCell ref="NAA5:NAG5"/>
    <mergeCell ref="NAH5:NAN5"/>
    <mergeCell ref="NAO5:NAU5"/>
    <mergeCell ref="NAV5:NBB5"/>
    <mergeCell ref="NBC5:NBI5"/>
    <mergeCell ref="MYD5:MYJ5"/>
    <mergeCell ref="MYK5:MYQ5"/>
    <mergeCell ref="MYR5:MYX5"/>
    <mergeCell ref="MYY5:MZE5"/>
    <mergeCell ref="MZF5:MZL5"/>
    <mergeCell ref="MZM5:MZS5"/>
    <mergeCell ref="MWN5:MWT5"/>
    <mergeCell ref="MWU5:MXA5"/>
    <mergeCell ref="MXB5:MXH5"/>
    <mergeCell ref="MXI5:MXO5"/>
    <mergeCell ref="MXP5:MXV5"/>
    <mergeCell ref="MXW5:MYC5"/>
    <mergeCell ref="MUX5:MVD5"/>
    <mergeCell ref="MVE5:MVK5"/>
    <mergeCell ref="MVL5:MVR5"/>
    <mergeCell ref="MVS5:MVY5"/>
    <mergeCell ref="MVZ5:MWF5"/>
    <mergeCell ref="MWG5:MWM5"/>
    <mergeCell ref="MTH5:MTN5"/>
    <mergeCell ref="MTO5:MTU5"/>
    <mergeCell ref="MTV5:MUB5"/>
    <mergeCell ref="MUC5:MUI5"/>
    <mergeCell ref="MUJ5:MUP5"/>
    <mergeCell ref="MUQ5:MUW5"/>
    <mergeCell ref="MRR5:MRX5"/>
    <mergeCell ref="MRY5:MSE5"/>
    <mergeCell ref="MSF5:MSL5"/>
    <mergeCell ref="MSM5:MSS5"/>
    <mergeCell ref="MST5:MSZ5"/>
    <mergeCell ref="MTA5:MTG5"/>
    <mergeCell ref="MQB5:MQH5"/>
    <mergeCell ref="MQI5:MQO5"/>
    <mergeCell ref="MQP5:MQV5"/>
    <mergeCell ref="MQW5:MRC5"/>
    <mergeCell ref="MRD5:MRJ5"/>
    <mergeCell ref="MRK5:MRQ5"/>
    <mergeCell ref="MOL5:MOR5"/>
    <mergeCell ref="MOS5:MOY5"/>
    <mergeCell ref="MOZ5:MPF5"/>
    <mergeCell ref="MPG5:MPM5"/>
    <mergeCell ref="MPN5:MPT5"/>
    <mergeCell ref="MPU5:MQA5"/>
    <mergeCell ref="MMV5:MNB5"/>
    <mergeCell ref="MNC5:MNI5"/>
    <mergeCell ref="MNJ5:MNP5"/>
    <mergeCell ref="MNQ5:MNW5"/>
    <mergeCell ref="MNX5:MOD5"/>
    <mergeCell ref="MOE5:MOK5"/>
    <mergeCell ref="MLF5:MLL5"/>
    <mergeCell ref="MLM5:MLS5"/>
    <mergeCell ref="MLT5:MLZ5"/>
    <mergeCell ref="MMA5:MMG5"/>
    <mergeCell ref="MMH5:MMN5"/>
    <mergeCell ref="MMO5:MMU5"/>
    <mergeCell ref="MJP5:MJV5"/>
    <mergeCell ref="MJW5:MKC5"/>
    <mergeCell ref="MKD5:MKJ5"/>
    <mergeCell ref="MKK5:MKQ5"/>
    <mergeCell ref="MKR5:MKX5"/>
    <mergeCell ref="MKY5:MLE5"/>
    <mergeCell ref="MHZ5:MIF5"/>
    <mergeCell ref="MIG5:MIM5"/>
    <mergeCell ref="MIN5:MIT5"/>
    <mergeCell ref="MIU5:MJA5"/>
    <mergeCell ref="MJB5:MJH5"/>
    <mergeCell ref="MJI5:MJO5"/>
    <mergeCell ref="MGJ5:MGP5"/>
    <mergeCell ref="MGQ5:MGW5"/>
    <mergeCell ref="MGX5:MHD5"/>
    <mergeCell ref="MHE5:MHK5"/>
    <mergeCell ref="MHL5:MHR5"/>
    <mergeCell ref="MHS5:MHY5"/>
    <mergeCell ref="MET5:MEZ5"/>
    <mergeCell ref="MFA5:MFG5"/>
    <mergeCell ref="MFH5:MFN5"/>
    <mergeCell ref="MFO5:MFU5"/>
    <mergeCell ref="MFV5:MGB5"/>
    <mergeCell ref="MGC5:MGI5"/>
    <mergeCell ref="MDD5:MDJ5"/>
    <mergeCell ref="MDK5:MDQ5"/>
    <mergeCell ref="MDR5:MDX5"/>
    <mergeCell ref="MDY5:MEE5"/>
    <mergeCell ref="MEF5:MEL5"/>
    <mergeCell ref="MEM5:MES5"/>
    <mergeCell ref="MBN5:MBT5"/>
    <mergeCell ref="MBU5:MCA5"/>
    <mergeCell ref="MCB5:MCH5"/>
    <mergeCell ref="MCI5:MCO5"/>
    <mergeCell ref="MCP5:MCV5"/>
    <mergeCell ref="MCW5:MDC5"/>
    <mergeCell ref="LZX5:MAD5"/>
    <mergeCell ref="MAE5:MAK5"/>
    <mergeCell ref="MAL5:MAR5"/>
    <mergeCell ref="MAS5:MAY5"/>
    <mergeCell ref="MAZ5:MBF5"/>
    <mergeCell ref="MBG5:MBM5"/>
    <mergeCell ref="LYH5:LYN5"/>
    <mergeCell ref="LYO5:LYU5"/>
    <mergeCell ref="LYV5:LZB5"/>
    <mergeCell ref="LZC5:LZI5"/>
    <mergeCell ref="LZJ5:LZP5"/>
    <mergeCell ref="LZQ5:LZW5"/>
    <mergeCell ref="LWR5:LWX5"/>
    <mergeCell ref="LWY5:LXE5"/>
    <mergeCell ref="LXF5:LXL5"/>
    <mergeCell ref="LXM5:LXS5"/>
    <mergeCell ref="LXT5:LXZ5"/>
    <mergeCell ref="LYA5:LYG5"/>
    <mergeCell ref="LVB5:LVH5"/>
    <mergeCell ref="LVI5:LVO5"/>
    <mergeCell ref="LVP5:LVV5"/>
    <mergeCell ref="LVW5:LWC5"/>
    <mergeCell ref="LWD5:LWJ5"/>
    <mergeCell ref="LWK5:LWQ5"/>
    <mergeCell ref="LTL5:LTR5"/>
    <mergeCell ref="LTS5:LTY5"/>
    <mergeCell ref="LTZ5:LUF5"/>
    <mergeCell ref="LUG5:LUM5"/>
    <mergeCell ref="LUN5:LUT5"/>
    <mergeCell ref="LUU5:LVA5"/>
    <mergeCell ref="LRV5:LSB5"/>
    <mergeCell ref="LSC5:LSI5"/>
    <mergeCell ref="LSJ5:LSP5"/>
    <mergeCell ref="LSQ5:LSW5"/>
    <mergeCell ref="LSX5:LTD5"/>
    <mergeCell ref="LTE5:LTK5"/>
    <mergeCell ref="LQF5:LQL5"/>
    <mergeCell ref="LQM5:LQS5"/>
    <mergeCell ref="LQT5:LQZ5"/>
    <mergeCell ref="LRA5:LRG5"/>
    <mergeCell ref="LRH5:LRN5"/>
    <mergeCell ref="LRO5:LRU5"/>
    <mergeCell ref="LOP5:LOV5"/>
    <mergeCell ref="LOW5:LPC5"/>
    <mergeCell ref="LPD5:LPJ5"/>
    <mergeCell ref="LPK5:LPQ5"/>
    <mergeCell ref="LPR5:LPX5"/>
    <mergeCell ref="LPY5:LQE5"/>
    <mergeCell ref="LMZ5:LNF5"/>
    <mergeCell ref="LNG5:LNM5"/>
    <mergeCell ref="LNN5:LNT5"/>
    <mergeCell ref="LNU5:LOA5"/>
    <mergeCell ref="LOB5:LOH5"/>
    <mergeCell ref="LOI5:LOO5"/>
    <mergeCell ref="LLJ5:LLP5"/>
    <mergeCell ref="LLQ5:LLW5"/>
    <mergeCell ref="LLX5:LMD5"/>
    <mergeCell ref="LME5:LMK5"/>
    <mergeCell ref="LML5:LMR5"/>
    <mergeCell ref="LMS5:LMY5"/>
    <mergeCell ref="LJT5:LJZ5"/>
    <mergeCell ref="LKA5:LKG5"/>
    <mergeCell ref="LKH5:LKN5"/>
    <mergeCell ref="LKO5:LKU5"/>
    <mergeCell ref="LKV5:LLB5"/>
    <mergeCell ref="LLC5:LLI5"/>
    <mergeCell ref="LID5:LIJ5"/>
    <mergeCell ref="LIK5:LIQ5"/>
    <mergeCell ref="LIR5:LIX5"/>
    <mergeCell ref="LIY5:LJE5"/>
    <mergeCell ref="LJF5:LJL5"/>
    <mergeCell ref="LJM5:LJS5"/>
    <mergeCell ref="LGN5:LGT5"/>
    <mergeCell ref="LGU5:LHA5"/>
    <mergeCell ref="LHB5:LHH5"/>
    <mergeCell ref="LHI5:LHO5"/>
    <mergeCell ref="LHP5:LHV5"/>
    <mergeCell ref="LHW5:LIC5"/>
    <mergeCell ref="LEX5:LFD5"/>
    <mergeCell ref="LFE5:LFK5"/>
    <mergeCell ref="LFL5:LFR5"/>
    <mergeCell ref="LFS5:LFY5"/>
    <mergeCell ref="LFZ5:LGF5"/>
    <mergeCell ref="LGG5:LGM5"/>
    <mergeCell ref="LDH5:LDN5"/>
    <mergeCell ref="LDO5:LDU5"/>
    <mergeCell ref="LDV5:LEB5"/>
    <mergeCell ref="LEC5:LEI5"/>
    <mergeCell ref="LEJ5:LEP5"/>
    <mergeCell ref="LEQ5:LEW5"/>
    <mergeCell ref="LBR5:LBX5"/>
    <mergeCell ref="LBY5:LCE5"/>
    <mergeCell ref="LCF5:LCL5"/>
    <mergeCell ref="LCM5:LCS5"/>
    <mergeCell ref="LCT5:LCZ5"/>
    <mergeCell ref="LDA5:LDG5"/>
    <mergeCell ref="LAB5:LAH5"/>
    <mergeCell ref="LAI5:LAO5"/>
    <mergeCell ref="LAP5:LAV5"/>
    <mergeCell ref="LAW5:LBC5"/>
    <mergeCell ref="LBD5:LBJ5"/>
    <mergeCell ref="LBK5:LBQ5"/>
    <mergeCell ref="KYL5:KYR5"/>
    <mergeCell ref="KYS5:KYY5"/>
    <mergeCell ref="KYZ5:KZF5"/>
    <mergeCell ref="KZG5:KZM5"/>
    <mergeCell ref="KZN5:KZT5"/>
    <mergeCell ref="KZU5:LAA5"/>
    <mergeCell ref="KWV5:KXB5"/>
    <mergeCell ref="KXC5:KXI5"/>
    <mergeCell ref="KXJ5:KXP5"/>
    <mergeCell ref="KXQ5:KXW5"/>
    <mergeCell ref="KXX5:KYD5"/>
    <mergeCell ref="KYE5:KYK5"/>
    <mergeCell ref="KVF5:KVL5"/>
    <mergeCell ref="KVM5:KVS5"/>
    <mergeCell ref="KVT5:KVZ5"/>
    <mergeCell ref="KWA5:KWG5"/>
    <mergeCell ref="KWH5:KWN5"/>
    <mergeCell ref="KWO5:KWU5"/>
    <mergeCell ref="KTP5:KTV5"/>
    <mergeCell ref="KTW5:KUC5"/>
    <mergeCell ref="KUD5:KUJ5"/>
    <mergeCell ref="KUK5:KUQ5"/>
    <mergeCell ref="KUR5:KUX5"/>
    <mergeCell ref="KUY5:KVE5"/>
    <mergeCell ref="KRZ5:KSF5"/>
    <mergeCell ref="KSG5:KSM5"/>
    <mergeCell ref="KSN5:KST5"/>
    <mergeCell ref="KSU5:KTA5"/>
    <mergeCell ref="KTB5:KTH5"/>
    <mergeCell ref="KTI5:KTO5"/>
    <mergeCell ref="KQJ5:KQP5"/>
    <mergeCell ref="KQQ5:KQW5"/>
    <mergeCell ref="KQX5:KRD5"/>
    <mergeCell ref="KRE5:KRK5"/>
    <mergeCell ref="KRL5:KRR5"/>
    <mergeCell ref="KRS5:KRY5"/>
    <mergeCell ref="KOT5:KOZ5"/>
    <mergeCell ref="KPA5:KPG5"/>
    <mergeCell ref="KPH5:KPN5"/>
    <mergeCell ref="KPO5:KPU5"/>
    <mergeCell ref="KPV5:KQB5"/>
    <mergeCell ref="KQC5:KQI5"/>
    <mergeCell ref="KND5:KNJ5"/>
    <mergeCell ref="KNK5:KNQ5"/>
    <mergeCell ref="KNR5:KNX5"/>
    <mergeCell ref="KNY5:KOE5"/>
    <mergeCell ref="KOF5:KOL5"/>
    <mergeCell ref="KOM5:KOS5"/>
    <mergeCell ref="KLN5:KLT5"/>
    <mergeCell ref="KLU5:KMA5"/>
    <mergeCell ref="KMB5:KMH5"/>
    <mergeCell ref="KMI5:KMO5"/>
    <mergeCell ref="KMP5:KMV5"/>
    <mergeCell ref="KMW5:KNC5"/>
    <mergeCell ref="KJX5:KKD5"/>
    <mergeCell ref="KKE5:KKK5"/>
    <mergeCell ref="KKL5:KKR5"/>
    <mergeCell ref="KKS5:KKY5"/>
    <mergeCell ref="KKZ5:KLF5"/>
    <mergeCell ref="KLG5:KLM5"/>
    <mergeCell ref="KIH5:KIN5"/>
    <mergeCell ref="KIO5:KIU5"/>
    <mergeCell ref="KIV5:KJB5"/>
    <mergeCell ref="KJC5:KJI5"/>
    <mergeCell ref="KJJ5:KJP5"/>
    <mergeCell ref="KJQ5:KJW5"/>
    <mergeCell ref="KGR5:KGX5"/>
    <mergeCell ref="KGY5:KHE5"/>
    <mergeCell ref="KHF5:KHL5"/>
    <mergeCell ref="KHM5:KHS5"/>
    <mergeCell ref="KHT5:KHZ5"/>
    <mergeCell ref="KIA5:KIG5"/>
    <mergeCell ref="KFB5:KFH5"/>
    <mergeCell ref="KFI5:KFO5"/>
    <mergeCell ref="KFP5:KFV5"/>
    <mergeCell ref="KFW5:KGC5"/>
    <mergeCell ref="KGD5:KGJ5"/>
    <mergeCell ref="KGK5:KGQ5"/>
    <mergeCell ref="KDL5:KDR5"/>
    <mergeCell ref="KDS5:KDY5"/>
    <mergeCell ref="KDZ5:KEF5"/>
    <mergeCell ref="KEG5:KEM5"/>
    <mergeCell ref="KEN5:KET5"/>
    <mergeCell ref="KEU5:KFA5"/>
    <mergeCell ref="KBV5:KCB5"/>
    <mergeCell ref="KCC5:KCI5"/>
    <mergeCell ref="KCJ5:KCP5"/>
    <mergeCell ref="KCQ5:KCW5"/>
    <mergeCell ref="KCX5:KDD5"/>
    <mergeCell ref="KDE5:KDK5"/>
    <mergeCell ref="KAF5:KAL5"/>
    <mergeCell ref="KAM5:KAS5"/>
    <mergeCell ref="KAT5:KAZ5"/>
    <mergeCell ref="KBA5:KBG5"/>
    <mergeCell ref="KBH5:KBN5"/>
    <mergeCell ref="KBO5:KBU5"/>
    <mergeCell ref="JYP5:JYV5"/>
    <mergeCell ref="JYW5:JZC5"/>
    <mergeCell ref="JZD5:JZJ5"/>
    <mergeCell ref="JZK5:JZQ5"/>
    <mergeCell ref="JZR5:JZX5"/>
    <mergeCell ref="JZY5:KAE5"/>
    <mergeCell ref="JWZ5:JXF5"/>
    <mergeCell ref="JXG5:JXM5"/>
    <mergeCell ref="JXN5:JXT5"/>
    <mergeCell ref="JXU5:JYA5"/>
    <mergeCell ref="JYB5:JYH5"/>
    <mergeCell ref="JYI5:JYO5"/>
    <mergeCell ref="JVJ5:JVP5"/>
    <mergeCell ref="JVQ5:JVW5"/>
    <mergeCell ref="JVX5:JWD5"/>
    <mergeCell ref="JWE5:JWK5"/>
    <mergeCell ref="JWL5:JWR5"/>
    <mergeCell ref="JWS5:JWY5"/>
    <mergeCell ref="JTT5:JTZ5"/>
    <mergeCell ref="JUA5:JUG5"/>
    <mergeCell ref="JUH5:JUN5"/>
    <mergeCell ref="JUO5:JUU5"/>
    <mergeCell ref="JUV5:JVB5"/>
    <mergeCell ref="JVC5:JVI5"/>
    <mergeCell ref="JSD5:JSJ5"/>
    <mergeCell ref="JSK5:JSQ5"/>
    <mergeCell ref="JSR5:JSX5"/>
    <mergeCell ref="JSY5:JTE5"/>
    <mergeCell ref="JTF5:JTL5"/>
    <mergeCell ref="JTM5:JTS5"/>
    <mergeCell ref="JQN5:JQT5"/>
    <mergeCell ref="JQU5:JRA5"/>
    <mergeCell ref="JRB5:JRH5"/>
    <mergeCell ref="JRI5:JRO5"/>
    <mergeCell ref="JRP5:JRV5"/>
    <mergeCell ref="JRW5:JSC5"/>
    <mergeCell ref="JOX5:JPD5"/>
    <mergeCell ref="JPE5:JPK5"/>
    <mergeCell ref="JPL5:JPR5"/>
    <mergeCell ref="JPS5:JPY5"/>
    <mergeCell ref="JPZ5:JQF5"/>
    <mergeCell ref="JQG5:JQM5"/>
    <mergeCell ref="JNH5:JNN5"/>
    <mergeCell ref="JNO5:JNU5"/>
    <mergeCell ref="JNV5:JOB5"/>
    <mergeCell ref="JOC5:JOI5"/>
    <mergeCell ref="JOJ5:JOP5"/>
    <mergeCell ref="JOQ5:JOW5"/>
    <mergeCell ref="JLR5:JLX5"/>
    <mergeCell ref="JLY5:JME5"/>
    <mergeCell ref="JMF5:JML5"/>
    <mergeCell ref="JMM5:JMS5"/>
    <mergeCell ref="JMT5:JMZ5"/>
    <mergeCell ref="JNA5:JNG5"/>
    <mergeCell ref="JKB5:JKH5"/>
    <mergeCell ref="JKI5:JKO5"/>
    <mergeCell ref="JKP5:JKV5"/>
    <mergeCell ref="JKW5:JLC5"/>
    <mergeCell ref="JLD5:JLJ5"/>
    <mergeCell ref="JLK5:JLQ5"/>
    <mergeCell ref="JIL5:JIR5"/>
    <mergeCell ref="JIS5:JIY5"/>
    <mergeCell ref="JIZ5:JJF5"/>
    <mergeCell ref="JJG5:JJM5"/>
    <mergeCell ref="JJN5:JJT5"/>
    <mergeCell ref="JJU5:JKA5"/>
    <mergeCell ref="JGV5:JHB5"/>
    <mergeCell ref="JHC5:JHI5"/>
    <mergeCell ref="JHJ5:JHP5"/>
    <mergeCell ref="JHQ5:JHW5"/>
    <mergeCell ref="JHX5:JID5"/>
    <mergeCell ref="JIE5:JIK5"/>
    <mergeCell ref="JFF5:JFL5"/>
    <mergeCell ref="JFM5:JFS5"/>
    <mergeCell ref="JFT5:JFZ5"/>
    <mergeCell ref="JGA5:JGG5"/>
    <mergeCell ref="JGH5:JGN5"/>
    <mergeCell ref="JGO5:JGU5"/>
    <mergeCell ref="JDP5:JDV5"/>
    <mergeCell ref="JDW5:JEC5"/>
    <mergeCell ref="JED5:JEJ5"/>
    <mergeCell ref="JEK5:JEQ5"/>
    <mergeCell ref="JER5:JEX5"/>
    <mergeCell ref="JEY5:JFE5"/>
    <mergeCell ref="JBZ5:JCF5"/>
    <mergeCell ref="JCG5:JCM5"/>
    <mergeCell ref="JCN5:JCT5"/>
    <mergeCell ref="JCU5:JDA5"/>
    <mergeCell ref="JDB5:JDH5"/>
    <mergeCell ref="JDI5:JDO5"/>
    <mergeCell ref="JAJ5:JAP5"/>
    <mergeCell ref="JAQ5:JAW5"/>
    <mergeCell ref="JAX5:JBD5"/>
    <mergeCell ref="JBE5:JBK5"/>
    <mergeCell ref="JBL5:JBR5"/>
    <mergeCell ref="JBS5:JBY5"/>
    <mergeCell ref="IYT5:IYZ5"/>
    <mergeCell ref="IZA5:IZG5"/>
    <mergeCell ref="IZH5:IZN5"/>
    <mergeCell ref="IZO5:IZU5"/>
    <mergeCell ref="IZV5:JAB5"/>
    <mergeCell ref="JAC5:JAI5"/>
    <mergeCell ref="IXD5:IXJ5"/>
    <mergeCell ref="IXK5:IXQ5"/>
    <mergeCell ref="IXR5:IXX5"/>
    <mergeCell ref="IXY5:IYE5"/>
    <mergeCell ref="IYF5:IYL5"/>
    <mergeCell ref="IYM5:IYS5"/>
    <mergeCell ref="IVN5:IVT5"/>
    <mergeCell ref="IVU5:IWA5"/>
    <mergeCell ref="IWB5:IWH5"/>
    <mergeCell ref="IWI5:IWO5"/>
    <mergeCell ref="IWP5:IWV5"/>
    <mergeCell ref="IWW5:IXC5"/>
    <mergeCell ref="ITX5:IUD5"/>
    <mergeCell ref="IUE5:IUK5"/>
    <mergeCell ref="IUL5:IUR5"/>
    <mergeCell ref="IUS5:IUY5"/>
    <mergeCell ref="IUZ5:IVF5"/>
    <mergeCell ref="IVG5:IVM5"/>
    <mergeCell ref="ISH5:ISN5"/>
    <mergeCell ref="ISO5:ISU5"/>
    <mergeCell ref="ISV5:ITB5"/>
    <mergeCell ref="ITC5:ITI5"/>
    <mergeCell ref="ITJ5:ITP5"/>
    <mergeCell ref="ITQ5:ITW5"/>
    <mergeCell ref="IQR5:IQX5"/>
    <mergeCell ref="IQY5:IRE5"/>
    <mergeCell ref="IRF5:IRL5"/>
    <mergeCell ref="IRM5:IRS5"/>
    <mergeCell ref="IRT5:IRZ5"/>
    <mergeCell ref="ISA5:ISG5"/>
    <mergeCell ref="IPB5:IPH5"/>
    <mergeCell ref="IPI5:IPO5"/>
    <mergeCell ref="IPP5:IPV5"/>
    <mergeCell ref="IPW5:IQC5"/>
    <mergeCell ref="IQD5:IQJ5"/>
    <mergeCell ref="IQK5:IQQ5"/>
    <mergeCell ref="INL5:INR5"/>
    <mergeCell ref="INS5:INY5"/>
    <mergeCell ref="INZ5:IOF5"/>
    <mergeCell ref="IOG5:IOM5"/>
    <mergeCell ref="ION5:IOT5"/>
    <mergeCell ref="IOU5:IPA5"/>
    <mergeCell ref="ILV5:IMB5"/>
    <mergeCell ref="IMC5:IMI5"/>
    <mergeCell ref="IMJ5:IMP5"/>
    <mergeCell ref="IMQ5:IMW5"/>
    <mergeCell ref="IMX5:IND5"/>
    <mergeCell ref="INE5:INK5"/>
    <mergeCell ref="IKF5:IKL5"/>
    <mergeCell ref="IKM5:IKS5"/>
    <mergeCell ref="IKT5:IKZ5"/>
    <mergeCell ref="ILA5:ILG5"/>
    <mergeCell ref="ILH5:ILN5"/>
    <mergeCell ref="ILO5:ILU5"/>
    <mergeCell ref="IIP5:IIV5"/>
    <mergeCell ref="IIW5:IJC5"/>
    <mergeCell ref="IJD5:IJJ5"/>
    <mergeCell ref="IJK5:IJQ5"/>
    <mergeCell ref="IJR5:IJX5"/>
    <mergeCell ref="IJY5:IKE5"/>
    <mergeCell ref="IGZ5:IHF5"/>
    <mergeCell ref="IHG5:IHM5"/>
    <mergeCell ref="IHN5:IHT5"/>
    <mergeCell ref="IHU5:IIA5"/>
    <mergeCell ref="IIB5:IIH5"/>
    <mergeCell ref="III5:IIO5"/>
    <mergeCell ref="IFJ5:IFP5"/>
    <mergeCell ref="IFQ5:IFW5"/>
    <mergeCell ref="IFX5:IGD5"/>
    <mergeCell ref="IGE5:IGK5"/>
    <mergeCell ref="IGL5:IGR5"/>
    <mergeCell ref="IGS5:IGY5"/>
    <mergeCell ref="IDT5:IDZ5"/>
    <mergeCell ref="IEA5:IEG5"/>
    <mergeCell ref="IEH5:IEN5"/>
    <mergeCell ref="IEO5:IEU5"/>
    <mergeCell ref="IEV5:IFB5"/>
    <mergeCell ref="IFC5:IFI5"/>
    <mergeCell ref="ICD5:ICJ5"/>
    <mergeCell ref="ICK5:ICQ5"/>
    <mergeCell ref="ICR5:ICX5"/>
    <mergeCell ref="ICY5:IDE5"/>
    <mergeCell ref="IDF5:IDL5"/>
    <mergeCell ref="IDM5:IDS5"/>
    <mergeCell ref="IAN5:IAT5"/>
    <mergeCell ref="IAU5:IBA5"/>
    <mergeCell ref="IBB5:IBH5"/>
    <mergeCell ref="IBI5:IBO5"/>
    <mergeCell ref="IBP5:IBV5"/>
    <mergeCell ref="IBW5:ICC5"/>
    <mergeCell ref="HYX5:HZD5"/>
    <mergeCell ref="HZE5:HZK5"/>
    <mergeCell ref="HZL5:HZR5"/>
    <mergeCell ref="HZS5:HZY5"/>
    <mergeCell ref="HZZ5:IAF5"/>
    <mergeCell ref="IAG5:IAM5"/>
    <mergeCell ref="HXH5:HXN5"/>
    <mergeCell ref="HXO5:HXU5"/>
    <mergeCell ref="HXV5:HYB5"/>
    <mergeCell ref="HYC5:HYI5"/>
    <mergeCell ref="HYJ5:HYP5"/>
    <mergeCell ref="HYQ5:HYW5"/>
    <mergeCell ref="HVR5:HVX5"/>
    <mergeCell ref="HVY5:HWE5"/>
    <mergeCell ref="HWF5:HWL5"/>
    <mergeCell ref="HWM5:HWS5"/>
    <mergeCell ref="HWT5:HWZ5"/>
    <mergeCell ref="HXA5:HXG5"/>
    <mergeCell ref="HUB5:HUH5"/>
    <mergeCell ref="HUI5:HUO5"/>
    <mergeCell ref="HUP5:HUV5"/>
    <mergeCell ref="HUW5:HVC5"/>
    <mergeCell ref="HVD5:HVJ5"/>
    <mergeCell ref="HVK5:HVQ5"/>
    <mergeCell ref="HSL5:HSR5"/>
    <mergeCell ref="HSS5:HSY5"/>
    <mergeCell ref="HSZ5:HTF5"/>
    <mergeCell ref="HTG5:HTM5"/>
    <mergeCell ref="HTN5:HTT5"/>
    <mergeCell ref="HTU5:HUA5"/>
    <mergeCell ref="HQV5:HRB5"/>
    <mergeCell ref="HRC5:HRI5"/>
    <mergeCell ref="HRJ5:HRP5"/>
    <mergeCell ref="HRQ5:HRW5"/>
    <mergeCell ref="HRX5:HSD5"/>
    <mergeCell ref="HSE5:HSK5"/>
    <mergeCell ref="HPF5:HPL5"/>
    <mergeCell ref="HPM5:HPS5"/>
    <mergeCell ref="HPT5:HPZ5"/>
    <mergeCell ref="HQA5:HQG5"/>
    <mergeCell ref="HQH5:HQN5"/>
    <mergeCell ref="HQO5:HQU5"/>
    <mergeCell ref="HNP5:HNV5"/>
    <mergeCell ref="HNW5:HOC5"/>
    <mergeCell ref="HOD5:HOJ5"/>
    <mergeCell ref="HOK5:HOQ5"/>
    <mergeCell ref="HOR5:HOX5"/>
    <mergeCell ref="HOY5:HPE5"/>
    <mergeCell ref="HLZ5:HMF5"/>
    <mergeCell ref="HMG5:HMM5"/>
    <mergeCell ref="HMN5:HMT5"/>
    <mergeCell ref="HMU5:HNA5"/>
    <mergeCell ref="HNB5:HNH5"/>
    <mergeCell ref="HNI5:HNO5"/>
    <mergeCell ref="HKJ5:HKP5"/>
    <mergeCell ref="HKQ5:HKW5"/>
    <mergeCell ref="HKX5:HLD5"/>
    <mergeCell ref="HLE5:HLK5"/>
    <mergeCell ref="HLL5:HLR5"/>
    <mergeCell ref="HLS5:HLY5"/>
    <mergeCell ref="HIT5:HIZ5"/>
    <mergeCell ref="HJA5:HJG5"/>
    <mergeCell ref="HJH5:HJN5"/>
    <mergeCell ref="HJO5:HJU5"/>
    <mergeCell ref="HJV5:HKB5"/>
    <mergeCell ref="HKC5:HKI5"/>
    <mergeCell ref="HHD5:HHJ5"/>
    <mergeCell ref="HHK5:HHQ5"/>
    <mergeCell ref="HHR5:HHX5"/>
    <mergeCell ref="HHY5:HIE5"/>
    <mergeCell ref="HIF5:HIL5"/>
    <mergeCell ref="HIM5:HIS5"/>
    <mergeCell ref="HFN5:HFT5"/>
    <mergeCell ref="HFU5:HGA5"/>
    <mergeCell ref="HGB5:HGH5"/>
    <mergeCell ref="HGI5:HGO5"/>
    <mergeCell ref="HGP5:HGV5"/>
    <mergeCell ref="HGW5:HHC5"/>
    <mergeCell ref="HDX5:HED5"/>
    <mergeCell ref="HEE5:HEK5"/>
    <mergeCell ref="HEL5:HER5"/>
    <mergeCell ref="HES5:HEY5"/>
    <mergeCell ref="HEZ5:HFF5"/>
    <mergeCell ref="HFG5:HFM5"/>
    <mergeCell ref="HCH5:HCN5"/>
    <mergeCell ref="HCO5:HCU5"/>
    <mergeCell ref="HCV5:HDB5"/>
    <mergeCell ref="HDC5:HDI5"/>
    <mergeCell ref="HDJ5:HDP5"/>
    <mergeCell ref="HDQ5:HDW5"/>
    <mergeCell ref="HAR5:HAX5"/>
    <mergeCell ref="HAY5:HBE5"/>
    <mergeCell ref="HBF5:HBL5"/>
    <mergeCell ref="HBM5:HBS5"/>
    <mergeCell ref="HBT5:HBZ5"/>
    <mergeCell ref="HCA5:HCG5"/>
    <mergeCell ref="GZB5:GZH5"/>
    <mergeCell ref="GZI5:GZO5"/>
    <mergeCell ref="GZP5:GZV5"/>
    <mergeCell ref="GZW5:HAC5"/>
    <mergeCell ref="HAD5:HAJ5"/>
    <mergeCell ref="HAK5:HAQ5"/>
    <mergeCell ref="GXL5:GXR5"/>
    <mergeCell ref="GXS5:GXY5"/>
    <mergeCell ref="GXZ5:GYF5"/>
    <mergeCell ref="GYG5:GYM5"/>
    <mergeCell ref="GYN5:GYT5"/>
    <mergeCell ref="GYU5:GZA5"/>
    <mergeCell ref="GVV5:GWB5"/>
    <mergeCell ref="GWC5:GWI5"/>
    <mergeCell ref="GWJ5:GWP5"/>
    <mergeCell ref="GWQ5:GWW5"/>
    <mergeCell ref="GWX5:GXD5"/>
    <mergeCell ref="GXE5:GXK5"/>
    <mergeCell ref="GUF5:GUL5"/>
    <mergeCell ref="GUM5:GUS5"/>
    <mergeCell ref="GUT5:GUZ5"/>
    <mergeCell ref="GVA5:GVG5"/>
    <mergeCell ref="GVH5:GVN5"/>
    <mergeCell ref="GVO5:GVU5"/>
    <mergeCell ref="GSP5:GSV5"/>
    <mergeCell ref="GSW5:GTC5"/>
    <mergeCell ref="GTD5:GTJ5"/>
    <mergeCell ref="GTK5:GTQ5"/>
    <mergeCell ref="GTR5:GTX5"/>
    <mergeCell ref="GTY5:GUE5"/>
    <mergeCell ref="GQZ5:GRF5"/>
    <mergeCell ref="GRG5:GRM5"/>
    <mergeCell ref="GRN5:GRT5"/>
    <mergeCell ref="GRU5:GSA5"/>
    <mergeCell ref="GSB5:GSH5"/>
    <mergeCell ref="GSI5:GSO5"/>
    <mergeCell ref="GPJ5:GPP5"/>
    <mergeCell ref="GPQ5:GPW5"/>
    <mergeCell ref="GPX5:GQD5"/>
    <mergeCell ref="GQE5:GQK5"/>
    <mergeCell ref="GQL5:GQR5"/>
    <mergeCell ref="GQS5:GQY5"/>
    <mergeCell ref="GNT5:GNZ5"/>
    <mergeCell ref="GOA5:GOG5"/>
    <mergeCell ref="GOH5:GON5"/>
    <mergeCell ref="GOO5:GOU5"/>
    <mergeCell ref="GOV5:GPB5"/>
    <mergeCell ref="GPC5:GPI5"/>
    <mergeCell ref="GMD5:GMJ5"/>
    <mergeCell ref="GMK5:GMQ5"/>
    <mergeCell ref="GMR5:GMX5"/>
    <mergeCell ref="GMY5:GNE5"/>
    <mergeCell ref="GNF5:GNL5"/>
    <mergeCell ref="GNM5:GNS5"/>
    <mergeCell ref="GKN5:GKT5"/>
    <mergeCell ref="GKU5:GLA5"/>
    <mergeCell ref="GLB5:GLH5"/>
    <mergeCell ref="GLI5:GLO5"/>
    <mergeCell ref="GLP5:GLV5"/>
    <mergeCell ref="GLW5:GMC5"/>
    <mergeCell ref="GIX5:GJD5"/>
    <mergeCell ref="GJE5:GJK5"/>
    <mergeCell ref="GJL5:GJR5"/>
    <mergeCell ref="GJS5:GJY5"/>
    <mergeCell ref="GJZ5:GKF5"/>
    <mergeCell ref="GKG5:GKM5"/>
    <mergeCell ref="GHH5:GHN5"/>
    <mergeCell ref="GHO5:GHU5"/>
    <mergeCell ref="GHV5:GIB5"/>
    <mergeCell ref="GIC5:GII5"/>
    <mergeCell ref="GIJ5:GIP5"/>
    <mergeCell ref="GIQ5:GIW5"/>
    <mergeCell ref="GFR5:GFX5"/>
    <mergeCell ref="GFY5:GGE5"/>
    <mergeCell ref="GGF5:GGL5"/>
    <mergeCell ref="GGM5:GGS5"/>
    <mergeCell ref="GGT5:GGZ5"/>
    <mergeCell ref="GHA5:GHG5"/>
    <mergeCell ref="GEB5:GEH5"/>
    <mergeCell ref="GEI5:GEO5"/>
    <mergeCell ref="GEP5:GEV5"/>
    <mergeCell ref="GEW5:GFC5"/>
    <mergeCell ref="GFD5:GFJ5"/>
    <mergeCell ref="GFK5:GFQ5"/>
    <mergeCell ref="GCL5:GCR5"/>
    <mergeCell ref="GCS5:GCY5"/>
    <mergeCell ref="GCZ5:GDF5"/>
    <mergeCell ref="GDG5:GDM5"/>
    <mergeCell ref="GDN5:GDT5"/>
    <mergeCell ref="GDU5:GEA5"/>
    <mergeCell ref="GAV5:GBB5"/>
    <mergeCell ref="GBC5:GBI5"/>
    <mergeCell ref="GBJ5:GBP5"/>
    <mergeCell ref="GBQ5:GBW5"/>
    <mergeCell ref="GBX5:GCD5"/>
    <mergeCell ref="GCE5:GCK5"/>
    <mergeCell ref="FZF5:FZL5"/>
    <mergeCell ref="FZM5:FZS5"/>
    <mergeCell ref="FZT5:FZZ5"/>
    <mergeCell ref="GAA5:GAG5"/>
    <mergeCell ref="GAH5:GAN5"/>
    <mergeCell ref="GAO5:GAU5"/>
    <mergeCell ref="FXP5:FXV5"/>
    <mergeCell ref="FXW5:FYC5"/>
    <mergeCell ref="FYD5:FYJ5"/>
    <mergeCell ref="FYK5:FYQ5"/>
    <mergeCell ref="FYR5:FYX5"/>
    <mergeCell ref="FYY5:FZE5"/>
    <mergeCell ref="FVZ5:FWF5"/>
    <mergeCell ref="FWG5:FWM5"/>
    <mergeCell ref="FWN5:FWT5"/>
    <mergeCell ref="FWU5:FXA5"/>
    <mergeCell ref="FXB5:FXH5"/>
    <mergeCell ref="FXI5:FXO5"/>
    <mergeCell ref="FUJ5:FUP5"/>
    <mergeCell ref="FUQ5:FUW5"/>
    <mergeCell ref="FUX5:FVD5"/>
    <mergeCell ref="FVE5:FVK5"/>
    <mergeCell ref="FVL5:FVR5"/>
    <mergeCell ref="FVS5:FVY5"/>
    <mergeCell ref="FST5:FSZ5"/>
    <mergeCell ref="FTA5:FTG5"/>
    <mergeCell ref="FTH5:FTN5"/>
    <mergeCell ref="FTO5:FTU5"/>
    <mergeCell ref="FTV5:FUB5"/>
    <mergeCell ref="FUC5:FUI5"/>
    <mergeCell ref="FRD5:FRJ5"/>
    <mergeCell ref="FRK5:FRQ5"/>
    <mergeCell ref="FRR5:FRX5"/>
    <mergeCell ref="FRY5:FSE5"/>
    <mergeCell ref="FSF5:FSL5"/>
    <mergeCell ref="FSM5:FSS5"/>
    <mergeCell ref="FPN5:FPT5"/>
    <mergeCell ref="FPU5:FQA5"/>
    <mergeCell ref="FQB5:FQH5"/>
    <mergeCell ref="FQI5:FQO5"/>
    <mergeCell ref="FQP5:FQV5"/>
    <mergeCell ref="FQW5:FRC5"/>
    <mergeCell ref="FNX5:FOD5"/>
    <mergeCell ref="FOE5:FOK5"/>
    <mergeCell ref="FOL5:FOR5"/>
    <mergeCell ref="FOS5:FOY5"/>
    <mergeCell ref="FOZ5:FPF5"/>
    <mergeCell ref="FPG5:FPM5"/>
    <mergeCell ref="FMH5:FMN5"/>
    <mergeCell ref="FMO5:FMU5"/>
    <mergeCell ref="FMV5:FNB5"/>
    <mergeCell ref="FNC5:FNI5"/>
    <mergeCell ref="FNJ5:FNP5"/>
    <mergeCell ref="FNQ5:FNW5"/>
    <mergeCell ref="FKR5:FKX5"/>
    <mergeCell ref="FKY5:FLE5"/>
    <mergeCell ref="FLF5:FLL5"/>
    <mergeCell ref="FLM5:FLS5"/>
    <mergeCell ref="FLT5:FLZ5"/>
    <mergeCell ref="FMA5:FMG5"/>
    <mergeCell ref="FJB5:FJH5"/>
    <mergeCell ref="FJI5:FJO5"/>
    <mergeCell ref="FJP5:FJV5"/>
    <mergeCell ref="FJW5:FKC5"/>
    <mergeCell ref="FKD5:FKJ5"/>
    <mergeCell ref="FKK5:FKQ5"/>
    <mergeCell ref="FHL5:FHR5"/>
    <mergeCell ref="FHS5:FHY5"/>
    <mergeCell ref="FHZ5:FIF5"/>
    <mergeCell ref="FIG5:FIM5"/>
    <mergeCell ref="FIN5:FIT5"/>
    <mergeCell ref="FIU5:FJA5"/>
    <mergeCell ref="FFV5:FGB5"/>
    <mergeCell ref="FGC5:FGI5"/>
    <mergeCell ref="FGJ5:FGP5"/>
    <mergeCell ref="FGQ5:FGW5"/>
    <mergeCell ref="FGX5:FHD5"/>
    <mergeCell ref="FHE5:FHK5"/>
    <mergeCell ref="FEF5:FEL5"/>
    <mergeCell ref="FEM5:FES5"/>
    <mergeCell ref="FET5:FEZ5"/>
    <mergeCell ref="FFA5:FFG5"/>
    <mergeCell ref="FFH5:FFN5"/>
    <mergeCell ref="FFO5:FFU5"/>
    <mergeCell ref="FCP5:FCV5"/>
    <mergeCell ref="FCW5:FDC5"/>
    <mergeCell ref="FDD5:FDJ5"/>
    <mergeCell ref="FDK5:FDQ5"/>
    <mergeCell ref="FDR5:FDX5"/>
    <mergeCell ref="FDY5:FEE5"/>
    <mergeCell ref="FAZ5:FBF5"/>
    <mergeCell ref="FBG5:FBM5"/>
    <mergeCell ref="FBN5:FBT5"/>
    <mergeCell ref="FBU5:FCA5"/>
    <mergeCell ref="FCB5:FCH5"/>
    <mergeCell ref="FCI5:FCO5"/>
    <mergeCell ref="EZJ5:EZP5"/>
    <mergeCell ref="EZQ5:EZW5"/>
    <mergeCell ref="EZX5:FAD5"/>
    <mergeCell ref="FAE5:FAK5"/>
    <mergeCell ref="FAL5:FAR5"/>
    <mergeCell ref="FAS5:FAY5"/>
    <mergeCell ref="EXT5:EXZ5"/>
    <mergeCell ref="EYA5:EYG5"/>
    <mergeCell ref="EYH5:EYN5"/>
    <mergeCell ref="EYO5:EYU5"/>
    <mergeCell ref="EYV5:EZB5"/>
    <mergeCell ref="EZC5:EZI5"/>
    <mergeCell ref="EWD5:EWJ5"/>
    <mergeCell ref="EWK5:EWQ5"/>
    <mergeCell ref="EWR5:EWX5"/>
    <mergeCell ref="EWY5:EXE5"/>
    <mergeCell ref="EXF5:EXL5"/>
    <mergeCell ref="EXM5:EXS5"/>
    <mergeCell ref="EUN5:EUT5"/>
    <mergeCell ref="EUU5:EVA5"/>
    <mergeCell ref="EVB5:EVH5"/>
    <mergeCell ref="EVI5:EVO5"/>
    <mergeCell ref="EVP5:EVV5"/>
    <mergeCell ref="EVW5:EWC5"/>
    <mergeCell ref="ESX5:ETD5"/>
    <mergeCell ref="ETE5:ETK5"/>
    <mergeCell ref="ETL5:ETR5"/>
    <mergeCell ref="ETS5:ETY5"/>
    <mergeCell ref="ETZ5:EUF5"/>
    <mergeCell ref="EUG5:EUM5"/>
    <mergeCell ref="ERH5:ERN5"/>
    <mergeCell ref="ERO5:ERU5"/>
    <mergeCell ref="ERV5:ESB5"/>
    <mergeCell ref="ESC5:ESI5"/>
    <mergeCell ref="ESJ5:ESP5"/>
    <mergeCell ref="ESQ5:ESW5"/>
    <mergeCell ref="EPR5:EPX5"/>
    <mergeCell ref="EPY5:EQE5"/>
    <mergeCell ref="EQF5:EQL5"/>
    <mergeCell ref="EQM5:EQS5"/>
    <mergeCell ref="EQT5:EQZ5"/>
    <mergeCell ref="ERA5:ERG5"/>
    <mergeCell ref="EOB5:EOH5"/>
    <mergeCell ref="EOI5:EOO5"/>
    <mergeCell ref="EOP5:EOV5"/>
    <mergeCell ref="EOW5:EPC5"/>
    <mergeCell ref="EPD5:EPJ5"/>
    <mergeCell ref="EPK5:EPQ5"/>
    <mergeCell ref="EML5:EMR5"/>
    <mergeCell ref="EMS5:EMY5"/>
    <mergeCell ref="EMZ5:ENF5"/>
    <mergeCell ref="ENG5:ENM5"/>
    <mergeCell ref="ENN5:ENT5"/>
    <mergeCell ref="ENU5:EOA5"/>
    <mergeCell ref="EKV5:ELB5"/>
    <mergeCell ref="ELC5:ELI5"/>
    <mergeCell ref="ELJ5:ELP5"/>
    <mergeCell ref="ELQ5:ELW5"/>
    <mergeCell ref="ELX5:EMD5"/>
    <mergeCell ref="EME5:EMK5"/>
    <mergeCell ref="EJF5:EJL5"/>
    <mergeCell ref="EJM5:EJS5"/>
    <mergeCell ref="EJT5:EJZ5"/>
    <mergeCell ref="EKA5:EKG5"/>
    <mergeCell ref="EKH5:EKN5"/>
    <mergeCell ref="EKO5:EKU5"/>
    <mergeCell ref="EHP5:EHV5"/>
    <mergeCell ref="EHW5:EIC5"/>
    <mergeCell ref="EID5:EIJ5"/>
    <mergeCell ref="EIK5:EIQ5"/>
    <mergeCell ref="EIR5:EIX5"/>
    <mergeCell ref="EIY5:EJE5"/>
    <mergeCell ref="EFZ5:EGF5"/>
    <mergeCell ref="EGG5:EGM5"/>
    <mergeCell ref="EGN5:EGT5"/>
    <mergeCell ref="EGU5:EHA5"/>
    <mergeCell ref="EHB5:EHH5"/>
    <mergeCell ref="EHI5:EHO5"/>
    <mergeCell ref="EEJ5:EEP5"/>
    <mergeCell ref="EEQ5:EEW5"/>
    <mergeCell ref="EEX5:EFD5"/>
    <mergeCell ref="EFE5:EFK5"/>
    <mergeCell ref="EFL5:EFR5"/>
    <mergeCell ref="EFS5:EFY5"/>
    <mergeCell ref="ECT5:ECZ5"/>
    <mergeCell ref="EDA5:EDG5"/>
    <mergeCell ref="EDH5:EDN5"/>
    <mergeCell ref="EDO5:EDU5"/>
    <mergeCell ref="EDV5:EEB5"/>
    <mergeCell ref="EEC5:EEI5"/>
    <mergeCell ref="EBD5:EBJ5"/>
    <mergeCell ref="EBK5:EBQ5"/>
    <mergeCell ref="EBR5:EBX5"/>
    <mergeCell ref="EBY5:ECE5"/>
    <mergeCell ref="ECF5:ECL5"/>
    <mergeCell ref="ECM5:ECS5"/>
    <mergeCell ref="DZN5:DZT5"/>
    <mergeCell ref="DZU5:EAA5"/>
    <mergeCell ref="EAB5:EAH5"/>
    <mergeCell ref="EAI5:EAO5"/>
    <mergeCell ref="EAP5:EAV5"/>
    <mergeCell ref="EAW5:EBC5"/>
    <mergeCell ref="DXX5:DYD5"/>
    <mergeCell ref="DYE5:DYK5"/>
    <mergeCell ref="DYL5:DYR5"/>
    <mergeCell ref="DYS5:DYY5"/>
    <mergeCell ref="DYZ5:DZF5"/>
    <mergeCell ref="DZG5:DZM5"/>
    <mergeCell ref="DWH5:DWN5"/>
    <mergeCell ref="DWO5:DWU5"/>
    <mergeCell ref="DWV5:DXB5"/>
    <mergeCell ref="DXC5:DXI5"/>
    <mergeCell ref="DXJ5:DXP5"/>
    <mergeCell ref="DXQ5:DXW5"/>
    <mergeCell ref="DUR5:DUX5"/>
    <mergeCell ref="DUY5:DVE5"/>
    <mergeCell ref="DVF5:DVL5"/>
    <mergeCell ref="DVM5:DVS5"/>
    <mergeCell ref="DVT5:DVZ5"/>
    <mergeCell ref="DWA5:DWG5"/>
    <mergeCell ref="DTB5:DTH5"/>
    <mergeCell ref="DTI5:DTO5"/>
    <mergeCell ref="DTP5:DTV5"/>
    <mergeCell ref="DTW5:DUC5"/>
    <mergeCell ref="DUD5:DUJ5"/>
    <mergeCell ref="DUK5:DUQ5"/>
    <mergeCell ref="DRL5:DRR5"/>
    <mergeCell ref="DRS5:DRY5"/>
    <mergeCell ref="DRZ5:DSF5"/>
    <mergeCell ref="DSG5:DSM5"/>
    <mergeCell ref="DSN5:DST5"/>
    <mergeCell ref="DSU5:DTA5"/>
    <mergeCell ref="DPV5:DQB5"/>
    <mergeCell ref="DQC5:DQI5"/>
    <mergeCell ref="DQJ5:DQP5"/>
    <mergeCell ref="DQQ5:DQW5"/>
    <mergeCell ref="DQX5:DRD5"/>
    <mergeCell ref="DRE5:DRK5"/>
    <mergeCell ref="DOF5:DOL5"/>
    <mergeCell ref="DOM5:DOS5"/>
    <mergeCell ref="DOT5:DOZ5"/>
    <mergeCell ref="DPA5:DPG5"/>
    <mergeCell ref="DPH5:DPN5"/>
    <mergeCell ref="DPO5:DPU5"/>
    <mergeCell ref="DMP5:DMV5"/>
    <mergeCell ref="DMW5:DNC5"/>
    <mergeCell ref="DND5:DNJ5"/>
    <mergeCell ref="DNK5:DNQ5"/>
    <mergeCell ref="DNR5:DNX5"/>
    <mergeCell ref="DNY5:DOE5"/>
    <mergeCell ref="DKZ5:DLF5"/>
    <mergeCell ref="DLG5:DLM5"/>
    <mergeCell ref="DLN5:DLT5"/>
    <mergeCell ref="DLU5:DMA5"/>
    <mergeCell ref="DMB5:DMH5"/>
    <mergeCell ref="DMI5:DMO5"/>
    <mergeCell ref="DJJ5:DJP5"/>
    <mergeCell ref="DJQ5:DJW5"/>
    <mergeCell ref="DJX5:DKD5"/>
    <mergeCell ref="DKE5:DKK5"/>
    <mergeCell ref="DKL5:DKR5"/>
    <mergeCell ref="DKS5:DKY5"/>
    <mergeCell ref="DHT5:DHZ5"/>
    <mergeCell ref="DIA5:DIG5"/>
    <mergeCell ref="DIH5:DIN5"/>
    <mergeCell ref="DIO5:DIU5"/>
    <mergeCell ref="DIV5:DJB5"/>
    <mergeCell ref="DJC5:DJI5"/>
    <mergeCell ref="DGD5:DGJ5"/>
    <mergeCell ref="DGK5:DGQ5"/>
    <mergeCell ref="DGR5:DGX5"/>
    <mergeCell ref="DGY5:DHE5"/>
    <mergeCell ref="DHF5:DHL5"/>
    <mergeCell ref="DHM5:DHS5"/>
    <mergeCell ref="DEN5:DET5"/>
    <mergeCell ref="DEU5:DFA5"/>
    <mergeCell ref="DFB5:DFH5"/>
    <mergeCell ref="DFI5:DFO5"/>
    <mergeCell ref="DFP5:DFV5"/>
    <mergeCell ref="DFW5:DGC5"/>
    <mergeCell ref="DCX5:DDD5"/>
    <mergeCell ref="DDE5:DDK5"/>
    <mergeCell ref="DDL5:DDR5"/>
    <mergeCell ref="DDS5:DDY5"/>
    <mergeCell ref="DDZ5:DEF5"/>
    <mergeCell ref="DEG5:DEM5"/>
    <mergeCell ref="DBH5:DBN5"/>
    <mergeCell ref="DBO5:DBU5"/>
    <mergeCell ref="DBV5:DCB5"/>
    <mergeCell ref="DCC5:DCI5"/>
    <mergeCell ref="DCJ5:DCP5"/>
    <mergeCell ref="DCQ5:DCW5"/>
    <mergeCell ref="CZR5:CZX5"/>
    <mergeCell ref="CZY5:DAE5"/>
    <mergeCell ref="DAF5:DAL5"/>
    <mergeCell ref="DAM5:DAS5"/>
    <mergeCell ref="DAT5:DAZ5"/>
    <mergeCell ref="DBA5:DBG5"/>
    <mergeCell ref="CYB5:CYH5"/>
    <mergeCell ref="CYI5:CYO5"/>
    <mergeCell ref="CYP5:CYV5"/>
    <mergeCell ref="CYW5:CZC5"/>
    <mergeCell ref="CZD5:CZJ5"/>
    <mergeCell ref="CZK5:CZQ5"/>
    <mergeCell ref="CWL5:CWR5"/>
    <mergeCell ref="CWS5:CWY5"/>
    <mergeCell ref="CWZ5:CXF5"/>
    <mergeCell ref="CXG5:CXM5"/>
    <mergeCell ref="CXN5:CXT5"/>
    <mergeCell ref="CXU5:CYA5"/>
    <mergeCell ref="CUV5:CVB5"/>
    <mergeCell ref="CVC5:CVI5"/>
    <mergeCell ref="CVJ5:CVP5"/>
    <mergeCell ref="CVQ5:CVW5"/>
    <mergeCell ref="CVX5:CWD5"/>
    <mergeCell ref="CWE5:CWK5"/>
    <mergeCell ref="CTF5:CTL5"/>
    <mergeCell ref="CTM5:CTS5"/>
    <mergeCell ref="CTT5:CTZ5"/>
    <mergeCell ref="CUA5:CUG5"/>
    <mergeCell ref="CUH5:CUN5"/>
    <mergeCell ref="CUO5:CUU5"/>
    <mergeCell ref="CRP5:CRV5"/>
    <mergeCell ref="CRW5:CSC5"/>
    <mergeCell ref="CSD5:CSJ5"/>
    <mergeCell ref="CSK5:CSQ5"/>
    <mergeCell ref="CSR5:CSX5"/>
    <mergeCell ref="CSY5:CTE5"/>
    <mergeCell ref="CPZ5:CQF5"/>
    <mergeCell ref="CQG5:CQM5"/>
    <mergeCell ref="CQN5:CQT5"/>
    <mergeCell ref="CQU5:CRA5"/>
    <mergeCell ref="CRB5:CRH5"/>
    <mergeCell ref="CRI5:CRO5"/>
    <mergeCell ref="COJ5:COP5"/>
    <mergeCell ref="COQ5:COW5"/>
    <mergeCell ref="COX5:CPD5"/>
    <mergeCell ref="CPE5:CPK5"/>
    <mergeCell ref="CPL5:CPR5"/>
    <mergeCell ref="CPS5:CPY5"/>
    <mergeCell ref="CMT5:CMZ5"/>
    <mergeCell ref="CNA5:CNG5"/>
    <mergeCell ref="CNH5:CNN5"/>
    <mergeCell ref="CNO5:CNU5"/>
    <mergeCell ref="CNV5:COB5"/>
    <mergeCell ref="COC5:COI5"/>
    <mergeCell ref="CLD5:CLJ5"/>
    <mergeCell ref="CLK5:CLQ5"/>
    <mergeCell ref="CLR5:CLX5"/>
    <mergeCell ref="CLY5:CME5"/>
    <mergeCell ref="CMF5:CML5"/>
    <mergeCell ref="CMM5:CMS5"/>
    <mergeCell ref="CJN5:CJT5"/>
    <mergeCell ref="CJU5:CKA5"/>
    <mergeCell ref="CKB5:CKH5"/>
    <mergeCell ref="CKI5:CKO5"/>
    <mergeCell ref="CKP5:CKV5"/>
    <mergeCell ref="CKW5:CLC5"/>
    <mergeCell ref="CHX5:CID5"/>
    <mergeCell ref="CIE5:CIK5"/>
    <mergeCell ref="CIL5:CIR5"/>
    <mergeCell ref="CIS5:CIY5"/>
    <mergeCell ref="CIZ5:CJF5"/>
    <mergeCell ref="CJG5:CJM5"/>
    <mergeCell ref="CGH5:CGN5"/>
    <mergeCell ref="CGO5:CGU5"/>
    <mergeCell ref="CGV5:CHB5"/>
    <mergeCell ref="CHC5:CHI5"/>
    <mergeCell ref="CHJ5:CHP5"/>
    <mergeCell ref="CHQ5:CHW5"/>
    <mergeCell ref="CER5:CEX5"/>
    <mergeCell ref="CEY5:CFE5"/>
    <mergeCell ref="CFF5:CFL5"/>
    <mergeCell ref="CFM5:CFS5"/>
    <mergeCell ref="CFT5:CFZ5"/>
    <mergeCell ref="CGA5:CGG5"/>
    <mergeCell ref="CDB5:CDH5"/>
    <mergeCell ref="CDI5:CDO5"/>
    <mergeCell ref="CDP5:CDV5"/>
    <mergeCell ref="CDW5:CEC5"/>
    <mergeCell ref="CED5:CEJ5"/>
    <mergeCell ref="CEK5:CEQ5"/>
    <mergeCell ref="CBL5:CBR5"/>
    <mergeCell ref="CBS5:CBY5"/>
    <mergeCell ref="CBZ5:CCF5"/>
    <mergeCell ref="CCG5:CCM5"/>
    <mergeCell ref="CCN5:CCT5"/>
    <mergeCell ref="CCU5:CDA5"/>
    <mergeCell ref="BZV5:CAB5"/>
    <mergeCell ref="CAC5:CAI5"/>
    <mergeCell ref="CAJ5:CAP5"/>
    <mergeCell ref="CAQ5:CAW5"/>
    <mergeCell ref="CAX5:CBD5"/>
    <mergeCell ref="CBE5:CBK5"/>
    <mergeCell ref="BYF5:BYL5"/>
    <mergeCell ref="BYM5:BYS5"/>
    <mergeCell ref="BYT5:BYZ5"/>
    <mergeCell ref="BZA5:BZG5"/>
    <mergeCell ref="BZH5:BZN5"/>
    <mergeCell ref="BZO5:BZU5"/>
    <mergeCell ref="BWP5:BWV5"/>
    <mergeCell ref="BWW5:BXC5"/>
    <mergeCell ref="BXD5:BXJ5"/>
    <mergeCell ref="BXK5:BXQ5"/>
    <mergeCell ref="BXR5:BXX5"/>
    <mergeCell ref="BXY5:BYE5"/>
    <mergeCell ref="BUZ5:BVF5"/>
    <mergeCell ref="BVG5:BVM5"/>
    <mergeCell ref="BVN5:BVT5"/>
    <mergeCell ref="BVU5:BWA5"/>
    <mergeCell ref="BWB5:BWH5"/>
    <mergeCell ref="BWI5:BWO5"/>
    <mergeCell ref="BTJ5:BTP5"/>
    <mergeCell ref="BTQ5:BTW5"/>
    <mergeCell ref="BTX5:BUD5"/>
    <mergeCell ref="BUE5:BUK5"/>
    <mergeCell ref="BUL5:BUR5"/>
    <mergeCell ref="BUS5:BUY5"/>
    <mergeCell ref="BRT5:BRZ5"/>
    <mergeCell ref="BSA5:BSG5"/>
    <mergeCell ref="BSH5:BSN5"/>
    <mergeCell ref="BSO5:BSU5"/>
    <mergeCell ref="BSV5:BTB5"/>
    <mergeCell ref="BTC5:BTI5"/>
    <mergeCell ref="BQD5:BQJ5"/>
    <mergeCell ref="BQK5:BQQ5"/>
    <mergeCell ref="BQR5:BQX5"/>
    <mergeCell ref="BQY5:BRE5"/>
    <mergeCell ref="BRF5:BRL5"/>
    <mergeCell ref="BRM5:BRS5"/>
    <mergeCell ref="BON5:BOT5"/>
    <mergeCell ref="BOU5:BPA5"/>
    <mergeCell ref="BPB5:BPH5"/>
    <mergeCell ref="BPI5:BPO5"/>
    <mergeCell ref="BPP5:BPV5"/>
    <mergeCell ref="BPW5:BQC5"/>
    <mergeCell ref="BMX5:BND5"/>
    <mergeCell ref="BNE5:BNK5"/>
    <mergeCell ref="BNL5:BNR5"/>
    <mergeCell ref="BNS5:BNY5"/>
    <mergeCell ref="BNZ5:BOF5"/>
    <mergeCell ref="BOG5:BOM5"/>
    <mergeCell ref="BLH5:BLN5"/>
    <mergeCell ref="BLO5:BLU5"/>
    <mergeCell ref="BLV5:BMB5"/>
    <mergeCell ref="BMC5:BMI5"/>
    <mergeCell ref="BMJ5:BMP5"/>
    <mergeCell ref="BMQ5:BMW5"/>
    <mergeCell ref="BJR5:BJX5"/>
    <mergeCell ref="BJY5:BKE5"/>
    <mergeCell ref="BKF5:BKL5"/>
    <mergeCell ref="BKM5:BKS5"/>
    <mergeCell ref="BKT5:BKZ5"/>
    <mergeCell ref="BLA5:BLG5"/>
    <mergeCell ref="BIB5:BIH5"/>
    <mergeCell ref="BII5:BIO5"/>
    <mergeCell ref="BIP5:BIV5"/>
    <mergeCell ref="BIW5:BJC5"/>
    <mergeCell ref="BJD5:BJJ5"/>
    <mergeCell ref="BJK5:BJQ5"/>
    <mergeCell ref="BGL5:BGR5"/>
    <mergeCell ref="BGS5:BGY5"/>
    <mergeCell ref="BGZ5:BHF5"/>
    <mergeCell ref="BHG5:BHM5"/>
    <mergeCell ref="BHN5:BHT5"/>
    <mergeCell ref="BHU5:BIA5"/>
    <mergeCell ref="BEV5:BFB5"/>
    <mergeCell ref="BFC5:BFI5"/>
    <mergeCell ref="BFJ5:BFP5"/>
    <mergeCell ref="BFQ5:BFW5"/>
    <mergeCell ref="BFX5:BGD5"/>
    <mergeCell ref="BGE5:BGK5"/>
    <mergeCell ref="BDF5:BDL5"/>
    <mergeCell ref="BDM5:BDS5"/>
    <mergeCell ref="BDT5:BDZ5"/>
    <mergeCell ref="BEA5:BEG5"/>
    <mergeCell ref="BEH5:BEN5"/>
    <mergeCell ref="BEO5:BEU5"/>
    <mergeCell ref="BBP5:BBV5"/>
    <mergeCell ref="BBW5:BCC5"/>
    <mergeCell ref="BCD5:BCJ5"/>
    <mergeCell ref="BCK5:BCQ5"/>
    <mergeCell ref="BCR5:BCX5"/>
    <mergeCell ref="BCY5:BDE5"/>
    <mergeCell ref="AZZ5:BAF5"/>
    <mergeCell ref="BAG5:BAM5"/>
    <mergeCell ref="BAN5:BAT5"/>
    <mergeCell ref="BAU5:BBA5"/>
    <mergeCell ref="BBB5:BBH5"/>
    <mergeCell ref="BBI5:BBO5"/>
    <mergeCell ref="AYJ5:AYP5"/>
    <mergeCell ref="AYQ5:AYW5"/>
    <mergeCell ref="AYX5:AZD5"/>
    <mergeCell ref="AZE5:AZK5"/>
    <mergeCell ref="AZL5:AZR5"/>
    <mergeCell ref="AZS5:AZY5"/>
    <mergeCell ref="AWT5:AWZ5"/>
    <mergeCell ref="AXA5:AXG5"/>
    <mergeCell ref="AXH5:AXN5"/>
    <mergeCell ref="AXO5:AXU5"/>
    <mergeCell ref="AXV5:AYB5"/>
    <mergeCell ref="AYC5:AYI5"/>
    <mergeCell ref="AVD5:AVJ5"/>
    <mergeCell ref="AVK5:AVQ5"/>
    <mergeCell ref="AVR5:AVX5"/>
    <mergeCell ref="AVY5:AWE5"/>
    <mergeCell ref="AWF5:AWL5"/>
    <mergeCell ref="AWM5:AWS5"/>
    <mergeCell ref="ATN5:ATT5"/>
    <mergeCell ref="ATU5:AUA5"/>
    <mergeCell ref="AUB5:AUH5"/>
    <mergeCell ref="AUI5:AUO5"/>
    <mergeCell ref="AUP5:AUV5"/>
    <mergeCell ref="AUW5:AVC5"/>
    <mergeCell ref="ARX5:ASD5"/>
    <mergeCell ref="ASE5:ASK5"/>
    <mergeCell ref="ASL5:ASR5"/>
    <mergeCell ref="ASS5:ASY5"/>
    <mergeCell ref="ASZ5:ATF5"/>
    <mergeCell ref="ATG5:ATM5"/>
    <mergeCell ref="AQH5:AQN5"/>
    <mergeCell ref="AQO5:AQU5"/>
    <mergeCell ref="AQV5:ARB5"/>
    <mergeCell ref="ARC5:ARI5"/>
    <mergeCell ref="ARJ5:ARP5"/>
    <mergeCell ref="ARQ5:ARW5"/>
    <mergeCell ref="AOR5:AOX5"/>
    <mergeCell ref="AOY5:APE5"/>
    <mergeCell ref="APF5:APL5"/>
    <mergeCell ref="APM5:APS5"/>
    <mergeCell ref="APT5:APZ5"/>
    <mergeCell ref="AQA5:AQG5"/>
    <mergeCell ref="ANB5:ANH5"/>
    <mergeCell ref="ANI5:ANO5"/>
    <mergeCell ref="ANP5:ANV5"/>
    <mergeCell ref="ANW5:AOC5"/>
    <mergeCell ref="AOD5:AOJ5"/>
    <mergeCell ref="AOK5:AOQ5"/>
    <mergeCell ref="ALL5:ALR5"/>
    <mergeCell ref="ALS5:ALY5"/>
    <mergeCell ref="ALZ5:AMF5"/>
    <mergeCell ref="AMG5:AMM5"/>
    <mergeCell ref="AMN5:AMT5"/>
    <mergeCell ref="AMU5:ANA5"/>
    <mergeCell ref="AJV5:AKB5"/>
    <mergeCell ref="AKC5:AKI5"/>
    <mergeCell ref="AKJ5:AKP5"/>
    <mergeCell ref="AKQ5:AKW5"/>
    <mergeCell ref="AKX5:ALD5"/>
    <mergeCell ref="ALE5:ALK5"/>
    <mergeCell ref="AIF5:AIL5"/>
    <mergeCell ref="AIM5:AIS5"/>
    <mergeCell ref="AIT5:AIZ5"/>
    <mergeCell ref="AJA5:AJG5"/>
    <mergeCell ref="AJH5:AJN5"/>
    <mergeCell ref="AJO5:AJU5"/>
    <mergeCell ref="AGP5:AGV5"/>
    <mergeCell ref="AGW5:AHC5"/>
    <mergeCell ref="AHD5:AHJ5"/>
    <mergeCell ref="AHK5:AHQ5"/>
    <mergeCell ref="AHR5:AHX5"/>
    <mergeCell ref="AHY5:AIE5"/>
    <mergeCell ref="AEZ5:AFF5"/>
    <mergeCell ref="AFG5:AFM5"/>
    <mergeCell ref="AFN5:AFT5"/>
    <mergeCell ref="AFU5:AGA5"/>
    <mergeCell ref="AGB5:AGH5"/>
    <mergeCell ref="AGI5:AGO5"/>
    <mergeCell ref="ADJ5:ADP5"/>
    <mergeCell ref="ADQ5:ADW5"/>
    <mergeCell ref="ADX5:AED5"/>
    <mergeCell ref="AEE5:AEK5"/>
    <mergeCell ref="AEL5:AER5"/>
    <mergeCell ref="AES5:AEY5"/>
    <mergeCell ref="ABT5:ABZ5"/>
    <mergeCell ref="ACA5:ACG5"/>
    <mergeCell ref="ACH5:ACN5"/>
    <mergeCell ref="ACO5:ACU5"/>
    <mergeCell ref="ACV5:ADB5"/>
    <mergeCell ref="ADC5:ADI5"/>
    <mergeCell ref="AAD5:AAJ5"/>
    <mergeCell ref="AAK5:AAQ5"/>
    <mergeCell ref="AAR5:AAX5"/>
    <mergeCell ref="AAY5:ABE5"/>
    <mergeCell ref="ABF5:ABL5"/>
    <mergeCell ref="ABM5:ABS5"/>
    <mergeCell ref="YN5:YT5"/>
    <mergeCell ref="YU5:ZA5"/>
    <mergeCell ref="ZB5:ZH5"/>
    <mergeCell ref="ZI5:ZO5"/>
    <mergeCell ref="ZP5:ZV5"/>
    <mergeCell ref="ZW5:AAC5"/>
    <mergeCell ref="WX5:XD5"/>
    <mergeCell ref="XE5:XK5"/>
    <mergeCell ref="XL5:XR5"/>
    <mergeCell ref="XS5:XY5"/>
    <mergeCell ref="XZ5:YF5"/>
    <mergeCell ref="YG5:YM5"/>
    <mergeCell ref="VH5:VN5"/>
    <mergeCell ref="VO5:VU5"/>
    <mergeCell ref="VV5:WB5"/>
    <mergeCell ref="WC5:WI5"/>
    <mergeCell ref="WJ5:WP5"/>
    <mergeCell ref="WQ5:WW5"/>
    <mergeCell ref="TR5:TX5"/>
    <mergeCell ref="TY5:UE5"/>
    <mergeCell ref="UF5:UL5"/>
    <mergeCell ref="UM5:US5"/>
    <mergeCell ref="UT5:UZ5"/>
    <mergeCell ref="VA5:VG5"/>
    <mergeCell ref="SB5:SH5"/>
    <mergeCell ref="SI5:SO5"/>
    <mergeCell ref="SP5:SV5"/>
    <mergeCell ref="SW5:TC5"/>
    <mergeCell ref="TD5:TJ5"/>
    <mergeCell ref="TK5:TQ5"/>
    <mergeCell ref="QL5:QR5"/>
    <mergeCell ref="QS5:QY5"/>
    <mergeCell ref="QZ5:RF5"/>
    <mergeCell ref="RG5:RM5"/>
    <mergeCell ref="RN5:RT5"/>
    <mergeCell ref="RU5:SA5"/>
    <mergeCell ref="OV5:PB5"/>
    <mergeCell ref="PC5:PI5"/>
    <mergeCell ref="PJ5:PP5"/>
    <mergeCell ref="PQ5:PW5"/>
    <mergeCell ref="PX5:QD5"/>
    <mergeCell ref="QE5:QK5"/>
    <mergeCell ref="NF5:NL5"/>
    <mergeCell ref="NM5:NS5"/>
    <mergeCell ref="NT5:NZ5"/>
    <mergeCell ref="OA5:OG5"/>
    <mergeCell ref="OH5:ON5"/>
    <mergeCell ref="OO5:OU5"/>
    <mergeCell ref="LP5:LV5"/>
    <mergeCell ref="LW5:MC5"/>
    <mergeCell ref="MD5:MJ5"/>
    <mergeCell ref="MK5:MQ5"/>
    <mergeCell ref="MR5:MX5"/>
    <mergeCell ref="MY5:NE5"/>
    <mergeCell ref="JZ5:KF5"/>
    <mergeCell ref="KG5:KM5"/>
    <mergeCell ref="KN5:KT5"/>
    <mergeCell ref="KU5:LA5"/>
    <mergeCell ref="LB5:LH5"/>
    <mergeCell ref="LI5:LO5"/>
    <mergeCell ref="IJ5:IP5"/>
    <mergeCell ref="IQ5:IW5"/>
    <mergeCell ref="IX5:JD5"/>
    <mergeCell ref="JE5:JK5"/>
    <mergeCell ref="JL5:JR5"/>
    <mergeCell ref="JS5:JY5"/>
    <mergeCell ref="GT5:GZ5"/>
    <mergeCell ref="HA5:HG5"/>
    <mergeCell ref="HH5:HN5"/>
    <mergeCell ref="HO5:HU5"/>
    <mergeCell ref="HV5:IB5"/>
    <mergeCell ref="IC5:II5"/>
    <mergeCell ref="FD5:FJ5"/>
    <mergeCell ref="FK5:FQ5"/>
    <mergeCell ref="FR5:FX5"/>
    <mergeCell ref="FY5:GE5"/>
    <mergeCell ref="GF5:GL5"/>
    <mergeCell ref="GM5:GS5"/>
    <mergeCell ref="DN5:DT5"/>
    <mergeCell ref="DU5:EA5"/>
    <mergeCell ref="EB5:EH5"/>
    <mergeCell ref="EI5:EO5"/>
    <mergeCell ref="EP5:EV5"/>
    <mergeCell ref="EW5:FC5"/>
    <mergeCell ref="BX5:CD5"/>
    <mergeCell ref="CE5:CK5"/>
    <mergeCell ref="CL5:CR5"/>
    <mergeCell ref="CS5:CY5"/>
    <mergeCell ref="CZ5:DF5"/>
    <mergeCell ref="DG5:DM5"/>
    <mergeCell ref="AH5:AN5"/>
    <mergeCell ref="AO5:AU5"/>
    <mergeCell ref="AV5:BB5"/>
    <mergeCell ref="BC5:BI5"/>
    <mergeCell ref="BJ5:BP5"/>
    <mergeCell ref="BQ5:BW5"/>
    <mergeCell ref="A4:H4"/>
    <mergeCell ref="A5:H5"/>
    <mergeCell ref="I5:L5"/>
    <mergeCell ref="M5:S5"/>
    <mergeCell ref="T5:Z5"/>
    <mergeCell ref="AA5:AG5"/>
    <mergeCell ref="A1:H1"/>
    <mergeCell ref="I1:N1"/>
    <mergeCell ref="A2:H2"/>
    <mergeCell ref="I2:N2"/>
    <mergeCell ref="A3:H3"/>
    <mergeCell ref="I3:N3"/>
  </mergeCells>
  <printOptions horizontalCentered="1"/>
  <pageMargins left="0.5" right="0.5" top="0.75" bottom="0.75" header="0.5" footer="0.5"/>
  <pageSetup scale="90" fitToHeight="3" orientation="landscape" r:id="rId1"/>
  <headerFooter alignWithMargins="0">
    <oddFooter>&amp;C&amp;"Times New Roman,Regular"Page &amp;P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3793-FF53-48D6-8A30-FFC11F03B014}">
  <sheetPr>
    <tabColor rgb="FFCCFFFF"/>
  </sheetPr>
  <dimension ref="A1:J267"/>
  <sheetViews>
    <sheetView zoomScaleNormal="100" workbookViewId="0">
      <selection activeCell="A11" sqref="A11"/>
    </sheetView>
  </sheetViews>
  <sheetFormatPr defaultColWidth="10.5859375" defaultRowHeight="12.6" x14ac:dyDescent="0.45"/>
  <cols>
    <col min="1" max="2" width="12.05859375" style="198" customWidth="1"/>
    <col min="3" max="3" width="24.05859375" style="142" customWidth="1"/>
    <col min="4" max="4" width="88" style="142" customWidth="1"/>
    <col min="5" max="5" width="12.05859375" style="169" customWidth="1"/>
    <col min="6" max="6" width="7.46875" style="199" customWidth="1"/>
    <col min="7" max="7" width="11.5859375" style="200" customWidth="1"/>
    <col min="8" max="8" width="15.3515625" style="201" customWidth="1"/>
    <col min="9" max="16384" width="10.5859375" style="142"/>
  </cols>
  <sheetData>
    <row r="1" spans="1:9" ht="12.75" customHeight="1" x14ac:dyDescent="0.45">
      <c r="A1" s="390" t="s">
        <v>4992</v>
      </c>
      <c r="B1" s="390"/>
      <c r="C1" s="390"/>
      <c r="D1" s="390"/>
      <c r="E1" s="390"/>
      <c r="F1" s="390"/>
      <c r="G1" s="390"/>
      <c r="H1" s="390"/>
    </row>
    <row r="2" spans="1:9" ht="12.75" customHeight="1" x14ac:dyDescent="0.45">
      <c r="A2" s="390" t="s">
        <v>0</v>
      </c>
      <c r="B2" s="390"/>
      <c r="C2" s="390"/>
      <c r="D2" s="390"/>
      <c r="E2" s="390"/>
      <c r="F2" s="390"/>
      <c r="G2" s="390"/>
      <c r="H2" s="390"/>
    </row>
    <row r="3" spans="1:9" ht="12.75" customHeight="1" x14ac:dyDescent="0.45">
      <c r="A3" s="390" t="s">
        <v>4991</v>
      </c>
      <c r="B3" s="390"/>
      <c r="C3" s="390"/>
      <c r="D3" s="390"/>
      <c r="E3" s="390"/>
      <c r="F3" s="390"/>
      <c r="G3" s="390"/>
      <c r="H3" s="390"/>
    </row>
    <row r="4" spans="1:9" x14ac:dyDescent="0.45">
      <c r="A4" s="410"/>
      <c r="B4" s="410"/>
      <c r="C4" s="410"/>
      <c r="D4" s="410"/>
      <c r="E4" s="410"/>
      <c r="F4" s="410"/>
      <c r="G4" s="410"/>
      <c r="H4" s="410"/>
    </row>
    <row r="5" spans="1:9" x14ac:dyDescent="0.45">
      <c r="A5" s="410" t="s">
        <v>5005</v>
      </c>
      <c r="B5" s="410"/>
      <c r="C5" s="410"/>
      <c r="D5" s="410"/>
      <c r="E5" s="410"/>
      <c r="F5" s="410"/>
      <c r="G5" s="410"/>
      <c r="H5" s="410"/>
    </row>
    <row r="6" spans="1:9" x14ac:dyDescent="0.45">
      <c r="A6" s="410" t="s">
        <v>3237</v>
      </c>
      <c r="B6" s="410"/>
      <c r="C6" s="410"/>
      <c r="D6" s="410"/>
      <c r="E6" s="410"/>
      <c r="F6" s="410"/>
      <c r="G6" s="410"/>
      <c r="H6" s="410"/>
    </row>
    <row r="7" spans="1:9" x14ac:dyDescent="0.45">
      <c r="A7" s="410"/>
      <c r="B7" s="410"/>
      <c r="C7" s="410"/>
      <c r="D7" s="410"/>
      <c r="E7" s="410"/>
      <c r="F7" s="410"/>
      <c r="G7" s="410"/>
      <c r="H7" s="410"/>
    </row>
    <row r="8" spans="1:9" x14ac:dyDescent="0.45">
      <c r="A8" s="413" t="s">
        <v>3238</v>
      </c>
      <c r="B8" s="414"/>
      <c r="C8" s="414"/>
      <c r="D8" s="415"/>
      <c r="E8" s="415"/>
      <c r="F8" s="415"/>
      <c r="G8" s="415"/>
      <c r="H8" s="416"/>
    </row>
    <row r="9" spans="1:9" ht="27.7" customHeight="1" x14ac:dyDescent="0.45">
      <c r="A9" s="417" t="s">
        <v>457</v>
      </c>
      <c r="B9" s="418"/>
      <c r="C9" s="418"/>
      <c r="D9" s="418"/>
      <c r="E9" s="418"/>
      <c r="F9" s="418"/>
      <c r="G9" s="418"/>
      <c r="H9" s="419"/>
    </row>
    <row r="10" spans="1:9" x14ac:dyDescent="0.45">
      <c r="A10" s="420" t="s">
        <v>3239</v>
      </c>
      <c r="B10" s="421"/>
      <c r="C10" s="421"/>
      <c r="D10" s="421"/>
      <c r="E10" s="421"/>
      <c r="F10" s="421"/>
      <c r="G10" s="421"/>
      <c r="H10" s="422"/>
    </row>
    <row r="11" spans="1:9" s="207" customFormat="1" ht="24.6" x14ac:dyDescent="0.45">
      <c r="A11" s="435" t="s">
        <v>459</v>
      </c>
      <c r="B11" s="143" t="s">
        <v>460</v>
      </c>
      <c r="C11" s="144" t="s">
        <v>461</v>
      </c>
      <c r="D11" s="145" t="s">
        <v>462</v>
      </c>
      <c r="E11" s="146" t="s">
        <v>463</v>
      </c>
      <c r="F11" s="147" t="s">
        <v>464</v>
      </c>
      <c r="G11" s="148" t="s">
        <v>465</v>
      </c>
      <c r="H11" s="149" t="s">
        <v>466</v>
      </c>
    </row>
    <row r="12" spans="1:9" s="208" customFormat="1" x14ac:dyDescent="0.45">
      <c r="A12" s="423" t="s">
        <v>467</v>
      </c>
      <c r="B12" s="424"/>
      <c r="C12" s="425"/>
      <c r="D12" s="425"/>
      <c r="E12" s="150"/>
      <c r="F12" s="151"/>
      <c r="G12" s="152"/>
      <c r="H12" s="153"/>
    </row>
    <row r="13" spans="1:9" ht="7.5" customHeight="1" x14ac:dyDescent="0.45">
      <c r="A13" s="154"/>
      <c r="B13" s="154"/>
      <c r="C13" s="155"/>
      <c r="D13" s="155"/>
      <c r="E13" s="156"/>
      <c r="F13" s="155"/>
      <c r="G13" s="157"/>
      <c r="H13" s="158"/>
    </row>
    <row r="14" spans="1:9" ht="13" customHeight="1" x14ac:dyDescent="0.45">
      <c r="A14" s="159"/>
      <c r="B14" s="160">
        <v>200000</v>
      </c>
      <c r="C14" s="159"/>
      <c r="D14" s="159" t="s">
        <v>468</v>
      </c>
      <c r="E14" s="209"/>
      <c r="F14" s="209"/>
      <c r="G14" s="210"/>
      <c r="H14" s="211"/>
    </row>
    <row r="15" spans="1:9" ht="50.4" x14ac:dyDescent="0.45">
      <c r="A15" s="164" t="s">
        <v>3240</v>
      </c>
      <c r="B15" s="164"/>
      <c r="C15" s="212" t="s">
        <v>470</v>
      </c>
      <c r="D15" s="165" t="s">
        <v>471</v>
      </c>
      <c r="E15" s="166"/>
      <c r="F15" s="164" t="s">
        <v>472</v>
      </c>
      <c r="G15" s="167">
        <v>5</v>
      </c>
      <c r="H15" s="168">
        <f>SUM(E15)*G15</f>
        <v>0</v>
      </c>
      <c r="I15" s="169"/>
    </row>
    <row r="16" spans="1:9" x14ac:dyDescent="0.45">
      <c r="A16" s="118" t="s">
        <v>3241</v>
      </c>
      <c r="B16" s="184" t="s">
        <v>180</v>
      </c>
      <c r="D16" s="120"/>
      <c r="E16" s="142"/>
      <c r="F16" s="171"/>
      <c r="G16" s="142"/>
      <c r="H16" s="168"/>
    </row>
    <row r="17" spans="1:8" ht="13" customHeight="1" x14ac:dyDescent="0.45">
      <c r="A17" s="159"/>
      <c r="B17" s="159">
        <v>1401000</v>
      </c>
      <c r="C17" s="159"/>
      <c r="D17" s="159" t="s">
        <v>474</v>
      </c>
      <c r="E17" s="159"/>
      <c r="F17" s="159"/>
      <c r="G17" s="159"/>
      <c r="H17" s="163"/>
    </row>
    <row r="18" spans="1:8" ht="75.599999999999994" x14ac:dyDescent="0.45">
      <c r="A18" s="171" t="s">
        <v>3242</v>
      </c>
      <c r="B18" s="171"/>
      <c r="C18" s="184" t="s">
        <v>476</v>
      </c>
      <c r="D18" s="106" t="s">
        <v>477</v>
      </c>
      <c r="E18" s="166"/>
      <c r="F18" s="171" t="s">
        <v>472</v>
      </c>
      <c r="G18" s="172">
        <v>4</v>
      </c>
      <c r="H18" s="168">
        <f t="shared" ref="H18:H29" si="0">SUM(E18)*G18</f>
        <v>0</v>
      </c>
    </row>
    <row r="19" spans="1:8" ht="50.4" x14ac:dyDescent="0.45">
      <c r="A19" s="171" t="s">
        <v>3243</v>
      </c>
      <c r="B19" s="171"/>
      <c r="C19" s="106" t="s">
        <v>479</v>
      </c>
      <c r="D19" s="106" t="s">
        <v>480</v>
      </c>
      <c r="E19" s="166"/>
      <c r="F19" s="171" t="s">
        <v>472</v>
      </c>
      <c r="G19" s="172">
        <v>4</v>
      </c>
      <c r="H19" s="168">
        <f t="shared" si="0"/>
        <v>0</v>
      </c>
    </row>
    <row r="20" spans="1:8" ht="50.4" x14ac:dyDescent="0.45">
      <c r="A20" s="171" t="s">
        <v>3244</v>
      </c>
      <c r="B20" s="171"/>
      <c r="C20" s="106" t="s">
        <v>482</v>
      </c>
      <c r="D20" s="106" t="s">
        <v>483</v>
      </c>
      <c r="E20" s="166"/>
      <c r="F20" s="171" t="s">
        <v>472</v>
      </c>
      <c r="G20" s="172">
        <v>4</v>
      </c>
      <c r="H20" s="168">
        <f t="shared" si="0"/>
        <v>0</v>
      </c>
    </row>
    <row r="21" spans="1:8" ht="50.4" x14ac:dyDescent="0.45">
      <c r="A21" s="171" t="s">
        <v>3245</v>
      </c>
      <c r="B21" s="171"/>
      <c r="C21" s="106" t="s">
        <v>485</v>
      </c>
      <c r="D21" s="106" t="s">
        <v>486</v>
      </c>
      <c r="E21" s="166"/>
      <c r="F21" s="171" t="s">
        <v>472</v>
      </c>
      <c r="G21" s="172">
        <v>8</v>
      </c>
      <c r="H21" s="168">
        <f t="shared" si="0"/>
        <v>0</v>
      </c>
    </row>
    <row r="22" spans="1:8" ht="63" x14ac:dyDescent="0.45">
      <c r="A22" s="171" t="s">
        <v>3246</v>
      </c>
      <c r="B22" s="171"/>
      <c r="C22" s="106" t="s">
        <v>488</v>
      </c>
      <c r="D22" s="106" t="s">
        <v>489</v>
      </c>
      <c r="E22" s="166"/>
      <c r="F22" s="171" t="s">
        <v>472</v>
      </c>
      <c r="G22" s="172">
        <v>4</v>
      </c>
      <c r="H22" s="168">
        <f t="shared" si="0"/>
        <v>0</v>
      </c>
    </row>
    <row r="23" spans="1:8" ht="50.4" x14ac:dyDescent="0.45">
      <c r="A23" s="171" t="s">
        <v>3247</v>
      </c>
      <c r="B23" s="171"/>
      <c r="C23" s="106" t="s">
        <v>491</v>
      </c>
      <c r="D23" s="106" t="s">
        <v>492</v>
      </c>
      <c r="E23" s="166"/>
      <c r="F23" s="171" t="s">
        <v>472</v>
      </c>
      <c r="G23" s="172">
        <v>4</v>
      </c>
      <c r="H23" s="168">
        <f t="shared" si="0"/>
        <v>0</v>
      </c>
    </row>
    <row r="24" spans="1:8" ht="50.4" x14ac:dyDescent="0.45">
      <c r="A24" s="171" t="s">
        <v>3248</v>
      </c>
      <c r="B24" s="171"/>
      <c r="C24" s="106" t="s">
        <v>494</v>
      </c>
      <c r="D24" s="106" t="s">
        <v>495</v>
      </c>
      <c r="E24" s="166"/>
      <c r="F24" s="171" t="s">
        <v>472</v>
      </c>
      <c r="G24" s="172">
        <v>4</v>
      </c>
      <c r="H24" s="168">
        <f t="shared" si="0"/>
        <v>0</v>
      </c>
    </row>
    <row r="25" spans="1:8" ht="50.4" x14ac:dyDescent="0.45">
      <c r="A25" s="171" t="s">
        <v>3249</v>
      </c>
      <c r="B25" s="171"/>
      <c r="C25" s="106" t="s">
        <v>497</v>
      </c>
      <c r="D25" s="106" t="s">
        <v>498</v>
      </c>
      <c r="E25" s="166"/>
      <c r="F25" s="171" t="s">
        <v>472</v>
      </c>
      <c r="G25" s="172">
        <v>4</v>
      </c>
      <c r="H25" s="168">
        <f t="shared" si="0"/>
        <v>0</v>
      </c>
    </row>
    <row r="26" spans="1:8" ht="50.4" x14ac:dyDescent="0.45">
      <c r="A26" s="171" t="s">
        <v>3250</v>
      </c>
      <c r="B26" s="171"/>
      <c r="C26" s="106" t="s">
        <v>500</v>
      </c>
      <c r="D26" s="106" t="s">
        <v>501</v>
      </c>
      <c r="E26" s="166"/>
      <c r="F26" s="171" t="s">
        <v>472</v>
      </c>
      <c r="G26" s="172">
        <v>4</v>
      </c>
      <c r="H26" s="168">
        <f t="shared" si="0"/>
        <v>0</v>
      </c>
    </row>
    <row r="27" spans="1:8" s="177" customFormat="1" ht="100.8" x14ac:dyDescent="0.45">
      <c r="A27" s="173" t="s">
        <v>3251</v>
      </c>
      <c r="B27" s="173"/>
      <c r="C27" s="174" t="s">
        <v>503</v>
      </c>
      <c r="D27" s="174" t="s">
        <v>504</v>
      </c>
      <c r="E27" s="166"/>
      <c r="F27" s="173" t="s">
        <v>472</v>
      </c>
      <c r="G27" s="175">
        <v>10</v>
      </c>
      <c r="H27" s="176">
        <f t="shared" si="0"/>
        <v>0</v>
      </c>
    </row>
    <row r="28" spans="1:8" ht="75.599999999999994" x14ac:dyDescent="0.45">
      <c r="A28" s="171" t="s">
        <v>3252</v>
      </c>
      <c r="B28" s="171"/>
      <c r="C28" s="106" t="s">
        <v>506</v>
      </c>
      <c r="D28" s="178" t="s">
        <v>507</v>
      </c>
      <c r="E28" s="166"/>
      <c r="F28" s="171" t="s">
        <v>508</v>
      </c>
      <c r="G28" s="172">
        <v>300</v>
      </c>
      <c r="H28" s="168">
        <f t="shared" si="0"/>
        <v>0</v>
      </c>
    </row>
    <row r="29" spans="1:8" ht="75.599999999999994" x14ac:dyDescent="0.45">
      <c r="A29" s="171" t="s">
        <v>3253</v>
      </c>
      <c r="B29" s="171"/>
      <c r="C29" s="106" t="s">
        <v>510</v>
      </c>
      <c r="D29" s="178" t="s">
        <v>511</v>
      </c>
      <c r="E29" s="166"/>
      <c r="F29" s="171" t="s">
        <v>508</v>
      </c>
      <c r="G29" s="172">
        <v>300</v>
      </c>
      <c r="H29" s="168">
        <f t="shared" si="0"/>
        <v>0</v>
      </c>
    </row>
    <row r="30" spans="1:8" x14ac:dyDescent="0.45">
      <c r="A30" s="118" t="s">
        <v>3254</v>
      </c>
      <c r="B30" s="184" t="s">
        <v>180</v>
      </c>
      <c r="D30" s="120"/>
      <c r="E30" s="142"/>
      <c r="F30" s="218"/>
      <c r="G30" s="218"/>
      <c r="H30" s="168"/>
    </row>
    <row r="31" spans="1:8" ht="13" customHeight="1" x14ac:dyDescent="0.45">
      <c r="A31" s="159"/>
      <c r="B31" s="159">
        <v>1402000</v>
      </c>
      <c r="C31" s="159"/>
      <c r="D31" s="159" t="s">
        <v>513</v>
      </c>
      <c r="E31" s="159"/>
      <c r="F31" s="159"/>
      <c r="G31" s="159"/>
      <c r="H31" s="163"/>
    </row>
    <row r="32" spans="1:8" ht="63" x14ac:dyDescent="0.45">
      <c r="A32" s="171" t="s">
        <v>3255</v>
      </c>
      <c r="B32" s="171"/>
      <c r="C32" s="184" t="s">
        <v>515</v>
      </c>
      <c r="D32" s="184" t="s">
        <v>516</v>
      </c>
      <c r="E32" s="166"/>
      <c r="F32" s="171" t="s">
        <v>472</v>
      </c>
      <c r="G32" s="172">
        <v>50</v>
      </c>
      <c r="H32" s="168">
        <f>SUM(E32)*G32</f>
        <v>0</v>
      </c>
    </row>
    <row r="33" spans="1:8" ht="63" x14ac:dyDescent="0.45">
      <c r="A33" s="171" t="s">
        <v>3256</v>
      </c>
      <c r="B33" s="171"/>
      <c r="C33" s="184" t="s">
        <v>518</v>
      </c>
      <c r="D33" s="184" t="s">
        <v>519</v>
      </c>
      <c r="E33" s="166"/>
      <c r="F33" s="171" t="s">
        <v>472</v>
      </c>
      <c r="G33" s="172">
        <v>40</v>
      </c>
      <c r="H33" s="168">
        <f>SUM(E33)*G33</f>
        <v>0</v>
      </c>
    </row>
    <row r="34" spans="1:8" ht="37.799999999999997" x14ac:dyDescent="0.45">
      <c r="A34" s="171" t="s">
        <v>3257</v>
      </c>
      <c r="B34" s="171"/>
      <c r="C34" s="184" t="s">
        <v>521</v>
      </c>
      <c r="D34" s="184" t="s">
        <v>522</v>
      </c>
      <c r="E34" s="166"/>
      <c r="F34" s="171" t="s">
        <v>472</v>
      </c>
      <c r="G34" s="172">
        <v>50</v>
      </c>
      <c r="H34" s="168">
        <f>SUM(E34)*G34</f>
        <v>0</v>
      </c>
    </row>
    <row r="35" spans="1:8" ht="37.799999999999997" x14ac:dyDescent="0.45">
      <c r="A35" s="171" t="s">
        <v>3258</v>
      </c>
      <c r="B35" s="171"/>
      <c r="C35" s="184" t="s">
        <v>524</v>
      </c>
      <c r="D35" s="184" t="s">
        <v>525</v>
      </c>
      <c r="E35" s="166"/>
      <c r="F35" s="171" t="s">
        <v>472</v>
      </c>
      <c r="G35" s="172">
        <v>40</v>
      </c>
      <c r="H35" s="168">
        <f>SUM(E35)*G35</f>
        <v>0</v>
      </c>
    </row>
    <row r="36" spans="1:8" x14ac:dyDescent="0.45">
      <c r="A36" s="118" t="s">
        <v>3259</v>
      </c>
      <c r="B36" s="184" t="s">
        <v>180</v>
      </c>
      <c r="D36" s="120"/>
      <c r="E36" s="142"/>
      <c r="F36" s="171"/>
      <c r="G36" s="172"/>
      <c r="H36" s="168"/>
    </row>
    <row r="37" spans="1:8" ht="13" customHeight="1" x14ac:dyDescent="0.45">
      <c r="A37" s="159"/>
      <c r="B37" s="159">
        <v>1502000</v>
      </c>
      <c r="C37" s="159"/>
      <c r="D37" s="159" t="s">
        <v>18</v>
      </c>
      <c r="E37" s="159"/>
      <c r="F37" s="159"/>
      <c r="G37" s="162"/>
      <c r="H37" s="163"/>
    </row>
    <row r="38" spans="1:8" ht="37.799999999999997" x14ac:dyDescent="0.45">
      <c r="A38" s="171" t="s">
        <v>3260</v>
      </c>
      <c r="B38" s="171"/>
      <c r="C38" s="184" t="s">
        <v>528</v>
      </c>
      <c r="D38" s="184" t="s">
        <v>529</v>
      </c>
      <c r="E38" s="166"/>
      <c r="F38" s="171" t="s">
        <v>508</v>
      </c>
      <c r="G38" s="172">
        <v>3000</v>
      </c>
      <c r="H38" s="168">
        <f t="shared" ref="H38:H49" si="1">SUM(E38)*G38</f>
        <v>0</v>
      </c>
    </row>
    <row r="39" spans="1:8" ht="50.4" x14ac:dyDescent="0.45">
      <c r="A39" s="171" t="s">
        <v>3261</v>
      </c>
      <c r="B39" s="171"/>
      <c r="C39" s="184" t="s">
        <v>531</v>
      </c>
      <c r="D39" s="184" t="s">
        <v>532</v>
      </c>
      <c r="E39" s="166"/>
      <c r="F39" s="171" t="s">
        <v>533</v>
      </c>
      <c r="G39" s="172">
        <v>3000</v>
      </c>
      <c r="H39" s="168">
        <f t="shared" si="1"/>
        <v>0</v>
      </c>
    </row>
    <row r="40" spans="1:8" ht="63" x14ac:dyDescent="0.45">
      <c r="A40" s="171" t="s">
        <v>3262</v>
      </c>
      <c r="B40" s="171"/>
      <c r="C40" s="184" t="s">
        <v>535</v>
      </c>
      <c r="D40" s="184" t="s">
        <v>536</v>
      </c>
      <c r="E40" s="166"/>
      <c r="F40" s="171" t="s">
        <v>508</v>
      </c>
      <c r="G40" s="172">
        <v>2000</v>
      </c>
      <c r="H40" s="168">
        <f t="shared" si="1"/>
        <v>0</v>
      </c>
    </row>
    <row r="41" spans="1:8" ht="63" x14ac:dyDescent="0.45">
      <c r="A41" s="171" t="s">
        <v>3263</v>
      </c>
      <c r="B41" s="171"/>
      <c r="C41" s="184" t="s">
        <v>538</v>
      </c>
      <c r="D41" s="184" t="s">
        <v>539</v>
      </c>
      <c r="E41" s="166"/>
      <c r="F41" s="171" t="s">
        <v>508</v>
      </c>
      <c r="G41" s="172">
        <v>2000</v>
      </c>
      <c r="H41" s="168">
        <f t="shared" si="1"/>
        <v>0</v>
      </c>
    </row>
    <row r="42" spans="1:8" ht="50.4" x14ac:dyDescent="0.45">
      <c r="A42" s="171" t="s">
        <v>3264</v>
      </c>
      <c r="B42" s="171"/>
      <c r="C42" s="184" t="s">
        <v>541</v>
      </c>
      <c r="D42" s="184" t="s">
        <v>542</v>
      </c>
      <c r="E42" s="166"/>
      <c r="F42" s="171" t="s">
        <v>543</v>
      </c>
      <c r="G42" s="172">
        <v>19500</v>
      </c>
      <c r="H42" s="168">
        <f t="shared" si="1"/>
        <v>0</v>
      </c>
    </row>
    <row r="43" spans="1:8" ht="37.799999999999997" x14ac:dyDescent="0.45">
      <c r="A43" s="171" t="s">
        <v>3265</v>
      </c>
      <c r="B43" s="171"/>
      <c r="C43" s="184" t="s">
        <v>545</v>
      </c>
      <c r="D43" s="184" t="s">
        <v>546</v>
      </c>
      <c r="E43" s="166"/>
      <c r="F43" s="171" t="s">
        <v>472</v>
      </c>
      <c r="G43" s="172">
        <v>10</v>
      </c>
      <c r="H43" s="168">
        <f t="shared" si="1"/>
        <v>0</v>
      </c>
    </row>
    <row r="44" spans="1:8" ht="151.19999999999999" x14ac:dyDescent="0.45">
      <c r="A44" s="171" t="s">
        <v>3266</v>
      </c>
      <c r="B44" s="171"/>
      <c r="C44" s="184" t="s">
        <v>548</v>
      </c>
      <c r="D44" s="106" t="s">
        <v>549</v>
      </c>
      <c r="E44" s="166"/>
      <c r="F44" s="171" t="s">
        <v>472</v>
      </c>
      <c r="G44" s="172">
        <v>25</v>
      </c>
      <c r="H44" s="168">
        <f t="shared" si="1"/>
        <v>0</v>
      </c>
    </row>
    <row r="45" spans="1:8" ht="37.799999999999997" x14ac:dyDescent="0.45">
      <c r="A45" s="171" t="s">
        <v>3267</v>
      </c>
      <c r="B45" s="171"/>
      <c r="C45" s="106" t="s">
        <v>551</v>
      </c>
      <c r="D45" s="184" t="s">
        <v>552</v>
      </c>
      <c r="E45" s="166"/>
      <c r="F45" s="171" t="s">
        <v>472</v>
      </c>
      <c r="G45" s="172">
        <v>38</v>
      </c>
      <c r="H45" s="168">
        <f t="shared" si="1"/>
        <v>0</v>
      </c>
    </row>
    <row r="46" spans="1:8" ht="37.799999999999997" x14ac:dyDescent="0.45">
      <c r="A46" s="171" t="s">
        <v>3268</v>
      </c>
      <c r="B46" s="171"/>
      <c r="C46" s="106" t="s">
        <v>554</v>
      </c>
      <c r="D46" s="184" t="s">
        <v>555</v>
      </c>
      <c r="E46" s="166"/>
      <c r="F46" s="171" t="s">
        <v>472</v>
      </c>
      <c r="G46" s="172">
        <v>38</v>
      </c>
      <c r="H46" s="168">
        <f t="shared" si="1"/>
        <v>0</v>
      </c>
    </row>
    <row r="47" spans="1:8" ht="37.799999999999997" x14ac:dyDescent="0.45">
      <c r="A47" s="171" t="s">
        <v>3269</v>
      </c>
      <c r="B47" s="171"/>
      <c r="C47" s="106" t="s">
        <v>557</v>
      </c>
      <c r="D47" s="184" t="s">
        <v>558</v>
      </c>
      <c r="E47" s="166"/>
      <c r="F47" s="171" t="s">
        <v>472</v>
      </c>
      <c r="G47" s="172">
        <v>38</v>
      </c>
      <c r="H47" s="168">
        <f t="shared" si="1"/>
        <v>0</v>
      </c>
    </row>
    <row r="48" spans="1:8" ht="70.5" x14ac:dyDescent="0.45">
      <c r="A48" s="171" t="s">
        <v>3270</v>
      </c>
      <c r="B48" s="171"/>
      <c r="C48" s="106" t="s">
        <v>560</v>
      </c>
      <c r="D48" s="179" t="s">
        <v>561</v>
      </c>
      <c r="E48" s="166"/>
      <c r="F48" s="171" t="s">
        <v>472</v>
      </c>
      <c r="G48" s="172">
        <v>14</v>
      </c>
      <c r="H48" s="168">
        <f t="shared" si="1"/>
        <v>0</v>
      </c>
    </row>
    <row r="49" spans="1:8" ht="56.4" x14ac:dyDescent="0.45">
      <c r="A49" s="171" t="s">
        <v>3271</v>
      </c>
      <c r="B49" s="171"/>
      <c r="C49" s="106" t="s">
        <v>563</v>
      </c>
      <c r="D49" s="179" t="s">
        <v>564</v>
      </c>
      <c r="E49" s="166"/>
      <c r="F49" s="171" t="s">
        <v>472</v>
      </c>
      <c r="G49" s="172">
        <v>14</v>
      </c>
      <c r="H49" s="168">
        <f t="shared" si="1"/>
        <v>0</v>
      </c>
    </row>
    <row r="50" spans="1:8" ht="70.5" x14ac:dyDescent="0.45">
      <c r="A50" s="171" t="s">
        <v>3272</v>
      </c>
      <c r="B50" s="171"/>
      <c r="C50" s="106" t="s">
        <v>566</v>
      </c>
      <c r="D50" s="179" t="s">
        <v>567</v>
      </c>
      <c r="E50" s="166"/>
      <c r="F50" s="171" t="s">
        <v>568</v>
      </c>
      <c r="G50" s="172">
        <v>35</v>
      </c>
      <c r="H50" s="168">
        <f>SUM(E50)*G50</f>
        <v>0</v>
      </c>
    </row>
    <row r="51" spans="1:8" ht="93" customHeight="1" x14ac:dyDescent="0.45">
      <c r="A51" s="171" t="s">
        <v>3273</v>
      </c>
      <c r="B51" s="180"/>
      <c r="C51" s="182" t="s">
        <v>570</v>
      </c>
      <c r="D51" s="182" t="s">
        <v>571</v>
      </c>
      <c r="E51" s="166"/>
      <c r="F51" s="171" t="s">
        <v>472</v>
      </c>
      <c r="G51" s="172">
        <v>50</v>
      </c>
      <c r="H51" s="168">
        <f t="shared" ref="H51:H54" si="2">SUM(E51)*G51</f>
        <v>0</v>
      </c>
    </row>
    <row r="52" spans="1:8" s="183" customFormat="1" ht="332.1" customHeight="1" x14ac:dyDescent="0.45">
      <c r="A52" s="185" t="s">
        <v>3274</v>
      </c>
      <c r="B52" s="182"/>
      <c r="C52" s="182" t="s">
        <v>573</v>
      </c>
      <c r="D52" s="182" t="s">
        <v>574</v>
      </c>
      <c r="E52" s="166"/>
      <c r="F52" s="185" t="s">
        <v>508</v>
      </c>
      <c r="G52" s="214">
        <v>1500</v>
      </c>
      <c r="H52" s="168">
        <f t="shared" si="2"/>
        <v>0</v>
      </c>
    </row>
    <row r="53" spans="1:8" s="183" customFormat="1" ht="206.95" customHeight="1" x14ac:dyDescent="0.45">
      <c r="A53" s="185" t="s">
        <v>3275</v>
      </c>
      <c r="B53" s="182"/>
      <c r="C53" s="182" t="s">
        <v>576</v>
      </c>
      <c r="D53" s="182" t="s">
        <v>577</v>
      </c>
      <c r="E53" s="166"/>
      <c r="F53" s="185" t="s">
        <v>508</v>
      </c>
      <c r="G53" s="214">
        <v>2500</v>
      </c>
      <c r="H53" s="168">
        <f t="shared" si="2"/>
        <v>0</v>
      </c>
    </row>
    <row r="54" spans="1:8" s="183" customFormat="1" ht="75.599999999999994" x14ac:dyDescent="0.45">
      <c r="A54" s="185" t="s">
        <v>3276</v>
      </c>
      <c r="B54" s="182"/>
      <c r="C54" s="219" t="s">
        <v>579</v>
      </c>
      <c r="D54" s="219" t="s">
        <v>580</v>
      </c>
      <c r="E54" s="166"/>
      <c r="F54" s="185" t="s">
        <v>508</v>
      </c>
      <c r="G54" s="214">
        <v>2000</v>
      </c>
      <c r="H54" s="168">
        <f t="shared" si="2"/>
        <v>0</v>
      </c>
    </row>
    <row r="55" spans="1:8" x14ac:dyDescent="0.45">
      <c r="A55" s="118" t="s">
        <v>3277</v>
      </c>
      <c r="B55" s="184" t="s">
        <v>180</v>
      </c>
      <c r="D55" s="170"/>
      <c r="E55" s="142"/>
      <c r="F55" s="172"/>
      <c r="G55" s="168"/>
      <c r="H55" s="142"/>
    </row>
    <row r="56" spans="1:8" ht="13" customHeight="1" x14ac:dyDescent="0.45">
      <c r="A56" s="159"/>
      <c r="B56" s="159">
        <v>1503010</v>
      </c>
      <c r="C56" s="159"/>
      <c r="D56" s="159" t="s">
        <v>109</v>
      </c>
      <c r="E56" s="159"/>
      <c r="F56" s="209"/>
      <c r="G56" s="210"/>
      <c r="H56" s="163"/>
    </row>
    <row r="57" spans="1:8" ht="25.2" x14ac:dyDescent="0.45">
      <c r="A57" s="171" t="s">
        <v>3278</v>
      </c>
      <c r="B57" s="171"/>
      <c r="C57" s="106" t="s">
        <v>583</v>
      </c>
      <c r="D57" s="106" t="s">
        <v>584</v>
      </c>
      <c r="E57" s="166"/>
      <c r="F57" s="171" t="s">
        <v>508</v>
      </c>
      <c r="G57" s="172">
        <v>500</v>
      </c>
      <c r="H57" s="168">
        <f t="shared" ref="H57:H74" si="3">SUM(E57)*G57</f>
        <v>0</v>
      </c>
    </row>
    <row r="58" spans="1:8" ht="50.4" x14ac:dyDescent="0.45">
      <c r="A58" s="171" t="s">
        <v>3279</v>
      </c>
      <c r="B58" s="171"/>
      <c r="C58" s="106" t="s">
        <v>586</v>
      </c>
      <c r="D58" s="106" t="s">
        <v>587</v>
      </c>
      <c r="E58" s="166"/>
      <c r="F58" s="171" t="s">
        <v>508</v>
      </c>
      <c r="G58" s="172">
        <v>500</v>
      </c>
      <c r="H58" s="168">
        <f t="shared" si="3"/>
        <v>0</v>
      </c>
    </row>
    <row r="59" spans="1:8" ht="50.4" x14ac:dyDescent="0.45">
      <c r="A59" s="171" t="s">
        <v>3280</v>
      </c>
      <c r="B59" s="171"/>
      <c r="C59" s="106" t="s">
        <v>589</v>
      </c>
      <c r="D59" s="106" t="s">
        <v>590</v>
      </c>
      <c r="E59" s="166"/>
      <c r="F59" s="171" t="s">
        <v>508</v>
      </c>
      <c r="G59" s="172">
        <v>1000</v>
      </c>
      <c r="H59" s="168">
        <f t="shared" si="3"/>
        <v>0</v>
      </c>
    </row>
    <row r="60" spans="1:8" ht="37.799999999999997" x14ac:dyDescent="0.45">
      <c r="A60" s="171" t="s">
        <v>3281</v>
      </c>
      <c r="B60" s="171"/>
      <c r="C60" s="106" t="s">
        <v>592</v>
      </c>
      <c r="D60" s="106" t="s">
        <v>593</v>
      </c>
      <c r="E60" s="166"/>
      <c r="F60" s="171" t="s">
        <v>508</v>
      </c>
      <c r="G60" s="172">
        <v>1000</v>
      </c>
      <c r="H60" s="168">
        <f t="shared" si="3"/>
        <v>0</v>
      </c>
    </row>
    <row r="61" spans="1:8" ht="75.599999999999994" x14ac:dyDescent="0.45">
      <c r="A61" s="171" t="s">
        <v>3282</v>
      </c>
      <c r="B61" s="171"/>
      <c r="C61" s="106" t="s">
        <v>595</v>
      </c>
      <c r="D61" s="106" t="s">
        <v>596</v>
      </c>
      <c r="E61" s="166"/>
      <c r="F61" s="171" t="s">
        <v>508</v>
      </c>
      <c r="G61" s="172">
        <v>1000</v>
      </c>
      <c r="H61" s="168">
        <f t="shared" si="3"/>
        <v>0</v>
      </c>
    </row>
    <row r="62" spans="1:8" ht="63" x14ac:dyDescent="0.45">
      <c r="A62" s="171" t="s">
        <v>3283</v>
      </c>
      <c r="B62" s="171"/>
      <c r="C62" s="106" t="s">
        <v>598</v>
      </c>
      <c r="D62" s="106" t="s">
        <v>599</v>
      </c>
      <c r="E62" s="166"/>
      <c r="F62" s="171" t="s">
        <v>508</v>
      </c>
      <c r="G62" s="172">
        <v>1000</v>
      </c>
      <c r="H62" s="168">
        <f t="shared" si="3"/>
        <v>0</v>
      </c>
    </row>
    <row r="63" spans="1:8" ht="50.4" x14ac:dyDescent="0.45">
      <c r="A63" s="171" t="s">
        <v>3284</v>
      </c>
      <c r="B63" s="171"/>
      <c r="C63" s="106" t="s">
        <v>601</v>
      </c>
      <c r="D63" s="106" t="s">
        <v>602</v>
      </c>
      <c r="E63" s="166"/>
      <c r="F63" s="171" t="s">
        <v>508</v>
      </c>
      <c r="G63" s="172">
        <v>1000</v>
      </c>
      <c r="H63" s="168">
        <f t="shared" si="3"/>
        <v>0</v>
      </c>
    </row>
    <row r="64" spans="1:8" ht="50.4" x14ac:dyDescent="0.45">
      <c r="A64" s="171" t="s">
        <v>3285</v>
      </c>
      <c r="B64" s="171"/>
      <c r="C64" s="106" t="s">
        <v>604</v>
      </c>
      <c r="D64" s="106" t="s">
        <v>605</v>
      </c>
      <c r="E64" s="166"/>
      <c r="F64" s="171" t="s">
        <v>508</v>
      </c>
      <c r="G64" s="172">
        <v>500</v>
      </c>
      <c r="H64" s="168">
        <f t="shared" si="3"/>
        <v>0</v>
      </c>
    </row>
    <row r="65" spans="1:8" ht="50.4" x14ac:dyDescent="0.45">
      <c r="A65" s="171" t="s">
        <v>3286</v>
      </c>
      <c r="B65" s="171"/>
      <c r="C65" s="106" t="s">
        <v>607</v>
      </c>
      <c r="D65" s="106" t="s">
        <v>608</v>
      </c>
      <c r="E65" s="166"/>
      <c r="F65" s="171" t="s">
        <v>508</v>
      </c>
      <c r="G65" s="172">
        <v>500</v>
      </c>
      <c r="H65" s="168">
        <f t="shared" si="3"/>
        <v>0</v>
      </c>
    </row>
    <row r="66" spans="1:8" ht="25.2" x14ac:dyDescent="0.45">
      <c r="A66" s="171" t="s">
        <v>3287</v>
      </c>
      <c r="B66" s="171"/>
      <c r="C66" s="106" t="s">
        <v>610</v>
      </c>
      <c r="D66" s="106" t="s">
        <v>611</v>
      </c>
      <c r="E66" s="166"/>
      <c r="F66" s="171" t="s">
        <v>508</v>
      </c>
      <c r="G66" s="172">
        <v>500</v>
      </c>
      <c r="H66" s="168">
        <f t="shared" si="3"/>
        <v>0</v>
      </c>
    </row>
    <row r="67" spans="1:8" ht="50.4" x14ac:dyDescent="0.45">
      <c r="A67" s="171" t="s">
        <v>3288</v>
      </c>
      <c r="B67" s="171"/>
      <c r="C67" s="106" t="s">
        <v>613</v>
      </c>
      <c r="D67" s="106" t="s">
        <v>614</v>
      </c>
      <c r="E67" s="166"/>
      <c r="F67" s="171" t="s">
        <v>508</v>
      </c>
      <c r="G67" s="172">
        <v>250</v>
      </c>
      <c r="H67" s="168">
        <f t="shared" si="3"/>
        <v>0</v>
      </c>
    </row>
    <row r="68" spans="1:8" ht="50.4" x14ac:dyDescent="0.45">
      <c r="A68" s="171" t="s">
        <v>3289</v>
      </c>
      <c r="B68" s="171"/>
      <c r="C68" s="106" t="s">
        <v>616</v>
      </c>
      <c r="D68" s="106" t="s">
        <v>617</v>
      </c>
      <c r="E68" s="166"/>
      <c r="F68" s="171" t="s">
        <v>508</v>
      </c>
      <c r="G68" s="172">
        <v>500</v>
      </c>
      <c r="H68" s="168">
        <f t="shared" si="3"/>
        <v>0</v>
      </c>
    </row>
    <row r="69" spans="1:8" ht="50.4" x14ac:dyDescent="0.45">
      <c r="A69" s="171" t="s">
        <v>3290</v>
      </c>
      <c r="B69" s="171"/>
      <c r="C69" s="106" t="s">
        <v>619</v>
      </c>
      <c r="D69" s="106" t="s">
        <v>620</v>
      </c>
      <c r="E69" s="166"/>
      <c r="F69" s="171" t="s">
        <v>508</v>
      </c>
      <c r="G69" s="172">
        <v>1000</v>
      </c>
      <c r="H69" s="168">
        <f t="shared" si="3"/>
        <v>0</v>
      </c>
    </row>
    <row r="70" spans="1:8" ht="25.2" x14ac:dyDescent="0.45">
      <c r="A70" s="171" t="s">
        <v>3291</v>
      </c>
      <c r="B70" s="171"/>
      <c r="C70" s="106" t="s">
        <v>622</v>
      </c>
      <c r="D70" s="106" t="s">
        <v>623</v>
      </c>
      <c r="E70" s="166"/>
      <c r="F70" s="171" t="s">
        <v>508</v>
      </c>
      <c r="G70" s="172">
        <v>3000</v>
      </c>
      <c r="H70" s="168">
        <f t="shared" si="3"/>
        <v>0</v>
      </c>
    </row>
    <row r="71" spans="1:8" ht="37.799999999999997" x14ac:dyDescent="0.45">
      <c r="A71" s="171" t="s">
        <v>3292</v>
      </c>
      <c r="B71" s="171"/>
      <c r="C71" s="106" t="s">
        <v>625</v>
      </c>
      <c r="D71" s="106" t="s">
        <v>626</v>
      </c>
      <c r="E71" s="166"/>
      <c r="F71" s="171" t="s">
        <v>472</v>
      </c>
      <c r="G71" s="172">
        <v>100</v>
      </c>
      <c r="H71" s="168">
        <f t="shared" si="3"/>
        <v>0</v>
      </c>
    </row>
    <row r="72" spans="1:8" ht="37.799999999999997" x14ac:dyDescent="0.45">
      <c r="A72" s="171" t="s">
        <v>3293</v>
      </c>
      <c r="B72" s="171"/>
      <c r="C72" s="106" t="s">
        <v>628</v>
      </c>
      <c r="D72" s="106" t="s">
        <v>629</v>
      </c>
      <c r="E72" s="166"/>
      <c r="F72" s="171" t="s">
        <v>472</v>
      </c>
      <c r="G72" s="172">
        <v>50</v>
      </c>
      <c r="H72" s="168">
        <f t="shared" si="3"/>
        <v>0</v>
      </c>
    </row>
    <row r="73" spans="1:8" ht="63" x14ac:dyDescent="0.45">
      <c r="A73" s="171" t="s">
        <v>3294</v>
      </c>
      <c r="B73" s="171"/>
      <c r="C73" s="106" t="s">
        <v>631</v>
      </c>
      <c r="D73" s="184" t="s">
        <v>632</v>
      </c>
      <c r="E73" s="166"/>
      <c r="F73" s="171" t="s">
        <v>633</v>
      </c>
      <c r="G73" s="172">
        <v>240</v>
      </c>
      <c r="H73" s="168">
        <f t="shared" si="3"/>
        <v>0</v>
      </c>
    </row>
    <row r="74" spans="1:8" s="183" customFormat="1" ht="151.19999999999999" x14ac:dyDescent="0.45">
      <c r="A74" s="185" t="s">
        <v>3295</v>
      </c>
      <c r="B74" s="185"/>
      <c r="C74" s="216" t="s">
        <v>635</v>
      </c>
      <c r="D74" s="216" t="s">
        <v>636</v>
      </c>
      <c r="E74" s="166"/>
      <c r="F74" s="185" t="s">
        <v>472</v>
      </c>
      <c r="G74" s="172">
        <v>6</v>
      </c>
      <c r="H74" s="168">
        <f t="shared" si="3"/>
        <v>0</v>
      </c>
    </row>
    <row r="75" spans="1:8" x14ac:dyDescent="0.45">
      <c r="A75" s="118" t="s">
        <v>3296</v>
      </c>
      <c r="B75" s="184" t="s">
        <v>180</v>
      </c>
      <c r="C75" s="120"/>
      <c r="D75" s="170"/>
      <c r="E75" s="142"/>
      <c r="F75" s="172"/>
      <c r="G75" s="168"/>
      <c r="H75" s="142"/>
    </row>
    <row r="76" spans="1:8" ht="13" customHeight="1" x14ac:dyDescent="0.45">
      <c r="A76" s="159"/>
      <c r="B76" s="159">
        <v>1503020</v>
      </c>
      <c r="C76" s="159"/>
      <c r="D76" s="159" t="s">
        <v>638</v>
      </c>
      <c r="E76" s="159"/>
      <c r="F76" s="159"/>
      <c r="G76" s="210"/>
      <c r="H76" s="163"/>
    </row>
    <row r="77" spans="1:8" ht="37.799999999999997" x14ac:dyDescent="0.45">
      <c r="A77" s="171" t="s">
        <v>3297</v>
      </c>
      <c r="B77" s="171"/>
      <c r="C77" s="106" t="s">
        <v>640</v>
      </c>
      <c r="D77" s="106" t="s">
        <v>641</v>
      </c>
      <c r="E77" s="166"/>
      <c r="F77" s="171" t="s">
        <v>472</v>
      </c>
      <c r="G77" s="172">
        <v>16</v>
      </c>
      <c r="H77" s="168">
        <f t="shared" ref="H77:H89" si="4">SUM(E77)*G77</f>
        <v>0</v>
      </c>
    </row>
    <row r="78" spans="1:8" ht="63" x14ac:dyDescent="0.45">
      <c r="A78" s="171" t="s">
        <v>3298</v>
      </c>
      <c r="B78" s="171"/>
      <c r="C78" s="106" t="s">
        <v>643</v>
      </c>
      <c r="D78" s="106" t="s">
        <v>644</v>
      </c>
      <c r="E78" s="166"/>
      <c r="F78" s="171" t="s">
        <v>645</v>
      </c>
      <c r="G78" s="172">
        <v>16</v>
      </c>
      <c r="H78" s="168">
        <f t="shared" si="4"/>
        <v>0</v>
      </c>
    </row>
    <row r="79" spans="1:8" ht="37.799999999999997" x14ac:dyDescent="0.45">
      <c r="A79" s="171" t="s">
        <v>3299</v>
      </c>
      <c r="B79" s="171"/>
      <c r="C79" s="106" t="s">
        <v>647</v>
      </c>
      <c r="D79" s="106" t="s">
        <v>648</v>
      </c>
      <c r="E79" s="166"/>
      <c r="F79" s="171" t="s">
        <v>472</v>
      </c>
      <c r="G79" s="172">
        <v>16</v>
      </c>
      <c r="H79" s="168">
        <f t="shared" si="4"/>
        <v>0</v>
      </c>
    </row>
    <row r="80" spans="1:8" ht="37.799999999999997" x14ac:dyDescent="0.45">
      <c r="A80" s="171" t="s">
        <v>3300</v>
      </c>
      <c r="B80" s="171"/>
      <c r="C80" s="106" t="s">
        <v>650</v>
      </c>
      <c r="D80" s="106" t="s">
        <v>651</v>
      </c>
      <c r="E80" s="166"/>
      <c r="F80" s="171" t="s">
        <v>472</v>
      </c>
      <c r="G80" s="172">
        <v>16</v>
      </c>
      <c r="H80" s="168">
        <f t="shared" si="4"/>
        <v>0</v>
      </c>
    </row>
    <row r="81" spans="1:10" ht="63" x14ac:dyDescent="0.45">
      <c r="A81" s="171" t="s">
        <v>3301</v>
      </c>
      <c r="B81" s="171"/>
      <c r="C81" s="106" t="s">
        <v>653</v>
      </c>
      <c r="D81" s="106" t="s">
        <v>654</v>
      </c>
      <c r="E81" s="166"/>
      <c r="F81" s="171" t="s">
        <v>472</v>
      </c>
      <c r="G81" s="172">
        <v>70</v>
      </c>
      <c r="H81" s="168">
        <f t="shared" si="4"/>
        <v>0</v>
      </c>
    </row>
    <row r="82" spans="1:10" ht="50.4" x14ac:dyDescent="0.45">
      <c r="A82" s="171" t="s">
        <v>3302</v>
      </c>
      <c r="B82" s="171"/>
      <c r="C82" s="106" t="s">
        <v>656</v>
      </c>
      <c r="D82" s="106" t="s">
        <v>657</v>
      </c>
      <c r="E82" s="166"/>
      <c r="F82" s="171" t="s">
        <v>472</v>
      </c>
      <c r="G82" s="172">
        <v>30</v>
      </c>
      <c r="H82" s="168">
        <f t="shared" si="4"/>
        <v>0</v>
      </c>
    </row>
    <row r="83" spans="1:10" ht="75.599999999999994" x14ac:dyDescent="0.45">
      <c r="A83" s="171" t="s">
        <v>3303</v>
      </c>
      <c r="B83" s="171"/>
      <c r="C83" s="106" t="s">
        <v>659</v>
      </c>
      <c r="D83" s="106" t="s">
        <v>660</v>
      </c>
      <c r="E83" s="166"/>
      <c r="F83" s="171" t="s">
        <v>472</v>
      </c>
      <c r="G83" s="172">
        <v>175</v>
      </c>
      <c r="H83" s="168">
        <f t="shared" si="4"/>
        <v>0</v>
      </c>
    </row>
    <row r="84" spans="1:10" ht="50.4" x14ac:dyDescent="0.45">
      <c r="A84" s="171" t="s">
        <v>3304</v>
      </c>
      <c r="B84" s="171"/>
      <c r="C84" s="184" t="s">
        <v>662</v>
      </c>
      <c r="D84" s="184" t="s">
        <v>663</v>
      </c>
      <c r="E84" s="166"/>
      <c r="F84" s="171" t="s">
        <v>472</v>
      </c>
      <c r="G84" s="172">
        <v>50</v>
      </c>
      <c r="H84" s="168">
        <f t="shared" si="4"/>
        <v>0</v>
      </c>
    </row>
    <row r="85" spans="1:10" ht="37.799999999999997" x14ac:dyDescent="0.45">
      <c r="A85" s="171" t="s">
        <v>3305</v>
      </c>
      <c r="B85" s="171"/>
      <c r="C85" s="184" t="s">
        <v>665</v>
      </c>
      <c r="D85" s="184" t="s">
        <v>666</v>
      </c>
      <c r="E85" s="166"/>
      <c r="F85" s="171" t="s">
        <v>508</v>
      </c>
      <c r="G85" s="172">
        <v>300</v>
      </c>
      <c r="H85" s="168">
        <f t="shared" si="4"/>
        <v>0</v>
      </c>
    </row>
    <row r="86" spans="1:10" ht="126" x14ac:dyDescent="0.45">
      <c r="A86" s="171" t="s">
        <v>3306</v>
      </c>
      <c r="B86" s="171"/>
      <c r="C86" s="184" t="s">
        <v>668</v>
      </c>
      <c r="D86" s="106" t="s">
        <v>669</v>
      </c>
      <c r="E86" s="166"/>
      <c r="F86" s="171" t="s">
        <v>508</v>
      </c>
      <c r="G86" s="172">
        <v>3500</v>
      </c>
      <c r="H86" s="168">
        <f t="shared" si="4"/>
        <v>0</v>
      </c>
    </row>
    <row r="87" spans="1:10" ht="37.799999999999997" x14ac:dyDescent="0.45">
      <c r="A87" s="171" t="s">
        <v>3307</v>
      </c>
      <c r="B87" s="171"/>
      <c r="C87" s="186" t="s">
        <v>671</v>
      </c>
      <c r="D87" s="186" t="s">
        <v>672</v>
      </c>
      <c r="E87" s="166"/>
      <c r="F87" s="171" t="s">
        <v>472</v>
      </c>
      <c r="G87" s="172">
        <v>20</v>
      </c>
      <c r="H87" s="168">
        <f t="shared" si="4"/>
        <v>0</v>
      </c>
    </row>
    <row r="88" spans="1:10" ht="37.799999999999997" x14ac:dyDescent="0.45">
      <c r="A88" s="171" t="s">
        <v>3308</v>
      </c>
      <c r="B88" s="171"/>
      <c r="C88" s="349" t="s">
        <v>5044</v>
      </c>
      <c r="D88" s="186" t="s">
        <v>1377</v>
      </c>
      <c r="E88" s="166"/>
      <c r="F88" s="171" t="s">
        <v>472</v>
      </c>
      <c r="G88" s="172">
        <v>20</v>
      </c>
      <c r="H88" s="168">
        <f t="shared" si="4"/>
        <v>0</v>
      </c>
    </row>
    <row r="89" spans="1:10" ht="302.39999999999998" x14ac:dyDescent="0.45">
      <c r="A89" s="171" t="s">
        <v>3309</v>
      </c>
      <c r="B89" s="171"/>
      <c r="C89" s="106" t="s">
        <v>675</v>
      </c>
      <c r="D89" s="106" t="s">
        <v>676</v>
      </c>
      <c r="E89" s="166"/>
      <c r="F89" s="171" t="s">
        <v>472</v>
      </c>
      <c r="G89" s="172">
        <v>15</v>
      </c>
      <c r="H89" s="168">
        <f t="shared" si="4"/>
        <v>0</v>
      </c>
      <c r="I89" s="169"/>
    </row>
    <row r="90" spans="1:10" x14ac:dyDescent="0.45">
      <c r="A90" s="118" t="s">
        <v>3310</v>
      </c>
      <c r="B90" s="184" t="s">
        <v>180</v>
      </c>
      <c r="D90" s="120"/>
      <c r="E90" s="142"/>
      <c r="F90" s="171"/>
      <c r="G90" s="172"/>
      <c r="H90" s="220"/>
    </row>
    <row r="91" spans="1:10" ht="13" customHeight="1" x14ac:dyDescent="0.45">
      <c r="A91" s="159"/>
      <c r="B91" s="159">
        <v>1503030</v>
      </c>
      <c r="C91" s="159"/>
      <c r="D91" s="159" t="s">
        <v>678</v>
      </c>
      <c r="E91" s="159"/>
      <c r="F91" s="209"/>
      <c r="G91" s="210"/>
      <c r="H91" s="163"/>
    </row>
    <row r="92" spans="1:10" ht="75.599999999999994" x14ac:dyDescent="0.45">
      <c r="A92" s="171" t="s">
        <v>3311</v>
      </c>
      <c r="B92" s="171"/>
      <c r="C92" s="106" t="s">
        <v>680</v>
      </c>
      <c r="D92" s="106" t="s">
        <v>681</v>
      </c>
      <c r="E92" s="166"/>
      <c r="F92" s="171" t="s">
        <v>682</v>
      </c>
      <c r="G92" s="171">
        <v>10</v>
      </c>
      <c r="H92" s="168">
        <f t="shared" ref="H92:H112" si="5">SUM(E92)*G92</f>
        <v>0</v>
      </c>
      <c r="I92" s="169"/>
    </row>
    <row r="93" spans="1:10" ht="75.599999999999994" x14ac:dyDescent="0.45">
      <c r="A93" s="171" t="s">
        <v>3312</v>
      </c>
      <c r="B93" s="171"/>
      <c r="C93" s="106" t="s">
        <v>684</v>
      </c>
      <c r="D93" s="106" t="s">
        <v>685</v>
      </c>
      <c r="E93" s="166"/>
      <c r="F93" s="171" t="s">
        <v>472</v>
      </c>
      <c r="G93" s="171">
        <v>5</v>
      </c>
      <c r="H93" s="168">
        <f t="shared" si="5"/>
        <v>0</v>
      </c>
      <c r="I93" s="169"/>
    </row>
    <row r="94" spans="1:10" ht="75.599999999999994" x14ac:dyDescent="0.45">
      <c r="A94" s="171" t="s">
        <v>3313</v>
      </c>
      <c r="B94" s="171"/>
      <c r="C94" s="106" t="s">
        <v>687</v>
      </c>
      <c r="D94" s="106" t="s">
        <v>688</v>
      </c>
      <c r="E94" s="166"/>
      <c r="F94" s="171" t="s">
        <v>472</v>
      </c>
      <c r="G94" s="171">
        <v>5</v>
      </c>
      <c r="H94" s="168">
        <f t="shared" si="5"/>
        <v>0</v>
      </c>
      <c r="I94" s="169"/>
      <c r="J94" s="187"/>
    </row>
    <row r="95" spans="1:10" ht="75.599999999999994" x14ac:dyDescent="0.45">
      <c r="A95" s="171" t="s">
        <v>3314</v>
      </c>
      <c r="B95" s="171"/>
      <c r="C95" s="106" t="s">
        <v>690</v>
      </c>
      <c r="D95" s="106" t="s">
        <v>691</v>
      </c>
      <c r="E95" s="166"/>
      <c r="F95" s="367" t="s">
        <v>472</v>
      </c>
      <c r="G95" s="171">
        <v>10</v>
      </c>
      <c r="H95" s="168">
        <f t="shared" si="5"/>
        <v>0</v>
      </c>
      <c r="I95" s="169"/>
      <c r="J95" s="187"/>
    </row>
    <row r="96" spans="1:10" ht="75.599999999999994" x14ac:dyDescent="0.45">
      <c r="A96" s="171" t="s">
        <v>3315</v>
      </c>
      <c r="B96" s="171"/>
      <c r="C96" s="106" t="s">
        <v>693</v>
      </c>
      <c r="D96" s="106" t="s">
        <v>694</v>
      </c>
      <c r="E96" s="166"/>
      <c r="F96" s="367" t="s">
        <v>472</v>
      </c>
      <c r="G96" s="171">
        <v>5</v>
      </c>
      <c r="H96" s="168">
        <f t="shared" si="5"/>
        <v>0</v>
      </c>
      <c r="I96" s="169"/>
      <c r="J96" s="187"/>
    </row>
    <row r="97" spans="1:9" ht="75.599999999999994" x14ac:dyDescent="0.45">
      <c r="A97" s="171" t="s">
        <v>3316</v>
      </c>
      <c r="B97" s="171"/>
      <c r="C97" s="106" t="s">
        <v>696</v>
      </c>
      <c r="D97" s="106" t="s">
        <v>697</v>
      </c>
      <c r="E97" s="166"/>
      <c r="F97" s="367" t="s">
        <v>472</v>
      </c>
      <c r="G97" s="171">
        <v>5</v>
      </c>
      <c r="H97" s="168">
        <f t="shared" si="5"/>
        <v>0</v>
      </c>
      <c r="I97" s="169"/>
    </row>
    <row r="98" spans="1:9" ht="75.599999999999994" x14ac:dyDescent="0.45">
      <c r="A98" s="171" t="s">
        <v>3317</v>
      </c>
      <c r="B98" s="171"/>
      <c r="C98" s="106" t="s">
        <v>699</v>
      </c>
      <c r="D98" s="106" t="s">
        <v>700</v>
      </c>
      <c r="E98" s="166"/>
      <c r="F98" s="367" t="s">
        <v>472</v>
      </c>
      <c r="G98" s="171">
        <v>5</v>
      </c>
      <c r="H98" s="168">
        <f t="shared" si="5"/>
        <v>0</v>
      </c>
      <c r="I98" s="169"/>
    </row>
    <row r="99" spans="1:9" ht="88.2" x14ac:dyDescent="0.45">
      <c r="A99" s="171" t="s">
        <v>3318</v>
      </c>
      <c r="B99" s="171"/>
      <c r="C99" s="106" t="s">
        <v>702</v>
      </c>
      <c r="D99" s="106" t="s">
        <v>703</v>
      </c>
      <c r="E99" s="166"/>
      <c r="F99" s="367" t="s">
        <v>472</v>
      </c>
      <c r="G99" s="171">
        <v>5</v>
      </c>
      <c r="H99" s="168">
        <f t="shared" si="5"/>
        <v>0</v>
      </c>
      <c r="I99" s="169"/>
    </row>
    <row r="100" spans="1:9" ht="88.2" x14ac:dyDescent="0.45">
      <c r="A100" s="171" t="s">
        <v>3319</v>
      </c>
      <c r="B100" s="171"/>
      <c r="C100" s="106" t="s">
        <v>705</v>
      </c>
      <c r="D100" s="106" t="s">
        <v>706</v>
      </c>
      <c r="E100" s="166"/>
      <c r="F100" s="367" t="s">
        <v>472</v>
      </c>
      <c r="G100" s="171">
        <v>5</v>
      </c>
      <c r="H100" s="168">
        <f t="shared" si="5"/>
        <v>0</v>
      </c>
      <c r="I100" s="169"/>
    </row>
    <row r="101" spans="1:9" ht="75.599999999999994" x14ac:dyDescent="0.45">
      <c r="A101" s="171" t="s">
        <v>3320</v>
      </c>
      <c r="B101" s="171"/>
      <c r="C101" s="106" t="s">
        <v>708</v>
      </c>
      <c r="D101" s="106" t="s">
        <v>709</v>
      </c>
      <c r="E101" s="166"/>
      <c r="F101" s="367" t="s">
        <v>472</v>
      </c>
      <c r="G101" s="171">
        <v>5</v>
      </c>
      <c r="H101" s="168">
        <f t="shared" si="5"/>
        <v>0</v>
      </c>
      <c r="I101" s="169"/>
    </row>
    <row r="102" spans="1:9" ht="75.599999999999994" x14ac:dyDescent="0.45">
      <c r="A102" s="171" t="s">
        <v>3321</v>
      </c>
      <c r="B102" s="171"/>
      <c r="C102" s="106" t="s">
        <v>711</v>
      </c>
      <c r="D102" s="106" t="s">
        <v>712</v>
      </c>
      <c r="E102" s="166"/>
      <c r="F102" s="367" t="s">
        <v>472</v>
      </c>
      <c r="G102" s="171">
        <v>5</v>
      </c>
      <c r="H102" s="168">
        <f t="shared" si="5"/>
        <v>0</v>
      </c>
      <c r="I102" s="169"/>
    </row>
    <row r="103" spans="1:9" ht="75.599999999999994" x14ac:dyDescent="0.45">
      <c r="A103" s="171" t="s">
        <v>3322</v>
      </c>
      <c r="B103" s="171"/>
      <c r="C103" s="106" t="s">
        <v>714</v>
      </c>
      <c r="D103" s="106" t="s">
        <v>715</v>
      </c>
      <c r="E103" s="166"/>
      <c r="F103" s="367" t="s">
        <v>472</v>
      </c>
      <c r="G103" s="171">
        <v>5</v>
      </c>
      <c r="H103" s="168">
        <f t="shared" si="5"/>
        <v>0</v>
      </c>
      <c r="I103" s="169"/>
    </row>
    <row r="104" spans="1:9" ht="75.599999999999994" x14ac:dyDescent="0.45">
      <c r="A104" s="171" t="s">
        <v>3323</v>
      </c>
      <c r="B104" s="171"/>
      <c r="C104" s="106" t="s">
        <v>717</v>
      </c>
      <c r="D104" s="106" t="s">
        <v>718</v>
      </c>
      <c r="E104" s="166"/>
      <c r="F104" s="367" t="s">
        <v>472</v>
      </c>
      <c r="G104" s="171">
        <v>5</v>
      </c>
      <c r="H104" s="168">
        <f t="shared" si="5"/>
        <v>0</v>
      </c>
      <c r="I104" s="169"/>
    </row>
    <row r="105" spans="1:9" ht="50.4" x14ac:dyDescent="0.45">
      <c r="A105" s="171" t="s">
        <v>3324</v>
      </c>
      <c r="B105" s="171"/>
      <c r="C105" s="106" t="s">
        <v>720</v>
      </c>
      <c r="D105" s="106" t="s">
        <v>721</v>
      </c>
      <c r="E105" s="166"/>
      <c r="F105" s="367" t="s">
        <v>472</v>
      </c>
      <c r="G105" s="188">
        <v>5</v>
      </c>
      <c r="H105" s="168">
        <f t="shared" si="5"/>
        <v>0</v>
      </c>
    </row>
    <row r="106" spans="1:9" ht="63" x14ac:dyDescent="0.45">
      <c r="A106" s="171" t="s">
        <v>3325</v>
      </c>
      <c r="B106" s="171"/>
      <c r="C106" s="106" t="s">
        <v>723</v>
      </c>
      <c r="D106" s="106" t="s">
        <v>724</v>
      </c>
      <c r="E106" s="166"/>
      <c r="F106" s="171" t="s">
        <v>472</v>
      </c>
      <c r="G106" s="171">
        <v>5</v>
      </c>
      <c r="H106" s="168">
        <f t="shared" si="5"/>
        <v>0</v>
      </c>
    </row>
    <row r="107" spans="1:9" ht="63" x14ac:dyDescent="0.45">
      <c r="A107" s="171" t="s">
        <v>3326</v>
      </c>
      <c r="B107" s="171"/>
      <c r="C107" s="106" t="s">
        <v>726</v>
      </c>
      <c r="D107" s="106" t="s">
        <v>727</v>
      </c>
      <c r="E107" s="166"/>
      <c r="F107" s="171" t="s">
        <v>472</v>
      </c>
      <c r="G107" s="171">
        <v>5</v>
      </c>
      <c r="H107" s="168">
        <f t="shared" si="5"/>
        <v>0</v>
      </c>
    </row>
    <row r="108" spans="1:9" ht="50.4" x14ac:dyDescent="0.45">
      <c r="A108" s="171" t="s">
        <v>3327</v>
      </c>
      <c r="B108" s="171"/>
      <c r="C108" s="106" t="s">
        <v>729</v>
      </c>
      <c r="D108" s="189" t="s">
        <v>730</v>
      </c>
      <c r="E108" s="166"/>
      <c r="F108" s="171" t="s">
        <v>472</v>
      </c>
      <c r="G108" s="171">
        <v>5</v>
      </c>
      <c r="H108" s="168">
        <f t="shared" si="5"/>
        <v>0</v>
      </c>
    </row>
    <row r="109" spans="1:9" ht="50.4" x14ac:dyDescent="0.45">
      <c r="A109" s="171" t="s">
        <v>3328</v>
      </c>
      <c r="B109" s="171"/>
      <c r="C109" s="106" t="s">
        <v>732</v>
      </c>
      <c r="D109" s="189" t="s">
        <v>733</v>
      </c>
      <c r="E109" s="166"/>
      <c r="F109" s="171" t="s">
        <v>472</v>
      </c>
      <c r="G109" s="171">
        <v>5</v>
      </c>
      <c r="H109" s="168">
        <f t="shared" si="5"/>
        <v>0</v>
      </c>
    </row>
    <row r="110" spans="1:9" ht="50.4" x14ac:dyDescent="0.45">
      <c r="A110" s="171" t="s">
        <v>3329</v>
      </c>
      <c r="B110" s="171"/>
      <c r="C110" s="106" t="s">
        <v>735</v>
      </c>
      <c r="D110" s="189" t="s">
        <v>736</v>
      </c>
      <c r="E110" s="166"/>
      <c r="F110" s="171" t="s">
        <v>472</v>
      </c>
      <c r="G110" s="171">
        <v>10</v>
      </c>
      <c r="H110" s="168">
        <f t="shared" si="5"/>
        <v>0</v>
      </c>
    </row>
    <row r="111" spans="1:9" ht="63" x14ac:dyDescent="0.45">
      <c r="A111" s="171" t="s">
        <v>3330</v>
      </c>
      <c r="B111" s="171"/>
      <c r="C111" s="106" t="s">
        <v>738</v>
      </c>
      <c r="D111" s="189" t="s">
        <v>739</v>
      </c>
      <c r="E111" s="166"/>
      <c r="F111" s="171" t="s">
        <v>472</v>
      </c>
      <c r="G111" s="171">
        <v>5</v>
      </c>
      <c r="H111" s="168">
        <f t="shared" si="5"/>
        <v>0</v>
      </c>
    </row>
    <row r="112" spans="1:9" s="183" customFormat="1" ht="63" x14ac:dyDescent="0.45">
      <c r="A112" s="185" t="s">
        <v>3331</v>
      </c>
      <c r="B112" s="185"/>
      <c r="C112" s="216" t="s">
        <v>741</v>
      </c>
      <c r="D112" s="216" t="s">
        <v>742</v>
      </c>
      <c r="E112" s="166"/>
      <c r="F112" s="185" t="s">
        <v>472</v>
      </c>
      <c r="G112" s="217">
        <v>20</v>
      </c>
      <c r="H112" s="168">
        <f t="shared" si="5"/>
        <v>0</v>
      </c>
    </row>
    <row r="113" spans="1:8" x14ac:dyDescent="0.45">
      <c r="A113" s="118" t="s">
        <v>3332</v>
      </c>
      <c r="B113" s="184" t="s">
        <v>180</v>
      </c>
      <c r="C113" s="120"/>
      <c r="D113" s="170"/>
      <c r="E113" s="142"/>
      <c r="F113" s="172"/>
      <c r="G113" s="168"/>
      <c r="H113" s="142"/>
    </row>
    <row r="114" spans="1:8" ht="13" customHeight="1" x14ac:dyDescent="0.45">
      <c r="A114" s="159"/>
      <c r="B114" s="159">
        <v>1503050</v>
      </c>
      <c r="C114" s="159"/>
      <c r="D114" s="159" t="s">
        <v>127</v>
      </c>
      <c r="E114" s="159"/>
      <c r="F114" s="209"/>
      <c r="G114" s="210"/>
      <c r="H114" s="163"/>
    </row>
    <row r="115" spans="1:8" ht="88.2" x14ac:dyDescent="0.45">
      <c r="A115" s="118" t="s">
        <v>3333</v>
      </c>
      <c r="B115" s="118"/>
      <c r="C115" s="184" t="s">
        <v>745</v>
      </c>
      <c r="D115" s="120" t="s">
        <v>746</v>
      </c>
      <c r="E115" s="166"/>
      <c r="F115" s="171" t="s">
        <v>508</v>
      </c>
      <c r="G115" s="172">
        <v>10000</v>
      </c>
      <c r="H115" s="168">
        <f t="shared" ref="H115:H134" si="6">SUM(E115)*G115</f>
        <v>0</v>
      </c>
    </row>
    <row r="116" spans="1:8" ht="63" x14ac:dyDescent="0.45">
      <c r="A116" s="171" t="s">
        <v>3334</v>
      </c>
      <c r="B116" s="171"/>
      <c r="C116" s="106" t="s">
        <v>748</v>
      </c>
      <c r="D116" s="106" t="s">
        <v>749</v>
      </c>
      <c r="E116" s="166"/>
      <c r="F116" s="171" t="s">
        <v>750</v>
      </c>
      <c r="G116" s="172">
        <v>3000</v>
      </c>
      <c r="H116" s="168">
        <f t="shared" si="6"/>
        <v>0</v>
      </c>
    </row>
    <row r="117" spans="1:8" ht="37.799999999999997" x14ac:dyDescent="0.45">
      <c r="A117" s="171" t="s">
        <v>3335</v>
      </c>
      <c r="B117" s="171"/>
      <c r="C117" s="106" t="s">
        <v>752</v>
      </c>
      <c r="D117" s="106" t="s">
        <v>753</v>
      </c>
      <c r="E117" s="166"/>
      <c r="F117" s="171" t="s">
        <v>508</v>
      </c>
      <c r="G117" s="172">
        <v>10000</v>
      </c>
      <c r="H117" s="168">
        <f t="shared" si="6"/>
        <v>0</v>
      </c>
    </row>
    <row r="118" spans="1:8" ht="63" x14ac:dyDescent="0.45">
      <c r="A118" s="171" t="s">
        <v>3336</v>
      </c>
      <c r="B118" s="171"/>
      <c r="C118" s="106" t="s">
        <v>755</v>
      </c>
      <c r="D118" s="106" t="s">
        <v>756</v>
      </c>
      <c r="E118" s="166"/>
      <c r="F118" s="171" t="s">
        <v>508</v>
      </c>
      <c r="G118" s="172">
        <v>10000</v>
      </c>
      <c r="H118" s="168">
        <f t="shared" si="6"/>
        <v>0</v>
      </c>
    </row>
    <row r="119" spans="1:8" ht="88.2" x14ac:dyDescent="0.45">
      <c r="A119" s="171" t="s">
        <v>3337</v>
      </c>
      <c r="B119" s="171"/>
      <c r="C119" s="106" t="s">
        <v>758</v>
      </c>
      <c r="D119" s="106" t="s">
        <v>759</v>
      </c>
      <c r="E119" s="166"/>
      <c r="F119" s="171" t="s">
        <v>472</v>
      </c>
      <c r="G119" s="172">
        <v>150</v>
      </c>
      <c r="H119" s="168">
        <f t="shared" si="6"/>
        <v>0</v>
      </c>
    </row>
    <row r="120" spans="1:8" ht="88.2" x14ac:dyDescent="0.45">
      <c r="A120" s="171" t="s">
        <v>3338</v>
      </c>
      <c r="B120" s="171"/>
      <c r="C120" s="106" t="s">
        <v>761</v>
      </c>
      <c r="D120" s="106" t="s">
        <v>759</v>
      </c>
      <c r="E120" s="166"/>
      <c r="F120" s="171" t="s">
        <v>750</v>
      </c>
      <c r="G120" s="172">
        <v>2000</v>
      </c>
      <c r="H120" s="168">
        <f t="shared" si="6"/>
        <v>0</v>
      </c>
    </row>
    <row r="121" spans="1:8" ht="151.19999999999999" x14ac:dyDescent="0.45">
      <c r="A121" s="171" t="s">
        <v>3339</v>
      </c>
      <c r="B121" s="171"/>
      <c r="C121" s="106" t="s">
        <v>763</v>
      </c>
      <c r="D121" s="106" t="s">
        <v>764</v>
      </c>
      <c r="E121" s="166"/>
      <c r="F121" s="171" t="s">
        <v>472</v>
      </c>
      <c r="G121" s="171">
        <v>150</v>
      </c>
      <c r="H121" s="168">
        <f t="shared" si="6"/>
        <v>0</v>
      </c>
    </row>
    <row r="122" spans="1:8" ht="151.19999999999999" x14ac:dyDescent="0.45">
      <c r="A122" s="171" t="s">
        <v>3340</v>
      </c>
      <c r="B122" s="171"/>
      <c r="C122" s="106" t="s">
        <v>766</v>
      </c>
      <c r="D122" s="106" t="s">
        <v>764</v>
      </c>
      <c r="E122" s="166"/>
      <c r="F122" s="171" t="s">
        <v>472</v>
      </c>
      <c r="G122" s="171">
        <v>150</v>
      </c>
      <c r="H122" s="168">
        <f t="shared" si="6"/>
        <v>0</v>
      </c>
    </row>
    <row r="123" spans="1:8" ht="63" x14ac:dyDescent="0.45">
      <c r="A123" s="171" t="s">
        <v>3341</v>
      </c>
      <c r="B123" s="171"/>
      <c r="C123" s="106" t="s">
        <v>768</v>
      </c>
      <c r="D123" s="106" t="s">
        <v>769</v>
      </c>
      <c r="E123" s="166"/>
      <c r="F123" s="171" t="s">
        <v>472</v>
      </c>
      <c r="G123" s="171">
        <v>25</v>
      </c>
      <c r="H123" s="168">
        <f t="shared" si="6"/>
        <v>0</v>
      </c>
    </row>
    <row r="124" spans="1:8" ht="63" x14ac:dyDescent="0.45">
      <c r="A124" s="171" t="s">
        <v>3342</v>
      </c>
      <c r="B124" s="171"/>
      <c r="C124" s="106" t="s">
        <v>771</v>
      </c>
      <c r="D124" s="106" t="s">
        <v>772</v>
      </c>
      <c r="E124" s="166"/>
      <c r="F124" s="171" t="s">
        <v>472</v>
      </c>
      <c r="G124" s="171">
        <v>50</v>
      </c>
      <c r="H124" s="168">
        <f t="shared" si="6"/>
        <v>0</v>
      </c>
    </row>
    <row r="125" spans="1:8" ht="63" x14ac:dyDescent="0.45">
      <c r="A125" s="171" t="s">
        <v>3343</v>
      </c>
      <c r="B125" s="171"/>
      <c r="C125" s="106" t="s">
        <v>774</v>
      </c>
      <c r="D125" s="106" t="s">
        <v>772</v>
      </c>
      <c r="E125" s="166"/>
      <c r="F125" s="171" t="s">
        <v>472</v>
      </c>
      <c r="G125" s="171">
        <v>50</v>
      </c>
      <c r="H125" s="168">
        <f t="shared" si="6"/>
        <v>0</v>
      </c>
    </row>
    <row r="126" spans="1:8" ht="50.4" x14ac:dyDescent="0.45">
      <c r="A126" s="171" t="s">
        <v>3344</v>
      </c>
      <c r="B126" s="171"/>
      <c r="C126" s="106" t="s">
        <v>776</v>
      </c>
      <c r="D126" s="106" t="s">
        <v>777</v>
      </c>
      <c r="E126" s="166"/>
      <c r="F126" s="171" t="s">
        <v>472</v>
      </c>
      <c r="G126" s="171">
        <v>100</v>
      </c>
      <c r="H126" s="168">
        <f t="shared" si="6"/>
        <v>0</v>
      </c>
    </row>
    <row r="127" spans="1:8" ht="113.4" x14ac:dyDescent="0.45">
      <c r="A127" s="171" t="s">
        <v>3345</v>
      </c>
      <c r="B127" s="171"/>
      <c r="C127" s="106" t="s">
        <v>779</v>
      </c>
      <c r="D127" s="106" t="s">
        <v>780</v>
      </c>
      <c r="E127" s="166"/>
      <c r="F127" s="171" t="s">
        <v>472</v>
      </c>
      <c r="G127" s="171">
        <v>150</v>
      </c>
      <c r="H127" s="168">
        <f t="shared" si="6"/>
        <v>0</v>
      </c>
    </row>
    <row r="128" spans="1:8" ht="113.4" x14ac:dyDescent="0.45">
      <c r="A128" s="171" t="s">
        <v>3346</v>
      </c>
      <c r="B128" s="171"/>
      <c r="C128" s="106" t="s">
        <v>782</v>
      </c>
      <c r="D128" s="106" t="s">
        <v>783</v>
      </c>
      <c r="E128" s="166"/>
      <c r="F128" s="171" t="s">
        <v>472</v>
      </c>
      <c r="G128" s="171">
        <v>150</v>
      </c>
      <c r="H128" s="168">
        <f t="shared" si="6"/>
        <v>0</v>
      </c>
    </row>
    <row r="129" spans="1:8" ht="100.8" x14ac:dyDescent="0.45">
      <c r="A129" s="171" t="s">
        <v>3347</v>
      </c>
      <c r="B129" s="171"/>
      <c r="C129" s="106" t="s">
        <v>785</v>
      </c>
      <c r="D129" s="106" t="s">
        <v>786</v>
      </c>
      <c r="E129" s="166"/>
      <c r="F129" s="171" t="s">
        <v>472</v>
      </c>
      <c r="G129" s="171">
        <v>150</v>
      </c>
      <c r="H129" s="168">
        <f t="shared" si="6"/>
        <v>0</v>
      </c>
    </row>
    <row r="130" spans="1:8" ht="75.599999999999994" x14ac:dyDescent="0.45">
      <c r="A130" s="171" t="s">
        <v>3348</v>
      </c>
      <c r="B130" s="171"/>
      <c r="C130" s="106" t="s">
        <v>788</v>
      </c>
      <c r="D130" s="106" t="s">
        <v>789</v>
      </c>
      <c r="E130" s="166"/>
      <c r="F130" s="171" t="s">
        <v>508</v>
      </c>
      <c r="G130" s="171">
        <v>5000</v>
      </c>
      <c r="H130" s="168">
        <f t="shared" si="6"/>
        <v>0</v>
      </c>
    </row>
    <row r="131" spans="1:8" ht="88.2" x14ac:dyDescent="0.45">
      <c r="A131" s="171" t="s">
        <v>3349</v>
      </c>
      <c r="B131" s="171"/>
      <c r="C131" s="106" t="s">
        <v>791</v>
      </c>
      <c r="D131" s="106" t="s">
        <v>792</v>
      </c>
      <c r="E131" s="166"/>
      <c r="F131" s="171" t="s">
        <v>508</v>
      </c>
      <c r="G131" s="171">
        <v>1750</v>
      </c>
      <c r="H131" s="168">
        <f t="shared" si="6"/>
        <v>0</v>
      </c>
    </row>
    <row r="132" spans="1:8" ht="75.599999999999994" x14ac:dyDescent="0.45">
      <c r="A132" s="171" t="s">
        <v>3350</v>
      </c>
      <c r="B132" s="171"/>
      <c r="C132" s="106" t="s">
        <v>794</v>
      </c>
      <c r="D132" s="106" t="s">
        <v>795</v>
      </c>
      <c r="E132" s="166"/>
      <c r="F132" s="171" t="s">
        <v>508</v>
      </c>
      <c r="G132" s="171">
        <v>6000</v>
      </c>
      <c r="H132" s="168">
        <f t="shared" si="6"/>
        <v>0</v>
      </c>
    </row>
    <row r="133" spans="1:8" ht="75.599999999999994" x14ac:dyDescent="0.45">
      <c r="A133" s="171" t="s">
        <v>3351</v>
      </c>
      <c r="B133" s="171"/>
      <c r="C133" s="106" t="s">
        <v>797</v>
      </c>
      <c r="D133" s="106" t="s">
        <v>798</v>
      </c>
      <c r="E133" s="166"/>
      <c r="F133" s="171" t="s">
        <v>682</v>
      </c>
      <c r="G133" s="171">
        <v>450</v>
      </c>
      <c r="H133" s="168">
        <f t="shared" si="6"/>
        <v>0</v>
      </c>
    </row>
    <row r="134" spans="1:8" ht="75.599999999999994" x14ac:dyDescent="0.45">
      <c r="A134" s="171" t="s">
        <v>3352</v>
      </c>
      <c r="B134" s="171"/>
      <c r="C134" s="106" t="s">
        <v>800</v>
      </c>
      <c r="D134" s="106" t="s">
        <v>801</v>
      </c>
      <c r="E134" s="166"/>
      <c r="F134" s="171" t="s">
        <v>508</v>
      </c>
      <c r="G134" s="172">
        <v>12000</v>
      </c>
      <c r="H134" s="168">
        <f t="shared" si="6"/>
        <v>0</v>
      </c>
    </row>
    <row r="135" spans="1:8" x14ac:dyDescent="0.45">
      <c r="A135" s="118" t="s">
        <v>3353</v>
      </c>
      <c r="B135" s="184" t="s">
        <v>180</v>
      </c>
      <c r="D135" s="120"/>
      <c r="E135" s="142"/>
      <c r="F135" s="171"/>
      <c r="G135" s="172"/>
      <c r="H135" s="168"/>
    </row>
    <row r="136" spans="1:8" x14ac:dyDescent="0.45">
      <c r="A136" s="159"/>
      <c r="B136" s="159">
        <v>1503060</v>
      </c>
      <c r="C136" s="159"/>
      <c r="D136" s="159" t="s">
        <v>138</v>
      </c>
      <c r="E136" s="159"/>
      <c r="F136" s="159"/>
      <c r="G136" s="210"/>
      <c r="H136" s="163"/>
    </row>
    <row r="137" spans="1:8" ht="113.4" x14ac:dyDescent="0.45">
      <c r="A137" s="171" t="s">
        <v>3354</v>
      </c>
      <c r="B137" s="171"/>
      <c r="C137" s="106" t="s">
        <v>138</v>
      </c>
      <c r="D137" s="106" t="s">
        <v>804</v>
      </c>
      <c r="E137" s="166"/>
      <c r="F137" s="171" t="s">
        <v>508</v>
      </c>
      <c r="G137" s="172">
        <v>800000</v>
      </c>
      <c r="H137" s="168">
        <f>SUM(E137)*G137</f>
        <v>0</v>
      </c>
    </row>
    <row r="138" spans="1:8" ht="88.2" x14ac:dyDescent="0.45">
      <c r="A138" s="171" t="s">
        <v>3355</v>
      </c>
      <c r="B138" s="171"/>
      <c r="C138" s="106" t="s">
        <v>806</v>
      </c>
      <c r="D138" s="106" t="s">
        <v>807</v>
      </c>
      <c r="E138" s="166"/>
      <c r="F138" s="171" t="s">
        <v>508</v>
      </c>
      <c r="G138" s="172">
        <v>13000</v>
      </c>
      <c r="H138" s="168">
        <f>SUM(E138)*G138</f>
        <v>0</v>
      </c>
    </row>
    <row r="139" spans="1:8" x14ac:dyDescent="0.45">
      <c r="A139" s="118" t="s">
        <v>3356</v>
      </c>
      <c r="B139" s="184" t="s">
        <v>180</v>
      </c>
      <c r="D139" s="120"/>
      <c r="E139" s="142"/>
      <c r="F139" s="171"/>
      <c r="G139" s="172"/>
      <c r="H139" s="168"/>
    </row>
    <row r="140" spans="1:8" ht="13" customHeight="1" x14ac:dyDescent="0.45">
      <c r="A140" s="159"/>
      <c r="B140" s="159">
        <v>1700000</v>
      </c>
      <c r="C140" s="159"/>
      <c r="D140" s="159" t="s">
        <v>171</v>
      </c>
      <c r="E140" s="159"/>
      <c r="F140" s="159"/>
      <c r="G140" s="210"/>
      <c r="H140" s="163"/>
    </row>
    <row r="141" spans="1:8" ht="75.599999999999994" x14ac:dyDescent="0.45">
      <c r="A141" s="171" t="s">
        <v>3357</v>
      </c>
      <c r="B141" s="171"/>
      <c r="C141" s="106" t="s">
        <v>810</v>
      </c>
      <c r="D141" s="106" t="s">
        <v>811</v>
      </c>
      <c r="E141" s="166"/>
      <c r="F141" s="171" t="s">
        <v>633</v>
      </c>
      <c r="G141" s="171">
        <v>45</v>
      </c>
      <c r="H141" s="168">
        <f>SUM(E141)*G141</f>
        <v>0</v>
      </c>
    </row>
    <row r="142" spans="1:8" ht="75.599999999999994" x14ac:dyDescent="0.45">
      <c r="A142" s="171" t="s">
        <v>3358</v>
      </c>
      <c r="B142" s="171"/>
      <c r="C142" s="106" t="s">
        <v>813</v>
      </c>
      <c r="D142" s="106" t="s">
        <v>814</v>
      </c>
      <c r="E142" s="166"/>
      <c r="F142" s="171" t="s">
        <v>633</v>
      </c>
      <c r="G142" s="171">
        <v>45</v>
      </c>
      <c r="H142" s="168">
        <f>SUM(E142)*G142</f>
        <v>0</v>
      </c>
    </row>
    <row r="143" spans="1:8" x14ac:dyDescent="0.45">
      <c r="A143" s="118" t="s">
        <v>3359</v>
      </c>
      <c r="B143" s="184" t="s">
        <v>180</v>
      </c>
      <c r="D143" s="120"/>
      <c r="E143" s="142"/>
      <c r="F143" s="171"/>
      <c r="G143" s="172"/>
      <c r="H143" s="220"/>
    </row>
    <row r="144" spans="1:8" ht="13" customHeight="1" x14ac:dyDescent="0.45">
      <c r="A144" s="159"/>
      <c r="B144" s="159">
        <v>1800000</v>
      </c>
      <c r="C144" s="159"/>
      <c r="D144" s="159" t="s">
        <v>174</v>
      </c>
      <c r="E144" s="159"/>
      <c r="F144" s="209"/>
      <c r="G144" s="210"/>
      <c r="H144" s="163"/>
    </row>
    <row r="145" spans="1:8" ht="176.4" x14ac:dyDescent="0.45">
      <c r="A145" s="171" t="s">
        <v>3360</v>
      </c>
      <c r="B145" s="171"/>
      <c r="C145" s="186" t="s">
        <v>817</v>
      </c>
      <c r="D145" s="186" t="s">
        <v>818</v>
      </c>
      <c r="E145" s="166"/>
      <c r="F145" s="171" t="s">
        <v>472</v>
      </c>
      <c r="G145" s="171">
        <v>25</v>
      </c>
      <c r="H145" s="168">
        <f t="shared" ref="H145:H208" si="7">SUM(E145)*G145</f>
        <v>0</v>
      </c>
    </row>
    <row r="146" spans="1:8" ht="176.4" x14ac:dyDescent="0.45">
      <c r="A146" s="171" t="s">
        <v>3361</v>
      </c>
      <c r="B146" s="171"/>
      <c r="C146" s="186" t="s">
        <v>820</v>
      </c>
      <c r="D146" s="186" t="s">
        <v>818</v>
      </c>
      <c r="E146" s="166"/>
      <c r="F146" s="171" t="s">
        <v>472</v>
      </c>
      <c r="G146" s="171">
        <v>20</v>
      </c>
      <c r="H146" s="168">
        <f t="shared" si="7"/>
        <v>0</v>
      </c>
    </row>
    <row r="147" spans="1:8" ht="176.4" x14ac:dyDescent="0.45">
      <c r="A147" s="171" t="s">
        <v>3362</v>
      </c>
      <c r="B147" s="171"/>
      <c r="C147" s="106" t="s">
        <v>822</v>
      </c>
      <c r="D147" s="106" t="s">
        <v>823</v>
      </c>
      <c r="E147" s="166"/>
      <c r="F147" s="171" t="s">
        <v>472</v>
      </c>
      <c r="G147" s="171">
        <v>6</v>
      </c>
      <c r="H147" s="168">
        <f t="shared" si="7"/>
        <v>0</v>
      </c>
    </row>
    <row r="148" spans="1:8" ht="176.4" x14ac:dyDescent="0.45">
      <c r="A148" s="171" t="s">
        <v>3363</v>
      </c>
      <c r="B148" s="171"/>
      <c r="C148" s="106" t="s">
        <v>825</v>
      </c>
      <c r="D148" s="106" t="s">
        <v>823</v>
      </c>
      <c r="E148" s="166"/>
      <c r="F148" s="171" t="s">
        <v>472</v>
      </c>
      <c r="G148" s="172">
        <v>1</v>
      </c>
      <c r="H148" s="168">
        <f t="shared" si="7"/>
        <v>0</v>
      </c>
    </row>
    <row r="149" spans="1:8" ht="176.4" x14ac:dyDescent="0.45">
      <c r="A149" s="171" t="s">
        <v>3364</v>
      </c>
      <c r="B149" s="171"/>
      <c r="C149" s="106" t="s">
        <v>827</v>
      </c>
      <c r="D149" s="106" t="s">
        <v>828</v>
      </c>
      <c r="E149" s="166"/>
      <c r="F149" s="171" t="s">
        <v>472</v>
      </c>
      <c r="G149" s="172">
        <v>1</v>
      </c>
      <c r="H149" s="168">
        <f t="shared" si="7"/>
        <v>0</v>
      </c>
    </row>
    <row r="150" spans="1:8" ht="50.4" x14ac:dyDescent="0.45">
      <c r="A150" s="171" t="s">
        <v>3365</v>
      </c>
      <c r="B150" s="171"/>
      <c r="C150" s="106" t="s">
        <v>830</v>
      </c>
      <c r="D150" s="106" t="s">
        <v>831</v>
      </c>
      <c r="E150" s="166"/>
      <c r="F150" s="171" t="s">
        <v>543</v>
      </c>
      <c r="G150" s="172">
        <v>33000</v>
      </c>
      <c r="H150" s="168">
        <f t="shared" si="7"/>
        <v>0</v>
      </c>
    </row>
    <row r="151" spans="1:8" ht="63" x14ac:dyDescent="0.45">
      <c r="A151" s="171" t="s">
        <v>3366</v>
      </c>
      <c r="B151" s="171"/>
      <c r="C151" s="186" t="s">
        <v>833</v>
      </c>
      <c r="D151" s="186" t="s">
        <v>1436</v>
      </c>
      <c r="E151" s="166"/>
      <c r="F151" s="171" t="s">
        <v>543</v>
      </c>
      <c r="G151" s="172">
        <v>2400</v>
      </c>
      <c r="H151" s="168">
        <f t="shared" si="7"/>
        <v>0</v>
      </c>
    </row>
    <row r="152" spans="1:8" ht="63" x14ac:dyDescent="0.45">
      <c r="A152" s="171" t="s">
        <v>3367</v>
      </c>
      <c r="B152" s="171"/>
      <c r="C152" s="186" t="s">
        <v>835</v>
      </c>
      <c r="D152" s="186" t="s">
        <v>1438</v>
      </c>
      <c r="E152" s="166"/>
      <c r="F152" s="171" t="s">
        <v>543</v>
      </c>
      <c r="G152" s="172">
        <v>7000</v>
      </c>
      <c r="H152" s="168">
        <f t="shared" si="7"/>
        <v>0</v>
      </c>
    </row>
    <row r="153" spans="1:8" ht="63" x14ac:dyDescent="0.45">
      <c r="A153" s="171" t="s">
        <v>3368</v>
      </c>
      <c r="B153" s="171"/>
      <c r="C153" s="186" t="s">
        <v>837</v>
      </c>
      <c r="D153" s="186" t="s">
        <v>1440</v>
      </c>
      <c r="E153" s="166"/>
      <c r="F153" s="171" t="s">
        <v>543</v>
      </c>
      <c r="G153" s="172">
        <v>1750</v>
      </c>
      <c r="H153" s="168">
        <f t="shared" si="7"/>
        <v>0</v>
      </c>
    </row>
    <row r="154" spans="1:8" ht="63" x14ac:dyDescent="0.45">
      <c r="A154" s="171" t="s">
        <v>3369</v>
      </c>
      <c r="B154" s="171"/>
      <c r="C154" s="186" t="s">
        <v>839</v>
      </c>
      <c r="D154" s="186" t="s">
        <v>1442</v>
      </c>
      <c r="E154" s="166"/>
      <c r="F154" s="171" t="s">
        <v>543</v>
      </c>
      <c r="G154" s="172">
        <v>300</v>
      </c>
      <c r="H154" s="168">
        <f t="shared" si="7"/>
        <v>0</v>
      </c>
    </row>
    <row r="155" spans="1:8" ht="63" x14ac:dyDescent="0.45">
      <c r="A155" s="171" t="s">
        <v>3370</v>
      </c>
      <c r="B155" s="171"/>
      <c r="C155" s="186" t="s">
        <v>841</v>
      </c>
      <c r="D155" s="186" t="s">
        <v>1444</v>
      </c>
      <c r="E155" s="166"/>
      <c r="F155" s="171" t="s">
        <v>543</v>
      </c>
      <c r="G155" s="172">
        <v>5880</v>
      </c>
      <c r="H155" s="168">
        <f t="shared" si="7"/>
        <v>0</v>
      </c>
    </row>
    <row r="156" spans="1:8" ht="63" x14ac:dyDescent="0.45">
      <c r="A156" s="171" t="s">
        <v>3371</v>
      </c>
      <c r="B156" s="171"/>
      <c r="C156" s="186" t="s">
        <v>843</v>
      </c>
      <c r="D156" s="186" t="s">
        <v>1446</v>
      </c>
      <c r="E156" s="166"/>
      <c r="F156" s="171" t="s">
        <v>543</v>
      </c>
      <c r="G156" s="172">
        <v>1020</v>
      </c>
      <c r="H156" s="168">
        <f t="shared" si="7"/>
        <v>0</v>
      </c>
    </row>
    <row r="157" spans="1:8" ht="63" x14ac:dyDescent="0.45">
      <c r="A157" s="171" t="s">
        <v>3372</v>
      </c>
      <c r="B157" s="171"/>
      <c r="C157" s="186" t="s">
        <v>845</v>
      </c>
      <c r="D157" s="186" t="s">
        <v>1438</v>
      </c>
      <c r="E157" s="166"/>
      <c r="F157" s="171" t="s">
        <v>543</v>
      </c>
      <c r="G157" s="172">
        <v>3000</v>
      </c>
      <c r="H157" s="168">
        <f t="shared" si="7"/>
        <v>0</v>
      </c>
    </row>
    <row r="158" spans="1:8" ht="63" x14ac:dyDescent="0.45">
      <c r="A158" s="171" t="s">
        <v>3373</v>
      </c>
      <c r="B158" s="171"/>
      <c r="C158" s="186" t="s">
        <v>837</v>
      </c>
      <c r="D158" s="186" t="s">
        <v>1440</v>
      </c>
      <c r="E158" s="166"/>
      <c r="F158" s="171" t="s">
        <v>543</v>
      </c>
      <c r="G158" s="172">
        <v>750</v>
      </c>
      <c r="H158" s="168">
        <f t="shared" si="7"/>
        <v>0</v>
      </c>
    </row>
    <row r="159" spans="1:8" ht="63" x14ac:dyDescent="0.45">
      <c r="A159" s="171" t="s">
        <v>3374</v>
      </c>
      <c r="B159" s="171"/>
      <c r="C159" s="186" t="s">
        <v>839</v>
      </c>
      <c r="D159" s="186" t="s">
        <v>1442</v>
      </c>
      <c r="E159" s="166"/>
      <c r="F159" s="171" t="s">
        <v>543</v>
      </c>
      <c r="G159" s="172">
        <v>125</v>
      </c>
      <c r="H159" s="168">
        <f t="shared" si="7"/>
        <v>0</v>
      </c>
    </row>
    <row r="160" spans="1:8" ht="63" x14ac:dyDescent="0.45">
      <c r="A160" s="171" t="s">
        <v>3375</v>
      </c>
      <c r="B160" s="171"/>
      <c r="C160" s="186" t="s">
        <v>849</v>
      </c>
      <c r="D160" s="186" t="s">
        <v>1451</v>
      </c>
      <c r="E160" s="166"/>
      <c r="F160" s="171" t="s">
        <v>543</v>
      </c>
      <c r="G160" s="172">
        <v>2050</v>
      </c>
      <c r="H160" s="168">
        <f t="shared" si="7"/>
        <v>0</v>
      </c>
    </row>
    <row r="161" spans="1:8" ht="50.4" x14ac:dyDescent="0.45">
      <c r="A161" s="171" t="s">
        <v>3376</v>
      </c>
      <c r="B161" s="171"/>
      <c r="C161" s="106" t="s">
        <v>851</v>
      </c>
      <c r="D161" s="106" t="s">
        <v>852</v>
      </c>
      <c r="E161" s="166"/>
      <c r="F161" s="171" t="s">
        <v>543</v>
      </c>
      <c r="G161" s="172">
        <v>15000</v>
      </c>
      <c r="H161" s="168">
        <f t="shared" si="7"/>
        <v>0</v>
      </c>
    </row>
    <row r="162" spans="1:8" ht="63" x14ac:dyDescent="0.45">
      <c r="A162" s="171" t="s">
        <v>3377</v>
      </c>
      <c r="B162" s="171"/>
      <c r="C162" s="106" t="s">
        <v>854</v>
      </c>
      <c r="D162" s="106" t="s">
        <v>855</v>
      </c>
      <c r="E162" s="166"/>
      <c r="F162" s="171" t="s">
        <v>472</v>
      </c>
      <c r="G162" s="171">
        <v>10</v>
      </c>
      <c r="H162" s="168">
        <f t="shared" si="7"/>
        <v>0</v>
      </c>
    </row>
    <row r="163" spans="1:8" ht="63" x14ac:dyDescent="0.45">
      <c r="A163" s="171" t="s">
        <v>3378</v>
      </c>
      <c r="B163" s="171"/>
      <c r="C163" s="106" t="s">
        <v>857</v>
      </c>
      <c r="D163" s="184" t="s">
        <v>858</v>
      </c>
      <c r="E163" s="166"/>
      <c r="F163" s="171" t="s">
        <v>543</v>
      </c>
      <c r="G163" s="172">
        <v>33000</v>
      </c>
      <c r="H163" s="168">
        <f t="shared" si="7"/>
        <v>0</v>
      </c>
    </row>
    <row r="164" spans="1:8" ht="63" x14ac:dyDescent="0.45">
      <c r="A164" s="171" t="s">
        <v>3379</v>
      </c>
      <c r="B164" s="171"/>
      <c r="C164" s="106" t="s">
        <v>860</v>
      </c>
      <c r="D164" s="184" t="s">
        <v>861</v>
      </c>
      <c r="E164" s="166"/>
      <c r="F164" s="171" t="s">
        <v>543</v>
      </c>
      <c r="G164" s="172">
        <v>39000</v>
      </c>
      <c r="H164" s="168">
        <f t="shared" si="7"/>
        <v>0</v>
      </c>
    </row>
    <row r="165" spans="1:8" ht="37.799999999999997" x14ac:dyDescent="0.45">
      <c r="A165" s="171" t="s">
        <v>3380</v>
      </c>
      <c r="B165" s="171"/>
      <c r="C165" s="106" t="s">
        <v>863</v>
      </c>
      <c r="D165" s="106" t="s">
        <v>864</v>
      </c>
      <c r="E165" s="166"/>
      <c r="F165" s="171" t="s">
        <v>472</v>
      </c>
      <c r="G165" s="171">
        <v>10</v>
      </c>
      <c r="H165" s="168">
        <f t="shared" si="7"/>
        <v>0</v>
      </c>
    </row>
    <row r="166" spans="1:8" ht="37.799999999999997" x14ac:dyDescent="0.45">
      <c r="A166" s="171" t="s">
        <v>3381</v>
      </c>
      <c r="B166" s="171"/>
      <c r="C166" s="106" t="s">
        <v>866</v>
      </c>
      <c r="D166" s="106" t="s">
        <v>864</v>
      </c>
      <c r="E166" s="166"/>
      <c r="F166" s="171" t="s">
        <v>472</v>
      </c>
      <c r="G166" s="171">
        <v>10</v>
      </c>
      <c r="H166" s="168">
        <f t="shared" si="7"/>
        <v>0</v>
      </c>
    </row>
    <row r="167" spans="1:8" ht="37.799999999999997" x14ac:dyDescent="0.45">
      <c r="A167" s="171" t="s">
        <v>3382</v>
      </c>
      <c r="B167" s="171"/>
      <c r="C167" s="106" t="s">
        <v>868</v>
      </c>
      <c r="D167" s="106" t="s">
        <v>869</v>
      </c>
      <c r="E167" s="166"/>
      <c r="F167" s="171" t="s">
        <v>472</v>
      </c>
      <c r="G167" s="171">
        <v>10</v>
      </c>
      <c r="H167" s="168">
        <f t="shared" si="7"/>
        <v>0</v>
      </c>
    </row>
    <row r="168" spans="1:8" ht="37.799999999999997" x14ac:dyDescent="0.45">
      <c r="A168" s="171" t="s">
        <v>3383</v>
      </c>
      <c r="B168" s="171"/>
      <c r="C168" s="106" t="s">
        <v>871</v>
      </c>
      <c r="D168" s="106" t="s">
        <v>869</v>
      </c>
      <c r="E168" s="166"/>
      <c r="F168" s="171" t="s">
        <v>472</v>
      </c>
      <c r="G168" s="171">
        <v>10</v>
      </c>
      <c r="H168" s="168">
        <f t="shared" si="7"/>
        <v>0</v>
      </c>
    </row>
    <row r="169" spans="1:8" ht="37.799999999999997" x14ac:dyDescent="0.45">
      <c r="A169" s="171" t="s">
        <v>3384</v>
      </c>
      <c r="B169" s="171"/>
      <c r="C169" s="106" t="s">
        <v>873</v>
      </c>
      <c r="D169" s="106" t="s">
        <v>864</v>
      </c>
      <c r="E169" s="166"/>
      <c r="F169" s="171" t="s">
        <v>472</v>
      </c>
      <c r="G169" s="171">
        <v>10</v>
      </c>
      <c r="H169" s="168">
        <f t="shared" si="7"/>
        <v>0</v>
      </c>
    </row>
    <row r="170" spans="1:8" ht="37.799999999999997" x14ac:dyDescent="0.45">
      <c r="A170" s="171" t="s">
        <v>3385</v>
      </c>
      <c r="B170" s="171"/>
      <c r="C170" s="106" t="s">
        <v>875</v>
      </c>
      <c r="D170" s="106" t="s">
        <v>864</v>
      </c>
      <c r="E170" s="166"/>
      <c r="F170" s="171" t="s">
        <v>472</v>
      </c>
      <c r="G170" s="171">
        <v>10</v>
      </c>
      <c r="H170" s="168">
        <f t="shared" si="7"/>
        <v>0</v>
      </c>
    </row>
    <row r="171" spans="1:8" ht="37.799999999999997" x14ac:dyDescent="0.45">
      <c r="A171" s="171" t="s">
        <v>3386</v>
      </c>
      <c r="B171" s="171"/>
      <c r="C171" s="106" t="s">
        <v>877</v>
      </c>
      <c r="D171" s="106" t="s">
        <v>864</v>
      </c>
      <c r="E171" s="166"/>
      <c r="F171" s="171" t="s">
        <v>472</v>
      </c>
      <c r="G171" s="171">
        <v>10</v>
      </c>
      <c r="H171" s="168">
        <f t="shared" si="7"/>
        <v>0</v>
      </c>
    </row>
    <row r="172" spans="1:8" ht="37.799999999999997" x14ac:dyDescent="0.45">
      <c r="A172" s="171" t="s">
        <v>3387</v>
      </c>
      <c r="B172" s="171"/>
      <c r="C172" s="106" t="s">
        <v>879</v>
      </c>
      <c r="D172" s="106" t="s">
        <v>864</v>
      </c>
      <c r="E172" s="166"/>
      <c r="F172" s="171" t="s">
        <v>472</v>
      </c>
      <c r="G172" s="171">
        <v>10</v>
      </c>
      <c r="H172" s="168">
        <f t="shared" si="7"/>
        <v>0</v>
      </c>
    </row>
    <row r="173" spans="1:8" ht="37.799999999999997" x14ac:dyDescent="0.45">
      <c r="A173" s="171" t="s">
        <v>3388</v>
      </c>
      <c r="B173" s="171"/>
      <c r="C173" s="106" t="s">
        <v>881</v>
      </c>
      <c r="D173" s="106" t="s">
        <v>864</v>
      </c>
      <c r="E173" s="166"/>
      <c r="F173" s="171" t="s">
        <v>472</v>
      </c>
      <c r="G173" s="171">
        <v>10</v>
      </c>
      <c r="H173" s="168">
        <f t="shared" si="7"/>
        <v>0</v>
      </c>
    </row>
    <row r="174" spans="1:8" ht="37.799999999999997" x14ac:dyDescent="0.45">
      <c r="A174" s="171" t="s">
        <v>3389</v>
      </c>
      <c r="B174" s="171"/>
      <c r="C174" s="106" t="s">
        <v>883</v>
      </c>
      <c r="D174" s="106" t="s">
        <v>864</v>
      </c>
      <c r="E174" s="166"/>
      <c r="F174" s="171" t="s">
        <v>472</v>
      </c>
      <c r="G174" s="171">
        <v>10</v>
      </c>
      <c r="H174" s="168">
        <f t="shared" si="7"/>
        <v>0</v>
      </c>
    </row>
    <row r="175" spans="1:8" ht="37.799999999999997" x14ac:dyDescent="0.45">
      <c r="A175" s="171" t="s">
        <v>3390</v>
      </c>
      <c r="B175" s="171"/>
      <c r="C175" s="106" t="s">
        <v>885</v>
      </c>
      <c r="D175" s="106" t="s">
        <v>864</v>
      </c>
      <c r="E175" s="166"/>
      <c r="F175" s="171" t="s">
        <v>472</v>
      </c>
      <c r="G175" s="171">
        <v>10</v>
      </c>
      <c r="H175" s="168">
        <f t="shared" si="7"/>
        <v>0</v>
      </c>
    </row>
    <row r="176" spans="1:8" ht="37.799999999999997" x14ac:dyDescent="0.45">
      <c r="A176" s="171" t="s">
        <v>3391</v>
      </c>
      <c r="B176" s="171"/>
      <c r="C176" s="106" t="s">
        <v>887</v>
      </c>
      <c r="D176" s="106" t="s">
        <v>864</v>
      </c>
      <c r="E176" s="166"/>
      <c r="F176" s="171" t="s">
        <v>472</v>
      </c>
      <c r="G176" s="171">
        <v>10</v>
      </c>
      <c r="H176" s="168">
        <f t="shared" si="7"/>
        <v>0</v>
      </c>
    </row>
    <row r="177" spans="1:8" ht="37.799999999999997" x14ac:dyDescent="0.45">
      <c r="A177" s="171" t="s">
        <v>3392</v>
      </c>
      <c r="B177" s="171"/>
      <c r="C177" s="106" t="s">
        <v>889</v>
      </c>
      <c r="D177" s="106" t="s">
        <v>864</v>
      </c>
      <c r="E177" s="166"/>
      <c r="F177" s="171" t="s">
        <v>472</v>
      </c>
      <c r="G177" s="171">
        <v>10</v>
      </c>
      <c r="H177" s="168">
        <f t="shared" si="7"/>
        <v>0</v>
      </c>
    </row>
    <row r="178" spans="1:8" ht="37.799999999999997" x14ac:dyDescent="0.45">
      <c r="A178" s="171" t="s">
        <v>3393</v>
      </c>
      <c r="B178" s="171"/>
      <c r="C178" s="106" t="s">
        <v>891</v>
      </c>
      <c r="D178" s="106" t="s">
        <v>864</v>
      </c>
      <c r="E178" s="166"/>
      <c r="F178" s="171" t="s">
        <v>472</v>
      </c>
      <c r="G178" s="171">
        <v>10</v>
      </c>
      <c r="H178" s="168">
        <f t="shared" si="7"/>
        <v>0</v>
      </c>
    </row>
    <row r="179" spans="1:8" ht="37.799999999999997" x14ac:dyDescent="0.45">
      <c r="A179" s="171" t="s">
        <v>3394</v>
      </c>
      <c r="B179" s="171"/>
      <c r="C179" s="106" t="s">
        <v>893</v>
      </c>
      <c r="D179" s="106" t="s">
        <v>864</v>
      </c>
      <c r="E179" s="166"/>
      <c r="F179" s="171" t="s">
        <v>472</v>
      </c>
      <c r="G179" s="171">
        <v>10</v>
      </c>
      <c r="H179" s="168">
        <f t="shared" si="7"/>
        <v>0</v>
      </c>
    </row>
    <row r="180" spans="1:8" ht="37.799999999999997" x14ac:dyDescent="0.45">
      <c r="A180" s="171" t="s">
        <v>3395</v>
      </c>
      <c r="B180" s="171"/>
      <c r="C180" s="106" t="s">
        <v>895</v>
      </c>
      <c r="D180" s="106" t="s">
        <v>864</v>
      </c>
      <c r="E180" s="166"/>
      <c r="F180" s="171" t="s">
        <v>472</v>
      </c>
      <c r="G180" s="171">
        <v>10</v>
      </c>
      <c r="H180" s="168">
        <f t="shared" si="7"/>
        <v>0</v>
      </c>
    </row>
    <row r="181" spans="1:8" ht="37.799999999999997" x14ac:dyDescent="0.45">
      <c r="A181" s="171" t="s">
        <v>3396</v>
      </c>
      <c r="B181" s="171"/>
      <c r="C181" s="106" t="s">
        <v>897</v>
      </c>
      <c r="D181" s="106" t="s">
        <v>864</v>
      </c>
      <c r="E181" s="166"/>
      <c r="F181" s="171" t="s">
        <v>472</v>
      </c>
      <c r="G181" s="171">
        <v>10</v>
      </c>
      <c r="H181" s="168">
        <f t="shared" si="7"/>
        <v>0</v>
      </c>
    </row>
    <row r="182" spans="1:8" ht="37.799999999999997" x14ac:dyDescent="0.45">
      <c r="A182" s="171" t="s">
        <v>3397</v>
      </c>
      <c r="B182" s="171"/>
      <c r="C182" s="106" t="s">
        <v>899</v>
      </c>
      <c r="D182" s="106" t="s">
        <v>864</v>
      </c>
      <c r="E182" s="166"/>
      <c r="F182" s="171" t="s">
        <v>472</v>
      </c>
      <c r="G182" s="171">
        <v>10</v>
      </c>
      <c r="H182" s="168">
        <f t="shared" si="7"/>
        <v>0</v>
      </c>
    </row>
    <row r="183" spans="1:8" ht="37.799999999999997" x14ac:dyDescent="0.45">
      <c r="A183" s="171" t="s">
        <v>3398</v>
      </c>
      <c r="B183" s="171"/>
      <c r="C183" s="106" t="s">
        <v>901</v>
      </c>
      <c r="D183" s="106" t="s">
        <v>864</v>
      </c>
      <c r="E183" s="166"/>
      <c r="F183" s="171" t="s">
        <v>472</v>
      </c>
      <c r="G183" s="171">
        <v>10</v>
      </c>
      <c r="H183" s="168">
        <f t="shared" si="7"/>
        <v>0</v>
      </c>
    </row>
    <row r="184" spans="1:8" ht="37.799999999999997" x14ac:dyDescent="0.45">
      <c r="A184" s="171" t="s">
        <v>3399</v>
      </c>
      <c r="B184" s="171"/>
      <c r="C184" s="106" t="s">
        <v>903</v>
      </c>
      <c r="D184" s="106" t="s">
        <v>864</v>
      </c>
      <c r="E184" s="166"/>
      <c r="F184" s="171" t="s">
        <v>472</v>
      </c>
      <c r="G184" s="171">
        <v>10</v>
      </c>
      <c r="H184" s="168">
        <f t="shared" si="7"/>
        <v>0</v>
      </c>
    </row>
    <row r="185" spans="1:8" ht="37.799999999999997" x14ac:dyDescent="0.45">
      <c r="A185" s="171" t="s">
        <v>3400</v>
      </c>
      <c r="B185" s="171"/>
      <c r="C185" s="106" t="s">
        <v>905</v>
      </c>
      <c r="D185" s="106" t="s">
        <v>864</v>
      </c>
      <c r="E185" s="166"/>
      <c r="F185" s="171" t="s">
        <v>472</v>
      </c>
      <c r="G185" s="171">
        <v>10</v>
      </c>
      <c r="H185" s="168">
        <f t="shared" si="7"/>
        <v>0</v>
      </c>
    </row>
    <row r="186" spans="1:8" ht="37.799999999999997" x14ac:dyDescent="0.45">
      <c r="A186" s="171" t="s">
        <v>3401</v>
      </c>
      <c r="B186" s="171"/>
      <c r="C186" s="106" t="s">
        <v>907</v>
      </c>
      <c r="D186" s="106" t="s">
        <v>864</v>
      </c>
      <c r="E186" s="166"/>
      <c r="F186" s="171" t="s">
        <v>472</v>
      </c>
      <c r="G186" s="171">
        <v>10</v>
      </c>
      <c r="H186" s="168">
        <f t="shared" si="7"/>
        <v>0</v>
      </c>
    </row>
    <row r="187" spans="1:8" ht="37.799999999999997" x14ac:dyDescent="0.45">
      <c r="A187" s="171" t="s">
        <v>3402</v>
      </c>
      <c r="B187" s="171"/>
      <c r="C187" s="106" t="s">
        <v>909</v>
      </c>
      <c r="D187" s="106" t="s">
        <v>864</v>
      </c>
      <c r="E187" s="166"/>
      <c r="F187" s="171" t="s">
        <v>472</v>
      </c>
      <c r="G187" s="171">
        <v>10</v>
      </c>
      <c r="H187" s="168">
        <f t="shared" si="7"/>
        <v>0</v>
      </c>
    </row>
    <row r="188" spans="1:8" ht="50.4" x14ac:dyDescent="0.45">
      <c r="A188" s="171" t="s">
        <v>3403</v>
      </c>
      <c r="B188" s="171"/>
      <c r="C188" s="106" t="s">
        <v>911</v>
      </c>
      <c r="D188" s="106" t="s">
        <v>864</v>
      </c>
      <c r="E188" s="166"/>
      <c r="F188" s="171" t="s">
        <v>472</v>
      </c>
      <c r="G188" s="171">
        <v>10</v>
      </c>
      <c r="H188" s="168">
        <f t="shared" si="7"/>
        <v>0</v>
      </c>
    </row>
    <row r="189" spans="1:8" ht="37.799999999999997" x14ac:dyDescent="0.45">
      <c r="A189" s="171" t="s">
        <v>3404</v>
      </c>
      <c r="B189" s="171"/>
      <c r="C189" s="106" t="s">
        <v>913</v>
      </c>
      <c r="D189" s="106" t="s">
        <v>864</v>
      </c>
      <c r="E189" s="166"/>
      <c r="F189" s="171" t="s">
        <v>472</v>
      </c>
      <c r="G189" s="171">
        <v>10</v>
      </c>
      <c r="H189" s="168">
        <f t="shared" si="7"/>
        <v>0</v>
      </c>
    </row>
    <row r="190" spans="1:8" ht="50.4" x14ac:dyDescent="0.45">
      <c r="A190" s="171" t="s">
        <v>3405</v>
      </c>
      <c r="B190" s="171"/>
      <c r="C190" s="106" t="s">
        <v>915</v>
      </c>
      <c r="D190" s="106" t="s">
        <v>864</v>
      </c>
      <c r="E190" s="166"/>
      <c r="F190" s="171" t="s">
        <v>472</v>
      </c>
      <c r="G190" s="171">
        <v>10</v>
      </c>
      <c r="H190" s="168">
        <f t="shared" si="7"/>
        <v>0</v>
      </c>
    </row>
    <row r="191" spans="1:8" ht="50.4" x14ac:dyDescent="0.45">
      <c r="A191" s="171" t="s">
        <v>3406</v>
      </c>
      <c r="B191" s="171"/>
      <c r="C191" s="106" t="s">
        <v>917</v>
      </c>
      <c r="D191" s="106" t="s">
        <v>864</v>
      </c>
      <c r="E191" s="166"/>
      <c r="F191" s="171" t="s">
        <v>472</v>
      </c>
      <c r="G191" s="171">
        <v>10</v>
      </c>
      <c r="H191" s="168">
        <f t="shared" si="7"/>
        <v>0</v>
      </c>
    </row>
    <row r="192" spans="1:8" ht="50.4" x14ac:dyDescent="0.45">
      <c r="A192" s="171" t="s">
        <v>3407</v>
      </c>
      <c r="B192" s="171"/>
      <c r="C192" s="106" t="s">
        <v>919</v>
      </c>
      <c r="D192" s="106" t="s">
        <v>864</v>
      </c>
      <c r="E192" s="166"/>
      <c r="F192" s="171" t="s">
        <v>472</v>
      </c>
      <c r="G192" s="171">
        <v>10</v>
      </c>
      <c r="H192" s="168">
        <f t="shared" si="7"/>
        <v>0</v>
      </c>
    </row>
    <row r="193" spans="1:8" ht="37.799999999999997" x14ac:dyDescent="0.45">
      <c r="A193" s="171" t="s">
        <v>3408</v>
      </c>
      <c r="B193" s="171"/>
      <c r="C193" s="106" t="s">
        <v>921</v>
      </c>
      <c r="D193" s="106" t="s">
        <v>864</v>
      </c>
      <c r="E193" s="166"/>
      <c r="F193" s="171" t="s">
        <v>472</v>
      </c>
      <c r="G193" s="171">
        <v>10</v>
      </c>
      <c r="H193" s="168">
        <f t="shared" si="7"/>
        <v>0</v>
      </c>
    </row>
    <row r="194" spans="1:8" ht="50.4" x14ac:dyDescent="0.45">
      <c r="A194" s="171" t="s">
        <v>3409</v>
      </c>
      <c r="B194" s="171"/>
      <c r="C194" s="106" t="s">
        <v>923</v>
      </c>
      <c r="D194" s="106" t="s">
        <v>864</v>
      </c>
      <c r="E194" s="166"/>
      <c r="F194" s="171" t="s">
        <v>472</v>
      </c>
      <c r="G194" s="171">
        <v>10</v>
      </c>
      <c r="H194" s="168">
        <f t="shared" si="7"/>
        <v>0</v>
      </c>
    </row>
    <row r="195" spans="1:8" ht="50.4" x14ac:dyDescent="0.45">
      <c r="A195" s="171" t="s">
        <v>3410</v>
      </c>
      <c r="B195" s="171"/>
      <c r="C195" s="106" t="s">
        <v>925</v>
      </c>
      <c r="D195" s="106" t="s">
        <v>864</v>
      </c>
      <c r="E195" s="166"/>
      <c r="F195" s="171" t="s">
        <v>472</v>
      </c>
      <c r="G195" s="171">
        <v>10</v>
      </c>
      <c r="H195" s="168">
        <f t="shared" si="7"/>
        <v>0</v>
      </c>
    </row>
    <row r="196" spans="1:8" ht="50.4" x14ac:dyDescent="0.45">
      <c r="A196" s="171" t="s">
        <v>3411</v>
      </c>
      <c r="B196" s="171"/>
      <c r="C196" s="106" t="s">
        <v>927</v>
      </c>
      <c r="D196" s="106" t="s">
        <v>864</v>
      </c>
      <c r="E196" s="166"/>
      <c r="F196" s="171" t="s">
        <v>472</v>
      </c>
      <c r="G196" s="171">
        <v>10</v>
      </c>
      <c r="H196" s="168">
        <f t="shared" si="7"/>
        <v>0</v>
      </c>
    </row>
    <row r="197" spans="1:8" ht="50.4" x14ac:dyDescent="0.45">
      <c r="A197" s="171" t="s">
        <v>3412</v>
      </c>
      <c r="B197" s="171"/>
      <c r="C197" s="106" t="s">
        <v>929</v>
      </c>
      <c r="D197" s="106" t="s">
        <v>864</v>
      </c>
      <c r="E197" s="166"/>
      <c r="F197" s="171" t="s">
        <v>472</v>
      </c>
      <c r="G197" s="171">
        <v>10</v>
      </c>
      <c r="H197" s="168">
        <f t="shared" si="7"/>
        <v>0</v>
      </c>
    </row>
    <row r="198" spans="1:8" ht="50.4" x14ac:dyDescent="0.45">
      <c r="A198" s="171" t="s">
        <v>3413</v>
      </c>
      <c r="B198" s="171"/>
      <c r="C198" s="106" t="s">
        <v>931</v>
      </c>
      <c r="D198" s="106" t="s">
        <v>864</v>
      </c>
      <c r="E198" s="166"/>
      <c r="F198" s="171" t="s">
        <v>472</v>
      </c>
      <c r="G198" s="171">
        <v>10</v>
      </c>
      <c r="H198" s="168">
        <f t="shared" si="7"/>
        <v>0</v>
      </c>
    </row>
    <row r="199" spans="1:8" ht="37.799999999999997" x14ac:dyDescent="0.45">
      <c r="A199" s="171" t="s">
        <v>3414</v>
      </c>
      <c r="B199" s="171"/>
      <c r="C199" s="106" t="s">
        <v>933</v>
      </c>
      <c r="D199" s="106" t="s">
        <v>864</v>
      </c>
      <c r="E199" s="166"/>
      <c r="F199" s="171" t="s">
        <v>472</v>
      </c>
      <c r="G199" s="171">
        <v>10</v>
      </c>
      <c r="H199" s="168">
        <f t="shared" si="7"/>
        <v>0</v>
      </c>
    </row>
    <row r="200" spans="1:8" ht="37.799999999999997" x14ac:dyDescent="0.45">
      <c r="A200" s="171" t="s">
        <v>3415</v>
      </c>
      <c r="B200" s="171"/>
      <c r="C200" s="106" t="s">
        <v>935</v>
      </c>
      <c r="D200" s="106" t="s">
        <v>864</v>
      </c>
      <c r="E200" s="166"/>
      <c r="F200" s="171" t="s">
        <v>472</v>
      </c>
      <c r="G200" s="171">
        <v>10</v>
      </c>
      <c r="H200" s="168">
        <f t="shared" si="7"/>
        <v>0</v>
      </c>
    </row>
    <row r="201" spans="1:8" ht="50.4" x14ac:dyDescent="0.45">
      <c r="A201" s="171" t="s">
        <v>3416</v>
      </c>
      <c r="B201" s="171"/>
      <c r="C201" s="106" t="s">
        <v>937</v>
      </c>
      <c r="D201" s="106" t="s">
        <v>864</v>
      </c>
      <c r="E201" s="166"/>
      <c r="F201" s="171" t="s">
        <v>472</v>
      </c>
      <c r="G201" s="171">
        <v>10</v>
      </c>
      <c r="H201" s="168">
        <f t="shared" si="7"/>
        <v>0</v>
      </c>
    </row>
    <row r="202" spans="1:8" ht="50.4" x14ac:dyDescent="0.45">
      <c r="A202" s="171" t="s">
        <v>3417</v>
      </c>
      <c r="B202" s="171"/>
      <c r="C202" s="106" t="s">
        <v>939</v>
      </c>
      <c r="D202" s="106" t="s">
        <v>864</v>
      </c>
      <c r="E202" s="166"/>
      <c r="F202" s="171" t="s">
        <v>472</v>
      </c>
      <c r="G202" s="171">
        <v>10</v>
      </c>
      <c r="H202" s="168">
        <f t="shared" si="7"/>
        <v>0</v>
      </c>
    </row>
    <row r="203" spans="1:8" ht="50.4" x14ac:dyDescent="0.45">
      <c r="A203" s="171" t="s">
        <v>3418</v>
      </c>
      <c r="B203" s="171"/>
      <c r="C203" s="106" t="s">
        <v>941</v>
      </c>
      <c r="D203" s="106" t="s">
        <v>864</v>
      </c>
      <c r="E203" s="166"/>
      <c r="F203" s="171" t="s">
        <v>472</v>
      </c>
      <c r="G203" s="171">
        <v>10</v>
      </c>
      <c r="H203" s="168">
        <f t="shared" si="7"/>
        <v>0</v>
      </c>
    </row>
    <row r="204" spans="1:8" ht="50.4" x14ac:dyDescent="0.45">
      <c r="A204" s="171" t="s">
        <v>3419</v>
      </c>
      <c r="B204" s="171"/>
      <c r="C204" s="106" t="s">
        <v>943</v>
      </c>
      <c r="D204" s="106" t="s">
        <v>864</v>
      </c>
      <c r="E204" s="166"/>
      <c r="F204" s="171" t="s">
        <v>472</v>
      </c>
      <c r="G204" s="171">
        <v>10</v>
      </c>
      <c r="H204" s="168">
        <f t="shared" si="7"/>
        <v>0</v>
      </c>
    </row>
    <row r="205" spans="1:8" ht="50.4" x14ac:dyDescent="0.45">
      <c r="A205" s="171" t="s">
        <v>3420</v>
      </c>
      <c r="B205" s="171"/>
      <c r="C205" s="106" t="s">
        <v>945</v>
      </c>
      <c r="D205" s="106" t="s">
        <v>864</v>
      </c>
      <c r="E205" s="166"/>
      <c r="F205" s="171" t="s">
        <v>472</v>
      </c>
      <c r="G205" s="171">
        <v>10</v>
      </c>
      <c r="H205" s="168">
        <f t="shared" si="7"/>
        <v>0</v>
      </c>
    </row>
    <row r="206" spans="1:8" ht="50.4" x14ac:dyDescent="0.45">
      <c r="A206" s="171" t="s">
        <v>3421</v>
      </c>
      <c r="B206" s="171"/>
      <c r="C206" s="106" t="s">
        <v>947</v>
      </c>
      <c r="D206" s="106" t="s">
        <v>864</v>
      </c>
      <c r="E206" s="166"/>
      <c r="F206" s="171" t="s">
        <v>472</v>
      </c>
      <c r="G206" s="171">
        <v>10</v>
      </c>
      <c r="H206" s="168">
        <f t="shared" si="7"/>
        <v>0</v>
      </c>
    </row>
    <row r="207" spans="1:8" ht="50.4" x14ac:dyDescent="0.45">
      <c r="A207" s="171" t="s">
        <v>3422</v>
      </c>
      <c r="B207" s="171"/>
      <c r="C207" s="106" t="s">
        <v>949</v>
      </c>
      <c r="D207" s="106" t="s">
        <v>864</v>
      </c>
      <c r="E207" s="166"/>
      <c r="F207" s="171" t="s">
        <v>472</v>
      </c>
      <c r="G207" s="171">
        <v>10</v>
      </c>
      <c r="H207" s="168">
        <f t="shared" si="7"/>
        <v>0</v>
      </c>
    </row>
    <row r="208" spans="1:8" ht="50.4" x14ac:dyDescent="0.45">
      <c r="A208" s="171" t="s">
        <v>3423</v>
      </c>
      <c r="B208" s="171"/>
      <c r="C208" s="106" t="s">
        <v>951</v>
      </c>
      <c r="D208" s="106" t="s">
        <v>864</v>
      </c>
      <c r="E208" s="166"/>
      <c r="F208" s="171" t="s">
        <v>472</v>
      </c>
      <c r="G208" s="171">
        <v>10</v>
      </c>
      <c r="H208" s="168">
        <f t="shared" si="7"/>
        <v>0</v>
      </c>
    </row>
    <row r="209" spans="1:8" ht="50.4" x14ac:dyDescent="0.45">
      <c r="A209" s="171" t="s">
        <v>3424</v>
      </c>
      <c r="B209" s="171"/>
      <c r="C209" s="106" t="s">
        <v>953</v>
      </c>
      <c r="D209" s="106" t="s">
        <v>864</v>
      </c>
      <c r="E209" s="166"/>
      <c r="F209" s="171" t="s">
        <v>472</v>
      </c>
      <c r="G209" s="171">
        <v>10</v>
      </c>
      <c r="H209" s="168">
        <f t="shared" ref="H209:H258" si="8">SUM(E209)*G209</f>
        <v>0</v>
      </c>
    </row>
    <row r="210" spans="1:8" ht="50.4" x14ac:dyDescent="0.45">
      <c r="A210" s="171" t="s">
        <v>3425</v>
      </c>
      <c r="B210" s="171"/>
      <c r="C210" s="106" t="s">
        <v>955</v>
      </c>
      <c r="D210" s="106" t="s">
        <v>864</v>
      </c>
      <c r="E210" s="166"/>
      <c r="F210" s="171" t="s">
        <v>472</v>
      </c>
      <c r="G210" s="171">
        <v>10</v>
      </c>
      <c r="H210" s="168">
        <f t="shared" si="8"/>
        <v>0</v>
      </c>
    </row>
    <row r="211" spans="1:8" ht="50.4" x14ac:dyDescent="0.45">
      <c r="A211" s="171" t="s">
        <v>3426</v>
      </c>
      <c r="B211" s="171"/>
      <c r="C211" s="106" t="s">
        <v>957</v>
      </c>
      <c r="D211" s="106" t="s">
        <v>864</v>
      </c>
      <c r="E211" s="166"/>
      <c r="F211" s="171" t="s">
        <v>472</v>
      </c>
      <c r="G211" s="171">
        <v>10</v>
      </c>
      <c r="H211" s="168">
        <f t="shared" si="8"/>
        <v>0</v>
      </c>
    </row>
    <row r="212" spans="1:8" ht="50.4" x14ac:dyDescent="0.45">
      <c r="A212" s="171" t="s">
        <v>3427</v>
      </c>
      <c r="B212" s="171"/>
      <c r="C212" s="106" t="s">
        <v>959</v>
      </c>
      <c r="D212" s="106" t="s">
        <v>864</v>
      </c>
      <c r="E212" s="166"/>
      <c r="F212" s="171" t="s">
        <v>472</v>
      </c>
      <c r="G212" s="171">
        <v>10</v>
      </c>
      <c r="H212" s="168">
        <f t="shared" si="8"/>
        <v>0</v>
      </c>
    </row>
    <row r="213" spans="1:8" ht="50.4" x14ac:dyDescent="0.45">
      <c r="A213" s="171" t="s">
        <v>3428</v>
      </c>
      <c r="B213" s="171"/>
      <c r="C213" s="106" t="s">
        <v>961</v>
      </c>
      <c r="D213" s="106" t="s">
        <v>864</v>
      </c>
      <c r="E213" s="166"/>
      <c r="F213" s="171" t="s">
        <v>472</v>
      </c>
      <c r="G213" s="171">
        <v>10</v>
      </c>
      <c r="H213" s="168">
        <f t="shared" si="8"/>
        <v>0</v>
      </c>
    </row>
    <row r="214" spans="1:8" ht="50.4" x14ac:dyDescent="0.45">
      <c r="A214" s="171" t="s">
        <v>3429</v>
      </c>
      <c r="B214" s="171"/>
      <c r="C214" s="106" t="s">
        <v>963</v>
      </c>
      <c r="D214" s="106" t="s">
        <v>864</v>
      </c>
      <c r="E214" s="166"/>
      <c r="F214" s="171" t="s">
        <v>472</v>
      </c>
      <c r="G214" s="171">
        <v>10</v>
      </c>
      <c r="H214" s="168">
        <f t="shared" si="8"/>
        <v>0</v>
      </c>
    </row>
    <row r="215" spans="1:8" ht="50.4" x14ac:dyDescent="0.45">
      <c r="A215" s="171" t="s">
        <v>3430</v>
      </c>
      <c r="B215" s="171"/>
      <c r="C215" s="106" t="s">
        <v>965</v>
      </c>
      <c r="D215" s="106" t="s">
        <v>864</v>
      </c>
      <c r="E215" s="166"/>
      <c r="F215" s="171" t="s">
        <v>472</v>
      </c>
      <c r="G215" s="171">
        <v>10</v>
      </c>
      <c r="H215" s="168">
        <f t="shared" si="8"/>
        <v>0</v>
      </c>
    </row>
    <row r="216" spans="1:8" ht="50.4" x14ac:dyDescent="0.45">
      <c r="A216" s="171" t="s">
        <v>3431</v>
      </c>
      <c r="B216" s="171"/>
      <c r="C216" s="106" t="s">
        <v>967</v>
      </c>
      <c r="D216" s="106" t="s">
        <v>864</v>
      </c>
      <c r="E216" s="166"/>
      <c r="F216" s="171" t="s">
        <v>472</v>
      </c>
      <c r="G216" s="171">
        <v>10</v>
      </c>
      <c r="H216" s="168">
        <f t="shared" si="8"/>
        <v>0</v>
      </c>
    </row>
    <row r="217" spans="1:8" ht="50.4" x14ac:dyDescent="0.45">
      <c r="A217" s="171" t="s">
        <v>3432</v>
      </c>
      <c r="B217" s="171"/>
      <c r="C217" s="106" t="s">
        <v>969</v>
      </c>
      <c r="D217" s="106" t="s">
        <v>864</v>
      </c>
      <c r="E217" s="166"/>
      <c r="F217" s="171" t="s">
        <v>472</v>
      </c>
      <c r="G217" s="171">
        <v>10</v>
      </c>
      <c r="H217" s="168">
        <f t="shared" si="8"/>
        <v>0</v>
      </c>
    </row>
    <row r="218" spans="1:8" ht="50.4" x14ac:dyDescent="0.45">
      <c r="A218" s="171" t="s">
        <v>3433</v>
      </c>
      <c r="B218" s="171"/>
      <c r="C218" s="106" t="s">
        <v>971</v>
      </c>
      <c r="D218" s="106" t="s">
        <v>864</v>
      </c>
      <c r="E218" s="166"/>
      <c r="F218" s="171" t="s">
        <v>472</v>
      </c>
      <c r="G218" s="171">
        <v>10</v>
      </c>
      <c r="H218" s="168">
        <f t="shared" si="8"/>
        <v>0</v>
      </c>
    </row>
    <row r="219" spans="1:8" ht="50.4" x14ac:dyDescent="0.45">
      <c r="A219" s="171" t="s">
        <v>3434</v>
      </c>
      <c r="B219" s="171"/>
      <c r="C219" s="106" t="s">
        <v>973</v>
      </c>
      <c r="D219" s="106" t="s">
        <v>864</v>
      </c>
      <c r="E219" s="166"/>
      <c r="F219" s="171" t="s">
        <v>472</v>
      </c>
      <c r="G219" s="171">
        <v>10</v>
      </c>
      <c r="H219" s="168">
        <f t="shared" si="8"/>
        <v>0</v>
      </c>
    </row>
    <row r="220" spans="1:8" ht="37.799999999999997" x14ac:dyDescent="0.45">
      <c r="A220" s="171" t="s">
        <v>3435</v>
      </c>
      <c r="B220" s="171"/>
      <c r="C220" s="106" t="s">
        <v>975</v>
      </c>
      <c r="D220" s="106" t="s">
        <v>864</v>
      </c>
      <c r="E220" s="166"/>
      <c r="F220" s="171" t="s">
        <v>472</v>
      </c>
      <c r="G220" s="171">
        <v>10</v>
      </c>
      <c r="H220" s="168">
        <f t="shared" si="8"/>
        <v>0</v>
      </c>
    </row>
    <row r="221" spans="1:8" ht="37.799999999999997" x14ac:dyDescent="0.45">
      <c r="A221" s="171" t="s">
        <v>3436</v>
      </c>
      <c r="B221" s="171"/>
      <c r="C221" s="106" t="s">
        <v>977</v>
      </c>
      <c r="D221" s="106" t="s">
        <v>864</v>
      </c>
      <c r="E221" s="166"/>
      <c r="F221" s="171" t="s">
        <v>472</v>
      </c>
      <c r="G221" s="171">
        <v>10</v>
      </c>
      <c r="H221" s="168">
        <f t="shared" si="8"/>
        <v>0</v>
      </c>
    </row>
    <row r="222" spans="1:8" ht="37.799999999999997" x14ac:dyDescent="0.45">
      <c r="A222" s="171" t="s">
        <v>3437</v>
      </c>
      <c r="B222" s="171"/>
      <c r="C222" s="106" t="s">
        <v>979</v>
      </c>
      <c r="D222" s="106" t="s">
        <v>864</v>
      </c>
      <c r="E222" s="166"/>
      <c r="F222" s="171" t="s">
        <v>472</v>
      </c>
      <c r="G222" s="171">
        <v>10</v>
      </c>
      <c r="H222" s="168">
        <f t="shared" si="8"/>
        <v>0</v>
      </c>
    </row>
    <row r="223" spans="1:8" ht="37.799999999999997" x14ac:dyDescent="0.45">
      <c r="A223" s="171" t="s">
        <v>3438</v>
      </c>
      <c r="B223" s="171"/>
      <c r="C223" s="106" t="s">
        <v>981</v>
      </c>
      <c r="D223" s="106" t="s">
        <v>864</v>
      </c>
      <c r="E223" s="166"/>
      <c r="F223" s="171" t="s">
        <v>472</v>
      </c>
      <c r="G223" s="171">
        <v>10</v>
      </c>
      <c r="H223" s="168">
        <f t="shared" si="8"/>
        <v>0</v>
      </c>
    </row>
    <row r="224" spans="1:8" ht="37.799999999999997" x14ac:dyDescent="0.45">
      <c r="A224" s="171" t="s">
        <v>3439</v>
      </c>
      <c r="B224" s="171"/>
      <c r="C224" s="106" t="s">
        <v>983</v>
      </c>
      <c r="D224" s="106" t="s">
        <v>864</v>
      </c>
      <c r="E224" s="166"/>
      <c r="F224" s="171" t="s">
        <v>472</v>
      </c>
      <c r="G224" s="171">
        <v>10</v>
      </c>
      <c r="H224" s="168">
        <f t="shared" si="8"/>
        <v>0</v>
      </c>
    </row>
    <row r="225" spans="1:8" ht="63" x14ac:dyDescent="0.45">
      <c r="A225" s="171" t="s">
        <v>3440</v>
      </c>
      <c r="B225" s="171"/>
      <c r="C225" s="106" t="s">
        <v>985</v>
      </c>
      <c r="D225" s="106" t="s">
        <v>864</v>
      </c>
      <c r="E225" s="166"/>
      <c r="F225" s="171" t="s">
        <v>472</v>
      </c>
      <c r="G225" s="171">
        <v>10</v>
      </c>
      <c r="H225" s="168">
        <f t="shared" si="8"/>
        <v>0</v>
      </c>
    </row>
    <row r="226" spans="1:8" ht="63" x14ac:dyDescent="0.45">
      <c r="A226" s="171" t="s">
        <v>3441</v>
      </c>
      <c r="B226" s="171"/>
      <c r="C226" s="106" t="s">
        <v>987</v>
      </c>
      <c r="D226" s="106" t="s">
        <v>864</v>
      </c>
      <c r="E226" s="166"/>
      <c r="F226" s="171" t="s">
        <v>472</v>
      </c>
      <c r="G226" s="171">
        <v>10</v>
      </c>
      <c r="H226" s="168">
        <f t="shared" si="8"/>
        <v>0</v>
      </c>
    </row>
    <row r="227" spans="1:8" ht="37.799999999999997" x14ac:dyDescent="0.45">
      <c r="A227" s="171" t="s">
        <v>3442</v>
      </c>
      <c r="B227" s="171"/>
      <c r="C227" s="106" t="s">
        <v>989</v>
      </c>
      <c r="D227" s="106" t="s">
        <v>864</v>
      </c>
      <c r="E227" s="166"/>
      <c r="F227" s="171" t="s">
        <v>472</v>
      </c>
      <c r="G227" s="171">
        <v>10</v>
      </c>
      <c r="H227" s="168">
        <f t="shared" si="8"/>
        <v>0</v>
      </c>
    </row>
    <row r="228" spans="1:8" ht="37.799999999999997" x14ac:dyDescent="0.45">
      <c r="A228" s="171" t="s">
        <v>3443</v>
      </c>
      <c r="B228" s="171"/>
      <c r="C228" s="106" t="s">
        <v>991</v>
      </c>
      <c r="D228" s="106" t="s">
        <v>864</v>
      </c>
      <c r="E228" s="166"/>
      <c r="F228" s="171" t="s">
        <v>472</v>
      </c>
      <c r="G228" s="171">
        <v>10</v>
      </c>
      <c r="H228" s="168">
        <f t="shared" si="8"/>
        <v>0</v>
      </c>
    </row>
    <row r="229" spans="1:8" ht="37.799999999999997" x14ac:dyDescent="0.45">
      <c r="A229" s="171" t="s">
        <v>3444</v>
      </c>
      <c r="B229" s="171"/>
      <c r="C229" s="106" t="s">
        <v>993</v>
      </c>
      <c r="D229" s="106" t="s">
        <v>864</v>
      </c>
      <c r="E229" s="166"/>
      <c r="F229" s="171" t="s">
        <v>472</v>
      </c>
      <c r="G229" s="171">
        <v>10</v>
      </c>
      <c r="H229" s="168">
        <f t="shared" si="8"/>
        <v>0</v>
      </c>
    </row>
    <row r="230" spans="1:8" ht="37.799999999999997" x14ac:dyDescent="0.45">
      <c r="A230" s="171" t="s">
        <v>3445</v>
      </c>
      <c r="B230" s="171"/>
      <c r="C230" s="106" t="s">
        <v>995</v>
      </c>
      <c r="D230" s="106" t="s">
        <v>864</v>
      </c>
      <c r="E230" s="166"/>
      <c r="F230" s="171" t="s">
        <v>472</v>
      </c>
      <c r="G230" s="171">
        <v>10</v>
      </c>
      <c r="H230" s="168">
        <f t="shared" si="8"/>
        <v>0</v>
      </c>
    </row>
    <row r="231" spans="1:8" ht="37.799999999999997" x14ac:dyDescent="0.45">
      <c r="A231" s="171" t="s">
        <v>3446</v>
      </c>
      <c r="B231" s="171"/>
      <c r="C231" s="106" t="s">
        <v>997</v>
      </c>
      <c r="D231" s="106" t="s">
        <v>864</v>
      </c>
      <c r="E231" s="166"/>
      <c r="F231" s="171" t="s">
        <v>472</v>
      </c>
      <c r="G231" s="171">
        <v>10</v>
      </c>
      <c r="H231" s="168">
        <f t="shared" si="8"/>
        <v>0</v>
      </c>
    </row>
    <row r="232" spans="1:8" ht="37.799999999999997" x14ac:dyDescent="0.45">
      <c r="A232" s="171" t="s">
        <v>3447</v>
      </c>
      <c r="B232" s="171"/>
      <c r="C232" s="106" t="s">
        <v>999</v>
      </c>
      <c r="D232" s="106" t="s">
        <v>864</v>
      </c>
      <c r="E232" s="166"/>
      <c r="F232" s="171" t="s">
        <v>472</v>
      </c>
      <c r="G232" s="171">
        <v>10</v>
      </c>
      <c r="H232" s="168">
        <f t="shared" si="8"/>
        <v>0</v>
      </c>
    </row>
    <row r="233" spans="1:8" ht="37.799999999999997" x14ac:dyDescent="0.45">
      <c r="A233" s="171" t="s">
        <v>3448</v>
      </c>
      <c r="B233" s="171"/>
      <c r="C233" s="106" t="s">
        <v>1001</v>
      </c>
      <c r="D233" s="106" t="s">
        <v>864</v>
      </c>
      <c r="E233" s="166"/>
      <c r="F233" s="171" t="s">
        <v>472</v>
      </c>
      <c r="G233" s="171">
        <v>10</v>
      </c>
      <c r="H233" s="168">
        <f t="shared" si="8"/>
        <v>0</v>
      </c>
    </row>
    <row r="234" spans="1:8" ht="37.799999999999997" x14ac:dyDescent="0.45">
      <c r="A234" s="171" t="s">
        <v>3449</v>
      </c>
      <c r="B234" s="171"/>
      <c r="C234" s="106" t="s">
        <v>1003</v>
      </c>
      <c r="D234" s="106" t="s">
        <v>864</v>
      </c>
      <c r="E234" s="166"/>
      <c r="F234" s="171" t="s">
        <v>472</v>
      </c>
      <c r="G234" s="171">
        <v>10</v>
      </c>
      <c r="H234" s="168">
        <f t="shared" si="8"/>
        <v>0</v>
      </c>
    </row>
    <row r="235" spans="1:8" ht="37.799999999999997" x14ac:dyDescent="0.45">
      <c r="A235" s="171" t="s">
        <v>3450</v>
      </c>
      <c r="B235" s="171"/>
      <c r="C235" s="106" t="s">
        <v>1005</v>
      </c>
      <c r="D235" s="106" t="s">
        <v>864</v>
      </c>
      <c r="E235" s="166"/>
      <c r="F235" s="171" t="s">
        <v>472</v>
      </c>
      <c r="G235" s="171">
        <v>10</v>
      </c>
      <c r="H235" s="168">
        <f t="shared" si="8"/>
        <v>0</v>
      </c>
    </row>
    <row r="236" spans="1:8" ht="37.799999999999997" x14ac:dyDescent="0.45">
      <c r="A236" s="171" t="s">
        <v>3451</v>
      </c>
      <c r="B236" s="171"/>
      <c r="C236" s="106" t="s">
        <v>1007</v>
      </c>
      <c r="D236" s="106" t="s">
        <v>864</v>
      </c>
      <c r="E236" s="166"/>
      <c r="F236" s="171" t="s">
        <v>472</v>
      </c>
      <c r="G236" s="171">
        <v>10</v>
      </c>
      <c r="H236" s="168">
        <f t="shared" si="8"/>
        <v>0</v>
      </c>
    </row>
    <row r="237" spans="1:8" ht="37.799999999999997" x14ac:dyDescent="0.45">
      <c r="A237" s="171" t="s">
        <v>3452</v>
      </c>
      <c r="B237" s="171"/>
      <c r="C237" s="106" t="s">
        <v>1009</v>
      </c>
      <c r="D237" s="106" t="s">
        <v>864</v>
      </c>
      <c r="E237" s="166"/>
      <c r="F237" s="171" t="s">
        <v>472</v>
      </c>
      <c r="G237" s="171">
        <v>10</v>
      </c>
      <c r="H237" s="168">
        <f t="shared" si="8"/>
        <v>0</v>
      </c>
    </row>
    <row r="238" spans="1:8" ht="37.799999999999997" x14ac:dyDescent="0.45">
      <c r="A238" s="171" t="s">
        <v>3453</v>
      </c>
      <c r="B238" s="171"/>
      <c r="C238" s="106" t="s">
        <v>1011</v>
      </c>
      <c r="D238" s="106" t="s">
        <v>864</v>
      </c>
      <c r="E238" s="166"/>
      <c r="F238" s="171" t="s">
        <v>472</v>
      </c>
      <c r="G238" s="171">
        <v>10</v>
      </c>
      <c r="H238" s="168">
        <f t="shared" si="8"/>
        <v>0</v>
      </c>
    </row>
    <row r="239" spans="1:8" ht="37.799999999999997" x14ac:dyDescent="0.45">
      <c r="A239" s="171" t="s">
        <v>3454</v>
      </c>
      <c r="B239" s="171"/>
      <c r="C239" s="106" t="s">
        <v>1013</v>
      </c>
      <c r="D239" s="106" t="s">
        <v>864</v>
      </c>
      <c r="E239" s="166"/>
      <c r="F239" s="171" t="s">
        <v>472</v>
      </c>
      <c r="G239" s="171">
        <v>10</v>
      </c>
      <c r="H239" s="168">
        <f t="shared" si="8"/>
        <v>0</v>
      </c>
    </row>
    <row r="240" spans="1:8" ht="37.799999999999997" x14ac:dyDescent="0.45">
      <c r="A240" s="171" t="s">
        <v>3455</v>
      </c>
      <c r="B240" s="171"/>
      <c r="C240" s="106" t="s">
        <v>1015</v>
      </c>
      <c r="D240" s="106" t="s">
        <v>864</v>
      </c>
      <c r="E240" s="166"/>
      <c r="F240" s="171" t="s">
        <v>472</v>
      </c>
      <c r="G240" s="171">
        <v>10</v>
      </c>
      <c r="H240" s="168">
        <f t="shared" si="8"/>
        <v>0</v>
      </c>
    </row>
    <row r="241" spans="1:8" ht="37.799999999999997" x14ac:dyDescent="0.45">
      <c r="A241" s="171" t="s">
        <v>3456</v>
      </c>
      <c r="B241" s="171"/>
      <c r="C241" s="106" t="s">
        <v>1017</v>
      </c>
      <c r="D241" s="106" t="s">
        <v>864</v>
      </c>
      <c r="E241" s="166"/>
      <c r="F241" s="171" t="s">
        <v>472</v>
      </c>
      <c r="G241" s="171">
        <v>10</v>
      </c>
      <c r="H241" s="168">
        <f t="shared" si="8"/>
        <v>0</v>
      </c>
    </row>
    <row r="242" spans="1:8" ht="37.799999999999997" x14ac:dyDescent="0.45">
      <c r="A242" s="171" t="s">
        <v>3457</v>
      </c>
      <c r="B242" s="171"/>
      <c r="C242" s="106" t="s">
        <v>1019</v>
      </c>
      <c r="D242" s="106" t="s">
        <v>864</v>
      </c>
      <c r="E242" s="166"/>
      <c r="F242" s="171" t="s">
        <v>472</v>
      </c>
      <c r="G242" s="171">
        <v>10</v>
      </c>
      <c r="H242" s="168">
        <f t="shared" si="8"/>
        <v>0</v>
      </c>
    </row>
    <row r="243" spans="1:8" ht="37.799999999999997" x14ac:dyDescent="0.45">
      <c r="A243" s="171" t="s">
        <v>3458</v>
      </c>
      <c r="B243" s="171"/>
      <c r="C243" s="106" t="s">
        <v>1021</v>
      </c>
      <c r="D243" s="106" t="s">
        <v>864</v>
      </c>
      <c r="E243" s="166"/>
      <c r="F243" s="171" t="s">
        <v>472</v>
      </c>
      <c r="G243" s="171">
        <v>10</v>
      </c>
      <c r="H243" s="168">
        <f t="shared" si="8"/>
        <v>0</v>
      </c>
    </row>
    <row r="244" spans="1:8" ht="37.799999999999997" x14ac:dyDescent="0.45">
      <c r="A244" s="171" t="s">
        <v>3459</v>
      </c>
      <c r="B244" s="171"/>
      <c r="C244" s="106" t="s">
        <v>1023</v>
      </c>
      <c r="D244" s="106" t="s">
        <v>864</v>
      </c>
      <c r="E244" s="166"/>
      <c r="F244" s="171" t="s">
        <v>472</v>
      </c>
      <c r="G244" s="171">
        <v>10</v>
      </c>
      <c r="H244" s="168">
        <f t="shared" si="8"/>
        <v>0</v>
      </c>
    </row>
    <row r="245" spans="1:8" ht="37.799999999999997" x14ac:dyDescent="0.45">
      <c r="A245" s="171" t="s">
        <v>3460</v>
      </c>
      <c r="B245" s="171"/>
      <c r="C245" s="106" t="s">
        <v>1025</v>
      </c>
      <c r="D245" s="106" t="s">
        <v>864</v>
      </c>
      <c r="E245" s="166"/>
      <c r="F245" s="171" t="s">
        <v>472</v>
      </c>
      <c r="G245" s="171">
        <v>10</v>
      </c>
      <c r="H245" s="168">
        <f t="shared" si="8"/>
        <v>0</v>
      </c>
    </row>
    <row r="246" spans="1:8" ht="37.799999999999997" x14ac:dyDescent="0.45">
      <c r="A246" s="171" t="s">
        <v>3461</v>
      </c>
      <c r="B246" s="171"/>
      <c r="C246" s="106" t="s">
        <v>1027</v>
      </c>
      <c r="D246" s="106" t="s">
        <v>864</v>
      </c>
      <c r="E246" s="166"/>
      <c r="F246" s="171" t="s">
        <v>472</v>
      </c>
      <c r="G246" s="171">
        <v>10</v>
      </c>
      <c r="H246" s="168">
        <f t="shared" si="8"/>
        <v>0</v>
      </c>
    </row>
    <row r="247" spans="1:8" ht="37.799999999999997" x14ac:dyDescent="0.45">
      <c r="A247" s="171" t="s">
        <v>3462</v>
      </c>
      <c r="B247" s="171"/>
      <c r="C247" s="106" t="s">
        <v>1029</v>
      </c>
      <c r="D247" s="106" t="s">
        <v>864</v>
      </c>
      <c r="E247" s="166"/>
      <c r="F247" s="171" t="s">
        <v>472</v>
      </c>
      <c r="G247" s="171">
        <v>10</v>
      </c>
      <c r="H247" s="168">
        <f t="shared" si="8"/>
        <v>0</v>
      </c>
    </row>
    <row r="248" spans="1:8" ht="37.799999999999997" x14ac:dyDescent="0.45">
      <c r="A248" s="171" t="s">
        <v>3463</v>
      </c>
      <c r="B248" s="171"/>
      <c r="C248" s="106" t="s">
        <v>1031</v>
      </c>
      <c r="D248" s="106" t="s">
        <v>864</v>
      </c>
      <c r="E248" s="166"/>
      <c r="F248" s="171" t="s">
        <v>472</v>
      </c>
      <c r="G248" s="171">
        <v>10</v>
      </c>
      <c r="H248" s="168">
        <f t="shared" si="8"/>
        <v>0</v>
      </c>
    </row>
    <row r="249" spans="1:8" ht="37.799999999999997" x14ac:dyDescent="0.45">
      <c r="A249" s="171" t="s">
        <v>3464</v>
      </c>
      <c r="B249" s="171"/>
      <c r="C249" s="106" t="s">
        <v>1033</v>
      </c>
      <c r="D249" s="106" t="s">
        <v>864</v>
      </c>
      <c r="E249" s="166"/>
      <c r="F249" s="171" t="s">
        <v>472</v>
      </c>
      <c r="G249" s="171">
        <v>10</v>
      </c>
      <c r="H249" s="168">
        <f t="shared" si="8"/>
        <v>0</v>
      </c>
    </row>
    <row r="250" spans="1:8" ht="37.799999999999997" x14ac:dyDescent="0.45">
      <c r="A250" s="171" t="s">
        <v>3465</v>
      </c>
      <c r="B250" s="171"/>
      <c r="C250" s="106" t="s">
        <v>1035</v>
      </c>
      <c r="D250" s="106" t="s">
        <v>864</v>
      </c>
      <c r="E250" s="166"/>
      <c r="F250" s="171" t="s">
        <v>472</v>
      </c>
      <c r="G250" s="171">
        <v>10</v>
      </c>
      <c r="H250" s="168">
        <f t="shared" si="8"/>
        <v>0</v>
      </c>
    </row>
    <row r="251" spans="1:8" ht="37.799999999999997" x14ac:dyDescent="0.45">
      <c r="A251" s="171" t="s">
        <v>3466</v>
      </c>
      <c r="B251" s="171"/>
      <c r="C251" s="106" t="s">
        <v>1037</v>
      </c>
      <c r="D251" s="106" t="s">
        <v>864</v>
      </c>
      <c r="E251" s="166"/>
      <c r="F251" s="171" t="s">
        <v>472</v>
      </c>
      <c r="G251" s="171">
        <v>10</v>
      </c>
      <c r="H251" s="168">
        <f t="shared" si="8"/>
        <v>0</v>
      </c>
    </row>
    <row r="252" spans="1:8" ht="37.799999999999997" x14ac:dyDescent="0.45">
      <c r="A252" s="171" t="s">
        <v>3467</v>
      </c>
      <c r="B252" s="171"/>
      <c r="C252" s="106" t="s">
        <v>1039</v>
      </c>
      <c r="D252" s="106" t="s">
        <v>864</v>
      </c>
      <c r="E252" s="166"/>
      <c r="F252" s="171" t="s">
        <v>472</v>
      </c>
      <c r="G252" s="171">
        <v>10</v>
      </c>
      <c r="H252" s="168">
        <f t="shared" si="8"/>
        <v>0</v>
      </c>
    </row>
    <row r="253" spans="1:8" ht="37.799999999999997" x14ac:dyDescent="0.45">
      <c r="A253" s="171" t="s">
        <v>3468</v>
      </c>
      <c r="B253" s="171"/>
      <c r="C253" s="106" t="s">
        <v>1041</v>
      </c>
      <c r="D253" s="106" t="s">
        <v>864</v>
      </c>
      <c r="E253" s="166"/>
      <c r="F253" s="171" t="s">
        <v>472</v>
      </c>
      <c r="G253" s="171">
        <v>10</v>
      </c>
      <c r="H253" s="168">
        <f t="shared" si="8"/>
        <v>0</v>
      </c>
    </row>
    <row r="254" spans="1:8" ht="37.799999999999997" x14ac:dyDescent="0.45">
      <c r="A254" s="171" t="s">
        <v>3469</v>
      </c>
      <c r="B254" s="171"/>
      <c r="C254" s="106" t="s">
        <v>1043</v>
      </c>
      <c r="D254" s="106" t="s">
        <v>864</v>
      </c>
      <c r="E254" s="166"/>
      <c r="F254" s="171" t="s">
        <v>472</v>
      </c>
      <c r="G254" s="171">
        <v>10</v>
      </c>
      <c r="H254" s="168">
        <f t="shared" si="8"/>
        <v>0</v>
      </c>
    </row>
    <row r="255" spans="1:8" ht="37.799999999999997" x14ac:dyDescent="0.45">
      <c r="A255" s="171" t="s">
        <v>3470</v>
      </c>
      <c r="B255" s="171"/>
      <c r="C255" s="106" t="s">
        <v>1045</v>
      </c>
      <c r="D255" s="106" t="s">
        <v>864</v>
      </c>
      <c r="E255" s="166"/>
      <c r="F255" s="171" t="s">
        <v>472</v>
      </c>
      <c r="G255" s="171">
        <v>10</v>
      </c>
      <c r="H255" s="168">
        <f t="shared" si="8"/>
        <v>0</v>
      </c>
    </row>
    <row r="256" spans="1:8" ht="37.799999999999997" x14ac:dyDescent="0.45">
      <c r="A256" s="171" t="s">
        <v>3471</v>
      </c>
      <c r="B256" s="171"/>
      <c r="C256" s="106" t="s">
        <v>1047</v>
      </c>
      <c r="D256" s="106" t="s">
        <v>864</v>
      </c>
      <c r="E256" s="166"/>
      <c r="F256" s="171" t="s">
        <v>472</v>
      </c>
      <c r="G256" s="171">
        <v>10</v>
      </c>
      <c r="H256" s="168">
        <f t="shared" si="8"/>
        <v>0</v>
      </c>
    </row>
    <row r="257" spans="1:8" ht="37.799999999999997" x14ac:dyDescent="0.45">
      <c r="A257" s="171" t="s">
        <v>3472</v>
      </c>
      <c r="B257" s="171"/>
      <c r="C257" s="106" t="s">
        <v>1049</v>
      </c>
      <c r="D257" s="106" t="s">
        <v>864</v>
      </c>
      <c r="E257" s="166"/>
      <c r="F257" s="171" t="s">
        <v>472</v>
      </c>
      <c r="G257" s="171">
        <v>10</v>
      </c>
      <c r="H257" s="168">
        <f t="shared" si="8"/>
        <v>0</v>
      </c>
    </row>
    <row r="258" spans="1:8" ht="37.799999999999997" x14ac:dyDescent="0.45">
      <c r="A258" s="171" t="s">
        <v>3473</v>
      </c>
      <c r="B258" s="171"/>
      <c r="C258" s="106" t="s">
        <v>1051</v>
      </c>
      <c r="D258" s="106" t="s">
        <v>864</v>
      </c>
      <c r="E258" s="166"/>
      <c r="F258" s="171" t="s">
        <v>472</v>
      </c>
      <c r="G258" s="171">
        <v>10</v>
      </c>
      <c r="H258" s="168">
        <f t="shared" si="8"/>
        <v>0</v>
      </c>
    </row>
    <row r="259" spans="1:8" x14ac:dyDescent="0.45">
      <c r="A259" s="118" t="s">
        <v>3474</v>
      </c>
      <c r="B259" s="184" t="s">
        <v>180</v>
      </c>
      <c r="D259" s="120"/>
      <c r="E259" s="142"/>
      <c r="F259" s="171"/>
      <c r="G259" s="172"/>
      <c r="H259" s="220"/>
    </row>
    <row r="260" spans="1:8" ht="13" customHeight="1" x14ac:dyDescent="0.45">
      <c r="A260" s="310"/>
      <c r="B260" s="426" t="s">
        <v>1053</v>
      </c>
      <c r="C260" s="427"/>
      <c r="D260" s="428"/>
      <c r="E260" s="159"/>
      <c r="F260" s="209"/>
      <c r="G260" s="210"/>
      <c r="H260" s="163"/>
    </row>
    <row r="261" spans="1:8" ht="63" x14ac:dyDescent="0.45">
      <c r="A261" s="171" t="s">
        <v>3475</v>
      </c>
      <c r="B261" s="171"/>
      <c r="C261" s="106" t="s">
        <v>1055</v>
      </c>
      <c r="D261" s="106" t="s">
        <v>1056</v>
      </c>
      <c r="E261" s="166"/>
      <c r="F261" s="171" t="s">
        <v>633</v>
      </c>
      <c r="G261" s="172">
        <v>2500</v>
      </c>
      <c r="H261" s="168">
        <f>SUM(E261)*G261</f>
        <v>0</v>
      </c>
    </row>
    <row r="262" spans="1:8" ht="50.4" x14ac:dyDescent="0.45">
      <c r="A262" s="171" t="s">
        <v>3476</v>
      </c>
      <c r="B262" s="171"/>
      <c r="C262" s="106" t="s">
        <v>1058</v>
      </c>
      <c r="D262" s="106" t="s">
        <v>1059</v>
      </c>
      <c r="E262" s="166"/>
      <c r="F262" s="171" t="s">
        <v>633</v>
      </c>
      <c r="G262" s="172">
        <v>2500</v>
      </c>
      <c r="H262" s="168">
        <f>SUM(E262)*G262</f>
        <v>0</v>
      </c>
    </row>
    <row r="263" spans="1:8" ht="37.799999999999997" x14ac:dyDescent="0.45">
      <c r="A263" s="171" t="s">
        <v>3477</v>
      </c>
      <c r="B263" s="171"/>
      <c r="C263" s="106" t="s">
        <v>1061</v>
      </c>
      <c r="D263" s="106" t="s">
        <v>1062</v>
      </c>
      <c r="E263" s="190"/>
      <c r="F263" s="171" t="s">
        <v>1063</v>
      </c>
      <c r="G263" s="172" t="s">
        <v>1064</v>
      </c>
      <c r="H263" s="168">
        <v>100000</v>
      </c>
    </row>
    <row r="264" spans="1:8" x14ac:dyDescent="0.45">
      <c r="A264" s="191"/>
      <c r="B264" s="191"/>
      <c r="C264" s="192"/>
      <c r="D264" s="193"/>
      <c r="E264" s="194"/>
      <c r="F264" s="193"/>
      <c r="G264" s="195"/>
      <c r="H264" s="168"/>
    </row>
    <row r="265" spans="1:8" ht="7.5" customHeight="1" x14ac:dyDescent="0.45">
      <c r="A265" s="154"/>
      <c r="B265" s="154"/>
      <c r="C265" s="155"/>
      <c r="D265" s="155"/>
      <c r="E265" s="156"/>
      <c r="F265" s="155"/>
      <c r="G265" s="157"/>
      <c r="H265" s="437"/>
    </row>
    <row r="266" spans="1:8" ht="13.2" customHeight="1" x14ac:dyDescent="0.45">
      <c r="A266" s="411" t="s">
        <v>3478</v>
      </c>
      <c r="B266" s="412"/>
      <c r="C266" s="412"/>
      <c r="D266" s="412"/>
      <c r="E266" s="412"/>
      <c r="F266" s="412"/>
      <c r="G266" s="196"/>
      <c r="H266" s="436">
        <f>SUM(H15:H263)</f>
        <v>100000</v>
      </c>
    </row>
    <row r="267" spans="1:8" ht="7.5" customHeight="1" x14ac:dyDescent="0.45">
      <c r="A267" s="154"/>
      <c r="B267" s="154"/>
      <c r="C267" s="155"/>
      <c r="D267" s="155"/>
      <c r="E267" s="156"/>
      <c r="F267" s="155"/>
      <c r="G267" s="157"/>
      <c r="H267" s="158"/>
    </row>
  </sheetData>
  <mergeCells count="13">
    <mergeCell ref="A266:F266"/>
    <mergeCell ref="A7:H7"/>
    <mergeCell ref="A8:H8"/>
    <mergeCell ref="A9:H9"/>
    <mergeCell ref="A10:H10"/>
    <mergeCell ref="A12:D12"/>
    <mergeCell ref="B260:D260"/>
    <mergeCell ref="A6:H6"/>
    <mergeCell ref="A1:H1"/>
    <mergeCell ref="A2:H2"/>
    <mergeCell ref="A3:H3"/>
    <mergeCell ref="A4:H4"/>
    <mergeCell ref="A5:H5"/>
  </mergeCells>
  <printOptions horizontalCentered="1"/>
  <pageMargins left="0.28000000000000003" right="0.23" top="0.51" bottom="0.56000000000000005" header="0.3" footer="0.31"/>
  <pageSetup scale="80" orientation="landscape" horizontalDpi="4294967293" r:id="rId1"/>
  <headerFooter alignWithMargins="0">
    <oddFooter>&amp;C&amp;"Times New Roman,Regular"Page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588F2-DDD2-4BB8-B638-8A1FC665DFDE}">
  <sheetPr>
    <tabColor rgb="FFFFFFCC"/>
  </sheetPr>
  <dimension ref="A1:XFB471"/>
  <sheetViews>
    <sheetView zoomScaleNormal="100" zoomScaleSheetLayoutView="100" workbookViewId="0">
      <selection activeCell="A11" sqref="A11"/>
    </sheetView>
  </sheetViews>
  <sheetFormatPr defaultColWidth="9.05859375" defaultRowHeight="12.6" x14ac:dyDescent="0.45"/>
  <cols>
    <col min="1" max="1" width="9.5859375" style="1" customWidth="1"/>
    <col min="2" max="3" width="9.8203125" style="105" customWidth="1"/>
    <col min="4" max="4" width="49.5859375" style="140" customWidth="1"/>
    <col min="5" max="6" width="9.5859375" style="105" customWidth="1"/>
    <col min="7" max="7" width="13.5859375" style="141" customWidth="1"/>
    <col min="8" max="8" width="17.5859375" style="141" customWidth="1"/>
    <col min="9" max="108" width="8.8203125" style="1" customWidth="1"/>
    <col min="109" max="16384" width="9.05859375" style="1"/>
  </cols>
  <sheetData>
    <row r="1" spans="1:16382" x14ac:dyDescent="0.45">
      <c r="A1" s="390" t="s">
        <v>4992</v>
      </c>
      <c r="B1" s="390"/>
      <c r="C1" s="390"/>
      <c r="D1" s="390"/>
      <c r="E1" s="390"/>
      <c r="F1" s="390"/>
      <c r="G1" s="390"/>
      <c r="H1" s="390"/>
      <c r="I1" s="392"/>
      <c r="J1" s="392"/>
      <c r="K1" s="392"/>
      <c r="L1" s="392"/>
      <c r="M1" s="392"/>
      <c r="N1" s="392"/>
    </row>
    <row r="2" spans="1:16382" x14ac:dyDescent="0.45">
      <c r="A2" s="390" t="s">
        <v>0</v>
      </c>
      <c r="B2" s="390"/>
      <c r="C2" s="390"/>
      <c r="D2" s="390"/>
      <c r="E2" s="390"/>
      <c r="F2" s="390"/>
      <c r="G2" s="390"/>
      <c r="H2" s="390"/>
      <c r="I2" s="392"/>
      <c r="J2" s="392"/>
      <c r="K2" s="392"/>
      <c r="L2" s="392"/>
      <c r="M2" s="392"/>
      <c r="N2" s="392"/>
    </row>
    <row r="3" spans="1:16382" x14ac:dyDescent="0.45">
      <c r="A3" s="390" t="s">
        <v>4991</v>
      </c>
      <c r="B3" s="390"/>
      <c r="C3" s="390"/>
      <c r="D3" s="390"/>
      <c r="E3" s="390"/>
      <c r="F3" s="390"/>
      <c r="G3" s="390"/>
      <c r="H3" s="390"/>
      <c r="I3" s="392"/>
      <c r="J3" s="392"/>
      <c r="K3" s="392"/>
      <c r="L3" s="392"/>
      <c r="M3" s="392"/>
      <c r="N3" s="392"/>
    </row>
    <row r="4" spans="1:16382" x14ac:dyDescent="0.45">
      <c r="A4" s="390"/>
      <c r="B4" s="390"/>
      <c r="C4" s="390"/>
      <c r="D4" s="391"/>
      <c r="E4" s="391"/>
      <c r="F4" s="391"/>
      <c r="G4" s="391"/>
      <c r="H4" s="391"/>
    </row>
    <row r="5" spans="1:16382" x14ac:dyDescent="0.45">
      <c r="A5" s="390" t="s">
        <v>4998</v>
      </c>
      <c r="B5" s="390"/>
      <c r="C5" s="390"/>
      <c r="D5" s="390"/>
      <c r="E5" s="390"/>
      <c r="F5" s="390"/>
      <c r="G5" s="390"/>
      <c r="H5" s="390"/>
      <c r="I5" s="390"/>
      <c r="J5" s="390"/>
      <c r="K5" s="390"/>
      <c r="L5" s="390"/>
      <c r="M5" s="390"/>
      <c r="N5" s="390"/>
      <c r="O5" s="390"/>
      <c r="P5" s="390"/>
      <c r="Q5" s="390"/>
      <c r="R5" s="390"/>
      <c r="S5" s="390"/>
      <c r="T5" s="390"/>
      <c r="U5" s="390"/>
      <c r="V5" s="390"/>
      <c r="W5" s="390"/>
      <c r="X5" s="390"/>
      <c r="Y5" s="390"/>
      <c r="Z5" s="390"/>
      <c r="AA5" s="390"/>
      <c r="AB5" s="390"/>
      <c r="AC5" s="390"/>
      <c r="AD5" s="390"/>
      <c r="AE5" s="390"/>
      <c r="AF5" s="390"/>
      <c r="AG5" s="390"/>
      <c r="AH5" s="390"/>
      <c r="AI5" s="390"/>
      <c r="AJ5" s="390"/>
      <c r="AK5" s="390"/>
      <c r="AL5" s="390"/>
      <c r="AM5" s="390"/>
      <c r="AN5" s="390"/>
      <c r="AO5" s="390"/>
      <c r="AP5" s="390"/>
      <c r="AQ5" s="390"/>
      <c r="AR5" s="390"/>
      <c r="AS5" s="390"/>
      <c r="AT5" s="390"/>
      <c r="AU5" s="390"/>
      <c r="AV5" s="390"/>
      <c r="AW5" s="390"/>
      <c r="AX5" s="390"/>
      <c r="AY5" s="390"/>
      <c r="AZ5" s="390"/>
      <c r="BA5" s="390"/>
      <c r="BB5" s="390"/>
      <c r="BC5" s="390"/>
      <c r="BD5" s="390"/>
      <c r="BE5" s="390"/>
      <c r="BF5" s="390"/>
      <c r="BG5" s="390"/>
      <c r="BH5" s="390"/>
      <c r="BI5" s="390"/>
      <c r="BJ5" s="390"/>
      <c r="BK5" s="390"/>
      <c r="BL5" s="390"/>
      <c r="BM5" s="390"/>
      <c r="BN5" s="390"/>
      <c r="BO5" s="390"/>
      <c r="BP5" s="390"/>
      <c r="BQ5" s="390"/>
      <c r="BR5" s="390"/>
      <c r="BS5" s="390"/>
      <c r="BT5" s="390"/>
      <c r="BU5" s="390"/>
      <c r="BV5" s="390"/>
      <c r="BW5" s="390"/>
      <c r="BX5" s="390"/>
      <c r="BY5" s="390"/>
      <c r="BZ5" s="390"/>
      <c r="CA5" s="390"/>
      <c r="CB5" s="390"/>
      <c r="CC5" s="390"/>
      <c r="CD5" s="390"/>
      <c r="CE5" s="390"/>
      <c r="CF5" s="390"/>
      <c r="CG5" s="390"/>
      <c r="CH5" s="390"/>
      <c r="CI5" s="390"/>
      <c r="CJ5" s="390"/>
      <c r="CK5" s="390"/>
      <c r="CL5" s="390"/>
      <c r="CM5" s="390"/>
      <c r="CN5" s="390"/>
      <c r="CO5" s="390"/>
      <c r="CP5" s="390"/>
      <c r="CQ5" s="390"/>
      <c r="CR5" s="390"/>
      <c r="CS5" s="390"/>
      <c r="CT5" s="390"/>
      <c r="CU5" s="390"/>
      <c r="CV5" s="390"/>
      <c r="CW5" s="390"/>
      <c r="CX5" s="390"/>
      <c r="CY5" s="390"/>
      <c r="CZ5" s="390"/>
      <c r="DA5" s="390"/>
      <c r="DB5" s="390"/>
      <c r="DC5" s="390"/>
      <c r="DD5" s="390"/>
      <c r="DE5" s="390"/>
      <c r="DF5" s="390"/>
      <c r="DG5" s="390"/>
      <c r="DH5" s="390"/>
      <c r="DI5" s="390"/>
      <c r="DJ5" s="390"/>
      <c r="DK5" s="390"/>
      <c r="DL5" s="390"/>
      <c r="DM5" s="390"/>
      <c r="DN5" s="390"/>
      <c r="DO5" s="390"/>
      <c r="DP5" s="390"/>
      <c r="DQ5" s="390"/>
      <c r="DR5" s="390"/>
      <c r="DS5" s="390"/>
      <c r="DT5" s="390"/>
      <c r="DU5" s="390"/>
      <c r="DV5" s="390"/>
      <c r="DW5" s="390"/>
      <c r="DX5" s="390"/>
      <c r="DY5" s="390"/>
      <c r="DZ5" s="390"/>
      <c r="EA5" s="390"/>
      <c r="EB5" s="390"/>
      <c r="EC5" s="390"/>
      <c r="ED5" s="390"/>
      <c r="EE5" s="390"/>
      <c r="EF5" s="390"/>
      <c r="EG5" s="390"/>
      <c r="EH5" s="390"/>
      <c r="EI5" s="390"/>
      <c r="EJ5" s="390"/>
      <c r="EK5" s="390"/>
      <c r="EL5" s="390"/>
      <c r="EM5" s="390"/>
      <c r="EN5" s="390"/>
      <c r="EO5" s="390"/>
      <c r="EP5" s="390"/>
      <c r="EQ5" s="390"/>
      <c r="ER5" s="390"/>
      <c r="ES5" s="390"/>
      <c r="ET5" s="390"/>
      <c r="EU5" s="390"/>
      <c r="EV5" s="390"/>
      <c r="EW5" s="390"/>
      <c r="EX5" s="390"/>
      <c r="EY5" s="390"/>
      <c r="EZ5" s="390"/>
      <c r="FA5" s="390"/>
      <c r="FB5" s="390"/>
      <c r="FC5" s="390"/>
      <c r="FD5" s="390"/>
      <c r="FE5" s="390"/>
      <c r="FF5" s="390"/>
      <c r="FG5" s="390"/>
      <c r="FH5" s="390"/>
      <c r="FI5" s="390"/>
      <c r="FJ5" s="390"/>
      <c r="FK5" s="390"/>
      <c r="FL5" s="390"/>
      <c r="FM5" s="390"/>
      <c r="FN5" s="390"/>
      <c r="FO5" s="390"/>
      <c r="FP5" s="390"/>
      <c r="FQ5" s="390"/>
      <c r="FR5" s="390"/>
      <c r="FS5" s="390"/>
      <c r="FT5" s="390"/>
      <c r="FU5" s="390"/>
      <c r="FV5" s="390"/>
      <c r="FW5" s="390"/>
      <c r="FX5" s="390"/>
      <c r="FY5" s="390"/>
      <c r="FZ5" s="390"/>
      <c r="GA5" s="390"/>
      <c r="GB5" s="390"/>
      <c r="GC5" s="390"/>
      <c r="GD5" s="390"/>
      <c r="GE5" s="390"/>
      <c r="GF5" s="390"/>
      <c r="GG5" s="390"/>
      <c r="GH5" s="390"/>
      <c r="GI5" s="390"/>
      <c r="GJ5" s="390"/>
      <c r="GK5" s="390"/>
      <c r="GL5" s="390"/>
      <c r="GM5" s="390"/>
      <c r="GN5" s="390"/>
      <c r="GO5" s="390"/>
      <c r="GP5" s="390"/>
      <c r="GQ5" s="390"/>
      <c r="GR5" s="390"/>
      <c r="GS5" s="390"/>
      <c r="GT5" s="390"/>
      <c r="GU5" s="390"/>
      <c r="GV5" s="390"/>
      <c r="GW5" s="390"/>
      <c r="GX5" s="390"/>
      <c r="GY5" s="390"/>
      <c r="GZ5" s="390"/>
      <c r="HA5" s="390"/>
      <c r="HB5" s="390"/>
      <c r="HC5" s="390"/>
      <c r="HD5" s="390"/>
      <c r="HE5" s="390"/>
      <c r="HF5" s="390"/>
      <c r="HG5" s="390"/>
      <c r="HH5" s="390"/>
      <c r="HI5" s="390"/>
      <c r="HJ5" s="390"/>
      <c r="HK5" s="390"/>
      <c r="HL5" s="390"/>
      <c r="HM5" s="390"/>
      <c r="HN5" s="390"/>
      <c r="HO5" s="390"/>
      <c r="HP5" s="390"/>
      <c r="HQ5" s="390"/>
      <c r="HR5" s="390"/>
      <c r="HS5" s="390"/>
      <c r="HT5" s="390"/>
      <c r="HU5" s="390"/>
      <c r="HV5" s="390"/>
      <c r="HW5" s="390"/>
      <c r="HX5" s="390"/>
      <c r="HY5" s="390"/>
      <c r="HZ5" s="390"/>
      <c r="IA5" s="390"/>
      <c r="IB5" s="390"/>
      <c r="IC5" s="390"/>
      <c r="ID5" s="390"/>
      <c r="IE5" s="390"/>
      <c r="IF5" s="390"/>
      <c r="IG5" s="390"/>
      <c r="IH5" s="390"/>
      <c r="II5" s="390"/>
      <c r="IJ5" s="390"/>
      <c r="IK5" s="390"/>
      <c r="IL5" s="390"/>
      <c r="IM5" s="390"/>
      <c r="IN5" s="390"/>
      <c r="IO5" s="390"/>
      <c r="IP5" s="390"/>
      <c r="IQ5" s="390"/>
      <c r="IR5" s="390"/>
      <c r="IS5" s="390"/>
      <c r="IT5" s="390"/>
      <c r="IU5" s="390"/>
      <c r="IV5" s="390"/>
      <c r="IW5" s="390"/>
      <c r="IX5" s="390"/>
      <c r="IY5" s="390"/>
      <c r="IZ5" s="390"/>
      <c r="JA5" s="390"/>
      <c r="JB5" s="390"/>
      <c r="JC5" s="390"/>
      <c r="JD5" s="390"/>
      <c r="JE5" s="390"/>
      <c r="JF5" s="390"/>
      <c r="JG5" s="390"/>
      <c r="JH5" s="390"/>
      <c r="JI5" s="390"/>
      <c r="JJ5" s="390"/>
      <c r="JK5" s="390"/>
      <c r="JL5" s="390"/>
      <c r="JM5" s="390"/>
      <c r="JN5" s="390"/>
      <c r="JO5" s="390"/>
      <c r="JP5" s="390"/>
      <c r="JQ5" s="390"/>
      <c r="JR5" s="390"/>
      <c r="JS5" s="390"/>
      <c r="JT5" s="390"/>
      <c r="JU5" s="390"/>
      <c r="JV5" s="390"/>
      <c r="JW5" s="390"/>
      <c r="JX5" s="390"/>
      <c r="JY5" s="390"/>
      <c r="JZ5" s="390"/>
      <c r="KA5" s="390"/>
      <c r="KB5" s="390"/>
      <c r="KC5" s="390"/>
      <c r="KD5" s="390"/>
      <c r="KE5" s="390"/>
      <c r="KF5" s="390"/>
      <c r="KG5" s="390"/>
      <c r="KH5" s="390"/>
      <c r="KI5" s="390"/>
      <c r="KJ5" s="390"/>
      <c r="KK5" s="390"/>
      <c r="KL5" s="390"/>
      <c r="KM5" s="390"/>
      <c r="KN5" s="390"/>
      <c r="KO5" s="390"/>
      <c r="KP5" s="390"/>
      <c r="KQ5" s="390"/>
      <c r="KR5" s="390"/>
      <c r="KS5" s="390"/>
      <c r="KT5" s="390"/>
      <c r="KU5" s="390"/>
      <c r="KV5" s="390"/>
      <c r="KW5" s="390"/>
      <c r="KX5" s="390"/>
      <c r="KY5" s="390"/>
      <c r="KZ5" s="390"/>
      <c r="LA5" s="390"/>
      <c r="LB5" s="390"/>
      <c r="LC5" s="390"/>
      <c r="LD5" s="390"/>
      <c r="LE5" s="390"/>
      <c r="LF5" s="390"/>
      <c r="LG5" s="390"/>
      <c r="LH5" s="390"/>
      <c r="LI5" s="390"/>
      <c r="LJ5" s="390"/>
      <c r="LK5" s="390"/>
      <c r="LL5" s="390"/>
      <c r="LM5" s="390"/>
      <c r="LN5" s="390"/>
      <c r="LO5" s="390"/>
      <c r="LP5" s="390"/>
      <c r="LQ5" s="390"/>
      <c r="LR5" s="390"/>
      <c r="LS5" s="390"/>
      <c r="LT5" s="390"/>
      <c r="LU5" s="390"/>
      <c r="LV5" s="390"/>
      <c r="LW5" s="390"/>
      <c r="LX5" s="390"/>
      <c r="LY5" s="390"/>
      <c r="LZ5" s="390"/>
      <c r="MA5" s="390"/>
      <c r="MB5" s="390"/>
      <c r="MC5" s="390"/>
      <c r="MD5" s="390"/>
      <c r="ME5" s="390"/>
      <c r="MF5" s="390"/>
      <c r="MG5" s="390"/>
      <c r="MH5" s="390"/>
      <c r="MI5" s="390"/>
      <c r="MJ5" s="390"/>
      <c r="MK5" s="390"/>
      <c r="ML5" s="390"/>
      <c r="MM5" s="390"/>
      <c r="MN5" s="390"/>
      <c r="MO5" s="390"/>
      <c r="MP5" s="390"/>
      <c r="MQ5" s="390"/>
      <c r="MR5" s="390"/>
      <c r="MS5" s="390"/>
      <c r="MT5" s="390"/>
      <c r="MU5" s="390"/>
      <c r="MV5" s="390"/>
      <c r="MW5" s="390"/>
      <c r="MX5" s="390"/>
      <c r="MY5" s="390"/>
      <c r="MZ5" s="390"/>
      <c r="NA5" s="390"/>
      <c r="NB5" s="390"/>
      <c r="NC5" s="390"/>
      <c r="ND5" s="390"/>
      <c r="NE5" s="390"/>
      <c r="NF5" s="390"/>
      <c r="NG5" s="390"/>
      <c r="NH5" s="390"/>
      <c r="NI5" s="390"/>
      <c r="NJ5" s="390"/>
      <c r="NK5" s="390"/>
      <c r="NL5" s="390"/>
      <c r="NM5" s="390"/>
      <c r="NN5" s="390"/>
      <c r="NO5" s="390"/>
      <c r="NP5" s="390"/>
      <c r="NQ5" s="390"/>
      <c r="NR5" s="390"/>
      <c r="NS5" s="390"/>
      <c r="NT5" s="390"/>
      <c r="NU5" s="390"/>
      <c r="NV5" s="390"/>
      <c r="NW5" s="390"/>
      <c r="NX5" s="390"/>
      <c r="NY5" s="390"/>
      <c r="NZ5" s="390"/>
      <c r="OA5" s="390"/>
      <c r="OB5" s="390"/>
      <c r="OC5" s="390"/>
      <c r="OD5" s="390"/>
      <c r="OE5" s="390"/>
      <c r="OF5" s="390"/>
      <c r="OG5" s="390"/>
      <c r="OH5" s="390"/>
      <c r="OI5" s="390"/>
      <c r="OJ5" s="390"/>
      <c r="OK5" s="390"/>
      <c r="OL5" s="390"/>
      <c r="OM5" s="390"/>
      <c r="ON5" s="390"/>
      <c r="OO5" s="390"/>
      <c r="OP5" s="390"/>
      <c r="OQ5" s="390"/>
      <c r="OR5" s="390"/>
      <c r="OS5" s="390"/>
      <c r="OT5" s="390"/>
      <c r="OU5" s="390"/>
      <c r="OV5" s="390"/>
      <c r="OW5" s="390"/>
      <c r="OX5" s="390"/>
      <c r="OY5" s="390"/>
      <c r="OZ5" s="390"/>
      <c r="PA5" s="390"/>
      <c r="PB5" s="390"/>
      <c r="PC5" s="390"/>
      <c r="PD5" s="390"/>
      <c r="PE5" s="390"/>
      <c r="PF5" s="390"/>
      <c r="PG5" s="390"/>
      <c r="PH5" s="390"/>
      <c r="PI5" s="390"/>
      <c r="PJ5" s="390"/>
      <c r="PK5" s="390"/>
      <c r="PL5" s="390"/>
      <c r="PM5" s="390"/>
      <c r="PN5" s="390"/>
      <c r="PO5" s="390"/>
      <c r="PP5" s="390"/>
      <c r="PQ5" s="390"/>
      <c r="PR5" s="390"/>
      <c r="PS5" s="390"/>
      <c r="PT5" s="390"/>
      <c r="PU5" s="390"/>
      <c r="PV5" s="390"/>
      <c r="PW5" s="390"/>
      <c r="PX5" s="390"/>
      <c r="PY5" s="390"/>
      <c r="PZ5" s="390"/>
      <c r="QA5" s="390"/>
      <c r="QB5" s="390"/>
      <c r="QC5" s="390"/>
      <c r="QD5" s="390"/>
      <c r="QE5" s="390"/>
      <c r="QF5" s="390"/>
      <c r="QG5" s="390"/>
      <c r="QH5" s="390"/>
      <c r="QI5" s="390"/>
      <c r="QJ5" s="390"/>
      <c r="QK5" s="390"/>
      <c r="QL5" s="390"/>
      <c r="QM5" s="390"/>
      <c r="QN5" s="390"/>
      <c r="QO5" s="390"/>
      <c r="QP5" s="390"/>
      <c r="QQ5" s="390"/>
      <c r="QR5" s="390"/>
      <c r="QS5" s="390"/>
      <c r="QT5" s="390"/>
      <c r="QU5" s="390"/>
      <c r="QV5" s="390"/>
      <c r="QW5" s="390"/>
      <c r="QX5" s="390"/>
      <c r="QY5" s="390"/>
      <c r="QZ5" s="390"/>
      <c r="RA5" s="390"/>
      <c r="RB5" s="390"/>
      <c r="RC5" s="390"/>
      <c r="RD5" s="390"/>
      <c r="RE5" s="390"/>
      <c r="RF5" s="390"/>
      <c r="RG5" s="390"/>
      <c r="RH5" s="390"/>
      <c r="RI5" s="390"/>
      <c r="RJ5" s="390"/>
      <c r="RK5" s="390"/>
      <c r="RL5" s="390"/>
      <c r="RM5" s="390"/>
      <c r="RN5" s="390"/>
      <c r="RO5" s="390"/>
      <c r="RP5" s="390"/>
      <c r="RQ5" s="390"/>
      <c r="RR5" s="390"/>
      <c r="RS5" s="390"/>
      <c r="RT5" s="390"/>
      <c r="RU5" s="390"/>
      <c r="RV5" s="390"/>
      <c r="RW5" s="390"/>
      <c r="RX5" s="390"/>
      <c r="RY5" s="390"/>
      <c r="RZ5" s="390"/>
      <c r="SA5" s="390"/>
      <c r="SB5" s="390"/>
      <c r="SC5" s="390"/>
      <c r="SD5" s="390"/>
      <c r="SE5" s="390"/>
      <c r="SF5" s="390"/>
      <c r="SG5" s="390"/>
      <c r="SH5" s="390"/>
      <c r="SI5" s="390"/>
      <c r="SJ5" s="390"/>
      <c r="SK5" s="390"/>
      <c r="SL5" s="390"/>
      <c r="SM5" s="390"/>
      <c r="SN5" s="390"/>
      <c r="SO5" s="390"/>
      <c r="SP5" s="390"/>
      <c r="SQ5" s="390"/>
      <c r="SR5" s="390"/>
      <c r="SS5" s="390"/>
      <c r="ST5" s="390"/>
      <c r="SU5" s="390"/>
      <c r="SV5" s="390"/>
      <c r="SW5" s="390"/>
      <c r="SX5" s="390"/>
      <c r="SY5" s="390"/>
      <c r="SZ5" s="390"/>
      <c r="TA5" s="390"/>
      <c r="TB5" s="390"/>
      <c r="TC5" s="390"/>
      <c r="TD5" s="390"/>
      <c r="TE5" s="390"/>
      <c r="TF5" s="390"/>
      <c r="TG5" s="390"/>
      <c r="TH5" s="390"/>
      <c r="TI5" s="390"/>
      <c r="TJ5" s="390"/>
      <c r="TK5" s="390"/>
      <c r="TL5" s="390"/>
      <c r="TM5" s="390"/>
      <c r="TN5" s="390"/>
      <c r="TO5" s="390"/>
      <c r="TP5" s="390"/>
      <c r="TQ5" s="390"/>
      <c r="TR5" s="390"/>
      <c r="TS5" s="390"/>
      <c r="TT5" s="390"/>
      <c r="TU5" s="390"/>
      <c r="TV5" s="390"/>
      <c r="TW5" s="390"/>
      <c r="TX5" s="390"/>
      <c r="TY5" s="390"/>
      <c r="TZ5" s="390"/>
      <c r="UA5" s="390"/>
      <c r="UB5" s="390"/>
      <c r="UC5" s="390"/>
      <c r="UD5" s="390"/>
      <c r="UE5" s="390"/>
      <c r="UF5" s="390"/>
      <c r="UG5" s="390"/>
      <c r="UH5" s="390"/>
      <c r="UI5" s="390"/>
      <c r="UJ5" s="390"/>
      <c r="UK5" s="390"/>
      <c r="UL5" s="390"/>
      <c r="UM5" s="390"/>
      <c r="UN5" s="390"/>
      <c r="UO5" s="390"/>
      <c r="UP5" s="390"/>
      <c r="UQ5" s="390"/>
      <c r="UR5" s="390"/>
      <c r="US5" s="390"/>
      <c r="UT5" s="390"/>
      <c r="UU5" s="390"/>
      <c r="UV5" s="390"/>
      <c r="UW5" s="390"/>
      <c r="UX5" s="390"/>
      <c r="UY5" s="390"/>
      <c r="UZ5" s="390"/>
      <c r="VA5" s="390"/>
      <c r="VB5" s="390"/>
      <c r="VC5" s="390"/>
      <c r="VD5" s="390"/>
      <c r="VE5" s="390"/>
      <c r="VF5" s="390"/>
      <c r="VG5" s="390"/>
      <c r="VH5" s="390"/>
      <c r="VI5" s="390"/>
      <c r="VJ5" s="390"/>
      <c r="VK5" s="390"/>
      <c r="VL5" s="390"/>
      <c r="VM5" s="390"/>
      <c r="VN5" s="390"/>
      <c r="VO5" s="390"/>
      <c r="VP5" s="390"/>
      <c r="VQ5" s="390"/>
      <c r="VR5" s="390"/>
      <c r="VS5" s="390"/>
      <c r="VT5" s="390"/>
      <c r="VU5" s="390"/>
      <c r="VV5" s="390"/>
      <c r="VW5" s="390"/>
      <c r="VX5" s="390"/>
      <c r="VY5" s="390"/>
      <c r="VZ5" s="390"/>
      <c r="WA5" s="390"/>
      <c r="WB5" s="390"/>
      <c r="WC5" s="390"/>
      <c r="WD5" s="390"/>
      <c r="WE5" s="390"/>
      <c r="WF5" s="390"/>
      <c r="WG5" s="390"/>
      <c r="WH5" s="390"/>
      <c r="WI5" s="390"/>
      <c r="WJ5" s="390"/>
      <c r="WK5" s="390"/>
      <c r="WL5" s="390"/>
      <c r="WM5" s="390"/>
      <c r="WN5" s="390"/>
      <c r="WO5" s="390"/>
      <c r="WP5" s="390"/>
      <c r="WQ5" s="390"/>
      <c r="WR5" s="390"/>
      <c r="WS5" s="390"/>
      <c r="WT5" s="390"/>
      <c r="WU5" s="390"/>
      <c r="WV5" s="390"/>
      <c r="WW5" s="390"/>
      <c r="WX5" s="390"/>
      <c r="WY5" s="390"/>
      <c r="WZ5" s="390"/>
      <c r="XA5" s="390"/>
      <c r="XB5" s="390"/>
      <c r="XC5" s="390"/>
      <c r="XD5" s="390"/>
      <c r="XE5" s="390"/>
      <c r="XF5" s="390"/>
      <c r="XG5" s="390"/>
      <c r="XH5" s="390"/>
      <c r="XI5" s="390"/>
      <c r="XJ5" s="390"/>
      <c r="XK5" s="390"/>
      <c r="XL5" s="390"/>
      <c r="XM5" s="390"/>
      <c r="XN5" s="390"/>
      <c r="XO5" s="390"/>
      <c r="XP5" s="390"/>
      <c r="XQ5" s="390"/>
      <c r="XR5" s="390"/>
      <c r="XS5" s="390"/>
      <c r="XT5" s="390"/>
      <c r="XU5" s="390"/>
      <c r="XV5" s="390"/>
      <c r="XW5" s="390"/>
      <c r="XX5" s="390"/>
      <c r="XY5" s="390"/>
      <c r="XZ5" s="390"/>
      <c r="YA5" s="390"/>
      <c r="YB5" s="390"/>
      <c r="YC5" s="390"/>
      <c r="YD5" s="390"/>
      <c r="YE5" s="390"/>
      <c r="YF5" s="390"/>
      <c r="YG5" s="390"/>
      <c r="YH5" s="390"/>
      <c r="YI5" s="390"/>
      <c r="YJ5" s="390"/>
      <c r="YK5" s="390"/>
      <c r="YL5" s="390"/>
      <c r="YM5" s="390"/>
      <c r="YN5" s="390"/>
      <c r="YO5" s="390"/>
      <c r="YP5" s="390"/>
      <c r="YQ5" s="390"/>
      <c r="YR5" s="390"/>
      <c r="YS5" s="390"/>
      <c r="YT5" s="390"/>
      <c r="YU5" s="390"/>
      <c r="YV5" s="390"/>
      <c r="YW5" s="390"/>
      <c r="YX5" s="390"/>
      <c r="YY5" s="390"/>
      <c r="YZ5" s="390"/>
      <c r="ZA5" s="390"/>
      <c r="ZB5" s="390"/>
      <c r="ZC5" s="390"/>
      <c r="ZD5" s="390"/>
      <c r="ZE5" s="390"/>
      <c r="ZF5" s="390"/>
      <c r="ZG5" s="390"/>
      <c r="ZH5" s="390"/>
      <c r="ZI5" s="390"/>
      <c r="ZJ5" s="390"/>
      <c r="ZK5" s="390"/>
      <c r="ZL5" s="390"/>
      <c r="ZM5" s="390"/>
      <c r="ZN5" s="390"/>
      <c r="ZO5" s="390"/>
      <c r="ZP5" s="390"/>
      <c r="ZQ5" s="390"/>
      <c r="ZR5" s="390"/>
      <c r="ZS5" s="390"/>
      <c r="ZT5" s="390"/>
      <c r="ZU5" s="390"/>
      <c r="ZV5" s="390"/>
      <c r="ZW5" s="390"/>
      <c r="ZX5" s="390"/>
      <c r="ZY5" s="390"/>
      <c r="ZZ5" s="390"/>
      <c r="AAA5" s="390"/>
      <c r="AAB5" s="390"/>
      <c r="AAC5" s="390"/>
      <c r="AAD5" s="390"/>
      <c r="AAE5" s="390"/>
      <c r="AAF5" s="390"/>
      <c r="AAG5" s="390"/>
      <c r="AAH5" s="390"/>
      <c r="AAI5" s="390"/>
      <c r="AAJ5" s="390"/>
      <c r="AAK5" s="390"/>
      <c r="AAL5" s="390"/>
      <c r="AAM5" s="390"/>
      <c r="AAN5" s="390"/>
      <c r="AAO5" s="390"/>
      <c r="AAP5" s="390"/>
      <c r="AAQ5" s="390"/>
      <c r="AAR5" s="390"/>
      <c r="AAS5" s="390"/>
      <c r="AAT5" s="390"/>
      <c r="AAU5" s="390"/>
      <c r="AAV5" s="390"/>
      <c r="AAW5" s="390"/>
      <c r="AAX5" s="390"/>
      <c r="AAY5" s="390"/>
      <c r="AAZ5" s="390"/>
      <c r="ABA5" s="390"/>
      <c r="ABB5" s="390"/>
      <c r="ABC5" s="390"/>
      <c r="ABD5" s="390"/>
      <c r="ABE5" s="390"/>
      <c r="ABF5" s="390"/>
      <c r="ABG5" s="390"/>
      <c r="ABH5" s="390"/>
      <c r="ABI5" s="390"/>
      <c r="ABJ5" s="390"/>
      <c r="ABK5" s="390"/>
      <c r="ABL5" s="390"/>
      <c r="ABM5" s="390"/>
      <c r="ABN5" s="390"/>
      <c r="ABO5" s="390"/>
      <c r="ABP5" s="390"/>
      <c r="ABQ5" s="390"/>
      <c r="ABR5" s="390"/>
      <c r="ABS5" s="390"/>
      <c r="ABT5" s="390"/>
      <c r="ABU5" s="390"/>
      <c r="ABV5" s="390"/>
      <c r="ABW5" s="390"/>
      <c r="ABX5" s="390"/>
      <c r="ABY5" s="390"/>
      <c r="ABZ5" s="390"/>
      <c r="ACA5" s="390"/>
      <c r="ACB5" s="390"/>
      <c r="ACC5" s="390"/>
      <c r="ACD5" s="390"/>
      <c r="ACE5" s="390"/>
      <c r="ACF5" s="390"/>
      <c r="ACG5" s="390"/>
      <c r="ACH5" s="390"/>
      <c r="ACI5" s="390"/>
      <c r="ACJ5" s="390"/>
      <c r="ACK5" s="390"/>
      <c r="ACL5" s="390"/>
      <c r="ACM5" s="390"/>
      <c r="ACN5" s="390"/>
      <c r="ACO5" s="390"/>
      <c r="ACP5" s="390"/>
      <c r="ACQ5" s="390"/>
      <c r="ACR5" s="390"/>
      <c r="ACS5" s="390"/>
      <c r="ACT5" s="390"/>
      <c r="ACU5" s="390"/>
      <c r="ACV5" s="390"/>
      <c r="ACW5" s="390"/>
      <c r="ACX5" s="390"/>
      <c r="ACY5" s="390"/>
      <c r="ACZ5" s="390"/>
      <c r="ADA5" s="390"/>
      <c r="ADB5" s="390"/>
      <c r="ADC5" s="390"/>
      <c r="ADD5" s="390"/>
      <c r="ADE5" s="390"/>
      <c r="ADF5" s="390"/>
      <c r="ADG5" s="390"/>
      <c r="ADH5" s="390"/>
      <c r="ADI5" s="390"/>
      <c r="ADJ5" s="390"/>
      <c r="ADK5" s="390"/>
      <c r="ADL5" s="390"/>
      <c r="ADM5" s="390"/>
      <c r="ADN5" s="390"/>
      <c r="ADO5" s="390"/>
      <c r="ADP5" s="390"/>
      <c r="ADQ5" s="390"/>
      <c r="ADR5" s="390"/>
      <c r="ADS5" s="390"/>
      <c r="ADT5" s="390"/>
      <c r="ADU5" s="390"/>
      <c r="ADV5" s="390"/>
      <c r="ADW5" s="390"/>
      <c r="ADX5" s="390"/>
      <c r="ADY5" s="390"/>
      <c r="ADZ5" s="390"/>
      <c r="AEA5" s="390"/>
      <c r="AEB5" s="390"/>
      <c r="AEC5" s="390"/>
      <c r="AED5" s="390"/>
      <c r="AEE5" s="390"/>
      <c r="AEF5" s="390"/>
      <c r="AEG5" s="390"/>
      <c r="AEH5" s="390"/>
      <c r="AEI5" s="390"/>
      <c r="AEJ5" s="390"/>
      <c r="AEK5" s="390"/>
      <c r="AEL5" s="390"/>
      <c r="AEM5" s="390"/>
      <c r="AEN5" s="390"/>
      <c r="AEO5" s="390"/>
      <c r="AEP5" s="390"/>
      <c r="AEQ5" s="390"/>
      <c r="AER5" s="390"/>
      <c r="AES5" s="390"/>
      <c r="AET5" s="390"/>
      <c r="AEU5" s="390"/>
      <c r="AEV5" s="390"/>
      <c r="AEW5" s="390"/>
      <c r="AEX5" s="390"/>
      <c r="AEY5" s="390"/>
      <c r="AEZ5" s="390"/>
      <c r="AFA5" s="390"/>
      <c r="AFB5" s="390"/>
      <c r="AFC5" s="390"/>
      <c r="AFD5" s="390"/>
      <c r="AFE5" s="390"/>
      <c r="AFF5" s="390"/>
      <c r="AFG5" s="390"/>
      <c r="AFH5" s="390"/>
      <c r="AFI5" s="390"/>
      <c r="AFJ5" s="390"/>
      <c r="AFK5" s="390"/>
      <c r="AFL5" s="390"/>
      <c r="AFM5" s="390"/>
      <c r="AFN5" s="390"/>
      <c r="AFO5" s="390"/>
      <c r="AFP5" s="390"/>
      <c r="AFQ5" s="390"/>
      <c r="AFR5" s="390"/>
      <c r="AFS5" s="390"/>
      <c r="AFT5" s="390"/>
      <c r="AFU5" s="390"/>
      <c r="AFV5" s="390"/>
      <c r="AFW5" s="390"/>
      <c r="AFX5" s="390"/>
      <c r="AFY5" s="390"/>
      <c r="AFZ5" s="390"/>
      <c r="AGA5" s="390"/>
      <c r="AGB5" s="390"/>
      <c r="AGC5" s="390"/>
      <c r="AGD5" s="390"/>
      <c r="AGE5" s="390"/>
      <c r="AGF5" s="390"/>
      <c r="AGG5" s="390"/>
      <c r="AGH5" s="390"/>
      <c r="AGI5" s="390"/>
      <c r="AGJ5" s="390"/>
      <c r="AGK5" s="390"/>
      <c r="AGL5" s="390"/>
      <c r="AGM5" s="390"/>
      <c r="AGN5" s="390"/>
      <c r="AGO5" s="390"/>
      <c r="AGP5" s="390"/>
      <c r="AGQ5" s="390"/>
      <c r="AGR5" s="390"/>
      <c r="AGS5" s="390"/>
      <c r="AGT5" s="390"/>
      <c r="AGU5" s="390"/>
      <c r="AGV5" s="390"/>
      <c r="AGW5" s="390"/>
      <c r="AGX5" s="390"/>
      <c r="AGY5" s="390"/>
      <c r="AGZ5" s="390"/>
      <c r="AHA5" s="390"/>
      <c r="AHB5" s="390"/>
      <c r="AHC5" s="390"/>
      <c r="AHD5" s="390"/>
      <c r="AHE5" s="390"/>
      <c r="AHF5" s="390"/>
      <c r="AHG5" s="390"/>
      <c r="AHH5" s="390"/>
      <c r="AHI5" s="390"/>
      <c r="AHJ5" s="390"/>
      <c r="AHK5" s="390"/>
      <c r="AHL5" s="390"/>
      <c r="AHM5" s="390"/>
      <c r="AHN5" s="390"/>
      <c r="AHO5" s="390"/>
      <c r="AHP5" s="390"/>
      <c r="AHQ5" s="390"/>
      <c r="AHR5" s="390"/>
      <c r="AHS5" s="390"/>
      <c r="AHT5" s="390"/>
      <c r="AHU5" s="390"/>
      <c r="AHV5" s="390"/>
      <c r="AHW5" s="390"/>
      <c r="AHX5" s="390"/>
      <c r="AHY5" s="390"/>
      <c r="AHZ5" s="390"/>
      <c r="AIA5" s="390"/>
      <c r="AIB5" s="390"/>
      <c r="AIC5" s="390"/>
      <c r="AID5" s="390"/>
      <c r="AIE5" s="390"/>
      <c r="AIF5" s="390"/>
      <c r="AIG5" s="390"/>
      <c r="AIH5" s="390"/>
      <c r="AII5" s="390"/>
      <c r="AIJ5" s="390"/>
      <c r="AIK5" s="390"/>
      <c r="AIL5" s="390"/>
      <c r="AIM5" s="390"/>
      <c r="AIN5" s="390"/>
      <c r="AIO5" s="390"/>
      <c r="AIP5" s="390"/>
      <c r="AIQ5" s="390"/>
      <c r="AIR5" s="390"/>
      <c r="AIS5" s="390"/>
      <c r="AIT5" s="390"/>
      <c r="AIU5" s="390"/>
      <c r="AIV5" s="390"/>
      <c r="AIW5" s="390"/>
      <c r="AIX5" s="390"/>
      <c r="AIY5" s="390"/>
      <c r="AIZ5" s="390"/>
      <c r="AJA5" s="390"/>
      <c r="AJB5" s="390"/>
      <c r="AJC5" s="390"/>
      <c r="AJD5" s="390"/>
      <c r="AJE5" s="390"/>
      <c r="AJF5" s="390"/>
      <c r="AJG5" s="390"/>
      <c r="AJH5" s="390"/>
      <c r="AJI5" s="390"/>
      <c r="AJJ5" s="390"/>
      <c r="AJK5" s="390"/>
      <c r="AJL5" s="390"/>
      <c r="AJM5" s="390"/>
      <c r="AJN5" s="390"/>
      <c r="AJO5" s="390"/>
      <c r="AJP5" s="390"/>
      <c r="AJQ5" s="390"/>
      <c r="AJR5" s="390"/>
      <c r="AJS5" s="390"/>
      <c r="AJT5" s="390"/>
      <c r="AJU5" s="390"/>
      <c r="AJV5" s="390"/>
      <c r="AJW5" s="390"/>
      <c r="AJX5" s="390"/>
      <c r="AJY5" s="390"/>
      <c r="AJZ5" s="390"/>
      <c r="AKA5" s="390"/>
      <c r="AKB5" s="390"/>
      <c r="AKC5" s="390"/>
      <c r="AKD5" s="390"/>
      <c r="AKE5" s="390"/>
      <c r="AKF5" s="390"/>
      <c r="AKG5" s="390"/>
      <c r="AKH5" s="390"/>
      <c r="AKI5" s="390"/>
      <c r="AKJ5" s="390"/>
      <c r="AKK5" s="390"/>
      <c r="AKL5" s="390"/>
      <c r="AKM5" s="390"/>
      <c r="AKN5" s="390"/>
      <c r="AKO5" s="390"/>
      <c r="AKP5" s="390"/>
      <c r="AKQ5" s="390"/>
      <c r="AKR5" s="390"/>
      <c r="AKS5" s="390"/>
      <c r="AKT5" s="390"/>
      <c r="AKU5" s="390"/>
      <c r="AKV5" s="390"/>
      <c r="AKW5" s="390"/>
      <c r="AKX5" s="390"/>
      <c r="AKY5" s="390"/>
      <c r="AKZ5" s="390"/>
      <c r="ALA5" s="390"/>
      <c r="ALB5" s="390"/>
      <c r="ALC5" s="390"/>
      <c r="ALD5" s="390"/>
      <c r="ALE5" s="390"/>
      <c r="ALF5" s="390"/>
      <c r="ALG5" s="390"/>
      <c r="ALH5" s="390"/>
      <c r="ALI5" s="390"/>
      <c r="ALJ5" s="390"/>
      <c r="ALK5" s="390"/>
      <c r="ALL5" s="390"/>
      <c r="ALM5" s="390"/>
      <c r="ALN5" s="390"/>
      <c r="ALO5" s="390"/>
      <c r="ALP5" s="390"/>
      <c r="ALQ5" s="390"/>
      <c r="ALR5" s="390"/>
      <c r="ALS5" s="390"/>
      <c r="ALT5" s="390"/>
      <c r="ALU5" s="390"/>
      <c r="ALV5" s="390"/>
      <c r="ALW5" s="390"/>
      <c r="ALX5" s="390"/>
      <c r="ALY5" s="390"/>
      <c r="ALZ5" s="390"/>
      <c r="AMA5" s="390"/>
      <c r="AMB5" s="390"/>
      <c r="AMC5" s="390"/>
      <c r="AMD5" s="390"/>
      <c r="AME5" s="390"/>
      <c r="AMF5" s="390"/>
      <c r="AMG5" s="390"/>
      <c r="AMH5" s="390"/>
      <c r="AMI5" s="390"/>
      <c r="AMJ5" s="390"/>
      <c r="AMK5" s="390"/>
      <c r="AML5" s="390"/>
      <c r="AMM5" s="390"/>
      <c r="AMN5" s="390"/>
      <c r="AMO5" s="390"/>
      <c r="AMP5" s="390"/>
      <c r="AMQ5" s="390"/>
      <c r="AMR5" s="390"/>
      <c r="AMS5" s="390"/>
      <c r="AMT5" s="390"/>
      <c r="AMU5" s="390"/>
      <c r="AMV5" s="390"/>
      <c r="AMW5" s="390"/>
      <c r="AMX5" s="390"/>
      <c r="AMY5" s="390"/>
      <c r="AMZ5" s="390"/>
      <c r="ANA5" s="390"/>
      <c r="ANB5" s="390"/>
      <c r="ANC5" s="390"/>
      <c r="AND5" s="390"/>
      <c r="ANE5" s="390"/>
      <c r="ANF5" s="390"/>
      <c r="ANG5" s="390"/>
      <c r="ANH5" s="390"/>
      <c r="ANI5" s="390"/>
      <c r="ANJ5" s="390"/>
      <c r="ANK5" s="390"/>
      <c r="ANL5" s="390"/>
      <c r="ANM5" s="390"/>
      <c r="ANN5" s="390"/>
      <c r="ANO5" s="390"/>
      <c r="ANP5" s="390"/>
      <c r="ANQ5" s="390"/>
      <c r="ANR5" s="390"/>
      <c r="ANS5" s="390"/>
      <c r="ANT5" s="390"/>
      <c r="ANU5" s="390"/>
      <c r="ANV5" s="390"/>
      <c r="ANW5" s="390"/>
      <c r="ANX5" s="390"/>
      <c r="ANY5" s="390"/>
      <c r="ANZ5" s="390"/>
      <c r="AOA5" s="390"/>
      <c r="AOB5" s="390"/>
      <c r="AOC5" s="390"/>
      <c r="AOD5" s="390"/>
      <c r="AOE5" s="390"/>
      <c r="AOF5" s="390"/>
      <c r="AOG5" s="390"/>
      <c r="AOH5" s="390"/>
      <c r="AOI5" s="390"/>
      <c r="AOJ5" s="390"/>
      <c r="AOK5" s="390"/>
      <c r="AOL5" s="390"/>
      <c r="AOM5" s="390"/>
      <c r="AON5" s="390"/>
      <c r="AOO5" s="390"/>
      <c r="AOP5" s="390"/>
      <c r="AOQ5" s="390"/>
      <c r="AOR5" s="390"/>
      <c r="AOS5" s="390"/>
      <c r="AOT5" s="390"/>
      <c r="AOU5" s="390"/>
      <c r="AOV5" s="390"/>
      <c r="AOW5" s="390"/>
      <c r="AOX5" s="390"/>
      <c r="AOY5" s="390"/>
      <c r="AOZ5" s="390"/>
      <c r="APA5" s="390"/>
      <c r="APB5" s="390"/>
      <c r="APC5" s="390"/>
      <c r="APD5" s="390"/>
      <c r="APE5" s="390"/>
      <c r="APF5" s="390"/>
      <c r="APG5" s="390"/>
      <c r="APH5" s="390"/>
      <c r="API5" s="390"/>
      <c r="APJ5" s="390"/>
      <c r="APK5" s="390"/>
      <c r="APL5" s="390"/>
      <c r="APM5" s="390"/>
      <c r="APN5" s="390"/>
      <c r="APO5" s="390"/>
      <c r="APP5" s="390"/>
      <c r="APQ5" s="390"/>
      <c r="APR5" s="390"/>
      <c r="APS5" s="390"/>
      <c r="APT5" s="390"/>
      <c r="APU5" s="390"/>
      <c r="APV5" s="390"/>
      <c r="APW5" s="390"/>
      <c r="APX5" s="390"/>
      <c r="APY5" s="390"/>
      <c r="APZ5" s="390"/>
      <c r="AQA5" s="390"/>
      <c r="AQB5" s="390"/>
      <c r="AQC5" s="390"/>
      <c r="AQD5" s="390"/>
      <c r="AQE5" s="390"/>
      <c r="AQF5" s="390"/>
      <c r="AQG5" s="390"/>
      <c r="AQH5" s="390"/>
      <c r="AQI5" s="390"/>
      <c r="AQJ5" s="390"/>
      <c r="AQK5" s="390"/>
      <c r="AQL5" s="390"/>
      <c r="AQM5" s="390"/>
      <c r="AQN5" s="390"/>
      <c r="AQO5" s="390"/>
      <c r="AQP5" s="390"/>
      <c r="AQQ5" s="390"/>
      <c r="AQR5" s="390"/>
      <c r="AQS5" s="390"/>
      <c r="AQT5" s="390"/>
      <c r="AQU5" s="390"/>
      <c r="AQV5" s="390"/>
      <c r="AQW5" s="390"/>
      <c r="AQX5" s="390"/>
      <c r="AQY5" s="390"/>
      <c r="AQZ5" s="390"/>
      <c r="ARA5" s="390"/>
      <c r="ARB5" s="390"/>
      <c r="ARC5" s="390"/>
      <c r="ARD5" s="390"/>
      <c r="ARE5" s="390"/>
      <c r="ARF5" s="390"/>
      <c r="ARG5" s="390"/>
      <c r="ARH5" s="390"/>
      <c r="ARI5" s="390"/>
      <c r="ARJ5" s="390"/>
      <c r="ARK5" s="390"/>
      <c r="ARL5" s="390"/>
      <c r="ARM5" s="390"/>
      <c r="ARN5" s="390"/>
      <c r="ARO5" s="390"/>
      <c r="ARP5" s="390"/>
      <c r="ARQ5" s="390"/>
      <c r="ARR5" s="390"/>
      <c r="ARS5" s="390"/>
      <c r="ART5" s="390"/>
      <c r="ARU5" s="390"/>
      <c r="ARV5" s="390"/>
      <c r="ARW5" s="390"/>
      <c r="ARX5" s="390"/>
      <c r="ARY5" s="390"/>
      <c r="ARZ5" s="390"/>
      <c r="ASA5" s="390"/>
      <c r="ASB5" s="390"/>
      <c r="ASC5" s="390"/>
      <c r="ASD5" s="390"/>
      <c r="ASE5" s="390"/>
      <c r="ASF5" s="390"/>
      <c r="ASG5" s="390"/>
      <c r="ASH5" s="390"/>
      <c r="ASI5" s="390"/>
      <c r="ASJ5" s="390"/>
      <c r="ASK5" s="390"/>
      <c r="ASL5" s="390"/>
      <c r="ASM5" s="390"/>
      <c r="ASN5" s="390"/>
      <c r="ASO5" s="390"/>
      <c r="ASP5" s="390"/>
      <c r="ASQ5" s="390"/>
      <c r="ASR5" s="390"/>
      <c r="ASS5" s="390"/>
      <c r="AST5" s="390"/>
      <c r="ASU5" s="390"/>
      <c r="ASV5" s="390"/>
      <c r="ASW5" s="390"/>
      <c r="ASX5" s="390"/>
      <c r="ASY5" s="390"/>
      <c r="ASZ5" s="390"/>
      <c r="ATA5" s="390"/>
      <c r="ATB5" s="390"/>
      <c r="ATC5" s="390"/>
      <c r="ATD5" s="390"/>
      <c r="ATE5" s="390"/>
      <c r="ATF5" s="390"/>
      <c r="ATG5" s="390"/>
      <c r="ATH5" s="390"/>
      <c r="ATI5" s="390"/>
      <c r="ATJ5" s="390"/>
      <c r="ATK5" s="390"/>
      <c r="ATL5" s="390"/>
      <c r="ATM5" s="390"/>
      <c r="ATN5" s="390"/>
      <c r="ATO5" s="390"/>
      <c r="ATP5" s="390"/>
      <c r="ATQ5" s="390"/>
      <c r="ATR5" s="390"/>
      <c r="ATS5" s="390"/>
      <c r="ATT5" s="390"/>
      <c r="ATU5" s="390"/>
      <c r="ATV5" s="390"/>
      <c r="ATW5" s="390"/>
      <c r="ATX5" s="390"/>
      <c r="ATY5" s="390"/>
      <c r="ATZ5" s="390"/>
      <c r="AUA5" s="390"/>
      <c r="AUB5" s="390"/>
      <c r="AUC5" s="390"/>
      <c r="AUD5" s="390"/>
      <c r="AUE5" s="390"/>
      <c r="AUF5" s="390"/>
      <c r="AUG5" s="390"/>
      <c r="AUH5" s="390"/>
      <c r="AUI5" s="390"/>
      <c r="AUJ5" s="390"/>
      <c r="AUK5" s="390"/>
      <c r="AUL5" s="390"/>
      <c r="AUM5" s="390"/>
      <c r="AUN5" s="390"/>
      <c r="AUO5" s="390"/>
      <c r="AUP5" s="390"/>
      <c r="AUQ5" s="390"/>
      <c r="AUR5" s="390"/>
      <c r="AUS5" s="390"/>
      <c r="AUT5" s="390"/>
      <c r="AUU5" s="390"/>
      <c r="AUV5" s="390"/>
      <c r="AUW5" s="390"/>
      <c r="AUX5" s="390"/>
      <c r="AUY5" s="390"/>
      <c r="AUZ5" s="390"/>
      <c r="AVA5" s="390"/>
      <c r="AVB5" s="390"/>
      <c r="AVC5" s="390"/>
      <c r="AVD5" s="390"/>
      <c r="AVE5" s="390"/>
      <c r="AVF5" s="390"/>
      <c r="AVG5" s="390"/>
      <c r="AVH5" s="390"/>
      <c r="AVI5" s="390"/>
      <c r="AVJ5" s="390"/>
      <c r="AVK5" s="390"/>
      <c r="AVL5" s="390"/>
      <c r="AVM5" s="390"/>
      <c r="AVN5" s="390"/>
      <c r="AVO5" s="390"/>
      <c r="AVP5" s="390"/>
      <c r="AVQ5" s="390"/>
      <c r="AVR5" s="390"/>
      <c r="AVS5" s="390"/>
      <c r="AVT5" s="390"/>
      <c r="AVU5" s="390"/>
      <c r="AVV5" s="390"/>
      <c r="AVW5" s="390"/>
      <c r="AVX5" s="390"/>
      <c r="AVY5" s="390"/>
      <c r="AVZ5" s="390"/>
      <c r="AWA5" s="390"/>
      <c r="AWB5" s="390"/>
      <c r="AWC5" s="390"/>
      <c r="AWD5" s="390"/>
      <c r="AWE5" s="390"/>
      <c r="AWF5" s="390"/>
      <c r="AWG5" s="390"/>
      <c r="AWH5" s="390"/>
      <c r="AWI5" s="390"/>
      <c r="AWJ5" s="390"/>
      <c r="AWK5" s="390"/>
      <c r="AWL5" s="390"/>
      <c r="AWM5" s="390"/>
      <c r="AWN5" s="390"/>
      <c r="AWO5" s="390"/>
      <c r="AWP5" s="390"/>
      <c r="AWQ5" s="390"/>
      <c r="AWR5" s="390"/>
      <c r="AWS5" s="390"/>
      <c r="AWT5" s="390"/>
      <c r="AWU5" s="390"/>
      <c r="AWV5" s="390"/>
      <c r="AWW5" s="390"/>
      <c r="AWX5" s="390"/>
      <c r="AWY5" s="390"/>
      <c r="AWZ5" s="390"/>
      <c r="AXA5" s="390"/>
      <c r="AXB5" s="390"/>
      <c r="AXC5" s="390"/>
      <c r="AXD5" s="390"/>
      <c r="AXE5" s="390"/>
      <c r="AXF5" s="390"/>
      <c r="AXG5" s="390"/>
      <c r="AXH5" s="390"/>
      <c r="AXI5" s="390"/>
      <c r="AXJ5" s="390"/>
      <c r="AXK5" s="390"/>
      <c r="AXL5" s="390"/>
      <c r="AXM5" s="390"/>
      <c r="AXN5" s="390"/>
      <c r="AXO5" s="390"/>
      <c r="AXP5" s="390"/>
      <c r="AXQ5" s="390"/>
      <c r="AXR5" s="390"/>
      <c r="AXS5" s="390"/>
      <c r="AXT5" s="390"/>
      <c r="AXU5" s="390"/>
      <c r="AXV5" s="390"/>
      <c r="AXW5" s="390"/>
      <c r="AXX5" s="390"/>
      <c r="AXY5" s="390"/>
      <c r="AXZ5" s="390"/>
      <c r="AYA5" s="390"/>
      <c r="AYB5" s="390"/>
      <c r="AYC5" s="390"/>
      <c r="AYD5" s="390"/>
      <c r="AYE5" s="390"/>
      <c r="AYF5" s="390"/>
      <c r="AYG5" s="390"/>
      <c r="AYH5" s="390"/>
      <c r="AYI5" s="390"/>
      <c r="AYJ5" s="390"/>
      <c r="AYK5" s="390"/>
      <c r="AYL5" s="390"/>
      <c r="AYM5" s="390"/>
      <c r="AYN5" s="390"/>
      <c r="AYO5" s="390"/>
      <c r="AYP5" s="390"/>
      <c r="AYQ5" s="390"/>
      <c r="AYR5" s="390"/>
      <c r="AYS5" s="390"/>
      <c r="AYT5" s="390"/>
      <c r="AYU5" s="390"/>
      <c r="AYV5" s="390"/>
      <c r="AYW5" s="390"/>
      <c r="AYX5" s="390"/>
      <c r="AYY5" s="390"/>
      <c r="AYZ5" s="390"/>
      <c r="AZA5" s="390"/>
      <c r="AZB5" s="390"/>
      <c r="AZC5" s="390"/>
      <c r="AZD5" s="390"/>
      <c r="AZE5" s="390"/>
      <c r="AZF5" s="390"/>
      <c r="AZG5" s="390"/>
      <c r="AZH5" s="390"/>
      <c r="AZI5" s="390"/>
      <c r="AZJ5" s="390"/>
      <c r="AZK5" s="390"/>
      <c r="AZL5" s="390"/>
      <c r="AZM5" s="390"/>
      <c r="AZN5" s="390"/>
      <c r="AZO5" s="390"/>
      <c r="AZP5" s="390"/>
      <c r="AZQ5" s="390"/>
      <c r="AZR5" s="390"/>
      <c r="AZS5" s="390"/>
      <c r="AZT5" s="390"/>
      <c r="AZU5" s="390"/>
      <c r="AZV5" s="390"/>
      <c r="AZW5" s="390"/>
      <c r="AZX5" s="390"/>
      <c r="AZY5" s="390"/>
      <c r="AZZ5" s="390"/>
      <c r="BAA5" s="390"/>
      <c r="BAB5" s="390"/>
      <c r="BAC5" s="390"/>
      <c r="BAD5" s="390"/>
      <c r="BAE5" s="390"/>
      <c r="BAF5" s="390"/>
      <c r="BAG5" s="390"/>
      <c r="BAH5" s="390"/>
      <c r="BAI5" s="390"/>
      <c r="BAJ5" s="390"/>
      <c r="BAK5" s="390"/>
      <c r="BAL5" s="390"/>
      <c r="BAM5" s="390"/>
      <c r="BAN5" s="390"/>
      <c r="BAO5" s="390"/>
      <c r="BAP5" s="390"/>
      <c r="BAQ5" s="390"/>
      <c r="BAR5" s="390"/>
      <c r="BAS5" s="390"/>
      <c r="BAT5" s="390"/>
      <c r="BAU5" s="390"/>
      <c r="BAV5" s="390"/>
      <c r="BAW5" s="390"/>
      <c r="BAX5" s="390"/>
      <c r="BAY5" s="390"/>
      <c r="BAZ5" s="390"/>
      <c r="BBA5" s="390"/>
      <c r="BBB5" s="390"/>
      <c r="BBC5" s="390"/>
      <c r="BBD5" s="390"/>
      <c r="BBE5" s="390"/>
      <c r="BBF5" s="390"/>
      <c r="BBG5" s="390"/>
      <c r="BBH5" s="390"/>
      <c r="BBI5" s="390"/>
      <c r="BBJ5" s="390"/>
      <c r="BBK5" s="390"/>
      <c r="BBL5" s="390"/>
      <c r="BBM5" s="390"/>
      <c r="BBN5" s="390"/>
      <c r="BBO5" s="390"/>
      <c r="BBP5" s="390"/>
      <c r="BBQ5" s="390"/>
      <c r="BBR5" s="390"/>
      <c r="BBS5" s="390"/>
      <c r="BBT5" s="390"/>
      <c r="BBU5" s="390"/>
      <c r="BBV5" s="390"/>
      <c r="BBW5" s="390"/>
      <c r="BBX5" s="390"/>
      <c r="BBY5" s="390"/>
      <c r="BBZ5" s="390"/>
      <c r="BCA5" s="390"/>
      <c r="BCB5" s="390"/>
      <c r="BCC5" s="390"/>
      <c r="BCD5" s="390"/>
      <c r="BCE5" s="390"/>
      <c r="BCF5" s="390"/>
      <c r="BCG5" s="390"/>
      <c r="BCH5" s="390"/>
      <c r="BCI5" s="390"/>
      <c r="BCJ5" s="390"/>
      <c r="BCK5" s="390"/>
      <c r="BCL5" s="390"/>
      <c r="BCM5" s="390"/>
      <c r="BCN5" s="390"/>
      <c r="BCO5" s="390"/>
      <c r="BCP5" s="390"/>
      <c r="BCQ5" s="390"/>
      <c r="BCR5" s="390"/>
      <c r="BCS5" s="390"/>
      <c r="BCT5" s="390"/>
      <c r="BCU5" s="390"/>
      <c r="BCV5" s="390"/>
      <c r="BCW5" s="390"/>
      <c r="BCX5" s="390"/>
      <c r="BCY5" s="390"/>
      <c r="BCZ5" s="390"/>
      <c r="BDA5" s="390"/>
      <c r="BDB5" s="390"/>
      <c r="BDC5" s="390"/>
      <c r="BDD5" s="390"/>
      <c r="BDE5" s="390"/>
      <c r="BDF5" s="390"/>
      <c r="BDG5" s="390"/>
      <c r="BDH5" s="390"/>
      <c r="BDI5" s="390"/>
      <c r="BDJ5" s="390"/>
      <c r="BDK5" s="390"/>
      <c r="BDL5" s="390"/>
      <c r="BDM5" s="390"/>
      <c r="BDN5" s="390"/>
      <c r="BDO5" s="390"/>
      <c r="BDP5" s="390"/>
      <c r="BDQ5" s="390"/>
      <c r="BDR5" s="390"/>
      <c r="BDS5" s="390"/>
      <c r="BDT5" s="390"/>
      <c r="BDU5" s="390"/>
      <c r="BDV5" s="390"/>
      <c r="BDW5" s="390"/>
      <c r="BDX5" s="390"/>
      <c r="BDY5" s="390"/>
      <c r="BDZ5" s="390"/>
      <c r="BEA5" s="390"/>
      <c r="BEB5" s="390"/>
      <c r="BEC5" s="390"/>
      <c r="BED5" s="390"/>
      <c r="BEE5" s="390"/>
      <c r="BEF5" s="390"/>
      <c r="BEG5" s="390"/>
      <c r="BEH5" s="390"/>
      <c r="BEI5" s="390"/>
      <c r="BEJ5" s="390"/>
      <c r="BEK5" s="390"/>
      <c r="BEL5" s="390"/>
      <c r="BEM5" s="390"/>
      <c r="BEN5" s="390"/>
      <c r="BEO5" s="390"/>
      <c r="BEP5" s="390"/>
      <c r="BEQ5" s="390"/>
      <c r="BER5" s="390"/>
      <c r="BES5" s="390"/>
      <c r="BET5" s="390"/>
      <c r="BEU5" s="390"/>
      <c r="BEV5" s="390"/>
      <c r="BEW5" s="390"/>
      <c r="BEX5" s="390"/>
      <c r="BEY5" s="390"/>
      <c r="BEZ5" s="390"/>
      <c r="BFA5" s="390"/>
      <c r="BFB5" s="390"/>
      <c r="BFC5" s="390"/>
      <c r="BFD5" s="390"/>
      <c r="BFE5" s="390"/>
      <c r="BFF5" s="390"/>
      <c r="BFG5" s="390"/>
      <c r="BFH5" s="390"/>
      <c r="BFI5" s="390"/>
      <c r="BFJ5" s="390"/>
      <c r="BFK5" s="390"/>
      <c r="BFL5" s="390"/>
      <c r="BFM5" s="390"/>
      <c r="BFN5" s="390"/>
      <c r="BFO5" s="390"/>
      <c r="BFP5" s="390"/>
      <c r="BFQ5" s="390"/>
      <c r="BFR5" s="390"/>
      <c r="BFS5" s="390"/>
      <c r="BFT5" s="390"/>
      <c r="BFU5" s="390"/>
      <c r="BFV5" s="390"/>
      <c r="BFW5" s="390"/>
      <c r="BFX5" s="390"/>
      <c r="BFY5" s="390"/>
      <c r="BFZ5" s="390"/>
      <c r="BGA5" s="390"/>
      <c r="BGB5" s="390"/>
      <c r="BGC5" s="390"/>
      <c r="BGD5" s="390"/>
      <c r="BGE5" s="390"/>
      <c r="BGF5" s="390"/>
      <c r="BGG5" s="390"/>
      <c r="BGH5" s="390"/>
      <c r="BGI5" s="390"/>
      <c r="BGJ5" s="390"/>
      <c r="BGK5" s="390"/>
      <c r="BGL5" s="390"/>
      <c r="BGM5" s="390"/>
      <c r="BGN5" s="390"/>
      <c r="BGO5" s="390"/>
      <c r="BGP5" s="390"/>
      <c r="BGQ5" s="390"/>
      <c r="BGR5" s="390"/>
      <c r="BGS5" s="390"/>
      <c r="BGT5" s="390"/>
      <c r="BGU5" s="390"/>
      <c r="BGV5" s="390"/>
      <c r="BGW5" s="390"/>
      <c r="BGX5" s="390"/>
      <c r="BGY5" s="390"/>
      <c r="BGZ5" s="390"/>
      <c r="BHA5" s="390"/>
      <c r="BHB5" s="390"/>
      <c r="BHC5" s="390"/>
      <c r="BHD5" s="390"/>
      <c r="BHE5" s="390"/>
      <c r="BHF5" s="390"/>
      <c r="BHG5" s="390"/>
      <c r="BHH5" s="390"/>
      <c r="BHI5" s="390"/>
      <c r="BHJ5" s="390"/>
      <c r="BHK5" s="390"/>
      <c r="BHL5" s="390"/>
      <c r="BHM5" s="390"/>
      <c r="BHN5" s="390"/>
      <c r="BHO5" s="390"/>
      <c r="BHP5" s="390"/>
      <c r="BHQ5" s="390"/>
      <c r="BHR5" s="390"/>
      <c r="BHS5" s="390"/>
      <c r="BHT5" s="390"/>
      <c r="BHU5" s="390"/>
      <c r="BHV5" s="390"/>
      <c r="BHW5" s="390"/>
      <c r="BHX5" s="390"/>
      <c r="BHY5" s="390"/>
      <c r="BHZ5" s="390"/>
      <c r="BIA5" s="390"/>
      <c r="BIB5" s="390"/>
      <c r="BIC5" s="390"/>
      <c r="BID5" s="390"/>
      <c r="BIE5" s="390"/>
      <c r="BIF5" s="390"/>
      <c r="BIG5" s="390"/>
      <c r="BIH5" s="390"/>
      <c r="BII5" s="390"/>
      <c r="BIJ5" s="390"/>
      <c r="BIK5" s="390"/>
      <c r="BIL5" s="390"/>
      <c r="BIM5" s="390"/>
      <c r="BIN5" s="390"/>
      <c r="BIO5" s="390"/>
      <c r="BIP5" s="390"/>
      <c r="BIQ5" s="390"/>
      <c r="BIR5" s="390"/>
      <c r="BIS5" s="390"/>
      <c r="BIT5" s="390"/>
      <c r="BIU5" s="390"/>
      <c r="BIV5" s="390"/>
      <c r="BIW5" s="390"/>
      <c r="BIX5" s="390"/>
      <c r="BIY5" s="390"/>
      <c r="BIZ5" s="390"/>
      <c r="BJA5" s="390"/>
      <c r="BJB5" s="390"/>
      <c r="BJC5" s="390"/>
      <c r="BJD5" s="390"/>
      <c r="BJE5" s="390"/>
      <c r="BJF5" s="390"/>
      <c r="BJG5" s="390"/>
      <c r="BJH5" s="390"/>
      <c r="BJI5" s="390"/>
      <c r="BJJ5" s="390"/>
      <c r="BJK5" s="390"/>
      <c r="BJL5" s="390"/>
      <c r="BJM5" s="390"/>
      <c r="BJN5" s="390"/>
      <c r="BJO5" s="390"/>
      <c r="BJP5" s="390"/>
      <c r="BJQ5" s="390"/>
      <c r="BJR5" s="390"/>
      <c r="BJS5" s="390"/>
      <c r="BJT5" s="390"/>
      <c r="BJU5" s="390"/>
      <c r="BJV5" s="390"/>
      <c r="BJW5" s="390"/>
      <c r="BJX5" s="390"/>
      <c r="BJY5" s="390"/>
      <c r="BJZ5" s="390"/>
      <c r="BKA5" s="390"/>
      <c r="BKB5" s="390"/>
      <c r="BKC5" s="390"/>
      <c r="BKD5" s="390"/>
      <c r="BKE5" s="390"/>
      <c r="BKF5" s="390"/>
      <c r="BKG5" s="390"/>
      <c r="BKH5" s="390"/>
      <c r="BKI5" s="390"/>
      <c r="BKJ5" s="390"/>
      <c r="BKK5" s="390"/>
      <c r="BKL5" s="390"/>
      <c r="BKM5" s="390"/>
      <c r="BKN5" s="390"/>
      <c r="BKO5" s="390"/>
      <c r="BKP5" s="390"/>
      <c r="BKQ5" s="390"/>
      <c r="BKR5" s="390"/>
      <c r="BKS5" s="390"/>
      <c r="BKT5" s="390"/>
      <c r="BKU5" s="390"/>
      <c r="BKV5" s="390"/>
      <c r="BKW5" s="390"/>
      <c r="BKX5" s="390"/>
      <c r="BKY5" s="390"/>
      <c r="BKZ5" s="390"/>
      <c r="BLA5" s="390"/>
      <c r="BLB5" s="390"/>
      <c r="BLC5" s="390"/>
      <c r="BLD5" s="390"/>
      <c r="BLE5" s="390"/>
      <c r="BLF5" s="390"/>
      <c r="BLG5" s="390"/>
      <c r="BLH5" s="390"/>
      <c r="BLI5" s="390"/>
      <c r="BLJ5" s="390"/>
      <c r="BLK5" s="390"/>
      <c r="BLL5" s="390"/>
      <c r="BLM5" s="390"/>
      <c r="BLN5" s="390"/>
      <c r="BLO5" s="390"/>
      <c r="BLP5" s="390"/>
      <c r="BLQ5" s="390"/>
      <c r="BLR5" s="390"/>
      <c r="BLS5" s="390"/>
      <c r="BLT5" s="390"/>
      <c r="BLU5" s="390"/>
      <c r="BLV5" s="390"/>
      <c r="BLW5" s="390"/>
      <c r="BLX5" s="390"/>
      <c r="BLY5" s="390"/>
      <c r="BLZ5" s="390"/>
      <c r="BMA5" s="390"/>
      <c r="BMB5" s="390"/>
      <c r="BMC5" s="390"/>
      <c r="BMD5" s="390"/>
      <c r="BME5" s="390"/>
      <c r="BMF5" s="390"/>
      <c r="BMG5" s="390"/>
      <c r="BMH5" s="390"/>
      <c r="BMI5" s="390"/>
      <c r="BMJ5" s="390"/>
      <c r="BMK5" s="390"/>
      <c r="BML5" s="390"/>
      <c r="BMM5" s="390"/>
      <c r="BMN5" s="390"/>
      <c r="BMO5" s="390"/>
      <c r="BMP5" s="390"/>
      <c r="BMQ5" s="390"/>
      <c r="BMR5" s="390"/>
      <c r="BMS5" s="390"/>
      <c r="BMT5" s="390"/>
      <c r="BMU5" s="390"/>
      <c r="BMV5" s="390"/>
      <c r="BMW5" s="390"/>
      <c r="BMX5" s="390"/>
      <c r="BMY5" s="390"/>
      <c r="BMZ5" s="390"/>
      <c r="BNA5" s="390"/>
      <c r="BNB5" s="390"/>
      <c r="BNC5" s="390"/>
      <c r="BND5" s="390"/>
      <c r="BNE5" s="390"/>
      <c r="BNF5" s="390"/>
      <c r="BNG5" s="390"/>
      <c r="BNH5" s="390"/>
      <c r="BNI5" s="390"/>
      <c r="BNJ5" s="390"/>
      <c r="BNK5" s="390"/>
      <c r="BNL5" s="390"/>
      <c r="BNM5" s="390"/>
      <c r="BNN5" s="390"/>
      <c r="BNO5" s="390"/>
      <c r="BNP5" s="390"/>
      <c r="BNQ5" s="390"/>
      <c r="BNR5" s="390"/>
      <c r="BNS5" s="390"/>
      <c r="BNT5" s="390"/>
      <c r="BNU5" s="390"/>
      <c r="BNV5" s="390"/>
      <c r="BNW5" s="390"/>
      <c r="BNX5" s="390"/>
      <c r="BNY5" s="390"/>
      <c r="BNZ5" s="390"/>
      <c r="BOA5" s="390"/>
      <c r="BOB5" s="390"/>
      <c r="BOC5" s="390"/>
      <c r="BOD5" s="390"/>
      <c r="BOE5" s="390"/>
      <c r="BOF5" s="390"/>
      <c r="BOG5" s="390"/>
      <c r="BOH5" s="390"/>
      <c r="BOI5" s="390"/>
      <c r="BOJ5" s="390"/>
      <c r="BOK5" s="390"/>
      <c r="BOL5" s="390"/>
      <c r="BOM5" s="390"/>
      <c r="BON5" s="390"/>
      <c r="BOO5" s="390"/>
      <c r="BOP5" s="390"/>
      <c r="BOQ5" s="390"/>
      <c r="BOR5" s="390"/>
      <c r="BOS5" s="390"/>
      <c r="BOT5" s="390"/>
      <c r="BOU5" s="390"/>
      <c r="BOV5" s="390"/>
      <c r="BOW5" s="390"/>
      <c r="BOX5" s="390"/>
      <c r="BOY5" s="390"/>
      <c r="BOZ5" s="390"/>
      <c r="BPA5" s="390"/>
      <c r="BPB5" s="390"/>
      <c r="BPC5" s="390"/>
      <c r="BPD5" s="390"/>
      <c r="BPE5" s="390"/>
      <c r="BPF5" s="390"/>
      <c r="BPG5" s="390"/>
      <c r="BPH5" s="390"/>
      <c r="BPI5" s="390"/>
      <c r="BPJ5" s="390"/>
      <c r="BPK5" s="390"/>
      <c r="BPL5" s="390"/>
      <c r="BPM5" s="390"/>
      <c r="BPN5" s="390"/>
      <c r="BPO5" s="390"/>
      <c r="BPP5" s="390"/>
      <c r="BPQ5" s="390"/>
      <c r="BPR5" s="390"/>
      <c r="BPS5" s="390"/>
      <c r="BPT5" s="390"/>
      <c r="BPU5" s="390"/>
      <c r="BPV5" s="390"/>
      <c r="BPW5" s="390"/>
      <c r="BPX5" s="390"/>
      <c r="BPY5" s="390"/>
      <c r="BPZ5" s="390"/>
      <c r="BQA5" s="390"/>
      <c r="BQB5" s="390"/>
      <c r="BQC5" s="390"/>
      <c r="BQD5" s="390"/>
      <c r="BQE5" s="390"/>
      <c r="BQF5" s="390"/>
      <c r="BQG5" s="390"/>
      <c r="BQH5" s="390"/>
      <c r="BQI5" s="390"/>
      <c r="BQJ5" s="390"/>
      <c r="BQK5" s="390"/>
      <c r="BQL5" s="390"/>
      <c r="BQM5" s="390"/>
      <c r="BQN5" s="390"/>
      <c r="BQO5" s="390"/>
      <c r="BQP5" s="390"/>
      <c r="BQQ5" s="390"/>
      <c r="BQR5" s="390"/>
      <c r="BQS5" s="390"/>
      <c r="BQT5" s="390"/>
      <c r="BQU5" s="390"/>
      <c r="BQV5" s="390"/>
      <c r="BQW5" s="390"/>
      <c r="BQX5" s="390"/>
      <c r="BQY5" s="390"/>
      <c r="BQZ5" s="390"/>
      <c r="BRA5" s="390"/>
      <c r="BRB5" s="390"/>
      <c r="BRC5" s="390"/>
      <c r="BRD5" s="390"/>
      <c r="BRE5" s="390"/>
      <c r="BRF5" s="390"/>
      <c r="BRG5" s="390"/>
      <c r="BRH5" s="390"/>
      <c r="BRI5" s="390"/>
      <c r="BRJ5" s="390"/>
      <c r="BRK5" s="390"/>
      <c r="BRL5" s="390"/>
      <c r="BRM5" s="390"/>
      <c r="BRN5" s="390"/>
      <c r="BRO5" s="390"/>
      <c r="BRP5" s="390"/>
      <c r="BRQ5" s="390"/>
      <c r="BRR5" s="390"/>
      <c r="BRS5" s="390"/>
      <c r="BRT5" s="390"/>
      <c r="BRU5" s="390"/>
      <c r="BRV5" s="390"/>
      <c r="BRW5" s="390"/>
      <c r="BRX5" s="390"/>
      <c r="BRY5" s="390"/>
      <c r="BRZ5" s="390"/>
      <c r="BSA5" s="390"/>
      <c r="BSB5" s="390"/>
      <c r="BSC5" s="390"/>
      <c r="BSD5" s="390"/>
      <c r="BSE5" s="390"/>
      <c r="BSF5" s="390"/>
      <c r="BSG5" s="390"/>
      <c r="BSH5" s="390"/>
      <c r="BSI5" s="390"/>
      <c r="BSJ5" s="390"/>
      <c r="BSK5" s="390"/>
      <c r="BSL5" s="390"/>
      <c r="BSM5" s="390"/>
      <c r="BSN5" s="390"/>
      <c r="BSO5" s="390"/>
      <c r="BSP5" s="390"/>
      <c r="BSQ5" s="390"/>
      <c r="BSR5" s="390"/>
      <c r="BSS5" s="390"/>
      <c r="BST5" s="390"/>
      <c r="BSU5" s="390"/>
      <c r="BSV5" s="390"/>
      <c r="BSW5" s="390"/>
      <c r="BSX5" s="390"/>
      <c r="BSY5" s="390"/>
      <c r="BSZ5" s="390"/>
      <c r="BTA5" s="390"/>
      <c r="BTB5" s="390"/>
      <c r="BTC5" s="390"/>
      <c r="BTD5" s="390"/>
      <c r="BTE5" s="390"/>
      <c r="BTF5" s="390"/>
      <c r="BTG5" s="390"/>
      <c r="BTH5" s="390"/>
      <c r="BTI5" s="390"/>
      <c r="BTJ5" s="390"/>
      <c r="BTK5" s="390"/>
      <c r="BTL5" s="390"/>
      <c r="BTM5" s="390"/>
      <c r="BTN5" s="390"/>
      <c r="BTO5" s="390"/>
      <c r="BTP5" s="390"/>
      <c r="BTQ5" s="390"/>
      <c r="BTR5" s="390"/>
      <c r="BTS5" s="390"/>
      <c r="BTT5" s="390"/>
      <c r="BTU5" s="390"/>
      <c r="BTV5" s="390"/>
      <c r="BTW5" s="390"/>
      <c r="BTX5" s="390"/>
      <c r="BTY5" s="390"/>
      <c r="BTZ5" s="390"/>
      <c r="BUA5" s="390"/>
      <c r="BUB5" s="390"/>
      <c r="BUC5" s="390"/>
      <c r="BUD5" s="390"/>
      <c r="BUE5" s="390"/>
      <c r="BUF5" s="390"/>
      <c r="BUG5" s="390"/>
      <c r="BUH5" s="390"/>
      <c r="BUI5" s="390"/>
      <c r="BUJ5" s="390"/>
      <c r="BUK5" s="390"/>
      <c r="BUL5" s="390"/>
      <c r="BUM5" s="390"/>
      <c r="BUN5" s="390"/>
      <c r="BUO5" s="390"/>
      <c r="BUP5" s="390"/>
      <c r="BUQ5" s="390"/>
      <c r="BUR5" s="390"/>
      <c r="BUS5" s="390"/>
      <c r="BUT5" s="390"/>
      <c r="BUU5" s="390"/>
      <c r="BUV5" s="390"/>
      <c r="BUW5" s="390"/>
      <c r="BUX5" s="390"/>
      <c r="BUY5" s="390"/>
      <c r="BUZ5" s="390"/>
      <c r="BVA5" s="390"/>
      <c r="BVB5" s="390"/>
      <c r="BVC5" s="390"/>
      <c r="BVD5" s="390"/>
      <c r="BVE5" s="390"/>
      <c r="BVF5" s="390"/>
      <c r="BVG5" s="390"/>
      <c r="BVH5" s="390"/>
      <c r="BVI5" s="390"/>
      <c r="BVJ5" s="390"/>
      <c r="BVK5" s="390"/>
      <c r="BVL5" s="390"/>
      <c r="BVM5" s="390"/>
      <c r="BVN5" s="390"/>
      <c r="BVO5" s="390"/>
      <c r="BVP5" s="390"/>
      <c r="BVQ5" s="390"/>
      <c r="BVR5" s="390"/>
      <c r="BVS5" s="390"/>
      <c r="BVT5" s="390"/>
      <c r="BVU5" s="390"/>
      <c r="BVV5" s="390"/>
      <c r="BVW5" s="390"/>
      <c r="BVX5" s="390"/>
      <c r="BVY5" s="390"/>
      <c r="BVZ5" s="390"/>
      <c r="BWA5" s="390"/>
      <c r="BWB5" s="390"/>
      <c r="BWC5" s="390"/>
      <c r="BWD5" s="390"/>
      <c r="BWE5" s="390"/>
      <c r="BWF5" s="390"/>
      <c r="BWG5" s="390"/>
      <c r="BWH5" s="390"/>
      <c r="BWI5" s="390"/>
      <c r="BWJ5" s="390"/>
      <c r="BWK5" s="390"/>
      <c r="BWL5" s="390"/>
      <c r="BWM5" s="390"/>
      <c r="BWN5" s="390"/>
      <c r="BWO5" s="390"/>
      <c r="BWP5" s="390"/>
      <c r="BWQ5" s="390"/>
      <c r="BWR5" s="390"/>
      <c r="BWS5" s="390"/>
      <c r="BWT5" s="390"/>
      <c r="BWU5" s="390"/>
      <c r="BWV5" s="390"/>
      <c r="BWW5" s="390"/>
      <c r="BWX5" s="390"/>
      <c r="BWY5" s="390"/>
      <c r="BWZ5" s="390"/>
      <c r="BXA5" s="390"/>
      <c r="BXB5" s="390"/>
      <c r="BXC5" s="390"/>
      <c r="BXD5" s="390"/>
      <c r="BXE5" s="390"/>
      <c r="BXF5" s="390"/>
      <c r="BXG5" s="390"/>
      <c r="BXH5" s="390"/>
      <c r="BXI5" s="390"/>
      <c r="BXJ5" s="390"/>
      <c r="BXK5" s="390"/>
      <c r="BXL5" s="390"/>
      <c r="BXM5" s="390"/>
      <c r="BXN5" s="390"/>
      <c r="BXO5" s="390"/>
      <c r="BXP5" s="390"/>
      <c r="BXQ5" s="390"/>
      <c r="BXR5" s="390"/>
      <c r="BXS5" s="390"/>
      <c r="BXT5" s="390"/>
      <c r="BXU5" s="390"/>
      <c r="BXV5" s="390"/>
      <c r="BXW5" s="390"/>
      <c r="BXX5" s="390"/>
      <c r="BXY5" s="390"/>
      <c r="BXZ5" s="390"/>
      <c r="BYA5" s="390"/>
      <c r="BYB5" s="390"/>
      <c r="BYC5" s="390"/>
      <c r="BYD5" s="390"/>
      <c r="BYE5" s="390"/>
      <c r="BYF5" s="390"/>
      <c r="BYG5" s="390"/>
      <c r="BYH5" s="390"/>
      <c r="BYI5" s="390"/>
      <c r="BYJ5" s="390"/>
      <c r="BYK5" s="390"/>
      <c r="BYL5" s="390"/>
      <c r="BYM5" s="390"/>
      <c r="BYN5" s="390"/>
      <c r="BYO5" s="390"/>
      <c r="BYP5" s="390"/>
      <c r="BYQ5" s="390"/>
      <c r="BYR5" s="390"/>
      <c r="BYS5" s="390"/>
      <c r="BYT5" s="390"/>
      <c r="BYU5" s="390"/>
      <c r="BYV5" s="390"/>
      <c r="BYW5" s="390"/>
      <c r="BYX5" s="390"/>
      <c r="BYY5" s="390"/>
      <c r="BYZ5" s="390"/>
      <c r="BZA5" s="390"/>
      <c r="BZB5" s="390"/>
      <c r="BZC5" s="390"/>
      <c r="BZD5" s="390"/>
      <c r="BZE5" s="390"/>
      <c r="BZF5" s="390"/>
      <c r="BZG5" s="390"/>
      <c r="BZH5" s="390"/>
      <c r="BZI5" s="390"/>
      <c r="BZJ5" s="390"/>
      <c r="BZK5" s="390"/>
      <c r="BZL5" s="390"/>
      <c r="BZM5" s="390"/>
      <c r="BZN5" s="390"/>
      <c r="BZO5" s="390"/>
      <c r="BZP5" s="390"/>
      <c r="BZQ5" s="390"/>
      <c r="BZR5" s="390"/>
      <c r="BZS5" s="390"/>
      <c r="BZT5" s="390"/>
      <c r="BZU5" s="390"/>
      <c r="BZV5" s="390"/>
      <c r="BZW5" s="390"/>
      <c r="BZX5" s="390"/>
      <c r="BZY5" s="390"/>
      <c r="BZZ5" s="390"/>
      <c r="CAA5" s="390"/>
      <c r="CAB5" s="390"/>
      <c r="CAC5" s="390"/>
      <c r="CAD5" s="390"/>
      <c r="CAE5" s="390"/>
      <c r="CAF5" s="390"/>
      <c r="CAG5" s="390"/>
      <c r="CAH5" s="390"/>
      <c r="CAI5" s="390"/>
      <c r="CAJ5" s="390"/>
      <c r="CAK5" s="390"/>
      <c r="CAL5" s="390"/>
      <c r="CAM5" s="390"/>
      <c r="CAN5" s="390"/>
      <c r="CAO5" s="390"/>
      <c r="CAP5" s="390"/>
      <c r="CAQ5" s="390"/>
      <c r="CAR5" s="390"/>
      <c r="CAS5" s="390"/>
      <c r="CAT5" s="390"/>
      <c r="CAU5" s="390"/>
      <c r="CAV5" s="390"/>
      <c r="CAW5" s="390"/>
      <c r="CAX5" s="390"/>
      <c r="CAY5" s="390"/>
      <c r="CAZ5" s="390"/>
      <c r="CBA5" s="390"/>
      <c r="CBB5" s="390"/>
      <c r="CBC5" s="390"/>
      <c r="CBD5" s="390"/>
      <c r="CBE5" s="390"/>
      <c r="CBF5" s="390"/>
      <c r="CBG5" s="390"/>
      <c r="CBH5" s="390"/>
      <c r="CBI5" s="390"/>
      <c r="CBJ5" s="390"/>
      <c r="CBK5" s="390"/>
      <c r="CBL5" s="390"/>
      <c r="CBM5" s="390"/>
      <c r="CBN5" s="390"/>
      <c r="CBO5" s="390"/>
      <c r="CBP5" s="390"/>
      <c r="CBQ5" s="390"/>
      <c r="CBR5" s="390"/>
      <c r="CBS5" s="390"/>
      <c r="CBT5" s="390"/>
      <c r="CBU5" s="390"/>
      <c r="CBV5" s="390"/>
      <c r="CBW5" s="390"/>
      <c r="CBX5" s="390"/>
      <c r="CBY5" s="390"/>
      <c r="CBZ5" s="390"/>
      <c r="CCA5" s="390"/>
      <c r="CCB5" s="390"/>
      <c r="CCC5" s="390"/>
      <c r="CCD5" s="390"/>
      <c r="CCE5" s="390"/>
      <c r="CCF5" s="390"/>
      <c r="CCG5" s="390"/>
      <c r="CCH5" s="390"/>
      <c r="CCI5" s="390"/>
      <c r="CCJ5" s="390"/>
      <c r="CCK5" s="390"/>
      <c r="CCL5" s="390"/>
      <c r="CCM5" s="390"/>
      <c r="CCN5" s="390"/>
      <c r="CCO5" s="390"/>
      <c r="CCP5" s="390"/>
      <c r="CCQ5" s="390"/>
      <c r="CCR5" s="390"/>
      <c r="CCS5" s="390"/>
      <c r="CCT5" s="390"/>
      <c r="CCU5" s="390"/>
      <c r="CCV5" s="390"/>
      <c r="CCW5" s="390"/>
      <c r="CCX5" s="390"/>
      <c r="CCY5" s="390"/>
      <c r="CCZ5" s="390"/>
      <c r="CDA5" s="390"/>
      <c r="CDB5" s="390"/>
      <c r="CDC5" s="390"/>
      <c r="CDD5" s="390"/>
      <c r="CDE5" s="390"/>
      <c r="CDF5" s="390"/>
      <c r="CDG5" s="390"/>
      <c r="CDH5" s="390"/>
      <c r="CDI5" s="390"/>
      <c r="CDJ5" s="390"/>
      <c r="CDK5" s="390"/>
      <c r="CDL5" s="390"/>
      <c r="CDM5" s="390"/>
      <c r="CDN5" s="390"/>
      <c r="CDO5" s="390"/>
      <c r="CDP5" s="390"/>
      <c r="CDQ5" s="390"/>
      <c r="CDR5" s="390"/>
      <c r="CDS5" s="390"/>
      <c r="CDT5" s="390"/>
      <c r="CDU5" s="390"/>
      <c r="CDV5" s="390"/>
      <c r="CDW5" s="390"/>
      <c r="CDX5" s="390"/>
      <c r="CDY5" s="390"/>
      <c r="CDZ5" s="390"/>
      <c r="CEA5" s="390"/>
      <c r="CEB5" s="390"/>
      <c r="CEC5" s="390"/>
      <c r="CED5" s="390"/>
      <c r="CEE5" s="390"/>
      <c r="CEF5" s="390"/>
      <c r="CEG5" s="390"/>
      <c r="CEH5" s="390"/>
      <c r="CEI5" s="390"/>
      <c r="CEJ5" s="390"/>
      <c r="CEK5" s="390"/>
      <c r="CEL5" s="390"/>
      <c r="CEM5" s="390"/>
      <c r="CEN5" s="390"/>
      <c r="CEO5" s="390"/>
      <c r="CEP5" s="390"/>
      <c r="CEQ5" s="390"/>
      <c r="CER5" s="390"/>
      <c r="CES5" s="390"/>
      <c r="CET5" s="390"/>
      <c r="CEU5" s="390"/>
      <c r="CEV5" s="390"/>
      <c r="CEW5" s="390"/>
      <c r="CEX5" s="390"/>
      <c r="CEY5" s="390"/>
      <c r="CEZ5" s="390"/>
      <c r="CFA5" s="390"/>
      <c r="CFB5" s="390"/>
      <c r="CFC5" s="390"/>
      <c r="CFD5" s="390"/>
      <c r="CFE5" s="390"/>
      <c r="CFF5" s="390"/>
      <c r="CFG5" s="390"/>
      <c r="CFH5" s="390"/>
      <c r="CFI5" s="390"/>
      <c r="CFJ5" s="390"/>
      <c r="CFK5" s="390"/>
      <c r="CFL5" s="390"/>
      <c r="CFM5" s="390"/>
      <c r="CFN5" s="390"/>
      <c r="CFO5" s="390"/>
      <c r="CFP5" s="390"/>
      <c r="CFQ5" s="390"/>
      <c r="CFR5" s="390"/>
      <c r="CFS5" s="390"/>
      <c r="CFT5" s="390"/>
      <c r="CFU5" s="390"/>
      <c r="CFV5" s="390"/>
      <c r="CFW5" s="390"/>
      <c r="CFX5" s="390"/>
      <c r="CFY5" s="390"/>
      <c r="CFZ5" s="390"/>
      <c r="CGA5" s="390"/>
      <c r="CGB5" s="390"/>
      <c r="CGC5" s="390"/>
      <c r="CGD5" s="390"/>
      <c r="CGE5" s="390"/>
      <c r="CGF5" s="390"/>
      <c r="CGG5" s="390"/>
      <c r="CGH5" s="390"/>
      <c r="CGI5" s="390"/>
      <c r="CGJ5" s="390"/>
      <c r="CGK5" s="390"/>
      <c r="CGL5" s="390"/>
      <c r="CGM5" s="390"/>
      <c r="CGN5" s="390"/>
      <c r="CGO5" s="390"/>
      <c r="CGP5" s="390"/>
      <c r="CGQ5" s="390"/>
      <c r="CGR5" s="390"/>
      <c r="CGS5" s="390"/>
      <c r="CGT5" s="390"/>
      <c r="CGU5" s="390"/>
      <c r="CGV5" s="390"/>
      <c r="CGW5" s="390"/>
      <c r="CGX5" s="390"/>
      <c r="CGY5" s="390"/>
      <c r="CGZ5" s="390"/>
      <c r="CHA5" s="390"/>
      <c r="CHB5" s="390"/>
      <c r="CHC5" s="390"/>
      <c r="CHD5" s="390"/>
      <c r="CHE5" s="390"/>
      <c r="CHF5" s="390"/>
      <c r="CHG5" s="390"/>
      <c r="CHH5" s="390"/>
      <c r="CHI5" s="390"/>
      <c r="CHJ5" s="390"/>
      <c r="CHK5" s="390"/>
      <c r="CHL5" s="390"/>
      <c r="CHM5" s="390"/>
      <c r="CHN5" s="390"/>
      <c r="CHO5" s="390"/>
      <c r="CHP5" s="390"/>
      <c r="CHQ5" s="390"/>
      <c r="CHR5" s="390"/>
      <c r="CHS5" s="390"/>
      <c r="CHT5" s="390"/>
      <c r="CHU5" s="390"/>
      <c r="CHV5" s="390"/>
      <c r="CHW5" s="390"/>
      <c r="CHX5" s="390"/>
      <c r="CHY5" s="390"/>
      <c r="CHZ5" s="390"/>
      <c r="CIA5" s="390"/>
      <c r="CIB5" s="390"/>
      <c r="CIC5" s="390"/>
      <c r="CID5" s="390"/>
      <c r="CIE5" s="390"/>
      <c r="CIF5" s="390"/>
      <c r="CIG5" s="390"/>
      <c r="CIH5" s="390"/>
      <c r="CII5" s="390"/>
      <c r="CIJ5" s="390"/>
      <c r="CIK5" s="390"/>
      <c r="CIL5" s="390"/>
      <c r="CIM5" s="390"/>
      <c r="CIN5" s="390"/>
      <c r="CIO5" s="390"/>
      <c r="CIP5" s="390"/>
      <c r="CIQ5" s="390"/>
      <c r="CIR5" s="390"/>
      <c r="CIS5" s="390"/>
      <c r="CIT5" s="390"/>
      <c r="CIU5" s="390"/>
      <c r="CIV5" s="390"/>
      <c r="CIW5" s="390"/>
      <c r="CIX5" s="390"/>
      <c r="CIY5" s="390"/>
      <c r="CIZ5" s="390"/>
      <c r="CJA5" s="390"/>
      <c r="CJB5" s="390"/>
      <c r="CJC5" s="390"/>
      <c r="CJD5" s="390"/>
      <c r="CJE5" s="390"/>
      <c r="CJF5" s="390"/>
      <c r="CJG5" s="390"/>
      <c r="CJH5" s="390"/>
      <c r="CJI5" s="390"/>
      <c r="CJJ5" s="390"/>
      <c r="CJK5" s="390"/>
      <c r="CJL5" s="390"/>
      <c r="CJM5" s="390"/>
      <c r="CJN5" s="390"/>
      <c r="CJO5" s="390"/>
      <c r="CJP5" s="390"/>
      <c r="CJQ5" s="390"/>
      <c r="CJR5" s="390"/>
      <c r="CJS5" s="390"/>
      <c r="CJT5" s="390"/>
      <c r="CJU5" s="390"/>
      <c r="CJV5" s="390"/>
      <c r="CJW5" s="390"/>
      <c r="CJX5" s="390"/>
      <c r="CJY5" s="390"/>
      <c r="CJZ5" s="390"/>
      <c r="CKA5" s="390"/>
      <c r="CKB5" s="390"/>
      <c r="CKC5" s="390"/>
      <c r="CKD5" s="390"/>
      <c r="CKE5" s="390"/>
      <c r="CKF5" s="390"/>
      <c r="CKG5" s="390"/>
      <c r="CKH5" s="390"/>
      <c r="CKI5" s="390"/>
      <c r="CKJ5" s="390"/>
      <c r="CKK5" s="390"/>
      <c r="CKL5" s="390"/>
      <c r="CKM5" s="390"/>
      <c r="CKN5" s="390"/>
      <c r="CKO5" s="390"/>
      <c r="CKP5" s="390"/>
      <c r="CKQ5" s="390"/>
      <c r="CKR5" s="390"/>
      <c r="CKS5" s="390"/>
      <c r="CKT5" s="390"/>
      <c r="CKU5" s="390"/>
      <c r="CKV5" s="390"/>
      <c r="CKW5" s="390"/>
      <c r="CKX5" s="390"/>
      <c r="CKY5" s="390"/>
      <c r="CKZ5" s="390"/>
      <c r="CLA5" s="390"/>
      <c r="CLB5" s="390"/>
      <c r="CLC5" s="390"/>
      <c r="CLD5" s="390"/>
      <c r="CLE5" s="390"/>
      <c r="CLF5" s="390"/>
      <c r="CLG5" s="390"/>
      <c r="CLH5" s="390"/>
      <c r="CLI5" s="390"/>
      <c r="CLJ5" s="390"/>
      <c r="CLK5" s="390"/>
      <c r="CLL5" s="390"/>
      <c r="CLM5" s="390"/>
      <c r="CLN5" s="390"/>
      <c r="CLO5" s="390"/>
      <c r="CLP5" s="390"/>
      <c r="CLQ5" s="390"/>
      <c r="CLR5" s="390"/>
      <c r="CLS5" s="390"/>
      <c r="CLT5" s="390"/>
      <c r="CLU5" s="390"/>
      <c r="CLV5" s="390"/>
      <c r="CLW5" s="390"/>
      <c r="CLX5" s="390"/>
      <c r="CLY5" s="390"/>
      <c r="CLZ5" s="390"/>
      <c r="CMA5" s="390"/>
      <c r="CMB5" s="390"/>
      <c r="CMC5" s="390"/>
      <c r="CMD5" s="390"/>
      <c r="CME5" s="390"/>
      <c r="CMF5" s="390"/>
      <c r="CMG5" s="390"/>
      <c r="CMH5" s="390"/>
      <c r="CMI5" s="390"/>
      <c r="CMJ5" s="390"/>
      <c r="CMK5" s="390"/>
      <c r="CML5" s="390"/>
      <c r="CMM5" s="390"/>
      <c r="CMN5" s="390"/>
      <c r="CMO5" s="390"/>
      <c r="CMP5" s="390"/>
      <c r="CMQ5" s="390"/>
      <c r="CMR5" s="390"/>
      <c r="CMS5" s="390"/>
      <c r="CMT5" s="390"/>
      <c r="CMU5" s="390"/>
      <c r="CMV5" s="390"/>
      <c r="CMW5" s="390"/>
      <c r="CMX5" s="390"/>
      <c r="CMY5" s="390"/>
      <c r="CMZ5" s="390"/>
      <c r="CNA5" s="390"/>
      <c r="CNB5" s="390"/>
      <c r="CNC5" s="390"/>
      <c r="CND5" s="390"/>
      <c r="CNE5" s="390"/>
      <c r="CNF5" s="390"/>
      <c r="CNG5" s="390"/>
      <c r="CNH5" s="390"/>
      <c r="CNI5" s="390"/>
      <c r="CNJ5" s="390"/>
      <c r="CNK5" s="390"/>
      <c r="CNL5" s="390"/>
      <c r="CNM5" s="390"/>
      <c r="CNN5" s="390"/>
      <c r="CNO5" s="390"/>
      <c r="CNP5" s="390"/>
      <c r="CNQ5" s="390"/>
      <c r="CNR5" s="390"/>
      <c r="CNS5" s="390"/>
      <c r="CNT5" s="390"/>
      <c r="CNU5" s="390"/>
      <c r="CNV5" s="390"/>
      <c r="CNW5" s="390"/>
      <c r="CNX5" s="390"/>
      <c r="CNY5" s="390"/>
      <c r="CNZ5" s="390"/>
      <c r="COA5" s="390"/>
      <c r="COB5" s="390"/>
      <c r="COC5" s="390"/>
      <c r="COD5" s="390"/>
      <c r="COE5" s="390"/>
      <c r="COF5" s="390"/>
      <c r="COG5" s="390"/>
      <c r="COH5" s="390"/>
      <c r="COI5" s="390"/>
      <c r="COJ5" s="390"/>
      <c r="COK5" s="390"/>
      <c r="COL5" s="390"/>
      <c r="COM5" s="390"/>
      <c r="CON5" s="390"/>
      <c r="COO5" s="390"/>
      <c r="COP5" s="390"/>
      <c r="COQ5" s="390"/>
      <c r="COR5" s="390"/>
      <c r="COS5" s="390"/>
      <c r="COT5" s="390"/>
      <c r="COU5" s="390"/>
      <c r="COV5" s="390"/>
      <c r="COW5" s="390"/>
      <c r="COX5" s="390"/>
      <c r="COY5" s="390"/>
      <c r="COZ5" s="390"/>
      <c r="CPA5" s="390"/>
      <c r="CPB5" s="390"/>
      <c r="CPC5" s="390"/>
      <c r="CPD5" s="390"/>
      <c r="CPE5" s="390"/>
      <c r="CPF5" s="390"/>
      <c r="CPG5" s="390"/>
      <c r="CPH5" s="390"/>
      <c r="CPI5" s="390"/>
      <c r="CPJ5" s="390"/>
      <c r="CPK5" s="390"/>
      <c r="CPL5" s="390"/>
      <c r="CPM5" s="390"/>
      <c r="CPN5" s="390"/>
      <c r="CPO5" s="390"/>
      <c r="CPP5" s="390"/>
      <c r="CPQ5" s="390"/>
      <c r="CPR5" s="390"/>
      <c r="CPS5" s="390"/>
      <c r="CPT5" s="390"/>
      <c r="CPU5" s="390"/>
      <c r="CPV5" s="390"/>
      <c r="CPW5" s="390"/>
      <c r="CPX5" s="390"/>
      <c r="CPY5" s="390"/>
      <c r="CPZ5" s="390"/>
      <c r="CQA5" s="390"/>
      <c r="CQB5" s="390"/>
      <c r="CQC5" s="390"/>
      <c r="CQD5" s="390"/>
      <c r="CQE5" s="390"/>
      <c r="CQF5" s="390"/>
      <c r="CQG5" s="390"/>
      <c r="CQH5" s="390"/>
      <c r="CQI5" s="390"/>
      <c r="CQJ5" s="390"/>
      <c r="CQK5" s="390"/>
      <c r="CQL5" s="390"/>
      <c r="CQM5" s="390"/>
      <c r="CQN5" s="390"/>
      <c r="CQO5" s="390"/>
      <c r="CQP5" s="390"/>
      <c r="CQQ5" s="390"/>
      <c r="CQR5" s="390"/>
      <c r="CQS5" s="390"/>
      <c r="CQT5" s="390"/>
      <c r="CQU5" s="390"/>
      <c r="CQV5" s="390"/>
      <c r="CQW5" s="390"/>
      <c r="CQX5" s="390"/>
      <c r="CQY5" s="390"/>
      <c r="CQZ5" s="390"/>
      <c r="CRA5" s="390"/>
      <c r="CRB5" s="390"/>
      <c r="CRC5" s="390"/>
      <c r="CRD5" s="390"/>
      <c r="CRE5" s="390"/>
      <c r="CRF5" s="390"/>
      <c r="CRG5" s="390"/>
      <c r="CRH5" s="390"/>
      <c r="CRI5" s="390"/>
      <c r="CRJ5" s="390"/>
      <c r="CRK5" s="390"/>
      <c r="CRL5" s="390"/>
      <c r="CRM5" s="390"/>
      <c r="CRN5" s="390"/>
      <c r="CRO5" s="390"/>
      <c r="CRP5" s="390"/>
      <c r="CRQ5" s="390"/>
      <c r="CRR5" s="390"/>
      <c r="CRS5" s="390"/>
      <c r="CRT5" s="390"/>
      <c r="CRU5" s="390"/>
      <c r="CRV5" s="390"/>
      <c r="CRW5" s="390"/>
      <c r="CRX5" s="390"/>
      <c r="CRY5" s="390"/>
      <c r="CRZ5" s="390"/>
      <c r="CSA5" s="390"/>
      <c r="CSB5" s="390"/>
      <c r="CSC5" s="390"/>
      <c r="CSD5" s="390"/>
      <c r="CSE5" s="390"/>
      <c r="CSF5" s="390"/>
      <c r="CSG5" s="390"/>
      <c r="CSH5" s="390"/>
      <c r="CSI5" s="390"/>
      <c r="CSJ5" s="390"/>
      <c r="CSK5" s="390"/>
      <c r="CSL5" s="390"/>
      <c r="CSM5" s="390"/>
      <c r="CSN5" s="390"/>
      <c r="CSO5" s="390"/>
      <c r="CSP5" s="390"/>
      <c r="CSQ5" s="390"/>
      <c r="CSR5" s="390"/>
      <c r="CSS5" s="390"/>
      <c r="CST5" s="390"/>
      <c r="CSU5" s="390"/>
      <c r="CSV5" s="390"/>
      <c r="CSW5" s="390"/>
      <c r="CSX5" s="390"/>
      <c r="CSY5" s="390"/>
      <c r="CSZ5" s="390"/>
      <c r="CTA5" s="390"/>
      <c r="CTB5" s="390"/>
      <c r="CTC5" s="390"/>
      <c r="CTD5" s="390"/>
      <c r="CTE5" s="390"/>
      <c r="CTF5" s="390"/>
      <c r="CTG5" s="390"/>
      <c r="CTH5" s="390"/>
      <c r="CTI5" s="390"/>
      <c r="CTJ5" s="390"/>
      <c r="CTK5" s="390"/>
      <c r="CTL5" s="390"/>
      <c r="CTM5" s="390"/>
      <c r="CTN5" s="390"/>
      <c r="CTO5" s="390"/>
      <c r="CTP5" s="390"/>
      <c r="CTQ5" s="390"/>
      <c r="CTR5" s="390"/>
      <c r="CTS5" s="390"/>
      <c r="CTT5" s="390"/>
      <c r="CTU5" s="390"/>
      <c r="CTV5" s="390"/>
      <c r="CTW5" s="390"/>
      <c r="CTX5" s="390"/>
      <c r="CTY5" s="390"/>
      <c r="CTZ5" s="390"/>
      <c r="CUA5" s="390"/>
      <c r="CUB5" s="390"/>
      <c r="CUC5" s="390"/>
      <c r="CUD5" s="390"/>
      <c r="CUE5" s="390"/>
      <c r="CUF5" s="390"/>
      <c r="CUG5" s="390"/>
      <c r="CUH5" s="390"/>
      <c r="CUI5" s="390"/>
      <c r="CUJ5" s="390"/>
      <c r="CUK5" s="390"/>
      <c r="CUL5" s="390"/>
      <c r="CUM5" s="390"/>
      <c r="CUN5" s="390"/>
      <c r="CUO5" s="390"/>
      <c r="CUP5" s="390"/>
      <c r="CUQ5" s="390"/>
      <c r="CUR5" s="390"/>
      <c r="CUS5" s="390"/>
      <c r="CUT5" s="390"/>
      <c r="CUU5" s="390"/>
      <c r="CUV5" s="390"/>
      <c r="CUW5" s="390"/>
      <c r="CUX5" s="390"/>
      <c r="CUY5" s="390"/>
      <c r="CUZ5" s="390"/>
      <c r="CVA5" s="390"/>
      <c r="CVB5" s="390"/>
      <c r="CVC5" s="390"/>
      <c r="CVD5" s="390"/>
      <c r="CVE5" s="390"/>
      <c r="CVF5" s="390"/>
      <c r="CVG5" s="390"/>
      <c r="CVH5" s="390"/>
      <c r="CVI5" s="390"/>
      <c r="CVJ5" s="390"/>
      <c r="CVK5" s="390"/>
      <c r="CVL5" s="390"/>
      <c r="CVM5" s="390"/>
      <c r="CVN5" s="390"/>
      <c r="CVO5" s="390"/>
      <c r="CVP5" s="390"/>
      <c r="CVQ5" s="390"/>
      <c r="CVR5" s="390"/>
      <c r="CVS5" s="390"/>
      <c r="CVT5" s="390"/>
      <c r="CVU5" s="390"/>
      <c r="CVV5" s="390"/>
      <c r="CVW5" s="390"/>
      <c r="CVX5" s="390"/>
      <c r="CVY5" s="390"/>
      <c r="CVZ5" s="390"/>
      <c r="CWA5" s="390"/>
      <c r="CWB5" s="390"/>
      <c r="CWC5" s="390"/>
      <c r="CWD5" s="390"/>
      <c r="CWE5" s="390"/>
      <c r="CWF5" s="390"/>
      <c r="CWG5" s="390"/>
      <c r="CWH5" s="390"/>
      <c r="CWI5" s="390"/>
      <c r="CWJ5" s="390"/>
      <c r="CWK5" s="390"/>
      <c r="CWL5" s="390"/>
      <c r="CWM5" s="390"/>
      <c r="CWN5" s="390"/>
      <c r="CWO5" s="390"/>
      <c r="CWP5" s="390"/>
      <c r="CWQ5" s="390"/>
      <c r="CWR5" s="390"/>
      <c r="CWS5" s="390"/>
      <c r="CWT5" s="390"/>
      <c r="CWU5" s="390"/>
      <c r="CWV5" s="390"/>
      <c r="CWW5" s="390"/>
      <c r="CWX5" s="390"/>
      <c r="CWY5" s="390"/>
      <c r="CWZ5" s="390"/>
      <c r="CXA5" s="390"/>
      <c r="CXB5" s="390"/>
      <c r="CXC5" s="390"/>
      <c r="CXD5" s="390"/>
      <c r="CXE5" s="390"/>
      <c r="CXF5" s="390"/>
      <c r="CXG5" s="390"/>
      <c r="CXH5" s="390"/>
      <c r="CXI5" s="390"/>
      <c r="CXJ5" s="390"/>
      <c r="CXK5" s="390"/>
      <c r="CXL5" s="390"/>
      <c r="CXM5" s="390"/>
      <c r="CXN5" s="390"/>
      <c r="CXO5" s="390"/>
      <c r="CXP5" s="390"/>
      <c r="CXQ5" s="390"/>
      <c r="CXR5" s="390"/>
      <c r="CXS5" s="390"/>
      <c r="CXT5" s="390"/>
      <c r="CXU5" s="390"/>
      <c r="CXV5" s="390"/>
      <c r="CXW5" s="390"/>
      <c r="CXX5" s="390"/>
      <c r="CXY5" s="390"/>
      <c r="CXZ5" s="390"/>
      <c r="CYA5" s="390"/>
      <c r="CYB5" s="390"/>
      <c r="CYC5" s="390"/>
      <c r="CYD5" s="390"/>
      <c r="CYE5" s="390"/>
      <c r="CYF5" s="390"/>
      <c r="CYG5" s="390"/>
      <c r="CYH5" s="390"/>
      <c r="CYI5" s="390"/>
      <c r="CYJ5" s="390"/>
      <c r="CYK5" s="390"/>
      <c r="CYL5" s="390"/>
      <c r="CYM5" s="390"/>
      <c r="CYN5" s="390"/>
      <c r="CYO5" s="390"/>
      <c r="CYP5" s="390"/>
      <c r="CYQ5" s="390"/>
      <c r="CYR5" s="390"/>
      <c r="CYS5" s="390"/>
      <c r="CYT5" s="390"/>
      <c r="CYU5" s="390"/>
      <c r="CYV5" s="390"/>
      <c r="CYW5" s="390"/>
      <c r="CYX5" s="390"/>
      <c r="CYY5" s="390"/>
      <c r="CYZ5" s="390"/>
      <c r="CZA5" s="390"/>
      <c r="CZB5" s="390"/>
      <c r="CZC5" s="390"/>
      <c r="CZD5" s="390"/>
      <c r="CZE5" s="390"/>
      <c r="CZF5" s="390"/>
      <c r="CZG5" s="390"/>
      <c r="CZH5" s="390"/>
      <c r="CZI5" s="390"/>
      <c r="CZJ5" s="390"/>
      <c r="CZK5" s="390"/>
      <c r="CZL5" s="390"/>
      <c r="CZM5" s="390"/>
      <c r="CZN5" s="390"/>
      <c r="CZO5" s="390"/>
      <c r="CZP5" s="390"/>
      <c r="CZQ5" s="390"/>
      <c r="CZR5" s="390"/>
      <c r="CZS5" s="390"/>
      <c r="CZT5" s="390"/>
      <c r="CZU5" s="390"/>
      <c r="CZV5" s="390"/>
      <c r="CZW5" s="390"/>
      <c r="CZX5" s="390"/>
      <c r="CZY5" s="390"/>
      <c r="CZZ5" s="390"/>
      <c r="DAA5" s="390"/>
      <c r="DAB5" s="390"/>
      <c r="DAC5" s="390"/>
      <c r="DAD5" s="390"/>
      <c r="DAE5" s="390"/>
      <c r="DAF5" s="390"/>
      <c r="DAG5" s="390"/>
      <c r="DAH5" s="390"/>
      <c r="DAI5" s="390"/>
      <c r="DAJ5" s="390"/>
      <c r="DAK5" s="390"/>
      <c r="DAL5" s="390"/>
      <c r="DAM5" s="390"/>
      <c r="DAN5" s="390"/>
      <c r="DAO5" s="390"/>
      <c r="DAP5" s="390"/>
      <c r="DAQ5" s="390"/>
      <c r="DAR5" s="390"/>
      <c r="DAS5" s="390"/>
      <c r="DAT5" s="390"/>
      <c r="DAU5" s="390"/>
      <c r="DAV5" s="390"/>
      <c r="DAW5" s="390"/>
      <c r="DAX5" s="390"/>
      <c r="DAY5" s="390"/>
      <c r="DAZ5" s="390"/>
      <c r="DBA5" s="390"/>
      <c r="DBB5" s="390"/>
      <c r="DBC5" s="390"/>
      <c r="DBD5" s="390"/>
      <c r="DBE5" s="390"/>
      <c r="DBF5" s="390"/>
      <c r="DBG5" s="390"/>
      <c r="DBH5" s="390"/>
      <c r="DBI5" s="390"/>
      <c r="DBJ5" s="390"/>
      <c r="DBK5" s="390"/>
      <c r="DBL5" s="390"/>
      <c r="DBM5" s="390"/>
      <c r="DBN5" s="390"/>
      <c r="DBO5" s="390"/>
      <c r="DBP5" s="390"/>
      <c r="DBQ5" s="390"/>
      <c r="DBR5" s="390"/>
      <c r="DBS5" s="390"/>
      <c r="DBT5" s="390"/>
      <c r="DBU5" s="390"/>
      <c r="DBV5" s="390"/>
      <c r="DBW5" s="390"/>
      <c r="DBX5" s="390"/>
      <c r="DBY5" s="390"/>
      <c r="DBZ5" s="390"/>
      <c r="DCA5" s="390"/>
      <c r="DCB5" s="390"/>
      <c r="DCC5" s="390"/>
      <c r="DCD5" s="390"/>
      <c r="DCE5" s="390"/>
      <c r="DCF5" s="390"/>
      <c r="DCG5" s="390"/>
      <c r="DCH5" s="390"/>
      <c r="DCI5" s="390"/>
      <c r="DCJ5" s="390"/>
      <c r="DCK5" s="390"/>
      <c r="DCL5" s="390"/>
      <c r="DCM5" s="390"/>
      <c r="DCN5" s="390"/>
      <c r="DCO5" s="390"/>
      <c r="DCP5" s="390"/>
      <c r="DCQ5" s="390"/>
      <c r="DCR5" s="390"/>
      <c r="DCS5" s="390"/>
      <c r="DCT5" s="390"/>
      <c r="DCU5" s="390"/>
      <c r="DCV5" s="390"/>
      <c r="DCW5" s="390"/>
      <c r="DCX5" s="390"/>
      <c r="DCY5" s="390"/>
      <c r="DCZ5" s="390"/>
      <c r="DDA5" s="390"/>
      <c r="DDB5" s="390"/>
      <c r="DDC5" s="390"/>
      <c r="DDD5" s="390"/>
      <c r="DDE5" s="390"/>
      <c r="DDF5" s="390"/>
      <c r="DDG5" s="390"/>
      <c r="DDH5" s="390"/>
      <c r="DDI5" s="390"/>
      <c r="DDJ5" s="390"/>
      <c r="DDK5" s="390"/>
      <c r="DDL5" s="390"/>
      <c r="DDM5" s="390"/>
      <c r="DDN5" s="390"/>
      <c r="DDO5" s="390"/>
      <c r="DDP5" s="390"/>
      <c r="DDQ5" s="390"/>
      <c r="DDR5" s="390"/>
      <c r="DDS5" s="390"/>
      <c r="DDT5" s="390"/>
      <c r="DDU5" s="390"/>
      <c r="DDV5" s="390"/>
      <c r="DDW5" s="390"/>
      <c r="DDX5" s="390"/>
      <c r="DDY5" s="390"/>
      <c r="DDZ5" s="390"/>
      <c r="DEA5" s="390"/>
      <c r="DEB5" s="390"/>
      <c r="DEC5" s="390"/>
      <c r="DED5" s="390"/>
      <c r="DEE5" s="390"/>
      <c r="DEF5" s="390"/>
      <c r="DEG5" s="390"/>
      <c r="DEH5" s="390"/>
      <c r="DEI5" s="390"/>
      <c r="DEJ5" s="390"/>
      <c r="DEK5" s="390"/>
      <c r="DEL5" s="390"/>
      <c r="DEM5" s="390"/>
      <c r="DEN5" s="390"/>
      <c r="DEO5" s="390"/>
      <c r="DEP5" s="390"/>
      <c r="DEQ5" s="390"/>
      <c r="DER5" s="390"/>
      <c r="DES5" s="390"/>
      <c r="DET5" s="390"/>
      <c r="DEU5" s="390"/>
      <c r="DEV5" s="390"/>
      <c r="DEW5" s="390"/>
      <c r="DEX5" s="390"/>
      <c r="DEY5" s="390"/>
      <c r="DEZ5" s="390"/>
      <c r="DFA5" s="390"/>
      <c r="DFB5" s="390"/>
      <c r="DFC5" s="390"/>
      <c r="DFD5" s="390"/>
      <c r="DFE5" s="390"/>
      <c r="DFF5" s="390"/>
      <c r="DFG5" s="390"/>
      <c r="DFH5" s="390"/>
      <c r="DFI5" s="390"/>
      <c r="DFJ5" s="390"/>
      <c r="DFK5" s="390"/>
      <c r="DFL5" s="390"/>
      <c r="DFM5" s="390"/>
      <c r="DFN5" s="390"/>
      <c r="DFO5" s="390"/>
      <c r="DFP5" s="390"/>
      <c r="DFQ5" s="390"/>
      <c r="DFR5" s="390"/>
      <c r="DFS5" s="390"/>
      <c r="DFT5" s="390"/>
      <c r="DFU5" s="390"/>
      <c r="DFV5" s="390"/>
      <c r="DFW5" s="390"/>
      <c r="DFX5" s="390"/>
      <c r="DFY5" s="390"/>
      <c r="DFZ5" s="390"/>
      <c r="DGA5" s="390"/>
      <c r="DGB5" s="390"/>
      <c r="DGC5" s="390"/>
      <c r="DGD5" s="390"/>
      <c r="DGE5" s="390"/>
      <c r="DGF5" s="390"/>
      <c r="DGG5" s="390"/>
      <c r="DGH5" s="390"/>
      <c r="DGI5" s="390"/>
      <c r="DGJ5" s="390"/>
      <c r="DGK5" s="390"/>
      <c r="DGL5" s="390"/>
      <c r="DGM5" s="390"/>
      <c r="DGN5" s="390"/>
      <c r="DGO5" s="390"/>
      <c r="DGP5" s="390"/>
      <c r="DGQ5" s="390"/>
      <c r="DGR5" s="390"/>
      <c r="DGS5" s="390"/>
      <c r="DGT5" s="390"/>
      <c r="DGU5" s="390"/>
      <c r="DGV5" s="390"/>
      <c r="DGW5" s="390"/>
      <c r="DGX5" s="390"/>
      <c r="DGY5" s="390"/>
      <c r="DGZ5" s="390"/>
      <c r="DHA5" s="390"/>
      <c r="DHB5" s="390"/>
      <c r="DHC5" s="390"/>
      <c r="DHD5" s="390"/>
      <c r="DHE5" s="390"/>
      <c r="DHF5" s="390"/>
      <c r="DHG5" s="390"/>
      <c r="DHH5" s="390"/>
      <c r="DHI5" s="390"/>
      <c r="DHJ5" s="390"/>
      <c r="DHK5" s="390"/>
      <c r="DHL5" s="390"/>
      <c r="DHM5" s="390"/>
      <c r="DHN5" s="390"/>
      <c r="DHO5" s="390"/>
      <c r="DHP5" s="390"/>
      <c r="DHQ5" s="390"/>
      <c r="DHR5" s="390"/>
      <c r="DHS5" s="390"/>
      <c r="DHT5" s="390"/>
      <c r="DHU5" s="390"/>
      <c r="DHV5" s="390"/>
      <c r="DHW5" s="390"/>
      <c r="DHX5" s="390"/>
      <c r="DHY5" s="390"/>
      <c r="DHZ5" s="390"/>
      <c r="DIA5" s="390"/>
      <c r="DIB5" s="390"/>
      <c r="DIC5" s="390"/>
      <c r="DID5" s="390"/>
      <c r="DIE5" s="390"/>
      <c r="DIF5" s="390"/>
      <c r="DIG5" s="390"/>
      <c r="DIH5" s="390"/>
      <c r="DII5" s="390"/>
      <c r="DIJ5" s="390"/>
      <c r="DIK5" s="390"/>
      <c r="DIL5" s="390"/>
      <c r="DIM5" s="390"/>
      <c r="DIN5" s="390"/>
      <c r="DIO5" s="390"/>
      <c r="DIP5" s="390"/>
      <c r="DIQ5" s="390"/>
      <c r="DIR5" s="390"/>
      <c r="DIS5" s="390"/>
      <c r="DIT5" s="390"/>
      <c r="DIU5" s="390"/>
      <c r="DIV5" s="390"/>
      <c r="DIW5" s="390"/>
      <c r="DIX5" s="390"/>
      <c r="DIY5" s="390"/>
      <c r="DIZ5" s="390"/>
      <c r="DJA5" s="390"/>
      <c r="DJB5" s="390"/>
      <c r="DJC5" s="390"/>
      <c r="DJD5" s="390"/>
      <c r="DJE5" s="390"/>
      <c r="DJF5" s="390"/>
      <c r="DJG5" s="390"/>
      <c r="DJH5" s="390"/>
      <c r="DJI5" s="390"/>
      <c r="DJJ5" s="390"/>
      <c r="DJK5" s="390"/>
      <c r="DJL5" s="390"/>
      <c r="DJM5" s="390"/>
      <c r="DJN5" s="390"/>
      <c r="DJO5" s="390"/>
      <c r="DJP5" s="390"/>
      <c r="DJQ5" s="390"/>
      <c r="DJR5" s="390"/>
      <c r="DJS5" s="390"/>
      <c r="DJT5" s="390"/>
      <c r="DJU5" s="390"/>
      <c r="DJV5" s="390"/>
      <c r="DJW5" s="390"/>
      <c r="DJX5" s="390"/>
      <c r="DJY5" s="390"/>
      <c r="DJZ5" s="390"/>
      <c r="DKA5" s="390"/>
      <c r="DKB5" s="390"/>
      <c r="DKC5" s="390"/>
      <c r="DKD5" s="390"/>
      <c r="DKE5" s="390"/>
      <c r="DKF5" s="390"/>
      <c r="DKG5" s="390"/>
      <c r="DKH5" s="390"/>
      <c r="DKI5" s="390"/>
      <c r="DKJ5" s="390"/>
      <c r="DKK5" s="390"/>
      <c r="DKL5" s="390"/>
      <c r="DKM5" s="390"/>
      <c r="DKN5" s="390"/>
      <c r="DKO5" s="390"/>
      <c r="DKP5" s="390"/>
      <c r="DKQ5" s="390"/>
      <c r="DKR5" s="390"/>
      <c r="DKS5" s="390"/>
      <c r="DKT5" s="390"/>
      <c r="DKU5" s="390"/>
      <c r="DKV5" s="390"/>
      <c r="DKW5" s="390"/>
      <c r="DKX5" s="390"/>
      <c r="DKY5" s="390"/>
      <c r="DKZ5" s="390"/>
      <c r="DLA5" s="390"/>
      <c r="DLB5" s="390"/>
      <c r="DLC5" s="390"/>
      <c r="DLD5" s="390"/>
      <c r="DLE5" s="390"/>
      <c r="DLF5" s="390"/>
      <c r="DLG5" s="390"/>
      <c r="DLH5" s="390"/>
      <c r="DLI5" s="390"/>
      <c r="DLJ5" s="390"/>
      <c r="DLK5" s="390"/>
      <c r="DLL5" s="390"/>
      <c r="DLM5" s="390"/>
      <c r="DLN5" s="390"/>
      <c r="DLO5" s="390"/>
      <c r="DLP5" s="390"/>
      <c r="DLQ5" s="390"/>
      <c r="DLR5" s="390"/>
      <c r="DLS5" s="390"/>
      <c r="DLT5" s="390"/>
      <c r="DLU5" s="390"/>
      <c r="DLV5" s="390"/>
      <c r="DLW5" s="390"/>
      <c r="DLX5" s="390"/>
      <c r="DLY5" s="390"/>
      <c r="DLZ5" s="390"/>
      <c r="DMA5" s="390"/>
      <c r="DMB5" s="390"/>
      <c r="DMC5" s="390"/>
      <c r="DMD5" s="390"/>
      <c r="DME5" s="390"/>
      <c r="DMF5" s="390"/>
      <c r="DMG5" s="390"/>
      <c r="DMH5" s="390"/>
      <c r="DMI5" s="390"/>
      <c r="DMJ5" s="390"/>
      <c r="DMK5" s="390"/>
      <c r="DML5" s="390"/>
      <c r="DMM5" s="390"/>
      <c r="DMN5" s="390"/>
      <c r="DMO5" s="390"/>
      <c r="DMP5" s="390"/>
      <c r="DMQ5" s="390"/>
      <c r="DMR5" s="390"/>
      <c r="DMS5" s="390"/>
      <c r="DMT5" s="390"/>
      <c r="DMU5" s="390"/>
      <c r="DMV5" s="390"/>
      <c r="DMW5" s="390"/>
      <c r="DMX5" s="390"/>
      <c r="DMY5" s="390"/>
      <c r="DMZ5" s="390"/>
      <c r="DNA5" s="390"/>
      <c r="DNB5" s="390"/>
      <c r="DNC5" s="390"/>
      <c r="DND5" s="390"/>
      <c r="DNE5" s="390"/>
      <c r="DNF5" s="390"/>
      <c r="DNG5" s="390"/>
      <c r="DNH5" s="390"/>
      <c r="DNI5" s="390"/>
      <c r="DNJ5" s="390"/>
      <c r="DNK5" s="390"/>
      <c r="DNL5" s="390"/>
      <c r="DNM5" s="390"/>
      <c r="DNN5" s="390"/>
      <c r="DNO5" s="390"/>
      <c r="DNP5" s="390"/>
      <c r="DNQ5" s="390"/>
      <c r="DNR5" s="390"/>
      <c r="DNS5" s="390"/>
      <c r="DNT5" s="390"/>
      <c r="DNU5" s="390"/>
      <c r="DNV5" s="390"/>
      <c r="DNW5" s="390"/>
      <c r="DNX5" s="390"/>
      <c r="DNY5" s="390"/>
      <c r="DNZ5" s="390"/>
      <c r="DOA5" s="390"/>
      <c r="DOB5" s="390"/>
      <c r="DOC5" s="390"/>
      <c r="DOD5" s="390"/>
      <c r="DOE5" s="390"/>
      <c r="DOF5" s="390"/>
      <c r="DOG5" s="390"/>
      <c r="DOH5" s="390"/>
      <c r="DOI5" s="390"/>
      <c r="DOJ5" s="390"/>
      <c r="DOK5" s="390"/>
      <c r="DOL5" s="390"/>
      <c r="DOM5" s="390"/>
      <c r="DON5" s="390"/>
      <c r="DOO5" s="390"/>
      <c r="DOP5" s="390"/>
      <c r="DOQ5" s="390"/>
      <c r="DOR5" s="390"/>
      <c r="DOS5" s="390"/>
      <c r="DOT5" s="390"/>
      <c r="DOU5" s="390"/>
      <c r="DOV5" s="390"/>
      <c r="DOW5" s="390"/>
      <c r="DOX5" s="390"/>
      <c r="DOY5" s="390"/>
      <c r="DOZ5" s="390"/>
      <c r="DPA5" s="390"/>
      <c r="DPB5" s="390"/>
      <c r="DPC5" s="390"/>
      <c r="DPD5" s="390"/>
      <c r="DPE5" s="390"/>
      <c r="DPF5" s="390"/>
      <c r="DPG5" s="390"/>
      <c r="DPH5" s="390"/>
      <c r="DPI5" s="390"/>
      <c r="DPJ5" s="390"/>
      <c r="DPK5" s="390"/>
      <c r="DPL5" s="390"/>
      <c r="DPM5" s="390"/>
      <c r="DPN5" s="390"/>
      <c r="DPO5" s="390"/>
      <c r="DPP5" s="390"/>
      <c r="DPQ5" s="390"/>
      <c r="DPR5" s="390"/>
      <c r="DPS5" s="390"/>
      <c r="DPT5" s="390"/>
      <c r="DPU5" s="390"/>
      <c r="DPV5" s="390"/>
      <c r="DPW5" s="390"/>
      <c r="DPX5" s="390"/>
      <c r="DPY5" s="390"/>
      <c r="DPZ5" s="390"/>
      <c r="DQA5" s="390"/>
      <c r="DQB5" s="390"/>
      <c r="DQC5" s="390"/>
      <c r="DQD5" s="390"/>
      <c r="DQE5" s="390"/>
      <c r="DQF5" s="390"/>
      <c r="DQG5" s="390"/>
      <c r="DQH5" s="390"/>
      <c r="DQI5" s="390"/>
      <c r="DQJ5" s="390"/>
      <c r="DQK5" s="390"/>
      <c r="DQL5" s="390"/>
      <c r="DQM5" s="390"/>
      <c r="DQN5" s="390"/>
      <c r="DQO5" s="390"/>
      <c r="DQP5" s="390"/>
      <c r="DQQ5" s="390"/>
      <c r="DQR5" s="390"/>
      <c r="DQS5" s="390"/>
      <c r="DQT5" s="390"/>
      <c r="DQU5" s="390"/>
      <c r="DQV5" s="390"/>
      <c r="DQW5" s="390"/>
      <c r="DQX5" s="390"/>
      <c r="DQY5" s="390"/>
      <c r="DQZ5" s="390"/>
      <c r="DRA5" s="390"/>
      <c r="DRB5" s="390"/>
      <c r="DRC5" s="390"/>
      <c r="DRD5" s="390"/>
      <c r="DRE5" s="390"/>
      <c r="DRF5" s="390"/>
      <c r="DRG5" s="390"/>
      <c r="DRH5" s="390"/>
      <c r="DRI5" s="390"/>
      <c r="DRJ5" s="390"/>
      <c r="DRK5" s="390"/>
      <c r="DRL5" s="390"/>
      <c r="DRM5" s="390"/>
      <c r="DRN5" s="390"/>
      <c r="DRO5" s="390"/>
      <c r="DRP5" s="390"/>
      <c r="DRQ5" s="390"/>
      <c r="DRR5" s="390"/>
      <c r="DRS5" s="390"/>
      <c r="DRT5" s="390"/>
      <c r="DRU5" s="390"/>
      <c r="DRV5" s="390"/>
      <c r="DRW5" s="390"/>
      <c r="DRX5" s="390"/>
      <c r="DRY5" s="390"/>
      <c r="DRZ5" s="390"/>
      <c r="DSA5" s="390"/>
      <c r="DSB5" s="390"/>
      <c r="DSC5" s="390"/>
      <c r="DSD5" s="390"/>
      <c r="DSE5" s="390"/>
      <c r="DSF5" s="390"/>
      <c r="DSG5" s="390"/>
      <c r="DSH5" s="390"/>
      <c r="DSI5" s="390"/>
      <c r="DSJ5" s="390"/>
      <c r="DSK5" s="390"/>
      <c r="DSL5" s="390"/>
      <c r="DSM5" s="390"/>
      <c r="DSN5" s="390"/>
      <c r="DSO5" s="390"/>
      <c r="DSP5" s="390"/>
      <c r="DSQ5" s="390"/>
      <c r="DSR5" s="390"/>
      <c r="DSS5" s="390"/>
      <c r="DST5" s="390"/>
      <c r="DSU5" s="390"/>
      <c r="DSV5" s="390"/>
      <c r="DSW5" s="390"/>
      <c r="DSX5" s="390"/>
      <c r="DSY5" s="390"/>
      <c r="DSZ5" s="390"/>
      <c r="DTA5" s="390"/>
      <c r="DTB5" s="390"/>
      <c r="DTC5" s="390"/>
      <c r="DTD5" s="390"/>
      <c r="DTE5" s="390"/>
      <c r="DTF5" s="390"/>
      <c r="DTG5" s="390"/>
      <c r="DTH5" s="390"/>
      <c r="DTI5" s="390"/>
      <c r="DTJ5" s="390"/>
      <c r="DTK5" s="390"/>
      <c r="DTL5" s="390"/>
      <c r="DTM5" s="390"/>
      <c r="DTN5" s="390"/>
      <c r="DTO5" s="390"/>
      <c r="DTP5" s="390"/>
      <c r="DTQ5" s="390"/>
      <c r="DTR5" s="390"/>
      <c r="DTS5" s="390"/>
      <c r="DTT5" s="390"/>
      <c r="DTU5" s="390"/>
      <c r="DTV5" s="390"/>
      <c r="DTW5" s="390"/>
      <c r="DTX5" s="390"/>
      <c r="DTY5" s="390"/>
      <c r="DTZ5" s="390"/>
      <c r="DUA5" s="390"/>
      <c r="DUB5" s="390"/>
      <c r="DUC5" s="390"/>
      <c r="DUD5" s="390"/>
      <c r="DUE5" s="390"/>
      <c r="DUF5" s="390"/>
      <c r="DUG5" s="390"/>
      <c r="DUH5" s="390"/>
      <c r="DUI5" s="390"/>
      <c r="DUJ5" s="390"/>
      <c r="DUK5" s="390"/>
      <c r="DUL5" s="390"/>
      <c r="DUM5" s="390"/>
      <c r="DUN5" s="390"/>
      <c r="DUO5" s="390"/>
      <c r="DUP5" s="390"/>
      <c r="DUQ5" s="390"/>
      <c r="DUR5" s="390"/>
      <c r="DUS5" s="390"/>
      <c r="DUT5" s="390"/>
      <c r="DUU5" s="390"/>
      <c r="DUV5" s="390"/>
      <c r="DUW5" s="390"/>
      <c r="DUX5" s="390"/>
      <c r="DUY5" s="390"/>
      <c r="DUZ5" s="390"/>
      <c r="DVA5" s="390"/>
      <c r="DVB5" s="390"/>
      <c r="DVC5" s="390"/>
      <c r="DVD5" s="390"/>
      <c r="DVE5" s="390"/>
      <c r="DVF5" s="390"/>
      <c r="DVG5" s="390"/>
      <c r="DVH5" s="390"/>
      <c r="DVI5" s="390"/>
      <c r="DVJ5" s="390"/>
      <c r="DVK5" s="390"/>
      <c r="DVL5" s="390"/>
      <c r="DVM5" s="390"/>
      <c r="DVN5" s="390"/>
      <c r="DVO5" s="390"/>
      <c r="DVP5" s="390"/>
      <c r="DVQ5" s="390"/>
      <c r="DVR5" s="390"/>
      <c r="DVS5" s="390"/>
      <c r="DVT5" s="390"/>
      <c r="DVU5" s="390"/>
      <c r="DVV5" s="390"/>
      <c r="DVW5" s="390"/>
      <c r="DVX5" s="390"/>
      <c r="DVY5" s="390"/>
      <c r="DVZ5" s="390"/>
      <c r="DWA5" s="390"/>
      <c r="DWB5" s="390"/>
      <c r="DWC5" s="390"/>
      <c r="DWD5" s="390"/>
      <c r="DWE5" s="390"/>
      <c r="DWF5" s="390"/>
      <c r="DWG5" s="390"/>
      <c r="DWH5" s="390"/>
      <c r="DWI5" s="390"/>
      <c r="DWJ5" s="390"/>
      <c r="DWK5" s="390"/>
      <c r="DWL5" s="390"/>
      <c r="DWM5" s="390"/>
      <c r="DWN5" s="390"/>
      <c r="DWO5" s="390"/>
      <c r="DWP5" s="390"/>
      <c r="DWQ5" s="390"/>
      <c r="DWR5" s="390"/>
      <c r="DWS5" s="390"/>
      <c r="DWT5" s="390"/>
      <c r="DWU5" s="390"/>
      <c r="DWV5" s="390"/>
      <c r="DWW5" s="390"/>
      <c r="DWX5" s="390"/>
      <c r="DWY5" s="390"/>
      <c r="DWZ5" s="390"/>
      <c r="DXA5" s="390"/>
      <c r="DXB5" s="390"/>
      <c r="DXC5" s="390"/>
      <c r="DXD5" s="390"/>
      <c r="DXE5" s="390"/>
      <c r="DXF5" s="390"/>
      <c r="DXG5" s="390"/>
      <c r="DXH5" s="390"/>
      <c r="DXI5" s="390"/>
      <c r="DXJ5" s="390"/>
      <c r="DXK5" s="390"/>
      <c r="DXL5" s="390"/>
      <c r="DXM5" s="390"/>
      <c r="DXN5" s="390"/>
      <c r="DXO5" s="390"/>
      <c r="DXP5" s="390"/>
      <c r="DXQ5" s="390"/>
      <c r="DXR5" s="390"/>
      <c r="DXS5" s="390"/>
      <c r="DXT5" s="390"/>
      <c r="DXU5" s="390"/>
      <c r="DXV5" s="390"/>
      <c r="DXW5" s="390"/>
      <c r="DXX5" s="390"/>
      <c r="DXY5" s="390"/>
      <c r="DXZ5" s="390"/>
      <c r="DYA5" s="390"/>
      <c r="DYB5" s="390"/>
      <c r="DYC5" s="390"/>
      <c r="DYD5" s="390"/>
      <c r="DYE5" s="390"/>
      <c r="DYF5" s="390"/>
      <c r="DYG5" s="390"/>
      <c r="DYH5" s="390"/>
      <c r="DYI5" s="390"/>
      <c r="DYJ5" s="390"/>
      <c r="DYK5" s="390"/>
      <c r="DYL5" s="390"/>
      <c r="DYM5" s="390"/>
      <c r="DYN5" s="390"/>
      <c r="DYO5" s="390"/>
      <c r="DYP5" s="390"/>
      <c r="DYQ5" s="390"/>
      <c r="DYR5" s="390"/>
      <c r="DYS5" s="390"/>
      <c r="DYT5" s="390"/>
      <c r="DYU5" s="390"/>
      <c r="DYV5" s="390"/>
      <c r="DYW5" s="390"/>
      <c r="DYX5" s="390"/>
      <c r="DYY5" s="390"/>
      <c r="DYZ5" s="390"/>
      <c r="DZA5" s="390"/>
      <c r="DZB5" s="390"/>
      <c r="DZC5" s="390"/>
      <c r="DZD5" s="390"/>
      <c r="DZE5" s="390"/>
      <c r="DZF5" s="390"/>
      <c r="DZG5" s="390"/>
      <c r="DZH5" s="390"/>
      <c r="DZI5" s="390"/>
      <c r="DZJ5" s="390"/>
      <c r="DZK5" s="390"/>
      <c r="DZL5" s="390"/>
      <c r="DZM5" s="390"/>
      <c r="DZN5" s="390"/>
      <c r="DZO5" s="390"/>
      <c r="DZP5" s="390"/>
      <c r="DZQ5" s="390"/>
      <c r="DZR5" s="390"/>
      <c r="DZS5" s="390"/>
      <c r="DZT5" s="390"/>
      <c r="DZU5" s="390"/>
      <c r="DZV5" s="390"/>
      <c r="DZW5" s="390"/>
      <c r="DZX5" s="390"/>
      <c r="DZY5" s="390"/>
      <c r="DZZ5" s="390"/>
      <c r="EAA5" s="390"/>
      <c r="EAB5" s="390"/>
      <c r="EAC5" s="390"/>
      <c r="EAD5" s="390"/>
      <c r="EAE5" s="390"/>
      <c r="EAF5" s="390"/>
      <c r="EAG5" s="390"/>
      <c r="EAH5" s="390"/>
      <c r="EAI5" s="390"/>
      <c r="EAJ5" s="390"/>
      <c r="EAK5" s="390"/>
      <c r="EAL5" s="390"/>
      <c r="EAM5" s="390"/>
      <c r="EAN5" s="390"/>
      <c r="EAO5" s="390"/>
      <c r="EAP5" s="390"/>
      <c r="EAQ5" s="390"/>
      <c r="EAR5" s="390"/>
      <c r="EAS5" s="390"/>
      <c r="EAT5" s="390"/>
      <c r="EAU5" s="390"/>
      <c r="EAV5" s="390"/>
      <c r="EAW5" s="390"/>
      <c r="EAX5" s="390"/>
      <c r="EAY5" s="390"/>
      <c r="EAZ5" s="390"/>
      <c r="EBA5" s="390"/>
      <c r="EBB5" s="390"/>
      <c r="EBC5" s="390"/>
      <c r="EBD5" s="390"/>
      <c r="EBE5" s="390"/>
      <c r="EBF5" s="390"/>
      <c r="EBG5" s="390"/>
      <c r="EBH5" s="390"/>
      <c r="EBI5" s="390"/>
      <c r="EBJ5" s="390"/>
      <c r="EBK5" s="390"/>
      <c r="EBL5" s="390"/>
      <c r="EBM5" s="390"/>
      <c r="EBN5" s="390"/>
      <c r="EBO5" s="390"/>
      <c r="EBP5" s="390"/>
      <c r="EBQ5" s="390"/>
      <c r="EBR5" s="390"/>
      <c r="EBS5" s="390"/>
      <c r="EBT5" s="390"/>
      <c r="EBU5" s="390"/>
      <c r="EBV5" s="390"/>
      <c r="EBW5" s="390"/>
      <c r="EBX5" s="390"/>
      <c r="EBY5" s="390"/>
      <c r="EBZ5" s="390"/>
      <c r="ECA5" s="390"/>
      <c r="ECB5" s="390"/>
      <c r="ECC5" s="390"/>
      <c r="ECD5" s="390"/>
      <c r="ECE5" s="390"/>
      <c r="ECF5" s="390"/>
      <c r="ECG5" s="390"/>
      <c r="ECH5" s="390"/>
      <c r="ECI5" s="390"/>
      <c r="ECJ5" s="390"/>
      <c r="ECK5" s="390"/>
      <c r="ECL5" s="390"/>
      <c r="ECM5" s="390"/>
      <c r="ECN5" s="390"/>
      <c r="ECO5" s="390"/>
      <c r="ECP5" s="390"/>
      <c r="ECQ5" s="390"/>
      <c r="ECR5" s="390"/>
      <c r="ECS5" s="390"/>
      <c r="ECT5" s="390"/>
      <c r="ECU5" s="390"/>
      <c r="ECV5" s="390"/>
      <c r="ECW5" s="390"/>
      <c r="ECX5" s="390"/>
      <c r="ECY5" s="390"/>
      <c r="ECZ5" s="390"/>
      <c r="EDA5" s="390"/>
      <c r="EDB5" s="390"/>
      <c r="EDC5" s="390"/>
      <c r="EDD5" s="390"/>
      <c r="EDE5" s="390"/>
      <c r="EDF5" s="390"/>
      <c r="EDG5" s="390"/>
      <c r="EDH5" s="390"/>
      <c r="EDI5" s="390"/>
      <c r="EDJ5" s="390"/>
      <c r="EDK5" s="390"/>
      <c r="EDL5" s="390"/>
      <c r="EDM5" s="390"/>
      <c r="EDN5" s="390"/>
      <c r="EDO5" s="390"/>
      <c r="EDP5" s="390"/>
      <c r="EDQ5" s="390"/>
      <c r="EDR5" s="390"/>
      <c r="EDS5" s="390"/>
      <c r="EDT5" s="390"/>
      <c r="EDU5" s="390"/>
      <c r="EDV5" s="390"/>
      <c r="EDW5" s="390"/>
      <c r="EDX5" s="390"/>
      <c r="EDY5" s="390"/>
      <c r="EDZ5" s="390"/>
      <c r="EEA5" s="390"/>
      <c r="EEB5" s="390"/>
      <c r="EEC5" s="390"/>
      <c r="EED5" s="390"/>
      <c r="EEE5" s="390"/>
      <c r="EEF5" s="390"/>
      <c r="EEG5" s="390"/>
      <c r="EEH5" s="390"/>
      <c r="EEI5" s="390"/>
      <c r="EEJ5" s="390"/>
      <c r="EEK5" s="390"/>
      <c r="EEL5" s="390"/>
      <c r="EEM5" s="390"/>
      <c r="EEN5" s="390"/>
      <c r="EEO5" s="390"/>
      <c r="EEP5" s="390"/>
      <c r="EEQ5" s="390"/>
      <c r="EER5" s="390"/>
      <c r="EES5" s="390"/>
      <c r="EET5" s="390"/>
      <c r="EEU5" s="390"/>
      <c r="EEV5" s="390"/>
      <c r="EEW5" s="390"/>
      <c r="EEX5" s="390"/>
      <c r="EEY5" s="390"/>
      <c r="EEZ5" s="390"/>
      <c r="EFA5" s="390"/>
      <c r="EFB5" s="390"/>
      <c r="EFC5" s="390"/>
      <c r="EFD5" s="390"/>
      <c r="EFE5" s="390"/>
      <c r="EFF5" s="390"/>
      <c r="EFG5" s="390"/>
      <c r="EFH5" s="390"/>
      <c r="EFI5" s="390"/>
      <c r="EFJ5" s="390"/>
      <c r="EFK5" s="390"/>
      <c r="EFL5" s="390"/>
      <c r="EFM5" s="390"/>
      <c r="EFN5" s="390"/>
      <c r="EFO5" s="390"/>
      <c r="EFP5" s="390"/>
      <c r="EFQ5" s="390"/>
      <c r="EFR5" s="390"/>
      <c r="EFS5" s="390"/>
      <c r="EFT5" s="390"/>
      <c r="EFU5" s="390"/>
      <c r="EFV5" s="390"/>
      <c r="EFW5" s="390"/>
      <c r="EFX5" s="390"/>
      <c r="EFY5" s="390"/>
      <c r="EFZ5" s="390"/>
      <c r="EGA5" s="390"/>
      <c r="EGB5" s="390"/>
      <c r="EGC5" s="390"/>
      <c r="EGD5" s="390"/>
      <c r="EGE5" s="390"/>
      <c r="EGF5" s="390"/>
      <c r="EGG5" s="390"/>
      <c r="EGH5" s="390"/>
      <c r="EGI5" s="390"/>
      <c r="EGJ5" s="390"/>
      <c r="EGK5" s="390"/>
      <c r="EGL5" s="390"/>
      <c r="EGM5" s="390"/>
      <c r="EGN5" s="390"/>
      <c r="EGO5" s="390"/>
      <c r="EGP5" s="390"/>
      <c r="EGQ5" s="390"/>
      <c r="EGR5" s="390"/>
      <c r="EGS5" s="390"/>
      <c r="EGT5" s="390"/>
      <c r="EGU5" s="390"/>
      <c r="EGV5" s="390"/>
      <c r="EGW5" s="390"/>
      <c r="EGX5" s="390"/>
      <c r="EGY5" s="390"/>
      <c r="EGZ5" s="390"/>
      <c r="EHA5" s="390"/>
      <c r="EHB5" s="390"/>
      <c r="EHC5" s="390"/>
      <c r="EHD5" s="390"/>
      <c r="EHE5" s="390"/>
      <c r="EHF5" s="390"/>
      <c r="EHG5" s="390"/>
      <c r="EHH5" s="390"/>
      <c r="EHI5" s="390"/>
      <c r="EHJ5" s="390"/>
      <c r="EHK5" s="390"/>
      <c r="EHL5" s="390"/>
      <c r="EHM5" s="390"/>
      <c r="EHN5" s="390"/>
      <c r="EHO5" s="390"/>
      <c r="EHP5" s="390"/>
      <c r="EHQ5" s="390"/>
      <c r="EHR5" s="390"/>
      <c r="EHS5" s="390"/>
      <c r="EHT5" s="390"/>
      <c r="EHU5" s="390"/>
      <c r="EHV5" s="390"/>
      <c r="EHW5" s="390"/>
      <c r="EHX5" s="390"/>
      <c r="EHY5" s="390"/>
      <c r="EHZ5" s="390"/>
      <c r="EIA5" s="390"/>
      <c r="EIB5" s="390"/>
      <c r="EIC5" s="390"/>
      <c r="EID5" s="390"/>
      <c r="EIE5" s="390"/>
      <c r="EIF5" s="390"/>
      <c r="EIG5" s="390"/>
      <c r="EIH5" s="390"/>
      <c r="EII5" s="390"/>
      <c r="EIJ5" s="390"/>
      <c r="EIK5" s="390"/>
      <c r="EIL5" s="390"/>
      <c r="EIM5" s="390"/>
      <c r="EIN5" s="390"/>
      <c r="EIO5" s="390"/>
      <c r="EIP5" s="390"/>
      <c r="EIQ5" s="390"/>
      <c r="EIR5" s="390"/>
      <c r="EIS5" s="390"/>
      <c r="EIT5" s="390"/>
      <c r="EIU5" s="390"/>
      <c r="EIV5" s="390"/>
      <c r="EIW5" s="390"/>
      <c r="EIX5" s="390"/>
      <c r="EIY5" s="390"/>
      <c r="EIZ5" s="390"/>
      <c r="EJA5" s="390"/>
      <c r="EJB5" s="390"/>
      <c r="EJC5" s="390"/>
      <c r="EJD5" s="390"/>
      <c r="EJE5" s="390"/>
      <c r="EJF5" s="390"/>
      <c r="EJG5" s="390"/>
      <c r="EJH5" s="390"/>
      <c r="EJI5" s="390"/>
      <c r="EJJ5" s="390"/>
      <c r="EJK5" s="390"/>
      <c r="EJL5" s="390"/>
      <c r="EJM5" s="390"/>
      <c r="EJN5" s="390"/>
      <c r="EJO5" s="390"/>
      <c r="EJP5" s="390"/>
      <c r="EJQ5" s="390"/>
      <c r="EJR5" s="390"/>
      <c r="EJS5" s="390"/>
      <c r="EJT5" s="390"/>
      <c r="EJU5" s="390"/>
      <c r="EJV5" s="390"/>
      <c r="EJW5" s="390"/>
      <c r="EJX5" s="390"/>
      <c r="EJY5" s="390"/>
      <c r="EJZ5" s="390"/>
      <c r="EKA5" s="390"/>
      <c r="EKB5" s="390"/>
      <c r="EKC5" s="390"/>
      <c r="EKD5" s="390"/>
      <c r="EKE5" s="390"/>
      <c r="EKF5" s="390"/>
      <c r="EKG5" s="390"/>
      <c r="EKH5" s="390"/>
      <c r="EKI5" s="390"/>
      <c r="EKJ5" s="390"/>
      <c r="EKK5" s="390"/>
      <c r="EKL5" s="390"/>
      <c r="EKM5" s="390"/>
      <c r="EKN5" s="390"/>
      <c r="EKO5" s="390"/>
      <c r="EKP5" s="390"/>
      <c r="EKQ5" s="390"/>
      <c r="EKR5" s="390"/>
      <c r="EKS5" s="390"/>
      <c r="EKT5" s="390"/>
      <c r="EKU5" s="390"/>
      <c r="EKV5" s="390"/>
      <c r="EKW5" s="390"/>
      <c r="EKX5" s="390"/>
      <c r="EKY5" s="390"/>
      <c r="EKZ5" s="390"/>
      <c r="ELA5" s="390"/>
      <c r="ELB5" s="390"/>
      <c r="ELC5" s="390"/>
      <c r="ELD5" s="390"/>
      <c r="ELE5" s="390"/>
      <c r="ELF5" s="390"/>
      <c r="ELG5" s="390"/>
      <c r="ELH5" s="390"/>
      <c r="ELI5" s="390"/>
      <c r="ELJ5" s="390"/>
      <c r="ELK5" s="390"/>
      <c r="ELL5" s="390"/>
      <c r="ELM5" s="390"/>
      <c r="ELN5" s="390"/>
      <c r="ELO5" s="390"/>
      <c r="ELP5" s="390"/>
      <c r="ELQ5" s="390"/>
      <c r="ELR5" s="390"/>
      <c r="ELS5" s="390"/>
      <c r="ELT5" s="390"/>
      <c r="ELU5" s="390"/>
      <c r="ELV5" s="390"/>
      <c r="ELW5" s="390"/>
      <c r="ELX5" s="390"/>
      <c r="ELY5" s="390"/>
      <c r="ELZ5" s="390"/>
      <c r="EMA5" s="390"/>
      <c r="EMB5" s="390"/>
      <c r="EMC5" s="390"/>
      <c r="EMD5" s="390"/>
      <c r="EME5" s="390"/>
      <c r="EMF5" s="390"/>
      <c r="EMG5" s="390"/>
      <c r="EMH5" s="390"/>
      <c r="EMI5" s="390"/>
      <c r="EMJ5" s="390"/>
      <c r="EMK5" s="390"/>
      <c r="EML5" s="390"/>
      <c r="EMM5" s="390"/>
      <c r="EMN5" s="390"/>
      <c r="EMO5" s="390"/>
      <c r="EMP5" s="390"/>
      <c r="EMQ5" s="390"/>
      <c r="EMR5" s="390"/>
      <c r="EMS5" s="390"/>
      <c r="EMT5" s="390"/>
      <c r="EMU5" s="390"/>
      <c r="EMV5" s="390"/>
      <c r="EMW5" s="390"/>
      <c r="EMX5" s="390"/>
      <c r="EMY5" s="390"/>
      <c r="EMZ5" s="390"/>
      <c r="ENA5" s="390"/>
      <c r="ENB5" s="390"/>
      <c r="ENC5" s="390"/>
      <c r="END5" s="390"/>
      <c r="ENE5" s="390"/>
      <c r="ENF5" s="390"/>
      <c r="ENG5" s="390"/>
      <c r="ENH5" s="390"/>
      <c r="ENI5" s="390"/>
      <c r="ENJ5" s="390"/>
      <c r="ENK5" s="390"/>
      <c r="ENL5" s="390"/>
      <c r="ENM5" s="390"/>
      <c r="ENN5" s="390"/>
      <c r="ENO5" s="390"/>
      <c r="ENP5" s="390"/>
      <c r="ENQ5" s="390"/>
      <c r="ENR5" s="390"/>
      <c r="ENS5" s="390"/>
      <c r="ENT5" s="390"/>
      <c r="ENU5" s="390"/>
      <c r="ENV5" s="390"/>
      <c r="ENW5" s="390"/>
      <c r="ENX5" s="390"/>
      <c r="ENY5" s="390"/>
      <c r="ENZ5" s="390"/>
      <c r="EOA5" s="390"/>
      <c r="EOB5" s="390"/>
      <c r="EOC5" s="390"/>
      <c r="EOD5" s="390"/>
      <c r="EOE5" s="390"/>
      <c r="EOF5" s="390"/>
      <c r="EOG5" s="390"/>
      <c r="EOH5" s="390"/>
      <c r="EOI5" s="390"/>
      <c r="EOJ5" s="390"/>
      <c r="EOK5" s="390"/>
      <c r="EOL5" s="390"/>
      <c r="EOM5" s="390"/>
      <c r="EON5" s="390"/>
      <c r="EOO5" s="390"/>
      <c r="EOP5" s="390"/>
      <c r="EOQ5" s="390"/>
      <c r="EOR5" s="390"/>
      <c r="EOS5" s="390"/>
      <c r="EOT5" s="390"/>
      <c r="EOU5" s="390"/>
      <c r="EOV5" s="390"/>
      <c r="EOW5" s="390"/>
      <c r="EOX5" s="390"/>
      <c r="EOY5" s="390"/>
      <c r="EOZ5" s="390"/>
      <c r="EPA5" s="390"/>
      <c r="EPB5" s="390"/>
      <c r="EPC5" s="390"/>
      <c r="EPD5" s="390"/>
      <c r="EPE5" s="390"/>
      <c r="EPF5" s="390"/>
      <c r="EPG5" s="390"/>
      <c r="EPH5" s="390"/>
      <c r="EPI5" s="390"/>
      <c r="EPJ5" s="390"/>
      <c r="EPK5" s="390"/>
      <c r="EPL5" s="390"/>
      <c r="EPM5" s="390"/>
      <c r="EPN5" s="390"/>
      <c r="EPO5" s="390"/>
      <c r="EPP5" s="390"/>
      <c r="EPQ5" s="390"/>
      <c r="EPR5" s="390"/>
      <c r="EPS5" s="390"/>
      <c r="EPT5" s="390"/>
      <c r="EPU5" s="390"/>
      <c r="EPV5" s="390"/>
      <c r="EPW5" s="390"/>
      <c r="EPX5" s="390"/>
      <c r="EPY5" s="390"/>
      <c r="EPZ5" s="390"/>
      <c r="EQA5" s="390"/>
      <c r="EQB5" s="390"/>
      <c r="EQC5" s="390"/>
      <c r="EQD5" s="390"/>
      <c r="EQE5" s="390"/>
      <c r="EQF5" s="390"/>
      <c r="EQG5" s="390"/>
      <c r="EQH5" s="390"/>
      <c r="EQI5" s="390"/>
      <c r="EQJ5" s="390"/>
      <c r="EQK5" s="390"/>
      <c r="EQL5" s="390"/>
      <c r="EQM5" s="390"/>
      <c r="EQN5" s="390"/>
      <c r="EQO5" s="390"/>
      <c r="EQP5" s="390"/>
      <c r="EQQ5" s="390"/>
      <c r="EQR5" s="390"/>
      <c r="EQS5" s="390"/>
      <c r="EQT5" s="390"/>
      <c r="EQU5" s="390"/>
      <c r="EQV5" s="390"/>
      <c r="EQW5" s="390"/>
      <c r="EQX5" s="390"/>
      <c r="EQY5" s="390"/>
      <c r="EQZ5" s="390"/>
      <c r="ERA5" s="390"/>
      <c r="ERB5" s="390"/>
      <c r="ERC5" s="390"/>
      <c r="ERD5" s="390"/>
      <c r="ERE5" s="390"/>
      <c r="ERF5" s="390"/>
      <c r="ERG5" s="390"/>
      <c r="ERH5" s="390"/>
      <c r="ERI5" s="390"/>
      <c r="ERJ5" s="390"/>
      <c r="ERK5" s="390"/>
      <c r="ERL5" s="390"/>
      <c r="ERM5" s="390"/>
      <c r="ERN5" s="390"/>
      <c r="ERO5" s="390"/>
      <c r="ERP5" s="390"/>
      <c r="ERQ5" s="390"/>
      <c r="ERR5" s="390"/>
      <c r="ERS5" s="390"/>
      <c r="ERT5" s="390"/>
      <c r="ERU5" s="390"/>
      <c r="ERV5" s="390"/>
      <c r="ERW5" s="390"/>
      <c r="ERX5" s="390"/>
      <c r="ERY5" s="390"/>
      <c r="ERZ5" s="390"/>
      <c r="ESA5" s="390"/>
      <c r="ESB5" s="390"/>
      <c r="ESC5" s="390"/>
      <c r="ESD5" s="390"/>
      <c r="ESE5" s="390"/>
      <c r="ESF5" s="390"/>
      <c r="ESG5" s="390"/>
      <c r="ESH5" s="390"/>
      <c r="ESI5" s="390"/>
      <c r="ESJ5" s="390"/>
      <c r="ESK5" s="390"/>
      <c r="ESL5" s="390"/>
      <c r="ESM5" s="390"/>
      <c r="ESN5" s="390"/>
      <c r="ESO5" s="390"/>
      <c r="ESP5" s="390"/>
      <c r="ESQ5" s="390"/>
      <c r="ESR5" s="390"/>
      <c r="ESS5" s="390"/>
      <c r="EST5" s="390"/>
      <c r="ESU5" s="390"/>
      <c r="ESV5" s="390"/>
      <c r="ESW5" s="390"/>
      <c r="ESX5" s="390"/>
      <c r="ESY5" s="390"/>
      <c r="ESZ5" s="390"/>
      <c r="ETA5" s="390"/>
      <c r="ETB5" s="390"/>
      <c r="ETC5" s="390"/>
      <c r="ETD5" s="390"/>
      <c r="ETE5" s="390"/>
      <c r="ETF5" s="390"/>
      <c r="ETG5" s="390"/>
      <c r="ETH5" s="390"/>
      <c r="ETI5" s="390"/>
      <c r="ETJ5" s="390"/>
      <c r="ETK5" s="390"/>
      <c r="ETL5" s="390"/>
      <c r="ETM5" s="390"/>
      <c r="ETN5" s="390"/>
      <c r="ETO5" s="390"/>
      <c r="ETP5" s="390"/>
      <c r="ETQ5" s="390"/>
      <c r="ETR5" s="390"/>
      <c r="ETS5" s="390"/>
      <c r="ETT5" s="390"/>
      <c r="ETU5" s="390"/>
      <c r="ETV5" s="390"/>
      <c r="ETW5" s="390"/>
      <c r="ETX5" s="390"/>
      <c r="ETY5" s="390"/>
      <c r="ETZ5" s="390"/>
      <c r="EUA5" s="390"/>
      <c r="EUB5" s="390"/>
      <c r="EUC5" s="390"/>
      <c r="EUD5" s="390"/>
      <c r="EUE5" s="390"/>
      <c r="EUF5" s="390"/>
      <c r="EUG5" s="390"/>
      <c r="EUH5" s="390"/>
      <c r="EUI5" s="390"/>
      <c r="EUJ5" s="390"/>
      <c r="EUK5" s="390"/>
      <c r="EUL5" s="390"/>
      <c r="EUM5" s="390"/>
      <c r="EUN5" s="390"/>
      <c r="EUO5" s="390"/>
      <c r="EUP5" s="390"/>
      <c r="EUQ5" s="390"/>
      <c r="EUR5" s="390"/>
      <c r="EUS5" s="390"/>
      <c r="EUT5" s="390"/>
      <c r="EUU5" s="390"/>
      <c r="EUV5" s="390"/>
      <c r="EUW5" s="390"/>
      <c r="EUX5" s="390"/>
      <c r="EUY5" s="390"/>
      <c r="EUZ5" s="390"/>
      <c r="EVA5" s="390"/>
      <c r="EVB5" s="390"/>
      <c r="EVC5" s="390"/>
      <c r="EVD5" s="390"/>
      <c r="EVE5" s="390"/>
      <c r="EVF5" s="390"/>
      <c r="EVG5" s="390"/>
      <c r="EVH5" s="390"/>
      <c r="EVI5" s="390"/>
      <c r="EVJ5" s="390"/>
      <c r="EVK5" s="390"/>
      <c r="EVL5" s="390"/>
      <c r="EVM5" s="390"/>
      <c r="EVN5" s="390"/>
      <c r="EVO5" s="390"/>
      <c r="EVP5" s="390"/>
      <c r="EVQ5" s="390"/>
      <c r="EVR5" s="390"/>
      <c r="EVS5" s="390"/>
      <c r="EVT5" s="390"/>
      <c r="EVU5" s="390"/>
      <c r="EVV5" s="390"/>
      <c r="EVW5" s="390"/>
      <c r="EVX5" s="390"/>
      <c r="EVY5" s="390"/>
      <c r="EVZ5" s="390"/>
      <c r="EWA5" s="390"/>
      <c r="EWB5" s="390"/>
      <c r="EWC5" s="390"/>
      <c r="EWD5" s="390"/>
      <c r="EWE5" s="390"/>
      <c r="EWF5" s="390"/>
      <c r="EWG5" s="390"/>
      <c r="EWH5" s="390"/>
      <c r="EWI5" s="390"/>
      <c r="EWJ5" s="390"/>
      <c r="EWK5" s="390"/>
      <c r="EWL5" s="390"/>
      <c r="EWM5" s="390"/>
      <c r="EWN5" s="390"/>
      <c r="EWO5" s="390"/>
      <c r="EWP5" s="390"/>
      <c r="EWQ5" s="390"/>
      <c r="EWR5" s="390"/>
      <c r="EWS5" s="390"/>
      <c r="EWT5" s="390"/>
      <c r="EWU5" s="390"/>
      <c r="EWV5" s="390"/>
      <c r="EWW5" s="390"/>
      <c r="EWX5" s="390"/>
      <c r="EWY5" s="390"/>
      <c r="EWZ5" s="390"/>
      <c r="EXA5" s="390"/>
      <c r="EXB5" s="390"/>
      <c r="EXC5" s="390"/>
      <c r="EXD5" s="390"/>
      <c r="EXE5" s="390"/>
      <c r="EXF5" s="390"/>
      <c r="EXG5" s="390"/>
      <c r="EXH5" s="390"/>
      <c r="EXI5" s="390"/>
      <c r="EXJ5" s="390"/>
      <c r="EXK5" s="390"/>
      <c r="EXL5" s="390"/>
      <c r="EXM5" s="390"/>
      <c r="EXN5" s="390"/>
      <c r="EXO5" s="390"/>
      <c r="EXP5" s="390"/>
      <c r="EXQ5" s="390"/>
      <c r="EXR5" s="390"/>
      <c r="EXS5" s="390"/>
      <c r="EXT5" s="390"/>
      <c r="EXU5" s="390"/>
      <c r="EXV5" s="390"/>
      <c r="EXW5" s="390"/>
      <c r="EXX5" s="390"/>
      <c r="EXY5" s="390"/>
      <c r="EXZ5" s="390"/>
      <c r="EYA5" s="390"/>
      <c r="EYB5" s="390"/>
      <c r="EYC5" s="390"/>
      <c r="EYD5" s="390"/>
      <c r="EYE5" s="390"/>
      <c r="EYF5" s="390"/>
      <c r="EYG5" s="390"/>
      <c r="EYH5" s="390"/>
      <c r="EYI5" s="390"/>
      <c r="EYJ5" s="390"/>
      <c r="EYK5" s="390"/>
      <c r="EYL5" s="390"/>
      <c r="EYM5" s="390"/>
      <c r="EYN5" s="390"/>
      <c r="EYO5" s="390"/>
      <c r="EYP5" s="390"/>
      <c r="EYQ5" s="390"/>
      <c r="EYR5" s="390"/>
      <c r="EYS5" s="390"/>
      <c r="EYT5" s="390"/>
      <c r="EYU5" s="390"/>
      <c r="EYV5" s="390"/>
      <c r="EYW5" s="390"/>
      <c r="EYX5" s="390"/>
      <c r="EYY5" s="390"/>
      <c r="EYZ5" s="390"/>
      <c r="EZA5" s="390"/>
      <c r="EZB5" s="390"/>
      <c r="EZC5" s="390"/>
      <c r="EZD5" s="390"/>
      <c r="EZE5" s="390"/>
      <c r="EZF5" s="390"/>
      <c r="EZG5" s="390"/>
      <c r="EZH5" s="390"/>
      <c r="EZI5" s="390"/>
      <c r="EZJ5" s="390"/>
      <c r="EZK5" s="390"/>
      <c r="EZL5" s="390"/>
      <c r="EZM5" s="390"/>
      <c r="EZN5" s="390"/>
      <c r="EZO5" s="390"/>
      <c r="EZP5" s="390"/>
      <c r="EZQ5" s="390"/>
      <c r="EZR5" s="390"/>
      <c r="EZS5" s="390"/>
      <c r="EZT5" s="390"/>
      <c r="EZU5" s="390"/>
      <c r="EZV5" s="390"/>
      <c r="EZW5" s="390"/>
      <c r="EZX5" s="390"/>
      <c r="EZY5" s="390"/>
      <c r="EZZ5" s="390"/>
      <c r="FAA5" s="390"/>
      <c r="FAB5" s="390"/>
      <c r="FAC5" s="390"/>
      <c r="FAD5" s="390"/>
      <c r="FAE5" s="390"/>
      <c r="FAF5" s="390"/>
      <c r="FAG5" s="390"/>
      <c r="FAH5" s="390"/>
      <c r="FAI5" s="390"/>
      <c r="FAJ5" s="390"/>
      <c r="FAK5" s="390"/>
      <c r="FAL5" s="390"/>
      <c r="FAM5" s="390"/>
      <c r="FAN5" s="390"/>
      <c r="FAO5" s="390"/>
      <c r="FAP5" s="390"/>
      <c r="FAQ5" s="390"/>
      <c r="FAR5" s="390"/>
      <c r="FAS5" s="390"/>
      <c r="FAT5" s="390"/>
      <c r="FAU5" s="390"/>
      <c r="FAV5" s="390"/>
      <c r="FAW5" s="390"/>
      <c r="FAX5" s="390"/>
      <c r="FAY5" s="390"/>
      <c r="FAZ5" s="390"/>
      <c r="FBA5" s="390"/>
      <c r="FBB5" s="390"/>
      <c r="FBC5" s="390"/>
      <c r="FBD5" s="390"/>
      <c r="FBE5" s="390"/>
      <c r="FBF5" s="390"/>
      <c r="FBG5" s="390"/>
      <c r="FBH5" s="390"/>
      <c r="FBI5" s="390"/>
      <c r="FBJ5" s="390"/>
      <c r="FBK5" s="390"/>
      <c r="FBL5" s="390"/>
      <c r="FBM5" s="390"/>
      <c r="FBN5" s="390"/>
      <c r="FBO5" s="390"/>
      <c r="FBP5" s="390"/>
      <c r="FBQ5" s="390"/>
      <c r="FBR5" s="390"/>
      <c r="FBS5" s="390"/>
      <c r="FBT5" s="390"/>
      <c r="FBU5" s="390"/>
      <c r="FBV5" s="390"/>
      <c r="FBW5" s="390"/>
      <c r="FBX5" s="390"/>
      <c r="FBY5" s="390"/>
      <c r="FBZ5" s="390"/>
      <c r="FCA5" s="390"/>
      <c r="FCB5" s="390"/>
      <c r="FCC5" s="390"/>
      <c r="FCD5" s="390"/>
      <c r="FCE5" s="390"/>
      <c r="FCF5" s="390"/>
      <c r="FCG5" s="390"/>
      <c r="FCH5" s="390"/>
      <c r="FCI5" s="390"/>
      <c r="FCJ5" s="390"/>
      <c r="FCK5" s="390"/>
      <c r="FCL5" s="390"/>
      <c r="FCM5" s="390"/>
      <c r="FCN5" s="390"/>
      <c r="FCO5" s="390"/>
      <c r="FCP5" s="390"/>
      <c r="FCQ5" s="390"/>
      <c r="FCR5" s="390"/>
      <c r="FCS5" s="390"/>
      <c r="FCT5" s="390"/>
      <c r="FCU5" s="390"/>
      <c r="FCV5" s="390"/>
      <c r="FCW5" s="390"/>
      <c r="FCX5" s="390"/>
      <c r="FCY5" s="390"/>
      <c r="FCZ5" s="390"/>
      <c r="FDA5" s="390"/>
      <c r="FDB5" s="390"/>
      <c r="FDC5" s="390"/>
      <c r="FDD5" s="390"/>
      <c r="FDE5" s="390"/>
      <c r="FDF5" s="390"/>
      <c r="FDG5" s="390"/>
      <c r="FDH5" s="390"/>
      <c r="FDI5" s="390"/>
      <c r="FDJ5" s="390"/>
      <c r="FDK5" s="390"/>
      <c r="FDL5" s="390"/>
      <c r="FDM5" s="390"/>
      <c r="FDN5" s="390"/>
      <c r="FDO5" s="390"/>
      <c r="FDP5" s="390"/>
      <c r="FDQ5" s="390"/>
      <c r="FDR5" s="390"/>
      <c r="FDS5" s="390"/>
      <c r="FDT5" s="390"/>
      <c r="FDU5" s="390"/>
      <c r="FDV5" s="390"/>
      <c r="FDW5" s="390"/>
      <c r="FDX5" s="390"/>
      <c r="FDY5" s="390"/>
      <c r="FDZ5" s="390"/>
      <c r="FEA5" s="390"/>
      <c r="FEB5" s="390"/>
      <c r="FEC5" s="390"/>
      <c r="FED5" s="390"/>
      <c r="FEE5" s="390"/>
      <c r="FEF5" s="390"/>
      <c r="FEG5" s="390"/>
      <c r="FEH5" s="390"/>
      <c r="FEI5" s="390"/>
      <c r="FEJ5" s="390"/>
      <c r="FEK5" s="390"/>
      <c r="FEL5" s="390"/>
      <c r="FEM5" s="390"/>
      <c r="FEN5" s="390"/>
      <c r="FEO5" s="390"/>
      <c r="FEP5" s="390"/>
      <c r="FEQ5" s="390"/>
      <c r="FER5" s="390"/>
      <c r="FES5" s="390"/>
      <c r="FET5" s="390"/>
      <c r="FEU5" s="390"/>
      <c r="FEV5" s="390"/>
      <c r="FEW5" s="390"/>
      <c r="FEX5" s="390"/>
      <c r="FEY5" s="390"/>
      <c r="FEZ5" s="390"/>
      <c r="FFA5" s="390"/>
      <c r="FFB5" s="390"/>
      <c r="FFC5" s="390"/>
      <c r="FFD5" s="390"/>
      <c r="FFE5" s="390"/>
      <c r="FFF5" s="390"/>
      <c r="FFG5" s="390"/>
      <c r="FFH5" s="390"/>
      <c r="FFI5" s="390"/>
      <c r="FFJ5" s="390"/>
      <c r="FFK5" s="390"/>
      <c r="FFL5" s="390"/>
      <c r="FFM5" s="390"/>
      <c r="FFN5" s="390"/>
      <c r="FFO5" s="390"/>
      <c r="FFP5" s="390"/>
      <c r="FFQ5" s="390"/>
      <c r="FFR5" s="390"/>
      <c r="FFS5" s="390"/>
      <c r="FFT5" s="390"/>
      <c r="FFU5" s="390"/>
      <c r="FFV5" s="390"/>
      <c r="FFW5" s="390"/>
      <c r="FFX5" s="390"/>
      <c r="FFY5" s="390"/>
      <c r="FFZ5" s="390"/>
      <c r="FGA5" s="390"/>
      <c r="FGB5" s="390"/>
      <c r="FGC5" s="390"/>
      <c r="FGD5" s="390"/>
      <c r="FGE5" s="390"/>
      <c r="FGF5" s="390"/>
      <c r="FGG5" s="390"/>
      <c r="FGH5" s="390"/>
      <c r="FGI5" s="390"/>
      <c r="FGJ5" s="390"/>
      <c r="FGK5" s="390"/>
      <c r="FGL5" s="390"/>
      <c r="FGM5" s="390"/>
      <c r="FGN5" s="390"/>
      <c r="FGO5" s="390"/>
      <c r="FGP5" s="390"/>
      <c r="FGQ5" s="390"/>
      <c r="FGR5" s="390"/>
      <c r="FGS5" s="390"/>
      <c r="FGT5" s="390"/>
      <c r="FGU5" s="390"/>
      <c r="FGV5" s="390"/>
      <c r="FGW5" s="390"/>
      <c r="FGX5" s="390"/>
      <c r="FGY5" s="390"/>
      <c r="FGZ5" s="390"/>
      <c r="FHA5" s="390"/>
      <c r="FHB5" s="390"/>
      <c r="FHC5" s="390"/>
      <c r="FHD5" s="390"/>
      <c r="FHE5" s="390"/>
      <c r="FHF5" s="390"/>
      <c r="FHG5" s="390"/>
      <c r="FHH5" s="390"/>
      <c r="FHI5" s="390"/>
      <c r="FHJ5" s="390"/>
      <c r="FHK5" s="390"/>
      <c r="FHL5" s="390"/>
      <c r="FHM5" s="390"/>
      <c r="FHN5" s="390"/>
      <c r="FHO5" s="390"/>
      <c r="FHP5" s="390"/>
      <c r="FHQ5" s="390"/>
      <c r="FHR5" s="390"/>
      <c r="FHS5" s="390"/>
      <c r="FHT5" s="390"/>
      <c r="FHU5" s="390"/>
      <c r="FHV5" s="390"/>
      <c r="FHW5" s="390"/>
      <c r="FHX5" s="390"/>
      <c r="FHY5" s="390"/>
      <c r="FHZ5" s="390"/>
      <c r="FIA5" s="390"/>
      <c r="FIB5" s="390"/>
      <c r="FIC5" s="390"/>
      <c r="FID5" s="390"/>
      <c r="FIE5" s="390"/>
      <c r="FIF5" s="390"/>
      <c r="FIG5" s="390"/>
      <c r="FIH5" s="390"/>
      <c r="FII5" s="390"/>
      <c r="FIJ5" s="390"/>
      <c r="FIK5" s="390"/>
      <c r="FIL5" s="390"/>
      <c r="FIM5" s="390"/>
      <c r="FIN5" s="390"/>
      <c r="FIO5" s="390"/>
      <c r="FIP5" s="390"/>
      <c r="FIQ5" s="390"/>
      <c r="FIR5" s="390"/>
      <c r="FIS5" s="390"/>
      <c r="FIT5" s="390"/>
      <c r="FIU5" s="390"/>
      <c r="FIV5" s="390"/>
      <c r="FIW5" s="390"/>
      <c r="FIX5" s="390"/>
      <c r="FIY5" s="390"/>
      <c r="FIZ5" s="390"/>
      <c r="FJA5" s="390"/>
      <c r="FJB5" s="390"/>
      <c r="FJC5" s="390"/>
      <c r="FJD5" s="390"/>
      <c r="FJE5" s="390"/>
      <c r="FJF5" s="390"/>
      <c r="FJG5" s="390"/>
      <c r="FJH5" s="390"/>
      <c r="FJI5" s="390"/>
      <c r="FJJ5" s="390"/>
      <c r="FJK5" s="390"/>
      <c r="FJL5" s="390"/>
      <c r="FJM5" s="390"/>
      <c r="FJN5" s="390"/>
      <c r="FJO5" s="390"/>
      <c r="FJP5" s="390"/>
      <c r="FJQ5" s="390"/>
      <c r="FJR5" s="390"/>
      <c r="FJS5" s="390"/>
      <c r="FJT5" s="390"/>
      <c r="FJU5" s="390"/>
      <c r="FJV5" s="390"/>
      <c r="FJW5" s="390"/>
      <c r="FJX5" s="390"/>
      <c r="FJY5" s="390"/>
      <c r="FJZ5" s="390"/>
      <c r="FKA5" s="390"/>
      <c r="FKB5" s="390"/>
      <c r="FKC5" s="390"/>
      <c r="FKD5" s="390"/>
      <c r="FKE5" s="390"/>
      <c r="FKF5" s="390"/>
      <c r="FKG5" s="390"/>
      <c r="FKH5" s="390"/>
      <c r="FKI5" s="390"/>
      <c r="FKJ5" s="390"/>
      <c r="FKK5" s="390"/>
      <c r="FKL5" s="390"/>
      <c r="FKM5" s="390"/>
      <c r="FKN5" s="390"/>
      <c r="FKO5" s="390"/>
      <c r="FKP5" s="390"/>
      <c r="FKQ5" s="390"/>
      <c r="FKR5" s="390"/>
      <c r="FKS5" s="390"/>
      <c r="FKT5" s="390"/>
      <c r="FKU5" s="390"/>
      <c r="FKV5" s="390"/>
      <c r="FKW5" s="390"/>
      <c r="FKX5" s="390"/>
      <c r="FKY5" s="390"/>
      <c r="FKZ5" s="390"/>
      <c r="FLA5" s="390"/>
      <c r="FLB5" s="390"/>
      <c r="FLC5" s="390"/>
      <c r="FLD5" s="390"/>
      <c r="FLE5" s="390"/>
      <c r="FLF5" s="390"/>
      <c r="FLG5" s="390"/>
      <c r="FLH5" s="390"/>
      <c r="FLI5" s="390"/>
      <c r="FLJ5" s="390"/>
      <c r="FLK5" s="390"/>
      <c r="FLL5" s="390"/>
      <c r="FLM5" s="390"/>
      <c r="FLN5" s="390"/>
      <c r="FLO5" s="390"/>
      <c r="FLP5" s="390"/>
      <c r="FLQ5" s="390"/>
      <c r="FLR5" s="390"/>
      <c r="FLS5" s="390"/>
      <c r="FLT5" s="390"/>
      <c r="FLU5" s="390"/>
      <c r="FLV5" s="390"/>
      <c r="FLW5" s="390"/>
      <c r="FLX5" s="390"/>
      <c r="FLY5" s="390"/>
      <c r="FLZ5" s="390"/>
      <c r="FMA5" s="390"/>
      <c r="FMB5" s="390"/>
      <c r="FMC5" s="390"/>
      <c r="FMD5" s="390"/>
      <c r="FME5" s="390"/>
      <c r="FMF5" s="390"/>
      <c r="FMG5" s="390"/>
      <c r="FMH5" s="390"/>
      <c r="FMI5" s="390"/>
      <c r="FMJ5" s="390"/>
      <c r="FMK5" s="390"/>
      <c r="FML5" s="390"/>
      <c r="FMM5" s="390"/>
      <c r="FMN5" s="390"/>
      <c r="FMO5" s="390"/>
      <c r="FMP5" s="390"/>
      <c r="FMQ5" s="390"/>
      <c r="FMR5" s="390"/>
      <c r="FMS5" s="390"/>
      <c r="FMT5" s="390"/>
      <c r="FMU5" s="390"/>
      <c r="FMV5" s="390"/>
      <c r="FMW5" s="390"/>
      <c r="FMX5" s="390"/>
      <c r="FMY5" s="390"/>
      <c r="FMZ5" s="390"/>
      <c r="FNA5" s="390"/>
      <c r="FNB5" s="390"/>
      <c r="FNC5" s="390"/>
      <c r="FND5" s="390"/>
      <c r="FNE5" s="390"/>
      <c r="FNF5" s="390"/>
      <c r="FNG5" s="390"/>
      <c r="FNH5" s="390"/>
      <c r="FNI5" s="390"/>
      <c r="FNJ5" s="390"/>
      <c r="FNK5" s="390"/>
      <c r="FNL5" s="390"/>
      <c r="FNM5" s="390"/>
      <c r="FNN5" s="390"/>
      <c r="FNO5" s="390"/>
      <c r="FNP5" s="390"/>
      <c r="FNQ5" s="390"/>
      <c r="FNR5" s="390"/>
      <c r="FNS5" s="390"/>
      <c r="FNT5" s="390"/>
      <c r="FNU5" s="390"/>
      <c r="FNV5" s="390"/>
      <c r="FNW5" s="390"/>
      <c r="FNX5" s="390"/>
      <c r="FNY5" s="390"/>
      <c r="FNZ5" s="390"/>
      <c r="FOA5" s="390"/>
      <c r="FOB5" s="390"/>
      <c r="FOC5" s="390"/>
      <c r="FOD5" s="390"/>
      <c r="FOE5" s="390"/>
      <c r="FOF5" s="390"/>
      <c r="FOG5" s="390"/>
      <c r="FOH5" s="390"/>
      <c r="FOI5" s="390"/>
      <c r="FOJ5" s="390"/>
      <c r="FOK5" s="390"/>
      <c r="FOL5" s="390"/>
      <c r="FOM5" s="390"/>
      <c r="FON5" s="390"/>
      <c r="FOO5" s="390"/>
      <c r="FOP5" s="390"/>
      <c r="FOQ5" s="390"/>
      <c r="FOR5" s="390"/>
      <c r="FOS5" s="390"/>
      <c r="FOT5" s="390"/>
      <c r="FOU5" s="390"/>
      <c r="FOV5" s="390"/>
      <c r="FOW5" s="390"/>
      <c r="FOX5" s="390"/>
      <c r="FOY5" s="390"/>
      <c r="FOZ5" s="390"/>
      <c r="FPA5" s="390"/>
      <c r="FPB5" s="390"/>
      <c r="FPC5" s="390"/>
      <c r="FPD5" s="390"/>
      <c r="FPE5" s="390"/>
      <c r="FPF5" s="390"/>
      <c r="FPG5" s="390"/>
      <c r="FPH5" s="390"/>
      <c r="FPI5" s="390"/>
      <c r="FPJ5" s="390"/>
      <c r="FPK5" s="390"/>
      <c r="FPL5" s="390"/>
      <c r="FPM5" s="390"/>
      <c r="FPN5" s="390"/>
      <c r="FPO5" s="390"/>
      <c r="FPP5" s="390"/>
      <c r="FPQ5" s="390"/>
      <c r="FPR5" s="390"/>
      <c r="FPS5" s="390"/>
      <c r="FPT5" s="390"/>
      <c r="FPU5" s="390"/>
      <c r="FPV5" s="390"/>
      <c r="FPW5" s="390"/>
      <c r="FPX5" s="390"/>
      <c r="FPY5" s="390"/>
      <c r="FPZ5" s="390"/>
      <c r="FQA5" s="390"/>
      <c r="FQB5" s="390"/>
      <c r="FQC5" s="390"/>
      <c r="FQD5" s="390"/>
      <c r="FQE5" s="390"/>
      <c r="FQF5" s="390"/>
      <c r="FQG5" s="390"/>
      <c r="FQH5" s="390"/>
      <c r="FQI5" s="390"/>
      <c r="FQJ5" s="390"/>
      <c r="FQK5" s="390"/>
      <c r="FQL5" s="390"/>
      <c r="FQM5" s="390"/>
      <c r="FQN5" s="390"/>
      <c r="FQO5" s="390"/>
      <c r="FQP5" s="390"/>
      <c r="FQQ5" s="390"/>
      <c r="FQR5" s="390"/>
      <c r="FQS5" s="390"/>
      <c r="FQT5" s="390"/>
      <c r="FQU5" s="390"/>
      <c r="FQV5" s="390"/>
      <c r="FQW5" s="390"/>
      <c r="FQX5" s="390"/>
      <c r="FQY5" s="390"/>
      <c r="FQZ5" s="390"/>
      <c r="FRA5" s="390"/>
      <c r="FRB5" s="390"/>
      <c r="FRC5" s="390"/>
      <c r="FRD5" s="390"/>
      <c r="FRE5" s="390"/>
      <c r="FRF5" s="390"/>
      <c r="FRG5" s="390"/>
      <c r="FRH5" s="390"/>
      <c r="FRI5" s="390"/>
      <c r="FRJ5" s="390"/>
      <c r="FRK5" s="390"/>
      <c r="FRL5" s="390"/>
      <c r="FRM5" s="390"/>
      <c r="FRN5" s="390"/>
      <c r="FRO5" s="390"/>
      <c r="FRP5" s="390"/>
      <c r="FRQ5" s="390"/>
      <c r="FRR5" s="390"/>
      <c r="FRS5" s="390"/>
      <c r="FRT5" s="390"/>
      <c r="FRU5" s="390"/>
      <c r="FRV5" s="390"/>
      <c r="FRW5" s="390"/>
      <c r="FRX5" s="390"/>
      <c r="FRY5" s="390"/>
      <c r="FRZ5" s="390"/>
      <c r="FSA5" s="390"/>
      <c r="FSB5" s="390"/>
      <c r="FSC5" s="390"/>
      <c r="FSD5" s="390"/>
      <c r="FSE5" s="390"/>
      <c r="FSF5" s="390"/>
      <c r="FSG5" s="390"/>
      <c r="FSH5" s="390"/>
      <c r="FSI5" s="390"/>
      <c r="FSJ5" s="390"/>
      <c r="FSK5" s="390"/>
      <c r="FSL5" s="390"/>
      <c r="FSM5" s="390"/>
      <c r="FSN5" s="390"/>
      <c r="FSO5" s="390"/>
      <c r="FSP5" s="390"/>
      <c r="FSQ5" s="390"/>
      <c r="FSR5" s="390"/>
      <c r="FSS5" s="390"/>
      <c r="FST5" s="390"/>
      <c r="FSU5" s="390"/>
      <c r="FSV5" s="390"/>
      <c r="FSW5" s="390"/>
      <c r="FSX5" s="390"/>
      <c r="FSY5" s="390"/>
      <c r="FSZ5" s="390"/>
      <c r="FTA5" s="390"/>
      <c r="FTB5" s="390"/>
      <c r="FTC5" s="390"/>
      <c r="FTD5" s="390"/>
      <c r="FTE5" s="390"/>
      <c r="FTF5" s="390"/>
      <c r="FTG5" s="390"/>
      <c r="FTH5" s="390"/>
      <c r="FTI5" s="390"/>
      <c r="FTJ5" s="390"/>
      <c r="FTK5" s="390"/>
      <c r="FTL5" s="390"/>
      <c r="FTM5" s="390"/>
      <c r="FTN5" s="390"/>
      <c r="FTO5" s="390"/>
      <c r="FTP5" s="390"/>
      <c r="FTQ5" s="390"/>
      <c r="FTR5" s="390"/>
      <c r="FTS5" s="390"/>
      <c r="FTT5" s="390"/>
      <c r="FTU5" s="390"/>
      <c r="FTV5" s="390"/>
      <c r="FTW5" s="390"/>
      <c r="FTX5" s="390"/>
      <c r="FTY5" s="390"/>
      <c r="FTZ5" s="390"/>
      <c r="FUA5" s="390"/>
      <c r="FUB5" s="390"/>
      <c r="FUC5" s="390"/>
      <c r="FUD5" s="390"/>
      <c r="FUE5" s="390"/>
      <c r="FUF5" s="390"/>
      <c r="FUG5" s="390"/>
      <c r="FUH5" s="390"/>
      <c r="FUI5" s="390"/>
      <c r="FUJ5" s="390"/>
      <c r="FUK5" s="390"/>
      <c r="FUL5" s="390"/>
      <c r="FUM5" s="390"/>
      <c r="FUN5" s="390"/>
      <c r="FUO5" s="390"/>
      <c r="FUP5" s="390"/>
      <c r="FUQ5" s="390"/>
      <c r="FUR5" s="390"/>
      <c r="FUS5" s="390"/>
      <c r="FUT5" s="390"/>
      <c r="FUU5" s="390"/>
      <c r="FUV5" s="390"/>
      <c r="FUW5" s="390"/>
      <c r="FUX5" s="390"/>
      <c r="FUY5" s="390"/>
      <c r="FUZ5" s="390"/>
      <c r="FVA5" s="390"/>
      <c r="FVB5" s="390"/>
      <c r="FVC5" s="390"/>
      <c r="FVD5" s="390"/>
      <c r="FVE5" s="390"/>
      <c r="FVF5" s="390"/>
      <c r="FVG5" s="390"/>
      <c r="FVH5" s="390"/>
      <c r="FVI5" s="390"/>
      <c r="FVJ5" s="390"/>
      <c r="FVK5" s="390"/>
      <c r="FVL5" s="390"/>
      <c r="FVM5" s="390"/>
      <c r="FVN5" s="390"/>
      <c r="FVO5" s="390"/>
      <c r="FVP5" s="390"/>
      <c r="FVQ5" s="390"/>
      <c r="FVR5" s="390"/>
      <c r="FVS5" s="390"/>
      <c r="FVT5" s="390"/>
      <c r="FVU5" s="390"/>
      <c r="FVV5" s="390"/>
      <c r="FVW5" s="390"/>
      <c r="FVX5" s="390"/>
      <c r="FVY5" s="390"/>
      <c r="FVZ5" s="390"/>
      <c r="FWA5" s="390"/>
      <c r="FWB5" s="390"/>
      <c r="FWC5" s="390"/>
      <c r="FWD5" s="390"/>
      <c r="FWE5" s="390"/>
      <c r="FWF5" s="390"/>
      <c r="FWG5" s="390"/>
      <c r="FWH5" s="390"/>
      <c r="FWI5" s="390"/>
      <c r="FWJ5" s="390"/>
      <c r="FWK5" s="390"/>
      <c r="FWL5" s="390"/>
      <c r="FWM5" s="390"/>
      <c r="FWN5" s="390"/>
      <c r="FWO5" s="390"/>
      <c r="FWP5" s="390"/>
      <c r="FWQ5" s="390"/>
      <c r="FWR5" s="390"/>
      <c r="FWS5" s="390"/>
      <c r="FWT5" s="390"/>
      <c r="FWU5" s="390"/>
      <c r="FWV5" s="390"/>
      <c r="FWW5" s="390"/>
      <c r="FWX5" s="390"/>
      <c r="FWY5" s="390"/>
      <c r="FWZ5" s="390"/>
      <c r="FXA5" s="390"/>
      <c r="FXB5" s="390"/>
      <c r="FXC5" s="390"/>
      <c r="FXD5" s="390"/>
      <c r="FXE5" s="390"/>
      <c r="FXF5" s="390"/>
      <c r="FXG5" s="390"/>
      <c r="FXH5" s="390"/>
      <c r="FXI5" s="390"/>
      <c r="FXJ5" s="390"/>
      <c r="FXK5" s="390"/>
      <c r="FXL5" s="390"/>
      <c r="FXM5" s="390"/>
      <c r="FXN5" s="390"/>
      <c r="FXO5" s="390"/>
      <c r="FXP5" s="390"/>
      <c r="FXQ5" s="390"/>
      <c r="FXR5" s="390"/>
      <c r="FXS5" s="390"/>
      <c r="FXT5" s="390"/>
      <c r="FXU5" s="390"/>
      <c r="FXV5" s="390"/>
      <c r="FXW5" s="390"/>
      <c r="FXX5" s="390"/>
      <c r="FXY5" s="390"/>
      <c r="FXZ5" s="390"/>
      <c r="FYA5" s="390"/>
      <c r="FYB5" s="390"/>
      <c r="FYC5" s="390"/>
      <c r="FYD5" s="390"/>
      <c r="FYE5" s="390"/>
      <c r="FYF5" s="390"/>
      <c r="FYG5" s="390"/>
      <c r="FYH5" s="390"/>
      <c r="FYI5" s="390"/>
      <c r="FYJ5" s="390"/>
      <c r="FYK5" s="390"/>
      <c r="FYL5" s="390"/>
      <c r="FYM5" s="390"/>
      <c r="FYN5" s="390"/>
      <c r="FYO5" s="390"/>
      <c r="FYP5" s="390"/>
      <c r="FYQ5" s="390"/>
      <c r="FYR5" s="390"/>
      <c r="FYS5" s="390"/>
      <c r="FYT5" s="390"/>
      <c r="FYU5" s="390"/>
      <c r="FYV5" s="390"/>
      <c r="FYW5" s="390"/>
      <c r="FYX5" s="390"/>
      <c r="FYY5" s="390"/>
      <c r="FYZ5" s="390"/>
      <c r="FZA5" s="390"/>
      <c r="FZB5" s="390"/>
      <c r="FZC5" s="390"/>
      <c r="FZD5" s="390"/>
      <c r="FZE5" s="390"/>
      <c r="FZF5" s="390"/>
      <c r="FZG5" s="390"/>
      <c r="FZH5" s="390"/>
      <c r="FZI5" s="390"/>
      <c r="FZJ5" s="390"/>
      <c r="FZK5" s="390"/>
      <c r="FZL5" s="390"/>
      <c r="FZM5" s="390"/>
      <c r="FZN5" s="390"/>
      <c r="FZO5" s="390"/>
      <c r="FZP5" s="390"/>
      <c r="FZQ5" s="390"/>
      <c r="FZR5" s="390"/>
      <c r="FZS5" s="390"/>
      <c r="FZT5" s="390"/>
      <c r="FZU5" s="390"/>
      <c r="FZV5" s="390"/>
      <c r="FZW5" s="390"/>
      <c r="FZX5" s="390"/>
      <c r="FZY5" s="390"/>
      <c r="FZZ5" s="390"/>
      <c r="GAA5" s="390"/>
      <c r="GAB5" s="390"/>
      <c r="GAC5" s="390"/>
      <c r="GAD5" s="390"/>
      <c r="GAE5" s="390"/>
      <c r="GAF5" s="390"/>
      <c r="GAG5" s="390"/>
      <c r="GAH5" s="390"/>
      <c r="GAI5" s="390"/>
      <c r="GAJ5" s="390"/>
      <c r="GAK5" s="390"/>
      <c r="GAL5" s="390"/>
      <c r="GAM5" s="390"/>
      <c r="GAN5" s="390"/>
      <c r="GAO5" s="390"/>
      <c r="GAP5" s="390"/>
      <c r="GAQ5" s="390"/>
      <c r="GAR5" s="390"/>
      <c r="GAS5" s="390"/>
      <c r="GAT5" s="390"/>
      <c r="GAU5" s="390"/>
      <c r="GAV5" s="390"/>
      <c r="GAW5" s="390"/>
      <c r="GAX5" s="390"/>
      <c r="GAY5" s="390"/>
      <c r="GAZ5" s="390"/>
      <c r="GBA5" s="390"/>
      <c r="GBB5" s="390"/>
      <c r="GBC5" s="390"/>
      <c r="GBD5" s="390"/>
      <c r="GBE5" s="390"/>
      <c r="GBF5" s="390"/>
      <c r="GBG5" s="390"/>
      <c r="GBH5" s="390"/>
      <c r="GBI5" s="390"/>
      <c r="GBJ5" s="390"/>
      <c r="GBK5" s="390"/>
      <c r="GBL5" s="390"/>
      <c r="GBM5" s="390"/>
      <c r="GBN5" s="390"/>
      <c r="GBO5" s="390"/>
      <c r="GBP5" s="390"/>
      <c r="GBQ5" s="390"/>
      <c r="GBR5" s="390"/>
      <c r="GBS5" s="390"/>
      <c r="GBT5" s="390"/>
      <c r="GBU5" s="390"/>
      <c r="GBV5" s="390"/>
      <c r="GBW5" s="390"/>
      <c r="GBX5" s="390"/>
      <c r="GBY5" s="390"/>
      <c r="GBZ5" s="390"/>
      <c r="GCA5" s="390"/>
      <c r="GCB5" s="390"/>
      <c r="GCC5" s="390"/>
      <c r="GCD5" s="390"/>
      <c r="GCE5" s="390"/>
      <c r="GCF5" s="390"/>
      <c r="GCG5" s="390"/>
      <c r="GCH5" s="390"/>
      <c r="GCI5" s="390"/>
      <c r="GCJ5" s="390"/>
      <c r="GCK5" s="390"/>
      <c r="GCL5" s="390"/>
      <c r="GCM5" s="390"/>
      <c r="GCN5" s="390"/>
      <c r="GCO5" s="390"/>
      <c r="GCP5" s="390"/>
      <c r="GCQ5" s="390"/>
      <c r="GCR5" s="390"/>
      <c r="GCS5" s="390"/>
      <c r="GCT5" s="390"/>
      <c r="GCU5" s="390"/>
      <c r="GCV5" s="390"/>
      <c r="GCW5" s="390"/>
      <c r="GCX5" s="390"/>
      <c r="GCY5" s="390"/>
      <c r="GCZ5" s="390"/>
      <c r="GDA5" s="390"/>
      <c r="GDB5" s="390"/>
      <c r="GDC5" s="390"/>
      <c r="GDD5" s="390"/>
      <c r="GDE5" s="390"/>
      <c r="GDF5" s="390"/>
      <c r="GDG5" s="390"/>
      <c r="GDH5" s="390"/>
      <c r="GDI5" s="390"/>
      <c r="GDJ5" s="390"/>
      <c r="GDK5" s="390"/>
      <c r="GDL5" s="390"/>
      <c r="GDM5" s="390"/>
      <c r="GDN5" s="390"/>
      <c r="GDO5" s="390"/>
      <c r="GDP5" s="390"/>
      <c r="GDQ5" s="390"/>
      <c r="GDR5" s="390"/>
      <c r="GDS5" s="390"/>
      <c r="GDT5" s="390"/>
      <c r="GDU5" s="390"/>
      <c r="GDV5" s="390"/>
      <c r="GDW5" s="390"/>
      <c r="GDX5" s="390"/>
      <c r="GDY5" s="390"/>
      <c r="GDZ5" s="390"/>
      <c r="GEA5" s="390"/>
      <c r="GEB5" s="390"/>
      <c r="GEC5" s="390"/>
      <c r="GED5" s="390"/>
      <c r="GEE5" s="390"/>
      <c r="GEF5" s="390"/>
      <c r="GEG5" s="390"/>
      <c r="GEH5" s="390"/>
      <c r="GEI5" s="390"/>
      <c r="GEJ5" s="390"/>
      <c r="GEK5" s="390"/>
      <c r="GEL5" s="390"/>
      <c r="GEM5" s="390"/>
      <c r="GEN5" s="390"/>
      <c r="GEO5" s="390"/>
      <c r="GEP5" s="390"/>
      <c r="GEQ5" s="390"/>
      <c r="GER5" s="390"/>
      <c r="GES5" s="390"/>
      <c r="GET5" s="390"/>
      <c r="GEU5" s="390"/>
      <c r="GEV5" s="390"/>
      <c r="GEW5" s="390"/>
      <c r="GEX5" s="390"/>
      <c r="GEY5" s="390"/>
      <c r="GEZ5" s="390"/>
      <c r="GFA5" s="390"/>
      <c r="GFB5" s="390"/>
      <c r="GFC5" s="390"/>
      <c r="GFD5" s="390"/>
      <c r="GFE5" s="390"/>
      <c r="GFF5" s="390"/>
      <c r="GFG5" s="390"/>
      <c r="GFH5" s="390"/>
      <c r="GFI5" s="390"/>
      <c r="GFJ5" s="390"/>
      <c r="GFK5" s="390"/>
      <c r="GFL5" s="390"/>
      <c r="GFM5" s="390"/>
      <c r="GFN5" s="390"/>
      <c r="GFO5" s="390"/>
      <c r="GFP5" s="390"/>
      <c r="GFQ5" s="390"/>
      <c r="GFR5" s="390"/>
      <c r="GFS5" s="390"/>
      <c r="GFT5" s="390"/>
      <c r="GFU5" s="390"/>
      <c r="GFV5" s="390"/>
      <c r="GFW5" s="390"/>
      <c r="GFX5" s="390"/>
      <c r="GFY5" s="390"/>
      <c r="GFZ5" s="390"/>
      <c r="GGA5" s="390"/>
      <c r="GGB5" s="390"/>
      <c r="GGC5" s="390"/>
      <c r="GGD5" s="390"/>
      <c r="GGE5" s="390"/>
      <c r="GGF5" s="390"/>
      <c r="GGG5" s="390"/>
      <c r="GGH5" s="390"/>
      <c r="GGI5" s="390"/>
      <c r="GGJ5" s="390"/>
      <c r="GGK5" s="390"/>
      <c r="GGL5" s="390"/>
      <c r="GGM5" s="390"/>
      <c r="GGN5" s="390"/>
      <c r="GGO5" s="390"/>
      <c r="GGP5" s="390"/>
      <c r="GGQ5" s="390"/>
      <c r="GGR5" s="390"/>
      <c r="GGS5" s="390"/>
      <c r="GGT5" s="390"/>
      <c r="GGU5" s="390"/>
      <c r="GGV5" s="390"/>
      <c r="GGW5" s="390"/>
      <c r="GGX5" s="390"/>
      <c r="GGY5" s="390"/>
      <c r="GGZ5" s="390"/>
      <c r="GHA5" s="390"/>
      <c r="GHB5" s="390"/>
      <c r="GHC5" s="390"/>
      <c r="GHD5" s="390"/>
      <c r="GHE5" s="390"/>
      <c r="GHF5" s="390"/>
      <c r="GHG5" s="390"/>
      <c r="GHH5" s="390"/>
      <c r="GHI5" s="390"/>
      <c r="GHJ5" s="390"/>
      <c r="GHK5" s="390"/>
      <c r="GHL5" s="390"/>
      <c r="GHM5" s="390"/>
      <c r="GHN5" s="390"/>
      <c r="GHO5" s="390"/>
      <c r="GHP5" s="390"/>
      <c r="GHQ5" s="390"/>
      <c r="GHR5" s="390"/>
      <c r="GHS5" s="390"/>
      <c r="GHT5" s="390"/>
      <c r="GHU5" s="390"/>
      <c r="GHV5" s="390"/>
      <c r="GHW5" s="390"/>
      <c r="GHX5" s="390"/>
      <c r="GHY5" s="390"/>
      <c r="GHZ5" s="390"/>
      <c r="GIA5" s="390"/>
      <c r="GIB5" s="390"/>
      <c r="GIC5" s="390"/>
      <c r="GID5" s="390"/>
      <c r="GIE5" s="390"/>
      <c r="GIF5" s="390"/>
      <c r="GIG5" s="390"/>
      <c r="GIH5" s="390"/>
      <c r="GII5" s="390"/>
      <c r="GIJ5" s="390"/>
      <c r="GIK5" s="390"/>
      <c r="GIL5" s="390"/>
      <c r="GIM5" s="390"/>
      <c r="GIN5" s="390"/>
      <c r="GIO5" s="390"/>
      <c r="GIP5" s="390"/>
      <c r="GIQ5" s="390"/>
      <c r="GIR5" s="390"/>
      <c r="GIS5" s="390"/>
      <c r="GIT5" s="390"/>
      <c r="GIU5" s="390"/>
      <c r="GIV5" s="390"/>
      <c r="GIW5" s="390"/>
      <c r="GIX5" s="390"/>
      <c r="GIY5" s="390"/>
      <c r="GIZ5" s="390"/>
      <c r="GJA5" s="390"/>
      <c r="GJB5" s="390"/>
      <c r="GJC5" s="390"/>
      <c r="GJD5" s="390"/>
      <c r="GJE5" s="390"/>
      <c r="GJF5" s="390"/>
      <c r="GJG5" s="390"/>
      <c r="GJH5" s="390"/>
      <c r="GJI5" s="390"/>
      <c r="GJJ5" s="390"/>
      <c r="GJK5" s="390"/>
      <c r="GJL5" s="390"/>
      <c r="GJM5" s="390"/>
      <c r="GJN5" s="390"/>
      <c r="GJO5" s="390"/>
      <c r="GJP5" s="390"/>
      <c r="GJQ5" s="390"/>
      <c r="GJR5" s="390"/>
      <c r="GJS5" s="390"/>
      <c r="GJT5" s="390"/>
      <c r="GJU5" s="390"/>
      <c r="GJV5" s="390"/>
      <c r="GJW5" s="390"/>
      <c r="GJX5" s="390"/>
      <c r="GJY5" s="390"/>
      <c r="GJZ5" s="390"/>
      <c r="GKA5" s="390"/>
      <c r="GKB5" s="390"/>
      <c r="GKC5" s="390"/>
      <c r="GKD5" s="390"/>
      <c r="GKE5" s="390"/>
      <c r="GKF5" s="390"/>
      <c r="GKG5" s="390"/>
      <c r="GKH5" s="390"/>
      <c r="GKI5" s="390"/>
      <c r="GKJ5" s="390"/>
      <c r="GKK5" s="390"/>
      <c r="GKL5" s="390"/>
      <c r="GKM5" s="390"/>
      <c r="GKN5" s="390"/>
      <c r="GKO5" s="390"/>
      <c r="GKP5" s="390"/>
      <c r="GKQ5" s="390"/>
      <c r="GKR5" s="390"/>
      <c r="GKS5" s="390"/>
      <c r="GKT5" s="390"/>
      <c r="GKU5" s="390"/>
      <c r="GKV5" s="390"/>
      <c r="GKW5" s="390"/>
      <c r="GKX5" s="390"/>
      <c r="GKY5" s="390"/>
      <c r="GKZ5" s="390"/>
      <c r="GLA5" s="390"/>
      <c r="GLB5" s="390"/>
      <c r="GLC5" s="390"/>
      <c r="GLD5" s="390"/>
      <c r="GLE5" s="390"/>
      <c r="GLF5" s="390"/>
      <c r="GLG5" s="390"/>
      <c r="GLH5" s="390"/>
      <c r="GLI5" s="390"/>
      <c r="GLJ5" s="390"/>
      <c r="GLK5" s="390"/>
      <c r="GLL5" s="390"/>
      <c r="GLM5" s="390"/>
      <c r="GLN5" s="390"/>
      <c r="GLO5" s="390"/>
      <c r="GLP5" s="390"/>
      <c r="GLQ5" s="390"/>
      <c r="GLR5" s="390"/>
      <c r="GLS5" s="390"/>
      <c r="GLT5" s="390"/>
      <c r="GLU5" s="390"/>
      <c r="GLV5" s="390"/>
      <c r="GLW5" s="390"/>
      <c r="GLX5" s="390"/>
      <c r="GLY5" s="390"/>
      <c r="GLZ5" s="390"/>
      <c r="GMA5" s="390"/>
      <c r="GMB5" s="390"/>
      <c r="GMC5" s="390"/>
      <c r="GMD5" s="390"/>
      <c r="GME5" s="390"/>
      <c r="GMF5" s="390"/>
      <c r="GMG5" s="390"/>
      <c r="GMH5" s="390"/>
      <c r="GMI5" s="390"/>
      <c r="GMJ5" s="390"/>
      <c r="GMK5" s="390"/>
      <c r="GML5" s="390"/>
      <c r="GMM5" s="390"/>
      <c r="GMN5" s="390"/>
      <c r="GMO5" s="390"/>
      <c r="GMP5" s="390"/>
      <c r="GMQ5" s="390"/>
      <c r="GMR5" s="390"/>
      <c r="GMS5" s="390"/>
      <c r="GMT5" s="390"/>
      <c r="GMU5" s="390"/>
      <c r="GMV5" s="390"/>
      <c r="GMW5" s="390"/>
      <c r="GMX5" s="390"/>
      <c r="GMY5" s="390"/>
      <c r="GMZ5" s="390"/>
      <c r="GNA5" s="390"/>
      <c r="GNB5" s="390"/>
      <c r="GNC5" s="390"/>
      <c r="GND5" s="390"/>
      <c r="GNE5" s="390"/>
      <c r="GNF5" s="390"/>
      <c r="GNG5" s="390"/>
      <c r="GNH5" s="390"/>
      <c r="GNI5" s="390"/>
      <c r="GNJ5" s="390"/>
      <c r="GNK5" s="390"/>
      <c r="GNL5" s="390"/>
      <c r="GNM5" s="390"/>
      <c r="GNN5" s="390"/>
      <c r="GNO5" s="390"/>
      <c r="GNP5" s="390"/>
      <c r="GNQ5" s="390"/>
      <c r="GNR5" s="390"/>
      <c r="GNS5" s="390"/>
      <c r="GNT5" s="390"/>
      <c r="GNU5" s="390"/>
      <c r="GNV5" s="390"/>
      <c r="GNW5" s="390"/>
      <c r="GNX5" s="390"/>
      <c r="GNY5" s="390"/>
      <c r="GNZ5" s="390"/>
      <c r="GOA5" s="390"/>
      <c r="GOB5" s="390"/>
      <c r="GOC5" s="390"/>
      <c r="GOD5" s="390"/>
      <c r="GOE5" s="390"/>
      <c r="GOF5" s="390"/>
      <c r="GOG5" s="390"/>
      <c r="GOH5" s="390"/>
      <c r="GOI5" s="390"/>
      <c r="GOJ5" s="390"/>
      <c r="GOK5" s="390"/>
      <c r="GOL5" s="390"/>
      <c r="GOM5" s="390"/>
      <c r="GON5" s="390"/>
      <c r="GOO5" s="390"/>
      <c r="GOP5" s="390"/>
      <c r="GOQ5" s="390"/>
      <c r="GOR5" s="390"/>
      <c r="GOS5" s="390"/>
      <c r="GOT5" s="390"/>
      <c r="GOU5" s="390"/>
      <c r="GOV5" s="390"/>
      <c r="GOW5" s="390"/>
      <c r="GOX5" s="390"/>
      <c r="GOY5" s="390"/>
      <c r="GOZ5" s="390"/>
      <c r="GPA5" s="390"/>
      <c r="GPB5" s="390"/>
      <c r="GPC5" s="390"/>
      <c r="GPD5" s="390"/>
      <c r="GPE5" s="390"/>
      <c r="GPF5" s="390"/>
      <c r="GPG5" s="390"/>
      <c r="GPH5" s="390"/>
      <c r="GPI5" s="390"/>
      <c r="GPJ5" s="390"/>
      <c r="GPK5" s="390"/>
      <c r="GPL5" s="390"/>
      <c r="GPM5" s="390"/>
      <c r="GPN5" s="390"/>
      <c r="GPO5" s="390"/>
      <c r="GPP5" s="390"/>
      <c r="GPQ5" s="390"/>
      <c r="GPR5" s="390"/>
      <c r="GPS5" s="390"/>
      <c r="GPT5" s="390"/>
      <c r="GPU5" s="390"/>
      <c r="GPV5" s="390"/>
      <c r="GPW5" s="390"/>
      <c r="GPX5" s="390"/>
      <c r="GPY5" s="390"/>
      <c r="GPZ5" s="390"/>
      <c r="GQA5" s="390"/>
      <c r="GQB5" s="390"/>
      <c r="GQC5" s="390"/>
      <c r="GQD5" s="390"/>
      <c r="GQE5" s="390"/>
      <c r="GQF5" s="390"/>
      <c r="GQG5" s="390"/>
      <c r="GQH5" s="390"/>
      <c r="GQI5" s="390"/>
      <c r="GQJ5" s="390"/>
      <c r="GQK5" s="390"/>
      <c r="GQL5" s="390"/>
      <c r="GQM5" s="390"/>
      <c r="GQN5" s="390"/>
      <c r="GQO5" s="390"/>
      <c r="GQP5" s="390"/>
      <c r="GQQ5" s="390"/>
      <c r="GQR5" s="390"/>
      <c r="GQS5" s="390"/>
      <c r="GQT5" s="390"/>
      <c r="GQU5" s="390"/>
      <c r="GQV5" s="390"/>
      <c r="GQW5" s="390"/>
      <c r="GQX5" s="390"/>
      <c r="GQY5" s="390"/>
      <c r="GQZ5" s="390"/>
      <c r="GRA5" s="390"/>
      <c r="GRB5" s="390"/>
      <c r="GRC5" s="390"/>
      <c r="GRD5" s="390"/>
      <c r="GRE5" s="390"/>
      <c r="GRF5" s="390"/>
      <c r="GRG5" s="390"/>
      <c r="GRH5" s="390"/>
      <c r="GRI5" s="390"/>
      <c r="GRJ5" s="390"/>
      <c r="GRK5" s="390"/>
      <c r="GRL5" s="390"/>
      <c r="GRM5" s="390"/>
      <c r="GRN5" s="390"/>
      <c r="GRO5" s="390"/>
      <c r="GRP5" s="390"/>
      <c r="GRQ5" s="390"/>
      <c r="GRR5" s="390"/>
      <c r="GRS5" s="390"/>
      <c r="GRT5" s="390"/>
      <c r="GRU5" s="390"/>
      <c r="GRV5" s="390"/>
      <c r="GRW5" s="390"/>
      <c r="GRX5" s="390"/>
      <c r="GRY5" s="390"/>
      <c r="GRZ5" s="390"/>
      <c r="GSA5" s="390"/>
      <c r="GSB5" s="390"/>
      <c r="GSC5" s="390"/>
      <c r="GSD5" s="390"/>
      <c r="GSE5" s="390"/>
      <c r="GSF5" s="390"/>
      <c r="GSG5" s="390"/>
      <c r="GSH5" s="390"/>
      <c r="GSI5" s="390"/>
      <c r="GSJ5" s="390"/>
      <c r="GSK5" s="390"/>
      <c r="GSL5" s="390"/>
      <c r="GSM5" s="390"/>
      <c r="GSN5" s="390"/>
      <c r="GSO5" s="390"/>
      <c r="GSP5" s="390"/>
      <c r="GSQ5" s="390"/>
      <c r="GSR5" s="390"/>
      <c r="GSS5" s="390"/>
      <c r="GST5" s="390"/>
      <c r="GSU5" s="390"/>
      <c r="GSV5" s="390"/>
      <c r="GSW5" s="390"/>
      <c r="GSX5" s="390"/>
      <c r="GSY5" s="390"/>
      <c r="GSZ5" s="390"/>
      <c r="GTA5" s="390"/>
      <c r="GTB5" s="390"/>
      <c r="GTC5" s="390"/>
      <c r="GTD5" s="390"/>
      <c r="GTE5" s="390"/>
      <c r="GTF5" s="390"/>
      <c r="GTG5" s="390"/>
      <c r="GTH5" s="390"/>
      <c r="GTI5" s="390"/>
      <c r="GTJ5" s="390"/>
      <c r="GTK5" s="390"/>
      <c r="GTL5" s="390"/>
      <c r="GTM5" s="390"/>
      <c r="GTN5" s="390"/>
      <c r="GTO5" s="390"/>
      <c r="GTP5" s="390"/>
      <c r="GTQ5" s="390"/>
      <c r="GTR5" s="390"/>
      <c r="GTS5" s="390"/>
      <c r="GTT5" s="390"/>
      <c r="GTU5" s="390"/>
      <c r="GTV5" s="390"/>
      <c r="GTW5" s="390"/>
      <c r="GTX5" s="390"/>
      <c r="GTY5" s="390"/>
      <c r="GTZ5" s="390"/>
      <c r="GUA5" s="390"/>
      <c r="GUB5" s="390"/>
      <c r="GUC5" s="390"/>
      <c r="GUD5" s="390"/>
      <c r="GUE5" s="390"/>
      <c r="GUF5" s="390"/>
      <c r="GUG5" s="390"/>
      <c r="GUH5" s="390"/>
      <c r="GUI5" s="390"/>
      <c r="GUJ5" s="390"/>
      <c r="GUK5" s="390"/>
      <c r="GUL5" s="390"/>
      <c r="GUM5" s="390"/>
      <c r="GUN5" s="390"/>
      <c r="GUO5" s="390"/>
      <c r="GUP5" s="390"/>
      <c r="GUQ5" s="390"/>
      <c r="GUR5" s="390"/>
      <c r="GUS5" s="390"/>
      <c r="GUT5" s="390"/>
      <c r="GUU5" s="390"/>
      <c r="GUV5" s="390"/>
      <c r="GUW5" s="390"/>
      <c r="GUX5" s="390"/>
      <c r="GUY5" s="390"/>
      <c r="GUZ5" s="390"/>
      <c r="GVA5" s="390"/>
      <c r="GVB5" s="390"/>
      <c r="GVC5" s="390"/>
      <c r="GVD5" s="390"/>
      <c r="GVE5" s="390"/>
      <c r="GVF5" s="390"/>
      <c r="GVG5" s="390"/>
      <c r="GVH5" s="390"/>
      <c r="GVI5" s="390"/>
      <c r="GVJ5" s="390"/>
      <c r="GVK5" s="390"/>
      <c r="GVL5" s="390"/>
      <c r="GVM5" s="390"/>
      <c r="GVN5" s="390"/>
      <c r="GVO5" s="390"/>
      <c r="GVP5" s="390"/>
      <c r="GVQ5" s="390"/>
      <c r="GVR5" s="390"/>
      <c r="GVS5" s="390"/>
      <c r="GVT5" s="390"/>
      <c r="GVU5" s="390"/>
      <c r="GVV5" s="390"/>
      <c r="GVW5" s="390"/>
      <c r="GVX5" s="390"/>
      <c r="GVY5" s="390"/>
      <c r="GVZ5" s="390"/>
      <c r="GWA5" s="390"/>
      <c r="GWB5" s="390"/>
      <c r="GWC5" s="390"/>
      <c r="GWD5" s="390"/>
      <c r="GWE5" s="390"/>
      <c r="GWF5" s="390"/>
      <c r="GWG5" s="390"/>
      <c r="GWH5" s="390"/>
      <c r="GWI5" s="390"/>
      <c r="GWJ5" s="390"/>
      <c r="GWK5" s="390"/>
      <c r="GWL5" s="390"/>
      <c r="GWM5" s="390"/>
      <c r="GWN5" s="390"/>
      <c r="GWO5" s="390"/>
      <c r="GWP5" s="390"/>
      <c r="GWQ5" s="390"/>
      <c r="GWR5" s="390"/>
      <c r="GWS5" s="390"/>
      <c r="GWT5" s="390"/>
      <c r="GWU5" s="390"/>
      <c r="GWV5" s="390"/>
      <c r="GWW5" s="390"/>
      <c r="GWX5" s="390"/>
      <c r="GWY5" s="390"/>
      <c r="GWZ5" s="390"/>
      <c r="GXA5" s="390"/>
      <c r="GXB5" s="390"/>
      <c r="GXC5" s="390"/>
      <c r="GXD5" s="390"/>
      <c r="GXE5" s="390"/>
      <c r="GXF5" s="390"/>
      <c r="GXG5" s="390"/>
      <c r="GXH5" s="390"/>
      <c r="GXI5" s="390"/>
      <c r="GXJ5" s="390"/>
      <c r="GXK5" s="390"/>
      <c r="GXL5" s="390"/>
      <c r="GXM5" s="390"/>
      <c r="GXN5" s="390"/>
      <c r="GXO5" s="390"/>
      <c r="GXP5" s="390"/>
      <c r="GXQ5" s="390"/>
      <c r="GXR5" s="390"/>
      <c r="GXS5" s="390"/>
      <c r="GXT5" s="390"/>
      <c r="GXU5" s="390"/>
      <c r="GXV5" s="390"/>
      <c r="GXW5" s="390"/>
      <c r="GXX5" s="390"/>
      <c r="GXY5" s="390"/>
      <c r="GXZ5" s="390"/>
      <c r="GYA5" s="390"/>
      <c r="GYB5" s="390"/>
      <c r="GYC5" s="390"/>
      <c r="GYD5" s="390"/>
      <c r="GYE5" s="390"/>
      <c r="GYF5" s="390"/>
      <c r="GYG5" s="390"/>
      <c r="GYH5" s="390"/>
      <c r="GYI5" s="390"/>
      <c r="GYJ5" s="390"/>
      <c r="GYK5" s="390"/>
      <c r="GYL5" s="390"/>
      <c r="GYM5" s="390"/>
      <c r="GYN5" s="390"/>
      <c r="GYO5" s="390"/>
      <c r="GYP5" s="390"/>
      <c r="GYQ5" s="390"/>
      <c r="GYR5" s="390"/>
      <c r="GYS5" s="390"/>
      <c r="GYT5" s="390"/>
      <c r="GYU5" s="390"/>
      <c r="GYV5" s="390"/>
      <c r="GYW5" s="390"/>
      <c r="GYX5" s="390"/>
      <c r="GYY5" s="390"/>
      <c r="GYZ5" s="390"/>
      <c r="GZA5" s="390"/>
      <c r="GZB5" s="390"/>
      <c r="GZC5" s="390"/>
      <c r="GZD5" s="390"/>
      <c r="GZE5" s="390"/>
      <c r="GZF5" s="390"/>
      <c r="GZG5" s="390"/>
      <c r="GZH5" s="390"/>
      <c r="GZI5" s="390"/>
      <c r="GZJ5" s="390"/>
      <c r="GZK5" s="390"/>
      <c r="GZL5" s="390"/>
      <c r="GZM5" s="390"/>
      <c r="GZN5" s="390"/>
      <c r="GZO5" s="390"/>
      <c r="GZP5" s="390"/>
      <c r="GZQ5" s="390"/>
      <c r="GZR5" s="390"/>
      <c r="GZS5" s="390"/>
      <c r="GZT5" s="390"/>
      <c r="GZU5" s="390"/>
      <c r="GZV5" s="390"/>
      <c r="GZW5" s="390"/>
      <c r="GZX5" s="390"/>
      <c r="GZY5" s="390"/>
      <c r="GZZ5" s="390"/>
      <c r="HAA5" s="390"/>
      <c r="HAB5" s="390"/>
      <c r="HAC5" s="390"/>
      <c r="HAD5" s="390"/>
      <c r="HAE5" s="390"/>
      <c r="HAF5" s="390"/>
      <c r="HAG5" s="390"/>
      <c r="HAH5" s="390"/>
      <c r="HAI5" s="390"/>
      <c r="HAJ5" s="390"/>
      <c r="HAK5" s="390"/>
      <c r="HAL5" s="390"/>
      <c r="HAM5" s="390"/>
      <c r="HAN5" s="390"/>
      <c r="HAO5" s="390"/>
      <c r="HAP5" s="390"/>
      <c r="HAQ5" s="390"/>
      <c r="HAR5" s="390"/>
      <c r="HAS5" s="390"/>
      <c r="HAT5" s="390"/>
      <c r="HAU5" s="390"/>
      <c r="HAV5" s="390"/>
      <c r="HAW5" s="390"/>
      <c r="HAX5" s="390"/>
      <c r="HAY5" s="390"/>
      <c r="HAZ5" s="390"/>
      <c r="HBA5" s="390"/>
      <c r="HBB5" s="390"/>
      <c r="HBC5" s="390"/>
      <c r="HBD5" s="390"/>
      <c r="HBE5" s="390"/>
      <c r="HBF5" s="390"/>
      <c r="HBG5" s="390"/>
      <c r="HBH5" s="390"/>
      <c r="HBI5" s="390"/>
      <c r="HBJ5" s="390"/>
      <c r="HBK5" s="390"/>
      <c r="HBL5" s="390"/>
      <c r="HBM5" s="390"/>
      <c r="HBN5" s="390"/>
      <c r="HBO5" s="390"/>
      <c r="HBP5" s="390"/>
      <c r="HBQ5" s="390"/>
      <c r="HBR5" s="390"/>
      <c r="HBS5" s="390"/>
      <c r="HBT5" s="390"/>
      <c r="HBU5" s="390"/>
      <c r="HBV5" s="390"/>
      <c r="HBW5" s="390"/>
      <c r="HBX5" s="390"/>
      <c r="HBY5" s="390"/>
      <c r="HBZ5" s="390"/>
      <c r="HCA5" s="390"/>
      <c r="HCB5" s="390"/>
      <c r="HCC5" s="390"/>
      <c r="HCD5" s="390"/>
      <c r="HCE5" s="390"/>
      <c r="HCF5" s="390"/>
      <c r="HCG5" s="390"/>
      <c r="HCH5" s="390"/>
      <c r="HCI5" s="390"/>
      <c r="HCJ5" s="390"/>
      <c r="HCK5" s="390"/>
      <c r="HCL5" s="390"/>
      <c r="HCM5" s="390"/>
      <c r="HCN5" s="390"/>
      <c r="HCO5" s="390"/>
      <c r="HCP5" s="390"/>
      <c r="HCQ5" s="390"/>
      <c r="HCR5" s="390"/>
      <c r="HCS5" s="390"/>
      <c r="HCT5" s="390"/>
      <c r="HCU5" s="390"/>
      <c r="HCV5" s="390"/>
      <c r="HCW5" s="390"/>
      <c r="HCX5" s="390"/>
      <c r="HCY5" s="390"/>
      <c r="HCZ5" s="390"/>
      <c r="HDA5" s="390"/>
      <c r="HDB5" s="390"/>
      <c r="HDC5" s="390"/>
      <c r="HDD5" s="390"/>
      <c r="HDE5" s="390"/>
      <c r="HDF5" s="390"/>
      <c r="HDG5" s="390"/>
      <c r="HDH5" s="390"/>
      <c r="HDI5" s="390"/>
      <c r="HDJ5" s="390"/>
      <c r="HDK5" s="390"/>
      <c r="HDL5" s="390"/>
      <c r="HDM5" s="390"/>
      <c r="HDN5" s="390"/>
      <c r="HDO5" s="390"/>
      <c r="HDP5" s="390"/>
      <c r="HDQ5" s="390"/>
      <c r="HDR5" s="390"/>
      <c r="HDS5" s="390"/>
      <c r="HDT5" s="390"/>
      <c r="HDU5" s="390"/>
      <c r="HDV5" s="390"/>
      <c r="HDW5" s="390"/>
      <c r="HDX5" s="390"/>
      <c r="HDY5" s="390"/>
      <c r="HDZ5" s="390"/>
      <c r="HEA5" s="390"/>
      <c r="HEB5" s="390"/>
      <c r="HEC5" s="390"/>
      <c r="HED5" s="390"/>
      <c r="HEE5" s="390"/>
      <c r="HEF5" s="390"/>
      <c r="HEG5" s="390"/>
      <c r="HEH5" s="390"/>
      <c r="HEI5" s="390"/>
      <c r="HEJ5" s="390"/>
      <c r="HEK5" s="390"/>
      <c r="HEL5" s="390"/>
      <c r="HEM5" s="390"/>
      <c r="HEN5" s="390"/>
      <c r="HEO5" s="390"/>
      <c r="HEP5" s="390"/>
      <c r="HEQ5" s="390"/>
      <c r="HER5" s="390"/>
      <c r="HES5" s="390"/>
      <c r="HET5" s="390"/>
      <c r="HEU5" s="390"/>
      <c r="HEV5" s="390"/>
      <c r="HEW5" s="390"/>
      <c r="HEX5" s="390"/>
      <c r="HEY5" s="390"/>
      <c r="HEZ5" s="390"/>
      <c r="HFA5" s="390"/>
      <c r="HFB5" s="390"/>
      <c r="HFC5" s="390"/>
      <c r="HFD5" s="390"/>
      <c r="HFE5" s="390"/>
      <c r="HFF5" s="390"/>
      <c r="HFG5" s="390"/>
      <c r="HFH5" s="390"/>
      <c r="HFI5" s="390"/>
      <c r="HFJ5" s="390"/>
      <c r="HFK5" s="390"/>
      <c r="HFL5" s="390"/>
      <c r="HFM5" s="390"/>
      <c r="HFN5" s="390"/>
      <c r="HFO5" s="390"/>
      <c r="HFP5" s="390"/>
      <c r="HFQ5" s="390"/>
      <c r="HFR5" s="390"/>
      <c r="HFS5" s="390"/>
      <c r="HFT5" s="390"/>
      <c r="HFU5" s="390"/>
      <c r="HFV5" s="390"/>
      <c r="HFW5" s="390"/>
      <c r="HFX5" s="390"/>
      <c r="HFY5" s="390"/>
      <c r="HFZ5" s="390"/>
      <c r="HGA5" s="390"/>
      <c r="HGB5" s="390"/>
      <c r="HGC5" s="390"/>
      <c r="HGD5" s="390"/>
      <c r="HGE5" s="390"/>
      <c r="HGF5" s="390"/>
      <c r="HGG5" s="390"/>
      <c r="HGH5" s="390"/>
      <c r="HGI5" s="390"/>
      <c r="HGJ5" s="390"/>
      <c r="HGK5" s="390"/>
      <c r="HGL5" s="390"/>
      <c r="HGM5" s="390"/>
      <c r="HGN5" s="390"/>
      <c r="HGO5" s="390"/>
      <c r="HGP5" s="390"/>
      <c r="HGQ5" s="390"/>
      <c r="HGR5" s="390"/>
      <c r="HGS5" s="390"/>
      <c r="HGT5" s="390"/>
      <c r="HGU5" s="390"/>
      <c r="HGV5" s="390"/>
      <c r="HGW5" s="390"/>
      <c r="HGX5" s="390"/>
      <c r="HGY5" s="390"/>
      <c r="HGZ5" s="390"/>
      <c r="HHA5" s="390"/>
      <c r="HHB5" s="390"/>
      <c r="HHC5" s="390"/>
      <c r="HHD5" s="390"/>
      <c r="HHE5" s="390"/>
      <c r="HHF5" s="390"/>
      <c r="HHG5" s="390"/>
      <c r="HHH5" s="390"/>
      <c r="HHI5" s="390"/>
      <c r="HHJ5" s="390"/>
      <c r="HHK5" s="390"/>
      <c r="HHL5" s="390"/>
      <c r="HHM5" s="390"/>
      <c r="HHN5" s="390"/>
      <c r="HHO5" s="390"/>
      <c r="HHP5" s="390"/>
      <c r="HHQ5" s="390"/>
      <c r="HHR5" s="390"/>
      <c r="HHS5" s="390"/>
      <c r="HHT5" s="390"/>
      <c r="HHU5" s="390"/>
      <c r="HHV5" s="390"/>
      <c r="HHW5" s="390"/>
      <c r="HHX5" s="390"/>
      <c r="HHY5" s="390"/>
      <c r="HHZ5" s="390"/>
      <c r="HIA5" s="390"/>
      <c r="HIB5" s="390"/>
      <c r="HIC5" s="390"/>
      <c r="HID5" s="390"/>
      <c r="HIE5" s="390"/>
      <c r="HIF5" s="390"/>
      <c r="HIG5" s="390"/>
      <c r="HIH5" s="390"/>
      <c r="HII5" s="390"/>
      <c r="HIJ5" s="390"/>
      <c r="HIK5" s="390"/>
      <c r="HIL5" s="390"/>
      <c r="HIM5" s="390"/>
      <c r="HIN5" s="390"/>
      <c r="HIO5" s="390"/>
      <c r="HIP5" s="390"/>
      <c r="HIQ5" s="390"/>
      <c r="HIR5" s="390"/>
      <c r="HIS5" s="390"/>
      <c r="HIT5" s="390"/>
      <c r="HIU5" s="390"/>
      <c r="HIV5" s="390"/>
      <c r="HIW5" s="390"/>
      <c r="HIX5" s="390"/>
      <c r="HIY5" s="390"/>
      <c r="HIZ5" s="390"/>
      <c r="HJA5" s="390"/>
      <c r="HJB5" s="390"/>
      <c r="HJC5" s="390"/>
      <c r="HJD5" s="390"/>
      <c r="HJE5" s="390"/>
      <c r="HJF5" s="390"/>
      <c r="HJG5" s="390"/>
      <c r="HJH5" s="390"/>
      <c r="HJI5" s="390"/>
      <c r="HJJ5" s="390"/>
      <c r="HJK5" s="390"/>
      <c r="HJL5" s="390"/>
      <c r="HJM5" s="390"/>
      <c r="HJN5" s="390"/>
      <c r="HJO5" s="390"/>
      <c r="HJP5" s="390"/>
      <c r="HJQ5" s="390"/>
      <c r="HJR5" s="390"/>
      <c r="HJS5" s="390"/>
      <c r="HJT5" s="390"/>
      <c r="HJU5" s="390"/>
      <c r="HJV5" s="390"/>
      <c r="HJW5" s="390"/>
      <c r="HJX5" s="390"/>
      <c r="HJY5" s="390"/>
      <c r="HJZ5" s="390"/>
      <c r="HKA5" s="390"/>
      <c r="HKB5" s="390"/>
      <c r="HKC5" s="390"/>
      <c r="HKD5" s="390"/>
      <c r="HKE5" s="390"/>
      <c r="HKF5" s="390"/>
      <c r="HKG5" s="390"/>
      <c r="HKH5" s="390"/>
      <c r="HKI5" s="390"/>
      <c r="HKJ5" s="390"/>
      <c r="HKK5" s="390"/>
      <c r="HKL5" s="390"/>
      <c r="HKM5" s="390"/>
      <c r="HKN5" s="390"/>
      <c r="HKO5" s="390"/>
      <c r="HKP5" s="390"/>
      <c r="HKQ5" s="390"/>
      <c r="HKR5" s="390"/>
      <c r="HKS5" s="390"/>
      <c r="HKT5" s="390"/>
      <c r="HKU5" s="390"/>
      <c r="HKV5" s="390"/>
      <c r="HKW5" s="390"/>
      <c r="HKX5" s="390"/>
      <c r="HKY5" s="390"/>
      <c r="HKZ5" s="390"/>
      <c r="HLA5" s="390"/>
      <c r="HLB5" s="390"/>
      <c r="HLC5" s="390"/>
      <c r="HLD5" s="390"/>
      <c r="HLE5" s="390"/>
      <c r="HLF5" s="390"/>
      <c r="HLG5" s="390"/>
      <c r="HLH5" s="390"/>
      <c r="HLI5" s="390"/>
      <c r="HLJ5" s="390"/>
      <c r="HLK5" s="390"/>
      <c r="HLL5" s="390"/>
      <c r="HLM5" s="390"/>
      <c r="HLN5" s="390"/>
      <c r="HLO5" s="390"/>
      <c r="HLP5" s="390"/>
      <c r="HLQ5" s="390"/>
      <c r="HLR5" s="390"/>
      <c r="HLS5" s="390"/>
      <c r="HLT5" s="390"/>
      <c r="HLU5" s="390"/>
      <c r="HLV5" s="390"/>
      <c r="HLW5" s="390"/>
      <c r="HLX5" s="390"/>
      <c r="HLY5" s="390"/>
      <c r="HLZ5" s="390"/>
      <c r="HMA5" s="390"/>
      <c r="HMB5" s="390"/>
      <c r="HMC5" s="390"/>
      <c r="HMD5" s="390"/>
      <c r="HME5" s="390"/>
      <c r="HMF5" s="390"/>
      <c r="HMG5" s="390"/>
      <c r="HMH5" s="390"/>
      <c r="HMI5" s="390"/>
      <c r="HMJ5" s="390"/>
      <c r="HMK5" s="390"/>
      <c r="HML5" s="390"/>
      <c r="HMM5" s="390"/>
      <c r="HMN5" s="390"/>
      <c r="HMO5" s="390"/>
      <c r="HMP5" s="390"/>
      <c r="HMQ5" s="390"/>
      <c r="HMR5" s="390"/>
      <c r="HMS5" s="390"/>
      <c r="HMT5" s="390"/>
      <c r="HMU5" s="390"/>
      <c r="HMV5" s="390"/>
      <c r="HMW5" s="390"/>
      <c r="HMX5" s="390"/>
      <c r="HMY5" s="390"/>
      <c r="HMZ5" s="390"/>
      <c r="HNA5" s="390"/>
      <c r="HNB5" s="390"/>
      <c r="HNC5" s="390"/>
      <c r="HND5" s="390"/>
      <c r="HNE5" s="390"/>
      <c r="HNF5" s="390"/>
      <c r="HNG5" s="390"/>
      <c r="HNH5" s="390"/>
      <c r="HNI5" s="390"/>
      <c r="HNJ5" s="390"/>
      <c r="HNK5" s="390"/>
      <c r="HNL5" s="390"/>
      <c r="HNM5" s="390"/>
      <c r="HNN5" s="390"/>
      <c r="HNO5" s="390"/>
      <c r="HNP5" s="390"/>
      <c r="HNQ5" s="390"/>
      <c r="HNR5" s="390"/>
      <c r="HNS5" s="390"/>
      <c r="HNT5" s="390"/>
      <c r="HNU5" s="390"/>
      <c r="HNV5" s="390"/>
      <c r="HNW5" s="390"/>
      <c r="HNX5" s="390"/>
      <c r="HNY5" s="390"/>
      <c r="HNZ5" s="390"/>
      <c r="HOA5" s="390"/>
      <c r="HOB5" s="390"/>
      <c r="HOC5" s="390"/>
      <c r="HOD5" s="390"/>
      <c r="HOE5" s="390"/>
      <c r="HOF5" s="390"/>
      <c r="HOG5" s="390"/>
      <c r="HOH5" s="390"/>
      <c r="HOI5" s="390"/>
      <c r="HOJ5" s="390"/>
      <c r="HOK5" s="390"/>
      <c r="HOL5" s="390"/>
      <c r="HOM5" s="390"/>
      <c r="HON5" s="390"/>
      <c r="HOO5" s="390"/>
      <c r="HOP5" s="390"/>
      <c r="HOQ5" s="390"/>
      <c r="HOR5" s="390"/>
      <c r="HOS5" s="390"/>
      <c r="HOT5" s="390"/>
      <c r="HOU5" s="390"/>
      <c r="HOV5" s="390"/>
      <c r="HOW5" s="390"/>
      <c r="HOX5" s="390"/>
      <c r="HOY5" s="390"/>
      <c r="HOZ5" s="390"/>
      <c r="HPA5" s="390"/>
      <c r="HPB5" s="390"/>
      <c r="HPC5" s="390"/>
      <c r="HPD5" s="390"/>
      <c r="HPE5" s="390"/>
      <c r="HPF5" s="390"/>
      <c r="HPG5" s="390"/>
      <c r="HPH5" s="390"/>
      <c r="HPI5" s="390"/>
      <c r="HPJ5" s="390"/>
      <c r="HPK5" s="390"/>
      <c r="HPL5" s="390"/>
      <c r="HPM5" s="390"/>
      <c r="HPN5" s="390"/>
      <c r="HPO5" s="390"/>
      <c r="HPP5" s="390"/>
      <c r="HPQ5" s="390"/>
      <c r="HPR5" s="390"/>
      <c r="HPS5" s="390"/>
      <c r="HPT5" s="390"/>
      <c r="HPU5" s="390"/>
      <c r="HPV5" s="390"/>
      <c r="HPW5" s="390"/>
      <c r="HPX5" s="390"/>
      <c r="HPY5" s="390"/>
      <c r="HPZ5" s="390"/>
      <c r="HQA5" s="390"/>
      <c r="HQB5" s="390"/>
      <c r="HQC5" s="390"/>
      <c r="HQD5" s="390"/>
      <c r="HQE5" s="390"/>
      <c r="HQF5" s="390"/>
      <c r="HQG5" s="390"/>
      <c r="HQH5" s="390"/>
      <c r="HQI5" s="390"/>
      <c r="HQJ5" s="390"/>
      <c r="HQK5" s="390"/>
      <c r="HQL5" s="390"/>
      <c r="HQM5" s="390"/>
      <c r="HQN5" s="390"/>
      <c r="HQO5" s="390"/>
      <c r="HQP5" s="390"/>
      <c r="HQQ5" s="390"/>
      <c r="HQR5" s="390"/>
      <c r="HQS5" s="390"/>
      <c r="HQT5" s="390"/>
      <c r="HQU5" s="390"/>
      <c r="HQV5" s="390"/>
      <c r="HQW5" s="390"/>
      <c r="HQX5" s="390"/>
      <c r="HQY5" s="390"/>
      <c r="HQZ5" s="390"/>
      <c r="HRA5" s="390"/>
      <c r="HRB5" s="390"/>
      <c r="HRC5" s="390"/>
      <c r="HRD5" s="390"/>
      <c r="HRE5" s="390"/>
      <c r="HRF5" s="390"/>
      <c r="HRG5" s="390"/>
      <c r="HRH5" s="390"/>
      <c r="HRI5" s="390"/>
      <c r="HRJ5" s="390"/>
      <c r="HRK5" s="390"/>
      <c r="HRL5" s="390"/>
      <c r="HRM5" s="390"/>
      <c r="HRN5" s="390"/>
      <c r="HRO5" s="390"/>
      <c r="HRP5" s="390"/>
      <c r="HRQ5" s="390"/>
      <c r="HRR5" s="390"/>
      <c r="HRS5" s="390"/>
      <c r="HRT5" s="390"/>
      <c r="HRU5" s="390"/>
      <c r="HRV5" s="390"/>
      <c r="HRW5" s="390"/>
      <c r="HRX5" s="390"/>
      <c r="HRY5" s="390"/>
      <c r="HRZ5" s="390"/>
      <c r="HSA5" s="390"/>
      <c r="HSB5" s="390"/>
      <c r="HSC5" s="390"/>
      <c r="HSD5" s="390"/>
      <c r="HSE5" s="390"/>
      <c r="HSF5" s="390"/>
      <c r="HSG5" s="390"/>
      <c r="HSH5" s="390"/>
      <c r="HSI5" s="390"/>
      <c r="HSJ5" s="390"/>
      <c r="HSK5" s="390"/>
      <c r="HSL5" s="390"/>
      <c r="HSM5" s="390"/>
      <c r="HSN5" s="390"/>
      <c r="HSO5" s="390"/>
      <c r="HSP5" s="390"/>
      <c r="HSQ5" s="390"/>
      <c r="HSR5" s="390"/>
      <c r="HSS5" s="390"/>
      <c r="HST5" s="390"/>
      <c r="HSU5" s="390"/>
      <c r="HSV5" s="390"/>
      <c r="HSW5" s="390"/>
      <c r="HSX5" s="390"/>
      <c r="HSY5" s="390"/>
      <c r="HSZ5" s="390"/>
      <c r="HTA5" s="390"/>
      <c r="HTB5" s="390"/>
      <c r="HTC5" s="390"/>
      <c r="HTD5" s="390"/>
      <c r="HTE5" s="390"/>
      <c r="HTF5" s="390"/>
      <c r="HTG5" s="390"/>
      <c r="HTH5" s="390"/>
      <c r="HTI5" s="390"/>
      <c r="HTJ5" s="390"/>
      <c r="HTK5" s="390"/>
      <c r="HTL5" s="390"/>
      <c r="HTM5" s="390"/>
      <c r="HTN5" s="390"/>
      <c r="HTO5" s="390"/>
      <c r="HTP5" s="390"/>
      <c r="HTQ5" s="390"/>
      <c r="HTR5" s="390"/>
      <c r="HTS5" s="390"/>
      <c r="HTT5" s="390"/>
      <c r="HTU5" s="390"/>
      <c r="HTV5" s="390"/>
      <c r="HTW5" s="390"/>
      <c r="HTX5" s="390"/>
      <c r="HTY5" s="390"/>
      <c r="HTZ5" s="390"/>
      <c r="HUA5" s="390"/>
      <c r="HUB5" s="390"/>
      <c r="HUC5" s="390"/>
      <c r="HUD5" s="390"/>
      <c r="HUE5" s="390"/>
      <c r="HUF5" s="390"/>
      <c r="HUG5" s="390"/>
      <c r="HUH5" s="390"/>
      <c r="HUI5" s="390"/>
      <c r="HUJ5" s="390"/>
      <c r="HUK5" s="390"/>
      <c r="HUL5" s="390"/>
      <c r="HUM5" s="390"/>
      <c r="HUN5" s="390"/>
      <c r="HUO5" s="390"/>
      <c r="HUP5" s="390"/>
      <c r="HUQ5" s="390"/>
      <c r="HUR5" s="390"/>
      <c r="HUS5" s="390"/>
      <c r="HUT5" s="390"/>
      <c r="HUU5" s="390"/>
      <c r="HUV5" s="390"/>
      <c r="HUW5" s="390"/>
      <c r="HUX5" s="390"/>
      <c r="HUY5" s="390"/>
      <c r="HUZ5" s="390"/>
      <c r="HVA5" s="390"/>
      <c r="HVB5" s="390"/>
      <c r="HVC5" s="390"/>
      <c r="HVD5" s="390"/>
      <c r="HVE5" s="390"/>
      <c r="HVF5" s="390"/>
      <c r="HVG5" s="390"/>
      <c r="HVH5" s="390"/>
      <c r="HVI5" s="390"/>
      <c r="HVJ5" s="390"/>
      <c r="HVK5" s="390"/>
      <c r="HVL5" s="390"/>
      <c r="HVM5" s="390"/>
      <c r="HVN5" s="390"/>
      <c r="HVO5" s="390"/>
      <c r="HVP5" s="390"/>
      <c r="HVQ5" s="390"/>
      <c r="HVR5" s="390"/>
      <c r="HVS5" s="390"/>
      <c r="HVT5" s="390"/>
      <c r="HVU5" s="390"/>
      <c r="HVV5" s="390"/>
      <c r="HVW5" s="390"/>
      <c r="HVX5" s="390"/>
      <c r="HVY5" s="390"/>
      <c r="HVZ5" s="390"/>
      <c r="HWA5" s="390"/>
      <c r="HWB5" s="390"/>
      <c r="HWC5" s="390"/>
      <c r="HWD5" s="390"/>
      <c r="HWE5" s="390"/>
      <c r="HWF5" s="390"/>
      <c r="HWG5" s="390"/>
      <c r="HWH5" s="390"/>
      <c r="HWI5" s="390"/>
      <c r="HWJ5" s="390"/>
      <c r="HWK5" s="390"/>
      <c r="HWL5" s="390"/>
      <c r="HWM5" s="390"/>
      <c r="HWN5" s="390"/>
      <c r="HWO5" s="390"/>
      <c r="HWP5" s="390"/>
      <c r="HWQ5" s="390"/>
      <c r="HWR5" s="390"/>
      <c r="HWS5" s="390"/>
      <c r="HWT5" s="390"/>
      <c r="HWU5" s="390"/>
      <c r="HWV5" s="390"/>
      <c r="HWW5" s="390"/>
      <c r="HWX5" s="390"/>
      <c r="HWY5" s="390"/>
      <c r="HWZ5" s="390"/>
      <c r="HXA5" s="390"/>
      <c r="HXB5" s="390"/>
      <c r="HXC5" s="390"/>
      <c r="HXD5" s="390"/>
      <c r="HXE5" s="390"/>
      <c r="HXF5" s="390"/>
      <c r="HXG5" s="390"/>
      <c r="HXH5" s="390"/>
      <c r="HXI5" s="390"/>
      <c r="HXJ5" s="390"/>
      <c r="HXK5" s="390"/>
      <c r="HXL5" s="390"/>
      <c r="HXM5" s="390"/>
      <c r="HXN5" s="390"/>
      <c r="HXO5" s="390"/>
      <c r="HXP5" s="390"/>
      <c r="HXQ5" s="390"/>
      <c r="HXR5" s="390"/>
      <c r="HXS5" s="390"/>
      <c r="HXT5" s="390"/>
      <c r="HXU5" s="390"/>
      <c r="HXV5" s="390"/>
      <c r="HXW5" s="390"/>
      <c r="HXX5" s="390"/>
      <c r="HXY5" s="390"/>
      <c r="HXZ5" s="390"/>
      <c r="HYA5" s="390"/>
      <c r="HYB5" s="390"/>
      <c r="HYC5" s="390"/>
      <c r="HYD5" s="390"/>
      <c r="HYE5" s="390"/>
      <c r="HYF5" s="390"/>
      <c r="HYG5" s="390"/>
      <c r="HYH5" s="390"/>
      <c r="HYI5" s="390"/>
      <c r="HYJ5" s="390"/>
      <c r="HYK5" s="390"/>
      <c r="HYL5" s="390"/>
      <c r="HYM5" s="390"/>
      <c r="HYN5" s="390"/>
      <c r="HYO5" s="390"/>
      <c r="HYP5" s="390"/>
      <c r="HYQ5" s="390"/>
      <c r="HYR5" s="390"/>
      <c r="HYS5" s="390"/>
      <c r="HYT5" s="390"/>
      <c r="HYU5" s="390"/>
      <c r="HYV5" s="390"/>
      <c r="HYW5" s="390"/>
      <c r="HYX5" s="390"/>
      <c r="HYY5" s="390"/>
      <c r="HYZ5" s="390"/>
      <c r="HZA5" s="390"/>
      <c r="HZB5" s="390"/>
      <c r="HZC5" s="390"/>
      <c r="HZD5" s="390"/>
      <c r="HZE5" s="390"/>
      <c r="HZF5" s="390"/>
      <c r="HZG5" s="390"/>
      <c r="HZH5" s="390"/>
      <c r="HZI5" s="390"/>
      <c r="HZJ5" s="390"/>
      <c r="HZK5" s="390"/>
      <c r="HZL5" s="390"/>
      <c r="HZM5" s="390"/>
      <c r="HZN5" s="390"/>
      <c r="HZO5" s="390"/>
      <c r="HZP5" s="390"/>
      <c r="HZQ5" s="390"/>
      <c r="HZR5" s="390"/>
      <c r="HZS5" s="390"/>
      <c r="HZT5" s="390"/>
      <c r="HZU5" s="390"/>
      <c r="HZV5" s="390"/>
      <c r="HZW5" s="390"/>
      <c r="HZX5" s="390"/>
      <c r="HZY5" s="390"/>
      <c r="HZZ5" s="390"/>
      <c r="IAA5" s="390"/>
      <c r="IAB5" s="390"/>
      <c r="IAC5" s="390"/>
      <c r="IAD5" s="390"/>
      <c r="IAE5" s="390"/>
      <c r="IAF5" s="390"/>
      <c r="IAG5" s="390"/>
      <c r="IAH5" s="390"/>
      <c r="IAI5" s="390"/>
      <c r="IAJ5" s="390"/>
      <c r="IAK5" s="390"/>
      <c r="IAL5" s="390"/>
      <c r="IAM5" s="390"/>
      <c r="IAN5" s="390"/>
      <c r="IAO5" s="390"/>
      <c r="IAP5" s="390"/>
      <c r="IAQ5" s="390"/>
      <c r="IAR5" s="390"/>
      <c r="IAS5" s="390"/>
      <c r="IAT5" s="390"/>
      <c r="IAU5" s="390"/>
      <c r="IAV5" s="390"/>
      <c r="IAW5" s="390"/>
      <c r="IAX5" s="390"/>
      <c r="IAY5" s="390"/>
      <c r="IAZ5" s="390"/>
      <c r="IBA5" s="390"/>
      <c r="IBB5" s="390"/>
      <c r="IBC5" s="390"/>
      <c r="IBD5" s="390"/>
      <c r="IBE5" s="390"/>
      <c r="IBF5" s="390"/>
      <c r="IBG5" s="390"/>
      <c r="IBH5" s="390"/>
      <c r="IBI5" s="390"/>
      <c r="IBJ5" s="390"/>
      <c r="IBK5" s="390"/>
      <c r="IBL5" s="390"/>
      <c r="IBM5" s="390"/>
      <c r="IBN5" s="390"/>
      <c r="IBO5" s="390"/>
      <c r="IBP5" s="390"/>
      <c r="IBQ5" s="390"/>
      <c r="IBR5" s="390"/>
      <c r="IBS5" s="390"/>
      <c r="IBT5" s="390"/>
      <c r="IBU5" s="390"/>
      <c r="IBV5" s="390"/>
      <c r="IBW5" s="390"/>
      <c r="IBX5" s="390"/>
      <c r="IBY5" s="390"/>
      <c r="IBZ5" s="390"/>
      <c r="ICA5" s="390"/>
      <c r="ICB5" s="390"/>
      <c r="ICC5" s="390"/>
      <c r="ICD5" s="390"/>
      <c r="ICE5" s="390"/>
      <c r="ICF5" s="390"/>
      <c r="ICG5" s="390"/>
      <c r="ICH5" s="390"/>
      <c r="ICI5" s="390"/>
      <c r="ICJ5" s="390"/>
      <c r="ICK5" s="390"/>
      <c r="ICL5" s="390"/>
      <c r="ICM5" s="390"/>
      <c r="ICN5" s="390"/>
      <c r="ICO5" s="390"/>
      <c r="ICP5" s="390"/>
      <c r="ICQ5" s="390"/>
      <c r="ICR5" s="390"/>
      <c r="ICS5" s="390"/>
      <c r="ICT5" s="390"/>
      <c r="ICU5" s="390"/>
      <c r="ICV5" s="390"/>
      <c r="ICW5" s="390"/>
      <c r="ICX5" s="390"/>
      <c r="ICY5" s="390"/>
      <c r="ICZ5" s="390"/>
      <c r="IDA5" s="390"/>
      <c r="IDB5" s="390"/>
      <c r="IDC5" s="390"/>
      <c r="IDD5" s="390"/>
      <c r="IDE5" s="390"/>
      <c r="IDF5" s="390"/>
      <c r="IDG5" s="390"/>
      <c r="IDH5" s="390"/>
      <c r="IDI5" s="390"/>
      <c r="IDJ5" s="390"/>
      <c r="IDK5" s="390"/>
      <c r="IDL5" s="390"/>
      <c r="IDM5" s="390"/>
      <c r="IDN5" s="390"/>
      <c r="IDO5" s="390"/>
      <c r="IDP5" s="390"/>
      <c r="IDQ5" s="390"/>
      <c r="IDR5" s="390"/>
      <c r="IDS5" s="390"/>
      <c r="IDT5" s="390"/>
      <c r="IDU5" s="390"/>
      <c r="IDV5" s="390"/>
      <c r="IDW5" s="390"/>
      <c r="IDX5" s="390"/>
      <c r="IDY5" s="390"/>
      <c r="IDZ5" s="390"/>
      <c r="IEA5" s="390"/>
      <c r="IEB5" s="390"/>
      <c r="IEC5" s="390"/>
      <c r="IED5" s="390"/>
      <c r="IEE5" s="390"/>
      <c r="IEF5" s="390"/>
      <c r="IEG5" s="390"/>
      <c r="IEH5" s="390"/>
      <c r="IEI5" s="390"/>
      <c r="IEJ5" s="390"/>
      <c r="IEK5" s="390"/>
      <c r="IEL5" s="390"/>
      <c r="IEM5" s="390"/>
      <c r="IEN5" s="390"/>
      <c r="IEO5" s="390"/>
      <c r="IEP5" s="390"/>
      <c r="IEQ5" s="390"/>
      <c r="IER5" s="390"/>
      <c r="IES5" s="390"/>
      <c r="IET5" s="390"/>
      <c r="IEU5" s="390"/>
      <c r="IEV5" s="390"/>
      <c r="IEW5" s="390"/>
      <c r="IEX5" s="390"/>
      <c r="IEY5" s="390"/>
      <c r="IEZ5" s="390"/>
      <c r="IFA5" s="390"/>
      <c r="IFB5" s="390"/>
      <c r="IFC5" s="390"/>
      <c r="IFD5" s="390"/>
      <c r="IFE5" s="390"/>
      <c r="IFF5" s="390"/>
      <c r="IFG5" s="390"/>
      <c r="IFH5" s="390"/>
      <c r="IFI5" s="390"/>
      <c r="IFJ5" s="390"/>
      <c r="IFK5" s="390"/>
      <c r="IFL5" s="390"/>
      <c r="IFM5" s="390"/>
      <c r="IFN5" s="390"/>
      <c r="IFO5" s="390"/>
      <c r="IFP5" s="390"/>
      <c r="IFQ5" s="390"/>
      <c r="IFR5" s="390"/>
      <c r="IFS5" s="390"/>
      <c r="IFT5" s="390"/>
      <c r="IFU5" s="390"/>
      <c r="IFV5" s="390"/>
      <c r="IFW5" s="390"/>
      <c r="IFX5" s="390"/>
      <c r="IFY5" s="390"/>
      <c r="IFZ5" s="390"/>
      <c r="IGA5" s="390"/>
      <c r="IGB5" s="390"/>
      <c r="IGC5" s="390"/>
      <c r="IGD5" s="390"/>
      <c r="IGE5" s="390"/>
      <c r="IGF5" s="390"/>
      <c r="IGG5" s="390"/>
      <c r="IGH5" s="390"/>
      <c r="IGI5" s="390"/>
      <c r="IGJ5" s="390"/>
      <c r="IGK5" s="390"/>
      <c r="IGL5" s="390"/>
      <c r="IGM5" s="390"/>
      <c r="IGN5" s="390"/>
      <c r="IGO5" s="390"/>
      <c r="IGP5" s="390"/>
      <c r="IGQ5" s="390"/>
      <c r="IGR5" s="390"/>
      <c r="IGS5" s="390"/>
      <c r="IGT5" s="390"/>
      <c r="IGU5" s="390"/>
      <c r="IGV5" s="390"/>
      <c r="IGW5" s="390"/>
      <c r="IGX5" s="390"/>
      <c r="IGY5" s="390"/>
      <c r="IGZ5" s="390"/>
      <c r="IHA5" s="390"/>
      <c r="IHB5" s="390"/>
      <c r="IHC5" s="390"/>
      <c r="IHD5" s="390"/>
      <c r="IHE5" s="390"/>
      <c r="IHF5" s="390"/>
      <c r="IHG5" s="390"/>
      <c r="IHH5" s="390"/>
      <c r="IHI5" s="390"/>
      <c r="IHJ5" s="390"/>
      <c r="IHK5" s="390"/>
      <c r="IHL5" s="390"/>
      <c r="IHM5" s="390"/>
      <c r="IHN5" s="390"/>
      <c r="IHO5" s="390"/>
      <c r="IHP5" s="390"/>
      <c r="IHQ5" s="390"/>
      <c r="IHR5" s="390"/>
      <c r="IHS5" s="390"/>
      <c r="IHT5" s="390"/>
      <c r="IHU5" s="390"/>
      <c r="IHV5" s="390"/>
      <c r="IHW5" s="390"/>
      <c r="IHX5" s="390"/>
      <c r="IHY5" s="390"/>
      <c r="IHZ5" s="390"/>
      <c r="IIA5" s="390"/>
      <c r="IIB5" s="390"/>
      <c r="IIC5" s="390"/>
      <c r="IID5" s="390"/>
      <c r="IIE5" s="390"/>
      <c r="IIF5" s="390"/>
      <c r="IIG5" s="390"/>
      <c r="IIH5" s="390"/>
      <c r="III5" s="390"/>
      <c r="IIJ5" s="390"/>
      <c r="IIK5" s="390"/>
      <c r="IIL5" s="390"/>
      <c r="IIM5" s="390"/>
      <c r="IIN5" s="390"/>
      <c r="IIO5" s="390"/>
      <c r="IIP5" s="390"/>
      <c r="IIQ5" s="390"/>
      <c r="IIR5" s="390"/>
      <c r="IIS5" s="390"/>
      <c r="IIT5" s="390"/>
      <c r="IIU5" s="390"/>
      <c r="IIV5" s="390"/>
      <c r="IIW5" s="390"/>
      <c r="IIX5" s="390"/>
      <c r="IIY5" s="390"/>
      <c r="IIZ5" s="390"/>
      <c r="IJA5" s="390"/>
      <c r="IJB5" s="390"/>
      <c r="IJC5" s="390"/>
      <c r="IJD5" s="390"/>
      <c r="IJE5" s="390"/>
      <c r="IJF5" s="390"/>
      <c r="IJG5" s="390"/>
      <c r="IJH5" s="390"/>
      <c r="IJI5" s="390"/>
      <c r="IJJ5" s="390"/>
      <c r="IJK5" s="390"/>
      <c r="IJL5" s="390"/>
      <c r="IJM5" s="390"/>
      <c r="IJN5" s="390"/>
      <c r="IJO5" s="390"/>
      <c r="IJP5" s="390"/>
      <c r="IJQ5" s="390"/>
      <c r="IJR5" s="390"/>
      <c r="IJS5" s="390"/>
      <c r="IJT5" s="390"/>
      <c r="IJU5" s="390"/>
      <c r="IJV5" s="390"/>
      <c r="IJW5" s="390"/>
      <c r="IJX5" s="390"/>
      <c r="IJY5" s="390"/>
      <c r="IJZ5" s="390"/>
      <c r="IKA5" s="390"/>
      <c r="IKB5" s="390"/>
      <c r="IKC5" s="390"/>
      <c r="IKD5" s="390"/>
      <c r="IKE5" s="390"/>
      <c r="IKF5" s="390"/>
      <c r="IKG5" s="390"/>
      <c r="IKH5" s="390"/>
      <c r="IKI5" s="390"/>
      <c r="IKJ5" s="390"/>
      <c r="IKK5" s="390"/>
      <c r="IKL5" s="390"/>
      <c r="IKM5" s="390"/>
      <c r="IKN5" s="390"/>
      <c r="IKO5" s="390"/>
      <c r="IKP5" s="390"/>
      <c r="IKQ5" s="390"/>
      <c r="IKR5" s="390"/>
      <c r="IKS5" s="390"/>
      <c r="IKT5" s="390"/>
      <c r="IKU5" s="390"/>
      <c r="IKV5" s="390"/>
      <c r="IKW5" s="390"/>
      <c r="IKX5" s="390"/>
      <c r="IKY5" s="390"/>
      <c r="IKZ5" s="390"/>
      <c r="ILA5" s="390"/>
      <c r="ILB5" s="390"/>
      <c r="ILC5" s="390"/>
      <c r="ILD5" s="390"/>
      <c r="ILE5" s="390"/>
      <c r="ILF5" s="390"/>
      <c r="ILG5" s="390"/>
      <c r="ILH5" s="390"/>
      <c r="ILI5" s="390"/>
      <c r="ILJ5" s="390"/>
      <c r="ILK5" s="390"/>
      <c r="ILL5" s="390"/>
      <c r="ILM5" s="390"/>
      <c r="ILN5" s="390"/>
      <c r="ILO5" s="390"/>
      <c r="ILP5" s="390"/>
      <c r="ILQ5" s="390"/>
      <c r="ILR5" s="390"/>
      <c r="ILS5" s="390"/>
      <c r="ILT5" s="390"/>
      <c r="ILU5" s="390"/>
      <c r="ILV5" s="390"/>
      <c r="ILW5" s="390"/>
      <c r="ILX5" s="390"/>
      <c r="ILY5" s="390"/>
      <c r="ILZ5" s="390"/>
      <c r="IMA5" s="390"/>
      <c r="IMB5" s="390"/>
      <c r="IMC5" s="390"/>
      <c r="IMD5" s="390"/>
      <c r="IME5" s="390"/>
      <c r="IMF5" s="390"/>
      <c r="IMG5" s="390"/>
      <c r="IMH5" s="390"/>
      <c r="IMI5" s="390"/>
      <c r="IMJ5" s="390"/>
      <c r="IMK5" s="390"/>
      <c r="IML5" s="390"/>
      <c r="IMM5" s="390"/>
      <c r="IMN5" s="390"/>
      <c r="IMO5" s="390"/>
      <c r="IMP5" s="390"/>
      <c r="IMQ5" s="390"/>
      <c r="IMR5" s="390"/>
      <c r="IMS5" s="390"/>
      <c r="IMT5" s="390"/>
      <c r="IMU5" s="390"/>
      <c r="IMV5" s="390"/>
      <c r="IMW5" s="390"/>
      <c r="IMX5" s="390"/>
      <c r="IMY5" s="390"/>
      <c r="IMZ5" s="390"/>
      <c r="INA5" s="390"/>
      <c r="INB5" s="390"/>
      <c r="INC5" s="390"/>
      <c r="IND5" s="390"/>
      <c r="INE5" s="390"/>
      <c r="INF5" s="390"/>
      <c r="ING5" s="390"/>
      <c r="INH5" s="390"/>
      <c r="INI5" s="390"/>
      <c r="INJ5" s="390"/>
      <c r="INK5" s="390"/>
      <c r="INL5" s="390"/>
      <c r="INM5" s="390"/>
      <c r="INN5" s="390"/>
      <c r="INO5" s="390"/>
      <c r="INP5" s="390"/>
      <c r="INQ5" s="390"/>
      <c r="INR5" s="390"/>
      <c r="INS5" s="390"/>
      <c r="INT5" s="390"/>
      <c r="INU5" s="390"/>
      <c r="INV5" s="390"/>
      <c r="INW5" s="390"/>
      <c r="INX5" s="390"/>
      <c r="INY5" s="390"/>
      <c r="INZ5" s="390"/>
      <c r="IOA5" s="390"/>
      <c r="IOB5" s="390"/>
      <c r="IOC5" s="390"/>
      <c r="IOD5" s="390"/>
      <c r="IOE5" s="390"/>
      <c r="IOF5" s="390"/>
      <c r="IOG5" s="390"/>
      <c r="IOH5" s="390"/>
      <c r="IOI5" s="390"/>
      <c r="IOJ5" s="390"/>
      <c r="IOK5" s="390"/>
      <c r="IOL5" s="390"/>
      <c r="IOM5" s="390"/>
      <c r="ION5" s="390"/>
      <c r="IOO5" s="390"/>
      <c r="IOP5" s="390"/>
      <c r="IOQ5" s="390"/>
      <c r="IOR5" s="390"/>
      <c r="IOS5" s="390"/>
      <c r="IOT5" s="390"/>
      <c r="IOU5" s="390"/>
      <c r="IOV5" s="390"/>
      <c r="IOW5" s="390"/>
      <c r="IOX5" s="390"/>
      <c r="IOY5" s="390"/>
      <c r="IOZ5" s="390"/>
      <c r="IPA5" s="390"/>
      <c r="IPB5" s="390"/>
      <c r="IPC5" s="390"/>
      <c r="IPD5" s="390"/>
      <c r="IPE5" s="390"/>
      <c r="IPF5" s="390"/>
      <c r="IPG5" s="390"/>
      <c r="IPH5" s="390"/>
      <c r="IPI5" s="390"/>
      <c r="IPJ5" s="390"/>
      <c r="IPK5" s="390"/>
      <c r="IPL5" s="390"/>
      <c r="IPM5" s="390"/>
      <c r="IPN5" s="390"/>
      <c r="IPO5" s="390"/>
      <c r="IPP5" s="390"/>
      <c r="IPQ5" s="390"/>
      <c r="IPR5" s="390"/>
      <c r="IPS5" s="390"/>
      <c r="IPT5" s="390"/>
      <c r="IPU5" s="390"/>
      <c r="IPV5" s="390"/>
      <c r="IPW5" s="390"/>
      <c r="IPX5" s="390"/>
      <c r="IPY5" s="390"/>
      <c r="IPZ5" s="390"/>
      <c r="IQA5" s="390"/>
      <c r="IQB5" s="390"/>
      <c r="IQC5" s="390"/>
      <c r="IQD5" s="390"/>
      <c r="IQE5" s="390"/>
      <c r="IQF5" s="390"/>
      <c r="IQG5" s="390"/>
      <c r="IQH5" s="390"/>
      <c r="IQI5" s="390"/>
      <c r="IQJ5" s="390"/>
      <c r="IQK5" s="390"/>
      <c r="IQL5" s="390"/>
      <c r="IQM5" s="390"/>
      <c r="IQN5" s="390"/>
      <c r="IQO5" s="390"/>
      <c r="IQP5" s="390"/>
      <c r="IQQ5" s="390"/>
      <c r="IQR5" s="390"/>
      <c r="IQS5" s="390"/>
      <c r="IQT5" s="390"/>
      <c r="IQU5" s="390"/>
      <c r="IQV5" s="390"/>
      <c r="IQW5" s="390"/>
      <c r="IQX5" s="390"/>
      <c r="IQY5" s="390"/>
      <c r="IQZ5" s="390"/>
      <c r="IRA5" s="390"/>
      <c r="IRB5" s="390"/>
      <c r="IRC5" s="390"/>
      <c r="IRD5" s="390"/>
      <c r="IRE5" s="390"/>
      <c r="IRF5" s="390"/>
      <c r="IRG5" s="390"/>
      <c r="IRH5" s="390"/>
      <c r="IRI5" s="390"/>
      <c r="IRJ5" s="390"/>
      <c r="IRK5" s="390"/>
      <c r="IRL5" s="390"/>
      <c r="IRM5" s="390"/>
      <c r="IRN5" s="390"/>
      <c r="IRO5" s="390"/>
      <c r="IRP5" s="390"/>
      <c r="IRQ5" s="390"/>
      <c r="IRR5" s="390"/>
      <c r="IRS5" s="390"/>
      <c r="IRT5" s="390"/>
      <c r="IRU5" s="390"/>
      <c r="IRV5" s="390"/>
      <c r="IRW5" s="390"/>
      <c r="IRX5" s="390"/>
      <c r="IRY5" s="390"/>
      <c r="IRZ5" s="390"/>
      <c r="ISA5" s="390"/>
      <c r="ISB5" s="390"/>
      <c r="ISC5" s="390"/>
      <c r="ISD5" s="390"/>
      <c r="ISE5" s="390"/>
      <c r="ISF5" s="390"/>
      <c r="ISG5" s="390"/>
      <c r="ISH5" s="390"/>
      <c r="ISI5" s="390"/>
      <c r="ISJ5" s="390"/>
      <c r="ISK5" s="390"/>
      <c r="ISL5" s="390"/>
      <c r="ISM5" s="390"/>
      <c r="ISN5" s="390"/>
      <c r="ISO5" s="390"/>
      <c r="ISP5" s="390"/>
      <c r="ISQ5" s="390"/>
      <c r="ISR5" s="390"/>
      <c r="ISS5" s="390"/>
      <c r="IST5" s="390"/>
      <c r="ISU5" s="390"/>
      <c r="ISV5" s="390"/>
      <c r="ISW5" s="390"/>
      <c r="ISX5" s="390"/>
      <c r="ISY5" s="390"/>
      <c r="ISZ5" s="390"/>
      <c r="ITA5" s="390"/>
      <c r="ITB5" s="390"/>
      <c r="ITC5" s="390"/>
      <c r="ITD5" s="390"/>
      <c r="ITE5" s="390"/>
      <c r="ITF5" s="390"/>
      <c r="ITG5" s="390"/>
      <c r="ITH5" s="390"/>
      <c r="ITI5" s="390"/>
      <c r="ITJ5" s="390"/>
      <c r="ITK5" s="390"/>
      <c r="ITL5" s="390"/>
      <c r="ITM5" s="390"/>
      <c r="ITN5" s="390"/>
      <c r="ITO5" s="390"/>
      <c r="ITP5" s="390"/>
      <c r="ITQ5" s="390"/>
      <c r="ITR5" s="390"/>
      <c r="ITS5" s="390"/>
      <c r="ITT5" s="390"/>
      <c r="ITU5" s="390"/>
      <c r="ITV5" s="390"/>
      <c r="ITW5" s="390"/>
      <c r="ITX5" s="390"/>
      <c r="ITY5" s="390"/>
      <c r="ITZ5" s="390"/>
      <c r="IUA5" s="390"/>
      <c r="IUB5" s="390"/>
      <c r="IUC5" s="390"/>
      <c r="IUD5" s="390"/>
      <c r="IUE5" s="390"/>
      <c r="IUF5" s="390"/>
      <c r="IUG5" s="390"/>
      <c r="IUH5" s="390"/>
      <c r="IUI5" s="390"/>
      <c r="IUJ5" s="390"/>
      <c r="IUK5" s="390"/>
      <c r="IUL5" s="390"/>
      <c r="IUM5" s="390"/>
      <c r="IUN5" s="390"/>
      <c r="IUO5" s="390"/>
      <c r="IUP5" s="390"/>
      <c r="IUQ5" s="390"/>
      <c r="IUR5" s="390"/>
      <c r="IUS5" s="390"/>
      <c r="IUT5" s="390"/>
      <c r="IUU5" s="390"/>
      <c r="IUV5" s="390"/>
      <c r="IUW5" s="390"/>
      <c r="IUX5" s="390"/>
      <c r="IUY5" s="390"/>
      <c r="IUZ5" s="390"/>
      <c r="IVA5" s="390"/>
      <c r="IVB5" s="390"/>
      <c r="IVC5" s="390"/>
      <c r="IVD5" s="390"/>
      <c r="IVE5" s="390"/>
      <c r="IVF5" s="390"/>
      <c r="IVG5" s="390"/>
      <c r="IVH5" s="390"/>
      <c r="IVI5" s="390"/>
      <c r="IVJ5" s="390"/>
      <c r="IVK5" s="390"/>
      <c r="IVL5" s="390"/>
      <c r="IVM5" s="390"/>
      <c r="IVN5" s="390"/>
      <c r="IVO5" s="390"/>
      <c r="IVP5" s="390"/>
      <c r="IVQ5" s="390"/>
      <c r="IVR5" s="390"/>
      <c r="IVS5" s="390"/>
      <c r="IVT5" s="390"/>
      <c r="IVU5" s="390"/>
      <c r="IVV5" s="390"/>
      <c r="IVW5" s="390"/>
      <c r="IVX5" s="390"/>
      <c r="IVY5" s="390"/>
      <c r="IVZ5" s="390"/>
      <c r="IWA5" s="390"/>
      <c r="IWB5" s="390"/>
      <c r="IWC5" s="390"/>
      <c r="IWD5" s="390"/>
      <c r="IWE5" s="390"/>
      <c r="IWF5" s="390"/>
      <c r="IWG5" s="390"/>
      <c r="IWH5" s="390"/>
      <c r="IWI5" s="390"/>
      <c r="IWJ5" s="390"/>
      <c r="IWK5" s="390"/>
      <c r="IWL5" s="390"/>
      <c r="IWM5" s="390"/>
      <c r="IWN5" s="390"/>
      <c r="IWO5" s="390"/>
      <c r="IWP5" s="390"/>
      <c r="IWQ5" s="390"/>
      <c r="IWR5" s="390"/>
      <c r="IWS5" s="390"/>
      <c r="IWT5" s="390"/>
      <c r="IWU5" s="390"/>
      <c r="IWV5" s="390"/>
      <c r="IWW5" s="390"/>
      <c r="IWX5" s="390"/>
      <c r="IWY5" s="390"/>
      <c r="IWZ5" s="390"/>
      <c r="IXA5" s="390"/>
      <c r="IXB5" s="390"/>
      <c r="IXC5" s="390"/>
      <c r="IXD5" s="390"/>
      <c r="IXE5" s="390"/>
      <c r="IXF5" s="390"/>
      <c r="IXG5" s="390"/>
      <c r="IXH5" s="390"/>
      <c r="IXI5" s="390"/>
      <c r="IXJ5" s="390"/>
      <c r="IXK5" s="390"/>
      <c r="IXL5" s="390"/>
      <c r="IXM5" s="390"/>
      <c r="IXN5" s="390"/>
      <c r="IXO5" s="390"/>
      <c r="IXP5" s="390"/>
      <c r="IXQ5" s="390"/>
      <c r="IXR5" s="390"/>
      <c r="IXS5" s="390"/>
      <c r="IXT5" s="390"/>
      <c r="IXU5" s="390"/>
      <c r="IXV5" s="390"/>
      <c r="IXW5" s="390"/>
      <c r="IXX5" s="390"/>
      <c r="IXY5" s="390"/>
      <c r="IXZ5" s="390"/>
      <c r="IYA5" s="390"/>
      <c r="IYB5" s="390"/>
      <c r="IYC5" s="390"/>
      <c r="IYD5" s="390"/>
      <c r="IYE5" s="390"/>
      <c r="IYF5" s="390"/>
      <c r="IYG5" s="390"/>
      <c r="IYH5" s="390"/>
      <c r="IYI5" s="390"/>
      <c r="IYJ5" s="390"/>
      <c r="IYK5" s="390"/>
      <c r="IYL5" s="390"/>
      <c r="IYM5" s="390"/>
      <c r="IYN5" s="390"/>
      <c r="IYO5" s="390"/>
      <c r="IYP5" s="390"/>
      <c r="IYQ5" s="390"/>
      <c r="IYR5" s="390"/>
      <c r="IYS5" s="390"/>
      <c r="IYT5" s="390"/>
      <c r="IYU5" s="390"/>
      <c r="IYV5" s="390"/>
      <c r="IYW5" s="390"/>
      <c r="IYX5" s="390"/>
      <c r="IYY5" s="390"/>
      <c r="IYZ5" s="390"/>
      <c r="IZA5" s="390"/>
      <c r="IZB5" s="390"/>
      <c r="IZC5" s="390"/>
      <c r="IZD5" s="390"/>
      <c r="IZE5" s="390"/>
      <c r="IZF5" s="390"/>
      <c r="IZG5" s="390"/>
      <c r="IZH5" s="390"/>
      <c r="IZI5" s="390"/>
      <c r="IZJ5" s="390"/>
      <c r="IZK5" s="390"/>
      <c r="IZL5" s="390"/>
      <c r="IZM5" s="390"/>
      <c r="IZN5" s="390"/>
      <c r="IZO5" s="390"/>
      <c r="IZP5" s="390"/>
      <c r="IZQ5" s="390"/>
      <c r="IZR5" s="390"/>
      <c r="IZS5" s="390"/>
      <c r="IZT5" s="390"/>
      <c r="IZU5" s="390"/>
      <c r="IZV5" s="390"/>
      <c r="IZW5" s="390"/>
      <c r="IZX5" s="390"/>
      <c r="IZY5" s="390"/>
      <c r="IZZ5" s="390"/>
      <c r="JAA5" s="390"/>
      <c r="JAB5" s="390"/>
      <c r="JAC5" s="390"/>
      <c r="JAD5" s="390"/>
      <c r="JAE5" s="390"/>
      <c r="JAF5" s="390"/>
      <c r="JAG5" s="390"/>
      <c r="JAH5" s="390"/>
      <c r="JAI5" s="390"/>
      <c r="JAJ5" s="390"/>
      <c r="JAK5" s="390"/>
      <c r="JAL5" s="390"/>
      <c r="JAM5" s="390"/>
      <c r="JAN5" s="390"/>
      <c r="JAO5" s="390"/>
      <c r="JAP5" s="390"/>
      <c r="JAQ5" s="390"/>
      <c r="JAR5" s="390"/>
      <c r="JAS5" s="390"/>
      <c r="JAT5" s="390"/>
      <c r="JAU5" s="390"/>
      <c r="JAV5" s="390"/>
      <c r="JAW5" s="390"/>
      <c r="JAX5" s="390"/>
      <c r="JAY5" s="390"/>
      <c r="JAZ5" s="390"/>
      <c r="JBA5" s="390"/>
      <c r="JBB5" s="390"/>
      <c r="JBC5" s="390"/>
      <c r="JBD5" s="390"/>
      <c r="JBE5" s="390"/>
      <c r="JBF5" s="390"/>
      <c r="JBG5" s="390"/>
      <c r="JBH5" s="390"/>
      <c r="JBI5" s="390"/>
      <c r="JBJ5" s="390"/>
      <c r="JBK5" s="390"/>
      <c r="JBL5" s="390"/>
      <c r="JBM5" s="390"/>
      <c r="JBN5" s="390"/>
      <c r="JBO5" s="390"/>
      <c r="JBP5" s="390"/>
      <c r="JBQ5" s="390"/>
      <c r="JBR5" s="390"/>
      <c r="JBS5" s="390"/>
      <c r="JBT5" s="390"/>
      <c r="JBU5" s="390"/>
      <c r="JBV5" s="390"/>
      <c r="JBW5" s="390"/>
      <c r="JBX5" s="390"/>
      <c r="JBY5" s="390"/>
      <c r="JBZ5" s="390"/>
      <c r="JCA5" s="390"/>
      <c r="JCB5" s="390"/>
      <c r="JCC5" s="390"/>
      <c r="JCD5" s="390"/>
      <c r="JCE5" s="390"/>
      <c r="JCF5" s="390"/>
      <c r="JCG5" s="390"/>
      <c r="JCH5" s="390"/>
      <c r="JCI5" s="390"/>
      <c r="JCJ5" s="390"/>
      <c r="JCK5" s="390"/>
      <c r="JCL5" s="390"/>
      <c r="JCM5" s="390"/>
      <c r="JCN5" s="390"/>
      <c r="JCO5" s="390"/>
      <c r="JCP5" s="390"/>
      <c r="JCQ5" s="390"/>
      <c r="JCR5" s="390"/>
      <c r="JCS5" s="390"/>
      <c r="JCT5" s="390"/>
      <c r="JCU5" s="390"/>
      <c r="JCV5" s="390"/>
      <c r="JCW5" s="390"/>
      <c r="JCX5" s="390"/>
      <c r="JCY5" s="390"/>
      <c r="JCZ5" s="390"/>
      <c r="JDA5" s="390"/>
      <c r="JDB5" s="390"/>
      <c r="JDC5" s="390"/>
      <c r="JDD5" s="390"/>
      <c r="JDE5" s="390"/>
      <c r="JDF5" s="390"/>
      <c r="JDG5" s="390"/>
      <c r="JDH5" s="390"/>
      <c r="JDI5" s="390"/>
      <c r="JDJ5" s="390"/>
      <c r="JDK5" s="390"/>
      <c r="JDL5" s="390"/>
      <c r="JDM5" s="390"/>
      <c r="JDN5" s="390"/>
      <c r="JDO5" s="390"/>
      <c r="JDP5" s="390"/>
      <c r="JDQ5" s="390"/>
      <c r="JDR5" s="390"/>
      <c r="JDS5" s="390"/>
      <c r="JDT5" s="390"/>
      <c r="JDU5" s="390"/>
      <c r="JDV5" s="390"/>
      <c r="JDW5" s="390"/>
      <c r="JDX5" s="390"/>
      <c r="JDY5" s="390"/>
      <c r="JDZ5" s="390"/>
      <c r="JEA5" s="390"/>
      <c r="JEB5" s="390"/>
      <c r="JEC5" s="390"/>
      <c r="JED5" s="390"/>
      <c r="JEE5" s="390"/>
      <c r="JEF5" s="390"/>
      <c r="JEG5" s="390"/>
      <c r="JEH5" s="390"/>
      <c r="JEI5" s="390"/>
      <c r="JEJ5" s="390"/>
      <c r="JEK5" s="390"/>
      <c r="JEL5" s="390"/>
      <c r="JEM5" s="390"/>
      <c r="JEN5" s="390"/>
      <c r="JEO5" s="390"/>
      <c r="JEP5" s="390"/>
      <c r="JEQ5" s="390"/>
      <c r="JER5" s="390"/>
      <c r="JES5" s="390"/>
      <c r="JET5" s="390"/>
      <c r="JEU5" s="390"/>
      <c r="JEV5" s="390"/>
      <c r="JEW5" s="390"/>
      <c r="JEX5" s="390"/>
      <c r="JEY5" s="390"/>
      <c r="JEZ5" s="390"/>
      <c r="JFA5" s="390"/>
      <c r="JFB5" s="390"/>
      <c r="JFC5" s="390"/>
      <c r="JFD5" s="390"/>
      <c r="JFE5" s="390"/>
      <c r="JFF5" s="390"/>
      <c r="JFG5" s="390"/>
      <c r="JFH5" s="390"/>
      <c r="JFI5" s="390"/>
      <c r="JFJ5" s="390"/>
      <c r="JFK5" s="390"/>
      <c r="JFL5" s="390"/>
      <c r="JFM5" s="390"/>
      <c r="JFN5" s="390"/>
      <c r="JFO5" s="390"/>
      <c r="JFP5" s="390"/>
      <c r="JFQ5" s="390"/>
      <c r="JFR5" s="390"/>
      <c r="JFS5" s="390"/>
      <c r="JFT5" s="390"/>
      <c r="JFU5" s="390"/>
      <c r="JFV5" s="390"/>
      <c r="JFW5" s="390"/>
      <c r="JFX5" s="390"/>
      <c r="JFY5" s="390"/>
      <c r="JFZ5" s="390"/>
      <c r="JGA5" s="390"/>
      <c r="JGB5" s="390"/>
      <c r="JGC5" s="390"/>
      <c r="JGD5" s="390"/>
      <c r="JGE5" s="390"/>
      <c r="JGF5" s="390"/>
      <c r="JGG5" s="390"/>
      <c r="JGH5" s="390"/>
      <c r="JGI5" s="390"/>
      <c r="JGJ5" s="390"/>
      <c r="JGK5" s="390"/>
      <c r="JGL5" s="390"/>
      <c r="JGM5" s="390"/>
      <c r="JGN5" s="390"/>
      <c r="JGO5" s="390"/>
      <c r="JGP5" s="390"/>
      <c r="JGQ5" s="390"/>
      <c r="JGR5" s="390"/>
      <c r="JGS5" s="390"/>
      <c r="JGT5" s="390"/>
      <c r="JGU5" s="390"/>
      <c r="JGV5" s="390"/>
      <c r="JGW5" s="390"/>
      <c r="JGX5" s="390"/>
      <c r="JGY5" s="390"/>
      <c r="JGZ5" s="390"/>
      <c r="JHA5" s="390"/>
      <c r="JHB5" s="390"/>
      <c r="JHC5" s="390"/>
      <c r="JHD5" s="390"/>
      <c r="JHE5" s="390"/>
      <c r="JHF5" s="390"/>
      <c r="JHG5" s="390"/>
      <c r="JHH5" s="390"/>
      <c r="JHI5" s="390"/>
      <c r="JHJ5" s="390"/>
      <c r="JHK5" s="390"/>
      <c r="JHL5" s="390"/>
      <c r="JHM5" s="390"/>
      <c r="JHN5" s="390"/>
      <c r="JHO5" s="390"/>
      <c r="JHP5" s="390"/>
      <c r="JHQ5" s="390"/>
      <c r="JHR5" s="390"/>
      <c r="JHS5" s="390"/>
      <c r="JHT5" s="390"/>
      <c r="JHU5" s="390"/>
      <c r="JHV5" s="390"/>
      <c r="JHW5" s="390"/>
      <c r="JHX5" s="390"/>
      <c r="JHY5" s="390"/>
      <c r="JHZ5" s="390"/>
      <c r="JIA5" s="390"/>
      <c r="JIB5" s="390"/>
      <c r="JIC5" s="390"/>
      <c r="JID5" s="390"/>
      <c r="JIE5" s="390"/>
      <c r="JIF5" s="390"/>
      <c r="JIG5" s="390"/>
      <c r="JIH5" s="390"/>
      <c r="JII5" s="390"/>
      <c r="JIJ5" s="390"/>
      <c r="JIK5" s="390"/>
      <c r="JIL5" s="390"/>
      <c r="JIM5" s="390"/>
      <c r="JIN5" s="390"/>
      <c r="JIO5" s="390"/>
      <c r="JIP5" s="390"/>
      <c r="JIQ5" s="390"/>
      <c r="JIR5" s="390"/>
      <c r="JIS5" s="390"/>
      <c r="JIT5" s="390"/>
      <c r="JIU5" s="390"/>
      <c r="JIV5" s="390"/>
      <c r="JIW5" s="390"/>
      <c r="JIX5" s="390"/>
      <c r="JIY5" s="390"/>
      <c r="JIZ5" s="390"/>
      <c r="JJA5" s="390"/>
      <c r="JJB5" s="390"/>
      <c r="JJC5" s="390"/>
      <c r="JJD5" s="390"/>
      <c r="JJE5" s="390"/>
      <c r="JJF5" s="390"/>
      <c r="JJG5" s="390"/>
      <c r="JJH5" s="390"/>
      <c r="JJI5" s="390"/>
      <c r="JJJ5" s="390"/>
      <c r="JJK5" s="390"/>
      <c r="JJL5" s="390"/>
      <c r="JJM5" s="390"/>
      <c r="JJN5" s="390"/>
      <c r="JJO5" s="390"/>
      <c r="JJP5" s="390"/>
      <c r="JJQ5" s="390"/>
      <c r="JJR5" s="390"/>
      <c r="JJS5" s="390"/>
      <c r="JJT5" s="390"/>
      <c r="JJU5" s="390"/>
      <c r="JJV5" s="390"/>
      <c r="JJW5" s="390"/>
      <c r="JJX5" s="390"/>
      <c r="JJY5" s="390"/>
      <c r="JJZ5" s="390"/>
      <c r="JKA5" s="390"/>
      <c r="JKB5" s="390"/>
      <c r="JKC5" s="390"/>
      <c r="JKD5" s="390"/>
      <c r="JKE5" s="390"/>
      <c r="JKF5" s="390"/>
      <c r="JKG5" s="390"/>
      <c r="JKH5" s="390"/>
      <c r="JKI5" s="390"/>
      <c r="JKJ5" s="390"/>
      <c r="JKK5" s="390"/>
      <c r="JKL5" s="390"/>
      <c r="JKM5" s="390"/>
      <c r="JKN5" s="390"/>
      <c r="JKO5" s="390"/>
      <c r="JKP5" s="390"/>
      <c r="JKQ5" s="390"/>
      <c r="JKR5" s="390"/>
      <c r="JKS5" s="390"/>
      <c r="JKT5" s="390"/>
      <c r="JKU5" s="390"/>
      <c r="JKV5" s="390"/>
      <c r="JKW5" s="390"/>
      <c r="JKX5" s="390"/>
      <c r="JKY5" s="390"/>
      <c r="JKZ5" s="390"/>
      <c r="JLA5" s="390"/>
      <c r="JLB5" s="390"/>
      <c r="JLC5" s="390"/>
      <c r="JLD5" s="390"/>
      <c r="JLE5" s="390"/>
      <c r="JLF5" s="390"/>
      <c r="JLG5" s="390"/>
      <c r="JLH5" s="390"/>
      <c r="JLI5" s="390"/>
      <c r="JLJ5" s="390"/>
      <c r="JLK5" s="390"/>
      <c r="JLL5" s="390"/>
      <c r="JLM5" s="390"/>
      <c r="JLN5" s="390"/>
      <c r="JLO5" s="390"/>
      <c r="JLP5" s="390"/>
      <c r="JLQ5" s="390"/>
      <c r="JLR5" s="390"/>
      <c r="JLS5" s="390"/>
      <c r="JLT5" s="390"/>
      <c r="JLU5" s="390"/>
      <c r="JLV5" s="390"/>
      <c r="JLW5" s="390"/>
      <c r="JLX5" s="390"/>
      <c r="JLY5" s="390"/>
      <c r="JLZ5" s="390"/>
      <c r="JMA5" s="390"/>
      <c r="JMB5" s="390"/>
      <c r="JMC5" s="390"/>
      <c r="JMD5" s="390"/>
      <c r="JME5" s="390"/>
      <c r="JMF5" s="390"/>
      <c r="JMG5" s="390"/>
      <c r="JMH5" s="390"/>
      <c r="JMI5" s="390"/>
      <c r="JMJ5" s="390"/>
      <c r="JMK5" s="390"/>
      <c r="JML5" s="390"/>
      <c r="JMM5" s="390"/>
      <c r="JMN5" s="390"/>
      <c r="JMO5" s="390"/>
      <c r="JMP5" s="390"/>
      <c r="JMQ5" s="390"/>
      <c r="JMR5" s="390"/>
      <c r="JMS5" s="390"/>
      <c r="JMT5" s="390"/>
      <c r="JMU5" s="390"/>
      <c r="JMV5" s="390"/>
      <c r="JMW5" s="390"/>
      <c r="JMX5" s="390"/>
      <c r="JMY5" s="390"/>
      <c r="JMZ5" s="390"/>
      <c r="JNA5" s="390"/>
      <c r="JNB5" s="390"/>
      <c r="JNC5" s="390"/>
      <c r="JND5" s="390"/>
      <c r="JNE5" s="390"/>
      <c r="JNF5" s="390"/>
      <c r="JNG5" s="390"/>
      <c r="JNH5" s="390"/>
      <c r="JNI5" s="390"/>
      <c r="JNJ5" s="390"/>
      <c r="JNK5" s="390"/>
      <c r="JNL5" s="390"/>
      <c r="JNM5" s="390"/>
      <c r="JNN5" s="390"/>
      <c r="JNO5" s="390"/>
      <c r="JNP5" s="390"/>
      <c r="JNQ5" s="390"/>
      <c r="JNR5" s="390"/>
      <c r="JNS5" s="390"/>
      <c r="JNT5" s="390"/>
      <c r="JNU5" s="390"/>
      <c r="JNV5" s="390"/>
      <c r="JNW5" s="390"/>
      <c r="JNX5" s="390"/>
      <c r="JNY5" s="390"/>
      <c r="JNZ5" s="390"/>
      <c r="JOA5" s="390"/>
      <c r="JOB5" s="390"/>
      <c r="JOC5" s="390"/>
      <c r="JOD5" s="390"/>
      <c r="JOE5" s="390"/>
      <c r="JOF5" s="390"/>
      <c r="JOG5" s="390"/>
      <c r="JOH5" s="390"/>
      <c r="JOI5" s="390"/>
      <c r="JOJ5" s="390"/>
      <c r="JOK5" s="390"/>
      <c r="JOL5" s="390"/>
      <c r="JOM5" s="390"/>
      <c r="JON5" s="390"/>
      <c r="JOO5" s="390"/>
      <c r="JOP5" s="390"/>
      <c r="JOQ5" s="390"/>
      <c r="JOR5" s="390"/>
      <c r="JOS5" s="390"/>
      <c r="JOT5" s="390"/>
      <c r="JOU5" s="390"/>
      <c r="JOV5" s="390"/>
      <c r="JOW5" s="390"/>
      <c r="JOX5" s="390"/>
      <c r="JOY5" s="390"/>
      <c r="JOZ5" s="390"/>
      <c r="JPA5" s="390"/>
      <c r="JPB5" s="390"/>
      <c r="JPC5" s="390"/>
      <c r="JPD5" s="390"/>
      <c r="JPE5" s="390"/>
      <c r="JPF5" s="390"/>
      <c r="JPG5" s="390"/>
      <c r="JPH5" s="390"/>
      <c r="JPI5" s="390"/>
      <c r="JPJ5" s="390"/>
      <c r="JPK5" s="390"/>
      <c r="JPL5" s="390"/>
      <c r="JPM5" s="390"/>
      <c r="JPN5" s="390"/>
      <c r="JPO5" s="390"/>
      <c r="JPP5" s="390"/>
      <c r="JPQ5" s="390"/>
      <c r="JPR5" s="390"/>
      <c r="JPS5" s="390"/>
      <c r="JPT5" s="390"/>
      <c r="JPU5" s="390"/>
      <c r="JPV5" s="390"/>
      <c r="JPW5" s="390"/>
      <c r="JPX5" s="390"/>
      <c r="JPY5" s="390"/>
      <c r="JPZ5" s="390"/>
      <c r="JQA5" s="390"/>
      <c r="JQB5" s="390"/>
      <c r="JQC5" s="390"/>
      <c r="JQD5" s="390"/>
      <c r="JQE5" s="390"/>
      <c r="JQF5" s="390"/>
      <c r="JQG5" s="390"/>
      <c r="JQH5" s="390"/>
      <c r="JQI5" s="390"/>
      <c r="JQJ5" s="390"/>
      <c r="JQK5" s="390"/>
      <c r="JQL5" s="390"/>
      <c r="JQM5" s="390"/>
      <c r="JQN5" s="390"/>
      <c r="JQO5" s="390"/>
      <c r="JQP5" s="390"/>
      <c r="JQQ5" s="390"/>
      <c r="JQR5" s="390"/>
      <c r="JQS5" s="390"/>
      <c r="JQT5" s="390"/>
      <c r="JQU5" s="390"/>
      <c r="JQV5" s="390"/>
      <c r="JQW5" s="390"/>
      <c r="JQX5" s="390"/>
      <c r="JQY5" s="390"/>
      <c r="JQZ5" s="390"/>
      <c r="JRA5" s="390"/>
      <c r="JRB5" s="390"/>
      <c r="JRC5" s="390"/>
      <c r="JRD5" s="390"/>
      <c r="JRE5" s="390"/>
      <c r="JRF5" s="390"/>
      <c r="JRG5" s="390"/>
      <c r="JRH5" s="390"/>
      <c r="JRI5" s="390"/>
      <c r="JRJ5" s="390"/>
      <c r="JRK5" s="390"/>
      <c r="JRL5" s="390"/>
      <c r="JRM5" s="390"/>
      <c r="JRN5" s="390"/>
      <c r="JRO5" s="390"/>
      <c r="JRP5" s="390"/>
      <c r="JRQ5" s="390"/>
      <c r="JRR5" s="390"/>
      <c r="JRS5" s="390"/>
      <c r="JRT5" s="390"/>
      <c r="JRU5" s="390"/>
      <c r="JRV5" s="390"/>
      <c r="JRW5" s="390"/>
      <c r="JRX5" s="390"/>
      <c r="JRY5" s="390"/>
      <c r="JRZ5" s="390"/>
      <c r="JSA5" s="390"/>
      <c r="JSB5" s="390"/>
      <c r="JSC5" s="390"/>
      <c r="JSD5" s="390"/>
      <c r="JSE5" s="390"/>
      <c r="JSF5" s="390"/>
      <c r="JSG5" s="390"/>
      <c r="JSH5" s="390"/>
      <c r="JSI5" s="390"/>
      <c r="JSJ5" s="390"/>
      <c r="JSK5" s="390"/>
      <c r="JSL5" s="390"/>
      <c r="JSM5" s="390"/>
      <c r="JSN5" s="390"/>
      <c r="JSO5" s="390"/>
      <c r="JSP5" s="390"/>
      <c r="JSQ5" s="390"/>
      <c r="JSR5" s="390"/>
      <c r="JSS5" s="390"/>
      <c r="JST5" s="390"/>
      <c r="JSU5" s="390"/>
      <c r="JSV5" s="390"/>
      <c r="JSW5" s="390"/>
      <c r="JSX5" s="390"/>
      <c r="JSY5" s="390"/>
      <c r="JSZ5" s="390"/>
      <c r="JTA5" s="390"/>
      <c r="JTB5" s="390"/>
      <c r="JTC5" s="390"/>
      <c r="JTD5" s="390"/>
      <c r="JTE5" s="390"/>
      <c r="JTF5" s="390"/>
      <c r="JTG5" s="390"/>
      <c r="JTH5" s="390"/>
      <c r="JTI5" s="390"/>
      <c r="JTJ5" s="390"/>
      <c r="JTK5" s="390"/>
      <c r="JTL5" s="390"/>
      <c r="JTM5" s="390"/>
      <c r="JTN5" s="390"/>
      <c r="JTO5" s="390"/>
      <c r="JTP5" s="390"/>
      <c r="JTQ5" s="390"/>
      <c r="JTR5" s="390"/>
      <c r="JTS5" s="390"/>
      <c r="JTT5" s="390"/>
      <c r="JTU5" s="390"/>
      <c r="JTV5" s="390"/>
      <c r="JTW5" s="390"/>
      <c r="JTX5" s="390"/>
      <c r="JTY5" s="390"/>
      <c r="JTZ5" s="390"/>
      <c r="JUA5" s="390"/>
      <c r="JUB5" s="390"/>
      <c r="JUC5" s="390"/>
      <c r="JUD5" s="390"/>
      <c r="JUE5" s="390"/>
      <c r="JUF5" s="390"/>
      <c r="JUG5" s="390"/>
      <c r="JUH5" s="390"/>
      <c r="JUI5" s="390"/>
      <c r="JUJ5" s="390"/>
      <c r="JUK5" s="390"/>
      <c r="JUL5" s="390"/>
      <c r="JUM5" s="390"/>
      <c r="JUN5" s="390"/>
      <c r="JUO5" s="390"/>
      <c r="JUP5" s="390"/>
      <c r="JUQ5" s="390"/>
      <c r="JUR5" s="390"/>
      <c r="JUS5" s="390"/>
      <c r="JUT5" s="390"/>
      <c r="JUU5" s="390"/>
      <c r="JUV5" s="390"/>
      <c r="JUW5" s="390"/>
      <c r="JUX5" s="390"/>
      <c r="JUY5" s="390"/>
      <c r="JUZ5" s="390"/>
      <c r="JVA5" s="390"/>
      <c r="JVB5" s="390"/>
      <c r="JVC5" s="390"/>
      <c r="JVD5" s="390"/>
      <c r="JVE5" s="390"/>
      <c r="JVF5" s="390"/>
      <c r="JVG5" s="390"/>
      <c r="JVH5" s="390"/>
      <c r="JVI5" s="390"/>
      <c r="JVJ5" s="390"/>
      <c r="JVK5" s="390"/>
      <c r="JVL5" s="390"/>
      <c r="JVM5" s="390"/>
      <c r="JVN5" s="390"/>
      <c r="JVO5" s="390"/>
      <c r="JVP5" s="390"/>
      <c r="JVQ5" s="390"/>
      <c r="JVR5" s="390"/>
      <c r="JVS5" s="390"/>
      <c r="JVT5" s="390"/>
      <c r="JVU5" s="390"/>
      <c r="JVV5" s="390"/>
      <c r="JVW5" s="390"/>
      <c r="JVX5" s="390"/>
      <c r="JVY5" s="390"/>
      <c r="JVZ5" s="390"/>
      <c r="JWA5" s="390"/>
      <c r="JWB5" s="390"/>
      <c r="JWC5" s="390"/>
      <c r="JWD5" s="390"/>
      <c r="JWE5" s="390"/>
      <c r="JWF5" s="390"/>
      <c r="JWG5" s="390"/>
      <c r="JWH5" s="390"/>
      <c r="JWI5" s="390"/>
      <c r="JWJ5" s="390"/>
      <c r="JWK5" s="390"/>
      <c r="JWL5" s="390"/>
      <c r="JWM5" s="390"/>
      <c r="JWN5" s="390"/>
      <c r="JWO5" s="390"/>
      <c r="JWP5" s="390"/>
      <c r="JWQ5" s="390"/>
      <c r="JWR5" s="390"/>
      <c r="JWS5" s="390"/>
      <c r="JWT5" s="390"/>
      <c r="JWU5" s="390"/>
      <c r="JWV5" s="390"/>
      <c r="JWW5" s="390"/>
      <c r="JWX5" s="390"/>
      <c r="JWY5" s="390"/>
      <c r="JWZ5" s="390"/>
      <c r="JXA5" s="390"/>
      <c r="JXB5" s="390"/>
      <c r="JXC5" s="390"/>
      <c r="JXD5" s="390"/>
      <c r="JXE5" s="390"/>
      <c r="JXF5" s="390"/>
      <c r="JXG5" s="390"/>
      <c r="JXH5" s="390"/>
      <c r="JXI5" s="390"/>
      <c r="JXJ5" s="390"/>
      <c r="JXK5" s="390"/>
      <c r="JXL5" s="390"/>
      <c r="JXM5" s="390"/>
      <c r="JXN5" s="390"/>
      <c r="JXO5" s="390"/>
      <c r="JXP5" s="390"/>
      <c r="JXQ5" s="390"/>
      <c r="JXR5" s="390"/>
      <c r="JXS5" s="390"/>
      <c r="JXT5" s="390"/>
      <c r="JXU5" s="390"/>
      <c r="JXV5" s="390"/>
      <c r="JXW5" s="390"/>
      <c r="JXX5" s="390"/>
      <c r="JXY5" s="390"/>
      <c r="JXZ5" s="390"/>
      <c r="JYA5" s="390"/>
      <c r="JYB5" s="390"/>
      <c r="JYC5" s="390"/>
      <c r="JYD5" s="390"/>
      <c r="JYE5" s="390"/>
      <c r="JYF5" s="390"/>
      <c r="JYG5" s="390"/>
      <c r="JYH5" s="390"/>
      <c r="JYI5" s="390"/>
      <c r="JYJ5" s="390"/>
      <c r="JYK5" s="390"/>
      <c r="JYL5" s="390"/>
      <c r="JYM5" s="390"/>
      <c r="JYN5" s="390"/>
      <c r="JYO5" s="390"/>
      <c r="JYP5" s="390"/>
      <c r="JYQ5" s="390"/>
      <c r="JYR5" s="390"/>
      <c r="JYS5" s="390"/>
      <c r="JYT5" s="390"/>
      <c r="JYU5" s="390"/>
      <c r="JYV5" s="390"/>
      <c r="JYW5" s="390"/>
      <c r="JYX5" s="390"/>
      <c r="JYY5" s="390"/>
      <c r="JYZ5" s="390"/>
      <c r="JZA5" s="390"/>
      <c r="JZB5" s="390"/>
      <c r="JZC5" s="390"/>
      <c r="JZD5" s="390"/>
      <c r="JZE5" s="390"/>
      <c r="JZF5" s="390"/>
      <c r="JZG5" s="390"/>
      <c r="JZH5" s="390"/>
      <c r="JZI5" s="390"/>
      <c r="JZJ5" s="390"/>
      <c r="JZK5" s="390"/>
      <c r="JZL5" s="390"/>
      <c r="JZM5" s="390"/>
      <c r="JZN5" s="390"/>
      <c r="JZO5" s="390"/>
      <c r="JZP5" s="390"/>
      <c r="JZQ5" s="390"/>
      <c r="JZR5" s="390"/>
      <c r="JZS5" s="390"/>
      <c r="JZT5" s="390"/>
      <c r="JZU5" s="390"/>
      <c r="JZV5" s="390"/>
      <c r="JZW5" s="390"/>
      <c r="JZX5" s="390"/>
      <c r="JZY5" s="390"/>
      <c r="JZZ5" s="390"/>
      <c r="KAA5" s="390"/>
      <c r="KAB5" s="390"/>
      <c r="KAC5" s="390"/>
      <c r="KAD5" s="390"/>
      <c r="KAE5" s="390"/>
      <c r="KAF5" s="390"/>
      <c r="KAG5" s="390"/>
      <c r="KAH5" s="390"/>
      <c r="KAI5" s="390"/>
      <c r="KAJ5" s="390"/>
      <c r="KAK5" s="390"/>
      <c r="KAL5" s="390"/>
      <c r="KAM5" s="390"/>
      <c r="KAN5" s="390"/>
      <c r="KAO5" s="390"/>
      <c r="KAP5" s="390"/>
      <c r="KAQ5" s="390"/>
      <c r="KAR5" s="390"/>
      <c r="KAS5" s="390"/>
      <c r="KAT5" s="390"/>
      <c r="KAU5" s="390"/>
      <c r="KAV5" s="390"/>
      <c r="KAW5" s="390"/>
      <c r="KAX5" s="390"/>
      <c r="KAY5" s="390"/>
      <c r="KAZ5" s="390"/>
      <c r="KBA5" s="390"/>
      <c r="KBB5" s="390"/>
      <c r="KBC5" s="390"/>
      <c r="KBD5" s="390"/>
      <c r="KBE5" s="390"/>
      <c r="KBF5" s="390"/>
      <c r="KBG5" s="390"/>
      <c r="KBH5" s="390"/>
      <c r="KBI5" s="390"/>
      <c r="KBJ5" s="390"/>
      <c r="KBK5" s="390"/>
      <c r="KBL5" s="390"/>
      <c r="KBM5" s="390"/>
      <c r="KBN5" s="390"/>
      <c r="KBO5" s="390"/>
      <c r="KBP5" s="390"/>
      <c r="KBQ5" s="390"/>
      <c r="KBR5" s="390"/>
      <c r="KBS5" s="390"/>
      <c r="KBT5" s="390"/>
      <c r="KBU5" s="390"/>
      <c r="KBV5" s="390"/>
      <c r="KBW5" s="390"/>
      <c r="KBX5" s="390"/>
      <c r="KBY5" s="390"/>
      <c r="KBZ5" s="390"/>
      <c r="KCA5" s="390"/>
      <c r="KCB5" s="390"/>
      <c r="KCC5" s="390"/>
      <c r="KCD5" s="390"/>
      <c r="KCE5" s="390"/>
      <c r="KCF5" s="390"/>
      <c r="KCG5" s="390"/>
      <c r="KCH5" s="390"/>
      <c r="KCI5" s="390"/>
      <c r="KCJ5" s="390"/>
      <c r="KCK5" s="390"/>
      <c r="KCL5" s="390"/>
      <c r="KCM5" s="390"/>
      <c r="KCN5" s="390"/>
      <c r="KCO5" s="390"/>
      <c r="KCP5" s="390"/>
      <c r="KCQ5" s="390"/>
      <c r="KCR5" s="390"/>
      <c r="KCS5" s="390"/>
      <c r="KCT5" s="390"/>
      <c r="KCU5" s="390"/>
      <c r="KCV5" s="390"/>
      <c r="KCW5" s="390"/>
      <c r="KCX5" s="390"/>
      <c r="KCY5" s="390"/>
      <c r="KCZ5" s="390"/>
      <c r="KDA5" s="390"/>
      <c r="KDB5" s="390"/>
      <c r="KDC5" s="390"/>
      <c r="KDD5" s="390"/>
      <c r="KDE5" s="390"/>
      <c r="KDF5" s="390"/>
      <c r="KDG5" s="390"/>
      <c r="KDH5" s="390"/>
      <c r="KDI5" s="390"/>
      <c r="KDJ5" s="390"/>
      <c r="KDK5" s="390"/>
      <c r="KDL5" s="390"/>
      <c r="KDM5" s="390"/>
      <c r="KDN5" s="390"/>
      <c r="KDO5" s="390"/>
      <c r="KDP5" s="390"/>
      <c r="KDQ5" s="390"/>
      <c r="KDR5" s="390"/>
      <c r="KDS5" s="390"/>
      <c r="KDT5" s="390"/>
      <c r="KDU5" s="390"/>
      <c r="KDV5" s="390"/>
      <c r="KDW5" s="390"/>
      <c r="KDX5" s="390"/>
      <c r="KDY5" s="390"/>
      <c r="KDZ5" s="390"/>
      <c r="KEA5" s="390"/>
      <c r="KEB5" s="390"/>
      <c r="KEC5" s="390"/>
      <c r="KED5" s="390"/>
      <c r="KEE5" s="390"/>
      <c r="KEF5" s="390"/>
      <c r="KEG5" s="390"/>
      <c r="KEH5" s="390"/>
      <c r="KEI5" s="390"/>
      <c r="KEJ5" s="390"/>
      <c r="KEK5" s="390"/>
      <c r="KEL5" s="390"/>
      <c r="KEM5" s="390"/>
      <c r="KEN5" s="390"/>
      <c r="KEO5" s="390"/>
      <c r="KEP5" s="390"/>
      <c r="KEQ5" s="390"/>
      <c r="KER5" s="390"/>
      <c r="KES5" s="390"/>
      <c r="KET5" s="390"/>
      <c r="KEU5" s="390"/>
      <c r="KEV5" s="390"/>
      <c r="KEW5" s="390"/>
      <c r="KEX5" s="390"/>
      <c r="KEY5" s="390"/>
      <c r="KEZ5" s="390"/>
      <c r="KFA5" s="390"/>
      <c r="KFB5" s="390"/>
      <c r="KFC5" s="390"/>
      <c r="KFD5" s="390"/>
      <c r="KFE5" s="390"/>
      <c r="KFF5" s="390"/>
      <c r="KFG5" s="390"/>
      <c r="KFH5" s="390"/>
      <c r="KFI5" s="390"/>
      <c r="KFJ5" s="390"/>
      <c r="KFK5" s="390"/>
      <c r="KFL5" s="390"/>
      <c r="KFM5" s="390"/>
      <c r="KFN5" s="390"/>
      <c r="KFO5" s="390"/>
      <c r="KFP5" s="390"/>
      <c r="KFQ5" s="390"/>
      <c r="KFR5" s="390"/>
      <c r="KFS5" s="390"/>
      <c r="KFT5" s="390"/>
      <c r="KFU5" s="390"/>
      <c r="KFV5" s="390"/>
      <c r="KFW5" s="390"/>
      <c r="KFX5" s="390"/>
      <c r="KFY5" s="390"/>
      <c r="KFZ5" s="390"/>
      <c r="KGA5" s="390"/>
      <c r="KGB5" s="390"/>
      <c r="KGC5" s="390"/>
      <c r="KGD5" s="390"/>
      <c r="KGE5" s="390"/>
      <c r="KGF5" s="390"/>
      <c r="KGG5" s="390"/>
      <c r="KGH5" s="390"/>
      <c r="KGI5" s="390"/>
      <c r="KGJ5" s="390"/>
      <c r="KGK5" s="390"/>
      <c r="KGL5" s="390"/>
      <c r="KGM5" s="390"/>
      <c r="KGN5" s="390"/>
      <c r="KGO5" s="390"/>
      <c r="KGP5" s="390"/>
      <c r="KGQ5" s="390"/>
      <c r="KGR5" s="390"/>
      <c r="KGS5" s="390"/>
      <c r="KGT5" s="390"/>
      <c r="KGU5" s="390"/>
      <c r="KGV5" s="390"/>
      <c r="KGW5" s="390"/>
      <c r="KGX5" s="390"/>
      <c r="KGY5" s="390"/>
      <c r="KGZ5" s="390"/>
      <c r="KHA5" s="390"/>
      <c r="KHB5" s="390"/>
      <c r="KHC5" s="390"/>
      <c r="KHD5" s="390"/>
      <c r="KHE5" s="390"/>
      <c r="KHF5" s="390"/>
      <c r="KHG5" s="390"/>
      <c r="KHH5" s="390"/>
      <c r="KHI5" s="390"/>
      <c r="KHJ5" s="390"/>
      <c r="KHK5" s="390"/>
      <c r="KHL5" s="390"/>
      <c r="KHM5" s="390"/>
      <c r="KHN5" s="390"/>
      <c r="KHO5" s="390"/>
      <c r="KHP5" s="390"/>
      <c r="KHQ5" s="390"/>
      <c r="KHR5" s="390"/>
      <c r="KHS5" s="390"/>
      <c r="KHT5" s="390"/>
      <c r="KHU5" s="390"/>
      <c r="KHV5" s="390"/>
      <c r="KHW5" s="390"/>
      <c r="KHX5" s="390"/>
      <c r="KHY5" s="390"/>
      <c r="KHZ5" s="390"/>
      <c r="KIA5" s="390"/>
      <c r="KIB5" s="390"/>
      <c r="KIC5" s="390"/>
      <c r="KID5" s="390"/>
      <c r="KIE5" s="390"/>
      <c r="KIF5" s="390"/>
      <c r="KIG5" s="390"/>
      <c r="KIH5" s="390"/>
      <c r="KII5" s="390"/>
      <c r="KIJ5" s="390"/>
      <c r="KIK5" s="390"/>
      <c r="KIL5" s="390"/>
      <c r="KIM5" s="390"/>
      <c r="KIN5" s="390"/>
      <c r="KIO5" s="390"/>
      <c r="KIP5" s="390"/>
      <c r="KIQ5" s="390"/>
      <c r="KIR5" s="390"/>
      <c r="KIS5" s="390"/>
      <c r="KIT5" s="390"/>
      <c r="KIU5" s="390"/>
      <c r="KIV5" s="390"/>
      <c r="KIW5" s="390"/>
      <c r="KIX5" s="390"/>
      <c r="KIY5" s="390"/>
      <c r="KIZ5" s="390"/>
      <c r="KJA5" s="390"/>
      <c r="KJB5" s="390"/>
      <c r="KJC5" s="390"/>
      <c r="KJD5" s="390"/>
      <c r="KJE5" s="390"/>
      <c r="KJF5" s="390"/>
      <c r="KJG5" s="390"/>
      <c r="KJH5" s="390"/>
      <c r="KJI5" s="390"/>
      <c r="KJJ5" s="390"/>
      <c r="KJK5" s="390"/>
      <c r="KJL5" s="390"/>
      <c r="KJM5" s="390"/>
      <c r="KJN5" s="390"/>
      <c r="KJO5" s="390"/>
      <c r="KJP5" s="390"/>
      <c r="KJQ5" s="390"/>
      <c r="KJR5" s="390"/>
      <c r="KJS5" s="390"/>
      <c r="KJT5" s="390"/>
      <c r="KJU5" s="390"/>
      <c r="KJV5" s="390"/>
      <c r="KJW5" s="390"/>
      <c r="KJX5" s="390"/>
      <c r="KJY5" s="390"/>
      <c r="KJZ5" s="390"/>
      <c r="KKA5" s="390"/>
      <c r="KKB5" s="390"/>
      <c r="KKC5" s="390"/>
      <c r="KKD5" s="390"/>
      <c r="KKE5" s="390"/>
      <c r="KKF5" s="390"/>
      <c r="KKG5" s="390"/>
      <c r="KKH5" s="390"/>
      <c r="KKI5" s="390"/>
      <c r="KKJ5" s="390"/>
      <c r="KKK5" s="390"/>
      <c r="KKL5" s="390"/>
      <c r="KKM5" s="390"/>
      <c r="KKN5" s="390"/>
      <c r="KKO5" s="390"/>
      <c r="KKP5" s="390"/>
      <c r="KKQ5" s="390"/>
      <c r="KKR5" s="390"/>
      <c r="KKS5" s="390"/>
      <c r="KKT5" s="390"/>
      <c r="KKU5" s="390"/>
      <c r="KKV5" s="390"/>
      <c r="KKW5" s="390"/>
      <c r="KKX5" s="390"/>
      <c r="KKY5" s="390"/>
      <c r="KKZ5" s="390"/>
      <c r="KLA5" s="390"/>
      <c r="KLB5" s="390"/>
      <c r="KLC5" s="390"/>
      <c r="KLD5" s="390"/>
      <c r="KLE5" s="390"/>
      <c r="KLF5" s="390"/>
      <c r="KLG5" s="390"/>
      <c r="KLH5" s="390"/>
      <c r="KLI5" s="390"/>
      <c r="KLJ5" s="390"/>
      <c r="KLK5" s="390"/>
      <c r="KLL5" s="390"/>
      <c r="KLM5" s="390"/>
      <c r="KLN5" s="390"/>
      <c r="KLO5" s="390"/>
      <c r="KLP5" s="390"/>
      <c r="KLQ5" s="390"/>
      <c r="KLR5" s="390"/>
      <c r="KLS5" s="390"/>
      <c r="KLT5" s="390"/>
      <c r="KLU5" s="390"/>
      <c r="KLV5" s="390"/>
      <c r="KLW5" s="390"/>
      <c r="KLX5" s="390"/>
      <c r="KLY5" s="390"/>
      <c r="KLZ5" s="390"/>
      <c r="KMA5" s="390"/>
      <c r="KMB5" s="390"/>
      <c r="KMC5" s="390"/>
      <c r="KMD5" s="390"/>
      <c r="KME5" s="390"/>
      <c r="KMF5" s="390"/>
      <c r="KMG5" s="390"/>
      <c r="KMH5" s="390"/>
      <c r="KMI5" s="390"/>
      <c r="KMJ5" s="390"/>
      <c r="KMK5" s="390"/>
      <c r="KML5" s="390"/>
      <c r="KMM5" s="390"/>
      <c r="KMN5" s="390"/>
      <c r="KMO5" s="390"/>
      <c r="KMP5" s="390"/>
      <c r="KMQ5" s="390"/>
      <c r="KMR5" s="390"/>
      <c r="KMS5" s="390"/>
      <c r="KMT5" s="390"/>
      <c r="KMU5" s="390"/>
      <c r="KMV5" s="390"/>
      <c r="KMW5" s="390"/>
      <c r="KMX5" s="390"/>
      <c r="KMY5" s="390"/>
      <c r="KMZ5" s="390"/>
      <c r="KNA5" s="390"/>
      <c r="KNB5" s="390"/>
      <c r="KNC5" s="390"/>
      <c r="KND5" s="390"/>
      <c r="KNE5" s="390"/>
      <c r="KNF5" s="390"/>
      <c r="KNG5" s="390"/>
      <c r="KNH5" s="390"/>
      <c r="KNI5" s="390"/>
      <c r="KNJ5" s="390"/>
      <c r="KNK5" s="390"/>
      <c r="KNL5" s="390"/>
      <c r="KNM5" s="390"/>
      <c r="KNN5" s="390"/>
      <c r="KNO5" s="390"/>
      <c r="KNP5" s="390"/>
      <c r="KNQ5" s="390"/>
      <c r="KNR5" s="390"/>
      <c r="KNS5" s="390"/>
      <c r="KNT5" s="390"/>
      <c r="KNU5" s="390"/>
      <c r="KNV5" s="390"/>
      <c r="KNW5" s="390"/>
      <c r="KNX5" s="390"/>
      <c r="KNY5" s="390"/>
      <c r="KNZ5" s="390"/>
      <c r="KOA5" s="390"/>
      <c r="KOB5" s="390"/>
      <c r="KOC5" s="390"/>
      <c r="KOD5" s="390"/>
      <c r="KOE5" s="390"/>
      <c r="KOF5" s="390"/>
      <c r="KOG5" s="390"/>
      <c r="KOH5" s="390"/>
      <c r="KOI5" s="390"/>
      <c r="KOJ5" s="390"/>
      <c r="KOK5" s="390"/>
      <c r="KOL5" s="390"/>
      <c r="KOM5" s="390"/>
      <c r="KON5" s="390"/>
      <c r="KOO5" s="390"/>
      <c r="KOP5" s="390"/>
      <c r="KOQ5" s="390"/>
      <c r="KOR5" s="390"/>
      <c r="KOS5" s="390"/>
      <c r="KOT5" s="390"/>
      <c r="KOU5" s="390"/>
      <c r="KOV5" s="390"/>
      <c r="KOW5" s="390"/>
      <c r="KOX5" s="390"/>
      <c r="KOY5" s="390"/>
      <c r="KOZ5" s="390"/>
      <c r="KPA5" s="390"/>
      <c r="KPB5" s="390"/>
      <c r="KPC5" s="390"/>
      <c r="KPD5" s="390"/>
      <c r="KPE5" s="390"/>
      <c r="KPF5" s="390"/>
      <c r="KPG5" s="390"/>
      <c r="KPH5" s="390"/>
      <c r="KPI5" s="390"/>
      <c r="KPJ5" s="390"/>
      <c r="KPK5" s="390"/>
      <c r="KPL5" s="390"/>
      <c r="KPM5" s="390"/>
      <c r="KPN5" s="390"/>
      <c r="KPO5" s="390"/>
      <c r="KPP5" s="390"/>
      <c r="KPQ5" s="390"/>
      <c r="KPR5" s="390"/>
      <c r="KPS5" s="390"/>
      <c r="KPT5" s="390"/>
      <c r="KPU5" s="390"/>
      <c r="KPV5" s="390"/>
      <c r="KPW5" s="390"/>
      <c r="KPX5" s="390"/>
      <c r="KPY5" s="390"/>
      <c r="KPZ5" s="390"/>
      <c r="KQA5" s="390"/>
      <c r="KQB5" s="390"/>
      <c r="KQC5" s="390"/>
      <c r="KQD5" s="390"/>
      <c r="KQE5" s="390"/>
      <c r="KQF5" s="390"/>
      <c r="KQG5" s="390"/>
      <c r="KQH5" s="390"/>
      <c r="KQI5" s="390"/>
      <c r="KQJ5" s="390"/>
      <c r="KQK5" s="390"/>
      <c r="KQL5" s="390"/>
      <c r="KQM5" s="390"/>
      <c r="KQN5" s="390"/>
      <c r="KQO5" s="390"/>
      <c r="KQP5" s="390"/>
      <c r="KQQ5" s="390"/>
      <c r="KQR5" s="390"/>
      <c r="KQS5" s="390"/>
      <c r="KQT5" s="390"/>
      <c r="KQU5" s="390"/>
      <c r="KQV5" s="390"/>
      <c r="KQW5" s="390"/>
      <c r="KQX5" s="390"/>
      <c r="KQY5" s="390"/>
      <c r="KQZ5" s="390"/>
      <c r="KRA5" s="390"/>
      <c r="KRB5" s="390"/>
      <c r="KRC5" s="390"/>
      <c r="KRD5" s="390"/>
      <c r="KRE5" s="390"/>
      <c r="KRF5" s="390"/>
      <c r="KRG5" s="390"/>
      <c r="KRH5" s="390"/>
      <c r="KRI5" s="390"/>
      <c r="KRJ5" s="390"/>
      <c r="KRK5" s="390"/>
      <c r="KRL5" s="390"/>
      <c r="KRM5" s="390"/>
      <c r="KRN5" s="390"/>
      <c r="KRO5" s="390"/>
      <c r="KRP5" s="390"/>
      <c r="KRQ5" s="390"/>
      <c r="KRR5" s="390"/>
      <c r="KRS5" s="390"/>
      <c r="KRT5" s="390"/>
      <c r="KRU5" s="390"/>
      <c r="KRV5" s="390"/>
      <c r="KRW5" s="390"/>
      <c r="KRX5" s="390"/>
      <c r="KRY5" s="390"/>
      <c r="KRZ5" s="390"/>
      <c r="KSA5" s="390"/>
      <c r="KSB5" s="390"/>
      <c r="KSC5" s="390"/>
      <c r="KSD5" s="390"/>
      <c r="KSE5" s="390"/>
      <c r="KSF5" s="390"/>
      <c r="KSG5" s="390"/>
      <c r="KSH5" s="390"/>
      <c r="KSI5" s="390"/>
      <c r="KSJ5" s="390"/>
      <c r="KSK5" s="390"/>
      <c r="KSL5" s="390"/>
      <c r="KSM5" s="390"/>
      <c r="KSN5" s="390"/>
      <c r="KSO5" s="390"/>
      <c r="KSP5" s="390"/>
      <c r="KSQ5" s="390"/>
      <c r="KSR5" s="390"/>
      <c r="KSS5" s="390"/>
      <c r="KST5" s="390"/>
      <c r="KSU5" s="390"/>
      <c r="KSV5" s="390"/>
      <c r="KSW5" s="390"/>
      <c r="KSX5" s="390"/>
      <c r="KSY5" s="390"/>
      <c r="KSZ5" s="390"/>
      <c r="KTA5" s="390"/>
      <c r="KTB5" s="390"/>
      <c r="KTC5" s="390"/>
      <c r="KTD5" s="390"/>
      <c r="KTE5" s="390"/>
      <c r="KTF5" s="390"/>
      <c r="KTG5" s="390"/>
      <c r="KTH5" s="390"/>
      <c r="KTI5" s="390"/>
      <c r="KTJ5" s="390"/>
      <c r="KTK5" s="390"/>
      <c r="KTL5" s="390"/>
      <c r="KTM5" s="390"/>
      <c r="KTN5" s="390"/>
      <c r="KTO5" s="390"/>
      <c r="KTP5" s="390"/>
      <c r="KTQ5" s="390"/>
      <c r="KTR5" s="390"/>
      <c r="KTS5" s="390"/>
      <c r="KTT5" s="390"/>
      <c r="KTU5" s="390"/>
      <c r="KTV5" s="390"/>
      <c r="KTW5" s="390"/>
      <c r="KTX5" s="390"/>
      <c r="KTY5" s="390"/>
      <c r="KTZ5" s="390"/>
      <c r="KUA5" s="390"/>
      <c r="KUB5" s="390"/>
      <c r="KUC5" s="390"/>
      <c r="KUD5" s="390"/>
      <c r="KUE5" s="390"/>
      <c r="KUF5" s="390"/>
      <c r="KUG5" s="390"/>
      <c r="KUH5" s="390"/>
      <c r="KUI5" s="390"/>
      <c r="KUJ5" s="390"/>
      <c r="KUK5" s="390"/>
      <c r="KUL5" s="390"/>
      <c r="KUM5" s="390"/>
      <c r="KUN5" s="390"/>
      <c r="KUO5" s="390"/>
      <c r="KUP5" s="390"/>
      <c r="KUQ5" s="390"/>
      <c r="KUR5" s="390"/>
      <c r="KUS5" s="390"/>
      <c r="KUT5" s="390"/>
      <c r="KUU5" s="390"/>
      <c r="KUV5" s="390"/>
      <c r="KUW5" s="390"/>
      <c r="KUX5" s="390"/>
      <c r="KUY5" s="390"/>
      <c r="KUZ5" s="390"/>
      <c r="KVA5" s="390"/>
      <c r="KVB5" s="390"/>
      <c r="KVC5" s="390"/>
      <c r="KVD5" s="390"/>
      <c r="KVE5" s="390"/>
      <c r="KVF5" s="390"/>
      <c r="KVG5" s="390"/>
      <c r="KVH5" s="390"/>
      <c r="KVI5" s="390"/>
      <c r="KVJ5" s="390"/>
      <c r="KVK5" s="390"/>
      <c r="KVL5" s="390"/>
      <c r="KVM5" s="390"/>
      <c r="KVN5" s="390"/>
      <c r="KVO5" s="390"/>
      <c r="KVP5" s="390"/>
      <c r="KVQ5" s="390"/>
      <c r="KVR5" s="390"/>
      <c r="KVS5" s="390"/>
      <c r="KVT5" s="390"/>
      <c r="KVU5" s="390"/>
      <c r="KVV5" s="390"/>
      <c r="KVW5" s="390"/>
      <c r="KVX5" s="390"/>
      <c r="KVY5" s="390"/>
      <c r="KVZ5" s="390"/>
      <c r="KWA5" s="390"/>
      <c r="KWB5" s="390"/>
      <c r="KWC5" s="390"/>
      <c r="KWD5" s="390"/>
      <c r="KWE5" s="390"/>
      <c r="KWF5" s="390"/>
      <c r="KWG5" s="390"/>
      <c r="KWH5" s="390"/>
      <c r="KWI5" s="390"/>
      <c r="KWJ5" s="390"/>
      <c r="KWK5" s="390"/>
      <c r="KWL5" s="390"/>
      <c r="KWM5" s="390"/>
      <c r="KWN5" s="390"/>
      <c r="KWO5" s="390"/>
      <c r="KWP5" s="390"/>
      <c r="KWQ5" s="390"/>
      <c r="KWR5" s="390"/>
      <c r="KWS5" s="390"/>
      <c r="KWT5" s="390"/>
      <c r="KWU5" s="390"/>
      <c r="KWV5" s="390"/>
      <c r="KWW5" s="390"/>
      <c r="KWX5" s="390"/>
      <c r="KWY5" s="390"/>
      <c r="KWZ5" s="390"/>
      <c r="KXA5" s="390"/>
      <c r="KXB5" s="390"/>
      <c r="KXC5" s="390"/>
      <c r="KXD5" s="390"/>
      <c r="KXE5" s="390"/>
      <c r="KXF5" s="390"/>
      <c r="KXG5" s="390"/>
      <c r="KXH5" s="390"/>
      <c r="KXI5" s="390"/>
      <c r="KXJ5" s="390"/>
      <c r="KXK5" s="390"/>
      <c r="KXL5" s="390"/>
      <c r="KXM5" s="390"/>
      <c r="KXN5" s="390"/>
      <c r="KXO5" s="390"/>
      <c r="KXP5" s="390"/>
      <c r="KXQ5" s="390"/>
      <c r="KXR5" s="390"/>
      <c r="KXS5" s="390"/>
      <c r="KXT5" s="390"/>
      <c r="KXU5" s="390"/>
      <c r="KXV5" s="390"/>
      <c r="KXW5" s="390"/>
      <c r="KXX5" s="390"/>
      <c r="KXY5" s="390"/>
      <c r="KXZ5" s="390"/>
      <c r="KYA5" s="390"/>
      <c r="KYB5" s="390"/>
      <c r="KYC5" s="390"/>
      <c r="KYD5" s="390"/>
      <c r="KYE5" s="390"/>
      <c r="KYF5" s="390"/>
      <c r="KYG5" s="390"/>
      <c r="KYH5" s="390"/>
      <c r="KYI5" s="390"/>
      <c r="KYJ5" s="390"/>
      <c r="KYK5" s="390"/>
      <c r="KYL5" s="390"/>
      <c r="KYM5" s="390"/>
      <c r="KYN5" s="390"/>
      <c r="KYO5" s="390"/>
      <c r="KYP5" s="390"/>
      <c r="KYQ5" s="390"/>
      <c r="KYR5" s="390"/>
      <c r="KYS5" s="390"/>
      <c r="KYT5" s="390"/>
      <c r="KYU5" s="390"/>
      <c r="KYV5" s="390"/>
      <c r="KYW5" s="390"/>
      <c r="KYX5" s="390"/>
      <c r="KYY5" s="390"/>
      <c r="KYZ5" s="390"/>
      <c r="KZA5" s="390"/>
      <c r="KZB5" s="390"/>
      <c r="KZC5" s="390"/>
      <c r="KZD5" s="390"/>
      <c r="KZE5" s="390"/>
      <c r="KZF5" s="390"/>
      <c r="KZG5" s="390"/>
      <c r="KZH5" s="390"/>
      <c r="KZI5" s="390"/>
      <c r="KZJ5" s="390"/>
      <c r="KZK5" s="390"/>
      <c r="KZL5" s="390"/>
      <c r="KZM5" s="390"/>
      <c r="KZN5" s="390"/>
      <c r="KZO5" s="390"/>
      <c r="KZP5" s="390"/>
      <c r="KZQ5" s="390"/>
      <c r="KZR5" s="390"/>
      <c r="KZS5" s="390"/>
      <c r="KZT5" s="390"/>
      <c r="KZU5" s="390"/>
      <c r="KZV5" s="390"/>
      <c r="KZW5" s="390"/>
      <c r="KZX5" s="390"/>
      <c r="KZY5" s="390"/>
      <c r="KZZ5" s="390"/>
      <c r="LAA5" s="390"/>
      <c r="LAB5" s="390"/>
      <c r="LAC5" s="390"/>
      <c r="LAD5" s="390"/>
      <c r="LAE5" s="390"/>
      <c r="LAF5" s="390"/>
      <c r="LAG5" s="390"/>
      <c r="LAH5" s="390"/>
      <c r="LAI5" s="390"/>
      <c r="LAJ5" s="390"/>
      <c r="LAK5" s="390"/>
      <c r="LAL5" s="390"/>
      <c r="LAM5" s="390"/>
      <c r="LAN5" s="390"/>
      <c r="LAO5" s="390"/>
      <c r="LAP5" s="390"/>
      <c r="LAQ5" s="390"/>
      <c r="LAR5" s="390"/>
      <c r="LAS5" s="390"/>
      <c r="LAT5" s="390"/>
      <c r="LAU5" s="390"/>
      <c r="LAV5" s="390"/>
      <c r="LAW5" s="390"/>
      <c r="LAX5" s="390"/>
      <c r="LAY5" s="390"/>
      <c r="LAZ5" s="390"/>
      <c r="LBA5" s="390"/>
      <c r="LBB5" s="390"/>
      <c r="LBC5" s="390"/>
      <c r="LBD5" s="390"/>
      <c r="LBE5" s="390"/>
      <c r="LBF5" s="390"/>
      <c r="LBG5" s="390"/>
      <c r="LBH5" s="390"/>
      <c r="LBI5" s="390"/>
      <c r="LBJ5" s="390"/>
      <c r="LBK5" s="390"/>
      <c r="LBL5" s="390"/>
      <c r="LBM5" s="390"/>
      <c r="LBN5" s="390"/>
      <c r="LBO5" s="390"/>
      <c r="LBP5" s="390"/>
      <c r="LBQ5" s="390"/>
      <c r="LBR5" s="390"/>
      <c r="LBS5" s="390"/>
      <c r="LBT5" s="390"/>
      <c r="LBU5" s="390"/>
      <c r="LBV5" s="390"/>
      <c r="LBW5" s="390"/>
      <c r="LBX5" s="390"/>
      <c r="LBY5" s="390"/>
      <c r="LBZ5" s="390"/>
      <c r="LCA5" s="390"/>
      <c r="LCB5" s="390"/>
      <c r="LCC5" s="390"/>
      <c r="LCD5" s="390"/>
      <c r="LCE5" s="390"/>
      <c r="LCF5" s="390"/>
      <c r="LCG5" s="390"/>
      <c r="LCH5" s="390"/>
      <c r="LCI5" s="390"/>
      <c r="LCJ5" s="390"/>
      <c r="LCK5" s="390"/>
      <c r="LCL5" s="390"/>
      <c r="LCM5" s="390"/>
      <c r="LCN5" s="390"/>
      <c r="LCO5" s="390"/>
      <c r="LCP5" s="390"/>
      <c r="LCQ5" s="390"/>
      <c r="LCR5" s="390"/>
      <c r="LCS5" s="390"/>
      <c r="LCT5" s="390"/>
      <c r="LCU5" s="390"/>
      <c r="LCV5" s="390"/>
      <c r="LCW5" s="390"/>
      <c r="LCX5" s="390"/>
      <c r="LCY5" s="390"/>
      <c r="LCZ5" s="390"/>
      <c r="LDA5" s="390"/>
      <c r="LDB5" s="390"/>
      <c r="LDC5" s="390"/>
      <c r="LDD5" s="390"/>
      <c r="LDE5" s="390"/>
      <c r="LDF5" s="390"/>
      <c r="LDG5" s="390"/>
      <c r="LDH5" s="390"/>
      <c r="LDI5" s="390"/>
      <c r="LDJ5" s="390"/>
      <c r="LDK5" s="390"/>
      <c r="LDL5" s="390"/>
      <c r="LDM5" s="390"/>
      <c r="LDN5" s="390"/>
      <c r="LDO5" s="390"/>
      <c r="LDP5" s="390"/>
      <c r="LDQ5" s="390"/>
      <c r="LDR5" s="390"/>
      <c r="LDS5" s="390"/>
      <c r="LDT5" s="390"/>
      <c r="LDU5" s="390"/>
      <c r="LDV5" s="390"/>
      <c r="LDW5" s="390"/>
      <c r="LDX5" s="390"/>
      <c r="LDY5" s="390"/>
      <c r="LDZ5" s="390"/>
      <c r="LEA5" s="390"/>
      <c r="LEB5" s="390"/>
      <c r="LEC5" s="390"/>
      <c r="LED5" s="390"/>
      <c r="LEE5" s="390"/>
      <c r="LEF5" s="390"/>
      <c r="LEG5" s="390"/>
      <c r="LEH5" s="390"/>
      <c r="LEI5" s="390"/>
      <c r="LEJ5" s="390"/>
      <c r="LEK5" s="390"/>
      <c r="LEL5" s="390"/>
      <c r="LEM5" s="390"/>
      <c r="LEN5" s="390"/>
      <c r="LEO5" s="390"/>
      <c r="LEP5" s="390"/>
      <c r="LEQ5" s="390"/>
      <c r="LER5" s="390"/>
      <c r="LES5" s="390"/>
      <c r="LET5" s="390"/>
      <c r="LEU5" s="390"/>
      <c r="LEV5" s="390"/>
      <c r="LEW5" s="390"/>
      <c r="LEX5" s="390"/>
      <c r="LEY5" s="390"/>
      <c r="LEZ5" s="390"/>
      <c r="LFA5" s="390"/>
      <c r="LFB5" s="390"/>
      <c r="LFC5" s="390"/>
      <c r="LFD5" s="390"/>
      <c r="LFE5" s="390"/>
      <c r="LFF5" s="390"/>
      <c r="LFG5" s="390"/>
      <c r="LFH5" s="390"/>
      <c r="LFI5" s="390"/>
      <c r="LFJ5" s="390"/>
      <c r="LFK5" s="390"/>
      <c r="LFL5" s="390"/>
      <c r="LFM5" s="390"/>
      <c r="LFN5" s="390"/>
      <c r="LFO5" s="390"/>
      <c r="LFP5" s="390"/>
      <c r="LFQ5" s="390"/>
      <c r="LFR5" s="390"/>
      <c r="LFS5" s="390"/>
      <c r="LFT5" s="390"/>
      <c r="LFU5" s="390"/>
      <c r="LFV5" s="390"/>
      <c r="LFW5" s="390"/>
      <c r="LFX5" s="390"/>
      <c r="LFY5" s="390"/>
      <c r="LFZ5" s="390"/>
      <c r="LGA5" s="390"/>
      <c r="LGB5" s="390"/>
      <c r="LGC5" s="390"/>
      <c r="LGD5" s="390"/>
      <c r="LGE5" s="390"/>
      <c r="LGF5" s="390"/>
      <c r="LGG5" s="390"/>
      <c r="LGH5" s="390"/>
      <c r="LGI5" s="390"/>
      <c r="LGJ5" s="390"/>
      <c r="LGK5" s="390"/>
      <c r="LGL5" s="390"/>
      <c r="LGM5" s="390"/>
      <c r="LGN5" s="390"/>
      <c r="LGO5" s="390"/>
      <c r="LGP5" s="390"/>
      <c r="LGQ5" s="390"/>
      <c r="LGR5" s="390"/>
      <c r="LGS5" s="390"/>
      <c r="LGT5" s="390"/>
      <c r="LGU5" s="390"/>
      <c r="LGV5" s="390"/>
      <c r="LGW5" s="390"/>
      <c r="LGX5" s="390"/>
      <c r="LGY5" s="390"/>
      <c r="LGZ5" s="390"/>
      <c r="LHA5" s="390"/>
      <c r="LHB5" s="390"/>
      <c r="LHC5" s="390"/>
      <c r="LHD5" s="390"/>
      <c r="LHE5" s="390"/>
      <c r="LHF5" s="390"/>
      <c r="LHG5" s="390"/>
      <c r="LHH5" s="390"/>
      <c r="LHI5" s="390"/>
      <c r="LHJ5" s="390"/>
      <c r="LHK5" s="390"/>
      <c r="LHL5" s="390"/>
      <c r="LHM5" s="390"/>
      <c r="LHN5" s="390"/>
      <c r="LHO5" s="390"/>
      <c r="LHP5" s="390"/>
      <c r="LHQ5" s="390"/>
      <c r="LHR5" s="390"/>
      <c r="LHS5" s="390"/>
      <c r="LHT5" s="390"/>
      <c r="LHU5" s="390"/>
      <c r="LHV5" s="390"/>
      <c r="LHW5" s="390"/>
      <c r="LHX5" s="390"/>
      <c r="LHY5" s="390"/>
      <c r="LHZ5" s="390"/>
      <c r="LIA5" s="390"/>
      <c r="LIB5" s="390"/>
      <c r="LIC5" s="390"/>
      <c r="LID5" s="390"/>
      <c r="LIE5" s="390"/>
      <c r="LIF5" s="390"/>
      <c r="LIG5" s="390"/>
      <c r="LIH5" s="390"/>
      <c r="LII5" s="390"/>
      <c r="LIJ5" s="390"/>
      <c r="LIK5" s="390"/>
      <c r="LIL5" s="390"/>
      <c r="LIM5" s="390"/>
      <c r="LIN5" s="390"/>
      <c r="LIO5" s="390"/>
      <c r="LIP5" s="390"/>
      <c r="LIQ5" s="390"/>
      <c r="LIR5" s="390"/>
      <c r="LIS5" s="390"/>
      <c r="LIT5" s="390"/>
      <c r="LIU5" s="390"/>
      <c r="LIV5" s="390"/>
      <c r="LIW5" s="390"/>
      <c r="LIX5" s="390"/>
      <c r="LIY5" s="390"/>
      <c r="LIZ5" s="390"/>
      <c r="LJA5" s="390"/>
      <c r="LJB5" s="390"/>
      <c r="LJC5" s="390"/>
      <c r="LJD5" s="390"/>
      <c r="LJE5" s="390"/>
      <c r="LJF5" s="390"/>
      <c r="LJG5" s="390"/>
      <c r="LJH5" s="390"/>
      <c r="LJI5" s="390"/>
      <c r="LJJ5" s="390"/>
      <c r="LJK5" s="390"/>
      <c r="LJL5" s="390"/>
      <c r="LJM5" s="390"/>
      <c r="LJN5" s="390"/>
      <c r="LJO5" s="390"/>
      <c r="LJP5" s="390"/>
      <c r="LJQ5" s="390"/>
      <c r="LJR5" s="390"/>
      <c r="LJS5" s="390"/>
      <c r="LJT5" s="390"/>
      <c r="LJU5" s="390"/>
      <c r="LJV5" s="390"/>
      <c r="LJW5" s="390"/>
      <c r="LJX5" s="390"/>
      <c r="LJY5" s="390"/>
      <c r="LJZ5" s="390"/>
      <c r="LKA5" s="390"/>
      <c r="LKB5" s="390"/>
      <c r="LKC5" s="390"/>
      <c r="LKD5" s="390"/>
      <c r="LKE5" s="390"/>
      <c r="LKF5" s="390"/>
      <c r="LKG5" s="390"/>
      <c r="LKH5" s="390"/>
      <c r="LKI5" s="390"/>
      <c r="LKJ5" s="390"/>
      <c r="LKK5" s="390"/>
      <c r="LKL5" s="390"/>
      <c r="LKM5" s="390"/>
      <c r="LKN5" s="390"/>
      <c r="LKO5" s="390"/>
      <c r="LKP5" s="390"/>
      <c r="LKQ5" s="390"/>
      <c r="LKR5" s="390"/>
      <c r="LKS5" s="390"/>
      <c r="LKT5" s="390"/>
      <c r="LKU5" s="390"/>
      <c r="LKV5" s="390"/>
      <c r="LKW5" s="390"/>
      <c r="LKX5" s="390"/>
      <c r="LKY5" s="390"/>
      <c r="LKZ5" s="390"/>
      <c r="LLA5" s="390"/>
      <c r="LLB5" s="390"/>
      <c r="LLC5" s="390"/>
      <c r="LLD5" s="390"/>
      <c r="LLE5" s="390"/>
      <c r="LLF5" s="390"/>
      <c r="LLG5" s="390"/>
      <c r="LLH5" s="390"/>
      <c r="LLI5" s="390"/>
      <c r="LLJ5" s="390"/>
      <c r="LLK5" s="390"/>
      <c r="LLL5" s="390"/>
      <c r="LLM5" s="390"/>
      <c r="LLN5" s="390"/>
      <c r="LLO5" s="390"/>
      <c r="LLP5" s="390"/>
      <c r="LLQ5" s="390"/>
      <c r="LLR5" s="390"/>
      <c r="LLS5" s="390"/>
      <c r="LLT5" s="390"/>
      <c r="LLU5" s="390"/>
      <c r="LLV5" s="390"/>
      <c r="LLW5" s="390"/>
      <c r="LLX5" s="390"/>
      <c r="LLY5" s="390"/>
      <c r="LLZ5" s="390"/>
      <c r="LMA5" s="390"/>
      <c r="LMB5" s="390"/>
      <c r="LMC5" s="390"/>
      <c r="LMD5" s="390"/>
      <c r="LME5" s="390"/>
      <c r="LMF5" s="390"/>
      <c r="LMG5" s="390"/>
      <c r="LMH5" s="390"/>
      <c r="LMI5" s="390"/>
      <c r="LMJ5" s="390"/>
      <c r="LMK5" s="390"/>
      <c r="LML5" s="390"/>
      <c r="LMM5" s="390"/>
      <c r="LMN5" s="390"/>
      <c r="LMO5" s="390"/>
      <c r="LMP5" s="390"/>
      <c r="LMQ5" s="390"/>
      <c r="LMR5" s="390"/>
      <c r="LMS5" s="390"/>
      <c r="LMT5" s="390"/>
      <c r="LMU5" s="390"/>
      <c r="LMV5" s="390"/>
      <c r="LMW5" s="390"/>
      <c r="LMX5" s="390"/>
      <c r="LMY5" s="390"/>
      <c r="LMZ5" s="390"/>
      <c r="LNA5" s="390"/>
      <c r="LNB5" s="390"/>
      <c r="LNC5" s="390"/>
      <c r="LND5" s="390"/>
      <c r="LNE5" s="390"/>
      <c r="LNF5" s="390"/>
      <c r="LNG5" s="390"/>
      <c r="LNH5" s="390"/>
      <c r="LNI5" s="390"/>
      <c r="LNJ5" s="390"/>
      <c r="LNK5" s="390"/>
      <c r="LNL5" s="390"/>
      <c r="LNM5" s="390"/>
      <c r="LNN5" s="390"/>
      <c r="LNO5" s="390"/>
      <c r="LNP5" s="390"/>
      <c r="LNQ5" s="390"/>
      <c r="LNR5" s="390"/>
      <c r="LNS5" s="390"/>
      <c r="LNT5" s="390"/>
      <c r="LNU5" s="390"/>
      <c r="LNV5" s="390"/>
      <c r="LNW5" s="390"/>
      <c r="LNX5" s="390"/>
      <c r="LNY5" s="390"/>
      <c r="LNZ5" s="390"/>
      <c r="LOA5" s="390"/>
      <c r="LOB5" s="390"/>
      <c r="LOC5" s="390"/>
      <c r="LOD5" s="390"/>
      <c r="LOE5" s="390"/>
      <c r="LOF5" s="390"/>
      <c r="LOG5" s="390"/>
      <c r="LOH5" s="390"/>
      <c r="LOI5" s="390"/>
      <c r="LOJ5" s="390"/>
      <c r="LOK5" s="390"/>
      <c r="LOL5" s="390"/>
      <c r="LOM5" s="390"/>
      <c r="LON5" s="390"/>
      <c r="LOO5" s="390"/>
      <c r="LOP5" s="390"/>
      <c r="LOQ5" s="390"/>
      <c r="LOR5" s="390"/>
      <c r="LOS5" s="390"/>
      <c r="LOT5" s="390"/>
      <c r="LOU5" s="390"/>
      <c r="LOV5" s="390"/>
      <c r="LOW5" s="390"/>
      <c r="LOX5" s="390"/>
      <c r="LOY5" s="390"/>
      <c r="LOZ5" s="390"/>
      <c r="LPA5" s="390"/>
      <c r="LPB5" s="390"/>
      <c r="LPC5" s="390"/>
      <c r="LPD5" s="390"/>
      <c r="LPE5" s="390"/>
      <c r="LPF5" s="390"/>
      <c r="LPG5" s="390"/>
      <c r="LPH5" s="390"/>
      <c r="LPI5" s="390"/>
      <c r="LPJ5" s="390"/>
      <c r="LPK5" s="390"/>
      <c r="LPL5" s="390"/>
      <c r="LPM5" s="390"/>
      <c r="LPN5" s="390"/>
      <c r="LPO5" s="390"/>
      <c r="LPP5" s="390"/>
      <c r="LPQ5" s="390"/>
      <c r="LPR5" s="390"/>
      <c r="LPS5" s="390"/>
      <c r="LPT5" s="390"/>
      <c r="LPU5" s="390"/>
      <c r="LPV5" s="390"/>
      <c r="LPW5" s="390"/>
      <c r="LPX5" s="390"/>
      <c r="LPY5" s="390"/>
      <c r="LPZ5" s="390"/>
      <c r="LQA5" s="390"/>
      <c r="LQB5" s="390"/>
      <c r="LQC5" s="390"/>
      <c r="LQD5" s="390"/>
      <c r="LQE5" s="390"/>
      <c r="LQF5" s="390"/>
      <c r="LQG5" s="390"/>
      <c r="LQH5" s="390"/>
      <c r="LQI5" s="390"/>
      <c r="LQJ5" s="390"/>
      <c r="LQK5" s="390"/>
      <c r="LQL5" s="390"/>
      <c r="LQM5" s="390"/>
      <c r="LQN5" s="390"/>
      <c r="LQO5" s="390"/>
      <c r="LQP5" s="390"/>
      <c r="LQQ5" s="390"/>
      <c r="LQR5" s="390"/>
      <c r="LQS5" s="390"/>
      <c r="LQT5" s="390"/>
      <c r="LQU5" s="390"/>
      <c r="LQV5" s="390"/>
      <c r="LQW5" s="390"/>
      <c r="LQX5" s="390"/>
      <c r="LQY5" s="390"/>
      <c r="LQZ5" s="390"/>
      <c r="LRA5" s="390"/>
      <c r="LRB5" s="390"/>
      <c r="LRC5" s="390"/>
      <c r="LRD5" s="390"/>
      <c r="LRE5" s="390"/>
      <c r="LRF5" s="390"/>
      <c r="LRG5" s="390"/>
      <c r="LRH5" s="390"/>
      <c r="LRI5" s="390"/>
      <c r="LRJ5" s="390"/>
      <c r="LRK5" s="390"/>
      <c r="LRL5" s="390"/>
      <c r="LRM5" s="390"/>
      <c r="LRN5" s="390"/>
      <c r="LRO5" s="390"/>
      <c r="LRP5" s="390"/>
      <c r="LRQ5" s="390"/>
      <c r="LRR5" s="390"/>
      <c r="LRS5" s="390"/>
      <c r="LRT5" s="390"/>
      <c r="LRU5" s="390"/>
      <c r="LRV5" s="390"/>
      <c r="LRW5" s="390"/>
      <c r="LRX5" s="390"/>
      <c r="LRY5" s="390"/>
      <c r="LRZ5" s="390"/>
      <c r="LSA5" s="390"/>
      <c r="LSB5" s="390"/>
      <c r="LSC5" s="390"/>
      <c r="LSD5" s="390"/>
      <c r="LSE5" s="390"/>
      <c r="LSF5" s="390"/>
      <c r="LSG5" s="390"/>
      <c r="LSH5" s="390"/>
      <c r="LSI5" s="390"/>
      <c r="LSJ5" s="390"/>
      <c r="LSK5" s="390"/>
      <c r="LSL5" s="390"/>
      <c r="LSM5" s="390"/>
      <c r="LSN5" s="390"/>
      <c r="LSO5" s="390"/>
      <c r="LSP5" s="390"/>
      <c r="LSQ5" s="390"/>
      <c r="LSR5" s="390"/>
      <c r="LSS5" s="390"/>
      <c r="LST5" s="390"/>
      <c r="LSU5" s="390"/>
      <c r="LSV5" s="390"/>
      <c r="LSW5" s="390"/>
      <c r="LSX5" s="390"/>
      <c r="LSY5" s="390"/>
      <c r="LSZ5" s="390"/>
      <c r="LTA5" s="390"/>
      <c r="LTB5" s="390"/>
      <c r="LTC5" s="390"/>
      <c r="LTD5" s="390"/>
      <c r="LTE5" s="390"/>
      <c r="LTF5" s="390"/>
      <c r="LTG5" s="390"/>
      <c r="LTH5" s="390"/>
      <c r="LTI5" s="390"/>
      <c r="LTJ5" s="390"/>
      <c r="LTK5" s="390"/>
      <c r="LTL5" s="390"/>
      <c r="LTM5" s="390"/>
      <c r="LTN5" s="390"/>
      <c r="LTO5" s="390"/>
      <c r="LTP5" s="390"/>
      <c r="LTQ5" s="390"/>
      <c r="LTR5" s="390"/>
      <c r="LTS5" s="390"/>
      <c r="LTT5" s="390"/>
      <c r="LTU5" s="390"/>
      <c r="LTV5" s="390"/>
      <c r="LTW5" s="390"/>
      <c r="LTX5" s="390"/>
      <c r="LTY5" s="390"/>
      <c r="LTZ5" s="390"/>
      <c r="LUA5" s="390"/>
      <c r="LUB5" s="390"/>
      <c r="LUC5" s="390"/>
      <c r="LUD5" s="390"/>
      <c r="LUE5" s="390"/>
      <c r="LUF5" s="390"/>
      <c r="LUG5" s="390"/>
      <c r="LUH5" s="390"/>
      <c r="LUI5" s="390"/>
      <c r="LUJ5" s="390"/>
      <c r="LUK5" s="390"/>
      <c r="LUL5" s="390"/>
      <c r="LUM5" s="390"/>
      <c r="LUN5" s="390"/>
      <c r="LUO5" s="390"/>
      <c r="LUP5" s="390"/>
      <c r="LUQ5" s="390"/>
      <c r="LUR5" s="390"/>
      <c r="LUS5" s="390"/>
      <c r="LUT5" s="390"/>
      <c r="LUU5" s="390"/>
      <c r="LUV5" s="390"/>
      <c r="LUW5" s="390"/>
      <c r="LUX5" s="390"/>
      <c r="LUY5" s="390"/>
      <c r="LUZ5" s="390"/>
      <c r="LVA5" s="390"/>
      <c r="LVB5" s="390"/>
      <c r="LVC5" s="390"/>
      <c r="LVD5" s="390"/>
      <c r="LVE5" s="390"/>
      <c r="LVF5" s="390"/>
      <c r="LVG5" s="390"/>
      <c r="LVH5" s="390"/>
      <c r="LVI5" s="390"/>
      <c r="LVJ5" s="390"/>
      <c r="LVK5" s="390"/>
      <c r="LVL5" s="390"/>
      <c r="LVM5" s="390"/>
      <c r="LVN5" s="390"/>
      <c r="LVO5" s="390"/>
      <c r="LVP5" s="390"/>
      <c r="LVQ5" s="390"/>
      <c r="LVR5" s="390"/>
      <c r="LVS5" s="390"/>
      <c r="LVT5" s="390"/>
      <c r="LVU5" s="390"/>
      <c r="LVV5" s="390"/>
      <c r="LVW5" s="390"/>
      <c r="LVX5" s="390"/>
      <c r="LVY5" s="390"/>
      <c r="LVZ5" s="390"/>
      <c r="LWA5" s="390"/>
      <c r="LWB5" s="390"/>
      <c r="LWC5" s="390"/>
      <c r="LWD5" s="390"/>
      <c r="LWE5" s="390"/>
      <c r="LWF5" s="390"/>
      <c r="LWG5" s="390"/>
      <c r="LWH5" s="390"/>
      <c r="LWI5" s="390"/>
      <c r="LWJ5" s="390"/>
      <c r="LWK5" s="390"/>
      <c r="LWL5" s="390"/>
      <c r="LWM5" s="390"/>
      <c r="LWN5" s="390"/>
      <c r="LWO5" s="390"/>
      <c r="LWP5" s="390"/>
      <c r="LWQ5" s="390"/>
      <c r="LWR5" s="390"/>
      <c r="LWS5" s="390"/>
      <c r="LWT5" s="390"/>
      <c r="LWU5" s="390"/>
      <c r="LWV5" s="390"/>
      <c r="LWW5" s="390"/>
      <c r="LWX5" s="390"/>
      <c r="LWY5" s="390"/>
      <c r="LWZ5" s="390"/>
      <c r="LXA5" s="390"/>
      <c r="LXB5" s="390"/>
      <c r="LXC5" s="390"/>
      <c r="LXD5" s="390"/>
      <c r="LXE5" s="390"/>
      <c r="LXF5" s="390"/>
      <c r="LXG5" s="390"/>
      <c r="LXH5" s="390"/>
      <c r="LXI5" s="390"/>
      <c r="LXJ5" s="390"/>
      <c r="LXK5" s="390"/>
      <c r="LXL5" s="390"/>
      <c r="LXM5" s="390"/>
      <c r="LXN5" s="390"/>
      <c r="LXO5" s="390"/>
      <c r="LXP5" s="390"/>
      <c r="LXQ5" s="390"/>
      <c r="LXR5" s="390"/>
      <c r="LXS5" s="390"/>
      <c r="LXT5" s="390"/>
      <c r="LXU5" s="390"/>
      <c r="LXV5" s="390"/>
      <c r="LXW5" s="390"/>
      <c r="LXX5" s="390"/>
      <c r="LXY5" s="390"/>
      <c r="LXZ5" s="390"/>
      <c r="LYA5" s="390"/>
      <c r="LYB5" s="390"/>
      <c r="LYC5" s="390"/>
      <c r="LYD5" s="390"/>
      <c r="LYE5" s="390"/>
      <c r="LYF5" s="390"/>
      <c r="LYG5" s="390"/>
      <c r="LYH5" s="390"/>
      <c r="LYI5" s="390"/>
      <c r="LYJ5" s="390"/>
      <c r="LYK5" s="390"/>
      <c r="LYL5" s="390"/>
      <c r="LYM5" s="390"/>
      <c r="LYN5" s="390"/>
      <c r="LYO5" s="390"/>
      <c r="LYP5" s="390"/>
      <c r="LYQ5" s="390"/>
      <c r="LYR5" s="390"/>
      <c r="LYS5" s="390"/>
      <c r="LYT5" s="390"/>
      <c r="LYU5" s="390"/>
      <c r="LYV5" s="390"/>
      <c r="LYW5" s="390"/>
      <c r="LYX5" s="390"/>
      <c r="LYY5" s="390"/>
      <c r="LYZ5" s="390"/>
      <c r="LZA5" s="390"/>
      <c r="LZB5" s="390"/>
      <c r="LZC5" s="390"/>
      <c r="LZD5" s="390"/>
      <c r="LZE5" s="390"/>
      <c r="LZF5" s="390"/>
      <c r="LZG5" s="390"/>
      <c r="LZH5" s="390"/>
      <c r="LZI5" s="390"/>
      <c r="LZJ5" s="390"/>
      <c r="LZK5" s="390"/>
      <c r="LZL5" s="390"/>
      <c r="LZM5" s="390"/>
      <c r="LZN5" s="390"/>
      <c r="LZO5" s="390"/>
      <c r="LZP5" s="390"/>
      <c r="LZQ5" s="390"/>
      <c r="LZR5" s="390"/>
      <c r="LZS5" s="390"/>
      <c r="LZT5" s="390"/>
      <c r="LZU5" s="390"/>
      <c r="LZV5" s="390"/>
      <c r="LZW5" s="390"/>
      <c r="LZX5" s="390"/>
      <c r="LZY5" s="390"/>
      <c r="LZZ5" s="390"/>
      <c r="MAA5" s="390"/>
      <c r="MAB5" s="390"/>
      <c r="MAC5" s="390"/>
      <c r="MAD5" s="390"/>
      <c r="MAE5" s="390"/>
      <c r="MAF5" s="390"/>
      <c r="MAG5" s="390"/>
      <c r="MAH5" s="390"/>
      <c r="MAI5" s="390"/>
      <c r="MAJ5" s="390"/>
      <c r="MAK5" s="390"/>
      <c r="MAL5" s="390"/>
      <c r="MAM5" s="390"/>
      <c r="MAN5" s="390"/>
      <c r="MAO5" s="390"/>
      <c r="MAP5" s="390"/>
      <c r="MAQ5" s="390"/>
      <c r="MAR5" s="390"/>
      <c r="MAS5" s="390"/>
      <c r="MAT5" s="390"/>
      <c r="MAU5" s="390"/>
      <c r="MAV5" s="390"/>
      <c r="MAW5" s="390"/>
      <c r="MAX5" s="390"/>
      <c r="MAY5" s="390"/>
      <c r="MAZ5" s="390"/>
      <c r="MBA5" s="390"/>
      <c r="MBB5" s="390"/>
      <c r="MBC5" s="390"/>
      <c r="MBD5" s="390"/>
      <c r="MBE5" s="390"/>
      <c r="MBF5" s="390"/>
      <c r="MBG5" s="390"/>
      <c r="MBH5" s="390"/>
      <c r="MBI5" s="390"/>
      <c r="MBJ5" s="390"/>
      <c r="MBK5" s="390"/>
      <c r="MBL5" s="390"/>
      <c r="MBM5" s="390"/>
      <c r="MBN5" s="390"/>
      <c r="MBO5" s="390"/>
      <c r="MBP5" s="390"/>
      <c r="MBQ5" s="390"/>
      <c r="MBR5" s="390"/>
      <c r="MBS5" s="390"/>
      <c r="MBT5" s="390"/>
      <c r="MBU5" s="390"/>
      <c r="MBV5" s="390"/>
      <c r="MBW5" s="390"/>
      <c r="MBX5" s="390"/>
      <c r="MBY5" s="390"/>
      <c r="MBZ5" s="390"/>
      <c r="MCA5" s="390"/>
      <c r="MCB5" s="390"/>
      <c r="MCC5" s="390"/>
      <c r="MCD5" s="390"/>
      <c r="MCE5" s="390"/>
      <c r="MCF5" s="390"/>
      <c r="MCG5" s="390"/>
      <c r="MCH5" s="390"/>
      <c r="MCI5" s="390"/>
      <c r="MCJ5" s="390"/>
      <c r="MCK5" s="390"/>
      <c r="MCL5" s="390"/>
      <c r="MCM5" s="390"/>
      <c r="MCN5" s="390"/>
      <c r="MCO5" s="390"/>
      <c r="MCP5" s="390"/>
      <c r="MCQ5" s="390"/>
      <c r="MCR5" s="390"/>
      <c r="MCS5" s="390"/>
      <c r="MCT5" s="390"/>
      <c r="MCU5" s="390"/>
      <c r="MCV5" s="390"/>
      <c r="MCW5" s="390"/>
      <c r="MCX5" s="390"/>
      <c r="MCY5" s="390"/>
      <c r="MCZ5" s="390"/>
      <c r="MDA5" s="390"/>
      <c r="MDB5" s="390"/>
      <c r="MDC5" s="390"/>
      <c r="MDD5" s="390"/>
      <c r="MDE5" s="390"/>
      <c r="MDF5" s="390"/>
      <c r="MDG5" s="390"/>
      <c r="MDH5" s="390"/>
      <c r="MDI5" s="390"/>
      <c r="MDJ5" s="390"/>
      <c r="MDK5" s="390"/>
      <c r="MDL5" s="390"/>
      <c r="MDM5" s="390"/>
      <c r="MDN5" s="390"/>
      <c r="MDO5" s="390"/>
      <c r="MDP5" s="390"/>
      <c r="MDQ5" s="390"/>
      <c r="MDR5" s="390"/>
      <c r="MDS5" s="390"/>
      <c r="MDT5" s="390"/>
      <c r="MDU5" s="390"/>
      <c r="MDV5" s="390"/>
      <c r="MDW5" s="390"/>
      <c r="MDX5" s="390"/>
      <c r="MDY5" s="390"/>
      <c r="MDZ5" s="390"/>
      <c r="MEA5" s="390"/>
      <c r="MEB5" s="390"/>
      <c r="MEC5" s="390"/>
      <c r="MED5" s="390"/>
      <c r="MEE5" s="390"/>
      <c r="MEF5" s="390"/>
      <c r="MEG5" s="390"/>
      <c r="MEH5" s="390"/>
      <c r="MEI5" s="390"/>
      <c r="MEJ5" s="390"/>
      <c r="MEK5" s="390"/>
      <c r="MEL5" s="390"/>
      <c r="MEM5" s="390"/>
      <c r="MEN5" s="390"/>
      <c r="MEO5" s="390"/>
      <c r="MEP5" s="390"/>
      <c r="MEQ5" s="390"/>
      <c r="MER5" s="390"/>
      <c r="MES5" s="390"/>
      <c r="MET5" s="390"/>
      <c r="MEU5" s="390"/>
      <c r="MEV5" s="390"/>
      <c r="MEW5" s="390"/>
      <c r="MEX5" s="390"/>
      <c r="MEY5" s="390"/>
      <c r="MEZ5" s="390"/>
      <c r="MFA5" s="390"/>
      <c r="MFB5" s="390"/>
      <c r="MFC5" s="390"/>
      <c r="MFD5" s="390"/>
      <c r="MFE5" s="390"/>
      <c r="MFF5" s="390"/>
      <c r="MFG5" s="390"/>
      <c r="MFH5" s="390"/>
      <c r="MFI5" s="390"/>
      <c r="MFJ5" s="390"/>
      <c r="MFK5" s="390"/>
      <c r="MFL5" s="390"/>
      <c r="MFM5" s="390"/>
      <c r="MFN5" s="390"/>
      <c r="MFO5" s="390"/>
      <c r="MFP5" s="390"/>
      <c r="MFQ5" s="390"/>
      <c r="MFR5" s="390"/>
      <c r="MFS5" s="390"/>
      <c r="MFT5" s="390"/>
      <c r="MFU5" s="390"/>
      <c r="MFV5" s="390"/>
      <c r="MFW5" s="390"/>
      <c r="MFX5" s="390"/>
      <c r="MFY5" s="390"/>
      <c r="MFZ5" s="390"/>
      <c r="MGA5" s="390"/>
      <c r="MGB5" s="390"/>
      <c r="MGC5" s="390"/>
      <c r="MGD5" s="390"/>
      <c r="MGE5" s="390"/>
      <c r="MGF5" s="390"/>
      <c r="MGG5" s="390"/>
      <c r="MGH5" s="390"/>
      <c r="MGI5" s="390"/>
      <c r="MGJ5" s="390"/>
      <c r="MGK5" s="390"/>
      <c r="MGL5" s="390"/>
      <c r="MGM5" s="390"/>
      <c r="MGN5" s="390"/>
      <c r="MGO5" s="390"/>
      <c r="MGP5" s="390"/>
      <c r="MGQ5" s="390"/>
      <c r="MGR5" s="390"/>
      <c r="MGS5" s="390"/>
      <c r="MGT5" s="390"/>
      <c r="MGU5" s="390"/>
      <c r="MGV5" s="390"/>
      <c r="MGW5" s="390"/>
      <c r="MGX5" s="390"/>
      <c r="MGY5" s="390"/>
      <c r="MGZ5" s="390"/>
      <c r="MHA5" s="390"/>
      <c r="MHB5" s="390"/>
      <c r="MHC5" s="390"/>
      <c r="MHD5" s="390"/>
      <c r="MHE5" s="390"/>
      <c r="MHF5" s="390"/>
      <c r="MHG5" s="390"/>
      <c r="MHH5" s="390"/>
      <c r="MHI5" s="390"/>
      <c r="MHJ5" s="390"/>
      <c r="MHK5" s="390"/>
      <c r="MHL5" s="390"/>
      <c r="MHM5" s="390"/>
      <c r="MHN5" s="390"/>
      <c r="MHO5" s="390"/>
      <c r="MHP5" s="390"/>
      <c r="MHQ5" s="390"/>
      <c r="MHR5" s="390"/>
      <c r="MHS5" s="390"/>
      <c r="MHT5" s="390"/>
      <c r="MHU5" s="390"/>
      <c r="MHV5" s="390"/>
      <c r="MHW5" s="390"/>
      <c r="MHX5" s="390"/>
      <c r="MHY5" s="390"/>
      <c r="MHZ5" s="390"/>
      <c r="MIA5" s="390"/>
      <c r="MIB5" s="390"/>
      <c r="MIC5" s="390"/>
      <c r="MID5" s="390"/>
      <c r="MIE5" s="390"/>
      <c r="MIF5" s="390"/>
      <c r="MIG5" s="390"/>
      <c r="MIH5" s="390"/>
      <c r="MII5" s="390"/>
      <c r="MIJ5" s="390"/>
      <c r="MIK5" s="390"/>
      <c r="MIL5" s="390"/>
      <c r="MIM5" s="390"/>
      <c r="MIN5" s="390"/>
      <c r="MIO5" s="390"/>
      <c r="MIP5" s="390"/>
      <c r="MIQ5" s="390"/>
      <c r="MIR5" s="390"/>
      <c r="MIS5" s="390"/>
      <c r="MIT5" s="390"/>
      <c r="MIU5" s="390"/>
      <c r="MIV5" s="390"/>
      <c r="MIW5" s="390"/>
      <c r="MIX5" s="390"/>
      <c r="MIY5" s="390"/>
      <c r="MIZ5" s="390"/>
      <c r="MJA5" s="390"/>
      <c r="MJB5" s="390"/>
      <c r="MJC5" s="390"/>
      <c r="MJD5" s="390"/>
      <c r="MJE5" s="390"/>
      <c r="MJF5" s="390"/>
      <c r="MJG5" s="390"/>
      <c r="MJH5" s="390"/>
      <c r="MJI5" s="390"/>
      <c r="MJJ5" s="390"/>
      <c r="MJK5" s="390"/>
      <c r="MJL5" s="390"/>
      <c r="MJM5" s="390"/>
      <c r="MJN5" s="390"/>
      <c r="MJO5" s="390"/>
      <c r="MJP5" s="390"/>
      <c r="MJQ5" s="390"/>
      <c r="MJR5" s="390"/>
      <c r="MJS5" s="390"/>
      <c r="MJT5" s="390"/>
      <c r="MJU5" s="390"/>
      <c r="MJV5" s="390"/>
      <c r="MJW5" s="390"/>
      <c r="MJX5" s="390"/>
      <c r="MJY5" s="390"/>
      <c r="MJZ5" s="390"/>
      <c r="MKA5" s="390"/>
      <c r="MKB5" s="390"/>
      <c r="MKC5" s="390"/>
      <c r="MKD5" s="390"/>
      <c r="MKE5" s="390"/>
      <c r="MKF5" s="390"/>
      <c r="MKG5" s="390"/>
      <c r="MKH5" s="390"/>
      <c r="MKI5" s="390"/>
      <c r="MKJ5" s="390"/>
      <c r="MKK5" s="390"/>
      <c r="MKL5" s="390"/>
      <c r="MKM5" s="390"/>
      <c r="MKN5" s="390"/>
      <c r="MKO5" s="390"/>
      <c r="MKP5" s="390"/>
      <c r="MKQ5" s="390"/>
      <c r="MKR5" s="390"/>
      <c r="MKS5" s="390"/>
      <c r="MKT5" s="390"/>
      <c r="MKU5" s="390"/>
      <c r="MKV5" s="390"/>
      <c r="MKW5" s="390"/>
      <c r="MKX5" s="390"/>
      <c r="MKY5" s="390"/>
      <c r="MKZ5" s="390"/>
      <c r="MLA5" s="390"/>
      <c r="MLB5" s="390"/>
      <c r="MLC5" s="390"/>
      <c r="MLD5" s="390"/>
      <c r="MLE5" s="390"/>
      <c r="MLF5" s="390"/>
      <c r="MLG5" s="390"/>
      <c r="MLH5" s="390"/>
      <c r="MLI5" s="390"/>
      <c r="MLJ5" s="390"/>
      <c r="MLK5" s="390"/>
      <c r="MLL5" s="390"/>
      <c r="MLM5" s="390"/>
      <c r="MLN5" s="390"/>
      <c r="MLO5" s="390"/>
      <c r="MLP5" s="390"/>
      <c r="MLQ5" s="390"/>
      <c r="MLR5" s="390"/>
      <c r="MLS5" s="390"/>
      <c r="MLT5" s="390"/>
      <c r="MLU5" s="390"/>
      <c r="MLV5" s="390"/>
      <c r="MLW5" s="390"/>
      <c r="MLX5" s="390"/>
      <c r="MLY5" s="390"/>
      <c r="MLZ5" s="390"/>
      <c r="MMA5" s="390"/>
      <c r="MMB5" s="390"/>
      <c r="MMC5" s="390"/>
      <c r="MMD5" s="390"/>
      <c r="MME5" s="390"/>
      <c r="MMF5" s="390"/>
      <c r="MMG5" s="390"/>
      <c r="MMH5" s="390"/>
      <c r="MMI5" s="390"/>
      <c r="MMJ5" s="390"/>
      <c r="MMK5" s="390"/>
      <c r="MML5" s="390"/>
      <c r="MMM5" s="390"/>
      <c r="MMN5" s="390"/>
      <c r="MMO5" s="390"/>
      <c r="MMP5" s="390"/>
      <c r="MMQ5" s="390"/>
      <c r="MMR5" s="390"/>
      <c r="MMS5" s="390"/>
      <c r="MMT5" s="390"/>
      <c r="MMU5" s="390"/>
      <c r="MMV5" s="390"/>
      <c r="MMW5" s="390"/>
      <c r="MMX5" s="390"/>
      <c r="MMY5" s="390"/>
      <c r="MMZ5" s="390"/>
      <c r="MNA5" s="390"/>
      <c r="MNB5" s="390"/>
      <c r="MNC5" s="390"/>
      <c r="MND5" s="390"/>
      <c r="MNE5" s="390"/>
      <c r="MNF5" s="390"/>
      <c r="MNG5" s="390"/>
      <c r="MNH5" s="390"/>
      <c r="MNI5" s="390"/>
      <c r="MNJ5" s="390"/>
      <c r="MNK5" s="390"/>
      <c r="MNL5" s="390"/>
      <c r="MNM5" s="390"/>
      <c r="MNN5" s="390"/>
      <c r="MNO5" s="390"/>
      <c r="MNP5" s="390"/>
      <c r="MNQ5" s="390"/>
      <c r="MNR5" s="390"/>
      <c r="MNS5" s="390"/>
      <c r="MNT5" s="390"/>
      <c r="MNU5" s="390"/>
      <c r="MNV5" s="390"/>
      <c r="MNW5" s="390"/>
      <c r="MNX5" s="390"/>
      <c r="MNY5" s="390"/>
      <c r="MNZ5" s="390"/>
      <c r="MOA5" s="390"/>
      <c r="MOB5" s="390"/>
      <c r="MOC5" s="390"/>
      <c r="MOD5" s="390"/>
      <c r="MOE5" s="390"/>
      <c r="MOF5" s="390"/>
      <c r="MOG5" s="390"/>
      <c r="MOH5" s="390"/>
      <c r="MOI5" s="390"/>
      <c r="MOJ5" s="390"/>
      <c r="MOK5" s="390"/>
      <c r="MOL5" s="390"/>
      <c r="MOM5" s="390"/>
      <c r="MON5" s="390"/>
      <c r="MOO5" s="390"/>
      <c r="MOP5" s="390"/>
      <c r="MOQ5" s="390"/>
      <c r="MOR5" s="390"/>
      <c r="MOS5" s="390"/>
      <c r="MOT5" s="390"/>
      <c r="MOU5" s="390"/>
      <c r="MOV5" s="390"/>
      <c r="MOW5" s="390"/>
      <c r="MOX5" s="390"/>
      <c r="MOY5" s="390"/>
      <c r="MOZ5" s="390"/>
      <c r="MPA5" s="390"/>
      <c r="MPB5" s="390"/>
      <c r="MPC5" s="390"/>
      <c r="MPD5" s="390"/>
      <c r="MPE5" s="390"/>
      <c r="MPF5" s="390"/>
      <c r="MPG5" s="390"/>
      <c r="MPH5" s="390"/>
      <c r="MPI5" s="390"/>
      <c r="MPJ5" s="390"/>
      <c r="MPK5" s="390"/>
      <c r="MPL5" s="390"/>
      <c r="MPM5" s="390"/>
      <c r="MPN5" s="390"/>
      <c r="MPO5" s="390"/>
      <c r="MPP5" s="390"/>
      <c r="MPQ5" s="390"/>
      <c r="MPR5" s="390"/>
      <c r="MPS5" s="390"/>
      <c r="MPT5" s="390"/>
      <c r="MPU5" s="390"/>
      <c r="MPV5" s="390"/>
      <c r="MPW5" s="390"/>
      <c r="MPX5" s="390"/>
      <c r="MPY5" s="390"/>
      <c r="MPZ5" s="390"/>
      <c r="MQA5" s="390"/>
      <c r="MQB5" s="390"/>
      <c r="MQC5" s="390"/>
      <c r="MQD5" s="390"/>
      <c r="MQE5" s="390"/>
      <c r="MQF5" s="390"/>
      <c r="MQG5" s="390"/>
      <c r="MQH5" s="390"/>
      <c r="MQI5" s="390"/>
      <c r="MQJ5" s="390"/>
      <c r="MQK5" s="390"/>
      <c r="MQL5" s="390"/>
      <c r="MQM5" s="390"/>
      <c r="MQN5" s="390"/>
      <c r="MQO5" s="390"/>
      <c r="MQP5" s="390"/>
      <c r="MQQ5" s="390"/>
      <c r="MQR5" s="390"/>
      <c r="MQS5" s="390"/>
      <c r="MQT5" s="390"/>
      <c r="MQU5" s="390"/>
      <c r="MQV5" s="390"/>
      <c r="MQW5" s="390"/>
      <c r="MQX5" s="390"/>
      <c r="MQY5" s="390"/>
      <c r="MQZ5" s="390"/>
      <c r="MRA5" s="390"/>
      <c r="MRB5" s="390"/>
      <c r="MRC5" s="390"/>
      <c r="MRD5" s="390"/>
      <c r="MRE5" s="390"/>
      <c r="MRF5" s="390"/>
      <c r="MRG5" s="390"/>
      <c r="MRH5" s="390"/>
      <c r="MRI5" s="390"/>
      <c r="MRJ5" s="390"/>
      <c r="MRK5" s="390"/>
      <c r="MRL5" s="390"/>
      <c r="MRM5" s="390"/>
      <c r="MRN5" s="390"/>
      <c r="MRO5" s="390"/>
      <c r="MRP5" s="390"/>
      <c r="MRQ5" s="390"/>
      <c r="MRR5" s="390"/>
      <c r="MRS5" s="390"/>
      <c r="MRT5" s="390"/>
      <c r="MRU5" s="390"/>
      <c r="MRV5" s="390"/>
      <c r="MRW5" s="390"/>
      <c r="MRX5" s="390"/>
      <c r="MRY5" s="390"/>
      <c r="MRZ5" s="390"/>
      <c r="MSA5" s="390"/>
      <c r="MSB5" s="390"/>
      <c r="MSC5" s="390"/>
      <c r="MSD5" s="390"/>
      <c r="MSE5" s="390"/>
      <c r="MSF5" s="390"/>
      <c r="MSG5" s="390"/>
      <c r="MSH5" s="390"/>
      <c r="MSI5" s="390"/>
      <c r="MSJ5" s="390"/>
      <c r="MSK5" s="390"/>
      <c r="MSL5" s="390"/>
      <c r="MSM5" s="390"/>
      <c r="MSN5" s="390"/>
      <c r="MSO5" s="390"/>
      <c r="MSP5" s="390"/>
      <c r="MSQ5" s="390"/>
      <c r="MSR5" s="390"/>
      <c r="MSS5" s="390"/>
      <c r="MST5" s="390"/>
      <c r="MSU5" s="390"/>
      <c r="MSV5" s="390"/>
      <c r="MSW5" s="390"/>
      <c r="MSX5" s="390"/>
      <c r="MSY5" s="390"/>
      <c r="MSZ5" s="390"/>
      <c r="MTA5" s="390"/>
      <c r="MTB5" s="390"/>
      <c r="MTC5" s="390"/>
      <c r="MTD5" s="390"/>
      <c r="MTE5" s="390"/>
      <c r="MTF5" s="390"/>
      <c r="MTG5" s="390"/>
      <c r="MTH5" s="390"/>
      <c r="MTI5" s="390"/>
      <c r="MTJ5" s="390"/>
      <c r="MTK5" s="390"/>
      <c r="MTL5" s="390"/>
      <c r="MTM5" s="390"/>
      <c r="MTN5" s="390"/>
      <c r="MTO5" s="390"/>
      <c r="MTP5" s="390"/>
      <c r="MTQ5" s="390"/>
      <c r="MTR5" s="390"/>
      <c r="MTS5" s="390"/>
      <c r="MTT5" s="390"/>
      <c r="MTU5" s="390"/>
      <c r="MTV5" s="390"/>
      <c r="MTW5" s="390"/>
      <c r="MTX5" s="390"/>
      <c r="MTY5" s="390"/>
      <c r="MTZ5" s="390"/>
      <c r="MUA5" s="390"/>
      <c r="MUB5" s="390"/>
      <c r="MUC5" s="390"/>
      <c r="MUD5" s="390"/>
      <c r="MUE5" s="390"/>
      <c r="MUF5" s="390"/>
      <c r="MUG5" s="390"/>
      <c r="MUH5" s="390"/>
      <c r="MUI5" s="390"/>
      <c r="MUJ5" s="390"/>
      <c r="MUK5" s="390"/>
      <c r="MUL5" s="390"/>
      <c r="MUM5" s="390"/>
      <c r="MUN5" s="390"/>
      <c r="MUO5" s="390"/>
      <c r="MUP5" s="390"/>
      <c r="MUQ5" s="390"/>
      <c r="MUR5" s="390"/>
      <c r="MUS5" s="390"/>
      <c r="MUT5" s="390"/>
      <c r="MUU5" s="390"/>
      <c r="MUV5" s="390"/>
      <c r="MUW5" s="390"/>
      <c r="MUX5" s="390"/>
      <c r="MUY5" s="390"/>
      <c r="MUZ5" s="390"/>
      <c r="MVA5" s="390"/>
      <c r="MVB5" s="390"/>
      <c r="MVC5" s="390"/>
      <c r="MVD5" s="390"/>
      <c r="MVE5" s="390"/>
      <c r="MVF5" s="390"/>
      <c r="MVG5" s="390"/>
      <c r="MVH5" s="390"/>
      <c r="MVI5" s="390"/>
      <c r="MVJ5" s="390"/>
      <c r="MVK5" s="390"/>
      <c r="MVL5" s="390"/>
      <c r="MVM5" s="390"/>
      <c r="MVN5" s="390"/>
      <c r="MVO5" s="390"/>
      <c r="MVP5" s="390"/>
      <c r="MVQ5" s="390"/>
      <c r="MVR5" s="390"/>
      <c r="MVS5" s="390"/>
      <c r="MVT5" s="390"/>
      <c r="MVU5" s="390"/>
      <c r="MVV5" s="390"/>
      <c r="MVW5" s="390"/>
      <c r="MVX5" s="390"/>
      <c r="MVY5" s="390"/>
      <c r="MVZ5" s="390"/>
      <c r="MWA5" s="390"/>
      <c r="MWB5" s="390"/>
      <c r="MWC5" s="390"/>
      <c r="MWD5" s="390"/>
      <c r="MWE5" s="390"/>
      <c r="MWF5" s="390"/>
      <c r="MWG5" s="390"/>
      <c r="MWH5" s="390"/>
      <c r="MWI5" s="390"/>
      <c r="MWJ5" s="390"/>
      <c r="MWK5" s="390"/>
      <c r="MWL5" s="390"/>
      <c r="MWM5" s="390"/>
      <c r="MWN5" s="390"/>
      <c r="MWO5" s="390"/>
      <c r="MWP5" s="390"/>
      <c r="MWQ5" s="390"/>
      <c r="MWR5" s="390"/>
      <c r="MWS5" s="390"/>
      <c r="MWT5" s="390"/>
      <c r="MWU5" s="390"/>
      <c r="MWV5" s="390"/>
      <c r="MWW5" s="390"/>
      <c r="MWX5" s="390"/>
      <c r="MWY5" s="390"/>
      <c r="MWZ5" s="390"/>
      <c r="MXA5" s="390"/>
      <c r="MXB5" s="390"/>
      <c r="MXC5" s="390"/>
      <c r="MXD5" s="390"/>
      <c r="MXE5" s="390"/>
      <c r="MXF5" s="390"/>
      <c r="MXG5" s="390"/>
      <c r="MXH5" s="390"/>
      <c r="MXI5" s="390"/>
      <c r="MXJ5" s="390"/>
      <c r="MXK5" s="390"/>
      <c r="MXL5" s="390"/>
      <c r="MXM5" s="390"/>
      <c r="MXN5" s="390"/>
      <c r="MXO5" s="390"/>
      <c r="MXP5" s="390"/>
      <c r="MXQ5" s="390"/>
      <c r="MXR5" s="390"/>
      <c r="MXS5" s="390"/>
      <c r="MXT5" s="390"/>
      <c r="MXU5" s="390"/>
      <c r="MXV5" s="390"/>
      <c r="MXW5" s="390"/>
      <c r="MXX5" s="390"/>
      <c r="MXY5" s="390"/>
      <c r="MXZ5" s="390"/>
      <c r="MYA5" s="390"/>
      <c r="MYB5" s="390"/>
      <c r="MYC5" s="390"/>
      <c r="MYD5" s="390"/>
      <c r="MYE5" s="390"/>
      <c r="MYF5" s="390"/>
      <c r="MYG5" s="390"/>
      <c r="MYH5" s="390"/>
      <c r="MYI5" s="390"/>
      <c r="MYJ5" s="390"/>
      <c r="MYK5" s="390"/>
      <c r="MYL5" s="390"/>
      <c r="MYM5" s="390"/>
      <c r="MYN5" s="390"/>
      <c r="MYO5" s="390"/>
      <c r="MYP5" s="390"/>
      <c r="MYQ5" s="390"/>
      <c r="MYR5" s="390"/>
      <c r="MYS5" s="390"/>
      <c r="MYT5" s="390"/>
      <c r="MYU5" s="390"/>
      <c r="MYV5" s="390"/>
      <c r="MYW5" s="390"/>
      <c r="MYX5" s="390"/>
      <c r="MYY5" s="390"/>
      <c r="MYZ5" s="390"/>
      <c r="MZA5" s="390"/>
      <c r="MZB5" s="390"/>
      <c r="MZC5" s="390"/>
      <c r="MZD5" s="390"/>
      <c r="MZE5" s="390"/>
      <c r="MZF5" s="390"/>
      <c r="MZG5" s="390"/>
      <c r="MZH5" s="390"/>
      <c r="MZI5" s="390"/>
      <c r="MZJ5" s="390"/>
      <c r="MZK5" s="390"/>
      <c r="MZL5" s="390"/>
      <c r="MZM5" s="390"/>
      <c r="MZN5" s="390"/>
      <c r="MZO5" s="390"/>
      <c r="MZP5" s="390"/>
      <c r="MZQ5" s="390"/>
      <c r="MZR5" s="390"/>
      <c r="MZS5" s="390"/>
      <c r="MZT5" s="390"/>
      <c r="MZU5" s="390"/>
      <c r="MZV5" s="390"/>
      <c r="MZW5" s="390"/>
      <c r="MZX5" s="390"/>
      <c r="MZY5" s="390"/>
      <c r="MZZ5" s="390"/>
      <c r="NAA5" s="390"/>
      <c r="NAB5" s="390"/>
      <c r="NAC5" s="390"/>
      <c r="NAD5" s="390"/>
      <c r="NAE5" s="390"/>
      <c r="NAF5" s="390"/>
      <c r="NAG5" s="390"/>
      <c r="NAH5" s="390"/>
      <c r="NAI5" s="390"/>
      <c r="NAJ5" s="390"/>
      <c r="NAK5" s="390"/>
      <c r="NAL5" s="390"/>
      <c r="NAM5" s="390"/>
      <c r="NAN5" s="390"/>
      <c r="NAO5" s="390"/>
      <c r="NAP5" s="390"/>
      <c r="NAQ5" s="390"/>
      <c r="NAR5" s="390"/>
      <c r="NAS5" s="390"/>
      <c r="NAT5" s="390"/>
      <c r="NAU5" s="390"/>
      <c r="NAV5" s="390"/>
      <c r="NAW5" s="390"/>
      <c r="NAX5" s="390"/>
      <c r="NAY5" s="390"/>
      <c r="NAZ5" s="390"/>
      <c r="NBA5" s="390"/>
      <c r="NBB5" s="390"/>
      <c r="NBC5" s="390"/>
      <c r="NBD5" s="390"/>
      <c r="NBE5" s="390"/>
      <c r="NBF5" s="390"/>
      <c r="NBG5" s="390"/>
      <c r="NBH5" s="390"/>
      <c r="NBI5" s="390"/>
      <c r="NBJ5" s="390"/>
      <c r="NBK5" s="390"/>
      <c r="NBL5" s="390"/>
      <c r="NBM5" s="390"/>
      <c r="NBN5" s="390"/>
      <c r="NBO5" s="390"/>
      <c r="NBP5" s="390"/>
      <c r="NBQ5" s="390"/>
      <c r="NBR5" s="390"/>
      <c r="NBS5" s="390"/>
      <c r="NBT5" s="390"/>
      <c r="NBU5" s="390"/>
      <c r="NBV5" s="390"/>
      <c r="NBW5" s="390"/>
      <c r="NBX5" s="390"/>
      <c r="NBY5" s="390"/>
      <c r="NBZ5" s="390"/>
      <c r="NCA5" s="390"/>
      <c r="NCB5" s="390"/>
      <c r="NCC5" s="390"/>
      <c r="NCD5" s="390"/>
      <c r="NCE5" s="390"/>
      <c r="NCF5" s="390"/>
      <c r="NCG5" s="390"/>
      <c r="NCH5" s="390"/>
      <c r="NCI5" s="390"/>
      <c r="NCJ5" s="390"/>
      <c r="NCK5" s="390"/>
      <c r="NCL5" s="390"/>
      <c r="NCM5" s="390"/>
      <c r="NCN5" s="390"/>
      <c r="NCO5" s="390"/>
      <c r="NCP5" s="390"/>
      <c r="NCQ5" s="390"/>
      <c r="NCR5" s="390"/>
      <c r="NCS5" s="390"/>
      <c r="NCT5" s="390"/>
      <c r="NCU5" s="390"/>
      <c r="NCV5" s="390"/>
      <c r="NCW5" s="390"/>
      <c r="NCX5" s="390"/>
      <c r="NCY5" s="390"/>
      <c r="NCZ5" s="390"/>
      <c r="NDA5" s="390"/>
      <c r="NDB5" s="390"/>
      <c r="NDC5" s="390"/>
      <c r="NDD5" s="390"/>
      <c r="NDE5" s="390"/>
      <c r="NDF5" s="390"/>
      <c r="NDG5" s="390"/>
      <c r="NDH5" s="390"/>
      <c r="NDI5" s="390"/>
      <c r="NDJ5" s="390"/>
      <c r="NDK5" s="390"/>
      <c r="NDL5" s="390"/>
      <c r="NDM5" s="390"/>
      <c r="NDN5" s="390"/>
      <c r="NDO5" s="390"/>
      <c r="NDP5" s="390"/>
      <c r="NDQ5" s="390"/>
      <c r="NDR5" s="390"/>
      <c r="NDS5" s="390"/>
      <c r="NDT5" s="390"/>
      <c r="NDU5" s="390"/>
      <c r="NDV5" s="390"/>
      <c r="NDW5" s="390"/>
      <c r="NDX5" s="390"/>
      <c r="NDY5" s="390"/>
      <c r="NDZ5" s="390"/>
      <c r="NEA5" s="390"/>
      <c r="NEB5" s="390"/>
      <c r="NEC5" s="390"/>
      <c r="NED5" s="390"/>
      <c r="NEE5" s="390"/>
      <c r="NEF5" s="390"/>
      <c r="NEG5" s="390"/>
      <c r="NEH5" s="390"/>
      <c r="NEI5" s="390"/>
      <c r="NEJ5" s="390"/>
      <c r="NEK5" s="390"/>
      <c r="NEL5" s="390"/>
      <c r="NEM5" s="390"/>
      <c r="NEN5" s="390"/>
      <c r="NEO5" s="390"/>
      <c r="NEP5" s="390"/>
      <c r="NEQ5" s="390"/>
      <c r="NER5" s="390"/>
      <c r="NES5" s="390"/>
      <c r="NET5" s="390"/>
      <c r="NEU5" s="390"/>
      <c r="NEV5" s="390"/>
      <c r="NEW5" s="390"/>
      <c r="NEX5" s="390"/>
      <c r="NEY5" s="390"/>
      <c r="NEZ5" s="390"/>
      <c r="NFA5" s="390"/>
      <c r="NFB5" s="390"/>
      <c r="NFC5" s="390"/>
      <c r="NFD5" s="390"/>
      <c r="NFE5" s="390"/>
      <c r="NFF5" s="390"/>
      <c r="NFG5" s="390"/>
      <c r="NFH5" s="390"/>
      <c r="NFI5" s="390"/>
      <c r="NFJ5" s="390"/>
      <c r="NFK5" s="390"/>
      <c r="NFL5" s="390"/>
      <c r="NFM5" s="390"/>
      <c r="NFN5" s="390"/>
      <c r="NFO5" s="390"/>
      <c r="NFP5" s="390"/>
      <c r="NFQ5" s="390"/>
      <c r="NFR5" s="390"/>
      <c r="NFS5" s="390"/>
      <c r="NFT5" s="390"/>
      <c r="NFU5" s="390"/>
      <c r="NFV5" s="390"/>
      <c r="NFW5" s="390"/>
      <c r="NFX5" s="390"/>
      <c r="NFY5" s="390"/>
      <c r="NFZ5" s="390"/>
      <c r="NGA5" s="390"/>
      <c r="NGB5" s="390"/>
      <c r="NGC5" s="390"/>
      <c r="NGD5" s="390"/>
      <c r="NGE5" s="390"/>
      <c r="NGF5" s="390"/>
      <c r="NGG5" s="390"/>
      <c r="NGH5" s="390"/>
      <c r="NGI5" s="390"/>
      <c r="NGJ5" s="390"/>
      <c r="NGK5" s="390"/>
      <c r="NGL5" s="390"/>
      <c r="NGM5" s="390"/>
      <c r="NGN5" s="390"/>
      <c r="NGO5" s="390"/>
      <c r="NGP5" s="390"/>
      <c r="NGQ5" s="390"/>
      <c r="NGR5" s="390"/>
      <c r="NGS5" s="390"/>
      <c r="NGT5" s="390"/>
      <c r="NGU5" s="390"/>
      <c r="NGV5" s="390"/>
      <c r="NGW5" s="390"/>
      <c r="NGX5" s="390"/>
      <c r="NGY5" s="390"/>
      <c r="NGZ5" s="390"/>
      <c r="NHA5" s="390"/>
      <c r="NHB5" s="390"/>
      <c r="NHC5" s="390"/>
      <c r="NHD5" s="390"/>
      <c r="NHE5" s="390"/>
      <c r="NHF5" s="390"/>
      <c r="NHG5" s="390"/>
      <c r="NHH5" s="390"/>
      <c r="NHI5" s="390"/>
      <c r="NHJ5" s="390"/>
      <c r="NHK5" s="390"/>
      <c r="NHL5" s="390"/>
      <c r="NHM5" s="390"/>
      <c r="NHN5" s="390"/>
      <c r="NHO5" s="390"/>
      <c r="NHP5" s="390"/>
      <c r="NHQ5" s="390"/>
      <c r="NHR5" s="390"/>
      <c r="NHS5" s="390"/>
      <c r="NHT5" s="390"/>
      <c r="NHU5" s="390"/>
      <c r="NHV5" s="390"/>
      <c r="NHW5" s="390"/>
      <c r="NHX5" s="390"/>
      <c r="NHY5" s="390"/>
      <c r="NHZ5" s="390"/>
      <c r="NIA5" s="390"/>
      <c r="NIB5" s="390"/>
      <c r="NIC5" s="390"/>
      <c r="NID5" s="390"/>
      <c r="NIE5" s="390"/>
      <c r="NIF5" s="390"/>
      <c r="NIG5" s="390"/>
      <c r="NIH5" s="390"/>
      <c r="NII5" s="390"/>
      <c r="NIJ5" s="390"/>
      <c r="NIK5" s="390"/>
      <c r="NIL5" s="390"/>
      <c r="NIM5" s="390"/>
      <c r="NIN5" s="390"/>
      <c r="NIO5" s="390"/>
      <c r="NIP5" s="390"/>
      <c r="NIQ5" s="390"/>
      <c r="NIR5" s="390"/>
      <c r="NIS5" s="390"/>
      <c r="NIT5" s="390"/>
      <c r="NIU5" s="390"/>
      <c r="NIV5" s="390"/>
      <c r="NIW5" s="390"/>
      <c r="NIX5" s="390"/>
      <c r="NIY5" s="390"/>
      <c r="NIZ5" s="390"/>
      <c r="NJA5" s="390"/>
      <c r="NJB5" s="390"/>
      <c r="NJC5" s="390"/>
      <c r="NJD5" s="390"/>
      <c r="NJE5" s="390"/>
      <c r="NJF5" s="390"/>
      <c r="NJG5" s="390"/>
      <c r="NJH5" s="390"/>
      <c r="NJI5" s="390"/>
      <c r="NJJ5" s="390"/>
      <c r="NJK5" s="390"/>
      <c r="NJL5" s="390"/>
      <c r="NJM5" s="390"/>
      <c r="NJN5" s="390"/>
      <c r="NJO5" s="390"/>
      <c r="NJP5" s="390"/>
      <c r="NJQ5" s="390"/>
      <c r="NJR5" s="390"/>
      <c r="NJS5" s="390"/>
      <c r="NJT5" s="390"/>
      <c r="NJU5" s="390"/>
      <c r="NJV5" s="390"/>
      <c r="NJW5" s="390"/>
      <c r="NJX5" s="390"/>
      <c r="NJY5" s="390"/>
      <c r="NJZ5" s="390"/>
      <c r="NKA5" s="390"/>
      <c r="NKB5" s="390"/>
      <c r="NKC5" s="390"/>
      <c r="NKD5" s="390"/>
      <c r="NKE5" s="390"/>
      <c r="NKF5" s="390"/>
      <c r="NKG5" s="390"/>
      <c r="NKH5" s="390"/>
      <c r="NKI5" s="390"/>
      <c r="NKJ5" s="390"/>
      <c r="NKK5" s="390"/>
      <c r="NKL5" s="390"/>
      <c r="NKM5" s="390"/>
      <c r="NKN5" s="390"/>
      <c r="NKO5" s="390"/>
      <c r="NKP5" s="390"/>
      <c r="NKQ5" s="390"/>
      <c r="NKR5" s="390"/>
      <c r="NKS5" s="390"/>
      <c r="NKT5" s="390"/>
      <c r="NKU5" s="390"/>
      <c r="NKV5" s="390"/>
      <c r="NKW5" s="390"/>
      <c r="NKX5" s="390"/>
      <c r="NKY5" s="390"/>
      <c r="NKZ5" s="390"/>
      <c r="NLA5" s="390"/>
      <c r="NLB5" s="390"/>
      <c r="NLC5" s="390"/>
      <c r="NLD5" s="390"/>
      <c r="NLE5" s="390"/>
      <c r="NLF5" s="390"/>
      <c r="NLG5" s="390"/>
      <c r="NLH5" s="390"/>
      <c r="NLI5" s="390"/>
      <c r="NLJ5" s="390"/>
      <c r="NLK5" s="390"/>
      <c r="NLL5" s="390"/>
      <c r="NLM5" s="390"/>
      <c r="NLN5" s="390"/>
      <c r="NLO5" s="390"/>
      <c r="NLP5" s="390"/>
      <c r="NLQ5" s="390"/>
      <c r="NLR5" s="390"/>
      <c r="NLS5" s="390"/>
      <c r="NLT5" s="390"/>
      <c r="NLU5" s="390"/>
      <c r="NLV5" s="390"/>
      <c r="NLW5" s="390"/>
      <c r="NLX5" s="390"/>
      <c r="NLY5" s="390"/>
      <c r="NLZ5" s="390"/>
      <c r="NMA5" s="390"/>
      <c r="NMB5" s="390"/>
      <c r="NMC5" s="390"/>
      <c r="NMD5" s="390"/>
      <c r="NME5" s="390"/>
      <c r="NMF5" s="390"/>
      <c r="NMG5" s="390"/>
      <c r="NMH5" s="390"/>
      <c r="NMI5" s="390"/>
      <c r="NMJ5" s="390"/>
      <c r="NMK5" s="390"/>
      <c r="NML5" s="390"/>
      <c r="NMM5" s="390"/>
      <c r="NMN5" s="390"/>
      <c r="NMO5" s="390"/>
      <c r="NMP5" s="390"/>
      <c r="NMQ5" s="390"/>
      <c r="NMR5" s="390"/>
      <c r="NMS5" s="390"/>
      <c r="NMT5" s="390"/>
      <c r="NMU5" s="390"/>
      <c r="NMV5" s="390"/>
      <c r="NMW5" s="390"/>
      <c r="NMX5" s="390"/>
      <c r="NMY5" s="390"/>
      <c r="NMZ5" s="390"/>
      <c r="NNA5" s="390"/>
      <c r="NNB5" s="390"/>
      <c r="NNC5" s="390"/>
      <c r="NND5" s="390"/>
      <c r="NNE5" s="390"/>
      <c r="NNF5" s="390"/>
      <c r="NNG5" s="390"/>
      <c r="NNH5" s="390"/>
      <c r="NNI5" s="390"/>
      <c r="NNJ5" s="390"/>
      <c r="NNK5" s="390"/>
      <c r="NNL5" s="390"/>
      <c r="NNM5" s="390"/>
      <c r="NNN5" s="390"/>
      <c r="NNO5" s="390"/>
      <c r="NNP5" s="390"/>
      <c r="NNQ5" s="390"/>
      <c r="NNR5" s="390"/>
      <c r="NNS5" s="390"/>
      <c r="NNT5" s="390"/>
      <c r="NNU5" s="390"/>
      <c r="NNV5" s="390"/>
      <c r="NNW5" s="390"/>
      <c r="NNX5" s="390"/>
      <c r="NNY5" s="390"/>
      <c r="NNZ5" s="390"/>
      <c r="NOA5" s="390"/>
      <c r="NOB5" s="390"/>
      <c r="NOC5" s="390"/>
      <c r="NOD5" s="390"/>
      <c r="NOE5" s="390"/>
      <c r="NOF5" s="390"/>
      <c r="NOG5" s="390"/>
      <c r="NOH5" s="390"/>
      <c r="NOI5" s="390"/>
      <c r="NOJ5" s="390"/>
      <c r="NOK5" s="390"/>
      <c r="NOL5" s="390"/>
      <c r="NOM5" s="390"/>
      <c r="NON5" s="390"/>
      <c r="NOO5" s="390"/>
      <c r="NOP5" s="390"/>
      <c r="NOQ5" s="390"/>
      <c r="NOR5" s="390"/>
      <c r="NOS5" s="390"/>
      <c r="NOT5" s="390"/>
      <c r="NOU5" s="390"/>
      <c r="NOV5" s="390"/>
      <c r="NOW5" s="390"/>
      <c r="NOX5" s="390"/>
      <c r="NOY5" s="390"/>
      <c r="NOZ5" s="390"/>
      <c r="NPA5" s="390"/>
      <c r="NPB5" s="390"/>
      <c r="NPC5" s="390"/>
      <c r="NPD5" s="390"/>
      <c r="NPE5" s="390"/>
      <c r="NPF5" s="390"/>
      <c r="NPG5" s="390"/>
      <c r="NPH5" s="390"/>
      <c r="NPI5" s="390"/>
      <c r="NPJ5" s="390"/>
      <c r="NPK5" s="390"/>
      <c r="NPL5" s="390"/>
      <c r="NPM5" s="390"/>
      <c r="NPN5" s="390"/>
      <c r="NPO5" s="390"/>
      <c r="NPP5" s="390"/>
      <c r="NPQ5" s="390"/>
      <c r="NPR5" s="390"/>
      <c r="NPS5" s="390"/>
      <c r="NPT5" s="390"/>
      <c r="NPU5" s="390"/>
      <c r="NPV5" s="390"/>
      <c r="NPW5" s="390"/>
      <c r="NPX5" s="390"/>
      <c r="NPY5" s="390"/>
      <c r="NPZ5" s="390"/>
      <c r="NQA5" s="390"/>
      <c r="NQB5" s="390"/>
      <c r="NQC5" s="390"/>
      <c r="NQD5" s="390"/>
      <c r="NQE5" s="390"/>
      <c r="NQF5" s="390"/>
      <c r="NQG5" s="390"/>
      <c r="NQH5" s="390"/>
      <c r="NQI5" s="390"/>
      <c r="NQJ5" s="390"/>
      <c r="NQK5" s="390"/>
      <c r="NQL5" s="390"/>
      <c r="NQM5" s="390"/>
      <c r="NQN5" s="390"/>
      <c r="NQO5" s="390"/>
      <c r="NQP5" s="390"/>
      <c r="NQQ5" s="390"/>
      <c r="NQR5" s="390"/>
      <c r="NQS5" s="390"/>
      <c r="NQT5" s="390"/>
      <c r="NQU5" s="390"/>
      <c r="NQV5" s="390"/>
      <c r="NQW5" s="390"/>
      <c r="NQX5" s="390"/>
      <c r="NQY5" s="390"/>
      <c r="NQZ5" s="390"/>
      <c r="NRA5" s="390"/>
      <c r="NRB5" s="390"/>
      <c r="NRC5" s="390"/>
      <c r="NRD5" s="390"/>
      <c r="NRE5" s="390"/>
      <c r="NRF5" s="390"/>
      <c r="NRG5" s="390"/>
      <c r="NRH5" s="390"/>
      <c r="NRI5" s="390"/>
      <c r="NRJ5" s="390"/>
      <c r="NRK5" s="390"/>
      <c r="NRL5" s="390"/>
      <c r="NRM5" s="390"/>
      <c r="NRN5" s="390"/>
      <c r="NRO5" s="390"/>
      <c r="NRP5" s="390"/>
      <c r="NRQ5" s="390"/>
      <c r="NRR5" s="390"/>
      <c r="NRS5" s="390"/>
      <c r="NRT5" s="390"/>
      <c r="NRU5" s="390"/>
      <c r="NRV5" s="390"/>
      <c r="NRW5" s="390"/>
      <c r="NRX5" s="390"/>
      <c r="NRY5" s="390"/>
      <c r="NRZ5" s="390"/>
      <c r="NSA5" s="390"/>
      <c r="NSB5" s="390"/>
      <c r="NSC5" s="390"/>
      <c r="NSD5" s="390"/>
      <c r="NSE5" s="390"/>
      <c r="NSF5" s="390"/>
      <c r="NSG5" s="390"/>
      <c r="NSH5" s="390"/>
      <c r="NSI5" s="390"/>
      <c r="NSJ5" s="390"/>
      <c r="NSK5" s="390"/>
      <c r="NSL5" s="390"/>
      <c r="NSM5" s="390"/>
      <c r="NSN5" s="390"/>
      <c r="NSO5" s="390"/>
      <c r="NSP5" s="390"/>
      <c r="NSQ5" s="390"/>
      <c r="NSR5" s="390"/>
      <c r="NSS5" s="390"/>
      <c r="NST5" s="390"/>
      <c r="NSU5" s="390"/>
      <c r="NSV5" s="390"/>
      <c r="NSW5" s="390"/>
      <c r="NSX5" s="390"/>
      <c r="NSY5" s="390"/>
      <c r="NSZ5" s="390"/>
      <c r="NTA5" s="390"/>
      <c r="NTB5" s="390"/>
      <c r="NTC5" s="390"/>
      <c r="NTD5" s="390"/>
      <c r="NTE5" s="390"/>
      <c r="NTF5" s="390"/>
      <c r="NTG5" s="390"/>
      <c r="NTH5" s="390"/>
      <c r="NTI5" s="390"/>
      <c r="NTJ5" s="390"/>
      <c r="NTK5" s="390"/>
      <c r="NTL5" s="390"/>
      <c r="NTM5" s="390"/>
      <c r="NTN5" s="390"/>
      <c r="NTO5" s="390"/>
      <c r="NTP5" s="390"/>
      <c r="NTQ5" s="390"/>
      <c r="NTR5" s="390"/>
      <c r="NTS5" s="390"/>
      <c r="NTT5" s="390"/>
      <c r="NTU5" s="390"/>
      <c r="NTV5" s="390"/>
      <c r="NTW5" s="390"/>
      <c r="NTX5" s="390"/>
      <c r="NTY5" s="390"/>
      <c r="NTZ5" s="390"/>
      <c r="NUA5" s="390"/>
      <c r="NUB5" s="390"/>
      <c r="NUC5" s="390"/>
      <c r="NUD5" s="390"/>
      <c r="NUE5" s="390"/>
      <c r="NUF5" s="390"/>
      <c r="NUG5" s="390"/>
      <c r="NUH5" s="390"/>
      <c r="NUI5" s="390"/>
      <c r="NUJ5" s="390"/>
      <c r="NUK5" s="390"/>
      <c r="NUL5" s="390"/>
      <c r="NUM5" s="390"/>
      <c r="NUN5" s="390"/>
      <c r="NUO5" s="390"/>
      <c r="NUP5" s="390"/>
      <c r="NUQ5" s="390"/>
      <c r="NUR5" s="390"/>
      <c r="NUS5" s="390"/>
      <c r="NUT5" s="390"/>
      <c r="NUU5" s="390"/>
      <c r="NUV5" s="390"/>
      <c r="NUW5" s="390"/>
      <c r="NUX5" s="390"/>
      <c r="NUY5" s="390"/>
      <c r="NUZ5" s="390"/>
      <c r="NVA5" s="390"/>
      <c r="NVB5" s="390"/>
      <c r="NVC5" s="390"/>
      <c r="NVD5" s="390"/>
      <c r="NVE5" s="390"/>
      <c r="NVF5" s="390"/>
      <c r="NVG5" s="390"/>
      <c r="NVH5" s="390"/>
      <c r="NVI5" s="390"/>
      <c r="NVJ5" s="390"/>
      <c r="NVK5" s="390"/>
      <c r="NVL5" s="390"/>
      <c r="NVM5" s="390"/>
      <c r="NVN5" s="390"/>
      <c r="NVO5" s="390"/>
      <c r="NVP5" s="390"/>
      <c r="NVQ5" s="390"/>
      <c r="NVR5" s="390"/>
      <c r="NVS5" s="390"/>
      <c r="NVT5" s="390"/>
      <c r="NVU5" s="390"/>
      <c r="NVV5" s="390"/>
      <c r="NVW5" s="390"/>
      <c r="NVX5" s="390"/>
      <c r="NVY5" s="390"/>
      <c r="NVZ5" s="390"/>
      <c r="NWA5" s="390"/>
      <c r="NWB5" s="390"/>
      <c r="NWC5" s="390"/>
      <c r="NWD5" s="390"/>
      <c r="NWE5" s="390"/>
      <c r="NWF5" s="390"/>
      <c r="NWG5" s="390"/>
      <c r="NWH5" s="390"/>
      <c r="NWI5" s="390"/>
      <c r="NWJ5" s="390"/>
      <c r="NWK5" s="390"/>
      <c r="NWL5" s="390"/>
      <c r="NWM5" s="390"/>
      <c r="NWN5" s="390"/>
      <c r="NWO5" s="390"/>
      <c r="NWP5" s="390"/>
      <c r="NWQ5" s="390"/>
      <c r="NWR5" s="390"/>
      <c r="NWS5" s="390"/>
      <c r="NWT5" s="390"/>
      <c r="NWU5" s="390"/>
      <c r="NWV5" s="390"/>
      <c r="NWW5" s="390"/>
      <c r="NWX5" s="390"/>
      <c r="NWY5" s="390"/>
      <c r="NWZ5" s="390"/>
      <c r="NXA5" s="390"/>
      <c r="NXB5" s="390"/>
      <c r="NXC5" s="390"/>
      <c r="NXD5" s="390"/>
      <c r="NXE5" s="390"/>
      <c r="NXF5" s="390"/>
      <c r="NXG5" s="390"/>
      <c r="NXH5" s="390"/>
      <c r="NXI5" s="390"/>
      <c r="NXJ5" s="390"/>
      <c r="NXK5" s="390"/>
      <c r="NXL5" s="390"/>
      <c r="NXM5" s="390"/>
      <c r="NXN5" s="390"/>
      <c r="NXO5" s="390"/>
      <c r="NXP5" s="390"/>
      <c r="NXQ5" s="390"/>
      <c r="NXR5" s="390"/>
      <c r="NXS5" s="390"/>
      <c r="NXT5" s="390"/>
      <c r="NXU5" s="390"/>
      <c r="NXV5" s="390"/>
      <c r="NXW5" s="390"/>
      <c r="NXX5" s="390"/>
      <c r="NXY5" s="390"/>
      <c r="NXZ5" s="390"/>
      <c r="NYA5" s="390"/>
      <c r="NYB5" s="390"/>
      <c r="NYC5" s="390"/>
      <c r="NYD5" s="390"/>
      <c r="NYE5" s="390"/>
      <c r="NYF5" s="390"/>
      <c r="NYG5" s="390"/>
      <c r="NYH5" s="390"/>
      <c r="NYI5" s="390"/>
      <c r="NYJ5" s="390"/>
      <c r="NYK5" s="390"/>
      <c r="NYL5" s="390"/>
      <c r="NYM5" s="390"/>
      <c r="NYN5" s="390"/>
      <c r="NYO5" s="390"/>
      <c r="NYP5" s="390"/>
      <c r="NYQ5" s="390"/>
      <c r="NYR5" s="390"/>
      <c r="NYS5" s="390"/>
      <c r="NYT5" s="390"/>
      <c r="NYU5" s="390"/>
      <c r="NYV5" s="390"/>
      <c r="NYW5" s="390"/>
      <c r="NYX5" s="390"/>
      <c r="NYY5" s="390"/>
      <c r="NYZ5" s="390"/>
      <c r="NZA5" s="390"/>
      <c r="NZB5" s="390"/>
      <c r="NZC5" s="390"/>
      <c r="NZD5" s="390"/>
      <c r="NZE5" s="390"/>
      <c r="NZF5" s="390"/>
      <c r="NZG5" s="390"/>
      <c r="NZH5" s="390"/>
      <c r="NZI5" s="390"/>
      <c r="NZJ5" s="390"/>
      <c r="NZK5" s="390"/>
      <c r="NZL5" s="390"/>
      <c r="NZM5" s="390"/>
      <c r="NZN5" s="390"/>
      <c r="NZO5" s="390"/>
      <c r="NZP5" s="390"/>
      <c r="NZQ5" s="390"/>
      <c r="NZR5" s="390"/>
      <c r="NZS5" s="390"/>
      <c r="NZT5" s="390"/>
      <c r="NZU5" s="390"/>
      <c r="NZV5" s="390"/>
      <c r="NZW5" s="390"/>
      <c r="NZX5" s="390"/>
      <c r="NZY5" s="390"/>
      <c r="NZZ5" s="390"/>
      <c r="OAA5" s="390"/>
      <c r="OAB5" s="390"/>
      <c r="OAC5" s="390"/>
      <c r="OAD5" s="390"/>
      <c r="OAE5" s="390"/>
      <c r="OAF5" s="390"/>
      <c r="OAG5" s="390"/>
      <c r="OAH5" s="390"/>
      <c r="OAI5" s="390"/>
      <c r="OAJ5" s="390"/>
      <c r="OAK5" s="390"/>
      <c r="OAL5" s="390"/>
      <c r="OAM5" s="390"/>
      <c r="OAN5" s="390"/>
      <c r="OAO5" s="390"/>
      <c r="OAP5" s="390"/>
      <c r="OAQ5" s="390"/>
      <c r="OAR5" s="390"/>
      <c r="OAS5" s="390"/>
      <c r="OAT5" s="390"/>
      <c r="OAU5" s="390"/>
      <c r="OAV5" s="390"/>
      <c r="OAW5" s="390"/>
      <c r="OAX5" s="390"/>
      <c r="OAY5" s="390"/>
      <c r="OAZ5" s="390"/>
      <c r="OBA5" s="390"/>
      <c r="OBB5" s="390"/>
      <c r="OBC5" s="390"/>
      <c r="OBD5" s="390"/>
      <c r="OBE5" s="390"/>
      <c r="OBF5" s="390"/>
      <c r="OBG5" s="390"/>
      <c r="OBH5" s="390"/>
      <c r="OBI5" s="390"/>
      <c r="OBJ5" s="390"/>
      <c r="OBK5" s="390"/>
      <c r="OBL5" s="390"/>
      <c r="OBM5" s="390"/>
      <c r="OBN5" s="390"/>
      <c r="OBO5" s="390"/>
      <c r="OBP5" s="390"/>
      <c r="OBQ5" s="390"/>
      <c r="OBR5" s="390"/>
      <c r="OBS5" s="390"/>
      <c r="OBT5" s="390"/>
      <c r="OBU5" s="390"/>
      <c r="OBV5" s="390"/>
      <c r="OBW5" s="390"/>
      <c r="OBX5" s="390"/>
      <c r="OBY5" s="390"/>
      <c r="OBZ5" s="390"/>
      <c r="OCA5" s="390"/>
      <c r="OCB5" s="390"/>
      <c r="OCC5" s="390"/>
      <c r="OCD5" s="390"/>
      <c r="OCE5" s="390"/>
      <c r="OCF5" s="390"/>
      <c r="OCG5" s="390"/>
      <c r="OCH5" s="390"/>
      <c r="OCI5" s="390"/>
      <c r="OCJ5" s="390"/>
      <c r="OCK5" s="390"/>
      <c r="OCL5" s="390"/>
      <c r="OCM5" s="390"/>
      <c r="OCN5" s="390"/>
      <c r="OCO5" s="390"/>
      <c r="OCP5" s="390"/>
      <c r="OCQ5" s="390"/>
      <c r="OCR5" s="390"/>
      <c r="OCS5" s="390"/>
      <c r="OCT5" s="390"/>
      <c r="OCU5" s="390"/>
      <c r="OCV5" s="390"/>
      <c r="OCW5" s="390"/>
      <c r="OCX5" s="390"/>
      <c r="OCY5" s="390"/>
      <c r="OCZ5" s="390"/>
      <c r="ODA5" s="390"/>
      <c r="ODB5" s="390"/>
      <c r="ODC5" s="390"/>
      <c r="ODD5" s="390"/>
      <c r="ODE5" s="390"/>
      <c r="ODF5" s="390"/>
      <c r="ODG5" s="390"/>
      <c r="ODH5" s="390"/>
      <c r="ODI5" s="390"/>
      <c r="ODJ5" s="390"/>
      <c r="ODK5" s="390"/>
      <c r="ODL5" s="390"/>
      <c r="ODM5" s="390"/>
      <c r="ODN5" s="390"/>
      <c r="ODO5" s="390"/>
      <c r="ODP5" s="390"/>
      <c r="ODQ5" s="390"/>
      <c r="ODR5" s="390"/>
      <c r="ODS5" s="390"/>
      <c r="ODT5" s="390"/>
      <c r="ODU5" s="390"/>
      <c r="ODV5" s="390"/>
      <c r="ODW5" s="390"/>
      <c r="ODX5" s="390"/>
      <c r="ODY5" s="390"/>
      <c r="ODZ5" s="390"/>
      <c r="OEA5" s="390"/>
      <c r="OEB5" s="390"/>
      <c r="OEC5" s="390"/>
      <c r="OED5" s="390"/>
      <c r="OEE5" s="390"/>
      <c r="OEF5" s="390"/>
      <c r="OEG5" s="390"/>
      <c r="OEH5" s="390"/>
      <c r="OEI5" s="390"/>
      <c r="OEJ5" s="390"/>
      <c r="OEK5" s="390"/>
      <c r="OEL5" s="390"/>
      <c r="OEM5" s="390"/>
      <c r="OEN5" s="390"/>
      <c r="OEO5" s="390"/>
      <c r="OEP5" s="390"/>
      <c r="OEQ5" s="390"/>
      <c r="OER5" s="390"/>
      <c r="OES5" s="390"/>
      <c r="OET5" s="390"/>
      <c r="OEU5" s="390"/>
      <c r="OEV5" s="390"/>
      <c r="OEW5" s="390"/>
      <c r="OEX5" s="390"/>
      <c r="OEY5" s="390"/>
      <c r="OEZ5" s="390"/>
      <c r="OFA5" s="390"/>
      <c r="OFB5" s="390"/>
      <c r="OFC5" s="390"/>
      <c r="OFD5" s="390"/>
      <c r="OFE5" s="390"/>
      <c r="OFF5" s="390"/>
      <c r="OFG5" s="390"/>
      <c r="OFH5" s="390"/>
      <c r="OFI5" s="390"/>
      <c r="OFJ5" s="390"/>
      <c r="OFK5" s="390"/>
      <c r="OFL5" s="390"/>
      <c r="OFM5" s="390"/>
      <c r="OFN5" s="390"/>
      <c r="OFO5" s="390"/>
      <c r="OFP5" s="390"/>
      <c r="OFQ5" s="390"/>
      <c r="OFR5" s="390"/>
      <c r="OFS5" s="390"/>
      <c r="OFT5" s="390"/>
      <c r="OFU5" s="390"/>
      <c r="OFV5" s="390"/>
      <c r="OFW5" s="390"/>
      <c r="OFX5" s="390"/>
      <c r="OFY5" s="390"/>
      <c r="OFZ5" s="390"/>
      <c r="OGA5" s="390"/>
      <c r="OGB5" s="390"/>
      <c r="OGC5" s="390"/>
      <c r="OGD5" s="390"/>
      <c r="OGE5" s="390"/>
      <c r="OGF5" s="390"/>
      <c r="OGG5" s="390"/>
      <c r="OGH5" s="390"/>
      <c r="OGI5" s="390"/>
      <c r="OGJ5" s="390"/>
      <c r="OGK5" s="390"/>
      <c r="OGL5" s="390"/>
      <c r="OGM5" s="390"/>
      <c r="OGN5" s="390"/>
      <c r="OGO5" s="390"/>
      <c r="OGP5" s="390"/>
      <c r="OGQ5" s="390"/>
      <c r="OGR5" s="390"/>
      <c r="OGS5" s="390"/>
      <c r="OGT5" s="390"/>
      <c r="OGU5" s="390"/>
      <c r="OGV5" s="390"/>
      <c r="OGW5" s="390"/>
      <c r="OGX5" s="390"/>
      <c r="OGY5" s="390"/>
      <c r="OGZ5" s="390"/>
      <c r="OHA5" s="390"/>
      <c r="OHB5" s="390"/>
      <c r="OHC5" s="390"/>
      <c r="OHD5" s="390"/>
      <c r="OHE5" s="390"/>
      <c r="OHF5" s="390"/>
      <c r="OHG5" s="390"/>
      <c r="OHH5" s="390"/>
      <c r="OHI5" s="390"/>
      <c r="OHJ5" s="390"/>
      <c r="OHK5" s="390"/>
      <c r="OHL5" s="390"/>
      <c r="OHM5" s="390"/>
      <c r="OHN5" s="390"/>
      <c r="OHO5" s="390"/>
      <c r="OHP5" s="390"/>
      <c r="OHQ5" s="390"/>
      <c r="OHR5" s="390"/>
      <c r="OHS5" s="390"/>
      <c r="OHT5" s="390"/>
      <c r="OHU5" s="390"/>
      <c r="OHV5" s="390"/>
      <c r="OHW5" s="390"/>
      <c r="OHX5" s="390"/>
      <c r="OHY5" s="390"/>
      <c r="OHZ5" s="390"/>
      <c r="OIA5" s="390"/>
      <c r="OIB5" s="390"/>
      <c r="OIC5" s="390"/>
      <c r="OID5" s="390"/>
      <c r="OIE5" s="390"/>
      <c r="OIF5" s="390"/>
      <c r="OIG5" s="390"/>
      <c r="OIH5" s="390"/>
      <c r="OII5" s="390"/>
      <c r="OIJ5" s="390"/>
      <c r="OIK5" s="390"/>
      <c r="OIL5" s="390"/>
      <c r="OIM5" s="390"/>
      <c r="OIN5" s="390"/>
      <c r="OIO5" s="390"/>
      <c r="OIP5" s="390"/>
      <c r="OIQ5" s="390"/>
      <c r="OIR5" s="390"/>
      <c r="OIS5" s="390"/>
      <c r="OIT5" s="390"/>
      <c r="OIU5" s="390"/>
      <c r="OIV5" s="390"/>
      <c r="OIW5" s="390"/>
      <c r="OIX5" s="390"/>
      <c r="OIY5" s="390"/>
      <c r="OIZ5" s="390"/>
      <c r="OJA5" s="390"/>
      <c r="OJB5" s="390"/>
      <c r="OJC5" s="390"/>
      <c r="OJD5" s="390"/>
      <c r="OJE5" s="390"/>
      <c r="OJF5" s="390"/>
      <c r="OJG5" s="390"/>
      <c r="OJH5" s="390"/>
      <c r="OJI5" s="390"/>
      <c r="OJJ5" s="390"/>
      <c r="OJK5" s="390"/>
      <c r="OJL5" s="390"/>
      <c r="OJM5" s="390"/>
      <c r="OJN5" s="390"/>
      <c r="OJO5" s="390"/>
      <c r="OJP5" s="390"/>
      <c r="OJQ5" s="390"/>
      <c r="OJR5" s="390"/>
      <c r="OJS5" s="390"/>
      <c r="OJT5" s="390"/>
      <c r="OJU5" s="390"/>
      <c r="OJV5" s="390"/>
      <c r="OJW5" s="390"/>
      <c r="OJX5" s="390"/>
      <c r="OJY5" s="390"/>
      <c r="OJZ5" s="390"/>
      <c r="OKA5" s="390"/>
      <c r="OKB5" s="390"/>
      <c r="OKC5" s="390"/>
      <c r="OKD5" s="390"/>
      <c r="OKE5" s="390"/>
      <c r="OKF5" s="390"/>
      <c r="OKG5" s="390"/>
      <c r="OKH5" s="390"/>
      <c r="OKI5" s="390"/>
      <c r="OKJ5" s="390"/>
      <c r="OKK5" s="390"/>
      <c r="OKL5" s="390"/>
      <c r="OKM5" s="390"/>
      <c r="OKN5" s="390"/>
      <c r="OKO5" s="390"/>
      <c r="OKP5" s="390"/>
      <c r="OKQ5" s="390"/>
      <c r="OKR5" s="390"/>
      <c r="OKS5" s="390"/>
      <c r="OKT5" s="390"/>
      <c r="OKU5" s="390"/>
      <c r="OKV5" s="390"/>
      <c r="OKW5" s="390"/>
      <c r="OKX5" s="390"/>
      <c r="OKY5" s="390"/>
      <c r="OKZ5" s="390"/>
      <c r="OLA5" s="390"/>
      <c r="OLB5" s="390"/>
      <c r="OLC5" s="390"/>
      <c r="OLD5" s="390"/>
      <c r="OLE5" s="390"/>
      <c r="OLF5" s="390"/>
      <c r="OLG5" s="390"/>
      <c r="OLH5" s="390"/>
      <c r="OLI5" s="390"/>
      <c r="OLJ5" s="390"/>
      <c r="OLK5" s="390"/>
      <c r="OLL5" s="390"/>
      <c r="OLM5" s="390"/>
      <c r="OLN5" s="390"/>
      <c r="OLO5" s="390"/>
      <c r="OLP5" s="390"/>
      <c r="OLQ5" s="390"/>
      <c r="OLR5" s="390"/>
      <c r="OLS5" s="390"/>
      <c r="OLT5" s="390"/>
      <c r="OLU5" s="390"/>
      <c r="OLV5" s="390"/>
      <c r="OLW5" s="390"/>
      <c r="OLX5" s="390"/>
      <c r="OLY5" s="390"/>
      <c r="OLZ5" s="390"/>
      <c r="OMA5" s="390"/>
      <c r="OMB5" s="390"/>
      <c r="OMC5" s="390"/>
      <c r="OMD5" s="390"/>
      <c r="OME5" s="390"/>
      <c r="OMF5" s="390"/>
      <c r="OMG5" s="390"/>
      <c r="OMH5" s="390"/>
      <c r="OMI5" s="390"/>
      <c r="OMJ5" s="390"/>
      <c r="OMK5" s="390"/>
      <c r="OML5" s="390"/>
      <c r="OMM5" s="390"/>
      <c r="OMN5" s="390"/>
      <c r="OMO5" s="390"/>
      <c r="OMP5" s="390"/>
      <c r="OMQ5" s="390"/>
      <c r="OMR5" s="390"/>
      <c r="OMS5" s="390"/>
      <c r="OMT5" s="390"/>
      <c r="OMU5" s="390"/>
      <c r="OMV5" s="390"/>
      <c r="OMW5" s="390"/>
      <c r="OMX5" s="390"/>
      <c r="OMY5" s="390"/>
      <c r="OMZ5" s="390"/>
      <c r="ONA5" s="390"/>
      <c r="ONB5" s="390"/>
      <c r="ONC5" s="390"/>
      <c r="OND5" s="390"/>
      <c r="ONE5" s="390"/>
      <c r="ONF5" s="390"/>
      <c r="ONG5" s="390"/>
      <c r="ONH5" s="390"/>
      <c r="ONI5" s="390"/>
      <c r="ONJ5" s="390"/>
      <c r="ONK5" s="390"/>
      <c r="ONL5" s="390"/>
      <c r="ONM5" s="390"/>
      <c r="ONN5" s="390"/>
      <c r="ONO5" s="390"/>
      <c r="ONP5" s="390"/>
      <c r="ONQ5" s="390"/>
      <c r="ONR5" s="390"/>
      <c r="ONS5" s="390"/>
      <c r="ONT5" s="390"/>
      <c r="ONU5" s="390"/>
      <c r="ONV5" s="390"/>
      <c r="ONW5" s="390"/>
      <c r="ONX5" s="390"/>
      <c r="ONY5" s="390"/>
      <c r="ONZ5" s="390"/>
      <c r="OOA5" s="390"/>
      <c r="OOB5" s="390"/>
      <c r="OOC5" s="390"/>
      <c r="OOD5" s="390"/>
      <c r="OOE5" s="390"/>
      <c r="OOF5" s="390"/>
      <c r="OOG5" s="390"/>
      <c r="OOH5" s="390"/>
      <c r="OOI5" s="390"/>
      <c r="OOJ5" s="390"/>
      <c r="OOK5" s="390"/>
      <c r="OOL5" s="390"/>
      <c r="OOM5" s="390"/>
      <c r="OON5" s="390"/>
      <c r="OOO5" s="390"/>
      <c r="OOP5" s="390"/>
      <c r="OOQ5" s="390"/>
      <c r="OOR5" s="390"/>
      <c r="OOS5" s="390"/>
      <c r="OOT5" s="390"/>
      <c r="OOU5" s="390"/>
      <c r="OOV5" s="390"/>
      <c r="OOW5" s="390"/>
      <c r="OOX5" s="390"/>
      <c r="OOY5" s="390"/>
      <c r="OOZ5" s="390"/>
      <c r="OPA5" s="390"/>
      <c r="OPB5" s="390"/>
      <c r="OPC5" s="390"/>
      <c r="OPD5" s="390"/>
      <c r="OPE5" s="390"/>
      <c r="OPF5" s="390"/>
      <c r="OPG5" s="390"/>
      <c r="OPH5" s="390"/>
      <c r="OPI5" s="390"/>
      <c r="OPJ5" s="390"/>
      <c r="OPK5" s="390"/>
      <c r="OPL5" s="390"/>
      <c r="OPM5" s="390"/>
      <c r="OPN5" s="390"/>
      <c r="OPO5" s="390"/>
      <c r="OPP5" s="390"/>
      <c r="OPQ5" s="390"/>
      <c r="OPR5" s="390"/>
      <c r="OPS5" s="390"/>
      <c r="OPT5" s="390"/>
      <c r="OPU5" s="390"/>
      <c r="OPV5" s="390"/>
      <c r="OPW5" s="390"/>
      <c r="OPX5" s="390"/>
      <c r="OPY5" s="390"/>
      <c r="OPZ5" s="390"/>
      <c r="OQA5" s="390"/>
      <c r="OQB5" s="390"/>
      <c r="OQC5" s="390"/>
      <c r="OQD5" s="390"/>
      <c r="OQE5" s="390"/>
      <c r="OQF5" s="390"/>
      <c r="OQG5" s="390"/>
      <c r="OQH5" s="390"/>
      <c r="OQI5" s="390"/>
      <c r="OQJ5" s="390"/>
      <c r="OQK5" s="390"/>
      <c r="OQL5" s="390"/>
      <c r="OQM5" s="390"/>
      <c r="OQN5" s="390"/>
      <c r="OQO5" s="390"/>
      <c r="OQP5" s="390"/>
      <c r="OQQ5" s="390"/>
      <c r="OQR5" s="390"/>
      <c r="OQS5" s="390"/>
      <c r="OQT5" s="390"/>
      <c r="OQU5" s="390"/>
      <c r="OQV5" s="390"/>
      <c r="OQW5" s="390"/>
      <c r="OQX5" s="390"/>
      <c r="OQY5" s="390"/>
      <c r="OQZ5" s="390"/>
      <c r="ORA5" s="390"/>
      <c r="ORB5" s="390"/>
      <c r="ORC5" s="390"/>
      <c r="ORD5" s="390"/>
      <c r="ORE5" s="390"/>
      <c r="ORF5" s="390"/>
      <c r="ORG5" s="390"/>
      <c r="ORH5" s="390"/>
      <c r="ORI5" s="390"/>
      <c r="ORJ5" s="390"/>
      <c r="ORK5" s="390"/>
      <c r="ORL5" s="390"/>
      <c r="ORM5" s="390"/>
      <c r="ORN5" s="390"/>
      <c r="ORO5" s="390"/>
      <c r="ORP5" s="390"/>
      <c r="ORQ5" s="390"/>
      <c r="ORR5" s="390"/>
      <c r="ORS5" s="390"/>
      <c r="ORT5" s="390"/>
      <c r="ORU5" s="390"/>
      <c r="ORV5" s="390"/>
      <c r="ORW5" s="390"/>
      <c r="ORX5" s="390"/>
      <c r="ORY5" s="390"/>
      <c r="ORZ5" s="390"/>
      <c r="OSA5" s="390"/>
      <c r="OSB5" s="390"/>
      <c r="OSC5" s="390"/>
      <c r="OSD5" s="390"/>
      <c r="OSE5" s="390"/>
      <c r="OSF5" s="390"/>
      <c r="OSG5" s="390"/>
      <c r="OSH5" s="390"/>
      <c r="OSI5" s="390"/>
      <c r="OSJ5" s="390"/>
      <c r="OSK5" s="390"/>
      <c r="OSL5" s="390"/>
      <c r="OSM5" s="390"/>
      <c r="OSN5" s="390"/>
      <c r="OSO5" s="390"/>
      <c r="OSP5" s="390"/>
      <c r="OSQ5" s="390"/>
      <c r="OSR5" s="390"/>
      <c r="OSS5" s="390"/>
      <c r="OST5" s="390"/>
      <c r="OSU5" s="390"/>
      <c r="OSV5" s="390"/>
      <c r="OSW5" s="390"/>
      <c r="OSX5" s="390"/>
      <c r="OSY5" s="390"/>
      <c r="OSZ5" s="390"/>
      <c r="OTA5" s="390"/>
      <c r="OTB5" s="390"/>
      <c r="OTC5" s="390"/>
      <c r="OTD5" s="390"/>
      <c r="OTE5" s="390"/>
      <c r="OTF5" s="390"/>
      <c r="OTG5" s="390"/>
      <c r="OTH5" s="390"/>
      <c r="OTI5" s="390"/>
      <c r="OTJ5" s="390"/>
      <c r="OTK5" s="390"/>
      <c r="OTL5" s="390"/>
      <c r="OTM5" s="390"/>
      <c r="OTN5" s="390"/>
      <c r="OTO5" s="390"/>
      <c r="OTP5" s="390"/>
      <c r="OTQ5" s="390"/>
      <c r="OTR5" s="390"/>
      <c r="OTS5" s="390"/>
      <c r="OTT5" s="390"/>
      <c r="OTU5" s="390"/>
      <c r="OTV5" s="390"/>
      <c r="OTW5" s="390"/>
      <c r="OTX5" s="390"/>
      <c r="OTY5" s="390"/>
      <c r="OTZ5" s="390"/>
      <c r="OUA5" s="390"/>
      <c r="OUB5" s="390"/>
      <c r="OUC5" s="390"/>
      <c r="OUD5" s="390"/>
      <c r="OUE5" s="390"/>
      <c r="OUF5" s="390"/>
      <c r="OUG5" s="390"/>
      <c r="OUH5" s="390"/>
      <c r="OUI5" s="390"/>
      <c r="OUJ5" s="390"/>
      <c r="OUK5" s="390"/>
      <c r="OUL5" s="390"/>
      <c r="OUM5" s="390"/>
      <c r="OUN5" s="390"/>
      <c r="OUO5" s="390"/>
      <c r="OUP5" s="390"/>
      <c r="OUQ5" s="390"/>
      <c r="OUR5" s="390"/>
      <c r="OUS5" s="390"/>
      <c r="OUT5" s="390"/>
      <c r="OUU5" s="390"/>
      <c r="OUV5" s="390"/>
      <c r="OUW5" s="390"/>
      <c r="OUX5" s="390"/>
      <c r="OUY5" s="390"/>
      <c r="OUZ5" s="390"/>
      <c r="OVA5" s="390"/>
      <c r="OVB5" s="390"/>
      <c r="OVC5" s="390"/>
      <c r="OVD5" s="390"/>
      <c r="OVE5" s="390"/>
      <c r="OVF5" s="390"/>
      <c r="OVG5" s="390"/>
      <c r="OVH5" s="390"/>
      <c r="OVI5" s="390"/>
      <c r="OVJ5" s="390"/>
      <c r="OVK5" s="390"/>
      <c r="OVL5" s="390"/>
      <c r="OVM5" s="390"/>
      <c r="OVN5" s="390"/>
      <c r="OVO5" s="390"/>
      <c r="OVP5" s="390"/>
      <c r="OVQ5" s="390"/>
      <c r="OVR5" s="390"/>
      <c r="OVS5" s="390"/>
      <c r="OVT5" s="390"/>
      <c r="OVU5" s="390"/>
      <c r="OVV5" s="390"/>
      <c r="OVW5" s="390"/>
      <c r="OVX5" s="390"/>
      <c r="OVY5" s="390"/>
      <c r="OVZ5" s="390"/>
      <c r="OWA5" s="390"/>
      <c r="OWB5" s="390"/>
      <c r="OWC5" s="390"/>
      <c r="OWD5" s="390"/>
      <c r="OWE5" s="390"/>
      <c r="OWF5" s="390"/>
      <c r="OWG5" s="390"/>
      <c r="OWH5" s="390"/>
      <c r="OWI5" s="390"/>
      <c r="OWJ5" s="390"/>
      <c r="OWK5" s="390"/>
      <c r="OWL5" s="390"/>
      <c r="OWM5" s="390"/>
      <c r="OWN5" s="390"/>
      <c r="OWO5" s="390"/>
      <c r="OWP5" s="390"/>
      <c r="OWQ5" s="390"/>
      <c r="OWR5" s="390"/>
      <c r="OWS5" s="390"/>
      <c r="OWT5" s="390"/>
      <c r="OWU5" s="390"/>
      <c r="OWV5" s="390"/>
      <c r="OWW5" s="390"/>
      <c r="OWX5" s="390"/>
      <c r="OWY5" s="390"/>
      <c r="OWZ5" s="390"/>
      <c r="OXA5" s="390"/>
      <c r="OXB5" s="390"/>
      <c r="OXC5" s="390"/>
      <c r="OXD5" s="390"/>
      <c r="OXE5" s="390"/>
      <c r="OXF5" s="390"/>
      <c r="OXG5" s="390"/>
      <c r="OXH5" s="390"/>
      <c r="OXI5" s="390"/>
      <c r="OXJ5" s="390"/>
      <c r="OXK5" s="390"/>
      <c r="OXL5" s="390"/>
      <c r="OXM5" s="390"/>
      <c r="OXN5" s="390"/>
      <c r="OXO5" s="390"/>
      <c r="OXP5" s="390"/>
      <c r="OXQ5" s="390"/>
      <c r="OXR5" s="390"/>
      <c r="OXS5" s="390"/>
      <c r="OXT5" s="390"/>
      <c r="OXU5" s="390"/>
      <c r="OXV5" s="390"/>
      <c r="OXW5" s="390"/>
      <c r="OXX5" s="390"/>
      <c r="OXY5" s="390"/>
      <c r="OXZ5" s="390"/>
      <c r="OYA5" s="390"/>
      <c r="OYB5" s="390"/>
      <c r="OYC5" s="390"/>
      <c r="OYD5" s="390"/>
      <c r="OYE5" s="390"/>
      <c r="OYF5" s="390"/>
      <c r="OYG5" s="390"/>
      <c r="OYH5" s="390"/>
      <c r="OYI5" s="390"/>
      <c r="OYJ5" s="390"/>
      <c r="OYK5" s="390"/>
      <c r="OYL5" s="390"/>
      <c r="OYM5" s="390"/>
      <c r="OYN5" s="390"/>
      <c r="OYO5" s="390"/>
      <c r="OYP5" s="390"/>
      <c r="OYQ5" s="390"/>
      <c r="OYR5" s="390"/>
      <c r="OYS5" s="390"/>
      <c r="OYT5" s="390"/>
      <c r="OYU5" s="390"/>
      <c r="OYV5" s="390"/>
      <c r="OYW5" s="390"/>
      <c r="OYX5" s="390"/>
      <c r="OYY5" s="390"/>
      <c r="OYZ5" s="390"/>
      <c r="OZA5" s="390"/>
      <c r="OZB5" s="390"/>
      <c r="OZC5" s="390"/>
      <c r="OZD5" s="390"/>
      <c r="OZE5" s="390"/>
      <c r="OZF5" s="390"/>
      <c r="OZG5" s="390"/>
      <c r="OZH5" s="390"/>
      <c r="OZI5" s="390"/>
      <c r="OZJ5" s="390"/>
      <c r="OZK5" s="390"/>
      <c r="OZL5" s="390"/>
      <c r="OZM5" s="390"/>
      <c r="OZN5" s="390"/>
      <c r="OZO5" s="390"/>
      <c r="OZP5" s="390"/>
      <c r="OZQ5" s="390"/>
      <c r="OZR5" s="390"/>
      <c r="OZS5" s="390"/>
      <c r="OZT5" s="390"/>
      <c r="OZU5" s="390"/>
      <c r="OZV5" s="390"/>
      <c r="OZW5" s="390"/>
      <c r="OZX5" s="390"/>
      <c r="OZY5" s="390"/>
      <c r="OZZ5" s="390"/>
      <c r="PAA5" s="390"/>
      <c r="PAB5" s="390"/>
      <c r="PAC5" s="390"/>
      <c r="PAD5" s="390"/>
      <c r="PAE5" s="390"/>
      <c r="PAF5" s="390"/>
      <c r="PAG5" s="390"/>
      <c r="PAH5" s="390"/>
      <c r="PAI5" s="390"/>
      <c r="PAJ5" s="390"/>
      <c r="PAK5" s="390"/>
      <c r="PAL5" s="390"/>
      <c r="PAM5" s="390"/>
      <c r="PAN5" s="390"/>
      <c r="PAO5" s="390"/>
      <c r="PAP5" s="390"/>
      <c r="PAQ5" s="390"/>
      <c r="PAR5" s="390"/>
      <c r="PAS5" s="390"/>
      <c r="PAT5" s="390"/>
      <c r="PAU5" s="390"/>
      <c r="PAV5" s="390"/>
      <c r="PAW5" s="390"/>
      <c r="PAX5" s="390"/>
      <c r="PAY5" s="390"/>
      <c r="PAZ5" s="390"/>
      <c r="PBA5" s="390"/>
      <c r="PBB5" s="390"/>
      <c r="PBC5" s="390"/>
      <c r="PBD5" s="390"/>
      <c r="PBE5" s="390"/>
      <c r="PBF5" s="390"/>
      <c r="PBG5" s="390"/>
      <c r="PBH5" s="390"/>
      <c r="PBI5" s="390"/>
      <c r="PBJ5" s="390"/>
      <c r="PBK5" s="390"/>
      <c r="PBL5" s="390"/>
      <c r="PBM5" s="390"/>
      <c r="PBN5" s="390"/>
      <c r="PBO5" s="390"/>
      <c r="PBP5" s="390"/>
      <c r="PBQ5" s="390"/>
      <c r="PBR5" s="390"/>
      <c r="PBS5" s="390"/>
      <c r="PBT5" s="390"/>
      <c r="PBU5" s="390"/>
      <c r="PBV5" s="390"/>
      <c r="PBW5" s="390"/>
      <c r="PBX5" s="390"/>
      <c r="PBY5" s="390"/>
      <c r="PBZ5" s="390"/>
      <c r="PCA5" s="390"/>
      <c r="PCB5" s="390"/>
      <c r="PCC5" s="390"/>
      <c r="PCD5" s="390"/>
      <c r="PCE5" s="390"/>
      <c r="PCF5" s="390"/>
      <c r="PCG5" s="390"/>
      <c r="PCH5" s="390"/>
      <c r="PCI5" s="390"/>
      <c r="PCJ5" s="390"/>
      <c r="PCK5" s="390"/>
      <c r="PCL5" s="390"/>
      <c r="PCM5" s="390"/>
      <c r="PCN5" s="390"/>
      <c r="PCO5" s="390"/>
      <c r="PCP5" s="390"/>
      <c r="PCQ5" s="390"/>
      <c r="PCR5" s="390"/>
      <c r="PCS5" s="390"/>
      <c r="PCT5" s="390"/>
      <c r="PCU5" s="390"/>
      <c r="PCV5" s="390"/>
      <c r="PCW5" s="390"/>
      <c r="PCX5" s="390"/>
      <c r="PCY5" s="390"/>
      <c r="PCZ5" s="390"/>
      <c r="PDA5" s="390"/>
      <c r="PDB5" s="390"/>
      <c r="PDC5" s="390"/>
      <c r="PDD5" s="390"/>
      <c r="PDE5" s="390"/>
      <c r="PDF5" s="390"/>
      <c r="PDG5" s="390"/>
      <c r="PDH5" s="390"/>
      <c r="PDI5" s="390"/>
      <c r="PDJ5" s="390"/>
      <c r="PDK5" s="390"/>
      <c r="PDL5" s="390"/>
      <c r="PDM5" s="390"/>
      <c r="PDN5" s="390"/>
      <c r="PDO5" s="390"/>
      <c r="PDP5" s="390"/>
      <c r="PDQ5" s="390"/>
      <c r="PDR5" s="390"/>
      <c r="PDS5" s="390"/>
      <c r="PDT5" s="390"/>
      <c r="PDU5" s="390"/>
      <c r="PDV5" s="390"/>
      <c r="PDW5" s="390"/>
      <c r="PDX5" s="390"/>
      <c r="PDY5" s="390"/>
      <c r="PDZ5" s="390"/>
      <c r="PEA5" s="390"/>
      <c r="PEB5" s="390"/>
      <c r="PEC5" s="390"/>
      <c r="PED5" s="390"/>
      <c r="PEE5" s="390"/>
      <c r="PEF5" s="390"/>
      <c r="PEG5" s="390"/>
      <c r="PEH5" s="390"/>
      <c r="PEI5" s="390"/>
      <c r="PEJ5" s="390"/>
      <c r="PEK5" s="390"/>
      <c r="PEL5" s="390"/>
      <c r="PEM5" s="390"/>
      <c r="PEN5" s="390"/>
      <c r="PEO5" s="390"/>
      <c r="PEP5" s="390"/>
      <c r="PEQ5" s="390"/>
      <c r="PER5" s="390"/>
      <c r="PES5" s="390"/>
      <c r="PET5" s="390"/>
      <c r="PEU5" s="390"/>
      <c r="PEV5" s="390"/>
      <c r="PEW5" s="390"/>
      <c r="PEX5" s="390"/>
      <c r="PEY5" s="390"/>
      <c r="PEZ5" s="390"/>
      <c r="PFA5" s="390"/>
      <c r="PFB5" s="390"/>
      <c r="PFC5" s="390"/>
      <c r="PFD5" s="390"/>
      <c r="PFE5" s="390"/>
      <c r="PFF5" s="390"/>
      <c r="PFG5" s="390"/>
      <c r="PFH5" s="390"/>
      <c r="PFI5" s="390"/>
      <c r="PFJ5" s="390"/>
      <c r="PFK5" s="390"/>
      <c r="PFL5" s="390"/>
      <c r="PFM5" s="390"/>
      <c r="PFN5" s="390"/>
      <c r="PFO5" s="390"/>
      <c r="PFP5" s="390"/>
      <c r="PFQ5" s="390"/>
      <c r="PFR5" s="390"/>
      <c r="PFS5" s="390"/>
      <c r="PFT5" s="390"/>
      <c r="PFU5" s="390"/>
      <c r="PFV5" s="390"/>
      <c r="PFW5" s="390"/>
      <c r="PFX5" s="390"/>
      <c r="PFY5" s="390"/>
      <c r="PFZ5" s="390"/>
      <c r="PGA5" s="390"/>
      <c r="PGB5" s="390"/>
      <c r="PGC5" s="390"/>
      <c r="PGD5" s="390"/>
      <c r="PGE5" s="390"/>
      <c r="PGF5" s="390"/>
      <c r="PGG5" s="390"/>
      <c r="PGH5" s="390"/>
      <c r="PGI5" s="390"/>
      <c r="PGJ5" s="390"/>
      <c r="PGK5" s="390"/>
      <c r="PGL5" s="390"/>
      <c r="PGM5" s="390"/>
      <c r="PGN5" s="390"/>
      <c r="PGO5" s="390"/>
      <c r="PGP5" s="390"/>
      <c r="PGQ5" s="390"/>
      <c r="PGR5" s="390"/>
      <c r="PGS5" s="390"/>
      <c r="PGT5" s="390"/>
      <c r="PGU5" s="390"/>
      <c r="PGV5" s="390"/>
      <c r="PGW5" s="390"/>
      <c r="PGX5" s="390"/>
      <c r="PGY5" s="390"/>
      <c r="PGZ5" s="390"/>
      <c r="PHA5" s="390"/>
      <c r="PHB5" s="390"/>
      <c r="PHC5" s="390"/>
      <c r="PHD5" s="390"/>
      <c r="PHE5" s="390"/>
      <c r="PHF5" s="390"/>
      <c r="PHG5" s="390"/>
      <c r="PHH5" s="390"/>
      <c r="PHI5" s="390"/>
      <c r="PHJ5" s="390"/>
      <c r="PHK5" s="390"/>
      <c r="PHL5" s="390"/>
      <c r="PHM5" s="390"/>
      <c r="PHN5" s="390"/>
      <c r="PHO5" s="390"/>
      <c r="PHP5" s="390"/>
      <c r="PHQ5" s="390"/>
      <c r="PHR5" s="390"/>
      <c r="PHS5" s="390"/>
      <c r="PHT5" s="390"/>
      <c r="PHU5" s="390"/>
      <c r="PHV5" s="390"/>
      <c r="PHW5" s="390"/>
      <c r="PHX5" s="390"/>
      <c r="PHY5" s="390"/>
      <c r="PHZ5" s="390"/>
      <c r="PIA5" s="390"/>
      <c r="PIB5" s="390"/>
      <c r="PIC5" s="390"/>
      <c r="PID5" s="390"/>
      <c r="PIE5" s="390"/>
      <c r="PIF5" s="390"/>
      <c r="PIG5" s="390"/>
      <c r="PIH5" s="390"/>
      <c r="PII5" s="390"/>
      <c r="PIJ5" s="390"/>
      <c r="PIK5" s="390"/>
      <c r="PIL5" s="390"/>
      <c r="PIM5" s="390"/>
      <c r="PIN5" s="390"/>
      <c r="PIO5" s="390"/>
      <c r="PIP5" s="390"/>
      <c r="PIQ5" s="390"/>
      <c r="PIR5" s="390"/>
      <c r="PIS5" s="390"/>
      <c r="PIT5" s="390"/>
      <c r="PIU5" s="390"/>
      <c r="PIV5" s="390"/>
      <c r="PIW5" s="390"/>
      <c r="PIX5" s="390"/>
      <c r="PIY5" s="390"/>
      <c r="PIZ5" s="390"/>
      <c r="PJA5" s="390"/>
      <c r="PJB5" s="390"/>
      <c r="PJC5" s="390"/>
      <c r="PJD5" s="390"/>
      <c r="PJE5" s="390"/>
      <c r="PJF5" s="390"/>
      <c r="PJG5" s="390"/>
      <c r="PJH5" s="390"/>
      <c r="PJI5" s="390"/>
      <c r="PJJ5" s="390"/>
      <c r="PJK5" s="390"/>
      <c r="PJL5" s="390"/>
      <c r="PJM5" s="390"/>
      <c r="PJN5" s="390"/>
      <c r="PJO5" s="390"/>
      <c r="PJP5" s="390"/>
      <c r="PJQ5" s="390"/>
      <c r="PJR5" s="390"/>
      <c r="PJS5" s="390"/>
      <c r="PJT5" s="390"/>
      <c r="PJU5" s="390"/>
      <c r="PJV5" s="390"/>
      <c r="PJW5" s="390"/>
      <c r="PJX5" s="390"/>
      <c r="PJY5" s="390"/>
      <c r="PJZ5" s="390"/>
      <c r="PKA5" s="390"/>
      <c r="PKB5" s="390"/>
      <c r="PKC5" s="390"/>
      <c r="PKD5" s="390"/>
      <c r="PKE5" s="390"/>
      <c r="PKF5" s="390"/>
      <c r="PKG5" s="390"/>
      <c r="PKH5" s="390"/>
      <c r="PKI5" s="390"/>
      <c r="PKJ5" s="390"/>
      <c r="PKK5" s="390"/>
      <c r="PKL5" s="390"/>
      <c r="PKM5" s="390"/>
      <c r="PKN5" s="390"/>
      <c r="PKO5" s="390"/>
      <c r="PKP5" s="390"/>
      <c r="PKQ5" s="390"/>
      <c r="PKR5" s="390"/>
      <c r="PKS5" s="390"/>
      <c r="PKT5" s="390"/>
      <c r="PKU5" s="390"/>
      <c r="PKV5" s="390"/>
      <c r="PKW5" s="390"/>
      <c r="PKX5" s="390"/>
      <c r="PKY5" s="390"/>
      <c r="PKZ5" s="390"/>
      <c r="PLA5" s="390"/>
      <c r="PLB5" s="390"/>
      <c r="PLC5" s="390"/>
      <c r="PLD5" s="390"/>
      <c r="PLE5" s="390"/>
      <c r="PLF5" s="390"/>
      <c r="PLG5" s="390"/>
      <c r="PLH5" s="390"/>
      <c r="PLI5" s="390"/>
      <c r="PLJ5" s="390"/>
      <c r="PLK5" s="390"/>
      <c r="PLL5" s="390"/>
      <c r="PLM5" s="390"/>
      <c r="PLN5" s="390"/>
      <c r="PLO5" s="390"/>
      <c r="PLP5" s="390"/>
      <c r="PLQ5" s="390"/>
      <c r="PLR5" s="390"/>
      <c r="PLS5" s="390"/>
      <c r="PLT5" s="390"/>
      <c r="PLU5" s="390"/>
      <c r="PLV5" s="390"/>
      <c r="PLW5" s="390"/>
      <c r="PLX5" s="390"/>
      <c r="PLY5" s="390"/>
      <c r="PLZ5" s="390"/>
      <c r="PMA5" s="390"/>
      <c r="PMB5" s="390"/>
      <c r="PMC5" s="390"/>
      <c r="PMD5" s="390"/>
      <c r="PME5" s="390"/>
      <c r="PMF5" s="390"/>
      <c r="PMG5" s="390"/>
      <c r="PMH5" s="390"/>
      <c r="PMI5" s="390"/>
      <c r="PMJ5" s="390"/>
      <c r="PMK5" s="390"/>
      <c r="PML5" s="390"/>
      <c r="PMM5" s="390"/>
      <c r="PMN5" s="390"/>
      <c r="PMO5" s="390"/>
      <c r="PMP5" s="390"/>
      <c r="PMQ5" s="390"/>
      <c r="PMR5" s="390"/>
      <c r="PMS5" s="390"/>
      <c r="PMT5" s="390"/>
      <c r="PMU5" s="390"/>
      <c r="PMV5" s="390"/>
      <c r="PMW5" s="390"/>
      <c r="PMX5" s="390"/>
      <c r="PMY5" s="390"/>
      <c r="PMZ5" s="390"/>
      <c r="PNA5" s="390"/>
      <c r="PNB5" s="390"/>
      <c r="PNC5" s="390"/>
      <c r="PND5" s="390"/>
      <c r="PNE5" s="390"/>
      <c r="PNF5" s="390"/>
      <c r="PNG5" s="390"/>
      <c r="PNH5" s="390"/>
      <c r="PNI5" s="390"/>
      <c r="PNJ5" s="390"/>
      <c r="PNK5" s="390"/>
      <c r="PNL5" s="390"/>
      <c r="PNM5" s="390"/>
      <c r="PNN5" s="390"/>
      <c r="PNO5" s="390"/>
      <c r="PNP5" s="390"/>
      <c r="PNQ5" s="390"/>
      <c r="PNR5" s="390"/>
      <c r="PNS5" s="390"/>
      <c r="PNT5" s="390"/>
      <c r="PNU5" s="390"/>
      <c r="PNV5" s="390"/>
      <c r="PNW5" s="390"/>
      <c r="PNX5" s="390"/>
      <c r="PNY5" s="390"/>
      <c r="PNZ5" s="390"/>
      <c r="POA5" s="390"/>
      <c r="POB5" s="390"/>
      <c r="POC5" s="390"/>
      <c r="POD5" s="390"/>
      <c r="POE5" s="390"/>
      <c r="POF5" s="390"/>
      <c r="POG5" s="390"/>
      <c r="POH5" s="390"/>
      <c r="POI5" s="390"/>
      <c r="POJ5" s="390"/>
      <c r="POK5" s="390"/>
      <c r="POL5" s="390"/>
      <c r="POM5" s="390"/>
      <c r="PON5" s="390"/>
      <c r="POO5" s="390"/>
      <c r="POP5" s="390"/>
      <c r="POQ5" s="390"/>
      <c r="POR5" s="390"/>
      <c r="POS5" s="390"/>
      <c r="POT5" s="390"/>
      <c r="POU5" s="390"/>
      <c r="POV5" s="390"/>
      <c r="POW5" s="390"/>
      <c r="POX5" s="390"/>
      <c r="POY5" s="390"/>
      <c r="POZ5" s="390"/>
      <c r="PPA5" s="390"/>
      <c r="PPB5" s="390"/>
      <c r="PPC5" s="390"/>
      <c r="PPD5" s="390"/>
      <c r="PPE5" s="390"/>
      <c r="PPF5" s="390"/>
      <c r="PPG5" s="390"/>
      <c r="PPH5" s="390"/>
      <c r="PPI5" s="390"/>
      <c r="PPJ5" s="390"/>
      <c r="PPK5" s="390"/>
      <c r="PPL5" s="390"/>
      <c r="PPM5" s="390"/>
      <c r="PPN5" s="390"/>
      <c r="PPO5" s="390"/>
      <c r="PPP5" s="390"/>
      <c r="PPQ5" s="390"/>
      <c r="PPR5" s="390"/>
      <c r="PPS5" s="390"/>
      <c r="PPT5" s="390"/>
      <c r="PPU5" s="390"/>
      <c r="PPV5" s="390"/>
      <c r="PPW5" s="390"/>
      <c r="PPX5" s="390"/>
      <c r="PPY5" s="390"/>
      <c r="PPZ5" s="390"/>
      <c r="PQA5" s="390"/>
      <c r="PQB5" s="390"/>
      <c r="PQC5" s="390"/>
      <c r="PQD5" s="390"/>
      <c r="PQE5" s="390"/>
      <c r="PQF5" s="390"/>
      <c r="PQG5" s="390"/>
      <c r="PQH5" s="390"/>
      <c r="PQI5" s="390"/>
      <c r="PQJ5" s="390"/>
      <c r="PQK5" s="390"/>
      <c r="PQL5" s="390"/>
      <c r="PQM5" s="390"/>
      <c r="PQN5" s="390"/>
      <c r="PQO5" s="390"/>
      <c r="PQP5" s="390"/>
      <c r="PQQ5" s="390"/>
      <c r="PQR5" s="390"/>
      <c r="PQS5" s="390"/>
      <c r="PQT5" s="390"/>
      <c r="PQU5" s="390"/>
      <c r="PQV5" s="390"/>
      <c r="PQW5" s="390"/>
      <c r="PQX5" s="390"/>
      <c r="PQY5" s="390"/>
      <c r="PQZ5" s="390"/>
      <c r="PRA5" s="390"/>
      <c r="PRB5" s="390"/>
      <c r="PRC5" s="390"/>
      <c r="PRD5" s="390"/>
      <c r="PRE5" s="390"/>
      <c r="PRF5" s="390"/>
      <c r="PRG5" s="390"/>
      <c r="PRH5" s="390"/>
      <c r="PRI5" s="390"/>
      <c r="PRJ5" s="390"/>
      <c r="PRK5" s="390"/>
      <c r="PRL5" s="390"/>
      <c r="PRM5" s="390"/>
      <c r="PRN5" s="390"/>
      <c r="PRO5" s="390"/>
      <c r="PRP5" s="390"/>
      <c r="PRQ5" s="390"/>
      <c r="PRR5" s="390"/>
      <c r="PRS5" s="390"/>
      <c r="PRT5" s="390"/>
      <c r="PRU5" s="390"/>
      <c r="PRV5" s="390"/>
      <c r="PRW5" s="390"/>
      <c r="PRX5" s="390"/>
      <c r="PRY5" s="390"/>
      <c r="PRZ5" s="390"/>
      <c r="PSA5" s="390"/>
      <c r="PSB5" s="390"/>
      <c r="PSC5" s="390"/>
      <c r="PSD5" s="390"/>
      <c r="PSE5" s="390"/>
      <c r="PSF5" s="390"/>
      <c r="PSG5" s="390"/>
      <c r="PSH5" s="390"/>
      <c r="PSI5" s="390"/>
      <c r="PSJ5" s="390"/>
      <c r="PSK5" s="390"/>
      <c r="PSL5" s="390"/>
      <c r="PSM5" s="390"/>
      <c r="PSN5" s="390"/>
      <c r="PSO5" s="390"/>
      <c r="PSP5" s="390"/>
      <c r="PSQ5" s="390"/>
      <c r="PSR5" s="390"/>
      <c r="PSS5" s="390"/>
      <c r="PST5" s="390"/>
      <c r="PSU5" s="390"/>
      <c r="PSV5" s="390"/>
      <c r="PSW5" s="390"/>
      <c r="PSX5" s="390"/>
      <c r="PSY5" s="390"/>
      <c r="PSZ5" s="390"/>
      <c r="PTA5" s="390"/>
      <c r="PTB5" s="390"/>
      <c r="PTC5" s="390"/>
      <c r="PTD5" s="390"/>
      <c r="PTE5" s="390"/>
      <c r="PTF5" s="390"/>
      <c r="PTG5" s="390"/>
      <c r="PTH5" s="390"/>
      <c r="PTI5" s="390"/>
      <c r="PTJ5" s="390"/>
      <c r="PTK5" s="390"/>
      <c r="PTL5" s="390"/>
      <c r="PTM5" s="390"/>
      <c r="PTN5" s="390"/>
      <c r="PTO5" s="390"/>
      <c r="PTP5" s="390"/>
      <c r="PTQ5" s="390"/>
      <c r="PTR5" s="390"/>
      <c r="PTS5" s="390"/>
      <c r="PTT5" s="390"/>
      <c r="PTU5" s="390"/>
      <c r="PTV5" s="390"/>
      <c r="PTW5" s="390"/>
      <c r="PTX5" s="390"/>
      <c r="PTY5" s="390"/>
      <c r="PTZ5" s="390"/>
      <c r="PUA5" s="390"/>
      <c r="PUB5" s="390"/>
      <c r="PUC5" s="390"/>
      <c r="PUD5" s="390"/>
      <c r="PUE5" s="390"/>
      <c r="PUF5" s="390"/>
      <c r="PUG5" s="390"/>
      <c r="PUH5" s="390"/>
      <c r="PUI5" s="390"/>
      <c r="PUJ5" s="390"/>
      <c r="PUK5" s="390"/>
      <c r="PUL5" s="390"/>
      <c r="PUM5" s="390"/>
      <c r="PUN5" s="390"/>
      <c r="PUO5" s="390"/>
      <c r="PUP5" s="390"/>
      <c r="PUQ5" s="390"/>
      <c r="PUR5" s="390"/>
      <c r="PUS5" s="390"/>
      <c r="PUT5" s="390"/>
      <c r="PUU5" s="390"/>
      <c r="PUV5" s="390"/>
      <c r="PUW5" s="390"/>
      <c r="PUX5" s="390"/>
      <c r="PUY5" s="390"/>
      <c r="PUZ5" s="390"/>
      <c r="PVA5" s="390"/>
      <c r="PVB5" s="390"/>
      <c r="PVC5" s="390"/>
      <c r="PVD5" s="390"/>
      <c r="PVE5" s="390"/>
      <c r="PVF5" s="390"/>
      <c r="PVG5" s="390"/>
      <c r="PVH5" s="390"/>
      <c r="PVI5" s="390"/>
      <c r="PVJ5" s="390"/>
      <c r="PVK5" s="390"/>
      <c r="PVL5" s="390"/>
      <c r="PVM5" s="390"/>
      <c r="PVN5" s="390"/>
      <c r="PVO5" s="390"/>
      <c r="PVP5" s="390"/>
      <c r="PVQ5" s="390"/>
      <c r="PVR5" s="390"/>
      <c r="PVS5" s="390"/>
      <c r="PVT5" s="390"/>
      <c r="PVU5" s="390"/>
      <c r="PVV5" s="390"/>
      <c r="PVW5" s="390"/>
      <c r="PVX5" s="390"/>
      <c r="PVY5" s="390"/>
      <c r="PVZ5" s="390"/>
      <c r="PWA5" s="390"/>
      <c r="PWB5" s="390"/>
      <c r="PWC5" s="390"/>
      <c r="PWD5" s="390"/>
      <c r="PWE5" s="390"/>
      <c r="PWF5" s="390"/>
      <c r="PWG5" s="390"/>
      <c r="PWH5" s="390"/>
      <c r="PWI5" s="390"/>
      <c r="PWJ5" s="390"/>
      <c r="PWK5" s="390"/>
      <c r="PWL5" s="390"/>
      <c r="PWM5" s="390"/>
      <c r="PWN5" s="390"/>
      <c r="PWO5" s="390"/>
      <c r="PWP5" s="390"/>
      <c r="PWQ5" s="390"/>
      <c r="PWR5" s="390"/>
      <c r="PWS5" s="390"/>
      <c r="PWT5" s="390"/>
      <c r="PWU5" s="390"/>
      <c r="PWV5" s="390"/>
      <c r="PWW5" s="390"/>
      <c r="PWX5" s="390"/>
      <c r="PWY5" s="390"/>
      <c r="PWZ5" s="390"/>
      <c r="PXA5" s="390"/>
      <c r="PXB5" s="390"/>
      <c r="PXC5" s="390"/>
      <c r="PXD5" s="390"/>
      <c r="PXE5" s="390"/>
      <c r="PXF5" s="390"/>
      <c r="PXG5" s="390"/>
      <c r="PXH5" s="390"/>
      <c r="PXI5" s="390"/>
      <c r="PXJ5" s="390"/>
      <c r="PXK5" s="390"/>
      <c r="PXL5" s="390"/>
      <c r="PXM5" s="390"/>
      <c r="PXN5" s="390"/>
      <c r="PXO5" s="390"/>
      <c r="PXP5" s="390"/>
      <c r="PXQ5" s="390"/>
      <c r="PXR5" s="390"/>
      <c r="PXS5" s="390"/>
      <c r="PXT5" s="390"/>
      <c r="PXU5" s="390"/>
      <c r="PXV5" s="390"/>
      <c r="PXW5" s="390"/>
      <c r="PXX5" s="390"/>
      <c r="PXY5" s="390"/>
      <c r="PXZ5" s="390"/>
      <c r="PYA5" s="390"/>
      <c r="PYB5" s="390"/>
      <c r="PYC5" s="390"/>
      <c r="PYD5" s="390"/>
      <c r="PYE5" s="390"/>
      <c r="PYF5" s="390"/>
      <c r="PYG5" s="390"/>
      <c r="PYH5" s="390"/>
      <c r="PYI5" s="390"/>
      <c r="PYJ5" s="390"/>
      <c r="PYK5" s="390"/>
      <c r="PYL5" s="390"/>
      <c r="PYM5" s="390"/>
      <c r="PYN5" s="390"/>
      <c r="PYO5" s="390"/>
      <c r="PYP5" s="390"/>
      <c r="PYQ5" s="390"/>
      <c r="PYR5" s="390"/>
      <c r="PYS5" s="390"/>
      <c r="PYT5" s="390"/>
      <c r="PYU5" s="390"/>
      <c r="PYV5" s="390"/>
      <c r="PYW5" s="390"/>
      <c r="PYX5" s="390"/>
      <c r="PYY5" s="390"/>
      <c r="PYZ5" s="390"/>
      <c r="PZA5" s="390"/>
      <c r="PZB5" s="390"/>
      <c r="PZC5" s="390"/>
      <c r="PZD5" s="390"/>
      <c r="PZE5" s="390"/>
      <c r="PZF5" s="390"/>
      <c r="PZG5" s="390"/>
      <c r="PZH5" s="390"/>
      <c r="PZI5" s="390"/>
      <c r="PZJ5" s="390"/>
      <c r="PZK5" s="390"/>
      <c r="PZL5" s="390"/>
      <c r="PZM5" s="390"/>
      <c r="PZN5" s="390"/>
      <c r="PZO5" s="390"/>
      <c r="PZP5" s="390"/>
      <c r="PZQ5" s="390"/>
      <c r="PZR5" s="390"/>
      <c r="PZS5" s="390"/>
      <c r="PZT5" s="390"/>
      <c r="PZU5" s="390"/>
      <c r="PZV5" s="390"/>
      <c r="PZW5" s="390"/>
      <c r="PZX5" s="390"/>
      <c r="PZY5" s="390"/>
      <c r="PZZ5" s="390"/>
      <c r="QAA5" s="390"/>
      <c r="QAB5" s="390"/>
      <c r="QAC5" s="390"/>
      <c r="QAD5" s="390"/>
      <c r="QAE5" s="390"/>
      <c r="QAF5" s="390"/>
      <c r="QAG5" s="390"/>
      <c r="QAH5" s="390"/>
      <c r="QAI5" s="390"/>
      <c r="QAJ5" s="390"/>
      <c r="QAK5" s="390"/>
      <c r="QAL5" s="390"/>
      <c r="QAM5" s="390"/>
      <c r="QAN5" s="390"/>
      <c r="QAO5" s="390"/>
      <c r="QAP5" s="390"/>
      <c r="QAQ5" s="390"/>
      <c r="QAR5" s="390"/>
      <c r="QAS5" s="390"/>
      <c r="QAT5" s="390"/>
      <c r="QAU5" s="390"/>
      <c r="QAV5" s="390"/>
      <c r="QAW5" s="390"/>
      <c r="QAX5" s="390"/>
      <c r="QAY5" s="390"/>
      <c r="QAZ5" s="390"/>
      <c r="QBA5" s="390"/>
      <c r="QBB5" s="390"/>
      <c r="QBC5" s="390"/>
      <c r="QBD5" s="390"/>
      <c r="QBE5" s="390"/>
      <c r="QBF5" s="390"/>
      <c r="QBG5" s="390"/>
      <c r="QBH5" s="390"/>
      <c r="QBI5" s="390"/>
      <c r="QBJ5" s="390"/>
      <c r="QBK5" s="390"/>
      <c r="QBL5" s="390"/>
      <c r="QBM5" s="390"/>
      <c r="QBN5" s="390"/>
      <c r="QBO5" s="390"/>
      <c r="QBP5" s="390"/>
      <c r="QBQ5" s="390"/>
      <c r="QBR5" s="390"/>
      <c r="QBS5" s="390"/>
      <c r="QBT5" s="390"/>
      <c r="QBU5" s="390"/>
      <c r="QBV5" s="390"/>
      <c r="QBW5" s="390"/>
      <c r="QBX5" s="390"/>
      <c r="QBY5" s="390"/>
      <c r="QBZ5" s="390"/>
      <c r="QCA5" s="390"/>
      <c r="QCB5" s="390"/>
      <c r="QCC5" s="390"/>
      <c r="QCD5" s="390"/>
      <c r="QCE5" s="390"/>
      <c r="QCF5" s="390"/>
      <c r="QCG5" s="390"/>
      <c r="QCH5" s="390"/>
      <c r="QCI5" s="390"/>
      <c r="QCJ5" s="390"/>
      <c r="QCK5" s="390"/>
      <c r="QCL5" s="390"/>
      <c r="QCM5" s="390"/>
      <c r="QCN5" s="390"/>
      <c r="QCO5" s="390"/>
      <c r="QCP5" s="390"/>
      <c r="QCQ5" s="390"/>
      <c r="QCR5" s="390"/>
      <c r="QCS5" s="390"/>
      <c r="QCT5" s="390"/>
      <c r="QCU5" s="390"/>
      <c r="QCV5" s="390"/>
      <c r="QCW5" s="390"/>
      <c r="QCX5" s="390"/>
      <c r="QCY5" s="390"/>
      <c r="QCZ5" s="390"/>
      <c r="QDA5" s="390"/>
      <c r="QDB5" s="390"/>
      <c r="QDC5" s="390"/>
      <c r="QDD5" s="390"/>
      <c r="QDE5" s="390"/>
      <c r="QDF5" s="390"/>
      <c r="QDG5" s="390"/>
      <c r="QDH5" s="390"/>
      <c r="QDI5" s="390"/>
      <c r="QDJ5" s="390"/>
      <c r="QDK5" s="390"/>
      <c r="QDL5" s="390"/>
      <c r="QDM5" s="390"/>
      <c r="QDN5" s="390"/>
      <c r="QDO5" s="390"/>
      <c r="QDP5" s="390"/>
      <c r="QDQ5" s="390"/>
      <c r="QDR5" s="390"/>
      <c r="QDS5" s="390"/>
      <c r="QDT5" s="390"/>
      <c r="QDU5" s="390"/>
      <c r="QDV5" s="390"/>
      <c r="QDW5" s="390"/>
      <c r="QDX5" s="390"/>
      <c r="QDY5" s="390"/>
      <c r="QDZ5" s="390"/>
      <c r="QEA5" s="390"/>
      <c r="QEB5" s="390"/>
      <c r="QEC5" s="390"/>
      <c r="QED5" s="390"/>
      <c r="QEE5" s="390"/>
      <c r="QEF5" s="390"/>
      <c r="QEG5" s="390"/>
      <c r="QEH5" s="390"/>
      <c r="QEI5" s="390"/>
      <c r="QEJ5" s="390"/>
      <c r="QEK5" s="390"/>
      <c r="QEL5" s="390"/>
      <c r="QEM5" s="390"/>
      <c r="QEN5" s="390"/>
      <c r="QEO5" s="390"/>
      <c r="QEP5" s="390"/>
      <c r="QEQ5" s="390"/>
      <c r="QER5" s="390"/>
      <c r="QES5" s="390"/>
      <c r="QET5" s="390"/>
      <c r="QEU5" s="390"/>
      <c r="QEV5" s="390"/>
      <c r="QEW5" s="390"/>
      <c r="QEX5" s="390"/>
      <c r="QEY5" s="390"/>
      <c r="QEZ5" s="390"/>
      <c r="QFA5" s="390"/>
      <c r="QFB5" s="390"/>
      <c r="QFC5" s="390"/>
      <c r="QFD5" s="390"/>
      <c r="QFE5" s="390"/>
      <c r="QFF5" s="390"/>
      <c r="QFG5" s="390"/>
      <c r="QFH5" s="390"/>
      <c r="QFI5" s="390"/>
      <c r="QFJ5" s="390"/>
      <c r="QFK5" s="390"/>
      <c r="QFL5" s="390"/>
      <c r="QFM5" s="390"/>
      <c r="QFN5" s="390"/>
      <c r="QFO5" s="390"/>
      <c r="QFP5" s="390"/>
      <c r="QFQ5" s="390"/>
      <c r="QFR5" s="390"/>
      <c r="QFS5" s="390"/>
      <c r="QFT5" s="390"/>
      <c r="QFU5" s="390"/>
      <c r="QFV5" s="390"/>
      <c r="QFW5" s="390"/>
      <c r="QFX5" s="390"/>
      <c r="QFY5" s="390"/>
      <c r="QFZ5" s="390"/>
      <c r="QGA5" s="390"/>
      <c r="QGB5" s="390"/>
      <c r="QGC5" s="390"/>
      <c r="QGD5" s="390"/>
      <c r="QGE5" s="390"/>
      <c r="QGF5" s="390"/>
      <c r="QGG5" s="390"/>
      <c r="QGH5" s="390"/>
      <c r="QGI5" s="390"/>
      <c r="QGJ5" s="390"/>
      <c r="QGK5" s="390"/>
      <c r="QGL5" s="390"/>
      <c r="QGM5" s="390"/>
      <c r="QGN5" s="390"/>
      <c r="QGO5" s="390"/>
      <c r="QGP5" s="390"/>
      <c r="QGQ5" s="390"/>
      <c r="QGR5" s="390"/>
      <c r="QGS5" s="390"/>
      <c r="QGT5" s="390"/>
      <c r="QGU5" s="390"/>
      <c r="QGV5" s="390"/>
      <c r="QGW5" s="390"/>
      <c r="QGX5" s="390"/>
      <c r="QGY5" s="390"/>
      <c r="QGZ5" s="390"/>
      <c r="QHA5" s="390"/>
      <c r="QHB5" s="390"/>
      <c r="QHC5" s="390"/>
      <c r="QHD5" s="390"/>
      <c r="QHE5" s="390"/>
      <c r="QHF5" s="390"/>
      <c r="QHG5" s="390"/>
      <c r="QHH5" s="390"/>
      <c r="QHI5" s="390"/>
      <c r="QHJ5" s="390"/>
      <c r="QHK5" s="390"/>
      <c r="QHL5" s="390"/>
      <c r="QHM5" s="390"/>
      <c r="QHN5" s="390"/>
      <c r="QHO5" s="390"/>
      <c r="QHP5" s="390"/>
      <c r="QHQ5" s="390"/>
      <c r="QHR5" s="390"/>
      <c r="QHS5" s="390"/>
      <c r="QHT5" s="390"/>
      <c r="QHU5" s="390"/>
      <c r="QHV5" s="390"/>
      <c r="QHW5" s="390"/>
      <c r="QHX5" s="390"/>
      <c r="QHY5" s="390"/>
      <c r="QHZ5" s="390"/>
      <c r="QIA5" s="390"/>
      <c r="QIB5" s="390"/>
      <c r="QIC5" s="390"/>
      <c r="QID5" s="390"/>
      <c r="QIE5" s="390"/>
      <c r="QIF5" s="390"/>
      <c r="QIG5" s="390"/>
      <c r="QIH5" s="390"/>
      <c r="QII5" s="390"/>
      <c r="QIJ5" s="390"/>
      <c r="QIK5" s="390"/>
      <c r="QIL5" s="390"/>
      <c r="QIM5" s="390"/>
      <c r="QIN5" s="390"/>
      <c r="QIO5" s="390"/>
      <c r="QIP5" s="390"/>
      <c r="QIQ5" s="390"/>
      <c r="QIR5" s="390"/>
      <c r="QIS5" s="390"/>
      <c r="QIT5" s="390"/>
      <c r="QIU5" s="390"/>
      <c r="QIV5" s="390"/>
      <c r="QIW5" s="390"/>
      <c r="QIX5" s="390"/>
      <c r="QIY5" s="390"/>
      <c r="QIZ5" s="390"/>
      <c r="QJA5" s="390"/>
      <c r="QJB5" s="390"/>
      <c r="QJC5" s="390"/>
      <c r="QJD5" s="390"/>
      <c r="QJE5" s="390"/>
      <c r="QJF5" s="390"/>
      <c r="QJG5" s="390"/>
      <c r="QJH5" s="390"/>
      <c r="QJI5" s="390"/>
      <c r="QJJ5" s="390"/>
      <c r="QJK5" s="390"/>
      <c r="QJL5" s="390"/>
      <c r="QJM5" s="390"/>
      <c r="QJN5" s="390"/>
      <c r="QJO5" s="390"/>
      <c r="QJP5" s="390"/>
      <c r="QJQ5" s="390"/>
      <c r="QJR5" s="390"/>
      <c r="QJS5" s="390"/>
      <c r="QJT5" s="390"/>
      <c r="QJU5" s="390"/>
      <c r="QJV5" s="390"/>
      <c r="QJW5" s="390"/>
      <c r="QJX5" s="390"/>
      <c r="QJY5" s="390"/>
      <c r="QJZ5" s="390"/>
      <c r="QKA5" s="390"/>
      <c r="QKB5" s="390"/>
      <c r="QKC5" s="390"/>
      <c r="QKD5" s="390"/>
      <c r="QKE5" s="390"/>
      <c r="QKF5" s="390"/>
      <c r="QKG5" s="390"/>
      <c r="QKH5" s="390"/>
      <c r="QKI5" s="390"/>
      <c r="QKJ5" s="390"/>
      <c r="QKK5" s="390"/>
      <c r="QKL5" s="390"/>
      <c r="QKM5" s="390"/>
      <c r="QKN5" s="390"/>
      <c r="QKO5" s="390"/>
      <c r="QKP5" s="390"/>
      <c r="QKQ5" s="390"/>
      <c r="QKR5" s="390"/>
      <c r="QKS5" s="390"/>
      <c r="QKT5" s="390"/>
      <c r="QKU5" s="390"/>
      <c r="QKV5" s="390"/>
      <c r="QKW5" s="390"/>
      <c r="QKX5" s="390"/>
      <c r="QKY5" s="390"/>
      <c r="QKZ5" s="390"/>
      <c r="QLA5" s="390"/>
      <c r="QLB5" s="390"/>
      <c r="QLC5" s="390"/>
      <c r="QLD5" s="390"/>
      <c r="QLE5" s="390"/>
      <c r="QLF5" s="390"/>
      <c r="QLG5" s="390"/>
      <c r="QLH5" s="390"/>
      <c r="QLI5" s="390"/>
      <c r="QLJ5" s="390"/>
      <c r="QLK5" s="390"/>
      <c r="QLL5" s="390"/>
      <c r="QLM5" s="390"/>
      <c r="QLN5" s="390"/>
      <c r="QLO5" s="390"/>
      <c r="QLP5" s="390"/>
      <c r="QLQ5" s="390"/>
      <c r="QLR5" s="390"/>
      <c r="QLS5" s="390"/>
      <c r="QLT5" s="390"/>
      <c r="QLU5" s="390"/>
      <c r="QLV5" s="390"/>
      <c r="QLW5" s="390"/>
      <c r="QLX5" s="390"/>
      <c r="QLY5" s="390"/>
      <c r="QLZ5" s="390"/>
      <c r="QMA5" s="390"/>
      <c r="QMB5" s="390"/>
      <c r="QMC5" s="390"/>
      <c r="QMD5" s="390"/>
      <c r="QME5" s="390"/>
      <c r="QMF5" s="390"/>
      <c r="QMG5" s="390"/>
      <c r="QMH5" s="390"/>
      <c r="QMI5" s="390"/>
      <c r="QMJ5" s="390"/>
      <c r="QMK5" s="390"/>
      <c r="QML5" s="390"/>
      <c r="QMM5" s="390"/>
      <c r="QMN5" s="390"/>
      <c r="QMO5" s="390"/>
      <c r="QMP5" s="390"/>
      <c r="QMQ5" s="390"/>
      <c r="QMR5" s="390"/>
      <c r="QMS5" s="390"/>
      <c r="QMT5" s="390"/>
      <c r="QMU5" s="390"/>
      <c r="QMV5" s="390"/>
      <c r="QMW5" s="390"/>
      <c r="QMX5" s="390"/>
      <c r="QMY5" s="390"/>
      <c r="QMZ5" s="390"/>
      <c r="QNA5" s="390"/>
      <c r="QNB5" s="390"/>
      <c r="QNC5" s="390"/>
      <c r="QND5" s="390"/>
      <c r="QNE5" s="390"/>
      <c r="QNF5" s="390"/>
      <c r="QNG5" s="390"/>
      <c r="QNH5" s="390"/>
      <c r="QNI5" s="390"/>
      <c r="QNJ5" s="390"/>
      <c r="QNK5" s="390"/>
      <c r="QNL5" s="390"/>
      <c r="QNM5" s="390"/>
      <c r="QNN5" s="390"/>
      <c r="QNO5" s="390"/>
      <c r="QNP5" s="390"/>
      <c r="QNQ5" s="390"/>
      <c r="QNR5" s="390"/>
      <c r="QNS5" s="390"/>
      <c r="QNT5" s="390"/>
      <c r="QNU5" s="390"/>
      <c r="QNV5" s="390"/>
      <c r="QNW5" s="390"/>
      <c r="QNX5" s="390"/>
      <c r="QNY5" s="390"/>
      <c r="QNZ5" s="390"/>
      <c r="QOA5" s="390"/>
      <c r="QOB5" s="390"/>
      <c r="QOC5" s="390"/>
      <c r="QOD5" s="390"/>
      <c r="QOE5" s="390"/>
      <c r="QOF5" s="390"/>
      <c r="QOG5" s="390"/>
      <c r="QOH5" s="390"/>
      <c r="QOI5" s="390"/>
      <c r="QOJ5" s="390"/>
      <c r="QOK5" s="390"/>
      <c r="QOL5" s="390"/>
      <c r="QOM5" s="390"/>
      <c r="QON5" s="390"/>
      <c r="QOO5" s="390"/>
      <c r="QOP5" s="390"/>
      <c r="QOQ5" s="390"/>
      <c r="QOR5" s="390"/>
      <c r="QOS5" s="390"/>
      <c r="QOT5" s="390"/>
      <c r="QOU5" s="390"/>
      <c r="QOV5" s="390"/>
      <c r="QOW5" s="390"/>
      <c r="QOX5" s="390"/>
      <c r="QOY5" s="390"/>
      <c r="QOZ5" s="390"/>
      <c r="QPA5" s="390"/>
      <c r="QPB5" s="390"/>
      <c r="QPC5" s="390"/>
      <c r="QPD5" s="390"/>
      <c r="QPE5" s="390"/>
      <c r="QPF5" s="390"/>
      <c r="QPG5" s="390"/>
      <c r="QPH5" s="390"/>
      <c r="QPI5" s="390"/>
      <c r="QPJ5" s="390"/>
      <c r="QPK5" s="390"/>
      <c r="QPL5" s="390"/>
      <c r="QPM5" s="390"/>
      <c r="QPN5" s="390"/>
      <c r="QPO5" s="390"/>
      <c r="QPP5" s="390"/>
      <c r="QPQ5" s="390"/>
      <c r="QPR5" s="390"/>
      <c r="QPS5" s="390"/>
      <c r="QPT5" s="390"/>
      <c r="QPU5" s="390"/>
      <c r="QPV5" s="390"/>
      <c r="QPW5" s="390"/>
      <c r="QPX5" s="390"/>
      <c r="QPY5" s="390"/>
      <c r="QPZ5" s="390"/>
      <c r="QQA5" s="390"/>
      <c r="QQB5" s="390"/>
      <c r="QQC5" s="390"/>
      <c r="QQD5" s="390"/>
      <c r="QQE5" s="390"/>
      <c r="QQF5" s="390"/>
      <c r="QQG5" s="390"/>
      <c r="QQH5" s="390"/>
      <c r="QQI5" s="390"/>
      <c r="QQJ5" s="390"/>
      <c r="QQK5" s="390"/>
      <c r="QQL5" s="390"/>
      <c r="QQM5" s="390"/>
      <c r="QQN5" s="390"/>
      <c r="QQO5" s="390"/>
      <c r="QQP5" s="390"/>
      <c r="QQQ5" s="390"/>
      <c r="QQR5" s="390"/>
      <c r="QQS5" s="390"/>
      <c r="QQT5" s="390"/>
      <c r="QQU5" s="390"/>
      <c r="QQV5" s="390"/>
      <c r="QQW5" s="390"/>
      <c r="QQX5" s="390"/>
      <c r="QQY5" s="390"/>
      <c r="QQZ5" s="390"/>
      <c r="QRA5" s="390"/>
      <c r="QRB5" s="390"/>
      <c r="QRC5" s="390"/>
      <c r="QRD5" s="390"/>
      <c r="QRE5" s="390"/>
      <c r="QRF5" s="390"/>
      <c r="QRG5" s="390"/>
      <c r="QRH5" s="390"/>
      <c r="QRI5" s="390"/>
      <c r="QRJ5" s="390"/>
      <c r="QRK5" s="390"/>
      <c r="QRL5" s="390"/>
      <c r="QRM5" s="390"/>
      <c r="QRN5" s="390"/>
      <c r="QRO5" s="390"/>
      <c r="QRP5" s="390"/>
      <c r="QRQ5" s="390"/>
      <c r="QRR5" s="390"/>
      <c r="QRS5" s="390"/>
      <c r="QRT5" s="390"/>
      <c r="QRU5" s="390"/>
      <c r="QRV5" s="390"/>
      <c r="QRW5" s="390"/>
      <c r="QRX5" s="390"/>
      <c r="QRY5" s="390"/>
      <c r="QRZ5" s="390"/>
      <c r="QSA5" s="390"/>
      <c r="QSB5" s="390"/>
      <c r="QSC5" s="390"/>
      <c r="QSD5" s="390"/>
      <c r="QSE5" s="390"/>
      <c r="QSF5" s="390"/>
      <c r="QSG5" s="390"/>
      <c r="QSH5" s="390"/>
      <c r="QSI5" s="390"/>
      <c r="QSJ5" s="390"/>
      <c r="QSK5" s="390"/>
      <c r="QSL5" s="390"/>
      <c r="QSM5" s="390"/>
      <c r="QSN5" s="390"/>
      <c r="QSO5" s="390"/>
      <c r="QSP5" s="390"/>
      <c r="QSQ5" s="390"/>
      <c r="QSR5" s="390"/>
      <c r="QSS5" s="390"/>
      <c r="QST5" s="390"/>
      <c r="QSU5" s="390"/>
      <c r="QSV5" s="390"/>
      <c r="QSW5" s="390"/>
      <c r="QSX5" s="390"/>
      <c r="QSY5" s="390"/>
      <c r="QSZ5" s="390"/>
      <c r="QTA5" s="390"/>
      <c r="QTB5" s="390"/>
      <c r="QTC5" s="390"/>
      <c r="QTD5" s="390"/>
      <c r="QTE5" s="390"/>
      <c r="QTF5" s="390"/>
      <c r="QTG5" s="390"/>
      <c r="QTH5" s="390"/>
      <c r="QTI5" s="390"/>
      <c r="QTJ5" s="390"/>
      <c r="QTK5" s="390"/>
      <c r="QTL5" s="390"/>
      <c r="QTM5" s="390"/>
      <c r="QTN5" s="390"/>
      <c r="QTO5" s="390"/>
      <c r="QTP5" s="390"/>
      <c r="QTQ5" s="390"/>
      <c r="QTR5" s="390"/>
      <c r="QTS5" s="390"/>
      <c r="QTT5" s="390"/>
      <c r="QTU5" s="390"/>
      <c r="QTV5" s="390"/>
      <c r="QTW5" s="390"/>
      <c r="QTX5" s="390"/>
      <c r="QTY5" s="390"/>
      <c r="QTZ5" s="390"/>
      <c r="QUA5" s="390"/>
      <c r="QUB5" s="390"/>
      <c r="QUC5" s="390"/>
      <c r="QUD5" s="390"/>
      <c r="QUE5" s="390"/>
      <c r="QUF5" s="390"/>
      <c r="QUG5" s="390"/>
      <c r="QUH5" s="390"/>
      <c r="QUI5" s="390"/>
      <c r="QUJ5" s="390"/>
      <c r="QUK5" s="390"/>
      <c r="QUL5" s="390"/>
      <c r="QUM5" s="390"/>
      <c r="QUN5" s="390"/>
      <c r="QUO5" s="390"/>
      <c r="QUP5" s="390"/>
      <c r="QUQ5" s="390"/>
      <c r="QUR5" s="390"/>
      <c r="QUS5" s="390"/>
      <c r="QUT5" s="390"/>
      <c r="QUU5" s="390"/>
      <c r="QUV5" s="390"/>
      <c r="QUW5" s="390"/>
      <c r="QUX5" s="390"/>
      <c r="QUY5" s="390"/>
      <c r="QUZ5" s="390"/>
      <c r="QVA5" s="390"/>
      <c r="QVB5" s="390"/>
      <c r="QVC5" s="390"/>
      <c r="QVD5" s="390"/>
      <c r="QVE5" s="390"/>
      <c r="QVF5" s="390"/>
      <c r="QVG5" s="390"/>
      <c r="QVH5" s="390"/>
      <c r="QVI5" s="390"/>
      <c r="QVJ5" s="390"/>
      <c r="QVK5" s="390"/>
      <c r="QVL5" s="390"/>
      <c r="QVM5" s="390"/>
      <c r="QVN5" s="390"/>
      <c r="QVO5" s="390"/>
      <c r="QVP5" s="390"/>
      <c r="QVQ5" s="390"/>
      <c r="QVR5" s="390"/>
      <c r="QVS5" s="390"/>
      <c r="QVT5" s="390"/>
      <c r="QVU5" s="390"/>
      <c r="QVV5" s="390"/>
      <c r="QVW5" s="390"/>
      <c r="QVX5" s="390"/>
      <c r="QVY5" s="390"/>
      <c r="QVZ5" s="390"/>
      <c r="QWA5" s="390"/>
      <c r="QWB5" s="390"/>
      <c r="QWC5" s="390"/>
      <c r="QWD5" s="390"/>
      <c r="QWE5" s="390"/>
      <c r="QWF5" s="390"/>
      <c r="QWG5" s="390"/>
      <c r="QWH5" s="390"/>
      <c r="QWI5" s="390"/>
      <c r="QWJ5" s="390"/>
      <c r="QWK5" s="390"/>
      <c r="QWL5" s="390"/>
      <c r="QWM5" s="390"/>
      <c r="QWN5" s="390"/>
      <c r="QWO5" s="390"/>
      <c r="QWP5" s="390"/>
      <c r="QWQ5" s="390"/>
      <c r="QWR5" s="390"/>
      <c r="QWS5" s="390"/>
      <c r="QWT5" s="390"/>
      <c r="QWU5" s="390"/>
      <c r="QWV5" s="390"/>
      <c r="QWW5" s="390"/>
      <c r="QWX5" s="390"/>
      <c r="QWY5" s="390"/>
      <c r="QWZ5" s="390"/>
      <c r="QXA5" s="390"/>
      <c r="QXB5" s="390"/>
      <c r="QXC5" s="390"/>
      <c r="QXD5" s="390"/>
      <c r="QXE5" s="390"/>
      <c r="QXF5" s="390"/>
      <c r="QXG5" s="390"/>
      <c r="QXH5" s="390"/>
      <c r="QXI5" s="390"/>
      <c r="QXJ5" s="390"/>
      <c r="QXK5" s="390"/>
      <c r="QXL5" s="390"/>
      <c r="QXM5" s="390"/>
      <c r="QXN5" s="390"/>
      <c r="QXO5" s="390"/>
      <c r="QXP5" s="390"/>
      <c r="QXQ5" s="390"/>
      <c r="QXR5" s="390"/>
      <c r="QXS5" s="390"/>
      <c r="QXT5" s="390"/>
      <c r="QXU5" s="390"/>
      <c r="QXV5" s="390"/>
      <c r="QXW5" s="390"/>
      <c r="QXX5" s="390"/>
      <c r="QXY5" s="390"/>
      <c r="QXZ5" s="390"/>
      <c r="QYA5" s="390"/>
      <c r="QYB5" s="390"/>
      <c r="QYC5" s="390"/>
      <c r="QYD5" s="390"/>
      <c r="QYE5" s="390"/>
      <c r="QYF5" s="390"/>
      <c r="QYG5" s="390"/>
      <c r="QYH5" s="390"/>
      <c r="QYI5" s="390"/>
      <c r="QYJ5" s="390"/>
      <c r="QYK5" s="390"/>
      <c r="QYL5" s="390"/>
      <c r="QYM5" s="390"/>
      <c r="QYN5" s="390"/>
      <c r="QYO5" s="390"/>
      <c r="QYP5" s="390"/>
      <c r="QYQ5" s="390"/>
      <c r="QYR5" s="390"/>
      <c r="QYS5" s="390"/>
      <c r="QYT5" s="390"/>
      <c r="QYU5" s="390"/>
      <c r="QYV5" s="390"/>
      <c r="QYW5" s="390"/>
      <c r="QYX5" s="390"/>
      <c r="QYY5" s="390"/>
      <c r="QYZ5" s="390"/>
      <c r="QZA5" s="390"/>
      <c r="QZB5" s="390"/>
      <c r="QZC5" s="390"/>
      <c r="QZD5" s="390"/>
      <c r="QZE5" s="390"/>
      <c r="QZF5" s="390"/>
      <c r="QZG5" s="390"/>
      <c r="QZH5" s="390"/>
      <c r="QZI5" s="390"/>
      <c r="QZJ5" s="390"/>
      <c r="QZK5" s="390"/>
      <c r="QZL5" s="390"/>
      <c r="QZM5" s="390"/>
      <c r="QZN5" s="390"/>
      <c r="QZO5" s="390"/>
      <c r="QZP5" s="390"/>
      <c r="QZQ5" s="390"/>
      <c r="QZR5" s="390"/>
      <c r="QZS5" s="390"/>
      <c r="QZT5" s="390"/>
      <c r="QZU5" s="390"/>
      <c r="QZV5" s="390"/>
      <c r="QZW5" s="390"/>
      <c r="QZX5" s="390"/>
      <c r="QZY5" s="390"/>
      <c r="QZZ5" s="390"/>
      <c r="RAA5" s="390"/>
      <c r="RAB5" s="390"/>
      <c r="RAC5" s="390"/>
      <c r="RAD5" s="390"/>
      <c r="RAE5" s="390"/>
      <c r="RAF5" s="390"/>
      <c r="RAG5" s="390"/>
      <c r="RAH5" s="390"/>
      <c r="RAI5" s="390"/>
      <c r="RAJ5" s="390"/>
      <c r="RAK5" s="390"/>
      <c r="RAL5" s="390"/>
      <c r="RAM5" s="390"/>
      <c r="RAN5" s="390"/>
      <c r="RAO5" s="390"/>
      <c r="RAP5" s="390"/>
      <c r="RAQ5" s="390"/>
      <c r="RAR5" s="390"/>
      <c r="RAS5" s="390"/>
      <c r="RAT5" s="390"/>
      <c r="RAU5" s="390"/>
      <c r="RAV5" s="390"/>
      <c r="RAW5" s="390"/>
      <c r="RAX5" s="390"/>
      <c r="RAY5" s="390"/>
      <c r="RAZ5" s="390"/>
      <c r="RBA5" s="390"/>
      <c r="RBB5" s="390"/>
      <c r="RBC5" s="390"/>
      <c r="RBD5" s="390"/>
      <c r="RBE5" s="390"/>
      <c r="RBF5" s="390"/>
      <c r="RBG5" s="390"/>
      <c r="RBH5" s="390"/>
      <c r="RBI5" s="390"/>
      <c r="RBJ5" s="390"/>
      <c r="RBK5" s="390"/>
      <c r="RBL5" s="390"/>
      <c r="RBM5" s="390"/>
      <c r="RBN5" s="390"/>
      <c r="RBO5" s="390"/>
      <c r="RBP5" s="390"/>
      <c r="RBQ5" s="390"/>
      <c r="RBR5" s="390"/>
      <c r="RBS5" s="390"/>
      <c r="RBT5" s="390"/>
      <c r="RBU5" s="390"/>
      <c r="RBV5" s="390"/>
      <c r="RBW5" s="390"/>
      <c r="RBX5" s="390"/>
      <c r="RBY5" s="390"/>
      <c r="RBZ5" s="390"/>
      <c r="RCA5" s="390"/>
      <c r="RCB5" s="390"/>
      <c r="RCC5" s="390"/>
      <c r="RCD5" s="390"/>
      <c r="RCE5" s="390"/>
      <c r="RCF5" s="390"/>
      <c r="RCG5" s="390"/>
      <c r="RCH5" s="390"/>
      <c r="RCI5" s="390"/>
      <c r="RCJ5" s="390"/>
      <c r="RCK5" s="390"/>
      <c r="RCL5" s="390"/>
      <c r="RCM5" s="390"/>
      <c r="RCN5" s="390"/>
      <c r="RCO5" s="390"/>
      <c r="RCP5" s="390"/>
      <c r="RCQ5" s="390"/>
      <c r="RCR5" s="390"/>
      <c r="RCS5" s="390"/>
      <c r="RCT5" s="390"/>
      <c r="RCU5" s="390"/>
      <c r="RCV5" s="390"/>
      <c r="RCW5" s="390"/>
      <c r="RCX5" s="390"/>
      <c r="RCY5" s="390"/>
      <c r="RCZ5" s="390"/>
      <c r="RDA5" s="390"/>
      <c r="RDB5" s="390"/>
      <c r="RDC5" s="390"/>
      <c r="RDD5" s="390"/>
      <c r="RDE5" s="390"/>
      <c r="RDF5" s="390"/>
      <c r="RDG5" s="390"/>
      <c r="RDH5" s="390"/>
      <c r="RDI5" s="390"/>
      <c r="RDJ5" s="390"/>
      <c r="RDK5" s="390"/>
      <c r="RDL5" s="390"/>
      <c r="RDM5" s="390"/>
      <c r="RDN5" s="390"/>
      <c r="RDO5" s="390"/>
      <c r="RDP5" s="390"/>
      <c r="RDQ5" s="390"/>
      <c r="RDR5" s="390"/>
      <c r="RDS5" s="390"/>
      <c r="RDT5" s="390"/>
      <c r="RDU5" s="390"/>
      <c r="RDV5" s="390"/>
      <c r="RDW5" s="390"/>
      <c r="RDX5" s="390"/>
      <c r="RDY5" s="390"/>
      <c r="RDZ5" s="390"/>
      <c r="REA5" s="390"/>
      <c r="REB5" s="390"/>
      <c r="REC5" s="390"/>
      <c r="RED5" s="390"/>
      <c r="REE5" s="390"/>
      <c r="REF5" s="390"/>
      <c r="REG5" s="390"/>
      <c r="REH5" s="390"/>
      <c r="REI5" s="390"/>
      <c r="REJ5" s="390"/>
      <c r="REK5" s="390"/>
      <c r="REL5" s="390"/>
      <c r="REM5" s="390"/>
      <c r="REN5" s="390"/>
      <c r="REO5" s="390"/>
      <c r="REP5" s="390"/>
      <c r="REQ5" s="390"/>
      <c r="RER5" s="390"/>
      <c r="RES5" s="390"/>
      <c r="RET5" s="390"/>
      <c r="REU5" s="390"/>
      <c r="REV5" s="390"/>
      <c r="REW5" s="390"/>
      <c r="REX5" s="390"/>
      <c r="REY5" s="390"/>
      <c r="REZ5" s="390"/>
      <c r="RFA5" s="390"/>
      <c r="RFB5" s="390"/>
      <c r="RFC5" s="390"/>
      <c r="RFD5" s="390"/>
      <c r="RFE5" s="390"/>
      <c r="RFF5" s="390"/>
      <c r="RFG5" s="390"/>
      <c r="RFH5" s="390"/>
      <c r="RFI5" s="390"/>
      <c r="RFJ5" s="390"/>
      <c r="RFK5" s="390"/>
      <c r="RFL5" s="390"/>
      <c r="RFM5" s="390"/>
      <c r="RFN5" s="390"/>
      <c r="RFO5" s="390"/>
      <c r="RFP5" s="390"/>
      <c r="RFQ5" s="390"/>
      <c r="RFR5" s="390"/>
      <c r="RFS5" s="390"/>
      <c r="RFT5" s="390"/>
      <c r="RFU5" s="390"/>
      <c r="RFV5" s="390"/>
      <c r="RFW5" s="390"/>
      <c r="RFX5" s="390"/>
      <c r="RFY5" s="390"/>
      <c r="RFZ5" s="390"/>
      <c r="RGA5" s="390"/>
      <c r="RGB5" s="390"/>
      <c r="RGC5" s="390"/>
      <c r="RGD5" s="390"/>
      <c r="RGE5" s="390"/>
      <c r="RGF5" s="390"/>
      <c r="RGG5" s="390"/>
      <c r="RGH5" s="390"/>
      <c r="RGI5" s="390"/>
      <c r="RGJ5" s="390"/>
      <c r="RGK5" s="390"/>
      <c r="RGL5" s="390"/>
      <c r="RGM5" s="390"/>
      <c r="RGN5" s="390"/>
      <c r="RGO5" s="390"/>
      <c r="RGP5" s="390"/>
      <c r="RGQ5" s="390"/>
      <c r="RGR5" s="390"/>
      <c r="RGS5" s="390"/>
      <c r="RGT5" s="390"/>
      <c r="RGU5" s="390"/>
      <c r="RGV5" s="390"/>
      <c r="RGW5" s="390"/>
      <c r="RGX5" s="390"/>
      <c r="RGY5" s="390"/>
      <c r="RGZ5" s="390"/>
      <c r="RHA5" s="390"/>
      <c r="RHB5" s="390"/>
      <c r="RHC5" s="390"/>
      <c r="RHD5" s="390"/>
      <c r="RHE5" s="390"/>
      <c r="RHF5" s="390"/>
      <c r="RHG5" s="390"/>
      <c r="RHH5" s="390"/>
      <c r="RHI5" s="390"/>
      <c r="RHJ5" s="390"/>
      <c r="RHK5" s="390"/>
      <c r="RHL5" s="390"/>
      <c r="RHM5" s="390"/>
      <c r="RHN5" s="390"/>
      <c r="RHO5" s="390"/>
      <c r="RHP5" s="390"/>
      <c r="RHQ5" s="390"/>
      <c r="RHR5" s="390"/>
      <c r="RHS5" s="390"/>
      <c r="RHT5" s="390"/>
      <c r="RHU5" s="390"/>
      <c r="RHV5" s="390"/>
      <c r="RHW5" s="390"/>
      <c r="RHX5" s="390"/>
      <c r="RHY5" s="390"/>
      <c r="RHZ5" s="390"/>
      <c r="RIA5" s="390"/>
      <c r="RIB5" s="390"/>
      <c r="RIC5" s="390"/>
      <c r="RID5" s="390"/>
      <c r="RIE5" s="390"/>
      <c r="RIF5" s="390"/>
      <c r="RIG5" s="390"/>
      <c r="RIH5" s="390"/>
      <c r="RII5" s="390"/>
      <c r="RIJ5" s="390"/>
      <c r="RIK5" s="390"/>
      <c r="RIL5" s="390"/>
      <c r="RIM5" s="390"/>
      <c r="RIN5" s="390"/>
      <c r="RIO5" s="390"/>
      <c r="RIP5" s="390"/>
      <c r="RIQ5" s="390"/>
      <c r="RIR5" s="390"/>
      <c r="RIS5" s="390"/>
      <c r="RIT5" s="390"/>
      <c r="RIU5" s="390"/>
      <c r="RIV5" s="390"/>
      <c r="RIW5" s="390"/>
      <c r="RIX5" s="390"/>
      <c r="RIY5" s="390"/>
      <c r="RIZ5" s="390"/>
      <c r="RJA5" s="390"/>
      <c r="RJB5" s="390"/>
      <c r="RJC5" s="390"/>
      <c r="RJD5" s="390"/>
      <c r="RJE5" s="390"/>
      <c r="RJF5" s="390"/>
      <c r="RJG5" s="390"/>
      <c r="RJH5" s="390"/>
      <c r="RJI5" s="390"/>
      <c r="RJJ5" s="390"/>
      <c r="RJK5" s="390"/>
      <c r="RJL5" s="390"/>
      <c r="RJM5" s="390"/>
      <c r="RJN5" s="390"/>
      <c r="RJO5" s="390"/>
      <c r="RJP5" s="390"/>
      <c r="RJQ5" s="390"/>
      <c r="RJR5" s="390"/>
      <c r="RJS5" s="390"/>
      <c r="RJT5" s="390"/>
      <c r="RJU5" s="390"/>
      <c r="RJV5" s="390"/>
      <c r="RJW5" s="390"/>
      <c r="RJX5" s="390"/>
      <c r="RJY5" s="390"/>
      <c r="RJZ5" s="390"/>
      <c r="RKA5" s="390"/>
      <c r="RKB5" s="390"/>
      <c r="RKC5" s="390"/>
      <c r="RKD5" s="390"/>
      <c r="RKE5" s="390"/>
      <c r="RKF5" s="390"/>
      <c r="RKG5" s="390"/>
      <c r="RKH5" s="390"/>
      <c r="RKI5" s="390"/>
      <c r="RKJ5" s="390"/>
      <c r="RKK5" s="390"/>
      <c r="RKL5" s="390"/>
      <c r="RKM5" s="390"/>
      <c r="RKN5" s="390"/>
      <c r="RKO5" s="390"/>
      <c r="RKP5" s="390"/>
      <c r="RKQ5" s="390"/>
      <c r="RKR5" s="390"/>
      <c r="RKS5" s="390"/>
      <c r="RKT5" s="390"/>
      <c r="RKU5" s="390"/>
      <c r="RKV5" s="390"/>
      <c r="RKW5" s="390"/>
      <c r="RKX5" s="390"/>
      <c r="RKY5" s="390"/>
      <c r="RKZ5" s="390"/>
      <c r="RLA5" s="390"/>
      <c r="RLB5" s="390"/>
      <c r="RLC5" s="390"/>
      <c r="RLD5" s="390"/>
      <c r="RLE5" s="390"/>
      <c r="RLF5" s="390"/>
      <c r="RLG5" s="390"/>
      <c r="RLH5" s="390"/>
      <c r="RLI5" s="390"/>
      <c r="RLJ5" s="390"/>
      <c r="RLK5" s="390"/>
      <c r="RLL5" s="390"/>
      <c r="RLM5" s="390"/>
      <c r="RLN5" s="390"/>
      <c r="RLO5" s="390"/>
      <c r="RLP5" s="390"/>
      <c r="RLQ5" s="390"/>
      <c r="RLR5" s="390"/>
      <c r="RLS5" s="390"/>
      <c r="RLT5" s="390"/>
      <c r="RLU5" s="390"/>
      <c r="RLV5" s="390"/>
      <c r="RLW5" s="390"/>
      <c r="RLX5" s="390"/>
      <c r="RLY5" s="390"/>
      <c r="RLZ5" s="390"/>
      <c r="RMA5" s="390"/>
      <c r="RMB5" s="390"/>
      <c r="RMC5" s="390"/>
      <c r="RMD5" s="390"/>
      <c r="RME5" s="390"/>
      <c r="RMF5" s="390"/>
      <c r="RMG5" s="390"/>
      <c r="RMH5" s="390"/>
      <c r="RMI5" s="390"/>
      <c r="RMJ5" s="390"/>
      <c r="RMK5" s="390"/>
      <c r="RML5" s="390"/>
      <c r="RMM5" s="390"/>
      <c r="RMN5" s="390"/>
      <c r="RMO5" s="390"/>
      <c r="RMP5" s="390"/>
      <c r="RMQ5" s="390"/>
      <c r="RMR5" s="390"/>
      <c r="RMS5" s="390"/>
      <c r="RMT5" s="390"/>
      <c r="RMU5" s="390"/>
      <c r="RMV5" s="390"/>
      <c r="RMW5" s="390"/>
      <c r="RMX5" s="390"/>
      <c r="RMY5" s="390"/>
      <c r="RMZ5" s="390"/>
      <c r="RNA5" s="390"/>
      <c r="RNB5" s="390"/>
      <c r="RNC5" s="390"/>
      <c r="RND5" s="390"/>
      <c r="RNE5" s="390"/>
      <c r="RNF5" s="390"/>
      <c r="RNG5" s="390"/>
      <c r="RNH5" s="390"/>
      <c r="RNI5" s="390"/>
      <c r="RNJ5" s="390"/>
      <c r="RNK5" s="390"/>
      <c r="RNL5" s="390"/>
      <c r="RNM5" s="390"/>
      <c r="RNN5" s="390"/>
      <c r="RNO5" s="390"/>
      <c r="RNP5" s="390"/>
      <c r="RNQ5" s="390"/>
      <c r="RNR5" s="390"/>
      <c r="RNS5" s="390"/>
      <c r="RNT5" s="390"/>
      <c r="RNU5" s="390"/>
      <c r="RNV5" s="390"/>
      <c r="RNW5" s="390"/>
      <c r="RNX5" s="390"/>
      <c r="RNY5" s="390"/>
      <c r="RNZ5" s="390"/>
      <c r="ROA5" s="390"/>
      <c r="ROB5" s="390"/>
      <c r="ROC5" s="390"/>
      <c r="ROD5" s="390"/>
      <c r="ROE5" s="390"/>
      <c r="ROF5" s="390"/>
      <c r="ROG5" s="390"/>
      <c r="ROH5" s="390"/>
      <c r="ROI5" s="390"/>
      <c r="ROJ5" s="390"/>
      <c r="ROK5" s="390"/>
      <c r="ROL5" s="390"/>
      <c r="ROM5" s="390"/>
      <c r="RON5" s="390"/>
      <c r="ROO5" s="390"/>
      <c r="ROP5" s="390"/>
      <c r="ROQ5" s="390"/>
      <c r="ROR5" s="390"/>
      <c r="ROS5" s="390"/>
      <c r="ROT5" s="390"/>
      <c r="ROU5" s="390"/>
      <c r="ROV5" s="390"/>
      <c r="ROW5" s="390"/>
      <c r="ROX5" s="390"/>
      <c r="ROY5" s="390"/>
      <c r="ROZ5" s="390"/>
      <c r="RPA5" s="390"/>
      <c r="RPB5" s="390"/>
      <c r="RPC5" s="390"/>
      <c r="RPD5" s="390"/>
      <c r="RPE5" s="390"/>
      <c r="RPF5" s="390"/>
      <c r="RPG5" s="390"/>
      <c r="RPH5" s="390"/>
      <c r="RPI5" s="390"/>
      <c r="RPJ5" s="390"/>
      <c r="RPK5" s="390"/>
      <c r="RPL5" s="390"/>
      <c r="RPM5" s="390"/>
      <c r="RPN5" s="390"/>
      <c r="RPO5" s="390"/>
      <c r="RPP5" s="390"/>
      <c r="RPQ5" s="390"/>
      <c r="RPR5" s="390"/>
      <c r="RPS5" s="390"/>
      <c r="RPT5" s="390"/>
      <c r="RPU5" s="390"/>
      <c r="RPV5" s="390"/>
      <c r="RPW5" s="390"/>
      <c r="RPX5" s="390"/>
      <c r="RPY5" s="390"/>
      <c r="RPZ5" s="390"/>
      <c r="RQA5" s="390"/>
      <c r="RQB5" s="390"/>
      <c r="RQC5" s="390"/>
      <c r="RQD5" s="390"/>
      <c r="RQE5" s="390"/>
      <c r="RQF5" s="390"/>
      <c r="RQG5" s="390"/>
      <c r="RQH5" s="390"/>
      <c r="RQI5" s="390"/>
      <c r="RQJ5" s="390"/>
      <c r="RQK5" s="390"/>
      <c r="RQL5" s="390"/>
      <c r="RQM5" s="390"/>
      <c r="RQN5" s="390"/>
      <c r="RQO5" s="390"/>
      <c r="RQP5" s="390"/>
      <c r="RQQ5" s="390"/>
      <c r="RQR5" s="390"/>
      <c r="RQS5" s="390"/>
      <c r="RQT5" s="390"/>
      <c r="RQU5" s="390"/>
      <c r="RQV5" s="390"/>
      <c r="RQW5" s="390"/>
      <c r="RQX5" s="390"/>
      <c r="RQY5" s="390"/>
      <c r="RQZ5" s="390"/>
      <c r="RRA5" s="390"/>
      <c r="RRB5" s="390"/>
      <c r="RRC5" s="390"/>
      <c r="RRD5" s="390"/>
      <c r="RRE5" s="390"/>
      <c r="RRF5" s="390"/>
      <c r="RRG5" s="390"/>
      <c r="RRH5" s="390"/>
      <c r="RRI5" s="390"/>
      <c r="RRJ5" s="390"/>
      <c r="RRK5" s="390"/>
      <c r="RRL5" s="390"/>
      <c r="RRM5" s="390"/>
      <c r="RRN5" s="390"/>
      <c r="RRO5" s="390"/>
      <c r="RRP5" s="390"/>
      <c r="RRQ5" s="390"/>
      <c r="RRR5" s="390"/>
      <c r="RRS5" s="390"/>
      <c r="RRT5" s="390"/>
      <c r="RRU5" s="390"/>
      <c r="RRV5" s="390"/>
      <c r="RRW5" s="390"/>
      <c r="RRX5" s="390"/>
      <c r="RRY5" s="390"/>
      <c r="RRZ5" s="390"/>
      <c r="RSA5" s="390"/>
      <c r="RSB5" s="390"/>
      <c r="RSC5" s="390"/>
      <c r="RSD5" s="390"/>
      <c r="RSE5" s="390"/>
      <c r="RSF5" s="390"/>
      <c r="RSG5" s="390"/>
      <c r="RSH5" s="390"/>
      <c r="RSI5" s="390"/>
      <c r="RSJ5" s="390"/>
      <c r="RSK5" s="390"/>
      <c r="RSL5" s="390"/>
      <c r="RSM5" s="390"/>
      <c r="RSN5" s="390"/>
      <c r="RSO5" s="390"/>
      <c r="RSP5" s="390"/>
      <c r="RSQ5" s="390"/>
      <c r="RSR5" s="390"/>
      <c r="RSS5" s="390"/>
      <c r="RST5" s="390"/>
      <c r="RSU5" s="390"/>
      <c r="RSV5" s="390"/>
      <c r="RSW5" s="390"/>
      <c r="RSX5" s="390"/>
      <c r="RSY5" s="390"/>
      <c r="RSZ5" s="390"/>
      <c r="RTA5" s="390"/>
      <c r="RTB5" s="390"/>
      <c r="RTC5" s="390"/>
      <c r="RTD5" s="390"/>
      <c r="RTE5" s="390"/>
      <c r="RTF5" s="390"/>
      <c r="RTG5" s="390"/>
      <c r="RTH5" s="390"/>
      <c r="RTI5" s="390"/>
      <c r="RTJ5" s="390"/>
      <c r="RTK5" s="390"/>
      <c r="RTL5" s="390"/>
      <c r="RTM5" s="390"/>
      <c r="RTN5" s="390"/>
      <c r="RTO5" s="390"/>
      <c r="RTP5" s="390"/>
      <c r="RTQ5" s="390"/>
      <c r="RTR5" s="390"/>
      <c r="RTS5" s="390"/>
      <c r="RTT5" s="390"/>
      <c r="RTU5" s="390"/>
      <c r="RTV5" s="390"/>
      <c r="RTW5" s="390"/>
      <c r="RTX5" s="390"/>
      <c r="RTY5" s="390"/>
      <c r="RTZ5" s="390"/>
      <c r="RUA5" s="390"/>
      <c r="RUB5" s="390"/>
      <c r="RUC5" s="390"/>
      <c r="RUD5" s="390"/>
      <c r="RUE5" s="390"/>
      <c r="RUF5" s="390"/>
      <c r="RUG5" s="390"/>
      <c r="RUH5" s="390"/>
      <c r="RUI5" s="390"/>
      <c r="RUJ5" s="390"/>
      <c r="RUK5" s="390"/>
      <c r="RUL5" s="390"/>
      <c r="RUM5" s="390"/>
      <c r="RUN5" s="390"/>
      <c r="RUO5" s="390"/>
      <c r="RUP5" s="390"/>
      <c r="RUQ5" s="390"/>
      <c r="RUR5" s="390"/>
      <c r="RUS5" s="390"/>
      <c r="RUT5" s="390"/>
      <c r="RUU5" s="390"/>
      <c r="RUV5" s="390"/>
      <c r="RUW5" s="390"/>
      <c r="RUX5" s="390"/>
      <c r="RUY5" s="390"/>
      <c r="RUZ5" s="390"/>
      <c r="RVA5" s="390"/>
      <c r="RVB5" s="390"/>
      <c r="RVC5" s="390"/>
      <c r="RVD5" s="390"/>
      <c r="RVE5" s="390"/>
      <c r="RVF5" s="390"/>
      <c r="RVG5" s="390"/>
      <c r="RVH5" s="390"/>
      <c r="RVI5" s="390"/>
      <c r="RVJ5" s="390"/>
      <c r="RVK5" s="390"/>
      <c r="RVL5" s="390"/>
      <c r="RVM5" s="390"/>
      <c r="RVN5" s="390"/>
      <c r="RVO5" s="390"/>
      <c r="RVP5" s="390"/>
      <c r="RVQ5" s="390"/>
      <c r="RVR5" s="390"/>
      <c r="RVS5" s="390"/>
      <c r="RVT5" s="390"/>
      <c r="RVU5" s="390"/>
      <c r="RVV5" s="390"/>
      <c r="RVW5" s="390"/>
      <c r="RVX5" s="390"/>
      <c r="RVY5" s="390"/>
      <c r="RVZ5" s="390"/>
      <c r="RWA5" s="390"/>
      <c r="RWB5" s="390"/>
      <c r="RWC5" s="390"/>
      <c r="RWD5" s="390"/>
      <c r="RWE5" s="390"/>
      <c r="RWF5" s="390"/>
      <c r="RWG5" s="390"/>
      <c r="RWH5" s="390"/>
      <c r="RWI5" s="390"/>
      <c r="RWJ5" s="390"/>
      <c r="RWK5" s="390"/>
      <c r="RWL5" s="390"/>
      <c r="RWM5" s="390"/>
      <c r="RWN5" s="390"/>
      <c r="RWO5" s="390"/>
      <c r="RWP5" s="390"/>
      <c r="RWQ5" s="390"/>
      <c r="RWR5" s="390"/>
      <c r="RWS5" s="390"/>
      <c r="RWT5" s="390"/>
      <c r="RWU5" s="390"/>
      <c r="RWV5" s="390"/>
      <c r="RWW5" s="390"/>
      <c r="RWX5" s="390"/>
      <c r="RWY5" s="390"/>
      <c r="RWZ5" s="390"/>
      <c r="RXA5" s="390"/>
      <c r="RXB5" s="390"/>
      <c r="RXC5" s="390"/>
      <c r="RXD5" s="390"/>
      <c r="RXE5" s="390"/>
      <c r="RXF5" s="390"/>
      <c r="RXG5" s="390"/>
      <c r="RXH5" s="390"/>
      <c r="RXI5" s="390"/>
      <c r="RXJ5" s="390"/>
      <c r="RXK5" s="390"/>
      <c r="RXL5" s="390"/>
      <c r="RXM5" s="390"/>
      <c r="RXN5" s="390"/>
      <c r="RXO5" s="390"/>
      <c r="RXP5" s="390"/>
      <c r="RXQ5" s="390"/>
      <c r="RXR5" s="390"/>
      <c r="RXS5" s="390"/>
      <c r="RXT5" s="390"/>
      <c r="RXU5" s="390"/>
      <c r="RXV5" s="390"/>
      <c r="RXW5" s="390"/>
      <c r="RXX5" s="390"/>
      <c r="RXY5" s="390"/>
      <c r="RXZ5" s="390"/>
      <c r="RYA5" s="390"/>
      <c r="RYB5" s="390"/>
      <c r="RYC5" s="390"/>
      <c r="RYD5" s="390"/>
      <c r="RYE5" s="390"/>
      <c r="RYF5" s="390"/>
      <c r="RYG5" s="390"/>
      <c r="RYH5" s="390"/>
      <c r="RYI5" s="390"/>
      <c r="RYJ5" s="390"/>
      <c r="RYK5" s="390"/>
      <c r="RYL5" s="390"/>
      <c r="RYM5" s="390"/>
      <c r="RYN5" s="390"/>
      <c r="RYO5" s="390"/>
      <c r="RYP5" s="390"/>
      <c r="RYQ5" s="390"/>
      <c r="RYR5" s="390"/>
      <c r="RYS5" s="390"/>
      <c r="RYT5" s="390"/>
      <c r="RYU5" s="390"/>
      <c r="RYV5" s="390"/>
      <c r="RYW5" s="390"/>
      <c r="RYX5" s="390"/>
      <c r="RYY5" s="390"/>
      <c r="RYZ5" s="390"/>
      <c r="RZA5" s="390"/>
      <c r="RZB5" s="390"/>
      <c r="RZC5" s="390"/>
      <c r="RZD5" s="390"/>
      <c r="RZE5" s="390"/>
      <c r="RZF5" s="390"/>
      <c r="RZG5" s="390"/>
      <c r="RZH5" s="390"/>
      <c r="RZI5" s="390"/>
      <c r="RZJ5" s="390"/>
      <c r="RZK5" s="390"/>
      <c r="RZL5" s="390"/>
      <c r="RZM5" s="390"/>
      <c r="RZN5" s="390"/>
      <c r="RZO5" s="390"/>
      <c r="RZP5" s="390"/>
      <c r="RZQ5" s="390"/>
      <c r="RZR5" s="390"/>
      <c r="RZS5" s="390"/>
      <c r="RZT5" s="390"/>
      <c r="RZU5" s="390"/>
      <c r="RZV5" s="390"/>
      <c r="RZW5" s="390"/>
      <c r="RZX5" s="390"/>
      <c r="RZY5" s="390"/>
      <c r="RZZ5" s="390"/>
      <c r="SAA5" s="390"/>
      <c r="SAB5" s="390"/>
      <c r="SAC5" s="390"/>
      <c r="SAD5" s="390"/>
      <c r="SAE5" s="390"/>
      <c r="SAF5" s="390"/>
      <c r="SAG5" s="390"/>
      <c r="SAH5" s="390"/>
      <c r="SAI5" s="390"/>
      <c r="SAJ5" s="390"/>
      <c r="SAK5" s="390"/>
      <c r="SAL5" s="390"/>
      <c r="SAM5" s="390"/>
      <c r="SAN5" s="390"/>
      <c r="SAO5" s="390"/>
      <c r="SAP5" s="390"/>
      <c r="SAQ5" s="390"/>
      <c r="SAR5" s="390"/>
      <c r="SAS5" s="390"/>
      <c r="SAT5" s="390"/>
      <c r="SAU5" s="390"/>
      <c r="SAV5" s="390"/>
      <c r="SAW5" s="390"/>
      <c r="SAX5" s="390"/>
      <c r="SAY5" s="390"/>
      <c r="SAZ5" s="390"/>
      <c r="SBA5" s="390"/>
      <c r="SBB5" s="390"/>
      <c r="SBC5" s="390"/>
      <c r="SBD5" s="390"/>
      <c r="SBE5" s="390"/>
      <c r="SBF5" s="390"/>
      <c r="SBG5" s="390"/>
      <c r="SBH5" s="390"/>
      <c r="SBI5" s="390"/>
      <c r="SBJ5" s="390"/>
      <c r="SBK5" s="390"/>
      <c r="SBL5" s="390"/>
      <c r="SBM5" s="390"/>
      <c r="SBN5" s="390"/>
      <c r="SBO5" s="390"/>
      <c r="SBP5" s="390"/>
      <c r="SBQ5" s="390"/>
      <c r="SBR5" s="390"/>
      <c r="SBS5" s="390"/>
      <c r="SBT5" s="390"/>
      <c r="SBU5" s="390"/>
      <c r="SBV5" s="390"/>
      <c r="SBW5" s="390"/>
      <c r="SBX5" s="390"/>
      <c r="SBY5" s="390"/>
      <c r="SBZ5" s="390"/>
      <c r="SCA5" s="390"/>
      <c r="SCB5" s="390"/>
      <c r="SCC5" s="390"/>
      <c r="SCD5" s="390"/>
      <c r="SCE5" s="390"/>
      <c r="SCF5" s="390"/>
      <c r="SCG5" s="390"/>
      <c r="SCH5" s="390"/>
      <c r="SCI5" s="390"/>
      <c r="SCJ5" s="390"/>
      <c r="SCK5" s="390"/>
      <c r="SCL5" s="390"/>
      <c r="SCM5" s="390"/>
      <c r="SCN5" s="390"/>
      <c r="SCO5" s="390"/>
      <c r="SCP5" s="390"/>
      <c r="SCQ5" s="390"/>
      <c r="SCR5" s="390"/>
      <c r="SCS5" s="390"/>
      <c r="SCT5" s="390"/>
      <c r="SCU5" s="390"/>
      <c r="SCV5" s="390"/>
      <c r="SCW5" s="390"/>
      <c r="SCX5" s="390"/>
      <c r="SCY5" s="390"/>
      <c r="SCZ5" s="390"/>
      <c r="SDA5" s="390"/>
      <c r="SDB5" s="390"/>
      <c r="SDC5" s="390"/>
      <c r="SDD5" s="390"/>
      <c r="SDE5" s="390"/>
      <c r="SDF5" s="390"/>
      <c r="SDG5" s="390"/>
      <c r="SDH5" s="390"/>
      <c r="SDI5" s="390"/>
      <c r="SDJ5" s="390"/>
      <c r="SDK5" s="390"/>
      <c r="SDL5" s="390"/>
      <c r="SDM5" s="390"/>
      <c r="SDN5" s="390"/>
      <c r="SDO5" s="390"/>
      <c r="SDP5" s="390"/>
      <c r="SDQ5" s="390"/>
      <c r="SDR5" s="390"/>
      <c r="SDS5" s="390"/>
      <c r="SDT5" s="390"/>
      <c r="SDU5" s="390"/>
      <c r="SDV5" s="390"/>
      <c r="SDW5" s="390"/>
      <c r="SDX5" s="390"/>
      <c r="SDY5" s="390"/>
      <c r="SDZ5" s="390"/>
      <c r="SEA5" s="390"/>
      <c r="SEB5" s="390"/>
      <c r="SEC5" s="390"/>
      <c r="SED5" s="390"/>
      <c r="SEE5" s="390"/>
      <c r="SEF5" s="390"/>
      <c r="SEG5" s="390"/>
      <c r="SEH5" s="390"/>
      <c r="SEI5" s="390"/>
      <c r="SEJ5" s="390"/>
      <c r="SEK5" s="390"/>
      <c r="SEL5" s="390"/>
      <c r="SEM5" s="390"/>
      <c r="SEN5" s="390"/>
      <c r="SEO5" s="390"/>
      <c r="SEP5" s="390"/>
      <c r="SEQ5" s="390"/>
      <c r="SER5" s="390"/>
      <c r="SES5" s="390"/>
      <c r="SET5" s="390"/>
      <c r="SEU5" s="390"/>
      <c r="SEV5" s="390"/>
      <c r="SEW5" s="390"/>
      <c r="SEX5" s="390"/>
      <c r="SEY5" s="390"/>
      <c r="SEZ5" s="390"/>
      <c r="SFA5" s="390"/>
      <c r="SFB5" s="390"/>
      <c r="SFC5" s="390"/>
      <c r="SFD5" s="390"/>
      <c r="SFE5" s="390"/>
      <c r="SFF5" s="390"/>
      <c r="SFG5" s="390"/>
      <c r="SFH5" s="390"/>
      <c r="SFI5" s="390"/>
      <c r="SFJ5" s="390"/>
      <c r="SFK5" s="390"/>
      <c r="SFL5" s="390"/>
      <c r="SFM5" s="390"/>
      <c r="SFN5" s="390"/>
      <c r="SFO5" s="390"/>
      <c r="SFP5" s="390"/>
      <c r="SFQ5" s="390"/>
      <c r="SFR5" s="390"/>
      <c r="SFS5" s="390"/>
      <c r="SFT5" s="390"/>
      <c r="SFU5" s="390"/>
      <c r="SFV5" s="390"/>
      <c r="SFW5" s="390"/>
      <c r="SFX5" s="390"/>
      <c r="SFY5" s="390"/>
      <c r="SFZ5" s="390"/>
      <c r="SGA5" s="390"/>
      <c r="SGB5" s="390"/>
      <c r="SGC5" s="390"/>
      <c r="SGD5" s="390"/>
      <c r="SGE5" s="390"/>
      <c r="SGF5" s="390"/>
      <c r="SGG5" s="390"/>
      <c r="SGH5" s="390"/>
      <c r="SGI5" s="390"/>
      <c r="SGJ5" s="390"/>
      <c r="SGK5" s="390"/>
      <c r="SGL5" s="390"/>
      <c r="SGM5" s="390"/>
      <c r="SGN5" s="390"/>
      <c r="SGO5" s="390"/>
      <c r="SGP5" s="390"/>
      <c r="SGQ5" s="390"/>
      <c r="SGR5" s="390"/>
      <c r="SGS5" s="390"/>
      <c r="SGT5" s="390"/>
      <c r="SGU5" s="390"/>
      <c r="SGV5" s="390"/>
      <c r="SGW5" s="390"/>
      <c r="SGX5" s="390"/>
      <c r="SGY5" s="390"/>
      <c r="SGZ5" s="390"/>
      <c r="SHA5" s="390"/>
      <c r="SHB5" s="390"/>
      <c r="SHC5" s="390"/>
      <c r="SHD5" s="390"/>
      <c r="SHE5" s="390"/>
      <c r="SHF5" s="390"/>
      <c r="SHG5" s="390"/>
      <c r="SHH5" s="390"/>
      <c r="SHI5" s="390"/>
      <c r="SHJ5" s="390"/>
      <c r="SHK5" s="390"/>
      <c r="SHL5" s="390"/>
      <c r="SHM5" s="390"/>
      <c r="SHN5" s="390"/>
      <c r="SHO5" s="390"/>
      <c r="SHP5" s="390"/>
      <c r="SHQ5" s="390"/>
      <c r="SHR5" s="390"/>
      <c r="SHS5" s="390"/>
      <c r="SHT5" s="390"/>
      <c r="SHU5" s="390"/>
      <c r="SHV5" s="390"/>
      <c r="SHW5" s="390"/>
      <c r="SHX5" s="390"/>
      <c r="SHY5" s="390"/>
      <c r="SHZ5" s="390"/>
      <c r="SIA5" s="390"/>
      <c r="SIB5" s="390"/>
      <c r="SIC5" s="390"/>
      <c r="SID5" s="390"/>
      <c r="SIE5" s="390"/>
      <c r="SIF5" s="390"/>
      <c r="SIG5" s="390"/>
      <c r="SIH5" s="390"/>
      <c r="SII5" s="390"/>
      <c r="SIJ5" s="390"/>
      <c r="SIK5" s="390"/>
      <c r="SIL5" s="390"/>
      <c r="SIM5" s="390"/>
      <c r="SIN5" s="390"/>
      <c r="SIO5" s="390"/>
      <c r="SIP5" s="390"/>
      <c r="SIQ5" s="390"/>
      <c r="SIR5" s="390"/>
      <c r="SIS5" s="390"/>
      <c r="SIT5" s="390"/>
      <c r="SIU5" s="390"/>
      <c r="SIV5" s="390"/>
      <c r="SIW5" s="390"/>
      <c r="SIX5" s="390"/>
      <c r="SIY5" s="390"/>
      <c r="SIZ5" s="390"/>
      <c r="SJA5" s="390"/>
      <c r="SJB5" s="390"/>
      <c r="SJC5" s="390"/>
      <c r="SJD5" s="390"/>
      <c r="SJE5" s="390"/>
      <c r="SJF5" s="390"/>
      <c r="SJG5" s="390"/>
      <c r="SJH5" s="390"/>
      <c r="SJI5" s="390"/>
      <c r="SJJ5" s="390"/>
      <c r="SJK5" s="390"/>
      <c r="SJL5" s="390"/>
      <c r="SJM5" s="390"/>
      <c r="SJN5" s="390"/>
      <c r="SJO5" s="390"/>
      <c r="SJP5" s="390"/>
      <c r="SJQ5" s="390"/>
      <c r="SJR5" s="390"/>
      <c r="SJS5" s="390"/>
      <c r="SJT5" s="390"/>
      <c r="SJU5" s="390"/>
      <c r="SJV5" s="390"/>
      <c r="SJW5" s="390"/>
      <c r="SJX5" s="390"/>
      <c r="SJY5" s="390"/>
      <c r="SJZ5" s="390"/>
      <c r="SKA5" s="390"/>
      <c r="SKB5" s="390"/>
      <c r="SKC5" s="390"/>
      <c r="SKD5" s="390"/>
      <c r="SKE5" s="390"/>
      <c r="SKF5" s="390"/>
      <c r="SKG5" s="390"/>
      <c r="SKH5" s="390"/>
      <c r="SKI5" s="390"/>
      <c r="SKJ5" s="390"/>
      <c r="SKK5" s="390"/>
      <c r="SKL5" s="390"/>
      <c r="SKM5" s="390"/>
      <c r="SKN5" s="390"/>
      <c r="SKO5" s="390"/>
      <c r="SKP5" s="390"/>
      <c r="SKQ5" s="390"/>
      <c r="SKR5" s="390"/>
      <c r="SKS5" s="390"/>
      <c r="SKT5" s="390"/>
      <c r="SKU5" s="390"/>
      <c r="SKV5" s="390"/>
      <c r="SKW5" s="390"/>
      <c r="SKX5" s="390"/>
      <c r="SKY5" s="390"/>
      <c r="SKZ5" s="390"/>
      <c r="SLA5" s="390"/>
      <c r="SLB5" s="390"/>
      <c r="SLC5" s="390"/>
      <c r="SLD5" s="390"/>
      <c r="SLE5" s="390"/>
      <c r="SLF5" s="390"/>
      <c r="SLG5" s="390"/>
      <c r="SLH5" s="390"/>
      <c r="SLI5" s="390"/>
      <c r="SLJ5" s="390"/>
      <c r="SLK5" s="390"/>
      <c r="SLL5" s="390"/>
      <c r="SLM5" s="390"/>
      <c r="SLN5" s="390"/>
      <c r="SLO5" s="390"/>
      <c r="SLP5" s="390"/>
      <c r="SLQ5" s="390"/>
      <c r="SLR5" s="390"/>
      <c r="SLS5" s="390"/>
      <c r="SLT5" s="390"/>
      <c r="SLU5" s="390"/>
      <c r="SLV5" s="390"/>
      <c r="SLW5" s="390"/>
      <c r="SLX5" s="390"/>
      <c r="SLY5" s="390"/>
      <c r="SLZ5" s="390"/>
      <c r="SMA5" s="390"/>
      <c r="SMB5" s="390"/>
      <c r="SMC5" s="390"/>
      <c r="SMD5" s="390"/>
      <c r="SME5" s="390"/>
      <c r="SMF5" s="390"/>
      <c r="SMG5" s="390"/>
      <c r="SMH5" s="390"/>
      <c r="SMI5" s="390"/>
      <c r="SMJ5" s="390"/>
      <c r="SMK5" s="390"/>
      <c r="SML5" s="390"/>
      <c r="SMM5" s="390"/>
      <c r="SMN5" s="390"/>
      <c r="SMO5" s="390"/>
      <c r="SMP5" s="390"/>
      <c r="SMQ5" s="390"/>
      <c r="SMR5" s="390"/>
      <c r="SMS5" s="390"/>
      <c r="SMT5" s="390"/>
      <c r="SMU5" s="390"/>
      <c r="SMV5" s="390"/>
      <c r="SMW5" s="390"/>
      <c r="SMX5" s="390"/>
      <c r="SMY5" s="390"/>
      <c r="SMZ5" s="390"/>
      <c r="SNA5" s="390"/>
      <c r="SNB5" s="390"/>
      <c r="SNC5" s="390"/>
      <c r="SND5" s="390"/>
      <c r="SNE5" s="390"/>
      <c r="SNF5" s="390"/>
      <c r="SNG5" s="390"/>
      <c r="SNH5" s="390"/>
      <c r="SNI5" s="390"/>
      <c r="SNJ5" s="390"/>
      <c r="SNK5" s="390"/>
      <c r="SNL5" s="390"/>
      <c r="SNM5" s="390"/>
      <c r="SNN5" s="390"/>
      <c r="SNO5" s="390"/>
      <c r="SNP5" s="390"/>
      <c r="SNQ5" s="390"/>
      <c r="SNR5" s="390"/>
      <c r="SNS5" s="390"/>
      <c r="SNT5" s="390"/>
      <c r="SNU5" s="390"/>
      <c r="SNV5" s="390"/>
      <c r="SNW5" s="390"/>
      <c r="SNX5" s="390"/>
      <c r="SNY5" s="390"/>
      <c r="SNZ5" s="390"/>
      <c r="SOA5" s="390"/>
      <c r="SOB5" s="390"/>
      <c r="SOC5" s="390"/>
      <c r="SOD5" s="390"/>
      <c r="SOE5" s="390"/>
      <c r="SOF5" s="390"/>
      <c r="SOG5" s="390"/>
      <c r="SOH5" s="390"/>
      <c r="SOI5" s="390"/>
      <c r="SOJ5" s="390"/>
      <c r="SOK5" s="390"/>
      <c r="SOL5" s="390"/>
      <c r="SOM5" s="390"/>
      <c r="SON5" s="390"/>
      <c r="SOO5" s="390"/>
      <c r="SOP5" s="390"/>
      <c r="SOQ5" s="390"/>
      <c r="SOR5" s="390"/>
      <c r="SOS5" s="390"/>
      <c r="SOT5" s="390"/>
      <c r="SOU5" s="390"/>
      <c r="SOV5" s="390"/>
      <c r="SOW5" s="390"/>
      <c r="SOX5" s="390"/>
      <c r="SOY5" s="390"/>
      <c r="SOZ5" s="390"/>
      <c r="SPA5" s="390"/>
      <c r="SPB5" s="390"/>
      <c r="SPC5" s="390"/>
      <c r="SPD5" s="390"/>
      <c r="SPE5" s="390"/>
      <c r="SPF5" s="390"/>
      <c r="SPG5" s="390"/>
      <c r="SPH5" s="390"/>
      <c r="SPI5" s="390"/>
      <c r="SPJ5" s="390"/>
      <c r="SPK5" s="390"/>
      <c r="SPL5" s="390"/>
      <c r="SPM5" s="390"/>
      <c r="SPN5" s="390"/>
      <c r="SPO5" s="390"/>
      <c r="SPP5" s="390"/>
      <c r="SPQ5" s="390"/>
      <c r="SPR5" s="390"/>
      <c r="SPS5" s="390"/>
      <c r="SPT5" s="390"/>
      <c r="SPU5" s="390"/>
      <c r="SPV5" s="390"/>
      <c r="SPW5" s="390"/>
      <c r="SPX5" s="390"/>
      <c r="SPY5" s="390"/>
      <c r="SPZ5" s="390"/>
      <c r="SQA5" s="390"/>
      <c r="SQB5" s="390"/>
      <c r="SQC5" s="390"/>
      <c r="SQD5" s="390"/>
      <c r="SQE5" s="390"/>
      <c r="SQF5" s="390"/>
      <c r="SQG5" s="390"/>
      <c r="SQH5" s="390"/>
      <c r="SQI5" s="390"/>
      <c r="SQJ5" s="390"/>
      <c r="SQK5" s="390"/>
      <c r="SQL5" s="390"/>
      <c r="SQM5" s="390"/>
      <c r="SQN5" s="390"/>
      <c r="SQO5" s="390"/>
      <c r="SQP5" s="390"/>
      <c r="SQQ5" s="390"/>
      <c r="SQR5" s="390"/>
      <c r="SQS5" s="390"/>
      <c r="SQT5" s="390"/>
      <c r="SQU5" s="390"/>
      <c r="SQV5" s="390"/>
      <c r="SQW5" s="390"/>
      <c r="SQX5" s="390"/>
      <c r="SQY5" s="390"/>
      <c r="SQZ5" s="390"/>
      <c r="SRA5" s="390"/>
      <c r="SRB5" s="390"/>
      <c r="SRC5" s="390"/>
      <c r="SRD5" s="390"/>
      <c r="SRE5" s="390"/>
      <c r="SRF5" s="390"/>
      <c r="SRG5" s="390"/>
      <c r="SRH5" s="390"/>
      <c r="SRI5" s="390"/>
      <c r="SRJ5" s="390"/>
      <c r="SRK5" s="390"/>
      <c r="SRL5" s="390"/>
      <c r="SRM5" s="390"/>
      <c r="SRN5" s="390"/>
      <c r="SRO5" s="390"/>
      <c r="SRP5" s="390"/>
      <c r="SRQ5" s="390"/>
      <c r="SRR5" s="390"/>
      <c r="SRS5" s="390"/>
      <c r="SRT5" s="390"/>
      <c r="SRU5" s="390"/>
      <c r="SRV5" s="390"/>
      <c r="SRW5" s="390"/>
      <c r="SRX5" s="390"/>
      <c r="SRY5" s="390"/>
      <c r="SRZ5" s="390"/>
      <c r="SSA5" s="390"/>
      <c r="SSB5" s="390"/>
      <c r="SSC5" s="390"/>
      <c r="SSD5" s="390"/>
      <c r="SSE5" s="390"/>
      <c r="SSF5" s="390"/>
      <c r="SSG5" s="390"/>
      <c r="SSH5" s="390"/>
      <c r="SSI5" s="390"/>
      <c r="SSJ5" s="390"/>
      <c r="SSK5" s="390"/>
      <c r="SSL5" s="390"/>
      <c r="SSM5" s="390"/>
      <c r="SSN5" s="390"/>
      <c r="SSO5" s="390"/>
      <c r="SSP5" s="390"/>
      <c r="SSQ5" s="390"/>
      <c r="SSR5" s="390"/>
      <c r="SSS5" s="390"/>
      <c r="SST5" s="390"/>
      <c r="SSU5" s="390"/>
      <c r="SSV5" s="390"/>
      <c r="SSW5" s="390"/>
      <c r="SSX5" s="390"/>
      <c r="SSY5" s="390"/>
      <c r="SSZ5" s="390"/>
      <c r="STA5" s="390"/>
      <c r="STB5" s="390"/>
      <c r="STC5" s="390"/>
      <c r="STD5" s="390"/>
      <c r="STE5" s="390"/>
      <c r="STF5" s="390"/>
      <c r="STG5" s="390"/>
      <c r="STH5" s="390"/>
      <c r="STI5" s="390"/>
      <c r="STJ5" s="390"/>
      <c r="STK5" s="390"/>
      <c r="STL5" s="390"/>
      <c r="STM5" s="390"/>
      <c r="STN5" s="390"/>
      <c r="STO5" s="390"/>
      <c r="STP5" s="390"/>
      <c r="STQ5" s="390"/>
      <c r="STR5" s="390"/>
      <c r="STS5" s="390"/>
      <c r="STT5" s="390"/>
      <c r="STU5" s="390"/>
      <c r="STV5" s="390"/>
      <c r="STW5" s="390"/>
      <c r="STX5" s="390"/>
      <c r="STY5" s="390"/>
      <c r="STZ5" s="390"/>
      <c r="SUA5" s="390"/>
      <c r="SUB5" s="390"/>
      <c r="SUC5" s="390"/>
      <c r="SUD5" s="390"/>
      <c r="SUE5" s="390"/>
      <c r="SUF5" s="390"/>
      <c r="SUG5" s="390"/>
      <c r="SUH5" s="390"/>
      <c r="SUI5" s="390"/>
      <c r="SUJ5" s="390"/>
      <c r="SUK5" s="390"/>
      <c r="SUL5" s="390"/>
      <c r="SUM5" s="390"/>
      <c r="SUN5" s="390"/>
      <c r="SUO5" s="390"/>
      <c r="SUP5" s="390"/>
      <c r="SUQ5" s="390"/>
      <c r="SUR5" s="390"/>
      <c r="SUS5" s="390"/>
      <c r="SUT5" s="390"/>
      <c r="SUU5" s="390"/>
      <c r="SUV5" s="390"/>
      <c r="SUW5" s="390"/>
      <c r="SUX5" s="390"/>
      <c r="SUY5" s="390"/>
      <c r="SUZ5" s="390"/>
      <c r="SVA5" s="390"/>
      <c r="SVB5" s="390"/>
      <c r="SVC5" s="390"/>
      <c r="SVD5" s="390"/>
      <c r="SVE5" s="390"/>
      <c r="SVF5" s="390"/>
      <c r="SVG5" s="390"/>
      <c r="SVH5" s="390"/>
      <c r="SVI5" s="390"/>
      <c r="SVJ5" s="390"/>
      <c r="SVK5" s="390"/>
      <c r="SVL5" s="390"/>
      <c r="SVM5" s="390"/>
      <c r="SVN5" s="390"/>
      <c r="SVO5" s="390"/>
      <c r="SVP5" s="390"/>
      <c r="SVQ5" s="390"/>
      <c r="SVR5" s="390"/>
      <c r="SVS5" s="390"/>
      <c r="SVT5" s="390"/>
      <c r="SVU5" s="390"/>
      <c r="SVV5" s="390"/>
      <c r="SVW5" s="390"/>
      <c r="SVX5" s="390"/>
      <c r="SVY5" s="390"/>
      <c r="SVZ5" s="390"/>
      <c r="SWA5" s="390"/>
      <c r="SWB5" s="390"/>
      <c r="SWC5" s="390"/>
      <c r="SWD5" s="390"/>
      <c r="SWE5" s="390"/>
      <c r="SWF5" s="390"/>
      <c r="SWG5" s="390"/>
      <c r="SWH5" s="390"/>
      <c r="SWI5" s="390"/>
      <c r="SWJ5" s="390"/>
      <c r="SWK5" s="390"/>
      <c r="SWL5" s="390"/>
      <c r="SWM5" s="390"/>
      <c r="SWN5" s="390"/>
      <c r="SWO5" s="390"/>
      <c r="SWP5" s="390"/>
      <c r="SWQ5" s="390"/>
      <c r="SWR5" s="390"/>
      <c r="SWS5" s="390"/>
      <c r="SWT5" s="390"/>
      <c r="SWU5" s="390"/>
      <c r="SWV5" s="390"/>
      <c r="SWW5" s="390"/>
      <c r="SWX5" s="390"/>
      <c r="SWY5" s="390"/>
      <c r="SWZ5" s="390"/>
      <c r="SXA5" s="390"/>
      <c r="SXB5" s="390"/>
      <c r="SXC5" s="390"/>
      <c r="SXD5" s="390"/>
      <c r="SXE5" s="390"/>
      <c r="SXF5" s="390"/>
      <c r="SXG5" s="390"/>
      <c r="SXH5" s="390"/>
      <c r="SXI5" s="390"/>
      <c r="SXJ5" s="390"/>
      <c r="SXK5" s="390"/>
      <c r="SXL5" s="390"/>
      <c r="SXM5" s="390"/>
      <c r="SXN5" s="390"/>
      <c r="SXO5" s="390"/>
      <c r="SXP5" s="390"/>
      <c r="SXQ5" s="390"/>
      <c r="SXR5" s="390"/>
      <c r="SXS5" s="390"/>
      <c r="SXT5" s="390"/>
      <c r="SXU5" s="390"/>
      <c r="SXV5" s="390"/>
      <c r="SXW5" s="390"/>
      <c r="SXX5" s="390"/>
      <c r="SXY5" s="390"/>
      <c r="SXZ5" s="390"/>
      <c r="SYA5" s="390"/>
      <c r="SYB5" s="390"/>
      <c r="SYC5" s="390"/>
      <c r="SYD5" s="390"/>
      <c r="SYE5" s="390"/>
      <c r="SYF5" s="390"/>
      <c r="SYG5" s="390"/>
      <c r="SYH5" s="390"/>
      <c r="SYI5" s="390"/>
      <c r="SYJ5" s="390"/>
      <c r="SYK5" s="390"/>
      <c r="SYL5" s="390"/>
      <c r="SYM5" s="390"/>
      <c r="SYN5" s="390"/>
      <c r="SYO5" s="390"/>
      <c r="SYP5" s="390"/>
      <c r="SYQ5" s="390"/>
      <c r="SYR5" s="390"/>
      <c r="SYS5" s="390"/>
      <c r="SYT5" s="390"/>
      <c r="SYU5" s="390"/>
      <c r="SYV5" s="390"/>
      <c r="SYW5" s="390"/>
      <c r="SYX5" s="390"/>
      <c r="SYY5" s="390"/>
      <c r="SYZ5" s="390"/>
      <c r="SZA5" s="390"/>
      <c r="SZB5" s="390"/>
      <c r="SZC5" s="390"/>
      <c r="SZD5" s="390"/>
      <c r="SZE5" s="390"/>
      <c r="SZF5" s="390"/>
      <c r="SZG5" s="390"/>
      <c r="SZH5" s="390"/>
      <c r="SZI5" s="390"/>
      <c r="SZJ5" s="390"/>
      <c r="SZK5" s="390"/>
      <c r="SZL5" s="390"/>
      <c r="SZM5" s="390"/>
      <c r="SZN5" s="390"/>
      <c r="SZO5" s="390"/>
      <c r="SZP5" s="390"/>
      <c r="SZQ5" s="390"/>
      <c r="SZR5" s="390"/>
      <c r="SZS5" s="390"/>
      <c r="SZT5" s="390"/>
      <c r="SZU5" s="390"/>
      <c r="SZV5" s="390"/>
      <c r="SZW5" s="390"/>
      <c r="SZX5" s="390"/>
      <c r="SZY5" s="390"/>
      <c r="SZZ5" s="390"/>
      <c r="TAA5" s="390"/>
      <c r="TAB5" s="390"/>
      <c r="TAC5" s="390"/>
      <c r="TAD5" s="390"/>
      <c r="TAE5" s="390"/>
      <c r="TAF5" s="390"/>
      <c r="TAG5" s="390"/>
      <c r="TAH5" s="390"/>
      <c r="TAI5" s="390"/>
      <c r="TAJ5" s="390"/>
      <c r="TAK5" s="390"/>
      <c r="TAL5" s="390"/>
      <c r="TAM5" s="390"/>
      <c r="TAN5" s="390"/>
      <c r="TAO5" s="390"/>
      <c r="TAP5" s="390"/>
      <c r="TAQ5" s="390"/>
      <c r="TAR5" s="390"/>
      <c r="TAS5" s="390"/>
      <c r="TAT5" s="390"/>
      <c r="TAU5" s="390"/>
      <c r="TAV5" s="390"/>
      <c r="TAW5" s="390"/>
      <c r="TAX5" s="390"/>
      <c r="TAY5" s="390"/>
      <c r="TAZ5" s="390"/>
      <c r="TBA5" s="390"/>
      <c r="TBB5" s="390"/>
      <c r="TBC5" s="390"/>
      <c r="TBD5" s="390"/>
      <c r="TBE5" s="390"/>
      <c r="TBF5" s="390"/>
      <c r="TBG5" s="390"/>
      <c r="TBH5" s="390"/>
      <c r="TBI5" s="390"/>
      <c r="TBJ5" s="390"/>
      <c r="TBK5" s="390"/>
      <c r="TBL5" s="390"/>
      <c r="TBM5" s="390"/>
      <c r="TBN5" s="390"/>
      <c r="TBO5" s="390"/>
      <c r="TBP5" s="390"/>
      <c r="TBQ5" s="390"/>
      <c r="TBR5" s="390"/>
      <c r="TBS5" s="390"/>
      <c r="TBT5" s="390"/>
      <c r="TBU5" s="390"/>
      <c r="TBV5" s="390"/>
      <c r="TBW5" s="390"/>
      <c r="TBX5" s="390"/>
      <c r="TBY5" s="390"/>
      <c r="TBZ5" s="390"/>
      <c r="TCA5" s="390"/>
      <c r="TCB5" s="390"/>
      <c r="TCC5" s="390"/>
      <c r="TCD5" s="390"/>
      <c r="TCE5" s="390"/>
      <c r="TCF5" s="390"/>
      <c r="TCG5" s="390"/>
      <c r="TCH5" s="390"/>
      <c r="TCI5" s="390"/>
      <c r="TCJ5" s="390"/>
      <c r="TCK5" s="390"/>
      <c r="TCL5" s="390"/>
      <c r="TCM5" s="390"/>
      <c r="TCN5" s="390"/>
      <c r="TCO5" s="390"/>
      <c r="TCP5" s="390"/>
      <c r="TCQ5" s="390"/>
      <c r="TCR5" s="390"/>
      <c r="TCS5" s="390"/>
      <c r="TCT5" s="390"/>
      <c r="TCU5" s="390"/>
      <c r="TCV5" s="390"/>
      <c r="TCW5" s="390"/>
      <c r="TCX5" s="390"/>
      <c r="TCY5" s="390"/>
      <c r="TCZ5" s="390"/>
      <c r="TDA5" s="390"/>
      <c r="TDB5" s="390"/>
      <c r="TDC5" s="390"/>
      <c r="TDD5" s="390"/>
      <c r="TDE5" s="390"/>
      <c r="TDF5" s="390"/>
      <c r="TDG5" s="390"/>
      <c r="TDH5" s="390"/>
      <c r="TDI5" s="390"/>
      <c r="TDJ5" s="390"/>
      <c r="TDK5" s="390"/>
      <c r="TDL5" s="390"/>
      <c r="TDM5" s="390"/>
      <c r="TDN5" s="390"/>
      <c r="TDO5" s="390"/>
      <c r="TDP5" s="390"/>
      <c r="TDQ5" s="390"/>
      <c r="TDR5" s="390"/>
      <c r="TDS5" s="390"/>
      <c r="TDT5" s="390"/>
      <c r="TDU5" s="390"/>
      <c r="TDV5" s="390"/>
      <c r="TDW5" s="390"/>
      <c r="TDX5" s="390"/>
      <c r="TDY5" s="390"/>
      <c r="TDZ5" s="390"/>
      <c r="TEA5" s="390"/>
      <c r="TEB5" s="390"/>
      <c r="TEC5" s="390"/>
      <c r="TED5" s="390"/>
      <c r="TEE5" s="390"/>
      <c r="TEF5" s="390"/>
      <c r="TEG5" s="390"/>
      <c r="TEH5" s="390"/>
      <c r="TEI5" s="390"/>
      <c r="TEJ5" s="390"/>
      <c r="TEK5" s="390"/>
      <c r="TEL5" s="390"/>
      <c r="TEM5" s="390"/>
      <c r="TEN5" s="390"/>
      <c r="TEO5" s="390"/>
      <c r="TEP5" s="390"/>
      <c r="TEQ5" s="390"/>
      <c r="TER5" s="390"/>
      <c r="TES5" s="390"/>
      <c r="TET5" s="390"/>
      <c r="TEU5" s="390"/>
      <c r="TEV5" s="390"/>
      <c r="TEW5" s="390"/>
      <c r="TEX5" s="390"/>
      <c r="TEY5" s="390"/>
      <c r="TEZ5" s="390"/>
      <c r="TFA5" s="390"/>
      <c r="TFB5" s="390"/>
      <c r="TFC5" s="390"/>
      <c r="TFD5" s="390"/>
      <c r="TFE5" s="390"/>
      <c r="TFF5" s="390"/>
      <c r="TFG5" s="390"/>
      <c r="TFH5" s="390"/>
      <c r="TFI5" s="390"/>
      <c r="TFJ5" s="390"/>
      <c r="TFK5" s="390"/>
      <c r="TFL5" s="390"/>
      <c r="TFM5" s="390"/>
      <c r="TFN5" s="390"/>
      <c r="TFO5" s="390"/>
      <c r="TFP5" s="390"/>
      <c r="TFQ5" s="390"/>
      <c r="TFR5" s="390"/>
      <c r="TFS5" s="390"/>
      <c r="TFT5" s="390"/>
      <c r="TFU5" s="390"/>
      <c r="TFV5" s="390"/>
      <c r="TFW5" s="390"/>
      <c r="TFX5" s="390"/>
      <c r="TFY5" s="390"/>
      <c r="TFZ5" s="390"/>
      <c r="TGA5" s="390"/>
      <c r="TGB5" s="390"/>
      <c r="TGC5" s="390"/>
      <c r="TGD5" s="390"/>
      <c r="TGE5" s="390"/>
      <c r="TGF5" s="390"/>
      <c r="TGG5" s="390"/>
      <c r="TGH5" s="390"/>
      <c r="TGI5" s="390"/>
      <c r="TGJ5" s="390"/>
      <c r="TGK5" s="390"/>
      <c r="TGL5" s="390"/>
      <c r="TGM5" s="390"/>
      <c r="TGN5" s="390"/>
      <c r="TGO5" s="390"/>
      <c r="TGP5" s="390"/>
      <c r="TGQ5" s="390"/>
      <c r="TGR5" s="390"/>
      <c r="TGS5" s="390"/>
      <c r="TGT5" s="390"/>
      <c r="TGU5" s="390"/>
      <c r="TGV5" s="390"/>
      <c r="TGW5" s="390"/>
      <c r="TGX5" s="390"/>
      <c r="TGY5" s="390"/>
      <c r="TGZ5" s="390"/>
      <c r="THA5" s="390"/>
      <c r="THB5" s="390"/>
      <c r="THC5" s="390"/>
      <c r="THD5" s="390"/>
      <c r="THE5" s="390"/>
      <c r="THF5" s="390"/>
      <c r="THG5" s="390"/>
      <c r="THH5" s="390"/>
      <c r="THI5" s="390"/>
      <c r="THJ5" s="390"/>
      <c r="THK5" s="390"/>
      <c r="THL5" s="390"/>
      <c r="THM5" s="390"/>
      <c r="THN5" s="390"/>
      <c r="THO5" s="390"/>
      <c r="THP5" s="390"/>
      <c r="THQ5" s="390"/>
      <c r="THR5" s="390"/>
      <c r="THS5" s="390"/>
      <c r="THT5" s="390"/>
      <c r="THU5" s="390"/>
      <c r="THV5" s="390"/>
      <c r="THW5" s="390"/>
      <c r="THX5" s="390"/>
      <c r="THY5" s="390"/>
      <c r="THZ5" s="390"/>
      <c r="TIA5" s="390"/>
      <c r="TIB5" s="390"/>
      <c r="TIC5" s="390"/>
      <c r="TID5" s="390"/>
      <c r="TIE5" s="390"/>
      <c r="TIF5" s="390"/>
      <c r="TIG5" s="390"/>
      <c r="TIH5" s="390"/>
      <c r="TII5" s="390"/>
      <c r="TIJ5" s="390"/>
      <c r="TIK5" s="390"/>
      <c r="TIL5" s="390"/>
      <c r="TIM5" s="390"/>
      <c r="TIN5" s="390"/>
      <c r="TIO5" s="390"/>
      <c r="TIP5" s="390"/>
      <c r="TIQ5" s="390"/>
      <c r="TIR5" s="390"/>
      <c r="TIS5" s="390"/>
      <c r="TIT5" s="390"/>
      <c r="TIU5" s="390"/>
      <c r="TIV5" s="390"/>
      <c r="TIW5" s="390"/>
      <c r="TIX5" s="390"/>
      <c r="TIY5" s="390"/>
      <c r="TIZ5" s="390"/>
      <c r="TJA5" s="390"/>
      <c r="TJB5" s="390"/>
      <c r="TJC5" s="390"/>
      <c r="TJD5" s="390"/>
      <c r="TJE5" s="390"/>
      <c r="TJF5" s="390"/>
      <c r="TJG5" s="390"/>
      <c r="TJH5" s="390"/>
      <c r="TJI5" s="390"/>
      <c r="TJJ5" s="390"/>
      <c r="TJK5" s="390"/>
      <c r="TJL5" s="390"/>
      <c r="TJM5" s="390"/>
      <c r="TJN5" s="390"/>
      <c r="TJO5" s="390"/>
      <c r="TJP5" s="390"/>
      <c r="TJQ5" s="390"/>
      <c r="TJR5" s="390"/>
      <c r="TJS5" s="390"/>
      <c r="TJT5" s="390"/>
      <c r="TJU5" s="390"/>
      <c r="TJV5" s="390"/>
      <c r="TJW5" s="390"/>
      <c r="TJX5" s="390"/>
      <c r="TJY5" s="390"/>
      <c r="TJZ5" s="390"/>
      <c r="TKA5" s="390"/>
      <c r="TKB5" s="390"/>
      <c r="TKC5" s="390"/>
      <c r="TKD5" s="390"/>
      <c r="TKE5" s="390"/>
      <c r="TKF5" s="390"/>
      <c r="TKG5" s="390"/>
      <c r="TKH5" s="390"/>
      <c r="TKI5" s="390"/>
      <c r="TKJ5" s="390"/>
      <c r="TKK5" s="390"/>
      <c r="TKL5" s="390"/>
      <c r="TKM5" s="390"/>
      <c r="TKN5" s="390"/>
      <c r="TKO5" s="390"/>
      <c r="TKP5" s="390"/>
      <c r="TKQ5" s="390"/>
      <c r="TKR5" s="390"/>
      <c r="TKS5" s="390"/>
      <c r="TKT5" s="390"/>
      <c r="TKU5" s="390"/>
      <c r="TKV5" s="390"/>
      <c r="TKW5" s="390"/>
      <c r="TKX5" s="390"/>
      <c r="TKY5" s="390"/>
      <c r="TKZ5" s="390"/>
      <c r="TLA5" s="390"/>
      <c r="TLB5" s="390"/>
      <c r="TLC5" s="390"/>
      <c r="TLD5" s="390"/>
      <c r="TLE5" s="390"/>
      <c r="TLF5" s="390"/>
      <c r="TLG5" s="390"/>
      <c r="TLH5" s="390"/>
      <c r="TLI5" s="390"/>
      <c r="TLJ5" s="390"/>
      <c r="TLK5" s="390"/>
      <c r="TLL5" s="390"/>
      <c r="TLM5" s="390"/>
      <c r="TLN5" s="390"/>
      <c r="TLO5" s="390"/>
      <c r="TLP5" s="390"/>
      <c r="TLQ5" s="390"/>
      <c r="TLR5" s="390"/>
      <c r="TLS5" s="390"/>
      <c r="TLT5" s="390"/>
      <c r="TLU5" s="390"/>
      <c r="TLV5" s="390"/>
      <c r="TLW5" s="390"/>
      <c r="TLX5" s="390"/>
      <c r="TLY5" s="390"/>
      <c r="TLZ5" s="390"/>
      <c r="TMA5" s="390"/>
      <c r="TMB5" s="390"/>
      <c r="TMC5" s="390"/>
      <c r="TMD5" s="390"/>
      <c r="TME5" s="390"/>
      <c r="TMF5" s="390"/>
      <c r="TMG5" s="390"/>
      <c r="TMH5" s="390"/>
      <c r="TMI5" s="390"/>
      <c r="TMJ5" s="390"/>
      <c r="TMK5" s="390"/>
      <c r="TML5" s="390"/>
      <c r="TMM5" s="390"/>
      <c r="TMN5" s="390"/>
      <c r="TMO5" s="390"/>
      <c r="TMP5" s="390"/>
      <c r="TMQ5" s="390"/>
      <c r="TMR5" s="390"/>
      <c r="TMS5" s="390"/>
      <c r="TMT5" s="390"/>
      <c r="TMU5" s="390"/>
      <c r="TMV5" s="390"/>
      <c r="TMW5" s="390"/>
      <c r="TMX5" s="390"/>
      <c r="TMY5" s="390"/>
      <c r="TMZ5" s="390"/>
      <c r="TNA5" s="390"/>
      <c r="TNB5" s="390"/>
      <c r="TNC5" s="390"/>
      <c r="TND5" s="390"/>
      <c r="TNE5" s="390"/>
      <c r="TNF5" s="390"/>
      <c r="TNG5" s="390"/>
      <c r="TNH5" s="390"/>
      <c r="TNI5" s="390"/>
      <c r="TNJ5" s="390"/>
      <c r="TNK5" s="390"/>
      <c r="TNL5" s="390"/>
      <c r="TNM5" s="390"/>
      <c r="TNN5" s="390"/>
      <c r="TNO5" s="390"/>
      <c r="TNP5" s="390"/>
      <c r="TNQ5" s="390"/>
      <c r="TNR5" s="390"/>
      <c r="TNS5" s="390"/>
      <c r="TNT5" s="390"/>
      <c r="TNU5" s="390"/>
      <c r="TNV5" s="390"/>
      <c r="TNW5" s="390"/>
      <c r="TNX5" s="390"/>
      <c r="TNY5" s="390"/>
      <c r="TNZ5" s="390"/>
      <c r="TOA5" s="390"/>
      <c r="TOB5" s="390"/>
      <c r="TOC5" s="390"/>
      <c r="TOD5" s="390"/>
      <c r="TOE5" s="390"/>
      <c r="TOF5" s="390"/>
      <c r="TOG5" s="390"/>
      <c r="TOH5" s="390"/>
      <c r="TOI5" s="390"/>
      <c r="TOJ5" s="390"/>
      <c r="TOK5" s="390"/>
      <c r="TOL5" s="390"/>
      <c r="TOM5" s="390"/>
      <c r="TON5" s="390"/>
      <c r="TOO5" s="390"/>
      <c r="TOP5" s="390"/>
      <c r="TOQ5" s="390"/>
      <c r="TOR5" s="390"/>
      <c r="TOS5" s="390"/>
      <c r="TOT5" s="390"/>
      <c r="TOU5" s="390"/>
      <c r="TOV5" s="390"/>
      <c r="TOW5" s="390"/>
      <c r="TOX5" s="390"/>
      <c r="TOY5" s="390"/>
      <c r="TOZ5" s="390"/>
      <c r="TPA5" s="390"/>
      <c r="TPB5" s="390"/>
      <c r="TPC5" s="390"/>
      <c r="TPD5" s="390"/>
      <c r="TPE5" s="390"/>
      <c r="TPF5" s="390"/>
      <c r="TPG5" s="390"/>
      <c r="TPH5" s="390"/>
      <c r="TPI5" s="390"/>
      <c r="TPJ5" s="390"/>
      <c r="TPK5" s="390"/>
      <c r="TPL5" s="390"/>
      <c r="TPM5" s="390"/>
      <c r="TPN5" s="390"/>
      <c r="TPO5" s="390"/>
      <c r="TPP5" s="390"/>
      <c r="TPQ5" s="390"/>
      <c r="TPR5" s="390"/>
      <c r="TPS5" s="390"/>
      <c r="TPT5" s="390"/>
      <c r="TPU5" s="390"/>
      <c r="TPV5" s="390"/>
      <c r="TPW5" s="390"/>
      <c r="TPX5" s="390"/>
      <c r="TPY5" s="390"/>
      <c r="TPZ5" s="390"/>
      <c r="TQA5" s="390"/>
      <c r="TQB5" s="390"/>
      <c r="TQC5" s="390"/>
      <c r="TQD5" s="390"/>
      <c r="TQE5" s="390"/>
      <c r="TQF5" s="390"/>
      <c r="TQG5" s="390"/>
      <c r="TQH5" s="390"/>
      <c r="TQI5" s="390"/>
      <c r="TQJ5" s="390"/>
      <c r="TQK5" s="390"/>
      <c r="TQL5" s="390"/>
      <c r="TQM5" s="390"/>
      <c r="TQN5" s="390"/>
      <c r="TQO5" s="390"/>
      <c r="TQP5" s="390"/>
      <c r="TQQ5" s="390"/>
      <c r="TQR5" s="390"/>
      <c r="TQS5" s="390"/>
      <c r="TQT5" s="390"/>
      <c r="TQU5" s="390"/>
      <c r="TQV5" s="390"/>
      <c r="TQW5" s="390"/>
      <c r="TQX5" s="390"/>
      <c r="TQY5" s="390"/>
      <c r="TQZ5" s="390"/>
      <c r="TRA5" s="390"/>
      <c r="TRB5" s="390"/>
      <c r="TRC5" s="390"/>
      <c r="TRD5" s="390"/>
      <c r="TRE5" s="390"/>
      <c r="TRF5" s="390"/>
      <c r="TRG5" s="390"/>
      <c r="TRH5" s="390"/>
      <c r="TRI5" s="390"/>
      <c r="TRJ5" s="390"/>
      <c r="TRK5" s="390"/>
      <c r="TRL5" s="390"/>
      <c r="TRM5" s="390"/>
      <c r="TRN5" s="390"/>
      <c r="TRO5" s="390"/>
      <c r="TRP5" s="390"/>
      <c r="TRQ5" s="390"/>
      <c r="TRR5" s="390"/>
      <c r="TRS5" s="390"/>
      <c r="TRT5" s="390"/>
      <c r="TRU5" s="390"/>
      <c r="TRV5" s="390"/>
      <c r="TRW5" s="390"/>
      <c r="TRX5" s="390"/>
      <c r="TRY5" s="390"/>
      <c r="TRZ5" s="390"/>
      <c r="TSA5" s="390"/>
      <c r="TSB5" s="390"/>
      <c r="TSC5" s="390"/>
      <c r="TSD5" s="390"/>
      <c r="TSE5" s="390"/>
      <c r="TSF5" s="390"/>
      <c r="TSG5" s="390"/>
      <c r="TSH5" s="390"/>
      <c r="TSI5" s="390"/>
      <c r="TSJ5" s="390"/>
      <c r="TSK5" s="390"/>
      <c r="TSL5" s="390"/>
      <c r="TSM5" s="390"/>
      <c r="TSN5" s="390"/>
      <c r="TSO5" s="390"/>
      <c r="TSP5" s="390"/>
      <c r="TSQ5" s="390"/>
      <c r="TSR5" s="390"/>
      <c r="TSS5" s="390"/>
      <c r="TST5" s="390"/>
      <c r="TSU5" s="390"/>
      <c r="TSV5" s="390"/>
      <c r="TSW5" s="390"/>
      <c r="TSX5" s="390"/>
      <c r="TSY5" s="390"/>
      <c r="TSZ5" s="390"/>
      <c r="TTA5" s="390"/>
      <c r="TTB5" s="390"/>
      <c r="TTC5" s="390"/>
      <c r="TTD5" s="390"/>
      <c r="TTE5" s="390"/>
      <c r="TTF5" s="390"/>
      <c r="TTG5" s="390"/>
      <c r="TTH5" s="390"/>
      <c r="TTI5" s="390"/>
      <c r="TTJ5" s="390"/>
      <c r="TTK5" s="390"/>
      <c r="TTL5" s="390"/>
      <c r="TTM5" s="390"/>
      <c r="TTN5" s="390"/>
      <c r="TTO5" s="390"/>
      <c r="TTP5" s="390"/>
      <c r="TTQ5" s="390"/>
      <c r="TTR5" s="390"/>
      <c r="TTS5" s="390"/>
      <c r="TTT5" s="390"/>
      <c r="TTU5" s="390"/>
      <c r="TTV5" s="390"/>
      <c r="TTW5" s="390"/>
      <c r="TTX5" s="390"/>
      <c r="TTY5" s="390"/>
      <c r="TTZ5" s="390"/>
      <c r="TUA5" s="390"/>
      <c r="TUB5" s="390"/>
      <c r="TUC5" s="390"/>
      <c r="TUD5" s="390"/>
      <c r="TUE5" s="390"/>
      <c r="TUF5" s="390"/>
      <c r="TUG5" s="390"/>
      <c r="TUH5" s="390"/>
      <c r="TUI5" s="390"/>
      <c r="TUJ5" s="390"/>
      <c r="TUK5" s="390"/>
      <c r="TUL5" s="390"/>
      <c r="TUM5" s="390"/>
      <c r="TUN5" s="390"/>
      <c r="TUO5" s="390"/>
      <c r="TUP5" s="390"/>
      <c r="TUQ5" s="390"/>
      <c r="TUR5" s="390"/>
      <c r="TUS5" s="390"/>
      <c r="TUT5" s="390"/>
      <c r="TUU5" s="390"/>
      <c r="TUV5" s="390"/>
      <c r="TUW5" s="390"/>
      <c r="TUX5" s="390"/>
      <c r="TUY5" s="390"/>
      <c r="TUZ5" s="390"/>
      <c r="TVA5" s="390"/>
      <c r="TVB5" s="390"/>
      <c r="TVC5" s="390"/>
      <c r="TVD5" s="390"/>
      <c r="TVE5" s="390"/>
      <c r="TVF5" s="390"/>
      <c r="TVG5" s="390"/>
      <c r="TVH5" s="390"/>
      <c r="TVI5" s="390"/>
      <c r="TVJ5" s="390"/>
      <c r="TVK5" s="390"/>
      <c r="TVL5" s="390"/>
      <c r="TVM5" s="390"/>
      <c r="TVN5" s="390"/>
      <c r="TVO5" s="390"/>
      <c r="TVP5" s="390"/>
      <c r="TVQ5" s="390"/>
      <c r="TVR5" s="390"/>
      <c r="TVS5" s="390"/>
      <c r="TVT5" s="390"/>
      <c r="TVU5" s="390"/>
      <c r="TVV5" s="390"/>
      <c r="TVW5" s="390"/>
      <c r="TVX5" s="390"/>
      <c r="TVY5" s="390"/>
      <c r="TVZ5" s="390"/>
      <c r="TWA5" s="390"/>
      <c r="TWB5" s="390"/>
      <c r="TWC5" s="390"/>
      <c r="TWD5" s="390"/>
      <c r="TWE5" s="390"/>
      <c r="TWF5" s="390"/>
      <c r="TWG5" s="390"/>
      <c r="TWH5" s="390"/>
      <c r="TWI5" s="390"/>
      <c r="TWJ5" s="390"/>
      <c r="TWK5" s="390"/>
      <c r="TWL5" s="390"/>
      <c r="TWM5" s="390"/>
      <c r="TWN5" s="390"/>
      <c r="TWO5" s="390"/>
      <c r="TWP5" s="390"/>
      <c r="TWQ5" s="390"/>
      <c r="TWR5" s="390"/>
      <c r="TWS5" s="390"/>
      <c r="TWT5" s="390"/>
      <c r="TWU5" s="390"/>
      <c r="TWV5" s="390"/>
      <c r="TWW5" s="390"/>
      <c r="TWX5" s="390"/>
      <c r="TWY5" s="390"/>
      <c r="TWZ5" s="390"/>
      <c r="TXA5" s="390"/>
      <c r="TXB5" s="390"/>
      <c r="TXC5" s="390"/>
      <c r="TXD5" s="390"/>
      <c r="TXE5" s="390"/>
      <c r="TXF5" s="390"/>
      <c r="TXG5" s="390"/>
      <c r="TXH5" s="390"/>
      <c r="TXI5" s="390"/>
      <c r="TXJ5" s="390"/>
      <c r="TXK5" s="390"/>
      <c r="TXL5" s="390"/>
      <c r="TXM5" s="390"/>
      <c r="TXN5" s="390"/>
      <c r="TXO5" s="390"/>
      <c r="TXP5" s="390"/>
      <c r="TXQ5" s="390"/>
      <c r="TXR5" s="390"/>
      <c r="TXS5" s="390"/>
      <c r="TXT5" s="390"/>
      <c r="TXU5" s="390"/>
      <c r="TXV5" s="390"/>
      <c r="TXW5" s="390"/>
      <c r="TXX5" s="390"/>
      <c r="TXY5" s="390"/>
      <c r="TXZ5" s="390"/>
      <c r="TYA5" s="390"/>
      <c r="TYB5" s="390"/>
      <c r="TYC5" s="390"/>
      <c r="TYD5" s="390"/>
      <c r="TYE5" s="390"/>
      <c r="TYF5" s="390"/>
      <c r="TYG5" s="390"/>
      <c r="TYH5" s="390"/>
      <c r="TYI5" s="390"/>
      <c r="TYJ5" s="390"/>
      <c r="TYK5" s="390"/>
      <c r="TYL5" s="390"/>
      <c r="TYM5" s="390"/>
      <c r="TYN5" s="390"/>
      <c r="TYO5" s="390"/>
      <c r="TYP5" s="390"/>
      <c r="TYQ5" s="390"/>
      <c r="TYR5" s="390"/>
      <c r="TYS5" s="390"/>
      <c r="TYT5" s="390"/>
      <c r="TYU5" s="390"/>
      <c r="TYV5" s="390"/>
      <c r="TYW5" s="390"/>
      <c r="TYX5" s="390"/>
      <c r="TYY5" s="390"/>
      <c r="TYZ5" s="390"/>
      <c r="TZA5" s="390"/>
      <c r="TZB5" s="390"/>
      <c r="TZC5" s="390"/>
      <c r="TZD5" s="390"/>
      <c r="TZE5" s="390"/>
      <c r="TZF5" s="390"/>
      <c r="TZG5" s="390"/>
      <c r="TZH5" s="390"/>
      <c r="TZI5" s="390"/>
      <c r="TZJ5" s="390"/>
      <c r="TZK5" s="390"/>
      <c r="TZL5" s="390"/>
      <c r="TZM5" s="390"/>
      <c r="TZN5" s="390"/>
      <c r="TZO5" s="390"/>
      <c r="TZP5" s="390"/>
      <c r="TZQ5" s="390"/>
      <c r="TZR5" s="390"/>
      <c r="TZS5" s="390"/>
      <c r="TZT5" s="390"/>
      <c r="TZU5" s="390"/>
      <c r="TZV5" s="390"/>
      <c r="TZW5" s="390"/>
      <c r="TZX5" s="390"/>
      <c r="TZY5" s="390"/>
      <c r="TZZ5" s="390"/>
      <c r="UAA5" s="390"/>
      <c r="UAB5" s="390"/>
      <c r="UAC5" s="390"/>
      <c r="UAD5" s="390"/>
      <c r="UAE5" s="390"/>
      <c r="UAF5" s="390"/>
      <c r="UAG5" s="390"/>
      <c r="UAH5" s="390"/>
      <c r="UAI5" s="390"/>
      <c r="UAJ5" s="390"/>
      <c r="UAK5" s="390"/>
      <c r="UAL5" s="390"/>
      <c r="UAM5" s="390"/>
      <c r="UAN5" s="390"/>
      <c r="UAO5" s="390"/>
      <c r="UAP5" s="390"/>
      <c r="UAQ5" s="390"/>
      <c r="UAR5" s="390"/>
      <c r="UAS5" s="390"/>
      <c r="UAT5" s="390"/>
      <c r="UAU5" s="390"/>
      <c r="UAV5" s="390"/>
      <c r="UAW5" s="390"/>
      <c r="UAX5" s="390"/>
      <c r="UAY5" s="390"/>
      <c r="UAZ5" s="390"/>
      <c r="UBA5" s="390"/>
      <c r="UBB5" s="390"/>
      <c r="UBC5" s="390"/>
      <c r="UBD5" s="390"/>
      <c r="UBE5" s="390"/>
      <c r="UBF5" s="390"/>
      <c r="UBG5" s="390"/>
      <c r="UBH5" s="390"/>
      <c r="UBI5" s="390"/>
      <c r="UBJ5" s="390"/>
      <c r="UBK5" s="390"/>
      <c r="UBL5" s="390"/>
      <c r="UBM5" s="390"/>
      <c r="UBN5" s="390"/>
      <c r="UBO5" s="390"/>
      <c r="UBP5" s="390"/>
      <c r="UBQ5" s="390"/>
      <c r="UBR5" s="390"/>
      <c r="UBS5" s="390"/>
      <c r="UBT5" s="390"/>
      <c r="UBU5" s="390"/>
      <c r="UBV5" s="390"/>
      <c r="UBW5" s="390"/>
      <c r="UBX5" s="390"/>
      <c r="UBY5" s="390"/>
      <c r="UBZ5" s="390"/>
      <c r="UCA5" s="390"/>
      <c r="UCB5" s="390"/>
      <c r="UCC5" s="390"/>
      <c r="UCD5" s="390"/>
      <c r="UCE5" s="390"/>
      <c r="UCF5" s="390"/>
      <c r="UCG5" s="390"/>
      <c r="UCH5" s="390"/>
      <c r="UCI5" s="390"/>
      <c r="UCJ5" s="390"/>
      <c r="UCK5" s="390"/>
      <c r="UCL5" s="390"/>
      <c r="UCM5" s="390"/>
      <c r="UCN5" s="390"/>
      <c r="UCO5" s="390"/>
      <c r="UCP5" s="390"/>
      <c r="UCQ5" s="390"/>
      <c r="UCR5" s="390"/>
      <c r="UCS5" s="390"/>
      <c r="UCT5" s="390"/>
      <c r="UCU5" s="390"/>
      <c r="UCV5" s="390"/>
      <c r="UCW5" s="390"/>
      <c r="UCX5" s="390"/>
      <c r="UCY5" s="390"/>
      <c r="UCZ5" s="390"/>
      <c r="UDA5" s="390"/>
      <c r="UDB5" s="390"/>
      <c r="UDC5" s="390"/>
      <c r="UDD5" s="390"/>
      <c r="UDE5" s="390"/>
      <c r="UDF5" s="390"/>
      <c r="UDG5" s="390"/>
      <c r="UDH5" s="390"/>
      <c r="UDI5" s="390"/>
      <c r="UDJ5" s="390"/>
      <c r="UDK5" s="390"/>
      <c r="UDL5" s="390"/>
      <c r="UDM5" s="390"/>
      <c r="UDN5" s="390"/>
      <c r="UDO5" s="390"/>
      <c r="UDP5" s="390"/>
      <c r="UDQ5" s="390"/>
      <c r="UDR5" s="390"/>
      <c r="UDS5" s="390"/>
      <c r="UDT5" s="390"/>
      <c r="UDU5" s="390"/>
      <c r="UDV5" s="390"/>
      <c r="UDW5" s="390"/>
      <c r="UDX5" s="390"/>
      <c r="UDY5" s="390"/>
      <c r="UDZ5" s="390"/>
      <c r="UEA5" s="390"/>
      <c r="UEB5" s="390"/>
      <c r="UEC5" s="390"/>
      <c r="UED5" s="390"/>
      <c r="UEE5" s="390"/>
      <c r="UEF5" s="390"/>
      <c r="UEG5" s="390"/>
      <c r="UEH5" s="390"/>
      <c r="UEI5" s="390"/>
      <c r="UEJ5" s="390"/>
      <c r="UEK5" s="390"/>
      <c r="UEL5" s="390"/>
      <c r="UEM5" s="390"/>
      <c r="UEN5" s="390"/>
      <c r="UEO5" s="390"/>
      <c r="UEP5" s="390"/>
      <c r="UEQ5" s="390"/>
      <c r="UER5" s="390"/>
      <c r="UES5" s="390"/>
      <c r="UET5" s="390"/>
      <c r="UEU5" s="390"/>
      <c r="UEV5" s="390"/>
      <c r="UEW5" s="390"/>
      <c r="UEX5" s="390"/>
      <c r="UEY5" s="390"/>
      <c r="UEZ5" s="390"/>
      <c r="UFA5" s="390"/>
      <c r="UFB5" s="390"/>
      <c r="UFC5" s="390"/>
      <c r="UFD5" s="390"/>
      <c r="UFE5" s="390"/>
      <c r="UFF5" s="390"/>
      <c r="UFG5" s="390"/>
      <c r="UFH5" s="390"/>
      <c r="UFI5" s="390"/>
      <c r="UFJ5" s="390"/>
      <c r="UFK5" s="390"/>
      <c r="UFL5" s="390"/>
      <c r="UFM5" s="390"/>
      <c r="UFN5" s="390"/>
      <c r="UFO5" s="390"/>
      <c r="UFP5" s="390"/>
      <c r="UFQ5" s="390"/>
      <c r="UFR5" s="390"/>
      <c r="UFS5" s="390"/>
      <c r="UFT5" s="390"/>
      <c r="UFU5" s="390"/>
      <c r="UFV5" s="390"/>
      <c r="UFW5" s="390"/>
      <c r="UFX5" s="390"/>
      <c r="UFY5" s="390"/>
      <c r="UFZ5" s="390"/>
      <c r="UGA5" s="390"/>
      <c r="UGB5" s="390"/>
      <c r="UGC5" s="390"/>
      <c r="UGD5" s="390"/>
      <c r="UGE5" s="390"/>
      <c r="UGF5" s="390"/>
      <c r="UGG5" s="390"/>
      <c r="UGH5" s="390"/>
      <c r="UGI5" s="390"/>
      <c r="UGJ5" s="390"/>
      <c r="UGK5" s="390"/>
      <c r="UGL5" s="390"/>
      <c r="UGM5" s="390"/>
      <c r="UGN5" s="390"/>
      <c r="UGO5" s="390"/>
      <c r="UGP5" s="390"/>
      <c r="UGQ5" s="390"/>
      <c r="UGR5" s="390"/>
      <c r="UGS5" s="390"/>
      <c r="UGT5" s="390"/>
      <c r="UGU5" s="390"/>
      <c r="UGV5" s="390"/>
      <c r="UGW5" s="390"/>
      <c r="UGX5" s="390"/>
      <c r="UGY5" s="390"/>
      <c r="UGZ5" s="390"/>
      <c r="UHA5" s="390"/>
      <c r="UHB5" s="390"/>
      <c r="UHC5" s="390"/>
      <c r="UHD5" s="390"/>
      <c r="UHE5" s="390"/>
      <c r="UHF5" s="390"/>
      <c r="UHG5" s="390"/>
      <c r="UHH5" s="390"/>
      <c r="UHI5" s="390"/>
      <c r="UHJ5" s="390"/>
      <c r="UHK5" s="390"/>
      <c r="UHL5" s="390"/>
      <c r="UHM5" s="390"/>
      <c r="UHN5" s="390"/>
      <c r="UHO5" s="390"/>
      <c r="UHP5" s="390"/>
      <c r="UHQ5" s="390"/>
      <c r="UHR5" s="390"/>
      <c r="UHS5" s="390"/>
      <c r="UHT5" s="390"/>
      <c r="UHU5" s="390"/>
      <c r="UHV5" s="390"/>
      <c r="UHW5" s="390"/>
      <c r="UHX5" s="390"/>
      <c r="UHY5" s="390"/>
      <c r="UHZ5" s="390"/>
      <c r="UIA5" s="390"/>
      <c r="UIB5" s="390"/>
      <c r="UIC5" s="390"/>
      <c r="UID5" s="390"/>
      <c r="UIE5" s="390"/>
      <c r="UIF5" s="390"/>
      <c r="UIG5" s="390"/>
      <c r="UIH5" s="390"/>
      <c r="UII5" s="390"/>
      <c r="UIJ5" s="390"/>
      <c r="UIK5" s="390"/>
      <c r="UIL5" s="390"/>
      <c r="UIM5" s="390"/>
      <c r="UIN5" s="390"/>
      <c r="UIO5" s="390"/>
      <c r="UIP5" s="390"/>
      <c r="UIQ5" s="390"/>
      <c r="UIR5" s="390"/>
      <c r="UIS5" s="390"/>
      <c r="UIT5" s="390"/>
      <c r="UIU5" s="390"/>
      <c r="UIV5" s="390"/>
      <c r="UIW5" s="390"/>
      <c r="UIX5" s="390"/>
      <c r="UIY5" s="390"/>
      <c r="UIZ5" s="390"/>
      <c r="UJA5" s="390"/>
      <c r="UJB5" s="390"/>
      <c r="UJC5" s="390"/>
      <c r="UJD5" s="390"/>
      <c r="UJE5" s="390"/>
      <c r="UJF5" s="390"/>
      <c r="UJG5" s="390"/>
      <c r="UJH5" s="390"/>
      <c r="UJI5" s="390"/>
      <c r="UJJ5" s="390"/>
      <c r="UJK5" s="390"/>
      <c r="UJL5" s="390"/>
      <c r="UJM5" s="390"/>
      <c r="UJN5" s="390"/>
      <c r="UJO5" s="390"/>
      <c r="UJP5" s="390"/>
      <c r="UJQ5" s="390"/>
      <c r="UJR5" s="390"/>
      <c r="UJS5" s="390"/>
      <c r="UJT5" s="390"/>
      <c r="UJU5" s="390"/>
      <c r="UJV5" s="390"/>
      <c r="UJW5" s="390"/>
      <c r="UJX5" s="390"/>
      <c r="UJY5" s="390"/>
      <c r="UJZ5" s="390"/>
      <c r="UKA5" s="390"/>
      <c r="UKB5" s="390"/>
      <c r="UKC5" s="390"/>
      <c r="UKD5" s="390"/>
      <c r="UKE5" s="390"/>
      <c r="UKF5" s="390"/>
      <c r="UKG5" s="390"/>
      <c r="UKH5" s="390"/>
      <c r="UKI5" s="390"/>
      <c r="UKJ5" s="390"/>
      <c r="UKK5" s="390"/>
      <c r="UKL5" s="390"/>
      <c r="UKM5" s="390"/>
      <c r="UKN5" s="390"/>
      <c r="UKO5" s="390"/>
      <c r="UKP5" s="390"/>
      <c r="UKQ5" s="390"/>
      <c r="UKR5" s="390"/>
      <c r="UKS5" s="390"/>
      <c r="UKT5" s="390"/>
      <c r="UKU5" s="390"/>
      <c r="UKV5" s="390"/>
      <c r="UKW5" s="390"/>
      <c r="UKX5" s="390"/>
      <c r="UKY5" s="390"/>
      <c r="UKZ5" s="390"/>
      <c r="ULA5" s="390"/>
      <c r="ULB5" s="390"/>
      <c r="ULC5" s="390"/>
      <c r="ULD5" s="390"/>
      <c r="ULE5" s="390"/>
      <c r="ULF5" s="390"/>
      <c r="ULG5" s="390"/>
      <c r="ULH5" s="390"/>
      <c r="ULI5" s="390"/>
      <c r="ULJ5" s="390"/>
      <c r="ULK5" s="390"/>
      <c r="ULL5" s="390"/>
      <c r="ULM5" s="390"/>
      <c r="ULN5" s="390"/>
      <c r="ULO5" s="390"/>
      <c r="ULP5" s="390"/>
      <c r="ULQ5" s="390"/>
      <c r="ULR5" s="390"/>
      <c r="ULS5" s="390"/>
      <c r="ULT5" s="390"/>
      <c r="ULU5" s="390"/>
      <c r="ULV5" s="390"/>
      <c r="ULW5" s="390"/>
      <c r="ULX5" s="390"/>
      <c r="ULY5" s="390"/>
      <c r="ULZ5" s="390"/>
      <c r="UMA5" s="390"/>
      <c r="UMB5" s="390"/>
      <c r="UMC5" s="390"/>
      <c r="UMD5" s="390"/>
      <c r="UME5" s="390"/>
      <c r="UMF5" s="390"/>
      <c r="UMG5" s="390"/>
      <c r="UMH5" s="390"/>
      <c r="UMI5" s="390"/>
      <c r="UMJ5" s="390"/>
      <c r="UMK5" s="390"/>
      <c r="UML5" s="390"/>
      <c r="UMM5" s="390"/>
      <c r="UMN5" s="390"/>
      <c r="UMO5" s="390"/>
      <c r="UMP5" s="390"/>
      <c r="UMQ5" s="390"/>
      <c r="UMR5" s="390"/>
      <c r="UMS5" s="390"/>
      <c r="UMT5" s="390"/>
      <c r="UMU5" s="390"/>
      <c r="UMV5" s="390"/>
      <c r="UMW5" s="390"/>
      <c r="UMX5" s="390"/>
      <c r="UMY5" s="390"/>
      <c r="UMZ5" s="390"/>
      <c r="UNA5" s="390"/>
      <c r="UNB5" s="390"/>
      <c r="UNC5" s="390"/>
      <c r="UND5" s="390"/>
      <c r="UNE5" s="390"/>
      <c r="UNF5" s="390"/>
      <c r="UNG5" s="390"/>
      <c r="UNH5" s="390"/>
      <c r="UNI5" s="390"/>
      <c r="UNJ5" s="390"/>
      <c r="UNK5" s="390"/>
      <c r="UNL5" s="390"/>
      <c r="UNM5" s="390"/>
      <c r="UNN5" s="390"/>
      <c r="UNO5" s="390"/>
      <c r="UNP5" s="390"/>
      <c r="UNQ5" s="390"/>
      <c r="UNR5" s="390"/>
      <c r="UNS5" s="390"/>
      <c r="UNT5" s="390"/>
      <c r="UNU5" s="390"/>
      <c r="UNV5" s="390"/>
      <c r="UNW5" s="390"/>
      <c r="UNX5" s="390"/>
      <c r="UNY5" s="390"/>
      <c r="UNZ5" s="390"/>
      <c r="UOA5" s="390"/>
      <c r="UOB5" s="390"/>
      <c r="UOC5" s="390"/>
      <c r="UOD5" s="390"/>
      <c r="UOE5" s="390"/>
      <c r="UOF5" s="390"/>
      <c r="UOG5" s="390"/>
      <c r="UOH5" s="390"/>
      <c r="UOI5" s="390"/>
      <c r="UOJ5" s="390"/>
      <c r="UOK5" s="390"/>
      <c r="UOL5" s="390"/>
      <c r="UOM5" s="390"/>
      <c r="UON5" s="390"/>
      <c r="UOO5" s="390"/>
      <c r="UOP5" s="390"/>
      <c r="UOQ5" s="390"/>
      <c r="UOR5" s="390"/>
      <c r="UOS5" s="390"/>
      <c r="UOT5" s="390"/>
      <c r="UOU5" s="390"/>
      <c r="UOV5" s="390"/>
      <c r="UOW5" s="390"/>
      <c r="UOX5" s="390"/>
      <c r="UOY5" s="390"/>
      <c r="UOZ5" s="390"/>
      <c r="UPA5" s="390"/>
      <c r="UPB5" s="390"/>
      <c r="UPC5" s="390"/>
      <c r="UPD5" s="390"/>
      <c r="UPE5" s="390"/>
      <c r="UPF5" s="390"/>
      <c r="UPG5" s="390"/>
      <c r="UPH5" s="390"/>
      <c r="UPI5" s="390"/>
      <c r="UPJ5" s="390"/>
      <c r="UPK5" s="390"/>
      <c r="UPL5" s="390"/>
      <c r="UPM5" s="390"/>
      <c r="UPN5" s="390"/>
      <c r="UPO5" s="390"/>
      <c r="UPP5" s="390"/>
      <c r="UPQ5" s="390"/>
      <c r="UPR5" s="390"/>
      <c r="UPS5" s="390"/>
      <c r="UPT5" s="390"/>
      <c r="UPU5" s="390"/>
      <c r="UPV5" s="390"/>
      <c r="UPW5" s="390"/>
      <c r="UPX5" s="390"/>
      <c r="UPY5" s="390"/>
      <c r="UPZ5" s="390"/>
      <c r="UQA5" s="390"/>
      <c r="UQB5" s="390"/>
      <c r="UQC5" s="390"/>
      <c r="UQD5" s="390"/>
      <c r="UQE5" s="390"/>
      <c r="UQF5" s="390"/>
      <c r="UQG5" s="390"/>
      <c r="UQH5" s="390"/>
      <c r="UQI5" s="390"/>
      <c r="UQJ5" s="390"/>
      <c r="UQK5" s="390"/>
      <c r="UQL5" s="390"/>
      <c r="UQM5" s="390"/>
      <c r="UQN5" s="390"/>
      <c r="UQO5" s="390"/>
      <c r="UQP5" s="390"/>
      <c r="UQQ5" s="390"/>
      <c r="UQR5" s="390"/>
      <c r="UQS5" s="390"/>
      <c r="UQT5" s="390"/>
      <c r="UQU5" s="390"/>
      <c r="UQV5" s="390"/>
      <c r="UQW5" s="390"/>
      <c r="UQX5" s="390"/>
      <c r="UQY5" s="390"/>
      <c r="UQZ5" s="390"/>
      <c r="URA5" s="390"/>
      <c r="URB5" s="390"/>
      <c r="URC5" s="390"/>
      <c r="URD5" s="390"/>
      <c r="URE5" s="390"/>
      <c r="URF5" s="390"/>
      <c r="URG5" s="390"/>
      <c r="URH5" s="390"/>
      <c r="URI5" s="390"/>
      <c r="URJ5" s="390"/>
      <c r="URK5" s="390"/>
      <c r="URL5" s="390"/>
      <c r="URM5" s="390"/>
      <c r="URN5" s="390"/>
      <c r="URO5" s="390"/>
      <c r="URP5" s="390"/>
      <c r="URQ5" s="390"/>
      <c r="URR5" s="390"/>
      <c r="URS5" s="390"/>
      <c r="URT5" s="390"/>
      <c r="URU5" s="390"/>
      <c r="URV5" s="390"/>
      <c r="URW5" s="390"/>
      <c r="URX5" s="390"/>
      <c r="URY5" s="390"/>
      <c r="URZ5" s="390"/>
      <c r="USA5" s="390"/>
      <c r="USB5" s="390"/>
      <c r="USC5" s="390"/>
      <c r="USD5" s="390"/>
      <c r="USE5" s="390"/>
      <c r="USF5" s="390"/>
      <c r="USG5" s="390"/>
      <c r="USH5" s="390"/>
      <c r="USI5" s="390"/>
      <c r="USJ5" s="390"/>
      <c r="USK5" s="390"/>
      <c r="USL5" s="390"/>
      <c r="USM5" s="390"/>
      <c r="USN5" s="390"/>
      <c r="USO5" s="390"/>
      <c r="USP5" s="390"/>
      <c r="USQ5" s="390"/>
      <c r="USR5" s="390"/>
      <c r="USS5" s="390"/>
      <c r="UST5" s="390"/>
      <c r="USU5" s="390"/>
      <c r="USV5" s="390"/>
      <c r="USW5" s="390"/>
      <c r="USX5" s="390"/>
      <c r="USY5" s="390"/>
      <c r="USZ5" s="390"/>
      <c r="UTA5" s="390"/>
      <c r="UTB5" s="390"/>
      <c r="UTC5" s="390"/>
      <c r="UTD5" s="390"/>
      <c r="UTE5" s="390"/>
      <c r="UTF5" s="390"/>
      <c r="UTG5" s="390"/>
      <c r="UTH5" s="390"/>
      <c r="UTI5" s="390"/>
      <c r="UTJ5" s="390"/>
      <c r="UTK5" s="390"/>
      <c r="UTL5" s="390"/>
      <c r="UTM5" s="390"/>
      <c r="UTN5" s="390"/>
      <c r="UTO5" s="390"/>
      <c r="UTP5" s="390"/>
      <c r="UTQ5" s="390"/>
      <c r="UTR5" s="390"/>
      <c r="UTS5" s="390"/>
      <c r="UTT5" s="390"/>
      <c r="UTU5" s="390"/>
      <c r="UTV5" s="390"/>
      <c r="UTW5" s="390"/>
      <c r="UTX5" s="390"/>
      <c r="UTY5" s="390"/>
      <c r="UTZ5" s="390"/>
      <c r="UUA5" s="390"/>
      <c r="UUB5" s="390"/>
      <c r="UUC5" s="390"/>
      <c r="UUD5" s="390"/>
      <c r="UUE5" s="390"/>
      <c r="UUF5" s="390"/>
      <c r="UUG5" s="390"/>
      <c r="UUH5" s="390"/>
      <c r="UUI5" s="390"/>
      <c r="UUJ5" s="390"/>
      <c r="UUK5" s="390"/>
      <c r="UUL5" s="390"/>
      <c r="UUM5" s="390"/>
      <c r="UUN5" s="390"/>
      <c r="UUO5" s="390"/>
      <c r="UUP5" s="390"/>
      <c r="UUQ5" s="390"/>
      <c r="UUR5" s="390"/>
      <c r="UUS5" s="390"/>
      <c r="UUT5" s="390"/>
      <c r="UUU5" s="390"/>
      <c r="UUV5" s="390"/>
      <c r="UUW5" s="390"/>
      <c r="UUX5" s="390"/>
      <c r="UUY5" s="390"/>
      <c r="UUZ5" s="390"/>
      <c r="UVA5" s="390"/>
      <c r="UVB5" s="390"/>
      <c r="UVC5" s="390"/>
      <c r="UVD5" s="390"/>
      <c r="UVE5" s="390"/>
      <c r="UVF5" s="390"/>
      <c r="UVG5" s="390"/>
      <c r="UVH5" s="390"/>
      <c r="UVI5" s="390"/>
      <c r="UVJ5" s="390"/>
      <c r="UVK5" s="390"/>
      <c r="UVL5" s="390"/>
      <c r="UVM5" s="390"/>
      <c r="UVN5" s="390"/>
      <c r="UVO5" s="390"/>
      <c r="UVP5" s="390"/>
      <c r="UVQ5" s="390"/>
      <c r="UVR5" s="390"/>
      <c r="UVS5" s="390"/>
      <c r="UVT5" s="390"/>
      <c r="UVU5" s="390"/>
      <c r="UVV5" s="390"/>
      <c r="UVW5" s="390"/>
      <c r="UVX5" s="390"/>
      <c r="UVY5" s="390"/>
      <c r="UVZ5" s="390"/>
      <c r="UWA5" s="390"/>
      <c r="UWB5" s="390"/>
      <c r="UWC5" s="390"/>
      <c r="UWD5" s="390"/>
      <c r="UWE5" s="390"/>
      <c r="UWF5" s="390"/>
      <c r="UWG5" s="390"/>
      <c r="UWH5" s="390"/>
      <c r="UWI5" s="390"/>
      <c r="UWJ5" s="390"/>
      <c r="UWK5" s="390"/>
      <c r="UWL5" s="390"/>
      <c r="UWM5" s="390"/>
      <c r="UWN5" s="390"/>
      <c r="UWO5" s="390"/>
      <c r="UWP5" s="390"/>
      <c r="UWQ5" s="390"/>
      <c r="UWR5" s="390"/>
      <c r="UWS5" s="390"/>
      <c r="UWT5" s="390"/>
      <c r="UWU5" s="390"/>
      <c r="UWV5" s="390"/>
      <c r="UWW5" s="390"/>
      <c r="UWX5" s="390"/>
      <c r="UWY5" s="390"/>
      <c r="UWZ5" s="390"/>
      <c r="UXA5" s="390"/>
      <c r="UXB5" s="390"/>
      <c r="UXC5" s="390"/>
      <c r="UXD5" s="390"/>
      <c r="UXE5" s="390"/>
      <c r="UXF5" s="390"/>
      <c r="UXG5" s="390"/>
      <c r="UXH5" s="390"/>
      <c r="UXI5" s="390"/>
      <c r="UXJ5" s="390"/>
      <c r="UXK5" s="390"/>
      <c r="UXL5" s="390"/>
      <c r="UXM5" s="390"/>
      <c r="UXN5" s="390"/>
      <c r="UXO5" s="390"/>
      <c r="UXP5" s="390"/>
      <c r="UXQ5" s="390"/>
      <c r="UXR5" s="390"/>
      <c r="UXS5" s="390"/>
      <c r="UXT5" s="390"/>
      <c r="UXU5" s="390"/>
      <c r="UXV5" s="390"/>
      <c r="UXW5" s="390"/>
      <c r="UXX5" s="390"/>
      <c r="UXY5" s="390"/>
      <c r="UXZ5" s="390"/>
      <c r="UYA5" s="390"/>
      <c r="UYB5" s="390"/>
      <c r="UYC5" s="390"/>
      <c r="UYD5" s="390"/>
      <c r="UYE5" s="390"/>
      <c r="UYF5" s="390"/>
      <c r="UYG5" s="390"/>
      <c r="UYH5" s="390"/>
      <c r="UYI5" s="390"/>
      <c r="UYJ5" s="390"/>
      <c r="UYK5" s="390"/>
      <c r="UYL5" s="390"/>
      <c r="UYM5" s="390"/>
      <c r="UYN5" s="390"/>
      <c r="UYO5" s="390"/>
      <c r="UYP5" s="390"/>
      <c r="UYQ5" s="390"/>
      <c r="UYR5" s="390"/>
      <c r="UYS5" s="390"/>
      <c r="UYT5" s="390"/>
      <c r="UYU5" s="390"/>
      <c r="UYV5" s="390"/>
      <c r="UYW5" s="390"/>
      <c r="UYX5" s="390"/>
      <c r="UYY5" s="390"/>
      <c r="UYZ5" s="390"/>
      <c r="UZA5" s="390"/>
      <c r="UZB5" s="390"/>
      <c r="UZC5" s="390"/>
      <c r="UZD5" s="390"/>
      <c r="UZE5" s="390"/>
      <c r="UZF5" s="390"/>
      <c r="UZG5" s="390"/>
      <c r="UZH5" s="390"/>
      <c r="UZI5" s="390"/>
      <c r="UZJ5" s="390"/>
      <c r="UZK5" s="390"/>
      <c r="UZL5" s="390"/>
      <c r="UZM5" s="390"/>
      <c r="UZN5" s="390"/>
      <c r="UZO5" s="390"/>
      <c r="UZP5" s="390"/>
      <c r="UZQ5" s="390"/>
      <c r="UZR5" s="390"/>
      <c r="UZS5" s="390"/>
      <c r="UZT5" s="390"/>
      <c r="UZU5" s="390"/>
      <c r="UZV5" s="390"/>
      <c r="UZW5" s="390"/>
      <c r="UZX5" s="390"/>
      <c r="UZY5" s="390"/>
      <c r="UZZ5" s="390"/>
      <c r="VAA5" s="390"/>
      <c r="VAB5" s="390"/>
      <c r="VAC5" s="390"/>
      <c r="VAD5" s="390"/>
      <c r="VAE5" s="390"/>
      <c r="VAF5" s="390"/>
      <c r="VAG5" s="390"/>
      <c r="VAH5" s="390"/>
      <c r="VAI5" s="390"/>
      <c r="VAJ5" s="390"/>
      <c r="VAK5" s="390"/>
      <c r="VAL5" s="390"/>
      <c r="VAM5" s="390"/>
      <c r="VAN5" s="390"/>
      <c r="VAO5" s="390"/>
      <c r="VAP5" s="390"/>
      <c r="VAQ5" s="390"/>
      <c r="VAR5" s="390"/>
      <c r="VAS5" s="390"/>
      <c r="VAT5" s="390"/>
      <c r="VAU5" s="390"/>
      <c r="VAV5" s="390"/>
      <c r="VAW5" s="390"/>
      <c r="VAX5" s="390"/>
      <c r="VAY5" s="390"/>
      <c r="VAZ5" s="390"/>
      <c r="VBA5" s="390"/>
      <c r="VBB5" s="390"/>
      <c r="VBC5" s="390"/>
      <c r="VBD5" s="390"/>
      <c r="VBE5" s="390"/>
      <c r="VBF5" s="390"/>
      <c r="VBG5" s="390"/>
      <c r="VBH5" s="390"/>
      <c r="VBI5" s="390"/>
      <c r="VBJ5" s="390"/>
      <c r="VBK5" s="390"/>
      <c r="VBL5" s="390"/>
      <c r="VBM5" s="390"/>
      <c r="VBN5" s="390"/>
      <c r="VBO5" s="390"/>
      <c r="VBP5" s="390"/>
      <c r="VBQ5" s="390"/>
      <c r="VBR5" s="390"/>
      <c r="VBS5" s="390"/>
      <c r="VBT5" s="390"/>
      <c r="VBU5" s="390"/>
      <c r="VBV5" s="390"/>
      <c r="VBW5" s="390"/>
      <c r="VBX5" s="390"/>
      <c r="VBY5" s="390"/>
      <c r="VBZ5" s="390"/>
      <c r="VCA5" s="390"/>
      <c r="VCB5" s="390"/>
      <c r="VCC5" s="390"/>
      <c r="VCD5" s="390"/>
      <c r="VCE5" s="390"/>
      <c r="VCF5" s="390"/>
      <c r="VCG5" s="390"/>
      <c r="VCH5" s="390"/>
      <c r="VCI5" s="390"/>
      <c r="VCJ5" s="390"/>
      <c r="VCK5" s="390"/>
      <c r="VCL5" s="390"/>
      <c r="VCM5" s="390"/>
      <c r="VCN5" s="390"/>
      <c r="VCO5" s="390"/>
      <c r="VCP5" s="390"/>
      <c r="VCQ5" s="390"/>
      <c r="VCR5" s="390"/>
      <c r="VCS5" s="390"/>
      <c r="VCT5" s="390"/>
      <c r="VCU5" s="390"/>
      <c r="VCV5" s="390"/>
      <c r="VCW5" s="390"/>
      <c r="VCX5" s="390"/>
      <c r="VCY5" s="390"/>
      <c r="VCZ5" s="390"/>
      <c r="VDA5" s="390"/>
      <c r="VDB5" s="390"/>
      <c r="VDC5" s="390"/>
      <c r="VDD5" s="390"/>
      <c r="VDE5" s="390"/>
      <c r="VDF5" s="390"/>
      <c r="VDG5" s="390"/>
      <c r="VDH5" s="390"/>
      <c r="VDI5" s="390"/>
      <c r="VDJ5" s="390"/>
      <c r="VDK5" s="390"/>
      <c r="VDL5" s="390"/>
      <c r="VDM5" s="390"/>
      <c r="VDN5" s="390"/>
      <c r="VDO5" s="390"/>
      <c r="VDP5" s="390"/>
      <c r="VDQ5" s="390"/>
      <c r="VDR5" s="390"/>
      <c r="VDS5" s="390"/>
      <c r="VDT5" s="390"/>
      <c r="VDU5" s="390"/>
      <c r="VDV5" s="390"/>
      <c r="VDW5" s="390"/>
      <c r="VDX5" s="390"/>
      <c r="VDY5" s="390"/>
      <c r="VDZ5" s="390"/>
      <c r="VEA5" s="390"/>
      <c r="VEB5" s="390"/>
      <c r="VEC5" s="390"/>
      <c r="VED5" s="390"/>
      <c r="VEE5" s="390"/>
      <c r="VEF5" s="390"/>
      <c r="VEG5" s="390"/>
      <c r="VEH5" s="390"/>
      <c r="VEI5" s="390"/>
      <c r="VEJ5" s="390"/>
      <c r="VEK5" s="390"/>
      <c r="VEL5" s="390"/>
      <c r="VEM5" s="390"/>
      <c r="VEN5" s="390"/>
      <c r="VEO5" s="390"/>
      <c r="VEP5" s="390"/>
      <c r="VEQ5" s="390"/>
      <c r="VER5" s="390"/>
      <c r="VES5" s="390"/>
      <c r="VET5" s="390"/>
      <c r="VEU5" s="390"/>
      <c r="VEV5" s="390"/>
      <c r="VEW5" s="390"/>
      <c r="VEX5" s="390"/>
      <c r="VEY5" s="390"/>
      <c r="VEZ5" s="390"/>
      <c r="VFA5" s="390"/>
      <c r="VFB5" s="390"/>
      <c r="VFC5" s="390"/>
      <c r="VFD5" s="390"/>
      <c r="VFE5" s="390"/>
      <c r="VFF5" s="390"/>
      <c r="VFG5" s="390"/>
      <c r="VFH5" s="390"/>
      <c r="VFI5" s="390"/>
      <c r="VFJ5" s="390"/>
      <c r="VFK5" s="390"/>
      <c r="VFL5" s="390"/>
      <c r="VFM5" s="390"/>
      <c r="VFN5" s="390"/>
      <c r="VFO5" s="390"/>
      <c r="VFP5" s="390"/>
      <c r="VFQ5" s="390"/>
      <c r="VFR5" s="390"/>
      <c r="VFS5" s="390"/>
      <c r="VFT5" s="390"/>
      <c r="VFU5" s="390"/>
      <c r="VFV5" s="390"/>
      <c r="VFW5" s="390"/>
      <c r="VFX5" s="390"/>
      <c r="VFY5" s="390"/>
      <c r="VFZ5" s="390"/>
      <c r="VGA5" s="390"/>
      <c r="VGB5" s="390"/>
      <c r="VGC5" s="390"/>
      <c r="VGD5" s="390"/>
      <c r="VGE5" s="390"/>
      <c r="VGF5" s="390"/>
      <c r="VGG5" s="390"/>
      <c r="VGH5" s="390"/>
      <c r="VGI5" s="390"/>
      <c r="VGJ5" s="390"/>
      <c r="VGK5" s="390"/>
      <c r="VGL5" s="390"/>
      <c r="VGM5" s="390"/>
      <c r="VGN5" s="390"/>
      <c r="VGO5" s="390"/>
      <c r="VGP5" s="390"/>
      <c r="VGQ5" s="390"/>
      <c r="VGR5" s="390"/>
      <c r="VGS5" s="390"/>
      <c r="VGT5" s="390"/>
      <c r="VGU5" s="390"/>
      <c r="VGV5" s="390"/>
      <c r="VGW5" s="390"/>
      <c r="VGX5" s="390"/>
      <c r="VGY5" s="390"/>
      <c r="VGZ5" s="390"/>
      <c r="VHA5" s="390"/>
      <c r="VHB5" s="390"/>
      <c r="VHC5" s="390"/>
      <c r="VHD5" s="390"/>
      <c r="VHE5" s="390"/>
      <c r="VHF5" s="390"/>
      <c r="VHG5" s="390"/>
      <c r="VHH5" s="390"/>
      <c r="VHI5" s="390"/>
      <c r="VHJ5" s="390"/>
      <c r="VHK5" s="390"/>
      <c r="VHL5" s="390"/>
      <c r="VHM5" s="390"/>
      <c r="VHN5" s="390"/>
      <c r="VHO5" s="390"/>
      <c r="VHP5" s="390"/>
      <c r="VHQ5" s="390"/>
      <c r="VHR5" s="390"/>
      <c r="VHS5" s="390"/>
      <c r="VHT5" s="390"/>
      <c r="VHU5" s="390"/>
      <c r="VHV5" s="390"/>
      <c r="VHW5" s="390"/>
      <c r="VHX5" s="390"/>
      <c r="VHY5" s="390"/>
      <c r="VHZ5" s="390"/>
      <c r="VIA5" s="390"/>
      <c r="VIB5" s="390"/>
      <c r="VIC5" s="390"/>
      <c r="VID5" s="390"/>
      <c r="VIE5" s="390"/>
      <c r="VIF5" s="390"/>
      <c r="VIG5" s="390"/>
      <c r="VIH5" s="390"/>
      <c r="VII5" s="390"/>
      <c r="VIJ5" s="390"/>
      <c r="VIK5" s="390"/>
      <c r="VIL5" s="390"/>
      <c r="VIM5" s="390"/>
      <c r="VIN5" s="390"/>
      <c r="VIO5" s="390"/>
      <c r="VIP5" s="390"/>
      <c r="VIQ5" s="390"/>
      <c r="VIR5" s="390"/>
      <c r="VIS5" s="390"/>
      <c r="VIT5" s="390"/>
      <c r="VIU5" s="390"/>
      <c r="VIV5" s="390"/>
      <c r="VIW5" s="390"/>
      <c r="VIX5" s="390"/>
      <c r="VIY5" s="390"/>
      <c r="VIZ5" s="390"/>
      <c r="VJA5" s="390"/>
      <c r="VJB5" s="390"/>
      <c r="VJC5" s="390"/>
      <c r="VJD5" s="390"/>
      <c r="VJE5" s="390"/>
      <c r="VJF5" s="390"/>
      <c r="VJG5" s="390"/>
      <c r="VJH5" s="390"/>
      <c r="VJI5" s="390"/>
      <c r="VJJ5" s="390"/>
      <c r="VJK5" s="390"/>
      <c r="VJL5" s="390"/>
      <c r="VJM5" s="390"/>
      <c r="VJN5" s="390"/>
      <c r="VJO5" s="390"/>
      <c r="VJP5" s="390"/>
      <c r="VJQ5" s="390"/>
      <c r="VJR5" s="390"/>
      <c r="VJS5" s="390"/>
      <c r="VJT5" s="390"/>
      <c r="VJU5" s="390"/>
      <c r="VJV5" s="390"/>
      <c r="VJW5" s="390"/>
      <c r="VJX5" s="390"/>
      <c r="VJY5" s="390"/>
      <c r="VJZ5" s="390"/>
      <c r="VKA5" s="390"/>
      <c r="VKB5" s="390"/>
      <c r="VKC5" s="390"/>
      <c r="VKD5" s="390"/>
      <c r="VKE5" s="390"/>
      <c r="VKF5" s="390"/>
      <c r="VKG5" s="390"/>
      <c r="VKH5" s="390"/>
      <c r="VKI5" s="390"/>
      <c r="VKJ5" s="390"/>
      <c r="VKK5" s="390"/>
      <c r="VKL5" s="390"/>
      <c r="VKM5" s="390"/>
      <c r="VKN5" s="390"/>
      <c r="VKO5" s="390"/>
      <c r="VKP5" s="390"/>
      <c r="VKQ5" s="390"/>
      <c r="VKR5" s="390"/>
      <c r="VKS5" s="390"/>
      <c r="VKT5" s="390"/>
      <c r="VKU5" s="390"/>
      <c r="VKV5" s="390"/>
      <c r="VKW5" s="390"/>
      <c r="VKX5" s="390"/>
      <c r="VKY5" s="390"/>
      <c r="VKZ5" s="390"/>
      <c r="VLA5" s="390"/>
      <c r="VLB5" s="390"/>
      <c r="VLC5" s="390"/>
      <c r="VLD5" s="390"/>
      <c r="VLE5" s="390"/>
      <c r="VLF5" s="390"/>
      <c r="VLG5" s="390"/>
      <c r="VLH5" s="390"/>
      <c r="VLI5" s="390"/>
      <c r="VLJ5" s="390"/>
      <c r="VLK5" s="390"/>
      <c r="VLL5" s="390"/>
      <c r="VLM5" s="390"/>
      <c r="VLN5" s="390"/>
      <c r="VLO5" s="390"/>
      <c r="VLP5" s="390"/>
      <c r="VLQ5" s="390"/>
      <c r="VLR5" s="390"/>
      <c r="VLS5" s="390"/>
      <c r="VLT5" s="390"/>
      <c r="VLU5" s="390"/>
      <c r="VLV5" s="390"/>
      <c r="VLW5" s="390"/>
      <c r="VLX5" s="390"/>
      <c r="VLY5" s="390"/>
      <c r="VLZ5" s="390"/>
      <c r="VMA5" s="390"/>
      <c r="VMB5" s="390"/>
      <c r="VMC5" s="390"/>
      <c r="VMD5" s="390"/>
      <c r="VME5" s="390"/>
      <c r="VMF5" s="390"/>
      <c r="VMG5" s="390"/>
      <c r="VMH5" s="390"/>
      <c r="VMI5" s="390"/>
      <c r="VMJ5" s="390"/>
      <c r="VMK5" s="390"/>
      <c r="VML5" s="390"/>
      <c r="VMM5" s="390"/>
      <c r="VMN5" s="390"/>
      <c r="VMO5" s="390"/>
      <c r="VMP5" s="390"/>
      <c r="VMQ5" s="390"/>
      <c r="VMR5" s="390"/>
      <c r="VMS5" s="390"/>
      <c r="VMT5" s="390"/>
      <c r="VMU5" s="390"/>
      <c r="VMV5" s="390"/>
      <c r="VMW5" s="390"/>
      <c r="VMX5" s="390"/>
      <c r="VMY5" s="390"/>
      <c r="VMZ5" s="390"/>
      <c r="VNA5" s="390"/>
      <c r="VNB5" s="390"/>
      <c r="VNC5" s="390"/>
      <c r="VND5" s="390"/>
      <c r="VNE5" s="390"/>
      <c r="VNF5" s="390"/>
      <c r="VNG5" s="390"/>
      <c r="VNH5" s="390"/>
      <c r="VNI5" s="390"/>
      <c r="VNJ5" s="390"/>
      <c r="VNK5" s="390"/>
      <c r="VNL5" s="390"/>
      <c r="VNM5" s="390"/>
      <c r="VNN5" s="390"/>
      <c r="VNO5" s="390"/>
      <c r="VNP5" s="390"/>
      <c r="VNQ5" s="390"/>
      <c r="VNR5" s="390"/>
      <c r="VNS5" s="390"/>
      <c r="VNT5" s="390"/>
      <c r="VNU5" s="390"/>
      <c r="VNV5" s="390"/>
      <c r="VNW5" s="390"/>
      <c r="VNX5" s="390"/>
      <c r="VNY5" s="390"/>
      <c r="VNZ5" s="390"/>
      <c r="VOA5" s="390"/>
      <c r="VOB5" s="390"/>
      <c r="VOC5" s="390"/>
      <c r="VOD5" s="390"/>
      <c r="VOE5" s="390"/>
      <c r="VOF5" s="390"/>
      <c r="VOG5" s="390"/>
      <c r="VOH5" s="390"/>
      <c r="VOI5" s="390"/>
      <c r="VOJ5" s="390"/>
      <c r="VOK5" s="390"/>
      <c r="VOL5" s="390"/>
      <c r="VOM5" s="390"/>
      <c r="VON5" s="390"/>
      <c r="VOO5" s="390"/>
      <c r="VOP5" s="390"/>
      <c r="VOQ5" s="390"/>
      <c r="VOR5" s="390"/>
      <c r="VOS5" s="390"/>
      <c r="VOT5" s="390"/>
      <c r="VOU5" s="390"/>
      <c r="VOV5" s="390"/>
      <c r="VOW5" s="390"/>
      <c r="VOX5" s="390"/>
      <c r="VOY5" s="390"/>
      <c r="VOZ5" s="390"/>
      <c r="VPA5" s="390"/>
      <c r="VPB5" s="390"/>
      <c r="VPC5" s="390"/>
      <c r="VPD5" s="390"/>
      <c r="VPE5" s="390"/>
      <c r="VPF5" s="390"/>
      <c r="VPG5" s="390"/>
      <c r="VPH5" s="390"/>
      <c r="VPI5" s="390"/>
      <c r="VPJ5" s="390"/>
      <c r="VPK5" s="390"/>
      <c r="VPL5" s="390"/>
      <c r="VPM5" s="390"/>
      <c r="VPN5" s="390"/>
      <c r="VPO5" s="390"/>
      <c r="VPP5" s="390"/>
      <c r="VPQ5" s="390"/>
      <c r="VPR5" s="390"/>
      <c r="VPS5" s="390"/>
      <c r="VPT5" s="390"/>
      <c r="VPU5" s="390"/>
      <c r="VPV5" s="390"/>
      <c r="VPW5" s="390"/>
      <c r="VPX5" s="390"/>
      <c r="VPY5" s="390"/>
      <c r="VPZ5" s="390"/>
      <c r="VQA5" s="390"/>
      <c r="VQB5" s="390"/>
      <c r="VQC5" s="390"/>
      <c r="VQD5" s="390"/>
      <c r="VQE5" s="390"/>
      <c r="VQF5" s="390"/>
      <c r="VQG5" s="390"/>
      <c r="VQH5" s="390"/>
      <c r="VQI5" s="390"/>
      <c r="VQJ5" s="390"/>
      <c r="VQK5" s="390"/>
      <c r="VQL5" s="390"/>
      <c r="VQM5" s="390"/>
      <c r="VQN5" s="390"/>
      <c r="VQO5" s="390"/>
      <c r="VQP5" s="390"/>
      <c r="VQQ5" s="390"/>
      <c r="VQR5" s="390"/>
      <c r="VQS5" s="390"/>
      <c r="VQT5" s="390"/>
      <c r="VQU5" s="390"/>
      <c r="VQV5" s="390"/>
      <c r="VQW5" s="390"/>
      <c r="VQX5" s="390"/>
      <c r="VQY5" s="390"/>
      <c r="VQZ5" s="390"/>
      <c r="VRA5" s="390"/>
      <c r="VRB5" s="390"/>
      <c r="VRC5" s="390"/>
      <c r="VRD5" s="390"/>
      <c r="VRE5" s="390"/>
      <c r="VRF5" s="390"/>
      <c r="VRG5" s="390"/>
      <c r="VRH5" s="390"/>
      <c r="VRI5" s="390"/>
      <c r="VRJ5" s="390"/>
      <c r="VRK5" s="390"/>
      <c r="VRL5" s="390"/>
      <c r="VRM5" s="390"/>
      <c r="VRN5" s="390"/>
      <c r="VRO5" s="390"/>
      <c r="VRP5" s="390"/>
      <c r="VRQ5" s="390"/>
      <c r="VRR5" s="390"/>
      <c r="VRS5" s="390"/>
      <c r="VRT5" s="390"/>
      <c r="VRU5" s="390"/>
      <c r="VRV5" s="390"/>
      <c r="VRW5" s="390"/>
      <c r="VRX5" s="390"/>
      <c r="VRY5" s="390"/>
      <c r="VRZ5" s="390"/>
      <c r="VSA5" s="390"/>
      <c r="VSB5" s="390"/>
      <c r="VSC5" s="390"/>
      <c r="VSD5" s="390"/>
      <c r="VSE5" s="390"/>
      <c r="VSF5" s="390"/>
      <c r="VSG5" s="390"/>
      <c r="VSH5" s="390"/>
      <c r="VSI5" s="390"/>
      <c r="VSJ5" s="390"/>
      <c r="VSK5" s="390"/>
      <c r="VSL5" s="390"/>
      <c r="VSM5" s="390"/>
      <c r="VSN5" s="390"/>
      <c r="VSO5" s="390"/>
      <c r="VSP5" s="390"/>
      <c r="VSQ5" s="390"/>
      <c r="VSR5" s="390"/>
      <c r="VSS5" s="390"/>
      <c r="VST5" s="390"/>
      <c r="VSU5" s="390"/>
      <c r="VSV5" s="390"/>
      <c r="VSW5" s="390"/>
      <c r="VSX5" s="390"/>
      <c r="VSY5" s="390"/>
      <c r="VSZ5" s="390"/>
      <c r="VTA5" s="390"/>
      <c r="VTB5" s="390"/>
      <c r="VTC5" s="390"/>
      <c r="VTD5" s="390"/>
      <c r="VTE5" s="390"/>
      <c r="VTF5" s="390"/>
      <c r="VTG5" s="390"/>
      <c r="VTH5" s="390"/>
      <c r="VTI5" s="390"/>
      <c r="VTJ5" s="390"/>
      <c r="VTK5" s="390"/>
      <c r="VTL5" s="390"/>
      <c r="VTM5" s="390"/>
      <c r="VTN5" s="390"/>
      <c r="VTO5" s="390"/>
      <c r="VTP5" s="390"/>
      <c r="VTQ5" s="390"/>
      <c r="VTR5" s="390"/>
      <c r="VTS5" s="390"/>
      <c r="VTT5" s="390"/>
      <c r="VTU5" s="390"/>
      <c r="VTV5" s="390"/>
      <c r="VTW5" s="390"/>
      <c r="VTX5" s="390"/>
      <c r="VTY5" s="390"/>
      <c r="VTZ5" s="390"/>
      <c r="VUA5" s="390"/>
      <c r="VUB5" s="390"/>
      <c r="VUC5" s="390"/>
      <c r="VUD5" s="390"/>
      <c r="VUE5" s="390"/>
      <c r="VUF5" s="390"/>
      <c r="VUG5" s="390"/>
      <c r="VUH5" s="390"/>
      <c r="VUI5" s="390"/>
      <c r="VUJ5" s="390"/>
      <c r="VUK5" s="390"/>
      <c r="VUL5" s="390"/>
      <c r="VUM5" s="390"/>
      <c r="VUN5" s="390"/>
      <c r="VUO5" s="390"/>
      <c r="VUP5" s="390"/>
      <c r="VUQ5" s="390"/>
      <c r="VUR5" s="390"/>
      <c r="VUS5" s="390"/>
      <c r="VUT5" s="390"/>
      <c r="VUU5" s="390"/>
      <c r="VUV5" s="390"/>
      <c r="VUW5" s="390"/>
      <c r="VUX5" s="390"/>
      <c r="VUY5" s="390"/>
      <c r="VUZ5" s="390"/>
      <c r="VVA5" s="390"/>
      <c r="VVB5" s="390"/>
      <c r="VVC5" s="390"/>
      <c r="VVD5" s="390"/>
      <c r="VVE5" s="390"/>
      <c r="VVF5" s="390"/>
      <c r="VVG5" s="390"/>
      <c r="VVH5" s="390"/>
      <c r="VVI5" s="390"/>
      <c r="VVJ5" s="390"/>
      <c r="VVK5" s="390"/>
      <c r="VVL5" s="390"/>
      <c r="VVM5" s="390"/>
      <c r="VVN5" s="390"/>
      <c r="VVO5" s="390"/>
      <c r="VVP5" s="390"/>
      <c r="VVQ5" s="390"/>
      <c r="VVR5" s="390"/>
      <c r="VVS5" s="390"/>
      <c r="VVT5" s="390"/>
      <c r="VVU5" s="390"/>
      <c r="VVV5" s="390"/>
      <c r="VVW5" s="390"/>
      <c r="VVX5" s="390"/>
      <c r="VVY5" s="390"/>
      <c r="VVZ5" s="390"/>
      <c r="VWA5" s="390"/>
      <c r="VWB5" s="390"/>
      <c r="VWC5" s="390"/>
      <c r="VWD5" s="390"/>
      <c r="VWE5" s="390"/>
      <c r="VWF5" s="390"/>
      <c r="VWG5" s="390"/>
      <c r="VWH5" s="390"/>
      <c r="VWI5" s="390"/>
      <c r="VWJ5" s="390"/>
      <c r="VWK5" s="390"/>
      <c r="VWL5" s="390"/>
      <c r="VWM5" s="390"/>
      <c r="VWN5" s="390"/>
      <c r="VWO5" s="390"/>
      <c r="VWP5" s="390"/>
      <c r="VWQ5" s="390"/>
      <c r="VWR5" s="390"/>
      <c r="VWS5" s="390"/>
      <c r="VWT5" s="390"/>
      <c r="VWU5" s="390"/>
      <c r="VWV5" s="390"/>
      <c r="VWW5" s="390"/>
      <c r="VWX5" s="390"/>
      <c r="VWY5" s="390"/>
      <c r="VWZ5" s="390"/>
      <c r="VXA5" s="390"/>
      <c r="VXB5" s="390"/>
      <c r="VXC5" s="390"/>
      <c r="VXD5" s="390"/>
      <c r="VXE5" s="390"/>
      <c r="VXF5" s="390"/>
      <c r="VXG5" s="390"/>
      <c r="VXH5" s="390"/>
      <c r="VXI5" s="390"/>
      <c r="VXJ5" s="390"/>
      <c r="VXK5" s="390"/>
      <c r="VXL5" s="390"/>
      <c r="VXM5" s="390"/>
      <c r="VXN5" s="390"/>
      <c r="VXO5" s="390"/>
      <c r="VXP5" s="390"/>
      <c r="VXQ5" s="390"/>
      <c r="VXR5" s="390"/>
      <c r="VXS5" s="390"/>
      <c r="VXT5" s="390"/>
      <c r="VXU5" s="390"/>
      <c r="VXV5" s="390"/>
      <c r="VXW5" s="390"/>
      <c r="VXX5" s="390"/>
      <c r="VXY5" s="390"/>
      <c r="VXZ5" s="390"/>
      <c r="VYA5" s="390"/>
      <c r="VYB5" s="390"/>
      <c r="VYC5" s="390"/>
      <c r="VYD5" s="390"/>
      <c r="VYE5" s="390"/>
      <c r="VYF5" s="390"/>
      <c r="VYG5" s="390"/>
      <c r="VYH5" s="390"/>
      <c r="VYI5" s="390"/>
      <c r="VYJ5" s="390"/>
      <c r="VYK5" s="390"/>
      <c r="VYL5" s="390"/>
      <c r="VYM5" s="390"/>
      <c r="VYN5" s="390"/>
      <c r="VYO5" s="390"/>
      <c r="VYP5" s="390"/>
      <c r="VYQ5" s="390"/>
      <c r="VYR5" s="390"/>
      <c r="VYS5" s="390"/>
      <c r="VYT5" s="390"/>
      <c r="VYU5" s="390"/>
      <c r="VYV5" s="390"/>
      <c r="VYW5" s="390"/>
      <c r="VYX5" s="390"/>
      <c r="VYY5" s="390"/>
      <c r="VYZ5" s="390"/>
      <c r="VZA5" s="390"/>
      <c r="VZB5" s="390"/>
      <c r="VZC5" s="390"/>
      <c r="VZD5" s="390"/>
      <c r="VZE5" s="390"/>
      <c r="VZF5" s="390"/>
      <c r="VZG5" s="390"/>
      <c r="VZH5" s="390"/>
      <c r="VZI5" s="390"/>
      <c r="VZJ5" s="390"/>
      <c r="VZK5" s="390"/>
      <c r="VZL5" s="390"/>
      <c r="VZM5" s="390"/>
      <c r="VZN5" s="390"/>
      <c r="VZO5" s="390"/>
      <c r="VZP5" s="390"/>
      <c r="VZQ5" s="390"/>
      <c r="VZR5" s="390"/>
      <c r="VZS5" s="390"/>
      <c r="VZT5" s="390"/>
      <c r="VZU5" s="390"/>
      <c r="VZV5" s="390"/>
      <c r="VZW5" s="390"/>
      <c r="VZX5" s="390"/>
      <c r="VZY5" s="390"/>
      <c r="VZZ5" s="390"/>
      <c r="WAA5" s="390"/>
      <c r="WAB5" s="390"/>
      <c r="WAC5" s="390"/>
      <c r="WAD5" s="390"/>
      <c r="WAE5" s="390"/>
      <c r="WAF5" s="390"/>
      <c r="WAG5" s="390"/>
      <c r="WAH5" s="390"/>
      <c r="WAI5" s="390"/>
      <c r="WAJ5" s="390"/>
      <c r="WAK5" s="390"/>
      <c r="WAL5" s="390"/>
      <c r="WAM5" s="390"/>
      <c r="WAN5" s="390"/>
      <c r="WAO5" s="390"/>
      <c r="WAP5" s="390"/>
      <c r="WAQ5" s="390"/>
      <c r="WAR5" s="390"/>
      <c r="WAS5" s="390"/>
      <c r="WAT5" s="390"/>
      <c r="WAU5" s="390"/>
      <c r="WAV5" s="390"/>
      <c r="WAW5" s="390"/>
      <c r="WAX5" s="390"/>
      <c r="WAY5" s="390"/>
      <c r="WAZ5" s="390"/>
      <c r="WBA5" s="390"/>
      <c r="WBB5" s="390"/>
      <c r="WBC5" s="390"/>
      <c r="WBD5" s="390"/>
      <c r="WBE5" s="390"/>
      <c r="WBF5" s="390"/>
      <c r="WBG5" s="390"/>
      <c r="WBH5" s="390"/>
      <c r="WBI5" s="390"/>
      <c r="WBJ5" s="390"/>
      <c r="WBK5" s="390"/>
      <c r="WBL5" s="390"/>
      <c r="WBM5" s="390"/>
      <c r="WBN5" s="390"/>
      <c r="WBO5" s="390"/>
      <c r="WBP5" s="390"/>
      <c r="WBQ5" s="390"/>
      <c r="WBR5" s="390"/>
      <c r="WBS5" s="390"/>
      <c r="WBT5" s="390"/>
      <c r="WBU5" s="390"/>
      <c r="WBV5" s="390"/>
      <c r="WBW5" s="390"/>
      <c r="WBX5" s="390"/>
      <c r="WBY5" s="390"/>
      <c r="WBZ5" s="390"/>
      <c r="WCA5" s="390"/>
      <c r="WCB5" s="390"/>
      <c r="WCC5" s="390"/>
      <c r="WCD5" s="390"/>
      <c r="WCE5" s="390"/>
      <c r="WCF5" s="390"/>
      <c r="WCG5" s="390"/>
      <c r="WCH5" s="390"/>
      <c r="WCI5" s="390"/>
      <c r="WCJ5" s="390"/>
      <c r="WCK5" s="390"/>
      <c r="WCL5" s="390"/>
      <c r="WCM5" s="390"/>
      <c r="WCN5" s="390"/>
      <c r="WCO5" s="390"/>
      <c r="WCP5" s="390"/>
      <c r="WCQ5" s="390"/>
      <c r="WCR5" s="390"/>
      <c r="WCS5" s="390"/>
      <c r="WCT5" s="390"/>
      <c r="WCU5" s="390"/>
      <c r="WCV5" s="390"/>
      <c r="WCW5" s="390"/>
      <c r="WCX5" s="390"/>
      <c r="WCY5" s="390"/>
      <c r="WCZ5" s="390"/>
      <c r="WDA5" s="390"/>
      <c r="WDB5" s="390"/>
      <c r="WDC5" s="390"/>
      <c r="WDD5" s="390"/>
      <c r="WDE5" s="390"/>
      <c r="WDF5" s="390"/>
      <c r="WDG5" s="390"/>
      <c r="WDH5" s="390"/>
      <c r="WDI5" s="390"/>
      <c r="WDJ5" s="390"/>
      <c r="WDK5" s="390"/>
      <c r="WDL5" s="390"/>
      <c r="WDM5" s="390"/>
      <c r="WDN5" s="390"/>
      <c r="WDO5" s="390"/>
      <c r="WDP5" s="390"/>
      <c r="WDQ5" s="390"/>
      <c r="WDR5" s="390"/>
      <c r="WDS5" s="390"/>
      <c r="WDT5" s="390"/>
      <c r="WDU5" s="390"/>
      <c r="WDV5" s="390"/>
      <c r="WDW5" s="390"/>
      <c r="WDX5" s="390"/>
      <c r="WDY5" s="390"/>
      <c r="WDZ5" s="390"/>
      <c r="WEA5" s="390"/>
      <c r="WEB5" s="390"/>
      <c r="WEC5" s="390"/>
      <c r="WED5" s="390"/>
      <c r="WEE5" s="390"/>
      <c r="WEF5" s="390"/>
      <c r="WEG5" s="390"/>
      <c r="WEH5" s="390"/>
      <c r="WEI5" s="390"/>
      <c r="WEJ5" s="390"/>
      <c r="WEK5" s="390"/>
      <c r="WEL5" s="390"/>
      <c r="WEM5" s="390"/>
      <c r="WEN5" s="390"/>
      <c r="WEO5" s="390"/>
      <c r="WEP5" s="390"/>
      <c r="WEQ5" s="390"/>
      <c r="WER5" s="390"/>
      <c r="WES5" s="390"/>
      <c r="WET5" s="390"/>
      <c r="WEU5" s="390"/>
      <c r="WEV5" s="390"/>
      <c r="WEW5" s="390"/>
      <c r="WEX5" s="390"/>
      <c r="WEY5" s="390"/>
      <c r="WEZ5" s="390"/>
      <c r="WFA5" s="390"/>
      <c r="WFB5" s="390"/>
      <c r="WFC5" s="390"/>
      <c r="WFD5" s="390"/>
      <c r="WFE5" s="390"/>
      <c r="WFF5" s="390"/>
      <c r="WFG5" s="390"/>
      <c r="WFH5" s="390"/>
      <c r="WFI5" s="390"/>
      <c r="WFJ5" s="390"/>
      <c r="WFK5" s="390"/>
      <c r="WFL5" s="390"/>
      <c r="WFM5" s="390"/>
      <c r="WFN5" s="390"/>
      <c r="WFO5" s="390"/>
      <c r="WFP5" s="390"/>
      <c r="WFQ5" s="390"/>
      <c r="WFR5" s="390"/>
      <c r="WFS5" s="390"/>
      <c r="WFT5" s="390"/>
      <c r="WFU5" s="390"/>
      <c r="WFV5" s="390"/>
      <c r="WFW5" s="390"/>
      <c r="WFX5" s="390"/>
      <c r="WFY5" s="390"/>
      <c r="WFZ5" s="390"/>
      <c r="WGA5" s="390"/>
      <c r="WGB5" s="390"/>
      <c r="WGC5" s="390"/>
      <c r="WGD5" s="390"/>
      <c r="WGE5" s="390"/>
      <c r="WGF5" s="390"/>
      <c r="WGG5" s="390"/>
      <c r="WGH5" s="390"/>
      <c r="WGI5" s="390"/>
      <c r="WGJ5" s="390"/>
      <c r="WGK5" s="390"/>
      <c r="WGL5" s="390"/>
      <c r="WGM5" s="390"/>
      <c r="WGN5" s="390"/>
      <c r="WGO5" s="390"/>
      <c r="WGP5" s="390"/>
      <c r="WGQ5" s="390"/>
      <c r="WGR5" s="390"/>
      <c r="WGS5" s="390"/>
      <c r="WGT5" s="390"/>
      <c r="WGU5" s="390"/>
      <c r="WGV5" s="390"/>
      <c r="WGW5" s="390"/>
      <c r="WGX5" s="390"/>
      <c r="WGY5" s="390"/>
      <c r="WGZ5" s="390"/>
      <c r="WHA5" s="390"/>
      <c r="WHB5" s="390"/>
      <c r="WHC5" s="390"/>
      <c r="WHD5" s="390"/>
      <c r="WHE5" s="390"/>
      <c r="WHF5" s="390"/>
      <c r="WHG5" s="390"/>
      <c r="WHH5" s="390"/>
      <c r="WHI5" s="390"/>
      <c r="WHJ5" s="390"/>
      <c r="WHK5" s="390"/>
      <c r="WHL5" s="390"/>
      <c r="WHM5" s="390"/>
      <c r="WHN5" s="390"/>
      <c r="WHO5" s="390"/>
      <c r="WHP5" s="390"/>
      <c r="WHQ5" s="390"/>
      <c r="WHR5" s="390"/>
      <c r="WHS5" s="390"/>
      <c r="WHT5" s="390"/>
      <c r="WHU5" s="390"/>
      <c r="WHV5" s="390"/>
      <c r="WHW5" s="390"/>
      <c r="WHX5" s="390"/>
      <c r="WHY5" s="390"/>
      <c r="WHZ5" s="390"/>
      <c r="WIA5" s="390"/>
      <c r="WIB5" s="390"/>
      <c r="WIC5" s="390"/>
      <c r="WID5" s="390"/>
      <c r="WIE5" s="390"/>
      <c r="WIF5" s="390"/>
      <c r="WIG5" s="390"/>
      <c r="WIH5" s="390"/>
      <c r="WII5" s="390"/>
      <c r="WIJ5" s="390"/>
      <c r="WIK5" s="390"/>
      <c r="WIL5" s="390"/>
      <c r="WIM5" s="390"/>
      <c r="WIN5" s="390"/>
      <c r="WIO5" s="390"/>
      <c r="WIP5" s="390"/>
      <c r="WIQ5" s="390"/>
      <c r="WIR5" s="390"/>
      <c r="WIS5" s="390"/>
      <c r="WIT5" s="390"/>
      <c r="WIU5" s="390"/>
      <c r="WIV5" s="390"/>
      <c r="WIW5" s="390"/>
      <c r="WIX5" s="390"/>
      <c r="WIY5" s="390"/>
      <c r="WIZ5" s="390"/>
      <c r="WJA5" s="390"/>
      <c r="WJB5" s="390"/>
      <c r="WJC5" s="390"/>
      <c r="WJD5" s="390"/>
      <c r="WJE5" s="390"/>
      <c r="WJF5" s="390"/>
      <c r="WJG5" s="390"/>
      <c r="WJH5" s="390"/>
      <c r="WJI5" s="390"/>
      <c r="WJJ5" s="390"/>
      <c r="WJK5" s="390"/>
      <c r="WJL5" s="390"/>
      <c r="WJM5" s="390"/>
      <c r="WJN5" s="390"/>
      <c r="WJO5" s="390"/>
      <c r="WJP5" s="390"/>
      <c r="WJQ5" s="390"/>
      <c r="WJR5" s="390"/>
      <c r="WJS5" s="390"/>
      <c r="WJT5" s="390"/>
      <c r="WJU5" s="390"/>
      <c r="WJV5" s="390"/>
      <c r="WJW5" s="390"/>
      <c r="WJX5" s="390"/>
      <c r="WJY5" s="390"/>
      <c r="WJZ5" s="390"/>
      <c r="WKA5" s="390"/>
      <c r="WKB5" s="390"/>
      <c r="WKC5" s="390"/>
      <c r="WKD5" s="390"/>
      <c r="WKE5" s="390"/>
      <c r="WKF5" s="390"/>
      <c r="WKG5" s="390"/>
      <c r="WKH5" s="390"/>
      <c r="WKI5" s="390"/>
      <c r="WKJ5" s="390"/>
      <c r="WKK5" s="390"/>
      <c r="WKL5" s="390"/>
      <c r="WKM5" s="390"/>
      <c r="WKN5" s="390"/>
      <c r="WKO5" s="390"/>
      <c r="WKP5" s="390"/>
      <c r="WKQ5" s="390"/>
      <c r="WKR5" s="390"/>
      <c r="WKS5" s="390"/>
      <c r="WKT5" s="390"/>
      <c r="WKU5" s="390"/>
      <c r="WKV5" s="390"/>
      <c r="WKW5" s="390"/>
      <c r="WKX5" s="390"/>
      <c r="WKY5" s="390"/>
      <c r="WKZ5" s="390"/>
      <c r="WLA5" s="390"/>
      <c r="WLB5" s="390"/>
      <c r="WLC5" s="390"/>
      <c r="WLD5" s="390"/>
      <c r="WLE5" s="390"/>
      <c r="WLF5" s="390"/>
      <c r="WLG5" s="390"/>
      <c r="WLH5" s="390"/>
      <c r="WLI5" s="390"/>
      <c r="WLJ5" s="390"/>
      <c r="WLK5" s="390"/>
      <c r="WLL5" s="390"/>
      <c r="WLM5" s="390"/>
      <c r="WLN5" s="390"/>
      <c r="WLO5" s="390"/>
      <c r="WLP5" s="390"/>
      <c r="WLQ5" s="390"/>
      <c r="WLR5" s="390"/>
      <c r="WLS5" s="390"/>
      <c r="WLT5" s="390"/>
      <c r="WLU5" s="390"/>
      <c r="WLV5" s="390"/>
      <c r="WLW5" s="390"/>
      <c r="WLX5" s="390"/>
      <c r="WLY5" s="390"/>
      <c r="WLZ5" s="390"/>
      <c r="WMA5" s="390"/>
      <c r="WMB5" s="390"/>
      <c r="WMC5" s="390"/>
      <c r="WMD5" s="390"/>
      <c r="WME5" s="390"/>
      <c r="WMF5" s="390"/>
      <c r="WMG5" s="390"/>
      <c r="WMH5" s="390"/>
      <c r="WMI5" s="390"/>
      <c r="WMJ5" s="390"/>
      <c r="WMK5" s="390"/>
      <c r="WML5" s="390"/>
      <c r="WMM5" s="390"/>
      <c r="WMN5" s="390"/>
      <c r="WMO5" s="390"/>
      <c r="WMP5" s="390"/>
      <c r="WMQ5" s="390"/>
      <c r="WMR5" s="390"/>
      <c r="WMS5" s="390"/>
      <c r="WMT5" s="390"/>
      <c r="WMU5" s="390"/>
      <c r="WMV5" s="390"/>
      <c r="WMW5" s="390"/>
      <c r="WMX5" s="390"/>
      <c r="WMY5" s="390"/>
      <c r="WMZ5" s="390"/>
      <c r="WNA5" s="390"/>
      <c r="WNB5" s="390"/>
      <c r="WNC5" s="390"/>
      <c r="WND5" s="390"/>
      <c r="WNE5" s="390"/>
      <c r="WNF5" s="390"/>
      <c r="WNG5" s="390"/>
      <c r="WNH5" s="390"/>
      <c r="WNI5" s="390"/>
      <c r="WNJ5" s="390"/>
      <c r="WNK5" s="390"/>
      <c r="WNL5" s="390"/>
      <c r="WNM5" s="390"/>
      <c r="WNN5" s="390"/>
      <c r="WNO5" s="390"/>
      <c r="WNP5" s="390"/>
      <c r="WNQ5" s="390"/>
      <c r="WNR5" s="390"/>
      <c r="WNS5" s="390"/>
      <c r="WNT5" s="390"/>
      <c r="WNU5" s="390"/>
      <c r="WNV5" s="390"/>
      <c r="WNW5" s="390"/>
      <c r="WNX5" s="390"/>
      <c r="WNY5" s="390"/>
      <c r="WNZ5" s="390"/>
      <c r="WOA5" s="390"/>
      <c r="WOB5" s="390"/>
      <c r="WOC5" s="390"/>
      <c r="WOD5" s="390"/>
      <c r="WOE5" s="390"/>
      <c r="WOF5" s="390"/>
      <c r="WOG5" s="390"/>
      <c r="WOH5" s="390"/>
      <c r="WOI5" s="390"/>
      <c r="WOJ5" s="390"/>
      <c r="WOK5" s="390"/>
      <c r="WOL5" s="390"/>
      <c r="WOM5" s="390"/>
      <c r="WON5" s="390"/>
      <c r="WOO5" s="390"/>
      <c r="WOP5" s="390"/>
      <c r="WOQ5" s="390"/>
      <c r="WOR5" s="390"/>
      <c r="WOS5" s="390"/>
      <c r="WOT5" s="390"/>
      <c r="WOU5" s="390"/>
      <c r="WOV5" s="390"/>
      <c r="WOW5" s="390"/>
      <c r="WOX5" s="390"/>
      <c r="WOY5" s="390"/>
      <c r="WOZ5" s="390"/>
      <c r="WPA5" s="390"/>
      <c r="WPB5" s="390"/>
      <c r="WPC5" s="390"/>
      <c r="WPD5" s="390"/>
      <c r="WPE5" s="390"/>
      <c r="WPF5" s="390"/>
      <c r="WPG5" s="390"/>
      <c r="WPH5" s="390"/>
      <c r="WPI5" s="390"/>
      <c r="WPJ5" s="390"/>
      <c r="WPK5" s="390"/>
      <c r="WPL5" s="390"/>
      <c r="WPM5" s="390"/>
      <c r="WPN5" s="390"/>
      <c r="WPO5" s="390"/>
      <c r="WPP5" s="390"/>
      <c r="WPQ5" s="390"/>
      <c r="WPR5" s="390"/>
      <c r="WPS5" s="390"/>
      <c r="WPT5" s="390"/>
      <c r="WPU5" s="390"/>
      <c r="WPV5" s="390"/>
      <c r="WPW5" s="390"/>
      <c r="WPX5" s="390"/>
      <c r="WPY5" s="390"/>
      <c r="WPZ5" s="390"/>
      <c r="WQA5" s="390"/>
      <c r="WQB5" s="390"/>
      <c r="WQC5" s="390"/>
      <c r="WQD5" s="390"/>
      <c r="WQE5" s="390"/>
      <c r="WQF5" s="390"/>
      <c r="WQG5" s="390"/>
      <c r="WQH5" s="390"/>
      <c r="WQI5" s="390"/>
      <c r="WQJ5" s="390"/>
      <c r="WQK5" s="390"/>
      <c r="WQL5" s="390"/>
      <c r="WQM5" s="390"/>
      <c r="WQN5" s="390"/>
      <c r="WQO5" s="390"/>
      <c r="WQP5" s="390"/>
      <c r="WQQ5" s="390"/>
      <c r="WQR5" s="390"/>
      <c r="WQS5" s="390"/>
      <c r="WQT5" s="390"/>
      <c r="WQU5" s="390"/>
      <c r="WQV5" s="390"/>
      <c r="WQW5" s="390"/>
      <c r="WQX5" s="390"/>
      <c r="WQY5" s="390"/>
      <c r="WQZ5" s="390"/>
      <c r="WRA5" s="390"/>
      <c r="WRB5" s="390"/>
      <c r="WRC5" s="390"/>
      <c r="WRD5" s="390"/>
      <c r="WRE5" s="390"/>
      <c r="WRF5" s="390"/>
      <c r="WRG5" s="390"/>
      <c r="WRH5" s="390"/>
      <c r="WRI5" s="390"/>
      <c r="WRJ5" s="390"/>
      <c r="WRK5" s="390"/>
      <c r="WRL5" s="390"/>
      <c r="WRM5" s="390"/>
      <c r="WRN5" s="390"/>
      <c r="WRO5" s="390"/>
      <c r="WRP5" s="390"/>
      <c r="WRQ5" s="390"/>
      <c r="WRR5" s="390"/>
      <c r="WRS5" s="390"/>
      <c r="WRT5" s="390"/>
      <c r="WRU5" s="390"/>
      <c r="WRV5" s="390"/>
      <c r="WRW5" s="390"/>
      <c r="WRX5" s="390"/>
      <c r="WRY5" s="390"/>
      <c r="WRZ5" s="390"/>
      <c r="WSA5" s="390"/>
      <c r="WSB5" s="390"/>
      <c r="WSC5" s="390"/>
      <c r="WSD5" s="390"/>
      <c r="WSE5" s="390"/>
      <c r="WSF5" s="390"/>
      <c r="WSG5" s="390"/>
      <c r="WSH5" s="390"/>
      <c r="WSI5" s="390"/>
      <c r="WSJ5" s="390"/>
      <c r="WSK5" s="390"/>
      <c r="WSL5" s="390"/>
      <c r="WSM5" s="390"/>
      <c r="WSN5" s="390"/>
      <c r="WSO5" s="390"/>
      <c r="WSP5" s="390"/>
      <c r="WSQ5" s="390"/>
      <c r="WSR5" s="390"/>
      <c r="WSS5" s="390"/>
      <c r="WST5" s="390"/>
      <c r="WSU5" s="390"/>
      <c r="WSV5" s="390"/>
      <c r="WSW5" s="390"/>
      <c r="WSX5" s="390"/>
      <c r="WSY5" s="390"/>
      <c r="WSZ5" s="390"/>
      <c r="WTA5" s="390"/>
      <c r="WTB5" s="390"/>
      <c r="WTC5" s="390"/>
      <c r="WTD5" s="390"/>
      <c r="WTE5" s="390"/>
      <c r="WTF5" s="390"/>
      <c r="WTG5" s="390"/>
      <c r="WTH5" s="390"/>
      <c r="WTI5" s="390"/>
      <c r="WTJ5" s="390"/>
      <c r="WTK5" s="390"/>
      <c r="WTL5" s="390"/>
      <c r="WTM5" s="390"/>
      <c r="WTN5" s="390"/>
      <c r="WTO5" s="390"/>
      <c r="WTP5" s="390"/>
      <c r="WTQ5" s="390"/>
      <c r="WTR5" s="390"/>
      <c r="WTS5" s="390"/>
      <c r="WTT5" s="390"/>
      <c r="WTU5" s="390"/>
      <c r="WTV5" s="390"/>
      <c r="WTW5" s="390"/>
      <c r="WTX5" s="390"/>
      <c r="WTY5" s="390"/>
      <c r="WTZ5" s="390"/>
      <c r="WUA5" s="390"/>
      <c r="WUB5" s="390"/>
      <c r="WUC5" s="390"/>
      <c r="WUD5" s="390"/>
      <c r="WUE5" s="390"/>
      <c r="WUF5" s="390"/>
      <c r="WUG5" s="390"/>
      <c r="WUH5" s="390"/>
      <c r="WUI5" s="390"/>
      <c r="WUJ5" s="390"/>
      <c r="WUK5" s="390"/>
      <c r="WUL5" s="390"/>
      <c r="WUM5" s="390"/>
      <c r="WUN5" s="390"/>
      <c r="WUO5" s="390"/>
      <c r="WUP5" s="390"/>
      <c r="WUQ5" s="390"/>
      <c r="WUR5" s="390"/>
      <c r="WUS5" s="390"/>
      <c r="WUT5" s="390"/>
      <c r="WUU5" s="390"/>
      <c r="WUV5" s="390"/>
      <c r="WUW5" s="390"/>
      <c r="WUX5" s="390"/>
      <c r="WUY5" s="390"/>
      <c r="WUZ5" s="390"/>
      <c r="WVA5" s="390"/>
      <c r="WVB5" s="390"/>
      <c r="WVC5" s="390"/>
      <c r="WVD5" s="390"/>
      <c r="WVE5" s="390"/>
      <c r="WVF5" s="390"/>
      <c r="WVG5" s="390"/>
      <c r="WVH5" s="390"/>
      <c r="WVI5" s="390"/>
      <c r="WVJ5" s="390"/>
      <c r="WVK5" s="390"/>
      <c r="WVL5" s="390"/>
      <c r="WVM5" s="390"/>
      <c r="WVN5" s="390"/>
      <c r="WVO5" s="390"/>
      <c r="WVP5" s="390"/>
      <c r="WVQ5" s="390"/>
      <c r="WVR5" s="390"/>
      <c r="WVS5" s="390"/>
      <c r="WVT5" s="390"/>
      <c r="WVU5" s="390"/>
      <c r="WVV5" s="390"/>
      <c r="WVW5" s="390"/>
      <c r="WVX5" s="390"/>
      <c r="WVY5" s="390"/>
      <c r="WVZ5" s="390"/>
      <c r="WWA5" s="390"/>
      <c r="WWB5" s="390"/>
      <c r="WWC5" s="390"/>
      <c r="WWD5" s="390"/>
      <c r="WWE5" s="390"/>
      <c r="WWF5" s="390"/>
      <c r="WWG5" s="390"/>
      <c r="WWH5" s="390"/>
      <c r="WWI5" s="390"/>
      <c r="WWJ5" s="390"/>
      <c r="WWK5" s="390"/>
      <c r="WWL5" s="390"/>
      <c r="WWM5" s="390"/>
      <c r="WWN5" s="390"/>
      <c r="WWO5" s="390"/>
      <c r="WWP5" s="390"/>
      <c r="WWQ5" s="390"/>
      <c r="WWR5" s="390"/>
      <c r="WWS5" s="390"/>
      <c r="WWT5" s="390"/>
      <c r="WWU5" s="390"/>
      <c r="WWV5" s="390"/>
      <c r="WWW5" s="390"/>
      <c r="WWX5" s="390"/>
      <c r="WWY5" s="390"/>
      <c r="WWZ5" s="390"/>
      <c r="WXA5" s="390"/>
      <c r="WXB5" s="390"/>
      <c r="WXC5" s="390"/>
      <c r="WXD5" s="390"/>
      <c r="WXE5" s="390"/>
      <c r="WXF5" s="390"/>
      <c r="WXG5" s="390"/>
      <c r="WXH5" s="390"/>
      <c r="WXI5" s="390"/>
      <c r="WXJ5" s="390"/>
      <c r="WXK5" s="390"/>
      <c r="WXL5" s="390"/>
      <c r="WXM5" s="390"/>
      <c r="WXN5" s="390"/>
      <c r="WXO5" s="390"/>
      <c r="WXP5" s="390"/>
      <c r="WXQ5" s="390"/>
      <c r="WXR5" s="390"/>
      <c r="WXS5" s="390"/>
      <c r="WXT5" s="390"/>
      <c r="WXU5" s="390"/>
      <c r="WXV5" s="390"/>
      <c r="WXW5" s="390"/>
      <c r="WXX5" s="390"/>
      <c r="WXY5" s="390"/>
      <c r="WXZ5" s="390"/>
      <c r="WYA5" s="390"/>
      <c r="WYB5" s="390"/>
      <c r="WYC5" s="390"/>
      <c r="WYD5" s="390"/>
      <c r="WYE5" s="390"/>
      <c r="WYF5" s="390"/>
      <c r="WYG5" s="390"/>
      <c r="WYH5" s="390"/>
      <c r="WYI5" s="390"/>
      <c r="WYJ5" s="390"/>
      <c r="WYK5" s="390"/>
      <c r="WYL5" s="390"/>
      <c r="WYM5" s="390"/>
      <c r="WYN5" s="390"/>
      <c r="WYO5" s="390"/>
      <c r="WYP5" s="390"/>
      <c r="WYQ5" s="390"/>
      <c r="WYR5" s="390"/>
      <c r="WYS5" s="390"/>
      <c r="WYT5" s="390"/>
      <c r="WYU5" s="390"/>
      <c r="WYV5" s="390"/>
      <c r="WYW5" s="390"/>
      <c r="WYX5" s="390"/>
      <c r="WYY5" s="390"/>
      <c r="WYZ5" s="390"/>
      <c r="WZA5" s="390"/>
      <c r="WZB5" s="390"/>
      <c r="WZC5" s="390"/>
      <c r="WZD5" s="390"/>
      <c r="WZE5" s="390"/>
      <c r="WZF5" s="390"/>
      <c r="WZG5" s="390"/>
      <c r="WZH5" s="390"/>
      <c r="WZI5" s="390"/>
      <c r="WZJ5" s="390"/>
      <c r="WZK5" s="390"/>
      <c r="WZL5" s="390"/>
      <c r="WZM5" s="390"/>
      <c r="WZN5" s="390"/>
      <c r="WZO5" s="390"/>
      <c r="WZP5" s="390"/>
      <c r="WZQ5" s="390"/>
      <c r="WZR5" s="390"/>
      <c r="WZS5" s="390"/>
      <c r="WZT5" s="390"/>
      <c r="WZU5" s="390"/>
      <c r="WZV5" s="390"/>
      <c r="WZW5" s="390"/>
      <c r="WZX5" s="390"/>
      <c r="WZY5" s="390"/>
      <c r="WZZ5" s="390"/>
      <c r="XAA5" s="390"/>
      <c r="XAB5" s="390"/>
      <c r="XAC5" s="390"/>
      <c r="XAD5" s="390"/>
      <c r="XAE5" s="390"/>
      <c r="XAF5" s="390"/>
      <c r="XAG5" s="390"/>
      <c r="XAH5" s="390"/>
      <c r="XAI5" s="390"/>
      <c r="XAJ5" s="390"/>
      <c r="XAK5" s="390"/>
      <c r="XAL5" s="390"/>
      <c r="XAM5" s="390"/>
      <c r="XAN5" s="390"/>
      <c r="XAO5" s="390"/>
      <c r="XAP5" s="390"/>
      <c r="XAQ5" s="390"/>
      <c r="XAR5" s="390"/>
      <c r="XAS5" s="390"/>
      <c r="XAT5" s="390"/>
      <c r="XAU5" s="390"/>
      <c r="XAV5" s="390"/>
      <c r="XAW5" s="390"/>
      <c r="XAX5" s="390"/>
      <c r="XAY5" s="390"/>
      <c r="XAZ5" s="390"/>
      <c r="XBA5" s="390"/>
      <c r="XBB5" s="390"/>
      <c r="XBC5" s="390"/>
      <c r="XBD5" s="390"/>
      <c r="XBE5" s="390"/>
      <c r="XBF5" s="390"/>
      <c r="XBG5" s="390"/>
      <c r="XBH5" s="390"/>
      <c r="XBI5" s="390"/>
      <c r="XBJ5" s="390"/>
      <c r="XBK5" s="390"/>
      <c r="XBL5" s="390"/>
      <c r="XBM5" s="390"/>
      <c r="XBN5" s="390"/>
      <c r="XBO5" s="390"/>
      <c r="XBP5" s="390"/>
      <c r="XBQ5" s="390"/>
      <c r="XBR5" s="390"/>
      <c r="XBS5" s="390"/>
      <c r="XBT5" s="390"/>
      <c r="XBU5" s="390"/>
      <c r="XBV5" s="390"/>
      <c r="XBW5" s="390"/>
      <c r="XBX5" s="390"/>
      <c r="XBY5" s="390"/>
      <c r="XBZ5" s="390"/>
      <c r="XCA5" s="390"/>
      <c r="XCB5" s="390"/>
      <c r="XCC5" s="390"/>
      <c r="XCD5" s="390"/>
      <c r="XCE5" s="390"/>
      <c r="XCF5" s="390"/>
      <c r="XCG5" s="390"/>
      <c r="XCH5" s="390"/>
      <c r="XCI5" s="390"/>
      <c r="XCJ5" s="390"/>
      <c r="XCK5" s="390"/>
      <c r="XCL5" s="390"/>
      <c r="XCM5" s="390"/>
      <c r="XCN5" s="390"/>
      <c r="XCO5" s="390"/>
      <c r="XCP5" s="390"/>
      <c r="XCQ5" s="390"/>
      <c r="XCR5" s="390"/>
      <c r="XCS5" s="390"/>
      <c r="XCT5" s="390"/>
      <c r="XCU5" s="390"/>
      <c r="XCV5" s="390"/>
      <c r="XCW5" s="390"/>
      <c r="XCX5" s="390"/>
      <c r="XCY5" s="390"/>
      <c r="XCZ5" s="390"/>
      <c r="XDA5" s="390"/>
      <c r="XDB5" s="390"/>
      <c r="XDC5" s="390"/>
      <c r="XDD5" s="390"/>
      <c r="XDE5" s="390"/>
      <c r="XDF5" s="390"/>
      <c r="XDG5" s="390"/>
      <c r="XDH5" s="390"/>
      <c r="XDI5" s="390"/>
      <c r="XDJ5" s="390"/>
      <c r="XDK5" s="390"/>
      <c r="XDL5" s="390"/>
      <c r="XDM5" s="390"/>
      <c r="XDN5" s="390"/>
      <c r="XDO5" s="390"/>
      <c r="XDP5" s="390"/>
      <c r="XDQ5" s="390"/>
      <c r="XDR5" s="390"/>
      <c r="XDS5" s="390"/>
      <c r="XDT5" s="390"/>
      <c r="XDU5" s="390"/>
      <c r="XDV5" s="390"/>
      <c r="XDW5" s="390"/>
      <c r="XDX5" s="390"/>
      <c r="XDY5" s="390"/>
      <c r="XDZ5" s="390"/>
      <c r="XEA5" s="390"/>
      <c r="XEB5" s="390"/>
      <c r="XEC5" s="390"/>
      <c r="XED5" s="390"/>
      <c r="XEE5" s="390"/>
      <c r="XEF5" s="390"/>
      <c r="XEG5" s="390"/>
      <c r="XEH5" s="390"/>
      <c r="XEI5" s="390"/>
      <c r="XEJ5" s="390"/>
      <c r="XEK5" s="390"/>
      <c r="XEL5" s="390"/>
      <c r="XEM5" s="390"/>
      <c r="XEN5" s="390"/>
      <c r="XEO5" s="390"/>
      <c r="XEP5" s="390"/>
      <c r="XEQ5" s="390"/>
      <c r="XER5" s="390"/>
      <c r="XES5" s="390"/>
      <c r="XET5" s="390"/>
      <c r="XEU5" s="390"/>
      <c r="XEV5" s="390"/>
      <c r="XEW5" s="390"/>
      <c r="XEX5" s="390"/>
      <c r="XEY5" s="390"/>
      <c r="XEZ5" s="390"/>
      <c r="XFA5" s="390"/>
      <c r="XFB5" s="390"/>
    </row>
    <row r="6" spans="1:16382" x14ac:dyDescent="0.45">
      <c r="A6" s="390" t="s">
        <v>3479</v>
      </c>
      <c r="B6" s="390"/>
      <c r="C6" s="390"/>
      <c r="D6" s="390"/>
      <c r="E6" s="390"/>
      <c r="F6" s="390"/>
      <c r="G6" s="390"/>
      <c r="H6" s="390"/>
      <c r="I6" s="392"/>
      <c r="J6" s="392"/>
      <c r="K6" s="392"/>
      <c r="L6" s="392"/>
      <c r="M6" s="392"/>
      <c r="N6" s="392"/>
    </row>
    <row r="7" spans="1:16382" x14ac:dyDescent="0.45">
      <c r="A7" s="399"/>
      <c r="B7" s="399"/>
      <c r="C7" s="399"/>
      <c r="D7" s="400"/>
      <c r="E7" s="400"/>
      <c r="F7" s="400"/>
      <c r="G7" s="400"/>
      <c r="H7" s="400"/>
    </row>
    <row r="8" spans="1:16382" s="2" customFormat="1" x14ac:dyDescent="0.45">
      <c r="A8" s="401" t="s">
        <v>3480</v>
      </c>
      <c r="B8" s="402"/>
      <c r="C8" s="402"/>
      <c r="D8" s="403"/>
      <c r="E8" s="403"/>
      <c r="F8" s="403"/>
      <c r="G8" s="403"/>
      <c r="H8" s="404"/>
    </row>
    <row r="9" spans="1:16382" s="2" customFormat="1" x14ac:dyDescent="0.45">
      <c r="A9" s="393" t="s">
        <v>4</v>
      </c>
      <c r="B9" s="394"/>
      <c r="C9" s="394"/>
      <c r="D9" s="394"/>
      <c r="E9" s="394"/>
      <c r="F9" s="394"/>
      <c r="G9" s="394"/>
      <c r="H9" s="395"/>
    </row>
    <row r="10" spans="1:16382" s="2" customFormat="1" x14ac:dyDescent="0.45">
      <c r="A10" s="396" t="s">
        <v>5246</v>
      </c>
      <c r="B10" s="397"/>
      <c r="C10" s="397"/>
      <c r="D10" s="397"/>
      <c r="E10" s="397"/>
      <c r="F10" s="397"/>
      <c r="G10" s="397"/>
      <c r="H10" s="398"/>
    </row>
    <row r="11" spans="1:16382" ht="24.6" x14ac:dyDescent="0.45">
      <c r="A11" s="3" t="s">
        <v>5</v>
      </c>
      <c r="B11" s="221" t="s">
        <v>5002</v>
      </c>
      <c r="C11" s="221" t="s">
        <v>6</v>
      </c>
      <c r="D11" s="5" t="s">
        <v>7</v>
      </c>
      <c r="E11" s="3" t="s">
        <v>8</v>
      </c>
      <c r="F11" s="3" t="s">
        <v>9</v>
      </c>
      <c r="G11" s="3" t="s">
        <v>10</v>
      </c>
      <c r="H11" s="3" t="s">
        <v>11</v>
      </c>
    </row>
    <row r="12" spans="1:16382" s="11" customFormat="1" ht="4.95" customHeight="1" x14ac:dyDescent="0.45">
      <c r="A12" s="6"/>
      <c r="B12" s="7"/>
      <c r="C12" s="7"/>
      <c r="D12" s="8"/>
      <c r="E12" s="7"/>
      <c r="F12" s="9"/>
      <c r="G12" s="9"/>
      <c r="H12" s="10"/>
    </row>
    <row r="13" spans="1:16382" x14ac:dyDescent="0.45">
      <c r="A13" s="12" t="s">
        <v>3481</v>
      </c>
      <c r="B13" s="13"/>
      <c r="C13" s="13"/>
      <c r="D13" s="246" t="s">
        <v>13</v>
      </c>
      <c r="E13" s="15"/>
      <c r="F13" s="14"/>
      <c r="G13" s="15"/>
      <c r="H13" s="14"/>
    </row>
    <row r="14" spans="1:16382" x14ac:dyDescent="0.4">
      <c r="A14" s="16"/>
      <c r="B14" s="222">
        <v>1501000</v>
      </c>
      <c r="C14" s="18"/>
      <c r="D14" s="223" t="s">
        <v>14</v>
      </c>
      <c r="E14" s="20"/>
      <c r="F14" s="21"/>
      <c r="G14" s="20"/>
      <c r="H14" s="21"/>
    </row>
    <row r="15" spans="1:16382" ht="24.6" x14ac:dyDescent="0.45">
      <c r="A15" s="22" t="s">
        <v>3482</v>
      </c>
      <c r="B15" s="23"/>
      <c r="C15" s="23">
        <v>3.1</v>
      </c>
      <c r="D15" s="5" t="s">
        <v>16</v>
      </c>
      <c r="E15" s="23">
        <v>12</v>
      </c>
      <c r="F15" s="23" t="s">
        <v>17</v>
      </c>
      <c r="G15" s="24"/>
      <c r="H15" s="24">
        <f>G15*E15</f>
        <v>0</v>
      </c>
    </row>
    <row r="16" spans="1:16382" x14ac:dyDescent="0.4">
      <c r="A16" s="16"/>
      <c r="B16" s="222">
        <v>1502000</v>
      </c>
      <c r="C16" s="18"/>
      <c r="D16" s="223" t="s">
        <v>18</v>
      </c>
      <c r="E16" s="20"/>
      <c r="F16" s="21"/>
      <c r="G16" s="21"/>
      <c r="H16" s="21"/>
    </row>
    <row r="17" spans="1:8" x14ac:dyDescent="0.45">
      <c r="A17" s="25"/>
      <c r="B17" s="26"/>
      <c r="C17" s="26">
        <v>3.1</v>
      </c>
      <c r="D17" s="27" t="s">
        <v>19</v>
      </c>
      <c r="E17" s="28"/>
      <c r="F17" s="28"/>
      <c r="G17" s="28"/>
      <c r="H17" s="28"/>
    </row>
    <row r="18" spans="1:8" x14ac:dyDescent="0.45">
      <c r="A18" s="22" t="s">
        <v>3483</v>
      </c>
      <c r="B18" s="23">
        <v>1502000</v>
      </c>
      <c r="C18" s="23" t="s">
        <v>21</v>
      </c>
      <c r="D18" s="29" t="s">
        <v>22</v>
      </c>
      <c r="E18" s="23">
        <v>12</v>
      </c>
      <c r="F18" s="23" t="s">
        <v>17</v>
      </c>
      <c r="G18" s="24"/>
      <c r="H18" s="24">
        <f>G18*E18</f>
        <v>0</v>
      </c>
    </row>
    <row r="19" spans="1:8" x14ac:dyDescent="0.45">
      <c r="A19" s="22" t="s">
        <v>3484</v>
      </c>
      <c r="B19" s="23">
        <v>1502000</v>
      </c>
      <c r="C19" s="23" t="s">
        <v>24</v>
      </c>
      <c r="D19" s="29" t="s">
        <v>25</v>
      </c>
      <c r="E19" s="23">
        <v>12</v>
      </c>
      <c r="F19" s="23" t="s">
        <v>17</v>
      </c>
      <c r="G19" s="24"/>
      <c r="H19" s="24">
        <f>G19*E19</f>
        <v>0</v>
      </c>
    </row>
    <row r="20" spans="1:8" x14ac:dyDescent="0.45">
      <c r="A20" s="22" t="s">
        <v>3485</v>
      </c>
      <c r="B20" s="23">
        <v>1502000</v>
      </c>
      <c r="C20" s="23" t="s">
        <v>27</v>
      </c>
      <c r="D20" s="29" t="s">
        <v>28</v>
      </c>
      <c r="E20" s="23">
        <v>12</v>
      </c>
      <c r="F20" s="23" t="s">
        <v>17</v>
      </c>
      <c r="G20" s="24"/>
      <c r="H20" s="24">
        <f>G20*E20</f>
        <v>0</v>
      </c>
    </row>
    <row r="21" spans="1:8" x14ac:dyDescent="0.45">
      <c r="A21" s="25"/>
      <c r="B21" s="26"/>
      <c r="C21" s="26">
        <v>3.2</v>
      </c>
      <c r="D21" s="27" t="s">
        <v>29</v>
      </c>
      <c r="E21" s="28"/>
      <c r="F21" s="28"/>
      <c r="G21" s="28"/>
      <c r="H21" s="28"/>
    </row>
    <row r="22" spans="1:8" x14ac:dyDescent="0.45">
      <c r="A22" s="22" t="s">
        <v>3486</v>
      </c>
      <c r="B22" s="23">
        <v>1502000</v>
      </c>
      <c r="C22" s="286">
        <v>3.2</v>
      </c>
      <c r="D22" s="29" t="s">
        <v>5072</v>
      </c>
      <c r="E22" s="23">
        <v>12</v>
      </c>
      <c r="F22" s="23" t="s">
        <v>17</v>
      </c>
      <c r="G22" s="24"/>
      <c r="H22" s="24">
        <f>G22*E22</f>
        <v>0</v>
      </c>
    </row>
    <row r="23" spans="1:8" x14ac:dyDescent="0.45">
      <c r="A23" s="25"/>
      <c r="B23" s="26"/>
      <c r="C23" s="26">
        <v>3.3</v>
      </c>
      <c r="D23" s="27" t="s">
        <v>31</v>
      </c>
      <c r="E23" s="28"/>
      <c r="F23" s="28"/>
      <c r="G23" s="28"/>
      <c r="H23" s="28"/>
    </row>
    <row r="24" spans="1:8" x14ac:dyDescent="0.45">
      <c r="A24" s="22" t="s">
        <v>3487</v>
      </c>
      <c r="B24" s="23">
        <v>1502000</v>
      </c>
      <c r="C24" s="23" t="s">
        <v>33</v>
      </c>
      <c r="D24" s="30" t="s">
        <v>34</v>
      </c>
      <c r="E24" s="23">
        <v>12</v>
      </c>
      <c r="F24" s="23" t="s">
        <v>17</v>
      </c>
      <c r="G24" s="24"/>
      <c r="H24" s="24">
        <f t="shared" ref="H24:H33" si="0">G24*E24</f>
        <v>0</v>
      </c>
    </row>
    <row r="25" spans="1:8" x14ac:dyDescent="0.45">
      <c r="A25" s="22" t="s">
        <v>3488</v>
      </c>
      <c r="B25" s="23">
        <v>1502000</v>
      </c>
      <c r="C25" s="23" t="s">
        <v>36</v>
      </c>
      <c r="D25" s="32" t="s">
        <v>37</v>
      </c>
      <c r="E25" s="33">
        <v>12</v>
      </c>
      <c r="F25" s="23" t="s">
        <v>17</v>
      </c>
      <c r="G25" s="24"/>
      <c r="H25" s="24">
        <f t="shared" si="0"/>
        <v>0</v>
      </c>
    </row>
    <row r="26" spans="1:8" x14ac:dyDescent="0.45">
      <c r="A26" s="22" t="s">
        <v>3489</v>
      </c>
      <c r="B26" s="23">
        <v>1502000</v>
      </c>
      <c r="C26" s="23" t="s">
        <v>39</v>
      </c>
      <c r="D26" s="32" t="s">
        <v>40</v>
      </c>
      <c r="E26" s="33">
        <v>12</v>
      </c>
      <c r="F26" s="23" t="s">
        <v>17</v>
      </c>
      <c r="G26" s="24"/>
      <c r="H26" s="24">
        <f t="shared" si="0"/>
        <v>0</v>
      </c>
    </row>
    <row r="27" spans="1:8" x14ac:dyDescent="0.45">
      <c r="A27" s="22" t="s">
        <v>3490</v>
      </c>
      <c r="B27" s="23">
        <v>1502000</v>
      </c>
      <c r="C27" s="224" t="s">
        <v>42</v>
      </c>
      <c r="D27" s="30" t="s">
        <v>43</v>
      </c>
      <c r="E27" s="33">
        <v>12</v>
      </c>
      <c r="F27" s="23" t="s">
        <v>17</v>
      </c>
      <c r="G27" s="24"/>
      <c r="H27" s="24">
        <f t="shared" si="0"/>
        <v>0</v>
      </c>
    </row>
    <row r="28" spans="1:8" x14ac:dyDescent="0.45">
      <c r="A28" s="22" t="s">
        <v>3491</v>
      </c>
      <c r="B28" s="23">
        <v>1502000</v>
      </c>
      <c r="C28" s="23" t="s">
        <v>45</v>
      </c>
      <c r="D28" s="30" t="s">
        <v>46</v>
      </c>
      <c r="E28" s="33">
        <v>12</v>
      </c>
      <c r="F28" s="23" t="s">
        <v>17</v>
      </c>
      <c r="G28" s="24"/>
      <c r="H28" s="24">
        <f t="shared" si="0"/>
        <v>0</v>
      </c>
    </row>
    <row r="29" spans="1:8" x14ac:dyDescent="0.45">
      <c r="A29" s="22" t="s">
        <v>3492</v>
      </c>
      <c r="B29" s="23">
        <v>1502000</v>
      </c>
      <c r="C29" s="23" t="s">
        <v>48</v>
      </c>
      <c r="D29" s="30" t="s">
        <v>49</v>
      </c>
      <c r="E29" s="33">
        <v>12</v>
      </c>
      <c r="F29" s="23" t="s">
        <v>17</v>
      </c>
      <c r="G29" s="24"/>
      <c r="H29" s="24">
        <f t="shared" si="0"/>
        <v>0</v>
      </c>
    </row>
    <row r="30" spans="1:8" x14ac:dyDescent="0.45">
      <c r="A30" s="22" t="s">
        <v>3493</v>
      </c>
      <c r="B30" s="23">
        <v>1502000</v>
      </c>
      <c r="C30" s="23" t="s">
        <v>51</v>
      </c>
      <c r="D30" s="30" t="s">
        <v>52</v>
      </c>
      <c r="E30" s="33">
        <v>12</v>
      </c>
      <c r="F30" s="23" t="s">
        <v>17</v>
      </c>
      <c r="G30" s="24"/>
      <c r="H30" s="24">
        <f t="shared" si="0"/>
        <v>0</v>
      </c>
    </row>
    <row r="31" spans="1:8" x14ac:dyDescent="0.45">
      <c r="A31" s="22" t="s">
        <v>3494</v>
      </c>
      <c r="B31" s="23">
        <v>1502000</v>
      </c>
      <c r="C31" s="23" t="s">
        <v>54</v>
      </c>
      <c r="D31" s="30" t="s">
        <v>55</v>
      </c>
      <c r="E31" s="33">
        <v>12</v>
      </c>
      <c r="F31" s="23" t="s">
        <v>17</v>
      </c>
      <c r="G31" s="24"/>
      <c r="H31" s="24">
        <f t="shared" si="0"/>
        <v>0</v>
      </c>
    </row>
    <row r="32" spans="1:8" x14ac:dyDescent="0.45">
      <c r="A32" s="22" t="s">
        <v>3495</v>
      </c>
      <c r="B32" s="23">
        <v>1502000</v>
      </c>
      <c r="C32" s="23" t="s">
        <v>57</v>
      </c>
      <c r="D32" s="30" t="s">
        <v>58</v>
      </c>
      <c r="E32" s="33">
        <v>12</v>
      </c>
      <c r="F32" s="23" t="s">
        <v>17</v>
      </c>
      <c r="G32" s="24"/>
      <c r="H32" s="24">
        <f t="shared" si="0"/>
        <v>0</v>
      </c>
    </row>
    <row r="33" spans="1:8" x14ac:dyDescent="0.45">
      <c r="A33" s="22" t="s">
        <v>3496</v>
      </c>
      <c r="B33" s="23">
        <v>1502000</v>
      </c>
      <c r="C33" s="23" t="s">
        <v>60</v>
      </c>
      <c r="D33" s="30" t="s">
        <v>61</v>
      </c>
      <c r="E33" s="33">
        <v>12</v>
      </c>
      <c r="F33" s="23" t="s">
        <v>17</v>
      </c>
      <c r="G33" s="24"/>
      <c r="H33" s="24">
        <f t="shared" si="0"/>
        <v>0</v>
      </c>
    </row>
    <row r="34" spans="1:8" x14ac:dyDescent="0.45">
      <c r="A34" s="25"/>
      <c r="B34" s="26"/>
      <c r="C34" s="26">
        <v>3.4</v>
      </c>
      <c r="D34" s="27" t="s">
        <v>62</v>
      </c>
      <c r="E34" s="28"/>
      <c r="F34" s="28"/>
      <c r="G34" s="28"/>
      <c r="H34" s="28"/>
    </row>
    <row r="35" spans="1:8" x14ac:dyDescent="0.45">
      <c r="A35" s="22" t="s">
        <v>3497</v>
      </c>
      <c r="B35" s="23">
        <v>1502000</v>
      </c>
      <c r="C35" s="23" t="s">
        <v>64</v>
      </c>
      <c r="D35" s="35" t="s">
        <v>65</v>
      </c>
      <c r="E35" s="23">
        <v>12</v>
      </c>
      <c r="F35" s="23" t="s">
        <v>17</v>
      </c>
      <c r="G35" s="24"/>
      <c r="H35" s="24">
        <f>G35*E35</f>
        <v>0</v>
      </c>
    </row>
    <row r="36" spans="1:8" x14ac:dyDescent="0.45">
      <c r="A36" s="22" t="s">
        <v>3498</v>
      </c>
      <c r="B36" s="23">
        <v>1502000</v>
      </c>
      <c r="C36" s="23" t="s">
        <v>67</v>
      </c>
      <c r="D36" s="35" t="s">
        <v>68</v>
      </c>
      <c r="E36" s="23">
        <v>12</v>
      </c>
      <c r="F36" s="23" t="s">
        <v>17</v>
      </c>
      <c r="G36" s="24"/>
      <c r="H36" s="24">
        <f>G36*E36</f>
        <v>0</v>
      </c>
    </row>
    <row r="37" spans="1:8" x14ac:dyDescent="0.45">
      <c r="A37" s="22" t="s">
        <v>3499</v>
      </c>
      <c r="B37" s="23">
        <v>1502000</v>
      </c>
      <c r="C37" s="33" t="s">
        <v>70</v>
      </c>
      <c r="D37" s="36" t="s">
        <v>71</v>
      </c>
      <c r="E37" s="33">
        <v>12</v>
      </c>
      <c r="F37" s="23" t="s">
        <v>17</v>
      </c>
      <c r="G37" s="24"/>
      <c r="H37" s="24">
        <f>G37*E37</f>
        <v>0</v>
      </c>
    </row>
    <row r="38" spans="1:8" x14ac:dyDescent="0.45">
      <c r="A38" s="25"/>
      <c r="B38" s="26"/>
      <c r="C38" s="26">
        <v>3.5</v>
      </c>
      <c r="D38" s="27" t="s">
        <v>72</v>
      </c>
      <c r="E38" s="28"/>
      <c r="F38" s="28"/>
      <c r="G38" s="28"/>
      <c r="H38" s="28"/>
    </row>
    <row r="39" spans="1:8" x14ac:dyDescent="0.45">
      <c r="A39" s="22" t="s">
        <v>3500</v>
      </c>
      <c r="B39" s="23">
        <v>1502000</v>
      </c>
      <c r="C39" s="23" t="s">
        <v>74</v>
      </c>
      <c r="D39" s="32" t="s">
        <v>37</v>
      </c>
      <c r="E39" s="33">
        <v>12</v>
      </c>
      <c r="F39" s="23" t="s">
        <v>17</v>
      </c>
      <c r="G39" s="24"/>
      <c r="H39" s="24">
        <f>G39*E39</f>
        <v>0</v>
      </c>
    </row>
    <row r="40" spans="1:8" x14ac:dyDescent="0.45">
      <c r="A40" s="25"/>
      <c r="B40" s="37"/>
      <c r="C40" s="37">
        <v>3.6</v>
      </c>
      <c r="D40" s="38" t="s">
        <v>75</v>
      </c>
      <c r="E40" s="28"/>
      <c r="F40" s="28"/>
      <c r="G40" s="28"/>
      <c r="H40" s="28"/>
    </row>
    <row r="41" spans="1:8" x14ac:dyDescent="0.45">
      <c r="A41" s="22" t="s">
        <v>3501</v>
      </c>
      <c r="B41" s="23">
        <v>1502000</v>
      </c>
      <c r="C41" s="33" t="s">
        <v>77</v>
      </c>
      <c r="D41" s="39" t="s">
        <v>78</v>
      </c>
      <c r="E41" s="33">
        <v>12</v>
      </c>
      <c r="F41" s="23" t="s">
        <v>17</v>
      </c>
      <c r="G41" s="24"/>
      <c r="H41" s="24">
        <f t="shared" ref="H41:H52" si="1">G41*E41</f>
        <v>0</v>
      </c>
    </row>
    <row r="42" spans="1:8" x14ac:dyDescent="0.45">
      <c r="A42" s="22" t="s">
        <v>3502</v>
      </c>
      <c r="B42" s="23">
        <v>1502000</v>
      </c>
      <c r="C42" s="33" t="s">
        <v>80</v>
      </c>
      <c r="D42" s="39" t="s">
        <v>81</v>
      </c>
      <c r="E42" s="33">
        <v>12</v>
      </c>
      <c r="F42" s="23" t="s">
        <v>17</v>
      </c>
      <c r="G42" s="24"/>
      <c r="H42" s="24">
        <f t="shared" si="1"/>
        <v>0</v>
      </c>
    </row>
    <row r="43" spans="1:8" x14ac:dyDescent="0.45">
      <c r="A43" s="22" t="s">
        <v>3503</v>
      </c>
      <c r="B43" s="23">
        <v>1502000</v>
      </c>
      <c r="C43" s="33" t="s">
        <v>83</v>
      </c>
      <c r="D43" s="39" t="s">
        <v>84</v>
      </c>
      <c r="E43" s="33">
        <v>12</v>
      </c>
      <c r="F43" s="23" t="s">
        <v>17</v>
      </c>
      <c r="G43" s="24"/>
      <c r="H43" s="24">
        <f t="shared" si="1"/>
        <v>0</v>
      </c>
    </row>
    <row r="44" spans="1:8" x14ac:dyDescent="0.45">
      <c r="A44" s="22" t="s">
        <v>3504</v>
      </c>
      <c r="B44" s="23">
        <v>1502000</v>
      </c>
      <c r="C44" s="33" t="s">
        <v>86</v>
      </c>
      <c r="D44" s="39" t="s">
        <v>87</v>
      </c>
      <c r="E44" s="33">
        <v>12</v>
      </c>
      <c r="F44" s="23" t="s">
        <v>17</v>
      </c>
      <c r="G44" s="24"/>
      <c r="H44" s="24">
        <f t="shared" si="1"/>
        <v>0</v>
      </c>
    </row>
    <row r="45" spans="1:8" x14ac:dyDescent="0.45">
      <c r="A45" s="22" t="s">
        <v>3505</v>
      </c>
      <c r="B45" s="23">
        <v>1502000</v>
      </c>
      <c r="C45" s="33" t="s">
        <v>89</v>
      </c>
      <c r="D45" s="39" t="s">
        <v>90</v>
      </c>
      <c r="E45" s="33">
        <v>12</v>
      </c>
      <c r="F45" s="23" t="s">
        <v>17</v>
      </c>
      <c r="G45" s="24"/>
      <c r="H45" s="24">
        <f t="shared" si="1"/>
        <v>0</v>
      </c>
    </row>
    <row r="46" spans="1:8" x14ac:dyDescent="0.45">
      <c r="A46" s="22" t="s">
        <v>3506</v>
      </c>
      <c r="B46" s="23">
        <v>1502000</v>
      </c>
      <c r="C46" s="33" t="s">
        <v>92</v>
      </c>
      <c r="D46" s="39" t="s">
        <v>93</v>
      </c>
      <c r="E46" s="33">
        <v>12</v>
      </c>
      <c r="F46" s="23" t="s">
        <v>17</v>
      </c>
      <c r="G46" s="24"/>
      <c r="H46" s="24">
        <f t="shared" si="1"/>
        <v>0</v>
      </c>
    </row>
    <row r="47" spans="1:8" x14ac:dyDescent="0.45">
      <c r="A47" s="22" t="s">
        <v>3507</v>
      </c>
      <c r="B47" s="23">
        <v>1502000</v>
      </c>
      <c r="C47" s="33" t="s">
        <v>95</v>
      </c>
      <c r="D47" s="39" t="s">
        <v>96</v>
      </c>
      <c r="E47" s="33">
        <v>12</v>
      </c>
      <c r="F47" s="23" t="s">
        <v>17</v>
      </c>
      <c r="G47" s="24"/>
      <c r="H47" s="24">
        <f t="shared" si="1"/>
        <v>0</v>
      </c>
    </row>
    <row r="48" spans="1:8" x14ac:dyDescent="0.45">
      <c r="A48" s="22" t="s">
        <v>3508</v>
      </c>
      <c r="B48" s="23">
        <v>1502000</v>
      </c>
      <c r="C48" s="33" t="s">
        <v>98</v>
      </c>
      <c r="D48" s="39" t="s">
        <v>99</v>
      </c>
      <c r="E48" s="33">
        <v>12</v>
      </c>
      <c r="F48" s="23" t="s">
        <v>17</v>
      </c>
      <c r="G48" s="24"/>
      <c r="H48" s="24">
        <f t="shared" si="1"/>
        <v>0</v>
      </c>
    </row>
    <row r="49" spans="1:8" s="293" customFormat="1" x14ac:dyDescent="0.45">
      <c r="A49" s="257" t="s">
        <v>3509</v>
      </c>
      <c r="B49" s="286">
        <v>1502000</v>
      </c>
      <c r="C49" s="301" t="s">
        <v>273</v>
      </c>
      <c r="D49" s="372" t="s">
        <v>309</v>
      </c>
      <c r="E49" s="301">
        <v>12</v>
      </c>
      <c r="F49" s="286" t="s">
        <v>17</v>
      </c>
      <c r="G49" s="302"/>
      <c r="H49" s="302">
        <f t="shared" si="1"/>
        <v>0</v>
      </c>
    </row>
    <row r="50" spans="1:8" x14ac:dyDescent="0.45">
      <c r="A50" s="257" t="s">
        <v>3510</v>
      </c>
      <c r="B50" s="23">
        <v>1502000</v>
      </c>
      <c r="C50" s="33" t="s">
        <v>101</v>
      </c>
      <c r="D50" s="39" t="s">
        <v>102</v>
      </c>
      <c r="E50" s="33">
        <v>12</v>
      </c>
      <c r="F50" s="23" t="s">
        <v>17</v>
      </c>
      <c r="G50" s="24"/>
      <c r="H50" s="24">
        <f t="shared" si="1"/>
        <v>0</v>
      </c>
    </row>
    <row r="51" spans="1:8" x14ac:dyDescent="0.45">
      <c r="A51" s="257" t="s">
        <v>3511</v>
      </c>
      <c r="B51" s="23">
        <v>1502000</v>
      </c>
      <c r="C51" s="23" t="s">
        <v>104</v>
      </c>
      <c r="D51" s="35" t="s">
        <v>105</v>
      </c>
      <c r="E51" s="33">
        <v>12</v>
      </c>
      <c r="F51" s="23" t="s">
        <v>17</v>
      </c>
      <c r="G51" s="24"/>
      <c r="H51" s="24">
        <f t="shared" si="1"/>
        <v>0</v>
      </c>
    </row>
    <row r="52" spans="1:8" x14ac:dyDescent="0.45">
      <c r="A52" s="257" t="s">
        <v>3512</v>
      </c>
      <c r="B52" s="23">
        <v>1502000</v>
      </c>
      <c r="C52" s="23" t="s">
        <v>107</v>
      </c>
      <c r="D52" s="22" t="s">
        <v>108</v>
      </c>
      <c r="E52" s="33">
        <v>12</v>
      </c>
      <c r="F52" s="23" t="s">
        <v>17</v>
      </c>
      <c r="G52" s="24"/>
      <c r="H52" s="24">
        <f t="shared" si="1"/>
        <v>0</v>
      </c>
    </row>
    <row r="53" spans="1:8" x14ac:dyDescent="0.45">
      <c r="A53" s="287"/>
      <c r="B53" s="41">
        <v>1503010</v>
      </c>
      <c r="C53" s="41"/>
      <c r="D53" s="42" t="s">
        <v>109</v>
      </c>
      <c r="E53" s="43"/>
      <c r="F53" s="44"/>
      <c r="G53" s="44"/>
      <c r="H53" s="45"/>
    </row>
    <row r="54" spans="1:8" x14ac:dyDescent="0.45">
      <c r="A54" s="257" t="s">
        <v>3513</v>
      </c>
      <c r="B54" s="33">
        <v>1503010</v>
      </c>
      <c r="C54" s="33">
        <v>3.1</v>
      </c>
      <c r="D54" s="36" t="s">
        <v>111</v>
      </c>
      <c r="E54" s="33">
        <v>12</v>
      </c>
      <c r="F54" s="23" t="s">
        <v>17</v>
      </c>
      <c r="G54" s="24"/>
      <c r="H54" s="24">
        <f>G54*E54</f>
        <v>0</v>
      </c>
    </row>
    <row r="55" spans="1:8" x14ac:dyDescent="0.45">
      <c r="A55" s="257" t="s">
        <v>3514</v>
      </c>
      <c r="B55" s="33">
        <v>1503010</v>
      </c>
      <c r="C55" s="33">
        <v>3.1</v>
      </c>
      <c r="D55" s="36" t="s">
        <v>113</v>
      </c>
      <c r="E55" s="33">
        <v>12</v>
      </c>
      <c r="F55" s="23" t="s">
        <v>17</v>
      </c>
      <c r="G55" s="24"/>
      <c r="H55" s="24">
        <f>G55*E55</f>
        <v>0</v>
      </c>
    </row>
    <row r="56" spans="1:8" x14ac:dyDescent="0.45">
      <c r="A56" s="287"/>
      <c r="B56" s="41">
        <v>1503020</v>
      </c>
      <c r="C56" s="41"/>
      <c r="D56" s="42" t="s">
        <v>114</v>
      </c>
      <c r="E56" s="43"/>
      <c r="F56" s="44"/>
      <c r="G56" s="44"/>
      <c r="H56" s="45"/>
    </row>
    <row r="57" spans="1:8" x14ac:dyDescent="0.45">
      <c r="A57" s="257" t="s">
        <v>3515</v>
      </c>
      <c r="B57" s="33">
        <v>1503020</v>
      </c>
      <c r="C57" s="33">
        <v>3.1</v>
      </c>
      <c r="D57" s="36" t="s">
        <v>116</v>
      </c>
      <c r="E57" s="33">
        <v>12</v>
      </c>
      <c r="F57" s="23" t="s">
        <v>17</v>
      </c>
      <c r="G57" s="24"/>
      <c r="H57" s="24">
        <f>G57*E57</f>
        <v>0</v>
      </c>
    </row>
    <row r="58" spans="1:8" x14ac:dyDescent="0.45">
      <c r="A58" s="257" t="s">
        <v>3516</v>
      </c>
      <c r="B58" s="33">
        <v>1503020</v>
      </c>
      <c r="C58" s="33">
        <v>3.2</v>
      </c>
      <c r="D58" s="36" t="s">
        <v>118</v>
      </c>
      <c r="E58" s="33">
        <v>12</v>
      </c>
      <c r="F58" s="23" t="s">
        <v>17</v>
      </c>
      <c r="G58" s="24"/>
      <c r="H58" s="24">
        <f>G58*E58</f>
        <v>0</v>
      </c>
    </row>
    <row r="59" spans="1:8" x14ac:dyDescent="0.45">
      <c r="A59" s="257" t="s">
        <v>3517</v>
      </c>
      <c r="B59" s="33">
        <v>1503020</v>
      </c>
      <c r="C59" s="33">
        <v>3.3</v>
      </c>
      <c r="D59" s="36" t="s">
        <v>120</v>
      </c>
      <c r="E59" s="33">
        <v>12</v>
      </c>
      <c r="F59" s="23" t="s">
        <v>17</v>
      </c>
      <c r="G59" s="24"/>
      <c r="H59" s="24">
        <f>G59*E59</f>
        <v>0</v>
      </c>
    </row>
    <row r="60" spans="1:8" x14ac:dyDescent="0.45">
      <c r="A60" s="287"/>
      <c r="B60" s="43">
        <v>1503030</v>
      </c>
      <c r="C60" s="41"/>
      <c r="D60" s="42" t="s">
        <v>121</v>
      </c>
      <c r="E60" s="43"/>
      <c r="F60" s="44"/>
      <c r="G60" s="44"/>
      <c r="H60" s="45"/>
    </row>
    <row r="61" spans="1:8" x14ac:dyDescent="0.45">
      <c r="A61" s="257" t="s">
        <v>3518</v>
      </c>
      <c r="B61" s="33">
        <v>1503030</v>
      </c>
      <c r="C61" s="33" t="s">
        <v>123</v>
      </c>
      <c r="D61" s="36" t="s">
        <v>124</v>
      </c>
      <c r="E61" s="33">
        <v>12</v>
      </c>
      <c r="F61" s="23" t="s">
        <v>17</v>
      </c>
      <c r="G61" s="24"/>
      <c r="H61" s="24">
        <f>G61*E61</f>
        <v>0</v>
      </c>
    </row>
    <row r="62" spans="1:8" x14ac:dyDescent="0.45">
      <c r="A62" s="257" t="s">
        <v>3519</v>
      </c>
      <c r="B62" s="33">
        <v>1503030</v>
      </c>
      <c r="C62" s="33">
        <v>3.6</v>
      </c>
      <c r="D62" s="36" t="s">
        <v>126</v>
      </c>
      <c r="E62" s="33">
        <v>12</v>
      </c>
      <c r="F62" s="23" t="s">
        <v>17</v>
      </c>
      <c r="G62" s="24"/>
      <c r="H62" s="24">
        <f>G62*E62</f>
        <v>0</v>
      </c>
    </row>
    <row r="63" spans="1:8" x14ac:dyDescent="0.45">
      <c r="A63" s="287"/>
      <c r="B63" s="41">
        <v>1503050</v>
      </c>
      <c r="C63" s="41"/>
      <c r="D63" s="42" t="s">
        <v>127</v>
      </c>
      <c r="E63" s="43"/>
      <c r="F63" s="44"/>
      <c r="G63" s="44"/>
      <c r="H63" s="45"/>
    </row>
    <row r="64" spans="1:8" x14ac:dyDescent="0.45">
      <c r="A64" s="257" t="s">
        <v>3520</v>
      </c>
      <c r="B64" s="33">
        <v>1503050</v>
      </c>
      <c r="C64" s="33">
        <v>3.1</v>
      </c>
      <c r="D64" s="46" t="s">
        <v>129</v>
      </c>
      <c r="E64" s="33">
        <v>12</v>
      </c>
      <c r="F64" s="23" t="s">
        <v>17</v>
      </c>
      <c r="G64" s="24"/>
      <c r="H64" s="24">
        <f>G64*E64</f>
        <v>0</v>
      </c>
    </row>
    <row r="65" spans="1:8" x14ac:dyDescent="0.45">
      <c r="A65" s="257" t="s">
        <v>3521</v>
      </c>
      <c r="B65" s="33">
        <v>1503050</v>
      </c>
      <c r="C65" s="33">
        <v>3.2</v>
      </c>
      <c r="D65" s="36" t="s">
        <v>131</v>
      </c>
      <c r="E65" s="33">
        <v>12</v>
      </c>
      <c r="F65" s="23" t="s">
        <v>17</v>
      </c>
      <c r="G65" s="24"/>
      <c r="H65" s="24">
        <f>G65*E65</f>
        <v>0</v>
      </c>
    </row>
    <row r="66" spans="1:8" x14ac:dyDescent="0.45">
      <c r="A66" s="257" t="s">
        <v>3522</v>
      </c>
      <c r="B66" s="33">
        <v>1503050</v>
      </c>
      <c r="C66" s="33">
        <v>3.3</v>
      </c>
      <c r="D66" s="36" t="s">
        <v>133</v>
      </c>
      <c r="E66" s="33">
        <v>12</v>
      </c>
      <c r="F66" s="23" t="s">
        <v>17</v>
      </c>
      <c r="G66" s="24"/>
      <c r="H66" s="24">
        <f>G66*E66</f>
        <v>0</v>
      </c>
    </row>
    <row r="67" spans="1:8" x14ac:dyDescent="0.45">
      <c r="A67" s="257" t="s">
        <v>3523</v>
      </c>
      <c r="B67" s="33">
        <v>1503050</v>
      </c>
      <c r="C67" s="33">
        <v>3.4</v>
      </c>
      <c r="D67" s="36" t="s">
        <v>135</v>
      </c>
      <c r="E67" s="33">
        <v>12</v>
      </c>
      <c r="F67" s="23" t="s">
        <v>17</v>
      </c>
      <c r="G67" s="24"/>
      <c r="H67" s="24">
        <f>G67*E67</f>
        <v>0</v>
      </c>
    </row>
    <row r="68" spans="1:8" s="389" customFormat="1" x14ac:dyDescent="0.45">
      <c r="A68" s="257" t="s">
        <v>3524</v>
      </c>
      <c r="B68" s="301">
        <v>1503050</v>
      </c>
      <c r="C68" s="301">
        <v>3.4</v>
      </c>
      <c r="D68" s="295" t="s">
        <v>5024</v>
      </c>
      <c r="E68" s="301">
        <v>12</v>
      </c>
      <c r="F68" s="286" t="s">
        <v>17</v>
      </c>
      <c r="G68" s="302"/>
      <c r="H68" s="302">
        <f>G68*E68</f>
        <v>0</v>
      </c>
    </row>
    <row r="69" spans="1:8" s="389" customFormat="1" x14ac:dyDescent="0.45">
      <c r="A69" s="257" t="s">
        <v>5247</v>
      </c>
      <c r="B69" s="33">
        <v>1503050</v>
      </c>
      <c r="C69" s="33">
        <v>3.5</v>
      </c>
      <c r="D69" s="47" t="s">
        <v>137</v>
      </c>
      <c r="E69" s="33">
        <v>12</v>
      </c>
      <c r="F69" s="23" t="s">
        <v>17</v>
      </c>
      <c r="G69" s="24"/>
      <c r="H69" s="24">
        <f>G69*E69</f>
        <v>0</v>
      </c>
    </row>
    <row r="70" spans="1:8" x14ac:dyDescent="0.45">
      <c r="A70" s="287"/>
      <c r="B70" s="41">
        <v>1503060</v>
      </c>
      <c r="C70" s="41"/>
      <c r="D70" s="42" t="s">
        <v>138</v>
      </c>
      <c r="E70" s="43"/>
      <c r="F70" s="44"/>
      <c r="G70" s="44"/>
      <c r="H70" s="45"/>
    </row>
    <row r="71" spans="1:8" x14ac:dyDescent="0.45">
      <c r="A71" s="257" t="s">
        <v>3525</v>
      </c>
      <c r="B71" s="33">
        <v>1503060</v>
      </c>
      <c r="C71" s="33">
        <v>3.1</v>
      </c>
      <c r="D71" s="36" t="s">
        <v>140</v>
      </c>
      <c r="E71" s="23">
        <v>12</v>
      </c>
      <c r="F71" s="23" t="s">
        <v>17</v>
      </c>
      <c r="G71" s="24"/>
      <c r="H71" s="24">
        <f>G71*E71</f>
        <v>0</v>
      </c>
    </row>
    <row r="72" spans="1:8" x14ac:dyDescent="0.45">
      <c r="A72" s="257" t="s">
        <v>3526</v>
      </c>
      <c r="B72" s="33">
        <v>1503060</v>
      </c>
      <c r="C72" s="33">
        <v>3.2</v>
      </c>
      <c r="D72" s="36" t="s">
        <v>142</v>
      </c>
      <c r="E72" s="23">
        <v>12</v>
      </c>
      <c r="F72" s="23" t="s">
        <v>17</v>
      </c>
      <c r="G72" s="24"/>
      <c r="H72" s="24">
        <f>G72*E72</f>
        <v>0</v>
      </c>
    </row>
    <row r="73" spans="1:8" x14ac:dyDescent="0.45">
      <c r="A73" s="287"/>
      <c r="B73" s="41">
        <v>1601000</v>
      </c>
      <c r="C73" s="41"/>
      <c r="D73" s="42" t="s">
        <v>143</v>
      </c>
      <c r="E73" s="43"/>
      <c r="F73" s="44"/>
      <c r="G73" s="44"/>
      <c r="H73" s="45"/>
    </row>
    <row r="74" spans="1:8" x14ac:dyDescent="0.45">
      <c r="A74" s="363"/>
      <c r="B74" s="26"/>
      <c r="C74" s="26">
        <v>3.1</v>
      </c>
      <c r="D74" s="27" t="s">
        <v>144</v>
      </c>
      <c r="E74" s="28"/>
      <c r="F74" s="28"/>
      <c r="G74" s="28"/>
      <c r="H74" s="28"/>
    </row>
    <row r="75" spans="1:8" x14ac:dyDescent="0.45">
      <c r="A75" s="257" t="s">
        <v>3527</v>
      </c>
      <c r="B75" s="23">
        <v>1601000</v>
      </c>
      <c r="C75" s="23" t="s">
        <v>21</v>
      </c>
      <c r="D75" s="48" t="s">
        <v>146</v>
      </c>
      <c r="E75" s="23">
        <v>12</v>
      </c>
      <c r="F75" s="23" t="s">
        <v>17</v>
      </c>
      <c r="G75" s="24"/>
      <c r="H75" s="24">
        <f>G75*E75</f>
        <v>0</v>
      </c>
    </row>
    <row r="76" spans="1:8" x14ac:dyDescent="0.45">
      <c r="A76" s="257" t="s">
        <v>3528</v>
      </c>
      <c r="B76" s="23">
        <v>1601000</v>
      </c>
      <c r="C76" s="23" t="s">
        <v>24</v>
      </c>
      <c r="D76" s="48" t="s">
        <v>148</v>
      </c>
      <c r="E76" s="23">
        <v>12</v>
      </c>
      <c r="F76" s="23" t="s">
        <v>17</v>
      </c>
      <c r="G76" s="24"/>
      <c r="H76" s="24">
        <f>G76*E76</f>
        <v>0</v>
      </c>
    </row>
    <row r="77" spans="1:8" x14ac:dyDescent="0.45">
      <c r="A77" s="257" t="s">
        <v>3529</v>
      </c>
      <c r="B77" s="23">
        <v>1601000</v>
      </c>
      <c r="C77" s="23">
        <v>3.2</v>
      </c>
      <c r="D77" s="48" t="s">
        <v>150</v>
      </c>
      <c r="E77" s="23">
        <v>12</v>
      </c>
      <c r="F77" s="23" t="s">
        <v>17</v>
      </c>
      <c r="G77" s="24"/>
      <c r="H77" s="24">
        <f>G77*E77</f>
        <v>0</v>
      </c>
    </row>
    <row r="78" spans="1:8" x14ac:dyDescent="0.45">
      <c r="A78" s="257" t="s">
        <v>3530</v>
      </c>
      <c r="B78" s="23">
        <v>1601000</v>
      </c>
      <c r="C78" s="23">
        <v>3.3</v>
      </c>
      <c r="D78" s="48" t="s">
        <v>152</v>
      </c>
      <c r="E78" s="23">
        <v>12</v>
      </c>
      <c r="F78" s="23" t="s">
        <v>17</v>
      </c>
      <c r="G78" s="24"/>
      <c r="H78" s="24">
        <f>G78*E78</f>
        <v>0</v>
      </c>
    </row>
    <row r="79" spans="1:8" x14ac:dyDescent="0.45">
      <c r="A79" s="287"/>
      <c r="B79" s="41">
        <v>1602000</v>
      </c>
      <c r="C79" s="41"/>
      <c r="D79" s="42" t="s">
        <v>153</v>
      </c>
      <c r="E79" s="43"/>
      <c r="F79" s="44" t="s">
        <v>154</v>
      </c>
      <c r="G79" s="44"/>
      <c r="H79" s="45"/>
    </row>
    <row r="80" spans="1:8" x14ac:dyDescent="0.45">
      <c r="A80" s="363"/>
      <c r="B80" s="26"/>
      <c r="C80" s="26">
        <v>3.1</v>
      </c>
      <c r="D80" s="27" t="s">
        <v>31</v>
      </c>
      <c r="E80" s="28"/>
      <c r="F80" s="28"/>
      <c r="G80" s="28"/>
      <c r="H80" s="28"/>
    </row>
    <row r="81" spans="1:8" x14ac:dyDescent="0.45">
      <c r="A81" s="257" t="s">
        <v>3531</v>
      </c>
      <c r="B81" s="23">
        <v>1602000</v>
      </c>
      <c r="C81" s="23" t="s">
        <v>21</v>
      </c>
      <c r="D81" s="48" t="s">
        <v>156</v>
      </c>
      <c r="E81" s="23">
        <v>12</v>
      </c>
      <c r="F81" s="23" t="s">
        <v>17</v>
      </c>
      <c r="G81" s="24"/>
      <c r="H81" s="24">
        <f>G81*E81</f>
        <v>0</v>
      </c>
    </row>
    <row r="82" spans="1:8" x14ac:dyDescent="0.45">
      <c r="A82" s="363"/>
      <c r="B82" s="49"/>
      <c r="C82" s="26">
        <v>3.2</v>
      </c>
      <c r="D82" s="28" t="s">
        <v>75</v>
      </c>
      <c r="E82" s="28"/>
      <c r="F82" s="28"/>
      <c r="G82" s="28"/>
      <c r="H82" s="28"/>
    </row>
    <row r="83" spans="1:8" x14ac:dyDescent="0.45">
      <c r="A83" s="257" t="s">
        <v>3532</v>
      </c>
      <c r="B83" s="23">
        <v>1602000</v>
      </c>
      <c r="C83" s="23" t="s">
        <v>158</v>
      </c>
      <c r="D83" s="48" t="s">
        <v>159</v>
      </c>
      <c r="E83" s="23">
        <v>12</v>
      </c>
      <c r="F83" s="23" t="s">
        <v>17</v>
      </c>
      <c r="G83" s="24"/>
      <c r="H83" s="24">
        <f>G83*E83</f>
        <v>0</v>
      </c>
    </row>
    <row r="84" spans="1:8" x14ac:dyDescent="0.45">
      <c r="A84" s="287"/>
      <c r="B84" s="41">
        <v>1603000</v>
      </c>
      <c r="C84" s="41"/>
      <c r="D84" s="42" t="s">
        <v>160</v>
      </c>
      <c r="E84" s="50"/>
      <c r="F84" s="50"/>
      <c r="G84" s="44"/>
      <c r="H84" s="51"/>
    </row>
    <row r="85" spans="1:8" x14ac:dyDescent="0.45">
      <c r="A85" s="257" t="s">
        <v>3533</v>
      </c>
      <c r="B85" s="23">
        <v>1603000</v>
      </c>
      <c r="C85" s="23">
        <v>3.1</v>
      </c>
      <c r="D85" s="48" t="s">
        <v>62</v>
      </c>
      <c r="E85" s="23">
        <v>12</v>
      </c>
      <c r="F85" s="23" t="s">
        <v>17</v>
      </c>
      <c r="G85" s="24"/>
      <c r="H85" s="24">
        <f>G85*E85</f>
        <v>0</v>
      </c>
    </row>
    <row r="86" spans="1:8" x14ac:dyDescent="0.45">
      <c r="A86" s="287"/>
      <c r="B86" s="41">
        <v>1604000</v>
      </c>
      <c r="C86" s="41"/>
      <c r="D86" s="42" t="s">
        <v>162</v>
      </c>
      <c r="E86" s="50"/>
      <c r="F86" s="50"/>
      <c r="G86" s="44"/>
      <c r="H86" s="51"/>
    </row>
    <row r="87" spans="1:8" x14ac:dyDescent="0.45">
      <c r="A87" s="257" t="s">
        <v>3534</v>
      </c>
      <c r="B87" s="23">
        <v>1604000</v>
      </c>
      <c r="C87" s="23">
        <v>3.1</v>
      </c>
      <c r="D87" s="30" t="s">
        <v>31</v>
      </c>
      <c r="E87" s="52">
        <v>12</v>
      </c>
      <c r="F87" s="52" t="s">
        <v>17</v>
      </c>
      <c r="G87" s="24"/>
      <c r="H87" s="24">
        <f>G87*E87</f>
        <v>0</v>
      </c>
    </row>
    <row r="88" spans="1:8" x14ac:dyDescent="0.45">
      <c r="A88" s="257" t="s">
        <v>3535</v>
      </c>
      <c r="B88" s="23">
        <v>1604000</v>
      </c>
      <c r="C88" s="23">
        <v>3.2</v>
      </c>
      <c r="D88" s="30" t="s">
        <v>165</v>
      </c>
      <c r="E88" s="52">
        <v>12</v>
      </c>
      <c r="F88" s="52" t="s">
        <v>17</v>
      </c>
      <c r="G88" s="24"/>
      <c r="H88" s="24">
        <f>G88*E88</f>
        <v>0</v>
      </c>
    </row>
    <row r="89" spans="1:8" x14ac:dyDescent="0.45">
      <c r="A89" s="287"/>
      <c r="B89" s="41">
        <v>1606001</v>
      </c>
      <c r="C89" s="41"/>
      <c r="D89" s="54" t="s">
        <v>166</v>
      </c>
      <c r="E89" s="55"/>
      <c r="F89" s="55"/>
      <c r="G89" s="44"/>
      <c r="H89" s="55"/>
    </row>
    <row r="90" spans="1:8" x14ac:dyDescent="0.45">
      <c r="A90" s="257" t="s">
        <v>3536</v>
      </c>
      <c r="B90" s="23">
        <v>1606001</v>
      </c>
      <c r="C90" s="23">
        <v>3.1</v>
      </c>
      <c r="D90" s="56" t="s">
        <v>31</v>
      </c>
      <c r="E90" s="23">
        <v>12</v>
      </c>
      <c r="F90" s="23" t="s">
        <v>17</v>
      </c>
      <c r="G90" s="24"/>
      <c r="H90" s="24">
        <f>G90*E90</f>
        <v>0</v>
      </c>
    </row>
    <row r="91" spans="1:8" x14ac:dyDescent="0.45">
      <c r="A91" s="257" t="s">
        <v>3537</v>
      </c>
      <c r="B91" s="23">
        <v>1606001</v>
      </c>
      <c r="C91" s="23">
        <v>3.2</v>
      </c>
      <c r="D91" s="56" t="s">
        <v>169</v>
      </c>
      <c r="E91" s="23">
        <v>12</v>
      </c>
      <c r="F91" s="23" t="s">
        <v>17</v>
      </c>
      <c r="G91" s="24"/>
      <c r="H91" s="24">
        <f>G91*E91</f>
        <v>0</v>
      </c>
    </row>
    <row r="92" spans="1:8" x14ac:dyDescent="0.45">
      <c r="A92" s="257" t="s">
        <v>3538</v>
      </c>
      <c r="B92" s="23">
        <v>1606001</v>
      </c>
      <c r="C92" s="23">
        <v>3.3</v>
      </c>
      <c r="D92" s="56" t="s">
        <v>170</v>
      </c>
      <c r="E92" s="23">
        <v>12</v>
      </c>
      <c r="F92" s="23" t="s">
        <v>17</v>
      </c>
      <c r="G92" s="24"/>
      <c r="H92" s="24">
        <f>G92*E92</f>
        <v>0</v>
      </c>
    </row>
    <row r="93" spans="1:8" x14ac:dyDescent="0.45">
      <c r="A93" s="287"/>
      <c r="B93" s="41">
        <v>1700000</v>
      </c>
      <c r="C93" s="41"/>
      <c r="D93" s="42" t="s">
        <v>171</v>
      </c>
      <c r="E93" s="50"/>
      <c r="F93" s="50"/>
      <c r="G93" s="44"/>
      <c r="H93" s="51"/>
    </row>
    <row r="94" spans="1:8" x14ac:dyDescent="0.45">
      <c r="A94" s="257" t="s">
        <v>3539</v>
      </c>
      <c r="B94" s="23">
        <v>1700000</v>
      </c>
      <c r="C94" s="23">
        <v>3.1</v>
      </c>
      <c r="D94" s="30" t="s">
        <v>173</v>
      </c>
      <c r="E94" s="23">
        <v>12</v>
      </c>
      <c r="F94" s="23" t="s">
        <v>17</v>
      </c>
      <c r="G94" s="24"/>
      <c r="H94" s="24">
        <f>G94*E94</f>
        <v>0</v>
      </c>
    </row>
    <row r="95" spans="1:8" x14ac:dyDescent="0.45">
      <c r="A95" s="287"/>
      <c r="B95" s="41">
        <v>1800000</v>
      </c>
      <c r="C95" s="41"/>
      <c r="D95" s="42" t="s">
        <v>174</v>
      </c>
      <c r="E95" s="43"/>
      <c r="F95" s="44"/>
      <c r="G95" s="44"/>
      <c r="H95" s="45"/>
    </row>
    <row r="96" spans="1:8" ht="25.2" x14ac:dyDescent="0.45">
      <c r="A96" s="257" t="s">
        <v>5333</v>
      </c>
      <c r="B96" s="23">
        <v>1800000</v>
      </c>
      <c r="C96" s="23">
        <v>3.1</v>
      </c>
      <c r="D96" s="57" t="s">
        <v>176</v>
      </c>
      <c r="E96" s="23">
        <v>12</v>
      </c>
      <c r="F96" s="23" t="s">
        <v>17</v>
      </c>
      <c r="G96" s="24"/>
      <c r="H96" s="24">
        <f>G96*E96</f>
        <v>0</v>
      </c>
    </row>
    <row r="97" spans="1:8" x14ac:dyDescent="0.45">
      <c r="A97" s="58"/>
      <c r="B97" s="59"/>
      <c r="C97" s="59"/>
      <c r="D97" s="60" t="s">
        <v>177</v>
      </c>
      <c r="E97" s="59"/>
      <c r="F97" s="59"/>
      <c r="G97" s="59"/>
      <c r="H97" s="62">
        <f>SUM(H15:H96)</f>
        <v>0</v>
      </c>
    </row>
    <row r="98" spans="1:8" hidden="1" x14ac:dyDescent="0.45">
      <c r="A98" s="63"/>
      <c r="B98" s="64"/>
      <c r="C98" s="64"/>
      <c r="D98" s="65"/>
      <c r="E98" s="64"/>
      <c r="F98" s="64"/>
      <c r="G98" s="64"/>
      <c r="H98" s="66"/>
    </row>
    <row r="99" spans="1:8" s="70" customFormat="1" ht="13.5" hidden="1" customHeight="1" x14ac:dyDescent="0.45">
      <c r="A99" s="67"/>
      <c r="B99" s="68"/>
      <c r="C99" s="68"/>
      <c r="D99" s="69"/>
      <c r="E99" s="69"/>
      <c r="F99" s="69"/>
      <c r="G99" s="69"/>
      <c r="H99" s="69"/>
    </row>
    <row r="100" spans="1:8" s="70" customFormat="1" ht="12.3" hidden="1" x14ac:dyDescent="0.45">
      <c r="A100" s="71"/>
      <c r="B100" s="72"/>
      <c r="C100" s="72"/>
      <c r="D100" s="73" t="s">
        <v>178</v>
      </c>
      <c r="E100" s="74"/>
      <c r="F100" s="74"/>
      <c r="G100" s="74"/>
      <c r="H100" s="75"/>
    </row>
    <row r="101" spans="1:8" s="70" customFormat="1" ht="12.3" hidden="1" x14ac:dyDescent="0.45">
      <c r="A101" s="76"/>
      <c r="B101" s="77"/>
      <c r="C101" s="77"/>
      <c r="D101" s="78" t="s">
        <v>179</v>
      </c>
      <c r="E101" s="79">
        <v>12</v>
      </c>
      <c r="F101" s="79" t="s">
        <v>17</v>
      </c>
      <c r="G101" s="79"/>
      <c r="H101" s="80">
        <f>G101*E101</f>
        <v>0</v>
      </c>
    </row>
    <row r="102" spans="1:8" s="70" customFormat="1" ht="12.3" hidden="1" x14ac:dyDescent="0.45">
      <c r="A102" s="71"/>
      <c r="B102" s="72"/>
      <c r="C102" s="72"/>
      <c r="D102" s="73" t="s">
        <v>180</v>
      </c>
      <c r="E102" s="72"/>
      <c r="F102" s="81"/>
      <c r="G102" s="81"/>
      <c r="H102" s="82"/>
    </row>
    <row r="103" spans="1:8" s="70" customFormat="1" ht="12.3" hidden="1" x14ac:dyDescent="0.45">
      <c r="A103" s="83"/>
      <c r="B103" s="84"/>
      <c r="C103" s="84"/>
      <c r="D103" s="85" t="s">
        <v>181</v>
      </c>
      <c r="E103" s="84"/>
      <c r="F103" s="84"/>
      <c r="G103" s="84"/>
      <c r="H103" s="86">
        <f>SUM(H100:H102)</f>
        <v>0</v>
      </c>
    </row>
    <row r="104" spans="1:8" x14ac:dyDescent="0.45">
      <c r="A104" s="87"/>
      <c r="B104" s="88"/>
      <c r="C104" s="88"/>
      <c r="D104" s="89"/>
      <c r="E104" s="64"/>
      <c r="F104" s="64"/>
      <c r="G104" s="64"/>
      <c r="H104" s="66"/>
    </row>
    <row r="105" spans="1:8" x14ac:dyDescent="0.45">
      <c r="A105" s="12" t="s">
        <v>3540</v>
      </c>
      <c r="B105" s="90"/>
      <c r="C105" s="13"/>
      <c r="D105" s="12" t="s">
        <v>183</v>
      </c>
      <c r="E105" s="91"/>
      <c r="F105" s="91"/>
      <c r="G105" s="91"/>
      <c r="H105" s="91"/>
    </row>
    <row r="106" spans="1:8" x14ac:dyDescent="0.4">
      <c r="A106" s="40"/>
      <c r="B106" s="222">
        <v>1502000</v>
      </c>
      <c r="C106" s="18"/>
      <c r="D106" s="223" t="s">
        <v>18</v>
      </c>
      <c r="E106" s="50"/>
      <c r="F106" s="50"/>
      <c r="G106" s="50"/>
      <c r="H106" s="51"/>
    </row>
    <row r="107" spans="1:8" x14ac:dyDescent="0.45">
      <c r="A107" s="25"/>
      <c r="B107" s="26"/>
      <c r="C107" s="26">
        <v>3.1</v>
      </c>
      <c r="D107" s="27" t="s">
        <v>19</v>
      </c>
      <c r="E107" s="28"/>
      <c r="F107" s="28"/>
      <c r="G107" s="28"/>
      <c r="H107" s="28"/>
    </row>
    <row r="108" spans="1:8" x14ac:dyDescent="0.45">
      <c r="A108" s="22" t="s">
        <v>3541</v>
      </c>
      <c r="B108" s="23">
        <v>1502000</v>
      </c>
      <c r="C108" s="23" t="s">
        <v>21</v>
      </c>
      <c r="D108" s="29" t="s">
        <v>22</v>
      </c>
      <c r="E108" s="23">
        <v>12</v>
      </c>
      <c r="F108" s="23" t="s">
        <v>17</v>
      </c>
      <c r="G108" s="24"/>
      <c r="H108" s="24">
        <f>G108*E108</f>
        <v>0</v>
      </c>
    </row>
    <row r="109" spans="1:8" x14ac:dyDescent="0.45">
      <c r="A109" s="22" t="s">
        <v>3542</v>
      </c>
      <c r="B109" s="23">
        <v>1502000</v>
      </c>
      <c r="C109" s="23" t="s">
        <v>24</v>
      </c>
      <c r="D109" s="29" t="s">
        <v>25</v>
      </c>
      <c r="E109" s="23">
        <v>12</v>
      </c>
      <c r="F109" s="23" t="s">
        <v>17</v>
      </c>
      <c r="G109" s="24"/>
      <c r="H109" s="24">
        <f>G109*E109</f>
        <v>0</v>
      </c>
    </row>
    <row r="110" spans="1:8" x14ac:dyDescent="0.45">
      <c r="A110" s="22" t="s">
        <v>3543</v>
      </c>
      <c r="B110" s="23">
        <v>1502000</v>
      </c>
      <c r="C110" s="23" t="s">
        <v>27</v>
      </c>
      <c r="D110" s="29" t="s">
        <v>28</v>
      </c>
      <c r="E110" s="23">
        <v>12</v>
      </c>
      <c r="F110" s="23" t="s">
        <v>17</v>
      </c>
      <c r="G110" s="24"/>
      <c r="H110" s="24">
        <f>G110*E110</f>
        <v>0</v>
      </c>
    </row>
    <row r="111" spans="1:8" x14ac:dyDescent="0.45">
      <c r="A111" s="25"/>
      <c r="B111" s="26"/>
      <c r="C111" s="26">
        <v>3.4</v>
      </c>
      <c r="D111" s="27" t="s">
        <v>62</v>
      </c>
      <c r="E111" s="28"/>
      <c r="F111" s="28"/>
      <c r="G111" s="28"/>
      <c r="H111" s="28"/>
    </row>
    <row r="112" spans="1:8" x14ac:dyDescent="0.45">
      <c r="A112" s="22" t="s">
        <v>3544</v>
      </c>
      <c r="B112" s="23">
        <v>1502000</v>
      </c>
      <c r="C112" s="23" t="s">
        <v>67</v>
      </c>
      <c r="D112" s="35" t="s">
        <v>68</v>
      </c>
      <c r="E112" s="23">
        <v>12</v>
      </c>
      <c r="F112" s="23" t="s">
        <v>17</v>
      </c>
      <c r="G112" s="24"/>
      <c r="H112" s="24">
        <f>G112*E112</f>
        <v>0</v>
      </c>
    </row>
    <row r="113" spans="1:8" x14ac:dyDescent="0.45">
      <c r="A113" s="25"/>
      <c r="B113" s="37"/>
      <c r="C113" s="37">
        <v>3.6</v>
      </c>
      <c r="D113" s="38" t="s">
        <v>75</v>
      </c>
      <c r="E113" s="28"/>
      <c r="F113" s="28"/>
      <c r="G113" s="28"/>
      <c r="H113" s="28"/>
    </row>
    <row r="114" spans="1:8" s="263" customFormat="1" x14ac:dyDescent="0.45">
      <c r="A114" s="258" t="s">
        <v>3545</v>
      </c>
      <c r="B114" s="261">
        <v>1502000</v>
      </c>
      <c r="C114" s="259" t="s">
        <v>77</v>
      </c>
      <c r="D114" s="275" t="s">
        <v>78</v>
      </c>
      <c r="E114" s="261">
        <v>12</v>
      </c>
      <c r="F114" s="261" t="s">
        <v>17</v>
      </c>
      <c r="G114" s="262"/>
      <c r="H114" s="262">
        <f>G114*E114</f>
        <v>0</v>
      </c>
    </row>
    <row r="115" spans="1:8" s="389" customFormat="1" x14ac:dyDescent="0.45">
      <c r="A115" s="22" t="s">
        <v>3061</v>
      </c>
      <c r="B115" s="23">
        <v>1502000</v>
      </c>
      <c r="C115" s="33" t="s">
        <v>95</v>
      </c>
      <c r="D115" s="39" t="s">
        <v>96</v>
      </c>
      <c r="E115" s="23">
        <v>12</v>
      </c>
      <c r="F115" s="23" t="s">
        <v>17</v>
      </c>
      <c r="G115" s="24"/>
      <c r="H115" s="24">
        <f>G115*E115</f>
        <v>0</v>
      </c>
    </row>
    <row r="116" spans="1:8" s="263" customFormat="1" x14ac:dyDescent="0.45">
      <c r="A116" s="258" t="s">
        <v>3546</v>
      </c>
      <c r="B116" s="261">
        <v>1502000</v>
      </c>
      <c r="C116" s="259" t="s">
        <v>101</v>
      </c>
      <c r="D116" s="275" t="s">
        <v>102</v>
      </c>
      <c r="E116" s="261">
        <v>12</v>
      </c>
      <c r="F116" s="261" t="s">
        <v>17</v>
      </c>
      <c r="G116" s="262"/>
      <c r="H116" s="262">
        <f>G116*E116</f>
        <v>0</v>
      </c>
    </row>
    <row r="117" spans="1:8" x14ac:dyDescent="0.45">
      <c r="A117" s="40"/>
      <c r="B117" s="41">
        <v>1503010</v>
      </c>
      <c r="C117" s="41"/>
      <c r="D117" s="42" t="s">
        <v>109</v>
      </c>
      <c r="E117" s="43"/>
      <c r="F117" s="44"/>
      <c r="G117" s="44"/>
      <c r="H117" s="45"/>
    </row>
    <row r="118" spans="1:8" x14ac:dyDescent="0.45">
      <c r="A118" s="22" t="s">
        <v>3547</v>
      </c>
      <c r="B118" s="33">
        <v>1503010</v>
      </c>
      <c r="C118" s="33">
        <v>3.1</v>
      </c>
      <c r="D118" s="36" t="s">
        <v>111</v>
      </c>
      <c r="E118" s="23">
        <v>12</v>
      </c>
      <c r="F118" s="23" t="s">
        <v>17</v>
      </c>
      <c r="G118" s="24"/>
      <c r="H118" s="24">
        <f>G118*E118</f>
        <v>0</v>
      </c>
    </row>
    <row r="119" spans="1:8" x14ac:dyDescent="0.45">
      <c r="A119" s="40"/>
      <c r="B119" s="92">
        <v>1503020</v>
      </c>
      <c r="C119" s="92"/>
      <c r="D119" s="93" t="s">
        <v>114</v>
      </c>
      <c r="E119" s="50"/>
      <c r="F119" s="50"/>
      <c r="G119" s="44"/>
      <c r="H119" s="51"/>
    </row>
    <row r="120" spans="1:8" x14ac:dyDescent="0.45">
      <c r="A120" s="22" t="s">
        <v>3548</v>
      </c>
      <c r="B120" s="33">
        <v>1503020</v>
      </c>
      <c r="C120" s="33">
        <v>3.1</v>
      </c>
      <c r="D120" s="36" t="s">
        <v>116</v>
      </c>
      <c r="E120" s="23">
        <v>12</v>
      </c>
      <c r="F120" s="23" t="s">
        <v>17</v>
      </c>
      <c r="G120" s="24"/>
      <c r="H120" s="24">
        <f>G120*E120</f>
        <v>0</v>
      </c>
    </row>
    <row r="121" spans="1:8" x14ac:dyDescent="0.45">
      <c r="A121" s="22" t="s">
        <v>3549</v>
      </c>
      <c r="B121" s="33">
        <v>1503020</v>
      </c>
      <c r="C121" s="33">
        <v>3.3</v>
      </c>
      <c r="D121" s="36" t="s">
        <v>120</v>
      </c>
      <c r="E121" s="23">
        <v>12</v>
      </c>
      <c r="F121" s="23" t="s">
        <v>17</v>
      </c>
      <c r="G121" s="24"/>
      <c r="H121" s="24">
        <f>G121*E121</f>
        <v>0</v>
      </c>
    </row>
    <row r="122" spans="1:8" x14ac:dyDescent="0.45">
      <c r="A122" s="58"/>
      <c r="B122" s="59"/>
      <c r="C122" s="59"/>
      <c r="D122" s="60" t="s">
        <v>190</v>
      </c>
      <c r="E122" s="59"/>
      <c r="F122" s="59"/>
      <c r="G122" s="59"/>
      <c r="H122" s="62">
        <f>SUM(H107:H121)</f>
        <v>0</v>
      </c>
    </row>
    <row r="123" spans="1:8" x14ac:dyDescent="0.45">
      <c r="A123" s="87"/>
      <c r="B123" s="88"/>
      <c r="C123" s="88"/>
      <c r="D123" s="89"/>
      <c r="E123" s="88"/>
      <c r="F123" s="88"/>
      <c r="G123" s="88"/>
      <c r="H123" s="94"/>
    </row>
    <row r="124" spans="1:8" x14ac:dyDescent="0.45">
      <c r="A124" s="12" t="s">
        <v>3550</v>
      </c>
      <c r="B124" s="13"/>
      <c r="C124" s="13"/>
      <c r="D124" s="12" t="s">
        <v>192</v>
      </c>
      <c r="E124" s="91"/>
      <c r="F124" s="91"/>
      <c r="G124" s="91"/>
      <c r="H124" s="91"/>
    </row>
    <row r="125" spans="1:8" x14ac:dyDescent="0.4">
      <c r="A125" s="40"/>
      <c r="B125" s="222">
        <v>1502000</v>
      </c>
      <c r="C125" s="18"/>
      <c r="D125" s="223" t="s">
        <v>18</v>
      </c>
      <c r="E125" s="43"/>
      <c r="F125" s="44"/>
      <c r="G125" s="43"/>
      <c r="H125" s="45"/>
    </row>
    <row r="126" spans="1:8" x14ac:dyDescent="0.45">
      <c r="A126" s="25"/>
      <c r="B126" s="26"/>
      <c r="C126" s="26">
        <v>3.4</v>
      </c>
      <c r="D126" s="27" t="s">
        <v>62</v>
      </c>
      <c r="E126" s="28"/>
      <c r="F126" s="28"/>
      <c r="G126" s="28"/>
      <c r="H126" s="28"/>
    </row>
    <row r="127" spans="1:8" x14ac:dyDescent="0.45">
      <c r="A127" s="22" t="s">
        <v>3551</v>
      </c>
      <c r="B127" s="23">
        <v>1502000</v>
      </c>
      <c r="C127" s="23" t="s">
        <v>67</v>
      </c>
      <c r="D127" s="35" t="s">
        <v>68</v>
      </c>
      <c r="E127" s="23">
        <v>12</v>
      </c>
      <c r="F127" s="23" t="s">
        <v>17</v>
      </c>
      <c r="G127" s="24"/>
      <c r="H127" s="24">
        <f>G127*E127</f>
        <v>0</v>
      </c>
    </row>
    <row r="128" spans="1:8" s="263" customFormat="1" x14ac:dyDescent="0.45">
      <c r="A128" s="265"/>
      <c r="B128" s="376"/>
      <c r="C128" s="376">
        <v>3.6</v>
      </c>
      <c r="D128" s="377" t="s">
        <v>75</v>
      </c>
      <c r="E128" s="268"/>
      <c r="F128" s="268"/>
      <c r="G128" s="268"/>
      <c r="H128" s="268"/>
    </row>
    <row r="129" spans="1:8" s="263" customFormat="1" x14ac:dyDescent="0.45">
      <c r="A129" s="258" t="s">
        <v>3552</v>
      </c>
      <c r="B129" s="261">
        <v>1502000</v>
      </c>
      <c r="C129" s="259" t="s">
        <v>77</v>
      </c>
      <c r="D129" s="275" t="s">
        <v>78</v>
      </c>
      <c r="E129" s="261">
        <v>12</v>
      </c>
      <c r="F129" s="261" t="s">
        <v>17</v>
      </c>
      <c r="G129" s="262"/>
      <c r="H129" s="262">
        <f>G129*E129</f>
        <v>0</v>
      </c>
    </row>
    <row r="130" spans="1:8" x14ac:dyDescent="0.45">
      <c r="A130" s="40"/>
      <c r="B130" s="92">
        <v>1503020</v>
      </c>
      <c r="C130" s="92"/>
      <c r="D130" s="93" t="s">
        <v>114</v>
      </c>
      <c r="E130" s="50"/>
      <c r="F130" s="50"/>
      <c r="G130" s="50"/>
      <c r="H130" s="51"/>
    </row>
    <row r="131" spans="1:8" x14ac:dyDescent="0.45">
      <c r="A131" s="22" t="s">
        <v>3553</v>
      </c>
      <c r="B131" s="33">
        <v>1503020</v>
      </c>
      <c r="C131" s="33">
        <v>3.1</v>
      </c>
      <c r="D131" s="36" t="s">
        <v>116</v>
      </c>
      <c r="E131" s="23">
        <v>12</v>
      </c>
      <c r="F131" s="23" t="s">
        <v>17</v>
      </c>
      <c r="G131" s="24"/>
      <c r="H131" s="24">
        <f>G131*E131</f>
        <v>0</v>
      </c>
    </row>
    <row r="132" spans="1:8" x14ac:dyDescent="0.45">
      <c r="A132" s="22" t="s">
        <v>3554</v>
      </c>
      <c r="B132" s="33">
        <v>1503020</v>
      </c>
      <c r="C132" s="33">
        <v>3.2</v>
      </c>
      <c r="D132" s="36" t="s">
        <v>118</v>
      </c>
      <c r="E132" s="23">
        <v>12</v>
      </c>
      <c r="F132" s="23" t="s">
        <v>17</v>
      </c>
      <c r="G132" s="24"/>
      <c r="H132" s="24">
        <f>G132*E132</f>
        <v>0</v>
      </c>
    </row>
    <row r="133" spans="1:8" x14ac:dyDescent="0.45">
      <c r="A133" s="22" t="s">
        <v>3555</v>
      </c>
      <c r="B133" s="33">
        <v>1503020</v>
      </c>
      <c r="C133" s="33">
        <v>3.3</v>
      </c>
      <c r="D133" s="36" t="s">
        <v>120</v>
      </c>
      <c r="E133" s="23">
        <v>12</v>
      </c>
      <c r="F133" s="23" t="s">
        <v>17</v>
      </c>
      <c r="G133" s="24"/>
      <c r="H133" s="24">
        <f>G133*E133</f>
        <v>0</v>
      </c>
    </row>
    <row r="134" spans="1:8" x14ac:dyDescent="0.45">
      <c r="A134" s="40"/>
      <c r="B134" s="43">
        <v>1503030</v>
      </c>
      <c r="C134" s="41"/>
      <c r="D134" s="42" t="s">
        <v>121</v>
      </c>
      <c r="E134" s="95"/>
      <c r="F134" s="95"/>
      <c r="G134" s="44"/>
      <c r="H134" s="95"/>
    </row>
    <row r="135" spans="1:8" x14ac:dyDescent="0.45">
      <c r="A135" s="22" t="s">
        <v>3556</v>
      </c>
      <c r="B135" s="33">
        <v>1503030</v>
      </c>
      <c r="C135" s="33" t="s">
        <v>123</v>
      </c>
      <c r="D135" s="36" t="s">
        <v>124</v>
      </c>
      <c r="E135" s="23">
        <v>12</v>
      </c>
      <c r="F135" s="23" t="s">
        <v>17</v>
      </c>
      <c r="G135" s="24"/>
      <c r="H135" s="24">
        <f>G135*E135</f>
        <v>0</v>
      </c>
    </row>
    <row r="136" spans="1:8" x14ac:dyDescent="0.45">
      <c r="A136" s="58"/>
      <c r="B136" s="59"/>
      <c r="C136" s="59"/>
      <c r="D136" s="60" t="s">
        <v>195</v>
      </c>
      <c r="E136" s="59"/>
      <c r="F136" s="59"/>
      <c r="G136" s="59"/>
      <c r="H136" s="62">
        <f>SUM(H127:H135)</f>
        <v>0</v>
      </c>
    </row>
    <row r="137" spans="1:8" x14ac:dyDescent="0.45">
      <c r="A137" s="87"/>
      <c r="B137" s="88"/>
      <c r="C137" s="88"/>
      <c r="D137" s="65"/>
      <c r="E137" s="64"/>
      <c r="F137" s="64"/>
      <c r="G137" s="64"/>
      <c r="H137" s="66"/>
    </row>
    <row r="138" spans="1:8" x14ac:dyDescent="0.45">
      <c r="A138" s="12" t="s">
        <v>3557</v>
      </c>
      <c r="B138" s="13"/>
      <c r="C138" s="13"/>
      <c r="D138" s="12" t="s">
        <v>197</v>
      </c>
      <c r="E138" s="91"/>
      <c r="F138" s="91"/>
      <c r="G138" s="91"/>
      <c r="H138" s="91"/>
    </row>
    <row r="139" spans="1:8" x14ac:dyDescent="0.45">
      <c r="A139" s="40"/>
      <c r="B139" s="41">
        <v>1503010</v>
      </c>
      <c r="C139" s="41"/>
      <c r="D139" s="42" t="s">
        <v>109</v>
      </c>
      <c r="E139" s="43"/>
      <c r="F139" s="44"/>
      <c r="G139" s="44"/>
      <c r="H139" s="45"/>
    </row>
    <row r="140" spans="1:8" x14ac:dyDescent="0.45">
      <c r="A140" s="22" t="s">
        <v>3558</v>
      </c>
      <c r="B140" s="33">
        <v>1503010</v>
      </c>
      <c r="C140" s="33">
        <v>3.1</v>
      </c>
      <c r="D140" s="36" t="s">
        <v>111</v>
      </c>
      <c r="E140" s="23">
        <v>12</v>
      </c>
      <c r="F140" s="23" t="s">
        <v>17</v>
      </c>
      <c r="G140" s="24"/>
      <c r="H140" s="24">
        <f>G140*E140</f>
        <v>0</v>
      </c>
    </row>
    <row r="141" spans="1:8" x14ac:dyDescent="0.45">
      <c r="A141" s="40"/>
      <c r="B141" s="43">
        <v>1503030</v>
      </c>
      <c r="C141" s="41"/>
      <c r="D141" s="42" t="s">
        <v>121</v>
      </c>
      <c r="E141" s="50"/>
      <c r="F141" s="50"/>
      <c r="G141" s="44"/>
      <c r="H141" s="51"/>
    </row>
    <row r="142" spans="1:8" x14ac:dyDescent="0.45">
      <c r="A142" s="22" t="s">
        <v>3559</v>
      </c>
      <c r="B142" s="33">
        <v>1503030</v>
      </c>
      <c r="C142" s="33" t="s">
        <v>123</v>
      </c>
      <c r="D142" s="36" t="s">
        <v>124</v>
      </c>
      <c r="E142" s="23">
        <v>12</v>
      </c>
      <c r="F142" s="23" t="s">
        <v>17</v>
      </c>
      <c r="G142" s="24"/>
      <c r="H142" s="24">
        <f>G142*E142</f>
        <v>0</v>
      </c>
    </row>
    <row r="143" spans="1:8" x14ac:dyDescent="0.45">
      <c r="A143" s="58"/>
      <c r="B143" s="59"/>
      <c r="C143" s="59"/>
      <c r="D143" s="60" t="s">
        <v>200</v>
      </c>
      <c r="E143" s="59"/>
      <c r="F143" s="59"/>
      <c r="G143" s="59"/>
      <c r="H143" s="62">
        <f>SUM(H140:H142)</f>
        <v>0</v>
      </c>
    </row>
    <row r="144" spans="1:8" x14ac:dyDescent="0.45">
      <c r="A144" s="96"/>
      <c r="B144" s="97"/>
      <c r="C144" s="97"/>
      <c r="D144" s="98"/>
      <c r="E144" s="97"/>
      <c r="F144" s="97"/>
      <c r="G144" s="64"/>
      <c r="H144" s="99"/>
    </row>
    <row r="145" spans="1:8" x14ac:dyDescent="0.45">
      <c r="A145" s="12" t="s">
        <v>3560</v>
      </c>
      <c r="B145" s="13"/>
      <c r="C145" s="13"/>
      <c r="D145" s="12" t="s">
        <v>202</v>
      </c>
      <c r="E145" s="100"/>
      <c r="F145" s="101"/>
      <c r="G145" s="91"/>
      <c r="H145" s="102"/>
    </row>
    <row r="146" spans="1:8" x14ac:dyDescent="0.45">
      <c r="A146" s="40"/>
      <c r="B146" s="41">
        <v>1503010</v>
      </c>
      <c r="C146" s="41"/>
      <c r="D146" s="42" t="s">
        <v>109</v>
      </c>
      <c r="E146" s="43"/>
      <c r="F146" s="44"/>
      <c r="G146" s="44"/>
      <c r="H146" s="45"/>
    </row>
    <row r="147" spans="1:8" x14ac:dyDescent="0.45">
      <c r="A147" s="22" t="s">
        <v>3561</v>
      </c>
      <c r="B147" s="33">
        <v>1503010</v>
      </c>
      <c r="C147" s="33">
        <v>3.1</v>
      </c>
      <c r="D147" s="36" t="s">
        <v>111</v>
      </c>
      <c r="E147" s="23">
        <v>12</v>
      </c>
      <c r="F147" s="23" t="s">
        <v>17</v>
      </c>
      <c r="G147" s="24"/>
      <c r="H147" s="24">
        <f>G147*E147</f>
        <v>0</v>
      </c>
    </row>
    <row r="148" spans="1:8" x14ac:dyDescent="0.45">
      <c r="A148" s="40"/>
      <c r="B148" s="43">
        <v>1503030</v>
      </c>
      <c r="C148" s="41"/>
      <c r="D148" s="42" t="s">
        <v>121</v>
      </c>
      <c r="E148" s="43"/>
      <c r="F148" s="44"/>
      <c r="G148" s="44"/>
      <c r="H148" s="45"/>
    </row>
    <row r="149" spans="1:8" x14ac:dyDescent="0.45">
      <c r="A149" s="22" t="s">
        <v>3562</v>
      </c>
      <c r="B149" s="33">
        <v>1503030</v>
      </c>
      <c r="C149" s="33" t="s">
        <v>123</v>
      </c>
      <c r="D149" s="36" t="s">
        <v>124</v>
      </c>
      <c r="E149" s="23">
        <v>12</v>
      </c>
      <c r="F149" s="23" t="s">
        <v>17</v>
      </c>
      <c r="G149" s="24"/>
      <c r="H149" s="24">
        <f>G149*E149</f>
        <v>0</v>
      </c>
    </row>
    <row r="150" spans="1:8" x14ac:dyDescent="0.45">
      <c r="A150" s="58"/>
      <c r="B150" s="59"/>
      <c r="C150" s="59"/>
      <c r="D150" s="60" t="s">
        <v>205</v>
      </c>
      <c r="E150" s="59"/>
      <c r="F150" s="59"/>
      <c r="G150" s="59"/>
      <c r="H150" s="62">
        <f>SUM(H147:H149)</f>
        <v>0</v>
      </c>
    </row>
    <row r="151" spans="1:8" x14ac:dyDescent="0.45">
      <c r="A151" s="96"/>
      <c r="B151" s="97"/>
      <c r="C151" s="97"/>
      <c r="D151" s="98"/>
      <c r="E151" s="97"/>
      <c r="F151" s="97"/>
      <c r="G151" s="64"/>
      <c r="H151" s="99"/>
    </row>
    <row r="152" spans="1:8" x14ac:dyDescent="0.45">
      <c r="A152" s="12" t="s">
        <v>3563</v>
      </c>
      <c r="B152" s="13"/>
      <c r="C152" s="13"/>
      <c r="D152" s="12" t="s">
        <v>207</v>
      </c>
      <c r="E152" s="100"/>
      <c r="F152" s="101"/>
      <c r="G152" s="91"/>
      <c r="H152" s="102"/>
    </row>
    <row r="153" spans="1:8" x14ac:dyDescent="0.4">
      <c r="A153" s="40"/>
      <c r="B153" s="222">
        <v>1502000</v>
      </c>
      <c r="C153" s="18"/>
      <c r="D153" s="223" t="s">
        <v>18</v>
      </c>
      <c r="E153" s="43"/>
      <c r="F153" s="44"/>
      <c r="G153" s="44"/>
      <c r="H153" s="45"/>
    </row>
    <row r="154" spans="1:8" x14ac:dyDescent="0.45">
      <c r="A154" s="25"/>
      <c r="B154" s="37"/>
      <c r="C154" s="37">
        <v>3.6</v>
      </c>
      <c r="D154" s="38" t="s">
        <v>75</v>
      </c>
      <c r="E154" s="28"/>
      <c r="F154" s="28"/>
      <c r="G154" s="28"/>
      <c r="H154" s="28"/>
    </row>
    <row r="155" spans="1:8" x14ac:dyDescent="0.45">
      <c r="A155" s="22" t="s">
        <v>3564</v>
      </c>
      <c r="B155" s="23">
        <v>1502000</v>
      </c>
      <c r="C155" s="33" t="s">
        <v>77</v>
      </c>
      <c r="D155" s="39" t="s">
        <v>78</v>
      </c>
      <c r="E155" s="23">
        <v>12</v>
      </c>
      <c r="F155" s="23" t="s">
        <v>17</v>
      </c>
      <c r="G155" s="24"/>
      <c r="H155" s="24">
        <f>G155*E155</f>
        <v>0</v>
      </c>
    </row>
    <row r="156" spans="1:8" x14ac:dyDescent="0.45">
      <c r="A156" s="22" t="s">
        <v>3565</v>
      </c>
      <c r="B156" s="23">
        <v>1502000</v>
      </c>
      <c r="C156" s="33" t="s">
        <v>101</v>
      </c>
      <c r="D156" s="39" t="s">
        <v>102</v>
      </c>
      <c r="E156" s="23">
        <v>12</v>
      </c>
      <c r="F156" s="23" t="s">
        <v>17</v>
      </c>
      <c r="G156" s="24"/>
      <c r="H156" s="24">
        <f>G156*E156</f>
        <v>0</v>
      </c>
    </row>
    <row r="157" spans="1:8" x14ac:dyDescent="0.45">
      <c r="A157" s="40"/>
      <c r="B157" s="41">
        <v>1503010</v>
      </c>
      <c r="C157" s="41"/>
      <c r="D157" s="42" t="s">
        <v>109</v>
      </c>
      <c r="E157" s="43"/>
      <c r="F157" s="44"/>
      <c r="G157" s="44"/>
      <c r="H157" s="45"/>
    </row>
    <row r="158" spans="1:8" x14ac:dyDescent="0.45">
      <c r="A158" s="22" t="s">
        <v>3566</v>
      </c>
      <c r="B158" s="33">
        <v>1503010</v>
      </c>
      <c r="C158" s="33">
        <v>3.1</v>
      </c>
      <c r="D158" s="36" t="s">
        <v>111</v>
      </c>
      <c r="E158" s="23">
        <v>12</v>
      </c>
      <c r="F158" s="23" t="s">
        <v>17</v>
      </c>
      <c r="G158" s="24"/>
      <c r="H158" s="24">
        <f>G158*E158</f>
        <v>0</v>
      </c>
    </row>
    <row r="159" spans="1:8" x14ac:dyDescent="0.45">
      <c r="A159" s="40"/>
      <c r="B159" s="92">
        <v>1503020</v>
      </c>
      <c r="C159" s="92"/>
      <c r="D159" s="93" t="s">
        <v>114</v>
      </c>
      <c r="E159" s="43"/>
      <c r="F159" s="44"/>
      <c r="G159" s="44"/>
      <c r="H159" s="45"/>
    </row>
    <row r="160" spans="1:8" x14ac:dyDescent="0.45">
      <c r="A160" s="22" t="s">
        <v>3567</v>
      </c>
      <c r="B160" s="33">
        <v>1503020</v>
      </c>
      <c r="C160" s="33">
        <v>3.1</v>
      </c>
      <c r="D160" s="36" t="s">
        <v>116</v>
      </c>
      <c r="E160" s="23">
        <v>12</v>
      </c>
      <c r="F160" s="23" t="s">
        <v>17</v>
      </c>
      <c r="G160" s="24"/>
      <c r="H160" s="24">
        <f>G160*E160</f>
        <v>0</v>
      </c>
    </row>
    <row r="161" spans="1:8" x14ac:dyDescent="0.45">
      <c r="A161" s="22" t="s">
        <v>3568</v>
      </c>
      <c r="B161" s="33">
        <v>1503020</v>
      </c>
      <c r="C161" s="33">
        <v>3.2</v>
      </c>
      <c r="D161" s="36" t="s">
        <v>118</v>
      </c>
      <c r="E161" s="23">
        <v>12</v>
      </c>
      <c r="F161" s="23" t="s">
        <v>17</v>
      </c>
      <c r="G161" s="24"/>
      <c r="H161" s="24">
        <f>G161*E161</f>
        <v>0</v>
      </c>
    </row>
    <row r="162" spans="1:8" x14ac:dyDescent="0.45">
      <c r="A162" s="22" t="s">
        <v>3569</v>
      </c>
      <c r="B162" s="33">
        <v>1503020</v>
      </c>
      <c r="C162" s="33">
        <v>3.3</v>
      </c>
      <c r="D162" s="36" t="s">
        <v>120</v>
      </c>
      <c r="E162" s="23">
        <v>12</v>
      </c>
      <c r="F162" s="23" t="s">
        <v>17</v>
      </c>
      <c r="G162" s="24"/>
      <c r="H162" s="24">
        <f>G162*E162</f>
        <v>0</v>
      </c>
    </row>
    <row r="163" spans="1:8" x14ac:dyDescent="0.45">
      <c r="A163" s="40"/>
      <c r="B163" s="43">
        <v>1503030</v>
      </c>
      <c r="C163" s="41"/>
      <c r="D163" s="42" t="s">
        <v>121</v>
      </c>
      <c r="E163" s="43"/>
      <c r="F163" s="44"/>
      <c r="G163" s="44"/>
      <c r="H163" s="45"/>
    </row>
    <row r="164" spans="1:8" x14ac:dyDescent="0.45">
      <c r="A164" s="22" t="s">
        <v>3570</v>
      </c>
      <c r="B164" s="33">
        <v>1503030</v>
      </c>
      <c r="C164" s="33" t="s">
        <v>123</v>
      </c>
      <c r="D164" s="36" t="s">
        <v>124</v>
      </c>
      <c r="E164" s="23">
        <v>12</v>
      </c>
      <c r="F164" s="23" t="s">
        <v>17</v>
      </c>
      <c r="G164" s="24"/>
      <c r="H164" s="24">
        <f>G164*E164</f>
        <v>0</v>
      </c>
    </row>
    <row r="165" spans="1:8" x14ac:dyDescent="0.45">
      <c r="A165" s="58"/>
      <c r="B165" s="59"/>
      <c r="C165" s="59"/>
      <c r="D165" s="60" t="s">
        <v>215</v>
      </c>
      <c r="E165" s="59"/>
      <c r="F165" s="59"/>
      <c r="G165" s="59"/>
      <c r="H165" s="62">
        <f>SUM(H155:H164)</f>
        <v>0</v>
      </c>
    </row>
    <row r="166" spans="1:8" x14ac:dyDescent="0.45">
      <c r="A166" s="96"/>
      <c r="B166" s="97"/>
      <c r="C166" s="97"/>
      <c r="D166" s="98"/>
      <c r="E166" s="97"/>
      <c r="F166" s="97"/>
      <c r="G166" s="97"/>
      <c r="H166" s="99"/>
    </row>
    <row r="167" spans="1:8" x14ac:dyDescent="0.45">
      <c r="A167" s="12" t="s">
        <v>3571</v>
      </c>
      <c r="B167" s="13"/>
      <c r="C167" s="13"/>
      <c r="D167" s="12" t="s">
        <v>217</v>
      </c>
      <c r="E167" s="100"/>
      <c r="F167" s="101"/>
      <c r="G167" s="101"/>
      <c r="H167" s="102"/>
    </row>
    <row r="168" spans="1:8" s="263" customFormat="1" x14ac:dyDescent="0.4">
      <c r="A168" s="278"/>
      <c r="B168" s="430">
        <v>1502000</v>
      </c>
      <c r="C168" s="280"/>
      <c r="D168" s="431" t="s">
        <v>18</v>
      </c>
      <c r="E168" s="282"/>
      <c r="F168" s="283"/>
      <c r="G168" s="283"/>
      <c r="H168" s="284"/>
    </row>
    <row r="169" spans="1:8" s="263" customFormat="1" x14ac:dyDescent="0.45">
      <c r="A169" s="265"/>
      <c r="B169" s="266"/>
      <c r="C169" s="266">
        <v>3.1</v>
      </c>
      <c r="D169" s="267" t="s">
        <v>19</v>
      </c>
      <c r="E169" s="266"/>
      <c r="F169" s="266"/>
      <c r="G169" s="266"/>
      <c r="H169" s="273"/>
    </row>
    <row r="170" spans="1:8" s="263" customFormat="1" x14ac:dyDescent="0.45">
      <c r="A170" s="258" t="s">
        <v>3572</v>
      </c>
      <c r="B170" s="261">
        <v>1502000</v>
      </c>
      <c r="C170" s="261" t="s">
        <v>21</v>
      </c>
      <c r="D170" s="264" t="s">
        <v>22</v>
      </c>
      <c r="E170" s="261">
        <v>12</v>
      </c>
      <c r="F170" s="261" t="s">
        <v>17</v>
      </c>
      <c r="G170" s="262"/>
      <c r="H170" s="262">
        <f>G170*E170</f>
        <v>0</v>
      </c>
    </row>
    <row r="171" spans="1:8" s="263" customFormat="1" x14ac:dyDescent="0.45">
      <c r="A171" s="258" t="s">
        <v>3573</v>
      </c>
      <c r="B171" s="261">
        <v>1502000</v>
      </c>
      <c r="C171" s="261" t="s">
        <v>24</v>
      </c>
      <c r="D171" s="264" t="s">
        <v>25</v>
      </c>
      <c r="E171" s="261">
        <v>12</v>
      </c>
      <c r="F171" s="261" t="s">
        <v>17</v>
      </c>
      <c r="G171" s="262"/>
      <c r="H171" s="262">
        <f>G171*E171</f>
        <v>0</v>
      </c>
    </row>
    <row r="172" spans="1:8" s="263" customFormat="1" ht="13.5" customHeight="1" x14ac:dyDescent="0.45">
      <c r="A172" s="258" t="s">
        <v>3574</v>
      </c>
      <c r="B172" s="261">
        <v>1502000</v>
      </c>
      <c r="C172" s="261" t="s">
        <v>27</v>
      </c>
      <c r="D172" s="264" t="s">
        <v>28</v>
      </c>
      <c r="E172" s="261">
        <v>12</v>
      </c>
      <c r="F172" s="261" t="s">
        <v>17</v>
      </c>
      <c r="G172" s="262"/>
      <c r="H172" s="262">
        <f>G172*E172</f>
        <v>0</v>
      </c>
    </row>
    <row r="173" spans="1:8" s="263" customFormat="1" x14ac:dyDescent="0.45">
      <c r="A173" s="265"/>
      <c r="B173" s="266"/>
      <c r="C173" s="266">
        <v>3.1</v>
      </c>
      <c r="D173" s="267" t="s">
        <v>31</v>
      </c>
      <c r="E173" s="268"/>
      <c r="F173" s="268"/>
      <c r="G173" s="268"/>
      <c r="H173" s="268"/>
    </row>
    <row r="174" spans="1:8" s="263" customFormat="1" x14ac:dyDescent="0.45">
      <c r="A174" s="258" t="s">
        <v>3575</v>
      </c>
      <c r="B174" s="261">
        <v>1502000</v>
      </c>
      <c r="C174" s="261" t="s">
        <v>222</v>
      </c>
      <c r="D174" s="269" t="s">
        <v>223</v>
      </c>
      <c r="E174" s="261">
        <v>12</v>
      </c>
      <c r="F174" s="261" t="s">
        <v>17</v>
      </c>
      <c r="G174" s="262"/>
      <c r="H174" s="262">
        <f t="shared" ref="H174:H191" si="2">G174*E174</f>
        <v>0</v>
      </c>
    </row>
    <row r="175" spans="1:8" s="263" customFormat="1" x14ac:dyDescent="0.45">
      <c r="A175" s="258" t="s">
        <v>3576</v>
      </c>
      <c r="B175" s="261">
        <v>1502000</v>
      </c>
      <c r="C175" s="261" t="s">
        <v>33</v>
      </c>
      <c r="D175" s="269" t="s">
        <v>34</v>
      </c>
      <c r="E175" s="261">
        <v>12</v>
      </c>
      <c r="F175" s="261" t="s">
        <v>17</v>
      </c>
      <c r="G175" s="262"/>
      <c r="H175" s="262">
        <f t="shared" si="2"/>
        <v>0</v>
      </c>
    </row>
    <row r="176" spans="1:8" s="263" customFormat="1" x14ac:dyDescent="0.45">
      <c r="A176" s="258" t="s">
        <v>3577</v>
      </c>
      <c r="B176" s="261">
        <v>1502000</v>
      </c>
      <c r="C176" s="261" t="s">
        <v>36</v>
      </c>
      <c r="D176" s="269" t="s">
        <v>37</v>
      </c>
      <c r="E176" s="261">
        <v>12</v>
      </c>
      <c r="F176" s="261" t="s">
        <v>17</v>
      </c>
      <c r="G176" s="262"/>
      <c r="H176" s="262">
        <f t="shared" si="2"/>
        <v>0</v>
      </c>
    </row>
    <row r="177" spans="1:8" s="263" customFormat="1" x14ac:dyDescent="0.45">
      <c r="A177" s="258" t="s">
        <v>3578</v>
      </c>
      <c r="B177" s="261">
        <v>1502000</v>
      </c>
      <c r="C177" s="261" t="s">
        <v>227</v>
      </c>
      <c r="D177" s="270" t="s">
        <v>228</v>
      </c>
      <c r="E177" s="261">
        <v>12</v>
      </c>
      <c r="F177" s="261" t="s">
        <v>17</v>
      </c>
      <c r="G177" s="262"/>
      <c r="H177" s="262">
        <f t="shared" si="2"/>
        <v>0</v>
      </c>
    </row>
    <row r="178" spans="1:8" s="263" customFormat="1" x14ac:dyDescent="0.45">
      <c r="A178" s="258" t="s">
        <v>3579</v>
      </c>
      <c r="B178" s="261">
        <v>1502000</v>
      </c>
      <c r="C178" s="261" t="s">
        <v>39</v>
      </c>
      <c r="D178" s="269" t="s">
        <v>230</v>
      </c>
      <c r="E178" s="261">
        <v>12</v>
      </c>
      <c r="F178" s="261" t="s">
        <v>17</v>
      </c>
      <c r="G178" s="262"/>
      <c r="H178" s="262">
        <f t="shared" si="2"/>
        <v>0</v>
      </c>
    </row>
    <row r="179" spans="1:8" s="263" customFormat="1" x14ac:dyDescent="0.45">
      <c r="A179" s="258" t="s">
        <v>3580</v>
      </c>
      <c r="B179" s="261">
        <v>1502000</v>
      </c>
      <c r="C179" s="261" t="s">
        <v>232</v>
      </c>
      <c r="D179" s="269" t="s">
        <v>233</v>
      </c>
      <c r="E179" s="261">
        <v>12</v>
      </c>
      <c r="F179" s="261" t="s">
        <v>17</v>
      </c>
      <c r="G179" s="262"/>
      <c r="H179" s="262">
        <f t="shared" si="2"/>
        <v>0</v>
      </c>
    </row>
    <row r="180" spans="1:8" s="263" customFormat="1" x14ac:dyDescent="0.45">
      <c r="A180" s="258" t="s">
        <v>3581</v>
      </c>
      <c r="B180" s="261">
        <v>1502000</v>
      </c>
      <c r="C180" s="271" t="s">
        <v>235</v>
      </c>
      <c r="D180" s="263" t="s">
        <v>236</v>
      </c>
      <c r="E180" s="261">
        <v>12</v>
      </c>
      <c r="F180" s="261" t="s">
        <v>17</v>
      </c>
      <c r="G180" s="262"/>
      <c r="H180" s="262">
        <f t="shared" si="2"/>
        <v>0</v>
      </c>
    </row>
    <row r="181" spans="1:8" s="263" customFormat="1" x14ac:dyDescent="0.45">
      <c r="A181" s="258" t="s">
        <v>3582</v>
      </c>
      <c r="B181" s="261">
        <v>1502000</v>
      </c>
      <c r="C181" s="261" t="s">
        <v>238</v>
      </c>
      <c r="D181" s="269" t="s">
        <v>239</v>
      </c>
      <c r="E181" s="261">
        <v>12</v>
      </c>
      <c r="F181" s="261" t="s">
        <v>17</v>
      </c>
      <c r="G181" s="262"/>
      <c r="H181" s="262">
        <f t="shared" si="2"/>
        <v>0</v>
      </c>
    </row>
    <row r="182" spans="1:8" s="263" customFormat="1" x14ac:dyDescent="0.45">
      <c r="A182" s="258" t="s">
        <v>3583</v>
      </c>
      <c r="B182" s="261">
        <v>1502000</v>
      </c>
      <c r="C182" s="261" t="s">
        <v>241</v>
      </c>
      <c r="D182" s="269" t="s">
        <v>242</v>
      </c>
      <c r="E182" s="261">
        <v>12</v>
      </c>
      <c r="F182" s="261" t="s">
        <v>17</v>
      </c>
      <c r="G182" s="262"/>
      <c r="H182" s="262">
        <f t="shared" si="2"/>
        <v>0</v>
      </c>
    </row>
    <row r="183" spans="1:8" s="263" customFormat="1" x14ac:dyDescent="0.45">
      <c r="A183" s="258" t="s">
        <v>3584</v>
      </c>
      <c r="B183" s="261">
        <v>1502000</v>
      </c>
      <c r="C183" s="261" t="s">
        <v>244</v>
      </c>
      <c r="D183" s="269" t="s">
        <v>245</v>
      </c>
      <c r="E183" s="261">
        <v>12</v>
      </c>
      <c r="F183" s="261" t="s">
        <v>17</v>
      </c>
      <c r="G183" s="262"/>
      <c r="H183" s="262">
        <f t="shared" si="2"/>
        <v>0</v>
      </c>
    </row>
    <row r="184" spans="1:8" s="263" customFormat="1" x14ac:dyDescent="0.45">
      <c r="A184" s="258" t="s">
        <v>3585</v>
      </c>
      <c r="B184" s="261">
        <v>1502000</v>
      </c>
      <c r="C184" s="261" t="s">
        <v>247</v>
      </c>
      <c r="D184" s="269" t="s">
        <v>248</v>
      </c>
      <c r="E184" s="261">
        <v>12</v>
      </c>
      <c r="F184" s="261" t="s">
        <v>17</v>
      </c>
      <c r="G184" s="262"/>
      <c r="H184" s="262">
        <f t="shared" si="2"/>
        <v>0</v>
      </c>
    </row>
    <row r="185" spans="1:8" s="263" customFormat="1" x14ac:dyDescent="0.45">
      <c r="A185" s="258" t="s">
        <v>3586</v>
      </c>
      <c r="B185" s="261">
        <v>1502000</v>
      </c>
      <c r="C185" s="261" t="s">
        <v>250</v>
      </c>
      <c r="D185" s="269" t="s">
        <v>251</v>
      </c>
      <c r="E185" s="261">
        <v>12</v>
      </c>
      <c r="F185" s="261" t="s">
        <v>17</v>
      </c>
      <c r="G185" s="262"/>
      <c r="H185" s="262">
        <f t="shared" si="2"/>
        <v>0</v>
      </c>
    </row>
    <row r="186" spans="1:8" s="263" customFormat="1" x14ac:dyDescent="0.45">
      <c r="A186" s="258" t="s">
        <v>3587</v>
      </c>
      <c r="B186" s="261">
        <v>1502000</v>
      </c>
      <c r="C186" s="261" t="s">
        <v>253</v>
      </c>
      <c r="D186" s="269" t="s">
        <v>254</v>
      </c>
      <c r="E186" s="261">
        <v>12</v>
      </c>
      <c r="F186" s="261" t="s">
        <v>17</v>
      </c>
      <c r="G186" s="262"/>
      <c r="H186" s="262">
        <f t="shared" si="2"/>
        <v>0</v>
      </c>
    </row>
    <row r="187" spans="1:8" s="263" customFormat="1" x14ac:dyDescent="0.45">
      <c r="A187" s="258" t="s">
        <v>3588</v>
      </c>
      <c r="B187" s="261">
        <v>1502000</v>
      </c>
      <c r="C187" s="261" t="s">
        <v>45</v>
      </c>
      <c r="D187" s="269" t="s">
        <v>46</v>
      </c>
      <c r="E187" s="261">
        <v>12</v>
      </c>
      <c r="F187" s="261" t="s">
        <v>17</v>
      </c>
      <c r="G187" s="262"/>
      <c r="H187" s="262">
        <f t="shared" si="2"/>
        <v>0</v>
      </c>
    </row>
    <row r="188" spans="1:8" s="263" customFormat="1" x14ac:dyDescent="0.45">
      <c r="A188" s="258" t="s">
        <v>3589</v>
      </c>
      <c r="B188" s="261">
        <v>1502000</v>
      </c>
      <c r="C188" s="261" t="s">
        <v>48</v>
      </c>
      <c r="D188" s="269" t="s">
        <v>257</v>
      </c>
      <c r="E188" s="261">
        <v>12</v>
      </c>
      <c r="F188" s="261" t="s">
        <v>17</v>
      </c>
      <c r="G188" s="262"/>
      <c r="H188" s="262">
        <f t="shared" si="2"/>
        <v>0</v>
      </c>
    </row>
    <row r="189" spans="1:8" s="263" customFormat="1" x14ac:dyDescent="0.45">
      <c r="A189" s="258" t="s">
        <v>3590</v>
      </c>
      <c r="B189" s="261">
        <v>1502000</v>
      </c>
      <c r="C189" s="261" t="s">
        <v>54</v>
      </c>
      <c r="D189" s="269" t="s">
        <v>55</v>
      </c>
      <c r="E189" s="261">
        <v>12</v>
      </c>
      <c r="F189" s="261" t="s">
        <v>17</v>
      </c>
      <c r="G189" s="262"/>
      <c r="H189" s="262">
        <f t="shared" si="2"/>
        <v>0</v>
      </c>
    </row>
    <row r="190" spans="1:8" s="263" customFormat="1" x14ac:dyDescent="0.45">
      <c r="A190" s="258" t="s">
        <v>3591</v>
      </c>
      <c r="B190" s="261">
        <v>1502000</v>
      </c>
      <c r="C190" s="261" t="s">
        <v>260</v>
      </c>
      <c r="D190" s="269" t="s">
        <v>261</v>
      </c>
      <c r="E190" s="261">
        <v>12</v>
      </c>
      <c r="F190" s="261" t="s">
        <v>17</v>
      </c>
      <c r="G190" s="262"/>
      <c r="H190" s="262">
        <f t="shared" si="2"/>
        <v>0</v>
      </c>
    </row>
    <row r="191" spans="1:8" s="263" customFormat="1" x14ac:dyDescent="0.45">
      <c r="A191" s="258" t="s">
        <v>3592</v>
      </c>
      <c r="B191" s="261">
        <v>1502000</v>
      </c>
      <c r="C191" s="271" t="s">
        <v>60</v>
      </c>
      <c r="D191" s="432" t="s">
        <v>61</v>
      </c>
      <c r="E191" s="261">
        <v>12</v>
      </c>
      <c r="F191" s="261" t="s">
        <v>17</v>
      </c>
      <c r="G191" s="262"/>
      <c r="H191" s="262">
        <f t="shared" si="2"/>
        <v>0</v>
      </c>
    </row>
    <row r="192" spans="1:8" s="263" customFormat="1" x14ac:dyDescent="0.45">
      <c r="A192" s="265"/>
      <c r="B192" s="266"/>
      <c r="C192" s="266">
        <v>3.4</v>
      </c>
      <c r="D192" s="267" t="s">
        <v>62</v>
      </c>
      <c r="E192" s="266"/>
      <c r="F192" s="266"/>
      <c r="G192" s="268"/>
      <c r="H192" s="273"/>
    </row>
    <row r="193" spans="1:8" s="263" customFormat="1" x14ac:dyDescent="0.45">
      <c r="A193" s="258" t="s">
        <v>3593</v>
      </c>
      <c r="B193" s="261">
        <v>1502000</v>
      </c>
      <c r="C193" s="261" t="s">
        <v>64</v>
      </c>
      <c r="D193" s="270" t="s">
        <v>65</v>
      </c>
      <c r="E193" s="261">
        <v>12</v>
      </c>
      <c r="F193" s="261" t="s">
        <v>17</v>
      </c>
      <c r="G193" s="262"/>
      <c r="H193" s="262">
        <f>G193*E193</f>
        <v>0</v>
      </c>
    </row>
    <row r="194" spans="1:8" s="263" customFormat="1" x14ac:dyDescent="0.45">
      <c r="A194" s="258" t="s">
        <v>3594</v>
      </c>
      <c r="B194" s="261">
        <v>1502000</v>
      </c>
      <c r="C194" s="261" t="s">
        <v>67</v>
      </c>
      <c r="D194" s="270" t="s">
        <v>68</v>
      </c>
      <c r="E194" s="261">
        <v>12</v>
      </c>
      <c r="F194" s="261" t="s">
        <v>17</v>
      </c>
      <c r="G194" s="262"/>
      <c r="H194" s="262">
        <f>G194*E194</f>
        <v>0</v>
      </c>
    </row>
    <row r="195" spans="1:8" s="263" customFormat="1" x14ac:dyDescent="0.45">
      <c r="A195" s="258" t="s">
        <v>3595</v>
      </c>
      <c r="B195" s="261">
        <v>1502000</v>
      </c>
      <c r="C195" s="259" t="s">
        <v>70</v>
      </c>
      <c r="D195" s="260" t="s">
        <v>71</v>
      </c>
      <c r="E195" s="261">
        <v>12</v>
      </c>
      <c r="F195" s="261" t="s">
        <v>17</v>
      </c>
      <c r="G195" s="262"/>
      <c r="H195" s="262">
        <f>G195*E195</f>
        <v>0</v>
      </c>
    </row>
    <row r="196" spans="1:8" s="263" customFormat="1" x14ac:dyDescent="0.45">
      <c r="A196" s="265"/>
      <c r="B196" s="266"/>
      <c r="C196" s="266">
        <v>3.5</v>
      </c>
      <c r="D196" s="267" t="s">
        <v>72</v>
      </c>
      <c r="E196" s="268"/>
      <c r="F196" s="268"/>
      <c r="G196" s="268"/>
      <c r="H196" s="268"/>
    </row>
    <row r="197" spans="1:8" s="263" customFormat="1" x14ac:dyDescent="0.45">
      <c r="A197" s="258" t="s">
        <v>3596</v>
      </c>
      <c r="B197" s="261">
        <v>1502000</v>
      </c>
      <c r="C197" s="261" t="s">
        <v>267</v>
      </c>
      <c r="D197" s="274" t="s">
        <v>71</v>
      </c>
      <c r="E197" s="261">
        <v>12</v>
      </c>
      <c r="F197" s="261" t="s">
        <v>17</v>
      </c>
      <c r="G197" s="262"/>
      <c r="H197" s="262">
        <f>G197*E197</f>
        <v>0</v>
      </c>
    </row>
    <row r="198" spans="1:8" s="263" customFormat="1" x14ac:dyDescent="0.45">
      <c r="A198" s="258" t="s">
        <v>3597</v>
      </c>
      <c r="B198" s="261">
        <v>1502000</v>
      </c>
      <c r="C198" s="261" t="s">
        <v>74</v>
      </c>
      <c r="D198" s="269" t="s">
        <v>37</v>
      </c>
      <c r="E198" s="261">
        <v>12</v>
      </c>
      <c r="F198" s="261" t="s">
        <v>17</v>
      </c>
      <c r="G198" s="262"/>
      <c r="H198" s="262">
        <f>G198*E198</f>
        <v>0</v>
      </c>
    </row>
    <row r="199" spans="1:8" s="263" customFormat="1" x14ac:dyDescent="0.45">
      <c r="A199" s="265"/>
      <c r="B199" s="266"/>
      <c r="C199" s="266">
        <v>3.6</v>
      </c>
      <c r="D199" s="267" t="s">
        <v>75</v>
      </c>
      <c r="E199" s="266"/>
      <c r="F199" s="266"/>
      <c r="G199" s="268"/>
      <c r="H199" s="273"/>
    </row>
    <row r="200" spans="1:8" s="263" customFormat="1" x14ac:dyDescent="0.45">
      <c r="A200" s="258" t="s">
        <v>3598</v>
      </c>
      <c r="B200" s="261">
        <v>1502000</v>
      </c>
      <c r="C200" s="259" t="s">
        <v>77</v>
      </c>
      <c r="D200" s="275" t="s">
        <v>78</v>
      </c>
      <c r="E200" s="261">
        <v>12</v>
      </c>
      <c r="F200" s="261" t="s">
        <v>17</v>
      </c>
      <c r="G200" s="262"/>
      <c r="H200" s="262">
        <f>G200*E200</f>
        <v>0</v>
      </c>
    </row>
    <row r="201" spans="1:8" s="263" customFormat="1" x14ac:dyDescent="0.45">
      <c r="A201" s="258" t="s">
        <v>3599</v>
      </c>
      <c r="B201" s="261">
        <v>1502000</v>
      </c>
      <c r="C201" s="259" t="s">
        <v>80</v>
      </c>
      <c r="D201" s="275" t="s">
        <v>81</v>
      </c>
      <c r="E201" s="261">
        <v>12</v>
      </c>
      <c r="F201" s="261" t="s">
        <v>17</v>
      </c>
      <c r="G201" s="262"/>
      <c r="H201" s="262">
        <f>G201*E201</f>
        <v>0</v>
      </c>
    </row>
    <row r="202" spans="1:8" s="263" customFormat="1" x14ac:dyDescent="0.45">
      <c r="A202" s="258" t="s">
        <v>3600</v>
      </c>
      <c r="B202" s="261">
        <v>1502000</v>
      </c>
      <c r="C202" s="259" t="s">
        <v>83</v>
      </c>
      <c r="D202" s="275" t="s">
        <v>84</v>
      </c>
      <c r="E202" s="261">
        <v>12</v>
      </c>
      <c r="F202" s="261" t="s">
        <v>17</v>
      </c>
      <c r="G202" s="262"/>
      <c r="H202" s="262">
        <f>G202*E202</f>
        <v>0</v>
      </c>
    </row>
    <row r="203" spans="1:8" s="263" customFormat="1" x14ac:dyDescent="0.45">
      <c r="A203" s="258" t="s">
        <v>3601</v>
      </c>
      <c r="B203" s="261">
        <v>1502000</v>
      </c>
      <c r="C203" s="261" t="s">
        <v>273</v>
      </c>
      <c r="D203" s="276" t="s">
        <v>274</v>
      </c>
      <c r="E203" s="261">
        <v>12</v>
      </c>
      <c r="F203" s="261" t="s">
        <v>17</v>
      </c>
      <c r="G203" s="262"/>
      <c r="H203" s="262">
        <f>G203*E203</f>
        <v>0</v>
      </c>
    </row>
    <row r="204" spans="1:8" s="263" customFormat="1" x14ac:dyDescent="0.45">
      <c r="A204" s="258" t="s">
        <v>3602</v>
      </c>
      <c r="B204" s="261">
        <v>1502000</v>
      </c>
      <c r="C204" s="277" t="s">
        <v>276</v>
      </c>
      <c r="D204" s="276" t="s">
        <v>277</v>
      </c>
      <c r="E204" s="261">
        <v>12</v>
      </c>
      <c r="F204" s="261" t="s">
        <v>17</v>
      </c>
      <c r="G204" s="262"/>
      <c r="H204" s="262">
        <f>G204*E204</f>
        <v>0</v>
      </c>
    </row>
    <row r="205" spans="1:8" x14ac:dyDescent="0.45">
      <c r="A205" s="40"/>
      <c r="B205" s="41">
        <v>1503010</v>
      </c>
      <c r="C205" s="41"/>
      <c r="D205" s="42" t="s">
        <v>109</v>
      </c>
      <c r="E205" s="43"/>
      <c r="F205" s="44"/>
      <c r="G205" s="44"/>
      <c r="H205" s="45"/>
    </row>
    <row r="206" spans="1:8" x14ac:dyDescent="0.45">
      <c r="A206" s="257" t="s">
        <v>3596</v>
      </c>
      <c r="B206" s="33">
        <v>1503010</v>
      </c>
      <c r="C206" s="33">
        <v>3.1</v>
      </c>
      <c r="D206" s="36" t="s">
        <v>111</v>
      </c>
      <c r="E206" s="23">
        <v>12</v>
      </c>
      <c r="F206" s="23" t="s">
        <v>17</v>
      </c>
      <c r="G206" s="24"/>
      <c r="H206" s="24">
        <f>G206*E206</f>
        <v>0</v>
      </c>
    </row>
    <row r="207" spans="1:8" x14ac:dyDescent="0.45">
      <c r="A207" s="257" t="s">
        <v>3597</v>
      </c>
      <c r="B207" s="33">
        <v>1503010</v>
      </c>
      <c r="C207" s="33">
        <v>3.2</v>
      </c>
      <c r="D207" s="36" t="s">
        <v>278</v>
      </c>
      <c r="E207" s="23">
        <v>12</v>
      </c>
      <c r="F207" s="23" t="s">
        <v>17</v>
      </c>
      <c r="G207" s="24"/>
      <c r="H207" s="24">
        <f>G207*E207</f>
        <v>0</v>
      </c>
    </row>
    <row r="208" spans="1:8" x14ac:dyDescent="0.45">
      <c r="A208" s="287"/>
      <c r="B208" s="43">
        <v>1503020</v>
      </c>
      <c r="C208" s="41"/>
      <c r="D208" s="42" t="s">
        <v>114</v>
      </c>
      <c r="E208" s="43"/>
      <c r="F208" s="44"/>
      <c r="G208" s="44"/>
      <c r="H208" s="45"/>
    </row>
    <row r="209" spans="1:8" ht="13.45" customHeight="1" x14ac:dyDescent="0.45">
      <c r="A209" s="257" t="s">
        <v>3598</v>
      </c>
      <c r="B209" s="33">
        <v>1503020</v>
      </c>
      <c r="C209" s="33">
        <v>3.1</v>
      </c>
      <c r="D209" s="36" t="s">
        <v>116</v>
      </c>
      <c r="E209" s="23">
        <v>12</v>
      </c>
      <c r="F209" s="23" t="s">
        <v>17</v>
      </c>
      <c r="G209" s="24"/>
      <c r="H209" s="24">
        <f>G209*E209</f>
        <v>0</v>
      </c>
    </row>
    <row r="210" spans="1:8" ht="13.45" customHeight="1" x14ac:dyDescent="0.45">
      <c r="A210" s="257" t="s">
        <v>3599</v>
      </c>
      <c r="B210" s="33">
        <v>1503020</v>
      </c>
      <c r="C210" s="33">
        <v>3.3</v>
      </c>
      <c r="D210" s="36" t="s">
        <v>120</v>
      </c>
      <c r="E210" s="23">
        <v>12</v>
      </c>
      <c r="F210" s="23" t="s">
        <v>17</v>
      </c>
      <c r="G210" s="24"/>
      <c r="H210" s="24">
        <f>G210*E210</f>
        <v>0</v>
      </c>
    </row>
    <row r="211" spans="1:8" x14ac:dyDescent="0.45">
      <c r="A211" s="287"/>
      <c r="B211" s="43">
        <v>1503030</v>
      </c>
      <c r="C211" s="41"/>
      <c r="D211" s="42" t="s">
        <v>121</v>
      </c>
      <c r="E211" s="43"/>
      <c r="F211" s="44"/>
      <c r="G211" s="44"/>
      <c r="H211" s="45"/>
    </row>
    <row r="212" spans="1:8" x14ac:dyDescent="0.45">
      <c r="A212" s="257" t="s">
        <v>3600</v>
      </c>
      <c r="B212" s="33">
        <v>1503030</v>
      </c>
      <c r="C212" s="33" t="s">
        <v>123</v>
      </c>
      <c r="D212" s="36" t="s">
        <v>124</v>
      </c>
      <c r="E212" s="23">
        <v>12</v>
      </c>
      <c r="F212" s="23" t="s">
        <v>17</v>
      </c>
      <c r="G212" s="24"/>
      <c r="H212" s="24">
        <f>G212*E212</f>
        <v>0</v>
      </c>
    </row>
    <row r="213" spans="1:8" x14ac:dyDescent="0.45">
      <c r="A213" s="287"/>
      <c r="B213" s="41">
        <v>1503050</v>
      </c>
      <c r="C213" s="41"/>
      <c r="D213" s="42" t="s">
        <v>127</v>
      </c>
      <c r="E213" s="43"/>
      <c r="F213" s="44"/>
      <c r="G213" s="44"/>
      <c r="H213" s="45"/>
    </row>
    <row r="214" spans="1:8" x14ac:dyDescent="0.45">
      <c r="A214" s="257" t="s">
        <v>3601</v>
      </c>
      <c r="B214" s="33">
        <v>1503050</v>
      </c>
      <c r="C214" s="33">
        <v>3.1</v>
      </c>
      <c r="D214" s="46" t="s">
        <v>129</v>
      </c>
      <c r="E214" s="23">
        <v>12</v>
      </c>
      <c r="F214" s="23" t="s">
        <v>17</v>
      </c>
      <c r="G214" s="24"/>
      <c r="H214" s="24">
        <f>G214*E214</f>
        <v>0</v>
      </c>
    </row>
    <row r="215" spans="1:8" x14ac:dyDescent="0.45">
      <c r="A215" s="257" t="s">
        <v>3602</v>
      </c>
      <c r="B215" s="33">
        <v>1503050</v>
      </c>
      <c r="C215" s="33">
        <v>3.4</v>
      </c>
      <c r="D215" s="36" t="s">
        <v>135</v>
      </c>
      <c r="E215" s="23">
        <v>12</v>
      </c>
      <c r="F215" s="23" t="s">
        <v>17</v>
      </c>
      <c r="G215" s="24"/>
      <c r="H215" s="24">
        <f>G215*E215</f>
        <v>0</v>
      </c>
    </row>
    <row r="216" spans="1:8" x14ac:dyDescent="0.45">
      <c r="A216" s="58"/>
      <c r="B216" s="59"/>
      <c r="C216" s="59"/>
      <c r="D216" s="60" t="s">
        <v>279</v>
      </c>
      <c r="E216" s="59"/>
      <c r="F216" s="59"/>
      <c r="G216" s="59"/>
      <c r="H216" s="62">
        <f>SUM(H169:H215)</f>
        <v>0</v>
      </c>
    </row>
    <row r="217" spans="1:8" x14ac:dyDescent="0.45">
      <c r="A217" s="6"/>
      <c r="B217" s="107"/>
      <c r="C217" s="107"/>
      <c r="D217" s="108"/>
      <c r="E217" s="107"/>
      <c r="F217" s="109"/>
      <c r="G217" s="97"/>
      <c r="H217" s="110"/>
    </row>
    <row r="218" spans="1:8" x14ac:dyDescent="0.45">
      <c r="A218" s="12" t="s">
        <v>3603</v>
      </c>
      <c r="B218" s="13"/>
      <c r="C218" s="13"/>
      <c r="D218" s="111" t="s">
        <v>281</v>
      </c>
      <c r="E218" s="100"/>
      <c r="F218" s="101"/>
      <c r="G218" s="101"/>
      <c r="H218" s="102"/>
    </row>
    <row r="219" spans="1:8" x14ac:dyDescent="0.45">
      <c r="A219" s="103"/>
      <c r="B219" s="41">
        <v>1502000</v>
      </c>
      <c r="C219" s="43"/>
      <c r="D219" s="42" t="s">
        <v>18</v>
      </c>
      <c r="E219" s="43"/>
      <c r="F219" s="44"/>
      <c r="G219" s="44"/>
      <c r="H219" s="45"/>
    </row>
    <row r="220" spans="1:8" x14ac:dyDescent="0.45">
      <c r="A220" s="25"/>
      <c r="B220" s="26"/>
      <c r="C220" s="26">
        <v>3.1</v>
      </c>
      <c r="D220" s="27" t="s">
        <v>19</v>
      </c>
      <c r="E220" s="28"/>
      <c r="F220" s="28"/>
      <c r="G220" s="26"/>
      <c r="H220" s="28"/>
    </row>
    <row r="221" spans="1:8" x14ac:dyDescent="0.45">
      <c r="A221" s="22" t="s">
        <v>3604</v>
      </c>
      <c r="B221" s="23"/>
      <c r="C221" s="23" t="s">
        <v>24</v>
      </c>
      <c r="D221" s="29" t="s">
        <v>25</v>
      </c>
      <c r="E221" s="23">
        <v>12</v>
      </c>
      <c r="F221" s="23" t="s">
        <v>17</v>
      </c>
      <c r="G221" s="24"/>
      <c r="H221" s="24">
        <f>G221*E221</f>
        <v>0</v>
      </c>
    </row>
    <row r="222" spans="1:8" x14ac:dyDescent="0.45">
      <c r="A222" s="25"/>
      <c r="B222" s="26"/>
      <c r="C222" s="26">
        <v>3.1</v>
      </c>
      <c r="D222" s="27" t="s">
        <v>31</v>
      </c>
      <c r="E222" s="28"/>
      <c r="F222" s="28"/>
      <c r="G222" s="28"/>
      <c r="H222" s="28"/>
    </row>
    <row r="223" spans="1:8" x14ac:dyDescent="0.45">
      <c r="A223" s="22" t="s">
        <v>3605</v>
      </c>
      <c r="B223" s="105">
        <v>1502000</v>
      </c>
      <c r="C223" s="105" t="s">
        <v>36</v>
      </c>
      <c r="D223" s="112" t="s">
        <v>37</v>
      </c>
      <c r="E223" s="23">
        <v>12</v>
      </c>
      <c r="F223" s="23" t="s">
        <v>17</v>
      </c>
      <c r="G223" s="24"/>
      <c r="H223" s="24">
        <f>G223*E223</f>
        <v>0</v>
      </c>
    </row>
    <row r="224" spans="1:8" x14ac:dyDescent="0.45">
      <c r="A224" s="25"/>
      <c r="B224" s="26"/>
      <c r="C224" s="26">
        <v>3.4</v>
      </c>
      <c r="D224" s="27" t="s">
        <v>62</v>
      </c>
      <c r="E224" s="26"/>
      <c r="F224" s="26"/>
      <c r="G224" s="28"/>
      <c r="H224" s="104"/>
    </row>
    <row r="225" spans="1:8" x14ac:dyDescent="0.45">
      <c r="A225" s="22" t="s">
        <v>3606</v>
      </c>
      <c r="B225" s="23">
        <v>1502000</v>
      </c>
      <c r="C225" s="23" t="s">
        <v>67</v>
      </c>
      <c r="D225" s="35" t="s">
        <v>68</v>
      </c>
      <c r="E225" s="23">
        <v>12</v>
      </c>
      <c r="F225" s="23" t="s">
        <v>17</v>
      </c>
      <c r="G225" s="24"/>
      <c r="H225" s="24">
        <f>G225*E225</f>
        <v>0</v>
      </c>
    </row>
    <row r="226" spans="1:8" x14ac:dyDescent="0.45">
      <c r="A226" s="25"/>
      <c r="B226" s="26"/>
      <c r="C226" s="26">
        <v>3.5</v>
      </c>
      <c r="D226" s="27" t="s">
        <v>72</v>
      </c>
      <c r="E226" s="28"/>
      <c r="F226" s="28"/>
      <c r="G226" s="28"/>
      <c r="H226" s="28"/>
    </row>
    <row r="227" spans="1:8" x14ac:dyDescent="0.45">
      <c r="A227" s="22" t="s">
        <v>3607</v>
      </c>
      <c r="B227" s="23">
        <v>1502000</v>
      </c>
      <c r="C227" s="23" t="s">
        <v>74</v>
      </c>
      <c r="D227" s="32" t="s">
        <v>37</v>
      </c>
      <c r="E227" s="23">
        <v>12</v>
      </c>
      <c r="F227" s="23" t="s">
        <v>17</v>
      </c>
      <c r="G227" s="24"/>
      <c r="H227" s="24">
        <f>G227*E227</f>
        <v>0</v>
      </c>
    </row>
    <row r="228" spans="1:8" s="263" customFormat="1" x14ac:dyDescent="0.45">
      <c r="A228" s="265"/>
      <c r="B228" s="266"/>
      <c r="C228" s="266">
        <v>3.6</v>
      </c>
      <c r="D228" s="267" t="s">
        <v>75</v>
      </c>
      <c r="E228" s="266"/>
      <c r="F228" s="266"/>
      <c r="G228" s="268"/>
      <c r="H228" s="273"/>
    </row>
    <row r="229" spans="1:8" s="263" customFormat="1" x14ac:dyDescent="0.45">
      <c r="A229" s="258" t="s">
        <v>3608</v>
      </c>
      <c r="B229" s="261">
        <v>1502000</v>
      </c>
      <c r="C229" s="259" t="s">
        <v>101</v>
      </c>
      <c r="D229" s="275" t="s">
        <v>102</v>
      </c>
      <c r="E229" s="261">
        <v>12</v>
      </c>
      <c r="F229" s="261" t="s">
        <v>17</v>
      </c>
      <c r="G229" s="262"/>
      <c r="H229" s="262">
        <f>G229*E229</f>
        <v>0</v>
      </c>
    </row>
    <row r="230" spans="1:8" x14ac:dyDescent="0.45">
      <c r="A230" s="40"/>
      <c r="B230" s="43">
        <v>1503020</v>
      </c>
      <c r="C230" s="41"/>
      <c r="D230" s="42" t="s">
        <v>114</v>
      </c>
      <c r="E230" s="43"/>
      <c r="F230" s="44"/>
      <c r="G230" s="44"/>
      <c r="H230" s="45"/>
    </row>
    <row r="231" spans="1:8" ht="13.45" customHeight="1" x14ac:dyDescent="0.45">
      <c r="A231" s="22" t="s">
        <v>5289</v>
      </c>
      <c r="B231" s="33">
        <v>1503020</v>
      </c>
      <c r="C231" s="33">
        <v>3.1</v>
      </c>
      <c r="D231" s="36" t="s">
        <v>116</v>
      </c>
      <c r="E231" s="23">
        <v>12</v>
      </c>
      <c r="F231" s="23" t="s">
        <v>17</v>
      </c>
      <c r="G231" s="24"/>
      <c r="H231" s="24">
        <f>G231*E231</f>
        <v>0</v>
      </c>
    </row>
    <row r="232" spans="1:8" ht="13.45" customHeight="1" x14ac:dyDescent="0.45">
      <c r="A232" s="22" t="s">
        <v>5290</v>
      </c>
      <c r="B232" s="33">
        <v>1503020</v>
      </c>
      <c r="C232" s="33">
        <v>3.2</v>
      </c>
      <c r="D232" s="36" t="s">
        <v>118</v>
      </c>
      <c r="E232" s="23">
        <v>12</v>
      </c>
      <c r="F232" s="23" t="s">
        <v>17</v>
      </c>
      <c r="G232" s="24"/>
      <c r="H232" s="24">
        <f>G232*E232</f>
        <v>0</v>
      </c>
    </row>
    <row r="233" spans="1:8" x14ac:dyDescent="0.45">
      <c r="A233" s="22" t="s">
        <v>5291</v>
      </c>
      <c r="B233" s="33">
        <v>1503020</v>
      </c>
      <c r="C233" s="33">
        <v>3.3</v>
      </c>
      <c r="D233" s="36" t="s">
        <v>120</v>
      </c>
      <c r="E233" s="23">
        <v>12</v>
      </c>
      <c r="F233" s="23" t="s">
        <v>17</v>
      </c>
      <c r="G233" s="24"/>
      <c r="H233" s="24">
        <f>G233*E233</f>
        <v>0</v>
      </c>
    </row>
    <row r="234" spans="1:8" x14ac:dyDescent="0.45">
      <c r="A234" s="40"/>
      <c r="B234" s="43">
        <v>1503030</v>
      </c>
      <c r="C234" s="41"/>
      <c r="D234" s="42" t="s">
        <v>121</v>
      </c>
      <c r="E234" s="43"/>
      <c r="F234" s="44"/>
      <c r="G234" s="44"/>
      <c r="H234" s="45"/>
    </row>
    <row r="235" spans="1:8" x14ac:dyDescent="0.45">
      <c r="A235" s="22" t="s">
        <v>5292</v>
      </c>
      <c r="B235" s="33">
        <v>1503030</v>
      </c>
      <c r="C235" s="33" t="s">
        <v>123</v>
      </c>
      <c r="D235" s="36" t="s">
        <v>124</v>
      </c>
      <c r="E235" s="23">
        <v>12</v>
      </c>
      <c r="F235" s="23" t="s">
        <v>17</v>
      </c>
      <c r="G235" s="24"/>
      <c r="H235" s="24">
        <f>G235*E235</f>
        <v>0</v>
      </c>
    </row>
    <row r="236" spans="1:8" x14ac:dyDescent="0.45">
      <c r="A236" s="58"/>
      <c r="B236" s="59"/>
      <c r="C236" s="59"/>
      <c r="D236" s="60" t="s">
        <v>287</v>
      </c>
      <c r="E236" s="59"/>
      <c r="F236" s="59"/>
      <c r="G236" s="59"/>
      <c r="H236" s="62">
        <f>SUM(H221:H235)</f>
        <v>0</v>
      </c>
    </row>
    <row r="237" spans="1:8" x14ac:dyDescent="0.45">
      <c r="A237" s="96"/>
      <c r="B237" s="97"/>
      <c r="C237" s="97"/>
      <c r="D237" s="98"/>
      <c r="E237" s="97"/>
      <c r="F237" s="97"/>
      <c r="G237" s="97"/>
      <c r="H237" s="99"/>
    </row>
    <row r="238" spans="1:8" x14ac:dyDescent="0.45">
      <c r="A238" s="12" t="s">
        <v>3609</v>
      </c>
      <c r="B238" s="13"/>
      <c r="C238" s="13"/>
      <c r="D238" s="12" t="s">
        <v>289</v>
      </c>
      <c r="E238" s="100"/>
      <c r="F238" s="101"/>
      <c r="G238" s="101"/>
      <c r="H238" s="102"/>
    </row>
    <row r="239" spans="1:8" x14ac:dyDescent="0.45">
      <c r="A239" s="103"/>
      <c r="B239" s="41">
        <v>1502000</v>
      </c>
      <c r="C239" s="43"/>
      <c r="D239" s="42" t="s">
        <v>18</v>
      </c>
      <c r="E239" s="43"/>
      <c r="F239" s="44"/>
      <c r="G239" s="44"/>
      <c r="H239" s="45"/>
    </row>
    <row r="240" spans="1:8" x14ac:dyDescent="0.45">
      <c r="A240" s="25"/>
      <c r="B240" s="26"/>
      <c r="C240" s="26">
        <v>3.4</v>
      </c>
      <c r="D240" s="27" t="s">
        <v>62</v>
      </c>
      <c r="E240" s="26"/>
      <c r="F240" s="26"/>
      <c r="G240" s="26"/>
      <c r="H240" s="104"/>
    </row>
    <row r="241" spans="1:8" x14ac:dyDescent="0.45">
      <c r="A241" s="22" t="s">
        <v>3610</v>
      </c>
      <c r="B241" s="23">
        <v>1502000</v>
      </c>
      <c r="C241" s="23" t="s">
        <v>67</v>
      </c>
      <c r="D241" s="35" t="s">
        <v>68</v>
      </c>
      <c r="E241" s="23">
        <v>12</v>
      </c>
      <c r="F241" s="23" t="s">
        <v>17</v>
      </c>
      <c r="G241" s="24"/>
      <c r="H241" s="24">
        <f>G241*E241</f>
        <v>0</v>
      </c>
    </row>
    <row r="242" spans="1:8" x14ac:dyDescent="0.45">
      <c r="A242" s="58"/>
      <c r="B242" s="59"/>
      <c r="C242" s="59"/>
      <c r="D242" s="60" t="s">
        <v>291</v>
      </c>
      <c r="E242" s="59"/>
      <c r="F242" s="59"/>
      <c r="G242" s="59"/>
      <c r="H242" s="62">
        <f>SUM(H241)</f>
        <v>0</v>
      </c>
    </row>
    <row r="243" spans="1:8" x14ac:dyDescent="0.45">
      <c r="A243" s="96"/>
      <c r="B243" s="97"/>
      <c r="C243" s="97"/>
      <c r="D243" s="98"/>
      <c r="E243" s="97"/>
      <c r="F243" s="97"/>
      <c r="G243" s="97"/>
      <c r="H243" s="99"/>
    </row>
    <row r="244" spans="1:8" x14ac:dyDescent="0.45">
      <c r="A244" s="12" t="s">
        <v>3611</v>
      </c>
      <c r="B244" s="13"/>
      <c r="C244" s="13"/>
      <c r="D244" s="12" t="s">
        <v>293</v>
      </c>
      <c r="E244" s="100"/>
      <c r="F244" s="101"/>
      <c r="G244" s="13"/>
      <c r="H244" s="102"/>
    </row>
    <row r="245" spans="1:8" x14ac:dyDescent="0.45">
      <c r="A245" s="40"/>
      <c r="B245" s="43">
        <v>1503030</v>
      </c>
      <c r="C245" s="41"/>
      <c r="D245" s="42" t="s">
        <v>121</v>
      </c>
      <c r="E245" s="43"/>
      <c r="F245" s="44"/>
      <c r="G245" s="44"/>
      <c r="H245" s="45"/>
    </row>
    <row r="246" spans="1:8" x14ac:dyDescent="0.45">
      <c r="A246" s="22" t="s">
        <v>3612</v>
      </c>
      <c r="B246" s="33">
        <v>1503030</v>
      </c>
      <c r="C246" s="33" t="s">
        <v>123</v>
      </c>
      <c r="D246" s="36" t="s">
        <v>124</v>
      </c>
      <c r="E246" s="23">
        <v>12</v>
      </c>
      <c r="F246" s="23" t="s">
        <v>17</v>
      </c>
      <c r="G246" s="24"/>
      <c r="H246" s="24">
        <f>G246*E246</f>
        <v>0</v>
      </c>
    </row>
    <row r="247" spans="1:8" x14ac:dyDescent="0.45">
      <c r="A247" s="58"/>
      <c r="B247" s="59"/>
      <c r="C247" s="59"/>
      <c r="D247" s="60" t="s">
        <v>295</v>
      </c>
      <c r="E247" s="59"/>
      <c r="F247" s="59"/>
      <c r="G247" s="59"/>
      <c r="H247" s="62">
        <f>SUM(H246)</f>
        <v>0</v>
      </c>
    </row>
    <row r="248" spans="1:8" x14ac:dyDescent="0.45">
      <c r="A248" s="96"/>
      <c r="B248" s="97"/>
      <c r="C248" s="97"/>
      <c r="D248" s="98"/>
      <c r="E248" s="97"/>
      <c r="F248" s="97"/>
      <c r="G248" s="97"/>
      <c r="H248" s="99"/>
    </row>
    <row r="249" spans="1:8" x14ac:dyDescent="0.45">
      <c r="A249" s="12" t="s">
        <v>3613</v>
      </c>
      <c r="B249" s="13"/>
      <c r="C249" s="13"/>
      <c r="D249" s="12" t="s">
        <v>297</v>
      </c>
      <c r="E249" s="100"/>
      <c r="F249" s="101"/>
      <c r="G249" s="101"/>
      <c r="H249" s="102"/>
    </row>
    <row r="250" spans="1:8" x14ac:dyDescent="0.45">
      <c r="A250" s="103"/>
      <c r="B250" s="41">
        <v>1502000</v>
      </c>
      <c r="C250" s="43"/>
      <c r="D250" s="42" t="s">
        <v>18</v>
      </c>
      <c r="E250" s="43"/>
      <c r="F250" s="44"/>
      <c r="G250" s="44"/>
      <c r="H250" s="45"/>
    </row>
    <row r="251" spans="1:8" x14ac:dyDescent="0.45">
      <c r="A251" s="27"/>
      <c r="B251" s="26"/>
      <c r="C251" s="26">
        <v>3.1</v>
      </c>
      <c r="D251" s="27" t="s">
        <v>19</v>
      </c>
      <c r="E251" s="26"/>
      <c r="F251" s="26"/>
      <c r="G251" s="26"/>
      <c r="H251" s="104"/>
    </row>
    <row r="252" spans="1:8" x14ac:dyDescent="0.45">
      <c r="A252" s="22" t="s">
        <v>3614</v>
      </c>
      <c r="B252" s="23">
        <v>1502000</v>
      </c>
      <c r="C252" s="23" t="s">
        <v>21</v>
      </c>
      <c r="D252" s="29" t="s">
        <v>22</v>
      </c>
      <c r="E252" s="23">
        <v>12</v>
      </c>
      <c r="F252" s="23" t="s">
        <v>17</v>
      </c>
      <c r="G252" s="24"/>
      <c r="H252" s="24">
        <f>G252*E252</f>
        <v>0</v>
      </c>
    </row>
    <row r="253" spans="1:8" x14ac:dyDescent="0.45">
      <c r="A253" s="22" t="s">
        <v>3615</v>
      </c>
      <c r="B253" s="23">
        <v>1502000</v>
      </c>
      <c r="C253" s="23" t="s">
        <v>24</v>
      </c>
      <c r="D253" s="29" t="s">
        <v>25</v>
      </c>
      <c r="E253" s="23">
        <v>12</v>
      </c>
      <c r="F253" s="23" t="s">
        <v>17</v>
      </c>
      <c r="G253" s="24"/>
      <c r="H253" s="24">
        <f>G253*E253</f>
        <v>0</v>
      </c>
    </row>
    <row r="254" spans="1:8" x14ac:dyDescent="0.45">
      <c r="A254" s="22" t="s">
        <v>3616</v>
      </c>
      <c r="B254" s="23">
        <v>1502000</v>
      </c>
      <c r="C254" s="23" t="s">
        <v>27</v>
      </c>
      <c r="D254" s="29" t="s">
        <v>28</v>
      </c>
      <c r="E254" s="23">
        <v>12</v>
      </c>
      <c r="F254" s="23" t="s">
        <v>17</v>
      </c>
      <c r="G254" s="24"/>
      <c r="H254" s="24">
        <f>G254*E254</f>
        <v>0</v>
      </c>
    </row>
    <row r="255" spans="1:8" x14ac:dyDescent="0.45">
      <c r="A255" s="25"/>
      <c r="B255" s="26"/>
      <c r="C255" s="26">
        <v>3.1</v>
      </c>
      <c r="D255" s="27" t="s">
        <v>31</v>
      </c>
      <c r="E255" s="28"/>
      <c r="F255" s="28"/>
      <c r="G255" s="28"/>
      <c r="H255" s="28"/>
    </row>
    <row r="256" spans="1:8" x14ac:dyDescent="0.45">
      <c r="A256" s="22" t="s">
        <v>3617</v>
      </c>
      <c r="B256" s="23">
        <v>1502000</v>
      </c>
      <c r="C256" s="286" t="s">
        <v>5022</v>
      </c>
      <c r="D256" s="32" t="s">
        <v>37</v>
      </c>
      <c r="E256" s="23">
        <v>12</v>
      </c>
      <c r="F256" s="23" t="s">
        <v>17</v>
      </c>
      <c r="G256" s="24"/>
      <c r="H256" s="24">
        <f>G256*E256</f>
        <v>0</v>
      </c>
    </row>
    <row r="257" spans="1:8" x14ac:dyDescent="0.45">
      <c r="A257" s="22" t="s">
        <v>3618</v>
      </c>
      <c r="B257" s="23">
        <v>1502000</v>
      </c>
      <c r="C257" s="23" t="s">
        <v>45</v>
      </c>
      <c r="D257" s="30" t="s">
        <v>46</v>
      </c>
      <c r="E257" s="23">
        <v>12</v>
      </c>
      <c r="F257" s="23" t="s">
        <v>17</v>
      </c>
      <c r="G257" s="24"/>
      <c r="H257" s="24">
        <f>G257*E257</f>
        <v>0</v>
      </c>
    </row>
    <row r="258" spans="1:8" x14ac:dyDescent="0.45">
      <c r="A258" s="25"/>
      <c r="B258" s="26"/>
      <c r="C258" s="26">
        <v>3.4</v>
      </c>
      <c r="D258" s="27" t="s">
        <v>62</v>
      </c>
      <c r="E258" s="26"/>
      <c r="F258" s="26"/>
      <c r="G258" s="28"/>
      <c r="H258" s="104"/>
    </row>
    <row r="259" spans="1:8" x14ac:dyDescent="0.45">
      <c r="A259" s="22" t="s">
        <v>3619</v>
      </c>
      <c r="B259" s="23">
        <v>1502000</v>
      </c>
      <c r="C259" s="23" t="s">
        <v>67</v>
      </c>
      <c r="D259" s="35" t="s">
        <v>68</v>
      </c>
      <c r="E259" s="23">
        <v>12</v>
      </c>
      <c r="F259" s="23" t="s">
        <v>17</v>
      </c>
      <c r="G259" s="24"/>
      <c r="H259" s="24">
        <f>G259*E259</f>
        <v>0</v>
      </c>
    </row>
    <row r="260" spans="1:8" x14ac:dyDescent="0.45">
      <c r="A260" s="25"/>
      <c r="B260" s="26"/>
      <c r="C260" s="26">
        <v>3.5</v>
      </c>
      <c r="D260" s="27" t="s">
        <v>72</v>
      </c>
      <c r="E260" s="28"/>
      <c r="F260" s="28"/>
      <c r="G260" s="28"/>
      <c r="H260" s="28"/>
    </row>
    <row r="261" spans="1:8" x14ac:dyDescent="0.45">
      <c r="A261" s="22" t="s">
        <v>3620</v>
      </c>
      <c r="B261" s="23">
        <v>1502000</v>
      </c>
      <c r="C261" s="23" t="s">
        <v>74</v>
      </c>
      <c r="D261" s="32" t="s">
        <v>37</v>
      </c>
      <c r="E261" s="23">
        <v>12</v>
      </c>
      <c r="F261" s="23" t="s">
        <v>17</v>
      </c>
      <c r="G261" s="24"/>
      <c r="H261" s="24">
        <f>G261*E261</f>
        <v>0</v>
      </c>
    </row>
    <row r="262" spans="1:8" x14ac:dyDescent="0.45">
      <c r="A262" s="25"/>
      <c r="B262" s="26"/>
      <c r="C262" s="26">
        <v>3.6</v>
      </c>
      <c r="D262" s="27" t="s">
        <v>75</v>
      </c>
      <c r="E262" s="26"/>
      <c r="F262" s="26"/>
      <c r="G262" s="28"/>
      <c r="H262" s="104"/>
    </row>
    <row r="263" spans="1:8" x14ac:dyDescent="0.45">
      <c r="A263" s="22" t="s">
        <v>3621</v>
      </c>
      <c r="B263" s="23">
        <v>1502000</v>
      </c>
      <c r="C263" s="33" t="s">
        <v>86</v>
      </c>
      <c r="D263" s="39" t="s">
        <v>87</v>
      </c>
      <c r="E263" s="23">
        <v>12</v>
      </c>
      <c r="F263" s="23" t="s">
        <v>17</v>
      </c>
      <c r="G263" s="24"/>
      <c r="H263" s="24">
        <f>G263*E263</f>
        <v>0</v>
      </c>
    </row>
    <row r="264" spans="1:8" x14ac:dyDescent="0.45">
      <c r="A264" s="22" t="s">
        <v>3622</v>
      </c>
      <c r="B264" s="23">
        <v>1502000</v>
      </c>
      <c r="C264" s="33" t="s">
        <v>89</v>
      </c>
      <c r="D264" s="39" t="s">
        <v>90</v>
      </c>
      <c r="E264" s="23">
        <v>12</v>
      </c>
      <c r="F264" s="23" t="s">
        <v>17</v>
      </c>
      <c r="G264" s="24"/>
      <c r="H264" s="24">
        <f>G264*E264</f>
        <v>0</v>
      </c>
    </row>
    <row r="265" spans="1:8" x14ac:dyDescent="0.45">
      <c r="A265" s="22" t="s">
        <v>3623</v>
      </c>
      <c r="B265" s="23">
        <v>1502000</v>
      </c>
      <c r="C265" s="23" t="s">
        <v>308</v>
      </c>
      <c r="D265" s="106" t="s">
        <v>309</v>
      </c>
      <c r="E265" s="23">
        <v>12</v>
      </c>
      <c r="F265" s="23" t="s">
        <v>17</v>
      </c>
      <c r="G265" s="24"/>
      <c r="H265" s="24">
        <f>G265*E265</f>
        <v>0</v>
      </c>
    </row>
    <row r="266" spans="1:8" x14ac:dyDescent="0.45">
      <c r="A266" s="40"/>
      <c r="B266" s="43">
        <v>1503020</v>
      </c>
      <c r="C266" s="41"/>
      <c r="D266" s="42" t="s">
        <v>114</v>
      </c>
      <c r="E266" s="43"/>
      <c r="F266" s="44"/>
      <c r="G266" s="44"/>
      <c r="H266" s="45"/>
    </row>
    <row r="267" spans="1:8" x14ac:dyDescent="0.45">
      <c r="A267" s="22" t="s">
        <v>3624</v>
      </c>
      <c r="B267" s="33">
        <v>1503020</v>
      </c>
      <c r="C267" s="33">
        <v>3.1</v>
      </c>
      <c r="D267" s="36" t="s">
        <v>116</v>
      </c>
      <c r="E267" s="23">
        <v>12</v>
      </c>
      <c r="F267" s="23" t="s">
        <v>17</v>
      </c>
      <c r="G267" s="24"/>
      <c r="H267" s="24">
        <f>G267*E267</f>
        <v>0</v>
      </c>
    </row>
    <row r="268" spans="1:8" x14ac:dyDescent="0.45">
      <c r="A268" s="22" t="s">
        <v>3625</v>
      </c>
      <c r="B268" s="33">
        <v>1503020</v>
      </c>
      <c r="C268" s="33">
        <v>3.2</v>
      </c>
      <c r="D268" s="36" t="s">
        <v>118</v>
      </c>
      <c r="E268" s="23">
        <v>12</v>
      </c>
      <c r="F268" s="23" t="s">
        <v>17</v>
      </c>
      <c r="G268" s="24"/>
      <c r="H268" s="24">
        <f>G268*E268</f>
        <v>0</v>
      </c>
    </row>
    <row r="269" spans="1:8" x14ac:dyDescent="0.45">
      <c r="A269" s="22" t="s">
        <v>3626</v>
      </c>
      <c r="B269" s="33">
        <v>1503020</v>
      </c>
      <c r="C269" s="33">
        <v>3.3</v>
      </c>
      <c r="D269" s="36" t="s">
        <v>120</v>
      </c>
      <c r="E269" s="23">
        <v>12</v>
      </c>
      <c r="F269" s="23" t="s">
        <v>17</v>
      </c>
      <c r="G269" s="24"/>
      <c r="H269" s="24">
        <f>G269*E269</f>
        <v>0</v>
      </c>
    </row>
    <row r="270" spans="1:8" x14ac:dyDescent="0.45">
      <c r="A270" s="40"/>
      <c r="B270" s="43">
        <v>1503030</v>
      </c>
      <c r="C270" s="41"/>
      <c r="D270" s="42" t="s">
        <v>121</v>
      </c>
      <c r="E270" s="43"/>
      <c r="F270" s="44"/>
      <c r="G270" s="44"/>
      <c r="H270" s="45"/>
    </row>
    <row r="271" spans="1:8" x14ac:dyDescent="0.45">
      <c r="A271" s="22" t="s">
        <v>3627</v>
      </c>
      <c r="B271" s="33">
        <v>1503030</v>
      </c>
      <c r="C271" s="33" t="s">
        <v>123</v>
      </c>
      <c r="D271" s="36" t="s">
        <v>124</v>
      </c>
      <c r="E271" s="23">
        <v>12</v>
      </c>
      <c r="F271" s="23" t="s">
        <v>17</v>
      </c>
      <c r="G271" s="24"/>
      <c r="H271" s="24">
        <f>G271*E271</f>
        <v>0</v>
      </c>
    </row>
    <row r="272" spans="1:8" x14ac:dyDescent="0.45">
      <c r="A272" s="58"/>
      <c r="B272" s="59"/>
      <c r="C272" s="59"/>
      <c r="D272" s="60" t="s">
        <v>314</v>
      </c>
      <c r="E272" s="59"/>
      <c r="F272" s="59"/>
      <c r="G272" s="59"/>
      <c r="H272" s="62">
        <f>SUM(H252:H271)</f>
        <v>0</v>
      </c>
    </row>
    <row r="273" spans="1:8" x14ac:dyDescent="0.45">
      <c r="A273" s="96"/>
      <c r="B273" s="97"/>
      <c r="C273" s="97"/>
      <c r="D273" s="98"/>
      <c r="E273" s="97"/>
      <c r="F273" s="97"/>
      <c r="G273" s="97"/>
      <c r="H273" s="99"/>
    </row>
    <row r="274" spans="1:8" x14ac:dyDescent="0.45">
      <c r="A274" s="12" t="s">
        <v>3628</v>
      </c>
      <c r="B274" s="13"/>
      <c r="C274" s="13"/>
      <c r="D274" s="12" t="s">
        <v>316</v>
      </c>
      <c r="E274" s="100"/>
      <c r="F274" s="101"/>
      <c r="G274" s="13"/>
      <c r="H274" s="102"/>
    </row>
    <row r="275" spans="1:8" x14ac:dyDescent="0.45">
      <c r="A275" s="40"/>
      <c r="B275" s="41">
        <v>1503010</v>
      </c>
      <c r="C275" s="41"/>
      <c r="D275" s="42" t="s">
        <v>109</v>
      </c>
      <c r="E275" s="43"/>
      <c r="F275" s="44"/>
      <c r="G275" s="44"/>
      <c r="H275" s="45"/>
    </row>
    <row r="276" spans="1:8" x14ac:dyDescent="0.45">
      <c r="A276" s="22" t="s">
        <v>3629</v>
      </c>
      <c r="B276" s="33">
        <v>1503010</v>
      </c>
      <c r="C276" s="33">
        <v>3.1</v>
      </c>
      <c r="D276" s="36" t="s">
        <v>111</v>
      </c>
      <c r="E276" s="23">
        <v>12</v>
      </c>
      <c r="F276" s="23" t="s">
        <v>17</v>
      </c>
      <c r="G276" s="24"/>
      <c r="H276" s="24">
        <f>G276*E276</f>
        <v>0</v>
      </c>
    </row>
    <row r="277" spans="1:8" x14ac:dyDescent="0.45">
      <c r="A277" s="40"/>
      <c r="B277" s="43">
        <v>1503020</v>
      </c>
      <c r="C277" s="41"/>
      <c r="D277" s="42" t="s">
        <v>114</v>
      </c>
      <c r="E277" s="43"/>
      <c r="F277" s="44"/>
      <c r="G277" s="44"/>
      <c r="H277" s="45"/>
    </row>
    <row r="278" spans="1:8" ht="13.45" customHeight="1" x14ac:dyDescent="0.45">
      <c r="A278" s="22" t="s">
        <v>3630</v>
      </c>
      <c r="B278" s="33">
        <v>1503020</v>
      </c>
      <c r="C278" s="33">
        <v>3.1</v>
      </c>
      <c r="D278" s="36" t="s">
        <v>116</v>
      </c>
      <c r="E278" s="23">
        <v>12</v>
      </c>
      <c r="F278" s="23" t="s">
        <v>17</v>
      </c>
      <c r="G278" s="24"/>
      <c r="H278" s="24">
        <f>G278*E278</f>
        <v>0</v>
      </c>
    </row>
    <row r="279" spans="1:8" ht="13.45" customHeight="1" x14ac:dyDescent="0.45">
      <c r="A279" s="22" t="s">
        <v>3631</v>
      </c>
      <c r="B279" s="33">
        <v>1503020</v>
      </c>
      <c r="C279" s="33">
        <v>3.2</v>
      </c>
      <c r="D279" s="36" t="s">
        <v>118</v>
      </c>
      <c r="E279" s="23">
        <v>12</v>
      </c>
      <c r="F279" s="23" t="s">
        <v>17</v>
      </c>
      <c r="G279" s="24"/>
      <c r="H279" s="24">
        <f>G279*E279</f>
        <v>0</v>
      </c>
    </row>
    <row r="280" spans="1:8" x14ac:dyDescent="0.45">
      <c r="A280" s="22" t="s">
        <v>3632</v>
      </c>
      <c r="B280" s="33">
        <v>1503020</v>
      </c>
      <c r="C280" s="33">
        <v>3.3</v>
      </c>
      <c r="D280" s="36" t="s">
        <v>120</v>
      </c>
      <c r="E280" s="23">
        <v>12</v>
      </c>
      <c r="F280" s="23" t="s">
        <v>17</v>
      </c>
      <c r="G280" s="24"/>
      <c r="H280" s="24">
        <f>G280*E280</f>
        <v>0</v>
      </c>
    </row>
    <row r="281" spans="1:8" x14ac:dyDescent="0.45">
      <c r="A281" s="58"/>
      <c r="B281" s="59"/>
      <c r="C281" s="59"/>
      <c r="D281" s="60" t="s">
        <v>321</v>
      </c>
      <c r="E281" s="59"/>
      <c r="F281" s="59"/>
      <c r="G281" s="59"/>
      <c r="H281" s="62">
        <f>SUM(H276:H280)</f>
        <v>0</v>
      </c>
    </row>
    <row r="282" spans="1:8" x14ac:dyDescent="0.45">
      <c r="A282" s="96"/>
      <c r="B282" s="97"/>
      <c r="C282" s="97"/>
      <c r="D282" s="98"/>
      <c r="E282" s="97"/>
      <c r="F282" s="97"/>
      <c r="G282" s="97"/>
      <c r="H282" s="99"/>
    </row>
    <row r="283" spans="1:8" x14ac:dyDescent="0.45">
      <c r="A283" s="12" t="s">
        <v>3633</v>
      </c>
      <c r="B283" s="13"/>
      <c r="C283" s="13"/>
      <c r="D283" s="12" t="s">
        <v>323</v>
      </c>
      <c r="E283" s="13"/>
      <c r="F283" s="13"/>
      <c r="G283" s="101"/>
      <c r="H283" s="102"/>
    </row>
    <row r="284" spans="1:8" x14ac:dyDescent="0.45">
      <c r="A284" s="103"/>
      <c r="B284" s="41">
        <v>1502000</v>
      </c>
      <c r="C284" s="43"/>
      <c r="D284" s="42" t="s">
        <v>18</v>
      </c>
      <c r="E284" s="43"/>
      <c r="F284" s="44"/>
      <c r="G284" s="44"/>
      <c r="H284" s="45"/>
    </row>
    <row r="285" spans="1:8" x14ac:dyDescent="0.45">
      <c r="A285" s="27"/>
      <c r="B285" s="26"/>
      <c r="C285" s="26">
        <v>3.1</v>
      </c>
      <c r="D285" s="27" t="s">
        <v>19</v>
      </c>
      <c r="E285" s="26"/>
      <c r="F285" s="26"/>
      <c r="G285" s="26"/>
      <c r="H285" s="104"/>
    </row>
    <row r="286" spans="1:8" x14ac:dyDescent="0.45">
      <c r="A286" s="22" t="s">
        <v>3634</v>
      </c>
      <c r="B286" s="23">
        <v>1502000</v>
      </c>
      <c r="C286" s="23" t="s">
        <v>21</v>
      </c>
      <c r="D286" s="29" t="s">
        <v>22</v>
      </c>
      <c r="E286" s="23">
        <v>12</v>
      </c>
      <c r="F286" s="23" t="s">
        <v>17</v>
      </c>
      <c r="G286" s="24"/>
      <c r="H286" s="24">
        <f>G286*E286</f>
        <v>0</v>
      </c>
    </row>
    <row r="287" spans="1:8" x14ac:dyDescent="0.45">
      <c r="A287" s="22" t="s">
        <v>3635</v>
      </c>
      <c r="B287" s="23">
        <v>1502000</v>
      </c>
      <c r="C287" s="23" t="s">
        <v>24</v>
      </c>
      <c r="D287" s="29" t="s">
        <v>25</v>
      </c>
      <c r="E287" s="23">
        <v>12</v>
      </c>
      <c r="F287" s="23" t="s">
        <v>17</v>
      </c>
      <c r="G287" s="24"/>
      <c r="H287" s="24">
        <f>G287*E287</f>
        <v>0</v>
      </c>
    </row>
    <row r="288" spans="1:8" x14ac:dyDescent="0.45">
      <c r="A288" s="22" t="s">
        <v>3636</v>
      </c>
      <c r="B288" s="23">
        <v>1502000</v>
      </c>
      <c r="C288" s="23" t="s">
        <v>27</v>
      </c>
      <c r="D288" s="29" t="s">
        <v>28</v>
      </c>
      <c r="E288" s="23">
        <v>12</v>
      </c>
      <c r="F288" s="23" t="s">
        <v>17</v>
      </c>
      <c r="G288" s="24"/>
      <c r="H288" s="24">
        <f>G288*E288</f>
        <v>0</v>
      </c>
    </row>
    <row r="289" spans="1:8" x14ac:dyDescent="0.45">
      <c r="A289" s="25"/>
      <c r="B289" s="26"/>
      <c r="C289" s="26">
        <v>3.1</v>
      </c>
      <c r="D289" s="27" t="s">
        <v>31</v>
      </c>
      <c r="E289" s="28"/>
      <c r="F289" s="28"/>
      <c r="G289" s="28"/>
      <c r="H289" s="28"/>
    </row>
    <row r="290" spans="1:8" x14ac:dyDescent="0.45">
      <c r="A290" s="22" t="s">
        <v>3637</v>
      </c>
      <c r="B290" s="23">
        <v>1502000</v>
      </c>
      <c r="C290" s="23" t="s">
        <v>33</v>
      </c>
      <c r="D290" s="30" t="s">
        <v>34</v>
      </c>
      <c r="E290" s="23">
        <v>12</v>
      </c>
      <c r="F290" s="23" t="s">
        <v>17</v>
      </c>
      <c r="G290" s="24"/>
      <c r="H290" s="24">
        <f t="shared" ref="H290:H295" si="3">G290*E290</f>
        <v>0</v>
      </c>
    </row>
    <row r="291" spans="1:8" s="389" customFormat="1" x14ac:dyDescent="0.45">
      <c r="A291" s="22" t="s">
        <v>3638</v>
      </c>
      <c r="B291" s="23">
        <v>1502000</v>
      </c>
      <c r="C291" s="23" t="s">
        <v>5016</v>
      </c>
      <c r="D291" s="30" t="s">
        <v>46</v>
      </c>
      <c r="E291" s="23">
        <v>12</v>
      </c>
      <c r="F291" s="23" t="s">
        <v>17</v>
      </c>
      <c r="G291" s="24"/>
      <c r="H291" s="24">
        <f t="shared" si="3"/>
        <v>0</v>
      </c>
    </row>
    <row r="292" spans="1:8" s="389" customFormat="1" x14ac:dyDescent="0.45">
      <c r="A292" s="258" t="s">
        <v>3639</v>
      </c>
      <c r="B292" s="261">
        <v>1502000</v>
      </c>
      <c r="C292" s="261" t="s">
        <v>5017</v>
      </c>
      <c r="D292" s="269" t="s">
        <v>55</v>
      </c>
      <c r="E292" s="261">
        <v>12</v>
      </c>
      <c r="F292" s="261" t="s">
        <v>17</v>
      </c>
      <c r="G292" s="262"/>
      <c r="H292" s="262">
        <f t="shared" si="3"/>
        <v>0</v>
      </c>
    </row>
    <row r="293" spans="1:8" s="389" customFormat="1" x14ac:dyDescent="0.45">
      <c r="A293" s="22" t="s">
        <v>5248</v>
      </c>
      <c r="B293" s="23">
        <v>1502000</v>
      </c>
      <c r="C293" s="113" t="s">
        <v>5018</v>
      </c>
      <c r="D293" s="114" t="s">
        <v>330</v>
      </c>
      <c r="E293" s="23">
        <v>12</v>
      </c>
      <c r="F293" s="23" t="s">
        <v>17</v>
      </c>
      <c r="G293" s="24"/>
      <c r="H293" s="24">
        <f t="shared" si="3"/>
        <v>0</v>
      </c>
    </row>
    <row r="294" spans="1:8" s="389" customFormat="1" x14ac:dyDescent="0.45">
      <c r="A294" s="22" t="s">
        <v>5249</v>
      </c>
      <c r="B294" s="23">
        <v>1502000</v>
      </c>
      <c r="C294" s="113" t="s">
        <v>5019</v>
      </c>
      <c r="D294" s="114" t="s">
        <v>331</v>
      </c>
      <c r="E294" s="23">
        <v>12</v>
      </c>
      <c r="F294" s="23" t="s">
        <v>17</v>
      </c>
      <c r="G294" s="24"/>
      <c r="H294" s="24">
        <f t="shared" si="3"/>
        <v>0</v>
      </c>
    </row>
    <row r="295" spans="1:8" s="389" customFormat="1" x14ac:dyDescent="0.45">
      <c r="A295" s="22" t="s">
        <v>5250</v>
      </c>
      <c r="B295" s="23">
        <v>1502000</v>
      </c>
      <c r="C295" s="113" t="s">
        <v>5020</v>
      </c>
      <c r="D295" s="114" t="s">
        <v>333</v>
      </c>
      <c r="E295" s="23">
        <v>12</v>
      </c>
      <c r="F295" s="23" t="s">
        <v>17</v>
      </c>
      <c r="G295" s="24"/>
      <c r="H295" s="24">
        <f t="shared" si="3"/>
        <v>0</v>
      </c>
    </row>
    <row r="296" spans="1:8" x14ac:dyDescent="0.45">
      <c r="A296" s="25"/>
      <c r="B296" s="26"/>
      <c r="C296" s="26">
        <v>3.4</v>
      </c>
      <c r="D296" s="27" t="s">
        <v>62</v>
      </c>
      <c r="E296" s="26"/>
      <c r="F296" s="26"/>
      <c r="G296" s="28"/>
      <c r="H296" s="104"/>
    </row>
    <row r="297" spans="1:8" x14ac:dyDescent="0.45">
      <c r="A297" s="22" t="s">
        <v>5251</v>
      </c>
      <c r="B297" s="23">
        <v>1502000</v>
      </c>
      <c r="C297" s="23" t="s">
        <v>67</v>
      </c>
      <c r="D297" s="35" t="s">
        <v>68</v>
      </c>
      <c r="E297" s="23">
        <v>12</v>
      </c>
      <c r="F297" s="23" t="s">
        <v>17</v>
      </c>
      <c r="G297" s="24"/>
      <c r="H297" s="24">
        <f>G297*E297</f>
        <v>0</v>
      </c>
    </row>
    <row r="298" spans="1:8" x14ac:dyDescent="0.45">
      <c r="A298" s="25"/>
      <c r="B298" s="26"/>
      <c r="C298" s="26">
        <v>3.6</v>
      </c>
      <c r="D298" s="27" t="s">
        <v>75</v>
      </c>
      <c r="E298" s="26"/>
      <c r="F298" s="26"/>
      <c r="G298" s="28"/>
      <c r="H298" s="104"/>
    </row>
    <row r="299" spans="1:8" x14ac:dyDescent="0.45">
      <c r="A299" s="22" t="s">
        <v>5252</v>
      </c>
      <c r="B299" s="23">
        <v>1502000</v>
      </c>
      <c r="C299" s="33" t="s">
        <v>89</v>
      </c>
      <c r="D299" s="39" t="s">
        <v>90</v>
      </c>
      <c r="E299" s="23">
        <v>12</v>
      </c>
      <c r="F299" s="23" t="s">
        <v>17</v>
      </c>
      <c r="G299" s="24"/>
      <c r="H299" s="24">
        <f>G299*E299</f>
        <v>0</v>
      </c>
    </row>
    <row r="300" spans="1:8" x14ac:dyDescent="0.45">
      <c r="A300" s="22" t="s">
        <v>5253</v>
      </c>
      <c r="B300" s="23">
        <v>1502000</v>
      </c>
      <c r="C300" s="33" t="s">
        <v>101</v>
      </c>
      <c r="D300" s="39" t="s">
        <v>102</v>
      </c>
      <c r="E300" s="23">
        <v>12</v>
      </c>
      <c r="F300" s="23" t="s">
        <v>17</v>
      </c>
      <c r="G300" s="24"/>
      <c r="H300" s="24">
        <f>G300*E300</f>
        <v>0</v>
      </c>
    </row>
    <row r="301" spans="1:8" x14ac:dyDescent="0.45">
      <c r="A301" s="40"/>
      <c r="B301" s="41">
        <v>1503010</v>
      </c>
      <c r="C301" s="41"/>
      <c r="D301" s="42" t="s">
        <v>109</v>
      </c>
      <c r="E301" s="43"/>
      <c r="F301" s="44"/>
      <c r="G301" s="44"/>
      <c r="H301" s="45"/>
    </row>
    <row r="302" spans="1:8" x14ac:dyDescent="0.45">
      <c r="A302" s="22" t="s">
        <v>5254</v>
      </c>
      <c r="B302" s="33">
        <v>1503010</v>
      </c>
      <c r="C302" s="33">
        <v>3.1</v>
      </c>
      <c r="D302" s="36" t="s">
        <v>111</v>
      </c>
      <c r="E302" s="23">
        <v>12</v>
      </c>
      <c r="F302" s="115" t="s">
        <v>17</v>
      </c>
      <c r="G302" s="24"/>
      <c r="H302" s="24">
        <f>G302*E302</f>
        <v>0</v>
      </c>
    </row>
    <row r="303" spans="1:8" x14ac:dyDescent="0.45">
      <c r="A303" s="58"/>
      <c r="B303" s="59"/>
      <c r="C303" s="59"/>
      <c r="D303" s="60" t="s">
        <v>334</v>
      </c>
      <c r="E303" s="59"/>
      <c r="F303" s="59"/>
      <c r="G303" s="59"/>
      <c r="H303" s="62">
        <f>SUM(H286:H302)</f>
        <v>0</v>
      </c>
    </row>
    <row r="304" spans="1:8" x14ac:dyDescent="0.45">
      <c r="A304" s="96"/>
      <c r="B304" s="97"/>
      <c r="C304" s="97"/>
      <c r="D304" s="116"/>
      <c r="E304" s="97"/>
      <c r="F304" s="97"/>
      <c r="G304" s="97"/>
      <c r="H304" s="99"/>
    </row>
    <row r="305" spans="1:8" x14ac:dyDescent="0.45">
      <c r="A305" s="12" t="s">
        <v>3640</v>
      </c>
      <c r="B305" s="13"/>
      <c r="C305" s="13"/>
      <c r="D305" s="247" t="s">
        <v>5009</v>
      </c>
      <c r="E305" s="13"/>
      <c r="F305" s="13"/>
      <c r="G305" s="101"/>
      <c r="H305" s="102"/>
    </row>
    <row r="306" spans="1:8" x14ac:dyDescent="0.45">
      <c r="A306" s="40"/>
      <c r="B306" s="41">
        <v>1401000</v>
      </c>
      <c r="C306" s="41"/>
      <c r="D306" s="42" t="s">
        <v>336</v>
      </c>
      <c r="E306" s="43"/>
      <c r="F306" s="44"/>
      <c r="G306" s="44"/>
      <c r="H306" s="45"/>
    </row>
    <row r="307" spans="1:8" x14ac:dyDescent="0.45">
      <c r="A307" s="22" t="s">
        <v>3641</v>
      </c>
      <c r="B307" s="23">
        <v>1401000</v>
      </c>
      <c r="C307" s="23">
        <v>3.1</v>
      </c>
      <c r="D307" s="27" t="s">
        <v>338</v>
      </c>
      <c r="E307" s="26"/>
      <c r="F307" s="26"/>
      <c r="G307" s="26"/>
      <c r="H307" s="104"/>
    </row>
    <row r="308" spans="1:8" x14ac:dyDescent="0.45">
      <c r="A308" s="22" t="s">
        <v>3642</v>
      </c>
      <c r="B308" s="117">
        <v>1401000</v>
      </c>
      <c r="C308" s="117" t="s">
        <v>340</v>
      </c>
      <c r="D308" s="106" t="s">
        <v>22</v>
      </c>
      <c r="E308" s="118">
        <v>12</v>
      </c>
      <c r="F308" s="118" t="s">
        <v>17</v>
      </c>
      <c r="G308" s="24"/>
      <c r="H308" s="24">
        <f>G308*E308</f>
        <v>0</v>
      </c>
    </row>
    <row r="309" spans="1:8" x14ac:dyDescent="0.45">
      <c r="A309" s="22" t="s">
        <v>3643</v>
      </c>
      <c r="B309" s="117">
        <v>1401000</v>
      </c>
      <c r="C309" s="117" t="s">
        <v>342</v>
      </c>
      <c r="D309" s="106" t="s">
        <v>25</v>
      </c>
      <c r="E309" s="118">
        <v>12</v>
      </c>
      <c r="F309" s="118" t="s">
        <v>17</v>
      </c>
      <c r="G309" s="24"/>
      <c r="H309" s="24">
        <f>G309*E309</f>
        <v>0</v>
      </c>
    </row>
    <row r="310" spans="1:8" x14ac:dyDescent="0.45">
      <c r="A310" s="22" t="s">
        <v>3644</v>
      </c>
      <c r="B310" s="117">
        <v>1401000</v>
      </c>
      <c r="C310" s="117" t="s">
        <v>344</v>
      </c>
      <c r="D310" s="106" t="s">
        <v>28</v>
      </c>
      <c r="E310" s="118">
        <v>12</v>
      </c>
      <c r="F310" s="118" t="s">
        <v>17</v>
      </c>
      <c r="G310" s="24"/>
      <c r="H310" s="24">
        <f>G310*E310</f>
        <v>0</v>
      </c>
    </row>
    <row r="311" spans="1:8" x14ac:dyDescent="0.45">
      <c r="A311" s="22" t="s">
        <v>3645</v>
      </c>
      <c r="B311" s="117">
        <v>1401000</v>
      </c>
      <c r="C311" s="117" t="s">
        <v>24</v>
      </c>
      <c r="D311" s="106" t="s">
        <v>346</v>
      </c>
      <c r="E311" s="118">
        <v>12</v>
      </c>
      <c r="F311" s="118" t="s">
        <v>17</v>
      </c>
      <c r="G311" s="24"/>
      <c r="H311" s="24">
        <f>G311*E311</f>
        <v>0</v>
      </c>
    </row>
    <row r="312" spans="1:8" x14ac:dyDescent="0.45">
      <c r="A312" s="103"/>
      <c r="B312" s="41">
        <v>1502000</v>
      </c>
      <c r="C312" s="43"/>
      <c r="D312" s="42" t="s">
        <v>18</v>
      </c>
      <c r="E312" s="43"/>
      <c r="F312" s="44"/>
      <c r="G312" s="44"/>
      <c r="H312" s="45"/>
    </row>
    <row r="313" spans="1:8" x14ac:dyDescent="0.45">
      <c r="A313" s="25"/>
      <c r="B313" s="26"/>
      <c r="C313" s="26">
        <v>3.1</v>
      </c>
      <c r="D313" s="27" t="s">
        <v>31</v>
      </c>
      <c r="E313" s="28"/>
      <c r="F313" s="28"/>
      <c r="G313" s="28"/>
      <c r="H313" s="28"/>
    </row>
    <row r="314" spans="1:8" x14ac:dyDescent="0.45">
      <c r="A314" s="22" t="s">
        <v>3646</v>
      </c>
      <c r="B314" s="33">
        <v>1502000</v>
      </c>
      <c r="C314" s="33" t="s">
        <v>60</v>
      </c>
      <c r="D314" s="30" t="s">
        <v>61</v>
      </c>
      <c r="E314" s="118">
        <v>12</v>
      </c>
      <c r="F314" s="118" t="s">
        <v>17</v>
      </c>
      <c r="G314" s="24"/>
      <c r="H314" s="24">
        <f>G314*E314</f>
        <v>0</v>
      </c>
    </row>
    <row r="315" spans="1:8" x14ac:dyDescent="0.45">
      <c r="A315" s="25"/>
      <c r="B315" s="26"/>
      <c r="C315" s="26">
        <v>3.4</v>
      </c>
      <c r="D315" s="27" t="s">
        <v>62</v>
      </c>
      <c r="E315" s="26"/>
      <c r="F315" s="26"/>
      <c r="G315" s="28"/>
      <c r="H315" s="104"/>
    </row>
    <row r="316" spans="1:8" x14ac:dyDescent="0.45">
      <c r="A316" s="22" t="s">
        <v>3647</v>
      </c>
      <c r="B316" s="23">
        <v>1502000</v>
      </c>
      <c r="C316" s="23" t="s">
        <v>64</v>
      </c>
      <c r="D316" s="35" t="s">
        <v>65</v>
      </c>
      <c r="E316" s="118">
        <v>12</v>
      </c>
      <c r="F316" s="118" t="s">
        <v>17</v>
      </c>
      <c r="G316" s="24"/>
      <c r="H316" s="24">
        <f>G316*E316</f>
        <v>0</v>
      </c>
    </row>
    <row r="317" spans="1:8" x14ac:dyDescent="0.45">
      <c r="A317" s="22" t="s">
        <v>3648</v>
      </c>
      <c r="B317" s="23">
        <v>1502000</v>
      </c>
      <c r="C317" s="33" t="s">
        <v>70</v>
      </c>
      <c r="D317" s="36" t="s">
        <v>71</v>
      </c>
      <c r="E317" s="118">
        <v>12</v>
      </c>
      <c r="F317" s="118" t="s">
        <v>17</v>
      </c>
      <c r="G317" s="24"/>
      <c r="H317" s="24">
        <f>G317*E317</f>
        <v>0</v>
      </c>
    </row>
    <row r="318" spans="1:8" x14ac:dyDescent="0.45">
      <c r="A318" s="25"/>
      <c r="B318" s="26"/>
      <c r="C318" s="26">
        <v>3.6</v>
      </c>
      <c r="D318" s="27" t="s">
        <v>75</v>
      </c>
      <c r="E318" s="26"/>
      <c r="F318" s="26"/>
      <c r="G318" s="28"/>
      <c r="H318" s="104"/>
    </row>
    <row r="319" spans="1:8" x14ac:dyDescent="0.45">
      <c r="A319" s="22" t="s">
        <v>3649</v>
      </c>
      <c r="B319" s="23">
        <v>1502000</v>
      </c>
      <c r="C319" s="23" t="s">
        <v>80</v>
      </c>
      <c r="D319" s="30" t="s">
        <v>81</v>
      </c>
      <c r="E319" s="118">
        <v>12</v>
      </c>
      <c r="F319" s="118" t="s">
        <v>17</v>
      </c>
      <c r="G319" s="24"/>
      <c r="H319" s="24">
        <f>G319*E319</f>
        <v>0</v>
      </c>
    </row>
    <row r="320" spans="1:8" x14ac:dyDescent="0.45">
      <c r="A320" s="22" t="s">
        <v>3650</v>
      </c>
      <c r="B320" s="23">
        <v>1502000</v>
      </c>
      <c r="C320" s="33" t="s">
        <v>86</v>
      </c>
      <c r="D320" s="39" t="s">
        <v>87</v>
      </c>
      <c r="E320" s="118">
        <v>12</v>
      </c>
      <c r="F320" s="118" t="s">
        <v>17</v>
      </c>
      <c r="G320" s="24"/>
      <c r="H320" s="24">
        <f>G320*E320</f>
        <v>0</v>
      </c>
    </row>
    <row r="321" spans="1:8" x14ac:dyDescent="0.45">
      <c r="A321" s="40"/>
      <c r="B321" s="41">
        <v>1503010</v>
      </c>
      <c r="C321" s="41"/>
      <c r="D321" s="42" t="s">
        <v>109</v>
      </c>
      <c r="E321" s="43"/>
      <c r="F321" s="44"/>
      <c r="G321" s="44"/>
      <c r="H321" s="45"/>
    </row>
    <row r="322" spans="1:8" x14ac:dyDescent="0.45">
      <c r="A322" s="22" t="s">
        <v>3651</v>
      </c>
      <c r="B322" s="33">
        <v>1503010</v>
      </c>
      <c r="C322" s="33">
        <v>3.1</v>
      </c>
      <c r="D322" s="36" t="s">
        <v>111</v>
      </c>
      <c r="E322" s="23">
        <v>12</v>
      </c>
      <c r="F322" s="23" t="s">
        <v>17</v>
      </c>
      <c r="G322" s="24"/>
      <c r="H322" s="24">
        <f>G322*E322</f>
        <v>0</v>
      </c>
    </row>
    <row r="323" spans="1:8" x14ac:dyDescent="0.45">
      <c r="A323" s="40"/>
      <c r="B323" s="43">
        <v>1503020</v>
      </c>
      <c r="C323" s="41"/>
      <c r="D323" s="42" t="s">
        <v>114</v>
      </c>
      <c r="E323" s="43"/>
      <c r="F323" s="44"/>
      <c r="G323" s="44"/>
      <c r="H323" s="45"/>
    </row>
    <row r="324" spans="1:8" s="254" customFormat="1" x14ac:dyDescent="0.45">
      <c r="A324" s="249" t="s">
        <v>3652</v>
      </c>
      <c r="B324" s="250">
        <v>1503020</v>
      </c>
      <c r="C324" s="250">
        <v>3.1</v>
      </c>
      <c r="D324" s="295" t="s">
        <v>116</v>
      </c>
      <c r="E324" s="252">
        <v>12</v>
      </c>
      <c r="F324" s="252" t="s">
        <v>17</v>
      </c>
      <c r="G324" s="253"/>
      <c r="H324" s="253">
        <f>G324*E324</f>
        <v>0</v>
      </c>
    </row>
    <row r="325" spans="1:8" s="254" customFormat="1" x14ac:dyDescent="0.45">
      <c r="A325" s="249" t="s">
        <v>3653</v>
      </c>
      <c r="B325" s="250">
        <v>1503020</v>
      </c>
      <c r="C325" s="250">
        <v>3.2</v>
      </c>
      <c r="D325" s="251" t="s">
        <v>118</v>
      </c>
      <c r="E325" s="252">
        <v>12</v>
      </c>
      <c r="F325" s="252" t="s">
        <v>17</v>
      </c>
      <c r="G325" s="253"/>
      <c r="H325" s="253">
        <f>G325*E325</f>
        <v>0</v>
      </c>
    </row>
    <row r="326" spans="1:8" s="300" customFormat="1" x14ac:dyDescent="0.45">
      <c r="A326" s="269" t="s">
        <v>3653</v>
      </c>
      <c r="B326" s="296">
        <v>1503020</v>
      </c>
      <c r="C326" s="296" t="s">
        <v>158</v>
      </c>
      <c r="D326" s="297" t="s">
        <v>5015</v>
      </c>
      <c r="E326" s="298">
        <v>12</v>
      </c>
      <c r="F326" s="298" t="s">
        <v>17</v>
      </c>
      <c r="G326" s="299"/>
      <c r="H326" s="299">
        <f>G326*E326</f>
        <v>0</v>
      </c>
    </row>
    <row r="327" spans="1:8" s="140" customFormat="1" x14ac:dyDescent="0.45">
      <c r="A327" s="249" t="s">
        <v>3654</v>
      </c>
      <c r="B327" s="52">
        <v>1503020</v>
      </c>
      <c r="C327" s="52">
        <v>3.3</v>
      </c>
      <c r="D327" s="36" t="s">
        <v>120</v>
      </c>
      <c r="E327" s="255">
        <v>12</v>
      </c>
      <c r="F327" s="255" t="s">
        <v>17</v>
      </c>
      <c r="G327" s="256"/>
      <c r="H327" s="256">
        <f>G327*E327</f>
        <v>0</v>
      </c>
    </row>
    <row r="328" spans="1:8" x14ac:dyDescent="0.45">
      <c r="A328" s="40"/>
      <c r="B328" s="43">
        <v>1503030</v>
      </c>
      <c r="C328" s="41"/>
      <c r="D328" s="42" t="s">
        <v>121</v>
      </c>
      <c r="E328" s="43"/>
      <c r="F328" s="44"/>
      <c r="G328" s="44"/>
      <c r="H328" s="45"/>
    </row>
    <row r="329" spans="1:8" x14ac:dyDescent="0.45">
      <c r="A329" s="22" t="s">
        <v>5255</v>
      </c>
      <c r="B329" s="33">
        <v>1503030</v>
      </c>
      <c r="C329" s="33" t="s">
        <v>123</v>
      </c>
      <c r="D329" s="36" t="s">
        <v>124</v>
      </c>
      <c r="E329" s="23">
        <v>12</v>
      </c>
      <c r="F329" s="23" t="s">
        <v>17</v>
      </c>
      <c r="G329" s="24"/>
      <c r="H329" s="24">
        <f>G329*E329</f>
        <v>0</v>
      </c>
    </row>
    <row r="330" spans="1:8" x14ac:dyDescent="0.45">
      <c r="A330" s="40"/>
      <c r="B330" s="41">
        <v>1503050</v>
      </c>
      <c r="C330" s="41"/>
      <c r="D330" s="42" t="s">
        <v>127</v>
      </c>
      <c r="E330" s="43"/>
      <c r="F330" s="44"/>
      <c r="G330" s="44"/>
      <c r="H330" s="45"/>
    </row>
    <row r="331" spans="1:8" x14ac:dyDescent="0.45">
      <c r="A331" s="22" t="s">
        <v>5256</v>
      </c>
      <c r="B331" s="23">
        <v>1503050</v>
      </c>
      <c r="C331" s="23">
        <v>3.1</v>
      </c>
      <c r="D331" s="106" t="s">
        <v>129</v>
      </c>
      <c r="E331" s="23">
        <v>12</v>
      </c>
      <c r="F331" s="23" t="s">
        <v>17</v>
      </c>
      <c r="G331" s="24"/>
      <c r="H331" s="24">
        <f>G331*E331</f>
        <v>0</v>
      </c>
    </row>
    <row r="332" spans="1:8" x14ac:dyDescent="0.45">
      <c r="A332" s="40"/>
      <c r="B332" s="41">
        <v>1503060</v>
      </c>
      <c r="C332" s="41"/>
      <c r="D332" s="42" t="s">
        <v>138</v>
      </c>
      <c r="E332" s="43"/>
      <c r="F332" s="44"/>
      <c r="G332" s="44"/>
      <c r="H332" s="45"/>
    </row>
    <row r="333" spans="1:8" x14ac:dyDescent="0.45">
      <c r="A333" s="249" t="s">
        <v>5257</v>
      </c>
      <c r="B333" s="23">
        <v>1503060</v>
      </c>
      <c r="C333" s="23">
        <v>3.1</v>
      </c>
      <c r="D333" s="106" t="s">
        <v>129</v>
      </c>
      <c r="E333" s="23">
        <v>12</v>
      </c>
      <c r="F333" s="23" t="s">
        <v>17</v>
      </c>
      <c r="G333" s="24"/>
      <c r="H333" s="24">
        <f>G333*E333</f>
        <v>0</v>
      </c>
    </row>
    <row r="334" spans="1:8" x14ac:dyDescent="0.45">
      <c r="A334" s="58"/>
      <c r="B334" s="59"/>
      <c r="C334" s="59"/>
      <c r="D334" s="60" t="s">
        <v>358</v>
      </c>
      <c r="E334" s="59"/>
      <c r="F334" s="59"/>
      <c r="G334" s="59"/>
      <c r="H334" s="62">
        <f>SUM(H308:H333)</f>
        <v>0</v>
      </c>
    </row>
    <row r="335" spans="1:8" x14ac:dyDescent="0.45">
      <c r="A335" s="121"/>
      <c r="B335" s="122"/>
      <c r="C335" s="122"/>
      <c r="D335" s="123"/>
      <c r="E335" s="122"/>
      <c r="F335" s="124"/>
      <c r="G335" s="97"/>
      <c r="H335" s="110"/>
    </row>
    <row r="336" spans="1:8" x14ac:dyDescent="0.45">
      <c r="A336" s="12" t="s">
        <v>3655</v>
      </c>
      <c r="B336" s="13"/>
      <c r="C336" s="13"/>
      <c r="D336" s="12" t="s">
        <v>360</v>
      </c>
      <c r="E336" s="100"/>
      <c r="F336" s="101"/>
      <c r="G336" s="13"/>
      <c r="H336" s="102"/>
    </row>
    <row r="337" spans="1:8" x14ac:dyDescent="0.45">
      <c r="A337" s="40"/>
      <c r="B337" s="41">
        <v>1402000</v>
      </c>
      <c r="C337" s="41">
        <v>3</v>
      </c>
      <c r="D337" s="42" t="s">
        <v>124</v>
      </c>
      <c r="E337" s="43"/>
      <c r="F337" s="44"/>
      <c r="G337" s="44"/>
      <c r="H337" s="45"/>
    </row>
    <row r="338" spans="1:8" x14ac:dyDescent="0.45">
      <c r="A338" s="22" t="s">
        <v>3656</v>
      </c>
      <c r="B338" s="23">
        <v>1402000</v>
      </c>
      <c r="C338" s="23">
        <v>3.1</v>
      </c>
      <c r="D338" s="106" t="s">
        <v>362</v>
      </c>
      <c r="E338" s="23">
        <v>12</v>
      </c>
      <c r="F338" s="23" t="s">
        <v>17</v>
      </c>
      <c r="G338" s="24"/>
      <c r="H338" s="24">
        <f>G338*E338</f>
        <v>0</v>
      </c>
    </row>
    <row r="339" spans="1:8" s="429" customFormat="1" x14ac:dyDescent="0.45">
      <c r="A339" s="258" t="s">
        <v>3657</v>
      </c>
      <c r="B339" s="261">
        <v>1402000</v>
      </c>
      <c r="C339" s="26">
        <v>3.2</v>
      </c>
      <c r="D339" s="27" t="s">
        <v>364</v>
      </c>
      <c r="E339" s="28"/>
      <c r="F339" s="28"/>
      <c r="G339" s="28"/>
      <c r="H339" s="28"/>
    </row>
    <row r="340" spans="1:8" s="293" customFormat="1" x14ac:dyDescent="0.45">
      <c r="A340" s="257" t="s">
        <v>3657</v>
      </c>
      <c r="B340" s="286">
        <v>1402000</v>
      </c>
      <c r="C340" s="286">
        <v>3.2</v>
      </c>
      <c r="D340" s="180" t="s">
        <v>5027</v>
      </c>
      <c r="E340" s="286">
        <v>150</v>
      </c>
      <c r="F340" s="286" t="s">
        <v>472</v>
      </c>
      <c r="G340" s="302"/>
      <c r="H340" s="302">
        <f t="shared" ref="H340:H343" si="4">G340*E340</f>
        <v>0</v>
      </c>
    </row>
    <row r="341" spans="1:8" s="389" customFormat="1" x14ac:dyDescent="0.45">
      <c r="A341" s="257" t="s">
        <v>3658</v>
      </c>
      <c r="B341" s="286">
        <v>1402000</v>
      </c>
      <c r="C341" s="286">
        <v>3.2</v>
      </c>
      <c r="D341" s="180" t="s">
        <v>5028</v>
      </c>
      <c r="E341" s="286">
        <v>200</v>
      </c>
      <c r="F341" s="286" t="s">
        <v>472</v>
      </c>
      <c r="G341" s="302"/>
      <c r="H341" s="302">
        <f t="shared" si="4"/>
        <v>0</v>
      </c>
    </row>
    <row r="342" spans="1:8" s="389" customFormat="1" x14ac:dyDescent="0.45">
      <c r="A342" s="257" t="s">
        <v>5258</v>
      </c>
      <c r="B342" s="286">
        <v>1402000</v>
      </c>
      <c r="C342" s="286">
        <v>3.2</v>
      </c>
      <c r="D342" s="180" t="s">
        <v>5029</v>
      </c>
      <c r="E342" s="286">
        <v>150</v>
      </c>
      <c r="F342" s="286" t="s">
        <v>472</v>
      </c>
      <c r="G342" s="302"/>
      <c r="H342" s="302">
        <f t="shared" si="4"/>
        <v>0</v>
      </c>
    </row>
    <row r="343" spans="1:8" s="389" customFormat="1" x14ac:dyDescent="0.45">
      <c r="A343" s="257" t="s">
        <v>5259</v>
      </c>
      <c r="B343" s="286">
        <v>1402000</v>
      </c>
      <c r="C343" s="286">
        <v>3.2</v>
      </c>
      <c r="D343" s="180" t="s">
        <v>5030</v>
      </c>
      <c r="E343" s="286">
        <v>200</v>
      </c>
      <c r="F343" s="286" t="s">
        <v>472</v>
      </c>
      <c r="G343" s="302"/>
      <c r="H343" s="302">
        <f t="shared" si="4"/>
        <v>0</v>
      </c>
    </row>
    <row r="344" spans="1:8" x14ac:dyDescent="0.45">
      <c r="A344" s="22" t="s">
        <v>5308</v>
      </c>
      <c r="B344" s="23">
        <v>1402000</v>
      </c>
      <c r="C344" s="23">
        <v>3.3</v>
      </c>
      <c r="D344" s="106" t="s">
        <v>366</v>
      </c>
      <c r="E344" s="23">
        <v>12</v>
      </c>
      <c r="F344" s="23" t="s">
        <v>17</v>
      </c>
      <c r="G344" s="24"/>
      <c r="H344" s="24">
        <f>G344*E344</f>
        <v>0</v>
      </c>
    </row>
    <row r="345" spans="1:8" x14ac:dyDescent="0.45">
      <c r="A345" s="58"/>
      <c r="B345" s="59"/>
      <c r="C345" s="59"/>
      <c r="D345" s="60" t="s">
        <v>367</v>
      </c>
      <c r="E345" s="59"/>
      <c r="F345" s="59"/>
      <c r="G345" s="59"/>
      <c r="H345" s="62">
        <f>SUM(H338:H344)</f>
        <v>0</v>
      </c>
    </row>
    <row r="346" spans="1:8" x14ac:dyDescent="0.45">
      <c r="A346" s="121"/>
      <c r="B346" s="122"/>
      <c r="C346" s="122"/>
      <c r="D346" s="123"/>
      <c r="E346" s="122"/>
      <c r="F346" s="124"/>
      <c r="G346" s="97"/>
      <c r="H346" s="110"/>
    </row>
    <row r="347" spans="1:8" x14ac:dyDescent="0.45">
      <c r="A347" s="12" t="s">
        <v>3659</v>
      </c>
      <c r="B347" s="13"/>
      <c r="C347" s="13"/>
      <c r="D347" s="12" t="s">
        <v>369</v>
      </c>
      <c r="E347" s="100"/>
      <c r="F347" s="101"/>
      <c r="G347" s="101"/>
      <c r="H347" s="102"/>
    </row>
    <row r="348" spans="1:8" x14ac:dyDescent="0.45">
      <c r="A348" s="103"/>
      <c r="B348" s="41">
        <v>1502000</v>
      </c>
      <c r="C348" s="43"/>
      <c r="D348" s="42" t="s">
        <v>18</v>
      </c>
      <c r="E348" s="43"/>
      <c r="F348" s="44"/>
      <c r="G348" s="44"/>
      <c r="H348" s="45"/>
    </row>
    <row r="349" spans="1:8" x14ac:dyDescent="0.45">
      <c r="A349" s="27"/>
      <c r="B349" s="26"/>
      <c r="C349" s="26">
        <v>3.1</v>
      </c>
      <c r="D349" s="27" t="s">
        <v>19</v>
      </c>
      <c r="E349" s="26"/>
      <c r="F349" s="26"/>
      <c r="G349" s="26"/>
      <c r="H349" s="104"/>
    </row>
    <row r="350" spans="1:8" x14ac:dyDescent="0.45">
      <c r="A350" s="22" t="s">
        <v>3660</v>
      </c>
      <c r="B350" s="23">
        <v>1502000</v>
      </c>
      <c r="C350" s="23" t="s">
        <v>21</v>
      </c>
      <c r="D350" s="29" t="s">
        <v>22</v>
      </c>
      <c r="E350" s="23">
        <v>12</v>
      </c>
      <c r="F350" s="23" t="s">
        <v>17</v>
      </c>
      <c r="G350" s="24"/>
      <c r="H350" s="24">
        <f>G350*E350</f>
        <v>0</v>
      </c>
    </row>
    <row r="351" spans="1:8" x14ac:dyDescent="0.45">
      <c r="A351" s="22" t="s">
        <v>3661</v>
      </c>
      <c r="B351" s="23">
        <v>1502000</v>
      </c>
      <c r="C351" s="23" t="s">
        <v>24</v>
      </c>
      <c r="D351" s="29" t="s">
        <v>25</v>
      </c>
      <c r="E351" s="23">
        <v>12</v>
      </c>
      <c r="F351" s="23" t="s">
        <v>17</v>
      </c>
      <c r="G351" s="24"/>
      <c r="H351" s="24">
        <f>G351*E351</f>
        <v>0</v>
      </c>
    </row>
    <row r="352" spans="1:8" x14ac:dyDescent="0.45">
      <c r="A352" s="22" t="s">
        <v>3662</v>
      </c>
      <c r="B352" s="23">
        <v>1502000</v>
      </c>
      <c r="C352" s="23" t="s">
        <v>27</v>
      </c>
      <c r="D352" s="29" t="s">
        <v>28</v>
      </c>
      <c r="E352" s="23">
        <v>12</v>
      </c>
      <c r="F352" s="23" t="s">
        <v>17</v>
      </c>
      <c r="G352" s="24"/>
      <c r="H352" s="24">
        <f>G352*E352</f>
        <v>0</v>
      </c>
    </row>
    <row r="353" spans="1:8" x14ac:dyDescent="0.45">
      <c r="A353" s="25"/>
      <c r="B353" s="26"/>
      <c r="C353" s="26">
        <v>3.1</v>
      </c>
      <c r="D353" s="27" t="s">
        <v>31</v>
      </c>
      <c r="E353" s="28"/>
      <c r="F353" s="28"/>
      <c r="G353" s="28"/>
      <c r="H353" s="28"/>
    </row>
    <row r="354" spans="1:8" x14ac:dyDescent="0.45">
      <c r="A354" s="22" t="s">
        <v>3663</v>
      </c>
      <c r="B354" s="23">
        <v>1502000</v>
      </c>
      <c r="C354" s="23" t="s">
        <v>222</v>
      </c>
      <c r="D354" s="29" t="s">
        <v>223</v>
      </c>
      <c r="E354" s="23">
        <v>12</v>
      </c>
      <c r="F354" s="23" t="s">
        <v>17</v>
      </c>
      <c r="G354" s="24"/>
      <c r="H354" s="24">
        <f t="shared" ref="H354:H366" si="5">G354*E354</f>
        <v>0</v>
      </c>
    </row>
    <row r="355" spans="1:8" x14ac:dyDescent="0.45">
      <c r="A355" s="22" t="s">
        <v>3664</v>
      </c>
      <c r="B355" s="23">
        <v>1502000</v>
      </c>
      <c r="C355" s="23" t="s">
        <v>33</v>
      </c>
      <c r="D355" s="29" t="s">
        <v>34</v>
      </c>
      <c r="E355" s="23">
        <v>12</v>
      </c>
      <c r="F355" s="23" t="s">
        <v>17</v>
      </c>
      <c r="G355" s="24"/>
      <c r="H355" s="24">
        <f t="shared" si="5"/>
        <v>0</v>
      </c>
    </row>
    <row r="356" spans="1:8" x14ac:dyDescent="0.45">
      <c r="A356" s="22" t="s">
        <v>3665</v>
      </c>
      <c r="B356" s="23">
        <v>1502000</v>
      </c>
      <c r="C356" s="23" t="s">
        <v>227</v>
      </c>
      <c r="D356" s="29" t="s">
        <v>228</v>
      </c>
      <c r="E356" s="23">
        <v>12</v>
      </c>
      <c r="F356" s="23" t="s">
        <v>17</v>
      </c>
      <c r="G356" s="24"/>
      <c r="H356" s="24">
        <f t="shared" si="5"/>
        <v>0</v>
      </c>
    </row>
    <row r="357" spans="1:8" x14ac:dyDescent="0.45">
      <c r="A357" s="22" t="s">
        <v>3666</v>
      </c>
      <c r="B357" s="23">
        <v>1502000</v>
      </c>
      <c r="C357" s="23" t="s">
        <v>39</v>
      </c>
      <c r="D357" s="29" t="s">
        <v>230</v>
      </c>
      <c r="E357" s="23">
        <v>12</v>
      </c>
      <c r="F357" s="23" t="s">
        <v>17</v>
      </c>
      <c r="G357" s="24"/>
      <c r="H357" s="24">
        <f t="shared" si="5"/>
        <v>0</v>
      </c>
    </row>
    <row r="358" spans="1:8" x14ac:dyDescent="0.45">
      <c r="A358" s="22" t="s">
        <v>3667</v>
      </c>
      <c r="B358" s="23">
        <v>1502000</v>
      </c>
      <c r="C358" s="23" t="s">
        <v>232</v>
      </c>
      <c r="D358" s="29" t="s">
        <v>233</v>
      </c>
      <c r="E358" s="23">
        <v>12</v>
      </c>
      <c r="F358" s="23" t="s">
        <v>17</v>
      </c>
      <c r="G358" s="24"/>
      <c r="H358" s="24">
        <f t="shared" si="5"/>
        <v>0</v>
      </c>
    </row>
    <row r="359" spans="1:8" x14ac:dyDescent="0.45">
      <c r="A359" s="22" t="s">
        <v>3668</v>
      </c>
      <c r="B359" s="23">
        <v>1502000</v>
      </c>
      <c r="C359" s="23" t="s">
        <v>250</v>
      </c>
      <c r="D359" s="29" t="s">
        <v>379</v>
      </c>
      <c r="E359" s="23">
        <v>12</v>
      </c>
      <c r="F359" s="23" t="s">
        <v>17</v>
      </c>
      <c r="G359" s="24"/>
      <c r="H359" s="24">
        <f t="shared" si="5"/>
        <v>0</v>
      </c>
    </row>
    <row r="360" spans="1:8" x14ac:dyDescent="0.45">
      <c r="A360" s="22" t="s">
        <v>3669</v>
      </c>
      <c r="B360" s="23">
        <v>1502000</v>
      </c>
      <c r="C360" s="23" t="s">
        <v>45</v>
      </c>
      <c r="D360" s="29" t="s">
        <v>46</v>
      </c>
      <c r="E360" s="23">
        <v>12</v>
      </c>
      <c r="F360" s="23" t="s">
        <v>17</v>
      </c>
      <c r="G360" s="24"/>
      <c r="H360" s="24">
        <f t="shared" si="5"/>
        <v>0</v>
      </c>
    </row>
    <row r="361" spans="1:8" x14ac:dyDescent="0.45">
      <c r="A361" s="22" t="s">
        <v>3670</v>
      </c>
      <c r="B361" s="23">
        <v>1502000</v>
      </c>
      <c r="C361" s="23" t="s">
        <v>48</v>
      </c>
      <c r="D361" s="29" t="s">
        <v>257</v>
      </c>
      <c r="E361" s="23">
        <v>12</v>
      </c>
      <c r="F361" s="23" t="s">
        <v>17</v>
      </c>
      <c r="G361" s="24"/>
      <c r="H361" s="24">
        <f t="shared" si="5"/>
        <v>0</v>
      </c>
    </row>
    <row r="362" spans="1:8" x14ac:dyDescent="0.45">
      <c r="A362" s="22" t="s">
        <v>3671</v>
      </c>
      <c r="B362" s="23">
        <v>1502000</v>
      </c>
      <c r="C362" s="23" t="s">
        <v>51</v>
      </c>
      <c r="D362" s="29" t="s">
        <v>383</v>
      </c>
      <c r="E362" s="23">
        <v>12</v>
      </c>
      <c r="F362" s="23" t="s">
        <v>17</v>
      </c>
      <c r="G362" s="24"/>
      <c r="H362" s="24">
        <f t="shared" si="5"/>
        <v>0</v>
      </c>
    </row>
    <row r="363" spans="1:8" x14ac:dyDescent="0.45">
      <c r="A363" s="22" t="s">
        <v>3672</v>
      </c>
      <c r="B363" s="23">
        <v>1502000</v>
      </c>
      <c r="C363" s="23" t="s">
        <v>54</v>
      </c>
      <c r="D363" s="29" t="s">
        <v>55</v>
      </c>
      <c r="E363" s="23">
        <v>12</v>
      </c>
      <c r="F363" s="23" t="s">
        <v>17</v>
      </c>
      <c r="G363" s="24"/>
      <c r="H363" s="24">
        <f t="shared" si="5"/>
        <v>0</v>
      </c>
    </row>
    <row r="364" spans="1:8" x14ac:dyDescent="0.45">
      <c r="A364" s="22" t="s">
        <v>3673</v>
      </c>
      <c r="B364" s="23">
        <v>1502000</v>
      </c>
      <c r="C364" s="23" t="s">
        <v>260</v>
      </c>
      <c r="D364" s="29" t="s">
        <v>386</v>
      </c>
      <c r="E364" s="23">
        <v>12</v>
      </c>
      <c r="F364" s="23" t="s">
        <v>17</v>
      </c>
      <c r="G364" s="24"/>
      <c r="H364" s="24">
        <f t="shared" si="5"/>
        <v>0</v>
      </c>
    </row>
    <row r="365" spans="1:8" x14ac:dyDescent="0.45">
      <c r="A365" s="22" t="s">
        <v>3674</v>
      </c>
      <c r="B365" s="23">
        <v>1502000</v>
      </c>
      <c r="C365" s="23" t="s">
        <v>332</v>
      </c>
      <c r="D365" s="29" t="s">
        <v>388</v>
      </c>
      <c r="E365" s="23">
        <v>12</v>
      </c>
      <c r="F365" s="23" t="s">
        <v>17</v>
      </c>
      <c r="G365" s="24"/>
      <c r="H365" s="24">
        <f t="shared" si="5"/>
        <v>0</v>
      </c>
    </row>
    <row r="366" spans="1:8" x14ac:dyDescent="0.45">
      <c r="A366" s="22" t="s">
        <v>3675</v>
      </c>
      <c r="B366" s="23">
        <v>1502000</v>
      </c>
      <c r="C366" s="23" t="s">
        <v>390</v>
      </c>
      <c r="D366" s="29" t="s">
        <v>391</v>
      </c>
      <c r="E366" s="23">
        <v>12</v>
      </c>
      <c r="F366" s="23" t="s">
        <v>17</v>
      </c>
      <c r="G366" s="24"/>
      <c r="H366" s="24">
        <f t="shared" si="5"/>
        <v>0</v>
      </c>
    </row>
    <row r="367" spans="1:8" x14ac:dyDescent="0.45">
      <c r="A367" s="25"/>
      <c r="B367" s="26">
        <v>1502000</v>
      </c>
      <c r="C367" s="26">
        <v>3.4</v>
      </c>
      <c r="D367" s="27" t="s">
        <v>62</v>
      </c>
      <c r="E367" s="26"/>
      <c r="F367" s="26"/>
      <c r="G367" s="28"/>
      <c r="H367" s="104"/>
    </row>
    <row r="368" spans="1:8" x14ac:dyDescent="0.45">
      <c r="A368" s="22" t="s">
        <v>3676</v>
      </c>
      <c r="B368" s="23">
        <v>1502000</v>
      </c>
      <c r="C368" s="23" t="s">
        <v>64</v>
      </c>
      <c r="D368" s="106" t="s">
        <v>65</v>
      </c>
      <c r="E368" s="23">
        <v>12</v>
      </c>
      <c r="F368" s="23" t="s">
        <v>17</v>
      </c>
      <c r="G368" s="24"/>
      <c r="H368" s="24">
        <f>G368*E368</f>
        <v>0</v>
      </c>
    </row>
    <row r="369" spans="1:8" x14ac:dyDescent="0.45">
      <c r="A369" s="22" t="s">
        <v>3677</v>
      </c>
      <c r="B369" s="23">
        <v>1502000</v>
      </c>
      <c r="C369" s="23" t="s">
        <v>67</v>
      </c>
      <c r="D369" s="120" t="s">
        <v>68</v>
      </c>
      <c r="E369" s="23">
        <v>12</v>
      </c>
      <c r="F369" s="23" t="s">
        <v>17</v>
      </c>
      <c r="G369" s="24"/>
      <c r="H369" s="24">
        <f>G369*E369</f>
        <v>0</v>
      </c>
    </row>
    <row r="370" spans="1:8" x14ac:dyDescent="0.45">
      <c r="A370" s="22" t="s">
        <v>3678</v>
      </c>
      <c r="B370" s="23">
        <v>1502000</v>
      </c>
      <c r="C370" s="23" t="s">
        <v>70</v>
      </c>
      <c r="D370" s="106" t="s">
        <v>71</v>
      </c>
      <c r="E370" s="23">
        <v>12</v>
      </c>
      <c r="F370" s="23" t="s">
        <v>17</v>
      </c>
      <c r="G370" s="24"/>
      <c r="H370" s="24">
        <f>G370*E370</f>
        <v>0</v>
      </c>
    </row>
    <row r="371" spans="1:8" x14ac:dyDescent="0.45">
      <c r="A371" s="25"/>
      <c r="B371" s="26"/>
      <c r="C371" s="26">
        <v>3.5</v>
      </c>
      <c r="D371" s="27" t="s">
        <v>72</v>
      </c>
      <c r="E371" s="28"/>
      <c r="F371" s="28"/>
      <c r="G371" s="28"/>
      <c r="H371" s="28"/>
    </row>
    <row r="372" spans="1:8" x14ac:dyDescent="0.45">
      <c r="A372" s="22" t="s">
        <v>3679</v>
      </c>
      <c r="B372" s="23">
        <v>1502000</v>
      </c>
      <c r="C372" s="301" t="s">
        <v>5021</v>
      </c>
      <c r="D372" s="36" t="s">
        <v>71</v>
      </c>
      <c r="E372" s="23">
        <v>12</v>
      </c>
      <c r="F372" s="23" t="s">
        <v>17</v>
      </c>
      <c r="G372" s="24"/>
      <c r="H372" s="24">
        <f>G372*E372</f>
        <v>0</v>
      </c>
    </row>
    <row r="373" spans="1:8" x14ac:dyDescent="0.45">
      <c r="A373" s="27"/>
      <c r="B373" s="125"/>
      <c r="C373" s="125"/>
      <c r="D373" s="27" t="s">
        <v>75</v>
      </c>
      <c r="E373" s="26"/>
      <c r="F373" s="26"/>
      <c r="G373" s="28"/>
      <c r="H373" s="104"/>
    </row>
    <row r="374" spans="1:8" x14ac:dyDescent="0.45">
      <c r="A374" s="22" t="s">
        <v>3680</v>
      </c>
      <c r="B374" s="23">
        <v>1502000</v>
      </c>
      <c r="C374" s="23" t="s">
        <v>80</v>
      </c>
      <c r="D374" s="30" t="s">
        <v>81</v>
      </c>
      <c r="E374" s="23">
        <v>12</v>
      </c>
      <c r="F374" s="23" t="s">
        <v>17</v>
      </c>
      <c r="G374" s="24"/>
      <c r="H374" s="24">
        <f t="shared" ref="H374:H379" si="6">G374*E374</f>
        <v>0</v>
      </c>
    </row>
    <row r="375" spans="1:8" x14ac:dyDescent="0.45">
      <c r="A375" s="22" t="s">
        <v>3681</v>
      </c>
      <c r="B375" s="23">
        <v>1502000</v>
      </c>
      <c r="C375" s="23" t="s">
        <v>83</v>
      </c>
      <c r="D375" s="30" t="s">
        <v>84</v>
      </c>
      <c r="E375" s="23">
        <v>12</v>
      </c>
      <c r="F375" s="23" t="s">
        <v>17</v>
      </c>
      <c r="G375" s="24"/>
      <c r="H375" s="24">
        <f t="shared" si="6"/>
        <v>0</v>
      </c>
    </row>
    <row r="376" spans="1:8" x14ac:dyDescent="0.45">
      <c r="A376" s="22" t="s">
        <v>3682</v>
      </c>
      <c r="B376" s="23">
        <v>1502000</v>
      </c>
      <c r="C376" s="23" t="s">
        <v>86</v>
      </c>
      <c r="D376" s="106" t="s">
        <v>87</v>
      </c>
      <c r="E376" s="23">
        <v>12</v>
      </c>
      <c r="F376" s="23" t="s">
        <v>17</v>
      </c>
      <c r="G376" s="24"/>
      <c r="H376" s="24">
        <f t="shared" si="6"/>
        <v>0</v>
      </c>
    </row>
    <row r="377" spans="1:8" x14ac:dyDescent="0.45">
      <c r="A377" s="22" t="s">
        <v>3683</v>
      </c>
      <c r="B377" s="23">
        <v>1502000</v>
      </c>
      <c r="C377" s="23" t="s">
        <v>400</v>
      </c>
      <c r="D377" s="106" t="s">
        <v>401</v>
      </c>
      <c r="E377" s="23">
        <v>12</v>
      </c>
      <c r="F377" s="23" t="s">
        <v>17</v>
      </c>
      <c r="G377" s="24"/>
      <c r="H377" s="24">
        <f t="shared" si="6"/>
        <v>0</v>
      </c>
    </row>
    <row r="378" spans="1:8" x14ac:dyDescent="0.45">
      <c r="A378" s="22" t="s">
        <v>3684</v>
      </c>
      <c r="B378" s="23">
        <v>1502000</v>
      </c>
      <c r="C378" s="286" t="s">
        <v>5037</v>
      </c>
      <c r="D378" s="22" t="s">
        <v>108</v>
      </c>
      <c r="E378" s="33">
        <v>12</v>
      </c>
      <c r="F378" s="23" t="s">
        <v>17</v>
      </c>
      <c r="G378" s="24"/>
      <c r="H378" s="24">
        <f t="shared" si="6"/>
        <v>0</v>
      </c>
    </row>
    <row r="379" spans="1:8" x14ac:dyDescent="0.45">
      <c r="A379" s="22" t="s">
        <v>3685</v>
      </c>
      <c r="B379" s="23">
        <v>1502000</v>
      </c>
      <c r="C379" s="23" t="s">
        <v>107</v>
      </c>
      <c r="D379" s="126" t="s">
        <v>277</v>
      </c>
      <c r="E379" s="23">
        <v>12</v>
      </c>
      <c r="F379" s="23" t="s">
        <v>17</v>
      </c>
      <c r="G379" s="24"/>
      <c r="H379" s="24">
        <f t="shared" si="6"/>
        <v>0</v>
      </c>
    </row>
    <row r="380" spans="1:8" x14ac:dyDescent="0.45">
      <c r="A380" s="40"/>
      <c r="B380" s="41">
        <v>1503010</v>
      </c>
      <c r="C380" s="41"/>
      <c r="D380" s="42" t="s">
        <v>109</v>
      </c>
      <c r="E380" s="43"/>
      <c r="F380" s="44"/>
      <c r="G380" s="44"/>
      <c r="H380" s="45"/>
    </row>
    <row r="381" spans="1:8" x14ac:dyDescent="0.45">
      <c r="A381" s="22" t="s">
        <v>3686</v>
      </c>
      <c r="B381" s="33">
        <v>1503010</v>
      </c>
      <c r="C381" s="33">
        <v>3.1</v>
      </c>
      <c r="D381" s="36" t="s">
        <v>111</v>
      </c>
      <c r="E381" s="23">
        <v>12</v>
      </c>
      <c r="F381" s="23" t="s">
        <v>17</v>
      </c>
      <c r="G381" s="24"/>
      <c r="H381" s="24">
        <f>G381*E381</f>
        <v>0</v>
      </c>
    </row>
    <row r="382" spans="1:8" x14ac:dyDescent="0.45">
      <c r="A382" s="40"/>
      <c r="B382" s="43">
        <v>1503020</v>
      </c>
      <c r="C382" s="41"/>
      <c r="D382" s="42" t="s">
        <v>114</v>
      </c>
      <c r="E382" s="43"/>
      <c r="F382" s="44"/>
      <c r="G382" s="44"/>
      <c r="H382" s="44"/>
    </row>
    <row r="383" spans="1:8" x14ac:dyDescent="0.45">
      <c r="A383" s="22" t="s">
        <v>3687</v>
      </c>
      <c r="B383" s="33">
        <v>1503020</v>
      </c>
      <c r="C383" s="23">
        <v>3.1</v>
      </c>
      <c r="D383" s="206" t="s">
        <v>406</v>
      </c>
      <c r="E383" s="23">
        <v>12</v>
      </c>
      <c r="F383" s="115" t="s">
        <v>17</v>
      </c>
      <c r="G383" s="24"/>
      <c r="H383" s="24">
        <f>G383*E383</f>
        <v>0</v>
      </c>
    </row>
    <row r="384" spans="1:8" x14ac:dyDescent="0.45">
      <c r="A384" s="22" t="s">
        <v>3688</v>
      </c>
      <c r="B384" s="33">
        <v>1503020</v>
      </c>
      <c r="C384" s="33">
        <v>3.2</v>
      </c>
      <c r="D384" s="36" t="s">
        <v>118</v>
      </c>
      <c r="E384" s="23">
        <v>12</v>
      </c>
      <c r="F384" s="23" t="s">
        <v>17</v>
      </c>
      <c r="G384" s="24"/>
      <c r="H384" s="24">
        <f>G384*E384</f>
        <v>0</v>
      </c>
    </row>
    <row r="385" spans="1:8" x14ac:dyDescent="0.45">
      <c r="A385" s="22" t="s">
        <v>3689</v>
      </c>
      <c r="B385" s="33">
        <v>1503020</v>
      </c>
      <c r="C385" s="23">
        <v>3.3</v>
      </c>
      <c r="D385" s="106" t="s">
        <v>120</v>
      </c>
      <c r="E385" s="23">
        <v>12</v>
      </c>
      <c r="F385" s="23" t="s">
        <v>17</v>
      </c>
      <c r="G385" s="24"/>
      <c r="H385" s="24">
        <f>G385*E385</f>
        <v>0</v>
      </c>
    </row>
    <row r="386" spans="1:8" x14ac:dyDescent="0.45">
      <c r="A386" s="40"/>
      <c r="B386" s="43">
        <v>1503030</v>
      </c>
      <c r="C386" s="41"/>
      <c r="D386" s="42" t="s">
        <v>121</v>
      </c>
      <c r="E386" s="43"/>
      <c r="F386" s="44"/>
      <c r="G386" s="44"/>
      <c r="H386" s="45"/>
    </row>
    <row r="387" spans="1:8" x14ac:dyDescent="0.45">
      <c r="A387" s="22" t="s">
        <v>3690</v>
      </c>
      <c r="B387" s="33">
        <v>1503030</v>
      </c>
      <c r="C387" s="33" t="s">
        <v>123</v>
      </c>
      <c r="D387" s="36" t="s">
        <v>124</v>
      </c>
      <c r="E387" s="23">
        <v>12</v>
      </c>
      <c r="F387" s="23" t="s">
        <v>17</v>
      </c>
      <c r="G387" s="24"/>
      <c r="H387" s="24">
        <f>G387*E387</f>
        <v>0</v>
      </c>
    </row>
    <row r="388" spans="1:8" x14ac:dyDescent="0.45">
      <c r="A388" s="58"/>
      <c r="B388" s="59"/>
      <c r="C388" s="59"/>
      <c r="D388" s="60" t="s">
        <v>410</v>
      </c>
      <c r="E388" s="59"/>
      <c r="F388" s="59"/>
      <c r="G388" s="59"/>
      <c r="H388" s="62">
        <f>SUM(H350:H387)</f>
        <v>0</v>
      </c>
    </row>
    <row r="389" spans="1:8" x14ac:dyDescent="0.45">
      <c r="A389" s="121"/>
      <c r="B389" s="122"/>
      <c r="C389" s="122"/>
      <c r="D389" s="123"/>
      <c r="E389" s="122"/>
      <c r="F389" s="124"/>
      <c r="G389" s="97"/>
      <c r="H389" s="110"/>
    </row>
    <row r="390" spans="1:8" x14ac:dyDescent="0.45">
      <c r="A390" s="12" t="s">
        <v>3691</v>
      </c>
      <c r="B390" s="13"/>
      <c r="C390" s="13"/>
      <c r="D390" s="12" t="s">
        <v>412</v>
      </c>
      <c r="E390" s="13"/>
      <c r="F390" s="13"/>
      <c r="G390" s="101"/>
      <c r="H390" s="102"/>
    </row>
    <row r="391" spans="1:8" x14ac:dyDescent="0.45">
      <c r="A391" s="103"/>
      <c r="B391" s="41">
        <v>1502000</v>
      </c>
      <c r="C391" s="43"/>
      <c r="D391" s="42" t="s">
        <v>18</v>
      </c>
      <c r="E391" s="43"/>
      <c r="F391" s="44"/>
      <c r="G391" s="44"/>
      <c r="H391" s="45"/>
    </row>
    <row r="392" spans="1:8" x14ac:dyDescent="0.45">
      <c r="A392" s="25"/>
      <c r="B392" s="26">
        <v>1502000</v>
      </c>
      <c r="C392" s="26">
        <v>3.4</v>
      </c>
      <c r="D392" s="27" t="s">
        <v>62</v>
      </c>
      <c r="E392" s="26"/>
      <c r="F392" s="26"/>
      <c r="G392" s="26"/>
      <c r="H392" s="104"/>
    </row>
    <row r="393" spans="1:8" x14ac:dyDescent="0.45">
      <c r="A393" s="22" t="s">
        <v>3692</v>
      </c>
      <c r="B393" s="23">
        <v>1502000</v>
      </c>
      <c r="C393" s="23" t="s">
        <v>67</v>
      </c>
      <c r="D393" s="120" t="s">
        <v>68</v>
      </c>
      <c r="E393" s="23">
        <v>12</v>
      </c>
      <c r="F393" s="23" t="s">
        <v>17</v>
      </c>
      <c r="G393" s="24"/>
      <c r="H393" s="24">
        <f>G393*E393</f>
        <v>0</v>
      </c>
    </row>
    <row r="394" spans="1:8" x14ac:dyDescent="0.45">
      <c r="A394" s="40"/>
      <c r="B394" s="41">
        <v>1503010</v>
      </c>
      <c r="C394" s="41"/>
      <c r="D394" s="42" t="s">
        <v>109</v>
      </c>
      <c r="E394" s="43"/>
      <c r="F394" s="44"/>
      <c r="G394" s="44"/>
      <c r="H394" s="45"/>
    </row>
    <row r="395" spans="1:8" x14ac:dyDescent="0.45">
      <c r="A395" s="22" t="s">
        <v>3693</v>
      </c>
      <c r="B395" s="33">
        <v>1503010</v>
      </c>
      <c r="C395" s="33">
        <v>3.1</v>
      </c>
      <c r="D395" s="36" t="s">
        <v>111</v>
      </c>
      <c r="E395" s="23">
        <v>12</v>
      </c>
      <c r="F395" s="23" t="s">
        <v>17</v>
      </c>
      <c r="G395" s="24"/>
      <c r="H395" s="24">
        <f>G395*E395</f>
        <v>0</v>
      </c>
    </row>
    <row r="396" spans="1:8" x14ac:dyDescent="0.45">
      <c r="A396" s="58"/>
      <c r="B396" s="59"/>
      <c r="C396" s="59"/>
      <c r="D396" s="60" t="s">
        <v>415</v>
      </c>
      <c r="E396" s="59"/>
      <c r="F396" s="59"/>
      <c r="G396" s="59"/>
      <c r="H396" s="62">
        <f>SUM(H393:H395)</f>
        <v>0</v>
      </c>
    </row>
    <row r="397" spans="1:8" x14ac:dyDescent="0.45">
      <c r="A397" s="121"/>
      <c r="B397" s="122"/>
      <c r="C397" s="122"/>
      <c r="D397" s="123"/>
      <c r="E397" s="122"/>
      <c r="F397" s="124"/>
      <c r="G397" s="97"/>
      <c r="H397" s="110"/>
    </row>
    <row r="398" spans="1:8" x14ac:dyDescent="0.45">
      <c r="A398" s="12" t="s">
        <v>3694</v>
      </c>
      <c r="B398" s="13"/>
      <c r="C398" s="13"/>
      <c r="D398" s="12" t="s">
        <v>417</v>
      </c>
      <c r="E398" s="13"/>
      <c r="F398" s="13"/>
      <c r="G398" s="101"/>
      <c r="H398" s="102"/>
    </row>
    <row r="399" spans="1:8" x14ac:dyDescent="0.45">
      <c r="A399" s="103"/>
      <c r="B399" s="41">
        <v>1502000</v>
      </c>
      <c r="C399" s="43"/>
      <c r="D399" s="42" t="s">
        <v>18</v>
      </c>
      <c r="E399" s="43"/>
      <c r="F399" s="44"/>
      <c r="G399" s="44"/>
      <c r="H399" s="45"/>
    </row>
    <row r="400" spans="1:8" x14ac:dyDescent="0.45">
      <c r="A400" s="27"/>
      <c r="B400" s="26"/>
      <c r="C400" s="26">
        <v>3.1</v>
      </c>
      <c r="D400" s="27" t="s">
        <v>19</v>
      </c>
      <c r="E400" s="26"/>
      <c r="F400" s="26"/>
      <c r="G400" s="26"/>
      <c r="H400" s="104"/>
    </row>
    <row r="401" spans="1:8" x14ac:dyDescent="0.45">
      <c r="A401" s="22" t="s">
        <v>3695</v>
      </c>
      <c r="B401" s="23">
        <v>1502000</v>
      </c>
      <c r="C401" s="23" t="s">
        <v>21</v>
      </c>
      <c r="D401" s="29" t="s">
        <v>22</v>
      </c>
      <c r="E401" s="23">
        <v>12</v>
      </c>
      <c r="F401" s="23" t="s">
        <v>17</v>
      </c>
      <c r="G401" s="24"/>
      <c r="H401" s="24">
        <f>G401*E401</f>
        <v>0</v>
      </c>
    </row>
    <row r="402" spans="1:8" x14ac:dyDescent="0.45">
      <c r="A402" s="22" t="s">
        <v>3696</v>
      </c>
      <c r="B402" s="23">
        <v>1502000</v>
      </c>
      <c r="C402" s="23" t="s">
        <v>24</v>
      </c>
      <c r="D402" s="29" t="s">
        <v>25</v>
      </c>
      <c r="E402" s="23">
        <v>12</v>
      </c>
      <c r="F402" s="23" t="s">
        <v>17</v>
      </c>
      <c r="G402" s="24"/>
      <c r="H402" s="24">
        <f>G402*E402</f>
        <v>0</v>
      </c>
    </row>
    <row r="403" spans="1:8" x14ac:dyDescent="0.45">
      <c r="A403" s="22" t="s">
        <v>3697</v>
      </c>
      <c r="B403" s="23">
        <v>1502000</v>
      </c>
      <c r="C403" s="23" t="s">
        <v>27</v>
      </c>
      <c r="D403" s="29" t="s">
        <v>28</v>
      </c>
      <c r="E403" s="23">
        <v>12</v>
      </c>
      <c r="F403" s="23" t="s">
        <v>17</v>
      </c>
      <c r="G403" s="24"/>
      <c r="H403" s="24">
        <f>G403*E403</f>
        <v>0</v>
      </c>
    </row>
    <row r="404" spans="1:8" x14ac:dyDescent="0.45">
      <c r="A404" s="25"/>
      <c r="B404" s="26">
        <v>1502000</v>
      </c>
      <c r="C404" s="26">
        <v>3.4</v>
      </c>
      <c r="D404" s="27" t="s">
        <v>62</v>
      </c>
      <c r="E404" s="26"/>
      <c r="F404" s="26"/>
      <c r="G404" s="28"/>
      <c r="H404" s="104"/>
    </row>
    <row r="405" spans="1:8" x14ac:dyDescent="0.45">
      <c r="A405" s="22" t="s">
        <v>3698</v>
      </c>
      <c r="B405" s="23">
        <v>1502000</v>
      </c>
      <c r="C405" s="23" t="s">
        <v>67</v>
      </c>
      <c r="D405" s="35" t="s">
        <v>68</v>
      </c>
      <c r="E405" s="23">
        <v>12</v>
      </c>
      <c r="F405" s="23" t="s">
        <v>17</v>
      </c>
      <c r="G405" s="24"/>
      <c r="H405" s="24">
        <f>G405*E405</f>
        <v>0</v>
      </c>
    </row>
    <row r="406" spans="1:8" x14ac:dyDescent="0.45">
      <c r="A406" s="58"/>
      <c r="B406" s="59"/>
      <c r="C406" s="59"/>
      <c r="D406" s="60" t="s">
        <v>422</v>
      </c>
      <c r="E406" s="59"/>
      <c r="F406" s="59"/>
      <c r="G406" s="59"/>
      <c r="H406" s="62">
        <f>SUM(H401:H405)</f>
        <v>0</v>
      </c>
    </row>
    <row r="407" spans="1:8" x14ac:dyDescent="0.45">
      <c r="A407" s="121"/>
      <c r="B407" s="122"/>
      <c r="C407" s="122"/>
      <c r="D407" s="123"/>
      <c r="E407" s="122"/>
      <c r="F407" s="124"/>
      <c r="G407" s="97"/>
      <c r="H407" s="110"/>
    </row>
    <row r="408" spans="1:8" x14ac:dyDescent="0.45">
      <c r="A408" s="12" t="s">
        <v>3699</v>
      </c>
      <c r="B408" s="13"/>
      <c r="C408" s="13"/>
      <c r="D408" s="111" t="s">
        <v>424</v>
      </c>
      <c r="E408" s="100"/>
      <c r="F408" s="101"/>
      <c r="G408" s="101"/>
      <c r="H408" s="102"/>
    </row>
    <row r="409" spans="1:8" x14ac:dyDescent="0.45">
      <c r="A409" s="103"/>
      <c r="B409" s="41">
        <v>1502000</v>
      </c>
      <c r="C409" s="43"/>
      <c r="D409" s="42" t="s">
        <v>18</v>
      </c>
      <c r="E409" s="43"/>
      <c r="F409" s="44"/>
      <c r="G409" s="44"/>
      <c r="H409" s="45"/>
    </row>
    <row r="410" spans="1:8" x14ac:dyDescent="0.45">
      <c r="A410" s="27"/>
      <c r="B410" s="26"/>
      <c r="C410" s="26">
        <v>3.1</v>
      </c>
      <c r="D410" s="27" t="s">
        <v>19</v>
      </c>
      <c r="E410" s="26"/>
      <c r="F410" s="26"/>
      <c r="G410" s="26"/>
      <c r="H410" s="104"/>
    </row>
    <row r="411" spans="1:8" x14ac:dyDescent="0.45">
      <c r="A411" s="22" t="s">
        <v>3700</v>
      </c>
      <c r="B411" s="23">
        <v>1502000</v>
      </c>
      <c r="C411" s="23" t="s">
        <v>21</v>
      </c>
      <c r="D411" s="29" t="s">
        <v>22</v>
      </c>
      <c r="E411" s="23">
        <v>12</v>
      </c>
      <c r="F411" s="23" t="s">
        <v>17</v>
      </c>
      <c r="G411" s="24"/>
      <c r="H411" s="24">
        <f>G411*E411</f>
        <v>0</v>
      </c>
    </row>
    <row r="412" spans="1:8" x14ac:dyDescent="0.45">
      <c r="A412" s="22" t="s">
        <v>3701</v>
      </c>
      <c r="B412" s="23">
        <v>1502000</v>
      </c>
      <c r="C412" s="23" t="s">
        <v>24</v>
      </c>
      <c r="D412" s="29" t="s">
        <v>25</v>
      </c>
      <c r="E412" s="23">
        <v>12</v>
      </c>
      <c r="F412" s="23" t="s">
        <v>17</v>
      </c>
      <c r="G412" s="24"/>
      <c r="H412" s="24">
        <f>G412*E412</f>
        <v>0</v>
      </c>
    </row>
    <row r="413" spans="1:8" x14ac:dyDescent="0.45">
      <c r="A413" s="22" t="s">
        <v>3702</v>
      </c>
      <c r="B413" s="23">
        <v>1502000</v>
      </c>
      <c r="C413" s="23" t="s">
        <v>27</v>
      </c>
      <c r="D413" s="29" t="s">
        <v>28</v>
      </c>
      <c r="E413" s="23">
        <v>12</v>
      </c>
      <c r="F413" s="23" t="s">
        <v>17</v>
      </c>
      <c r="G413" s="24"/>
      <c r="H413" s="24">
        <f>G413*E413</f>
        <v>0</v>
      </c>
    </row>
    <row r="414" spans="1:8" x14ac:dyDescent="0.45">
      <c r="A414" s="40"/>
      <c r="B414" s="41">
        <v>1503010</v>
      </c>
      <c r="C414" s="41"/>
      <c r="D414" s="42" t="s">
        <v>109</v>
      </c>
      <c r="E414" s="43"/>
      <c r="F414" s="44"/>
      <c r="G414" s="44"/>
      <c r="H414" s="45"/>
    </row>
    <row r="415" spans="1:8" x14ac:dyDescent="0.45">
      <c r="A415" s="22" t="s">
        <v>3703</v>
      </c>
      <c r="B415" s="33">
        <v>1503010</v>
      </c>
      <c r="C415" s="33">
        <v>3.1</v>
      </c>
      <c r="D415" s="36" t="s">
        <v>111</v>
      </c>
      <c r="E415" s="23">
        <v>12</v>
      </c>
      <c r="F415" s="23" t="s">
        <v>17</v>
      </c>
      <c r="G415" s="24"/>
      <c r="H415" s="24">
        <f>G415*E415</f>
        <v>0</v>
      </c>
    </row>
    <row r="416" spans="1:8" x14ac:dyDescent="0.45">
      <c r="A416" s="40"/>
      <c r="B416" s="43">
        <v>1503030</v>
      </c>
      <c r="C416" s="41"/>
      <c r="D416" s="42" t="s">
        <v>121</v>
      </c>
      <c r="E416" s="43"/>
      <c r="F416" s="44"/>
      <c r="G416" s="44"/>
      <c r="H416" s="45"/>
    </row>
    <row r="417" spans="1:8" x14ac:dyDescent="0.45">
      <c r="A417" s="22" t="s">
        <v>3704</v>
      </c>
      <c r="B417" s="33">
        <v>1503030</v>
      </c>
      <c r="C417" s="33" t="s">
        <v>123</v>
      </c>
      <c r="D417" s="36" t="s">
        <v>124</v>
      </c>
      <c r="E417" s="23">
        <v>12</v>
      </c>
      <c r="F417" s="23" t="s">
        <v>17</v>
      </c>
      <c r="G417" s="24"/>
      <c r="H417" s="24">
        <f>G417*E417</f>
        <v>0</v>
      </c>
    </row>
    <row r="418" spans="1:8" s="293" customFormat="1" x14ac:dyDescent="0.45">
      <c r="A418" s="287"/>
      <c r="B418" s="288">
        <v>1503050</v>
      </c>
      <c r="C418" s="288"/>
      <c r="D418" s="289" t="s">
        <v>5014</v>
      </c>
      <c r="E418" s="290"/>
      <c r="F418" s="291"/>
      <c r="G418" s="291"/>
      <c r="H418" s="292"/>
    </row>
    <row r="419" spans="1:8" s="293" customFormat="1" x14ac:dyDescent="0.45">
      <c r="A419" s="257" t="s">
        <v>5260</v>
      </c>
      <c r="B419" s="301">
        <v>1503050</v>
      </c>
      <c r="C419" s="301">
        <v>3.4</v>
      </c>
      <c r="D419" s="295" t="s">
        <v>135</v>
      </c>
      <c r="E419" s="301">
        <v>12</v>
      </c>
      <c r="F419" s="286" t="s">
        <v>17</v>
      </c>
      <c r="G419" s="302"/>
      <c r="H419" s="302">
        <f>G419*E419</f>
        <v>0</v>
      </c>
    </row>
    <row r="420" spans="1:8" x14ac:dyDescent="0.45">
      <c r="A420" s="58"/>
      <c r="B420" s="59"/>
      <c r="C420" s="59"/>
      <c r="D420" s="60" t="s">
        <v>430</v>
      </c>
      <c r="E420" s="59"/>
      <c r="F420" s="59"/>
      <c r="G420" s="59"/>
      <c r="H420" s="62">
        <f>SUM(H411:H419)</f>
        <v>0</v>
      </c>
    </row>
    <row r="421" spans="1:8" x14ac:dyDescent="0.45">
      <c r="A421" s="121"/>
      <c r="B421" s="122"/>
      <c r="C421" s="122"/>
      <c r="D421" s="123"/>
      <c r="E421" s="122"/>
      <c r="F421" s="124"/>
      <c r="G421" s="97"/>
      <c r="H421" s="110"/>
    </row>
    <row r="422" spans="1:8" x14ac:dyDescent="0.45">
      <c r="A422" s="12" t="s">
        <v>3705</v>
      </c>
      <c r="B422" s="13"/>
      <c r="C422" s="13"/>
      <c r="D422" s="12" t="s">
        <v>432</v>
      </c>
      <c r="E422" s="13"/>
      <c r="F422" s="13"/>
      <c r="G422" s="101"/>
      <c r="H422" s="102"/>
    </row>
    <row r="423" spans="1:8" x14ac:dyDescent="0.45">
      <c r="A423" s="103"/>
      <c r="B423" s="41">
        <v>1502000</v>
      </c>
      <c r="C423" s="43"/>
      <c r="D423" s="42" t="s">
        <v>18</v>
      </c>
      <c r="E423" s="43"/>
      <c r="F423" s="44"/>
      <c r="G423" s="44"/>
      <c r="H423" s="45"/>
    </row>
    <row r="424" spans="1:8" x14ac:dyDescent="0.45">
      <c r="A424" s="27"/>
      <c r="B424" s="26"/>
      <c r="C424" s="26">
        <v>3.1</v>
      </c>
      <c r="D424" s="27" t="s">
        <v>19</v>
      </c>
      <c r="E424" s="26"/>
      <c r="F424" s="26"/>
      <c r="G424" s="26"/>
      <c r="H424" s="104"/>
    </row>
    <row r="425" spans="1:8" x14ac:dyDescent="0.45">
      <c r="A425" s="22" t="s">
        <v>3706</v>
      </c>
      <c r="B425" s="23">
        <v>1502000</v>
      </c>
      <c r="C425" s="23" t="s">
        <v>21</v>
      </c>
      <c r="D425" s="29" t="s">
        <v>22</v>
      </c>
      <c r="E425" s="23">
        <v>12</v>
      </c>
      <c r="F425" s="23" t="s">
        <v>17</v>
      </c>
      <c r="G425" s="24"/>
      <c r="H425" s="24">
        <f>G425*E425</f>
        <v>0</v>
      </c>
    </row>
    <row r="426" spans="1:8" x14ac:dyDescent="0.45">
      <c r="A426" s="22" t="s">
        <v>3707</v>
      </c>
      <c r="B426" s="23">
        <v>1502000</v>
      </c>
      <c r="C426" s="23" t="s">
        <v>24</v>
      </c>
      <c r="D426" s="29" t="s">
        <v>25</v>
      </c>
      <c r="E426" s="23">
        <v>12</v>
      </c>
      <c r="F426" s="23" t="s">
        <v>17</v>
      </c>
      <c r="G426" s="24"/>
      <c r="H426" s="24">
        <f>G426*E426</f>
        <v>0</v>
      </c>
    </row>
    <row r="427" spans="1:8" x14ac:dyDescent="0.45">
      <c r="A427" s="22" t="s">
        <v>3708</v>
      </c>
      <c r="B427" s="23">
        <v>1502000</v>
      </c>
      <c r="C427" s="23" t="s">
        <v>27</v>
      </c>
      <c r="D427" s="29" t="s">
        <v>28</v>
      </c>
      <c r="E427" s="23">
        <v>12</v>
      </c>
      <c r="F427" s="23" t="s">
        <v>17</v>
      </c>
      <c r="G427" s="24"/>
      <c r="H427" s="24">
        <f>G427*E427</f>
        <v>0</v>
      </c>
    </row>
    <row r="428" spans="1:8" x14ac:dyDescent="0.45">
      <c r="A428" s="25"/>
      <c r="B428" s="26"/>
      <c r="C428" s="26">
        <v>3.1</v>
      </c>
      <c r="D428" s="27" t="s">
        <v>31</v>
      </c>
      <c r="E428" s="28"/>
      <c r="F428" s="28"/>
      <c r="G428" s="28"/>
      <c r="H428" s="28"/>
    </row>
    <row r="429" spans="1:8" x14ac:dyDescent="0.45">
      <c r="A429" s="22" t="s">
        <v>3709</v>
      </c>
      <c r="B429" s="23">
        <v>1502000</v>
      </c>
      <c r="C429" s="23" t="s">
        <v>39</v>
      </c>
      <c r="D429" s="29" t="s">
        <v>230</v>
      </c>
      <c r="E429" s="23">
        <v>12</v>
      </c>
      <c r="F429" s="23" t="s">
        <v>17</v>
      </c>
      <c r="G429" s="24"/>
      <c r="H429" s="24">
        <f>G429*E429</f>
        <v>0</v>
      </c>
    </row>
    <row r="430" spans="1:8" x14ac:dyDescent="0.45">
      <c r="A430" s="22" t="s">
        <v>3710</v>
      </c>
      <c r="B430" s="23">
        <v>1502000</v>
      </c>
      <c r="C430" s="23" t="s">
        <v>250</v>
      </c>
      <c r="D430" s="29" t="s">
        <v>379</v>
      </c>
      <c r="E430" s="23">
        <v>12</v>
      </c>
      <c r="F430" s="23" t="s">
        <v>17</v>
      </c>
      <c r="G430" s="24"/>
      <c r="H430" s="24">
        <f>G430*E430</f>
        <v>0</v>
      </c>
    </row>
    <row r="431" spans="1:8" x14ac:dyDescent="0.45">
      <c r="A431" s="22" t="s">
        <v>3711</v>
      </c>
      <c r="B431" s="23">
        <v>1502000</v>
      </c>
      <c r="C431" s="23" t="s">
        <v>54</v>
      </c>
      <c r="D431" s="29" t="s">
        <v>55</v>
      </c>
      <c r="E431" s="23">
        <v>12</v>
      </c>
      <c r="F431" s="23" t="s">
        <v>17</v>
      </c>
      <c r="G431" s="24"/>
      <c r="H431" s="24">
        <f>G431*E431</f>
        <v>0</v>
      </c>
    </row>
    <row r="432" spans="1:8" x14ac:dyDescent="0.45">
      <c r="A432" s="25"/>
      <c r="B432" s="26">
        <v>1502000</v>
      </c>
      <c r="C432" s="26">
        <v>3.4</v>
      </c>
      <c r="D432" s="27" t="s">
        <v>62</v>
      </c>
      <c r="E432" s="26"/>
      <c r="F432" s="26"/>
      <c r="G432" s="28"/>
      <c r="H432" s="104"/>
    </row>
    <row r="433" spans="1:8" x14ac:dyDescent="0.45">
      <c r="A433" s="22" t="s">
        <v>3712</v>
      </c>
      <c r="B433" s="23">
        <v>1502000</v>
      </c>
      <c r="C433" s="23" t="s">
        <v>64</v>
      </c>
      <c r="D433" s="106" t="s">
        <v>65</v>
      </c>
      <c r="E433" s="23">
        <v>12</v>
      </c>
      <c r="F433" s="23" t="s">
        <v>17</v>
      </c>
      <c r="G433" s="24"/>
      <c r="H433" s="24">
        <f>G433*E433</f>
        <v>0</v>
      </c>
    </row>
    <row r="434" spans="1:8" x14ac:dyDescent="0.45">
      <c r="A434" s="22" t="s">
        <v>3713</v>
      </c>
      <c r="B434" s="23">
        <v>1502000</v>
      </c>
      <c r="C434" s="23" t="s">
        <v>67</v>
      </c>
      <c r="D434" s="120" t="s">
        <v>68</v>
      </c>
      <c r="E434" s="23">
        <v>12</v>
      </c>
      <c r="F434" s="23" t="s">
        <v>17</v>
      </c>
      <c r="G434" s="24"/>
      <c r="H434" s="24">
        <f>G434*E434</f>
        <v>0</v>
      </c>
    </row>
    <row r="435" spans="1:8" x14ac:dyDescent="0.45">
      <c r="A435" s="22" t="s">
        <v>3714</v>
      </c>
      <c r="B435" s="23">
        <v>1502000</v>
      </c>
      <c r="C435" s="23" t="s">
        <v>70</v>
      </c>
      <c r="D435" s="106" t="s">
        <v>71</v>
      </c>
      <c r="E435" s="23">
        <v>12</v>
      </c>
      <c r="F435" s="23" t="s">
        <v>17</v>
      </c>
      <c r="G435" s="24"/>
      <c r="H435" s="24">
        <f>G435*E435</f>
        <v>0</v>
      </c>
    </row>
    <row r="436" spans="1:8" x14ac:dyDescent="0.45">
      <c r="A436" s="27"/>
      <c r="B436" s="125"/>
      <c r="C436" s="125"/>
      <c r="D436" s="27" t="s">
        <v>75</v>
      </c>
      <c r="E436" s="26"/>
      <c r="F436" s="26"/>
      <c r="G436" s="28"/>
      <c r="H436" s="104"/>
    </row>
    <row r="437" spans="1:8" x14ac:dyDescent="0.45">
      <c r="A437" s="22" t="s">
        <v>3715</v>
      </c>
      <c r="B437" s="23">
        <v>1502000</v>
      </c>
      <c r="C437" s="23" t="s">
        <v>80</v>
      </c>
      <c r="D437" s="30" t="s">
        <v>81</v>
      </c>
      <c r="E437" s="23">
        <v>12</v>
      </c>
      <c r="F437" s="23" t="s">
        <v>17</v>
      </c>
      <c r="G437" s="24"/>
      <c r="H437" s="24">
        <f>G437*E437</f>
        <v>0</v>
      </c>
    </row>
    <row r="438" spans="1:8" x14ac:dyDescent="0.45">
      <c r="A438" s="22" t="s">
        <v>3716</v>
      </c>
      <c r="B438" s="23">
        <v>1502000</v>
      </c>
      <c r="C438" s="23" t="s">
        <v>86</v>
      </c>
      <c r="D438" s="106" t="s">
        <v>87</v>
      </c>
      <c r="E438" s="23">
        <v>12</v>
      </c>
      <c r="F438" s="23" t="s">
        <v>17</v>
      </c>
      <c r="G438" s="24"/>
      <c r="H438" s="24">
        <f>G438*E438</f>
        <v>0</v>
      </c>
    </row>
    <row r="439" spans="1:8" x14ac:dyDescent="0.45">
      <c r="A439" s="40"/>
      <c r="B439" s="41">
        <v>1503010</v>
      </c>
      <c r="C439" s="41"/>
      <c r="D439" s="42" t="s">
        <v>109</v>
      </c>
      <c r="E439" s="43"/>
      <c r="F439" s="44"/>
      <c r="G439" s="44"/>
      <c r="H439" s="45"/>
    </row>
    <row r="440" spans="1:8" x14ac:dyDescent="0.45">
      <c r="A440" s="22" t="s">
        <v>3717</v>
      </c>
      <c r="B440" s="33">
        <v>1503010</v>
      </c>
      <c r="C440" s="33">
        <v>3.1</v>
      </c>
      <c r="D440" s="36" t="s">
        <v>111</v>
      </c>
      <c r="E440" s="23">
        <v>12</v>
      </c>
      <c r="F440" s="23" t="s">
        <v>17</v>
      </c>
      <c r="G440" s="24"/>
      <c r="H440" s="24">
        <f>G440*E440</f>
        <v>0</v>
      </c>
    </row>
    <row r="441" spans="1:8" x14ac:dyDescent="0.45">
      <c r="A441" s="40"/>
      <c r="B441" s="43">
        <v>1503020</v>
      </c>
      <c r="C441" s="41"/>
      <c r="D441" s="42" t="s">
        <v>114</v>
      </c>
      <c r="E441" s="43"/>
      <c r="F441" s="44"/>
      <c r="G441" s="44"/>
      <c r="H441" s="45"/>
    </row>
    <row r="442" spans="1:8" ht="13.45" customHeight="1" x14ac:dyDescent="0.45">
      <c r="A442" s="22" t="s">
        <v>3718</v>
      </c>
      <c r="B442" s="33">
        <v>1503020</v>
      </c>
      <c r="C442" s="33">
        <v>3.1</v>
      </c>
      <c r="D442" s="36" t="s">
        <v>116</v>
      </c>
      <c r="E442" s="23">
        <v>12</v>
      </c>
      <c r="F442" s="23" t="s">
        <v>17</v>
      </c>
      <c r="G442" s="24"/>
      <c r="H442" s="24">
        <f>G442*E442</f>
        <v>0</v>
      </c>
    </row>
    <row r="443" spans="1:8" x14ac:dyDescent="0.45">
      <c r="A443" s="22" t="s">
        <v>3719</v>
      </c>
      <c r="B443" s="33">
        <v>1503020</v>
      </c>
      <c r="C443" s="33">
        <v>3.2</v>
      </c>
      <c r="D443" s="36" t="s">
        <v>118</v>
      </c>
      <c r="E443" s="23">
        <v>12</v>
      </c>
      <c r="F443" s="23" t="s">
        <v>17</v>
      </c>
      <c r="G443" s="24"/>
      <c r="H443" s="24">
        <f>G443*E443</f>
        <v>0</v>
      </c>
    </row>
    <row r="444" spans="1:8" x14ac:dyDescent="0.45">
      <c r="A444" s="22" t="s">
        <v>3720</v>
      </c>
      <c r="B444" s="33">
        <v>1503020</v>
      </c>
      <c r="C444" s="33">
        <v>3.3</v>
      </c>
      <c r="D444" s="36" t="s">
        <v>120</v>
      </c>
      <c r="E444" s="23">
        <v>12</v>
      </c>
      <c r="F444" s="23" t="s">
        <v>17</v>
      </c>
      <c r="G444" s="24"/>
      <c r="H444" s="24">
        <f>G444*E444</f>
        <v>0</v>
      </c>
    </row>
    <row r="445" spans="1:8" x14ac:dyDescent="0.45">
      <c r="A445" s="40"/>
      <c r="B445" s="43">
        <v>1503030</v>
      </c>
      <c r="C445" s="41"/>
      <c r="D445" s="42" t="s">
        <v>121</v>
      </c>
      <c r="E445" s="43"/>
      <c r="F445" s="44"/>
      <c r="G445" s="44"/>
      <c r="H445" s="45"/>
    </row>
    <row r="446" spans="1:8" x14ac:dyDescent="0.45">
      <c r="A446" s="22" t="s">
        <v>3721</v>
      </c>
      <c r="B446" s="33">
        <v>1503030</v>
      </c>
      <c r="C446" s="33" t="s">
        <v>123</v>
      </c>
      <c r="D446" s="36" t="s">
        <v>124</v>
      </c>
      <c r="E446" s="23">
        <v>12</v>
      </c>
      <c r="F446" s="23" t="s">
        <v>17</v>
      </c>
      <c r="G446" s="24"/>
      <c r="H446" s="24">
        <f>G446*E446</f>
        <v>0</v>
      </c>
    </row>
    <row r="447" spans="1:8" x14ac:dyDescent="0.45">
      <c r="A447" s="58"/>
      <c r="B447" s="59"/>
      <c r="C447" s="59"/>
      <c r="D447" s="60" t="s">
        <v>449</v>
      </c>
      <c r="E447" s="59"/>
      <c r="F447" s="59"/>
      <c r="G447" s="59"/>
      <c r="H447" s="62">
        <f>SUM(H425:H446)</f>
        <v>0</v>
      </c>
    </row>
    <row r="448" spans="1:8" x14ac:dyDescent="0.45">
      <c r="A448" s="96"/>
      <c r="B448" s="97"/>
      <c r="C448" s="97"/>
      <c r="D448" s="116"/>
      <c r="E448" s="97"/>
      <c r="F448" s="97"/>
      <c r="G448" s="97"/>
      <c r="H448" s="99"/>
    </row>
    <row r="449" spans="1:8" x14ac:dyDescent="0.45">
      <c r="A449" s="12" t="s">
        <v>3722</v>
      </c>
      <c r="B449" s="13"/>
      <c r="C449" s="13"/>
      <c r="D449" s="12" t="s">
        <v>451</v>
      </c>
      <c r="E449" s="13"/>
      <c r="F449" s="13"/>
      <c r="G449" s="13"/>
      <c r="H449" s="102"/>
    </row>
    <row r="450" spans="1:8" x14ac:dyDescent="0.45">
      <c r="A450" s="368"/>
      <c r="B450" s="369">
        <v>1503010</v>
      </c>
      <c r="C450" s="369"/>
      <c r="D450" s="370" t="s">
        <v>109</v>
      </c>
      <c r="E450" s="282"/>
      <c r="F450" s="283"/>
      <c r="G450" s="283"/>
      <c r="H450" s="284"/>
    </row>
    <row r="451" spans="1:8" x14ac:dyDescent="0.45">
      <c r="A451" s="258" t="s">
        <v>5261</v>
      </c>
      <c r="B451" s="259">
        <v>1503010</v>
      </c>
      <c r="C451" s="259">
        <v>3.1</v>
      </c>
      <c r="D451" s="260" t="s">
        <v>111</v>
      </c>
      <c r="E451" s="261">
        <v>12</v>
      </c>
      <c r="F451" s="261" t="s">
        <v>17</v>
      </c>
      <c r="G451" s="262"/>
      <c r="H451" s="262">
        <f>G451*E451</f>
        <v>0</v>
      </c>
    </row>
    <row r="452" spans="1:8" x14ac:dyDescent="0.45">
      <c r="A452" s="40"/>
      <c r="B452" s="43">
        <v>1503020</v>
      </c>
      <c r="C452" s="41"/>
      <c r="D452" s="42" t="s">
        <v>114</v>
      </c>
      <c r="E452" s="43"/>
      <c r="F452" s="44"/>
      <c r="G452" s="44"/>
      <c r="H452" s="45"/>
    </row>
    <row r="453" spans="1:8" ht="13.45" customHeight="1" x14ac:dyDescent="0.45">
      <c r="A453" s="22" t="s">
        <v>3723</v>
      </c>
      <c r="B453" s="33">
        <v>1503020</v>
      </c>
      <c r="C453" s="33">
        <v>3.1</v>
      </c>
      <c r="D453" s="36" t="s">
        <v>116</v>
      </c>
      <c r="E453" s="23">
        <v>12</v>
      </c>
      <c r="F453" s="23" t="s">
        <v>17</v>
      </c>
      <c r="G453" s="24"/>
      <c r="H453" s="24">
        <f>G453*E453</f>
        <v>0</v>
      </c>
    </row>
    <row r="454" spans="1:8" x14ac:dyDescent="0.45">
      <c r="A454" s="22" t="s">
        <v>3724</v>
      </c>
      <c r="B454" s="33">
        <v>1503020</v>
      </c>
      <c r="C454" s="33">
        <v>3.3</v>
      </c>
      <c r="D454" s="36" t="s">
        <v>120</v>
      </c>
      <c r="E454" s="23">
        <v>12</v>
      </c>
      <c r="F454" s="23" t="s">
        <v>17</v>
      </c>
      <c r="G454" s="24"/>
      <c r="H454" s="24">
        <f>G454*E454</f>
        <v>0</v>
      </c>
    </row>
    <row r="455" spans="1:8" x14ac:dyDescent="0.45">
      <c r="A455" s="58"/>
      <c r="B455" s="59"/>
      <c r="C455" s="59"/>
      <c r="D455" s="60" t="s">
        <v>453</v>
      </c>
      <c r="E455" s="59"/>
      <c r="F455" s="59"/>
      <c r="G455" s="61"/>
      <c r="H455" s="62">
        <f>SUM(H451:H454)</f>
        <v>0</v>
      </c>
    </row>
    <row r="456" spans="1:8" s="389" customFormat="1" x14ac:dyDescent="0.45">
      <c r="A456" s="87"/>
      <c r="B456" s="88"/>
      <c r="C456" s="88"/>
      <c r="D456" s="89"/>
      <c r="E456" s="64"/>
      <c r="F456" s="64"/>
      <c r="G456" s="66"/>
      <c r="H456" s="66"/>
    </row>
    <row r="457" spans="1:8" s="389" customFormat="1" x14ac:dyDescent="0.45">
      <c r="A457" s="378" t="s">
        <v>5262</v>
      </c>
      <c r="B457" s="379"/>
      <c r="C457" s="380"/>
      <c r="D457" s="378" t="s">
        <v>5047</v>
      </c>
      <c r="E457" s="381"/>
      <c r="F457" s="381"/>
      <c r="G457" s="381"/>
      <c r="H457" s="381"/>
    </row>
    <row r="458" spans="1:8" s="389" customFormat="1" x14ac:dyDescent="0.4">
      <c r="A458" s="287"/>
      <c r="B458" s="382">
        <v>1502000</v>
      </c>
      <c r="C458" s="383"/>
      <c r="D458" s="384" t="s">
        <v>18</v>
      </c>
      <c r="E458" s="385"/>
      <c r="F458" s="385"/>
      <c r="G458" s="386"/>
      <c r="H458" s="386"/>
    </row>
    <row r="459" spans="1:8" s="389" customFormat="1" x14ac:dyDescent="0.45">
      <c r="A459" s="363"/>
      <c r="B459" s="373"/>
      <c r="C459" s="373">
        <v>3.6</v>
      </c>
      <c r="D459" s="374" t="s">
        <v>75</v>
      </c>
      <c r="E459" s="375"/>
      <c r="F459" s="375"/>
      <c r="G459" s="375"/>
      <c r="H459" s="375"/>
    </row>
    <row r="460" spans="1:8" s="389" customFormat="1" x14ac:dyDescent="0.45">
      <c r="A460" s="257" t="s">
        <v>5263</v>
      </c>
      <c r="B460" s="286">
        <v>1502000</v>
      </c>
      <c r="C460" s="301" t="s">
        <v>77</v>
      </c>
      <c r="D460" s="372" t="s">
        <v>78</v>
      </c>
      <c r="E460" s="286">
        <v>12</v>
      </c>
      <c r="F460" s="286" t="s">
        <v>17</v>
      </c>
      <c r="G460" s="302"/>
      <c r="H460" s="302">
        <f>G460*E460</f>
        <v>0</v>
      </c>
    </row>
    <row r="461" spans="1:8" s="389" customFormat="1" x14ac:dyDescent="0.45">
      <c r="A461" s="257" t="s">
        <v>5264</v>
      </c>
      <c r="B461" s="286">
        <v>1502000</v>
      </c>
      <c r="C461" s="301" t="s">
        <v>101</v>
      </c>
      <c r="D461" s="372" t="s">
        <v>102</v>
      </c>
      <c r="E461" s="286">
        <v>12</v>
      </c>
      <c r="F461" s="286" t="s">
        <v>17</v>
      </c>
      <c r="G461" s="302"/>
      <c r="H461" s="302">
        <f>G461*E461</f>
        <v>0</v>
      </c>
    </row>
    <row r="462" spans="1:8" s="389" customFormat="1" x14ac:dyDescent="0.45">
      <c r="A462" s="58"/>
      <c r="B462" s="59"/>
      <c r="C462" s="59"/>
      <c r="D462" s="387" t="s">
        <v>5048</v>
      </c>
      <c r="E462" s="59"/>
      <c r="F462" s="59"/>
      <c r="G462" s="61"/>
      <c r="H462" s="388">
        <f>SUM(H460:H461)</f>
        <v>0</v>
      </c>
    </row>
    <row r="463" spans="1:8" s="389" customFormat="1" x14ac:dyDescent="0.45">
      <c r="A463" s="87"/>
      <c r="B463" s="88"/>
      <c r="C463" s="88"/>
      <c r="D463" s="89"/>
      <c r="E463" s="64"/>
      <c r="F463" s="64"/>
      <c r="G463" s="66"/>
      <c r="H463" s="66"/>
    </row>
    <row r="464" spans="1:8" s="293" customFormat="1" x14ac:dyDescent="0.45">
      <c r="A464" s="378" t="s">
        <v>5265</v>
      </c>
      <c r="B464" s="380"/>
      <c r="C464" s="380"/>
      <c r="D464" s="378" t="s">
        <v>5050</v>
      </c>
      <c r="E464" s="381"/>
      <c r="F464" s="381"/>
      <c r="G464" s="381"/>
      <c r="H464" s="381"/>
    </row>
    <row r="465" spans="1:8" s="293" customFormat="1" x14ac:dyDescent="0.4">
      <c r="A465" s="287"/>
      <c r="B465" s="382">
        <v>1502000</v>
      </c>
      <c r="C465" s="383"/>
      <c r="D465" s="384" t="s">
        <v>18</v>
      </c>
      <c r="E465" s="290"/>
      <c r="F465" s="291"/>
      <c r="G465" s="291"/>
      <c r="H465" s="292"/>
    </row>
    <row r="466" spans="1:8" s="293" customFormat="1" x14ac:dyDescent="0.45">
      <c r="A466" s="363"/>
      <c r="B466" s="373"/>
      <c r="C466" s="373">
        <v>3.6</v>
      </c>
      <c r="D466" s="374" t="s">
        <v>75</v>
      </c>
      <c r="E466" s="375"/>
      <c r="F466" s="375"/>
      <c r="G466" s="375"/>
      <c r="H466" s="375"/>
    </row>
    <row r="467" spans="1:8" s="293" customFormat="1" x14ac:dyDescent="0.45">
      <c r="A467" s="257" t="s">
        <v>5266</v>
      </c>
      <c r="B467" s="286">
        <v>1502000</v>
      </c>
      <c r="C467" s="301" t="s">
        <v>77</v>
      </c>
      <c r="D467" s="372" t="s">
        <v>78</v>
      </c>
      <c r="E467" s="286">
        <v>12</v>
      </c>
      <c r="F467" s="286" t="s">
        <v>17</v>
      </c>
      <c r="G467" s="302"/>
      <c r="H467" s="302">
        <f>G467*E467</f>
        <v>0</v>
      </c>
    </row>
    <row r="468" spans="1:8" s="389" customFormat="1" x14ac:dyDescent="0.45">
      <c r="A468" s="58"/>
      <c r="B468" s="59"/>
      <c r="C468" s="59"/>
      <c r="D468" s="387" t="s">
        <v>5051</v>
      </c>
      <c r="E468" s="59"/>
      <c r="F468" s="59"/>
      <c r="G468" s="61"/>
      <c r="H468" s="388">
        <f>SUM(H466:H467)</f>
        <v>0</v>
      </c>
    </row>
    <row r="469" spans="1:8" s="389" customFormat="1" x14ac:dyDescent="0.45">
      <c r="B469" s="105"/>
      <c r="C469" s="105"/>
      <c r="D469" s="140"/>
      <c r="E469" s="105"/>
      <c r="F469" s="105"/>
      <c r="G469" s="141"/>
      <c r="H469" s="141"/>
    </row>
    <row r="470" spans="1:8" ht="7.5" customHeight="1" x14ac:dyDescent="0.45">
      <c r="A470" s="130"/>
      <c r="B470" s="131"/>
      <c r="C470" s="131"/>
      <c r="D470" s="132"/>
      <c r="E470" s="131"/>
      <c r="F470" s="133"/>
      <c r="G470" s="133"/>
      <c r="H470" s="134"/>
    </row>
    <row r="471" spans="1:8" s="139" customFormat="1" ht="15" x14ac:dyDescent="0.45">
      <c r="A471" s="135" t="s">
        <v>5267</v>
      </c>
      <c r="B471" s="136"/>
      <c r="C471" s="136"/>
      <c r="D471" s="137"/>
      <c r="E471" s="137"/>
      <c r="F471" s="137"/>
      <c r="G471" s="137"/>
      <c r="H471" s="138">
        <f>H455+H447+H420+H406+H396+H388+H345+H334+H303+H281+H272+H247+H242+H236+H216+H165+H150+H143+H136+H122+H97+H462+H468</f>
        <v>0</v>
      </c>
    </row>
  </sheetData>
  <mergeCells count="2354">
    <mergeCell ref="A9:H9"/>
    <mergeCell ref="A10:H10"/>
    <mergeCell ref="XER5:XEX5"/>
    <mergeCell ref="XEY5:XFB5"/>
    <mergeCell ref="A6:H6"/>
    <mergeCell ref="I6:N6"/>
    <mergeCell ref="A7:H7"/>
    <mergeCell ref="A8:H8"/>
    <mergeCell ref="XDB5:XDH5"/>
    <mergeCell ref="XDI5:XDO5"/>
    <mergeCell ref="XDP5:XDV5"/>
    <mergeCell ref="XDW5:XEC5"/>
    <mergeCell ref="XED5:XEJ5"/>
    <mergeCell ref="XEK5:XEQ5"/>
    <mergeCell ref="XBL5:XBR5"/>
    <mergeCell ref="XBS5:XBY5"/>
    <mergeCell ref="XBZ5:XCF5"/>
    <mergeCell ref="XCG5:XCM5"/>
    <mergeCell ref="XCN5:XCT5"/>
    <mergeCell ref="XCU5:XDA5"/>
    <mergeCell ref="WZV5:XAB5"/>
    <mergeCell ref="XAC5:XAI5"/>
    <mergeCell ref="XAJ5:XAP5"/>
    <mergeCell ref="XAQ5:XAW5"/>
    <mergeCell ref="XAX5:XBD5"/>
    <mergeCell ref="XBE5:XBK5"/>
    <mergeCell ref="WYF5:WYL5"/>
    <mergeCell ref="WYM5:WYS5"/>
    <mergeCell ref="WYT5:WYZ5"/>
    <mergeCell ref="WZA5:WZG5"/>
    <mergeCell ref="WZH5:WZN5"/>
    <mergeCell ref="WZO5:WZU5"/>
    <mergeCell ref="WWP5:WWV5"/>
    <mergeCell ref="WWW5:WXC5"/>
    <mergeCell ref="WXD5:WXJ5"/>
    <mergeCell ref="WXK5:WXQ5"/>
    <mergeCell ref="WXR5:WXX5"/>
    <mergeCell ref="WXY5:WYE5"/>
    <mergeCell ref="WUZ5:WVF5"/>
    <mergeCell ref="WVG5:WVM5"/>
    <mergeCell ref="WVN5:WVT5"/>
    <mergeCell ref="WVU5:WWA5"/>
    <mergeCell ref="WWB5:WWH5"/>
    <mergeCell ref="WWI5:WWO5"/>
    <mergeCell ref="WTJ5:WTP5"/>
    <mergeCell ref="WTQ5:WTW5"/>
    <mergeCell ref="WTX5:WUD5"/>
    <mergeCell ref="WUE5:WUK5"/>
    <mergeCell ref="WUL5:WUR5"/>
    <mergeCell ref="WUS5:WUY5"/>
    <mergeCell ref="WRT5:WRZ5"/>
    <mergeCell ref="WSA5:WSG5"/>
    <mergeCell ref="WSH5:WSN5"/>
    <mergeCell ref="WSO5:WSU5"/>
    <mergeCell ref="WSV5:WTB5"/>
    <mergeCell ref="WTC5:WTI5"/>
    <mergeCell ref="WQD5:WQJ5"/>
    <mergeCell ref="WQK5:WQQ5"/>
    <mergeCell ref="WQR5:WQX5"/>
    <mergeCell ref="WQY5:WRE5"/>
    <mergeCell ref="WRF5:WRL5"/>
    <mergeCell ref="WRM5:WRS5"/>
    <mergeCell ref="WON5:WOT5"/>
    <mergeCell ref="WOU5:WPA5"/>
    <mergeCell ref="WPB5:WPH5"/>
    <mergeCell ref="WPI5:WPO5"/>
    <mergeCell ref="WPP5:WPV5"/>
    <mergeCell ref="WPW5:WQC5"/>
    <mergeCell ref="WMX5:WND5"/>
    <mergeCell ref="WNE5:WNK5"/>
    <mergeCell ref="WNL5:WNR5"/>
    <mergeCell ref="WNS5:WNY5"/>
    <mergeCell ref="WNZ5:WOF5"/>
    <mergeCell ref="WOG5:WOM5"/>
    <mergeCell ref="WLH5:WLN5"/>
    <mergeCell ref="WLO5:WLU5"/>
    <mergeCell ref="WLV5:WMB5"/>
    <mergeCell ref="WMC5:WMI5"/>
    <mergeCell ref="WMJ5:WMP5"/>
    <mergeCell ref="WMQ5:WMW5"/>
    <mergeCell ref="WJR5:WJX5"/>
    <mergeCell ref="WJY5:WKE5"/>
    <mergeCell ref="WKF5:WKL5"/>
    <mergeCell ref="WKM5:WKS5"/>
    <mergeCell ref="WKT5:WKZ5"/>
    <mergeCell ref="WLA5:WLG5"/>
    <mergeCell ref="WIB5:WIH5"/>
    <mergeCell ref="WII5:WIO5"/>
    <mergeCell ref="WIP5:WIV5"/>
    <mergeCell ref="WIW5:WJC5"/>
    <mergeCell ref="WJD5:WJJ5"/>
    <mergeCell ref="WJK5:WJQ5"/>
    <mergeCell ref="WGL5:WGR5"/>
    <mergeCell ref="WGS5:WGY5"/>
    <mergeCell ref="WGZ5:WHF5"/>
    <mergeCell ref="WHG5:WHM5"/>
    <mergeCell ref="WHN5:WHT5"/>
    <mergeCell ref="WHU5:WIA5"/>
    <mergeCell ref="WEV5:WFB5"/>
    <mergeCell ref="WFC5:WFI5"/>
    <mergeCell ref="WFJ5:WFP5"/>
    <mergeCell ref="WFQ5:WFW5"/>
    <mergeCell ref="WFX5:WGD5"/>
    <mergeCell ref="WGE5:WGK5"/>
    <mergeCell ref="WDF5:WDL5"/>
    <mergeCell ref="WDM5:WDS5"/>
    <mergeCell ref="WDT5:WDZ5"/>
    <mergeCell ref="WEA5:WEG5"/>
    <mergeCell ref="WEH5:WEN5"/>
    <mergeCell ref="WEO5:WEU5"/>
    <mergeCell ref="WBP5:WBV5"/>
    <mergeCell ref="WBW5:WCC5"/>
    <mergeCell ref="WCD5:WCJ5"/>
    <mergeCell ref="WCK5:WCQ5"/>
    <mergeCell ref="WCR5:WCX5"/>
    <mergeCell ref="WCY5:WDE5"/>
    <mergeCell ref="VZZ5:WAF5"/>
    <mergeCell ref="WAG5:WAM5"/>
    <mergeCell ref="WAN5:WAT5"/>
    <mergeCell ref="WAU5:WBA5"/>
    <mergeCell ref="WBB5:WBH5"/>
    <mergeCell ref="WBI5:WBO5"/>
    <mergeCell ref="VYJ5:VYP5"/>
    <mergeCell ref="VYQ5:VYW5"/>
    <mergeCell ref="VYX5:VZD5"/>
    <mergeCell ref="VZE5:VZK5"/>
    <mergeCell ref="VZL5:VZR5"/>
    <mergeCell ref="VZS5:VZY5"/>
    <mergeCell ref="VWT5:VWZ5"/>
    <mergeCell ref="VXA5:VXG5"/>
    <mergeCell ref="VXH5:VXN5"/>
    <mergeCell ref="VXO5:VXU5"/>
    <mergeCell ref="VXV5:VYB5"/>
    <mergeCell ref="VYC5:VYI5"/>
    <mergeCell ref="VVD5:VVJ5"/>
    <mergeCell ref="VVK5:VVQ5"/>
    <mergeCell ref="VVR5:VVX5"/>
    <mergeCell ref="VVY5:VWE5"/>
    <mergeCell ref="VWF5:VWL5"/>
    <mergeCell ref="VWM5:VWS5"/>
    <mergeCell ref="VTN5:VTT5"/>
    <mergeCell ref="VTU5:VUA5"/>
    <mergeCell ref="VUB5:VUH5"/>
    <mergeCell ref="VUI5:VUO5"/>
    <mergeCell ref="VUP5:VUV5"/>
    <mergeCell ref="VUW5:VVC5"/>
    <mergeCell ref="VRX5:VSD5"/>
    <mergeCell ref="VSE5:VSK5"/>
    <mergeCell ref="VSL5:VSR5"/>
    <mergeCell ref="VSS5:VSY5"/>
    <mergeCell ref="VSZ5:VTF5"/>
    <mergeCell ref="VTG5:VTM5"/>
    <mergeCell ref="VQH5:VQN5"/>
    <mergeCell ref="VQO5:VQU5"/>
    <mergeCell ref="VQV5:VRB5"/>
    <mergeCell ref="VRC5:VRI5"/>
    <mergeCell ref="VRJ5:VRP5"/>
    <mergeCell ref="VRQ5:VRW5"/>
    <mergeCell ref="VOR5:VOX5"/>
    <mergeCell ref="VOY5:VPE5"/>
    <mergeCell ref="VPF5:VPL5"/>
    <mergeCell ref="VPM5:VPS5"/>
    <mergeCell ref="VPT5:VPZ5"/>
    <mergeCell ref="VQA5:VQG5"/>
    <mergeCell ref="VNB5:VNH5"/>
    <mergeCell ref="VNI5:VNO5"/>
    <mergeCell ref="VNP5:VNV5"/>
    <mergeCell ref="VNW5:VOC5"/>
    <mergeCell ref="VOD5:VOJ5"/>
    <mergeCell ref="VOK5:VOQ5"/>
    <mergeCell ref="VLL5:VLR5"/>
    <mergeCell ref="VLS5:VLY5"/>
    <mergeCell ref="VLZ5:VMF5"/>
    <mergeCell ref="VMG5:VMM5"/>
    <mergeCell ref="VMN5:VMT5"/>
    <mergeCell ref="VMU5:VNA5"/>
    <mergeCell ref="VJV5:VKB5"/>
    <mergeCell ref="VKC5:VKI5"/>
    <mergeCell ref="VKJ5:VKP5"/>
    <mergeCell ref="VKQ5:VKW5"/>
    <mergeCell ref="VKX5:VLD5"/>
    <mergeCell ref="VLE5:VLK5"/>
    <mergeCell ref="VIF5:VIL5"/>
    <mergeCell ref="VIM5:VIS5"/>
    <mergeCell ref="VIT5:VIZ5"/>
    <mergeCell ref="VJA5:VJG5"/>
    <mergeCell ref="VJH5:VJN5"/>
    <mergeCell ref="VJO5:VJU5"/>
    <mergeCell ref="VGP5:VGV5"/>
    <mergeCell ref="VGW5:VHC5"/>
    <mergeCell ref="VHD5:VHJ5"/>
    <mergeCell ref="VHK5:VHQ5"/>
    <mergeCell ref="VHR5:VHX5"/>
    <mergeCell ref="VHY5:VIE5"/>
    <mergeCell ref="VEZ5:VFF5"/>
    <mergeCell ref="VFG5:VFM5"/>
    <mergeCell ref="VFN5:VFT5"/>
    <mergeCell ref="VFU5:VGA5"/>
    <mergeCell ref="VGB5:VGH5"/>
    <mergeCell ref="VGI5:VGO5"/>
    <mergeCell ref="VDJ5:VDP5"/>
    <mergeCell ref="VDQ5:VDW5"/>
    <mergeCell ref="VDX5:VED5"/>
    <mergeCell ref="VEE5:VEK5"/>
    <mergeCell ref="VEL5:VER5"/>
    <mergeCell ref="VES5:VEY5"/>
    <mergeCell ref="VBT5:VBZ5"/>
    <mergeCell ref="VCA5:VCG5"/>
    <mergeCell ref="VCH5:VCN5"/>
    <mergeCell ref="VCO5:VCU5"/>
    <mergeCell ref="VCV5:VDB5"/>
    <mergeCell ref="VDC5:VDI5"/>
    <mergeCell ref="VAD5:VAJ5"/>
    <mergeCell ref="VAK5:VAQ5"/>
    <mergeCell ref="VAR5:VAX5"/>
    <mergeCell ref="VAY5:VBE5"/>
    <mergeCell ref="VBF5:VBL5"/>
    <mergeCell ref="VBM5:VBS5"/>
    <mergeCell ref="UYN5:UYT5"/>
    <mergeCell ref="UYU5:UZA5"/>
    <mergeCell ref="UZB5:UZH5"/>
    <mergeCell ref="UZI5:UZO5"/>
    <mergeCell ref="UZP5:UZV5"/>
    <mergeCell ref="UZW5:VAC5"/>
    <mergeCell ref="UWX5:UXD5"/>
    <mergeCell ref="UXE5:UXK5"/>
    <mergeCell ref="UXL5:UXR5"/>
    <mergeCell ref="UXS5:UXY5"/>
    <mergeCell ref="UXZ5:UYF5"/>
    <mergeCell ref="UYG5:UYM5"/>
    <mergeCell ref="UVH5:UVN5"/>
    <mergeCell ref="UVO5:UVU5"/>
    <mergeCell ref="UVV5:UWB5"/>
    <mergeCell ref="UWC5:UWI5"/>
    <mergeCell ref="UWJ5:UWP5"/>
    <mergeCell ref="UWQ5:UWW5"/>
    <mergeCell ref="UTR5:UTX5"/>
    <mergeCell ref="UTY5:UUE5"/>
    <mergeCell ref="UUF5:UUL5"/>
    <mergeCell ref="UUM5:UUS5"/>
    <mergeCell ref="UUT5:UUZ5"/>
    <mergeCell ref="UVA5:UVG5"/>
    <mergeCell ref="USB5:USH5"/>
    <mergeCell ref="USI5:USO5"/>
    <mergeCell ref="USP5:USV5"/>
    <mergeCell ref="USW5:UTC5"/>
    <mergeCell ref="UTD5:UTJ5"/>
    <mergeCell ref="UTK5:UTQ5"/>
    <mergeCell ref="UQL5:UQR5"/>
    <mergeCell ref="UQS5:UQY5"/>
    <mergeCell ref="UQZ5:URF5"/>
    <mergeCell ref="URG5:URM5"/>
    <mergeCell ref="URN5:URT5"/>
    <mergeCell ref="URU5:USA5"/>
    <mergeCell ref="UOV5:UPB5"/>
    <mergeCell ref="UPC5:UPI5"/>
    <mergeCell ref="UPJ5:UPP5"/>
    <mergeCell ref="UPQ5:UPW5"/>
    <mergeCell ref="UPX5:UQD5"/>
    <mergeCell ref="UQE5:UQK5"/>
    <mergeCell ref="UNF5:UNL5"/>
    <mergeCell ref="UNM5:UNS5"/>
    <mergeCell ref="UNT5:UNZ5"/>
    <mergeCell ref="UOA5:UOG5"/>
    <mergeCell ref="UOH5:UON5"/>
    <mergeCell ref="UOO5:UOU5"/>
    <mergeCell ref="ULP5:ULV5"/>
    <mergeCell ref="ULW5:UMC5"/>
    <mergeCell ref="UMD5:UMJ5"/>
    <mergeCell ref="UMK5:UMQ5"/>
    <mergeCell ref="UMR5:UMX5"/>
    <mergeCell ref="UMY5:UNE5"/>
    <mergeCell ref="UJZ5:UKF5"/>
    <mergeCell ref="UKG5:UKM5"/>
    <mergeCell ref="UKN5:UKT5"/>
    <mergeCell ref="UKU5:ULA5"/>
    <mergeCell ref="ULB5:ULH5"/>
    <mergeCell ref="ULI5:ULO5"/>
    <mergeCell ref="UIJ5:UIP5"/>
    <mergeCell ref="UIQ5:UIW5"/>
    <mergeCell ref="UIX5:UJD5"/>
    <mergeCell ref="UJE5:UJK5"/>
    <mergeCell ref="UJL5:UJR5"/>
    <mergeCell ref="UJS5:UJY5"/>
    <mergeCell ref="UGT5:UGZ5"/>
    <mergeCell ref="UHA5:UHG5"/>
    <mergeCell ref="UHH5:UHN5"/>
    <mergeCell ref="UHO5:UHU5"/>
    <mergeCell ref="UHV5:UIB5"/>
    <mergeCell ref="UIC5:UII5"/>
    <mergeCell ref="UFD5:UFJ5"/>
    <mergeCell ref="UFK5:UFQ5"/>
    <mergeCell ref="UFR5:UFX5"/>
    <mergeCell ref="UFY5:UGE5"/>
    <mergeCell ref="UGF5:UGL5"/>
    <mergeCell ref="UGM5:UGS5"/>
    <mergeCell ref="UDN5:UDT5"/>
    <mergeCell ref="UDU5:UEA5"/>
    <mergeCell ref="UEB5:UEH5"/>
    <mergeCell ref="UEI5:UEO5"/>
    <mergeCell ref="UEP5:UEV5"/>
    <mergeCell ref="UEW5:UFC5"/>
    <mergeCell ref="UBX5:UCD5"/>
    <mergeCell ref="UCE5:UCK5"/>
    <mergeCell ref="UCL5:UCR5"/>
    <mergeCell ref="UCS5:UCY5"/>
    <mergeCell ref="UCZ5:UDF5"/>
    <mergeCell ref="UDG5:UDM5"/>
    <mergeCell ref="UAH5:UAN5"/>
    <mergeCell ref="UAO5:UAU5"/>
    <mergeCell ref="UAV5:UBB5"/>
    <mergeCell ref="UBC5:UBI5"/>
    <mergeCell ref="UBJ5:UBP5"/>
    <mergeCell ref="UBQ5:UBW5"/>
    <mergeCell ref="TYR5:TYX5"/>
    <mergeCell ref="TYY5:TZE5"/>
    <mergeCell ref="TZF5:TZL5"/>
    <mergeCell ref="TZM5:TZS5"/>
    <mergeCell ref="TZT5:TZZ5"/>
    <mergeCell ref="UAA5:UAG5"/>
    <mergeCell ref="TXB5:TXH5"/>
    <mergeCell ref="TXI5:TXO5"/>
    <mergeCell ref="TXP5:TXV5"/>
    <mergeCell ref="TXW5:TYC5"/>
    <mergeCell ref="TYD5:TYJ5"/>
    <mergeCell ref="TYK5:TYQ5"/>
    <mergeCell ref="TVL5:TVR5"/>
    <mergeCell ref="TVS5:TVY5"/>
    <mergeCell ref="TVZ5:TWF5"/>
    <mergeCell ref="TWG5:TWM5"/>
    <mergeCell ref="TWN5:TWT5"/>
    <mergeCell ref="TWU5:TXA5"/>
    <mergeCell ref="TTV5:TUB5"/>
    <mergeCell ref="TUC5:TUI5"/>
    <mergeCell ref="TUJ5:TUP5"/>
    <mergeCell ref="TUQ5:TUW5"/>
    <mergeCell ref="TUX5:TVD5"/>
    <mergeCell ref="TVE5:TVK5"/>
    <mergeCell ref="TSF5:TSL5"/>
    <mergeCell ref="TSM5:TSS5"/>
    <mergeCell ref="TST5:TSZ5"/>
    <mergeCell ref="TTA5:TTG5"/>
    <mergeCell ref="TTH5:TTN5"/>
    <mergeCell ref="TTO5:TTU5"/>
    <mergeCell ref="TQP5:TQV5"/>
    <mergeCell ref="TQW5:TRC5"/>
    <mergeCell ref="TRD5:TRJ5"/>
    <mergeCell ref="TRK5:TRQ5"/>
    <mergeCell ref="TRR5:TRX5"/>
    <mergeCell ref="TRY5:TSE5"/>
    <mergeCell ref="TOZ5:TPF5"/>
    <mergeCell ref="TPG5:TPM5"/>
    <mergeCell ref="TPN5:TPT5"/>
    <mergeCell ref="TPU5:TQA5"/>
    <mergeCell ref="TQB5:TQH5"/>
    <mergeCell ref="TQI5:TQO5"/>
    <mergeCell ref="TNJ5:TNP5"/>
    <mergeCell ref="TNQ5:TNW5"/>
    <mergeCell ref="TNX5:TOD5"/>
    <mergeCell ref="TOE5:TOK5"/>
    <mergeCell ref="TOL5:TOR5"/>
    <mergeCell ref="TOS5:TOY5"/>
    <mergeCell ref="TLT5:TLZ5"/>
    <mergeCell ref="TMA5:TMG5"/>
    <mergeCell ref="TMH5:TMN5"/>
    <mergeCell ref="TMO5:TMU5"/>
    <mergeCell ref="TMV5:TNB5"/>
    <mergeCell ref="TNC5:TNI5"/>
    <mergeCell ref="TKD5:TKJ5"/>
    <mergeCell ref="TKK5:TKQ5"/>
    <mergeCell ref="TKR5:TKX5"/>
    <mergeCell ref="TKY5:TLE5"/>
    <mergeCell ref="TLF5:TLL5"/>
    <mergeCell ref="TLM5:TLS5"/>
    <mergeCell ref="TIN5:TIT5"/>
    <mergeCell ref="TIU5:TJA5"/>
    <mergeCell ref="TJB5:TJH5"/>
    <mergeCell ref="TJI5:TJO5"/>
    <mergeCell ref="TJP5:TJV5"/>
    <mergeCell ref="TJW5:TKC5"/>
    <mergeCell ref="TGX5:THD5"/>
    <mergeCell ref="THE5:THK5"/>
    <mergeCell ref="THL5:THR5"/>
    <mergeCell ref="THS5:THY5"/>
    <mergeCell ref="THZ5:TIF5"/>
    <mergeCell ref="TIG5:TIM5"/>
    <mergeCell ref="TFH5:TFN5"/>
    <mergeCell ref="TFO5:TFU5"/>
    <mergeCell ref="TFV5:TGB5"/>
    <mergeCell ref="TGC5:TGI5"/>
    <mergeCell ref="TGJ5:TGP5"/>
    <mergeCell ref="TGQ5:TGW5"/>
    <mergeCell ref="TDR5:TDX5"/>
    <mergeCell ref="TDY5:TEE5"/>
    <mergeCell ref="TEF5:TEL5"/>
    <mergeCell ref="TEM5:TES5"/>
    <mergeCell ref="TET5:TEZ5"/>
    <mergeCell ref="TFA5:TFG5"/>
    <mergeCell ref="TCB5:TCH5"/>
    <mergeCell ref="TCI5:TCO5"/>
    <mergeCell ref="TCP5:TCV5"/>
    <mergeCell ref="TCW5:TDC5"/>
    <mergeCell ref="TDD5:TDJ5"/>
    <mergeCell ref="TDK5:TDQ5"/>
    <mergeCell ref="TAL5:TAR5"/>
    <mergeCell ref="TAS5:TAY5"/>
    <mergeCell ref="TAZ5:TBF5"/>
    <mergeCell ref="TBG5:TBM5"/>
    <mergeCell ref="TBN5:TBT5"/>
    <mergeCell ref="TBU5:TCA5"/>
    <mergeCell ref="SYV5:SZB5"/>
    <mergeCell ref="SZC5:SZI5"/>
    <mergeCell ref="SZJ5:SZP5"/>
    <mergeCell ref="SZQ5:SZW5"/>
    <mergeCell ref="SZX5:TAD5"/>
    <mergeCell ref="TAE5:TAK5"/>
    <mergeCell ref="SXF5:SXL5"/>
    <mergeCell ref="SXM5:SXS5"/>
    <mergeCell ref="SXT5:SXZ5"/>
    <mergeCell ref="SYA5:SYG5"/>
    <mergeCell ref="SYH5:SYN5"/>
    <mergeCell ref="SYO5:SYU5"/>
    <mergeCell ref="SVP5:SVV5"/>
    <mergeCell ref="SVW5:SWC5"/>
    <mergeCell ref="SWD5:SWJ5"/>
    <mergeCell ref="SWK5:SWQ5"/>
    <mergeCell ref="SWR5:SWX5"/>
    <mergeCell ref="SWY5:SXE5"/>
    <mergeCell ref="STZ5:SUF5"/>
    <mergeCell ref="SUG5:SUM5"/>
    <mergeCell ref="SUN5:SUT5"/>
    <mergeCell ref="SUU5:SVA5"/>
    <mergeCell ref="SVB5:SVH5"/>
    <mergeCell ref="SVI5:SVO5"/>
    <mergeCell ref="SSJ5:SSP5"/>
    <mergeCell ref="SSQ5:SSW5"/>
    <mergeCell ref="SSX5:STD5"/>
    <mergeCell ref="STE5:STK5"/>
    <mergeCell ref="STL5:STR5"/>
    <mergeCell ref="STS5:STY5"/>
    <mergeCell ref="SQT5:SQZ5"/>
    <mergeCell ref="SRA5:SRG5"/>
    <mergeCell ref="SRH5:SRN5"/>
    <mergeCell ref="SRO5:SRU5"/>
    <mergeCell ref="SRV5:SSB5"/>
    <mergeCell ref="SSC5:SSI5"/>
    <mergeCell ref="SPD5:SPJ5"/>
    <mergeCell ref="SPK5:SPQ5"/>
    <mergeCell ref="SPR5:SPX5"/>
    <mergeCell ref="SPY5:SQE5"/>
    <mergeCell ref="SQF5:SQL5"/>
    <mergeCell ref="SQM5:SQS5"/>
    <mergeCell ref="SNN5:SNT5"/>
    <mergeCell ref="SNU5:SOA5"/>
    <mergeCell ref="SOB5:SOH5"/>
    <mergeCell ref="SOI5:SOO5"/>
    <mergeCell ref="SOP5:SOV5"/>
    <mergeCell ref="SOW5:SPC5"/>
    <mergeCell ref="SLX5:SMD5"/>
    <mergeCell ref="SME5:SMK5"/>
    <mergeCell ref="SML5:SMR5"/>
    <mergeCell ref="SMS5:SMY5"/>
    <mergeCell ref="SMZ5:SNF5"/>
    <mergeCell ref="SNG5:SNM5"/>
    <mergeCell ref="SKH5:SKN5"/>
    <mergeCell ref="SKO5:SKU5"/>
    <mergeCell ref="SKV5:SLB5"/>
    <mergeCell ref="SLC5:SLI5"/>
    <mergeCell ref="SLJ5:SLP5"/>
    <mergeCell ref="SLQ5:SLW5"/>
    <mergeCell ref="SIR5:SIX5"/>
    <mergeCell ref="SIY5:SJE5"/>
    <mergeCell ref="SJF5:SJL5"/>
    <mergeCell ref="SJM5:SJS5"/>
    <mergeCell ref="SJT5:SJZ5"/>
    <mergeCell ref="SKA5:SKG5"/>
    <mergeCell ref="SHB5:SHH5"/>
    <mergeCell ref="SHI5:SHO5"/>
    <mergeCell ref="SHP5:SHV5"/>
    <mergeCell ref="SHW5:SIC5"/>
    <mergeCell ref="SID5:SIJ5"/>
    <mergeCell ref="SIK5:SIQ5"/>
    <mergeCell ref="SFL5:SFR5"/>
    <mergeCell ref="SFS5:SFY5"/>
    <mergeCell ref="SFZ5:SGF5"/>
    <mergeCell ref="SGG5:SGM5"/>
    <mergeCell ref="SGN5:SGT5"/>
    <mergeCell ref="SGU5:SHA5"/>
    <mergeCell ref="SDV5:SEB5"/>
    <mergeCell ref="SEC5:SEI5"/>
    <mergeCell ref="SEJ5:SEP5"/>
    <mergeCell ref="SEQ5:SEW5"/>
    <mergeCell ref="SEX5:SFD5"/>
    <mergeCell ref="SFE5:SFK5"/>
    <mergeCell ref="SCF5:SCL5"/>
    <mergeCell ref="SCM5:SCS5"/>
    <mergeCell ref="SCT5:SCZ5"/>
    <mergeCell ref="SDA5:SDG5"/>
    <mergeCell ref="SDH5:SDN5"/>
    <mergeCell ref="SDO5:SDU5"/>
    <mergeCell ref="SAP5:SAV5"/>
    <mergeCell ref="SAW5:SBC5"/>
    <mergeCell ref="SBD5:SBJ5"/>
    <mergeCell ref="SBK5:SBQ5"/>
    <mergeCell ref="SBR5:SBX5"/>
    <mergeCell ref="SBY5:SCE5"/>
    <mergeCell ref="RYZ5:RZF5"/>
    <mergeCell ref="RZG5:RZM5"/>
    <mergeCell ref="RZN5:RZT5"/>
    <mergeCell ref="RZU5:SAA5"/>
    <mergeCell ref="SAB5:SAH5"/>
    <mergeCell ref="SAI5:SAO5"/>
    <mergeCell ref="RXJ5:RXP5"/>
    <mergeCell ref="RXQ5:RXW5"/>
    <mergeCell ref="RXX5:RYD5"/>
    <mergeCell ref="RYE5:RYK5"/>
    <mergeCell ref="RYL5:RYR5"/>
    <mergeCell ref="RYS5:RYY5"/>
    <mergeCell ref="RVT5:RVZ5"/>
    <mergeCell ref="RWA5:RWG5"/>
    <mergeCell ref="RWH5:RWN5"/>
    <mergeCell ref="RWO5:RWU5"/>
    <mergeCell ref="RWV5:RXB5"/>
    <mergeCell ref="RXC5:RXI5"/>
    <mergeCell ref="RUD5:RUJ5"/>
    <mergeCell ref="RUK5:RUQ5"/>
    <mergeCell ref="RUR5:RUX5"/>
    <mergeCell ref="RUY5:RVE5"/>
    <mergeCell ref="RVF5:RVL5"/>
    <mergeCell ref="RVM5:RVS5"/>
    <mergeCell ref="RSN5:RST5"/>
    <mergeCell ref="RSU5:RTA5"/>
    <mergeCell ref="RTB5:RTH5"/>
    <mergeCell ref="RTI5:RTO5"/>
    <mergeCell ref="RTP5:RTV5"/>
    <mergeCell ref="RTW5:RUC5"/>
    <mergeCell ref="RQX5:RRD5"/>
    <mergeCell ref="RRE5:RRK5"/>
    <mergeCell ref="RRL5:RRR5"/>
    <mergeCell ref="RRS5:RRY5"/>
    <mergeCell ref="RRZ5:RSF5"/>
    <mergeCell ref="RSG5:RSM5"/>
    <mergeCell ref="RPH5:RPN5"/>
    <mergeCell ref="RPO5:RPU5"/>
    <mergeCell ref="RPV5:RQB5"/>
    <mergeCell ref="RQC5:RQI5"/>
    <mergeCell ref="RQJ5:RQP5"/>
    <mergeCell ref="RQQ5:RQW5"/>
    <mergeCell ref="RNR5:RNX5"/>
    <mergeCell ref="RNY5:ROE5"/>
    <mergeCell ref="ROF5:ROL5"/>
    <mergeCell ref="ROM5:ROS5"/>
    <mergeCell ref="ROT5:ROZ5"/>
    <mergeCell ref="RPA5:RPG5"/>
    <mergeCell ref="RMB5:RMH5"/>
    <mergeCell ref="RMI5:RMO5"/>
    <mergeCell ref="RMP5:RMV5"/>
    <mergeCell ref="RMW5:RNC5"/>
    <mergeCell ref="RND5:RNJ5"/>
    <mergeCell ref="RNK5:RNQ5"/>
    <mergeCell ref="RKL5:RKR5"/>
    <mergeCell ref="RKS5:RKY5"/>
    <mergeCell ref="RKZ5:RLF5"/>
    <mergeCell ref="RLG5:RLM5"/>
    <mergeCell ref="RLN5:RLT5"/>
    <mergeCell ref="RLU5:RMA5"/>
    <mergeCell ref="RIV5:RJB5"/>
    <mergeCell ref="RJC5:RJI5"/>
    <mergeCell ref="RJJ5:RJP5"/>
    <mergeCell ref="RJQ5:RJW5"/>
    <mergeCell ref="RJX5:RKD5"/>
    <mergeCell ref="RKE5:RKK5"/>
    <mergeCell ref="RHF5:RHL5"/>
    <mergeCell ref="RHM5:RHS5"/>
    <mergeCell ref="RHT5:RHZ5"/>
    <mergeCell ref="RIA5:RIG5"/>
    <mergeCell ref="RIH5:RIN5"/>
    <mergeCell ref="RIO5:RIU5"/>
    <mergeCell ref="RFP5:RFV5"/>
    <mergeCell ref="RFW5:RGC5"/>
    <mergeCell ref="RGD5:RGJ5"/>
    <mergeCell ref="RGK5:RGQ5"/>
    <mergeCell ref="RGR5:RGX5"/>
    <mergeCell ref="RGY5:RHE5"/>
    <mergeCell ref="RDZ5:REF5"/>
    <mergeCell ref="REG5:REM5"/>
    <mergeCell ref="REN5:RET5"/>
    <mergeCell ref="REU5:RFA5"/>
    <mergeCell ref="RFB5:RFH5"/>
    <mergeCell ref="RFI5:RFO5"/>
    <mergeCell ref="RCJ5:RCP5"/>
    <mergeCell ref="RCQ5:RCW5"/>
    <mergeCell ref="RCX5:RDD5"/>
    <mergeCell ref="RDE5:RDK5"/>
    <mergeCell ref="RDL5:RDR5"/>
    <mergeCell ref="RDS5:RDY5"/>
    <mergeCell ref="RAT5:RAZ5"/>
    <mergeCell ref="RBA5:RBG5"/>
    <mergeCell ref="RBH5:RBN5"/>
    <mergeCell ref="RBO5:RBU5"/>
    <mergeCell ref="RBV5:RCB5"/>
    <mergeCell ref="RCC5:RCI5"/>
    <mergeCell ref="QZD5:QZJ5"/>
    <mergeCell ref="QZK5:QZQ5"/>
    <mergeCell ref="QZR5:QZX5"/>
    <mergeCell ref="QZY5:RAE5"/>
    <mergeCell ref="RAF5:RAL5"/>
    <mergeCell ref="RAM5:RAS5"/>
    <mergeCell ref="QXN5:QXT5"/>
    <mergeCell ref="QXU5:QYA5"/>
    <mergeCell ref="QYB5:QYH5"/>
    <mergeCell ref="QYI5:QYO5"/>
    <mergeCell ref="QYP5:QYV5"/>
    <mergeCell ref="QYW5:QZC5"/>
    <mergeCell ref="QVX5:QWD5"/>
    <mergeCell ref="QWE5:QWK5"/>
    <mergeCell ref="QWL5:QWR5"/>
    <mergeCell ref="QWS5:QWY5"/>
    <mergeCell ref="QWZ5:QXF5"/>
    <mergeCell ref="QXG5:QXM5"/>
    <mergeCell ref="QUH5:QUN5"/>
    <mergeCell ref="QUO5:QUU5"/>
    <mergeCell ref="QUV5:QVB5"/>
    <mergeCell ref="QVC5:QVI5"/>
    <mergeCell ref="QVJ5:QVP5"/>
    <mergeCell ref="QVQ5:QVW5"/>
    <mergeCell ref="QSR5:QSX5"/>
    <mergeCell ref="QSY5:QTE5"/>
    <mergeCell ref="QTF5:QTL5"/>
    <mergeCell ref="QTM5:QTS5"/>
    <mergeCell ref="QTT5:QTZ5"/>
    <mergeCell ref="QUA5:QUG5"/>
    <mergeCell ref="QRB5:QRH5"/>
    <mergeCell ref="QRI5:QRO5"/>
    <mergeCell ref="QRP5:QRV5"/>
    <mergeCell ref="QRW5:QSC5"/>
    <mergeCell ref="QSD5:QSJ5"/>
    <mergeCell ref="QSK5:QSQ5"/>
    <mergeCell ref="QPL5:QPR5"/>
    <mergeCell ref="QPS5:QPY5"/>
    <mergeCell ref="QPZ5:QQF5"/>
    <mergeCell ref="QQG5:QQM5"/>
    <mergeCell ref="QQN5:QQT5"/>
    <mergeCell ref="QQU5:QRA5"/>
    <mergeCell ref="QNV5:QOB5"/>
    <mergeCell ref="QOC5:QOI5"/>
    <mergeCell ref="QOJ5:QOP5"/>
    <mergeCell ref="QOQ5:QOW5"/>
    <mergeCell ref="QOX5:QPD5"/>
    <mergeCell ref="QPE5:QPK5"/>
    <mergeCell ref="QMF5:QML5"/>
    <mergeCell ref="QMM5:QMS5"/>
    <mergeCell ref="QMT5:QMZ5"/>
    <mergeCell ref="QNA5:QNG5"/>
    <mergeCell ref="QNH5:QNN5"/>
    <mergeCell ref="QNO5:QNU5"/>
    <mergeCell ref="QKP5:QKV5"/>
    <mergeCell ref="QKW5:QLC5"/>
    <mergeCell ref="QLD5:QLJ5"/>
    <mergeCell ref="QLK5:QLQ5"/>
    <mergeCell ref="QLR5:QLX5"/>
    <mergeCell ref="QLY5:QME5"/>
    <mergeCell ref="QIZ5:QJF5"/>
    <mergeCell ref="QJG5:QJM5"/>
    <mergeCell ref="QJN5:QJT5"/>
    <mergeCell ref="QJU5:QKA5"/>
    <mergeCell ref="QKB5:QKH5"/>
    <mergeCell ref="QKI5:QKO5"/>
    <mergeCell ref="QHJ5:QHP5"/>
    <mergeCell ref="QHQ5:QHW5"/>
    <mergeCell ref="QHX5:QID5"/>
    <mergeCell ref="QIE5:QIK5"/>
    <mergeCell ref="QIL5:QIR5"/>
    <mergeCell ref="QIS5:QIY5"/>
    <mergeCell ref="QFT5:QFZ5"/>
    <mergeCell ref="QGA5:QGG5"/>
    <mergeCell ref="QGH5:QGN5"/>
    <mergeCell ref="QGO5:QGU5"/>
    <mergeCell ref="QGV5:QHB5"/>
    <mergeCell ref="QHC5:QHI5"/>
    <mergeCell ref="QED5:QEJ5"/>
    <mergeCell ref="QEK5:QEQ5"/>
    <mergeCell ref="QER5:QEX5"/>
    <mergeCell ref="QEY5:QFE5"/>
    <mergeCell ref="QFF5:QFL5"/>
    <mergeCell ref="QFM5:QFS5"/>
    <mergeCell ref="QCN5:QCT5"/>
    <mergeCell ref="QCU5:QDA5"/>
    <mergeCell ref="QDB5:QDH5"/>
    <mergeCell ref="QDI5:QDO5"/>
    <mergeCell ref="QDP5:QDV5"/>
    <mergeCell ref="QDW5:QEC5"/>
    <mergeCell ref="QAX5:QBD5"/>
    <mergeCell ref="QBE5:QBK5"/>
    <mergeCell ref="QBL5:QBR5"/>
    <mergeCell ref="QBS5:QBY5"/>
    <mergeCell ref="QBZ5:QCF5"/>
    <mergeCell ref="QCG5:QCM5"/>
    <mergeCell ref="PZH5:PZN5"/>
    <mergeCell ref="PZO5:PZU5"/>
    <mergeCell ref="PZV5:QAB5"/>
    <mergeCell ref="QAC5:QAI5"/>
    <mergeCell ref="QAJ5:QAP5"/>
    <mergeCell ref="QAQ5:QAW5"/>
    <mergeCell ref="PXR5:PXX5"/>
    <mergeCell ref="PXY5:PYE5"/>
    <mergeCell ref="PYF5:PYL5"/>
    <mergeCell ref="PYM5:PYS5"/>
    <mergeCell ref="PYT5:PYZ5"/>
    <mergeCell ref="PZA5:PZG5"/>
    <mergeCell ref="PWB5:PWH5"/>
    <mergeCell ref="PWI5:PWO5"/>
    <mergeCell ref="PWP5:PWV5"/>
    <mergeCell ref="PWW5:PXC5"/>
    <mergeCell ref="PXD5:PXJ5"/>
    <mergeCell ref="PXK5:PXQ5"/>
    <mergeCell ref="PUL5:PUR5"/>
    <mergeCell ref="PUS5:PUY5"/>
    <mergeCell ref="PUZ5:PVF5"/>
    <mergeCell ref="PVG5:PVM5"/>
    <mergeCell ref="PVN5:PVT5"/>
    <mergeCell ref="PVU5:PWA5"/>
    <mergeCell ref="PSV5:PTB5"/>
    <mergeCell ref="PTC5:PTI5"/>
    <mergeCell ref="PTJ5:PTP5"/>
    <mergeCell ref="PTQ5:PTW5"/>
    <mergeCell ref="PTX5:PUD5"/>
    <mergeCell ref="PUE5:PUK5"/>
    <mergeCell ref="PRF5:PRL5"/>
    <mergeCell ref="PRM5:PRS5"/>
    <mergeCell ref="PRT5:PRZ5"/>
    <mergeCell ref="PSA5:PSG5"/>
    <mergeCell ref="PSH5:PSN5"/>
    <mergeCell ref="PSO5:PSU5"/>
    <mergeCell ref="PPP5:PPV5"/>
    <mergeCell ref="PPW5:PQC5"/>
    <mergeCell ref="PQD5:PQJ5"/>
    <mergeCell ref="PQK5:PQQ5"/>
    <mergeCell ref="PQR5:PQX5"/>
    <mergeCell ref="PQY5:PRE5"/>
    <mergeCell ref="PNZ5:POF5"/>
    <mergeCell ref="POG5:POM5"/>
    <mergeCell ref="PON5:POT5"/>
    <mergeCell ref="POU5:PPA5"/>
    <mergeCell ref="PPB5:PPH5"/>
    <mergeCell ref="PPI5:PPO5"/>
    <mergeCell ref="PMJ5:PMP5"/>
    <mergeCell ref="PMQ5:PMW5"/>
    <mergeCell ref="PMX5:PND5"/>
    <mergeCell ref="PNE5:PNK5"/>
    <mergeCell ref="PNL5:PNR5"/>
    <mergeCell ref="PNS5:PNY5"/>
    <mergeCell ref="PKT5:PKZ5"/>
    <mergeCell ref="PLA5:PLG5"/>
    <mergeCell ref="PLH5:PLN5"/>
    <mergeCell ref="PLO5:PLU5"/>
    <mergeCell ref="PLV5:PMB5"/>
    <mergeCell ref="PMC5:PMI5"/>
    <mergeCell ref="PJD5:PJJ5"/>
    <mergeCell ref="PJK5:PJQ5"/>
    <mergeCell ref="PJR5:PJX5"/>
    <mergeCell ref="PJY5:PKE5"/>
    <mergeCell ref="PKF5:PKL5"/>
    <mergeCell ref="PKM5:PKS5"/>
    <mergeCell ref="PHN5:PHT5"/>
    <mergeCell ref="PHU5:PIA5"/>
    <mergeCell ref="PIB5:PIH5"/>
    <mergeCell ref="PII5:PIO5"/>
    <mergeCell ref="PIP5:PIV5"/>
    <mergeCell ref="PIW5:PJC5"/>
    <mergeCell ref="PFX5:PGD5"/>
    <mergeCell ref="PGE5:PGK5"/>
    <mergeCell ref="PGL5:PGR5"/>
    <mergeCell ref="PGS5:PGY5"/>
    <mergeCell ref="PGZ5:PHF5"/>
    <mergeCell ref="PHG5:PHM5"/>
    <mergeCell ref="PEH5:PEN5"/>
    <mergeCell ref="PEO5:PEU5"/>
    <mergeCell ref="PEV5:PFB5"/>
    <mergeCell ref="PFC5:PFI5"/>
    <mergeCell ref="PFJ5:PFP5"/>
    <mergeCell ref="PFQ5:PFW5"/>
    <mergeCell ref="PCR5:PCX5"/>
    <mergeCell ref="PCY5:PDE5"/>
    <mergeCell ref="PDF5:PDL5"/>
    <mergeCell ref="PDM5:PDS5"/>
    <mergeCell ref="PDT5:PDZ5"/>
    <mergeCell ref="PEA5:PEG5"/>
    <mergeCell ref="PBB5:PBH5"/>
    <mergeCell ref="PBI5:PBO5"/>
    <mergeCell ref="PBP5:PBV5"/>
    <mergeCell ref="PBW5:PCC5"/>
    <mergeCell ref="PCD5:PCJ5"/>
    <mergeCell ref="PCK5:PCQ5"/>
    <mergeCell ref="OZL5:OZR5"/>
    <mergeCell ref="OZS5:OZY5"/>
    <mergeCell ref="OZZ5:PAF5"/>
    <mergeCell ref="PAG5:PAM5"/>
    <mergeCell ref="PAN5:PAT5"/>
    <mergeCell ref="PAU5:PBA5"/>
    <mergeCell ref="OXV5:OYB5"/>
    <mergeCell ref="OYC5:OYI5"/>
    <mergeCell ref="OYJ5:OYP5"/>
    <mergeCell ref="OYQ5:OYW5"/>
    <mergeCell ref="OYX5:OZD5"/>
    <mergeCell ref="OZE5:OZK5"/>
    <mergeCell ref="OWF5:OWL5"/>
    <mergeCell ref="OWM5:OWS5"/>
    <mergeCell ref="OWT5:OWZ5"/>
    <mergeCell ref="OXA5:OXG5"/>
    <mergeCell ref="OXH5:OXN5"/>
    <mergeCell ref="OXO5:OXU5"/>
    <mergeCell ref="OUP5:OUV5"/>
    <mergeCell ref="OUW5:OVC5"/>
    <mergeCell ref="OVD5:OVJ5"/>
    <mergeCell ref="OVK5:OVQ5"/>
    <mergeCell ref="OVR5:OVX5"/>
    <mergeCell ref="OVY5:OWE5"/>
    <mergeCell ref="OSZ5:OTF5"/>
    <mergeCell ref="OTG5:OTM5"/>
    <mergeCell ref="OTN5:OTT5"/>
    <mergeCell ref="OTU5:OUA5"/>
    <mergeCell ref="OUB5:OUH5"/>
    <mergeCell ref="OUI5:OUO5"/>
    <mergeCell ref="ORJ5:ORP5"/>
    <mergeCell ref="ORQ5:ORW5"/>
    <mergeCell ref="ORX5:OSD5"/>
    <mergeCell ref="OSE5:OSK5"/>
    <mergeCell ref="OSL5:OSR5"/>
    <mergeCell ref="OSS5:OSY5"/>
    <mergeCell ref="OPT5:OPZ5"/>
    <mergeCell ref="OQA5:OQG5"/>
    <mergeCell ref="OQH5:OQN5"/>
    <mergeCell ref="OQO5:OQU5"/>
    <mergeCell ref="OQV5:ORB5"/>
    <mergeCell ref="ORC5:ORI5"/>
    <mergeCell ref="OOD5:OOJ5"/>
    <mergeCell ref="OOK5:OOQ5"/>
    <mergeCell ref="OOR5:OOX5"/>
    <mergeCell ref="OOY5:OPE5"/>
    <mergeCell ref="OPF5:OPL5"/>
    <mergeCell ref="OPM5:OPS5"/>
    <mergeCell ref="OMN5:OMT5"/>
    <mergeCell ref="OMU5:ONA5"/>
    <mergeCell ref="ONB5:ONH5"/>
    <mergeCell ref="ONI5:ONO5"/>
    <mergeCell ref="ONP5:ONV5"/>
    <mergeCell ref="ONW5:OOC5"/>
    <mergeCell ref="OKX5:OLD5"/>
    <mergeCell ref="OLE5:OLK5"/>
    <mergeCell ref="OLL5:OLR5"/>
    <mergeCell ref="OLS5:OLY5"/>
    <mergeCell ref="OLZ5:OMF5"/>
    <mergeCell ref="OMG5:OMM5"/>
    <mergeCell ref="OJH5:OJN5"/>
    <mergeCell ref="OJO5:OJU5"/>
    <mergeCell ref="OJV5:OKB5"/>
    <mergeCell ref="OKC5:OKI5"/>
    <mergeCell ref="OKJ5:OKP5"/>
    <mergeCell ref="OKQ5:OKW5"/>
    <mergeCell ref="OHR5:OHX5"/>
    <mergeCell ref="OHY5:OIE5"/>
    <mergeCell ref="OIF5:OIL5"/>
    <mergeCell ref="OIM5:OIS5"/>
    <mergeCell ref="OIT5:OIZ5"/>
    <mergeCell ref="OJA5:OJG5"/>
    <mergeCell ref="OGB5:OGH5"/>
    <mergeCell ref="OGI5:OGO5"/>
    <mergeCell ref="OGP5:OGV5"/>
    <mergeCell ref="OGW5:OHC5"/>
    <mergeCell ref="OHD5:OHJ5"/>
    <mergeCell ref="OHK5:OHQ5"/>
    <mergeCell ref="OEL5:OER5"/>
    <mergeCell ref="OES5:OEY5"/>
    <mergeCell ref="OEZ5:OFF5"/>
    <mergeCell ref="OFG5:OFM5"/>
    <mergeCell ref="OFN5:OFT5"/>
    <mergeCell ref="OFU5:OGA5"/>
    <mergeCell ref="OCV5:ODB5"/>
    <mergeCell ref="ODC5:ODI5"/>
    <mergeCell ref="ODJ5:ODP5"/>
    <mergeCell ref="ODQ5:ODW5"/>
    <mergeCell ref="ODX5:OED5"/>
    <mergeCell ref="OEE5:OEK5"/>
    <mergeCell ref="OBF5:OBL5"/>
    <mergeCell ref="OBM5:OBS5"/>
    <mergeCell ref="OBT5:OBZ5"/>
    <mergeCell ref="OCA5:OCG5"/>
    <mergeCell ref="OCH5:OCN5"/>
    <mergeCell ref="OCO5:OCU5"/>
    <mergeCell ref="NZP5:NZV5"/>
    <mergeCell ref="NZW5:OAC5"/>
    <mergeCell ref="OAD5:OAJ5"/>
    <mergeCell ref="OAK5:OAQ5"/>
    <mergeCell ref="OAR5:OAX5"/>
    <mergeCell ref="OAY5:OBE5"/>
    <mergeCell ref="NXZ5:NYF5"/>
    <mergeCell ref="NYG5:NYM5"/>
    <mergeCell ref="NYN5:NYT5"/>
    <mergeCell ref="NYU5:NZA5"/>
    <mergeCell ref="NZB5:NZH5"/>
    <mergeCell ref="NZI5:NZO5"/>
    <mergeCell ref="NWJ5:NWP5"/>
    <mergeCell ref="NWQ5:NWW5"/>
    <mergeCell ref="NWX5:NXD5"/>
    <mergeCell ref="NXE5:NXK5"/>
    <mergeCell ref="NXL5:NXR5"/>
    <mergeCell ref="NXS5:NXY5"/>
    <mergeCell ref="NUT5:NUZ5"/>
    <mergeCell ref="NVA5:NVG5"/>
    <mergeCell ref="NVH5:NVN5"/>
    <mergeCell ref="NVO5:NVU5"/>
    <mergeCell ref="NVV5:NWB5"/>
    <mergeCell ref="NWC5:NWI5"/>
    <mergeCell ref="NTD5:NTJ5"/>
    <mergeCell ref="NTK5:NTQ5"/>
    <mergeCell ref="NTR5:NTX5"/>
    <mergeCell ref="NTY5:NUE5"/>
    <mergeCell ref="NUF5:NUL5"/>
    <mergeCell ref="NUM5:NUS5"/>
    <mergeCell ref="NRN5:NRT5"/>
    <mergeCell ref="NRU5:NSA5"/>
    <mergeCell ref="NSB5:NSH5"/>
    <mergeCell ref="NSI5:NSO5"/>
    <mergeCell ref="NSP5:NSV5"/>
    <mergeCell ref="NSW5:NTC5"/>
    <mergeCell ref="NPX5:NQD5"/>
    <mergeCell ref="NQE5:NQK5"/>
    <mergeCell ref="NQL5:NQR5"/>
    <mergeCell ref="NQS5:NQY5"/>
    <mergeCell ref="NQZ5:NRF5"/>
    <mergeCell ref="NRG5:NRM5"/>
    <mergeCell ref="NOH5:NON5"/>
    <mergeCell ref="NOO5:NOU5"/>
    <mergeCell ref="NOV5:NPB5"/>
    <mergeCell ref="NPC5:NPI5"/>
    <mergeCell ref="NPJ5:NPP5"/>
    <mergeCell ref="NPQ5:NPW5"/>
    <mergeCell ref="NMR5:NMX5"/>
    <mergeCell ref="NMY5:NNE5"/>
    <mergeCell ref="NNF5:NNL5"/>
    <mergeCell ref="NNM5:NNS5"/>
    <mergeCell ref="NNT5:NNZ5"/>
    <mergeCell ref="NOA5:NOG5"/>
    <mergeCell ref="NLB5:NLH5"/>
    <mergeCell ref="NLI5:NLO5"/>
    <mergeCell ref="NLP5:NLV5"/>
    <mergeCell ref="NLW5:NMC5"/>
    <mergeCell ref="NMD5:NMJ5"/>
    <mergeCell ref="NMK5:NMQ5"/>
    <mergeCell ref="NJL5:NJR5"/>
    <mergeCell ref="NJS5:NJY5"/>
    <mergeCell ref="NJZ5:NKF5"/>
    <mergeCell ref="NKG5:NKM5"/>
    <mergeCell ref="NKN5:NKT5"/>
    <mergeCell ref="NKU5:NLA5"/>
    <mergeCell ref="NHV5:NIB5"/>
    <mergeCell ref="NIC5:NII5"/>
    <mergeCell ref="NIJ5:NIP5"/>
    <mergeCell ref="NIQ5:NIW5"/>
    <mergeCell ref="NIX5:NJD5"/>
    <mergeCell ref="NJE5:NJK5"/>
    <mergeCell ref="NGF5:NGL5"/>
    <mergeCell ref="NGM5:NGS5"/>
    <mergeCell ref="NGT5:NGZ5"/>
    <mergeCell ref="NHA5:NHG5"/>
    <mergeCell ref="NHH5:NHN5"/>
    <mergeCell ref="NHO5:NHU5"/>
    <mergeCell ref="NEP5:NEV5"/>
    <mergeCell ref="NEW5:NFC5"/>
    <mergeCell ref="NFD5:NFJ5"/>
    <mergeCell ref="NFK5:NFQ5"/>
    <mergeCell ref="NFR5:NFX5"/>
    <mergeCell ref="NFY5:NGE5"/>
    <mergeCell ref="NCZ5:NDF5"/>
    <mergeCell ref="NDG5:NDM5"/>
    <mergeCell ref="NDN5:NDT5"/>
    <mergeCell ref="NDU5:NEA5"/>
    <mergeCell ref="NEB5:NEH5"/>
    <mergeCell ref="NEI5:NEO5"/>
    <mergeCell ref="NBJ5:NBP5"/>
    <mergeCell ref="NBQ5:NBW5"/>
    <mergeCell ref="NBX5:NCD5"/>
    <mergeCell ref="NCE5:NCK5"/>
    <mergeCell ref="NCL5:NCR5"/>
    <mergeCell ref="NCS5:NCY5"/>
    <mergeCell ref="MZT5:MZZ5"/>
    <mergeCell ref="NAA5:NAG5"/>
    <mergeCell ref="NAH5:NAN5"/>
    <mergeCell ref="NAO5:NAU5"/>
    <mergeCell ref="NAV5:NBB5"/>
    <mergeCell ref="NBC5:NBI5"/>
    <mergeCell ref="MYD5:MYJ5"/>
    <mergeCell ref="MYK5:MYQ5"/>
    <mergeCell ref="MYR5:MYX5"/>
    <mergeCell ref="MYY5:MZE5"/>
    <mergeCell ref="MZF5:MZL5"/>
    <mergeCell ref="MZM5:MZS5"/>
    <mergeCell ref="MWN5:MWT5"/>
    <mergeCell ref="MWU5:MXA5"/>
    <mergeCell ref="MXB5:MXH5"/>
    <mergeCell ref="MXI5:MXO5"/>
    <mergeCell ref="MXP5:MXV5"/>
    <mergeCell ref="MXW5:MYC5"/>
    <mergeCell ref="MUX5:MVD5"/>
    <mergeCell ref="MVE5:MVK5"/>
    <mergeCell ref="MVL5:MVR5"/>
    <mergeCell ref="MVS5:MVY5"/>
    <mergeCell ref="MVZ5:MWF5"/>
    <mergeCell ref="MWG5:MWM5"/>
    <mergeCell ref="MTH5:MTN5"/>
    <mergeCell ref="MTO5:MTU5"/>
    <mergeCell ref="MTV5:MUB5"/>
    <mergeCell ref="MUC5:MUI5"/>
    <mergeCell ref="MUJ5:MUP5"/>
    <mergeCell ref="MUQ5:MUW5"/>
    <mergeCell ref="MRR5:MRX5"/>
    <mergeCell ref="MRY5:MSE5"/>
    <mergeCell ref="MSF5:MSL5"/>
    <mergeCell ref="MSM5:MSS5"/>
    <mergeCell ref="MST5:MSZ5"/>
    <mergeCell ref="MTA5:MTG5"/>
    <mergeCell ref="MQB5:MQH5"/>
    <mergeCell ref="MQI5:MQO5"/>
    <mergeCell ref="MQP5:MQV5"/>
    <mergeCell ref="MQW5:MRC5"/>
    <mergeCell ref="MRD5:MRJ5"/>
    <mergeCell ref="MRK5:MRQ5"/>
    <mergeCell ref="MOL5:MOR5"/>
    <mergeCell ref="MOS5:MOY5"/>
    <mergeCell ref="MOZ5:MPF5"/>
    <mergeCell ref="MPG5:MPM5"/>
    <mergeCell ref="MPN5:MPT5"/>
    <mergeCell ref="MPU5:MQA5"/>
    <mergeCell ref="MMV5:MNB5"/>
    <mergeCell ref="MNC5:MNI5"/>
    <mergeCell ref="MNJ5:MNP5"/>
    <mergeCell ref="MNQ5:MNW5"/>
    <mergeCell ref="MNX5:MOD5"/>
    <mergeCell ref="MOE5:MOK5"/>
    <mergeCell ref="MLF5:MLL5"/>
    <mergeCell ref="MLM5:MLS5"/>
    <mergeCell ref="MLT5:MLZ5"/>
    <mergeCell ref="MMA5:MMG5"/>
    <mergeCell ref="MMH5:MMN5"/>
    <mergeCell ref="MMO5:MMU5"/>
    <mergeCell ref="MJP5:MJV5"/>
    <mergeCell ref="MJW5:MKC5"/>
    <mergeCell ref="MKD5:MKJ5"/>
    <mergeCell ref="MKK5:MKQ5"/>
    <mergeCell ref="MKR5:MKX5"/>
    <mergeCell ref="MKY5:MLE5"/>
    <mergeCell ref="MHZ5:MIF5"/>
    <mergeCell ref="MIG5:MIM5"/>
    <mergeCell ref="MIN5:MIT5"/>
    <mergeCell ref="MIU5:MJA5"/>
    <mergeCell ref="MJB5:MJH5"/>
    <mergeCell ref="MJI5:MJO5"/>
    <mergeCell ref="MGJ5:MGP5"/>
    <mergeCell ref="MGQ5:MGW5"/>
    <mergeCell ref="MGX5:MHD5"/>
    <mergeCell ref="MHE5:MHK5"/>
    <mergeCell ref="MHL5:MHR5"/>
    <mergeCell ref="MHS5:MHY5"/>
    <mergeCell ref="MET5:MEZ5"/>
    <mergeCell ref="MFA5:MFG5"/>
    <mergeCell ref="MFH5:MFN5"/>
    <mergeCell ref="MFO5:MFU5"/>
    <mergeCell ref="MFV5:MGB5"/>
    <mergeCell ref="MGC5:MGI5"/>
    <mergeCell ref="MDD5:MDJ5"/>
    <mergeCell ref="MDK5:MDQ5"/>
    <mergeCell ref="MDR5:MDX5"/>
    <mergeCell ref="MDY5:MEE5"/>
    <mergeCell ref="MEF5:MEL5"/>
    <mergeCell ref="MEM5:MES5"/>
    <mergeCell ref="MBN5:MBT5"/>
    <mergeCell ref="MBU5:MCA5"/>
    <mergeCell ref="MCB5:MCH5"/>
    <mergeCell ref="MCI5:MCO5"/>
    <mergeCell ref="MCP5:MCV5"/>
    <mergeCell ref="MCW5:MDC5"/>
    <mergeCell ref="LZX5:MAD5"/>
    <mergeCell ref="MAE5:MAK5"/>
    <mergeCell ref="MAL5:MAR5"/>
    <mergeCell ref="MAS5:MAY5"/>
    <mergeCell ref="MAZ5:MBF5"/>
    <mergeCell ref="MBG5:MBM5"/>
    <mergeCell ref="LYH5:LYN5"/>
    <mergeCell ref="LYO5:LYU5"/>
    <mergeCell ref="LYV5:LZB5"/>
    <mergeCell ref="LZC5:LZI5"/>
    <mergeCell ref="LZJ5:LZP5"/>
    <mergeCell ref="LZQ5:LZW5"/>
    <mergeCell ref="LWR5:LWX5"/>
    <mergeCell ref="LWY5:LXE5"/>
    <mergeCell ref="LXF5:LXL5"/>
    <mergeCell ref="LXM5:LXS5"/>
    <mergeCell ref="LXT5:LXZ5"/>
    <mergeCell ref="LYA5:LYG5"/>
    <mergeCell ref="LVB5:LVH5"/>
    <mergeCell ref="LVI5:LVO5"/>
    <mergeCell ref="LVP5:LVV5"/>
    <mergeCell ref="LVW5:LWC5"/>
    <mergeCell ref="LWD5:LWJ5"/>
    <mergeCell ref="LWK5:LWQ5"/>
    <mergeCell ref="LTL5:LTR5"/>
    <mergeCell ref="LTS5:LTY5"/>
    <mergeCell ref="LTZ5:LUF5"/>
    <mergeCell ref="LUG5:LUM5"/>
    <mergeCell ref="LUN5:LUT5"/>
    <mergeCell ref="LUU5:LVA5"/>
    <mergeCell ref="LRV5:LSB5"/>
    <mergeCell ref="LSC5:LSI5"/>
    <mergeCell ref="LSJ5:LSP5"/>
    <mergeCell ref="LSQ5:LSW5"/>
    <mergeCell ref="LSX5:LTD5"/>
    <mergeCell ref="LTE5:LTK5"/>
    <mergeCell ref="LQF5:LQL5"/>
    <mergeCell ref="LQM5:LQS5"/>
    <mergeCell ref="LQT5:LQZ5"/>
    <mergeCell ref="LRA5:LRG5"/>
    <mergeCell ref="LRH5:LRN5"/>
    <mergeCell ref="LRO5:LRU5"/>
    <mergeCell ref="LOP5:LOV5"/>
    <mergeCell ref="LOW5:LPC5"/>
    <mergeCell ref="LPD5:LPJ5"/>
    <mergeCell ref="LPK5:LPQ5"/>
    <mergeCell ref="LPR5:LPX5"/>
    <mergeCell ref="LPY5:LQE5"/>
    <mergeCell ref="LMZ5:LNF5"/>
    <mergeCell ref="LNG5:LNM5"/>
    <mergeCell ref="LNN5:LNT5"/>
    <mergeCell ref="LNU5:LOA5"/>
    <mergeCell ref="LOB5:LOH5"/>
    <mergeCell ref="LOI5:LOO5"/>
    <mergeCell ref="LLJ5:LLP5"/>
    <mergeCell ref="LLQ5:LLW5"/>
    <mergeCell ref="LLX5:LMD5"/>
    <mergeCell ref="LME5:LMK5"/>
    <mergeCell ref="LML5:LMR5"/>
    <mergeCell ref="LMS5:LMY5"/>
    <mergeCell ref="LJT5:LJZ5"/>
    <mergeCell ref="LKA5:LKG5"/>
    <mergeCell ref="LKH5:LKN5"/>
    <mergeCell ref="LKO5:LKU5"/>
    <mergeCell ref="LKV5:LLB5"/>
    <mergeCell ref="LLC5:LLI5"/>
    <mergeCell ref="LID5:LIJ5"/>
    <mergeCell ref="LIK5:LIQ5"/>
    <mergeCell ref="LIR5:LIX5"/>
    <mergeCell ref="LIY5:LJE5"/>
    <mergeCell ref="LJF5:LJL5"/>
    <mergeCell ref="LJM5:LJS5"/>
    <mergeCell ref="LGN5:LGT5"/>
    <mergeCell ref="LGU5:LHA5"/>
    <mergeCell ref="LHB5:LHH5"/>
    <mergeCell ref="LHI5:LHO5"/>
    <mergeCell ref="LHP5:LHV5"/>
    <mergeCell ref="LHW5:LIC5"/>
    <mergeCell ref="LEX5:LFD5"/>
    <mergeCell ref="LFE5:LFK5"/>
    <mergeCell ref="LFL5:LFR5"/>
    <mergeCell ref="LFS5:LFY5"/>
    <mergeCell ref="LFZ5:LGF5"/>
    <mergeCell ref="LGG5:LGM5"/>
    <mergeCell ref="LDH5:LDN5"/>
    <mergeCell ref="LDO5:LDU5"/>
    <mergeCell ref="LDV5:LEB5"/>
    <mergeCell ref="LEC5:LEI5"/>
    <mergeCell ref="LEJ5:LEP5"/>
    <mergeCell ref="LEQ5:LEW5"/>
    <mergeCell ref="LBR5:LBX5"/>
    <mergeCell ref="LBY5:LCE5"/>
    <mergeCell ref="LCF5:LCL5"/>
    <mergeCell ref="LCM5:LCS5"/>
    <mergeCell ref="LCT5:LCZ5"/>
    <mergeCell ref="LDA5:LDG5"/>
    <mergeCell ref="LAB5:LAH5"/>
    <mergeCell ref="LAI5:LAO5"/>
    <mergeCell ref="LAP5:LAV5"/>
    <mergeCell ref="LAW5:LBC5"/>
    <mergeCell ref="LBD5:LBJ5"/>
    <mergeCell ref="LBK5:LBQ5"/>
    <mergeCell ref="KYL5:KYR5"/>
    <mergeCell ref="KYS5:KYY5"/>
    <mergeCell ref="KYZ5:KZF5"/>
    <mergeCell ref="KZG5:KZM5"/>
    <mergeCell ref="KZN5:KZT5"/>
    <mergeCell ref="KZU5:LAA5"/>
    <mergeCell ref="KWV5:KXB5"/>
    <mergeCell ref="KXC5:KXI5"/>
    <mergeCell ref="KXJ5:KXP5"/>
    <mergeCell ref="KXQ5:KXW5"/>
    <mergeCell ref="KXX5:KYD5"/>
    <mergeCell ref="KYE5:KYK5"/>
    <mergeCell ref="KVF5:KVL5"/>
    <mergeCell ref="KVM5:KVS5"/>
    <mergeCell ref="KVT5:KVZ5"/>
    <mergeCell ref="KWA5:KWG5"/>
    <mergeCell ref="KWH5:KWN5"/>
    <mergeCell ref="KWO5:KWU5"/>
    <mergeCell ref="KTP5:KTV5"/>
    <mergeCell ref="KTW5:KUC5"/>
    <mergeCell ref="KUD5:KUJ5"/>
    <mergeCell ref="KUK5:KUQ5"/>
    <mergeCell ref="KUR5:KUX5"/>
    <mergeCell ref="KUY5:KVE5"/>
    <mergeCell ref="KRZ5:KSF5"/>
    <mergeCell ref="KSG5:KSM5"/>
    <mergeCell ref="KSN5:KST5"/>
    <mergeCell ref="KSU5:KTA5"/>
    <mergeCell ref="KTB5:KTH5"/>
    <mergeCell ref="KTI5:KTO5"/>
    <mergeCell ref="KQJ5:KQP5"/>
    <mergeCell ref="KQQ5:KQW5"/>
    <mergeCell ref="KQX5:KRD5"/>
    <mergeCell ref="KRE5:KRK5"/>
    <mergeCell ref="KRL5:KRR5"/>
    <mergeCell ref="KRS5:KRY5"/>
    <mergeCell ref="KOT5:KOZ5"/>
    <mergeCell ref="KPA5:KPG5"/>
    <mergeCell ref="KPH5:KPN5"/>
    <mergeCell ref="KPO5:KPU5"/>
    <mergeCell ref="KPV5:KQB5"/>
    <mergeCell ref="KQC5:KQI5"/>
    <mergeCell ref="KND5:KNJ5"/>
    <mergeCell ref="KNK5:KNQ5"/>
    <mergeCell ref="KNR5:KNX5"/>
    <mergeCell ref="KNY5:KOE5"/>
    <mergeCell ref="KOF5:KOL5"/>
    <mergeCell ref="KOM5:KOS5"/>
    <mergeCell ref="KLN5:KLT5"/>
    <mergeCell ref="KLU5:KMA5"/>
    <mergeCell ref="KMB5:KMH5"/>
    <mergeCell ref="KMI5:KMO5"/>
    <mergeCell ref="KMP5:KMV5"/>
    <mergeCell ref="KMW5:KNC5"/>
    <mergeCell ref="KJX5:KKD5"/>
    <mergeCell ref="KKE5:KKK5"/>
    <mergeCell ref="KKL5:KKR5"/>
    <mergeCell ref="KKS5:KKY5"/>
    <mergeCell ref="KKZ5:KLF5"/>
    <mergeCell ref="KLG5:KLM5"/>
    <mergeCell ref="KIH5:KIN5"/>
    <mergeCell ref="KIO5:KIU5"/>
    <mergeCell ref="KIV5:KJB5"/>
    <mergeCell ref="KJC5:KJI5"/>
    <mergeCell ref="KJJ5:KJP5"/>
    <mergeCell ref="KJQ5:KJW5"/>
    <mergeCell ref="KGR5:KGX5"/>
    <mergeCell ref="KGY5:KHE5"/>
    <mergeCell ref="KHF5:KHL5"/>
    <mergeCell ref="KHM5:KHS5"/>
    <mergeCell ref="KHT5:KHZ5"/>
    <mergeCell ref="KIA5:KIG5"/>
    <mergeCell ref="KFB5:KFH5"/>
    <mergeCell ref="KFI5:KFO5"/>
    <mergeCell ref="KFP5:KFV5"/>
    <mergeCell ref="KFW5:KGC5"/>
    <mergeCell ref="KGD5:KGJ5"/>
    <mergeCell ref="KGK5:KGQ5"/>
    <mergeCell ref="KDL5:KDR5"/>
    <mergeCell ref="KDS5:KDY5"/>
    <mergeCell ref="KDZ5:KEF5"/>
    <mergeCell ref="KEG5:KEM5"/>
    <mergeCell ref="KEN5:KET5"/>
    <mergeCell ref="KEU5:KFA5"/>
    <mergeCell ref="KBV5:KCB5"/>
    <mergeCell ref="KCC5:KCI5"/>
    <mergeCell ref="KCJ5:KCP5"/>
    <mergeCell ref="KCQ5:KCW5"/>
    <mergeCell ref="KCX5:KDD5"/>
    <mergeCell ref="KDE5:KDK5"/>
    <mergeCell ref="KAF5:KAL5"/>
    <mergeCell ref="KAM5:KAS5"/>
    <mergeCell ref="KAT5:KAZ5"/>
    <mergeCell ref="KBA5:KBG5"/>
    <mergeCell ref="KBH5:KBN5"/>
    <mergeCell ref="KBO5:KBU5"/>
    <mergeCell ref="JYP5:JYV5"/>
    <mergeCell ref="JYW5:JZC5"/>
    <mergeCell ref="JZD5:JZJ5"/>
    <mergeCell ref="JZK5:JZQ5"/>
    <mergeCell ref="JZR5:JZX5"/>
    <mergeCell ref="JZY5:KAE5"/>
    <mergeCell ref="JWZ5:JXF5"/>
    <mergeCell ref="JXG5:JXM5"/>
    <mergeCell ref="JXN5:JXT5"/>
    <mergeCell ref="JXU5:JYA5"/>
    <mergeCell ref="JYB5:JYH5"/>
    <mergeCell ref="JYI5:JYO5"/>
    <mergeCell ref="JVJ5:JVP5"/>
    <mergeCell ref="JVQ5:JVW5"/>
    <mergeCell ref="JVX5:JWD5"/>
    <mergeCell ref="JWE5:JWK5"/>
    <mergeCell ref="JWL5:JWR5"/>
    <mergeCell ref="JWS5:JWY5"/>
    <mergeCell ref="JTT5:JTZ5"/>
    <mergeCell ref="JUA5:JUG5"/>
    <mergeCell ref="JUH5:JUN5"/>
    <mergeCell ref="JUO5:JUU5"/>
    <mergeCell ref="JUV5:JVB5"/>
    <mergeCell ref="JVC5:JVI5"/>
    <mergeCell ref="JSD5:JSJ5"/>
    <mergeCell ref="JSK5:JSQ5"/>
    <mergeCell ref="JSR5:JSX5"/>
    <mergeCell ref="JSY5:JTE5"/>
    <mergeCell ref="JTF5:JTL5"/>
    <mergeCell ref="JTM5:JTS5"/>
    <mergeCell ref="JQN5:JQT5"/>
    <mergeCell ref="JQU5:JRA5"/>
    <mergeCell ref="JRB5:JRH5"/>
    <mergeCell ref="JRI5:JRO5"/>
    <mergeCell ref="JRP5:JRV5"/>
    <mergeCell ref="JRW5:JSC5"/>
    <mergeCell ref="JOX5:JPD5"/>
    <mergeCell ref="JPE5:JPK5"/>
    <mergeCell ref="JPL5:JPR5"/>
    <mergeCell ref="JPS5:JPY5"/>
    <mergeCell ref="JPZ5:JQF5"/>
    <mergeCell ref="JQG5:JQM5"/>
    <mergeCell ref="JNH5:JNN5"/>
    <mergeCell ref="JNO5:JNU5"/>
    <mergeCell ref="JNV5:JOB5"/>
    <mergeCell ref="JOC5:JOI5"/>
    <mergeCell ref="JOJ5:JOP5"/>
    <mergeCell ref="JOQ5:JOW5"/>
    <mergeCell ref="JLR5:JLX5"/>
    <mergeCell ref="JLY5:JME5"/>
    <mergeCell ref="JMF5:JML5"/>
    <mergeCell ref="JMM5:JMS5"/>
    <mergeCell ref="JMT5:JMZ5"/>
    <mergeCell ref="JNA5:JNG5"/>
    <mergeCell ref="JKB5:JKH5"/>
    <mergeCell ref="JKI5:JKO5"/>
    <mergeCell ref="JKP5:JKV5"/>
    <mergeCell ref="JKW5:JLC5"/>
    <mergeCell ref="JLD5:JLJ5"/>
    <mergeCell ref="JLK5:JLQ5"/>
    <mergeCell ref="JIL5:JIR5"/>
    <mergeCell ref="JIS5:JIY5"/>
    <mergeCell ref="JIZ5:JJF5"/>
    <mergeCell ref="JJG5:JJM5"/>
    <mergeCell ref="JJN5:JJT5"/>
    <mergeCell ref="JJU5:JKA5"/>
    <mergeCell ref="JGV5:JHB5"/>
    <mergeCell ref="JHC5:JHI5"/>
    <mergeCell ref="JHJ5:JHP5"/>
    <mergeCell ref="JHQ5:JHW5"/>
    <mergeCell ref="JHX5:JID5"/>
    <mergeCell ref="JIE5:JIK5"/>
    <mergeCell ref="JFF5:JFL5"/>
    <mergeCell ref="JFM5:JFS5"/>
    <mergeCell ref="JFT5:JFZ5"/>
    <mergeCell ref="JGA5:JGG5"/>
    <mergeCell ref="JGH5:JGN5"/>
    <mergeCell ref="JGO5:JGU5"/>
    <mergeCell ref="JDP5:JDV5"/>
    <mergeCell ref="JDW5:JEC5"/>
    <mergeCell ref="JED5:JEJ5"/>
    <mergeCell ref="JEK5:JEQ5"/>
    <mergeCell ref="JER5:JEX5"/>
    <mergeCell ref="JEY5:JFE5"/>
    <mergeCell ref="JBZ5:JCF5"/>
    <mergeCell ref="JCG5:JCM5"/>
    <mergeCell ref="JCN5:JCT5"/>
    <mergeCell ref="JCU5:JDA5"/>
    <mergeCell ref="JDB5:JDH5"/>
    <mergeCell ref="JDI5:JDO5"/>
    <mergeCell ref="JAJ5:JAP5"/>
    <mergeCell ref="JAQ5:JAW5"/>
    <mergeCell ref="JAX5:JBD5"/>
    <mergeCell ref="JBE5:JBK5"/>
    <mergeCell ref="JBL5:JBR5"/>
    <mergeCell ref="JBS5:JBY5"/>
    <mergeCell ref="IYT5:IYZ5"/>
    <mergeCell ref="IZA5:IZG5"/>
    <mergeCell ref="IZH5:IZN5"/>
    <mergeCell ref="IZO5:IZU5"/>
    <mergeCell ref="IZV5:JAB5"/>
    <mergeCell ref="JAC5:JAI5"/>
    <mergeCell ref="IXD5:IXJ5"/>
    <mergeCell ref="IXK5:IXQ5"/>
    <mergeCell ref="IXR5:IXX5"/>
    <mergeCell ref="IXY5:IYE5"/>
    <mergeCell ref="IYF5:IYL5"/>
    <mergeCell ref="IYM5:IYS5"/>
    <mergeCell ref="IVN5:IVT5"/>
    <mergeCell ref="IVU5:IWA5"/>
    <mergeCell ref="IWB5:IWH5"/>
    <mergeCell ref="IWI5:IWO5"/>
    <mergeCell ref="IWP5:IWV5"/>
    <mergeCell ref="IWW5:IXC5"/>
    <mergeCell ref="ITX5:IUD5"/>
    <mergeCell ref="IUE5:IUK5"/>
    <mergeCell ref="IUL5:IUR5"/>
    <mergeCell ref="IUS5:IUY5"/>
    <mergeCell ref="IUZ5:IVF5"/>
    <mergeCell ref="IVG5:IVM5"/>
    <mergeCell ref="ISH5:ISN5"/>
    <mergeCell ref="ISO5:ISU5"/>
    <mergeCell ref="ISV5:ITB5"/>
    <mergeCell ref="ITC5:ITI5"/>
    <mergeCell ref="ITJ5:ITP5"/>
    <mergeCell ref="ITQ5:ITW5"/>
    <mergeCell ref="IQR5:IQX5"/>
    <mergeCell ref="IQY5:IRE5"/>
    <mergeCell ref="IRF5:IRL5"/>
    <mergeCell ref="IRM5:IRS5"/>
    <mergeCell ref="IRT5:IRZ5"/>
    <mergeCell ref="ISA5:ISG5"/>
    <mergeCell ref="IPB5:IPH5"/>
    <mergeCell ref="IPI5:IPO5"/>
    <mergeCell ref="IPP5:IPV5"/>
    <mergeCell ref="IPW5:IQC5"/>
    <mergeCell ref="IQD5:IQJ5"/>
    <mergeCell ref="IQK5:IQQ5"/>
    <mergeCell ref="INL5:INR5"/>
    <mergeCell ref="INS5:INY5"/>
    <mergeCell ref="INZ5:IOF5"/>
    <mergeCell ref="IOG5:IOM5"/>
    <mergeCell ref="ION5:IOT5"/>
    <mergeCell ref="IOU5:IPA5"/>
    <mergeCell ref="ILV5:IMB5"/>
    <mergeCell ref="IMC5:IMI5"/>
    <mergeCell ref="IMJ5:IMP5"/>
    <mergeCell ref="IMQ5:IMW5"/>
    <mergeCell ref="IMX5:IND5"/>
    <mergeCell ref="INE5:INK5"/>
    <mergeCell ref="IKF5:IKL5"/>
    <mergeCell ref="IKM5:IKS5"/>
    <mergeCell ref="IKT5:IKZ5"/>
    <mergeCell ref="ILA5:ILG5"/>
    <mergeCell ref="ILH5:ILN5"/>
    <mergeCell ref="ILO5:ILU5"/>
    <mergeCell ref="IIP5:IIV5"/>
    <mergeCell ref="IIW5:IJC5"/>
    <mergeCell ref="IJD5:IJJ5"/>
    <mergeCell ref="IJK5:IJQ5"/>
    <mergeCell ref="IJR5:IJX5"/>
    <mergeCell ref="IJY5:IKE5"/>
    <mergeCell ref="IGZ5:IHF5"/>
    <mergeCell ref="IHG5:IHM5"/>
    <mergeCell ref="IHN5:IHT5"/>
    <mergeCell ref="IHU5:IIA5"/>
    <mergeCell ref="IIB5:IIH5"/>
    <mergeCell ref="III5:IIO5"/>
    <mergeCell ref="IFJ5:IFP5"/>
    <mergeCell ref="IFQ5:IFW5"/>
    <mergeCell ref="IFX5:IGD5"/>
    <mergeCell ref="IGE5:IGK5"/>
    <mergeCell ref="IGL5:IGR5"/>
    <mergeCell ref="IGS5:IGY5"/>
    <mergeCell ref="IDT5:IDZ5"/>
    <mergeCell ref="IEA5:IEG5"/>
    <mergeCell ref="IEH5:IEN5"/>
    <mergeCell ref="IEO5:IEU5"/>
    <mergeCell ref="IEV5:IFB5"/>
    <mergeCell ref="IFC5:IFI5"/>
    <mergeCell ref="ICD5:ICJ5"/>
    <mergeCell ref="ICK5:ICQ5"/>
    <mergeCell ref="ICR5:ICX5"/>
    <mergeCell ref="ICY5:IDE5"/>
    <mergeCell ref="IDF5:IDL5"/>
    <mergeCell ref="IDM5:IDS5"/>
    <mergeCell ref="IAN5:IAT5"/>
    <mergeCell ref="IAU5:IBA5"/>
    <mergeCell ref="IBB5:IBH5"/>
    <mergeCell ref="IBI5:IBO5"/>
    <mergeCell ref="IBP5:IBV5"/>
    <mergeCell ref="IBW5:ICC5"/>
    <mergeCell ref="HYX5:HZD5"/>
    <mergeCell ref="HZE5:HZK5"/>
    <mergeCell ref="HZL5:HZR5"/>
    <mergeCell ref="HZS5:HZY5"/>
    <mergeCell ref="HZZ5:IAF5"/>
    <mergeCell ref="IAG5:IAM5"/>
    <mergeCell ref="HXH5:HXN5"/>
    <mergeCell ref="HXO5:HXU5"/>
    <mergeCell ref="HXV5:HYB5"/>
    <mergeCell ref="HYC5:HYI5"/>
    <mergeCell ref="HYJ5:HYP5"/>
    <mergeCell ref="HYQ5:HYW5"/>
    <mergeCell ref="HVR5:HVX5"/>
    <mergeCell ref="HVY5:HWE5"/>
    <mergeCell ref="HWF5:HWL5"/>
    <mergeCell ref="HWM5:HWS5"/>
    <mergeCell ref="HWT5:HWZ5"/>
    <mergeCell ref="HXA5:HXG5"/>
    <mergeCell ref="HUB5:HUH5"/>
    <mergeCell ref="HUI5:HUO5"/>
    <mergeCell ref="HUP5:HUV5"/>
    <mergeCell ref="HUW5:HVC5"/>
    <mergeCell ref="HVD5:HVJ5"/>
    <mergeCell ref="HVK5:HVQ5"/>
    <mergeCell ref="HSL5:HSR5"/>
    <mergeCell ref="HSS5:HSY5"/>
    <mergeCell ref="HSZ5:HTF5"/>
    <mergeCell ref="HTG5:HTM5"/>
    <mergeCell ref="HTN5:HTT5"/>
    <mergeCell ref="HTU5:HUA5"/>
    <mergeCell ref="HQV5:HRB5"/>
    <mergeCell ref="HRC5:HRI5"/>
    <mergeCell ref="HRJ5:HRP5"/>
    <mergeCell ref="HRQ5:HRW5"/>
    <mergeCell ref="HRX5:HSD5"/>
    <mergeCell ref="HSE5:HSK5"/>
    <mergeCell ref="HPF5:HPL5"/>
    <mergeCell ref="HPM5:HPS5"/>
    <mergeCell ref="HPT5:HPZ5"/>
    <mergeCell ref="HQA5:HQG5"/>
    <mergeCell ref="HQH5:HQN5"/>
    <mergeCell ref="HQO5:HQU5"/>
    <mergeCell ref="HNP5:HNV5"/>
    <mergeCell ref="HNW5:HOC5"/>
    <mergeCell ref="HOD5:HOJ5"/>
    <mergeCell ref="HOK5:HOQ5"/>
    <mergeCell ref="HOR5:HOX5"/>
    <mergeCell ref="HOY5:HPE5"/>
    <mergeCell ref="HLZ5:HMF5"/>
    <mergeCell ref="HMG5:HMM5"/>
    <mergeCell ref="HMN5:HMT5"/>
    <mergeCell ref="HMU5:HNA5"/>
    <mergeCell ref="HNB5:HNH5"/>
    <mergeCell ref="HNI5:HNO5"/>
    <mergeCell ref="HKJ5:HKP5"/>
    <mergeCell ref="HKQ5:HKW5"/>
    <mergeCell ref="HKX5:HLD5"/>
    <mergeCell ref="HLE5:HLK5"/>
    <mergeCell ref="HLL5:HLR5"/>
    <mergeCell ref="HLS5:HLY5"/>
    <mergeCell ref="HIT5:HIZ5"/>
    <mergeCell ref="HJA5:HJG5"/>
    <mergeCell ref="HJH5:HJN5"/>
    <mergeCell ref="HJO5:HJU5"/>
    <mergeCell ref="HJV5:HKB5"/>
    <mergeCell ref="HKC5:HKI5"/>
    <mergeCell ref="HHD5:HHJ5"/>
    <mergeCell ref="HHK5:HHQ5"/>
    <mergeCell ref="HHR5:HHX5"/>
    <mergeCell ref="HHY5:HIE5"/>
    <mergeCell ref="HIF5:HIL5"/>
    <mergeCell ref="HIM5:HIS5"/>
    <mergeCell ref="HFN5:HFT5"/>
    <mergeCell ref="HFU5:HGA5"/>
    <mergeCell ref="HGB5:HGH5"/>
    <mergeCell ref="HGI5:HGO5"/>
    <mergeCell ref="HGP5:HGV5"/>
    <mergeCell ref="HGW5:HHC5"/>
    <mergeCell ref="HDX5:HED5"/>
    <mergeCell ref="HEE5:HEK5"/>
    <mergeCell ref="HEL5:HER5"/>
    <mergeCell ref="HES5:HEY5"/>
    <mergeCell ref="HEZ5:HFF5"/>
    <mergeCell ref="HFG5:HFM5"/>
    <mergeCell ref="HCH5:HCN5"/>
    <mergeCell ref="HCO5:HCU5"/>
    <mergeCell ref="HCV5:HDB5"/>
    <mergeCell ref="HDC5:HDI5"/>
    <mergeCell ref="HDJ5:HDP5"/>
    <mergeCell ref="HDQ5:HDW5"/>
    <mergeCell ref="HAR5:HAX5"/>
    <mergeCell ref="HAY5:HBE5"/>
    <mergeCell ref="HBF5:HBL5"/>
    <mergeCell ref="HBM5:HBS5"/>
    <mergeCell ref="HBT5:HBZ5"/>
    <mergeCell ref="HCA5:HCG5"/>
    <mergeCell ref="GZB5:GZH5"/>
    <mergeCell ref="GZI5:GZO5"/>
    <mergeCell ref="GZP5:GZV5"/>
    <mergeCell ref="GZW5:HAC5"/>
    <mergeCell ref="HAD5:HAJ5"/>
    <mergeCell ref="HAK5:HAQ5"/>
    <mergeCell ref="GXL5:GXR5"/>
    <mergeCell ref="GXS5:GXY5"/>
    <mergeCell ref="GXZ5:GYF5"/>
    <mergeCell ref="GYG5:GYM5"/>
    <mergeCell ref="GYN5:GYT5"/>
    <mergeCell ref="GYU5:GZA5"/>
    <mergeCell ref="GVV5:GWB5"/>
    <mergeCell ref="GWC5:GWI5"/>
    <mergeCell ref="GWJ5:GWP5"/>
    <mergeCell ref="GWQ5:GWW5"/>
    <mergeCell ref="GWX5:GXD5"/>
    <mergeCell ref="GXE5:GXK5"/>
    <mergeCell ref="GUF5:GUL5"/>
    <mergeCell ref="GUM5:GUS5"/>
    <mergeCell ref="GUT5:GUZ5"/>
    <mergeCell ref="GVA5:GVG5"/>
    <mergeCell ref="GVH5:GVN5"/>
    <mergeCell ref="GVO5:GVU5"/>
    <mergeCell ref="GSP5:GSV5"/>
    <mergeCell ref="GSW5:GTC5"/>
    <mergeCell ref="GTD5:GTJ5"/>
    <mergeCell ref="GTK5:GTQ5"/>
    <mergeCell ref="GTR5:GTX5"/>
    <mergeCell ref="GTY5:GUE5"/>
    <mergeCell ref="GQZ5:GRF5"/>
    <mergeCell ref="GRG5:GRM5"/>
    <mergeCell ref="GRN5:GRT5"/>
    <mergeCell ref="GRU5:GSA5"/>
    <mergeCell ref="GSB5:GSH5"/>
    <mergeCell ref="GSI5:GSO5"/>
    <mergeCell ref="GPJ5:GPP5"/>
    <mergeCell ref="GPQ5:GPW5"/>
    <mergeCell ref="GPX5:GQD5"/>
    <mergeCell ref="GQE5:GQK5"/>
    <mergeCell ref="GQL5:GQR5"/>
    <mergeCell ref="GQS5:GQY5"/>
    <mergeCell ref="GNT5:GNZ5"/>
    <mergeCell ref="GOA5:GOG5"/>
    <mergeCell ref="GOH5:GON5"/>
    <mergeCell ref="GOO5:GOU5"/>
    <mergeCell ref="GOV5:GPB5"/>
    <mergeCell ref="GPC5:GPI5"/>
    <mergeCell ref="GMD5:GMJ5"/>
    <mergeCell ref="GMK5:GMQ5"/>
    <mergeCell ref="GMR5:GMX5"/>
    <mergeCell ref="GMY5:GNE5"/>
    <mergeCell ref="GNF5:GNL5"/>
    <mergeCell ref="GNM5:GNS5"/>
    <mergeCell ref="GKN5:GKT5"/>
    <mergeCell ref="GKU5:GLA5"/>
    <mergeCell ref="GLB5:GLH5"/>
    <mergeCell ref="GLI5:GLO5"/>
    <mergeCell ref="GLP5:GLV5"/>
    <mergeCell ref="GLW5:GMC5"/>
    <mergeCell ref="GIX5:GJD5"/>
    <mergeCell ref="GJE5:GJK5"/>
    <mergeCell ref="GJL5:GJR5"/>
    <mergeCell ref="GJS5:GJY5"/>
    <mergeCell ref="GJZ5:GKF5"/>
    <mergeCell ref="GKG5:GKM5"/>
    <mergeCell ref="GHH5:GHN5"/>
    <mergeCell ref="GHO5:GHU5"/>
    <mergeCell ref="GHV5:GIB5"/>
    <mergeCell ref="GIC5:GII5"/>
    <mergeCell ref="GIJ5:GIP5"/>
    <mergeCell ref="GIQ5:GIW5"/>
    <mergeCell ref="GFR5:GFX5"/>
    <mergeCell ref="GFY5:GGE5"/>
    <mergeCell ref="GGF5:GGL5"/>
    <mergeCell ref="GGM5:GGS5"/>
    <mergeCell ref="GGT5:GGZ5"/>
    <mergeCell ref="GHA5:GHG5"/>
    <mergeCell ref="GEB5:GEH5"/>
    <mergeCell ref="GEI5:GEO5"/>
    <mergeCell ref="GEP5:GEV5"/>
    <mergeCell ref="GEW5:GFC5"/>
    <mergeCell ref="GFD5:GFJ5"/>
    <mergeCell ref="GFK5:GFQ5"/>
    <mergeCell ref="GCL5:GCR5"/>
    <mergeCell ref="GCS5:GCY5"/>
    <mergeCell ref="GCZ5:GDF5"/>
    <mergeCell ref="GDG5:GDM5"/>
    <mergeCell ref="GDN5:GDT5"/>
    <mergeCell ref="GDU5:GEA5"/>
    <mergeCell ref="GAV5:GBB5"/>
    <mergeCell ref="GBC5:GBI5"/>
    <mergeCell ref="GBJ5:GBP5"/>
    <mergeCell ref="GBQ5:GBW5"/>
    <mergeCell ref="GBX5:GCD5"/>
    <mergeCell ref="GCE5:GCK5"/>
    <mergeCell ref="FZF5:FZL5"/>
    <mergeCell ref="FZM5:FZS5"/>
    <mergeCell ref="FZT5:FZZ5"/>
    <mergeCell ref="GAA5:GAG5"/>
    <mergeCell ref="GAH5:GAN5"/>
    <mergeCell ref="GAO5:GAU5"/>
    <mergeCell ref="FXP5:FXV5"/>
    <mergeCell ref="FXW5:FYC5"/>
    <mergeCell ref="FYD5:FYJ5"/>
    <mergeCell ref="FYK5:FYQ5"/>
    <mergeCell ref="FYR5:FYX5"/>
    <mergeCell ref="FYY5:FZE5"/>
    <mergeCell ref="FVZ5:FWF5"/>
    <mergeCell ref="FWG5:FWM5"/>
    <mergeCell ref="FWN5:FWT5"/>
    <mergeCell ref="FWU5:FXA5"/>
    <mergeCell ref="FXB5:FXH5"/>
    <mergeCell ref="FXI5:FXO5"/>
    <mergeCell ref="FUJ5:FUP5"/>
    <mergeCell ref="FUQ5:FUW5"/>
    <mergeCell ref="FUX5:FVD5"/>
    <mergeCell ref="FVE5:FVK5"/>
    <mergeCell ref="FVL5:FVR5"/>
    <mergeCell ref="FVS5:FVY5"/>
    <mergeCell ref="FST5:FSZ5"/>
    <mergeCell ref="FTA5:FTG5"/>
    <mergeCell ref="FTH5:FTN5"/>
    <mergeCell ref="FTO5:FTU5"/>
    <mergeCell ref="FTV5:FUB5"/>
    <mergeCell ref="FUC5:FUI5"/>
    <mergeCell ref="FRD5:FRJ5"/>
    <mergeCell ref="FRK5:FRQ5"/>
    <mergeCell ref="FRR5:FRX5"/>
    <mergeCell ref="FRY5:FSE5"/>
    <mergeCell ref="FSF5:FSL5"/>
    <mergeCell ref="FSM5:FSS5"/>
    <mergeCell ref="FPN5:FPT5"/>
    <mergeCell ref="FPU5:FQA5"/>
    <mergeCell ref="FQB5:FQH5"/>
    <mergeCell ref="FQI5:FQO5"/>
    <mergeCell ref="FQP5:FQV5"/>
    <mergeCell ref="FQW5:FRC5"/>
    <mergeCell ref="FNX5:FOD5"/>
    <mergeCell ref="FOE5:FOK5"/>
    <mergeCell ref="FOL5:FOR5"/>
    <mergeCell ref="FOS5:FOY5"/>
    <mergeCell ref="FOZ5:FPF5"/>
    <mergeCell ref="FPG5:FPM5"/>
    <mergeCell ref="FMH5:FMN5"/>
    <mergeCell ref="FMO5:FMU5"/>
    <mergeCell ref="FMV5:FNB5"/>
    <mergeCell ref="FNC5:FNI5"/>
    <mergeCell ref="FNJ5:FNP5"/>
    <mergeCell ref="FNQ5:FNW5"/>
    <mergeCell ref="FKR5:FKX5"/>
    <mergeCell ref="FKY5:FLE5"/>
    <mergeCell ref="FLF5:FLL5"/>
    <mergeCell ref="FLM5:FLS5"/>
    <mergeCell ref="FLT5:FLZ5"/>
    <mergeCell ref="FMA5:FMG5"/>
    <mergeCell ref="FJB5:FJH5"/>
    <mergeCell ref="FJI5:FJO5"/>
    <mergeCell ref="FJP5:FJV5"/>
    <mergeCell ref="FJW5:FKC5"/>
    <mergeCell ref="FKD5:FKJ5"/>
    <mergeCell ref="FKK5:FKQ5"/>
    <mergeCell ref="FHL5:FHR5"/>
    <mergeCell ref="FHS5:FHY5"/>
    <mergeCell ref="FHZ5:FIF5"/>
    <mergeCell ref="FIG5:FIM5"/>
    <mergeCell ref="FIN5:FIT5"/>
    <mergeCell ref="FIU5:FJA5"/>
    <mergeCell ref="FFV5:FGB5"/>
    <mergeCell ref="FGC5:FGI5"/>
    <mergeCell ref="FGJ5:FGP5"/>
    <mergeCell ref="FGQ5:FGW5"/>
    <mergeCell ref="FGX5:FHD5"/>
    <mergeCell ref="FHE5:FHK5"/>
    <mergeCell ref="FEF5:FEL5"/>
    <mergeCell ref="FEM5:FES5"/>
    <mergeCell ref="FET5:FEZ5"/>
    <mergeCell ref="FFA5:FFG5"/>
    <mergeCell ref="FFH5:FFN5"/>
    <mergeCell ref="FFO5:FFU5"/>
    <mergeCell ref="FCP5:FCV5"/>
    <mergeCell ref="FCW5:FDC5"/>
    <mergeCell ref="FDD5:FDJ5"/>
    <mergeCell ref="FDK5:FDQ5"/>
    <mergeCell ref="FDR5:FDX5"/>
    <mergeCell ref="FDY5:FEE5"/>
    <mergeCell ref="FAZ5:FBF5"/>
    <mergeCell ref="FBG5:FBM5"/>
    <mergeCell ref="FBN5:FBT5"/>
    <mergeCell ref="FBU5:FCA5"/>
    <mergeCell ref="FCB5:FCH5"/>
    <mergeCell ref="FCI5:FCO5"/>
    <mergeCell ref="EZJ5:EZP5"/>
    <mergeCell ref="EZQ5:EZW5"/>
    <mergeCell ref="EZX5:FAD5"/>
    <mergeCell ref="FAE5:FAK5"/>
    <mergeCell ref="FAL5:FAR5"/>
    <mergeCell ref="FAS5:FAY5"/>
    <mergeCell ref="EXT5:EXZ5"/>
    <mergeCell ref="EYA5:EYG5"/>
    <mergeCell ref="EYH5:EYN5"/>
    <mergeCell ref="EYO5:EYU5"/>
    <mergeCell ref="EYV5:EZB5"/>
    <mergeCell ref="EZC5:EZI5"/>
    <mergeCell ref="EWD5:EWJ5"/>
    <mergeCell ref="EWK5:EWQ5"/>
    <mergeCell ref="EWR5:EWX5"/>
    <mergeCell ref="EWY5:EXE5"/>
    <mergeCell ref="EXF5:EXL5"/>
    <mergeCell ref="EXM5:EXS5"/>
    <mergeCell ref="EUN5:EUT5"/>
    <mergeCell ref="EUU5:EVA5"/>
    <mergeCell ref="EVB5:EVH5"/>
    <mergeCell ref="EVI5:EVO5"/>
    <mergeCell ref="EVP5:EVV5"/>
    <mergeCell ref="EVW5:EWC5"/>
    <mergeCell ref="ESX5:ETD5"/>
    <mergeCell ref="ETE5:ETK5"/>
    <mergeCell ref="ETL5:ETR5"/>
    <mergeCell ref="ETS5:ETY5"/>
    <mergeCell ref="ETZ5:EUF5"/>
    <mergeCell ref="EUG5:EUM5"/>
    <mergeCell ref="ERH5:ERN5"/>
    <mergeCell ref="ERO5:ERU5"/>
    <mergeCell ref="ERV5:ESB5"/>
    <mergeCell ref="ESC5:ESI5"/>
    <mergeCell ref="ESJ5:ESP5"/>
    <mergeCell ref="ESQ5:ESW5"/>
    <mergeCell ref="EPR5:EPX5"/>
    <mergeCell ref="EPY5:EQE5"/>
    <mergeCell ref="EQF5:EQL5"/>
    <mergeCell ref="EQM5:EQS5"/>
    <mergeCell ref="EQT5:EQZ5"/>
    <mergeCell ref="ERA5:ERG5"/>
    <mergeCell ref="EOB5:EOH5"/>
    <mergeCell ref="EOI5:EOO5"/>
    <mergeCell ref="EOP5:EOV5"/>
    <mergeCell ref="EOW5:EPC5"/>
    <mergeCell ref="EPD5:EPJ5"/>
    <mergeCell ref="EPK5:EPQ5"/>
    <mergeCell ref="EML5:EMR5"/>
    <mergeCell ref="EMS5:EMY5"/>
    <mergeCell ref="EMZ5:ENF5"/>
    <mergeCell ref="ENG5:ENM5"/>
    <mergeCell ref="ENN5:ENT5"/>
    <mergeCell ref="ENU5:EOA5"/>
    <mergeCell ref="EKV5:ELB5"/>
    <mergeCell ref="ELC5:ELI5"/>
    <mergeCell ref="ELJ5:ELP5"/>
    <mergeCell ref="ELQ5:ELW5"/>
    <mergeCell ref="ELX5:EMD5"/>
    <mergeCell ref="EME5:EMK5"/>
    <mergeCell ref="EJF5:EJL5"/>
    <mergeCell ref="EJM5:EJS5"/>
    <mergeCell ref="EJT5:EJZ5"/>
    <mergeCell ref="EKA5:EKG5"/>
    <mergeCell ref="EKH5:EKN5"/>
    <mergeCell ref="EKO5:EKU5"/>
    <mergeCell ref="EHP5:EHV5"/>
    <mergeCell ref="EHW5:EIC5"/>
    <mergeCell ref="EID5:EIJ5"/>
    <mergeCell ref="EIK5:EIQ5"/>
    <mergeCell ref="EIR5:EIX5"/>
    <mergeCell ref="EIY5:EJE5"/>
    <mergeCell ref="EFZ5:EGF5"/>
    <mergeCell ref="EGG5:EGM5"/>
    <mergeCell ref="EGN5:EGT5"/>
    <mergeCell ref="EGU5:EHA5"/>
    <mergeCell ref="EHB5:EHH5"/>
    <mergeCell ref="EHI5:EHO5"/>
    <mergeCell ref="EEJ5:EEP5"/>
    <mergeCell ref="EEQ5:EEW5"/>
    <mergeCell ref="EEX5:EFD5"/>
    <mergeCell ref="EFE5:EFK5"/>
    <mergeCell ref="EFL5:EFR5"/>
    <mergeCell ref="EFS5:EFY5"/>
    <mergeCell ref="ECT5:ECZ5"/>
    <mergeCell ref="EDA5:EDG5"/>
    <mergeCell ref="EDH5:EDN5"/>
    <mergeCell ref="EDO5:EDU5"/>
    <mergeCell ref="EDV5:EEB5"/>
    <mergeCell ref="EEC5:EEI5"/>
    <mergeCell ref="EBD5:EBJ5"/>
    <mergeCell ref="EBK5:EBQ5"/>
    <mergeCell ref="EBR5:EBX5"/>
    <mergeCell ref="EBY5:ECE5"/>
    <mergeCell ref="ECF5:ECL5"/>
    <mergeCell ref="ECM5:ECS5"/>
    <mergeCell ref="DZN5:DZT5"/>
    <mergeCell ref="DZU5:EAA5"/>
    <mergeCell ref="EAB5:EAH5"/>
    <mergeCell ref="EAI5:EAO5"/>
    <mergeCell ref="EAP5:EAV5"/>
    <mergeCell ref="EAW5:EBC5"/>
    <mergeCell ref="DXX5:DYD5"/>
    <mergeCell ref="DYE5:DYK5"/>
    <mergeCell ref="DYL5:DYR5"/>
    <mergeCell ref="DYS5:DYY5"/>
    <mergeCell ref="DYZ5:DZF5"/>
    <mergeCell ref="DZG5:DZM5"/>
    <mergeCell ref="DWH5:DWN5"/>
    <mergeCell ref="DWO5:DWU5"/>
    <mergeCell ref="DWV5:DXB5"/>
    <mergeCell ref="DXC5:DXI5"/>
    <mergeCell ref="DXJ5:DXP5"/>
    <mergeCell ref="DXQ5:DXW5"/>
    <mergeCell ref="DUR5:DUX5"/>
    <mergeCell ref="DUY5:DVE5"/>
    <mergeCell ref="DVF5:DVL5"/>
    <mergeCell ref="DVM5:DVS5"/>
    <mergeCell ref="DVT5:DVZ5"/>
    <mergeCell ref="DWA5:DWG5"/>
    <mergeCell ref="DTB5:DTH5"/>
    <mergeCell ref="DTI5:DTO5"/>
    <mergeCell ref="DTP5:DTV5"/>
    <mergeCell ref="DTW5:DUC5"/>
    <mergeCell ref="DUD5:DUJ5"/>
    <mergeCell ref="DUK5:DUQ5"/>
    <mergeCell ref="DRL5:DRR5"/>
    <mergeCell ref="DRS5:DRY5"/>
    <mergeCell ref="DRZ5:DSF5"/>
    <mergeCell ref="DSG5:DSM5"/>
    <mergeCell ref="DSN5:DST5"/>
    <mergeCell ref="DSU5:DTA5"/>
    <mergeCell ref="DPV5:DQB5"/>
    <mergeCell ref="DQC5:DQI5"/>
    <mergeCell ref="DQJ5:DQP5"/>
    <mergeCell ref="DQQ5:DQW5"/>
    <mergeCell ref="DQX5:DRD5"/>
    <mergeCell ref="DRE5:DRK5"/>
    <mergeCell ref="DOF5:DOL5"/>
    <mergeCell ref="DOM5:DOS5"/>
    <mergeCell ref="DOT5:DOZ5"/>
    <mergeCell ref="DPA5:DPG5"/>
    <mergeCell ref="DPH5:DPN5"/>
    <mergeCell ref="DPO5:DPU5"/>
    <mergeCell ref="DMP5:DMV5"/>
    <mergeCell ref="DMW5:DNC5"/>
    <mergeCell ref="DND5:DNJ5"/>
    <mergeCell ref="DNK5:DNQ5"/>
    <mergeCell ref="DNR5:DNX5"/>
    <mergeCell ref="DNY5:DOE5"/>
    <mergeCell ref="DKZ5:DLF5"/>
    <mergeCell ref="DLG5:DLM5"/>
    <mergeCell ref="DLN5:DLT5"/>
    <mergeCell ref="DLU5:DMA5"/>
    <mergeCell ref="DMB5:DMH5"/>
    <mergeCell ref="DMI5:DMO5"/>
    <mergeCell ref="DJJ5:DJP5"/>
    <mergeCell ref="DJQ5:DJW5"/>
    <mergeCell ref="DJX5:DKD5"/>
    <mergeCell ref="DKE5:DKK5"/>
    <mergeCell ref="DKL5:DKR5"/>
    <mergeCell ref="DKS5:DKY5"/>
    <mergeCell ref="DHT5:DHZ5"/>
    <mergeCell ref="DIA5:DIG5"/>
    <mergeCell ref="DIH5:DIN5"/>
    <mergeCell ref="DIO5:DIU5"/>
    <mergeCell ref="DIV5:DJB5"/>
    <mergeCell ref="DJC5:DJI5"/>
    <mergeCell ref="DGD5:DGJ5"/>
    <mergeCell ref="DGK5:DGQ5"/>
    <mergeCell ref="DGR5:DGX5"/>
    <mergeCell ref="DGY5:DHE5"/>
    <mergeCell ref="DHF5:DHL5"/>
    <mergeCell ref="DHM5:DHS5"/>
    <mergeCell ref="DEN5:DET5"/>
    <mergeCell ref="DEU5:DFA5"/>
    <mergeCell ref="DFB5:DFH5"/>
    <mergeCell ref="DFI5:DFO5"/>
    <mergeCell ref="DFP5:DFV5"/>
    <mergeCell ref="DFW5:DGC5"/>
    <mergeCell ref="DCX5:DDD5"/>
    <mergeCell ref="DDE5:DDK5"/>
    <mergeCell ref="DDL5:DDR5"/>
    <mergeCell ref="DDS5:DDY5"/>
    <mergeCell ref="DDZ5:DEF5"/>
    <mergeCell ref="DEG5:DEM5"/>
    <mergeCell ref="DBH5:DBN5"/>
    <mergeCell ref="DBO5:DBU5"/>
    <mergeCell ref="DBV5:DCB5"/>
    <mergeCell ref="DCC5:DCI5"/>
    <mergeCell ref="DCJ5:DCP5"/>
    <mergeCell ref="DCQ5:DCW5"/>
    <mergeCell ref="CZR5:CZX5"/>
    <mergeCell ref="CZY5:DAE5"/>
    <mergeCell ref="DAF5:DAL5"/>
    <mergeCell ref="DAM5:DAS5"/>
    <mergeCell ref="DAT5:DAZ5"/>
    <mergeCell ref="DBA5:DBG5"/>
    <mergeCell ref="CYB5:CYH5"/>
    <mergeCell ref="CYI5:CYO5"/>
    <mergeCell ref="CYP5:CYV5"/>
    <mergeCell ref="CYW5:CZC5"/>
    <mergeCell ref="CZD5:CZJ5"/>
    <mergeCell ref="CZK5:CZQ5"/>
    <mergeCell ref="CWL5:CWR5"/>
    <mergeCell ref="CWS5:CWY5"/>
    <mergeCell ref="CWZ5:CXF5"/>
    <mergeCell ref="CXG5:CXM5"/>
    <mergeCell ref="CXN5:CXT5"/>
    <mergeCell ref="CXU5:CYA5"/>
    <mergeCell ref="CUV5:CVB5"/>
    <mergeCell ref="CVC5:CVI5"/>
    <mergeCell ref="CVJ5:CVP5"/>
    <mergeCell ref="CVQ5:CVW5"/>
    <mergeCell ref="CVX5:CWD5"/>
    <mergeCell ref="CWE5:CWK5"/>
    <mergeCell ref="CTF5:CTL5"/>
    <mergeCell ref="CTM5:CTS5"/>
    <mergeCell ref="CTT5:CTZ5"/>
    <mergeCell ref="CUA5:CUG5"/>
    <mergeCell ref="CUH5:CUN5"/>
    <mergeCell ref="CUO5:CUU5"/>
    <mergeCell ref="CRP5:CRV5"/>
    <mergeCell ref="CRW5:CSC5"/>
    <mergeCell ref="CSD5:CSJ5"/>
    <mergeCell ref="CSK5:CSQ5"/>
    <mergeCell ref="CSR5:CSX5"/>
    <mergeCell ref="CSY5:CTE5"/>
    <mergeCell ref="CPZ5:CQF5"/>
    <mergeCell ref="CQG5:CQM5"/>
    <mergeCell ref="CQN5:CQT5"/>
    <mergeCell ref="CQU5:CRA5"/>
    <mergeCell ref="CRB5:CRH5"/>
    <mergeCell ref="CRI5:CRO5"/>
    <mergeCell ref="COJ5:COP5"/>
    <mergeCell ref="COQ5:COW5"/>
    <mergeCell ref="COX5:CPD5"/>
    <mergeCell ref="CPE5:CPK5"/>
    <mergeCell ref="CPL5:CPR5"/>
    <mergeCell ref="CPS5:CPY5"/>
    <mergeCell ref="CMT5:CMZ5"/>
    <mergeCell ref="CNA5:CNG5"/>
    <mergeCell ref="CNH5:CNN5"/>
    <mergeCell ref="CNO5:CNU5"/>
    <mergeCell ref="CNV5:COB5"/>
    <mergeCell ref="COC5:COI5"/>
    <mergeCell ref="CLD5:CLJ5"/>
    <mergeCell ref="CLK5:CLQ5"/>
    <mergeCell ref="CLR5:CLX5"/>
    <mergeCell ref="CLY5:CME5"/>
    <mergeCell ref="CMF5:CML5"/>
    <mergeCell ref="CMM5:CMS5"/>
    <mergeCell ref="CJN5:CJT5"/>
    <mergeCell ref="CJU5:CKA5"/>
    <mergeCell ref="CKB5:CKH5"/>
    <mergeCell ref="CKI5:CKO5"/>
    <mergeCell ref="CKP5:CKV5"/>
    <mergeCell ref="CKW5:CLC5"/>
    <mergeCell ref="CHX5:CID5"/>
    <mergeCell ref="CIE5:CIK5"/>
    <mergeCell ref="CIL5:CIR5"/>
    <mergeCell ref="CIS5:CIY5"/>
    <mergeCell ref="CIZ5:CJF5"/>
    <mergeCell ref="CJG5:CJM5"/>
    <mergeCell ref="CGH5:CGN5"/>
    <mergeCell ref="CGO5:CGU5"/>
    <mergeCell ref="CGV5:CHB5"/>
    <mergeCell ref="CHC5:CHI5"/>
    <mergeCell ref="CHJ5:CHP5"/>
    <mergeCell ref="CHQ5:CHW5"/>
    <mergeCell ref="CER5:CEX5"/>
    <mergeCell ref="CEY5:CFE5"/>
    <mergeCell ref="CFF5:CFL5"/>
    <mergeCell ref="CFM5:CFS5"/>
    <mergeCell ref="CFT5:CFZ5"/>
    <mergeCell ref="CGA5:CGG5"/>
    <mergeCell ref="CDB5:CDH5"/>
    <mergeCell ref="CDI5:CDO5"/>
    <mergeCell ref="CDP5:CDV5"/>
    <mergeCell ref="CDW5:CEC5"/>
    <mergeCell ref="CED5:CEJ5"/>
    <mergeCell ref="CEK5:CEQ5"/>
    <mergeCell ref="CBL5:CBR5"/>
    <mergeCell ref="CBS5:CBY5"/>
    <mergeCell ref="CBZ5:CCF5"/>
    <mergeCell ref="CCG5:CCM5"/>
    <mergeCell ref="CCN5:CCT5"/>
    <mergeCell ref="CCU5:CDA5"/>
    <mergeCell ref="BZV5:CAB5"/>
    <mergeCell ref="CAC5:CAI5"/>
    <mergeCell ref="CAJ5:CAP5"/>
    <mergeCell ref="CAQ5:CAW5"/>
    <mergeCell ref="CAX5:CBD5"/>
    <mergeCell ref="CBE5:CBK5"/>
    <mergeCell ref="BYF5:BYL5"/>
    <mergeCell ref="BYM5:BYS5"/>
    <mergeCell ref="BYT5:BYZ5"/>
    <mergeCell ref="BZA5:BZG5"/>
    <mergeCell ref="BZH5:BZN5"/>
    <mergeCell ref="BZO5:BZU5"/>
    <mergeCell ref="BWP5:BWV5"/>
    <mergeCell ref="BWW5:BXC5"/>
    <mergeCell ref="BXD5:BXJ5"/>
    <mergeCell ref="BXK5:BXQ5"/>
    <mergeCell ref="BXR5:BXX5"/>
    <mergeCell ref="BXY5:BYE5"/>
    <mergeCell ref="BUZ5:BVF5"/>
    <mergeCell ref="BVG5:BVM5"/>
    <mergeCell ref="BVN5:BVT5"/>
    <mergeCell ref="BVU5:BWA5"/>
    <mergeCell ref="BWB5:BWH5"/>
    <mergeCell ref="BWI5:BWO5"/>
    <mergeCell ref="BTJ5:BTP5"/>
    <mergeCell ref="BTQ5:BTW5"/>
    <mergeCell ref="BTX5:BUD5"/>
    <mergeCell ref="BUE5:BUK5"/>
    <mergeCell ref="BUL5:BUR5"/>
    <mergeCell ref="BUS5:BUY5"/>
    <mergeCell ref="BRT5:BRZ5"/>
    <mergeCell ref="BSA5:BSG5"/>
    <mergeCell ref="BSH5:BSN5"/>
    <mergeCell ref="BSO5:BSU5"/>
    <mergeCell ref="BSV5:BTB5"/>
    <mergeCell ref="BTC5:BTI5"/>
    <mergeCell ref="BQD5:BQJ5"/>
    <mergeCell ref="BQK5:BQQ5"/>
    <mergeCell ref="BQR5:BQX5"/>
    <mergeCell ref="BQY5:BRE5"/>
    <mergeCell ref="BRF5:BRL5"/>
    <mergeCell ref="BRM5:BRS5"/>
    <mergeCell ref="BON5:BOT5"/>
    <mergeCell ref="BOU5:BPA5"/>
    <mergeCell ref="BPB5:BPH5"/>
    <mergeCell ref="BPI5:BPO5"/>
    <mergeCell ref="BPP5:BPV5"/>
    <mergeCell ref="BPW5:BQC5"/>
    <mergeCell ref="BMX5:BND5"/>
    <mergeCell ref="BNE5:BNK5"/>
    <mergeCell ref="BNL5:BNR5"/>
    <mergeCell ref="BNS5:BNY5"/>
    <mergeCell ref="BNZ5:BOF5"/>
    <mergeCell ref="BOG5:BOM5"/>
    <mergeCell ref="BLH5:BLN5"/>
    <mergeCell ref="BLO5:BLU5"/>
    <mergeCell ref="BLV5:BMB5"/>
    <mergeCell ref="BMC5:BMI5"/>
    <mergeCell ref="BMJ5:BMP5"/>
    <mergeCell ref="BMQ5:BMW5"/>
    <mergeCell ref="BJR5:BJX5"/>
    <mergeCell ref="BJY5:BKE5"/>
    <mergeCell ref="BKF5:BKL5"/>
    <mergeCell ref="BKM5:BKS5"/>
    <mergeCell ref="BKT5:BKZ5"/>
    <mergeCell ref="BLA5:BLG5"/>
    <mergeCell ref="BIB5:BIH5"/>
    <mergeCell ref="BII5:BIO5"/>
    <mergeCell ref="BIP5:BIV5"/>
    <mergeCell ref="BIW5:BJC5"/>
    <mergeCell ref="BJD5:BJJ5"/>
    <mergeCell ref="BJK5:BJQ5"/>
    <mergeCell ref="BGL5:BGR5"/>
    <mergeCell ref="BGS5:BGY5"/>
    <mergeCell ref="BGZ5:BHF5"/>
    <mergeCell ref="BHG5:BHM5"/>
    <mergeCell ref="BHN5:BHT5"/>
    <mergeCell ref="BHU5:BIA5"/>
    <mergeCell ref="BEV5:BFB5"/>
    <mergeCell ref="BFC5:BFI5"/>
    <mergeCell ref="BFJ5:BFP5"/>
    <mergeCell ref="BFQ5:BFW5"/>
    <mergeCell ref="BFX5:BGD5"/>
    <mergeCell ref="BGE5:BGK5"/>
    <mergeCell ref="BDF5:BDL5"/>
    <mergeCell ref="BDM5:BDS5"/>
    <mergeCell ref="BDT5:BDZ5"/>
    <mergeCell ref="BEA5:BEG5"/>
    <mergeCell ref="BEH5:BEN5"/>
    <mergeCell ref="BEO5:BEU5"/>
    <mergeCell ref="BBP5:BBV5"/>
    <mergeCell ref="BBW5:BCC5"/>
    <mergeCell ref="BCD5:BCJ5"/>
    <mergeCell ref="BCK5:BCQ5"/>
    <mergeCell ref="BCR5:BCX5"/>
    <mergeCell ref="BCY5:BDE5"/>
    <mergeCell ref="AZZ5:BAF5"/>
    <mergeCell ref="BAG5:BAM5"/>
    <mergeCell ref="BAN5:BAT5"/>
    <mergeCell ref="BAU5:BBA5"/>
    <mergeCell ref="BBB5:BBH5"/>
    <mergeCell ref="BBI5:BBO5"/>
    <mergeCell ref="AYJ5:AYP5"/>
    <mergeCell ref="AYQ5:AYW5"/>
    <mergeCell ref="AYX5:AZD5"/>
    <mergeCell ref="AZE5:AZK5"/>
    <mergeCell ref="AZL5:AZR5"/>
    <mergeCell ref="AZS5:AZY5"/>
    <mergeCell ref="AWT5:AWZ5"/>
    <mergeCell ref="AXA5:AXG5"/>
    <mergeCell ref="AXH5:AXN5"/>
    <mergeCell ref="AXO5:AXU5"/>
    <mergeCell ref="AXV5:AYB5"/>
    <mergeCell ref="AYC5:AYI5"/>
    <mergeCell ref="AVD5:AVJ5"/>
    <mergeCell ref="AVK5:AVQ5"/>
    <mergeCell ref="AVR5:AVX5"/>
    <mergeCell ref="AVY5:AWE5"/>
    <mergeCell ref="AWF5:AWL5"/>
    <mergeCell ref="AWM5:AWS5"/>
    <mergeCell ref="ATN5:ATT5"/>
    <mergeCell ref="ATU5:AUA5"/>
    <mergeCell ref="AUB5:AUH5"/>
    <mergeCell ref="AUI5:AUO5"/>
    <mergeCell ref="AUP5:AUV5"/>
    <mergeCell ref="AUW5:AVC5"/>
    <mergeCell ref="ARX5:ASD5"/>
    <mergeCell ref="ASE5:ASK5"/>
    <mergeCell ref="ASL5:ASR5"/>
    <mergeCell ref="ASS5:ASY5"/>
    <mergeCell ref="ASZ5:ATF5"/>
    <mergeCell ref="ATG5:ATM5"/>
    <mergeCell ref="AQH5:AQN5"/>
    <mergeCell ref="AQO5:AQU5"/>
    <mergeCell ref="AQV5:ARB5"/>
    <mergeCell ref="ARC5:ARI5"/>
    <mergeCell ref="ARJ5:ARP5"/>
    <mergeCell ref="ARQ5:ARW5"/>
    <mergeCell ref="AOR5:AOX5"/>
    <mergeCell ref="AOY5:APE5"/>
    <mergeCell ref="APF5:APL5"/>
    <mergeCell ref="APM5:APS5"/>
    <mergeCell ref="APT5:APZ5"/>
    <mergeCell ref="AQA5:AQG5"/>
    <mergeCell ref="ANB5:ANH5"/>
    <mergeCell ref="ANI5:ANO5"/>
    <mergeCell ref="ANP5:ANV5"/>
    <mergeCell ref="ANW5:AOC5"/>
    <mergeCell ref="AOD5:AOJ5"/>
    <mergeCell ref="AOK5:AOQ5"/>
    <mergeCell ref="ALL5:ALR5"/>
    <mergeCell ref="ALS5:ALY5"/>
    <mergeCell ref="ALZ5:AMF5"/>
    <mergeCell ref="AMG5:AMM5"/>
    <mergeCell ref="AMN5:AMT5"/>
    <mergeCell ref="AMU5:ANA5"/>
    <mergeCell ref="AJV5:AKB5"/>
    <mergeCell ref="AKC5:AKI5"/>
    <mergeCell ref="AKJ5:AKP5"/>
    <mergeCell ref="AKQ5:AKW5"/>
    <mergeCell ref="AKX5:ALD5"/>
    <mergeCell ref="ALE5:ALK5"/>
    <mergeCell ref="AIF5:AIL5"/>
    <mergeCell ref="AIM5:AIS5"/>
    <mergeCell ref="AIT5:AIZ5"/>
    <mergeCell ref="AJA5:AJG5"/>
    <mergeCell ref="AJH5:AJN5"/>
    <mergeCell ref="AJO5:AJU5"/>
    <mergeCell ref="AGP5:AGV5"/>
    <mergeCell ref="AGW5:AHC5"/>
    <mergeCell ref="AHD5:AHJ5"/>
    <mergeCell ref="AHK5:AHQ5"/>
    <mergeCell ref="AHR5:AHX5"/>
    <mergeCell ref="AHY5:AIE5"/>
    <mergeCell ref="AEZ5:AFF5"/>
    <mergeCell ref="AFG5:AFM5"/>
    <mergeCell ref="AFN5:AFT5"/>
    <mergeCell ref="AFU5:AGA5"/>
    <mergeCell ref="AGB5:AGH5"/>
    <mergeCell ref="AGI5:AGO5"/>
    <mergeCell ref="ADJ5:ADP5"/>
    <mergeCell ref="ADQ5:ADW5"/>
    <mergeCell ref="ADX5:AED5"/>
    <mergeCell ref="AEE5:AEK5"/>
    <mergeCell ref="AEL5:AER5"/>
    <mergeCell ref="AES5:AEY5"/>
    <mergeCell ref="ABT5:ABZ5"/>
    <mergeCell ref="ACA5:ACG5"/>
    <mergeCell ref="ACH5:ACN5"/>
    <mergeCell ref="ACO5:ACU5"/>
    <mergeCell ref="ACV5:ADB5"/>
    <mergeCell ref="ADC5:ADI5"/>
    <mergeCell ref="AAD5:AAJ5"/>
    <mergeCell ref="AAK5:AAQ5"/>
    <mergeCell ref="AAR5:AAX5"/>
    <mergeCell ref="AAY5:ABE5"/>
    <mergeCell ref="ABF5:ABL5"/>
    <mergeCell ref="ABM5:ABS5"/>
    <mergeCell ref="YN5:YT5"/>
    <mergeCell ref="YU5:ZA5"/>
    <mergeCell ref="ZB5:ZH5"/>
    <mergeCell ref="ZI5:ZO5"/>
    <mergeCell ref="ZP5:ZV5"/>
    <mergeCell ref="ZW5:AAC5"/>
    <mergeCell ref="WX5:XD5"/>
    <mergeCell ref="XE5:XK5"/>
    <mergeCell ref="XL5:XR5"/>
    <mergeCell ref="XS5:XY5"/>
    <mergeCell ref="XZ5:YF5"/>
    <mergeCell ref="YG5:YM5"/>
    <mergeCell ref="VH5:VN5"/>
    <mergeCell ref="VO5:VU5"/>
    <mergeCell ref="VV5:WB5"/>
    <mergeCell ref="WC5:WI5"/>
    <mergeCell ref="WJ5:WP5"/>
    <mergeCell ref="WQ5:WW5"/>
    <mergeCell ref="TR5:TX5"/>
    <mergeCell ref="TY5:UE5"/>
    <mergeCell ref="UF5:UL5"/>
    <mergeCell ref="UM5:US5"/>
    <mergeCell ref="UT5:UZ5"/>
    <mergeCell ref="VA5:VG5"/>
    <mergeCell ref="SB5:SH5"/>
    <mergeCell ref="SI5:SO5"/>
    <mergeCell ref="SP5:SV5"/>
    <mergeCell ref="SW5:TC5"/>
    <mergeCell ref="TD5:TJ5"/>
    <mergeCell ref="TK5:TQ5"/>
    <mergeCell ref="QL5:QR5"/>
    <mergeCell ref="QS5:QY5"/>
    <mergeCell ref="QZ5:RF5"/>
    <mergeCell ref="RG5:RM5"/>
    <mergeCell ref="RN5:RT5"/>
    <mergeCell ref="RU5:SA5"/>
    <mergeCell ref="OV5:PB5"/>
    <mergeCell ref="PC5:PI5"/>
    <mergeCell ref="PJ5:PP5"/>
    <mergeCell ref="PQ5:PW5"/>
    <mergeCell ref="PX5:QD5"/>
    <mergeCell ref="QE5:QK5"/>
    <mergeCell ref="NF5:NL5"/>
    <mergeCell ref="NM5:NS5"/>
    <mergeCell ref="NT5:NZ5"/>
    <mergeCell ref="OA5:OG5"/>
    <mergeCell ref="OH5:ON5"/>
    <mergeCell ref="OO5:OU5"/>
    <mergeCell ref="LP5:LV5"/>
    <mergeCell ref="LW5:MC5"/>
    <mergeCell ref="MD5:MJ5"/>
    <mergeCell ref="MK5:MQ5"/>
    <mergeCell ref="MR5:MX5"/>
    <mergeCell ref="MY5:NE5"/>
    <mergeCell ref="JZ5:KF5"/>
    <mergeCell ref="KG5:KM5"/>
    <mergeCell ref="KN5:KT5"/>
    <mergeCell ref="KU5:LA5"/>
    <mergeCell ref="LB5:LH5"/>
    <mergeCell ref="LI5:LO5"/>
    <mergeCell ref="IJ5:IP5"/>
    <mergeCell ref="IQ5:IW5"/>
    <mergeCell ref="IX5:JD5"/>
    <mergeCell ref="JE5:JK5"/>
    <mergeCell ref="JL5:JR5"/>
    <mergeCell ref="JS5:JY5"/>
    <mergeCell ref="GT5:GZ5"/>
    <mergeCell ref="HA5:HG5"/>
    <mergeCell ref="HH5:HN5"/>
    <mergeCell ref="HO5:HU5"/>
    <mergeCell ref="HV5:IB5"/>
    <mergeCell ref="IC5:II5"/>
    <mergeCell ref="FD5:FJ5"/>
    <mergeCell ref="FK5:FQ5"/>
    <mergeCell ref="FR5:FX5"/>
    <mergeCell ref="FY5:GE5"/>
    <mergeCell ref="GF5:GL5"/>
    <mergeCell ref="GM5:GS5"/>
    <mergeCell ref="DN5:DT5"/>
    <mergeCell ref="DU5:EA5"/>
    <mergeCell ref="EB5:EH5"/>
    <mergeCell ref="EI5:EO5"/>
    <mergeCell ref="EP5:EV5"/>
    <mergeCell ref="EW5:FC5"/>
    <mergeCell ref="BX5:CD5"/>
    <mergeCell ref="CE5:CK5"/>
    <mergeCell ref="CL5:CR5"/>
    <mergeCell ref="CS5:CY5"/>
    <mergeCell ref="CZ5:DF5"/>
    <mergeCell ref="DG5:DM5"/>
    <mergeCell ref="AH5:AN5"/>
    <mergeCell ref="AO5:AU5"/>
    <mergeCell ref="AV5:BB5"/>
    <mergeCell ref="BC5:BI5"/>
    <mergeCell ref="BJ5:BP5"/>
    <mergeCell ref="BQ5:BW5"/>
    <mergeCell ref="A4:H4"/>
    <mergeCell ref="A5:H5"/>
    <mergeCell ref="I5:L5"/>
    <mergeCell ref="M5:S5"/>
    <mergeCell ref="T5:Z5"/>
    <mergeCell ref="AA5:AG5"/>
    <mergeCell ref="A1:H1"/>
    <mergeCell ref="I1:N1"/>
    <mergeCell ref="A2:H2"/>
    <mergeCell ref="I2:N2"/>
    <mergeCell ref="A3:H3"/>
    <mergeCell ref="I3:N3"/>
  </mergeCells>
  <printOptions horizontalCentered="1"/>
  <pageMargins left="0.5" right="0.5" top="0.75" bottom="0.75" header="0.5" footer="0.5"/>
  <pageSetup scale="90" fitToHeight="3" orientation="landscape" r:id="rId1"/>
  <headerFooter alignWithMargins="0">
    <oddFooter>&amp;C&amp;"Times New Roman,Regular"Page &amp;P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5FDAF-3F47-4B3F-8760-B43343B54ABD}">
  <sheetPr>
    <tabColor rgb="FFCCFFFF"/>
  </sheetPr>
  <dimension ref="A1:J267"/>
  <sheetViews>
    <sheetView zoomScaleNormal="100" workbookViewId="0">
      <selection activeCell="A11" sqref="A11"/>
    </sheetView>
  </sheetViews>
  <sheetFormatPr defaultColWidth="10.5859375" defaultRowHeight="12.6" x14ac:dyDescent="0.45"/>
  <cols>
    <col min="1" max="2" width="12.05859375" style="198" customWidth="1"/>
    <col min="3" max="3" width="24.05859375" style="142" customWidth="1"/>
    <col min="4" max="4" width="88" style="142" customWidth="1"/>
    <col min="5" max="5" width="12.05859375" style="169" customWidth="1"/>
    <col min="6" max="6" width="7.46875" style="199" customWidth="1"/>
    <col min="7" max="7" width="11.5859375" style="200" customWidth="1"/>
    <col min="8" max="8" width="15.3515625" style="201" customWidth="1"/>
    <col min="9" max="16384" width="10.5859375" style="142"/>
  </cols>
  <sheetData>
    <row r="1" spans="1:9" ht="12.75" customHeight="1" x14ac:dyDescent="0.45">
      <c r="A1" s="390" t="s">
        <v>4992</v>
      </c>
      <c r="B1" s="390"/>
      <c r="C1" s="390"/>
      <c r="D1" s="390"/>
      <c r="E1" s="390"/>
      <c r="F1" s="390"/>
      <c r="G1" s="390"/>
      <c r="H1" s="390"/>
    </row>
    <row r="2" spans="1:9" ht="12.75" customHeight="1" x14ac:dyDescent="0.45">
      <c r="A2" s="390" t="s">
        <v>0</v>
      </c>
      <c r="B2" s="390"/>
      <c r="C2" s="390"/>
      <c r="D2" s="390"/>
      <c r="E2" s="390"/>
      <c r="F2" s="390"/>
      <c r="G2" s="390"/>
      <c r="H2" s="390"/>
    </row>
    <row r="3" spans="1:9" ht="12.75" customHeight="1" x14ac:dyDescent="0.45">
      <c r="A3" s="390" t="s">
        <v>4991</v>
      </c>
      <c r="B3" s="390"/>
      <c r="C3" s="390"/>
      <c r="D3" s="390"/>
      <c r="E3" s="390"/>
      <c r="F3" s="390"/>
      <c r="G3" s="390"/>
      <c r="H3" s="390"/>
    </row>
    <row r="4" spans="1:9" x14ac:dyDescent="0.45">
      <c r="A4" s="410"/>
      <c r="B4" s="410"/>
      <c r="C4" s="410"/>
      <c r="D4" s="410"/>
      <c r="E4" s="410"/>
      <c r="F4" s="410"/>
      <c r="G4" s="410"/>
      <c r="H4" s="410"/>
    </row>
    <row r="5" spans="1:9" x14ac:dyDescent="0.45">
      <c r="A5" s="410" t="s">
        <v>5006</v>
      </c>
      <c r="B5" s="410"/>
      <c r="C5" s="410"/>
      <c r="D5" s="410"/>
      <c r="E5" s="410"/>
      <c r="F5" s="410"/>
      <c r="G5" s="410"/>
      <c r="H5" s="410"/>
    </row>
    <row r="6" spans="1:9" x14ac:dyDescent="0.45">
      <c r="A6" s="410" t="s">
        <v>3725</v>
      </c>
      <c r="B6" s="410"/>
      <c r="C6" s="410"/>
      <c r="D6" s="410"/>
      <c r="E6" s="410"/>
      <c r="F6" s="410"/>
      <c r="G6" s="410"/>
      <c r="H6" s="410"/>
    </row>
    <row r="7" spans="1:9" x14ac:dyDescent="0.45">
      <c r="A7" s="410"/>
      <c r="B7" s="410"/>
      <c r="C7" s="410"/>
      <c r="D7" s="410"/>
      <c r="E7" s="410"/>
      <c r="F7" s="410"/>
      <c r="G7" s="410"/>
      <c r="H7" s="410"/>
    </row>
    <row r="8" spans="1:9" x14ac:dyDescent="0.45">
      <c r="A8" s="413" t="s">
        <v>3726</v>
      </c>
      <c r="B8" s="414"/>
      <c r="C8" s="414"/>
      <c r="D8" s="415"/>
      <c r="E8" s="415"/>
      <c r="F8" s="415"/>
      <c r="G8" s="415"/>
      <c r="H8" s="416"/>
    </row>
    <row r="9" spans="1:9" ht="27.7" customHeight="1" x14ac:dyDescent="0.45">
      <c r="A9" s="417" t="s">
        <v>457</v>
      </c>
      <c r="B9" s="418"/>
      <c r="C9" s="418"/>
      <c r="D9" s="418"/>
      <c r="E9" s="418"/>
      <c r="F9" s="418"/>
      <c r="G9" s="418"/>
      <c r="H9" s="419"/>
    </row>
    <row r="10" spans="1:9" x14ac:dyDescent="0.45">
      <c r="A10" s="420" t="s">
        <v>3727</v>
      </c>
      <c r="B10" s="421"/>
      <c r="C10" s="421"/>
      <c r="D10" s="421"/>
      <c r="E10" s="421"/>
      <c r="F10" s="421"/>
      <c r="G10" s="421"/>
      <c r="H10" s="422"/>
    </row>
    <row r="11" spans="1:9" s="207" customFormat="1" ht="24.6" x14ac:dyDescent="0.45">
      <c r="A11" s="435" t="s">
        <v>459</v>
      </c>
      <c r="B11" s="143" t="s">
        <v>460</v>
      </c>
      <c r="C11" s="144" t="s">
        <v>461</v>
      </c>
      <c r="D11" s="145" t="s">
        <v>462</v>
      </c>
      <c r="E11" s="146" t="s">
        <v>463</v>
      </c>
      <c r="F11" s="147" t="s">
        <v>464</v>
      </c>
      <c r="G11" s="148" t="s">
        <v>465</v>
      </c>
      <c r="H11" s="149" t="s">
        <v>466</v>
      </c>
    </row>
    <row r="12" spans="1:9" s="208" customFormat="1" x14ac:dyDescent="0.45">
      <c r="A12" s="423" t="s">
        <v>467</v>
      </c>
      <c r="B12" s="424"/>
      <c r="C12" s="425"/>
      <c r="D12" s="425"/>
      <c r="E12" s="150"/>
      <c r="F12" s="151"/>
      <c r="G12" s="152"/>
      <c r="H12" s="153"/>
    </row>
    <row r="13" spans="1:9" ht="7.5" customHeight="1" x14ac:dyDescent="0.45">
      <c r="A13" s="154"/>
      <c r="B13" s="154"/>
      <c r="C13" s="155"/>
      <c r="D13" s="155"/>
      <c r="E13" s="156"/>
      <c r="F13" s="155"/>
      <c r="G13" s="157"/>
      <c r="H13" s="158"/>
    </row>
    <row r="14" spans="1:9" ht="13" customHeight="1" x14ac:dyDescent="0.45">
      <c r="A14" s="159"/>
      <c r="B14" s="160">
        <v>200000</v>
      </c>
      <c r="C14" s="159"/>
      <c r="D14" s="159" t="s">
        <v>468</v>
      </c>
      <c r="E14" s="209"/>
      <c r="F14" s="209"/>
      <c r="G14" s="210"/>
      <c r="H14" s="211"/>
    </row>
    <row r="15" spans="1:9" ht="50.4" x14ac:dyDescent="0.45">
      <c r="A15" s="164" t="s">
        <v>3728</v>
      </c>
      <c r="B15" s="164"/>
      <c r="C15" s="212" t="s">
        <v>470</v>
      </c>
      <c r="D15" s="165" t="s">
        <v>471</v>
      </c>
      <c r="E15" s="166"/>
      <c r="F15" s="164" t="s">
        <v>472</v>
      </c>
      <c r="G15" s="167">
        <v>5</v>
      </c>
      <c r="H15" s="168">
        <f>SUM(E15)*G15</f>
        <v>0</v>
      </c>
      <c r="I15" s="169"/>
    </row>
    <row r="16" spans="1:9" x14ac:dyDescent="0.45">
      <c r="A16" s="118" t="s">
        <v>3729</v>
      </c>
      <c r="B16" s="184" t="s">
        <v>180</v>
      </c>
      <c r="D16" s="120"/>
      <c r="E16" s="142"/>
      <c r="F16" s="171"/>
      <c r="G16" s="142"/>
      <c r="H16" s="168"/>
    </row>
    <row r="17" spans="1:8" ht="13" customHeight="1" x14ac:dyDescent="0.45">
      <c r="A17" s="159"/>
      <c r="B17" s="159">
        <v>1401000</v>
      </c>
      <c r="C17" s="159"/>
      <c r="D17" s="159" t="s">
        <v>474</v>
      </c>
      <c r="E17" s="159"/>
      <c r="F17" s="159"/>
      <c r="G17" s="159"/>
      <c r="H17" s="163"/>
    </row>
    <row r="18" spans="1:8" ht="75.599999999999994" x14ac:dyDescent="0.45">
      <c r="A18" s="171" t="s">
        <v>3730</v>
      </c>
      <c r="B18" s="171"/>
      <c r="C18" s="184" t="s">
        <v>476</v>
      </c>
      <c r="D18" s="106" t="s">
        <v>477</v>
      </c>
      <c r="E18" s="166"/>
      <c r="F18" s="171" t="s">
        <v>472</v>
      </c>
      <c r="G18" s="172">
        <v>4</v>
      </c>
      <c r="H18" s="168">
        <f t="shared" ref="H18:H29" si="0">SUM(E18)*G18</f>
        <v>0</v>
      </c>
    </row>
    <row r="19" spans="1:8" ht="50.4" x14ac:dyDescent="0.45">
      <c r="A19" s="171" t="s">
        <v>3731</v>
      </c>
      <c r="B19" s="171"/>
      <c r="C19" s="106" t="s">
        <v>479</v>
      </c>
      <c r="D19" s="106" t="s">
        <v>480</v>
      </c>
      <c r="E19" s="166"/>
      <c r="F19" s="171" t="s">
        <v>472</v>
      </c>
      <c r="G19" s="172">
        <v>4</v>
      </c>
      <c r="H19" s="168">
        <f t="shared" si="0"/>
        <v>0</v>
      </c>
    </row>
    <row r="20" spans="1:8" ht="50.4" x14ac:dyDescent="0.45">
      <c r="A20" s="171" t="s">
        <v>3732</v>
      </c>
      <c r="B20" s="171"/>
      <c r="C20" s="106" t="s">
        <v>482</v>
      </c>
      <c r="D20" s="106" t="s">
        <v>483</v>
      </c>
      <c r="E20" s="166"/>
      <c r="F20" s="171" t="s">
        <v>472</v>
      </c>
      <c r="G20" s="172">
        <v>4</v>
      </c>
      <c r="H20" s="168">
        <f t="shared" si="0"/>
        <v>0</v>
      </c>
    </row>
    <row r="21" spans="1:8" ht="50.4" x14ac:dyDescent="0.45">
      <c r="A21" s="171" t="s">
        <v>3733</v>
      </c>
      <c r="B21" s="171"/>
      <c r="C21" s="106" t="s">
        <v>485</v>
      </c>
      <c r="D21" s="106" t="s">
        <v>486</v>
      </c>
      <c r="E21" s="166"/>
      <c r="F21" s="171" t="s">
        <v>472</v>
      </c>
      <c r="G21" s="172">
        <v>8</v>
      </c>
      <c r="H21" s="168">
        <f t="shared" si="0"/>
        <v>0</v>
      </c>
    </row>
    <row r="22" spans="1:8" ht="63" x14ac:dyDescent="0.45">
      <c r="A22" s="171" t="s">
        <v>3734</v>
      </c>
      <c r="B22" s="171"/>
      <c r="C22" s="106" t="s">
        <v>488</v>
      </c>
      <c r="D22" s="106" t="s">
        <v>489</v>
      </c>
      <c r="E22" s="166"/>
      <c r="F22" s="171" t="s">
        <v>472</v>
      </c>
      <c r="G22" s="172">
        <v>4</v>
      </c>
      <c r="H22" s="168">
        <f t="shared" si="0"/>
        <v>0</v>
      </c>
    </row>
    <row r="23" spans="1:8" ht="50.4" x14ac:dyDescent="0.45">
      <c r="A23" s="171" t="s">
        <v>3735</v>
      </c>
      <c r="B23" s="171"/>
      <c r="C23" s="106" t="s">
        <v>491</v>
      </c>
      <c r="D23" s="106" t="s">
        <v>492</v>
      </c>
      <c r="E23" s="166"/>
      <c r="F23" s="171" t="s">
        <v>472</v>
      </c>
      <c r="G23" s="172">
        <v>4</v>
      </c>
      <c r="H23" s="168">
        <f t="shared" si="0"/>
        <v>0</v>
      </c>
    </row>
    <row r="24" spans="1:8" ht="50.4" x14ac:dyDescent="0.45">
      <c r="A24" s="171" t="s">
        <v>3736</v>
      </c>
      <c r="B24" s="171"/>
      <c r="C24" s="106" t="s">
        <v>494</v>
      </c>
      <c r="D24" s="106" t="s">
        <v>495</v>
      </c>
      <c r="E24" s="166"/>
      <c r="F24" s="171" t="s">
        <v>472</v>
      </c>
      <c r="G24" s="172">
        <v>4</v>
      </c>
      <c r="H24" s="168">
        <f t="shared" si="0"/>
        <v>0</v>
      </c>
    </row>
    <row r="25" spans="1:8" ht="50.4" x14ac:dyDescent="0.45">
      <c r="A25" s="171" t="s">
        <v>3737</v>
      </c>
      <c r="B25" s="171"/>
      <c r="C25" s="106" t="s">
        <v>497</v>
      </c>
      <c r="D25" s="106" t="s">
        <v>498</v>
      </c>
      <c r="E25" s="166"/>
      <c r="F25" s="171" t="s">
        <v>472</v>
      </c>
      <c r="G25" s="172">
        <v>4</v>
      </c>
      <c r="H25" s="168">
        <f t="shared" si="0"/>
        <v>0</v>
      </c>
    </row>
    <row r="26" spans="1:8" ht="50.4" x14ac:dyDescent="0.45">
      <c r="A26" s="171" t="s">
        <v>3738</v>
      </c>
      <c r="B26" s="171"/>
      <c r="C26" s="106" t="s">
        <v>500</v>
      </c>
      <c r="D26" s="106" t="s">
        <v>501</v>
      </c>
      <c r="E26" s="166"/>
      <c r="F26" s="171" t="s">
        <v>472</v>
      </c>
      <c r="G26" s="172">
        <v>4</v>
      </c>
      <c r="H26" s="168">
        <f t="shared" si="0"/>
        <v>0</v>
      </c>
    </row>
    <row r="27" spans="1:8" s="177" customFormat="1" ht="100.8" x14ac:dyDescent="0.45">
      <c r="A27" s="173" t="s">
        <v>3739</v>
      </c>
      <c r="B27" s="173"/>
      <c r="C27" s="174" t="s">
        <v>503</v>
      </c>
      <c r="D27" s="174" t="s">
        <v>504</v>
      </c>
      <c r="E27" s="166"/>
      <c r="F27" s="173" t="s">
        <v>472</v>
      </c>
      <c r="G27" s="175">
        <v>10</v>
      </c>
      <c r="H27" s="176">
        <f t="shared" si="0"/>
        <v>0</v>
      </c>
    </row>
    <row r="28" spans="1:8" ht="75.599999999999994" x14ac:dyDescent="0.45">
      <c r="A28" s="171" t="s">
        <v>3740</v>
      </c>
      <c r="B28" s="171"/>
      <c r="C28" s="106" t="s">
        <v>506</v>
      </c>
      <c r="D28" s="178" t="s">
        <v>507</v>
      </c>
      <c r="E28" s="166"/>
      <c r="F28" s="171" t="s">
        <v>508</v>
      </c>
      <c r="G28" s="172">
        <v>300</v>
      </c>
      <c r="H28" s="168">
        <f t="shared" si="0"/>
        <v>0</v>
      </c>
    </row>
    <row r="29" spans="1:8" ht="75.599999999999994" x14ac:dyDescent="0.45">
      <c r="A29" s="171" t="s">
        <v>3741</v>
      </c>
      <c r="B29" s="171"/>
      <c r="C29" s="106" t="s">
        <v>510</v>
      </c>
      <c r="D29" s="178" t="s">
        <v>511</v>
      </c>
      <c r="E29" s="166"/>
      <c r="F29" s="171" t="s">
        <v>508</v>
      </c>
      <c r="G29" s="172">
        <v>300</v>
      </c>
      <c r="H29" s="168">
        <f t="shared" si="0"/>
        <v>0</v>
      </c>
    </row>
    <row r="30" spans="1:8" x14ac:dyDescent="0.45">
      <c r="A30" s="118" t="s">
        <v>3742</v>
      </c>
      <c r="B30" s="184" t="s">
        <v>180</v>
      </c>
      <c r="D30" s="120"/>
      <c r="E30" s="142"/>
      <c r="F30" s="218"/>
      <c r="G30" s="218"/>
      <c r="H30" s="168"/>
    </row>
    <row r="31" spans="1:8" ht="13" customHeight="1" x14ac:dyDescent="0.45">
      <c r="A31" s="159"/>
      <c r="B31" s="159">
        <v>1402000</v>
      </c>
      <c r="C31" s="159"/>
      <c r="D31" s="159" t="s">
        <v>513</v>
      </c>
      <c r="E31" s="159"/>
      <c r="F31" s="159"/>
      <c r="G31" s="159"/>
      <c r="H31" s="163"/>
    </row>
    <row r="32" spans="1:8" ht="63" x14ac:dyDescent="0.45">
      <c r="A32" s="171" t="s">
        <v>3743</v>
      </c>
      <c r="B32" s="171"/>
      <c r="C32" s="184" t="s">
        <v>515</v>
      </c>
      <c r="D32" s="184" t="s">
        <v>516</v>
      </c>
      <c r="E32" s="166"/>
      <c r="F32" s="171" t="s">
        <v>472</v>
      </c>
      <c r="G32" s="172">
        <v>50</v>
      </c>
      <c r="H32" s="168">
        <f>SUM(E32)*G32</f>
        <v>0</v>
      </c>
    </row>
    <row r="33" spans="1:8" ht="63" x14ac:dyDescent="0.45">
      <c r="A33" s="171" t="s">
        <v>3744</v>
      </c>
      <c r="B33" s="171"/>
      <c r="C33" s="184" t="s">
        <v>518</v>
      </c>
      <c r="D33" s="184" t="s">
        <v>519</v>
      </c>
      <c r="E33" s="166"/>
      <c r="F33" s="171" t="s">
        <v>472</v>
      </c>
      <c r="G33" s="172">
        <v>40</v>
      </c>
      <c r="H33" s="168">
        <f>SUM(E33)*G33</f>
        <v>0</v>
      </c>
    </row>
    <row r="34" spans="1:8" ht="37.799999999999997" x14ac:dyDescent="0.45">
      <c r="A34" s="171" t="s">
        <v>3745</v>
      </c>
      <c r="B34" s="171"/>
      <c r="C34" s="184" t="s">
        <v>521</v>
      </c>
      <c r="D34" s="184" t="s">
        <v>522</v>
      </c>
      <c r="E34" s="166"/>
      <c r="F34" s="171" t="s">
        <v>472</v>
      </c>
      <c r="G34" s="172">
        <v>50</v>
      </c>
      <c r="H34" s="168">
        <f>SUM(E34)*G34</f>
        <v>0</v>
      </c>
    </row>
    <row r="35" spans="1:8" ht="37.799999999999997" x14ac:dyDescent="0.45">
      <c r="A35" s="171" t="s">
        <v>3746</v>
      </c>
      <c r="B35" s="171"/>
      <c r="C35" s="184" t="s">
        <v>524</v>
      </c>
      <c r="D35" s="184" t="s">
        <v>525</v>
      </c>
      <c r="E35" s="166"/>
      <c r="F35" s="171" t="s">
        <v>472</v>
      </c>
      <c r="G35" s="172">
        <v>40</v>
      </c>
      <c r="H35" s="168">
        <f>SUM(E35)*G35</f>
        <v>0</v>
      </c>
    </row>
    <row r="36" spans="1:8" x14ac:dyDescent="0.45">
      <c r="A36" s="118" t="s">
        <v>3747</v>
      </c>
      <c r="B36" s="184" t="s">
        <v>180</v>
      </c>
      <c r="D36" s="120"/>
      <c r="E36" s="142"/>
      <c r="F36" s="171"/>
      <c r="G36" s="172"/>
      <c r="H36" s="168"/>
    </row>
    <row r="37" spans="1:8" ht="13" customHeight="1" x14ac:dyDescent="0.45">
      <c r="A37" s="159"/>
      <c r="B37" s="159">
        <v>1502000</v>
      </c>
      <c r="C37" s="159"/>
      <c r="D37" s="159" t="s">
        <v>18</v>
      </c>
      <c r="E37" s="159"/>
      <c r="F37" s="159"/>
      <c r="G37" s="162"/>
      <c r="H37" s="163"/>
    </row>
    <row r="38" spans="1:8" ht="37.799999999999997" x14ac:dyDescent="0.45">
      <c r="A38" s="171" t="s">
        <v>3748</v>
      </c>
      <c r="B38" s="171"/>
      <c r="C38" s="184" t="s">
        <v>528</v>
      </c>
      <c r="D38" s="184" t="s">
        <v>529</v>
      </c>
      <c r="E38" s="166"/>
      <c r="F38" s="171" t="s">
        <v>508</v>
      </c>
      <c r="G38" s="172">
        <v>3000</v>
      </c>
      <c r="H38" s="168">
        <f t="shared" ref="H38:H49" si="1">SUM(E38)*G38</f>
        <v>0</v>
      </c>
    </row>
    <row r="39" spans="1:8" ht="50.4" x14ac:dyDescent="0.45">
      <c r="A39" s="171" t="s">
        <v>3749</v>
      </c>
      <c r="B39" s="171"/>
      <c r="C39" s="184" t="s">
        <v>531</v>
      </c>
      <c r="D39" s="184" t="s">
        <v>532</v>
      </c>
      <c r="E39" s="166"/>
      <c r="F39" s="171" t="s">
        <v>533</v>
      </c>
      <c r="G39" s="172">
        <v>3000</v>
      </c>
      <c r="H39" s="168">
        <f t="shared" si="1"/>
        <v>0</v>
      </c>
    </row>
    <row r="40" spans="1:8" ht="63" x14ac:dyDescent="0.45">
      <c r="A40" s="171" t="s">
        <v>3750</v>
      </c>
      <c r="B40" s="171"/>
      <c r="C40" s="184" t="s">
        <v>535</v>
      </c>
      <c r="D40" s="184" t="s">
        <v>536</v>
      </c>
      <c r="E40" s="166"/>
      <c r="F40" s="171" t="s">
        <v>508</v>
      </c>
      <c r="G40" s="172">
        <v>2000</v>
      </c>
      <c r="H40" s="168">
        <f t="shared" si="1"/>
        <v>0</v>
      </c>
    </row>
    <row r="41" spans="1:8" ht="63" x14ac:dyDescent="0.45">
      <c r="A41" s="171" t="s">
        <v>3751</v>
      </c>
      <c r="B41" s="171"/>
      <c r="C41" s="184" t="s">
        <v>538</v>
      </c>
      <c r="D41" s="184" t="s">
        <v>539</v>
      </c>
      <c r="E41" s="166"/>
      <c r="F41" s="171" t="s">
        <v>508</v>
      </c>
      <c r="G41" s="172">
        <v>2000</v>
      </c>
      <c r="H41" s="168">
        <f t="shared" si="1"/>
        <v>0</v>
      </c>
    </row>
    <row r="42" spans="1:8" ht="50.4" x14ac:dyDescent="0.45">
      <c r="A42" s="171" t="s">
        <v>3752</v>
      </c>
      <c r="B42" s="171"/>
      <c r="C42" s="184" t="s">
        <v>541</v>
      </c>
      <c r="D42" s="184" t="s">
        <v>542</v>
      </c>
      <c r="E42" s="166"/>
      <c r="F42" s="171" t="s">
        <v>543</v>
      </c>
      <c r="G42" s="172">
        <v>19500</v>
      </c>
      <c r="H42" s="168">
        <f t="shared" si="1"/>
        <v>0</v>
      </c>
    </row>
    <row r="43" spans="1:8" ht="37.799999999999997" x14ac:dyDescent="0.45">
      <c r="A43" s="171" t="s">
        <v>3753</v>
      </c>
      <c r="B43" s="171"/>
      <c r="C43" s="184" t="s">
        <v>545</v>
      </c>
      <c r="D43" s="184" t="s">
        <v>546</v>
      </c>
      <c r="E43" s="166"/>
      <c r="F43" s="171" t="s">
        <v>472</v>
      </c>
      <c r="G43" s="172">
        <v>10</v>
      </c>
      <c r="H43" s="168">
        <f t="shared" si="1"/>
        <v>0</v>
      </c>
    </row>
    <row r="44" spans="1:8" ht="151.19999999999999" x14ac:dyDescent="0.45">
      <c r="A44" s="171" t="s">
        <v>3754</v>
      </c>
      <c r="B44" s="171"/>
      <c r="C44" s="184" t="s">
        <v>548</v>
      </c>
      <c r="D44" s="106" t="s">
        <v>549</v>
      </c>
      <c r="E44" s="166"/>
      <c r="F44" s="171" t="s">
        <v>472</v>
      </c>
      <c r="G44" s="172">
        <v>25</v>
      </c>
      <c r="H44" s="168">
        <f t="shared" si="1"/>
        <v>0</v>
      </c>
    </row>
    <row r="45" spans="1:8" ht="37.799999999999997" x14ac:dyDescent="0.45">
      <c r="A45" s="171" t="s">
        <v>3755</v>
      </c>
      <c r="B45" s="171"/>
      <c r="C45" s="106" t="s">
        <v>551</v>
      </c>
      <c r="D45" s="184" t="s">
        <v>552</v>
      </c>
      <c r="E45" s="166"/>
      <c r="F45" s="171" t="s">
        <v>472</v>
      </c>
      <c r="G45" s="172">
        <v>38</v>
      </c>
      <c r="H45" s="168">
        <f t="shared" si="1"/>
        <v>0</v>
      </c>
    </row>
    <row r="46" spans="1:8" ht="37.799999999999997" x14ac:dyDescent="0.45">
      <c r="A46" s="171" t="s">
        <v>3756</v>
      </c>
      <c r="B46" s="171"/>
      <c r="C46" s="106" t="s">
        <v>554</v>
      </c>
      <c r="D46" s="184" t="s">
        <v>555</v>
      </c>
      <c r="E46" s="166"/>
      <c r="F46" s="171" t="s">
        <v>472</v>
      </c>
      <c r="G46" s="172">
        <v>38</v>
      </c>
      <c r="H46" s="168">
        <f t="shared" si="1"/>
        <v>0</v>
      </c>
    </row>
    <row r="47" spans="1:8" ht="37.799999999999997" x14ac:dyDescent="0.45">
      <c r="A47" s="171" t="s">
        <v>3757</v>
      </c>
      <c r="B47" s="171"/>
      <c r="C47" s="106" t="s">
        <v>557</v>
      </c>
      <c r="D47" s="184" t="s">
        <v>558</v>
      </c>
      <c r="E47" s="166"/>
      <c r="F47" s="171" t="s">
        <v>472</v>
      </c>
      <c r="G47" s="172">
        <v>38</v>
      </c>
      <c r="H47" s="168">
        <f t="shared" si="1"/>
        <v>0</v>
      </c>
    </row>
    <row r="48" spans="1:8" ht="70.5" x14ac:dyDescent="0.45">
      <c r="A48" s="171" t="s">
        <v>3758</v>
      </c>
      <c r="B48" s="171"/>
      <c r="C48" s="106" t="s">
        <v>560</v>
      </c>
      <c r="D48" s="179" t="s">
        <v>561</v>
      </c>
      <c r="E48" s="166"/>
      <c r="F48" s="171" t="s">
        <v>472</v>
      </c>
      <c r="G48" s="172">
        <v>14</v>
      </c>
      <c r="H48" s="168">
        <f t="shared" si="1"/>
        <v>0</v>
      </c>
    </row>
    <row r="49" spans="1:8" ht="56.4" x14ac:dyDescent="0.45">
      <c r="A49" s="171" t="s">
        <v>3759</v>
      </c>
      <c r="B49" s="171"/>
      <c r="C49" s="106" t="s">
        <v>563</v>
      </c>
      <c r="D49" s="179" t="s">
        <v>564</v>
      </c>
      <c r="E49" s="166"/>
      <c r="F49" s="171" t="s">
        <v>472</v>
      </c>
      <c r="G49" s="172">
        <v>14</v>
      </c>
      <c r="H49" s="168">
        <f t="shared" si="1"/>
        <v>0</v>
      </c>
    </row>
    <row r="50" spans="1:8" ht="70.5" x14ac:dyDescent="0.45">
      <c r="A50" s="171" t="s">
        <v>3760</v>
      </c>
      <c r="B50" s="171"/>
      <c r="C50" s="106" t="s">
        <v>566</v>
      </c>
      <c r="D50" s="179" t="s">
        <v>567</v>
      </c>
      <c r="E50" s="166"/>
      <c r="F50" s="171" t="s">
        <v>568</v>
      </c>
      <c r="G50" s="172">
        <v>35</v>
      </c>
      <c r="H50" s="168">
        <f>SUM(E50)*G50</f>
        <v>0</v>
      </c>
    </row>
    <row r="51" spans="1:8" ht="90.9" customHeight="1" x14ac:dyDescent="0.45">
      <c r="A51" s="171" t="s">
        <v>3761</v>
      </c>
      <c r="B51" s="180"/>
      <c r="C51" s="182" t="s">
        <v>570</v>
      </c>
      <c r="D51" s="182" t="s">
        <v>571</v>
      </c>
      <c r="E51" s="166"/>
      <c r="F51" s="171" t="s">
        <v>472</v>
      </c>
      <c r="G51" s="172">
        <v>50</v>
      </c>
      <c r="H51" s="168">
        <f t="shared" ref="H51:H54" si="2">SUM(E51)*G51</f>
        <v>0</v>
      </c>
    </row>
    <row r="52" spans="1:8" s="183" customFormat="1" ht="335.1" customHeight="1" x14ac:dyDescent="0.45">
      <c r="A52" s="185" t="s">
        <v>3762</v>
      </c>
      <c r="B52" s="182"/>
      <c r="C52" s="182" t="s">
        <v>573</v>
      </c>
      <c r="D52" s="182" t="s">
        <v>574</v>
      </c>
      <c r="E52" s="166"/>
      <c r="F52" s="185" t="s">
        <v>508</v>
      </c>
      <c r="G52" s="214">
        <v>1500</v>
      </c>
      <c r="H52" s="168">
        <f t="shared" si="2"/>
        <v>0</v>
      </c>
    </row>
    <row r="53" spans="1:8" s="183" customFormat="1" ht="195" customHeight="1" x14ac:dyDescent="0.45">
      <c r="A53" s="181" t="s">
        <v>3763</v>
      </c>
      <c r="B53" s="182"/>
      <c r="C53" s="182" t="s">
        <v>576</v>
      </c>
      <c r="D53" s="182" t="s">
        <v>577</v>
      </c>
      <c r="E53" s="166"/>
      <c r="F53" s="185" t="s">
        <v>508</v>
      </c>
      <c r="G53" s="214">
        <v>2500</v>
      </c>
      <c r="H53" s="168">
        <f t="shared" si="2"/>
        <v>0</v>
      </c>
    </row>
    <row r="54" spans="1:8" s="183" customFormat="1" ht="75.599999999999994" x14ac:dyDescent="0.45">
      <c r="A54" s="182" t="s">
        <v>3764</v>
      </c>
      <c r="B54" s="182"/>
      <c r="C54" s="219" t="s">
        <v>579</v>
      </c>
      <c r="D54" s="219" t="s">
        <v>580</v>
      </c>
      <c r="E54" s="166"/>
      <c r="F54" s="185" t="s">
        <v>508</v>
      </c>
      <c r="G54" s="214">
        <v>2000</v>
      </c>
      <c r="H54" s="168">
        <f t="shared" si="2"/>
        <v>0</v>
      </c>
    </row>
    <row r="55" spans="1:8" x14ac:dyDescent="0.45">
      <c r="A55" s="118" t="s">
        <v>3765</v>
      </c>
      <c r="B55" s="184" t="s">
        <v>180</v>
      </c>
      <c r="D55" s="170"/>
      <c r="E55" s="142"/>
      <c r="F55" s="172"/>
      <c r="G55" s="168"/>
      <c r="H55" s="142"/>
    </row>
    <row r="56" spans="1:8" ht="13" customHeight="1" x14ac:dyDescent="0.45">
      <c r="A56" s="159"/>
      <c r="B56" s="159">
        <v>1503010</v>
      </c>
      <c r="C56" s="159"/>
      <c r="D56" s="159" t="s">
        <v>109</v>
      </c>
      <c r="E56" s="159"/>
      <c r="F56" s="209"/>
      <c r="G56" s="210"/>
      <c r="H56" s="163"/>
    </row>
    <row r="57" spans="1:8" ht="25.2" x14ac:dyDescent="0.45">
      <c r="A57" s="171" t="s">
        <v>3766</v>
      </c>
      <c r="B57" s="171"/>
      <c r="C57" s="106" t="s">
        <v>583</v>
      </c>
      <c r="D57" s="106" t="s">
        <v>584</v>
      </c>
      <c r="E57" s="166"/>
      <c r="F57" s="171" t="s">
        <v>508</v>
      </c>
      <c r="G57" s="172">
        <v>500</v>
      </c>
      <c r="H57" s="168">
        <f t="shared" ref="H57:H74" si="3">SUM(E57)*G57</f>
        <v>0</v>
      </c>
    </row>
    <row r="58" spans="1:8" ht="50.4" x14ac:dyDescent="0.45">
      <c r="A58" s="171" t="s">
        <v>3767</v>
      </c>
      <c r="B58" s="171"/>
      <c r="C58" s="106" t="s">
        <v>586</v>
      </c>
      <c r="D58" s="106" t="s">
        <v>587</v>
      </c>
      <c r="E58" s="166"/>
      <c r="F58" s="171" t="s">
        <v>508</v>
      </c>
      <c r="G58" s="172">
        <v>500</v>
      </c>
      <c r="H58" s="168">
        <f t="shared" si="3"/>
        <v>0</v>
      </c>
    </row>
    <row r="59" spans="1:8" ht="50.4" x14ac:dyDescent="0.45">
      <c r="A59" s="171" t="s">
        <v>3768</v>
      </c>
      <c r="B59" s="171"/>
      <c r="C59" s="106" t="s">
        <v>589</v>
      </c>
      <c r="D59" s="106" t="s">
        <v>590</v>
      </c>
      <c r="E59" s="166"/>
      <c r="F59" s="171" t="s">
        <v>508</v>
      </c>
      <c r="G59" s="172">
        <v>1000</v>
      </c>
      <c r="H59" s="168">
        <f t="shared" si="3"/>
        <v>0</v>
      </c>
    </row>
    <row r="60" spans="1:8" ht="37.799999999999997" x14ac:dyDescent="0.45">
      <c r="A60" s="171" t="s">
        <v>3769</v>
      </c>
      <c r="B60" s="171"/>
      <c r="C60" s="106" t="s">
        <v>592</v>
      </c>
      <c r="D60" s="106" t="s">
        <v>593</v>
      </c>
      <c r="E60" s="166"/>
      <c r="F60" s="171" t="s">
        <v>508</v>
      </c>
      <c r="G60" s="172">
        <v>1000</v>
      </c>
      <c r="H60" s="168">
        <f t="shared" si="3"/>
        <v>0</v>
      </c>
    </row>
    <row r="61" spans="1:8" ht="75.599999999999994" x14ac:dyDescent="0.45">
      <c r="A61" s="171" t="s">
        <v>3770</v>
      </c>
      <c r="B61" s="171"/>
      <c r="C61" s="106" t="s">
        <v>595</v>
      </c>
      <c r="D61" s="106" t="s">
        <v>596</v>
      </c>
      <c r="E61" s="166"/>
      <c r="F61" s="171" t="s">
        <v>508</v>
      </c>
      <c r="G61" s="172">
        <v>1000</v>
      </c>
      <c r="H61" s="168">
        <f t="shared" si="3"/>
        <v>0</v>
      </c>
    </row>
    <row r="62" spans="1:8" ht="63" x14ac:dyDescent="0.45">
      <c r="A62" s="171" t="s">
        <v>3771</v>
      </c>
      <c r="B62" s="171"/>
      <c r="C62" s="106" t="s">
        <v>598</v>
      </c>
      <c r="D62" s="106" t="s">
        <v>599</v>
      </c>
      <c r="E62" s="166"/>
      <c r="F62" s="171" t="s">
        <v>508</v>
      </c>
      <c r="G62" s="172">
        <v>1000</v>
      </c>
      <c r="H62" s="168">
        <f t="shared" si="3"/>
        <v>0</v>
      </c>
    </row>
    <row r="63" spans="1:8" ht="50.4" x14ac:dyDescent="0.45">
      <c r="A63" s="171" t="s">
        <v>3772</v>
      </c>
      <c r="B63" s="171"/>
      <c r="C63" s="106" t="s">
        <v>601</v>
      </c>
      <c r="D63" s="106" t="s">
        <v>602</v>
      </c>
      <c r="E63" s="166"/>
      <c r="F63" s="171" t="s">
        <v>508</v>
      </c>
      <c r="G63" s="172">
        <v>1000</v>
      </c>
      <c r="H63" s="168">
        <f t="shared" si="3"/>
        <v>0</v>
      </c>
    </row>
    <row r="64" spans="1:8" ht="50.4" x14ac:dyDescent="0.45">
      <c r="A64" s="171" t="s">
        <v>3773</v>
      </c>
      <c r="B64" s="171"/>
      <c r="C64" s="106" t="s">
        <v>604</v>
      </c>
      <c r="D64" s="106" t="s">
        <v>605</v>
      </c>
      <c r="E64" s="166"/>
      <c r="F64" s="171" t="s">
        <v>508</v>
      </c>
      <c r="G64" s="172">
        <v>500</v>
      </c>
      <c r="H64" s="168">
        <f t="shared" si="3"/>
        <v>0</v>
      </c>
    </row>
    <row r="65" spans="1:8" ht="50.4" x14ac:dyDescent="0.45">
      <c r="A65" s="171" t="s">
        <v>3774</v>
      </c>
      <c r="B65" s="171"/>
      <c r="C65" s="106" t="s">
        <v>607</v>
      </c>
      <c r="D65" s="106" t="s">
        <v>608</v>
      </c>
      <c r="E65" s="166"/>
      <c r="F65" s="171" t="s">
        <v>508</v>
      </c>
      <c r="G65" s="172">
        <v>500</v>
      </c>
      <c r="H65" s="168">
        <f t="shared" si="3"/>
        <v>0</v>
      </c>
    </row>
    <row r="66" spans="1:8" ht="25.2" x14ac:dyDescent="0.45">
      <c r="A66" s="171" t="s">
        <v>3775</v>
      </c>
      <c r="B66" s="171"/>
      <c r="C66" s="106" t="s">
        <v>610</v>
      </c>
      <c r="D66" s="106" t="s">
        <v>611</v>
      </c>
      <c r="E66" s="166"/>
      <c r="F66" s="171" t="s">
        <v>508</v>
      </c>
      <c r="G66" s="172">
        <v>500</v>
      </c>
      <c r="H66" s="168">
        <f t="shared" si="3"/>
        <v>0</v>
      </c>
    </row>
    <row r="67" spans="1:8" ht="50.4" x14ac:dyDescent="0.45">
      <c r="A67" s="171" t="s">
        <v>3776</v>
      </c>
      <c r="B67" s="171"/>
      <c r="C67" s="106" t="s">
        <v>613</v>
      </c>
      <c r="D67" s="106" t="s">
        <v>614</v>
      </c>
      <c r="E67" s="166"/>
      <c r="F67" s="171" t="s">
        <v>508</v>
      </c>
      <c r="G67" s="172">
        <v>250</v>
      </c>
      <c r="H67" s="168">
        <f t="shared" si="3"/>
        <v>0</v>
      </c>
    </row>
    <row r="68" spans="1:8" ht="50.4" x14ac:dyDescent="0.45">
      <c r="A68" s="171" t="s">
        <v>3777</v>
      </c>
      <c r="B68" s="171"/>
      <c r="C68" s="106" t="s">
        <v>616</v>
      </c>
      <c r="D68" s="106" t="s">
        <v>617</v>
      </c>
      <c r="E68" s="166"/>
      <c r="F68" s="171" t="s">
        <v>508</v>
      </c>
      <c r="G68" s="172">
        <v>500</v>
      </c>
      <c r="H68" s="168">
        <f t="shared" si="3"/>
        <v>0</v>
      </c>
    </row>
    <row r="69" spans="1:8" ht="50.4" x14ac:dyDescent="0.45">
      <c r="A69" s="171" t="s">
        <v>3778</v>
      </c>
      <c r="B69" s="171"/>
      <c r="C69" s="106" t="s">
        <v>619</v>
      </c>
      <c r="D69" s="106" t="s">
        <v>620</v>
      </c>
      <c r="E69" s="166"/>
      <c r="F69" s="171" t="s">
        <v>508</v>
      </c>
      <c r="G69" s="172">
        <v>1000</v>
      </c>
      <c r="H69" s="168">
        <f t="shared" si="3"/>
        <v>0</v>
      </c>
    </row>
    <row r="70" spans="1:8" ht="25.2" x14ac:dyDescent="0.45">
      <c r="A70" s="171" t="s">
        <v>3779</v>
      </c>
      <c r="B70" s="171"/>
      <c r="C70" s="106" t="s">
        <v>622</v>
      </c>
      <c r="D70" s="106" t="s">
        <v>623</v>
      </c>
      <c r="E70" s="166"/>
      <c r="F70" s="171" t="s">
        <v>508</v>
      </c>
      <c r="G70" s="172">
        <v>3000</v>
      </c>
      <c r="H70" s="168">
        <f t="shared" si="3"/>
        <v>0</v>
      </c>
    </row>
    <row r="71" spans="1:8" ht="37.799999999999997" x14ac:dyDescent="0.45">
      <c r="A71" s="171" t="s">
        <v>3780</v>
      </c>
      <c r="B71" s="171"/>
      <c r="C71" s="106" t="s">
        <v>625</v>
      </c>
      <c r="D71" s="106" t="s">
        <v>626</v>
      </c>
      <c r="E71" s="166"/>
      <c r="F71" s="171" t="s">
        <v>472</v>
      </c>
      <c r="G71" s="172">
        <v>100</v>
      </c>
      <c r="H71" s="168">
        <f t="shared" si="3"/>
        <v>0</v>
      </c>
    </row>
    <row r="72" spans="1:8" ht="37.799999999999997" x14ac:dyDescent="0.45">
      <c r="A72" s="171" t="s">
        <v>3781</v>
      </c>
      <c r="B72" s="171"/>
      <c r="C72" s="106" t="s">
        <v>628</v>
      </c>
      <c r="D72" s="106" t="s">
        <v>629</v>
      </c>
      <c r="E72" s="166"/>
      <c r="F72" s="171" t="s">
        <v>472</v>
      </c>
      <c r="G72" s="172">
        <v>50</v>
      </c>
      <c r="H72" s="168">
        <f t="shared" si="3"/>
        <v>0</v>
      </c>
    </row>
    <row r="73" spans="1:8" ht="63" x14ac:dyDescent="0.45">
      <c r="A73" s="171" t="s">
        <v>3782</v>
      </c>
      <c r="B73" s="171"/>
      <c r="C73" s="106" t="s">
        <v>631</v>
      </c>
      <c r="D73" s="184" t="s">
        <v>632</v>
      </c>
      <c r="E73" s="166"/>
      <c r="F73" s="171" t="s">
        <v>633</v>
      </c>
      <c r="G73" s="172">
        <v>240</v>
      </c>
      <c r="H73" s="168">
        <f t="shared" si="3"/>
        <v>0</v>
      </c>
    </row>
    <row r="74" spans="1:8" s="183" customFormat="1" ht="151.19999999999999" x14ac:dyDescent="0.45">
      <c r="A74" s="185" t="s">
        <v>3783</v>
      </c>
      <c r="B74" s="185"/>
      <c r="C74" s="216" t="s">
        <v>635</v>
      </c>
      <c r="D74" s="216" t="s">
        <v>636</v>
      </c>
      <c r="E74" s="166"/>
      <c r="F74" s="185" t="s">
        <v>472</v>
      </c>
      <c r="G74" s="172">
        <v>6</v>
      </c>
      <c r="H74" s="168">
        <f t="shared" si="3"/>
        <v>0</v>
      </c>
    </row>
    <row r="75" spans="1:8" x14ac:dyDescent="0.45">
      <c r="A75" s="118" t="s">
        <v>3784</v>
      </c>
      <c r="B75" s="184" t="s">
        <v>180</v>
      </c>
      <c r="C75" s="120"/>
      <c r="D75" s="170"/>
      <c r="E75" s="142"/>
      <c r="F75" s="172"/>
      <c r="G75" s="168"/>
      <c r="H75" s="142"/>
    </row>
    <row r="76" spans="1:8" ht="13" customHeight="1" x14ac:dyDescent="0.45">
      <c r="A76" s="159"/>
      <c r="B76" s="159">
        <v>1503020</v>
      </c>
      <c r="C76" s="159"/>
      <c r="D76" s="159" t="s">
        <v>638</v>
      </c>
      <c r="E76" s="159"/>
      <c r="F76" s="159"/>
      <c r="G76" s="210"/>
      <c r="H76" s="163"/>
    </row>
    <row r="77" spans="1:8" ht="37.799999999999997" x14ac:dyDescent="0.45">
      <c r="A77" s="171" t="s">
        <v>3785</v>
      </c>
      <c r="B77" s="171"/>
      <c r="C77" s="106" t="s">
        <v>640</v>
      </c>
      <c r="D77" s="106" t="s">
        <v>641</v>
      </c>
      <c r="E77" s="166"/>
      <c r="F77" s="171" t="s">
        <v>472</v>
      </c>
      <c r="G77" s="172">
        <v>16</v>
      </c>
      <c r="H77" s="168">
        <f t="shared" ref="H77:H89" si="4">SUM(E77)*G77</f>
        <v>0</v>
      </c>
    </row>
    <row r="78" spans="1:8" ht="63" x14ac:dyDescent="0.45">
      <c r="A78" s="171" t="s">
        <v>3786</v>
      </c>
      <c r="B78" s="171"/>
      <c r="C78" s="106" t="s">
        <v>643</v>
      </c>
      <c r="D78" s="106" t="s">
        <v>644</v>
      </c>
      <c r="E78" s="166"/>
      <c r="F78" s="171" t="s">
        <v>645</v>
      </c>
      <c r="G78" s="172">
        <v>16</v>
      </c>
      <c r="H78" s="168">
        <f t="shared" si="4"/>
        <v>0</v>
      </c>
    </row>
    <row r="79" spans="1:8" ht="37.799999999999997" x14ac:dyDescent="0.45">
      <c r="A79" s="171" t="s">
        <v>3787</v>
      </c>
      <c r="B79" s="171"/>
      <c r="C79" s="106" t="s">
        <v>647</v>
      </c>
      <c r="D79" s="106" t="s">
        <v>648</v>
      </c>
      <c r="E79" s="166"/>
      <c r="F79" s="171" t="s">
        <v>472</v>
      </c>
      <c r="G79" s="172">
        <v>16</v>
      </c>
      <c r="H79" s="168">
        <f t="shared" si="4"/>
        <v>0</v>
      </c>
    </row>
    <row r="80" spans="1:8" ht="37.799999999999997" x14ac:dyDescent="0.45">
      <c r="A80" s="171" t="s">
        <v>3788</v>
      </c>
      <c r="B80" s="171"/>
      <c r="C80" s="106" t="s">
        <v>650</v>
      </c>
      <c r="D80" s="106" t="s">
        <v>651</v>
      </c>
      <c r="E80" s="166"/>
      <c r="F80" s="171" t="s">
        <v>472</v>
      </c>
      <c r="G80" s="172">
        <v>16</v>
      </c>
      <c r="H80" s="168">
        <f t="shared" si="4"/>
        <v>0</v>
      </c>
    </row>
    <row r="81" spans="1:10" ht="63" x14ac:dyDescent="0.45">
      <c r="A81" s="171" t="s">
        <v>3789</v>
      </c>
      <c r="B81" s="171"/>
      <c r="C81" s="106" t="s">
        <v>653</v>
      </c>
      <c r="D81" s="106" t="s">
        <v>654</v>
      </c>
      <c r="E81" s="166"/>
      <c r="F81" s="171" t="s">
        <v>472</v>
      </c>
      <c r="G81" s="172">
        <v>70</v>
      </c>
      <c r="H81" s="168">
        <f t="shared" si="4"/>
        <v>0</v>
      </c>
    </row>
    <row r="82" spans="1:10" ht="50.4" x14ac:dyDescent="0.45">
      <c r="A82" s="171" t="s">
        <v>3790</v>
      </c>
      <c r="B82" s="171"/>
      <c r="C82" s="106" t="s">
        <v>656</v>
      </c>
      <c r="D82" s="106" t="s">
        <v>657</v>
      </c>
      <c r="E82" s="166"/>
      <c r="F82" s="171" t="s">
        <v>472</v>
      </c>
      <c r="G82" s="172">
        <v>30</v>
      </c>
      <c r="H82" s="168">
        <f t="shared" si="4"/>
        <v>0</v>
      </c>
    </row>
    <row r="83" spans="1:10" ht="75.599999999999994" x14ac:dyDescent="0.45">
      <c r="A83" s="171" t="s">
        <v>3791</v>
      </c>
      <c r="B83" s="171"/>
      <c r="C83" s="106" t="s">
        <v>659</v>
      </c>
      <c r="D83" s="106" t="s">
        <v>660</v>
      </c>
      <c r="E83" s="166"/>
      <c r="F83" s="171" t="s">
        <v>472</v>
      </c>
      <c r="G83" s="172">
        <v>175</v>
      </c>
      <c r="H83" s="168">
        <f t="shared" si="4"/>
        <v>0</v>
      </c>
    </row>
    <row r="84" spans="1:10" ht="50.4" x14ac:dyDescent="0.45">
      <c r="A84" s="171" t="s">
        <v>3792</v>
      </c>
      <c r="B84" s="171"/>
      <c r="C84" s="184" t="s">
        <v>662</v>
      </c>
      <c r="D84" s="184" t="s">
        <v>663</v>
      </c>
      <c r="E84" s="166"/>
      <c r="F84" s="171" t="s">
        <v>472</v>
      </c>
      <c r="G84" s="172">
        <v>50</v>
      </c>
      <c r="H84" s="168">
        <f t="shared" si="4"/>
        <v>0</v>
      </c>
    </row>
    <row r="85" spans="1:10" ht="37.799999999999997" x14ac:dyDescent="0.45">
      <c r="A85" s="171" t="s">
        <v>3793</v>
      </c>
      <c r="B85" s="171"/>
      <c r="C85" s="184" t="s">
        <v>665</v>
      </c>
      <c r="D85" s="184" t="s">
        <v>666</v>
      </c>
      <c r="E85" s="166"/>
      <c r="F85" s="171" t="s">
        <v>508</v>
      </c>
      <c r="G85" s="172">
        <v>300</v>
      </c>
      <c r="H85" s="168">
        <f t="shared" si="4"/>
        <v>0</v>
      </c>
    </row>
    <row r="86" spans="1:10" ht="126" x14ac:dyDescent="0.45">
      <c r="A86" s="171" t="s">
        <v>3794</v>
      </c>
      <c r="B86" s="171"/>
      <c r="C86" s="184" t="s">
        <v>668</v>
      </c>
      <c r="D86" s="106" t="s">
        <v>669</v>
      </c>
      <c r="E86" s="166"/>
      <c r="F86" s="171" t="s">
        <v>508</v>
      </c>
      <c r="G86" s="172">
        <v>3500</v>
      </c>
      <c r="H86" s="168">
        <f t="shared" si="4"/>
        <v>0</v>
      </c>
    </row>
    <row r="87" spans="1:10" ht="37.799999999999997" x14ac:dyDescent="0.45">
      <c r="A87" s="171" t="s">
        <v>3795</v>
      </c>
      <c r="B87" s="171"/>
      <c r="C87" s="186" t="s">
        <v>671</v>
      </c>
      <c r="D87" s="186" t="s">
        <v>672</v>
      </c>
      <c r="E87" s="166"/>
      <c r="F87" s="171" t="s">
        <v>472</v>
      </c>
      <c r="G87" s="172">
        <v>20</v>
      </c>
      <c r="H87" s="168">
        <f t="shared" si="4"/>
        <v>0</v>
      </c>
    </row>
    <row r="88" spans="1:10" ht="37.799999999999997" x14ac:dyDescent="0.45">
      <c r="A88" s="171" t="s">
        <v>3796</v>
      </c>
      <c r="B88" s="171"/>
      <c r="C88" s="349" t="s">
        <v>5044</v>
      </c>
      <c r="D88" s="186" t="s">
        <v>1377</v>
      </c>
      <c r="E88" s="166"/>
      <c r="F88" s="171" t="s">
        <v>472</v>
      </c>
      <c r="G88" s="172">
        <v>20</v>
      </c>
      <c r="H88" s="168">
        <f t="shared" si="4"/>
        <v>0</v>
      </c>
    </row>
    <row r="89" spans="1:10" ht="302.39999999999998" x14ac:dyDescent="0.45">
      <c r="A89" s="171" t="s">
        <v>3797</v>
      </c>
      <c r="B89" s="171"/>
      <c r="C89" s="106" t="s">
        <v>675</v>
      </c>
      <c r="D89" s="106" t="s">
        <v>676</v>
      </c>
      <c r="E89" s="166"/>
      <c r="F89" s="171" t="s">
        <v>472</v>
      </c>
      <c r="G89" s="172">
        <v>15</v>
      </c>
      <c r="H89" s="168">
        <f t="shared" si="4"/>
        <v>0</v>
      </c>
      <c r="I89" s="169"/>
    </row>
    <row r="90" spans="1:10" x14ac:dyDescent="0.45">
      <c r="A90" s="118" t="s">
        <v>3798</v>
      </c>
      <c r="B90" s="184" t="s">
        <v>180</v>
      </c>
      <c r="D90" s="120"/>
      <c r="E90" s="142"/>
      <c r="F90" s="171"/>
      <c r="G90" s="172"/>
      <c r="H90" s="220"/>
    </row>
    <row r="91" spans="1:10" ht="13" customHeight="1" x14ac:dyDescent="0.45">
      <c r="A91" s="159"/>
      <c r="B91" s="159">
        <v>1503030</v>
      </c>
      <c r="C91" s="159"/>
      <c r="D91" s="159" t="s">
        <v>678</v>
      </c>
      <c r="E91" s="159"/>
      <c r="F91" s="209"/>
      <c r="G91" s="210"/>
      <c r="H91" s="163"/>
    </row>
    <row r="92" spans="1:10" ht="75.599999999999994" x14ac:dyDescent="0.45">
      <c r="A92" s="171" t="s">
        <v>3799</v>
      </c>
      <c r="B92" s="171"/>
      <c r="C92" s="106" t="s">
        <v>680</v>
      </c>
      <c r="D92" s="106" t="s">
        <v>681</v>
      </c>
      <c r="E92" s="166"/>
      <c r="F92" s="171" t="s">
        <v>682</v>
      </c>
      <c r="G92" s="171">
        <v>10</v>
      </c>
      <c r="H92" s="168">
        <f t="shared" ref="H92:H112" si="5">SUM(E92)*G92</f>
        <v>0</v>
      </c>
      <c r="I92" s="169"/>
    </row>
    <row r="93" spans="1:10" ht="75.599999999999994" x14ac:dyDescent="0.45">
      <c r="A93" s="171" t="s">
        <v>3800</v>
      </c>
      <c r="B93" s="171"/>
      <c r="C93" s="106" t="s">
        <v>684</v>
      </c>
      <c r="D93" s="106" t="s">
        <v>685</v>
      </c>
      <c r="E93" s="166"/>
      <c r="F93" s="171" t="s">
        <v>472</v>
      </c>
      <c r="G93" s="171">
        <v>5</v>
      </c>
      <c r="H93" s="168">
        <f t="shared" si="5"/>
        <v>0</v>
      </c>
      <c r="I93" s="169"/>
    </row>
    <row r="94" spans="1:10" ht="75.599999999999994" x14ac:dyDescent="0.45">
      <c r="A94" s="171" t="s">
        <v>3801</v>
      </c>
      <c r="B94" s="171"/>
      <c r="C94" s="106" t="s">
        <v>687</v>
      </c>
      <c r="D94" s="106" t="s">
        <v>688</v>
      </c>
      <c r="E94" s="166"/>
      <c r="F94" s="171" t="s">
        <v>472</v>
      </c>
      <c r="G94" s="171">
        <v>5</v>
      </c>
      <c r="H94" s="168">
        <f t="shared" si="5"/>
        <v>0</v>
      </c>
      <c r="I94" s="169"/>
      <c r="J94" s="187"/>
    </row>
    <row r="95" spans="1:10" ht="75.599999999999994" x14ac:dyDescent="0.45">
      <c r="A95" s="171" t="s">
        <v>3802</v>
      </c>
      <c r="B95" s="171"/>
      <c r="C95" s="106" t="s">
        <v>690</v>
      </c>
      <c r="D95" s="106" t="s">
        <v>691</v>
      </c>
      <c r="E95" s="166"/>
      <c r="F95" s="367" t="s">
        <v>472</v>
      </c>
      <c r="G95" s="171">
        <v>10</v>
      </c>
      <c r="H95" s="168">
        <f t="shared" si="5"/>
        <v>0</v>
      </c>
      <c r="I95" s="169"/>
      <c r="J95" s="187"/>
    </row>
    <row r="96" spans="1:10" ht="75.599999999999994" x14ac:dyDescent="0.45">
      <c r="A96" s="171" t="s">
        <v>3803</v>
      </c>
      <c r="B96" s="171"/>
      <c r="C96" s="106" t="s">
        <v>693</v>
      </c>
      <c r="D96" s="106" t="s">
        <v>694</v>
      </c>
      <c r="E96" s="166"/>
      <c r="F96" s="367" t="s">
        <v>472</v>
      </c>
      <c r="G96" s="171">
        <v>5</v>
      </c>
      <c r="H96" s="168">
        <f t="shared" si="5"/>
        <v>0</v>
      </c>
      <c r="I96" s="169"/>
      <c r="J96" s="187"/>
    </row>
    <row r="97" spans="1:9" ht="75.599999999999994" x14ac:dyDescent="0.45">
      <c r="A97" s="171" t="s">
        <v>3804</v>
      </c>
      <c r="B97" s="171"/>
      <c r="C97" s="106" t="s">
        <v>696</v>
      </c>
      <c r="D97" s="106" t="s">
        <v>697</v>
      </c>
      <c r="E97" s="166"/>
      <c r="F97" s="367" t="s">
        <v>472</v>
      </c>
      <c r="G97" s="171">
        <v>5</v>
      </c>
      <c r="H97" s="168">
        <f t="shared" si="5"/>
        <v>0</v>
      </c>
      <c r="I97" s="169"/>
    </row>
    <row r="98" spans="1:9" ht="75.599999999999994" x14ac:dyDescent="0.45">
      <c r="A98" s="171" t="s">
        <v>3805</v>
      </c>
      <c r="B98" s="171"/>
      <c r="C98" s="106" t="s">
        <v>699</v>
      </c>
      <c r="D98" s="106" t="s">
        <v>700</v>
      </c>
      <c r="E98" s="166"/>
      <c r="F98" s="367" t="s">
        <v>472</v>
      </c>
      <c r="G98" s="171">
        <v>5</v>
      </c>
      <c r="H98" s="168">
        <f t="shared" si="5"/>
        <v>0</v>
      </c>
      <c r="I98" s="169"/>
    </row>
    <row r="99" spans="1:9" ht="88.2" x14ac:dyDescent="0.45">
      <c r="A99" s="171" t="s">
        <v>3806</v>
      </c>
      <c r="B99" s="171"/>
      <c r="C99" s="106" t="s">
        <v>702</v>
      </c>
      <c r="D99" s="106" t="s">
        <v>703</v>
      </c>
      <c r="E99" s="166"/>
      <c r="F99" s="367" t="s">
        <v>472</v>
      </c>
      <c r="G99" s="171">
        <v>5</v>
      </c>
      <c r="H99" s="168">
        <f t="shared" si="5"/>
        <v>0</v>
      </c>
      <c r="I99" s="169"/>
    </row>
    <row r="100" spans="1:9" ht="88.2" x14ac:dyDescent="0.45">
      <c r="A100" s="171" t="s">
        <v>3807</v>
      </c>
      <c r="B100" s="171"/>
      <c r="C100" s="106" t="s">
        <v>705</v>
      </c>
      <c r="D100" s="106" t="s">
        <v>706</v>
      </c>
      <c r="E100" s="166"/>
      <c r="F100" s="367" t="s">
        <v>472</v>
      </c>
      <c r="G100" s="171">
        <v>5</v>
      </c>
      <c r="H100" s="168">
        <f t="shared" si="5"/>
        <v>0</v>
      </c>
      <c r="I100" s="169"/>
    </row>
    <row r="101" spans="1:9" ht="75.599999999999994" x14ac:dyDescent="0.45">
      <c r="A101" s="171" t="s">
        <v>3808</v>
      </c>
      <c r="B101" s="171"/>
      <c r="C101" s="106" t="s">
        <v>708</v>
      </c>
      <c r="D101" s="106" t="s">
        <v>709</v>
      </c>
      <c r="E101" s="166"/>
      <c r="F101" s="367" t="s">
        <v>472</v>
      </c>
      <c r="G101" s="171">
        <v>5</v>
      </c>
      <c r="H101" s="168">
        <f t="shared" si="5"/>
        <v>0</v>
      </c>
      <c r="I101" s="169"/>
    </row>
    <row r="102" spans="1:9" ht="75.599999999999994" x14ac:dyDescent="0.45">
      <c r="A102" s="171" t="s">
        <v>3809</v>
      </c>
      <c r="B102" s="171"/>
      <c r="C102" s="106" t="s">
        <v>711</v>
      </c>
      <c r="D102" s="106" t="s">
        <v>712</v>
      </c>
      <c r="E102" s="166"/>
      <c r="F102" s="367" t="s">
        <v>472</v>
      </c>
      <c r="G102" s="171">
        <v>5</v>
      </c>
      <c r="H102" s="168">
        <f t="shared" si="5"/>
        <v>0</v>
      </c>
      <c r="I102" s="169"/>
    </row>
    <row r="103" spans="1:9" ht="75.599999999999994" x14ac:dyDescent="0.45">
      <c r="A103" s="171" t="s">
        <v>3810</v>
      </c>
      <c r="B103" s="171"/>
      <c r="C103" s="106" t="s">
        <v>714</v>
      </c>
      <c r="D103" s="106" t="s">
        <v>715</v>
      </c>
      <c r="E103" s="166"/>
      <c r="F103" s="367" t="s">
        <v>472</v>
      </c>
      <c r="G103" s="171">
        <v>5</v>
      </c>
      <c r="H103" s="168">
        <f t="shared" si="5"/>
        <v>0</v>
      </c>
      <c r="I103" s="169"/>
    </row>
    <row r="104" spans="1:9" ht="75.599999999999994" x14ac:dyDescent="0.45">
      <c r="A104" s="171" t="s">
        <v>3811</v>
      </c>
      <c r="B104" s="171"/>
      <c r="C104" s="106" t="s">
        <v>717</v>
      </c>
      <c r="D104" s="106" t="s">
        <v>718</v>
      </c>
      <c r="E104" s="166"/>
      <c r="F104" s="367" t="s">
        <v>472</v>
      </c>
      <c r="G104" s="171">
        <v>5</v>
      </c>
      <c r="H104" s="168">
        <f t="shared" si="5"/>
        <v>0</v>
      </c>
      <c r="I104" s="169"/>
    </row>
    <row r="105" spans="1:9" ht="50.4" x14ac:dyDescent="0.45">
      <c r="A105" s="171" t="s">
        <v>3812</v>
      </c>
      <c r="B105" s="171"/>
      <c r="C105" s="106" t="s">
        <v>720</v>
      </c>
      <c r="D105" s="106" t="s">
        <v>721</v>
      </c>
      <c r="E105" s="166"/>
      <c r="F105" s="367" t="s">
        <v>472</v>
      </c>
      <c r="G105" s="188">
        <v>5</v>
      </c>
      <c r="H105" s="168">
        <f t="shared" si="5"/>
        <v>0</v>
      </c>
    </row>
    <row r="106" spans="1:9" ht="63" x14ac:dyDescent="0.45">
      <c r="A106" s="171" t="s">
        <v>3813</v>
      </c>
      <c r="B106" s="171"/>
      <c r="C106" s="106" t="s">
        <v>723</v>
      </c>
      <c r="D106" s="106" t="s">
        <v>724</v>
      </c>
      <c r="E106" s="166"/>
      <c r="F106" s="171" t="s">
        <v>472</v>
      </c>
      <c r="G106" s="171">
        <v>5</v>
      </c>
      <c r="H106" s="168">
        <f t="shared" si="5"/>
        <v>0</v>
      </c>
    </row>
    <row r="107" spans="1:9" ht="63" x14ac:dyDescent="0.45">
      <c r="A107" s="171" t="s">
        <v>3814</v>
      </c>
      <c r="B107" s="171"/>
      <c r="C107" s="106" t="s">
        <v>726</v>
      </c>
      <c r="D107" s="106" t="s">
        <v>727</v>
      </c>
      <c r="E107" s="166"/>
      <c r="F107" s="171" t="s">
        <v>472</v>
      </c>
      <c r="G107" s="171">
        <v>5</v>
      </c>
      <c r="H107" s="168">
        <f t="shared" si="5"/>
        <v>0</v>
      </c>
    </row>
    <row r="108" spans="1:9" ht="50.4" x14ac:dyDescent="0.45">
      <c r="A108" s="171" t="s">
        <v>3815</v>
      </c>
      <c r="B108" s="171"/>
      <c r="C108" s="106" t="s">
        <v>729</v>
      </c>
      <c r="D108" s="189" t="s">
        <v>730</v>
      </c>
      <c r="E108" s="166"/>
      <c r="F108" s="171" t="s">
        <v>472</v>
      </c>
      <c r="G108" s="171">
        <v>5</v>
      </c>
      <c r="H108" s="168">
        <f t="shared" si="5"/>
        <v>0</v>
      </c>
    </row>
    <row r="109" spans="1:9" ht="50.4" x14ac:dyDescent="0.45">
      <c r="A109" s="171" t="s">
        <v>3816</v>
      </c>
      <c r="B109" s="171"/>
      <c r="C109" s="106" t="s">
        <v>732</v>
      </c>
      <c r="D109" s="189" t="s">
        <v>733</v>
      </c>
      <c r="E109" s="166"/>
      <c r="F109" s="171" t="s">
        <v>472</v>
      </c>
      <c r="G109" s="171">
        <v>5</v>
      </c>
      <c r="H109" s="168">
        <f t="shared" si="5"/>
        <v>0</v>
      </c>
    </row>
    <row r="110" spans="1:9" ht="50.4" x14ac:dyDescent="0.45">
      <c r="A110" s="171" t="s">
        <v>3817</v>
      </c>
      <c r="B110" s="171"/>
      <c r="C110" s="106" t="s">
        <v>735</v>
      </c>
      <c r="D110" s="189" t="s">
        <v>736</v>
      </c>
      <c r="E110" s="166"/>
      <c r="F110" s="171" t="s">
        <v>472</v>
      </c>
      <c r="G110" s="171">
        <v>10</v>
      </c>
      <c r="H110" s="168">
        <f t="shared" si="5"/>
        <v>0</v>
      </c>
    </row>
    <row r="111" spans="1:9" ht="63" x14ac:dyDescent="0.45">
      <c r="A111" s="171" t="s">
        <v>3818</v>
      </c>
      <c r="B111" s="171"/>
      <c r="C111" s="106" t="s">
        <v>738</v>
      </c>
      <c r="D111" s="189" t="s">
        <v>739</v>
      </c>
      <c r="E111" s="166"/>
      <c r="F111" s="171" t="s">
        <v>472</v>
      </c>
      <c r="G111" s="171">
        <v>5</v>
      </c>
      <c r="H111" s="168">
        <f t="shared" si="5"/>
        <v>0</v>
      </c>
    </row>
    <row r="112" spans="1:9" s="183" customFormat="1" ht="63" x14ac:dyDescent="0.45">
      <c r="A112" s="185" t="s">
        <v>3819</v>
      </c>
      <c r="B112" s="185"/>
      <c r="C112" s="216" t="s">
        <v>741</v>
      </c>
      <c r="D112" s="216" t="s">
        <v>742</v>
      </c>
      <c r="E112" s="166"/>
      <c r="F112" s="185" t="s">
        <v>472</v>
      </c>
      <c r="G112" s="217">
        <v>20</v>
      </c>
      <c r="H112" s="168">
        <f t="shared" si="5"/>
        <v>0</v>
      </c>
    </row>
    <row r="113" spans="1:8" x14ac:dyDescent="0.45">
      <c r="A113" s="118" t="s">
        <v>3820</v>
      </c>
      <c r="B113" s="184" t="s">
        <v>180</v>
      </c>
      <c r="C113" s="120"/>
      <c r="D113" s="170"/>
      <c r="E113" s="142"/>
      <c r="F113" s="172"/>
      <c r="G113" s="168"/>
      <c r="H113" s="142"/>
    </row>
    <row r="114" spans="1:8" ht="13" customHeight="1" x14ac:dyDescent="0.45">
      <c r="A114" s="159"/>
      <c r="B114" s="159">
        <v>1503050</v>
      </c>
      <c r="C114" s="159"/>
      <c r="D114" s="159" t="s">
        <v>127</v>
      </c>
      <c r="E114" s="159"/>
      <c r="F114" s="209"/>
      <c r="G114" s="210"/>
      <c r="H114" s="163"/>
    </row>
    <row r="115" spans="1:8" ht="88.2" x14ac:dyDescent="0.45">
      <c r="A115" s="118" t="s">
        <v>3821</v>
      </c>
      <c r="B115" s="118"/>
      <c r="C115" s="184" t="s">
        <v>745</v>
      </c>
      <c r="D115" s="120" t="s">
        <v>746</v>
      </c>
      <c r="E115" s="166"/>
      <c r="F115" s="171" t="s">
        <v>508</v>
      </c>
      <c r="G115" s="172">
        <v>10000</v>
      </c>
      <c r="H115" s="168">
        <f t="shared" ref="H115:H134" si="6">SUM(E115)*G115</f>
        <v>0</v>
      </c>
    </row>
    <row r="116" spans="1:8" ht="63" x14ac:dyDescent="0.45">
      <c r="A116" s="171" t="s">
        <v>3822</v>
      </c>
      <c r="B116" s="171"/>
      <c r="C116" s="106" t="s">
        <v>748</v>
      </c>
      <c r="D116" s="106" t="s">
        <v>749</v>
      </c>
      <c r="E116" s="166"/>
      <c r="F116" s="171" t="s">
        <v>750</v>
      </c>
      <c r="G116" s="172">
        <v>3000</v>
      </c>
      <c r="H116" s="168">
        <f t="shared" si="6"/>
        <v>0</v>
      </c>
    </row>
    <row r="117" spans="1:8" ht="37.799999999999997" x14ac:dyDescent="0.45">
      <c r="A117" s="171" t="s">
        <v>3823</v>
      </c>
      <c r="B117" s="171"/>
      <c r="C117" s="106" t="s">
        <v>752</v>
      </c>
      <c r="D117" s="106" t="s">
        <v>753</v>
      </c>
      <c r="E117" s="166"/>
      <c r="F117" s="171" t="s">
        <v>508</v>
      </c>
      <c r="G117" s="172">
        <v>10000</v>
      </c>
      <c r="H117" s="168">
        <f t="shared" si="6"/>
        <v>0</v>
      </c>
    </row>
    <row r="118" spans="1:8" ht="63" x14ac:dyDescent="0.45">
      <c r="A118" s="171" t="s">
        <v>3824</v>
      </c>
      <c r="B118" s="171"/>
      <c r="C118" s="106" t="s">
        <v>755</v>
      </c>
      <c r="D118" s="106" t="s">
        <v>756</v>
      </c>
      <c r="E118" s="166"/>
      <c r="F118" s="171" t="s">
        <v>508</v>
      </c>
      <c r="G118" s="172">
        <v>10000</v>
      </c>
      <c r="H118" s="168">
        <f t="shared" si="6"/>
        <v>0</v>
      </c>
    </row>
    <row r="119" spans="1:8" ht="88.2" x14ac:dyDescent="0.45">
      <c r="A119" s="171" t="s">
        <v>3825</v>
      </c>
      <c r="B119" s="171"/>
      <c r="C119" s="106" t="s">
        <v>758</v>
      </c>
      <c r="D119" s="106" t="s">
        <v>759</v>
      </c>
      <c r="E119" s="166"/>
      <c r="F119" s="171" t="s">
        <v>472</v>
      </c>
      <c r="G119" s="172">
        <v>150</v>
      </c>
      <c r="H119" s="168">
        <f t="shared" si="6"/>
        <v>0</v>
      </c>
    </row>
    <row r="120" spans="1:8" ht="88.2" x14ac:dyDescent="0.45">
      <c r="A120" s="171" t="s">
        <v>3826</v>
      </c>
      <c r="B120" s="171"/>
      <c r="C120" s="106" t="s">
        <v>761</v>
      </c>
      <c r="D120" s="106" t="s">
        <v>759</v>
      </c>
      <c r="E120" s="166"/>
      <c r="F120" s="171" t="s">
        <v>750</v>
      </c>
      <c r="G120" s="172">
        <v>2000</v>
      </c>
      <c r="H120" s="168">
        <f t="shared" si="6"/>
        <v>0</v>
      </c>
    </row>
    <row r="121" spans="1:8" ht="151.19999999999999" x14ac:dyDescent="0.45">
      <c r="A121" s="171" t="s">
        <v>3827</v>
      </c>
      <c r="B121" s="171"/>
      <c r="C121" s="106" t="s">
        <v>763</v>
      </c>
      <c r="D121" s="106" t="s">
        <v>764</v>
      </c>
      <c r="E121" s="166"/>
      <c r="F121" s="171" t="s">
        <v>472</v>
      </c>
      <c r="G121" s="171">
        <v>150</v>
      </c>
      <c r="H121" s="168">
        <f t="shared" si="6"/>
        <v>0</v>
      </c>
    </row>
    <row r="122" spans="1:8" ht="151.19999999999999" x14ac:dyDescent="0.45">
      <c r="A122" s="171" t="s">
        <v>3828</v>
      </c>
      <c r="B122" s="171"/>
      <c r="C122" s="106" t="s">
        <v>766</v>
      </c>
      <c r="D122" s="106" t="s">
        <v>764</v>
      </c>
      <c r="E122" s="166"/>
      <c r="F122" s="171" t="s">
        <v>472</v>
      </c>
      <c r="G122" s="171">
        <v>150</v>
      </c>
      <c r="H122" s="168">
        <f t="shared" si="6"/>
        <v>0</v>
      </c>
    </row>
    <row r="123" spans="1:8" ht="63" x14ac:dyDescent="0.45">
      <c r="A123" s="171" t="s">
        <v>3829</v>
      </c>
      <c r="B123" s="171"/>
      <c r="C123" s="106" t="s">
        <v>768</v>
      </c>
      <c r="D123" s="106" t="s">
        <v>769</v>
      </c>
      <c r="E123" s="166"/>
      <c r="F123" s="171" t="s">
        <v>472</v>
      </c>
      <c r="G123" s="171">
        <v>25</v>
      </c>
      <c r="H123" s="168">
        <f t="shared" si="6"/>
        <v>0</v>
      </c>
    </row>
    <row r="124" spans="1:8" ht="63" x14ac:dyDescent="0.45">
      <c r="A124" s="171" t="s">
        <v>3830</v>
      </c>
      <c r="B124" s="171"/>
      <c r="C124" s="106" t="s">
        <v>771</v>
      </c>
      <c r="D124" s="106" t="s">
        <v>772</v>
      </c>
      <c r="E124" s="166"/>
      <c r="F124" s="171" t="s">
        <v>472</v>
      </c>
      <c r="G124" s="171">
        <v>50</v>
      </c>
      <c r="H124" s="168">
        <f t="shared" si="6"/>
        <v>0</v>
      </c>
    </row>
    <row r="125" spans="1:8" ht="63" x14ac:dyDescent="0.45">
      <c r="A125" s="171" t="s">
        <v>3831</v>
      </c>
      <c r="B125" s="171"/>
      <c r="C125" s="106" t="s">
        <v>774</v>
      </c>
      <c r="D125" s="106" t="s">
        <v>772</v>
      </c>
      <c r="E125" s="166"/>
      <c r="F125" s="171" t="s">
        <v>472</v>
      </c>
      <c r="G125" s="171">
        <v>50</v>
      </c>
      <c r="H125" s="168">
        <f t="shared" si="6"/>
        <v>0</v>
      </c>
    </row>
    <row r="126" spans="1:8" ht="50.4" x14ac:dyDescent="0.45">
      <c r="A126" s="171" t="s">
        <v>3832</v>
      </c>
      <c r="B126" s="171"/>
      <c r="C126" s="106" t="s">
        <v>776</v>
      </c>
      <c r="D126" s="106" t="s">
        <v>777</v>
      </c>
      <c r="E126" s="166"/>
      <c r="F126" s="171" t="s">
        <v>472</v>
      </c>
      <c r="G126" s="171">
        <v>100</v>
      </c>
      <c r="H126" s="168">
        <f t="shared" si="6"/>
        <v>0</v>
      </c>
    </row>
    <row r="127" spans="1:8" ht="113.4" x14ac:dyDescent="0.45">
      <c r="A127" s="171" t="s">
        <v>3833</v>
      </c>
      <c r="B127" s="171"/>
      <c r="C127" s="106" t="s">
        <v>779</v>
      </c>
      <c r="D127" s="106" t="s">
        <v>780</v>
      </c>
      <c r="E127" s="166"/>
      <c r="F127" s="171" t="s">
        <v>472</v>
      </c>
      <c r="G127" s="171">
        <v>150</v>
      </c>
      <c r="H127" s="168">
        <f t="shared" si="6"/>
        <v>0</v>
      </c>
    </row>
    <row r="128" spans="1:8" ht="113.4" x14ac:dyDescent="0.45">
      <c r="A128" s="171" t="s">
        <v>3834</v>
      </c>
      <c r="B128" s="171"/>
      <c r="C128" s="106" t="s">
        <v>782</v>
      </c>
      <c r="D128" s="106" t="s">
        <v>783</v>
      </c>
      <c r="E128" s="166"/>
      <c r="F128" s="171" t="s">
        <v>472</v>
      </c>
      <c r="G128" s="171">
        <v>150</v>
      </c>
      <c r="H128" s="168">
        <f t="shared" si="6"/>
        <v>0</v>
      </c>
    </row>
    <row r="129" spans="1:8" ht="100.8" x14ac:dyDescent="0.45">
      <c r="A129" s="171" t="s">
        <v>3835</v>
      </c>
      <c r="B129" s="171"/>
      <c r="C129" s="106" t="s">
        <v>785</v>
      </c>
      <c r="D129" s="106" t="s">
        <v>786</v>
      </c>
      <c r="E129" s="166"/>
      <c r="F129" s="171" t="s">
        <v>472</v>
      </c>
      <c r="G129" s="171">
        <v>150</v>
      </c>
      <c r="H129" s="168">
        <f t="shared" si="6"/>
        <v>0</v>
      </c>
    </row>
    <row r="130" spans="1:8" ht="75.599999999999994" x14ac:dyDescent="0.45">
      <c r="A130" s="171" t="s">
        <v>3836</v>
      </c>
      <c r="B130" s="171"/>
      <c r="C130" s="106" t="s">
        <v>788</v>
      </c>
      <c r="D130" s="106" t="s">
        <v>789</v>
      </c>
      <c r="E130" s="166"/>
      <c r="F130" s="171" t="s">
        <v>508</v>
      </c>
      <c r="G130" s="171">
        <v>5000</v>
      </c>
      <c r="H130" s="168">
        <f t="shared" si="6"/>
        <v>0</v>
      </c>
    </row>
    <row r="131" spans="1:8" ht="88.2" x14ac:dyDescent="0.45">
      <c r="A131" s="171" t="s">
        <v>3837</v>
      </c>
      <c r="B131" s="171"/>
      <c r="C131" s="106" t="s">
        <v>791</v>
      </c>
      <c r="D131" s="106" t="s">
        <v>792</v>
      </c>
      <c r="E131" s="166"/>
      <c r="F131" s="171" t="s">
        <v>508</v>
      </c>
      <c r="G131" s="171">
        <v>1750</v>
      </c>
      <c r="H131" s="168">
        <f t="shared" si="6"/>
        <v>0</v>
      </c>
    </row>
    <row r="132" spans="1:8" ht="75.599999999999994" x14ac:dyDescent="0.45">
      <c r="A132" s="171" t="s">
        <v>3838</v>
      </c>
      <c r="B132" s="171"/>
      <c r="C132" s="106" t="s">
        <v>794</v>
      </c>
      <c r="D132" s="106" t="s">
        <v>795</v>
      </c>
      <c r="E132" s="166"/>
      <c r="F132" s="171" t="s">
        <v>508</v>
      </c>
      <c r="G132" s="171">
        <v>6000</v>
      </c>
      <c r="H132" s="168">
        <f t="shared" si="6"/>
        <v>0</v>
      </c>
    </row>
    <row r="133" spans="1:8" ht="75.599999999999994" x14ac:dyDescent="0.45">
      <c r="A133" s="171" t="s">
        <v>3839</v>
      </c>
      <c r="B133" s="171"/>
      <c r="C133" s="106" t="s">
        <v>797</v>
      </c>
      <c r="D133" s="106" t="s">
        <v>798</v>
      </c>
      <c r="E133" s="166"/>
      <c r="F133" s="171" t="s">
        <v>682</v>
      </c>
      <c r="G133" s="171">
        <v>450</v>
      </c>
      <c r="H133" s="168">
        <f t="shared" si="6"/>
        <v>0</v>
      </c>
    </row>
    <row r="134" spans="1:8" ht="75.599999999999994" x14ac:dyDescent="0.45">
      <c r="A134" s="171" t="s">
        <v>3840</v>
      </c>
      <c r="B134" s="171"/>
      <c r="C134" s="106" t="s">
        <v>800</v>
      </c>
      <c r="D134" s="106" t="s">
        <v>801</v>
      </c>
      <c r="E134" s="166"/>
      <c r="F134" s="171" t="s">
        <v>508</v>
      </c>
      <c r="G134" s="172">
        <v>12000</v>
      </c>
      <c r="H134" s="168">
        <f t="shared" si="6"/>
        <v>0</v>
      </c>
    </row>
    <row r="135" spans="1:8" x14ac:dyDescent="0.45">
      <c r="A135" s="118" t="s">
        <v>3841</v>
      </c>
      <c r="B135" s="184" t="s">
        <v>180</v>
      </c>
      <c r="D135" s="120"/>
      <c r="E135" s="142"/>
      <c r="F135" s="171"/>
      <c r="G135" s="172"/>
      <c r="H135" s="168"/>
    </row>
    <row r="136" spans="1:8" x14ac:dyDescent="0.45">
      <c r="A136" s="159"/>
      <c r="B136" s="159">
        <v>1503060</v>
      </c>
      <c r="C136" s="159"/>
      <c r="D136" s="159" t="s">
        <v>138</v>
      </c>
      <c r="E136" s="159"/>
      <c r="F136" s="159"/>
      <c r="G136" s="210"/>
      <c r="H136" s="163"/>
    </row>
    <row r="137" spans="1:8" ht="113.4" x14ac:dyDescent="0.45">
      <c r="A137" s="171" t="s">
        <v>3842</v>
      </c>
      <c r="B137" s="171"/>
      <c r="C137" s="106" t="s">
        <v>138</v>
      </c>
      <c r="D137" s="106" t="s">
        <v>804</v>
      </c>
      <c r="E137" s="166"/>
      <c r="F137" s="171" t="s">
        <v>508</v>
      </c>
      <c r="G137" s="172">
        <v>800000</v>
      </c>
      <c r="H137" s="168">
        <f>SUM(E137)*G137</f>
        <v>0</v>
      </c>
    </row>
    <row r="138" spans="1:8" ht="88.2" x14ac:dyDescent="0.45">
      <c r="A138" s="171" t="s">
        <v>3843</v>
      </c>
      <c r="B138" s="171"/>
      <c r="C138" s="106" t="s">
        <v>806</v>
      </c>
      <c r="D138" s="106" t="s">
        <v>807</v>
      </c>
      <c r="E138" s="166"/>
      <c r="F138" s="171" t="s">
        <v>508</v>
      </c>
      <c r="G138" s="172">
        <v>13000</v>
      </c>
      <c r="H138" s="168">
        <f>SUM(E138)*G138</f>
        <v>0</v>
      </c>
    </row>
    <row r="139" spans="1:8" x14ac:dyDescent="0.45">
      <c r="A139" s="118" t="s">
        <v>3844</v>
      </c>
      <c r="B139" s="184" t="s">
        <v>180</v>
      </c>
      <c r="D139" s="120"/>
      <c r="E139" s="142"/>
      <c r="F139" s="171"/>
      <c r="G139" s="172"/>
      <c r="H139" s="168"/>
    </row>
    <row r="140" spans="1:8" ht="13" customHeight="1" x14ac:dyDescent="0.45">
      <c r="A140" s="159"/>
      <c r="B140" s="159">
        <v>1700000</v>
      </c>
      <c r="C140" s="159"/>
      <c r="D140" s="159" t="s">
        <v>171</v>
      </c>
      <c r="E140" s="159"/>
      <c r="F140" s="159"/>
      <c r="G140" s="210"/>
      <c r="H140" s="163"/>
    </row>
    <row r="141" spans="1:8" ht="75.599999999999994" x14ac:dyDescent="0.45">
      <c r="A141" s="171" t="s">
        <v>3845</v>
      </c>
      <c r="B141" s="171"/>
      <c r="C141" s="106" t="s">
        <v>810</v>
      </c>
      <c r="D141" s="106" t="s">
        <v>811</v>
      </c>
      <c r="E141" s="166"/>
      <c r="F141" s="171" t="s">
        <v>633</v>
      </c>
      <c r="G141" s="171">
        <v>45</v>
      </c>
      <c r="H141" s="168">
        <f>SUM(E141)*G141</f>
        <v>0</v>
      </c>
    </row>
    <row r="142" spans="1:8" ht="75.599999999999994" x14ac:dyDescent="0.45">
      <c r="A142" s="171" t="s">
        <v>3846</v>
      </c>
      <c r="B142" s="171"/>
      <c r="C142" s="106" t="s">
        <v>813</v>
      </c>
      <c r="D142" s="106" t="s">
        <v>814</v>
      </c>
      <c r="E142" s="166"/>
      <c r="F142" s="171" t="s">
        <v>633</v>
      </c>
      <c r="G142" s="171">
        <v>45</v>
      </c>
      <c r="H142" s="168">
        <f>SUM(E142)*G142</f>
        <v>0</v>
      </c>
    </row>
    <row r="143" spans="1:8" x14ac:dyDescent="0.45">
      <c r="A143" s="118" t="s">
        <v>3847</v>
      </c>
      <c r="B143" s="184" t="s">
        <v>180</v>
      </c>
      <c r="D143" s="120"/>
      <c r="E143" s="142"/>
      <c r="F143" s="171"/>
      <c r="G143" s="172"/>
      <c r="H143" s="220"/>
    </row>
    <row r="144" spans="1:8" ht="13" customHeight="1" x14ac:dyDescent="0.45">
      <c r="A144" s="159"/>
      <c r="B144" s="159">
        <v>1800000</v>
      </c>
      <c r="C144" s="159"/>
      <c r="D144" s="159" t="s">
        <v>174</v>
      </c>
      <c r="E144" s="159"/>
      <c r="F144" s="209"/>
      <c r="G144" s="210"/>
      <c r="H144" s="163"/>
    </row>
    <row r="145" spans="1:8" ht="176.4" x14ac:dyDescent="0.45">
      <c r="A145" s="171" t="s">
        <v>3848</v>
      </c>
      <c r="B145" s="171"/>
      <c r="C145" s="186" t="s">
        <v>817</v>
      </c>
      <c r="D145" s="186" t="s">
        <v>818</v>
      </c>
      <c r="E145" s="166"/>
      <c r="F145" s="171" t="s">
        <v>472</v>
      </c>
      <c r="G145" s="171">
        <v>25</v>
      </c>
      <c r="H145" s="168">
        <f t="shared" ref="H145:H208" si="7">SUM(E145)*G145</f>
        <v>0</v>
      </c>
    </row>
    <row r="146" spans="1:8" ht="176.4" x14ac:dyDescent="0.45">
      <c r="A146" s="171" t="s">
        <v>3849</v>
      </c>
      <c r="B146" s="171"/>
      <c r="C146" s="186" t="s">
        <v>820</v>
      </c>
      <c r="D146" s="186" t="s">
        <v>818</v>
      </c>
      <c r="E146" s="166"/>
      <c r="F146" s="171" t="s">
        <v>472</v>
      </c>
      <c r="G146" s="171">
        <v>20</v>
      </c>
      <c r="H146" s="168">
        <f t="shared" si="7"/>
        <v>0</v>
      </c>
    </row>
    <row r="147" spans="1:8" ht="176.4" x14ac:dyDescent="0.45">
      <c r="A147" s="171" t="s">
        <v>3850</v>
      </c>
      <c r="B147" s="171"/>
      <c r="C147" s="106" t="s">
        <v>822</v>
      </c>
      <c r="D147" s="106" t="s">
        <v>823</v>
      </c>
      <c r="E147" s="166"/>
      <c r="F147" s="171" t="s">
        <v>472</v>
      </c>
      <c r="G147" s="171">
        <v>6</v>
      </c>
      <c r="H147" s="168">
        <f t="shared" si="7"/>
        <v>0</v>
      </c>
    </row>
    <row r="148" spans="1:8" ht="176.4" x14ac:dyDescent="0.45">
      <c r="A148" s="171" t="s">
        <v>3851</v>
      </c>
      <c r="B148" s="171"/>
      <c r="C148" s="106" t="s">
        <v>825</v>
      </c>
      <c r="D148" s="106" t="s">
        <v>823</v>
      </c>
      <c r="E148" s="166"/>
      <c r="F148" s="171" t="s">
        <v>472</v>
      </c>
      <c r="G148" s="172">
        <v>1</v>
      </c>
      <c r="H148" s="168">
        <f t="shared" si="7"/>
        <v>0</v>
      </c>
    </row>
    <row r="149" spans="1:8" ht="176.4" x14ac:dyDescent="0.45">
      <c r="A149" s="171" t="s">
        <v>3852</v>
      </c>
      <c r="B149" s="171"/>
      <c r="C149" s="106" t="s">
        <v>827</v>
      </c>
      <c r="D149" s="106" t="s">
        <v>828</v>
      </c>
      <c r="E149" s="166"/>
      <c r="F149" s="171" t="s">
        <v>472</v>
      </c>
      <c r="G149" s="172">
        <v>1</v>
      </c>
      <c r="H149" s="168">
        <f t="shared" si="7"/>
        <v>0</v>
      </c>
    </row>
    <row r="150" spans="1:8" ht="50.4" x14ac:dyDescent="0.45">
      <c r="A150" s="171" t="s">
        <v>3853</v>
      </c>
      <c r="B150" s="171"/>
      <c r="C150" s="106" t="s">
        <v>830</v>
      </c>
      <c r="D150" s="106" t="s">
        <v>831</v>
      </c>
      <c r="E150" s="166"/>
      <c r="F150" s="171" t="s">
        <v>543</v>
      </c>
      <c r="G150" s="172">
        <v>33000</v>
      </c>
      <c r="H150" s="168">
        <f t="shared" si="7"/>
        <v>0</v>
      </c>
    </row>
    <row r="151" spans="1:8" ht="63" x14ac:dyDescent="0.45">
      <c r="A151" s="171" t="s">
        <v>3854</v>
      </c>
      <c r="B151" s="171"/>
      <c r="C151" s="186" t="s">
        <v>833</v>
      </c>
      <c r="D151" s="186" t="s">
        <v>1436</v>
      </c>
      <c r="E151" s="166"/>
      <c r="F151" s="171" t="s">
        <v>543</v>
      </c>
      <c r="G151" s="172">
        <v>2400</v>
      </c>
      <c r="H151" s="168">
        <f t="shared" si="7"/>
        <v>0</v>
      </c>
    </row>
    <row r="152" spans="1:8" ht="63" x14ac:dyDescent="0.45">
      <c r="A152" s="171" t="s">
        <v>3855</v>
      </c>
      <c r="B152" s="171"/>
      <c r="C152" s="186" t="s">
        <v>835</v>
      </c>
      <c r="D152" s="186" t="s">
        <v>1438</v>
      </c>
      <c r="E152" s="166"/>
      <c r="F152" s="171" t="s">
        <v>543</v>
      </c>
      <c r="G152" s="172">
        <v>7000</v>
      </c>
      <c r="H152" s="168">
        <f t="shared" si="7"/>
        <v>0</v>
      </c>
    </row>
    <row r="153" spans="1:8" ht="63" x14ac:dyDescent="0.45">
      <c r="A153" s="171" t="s">
        <v>3856</v>
      </c>
      <c r="B153" s="171"/>
      <c r="C153" s="186" t="s">
        <v>837</v>
      </c>
      <c r="D153" s="186" t="s">
        <v>1440</v>
      </c>
      <c r="E153" s="166"/>
      <c r="F153" s="171" t="s">
        <v>543</v>
      </c>
      <c r="G153" s="172">
        <v>1750</v>
      </c>
      <c r="H153" s="168">
        <f t="shared" si="7"/>
        <v>0</v>
      </c>
    </row>
    <row r="154" spans="1:8" ht="63" x14ac:dyDescent="0.45">
      <c r="A154" s="171" t="s">
        <v>3857</v>
      </c>
      <c r="B154" s="171"/>
      <c r="C154" s="186" t="s">
        <v>839</v>
      </c>
      <c r="D154" s="186" t="s">
        <v>1442</v>
      </c>
      <c r="E154" s="166"/>
      <c r="F154" s="171" t="s">
        <v>543</v>
      </c>
      <c r="G154" s="172">
        <v>300</v>
      </c>
      <c r="H154" s="168">
        <f t="shared" si="7"/>
        <v>0</v>
      </c>
    </row>
    <row r="155" spans="1:8" ht="63" x14ac:dyDescent="0.45">
      <c r="A155" s="171" t="s">
        <v>3858</v>
      </c>
      <c r="B155" s="171"/>
      <c r="C155" s="186" t="s">
        <v>841</v>
      </c>
      <c r="D155" s="186" t="s">
        <v>1444</v>
      </c>
      <c r="E155" s="166"/>
      <c r="F155" s="171" t="s">
        <v>543</v>
      </c>
      <c r="G155" s="172">
        <v>5880</v>
      </c>
      <c r="H155" s="168">
        <f t="shared" si="7"/>
        <v>0</v>
      </c>
    </row>
    <row r="156" spans="1:8" ht="63" x14ac:dyDescent="0.45">
      <c r="A156" s="171" t="s">
        <v>3859</v>
      </c>
      <c r="B156" s="171"/>
      <c r="C156" s="186" t="s">
        <v>843</v>
      </c>
      <c r="D156" s="186" t="s">
        <v>1446</v>
      </c>
      <c r="E156" s="166"/>
      <c r="F156" s="171" t="s">
        <v>543</v>
      </c>
      <c r="G156" s="172">
        <v>1020</v>
      </c>
      <c r="H156" s="168">
        <f t="shared" si="7"/>
        <v>0</v>
      </c>
    </row>
    <row r="157" spans="1:8" ht="63" x14ac:dyDescent="0.45">
      <c r="A157" s="171" t="s">
        <v>3860</v>
      </c>
      <c r="B157" s="171"/>
      <c r="C157" s="186" t="s">
        <v>845</v>
      </c>
      <c r="D157" s="186" t="s">
        <v>1438</v>
      </c>
      <c r="E157" s="166"/>
      <c r="F157" s="171" t="s">
        <v>543</v>
      </c>
      <c r="G157" s="172">
        <v>3000</v>
      </c>
      <c r="H157" s="168">
        <f t="shared" si="7"/>
        <v>0</v>
      </c>
    </row>
    <row r="158" spans="1:8" ht="63" x14ac:dyDescent="0.45">
      <c r="A158" s="171" t="s">
        <v>3861</v>
      </c>
      <c r="B158" s="171"/>
      <c r="C158" s="186" t="s">
        <v>837</v>
      </c>
      <c r="D158" s="186" t="s">
        <v>1440</v>
      </c>
      <c r="E158" s="166"/>
      <c r="F158" s="171" t="s">
        <v>543</v>
      </c>
      <c r="G158" s="172">
        <v>750</v>
      </c>
      <c r="H158" s="168">
        <f t="shared" si="7"/>
        <v>0</v>
      </c>
    </row>
    <row r="159" spans="1:8" ht="63" x14ac:dyDescent="0.45">
      <c r="A159" s="171" t="s">
        <v>3862</v>
      </c>
      <c r="B159" s="171"/>
      <c r="C159" s="186" t="s">
        <v>839</v>
      </c>
      <c r="D159" s="186" t="s">
        <v>1442</v>
      </c>
      <c r="E159" s="166"/>
      <c r="F159" s="171" t="s">
        <v>543</v>
      </c>
      <c r="G159" s="172">
        <v>125</v>
      </c>
      <c r="H159" s="168">
        <f t="shared" si="7"/>
        <v>0</v>
      </c>
    </row>
    <row r="160" spans="1:8" ht="63" x14ac:dyDescent="0.45">
      <c r="A160" s="171" t="s">
        <v>3863</v>
      </c>
      <c r="B160" s="171"/>
      <c r="C160" s="186" t="s">
        <v>849</v>
      </c>
      <c r="D160" s="186" t="s">
        <v>1451</v>
      </c>
      <c r="E160" s="166"/>
      <c r="F160" s="171" t="s">
        <v>543</v>
      </c>
      <c r="G160" s="172">
        <v>2050</v>
      </c>
      <c r="H160" s="168">
        <f t="shared" si="7"/>
        <v>0</v>
      </c>
    </row>
    <row r="161" spans="1:8" ht="50.4" x14ac:dyDescent="0.45">
      <c r="A161" s="171" t="s">
        <v>3864</v>
      </c>
      <c r="B161" s="171"/>
      <c r="C161" s="106" t="s">
        <v>851</v>
      </c>
      <c r="D161" s="106" t="s">
        <v>852</v>
      </c>
      <c r="E161" s="166"/>
      <c r="F161" s="171" t="s">
        <v>543</v>
      </c>
      <c r="G161" s="172">
        <v>15000</v>
      </c>
      <c r="H161" s="168">
        <f t="shared" si="7"/>
        <v>0</v>
      </c>
    </row>
    <row r="162" spans="1:8" ht="63" x14ac:dyDescent="0.45">
      <c r="A162" s="171" t="s">
        <v>3865</v>
      </c>
      <c r="B162" s="171"/>
      <c r="C162" s="106" t="s">
        <v>854</v>
      </c>
      <c r="D162" s="106" t="s">
        <v>855</v>
      </c>
      <c r="E162" s="166"/>
      <c r="F162" s="171" t="s">
        <v>472</v>
      </c>
      <c r="G162" s="171">
        <v>10</v>
      </c>
      <c r="H162" s="168">
        <f t="shared" si="7"/>
        <v>0</v>
      </c>
    </row>
    <row r="163" spans="1:8" ht="63" x14ac:dyDescent="0.45">
      <c r="A163" s="171" t="s">
        <v>3866</v>
      </c>
      <c r="B163" s="171"/>
      <c r="C163" s="106" t="s">
        <v>857</v>
      </c>
      <c r="D163" s="184" t="s">
        <v>858</v>
      </c>
      <c r="E163" s="166"/>
      <c r="F163" s="171" t="s">
        <v>543</v>
      </c>
      <c r="G163" s="172">
        <v>33000</v>
      </c>
      <c r="H163" s="168">
        <f t="shared" si="7"/>
        <v>0</v>
      </c>
    </row>
    <row r="164" spans="1:8" ht="63" x14ac:dyDescent="0.45">
      <c r="A164" s="171" t="s">
        <v>3867</v>
      </c>
      <c r="B164" s="171"/>
      <c r="C164" s="106" t="s">
        <v>860</v>
      </c>
      <c r="D164" s="184" t="s">
        <v>861</v>
      </c>
      <c r="E164" s="166"/>
      <c r="F164" s="171" t="s">
        <v>543</v>
      </c>
      <c r="G164" s="172">
        <v>39000</v>
      </c>
      <c r="H164" s="168">
        <f t="shared" si="7"/>
        <v>0</v>
      </c>
    </row>
    <row r="165" spans="1:8" ht="37.799999999999997" x14ac:dyDescent="0.45">
      <c r="A165" s="171" t="s">
        <v>3868</v>
      </c>
      <c r="B165" s="171"/>
      <c r="C165" s="106" t="s">
        <v>863</v>
      </c>
      <c r="D165" s="106" t="s">
        <v>864</v>
      </c>
      <c r="E165" s="166"/>
      <c r="F165" s="171" t="s">
        <v>472</v>
      </c>
      <c r="G165" s="171">
        <v>10</v>
      </c>
      <c r="H165" s="168">
        <f t="shared" si="7"/>
        <v>0</v>
      </c>
    </row>
    <row r="166" spans="1:8" ht="37.799999999999997" x14ac:dyDescent="0.45">
      <c r="A166" s="171" t="s">
        <v>3869</v>
      </c>
      <c r="B166" s="171"/>
      <c r="C166" s="106" t="s">
        <v>866</v>
      </c>
      <c r="D166" s="106" t="s">
        <v>864</v>
      </c>
      <c r="E166" s="166"/>
      <c r="F166" s="171" t="s">
        <v>472</v>
      </c>
      <c r="G166" s="171">
        <v>10</v>
      </c>
      <c r="H166" s="168">
        <f t="shared" si="7"/>
        <v>0</v>
      </c>
    </row>
    <row r="167" spans="1:8" ht="37.799999999999997" x14ac:dyDescent="0.45">
      <c r="A167" s="171" t="s">
        <v>3870</v>
      </c>
      <c r="B167" s="171"/>
      <c r="C167" s="106" t="s">
        <v>868</v>
      </c>
      <c r="D167" s="106" t="s">
        <v>869</v>
      </c>
      <c r="E167" s="166"/>
      <c r="F167" s="171" t="s">
        <v>472</v>
      </c>
      <c r="G167" s="171">
        <v>10</v>
      </c>
      <c r="H167" s="168">
        <f t="shared" si="7"/>
        <v>0</v>
      </c>
    </row>
    <row r="168" spans="1:8" ht="37.799999999999997" x14ac:dyDescent="0.45">
      <c r="A168" s="171" t="s">
        <v>3871</v>
      </c>
      <c r="B168" s="171"/>
      <c r="C168" s="106" t="s">
        <v>871</v>
      </c>
      <c r="D168" s="106" t="s">
        <v>869</v>
      </c>
      <c r="E168" s="166"/>
      <c r="F168" s="171" t="s">
        <v>472</v>
      </c>
      <c r="G168" s="171">
        <v>10</v>
      </c>
      <c r="H168" s="168">
        <f t="shared" si="7"/>
        <v>0</v>
      </c>
    </row>
    <row r="169" spans="1:8" ht="37.799999999999997" x14ac:dyDescent="0.45">
      <c r="A169" s="171" t="s">
        <v>3872</v>
      </c>
      <c r="B169" s="171"/>
      <c r="C169" s="106" t="s">
        <v>873</v>
      </c>
      <c r="D169" s="106" t="s">
        <v>864</v>
      </c>
      <c r="E169" s="166"/>
      <c r="F169" s="171" t="s">
        <v>472</v>
      </c>
      <c r="G169" s="171">
        <v>10</v>
      </c>
      <c r="H169" s="168">
        <f t="shared" si="7"/>
        <v>0</v>
      </c>
    </row>
    <row r="170" spans="1:8" ht="37.799999999999997" x14ac:dyDescent="0.45">
      <c r="A170" s="171" t="s">
        <v>3873</v>
      </c>
      <c r="B170" s="171"/>
      <c r="C170" s="106" t="s">
        <v>875</v>
      </c>
      <c r="D170" s="106" t="s">
        <v>864</v>
      </c>
      <c r="E170" s="166"/>
      <c r="F170" s="171" t="s">
        <v>472</v>
      </c>
      <c r="G170" s="171">
        <v>10</v>
      </c>
      <c r="H170" s="168">
        <f t="shared" si="7"/>
        <v>0</v>
      </c>
    </row>
    <row r="171" spans="1:8" ht="37.799999999999997" x14ac:dyDescent="0.45">
      <c r="A171" s="171" t="s">
        <v>3874</v>
      </c>
      <c r="B171" s="171"/>
      <c r="C171" s="106" t="s">
        <v>877</v>
      </c>
      <c r="D171" s="106" t="s">
        <v>864</v>
      </c>
      <c r="E171" s="166"/>
      <c r="F171" s="171" t="s">
        <v>472</v>
      </c>
      <c r="G171" s="171">
        <v>10</v>
      </c>
      <c r="H171" s="168">
        <f t="shared" si="7"/>
        <v>0</v>
      </c>
    </row>
    <row r="172" spans="1:8" ht="37.799999999999997" x14ac:dyDescent="0.45">
      <c r="A172" s="171" t="s">
        <v>3875</v>
      </c>
      <c r="B172" s="171"/>
      <c r="C172" s="106" t="s">
        <v>879</v>
      </c>
      <c r="D172" s="106" t="s">
        <v>864</v>
      </c>
      <c r="E172" s="166"/>
      <c r="F172" s="171" t="s">
        <v>472</v>
      </c>
      <c r="G172" s="171">
        <v>10</v>
      </c>
      <c r="H172" s="168">
        <f t="shared" si="7"/>
        <v>0</v>
      </c>
    </row>
    <row r="173" spans="1:8" ht="37.799999999999997" x14ac:dyDescent="0.45">
      <c r="A173" s="171" t="s">
        <v>3876</v>
      </c>
      <c r="B173" s="171"/>
      <c r="C173" s="106" t="s">
        <v>881</v>
      </c>
      <c r="D173" s="106" t="s">
        <v>864</v>
      </c>
      <c r="E173" s="166"/>
      <c r="F173" s="171" t="s">
        <v>472</v>
      </c>
      <c r="G173" s="171">
        <v>10</v>
      </c>
      <c r="H173" s="168">
        <f t="shared" si="7"/>
        <v>0</v>
      </c>
    </row>
    <row r="174" spans="1:8" ht="37.799999999999997" x14ac:dyDescent="0.45">
      <c r="A174" s="171" t="s">
        <v>3877</v>
      </c>
      <c r="B174" s="171"/>
      <c r="C174" s="106" t="s">
        <v>883</v>
      </c>
      <c r="D174" s="106" t="s">
        <v>864</v>
      </c>
      <c r="E174" s="166"/>
      <c r="F174" s="171" t="s">
        <v>472</v>
      </c>
      <c r="G174" s="171">
        <v>10</v>
      </c>
      <c r="H174" s="168">
        <f t="shared" si="7"/>
        <v>0</v>
      </c>
    </row>
    <row r="175" spans="1:8" ht="37.799999999999997" x14ac:dyDescent="0.45">
      <c r="A175" s="171" t="s">
        <v>3878</v>
      </c>
      <c r="B175" s="171"/>
      <c r="C175" s="106" t="s">
        <v>885</v>
      </c>
      <c r="D175" s="106" t="s">
        <v>864</v>
      </c>
      <c r="E175" s="166"/>
      <c r="F175" s="171" t="s">
        <v>472</v>
      </c>
      <c r="G175" s="171">
        <v>10</v>
      </c>
      <c r="H175" s="168">
        <f t="shared" si="7"/>
        <v>0</v>
      </c>
    </row>
    <row r="176" spans="1:8" ht="37.799999999999997" x14ac:dyDescent="0.45">
      <c r="A176" s="171" t="s">
        <v>3879</v>
      </c>
      <c r="B176" s="171"/>
      <c r="C176" s="106" t="s">
        <v>887</v>
      </c>
      <c r="D176" s="106" t="s">
        <v>864</v>
      </c>
      <c r="E176" s="166"/>
      <c r="F176" s="171" t="s">
        <v>472</v>
      </c>
      <c r="G176" s="171">
        <v>10</v>
      </c>
      <c r="H176" s="168">
        <f t="shared" si="7"/>
        <v>0</v>
      </c>
    </row>
    <row r="177" spans="1:8" ht="37.799999999999997" x14ac:dyDescent="0.45">
      <c r="A177" s="171" t="s">
        <v>3880</v>
      </c>
      <c r="B177" s="171"/>
      <c r="C177" s="106" t="s">
        <v>889</v>
      </c>
      <c r="D177" s="106" t="s">
        <v>864</v>
      </c>
      <c r="E177" s="166"/>
      <c r="F177" s="171" t="s">
        <v>472</v>
      </c>
      <c r="G177" s="171">
        <v>10</v>
      </c>
      <c r="H177" s="168">
        <f t="shared" si="7"/>
        <v>0</v>
      </c>
    </row>
    <row r="178" spans="1:8" ht="37.799999999999997" x14ac:dyDescent="0.45">
      <c r="A178" s="171" t="s">
        <v>3881</v>
      </c>
      <c r="B178" s="171"/>
      <c r="C178" s="106" t="s">
        <v>891</v>
      </c>
      <c r="D178" s="106" t="s">
        <v>864</v>
      </c>
      <c r="E178" s="166"/>
      <c r="F178" s="171" t="s">
        <v>472</v>
      </c>
      <c r="G178" s="171">
        <v>10</v>
      </c>
      <c r="H178" s="168">
        <f t="shared" si="7"/>
        <v>0</v>
      </c>
    </row>
    <row r="179" spans="1:8" ht="37.799999999999997" x14ac:dyDescent="0.45">
      <c r="A179" s="171" t="s">
        <v>3882</v>
      </c>
      <c r="B179" s="171"/>
      <c r="C179" s="106" t="s">
        <v>893</v>
      </c>
      <c r="D179" s="106" t="s">
        <v>864</v>
      </c>
      <c r="E179" s="166"/>
      <c r="F179" s="171" t="s">
        <v>472</v>
      </c>
      <c r="G179" s="171">
        <v>10</v>
      </c>
      <c r="H179" s="168">
        <f t="shared" si="7"/>
        <v>0</v>
      </c>
    </row>
    <row r="180" spans="1:8" ht="37.799999999999997" x14ac:dyDescent="0.45">
      <c r="A180" s="171" t="s">
        <v>3883</v>
      </c>
      <c r="B180" s="171"/>
      <c r="C180" s="106" t="s">
        <v>895</v>
      </c>
      <c r="D180" s="106" t="s">
        <v>864</v>
      </c>
      <c r="E180" s="166"/>
      <c r="F180" s="171" t="s">
        <v>472</v>
      </c>
      <c r="G180" s="171">
        <v>10</v>
      </c>
      <c r="H180" s="168">
        <f t="shared" si="7"/>
        <v>0</v>
      </c>
    </row>
    <row r="181" spans="1:8" ht="37.799999999999997" x14ac:dyDescent="0.45">
      <c r="A181" s="171" t="s">
        <v>3884</v>
      </c>
      <c r="B181" s="171"/>
      <c r="C181" s="106" t="s">
        <v>897</v>
      </c>
      <c r="D181" s="106" t="s">
        <v>864</v>
      </c>
      <c r="E181" s="166"/>
      <c r="F181" s="171" t="s">
        <v>472</v>
      </c>
      <c r="G181" s="171">
        <v>10</v>
      </c>
      <c r="H181" s="168">
        <f t="shared" si="7"/>
        <v>0</v>
      </c>
    </row>
    <row r="182" spans="1:8" ht="37.799999999999997" x14ac:dyDescent="0.45">
      <c r="A182" s="171" t="s">
        <v>3885</v>
      </c>
      <c r="B182" s="171"/>
      <c r="C182" s="106" t="s">
        <v>899</v>
      </c>
      <c r="D182" s="106" t="s">
        <v>864</v>
      </c>
      <c r="E182" s="166"/>
      <c r="F182" s="171" t="s">
        <v>472</v>
      </c>
      <c r="G182" s="171">
        <v>10</v>
      </c>
      <c r="H182" s="168">
        <f t="shared" si="7"/>
        <v>0</v>
      </c>
    </row>
    <row r="183" spans="1:8" ht="37.799999999999997" x14ac:dyDescent="0.45">
      <c r="A183" s="171" t="s">
        <v>3886</v>
      </c>
      <c r="B183" s="171"/>
      <c r="C183" s="106" t="s">
        <v>901</v>
      </c>
      <c r="D183" s="106" t="s">
        <v>864</v>
      </c>
      <c r="E183" s="166"/>
      <c r="F183" s="171" t="s">
        <v>472</v>
      </c>
      <c r="G183" s="171">
        <v>10</v>
      </c>
      <c r="H183" s="168">
        <f t="shared" si="7"/>
        <v>0</v>
      </c>
    </row>
    <row r="184" spans="1:8" ht="37.799999999999997" x14ac:dyDescent="0.45">
      <c r="A184" s="171" t="s">
        <v>3887</v>
      </c>
      <c r="B184" s="171"/>
      <c r="C184" s="106" t="s">
        <v>903</v>
      </c>
      <c r="D184" s="106" t="s">
        <v>864</v>
      </c>
      <c r="E184" s="166"/>
      <c r="F184" s="171" t="s">
        <v>472</v>
      </c>
      <c r="G184" s="171">
        <v>10</v>
      </c>
      <c r="H184" s="168">
        <f t="shared" si="7"/>
        <v>0</v>
      </c>
    </row>
    <row r="185" spans="1:8" ht="37.799999999999997" x14ac:dyDescent="0.45">
      <c r="A185" s="171" t="s">
        <v>3888</v>
      </c>
      <c r="B185" s="171"/>
      <c r="C185" s="106" t="s">
        <v>905</v>
      </c>
      <c r="D185" s="106" t="s">
        <v>864</v>
      </c>
      <c r="E185" s="166"/>
      <c r="F185" s="171" t="s">
        <v>472</v>
      </c>
      <c r="G185" s="171">
        <v>10</v>
      </c>
      <c r="H185" s="168">
        <f t="shared" si="7"/>
        <v>0</v>
      </c>
    </row>
    <row r="186" spans="1:8" ht="37.799999999999997" x14ac:dyDescent="0.45">
      <c r="A186" s="171" t="s">
        <v>3889</v>
      </c>
      <c r="B186" s="171"/>
      <c r="C186" s="106" t="s">
        <v>907</v>
      </c>
      <c r="D186" s="106" t="s">
        <v>864</v>
      </c>
      <c r="E186" s="166"/>
      <c r="F186" s="171" t="s">
        <v>472</v>
      </c>
      <c r="G186" s="171">
        <v>10</v>
      </c>
      <c r="H186" s="168">
        <f t="shared" si="7"/>
        <v>0</v>
      </c>
    </row>
    <row r="187" spans="1:8" ht="37.799999999999997" x14ac:dyDescent="0.45">
      <c r="A187" s="171" t="s">
        <v>3890</v>
      </c>
      <c r="B187" s="171"/>
      <c r="C187" s="106" t="s">
        <v>909</v>
      </c>
      <c r="D187" s="106" t="s">
        <v>864</v>
      </c>
      <c r="E187" s="166"/>
      <c r="F187" s="171" t="s">
        <v>472</v>
      </c>
      <c r="G187" s="171">
        <v>10</v>
      </c>
      <c r="H187" s="168">
        <f t="shared" si="7"/>
        <v>0</v>
      </c>
    </row>
    <row r="188" spans="1:8" ht="50.4" x14ac:dyDescent="0.45">
      <c r="A188" s="171" t="s">
        <v>3891</v>
      </c>
      <c r="B188" s="171"/>
      <c r="C188" s="106" t="s">
        <v>911</v>
      </c>
      <c r="D188" s="106" t="s">
        <v>864</v>
      </c>
      <c r="E188" s="166"/>
      <c r="F188" s="171" t="s">
        <v>472</v>
      </c>
      <c r="G188" s="171">
        <v>10</v>
      </c>
      <c r="H188" s="168">
        <f t="shared" si="7"/>
        <v>0</v>
      </c>
    </row>
    <row r="189" spans="1:8" ht="37.799999999999997" x14ac:dyDescent="0.45">
      <c r="A189" s="171" t="s">
        <v>3892</v>
      </c>
      <c r="B189" s="171"/>
      <c r="C189" s="106" t="s">
        <v>913</v>
      </c>
      <c r="D189" s="106" t="s">
        <v>864</v>
      </c>
      <c r="E189" s="166"/>
      <c r="F189" s="171" t="s">
        <v>472</v>
      </c>
      <c r="G189" s="171">
        <v>10</v>
      </c>
      <c r="H189" s="168">
        <f t="shared" si="7"/>
        <v>0</v>
      </c>
    </row>
    <row r="190" spans="1:8" ht="50.4" x14ac:dyDescent="0.45">
      <c r="A190" s="171" t="s">
        <v>3893</v>
      </c>
      <c r="B190" s="171"/>
      <c r="C190" s="106" t="s">
        <v>915</v>
      </c>
      <c r="D190" s="106" t="s">
        <v>864</v>
      </c>
      <c r="E190" s="166"/>
      <c r="F190" s="171" t="s">
        <v>472</v>
      </c>
      <c r="G190" s="171">
        <v>10</v>
      </c>
      <c r="H190" s="168">
        <f t="shared" si="7"/>
        <v>0</v>
      </c>
    </row>
    <row r="191" spans="1:8" ht="50.4" x14ac:dyDescent="0.45">
      <c r="A191" s="171" t="s">
        <v>3894</v>
      </c>
      <c r="B191" s="171"/>
      <c r="C191" s="106" t="s">
        <v>917</v>
      </c>
      <c r="D191" s="106" t="s">
        <v>864</v>
      </c>
      <c r="E191" s="166"/>
      <c r="F191" s="171" t="s">
        <v>472</v>
      </c>
      <c r="G191" s="171">
        <v>10</v>
      </c>
      <c r="H191" s="168">
        <f t="shared" si="7"/>
        <v>0</v>
      </c>
    </row>
    <row r="192" spans="1:8" ht="50.4" x14ac:dyDescent="0.45">
      <c r="A192" s="171" t="s">
        <v>3895</v>
      </c>
      <c r="B192" s="171"/>
      <c r="C192" s="106" t="s">
        <v>919</v>
      </c>
      <c r="D192" s="106" t="s">
        <v>864</v>
      </c>
      <c r="E192" s="166"/>
      <c r="F192" s="171" t="s">
        <v>472</v>
      </c>
      <c r="G192" s="171">
        <v>10</v>
      </c>
      <c r="H192" s="168">
        <f t="shared" si="7"/>
        <v>0</v>
      </c>
    </row>
    <row r="193" spans="1:8" ht="37.799999999999997" x14ac:dyDescent="0.45">
      <c r="A193" s="171" t="s">
        <v>3896</v>
      </c>
      <c r="B193" s="171"/>
      <c r="C193" s="106" t="s">
        <v>921</v>
      </c>
      <c r="D193" s="106" t="s">
        <v>864</v>
      </c>
      <c r="E193" s="166"/>
      <c r="F193" s="171" t="s">
        <v>472</v>
      </c>
      <c r="G193" s="171">
        <v>10</v>
      </c>
      <c r="H193" s="168">
        <f t="shared" si="7"/>
        <v>0</v>
      </c>
    </row>
    <row r="194" spans="1:8" ht="50.4" x14ac:dyDescent="0.45">
      <c r="A194" s="171" t="s">
        <v>3897</v>
      </c>
      <c r="B194" s="171"/>
      <c r="C194" s="106" t="s">
        <v>923</v>
      </c>
      <c r="D194" s="106" t="s">
        <v>864</v>
      </c>
      <c r="E194" s="166"/>
      <c r="F194" s="171" t="s">
        <v>472</v>
      </c>
      <c r="G194" s="171">
        <v>10</v>
      </c>
      <c r="H194" s="168">
        <f t="shared" si="7"/>
        <v>0</v>
      </c>
    </row>
    <row r="195" spans="1:8" ht="50.4" x14ac:dyDescent="0.45">
      <c r="A195" s="171" t="s">
        <v>3898</v>
      </c>
      <c r="B195" s="171"/>
      <c r="C195" s="106" t="s">
        <v>925</v>
      </c>
      <c r="D195" s="106" t="s">
        <v>864</v>
      </c>
      <c r="E195" s="166"/>
      <c r="F195" s="171" t="s">
        <v>472</v>
      </c>
      <c r="G195" s="171">
        <v>10</v>
      </c>
      <c r="H195" s="168">
        <f t="shared" si="7"/>
        <v>0</v>
      </c>
    </row>
    <row r="196" spans="1:8" ht="50.4" x14ac:dyDescent="0.45">
      <c r="A196" s="171" t="s">
        <v>3899</v>
      </c>
      <c r="B196" s="171"/>
      <c r="C196" s="106" t="s">
        <v>927</v>
      </c>
      <c r="D196" s="106" t="s">
        <v>864</v>
      </c>
      <c r="E196" s="166"/>
      <c r="F196" s="171" t="s">
        <v>472</v>
      </c>
      <c r="G196" s="171">
        <v>10</v>
      </c>
      <c r="H196" s="168">
        <f t="shared" si="7"/>
        <v>0</v>
      </c>
    </row>
    <row r="197" spans="1:8" ht="50.4" x14ac:dyDescent="0.45">
      <c r="A197" s="171" t="s">
        <v>3900</v>
      </c>
      <c r="B197" s="171"/>
      <c r="C197" s="106" t="s">
        <v>929</v>
      </c>
      <c r="D197" s="106" t="s">
        <v>864</v>
      </c>
      <c r="E197" s="166"/>
      <c r="F197" s="171" t="s">
        <v>472</v>
      </c>
      <c r="G197" s="171">
        <v>10</v>
      </c>
      <c r="H197" s="168">
        <f t="shared" si="7"/>
        <v>0</v>
      </c>
    </row>
    <row r="198" spans="1:8" ht="50.4" x14ac:dyDescent="0.45">
      <c r="A198" s="171" t="s">
        <v>3901</v>
      </c>
      <c r="B198" s="171"/>
      <c r="C198" s="106" t="s">
        <v>931</v>
      </c>
      <c r="D198" s="106" t="s">
        <v>864</v>
      </c>
      <c r="E198" s="166"/>
      <c r="F198" s="171" t="s">
        <v>472</v>
      </c>
      <c r="G198" s="171">
        <v>10</v>
      </c>
      <c r="H198" s="168">
        <f t="shared" si="7"/>
        <v>0</v>
      </c>
    </row>
    <row r="199" spans="1:8" ht="37.799999999999997" x14ac:dyDescent="0.45">
      <c r="A199" s="171" t="s">
        <v>3902</v>
      </c>
      <c r="B199" s="171"/>
      <c r="C199" s="106" t="s">
        <v>933</v>
      </c>
      <c r="D199" s="106" t="s">
        <v>864</v>
      </c>
      <c r="E199" s="166"/>
      <c r="F199" s="171" t="s">
        <v>472</v>
      </c>
      <c r="G199" s="171">
        <v>10</v>
      </c>
      <c r="H199" s="168">
        <f t="shared" si="7"/>
        <v>0</v>
      </c>
    </row>
    <row r="200" spans="1:8" ht="37.799999999999997" x14ac:dyDescent="0.45">
      <c r="A200" s="171" t="s">
        <v>3903</v>
      </c>
      <c r="B200" s="171"/>
      <c r="C200" s="106" t="s">
        <v>935</v>
      </c>
      <c r="D200" s="106" t="s">
        <v>864</v>
      </c>
      <c r="E200" s="166"/>
      <c r="F200" s="171" t="s">
        <v>472</v>
      </c>
      <c r="G200" s="171">
        <v>10</v>
      </c>
      <c r="H200" s="168">
        <f t="shared" si="7"/>
        <v>0</v>
      </c>
    </row>
    <row r="201" spans="1:8" ht="50.4" x14ac:dyDescent="0.45">
      <c r="A201" s="171" t="s">
        <v>3904</v>
      </c>
      <c r="B201" s="171"/>
      <c r="C201" s="106" t="s">
        <v>937</v>
      </c>
      <c r="D201" s="106" t="s">
        <v>864</v>
      </c>
      <c r="E201" s="166"/>
      <c r="F201" s="171" t="s">
        <v>472</v>
      </c>
      <c r="G201" s="171">
        <v>10</v>
      </c>
      <c r="H201" s="168">
        <f t="shared" si="7"/>
        <v>0</v>
      </c>
    </row>
    <row r="202" spans="1:8" ht="50.4" x14ac:dyDescent="0.45">
      <c r="A202" s="171" t="s">
        <v>3905</v>
      </c>
      <c r="B202" s="171"/>
      <c r="C202" s="106" t="s">
        <v>939</v>
      </c>
      <c r="D202" s="106" t="s">
        <v>864</v>
      </c>
      <c r="E202" s="166"/>
      <c r="F202" s="171" t="s">
        <v>472</v>
      </c>
      <c r="G202" s="171">
        <v>10</v>
      </c>
      <c r="H202" s="168">
        <f t="shared" si="7"/>
        <v>0</v>
      </c>
    </row>
    <row r="203" spans="1:8" ht="50.4" x14ac:dyDescent="0.45">
      <c r="A203" s="171" t="s">
        <v>3906</v>
      </c>
      <c r="B203" s="171"/>
      <c r="C203" s="106" t="s">
        <v>941</v>
      </c>
      <c r="D203" s="106" t="s">
        <v>864</v>
      </c>
      <c r="E203" s="166"/>
      <c r="F203" s="171" t="s">
        <v>472</v>
      </c>
      <c r="G203" s="171">
        <v>10</v>
      </c>
      <c r="H203" s="168">
        <f t="shared" si="7"/>
        <v>0</v>
      </c>
    </row>
    <row r="204" spans="1:8" ht="50.4" x14ac:dyDescent="0.45">
      <c r="A204" s="171" t="s">
        <v>3907</v>
      </c>
      <c r="B204" s="171"/>
      <c r="C204" s="106" t="s">
        <v>943</v>
      </c>
      <c r="D204" s="106" t="s">
        <v>864</v>
      </c>
      <c r="E204" s="166"/>
      <c r="F204" s="171" t="s">
        <v>472</v>
      </c>
      <c r="G204" s="171">
        <v>10</v>
      </c>
      <c r="H204" s="168">
        <f t="shared" si="7"/>
        <v>0</v>
      </c>
    </row>
    <row r="205" spans="1:8" ht="50.4" x14ac:dyDescent="0.45">
      <c r="A205" s="171" t="s">
        <v>3908</v>
      </c>
      <c r="B205" s="171"/>
      <c r="C205" s="106" t="s">
        <v>945</v>
      </c>
      <c r="D205" s="106" t="s">
        <v>864</v>
      </c>
      <c r="E205" s="166"/>
      <c r="F205" s="171" t="s">
        <v>472</v>
      </c>
      <c r="G205" s="171">
        <v>10</v>
      </c>
      <c r="H205" s="168">
        <f t="shared" si="7"/>
        <v>0</v>
      </c>
    </row>
    <row r="206" spans="1:8" ht="50.4" x14ac:dyDescent="0.45">
      <c r="A206" s="171" t="s">
        <v>3909</v>
      </c>
      <c r="B206" s="171"/>
      <c r="C206" s="106" t="s">
        <v>947</v>
      </c>
      <c r="D206" s="106" t="s">
        <v>864</v>
      </c>
      <c r="E206" s="166"/>
      <c r="F206" s="171" t="s">
        <v>472</v>
      </c>
      <c r="G206" s="171">
        <v>10</v>
      </c>
      <c r="H206" s="168">
        <f t="shared" si="7"/>
        <v>0</v>
      </c>
    </row>
    <row r="207" spans="1:8" ht="50.4" x14ac:dyDescent="0.45">
      <c r="A207" s="171" t="s">
        <v>3910</v>
      </c>
      <c r="B207" s="171"/>
      <c r="C207" s="106" t="s">
        <v>949</v>
      </c>
      <c r="D207" s="106" t="s">
        <v>864</v>
      </c>
      <c r="E207" s="166"/>
      <c r="F207" s="171" t="s">
        <v>472</v>
      </c>
      <c r="G207" s="171">
        <v>10</v>
      </c>
      <c r="H207" s="168">
        <f t="shared" si="7"/>
        <v>0</v>
      </c>
    </row>
    <row r="208" spans="1:8" ht="50.4" x14ac:dyDescent="0.45">
      <c r="A208" s="171" t="s">
        <v>3911</v>
      </c>
      <c r="B208" s="171"/>
      <c r="C208" s="106" t="s">
        <v>951</v>
      </c>
      <c r="D208" s="106" t="s">
        <v>864</v>
      </c>
      <c r="E208" s="166"/>
      <c r="F208" s="171" t="s">
        <v>472</v>
      </c>
      <c r="G208" s="171">
        <v>10</v>
      </c>
      <c r="H208" s="168">
        <f t="shared" si="7"/>
        <v>0</v>
      </c>
    </row>
    <row r="209" spans="1:8" ht="50.4" x14ac:dyDescent="0.45">
      <c r="A209" s="171" t="s">
        <v>3912</v>
      </c>
      <c r="B209" s="171"/>
      <c r="C209" s="106" t="s">
        <v>953</v>
      </c>
      <c r="D209" s="106" t="s">
        <v>864</v>
      </c>
      <c r="E209" s="166"/>
      <c r="F209" s="171" t="s">
        <v>472</v>
      </c>
      <c r="G209" s="171">
        <v>10</v>
      </c>
      <c r="H209" s="168">
        <f t="shared" ref="H209:H258" si="8">SUM(E209)*G209</f>
        <v>0</v>
      </c>
    </row>
    <row r="210" spans="1:8" ht="50.4" x14ac:dyDescent="0.45">
      <c r="A210" s="171" t="s">
        <v>3913</v>
      </c>
      <c r="B210" s="171"/>
      <c r="C210" s="106" t="s">
        <v>955</v>
      </c>
      <c r="D210" s="106" t="s">
        <v>864</v>
      </c>
      <c r="E210" s="166"/>
      <c r="F210" s="171" t="s">
        <v>472</v>
      </c>
      <c r="G210" s="171">
        <v>10</v>
      </c>
      <c r="H210" s="168">
        <f t="shared" si="8"/>
        <v>0</v>
      </c>
    </row>
    <row r="211" spans="1:8" ht="50.4" x14ac:dyDescent="0.45">
      <c r="A211" s="171" t="s">
        <v>3914</v>
      </c>
      <c r="B211" s="171"/>
      <c r="C211" s="106" t="s">
        <v>957</v>
      </c>
      <c r="D211" s="106" t="s">
        <v>864</v>
      </c>
      <c r="E211" s="166"/>
      <c r="F211" s="171" t="s">
        <v>472</v>
      </c>
      <c r="G211" s="171">
        <v>10</v>
      </c>
      <c r="H211" s="168">
        <f t="shared" si="8"/>
        <v>0</v>
      </c>
    </row>
    <row r="212" spans="1:8" ht="50.4" x14ac:dyDescent="0.45">
      <c r="A212" s="171" t="s">
        <v>3915</v>
      </c>
      <c r="B212" s="171"/>
      <c r="C212" s="106" t="s">
        <v>959</v>
      </c>
      <c r="D212" s="106" t="s">
        <v>864</v>
      </c>
      <c r="E212" s="166"/>
      <c r="F212" s="171" t="s">
        <v>472</v>
      </c>
      <c r="G212" s="171">
        <v>10</v>
      </c>
      <c r="H212" s="168">
        <f t="shared" si="8"/>
        <v>0</v>
      </c>
    </row>
    <row r="213" spans="1:8" ht="50.4" x14ac:dyDescent="0.45">
      <c r="A213" s="171" t="s">
        <v>3916</v>
      </c>
      <c r="B213" s="171"/>
      <c r="C213" s="106" t="s">
        <v>961</v>
      </c>
      <c r="D213" s="106" t="s">
        <v>864</v>
      </c>
      <c r="E213" s="166"/>
      <c r="F213" s="171" t="s">
        <v>472</v>
      </c>
      <c r="G213" s="171">
        <v>10</v>
      </c>
      <c r="H213" s="168">
        <f t="shared" si="8"/>
        <v>0</v>
      </c>
    </row>
    <row r="214" spans="1:8" ht="50.4" x14ac:dyDescent="0.45">
      <c r="A214" s="171" t="s">
        <v>3917</v>
      </c>
      <c r="B214" s="171"/>
      <c r="C214" s="106" t="s">
        <v>963</v>
      </c>
      <c r="D214" s="106" t="s">
        <v>864</v>
      </c>
      <c r="E214" s="166"/>
      <c r="F214" s="171" t="s">
        <v>472</v>
      </c>
      <c r="G214" s="171">
        <v>10</v>
      </c>
      <c r="H214" s="168">
        <f t="shared" si="8"/>
        <v>0</v>
      </c>
    </row>
    <row r="215" spans="1:8" ht="50.4" x14ac:dyDescent="0.45">
      <c r="A215" s="171" t="s">
        <v>3918</v>
      </c>
      <c r="B215" s="171"/>
      <c r="C215" s="106" t="s">
        <v>965</v>
      </c>
      <c r="D215" s="106" t="s">
        <v>864</v>
      </c>
      <c r="E215" s="166"/>
      <c r="F215" s="171" t="s">
        <v>472</v>
      </c>
      <c r="G215" s="171">
        <v>10</v>
      </c>
      <c r="H215" s="168">
        <f t="shared" si="8"/>
        <v>0</v>
      </c>
    </row>
    <row r="216" spans="1:8" ht="50.4" x14ac:dyDescent="0.45">
      <c r="A216" s="171" t="s">
        <v>3919</v>
      </c>
      <c r="B216" s="171"/>
      <c r="C216" s="106" t="s">
        <v>967</v>
      </c>
      <c r="D216" s="106" t="s">
        <v>864</v>
      </c>
      <c r="E216" s="166"/>
      <c r="F216" s="171" t="s">
        <v>472</v>
      </c>
      <c r="G216" s="171">
        <v>10</v>
      </c>
      <c r="H216" s="168">
        <f t="shared" si="8"/>
        <v>0</v>
      </c>
    </row>
    <row r="217" spans="1:8" ht="50.4" x14ac:dyDescent="0.45">
      <c r="A217" s="171" t="s">
        <v>3920</v>
      </c>
      <c r="B217" s="171"/>
      <c r="C217" s="106" t="s">
        <v>969</v>
      </c>
      <c r="D217" s="106" t="s">
        <v>864</v>
      </c>
      <c r="E217" s="166"/>
      <c r="F217" s="171" t="s">
        <v>472</v>
      </c>
      <c r="G217" s="171">
        <v>10</v>
      </c>
      <c r="H217" s="168">
        <f t="shared" si="8"/>
        <v>0</v>
      </c>
    </row>
    <row r="218" spans="1:8" ht="50.4" x14ac:dyDescent="0.45">
      <c r="A218" s="171" t="s">
        <v>3921</v>
      </c>
      <c r="B218" s="171"/>
      <c r="C218" s="106" t="s">
        <v>971</v>
      </c>
      <c r="D218" s="106" t="s">
        <v>864</v>
      </c>
      <c r="E218" s="166"/>
      <c r="F218" s="171" t="s">
        <v>472</v>
      </c>
      <c r="G218" s="171">
        <v>10</v>
      </c>
      <c r="H218" s="168">
        <f t="shared" si="8"/>
        <v>0</v>
      </c>
    </row>
    <row r="219" spans="1:8" ht="50.4" x14ac:dyDescent="0.45">
      <c r="A219" s="171" t="s">
        <v>3922</v>
      </c>
      <c r="B219" s="171"/>
      <c r="C219" s="106" t="s">
        <v>973</v>
      </c>
      <c r="D219" s="106" t="s">
        <v>864</v>
      </c>
      <c r="E219" s="166"/>
      <c r="F219" s="171" t="s">
        <v>472</v>
      </c>
      <c r="G219" s="171">
        <v>10</v>
      </c>
      <c r="H219" s="168">
        <f t="shared" si="8"/>
        <v>0</v>
      </c>
    </row>
    <row r="220" spans="1:8" ht="37.799999999999997" x14ac:dyDescent="0.45">
      <c r="A220" s="171" t="s">
        <v>3923</v>
      </c>
      <c r="B220" s="171"/>
      <c r="C220" s="106" t="s">
        <v>975</v>
      </c>
      <c r="D220" s="106" t="s">
        <v>864</v>
      </c>
      <c r="E220" s="166"/>
      <c r="F220" s="171" t="s">
        <v>472</v>
      </c>
      <c r="G220" s="171">
        <v>10</v>
      </c>
      <c r="H220" s="168">
        <f t="shared" si="8"/>
        <v>0</v>
      </c>
    </row>
    <row r="221" spans="1:8" ht="37.799999999999997" x14ac:dyDescent="0.45">
      <c r="A221" s="171" t="s">
        <v>3924</v>
      </c>
      <c r="B221" s="171"/>
      <c r="C221" s="106" t="s">
        <v>977</v>
      </c>
      <c r="D221" s="106" t="s">
        <v>864</v>
      </c>
      <c r="E221" s="166"/>
      <c r="F221" s="171" t="s">
        <v>472</v>
      </c>
      <c r="G221" s="171">
        <v>10</v>
      </c>
      <c r="H221" s="168">
        <f t="shared" si="8"/>
        <v>0</v>
      </c>
    </row>
    <row r="222" spans="1:8" ht="37.799999999999997" x14ac:dyDescent="0.45">
      <c r="A222" s="171" t="s">
        <v>3925</v>
      </c>
      <c r="B222" s="171"/>
      <c r="C222" s="106" t="s">
        <v>979</v>
      </c>
      <c r="D222" s="106" t="s">
        <v>864</v>
      </c>
      <c r="E222" s="166"/>
      <c r="F222" s="171" t="s">
        <v>472</v>
      </c>
      <c r="G222" s="171">
        <v>10</v>
      </c>
      <c r="H222" s="168">
        <f t="shared" si="8"/>
        <v>0</v>
      </c>
    </row>
    <row r="223" spans="1:8" ht="37.799999999999997" x14ac:dyDescent="0.45">
      <c r="A223" s="171" t="s">
        <v>3926</v>
      </c>
      <c r="B223" s="171"/>
      <c r="C223" s="106" t="s">
        <v>981</v>
      </c>
      <c r="D223" s="106" t="s">
        <v>864</v>
      </c>
      <c r="E223" s="166"/>
      <c r="F223" s="171" t="s">
        <v>472</v>
      </c>
      <c r="G223" s="171">
        <v>10</v>
      </c>
      <c r="H223" s="168">
        <f t="shared" si="8"/>
        <v>0</v>
      </c>
    </row>
    <row r="224" spans="1:8" ht="37.799999999999997" x14ac:dyDescent="0.45">
      <c r="A224" s="171" t="s">
        <v>3927</v>
      </c>
      <c r="B224" s="171"/>
      <c r="C224" s="106" t="s">
        <v>983</v>
      </c>
      <c r="D224" s="106" t="s">
        <v>864</v>
      </c>
      <c r="E224" s="166"/>
      <c r="F224" s="171" t="s">
        <v>472</v>
      </c>
      <c r="G224" s="171">
        <v>10</v>
      </c>
      <c r="H224" s="168">
        <f t="shared" si="8"/>
        <v>0</v>
      </c>
    </row>
    <row r="225" spans="1:8" ht="63" x14ac:dyDescent="0.45">
      <c r="A225" s="171" t="s">
        <v>3928</v>
      </c>
      <c r="B225" s="171"/>
      <c r="C225" s="106" t="s">
        <v>985</v>
      </c>
      <c r="D225" s="106" t="s">
        <v>864</v>
      </c>
      <c r="E225" s="166"/>
      <c r="F225" s="171" t="s">
        <v>472</v>
      </c>
      <c r="G225" s="171">
        <v>10</v>
      </c>
      <c r="H225" s="168">
        <f t="shared" si="8"/>
        <v>0</v>
      </c>
    </row>
    <row r="226" spans="1:8" ht="63" x14ac:dyDescent="0.45">
      <c r="A226" s="171" t="s">
        <v>3929</v>
      </c>
      <c r="B226" s="171"/>
      <c r="C226" s="106" t="s">
        <v>987</v>
      </c>
      <c r="D226" s="106" t="s">
        <v>864</v>
      </c>
      <c r="E226" s="166"/>
      <c r="F226" s="171" t="s">
        <v>472</v>
      </c>
      <c r="G226" s="171">
        <v>10</v>
      </c>
      <c r="H226" s="168">
        <f t="shared" si="8"/>
        <v>0</v>
      </c>
    </row>
    <row r="227" spans="1:8" ht="37.799999999999997" x14ac:dyDescent="0.45">
      <c r="A227" s="171" t="s">
        <v>3930</v>
      </c>
      <c r="B227" s="171"/>
      <c r="C227" s="106" t="s">
        <v>989</v>
      </c>
      <c r="D227" s="106" t="s">
        <v>864</v>
      </c>
      <c r="E227" s="166"/>
      <c r="F227" s="171" t="s">
        <v>472</v>
      </c>
      <c r="G227" s="171">
        <v>10</v>
      </c>
      <c r="H227" s="168">
        <f t="shared" si="8"/>
        <v>0</v>
      </c>
    </row>
    <row r="228" spans="1:8" ht="37.799999999999997" x14ac:dyDescent="0.45">
      <c r="A228" s="171" t="s">
        <v>3931</v>
      </c>
      <c r="B228" s="171"/>
      <c r="C228" s="106" t="s">
        <v>991</v>
      </c>
      <c r="D228" s="106" t="s">
        <v>864</v>
      </c>
      <c r="E228" s="166"/>
      <c r="F228" s="171" t="s">
        <v>472</v>
      </c>
      <c r="G228" s="171">
        <v>10</v>
      </c>
      <c r="H228" s="168">
        <f t="shared" si="8"/>
        <v>0</v>
      </c>
    </row>
    <row r="229" spans="1:8" ht="37.799999999999997" x14ac:dyDescent="0.45">
      <c r="A229" s="171" t="s">
        <v>3932</v>
      </c>
      <c r="B229" s="171"/>
      <c r="C229" s="106" t="s">
        <v>993</v>
      </c>
      <c r="D229" s="106" t="s">
        <v>864</v>
      </c>
      <c r="E229" s="166"/>
      <c r="F229" s="171" t="s">
        <v>472</v>
      </c>
      <c r="G229" s="171">
        <v>10</v>
      </c>
      <c r="H229" s="168">
        <f t="shared" si="8"/>
        <v>0</v>
      </c>
    </row>
    <row r="230" spans="1:8" ht="37.799999999999997" x14ac:dyDescent="0.45">
      <c r="A230" s="171" t="s">
        <v>3933</v>
      </c>
      <c r="B230" s="171"/>
      <c r="C230" s="106" t="s">
        <v>995</v>
      </c>
      <c r="D230" s="106" t="s">
        <v>864</v>
      </c>
      <c r="E230" s="166"/>
      <c r="F230" s="171" t="s">
        <v>472</v>
      </c>
      <c r="G230" s="171">
        <v>10</v>
      </c>
      <c r="H230" s="168">
        <f t="shared" si="8"/>
        <v>0</v>
      </c>
    </row>
    <row r="231" spans="1:8" ht="37.799999999999997" x14ac:dyDescent="0.45">
      <c r="A231" s="171" t="s">
        <v>3934</v>
      </c>
      <c r="B231" s="171"/>
      <c r="C231" s="106" t="s">
        <v>997</v>
      </c>
      <c r="D231" s="106" t="s">
        <v>864</v>
      </c>
      <c r="E231" s="166"/>
      <c r="F231" s="171" t="s">
        <v>472</v>
      </c>
      <c r="G231" s="171">
        <v>10</v>
      </c>
      <c r="H231" s="168">
        <f t="shared" si="8"/>
        <v>0</v>
      </c>
    </row>
    <row r="232" spans="1:8" ht="37.799999999999997" x14ac:dyDescent="0.45">
      <c r="A232" s="171" t="s">
        <v>3935</v>
      </c>
      <c r="B232" s="171"/>
      <c r="C232" s="106" t="s">
        <v>999</v>
      </c>
      <c r="D232" s="106" t="s">
        <v>864</v>
      </c>
      <c r="E232" s="166"/>
      <c r="F232" s="171" t="s">
        <v>472</v>
      </c>
      <c r="G232" s="171">
        <v>10</v>
      </c>
      <c r="H232" s="168">
        <f t="shared" si="8"/>
        <v>0</v>
      </c>
    </row>
    <row r="233" spans="1:8" ht="37.799999999999997" x14ac:dyDescent="0.45">
      <c r="A233" s="171" t="s">
        <v>3936</v>
      </c>
      <c r="B233" s="171"/>
      <c r="C233" s="106" t="s">
        <v>1001</v>
      </c>
      <c r="D233" s="106" t="s">
        <v>864</v>
      </c>
      <c r="E233" s="166"/>
      <c r="F233" s="171" t="s">
        <v>472</v>
      </c>
      <c r="G233" s="171">
        <v>10</v>
      </c>
      <c r="H233" s="168">
        <f t="shared" si="8"/>
        <v>0</v>
      </c>
    </row>
    <row r="234" spans="1:8" ht="37.799999999999997" x14ac:dyDescent="0.45">
      <c r="A234" s="171" t="s">
        <v>3937</v>
      </c>
      <c r="B234" s="171"/>
      <c r="C234" s="106" t="s">
        <v>1003</v>
      </c>
      <c r="D234" s="106" t="s">
        <v>864</v>
      </c>
      <c r="E234" s="166"/>
      <c r="F234" s="171" t="s">
        <v>472</v>
      </c>
      <c r="G234" s="171">
        <v>10</v>
      </c>
      <c r="H234" s="168">
        <f t="shared" si="8"/>
        <v>0</v>
      </c>
    </row>
    <row r="235" spans="1:8" ht="37.799999999999997" x14ac:dyDescent="0.45">
      <c r="A235" s="171" t="s">
        <v>3938</v>
      </c>
      <c r="B235" s="171"/>
      <c r="C235" s="106" t="s">
        <v>1005</v>
      </c>
      <c r="D235" s="106" t="s">
        <v>864</v>
      </c>
      <c r="E235" s="166"/>
      <c r="F235" s="171" t="s">
        <v>472</v>
      </c>
      <c r="G235" s="171">
        <v>10</v>
      </c>
      <c r="H235" s="168">
        <f t="shared" si="8"/>
        <v>0</v>
      </c>
    </row>
    <row r="236" spans="1:8" ht="37.799999999999997" x14ac:dyDescent="0.45">
      <c r="A236" s="171" t="s">
        <v>3939</v>
      </c>
      <c r="B236" s="171"/>
      <c r="C236" s="106" t="s">
        <v>1007</v>
      </c>
      <c r="D236" s="106" t="s">
        <v>864</v>
      </c>
      <c r="E236" s="166"/>
      <c r="F236" s="171" t="s">
        <v>472</v>
      </c>
      <c r="G236" s="171">
        <v>10</v>
      </c>
      <c r="H236" s="168">
        <f t="shared" si="8"/>
        <v>0</v>
      </c>
    </row>
    <row r="237" spans="1:8" ht="37.799999999999997" x14ac:dyDescent="0.45">
      <c r="A237" s="171" t="s">
        <v>3940</v>
      </c>
      <c r="B237" s="171"/>
      <c r="C237" s="106" t="s">
        <v>1009</v>
      </c>
      <c r="D237" s="106" t="s">
        <v>864</v>
      </c>
      <c r="E237" s="166"/>
      <c r="F237" s="171" t="s">
        <v>472</v>
      </c>
      <c r="G237" s="171">
        <v>10</v>
      </c>
      <c r="H237" s="168">
        <f t="shared" si="8"/>
        <v>0</v>
      </c>
    </row>
    <row r="238" spans="1:8" ht="37.799999999999997" x14ac:dyDescent="0.45">
      <c r="A238" s="171" t="s">
        <v>3941</v>
      </c>
      <c r="B238" s="171"/>
      <c r="C238" s="106" t="s">
        <v>1011</v>
      </c>
      <c r="D238" s="106" t="s">
        <v>864</v>
      </c>
      <c r="E238" s="166"/>
      <c r="F238" s="171" t="s">
        <v>472</v>
      </c>
      <c r="G238" s="171">
        <v>10</v>
      </c>
      <c r="H238" s="168">
        <f t="shared" si="8"/>
        <v>0</v>
      </c>
    </row>
    <row r="239" spans="1:8" ht="37.799999999999997" x14ac:dyDescent="0.45">
      <c r="A239" s="171" t="s">
        <v>3942</v>
      </c>
      <c r="B239" s="171"/>
      <c r="C239" s="106" t="s">
        <v>1013</v>
      </c>
      <c r="D239" s="106" t="s">
        <v>864</v>
      </c>
      <c r="E239" s="166"/>
      <c r="F239" s="171" t="s">
        <v>472</v>
      </c>
      <c r="G239" s="171">
        <v>10</v>
      </c>
      <c r="H239" s="168">
        <f t="shared" si="8"/>
        <v>0</v>
      </c>
    </row>
    <row r="240" spans="1:8" ht="37.799999999999997" x14ac:dyDescent="0.45">
      <c r="A240" s="171" t="s">
        <v>3943</v>
      </c>
      <c r="B240" s="171"/>
      <c r="C240" s="106" t="s">
        <v>1015</v>
      </c>
      <c r="D240" s="106" t="s">
        <v>864</v>
      </c>
      <c r="E240" s="166"/>
      <c r="F240" s="171" t="s">
        <v>472</v>
      </c>
      <c r="G240" s="171">
        <v>10</v>
      </c>
      <c r="H240" s="168">
        <f t="shared" si="8"/>
        <v>0</v>
      </c>
    </row>
    <row r="241" spans="1:8" ht="37.799999999999997" x14ac:dyDescent="0.45">
      <c r="A241" s="171" t="s">
        <v>3944</v>
      </c>
      <c r="B241" s="171"/>
      <c r="C241" s="106" t="s">
        <v>1017</v>
      </c>
      <c r="D241" s="106" t="s">
        <v>864</v>
      </c>
      <c r="E241" s="166"/>
      <c r="F241" s="171" t="s">
        <v>472</v>
      </c>
      <c r="G241" s="171">
        <v>10</v>
      </c>
      <c r="H241" s="168">
        <f t="shared" si="8"/>
        <v>0</v>
      </c>
    </row>
    <row r="242" spans="1:8" ht="37.799999999999997" x14ac:dyDescent="0.45">
      <c r="A242" s="171" t="s">
        <v>3945</v>
      </c>
      <c r="B242" s="171"/>
      <c r="C242" s="106" t="s">
        <v>1019</v>
      </c>
      <c r="D242" s="106" t="s">
        <v>864</v>
      </c>
      <c r="E242" s="166"/>
      <c r="F242" s="171" t="s">
        <v>472</v>
      </c>
      <c r="G242" s="171">
        <v>10</v>
      </c>
      <c r="H242" s="168">
        <f t="shared" si="8"/>
        <v>0</v>
      </c>
    </row>
    <row r="243" spans="1:8" ht="37.799999999999997" x14ac:dyDescent="0.45">
      <c r="A243" s="171" t="s">
        <v>3946</v>
      </c>
      <c r="B243" s="171"/>
      <c r="C243" s="106" t="s">
        <v>1021</v>
      </c>
      <c r="D243" s="106" t="s">
        <v>864</v>
      </c>
      <c r="E243" s="166"/>
      <c r="F243" s="171" t="s">
        <v>472</v>
      </c>
      <c r="G243" s="171">
        <v>10</v>
      </c>
      <c r="H243" s="168">
        <f t="shared" si="8"/>
        <v>0</v>
      </c>
    </row>
    <row r="244" spans="1:8" ht="37.799999999999997" x14ac:dyDescent="0.45">
      <c r="A244" s="171" t="s">
        <v>3947</v>
      </c>
      <c r="B244" s="171"/>
      <c r="C244" s="106" t="s">
        <v>1023</v>
      </c>
      <c r="D244" s="106" t="s">
        <v>864</v>
      </c>
      <c r="E244" s="166"/>
      <c r="F244" s="171" t="s">
        <v>472</v>
      </c>
      <c r="G244" s="171">
        <v>10</v>
      </c>
      <c r="H244" s="168">
        <f t="shared" si="8"/>
        <v>0</v>
      </c>
    </row>
    <row r="245" spans="1:8" ht="37.799999999999997" x14ac:dyDescent="0.45">
      <c r="A245" s="171" t="s">
        <v>3948</v>
      </c>
      <c r="B245" s="171"/>
      <c r="C245" s="106" t="s">
        <v>1025</v>
      </c>
      <c r="D245" s="106" t="s">
        <v>864</v>
      </c>
      <c r="E245" s="166"/>
      <c r="F245" s="171" t="s">
        <v>472</v>
      </c>
      <c r="G245" s="171">
        <v>10</v>
      </c>
      <c r="H245" s="168">
        <f t="shared" si="8"/>
        <v>0</v>
      </c>
    </row>
    <row r="246" spans="1:8" ht="37.799999999999997" x14ac:dyDescent="0.45">
      <c r="A246" s="171" t="s">
        <v>3949</v>
      </c>
      <c r="B246" s="171"/>
      <c r="C246" s="106" t="s">
        <v>1027</v>
      </c>
      <c r="D246" s="106" t="s">
        <v>864</v>
      </c>
      <c r="E246" s="166"/>
      <c r="F246" s="171" t="s">
        <v>472</v>
      </c>
      <c r="G246" s="171">
        <v>10</v>
      </c>
      <c r="H246" s="168">
        <f t="shared" si="8"/>
        <v>0</v>
      </c>
    </row>
    <row r="247" spans="1:8" ht="37.799999999999997" x14ac:dyDescent="0.45">
      <c r="A247" s="171" t="s">
        <v>3950</v>
      </c>
      <c r="B247" s="171"/>
      <c r="C247" s="106" t="s">
        <v>1029</v>
      </c>
      <c r="D247" s="106" t="s">
        <v>864</v>
      </c>
      <c r="E247" s="166"/>
      <c r="F247" s="171" t="s">
        <v>472</v>
      </c>
      <c r="G247" s="171">
        <v>10</v>
      </c>
      <c r="H247" s="168">
        <f t="shared" si="8"/>
        <v>0</v>
      </c>
    </row>
    <row r="248" spans="1:8" ht="37.799999999999997" x14ac:dyDescent="0.45">
      <c r="A248" s="171" t="s">
        <v>3951</v>
      </c>
      <c r="B248" s="171"/>
      <c r="C248" s="106" t="s">
        <v>1031</v>
      </c>
      <c r="D248" s="106" t="s">
        <v>864</v>
      </c>
      <c r="E248" s="166"/>
      <c r="F248" s="171" t="s">
        <v>472</v>
      </c>
      <c r="G248" s="171">
        <v>10</v>
      </c>
      <c r="H248" s="168">
        <f t="shared" si="8"/>
        <v>0</v>
      </c>
    </row>
    <row r="249" spans="1:8" ht="37.799999999999997" x14ac:dyDescent="0.45">
      <c r="A249" s="171" t="s">
        <v>3952</v>
      </c>
      <c r="B249" s="171"/>
      <c r="C249" s="106" t="s">
        <v>1033</v>
      </c>
      <c r="D249" s="106" t="s">
        <v>864</v>
      </c>
      <c r="E249" s="166"/>
      <c r="F249" s="171" t="s">
        <v>472</v>
      </c>
      <c r="G249" s="171">
        <v>10</v>
      </c>
      <c r="H249" s="168">
        <f t="shared" si="8"/>
        <v>0</v>
      </c>
    </row>
    <row r="250" spans="1:8" ht="37.799999999999997" x14ac:dyDescent="0.45">
      <c r="A250" s="171" t="s">
        <v>3953</v>
      </c>
      <c r="B250" s="171"/>
      <c r="C250" s="106" t="s">
        <v>1035</v>
      </c>
      <c r="D250" s="106" t="s">
        <v>864</v>
      </c>
      <c r="E250" s="166"/>
      <c r="F250" s="171" t="s">
        <v>472</v>
      </c>
      <c r="G250" s="171">
        <v>10</v>
      </c>
      <c r="H250" s="168">
        <f t="shared" si="8"/>
        <v>0</v>
      </c>
    </row>
    <row r="251" spans="1:8" ht="37.799999999999997" x14ac:dyDescent="0.45">
      <c r="A251" s="171" t="s">
        <v>3954</v>
      </c>
      <c r="B251" s="171"/>
      <c r="C251" s="106" t="s">
        <v>1037</v>
      </c>
      <c r="D251" s="106" t="s">
        <v>864</v>
      </c>
      <c r="E251" s="166"/>
      <c r="F251" s="171" t="s">
        <v>472</v>
      </c>
      <c r="G251" s="171">
        <v>10</v>
      </c>
      <c r="H251" s="168">
        <f t="shared" si="8"/>
        <v>0</v>
      </c>
    </row>
    <row r="252" spans="1:8" ht="37.799999999999997" x14ac:dyDescent="0.45">
      <c r="A252" s="171" t="s">
        <v>3955</v>
      </c>
      <c r="B252" s="171"/>
      <c r="C252" s="106" t="s">
        <v>1039</v>
      </c>
      <c r="D252" s="106" t="s">
        <v>864</v>
      </c>
      <c r="E252" s="166"/>
      <c r="F252" s="171" t="s">
        <v>472</v>
      </c>
      <c r="G252" s="171">
        <v>10</v>
      </c>
      <c r="H252" s="168">
        <f t="shared" si="8"/>
        <v>0</v>
      </c>
    </row>
    <row r="253" spans="1:8" ht="37.799999999999997" x14ac:dyDescent="0.45">
      <c r="A253" s="171" t="s">
        <v>3956</v>
      </c>
      <c r="B253" s="171"/>
      <c r="C253" s="106" t="s">
        <v>1041</v>
      </c>
      <c r="D253" s="106" t="s">
        <v>864</v>
      </c>
      <c r="E253" s="166"/>
      <c r="F253" s="171" t="s">
        <v>472</v>
      </c>
      <c r="G253" s="171">
        <v>10</v>
      </c>
      <c r="H253" s="168">
        <f t="shared" si="8"/>
        <v>0</v>
      </c>
    </row>
    <row r="254" spans="1:8" ht="37.799999999999997" x14ac:dyDescent="0.45">
      <c r="A254" s="171" t="s">
        <v>3957</v>
      </c>
      <c r="B254" s="171"/>
      <c r="C254" s="106" t="s">
        <v>1043</v>
      </c>
      <c r="D254" s="106" t="s">
        <v>864</v>
      </c>
      <c r="E254" s="166"/>
      <c r="F254" s="171" t="s">
        <v>472</v>
      </c>
      <c r="G254" s="171">
        <v>10</v>
      </c>
      <c r="H254" s="168">
        <f t="shared" si="8"/>
        <v>0</v>
      </c>
    </row>
    <row r="255" spans="1:8" ht="37.799999999999997" x14ac:dyDescent="0.45">
      <c r="A255" s="171" t="s">
        <v>3958</v>
      </c>
      <c r="B255" s="171"/>
      <c r="C255" s="106" t="s">
        <v>1045</v>
      </c>
      <c r="D255" s="106" t="s">
        <v>864</v>
      </c>
      <c r="E255" s="166"/>
      <c r="F255" s="171" t="s">
        <v>472</v>
      </c>
      <c r="G255" s="171">
        <v>10</v>
      </c>
      <c r="H255" s="168">
        <f t="shared" si="8"/>
        <v>0</v>
      </c>
    </row>
    <row r="256" spans="1:8" ht="37.799999999999997" x14ac:dyDescent="0.45">
      <c r="A256" s="171" t="s">
        <v>3959</v>
      </c>
      <c r="B256" s="171"/>
      <c r="C256" s="106" t="s">
        <v>1047</v>
      </c>
      <c r="D256" s="106" t="s">
        <v>864</v>
      </c>
      <c r="E256" s="166"/>
      <c r="F256" s="171" t="s">
        <v>472</v>
      </c>
      <c r="G256" s="171">
        <v>10</v>
      </c>
      <c r="H256" s="168">
        <f t="shared" si="8"/>
        <v>0</v>
      </c>
    </row>
    <row r="257" spans="1:8" ht="37.799999999999997" x14ac:dyDescent="0.45">
      <c r="A257" s="171" t="s">
        <v>3960</v>
      </c>
      <c r="B257" s="171"/>
      <c r="C257" s="106" t="s">
        <v>1049</v>
      </c>
      <c r="D257" s="106" t="s">
        <v>864</v>
      </c>
      <c r="E257" s="166"/>
      <c r="F257" s="171" t="s">
        <v>472</v>
      </c>
      <c r="G257" s="171">
        <v>10</v>
      </c>
      <c r="H257" s="168">
        <f t="shared" si="8"/>
        <v>0</v>
      </c>
    </row>
    <row r="258" spans="1:8" ht="37.799999999999997" x14ac:dyDescent="0.45">
      <c r="A258" s="171" t="s">
        <v>3961</v>
      </c>
      <c r="B258" s="171"/>
      <c r="C258" s="106" t="s">
        <v>1051</v>
      </c>
      <c r="D258" s="106" t="s">
        <v>864</v>
      </c>
      <c r="E258" s="166"/>
      <c r="F258" s="171" t="s">
        <v>472</v>
      </c>
      <c r="G258" s="171">
        <v>10</v>
      </c>
      <c r="H258" s="168">
        <f t="shared" si="8"/>
        <v>0</v>
      </c>
    </row>
    <row r="259" spans="1:8" x14ac:dyDescent="0.45">
      <c r="A259" s="118" t="s">
        <v>3962</v>
      </c>
      <c r="B259" s="184" t="s">
        <v>180</v>
      </c>
      <c r="D259" s="120"/>
      <c r="E259" s="142"/>
      <c r="F259" s="171"/>
      <c r="G259" s="172"/>
      <c r="H259" s="220"/>
    </row>
    <row r="260" spans="1:8" ht="13" customHeight="1" x14ac:dyDescent="0.45">
      <c r="A260" s="310"/>
      <c r="B260" s="426" t="s">
        <v>1053</v>
      </c>
      <c r="C260" s="427"/>
      <c r="D260" s="428"/>
      <c r="E260" s="159"/>
      <c r="F260" s="209"/>
      <c r="G260" s="210"/>
      <c r="H260" s="163"/>
    </row>
    <row r="261" spans="1:8" ht="63" x14ac:dyDescent="0.45">
      <c r="A261" s="171" t="s">
        <v>3963</v>
      </c>
      <c r="B261" s="171"/>
      <c r="C261" s="106" t="s">
        <v>1055</v>
      </c>
      <c r="D261" s="106" t="s">
        <v>1056</v>
      </c>
      <c r="E261" s="166"/>
      <c r="F261" s="171" t="s">
        <v>633</v>
      </c>
      <c r="G261" s="172">
        <v>2500</v>
      </c>
      <c r="H261" s="168">
        <f>SUM(E261)*G261</f>
        <v>0</v>
      </c>
    </row>
    <row r="262" spans="1:8" ht="50.4" x14ac:dyDescent="0.45">
      <c r="A262" s="171" t="s">
        <v>3964</v>
      </c>
      <c r="B262" s="171"/>
      <c r="C262" s="106" t="s">
        <v>1058</v>
      </c>
      <c r="D262" s="106" t="s">
        <v>1059</v>
      </c>
      <c r="E262" s="166"/>
      <c r="F262" s="171" t="s">
        <v>633</v>
      </c>
      <c r="G262" s="172">
        <v>2500</v>
      </c>
      <c r="H262" s="168">
        <f>SUM(E262)*G262</f>
        <v>0</v>
      </c>
    </row>
    <row r="263" spans="1:8" ht="37.799999999999997" x14ac:dyDescent="0.45">
      <c r="A263" s="171" t="s">
        <v>3965</v>
      </c>
      <c r="B263" s="171"/>
      <c r="C263" s="106" t="s">
        <v>1061</v>
      </c>
      <c r="D263" s="106" t="s">
        <v>1062</v>
      </c>
      <c r="E263" s="190"/>
      <c r="F263" s="171" t="s">
        <v>1063</v>
      </c>
      <c r="G263" s="172" t="s">
        <v>1064</v>
      </c>
      <c r="H263" s="168">
        <v>100000</v>
      </c>
    </row>
    <row r="264" spans="1:8" x14ac:dyDescent="0.45">
      <c r="A264" s="191"/>
      <c r="B264" s="191"/>
      <c r="C264" s="192"/>
      <c r="D264" s="193"/>
      <c r="E264" s="194"/>
      <c r="F264" s="193"/>
      <c r="G264" s="195"/>
      <c r="H264" s="168"/>
    </row>
    <row r="265" spans="1:8" ht="7.5" customHeight="1" x14ac:dyDescent="0.45">
      <c r="A265" s="154"/>
      <c r="B265" s="154"/>
      <c r="C265" s="155"/>
      <c r="D265" s="155"/>
      <c r="E265" s="156"/>
      <c r="F265" s="155"/>
      <c r="G265" s="157"/>
      <c r="H265" s="158"/>
    </row>
    <row r="266" spans="1:8" ht="13.2" customHeight="1" x14ac:dyDescent="0.45">
      <c r="A266" s="411" t="s">
        <v>3966</v>
      </c>
      <c r="B266" s="412"/>
      <c r="C266" s="412"/>
      <c r="D266" s="412"/>
      <c r="E266" s="412"/>
      <c r="F266" s="412"/>
      <c r="G266" s="196"/>
      <c r="H266" s="436">
        <f>SUM(H15:H263)</f>
        <v>100000</v>
      </c>
    </row>
    <row r="267" spans="1:8" ht="7.5" customHeight="1" x14ac:dyDescent="0.45">
      <c r="A267" s="154"/>
      <c r="B267" s="154"/>
      <c r="C267" s="155"/>
      <c r="D267" s="155"/>
      <c r="E267" s="156"/>
      <c r="F267" s="155"/>
      <c r="G267" s="157"/>
      <c r="H267" s="158"/>
    </row>
  </sheetData>
  <mergeCells count="13">
    <mergeCell ref="A266:F266"/>
    <mergeCell ref="A7:H7"/>
    <mergeCell ref="A8:H8"/>
    <mergeCell ref="A9:H9"/>
    <mergeCell ref="A10:H10"/>
    <mergeCell ref="A12:D12"/>
    <mergeCell ref="B260:D260"/>
    <mergeCell ref="A6:H6"/>
    <mergeCell ref="A1:H1"/>
    <mergeCell ref="A2:H2"/>
    <mergeCell ref="A3:H3"/>
    <mergeCell ref="A4:H4"/>
    <mergeCell ref="A5:H5"/>
  </mergeCells>
  <printOptions horizontalCentered="1"/>
  <pageMargins left="0.28000000000000003" right="0.23" top="0.51" bottom="0.56000000000000005" header="0.3" footer="0.31"/>
  <pageSetup scale="80" orientation="landscape" horizontalDpi="4294967293" r:id="rId1"/>
  <headerFooter alignWithMargins="0">
    <oddFooter>&amp;C&amp;"Times New Roman,Regular"Page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6E3EB-2207-42B6-A93E-C59780BF3FAE}">
  <sheetPr>
    <tabColor rgb="FFFFFFCC"/>
  </sheetPr>
  <dimension ref="A1:XFB471"/>
  <sheetViews>
    <sheetView zoomScaleNormal="100" zoomScaleSheetLayoutView="100" workbookViewId="0">
      <selection activeCell="A11" sqref="A11"/>
    </sheetView>
  </sheetViews>
  <sheetFormatPr defaultColWidth="9.05859375" defaultRowHeight="12.6" x14ac:dyDescent="0.45"/>
  <cols>
    <col min="1" max="1" width="9.5859375" style="1" customWidth="1"/>
    <col min="2" max="3" width="9.8203125" style="105" customWidth="1"/>
    <col min="4" max="4" width="49.5859375" style="140" customWidth="1"/>
    <col min="5" max="6" width="9.5859375" style="105" customWidth="1"/>
    <col min="7" max="7" width="13.5859375" style="141" customWidth="1"/>
    <col min="8" max="8" width="17.5859375" style="141" customWidth="1"/>
    <col min="9" max="108" width="8.8203125" style="1" customWidth="1"/>
    <col min="109" max="16384" width="9.05859375" style="1"/>
  </cols>
  <sheetData>
    <row r="1" spans="1:16382" x14ac:dyDescent="0.45">
      <c r="A1" s="390" t="s">
        <v>4992</v>
      </c>
      <c r="B1" s="390"/>
      <c r="C1" s="390"/>
      <c r="D1" s="390"/>
      <c r="E1" s="390"/>
      <c r="F1" s="390"/>
      <c r="G1" s="390"/>
      <c r="H1" s="390"/>
      <c r="I1" s="392"/>
      <c r="J1" s="392"/>
      <c r="K1" s="392"/>
      <c r="L1" s="392"/>
      <c r="M1" s="392"/>
      <c r="N1" s="392"/>
    </row>
    <row r="2" spans="1:16382" x14ac:dyDescent="0.45">
      <c r="A2" s="390" t="s">
        <v>0</v>
      </c>
      <c r="B2" s="390"/>
      <c r="C2" s="390"/>
      <c r="D2" s="390"/>
      <c r="E2" s="390"/>
      <c r="F2" s="390"/>
      <c r="G2" s="390"/>
      <c r="H2" s="390"/>
      <c r="I2" s="392"/>
      <c r="J2" s="392"/>
      <c r="K2" s="392"/>
      <c r="L2" s="392"/>
      <c r="M2" s="392"/>
      <c r="N2" s="392"/>
    </row>
    <row r="3" spans="1:16382" x14ac:dyDescent="0.45">
      <c r="A3" s="390" t="s">
        <v>4991</v>
      </c>
      <c r="B3" s="390"/>
      <c r="C3" s="390"/>
      <c r="D3" s="390"/>
      <c r="E3" s="390"/>
      <c r="F3" s="390"/>
      <c r="G3" s="390"/>
      <c r="H3" s="390"/>
      <c r="I3" s="392"/>
      <c r="J3" s="392"/>
      <c r="K3" s="392"/>
      <c r="L3" s="392"/>
      <c r="M3" s="392"/>
      <c r="N3" s="392"/>
    </row>
    <row r="4" spans="1:16382" x14ac:dyDescent="0.45">
      <c r="A4" s="390"/>
      <c r="B4" s="390"/>
      <c r="C4" s="390"/>
      <c r="D4" s="391"/>
      <c r="E4" s="391"/>
      <c r="F4" s="391"/>
      <c r="G4" s="391"/>
      <c r="H4" s="391"/>
    </row>
    <row r="5" spans="1:16382" x14ac:dyDescent="0.45">
      <c r="A5" s="390" t="s">
        <v>4999</v>
      </c>
      <c r="B5" s="390"/>
      <c r="C5" s="390"/>
      <c r="D5" s="390"/>
      <c r="E5" s="390"/>
      <c r="F5" s="390"/>
      <c r="G5" s="390"/>
      <c r="H5" s="390"/>
      <c r="I5" s="390"/>
      <c r="J5" s="390"/>
      <c r="K5" s="390"/>
      <c r="L5" s="390"/>
      <c r="M5" s="390"/>
      <c r="N5" s="390"/>
      <c r="O5" s="390"/>
      <c r="P5" s="390"/>
      <c r="Q5" s="390"/>
      <c r="R5" s="390"/>
      <c r="S5" s="390"/>
      <c r="T5" s="390"/>
      <c r="U5" s="390"/>
      <c r="V5" s="390"/>
      <c r="W5" s="390"/>
      <c r="X5" s="390"/>
      <c r="Y5" s="390"/>
      <c r="Z5" s="390"/>
      <c r="AA5" s="390"/>
      <c r="AB5" s="390"/>
      <c r="AC5" s="390"/>
      <c r="AD5" s="390"/>
      <c r="AE5" s="390"/>
      <c r="AF5" s="390"/>
      <c r="AG5" s="390"/>
      <c r="AH5" s="390"/>
      <c r="AI5" s="390"/>
      <c r="AJ5" s="390"/>
      <c r="AK5" s="390"/>
      <c r="AL5" s="390"/>
      <c r="AM5" s="390"/>
      <c r="AN5" s="390"/>
      <c r="AO5" s="390"/>
      <c r="AP5" s="390"/>
      <c r="AQ5" s="390"/>
      <c r="AR5" s="390"/>
      <c r="AS5" s="390"/>
      <c r="AT5" s="390"/>
      <c r="AU5" s="390"/>
      <c r="AV5" s="390"/>
      <c r="AW5" s="390"/>
      <c r="AX5" s="390"/>
      <c r="AY5" s="390"/>
      <c r="AZ5" s="390"/>
      <c r="BA5" s="390"/>
      <c r="BB5" s="390"/>
      <c r="BC5" s="390"/>
      <c r="BD5" s="390"/>
      <c r="BE5" s="390"/>
      <c r="BF5" s="390"/>
      <c r="BG5" s="390"/>
      <c r="BH5" s="390"/>
      <c r="BI5" s="390"/>
      <c r="BJ5" s="390"/>
      <c r="BK5" s="390"/>
      <c r="BL5" s="390"/>
      <c r="BM5" s="390"/>
      <c r="BN5" s="390"/>
      <c r="BO5" s="390"/>
      <c r="BP5" s="390"/>
      <c r="BQ5" s="390"/>
      <c r="BR5" s="390"/>
      <c r="BS5" s="390"/>
      <c r="BT5" s="390"/>
      <c r="BU5" s="390"/>
      <c r="BV5" s="390"/>
      <c r="BW5" s="390"/>
      <c r="BX5" s="390"/>
      <c r="BY5" s="390"/>
      <c r="BZ5" s="390"/>
      <c r="CA5" s="390"/>
      <c r="CB5" s="390"/>
      <c r="CC5" s="390"/>
      <c r="CD5" s="390"/>
      <c r="CE5" s="390"/>
      <c r="CF5" s="390"/>
      <c r="CG5" s="390"/>
      <c r="CH5" s="390"/>
      <c r="CI5" s="390"/>
      <c r="CJ5" s="390"/>
      <c r="CK5" s="390"/>
      <c r="CL5" s="390"/>
      <c r="CM5" s="390"/>
      <c r="CN5" s="390"/>
      <c r="CO5" s="390"/>
      <c r="CP5" s="390"/>
      <c r="CQ5" s="390"/>
      <c r="CR5" s="390"/>
      <c r="CS5" s="390"/>
      <c r="CT5" s="390"/>
      <c r="CU5" s="390"/>
      <c r="CV5" s="390"/>
      <c r="CW5" s="390"/>
      <c r="CX5" s="390"/>
      <c r="CY5" s="390"/>
      <c r="CZ5" s="390"/>
      <c r="DA5" s="390"/>
      <c r="DB5" s="390"/>
      <c r="DC5" s="390"/>
      <c r="DD5" s="390"/>
      <c r="DE5" s="390"/>
      <c r="DF5" s="390"/>
      <c r="DG5" s="390"/>
      <c r="DH5" s="390"/>
      <c r="DI5" s="390"/>
      <c r="DJ5" s="390"/>
      <c r="DK5" s="390"/>
      <c r="DL5" s="390"/>
      <c r="DM5" s="390"/>
      <c r="DN5" s="390"/>
      <c r="DO5" s="390"/>
      <c r="DP5" s="390"/>
      <c r="DQ5" s="390"/>
      <c r="DR5" s="390"/>
      <c r="DS5" s="390"/>
      <c r="DT5" s="390"/>
      <c r="DU5" s="390"/>
      <c r="DV5" s="390"/>
      <c r="DW5" s="390"/>
      <c r="DX5" s="390"/>
      <c r="DY5" s="390"/>
      <c r="DZ5" s="390"/>
      <c r="EA5" s="390"/>
      <c r="EB5" s="390"/>
      <c r="EC5" s="390"/>
      <c r="ED5" s="390"/>
      <c r="EE5" s="390"/>
      <c r="EF5" s="390"/>
      <c r="EG5" s="390"/>
      <c r="EH5" s="390"/>
      <c r="EI5" s="390"/>
      <c r="EJ5" s="390"/>
      <c r="EK5" s="390"/>
      <c r="EL5" s="390"/>
      <c r="EM5" s="390"/>
      <c r="EN5" s="390"/>
      <c r="EO5" s="390"/>
      <c r="EP5" s="390"/>
      <c r="EQ5" s="390"/>
      <c r="ER5" s="390"/>
      <c r="ES5" s="390"/>
      <c r="ET5" s="390"/>
      <c r="EU5" s="390"/>
      <c r="EV5" s="390"/>
      <c r="EW5" s="390"/>
      <c r="EX5" s="390"/>
      <c r="EY5" s="390"/>
      <c r="EZ5" s="390"/>
      <c r="FA5" s="390"/>
      <c r="FB5" s="390"/>
      <c r="FC5" s="390"/>
      <c r="FD5" s="390"/>
      <c r="FE5" s="390"/>
      <c r="FF5" s="390"/>
      <c r="FG5" s="390"/>
      <c r="FH5" s="390"/>
      <c r="FI5" s="390"/>
      <c r="FJ5" s="390"/>
      <c r="FK5" s="390"/>
      <c r="FL5" s="390"/>
      <c r="FM5" s="390"/>
      <c r="FN5" s="390"/>
      <c r="FO5" s="390"/>
      <c r="FP5" s="390"/>
      <c r="FQ5" s="390"/>
      <c r="FR5" s="390"/>
      <c r="FS5" s="390"/>
      <c r="FT5" s="390"/>
      <c r="FU5" s="390"/>
      <c r="FV5" s="390"/>
      <c r="FW5" s="390"/>
      <c r="FX5" s="390"/>
      <c r="FY5" s="390"/>
      <c r="FZ5" s="390"/>
      <c r="GA5" s="390"/>
      <c r="GB5" s="390"/>
      <c r="GC5" s="390"/>
      <c r="GD5" s="390"/>
      <c r="GE5" s="390"/>
      <c r="GF5" s="390"/>
      <c r="GG5" s="390"/>
      <c r="GH5" s="390"/>
      <c r="GI5" s="390"/>
      <c r="GJ5" s="390"/>
      <c r="GK5" s="390"/>
      <c r="GL5" s="390"/>
      <c r="GM5" s="390"/>
      <c r="GN5" s="390"/>
      <c r="GO5" s="390"/>
      <c r="GP5" s="390"/>
      <c r="GQ5" s="390"/>
      <c r="GR5" s="390"/>
      <c r="GS5" s="390"/>
      <c r="GT5" s="390"/>
      <c r="GU5" s="390"/>
      <c r="GV5" s="390"/>
      <c r="GW5" s="390"/>
      <c r="GX5" s="390"/>
      <c r="GY5" s="390"/>
      <c r="GZ5" s="390"/>
      <c r="HA5" s="390"/>
      <c r="HB5" s="390"/>
      <c r="HC5" s="390"/>
      <c r="HD5" s="390"/>
      <c r="HE5" s="390"/>
      <c r="HF5" s="390"/>
      <c r="HG5" s="390"/>
      <c r="HH5" s="390"/>
      <c r="HI5" s="390"/>
      <c r="HJ5" s="390"/>
      <c r="HK5" s="390"/>
      <c r="HL5" s="390"/>
      <c r="HM5" s="390"/>
      <c r="HN5" s="390"/>
      <c r="HO5" s="390"/>
      <c r="HP5" s="390"/>
      <c r="HQ5" s="390"/>
      <c r="HR5" s="390"/>
      <c r="HS5" s="390"/>
      <c r="HT5" s="390"/>
      <c r="HU5" s="390"/>
      <c r="HV5" s="390"/>
      <c r="HW5" s="390"/>
      <c r="HX5" s="390"/>
      <c r="HY5" s="390"/>
      <c r="HZ5" s="390"/>
      <c r="IA5" s="390"/>
      <c r="IB5" s="390"/>
      <c r="IC5" s="390"/>
      <c r="ID5" s="390"/>
      <c r="IE5" s="390"/>
      <c r="IF5" s="390"/>
      <c r="IG5" s="390"/>
      <c r="IH5" s="390"/>
      <c r="II5" s="390"/>
      <c r="IJ5" s="390"/>
      <c r="IK5" s="390"/>
      <c r="IL5" s="390"/>
      <c r="IM5" s="390"/>
      <c r="IN5" s="390"/>
      <c r="IO5" s="390"/>
      <c r="IP5" s="390"/>
      <c r="IQ5" s="390"/>
      <c r="IR5" s="390"/>
      <c r="IS5" s="390"/>
      <c r="IT5" s="390"/>
      <c r="IU5" s="390"/>
      <c r="IV5" s="390"/>
      <c r="IW5" s="390"/>
      <c r="IX5" s="390"/>
      <c r="IY5" s="390"/>
      <c r="IZ5" s="390"/>
      <c r="JA5" s="390"/>
      <c r="JB5" s="390"/>
      <c r="JC5" s="390"/>
      <c r="JD5" s="390"/>
      <c r="JE5" s="390"/>
      <c r="JF5" s="390"/>
      <c r="JG5" s="390"/>
      <c r="JH5" s="390"/>
      <c r="JI5" s="390"/>
      <c r="JJ5" s="390"/>
      <c r="JK5" s="390"/>
      <c r="JL5" s="390"/>
      <c r="JM5" s="390"/>
      <c r="JN5" s="390"/>
      <c r="JO5" s="390"/>
      <c r="JP5" s="390"/>
      <c r="JQ5" s="390"/>
      <c r="JR5" s="390"/>
      <c r="JS5" s="390"/>
      <c r="JT5" s="390"/>
      <c r="JU5" s="390"/>
      <c r="JV5" s="390"/>
      <c r="JW5" s="390"/>
      <c r="JX5" s="390"/>
      <c r="JY5" s="390"/>
      <c r="JZ5" s="390"/>
      <c r="KA5" s="390"/>
      <c r="KB5" s="390"/>
      <c r="KC5" s="390"/>
      <c r="KD5" s="390"/>
      <c r="KE5" s="390"/>
      <c r="KF5" s="390"/>
      <c r="KG5" s="390"/>
      <c r="KH5" s="390"/>
      <c r="KI5" s="390"/>
      <c r="KJ5" s="390"/>
      <c r="KK5" s="390"/>
      <c r="KL5" s="390"/>
      <c r="KM5" s="390"/>
      <c r="KN5" s="390"/>
      <c r="KO5" s="390"/>
      <c r="KP5" s="390"/>
      <c r="KQ5" s="390"/>
      <c r="KR5" s="390"/>
      <c r="KS5" s="390"/>
      <c r="KT5" s="390"/>
      <c r="KU5" s="390"/>
      <c r="KV5" s="390"/>
      <c r="KW5" s="390"/>
      <c r="KX5" s="390"/>
      <c r="KY5" s="390"/>
      <c r="KZ5" s="390"/>
      <c r="LA5" s="390"/>
      <c r="LB5" s="390"/>
      <c r="LC5" s="390"/>
      <c r="LD5" s="390"/>
      <c r="LE5" s="390"/>
      <c r="LF5" s="390"/>
      <c r="LG5" s="390"/>
      <c r="LH5" s="390"/>
      <c r="LI5" s="390"/>
      <c r="LJ5" s="390"/>
      <c r="LK5" s="390"/>
      <c r="LL5" s="390"/>
      <c r="LM5" s="390"/>
      <c r="LN5" s="390"/>
      <c r="LO5" s="390"/>
      <c r="LP5" s="390"/>
      <c r="LQ5" s="390"/>
      <c r="LR5" s="390"/>
      <c r="LS5" s="390"/>
      <c r="LT5" s="390"/>
      <c r="LU5" s="390"/>
      <c r="LV5" s="390"/>
      <c r="LW5" s="390"/>
      <c r="LX5" s="390"/>
      <c r="LY5" s="390"/>
      <c r="LZ5" s="390"/>
      <c r="MA5" s="390"/>
      <c r="MB5" s="390"/>
      <c r="MC5" s="390"/>
      <c r="MD5" s="390"/>
      <c r="ME5" s="390"/>
      <c r="MF5" s="390"/>
      <c r="MG5" s="390"/>
      <c r="MH5" s="390"/>
      <c r="MI5" s="390"/>
      <c r="MJ5" s="390"/>
      <c r="MK5" s="390"/>
      <c r="ML5" s="390"/>
      <c r="MM5" s="390"/>
      <c r="MN5" s="390"/>
      <c r="MO5" s="390"/>
      <c r="MP5" s="390"/>
      <c r="MQ5" s="390"/>
      <c r="MR5" s="390"/>
      <c r="MS5" s="390"/>
      <c r="MT5" s="390"/>
      <c r="MU5" s="390"/>
      <c r="MV5" s="390"/>
      <c r="MW5" s="390"/>
      <c r="MX5" s="390"/>
      <c r="MY5" s="390"/>
      <c r="MZ5" s="390"/>
      <c r="NA5" s="390"/>
      <c r="NB5" s="390"/>
      <c r="NC5" s="390"/>
      <c r="ND5" s="390"/>
      <c r="NE5" s="390"/>
      <c r="NF5" s="390"/>
      <c r="NG5" s="390"/>
      <c r="NH5" s="390"/>
      <c r="NI5" s="390"/>
      <c r="NJ5" s="390"/>
      <c r="NK5" s="390"/>
      <c r="NL5" s="390"/>
      <c r="NM5" s="390"/>
      <c r="NN5" s="390"/>
      <c r="NO5" s="390"/>
      <c r="NP5" s="390"/>
      <c r="NQ5" s="390"/>
      <c r="NR5" s="390"/>
      <c r="NS5" s="390"/>
      <c r="NT5" s="390"/>
      <c r="NU5" s="390"/>
      <c r="NV5" s="390"/>
      <c r="NW5" s="390"/>
      <c r="NX5" s="390"/>
      <c r="NY5" s="390"/>
      <c r="NZ5" s="390"/>
      <c r="OA5" s="390"/>
      <c r="OB5" s="390"/>
      <c r="OC5" s="390"/>
      <c r="OD5" s="390"/>
      <c r="OE5" s="390"/>
      <c r="OF5" s="390"/>
      <c r="OG5" s="390"/>
      <c r="OH5" s="390"/>
      <c r="OI5" s="390"/>
      <c r="OJ5" s="390"/>
      <c r="OK5" s="390"/>
      <c r="OL5" s="390"/>
      <c r="OM5" s="390"/>
      <c r="ON5" s="390"/>
      <c r="OO5" s="390"/>
      <c r="OP5" s="390"/>
      <c r="OQ5" s="390"/>
      <c r="OR5" s="390"/>
      <c r="OS5" s="390"/>
      <c r="OT5" s="390"/>
      <c r="OU5" s="390"/>
      <c r="OV5" s="390"/>
      <c r="OW5" s="390"/>
      <c r="OX5" s="390"/>
      <c r="OY5" s="390"/>
      <c r="OZ5" s="390"/>
      <c r="PA5" s="390"/>
      <c r="PB5" s="390"/>
      <c r="PC5" s="390"/>
      <c r="PD5" s="390"/>
      <c r="PE5" s="390"/>
      <c r="PF5" s="390"/>
      <c r="PG5" s="390"/>
      <c r="PH5" s="390"/>
      <c r="PI5" s="390"/>
      <c r="PJ5" s="390"/>
      <c r="PK5" s="390"/>
      <c r="PL5" s="390"/>
      <c r="PM5" s="390"/>
      <c r="PN5" s="390"/>
      <c r="PO5" s="390"/>
      <c r="PP5" s="390"/>
      <c r="PQ5" s="390"/>
      <c r="PR5" s="390"/>
      <c r="PS5" s="390"/>
      <c r="PT5" s="390"/>
      <c r="PU5" s="390"/>
      <c r="PV5" s="390"/>
      <c r="PW5" s="390"/>
      <c r="PX5" s="390"/>
      <c r="PY5" s="390"/>
      <c r="PZ5" s="390"/>
      <c r="QA5" s="390"/>
      <c r="QB5" s="390"/>
      <c r="QC5" s="390"/>
      <c r="QD5" s="390"/>
      <c r="QE5" s="390"/>
      <c r="QF5" s="390"/>
      <c r="QG5" s="390"/>
      <c r="QH5" s="390"/>
      <c r="QI5" s="390"/>
      <c r="QJ5" s="390"/>
      <c r="QK5" s="390"/>
      <c r="QL5" s="390"/>
      <c r="QM5" s="390"/>
      <c r="QN5" s="390"/>
      <c r="QO5" s="390"/>
      <c r="QP5" s="390"/>
      <c r="QQ5" s="390"/>
      <c r="QR5" s="390"/>
      <c r="QS5" s="390"/>
      <c r="QT5" s="390"/>
      <c r="QU5" s="390"/>
      <c r="QV5" s="390"/>
      <c r="QW5" s="390"/>
      <c r="QX5" s="390"/>
      <c r="QY5" s="390"/>
      <c r="QZ5" s="390"/>
      <c r="RA5" s="390"/>
      <c r="RB5" s="390"/>
      <c r="RC5" s="390"/>
      <c r="RD5" s="390"/>
      <c r="RE5" s="390"/>
      <c r="RF5" s="390"/>
      <c r="RG5" s="390"/>
      <c r="RH5" s="390"/>
      <c r="RI5" s="390"/>
      <c r="RJ5" s="390"/>
      <c r="RK5" s="390"/>
      <c r="RL5" s="390"/>
      <c r="RM5" s="390"/>
      <c r="RN5" s="390"/>
      <c r="RO5" s="390"/>
      <c r="RP5" s="390"/>
      <c r="RQ5" s="390"/>
      <c r="RR5" s="390"/>
      <c r="RS5" s="390"/>
      <c r="RT5" s="390"/>
      <c r="RU5" s="390"/>
      <c r="RV5" s="390"/>
      <c r="RW5" s="390"/>
      <c r="RX5" s="390"/>
      <c r="RY5" s="390"/>
      <c r="RZ5" s="390"/>
      <c r="SA5" s="390"/>
      <c r="SB5" s="390"/>
      <c r="SC5" s="390"/>
      <c r="SD5" s="390"/>
      <c r="SE5" s="390"/>
      <c r="SF5" s="390"/>
      <c r="SG5" s="390"/>
      <c r="SH5" s="390"/>
      <c r="SI5" s="390"/>
      <c r="SJ5" s="390"/>
      <c r="SK5" s="390"/>
      <c r="SL5" s="390"/>
      <c r="SM5" s="390"/>
      <c r="SN5" s="390"/>
      <c r="SO5" s="390"/>
      <c r="SP5" s="390"/>
      <c r="SQ5" s="390"/>
      <c r="SR5" s="390"/>
      <c r="SS5" s="390"/>
      <c r="ST5" s="390"/>
      <c r="SU5" s="390"/>
      <c r="SV5" s="390"/>
      <c r="SW5" s="390"/>
      <c r="SX5" s="390"/>
      <c r="SY5" s="390"/>
      <c r="SZ5" s="390"/>
      <c r="TA5" s="390"/>
      <c r="TB5" s="390"/>
      <c r="TC5" s="390"/>
      <c r="TD5" s="390"/>
      <c r="TE5" s="390"/>
      <c r="TF5" s="390"/>
      <c r="TG5" s="390"/>
      <c r="TH5" s="390"/>
      <c r="TI5" s="390"/>
      <c r="TJ5" s="390"/>
      <c r="TK5" s="390"/>
      <c r="TL5" s="390"/>
      <c r="TM5" s="390"/>
      <c r="TN5" s="390"/>
      <c r="TO5" s="390"/>
      <c r="TP5" s="390"/>
      <c r="TQ5" s="390"/>
      <c r="TR5" s="390"/>
      <c r="TS5" s="390"/>
      <c r="TT5" s="390"/>
      <c r="TU5" s="390"/>
      <c r="TV5" s="390"/>
      <c r="TW5" s="390"/>
      <c r="TX5" s="390"/>
      <c r="TY5" s="390"/>
      <c r="TZ5" s="390"/>
      <c r="UA5" s="390"/>
      <c r="UB5" s="390"/>
      <c r="UC5" s="390"/>
      <c r="UD5" s="390"/>
      <c r="UE5" s="390"/>
      <c r="UF5" s="390"/>
      <c r="UG5" s="390"/>
      <c r="UH5" s="390"/>
      <c r="UI5" s="390"/>
      <c r="UJ5" s="390"/>
      <c r="UK5" s="390"/>
      <c r="UL5" s="390"/>
      <c r="UM5" s="390"/>
      <c r="UN5" s="390"/>
      <c r="UO5" s="390"/>
      <c r="UP5" s="390"/>
      <c r="UQ5" s="390"/>
      <c r="UR5" s="390"/>
      <c r="US5" s="390"/>
      <c r="UT5" s="390"/>
      <c r="UU5" s="390"/>
      <c r="UV5" s="390"/>
      <c r="UW5" s="390"/>
      <c r="UX5" s="390"/>
      <c r="UY5" s="390"/>
      <c r="UZ5" s="390"/>
      <c r="VA5" s="390"/>
      <c r="VB5" s="390"/>
      <c r="VC5" s="390"/>
      <c r="VD5" s="390"/>
      <c r="VE5" s="390"/>
      <c r="VF5" s="390"/>
      <c r="VG5" s="390"/>
      <c r="VH5" s="390"/>
      <c r="VI5" s="390"/>
      <c r="VJ5" s="390"/>
      <c r="VK5" s="390"/>
      <c r="VL5" s="390"/>
      <c r="VM5" s="390"/>
      <c r="VN5" s="390"/>
      <c r="VO5" s="390"/>
      <c r="VP5" s="390"/>
      <c r="VQ5" s="390"/>
      <c r="VR5" s="390"/>
      <c r="VS5" s="390"/>
      <c r="VT5" s="390"/>
      <c r="VU5" s="390"/>
      <c r="VV5" s="390"/>
      <c r="VW5" s="390"/>
      <c r="VX5" s="390"/>
      <c r="VY5" s="390"/>
      <c r="VZ5" s="390"/>
      <c r="WA5" s="390"/>
      <c r="WB5" s="390"/>
      <c r="WC5" s="390"/>
      <c r="WD5" s="390"/>
      <c r="WE5" s="390"/>
      <c r="WF5" s="390"/>
      <c r="WG5" s="390"/>
      <c r="WH5" s="390"/>
      <c r="WI5" s="390"/>
      <c r="WJ5" s="390"/>
      <c r="WK5" s="390"/>
      <c r="WL5" s="390"/>
      <c r="WM5" s="390"/>
      <c r="WN5" s="390"/>
      <c r="WO5" s="390"/>
      <c r="WP5" s="390"/>
      <c r="WQ5" s="390"/>
      <c r="WR5" s="390"/>
      <c r="WS5" s="390"/>
      <c r="WT5" s="390"/>
      <c r="WU5" s="390"/>
      <c r="WV5" s="390"/>
      <c r="WW5" s="390"/>
      <c r="WX5" s="390"/>
      <c r="WY5" s="390"/>
      <c r="WZ5" s="390"/>
      <c r="XA5" s="390"/>
      <c r="XB5" s="390"/>
      <c r="XC5" s="390"/>
      <c r="XD5" s="390"/>
      <c r="XE5" s="390"/>
      <c r="XF5" s="390"/>
      <c r="XG5" s="390"/>
      <c r="XH5" s="390"/>
      <c r="XI5" s="390"/>
      <c r="XJ5" s="390"/>
      <c r="XK5" s="390"/>
      <c r="XL5" s="390"/>
      <c r="XM5" s="390"/>
      <c r="XN5" s="390"/>
      <c r="XO5" s="390"/>
      <c r="XP5" s="390"/>
      <c r="XQ5" s="390"/>
      <c r="XR5" s="390"/>
      <c r="XS5" s="390"/>
      <c r="XT5" s="390"/>
      <c r="XU5" s="390"/>
      <c r="XV5" s="390"/>
      <c r="XW5" s="390"/>
      <c r="XX5" s="390"/>
      <c r="XY5" s="390"/>
      <c r="XZ5" s="390"/>
      <c r="YA5" s="390"/>
      <c r="YB5" s="390"/>
      <c r="YC5" s="390"/>
      <c r="YD5" s="390"/>
      <c r="YE5" s="390"/>
      <c r="YF5" s="390"/>
      <c r="YG5" s="390"/>
      <c r="YH5" s="390"/>
      <c r="YI5" s="390"/>
      <c r="YJ5" s="390"/>
      <c r="YK5" s="390"/>
      <c r="YL5" s="390"/>
      <c r="YM5" s="390"/>
      <c r="YN5" s="390"/>
      <c r="YO5" s="390"/>
      <c r="YP5" s="390"/>
      <c r="YQ5" s="390"/>
      <c r="YR5" s="390"/>
      <c r="YS5" s="390"/>
      <c r="YT5" s="390"/>
      <c r="YU5" s="390"/>
      <c r="YV5" s="390"/>
      <c r="YW5" s="390"/>
      <c r="YX5" s="390"/>
      <c r="YY5" s="390"/>
      <c r="YZ5" s="390"/>
      <c r="ZA5" s="390"/>
      <c r="ZB5" s="390"/>
      <c r="ZC5" s="390"/>
      <c r="ZD5" s="390"/>
      <c r="ZE5" s="390"/>
      <c r="ZF5" s="390"/>
      <c r="ZG5" s="390"/>
      <c r="ZH5" s="390"/>
      <c r="ZI5" s="390"/>
      <c r="ZJ5" s="390"/>
      <c r="ZK5" s="390"/>
      <c r="ZL5" s="390"/>
      <c r="ZM5" s="390"/>
      <c r="ZN5" s="390"/>
      <c r="ZO5" s="390"/>
      <c r="ZP5" s="390"/>
      <c r="ZQ5" s="390"/>
      <c r="ZR5" s="390"/>
      <c r="ZS5" s="390"/>
      <c r="ZT5" s="390"/>
      <c r="ZU5" s="390"/>
      <c r="ZV5" s="390"/>
      <c r="ZW5" s="390"/>
      <c r="ZX5" s="390"/>
      <c r="ZY5" s="390"/>
      <c r="ZZ5" s="390"/>
      <c r="AAA5" s="390"/>
      <c r="AAB5" s="390"/>
      <c r="AAC5" s="390"/>
      <c r="AAD5" s="390"/>
      <c r="AAE5" s="390"/>
      <c r="AAF5" s="390"/>
      <c r="AAG5" s="390"/>
      <c r="AAH5" s="390"/>
      <c r="AAI5" s="390"/>
      <c r="AAJ5" s="390"/>
      <c r="AAK5" s="390"/>
      <c r="AAL5" s="390"/>
      <c r="AAM5" s="390"/>
      <c r="AAN5" s="390"/>
      <c r="AAO5" s="390"/>
      <c r="AAP5" s="390"/>
      <c r="AAQ5" s="390"/>
      <c r="AAR5" s="390"/>
      <c r="AAS5" s="390"/>
      <c r="AAT5" s="390"/>
      <c r="AAU5" s="390"/>
      <c r="AAV5" s="390"/>
      <c r="AAW5" s="390"/>
      <c r="AAX5" s="390"/>
      <c r="AAY5" s="390"/>
      <c r="AAZ5" s="390"/>
      <c r="ABA5" s="390"/>
      <c r="ABB5" s="390"/>
      <c r="ABC5" s="390"/>
      <c r="ABD5" s="390"/>
      <c r="ABE5" s="390"/>
      <c r="ABF5" s="390"/>
      <c r="ABG5" s="390"/>
      <c r="ABH5" s="390"/>
      <c r="ABI5" s="390"/>
      <c r="ABJ5" s="390"/>
      <c r="ABK5" s="390"/>
      <c r="ABL5" s="390"/>
      <c r="ABM5" s="390"/>
      <c r="ABN5" s="390"/>
      <c r="ABO5" s="390"/>
      <c r="ABP5" s="390"/>
      <c r="ABQ5" s="390"/>
      <c r="ABR5" s="390"/>
      <c r="ABS5" s="390"/>
      <c r="ABT5" s="390"/>
      <c r="ABU5" s="390"/>
      <c r="ABV5" s="390"/>
      <c r="ABW5" s="390"/>
      <c r="ABX5" s="390"/>
      <c r="ABY5" s="390"/>
      <c r="ABZ5" s="390"/>
      <c r="ACA5" s="390"/>
      <c r="ACB5" s="390"/>
      <c r="ACC5" s="390"/>
      <c r="ACD5" s="390"/>
      <c r="ACE5" s="390"/>
      <c r="ACF5" s="390"/>
      <c r="ACG5" s="390"/>
      <c r="ACH5" s="390"/>
      <c r="ACI5" s="390"/>
      <c r="ACJ5" s="390"/>
      <c r="ACK5" s="390"/>
      <c r="ACL5" s="390"/>
      <c r="ACM5" s="390"/>
      <c r="ACN5" s="390"/>
      <c r="ACO5" s="390"/>
      <c r="ACP5" s="390"/>
      <c r="ACQ5" s="390"/>
      <c r="ACR5" s="390"/>
      <c r="ACS5" s="390"/>
      <c r="ACT5" s="390"/>
      <c r="ACU5" s="390"/>
      <c r="ACV5" s="390"/>
      <c r="ACW5" s="390"/>
      <c r="ACX5" s="390"/>
      <c r="ACY5" s="390"/>
      <c r="ACZ5" s="390"/>
      <c r="ADA5" s="390"/>
      <c r="ADB5" s="390"/>
      <c r="ADC5" s="390"/>
      <c r="ADD5" s="390"/>
      <c r="ADE5" s="390"/>
      <c r="ADF5" s="390"/>
      <c r="ADG5" s="390"/>
      <c r="ADH5" s="390"/>
      <c r="ADI5" s="390"/>
      <c r="ADJ5" s="390"/>
      <c r="ADK5" s="390"/>
      <c r="ADL5" s="390"/>
      <c r="ADM5" s="390"/>
      <c r="ADN5" s="390"/>
      <c r="ADO5" s="390"/>
      <c r="ADP5" s="390"/>
      <c r="ADQ5" s="390"/>
      <c r="ADR5" s="390"/>
      <c r="ADS5" s="390"/>
      <c r="ADT5" s="390"/>
      <c r="ADU5" s="390"/>
      <c r="ADV5" s="390"/>
      <c r="ADW5" s="390"/>
      <c r="ADX5" s="390"/>
      <c r="ADY5" s="390"/>
      <c r="ADZ5" s="390"/>
      <c r="AEA5" s="390"/>
      <c r="AEB5" s="390"/>
      <c r="AEC5" s="390"/>
      <c r="AED5" s="390"/>
      <c r="AEE5" s="390"/>
      <c r="AEF5" s="390"/>
      <c r="AEG5" s="390"/>
      <c r="AEH5" s="390"/>
      <c r="AEI5" s="390"/>
      <c r="AEJ5" s="390"/>
      <c r="AEK5" s="390"/>
      <c r="AEL5" s="390"/>
      <c r="AEM5" s="390"/>
      <c r="AEN5" s="390"/>
      <c r="AEO5" s="390"/>
      <c r="AEP5" s="390"/>
      <c r="AEQ5" s="390"/>
      <c r="AER5" s="390"/>
      <c r="AES5" s="390"/>
      <c r="AET5" s="390"/>
      <c r="AEU5" s="390"/>
      <c r="AEV5" s="390"/>
      <c r="AEW5" s="390"/>
      <c r="AEX5" s="390"/>
      <c r="AEY5" s="390"/>
      <c r="AEZ5" s="390"/>
      <c r="AFA5" s="390"/>
      <c r="AFB5" s="390"/>
      <c r="AFC5" s="390"/>
      <c r="AFD5" s="390"/>
      <c r="AFE5" s="390"/>
      <c r="AFF5" s="390"/>
      <c r="AFG5" s="390"/>
      <c r="AFH5" s="390"/>
      <c r="AFI5" s="390"/>
      <c r="AFJ5" s="390"/>
      <c r="AFK5" s="390"/>
      <c r="AFL5" s="390"/>
      <c r="AFM5" s="390"/>
      <c r="AFN5" s="390"/>
      <c r="AFO5" s="390"/>
      <c r="AFP5" s="390"/>
      <c r="AFQ5" s="390"/>
      <c r="AFR5" s="390"/>
      <c r="AFS5" s="390"/>
      <c r="AFT5" s="390"/>
      <c r="AFU5" s="390"/>
      <c r="AFV5" s="390"/>
      <c r="AFW5" s="390"/>
      <c r="AFX5" s="390"/>
      <c r="AFY5" s="390"/>
      <c r="AFZ5" s="390"/>
      <c r="AGA5" s="390"/>
      <c r="AGB5" s="390"/>
      <c r="AGC5" s="390"/>
      <c r="AGD5" s="390"/>
      <c r="AGE5" s="390"/>
      <c r="AGF5" s="390"/>
      <c r="AGG5" s="390"/>
      <c r="AGH5" s="390"/>
      <c r="AGI5" s="390"/>
      <c r="AGJ5" s="390"/>
      <c r="AGK5" s="390"/>
      <c r="AGL5" s="390"/>
      <c r="AGM5" s="390"/>
      <c r="AGN5" s="390"/>
      <c r="AGO5" s="390"/>
      <c r="AGP5" s="390"/>
      <c r="AGQ5" s="390"/>
      <c r="AGR5" s="390"/>
      <c r="AGS5" s="390"/>
      <c r="AGT5" s="390"/>
      <c r="AGU5" s="390"/>
      <c r="AGV5" s="390"/>
      <c r="AGW5" s="390"/>
      <c r="AGX5" s="390"/>
      <c r="AGY5" s="390"/>
      <c r="AGZ5" s="390"/>
      <c r="AHA5" s="390"/>
      <c r="AHB5" s="390"/>
      <c r="AHC5" s="390"/>
      <c r="AHD5" s="390"/>
      <c r="AHE5" s="390"/>
      <c r="AHF5" s="390"/>
      <c r="AHG5" s="390"/>
      <c r="AHH5" s="390"/>
      <c r="AHI5" s="390"/>
      <c r="AHJ5" s="390"/>
      <c r="AHK5" s="390"/>
      <c r="AHL5" s="390"/>
      <c r="AHM5" s="390"/>
      <c r="AHN5" s="390"/>
      <c r="AHO5" s="390"/>
      <c r="AHP5" s="390"/>
      <c r="AHQ5" s="390"/>
      <c r="AHR5" s="390"/>
      <c r="AHS5" s="390"/>
      <c r="AHT5" s="390"/>
      <c r="AHU5" s="390"/>
      <c r="AHV5" s="390"/>
      <c r="AHW5" s="390"/>
      <c r="AHX5" s="390"/>
      <c r="AHY5" s="390"/>
      <c r="AHZ5" s="390"/>
      <c r="AIA5" s="390"/>
      <c r="AIB5" s="390"/>
      <c r="AIC5" s="390"/>
      <c r="AID5" s="390"/>
      <c r="AIE5" s="390"/>
      <c r="AIF5" s="390"/>
      <c r="AIG5" s="390"/>
      <c r="AIH5" s="390"/>
      <c r="AII5" s="390"/>
      <c r="AIJ5" s="390"/>
      <c r="AIK5" s="390"/>
      <c r="AIL5" s="390"/>
      <c r="AIM5" s="390"/>
      <c r="AIN5" s="390"/>
      <c r="AIO5" s="390"/>
      <c r="AIP5" s="390"/>
      <c r="AIQ5" s="390"/>
      <c r="AIR5" s="390"/>
      <c r="AIS5" s="390"/>
      <c r="AIT5" s="390"/>
      <c r="AIU5" s="390"/>
      <c r="AIV5" s="390"/>
      <c r="AIW5" s="390"/>
      <c r="AIX5" s="390"/>
      <c r="AIY5" s="390"/>
      <c r="AIZ5" s="390"/>
      <c r="AJA5" s="390"/>
      <c r="AJB5" s="390"/>
      <c r="AJC5" s="390"/>
      <c r="AJD5" s="390"/>
      <c r="AJE5" s="390"/>
      <c r="AJF5" s="390"/>
      <c r="AJG5" s="390"/>
      <c r="AJH5" s="390"/>
      <c r="AJI5" s="390"/>
      <c r="AJJ5" s="390"/>
      <c r="AJK5" s="390"/>
      <c r="AJL5" s="390"/>
      <c r="AJM5" s="390"/>
      <c r="AJN5" s="390"/>
      <c r="AJO5" s="390"/>
      <c r="AJP5" s="390"/>
      <c r="AJQ5" s="390"/>
      <c r="AJR5" s="390"/>
      <c r="AJS5" s="390"/>
      <c r="AJT5" s="390"/>
      <c r="AJU5" s="390"/>
      <c r="AJV5" s="390"/>
      <c r="AJW5" s="390"/>
      <c r="AJX5" s="390"/>
      <c r="AJY5" s="390"/>
      <c r="AJZ5" s="390"/>
      <c r="AKA5" s="390"/>
      <c r="AKB5" s="390"/>
      <c r="AKC5" s="390"/>
      <c r="AKD5" s="390"/>
      <c r="AKE5" s="390"/>
      <c r="AKF5" s="390"/>
      <c r="AKG5" s="390"/>
      <c r="AKH5" s="390"/>
      <c r="AKI5" s="390"/>
      <c r="AKJ5" s="390"/>
      <c r="AKK5" s="390"/>
      <c r="AKL5" s="390"/>
      <c r="AKM5" s="390"/>
      <c r="AKN5" s="390"/>
      <c r="AKO5" s="390"/>
      <c r="AKP5" s="390"/>
      <c r="AKQ5" s="390"/>
      <c r="AKR5" s="390"/>
      <c r="AKS5" s="390"/>
      <c r="AKT5" s="390"/>
      <c r="AKU5" s="390"/>
      <c r="AKV5" s="390"/>
      <c r="AKW5" s="390"/>
      <c r="AKX5" s="390"/>
      <c r="AKY5" s="390"/>
      <c r="AKZ5" s="390"/>
      <c r="ALA5" s="390"/>
      <c r="ALB5" s="390"/>
      <c r="ALC5" s="390"/>
      <c r="ALD5" s="390"/>
      <c r="ALE5" s="390"/>
      <c r="ALF5" s="390"/>
      <c r="ALG5" s="390"/>
      <c r="ALH5" s="390"/>
      <c r="ALI5" s="390"/>
      <c r="ALJ5" s="390"/>
      <c r="ALK5" s="390"/>
      <c r="ALL5" s="390"/>
      <c r="ALM5" s="390"/>
      <c r="ALN5" s="390"/>
      <c r="ALO5" s="390"/>
      <c r="ALP5" s="390"/>
      <c r="ALQ5" s="390"/>
      <c r="ALR5" s="390"/>
      <c r="ALS5" s="390"/>
      <c r="ALT5" s="390"/>
      <c r="ALU5" s="390"/>
      <c r="ALV5" s="390"/>
      <c r="ALW5" s="390"/>
      <c r="ALX5" s="390"/>
      <c r="ALY5" s="390"/>
      <c r="ALZ5" s="390"/>
      <c r="AMA5" s="390"/>
      <c r="AMB5" s="390"/>
      <c r="AMC5" s="390"/>
      <c r="AMD5" s="390"/>
      <c r="AME5" s="390"/>
      <c r="AMF5" s="390"/>
      <c r="AMG5" s="390"/>
      <c r="AMH5" s="390"/>
      <c r="AMI5" s="390"/>
      <c r="AMJ5" s="390"/>
      <c r="AMK5" s="390"/>
      <c r="AML5" s="390"/>
      <c r="AMM5" s="390"/>
      <c r="AMN5" s="390"/>
      <c r="AMO5" s="390"/>
      <c r="AMP5" s="390"/>
      <c r="AMQ5" s="390"/>
      <c r="AMR5" s="390"/>
      <c r="AMS5" s="390"/>
      <c r="AMT5" s="390"/>
      <c r="AMU5" s="390"/>
      <c r="AMV5" s="390"/>
      <c r="AMW5" s="390"/>
      <c r="AMX5" s="390"/>
      <c r="AMY5" s="390"/>
      <c r="AMZ5" s="390"/>
      <c r="ANA5" s="390"/>
      <c r="ANB5" s="390"/>
      <c r="ANC5" s="390"/>
      <c r="AND5" s="390"/>
      <c r="ANE5" s="390"/>
      <c r="ANF5" s="390"/>
      <c r="ANG5" s="390"/>
      <c r="ANH5" s="390"/>
      <c r="ANI5" s="390"/>
      <c r="ANJ5" s="390"/>
      <c r="ANK5" s="390"/>
      <c r="ANL5" s="390"/>
      <c r="ANM5" s="390"/>
      <c r="ANN5" s="390"/>
      <c r="ANO5" s="390"/>
      <c r="ANP5" s="390"/>
      <c r="ANQ5" s="390"/>
      <c r="ANR5" s="390"/>
      <c r="ANS5" s="390"/>
      <c r="ANT5" s="390"/>
      <c r="ANU5" s="390"/>
      <c r="ANV5" s="390"/>
      <c r="ANW5" s="390"/>
      <c r="ANX5" s="390"/>
      <c r="ANY5" s="390"/>
      <c r="ANZ5" s="390"/>
      <c r="AOA5" s="390"/>
      <c r="AOB5" s="390"/>
      <c r="AOC5" s="390"/>
      <c r="AOD5" s="390"/>
      <c r="AOE5" s="390"/>
      <c r="AOF5" s="390"/>
      <c r="AOG5" s="390"/>
      <c r="AOH5" s="390"/>
      <c r="AOI5" s="390"/>
      <c r="AOJ5" s="390"/>
      <c r="AOK5" s="390"/>
      <c r="AOL5" s="390"/>
      <c r="AOM5" s="390"/>
      <c r="AON5" s="390"/>
      <c r="AOO5" s="390"/>
      <c r="AOP5" s="390"/>
      <c r="AOQ5" s="390"/>
      <c r="AOR5" s="390"/>
      <c r="AOS5" s="390"/>
      <c r="AOT5" s="390"/>
      <c r="AOU5" s="390"/>
      <c r="AOV5" s="390"/>
      <c r="AOW5" s="390"/>
      <c r="AOX5" s="390"/>
      <c r="AOY5" s="390"/>
      <c r="AOZ5" s="390"/>
      <c r="APA5" s="390"/>
      <c r="APB5" s="390"/>
      <c r="APC5" s="390"/>
      <c r="APD5" s="390"/>
      <c r="APE5" s="390"/>
      <c r="APF5" s="390"/>
      <c r="APG5" s="390"/>
      <c r="APH5" s="390"/>
      <c r="API5" s="390"/>
      <c r="APJ5" s="390"/>
      <c r="APK5" s="390"/>
      <c r="APL5" s="390"/>
      <c r="APM5" s="390"/>
      <c r="APN5" s="390"/>
      <c r="APO5" s="390"/>
      <c r="APP5" s="390"/>
      <c r="APQ5" s="390"/>
      <c r="APR5" s="390"/>
      <c r="APS5" s="390"/>
      <c r="APT5" s="390"/>
      <c r="APU5" s="390"/>
      <c r="APV5" s="390"/>
      <c r="APW5" s="390"/>
      <c r="APX5" s="390"/>
      <c r="APY5" s="390"/>
      <c r="APZ5" s="390"/>
      <c r="AQA5" s="390"/>
      <c r="AQB5" s="390"/>
      <c r="AQC5" s="390"/>
      <c r="AQD5" s="390"/>
      <c r="AQE5" s="390"/>
      <c r="AQF5" s="390"/>
      <c r="AQG5" s="390"/>
      <c r="AQH5" s="390"/>
      <c r="AQI5" s="390"/>
      <c r="AQJ5" s="390"/>
      <c r="AQK5" s="390"/>
      <c r="AQL5" s="390"/>
      <c r="AQM5" s="390"/>
      <c r="AQN5" s="390"/>
      <c r="AQO5" s="390"/>
      <c r="AQP5" s="390"/>
      <c r="AQQ5" s="390"/>
      <c r="AQR5" s="390"/>
      <c r="AQS5" s="390"/>
      <c r="AQT5" s="390"/>
      <c r="AQU5" s="390"/>
      <c r="AQV5" s="390"/>
      <c r="AQW5" s="390"/>
      <c r="AQX5" s="390"/>
      <c r="AQY5" s="390"/>
      <c r="AQZ5" s="390"/>
      <c r="ARA5" s="390"/>
      <c r="ARB5" s="390"/>
      <c r="ARC5" s="390"/>
      <c r="ARD5" s="390"/>
      <c r="ARE5" s="390"/>
      <c r="ARF5" s="390"/>
      <c r="ARG5" s="390"/>
      <c r="ARH5" s="390"/>
      <c r="ARI5" s="390"/>
      <c r="ARJ5" s="390"/>
      <c r="ARK5" s="390"/>
      <c r="ARL5" s="390"/>
      <c r="ARM5" s="390"/>
      <c r="ARN5" s="390"/>
      <c r="ARO5" s="390"/>
      <c r="ARP5" s="390"/>
      <c r="ARQ5" s="390"/>
      <c r="ARR5" s="390"/>
      <c r="ARS5" s="390"/>
      <c r="ART5" s="390"/>
      <c r="ARU5" s="390"/>
      <c r="ARV5" s="390"/>
      <c r="ARW5" s="390"/>
      <c r="ARX5" s="390"/>
      <c r="ARY5" s="390"/>
      <c r="ARZ5" s="390"/>
      <c r="ASA5" s="390"/>
      <c r="ASB5" s="390"/>
      <c r="ASC5" s="390"/>
      <c r="ASD5" s="390"/>
      <c r="ASE5" s="390"/>
      <c r="ASF5" s="390"/>
      <c r="ASG5" s="390"/>
      <c r="ASH5" s="390"/>
      <c r="ASI5" s="390"/>
      <c r="ASJ5" s="390"/>
      <c r="ASK5" s="390"/>
      <c r="ASL5" s="390"/>
      <c r="ASM5" s="390"/>
      <c r="ASN5" s="390"/>
      <c r="ASO5" s="390"/>
      <c r="ASP5" s="390"/>
      <c r="ASQ5" s="390"/>
      <c r="ASR5" s="390"/>
      <c r="ASS5" s="390"/>
      <c r="AST5" s="390"/>
      <c r="ASU5" s="390"/>
      <c r="ASV5" s="390"/>
      <c r="ASW5" s="390"/>
      <c r="ASX5" s="390"/>
      <c r="ASY5" s="390"/>
      <c r="ASZ5" s="390"/>
      <c r="ATA5" s="390"/>
      <c r="ATB5" s="390"/>
      <c r="ATC5" s="390"/>
      <c r="ATD5" s="390"/>
      <c r="ATE5" s="390"/>
      <c r="ATF5" s="390"/>
      <c r="ATG5" s="390"/>
      <c r="ATH5" s="390"/>
      <c r="ATI5" s="390"/>
      <c r="ATJ5" s="390"/>
      <c r="ATK5" s="390"/>
      <c r="ATL5" s="390"/>
      <c r="ATM5" s="390"/>
      <c r="ATN5" s="390"/>
      <c r="ATO5" s="390"/>
      <c r="ATP5" s="390"/>
      <c r="ATQ5" s="390"/>
      <c r="ATR5" s="390"/>
      <c r="ATS5" s="390"/>
      <c r="ATT5" s="390"/>
      <c r="ATU5" s="390"/>
      <c r="ATV5" s="390"/>
      <c r="ATW5" s="390"/>
      <c r="ATX5" s="390"/>
      <c r="ATY5" s="390"/>
      <c r="ATZ5" s="390"/>
      <c r="AUA5" s="390"/>
      <c r="AUB5" s="390"/>
      <c r="AUC5" s="390"/>
      <c r="AUD5" s="390"/>
      <c r="AUE5" s="390"/>
      <c r="AUF5" s="390"/>
      <c r="AUG5" s="390"/>
      <c r="AUH5" s="390"/>
      <c r="AUI5" s="390"/>
      <c r="AUJ5" s="390"/>
      <c r="AUK5" s="390"/>
      <c r="AUL5" s="390"/>
      <c r="AUM5" s="390"/>
      <c r="AUN5" s="390"/>
      <c r="AUO5" s="390"/>
      <c r="AUP5" s="390"/>
      <c r="AUQ5" s="390"/>
      <c r="AUR5" s="390"/>
      <c r="AUS5" s="390"/>
      <c r="AUT5" s="390"/>
      <c r="AUU5" s="390"/>
      <c r="AUV5" s="390"/>
      <c r="AUW5" s="390"/>
      <c r="AUX5" s="390"/>
      <c r="AUY5" s="390"/>
      <c r="AUZ5" s="390"/>
      <c r="AVA5" s="390"/>
      <c r="AVB5" s="390"/>
      <c r="AVC5" s="390"/>
      <c r="AVD5" s="390"/>
      <c r="AVE5" s="390"/>
      <c r="AVF5" s="390"/>
      <c r="AVG5" s="390"/>
      <c r="AVH5" s="390"/>
      <c r="AVI5" s="390"/>
      <c r="AVJ5" s="390"/>
      <c r="AVK5" s="390"/>
      <c r="AVL5" s="390"/>
      <c r="AVM5" s="390"/>
      <c r="AVN5" s="390"/>
      <c r="AVO5" s="390"/>
      <c r="AVP5" s="390"/>
      <c r="AVQ5" s="390"/>
      <c r="AVR5" s="390"/>
      <c r="AVS5" s="390"/>
      <c r="AVT5" s="390"/>
      <c r="AVU5" s="390"/>
      <c r="AVV5" s="390"/>
      <c r="AVW5" s="390"/>
      <c r="AVX5" s="390"/>
      <c r="AVY5" s="390"/>
      <c r="AVZ5" s="390"/>
      <c r="AWA5" s="390"/>
      <c r="AWB5" s="390"/>
      <c r="AWC5" s="390"/>
      <c r="AWD5" s="390"/>
      <c r="AWE5" s="390"/>
      <c r="AWF5" s="390"/>
      <c r="AWG5" s="390"/>
      <c r="AWH5" s="390"/>
      <c r="AWI5" s="390"/>
      <c r="AWJ5" s="390"/>
      <c r="AWK5" s="390"/>
      <c r="AWL5" s="390"/>
      <c r="AWM5" s="390"/>
      <c r="AWN5" s="390"/>
      <c r="AWO5" s="390"/>
      <c r="AWP5" s="390"/>
      <c r="AWQ5" s="390"/>
      <c r="AWR5" s="390"/>
      <c r="AWS5" s="390"/>
      <c r="AWT5" s="390"/>
      <c r="AWU5" s="390"/>
      <c r="AWV5" s="390"/>
      <c r="AWW5" s="390"/>
      <c r="AWX5" s="390"/>
      <c r="AWY5" s="390"/>
      <c r="AWZ5" s="390"/>
      <c r="AXA5" s="390"/>
      <c r="AXB5" s="390"/>
      <c r="AXC5" s="390"/>
      <c r="AXD5" s="390"/>
      <c r="AXE5" s="390"/>
      <c r="AXF5" s="390"/>
      <c r="AXG5" s="390"/>
      <c r="AXH5" s="390"/>
      <c r="AXI5" s="390"/>
      <c r="AXJ5" s="390"/>
      <c r="AXK5" s="390"/>
      <c r="AXL5" s="390"/>
      <c r="AXM5" s="390"/>
      <c r="AXN5" s="390"/>
      <c r="AXO5" s="390"/>
      <c r="AXP5" s="390"/>
      <c r="AXQ5" s="390"/>
      <c r="AXR5" s="390"/>
      <c r="AXS5" s="390"/>
      <c r="AXT5" s="390"/>
      <c r="AXU5" s="390"/>
      <c r="AXV5" s="390"/>
      <c r="AXW5" s="390"/>
      <c r="AXX5" s="390"/>
      <c r="AXY5" s="390"/>
      <c r="AXZ5" s="390"/>
      <c r="AYA5" s="390"/>
      <c r="AYB5" s="390"/>
      <c r="AYC5" s="390"/>
      <c r="AYD5" s="390"/>
      <c r="AYE5" s="390"/>
      <c r="AYF5" s="390"/>
      <c r="AYG5" s="390"/>
      <c r="AYH5" s="390"/>
      <c r="AYI5" s="390"/>
      <c r="AYJ5" s="390"/>
      <c r="AYK5" s="390"/>
      <c r="AYL5" s="390"/>
      <c r="AYM5" s="390"/>
      <c r="AYN5" s="390"/>
      <c r="AYO5" s="390"/>
      <c r="AYP5" s="390"/>
      <c r="AYQ5" s="390"/>
      <c r="AYR5" s="390"/>
      <c r="AYS5" s="390"/>
      <c r="AYT5" s="390"/>
      <c r="AYU5" s="390"/>
      <c r="AYV5" s="390"/>
      <c r="AYW5" s="390"/>
      <c r="AYX5" s="390"/>
      <c r="AYY5" s="390"/>
      <c r="AYZ5" s="390"/>
      <c r="AZA5" s="390"/>
      <c r="AZB5" s="390"/>
      <c r="AZC5" s="390"/>
      <c r="AZD5" s="390"/>
      <c r="AZE5" s="390"/>
      <c r="AZF5" s="390"/>
      <c r="AZG5" s="390"/>
      <c r="AZH5" s="390"/>
      <c r="AZI5" s="390"/>
      <c r="AZJ5" s="390"/>
      <c r="AZK5" s="390"/>
      <c r="AZL5" s="390"/>
      <c r="AZM5" s="390"/>
      <c r="AZN5" s="390"/>
      <c r="AZO5" s="390"/>
      <c r="AZP5" s="390"/>
      <c r="AZQ5" s="390"/>
      <c r="AZR5" s="390"/>
      <c r="AZS5" s="390"/>
      <c r="AZT5" s="390"/>
      <c r="AZU5" s="390"/>
      <c r="AZV5" s="390"/>
      <c r="AZW5" s="390"/>
      <c r="AZX5" s="390"/>
      <c r="AZY5" s="390"/>
      <c r="AZZ5" s="390"/>
      <c r="BAA5" s="390"/>
      <c r="BAB5" s="390"/>
      <c r="BAC5" s="390"/>
      <c r="BAD5" s="390"/>
      <c r="BAE5" s="390"/>
      <c r="BAF5" s="390"/>
      <c r="BAG5" s="390"/>
      <c r="BAH5" s="390"/>
      <c r="BAI5" s="390"/>
      <c r="BAJ5" s="390"/>
      <c r="BAK5" s="390"/>
      <c r="BAL5" s="390"/>
      <c r="BAM5" s="390"/>
      <c r="BAN5" s="390"/>
      <c r="BAO5" s="390"/>
      <c r="BAP5" s="390"/>
      <c r="BAQ5" s="390"/>
      <c r="BAR5" s="390"/>
      <c r="BAS5" s="390"/>
      <c r="BAT5" s="390"/>
      <c r="BAU5" s="390"/>
      <c r="BAV5" s="390"/>
      <c r="BAW5" s="390"/>
      <c r="BAX5" s="390"/>
      <c r="BAY5" s="390"/>
      <c r="BAZ5" s="390"/>
      <c r="BBA5" s="390"/>
      <c r="BBB5" s="390"/>
      <c r="BBC5" s="390"/>
      <c r="BBD5" s="390"/>
      <c r="BBE5" s="390"/>
      <c r="BBF5" s="390"/>
      <c r="BBG5" s="390"/>
      <c r="BBH5" s="390"/>
      <c r="BBI5" s="390"/>
      <c r="BBJ5" s="390"/>
      <c r="BBK5" s="390"/>
      <c r="BBL5" s="390"/>
      <c r="BBM5" s="390"/>
      <c r="BBN5" s="390"/>
      <c r="BBO5" s="390"/>
      <c r="BBP5" s="390"/>
      <c r="BBQ5" s="390"/>
      <c r="BBR5" s="390"/>
      <c r="BBS5" s="390"/>
      <c r="BBT5" s="390"/>
      <c r="BBU5" s="390"/>
      <c r="BBV5" s="390"/>
      <c r="BBW5" s="390"/>
      <c r="BBX5" s="390"/>
      <c r="BBY5" s="390"/>
      <c r="BBZ5" s="390"/>
      <c r="BCA5" s="390"/>
      <c r="BCB5" s="390"/>
      <c r="BCC5" s="390"/>
      <c r="BCD5" s="390"/>
      <c r="BCE5" s="390"/>
      <c r="BCF5" s="390"/>
      <c r="BCG5" s="390"/>
      <c r="BCH5" s="390"/>
      <c r="BCI5" s="390"/>
      <c r="BCJ5" s="390"/>
      <c r="BCK5" s="390"/>
      <c r="BCL5" s="390"/>
      <c r="BCM5" s="390"/>
      <c r="BCN5" s="390"/>
      <c r="BCO5" s="390"/>
      <c r="BCP5" s="390"/>
      <c r="BCQ5" s="390"/>
      <c r="BCR5" s="390"/>
      <c r="BCS5" s="390"/>
      <c r="BCT5" s="390"/>
      <c r="BCU5" s="390"/>
      <c r="BCV5" s="390"/>
      <c r="BCW5" s="390"/>
      <c r="BCX5" s="390"/>
      <c r="BCY5" s="390"/>
      <c r="BCZ5" s="390"/>
      <c r="BDA5" s="390"/>
      <c r="BDB5" s="390"/>
      <c r="BDC5" s="390"/>
      <c r="BDD5" s="390"/>
      <c r="BDE5" s="390"/>
      <c r="BDF5" s="390"/>
      <c r="BDG5" s="390"/>
      <c r="BDH5" s="390"/>
      <c r="BDI5" s="390"/>
      <c r="BDJ5" s="390"/>
      <c r="BDK5" s="390"/>
      <c r="BDL5" s="390"/>
      <c r="BDM5" s="390"/>
      <c r="BDN5" s="390"/>
      <c r="BDO5" s="390"/>
      <c r="BDP5" s="390"/>
      <c r="BDQ5" s="390"/>
      <c r="BDR5" s="390"/>
      <c r="BDS5" s="390"/>
      <c r="BDT5" s="390"/>
      <c r="BDU5" s="390"/>
      <c r="BDV5" s="390"/>
      <c r="BDW5" s="390"/>
      <c r="BDX5" s="390"/>
      <c r="BDY5" s="390"/>
      <c r="BDZ5" s="390"/>
      <c r="BEA5" s="390"/>
      <c r="BEB5" s="390"/>
      <c r="BEC5" s="390"/>
      <c r="BED5" s="390"/>
      <c r="BEE5" s="390"/>
      <c r="BEF5" s="390"/>
      <c r="BEG5" s="390"/>
      <c r="BEH5" s="390"/>
      <c r="BEI5" s="390"/>
      <c r="BEJ5" s="390"/>
      <c r="BEK5" s="390"/>
      <c r="BEL5" s="390"/>
      <c r="BEM5" s="390"/>
      <c r="BEN5" s="390"/>
      <c r="BEO5" s="390"/>
      <c r="BEP5" s="390"/>
      <c r="BEQ5" s="390"/>
      <c r="BER5" s="390"/>
      <c r="BES5" s="390"/>
      <c r="BET5" s="390"/>
      <c r="BEU5" s="390"/>
      <c r="BEV5" s="390"/>
      <c r="BEW5" s="390"/>
      <c r="BEX5" s="390"/>
      <c r="BEY5" s="390"/>
      <c r="BEZ5" s="390"/>
      <c r="BFA5" s="390"/>
      <c r="BFB5" s="390"/>
      <c r="BFC5" s="390"/>
      <c r="BFD5" s="390"/>
      <c r="BFE5" s="390"/>
      <c r="BFF5" s="390"/>
      <c r="BFG5" s="390"/>
      <c r="BFH5" s="390"/>
      <c r="BFI5" s="390"/>
      <c r="BFJ5" s="390"/>
      <c r="BFK5" s="390"/>
      <c r="BFL5" s="390"/>
      <c r="BFM5" s="390"/>
      <c r="BFN5" s="390"/>
      <c r="BFO5" s="390"/>
      <c r="BFP5" s="390"/>
      <c r="BFQ5" s="390"/>
      <c r="BFR5" s="390"/>
      <c r="BFS5" s="390"/>
      <c r="BFT5" s="390"/>
      <c r="BFU5" s="390"/>
      <c r="BFV5" s="390"/>
      <c r="BFW5" s="390"/>
      <c r="BFX5" s="390"/>
      <c r="BFY5" s="390"/>
      <c r="BFZ5" s="390"/>
      <c r="BGA5" s="390"/>
      <c r="BGB5" s="390"/>
      <c r="BGC5" s="390"/>
      <c r="BGD5" s="390"/>
      <c r="BGE5" s="390"/>
      <c r="BGF5" s="390"/>
      <c r="BGG5" s="390"/>
      <c r="BGH5" s="390"/>
      <c r="BGI5" s="390"/>
      <c r="BGJ5" s="390"/>
      <c r="BGK5" s="390"/>
      <c r="BGL5" s="390"/>
      <c r="BGM5" s="390"/>
      <c r="BGN5" s="390"/>
      <c r="BGO5" s="390"/>
      <c r="BGP5" s="390"/>
      <c r="BGQ5" s="390"/>
      <c r="BGR5" s="390"/>
      <c r="BGS5" s="390"/>
      <c r="BGT5" s="390"/>
      <c r="BGU5" s="390"/>
      <c r="BGV5" s="390"/>
      <c r="BGW5" s="390"/>
      <c r="BGX5" s="390"/>
      <c r="BGY5" s="390"/>
      <c r="BGZ5" s="390"/>
      <c r="BHA5" s="390"/>
      <c r="BHB5" s="390"/>
      <c r="BHC5" s="390"/>
      <c r="BHD5" s="390"/>
      <c r="BHE5" s="390"/>
      <c r="BHF5" s="390"/>
      <c r="BHG5" s="390"/>
      <c r="BHH5" s="390"/>
      <c r="BHI5" s="390"/>
      <c r="BHJ5" s="390"/>
      <c r="BHK5" s="390"/>
      <c r="BHL5" s="390"/>
      <c r="BHM5" s="390"/>
      <c r="BHN5" s="390"/>
      <c r="BHO5" s="390"/>
      <c r="BHP5" s="390"/>
      <c r="BHQ5" s="390"/>
      <c r="BHR5" s="390"/>
      <c r="BHS5" s="390"/>
      <c r="BHT5" s="390"/>
      <c r="BHU5" s="390"/>
      <c r="BHV5" s="390"/>
      <c r="BHW5" s="390"/>
      <c r="BHX5" s="390"/>
      <c r="BHY5" s="390"/>
      <c r="BHZ5" s="390"/>
      <c r="BIA5" s="390"/>
      <c r="BIB5" s="390"/>
      <c r="BIC5" s="390"/>
      <c r="BID5" s="390"/>
      <c r="BIE5" s="390"/>
      <c r="BIF5" s="390"/>
      <c r="BIG5" s="390"/>
      <c r="BIH5" s="390"/>
      <c r="BII5" s="390"/>
      <c r="BIJ5" s="390"/>
      <c r="BIK5" s="390"/>
      <c r="BIL5" s="390"/>
      <c r="BIM5" s="390"/>
      <c r="BIN5" s="390"/>
      <c r="BIO5" s="390"/>
      <c r="BIP5" s="390"/>
      <c r="BIQ5" s="390"/>
      <c r="BIR5" s="390"/>
      <c r="BIS5" s="390"/>
      <c r="BIT5" s="390"/>
      <c r="BIU5" s="390"/>
      <c r="BIV5" s="390"/>
      <c r="BIW5" s="390"/>
      <c r="BIX5" s="390"/>
      <c r="BIY5" s="390"/>
      <c r="BIZ5" s="390"/>
      <c r="BJA5" s="390"/>
      <c r="BJB5" s="390"/>
      <c r="BJC5" s="390"/>
      <c r="BJD5" s="390"/>
      <c r="BJE5" s="390"/>
      <c r="BJF5" s="390"/>
      <c r="BJG5" s="390"/>
      <c r="BJH5" s="390"/>
      <c r="BJI5" s="390"/>
      <c r="BJJ5" s="390"/>
      <c r="BJK5" s="390"/>
      <c r="BJL5" s="390"/>
      <c r="BJM5" s="390"/>
      <c r="BJN5" s="390"/>
      <c r="BJO5" s="390"/>
      <c r="BJP5" s="390"/>
      <c r="BJQ5" s="390"/>
      <c r="BJR5" s="390"/>
      <c r="BJS5" s="390"/>
      <c r="BJT5" s="390"/>
      <c r="BJU5" s="390"/>
      <c r="BJV5" s="390"/>
      <c r="BJW5" s="390"/>
      <c r="BJX5" s="390"/>
      <c r="BJY5" s="390"/>
      <c r="BJZ5" s="390"/>
      <c r="BKA5" s="390"/>
      <c r="BKB5" s="390"/>
      <c r="BKC5" s="390"/>
      <c r="BKD5" s="390"/>
      <c r="BKE5" s="390"/>
      <c r="BKF5" s="390"/>
      <c r="BKG5" s="390"/>
      <c r="BKH5" s="390"/>
      <c r="BKI5" s="390"/>
      <c r="BKJ5" s="390"/>
      <c r="BKK5" s="390"/>
      <c r="BKL5" s="390"/>
      <c r="BKM5" s="390"/>
      <c r="BKN5" s="390"/>
      <c r="BKO5" s="390"/>
      <c r="BKP5" s="390"/>
      <c r="BKQ5" s="390"/>
      <c r="BKR5" s="390"/>
      <c r="BKS5" s="390"/>
      <c r="BKT5" s="390"/>
      <c r="BKU5" s="390"/>
      <c r="BKV5" s="390"/>
      <c r="BKW5" s="390"/>
      <c r="BKX5" s="390"/>
      <c r="BKY5" s="390"/>
      <c r="BKZ5" s="390"/>
      <c r="BLA5" s="390"/>
      <c r="BLB5" s="390"/>
      <c r="BLC5" s="390"/>
      <c r="BLD5" s="390"/>
      <c r="BLE5" s="390"/>
      <c r="BLF5" s="390"/>
      <c r="BLG5" s="390"/>
      <c r="BLH5" s="390"/>
      <c r="BLI5" s="390"/>
      <c r="BLJ5" s="390"/>
      <c r="BLK5" s="390"/>
      <c r="BLL5" s="390"/>
      <c r="BLM5" s="390"/>
      <c r="BLN5" s="390"/>
      <c r="BLO5" s="390"/>
      <c r="BLP5" s="390"/>
      <c r="BLQ5" s="390"/>
      <c r="BLR5" s="390"/>
      <c r="BLS5" s="390"/>
      <c r="BLT5" s="390"/>
      <c r="BLU5" s="390"/>
      <c r="BLV5" s="390"/>
      <c r="BLW5" s="390"/>
      <c r="BLX5" s="390"/>
      <c r="BLY5" s="390"/>
      <c r="BLZ5" s="390"/>
      <c r="BMA5" s="390"/>
      <c r="BMB5" s="390"/>
      <c r="BMC5" s="390"/>
      <c r="BMD5" s="390"/>
      <c r="BME5" s="390"/>
      <c r="BMF5" s="390"/>
      <c r="BMG5" s="390"/>
      <c r="BMH5" s="390"/>
      <c r="BMI5" s="390"/>
      <c r="BMJ5" s="390"/>
      <c r="BMK5" s="390"/>
      <c r="BML5" s="390"/>
      <c r="BMM5" s="390"/>
      <c r="BMN5" s="390"/>
      <c r="BMO5" s="390"/>
      <c r="BMP5" s="390"/>
      <c r="BMQ5" s="390"/>
      <c r="BMR5" s="390"/>
      <c r="BMS5" s="390"/>
      <c r="BMT5" s="390"/>
      <c r="BMU5" s="390"/>
      <c r="BMV5" s="390"/>
      <c r="BMW5" s="390"/>
      <c r="BMX5" s="390"/>
      <c r="BMY5" s="390"/>
      <c r="BMZ5" s="390"/>
      <c r="BNA5" s="390"/>
      <c r="BNB5" s="390"/>
      <c r="BNC5" s="390"/>
      <c r="BND5" s="390"/>
      <c r="BNE5" s="390"/>
      <c r="BNF5" s="390"/>
      <c r="BNG5" s="390"/>
      <c r="BNH5" s="390"/>
      <c r="BNI5" s="390"/>
      <c r="BNJ5" s="390"/>
      <c r="BNK5" s="390"/>
      <c r="BNL5" s="390"/>
      <c r="BNM5" s="390"/>
      <c r="BNN5" s="390"/>
      <c r="BNO5" s="390"/>
      <c r="BNP5" s="390"/>
      <c r="BNQ5" s="390"/>
      <c r="BNR5" s="390"/>
      <c r="BNS5" s="390"/>
      <c r="BNT5" s="390"/>
      <c r="BNU5" s="390"/>
      <c r="BNV5" s="390"/>
      <c r="BNW5" s="390"/>
      <c r="BNX5" s="390"/>
      <c r="BNY5" s="390"/>
      <c r="BNZ5" s="390"/>
      <c r="BOA5" s="390"/>
      <c r="BOB5" s="390"/>
      <c r="BOC5" s="390"/>
      <c r="BOD5" s="390"/>
      <c r="BOE5" s="390"/>
      <c r="BOF5" s="390"/>
      <c r="BOG5" s="390"/>
      <c r="BOH5" s="390"/>
      <c r="BOI5" s="390"/>
      <c r="BOJ5" s="390"/>
      <c r="BOK5" s="390"/>
      <c r="BOL5" s="390"/>
      <c r="BOM5" s="390"/>
      <c r="BON5" s="390"/>
      <c r="BOO5" s="390"/>
      <c r="BOP5" s="390"/>
      <c r="BOQ5" s="390"/>
      <c r="BOR5" s="390"/>
      <c r="BOS5" s="390"/>
      <c r="BOT5" s="390"/>
      <c r="BOU5" s="390"/>
      <c r="BOV5" s="390"/>
      <c r="BOW5" s="390"/>
      <c r="BOX5" s="390"/>
      <c r="BOY5" s="390"/>
      <c r="BOZ5" s="390"/>
      <c r="BPA5" s="390"/>
      <c r="BPB5" s="390"/>
      <c r="BPC5" s="390"/>
      <c r="BPD5" s="390"/>
      <c r="BPE5" s="390"/>
      <c r="BPF5" s="390"/>
      <c r="BPG5" s="390"/>
      <c r="BPH5" s="390"/>
      <c r="BPI5" s="390"/>
      <c r="BPJ5" s="390"/>
      <c r="BPK5" s="390"/>
      <c r="BPL5" s="390"/>
      <c r="BPM5" s="390"/>
      <c r="BPN5" s="390"/>
      <c r="BPO5" s="390"/>
      <c r="BPP5" s="390"/>
      <c r="BPQ5" s="390"/>
      <c r="BPR5" s="390"/>
      <c r="BPS5" s="390"/>
      <c r="BPT5" s="390"/>
      <c r="BPU5" s="390"/>
      <c r="BPV5" s="390"/>
      <c r="BPW5" s="390"/>
      <c r="BPX5" s="390"/>
      <c r="BPY5" s="390"/>
      <c r="BPZ5" s="390"/>
      <c r="BQA5" s="390"/>
      <c r="BQB5" s="390"/>
      <c r="BQC5" s="390"/>
      <c r="BQD5" s="390"/>
      <c r="BQE5" s="390"/>
      <c r="BQF5" s="390"/>
      <c r="BQG5" s="390"/>
      <c r="BQH5" s="390"/>
      <c r="BQI5" s="390"/>
      <c r="BQJ5" s="390"/>
      <c r="BQK5" s="390"/>
      <c r="BQL5" s="390"/>
      <c r="BQM5" s="390"/>
      <c r="BQN5" s="390"/>
      <c r="BQO5" s="390"/>
      <c r="BQP5" s="390"/>
      <c r="BQQ5" s="390"/>
      <c r="BQR5" s="390"/>
      <c r="BQS5" s="390"/>
      <c r="BQT5" s="390"/>
      <c r="BQU5" s="390"/>
      <c r="BQV5" s="390"/>
      <c r="BQW5" s="390"/>
      <c r="BQX5" s="390"/>
      <c r="BQY5" s="390"/>
      <c r="BQZ5" s="390"/>
      <c r="BRA5" s="390"/>
      <c r="BRB5" s="390"/>
      <c r="BRC5" s="390"/>
      <c r="BRD5" s="390"/>
      <c r="BRE5" s="390"/>
      <c r="BRF5" s="390"/>
      <c r="BRG5" s="390"/>
      <c r="BRH5" s="390"/>
      <c r="BRI5" s="390"/>
      <c r="BRJ5" s="390"/>
      <c r="BRK5" s="390"/>
      <c r="BRL5" s="390"/>
      <c r="BRM5" s="390"/>
      <c r="BRN5" s="390"/>
      <c r="BRO5" s="390"/>
      <c r="BRP5" s="390"/>
      <c r="BRQ5" s="390"/>
      <c r="BRR5" s="390"/>
      <c r="BRS5" s="390"/>
      <c r="BRT5" s="390"/>
      <c r="BRU5" s="390"/>
      <c r="BRV5" s="390"/>
      <c r="BRW5" s="390"/>
      <c r="BRX5" s="390"/>
      <c r="BRY5" s="390"/>
      <c r="BRZ5" s="390"/>
      <c r="BSA5" s="390"/>
      <c r="BSB5" s="390"/>
      <c r="BSC5" s="390"/>
      <c r="BSD5" s="390"/>
      <c r="BSE5" s="390"/>
      <c r="BSF5" s="390"/>
      <c r="BSG5" s="390"/>
      <c r="BSH5" s="390"/>
      <c r="BSI5" s="390"/>
      <c r="BSJ5" s="390"/>
      <c r="BSK5" s="390"/>
      <c r="BSL5" s="390"/>
      <c r="BSM5" s="390"/>
      <c r="BSN5" s="390"/>
      <c r="BSO5" s="390"/>
      <c r="BSP5" s="390"/>
      <c r="BSQ5" s="390"/>
      <c r="BSR5" s="390"/>
      <c r="BSS5" s="390"/>
      <c r="BST5" s="390"/>
      <c r="BSU5" s="390"/>
      <c r="BSV5" s="390"/>
      <c r="BSW5" s="390"/>
      <c r="BSX5" s="390"/>
      <c r="BSY5" s="390"/>
      <c r="BSZ5" s="390"/>
      <c r="BTA5" s="390"/>
      <c r="BTB5" s="390"/>
      <c r="BTC5" s="390"/>
      <c r="BTD5" s="390"/>
      <c r="BTE5" s="390"/>
      <c r="BTF5" s="390"/>
      <c r="BTG5" s="390"/>
      <c r="BTH5" s="390"/>
      <c r="BTI5" s="390"/>
      <c r="BTJ5" s="390"/>
      <c r="BTK5" s="390"/>
      <c r="BTL5" s="390"/>
      <c r="BTM5" s="390"/>
      <c r="BTN5" s="390"/>
      <c r="BTO5" s="390"/>
      <c r="BTP5" s="390"/>
      <c r="BTQ5" s="390"/>
      <c r="BTR5" s="390"/>
      <c r="BTS5" s="390"/>
      <c r="BTT5" s="390"/>
      <c r="BTU5" s="390"/>
      <c r="BTV5" s="390"/>
      <c r="BTW5" s="390"/>
      <c r="BTX5" s="390"/>
      <c r="BTY5" s="390"/>
      <c r="BTZ5" s="390"/>
      <c r="BUA5" s="390"/>
      <c r="BUB5" s="390"/>
      <c r="BUC5" s="390"/>
      <c r="BUD5" s="390"/>
      <c r="BUE5" s="390"/>
      <c r="BUF5" s="390"/>
      <c r="BUG5" s="390"/>
      <c r="BUH5" s="390"/>
      <c r="BUI5" s="390"/>
      <c r="BUJ5" s="390"/>
      <c r="BUK5" s="390"/>
      <c r="BUL5" s="390"/>
      <c r="BUM5" s="390"/>
      <c r="BUN5" s="390"/>
      <c r="BUO5" s="390"/>
      <c r="BUP5" s="390"/>
      <c r="BUQ5" s="390"/>
      <c r="BUR5" s="390"/>
      <c r="BUS5" s="390"/>
      <c r="BUT5" s="390"/>
      <c r="BUU5" s="390"/>
      <c r="BUV5" s="390"/>
      <c r="BUW5" s="390"/>
      <c r="BUX5" s="390"/>
      <c r="BUY5" s="390"/>
      <c r="BUZ5" s="390"/>
      <c r="BVA5" s="390"/>
      <c r="BVB5" s="390"/>
      <c r="BVC5" s="390"/>
      <c r="BVD5" s="390"/>
      <c r="BVE5" s="390"/>
      <c r="BVF5" s="390"/>
      <c r="BVG5" s="390"/>
      <c r="BVH5" s="390"/>
      <c r="BVI5" s="390"/>
      <c r="BVJ5" s="390"/>
      <c r="BVK5" s="390"/>
      <c r="BVL5" s="390"/>
      <c r="BVM5" s="390"/>
      <c r="BVN5" s="390"/>
      <c r="BVO5" s="390"/>
      <c r="BVP5" s="390"/>
      <c r="BVQ5" s="390"/>
      <c r="BVR5" s="390"/>
      <c r="BVS5" s="390"/>
      <c r="BVT5" s="390"/>
      <c r="BVU5" s="390"/>
      <c r="BVV5" s="390"/>
      <c r="BVW5" s="390"/>
      <c r="BVX5" s="390"/>
      <c r="BVY5" s="390"/>
      <c r="BVZ5" s="390"/>
      <c r="BWA5" s="390"/>
      <c r="BWB5" s="390"/>
      <c r="BWC5" s="390"/>
      <c r="BWD5" s="390"/>
      <c r="BWE5" s="390"/>
      <c r="BWF5" s="390"/>
      <c r="BWG5" s="390"/>
      <c r="BWH5" s="390"/>
      <c r="BWI5" s="390"/>
      <c r="BWJ5" s="390"/>
      <c r="BWK5" s="390"/>
      <c r="BWL5" s="390"/>
      <c r="BWM5" s="390"/>
      <c r="BWN5" s="390"/>
      <c r="BWO5" s="390"/>
      <c r="BWP5" s="390"/>
      <c r="BWQ5" s="390"/>
      <c r="BWR5" s="390"/>
      <c r="BWS5" s="390"/>
      <c r="BWT5" s="390"/>
      <c r="BWU5" s="390"/>
      <c r="BWV5" s="390"/>
      <c r="BWW5" s="390"/>
      <c r="BWX5" s="390"/>
      <c r="BWY5" s="390"/>
      <c r="BWZ5" s="390"/>
      <c r="BXA5" s="390"/>
      <c r="BXB5" s="390"/>
      <c r="BXC5" s="390"/>
      <c r="BXD5" s="390"/>
      <c r="BXE5" s="390"/>
      <c r="BXF5" s="390"/>
      <c r="BXG5" s="390"/>
      <c r="BXH5" s="390"/>
      <c r="BXI5" s="390"/>
      <c r="BXJ5" s="390"/>
      <c r="BXK5" s="390"/>
      <c r="BXL5" s="390"/>
      <c r="BXM5" s="390"/>
      <c r="BXN5" s="390"/>
      <c r="BXO5" s="390"/>
      <c r="BXP5" s="390"/>
      <c r="BXQ5" s="390"/>
      <c r="BXR5" s="390"/>
      <c r="BXS5" s="390"/>
      <c r="BXT5" s="390"/>
      <c r="BXU5" s="390"/>
      <c r="BXV5" s="390"/>
      <c r="BXW5" s="390"/>
      <c r="BXX5" s="390"/>
      <c r="BXY5" s="390"/>
      <c r="BXZ5" s="390"/>
      <c r="BYA5" s="390"/>
      <c r="BYB5" s="390"/>
      <c r="BYC5" s="390"/>
      <c r="BYD5" s="390"/>
      <c r="BYE5" s="390"/>
      <c r="BYF5" s="390"/>
      <c r="BYG5" s="390"/>
      <c r="BYH5" s="390"/>
      <c r="BYI5" s="390"/>
      <c r="BYJ5" s="390"/>
      <c r="BYK5" s="390"/>
      <c r="BYL5" s="390"/>
      <c r="BYM5" s="390"/>
      <c r="BYN5" s="390"/>
      <c r="BYO5" s="390"/>
      <c r="BYP5" s="390"/>
      <c r="BYQ5" s="390"/>
      <c r="BYR5" s="390"/>
      <c r="BYS5" s="390"/>
      <c r="BYT5" s="390"/>
      <c r="BYU5" s="390"/>
      <c r="BYV5" s="390"/>
      <c r="BYW5" s="390"/>
      <c r="BYX5" s="390"/>
      <c r="BYY5" s="390"/>
      <c r="BYZ5" s="390"/>
      <c r="BZA5" s="390"/>
      <c r="BZB5" s="390"/>
      <c r="BZC5" s="390"/>
      <c r="BZD5" s="390"/>
      <c r="BZE5" s="390"/>
      <c r="BZF5" s="390"/>
      <c r="BZG5" s="390"/>
      <c r="BZH5" s="390"/>
      <c r="BZI5" s="390"/>
      <c r="BZJ5" s="390"/>
      <c r="BZK5" s="390"/>
      <c r="BZL5" s="390"/>
      <c r="BZM5" s="390"/>
      <c r="BZN5" s="390"/>
      <c r="BZO5" s="390"/>
      <c r="BZP5" s="390"/>
      <c r="BZQ5" s="390"/>
      <c r="BZR5" s="390"/>
      <c r="BZS5" s="390"/>
      <c r="BZT5" s="390"/>
      <c r="BZU5" s="390"/>
      <c r="BZV5" s="390"/>
      <c r="BZW5" s="390"/>
      <c r="BZX5" s="390"/>
      <c r="BZY5" s="390"/>
      <c r="BZZ5" s="390"/>
      <c r="CAA5" s="390"/>
      <c r="CAB5" s="390"/>
      <c r="CAC5" s="390"/>
      <c r="CAD5" s="390"/>
      <c r="CAE5" s="390"/>
      <c r="CAF5" s="390"/>
      <c r="CAG5" s="390"/>
      <c r="CAH5" s="390"/>
      <c r="CAI5" s="390"/>
      <c r="CAJ5" s="390"/>
      <c r="CAK5" s="390"/>
      <c r="CAL5" s="390"/>
      <c r="CAM5" s="390"/>
      <c r="CAN5" s="390"/>
      <c r="CAO5" s="390"/>
      <c r="CAP5" s="390"/>
      <c r="CAQ5" s="390"/>
      <c r="CAR5" s="390"/>
      <c r="CAS5" s="390"/>
      <c r="CAT5" s="390"/>
      <c r="CAU5" s="390"/>
      <c r="CAV5" s="390"/>
      <c r="CAW5" s="390"/>
      <c r="CAX5" s="390"/>
      <c r="CAY5" s="390"/>
      <c r="CAZ5" s="390"/>
      <c r="CBA5" s="390"/>
      <c r="CBB5" s="390"/>
      <c r="CBC5" s="390"/>
      <c r="CBD5" s="390"/>
      <c r="CBE5" s="390"/>
      <c r="CBF5" s="390"/>
      <c r="CBG5" s="390"/>
      <c r="CBH5" s="390"/>
      <c r="CBI5" s="390"/>
      <c r="CBJ5" s="390"/>
      <c r="CBK5" s="390"/>
      <c r="CBL5" s="390"/>
      <c r="CBM5" s="390"/>
      <c r="CBN5" s="390"/>
      <c r="CBO5" s="390"/>
      <c r="CBP5" s="390"/>
      <c r="CBQ5" s="390"/>
      <c r="CBR5" s="390"/>
      <c r="CBS5" s="390"/>
      <c r="CBT5" s="390"/>
      <c r="CBU5" s="390"/>
      <c r="CBV5" s="390"/>
      <c r="CBW5" s="390"/>
      <c r="CBX5" s="390"/>
      <c r="CBY5" s="390"/>
      <c r="CBZ5" s="390"/>
      <c r="CCA5" s="390"/>
      <c r="CCB5" s="390"/>
      <c r="CCC5" s="390"/>
      <c r="CCD5" s="390"/>
      <c r="CCE5" s="390"/>
      <c r="CCF5" s="390"/>
      <c r="CCG5" s="390"/>
      <c r="CCH5" s="390"/>
      <c r="CCI5" s="390"/>
      <c r="CCJ5" s="390"/>
      <c r="CCK5" s="390"/>
      <c r="CCL5" s="390"/>
      <c r="CCM5" s="390"/>
      <c r="CCN5" s="390"/>
      <c r="CCO5" s="390"/>
      <c r="CCP5" s="390"/>
      <c r="CCQ5" s="390"/>
      <c r="CCR5" s="390"/>
      <c r="CCS5" s="390"/>
      <c r="CCT5" s="390"/>
      <c r="CCU5" s="390"/>
      <c r="CCV5" s="390"/>
      <c r="CCW5" s="390"/>
      <c r="CCX5" s="390"/>
      <c r="CCY5" s="390"/>
      <c r="CCZ5" s="390"/>
      <c r="CDA5" s="390"/>
      <c r="CDB5" s="390"/>
      <c r="CDC5" s="390"/>
      <c r="CDD5" s="390"/>
      <c r="CDE5" s="390"/>
      <c r="CDF5" s="390"/>
      <c r="CDG5" s="390"/>
      <c r="CDH5" s="390"/>
      <c r="CDI5" s="390"/>
      <c r="CDJ5" s="390"/>
      <c r="CDK5" s="390"/>
      <c r="CDL5" s="390"/>
      <c r="CDM5" s="390"/>
      <c r="CDN5" s="390"/>
      <c r="CDO5" s="390"/>
      <c r="CDP5" s="390"/>
      <c r="CDQ5" s="390"/>
      <c r="CDR5" s="390"/>
      <c r="CDS5" s="390"/>
      <c r="CDT5" s="390"/>
      <c r="CDU5" s="390"/>
      <c r="CDV5" s="390"/>
      <c r="CDW5" s="390"/>
      <c r="CDX5" s="390"/>
      <c r="CDY5" s="390"/>
      <c r="CDZ5" s="390"/>
      <c r="CEA5" s="390"/>
      <c r="CEB5" s="390"/>
      <c r="CEC5" s="390"/>
      <c r="CED5" s="390"/>
      <c r="CEE5" s="390"/>
      <c r="CEF5" s="390"/>
      <c r="CEG5" s="390"/>
      <c r="CEH5" s="390"/>
      <c r="CEI5" s="390"/>
      <c r="CEJ5" s="390"/>
      <c r="CEK5" s="390"/>
      <c r="CEL5" s="390"/>
      <c r="CEM5" s="390"/>
      <c r="CEN5" s="390"/>
      <c r="CEO5" s="390"/>
      <c r="CEP5" s="390"/>
      <c r="CEQ5" s="390"/>
      <c r="CER5" s="390"/>
      <c r="CES5" s="390"/>
      <c r="CET5" s="390"/>
      <c r="CEU5" s="390"/>
      <c r="CEV5" s="390"/>
      <c r="CEW5" s="390"/>
      <c r="CEX5" s="390"/>
      <c r="CEY5" s="390"/>
      <c r="CEZ5" s="390"/>
      <c r="CFA5" s="390"/>
      <c r="CFB5" s="390"/>
      <c r="CFC5" s="390"/>
      <c r="CFD5" s="390"/>
      <c r="CFE5" s="390"/>
      <c r="CFF5" s="390"/>
      <c r="CFG5" s="390"/>
      <c r="CFH5" s="390"/>
      <c r="CFI5" s="390"/>
      <c r="CFJ5" s="390"/>
      <c r="CFK5" s="390"/>
      <c r="CFL5" s="390"/>
      <c r="CFM5" s="390"/>
      <c r="CFN5" s="390"/>
      <c r="CFO5" s="390"/>
      <c r="CFP5" s="390"/>
      <c r="CFQ5" s="390"/>
      <c r="CFR5" s="390"/>
      <c r="CFS5" s="390"/>
      <c r="CFT5" s="390"/>
      <c r="CFU5" s="390"/>
      <c r="CFV5" s="390"/>
      <c r="CFW5" s="390"/>
      <c r="CFX5" s="390"/>
      <c r="CFY5" s="390"/>
      <c r="CFZ5" s="390"/>
      <c r="CGA5" s="390"/>
      <c r="CGB5" s="390"/>
      <c r="CGC5" s="390"/>
      <c r="CGD5" s="390"/>
      <c r="CGE5" s="390"/>
      <c r="CGF5" s="390"/>
      <c r="CGG5" s="390"/>
      <c r="CGH5" s="390"/>
      <c r="CGI5" s="390"/>
      <c r="CGJ5" s="390"/>
      <c r="CGK5" s="390"/>
      <c r="CGL5" s="390"/>
      <c r="CGM5" s="390"/>
      <c r="CGN5" s="390"/>
      <c r="CGO5" s="390"/>
      <c r="CGP5" s="390"/>
      <c r="CGQ5" s="390"/>
      <c r="CGR5" s="390"/>
      <c r="CGS5" s="390"/>
      <c r="CGT5" s="390"/>
      <c r="CGU5" s="390"/>
      <c r="CGV5" s="390"/>
      <c r="CGW5" s="390"/>
      <c r="CGX5" s="390"/>
      <c r="CGY5" s="390"/>
      <c r="CGZ5" s="390"/>
      <c r="CHA5" s="390"/>
      <c r="CHB5" s="390"/>
      <c r="CHC5" s="390"/>
      <c r="CHD5" s="390"/>
      <c r="CHE5" s="390"/>
      <c r="CHF5" s="390"/>
      <c r="CHG5" s="390"/>
      <c r="CHH5" s="390"/>
      <c r="CHI5" s="390"/>
      <c r="CHJ5" s="390"/>
      <c r="CHK5" s="390"/>
      <c r="CHL5" s="390"/>
      <c r="CHM5" s="390"/>
      <c r="CHN5" s="390"/>
      <c r="CHO5" s="390"/>
      <c r="CHP5" s="390"/>
      <c r="CHQ5" s="390"/>
      <c r="CHR5" s="390"/>
      <c r="CHS5" s="390"/>
      <c r="CHT5" s="390"/>
      <c r="CHU5" s="390"/>
      <c r="CHV5" s="390"/>
      <c r="CHW5" s="390"/>
      <c r="CHX5" s="390"/>
      <c r="CHY5" s="390"/>
      <c r="CHZ5" s="390"/>
      <c r="CIA5" s="390"/>
      <c r="CIB5" s="390"/>
      <c r="CIC5" s="390"/>
      <c r="CID5" s="390"/>
      <c r="CIE5" s="390"/>
      <c r="CIF5" s="390"/>
      <c r="CIG5" s="390"/>
      <c r="CIH5" s="390"/>
      <c r="CII5" s="390"/>
      <c r="CIJ5" s="390"/>
      <c r="CIK5" s="390"/>
      <c r="CIL5" s="390"/>
      <c r="CIM5" s="390"/>
      <c r="CIN5" s="390"/>
      <c r="CIO5" s="390"/>
      <c r="CIP5" s="390"/>
      <c r="CIQ5" s="390"/>
      <c r="CIR5" s="390"/>
      <c r="CIS5" s="390"/>
      <c r="CIT5" s="390"/>
      <c r="CIU5" s="390"/>
      <c r="CIV5" s="390"/>
      <c r="CIW5" s="390"/>
      <c r="CIX5" s="390"/>
      <c r="CIY5" s="390"/>
      <c r="CIZ5" s="390"/>
      <c r="CJA5" s="390"/>
      <c r="CJB5" s="390"/>
      <c r="CJC5" s="390"/>
      <c r="CJD5" s="390"/>
      <c r="CJE5" s="390"/>
      <c r="CJF5" s="390"/>
      <c r="CJG5" s="390"/>
      <c r="CJH5" s="390"/>
      <c r="CJI5" s="390"/>
      <c r="CJJ5" s="390"/>
      <c r="CJK5" s="390"/>
      <c r="CJL5" s="390"/>
      <c r="CJM5" s="390"/>
      <c r="CJN5" s="390"/>
      <c r="CJO5" s="390"/>
      <c r="CJP5" s="390"/>
      <c r="CJQ5" s="390"/>
      <c r="CJR5" s="390"/>
      <c r="CJS5" s="390"/>
      <c r="CJT5" s="390"/>
      <c r="CJU5" s="390"/>
      <c r="CJV5" s="390"/>
      <c r="CJW5" s="390"/>
      <c r="CJX5" s="390"/>
      <c r="CJY5" s="390"/>
      <c r="CJZ5" s="390"/>
      <c r="CKA5" s="390"/>
      <c r="CKB5" s="390"/>
      <c r="CKC5" s="390"/>
      <c r="CKD5" s="390"/>
      <c r="CKE5" s="390"/>
      <c r="CKF5" s="390"/>
      <c r="CKG5" s="390"/>
      <c r="CKH5" s="390"/>
      <c r="CKI5" s="390"/>
      <c r="CKJ5" s="390"/>
      <c r="CKK5" s="390"/>
      <c r="CKL5" s="390"/>
      <c r="CKM5" s="390"/>
      <c r="CKN5" s="390"/>
      <c r="CKO5" s="390"/>
      <c r="CKP5" s="390"/>
      <c r="CKQ5" s="390"/>
      <c r="CKR5" s="390"/>
      <c r="CKS5" s="390"/>
      <c r="CKT5" s="390"/>
      <c r="CKU5" s="390"/>
      <c r="CKV5" s="390"/>
      <c r="CKW5" s="390"/>
      <c r="CKX5" s="390"/>
      <c r="CKY5" s="390"/>
      <c r="CKZ5" s="390"/>
      <c r="CLA5" s="390"/>
      <c r="CLB5" s="390"/>
      <c r="CLC5" s="390"/>
      <c r="CLD5" s="390"/>
      <c r="CLE5" s="390"/>
      <c r="CLF5" s="390"/>
      <c r="CLG5" s="390"/>
      <c r="CLH5" s="390"/>
      <c r="CLI5" s="390"/>
      <c r="CLJ5" s="390"/>
      <c r="CLK5" s="390"/>
      <c r="CLL5" s="390"/>
      <c r="CLM5" s="390"/>
      <c r="CLN5" s="390"/>
      <c r="CLO5" s="390"/>
      <c r="CLP5" s="390"/>
      <c r="CLQ5" s="390"/>
      <c r="CLR5" s="390"/>
      <c r="CLS5" s="390"/>
      <c r="CLT5" s="390"/>
      <c r="CLU5" s="390"/>
      <c r="CLV5" s="390"/>
      <c r="CLW5" s="390"/>
      <c r="CLX5" s="390"/>
      <c r="CLY5" s="390"/>
      <c r="CLZ5" s="390"/>
      <c r="CMA5" s="390"/>
      <c r="CMB5" s="390"/>
      <c r="CMC5" s="390"/>
      <c r="CMD5" s="390"/>
      <c r="CME5" s="390"/>
      <c r="CMF5" s="390"/>
      <c r="CMG5" s="390"/>
      <c r="CMH5" s="390"/>
      <c r="CMI5" s="390"/>
      <c r="CMJ5" s="390"/>
      <c r="CMK5" s="390"/>
      <c r="CML5" s="390"/>
      <c r="CMM5" s="390"/>
      <c r="CMN5" s="390"/>
      <c r="CMO5" s="390"/>
      <c r="CMP5" s="390"/>
      <c r="CMQ5" s="390"/>
      <c r="CMR5" s="390"/>
      <c r="CMS5" s="390"/>
      <c r="CMT5" s="390"/>
      <c r="CMU5" s="390"/>
      <c r="CMV5" s="390"/>
      <c r="CMW5" s="390"/>
      <c r="CMX5" s="390"/>
      <c r="CMY5" s="390"/>
      <c r="CMZ5" s="390"/>
      <c r="CNA5" s="390"/>
      <c r="CNB5" s="390"/>
      <c r="CNC5" s="390"/>
      <c r="CND5" s="390"/>
      <c r="CNE5" s="390"/>
      <c r="CNF5" s="390"/>
      <c r="CNG5" s="390"/>
      <c r="CNH5" s="390"/>
      <c r="CNI5" s="390"/>
      <c r="CNJ5" s="390"/>
      <c r="CNK5" s="390"/>
      <c r="CNL5" s="390"/>
      <c r="CNM5" s="390"/>
      <c r="CNN5" s="390"/>
      <c r="CNO5" s="390"/>
      <c r="CNP5" s="390"/>
      <c r="CNQ5" s="390"/>
      <c r="CNR5" s="390"/>
      <c r="CNS5" s="390"/>
      <c r="CNT5" s="390"/>
      <c r="CNU5" s="390"/>
      <c r="CNV5" s="390"/>
      <c r="CNW5" s="390"/>
      <c r="CNX5" s="390"/>
      <c r="CNY5" s="390"/>
      <c r="CNZ5" s="390"/>
      <c r="COA5" s="390"/>
      <c r="COB5" s="390"/>
      <c r="COC5" s="390"/>
      <c r="COD5" s="390"/>
      <c r="COE5" s="390"/>
      <c r="COF5" s="390"/>
      <c r="COG5" s="390"/>
      <c r="COH5" s="390"/>
      <c r="COI5" s="390"/>
      <c r="COJ5" s="390"/>
      <c r="COK5" s="390"/>
      <c r="COL5" s="390"/>
      <c r="COM5" s="390"/>
      <c r="CON5" s="390"/>
      <c r="COO5" s="390"/>
      <c r="COP5" s="390"/>
      <c r="COQ5" s="390"/>
      <c r="COR5" s="390"/>
      <c r="COS5" s="390"/>
      <c r="COT5" s="390"/>
      <c r="COU5" s="390"/>
      <c r="COV5" s="390"/>
      <c r="COW5" s="390"/>
      <c r="COX5" s="390"/>
      <c r="COY5" s="390"/>
      <c r="COZ5" s="390"/>
      <c r="CPA5" s="390"/>
      <c r="CPB5" s="390"/>
      <c r="CPC5" s="390"/>
      <c r="CPD5" s="390"/>
      <c r="CPE5" s="390"/>
      <c r="CPF5" s="390"/>
      <c r="CPG5" s="390"/>
      <c r="CPH5" s="390"/>
      <c r="CPI5" s="390"/>
      <c r="CPJ5" s="390"/>
      <c r="CPK5" s="390"/>
      <c r="CPL5" s="390"/>
      <c r="CPM5" s="390"/>
      <c r="CPN5" s="390"/>
      <c r="CPO5" s="390"/>
      <c r="CPP5" s="390"/>
      <c r="CPQ5" s="390"/>
      <c r="CPR5" s="390"/>
      <c r="CPS5" s="390"/>
      <c r="CPT5" s="390"/>
      <c r="CPU5" s="390"/>
      <c r="CPV5" s="390"/>
      <c r="CPW5" s="390"/>
      <c r="CPX5" s="390"/>
      <c r="CPY5" s="390"/>
      <c r="CPZ5" s="390"/>
      <c r="CQA5" s="390"/>
      <c r="CQB5" s="390"/>
      <c r="CQC5" s="390"/>
      <c r="CQD5" s="390"/>
      <c r="CQE5" s="390"/>
      <c r="CQF5" s="390"/>
      <c r="CQG5" s="390"/>
      <c r="CQH5" s="390"/>
      <c r="CQI5" s="390"/>
      <c r="CQJ5" s="390"/>
      <c r="CQK5" s="390"/>
      <c r="CQL5" s="390"/>
      <c r="CQM5" s="390"/>
      <c r="CQN5" s="390"/>
      <c r="CQO5" s="390"/>
      <c r="CQP5" s="390"/>
      <c r="CQQ5" s="390"/>
      <c r="CQR5" s="390"/>
      <c r="CQS5" s="390"/>
      <c r="CQT5" s="390"/>
      <c r="CQU5" s="390"/>
      <c r="CQV5" s="390"/>
      <c r="CQW5" s="390"/>
      <c r="CQX5" s="390"/>
      <c r="CQY5" s="390"/>
      <c r="CQZ5" s="390"/>
      <c r="CRA5" s="390"/>
      <c r="CRB5" s="390"/>
      <c r="CRC5" s="390"/>
      <c r="CRD5" s="390"/>
      <c r="CRE5" s="390"/>
      <c r="CRF5" s="390"/>
      <c r="CRG5" s="390"/>
      <c r="CRH5" s="390"/>
      <c r="CRI5" s="390"/>
      <c r="CRJ5" s="390"/>
      <c r="CRK5" s="390"/>
      <c r="CRL5" s="390"/>
      <c r="CRM5" s="390"/>
      <c r="CRN5" s="390"/>
      <c r="CRO5" s="390"/>
      <c r="CRP5" s="390"/>
      <c r="CRQ5" s="390"/>
      <c r="CRR5" s="390"/>
      <c r="CRS5" s="390"/>
      <c r="CRT5" s="390"/>
      <c r="CRU5" s="390"/>
      <c r="CRV5" s="390"/>
      <c r="CRW5" s="390"/>
      <c r="CRX5" s="390"/>
      <c r="CRY5" s="390"/>
      <c r="CRZ5" s="390"/>
      <c r="CSA5" s="390"/>
      <c r="CSB5" s="390"/>
      <c r="CSC5" s="390"/>
      <c r="CSD5" s="390"/>
      <c r="CSE5" s="390"/>
      <c r="CSF5" s="390"/>
      <c r="CSG5" s="390"/>
      <c r="CSH5" s="390"/>
      <c r="CSI5" s="390"/>
      <c r="CSJ5" s="390"/>
      <c r="CSK5" s="390"/>
      <c r="CSL5" s="390"/>
      <c r="CSM5" s="390"/>
      <c r="CSN5" s="390"/>
      <c r="CSO5" s="390"/>
      <c r="CSP5" s="390"/>
      <c r="CSQ5" s="390"/>
      <c r="CSR5" s="390"/>
      <c r="CSS5" s="390"/>
      <c r="CST5" s="390"/>
      <c r="CSU5" s="390"/>
      <c r="CSV5" s="390"/>
      <c r="CSW5" s="390"/>
      <c r="CSX5" s="390"/>
      <c r="CSY5" s="390"/>
      <c r="CSZ5" s="390"/>
      <c r="CTA5" s="390"/>
      <c r="CTB5" s="390"/>
      <c r="CTC5" s="390"/>
      <c r="CTD5" s="390"/>
      <c r="CTE5" s="390"/>
      <c r="CTF5" s="390"/>
      <c r="CTG5" s="390"/>
      <c r="CTH5" s="390"/>
      <c r="CTI5" s="390"/>
      <c r="CTJ5" s="390"/>
      <c r="CTK5" s="390"/>
      <c r="CTL5" s="390"/>
      <c r="CTM5" s="390"/>
      <c r="CTN5" s="390"/>
      <c r="CTO5" s="390"/>
      <c r="CTP5" s="390"/>
      <c r="CTQ5" s="390"/>
      <c r="CTR5" s="390"/>
      <c r="CTS5" s="390"/>
      <c r="CTT5" s="390"/>
      <c r="CTU5" s="390"/>
      <c r="CTV5" s="390"/>
      <c r="CTW5" s="390"/>
      <c r="CTX5" s="390"/>
      <c r="CTY5" s="390"/>
      <c r="CTZ5" s="390"/>
      <c r="CUA5" s="390"/>
      <c r="CUB5" s="390"/>
      <c r="CUC5" s="390"/>
      <c r="CUD5" s="390"/>
      <c r="CUE5" s="390"/>
      <c r="CUF5" s="390"/>
      <c r="CUG5" s="390"/>
      <c r="CUH5" s="390"/>
      <c r="CUI5" s="390"/>
      <c r="CUJ5" s="390"/>
      <c r="CUK5" s="390"/>
      <c r="CUL5" s="390"/>
      <c r="CUM5" s="390"/>
      <c r="CUN5" s="390"/>
      <c r="CUO5" s="390"/>
      <c r="CUP5" s="390"/>
      <c r="CUQ5" s="390"/>
      <c r="CUR5" s="390"/>
      <c r="CUS5" s="390"/>
      <c r="CUT5" s="390"/>
      <c r="CUU5" s="390"/>
      <c r="CUV5" s="390"/>
      <c r="CUW5" s="390"/>
      <c r="CUX5" s="390"/>
      <c r="CUY5" s="390"/>
      <c r="CUZ5" s="390"/>
      <c r="CVA5" s="390"/>
      <c r="CVB5" s="390"/>
      <c r="CVC5" s="390"/>
      <c r="CVD5" s="390"/>
      <c r="CVE5" s="390"/>
      <c r="CVF5" s="390"/>
      <c r="CVG5" s="390"/>
      <c r="CVH5" s="390"/>
      <c r="CVI5" s="390"/>
      <c r="CVJ5" s="390"/>
      <c r="CVK5" s="390"/>
      <c r="CVL5" s="390"/>
      <c r="CVM5" s="390"/>
      <c r="CVN5" s="390"/>
      <c r="CVO5" s="390"/>
      <c r="CVP5" s="390"/>
      <c r="CVQ5" s="390"/>
      <c r="CVR5" s="390"/>
      <c r="CVS5" s="390"/>
      <c r="CVT5" s="390"/>
      <c r="CVU5" s="390"/>
      <c r="CVV5" s="390"/>
      <c r="CVW5" s="390"/>
      <c r="CVX5" s="390"/>
      <c r="CVY5" s="390"/>
      <c r="CVZ5" s="390"/>
      <c r="CWA5" s="390"/>
      <c r="CWB5" s="390"/>
      <c r="CWC5" s="390"/>
      <c r="CWD5" s="390"/>
      <c r="CWE5" s="390"/>
      <c r="CWF5" s="390"/>
      <c r="CWG5" s="390"/>
      <c r="CWH5" s="390"/>
      <c r="CWI5" s="390"/>
      <c r="CWJ5" s="390"/>
      <c r="CWK5" s="390"/>
      <c r="CWL5" s="390"/>
      <c r="CWM5" s="390"/>
      <c r="CWN5" s="390"/>
      <c r="CWO5" s="390"/>
      <c r="CWP5" s="390"/>
      <c r="CWQ5" s="390"/>
      <c r="CWR5" s="390"/>
      <c r="CWS5" s="390"/>
      <c r="CWT5" s="390"/>
      <c r="CWU5" s="390"/>
      <c r="CWV5" s="390"/>
      <c r="CWW5" s="390"/>
      <c r="CWX5" s="390"/>
      <c r="CWY5" s="390"/>
      <c r="CWZ5" s="390"/>
      <c r="CXA5" s="390"/>
      <c r="CXB5" s="390"/>
      <c r="CXC5" s="390"/>
      <c r="CXD5" s="390"/>
      <c r="CXE5" s="390"/>
      <c r="CXF5" s="390"/>
      <c r="CXG5" s="390"/>
      <c r="CXH5" s="390"/>
      <c r="CXI5" s="390"/>
      <c r="CXJ5" s="390"/>
      <c r="CXK5" s="390"/>
      <c r="CXL5" s="390"/>
      <c r="CXM5" s="390"/>
      <c r="CXN5" s="390"/>
      <c r="CXO5" s="390"/>
      <c r="CXP5" s="390"/>
      <c r="CXQ5" s="390"/>
      <c r="CXR5" s="390"/>
      <c r="CXS5" s="390"/>
      <c r="CXT5" s="390"/>
      <c r="CXU5" s="390"/>
      <c r="CXV5" s="390"/>
      <c r="CXW5" s="390"/>
      <c r="CXX5" s="390"/>
      <c r="CXY5" s="390"/>
      <c r="CXZ5" s="390"/>
      <c r="CYA5" s="390"/>
      <c r="CYB5" s="390"/>
      <c r="CYC5" s="390"/>
      <c r="CYD5" s="390"/>
      <c r="CYE5" s="390"/>
      <c r="CYF5" s="390"/>
      <c r="CYG5" s="390"/>
      <c r="CYH5" s="390"/>
      <c r="CYI5" s="390"/>
      <c r="CYJ5" s="390"/>
      <c r="CYK5" s="390"/>
      <c r="CYL5" s="390"/>
      <c r="CYM5" s="390"/>
      <c r="CYN5" s="390"/>
      <c r="CYO5" s="390"/>
      <c r="CYP5" s="390"/>
      <c r="CYQ5" s="390"/>
      <c r="CYR5" s="390"/>
      <c r="CYS5" s="390"/>
      <c r="CYT5" s="390"/>
      <c r="CYU5" s="390"/>
      <c r="CYV5" s="390"/>
      <c r="CYW5" s="390"/>
      <c r="CYX5" s="390"/>
      <c r="CYY5" s="390"/>
      <c r="CYZ5" s="390"/>
      <c r="CZA5" s="390"/>
      <c r="CZB5" s="390"/>
      <c r="CZC5" s="390"/>
      <c r="CZD5" s="390"/>
      <c r="CZE5" s="390"/>
      <c r="CZF5" s="390"/>
      <c r="CZG5" s="390"/>
      <c r="CZH5" s="390"/>
      <c r="CZI5" s="390"/>
      <c r="CZJ5" s="390"/>
      <c r="CZK5" s="390"/>
      <c r="CZL5" s="390"/>
      <c r="CZM5" s="390"/>
      <c r="CZN5" s="390"/>
      <c r="CZO5" s="390"/>
      <c r="CZP5" s="390"/>
      <c r="CZQ5" s="390"/>
      <c r="CZR5" s="390"/>
      <c r="CZS5" s="390"/>
      <c r="CZT5" s="390"/>
      <c r="CZU5" s="390"/>
      <c r="CZV5" s="390"/>
      <c r="CZW5" s="390"/>
      <c r="CZX5" s="390"/>
      <c r="CZY5" s="390"/>
      <c r="CZZ5" s="390"/>
      <c r="DAA5" s="390"/>
      <c r="DAB5" s="390"/>
      <c r="DAC5" s="390"/>
      <c r="DAD5" s="390"/>
      <c r="DAE5" s="390"/>
      <c r="DAF5" s="390"/>
      <c r="DAG5" s="390"/>
      <c r="DAH5" s="390"/>
      <c r="DAI5" s="390"/>
      <c r="DAJ5" s="390"/>
      <c r="DAK5" s="390"/>
      <c r="DAL5" s="390"/>
      <c r="DAM5" s="390"/>
      <c r="DAN5" s="390"/>
      <c r="DAO5" s="390"/>
      <c r="DAP5" s="390"/>
      <c r="DAQ5" s="390"/>
      <c r="DAR5" s="390"/>
      <c r="DAS5" s="390"/>
      <c r="DAT5" s="390"/>
      <c r="DAU5" s="390"/>
      <c r="DAV5" s="390"/>
      <c r="DAW5" s="390"/>
      <c r="DAX5" s="390"/>
      <c r="DAY5" s="390"/>
      <c r="DAZ5" s="390"/>
      <c r="DBA5" s="390"/>
      <c r="DBB5" s="390"/>
      <c r="DBC5" s="390"/>
      <c r="DBD5" s="390"/>
      <c r="DBE5" s="390"/>
      <c r="DBF5" s="390"/>
      <c r="DBG5" s="390"/>
      <c r="DBH5" s="390"/>
      <c r="DBI5" s="390"/>
      <c r="DBJ5" s="390"/>
      <c r="DBK5" s="390"/>
      <c r="DBL5" s="390"/>
      <c r="DBM5" s="390"/>
      <c r="DBN5" s="390"/>
      <c r="DBO5" s="390"/>
      <c r="DBP5" s="390"/>
      <c r="DBQ5" s="390"/>
      <c r="DBR5" s="390"/>
      <c r="DBS5" s="390"/>
      <c r="DBT5" s="390"/>
      <c r="DBU5" s="390"/>
      <c r="DBV5" s="390"/>
      <c r="DBW5" s="390"/>
      <c r="DBX5" s="390"/>
      <c r="DBY5" s="390"/>
      <c r="DBZ5" s="390"/>
      <c r="DCA5" s="390"/>
      <c r="DCB5" s="390"/>
      <c r="DCC5" s="390"/>
      <c r="DCD5" s="390"/>
      <c r="DCE5" s="390"/>
      <c r="DCF5" s="390"/>
      <c r="DCG5" s="390"/>
      <c r="DCH5" s="390"/>
      <c r="DCI5" s="390"/>
      <c r="DCJ5" s="390"/>
      <c r="DCK5" s="390"/>
      <c r="DCL5" s="390"/>
      <c r="DCM5" s="390"/>
      <c r="DCN5" s="390"/>
      <c r="DCO5" s="390"/>
      <c r="DCP5" s="390"/>
      <c r="DCQ5" s="390"/>
      <c r="DCR5" s="390"/>
      <c r="DCS5" s="390"/>
      <c r="DCT5" s="390"/>
      <c r="DCU5" s="390"/>
      <c r="DCV5" s="390"/>
      <c r="DCW5" s="390"/>
      <c r="DCX5" s="390"/>
      <c r="DCY5" s="390"/>
      <c r="DCZ5" s="390"/>
      <c r="DDA5" s="390"/>
      <c r="DDB5" s="390"/>
      <c r="DDC5" s="390"/>
      <c r="DDD5" s="390"/>
      <c r="DDE5" s="390"/>
      <c r="DDF5" s="390"/>
      <c r="DDG5" s="390"/>
      <c r="DDH5" s="390"/>
      <c r="DDI5" s="390"/>
      <c r="DDJ5" s="390"/>
      <c r="DDK5" s="390"/>
      <c r="DDL5" s="390"/>
      <c r="DDM5" s="390"/>
      <c r="DDN5" s="390"/>
      <c r="DDO5" s="390"/>
      <c r="DDP5" s="390"/>
      <c r="DDQ5" s="390"/>
      <c r="DDR5" s="390"/>
      <c r="DDS5" s="390"/>
      <c r="DDT5" s="390"/>
      <c r="DDU5" s="390"/>
      <c r="DDV5" s="390"/>
      <c r="DDW5" s="390"/>
      <c r="DDX5" s="390"/>
      <c r="DDY5" s="390"/>
      <c r="DDZ5" s="390"/>
      <c r="DEA5" s="390"/>
      <c r="DEB5" s="390"/>
      <c r="DEC5" s="390"/>
      <c r="DED5" s="390"/>
      <c r="DEE5" s="390"/>
      <c r="DEF5" s="390"/>
      <c r="DEG5" s="390"/>
      <c r="DEH5" s="390"/>
      <c r="DEI5" s="390"/>
      <c r="DEJ5" s="390"/>
      <c r="DEK5" s="390"/>
      <c r="DEL5" s="390"/>
      <c r="DEM5" s="390"/>
      <c r="DEN5" s="390"/>
      <c r="DEO5" s="390"/>
      <c r="DEP5" s="390"/>
      <c r="DEQ5" s="390"/>
      <c r="DER5" s="390"/>
      <c r="DES5" s="390"/>
      <c r="DET5" s="390"/>
      <c r="DEU5" s="390"/>
      <c r="DEV5" s="390"/>
      <c r="DEW5" s="390"/>
      <c r="DEX5" s="390"/>
      <c r="DEY5" s="390"/>
      <c r="DEZ5" s="390"/>
      <c r="DFA5" s="390"/>
      <c r="DFB5" s="390"/>
      <c r="DFC5" s="390"/>
      <c r="DFD5" s="390"/>
      <c r="DFE5" s="390"/>
      <c r="DFF5" s="390"/>
      <c r="DFG5" s="390"/>
      <c r="DFH5" s="390"/>
      <c r="DFI5" s="390"/>
      <c r="DFJ5" s="390"/>
      <c r="DFK5" s="390"/>
      <c r="DFL5" s="390"/>
      <c r="DFM5" s="390"/>
      <c r="DFN5" s="390"/>
      <c r="DFO5" s="390"/>
      <c r="DFP5" s="390"/>
      <c r="DFQ5" s="390"/>
      <c r="DFR5" s="390"/>
      <c r="DFS5" s="390"/>
      <c r="DFT5" s="390"/>
      <c r="DFU5" s="390"/>
      <c r="DFV5" s="390"/>
      <c r="DFW5" s="390"/>
      <c r="DFX5" s="390"/>
      <c r="DFY5" s="390"/>
      <c r="DFZ5" s="390"/>
      <c r="DGA5" s="390"/>
      <c r="DGB5" s="390"/>
      <c r="DGC5" s="390"/>
      <c r="DGD5" s="390"/>
      <c r="DGE5" s="390"/>
      <c r="DGF5" s="390"/>
      <c r="DGG5" s="390"/>
      <c r="DGH5" s="390"/>
      <c r="DGI5" s="390"/>
      <c r="DGJ5" s="390"/>
      <c r="DGK5" s="390"/>
      <c r="DGL5" s="390"/>
      <c r="DGM5" s="390"/>
      <c r="DGN5" s="390"/>
      <c r="DGO5" s="390"/>
      <c r="DGP5" s="390"/>
      <c r="DGQ5" s="390"/>
      <c r="DGR5" s="390"/>
      <c r="DGS5" s="390"/>
      <c r="DGT5" s="390"/>
      <c r="DGU5" s="390"/>
      <c r="DGV5" s="390"/>
      <c r="DGW5" s="390"/>
      <c r="DGX5" s="390"/>
      <c r="DGY5" s="390"/>
      <c r="DGZ5" s="390"/>
      <c r="DHA5" s="390"/>
      <c r="DHB5" s="390"/>
      <c r="DHC5" s="390"/>
      <c r="DHD5" s="390"/>
      <c r="DHE5" s="390"/>
      <c r="DHF5" s="390"/>
      <c r="DHG5" s="390"/>
      <c r="DHH5" s="390"/>
      <c r="DHI5" s="390"/>
      <c r="DHJ5" s="390"/>
      <c r="DHK5" s="390"/>
      <c r="DHL5" s="390"/>
      <c r="DHM5" s="390"/>
      <c r="DHN5" s="390"/>
      <c r="DHO5" s="390"/>
      <c r="DHP5" s="390"/>
      <c r="DHQ5" s="390"/>
      <c r="DHR5" s="390"/>
      <c r="DHS5" s="390"/>
      <c r="DHT5" s="390"/>
      <c r="DHU5" s="390"/>
      <c r="DHV5" s="390"/>
      <c r="DHW5" s="390"/>
      <c r="DHX5" s="390"/>
      <c r="DHY5" s="390"/>
      <c r="DHZ5" s="390"/>
      <c r="DIA5" s="390"/>
      <c r="DIB5" s="390"/>
      <c r="DIC5" s="390"/>
      <c r="DID5" s="390"/>
      <c r="DIE5" s="390"/>
      <c r="DIF5" s="390"/>
      <c r="DIG5" s="390"/>
      <c r="DIH5" s="390"/>
      <c r="DII5" s="390"/>
      <c r="DIJ5" s="390"/>
      <c r="DIK5" s="390"/>
      <c r="DIL5" s="390"/>
      <c r="DIM5" s="390"/>
      <c r="DIN5" s="390"/>
      <c r="DIO5" s="390"/>
      <c r="DIP5" s="390"/>
      <c r="DIQ5" s="390"/>
      <c r="DIR5" s="390"/>
      <c r="DIS5" s="390"/>
      <c r="DIT5" s="390"/>
      <c r="DIU5" s="390"/>
      <c r="DIV5" s="390"/>
      <c r="DIW5" s="390"/>
      <c r="DIX5" s="390"/>
      <c r="DIY5" s="390"/>
      <c r="DIZ5" s="390"/>
      <c r="DJA5" s="390"/>
      <c r="DJB5" s="390"/>
      <c r="DJC5" s="390"/>
      <c r="DJD5" s="390"/>
      <c r="DJE5" s="390"/>
      <c r="DJF5" s="390"/>
      <c r="DJG5" s="390"/>
      <c r="DJH5" s="390"/>
      <c r="DJI5" s="390"/>
      <c r="DJJ5" s="390"/>
      <c r="DJK5" s="390"/>
      <c r="DJL5" s="390"/>
      <c r="DJM5" s="390"/>
      <c r="DJN5" s="390"/>
      <c r="DJO5" s="390"/>
      <c r="DJP5" s="390"/>
      <c r="DJQ5" s="390"/>
      <c r="DJR5" s="390"/>
      <c r="DJS5" s="390"/>
      <c r="DJT5" s="390"/>
      <c r="DJU5" s="390"/>
      <c r="DJV5" s="390"/>
      <c r="DJW5" s="390"/>
      <c r="DJX5" s="390"/>
      <c r="DJY5" s="390"/>
      <c r="DJZ5" s="390"/>
      <c r="DKA5" s="390"/>
      <c r="DKB5" s="390"/>
      <c r="DKC5" s="390"/>
      <c r="DKD5" s="390"/>
      <c r="DKE5" s="390"/>
      <c r="DKF5" s="390"/>
      <c r="DKG5" s="390"/>
      <c r="DKH5" s="390"/>
      <c r="DKI5" s="390"/>
      <c r="DKJ5" s="390"/>
      <c r="DKK5" s="390"/>
      <c r="DKL5" s="390"/>
      <c r="DKM5" s="390"/>
      <c r="DKN5" s="390"/>
      <c r="DKO5" s="390"/>
      <c r="DKP5" s="390"/>
      <c r="DKQ5" s="390"/>
      <c r="DKR5" s="390"/>
      <c r="DKS5" s="390"/>
      <c r="DKT5" s="390"/>
      <c r="DKU5" s="390"/>
      <c r="DKV5" s="390"/>
      <c r="DKW5" s="390"/>
      <c r="DKX5" s="390"/>
      <c r="DKY5" s="390"/>
      <c r="DKZ5" s="390"/>
      <c r="DLA5" s="390"/>
      <c r="DLB5" s="390"/>
      <c r="DLC5" s="390"/>
      <c r="DLD5" s="390"/>
      <c r="DLE5" s="390"/>
      <c r="DLF5" s="390"/>
      <c r="DLG5" s="390"/>
      <c r="DLH5" s="390"/>
      <c r="DLI5" s="390"/>
      <c r="DLJ5" s="390"/>
      <c r="DLK5" s="390"/>
      <c r="DLL5" s="390"/>
      <c r="DLM5" s="390"/>
      <c r="DLN5" s="390"/>
      <c r="DLO5" s="390"/>
      <c r="DLP5" s="390"/>
      <c r="DLQ5" s="390"/>
      <c r="DLR5" s="390"/>
      <c r="DLS5" s="390"/>
      <c r="DLT5" s="390"/>
      <c r="DLU5" s="390"/>
      <c r="DLV5" s="390"/>
      <c r="DLW5" s="390"/>
      <c r="DLX5" s="390"/>
      <c r="DLY5" s="390"/>
      <c r="DLZ5" s="390"/>
      <c r="DMA5" s="390"/>
      <c r="DMB5" s="390"/>
      <c r="DMC5" s="390"/>
      <c r="DMD5" s="390"/>
      <c r="DME5" s="390"/>
      <c r="DMF5" s="390"/>
      <c r="DMG5" s="390"/>
      <c r="DMH5" s="390"/>
      <c r="DMI5" s="390"/>
      <c r="DMJ5" s="390"/>
      <c r="DMK5" s="390"/>
      <c r="DML5" s="390"/>
      <c r="DMM5" s="390"/>
      <c r="DMN5" s="390"/>
      <c r="DMO5" s="390"/>
      <c r="DMP5" s="390"/>
      <c r="DMQ5" s="390"/>
      <c r="DMR5" s="390"/>
      <c r="DMS5" s="390"/>
      <c r="DMT5" s="390"/>
      <c r="DMU5" s="390"/>
      <c r="DMV5" s="390"/>
      <c r="DMW5" s="390"/>
      <c r="DMX5" s="390"/>
      <c r="DMY5" s="390"/>
      <c r="DMZ5" s="390"/>
      <c r="DNA5" s="390"/>
      <c r="DNB5" s="390"/>
      <c r="DNC5" s="390"/>
      <c r="DND5" s="390"/>
      <c r="DNE5" s="390"/>
      <c r="DNF5" s="390"/>
      <c r="DNG5" s="390"/>
      <c r="DNH5" s="390"/>
      <c r="DNI5" s="390"/>
      <c r="DNJ5" s="390"/>
      <c r="DNK5" s="390"/>
      <c r="DNL5" s="390"/>
      <c r="DNM5" s="390"/>
      <c r="DNN5" s="390"/>
      <c r="DNO5" s="390"/>
      <c r="DNP5" s="390"/>
      <c r="DNQ5" s="390"/>
      <c r="DNR5" s="390"/>
      <c r="DNS5" s="390"/>
      <c r="DNT5" s="390"/>
      <c r="DNU5" s="390"/>
      <c r="DNV5" s="390"/>
      <c r="DNW5" s="390"/>
      <c r="DNX5" s="390"/>
      <c r="DNY5" s="390"/>
      <c r="DNZ5" s="390"/>
      <c r="DOA5" s="390"/>
      <c r="DOB5" s="390"/>
      <c r="DOC5" s="390"/>
      <c r="DOD5" s="390"/>
      <c r="DOE5" s="390"/>
      <c r="DOF5" s="390"/>
      <c r="DOG5" s="390"/>
      <c r="DOH5" s="390"/>
      <c r="DOI5" s="390"/>
      <c r="DOJ5" s="390"/>
      <c r="DOK5" s="390"/>
      <c r="DOL5" s="390"/>
      <c r="DOM5" s="390"/>
      <c r="DON5" s="390"/>
      <c r="DOO5" s="390"/>
      <c r="DOP5" s="390"/>
      <c r="DOQ5" s="390"/>
      <c r="DOR5" s="390"/>
      <c r="DOS5" s="390"/>
      <c r="DOT5" s="390"/>
      <c r="DOU5" s="390"/>
      <c r="DOV5" s="390"/>
      <c r="DOW5" s="390"/>
      <c r="DOX5" s="390"/>
      <c r="DOY5" s="390"/>
      <c r="DOZ5" s="390"/>
      <c r="DPA5" s="390"/>
      <c r="DPB5" s="390"/>
      <c r="DPC5" s="390"/>
      <c r="DPD5" s="390"/>
      <c r="DPE5" s="390"/>
      <c r="DPF5" s="390"/>
      <c r="DPG5" s="390"/>
      <c r="DPH5" s="390"/>
      <c r="DPI5" s="390"/>
      <c r="DPJ5" s="390"/>
      <c r="DPK5" s="390"/>
      <c r="DPL5" s="390"/>
      <c r="DPM5" s="390"/>
      <c r="DPN5" s="390"/>
      <c r="DPO5" s="390"/>
      <c r="DPP5" s="390"/>
      <c r="DPQ5" s="390"/>
      <c r="DPR5" s="390"/>
      <c r="DPS5" s="390"/>
      <c r="DPT5" s="390"/>
      <c r="DPU5" s="390"/>
      <c r="DPV5" s="390"/>
      <c r="DPW5" s="390"/>
      <c r="DPX5" s="390"/>
      <c r="DPY5" s="390"/>
      <c r="DPZ5" s="390"/>
      <c r="DQA5" s="390"/>
      <c r="DQB5" s="390"/>
      <c r="DQC5" s="390"/>
      <c r="DQD5" s="390"/>
      <c r="DQE5" s="390"/>
      <c r="DQF5" s="390"/>
      <c r="DQG5" s="390"/>
      <c r="DQH5" s="390"/>
      <c r="DQI5" s="390"/>
      <c r="DQJ5" s="390"/>
      <c r="DQK5" s="390"/>
      <c r="DQL5" s="390"/>
      <c r="DQM5" s="390"/>
      <c r="DQN5" s="390"/>
      <c r="DQO5" s="390"/>
      <c r="DQP5" s="390"/>
      <c r="DQQ5" s="390"/>
      <c r="DQR5" s="390"/>
      <c r="DQS5" s="390"/>
      <c r="DQT5" s="390"/>
      <c r="DQU5" s="390"/>
      <c r="DQV5" s="390"/>
      <c r="DQW5" s="390"/>
      <c r="DQX5" s="390"/>
      <c r="DQY5" s="390"/>
      <c r="DQZ5" s="390"/>
      <c r="DRA5" s="390"/>
      <c r="DRB5" s="390"/>
      <c r="DRC5" s="390"/>
      <c r="DRD5" s="390"/>
      <c r="DRE5" s="390"/>
      <c r="DRF5" s="390"/>
      <c r="DRG5" s="390"/>
      <c r="DRH5" s="390"/>
      <c r="DRI5" s="390"/>
      <c r="DRJ5" s="390"/>
      <c r="DRK5" s="390"/>
      <c r="DRL5" s="390"/>
      <c r="DRM5" s="390"/>
      <c r="DRN5" s="390"/>
      <c r="DRO5" s="390"/>
      <c r="DRP5" s="390"/>
      <c r="DRQ5" s="390"/>
      <c r="DRR5" s="390"/>
      <c r="DRS5" s="390"/>
      <c r="DRT5" s="390"/>
      <c r="DRU5" s="390"/>
      <c r="DRV5" s="390"/>
      <c r="DRW5" s="390"/>
      <c r="DRX5" s="390"/>
      <c r="DRY5" s="390"/>
      <c r="DRZ5" s="390"/>
      <c r="DSA5" s="390"/>
      <c r="DSB5" s="390"/>
      <c r="DSC5" s="390"/>
      <c r="DSD5" s="390"/>
      <c r="DSE5" s="390"/>
      <c r="DSF5" s="390"/>
      <c r="DSG5" s="390"/>
      <c r="DSH5" s="390"/>
      <c r="DSI5" s="390"/>
      <c r="DSJ5" s="390"/>
      <c r="DSK5" s="390"/>
      <c r="DSL5" s="390"/>
      <c r="DSM5" s="390"/>
      <c r="DSN5" s="390"/>
      <c r="DSO5" s="390"/>
      <c r="DSP5" s="390"/>
      <c r="DSQ5" s="390"/>
      <c r="DSR5" s="390"/>
      <c r="DSS5" s="390"/>
      <c r="DST5" s="390"/>
      <c r="DSU5" s="390"/>
      <c r="DSV5" s="390"/>
      <c r="DSW5" s="390"/>
      <c r="DSX5" s="390"/>
      <c r="DSY5" s="390"/>
      <c r="DSZ5" s="390"/>
      <c r="DTA5" s="390"/>
      <c r="DTB5" s="390"/>
      <c r="DTC5" s="390"/>
      <c r="DTD5" s="390"/>
      <c r="DTE5" s="390"/>
      <c r="DTF5" s="390"/>
      <c r="DTG5" s="390"/>
      <c r="DTH5" s="390"/>
      <c r="DTI5" s="390"/>
      <c r="DTJ5" s="390"/>
      <c r="DTK5" s="390"/>
      <c r="DTL5" s="390"/>
      <c r="DTM5" s="390"/>
      <c r="DTN5" s="390"/>
      <c r="DTO5" s="390"/>
      <c r="DTP5" s="390"/>
      <c r="DTQ5" s="390"/>
      <c r="DTR5" s="390"/>
      <c r="DTS5" s="390"/>
      <c r="DTT5" s="390"/>
      <c r="DTU5" s="390"/>
      <c r="DTV5" s="390"/>
      <c r="DTW5" s="390"/>
      <c r="DTX5" s="390"/>
      <c r="DTY5" s="390"/>
      <c r="DTZ5" s="390"/>
      <c r="DUA5" s="390"/>
      <c r="DUB5" s="390"/>
      <c r="DUC5" s="390"/>
      <c r="DUD5" s="390"/>
      <c r="DUE5" s="390"/>
      <c r="DUF5" s="390"/>
      <c r="DUG5" s="390"/>
      <c r="DUH5" s="390"/>
      <c r="DUI5" s="390"/>
      <c r="DUJ5" s="390"/>
      <c r="DUK5" s="390"/>
      <c r="DUL5" s="390"/>
      <c r="DUM5" s="390"/>
      <c r="DUN5" s="390"/>
      <c r="DUO5" s="390"/>
      <c r="DUP5" s="390"/>
      <c r="DUQ5" s="390"/>
      <c r="DUR5" s="390"/>
      <c r="DUS5" s="390"/>
      <c r="DUT5" s="390"/>
      <c r="DUU5" s="390"/>
      <c r="DUV5" s="390"/>
      <c r="DUW5" s="390"/>
      <c r="DUX5" s="390"/>
      <c r="DUY5" s="390"/>
      <c r="DUZ5" s="390"/>
      <c r="DVA5" s="390"/>
      <c r="DVB5" s="390"/>
      <c r="DVC5" s="390"/>
      <c r="DVD5" s="390"/>
      <c r="DVE5" s="390"/>
      <c r="DVF5" s="390"/>
      <c r="DVG5" s="390"/>
      <c r="DVH5" s="390"/>
      <c r="DVI5" s="390"/>
      <c r="DVJ5" s="390"/>
      <c r="DVK5" s="390"/>
      <c r="DVL5" s="390"/>
      <c r="DVM5" s="390"/>
      <c r="DVN5" s="390"/>
      <c r="DVO5" s="390"/>
      <c r="DVP5" s="390"/>
      <c r="DVQ5" s="390"/>
      <c r="DVR5" s="390"/>
      <c r="DVS5" s="390"/>
      <c r="DVT5" s="390"/>
      <c r="DVU5" s="390"/>
      <c r="DVV5" s="390"/>
      <c r="DVW5" s="390"/>
      <c r="DVX5" s="390"/>
      <c r="DVY5" s="390"/>
      <c r="DVZ5" s="390"/>
      <c r="DWA5" s="390"/>
      <c r="DWB5" s="390"/>
      <c r="DWC5" s="390"/>
      <c r="DWD5" s="390"/>
      <c r="DWE5" s="390"/>
      <c r="DWF5" s="390"/>
      <c r="DWG5" s="390"/>
      <c r="DWH5" s="390"/>
      <c r="DWI5" s="390"/>
      <c r="DWJ5" s="390"/>
      <c r="DWK5" s="390"/>
      <c r="DWL5" s="390"/>
      <c r="DWM5" s="390"/>
      <c r="DWN5" s="390"/>
      <c r="DWO5" s="390"/>
      <c r="DWP5" s="390"/>
      <c r="DWQ5" s="390"/>
      <c r="DWR5" s="390"/>
      <c r="DWS5" s="390"/>
      <c r="DWT5" s="390"/>
      <c r="DWU5" s="390"/>
      <c r="DWV5" s="390"/>
      <c r="DWW5" s="390"/>
      <c r="DWX5" s="390"/>
      <c r="DWY5" s="390"/>
      <c r="DWZ5" s="390"/>
      <c r="DXA5" s="390"/>
      <c r="DXB5" s="390"/>
      <c r="DXC5" s="390"/>
      <c r="DXD5" s="390"/>
      <c r="DXE5" s="390"/>
      <c r="DXF5" s="390"/>
      <c r="DXG5" s="390"/>
      <c r="DXH5" s="390"/>
      <c r="DXI5" s="390"/>
      <c r="DXJ5" s="390"/>
      <c r="DXK5" s="390"/>
      <c r="DXL5" s="390"/>
      <c r="DXM5" s="390"/>
      <c r="DXN5" s="390"/>
      <c r="DXO5" s="390"/>
      <c r="DXP5" s="390"/>
      <c r="DXQ5" s="390"/>
      <c r="DXR5" s="390"/>
      <c r="DXS5" s="390"/>
      <c r="DXT5" s="390"/>
      <c r="DXU5" s="390"/>
      <c r="DXV5" s="390"/>
      <c r="DXW5" s="390"/>
      <c r="DXX5" s="390"/>
      <c r="DXY5" s="390"/>
      <c r="DXZ5" s="390"/>
      <c r="DYA5" s="390"/>
      <c r="DYB5" s="390"/>
      <c r="DYC5" s="390"/>
      <c r="DYD5" s="390"/>
      <c r="DYE5" s="390"/>
      <c r="DYF5" s="390"/>
      <c r="DYG5" s="390"/>
      <c r="DYH5" s="390"/>
      <c r="DYI5" s="390"/>
      <c r="DYJ5" s="390"/>
      <c r="DYK5" s="390"/>
      <c r="DYL5" s="390"/>
      <c r="DYM5" s="390"/>
      <c r="DYN5" s="390"/>
      <c r="DYO5" s="390"/>
      <c r="DYP5" s="390"/>
      <c r="DYQ5" s="390"/>
      <c r="DYR5" s="390"/>
      <c r="DYS5" s="390"/>
      <c r="DYT5" s="390"/>
      <c r="DYU5" s="390"/>
      <c r="DYV5" s="390"/>
      <c r="DYW5" s="390"/>
      <c r="DYX5" s="390"/>
      <c r="DYY5" s="390"/>
      <c r="DYZ5" s="390"/>
      <c r="DZA5" s="390"/>
      <c r="DZB5" s="390"/>
      <c r="DZC5" s="390"/>
      <c r="DZD5" s="390"/>
      <c r="DZE5" s="390"/>
      <c r="DZF5" s="390"/>
      <c r="DZG5" s="390"/>
      <c r="DZH5" s="390"/>
      <c r="DZI5" s="390"/>
      <c r="DZJ5" s="390"/>
      <c r="DZK5" s="390"/>
      <c r="DZL5" s="390"/>
      <c r="DZM5" s="390"/>
      <c r="DZN5" s="390"/>
      <c r="DZO5" s="390"/>
      <c r="DZP5" s="390"/>
      <c r="DZQ5" s="390"/>
      <c r="DZR5" s="390"/>
      <c r="DZS5" s="390"/>
      <c r="DZT5" s="390"/>
      <c r="DZU5" s="390"/>
      <c r="DZV5" s="390"/>
      <c r="DZW5" s="390"/>
      <c r="DZX5" s="390"/>
      <c r="DZY5" s="390"/>
      <c r="DZZ5" s="390"/>
      <c r="EAA5" s="390"/>
      <c r="EAB5" s="390"/>
      <c r="EAC5" s="390"/>
      <c r="EAD5" s="390"/>
      <c r="EAE5" s="390"/>
      <c r="EAF5" s="390"/>
      <c r="EAG5" s="390"/>
      <c r="EAH5" s="390"/>
      <c r="EAI5" s="390"/>
      <c r="EAJ5" s="390"/>
      <c r="EAK5" s="390"/>
      <c r="EAL5" s="390"/>
      <c r="EAM5" s="390"/>
      <c r="EAN5" s="390"/>
      <c r="EAO5" s="390"/>
      <c r="EAP5" s="390"/>
      <c r="EAQ5" s="390"/>
      <c r="EAR5" s="390"/>
      <c r="EAS5" s="390"/>
      <c r="EAT5" s="390"/>
      <c r="EAU5" s="390"/>
      <c r="EAV5" s="390"/>
      <c r="EAW5" s="390"/>
      <c r="EAX5" s="390"/>
      <c r="EAY5" s="390"/>
      <c r="EAZ5" s="390"/>
      <c r="EBA5" s="390"/>
      <c r="EBB5" s="390"/>
      <c r="EBC5" s="390"/>
      <c r="EBD5" s="390"/>
      <c r="EBE5" s="390"/>
      <c r="EBF5" s="390"/>
      <c r="EBG5" s="390"/>
      <c r="EBH5" s="390"/>
      <c r="EBI5" s="390"/>
      <c r="EBJ5" s="390"/>
      <c r="EBK5" s="390"/>
      <c r="EBL5" s="390"/>
      <c r="EBM5" s="390"/>
      <c r="EBN5" s="390"/>
      <c r="EBO5" s="390"/>
      <c r="EBP5" s="390"/>
      <c r="EBQ5" s="390"/>
      <c r="EBR5" s="390"/>
      <c r="EBS5" s="390"/>
      <c r="EBT5" s="390"/>
      <c r="EBU5" s="390"/>
      <c r="EBV5" s="390"/>
      <c r="EBW5" s="390"/>
      <c r="EBX5" s="390"/>
      <c r="EBY5" s="390"/>
      <c r="EBZ5" s="390"/>
      <c r="ECA5" s="390"/>
      <c r="ECB5" s="390"/>
      <c r="ECC5" s="390"/>
      <c r="ECD5" s="390"/>
      <c r="ECE5" s="390"/>
      <c r="ECF5" s="390"/>
      <c r="ECG5" s="390"/>
      <c r="ECH5" s="390"/>
      <c r="ECI5" s="390"/>
      <c r="ECJ5" s="390"/>
      <c r="ECK5" s="390"/>
      <c r="ECL5" s="390"/>
      <c r="ECM5" s="390"/>
      <c r="ECN5" s="390"/>
      <c r="ECO5" s="390"/>
      <c r="ECP5" s="390"/>
      <c r="ECQ5" s="390"/>
      <c r="ECR5" s="390"/>
      <c r="ECS5" s="390"/>
      <c r="ECT5" s="390"/>
      <c r="ECU5" s="390"/>
      <c r="ECV5" s="390"/>
      <c r="ECW5" s="390"/>
      <c r="ECX5" s="390"/>
      <c r="ECY5" s="390"/>
      <c r="ECZ5" s="390"/>
      <c r="EDA5" s="390"/>
      <c r="EDB5" s="390"/>
      <c r="EDC5" s="390"/>
      <c r="EDD5" s="390"/>
      <c r="EDE5" s="390"/>
      <c r="EDF5" s="390"/>
      <c r="EDG5" s="390"/>
      <c r="EDH5" s="390"/>
      <c r="EDI5" s="390"/>
      <c r="EDJ5" s="390"/>
      <c r="EDK5" s="390"/>
      <c r="EDL5" s="390"/>
      <c r="EDM5" s="390"/>
      <c r="EDN5" s="390"/>
      <c r="EDO5" s="390"/>
      <c r="EDP5" s="390"/>
      <c r="EDQ5" s="390"/>
      <c r="EDR5" s="390"/>
      <c r="EDS5" s="390"/>
      <c r="EDT5" s="390"/>
      <c r="EDU5" s="390"/>
      <c r="EDV5" s="390"/>
      <c r="EDW5" s="390"/>
      <c r="EDX5" s="390"/>
      <c r="EDY5" s="390"/>
      <c r="EDZ5" s="390"/>
      <c r="EEA5" s="390"/>
      <c r="EEB5" s="390"/>
      <c r="EEC5" s="390"/>
      <c r="EED5" s="390"/>
      <c r="EEE5" s="390"/>
      <c r="EEF5" s="390"/>
      <c r="EEG5" s="390"/>
      <c r="EEH5" s="390"/>
      <c r="EEI5" s="390"/>
      <c r="EEJ5" s="390"/>
      <c r="EEK5" s="390"/>
      <c r="EEL5" s="390"/>
      <c r="EEM5" s="390"/>
      <c r="EEN5" s="390"/>
      <c r="EEO5" s="390"/>
      <c r="EEP5" s="390"/>
      <c r="EEQ5" s="390"/>
      <c r="EER5" s="390"/>
      <c r="EES5" s="390"/>
      <c r="EET5" s="390"/>
      <c r="EEU5" s="390"/>
      <c r="EEV5" s="390"/>
      <c r="EEW5" s="390"/>
      <c r="EEX5" s="390"/>
      <c r="EEY5" s="390"/>
      <c r="EEZ5" s="390"/>
      <c r="EFA5" s="390"/>
      <c r="EFB5" s="390"/>
      <c r="EFC5" s="390"/>
      <c r="EFD5" s="390"/>
      <c r="EFE5" s="390"/>
      <c r="EFF5" s="390"/>
      <c r="EFG5" s="390"/>
      <c r="EFH5" s="390"/>
      <c r="EFI5" s="390"/>
      <c r="EFJ5" s="390"/>
      <c r="EFK5" s="390"/>
      <c r="EFL5" s="390"/>
      <c r="EFM5" s="390"/>
      <c r="EFN5" s="390"/>
      <c r="EFO5" s="390"/>
      <c r="EFP5" s="390"/>
      <c r="EFQ5" s="390"/>
      <c r="EFR5" s="390"/>
      <c r="EFS5" s="390"/>
      <c r="EFT5" s="390"/>
      <c r="EFU5" s="390"/>
      <c r="EFV5" s="390"/>
      <c r="EFW5" s="390"/>
      <c r="EFX5" s="390"/>
      <c r="EFY5" s="390"/>
      <c r="EFZ5" s="390"/>
      <c r="EGA5" s="390"/>
      <c r="EGB5" s="390"/>
      <c r="EGC5" s="390"/>
      <c r="EGD5" s="390"/>
      <c r="EGE5" s="390"/>
      <c r="EGF5" s="390"/>
      <c r="EGG5" s="390"/>
      <c r="EGH5" s="390"/>
      <c r="EGI5" s="390"/>
      <c r="EGJ5" s="390"/>
      <c r="EGK5" s="390"/>
      <c r="EGL5" s="390"/>
      <c r="EGM5" s="390"/>
      <c r="EGN5" s="390"/>
      <c r="EGO5" s="390"/>
      <c r="EGP5" s="390"/>
      <c r="EGQ5" s="390"/>
      <c r="EGR5" s="390"/>
      <c r="EGS5" s="390"/>
      <c r="EGT5" s="390"/>
      <c r="EGU5" s="390"/>
      <c r="EGV5" s="390"/>
      <c r="EGW5" s="390"/>
      <c r="EGX5" s="390"/>
      <c r="EGY5" s="390"/>
      <c r="EGZ5" s="390"/>
      <c r="EHA5" s="390"/>
      <c r="EHB5" s="390"/>
      <c r="EHC5" s="390"/>
      <c r="EHD5" s="390"/>
      <c r="EHE5" s="390"/>
      <c r="EHF5" s="390"/>
      <c r="EHG5" s="390"/>
      <c r="EHH5" s="390"/>
      <c r="EHI5" s="390"/>
      <c r="EHJ5" s="390"/>
      <c r="EHK5" s="390"/>
      <c r="EHL5" s="390"/>
      <c r="EHM5" s="390"/>
      <c r="EHN5" s="390"/>
      <c r="EHO5" s="390"/>
      <c r="EHP5" s="390"/>
      <c r="EHQ5" s="390"/>
      <c r="EHR5" s="390"/>
      <c r="EHS5" s="390"/>
      <c r="EHT5" s="390"/>
      <c r="EHU5" s="390"/>
      <c r="EHV5" s="390"/>
      <c r="EHW5" s="390"/>
      <c r="EHX5" s="390"/>
      <c r="EHY5" s="390"/>
      <c r="EHZ5" s="390"/>
      <c r="EIA5" s="390"/>
      <c r="EIB5" s="390"/>
      <c r="EIC5" s="390"/>
      <c r="EID5" s="390"/>
      <c r="EIE5" s="390"/>
      <c r="EIF5" s="390"/>
      <c r="EIG5" s="390"/>
      <c r="EIH5" s="390"/>
      <c r="EII5" s="390"/>
      <c r="EIJ5" s="390"/>
      <c r="EIK5" s="390"/>
      <c r="EIL5" s="390"/>
      <c r="EIM5" s="390"/>
      <c r="EIN5" s="390"/>
      <c r="EIO5" s="390"/>
      <c r="EIP5" s="390"/>
      <c r="EIQ5" s="390"/>
      <c r="EIR5" s="390"/>
      <c r="EIS5" s="390"/>
      <c r="EIT5" s="390"/>
      <c r="EIU5" s="390"/>
      <c r="EIV5" s="390"/>
      <c r="EIW5" s="390"/>
      <c r="EIX5" s="390"/>
      <c r="EIY5" s="390"/>
      <c r="EIZ5" s="390"/>
      <c r="EJA5" s="390"/>
      <c r="EJB5" s="390"/>
      <c r="EJC5" s="390"/>
      <c r="EJD5" s="390"/>
      <c r="EJE5" s="390"/>
      <c r="EJF5" s="390"/>
      <c r="EJG5" s="390"/>
      <c r="EJH5" s="390"/>
      <c r="EJI5" s="390"/>
      <c r="EJJ5" s="390"/>
      <c r="EJK5" s="390"/>
      <c r="EJL5" s="390"/>
      <c r="EJM5" s="390"/>
      <c r="EJN5" s="390"/>
      <c r="EJO5" s="390"/>
      <c r="EJP5" s="390"/>
      <c r="EJQ5" s="390"/>
      <c r="EJR5" s="390"/>
      <c r="EJS5" s="390"/>
      <c r="EJT5" s="390"/>
      <c r="EJU5" s="390"/>
      <c r="EJV5" s="390"/>
      <c r="EJW5" s="390"/>
      <c r="EJX5" s="390"/>
      <c r="EJY5" s="390"/>
      <c r="EJZ5" s="390"/>
      <c r="EKA5" s="390"/>
      <c r="EKB5" s="390"/>
      <c r="EKC5" s="390"/>
      <c r="EKD5" s="390"/>
      <c r="EKE5" s="390"/>
      <c r="EKF5" s="390"/>
      <c r="EKG5" s="390"/>
      <c r="EKH5" s="390"/>
      <c r="EKI5" s="390"/>
      <c r="EKJ5" s="390"/>
      <c r="EKK5" s="390"/>
      <c r="EKL5" s="390"/>
      <c r="EKM5" s="390"/>
      <c r="EKN5" s="390"/>
      <c r="EKO5" s="390"/>
      <c r="EKP5" s="390"/>
      <c r="EKQ5" s="390"/>
      <c r="EKR5" s="390"/>
      <c r="EKS5" s="390"/>
      <c r="EKT5" s="390"/>
      <c r="EKU5" s="390"/>
      <c r="EKV5" s="390"/>
      <c r="EKW5" s="390"/>
      <c r="EKX5" s="390"/>
      <c r="EKY5" s="390"/>
      <c r="EKZ5" s="390"/>
      <c r="ELA5" s="390"/>
      <c r="ELB5" s="390"/>
      <c r="ELC5" s="390"/>
      <c r="ELD5" s="390"/>
      <c r="ELE5" s="390"/>
      <c r="ELF5" s="390"/>
      <c r="ELG5" s="390"/>
      <c r="ELH5" s="390"/>
      <c r="ELI5" s="390"/>
      <c r="ELJ5" s="390"/>
      <c r="ELK5" s="390"/>
      <c r="ELL5" s="390"/>
      <c r="ELM5" s="390"/>
      <c r="ELN5" s="390"/>
      <c r="ELO5" s="390"/>
      <c r="ELP5" s="390"/>
      <c r="ELQ5" s="390"/>
      <c r="ELR5" s="390"/>
      <c r="ELS5" s="390"/>
      <c r="ELT5" s="390"/>
      <c r="ELU5" s="390"/>
      <c r="ELV5" s="390"/>
      <c r="ELW5" s="390"/>
      <c r="ELX5" s="390"/>
      <c r="ELY5" s="390"/>
      <c r="ELZ5" s="390"/>
      <c r="EMA5" s="390"/>
      <c r="EMB5" s="390"/>
      <c r="EMC5" s="390"/>
      <c r="EMD5" s="390"/>
      <c r="EME5" s="390"/>
      <c r="EMF5" s="390"/>
      <c r="EMG5" s="390"/>
      <c r="EMH5" s="390"/>
      <c r="EMI5" s="390"/>
      <c r="EMJ5" s="390"/>
      <c r="EMK5" s="390"/>
      <c r="EML5" s="390"/>
      <c r="EMM5" s="390"/>
      <c r="EMN5" s="390"/>
      <c r="EMO5" s="390"/>
      <c r="EMP5" s="390"/>
      <c r="EMQ5" s="390"/>
      <c r="EMR5" s="390"/>
      <c r="EMS5" s="390"/>
      <c r="EMT5" s="390"/>
      <c r="EMU5" s="390"/>
      <c r="EMV5" s="390"/>
      <c r="EMW5" s="390"/>
      <c r="EMX5" s="390"/>
      <c r="EMY5" s="390"/>
      <c r="EMZ5" s="390"/>
      <c r="ENA5" s="390"/>
      <c r="ENB5" s="390"/>
      <c r="ENC5" s="390"/>
      <c r="END5" s="390"/>
      <c r="ENE5" s="390"/>
      <c r="ENF5" s="390"/>
      <c r="ENG5" s="390"/>
      <c r="ENH5" s="390"/>
      <c r="ENI5" s="390"/>
      <c r="ENJ5" s="390"/>
      <c r="ENK5" s="390"/>
      <c r="ENL5" s="390"/>
      <c r="ENM5" s="390"/>
      <c r="ENN5" s="390"/>
      <c r="ENO5" s="390"/>
      <c r="ENP5" s="390"/>
      <c r="ENQ5" s="390"/>
      <c r="ENR5" s="390"/>
      <c r="ENS5" s="390"/>
      <c r="ENT5" s="390"/>
      <c r="ENU5" s="390"/>
      <c r="ENV5" s="390"/>
      <c r="ENW5" s="390"/>
      <c r="ENX5" s="390"/>
      <c r="ENY5" s="390"/>
      <c r="ENZ5" s="390"/>
      <c r="EOA5" s="390"/>
      <c r="EOB5" s="390"/>
      <c r="EOC5" s="390"/>
      <c r="EOD5" s="390"/>
      <c r="EOE5" s="390"/>
      <c r="EOF5" s="390"/>
      <c r="EOG5" s="390"/>
      <c r="EOH5" s="390"/>
      <c r="EOI5" s="390"/>
      <c r="EOJ5" s="390"/>
      <c r="EOK5" s="390"/>
      <c r="EOL5" s="390"/>
      <c r="EOM5" s="390"/>
      <c r="EON5" s="390"/>
      <c r="EOO5" s="390"/>
      <c r="EOP5" s="390"/>
      <c r="EOQ5" s="390"/>
      <c r="EOR5" s="390"/>
      <c r="EOS5" s="390"/>
      <c r="EOT5" s="390"/>
      <c r="EOU5" s="390"/>
      <c r="EOV5" s="390"/>
      <c r="EOW5" s="390"/>
      <c r="EOX5" s="390"/>
      <c r="EOY5" s="390"/>
      <c r="EOZ5" s="390"/>
      <c r="EPA5" s="390"/>
      <c r="EPB5" s="390"/>
      <c r="EPC5" s="390"/>
      <c r="EPD5" s="390"/>
      <c r="EPE5" s="390"/>
      <c r="EPF5" s="390"/>
      <c r="EPG5" s="390"/>
      <c r="EPH5" s="390"/>
      <c r="EPI5" s="390"/>
      <c r="EPJ5" s="390"/>
      <c r="EPK5" s="390"/>
      <c r="EPL5" s="390"/>
      <c r="EPM5" s="390"/>
      <c r="EPN5" s="390"/>
      <c r="EPO5" s="390"/>
      <c r="EPP5" s="390"/>
      <c r="EPQ5" s="390"/>
      <c r="EPR5" s="390"/>
      <c r="EPS5" s="390"/>
      <c r="EPT5" s="390"/>
      <c r="EPU5" s="390"/>
      <c r="EPV5" s="390"/>
      <c r="EPW5" s="390"/>
      <c r="EPX5" s="390"/>
      <c r="EPY5" s="390"/>
      <c r="EPZ5" s="390"/>
      <c r="EQA5" s="390"/>
      <c r="EQB5" s="390"/>
      <c r="EQC5" s="390"/>
      <c r="EQD5" s="390"/>
      <c r="EQE5" s="390"/>
      <c r="EQF5" s="390"/>
      <c r="EQG5" s="390"/>
      <c r="EQH5" s="390"/>
      <c r="EQI5" s="390"/>
      <c r="EQJ5" s="390"/>
      <c r="EQK5" s="390"/>
      <c r="EQL5" s="390"/>
      <c r="EQM5" s="390"/>
      <c r="EQN5" s="390"/>
      <c r="EQO5" s="390"/>
      <c r="EQP5" s="390"/>
      <c r="EQQ5" s="390"/>
      <c r="EQR5" s="390"/>
      <c r="EQS5" s="390"/>
      <c r="EQT5" s="390"/>
      <c r="EQU5" s="390"/>
      <c r="EQV5" s="390"/>
      <c r="EQW5" s="390"/>
      <c r="EQX5" s="390"/>
      <c r="EQY5" s="390"/>
      <c r="EQZ5" s="390"/>
      <c r="ERA5" s="390"/>
      <c r="ERB5" s="390"/>
      <c r="ERC5" s="390"/>
      <c r="ERD5" s="390"/>
      <c r="ERE5" s="390"/>
      <c r="ERF5" s="390"/>
      <c r="ERG5" s="390"/>
      <c r="ERH5" s="390"/>
      <c r="ERI5" s="390"/>
      <c r="ERJ5" s="390"/>
      <c r="ERK5" s="390"/>
      <c r="ERL5" s="390"/>
      <c r="ERM5" s="390"/>
      <c r="ERN5" s="390"/>
      <c r="ERO5" s="390"/>
      <c r="ERP5" s="390"/>
      <c r="ERQ5" s="390"/>
      <c r="ERR5" s="390"/>
      <c r="ERS5" s="390"/>
      <c r="ERT5" s="390"/>
      <c r="ERU5" s="390"/>
      <c r="ERV5" s="390"/>
      <c r="ERW5" s="390"/>
      <c r="ERX5" s="390"/>
      <c r="ERY5" s="390"/>
      <c r="ERZ5" s="390"/>
      <c r="ESA5" s="390"/>
      <c r="ESB5" s="390"/>
      <c r="ESC5" s="390"/>
      <c r="ESD5" s="390"/>
      <c r="ESE5" s="390"/>
      <c r="ESF5" s="390"/>
      <c r="ESG5" s="390"/>
      <c r="ESH5" s="390"/>
      <c r="ESI5" s="390"/>
      <c r="ESJ5" s="390"/>
      <c r="ESK5" s="390"/>
      <c r="ESL5" s="390"/>
      <c r="ESM5" s="390"/>
      <c r="ESN5" s="390"/>
      <c r="ESO5" s="390"/>
      <c r="ESP5" s="390"/>
      <c r="ESQ5" s="390"/>
      <c r="ESR5" s="390"/>
      <c r="ESS5" s="390"/>
      <c r="EST5" s="390"/>
      <c r="ESU5" s="390"/>
      <c r="ESV5" s="390"/>
      <c r="ESW5" s="390"/>
      <c r="ESX5" s="390"/>
      <c r="ESY5" s="390"/>
      <c r="ESZ5" s="390"/>
      <c r="ETA5" s="390"/>
      <c r="ETB5" s="390"/>
      <c r="ETC5" s="390"/>
      <c r="ETD5" s="390"/>
      <c r="ETE5" s="390"/>
      <c r="ETF5" s="390"/>
      <c r="ETG5" s="390"/>
      <c r="ETH5" s="390"/>
      <c r="ETI5" s="390"/>
      <c r="ETJ5" s="390"/>
      <c r="ETK5" s="390"/>
      <c r="ETL5" s="390"/>
      <c r="ETM5" s="390"/>
      <c r="ETN5" s="390"/>
      <c r="ETO5" s="390"/>
      <c r="ETP5" s="390"/>
      <c r="ETQ5" s="390"/>
      <c r="ETR5" s="390"/>
      <c r="ETS5" s="390"/>
      <c r="ETT5" s="390"/>
      <c r="ETU5" s="390"/>
      <c r="ETV5" s="390"/>
      <c r="ETW5" s="390"/>
      <c r="ETX5" s="390"/>
      <c r="ETY5" s="390"/>
      <c r="ETZ5" s="390"/>
      <c r="EUA5" s="390"/>
      <c r="EUB5" s="390"/>
      <c r="EUC5" s="390"/>
      <c r="EUD5" s="390"/>
      <c r="EUE5" s="390"/>
      <c r="EUF5" s="390"/>
      <c r="EUG5" s="390"/>
      <c r="EUH5" s="390"/>
      <c r="EUI5" s="390"/>
      <c r="EUJ5" s="390"/>
      <c r="EUK5" s="390"/>
      <c r="EUL5" s="390"/>
      <c r="EUM5" s="390"/>
      <c r="EUN5" s="390"/>
      <c r="EUO5" s="390"/>
      <c r="EUP5" s="390"/>
      <c r="EUQ5" s="390"/>
      <c r="EUR5" s="390"/>
      <c r="EUS5" s="390"/>
      <c r="EUT5" s="390"/>
      <c r="EUU5" s="390"/>
      <c r="EUV5" s="390"/>
      <c r="EUW5" s="390"/>
      <c r="EUX5" s="390"/>
      <c r="EUY5" s="390"/>
      <c r="EUZ5" s="390"/>
      <c r="EVA5" s="390"/>
      <c r="EVB5" s="390"/>
      <c r="EVC5" s="390"/>
      <c r="EVD5" s="390"/>
      <c r="EVE5" s="390"/>
      <c r="EVF5" s="390"/>
      <c r="EVG5" s="390"/>
      <c r="EVH5" s="390"/>
      <c r="EVI5" s="390"/>
      <c r="EVJ5" s="390"/>
      <c r="EVK5" s="390"/>
      <c r="EVL5" s="390"/>
      <c r="EVM5" s="390"/>
      <c r="EVN5" s="390"/>
      <c r="EVO5" s="390"/>
      <c r="EVP5" s="390"/>
      <c r="EVQ5" s="390"/>
      <c r="EVR5" s="390"/>
      <c r="EVS5" s="390"/>
      <c r="EVT5" s="390"/>
      <c r="EVU5" s="390"/>
      <c r="EVV5" s="390"/>
      <c r="EVW5" s="390"/>
      <c r="EVX5" s="390"/>
      <c r="EVY5" s="390"/>
      <c r="EVZ5" s="390"/>
      <c r="EWA5" s="390"/>
      <c r="EWB5" s="390"/>
      <c r="EWC5" s="390"/>
      <c r="EWD5" s="390"/>
      <c r="EWE5" s="390"/>
      <c r="EWF5" s="390"/>
      <c r="EWG5" s="390"/>
      <c r="EWH5" s="390"/>
      <c r="EWI5" s="390"/>
      <c r="EWJ5" s="390"/>
      <c r="EWK5" s="390"/>
      <c r="EWL5" s="390"/>
      <c r="EWM5" s="390"/>
      <c r="EWN5" s="390"/>
      <c r="EWO5" s="390"/>
      <c r="EWP5" s="390"/>
      <c r="EWQ5" s="390"/>
      <c r="EWR5" s="390"/>
      <c r="EWS5" s="390"/>
      <c r="EWT5" s="390"/>
      <c r="EWU5" s="390"/>
      <c r="EWV5" s="390"/>
      <c r="EWW5" s="390"/>
      <c r="EWX5" s="390"/>
      <c r="EWY5" s="390"/>
      <c r="EWZ5" s="390"/>
      <c r="EXA5" s="390"/>
      <c r="EXB5" s="390"/>
      <c r="EXC5" s="390"/>
      <c r="EXD5" s="390"/>
      <c r="EXE5" s="390"/>
      <c r="EXF5" s="390"/>
      <c r="EXG5" s="390"/>
      <c r="EXH5" s="390"/>
      <c r="EXI5" s="390"/>
      <c r="EXJ5" s="390"/>
      <c r="EXK5" s="390"/>
      <c r="EXL5" s="390"/>
      <c r="EXM5" s="390"/>
      <c r="EXN5" s="390"/>
      <c r="EXO5" s="390"/>
      <c r="EXP5" s="390"/>
      <c r="EXQ5" s="390"/>
      <c r="EXR5" s="390"/>
      <c r="EXS5" s="390"/>
      <c r="EXT5" s="390"/>
      <c r="EXU5" s="390"/>
      <c r="EXV5" s="390"/>
      <c r="EXW5" s="390"/>
      <c r="EXX5" s="390"/>
      <c r="EXY5" s="390"/>
      <c r="EXZ5" s="390"/>
      <c r="EYA5" s="390"/>
      <c r="EYB5" s="390"/>
      <c r="EYC5" s="390"/>
      <c r="EYD5" s="390"/>
      <c r="EYE5" s="390"/>
      <c r="EYF5" s="390"/>
      <c r="EYG5" s="390"/>
      <c r="EYH5" s="390"/>
      <c r="EYI5" s="390"/>
      <c r="EYJ5" s="390"/>
      <c r="EYK5" s="390"/>
      <c r="EYL5" s="390"/>
      <c r="EYM5" s="390"/>
      <c r="EYN5" s="390"/>
      <c r="EYO5" s="390"/>
      <c r="EYP5" s="390"/>
      <c r="EYQ5" s="390"/>
      <c r="EYR5" s="390"/>
      <c r="EYS5" s="390"/>
      <c r="EYT5" s="390"/>
      <c r="EYU5" s="390"/>
      <c r="EYV5" s="390"/>
      <c r="EYW5" s="390"/>
      <c r="EYX5" s="390"/>
      <c r="EYY5" s="390"/>
      <c r="EYZ5" s="390"/>
      <c r="EZA5" s="390"/>
      <c r="EZB5" s="390"/>
      <c r="EZC5" s="390"/>
      <c r="EZD5" s="390"/>
      <c r="EZE5" s="390"/>
      <c r="EZF5" s="390"/>
      <c r="EZG5" s="390"/>
      <c r="EZH5" s="390"/>
      <c r="EZI5" s="390"/>
      <c r="EZJ5" s="390"/>
      <c r="EZK5" s="390"/>
      <c r="EZL5" s="390"/>
      <c r="EZM5" s="390"/>
      <c r="EZN5" s="390"/>
      <c r="EZO5" s="390"/>
      <c r="EZP5" s="390"/>
      <c r="EZQ5" s="390"/>
      <c r="EZR5" s="390"/>
      <c r="EZS5" s="390"/>
      <c r="EZT5" s="390"/>
      <c r="EZU5" s="390"/>
      <c r="EZV5" s="390"/>
      <c r="EZW5" s="390"/>
      <c r="EZX5" s="390"/>
      <c r="EZY5" s="390"/>
      <c r="EZZ5" s="390"/>
      <c r="FAA5" s="390"/>
      <c r="FAB5" s="390"/>
      <c r="FAC5" s="390"/>
      <c r="FAD5" s="390"/>
      <c r="FAE5" s="390"/>
      <c r="FAF5" s="390"/>
      <c r="FAG5" s="390"/>
      <c r="FAH5" s="390"/>
      <c r="FAI5" s="390"/>
      <c r="FAJ5" s="390"/>
      <c r="FAK5" s="390"/>
      <c r="FAL5" s="390"/>
      <c r="FAM5" s="390"/>
      <c r="FAN5" s="390"/>
      <c r="FAO5" s="390"/>
      <c r="FAP5" s="390"/>
      <c r="FAQ5" s="390"/>
      <c r="FAR5" s="390"/>
      <c r="FAS5" s="390"/>
      <c r="FAT5" s="390"/>
      <c r="FAU5" s="390"/>
      <c r="FAV5" s="390"/>
      <c r="FAW5" s="390"/>
      <c r="FAX5" s="390"/>
      <c r="FAY5" s="390"/>
      <c r="FAZ5" s="390"/>
      <c r="FBA5" s="390"/>
      <c r="FBB5" s="390"/>
      <c r="FBC5" s="390"/>
      <c r="FBD5" s="390"/>
      <c r="FBE5" s="390"/>
      <c r="FBF5" s="390"/>
      <c r="FBG5" s="390"/>
      <c r="FBH5" s="390"/>
      <c r="FBI5" s="390"/>
      <c r="FBJ5" s="390"/>
      <c r="FBK5" s="390"/>
      <c r="FBL5" s="390"/>
      <c r="FBM5" s="390"/>
      <c r="FBN5" s="390"/>
      <c r="FBO5" s="390"/>
      <c r="FBP5" s="390"/>
      <c r="FBQ5" s="390"/>
      <c r="FBR5" s="390"/>
      <c r="FBS5" s="390"/>
      <c r="FBT5" s="390"/>
      <c r="FBU5" s="390"/>
      <c r="FBV5" s="390"/>
      <c r="FBW5" s="390"/>
      <c r="FBX5" s="390"/>
      <c r="FBY5" s="390"/>
      <c r="FBZ5" s="390"/>
      <c r="FCA5" s="390"/>
      <c r="FCB5" s="390"/>
      <c r="FCC5" s="390"/>
      <c r="FCD5" s="390"/>
      <c r="FCE5" s="390"/>
      <c r="FCF5" s="390"/>
      <c r="FCG5" s="390"/>
      <c r="FCH5" s="390"/>
      <c r="FCI5" s="390"/>
      <c r="FCJ5" s="390"/>
      <c r="FCK5" s="390"/>
      <c r="FCL5" s="390"/>
      <c r="FCM5" s="390"/>
      <c r="FCN5" s="390"/>
      <c r="FCO5" s="390"/>
      <c r="FCP5" s="390"/>
      <c r="FCQ5" s="390"/>
      <c r="FCR5" s="390"/>
      <c r="FCS5" s="390"/>
      <c r="FCT5" s="390"/>
      <c r="FCU5" s="390"/>
      <c r="FCV5" s="390"/>
      <c r="FCW5" s="390"/>
      <c r="FCX5" s="390"/>
      <c r="FCY5" s="390"/>
      <c r="FCZ5" s="390"/>
      <c r="FDA5" s="390"/>
      <c r="FDB5" s="390"/>
      <c r="FDC5" s="390"/>
      <c r="FDD5" s="390"/>
      <c r="FDE5" s="390"/>
      <c r="FDF5" s="390"/>
      <c r="FDG5" s="390"/>
      <c r="FDH5" s="390"/>
      <c r="FDI5" s="390"/>
      <c r="FDJ5" s="390"/>
      <c r="FDK5" s="390"/>
      <c r="FDL5" s="390"/>
      <c r="FDM5" s="390"/>
      <c r="FDN5" s="390"/>
      <c r="FDO5" s="390"/>
      <c r="FDP5" s="390"/>
      <c r="FDQ5" s="390"/>
      <c r="FDR5" s="390"/>
      <c r="FDS5" s="390"/>
      <c r="FDT5" s="390"/>
      <c r="FDU5" s="390"/>
      <c r="FDV5" s="390"/>
      <c r="FDW5" s="390"/>
      <c r="FDX5" s="390"/>
      <c r="FDY5" s="390"/>
      <c r="FDZ5" s="390"/>
      <c r="FEA5" s="390"/>
      <c r="FEB5" s="390"/>
      <c r="FEC5" s="390"/>
      <c r="FED5" s="390"/>
      <c r="FEE5" s="390"/>
      <c r="FEF5" s="390"/>
      <c r="FEG5" s="390"/>
      <c r="FEH5" s="390"/>
      <c r="FEI5" s="390"/>
      <c r="FEJ5" s="390"/>
      <c r="FEK5" s="390"/>
      <c r="FEL5" s="390"/>
      <c r="FEM5" s="390"/>
      <c r="FEN5" s="390"/>
      <c r="FEO5" s="390"/>
      <c r="FEP5" s="390"/>
      <c r="FEQ5" s="390"/>
      <c r="FER5" s="390"/>
      <c r="FES5" s="390"/>
      <c r="FET5" s="390"/>
      <c r="FEU5" s="390"/>
      <c r="FEV5" s="390"/>
      <c r="FEW5" s="390"/>
      <c r="FEX5" s="390"/>
      <c r="FEY5" s="390"/>
      <c r="FEZ5" s="390"/>
      <c r="FFA5" s="390"/>
      <c r="FFB5" s="390"/>
      <c r="FFC5" s="390"/>
      <c r="FFD5" s="390"/>
      <c r="FFE5" s="390"/>
      <c r="FFF5" s="390"/>
      <c r="FFG5" s="390"/>
      <c r="FFH5" s="390"/>
      <c r="FFI5" s="390"/>
      <c r="FFJ5" s="390"/>
      <c r="FFK5" s="390"/>
      <c r="FFL5" s="390"/>
      <c r="FFM5" s="390"/>
      <c r="FFN5" s="390"/>
      <c r="FFO5" s="390"/>
      <c r="FFP5" s="390"/>
      <c r="FFQ5" s="390"/>
      <c r="FFR5" s="390"/>
      <c r="FFS5" s="390"/>
      <c r="FFT5" s="390"/>
      <c r="FFU5" s="390"/>
      <c r="FFV5" s="390"/>
      <c r="FFW5" s="390"/>
      <c r="FFX5" s="390"/>
      <c r="FFY5" s="390"/>
      <c r="FFZ5" s="390"/>
      <c r="FGA5" s="390"/>
      <c r="FGB5" s="390"/>
      <c r="FGC5" s="390"/>
      <c r="FGD5" s="390"/>
      <c r="FGE5" s="390"/>
      <c r="FGF5" s="390"/>
      <c r="FGG5" s="390"/>
      <c r="FGH5" s="390"/>
      <c r="FGI5" s="390"/>
      <c r="FGJ5" s="390"/>
      <c r="FGK5" s="390"/>
      <c r="FGL5" s="390"/>
      <c r="FGM5" s="390"/>
      <c r="FGN5" s="390"/>
      <c r="FGO5" s="390"/>
      <c r="FGP5" s="390"/>
      <c r="FGQ5" s="390"/>
      <c r="FGR5" s="390"/>
      <c r="FGS5" s="390"/>
      <c r="FGT5" s="390"/>
      <c r="FGU5" s="390"/>
      <c r="FGV5" s="390"/>
      <c r="FGW5" s="390"/>
      <c r="FGX5" s="390"/>
      <c r="FGY5" s="390"/>
      <c r="FGZ5" s="390"/>
      <c r="FHA5" s="390"/>
      <c r="FHB5" s="390"/>
      <c r="FHC5" s="390"/>
      <c r="FHD5" s="390"/>
      <c r="FHE5" s="390"/>
      <c r="FHF5" s="390"/>
      <c r="FHG5" s="390"/>
      <c r="FHH5" s="390"/>
      <c r="FHI5" s="390"/>
      <c r="FHJ5" s="390"/>
      <c r="FHK5" s="390"/>
      <c r="FHL5" s="390"/>
      <c r="FHM5" s="390"/>
      <c r="FHN5" s="390"/>
      <c r="FHO5" s="390"/>
      <c r="FHP5" s="390"/>
      <c r="FHQ5" s="390"/>
      <c r="FHR5" s="390"/>
      <c r="FHS5" s="390"/>
      <c r="FHT5" s="390"/>
      <c r="FHU5" s="390"/>
      <c r="FHV5" s="390"/>
      <c r="FHW5" s="390"/>
      <c r="FHX5" s="390"/>
      <c r="FHY5" s="390"/>
      <c r="FHZ5" s="390"/>
      <c r="FIA5" s="390"/>
      <c r="FIB5" s="390"/>
      <c r="FIC5" s="390"/>
      <c r="FID5" s="390"/>
      <c r="FIE5" s="390"/>
      <c r="FIF5" s="390"/>
      <c r="FIG5" s="390"/>
      <c r="FIH5" s="390"/>
      <c r="FII5" s="390"/>
      <c r="FIJ5" s="390"/>
      <c r="FIK5" s="390"/>
      <c r="FIL5" s="390"/>
      <c r="FIM5" s="390"/>
      <c r="FIN5" s="390"/>
      <c r="FIO5" s="390"/>
      <c r="FIP5" s="390"/>
      <c r="FIQ5" s="390"/>
      <c r="FIR5" s="390"/>
      <c r="FIS5" s="390"/>
      <c r="FIT5" s="390"/>
      <c r="FIU5" s="390"/>
      <c r="FIV5" s="390"/>
      <c r="FIW5" s="390"/>
      <c r="FIX5" s="390"/>
      <c r="FIY5" s="390"/>
      <c r="FIZ5" s="390"/>
      <c r="FJA5" s="390"/>
      <c r="FJB5" s="390"/>
      <c r="FJC5" s="390"/>
      <c r="FJD5" s="390"/>
      <c r="FJE5" s="390"/>
      <c r="FJF5" s="390"/>
      <c r="FJG5" s="390"/>
      <c r="FJH5" s="390"/>
      <c r="FJI5" s="390"/>
      <c r="FJJ5" s="390"/>
      <c r="FJK5" s="390"/>
      <c r="FJL5" s="390"/>
      <c r="FJM5" s="390"/>
      <c r="FJN5" s="390"/>
      <c r="FJO5" s="390"/>
      <c r="FJP5" s="390"/>
      <c r="FJQ5" s="390"/>
      <c r="FJR5" s="390"/>
      <c r="FJS5" s="390"/>
      <c r="FJT5" s="390"/>
      <c r="FJU5" s="390"/>
      <c r="FJV5" s="390"/>
      <c r="FJW5" s="390"/>
      <c r="FJX5" s="390"/>
      <c r="FJY5" s="390"/>
      <c r="FJZ5" s="390"/>
      <c r="FKA5" s="390"/>
      <c r="FKB5" s="390"/>
      <c r="FKC5" s="390"/>
      <c r="FKD5" s="390"/>
      <c r="FKE5" s="390"/>
      <c r="FKF5" s="390"/>
      <c r="FKG5" s="390"/>
      <c r="FKH5" s="390"/>
      <c r="FKI5" s="390"/>
      <c r="FKJ5" s="390"/>
      <c r="FKK5" s="390"/>
      <c r="FKL5" s="390"/>
      <c r="FKM5" s="390"/>
      <c r="FKN5" s="390"/>
      <c r="FKO5" s="390"/>
      <c r="FKP5" s="390"/>
      <c r="FKQ5" s="390"/>
      <c r="FKR5" s="390"/>
      <c r="FKS5" s="390"/>
      <c r="FKT5" s="390"/>
      <c r="FKU5" s="390"/>
      <c r="FKV5" s="390"/>
      <c r="FKW5" s="390"/>
      <c r="FKX5" s="390"/>
      <c r="FKY5" s="390"/>
      <c r="FKZ5" s="390"/>
      <c r="FLA5" s="390"/>
      <c r="FLB5" s="390"/>
      <c r="FLC5" s="390"/>
      <c r="FLD5" s="390"/>
      <c r="FLE5" s="390"/>
      <c r="FLF5" s="390"/>
      <c r="FLG5" s="390"/>
      <c r="FLH5" s="390"/>
      <c r="FLI5" s="390"/>
      <c r="FLJ5" s="390"/>
      <c r="FLK5" s="390"/>
      <c r="FLL5" s="390"/>
      <c r="FLM5" s="390"/>
      <c r="FLN5" s="390"/>
      <c r="FLO5" s="390"/>
      <c r="FLP5" s="390"/>
      <c r="FLQ5" s="390"/>
      <c r="FLR5" s="390"/>
      <c r="FLS5" s="390"/>
      <c r="FLT5" s="390"/>
      <c r="FLU5" s="390"/>
      <c r="FLV5" s="390"/>
      <c r="FLW5" s="390"/>
      <c r="FLX5" s="390"/>
      <c r="FLY5" s="390"/>
      <c r="FLZ5" s="390"/>
      <c r="FMA5" s="390"/>
      <c r="FMB5" s="390"/>
      <c r="FMC5" s="390"/>
      <c r="FMD5" s="390"/>
      <c r="FME5" s="390"/>
      <c r="FMF5" s="390"/>
      <c r="FMG5" s="390"/>
      <c r="FMH5" s="390"/>
      <c r="FMI5" s="390"/>
      <c r="FMJ5" s="390"/>
      <c r="FMK5" s="390"/>
      <c r="FML5" s="390"/>
      <c r="FMM5" s="390"/>
      <c r="FMN5" s="390"/>
      <c r="FMO5" s="390"/>
      <c r="FMP5" s="390"/>
      <c r="FMQ5" s="390"/>
      <c r="FMR5" s="390"/>
      <c r="FMS5" s="390"/>
      <c r="FMT5" s="390"/>
      <c r="FMU5" s="390"/>
      <c r="FMV5" s="390"/>
      <c r="FMW5" s="390"/>
      <c r="FMX5" s="390"/>
      <c r="FMY5" s="390"/>
      <c r="FMZ5" s="390"/>
      <c r="FNA5" s="390"/>
      <c r="FNB5" s="390"/>
      <c r="FNC5" s="390"/>
      <c r="FND5" s="390"/>
      <c r="FNE5" s="390"/>
      <c r="FNF5" s="390"/>
      <c r="FNG5" s="390"/>
      <c r="FNH5" s="390"/>
      <c r="FNI5" s="390"/>
      <c r="FNJ5" s="390"/>
      <c r="FNK5" s="390"/>
      <c r="FNL5" s="390"/>
      <c r="FNM5" s="390"/>
      <c r="FNN5" s="390"/>
      <c r="FNO5" s="390"/>
      <c r="FNP5" s="390"/>
      <c r="FNQ5" s="390"/>
      <c r="FNR5" s="390"/>
      <c r="FNS5" s="390"/>
      <c r="FNT5" s="390"/>
      <c r="FNU5" s="390"/>
      <c r="FNV5" s="390"/>
      <c r="FNW5" s="390"/>
      <c r="FNX5" s="390"/>
      <c r="FNY5" s="390"/>
      <c r="FNZ5" s="390"/>
      <c r="FOA5" s="390"/>
      <c r="FOB5" s="390"/>
      <c r="FOC5" s="390"/>
      <c r="FOD5" s="390"/>
      <c r="FOE5" s="390"/>
      <c r="FOF5" s="390"/>
      <c r="FOG5" s="390"/>
      <c r="FOH5" s="390"/>
      <c r="FOI5" s="390"/>
      <c r="FOJ5" s="390"/>
      <c r="FOK5" s="390"/>
      <c r="FOL5" s="390"/>
      <c r="FOM5" s="390"/>
      <c r="FON5" s="390"/>
      <c r="FOO5" s="390"/>
      <c r="FOP5" s="390"/>
      <c r="FOQ5" s="390"/>
      <c r="FOR5" s="390"/>
      <c r="FOS5" s="390"/>
      <c r="FOT5" s="390"/>
      <c r="FOU5" s="390"/>
      <c r="FOV5" s="390"/>
      <c r="FOW5" s="390"/>
      <c r="FOX5" s="390"/>
      <c r="FOY5" s="390"/>
      <c r="FOZ5" s="390"/>
      <c r="FPA5" s="390"/>
      <c r="FPB5" s="390"/>
      <c r="FPC5" s="390"/>
      <c r="FPD5" s="390"/>
      <c r="FPE5" s="390"/>
      <c r="FPF5" s="390"/>
      <c r="FPG5" s="390"/>
      <c r="FPH5" s="390"/>
      <c r="FPI5" s="390"/>
      <c r="FPJ5" s="390"/>
      <c r="FPK5" s="390"/>
      <c r="FPL5" s="390"/>
      <c r="FPM5" s="390"/>
      <c r="FPN5" s="390"/>
      <c r="FPO5" s="390"/>
      <c r="FPP5" s="390"/>
      <c r="FPQ5" s="390"/>
      <c r="FPR5" s="390"/>
      <c r="FPS5" s="390"/>
      <c r="FPT5" s="390"/>
      <c r="FPU5" s="390"/>
      <c r="FPV5" s="390"/>
      <c r="FPW5" s="390"/>
      <c r="FPX5" s="390"/>
      <c r="FPY5" s="390"/>
      <c r="FPZ5" s="390"/>
      <c r="FQA5" s="390"/>
      <c r="FQB5" s="390"/>
      <c r="FQC5" s="390"/>
      <c r="FQD5" s="390"/>
      <c r="FQE5" s="390"/>
      <c r="FQF5" s="390"/>
      <c r="FQG5" s="390"/>
      <c r="FQH5" s="390"/>
      <c r="FQI5" s="390"/>
      <c r="FQJ5" s="390"/>
      <c r="FQK5" s="390"/>
      <c r="FQL5" s="390"/>
      <c r="FQM5" s="390"/>
      <c r="FQN5" s="390"/>
      <c r="FQO5" s="390"/>
      <c r="FQP5" s="390"/>
      <c r="FQQ5" s="390"/>
      <c r="FQR5" s="390"/>
      <c r="FQS5" s="390"/>
      <c r="FQT5" s="390"/>
      <c r="FQU5" s="390"/>
      <c r="FQV5" s="390"/>
      <c r="FQW5" s="390"/>
      <c r="FQX5" s="390"/>
      <c r="FQY5" s="390"/>
      <c r="FQZ5" s="390"/>
      <c r="FRA5" s="390"/>
      <c r="FRB5" s="390"/>
      <c r="FRC5" s="390"/>
      <c r="FRD5" s="390"/>
      <c r="FRE5" s="390"/>
      <c r="FRF5" s="390"/>
      <c r="FRG5" s="390"/>
      <c r="FRH5" s="390"/>
      <c r="FRI5" s="390"/>
      <c r="FRJ5" s="390"/>
      <c r="FRK5" s="390"/>
      <c r="FRL5" s="390"/>
      <c r="FRM5" s="390"/>
      <c r="FRN5" s="390"/>
      <c r="FRO5" s="390"/>
      <c r="FRP5" s="390"/>
      <c r="FRQ5" s="390"/>
      <c r="FRR5" s="390"/>
      <c r="FRS5" s="390"/>
      <c r="FRT5" s="390"/>
      <c r="FRU5" s="390"/>
      <c r="FRV5" s="390"/>
      <c r="FRW5" s="390"/>
      <c r="FRX5" s="390"/>
      <c r="FRY5" s="390"/>
      <c r="FRZ5" s="390"/>
      <c r="FSA5" s="390"/>
      <c r="FSB5" s="390"/>
      <c r="FSC5" s="390"/>
      <c r="FSD5" s="390"/>
      <c r="FSE5" s="390"/>
      <c r="FSF5" s="390"/>
      <c r="FSG5" s="390"/>
      <c r="FSH5" s="390"/>
      <c r="FSI5" s="390"/>
      <c r="FSJ5" s="390"/>
      <c r="FSK5" s="390"/>
      <c r="FSL5" s="390"/>
      <c r="FSM5" s="390"/>
      <c r="FSN5" s="390"/>
      <c r="FSO5" s="390"/>
      <c r="FSP5" s="390"/>
      <c r="FSQ5" s="390"/>
      <c r="FSR5" s="390"/>
      <c r="FSS5" s="390"/>
      <c r="FST5" s="390"/>
      <c r="FSU5" s="390"/>
      <c r="FSV5" s="390"/>
      <c r="FSW5" s="390"/>
      <c r="FSX5" s="390"/>
      <c r="FSY5" s="390"/>
      <c r="FSZ5" s="390"/>
      <c r="FTA5" s="390"/>
      <c r="FTB5" s="390"/>
      <c r="FTC5" s="390"/>
      <c r="FTD5" s="390"/>
      <c r="FTE5" s="390"/>
      <c r="FTF5" s="390"/>
      <c r="FTG5" s="390"/>
      <c r="FTH5" s="390"/>
      <c r="FTI5" s="390"/>
      <c r="FTJ5" s="390"/>
      <c r="FTK5" s="390"/>
      <c r="FTL5" s="390"/>
      <c r="FTM5" s="390"/>
      <c r="FTN5" s="390"/>
      <c r="FTO5" s="390"/>
      <c r="FTP5" s="390"/>
      <c r="FTQ5" s="390"/>
      <c r="FTR5" s="390"/>
      <c r="FTS5" s="390"/>
      <c r="FTT5" s="390"/>
      <c r="FTU5" s="390"/>
      <c r="FTV5" s="390"/>
      <c r="FTW5" s="390"/>
      <c r="FTX5" s="390"/>
      <c r="FTY5" s="390"/>
      <c r="FTZ5" s="390"/>
      <c r="FUA5" s="390"/>
      <c r="FUB5" s="390"/>
      <c r="FUC5" s="390"/>
      <c r="FUD5" s="390"/>
      <c r="FUE5" s="390"/>
      <c r="FUF5" s="390"/>
      <c r="FUG5" s="390"/>
      <c r="FUH5" s="390"/>
      <c r="FUI5" s="390"/>
      <c r="FUJ5" s="390"/>
      <c r="FUK5" s="390"/>
      <c r="FUL5" s="390"/>
      <c r="FUM5" s="390"/>
      <c r="FUN5" s="390"/>
      <c r="FUO5" s="390"/>
      <c r="FUP5" s="390"/>
      <c r="FUQ5" s="390"/>
      <c r="FUR5" s="390"/>
      <c r="FUS5" s="390"/>
      <c r="FUT5" s="390"/>
      <c r="FUU5" s="390"/>
      <c r="FUV5" s="390"/>
      <c r="FUW5" s="390"/>
      <c r="FUX5" s="390"/>
      <c r="FUY5" s="390"/>
      <c r="FUZ5" s="390"/>
      <c r="FVA5" s="390"/>
      <c r="FVB5" s="390"/>
      <c r="FVC5" s="390"/>
      <c r="FVD5" s="390"/>
      <c r="FVE5" s="390"/>
      <c r="FVF5" s="390"/>
      <c r="FVG5" s="390"/>
      <c r="FVH5" s="390"/>
      <c r="FVI5" s="390"/>
      <c r="FVJ5" s="390"/>
      <c r="FVK5" s="390"/>
      <c r="FVL5" s="390"/>
      <c r="FVM5" s="390"/>
      <c r="FVN5" s="390"/>
      <c r="FVO5" s="390"/>
      <c r="FVP5" s="390"/>
      <c r="FVQ5" s="390"/>
      <c r="FVR5" s="390"/>
      <c r="FVS5" s="390"/>
      <c r="FVT5" s="390"/>
      <c r="FVU5" s="390"/>
      <c r="FVV5" s="390"/>
      <c r="FVW5" s="390"/>
      <c r="FVX5" s="390"/>
      <c r="FVY5" s="390"/>
      <c r="FVZ5" s="390"/>
      <c r="FWA5" s="390"/>
      <c r="FWB5" s="390"/>
      <c r="FWC5" s="390"/>
      <c r="FWD5" s="390"/>
      <c r="FWE5" s="390"/>
      <c r="FWF5" s="390"/>
      <c r="FWG5" s="390"/>
      <c r="FWH5" s="390"/>
      <c r="FWI5" s="390"/>
      <c r="FWJ5" s="390"/>
      <c r="FWK5" s="390"/>
      <c r="FWL5" s="390"/>
      <c r="FWM5" s="390"/>
      <c r="FWN5" s="390"/>
      <c r="FWO5" s="390"/>
      <c r="FWP5" s="390"/>
      <c r="FWQ5" s="390"/>
      <c r="FWR5" s="390"/>
      <c r="FWS5" s="390"/>
      <c r="FWT5" s="390"/>
      <c r="FWU5" s="390"/>
      <c r="FWV5" s="390"/>
      <c r="FWW5" s="390"/>
      <c r="FWX5" s="390"/>
      <c r="FWY5" s="390"/>
      <c r="FWZ5" s="390"/>
      <c r="FXA5" s="390"/>
      <c r="FXB5" s="390"/>
      <c r="FXC5" s="390"/>
      <c r="FXD5" s="390"/>
      <c r="FXE5" s="390"/>
      <c r="FXF5" s="390"/>
      <c r="FXG5" s="390"/>
      <c r="FXH5" s="390"/>
      <c r="FXI5" s="390"/>
      <c r="FXJ5" s="390"/>
      <c r="FXK5" s="390"/>
      <c r="FXL5" s="390"/>
      <c r="FXM5" s="390"/>
      <c r="FXN5" s="390"/>
      <c r="FXO5" s="390"/>
      <c r="FXP5" s="390"/>
      <c r="FXQ5" s="390"/>
      <c r="FXR5" s="390"/>
      <c r="FXS5" s="390"/>
      <c r="FXT5" s="390"/>
      <c r="FXU5" s="390"/>
      <c r="FXV5" s="390"/>
      <c r="FXW5" s="390"/>
      <c r="FXX5" s="390"/>
      <c r="FXY5" s="390"/>
      <c r="FXZ5" s="390"/>
      <c r="FYA5" s="390"/>
      <c r="FYB5" s="390"/>
      <c r="FYC5" s="390"/>
      <c r="FYD5" s="390"/>
      <c r="FYE5" s="390"/>
      <c r="FYF5" s="390"/>
      <c r="FYG5" s="390"/>
      <c r="FYH5" s="390"/>
      <c r="FYI5" s="390"/>
      <c r="FYJ5" s="390"/>
      <c r="FYK5" s="390"/>
      <c r="FYL5" s="390"/>
      <c r="FYM5" s="390"/>
      <c r="FYN5" s="390"/>
      <c r="FYO5" s="390"/>
      <c r="FYP5" s="390"/>
      <c r="FYQ5" s="390"/>
      <c r="FYR5" s="390"/>
      <c r="FYS5" s="390"/>
      <c r="FYT5" s="390"/>
      <c r="FYU5" s="390"/>
      <c r="FYV5" s="390"/>
      <c r="FYW5" s="390"/>
      <c r="FYX5" s="390"/>
      <c r="FYY5" s="390"/>
      <c r="FYZ5" s="390"/>
      <c r="FZA5" s="390"/>
      <c r="FZB5" s="390"/>
      <c r="FZC5" s="390"/>
      <c r="FZD5" s="390"/>
      <c r="FZE5" s="390"/>
      <c r="FZF5" s="390"/>
      <c r="FZG5" s="390"/>
      <c r="FZH5" s="390"/>
      <c r="FZI5" s="390"/>
      <c r="FZJ5" s="390"/>
      <c r="FZK5" s="390"/>
      <c r="FZL5" s="390"/>
      <c r="FZM5" s="390"/>
      <c r="FZN5" s="390"/>
      <c r="FZO5" s="390"/>
      <c r="FZP5" s="390"/>
      <c r="FZQ5" s="390"/>
      <c r="FZR5" s="390"/>
      <c r="FZS5" s="390"/>
      <c r="FZT5" s="390"/>
      <c r="FZU5" s="390"/>
      <c r="FZV5" s="390"/>
      <c r="FZW5" s="390"/>
      <c r="FZX5" s="390"/>
      <c r="FZY5" s="390"/>
      <c r="FZZ5" s="390"/>
      <c r="GAA5" s="390"/>
      <c r="GAB5" s="390"/>
      <c r="GAC5" s="390"/>
      <c r="GAD5" s="390"/>
      <c r="GAE5" s="390"/>
      <c r="GAF5" s="390"/>
      <c r="GAG5" s="390"/>
      <c r="GAH5" s="390"/>
      <c r="GAI5" s="390"/>
      <c r="GAJ5" s="390"/>
      <c r="GAK5" s="390"/>
      <c r="GAL5" s="390"/>
      <c r="GAM5" s="390"/>
      <c r="GAN5" s="390"/>
      <c r="GAO5" s="390"/>
      <c r="GAP5" s="390"/>
      <c r="GAQ5" s="390"/>
      <c r="GAR5" s="390"/>
      <c r="GAS5" s="390"/>
      <c r="GAT5" s="390"/>
      <c r="GAU5" s="390"/>
      <c r="GAV5" s="390"/>
      <c r="GAW5" s="390"/>
      <c r="GAX5" s="390"/>
      <c r="GAY5" s="390"/>
      <c r="GAZ5" s="390"/>
      <c r="GBA5" s="390"/>
      <c r="GBB5" s="390"/>
      <c r="GBC5" s="390"/>
      <c r="GBD5" s="390"/>
      <c r="GBE5" s="390"/>
      <c r="GBF5" s="390"/>
      <c r="GBG5" s="390"/>
      <c r="GBH5" s="390"/>
      <c r="GBI5" s="390"/>
      <c r="GBJ5" s="390"/>
      <c r="GBK5" s="390"/>
      <c r="GBL5" s="390"/>
      <c r="GBM5" s="390"/>
      <c r="GBN5" s="390"/>
      <c r="GBO5" s="390"/>
      <c r="GBP5" s="390"/>
      <c r="GBQ5" s="390"/>
      <c r="GBR5" s="390"/>
      <c r="GBS5" s="390"/>
      <c r="GBT5" s="390"/>
      <c r="GBU5" s="390"/>
      <c r="GBV5" s="390"/>
      <c r="GBW5" s="390"/>
      <c r="GBX5" s="390"/>
      <c r="GBY5" s="390"/>
      <c r="GBZ5" s="390"/>
      <c r="GCA5" s="390"/>
      <c r="GCB5" s="390"/>
      <c r="GCC5" s="390"/>
      <c r="GCD5" s="390"/>
      <c r="GCE5" s="390"/>
      <c r="GCF5" s="390"/>
      <c r="GCG5" s="390"/>
      <c r="GCH5" s="390"/>
      <c r="GCI5" s="390"/>
      <c r="GCJ5" s="390"/>
      <c r="GCK5" s="390"/>
      <c r="GCL5" s="390"/>
      <c r="GCM5" s="390"/>
      <c r="GCN5" s="390"/>
      <c r="GCO5" s="390"/>
      <c r="GCP5" s="390"/>
      <c r="GCQ5" s="390"/>
      <c r="GCR5" s="390"/>
      <c r="GCS5" s="390"/>
      <c r="GCT5" s="390"/>
      <c r="GCU5" s="390"/>
      <c r="GCV5" s="390"/>
      <c r="GCW5" s="390"/>
      <c r="GCX5" s="390"/>
      <c r="GCY5" s="390"/>
      <c r="GCZ5" s="390"/>
      <c r="GDA5" s="390"/>
      <c r="GDB5" s="390"/>
      <c r="GDC5" s="390"/>
      <c r="GDD5" s="390"/>
      <c r="GDE5" s="390"/>
      <c r="GDF5" s="390"/>
      <c r="GDG5" s="390"/>
      <c r="GDH5" s="390"/>
      <c r="GDI5" s="390"/>
      <c r="GDJ5" s="390"/>
      <c r="GDK5" s="390"/>
      <c r="GDL5" s="390"/>
      <c r="GDM5" s="390"/>
      <c r="GDN5" s="390"/>
      <c r="GDO5" s="390"/>
      <c r="GDP5" s="390"/>
      <c r="GDQ5" s="390"/>
      <c r="GDR5" s="390"/>
      <c r="GDS5" s="390"/>
      <c r="GDT5" s="390"/>
      <c r="GDU5" s="390"/>
      <c r="GDV5" s="390"/>
      <c r="GDW5" s="390"/>
      <c r="GDX5" s="390"/>
      <c r="GDY5" s="390"/>
      <c r="GDZ5" s="390"/>
      <c r="GEA5" s="390"/>
      <c r="GEB5" s="390"/>
      <c r="GEC5" s="390"/>
      <c r="GED5" s="390"/>
      <c r="GEE5" s="390"/>
      <c r="GEF5" s="390"/>
      <c r="GEG5" s="390"/>
      <c r="GEH5" s="390"/>
      <c r="GEI5" s="390"/>
      <c r="GEJ5" s="390"/>
      <c r="GEK5" s="390"/>
      <c r="GEL5" s="390"/>
      <c r="GEM5" s="390"/>
      <c r="GEN5" s="390"/>
      <c r="GEO5" s="390"/>
      <c r="GEP5" s="390"/>
      <c r="GEQ5" s="390"/>
      <c r="GER5" s="390"/>
      <c r="GES5" s="390"/>
      <c r="GET5" s="390"/>
      <c r="GEU5" s="390"/>
      <c r="GEV5" s="390"/>
      <c r="GEW5" s="390"/>
      <c r="GEX5" s="390"/>
      <c r="GEY5" s="390"/>
      <c r="GEZ5" s="390"/>
      <c r="GFA5" s="390"/>
      <c r="GFB5" s="390"/>
      <c r="GFC5" s="390"/>
      <c r="GFD5" s="390"/>
      <c r="GFE5" s="390"/>
      <c r="GFF5" s="390"/>
      <c r="GFG5" s="390"/>
      <c r="GFH5" s="390"/>
      <c r="GFI5" s="390"/>
      <c r="GFJ5" s="390"/>
      <c r="GFK5" s="390"/>
      <c r="GFL5" s="390"/>
      <c r="GFM5" s="390"/>
      <c r="GFN5" s="390"/>
      <c r="GFO5" s="390"/>
      <c r="GFP5" s="390"/>
      <c r="GFQ5" s="390"/>
      <c r="GFR5" s="390"/>
      <c r="GFS5" s="390"/>
      <c r="GFT5" s="390"/>
      <c r="GFU5" s="390"/>
      <c r="GFV5" s="390"/>
      <c r="GFW5" s="390"/>
      <c r="GFX5" s="390"/>
      <c r="GFY5" s="390"/>
      <c r="GFZ5" s="390"/>
      <c r="GGA5" s="390"/>
      <c r="GGB5" s="390"/>
      <c r="GGC5" s="390"/>
      <c r="GGD5" s="390"/>
      <c r="GGE5" s="390"/>
      <c r="GGF5" s="390"/>
      <c r="GGG5" s="390"/>
      <c r="GGH5" s="390"/>
      <c r="GGI5" s="390"/>
      <c r="GGJ5" s="390"/>
      <c r="GGK5" s="390"/>
      <c r="GGL5" s="390"/>
      <c r="GGM5" s="390"/>
      <c r="GGN5" s="390"/>
      <c r="GGO5" s="390"/>
      <c r="GGP5" s="390"/>
      <c r="GGQ5" s="390"/>
      <c r="GGR5" s="390"/>
      <c r="GGS5" s="390"/>
      <c r="GGT5" s="390"/>
      <c r="GGU5" s="390"/>
      <c r="GGV5" s="390"/>
      <c r="GGW5" s="390"/>
      <c r="GGX5" s="390"/>
      <c r="GGY5" s="390"/>
      <c r="GGZ5" s="390"/>
      <c r="GHA5" s="390"/>
      <c r="GHB5" s="390"/>
      <c r="GHC5" s="390"/>
      <c r="GHD5" s="390"/>
      <c r="GHE5" s="390"/>
      <c r="GHF5" s="390"/>
      <c r="GHG5" s="390"/>
      <c r="GHH5" s="390"/>
      <c r="GHI5" s="390"/>
      <c r="GHJ5" s="390"/>
      <c r="GHK5" s="390"/>
      <c r="GHL5" s="390"/>
      <c r="GHM5" s="390"/>
      <c r="GHN5" s="390"/>
      <c r="GHO5" s="390"/>
      <c r="GHP5" s="390"/>
      <c r="GHQ5" s="390"/>
      <c r="GHR5" s="390"/>
      <c r="GHS5" s="390"/>
      <c r="GHT5" s="390"/>
      <c r="GHU5" s="390"/>
      <c r="GHV5" s="390"/>
      <c r="GHW5" s="390"/>
      <c r="GHX5" s="390"/>
      <c r="GHY5" s="390"/>
      <c r="GHZ5" s="390"/>
      <c r="GIA5" s="390"/>
      <c r="GIB5" s="390"/>
      <c r="GIC5" s="390"/>
      <c r="GID5" s="390"/>
      <c r="GIE5" s="390"/>
      <c r="GIF5" s="390"/>
      <c r="GIG5" s="390"/>
      <c r="GIH5" s="390"/>
      <c r="GII5" s="390"/>
      <c r="GIJ5" s="390"/>
      <c r="GIK5" s="390"/>
      <c r="GIL5" s="390"/>
      <c r="GIM5" s="390"/>
      <c r="GIN5" s="390"/>
      <c r="GIO5" s="390"/>
      <c r="GIP5" s="390"/>
      <c r="GIQ5" s="390"/>
      <c r="GIR5" s="390"/>
      <c r="GIS5" s="390"/>
      <c r="GIT5" s="390"/>
      <c r="GIU5" s="390"/>
      <c r="GIV5" s="390"/>
      <c r="GIW5" s="390"/>
      <c r="GIX5" s="390"/>
      <c r="GIY5" s="390"/>
      <c r="GIZ5" s="390"/>
      <c r="GJA5" s="390"/>
      <c r="GJB5" s="390"/>
      <c r="GJC5" s="390"/>
      <c r="GJD5" s="390"/>
      <c r="GJE5" s="390"/>
      <c r="GJF5" s="390"/>
      <c r="GJG5" s="390"/>
      <c r="GJH5" s="390"/>
      <c r="GJI5" s="390"/>
      <c r="GJJ5" s="390"/>
      <c r="GJK5" s="390"/>
      <c r="GJL5" s="390"/>
      <c r="GJM5" s="390"/>
      <c r="GJN5" s="390"/>
      <c r="GJO5" s="390"/>
      <c r="GJP5" s="390"/>
      <c r="GJQ5" s="390"/>
      <c r="GJR5" s="390"/>
      <c r="GJS5" s="390"/>
      <c r="GJT5" s="390"/>
      <c r="GJU5" s="390"/>
      <c r="GJV5" s="390"/>
      <c r="GJW5" s="390"/>
      <c r="GJX5" s="390"/>
      <c r="GJY5" s="390"/>
      <c r="GJZ5" s="390"/>
      <c r="GKA5" s="390"/>
      <c r="GKB5" s="390"/>
      <c r="GKC5" s="390"/>
      <c r="GKD5" s="390"/>
      <c r="GKE5" s="390"/>
      <c r="GKF5" s="390"/>
      <c r="GKG5" s="390"/>
      <c r="GKH5" s="390"/>
      <c r="GKI5" s="390"/>
      <c r="GKJ5" s="390"/>
      <c r="GKK5" s="390"/>
      <c r="GKL5" s="390"/>
      <c r="GKM5" s="390"/>
      <c r="GKN5" s="390"/>
      <c r="GKO5" s="390"/>
      <c r="GKP5" s="390"/>
      <c r="GKQ5" s="390"/>
      <c r="GKR5" s="390"/>
      <c r="GKS5" s="390"/>
      <c r="GKT5" s="390"/>
      <c r="GKU5" s="390"/>
      <c r="GKV5" s="390"/>
      <c r="GKW5" s="390"/>
      <c r="GKX5" s="390"/>
      <c r="GKY5" s="390"/>
      <c r="GKZ5" s="390"/>
      <c r="GLA5" s="390"/>
      <c r="GLB5" s="390"/>
      <c r="GLC5" s="390"/>
      <c r="GLD5" s="390"/>
      <c r="GLE5" s="390"/>
      <c r="GLF5" s="390"/>
      <c r="GLG5" s="390"/>
      <c r="GLH5" s="390"/>
      <c r="GLI5" s="390"/>
      <c r="GLJ5" s="390"/>
      <c r="GLK5" s="390"/>
      <c r="GLL5" s="390"/>
      <c r="GLM5" s="390"/>
      <c r="GLN5" s="390"/>
      <c r="GLO5" s="390"/>
      <c r="GLP5" s="390"/>
      <c r="GLQ5" s="390"/>
      <c r="GLR5" s="390"/>
      <c r="GLS5" s="390"/>
      <c r="GLT5" s="390"/>
      <c r="GLU5" s="390"/>
      <c r="GLV5" s="390"/>
      <c r="GLW5" s="390"/>
      <c r="GLX5" s="390"/>
      <c r="GLY5" s="390"/>
      <c r="GLZ5" s="390"/>
      <c r="GMA5" s="390"/>
      <c r="GMB5" s="390"/>
      <c r="GMC5" s="390"/>
      <c r="GMD5" s="390"/>
      <c r="GME5" s="390"/>
      <c r="GMF5" s="390"/>
      <c r="GMG5" s="390"/>
      <c r="GMH5" s="390"/>
      <c r="GMI5" s="390"/>
      <c r="GMJ5" s="390"/>
      <c r="GMK5" s="390"/>
      <c r="GML5" s="390"/>
      <c r="GMM5" s="390"/>
      <c r="GMN5" s="390"/>
      <c r="GMO5" s="390"/>
      <c r="GMP5" s="390"/>
      <c r="GMQ5" s="390"/>
      <c r="GMR5" s="390"/>
      <c r="GMS5" s="390"/>
      <c r="GMT5" s="390"/>
      <c r="GMU5" s="390"/>
      <c r="GMV5" s="390"/>
      <c r="GMW5" s="390"/>
      <c r="GMX5" s="390"/>
      <c r="GMY5" s="390"/>
      <c r="GMZ5" s="390"/>
      <c r="GNA5" s="390"/>
      <c r="GNB5" s="390"/>
      <c r="GNC5" s="390"/>
      <c r="GND5" s="390"/>
      <c r="GNE5" s="390"/>
      <c r="GNF5" s="390"/>
      <c r="GNG5" s="390"/>
      <c r="GNH5" s="390"/>
      <c r="GNI5" s="390"/>
      <c r="GNJ5" s="390"/>
      <c r="GNK5" s="390"/>
      <c r="GNL5" s="390"/>
      <c r="GNM5" s="390"/>
      <c r="GNN5" s="390"/>
      <c r="GNO5" s="390"/>
      <c r="GNP5" s="390"/>
      <c r="GNQ5" s="390"/>
      <c r="GNR5" s="390"/>
      <c r="GNS5" s="390"/>
      <c r="GNT5" s="390"/>
      <c r="GNU5" s="390"/>
      <c r="GNV5" s="390"/>
      <c r="GNW5" s="390"/>
      <c r="GNX5" s="390"/>
      <c r="GNY5" s="390"/>
      <c r="GNZ5" s="390"/>
      <c r="GOA5" s="390"/>
      <c r="GOB5" s="390"/>
      <c r="GOC5" s="390"/>
      <c r="GOD5" s="390"/>
      <c r="GOE5" s="390"/>
      <c r="GOF5" s="390"/>
      <c r="GOG5" s="390"/>
      <c r="GOH5" s="390"/>
      <c r="GOI5" s="390"/>
      <c r="GOJ5" s="390"/>
      <c r="GOK5" s="390"/>
      <c r="GOL5" s="390"/>
      <c r="GOM5" s="390"/>
      <c r="GON5" s="390"/>
      <c r="GOO5" s="390"/>
      <c r="GOP5" s="390"/>
      <c r="GOQ5" s="390"/>
      <c r="GOR5" s="390"/>
      <c r="GOS5" s="390"/>
      <c r="GOT5" s="390"/>
      <c r="GOU5" s="390"/>
      <c r="GOV5" s="390"/>
      <c r="GOW5" s="390"/>
      <c r="GOX5" s="390"/>
      <c r="GOY5" s="390"/>
      <c r="GOZ5" s="390"/>
      <c r="GPA5" s="390"/>
      <c r="GPB5" s="390"/>
      <c r="GPC5" s="390"/>
      <c r="GPD5" s="390"/>
      <c r="GPE5" s="390"/>
      <c r="GPF5" s="390"/>
      <c r="GPG5" s="390"/>
      <c r="GPH5" s="390"/>
      <c r="GPI5" s="390"/>
      <c r="GPJ5" s="390"/>
      <c r="GPK5" s="390"/>
      <c r="GPL5" s="390"/>
      <c r="GPM5" s="390"/>
      <c r="GPN5" s="390"/>
      <c r="GPO5" s="390"/>
      <c r="GPP5" s="390"/>
      <c r="GPQ5" s="390"/>
      <c r="GPR5" s="390"/>
      <c r="GPS5" s="390"/>
      <c r="GPT5" s="390"/>
      <c r="GPU5" s="390"/>
      <c r="GPV5" s="390"/>
      <c r="GPW5" s="390"/>
      <c r="GPX5" s="390"/>
      <c r="GPY5" s="390"/>
      <c r="GPZ5" s="390"/>
      <c r="GQA5" s="390"/>
      <c r="GQB5" s="390"/>
      <c r="GQC5" s="390"/>
      <c r="GQD5" s="390"/>
      <c r="GQE5" s="390"/>
      <c r="GQF5" s="390"/>
      <c r="GQG5" s="390"/>
      <c r="GQH5" s="390"/>
      <c r="GQI5" s="390"/>
      <c r="GQJ5" s="390"/>
      <c r="GQK5" s="390"/>
      <c r="GQL5" s="390"/>
      <c r="GQM5" s="390"/>
      <c r="GQN5" s="390"/>
      <c r="GQO5" s="390"/>
      <c r="GQP5" s="390"/>
      <c r="GQQ5" s="390"/>
      <c r="GQR5" s="390"/>
      <c r="GQS5" s="390"/>
      <c r="GQT5" s="390"/>
      <c r="GQU5" s="390"/>
      <c r="GQV5" s="390"/>
      <c r="GQW5" s="390"/>
      <c r="GQX5" s="390"/>
      <c r="GQY5" s="390"/>
      <c r="GQZ5" s="390"/>
      <c r="GRA5" s="390"/>
      <c r="GRB5" s="390"/>
      <c r="GRC5" s="390"/>
      <c r="GRD5" s="390"/>
      <c r="GRE5" s="390"/>
      <c r="GRF5" s="390"/>
      <c r="GRG5" s="390"/>
      <c r="GRH5" s="390"/>
      <c r="GRI5" s="390"/>
      <c r="GRJ5" s="390"/>
      <c r="GRK5" s="390"/>
      <c r="GRL5" s="390"/>
      <c r="GRM5" s="390"/>
      <c r="GRN5" s="390"/>
      <c r="GRO5" s="390"/>
      <c r="GRP5" s="390"/>
      <c r="GRQ5" s="390"/>
      <c r="GRR5" s="390"/>
      <c r="GRS5" s="390"/>
      <c r="GRT5" s="390"/>
      <c r="GRU5" s="390"/>
      <c r="GRV5" s="390"/>
      <c r="GRW5" s="390"/>
      <c r="GRX5" s="390"/>
      <c r="GRY5" s="390"/>
      <c r="GRZ5" s="390"/>
      <c r="GSA5" s="390"/>
      <c r="GSB5" s="390"/>
      <c r="GSC5" s="390"/>
      <c r="GSD5" s="390"/>
      <c r="GSE5" s="390"/>
      <c r="GSF5" s="390"/>
      <c r="GSG5" s="390"/>
      <c r="GSH5" s="390"/>
      <c r="GSI5" s="390"/>
      <c r="GSJ5" s="390"/>
      <c r="GSK5" s="390"/>
      <c r="GSL5" s="390"/>
      <c r="GSM5" s="390"/>
      <c r="GSN5" s="390"/>
      <c r="GSO5" s="390"/>
      <c r="GSP5" s="390"/>
      <c r="GSQ5" s="390"/>
      <c r="GSR5" s="390"/>
      <c r="GSS5" s="390"/>
      <c r="GST5" s="390"/>
      <c r="GSU5" s="390"/>
      <c r="GSV5" s="390"/>
      <c r="GSW5" s="390"/>
      <c r="GSX5" s="390"/>
      <c r="GSY5" s="390"/>
      <c r="GSZ5" s="390"/>
      <c r="GTA5" s="390"/>
      <c r="GTB5" s="390"/>
      <c r="GTC5" s="390"/>
      <c r="GTD5" s="390"/>
      <c r="GTE5" s="390"/>
      <c r="GTF5" s="390"/>
      <c r="GTG5" s="390"/>
      <c r="GTH5" s="390"/>
      <c r="GTI5" s="390"/>
      <c r="GTJ5" s="390"/>
      <c r="GTK5" s="390"/>
      <c r="GTL5" s="390"/>
      <c r="GTM5" s="390"/>
      <c r="GTN5" s="390"/>
      <c r="GTO5" s="390"/>
      <c r="GTP5" s="390"/>
      <c r="GTQ5" s="390"/>
      <c r="GTR5" s="390"/>
      <c r="GTS5" s="390"/>
      <c r="GTT5" s="390"/>
      <c r="GTU5" s="390"/>
      <c r="GTV5" s="390"/>
      <c r="GTW5" s="390"/>
      <c r="GTX5" s="390"/>
      <c r="GTY5" s="390"/>
      <c r="GTZ5" s="390"/>
      <c r="GUA5" s="390"/>
      <c r="GUB5" s="390"/>
      <c r="GUC5" s="390"/>
      <c r="GUD5" s="390"/>
      <c r="GUE5" s="390"/>
      <c r="GUF5" s="390"/>
      <c r="GUG5" s="390"/>
      <c r="GUH5" s="390"/>
      <c r="GUI5" s="390"/>
      <c r="GUJ5" s="390"/>
      <c r="GUK5" s="390"/>
      <c r="GUL5" s="390"/>
      <c r="GUM5" s="390"/>
      <c r="GUN5" s="390"/>
      <c r="GUO5" s="390"/>
      <c r="GUP5" s="390"/>
      <c r="GUQ5" s="390"/>
      <c r="GUR5" s="390"/>
      <c r="GUS5" s="390"/>
      <c r="GUT5" s="390"/>
      <c r="GUU5" s="390"/>
      <c r="GUV5" s="390"/>
      <c r="GUW5" s="390"/>
      <c r="GUX5" s="390"/>
      <c r="GUY5" s="390"/>
      <c r="GUZ5" s="390"/>
      <c r="GVA5" s="390"/>
      <c r="GVB5" s="390"/>
      <c r="GVC5" s="390"/>
      <c r="GVD5" s="390"/>
      <c r="GVE5" s="390"/>
      <c r="GVF5" s="390"/>
      <c r="GVG5" s="390"/>
      <c r="GVH5" s="390"/>
      <c r="GVI5" s="390"/>
      <c r="GVJ5" s="390"/>
      <c r="GVK5" s="390"/>
      <c r="GVL5" s="390"/>
      <c r="GVM5" s="390"/>
      <c r="GVN5" s="390"/>
      <c r="GVO5" s="390"/>
      <c r="GVP5" s="390"/>
      <c r="GVQ5" s="390"/>
      <c r="GVR5" s="390"/>
      <c r="GVS5" s="390"/>
      <c r="GVT5" s="390"/>
      <c r="GVU5" s="390"/>
      <c r="GVV5" s="390"/>
      <c r="GVW5" s="390"/>
      <c r="GVX5" s="390"/>
      <c r="GVY5" s="390"/>
      <c r="GVZ5" s="390"/>
      <c r="GWA5" s="390"/>
      <c r="GWB5" s="390"/>
      <c r="GWC5" s="390"/>
      <c r="GWD5" s="390"/>
      <c r="GWE5" s="390"/>
      <c r="GWF5" s="390"/>
      <c r="GWG5" s="390"/>
      <c r="GWH5" s="390"/>
      <c r="GWI5" s="390"/>
      <c r="GWJ5" s="390"/>
      <c r="GWK5" s="390"/>
      <c r="GWL5" s="390"/>
      <c r="GWM5" s="390"/>
      <c r="GWN5" s="390"/>
      <c r="GWO5" s="390"/>
      <c r="GWP5" s="390"/>
      <c r="GWQ5" s="390"/>
      <c r="GWR5" s="390"/>
      <c r="GWS5" s="390"/>
      <c r="GWT5" s="390"/>
      <c r="GWU5" s="390"/>
      <c r="GWV5" s="390"/>
      <c r="GWW5" s="390"/>
      <c r="GWX5" s="390"/>
      <c r="GWY5" s="390"/>
      <c r="GWZ5" s="390"/>
      <c r="GXA5" s="390"/>
      <c r="GXB5" s="390"/>
      <c r="GXC5" s="390"/>
      <c r="GXD5" s="390"/>
      <c r="GXE5" s="390"/>
      <c r="GXF5" s="390"/>
      <c r="GXG5" s="390"/>
      <c r="GXH5" s="390"/>
      <c r="GXI5" s="390"/>
      <c r="GXJ5" s="390"/>
      <c r="GXK5" s="390"/>
      <c r="GXL5" s="390"/>
      <c r="GXM5" s="390"/>
      <c r="GXN5" s="390"/>
      <c r="GXO5" s="390"/>
      <c r="GXP5" s="390"/>
      <c r="GXQ5" s="390"/>
      <c r="GXR5" s="390"/>
      <c r="GXS5" s="390"/>
      <c r="GXT5" s="390"/>
      <c r="GXU5" s="390"/>
      <c r="GXV5" s="390"/>
      <c r="GXW5" s="390"/>
      <c r="GXX5" s="390"/>
      <c r="GXY5" s="390"/>
      <c r="GXZ5" s="390"/>
      <c r="GYA5" s="390"/>
      <c r="GYB5" s="390"/>
      <c r="GYC5" s="390"/>
      <c r="GYD5" s="390"/>
      <c r="GYE5" s="390"/>
      <c r="GYF5" s="390"/>
      <c r="GYG5" s="390"/>
      <c r="GYH5" s="390"/>
      <c r="GYI5" s="390"/>
      <c r="GYJ5" s="390"/>
      <c r="GYK5" s="390"/>
      <c r="GYL5" s="390"/>
      <c r="GYM5" s="390"/>
      <c r="GYN5" s="390"/>
      <c r="GYO5" s="390"/>
      <c r="GYP5" s="390"/>
      <c r="GYQ5" s="390"/>
      <c r="GYR5" s="390"/>
      <c r="GYS5" s="390"/>
      <c r="GYT5" s="390"/>
      <c r="GYU5" s="390"/>
      <c r="GYV5" s="390"/>
      <c r="GYW5" s="390"/>
      <c r="GYX5" s="390"/>
      <c r="GYY5" s="390"/>
      <c r="GYZ5" s="390"/>
      <c r="GZA5" s="390"/>
      <c r="GZB5" s="390"/>
      <c r="GZC5" s="390"/>
      <c r="GZD5" s="390"/>
      <c r="GZE5" s="390"/>
      <c r="GZF5" s="390"/>
      <c r="GZG5" s="390"/>
      <c r="GZH5" s="390"/>
      <c r="GZI5" s="390"/>
      <c r="GZJ5" s="390"/>
      <c r="GZK5" s="390"/>
      <c r="GZL5" s="390"/>
      <c r="GZM5" s="390"/>
      <c r="GZN5" s="390"/>
      <c r="GZO5" s="390"/>
      <c r="GZP5" s="390"/>
      <c r="GZQ5" s="390"/>
      <c r="GZR5" s="390"/>
      <c r="GZS5" s="390"/>
      <c r="GZT5" s="390"/>
      <c r="GZU5" s="390"/>
      <c r="GZV5" s="390"/>
      <c r="GZW5" s="390"/>
      <c r="GZX5" s="390"/>
      <c r="GZY5" s="390"/>
      <c r="GZZ5" s="390"/>
      <c r="HAA5" s="390"/>
      <c r="HAB5" s="390"/>
      <c r="HAC5" s="390"/>
      <c r="HAD5" s="390"/>
      <c r="HAE5" s="390"/>
      <c r="HAF5" s="390"/>
      <c r="HAG5" s="390"/>
      <c r="HAH5" s="390"/>
      <c r="HAI5" s="390"/>
      <c r="HAJ5" s="390"/>
      <c r="HAK5" s="390"/>
      <c r="HAL5" s="390"/>
      <c r="HAM5" s="390"/>
      <c r="HAN5" s="390"/>
      <c r="HAO5" s="390"/>
      <c r="HAP5" s="390"/>
      <c r="HAQ5" s="390"/>
      <c r="HAR5" s="390"/>
      <c r="HAS5" s="390"/>
      <c r="HAT5" s="390"/>
      <c r="HAU5" s="390"/>
      <c r="HAV5" s="390"/>
      <c r="HAW5" s="390"/>
      <c r="HAX5" s="390"/>
      <c r="HAY5" s="390"/>
      <c r="HAZ5" s="390"/>
      <c r="HBA5" s="390"/>
      <c r="HBB5" s="390"/>
      <c r="HBC5" s="390"/>
      <c r="HBD5" s="390"/>
      <c r="HBE5" s="390"/>
      <c r="HBF5" s="390"/>
      <c r="HBG5" s="390"/>
      <c r="HBH5" s="390"/>
      <c r="HBI5" s="390"/>
      <c r="HBJ5" s="390"/>
      <c r="HBK5" s="390"/>
      <c r="HBL5" s="390"/>
      <c r="HBM5" s="390"/>
      <c r="HBN5" s="390"/>
      <c r="HBO5" s="390"/>
      <c r="HBP5" s="390"/>
      <c r="HBQ5" s="390"/>
      <c r="HBR5" s="390"/>
      <c r="HBS5" s="390"/>
      <c r="HBT5" s="390"/>
      <c r="HBU5" s="390"/>
      <c r="HBV5" s="390"/>
      <c r="HBW5" s="390"/>
      <c r="HBX5" s="390"/>
      <c r="HBY5" s="390"/>
      <c r="HBZ5" s="390"/>
      <c r="HCA5" s="390"/>
      <c r="HCB5" s="390"/>
      <c r="HCC5" s="390"/>
      <c r="HCD5" s="390"/>
      <c r="HCE5" s="390"/>
      <c r="HCF5" s="390"/>
      <c r="HCG5" s="390"/>
      <c r="HCH5" s="390"/>
      <c r="HCI5" s="390"/>
      <c r="HCJ5" s="390"/>
      <c r="HCK5" s="390"/>
      <c r="HCL5" s="390"/>
      <c r="HCM5" s="390"/>
      <c r="HCN5" s="390"/>
      <c r="HCO5" s="390"/>
      <c r="HCP5" s="390"/>
      <c r="HCQ5" s="390"/>
      <c r="HCR5" s="390"/>
      <c r="HCS5" s="390"/>
      <c r="HCT5" s="390"/>
      <c r="HCU5" s="390"/>
      <c r="HCV5" s="390"/>
      <c r="HCW5" s="390"/>
      <c r="HCX5" s="390"/>
      <c r="HCY5" s="390"/>
      <c r="HCZ5" s="390"/>
      <c r="HDA5" s="390"/>
      <c r="HDB5" s="390"/>
      <c r="HDC5" s="390"/>
      <c r="HDD5" s="390"/>
      <c r="HDE5" s="390"/>
      <c r="HDF5" s="390"/>
      <c r="HDG5" s="390"/>
      <c r="HDH5" s="390"/>
      <c r="HDI5" s="390"/>
      <c r="HDJ5" s="390"/>
      <c r="HDK5" s="390"/>
      <c r="HDL5" s="390"/>
      <c r="HDM5" s="390"/>
      <c r="HDN5" s="390"/>
      <c r="HDO5" s="390"/>
      <c r="HDP5" s="390"/>
      <c r="HDQ5" s="390"/>
      <c r="HDR5" s="390"/>
      <c r="HDS5" s="390"/>
      <c r="HDT5" s="390"/>
      <c r="HDU5" s="390"/>
      <c r="HDV5" s="390"/>
      <c r="HDW5" s="390"/>
      <c r="HDX5" s="390"/>
      <c r="HDY5" s="390"/>
      <c r="HDZ5" s="390"/>
      <c r="HEA5" s="390"/>
      <c r="HEB5" s="390"/>
      <c r="HEC5" s="390"/>
      <c r="HED5" s="390"/>
      <c r="HEE5" s="390"/>
      <c r="HEF5" s="390"/>
      <c r="HEG5" s="390"/>
      <c r="HEH5" s="390"/>
      <c r="HEI5" s="390"/>
      <c r="HEJ5" s="390"/>
      <c r="HEK5" s="390"/>
      <c r="HEL5" s="390"/>
      <c r="HEM5" s="390"/>
      <c r="HEN5" s="390"/>
      <c r="HEO5" s="390"/>
      <c r="HEP5" s="390"/>
      <c r="HEQ5" s="390"/>
      <c r="HER5" s="390"/>
      <c r="HES5" s="390"/>
      <c r="HET5" s="390"/>
      <c r="HEU5" s="390"/>
      <c r="HEV5" s="390"/>
      <c r="HEW5" s="390"/>
      <c r="HEX5" s="390"/>
      <c r="HEY5" s="390"/>
      <c r="HEZ5" s="390"/>
      <c r="HFA5" s="390"/>
      <c r="HFB5" s="390"/>
      <c r="HFC5" s="390"/>
      <c r="HFD5" s="390"/>
      <c r="HFE5" s="390"/>
      <c r="HFF5" s="390"/>
      <c r="HFG5" s="390"/>
      <c r="HFH5" s="390"/>
      <c r="HFI5" s="390"/>
      <c r="HFJ5" s="390"/>
      <c r="HFK5" s="390"/>
      <c r="HFL5" s="390"/>
      <c r="HFM5" s="390"/>
      <c r="HFN5" s="390"/>
      <c r="HFO5" s="390"/>
      <c r="HFP5" s="390"/>
      <c r="HFQ5" s="390"/>
      <c r="HFR5" s="390"/>
      <c r="HFS5" s="390"/>
      <c r="HFT5" s="390"/>
      <c r="HFU5" s="390"/>
      <c r="HFV5" s="390"/>
      <c r="HFW5" s="390"/>
      <c r="HFX5" s="390"/>
      <c r="HFY5" s="390"/>
      <c r="HFZ5" s="390"/>
      <c r="HGA5" s="390"/>
      <c r="HGB5" s="390"/>
      <c r="HGC5" s="390"/>
      <c r="HGD5" s="390"/>
      <c r="HGE5" s="390"/>
      <c r="HGF5" s="390"/>
      <c r="HGG5" s="390"/>
      <c r="HGH5" s="390"/>
      <c r="HGI5" s="390"/>
      <c r="HGJ5" s="390"/>
      <c r="HGK5" s="390"/>
      <c r="HGL5" s="390"/>
      <c r="HGM5" s="390"/>
      <c r="HGN5" s="390"/>
      <c r="HGO5" s="390"/>
      <c r="HGP5" s="390"/>
      <c r="HGQ5" s="390"/>
      <c r="HGR5" s="390"/>
      <c r="HGS5" s="390"/>
      <c r="HGT5" s="390"/>
      <c r="HGU5" s="390"/>
      <c r="HGV5" s="390"/>
      <c r="HGW5" s="390"/>
      <c r="HGX5" s="390"/>
      <c r="HGY5" s="390"/>
      <c r="HGZ5" s="390"/>
      <c r="HHA5" s="390"/>
      <c r="HHB5" s="390"/>
      <c r="HHC5" s="390"/>
      <c r="HHD5" s="390"/>
      <c r="HHE5" s="390"/>
      <c r="HHF5" s="390"/>
      <c r="HHG5" s="390"/>
      <c r="HHH5" s="390"/>
      <c r="HHI5" s="390"/>
      <c r="HHJ5" s="390"/>
      <c r="HHK5" s="390"/>
      <c r="HHL5" s="390"/>
      <c r="HHM5" s="390"/>
      <c r="HHN5" s="390"/>
      <c r="HHO5" s="390"/>
      <c r="HHP5" s="390"/>
      <c r="HHQ5" s="390"/>
      <c r="HHR5" s="390"/>
      <c r="HHS5" s="390"/>
      <c r="HHT5" s="390"/>
      <c r="HHU5" s="390"/>
      <c r="HHV5" s="390"/>
      <c r="HHW5" s="390"/>
      <c r="HHX5" s="390"/>
      <c r="HHY5" s="390"/>
      <c r="HHZ5" s="390"/>
      <c r="HIA5" s="390"/>
      <c r="HIB5" s="390"/>
      <c r="HIC5" s="390"/>
      <c r="HID5" s="390"/>
      <c r="HIE5" s="390"/>
      <c r="HIF5" s="390"/>
      <c r="HIG5" s="390"/>
      <c r="HIH5" s="390"/>
      <c r="HII5" s="390"/>
      <c r="HIJ5" s="390"/>
      <c r="HIK5" s="390"/>
      <c r="HIL5" s="390"/>
      <c r="HIM5" s="390"/>
      <c r="HIN5" s="390"/>
      <c r="HIO5" s="390"/>
      <c r="HIP5" s="390"/>
      <c r="HIQ5" s="390"/>
      <c r="HIR5" s="390"/>
      <c r="HIS5" s="390"/>
      <c r="HIT5" s="390"/>
      <c r="HIU5" s="390"/>
      <c r="HIV5" s="390"/>
      <c r="HIW5" s="390"/>
      <c r="HIX5" s="390"/>
      <c r="HIY5" s="390"/>
      <c r="HIZ5" s="390"/>
      <c r="HJA5" s="390"/>
      <c r="HJB5" s="390"/>
      <c r="HJC5" s="390"/>
      <c r="HJD5" s="390"/>
      <c r="HJE5" s="390"/>
      <c r="HJF5" s="390"/>
      <c r="HJG5" s="390"/>
      <c r="HJH5" s="390"/>
      <c r="HJI5" s="390"/>
      <c r="HJJ5" s="390"/>
      <c r="HJK5" s="390"/>
      <c r="HJL5" s="390"/>
      <c r="HJM5" s="390"/>
      <c r="HJN5" s="390"/>
      <c r="HJO5" s="390"/>
      <c r="HJP5" s="390"/>
      <c r="HJQ5" s="390"/>
      <c r="HJR5" s="390"/>
      <c r="HJS5" s="390"/>
      <c r="HJT5" s="390"/>
      <c r="HJU5" s="390"/>
      <c r="HJV5" s="390"/>
      <c r="HJW5" s="390"/>
      <c r="HJX5" s="390"/>
      <c r="HJY5" s="390"/>
      <c r="HJZ5" s="390"/>
      <c r="HKA5" s="390"/>
      <c r="HKB5" s="390"/>
      <c r="HKC5" s="390"/>
      <c r="HKD5" s="390"/>
      <c r="HKE5" s="390"/>
      <c r="HKF5" s="390"/>
      <c r="HKG5" s="390"/>
      <c r="HKH5" s="390"/>
      <c r="HKI5" s="390"/>
      <c r="HKJ5" s="390"/>
      <c r="HKK5" s="390"/>
      <c r="HKL5" s="390"/>
      <c r="HKM5" s="390"/>
      <c r="HKN5" s="390"/>
      <c r="HKO5" s="390"/>
      <c r="HKP5" s="390"/>
      <c r="HKQ5" s="390"/>
      <c r="HKR5" s="390"/>
      <c r="HKS5" s="390"/>
      <c r="HKT5" s="390"/>
      <c r="HKU5" s="390"/>
      <c r="HKV5" s="390"/>
      <c r="HKW5" s="390"/>
      <c r="HKX5" s="390"/>
      <c r="HKY5" s="390"/>
      <c r="HKZ5" s="390"/>
      <c r="HLA5" s="390"/>
      <c r="HLB5" s="390"/>
      <c r="HLC5" s="390"/>
      <c r="HLD5" s="390"/>
      <c r="HLE5" s="390"/>
      <c r="HLF5" s="390"/>
      <c r="HLG5" s="390"/>
      <c r="HLH5" s="390"/>
      <c r="HLI5" s="390"/>
      <c r="HLJ5" s="390"/>
      <c r="HLK5" s="390"/>
      <c r="HLL5" s="390"/>
      <c r="HLM5" s="390"/>
      <c r="HLN5" s="390"/>
      <c r="HLO5" s="390"/>
      <c r="HLP5" s="390"/>
      <c r="HLQ5" s="390"/>
      <c r="HLR5" s="390"/>
      <c r="HLS5" s="390"/>
      <c r="HLT5" s="390"/>
      <c r="HLU5" s="390"/>
      <c r="HLV5" s="390"/>
      <c r="HLW5" s="390"/>
      <c r="HLX5" s="390"/>
      <c r="HLY5" s="390"/>
      <c r="HLZ5" s="390"/>
      <c r="HMA5" s="390"/>
      <c r="HMB5" s="390"/>
      <c r="HMC5" s="390"/>
      <c r="HMD5" s="390"/>
      <c r="HME5" s="390"/>
      <c r="HMF5" s="390"/>
      <c r="HMG5" s="390"/>
      <c r="HMH5" s="390"/>
      <c r="HMI5" s="390"/>
      <c r="HMJ5" s="390"/>
      <c r="HMK5" s="390"/>
      <c r="HML5" s="390"/>
      <c r="HMM5" s="390"/>
      <c r="HMN5" s="390"/>
      <c r="HMO5" s="390"/>
      <c r="HMP5" s="390"/>
      <c r="HMQ5" s="390"/>
      <c r="HMR5" s="390"/>
      <c r="HMS5" s="390"/>
      <c r="HMT5" s="390"/>
      <c r="HMU5" s="390"/>
      <c r="HMV5" s="390"/>
      <c r="HMW5" s="390"/>
      <c r="HMX5" s="390"/>
      <c r="HMY5" s="390"/>
      <c r="HMZ5" s="390"/>
      <c r="HNA5" s="390"/>
      <c r="HNB5" s="390"/>
      <c r="HNC5" s="390"/>
      <c r="HND5" s="390"/>
      <c r="HNE5" s="390"/>
      <c r="HNF5" s="390"/>
      <c r="HNG5" s="390"/>
      <c r="HNH5" s="390"/>
      <c r="HNI5" s="390"/>
      <c r="HNJ5" s="390"/>
      <c r="HNK5" s="390"/>
      <c r="HNL5" s="390"/>
      <c r="HNM5" s="390"/>
      <c r="HNN5" s="390"/>
      <c r="HNO5" s="390"/>
      <c r="HNP5" s="390"/>
      <c r="HNQ5" s="390"/>
      <c r="HNR5" s="390"/>
      <c r="HNS5" s="390"/>
      <c r="HNT5" s="390"/>
      <c r="HNU5" s="390"/>
      <c r="HNV5" s="390"/>
      <c r="HNW5" s="390"/>
      <c r="HNX5" s="390"/>
      <c r="HNY5" s="390"/>
      <c r="HNZ5" s="390"/>
      <c r="HOA5" s="390"/>
      <c r="HOB5" s="390"/>
      <c r="HOC5" s="390"/>
      <c r="HOD5" s="390"/>
      <c r="HOE5" s="390"/>
      <c r="HOF5" s="390"/>
      <c r="HOG5" s="390"/>
      <c r="HOH5" s="390"/>
      <c r="HOI5" s="390"/>
      <c r="HOJ5" s="390"/>
      <c r="HOK5" s="390"/>
      <c r="HOL5" s="390"/>
      <c r="HOM5" s="390"/>
      <c r="HON5" s="390"/>
      <c r="HOO5" s="390"/>
      <c r="HOP5" s="390"/>
      <c r="HOQ5" s="390"/>
      <c r="HOR5" s="390"/>
      <c r="HOS5" s="390"/>
      <c r="HOT5" s="390"/>
      <c r="HOU5" s="390"/>
      <c r="HOV5" s="390"/>
      <c r="HOW5" s="390"/>
      <c r="HOX5" s="390"/>
      <c r="HOY5" s="390"/>
      <c r="HOZ5" s="390"/>
      <c r="HPA5" s="390"/>
      <c r="HPB5" s="390"/>
      <c r="HPC5" s="390"/>
      <c r="HPD5" s="390"/>
      <c r="HPE5" s="390"/>
      <c r="HPF5" s="390"/>
      <c r="HPG5" s="390"/>
      <c r="HPH5" s="390"/>
      <c r="HPI5" s="390"/>
      <c r="HPJ5" s="390"/>
      <c r="HPK5" s="390"/>
      <c r="HPL5" s="390"/>
      <c r="HPM5" s="390"/>
      <c r="HPN5" s="390"/>
      <c r="HPO5" s="390"/>
      <c r="HPP5" s="390"/>
      <c r="HPQ5" s="390"/>
      <c r="HPR5" s="390"/>
      <c r="HPS5" s="390"/>
      <c r="HPT5" s="390"/>
      <c r="HPU5" s="390"/>
      <c r="HPV5" s="390"/>
      <c r="HPW5" s="390"/>
      <c r="HPX5" s="390"/>
      <c r="HPY5" s="390"/>
      <c r="HPZ5" s="390"/>
      <c r="HQA5" s="390"/>
      <c r="HQB5" s="390"/>
      <c r="HQC5" s="390"/>
      <c r="HQD5" s="390"/>
      <c r="HQE5" s="390"/>
      <c r="HQF5" s="390"/>
      <c r="HQG5" s="390"/>
      <c r="HQH5" s="390"/>
      <c r="HQI5" s="390"/>
      <c r="HQJ5" s="390"/>
      <c r="HQK5" s="390"/>
      <c r="HQL5" s="390"/>
      <c r="HQM5" s="390"/>
      <c r="HQN5" s="390"/>
      <c r="HQO5" s="390"/>
      <c r="HQP5" s="390"/>
      <c r="HQQ5" s="390"/>
      <c r="HQR5" s="390"/>
      <c r="HQS5" s="390"/>
      <c r="HQT5" s="390"/>
      <c r="HQU5" s="390"/>
      <c r="HQV5" s="390"/>
      <c r="HQW5" s="390"/>
      <c r="HQX5" s="390"/>
      <c r="HQY5" s="390"/>
      <c r="HQZ5" s="390"/>
      <c r="HRA5" s="390"/>
      <c r="HRB5" s="390"/>
      <c r="HRC5" s="390"/>
      <c r="HRD5" s="390"/>
      <c r="HRE5" s="390"/>
      <c r="HRF5" s="390"/>
      <c r="HRG5" s="390"/>
      <c r="HRH5" s="390"/>
      <c r="HRI5" s="390"/>
      <c r="HRJ5" s="390"/>
      <c r="HRK5" s="390"/>
      <c r="HRL5" s="390"/>
      <c r="HRM5" s="390"/>
      <c r="HRN5" s="390"/>
      <c r="HRO5" s="390"/>
      <c r="HRP5" s="390"/>
      <c r="HRQ5" s="390"/>
      <c r="HRR5" s="390"/>
      <c r="HRS5" s="390"/>
      <c r="HRT5" s="390"/>
      <c r="HRU5" s="390"/>
      <c r="HRV5" s="390"/>
      <c r="HRW5" s="390"/>
      <c r="HRX5" s="390"/>
      <c r="HRY5" s="390"/>
      <c r="HRZ5" s="390"/>
      <c r="HSA5" s="390"/>
      <c r="HSB5" s="390"/>
      <c r="HSC5" s="390"/>
      <c r="HSD5" s="390"/>
      <c r="HSE5" s="390"/>
      <c r="HSF5" s="390"/>
      <c r="HSG5" s="390"/>
      <c r="HSH5" s="390"/>
      <c r="HSI5" s="390"/>
      <c r="HSJ5" s="390"/>
      <c r="HSK5" s="390"/>
      <c r="HSL5" s="390"/>
      <c r="HSM5" s="390"/>
      <c r="HSN5" s="390"/>
      <c r="HSO5" s="390"/>
      <c r="HSP5" s="390"/>
      <c r="HSQ5" s="390"/>
      <c r="HSR5" s="390"/>
      <c r="HSS5" s="390"/>
      <c r="HST5" s="390"/>
      <c r="HSU5" s="390"/>
      <c r="HSV5" s="390"/>
      <c r="HSW5" s="390"/>
      <c r="HSX5" s="390"/>
      <c r="HSY5" s="390"/>
      <c r="HSZ5" s="390"/>
      <c r="HTA5" s="390"/>
      <c r="HTB5" s="390"/>
      <c r="HTC5" s="390"/>
      <c r="HTD5" s="390"/>
      <c r="HTE5" s="390"/>
      <c r="HTF5" s="390"/>
      <c r="HTG5" s="390"/>
      <c r="HTH5" s="390"/>
      <c r="HTI5" s="390"/>
      <c r="HTJ5" s="390"/>
      <c r="HTK5" s="390"/>
      <c r="HTL5" s="390"/>
      <c r="HTM5" s="390"/>
      <c r="HTN5" s="390"/>
      <c r="HTO5" s="390"/>
      <c r="HTP5" s="390"/>
      <c r="HTQ5" s="390"/>
      <c r="HTR5" s="390"/>
      <c r="HTS5" s="390"/>
      <c r="HTT5" s="390"/>
      <c r="HTU5" s="390"/>
      <c r="HTV5" s="390"/>
      <c r="HTW5" s="390"/>
      <c r="HTX5" s="390"/>
      <c r="HTY5" s="390"/>
      <c r="HTZ5" s="390"/>
      <c r="HUA5" s="390"/>
      <c r="HUB5" s="390"/>
      <c r="HUC5" s="390"/>
      <c r="HUD5" s="390"/>
      <c r="HUE5" s="390"/>
      <c r="HUF5" s="390"/>
      <c r="HUG5" s="390"/>
      <c r="HUH5" s="390"/>
      <c r="HUI5" s="390"/>
      <c r="HUJ5" s="390"/>
      <c r="HUK5" s="390"/>
      <c r="HUL5" s="390"/>
      <c r="HUM5" s="390"/>
      <c r="HUN5" s="390"/>
      <c r="HUO5" s="390"/>
      <c r="HUP5" s="390"/>
      <c r="HUQ5" s="390"/>
      <c r="HUR5" s="390"/>
      <c r="HUS5" s="390"/>
      <c r="HUT5" s="390"/>
      <c r="HUU5" s="390"/>
      <c r="HUV5" s="390"/>
      <c r="HUW5" s="390"/>
      <c r="HUX5" s="390"/>
      <c r="HUY5" s="390"/>
      <c r="HUZ5" s="390"/>
      <c r="HVA5" s="390"/>
      <c r="HVB5" s="390"/>
      <c r="HVC5" s="390"/>
      <c r="HVD5" s="390"/>
      <c r="HVE5" s="390"/>
      <c r="HVF5" s="390"/>
      <c r="HVG5" s="390"/>
      <c r="HVH5" s="390"/>
      <c r="HVI5" s="390"/>
      <c r="HVJ5" s="390"/>
      <c r="HVK5" s="390"/>
      <c r="HVL5" s="390"/>
      <c r="HVM5" s="390"/>
      <c r="HVN5" s="390"/>
      <c r="HVO5" s="390"/>
      <c r="HVP5" s="390"/>
      <c r="HVQ5" s="390"/>
      <c r="HVR5" s="390"/>
      <c r="HVS5" s="390"/>
      <c r="HVT5" s="390"/>
      <c r="HVU5" s="390"/>
      <c r="HVV5" s="390"/>
      <c r="HVW5" s="390"/>
      <c r="HVX5" s="390"/>
      <c r="HVY5" s="390"/>
      <c r="HVZ5" s="390"/>
      <c r="HWA5" s="390"/>
      <c r="HWB5" s="390"/>
      <c r="HWC5" s="390"/>
      <c r="HWD5" s="390"/>
      <c r="HWE5" s="390"/>
      <c r="HWF5" s="390"/>
      <c r="HWG5" s="390"/>
      <c r="HWH5" s="390"/>
      <c r="HWI5" s="390"/>
      <c r="HWJ5" s="390"/>
      <c r="HWK5" s="390"/>
      <c r="HWL5" s="390"/>
      <c r="HWM5" s="390"/>
      <c r="HWN5" s="390"/>
      <c r="HWO5" s="390"/>
      <c r="HWP5" s="390"/>
      <c r="HWQ5" s="390"/>
      <c r="HWR5" s="390"/>
      <c r="HWS5" s="390"/>
      <c r="HWT5" s="390"/>
      <c r="HWU5" s="390"/>
      <c r="HWV5" s="390"/>
      <c r="HWW5" s="390"/>
      <c r="HWX5" s="390"/>
      <c r="HWY5" s="390"/>
      <c r="HWZ5" s="390"/>
      <c r="HXA5" s="390"/>
      <c r="HXB5" s="390"/>
      <c r="HXC5" s="390"/>
      <c r="HXD5" s="390"/>
      <c r="HXE5" s="390"/>
      <c r="HXF5" s="390"/>
      <c r="HXG5" s="390"/>
      <c r="HXH5" s="390"/>
      <c r="HXI5" s="390"/>
      <c r="HXJ5" s="390"/>
      <c r="HXK5" s="390"/>
      <c r="HXL5" s="390"/>
      <c r="HXM5" s="390"/>
      <c r="HXN5" s="390"/>
      <c r="HXO5" s="390"/>
      <c r="HXP5" s="390"/>
      <c r="HXQ5" s="390"/>
      <c r="HXR5" s="390"/>
      <c r="HXS5" s="390"/>
      <c r="HXT5" s="390"/>
      <c r="HXU5" s="390"/>
      <c r="HXV5" s="390"/>
      <c r="HXW5" s="390"/>
      <c r="HXX5" s="390"/>
      <c r="HXY5" s="390"/>
      <c r="HXZ5" s="390"/>
      <c r="HYA5" s="390"/>
      <c r="HYB5" s="390"/>
      <c r="HYC5" s="390"/>
      <c r="HYD5" s="390"/>
      <c r="HYE5" s="390"/>
      <c r="HYF5" s="390"/>
      <c r="HYG5" s="390"/>
      <c r="HYH5" s="390"/>
      <c r="HYI5" s="390"/>
      <c r="HYJ5" s="390"/>
      <c r="HYK5" s="390"/>
      <c r="HYL5" s="390"/>
      <c r="HYM5" s="390"/>
      <c r="HYN5" s="390"/>
      <c r="HYO5" s="390"/>
      <c r="HYP5" s="390"/>
      <c r="HYQ5" s="390"/>
      <c r="HYR5" s="390"/>
      <c r="HYS5" s="390"/>
      <c r="HYT5" s="390"/>
      <c r="HYU5" s="390"/>
      <c r="HYV5" s="390"/>
      <c r="HYW5" s="390"/>
      <c r="HYX5" s="390"/>
      <c r="HYY5" s="390"/>
      <c r="HYZ5" s="390"/>
      <c r="HZA5" s="390"/>
      <c r="HZB5" s="390"/>
      <c r="HZC5" s="390"/>
      <c r="HZD5" s="390"/>
      <c r="HZE5" s="390"/>
      <c r="HZF5" s="390"/>
      <c r="HZG5" s="390"/>
      <c r="HZH5" s="390"/>
      <c r="HZI5" s="390"/>
      <c r="HZJ5" s="390"/>
      <c r="HZK5" s="390"/>
      <c r="HZL5" s="390"/>
      <c r="HZM5" s="390"/>
      <c r="HZN5" s="390"/>
      <c r="HZO5" s="390"/>
      <c r="HZP5" s="390"/>
      <c r="HZQ5" s="390"/>
      <c r="HZR5" s="390"/>
      <c r="HZS5" s="390"/>
      <c r="HZT5" s="390"/>
      <c r="HZU5" s="390"/>
      <c r="HZV5" s="390"/>
      <c r="HZW5" s="390"/>
      <c r="HZX5" s="390"/>
      <c r="HZY5" s="390"/>
      <c r="HZZ5" s="390"/>
      <c r="IAA5" s="390"/>
      <c r="IAB5" s="390"/>
      <c r="IAC5" s="390"/>
      <c r="IAD5" s="390"/>
      <c r="IAE5" s="390"/>
      <c r="IAF5" s="390"/>
      <c r="IAG5" s="390"/>
      <c r="IAH5" s="390"/>
      <c r="IAI5" s="390"/>
      <c r="IAJ5" s="390"/>
      <c r="IAK5" s="390"/>
      <c r="IAL5" s="390"/>
      <c r="IAM5" s="390"/>
      <c r="IAN5" s="390"/>
      <c r="IAO5" s="390"/>
      <c r="IAP5" s="390"/>
      <c r="IAQ5" s="390"/>
      <c r="IAR5" s="390"/>
      <c r="IAS5" s="390"/>
      <c r="IAT5" s="390"/>
      <c r="IAU5" s="390"/>
      <c r="IAV5" s="390"/>
      <c r="IAW5" s="390"/>
      <c r="IAX5" s="390"/>
      <c r="IAY5" s="390"/>
      <c r="IAZ5" s="390"/>
      <c r="IBA5" s="390"/>
      <c r="IBB5" s="390"/>
      <c r="IBC5" s="390"/>
      <c r="IBD5" s="390"/>
      <c r="IBE5" s="390"/>
      <c r="IBF5" s="390"/>
      <c r="IBG5" s="390"/>
      <c r="IBH5" s="390"/>
      <c r="IBI5" s="390"/>
      <c r="IBJ5" s="390"/>
      <c r="IBK5" s="390"/>
      <c r="IBL5" s="390"/>
      <c r="IBM5" s="390"/>
      <c r="IBN5" s="390"/>
      <c r="IBO5" s="390"/>
      <c r="IBP5" s="390"/>
      <c r="IBQ5" s="390"/>
      <c r="IBR5" s="390"/>
      <c r="IBS5" s="390"/>
      <c r="IBT5" s="390"/>
      <c r="IBU5" s="390"/>
      <c r="IBV5" s="390"/>
      <c r="IBW5" s="390"/>
      <c r="IBX5" s="390"/>
      <c r="IBY5" s="390"/>
      <c r="IBZ5" s="390"/>
      <c r="ICA5" s="390"/>
      <c r="ICB5" s="390"/>
      <c r="ICC5" s="390"/>
      <c r="ICD5" s="390"/>
      <c r="ICE5" s="390"/>
      <c r="ICF5" s="390"/>
      <c r="ICG5" s="390"/>
      <c r="ICH5" s="390"/>
      <c r="ICI5" s="390"/>
      <c r="ICJ5" s="390"/>
      <c r="ICK5" s="390"/>
      <c r="ICL5" s="390"/>
      <c r="ICM5" s="390"/>
      <c r="ICN5" s="390"/>
      <c r="ICO5" s="390"/>
      <c r="ICP5" s="390"/>
      <c r="ICQ5" s="390"/>
      <c r="ICR5" s="390"/>
      <c r="ICS5" s="390"/>
      <c r="ICT5" s="390"/>
      <c r="ICU5" s="390"/>
      <c r="ICV5" s="390"/>
      <c r="ICW5" s="390"/>
      <c r="ICX5" s="390"/>
      <c r="ICY5" s="390"/>
      <c r="ICZ5" s="390"/>
      <c r="IDA5" s="390"/>
      <c r="IDB5" s="390"/>
      <c r="IDC5" s="390"/>
      <c r="IDD5" s="390"/>
      <c r="IDE5" s="390"/>
      <c r="IDF5" s="390"/>
      <c r="IDG5" s="390"/>
      <c r="IDH5" s="390"/>
      <c r="IDI5" s="390"/>
      <c r="IDJ5" s="390"/>
      <c r="IDK5" s="390"/>
      <c r="IDL5" s="390"/>
      <c r="IDM5" s="390"/>
      <c r="IDN5" s="390"/>
      <c r="IDO5" s="390"/>
      <c r="IDP5" s="390"/>
      <c r="IDQ5" s="390"/>
      <c r="IDR5" s="390"/>
      <c r="IDS5" s="390"/>
      <c r="IDT5" s="390"/>
      <c r="IDU5" s="390"/>
      <c r="IDV5" s="390"/>
      <c r="IDW5" s="390"/>
      <c r="IDX5" s="390"/>
      <c r="IDY5" s="390"/>
      <c r="IDZ5" s="390"/>
      <c r="IEA5" s="390"/>
      <c r="IEB5" s="390"/>
      <c r="IEC5" s="390"/>
      <c r="IED5" s="390"/>
      <c r="IEE5" s="390"/>
      <c r="IEF5" s="390"/>
      <c r="IEG5" s="390"/>
      <c r="IEH5" s="390"/>
      <c r="IEI5" s="390"/>
      <c r="IEJ5" s="390"/>
      <c r="IEK5" s="390"/>
      <c r="IEL5" s="390"/>
      <c r="IEM5" s="390"/>
      <c r="IEN5" s="390"/>
      <c r="IEO5" s="390"/>
      <c r="IEP5" s="390"/>
      <c r="IEQ5" s="390"/>
      <c r="IER5" s="390"/>
      <c r="IES5" s="390"/>
      <c r="IET5" s="390"/>
      <c r="IEU5" s="390"/>
      <c r="IEV5" s="390"/>
      <c r="IEW5" s="390"/>
      <c r="IEX5" s="390"/>
      <c r="IEY5" s="390"/>
      <c r="IEZ5" s="390"/>
      <c r="IFA5" s="390"/>
      <c r="IFB5" s="390"/>
      <c r="IFC5" s="390"/>
      <c r="IFD5" s="390"/>
      <c r="IFE5" s="390"/>
      <c r="IFF5" s="390"/>
      <c r="IFG5" s="390"/>
      <c r="IFH5" s="390"/>
      <c r="IFI5" s="390"/>
      <c r="IFJ5" s="390"/>
      <c r="IFK5" s="390"/>
      <c r="IFL5" s="390"/>
      <c r="IFM5" s="390"/>
      <c r="IFN5" s="390"/>
      <c r="IFO5" s="390"/>
      <c r="IFP5" s="390"/>
      <c r="IFQ5" s="390"/>
      <c r="IFR5" s="390"/>
      <c r="IFS5" s="390"/>
      <c r="IFT5" s="390"/>
      <c r="IFU5" s="390"/>
      <c r="IFV5" s="390"/>
      <c r="IFW5" s="390"/>
      <c r="IFX5" s="390"/>
      <c r="IFY5" s="390"/>
      <c r="IFZ5" s="390"/>
      <c r="IGA5" s="390"/>
      <c r="IGB5" s="390"/>
      <c r="IGC5" s="390"/>
      <c r="IGD5" s="390"/>
      <c r="IGE5" s="390"/>
      <c r="IGF5" s="390"/>
      <c r="IGG5" s="390"/>
      <c r="IGH5" s="390"/>
      <c r="IGI5" s="390"/>
      <c r="IGJ5" s="390"/>
      <c r="IGK5" s="390"/>
      <c r="IGL5" s="390"/>
      <c r="IGM5" s="390"/>
      <c r="IGN5" s="390"/>
      <c r="IGO5" s="390"/>
      <c r="IGP5" s="390"/>
      <c r="IGQ5" s="390"/>
      <c r="IGR5" s="390"/>
      <c r="IGS5" s="390"/>
      <c r="IGT5" s="390"/>
      <c r="IGU5" s="390"/>
      <c r="IGV5" s="390"/>
      <c r="IGW5" s="390"/>
      <c r="IGX5" s="390"/>
      <c r="IGY5" s="390"/>
      <c r="IGZ5" s="390"/>
      <c r="IHA5" s="390"/>
      <c r="IHB5" s="390"/>
      <c r="IHC5" s="390"/>
      <c r="IHD5" s="390"/>
      <c r="IHE5" s="390"/>
      <c r="IHF5" s="390"/>
      <c r="IHG5" s="390"/>
      <c r="IHH5" s="390"/>
      <c r="IHI5" s="390"/>
      <c r="IHJ5" s="390"/>
      <c r="IHK5" s="390"/>
      <c r="IHL5" s="390"/>
      <c r="IHM5" s="390"/>
      <c r="IHN5" s="390"/>
      <c r="IHO5" s="390"/>
      <c r="IHP5" s="390"/>
      <c r="IHQ5" s="390"/>
      <c r="IHR5" s="390"/>
      <c r="IHS5" s="390"/>
      <c r="IHT5" s="390"/>
      <c r="IHU5" s="390"/>
      <c r="IHV5" s="390"/>
      <c r="IHW5" s="390"/>
      <c r="IHX5" s="390"/>
      <c r="IHY5" s="390"/>
      <c r="IHZ5" s="390"/>
      <c r="IIA5" s="390"/>
      <c r="IIB5" s="390"/>
      <c r="IIC5" s="390"/>
      <c r="IID5" s="390"/>
      <c r="IIE5" s="390"/>
      <c r="IIF5" s="390"/>
      <c r="IIG5" s="390"/>
      <c r="IIH5" s="390"/>
      <c r="III5" s="390"/>
      <c r="IIJ5" s="390"/>
      <c r="IIK5" s="390"/>
      <c r="IIL5" s="390"/>
      <c r="IIM5" s="390"/>
      <c r="IIN5" s="390"/>
      <c r="IIO5" s="390"/>
      <c r="IIP5" s="390"/>
      <c r="IIQ5" s="390"/>
      <c r="IIR5" s="390"/>
      <c r="IIS5" s="390"/>
      <c r="IIT5" s="390"/>
      <c r="IIU5" s="390"/>
      <c r="IIV5" s="390"/>
      <c r="IIW5" s="390"/>
      <c r="IIX5" s="390"/>
      <c r="IIY5" s="390"/>
      <c r="IIZ5" s="390"/>
      <c r="IJA5" s="390"/>
      <c r="IJB5" s="390"/>
      <c r="IJC5" s="390"/>
      <c r="IJD5" s="390"/>
      <c r="IJE5" s="390"/>
      <c r="IJF5" s="390"/>
      <c r="IJG5" s="390"/>
      <c r="IJH5" s="390"/>
      <c r="IJI5" s="390"/>
      <c r="IJJ5" s="390"/>
      <c r="IJK5" s="390"/>
      <c r="IJL5" s="390"/>
      <c r="IJM5" s="390"/>
      <c r="IJN5" s="390"/>
      <c r="IJO5" s="390"/>
      <c r="IJP5" s="390"/>
      <c r="IJQ5" s="390"/>
      <c r="IJR5" s="390"/>
      <c r="IJS5" s="390"/>
      <c r="IJT5" s="390"/>
      <c r="IJU5" s="390"/>
      <c r="IJV5" s="390"/>
      <c r="IJW5" s="390"/>
      <c r="IJX5" s="390"/>
      <c r="IJY5" s="390"/>
      <c r="IJZ5" s="390"/>
      <c r="IKA5" s="390"/>
      <c r="IKB5" s="390"/>
      <c r="IKC5" s="390"/>
      <c r="IKD5" s="390"/>
      <c r="IKE5" s="390"/>
      <c r="IKF5" s="390"/>
      <c r="IKG5" s="390"/>
      <c r="IKH5" s="390"/>
      <c r="IKI5" s="390"/>
      <c r="IKJ5" s="390"/>
      <c r="IKK5" s="390"/>
      <c r="IKL5" s="390"/>
      <c r="IKM5" s="390"/>
      <c r="IKN5" s="390"/>
      <c r="IKO5" s="390"/>
      <c r="IKP5" s="390"/>
      <c r="IKQ5" s="390"/>
      <c r="IKR5" s="390"/>
      <c r="IKS5" s="390"/>
      <c r="IKT5" s="390"/>
      <c r="IKU5" s="390"/>
      <c r="IKV5" s="390"/>
      <c r="IKW5" s="390"/>
      <c r="IKX5" s="390"/>
      <c r="IKY5" s="390"/>
      <c r="IKZ5" s="390"/>
      <c r="ILA5" s="390"/>
      <c r="ILB5" s="390"/>
      <c r="ILC5" s="390"/>
      <c r="ILD5" s="390"/>
      <c r="ILE5" s="390"/>
      <c r="ILF5" s="390"/>
      <c r="ILG5" s="390"/>
      <c r="ILH5" s="390"/>
      <c r="ILI5" s="390"/>
      <c r="ILJ5" s="390"/>
      <c r="ILK5" s="390"/>
      <c r="ILL5" s="390"/>
      <c r="ILM5" s="390"/>
      <c r="ILN5" s="390"/>
      <c r="ILO5" s="390"/>
      <c r="ILP5" s="390"/>
      <c r="ILQ5" s="390"/>
      <c r="ILR5" s="390"/>
      <c r="ILS5" s="390"/>
      <c r="ILT5" s="390"/>
      <c r="ILU5" s="390"/>
      <c r="ILV5" s="390"/>
      <c r="ILW5" s="390"/>
      <c r="ILX5" s="390"/>
      <c r="ILY5" s="390"/>
      <c r="ILZ5" s="390"/>
      <c r="IMA5" s="390"/>
      <c r="IMB5" s="390"/>
      <c r="IMC5" s="390"/>
      <c r="IMD5" s="390"/>
      <c r="IME5" s="390"/>
      <c r="IMF5" s="390"/>
      <c r="IMG5" s="390"/>
      <c r="IMH5" s="390"/>
      <c r="IMI5" s="390"/>
      <c r="IMJ5" s="390"/>
      <c r="IMK5" s="390"/>
      <c r="IML5" s="390"/>
      <c r="IMM5" s="390"/>
      <c r="IMN5" s="390"/>
      <c r="IMO5" s="390"/>
      <c r="IMP5" s="390"/>
      <c r="IMQ5" s="390"/>
      <c r="IMR5" s="390"/>
      <c r="IMS5" s="390"/>
      <c r="IMT5" s="390"/>
      <c r="IMU5" s="390"/>
      <c r="IMV5" s="390"/>
      <c r="IMW5" s="390"/>
      <c r="IMX5" s="390"/>
      <c r="IMY5" s="390"/>
      <c r="IMZ5" s="390"/>
      <c r="INA5" s="390"/>
      <c r="INB5" s="390"/>
      <c r="INC5" s="390"/>
      <c r="IND5" s="390"/>
      <c r="INE5" s="390"/>
      <c r="INF5" s="390"/>
      <c r="ING5" s="390"/>
      <c r="INH5" s="390"/>
      <c r="INI5" s="390"/>
      <c r="INJ5" s="390"/>
      <c r="INK5" s="390"/>
      <c r="INL5" s="390"/>
      <c r="INM5" s="390"/>
      <c r="INN5" s="390"/>
      <c r="INO5" s="390"/>
      <c r="INP5" s="390"/>
      <c r="INQ5" s="390"/>
      <c r="INR5" s="390"/>
      <c r="INS5" s="390"/>
      <c r="INT5" s="390"/>
      <c r="INU5" s="390"/>
      <c r="INV5" s="390"/>
      <c r="INW5" s="390"/>
      <c r="INX5" s="390"/>
      <c r="INY5" s="390"/>
      <c r="INZ5" s="390"/>
      <c r="IOA5" s="390"/>
      <c r="IOB5" s="390"/>
      <c r="IOC5" s="390"/>
      <c r="IOD5" s="390"/>
      <c r="IOE5" s="390"/>
      <c r="IOF5" s="390"/>
      <c r="IOG5" s="390"/>
      <c r="IOH5" s="390"/>
      <c r="IOI5" s="390"/>
      <c r="IOJ5" s="390"/>
      <c r="IOK5" s="390"/>
      <c r="IOL5" s="390"/>
      <c r="IOM5" s="390"/>
      <c r="ION5" s="390"/>
      <c r="IOO5" s="390"/>
      <c r="IOP5" s="390"/>
      <c r="IOQ5" s="390"/>
      <c r="IOR5" s="390"/>
      <c r="IOS5" s="390"/>
      <c r="IOT5" s="390"/>
      <c r="IOU5" s="390"/>
      <c r="IOV5" s="390"/>
      <c r="IOW5" s="390"/>
      <c r="IOX5" s="390"/>
      <c r="IOY5" s="390"/>
      <c r="IOZ5" s="390"/>
      <c r="IPA5" s="390"/>
      <c r="IPB5" s="390"/>
      <c r="IPC5" s="390"/>
      <c r="IPD5" s="390"/>
      <c r="IPE5" s="390"/>
      <c r="IPF5" s="390"/>
      <c r="IPG5" s="390"/>
      <c r="IPH5" s="390"/>
      <c r="IPI5" s="390"/>
      <c r="IPJ5" s="390"/>
      <c r="IPK5" s="390"/>
      <c r="IPL5" s="390"/>
      <c r="IPM5" s="390"/>
      <c r="IPN5" s="390"/>
      <c r="IPO5" s="390"/>
      <c r="IPP5" s="390"/>
      <c r="IPQ5" s="390"/>
      <c r="IPR5" s="390"/>
      <c r="IPS5" s="390"/>
      <c r="IPT5" s="390"/>
      <c r="IPU5" s="390"/>
      <c r="IPV5" s="390"/>
      <c r="IPW5" s="390"/>
      <c r="IPX5" s="390"/>
      <c r="IPY5" s="390"/>
      <c r="IPZ5" s="390"/>
      <c r="IQA5" s="390"/>
      <c r="IQB5" s="390"/>
      <c r="IQC5" s="390"/>
      <c r="IQD5" s="390"/>
      <c r="IQE5" s="390"/>
      <c r="IQF5" s="390"/>
      <c r="IQG5" s="390"/>
      <c r="IQH5" s="390"/>
      <c r="IQI5" s="390"/>
      <c r="IQJ5" s="390"/>
      <c r="IQK5" s="390"/>
      <c r="IQL5" s="390"/>
      <c r="IQM5" s="390"/>
      <c r="IQN5" s="390"/>
      <c r="IQO5" s="390"/>
      <c r="IQP5" s="390"/>
      <c r="IQQ5" s="390"/>
      <c r="IQR5" s="390"/>
      <c r="IQS5" s="390"/>
      <c r="IQT5" s="390"/>
      <c r="IQU5" s="390"/>
      <c r="IQV5" s="390"/>
      <c r="IQW5" s="390"/>
      <c r="IQX5" s="390"/>
      <c r="IQY5" s="390"/>
      <c r="IQZ5" s="390"/>
      <c r="IRA5" s="390"/>
      <c r="IRB5" s="390"/>
      <c r="IRC5" s="390"/>
      <c r="IRD5" s="390"/>
      <c r="IRE5" s="390"/>
      <c r="IRF5" s="390"/>
      <c r="IRG5" s="390"/>
      <c r="IRH5" s="390"/>
      <c r="IRI5" s="390"/>
      <c r="IRJ5" s="390"/>
      <c r="IRK5" s="390"/>
      <c r="IRL5" s="390"/>
      <c r="IRM5" s="390"/>
      <c r="IRN5" s="390"/>
      <c r="IRO5" s="390"/>
      <c r="IRP5" s="390"/>
      <c r="IRQ5" s="390"/>
      <c r="IRR5" s="390"/>
      <c r="IRS5" s="390"/>
      <c r="IRT5" s="390"/>
      <c r="IRU5" s="390"/>
      <c r="IRV5" s="390"/>
      <c r="IRW5" s="390"/>
      <c r="IRX5" s="390"/>
      <c r="IRY5" s="390"/>
      <c r="IRZ5" s="390"/>
      <c r="ISA5" s="390"/>
      <c r="ISB5" s="390"/>
      <c r="ISC5" s="390"/>
      <c r="ISD5" s="390"/>
      <c r="ISE5" s="390"/>
      <c r="ISF5" s="390"/>
      <c r="ISG5" s="390"/>
      <c r="ISH5" s="390"/>
      <c r="ISI5" s="390"/>
      <c r="ISJ5" s="390"/>
      <c r="ISK5" s="390"/>
      <c r="ISL5" s="390"/>
      <c r="ISM5" s="390"/>
      <c r="ISN5" s="390"/>
      <c r="ISO5" s="390"/>
      <c r="ISP5" s="390"/>
      <c r="ISQ5" s="390"/>
      <c r="ISR5" s="390"/>
      <c r="ISS5" s="390"/>
      <c r="IST5" s="390"/>
      <c r="ISU5" s="390"/>
      <c r="ISV5" s="390"/>
      <c r="ISW5" s="390"/>
      <c r="ISX5" s="390"/>
      <c r="ISY5" s="390"/>
      <c r="ISZ5" s="390"/>
      <c r="ITA5" s="390"/>
      <c r="ITB5" s="390"/>
      <c r="ITC5" s="390"/>
      <c r="ITD5" s="390"/>
      <c r="ITE5" s="390"/>
      <c r="ITF5" s="390"/>
      <c r="ITG5" s="390"/>
      <c r="ITH5" s="390"/>
      <c r="ITI5" s="390"/>
      <c r="ITJ5" s="390"/>
      <c r="ITK5" s="390"/>
      <c r="ITL5" s="390"/>
      <c r="ITM5" s="390"/>
      <c r="ITN5" s="390"/>
      <c r="ITO5" s="390"/>
      <c r="ITP5" s="390"/>
      <c r="ITQ5" s="390"/>
      <c r="ITR5" s="390"/>
      <c r="ITS5" s="390"/>
      <c r="ITT5" s="390"/>
      <c r="ITU5" s="390"/>
      <c r="ITV5" s="390"/>
      <c r="ITW5" s="390"/>
      <c r="ITX5" s="390"/>
      <c r="ITY5" s="390"/>
      <c r="ITZ5" s="390"/>
      <c r="IUA5" s="390"/>
      <c r="IUB5" s="390"/>
      <c r="IUC5" s="390"/>
      <c r="IUD5" s="390"/>
      <c r="IUE5" s="390"/>
      <c r="IUF5" s="390"/>
      <c r="IUG5" s="390"/>
      <c r="IUH5" s="390"/>
      <c r="IUI5" s="390"/>
      <c r="IUJ5" s="390"/>
      <c r="IUK5" s="390"/>
      <c r="IUL5" s="390"/>
      <c r="IUM5" s="390"/>
      <c r="IUN5" s="390"/>
      <c r="IUO5" s="390"/>
      <c r="IUP5" s="390"/>
      <c r="IUQ5" s="390"/>
      <c r="IUR5" s="390"/>
      <c r="IUS5" s="390"/>
      <c r="IUT5" s="390"/>
      <c r="IUU5" s="390"/>
      <c r="IUV5" s="390"/>
      <c r="IUW5" s="390"/>
      <c r="IUX5" s="390"/>
      <c r="IUY5" s="390"/>
      <c r="IUZ5" s="390"/>
      <c r="IVA5" s="390"/>
      <c r="IVB5" s="390"/>
      <c r="IVC5" s="390"/>
      <c r="IVD5" s="390"/>
      <c r="IVE5" s="390"/>
      <c r="IVF5" s="390"/>
      <c r="IVG5" s="390"/>
      <c r="IVH5" s="390"/>
      <c r="IVI5" s="390"/>
      <c r="IVJ5" s="390"/>
      <c r="IVK5" s="390"/>
      <c r="IVL5" s="390"/>
      <c r="IVM5" s="390"/>
      <c r="IVN5" s="390"/>
      <c r="IVO5" s="390"/>
      <c r="IVP5" s="390"/>
      <c r="IVQ5" s="390"/>
      <c r="IVR5" s="390"/>
      <c r="IVS5" s="390"/>
      <c r="IVT5" s="390"/>
      <c r="IVU5" s="390"/>
      <c r="IVV5" s="390"/>
      <c r="IVW5" s="390"/>
      <c r="IVX5" s="390"/>
      <c r="IVY5" s="390"/>
      <c r="IVZ5" s="390"/>
      <c r="IWA5" s="390"/>
      <c r="IWB5" s="390"/>
      <c r="IWC5" s="390"/>
      <c r="IWD5" s="390"/>
      <c r="IWE5" s="390"/>
      <c r="IWF5" s="390"/>
      <c r="IWG5" s="390"/>
      <c r="IWH5" s="390"/>
      <c r="IWI5" s="390"/>
      <c r="IWJ5" s="390"/>
      <c r="IWK5" s="390"/>
      <c r="IWL5" s="390"/>
      <c r="IWM5" s="390"/>
      <c r="IWN5" s="390"/>
      <c r="IWO5" s="390"/>
      <c r="IWP5" s="390"/>
      <c r="IWQ5" s="390"/>
      <c r="IWR5" s="390"/>
      <c r="IWS5" s="390"/>
      <c r="IWT5" s="390"/>
      <c r="IWU5" s="390"/>
      <c r="IWV5" s="390"/>
      <c r="IWW5" s="390"/>
      <c r="IWX5" s="390"/>
      <c r="IWY5" s="390"/>
      <c r="IWZ5" s="390"/>
      <c r="IXA5" s="390"/>
      <c r="IXB5" s="390"/>
      <c r="IXC5" s="390"/>
      <c r="IXD5" s="390"/>
      <c r="IXE5" s="390"/>
      <c r="IXF5" s="390"/>
      <c r="IXG5" s="390"/>
      <c r="IXH5" s="390"/>
      <c r="IXI5" s="390"/>
      <c r="IXJ5" s="390"/>
      <c r="IXK5" s="390"/>
      <c r="IXL5" s="390"/>
      <c r="IXM5" s="390"/>
      <c r="IXN5" s="390"/>
      <c r="IXO5" s="390"/>
      <c r="IXP5" s="390"/>
      <c r="IXQ5" s="390"/>
      <c r="IXR5" s="390"/>
      <c r="IXS5" s="390"/>
      <c r="IXT5" s="390"/>
      <c r="IXU5" s="390"/>
      <c r="IXV5" s="390"/>
      <c r="IXW5" s="390"/>
      <c r="IXX5" s="390"/>
      <c r="IXY5" s="390"/>
      <c r="IXZ5" s="390"/>
      <c r="IYA5" s="390"/>
      <c r="IYB5" s="390"/>
      <c r="IYC5" s="390"/>
      <c r="IYD5" s="390"/>
      <c r="IYE5" s="390"/>
      <c r="IYF5" s="390"/>
      <c r="IYG5" s="390"/>
      <c r="IYH5" s="390"/>
      <c r="IYI5" s="390"/>
      <c r="IYJ5" s="390"/>
      <c r="IYK5" s="390"/>
      <c r="IYL5" s="390"/>
      <c r="IYM5" s="390"/>
      <c r="IYN5" s="390"/>
      <c r="IYO5" s="390"/>
      <c r="IYP5" s="390"/>
      <c r="IYQ5" s="390"/>
      <c r="IYR5" s="390"/>
      <c r="IYS5" s="390"/>
      <c r="IYT5" s="390"/>
      <c r="IYU5" s="390"/>
      <c r="IYV5" s="390"/>
      <c r="IYW5" s="390"/>
      <c r="IYX5" s="390"/>
      <c r="IYY5" s="390"/>
      <c r="IYZ5" s="390"/>
      <c r="IZA5" s="390"/>
      <c r="IZB5" s="390"/>
      <c r="IZC5" s="390"/>
      <c r="IZD5" s="390"/>
      <c r="IZE5" s="390"/>
      <c r="IZF5" s="390"/>
      <c r="IZG5" s="390"/>
      <c r="IZH5" s="390"/>
      <c r="IZI5" s="390"/>
      <c r="IZJ5" s="390"/>
      <c r="IZK5" s="390"/>
      <c r="IZL5" s="390"/>
      <c r="IZM5" s="390"/>
      <c r="IZN5" s="390"/>
      <c r="IZO5" s="390"/>
      <c r="IZP5" s="390"/>
      <c r="IZQ5" s="390"/>
      <c r="IZR5" s="390"/>
      <c r="IZS5" s="390"/>
      <c r="IZT5" s="390"/>
      <c r="IZU5" s="390"/>
      <c r="IZV5" s="390"/>
      <c r="IZW5" s="390"/>
      <c r="IZX5" s="390"/>
      <c r="IZY5" s="390"/>
      <c r="IZZ5" s="390"/>
      <c r="JAA5" s="390"/>
      <c r="JAB5" s="390"/>
      <c r="JAC5" s="390"/>
      <c r="JAD5" s="390"/>
      <c r="JAE5" s="390"/>
      <c r="JAF5" s="390"/>
      <c r="JAG5" s="390"/>
      <c r="JAH5" s="390"/>
      <c r="JAI5" s="390"/>
      <c r="JAJ5" s="390"/>
      <c r="JAK5" s="390"/>
      <c r="JAL5" s="390"/>
      <c r="JAM5" s="390"/>
      <c r="JAN5" s="390"/>
      <c r="JAO5" s="390"/>
      <c r="JAP5" s="390"/>
      <c r="JAQ5" s="390"/>
      <c r="JAR5" s="390"/>
      <c r="JAS5" s="390"/>
      <c r="JAT5" s="390"/>
      <c r="JAU5" s="390"/>
      <c r="JAV5" s="390"/>
      <c r="JAW5" s="390"/>
      <c r="JAX5" s="390"/>
      <c r="JAY5" s="390"/>
      <c r="JAZ5" s="390"/>
      <c r="JBA5" s="390"/>
      <c r="JBB5" s="390"/>
      <c r="JBC5" s="390"/>
      <c r="JBD5" s="390"/>
      <c r="JBE5" s="390"/>
      <c r="JBF5" s="390"/>
      <c r="JBG5" s="390"/>
      <c r="JBH5" s="390"/>
      <c r="JBI5" s="390"/>
      <c r="JBJ5" s="390"/>
      <c r="JBK5" s="390"/>
      <c r="JBL5" s="390"/>
      <c r="JBM5" s="390"/>
      <c r="JBN5" s="390"/>
      <c r="JBO5" s="390"/>
      <c r="JBP5" s="390"/>
      <c r="JBQ5" s="390"/>
      <c r="JBR5" s="390"/>
      <c r="JBS5" s="390"/>
      <c r="JBT5" s="390"/>
      <c r="JBU5" s="390"/>
      <c r="JBV5" s="390"/>
      <c r="JBW5" s="390"/>
      <c r="JBX5" s="390"/>
      <c r="JBY5" s="390"/>
      <c r="JBZ5" s="390"/>
      <c r="JCA5" s="390"/>
      <c r="JCB5" s="390"/>
      <c r="JCC5" s="390"/>
      <c r="JCD5" s="390"/>
      <c r="JCE5" s="390"/>
      <c r="JCF5" s="390"/>
      <c r="JCG5" s="390"/>
      <c r="JCH5" s="390"/>
      <c r="JCI5" s="390"/>
      <c r="JCJ5" s="390"/>
      <c r="JCK5" s="390"/>
      <c r="JCL5" s="390"/>
      <c r="JCM5" s="390"/>
      <c r="JCN5" s="390"/>
      <c r="JCO5" s="390"/>
      <c r="JCP5" s="390"/>
      <c r="JCQ5" s="390"/>
      <c r="JCR5" s="390"/>
      <c r="JCS5" s="390"/>
      <c r="JCT5" s="390"/>
      <c r="JCU5" s="390"/>
      <c r="JCV5" s="390"/>
      <c r="JCW5" s="390"/>
      <c r="JCX5" s="390"/>
      <c r="JCY5" s="390"/>
      <c r="JCZ5" s="390"/>
      <c r="JDA5" s="390"/>
      <c r="JDB5" s="390"/>
      <c r="JDC5" s="390"/>
      <c r="JDD5" s="390"/>
      <c r="JDE5" s="390"/>
      <c r="JDF5" s="390"/>
      <c r="JDG5" s="390"/>
      <c r="JDH5" s="390"/>
      <c r="JDI5" s="390"/>
      <c r="JDJ5" s="390"/>
      <c r="JDK5" s="390"/>
      <c r="JDL5" s="390"/>
      <c r="JDM5" s="390"/>
      <c r="JDN5" s="390"/>
      <c r="JDO5" s="390"/>
      <c r="JDP5" s="390"/>
      <c r="JDQ5" s="390"/>
      <c r="JDR5" s="390"/>
      <c r="JDS5" s="390"/>
      <c r="JDT5" s="390"/>
      <c r="JDU5" s="390"/>
      <c r="JDV5" s="390"/>
      <c r="JDW5" s="390"/>
      <c r="JDX5" s="390"/>
      <c r="JDY5" s="390"/>
      <c r="JDZ5" s="390"/>
      <c r="JEA5" s="390"/>
      <c r="JEB5" s="390"/>
      <c r="JEC5" s="390"/>
      <c r="JED5" s="390"/>
      <c r="JEE5" s="390"/>
      <c r="JEF5" s="390"/>
      <c r="JEG5" s="390"/>
      <c r="JEH5" s="390"/>
      <c r="JEI5" s="390"/>
      <c r="JEJ5" s="390"/>
      <c r="JEK5" s="390"/>
      <c r="JEL5" s="390"/>
      <c r="JEM5" s="390"/>
      <c r="JEN5" s="390"/>
      <c r="JEO5" s="390"/>
      <c r="JEP5" s="390"/>
      <c r="JEQ5" s="390"/>
      <c r="JER5" s="390"/>
      <c r="JES5" s="390"/>
      <c r="JET5" s="390"/>
      <c r="JEU5" s="390"/>
      <c r="JEV5" s="390"/>
      <c r="JEW5" s="390"/>
      <c r="JEX5" s="390"/>
      <c r="JEY5" s="390"/>
      <c r="JEZ5" s="390"/>
      <c r="JFA5" s="390"/>
      <c r="JFB5" s="390"/>
      <c r="JFC5" s="390"/>
      <c r="JFD5" s="390"/>
      <c r="JFE5" s="390"/>
      <c r="JFF5" s="390"/>
      <c r="JFG5" s="390"/>
      <c r="JFH5" s="390"/>
      <c r="JFI5" s="390"/>
      <c r="JFJ5" s="390"/>
      <c r="JFK5" s="390"/>
      <c r="JFL5" s="390"/>
      <c r="JFM5" s="390"/>
      <c r="JFN5" s="390"/>
      <c r="JFO5" s="390"/>
      <c r="JFP5" s="390"/>
      <c r="JFQ5" s="390"/>
      <c r="JFR5" s="390"/>
      <c r="JFS5" s="390"/>
      <c r="JFT5" s="390"/>
      <c r="JFU5" s="390"/>
      <c r="JFV5" s="390"/>
      <c r="JFW5" s="390"/>
      <c r="JFX5" s="390"/>
      <c r="JFY5" s="390"/>
      <c r="JFZ5" s="390"/>
      <c r="JGA5" s="390"/>
      <c r="JGB5" s="390"/>
      <c r="JGC5" s="390"/>
      <c r="JGD5" s="390"/>
      <c r="JGE5" s="390"/>
      <c r="JGF5" s="390"/>
      <c r="JGG5" s="390"/>
      <c r="JGH5" s="390"/>
      <c r="JGI5" s="390"/>
      <c r="JGJ5" s="390"/>
      <c r="JGK5" s="390"/>
      <c r="JGL5" s="390"/>
      <c r="JGM5" s="390"/>
      <c r="JGN5" s="390"/>
      <c r="JGO5" s="390"/>
      <c r="JGP5" s="390"/>
      <c r="JGQ5" s="390"/>
      <c r="JGR5" s="390"/>
      <c r="JGS5" s="390"/>
      <c r="JGT5" s="390"/>
      <c r="JGU5" s="390"/>
      <c r="JGV5" s="390"/>
      <c r="JGW5" s="390"/>
      <c r="JGX5" s="390"/>
      <c r="JGY5" s="390"/>
      <c r="JGZ5" s="390"/>
      <c r="JHA5" s="390"/>
      <c r="JHB5" s="390"/>
      <c r="JHC5" s="390"/>
      <c r="JHD5" s="390"/>
      <c r="JHE5" s="390"/>
      <c r="JHF5" s="390"/>
      <c r="JHG5" s="390"/>
      <c r="JHH5" s="390"/>
      <c r="JHI5" s="390"/>
      <c r="JHJ5" s="390"/>
      <c r="JHK5" s="390"/>
      <c r="JHL5" s="390"/>
      <c r="JHM5" s="390"/>
      <c r="JHN5" s="390"/>
      <c r="JHO5" s="390"/>
      <c r="JHP5" s="390"/>
      <c r="JHQ5" s="390"/>
      <c r="JHR5" s="390"/>
      <c r="JHS5" s="390"/>
      <c r="JHT5" s="390"/>
      <c r="JHU5" s="390"/>
      <c r="JHV5" s="390"/>
      <c r="JHW5" s="390"/>
      <c r="JHX5" s="390"/>
      <c r="JHY5" s="390"/>
      <c r="JHZ5" s="390"/>
      <c r="JIA5" s="390"/>
      <c r="JIB5" s="390"/>
      <c r="JIC5" s="390"/>
      <c r="JID5" s="390"/>
      <c r="JIE5" s="390"/>
      <c r="JIF5" s="390"/>
      <c r="JIG5" s="390"/>
      <c r="JIH5" s="390"/>
      <c r="JII5" s="390"/>
      <c r="JIJ5" s="390"/>
      <c r="JIK5" s="390"/>
      <c r="JIL5" s="390"/>
      <c r="JIM5" s="390"/>
      <c r="JIN5" s="390"/>
      <c r="JIO5" s="390"/>
      <c r="JIP5" s="390"/>
      <c r="JIQ5" s="390"/>
      <c r="JIR5" s="390"/>
      <c r="JIS5" s="390"/>
      <c r="JIT5" s="390"/>
      <c r="JIU5" s="390"/>
      <c r="JIV5" s="390"/>
      <c r="JIW5" s="390"/>
      <c r="JIX5" s="390"/>
      <c r="JIY5" s="390"/>
      <c r="JIZ5" s="390"/>
      <c r="JJA5" s="390"/>
      <c r="JJB5" s="390"/>
      <c r="JJC5" s="390"/>
      <c r="JJD5" s="390"/>
      <c r="JJE5" s="390"/>
      <c r="JJF5" s="390"/>
      <c r="JJG5" s="390"/>
      <c r="JJH5" s="390"/>
      <c r="JJI5" s="390"/>
      <c r="JJJ5" s="390"/>
      <c r="JJK5" s="390"/>
      <c r="JJL5" s="390"/>
      <c r="JJM5" s="390"/>
      <c r="JJN5" s="390"/>
      <c r="JJO5" s="390"/>
      <c r="JJP5" s="390"/>
      <c r="JJQ5" s="390"/>
      <c r="JJR5" s="390"/>
      <c r="JJS5" s="390"/>
      <c r="JJT5" s="390"/>
      <c r="JJU5" s="390"/>
      <c r="JJV5" s="390"/>
      <c r="JJW5" s="390"/>
      <c r="JJX5" s="390"/>
      <c r="JJY5" s="390"/>
      <c r="JJZ5" s="390"/>
      <c r="JKA5" s="390"/>
      <c r="JKB5" s="390"/>
      <c r="JKC5" s="390"/>
      <c r="JKD5" s="390"/>
      <c r="JKE5" s="390"/>
      <c r="JKF5" s="390"/>
      <c r="JKG5" s="390"/>
      <c r="JKH5" s="390"/>
      <c r="JKI5" s="390"/>
      <c r="JKJ5" s="390"/>
      <c r="JKK5" s="390"/>
      <c r="JKL5" s="390"/>
      <c r="JKM5" s="390"/>
      <c r="JKN5" s="390"/>
      <c r="JKO5" s="390"/>
      <c r="JKP5" s="390"/>
      <c r="JKQ5" s="390"/>
      <c r="JKR5" s="390"/>
      <c r="JKS5" s="390"/>
      <c r="JKT5" s="390"/>
      <c r="JKU5" s="390"/>
      <c r="JKV5" s="390"/>
      <c r="JKW5" s="390"/>
      <c r="JKX5" s="390"/>
      <c r="JKY5" s="390"/>
      <c r="JKZ5" s="390"/>
      <c r="JLA5" s="390"/>
      <c r="JLB5" s="390"/>
      <c r="JLC5" s="390"/>
      <c r="JLD5" s="390"/>
      <c r="JLE5" s="390"/>
      <c r="JLF5" s="390"/>
      <c r="JLG5" s="390"/>
      <c r="JLH5" s="390"/>
      <c r="JLI5" s="390"/>
      <c r="JLJ5" s="390"/>
      <c r="JLK5" s="390"/>
      <c r="JLL5" s="390"/>
      <c r="JLM5" s="390"/>
      <c r="JLN5" s="390"/>
      <c r="JLO5" s="390"/>
      <c r="JLP5" s="390"/>
      <c r="JLQ5" s="390"/>
      <c r="JLR5" s="390"/>
      <c r="JLS5" s="390"/>
      <c r="JLT5" s="390"/>
      <c r="JLU5" s="390"/>
      <c r="JLV5" s="390"/>
      <c r="JLW5" s="390"/>
      <c r="JLX5" s="390"/>
      <c r="JLY5" s="390"/>
      <c r="JLZ5" s="390"/>
      <c r="JMA5" s="390"/>
      <c r="JMB5" s="390"/>
      <c r="JMC5" s="390"/>
      <c r="JMD5" s="390"/>
      <c r="JME5" s="390"/>
      <c r="JMF5" s="390"/>
      <c r="JMG5" s="390"/>
      <c r="JMH5" s="390"/>
      <c r="JMI5" s="390"/>
      <c r="JMJ5" s="390"/>
      <c r="JMK5" s="390"/>
      <c r="JML5" s="390"/>
      <c r="JMM5" s="390"/>
      <c r="JMN5" s="390"/>
      <c r="JMO5" s="390"/>
      <c r="JMP5" s="390"/>
      <c r="JMQ5" s="390"/>
      <c r="JMR5" s="390"/>
      <c r="JMS5" s="390"/>
      <c r="JMT5" s="390"/>
      <c r="JMU5" s="390"/>
      <c r="JMV5" s="390"/>
      <c r="JMW5" s="390"/>
      <c r="JMX5" s="390"/>
      <c r="JMY5" s="390"/>
      <c r="JMZ5" s="390"/>
      <c r="JNA5" s="390"/>
      <c r="JNB5" s="390"/>
      <c r="JNC5" s="390"/>
      <c r="JND5" s="390"/>
      <c r="JNE5" s="390"/>
      <c r="JNF5" s="390"/>
      <c r="JNG5" s="390"/>
      <c r="JNH5" s="390"/>
      <c r="JNI5" s="390"/>
      <c r="JNJ5" s="390"/>
      <c r="JNK5" s="390"/>
      <c r="JNL5" s="390"/>
      <c r="JNM5" s="390"/>
      <c r="JNN5" s="390"/>
      <c r="JNO5" s="390"/>
      <c r="JNP5" s="390"/>
      <c r="JNQ5" s="390"/>
      <c r="JNR5" s="390"/>
      <c r="JNS5" s="390"/>
      <c r="JNT5" s="390"/>
      <c r="JNU5" s="390"/>
      <c r="JNV5" s="390"/>
      <c r="JNW5" s="390"/>
      <c r="JNX5" s="390"/>
      <c r="JNY5" s="390"/>
      <c r="JNZ5" s="390"/>
      <c r="JOA5" s="390"/>
      <c r="JOB5" s="390"/>
      <c r="JOC5" s="390"/>
      <c r="JOD5" s="390"/>
      <c r="JOE5" s="390"/>
      <c r="JOF5" s="390"/>
      <c r="JOG5" s="390"/>
      <c r="JOH5" s="390"/>
      <c r="JOI5" s="390"/>
      <c r="JOJ5" s="390"/>
      <c r="JOK5" s="390"/>
      <c r="JOL5" s="390"/>
      <c r="JOM5" s="390"/>
      <c r="JON5" s="390"/>
      <c r="JOO5" s="390"/>
      <c r="JOP5" s="390"/>
      <c r="JOQ5" s="390"/>
      <c r="JOR5" s="390"/>
      <c r="JOS5" s="390"/>
      <c r="JOT5" s="390"/>
      <c r="JOU5" s="390"/>
      <c r="JOV5" s="390"/>
      <c r="JOW5" s="390"/>
      <c r="JOX5" s="390"/>
      <c r="JOY5" s="390"/>
      <c r="JOZ5" s="390"/>
      <c r="JPA5" s="390"/>
      <c r="JPB5" s="390"/>
      <c r="JPC5" s="390"/>
      <c r="JPD5" s="390"/>
      <c r="JPE5" s="390"/>
      <c r="JPF5" s="390"/>
      <c r="JPG5" s="390"/>
      <c r="JPH5" s="390"/>
      <c r="JPI5" s="390"/>
      <c r="JPJ5" s="390"/>
      <c r="JPK5" s="390"/>
      <c r="JPL5" s="390"/>
      <c r="JPM5" s="390"/>
      <c r="JPN5" s="390"/>
      <c r="JPO5" s="390"/>
      <c r="JPP5" s="390"/>
      <c r="JPQ5" s="390"/>
      <c r="JPR5" s="390"/>
      <c r="JPS5" s="390"/>
      <c r="JPT5" s="390"/>
      <c r="JPU5" s="390"/>
      <c r="JPV5" s="390"/>
      <c r="JPW5" s="390"/>
      <c r="JPX5" s="390"/>
      <c r="JPY5" s="390"/>
      <c r="JPZ5" s="390"/>
      <c r="JQA5" s="390"/>
      <c r="JQB5" s="390"/>
      <c r="JQC5" s="390"/>
      <c r="JQD5" s="390"/>
      <c r="JQE5" s="390"/>
      <c r="JQF5" s="390"/>
      <c r="JQG5" s="390"/>
      <c r="JQH5" s="390"/>
      <c r="JQI5" s="390"/>
      <c r="JQJ5" s="390"/>
      <c r="JQK5" s="390"/>
      <c r="JQL5" s="390"/>
      <c r="JQM5" s="390"/>
      <c r="JQN5" s="390"/>
      <c r="JQO5" s="390"/>
      <c r="JQP5" s="390"/>
      <c r="JQQ5" s="390"/>
      <c r="JQR5" s="390"/>
      <c r="JQS5" s="390"/>
      <c r="JQT5" s="390"/>
      <c r="JQU5" s="390"/>
      <c r="JQV5" s="390"/>
      <c r="JQW5" s="390"/>
      <c r="JQX5" s="390"/>
      <c r="JQY5" s="390"/>
      <c r="JQZ5" s="390"/>
      <c r="JRA5" s="390"/>
      <c r="JRB5" s="390"/>
      <c r="JRC5" s="390"/>
      <c r="JRD5" s="390"/>
      <c r="JRE5" s="390"/>
      <c r="JRF5" s="390"/>
      <c r="JRG5" s="390"/>
      <c r="JRH5" s="390"/>
      <c r="JRI5" s="390"/>
      <c r="JRJ5" s="390"/>
      <c r="JRK5" s="390"/>
      <c r="JRL5" s="390"/>
      <c r="JRM5" s="390"/>
      <c r="JRN5" s="390"/>
      <c r="JRO5" s="390"/>
      <c r="JRP5" s="390"/>
      <c r="JRQ5" s="390"/>
      <c r="JRR5" s="390"/>
      <c r="JRS5" s="390"/>
      <c r="JRT5" s="390"/>
      <c r="JRU5" s="390"/>
      <c r="JRV5" s="390"/>
      <c r="JRW5" s="390"/>
      <c r="JRX5" s="390"/>
      <c r="JRY5" s="390"/>
      <c r="JRZ5" s="390"/>
      <c r="JSA5" s="390"/>
      <c r="JSB5" s="390"/>
      <c r="JSC5" s="390"/>
      <c r="JSD5" s="390"/>
      <c r="JSE5" s="390"/>
      <c r="JSF5" s="390"/>
      <c r="JSG5" s="390"/>
      <c r="JSH5" s="390"/>
      <c r="JSI5" s="390"/>
      <c r="JSJ5" s="390"/>
      <c r="JSK5" s="390"/>
      <c r="JSL5" s="390"/>
      <c r="JSM5" s="390"/>
      <c r="JSN5" s="390"/>
      <c r="JSO5" s="390"/>
      <c r="JSP5" s="390"/>
      <c r="JSQ5" s="390"/>
      <c r="JSR5" s="390"/>
      <c r="JSS5" s="390"/>
      <c r="JST5" s="390"/>
      <c r="JSU5" s="390"/>
      <c r="JSV5" s="390"/>
      <c r="JSW5" s="390"/>
      <c r="JSX5" s="390"/>
      <c r="JSY5" s="390"/>
      <c r="JSZ5" s="390"/>
      <c r="JTA5" s="390"/>
      <c r="JTB5" s="390"/>
      <c r="JTC5" s="390"/>
      <c r="JTD5" s="390"/>
      <c r="JTE5" s="390"/>
      <c r="JTF5" s="390"/>
      <c r="JTG5" s="390"/>
      <c r="JTH5" s="390"/>
      <c r="JTI5" s="390"/>
      <c r="JTJ5" s="390"/>
      <c r="JTK5" s="390"/>
      <c r="JTL5" s="390"/>
      <c r="JTM5" s="390"/>
      <c r="JTN5" s="390"/>
      <c r="JTO5" s="390"/>
      <c r="JTP5" s="390"/>
      <c r="JTQ5" s="390"/>
      <c r="JTR5" s="390"/>
      <c r="JTS5" s="390"/>
      <c r="JTT5" s="390"/>
      <c r="JTU5" s="390"/>
      <c r="JTV5" s="390"/>
      <c r="JTW5" s="390"/>
      <c r="JTX5" s="390"/>
      <c r="JTY5" s="390"/>
      <c r="JTZ5" s="390"/>
      <c r="JUA5" s="390"/>
      <c r="JUB5" s="390"/>
      <c r="JUC5" s="390"/>
      <c r="JUD5" s="390"/>
      <c r="JUE5" s="390"/>
      <c r="JUF5" s="390"/>
      <c r="JUG5" s="390"/>
      <c r="JUH5" s="390"/>
      <c r="JUI5" s="390"/>
      <c r="JUJ5" s="390"/>
      <c r="JUK5" s="390"/>
      <c r="JUL5" s="390"/>
      <c r="JUM5" s="390"/>
      <c r="JUN5" s="390"/>
      <c r="JUO5" s="390"/>
      <c r="JUP5" s="390"/>
      <c r="JUQ5" s="390"/>
      <c r="JUR5" s="390"/>
      <c r="JUS5" s="390"/>
      <c r="JUT5" s="390"/>
      <c r="JUU5" s="390"/>
      <c r="JUV5" s="390"/>
      <c r="JUW5" s="390"/>
      <c r="JUX5" s="390"/>
      <c r="JUY5" s="390"/>
      <c r="JUZ5" s="390"/>
      <c r="JVA5" s="390"/>
      <c r="JVB5" s="390"/>
      <c r="JVC5" s="390"/>
      <c r="JVD5" s="390"/>
      <c r="JVE5" s="390"/>
      <c r="JVF5" s="390"/>
      <c r="JVG5" s="390"/>
      <c r="JVH5" s="390"/>
      <c r="JVI5" s="390"/>
      <c r="JVJ5" s="390"/>
      <c r="JVK5" s="390"/>
      <c r="JVL5" s="390"/>
      <c r="JVM5" s="390"/>
      <c r="JVN5" s="390"/>
      <c r="JVO5" s="390"/>
      <c r="JVP5" s="390"/>
      <c r="JVQ5" s="390"/>
      <c r="JVR5" s="390"/>
      <c r="JVS5" s="390"/>
      <c r="JVT5" s="390"/>
      <c r="JVU5" s="390"/>
      <c r="JVV5" s="390"/>
      <c r="JVW5" s="390"/>
      <c r="JVX5" s="390"/>
      <c r="JVY5" s="390"/>
      <c r="JVZ5" s="390"/>
      <c r="JWA5" s="390"/>
      <c r="JWB5" s="390"/>
      <c r="JWC5" s="390"/>
      <c r="JWD5" s="390"/>
      <c r="JWE5" s="390"/>
      <c r="JWF5" s="390"/>
      <c r="JWG5" s="390"/>
      <c r="JWH5" s="390"/>
      <c r="JWI5" s="390"/>
      <c r="JWJ5" s="390"/>
      <c r="JWK5" s="390"/>
      <c r="JWL5" s="390"/>
      <c r="JWM5" s="390"/>
      <c r="JWN5" s="390"/>
      <c r="JWO5" s="390"/>
      <c r="JWP5" s="390"/>
      <c r="JWQ5" s="390"/>
      <c r="JWR5" s="390"/>
      <c r="JWS5" s="390"/>
      <c r="JWT5" s="390"/>
      <c r="JWU5" s="390"/>
      <c r="JWV5" s="390"/>
      <c r="JWW5" s="390"/>
      <c r="JWX5" s="390"/>
      <c r="JWY5" s="390"/>
      <c r="JWZ5" s="390"/>
      <c r="JXA5" s="390"/>
      <c r="JXB5" s="390"/>
      <c r="JXC5" s="390"/>
      <c r="JXD5" s="390"/>
      <c r="JXE5" s="390"/>
      <c r="JXF5" s="390"/>
      <c r="JXG5" s="390"/>
      <c r="JXH5" s="390"/>
      <c r="JXI5" s="390"/>
      <c r="JXJ5" s="390"/>
      <c r="JXK5" s="390"/>
      <c r="JXL5" s="390"/>
      <c r="JXM5" s="390"/>
      <c r="JXN5" s="390"/>
      <c r="JXO5" s="390"/>
      <c r="JXP5" s="390"/>
      <c r="JXQ5" s="390"/>
      <c r="JXR5" s="390"/>
      <c r="JXS5" s="390"/>
      <c r="JXT5" s="390"/>
      <c r="JXU5" s="390"/>
      <c r="JXV5" s="390"/>
      <c r="JXW5" s="390"/>
      <c r="JXX5" s="390"/>
      <c r="JXY5" s="390"/>
      <c r="JXZ5" s="390"/>
      <c r="JYA5" s="390"/>
      <c r="JYB5" s="390"/>
      <c r="JYC5" s="390"/>
      <c r="JYD5" s="390"/>
      <c r="JYE5" s="390"/>
      <c r="JYF5" s="390"/>
      <c r="JYG5" s="390"/>
      <c r="JYH5" s="390"/>
      <c r="JYI5" s="390"/>
      <c r="JYJ5" s="390"/>
      <c r="JYK5" s="390"/>
      <c r="JYL5" s="390"/>
      <c r="JYM5" s="390"/>
      <c r="JYN5" s="390"/>
      <c r="JYO5" s="390"/>
      <c r="JYP5" s="390"/>
      <c r="JYQ5" s="390"/>
      <c r="JYR5" s="390"/>
      <c r="JYS5" s="390"/>
      <c r="JYT5" s="390"/>
      <c r="JYU5" s="390"/>
      <c r="JYV5" s="390"/>
      <c r="JYW5" s="390"/>
      <c r="JYX5" s="390"/>
      <c r="JYY5" s="390"/>
      <c r="JYZ5" s="390"/>
      <c r="JZA5" s="390"/>
      <c r="JZB5" s="390"/>
      <c r="JZC5" s="390"/>
      <c r="JZD5" s="390"/>
      <c r="JZE5" s="390"/>
      <c r="JZF5" s="390"/>
      <c r="JZG5" s="390"/>
      <c r="JZH5" s="390"/>
      <c r="JZI5" s="390"/>
      <c r="JZJ5" s="390"/>
      <c r="JZK5" s="390"/>
      <c r="JZL5" s="390"/>
      <c r="JZM5" s="390"/>
      <c r="JZN5" s="390"/>
      <c r="JZO5" s="390"/>
      <c r="JZP5" s="390"/>
      <c r="JZQ5" s="390"/>
      <c r="JZR5" s="390"/>
      <c r="JZS5" s="390"/>
      <c r="JZT5" s="390"/>
      <c r="JZU5" s="390"/>
      <c r="JZV5" s="390"/>
      <c r="JZW5" s="390"/>
      <c r="JZX5" s="390"/>
      <c r="JZY5" s="390"/>
      <c r="JZZ5" s="390"/>
      <c r="KAA5" s="390"/>
      <c r="KAB5" s="390"/>
      <c r="KAC5" s="390"/>
      <c r="KAD5" s="390"/>
      <c r="KAE5" s="390"/>
      <c r="KAF5" s="390"/>
      <c r="KAG5" s="390"/>
      <c r="KAH5" s="390"/>
      <c r="KAI5" s="390"/>
      <c r="KAJ5" s="390"/>
      <c r="KAK5" s="390"/>
      <c r="KAL5" s="390"/>
      <c r="KAM5" s="390"/>
      <c r="KAN5" s="390"/>
      <c r="KAO5" s="390"/>
      <c r="KAP5" s="390"/>
      <c r="KAQ5" s="390"/>
      <c r="KAR5" s="390"/>
      <c r="KAS5" s="390"/>
      <c r="KAT5" s="390"/>
      <c r="KAU5" s="390"/>
      <c r="KAV5" s="390"/>
      <c r="KAW5" s="390"/>
      <c r="KAX5" s="390"/>
      <c r="KAY5" s="390"/>
      <c r="KAZ5" s="390"/>
      <c r="KBA5" s="390"/>
      <c r="KBB5" s="390"/>
      <c r="KBC5" s="390"/>
      <c r="KBD5" s="390"/>
      <c r="KBE5" s="390"/>
      <c r="KBF5" s="390"/>
      <c r="KBG5" s="390"/>
      <c r="KBH5" s="390"/>
      <c r="KBI5" s="390"/>
      <c r="KBJ5" s="390"/>
      <c r="KBK5" s="390"/>
      <c r="KBL5" s="390"/>
      <c r="KBM5" s="390"/>
      <c r="KBN5" s="390"/>
      <c r="KBO5" s="390"/>
      <c r="KBP5" s="390"/>
      <c r="KBQ5" s="390"/>
      <c r="KBR5" s="390"/>
      <c r="KBS5" s="390"/>
      <c r="KBT5" s="390"/>
      <c r="KBU5" s="390"/>
      <c r="KBV5" s="390"/>
      <c r="KBW5" s="390"/>
      <c r="KBX5" s="390"/>
      <c r="KBY5" s="390"/>
      <c r="KBZ5" s="390"/>
      <c r="KCA5" s="390"/>
      <c r="KCB5" s="390"/>
      <c r="KCC5" s="390"/>
      <c r="KCD5" s="390"/>
      <c r="KCE5" s="390"/>
      <c r="KCF5" s="390"/>
      <c r="KCG5" s="390"/>
      <c r="KCH5" s="390"/>
      <c r="KCI5" s="390"/>
      <c r="KCJ5" s="390"/>
      <c r="KCK5" s="390"/>
      <c r="KCL5" s="390"/>
      <c r="KCM5" s="390"/>
      <c r="KCN5" s="390"/>
      <c r="KCO5" s="390"/>
      <c r="KCP5" s="390"/>
      <c r="KCQ5" s="390"/>
      <c r="KCR5" s="390"/>
      <c r="KCS5" s="390"/>
      <c r="KCT5" s="390"/>
      <c r="KCU5" s="390"/>
      <c r="KCV5" s="390"/>
      <c r="KCW5" s="390"/>
      <c r="KCX5" s="390"/>
      <c r="KCY5" s="390"/>
      <c r="KCZ5" s="390"/>
      <c r="KDA5" s="390"/>
      <c r="KDB5" s="390"/>
      <c r="KDC5" s="390"/>
      <c r="KDD5" s="390"/>
      <c r="KDE5" s="390"/>
      <c r="KDF5" s="390"/>
      <c r="KDG5" s="390"/>
      <c r="KDH5" s="390"/>
      <c r="KDI5" s="390"/>
      <c r="KDJ5" s="390"/>
      <c r="KDK5" s="390"/>
      <c r="KDL5" s="390"/>
      <c r="KDM5" s="390"/>
      <c r="KDN5" s="390"/>
      <c r="KDO5" s="390"/>
      <c r="KDP5" s="390"/>
      <c r="KDQ5" s="390"/>
      <c r="KDR5" s="390"/>
      <c r="KDS5" s="390"/>
      <c r="KDT5" s="390"/>
      <c r="KDU5" s="390"/>
      <c r="KDV5" s="390"/>
      <c r="KDW5" s="390"/>
      <c r="KDX5" s="390"/>
      <c r="KDY5" s="390"/>
      <c r="KDZ5" s="390"/>
      <c r="KEA5" s="390"/>
      <c r="KEB5" s="390"/>
      <c r="KEC5" s="390"/>
      <c r="KED5" s="390"/>
      <c r="KEE5" s="390"/>
      <c r="KEF5" s="390"/>
      <c r="KEG5" s="390"/>
      <c r="KEH5" s="390"/>
      <c r="KEI5" s="390"/>
      <c r="KEJ5" s="390"/>
      <c r="KEK5" s="390"/>
      <c r="KEL5" s="390"/>
      <c r="KEM5" s="390"/>
      <c r="KEN5" s="390"/>
      <c r="KEO5" s="390"/>
      <c r="KEP5" s="390"/>
      <c r="KEQ5" s="390"/>
      <c r="KER5" s="390"/>
      <c r="KES5" s="390"/>
      <c r="KET5" s="390"/>
      <c r="KEU5" s="390"/>
      <c r="KEV5" s="390"/>
      <c r="KEW5" s="390"/>
      <c r="KEX5" s="390"/>
      <c r="KEY5" s="390"/>
      <c r="KEZ5" s="390"/>
      <c r="KFA5" s="390"/>
      <c r="KFB5" s="390"/>
      <c r="KFC5" s="390"/>
      <c r="KFD5" s="390"/>
      <c r="KFE5" s="390"/>
      <c r="KFF5" s="390"/>
      <c r="KFG5" s="390"/>
      <c r="KFH5" s="390"/>
      <c r="KFI5" s="390"/>
      <c r="KFJ5" s="390"/>
      <c r="KFK5" s="390"/>
      <c r="KFL5" s="390"/>
      <c r="KFM5" s="390"/>
      <c r="KFN5" s="390"/>
      <c r="KFO5" s="390"/>
      <c r="KFP5" s="390"/>
      <c r="KFQ5" s="390"/>
      <c r="KFR5" s="390"/>
      <c r="KFS5" s="390"/>
      <c r="KFT5" s="390"/>
      <c r="KFU5" s="390"/>
      <c r="KFV5" s="390"/>
      <c r="KFW5" s="390"/>
      <c r="KFX5" s="390"/>
      <c r="KFY5" s="390"/>
      <c r="KFZ5" s="390"/>
      <c r="KGA5" s="390"/>
      <c r="KGB5" s="390"/>
      <c r="KGC5" s="390"/>
      <c r="KGD5" s="390"/>
      <c r="KGE5" s="390"/>
      <c r="KGF5" s="390"/>
      <c r="KGG5" s="390"/>
      <c r="KGH5" s="390"/>
      <c r="KGI5" s="390"/>
      <c r="KGJ5" s="390"/>
      <c r="KGK5" s="390"/>
      <c r="KGL5" s="390"/>
      <c r="KGM5" s="390"/>
      <c r="KGN5" s="390"/>
      <c r="KGO5" s="390"/>
      <c r="KGP5" s="390"/>
      <c r="KGQ5" s="390"/>
      <c r="KGR5" s="390"/>
      <c r="KGS5" s="390"/>
      <c r="KGT5" s="390"/>
      <c r="KGU5" s="390"/>
      <c r="KGV5" s="390"/>
      <c r="KGW5" s="390"/>
      <c r="KGX5" s="390"/>
      <c r="KGY5" s="390"/>
      <c r="KGZ5" s="390"/>
      <c r="KHA5" s="390"/>
      <c r="KHB5" s="390"/>
      <c r="KHC5" s="390"/>
      <c r="KHD5" s="390"/>
      <c r="KHE5" s="390"/>
      <c r="KHF5" s="390"/>
      <c r="KHG5" s="390"/>
      <c r="KHH5" s="390"/>
      <c r="KHI5" s="390"/>
      <c r="KHJ5" s="390"/>
      <c r="KHK5" s="390"/>
      <c r="KHL5" s="390"/>
      <c r="KHM5" s="390"/>
      <c r="KHN5" s="390"/>
      <c r="KHO5" s="390"/>
      <c r="KHP5" s="390"/>
      <c r="KHQ5" s="390"/>
      <c r="KHR5" s="390"/>
      <c r="KHS5" s="390"/>
      <c r="KHT5" s="390"/>
      <c r="KHU5" s="390"/>
      <c r="KHV5" s="390"/>
      <c r="KHW5" s="390"/>
      <c r="KHX5" s="390"/>
      <c r="KHY5" s="390"/>
      <c r="KHZ5" s="390"/>
      <c r="KIA5" s="390"/>
      <c r="KIB5" s="390"/>
      <c r="KIC5" s="390"/>
      <c r="KID5" s="390"/>
      <c r="KIE5" s="390"/>
      <c r="KIF5" s="390"/>
      <c r="KIG5" s="390"/>
      <c r="KIH5" s="390"/>
      <c r="KII5" s="390"/>
      <c r="KIJ5" s="390"/>
      <c r="KIK5" s="390"/>
      <c r="KIL5" s="390"/>
      <c r="KIM5" s="390"/>
      <c r="KIN5" s="390"/>
      <c r="KIO5" s="390"/>
      <c r="KIP5" s="390"/>
      <c r="KIQ5" s="390"/>
      <c r="KIR5" s="390"/>
      <c r="KIS5" s="390"/>
      <c r="KIT5" s="390"/>
      <c r="KIU5" s="390"/>
      <c r="KIV5" s="390"/>
      <c r="KIW5" s="390"/>
      <c r="KIX5" s="390"/>
      <c r="KIY5" s="390"/>
      <c r="KIZ5" s="390"/>
      <c r="KJA5" s="390"/>
      <c r="KJB5" s="390"/>
      <c r="KJC5" s="390"/>
      <c r="KJD5" s="390"/>
      <c r="KJE5" s="390"/>
      <c r="KJF5" s="390"/>
      <c r="KJG5" s="390"/>
      <c r="KJH5" s="390"/>
      <c r="KJI5" s="390"/>
      <c r="KJJ5" s="390"/>
      <c r="KJK5" s="390"/>
      <c r="KJL5" s="390"/>
      <c r="KJM5" s="390"/>
      <c r="KJN5" s="390"/>
      <c r="KJO5" s="390"/>
      <c r="KJP5" s="390"/>
      <c r="KJQ5" s="390"/>
      <c r="KJR5" s="390"/>
      <c r="KJS5" s="390"/>
      <c r="KJT5" s="390"/>
      <c r="KJU5" s="390"/>
      <c r="KJV5" s="390"/>
      <c r="KJW5" s="390"/>
      <c r="KJX5" s="390"/>
      <c r="KJY5" s="390"/>
      <c r="KJZ5" s="390"/>
      <c r="KKA5" s="390"/>
      <c r="KKB5" s="390"/>
      <c r="KKC5" s="390"/>
      <c r="KKD5" s="390"/>
      <c r="KKE5" s="390"/>
      <c r="KKF5" s="390"/>
      <c r="KKG5" s="390"/>
      <c r="KKH5" s="390"/>
      <c r="KKI5" s="390"/>
      <c r="KKJ5" s="390"/>
      <c r="KKK5" s="390"/>
      <c r="KKL5" s="390"/>
      <c r="KKM5" s="390"/>
      <c r="KKN5" s="390"/>
      <c r="KKO5" s="390"/>
      <c r="KKP5" s="390"/>
      <c r="KKQ5" s="390"/>
      <c r="KKR5" s="390"/>
      <c r="KKS5" s="390"/>
      <c r="KKT5" s="390"/>
      <c r="KKU5" s="390"/>
      <c r="KKV5" s="390"/>
      <c r="KKW5" s="390"/>
      <c r="KKX5" s="390"/>
      <c r="KKY5" s="390"/>
      <c r="KKZ5" s="390"/>
      <c r="KLA5" s="390"/>
      <c r="KLB5" s="390"/>
      <c r="KLC5" s="390"/>
      <c r="KLD5" s="390"/>
      <c r="KLE5" s="390"/>
      <c r="KLF5" s="390"/>
      <c r="KLG5" s="390"/>
      <c r="KLH5" s="390"/>
      <c r="KLI5" s="390"/>
      <c r="KLJ5" s="390"/>
      <c r="KLK5" s="390"/>
      <c r="KLL5" s="390"/>
      <c r="KLM5" s="390"/>
      <c r="KLN5" s="390"/>
      <c r="KLO5" s="390"/>
      <c r="KLP5" s="390"/>
      <c r="KLQ5" s="390"/>
      <c r="KLR5" s="390"/>
      <c r="KLS5" s="390"/>
      <c r="KLT5" s="390"/>
      <c r="KLU5" s="390"/>
      <c r="KLV5" s="390"/>
      <c r="KLW5" s="390"/>
      <c r="KLX5" s="390"/>
      <c r="KLY5" s="390"/>
      <c r="KLZ5" s="390"/>
      <c r="KMA5" s="390"/>
      <c r="KMB5" s="390"/>
      <c r="KMC5" s="390"/>
      <c r="KMD5" s="390"/>
      <c r="KME5" s="390"/>
      <c r="KMF5" s="390"/>
      <c r="KMG5" s="390"/>
      <c r="KMH5" s="390"/>
      <c r="KMI5" s="390"/>
      <c r="KMJ5" s="390"/>
      <c r="KMK5" s="390"/>
      <c r="KML5" s="390"/>
      <c r="KMM5" s="390"/>
      <c r="KMN5" s="390"/>
      <c r="KMO5" s="390"/>
      <c r="KMP5" s="390"/>
      <c r="KMQ5" s="390"/>
      <c r="KMR5" s="390"/>
      <c r="KMS5" s="390"/>
      <c r="KMT5" s="390"/>
      <c r="KMU5" s="390"/>
      <c r="KMV5" s="390"/>
      <c r="KMW5" s="390"/>
      <c r="KMX5" s="390"/>
      <c r="KMY5" s="390"/>
      <c r="KMZ5" s="390"/>
      <c r="KNA5" s="390"/>
      <c r="KNB5" s="390"/>
      <c r="KNC5" s="390"/>
      <c r="KND5" s="390"/>
      <c r="KNE5" s="390"/>
      <c r="KNF5" s="390"/>
      <c r="KNG5" s="390"/>
      <c r="KNH5" s="390"/>
      <c r="KNI5" s="390"/>
      <c r="KNJ5" s="390"/>
      <c r="KNK5" s="390"/>
      <c r="KNL5" s="390"/>
      <c r="KNM5" s="390"/>
      <c r="KNN5" s="390"/>
      <c r="KNO5" s="390"/>
      <c r="KNP5" s="390"/>
      <c r="KNQ5" s="390"/>
      <c r="KNR5" s="390"/>
      <c r="KNS5" s="390"/>
      <c r="KNT5" s="390"/>
      <c r="KNU5" s="390"/>
      <c r="KNV5" s="390"/>
      <c r="KNW5" s="390"/>
      <c r="KNX5" s="390"/>
      <c r="KNY5" s="390"/>
      <c r="KNZ5" s="390"/>
      <c r="KOA5" s="390"/>
      <c r="KOB5" s="390"/>
      <c r="KOC5" s="390"/>
      <c r="KOD5" s="390"/>
      <c r="KOE5" s="390"/>
      <c r="KOF5" s="390"/>
      <c r="KOG5" s="390"/>
      <c r="KOH5" s="390"/>
      <c r="KOI5" s="390"/>
      <c r="KOJ5" s="390"/>
      <c r="KOK5" s="390"/>
      <c r="KOL5" s="390"/>
      <c r="KOM5" s="390"/>
      <c r="KON5" s="390"/>
      <c r="KOO5" s="390"/>
      <c r="KOP5" s="390"/>
      <c r="KOQ5" s="390"/>
      <c r="KOR5" s="390"/>
      <c r="KOS5" s="390"/>
      <c r="KOT5" s="390"/>
      <c r="KOU5" s="390"/>
      <c r="KOV5" s="390"/>
      <c r="KOW5" s="390"/>
      <c r="KOX5" s="390"/>
      <c r="KOY5" s="390"/>
      <c r="KOZ5" s="390"/>
      <c r="KPA5" s="390"/>
      <c r="KPB5" s="390"/>
      <c r="KPC5" s="390"/>
      <c r="KPD5" s="390"/>
      <c r="KPE5" s="390"/>
      <c r="KPF5" s="390"/>
      <c r="KPG5" s="390"/>
      <c r="KPH5" s="390"/>
      <c r="KPI5" s="390"/>
      <c r="KPJ5" s="390"/>
      <c r="KPK5" s="390"/>
      <c r="KPL5" s="390"/>
      <c r="KPM5" s="390"/>
      <c r="KPN5" s="390"/>
      <c r="KPO5" s="390"/>
      <c r="KPP5" s="390"/>
      <c r="KPQ5" s="390"/>
      <c r="KPR5" s="390"/>
      <c r="KPS5" s="390"/>
      <c r="KPT5" s="390"/>
      <c r="KPU5" s="390"/>
      <c r="KPV5" s="390"/>
      <c r="KPW5" s="390"/>
      <c r="KPX5" s="390"/>
      <c r="KPY5" s="390"/>
      <c r="KPZ5" s="390"/>
      <c r="KQA5" s="390"/>
      <c r="KQB5" s="390"/>
      <c r="KQC5" s="390"/>
      <c r="KQD5" s="390"/>
      <c r="KQE5" s="390"/>
      <c r="KQF5" s="390"/>
      <c r="KQG5" s="390"/>
      <c r="KQH5" s="390"/>
      <c r="KQI5" s="390"/>
      <c r="KQJ5" s="390"/>
      <c r="KQK5" s="390"/>
      <c r="KQL5" s="390"/>
      <c r="KQM5" s="390"/>
      <c r="KQN5" s="390"/>
      <c r="KQO5" s="390"/>
      <c r="KQP5" s="390"/>
      <c r="KQQ5" s="390"/>
      <c r="KQR5" s="390"/>
      <c r="KQS5" s="390"/>
      <c r="KQT5" s="390"/>
      <c r="KQU5" s="390"/>
      <c r="KQV5" s="390"/>
      <c r="KQW5" s="390"/>
      <c r="KQX5" s="390"/>
      <c r="KQY5" s="390"/>
      <c r="KQZ5" s="390"/>
      <c r="KRA5" s="390"/>
      <c r="KRB5" s="390"/>
      <c r="KRC5" s="390"/>
      <c r="KRD5" s="390"/>
      <c r="KRE5" s="390"/>
      <c r="KRF5" s="390"/>
      <c r="KRG5" s="390"/>
      <c r="KRH5" s="390"/>
      <c r="KRI5" s="390"/>
      <c r="KRJ5" s="390"/>
      <c r="KRK5" s="390"/>
      <c r="KRL5" s="390"/>
      <c r="KRM5" s="390"/>
      <c r="KRN5" s="390"/>
      <c r="KRO5" s="390"/>
      <c r="KRP5" s="390"/>
      <c r="KRQ5" s="390"/>
      <c r="KRR5" s="390"/>
      <c r="KRS5" s="390"/>
      <c r="KRT5" s="390"/>
      <c r="KRU5" s="390"/>
      <c r="KRV5" s="390"/>
      <c r="KRW5" s="390"/>
      <c r="KRX5" s="390"/>
      <c r="KRY5" s="390"/>
      <c r="KRZ5" s="390"/>
      <c r="KSA5" s="390"/>
      <c r="KSB5" s="390"/>
      <c r="KSC5" s="390"/>
      <c r="KSD5" s="390"/>
      <c r="KSE5" s="390"/>
      <c r="KSF5" s="390"/>
      <c r="KSG5" s="390"/>
      <c r="KSH5" s="390"/>
      <c r="KSI5" s="390"/>
      <c r="KSJ5" s="390"/>
      <c r="KSK5" s="390"/>
      <c r="KSL5" s="390"/>
      <c r="KSM5" s="390"/>
      <c r="KSN5" s="390"/>
      <c r="KSO5" s="390"/>
      <c r="KSP5" s="390"/>
      <c r="KSQ5" s="390"/>
      <c r="KSR5" s="390"/>
      <c r="KSS5" s="390"/>
      <c r="KST5" s="390"/>
      <c r="KSU5" s="390"/>
      <c r="KSV5" s="390"/>
      <c r="KSW5" s="390"/>
      <c r="KSX5" s="390"/>
      <c r="KSY5" s="390"/>
      <c r="KSZ5" s="390"/>
      <c r="KTA5" s="390"/>
      <c r="KTB5" s="390"/>
      <c r="KTC5" s="390"/>
      <c r="KTD5" s="390"/>
      <c r="KTE5" s="390"/>
      <c r="KTF5" s="390"/>
      <c r="KTG5" s="390"/>
      <c r="KTH5" s="390"/>
      <c r="KTI5" s="390"/>
      <c r="KTJ5" s="390"/>
      <c r="KTK5" s="390"/>
      <c r="KTL5" s="390"/>
      <c r="KTM5" s="390"/>
      <c r="KTN5" s="390"/>
      <c r="KTO5" s="390"/>
      <c r="KTP5" s="390"/>
      <c r="KTQ5" s="390"/>
      <c r="KTR5" s="390"/>
      <c r="KTS5" s="390"/>
      <c r="KTT5" s="390"/>
      <c r="KTU5" s="390"/>
      <c r="KTV5" s="390"/>
      <c r="KTW5" s="390"/>
      <c r="KTX5" s="390"/>
      <c r="KTY5" s="390"/>
      <c r="KTZ5" s="390"/>
      <c r="KUA5" s="390"/>
      <c r="KUB5" s="390"/>
      <c r="KUC5" s="390"/>
      <c r="KUD5" s="390"/>
      <c r="KUE5" s="390"/>
      <c r="KUF5" s="390"/>
      <c r="KUG5" s="390"/>
      <c r="KUH5" s="390"/>
      <c r="KUI5" s="390"/>
      <c r="KUJ5" s="390"/>
      <c r="KUK5" s="390"/>
      <c r="KUL5" s="390"/>
      <c r="KUM5" s="390"/>
      <c r="KUN5" s="390"/>
      <c r="KUO5" s="390"/>
      <c r="KUP5" s="390"/>
      <c r="KUQ5" s="390"/>
      <c r="KUR5" s="390"/>
      <c r="KUS5" s="390"/>
      <c r="KUT5" s="390"/>
      <c r="KUU5" s="390"/>
      <c r="KUV5" s="390"/>
      <c r="KUW5" s="390"/>
      <c r="KUX5" s="390"/>
      <c r="KUY5" s="390"/>
      <c r="KUZ5" s="390"/>
      <c r="KVA5" s="390"/>
      <c r="KVB5" s="390"/>
      <c r="KVC5" s="390"/>
      <c r="KVD5" s="390"/>
      <c r="KVE5" s="390"/>
      <c r="KVF5" s="390"/>
      <c r="KVG5" s="390"/>
      <c r="KVH5" s="390"/>
      <c r="KVI5" s="390"/>
      <c r="KVJ5" s="390"/>
      <c r="KVK5" s="390"/>
      <c r="KVL5" s="390"/>
      <c r="KVM5" s="390"/>
      <c r="KVN5" s="390"/>
      <c r="KVO5" s="390"/>
      <c r="KVP5" s="390"/>
      <c r="KVQ5" s="390"/>
      <c r="KVR5" s="390"/>
      <c r="KVS5" s="390"/>
      <c r="KVT5" s="390"/>
      <c r="KVU5" s="390"/>
      <c r="KVV5" s="390"/>
      <c r="KVW5" s="390"/>
      <c r="KVX5" s="390"/>
      <c r="KVY5" s="390"/>
      <c r="KVZ5" s="390"/>
      <c r="KWA5" s="390"/>
      <c r="KWB5" s="390"/>
      <c r="KWC5" s="390"/>
      <c r="KWD5" s="390"/>
      <c r="KWE5" s="390"/>
      <c r="KWF5" s="390"/>
      <c r="KWG5" s="390"/>
      <c r="KWH5" s="390"/>
      <c r="KWI5" s="390"/>
      <c r="KWJ5" s="390"/>
      <c r="KWK5" s="390"/>
      <c r="KWL5" s="390"/>
      <c r="KWM5" s="390"/>
      <c r="KWN5" s="390"/>
      <c r="KWO5" s="390"/>
      <c r="KWP5" s="390"/>
      <c r="KWQ5" s="390"/>
      <c r="KWR5" s="390"/>
      <c r="KWS5" s="390"/>
      <c r="KWT5" s="390"/>
      <c r="KWU5" s="390"/>
      <c r="KWV5" s="390"/>
      <c r="KWW5" s="390"/>
      <c r="KWX5" s="390"/>
      <c r="KWY5" s="390"/>
      <c r="KWZ5" s="390"/>
      <c r="KXA5" s="390"/>
      <c r="KXB5" s="390"/>
      <c r="KXC5" s="390"/>
      <c r="KXD5" s="390"/>
      <c r="KXE5" s="390"/>
      <c r="KXF5" s="390"/>
      <c r="KXG5" s="390"/>
      <c r="KXH5" s="390"/>
      <c r="KXI5" s="390"/>
      <c r="KXJ5" s="390"/>
      <c r="KXK5" s="390"/>
      <c r="KXL5" s="390"/>
      <c r="KXM5" s="390"/>
      <c r="KXN5" s="390"/>
      <c r="KXO5" s="390"/>
      <c r="KXP5" s="390"/>
      <c r="KXQ5" s="390"/>
      <c r="KXR5" s="390"/>
      <c r="KXS5" s="390"/>
      <c r="KXT5" s="390"/>
      <c r="KXU5" s="390"/>
      <c r="KXV5" s="390"/>
      <c r="KXW5" s="390"/>
      <c r="KXX5" s="390"/>
      <c r="KXY5" s="390"/>
      <c r="KXZ5" s="390"/>
      <c r="KYA5" s="390"/>
      <c r="KYB5" s="390"/>
      <c r="KYC5" s="390"/>
      <c r="KYD5" s="390"/>
      <c r="KYE5" s="390"/>
      <c r="KYF5" s="390"/>
      <c r="KYG5" s="390"/>
      <c r="KYH5" s="390"/>
      <c r="KYI5" s="390"/>
      <c r="KYJ5" s="390"/>
      <c r="KYK5" s="390"/>
      <c r="KYL5" s="390"/>
      <c r="KYM5" s="390"/>
      <c r="KYN5" s="390"/>
      <c r="KYO5" s="390"/>
      <c r="KYP5" s="390"/>
      <c r="KYQ5" s="390"/>
      <c r="KYR5" s="390"/>
      <c r="KYS5" s="390"/>
      <c r="KYT5" s="390"/>
      <c r="KYU5" s="390"/>
      <c r="KYV5" s="390"/>
      <c r="KYW5" s="390"/>
      <c r="KYX5" s="390"/>
      <c r="KYY5" s="390"/>
      <c r="KYZ5" s="390"/>
      <c r="KZA5" s="390"/>
      <c r="KZB5" s="390"/>
      <c r="KZC5" s="390"/>
      <c r="KZD5" s="390"/>
      <c r="KZE5" s="390"/>
      <c r="KZF5" s="390"/>
      <c r="KZG5" s="390"/>
      <c r="KZH5" s="390"/>
      <c r="KZI5" s="390"/>
      <c r="KZJ5" s="390"/>
      <c r="KZK5" s="390"/>
      <c r="KZL5" s="390"/>
      <c r="KZM5" s="390"/>
      <c r="KZN5" s="390"/>
      <c r="KZO5" s="390"/>
      <c r="KZP5" s="390"/>
      <c r="KZQ5" s="390"/>
      <c r="KZR5" s="390"/>
      <c r="KZS5" s="390"/>
      <c r="KZT5" s="390"/>
      <c r="KZU5" s="390"/>
      <c r="KZV5" s="390"/>
      <c r="KZW5" s="390"/>
      <c r="KZX5" s="390"/>
      <c r="KZY5" s="390"/>
      <c r="KZZ5" s="390"/>
      <c r="LAA5" s="390"/>
      <c r="LAB5" s="390"/>
      <c r="LAC5" s="390"/>
      <c r="LAD5" s="390"/>
      <c r="LAE5" s="390"/>
      <c r="LAF5" s="390"/>
      <c r="LAG5" s="390"/>
      <c r="LAH5" s="390"/>
      <c r="LAI5" s="390"/>
      <c r="LAJ5" s="390"/>
      <c r="LAK5" s="390"/>
      <c r="LAL5" s="390"/>
      <c r="LAM5" s="390"/>
      <c r="LAN5" s="390"/>
      <c r="LAO5" s="390"/>
      <c r="LAP5" s="390"/>
      <c r="LAQ5" s="390"/>
      <c r="LAR5" s="390"/>
      <c r="LAS5" s="390"/>
      <c r="LAT5" s="390"/>
      <c r="LAU5" s="390"/>
      <c r="LAV5" s="390"/>
      <c r="LAW5" s="390"/>
      <c r="LAX5" s="390"/>
      <c r="LAY5" s="390"/>
      <c r="LAZ5" s="390"/>
      <c r="LBA5" s="390"/>
      <c r="LBB5" s="390"/>
      <c r="LBC5" s="390"/>
      <c r="LBD5" s="390"/>
      <c r="LBE5" s="390"/>
      <c r="LBF5" s="390"/>
      <c r="LBG5" s="390"/>
      <c r="LBH5" s="390"/>
      <c r="LBI5" s="390"/>
      <c r="LBJ5" s="390"/>
      <c r="LBK5" s="390"/>
      <c r="LBL5" s="390"/>
      <c r="LBM5" s="390"/>
      <c r="LBN5" s="390"/>
      <c r="LBO5" s="390"/>
      <c r="LBP5" s="390"/>
      <c r="LBQ5" s="390"/>
      <c r="LBR5" s="390"/>
      <c r="LBS5" s="390"/>
      <c r="LBT5" s="390"/>
      <c r="LBU5" s="390"/>
      <c r="LBV5" s="390"/>
      <c r="LBW5" s="390"/>
      <c r="LBX5" s="390"/>
      <c r="LBY5" s="390"/>
      <c r="LBZ5" s="390"/>
      <c r="LCA5" s="390"/>
      <c r="LCB5" s="390"/>
      <c r="LCC5" s="390"/>
      <c r="LCD5" s="390"/>
      <c r="LCE5" s="390"/>
      <c r="LCF5" s="390"/>
      <c r="LCG5" s="390"/>
      <c r="LCH5" s="390"/>
      <c r="LCI5" s="390"/>
      <c r="LCJ5" s="390"/>
      <c r="LCK5" s="390"/>
      <c r="LCL5" s="390"/>
      <c r="LCM5" s="390"/>
      <c r="LCN5" s="390"/>
      <c r="LCO5" s="390"/>
      <c r="LCP5" s="390"/>
      <c r="LCQ5" s="390"/>
      <c r="LCR5" s="390"/>
      <c r="LCS5" s="390"/>
      <c r="LCT5" s="390"/>
      <c r="LCU5" s="390"/>
      <c r="LCV5" s="390"/>
      <c r="LCW5" s="390"/>
      <c r="LCX5" s="390"/>
      <c r="LCY5" s="390"/>
      <c r="LCZ5" s="390"/>
      <c r="LDA5" s="390"/>
      <c r="LDB5" s="390"/>
      <c r="LDC5" s="390"/>
      <c r="LDD5" s="390"/>
      <c r="LDE5" s="390"/>
      <c r="LDF5" s="390"/>
      <c r="LDG5" s="390"/>
      <c r="LDH5" s="390"/>
      <c r="LDI5" s="390"/>
      <c r="LDJ5" s="390"/>
      <c r="LDK5" s="390"/>
      <c r="LDL5" s="390"/>
      <c r="LDM5" s="390"/>
      <c r="LDN5" s="390"/>
      <c r="LDO5" s="390"/>
      <c r="LDP5" s="390"/>
      <c r="LDQ5" s="390"/>
      <c r="LDR5" s="390"/>
      <c r="LDS5" s="390"/>
      <c r="LDT5" s="390"/>
      <c r="LDU5" s="390"/>
      <c r="LDV5" s="390"/>
      <c r="LDW5" s="390"/>
      <c r="LDX5" s="390"/>
      <c r="LDY5" s="390"/>
      <c r="LDZ5" s="390"/>
      <c r="LEA5" s="390"/>
      <c r="LEB5" s="390"/>
      <c r="LEC5" s="390"/>
      <c r="LED5" s="390"/>
      <c r="LEE5" s="390"/>
      <c r="LEF5" s="390"/>
      <c r="LEG5" s="390"/>
      <c r="LEH5" s="390"/>
      <c r="LEI5" s="390"/>
      <c r="LEJ5" s="390"/>
      <c r="LEK5" s="390"/>
      <c r="LEL5" s="390"/>
      <c r="LEM5" s="390"/>
      <c r="LEN5" s="390"/>
      <c r="LEO5" s="390"/>
      <c r="LEP5" s="390"/>
      <c r="LEQ5" s="390"/>
      <c r="LER5" s="390"/>
      <c r="LES5" s="390"/>
      <c r="LET5" s="390"/>
      <c r="LEU5" s="390"/>
      <c r="LEV5" s="390"/>
      <c r="LEW5" s="390"/>
      <c r="LEX5" s="390"/>
      <c r="LEY5" s="390"/>
      <c r="LEZ5" s="390"/>
      <c r="LFA5" s="390"/>
      <c r="LFB5" s="390"/>
      <c r="LFC5" s="390"/>
      <c r="LFD5" s="390"/>
      <c r="LFE5" s="390"/>
      <c r="LFF5" s="390"/>
      <c r="LFG5" s="390"/>
      <c r="LFH5" s="390"/>
      <c r="LFI5" s="390"/>
      <c r="LFJ5" s="390"/>
      <c r="LFK5" s="390"/>
      <c r="LFL5" s="390"/>
      <c r="LFM5" s="390"/>
      <c r="LFN5" s="390"/>
      <c r="LFO5" s="390"/>
      <c r="LFP5" s="390"/>
      <c r="LFQ5" s="390"/>
      <c r="LFR5" s="390"/>
      <c r="LFS5" s="390"/>
      <c r="LFT5" s="390"/>
      <c r="LFU5" s="390"/>
      <c r="LFV5" s="390"/>
      <c r="LFW5" s="390"/>
      <c r="LFX5" s="390"/>
      <c r="LFY5" s="390"/>
      <c r="LFZ5" s="390"/>
      <c r="LGA5" s="390"/>
      <c r="LGB5" s="390"/>
      <c r="LGC5" s="390"/>
      <c r="LGD5" s="390"/>
      <c r="LGE5" s="390"/>
      <c r="LGF5" s="390"/>
      <c r="LGG5" s="390"/>
      <c r="LGH5" s="390"/>
      <c r="LGI5" s="390"/>
      <c r="LGJ5" s="390"/>
      <c r="LGK5" s="390"/>
      <c r="LGL5" s="390"/>
      <c r="LGM5" s="390"/>
      <c r="LGN5" s="390"/>
      <c r="LGO5" s="390"/>
      <c r="LGP5" s="390"/>
      <c r="LGQ5" s="390"/>
      <c r="LGR5" s="390"/>
      <c r="LGS5" s="390"/>
      <c r="LGT5" s="390"/>
      <c r="LGU5" s="390"/>
      <c r="LGV5" s="390"/>
      <c r="LGW5" s="390"/>
      <c r="LGX5" s="390"/>
      <c r="LGY5" s="390"/>
      <c r="LGZ5" s="390"/>
      <c r="LHA5" s="390"/>
      <c r="LHB5" s="390"/>
      <c r="LHC5" s="390"/>
      <c r="LHD5" s="390"/>
      <c r="LHE5" s="390"/>
      <c r="LHF5" s="390"/>
      <c r="LHG5" s="390"/>
      <c r="LHH5" s="390"/>
      <c r="LHI5" s="390"/>
      <c r="LHJ5" s="390"/>
      <c r="LHK5" s="390"/>
      <c r="LHL5" s="390"/>
      <c r="LHM5" s="390"/>
      <c r="LHN5" s="390"/>
      <c r="LHO5" s="390"/>
      <c r="LHP5" s="390"/>
      <c r="LHQ5" s="390"/>
      <c r="LHR5" s="390"/>
      <c r="LHS5" s="390"/>
      <c r="LHT5" s="390"/>
      <c r="LHU5" s="390"/>
      <c r="LHV5" s="390"/>
      <c r="LHW5" s="390"/>
      <c r="LHX5" s="390"/>
      <c r="LHY5" s="390"/>
      <c r="LHZ5" s="390"/>
      <c r="LIA5" s="390"/>
      <c r="LIB5" s="390"/>
      <c r="LIC5" s="390"/>
      <c r="LID5" s="390"/>
      <c r="LIE5" s="390"/>
      <c r="LIF5" s="390"/>
      <c r="LIG5" s="390"/>
      <c r="LIH5" s="390"/>
      <c r="LII5" s="390"/>
      <c r="LIJ5" s="390"/>
      <c r="LIK5" s="390"/>
      <c r="LIL5" s="390"/>
      <c r="LIM5" s="390"/>
      <c r="LIN5" s="390"/>
      <c r="LIO5" s="390"/>
      <c r="LIP5" s="390"/>
      <c r="LIQ5" s="390"/>
      <c r="LIR5" s="390"/>
      <c r="LIS5" s="390"/>
      <c r="LIT5" s="390"/>
      <c r="LIU5" s="390"/>
      <c r="LIV5" s="390"/>
      <c r="LIW5" s="390"/>
      <c r="LIX5" s="390"/>
      <c r="LIY5" s="390"/>
      <c r="LIZ5" s="390"/>
      <c r="LJA5" s="390"/>
      <c r="LJB5" s="390"/>
      <c r="LJC5" s="390"/>
      <c r="LJD5" s="390"/>
      <c r="LJE5" s="390"/>
      <c r="LJF5" s="390"/>
      <c r="LJG5" s="390"/>
      <c r="LJH5" s="390"/>
      <c r="LJI5" s="390"/>
      <c r="LJJ5" s="390"/>
      <c r="LJK5" s="390"/>
      <c r="LJL5" s="390"/>
      <c r="LJM5" s="390"/>
      <c r="LJN5" s="390"/>
      <c r="LJO5" s="390"/>
      <c r="LJP5" s="390"/>
      <c r="LJQ5" s="390"/>
      <c r="LJR5" s="390"/>
      <c r="LJS5" s="390"/>
      <c r="LJT5" s="390"/>
      <c r="LJU5" s="390"/>
      <c r="LJV5" s="390"/>
      <c r="LJW5" s="390"/>
      <c r="LJX5" s="390"/>
      <c r="LJY5" s="390"/>
      <c r="LJZ5" s="390"/>
      <c r="LKA5" s="390"/>
      <c r="LKB5" s="390"/>
      <c r="LKC5" s="390"/>
      <c r="LKD5" s="390"/>
      <c r="LKE5" s="390"/>
      <c r="LKF5" s="390"/>
      <c r="LKG5" s="390"/>
      <c r="LKH5" s="390"/>
      <c r="LKI5" s="390"/>
      <c r="LKJ5" s="390"/>
      <c r="LKK5" s="390"/>
      <c r="LKL5" s="390"/>
      <c r="LKM5" s="390"/>
      <c r="LKN5" s="390"/>
      <c r="LKO5" s="390"/>
      <c r="LKP5" s="390"/>
      <c r="LKQ5" s="390"/>
      <c r="LKR5" s="390"/>
      <c r="LKS5" s="390"/>
      <c r="LKT5" s="390"/>
      <c r="LKU5" s="390"/>
      <c r="LKV5" s="390"/>
      <c r="LKW5" s="390"/>
      <c r="LKX5" s="390"/>
      <c r="LKY5" s="390"/>
      <c r="LKZ5" s="390"/>
      <c r="LLA5" s="390"/>
      <c r="LLB5" s="390"/>
      <c r="LLC5" s="390"/>
      <c r="LLD5" s="390"/>
      <c r="LLE5" s="390"/>
      <c r="LLF5" s="390"/>
      <c r="LLG5" s="390"/>
      <c r="LLH5" s="390"/>
      <c r="LLI5" s="390"/>
      <c r="LLJ5" s="390"/>
      <c r="LLK5" s="390"/>
      <c r="LLL5" s="390"/>
      <c r="LLM5" s="390"/>
      <c r="LLN5" s="390"/>
      <c r="LLO5" s="390"/>
      <c r="LLP5" s="390"/>
      <c r="LLQ5" s="390"/>
      <c r="LLR5" s="390"/>
      <c r="LLS5" s="390"/>
      <c r="LLT5" s="390"/>
      <c r="LLU5" s="390"/>
      <c r="LLV5" s="390"/>
      <c r="LLW5" s="390"/>
      <c r="LLX5" s="390"/>
      <c r="LLY5" s="390"/>
      <c r="LLZ5" s="390"/>
      <c r="LMA5" s="390"/>
      <c r="LMB5" s="390"/>
      <c r="LMC5" s="390"/>
      <c r="LMD5" s="390"/>
      <c r="LME5" s="390"/>
      <c r="LMF5" s="390"/>
      <c r="LMG5" s="390"/>
      <c r="LMH5" s="390"/>
      <c r="LMI5" s="390"/>
      <c r="LMJ5" s="390"/>
      <c r="LMK5" s="390"/>
      <c r="LML5" s="390"/>
      <c r="LMM5" s="390"/>
      <c r="LMN5" s="390"/>
      <c r="LMO5" s="390"/>
      <c r="LMP5" s="390"/>
      <c r="LMQ5" s="390"/>
      <c r="LMR5" s="390"/>
      <c r="LMS5" s="390"/>
      <c r="LMT5" s="390"/>
      <c r="LMU5" s="390"/>
      <c r="LMV5" s="390"/>
      <c r="LMW5" s="390"/>
      <c r="LMX5" s="390"/>
      <c r="LMY5" s="390"/>
      <c r="LMZ5" s="390"/>
      <c r="LNA5" s="390"/>
      <c r="LNB5" s="390"/>
      <c r="LNC5" s="390"/>
      <c r="LND5" s="390"/>
      <c r="LNE5" s="390"/>
      <c r="LNF5" s="390"/>
      <c r="LNG5" s="390"/>
      <c r="LNH5" s="390"/>
      <c r="LNI5" s="390"/>
      <c r="LNJ5" s="390"/>
      <c r="LNK5" s="390"/>
      <c r="LNL5" s="390"/>
      <c r="LNM5" s="390"/>
      <c r="LNN5" s="390"/>
      <c r="LNO5" s="390"/>
      <c r="LNP5" s="390"/>
      <c r="LNQ5" s="390"/>
      <c r="LNR5" s="390"/>
      <c r="LNS5" s="390"/>
      <c r="LNT5" s="390"/>
      <c r="LNU5" s="390"/>
      <c r="LNV5" s="390"/>
      <c r="LNW5" s="390"/>
      <c r="LNX5" s="390"/>
      <c r="LNY5" s="390"/>
      <c r="LNZ5" s="390"/>
      <c r="LOA5" s="390"/>
      <c r="LOB5" s="390"/>
      <c r="LOC5" s="390"/>
      <c r="LOD5" s="390"/>
      <c r="LOE5" s="390"/>
      <c r="LOF5" s="390"/>
      <c r="LOG5" s="390"/>
      <c r="LOH5" s="390"/>
      <c r="LOI5" s="390"/>
      <c r="LOJ5" s="390"/>
      <c r="LOK5" s="390"/>
      <c r="LOL5" s="390"/>
      <c r="LOM5" s="390"/>
      <c r="LON5" s="390"/>
      <c r="LOO5" s="390"/>
      <c r="LOP5" s="390"/>
      <c r="LOQ5" s="390"/>
      <c r="LOR5" s="390"/>
      <c r="LOS5" s="390"/>
      <c r="LOT5" s="390"/>
      <c r="LOU5" s="390"/>
      <c r="LOV5" s="390"/>
      <c r="LOW5" s="390"/>
      <c r="LOX5" s="390"/>
      <c r="LOY5" s="390"/>
      <c r="LOZ5" s="390"/>
      <c r="LPA5" s="390"/>
      <c r="LPB5" s="390"/>
      <c r="LPC5" s="390"/>
      <c r="LPD5" s="390"/>
      <c r="LPE5" s="390"/>
      <c r="LPF5" s="390"/>
      <c r="LPG5" s="390"/>
      <c r="LPH5" s="390"/>
      <c r="LPI5" s="390"/>
      <c r="LPJ5" s="390"/>
      <c r="LPK5" s="390"/>
      <c r="LPL5" s="390"/>
      <c r="LPM5" s="390"/>
      <c r="LPN5" s="390"/>
      <c r="LPO5" s="390"/>
      <c r="LPP5" s="390"/>
      <c r="LPQ5" s="390"/>
      <c r="LPR5" s="390"/>
      <c r="LPS5" s="390"/>
      <c r="LPT5" s="390"/>
      <c r="LPU5" s="390"/>
      <c r="LPV5" s="390"/>
      <c r="LPW5" s="390"/>
      <c r="LPX5" s="390"/>
      <c r="LPY5" s="390"/>
      <c r="LPZ5" s="390"/>
      <c r="LQA5" s="390"/>
      <c r="LQB5" s="390"/>
      <c r="LQC5" s="390"/>
      <c r="LQD5" s="390"/>
      <c r="LQE5" s="390"/>
      <c r="LQF5" s="390"/>
      <c r="LQG5" s="390"/>
      <c r="LQH5" s="390"/>
      <c r="LQI5" s="390"/>
      <c r="LQJ5" s="390"/>
      <c r="LQK5" s="390"/>
      <c r="LQL5" s="390"/>
      <c r="LQM5" s="390"/>
      <c r="LQN5" s="390"/>
      <c r="LQO5" s="390"/>
      <c r="LQP5" s="390"/>
      <c r="LQQ5" s="390"/>
      <c r="LQR5" s="390"/>
      <c r="LQS5" s="390"/>
      <c r="LQT5" s="390"/>
      <c r="LQU5" s="390"/>
      <c r="LQV5" s="390"/>
      <c r="LQW5" s="390"/>
      <c r="LQX5" s="390"/>
      <c r="LQY5" s="390"/>
      <c r="LQZ5" s="390"/>
      <c r="LRA5" s="390"/>
      <c r="LRB5" s="390"/>
      <c r="LRC5" s="390"/>
      <c r="LRD5" s="390"/>
      <c r="LRE5" s="390"/>
      <c r="LRF5" s="390"/>
      <c r="LRG5" s="390"/>
      <c r="LRH5" s="390"/>
      <c r="LRI5" s="390"/>
      <c r="LRJ5" s="390"/>
      <c r="LRK5" s="390"/>
      <c r="LRL5" s="390"/>
      <c r="LRM5" s="390"/>
      <c r="LRN5" s="390"/>
      <c r="LRO5" s="390"/>
      <c r="LRP5" s="390"/>
      <c r="LRQ5" s="390"/>
      <c r="LRR5" s="390"/>
      <c r="LRS5" s="390"/>
      <c r="LRT5" s="390"/>
      <c r="LRU5" s="390"/>
      <c r="LRV5" s="390"/>
      <c r="LRW5" s="390"/>
      <c r="LRX5" s="390"/>
      <c r="LRY5" s="390"/>
      <c r="LRZ5" s="390"/>
      <c r="LSA5" s="390"/>
      <c r="LSB5" s="390"/>
      <c r="LSC5" s="390"/>
      <c r="LSD5" s="390"/>
      <c r="LSE5" s="390"/>
      <c r="LSF5" s="390"/>
      <c r="LSG5" s="390"/>
      <c r="LSH5" s="390"/>
      <c r="LSI5" s="390"/>
      <c r="LSJ5" s="390"/>
      <c r="LSK5" s="390"/>
      <c r="LSL5" s="390"/>
      <c r="LSM5" s="390"/>
      <c r="LSN5" s="390"/>
      <c r="LSO5" s="390"/>
      <c r="LSP5" s="390"/>
      <c r="LSQ5" s="390"/>
      <c r="LSR5" s="390"/>
      <c r="LSS5" s="390"/>
      <c r="LST5" s="390"/>
      <c r="LSU5" s="390"/>
      <c r="LSV5" s="390"/>
      <c r="LSW5" s="390"/>
      <c r="LSX5" s="390"/>
      <c r="LSY5" s="390"/>
      <c r="LSZ5" s="390"/>
      <c r="LTA5" s="390"/>
      <c r="LTB5" s="390"/>
      <c r="LTC5" s="390"/>
      <c r="LTD5" s="390"/>
      <c r="LTE5" s="390"/>
      <c r="LTF5" s="390"/>
      <c r="LTG5" s="390"/>
      <c r="LTH5" s="390"/>
      <c r="LTI5" s="390"/>
      <c r="LTJ5" s="390"/>
      <c r="LTK5" s="390"/>
      <c r="LTL5" s="390"/>
      <c r="LTM5" s="390"/>
      <c r="LTN5" s="390"/>
      <c r="LTO5" s="390"/>
      <c r="LTP5" s="390"/>
      <c r="LTQ5" s="390"/>
      <c r="LTR5" s="390"/>
      <c r="LTS5" s="390"/>
      <c r="LTT5" s="390"/>
      <c r="LTU5" s="390"/>
      <c r="LTV5" s="390"/>
      <c r="LTW5" s="390"/>
      <c r="LTX5" s="390"/>
      <c r="LTY5" s="390"/>
      <c r="LTZ5" s="390"/>
      <c r="LUA5" s="390"/>
      <c r="LUB5" s="390"/>
      <c r="LUC5" s="390"/>
      <c r="LUD5" s="390"/>
      <c r="LUE5" s="390"/>
      <c r="LUF5" s="390"/>
      <c r="LUG5" s="390"/>
      <c r="LUH5" s="390"/>
      <c r="LUI5" s="390"/>
      <c r="LUJ5" s="390"/>
      <c r="LUK5" s="390"/>
      <c r="LUL5" s="390"/>
      <c r="LUM5" s="390"/>
      <c r="LUN5" s="390"/>
      <c r="LUO5" s="390"/>
      <c r="LUP5" s="390"/>
      <c r="LUQ5" s="390"/>
      <c r="LUR5" s="390"/>
      <c r="LUS5" s="390"/>
      <c r="LUT5" s="390"/>
      <c r="LUU5" s="390"/>
      <c r="LUV5" s="390"/>
      <c r="LUW5" s="390"/>
      <c r="LUX5" s="390"/>
      <c r="LUY5" s="390"/>
      <c r="LUZ5" s="390"/>
      <c r="LVA5" s="390"/>
      <c r="LVB5" s="390"/>
      <c r="LVC5" s="390"/>
      <c r="LVD5" s="390"/>
      <c r="LVE5" s="390"/>
      <c r="LVF5" s="390"/>
      <c r="LVG5" s="390"/>
      <c r="LVH5" s="390"/>
      <c r="LVI5" s="390"/>
      <c r="LVJ5" s="390"/>
      <c r="LVK5" s="390"/>
      <c r="LVL5" s="390"/>
      <c r="LVM5" s="390"/>
      <c r="LVN5" s="390"/>
      <c r="LVO5" s="390"/>
      <c r="LVP5" s="390"/>
      <c r="LVQ5" s="390"/>
      <c r="LVR5" s="390"/>
      <c r="LVS5" s="390"/>
      <c r="LVT5" s="390"/>
      <c r="LVU5" s="390"/>
      <c r="LVV5" s="390"/>
      <c r="LVW5" s="390"/>
      <c r="LVX5" s="390"/>
      <c r="LVY5" s="390"/>
      <c r="LVZ5" s="390"/>
      <c r="LWA5" s="390"/>
      <c r="LWB5" s="390"/>
      <c r="LWC5" s="390"/>
      <c r="LWD5" s="390"/>
      <c r="LWE5" s="390"/>
      <c r="LWF5" s="390"/>
      <c r="LWG5" s="390"/>
      <c r="LWH5" s="390"/>
      <c r="LWI5" s="390"/>
      <c r="LWJ5" s="390"/>
      <c r="LWK5" s="390"/>
      <c r="LWL5" s="390"/>
      <c r="LWM5" s="390"/>
      <c r="LWN5" s="390"/>
      <c r="LWO5" s="390"/>
      <c r="LWP5" s="390"/>
      <c r="LWQ5" s="390"/>
      <c r="LWR5" s="390"/>
      <c r="LWS5" s="390"/>
      <c r="LWT5" s="390"/>
      <c r="LWU5" s="390"/>
      <c r="LWV5" s="390"/>
      <c r="LWW5" s="390"/>
      <c r="LWX5" s="390"/>
      <c r="LWY5" s="390"/>
      <c r="LWZ5" s="390"/>
      <c r="LXA5" s="390"/>
      <c r="LXB5" s="390"/>
      <c r="LXC5" s="390"/>
      <c r="LXD5" s="390"/>
      <c r="LXE5" s="390"/>
      <c r="LXF5" s="390"/>
      <c r="LXG5" s="390"/>
      <c r="LXH5" s="390"/>
      <c r="LXI5" s="390"/>
      <c r="LXJ5" s="390"/>
      <c r="LXK5" s="390"/>
      <c r="LXL5" s="390"/>
      <c r="LXM5" s="390"/>
      <c r="LXN5" s="390"/>
      <c r="LXO5" s="390"/>
      <c r="LXP5" s="390"/>
      <c r="LXQ5" s="390"/>
      <c r="LXR5" s="390"/>
      <c r="LXS5" s="390"/>
      <c r="LXT5" s="390"/>
      <c r="LXU5" s="390"/>
      <c r="LXV5" s="390"/>
      <c r="LXW5" s="390"/>
      <c r="LXX5" s="390"/>
      <c r="LXY5" s="390"/>
      <c r="LXZ5" s="390"/>
      <c r="LYA5" s="390"/>
      <c r="LYB5" s="390"/>
      <c r="LYC5" s="390"/>
      <c r="LYD5" s="390"/>
      <c r="LYE5" s="390"/>
      <c r="LYF5" s="390"/>
      <c r="LYG5" s="390"/>
      <c r="LYH5" s="390"/>
      <c r="LYI5" s="390"/>
      <c r="LYJ5" s="390"/>
      <c r="LYK5" s="390"/>
      <c r="LYL5" s="390"/>
      <c r="LYM5" s="390"/>
      <c r="LYN5" s="390"/>
      <c r="LYO5" s="390"/>
      <c r="LYP5" s="390"/>
      <c r="LYQ5" s="390"/>
      <c r="LYR5" s="390"/>
      <c r="LYS5" s="390"/>
      <c r="LYT5" s="390"/>
      <c r="LYU5" s="390"/>
      <c r="LYV5" s="390"/>
      <c r="LYW5" s="390"/>
      <c r="LYX5" s="390"/>
      <c r="LYY5" s="390"/>
      <c r="LYZ5" s="390"/>
      <c r="LZA5" s="390"/>
      <c r="LZB5" s="390"/>
      <c r="LZC5" s="390"/>
      <c r="LZD5" s="390"/>
      <c r="LZE5" s="390"/>
      <c r="LZF5" s="390"/>
      <c r="LZG5" s="390"/>
      <c r="LZH5" s="390"/>
      <c r="LZI5" s="390"/>
      <c r="LZJ5" s="390"/>
      <c r="LZK5" s="390"/>
      <c r="LZL5" s="390"/>
      <c r="LZM5" s="390"/>
      <c r="LZN5" s="390"/>
      <c r="LZO5" s="390"/>
      <c r="LZP5" s="390"/>
      <c r="LZQ5" s="390"/>
      <c r="LZR5" s="390"/>
      <c r="LZS5" s="390"/>
      <c r="LZT5" s="390"/>
      <c r="LZU5" s="390"/>
      <c r="LZV5" s="390"/>
      <c r="LZW5" s="390"/>
      <c r="LZX5" s="390"/>
      <c r="LZY5" s="390"/>
      <c r="LZZ5" s="390"/>
      <c r="MAA5" s="390"/>
      <c r="MAB5" s="390"/>
      <c r="MAC5" s="390"/>
      <c r="MAD5" s="390"/>
      <c r="MAE5" s="390"/>
      <c r="MAF5" s="390"/>
      <c r="MAG5" s="390"/>
      <c r="MAH5" s="390"/>
      <c r="MAI5" s="390"/>
      <c r="MAJ5" s="390"/>
      <c r="MAK5" s="390"/>
      <c r="MAL5" s="390"/>
      <c r="MAM5" s="390"/>
      <c r="MAN5" s="390"/>
      <c r="MAO5" s="390"/>
      <c r="MAP5" s="390"/>
      <c r="MAQ5" s="390"/>
      <c r="MAR5" s="390"/>
      <c r="MAS5" s="390"/>
      <c r="MAT5" s="390"/>
      <c r="MAU5" s="390"/>
      <c r="MAV5" s="390"/>
      <c r="MAW5" s="390"/>
      <c r="MAX5" s="390"/>
      <c r="MAY5" s="390"/>
      <c r="MAZ5" s="390"/>
      <c r="MBA5" s="390"/>
      <c r="MBB5" s="390"/>
      <c r="MBC5" s="390"/>
      <c r="MBD5" s="390"/>
      <c r="MBE5" s="390"/>
      <c r="MBF5" s="390"/>
      <c r="MBG5" s="390"/>
      <c r="MBH5" s="390"/>
      <c r="MBI5" s="390"/>
      <c r="MBJ5" s="390"/>
      <c r="MBK5" s="390"/>
      <c r="MBL5" s="390"/>
      <c r="MBM5" s="390"/>
      <c r="MBN5" s="390"/>
      <c r="MBO5" s="390"/>
      <c r="MBP5" s="390"/>
      <c r="MBQ5" s="390"/>
      <c r="MBR5" s="390"/>
      <c r="MBS5" s="390"/>
      <c r="MBT5" s="390"/>
      <c r="MBU5" s="390"/>
      <c r="MBV5" s="390"/>
      <c r="MBW5" s="390"/>
      <c r="MBX5" s="390"/>
      <c r="MBY5" s="390"/>
      <c r="MBZ5" s="390"/>
      <c r="MCA5" s="390"/>
      <c r="MCB5" s="390"/>
      <c r="MCC5" s="390"/>
      <c r="MCD5" s="390"/>
      <c r="MCE5" s="390"/>
      <c r="MCF5" s="390"/>
      <c r="MCG5" s="390"/>
      <c r="MCH5" s="390"/>
      <c r="MCI5" s="390"/>
      <c r="MCJ5" s="390"/>
      <c r="MCK5" s="390"/>
      <c r="MCL5" s="390"/>
      <c r="MCM5" s="390"/>
      <c r="MCN5" s="390"/>
      <c r="MCO5" s="390"/>
      <c r="MCP5" s="390"/>
      <c r="MCQ5" s="390"/>
      <c r="MCR5" s="390"/>
      <c r="MCS5" s="390"/>
      <c r="MCT5" s="390"/>
      <c r="MCU5" s="390"/>
      <c r="MCV5" s="390"/>
      <c r="MCW5" s="390"/>
      <c r="MCX5" s="390"/>
      <c r="MCY5" s="390"/>
      <c r="MCZ5" s="390"/>
      <c r="MDA5" s="390"/>
      <c r="MDB5" s="390"/>
      <c r="MDC5" s="390"/>
      <c r="MDD5" s="390"/>
      <c r="MDE5" s="390"/>
      <c r="MDF5" s="390"/>
      <c r="MDG5" s="390"/>
      <c r="MDH5" s="390"/>
      <c r="MDI5" s="390"/>
      <c r="MDJ5" s="390"/>
      <c r="MDK5" s="390"/>
      <c r="MDL5" s="390"/>
      <c r="MDM5" s="390"/>
      <c r="MDN5" s="390"/>
      <c r="MDO5" s="390"/>
      <c r="MDP5" s="390"/>
      <c r="MDQ5" s="390"/>
      <c r="MDR5" s="390"/>
      <c r="MDS5" s="390"/>
      <c r="MDT5" s="390"/>
      <c r="MDU5" s="390"/>
      <c r="MDV5" s="390"/>
      <c r="MDW5" s="390"/>
      <c r="MDX5" s="390"/>
      <c r="MDY5" s="390"/>
      <c r="MDZ5" s="390"/>
      <c r="MEA5" s="390"/>
      <c r="MEB5" s="390"/>
      <c r="MEC5" s="390"/>
      <c r="MED5" s="390"/>
      <c r="MEE5" s="390"/>
      <c r="MEF5" s="390"/>
      <c r="MEG5" s="390"/>
      <c r="MEH5" s="390"/>
      <c r="MEI5" s="390"/>
      <c r="MEJ5" s="390"/>
      <c r="MEK5" s="390"/>
      <c r="MEL5" s="390"/>
      <c r="MEM5" s="390"/>
      <c r="MEN5" s="390"/>
      <c r="MEO5" s="390"/>
      <c r="MEP5" s="390"/>
      <c r="MEQ5" s="390"/>
      <c r="MER5" s="390"/>
      <c r="MES5" s="390"/>
      <c r="MET5" s="390"/>
      <c r="MEU5" s="390"/>
      <c r="MEV5" s="390"/>
      <c r="MEW5" s="390"/>
      <c r="MEX5" s="390"/>
      <c r="MEY5" s="390"/>
      <c r="MEZ5" s="390"/>
      <c r="MFA5" s="390"/>
      <c r="MFB5" s="390"/>
      <c r="MFC5" s="390"/>
      <c r="MFD5" s="390"/>
      <c r="MFE5" s="390"/>
      <c r="MFF5" s="390"/>
      <c r="MFG5" s="390"/>
      <c r="MFH5" s="390"/>
      <c r="MFI5" s="390"/>
      <c r="MFJ5" s="390"/>
      <c r="MFK5" s="390"/>
      <c r="MFL5" s="390"/>
      <c r="MFM5" s="390"/>
      <c r="MFN5" s="390"/>
      <c r="MFO5" s="390"/>
      <c r="MFP5" s="390"/>
      <c r="MFQ5" s="390"/>
      <c r="MFR5" s="390"/>
      <c r="MFS5" s="390"/>
      <c r="MFT5" s="390"/>
      <c r="MFU5" s="390"/>
      <c r="MFV5" s="390"/>
      <c r="MFW5" s="390"/>
      <c r="MFX5" s="390"/>
      <c r="MFY5" s="390"/>
      <c r="MFZ5" s="390"/>
      <c r="MGA5" s="390"/>
      <c r="MGB5" s="390"/>
      <c r="MGC5" s="390"/>
      <c r="MGD5" s="390"/>
      <c r="MGE5" s="390"/>
      <c r="MGF5" s="390"/>
      <c r="MGG5" s="390"/>
      <c r="MGH5" s="390"/>
      <c r="MGI5" s="390"/>
      <c r="MGJ5" s="390"/>
      <c r="MGK5" s="390"/>
      <c r="MGL5" s="390"/>
      <c r="MGM5" s="390"/>
      <c r="MGN5" s="390"/>
      <c r="MGO5" s="390"/>
      <c r="MGP5" s="390"/>
      <c r="MGQ5" s="390"/>
      <c r="MGR5" s="390"/>
      <c r="MGS5" s="390"/>
      <c r="MGT5" s="390"/>
      <c r="MGU5" s="390"/>
      <c r="MGV5" s="390"/>
      <c r="MGW5" s="390"/>
      <c r="MGX5" s="390"/>
      <c r="MGY5" s="390"/>
      <c r="MGZ5" s="390"/>
      <c r="MHA5" s="390"/>
      <c r="MHB5" s="390"/>
      <c r="MHC5" s="390"/>
      <c r="MHD5" s="390"/>
      <c r="MHE5" s="390"/>
      <c r="MHF5" s="390"/>
      <c r="MHG5" s="390"/>
      <c r="MHH5" s="390"/>
      <c r="MHI5" s="390"/>
      <c r="MHJ5" s="390"/>
      <c r="MHK5" s="390"/>
      <c r="MHL5" s="390"/>
      <c r="MHM5" s="390"/>
      <c r="MHN5" s="390"/>
      <c r="MHO5" s="390"/>
      <c r="MHP5" s="390"/>
      <c r="MHQ5" s="390"/>
      <c r="MHR5" s="390"/>
      <c r="MHS5" s="390"/>
      <c r="MHT5" s="390"/>
      <c r="MHU5" s="390"/>
      <c r="MHV5" s="390"/>
      <c r="MHW5" s="390"/>
      <c r="MHX5" s="390"/>
      <c r="MHY5" s="390"/>
      <c r="MHZ5" s="390"/>
      <c r="MIA5" s="390"/>
      <c r="MIB5" s="390"/>
      <c r="MIC5" s="390"/>
      <c r="MID5" s="390"/>
      <c r="MIE5" s="390"/>
      <c r="MIF5" s="390"/>
      <c r="MIG5" s="390"/>
      <c r="MIH5" s="390"/>
      <c r="MII5" s="390"/>
      <c r="MIJ5" s="390"/>
      <c r="MIK5" s="390"/>
      <c r="MIL5" s="390"/>
      <c r="MIM5" s="390"/>
      <c r="MIN5" s="390"/>
      <c r="MIO5" s="390"/>
      <c r="MIP5" s="390"/>
      <c r="MIQ5" s="390"/>
      <c r="MIR5" s="390"/>
      <c r="MIS5" s="390"/>
      <c r="MIT5" s="390"/>
      <c r="MIU5" s="390"/>
      <c r="MIV5" s="390"/>
      <c r="MIW5" s="390"/>
      <c r="MIX5" s="390"/>
      <c r="MIY5" s="390"/>
      <c r="MIZ5" s="390"/>
      <c r="MJA5" s="390"/>
      <c r="MJB5" s="390"/>
      <c r="MJC5" s="390"/>
      <c r="MJD5" s="390"/>
      <c r="MJE5" s="390"/>
      <c r="MJF5" s="390"/>
      <c r="MJG5" s="390"/>
      <c r="MJH5" s="390"/>
      <c r="MJI5" s="390"/>
      <c r="MJJ5" s="390"/>
      <c r="MJK5" s="390"/>
      <c r="MJL5" s="390"/>
      <c r="MJM5" s="390"/>
      <c r="MJN5" s="390"/>
      <c r="MJO5" s="390"/>
      <c r="MJP5" s="390"/>
      <c r="MJQ5" s="390"/>
      <c r="MJR5" s="390"/>
      <c r="MJS5" s="390"/>
      <c r="MJT5" s="390"/>
      <c r="MJU5" s="390"/>
      <c r="MJV5" s="390"/>
      <c r="MJW5" s="390"/>
      <c r="MJX5" s="390"/>
      <c r="MJY5" s="390"/>
      <c r="MJZ5" s="390"/>
      <c r="MKA5" s="390"/>
      <c r="MKB5" s="390"/>
      <c r="MKC5" s="390"/>
      <c r="MKD5" s="390"/>
      <c r="MKE5" s="390"/>
      <c r="MKF5" s="390"/>
      <c r="MKG5" s="390"/>
      <c r="MKH5" s="390"/>
      <c r="MKI5" s="390"/>
      <c r="MKJ5" s="390"/>
      <c r="MKK5" s="390"/>
      <c r="MKL5" s="390"/>
      <c r="MKM5" s="390"/>
      <c r="MKN5" s="390"/>
      <c r="MKO5" s="390"/>
      <c r="MKP5" s="390"/>
      <c r="MKQ5" s="390"/>
      <c r="MKR5" s="390"/>
      <c r="MKS5" s="390"/>
      <c r="MKT5" s="390"/>
      <c r="MKU5" s="390"/>
      <c r="MKV5" s="390"/>
      <c r="MKW5" s="390"/>
      <c r="MKX5" s="390"/>
      <c r="MKY5" s="390"/>
      <c r="MKZ5" s="390"/>
      <c r="MLA5" s="390"/>
      <c r="MLB5" s="390"/>
      <c r="MLC5" s="390"/>
      <c r="MLD5" s="390"/>
      <c r="MLE5" s="390"/>
      <c r="MLF5" s="390"/>
      <c r="MLG5" s="390"/>
      <c r="MLH5" s="390"/>
      <c r="MLI5" s="390"/>
      <c r="MLJ5" s="390"/>
      <c r="MLK5" s="390"/>
      <c r="MLL5" s="390"/>
      <c r="MLM5" s="390"/>
      <c r="MLN5" s="390"/>
      <c r="MLO5" s="390"/>
      <c r="MLP5" s="390"/>
      <c r="MLQ5" s="390"/>
      <c r="MLR5" s="390"/>
      <c r="MLS5" s="390"/>
      <c r="MLT5" s="390"/>
      <c r="MLU5" s="390"/>
      <c r="MLV5" s="390"/>
      <c r="MLW5" s="390"/>
      <c r="MLX5" s="390"/>
      <c r="MLY5" s="390"/>
      <c r="MLZ5" s="390"/>
      <c r="MMA5" s="390"/>
      <c r="MMB5" s="390"/>
      <c r="MMC5" s="390"/>
      <c r="MMD5" s="390"/>
      <c r="MME5" s="390"/>
      <c r="MMF5" s="390"/>
      <c r="MMG5" s="390"/>
      <c r="MMH5" s="390"/>
      <c r="MMI5" s="390"/>
      <c r="MMJ5" s="390"/>
      <c r="MMK5" s="390"/>
      <c r="MML5" s="390"/>
      <c r="MMM5" s="390"/>
      <c r="MMN5" s="390"/>
      <c r="MMO5" s="390"/>
      <c r="MMP5" s="390"/>
      <c r="MMQ5" s="390"/>
      <c r="MMR5" s="390"/>
      <c r="MMS5" s="390"/>
      <c r="MMT5" s="390"/>
      <c r="MMU5" s="390"/>
      <c r="MMV5" s="390"/>
      <c r="MMW5" s="390"/>
      <c r="MMX5" s="390"/>
      <c r="MMY5" s="390"/>
      <c r="MMZ5" s="390"/>
      <c r="MNA5" s="390"/>
      <c r="MNB5" s="390"/>
      <c r="MNC5" s="390"/>
      <c r="MND5" s="390"/>
      <c r="MNE5" s="390"/>
      <c r="MNF5" s="390"/>
      <c r="MNG5" s="390"/>
      <c r="MNH5" s="390"/>
      <c r="MNI5" s="390"/>
      <c r="MNJ5" s="390"/>
      <c r="MNK5" s="390"/>
      <c r="MNL5" s="390"/>
      <c r="MNM5" s="390"/>
      <c r="MNN5" s="390"/>
      <c r="MNO5" s="390"/>
      <c r="MNP5" s="390"/>
      <c r="MNQ5" s="390"/>
      <c r="MNR5" s="390"/>
      <c r="MNS5" s="390"/>
      <c r="MNT5" s="390"/>
      <c r="MNU5" s="390"/>
      <c r="MNV5" s="390"/>
      <c r="MNW5" s="390"/>
      <c r="MNX5" s="390"/>
      <c r="MNY5" s="390"/>
      <c r="MNZ5" s="390"/>
      <c r="MOA5" s="390"/>
      <c r="MOB5" s="390"/>
      <c r="MOC5" s="390"/>
      <c r="MOD5" s="390"/>
      <c r="MOE5" s="390"/>
      <c r="MOF5" s="390"/>
      <c r="MOG5" s="390"/>
      <c r="MOH5" s="390"/>
      <c r="MOI5" s="390"/>
      <c r="MOJ5" s="390"/>
      <c r="MOK5" s="390"/>
      <c r="MOL5" s="390"/>
      <c r="MOM5" s="390"/>
      <c r="MON5" s="390"/>
      <c r="MOO5" s="390"/>
      <c r="MOP5" s="390"/>
      <c r="MOQ5" s="390"/>
      <c r="MOR5" s="390"/>
      <c r="MOS5" s="390"/>
      <c r="MOT5" s="390"/>
      <c r="MOU5" s="390"/>
      <c r="MOV5" s="390"/>
      <c r="MOW5" s="390"/>
      <c r="MOX5" s="390"/>
      <c r="MOY5" s="390"/>
      <c r="MOZ5" s="390"/>
      <c r="MPA5" s="390"/>
      <c r="MPB5" s="390"/>
      <c r="MPC5" s="390"/>
      <c r="MPD5" s="390"/>
      <c r="MPE5" s="390"/>
      <c r="MPF5" s="390"/>
      <c r="MPG5" s="390"/>
      <c r="MPH5" s="390"/>
      <c r="MPI5" s="390"/>
      <c r="MPJ5" s="390"/>
      <c r="MPK5" s="390"/>
      <c r="MPL5" s="390"/>
      <c r="MPM5" s="390"/>
      <c r="MPN5" s="390"/>
      <c r="MPO5" s="390"/>
      <c r="MPP5" s="390"/>
      <c r="MPQ5" s="390"/>
      <c r="MPR5" s="390"/>
      <c r="MPS5" s="390"/>
      <c r="MPT5" s="390"/>
      <c r="MPU5" s="390"/>
      <c r="MPV5" s="390"/>
      <c r="MPW5" s="390"/>
      <c r="MPX5" s="390"/>
      <c r="MPY5" s="390"/>
      <c r="MPZ5" s="390"/>
      <c r="MQA5" s="390"/>
      <c r="MQB5" s="390"/>
      <c r="MQC5" s="390"/>
      <c r="MQD5" s="390"/>
      <c r="MQE5" s="390"/>
      <c r="MQF5" s="390"/>
      <c r="MQG5" s="390"/>
      <c r="MQH5" s="390"/>
      <c r="MQI5" s="390"/>
      <c r="MQJ5" s="390"/>
      <c r="MQK5" s="390"/>
      <c r="MQL5" s="390"/>
      <c r="MQM5" s="390"/>
      <c r="MQN5" s="390"/>
      <c r="MQO5" s="390"/>
      <c r="MQP5" s="390"/>
      <c r="MQQ5" s="390"/>
      <c r="MQR5" s="390"/>
      <c r="MQS5" s="390"/>
      <c r="MQT5" s="390"/>
      <c r="MQU5" s="390"/>
      <c r="MQV5" s="390"/>
      <c r="MQW5" s="390"/>
      <c r="MQX5" s="390"/>
      <c r="MQY5" s="390"/>
      <c r="MQZ5" s="390"/>
      <c r="MRA5" s="390"/>
      <c r="MRB5" s="390"/>
      <c r="MRC5" s="390"/>
      <c r="MRD5" s="390"/>
      <c r="MRE5" s="390"/>
      <c r="MRF5" s="390"/>
      <c r="MRG5" s="390"/>
      <c r="MRH5" s="390"/>
      <c r="MRI5" s="390"/>
      <c r="MRJ5" s="390"/>
      <c r="MRK5" s="390"/>
      <c r="MRL5" s="390"/>
      <c r="MRM5" s="390"/>
      <c r="MRN5" s="390"/>
      <c r="MRO5" s="390"/>
      <c r="MRP5" s="390"/>
      <c r="MRQ5" s="390"/>
      <c r="MRR5" s="390"/>
      <c r="MRS5" s="390"/>
      <c r="MRT5" s="390"/>
      <c r="MRU5" s="390"/>
      <c r="MRV5" s="390"/>
      <c r="MRW5" s="390"/>
      <c r="MRX5" s="390"/>
      <c r="MRY5" s="390"/>
      <c r="MRZ5" s="390"/>
      <c r="MSA5" s="390"/>
      <c r="MSB5" s="390"/>
      <c r="MSC5" s="390"/>
      <c r="MSD5" s="390"/>
      <c r="MSE5" s="390"/>
      <c r="MSF5" s="390"/>
      <c r="MSG5" s="390"/>
      <c r="MSH5" s="390"/>
      <c r="MSI5" s="390"/>
      <c r="MSJ5" s="390"/>
      <c r="MSK5" s="390"/>
      <c r="MSL5" s="390"/>
      <c r="MSM5" s="390"/>
      <c r="MSN5" s="390"/>
      <c r="MSO5" s="390"/>
      <c r="MSP5" s="390"/>
      <c r="MSQ5" s="390"/>
      <c r="MSR5" s="390"/>
      <c r="MSS5" s="390"/>
      <c r="MST5" s="390"/>
      <c r="MSU5" s="390"/>
      <c r="MSV5" s="390"/>
      <c r="MSW5" s="390"/>
      <c r="MSX5" s="390"/>
      <c r="MSY5" s="390"/>
      <c r="MSZ5" s="390"/>
      <c r="MTA5" s="390"/>
      <c r="MTB5" s="390"/>
      <c r="MTC5" s="390"/>
      <c r="MTD5" s="390"/>
      <c r="MTE5" s="390"/>
      <c r="MTF5" s="390"/>
      <c r="MTG5" s="390"/>
      <c r="MTH5" s="390"/>
      <c r="MTI5" s="390"/>
      <c r="MTJ5" s="390"/>
      <c r="MTK5" s="390"/>
      <c r="MTL5" s="390"/>
      <c r="MTM5" s="390"/>
      <c r="MTN5" s="390"/>
      <c r="MTO5" s="390"/>
      <c r="MTP5" s="390"/>
      <c r="MTQ5" s="390"/>
      <c r="MTR5" s="390"/>
      <c r="MTS5" s="390"/>
      <c r="MTT5" s="390"/>
      <c r="MTU5" s="390"/>
      <c r="MTV5" s="390"/>
      <c r="MTW5" s="390"/>
      <c r="MTX5" s="390"/>
      <c r="MTY5" s="390"/>
      <c r="MTZ5" s="390"/>
      <c r="MUA5" s="390"/>
      <c r="MUB5" s="390"/>
      <c r="MUC5" s="390"/>
      <c r="MUD5" s="390"/>
      <c r="MUE5" s="390"/>
      <c r="MUF5" s="390"/>
      <c r="MUG5" s="390"/>
      <c r="MUH5" s="390"/>
      <c r="MUI5" s="390"/>
      <c r="MUJ5" s="390"/>
      <c r="MUK5" s="390"/>
      <c r="MUL5" s="390"/>
      <c r="MUM5" s="390"/>
      <c r="MUN5" s="390"/>
      <c r="MUO5" s="390"/>
      <c r="MUP5" s="390"/>
      <c r="MUQ5" s="390"/>
      <c r="MUR5" s="390"/>
      <c r="MUS5" s="390"/>
      <c r="MUT5" s="390"/>
      <c r="MUU5" s="390"/>
      <c r="MUV5" s="390"/>
      <c r="MUW5" s="390"/>
      <c r="MUX5" s="390"/>
      <c r="MUY5" s="390"/>
      <c r="MUZ5" s="390"/>
      <c r="MVA5" s="390"/>
      <c r="MVB5" s="390"/>
      <c r="MVC5" s="390"/>
      <c r="MVD5" s="390"/>
      <c r="MVE5" s="390"/>
      <c r="MVF5" s="390"/>
      <c r="MVG5" s="390"/>
      <c r="MVH5" s="390"/>
      <c r="MVI5" s="390"/>
      <c r="MVJ5" s="390"/>
      <c r="MVK5" s="390"/>
      <c r="MVL5" s="390"/>
      <c r="MVM5" s="390"/>
      <c r="MVN5" s="390"/>
      <c r="MVO5" s="390"/>
      <c r="MVP5" s="390"/>
      <c r="MVQ5" s="390"/>
      <c r="MVR5" s="390"/>
      <c r="MVS5" s="390"/>
      <c r="MVT5" s="390"/>
      <c r="MVU5" s="390"/>
      <c r="MVV5" s="390"/>
      <c r="MVW5" s="390"/>
      <c r="MVX5" s="390"/>
      <c r="MVY5" s="390"/>
      <c r="MVZ5" s="390"/>
      <c r="MWA5" s="390"/>
      <c r="MWB5" s="390"/>
      <c r="MWC5" s="390"/>
      <c r="MWD5" s="390"/>
      <c r="MWE5" s="390"/>
      <c r="MWF5" s="390"/>
      <c r="MWG5" s="390"/>
      <c r="MWH5" s="390"/>
      <c r="MWI5" s="390"/>
      <c r="MWJ5" s="390"/>
      <c r="MWK5" s="390"/>
      <c r="MWL5" s="390"/>
      <c r="MWM5" s="390"/>
      <c r="MWN5" s="390"/>
      <c r="MWO5" s="390"/>
      <c r="MWP5" s="390"/>
      <c r="MWQ5" s="390"/>
      <c r="MWR5" s="390"/>
      <c r="MWS5" s="390"/>
      <c r="MWT5" s="390"/>
      <c r="MWU5" s="390"/>
      <c r="MWV5" s="390"/>
      <c r="MWW5" s="390"/>
      <c r="MWX5" s="390"/>
      <c r="MWY5" s="390"/>
      <c r="MWZ5" s="390"/>
      <c r="MXA5" s="390"/>
      <c r="MXB5" s="390"/>
      <c r="MXC5" s="390"/>
      <c r="MXD5" s="390"/>
      <c r="MXE5" s="390"/>
      <c r="MXF5" s="390"/>
      <c r="MXG5" s="390"/>
      <c r="MXH5" s="390"/>
      <c r="MXI5" s="390"/>
      <c r="MXJ5" s="390"/>
      <c r="MXK5" s="390"/>
      <c r="MXL5" s="390"/>
      <c r="MXM5" s="390"/>
      <c r="MXN5" s="390"/>
      <c r="MXO5" s="390"/>
      <c r="MXP5" s="390"/>
      <c r="MXQ5" s="390"/>
      <c r="MXR5" s="390"/>
      <c r="MXS5" s="390"/>
      <c r="MXT5" s="390"/>
      <c r="MXU5" s="390"/>
      <c r="MXV5" s="390"/>
      <c r="MXW5" s="390"/>
      <c r="MXX5" s="390"/>
      <c r="MXY5" s="390"/>
      <c r="MXZ5" s="390"/>
      <c r="MYA5" s="390"/>
      <c r="MYB5" s="390"/>
      <c r="MYC5" s="390"/>
      <c r="MYD5" s="390"/>
      <c r="MYE5" s="390"/>
      <c r="MYF5" s="390"/>
      <c r="MYG5" s="390"/>
      <c r="MYH5" s="390"/>
      <c r="MYI5" s="390"/>
      <c r="MYJ5" s="390"/>
      <c r="MYK5" s="390"/>
      <c r="MYL5" s="390"/>
      <c r="MYM5" s="390"/>
      <c r="MYN5" s="390"/>
      <c r="MYO5" s="390"/>
      <c r="MYP5" s="390"/>
      <c r="MYQ5" s="390"/>
      <c r="MYR5" s="390"/>
      <c r="MYS5" s="390"/>
      <c r="MYT5" s="390"/>
      <c r="MYU5" s="390"/>
      <c r="MYV5" s="390"/>
      <c r="MYW5" s="390"/>
      <c r="MYX5" s="390"/>
      <c r="MYY5" s="390"/>
      <c r="MYZ5" s="390"/>
      <c r="MZA5" s="390"/>
      <c r="MZB5" s="390"/>
      <c r="MZC5" s="390"/>
      <c r="MZD5" s="390"/>
      <c r="MZE5" s="390"/>
      <c r="MZF5" s="390"/>
      <c r="MZG5" s="390"/>
      <c r="MZH5" s="390"/>
      <c r="MZI5" s="390"/>
      <c r="MZJ5" s="390"/>
      <c r="MZK5" s="390"/>
      <c r="MZL5" s="390"/>
      <c r="MZM5" s="390"/>
      <c r="MZN5" s="390"/>
      <c r="MZO5" s="390"/>
      <c r="MZP5" s="390"/>
      <c r="MZQ5" s="390"/>
      <c r="MZR5" s="390"/>
      <c r="MZS5" s="390"/>
      <c r="MZT5" s="390"/>
      <c r="MZU5" s="390"/>
      <c r="MZV5" s="390"/>
      <c r="MZW5" s="390"/>
      <c r="MZX5" s="390"/>
      <c r="MZY5" s="390"/>
      <c r="MZZ5" s="390"/>
      <c r="NAA5" s="390"/>
      <c r="NAB5" s="390"/>
      <c r="NAC5" s="390"/>
      <c r="NAD5" s="390"/>
      <c r="NAE5" s="390"/>
      <c r="NAF5" s="390"/>
      <c r="NAG5" s="390"/>
      <c r="NAH5" s="390"/>
      <c r="NAI5" s="390"/>
      <c r="NAJ5" s="390"/>
      <c r="NAK5" s="390"/>
      <c r="NAL5" s="390"/>
      <c r="NAM5" s="390"/>
      <c r="NAN5" s="390"/>
      <c r="NAO5" s="390"/>
      <c r="NAP5" s="390"/>
      <c r="NAQ5" s="390"/>
      <c r="NAR5" s="390"/>
      <c r="NAS5" s="390"/>
      <c r="NAT5" s="390"/>
      <c r="NAU5" s="390"/>
      <c r="NAV5" s="390"/>
      <c r="NAW5" s="390"/>
      <c r="NAX5" s="390"/>
      <c r="NAY5" s="390"/>
      <c r="NAZ5" s="390"/>
      <c r="NBA5" s="390"/>
      <c r="NBB5" s="390"/>
      <c r="NBC5" s="390"/>
      <c r="NBD5" s="390"/>
      <c r="NBE5" s="390"/>
      <c r="NBF5" s="390"/>
      <c r="NBG5" s="390"/>
      <c r="NBH5" s="390"/>
      <c r="NBI5" s="390"/>
      <c r="NBJ5" s="390"/>
      <c r="NBK5" s="390"/>
      <c r="NBL5" s="390"/>
      <c r="NBM5" s="390"/>
      <c r="NBN5" s="390"/>
      <c r="NBO5" s="390"/>
      <c r="NBP5" s="390"/>
      <c r="NBQ5" s="390"/>
      <c r="NBR5" s="390"/>
      <c r="NBS5" s="390"/>
      <c r="NBT5" s="390"/>
      <c r="NBU5" s="390"/>
      <c r="NBV5" s="390"/>
      <c r="NBW5" s="390"/>
      <c r="NBX5" s="390"/>
      <c r="NBY5" s="390"/>
      <c r="NBZ5" s="390"/>
      <c r="NCA5" s="390"/>
      <c r="NCB5" s="390"/>
      <c r="NCC5" s="390"/>
      <c r="NCD5" s="390"/>
      <c r="NCE5" s="390"/>
      <c r="NCF5" s="390"/>
      <c r="NCG5" s="390"/>
      <c r="NCH5" s="390"/>
      <c r="NCI5" s="390"/>
      <c r="NCJ5" s="390"/>
      <c r="NCK5" s="390"/>
      <c r="NCL5" s="390"/>
      <c r="NCM5" s="390"/>
      <c r="NCN5" s="390"/>
      <c r="NCO5" s="390"/>
      <c r="NCP5" s="390"/>
      <c r="NCQ5" s="390"/>
      <c r="NCR5" s="390"/>
      <c r="NCS5" s="390"/>
      <c r="NCT5" s="390"/>
      <c r="NCU5" s="390"/>
      <c r="NCV5" s="390"/>
      <c r="NCW5" s="390"/>
      <c r="NCX5" s="390"/>
      <c r="NCY5" s="390"/>
      <c r="NCZ5" s="390"/>
      <c r="NDA5" s="390"/>
      <c r="NDB5" s="390"/>
      <c r="NDC5" s="390"/>
      <c r="NDD5" s="390"/>
      <c r="NDE5" s="390"/>
      <c r="NDF5" s="390"/>
      <c r="NDG5" s="390"/>
      <c r="NDH5" s="390"/>
      <c r="NDI5" s="390"/>
      <c r="NDJ5" s="390"/>
      <c r="NDK5" s="390"/>
      <c r="NDL5" s="390"/>
      <c r="NDM5" s="390"/>
      <c r="NDN5" s="390"/>
      <c r="NDO5" s="390"/>
      <c r="NDP5" s="390"/>
      <c r="NDQ5" s="390"/>
      <c r="NDR5" s="390"/>
      <c r="NDS5" s="390"/>
      <c r="NDT5" s="390"/>
      <c r="NDU5" s="390"/>
      <c r="NDV5" s="390"/>
      <c r="NDW5" s="390"/>
      <c r="NDX5" s="390"/>
      <c r="NDY5" s="390"/>
      <c r="NDZ5" s="390"/>
      <c r="NEA5" s="390"/>
      <c r="NEB5" s="390"/>
      <c r="NEC5" s="390"/>
      <c r="NED5" s="390"/>
      <c r="NEE5" s="390"/>
      <c r="NEF5" s="390"/>
      <c r="NEG5" s="390"/>
      <c r="NEH5" s="390"/>
      <c r="NEI5" s="390"/>
      <c r="NEJ5" s="390"/>
      <c r="NEK5" s="390"/>
      <c r="NEL5" s="390"/>
      <c r="NEM5" s="390"/>
      <c r="NEN5" s="390"/>
      <c r="NEO5" s="390"/>
      <c r="NEP5" s="390"/>
      <c r="NEQ5" s="390"/>
      <c r="NER5" s="390"/>
      <c r="NES5" s="390"/>
      <c r="NET5" s="390"/>
      <c r="NEU5" s="390"/>
      <c r="NEV5" s="390"/>
      <c r="NEW5" s="390"/>
      <c r="NEX5" s="390"/>
      <c r="NEY5" s="390"/>
      <c r="NEZ5" s="390"/>
      <c r="NFA5" s="390"/>
      <c r="NFB5" s="390"/>
      <c r="NFC5" s="390"/>
      <c r="NFD5" s="390"/>
      <c r="NFE5" s="390"/>
      <c r="NFF5" s="390"/>
      <c r="NFG5" s="390"/>
      <c r="NFH5" s="390"/>
      <c r="NFI5" s="390"/>
      <c r="NFJ5" s="390"/>
      <c r="NFK5" s="390"/>
      <c r="NFL5" s="390"/>
      <c r="NFM5" s="390"/>
      <c r="NFN5" s="390"/>
      <c r="NFO5" s="390"/>
      <c r="NFP5" s="390"/>
      <c r="NFQ5" s="390"/>
      <c r="NFR5" s="390"/>
      <c r="NFS5" s="390"/>
      <c r="NFT5" s="390"/>
      <c r="NFU5" s="390"/>
      <c r="NFV5" s="390"/>
      <c r="NFW5" s="390"/>
      <c r="NFX5" s="390"/>
      <c r="NFY5" s="390"/>
      <c r="NFZ5" s="390"/>
      <c r="NGA5" s="390"/>
      <c r="NGB5" s="390"/>
      <c r="NGC5" s="390"/>
      <c r="NGD5" s="390"/>
      <c r="NGE5" s="390"/>
      <c r="NGF5" s="390"/>
      <c r="NGG5" s="390"/>
      <c r="NGH5" s="390"/>
      <c r="NGI5" s="390"/>
      <c r="NGJ5" s="390"/>
      <c r="NGK5" s="390"/>
      <c r="NGL5" s="390"/>
      <c r="NGM5" s="390"/>
      <c r="NGN5" s="390"/>
      <c r="NGO5" s="390"/>
      <c r="NGP5" s="390"/>
      <c r="NGQ5" s="390"/>
      <c r="NGR5" s="390"/>
      <c r="NGS5" s="390"/>
      <c r="NGT5" s="390"/>
      <c r="NGU5" s="390"/>
      <c r="NGV5" s="390"/>
      <c r="NGW5" s="390"/>
      <c r="NGX5" s="390"/>
      <c r="NGY5" s="390"/>
      <c r="NGZ5" s="390"/>
      <c r="NHA5" s="390"/>
      <c r="NHB5" s="390"/>
      <c r="NHC5" s="390"/>
      <c r="NHD5" s="390"/>
      <c r="NHE5" s="390"/>
      <c r="NHF5" s="390"/>
      <c r="NHG5" s="390"/>
      <c r="NHH5" s="390"/>
      <c r="NHI5" s="390"/>
      <c r="NHJ5" s="390"/>
      <c r="NHK5" s="390"/>
      <c r="NHL5" s="390"/>
      <c r="NHM5" s="390"/>
      <c r="NHN5" s="390"/>
      <c r="NHO5" s="390"/>
      <c r="NHP5" s="390"/>
      <c r="NHQ5" s="390"/>
      <c r="NHR5" s="390"/>
      <c r="NHS5" s="390"/>
      <c r="NHT5" s="390"/>
      <c r="NHU5" s="390"/>
      <c r="NHV5" s="390"/>
      <c r="NHW5" s="390"/>
      <c r="NHX5" s="390"/>
      <c r="NHY5" s="390"/>
      <c r="NHZ5" s="390"/>
      <c r="NIA5" s="390"/>
      <c r="NIB5" s="390"/>
      <c r="NIC5" s="390"/>
      <c r="NID5" s="390"/>
      <c r="NIE5" s="390"/>
      <c r="NIF5" s="390"/>
      <c r="NIG5" s="390"/>
      <c r="NIH5" s="390"/>
      <c r="NII5" s="390"/>
      <c r="NIJ5" s="390"/>
      <c r="NIK5" s="390"/>
      <c r="NIL5" s="390"/>
      <c r="NIM5" s="390"/>
      <c r="NIN5" s="390"/>
      <c r="NIO5" s="390"/>
      <c r="NIP5" s="390"/>
      <c r="NIQ5" s="390"/>
      <c r="NIR5" s="390"/>
      <c r="NIS5" s="390"/>
      <c r="NIT5" s="390"/>
      <c r="NIU5" s="390"/>
      <c r="NIV5" s="390"/>
      <c r="NIW5" s="390"/>
      <c r="NIX5" s="390"/>
      <c r="NIY5" s="390"/>
      <c r="NIZ5" s="390"/>
      <c r="NJA5" s="390"/>
      <c r="NJB5" s="390"/>
      <c r="NJC5" s="390"/>
      <c r="NJD5" s="390"/>
      <c r="NJE5" s="390"/>
      <c r="NJF5" s="390"/>
      <c r="NJG5" s="390"/>
      <c r="NJH5" s="390"/>
      <c r="NJI5" s="390"/>
      <c r="NJJ5" s="390"/>
      <c r="NJK5" s="390"/>
      <c r="NJL5" s="390"/>
      <c r="NJM5" s="390"/>
      <c r="NJN5" s="390"/>
      <c r="NJO5" s="390"/>
      <c r="NJP5" s="390"/>
      <c r="NJQ5" s="390"/>
      <c r="NJR5" s="390"/>
      <c r="NJS5" s="390"/>
      <c r="NJT5" s="390"/>
      <c r="NJU5" s="390"/>
      <c r="NJV5" s="390"/>
      <c r="NJW5" s="390"/>
      <c r="NJX5" s="390"/>
      <c r="NJY5" s="390"/>
      <c r="NJZ5" s="390"/>
      <c r="NKA5" s="390"/>
      <c r="NKB5" s="390"/>
      <c r="NKC5" s="390"/>
      <c r="NKD5" s="390"/>
      <c r="NKE5" s="390"/>
      <c r="NKF5" s="390"/>
      <c r="NKG5" s="390"/>
      <c r="NKH5" s="390"/>
      <c r="NKI5" s="390"/>
      <c r="NKJ5" s="390"/>
      <c r="NKK5" s="390"/>
      <c r="NKL5" s="390"/>
      <c r="NKM5" s="390"/>
      <c r="NKN5" s="390"/>
      <c r="NKO5" s="390"/>
      <c r="NKP5" s="390"/>
      <c r="NKQ5" s="390"/>
      <c r="NKR5" s="390"/>
      <c r="NKS5" s="390"/>
      <c r="NKT5" s="390"/>
      <c r="NKU5" s="390"/>
      <c r="NKV5" s="390"/>
      <c r="NKW5" s="390"/>
      <c r="NKX5" s="390"/>
      <c r="NKY5" s="390"/>
      <c r="NKZ5" s="390"/>
      <c r="NLA5" s="390"/>
      <c r="NLB5" s="390"/>
      <c r="NLC5" s="390"/>
      <c r="NLD5" s="390"/>
      <c r="NLE5" s="390"/>
      <c r="NLF5" s="390"/>
      <c r="NLG5" s="390"/>
      <c r="NLH5" s="390"/>
      <c r="NLI5" s="390"/>
      <c r="NLJ5" s="390"/>
      <c r="NLK5" s="390"/>
      <c r="NLL5" s="390"/>
      <c r="NLM5" s="390"/>
      <c r="NLN5" s="390"/>
      <c r="NLO5" s="390"/>
      <c r="NLP5" s="390"/>
      <c r="NLQ5" s="390"/>
      <c r="NLR5" s="390"/>
      <c r="NLS5" s="390"/>
      <c r="NLT5" s="390"/>
      <c r="NLU5" s="390"/>
      <c r="NLV5" s="390"/>
      <c r="NLW5" s="390"/>
      <c r="NLX5" s="390"/>
      <c r="NLY5" s="390"/>
      <c r="NLZ5" s="390"/>
      <c r="NMA5" s="390"/>
      <c r="NMB5" s="390"/>
      <c r="NMC5" s="390"/>
      <c r="NMD5" s="390"/>
      <c r="NME5" s="390"/>
      <c r="NMF5" s="390"/>
      <c r="NMG5" s="390"/>
      <c r="NMH5" s="390"/>
      <c r="NMI5" s="390"/>
      <c r="NMJ5" s="390"/>
      <c r="NMK5" s="390"/>
      <c r="NML5" s="390"/>
      <c r="NMM5" s="390"/>
      <c r="NMN5" s="390"/>
      <c r="NMO5" s="390"/>
      <c r="NMP5" s="390"/>
      <c r="NMQ5" s="390"/>
      <c r="NMR5" s="390"/>
      <c r="NMS5" s="390"/>
      <c r="NMT5" s="390"/>
      <c r="NMU5" s="390"/>
      <c r="NMV5" s="390"/>
      <c r="NMW5" s="390"/>
      <c r="NMX5" s="390"/>
      <c r="NMY5" s="390"/>
      <c r="NMZ5" s="390"/>
      <c r="NNA5" s="390"/>
      <c r="NNB5" s="390"/>
      <c r="NNC5" s="390"/>
      <c r="NND5" s="390"/>
      <c r="NNE5" s="390"/>
      <c r="NNF5" s="390"/>
      <c r="NNG5" s="390"/>
      <c r="NNH5" s="390"/>
      <c r="NNI5" s="390"/>
      <c r="NNJ5" s="390"/>
      <c r="NNK5" s="390"/>
      <c r="NNL5" s="390"/>
      <c r="NNM5" s="390"/>
      <c r="NNN5" s="390"/>
      <c r="NNO5" s="390"/>
      <c r="NNP5" s="390"/>
      <c r="NNQ5" s="390"/>
      <c r="NNR5" s="390"/>
      <c r="NNS5" s="390"/>
      <c r="NNT5" s="390"/>
      <c r="NNU5" s="390"/>
      <c r="NNV5" s="390"/>
      <c r="NNW5" s="390"/>
      <c r="NNX5" s="390"/>
      <c r="NNY5" s="390"/>
      <c r="NNZ5" s="390"/>
      <c r="NOA5" s="390"/>
      <c r="NOB5" s="390"/>
      <c r="NOC5" s="390"/>
      <c r="NOD5" s="390"/>
      <c r="NOE5" s="390"/>
      <c r="NOF5" s="390"/>
      <c r="NOG5" s="390"/>
      <c r="NOH5" s="390"/>
      <c r="NOI5" s="390"/>
      <c r="NOJ5" s="390"/>
      <c r="NOK5" s="390"/>
      <c r="NOL5" s="390"/>
      <c r="NOM5" s="390"/>
      <c r="NON5" s="390"/>
      <c r="NOO5" s="390"/>
      <c r="NOP5" s="390"/>
      <c r="NOQ5" s="390"/>
      <c r="NOR5" s="390"/>
      <c r="NOS5" s="390"/>
      <c r="NOT5" s="390"/>
      <c r="NOU5" s="390"/>
      <c r="NOV5" s="390"/>
      <c r="NOW5" s="390"/>
      <c r="NOX5" s="390"/>
      <c r="NOY5" s="390"/>
      <c r="NOZ5" s="390"/>
      <c r="NPA5" s="390"/>
      <c r="NPB5" s="390"/>
      <c r="NPC5" s="390"/>
      <c r="NPD5" s="390"/>
      <c r="NPE5" s="390"/>
      <c r="NPF5" s="390"/>
      <c r="NPG5" s="390"/>
      <c r="NPH5" s="390"/>
      <c r="NPI5" s="390"/>
      <c r="NPJ5" s="390"/>
      <c r="NPK5" s="390"/>
      <c r="NPL5" s="390"/>
      <c r="NPM5" s="390"/>
      <c r="NPN5" s="390"/>
      <c r="NPO5" s="390"/>
      <c r="NPP5" s="390"/>
      <c r="NPQ5" s="390"/>
      <c r="NPR5" s="390"/>
      <c r="NPS5" s="390"/>
      <c r="NPT5" s="390"/>
      <c r="NPU5" s="390"/>
      <c r="NPV5" s="390"/>
      <c r="NPW5" s="390"/>
      <c r="NPX5" s="390"/>
      <c r="NPY5" s="390"/>
      <c r="NPZ5" s="390"/>
      <c r="NQA5" s="390"/>
      <c r="NQB5" s="390"/>
      <c r="NQC5" s="390"/>
      <c r="NQD5" s="390"/>
      <c r="NQE5" s="390"/>
      <c r="NQF5" s="390"/>
      <c r="NQG5" s="390"/>
      <c r="NQH5" s="390"/>
      <c r="NQI5" s="390"/>
      <c r="NQJ5" s="390"/>
      <c r="NQK5" s="390"/>
      <c r="NQL5" s="390"/>
      <c r="NQM5" s="390"/>
      <c r="NQN5" s="390"/>
      <c r="NQO5" s="390"/>
      <c r="NQP5" s="390"/>
      <c r="NQQ5" s="390"/>
      <c r="NQR5" s="390"/>
      <c r="NQS5" s="390"/>
      <c r="NQT5" s="390"/>
      <c r="NQU5" s="390"/>
      <c r="NQV5" s="390"/>
      <c r="NQW5" s="390"/>
      <c r="NQX5" s="390"/>
      <c r="NQY5" s="390"/>
      <c r="NQZ5" s="390"/>
      <c r="NRA5" s="390"/>
      <c r="NRB5" s="390"/>
      <c r="NRC5" s="390"/>
      <c r="NRD5" s="390"/>
      <c r="NRE5" s="390"/>
      <c r="NRF5" s="390"/>
      <c r="NRG5" s="390"/>
      <c r="NRH5" s="390"/>
      <c r="NRI5" s="390"/>
      <c r="NRJ5" s="390"/>
      <c r="NRK5" s="390"/>
      <c r="NRL5" s="390"/>
      <c r="NRM5" s="390"/>
      <c r="NRN5" s="390"/>
      <c r="NRO5" s="390"/>
      <c r="NRP5" s="390"/>
      <c r="NRQ5" s="390"/>
      <c r="NRR5" s="390"/>
      <c r="NRS5" s="390"/>
      <c r="NRT5" s="390"/>
      <c r="NRU5" s="390"/>
      <c r="NRV5" s="390"/>
      <c r="NRW5" s="390"/>
      <c r="NRX5" s="390"/>
      <c r="NRY5" s="390"/>
      <c r="NRZ5" s="390"/>
      <c r="NSA5" s="390"/>
      <c r="NSB5" s="390"/>
      <c r="NSC5" s="390"/>
      <c r="NSD5" s="390"/>
      <c r="NSE5" s="390"/>
      <c r="NSF5" s="390"/>
      <c r="NSG5" s="390"/>
      <c r="NSH5" s="390"/>
      <c r="NSI5" s="390"/>
      <c r="NSJ5" s="390"/>
      <c r="NSK5" s="390"/>
      <c r="NSL5" s="390"/>
      <c r="NSM5" s="390"/>
      <c r="NSN5" s="390"/>
      <c r="NSO5" s="390"/>
      <c r="NSP5" s="390"/>
      <c r="NSQ5" s="390"/>
      <c r="NSR5" s="390"/>
      <c r="NSS5" s="390"/>
      <c r="NST5" s="390"/>
      <c r="NSU5" s="390"/>
      <c r="NSV5" s="390"/>
      <c r="NSW5" s="390"/>
      <c r="NSX5" s="390"/>
      <c r="NSY5" s="390"/>
      <c r="NSZ5" s="390"/>
      <c r="NTA5" s="390"/>
      <c r="NTB5" s="390"/>
      <c r="NTC5" s="390"/>
      <c r="NTD5" s="390"/>
      <c r="NTE5" s="390"/>
      <c r="NTF5" s="390"/>
      <c r="NTG5" s="390"/>
      <c r="NTH5" s="390"/>
      <c r="NTI5" s="390"/>
      <c r="NTJ5" s="390"/>
      <c r="NTK5" s="390"/>
      <c r="NTL5" s="390"/>
      <c r="NTM5" s="390"/>
      <c r="NTN5" s="390"/>
      <c r="NTO5" s="390"/>
      <c r="NTP5" s="390"/>
      <c r="NTQ5" s="390"/>
      <c r="NTR5" s="390"/>
      <c r="NTS5" s="390"/>
      <c r="NTT5" s="390"/>
      <c r="NTU5" s="390"/>
      <c r="NTV5" s="390"/>
      <c r="NTW5" s="390"/>
      <c r="NTX5" s="390"/>
      <c r="NTY5" s="390"/>
      <c r="NTZ5" s="390"/>
      <c r="NUA5" s="390"/>
      <c r="NUB5" s="390"/>
      <c r="NUC5" s="390"/>
      <c r="NUD5" s="390"/>
      <c r="NUE5" s="390"/>
      <c r="NUF5" s="390"/>
      <c r="NUG5" s="390"/>
      <c r="NUH5" s="390"/>
      <c r="NUI5" s="390"/>
      <c r="NUJ5" s="390"/>
      <c r="NUK5" s="390"/>
      <c r="NUL5" s="390"/>
      <c r="NUM5" s="390"/>
      <c r="NUN5" s="390"/>
      <c r="NUO5" s="390"/>
      <c r="NUP5" s="390"/>
      <c r="NUQ5" s="390"/>
      <c r="NUR5" s="390"/>
      <c r="NUS5" s="390"/>
      <c r="NUT5" s="390"/>
      <c r="NUU5" s="390"/>
      <c r="NUV5" s="390"/>
      <c r="NUW5" s="390"/>
      <c r="NUX5" s="390"/>
      <c r="NUY5" s="390"/>
      <c r="NUZ5" s="390"/>
      <c r="NVA5" s="390"/>
      <c r="NVB5" s="390"/>
      <c r="NVC5" s="390"/>
      <c r="NVD5" s="390"/>
      <c r="NVE5" s="390"/>
      <c r="NVF5" s="390"/>
      <c r="NVG5" s="390"/>
      <c r="NVH5" s="390"/>
      <c r="NVI5" s="390"/>
      <c r="NVJ5" s="390"/>
      <c r="NVK5" s="390"/>
      <c r="NVL5" s="390"/>
      <c r="NVM5" s="390"/>
      <c r="NVN5" s="390"/>
      <c r="NVO5" s="390"/>
      <c r="NVP5" s="390"/>
      <c r="NVQ5" s="390"/>
      <c r="NVR5" s="390"/>
      <c r="NVS5" s="390"/>
      <c r="NVT5" s="390"/>
      <c r="NVU5" s="390"/>
      <c r="NVV5" s="390"/>
      <c r="NVW5" s="390"/>
      <c r="NVX5" s="390"/>
      <c r="NVY5" s="390"/>
      <c r="NVZ5" s="390"/>
      <c r="NWA5" s="390"/>
      <c r="NWB5" s="390"/>
      <c r="NWC5" s="390"/>
      <c r="NWD5" s="390"/>
      <c r="NWE5" s="390"/>
      <c r="NWF5" s="390"/>
      <c r="NWG5" s="390"/>
      <c r="NWH5" s="390"/>
      <c r="NWI5" s="390"/>
      <c r="NWJ5" s="390"/>
      <c r="NWK5" s="390"/>
      <c r="NWL5" s="390"/>
      <c r="NWM5" s="390"/>
      <c r="NWN5" s="390"/>
      <c r="NWO5" s="390"/>
      <c r="NWP5" s="390"/>
      <c r="NWQ5" s="390"/>
      <c r="NWR5" s="390"/>
      <c r="NWS5" s="390"/>
      <c r="NWT5" s="390"/>
      <c r="NWU5" s="390"/>
      <c r="NWV5" s="390"/>
      <c r="NWW5" s="390"/>
      <c r="NWX5" s="390"/>
      <c r="NWY5" s="390"/>
      <c r="NWZ5" s="390"/>
      <c r="NXA5" s="390"/>
      <c r="NXB5" s="390"/>
      <c r="NXC5" s="390"/>
      <c r="NXD5" s="390"/>
      <c r="NXE5" s="390"/>
      <c r="NXF5" s="390"/>
      <c r="NXG5" s="390"/>
      <c r="NXH5" s="390"/>
      <c r="NXI5" s="390"/>
      <c r="NXJ5" s="390"/>
      <c r="NXK5" s="390"/>
      <c r="NXL5" s="390"/>
      <c r="NXM5" s="390"/>
      <c r="NXN5" s="390"/>
      <c r="NXO5" s="390"/>
      <c r="NXP5" s="390"/>
      <c r="NXQ5" s="390"/>
      <c r="NXR5" s="390"/>
      <c r="NXS5" s="390"/>
      <c r="NXT5" s="390"/>
      <c r="NXU5" s="390"/>
      <c r="NXV5" s="390"/>
      <c r="NXW5" s="390"/>
      <c r="NXX5" s="390"/>
      <c r="NXY5" s="390"/>
      <c r="NXZ5" s="390"/>
      <c r="NYA5" s="390"/>
      <c r="NYB5" s="390"/>
      <c r="NYC5" s="390"/>
      <c r="NYD5" s="390"/>
      <c r="NYE5" s="390"/>
      <c r="NYF5" s="390"/>
      <c r="NYG5" s="390"/>
      <c r="NYH5" s="390"/>
      <c r="NYI5" s="390"/>
      <c r="NYJ5" s="390"/>
      <c r="NYK5" s="390"/>
      <c r="NYL5" s="390"/>
      <c r="NYM5" s="390"/>
      <c r="NYN5" s="390"/>
      <c r="NYO5" s="390"/>
      <c r="NYP5" s="390"/>
      <c r="NYQ5" s="390"/>
      <c r="NYR5" s="390"/>
      <c r="NYS5" s="390"/>
      <c r="NYT5" s="390"/>
      <c r="NYU5" s="390"/>
      <c r="NYV5" s="390"/>
      <c r="NYW5" s="390"/>
      <c r="NYX5" s="390"/>
      <c r="NYY5" s="390"/>
      <c r="NYZ5" s="390"/>
      <c r="NZA5" s="390"/>
      <c r="NZB5" s="390"/>
      <c r="NZC5" s="390"/>
      <c r="NZD5" s="390"/>
      <c r="NZE5" s="390"/>
      <c r="NZF5" s="390"/>
      <c r="NZG5" s="390"/>
      <c r="NZH5" s="390"/>
      <c r="NZI5" s="390"/>
      <c r="NZJ5" s="390"/>
      <c r="NZK5" s="390"/>
      <c r="NZL5" s="390"/>
      <c r="NZM5" s="390"/>
      <c r="NZN5" s="390"/>
      <c r="NZO5" s="390"/>
      <c r="NZP5" s="390"/>
      <c r="NZQ5" s="390"/>
      <c r="NZR5" s="390"/>
      <c r="NZS5" s="390"/>
      <c r="NZT5" s="390"/>
      <c r="NZU5" s="390"/>
      <c r="NZV5" s="390"/>
      <c r="NZW5" s="390"/>
      <c r="NZX5" s="390"/>
      <c r="NZY5" s="390"/>
      <c r="NZZ5" s="390"/>
      <c r="OAA5" s="390"/>
      <c r="OAB5" s="390"/>
      <c r="OAC5" s="390"/>
      <c r="OAD5" s="390"/>
      <c r="OAE5" s="390"/>
      <c r="OAF5" s="390"/>
      <c r="OAG5" s="390"/>
      <c r="OAH5" s="390"/>
      <c r="OAI5" s="390"/>
      <c r="OAJ5" s="390"/>
      <c r="OAK5" s="390"/>
      <c r="OAL5" s="390"/>
      <c r="OAM5" s="390"/>
      <c r="OAN5" s="390"/>
      <c r="OAO5" s="390"/>
      <c r="OAP5" s="390"/>
      <c r="OAQ5" s="390"/>
      <c r="OAR5" s="390"/>
      <c r="OAS5" s="390"/>
      <c r="OAT5" s="390"/>
      <c r="OAU5" s="390"/>
      <c r="OAV5" s="390"/>
      <c r="OAW5" s="390"/>
      <c r="OAX5" s="390"/>
      <c r="OAY5" s="390"/>
      <c r="OAZ5" s="390"/>
      <c r="OBA5" s="390"/>
      <c r="OBB5" s="390"/>
      <c r="OBC5" s="390"/>
      <c r="OBD5" s="390"/>
      <c r="OBE5" s="390"/>
      <c r="OBF5" s="390"/>
      <c r="OBG5" s="390"/>
      <c r="OBH5" s="390"/>
      <c r="OBI5" s="390"/>
      <c r="OBJ5" s="390"/>
      <c r="OBK5" s="390"/>
      <c r="OBL5" s="390"/>
      <c r="OBM5" s="390"/>
      <c r="OBN5" s="390"/>
      <c r="OBO5" s="390"/>
      <c r="OBP5" s="390"/>
      <c r="OBQ5" s="390"/>
      <c r="OBR5" s="390"/>
      <c r="OBS5" s="390"/>
      <c r="OBT5" s="390"/>
      <c r="OBU5" s="390"/>
      <c r="OBV5" s="390"/>
      <c r="OBW5" s="390"/>
      <c r="OBX5" s="390"/>
      <c r="OBY5" s="390"/>
      <c r="OBZ5" s="390"/>
      <c r="OCA5" s="390"/>
      <c r="OCB5" s="390"/>
      <c r="OCC5" s="390"/>
      <c r="OCD5" s="390"/>
      <c r="OCE5" s="390"/>
      <c r="OCF5" s="390"/>
      <c r="OCG5" s="390"/>
      <c r="OCH5" s="390"/>
      <c r="OCI5" s="390"/>
      <c r="OCJ5" s="390"/>
      <c r="OCK5" s="390"/>
      <c r="OCL5" s="390"/>
      <c r="OCM5" s="390"/>
      <c r="OCN5" s="390"/>
      <c r="OCO5" s="390"/>
      <c r="OCP5" s="390"/>
      <c r="OCQ5" s="390"/>
      <c r="OCR5" s="390"/>
      <c r="OCS5" s="390"/>
      <c r="OCT5" s="390"/>
      <c r="OCU5" s="390"/>
      <c r="OCV5" s="390"/>
      <c r="OCW5" s="390"/>
      <c r="OCX5" s="390"/>
      <c r="OCY5" s="390"/>
      <c r="OCZ5" s="390"/>
      <c r="ODA5" s="390"/>
      <c r="ODB5" s="390"/>
      <c r="ODC5" s="390"/>
      <c r="ODD5" s="390"/>
      <c r="ODE5" s="390"/>
      <c r="ODF5" s="390"/>
      <c r="ODG5" s="390"/>
      <c r="ODH5" s="390"/>
      <c r="ODI5" s="390"/>
      <c r="ODJ5" s="390"/>
      <c r="ODK5" s="390"/>
      <c r="ODL5" s="390"/>
      <c r="ODM5" s="390"/>
      <c r="ODN5" s="390"/>
      <c r="ODO5" s="390"/>
      <c r="ODP5" s="390"/>
      <c r="ODQ5" s="390"/>
      <c r="ODR5" s="390"/>
      <c r="ODS5" s="390"/>
      <c r="ODT5" s="390"/>
      <c r="ODU5" s="390"/>
      <c r="ODV5" s="390"/>
      <c r="ODW5" s="390"/>
      <c r="ODX5" s="390"/>
      <c r="ODY5" s="390"/>
      <c r="ODZ5" s="390"/>
      <c r="OEA5" s="390"/>
      <c r="OEB5" s="390"/>
      <c r="OEC5" s="390"/>
      <c r="OED5" s="390"/>
      <c r="OEE5" s="390"/>
      <c r="OEF5" s="390"/>
      <c r="OEG5" s="390"/>
      <c r="OEH5" s="390"/>
      <c r="OEI5" s="390"/>
      <c r="OEJ5" s="390"/>
      <c r="OEK5" s="390"/>
      <c r="OEL5" s="390"/>
      <c r="OEM5" s="390"/>
      <c r="OEN5" s="390"/>
      <c r="OEO5" s="390"/>
      <c r="OEP5" s="390"/>
      <c r="OEQ5" s="390"/>
      <c r="OER5" s="390"/>
      <c r="OES5" s="390"/>
      <c r="OET5" s="390"/>
      <c r="OEU5" s="390"/>
      <c r="OEV5" s="390"/>
      <c r="OEW5" s="390"/>
      <c r="OEX5" s="390"/>
      <c r="OEY5" s="390"/>
      <c r="OEZ5" s="390"/>
      <c r="OFA5" s="390"/>
      <c r="OFB5" s="390"/>
      <c r="OFC5" s="390"/>
      <c r="OFD5" s="390"/>
      <c r="OFE5" s="390"/>
      <c r="OFF5" s="390"/>
      <c r="OFG5" s="390"/>
      <c r="OFH5" s="390"/>
      <c r="OFI5" s="390"/>
      <c r="OFJ5" s="390"/>
      <c r="OFK5" s="390"/>
      <c r="OFL5" s="390"/>
      <c r="OFM5" s="390"/>
      <c r="OFN5" s="390"/>
      <c r="OFO5" s="390"/>
      <c r="OFP5" s="390"/>
      <c r="OFQ5" s="390"/>
      <c r="OFR5" s="390"/>
      <c r="OFS5" s="390"/>
      <c r="OFT5" s="390"/>
      <c r="OFU5" s="390"/>
      <c r="OFV5" s="390"/>
      <c r="OFW5" s="390"/>
      <c r="OFX5" s="390"/>
      <c r="OFY5" s="390"/>
      <c r="OFZ5" s="390"/>
      <c r="OGA5" s="390"/>
      <c r="OGB5" s="390"/>
      <c r="OGC5" s="390"/>
      <c r="OGD5" s="390"/>
      <c r="OGE5" s="390"/>
      <c r="OGF5" s="390"/>
      <c r="OGG5" s="390"/>
      <c r="OGH5" s="390"/>
      <c r="OGI5" s="390"/>
      <c r="OGJ5" s="390"/>
      <c r="OGK5" s="390"/>
      <c r="OGL5" s="390"/>
      <c r="OGM5" s="390"/>
      <c r="OGN5" s="390"/>
      <c r="OGO5" s="390"/>
      <c r="OGP5" s="390"/>
      <c r="OGQ5" s="390"/>
      <c r="OGR5" s="390"/>
      <c r="OGS5" s="390"/>
      <c r="OGT5" s="390"/>
      <c r="OGU5" s="390"/>
      <c r="OGV5" s="390"/>
      <c r="OGW5" s="390"/>
      <c r="OGX5" s="390"/>
      <c r="OGY5" s="390"/>
      <c r="OGZ5" s="390"/>
      <c r="OHA5" s="390"/>
      <c r="OHB5" s="390"/>
      <c r="OHC5" s="390"/>
      <c r="OHD5" s="390"/>
      <c r="OHE5" s="390"/>
      <c r="OHF5" s="390"/>
      <c r="OHG5" s="390"/>
      <c r="OHH5" s="390"/>
      <c r="OHI5" s="390"/>
      <c r="OHJ5" s="390"/>
      <c r="OHK5" s="390"/>
      <c r="OHL5" s="390"/>
      <c r="OHM5" s="390"/>
      <c r="OHN5" s="390"/>
      <c r="OHO5" s="390"/>
      <c r="OHP5" s="390"/>
      <c r="OHQ5" s="390"/>
      <c r="OHR5" s="390"/>
      <c r="OHS5" s="390"/>
      <c r="OHT5" s="390"/>
      <c r="OHU5" s="390"/>
      <c r="OHV5" s="390"/>
      <c r="OHW5" s="390"/>
      <c r="OHX5" s="390"/>
      <c r="OHY5" s="390"/>
      <c r="OHZ5" s="390"/>
      <c r="OIA5" s="390"/>
      <c r="OIB5" s="390"/>
      <c r="OIC5" s="390"/>
      <c r="OID5" s="390"/>
      <c r="OIE5" s="390"/>
      <c r="OIF5" s="390"/>
      <c r="OIG5" s="390"/>
      <c r="OIH5" s="390"/>
      <c r="OII5" s="390"/>
      <c r="OIJ5" s="390"/>
      <c r="OIK5" s="390"/>
      <c r="OIL5" s="390"/>
      <c r="OIM5" s="390"/>
      <c r="OIN5" s="390"/>
      <c r="OIO5" s="390"/>
      <c r="OIP5" s="390"/>
      <c r="OIQ5" s="390"/>
      <c r="OIR5" s="390"/>
      <c r="OIS5" s="390"/>
      <c r="OIT5" s="390"/>
      <c r="OIU5" s="390"/>
      <c r="OIV5" s="390"/>
      <c r="OIW5" s="390"/>
      <c r="OIX5" s="390"/>
      <c r="OIY5" s="390"/>
      <c r="OIZ5" s="390"/>
      <c r="OJA5" s="390"/>
      <c r="OJB5" s="390"/>
      <c r="OJC5" s="390"/>
      <c r="OJD5" s="390"/>
      <c r="OJE5" s="390"/>
      <c r="OJF5" s="390"/>
      <c r="OJG5" s="390"/>
      <c r="OJH5" s="390"/>
      <c r="OJI5" s="390"/>
      <c r="OJJ5" s="390"/>
      <c r="OJK5" s="390"/>
      <c r="OJL5" s="390"/>
      <c r="OJM5" s="390"/>
      <c r="OJN5" s="390"/>
      <c r="OJO5" s="390"/>
      <c r="OJP5" s="390"/>
      <c r="OJQ5" s="390"/>
      <c r="OJR5" s="390"/>
      <c r="OJS5" s="390"/>
      <c r="OJT5" s="390"/>
      <c r="OJU5" s="390"/>
      <c r="OJV5" s="390"/>
      <c r="OJW5" s="390"/>
      <c r="OJX5" s="390"/>
      <c r="OJY5" s="390"/>
      <c r="OJZ5" s="390"/>
      <c r="OKA5" s="390"/>
      <c r="OKB5" s="390"/>
      <c r="OKC5" s="390"/>
      <c r="OKD5" s="390"/>
      <c r="OKE5" s="390"/>
      <c r="OKF5" s="390"/>
      <c r="OKG5" s="390"/>
      <c r="OKH5" s="390"/>
      <c r="OKI5" s="390"/>
      <c r="OKJ5" s="390"/>
      <c r="OKK5" s="390"/>
      <c r="OKL5" s="390"/>
      <c r="OKM5" s="390"/>
      <c r="OKN5" s="390"/>
      <c r="OKO5" s="390"/>
      <c r="OKP5" s="390"/>
      <c r="OKQ5" s="390"/>
      <c r="OKR5" s="390"/>
      <c r="OKS5" s="390"/>
      <c r="OKT5" s="390"/>
      <c r="OKU5" s="390"/>
      <c r="OKV5" s="390"/>
      <c r="OKW5" s="390"/>
      <c r="OKX5" s="390"/>
      <c r="OKY5" s="390"/>
      <c r="OKZ5" s="390"/>
      <c r="OLA5" s="390"/>
      <c r="OLB5" s="390"/>
      <c r="OLC5" s="390"/>
      <c r="OLD5" s="390"/>
      <c r="OLE5" s="390"/>
      <c r="OLF5" s="390"/>
      <c r="OLG5" s="390"/>
      <c r="OLH5" s="390"/>
      <c r="OLI5" s="390"/>
      <c r="OLJ5" s="390"/>
      <c r="OLK5" s="390"/>
      <c r="OLL5" s="390"/>
      <c r="OLM5" s="390"/>
      <c r="OLN5" s="390"/>
      <c r="OLO5" s="390"/>
      <c r="OLP5" s="390"/>
      <c r="OLQ5" s="390"/>
      <c r="OLR5" s="390"/>
      <c r="OLS5" s="390"/>
      <c r="OLT5" s="390"/>
      <c r="OLU5" s="390"/>
      <c r="OLV5" s="390"/>
      <c r="OLW5" s="390"/>
      <c r="OLX5" s="390"/>
      <c r="OLY5" s="390"/>
      <c r="OLZ5" s="390"/>
      <c r="OMA5" s="390"/>
      <c r="OMB5" s="390"/>
      <c r="OMC5" s="390"/>
      <c r="OMD5" s="390"/>
      <c r="OME5" s="390"/>
      <c r="OMF5" s="390"/>
      <c r="OMG5" s="390"/>
      <c r="OMH5" s="390"/>
      <c r="OMI5" s="390"/>
      <c r="OMJ5" s="390"/>
      <c r="OMK5" s="390"/>
      <c r="OML5" s="390"/>
      <c r="OMM5" s="390"/>
      <c r="OMN5" s="390"/>
      <c r="OMO5" s="390"/>
      <c r="OMP5" s="390"/>
      <c r="OMQ5" s="390"/>
      <c r="OMR5" s="390"/>
      <c r="OMS5" s="390"/>
      <c r="OMT5" s="390"/>
      <c r="OMU5" s="390"/>
      <c r="OMV5" s="390"/>
      <c r="OMW5" s="390"/>
      <c r="OMX5" s="390"/>
      <c r="OMY5" s="390"/>
      <c r="OMZ5" s="390"/>
      <c r="ONA5" s="390"/>
      <c r="ONB5" s="390"/>
      <c r="ONC5" s="390"/>
      <c r="OND5" s="390"/>
      <c r="ONE5" s="390"/>
      <c r="ONF5" s="390"/>
      <c r="ONG5" s="390"/>
      <c r="ONH5" s="390"/>
      <c r="ONI5" s="390"/>
      <c r="ONJ5" s="390"/>
      <c r="ONK5" s="390"/>
      <c r="ONL5" s="390"/>
      <c r="ONM5" s="390"/>
      <c r="ONN5" s="390"/>
      <c r="ONO5" s="390"/>
      <c r="ONP5" s="390"/>
      <c r="ONQ5" s="390"/>
      <c r="ONR5" s="390"/>
      <c r="ONS5" s="390"/>
      <c r="ONT5" s="390"/>
      <c r="ONU5" s="390"/>
      <c r="ONV5" s="390"/>
      <c r="ONW5" s="390"/>
      <c r="ONX5" s="390"/>
      <c r="ONY5" s="390"/>
      <c r="ONZ5" s="390"/>
      <c r="OOA5" s="390"/>
      <c r="OOB5" s="390"/>
      <c r="OOC5" s="390"/>
      <c r="OOD5" s="390"/>
      <c r="OOE5" s="390"/>
      <c r="OOF5" s="390"/>
      <c r="OOG5" s="390"/>
      <c r="OOH5" s="390"/>
      <c r="OOI5" s="390"/>
      <c r="OOJ5" s="390"/>
      <c r="OOK5" s="390"/>
      <c r="OOL5" s="390"/>
      <c r="OOM5" s="390"/>
      <c r="OON5" s="390"/>
      <c r="OOO5" s="390"/>
      <c r="OOP5" s="390"/>
      <c r="OOQ5" s="390"/>
      <c r="OOR5" s="390"/>
      <c r="OOS5" s="390"/>
      <c r="OOT5" s="390"/>
      <c r="OOU5" s="390"/>
      <c r="OOV5" s="390"/>
      <c r="OOW5" s="390"/>
      <c r="OOX5" s="390"/>
      <c r="OOY5" s="390"/>
      <c r="OOZ5" s="390"/>
      <c r="OPA5" s="390"/>
      <c r="OPB5" s="390"/>
      <c r="OPC5" s="390"/>
      <c r="OPD5" s="390"/>
      <c r="OPE5" s="390"/>
      <c r="OPF5" s="390"/>
      <c r="OPG5" s="390"/>
      <c r="OPH5" s="390"/>
      <c r="OPI5" s="390"/>
      <c r="OPJ5" s="390"/>
      <c r="OPK5" s="390"/>
      <c r="OPL5" s="390"/>
      <c r="OPM5" s="390"/>
      <c r="OPN5" s="390"/>
      <c r="OPO5" s="390"/>
      <c r="OPP5" s="390"/>
      <c r="OPQ5" s="390"/>
      <c r="OPR5" s="390"/>
      <c r="OPS5" s="390"/>
      <c r="OPT5" s="390"/>
      <c r="OPU5" s="390"/>
      <c r="OPV5" s="390"/>
      <c r="OPW5" s="390"/>
      <c r="OPX5" s="390"/>
      <c r="OPY5" s="390"/>
      <c r="OPZ5" s="390"/>
      <c r="OQA5" s="390"/>
      <c r="OQB5" s="390"/>
      <c r="OQC5" s="390"/>
      <c r="OQD5" s="390"/>
      <c r="OQE5" s="390"/>
      <c r="OQF5" s="390"/>
      <c r="OQG5" s="390"/>
      <c r="OQH5" s="390"/>
      <c r="OQI5" s="390"/>
      <c r="OQJ5" s="390"/>
      <c r="OQK5" s="390"/>
      <c r="OQL5" s="390"/>
      <c r="OQM5" s="390"/>
      <c r="OQN5" s="390"/>
      <c r="OQO5" s="390"/>
      <c r="OQP5" s="390"/>
      <c r="OQQ5" s="390"/>
      <c r="OQR5" s="390"/>
      <c r="OQS5" s="390"/>
      <c r="OQT5" s="390"/>
      <c r="OQU5" s="390"/>
      <c r="OQV5" s="390"/>
      <c r="OQW5" s="390"/>
      <c r="OQX5" s="390"/>
      <c r="OQY5" s="390"/>
      <c r="OQZ5" s="390"/>
      <c r="ORA5" s="390"/>
      <c r="ORB5" s="390"/>
      <c r="ORC5" s="390"/>
      <c r="ORD5" s="390"/>
      <c r="ORE5" s="390"/>
      <c r="ORF5" s="390"/>
      <c r="ORG5" s="390"/>
      <c r="ORH5" s="390"/>
      <c r="ORI5" s="390"/>
      <c r="ORJ5" s="390"/>
      <c r="ORK5" s="390"/>
      <c r="ORL5" s="390"/>
      <c r="ORM5" s="390"/>
      <c r="ORN5" s="390"/>
      <c r="ORO5" s="390"/>
      <c r="ORP5" s="390"/>
      <c r="ORQ5" s="390"/>
      <c r="ORR5" s="390"/>
      <c r="ORS5" s="390"/>
      <c r="ORT5" s="390"/>
      <c r="ORU5" s="390"/>
      <c r="ORV5" s="390"/>
      <c r="ORW5" s="390"/>
      <c r="ORX5" s="390"/>
      <c r="ORY5" s="390"/>
      <c r="ORZ5" s="390"/>
      <c r="OSA5" s="390"/>
      <c r="OSB5" s="390"/>
      <c r="OSC5" s="390"/>
      <c r="OSD5" s="390"/>
      <c r="OSE5" s="390"/>
      <c r="OSF5" s="390"/>
      <c r="OSG5" s="390"/>
      <c r="OSH5" s="390"/>
      <c r="OSI5" s="390"/>
      <c r="OSJ5" s="390"/>
      <c r="OSK5" s="390"/>
      <c r="OSL5" s="390"/>
      <c r="OSM5" s="390"/>
      <c r="OSN5" s="390"/>
      <c r="OSO5" s="390"/>
      <c r="OSP5" s="390"/>
      <c r="OSQ5" s="390"/>
      <c r="OSR5" s="390"/>
      <c r="OSS5" s="390"/>
      <c r="OST5" s="390"/>
      <c r="OSU5" s="390"/>
      <c r="OSV5" s="390"/>
      <c r="OSW5" s="390"/>
      <c r="OSX5" s="390"/>
      <c r="OSY5" s="390"/>
      <c r="OSZ5" s="390"/>
      <c r="OTA5" s="390"/>
      <c r="OTB5" s="390"/>
      <c r="OTC5" s="390"/>
      <c r="OTD5" s="390"/>
      <c r="OTE5" s="390"/>
      <c r="OTF5" s="390"/>
      <c r="OTG5" s="390"/>
      <c r="OTH5" s="390"/>
      <c r="OTI5" s="390"/>
      <c r="OTJ5" s="390"/>
      <c r="OTK5" s="390"/>
      <c r="OTL5" s="390"/>
      <c r="OTM5" s="390"/>
      <c r="OTN5" s="390"/>
      <c r="OTO5" s="390"/>
      <c r="OTP5" s="390"/>
      <c r="OTQ5" s="390"/>
      <c r="OTR5" s="390"/>
      <c r="OTS5" s="390"/>
      <c r="OTT5" s="390"/>
      <c r="OTU5" s="390"/>
      <c r="OTV5" s="390"/>
      <c r="OTW5" s="390"/>
      <c r="OTX5" s="390"/>
      <c r="OTY5" s="390"/>
      <c r="OTZ5" s="390"/>
      <c r="OUA5" s="390"/>
      <c r="OUB5" s="390"/>
      <c r="OUC5" s="390"/>
      <c r="OUD5" s="390"/>
      <c r="OUE5" s="390"/>
      <c r="OUF5" s="390"/>
      <c r="OUG5" s="390"/>
      <c r="OUH5" s="390"/>
      <c r="OUI5" s="390"/>
      <c r="OUJ5" s="390"/>
      <c r="OUK5" s="390"/>
      <c r="OUL5" s="390"/>
      <c r="OUM5" s="390"/>
      <c r="OUN5" s="390"/>
      <c r="OUO5" s="390"/>
      <c r="OUP5" s="390"/>
      <c r="OUQ5" s="390"/>
      <c r="OUR5" s="390"/>
      <c r="OUS5" s="390"/>
      <c r="OUT5" s="390"/>
      <c r="OUU5" s="390"/>
      <c r="OUV5" s="390"/>
      <c r="OUW5" s="390"/>
      <c r="OUX5" s="390"/>
      <c r="OUY5" s="390"/>
      <c r="OUZ5" s="390"/>
      <c r="OVA5" s="390"/>
      <c r="OVB5" s="390"/>
      <c r="OVC5" s="390"/>
      <c r="OVD5" s="390"/>
      <c r="OVE5" s="390"/>
      <c r="OVF5" s="390"/>
      <c r="OVG5" s="390"/>
      <c r="OVH5" s="390"/>
      <c r="OVI5" s="390"/>
      <c r="OVJ5" s="390"/>
      <c r="OVK5" s="390"/>
      <c r="OVL5" s="390"/>
      <c r="OVM5" s="390"/>
      <c r="OVN5" s="390"/>
      <c r="OVO5" s="390"/>
      <c r="OVP5" s="390"/>
      <c r="OVQ5" s="390"/>
      <c r="OVR5" s="390"/>
      <c r="OVS5" s="390"/>
      <c r="OVT5" s="390"/>
      <c r="OVU5" s="390"/>
      <c r="OVV5" s="390"/>
      <c r="OVW5" s="390"/>
      <c r="OVX5" s="390"/>
      <c r="OVY5" s="390"/>
      <c r="OVZ5" s="390"/>
      <c r="OWA5" s="390"/>
      <c r="OWB5" s="390"/>
      <c r="OWC5" s="390"/>
      <c r="OWD5" s="390"/>
      <c r="OWE5" s="390"/>
      <c r="OWF5" s="390"/>
      <c r="OWG5" s="390"/>
      <c r="OWH5" s="390"/>
      <c r="OWI5" s="390"/>
      <c r="OWJ5" s="390"/>
      <c r="OWK5" s="390"/>
      <c r="OWL5" s="390"/>
      <c r="OWM5" s="390"/>
      <c r="OWN5" s="390"/>
      <c r="OWO5" s="390"/>
      <c r="OWP5" s="390"/>
      <c r="OWQ5" s="390"/>
      <c r="OWR5" s="390"/>
      <c r="OWS5" s="390"/>
      <c r="OWT5" s="390"/>
      <c r="OWU5" s="390"/>
      <c r="OWV5" s="390"/>
      <c r="OWW5" s="390"/>
      <c r="OWX5" s="390"/>
      <c r="OWY5" s="390"/>
      <c r="OWZ5" s="390"/>
      <c r="OXA5" s="390"/>
      <c r="OXB5" s="390"/>
      <c r="OXC5" s="390"/>
      <c r="OXD5" s="390"/>
      <c r="OXE5" s="390"/>
      <c r="OXF5" s="390"/>
      <c r="OXG5" s="390"/>
      <c r="OXH5" s="390"/>
      <c r="OXI5" s="390"/>
      <c r="OXJ5" s="390"/>
      <c r="OXK5" s="390"/>
      <c r="OXL5" s="390"/>
      <c r="OXM5" s="390"/>
      <c r="OXN5" s="390"/>
      <c r="OXO5" s="390"/>
      <c r="OXP5" s="390"/>
      <c r="OXQ5" s="390"/>
      <c r="OXR5" s="390"/>
      <c r="OXS5" s="390"/>
      <c r="OXT5" s="390"/>
      <c r="OXU5" s="390"/>
      <c r="OXV5" s="390"/>
      <c r="OXW5" s="390"/>
      <c r="OXX5" s="390"/>
      <c r="OXY5" s="390"/>
      <c r="OXZ5" s="390"/>
      <c r="OYA5" s="390"/>
      <c r="OYB5" s="390"/>
      <c r="OYC5" s="390"/>
      <c r="OYD5" s="390"/>
      <c r="OYE5" s="390"/>
      <c r="OYF5" s="390"/>
      <c r="OYG5" s="390"/>
      <c r="OYH5" s="390"/>
      <c r="OYI5" s="390"/>
      <c r="OYJ5" s="390"/>
      <c r="OYK5" s="390"/>
      <c r="OYL5" s="390"/>
      <c r="OYM5" s="390"/>
      <c r="OYN5" s="390"/>
      <c r="OYO5" s="390"/>
      <c r="OYP5" s="390"/>
      <c r="OYQ5" s="390"/>
      <c r="OYR5" s="390"/>
      <c r="OYS5" s="390"/>
      <c r="OYT5" s="390"/>
      <c r="OYU5" s="390"/>
      <c r="OYV5" s="390"/>
      <c r="OYW5" s="390"/>
      <c r="OYX5" s="390"/>
      <c r="OYY5" s="390"/>
      <c r="OYZ5" s="390"/>
      <c r="OZA5" s="390"/>
      <c r="OZB5" s="390"/>
      <c r="OZC5" s="390"/>
      <c r="OZD5" s="390"/>
      <c r="OZE5" s="390"/>
      <c r="OZF5" s="390"/>
      <c r="OZG5" s="390"/>
      <c r="OZH5" s="390"/>
      <c r="OZI5" s="390"/>
      <c r="OZJ5" s="390"/>
      <c r="OZK5" s="390"/>
      <c r="OZL5" s="390"/>
      <c r="OZM5" s="390"/>
      <c r="OZN5" s="390"/>
      <c r="OZO5" s="390"/>
      <c r="OZP5" s="390"/>
      <c r="OZQ5" s="390"/>
      <c r="OZR5" s="390"/>
      <c r="OZS5" s="390"/>
      <c r="OZT5" s="390"/>
      <c r="OZU5" s="390"/>
      <c r="OZV5" s="390"/>
      <c r="OZW5" s="390"/>
      <c r="OZX5" s="390"/>
      <c r="OZY5" s="390"/>
      <c r="OZZ5" s="390"/>
      <c r="PAA5" s="390"/>
      <c r="PAB5" s="390"/>
      <c r="PAC5" s="390"/>
      <c r="PAD5" s="390"/>
      <c r="PAE5" s="390"/>
      <c r="PAF5" s="390"/>
      <c r="PAG5" s="390"/>
      <c r="PAH5" s="390"/>
      <c r="PAI5" s="390"/>
      <c r="PAJ5" s="390"/>
      <c r="PAK5" s="390"/>
      <c r="PAL5" s="390"/>
      <c r="PAM5" s="390"/>
      <c r="PAN5" s="390"/>
      <c r="PAO5" s="390"/>
      <c r="PAP5" s="390"/>
      <c r="PAQ5" s="390"/>
      <c r="PAR5" s="390"/>
      <c r="PAS5" s="390"/>
      <c r="PAT5" s="390"/>
      <c r="PAU5" s="390"/>
      <c r="PAV5" s="390"/>
      <c r="PAW5" s="390"/>
      <c r="PAX5" s="390"/>
      <c r="PAY5" s="390"/>
      <c r="PAZ5" s="390"/>
      <c r="PBA5" s="390"/>
      <c r="PBB5" s="390"/>
      <c r="PBC5" s="390"/>
      <c r="PBD5" s="390"/>
      <c r="PBE5" s="390"/>
      <c r="PBF5" s="390"/>
      <c r="PBG5" s="390"/>
      <c r="PBH5" s="390"/>
      <c r="PBI5" s="390"/>
      <c r="PBJ5" s="390"/>
      <c r="PBK5" s="390"/>
      <c r="PBL5" s="390"/>
      <c r="PBM5" s="390"/>
      <c r="PBN5" s="390"/>
      <c r="PBO5" s="390"/>
      <c r="PBP5" s="390"/>
      <c r="PBQ5" s="390"/>
      <c r="PBR5" s="390"/>
      <c r="PBS5" s="390"/>
      <c r="PBT5" s="390"/>
      <c r="PBU5" s="390"/>
      <c r="PBV5" s="390"/>
      <c r="PBW5" s="390"/>
      <c r="PBX5" s="390"/>
      <c r="PBY5" s="390"/>
      <c r="PBZ5" s="390"/>
      <c r="PCA5" s="390"/>
      <c r="PCB5" s="390"/>
      <c r="PCC5" s="390"/>
      <c r="PCD5" s="390"/>
      <c r="PCE5" s="390"/>
      <c r="PCF5" s="390"/>
      <c r="PCG5" s="390"/>
      <c r="PCH5" s="390"/>
      <c r="PCI5" s="390"/>
      <c r="PCJ5" s="390"/>
      <c r="PCK5" s="390"/>
      <c r="PCL5" s="390"/>
      <c r="PCM5" s="390"/>
      <c r="PCN5" s="390"/>
      <c r="PCO5" s="390"/>
      <c r="PCP5" s="390"/>
      <c r="PCQ5" s="390"/>
      <c r="PCR5" s="390"/>
      <c r="PCS5" s="390"/>
      <c r="PCT5" s="390"/>
      <c r="PCU5" s="390"/>
      <c r="PCV5" s="390"/>
      <c r="PCW5" s="390"/>
      <c r="PCX5" s="390"/>
      <c r="PCY5" s="390"/>
      <c r="PCZ5" s="390"/>
      <c r="PDA5" s="390"/>
      <c r="PDB5" s="390"/>
      <c r="PDC5" s="390"/>
      <c r="PDD5" s="390"/>
      <c r="PDE5" s="390"/>
      <c r="PDF5" s="390"/>
      <c r="PDG5" s="390"/>
      <c r="PDH5" s="390"/>
      <c r="PDI5" s="390"/>
      <c r="PDJ5" s="390"/>
      <c r="PDK5" s="390"/>
      <c r="PDL5" s="390"/>
      <c r="PDM5" s="390"/>
      <c r="PDN5" s="390"/>
      <c r="PDO5" s="390"/>
      <c r="PDP5" s="390"/>
      <c r="PDQ5" s="390"/>
      <c r="PDR5" s="390"/>
      <c r="PDS5" s="390"/>
      <c r="PDT5" s="390"/>
      <c r="PDU5" s="390"/>
      <c r="PDV5" s="390"/>
      <c r="PDW5" s="390"/>
      <c r="PDX5" s="390"/>
      <c r="PDY5" s="390"/>
      <c r="PDZ5" s="390"/>
      <c r="PEA5" s="390"/>
      <c r="PEB5" s="390"/>
      <c r="PEC5" s="390"/>
      <c r="PED5" s="390"/>
      <c r="PEE5" s="390"/>
      <c r="PEF5" s="390"/>
      <c r="PEG5" s="390"/>
      <c r="PEH5" s="390"/>
      <c r="PEI5" s="390"/>
      <c r="PEJ5" s="390"/>
      <c r="PEK5" s="390"/>
      <c r="PEL5" s="390"/>
      <c r="PEM5" s="390"/>
      <c r="PEN5" s="390"/>
      <c r="PEO5" s="390"/>
      <c r="PEP5" s="390"/>
      <c r="PEQ5" s="390"/>
      <c r="PER5" s="390"/>
      <c r="PES5" s="390"/>
      <c r="PET5" s="390"/>
      <c r="PEU5" s="390"/>
      <c r="PEV5" s="390"/>
      <c r="PEW5" s="390"/>
      <c r="PEX5" s="390"/>
      <c r="PEY5" s="390"/>
      <c r="PEZ5" s="390"/>
      <c r="PFA5" s="390"/>
      <c r="PFB5" s="390"/>
      <c r="PFC5" s="390"/>
      <c r="PFD5" s="390"/>
      <c r="PFE5" s="390"/>
      <c r="PFF5" s="390"/>
      <c r="PFG5" s="390"/>
      <c r="PFH5" s="390"/>
      <c r="PFI5" s="390"/>
      <c r="PFJ5" s="390"/>
      <c r="PFK5" s="390"/>
      <c r="PFL5" s="390"/>
      <c r="PFM5" s="390"/>
      <c r="PFN5" s="390"/>
      <c r="PFO5" s="390"/>
      <c r="PFP5" s="390"/>
      <c r="PFQ5" s="390"/>
      <c r="PFR5" s="390"/>
      <c r="PFS5" s="390"/>
      <c r="PFT5" s="390"/>
      <c r="PFU5" s="390"/>
      <c r="PFV5" s="390"/>
      <c r="PFW5" s="390"/>
      <c r="PFX5" s="390"/>
      <c r="PFY5" s="390"/>
      <c r="PFZ5" s="390"/>
      <c r="PGA5" s="390"/>
      <c r="PGB5" s="390"/>
      <c r="PGC5" s="390"/>
      <c r="PGD5" s="390"/>
      <c r="PGE5" s="390"/>
      <c r="PGF5" s="390"/>
      <c r="PGG5" s="390"/>
      <c r="PGH5" s="390"/>
      <c r="PGI5" s="390"/>
      <c r="PGJ5" s="390"/>
      <c r="PGK5" s="390"/>
      <c r="PGL5" s="390"/>
      <c r="PGM5" s="390"/>
      <c r="PGN5" s="390"/>
      <c r="PGO5" s="390"/>
      <c r="PGP5" s="390"/>
      <c r="PGQ5" s="390"/>
      <c r="PGR5" s="390"/>
      <c r="PGS5" s="390"/>
      <c r="PGT5" s="390"/>
      <c r="PGU5" s="390"/>
      <c r="PGV5" s="390"/>
      <c r="PGW5" s="390"/>
      <c r="PGX5" s="390"/>
      <c r="PGY5" s="390"/>
      <c r="PGZ5" s="390"/>
      <c r="PHA5" s="390"/>
      <c r="PHB5" s="390"/>
      <c r="PHC5" s="390"/>
      <c r="PHD5" s="390"/>
      <c r="PHE5" s="390"/>
      <c r="PHF5" s="390"/>
      <c r="PHG5" s="390"/>
      <c r="PHH5" s="390"/>
      <c r="PHI5" s="390"/>
      <c r="PHJ5" s="390"/>
      <c r="PHK5" s="390"/>
      <c r="PHL5" s="390"/>
      <c r="PHM5" s="390"/>
      <c r="PHN5" s="390"/>
      <c r="PHO5" s="390"/>
      <c r="PHP5" s="390"/>
      <c r="PHQ5" s="390"/>
      <c r="PHR5" s="390"/>
      <c r="PHS5" s="390"/>
      <c r="PHT5" s="390"/>
      <c r="PHU5" s="390"/>
      <c r="PHV5" s="390"/>
      <c r="PHW5" s="390"/>
      <c r="PHX5" s="390"/>
      <c r="PHY5" s="390"/>
      <c r="PHZ5" s="390"/>
      <c r="PIA5" s="390"/>
      <c r="PIB5" s="390"/>
      <c r="PIC5" s="390"/>
      <c r="PID5" s="390"/>
      <c r="PIE5" s="390"/>
      <c r="PIF5" s="390"/>
      <c r="PIG5" s="390"/>
      <c r="PIH5" s="390"/>
      <c r="PII5" s="390"/>
      <c r="PIJ5" s="390"/>
      <c r="PIK5" s="390"/>
      <c r="PIL5" s="390"/>
      <c r="PIM5" s="390"/>
      <c r="PIN5" s="390"/>
      <c r="PIO5" s="390"/>
      <c r="PIP5" s="390"/>
      <c r="PIQ5" s="390"/>
      <c r="PIR5" s="390"/>
      <c r="PIS5" s="390"/>
      <c r="PIT5" s="390"/>
      <c r="PIU5" s="390"/>
      <c r="PIV5" s="390"/>
      <c r="PIW5" s="390"/>
      <c r="PIX5" s="390"/>
      <c r="PIY5" s="390"/>
      <c r="PIZ5" s="390"/>
      <c r="PJA5" s="390"/>
      <c r="PJB5" s="390"/>
      <c r="PJC5" s="390"/>
      <c r="PJD5" s="390"/>
      <c r="PJE5" s="390"/>
      <c r="PJF5" s="390"/>
      <c r="PJG5" s="390"/>
      <c r="PJH5" s="390"/>
      <c r="PJI5" s="390"/>
      <c r="PJJ5" s="390"/>
      <c r="PJK5" s="390"/>
      <c r="PJL5" s="390"/>
      <c r="PJM5" s="390"/>
      <c r="PJN5" s="390"/>
      <c r="PJO5" s="390"/>
      <c r="PJP5" s="390"/>
      <c r="PJQ5" s="390"/>
      <c r="PJR5" s="390"/>
      <c r="PJS5" s="390"/>
      <c r="PJT5" s="390"/>
      <c r="PJU5" s="390"/>
      <c r="PJV5" s="390"/>
      <c r="PJW5" s="390"/>
      <c r="PJX5" s="390"/>
      <c r="PJY5" s="390"/>
      <c r="PJZ5" s="390"/>
      <c r="PKA5" s="390"/>
      <c r="PKB5" s="390"/>
      <c r="PKC5" s="390"/>
      <c r="PKD5" s="390"/>
      <c r="PKE5" s="390"/>
      <c r="PKF5" s="390"/>
      <c r="PKG5" s="390"/>
      <c r="PKH5" s="390"/>
      <c r="PKI5" s="390"/>
      <c r="PKJ5" s="390"/>
      <c r="PKK5" s="390"/>
      <c r="PKL5" s="390"/>
      <c r="PKM5" s="390"/>
      <c r="PKN5" s="390"/>
      <c r="PKO5" s="390"/>
      <c r="PKP5" s="390"/>
      <c r="PKQ5" s="390"/>
      <c r="PKR5" s="390"/>
      <c r="PKS5" s="390"/>
      <c r="PKT5" s="390"/>
      <c r="PKU5" s="390"/>
      <c r="PKV5" s="390"/>
      <c r="PKW5" s="390"/>
      <c r="PKX5" s="390"/>
      <c r="PKY5" s="390"/>
      <c r="PKZ5" s="390"/>
      <c r="PLA5" s="390"/>
      <c r="PLB5" s="390"/>
      <c r="PLC5" s="390"/>
      <c r="PLD5" s="390"/>
      <c r="PLE5" s="390"/>
      <c r="PLF5" s="390"/>
      <c r="PLG5" s="390"/>
      <c r="PLH5" s="390"/>
      <c r="PLI5" s="390"/>
      <c r="PLJ5" s="390"/>
      <c r="PLK5" s="390"/>
      <c r="PLL5" s="390"/>
      <c r="PLM5" s="390"/>
      <c r="PLN5" s="390"/>
      <c r="PLO5" s="390"/>
      <c r="PLP5" s="390"/>
      <c r="PLQ5" s="390"/>
      <c r="PLR5" s="390"/>
      <c r="PLS5" s="390"/>
      <c r="PLT5" s="390"/>
      <c r="PLU5" s="390"/>
      <c r="PLV5" s="390"/>
      <c r="PLW5" s="390"/>
      <c r="PLX5" s="390"/>
      <c r="PLY5" s="390"/>
      <c r="PLZ5" s="390"/>
      <c r="PMA5" s="390"/>
      <c r="PMB5" s="390"/>
      <c r="PMC5" s="390"/>
      <c r="PMD5" s="390"/>
      <c r="PME5" s="390"/>
      <c r="PMF5" s="390"/>
      <c r="PMG5" s="390"/>
      <c r="PMH5" s="390"/>
      <c r="PMI5" s="390"/>
      <c r="PMJ5" s="390"/>
      <c r="PMK5" s="390"/>
      <c r="PML5" s="390"/>
      <c r="PMM5" s="390"/>
      <c r="PMN5" s="390"/>
      <c r="PMO5" s="390"/>
      <c r="PMP5" s="390"/>
      <c r="PMQ5" s="390"/>
      <c r="PMR5" s="390"/>
      <c r="PMS5" s="390"/>
      <c r="PMT5" s="390"/>
      <c r="PMU5" s="390"/>
      <c r="PMV5" s="390"/>
      <c r="PMW5" s="390"/>
      <c r="PMX5" s="390"/>
      <c r="PMY5" s="390"/>
      <c r="PMZ5" s="390"/>
      <c r="PNA5" s="390"/>
      <c r="PNB5" s="390"/>
      <c r="PNC5" s="390"/>
      <c r="PND5" s="390"/>
      <c r="PNE5" s="390"/>
      <c r="PNF5" s="390"/>
      <c r="PNG5" s="390"/>
      <c r="PNH5" s="390"/>
      <c r="PNI5" s="390"/>
      <c r="PNJ5" s="390"/>
      <c r="PNK5" s="390"/>
      <c r="PNL5" s="390"/>
      <c r="PNM5" s="390"/>
      <c r="PNN5" s="390"/>
      <c r="PNO5" s="390"/>
      <c r="PNP5" s="390"/>
      <c r="PNQ5" s="390"/>
      <c r="PNR5" s="390"/>
      <c r="PNS5" s="390"/>
      <c r="PNT5" s="390"/>
      <c r="PNU5" s="390"/>
      <c r="PNV5" s="390"/>
      <c r="PNW5" s="390"/>
      <c r="PNX5" s="390"/>
      <c r="PNY5" s="390"/>
      <c r="PNZ5" s="390"/>
      <c r="POA5" s="390"/>
      <c r="POB5" s="390"/>
      <c r="POC5" s="390"/>
      <c r="POD5" s="390"/>
      <c r="POE5" s="390"/>
      <c r="POF5" s="390"/>
      <c r="POG5" s="390"/>
      <c r="POH5" s="390"/>
      <c r="POI5" s="390"/>
      <c r="POJ5" s="390"/>
      <c r="POK5" s="390"/>
      <c r="POL5" s="390"/>
      <c r="POM5" s="390"/>
      <c r="PON5" s="390"/>
      <c r="POO5" s="390"/>
      <c r="POP5" s="390"/>
      <c r="POQ5" s="390"/>
      <c r="POR5" s="390"/>
      <c r="POS5" s="390"/>
      <c r="POT5" s="390"/>
      <c r="POU5" s="390"/>
      <c r="POV5" s="390"/>
      <c r="POW5" s="390"/>
      <c r="POX5" s="390"/>
      <c r="POY5" s="390"/>
      <c r="POZ5" s="390"/>
      <c r="PPA5" s="390"/>
      <c r="PPB5" s="390"/>
      <c r="PPC5" s="390"/>
      <c r="PPD5" s="390"/>
      <c r="PPE5" s="390"/>
      <c r="PPF5" s="390"/>
      <c r="PPG5" s="390"/>
      <c r="PPH5" s="390"/>
      <c r="PPI5" s="390"/>
      <c r="PPJ5" s="390"/>
      <c r="PPK5" s="390"/>
      <c r="PPL5" s="390"/>
      <c r="PPM5" s="390"/>
      <c r="PPN5" s="390"/>
      <c r="PPO5" s="390"/>
      <c r="PPP5" s="390"/>
      <c r="PPQ5" s="390"/>
      <c r="PPR5" s="390"/>
      <c r="PPS5" s="390"/>
      <c r="PPT5" s="390"/>
      <c r="PPU5" s="390"/>
      <c r="PPV5" s="390"/>
      <c r="PPW5" s="390"/>
      <c r="PPX5" s="390"/>
      <c r="PPY5" s="390"/>
      <c r="PPZ5" s="390"/>
      <c r="PQA5" s="390"/>
      <c r="PQB5" s="390"/>
      <c r="PQC5" s="390"/>
      <c r="PQD5" s="390"/>
      <c r="PQE5" s="390"/>
      <c r="PQF5" s="390"/>
      <c r="PQG5" s="390"/>
      <c r="PQH5" s="390"/>
      <c r="PQI5" s="390"/>
      <c r="PQJ5" s="390"/>
      <c r="PQK5" s="390"/>
      <c r="PQL5" s="390"/>
      <c r="PQM5" s="390"/>
      <c r="PQN5" s="390"/>
      <c r="PQO5" s="390"/>
      <c r="PQP5" s="390"/>
      <c r="PQQ5" s="390"/>
      <c r="PQR5" s="390"/>
      <c r="PQS5" s="390"/>
      <c r="PQT5" s="390"/>
      <c r="PQU5" s="390"/>
      <c r="PQV5" s="390"/>
      <c r="PQW5" s="390"/>
      <c r="PQX5" s="390"/>
      <c r="PQY5" s="390"/>
      <c r="PQZ5" s="390"/>
      <c r="PRA5" s="390"/>
      <c r="PRB5" s="390"/>
      <c r="PRC5" s="390"/>
      <c r="PRD5" s="390"/>
      <c r="PRE5" s="390"/>
      <c r="PRF5" s="390"/>
      <c r="PRG5" s="390"/>
      <c r="PRH5" s="390"/>
      <c r="PRI5" s="390"/>
      <c r="PRJ5" s="390"/>
      <c r="PRK5" s="390"/>
      <c r="PRL5" s="390"/>
      <c r="PRM5" s="390"/>
      <c r="PRN5" s="390"/>
      <c r="PRO5" s="390"/>
      <c r="PRP5" s="390"/>
      <c r="PRQ5" s="390"/>
      <c r="PRR5" s="390"/>
      <c r="PRS5" s="390"/>
      <c r="PRT5" s="390"/>
      <c r="PRU5" s="390"/>
      <c r="PRV5" s="390"/>
      <c r="PRW5" s="390"/>
      <c r="PRX5" s="390"/>
      <c r="PRY5" s="390"/>
      <c r="PRZ5" s="390"/>
      <c r="PSA5" s="390"/>
      <c r="PSB5" s="390"/>
      <c r="PSC5" s="390"/>
      <c r="PSD5" s="390"/>
      <c r="PSE5" s="390"/>
      <c r="PSF5" s="390"/>
      <c r="PSG5" s="390"/>
      <c r="PSH5" s="390"/>
      <c r="PSI5" s="390"/>
      <c r="PSJ5" s="390"/>
      <c r="PSK5" s="390"/>
      <c r="PSL5" s="390"/>
      <c r="PSM5" s="390"/>
      <c r="PSN5" s="390"/>
      <c r="PSO5" s="390"/>
      <c r="PSP5" s="390"/>
      <c r="PSQ5" s="390"/>
      <c r="PSR5" s="390"/>
      <c r="PSS5" s="390"/>
      <c r="PST5" s="390"/>
      <c r="PSU5" s="390"/>
      <c r="PSV5" s="390"/>
      <c r="PSW5" s="390"/>
      <c r="PSX5" s="390"/>
      <c r="PSY5" s="390"/>
      <c r="PSZ5" s="390"/>
      <c r="PTA5" s="390"/>
      <c r="PTB5" s="390"/>
      <c r="PTC5" s="390"/>
      <c r="PTD5" s="390"/>
      <c r="PTE5" s="390"/>
      <c r="PTF5" s="390"/>
      <c r="PTG5" s="390"/>
      <c r="PTH5" s="390"/>
      <c r="PTI5" s="390"/>
      <c r="PTJ5" s="390"/>
      <c r="PTK5" s="390"/>
      <c r="PTL5" s="390"/>
      <c r="PTM5" s="390"/>
      <c r="PTN5" s="390"/>
      <c r="PTO5" s="390"/>
      <c r="PTP5" s="390"/>
      <c r="PTQ5" s="390"/>
      <c r="PTR5" s="390"/>
      <c r="PTS5" s="390"/>
      <c r="PTT5" s="390"/>
      <c r="PTU5" s="390"/>
      <c r="PTV5" s="390"/>
      <c r="PTW5" s="390"/>
      <c r="PTX5" s="390"/>
      <c r="PTY5" s="390"/>
      <c r="PTZ5" s="390"/>
      <c r="PUA5" s="390"/>
      <c r="PUB5" s="390"/>
      <c r="PUC5" s="390"/>
      <c r="PUD5" s="390"/>
      <c r="PUE5" s="390"/>
      <c r="PUF5" s="390"/>
      <c r="PUG5" s="390"/>
      <c r="PUH5" s="390"/>
      <c r="PUI5" s="390"/>
      <c r="PUJ5" s="390"/>
      <c r="PUK5" s="390"/>
      <c r="PUL5" s="390"/>
      <c r="PUM5" s="390"/>
      <c r="PUN5" s="390"/>
      <c r="PUO5" s="390"/>
      <c r="PUP5" s="390"/>
      <c r="PUQ5" s="390"/>
      <c r="PUR5" s="390"/>
      <c r="PUS5" s="390"/>
      <c r="PUT5" s="390"/>
      <c r="PUU5" s="390"/>
      <c r="PUV5" s="390"/>
      <c r="PUW5" s="390"/>
      <c r="PUX5" s="390"/>
      <c r="PUY5" s="390"/>
      <c r="PUZ5" s="390"/>
      <c r="PVA5" s="390"/>
      <c r="PVB5" s="390"/>
      <c r="PVC5" s="390"/>
      <c r="PVD5" s="390"/>
      <c r="PVE5" s="390"/>
      <c r="PVF5" s="390"/>
      <c r="PVG5" s="390"/>
      <c r="PVH5" s="390"/>
      <c r="PVI5" s="390"/>
      <c r="PVJ5" s="390"/>
      <c r="PVK5" s="390"/>
      <c r="PVL5" s="390"/>
      <c r="PVM5" s="390"/>
      <c r="PVN5" s="390"/>
      <c r="PVO5" s="390"/>
      <c r="PVP5" s="390"/>
      <c r="PVQ5" s="390"/>
      <c r="PVR5" s="390"/>
      <c r="PVS5" s="390"/>
      <c r="PVT5" s="390"/>
      <c r="PVU5" s="390"/>
      <c r="PVV5" s="390"/>
      <c r="PVW5" s="390"/>
      <c r="PVX5" s="390"/>
      <c r="PVY5" s="390"/>
      <c r="PVZ5" s="390"/>
      <c r="PWA5" s="390"/>
      <c r="PWB5" s="390"/>
      <c r="PWC5" s="390"/>
      <c r="PWD5" s="390"/>
      <c r="PWE5" s="390"/>
      <c r="PWF5" s="390"/>
      <c r="PWG5" s="390"/>
      <c r="PWH5" s="390"/>
      <c r="PWI5" s="390"/>
      <c r="PWJ5" s="390"/>
      <c r="PWK5" s="390"/>
      <c r="PWL5" s="390"/>
      <c r="PWM5" s="390"/>
      <c r="PWN5" s="390"/>
      <c r="PWO5" s="390"/>
      <c r="PWP5" s="390"/>
      <c r="PWQ5" s="390"/>
      <c r="PWR5" s="390"/>
      <c r="PWS5" s="390"/>
      <c r="PWT5" s="390"/>
      <c r="PWU5" s="390"/>
      <c r="PWV5" s="390"/>
      <c r="PWW5" s="390"/>
      <c r="PWX5" s="390"/>
      <c r="PWY5" s="390"/>
      <c r="PWZ5" s="390"/>
      <c r="PXA5" s="390"/>
      <c r="PXB5" s="390"/>
      <c r="PXC5" s="390"/>
      <c r="PXD5" s="390"/>
      <c r="PXE5" s="390"/>
      <c r="PXF5" s="390"/>
      <c r="PXG5" s="390"/>
      <c r="PXH5" s="390"/>
      <c r="PXI5" s="390"/>
      <c r="PXJ5" s="390"/>
      <c r="PXK5" s="390"/>
      <c r="PXL5" s="390"/>
      <c r="PXM5" s="390"/>
      <c r="PXN5" s="390"/>
      <c r="PXO5" s="390"/>
      <c r="PXP5" s="390"/>
      <c r="PXQ5" s="390"/>
      <c r="PXR5" s="390"/>
      <c r="PXS5" s="390"/>
      <c r="PXT5" s="390"/>
      <c r="PXU5" s="390"/>
      <c r="PXV5" s="390"/>
      <c r="PXW5" s="390"/>
      <c r="PXX5" s="390"/>
      <c r="PXY5" s="390"/>
      <c r="PXZ5" s="390"/>
      <c r="PYA5" s="390"/>
      <c r="PYB5" s="390"/>
      <c r="PYC5" s="390"/>
      <c r="PYD5" s="390"/>
      <c r="PYE5" s="390"/>
      <c r="PYF5" s="390"/>
      <c r="PYG5" s="390"/>
      <c r="PYH5" s="390"/>
      <c r="PYI5" s="390"/>
      <c r="PYJ5" s="390"/>
      <c r="PYK5" s="390"/>
      <c r="PYL5" s="390"/>
      <c r="PYM5" s="390"/>
      <c r="PYN5" s="390"/>
      <c r="PYO5" s="390"/>
      <c r="PYP5" s="390"/>
      <c r="PYQ5" s="390"/>
      <c r="PYR5" s="390"/>
      <c r="PYS5" s="390"/>
      <c r="PYT5" s="390"/>
      <c r="PYU5" s="390"/>
      <c r="PYV5" s="390"/>
      <c r="PYW5" s="390"/>
      <c r="PYX5" s="390"/>
      <c r="PYY5" s="390"/>
      <c r="PYZ5" s="390"/>
      <c r="PZA5" s="390"/>
      <c r="PZB5" s="390"/>
      <c r="PZC5" s="390"/>
      <c r="PZD5" s="390"/>
      <c r="PZE5" s="390"/>
      <c r="PZF5" s="390"/>
      <c r="PZG5" s="390"/>
      <c r="PZH5" s="390"/>
      <c r="PZI5" s="390"/>
      <c r="PZJ5" s="390"/>
      <c r="PZK5" s="390"/>
      <c r="PZL5" s="390"/>
      <c r="PZM5" s="390"/>
      <c r="PZN5" s="390"/>
      <c r="PZO5" s="390"/>
      <c r="PZP5" s="390"/>
      <c r="PZQ5" s="390"/>
      <c r="PZR5" s="390"/>
      <c r="PZS5" s="390"/>
      <c r="PZT5" s="390"/>
      <c r="PZU5" s="390"/>
      <c r="PZV5" s="390"/>
      <c r="PZW5" s="390"/>
      <c r="PZX5" s="390"/>
      <c r="PZY5" s="390"/>
      <c r="PZZ5" s="390"/>
      <c r="QAA5" s="390"/>
      <c r="QAB5" s="390"/>
      <c r="QAC5" s="390"/>
      <c r="QAD5" s="390"/>
      <c r="QAE5" s="390"/>
      <c r="QAF5" s="390"/>
      <c r="QAG5" s="390"/>
      <c r="QAH5" s="390"/>
      <c r="QAI5" s="390"/>
      <c r="QAJ5" s="390"/>
      <c r="QAK5" s="390"/>
      <c r="QAL5" s="390"/>
      <c r="QAM5" s="390"/>
      <c r="QAN5" s="390"/>
      <c r="QAO5" s="390"/>
      <c r="QAP5" s="390"/>
      <c r="QAQ5" s="390"/>
      <c r="QAR5" s="390"/>
      <c r="QAS5" s="390"/>
      <c r="QAT5" s="390"/>
      <c r="QAU5" s="390"/>
      <c r="QAV5" s="390"/>
      <c r="QAW5" s="390"/>
      <c r="QAX5" s="390"/>
      <c r="QAY5" s="390"/>
      <c r="QAZ5" s="390"/>
      <c r="QBA5" s="390"/>
      <c r="QBB5" s="390"/>
      <c r="QBC5" s="390"/>
      <c r="QBD5" s="390"/>
      <c r="QBE5" s="390"/>
      <c r="QBF5" s="390"/>
      <c r="QBG5" s="390"/>
      <c r="QBH5" s="390"/>
      <c r="QBI5" s="390"/>
      <c r="QBJ5" s="390"/>
      <c r="QBK5" s="390"/>
      <c r="QBL5" s="390"/>
      <c r="QBM5" s="390"/>
      <c r="QBN5" s="390"/>
      <c r="QBO5" s="390"/>
      <c r="QBP5" s="390"/>
      <c r="QBQ5" s="390"/>
      <c r="QBR5" s="390"/>
      <c r="QBS5" s="390"/>
      <c r="QBT5" s="390"/>
      <c r="QBU5" s="390"/>
      <c r="QBV5" s="390"/>
      <c r="QBW5" s="390"/>
      <c r="QBX5" s="390"/>
      <c r="QBY5" s="390"/>
      <c r="QBZ5" s="390"/>
      <c r="QCA5" s="390"/>
      <c r="QCB5" s="390"/>
      <c r="QCC5" s="390"/>
      <c r="QCD5" s="390"/>
      <c r="QCE5" s="390"/>
      <c r="QCF5" s="390"/>
      <c r="QCG5" s="390"/>
      <c r="QCH5" s="390"/>
      <c r="QCI5" s="390"/>
      <c r="QCJ5" s="390"/>
      <c r="QCK5" s="390"/>
      <c r="QCL5" s="390"/>
      <c r="QCM5" s="390"/>
      <c r="QCN5" s="390"/>
      <c r="QCO5" s="390"/>
      <c r="QCP5" s="390"/>
      <c r="QCQ5" s="390"/>
      <c r="QCR5" s="390"/>
      <c r="QCS5" s="390"/>
      <c r="QCT5" s="390"/>
      <c r="QCU5" s="390"/>
      <c r="QCV5" s="390"/>
      <c r="QCW5" s="390"/>
      <c r="QCX5" s="390"/>
      <c r="QCY5" s="390"/>
      <c r="QCZ5" s="390"/>
      <c r="QDA5" s="390"/>
      <c r="QDB5" s="390"/>
      <c r="QDC5" s="390"/>
      <c r="QDD5" s="390"/>
      <c r="QDE5" s="390"/>
      <c r="QDF5" s="390"/>
      <c r="QDG5" s="390"/>
      <c r="QDH5" s="390"/>
      <c r="QDI5" s="390"/>
      <c r="QDJ5" s="390"/>
      <c r="QDK5" s="390"/>
      <c r="QDL5" s="390"/>
      <c r="QDM5" s="390"/>
      <c r="QDN5" s="390"/>
      <c r="QDO5" s="390"/>
      <c r="QDP5" s="390"/>
      <c r="QDQ5" s="390"/>
      <c r="QDR5" s="390"/>
      <c r="QDS5" s="390"/>
      <c r="QDT5" s="390"/>
      <c r="QDU5" s="390"/>
      <c r="QDV5" s="390"/>
      <c r="QDW5" s="390"/>
      <c r="QDX5" s="390"/>
      <c r="QDY5" s="390"/>
      <c r="QDZ5" s="390"/>
      <c r="QEA5" s="390"/>
      <c r="QEB5" s="390"/>
      <c r="QEC5" s="390"/>
      <c r="QED5" s="390"/>
      <c r="QEE5" s="390"/>
      <c r="QEF5" s="390"/>
      <c r="QEG5" s="390"/>
      <c r="QEH5" s="390"/>
      <c r="QEI5" s="390"/>
      <c r="QEJ5" s="390"/>
      <c r="QEK5" s="390"/>
      <c r="QEL5" s="390"/>
      <c r="QEM5" s="390"/>
      <c r="QEN5" s="390"/>
      <c r="QEO5" s="390"/>
      <c r="QEP5" s="390"/>
      <c r="QEQ5" s="390"/>
      <c r="QER5" s="390"/>
      <c r="QES5" s="390"/>
      <c r="QET5" s="390"/>
      <c r="QEU5" s="390"/>
      <c r="QEV5" s="390"/>
      <c r="QEW5" s="390"/>
      <c r="QEX5" s="390"/>
      <c r="QEY5" s="390"/>
      <c r="QEZ5" s="390"/>
      <c r="QFA5" s="390"/>
      <c r="QFB5" s="390"/>
      <c r="QFC5" s="390"/>
      <c r="QFD5" s="390"/>
      <c r="QFE5" s="390"/>
      <c r="QFF5" s="390"/>
      <c r="QFG5" s="390"/>
      <c r="QFH5" s="390"/>
      <c r="QFI5" s="390"/>
      <c r="QFJ5" s="390"/>
      <c r="QFK5" s="390"/>
      <c r="QFL5" s="390"/>
      <c r="QFM5" s="390"/>
      <c r="QFN5" s="390"/>
      <c r="QFO5" s="390"/>
      <c r="QFP5" s="390"/>
      <c r="QFQ5" s="390"/>
      <c r="QFR5" s="390"/>
      <c r="QFS5" s="390"/>
      <c r="QFT5" s="390"/>
      <c r="QFU5" s="390"/>
      <c r="QFV5" s="390"/>
      <c r="QFW5" s="390"/>
      <c r="QFX5" s="390"/>
      <c r="QFY5" s="390"/>
      <c r="QFZ5" s="390"/>
      <c r="QGA5" s="390"/>
      <c r="QGB5" s="390"/>
      <c r="QGC5" s="390"/>
      <c r="QGD5" s="390"/>
      <c r="QGE5" s="390"/>
      <c r="QGF5" s="390"/>
      <c r="QGG5" s="390"/>
      <c r="QGH5" s="390"/>
      <c r="QGI5" s="390"/>
      <c r="QGJ5" s="390"/>
      <c r="QGK5" s="390"/>
      <c r="QGL5" s="390"/>
      <c r="QGM5" s="390"/>
      <c r="QGN5" s="390"/>
      <c r="QGO5" s="390"/>
      <c r="QGP5" s="390"/>
      <c r="QGQ5" s="390"/>
      <c r="QGR5" s="390"/>
      <c r="QGS5" s="390"/>
      <c r="QGT5" s="390"/>
      <c r="QGU5" s="390"/>
      <c r="QGV5" s="390"/>
      <c r="QGW5" s="390"/>
      <c r="QGX5" s="390"/>
      <c r="QGY5" s="390"/>
      <c r="QGZ5" s="390"/>
      <c r="QHA5" s="390"/>
      <c r="QHB5" s="390"/>
      <c r="QHC5" s="390"/>
      <c r="QHD5" s="390"/>
      <c r="QHE5" s="390"/>
      <c r="QHF5" s="390"/>
      <c r="QHG5" s="390"/>
      <c r="QHH5" s="390"/>
      <c r="QHI5" s="390"/>
      <c r="QHJ5" s="390"/>
      <c r="QHK5" s="390"/>
      <c r="QHL5" s="390"/>
      <c r="QHM5" s="390"/>
      <c r="QHN5" s="390"/>
      <c r="QHO5" s="390"/>
      <c r="QHP5" s="390"/>
      <c r="QHQ5" s="390"/>
      <c r="QHR5" s="390"/>
      <c r="QHS5" s="390"/>
      <c r="QHT5" s="390"/>
      <c r="QHU5" s="390"/>
      <c r="QHV5" s="390"/>
      <c r="QHW5" s="390"/>
      <c r="QHX5" s="390"/>
      <c r="QHY5" s="390"/>
      <c r="QHZ5" s="390"/>
      <c r="QIA5" s="390"/>
      <c r="QIB5" s="390"/>
      <c r="QIC5" s="390"/>
      <c r="QID5" s="390"/>
      <c r="QIE5" s="390"/>
      <c r="QIF5" s="390"/>
      <c r="QIG5" s="390"/>
      <c r="QIH5" s="390"/>
      <c r="QII5" s="390"/>
      <c r="QIJ5" s="390"/>
      <c r="QIK5" s="390"/>
      <c r="QIL5" s="390"/>
      <c r="QIM5" s="390"/>
      <c r="QIN5" s="390"/>
      <c r="QIO5" s="390"/>
      <c r="QIP5" s="390"/>
      <c r="QIQ5" s="390"/>
      <c r="QIR5" s="390"/>
      <c r="QIS5" s="390"/>
      <c r="QIT5" s="390"/>
      <c r="QIU5" s="390"/>
      <c r="QIV5" s="390"/>
      <c r="QIW5" s="390"/>
      <c r="QIX5" s="390"/>
      <c r="QIY5" s="390"/>
      <c r="QIZ5" s="390"/>
      <c r="QJA5" s="390"/>
      <c r="QJB5" s="390"/>
      <c r="QJC5" s="390"/>
      <c r="QJD5" s="390"/>
      <c r="QJE5" s="390"/>
      <c r="QJF5" s="390"/>
      <c r="QJG5" s="390"/>
      <c r="QJH5" s="390"/>
      <c r="QJI5" s="390"/>
      <c r="QJJ5" s="390"/>
      <c r="QJK5" s="390"/>
      <c r="QJL5" s="390"/>
      <c r="QJM5" s="390"/>
      <c r="QJN5" s="390"/>
      <c r="QJO5" s="390"/>
      <c r="QJP5" s="390"/>
      <c r="QJQ5" s="390"/>
      <c r="QJR5" s="390"/>
      <c r="QJS5" s="390"/>
      <c r="QJT5" s="390"/>
      <c r="QJU5" s="390"/>
      <c r="QJV5" s="390"/>
      <c r="QJW5" s="390"/>
      <c r="QJX5" s="390"/>
      <c r="QJY5" s="390"/>
      <c r="QJZ5" s="390"/>
      <c r="QKA5" s="390"/>
      <c r="QKB5" s="390"/>
      <c r="QKC5" s="390"/>
      <c r="QKD5" s="390"/>
      <c r="QKE5" s="390"/>
      <c r="QKF5" s="390"/>
      <c r="QKG5" s="390"/>
      <c r="QKH5" s="390"/>
      <c r="QKI5" s="390"/>
      <c r="QKJ5" s="390"/>
      <c r="QKK5" s="390"/>
      <c r="QKL5" s="390"/>
      <c r="QKM5" s="390"/>
      <c r="QKN5" s="390"/>
      <c r="QKO5" s="390"/>
      <c r="QKP5" s="390"/>
      <c r="QKQ5" s="390"/>
      <c r="QKR5" s="390"/>
      <c r="QKS5" s="390"/>
      <c r="QKT5" s="390"/>
      <c r="QKU5" s="390"/>
      <c r="QKV5" s="390"/>
      <c r="QKW5" s="390"/>
      <c r="QKX5" s="390"/>
      <c r="QKY5" s="390"/>
      <c r="QKZ5" s="390"/>
      <c r="QLA5" s="390"/>
      <c r="QLB5" s="390"/>
      <c r="QLC5" s="390"/>
      <c r="QLD5" s="390"/>
      <c r="QLE5" s="390"/>
      <c r="QLF5" s="390"/>
      <c r="QLG5" s="390"/>
      <c r="QLH5" s="390"/>
      <c r="QLI5" s="390"/>
      <c r="QLJ5" s="390"/>
      <c r="QLK5" s="390"/>
      <c r="QLL5" s="390"/>
      <c r="QLM5" s="390"/>
      <c r="QLN5" s="390"/>
      <c r="QLO5" s="390"/>
      <c r="QLP5" s="390"/>
      <c r="QLQ5" s="390"/>
      <c r="QLR5" s="390"/>
      <c r="QLS5" s="390"/>
      <c r="QLT5" s="390"/>
      <c r="QLU5" s="390"/>
      <c r="QLV5" s="390"/>
      <c r="QLW5" s="390"/>
      <c r="QLX5" s="390"/>
      <c r="QLY5" s="390"/>
      <c r="QLZ5" s="390"/>
      <c r="QMA5" s="390"/>
      <c r="QMB5" s="390"/>
      <c r="QMC5" s="390"/>
      <c r="QMD5" s="390"/>
      <c r="QME5" s="390"/>
      <c r="QMF5" s="390"/>
      <c r="QMG5" s="390"/>
      <c r="QMH5" s="390"/>
      <c r="QMI5" s="390"/>
      <c r="QMJ5" s="390"/>
      <c r="QMK5" s="390"/>
      <c r="QML5" s="390"/>
      <c r="QMM5" s="390"/>
      <c r="QMN5" s="390"/>
      <c r="QMO5" s="390"/>
      <c r="QMP5" s="390"/>
      <c r="QMQ5" s="390"/>
      <c r="QMR5" s="390"/>
      <c r="QMS5" s="390"/>
      <c r="QMT5" s="390"/>
      <c r="QMU5" s="390"/>
      <c r="QMV5" s="390"/>
      <c r="QMW5" s="390"/>
      <c r="QMX5" s="390"/>
      <c r="QMY5" s="390"/>
      <c r="QMZ5" s="390"/>
      <c r="QNA5" s="390"/>
      <c r="QNB5" s="390"/>
      <c r="QNC5" s="390"/>
      <c r="QND5" s="390"/>
      <c r="QNE5" s="390"/>
      <c r="QNF5" s="390"/>
      <c r="QNG5" s="390"/>
      <c r="QNH5" s="390"/>
      <c r="QNI5" s="390"/>
      <c r="QNJ5" s="390"/>
      <c r="QNK5" s="390"/>
      <c r="QNL5" s="390"/>
      <c r="QNM5" s="390"/>
      <c r="QNN5" s="390"/>
      <c r="QNO5" s="390"/>
      <c r="QNP5" s="390"/>
      <c r="QNQ5" s="390"/>
      <c r="QNR5" s="390"/>
      <c r="QNS5" s="390"/>
      <c r="QNT5" s="390"/>
      <c r="QNU5" s="390"/>
      <c r="QNV5" s="390"/>
      <c r="QNW5" s="390"/>
      <c r="QNX5" s="390"/>
      <c r="QNY5" s="390"/>
      <c r="QNZ5" s="390"/>
      <c r="QOA5" s="390"/>
      <c r="QOB5" s="390"/>
      <c r="QOC5" s="390"/>
      <c r="QOD5" s="390"/>
      <c r="QOE5" s="390"/>
      <c r="QOF5" s="390"/>
      <c r="QOG5" s="390"/>
      <c r="QOH5" s="390"/>
      <c r="QOI5" s="390"/>
      <c r="QOJ5" s="390"/>
      <c r="QOK5" s="390"/>
      <c r="QOL5" s="390"/>
      <c r="QOM5" s="390"/>
      <c r="QON5" s="390"/>
      <c r="QOO5" s="390"/>
      <c r="QOP5" s="390"/>
      <c r="QOQ5" s="390"/>
      <c r="QOR5" s="390"/>
      <c r="QOS5" s="390"/>
      <c r="QOT5" s="390"/>
      <c r="QOU5" s="390"/>
      <c r="QOV5" s="390"/>
      <c r="QOW5" s="390"/>
      <c r="QOX5" s="390"/>
      <c r="QOY5" s="390"/>
      <c r="QOZ5" s="390"/>
      <c r="QPA5" s="390"/>
      <c r="QPB5" s="390"/>
      <c r="QPC5" s="390"/>
      <c r="QPD5" s="390"/>
      <c r="QPE5" s="390"/>
      <c r="QPF5" s="390"/>
      <c r="QPG5" s="390"/>
      <c r="QPH5" s="390"/>
      <c r="QPI5" s="390"/>
      <c r="QPJ5" s="390"/>
      <c r="QPK5" s="390"/>
      <c r="QPL5" s="390"/>
      <c r="QPM5" s="390"/>
      <c r="QPN5" s="390"/>
      <c r="QPO5" s="390"/>
      <c r="QPP5" s="390"/>
      <c r="QPQ5" s="390"/>
      <c r="QPR5" s="390"/>
      <c r="QPS5" s="390"/>
      <c r="QPT5" s="390"/>
      <c r="QPU5" s="390"/>
      <c r="QPV5" s="390"/>
      <c r="QPW5" s="390"/>
      <c r="QPX5" s="390"/>
      <c r="QPY5" s="390"/>
      <c r="QPZ5" s="390"/>
      <c r="QQA5" s="390"/>
      <c r="QQB5" s="390"/>
      <c r="QQC5" s="390"/>
      <c r="QQD5" s="390"/>
      <c r="QQE5" s="390"/>
      <c r="QQF5" s="390"/>
      <c r="QQG5" s="390"/>
      <c r="QQH5" s="390"/>
      <c r="QQI5" s="390"/>
      <c r="QQJ5" s="390"/>
      <c r="QQK5" s="390"/>
      <c r="QQL5" s="390"/>
      <c r="QQM5" s="390"/>
      <c r="QQN5" s="390"/>
      <c r="QQO5" s="390"/>
      <c r="QQP5" s="390"/>
      <c r="QQQ5" s="390"/>
      <c r="QQR5" s="390"/>
      <c r="QQS5" s="390"/>
      <c r="QQT5" s="390"/>
      <c r="QQU5" s="390"/>
      <c r="QQV5" s="390"/>
      <c r="QQW5" s="390"/>
      <c r="QQX5" s="390"/>
      <c r="QQY5" s="390"/>
      <c r="QQZ5" s="390"/>
      <c r="QRA5" s="390"/>
      <c r="QRB5" s="390"/>
      <c r="QRC5" s="390"/>
      <c r="QRD5" s="390"/>
      <c r="QRE5" s="390"/>
      <c r="QRF5" s="390"/>
      <c r="QRG5" s="390"/>
      <c r="QRH5" s="390"/>
      <c r="QRI5" s="390"/>
      <c r="QRJ5" s="390"/>
      <c r="QRK5" s="390"/>
      <c r="QRL5" s="390"/>
      <c r="QRM5" s="390"/>
      <c r="QRN5" s="390"/>
      <c r="QRO5" s="390"/>
      <c r="QRP5" s="390"/>
      <c r="QRQ5" s="390"/>
      <c r="QRR5" s="390"/>
      <c r="QRS5" s="390"/>
      <c r="QRT5" s="390"/>
      <c r="QRU5" s="390"/>
      <c r="QRV5" s="390"/>
      <c r="QRW5" s="390"/>
      <c r="QRX5" s="390"/>
      <c r="QRY5" s="390"/>
      <c r="QRZ5" s="390"/>
      <c r="QSA5" s="390"/>
      <c r="QSB5" s="390"/>
      <c r="QSC5" s="390"/>
      <c r="QSD5" s="390"/>
      <c r="QSE5" s="390"/>
      <c r="QSF5" s="390"/>
      <c r="QSG5" s="390"/>
      <c r="QSH5" s="390"/>
      <c r="QSI5" s="390"/>
      <c r="QSJ5" s="390"/>
      <c r="QSK5" s="390"/>
      <c r="QSL5" s="390"/>
      <c r="QSM5" s="390"/>
      <c r="QSN5" s="390"/>
      <c r="QSO5" s="390"/>
      <c r="QSP5" s="390"/>
      <c r="QSQ5" s="390"/>
      <c r="QSR5" s="390"/>
      <c r="QSS5" s="390"/>
      <c r="QST5" s="390"/>
      <c r="QSU5" s="390"/>
      <c r="QSV5" s="390"/>
      <c r="QSW5" s="390"/>
      <c r="QSX5" s="390"/>
      <c r="QSY5" s="390"/>
      <c r="QSZ5" s="390"/>
      <c r="QTA5" s="390"/>
      <c r="QTB5" s="390"/>
      <c r="QTC5" s="390"/>
      <c r="QTD5" s="390"/>
      <c r="QTE5" s="390"/>
      <c r="QTF5" s="390"/>
      <c r="QTG5" s="390"/>
      <c r="QTH5" s="390"/>
      <c r="QTI5" s="390"/>
      <c r="QTJ5" s="390"/>
      <c r="QTK5" s="390"/>
      <c r="QTL5" s="390"/>
      <c r="QTM5" s="390"/>
      <c r="QTN5" s="390"/>
      <c r="QTO5" s="390"/>
      <c r="QTP5" s="390"/>
      <c r="QTQ5" s="390"/>
      <c r="QTR5" s="390"/>
      <c r="QTS5" s="390"/>
      <c r="QTT5" s="390"/>
      <c r="QTU5" s="390"/>
      <c r="QTV5" s="390"/>
      <c r="QTW5" s="390"/>
      <c r="QTX5" s="390"/>
      <c r="QTY5" s="390"/>
      <c r="QTZ5" s="390"/>
      <c r="QUA5" s="390"/>
      <c r="QUB5" s="390"/>
      <c r="QUC5" s="390"/>
      <c r="QUD5" s="390"/>
      <c r="QUE5" s="390"/>
      <c r="QUF5" s="390"/>
      <c r="QUG5" s="390"/>
      <c r="QUH5" s="390"/>
      <c r="QUI5" s="390"/>
      <c r="QUJ5" s="390"/>
      <c r="QUK5" s="390"/>
      <c r="QUL5" s="390"/>
      <c r="QUM5" s="390"/>
      <c r="QUN5" s="390"/>
      <c r="QUO5" s="390"/>
      <c r="QUP5" s="390"/>
      <c r="QUQ5" s="390"/>
      <c r="QUR5" s="390"/>
      <c r="QUS5" s="390"/>
      <c r="QUT5" s="390"/>
      <c r="QUU5" s="390"/>
      <c r="QUV5" s="390"/>
      <c r="QUW5" s="390"/>
      <c r="QUX5" s="390"/>
      <c r="QUY5" s="390"/>
      <c r="QUZ5" s="390"/>
      <c r="QVA5" s="390"/>
      <c r="QVB5" s="390"/>
      <c r="QVC5" s="390"/>
      <c r="QVD5" s="390"/>
      <c r="QVE5" s="390"/>
      <c r="QVF5" s="390"/>
      <c r="QVG5" s="390"/>
      <c r="QVH5" s="390"/>
      <c r="QVI5" s="390"/>
      <c r="QVJ5" s="390"/>
      <c r="QVK5" s="390"/>
      <c r="QVL5" s="390"/>
      <c r="QVM5" s="390"/>
      <c r="QVN5" s="390"/>
      <c r="QVO5" s="390"/>
      <c r="QVP5" s="390"/>
      <c r="QVQ5" s="390"/>
      <c r="QVR5" s="390"/>
      <c r="QVS5" s="390"/>
      <c r="QVT5" s="390"/>
      <c r="QVU5" s="390"/>
      <c r="QVV5" s="390"/>
      <c r="QVW5" s="390"/>
      <c r="QVX5" s="390"/>
      <c r="QVY5" s="390"/>
      <c r="QVZ5" s="390"/>
      <c r="QWA5" s="390"/>
      <c r="QWB5" s="390"/>
      <c r="QWC5" s="390"/>
      <c r="QWD5" s="390"/>
      <c r="QWE5" s="390"/>
      <c r="QWF5" s="390"/>
      <c r="QWG5" s="390"/>
      <c r="QWH5" s="390"/>
      <c r="QWI5" s="390"/>
      <c r="QWJ5" s="390"/>
      <c r="QWK5" s="390"/>
      <c r="QWL5" s="390"/>
      <c r="QWM5" s="390"/>
      <c r="QWN5" s="390"/>
      <c r="QWO5" s="390"/>
      <c r="QWP5" s="390"/>
      <c r="QWQ5" s="390"/>
      <c r="QWR5" s="390"/>
      <c r="QWS5" s="390"/>
      <c r="QWT5" s="390"/>
      <c r="QWU5" s="390"/>
      <c r="QWV5" s="390"/>
      <c r="QWW5" s="390"/>
      <c r="QWX5" s="390"/>
      <c r="QWY5" s="390"/>
      <c r="QWZ5" s="390"/>
      <c r="QXA5" s="390"/>
      <c r="QXB5" s="390"/>
      <c r="QXC5" s="390"/>
      <c r="QXD5" s="390"/>
      <c r="QXE5" s="390"/>
      <c r="QXF5" s="390"/>
      <c r="QXG5" s="390"/>
      <c r="QXH5" s="390"/>
      <c r="QXI5" s="390"/>
      <c r="QXJ5" s="390"/>
      <c r="QXK5" s="390"/>
      <c r="QXL5" s="390"/>
      <c r="QXM5" s="390"/>
      <c r="QXN5" s="390"/>
      <c r="QXO5" s="390"/>
      <c r="QXP5" s="390"/>
      <c r="QXQ5" s="390"/>
      <c r="QXR5" s="390"/>
      <c r="QXS5" s="390"/>
      <c r="QXT5" s="390"/>
      <c r="QXU5" s="390"/>
      <c r="QXV5" s="390"/>
      <c r="QXW5" s="390"/>
      <c r="QXX5" s="390"/>
      <c r="QXY5" s="390"/>
      <c r="QXZ5" s="390"/>
      <c r="QYA5" s="390"/>
      <c r="QYB5" s="390"/>
      <c r="QYC5" s="390"/>
      <c r="QYD5" s="390"/>
      <c r="QYE5" s="390"/>
      <c r="QYF5" s="390"/>
      <c r="QYG5" s="390"/>
      <c r="QYH5" s="390"/>
      <c r="QYI5" s="390"/>
      <c r="QYJ5" s="390"/>
      <c r="QYK5" s="390"/>
      <c r="QYL5" s="390"/>
      <c r="QYM5" s="390"/>
      <c r="QYN5" s="390"/>
      <c r="QYO5" s="390"/>
      <c r="QYP5" s="390"/>
      <c r="QYQ5" s="390"/>
      <c r="QYR5" s="390"/>
      <c r="QYS5" s="390"/>
      <c r="QYT5" s="390"/>
      <c r="QYU5" s="390"/>
      <c r="QYV5" s="390"/>
      <c r="QYW5" s="390"/>
      <c r="QYX5" s="390"/>
      <c r="QYY5" s="390"/>
      <c r="QYZ5" s="390"/>
      <c r="QZA5" s="390"/>
      <c r="QZB5" s="390"/>
      <c r="QZC5" s="390"/>
      <c r="QZD5" s="390"/>
      <c r="QZE5" s="390"/>
      <c r="QZF5" s="390"/>
      <c r="QZG5" s="390"/>
      <c r="QZH5" s="390"/>
      <c r="QZI5" s="390"/>
      <c r="QZJ5" s="390"/>
      <c r="QZK5" s="390"/>
      <c r="QZL5" s="390"/>
      <c r="QZM5" s="390"/>
      <c r="QZN5" s="390"/>
      <c r="QZO5" s="390"/>
      <c r="QZP5" s="390"/>
      <c r="QZQ5" s="390"/>
      <c r="QZR5" s="390"/>
      <c r="QZS5" s="390"/>
      <c r="QZT5" s="390"/>
      <c r="QZU5" s="390"/>
      <c r="QZV5" s="390"/>
      <c r="QZW5" s="390"/>
      <c r="QZX5" s="390"/>
      <c r="QZY5" s="390"/>
      <c r="QZZ5" s="390"/>
      <c r="RAA5" s="390"/>
      <c r="RAB5" s="390"/>
      <c r="RAC5" s="390"/>
      <c r="RAD5" s="390"/>
      <c r="RAE5" s="390"/>
      <c r="RAF5" s="390"/>
      <c r="RAG5" s="390"/>
      <c r="RAH5" s="390"/>
      <c r="RAI5" s="390"/>
      <c r="RAJ5" s="390"/>
      <c r="RAK5" s="390"/>
      <c r="RAL5" s="390"/>
      <c r="RAM5" s="390"/>
      <c r="RAN5" s="390"/>
      <c r="RAO5" s="390"/>
      <c r="RAP5" s="390"/>
      <c r="RAQ5" s="390"/>
      <c r="RAR5" s="390"/>
      <c r="RAS5" s="390"/>
      <c r="RAT5" s="390"/>
      <c r="RAU5" s="390"/>
      <c r="RAV5" s="390"/>
      <c r="RAW5" s="390"/>
      <c r="RAX5" s="390"/>
      <c r="RAY5" s="390"/>
      <c r="RAZ5" s="390"/>
      <c r="RBA5" s="390"/>
      <c r="RBB5" s="390"/>
      <c r="RBC5" s="390"/>
      <c r="RBD5" s="390"/>
      <c r="RBE5" s="390"/>
      <c r="RBF5" s="390"/>
      <c r="RBG5" s="390"/>
      <c r="RBH5" s="390"/>
      <c r="RBI5" s="390"/>
      <c r="RBJ5" s="390"/>
      <c r="RBK5" s="390"/>
      <c r="RBL5" s="390"/>
      <c r="RBM5" s="390"/>
      <c r="RBN5" s="390"/>
      <c r="RBO5" s="390"/>
      <c r="RBP5" s="390"/>
      <c r="RBQ5" s="390"/>
      <c r="RBR5" s="390"/>
      <c r="RBS5" s="390"/>
      <c r="RBT5" s="390"/>
      <c r="RBU5" s="390"/>
      <c r="RBV5" s="390"/>
      <c r="RBW5" s="390"/>
      <c r="RBX5" s="390"/>
      <c r="RBY5" s="390"/>
      <c r="RBZ5" s="390"/>
      <c r="RCA5" s="390"/>
      <c r="RCB5" s="390"/>
      <c r="RCC5" s="390"/>
      <c r="RCD5" s="390"/>
      <c r="RCE5" s="390"/>
      <c r="RCF5" s="390"/>
      <c r="RCG5" s="390"/>
      <c r="RCH5" s="390"/>
      <c r="RCI5" s="390"/>
      <c r="RCJ5" s="390"/>
      <c r="RCK5" s="390"/>
      <c r="RCL5" s="390"/>
      <c r="RCM5" s="390"/>
      <c r="RCN5" s="390"/>
      <c r="RCO5" s="390"/>
      <c r="RCP5" s="390"/>
      <c r="RCQ5" s="390"/>
      <c r="RCR5" s="390"/>
      <c r="RCS5" s="390"/>
      <c r="RCT5" s="390"/>
      <c r="RCU5" s="390"/>
      <c r="RCV5" s="390"/>
      <c r="RCW5" s="390"/>
      <c r="RCX5" s="390"/>
      <c r="RCY5" s="390"/>
      <c r="RCZ5" s="390"/>
      <c r="RDA5" s="390"/>
      <c r="RDB5" s="390"/>
      <c r="RDC5" s="390"/>
      <c r="RDD5" s="390"/>
      <c r="RDE5" s="390"/>
      <c r="RDF5" s="390"/>
      <c r="RDG5" s="390"/>
      <c r="RDH5" s="390"/>
      <c r="RDI5" s="390"/>
      <c r="RDJ5" s="390"/>
      <c r="RDK5" s="390"/>
      <c r="RDL5" s="390"/>
      <c r="RDM5" s="390"/>
      <c r="RDN5" s="390"/>
      <c r="RDO5" s="390"/>
      <c r="RDP5" s="390"/>
      <c r="RDQ5" s="390"/>
      <c r="RDR5" s="390"/>
      <c r="RDS5" s="390"/>
      <c r="RDT5" s="390"/>
      <c r="RDU5" s="390"/>
      <c r="RDV5" s="390"/>
      <c r="RDW5" s="390"/>
      <c r="RDX5" s="390"/>
      <c r="RDY5" s="390"/>
      <c r="RDZ5" s="390"/>
      <c r="REA5" s="390"/>
      <c r="REB5" s="390"/>
      <c r="REC5" s="390"/>
      <c r="RED5" s="390"/>
      <c r="REE5" s="390"/>
      <c r="REF5" s="390"/>
      <c r="REG5" s="390"/>
      <c r="REH5" s="390"/>
      <c r="REI5" s="390"/>
      <c r="REJ5" s="390"/>
      <c r="REK5" s="390"/>
      <c r="REL5" s="390"/>
      <c r="REM5" s="390"/>
      <c r="REN5" s="390"/>
      <c r="REO5" s="390"/>
      <c r="REP5" s="390"/>
      <c r="REQ5" s="390"/>
      <c r="RER5" s="390"/>
      <c r="RES5" s="390"/>
      <c r="RET5" s="390"/>
      <c r="REU5" s="390"/>
      <c r="REV5" s="390"/>
      <c r="REW5" s="390"/>
      <c r="REX5" s="390"/>
      <c r="REY5" s="390"/>
      <c r="REZ5" s="390"/>
      <c r="RFA5" s="390"/>
      <c r="RFB5" s="390"/>
      <c r="RFC5" s="390"/>
      <c r="RFD5" s="390"/>
      <c r="RFE5" s="390"/>
      <c r="RFF5" s="390"/>
      <c r="RFG5" s="390"/>
      <c r="RFH5" s="390"/>
      <c r="RFI5" s="390"/>
      <c r="RFJ5" s="390"/>
      <c r="RFK5" s="390"/>
      <c r="RFL5" s="390"/>
      <c r="RFM5" s="390"/>
      <c r="RFN5" s="390"/>
      <c r="RFO5" s="390"/>
      <c r="RFP5" s="390"/>
      <c r="RFQ5" s="390"/>
      <c r="RFR5" s="390"/>
      <c r="RFS5" s="390"/>
      <c r="RFT5" s="390"/>
      <c r="RFU5" s="390"/>
      <c r="RFV5" s="390"/>
      <c r="RFW5" s="390"/>
      <c r="RFX5" s="390"/>
      <c r="RFY5" s="390"/>
      <c r="RFZ5" s="390"/>
      <c r="RGA5" s="390"/>
      <c r="RGB5" s="390"/>
      <c r="RGC5" s="390"/>
      <c r="RGD5" s="390"/>
      <c r="RGE5" s="390"/>
      <c r="RGF5" s="390"/>
      <c r="RGG5" s="390"/>
      <c r="RGH5" s="390"/>
      <c r="RGI5" s="390"/>
      <c r="RGJ5" s="390"/>
      <c r="RGK5" s="390"/>
      <c r="RGL5" s="390"/>
      <c r="RGM5" s="390"/>
      <c r="RGN5" s="390"/>
      <c r="RGO5" s="390"/>
      <c r="RGP5" s="390"/>
      <c r="RGQ5" s="390"/>
      <c r="RGR5" s="390"/>
      <c r="RGS5" s="390"/>
      <c r="RGT5" s="390"/>
      <c r="RGU5" s="390"/>
      <c r="RGV5" s="390"/>
      <c r="RGW5" s="390"/>
      <c r="RGX5" s="390"/>
      <c r="RGY5" s="390"/>
      <c r="RGZ5" s="390"/>
      <c r="RHA5" s="390"/>
      <c r="RHB5" s="390"/>
      <c r="RHC5" s="390"/>
      <c r="RHD5" s="390"/>
      <c r="RHE5" s="390"/>
      <c r="RHF5" s="390"/>
      <c r="RHG5" s="390"/>
      <c r="RHH5" s="390"/>
      <c r="RHI5" s="390"/>
      <c r="RHJ5" s="390"/>
      <c r="RHK5" s="390"/>
      <c r="RHL5" s="390"/>
      <c r="RHM5" s="390"/>
      <c r="RHN5" s="390"/>
      <c r="RHO5" s="390"/>
      <c r="RHP5" s="390"/>
      <c r="RHQ5" s="390"/>
      <c r="RHR5" s="390"/>
      <c r="RHS5" s="390"/>
      <c r="RHT5" s="390"/>
      <c r="RHU5" s="390"/>
      <c r="RHV5" s="390"/>
      <c r="RHW5" s="390"/>
      <c r="RHX5" s="390"/>
      <c r="RHY5" s="390"/>
      <c r="RHZ5" s="390"/>
      <c r="RIA5" s="390"/>
      <c r="RIB5" s="390"/>
      <c r="RIC5" s="390"/>
      <c r="RID5" s="390"/>
      <c r="RIE5" s="390"/>
      <c r="RIF5" s="390"/>
      <c r="RIG5" s="390"/>
      <c r="RIH5" s="390"/>
      <c r="RII5" s="390"/>
      <c r="RIJ5" s="390"/>
      <c r="RIK5" s="390"/>
      <c r="RIL5" s="390"/>
      <c r="RIM5" s="390"/>
      <c r="RIN5" s="390"/>
      <c r="RIO5" s="390"/>
      <c r="RIP5" s="390"/>
      <c r="RIQ5" s="390"/>
      <c r="RIR5" s="390"/>
      <c r="RIS5" s="390"/>
      <c r="RIT5" s="390"/>
      <c r="RIU5" s="390"/>
      <c r="RIV5" s="390"/>
      <c r="RIW5" s="390"/>
      <c r="RIX5" s="390"/>
      <c r="RIY5" s="390"/>
      <c r="RIZ5" s="390"/>
      <c r="RJA5" s="390"/>
      <c r="RJB5" s="390"/>
      <c r="RJC5" s="390"/>
      <c r="RJD5" s="390"/>
      <c r="RJE5" s="390"/>
      <c r="RJF5" s="390"/>
      <c r="RJG5" s="390"/>
      <c r="RJH5" s="390"/>
      <c r="RJI5" s="390"/>
      <c r="RJJ5" s="390"/>
      <c r="RJK5" s="390"/>
      <c r="RJL5" s="390"/>
      <c r="RJM5" s="390"/>
      <c r="RJN5" s="390"/>
      <c r="RJO5" s="390"/>
      <c r="RJP5" s="390"/>
      <c r="RJQ5" s="390"/>
      <c r="RJR5" s="390"/>
      <c r="RJS5" s="390"/>
      <c r="RJT5" s="390"/>
      <c r="RJU5" s="390"/>
      <c r="RJV5" s="390"/>
      <c r="RJW5" s="390"/>
      <c r="RJX5" s="390"/>
      <c r="RJY5" s="390"/>
      <c r="RJZ5" s="390"/>
      <c r="RKA5" s="390"/>
      <c r="RKB5" s="390"/>
      <c r="RKC5" s="390"/>
      <c r="RKD5" s="390"/>
      <c r="RKE5" s="390"/>
      <c r="RKF5" s="390"/>
      <c r="RKG5" s="390"/>
      <c r="RKH5" s="390"/>
      <c r="RKI5" s="390"/>
      <c r="RKJ5" s="390"/>
      <c r="RKK5" s="390"/>
      <c r="RKL5" s="390"/>
      <c r="RKM5" s="390"/>
      <c r="RKN5" s="390"/>
      <c r="RKO5" s="390"/>
      <c r="RKP5" s="390"/>
      <c r="RKQ5" s="390"/>
      <c r="RKR5" s="390"/>
      <c r="RKS5" s="390"/>
      <c r="RKT5" s="390"/>
      <c r="RKU5" s="390"/>
      <c r="RKV5" s="390"/>
      <c r="RKW5" s="390"/>
      <c r="RKX5" s="390"/>
      <c r="RKY5" s="390"/>
      <c r="RKZ5" s="390"/>
      <c r="RLA5" s="390"/>
      <c r="RLB5" s="390"/>
      <c r="RLC5" s="390"/>
      <c r="RLD5" s="390"/>
      <c r="RLE5" s="390"/>
      <c r="RLF5" s="390"/>
      <c r="RLG5" s="390"/>
      <c r="RLH5" s="390"/>
      <c r="RLI5" s="390"/>
      <c r="RLJ5" s="390"/>
      <c r="RLK5" s="390"/>
      <c r="RLL5" s="390"/>
      <c r="RLM5" s="390"/>
      <c r="RLN5" s="390"/>
      <c r="RLO5" s="390"/>
      <c r="RLP5" s="390"/>
      <c r="RLQ5" s="390"/>
      <c r="RLR5" s="390"/>
      <c r="RLS5" s="390"/>
      <c r="RLT5" s="390"/>
      <c r="RLU5" s="390"/>
      <c r="RLV5" s="390"/>
      <c r="RLW5" s="390"/>
      <c r="RLX5" s="390"/>
      <c r="RLY5" s="390"/>
      <c r="RLZ5" s="390"/>
      <c r="RMA5" s="390"/>
      <c r="RMB5" s="390"/>
      <c r="RMC5" s="390"/>
      <c r="RMD5" s="390"/>
      <c r="RME5" s="390"/>
      <c r="RMF5" s="390"/>
      <c r="RMG5" s="390"/>
      <c r="RMH5" s="390"/>
      <c r="RMI5" s="390"/>
      <c r="RMJ5" s="390"/>
      <c r="RMK5" s="390"/>
      <c r="RML5" s="390"/>
      <c r="RMM5" s="390"/>
      <c r="RMN5" s="390"/>
      <c r="RMO5" s="390"/>
      <c r="RMP5" s="390"/>
      <c r="RMQ5" s="390"/>
      <c r="RMR5" s="390"/>
      <c r="RMS5" s="390"/>
      <c r="RMT5" s="390"/>
      <c r="RMU5" s="390"/>
      <c r="RMV5" s="390"/>
      <c r="RMW5" s="390"/>
      <c r="RMX5" s="390"/>
      <c r="RMY5" s="390"/>
      <c r="RMZ5" s="390"/>
      <c r="RNA5" s="390"/>
      <c r="RNB5" s="390"/>
      <c r="RNC5" s="390"/>
      <c r="RND5" s="390"/>
      <c r="RNE5" s="390"/>
      <c r="RNF5" s="390"/>
      <c r="RNG5" s="390"/>
      <c r="RNH5" s="390"/>
      <c r="RNI5" s="390"/>
      <c r="RNJ5" s="390"/>
      <c r="RNK5" s="390"/>
      <c r="RNL5" s="390"/>
      <c r="RNM5" s="390"/>
      <c r="RNN5" s="390"/>
      <c r="RNO5" s="390"/>
      <c r="RNP5" s="390"/>
      <c r="RNQ5" s="390"/>
      <c r="RNR5" s="390"/>
      <c r="RNS5" s="390"/>
      <c r="RNT5" s="390"/>
      <c r="RNU5" s="390"/>
      <c r="RNV5" s="390"/>
      <c r="RNW5" s="390"/>
      <c r="RNX5" s="390"/>
      <c r="RNY5" s="390"/>
      <c r="RNZ5" s="390"/>
      <c r="ROA5" s="390"/>
      <c r="ROB5" s="390"/>
      <c r="ROC5" s="390"/>
      <c r="ROD5" s="390"/>
      <c r="ROE5" s="390"/>
      <c r="ROF5" s="390"/>
      <c r="ROG5" s="390"/>
      <c r="ROH5" s="390"/>
      <c r="ROI5" s="390"/>
      <c r="ROJ5" s="390"/>
      <c r="ROK5" s="390"/>
      <c r="ROL5" s="390"/>
      <c r="ROM5" s="390"/>
      <c r="RON5" s="390"/>
      <c r="ROO5" s="390"/>
      <c r="ROP5" s="390"/>
      <c r="ROQ5" s="390"/>
      <c r="ROR5" s="390"/>
      <c r="ROS5" s="390"/>
      <c r="ROT5" s="390"/>
      <c r="ROU5" s="390"/>
      <c r="ROV5" s="390"/>
      <c r="ROW5" s="390"/>
      <c r="ROX5" s="390"/>
      <c r="ROY5" s="390"/>
      <c r="ROZ5" s="390"/>
      <c r="RPA5" s="390"/>
      <c r="RPB5" s="390"/>
      <c r="RPC5" s="390"/>
      <c r="RPD5" s="390"/>
      <c r="RPE5" s="390"/>
      <c r="RPF5" s="390"/>
      <c r="RPG5" s="390"/>
      <c r="RPH5" s="390"/>
      <c r="RPI5" s="390"/>
      <c r="RPJ5" s="390"/>
      <c r="RPK5" s="390"/>
      <c r="RPL5" s="390"/>
      <c r="RPM5" s="390"/>
      <c r="RPN5" s="390"/>
      <c r="RPO5" s="390"/>
      <c r="RPP5" s="390"/>
      <c r="RPQ5" s="390"/>
      <c r="RPR5" s="390"/>
      <c r="RPS5" s="390"/>
      <c r="RPT5" s="390"/>
      <c r="RPU5" s="390"/>
      <c r="RPV5" s="390"/>
      <c r="RPW5" s="390"/>
      <c r="RPX5" s="390"/>
      <c r="RPY5" s="390"/>
      <c r="RPZ5" s="390"/>
      <c r="RQA5" s="390"/>
      <c r="RQB5" s="390"/>
      <c r="RQC5" s="390"/>
      <c r="RQD5" s="390"/>
      <c r="RQE5" s="390"/>
      <c r="RQF5" s="390"/>
      <c r="RQG5" s="390"/>
      <c r="RQH5" s="390"/>
      <c r="RQI5" s="390"/>
      <c r="RQJ5" s="390"/>
      <c r="RQK5" s="390"/>
      <c r="RQL5" s="390"/>
      <c r="RQM5" s="390"/>
      <c r="RQN5" s="390"/>
      <c r="RQO5" s="390"/>
      <c r="RQP5" s="390"/>
      <c r="RQQ5" s="390"/>
      <c r="RQR5" s="390"/>
      <c r="RQS5" s="390"/>
      <c r="RQT5" s="390"/>
      <c r="RQU5" s="390"/>
      <c r="RQV5" s="390"/>
      <c r="RQW5" s="390"/>
      <c r="RQX5" s="390"/>
      <c r="RQY5" s="390"/>
      <c r="RQZ5" s="390"/>
      <c r="RRA5" s="390"/>
      <c r="RRB5" s="390"/>
      <c r="RRC5" s="390"/>
      <c r="RRD5" s="390"/>
      <c r="RRE5" s="390"/>
      <c r="RRF5" s="390"/>
      <c r="RRG5" s="390"/>
      <c r="RRH5" s="390"/>
      <c r="RRI5" s="390"/>
      <c r="RRJ5" s="390"/>
      <c r="RRK5" s="390"/>
      <c r="RRL5" s="390"/>
      <c r="RRM5" s="390"/>
      <c r="RRN5" s="390"/>
      <c r="RRO5" s="390"/>
      <c r="RRP5" s="390"/>
      <c r="RRQ5" s="390"/>
      <c r="RRR5" s="390"/>
      <c r="RRS5" s="390"/>
      <c r="RRT5" s="390"/>
      <c r="RRU5" s="390"/>
      <c r="RRV5" s="390"/>
      <c r="RRW5" s="390"/>
      <c r="RRX5" s="390"/>
      <c r="RRY5" s="390"/>
      <c r="RRZ5" s="390"/>
      <c r="RSA5" s="390"/>
      <c r="RSB5" s="390"/>
      <c r="RSC5" s="390"/>
      <c r="RSD5" s="390"/>
      <c r="RSE5" s="390"/>
      <c r="RSF5" s="390"/>
      <c r="RSG5" s="390"/>
      <c r="RSH5" s="390"/>
      <c r="RSI5" s="390"/>
      <c r="RSJ5" s="390"/>
      <c r="RSK5" s="390"/>
      <c r="RSL5" s="390"/>
      <c r="RSM5" s="390"/>
      <c r="RSN5" s="390"/>
      <c r="RSO5" s="390"/>
      <c r="RSP5" s="390"/>
      <c r="RSQ5" s="390"/>
      <c r="RSR5" s="390"/>
      <c r="RSS5" s="390"/>
      <c r="RST5" s="390"/>
      <c r="RSU5" s="390"/>
      <c r="RSV5" s="390"/>
      <c r="RSW5" s="390"/>
      <c r="RSX5" s="390"/>
      <c r="RSY5" s="390"/>
      <c r="RSZ5" s="390"/>
      <c r="RTA5" s="390"/>
      <c r="RTB5" s="390"/>
      <c r="RTC5" s="390"/>
      <c r="RTD5" s="390"/>
      <c r="RTE5" s="390"/>
      <c r="RTF5" s="390"/>
      <c r="RTG5" s="390"/>
      <c r="RTH5" s="390"/>
      <c r="RTI5" s="390"/>
      <c r="RTJ5" s="390"/>
      <c r="RTK5" s="390"/>
      <c r="RTL5" s="390"/>
      <c r="RTM5" s="390"/>
      <c r="RTN5" s="390"/>
      <c r="RTO5" s="390"/>
      <c r="RTP5" s="390"/>
      <c r="RTQ5" s="390"/>
      <c r="RTR5" s="390"/>
      <c r="RTS5" s="390"/>
      <c r="RTT5" s="390"/>
      <c r="RTU5" s="390"/>
      <c r="RTV5" s="390"/>
      <c r="RTW5" s="390"/>
      <c r="RTX5" s="390"/>
      <c r="RTY5" s="390"/>
      <c r="RTZ5" s="390"/>
      <c r="RUA5" s="390"/>
      <c r="RUB5" s="390"/>
      <c r="RUC5" s="390"/>
      <c r="RUD5" s="390"/>
      <c r="RUE5" s="390"/>
      <c r="RUF5" s="390"/>
      <c r="RUG5" s="390"/>
      <c r="RUH5" s="390"/>
      <c r="RUI5" s="390"/>
      <c r="RUJ5" s="390"/>
      <c r="RUK5" s="390"/>
      <c r="RUL5" s="390"/>
      <c r="RUM5" s="390"/>
      <c r="RUN5" s="390"/>
      <c r="RUO5" s="390"/>
      <c r="RUP5" s="390"/>
      <c r="RUQ5" s="390"/>
      <c r="RUR5" s="390"/>
      <c r="RUS5" s="390"/>
      <c r="RUT5" s="390"/>
      <c r="RUU5" s="390"/>
      <c r="RUV5" s="390"/>
      <c r="RUW5" s="390"/>
      <c r="RUX5" s="390"/>
      <c r="RUY5" s="390"/>
      <c r="RUZ5" s="390"/>
      <c r="RVA5" s="390"/>
      <c r="RVB5" s="390"/>
      <c r="RVC5" s="390"/>
      <c r="RVD5" s="390"/>
      <c r="RVE5" s="390"/>
      <c r="RVF5" s="390"/>
      <c r="RVG5" s="390"/>
      <c r="RVH5" s="390"/>
      <c r="RVI5" s="390"/>
      <c r="RVJ5" s="390"/>
      <c r="RVK5" s="390"/>
      <c r="RVL5" s="390"/>
      <c r="RVM5" s="390"/>
      <c r="RVN5" s="390"/>
      <c r="RVO5" s="390"/>
      <c r="RVP5" s="390"/>
      <c r="RVQ5" s="390"/>
      <c r="RVR5" s="390"/>
      <c r="RVS5" s="390"/>
      <c r="RVT5" s="390"/>
      <c r="RVU5" s="390"/>
      <c r="RVV5" s="390"/>
      <c r="RVW5" s="390"/>
      <c r="RVX5" s="390"/>
      <c r="RVY5" s="390"/>
      <c r="RVZ5" s="390"/>
      <c r="RWA5" s="390"/>
      <c r="RWB5" s="390"/>
      <c r="RWC5" s="390"/>
      <c r="RWD5" s="390"/>
      <c r="RWE5" s="390"/>
      <c r="RWF5" s="390"/>
      <c r="RWG5" s="390"/>
      <c r="RWH5" s="390"/>
      <c r="RWI5" s="390"/>
      <c r="RWJ5" s="390"/>
      <c r="RWK5" s="390"/>
      <c r="RWL5" s="390"/>
      <c r="RWM5" s="390"/>
      <c r="RWN5" s="390"/>
      <c r="RWO5" s="390"/>
      <c r="RWP5" s="390"/>
      <c r="RWQ5" s="390"/>
      <c r="RWR5" s="390"/>
      <c r="RWS5" s="390"/>
      <c r="RWT5" s="390"/>
      <c r="RWU5" s="390"/>
      <c r="RWV5" s="390"/>
      <c r="RWW5" s="390"/>
      <c r="RWX5" s="390"/>
      <c r="RWY5" s="390"/>
      <c r="RWZ5" s="390"/>
      <c r="RXA5" s="390"/>
      <c r="RXB5" s="390"/>
      <c r="RXC5" s="390"/>
      <c r="RXD5" s="390"/>
      <c r="RXE5" s="390"/>
      <c r="RXF5" s="390"/>
      <c r="RXG5" s="390"/>
      <c r="RXH5" s="390"/>
      <c r="RXI5" s="390"/>
      <c r="RXJ5" s="390"/>
      <c r="RXK5" s="390"/>
      <c r="RXL5" s="390"/>
      <c r="RXM5" s="390"/>
      <c r="RXN5" s="390"/>
      <c r="RXO5" s="390"/>
      <c r="RXP5" s="390"/>
      <c r="RXQ5" s="390"/>
      <c r="RXR5" s="390"/>
      <c r="RXS5" s="390"/>
      <c r="RXT5" s="390"/>
      <c r="RXU5" s="390"/>
      <c r="RXV5" s="390"/>
      <c r="RXW5" s="390"/>
      <c r="RXX5" s="390"/>
      <c r="RXY5" s="390"/>
      <c r="RXZ5" s="390"/>
      <c r="RYA5" s="390"/>
      <c r="RYB5" s="390"/>
      <c r="RYC5" s="390"/>
      <c r="RYD5" s="390"/>
      <c r="RYE5" s="390"/>
      <c r="RYF5" s="390"/>
      <c r="RYG5" s="390"/>
      <c r="RYH5" s="390"/>
      <c r="RYI5" s="390"/>
      <c r="RYJ5" s="390"/>
      <c r="RYK5" s="390"/>
      <c r="RYL5" s="390"/>
      <c r="RYM5" s="390"/>
      <c r="RYN5" s="390"/>
      <c r="RYO5" s="390"/>
      <c r="RYP5" s="390"/>
      <c r="RYQ5" s="390"/>
      <c r="RYR5" s="390"/>
      <c r="RYS5" s="390"/>
      <c r="RYT5" s="390"/>
      <c r="RYU5" s="390"/>
      <c r="RYV5" s="390"/>
      <c r="RYW5" s="390"/>
      <c r="RYX5" s="390"/>
      <c r="RYY5" s="390"/>
      <c r="RYZ5" s="390"/>
      <c r="RZA5" s="390"/>
      <c r="RZB5" s="390"/>
      <c r="RZC5" s="390"/>
      <c r="RZD5" s="390"/>
      <c r="RZE5" s="390"/>
      <c r="RZF5" s="390"/>
      <c r="RZG5" s="390"/>
      <c r="RZH5" s="390"/>
      <c r="RZI5" s="390"/>
      <c r="RZJ5" s="390"/>
      <c r="RZK5" s="390"/>
      <c r="RZL5" s="390"/>
      <c r="RZM5" s="390"/>
      <c r="RZN5" s="390"/>
      <c r="RZO5" s="390"/>
      <c r="RZP5" s="390"/>
      <c r="RZQ5" s="390"/>
      <c r="RZR5" s="390"/>
      <c r="RZS5" s="390"/>
      <c r="RZT5" s="390"/>
      <c r="RZU5" s="390"/>
      <c r="RZV5" s="390"/>
      <c r="RZW5" s="390"/>
      <c r="RZX5" s="390"/>
      <c r="RZY5" s="390"/>
      <c r="RZZ5" s="390"/>
      <c r="SAA5" s="390"/>
      <c r="SAB5" s="390"/>
      <c r="SAC5" s="390"/>
      <c r="SAD5" s="390"/>
      <c r="SAE5" s="390"/>
      <c r="SAF5" s="390"/>
      <c r="SAG5" s="390"/>
      <c r="SAH5" s="390"/>
      <c r="SAI5" s="390"/>
      <c r="SAJ5" s="390"/>
      <c r="SAK5" s="390"/>
      <c r="SAL5" s="390"/>
      <c r="SAM5" s="390"/>
      <c r="SAN5" s="390"/>
      <c r="SAO5" s="390"/>
      <c r="SAP5" s="390"/>
      <c r="SAQ5" s="390"/>
      <c r="SAR5" s="390"/>
      <c r="SAS5" s="390"/>
      <c r="SAT5" s="390"/>
      <c r="SAU5" s="390"/>
      <c r="SAV5" s="390"/>
      <c r="SAW5" s="390"/>
      <c r="SAX5" s="390"/>
      <c r="SAY5" s="390"/>
      <c r="SAZ5" s="390"/>
      <c r="SBA5" s="390"/>
      <c r="SBB5" s="390"/>
      <c r="SBC5" s="390"/>
      <c r="SBD5" s="390"/>
      <c r="SBE5" s="390"/>
      <c r="SBF5" s="390"/>
      <c r="SBG5" s="390"/>
      <c r="SBH5" s="390"/>
      <c r="SBI5" s="390"/>
      <c r="SBJ5" s="390"/>
      <c r="SBK5" s="390"/>
      <c r="SBL5" s="390"/>
      <c r="SBM5" s="390"/>
      <c r="SBN5" s="390"/>
      <c r="SBO5" s="390"/>
      <c r="SBP5" s="390"/>
      <c r="SBQ5" s="390"/>
      <c r="SBR5" s="390"/>
      <c r="SBS5" s="390"/>
      <c r="SBT5" s="390"/>
      <c r="SBU5" s="390"/>
      <c r="SBV5" s="390"/>
      <c r="SBW5" s="390"/>
      <c r="SBX5" s="390"/>
      <c r="SBY5" s="390"/>
      <c r="SBZ5" s="390"/>
      <c r="SCA5" s="390"/>
      <c r="SCB5" s="390"/>
      <c r="SCC5" s="390"/>
      <c r="SCD5" s="390"/>
      <c r="SCE5" s="390"/>
      <c r="SCF5" s="390"/>
      <c r="SCG5" s="390"/>
      <c r="SCH5" s="390"/>
      <c r="SCI5" s="390"/>
      <c r="SCJ5" s="390"/>
      <c r="SCK5" s="390"/>
      <c r="SCL5" s="390"/>
      <c r="SCM5" s="390"/>
      <c r="SCN5" s="390"/>
      <c r="SCO5" s="390"/>
      <c r="SCP5" s="390"/>
      <c r="SCQ5" s="390"/>
      <c r="SCR5" s="390"/>
      <c r="SCS5" s="390"/>
      <c r="SCT5" s="390"/>
      <c r="SCU5" s="390"/>
      <c r="SCV5" s="390"/>
      <c r="SCW5" s="390"/>
      <c r="SCX5" s="390"/>
      <c r="SCY5" s="390"/>
      <c r="SCZ5" s="390"/>
      <c r="SDA5" s="390"/>
      <c r="SDB5" s="390"/>
      <c r="SDC5" s="390"/>
      <c r="SDD5" s="390"/>
      <c r="SDE5" s="390"/>
      <c r="SDF5" s="390"/>
      <c r="SDG5" s="390"/>
      <c r="SDH5" s="390"/>
      <c r="SDI5" s="390"/>
      <c r="SDJ5" s="390"/>
      <c r="SDK5" s="390"/>
      <c r="SDL5" s="390"/>
      <c r="SDM5" s="390"/>
      <c r="SDN5" s="390"/>
      <c r="SDO5" s="390"/>
      <c r="SDP5" s="390"/>
      <c r="SDQ5" s="390"/>
      <c r="SDR5" s="390"/>
      <c r="SDS5" s="390"/>
      <c r="SDT5" s="390"/>
      <c r="SDU5" s="390"/>
      <c r="SDV5" s="390"/>
      <c r="SDW5" s="390"/>
      <c r="SDX5" s="390"/>
      <c r="SDY5" s="390"/>
      <c r="SDZ5" s="390"/>
      <c r="SEA5" s="390"/>
      <c r="SEB5" s="390"/>
      <c r="SEC5" s="390"/>
      <c r="SED5" s="390"/>
      <c r="SEE5" s="390"/>
      <c r="SEF5" s="390"/>
      <c r="SEG5" s="390"/>
      <c r="SEH5" s="390"/>
      <c r="SEI5" s="390"/>
      <c r="SEJ5" s="390"/>
      <c r="SEK5" s="390"/>
      <c r="SEL5" s="390"/>
      <c r="SEM5" s="390"/>
      <c r="SEN5" s="390"/>
      <c r="SEO5" s="390"/>
      <c r="SEP5" s="390"/>
      <c r="SEQ5" s="390"/>
      <c r="SER5" s="390"/>
      <c r="SES5" s="390"/>
      <c r="SET5" s="390"/>
      <c r="SEU5" s="390"/>
      <c r="SEV5" s="390"/>
      <c r="SEW5" s="390"/>
      <c r="SEX5" s="390"/>
      <c r="SEY5" s="390"/>
      <c r="SEZ5" s="390"/>
      <c r="SFA5" s="390"/>
      <c r="SFB5" s="390"/>
      <c r="SFC5" s="390"/>
      <c r="SFD5" s="390"/>
      <c r="SFE5" s="390"/>
      <c r="SFF5" s="390"/>
      <c r="SFG5" s="390"/>
      <c r="SFH5" s="390"/>
      <c r="SFI5" s="390"/>
      <c r="SFJ5" s="390"/>
      <c r="SFK5" s="390"/>
      <c r="SFL5" s="390"/>
      <c r="SFM5" s="390"/>
      <c r="SFN5" s="390"/>
      <c r="SFO5" s="390"/>
      <c r="SFP5" s="390"/>
      <c r="SFQ5" s="390"/>
      <c r="SFR5" s="390"/>
      <c r="SFS5" s="390"/>
      <c r="SFT5" s="390"/>
      <c r="SFU5" s="390"/>
      <c r="SFV5" s="390"/>
      <c r="SFW5" s="390"/>
      <c r="SFX5" s="390"/>
      <c r="SFY5" s="390"/>
      <c r="SFZ5" s="390"/>
      <c r="SGA5" s="390"/>
      <c r="SGB5" s="390"/>
      <c r="SGC5" s="390"/>
      <c r="SGD5" s="390"/>
      <c r="SGE5" s="390"/>
      <c r="SGF5" s="390"/>
      <c r="SGG5" s="390"/>
      <c r="SGH5" s="390"/>
      <c r="SGI5" s="390"/>
      <c r="SGJ5" s="390"/>
      <c r="SGK5" s="390"/>
      <c r="SGL5" s="390"/>
      <c r="SGM5" s="390"/>
      <c r="SGN5" s="390"/>
      <c r="SGO5" s="390"/>
      <c r="SGP5" s="390"/>
      <c r="SGQ5" s="390"/>
      <c r="SGR5" s="390"/>
      <c r="SGS5" s="390"/>
      <c r="SGT5" s="390"/>
      <c r="SGU5" s="390"/>
      <c r="SGV5" s="390"/>
      <c r="SGW5" s="390"/>
      <c r="SGX5" s="390"/>
      <c r="SGY5" s="390"/>
      <c r="SGZ5" s="390"/>
      <c r="SHA5" s="390"/>
      <c r="SHB5" s="390"/>
      <c r="SHC5" s="390"/>
      <c r="SHD5" s="390"/>
      <c r="SHE5" s="390"/>
      <c r="SHF5" s="390"/>
      <c r="SHG5" s="390"/>
      <c r="SHH5" s="390"/>
      <c r="SHI5" s="390"/>
      <c r="SHJ5" s="390"/>
      <c r="SHK5" s="390"/>
      <c r="SHL5" s="390"/>
      <c r="SHM5" s="390"/>
      <c r="SHN5" s="390"/>
      <c r="SHO5" s="390"/>
      <c r="SHP5" s="390"/>
      <c r="SHQ5" s="390"/>
      <c r="SHR5" s="390"/>
      <c r="SHS5" s="390"/>
      <c r="SHT5" s="390"/>
      <c r="SHU5" s="390"/>
      <c r="SHV5" s="390"/>
      <c r="SHW5" s="390"/>
      <c r="SHX5" s="390"/>
      <c r="SHY5" s="390"/>
      <c r="SHZ5" s="390"/>
      <c r="SIA5" s="390"/>
      <c r="SIB5" s="390"/>
      <c r="SIC5" s="390"/>
      <c r="SID5" s="390"/>
      <c r="SIE5" s="390"/>
      <c r="SIF5" s="390"/>
      <c r="SIG5" s="390"/>
      <c r="SIH5" s="390"/>
      <c r="SII5" s="390"/>
      <c r="SIJ5" s="390"/>
      <c r="SIK5" s="390"/>
      <c r="SIL5" s="390"/>
      <c r="SIM5" s="390"/>
      <c r="SIN5" s="390"/>
      <c r="SIO5" s="390"/>
      <c r="SIP5" s="390"/>
      <c r="SIQ5" s="390"/>
      <c r="SIR5" s="390"/>
      <c r="SIS5" s="390"/>
      <c r="SIT5" s="390"/>
      <c r="SIU5" s="390"/>
      <c r="SIV5" s="390"/>
      <c r="SIW5" s="390"/>
      <c r="SIX5" s="390"/>
      <c r="SIY5" s="390"/>
      <c r="SIZ5" s="390"/>
      <c r="SJA5" s="390"/>
      <c r="SJB5" s="390"/>
      <c r="SJC5" s="390"/>
      <c r="SJD5" s="390"/>
      <c r="SJE5" s="390"/>
      <c r="SJF5" s="390"/>
      <c r="SJG5" s="390"/>
      <c r="SJH5" s="390"/>
      <c r="SJI5" s="390"/>
      <c r="SJJ5" s="390"/>
      <c r="SJK5" s="390"/>
      <c r="SJL5" s="390"/>
      <c r="SJM5" s="390"/>
      <c r="SJN5" s="390"/>
      <c r="SJO5" s="390"/>
      <c r="SJP5" s="390"/>
      <c r="SJQ5" s="390"/>
      <c r="SJR5" s="390"/>
      <c r="SJS5" s="390"/>
      <c r="SJT5" s="390"/>
      <c r="SJU5" s="390"/>
      <c r="SJV5" s="390"/>
      <c r="SJW5" s="390"/>
      <c r="SJX5" s="390"/>
      <c r="SJY5" s="390"/>
      <c r="SJZ5" s="390"/>
      <c r="SKA5" s="390"/>
      <c r="SKB5" s="390"/>
      <c r="SKC5" s="390"/>
      <c r="SKD5" s="390"/>
      <c r="SKE5" s="390"/>
      <c r="SKF5" s="390"/>
      <c r="SKG5" s="390"/>
      <c r="SKH5" s="390"/>
      <c r="SKI5" s="390"/>
      <c r="SKJ5" s="390"/>
      <c r="SKK5" s="390"/>
      <c r="SKL5" s="390"/>
      <c r="SKM5" s="390"/>
      <c r="SKN5" s="390"/>
      <c r="SKO5" s="390"/>
      <c r="SKP5" s="390"/>
      <c r="SKQ5" s="390"/>
      <c r="SKR5" s="390"/>
      <c r="SKS5" s="390"/>
      <c r="SKT5" s="390"/>
      <c r="SKU5" s="390"/>
      <c r="SKV5" s="390"/>
      <c r="SKW5" s="390"/>
      <c r="SKX5" s="390"/>
      <c r="SKY5" s="390"/>
      <c r="SKZ5" s="390"/>
      <c r="SLA5" s="390"/>
      <c r="SLB5" s="390"/>
      <c r="SLC5" s="390"/>
      <c r="SLD5" s="390"/>
      <c r="SLE5" s="390"/>
      <c r="SLF5" s="390"/>
      <c r="SLG5" s="390"/>
      <c r="SLH5" s="390"/>
      <c r="SLI5" s="390"/>
      <c r="SLJ5" s="390"/>
      <c r="SLK5" s="390"/>
      <c r="SLL5" s="390"/>
      <c r="SLM5" s="390"/>
      <c r="SLN5" s="390"/>
      <c r="SLO5" s="390"/>
      <c r="SLP5" s="390"/>
      <c r="SLQ5" s="390"/>
      <c r="SLR5" s="390"/>
      <c r="SLS5" s="390"/>
      <c r="SLT5" s="390"/>
      <c r="SLU5" s="390"/>
      <c r="SLV5" s="390"/>
      <c r="SLW5" s="390"/>
      <c r="SLX5" s="390"/>
      <c r="SLY5" s="390"/>
      <c r="SLZ5" s="390"/>
      <c r="SMA5" s="390"/>
      <c r="SMB5" s="390"/>
      <c r="SMC5" s="390"/>
      <c r="SMD5" s="390"/>
      <c r="SME5" s="390"/>
      <c r="SMF5" s="390"/>
      <c r="SMG5" s="390"/>
      <c r="SMH5" s="390"/>
      <c r="SMI5" s="390"/>
      <c r="SMJ5" s="390"/>
      <c r="SMK5" s="390"/>
      <c r="SML5" s="390"/>
      <c r="SMM5" s="390"/>
      <c r="SMN5" s="390"/>
      <c r="SMO5" s="390"/>
      <c r="SMP5" s="390"/>
      <c r="SMQ5" s="390"/>
      <c r="SMR5" s="390"/>
      <c r="SMS5" s="390"/>
      <c r="SMT5" s="390"/>
      <c r="SMU5" s="390"/>
      <c r="SMV5" s="390"/>
      <c r="SMW5" s="390"/>
      <c r="SMX5" s="390"/>
      <c r="SMY5" s="390"/>
      <c r="SMZ5" s="390"/>
      <c r="SNA5" s="390"/>
      <c r="SNB5" s="390"/>
      <c r="SNC5" s="390"/>
      <c r="SND5" s="390"/>
      <c r="SNE5" s="390"/>
      <c r="SNF5" s="390"/>
      <c r="SNG5" s="390"/>
      <c r="SNH5" s="390"/>
      <c r="SNI5" s="390"/>
      <c r="SNJ5" s="390"/>
      <c r="SNK5" s="390"/>
      <c r="SNL5" s="390"/>
      <c r="SNM5" s="390"/>
      <c r="SNN5" s="390"/>
      <c r="SNO5" s="390"/>
      <c r="SNP5" s="390"/>
      <c r="SNQ5" s="390"/>
      <c r="SNR5" s="390"/>
      <c r="SNS5" s="390"/>
      <c r="SNT5" s="390"/>
      <c r="SNU5" s="390"/>
      <c r="SNV5" s="390"/>
      <c r="SNW5" s="390"/>
      <c r="SNX5" s="390"/>
      <c r="SNY5" s="390"/>
      <c r="SNZ5" s="390"/>
      <c r="SOA5" s="390"/>
      <c r="SOB5" s="390"/>
      <c r="SOC5" s="390"/>
      <c r="SOD5" s="390"/>
      <c r="SOE5" s="390"/>
      <c r="SOF5" s="390"/>
      <c r="SOG5" s="390"/>
      <c r="SOH5" s="390"/>
      <c r="SOI5" s="390"/>
      <c r="SOJ5" s="390"/>
      <c r="SOK5" s="390"/>
      <c r="SOL5" s="390"/>
      <c r="SOM5" s="390"/>
      <c r="SON5" s="390"/>
      <c r="SOO5" s="390"/>
      <c r="SOP5" s="390"/>
      <c r="SOQ5" s="390"/>
      <c r="SOR5" s="390"/>
      <c r="SOS5" s="390"/>
      <c r="SOT5" s="390"/>
      <c r="SOU5" s="390"/>
      <c r="SOV5" s="390"/>
      <c r="SOW5" s="390"/>
      <c r="SOX5" s="390"/>
      <c r="SOY5" s="390"/>
      <c r="SOZ5" s="390"/>
      <c r="SPA5" s="390"/>
      <c r="SPB5" s="390"/>
      <c r="SPC5" s="390"/>
      <c r="SPD5" s="390"/>
      <c r="SPE5" s="390"/>
      <c r="SPF5" s="390"/>
      <c r="SPG5" s="390"/>
      <c r="SPH5" s="390"/>
      <c r="SPI5" s="390"/>
      <c r="SPJ5" s="390"/>
      <c r="SPK5" s="390"/>
      <c r="SPL5" s="390"/>
      <c r="SPM5" s="390"/>
      <c r="SPN5" s="390"/>
      <c r="SPO5" s="390"/>
      <c r="SPP5" s="390"/>
      <c r="SPQ5" s="390"/>
      <c r="SPR5" s="390"/>
      <c r="SPS5" s="390"/>
      <c r="SPT5" s="390"/>
      <c r="SPU5" s="390"/>
      <c r="SPV5" s="390"/>
      <c r="SPW5" s="390"/>
      <c r="SPX5" s="390"/>
      <c r="SPY5" s="390"/>
      <c r="SPZ5" s="390"/>
      <c r="SQA5" s="390"/>
      <c r="SQB5" s="390"/>
      <c r="SQC5" s="390"/>
      <c r="SQD5" s="390"/>
      <c r="SQE5" s="390"/>
      <c r="SQF5" s="390"/>
      <c r="SQG5" s="390"/>
      <c r="SQH5" s="390"/>
      <c r="SQI5" s="390"/>
      <c r="SQJ5" s="390"/>
      <c r="SQK5" s="390"/>
      <c r="SQL5" s="390"/>
      <c r="SQM5" s="390"/>
      <c r="SQN5" s="390"/>
      <c r="SQO5" s="390"/>
      <c r="SQP5" s="390"/>
      <c r="SQQ5" s="390"/>
      <c r="SQR5" s="390"/>
      <c r="SQS5" s="390"/>
      <c r="SQT5" s="390"/>
      <c r="SQU5" s="390"/>
      <c r="SQV5" s="390"/>
      <c r="SQW5" s="390"/>
      <c r="SQX5" s="390"/>
      <c r="SQY5" s="390"/>
      <c r="SQZ5" s="390"/>
      <c r="SRA5" s="390"/>
      <c r="SRB5" s="390"/>
      <c r="SRC5" s="390"/>
      <c r="SRD5" s="390"/>
      <c r="SRE5" s="390"/>
      <c r="SRF5" s="390"/>
      <c r="SRG5" s="390"/>
      <c r="SRH5" s="390"/>
      <c r="SRI5" s="390"/>
      <c r="SRJ5" s="390"/>
      <c r="SRK5" s="390"/>
      <c r="SRL5" s="390"/>
      <c r="SRM5" s="390"/>
      <c r="SRN5" s="390"/>
      <c r="SRO5" s="390"/>
      <c r="SRP5" s="390"/>
      <c r="SRQ5" s="390"/>
      <c r="SRR5" s="390"/>
      <c r="SRS5" s="390"/>
      <c r="SRT5" s="390"/>
      <c r="SRU5" s="390"/>
      <c r="SRV5" s="390"/>
      <c r="SRW5" s="390"/>
      <c r="SRX5" s="390"/>
      <c r="SRY5" s="390"/>
      <c r="SRZ5" s="390"/>
      <c r="SSA5" s="390"/>
      <c r="SSB5" s="390"/>
      <c r="SSC5" s="390"/>
      <c r="SSD5" s="390"/>
      <c r="SSE5" s="390"/>
      <c r="SSF5" s="390"/>
      <c r="SSG5" s="390"/>
      <c r="SSH5" s="390"/>
      <c r="SSI5" s="390"/>
      <c r="SSJ5" s="390"/>
      <c r="SSK5" s="390"/>
      <c r="SSL5" s="390"/>
      <c r="SSM5" s="390"/>
      <c r="SSN5" s="390"/>
      <c r="SSO5" s="390"/>
      <c r="SSP5" s="390"/>
      <c r="SSQ5" s="390"/>
      <c r="SSR5" s="390"/>
      <c r="SSS5" s="390"/>
      <c r="SST5" s="390"/>
      <c r="SSU5" s="390"/>
      <c r="SSV5" s="390"/>
      <c r="SSW5" s="390"/>
      <c r="SSX5" s="390"/>
      <c r="SSY5" s="390"/>
      <c r="SSZ5" s="390"/>
      <c r="STA5" s="390"/>
      <c r="STB5" s="390"/>
      <c r="STC5" s="390"/>
      <c r="STD5" s="390"/>
      <c r="STE5" s="390"/>
      <c r="STF5" s="390"/>
      <c r="STG5" s="390"/>
      <c r="STH5" s="390"/>
      <c r="STI5" s="390"/>
      <c r="STJ5" s="390"/>
      <c r="STK5" s="390"/>
      <c r="STL5" s="390"/>
      <c r="STM5" s="390"/>
      <c r="STN5" s="390"/>
      <c r="STO5" s="390"/>
      <c r="STP5" s="390"/>
      <c r="STQ5" s="390"/>
      <c r="STR5" s="390"/>
      <c r="STS5" s="390"/>
      <c r="STT5" s="390"/>
      <c r="STU5" s="390"/>
      <c r="STV5" s="390"/>
      <c r="STW5" s="390"/>
      <c r="STX5" s="390"/>
      <c r="STY5" s="390"/>
      <c r="STZ5" s="390"/>
      <c r="SUA5" s="390"/>
      <c r="SUB5" s="390"/>
      <c r="SUC5" s="390"/>
      <c r="SUD5" s="390"/>
      <c r="SUE5" s="390"/>
      <c r="SUF5" s="390"/>
      <c r="SUG5" s="390"/>
      <c r="SUH5" s="390"/>
      <c r="SUI5" s="390"/>
      <c r="SUJ5" s="390"/>
      <c r="SUK5" s="390"/>
      <c r="SUL5" s="390"/>
      <c r="SUM5" s="390"/>
      <c r="SUN5" s="390"/>
      <c r="SUO5" s="390"/>
      <c r="SUP5" s="390"/>
      <c r="SUQ5" s="390"/>
      <c r="SUR5" s="390"/>
      <c r="SUS5" s="390"/>
      <c r="SUT5" s="390"/>
      <c r="SUU5" s="390"/>
      <c r="SUV5" s="390"/>
      <c r="SUW5" s="390"/>
      <c r="SUX5" s="390"/>
      <c r="SUY5" s="390"/>
      <c r="SUZ5" s="390"/>
      <c r="SVA5" s="390"/>
      <c r="SVB5" s="390"/>
      <c r="SVC5" s="390"/>
      <c r="SVD5" s="390"/>
      <c r="SVE5" s="390"/>
      <c r="SVF5" s="390"/>
      <c r="SVG5" s="390"/>
      <c r="SVH5" s="390"/>
      <c r="SVI5" s="390"/>
      <c r="SVJ5" s="390"/>
      <c r="SVK5" s="390"/>
      <c r="SVL5" s="390"/>
      <c r="SVM5" s="390"/>
      <c r="SVN5" s="390"/>
      <c r="SVO5" s="390"/>
      <c r="SVP5" s="390"/>
      <c r="SVQ5" s="390"/>
      <c r="SVR5" s="390"/>
      <c r="SVS5" s="390"/>
      <c r="SVT5" s="390"/>
      <c r="SVU5" s="390"/>
      <c r="SVV5" s="390"/>
      <c r="SVW5" s="390"/>
      <c r="SVX5" s="390"/>
      <c r="SVY5" s="390"/>
      <c r="SVZ5" s="390"/>
      <c r="SWA5" s="390"/>
      <c r="SWB5" s="390"/>
      <c r="SWC5" s="390"/>
      <c r="SWD5" s="390"/>
      <c r="SWE5" s="390"/>
      <c r="SWF5" s="390"/>
      <c r="SWG5" s="390"/>
      <c r="SWH5" s="390"/>
      <c r="SWI5" s="390"/>
      <c r="SWJ5" s="390"/>
      <c r="SWK5" s="390"/>
      <c r="SWL5" s="390"/>
      <c r="SWM5" s="390"/>
      <c r="SWN5" s="390"/>
      <c r="SWO5" s="390"/>
      <c r="SWP5" s="390"/>
      <c r="SWQ5" s="390"/>
      <c r="SWR5" s="390"/>
      <c r="SWS5" s="390"/>
      <c r="SWT5" s="390"/>
      <c r="SWU5" s="390"/>
      <c r="SWV5" s="390"/>
      <c r="SWW5" s="390"/>
      <c r="SWX5" s="390"/>
      <c r="SWY5" s="390"/>
      <c r="SWZ5" s="390"/>
      <c r="SXA5" s="390"/>
      <c r="SXB5" s="390"/>
      <c r="SXC5" s="390"/>
      <c r="SXD5" s="390"/>
      <c r="SXE5" s="390"/>
      <c r="SXF5" s="390"/>
      <c r="SXG5" s="390"/>
      <c r="SXH5" s="390"/>
      <c r="SXI5" s="390"/>
      <c r="SXJ5" s="390"/>
      <c r="SXK5" s="390"/>
      <c r="SXL5" s="390"/>
      <c r="SXM5" s="390"/>
      <c r="SXN5" s="390"/>
      <c r="SXO5" s="390"/>
      <c r="SXP5" s="390"/>
      <c r="SXQ5" s="390"/>
      <c r="SXR5" s="390"/>
      <c r="SXS5" s="390"/>
      <c r="SXT5" s="390"/>
      <c r="SXU5" s="390"/>
      <c r="SXV5" s="390"/>
      <c r="SXW5" s="390"/>
      <c r="SXX5" s="390"/>
      <c r="SXY5" s="390"/>
      <c r="SXZ5" s="390"/>
      <c r="SYA5" s="390"/>
      <c r="SYB5" s="390"/>
      <c r="SYC5" s="390"/>
      <c r="SYD5" s="390"/>
      <c r="SYE5" s="390"/>
      <c r="SYF5" s="390"/>
      <c r="SYG5" s="390"/>
      <c r="SYH5" s="390"/>
      <c r="SYI5" s="390"/>
      <c r="SYJ5" s="390"/>
      <c r="SYK5" s="390"/>
      <c r="SYL5" s="390"/>
      <c r="SYM5" s="390"/>
      <c r="SYN5" s="390"/>
      <c r="SYO5" s="390"/>
      <c r="SYP5" s="390"/>
      <c r="SYQ5" s="390"/>
      <c r="SYR5" s="390"/>
      <c r="SYS5" s="390"/>
      <c r="SYT5" s="390"/>
      <c r="SYU5" s="390"/>
      <c r="SYV5" s="390"/>
      <c r="SYW5" s="390"/>
      <c r="SYX5" s="390"/>
      <c r="SYY5" s="390"/>
      <c r="SYZ5" s="390"/>
      <c r="SZA5" s="390"/>
      <c r="SZB5" s="390"/>
      <c r="SZC5" s="390"/>
      <c r="SZD5" s="390"/>
      <c r="SZE5" s="390"/>
      <c r="SZF5" s="390"/>
      <c r="SZG5" s="390"/>
      <c r="SZH5" s="390"/>
      <c r="SZI5" s="390"/>
      <c r="SZJ5" s="390"/>
      <c r="SZK5" s="390"/>
      <c r="SZL5" s="390"/>
      <c r="SZM5" s="390"/>
      <c r="SZN5" s="390"/>
      <c r="SZO5" s="390"/>
      <c r="SZP5" s="390"/>
      <c r="SZQ5" s="390"/>
      <c r="SZR5" s="390"/>
      <c r="SZS5" s="390"/>
      <c r="SZT5" s="390"/>
      <c r="SZU5" s="390"/>
      <c r="SZV5" s="390"/>
      <c r="SZW5" s="390"/>
      <c r="SZX5" s="390"/>
      <c r="SZY5" s="390"/>
      <c r="SZZ5" s="390"/>
      <c r="TAA5" s="390"/>
      <c r="TAB5" s="390"/>
      <c r="TAC5" s="390"/>
      <c r="TAD5" s="390"/>
      <c r="TAE5" s="390"/>
      <c r="TAF5" s="390"/>
      <c r="TAG5" s="390"/>
      <c r="TAH5" s="390"/>
      <c r="TAI5" s="390"/>
      <c r="TAJ5" s="390"/>
      <c r="TAK5" s="390"/>
      <c r="TAL5" s="390"/>
      <c r="TAM5" s="390"/>
      <c r="TAN5" s="390"/>
      <c r="TAO5" s="390"/>
      <c r="TAP5" s="390"/>
      <c r="TAQ5" s="390"/>
      <c r="TAR5" s="390"/>
      <c r="TAS5" s="390"/>
      <c r="TAT5" s="390"/>
      <c r="TAU5" s="390"/>
      <c r="TAV5" s="390"/>
      <c r="TAW5" s="390"/>
      <c r="TAX5" s="390"/>
      <c r="TAY5" s="390"/>
      <c r="TAZ5" s="390"/>
      <c r="TBA5" s="390"/>
      <c r="TBB5" s="390"/>
      <c r="TBC5" s="390"/>
      <c r="TBD5" s="390"/>
      <c r="TBE5" s="390"/>
      <c r="TBF5" s="390"/>
      <c r="TBG5" s="390"/>
      <c r="TBH5" s="390"/>
      <c r="TBI5" s="390"/>
      <c r="TBJ5" s="390"/>
      <c r="TBK5" s="390"/>
      <c r="TBL5" s="390"/>
      <c r="TBM5" s="390"/>
      <c r="TBN5" s="390"/>
      <c r="TBO5" s="390"/>
      <c r="TBP5" s="390"/>
      <c r="TBQ5" s="390"/>
      <c r="TBR5" s="390"/>
      <c r="TBS5" s="390"/>
      <c r="TBT5" s="390"/>
      <c r="TBU5" s="390"/>
      <c r="TBV5" s="390"/>
      <c r="TBW5" s="390"/>
      <c r="TBX5" s="390"/>
      <c r="TBY5" s="390"/>
      <c r="TBZ5" s="390"/>
      <c r="TCA5" s="390"/>
      <c r="TCB5" s="390"/>
      <c r="TCC5" s="390"/>
      <c r="TCD5" s="390"/>
      <c r="TCE5" s="390"/>
      <c r="TCF5" s="390"/>
      <c r="TCG5" s="390"/>
      <c r="TCH5" s="390"/>
      <c r="TCI5" s="390"/>
      <c r="TCJ5" s="390"/>
      <c r="TCK5" s="390"/>
      <c r="TCL5" s="390"/>
      <c r="TCM5" s="390"/>
      <c r="TCN5" s="390"/>
      <c r="TCO5" s="390"/>
      <c r="TCP5" s="390"/>
      <c r="TCQ5" s="390"/>
      <c r="TCR5" s="390"/>
      <c r="TCS5" s="390"/>
      <c r="TCT5" s="390"/>
      <c r="TCU5" s="390"/>
      <c r="TCV5" s="390"/>
      <c r="TCW5" s="390"/>
      <c r="TCX5" s="390"/>
      <c r="TCY5" s="390"/>
      <c r="TCZ5" s="390"/>
      <c r="TDA5" s="390"/>
      <c r="TDB5" s="390"/>
      <c r="TDC5" s="390"/>
      <c r="TDD5" s="390"/>
      <c r="TDE5" s="390"/>
      <c r="TDF5" s="390"/>
      <c r="TDG5" s="390"/>
      <c r="TDH5" s="390"/>
      <c r="TDI5" s="390"/>
      <c r="TDJ5" s="390"/>
      <c r="TDK5" s="390"/>
      <c r="TDL5" s="390"/>
      <c r="TDM5" s="390"/>
      <c r="TDN5" s="390"/>
      <c r="TDO5" s="390"/>
      <c r="TDP5" s="390"/>
      <c r="TDQ5" s="390"/>
      <c r="TDR5" s="390"/>
      <c r="TDS5" s="390"/>
      <c r="TDT5" s="390"/>
      <c r="TDU5" s="390"/>
      <c r="TDV5" s="390"/>
      <c r="TDW5" s="390"/>
      <c r="TDX5" s="390"/>
      <c r="TDY5" s="390"/>
      <c r="TDZ5" s="390"/>
      <c r="TEA5" s="390"/>
      <c r="TEB5" s="390"/>
      <c r="TEC5" s="390"/>
      <c r="TED5" s="390"/>
      <c r="TEE5" s="390"/>
      <c r="TEF5" s="390"/>
      <c r="TEG5" s="390"/>
      <c r="TEH5" s="390"/>
      <c r="TEI5" s="390"/>
      <c r="TEJ5" s="390"/>
      <c r="TEK5" s="390"/>
      <c r="TEL5" s="390"/>
      <c r="TEM5" s="390"/>
      <c r="TEN5" s="390"/>
      <c r="TEO5" s="390"/>
      <c r="TEP5" s="390"/>
      <c r="TEQ5" s="390"/>
      <c r="TER5" s="390"/>
      <c r="TES5" s="390"/>
      <c r="TET5" s="390"/>
      <c r="TEU5" s="390"/>
      <c r="TEV5" s="390"/>
      <c r="TEW5" s="390"/>
      <c r="TEX5" s="390"/>
      <c r="TEY5" s="390"/>
      <c r="TEZ5" s="390"/>
      <c r="TFA5" s="390"/>
      <c r="TFB5" s="390"/>
      <c r="TFC5" s="390"/>
      <c r="TFD5" s="390"/>
      <c r="TFE5" s="390"/>
      <c r="TFF5" s="390"/>
      <c r="TFG5" s="390"/>
      <c r="TFH5" s="390"/>
      <c r="TFI5" s="390"/>
      <c r="TFJ5" s="390"/>
      <c r="TFK5" s="390"/>
      <c r="TFL5" s="390"/>
      <c r="TFM5" s="390"/>
      <c r="TFN5" s="390"/>
      <c r="TFO5" s="390"/>
      <c r="TFP5" s="390"/>
      <c r="TFQ5" s="390"/>
      <c r="TFR5" s="390"/>
      <c r="TFS5" s="390"/>
      <c r="TFT5" s="390"/>
      <c r="TFU5" s="390"/>
      <c r="TFV5" s="390"/>
      <c r="TFW5" s="390"/>
      <c r="TFX5" s="390"/>
      <c r="TFY5" s="390"/>
      <c r="TFZ5" s="390"/>
      <c r="TGA5" s="390"/>
      <c r="TGB5" s="390"/>
      <c r="TGC5" s="390"/>
      <c r="TGD5" s="390"/>
      <c r="TGE5" s="390"/>
      <c r="TGF5" s="390"/>
      <c r="TGG5" s="390"/>
      <c r="TGH5" s="390"/>
      <c r="TGI5" s="390"/>
      <c r="TGJ5" s="390"/>
      <c r="TGK5" s="390"/>
      <c r="TGL5" s="390"/>
      <c r="TGM5" s="390"/>
      <c r="TGN5" s="390"/>
      <c r="TGO5" s="390"/>
      <c r="TGP5" s="390"/>
      <c r="TGQ5" s="390"/>
      <c r="TGR5" s="390"/>
      <c r="TGS5" s="390"/>
      <c r="TGT5" s="390"/>
      <c r="TGU5" s="390"/>
      <c r="TGV5" s="390"/>
      <c r="TGW5" s="390"/>
      <c r="TGX5" s="390"/>
      <c r="TGY5" s="390"/>
      <c r="TGZ5" s="390"/>
      <c r="THA5" s="390"/>
      <c r="THB5" s="390"/>
      <c r="THC5" s="390"/>
      <c r="THD5" s="390"/>
      <c r="THE5" s="390"/>
      <c r="THF5" s="390"/>
      <c r="THG5" s="390"/>
      <c r="THH5" s="390"/>
      <c r="THI5" s="390"/>
      <c r="THJ5" s="390"/>
      <c r="THK5" s="390"/>
      <c r="THL5" s="390"/>
      <c r="THM5" s="390"/>
      <c r="THN5" s="390"/>
      <c r="THO5" s="390"/>
      <c r="THP5" s="390"/>
      <c r="THQ5" s="390"/>
      <c r="THR5" s="390"/>
      <c r="THS5" s="390"/>
      <c r="THT5" s="390"/>
      <c r="THU5" s="390"/>
      <c r="THV5" s="390"/>
      <c r="THW5" s="390"/>
      <c r="THX5" s="390"/>
      <c r="THY5" s="390"/>
      <c r="THZ5" s="390"/>
      <c r="TIA5" s="390"/>
      <c r="TIB5" s="390"/>
      <c r="TIC5" s="390"/>
      <c r="TID5" s="390"/>
      <c r="TIE5" s="390"/>
      <c r="TIF5" s="390"/>
      <c r="TIG5" s="390"/>
      <c r="TIH5" s="390"/>
      <c r="TII5" s="390"/>
      <c r="TIJ5" s="390"/>
      <c r="TIK5" s="390"/>
      <c r="TIL5" s="390"/>
      <c r="TIM5" s="390"/>
      <c r="TIN5" s="390"/>
      <c r="TIO5" s="390"/>
      <c r="TIP5" s="390"/>
      <c r="TIQ5" s="390"/>
      <c r="TIR5" s="390"/>
      <c r="TIS5" s="390"/>
      <c r="TIT5" s="390"/>
      <c r="TIU5" s="390"/>
      <c r="TIV5" s="390"/>
      <c r="TIW5" s="390"/>
      <c r="TIX5" s="390"/>
      <c r="TIY5" s="390"/>
      <c r="TIZ5" s="390"/>
      <c r="TJA5" s="390"/>
      <c r="TJB5" s="390"/>
      <c r="TJC5" s="390"/>
      <c r="TJD5" s="390"/>
      <c r="TJE5" s="390"/>
      <c r="TJF5" s="390"/>
      <c r="TJG5" s="390"/>
      <c r="TJH5" s="390"/>
      <c r="TJI5" s="390"/>
      <c r="TJJ5" s="390"/>
      <c r="TJK5" s="390"/>
      <c r="TJL5" s="390"/>
      <c r="TJM5" s="390"/>
      <c r="TJN5" s="390"/>
      <c r="TJO5" s="390"/>
      <c r="TJP5" s="390"/>
      <c r="TJQ5" s="390"/>
      <c r="TJR5" s="390"/>
      <c r="TJS5" s="390"/>
      <c r="TJT5" s="390"/>
      <c r="TJU5" s="390"/>
      <c r="TJV5" s="390"/>
      <c r="TJW5" s="390"/>
      <c r="TJX5" s="390"/>
      <c r="TJY5" s="390"/>
      <c r="TJZ5" s="390"/>
      <c r="TKA5" s="390"/>
      <c r="TKB5" s="390"/>
      <c r="TKC5" s="390"/>
      <c r="TKD5" s="390"/>
      <c r="TKE5" s="390"/>
      <c r="TKF5" s="390"/>
      <c r="TKG5" s="390"/>
      <c r="TKH5" s="390"/>
      <c r="TKI5" s="390"/>
      <c r="TKJ5" s="390"/>
      <c r="TKK5" s="390"/>
      <c r="TKL5" s="390"/>
      <c r="TKM5" s="390"/>
      <c r="TKN5" s="390"/>
      <c r="TKO5" s="390"/>
      <c r="TKP5" s="390"/>
      <c r="TKQ5" s="390"/>
      <c r="TKR5" s="390"/>
      <c r="TKS5" s="390"/>
      <c r="TKT5" s="390"/>
      <c r="TKU5" s="390"/>
      <c r="TKV5" s="390"/>
      <c r="TKW5" s="390"/>
      <c r="TKX5" s="390"/>
      <c r="TKY5" s="390"/>
      <c r="TKZ5" s="390"/>
      <c r="TLA5" s="390"/>
      <c r="TLB5" s="390"/>
      <c r="TLC5" s="390"/>
      <c r="TLD5" s="390"/>
      <c r="TLE5" s="390"/>
      <c r="TLF5" s="390"/>
      <c r="TLG5" s="390"/>
      <c r="TLH5" s="390"/>
      <c r="TLI5" s="390"/>
      <c r="TLJ5" s="390"/>
      <c r="TLK5" s="390"/>
      <c r="TLL5" s="390"/>
      <c r="TLM5" s="390"/>
      <c r="TLN5" s="390"/>
      <c r="TLO5" s="390"/>
      <c r="TLP5" s="390"/>
      <c r="TLQ5" s="390"/>
      <c r="TLR5" s="390"/>
      <c r="TLS5" s="390"/>
      <c r="TLT5" s="390"/>
      <c r="TLU5" s="390"/>
      <c r="TLV5" s="390"/>
      <c r="TLW5" s="390"/>
      <c r="TLX5" s="390"/>
      <c r="TLY5" s="390"/>
      <c r="TLZ5" s="390"/>
      <c r="TMA5" s="390"/>
      <c r="TMB5" s="390"/>
      <c r="TMC5" s="390"/>
      <c r="TMD5" s="390"/>
      <c r="TME5" s="390"/>
      <c r="TMF5" s="390"/>
      <c r="TMG5" s="390"/>
      <c r="TMH5" s="390"/>
      <c r="TMI5" s="390"/>
      <c r="TMJ5" s="390"/>
      <c r="TMK5" s="390"/>
      <c r="TML5" s="390"/>
      <c r="TMM5" s="390"/>
      <c r="TMN5" s="390"/>
      <c r="TMO5" s="390"/>
      <c r="TMP5" s="390"/>
      <c r="TMQ5" s="390"/>
      <c r="TMR5" s="390"/>
      <c r="TMS5" s="390"/>
      <c r="TMT5" s="390"/>
      <c r="TMU5" s="390"/>
      <c r="TMV5" s="390"/>
      <c r="TMW5" s="390"/>
      <c r="TMX5" s="390"/>
      <c r="TMY5" s="390"/>
      <c r="TMZ5" s="390"/>
      <c r="TNA5" s="390"/>
      <c r="TNB5" s="390"/>
      <c r="TNC5" s="390"/>
      <c r="TND5" s="390"/>
      <c r="TNE5" s="390"/>
      <c r="TNF5" s="390"/>
      <c r="TNG5" s="390"/>
      <c r="TNH5" s="390"/>
      <c r="TNI5" s="390"/>
      <c r="TNJ5" s="390"/>
      <c r="TNK5" s="390"/>
      <c r="TNL5" s="390"/>
      <c r="TNM5" s="390"/>
      <c r="TNN5" s="390"/>
      <c r="TNO5" s="390"/>
      <c r="TNP5" s="390"/>
      <c r="TNQ5" s="390"/>
      <c r="TNR5" s="390"/>
      <c r="TNS5" s="390"/>
      <c r="TNT5" s="390"/>
      <c r="TNU5" s="390"/>
      <c r="TNV5" s="390"/>
      <c r="TNW5" s="390"/>
      <c r="TNX5" s="390"/>
      <c r="TNY5" s="390"/>
      <c r="TNZ5" s="390"/>
      <c r="TOA5" s="390"/>
      <c r="TOB5" s="390"/>
      <c r="TOC5" s="390"/>
      <c r="TOD5" s="390"/>
      <c r="TOE5" s="390"/>
      <c r="TOF5" s="390"/>
      <c r="TOG5" s="390"/>
      <c r="TOH5" s="390"/>
      <c r="TOI5" s="390"/>
      <c r="TOJ5" s="390"/>
      <c r="TOK5" s="390"/>
      <c r="TOL5" s="390"/>
      <c r="TOM5" s="390"/>
      <c r="TON5" s="390"/>
      <c r="TOO5" s="390"/>
      <c r="TOP5" s="390"/>
      <c r="TOQ5" s="390"/>
      <c r="TOR5" s="390"/>
      <c r="TOS5" s="390"/>
      <c r="TOT5" s="390"/>
      <c r="TOU5" s="390"/>
      <c r="TOV5" s="390"/>
      <c r="TOW5" s="390"/>
      <c r="TOX5" s="390"/>
      <c r="TOY5" s="390"/>
      <c r="TOZ5" s="390"/>
      <c r="TPA5" s="390"/>
      <c r="TPB5" s="390"/>
      <c r="TPC5" s="390"/>
      <c r="TPD5" s="390"/>
      <c r="TPE5" s="390"/>
      <c r="TPF5" s="390"/>
      <c r="TPG5" s="390"/>
      <c r="TPH5" s="390"/>
      <c r="TPI5" s="390"/>
      <c r="TPJ5" s="390"/>
      <c r="TPK5" s="390"/>
      <c r="TPL5" s="390"/>
      <c r="TPM5" s="390"/>
      <c r="TPN5" s="390"/>
      <c r="TPO5" s="390"/>
      <c r="TPP5" s="390"/>
      <c r="TPQ5" s="390"/>
      <c r="TPR5" s="390"/>
      <c r="TPS5" s="390"/>
      <c r="TPT5" s="390"/>
      <c r="TPU5" s="390"/>
      <c r="TPV5" s="390"/>
      <c r="TPW5" s="390"/>
      <c r="TPX5" s="390"/>
      <c r="TPY5" s="390"/>
      <c r="TPZ5" s="390"/>
      <c r="TQA5" s="390"/>
      <c r="TQB5" s="390"/>
      <c r="TQC5" s="390"/>
      <c r="TQD5" s="390"/>
      <c r="TQE5" s="390"/>
      <c r="TQF5" s="390"/>
      <c r="TQG5" s="390"/>
      <c r="TQH5" s="390"/>
      <c r="TQI5" s="390"/>
      <c r="TQJ5" s="390"/>
      <c r="TQK5" s="390"/>
      <c r="TQL5" s="390"/>
      <c r="TQM5" s="390"/>
      <c r="TQN5" s="390"/>
      <c r="TQO5" s="390"/>
      <c r="TQP5" s="390"/>
      <c r="TQQ5" s="390"/>
      <c r="TQR5" s="390"/>
      <c r="TQS5" s="390"/>
      <c r="TQT5" s="390"/>
      <c r="TQU5" s="390"/>
      <c r="TQV5" s="390"/>
      <c r="TQW5" s="390"/>
      <c r="TQX5" s="390"/>
      <c r="TQY5" s="390"/>
      <c r="TQZ5" s="390"/>
      <c r="TRA5" s="390"/>
      <c r="TRB5" s="390"/>
      <c r="TRC5" s="390"/>
      <c r="TRD5" s="390"/>
      <c r="TRE5" s="390"/>
      <c r="TRF5" s="390"/>
      <c r="TRG5" s="390"/>
      <c r="TRH5" s="390"/>
      <c r="TRI5" s="390"/>
      <c r="TRJ5" s="390"/>
      <c r="TRK5" s="390"/>
      <c r="TRL5" s="390"/>
      <c r="TRM5" s="390"/>
      <c r="TRN5" s="390"/>
      <c r="TRO5" s="390"/>
      <c r="TRP5" s="390"/>
      <c r="TRQ5" s="390"/>
      <c r="TRR5" s="390"/>
      <c r="TRS5" s="390"/>
      <c r="TRT5" s="390"/>
      <c r="TRU5" s="390"/>
      <c r="TRV5" s="390"/>
      <c r="TRW5" s="390"/>
      <c r="TRX5" s="390"/>
      <c r="TRY5" s="390"/>
      <c r="TRZ5" s="390"/>
      <c r="TSA5" s="390"/>
      <c r="TSB5" s="390"/>
      <c r="TSC5" s="390"/>
      <c r="TSD5" s="390"/>
      <c r="TSE5" s="390"/>
      <c r="TSF5" s="390"/>
      <c r="TSG5" s="390"/>
      <c r="TSH5" s="390"/>
      <c r="TSI5" s="390"/>
      <c r="TSJ5" s="390"/>
      <c r="TSK5" s="390"/>
      <c r="TSL5" s="390"/>
      <c r="TSM5" s="390"/>
      <c r="TSN5" s="390"/>
      <c r="TSO5" s="390"/>
      <c r="TSP5" s="390"/>
      <c r="TSQ5" s="390"/>
      <c r="TSR5" s="390"/>
      <c r="TSS5" s="390"/>
      <c r="TST5" s="390"/>
      <c r="TSU5" s="390"/>
      <c r="TSV5" s="390"/>
      <c r="TSW5" s="390"/>
      <c r="TSX5" s="390"/>
      <c r="TSY5" s="390"/>
      <c r="TSZ5" s="390"/>
      <c r="TTA5" s="390"/>
      <c r="TTB5" s="390"/>
      <c r="TTC5" s="390"/>
      <c r="TTD5" s="390"/>
      <c r="TTE5" s="390"/>
      <c r="TTF5" s="390"/>
      <c r="TTG5" s="390"/>
      <c r="TTH5" s="390"/>
      <c r="TTI5" s="390"/>
      <c r="TTJ5" s="390"/>
      <c r="TTK5" s="390"/>
      <c r="TTL5" s="390"/>
      <c r="TTM5" s="390"/>
      <c r="TTN5" s="390"/>
      <c r="TTO5" s="390"/>
      <c r="TTP5" s="390"/>
      <c r="TTQ5" s="390"/>
      <c r="TTR5" s="390"/>
      <c r="TTS5" s="390"/>
      <c r="TTT5" s="390"/>
      <c r="TTU5" s="390"/>
      <c r="TTV5" s="390"/>
      <c r="TTW5" s="390"/>
      <c r="TTX5" s="390"/>
      <c r="TTY5" s="390"/>
      <c r="TTZ5" s="390"/>
      <c r="TUA5" s="390"/>
      <c r="TUB5" s="390"/>
      <c r="TUC5" s="390"/>
      <c r="TUD5" s="390"/>
      <c r="TUE5" s="390"/>
      <c r="TUF5" s="390"/>
      <c r="TUG5" s="390"/>
      <c r="TUH5" s="390"/>
      <c r="TUI5" s="390"/>
      <c r="TUJ5" s="390"/>
      <c r="TUK5" s="390"/>
      <c r="TUL5" s="390"/>
      <c r="TUM5" s="390"/>
      <c r="TUN5" s="390"/>
      <c r="TUO5" s="390"/>
      <c r="TUP5" s="390"/>
      <c r="TUQ5" s="390"/>
      <c r="TUR5" s="390"/>
      <c r="TUS5" s="390"/>
      <c r="TUT5" s="390"/>
      <c r="TUU5" s="390"/>
      <c r="TUV5" s="390"/>
      <c r="TUW5" s="390"/>
      <c r="TUX5" s="390"/>
      <c r="TUY5" s="390"/>
      <c r="TUZ5" s="390"/>
      <c r="TVA5" s="390"/>
      <c r="TVB5" s="390"/>
      <c r="TVC5" s="390"/>
      <c r="TVD5" s="390"/>
      <c r="TVE5" s="390"/>
      <c r="TVF5" s="390"/>
      <c r="TVG5" s="390"/>
      <c r="TVH5" s="390"/>
      <c r="TVI5" s="390"/>
      <c r="TVJ5" s="390"/>
      <c r="TVK5" s="390"/>
      <c r="TVL5" s="390"/>
      <c r="TVM5" s="390"/>
      <c r="TVN5" s="390"/>
      <c r="TVO5" s="390"/>
      <c r="TVP5" s="390"/>
      <c r="TVQ5" s="390"/>
      <c r="TVR5" s="390"/>
      <c r="TVS5" s="390"/>
      <c r="TVT5" s="390"/>
      <c r="TVU5" s="390"/>
      <c r="TVV5" s="390"/>
      <c r="TVW5" s="390"/>
      <c r="TVX5" s="390"/>
      <c r="TVY5" s="390"/>
      <c r="TVZ5" s="390"/>
      <c r="TWA5" s="390"/>
      <c r="TWB5" s="390"/>
      <c r="TWC5" s="390"/>
      <c r="TWD5" s="390"/>
      <c r="TWE5" s="390"/>
      <c r="TWF5" s="390"/>
      <c r="TWG5" s="390"/>
      <c r="TWH5" s="390"/>
      <c r="TWI5" s="390"/>
      <c r="TWJ5" s="390"/>
      <c r="TWK5" s="390"/>
      <c r="TWL5" s="390"/>
      <c r="TWM5" s="390"/>
      <c r="TWN5" s="390"/>
      <c r="TWO5" s="390"/>
      <c r="TWP5" s="390"/>
      <c r="TWQ5" s="390"/>
      <c r="TWR5" s="390"/>
      <c r="TWS5" s="390"/>
      <c r="TWT5" s="390"/>
      <c r="TWU5" s="390"/>
      <c r="TWV5" s="390"/>
      <c r="TWW5" s="390"/>
      <c r="TWX5" s="390"/>
      <c r="TWY5" s="390"/>
      <c r="TWZ5" s="390"/>
      <c r="TXA5" s="390"/>
      <c r="TXB5" s="390"/>
      <c r="TXC5" s="390"/>
      <c r="TXD5" s="390"/>
      <c r="TXE5" s="390"/>
      <c r="TXF5" s="390"/>
      <c r="TXG5" s="390"/>
      <c r="TXH5" s="390"/>
      <c r="TXI5" s="390"/>
      <c r="TXJ5" s="390"/>
      <c r="TXK5" s="390"/>
      <c r="TXL5" s="390"/>
      <c r="TXM5" s="390"/>
      <c r="TXN5" s="390"/>
      <c r="TXO5" s="390"/>
      <c r="TXP5" s="390"/>
      <c r="TXQ5" s="390"/>
      <c r="TXR5" s="390"/>
      <c r="TXS5" s="390"/>
      <c r="TXT5" s="390"/>
      <c r="TXU5" s="390"/>
      <c r="TXV5" s="390"/>
      <c r="TXW5" s="390"/>
      <c r="TXX5" s="390"/>
      <c r="TXY5" s="390"/>
      <c r="TXZ5" s="390"/>
      <c r="TYA5" s="390"/>
      <c r="TYB5" s="390"/>
      <c r="TYC5" s="390"/>
      <c r="TYD5" s="390"/>
      <c r="TYE5" s="390"/>
      <c r="TYF5" s="390"/>
      <c r="TYG5" s="390"/>
      <c r="TYH5" s="390"/>
      <c r="TYI5" s="390"/>
      <c r="TYJ5" s="390"/>
      <c r="TYK5" s="390"/>
      <c r="TYL5" s="390"/>
      <c r="TYM5" s="390"/>
      <c r="TYN5" s="390"/>
      <c r="TYO5" s="390"/>
      <c r="TYP5" s="390"/>
      <c r="TYQ5" s="390"/>
      <c r="TYR5" s="390"/>
      <c r="TYS5" s="390"/>
      <c r="TYT5" s="390"/>
      <c r="TYU5" s="390"/>
      <c r="TYV5" s="390"/>
      <c r="TYW5" s="390"/>
      <c r="TYX5" s="390"/>
      <c r="TYY5" s="390"/>
      <c r="TYZ5" s="390"/>
      <c r="TZA5" s="390"/>
      <c r="TZB5" s="390"/>
      <c r="TZC5" s="390"/>
      <c r="TZD5" s="390"/>
      <c r="TZE5" s="390"/>
      <c r="TZF5" s="390"/>
      <c r="TZG5" s="390"/>
      <c r="TZH5" s="390"/>
      <c r="TZI5" s="390"/>
      <c r="TZJ5" s="390"/>
      <c r="TZK5" s="390"/>
      <c r="TZL5" s="390"/>
      <c r="TZM5" s="390"/>
      <c r="TZN5" s="390"/>
      <c r="TZO5" s="390"/>
      <c r="TZP5" s="390"/>
      <c r="TZQ5" s="390"/>
      <c r="TZR5" s="390"/>
      <c r="TZS5" s="390"/>
      <c r="TZT5" s="390"/>
      <c r="TZU5" s="390"/>
      <c r="TZV5" s="390"/>
      <c r="TZW5" s="390"/>
      <c r="TZX5" s="390"/>
      <c r="TZY5" s="390"/>
      <c r="TZZ5" s="390"/>
      <c r="UAA5" s="390"/>
      <c r="UAB5" s="390"/>
      <c r="UAC5" s="390"/>
      <c r="UAD5" s="390"/>
      <c r="UAE5" s="390"/>
      <c r="UAF5" s="390"/>
      <c r="UAG5" s="390"/>
      <c r="UAH5" s="390"/>
      <c r="UAI5" s="390"/>
      <c r="UAJ5" s="390"/>
      <c r="UAK5" s="390"/>
      <c r="UAL5" s="390"/>
      <c r="UAM5" s="390"/>
      <c r="UAN5" s="390"/>
      <c r="UAO5" s="390"/>
      <c r="UAP5" s="390"/>
      <c r="UAQ5" s="390"/>
      <c r="UAR5" s="390"/>
      <c r="UAS5" s="390"/>
      <c r="UAT5" s="390"/>
      <c r="UAU5" s="390"/>
      <c r="UAV5" s="390"/>
      <c r="UAW5" s="390"/>
      <c r="UAX5" s="390"/>
      <c r="UAY5" s="390"/>
      <c r="UAZ5" s="390"/>
      <c r="UBA5" s="390"/>
      <c r="UBB5" s="390"/>
      <c r="UBC5" s="390"/>
      <c r="UBD5" s="390"/>
      <c r="UBE5" s="390"/>
      <c r="UBF5" s="390"/>
      <c r="UBG5" s="390"/>
      <c r="UBH5" s="390"/>
      <c r="UBI5" s="390"/>
      <c r="UBJ5" s="390"/>
      <c r="UBK5" s="390"/>
      <c r="UBL5" s="390"/>
      <c r="UBM5" s="390"/>
      <c r="UBN5" s="390"/>
      <c r="UBO5" s="390"/>
      <c r="UBP5" s="390"/>
      <c r="UBQ5" s="390"/>
      <c r="UBR5" s="390"/>
      <c r="UBS5" s="390"/>
      <c r="UBT5" s="390"/>
      <c r="UBU5" s="390"/>
      <c r="UBV5" s="390"/>
      <c r="UBW5" s="390"/>
      <c r="UBX5" s="390"/>
      <c r="UBY5" s="390"/>
      <c r="UBZ5" s="390"/>
      <c r="UCA5" s="390"/>
      <c r="UCB5" s="390"/>
      <c r="UCC5" s="390"/>
      <c r="UCD5" s="390"/>
      <c r="UCE5" s="390"/>
      <c r="UCF5" s="390"/>
      <c r="UCG5" s="390"/>
      <c r="UCH5" s="390"/>
      <c r="UCI5" s="390"/>
      <c r="UCJ5" s="390"/>
      <c r="UCK5" s="390"/>
      <c r="UCL5" s="390"/>
      <c r="UCM5" s="390"/>
      <c r="UCN5" s="390"/>
      <c r="UCO5" s="390"/>
      <c r="UCP5" s="390"/>
      <c r="UCQ5" s="390"/>
      <c r="UCR5" s="390"/>
      <c r="UCS5" s="390"/>
      <c r="UCT5" s="390"/>
      <c r="UCU5" s="390"/>
      <c r="UCV5" s="390"/>
      <c r="UCW5" s="390"/>
      <c r="UCX5" s="390"/>
      <c r="UCY5" s="390"/>
      <c r="UCZ5" s="390"/>
      <c r="UDA5" s="390"/>
      <c r="UDB5" s="390"/>
      <c r="UDC5" s="390"/>
      <c r="UDD5" s="390"/>
      <c r="UDE5" s="390"/>
      <c r="UDF5" s="390"/>
      <c r="UDG5" s="390"/>
      <c r="UDH5" s="390"/>
      <c r="UDI5" s="390"/>
      <c r="UDJ5" s="390"/>
      <c r="UDK5" s="390"/>
      <c r="UDL5" s="390"/>
      <c r="UDM5" s="390"/>
      <c r="UDN5" s="390"/>
      <c r="UDO5" s="390"/>
      <c r="UDP5" s="390"/>
      <c r="UDQ5" s="390"/>
      <c r="UDR5" s="390"/>
      <c r="UDS5" s="390"/>
      <c r="UDT5" s="390"/>
      <c r="UDU5" s="390"/>
      <c r="UDV5" s="390"/>
      <c r="UDW5" s="390"/>
      <c r="UDX5" s="390"/>
      <c r="UDY5" s="390"/>
      <c r="UDZ5" s="390"/>
      <c r="UEA5" s="390"/>
      <c r="UEB5" s="390"/>
      <c r="UEC5" s="390"/>
      <c r="UED5" s="390"/>
      <c r="UEE5" s="390"/>
      <c r="UEF5" s="390"/>
      <c r="UEG5" s="390"/>
      <c r="UEH5" s="390"/>
      <c r="UEI5" s="390"/>
      <c r="UEJ5" s="390"/>
      <c r="UEK5" s="390"/>
      <c r="UEL5" s="390"/>
      <c r="UEM5" s="390"/>
      <c r="UEN5" s="390"/>
      <c r="UEO5" s="390"/>
      <c r="UEP5" s="390"/>
      <c r="UEQ5" s="390"/>
      <c r="UER5" s="390"/>
      <c r="UES5" s="390"/>
      <c r="UET5" s="390"/>
      <c r="UEU5" s="390"/>
      <c r="UEV5" s="390"/>
      <c r="UEW5" s="390"/>
      <c r="UEX5" s="390"/>
      <c r="UEY5" s="390"/>
      <c r="UEZ5" s="390"/>
      <c r="UFA5" s="390"/>
      <c r="UFB5" s="390"/>
      <c r="UFC5" s="390"/>
      <c r="UFD5" s="390"/>
      <c r="UFE5" s="390"/>
      <c r="UFF5" s="390"/>
      <c r="UFG5" s="390"/>
      <c r="UFH5" s="390"/>
      <c r="UFI5" s="390"/>
      <c r="UFJ5" s="390"/>
      <c r="UFK5" s="390"/>
      <c r="UFL5" s="390"/>
      <c r="UFM5" s="390"/>
      <c r="UFN5" s="390"/>
      <c r="UFO5" s="390"/>
      <c r="UFP5" s="390"/>
      <c r="UFQ5" s="390"/>
      <c r="UFR5" s="390"/>
      <c r="UFS5" s="390"/>
      <c r="UFT5" s="390"/>
      <c r="UFU5" s="390"/>
      <c r="UFV5" s="390"/>
      <c r="UFW5" s="390"/>
      <c r="UFX5" s="390"/>
      <c r="UFY5" s="390"/>
      <c r="UFZ5" s="390"/>
      <c r="UGA5" s="390"/>
      <c r="UGB5" s="390"/>
      <c r="UGC5" s="390"/>
      <c r="UGD5" s="390"/>
      <c r="UGE5" s="390"/>
      <c r="UGF5" s="390"/>
      <c r="UGG5" s="390"/>
      <c r="UGH5" s="390"/>
      <c r="UGI5" s="390"/>
      <c r="UGJ5" s="390"/>
      <c r="UGK5" s="390"/>
      <c r="UGL5" s="390"/>
      <c r="UGM5" s="390"/>
      <c r="UGN5" s="390"/>
      <c r="UGO5" s="390"/>
      <c r="UGP5" s="390"/>
      <c r="UGQ5" s="390"/>
      <c r="UGR5" s="390"/>
      <c r="UGS5" s="390"/>
      <c r="UGT5" s="390"/>
      <c r="UGU5" s="390"/>
      <c r="UGV5" s="390"/>
      <c r="UGW5" s="390"/>
      <c r="UGX5" s="390"/>
      <c r="UGY5" s="390"/>
      <c r="UGZ5" s="390"/>
      <c r="UHA5" s="390"/>
      <c r="UHB5" s="390"/>
      <c r="UHC5" s="390"/>
      <c r="UHD5" s="390"/>
      <c r="UHE5" s="390"/>
      <c r="UHF5" s="390"/>
      <c r="UHG5" s="390"/>
      <c r="UHH5" s="390"/>
      <c r="UHI5" s="390"/>
      <c r="UHJ5" s="390"/>
      <c r="UHK5" s="390"/>
      <c r="UHL5" s="390"/>
      <c r="UHM5" s="390"/>
      <c r="UHN5" s="390"/>
      <c r="UHO5" s="390"/>
      <c r="UHP5" s="390"/>
      <c r="UHQ5" s="390"/>
      <c r="UHR5" s="390"/>
      <c r="UHS5" s="390"/>
      <c r="UHT5" s="390"/>
      <c r="UHU5" s="390"/>
      <c r="UHV5" s="390"/>
      <c r="UHW5" s="390"/>
      <c r="UHX5" s="390"/>
      <c r="UHY5" s="390"/>
      <c r="UHZ5" s="390"/>
      <c r="UIA5" s="390"/>
      <c r="UIB5" s="390"/>
      <c r="UIC5" s="390"/>
      <c r="UID5" s="390"/>
      <c r="UIE5" s="390"/>
      <c r="UIF5" s="390"/>
      <c r="UIG5" s="390"/>
      <c r="UIH5" s="390"/>
      <c r="UII5" s="390"/>
      <c r="UIJ5" s="390"/>
      <c r="UIK5" s="390"/>
      <c r="UIL5" s="390"/>
      <c r="UIM5" s="390"/>
      <c r="UIN5" s="390"/>
      <c r="UIO5" s="390"/>
      <c r="UIP5" s="390"/>
      <c r="UIQ5" s="390"/>
      <c r="UIR5" s="390"/>
      <c r="UIS5" s="390"/>
      <c r="UIT5" s="390"/>
      <c r="UIU5" s="390"/>
      <c r="UIV5" s="390"/>
      <c r="UIW5" s="390"/>
      <c r="UIX5" s="390"/>
      <c r="UIY5" s="390"/>
      <c r="UIZ5" s="390"/>
      <c r="UJA5" s="390"/>
      <c r="UJB5" s="390"/>
      <c r="UJC5" s="390"/>
      <c r="UJD5" s="390"/>
      <c r="UJE5" s="390"/>
      <c r="UJF5" s="390"/>
      <c r="UJG5" s="390"/>
      <c r="UJH5" s="390"/>
      <c r="UJI5" s="390"/>
      <c r="UJJ5" s="390"/>
      <c r="UJK5" s="390"/>
      <c r="UJL5" s="390"/>
      <c r="UJM5" s="390"/>
      <c r="UJN5" s="390"/>
      <c r="UJO5" s="390"/>
      <c r="UJP5" s="390"/>
      <c r="UJQ5" s="390"/>
      <c r="UJR5" s="390"/>
      <c r="UJS5" s="390"/>
      <c r="UJT5" s="390"/>
      <c r="UJU5" s="390"/>
      <c r="UJV5" s="390"/>
      <c r="UJW5" s="390"/>
      <c r="UJX5" s="390"/>
      <c r="UJY5" s="390"/>
      <c r="UJZ5" s="390"/>
      <c r="UKA5" s="390"/>
      <c r="UKB5" s="390"/>
      <c r="UKC5" s="390"/>
      <c r="UKD5" s="390"/>
      <c r="UKE5" s="390"/>
      <c r="UKF5" s="390"/>
      <c r="UKG5" s="390"/>
      <c r="UKH5" s="390"/>
      <c r="UKI5" s="390"/>
      <c r="UKJ5" s="390"/>
      <c r="UKK5" s="390"/>
      <c r="UKL5" s="390"/>
      <c r="UKM5" s="390"/>
      <c r="UKN5" s="390"/>
      <c r="UKO5" s="390"/>
      <c r="UKP5" s="390"/>
      <c r="UKQ5" s="390"/>
      <c r="UKR5" s="390"/>
      <c r="UKS5" s="390"/>
      <c r="UKT5" s="390"/>
      <c r="UKU5" s="390"/>
      <c r="UKV5" s="390"/>
      <c r="UKW5" s="390"/>
      <c r="UKX5" s="390"/>
      <c r="UKY5" s="390"/>
      <c r="UKZ5" s="390"/>
      <c r="ULA5" s="390"/>
      <c r="ULB5" s="390"/>
      <c r="ULC5" s="390"/>
      <c r="ULD5" s="390"/>
      <c r="ULE5" s="390"/>
      <c r="ULF5" s="390"/>
      <c r="ULG5" s="390"/>
      <c r="ULH5" s="390"/>
      <c r="ULI5" s="390"/>
      <c r="ULJ5" s="390"/>
      <c r="ULK5" s="390"/>
      <c r="ULL5" s="390"/>
      <c r="ULM5" s="390"/>
      <c r="ULN5" s="390"/>
      <c r="ULO5" s="390"/>
      <c r="ULP5" s="390"/>
      <c r="ULQ5" s="390"/>
      <c r="ULR5" s="390"/>
      <c r="ULS5" s="390"/>
      <c r="ULT5" s="390"/>
      <c r="ULU5" s="390"/>
      <c r="ULV5" s="390"/>
      <c r="ULW5" s="390"/>
      <c r="ULX5" s="390"/>
      <c r="ULY5" s="390"/>
      <c r="ULZ5" s="390"/>
      <c r="UMA5" s="390"/>
      <c r="UMB5" s="390"/>
      <c r="UMC5" s="390"/>
      <c r="UMD5" s="390"/>
      <c r="UME5" s="390"/>
      <c r="UMF5" s="390"/>
      <c r="UMG5" s="390"/>
      <c r="UMH5" s="390"/>
      <c r="UMI5" s="390"/>
      <c r="UMJ5" s="390"/>
      <c r="UMK5" s="390"/>
      <c r="UML5" s="390"/>
      <c r="UMM5" s="390"/>
      <c r="UMN5" s="390"/>
      <c r="UMO5" s="390"/>
      <c r="UMP5" s="390"/>
      <c r="UMQ5" s="390"/>
      <c r="UMR5" s="390"/>
      <c r="UMS5" s="390"/>
      <c r="UMT5" s="390"/>
      <c r="UMU5" s="390"/>
      <c r="UMV5" s="390"/>
      <c r="UMW5" s="390"/>
      <c r="UMX5" s="390"/>
      <c r="UMY5" s="390"/>
      <c r="UMZ5" s="390"/>
      <c r="UNA5" s="390"/>
      <c r="UNB5" s="390"/>
      <c r="UNC5" s="390"/>
      <c r="UND5" s="390"/>
      <c r="UNE5" s="390"/>
      <c r="UNF5" s="390"/>
      <c r="UNG5" s="390"/>
      <c r="UNH5" s="390"/>
      <c r="UNI5" s="390"/>
      <c r="UNJ5" s="390"/>
      <c r="UNK5" s="390"/>
      <c r="UNL5" s="390"/>
      <c r="UNM5" s="390"/>
      <c r="UNN5" s="390"/>
      <c r="UNO5" s="390"/>
      <c r="UNP5" s="390"/>
      <c r="UNQ5" s="390"/>
      <c r="UNR5" s="390"/>
      <c r="UNS5" s="390"/>
      <c r="UNT5" s="390"/>
      <c r="UNU5" s="390"/>
      <c r="UNV5" s="390"/>
      <c r="UNW5" s="390"/>
      <c r="UNX5" s="390"/>
      <c r="UNY5" s="390"/>
      <c r="UNZ5" s="390"/>
      <c r="UOA5" s="390"/>
      <c r="UOB5" s="390"/>
      <c r="UOC5" s="390"/>
      <c r="UOD5" s="390"/>
      <c r="UOE5" s="390"/>
      <c r="UOF5" s="390"/>
      <c r="UOG5" s="390"/>
      <c r="UOH5" s="390"/>
      <c r="UOI5" s="390"/>
      <c r="UOJ5" s="390"/>
      <c r="UOK5" s="390"/>
      <c r="UOL5" s="390"/>
      <c r="UOM5" s="390"/>
      <c r="UON5" s="390"/>
      <c r="UOO5" s="390"/>
      <c r="UOP5" s="390"/>
      <c r="UOQ5" s="390"/>
      <c r="UOR5" s="390"/>
      <c r="UOS5" s="390"/>
      <c r="UOT5" s="390"/>
      <c r="UOU5" s="390"/>
      <c r="UOV5" s="390"/>
      <c r="UOW5" s="390"/>
      <c r="UOX5" s="390"/>
      <c r="UOY5" s="390"/>
      <c r="UOZ5" s="390"/>
      <c r="UPA5" s="390"/>
      <c r="UPB5" s="390"/>
      <c r="UPC5" s="390"/>
      <c r="UPD5" s="390"/>
      <c r="UPE5" s="390"/>
      <c r="UPF5" s="390"/>
      <c r="UPG5" s="390"/>
      <c r="UPH5" s="390"/>
      <c r="UPI5" s="390"/>
      <c r="UPJ5" s="390"/>
      <c r="UPK5" s="390"/>
      <c r="UPL5" s="390"/>
      <c r="UPM5" s="390"/>
      <c r="UPN5" s="390"/>
      <c r="UPO5" s="390"/>
      <c r="UPP5" s="390"/>
      <c r="UPQ5" s="390"/>
      <c r="UPR5" s="390"/>
      <c r="UPS5" s="390"/>
      <c r="UPT5" s="390"/>
      <c r="UPU5" s="390"/>
      <c r="UPV5" s="390"/>
      <c r="UPW5" s="390"/>
      <c r="UPX5" s="390"/>
      <c r="UPY5" s="390"/>
      <c r="UPZ5" s="390"/>
      <c r="UQA5" s="390"/>
      <c r="UQB5" s="390"/>
      <c r="UQC5" s="390"/>
      <c r="UQD5" s="390"/>
      <c r="UQE5" s="390"/>
      <c r="UQF5" s="390"/>
      <c r="UQG5" s="390"/>
      <c r="UQH5" s="390"/>
      <c r="UQI5" s="390"/>
      <c r="UQJ5" s="390"/>
      <c r="UQK5" s="390"/>
      <c r="UQL5" s="390"/>
      <c r="UQM5" s="390"/>
      <c r="UQN5" s="390"/>
      <c r="UQO5" s="390"/>
      <c r="UQP5" s="390"/>
      <c r="UQQ5" s="390"/>
      <c r="UQR5" s="390"/>
      <c r="UQS5" s="390"/>
      <c r="UQT5" s="390"/>
      <c r="UQU5" s="390"/>
      <c r="UQV5" s="390"/>
      <c r="UQW5" s="390"/>
      <c r="UQX5" s="390"/>
      <c r="UQY5" s="390"/>
      <c r="UQZ5" s="390"/>
      <c r="URA5" s="390"/>
      <c r="URB5" s="390"/>
      <c r="URC5" s="390"/>
      <c r="URD5" s="390"/>
      <c r="URE5" s="390"/>
      <c r="URF5" s="390"/>
      <c r="URG5" s="390"/>
      <c r="URH5" s="390"/>
      <c r="URI5" s="390"/>
      <c r="URJ5" s="390"/>
      <c r="URK5" s="390"/>
      <c r="URL5" s="390"/>
      <c r="URM5" s="390"/>
      <c r="URN5" s="390"/>
      <c r="URO5" s="390"/>
      <c r="URP5" s="390"/>
      <c r="URQ5" s="390"/>
      <c r="URR5" s="390"/>
      <c r="URS5" s="390"/>
      <c r="URT5" s="390"/>
      <c r="URU5" s="390"/>
      <c r="URV5" s="390"/>
      <c r="URW5" s="390"/>
      <c r="URX5" s="390"/>
      <c r="URY5" s="390"/>
      <c r="URZ5" s="390"/>
      <c r="USA5" s="390"/>
      <c r="USB5" s="390"/>
      <c r="USC5" s="390"/>
      <c r="USD5" s="390"/>
      <c r="USE5" s="390"/>
      <c r="USF5" s="390"/>
      <c r="USG5" s="390"/>
      <c r="USH5" s="390"/>
      <c r="USI5" s="390"/>
      <c r="USJ5" s="390"/>
      <c r="USK5" s="390"/>
      <c r="USL5" s="390"/>
      <c r="USM5" s="390"/>
      <c r="USN5" s="390"/>
      <c r="USO5" s="390"/>
      <c r="USP5" s="390"/>
      <c r="USQ5" s="390"/>
      <c r="USR5" s="390"/>
      <c r="USS5" s="390"/>
      <c r="UST5" s="390"/>
      <c r="USU5" s="390"/>
      <c r="USV5" s="390"/>
      <c r="USW5" s="390"/>
      <c r="USX5" s="390"/>
      <c r="USY5" s="390"/>
      <c r="USZ5" s="390"/>
      <c r="UTA5" s="390"/>
      <c r="UTB5" s="390"/>
      <c r="UTC5" s="390"/>
      <c r="UTD5" s="390"/>
      <c r="UTE5" s="390"/>
      <c r="UTF5" s="390"/>
      <c r="UTG5" s="390"/>
      <c r="UTH5" s="390"/>
      <c r="UTI5" s="390"/>
      <c r="UTJ5" s="390"/>
      <c r="UTK5" s="390"/>
      <c r="UTL5" s="390"/>
      <c r="UTM5" s="390"/>
      <c r="UTN5" s="390"/>
      <c r="UTO5" s="390"/>
      <c r="UTP5" s="390"/>
      <c r="UTQ5" s="390"/>
      <c r="UTR5" s="390"/>
      <c r="UTS5" s="390"/>
      <c r="UTT5" s="390"/>
      <c r="UTU5" s="390"/>
      <c r="UTV5" s="390"/>
      <c r="UTW5" s="390"/>
      <c r="UTX5" s="390"/>
      <c r="UTY5" s="390"/>
      <c r="UTZ5" s="390"/>
      <c r="UUA5" s="390"/>
      <c r="UUB5" s="390"/>
      <c r="UUC5" s="390"/>
      <c r="UUD5" s="390"/>
      <c r="UUE5" s="390"/>
      <c r="UUF5" s="390"/>
      <c r="UUG5" s="390"/>
      <c r="UUH5" s="390"/>
      <c r="UUI5" s="390"/>
      <c r="UUJ5" s="390"/>
      <c r="UUK5" s="390"/>
      <c r="UUL5" s="390"/>
      <c r="UUM5" s="390"/>
      <c r="UUN5" s="390"/>
      <c r="UUO5" s="390"/>
      <c r="UUP5" s="390"/>
      <c r="UUQ5" s="390"/>
      <c r="UUR5" s="390"/>
      <c r="UUS5" s="390"/>
      <c r="UUT5" s="390"/>
      <c r="UUU5" s="390"/>
      <c r="UUV5" s="390"/>
      <c r="UUW5" s="390"/>
      <c r="UUX5" s="390"/>
      <c r="UUY5" s="390"/>
      <c r="UUZ5" s="390"/>
      <c r="UVA5" s="390"/>
      <c r="UVB5" s="390"/>
      <c r="UVC5" s="390"/>
      <c r="UVD5" s="390"/>
      <c r="UVE5" s="390"/>
      <c r="UVF5" s="390"/>
      <c r="UVG5" s="390"/>
      <c r="UVH5" s="390"/>
      <c r="UVI5" s="390"/>
      <c r="UVJ5" s="390"/>
      <c r="UVK5" s="390"/>
      <c r="UVL5" s="390"/>
      <c r="UVM5" s="390"/>
      <c r="UVN5" s="390"/>
      <c r="UVO5" s="390"/>
      <c r="UVP5" s="390"/>
      <c r="UVQ5" s="390"/>
      <c r="UVR5" s="390"/>
      <c r="UVS5" s="390"/>
      <c r="UVT5" s="390"/>
      <c r="UVU5" s="390"/>
      <c r="UVV5" s="390"/>
      <c r="UVW5" s="390"/>
      <c r="UVX5" s="390"/>
      <c r="UVY5" s="390"/>
      <c r="UVZ5" s="390"/>
      <c r="UWA5" s="390"/>
      <c r="UWB5" s="390"/>
      <c r="UWC5" s="390"/>
      <c r="UWD5" s="390"/>
      <c r="UWE5" s="390"/>
      <c r="UWF5" s="390"/>
      <c r="UWG5" s="390"/>
      <c r="UWH5" s="390"/>
      <c r="UWI5" s="390"/>
      <c r="UWJ5" s="390"/>
      <c r="UWK5" s="390"/>
      <c r="UWL5" s="390"/>
      <c r="UWM5" s="390"/>
      <c r="UWN5" s="390"/>
      <c r="UWO5" s="390"/>
      <c r="UWP5" s="390"/>
      <c r="UWQ5" s="390"/>
      <c r="UWR5" s="390"/>
      <c r="UWS5" s="390"/>
      <c r="UWT5" s="390"/>
      <c r="UWU5" s="390"/>
      <c r="UWV5" s="390"/>
      <c r="UWW5" s="390"/>
      <c r="UWX5" s="390"/>
      <c r="UWY5" s="390"/>
      <c r="UWZ5" s="390"/>
      <c r="UXA5" s="390"/>
      <c r="UXB5" s="390"/>
      <c r="UXC5" s="390"/>
      <c r="UXD5" s="390"/>
      <c r="UXE5" s="390"/>
      <c r="UXF5" s="390"/>
      <c r="UXG5" s="390"/>
      <c r="UXH5" s="390"/>
      <c r="UXI5" s="390"/>
      <c r="UXJ5" s="390"/>
      <c r="UXK5" s="390"/>
      <c r="UXL5" s="390"/>
      <c r="UXM5" s="390"/>
      <c r="UXN5" s="390"/>
      <c r="UXO5" s="390"/>
      <c r="UXP5" s="390"/>
      <c r="UXQ5" s="390"/>
      <c r="UXR5" s="390"/>
      <c r="UXS5" s="390"/>
      <c r="UXT5" s="390"/>
      <c r="UXU5" s="390"/>
      <c r="UXV5" s="390"/>
      <c r="UXW5" s="390"/>
      <c r="UXX5" s="390"/>
      <c r="UXY5" s="390"/>
      <c r="UXZ5" s="390"/>
      <c r="UYA5" s="390"/>
      <c r="UYB5" s="390"/>
      <c r="UYC5" s="390"/>
      <c r="UYD5" s="390"/>
      <c r="UYE5" s="390"/>
      <c r="UYF5" s="390"/>
      <c r="UYG5" s="390"/>
      <c r="UYH5" s="390"/>
      <c r="UYI5" s="390"/>
      <c r="UYJ5" s="390"/>
      <c r="UYK5" s="390"/>
      <c r="UYL5" s="390"/>
      <c r="UYM5" s="390"/>
      <c r="UYN5" s="390"/>
      <c r="UYO5" s="390"/>
      <c r="UYP5" s="390"/>
      <c r="UYQ5" s="390"/>
      <c r="UYR5" s="390"/>
      <c r="UYS5" s="390"/>
      <c r="UYT5" s="390"/>
      <c r="UYU5" s="390"/>
      <c r="UYV5" s="390"/>
      <c r="UYW5" s="390"/>
      <c r="UYX5" s="390"/>
      <c r="UYY5" s="390"/>
      <c r="UYZ5" s="390"/>
      <c r="UZA5" s="390"/>
      <c r="UZB5" s="390"/>
      <c r="UZC5" s="390"/>
      <c r="UZD5" s="390"/>
      <c r="UZE5" s="390"/>
      <c r="UZF5" s="390"/>
      <c r="UZG5" s="390"/>
      <c r="UZH5" s="390"/>
      <c r="UZI5" s="390"/>
      <c r="UZJ5" s="390"/>
      <c r="UZK5" s="390"/>
      <c r="UZL5" s="390"/>
      <c r="UZM5" s="390"/>
      <c r="UZN5" s="390"/>
      <c r="UZO5" s="390"/>
      <c r="UZP5" s="390"/>
      <c r="UZQ5" s="390"/>
      <c r="UZR5" s="390"/>
      <c r="UZS5" s="390"/>
      <c r="UZT5" s="390"/>
      <c r="UZU5" s="390"/>
      <c r="UZV5" s="390"/>
      <c r="UZW5" s="390"/>
      <c r="UZX5" s="390"/>
      <c r="UZY5" s="390"/>
      <c r="UZZ5" s="390"/>
      <c r="VAA5" s="390"/>
      <c r="VAB5" s="390"/>
      <c r="VAC5" s="390"/>
      <c r="VAD5" s="390"/>
      <c r="VAE5" s="390"/>
      <c r="VAF5" s="390"/>
      <c r="VAG5" s="390"/>
      <c r="VAH5" s="390"/>
      <c r="VAI5" s="390"/>
      <c r="VAJ5" s="390"/>
      <c r="VAK5" s="390"/>
      <c r="VAL5" s="390"/>
      <c r="VAM5" s="390"/>
      <c r="VAN5" s="390"/>
      <c r="VAO5" s="390"/>
      <c r="VAP5" s="390"/>
      <c r="VAQ5" s="390"/>
      <c r="VAR5" s="390"/>
      <c r="VAS5" s="390"/>
      <c r="VAT5" s="390"/>
      <c r="VAU5" s="390"/>
      <c r="VAV5" s="390"/>
      <c r="VAW5" s="390"/>
      <c r="VAX5" s="390"/>
      <c r="VAY5" s="390"/>
      <c r="VAZ5" s="390"/>
      <c r="VBA5" s="390"/>
      <c r="VBB5" s="390"/>
      <c r="VBC5" s="390"/>
      <c r="VBD5" s="390"/>
      <c r="VBE5" s="390"/>
      <c r="VBF5" s="390"/>
      <c r="VBG5" s="390"/>
      <c r="VBH5" s="390"/>
      <c r="VBI5" s="390"/>
      <c r="VBJ5" s="390"/>
      <c r="VBK5" s="390"/>
      <c r="VBL5" s="390"/>
      <c r="VBM5" s="390"/>
      <c r="VBN5" s="390"/>
      <c r="VBO5" s="390"/>
      <c r="VBP5" s="390"/>
      <c r="VBQ5" s="390"/>
      <c r="VBR5" s="390"/>
      <c r="VBS5" s="390"/>
      <c r="VBT5" s="390"/>
      <c r="VBU5" s="390"/>
      <c r="VBV5" s="390"/>
      <c r="VBW5" s="390"/>
      <c r="VBX5" s="390"/>
      <c r="VBY5" s="390"/>
      <c r="VBZ5" s="390"/>
      <c r="VCA5" s="390"/>
      <c r="VCB5" s="390"/>
      <c r="VCC5" s="390"/>
      <c r="VCD5" s="390"/>
      <c r="VCE5" s="390"/>
      <c r="VCF5" s="390"/>
      <c r="VCG5" s="390"/>
      <c r="VCH5" s="390"/>
      <c r="VCI5" s="390"/>
      <c r="VCJ5" s="390"/>
      <c r="VCK5" s="390"/>
      <c r="VCL5" s="390"/>
      <c r="VCM5" s="390"/>
      <c r="VCN5" s="390"/>
      <c r="VCO5" s="390"/>
      <c r="VCP5" s="390"/>
      <c r="VCQ5" s="390"/>
      <c r="VCR5" s="390"/>
      <c r="VCS5" s="390"/>
      <c r="VCT5" s="390"/>
      <c r="VCU5" s="390"/>
      <c r="VCV5" s="390"/>
      <c r="VCW5" s="390"/>
      <c r="VCX5" s="390"/>
      <c r="VCY5" s="390"/>
      <c r="VCZ5" s="390"/>
      <c r="VDA5" s="390"/>
      <c r="VDB5" s="390"/>
      <c r="VDC5" s="390"/>
      <c r="VDD5" s="390"/>
      <c r="VDE5" s="390"/>
      <c r="VDF5" s="390"/>
      <c r="VDG5" s="390"/>
      <c r="VDH5" s="390"/>
      <c r="VDI5" s="390"/>
      <c r="VDJ5" s="390"/>
      <c r="VDK5" s="390"/>
      <c r="VDL5" s="390"/>
      <c r="VDM5" s="390"/>
      <c r="VDN5" s="390"/>
      <c r="VDO5" s="390"/>
      <c r="VDP5" s="390"/>
      <c r="VDQ5" s="390"/>
      <c r="VDR5" s="390"/>
      <c r="VDS5" s="390"/>
      <c r="VDT5" s="390"/>
      <c r="VDU5" s="390"/>
      <c r="VDV5" s="390"/>
      <c r="VDW5" s="390"/>
      <c r="VDX5" s="390"/>
      <c r="VDY5" s="390"/>
      <c r="VDZ5" s="390"/>
      <c r="VEA5" s="390"/>
      <c r="VEB5" s="390"/>
      <c r="VEC5" s="390"/>
      <c r="VED5" s="390"/>
      <c r="VEE5" s="390"/>
      <c r="VEF5" s="390"/>
      <c r="VEG5" s="390"/>
      <c r="VEH5" s="390"/>
      <c r="VEI5" s="390"/>
      <c r="VEJ5" s="390"/>
      <c r="VEK5" s="390"/>
      <c r="VEL5" s="390"/>
      <c r="VEM5" s="390"/>
      <c r="VEN5" s="390"/>
      <c r="VEO5" s="390"/>
      <c r="VEP5" s="390"/>
      <c r="VEQ5" s="390"/>
      <c r="VER5" s="390"/>
      <c r="VES5" s="390"/>
      <c r="VET5" s="390"/>
      <c r="VEU5" s="390"/>
      <c r="VEV5" s="390"/>
      <c r="VEW5" s="390"/>
      <c r="VEX5" s="390"/>
      <c r="VEY5" s="390"/>
      <c r="VEZ5" s="390"/>
      <c r="VFA5" s="390"/>
      <c r="VFB5" s="390"/>
      <c r="VFC5" s="390"/>
      <c r="VFD5" s="390"/>
      <c r="VFE5" s="390"/>
      <c r="VFF5" s="390"/>
      <c r="VFG5" s="390"/>
      <c r="VFH5" s="390"/>
      <c r="VFI5" s="390"/>
      <c r="VFJ5" s="390"/>
      <c r="VFK5" s="390"/>
      <c r="VFL5" s="390"/>
      <c r="VFM5" s="390"/>
      <c r="VFN5" s="390"/>
      <c r="VFO5" s="390"/>
      <c r="VFP5" s="390"/>
      <c r="VFQ5" s="390"/>
      <c r="VFR5" s="390"/>
      <c r="VFS5" s="390"/>
      <c r="VFT5" s="390"/>
      <c r="VFU5" s="390"/>
      <c r="VFV5" s="390"/>
      <c r="VFW5" s="390"/>
      <c r="VFX5" s="390"/>
      <c r="VFY5" s="390"/>
      <c r="VFZ5" s="390"/>
      <c r="VGA5" s="390"/>
      <c r="VGB5" s="390"/>
      <c r="VGC5" s="390"/>
      <c r="VGD5" s="390"/>
      <c r="VGE5" s="390"/>
      <c r="VGF5" s="390"/>
      <c r="VGG5" s="390"/>
      <c r="VGH5" s="390"/>
      <c r="VGI5" s="390"/>
      <c r="VGJ5" s="390"/>
      <c r="VGK5" s="390"/>
      <c r="VGL5" s="390"/>
      <c r="VGM5" s="390"/>
      <c r="VGN5" s="390"/>
      <c r="VGO5" s="390"/>
      <c r="VGP5" s="390"/>
      <c r="VGQ5" s="390"/>
      <c r="VGR5" s="390"/>
      <c r="VGS5" s="390"/>
      <c r="VGT5" s="390"/>
      <c r="VGU5" s="390"/>
      <c r="VGV5" s="390"/>
      <c r="VGW5" s="390"/>
      <c r="VGX5" s="390"/>
      <c r="VGY5" s="390"/>
      <c r="VGZ5" s="390"/>
      <c r="VHA5" s="390"/>
      <c r="VHB5" s="390"/>
      <c r="VHC5" s="390"/>
      <c r="VHD5" s="390"/>
      <c r="VHE5" s="390"/>
      <c r="VHF5" s="390"/>
      <c r="VHG5" s="390"/>
      <c r="VHH5" s="390"/>
      <c r="VHI5" s="390"/>
      <c r="VHJ5" s="390"/>
      <c r="VHK5" s="390"/>
      <c r="VHL5" s="390"/>
      <c r="VHM5" s="390"/>
      <c r="VHN5" s="390"/>
      <c r="VHO5" s="390"/>
      <c r="VHP5" s="390"/>
      <c r="VHQ5" s="390"/>
      <c r="VHR5" s="390"/>
      <c r="VHS5" s="390"/>
      <c r="VHT5" s="390"/>
      <c r="VHU5" s="390"/>
      <c r="VHV5" s="390"/>
      <c r="VHW5" s="390"/>
      <c r="VHX5" s="390"/>
      <c r="VHY5" s="390"/>
      <c r="VHZ5" s="390"/>
      <c r="VIA5" s="390"/>
      <c r="VIB5" s="390"/>
      <c r="VIC5" s="390"/>
      <c r="VID5" s="390"/>
      <c r="VIE5" s="390"/>
      <c r="VIF5" s="390"/>
      <c r="VIG5" s="390"/>
      <c r="VIH5" s="390"/>
      <c r="VII5" s="390"/>
      <c r="VIJ5" s="390"/>
      <c r="VIK5" s="390"/>
      <c r="VIL5" s="390"/>
      <c r="VIM5" s="390"/>
      <c r="VIN5" s="390"/>
      <c r="VIO5" s="390"/>
      <c r="VIP5" s="390"/>
      <c r="VIQ5" s="390"/>
      <c r="VIR5" s="390"/>
      <c r="VIS5" s="390"/>
      <c r="VIT5" s="390"/>
      <c r="VIU5" s="390"/>
      <c r="VIV5" s="390"/>
      <c r="VIW5" s="390"/>
      <c r="VIX5" s="390"/>
      <c r="VIY5" s="390"/>
      <c r="VIZ5" s="390"/>
      <c r="VJA5" s="390"/>
      <c r="VJB5" s="390"/>
      <c r="VJC5" s="390"/>
      <c r="VJD5" s="390"/>
      <c r="VJE5" s="390"/>
      <c r="VJF5" s="390"/>
      <c r="VJG5" s="390"/>
      <c r="VJH5" s="390"/>
      <c r="VJI5" s="390"/>
      <c r="VJJ5" s="390"/>
      <c r="VJK5" s="390"/>
      <c r="VJL5" s="390"/>
      <c r="VJM5" s="390"/>
      <c r="VJN5" s="390"/>
      <c r="VJO5" s="390"/>
      <c r="VJP5" s="390"/>
      <c r="VJQ5" s="390"/>
      <c r="VJR5" s="390"/>
      <c r="VJS5" s="390"/>
      <c r="VJT5" s="390"/>
      <c r="VJU5" s="390"/>
      <c r="VJV5" s="390"/>
      <c r="VJW5" s="390"/>
      <c r="VJX5" s="390"/>
      <c r="VJY5" s="390"/>
      <c r="VJZ5" s="390"/>
      <c r="VKA5" s="390"/>
      <c r="VKB5" s="390"/>
      <c r="VKC5" s="390"/>
      <c r="VKD5" s="390"/>
      <c r="VKE5" s="390"/>
      <c r="VKF5" s="390"/>
      <c r="VKG5" s="390"/>
      <c r="VKH5" s="390"/>
      <c r="VKI5" s="390"/>
      <c r="VKJ5" s="390"/>
      <c r="VKK5" s="390"/>
      <c r="VKL5" s="390"/>
      <c r="VKM5" s="390"/>
      <c r="VKN5" s="390"/>
      <c r="VKO5" s="390"/>
      <c r="VKP5" s="390"/>
      <c r="VKQ5" s="390"/>
      <c r="VKR5" s="390"/>
      <c r="VKS5" s="390"/>
      <c r="VKT5" s="390"/>
      <c r="VKU5" s="390"/>
      <c r="VKV5" s="390"/>
      <c r="VKW5" s="390"/>
      <c r="VKX5" s="390"/>
      <c r="VKY5" s="390"/>
      <c r="VKZ5" s="390"/>
      <c r="VLA5" s="390"/>
      <c r="VLB5" s="390"/>
      <c r="VLC5" s="390"/>
      <c r="VLD5" s="390"/>
      <c r="VLE5" s="390"/>
      <c r="VLF5" s="390"/>
      <c r="VLG5" s="390"/>
      <c r="VLH5" s="390"/>
      <c r="VLI5" s="390"/>
      <c r="VLJ5" s="390"/>
      <c r="VLK5" s="390"/>
      <c r="VLL5" s="390"/>
      <c r="VLM5" s="390"/>
      <c r="VLN5" s="390"/>
      <c r="VLO5" s="390"/>
      <c r="VLP5" s="390"/>
      <c r="VLQ5" s="390"/>
      <c r="VLR5" s="390"/>
      <c r="VLS5" s="390"/>
      <c r="VLT5" s="390"/>
      <c r="VLU5" s="390"/>
      <c r="VLV5" s="390"/>
      <c r="VLW5" s="390"/>
      <c r="VLX5" s="390"/>
      <c r="VLY5" s="390"/>
      <c r="VLZ5" s="390"/>
      <c r="VMA5" s="390"/>
      <c r="VMB5" s="390"/>
      <c r="VMC5" s="390"/>
      <c r="VMD5" s="390"/>
      <c r="VME5" s="390"/>
      <c r="VMF5" s="390"/>
      <c r="VMG5" s="390"/>
      <c r="VMH5" s="390"/>
      <c r="VMI5" s="390"/>
      <c r="VMJ5" s="390"/>
      <c r="VMK5" s="390"/>
      <c r="VML5" s="390"/>
      <c r="VMM5" s="390"/>
      <c r="VMN5" s="390"/>
      <c r="VMO5" s="390"/>
      <c r="VMP5" s="390"/>
      <c r="VMQ5" s="390"/>
      <c r="VMR5" s="390"/>
      <c r="VMS5" s="390"/>
      <c r="VMT5" s="390"/>
      <c r="VMU5" s="390"/>
      <c r="VMV5" s="390"/>
      <c r="VMW5" s="390"/>
      <c r="VMX5" s="390"/>
      <c r="VMY5" s="390"/>
      <c r="VMZ5" s="390"/>
      <c r="VNA5" s="390"/>
      <c r="VNB5" s="390"/>
      <c r="VNC5" s="390"/>
      <c r="VND5" s="390"/>
      <c r="VNE5" s="390"/>
      <c r="VNF5" s="390"/>
      <c r="VNG5" s="390"/>
      <c r="VNH5" s="390"/>
      <c r="VNI5" s="390"/>
      <c r="VNJ5" s="390"/>
      <c r="VNK5" s="390"/>
      <c r="VNL5" s="390"/>
      <c r="VNM5" s="390"/>
      <c r="VNN5" s="390"/>
      <c r="VNO5" s="390"/>
      <c r="VNP5" s="390"/>
      <c r="VNQ5" s="390"/>
      <c r="VNR5" s="390"/>
      <c r="VNS5" s="390"/>
      <c r="VNT5" s="390"/>
      <c r="VNU5" s="390"/>
      <c r="VNV5" s="390"/>
      <c r="VNW5" s="390"/>
      <c r="VNX5" s="390"/>
      <c r="VNY5" s="390"/>
      <c r="VNZ5" s="390"/>
      <c r="VOA5" s="390"/>
      <c r="VOB5" s="390"/>
      <c r="VOC5" s="390"/>
      <c r="VOD5" s="390"/>
      <c r="VOE5" s="390"/>
      <c r="VOF5" s="390"/>
      <c r="VOG5" s="390"/>
      <c r="VOH5" s="390"/>
      <c r="VOI5" s="390"/>
      <c r="VOJ5" s="390"/>
      <c r="VOK5" s="390"/>
      <c r="VOL5" s="390"/>
      <c r="VOM5" s="390"/>
      <c r="VON5" s="390"/>
      <c r="VOO5" s="390"/>
      <c r="VOP5" s="390"/>
      <c r="VOQ5" s="390"/>
      <c r="VOR5" s="390"/>
      <c r="VOS5" s="390"/>
      <c r="VOT5" s="390"/>
      <c r="VOU5" s="390"/>
      <c r="VOV5" s="390"/>
      <c r="VOW5" s="390"/>
      <c r="VOX5" s="390"/>
      <c r="VOY5" s="390"/>
      <c r="VOZ5" s="390"/>
      <c r="VPA5" s="390"/>
      <c r="VPB5" s="390"/>
      <c r="VPC5" s="390"/>
      <c r="VPD5" s="390"/>
      <c r="VPE5" s="390"/>
      <c r="VPF5" s="390"/>
      <c r="VPG5" s="390"/>
      <c r="VPH5" s="390"/>
      <c r="VPI5" s="390"/>
      <c r="VPJ5" s="390"/>
      <c r="VPK5" s="390"/>
      <c r="VPL5" s="390"/>
      <c r="VPM5" s="390"/>
      <c r="VPN5" s="390"/>
      <c r="VPO5" s="390"/>
      <c r="VPP5" s="390"/>
      <c r="VPQ5" s="390"/>
      <c r="VPR5" s="390"/>
      <c r="VPS5" s="390"/>
      <c r="VPT5" s="390"/>
      <c r="VPU5" s="390"/>
      <c r="VPV5" s="390"/>
      <c r="VPW5" s="390"/>
      <c r="VPX5" s="390"/>
      <c r="VPY5" s="390"/>
      <c r="VPZ5" s="390"/>
      <c r="VQA5" s="390"/>
      <c r="VQB5" s="390"/>
      <c r="VQC5" s="390"/>
      <c r="VQD5" s="390"/>
      <c r="VQE5" s="390"/>
      <c r="VQF5" s="390"/>
      <c r="VQG5" s="390"/>
      <c r="VQH5" s="390"/>
      <c r="VQI5" s="390"/>
      <c r="VQJ5" s="390"/>
      <c r="VQK5" s="390"/>
      <c r="VQL5" s="390"/>
      <c r="VQM5" s="390"/>
      <c r="VQN5" s="390"/>
      <c r="VQO5" s="390"/>
      <c r="VQP5" s="390"/>
      <c r="VQQ5" s="390"/>
      <c r="VQR5" s="390"/>
      <c r="VQS5" s="390"/>
      <c r="VQT5" s="390"/>
      <c r="VQU5" s="390"/>
      <c r="VQV5" s="390"/>
      <c r="VQW5" s="390"/>
      <c r="VQX5" s="390"/>
      <c r="VQY5" s="390"/>
      <c r="VQZ5" s="390"/>
      <c r="VRA5" s="390"/>
      <c r="VRB5" s="390"/>
      <c r="VRC5" s="390"/>
      <c r="VRD5" s="390"/>
      <c r="VRE5" s="390"/>
      <c r="VRF5" s="390"/>
      <c r="VRG5" s="390"/>
      <c r="VRH5" s="390"/>
      <c r="VRI5" s="390"/>
      <c r="VRJ5" s="390"/>
      <c r="VRK5" s="390"/>
      <c r="VRL5" s="390"/>
      <c r="VRM5" s="390"/>
      <c r="VRN5" s="390"/>
      <c r="VRO5" s="390"/>
      <c r="VRP5" s="390"/>
      <c r="VRQ5" s="390"/>
      <c r="VRR5" s="390"/>
      <c r="VRS5" s="390"/>
      <c r="VRT5" s="390"/>
      <c r="VRU5" s="390"/>
      <c r="VRV5" s="390"/>
      <c r="VRW5" s="390"/>
      <c r="VRX5" s="390"/>
      <c r="VRY5" s="390"/>
      <c r="VRZ5" s="390"/>
      <c r="VSA5" s="390"/>
      <c r="VSB5" s="390"/>
      <c r="VSC5" s="390"/>
      <c r="VSD5" s="390"/>
      <c r="VSE5" s="390"/>
      <c r="VSF5" s="390"/>
      <c r="VSG5" s="390"/>
      <c r="VSH5" s="390"/>
      <c r="VSI5" s="390"/>
      <c r="VSJ5" s="390"/>
      <c r="VSK5" s="390"/>
      <c r="VSL5" s="390"/>
      <c r="VSM5" s="390"/>
      <c r="VSN5" s="390"/>
      <c r="VSO5" s="390"/>
      <c r="VSP5" s="390"/>
      <c r="VSQ5" s="390"/>
      <c r="VSR5" s="390"/>
      <c r="VSS5" s="390"/>
      <c r="VST5" s="390"/>
      <c r="VSU5" s="390"/>
      <c r="VSV5" s="390"/>
      <c r="VSW5" s="390"/>
      <c r="VSX5" s="390"/>
      <c r="VSY5" s="390"/>
      <c r="VSZ5" s="390"/>
      <c r="VTA5" s="390"/>
      <c r="VTB5" s="390"/>
      <c r="VTC5" s="390"/>
      <c r="VTD5" s="390"/>
      <c r="VTE5" s="390"/>
      <c r="VTF5" s="390"/>
      <c r="VTG5" s="390"/>
      <c r="VTH5" s="390"/>
      <c r="VTI5" s="390"/>
      <c r="VTJ5" s="390"/>
      <c r="VTK5" s="390"/>
      <c r="VTL5" s="390"/>
      <c r="VTM5" s="390"/>
      <c r="VTN5" s="390"/>
      <c r="VTO5" s="390"/>
      <c r="VTP5" s="390"/>
      <c r="VTQ5" s="390"/>
      <c r="VTR5" s="390"/>
      <c r="VTS5" s="390"/>
      <c r="VTT5" s="390"/>
      <c r="VTU5" s="390"/>
      <c r="VTV5" s="390"/>
      <c r="VTW5" s="390"/>
      <c r="VTX5" s="390"/>
      <c r="VTY5" s="390"/>
      <c r="VTZ5" s="390"/>
      <c r="VUA5" s="390"/>
      <c r="VUB5" s="390"/>
      <c r="VUC5" s="390"/>
      <c r="VUD5" s="390"/>
      <c r="VUE5" s="390"/>
      <c r="VUF5" s="390"/>
      <c r="VUG5" s="390"/>
      <c r="VUH5" s="390"/>
      <c r="VUI5" s="390"/>
      <c r="VUJ5" s="390"/>
      <c r="VUK5" s="390"/>
      <c r="VUL5" s="390"/>
      <c r="VUM5" s="390"/>
      <c r="VUN5" s="390"/>
      <c r="VUO5" s="390"/>
      <c r="VUP5" s="390"/>
      <c r="VUQ5" s="390"/>
      <c r="VUR5" s="390"/>
      <c r="VUS5" s="390"/>
      <c r="VUT5" s="390"/>
      <c r="VUU5" s="390"/>
      <c r="VUV5" s="390"/>
      <c r="VUW5" s="390"/>
      <c r="VUX5" s="390"/>
      <c r="VUY5" s="390"/>
      <c r="VUZ5" s="390"/>
      <c r="VVA5" s="390"/>
      <c r="VVB5" s="390"/>
      <c r="VVC5" s="390"/>
      <c r="VVD5" s="390"/>
      <c r="VVE5" s="390"/>
      <c r="VVF5" s="390"/>
      <c r="VVG5" s="390"/>
      <c r="VVH5" s="390"/>
      <c r="VVI5" s="390"/>
      <c r="VVJ5" s="390"/>
      <c r="VVK5" s="390"/>
      <c r="VVL5" s="390"/>
      <c r="VVM5" s="390"/>
      <c r="VVN5" s="390"/>
      <c r="VVO5" s="390"/>
      <c r="VVP5" s="390"/>
      <c r="VVQ5" s="390"/>
      <c r="VVR5" s="390"/>
      <c r="VVS5" s="390"/>
      <c r="VVT5" s="390"/>
      <c r="VVU5" s="390"/>
      <c r="VVV5" s="390"/>
      <c r="VVW5" s="390"/>
      <c r="VVX5" s="390"/>
      <c r="VVY5" s="390"/>
      <c r="VVZ5" s="390"/>
      <c r="VWA5" s="390"/>
      <c r="VWB5" s="390"/>
      <c r="VWC5" s="390"/>
      <c r="VWD5" s="390"/>
      <c r="VWE5" s="390"/>
      <c r="VWF5" s="390"/>
      <c r="VWG5" s="390"/>
      <c r="VWH5" s="390"/>
      <c r="VWI5" s="390"/>
      <c r="VWJ5" s="390"/>
      <c r="VWK5" s="390"/>
      <c r="VWL5" s="390"/>
      <c r="VWM5" s="390"/>
      <c r="VWN5" s="390"/>
      <c r="VWO5" s="390"/>
      <c r="VWP5" s="390"/>
      <c r="VWQ5" s="390"/>
      <c r="VWR5" s="390"/>
      <c r="VWS5" s="390"/>
      <c r="VWT5" s="390"/>
      <c r="VWU5" s="390"/>
      <c r="VWV5" s="390"/>
      <c r="VWW5" s="390"/>
      <c r="VWX5" s="390"/>
      <c r="VWY5" s="390"/>
      <c r="VWZ5" s="390"/>
      <c r="VXA5" s="390"/>
      <c r="VXB5" s="390"/>
      <c r="VXC5" s="390"/>
      <c r="VXD5" s="390"/>
      <c r="VXE5" s="390"/>
      <c r="VXF5" s="390"/>
      <c r="VXG5" s="390"/>
      <c r="VXH5" s="390"/>
      <c r="VXI5" s="390"/>
      <c r="VXJ5" s="390"/>
      <c r="VXK5" s="390"/>
      <c r="VXL5" s="390"/>
      <c r="VXM5" s="390"/>
      <c r="VXN5" s="390"/>
      <c r="VXO5" s="390"/>
      <c r="VXP5" s="390"/>
      <c r="VXQ5" s="390"/>
      <c r="VXR5" s="390"/>
      <c r="VXS5" s="390"/>
      <c r="VXT5" s="390"/>
      <c r="VXU5" s="390"/>
      <c r="VXV5" s="390"/>
      <c r="VXW5" s="390"/>
      <c r="VXX5" s="390"/>
      <c r="VXY5" s="390"/>
      <c r="VXZ5" s="390"/>
      <c r="VYA5" s="390"/>
      <c r="VYB5" s="390"/>
      <c r="VYC5" s="390"/>
      <c r="VYD5" s="390"/>
      <c r="VYE5" s="390"/>
      <c r="VYF5" s="390"/>
      <c r="VYG5" s="390"/>
      <c r="VYH5" s="390"/>
      <c r="VYI5" s="390"/>
      <c r="VYJ5" s="390"/>
      <c r="VYK5" s="390"/>
      <c r="VYL5" s="390"/>
      <c r="VYM5" s="390"/>
      <c r="VYN5" s="390"/>
      <c r="VYO5" s="390"/>
      <c r="VYP5" s="390"/>
      <c r="VYQ5" s="390"/>
      <c r="VYR5" s="390"/>
      <c r="VYS5" s="390"/>
      <c r="VYT5" s="390"/>
      <c r="VYU5" s="390"/>
      <c r="VYV5" s="390"/>
      <c r="VYW5" s="390"/>
      <c r="VYX5" s="390"/>
      <c r="VYY5" s="390"/>
      <c r="VYZ5" s="390"/>
      <c r="VZA5" s="390"/>
      <c r="VZB5" s="390"/>
      <c r="VZC5" s="390"/>
      <c r="VZD5" s="390"/>
      <c r="VZE5" s="390"/>
      <c r="VZF5" s="390"/>
      <c r="VZG5" s="390"/>
      <c r="VZH5" s="390"/>
      <c r="VZI5" s="390"/>
      <c r="VZJ5" s="390"/>
      <c r="VZK5" s="390"/>
      <c r="VZL5" s="390"/>
      <c r="VZM5" s="390"/>
      <c r="VZN5" s="390"/>
      <c r="VZO5" s="390"/>
      <c r="VZP5" s="390"/>
      <c r="VZQ5" s="390"/>
      <c r="VZR5" s="390"/>
      <c r="VZS5" s="390"/>
      <c r="VZT5" s="390"/>
      <c r="VZU5" s="390"/>
      <c r="VZV5" s="390"/>
      <c r="VZW5" s="390"/>
      <c r="VZX5" s="390"/>
      <c r="VZY5" s="390"/>
      <c r="VZZ5" s="390"/>
      <c r="WAA5" s="390"/>
      <c r="WAB5" s="390"/>
      <c r="WAC5" s="390"/>
      <c r="WAD5" s="390"/>
      <c r="WAE5" s="390"/>
      <c r="WAF5" s="390"/>
      <c r="WAG5" s="390"/>
      <c r="WAH5" s="390"/>
      <c r="WAI5" s="390"/>
      <c r="WAJ5" s="390"/>
      <c r="WAK5" s="390"/>
      <c r="WAL5" s="390"/>
      <c r="WAM5" s="390"/>
      <c r="WAN5" s="390"/>
      <c r="WAO5" s="390"/>
      <c r="WAP5" s="390"/>
      <c r="WAQ5" s="390"/>
      <c r="WAR5" s="390"/>
      <c r="WAS5" s="390"/>
      <c r="WAT5" s="390"/>
      <c r="WAU5" s="390"/>
      <c r="WAV5" s="390"/>
      <c r="WAW5" s="390"/>
      <c r="WAX5" s="390"/>
      <c r="WAY5" s="390"/>
      <c r="WAZ5" s="390"/>
      <c r="WBA5" s="390"/>
      <c r="WBB5" s="390"/>
      <c r="WBC5" s="390"/>
      <c r="WBD5" s="390"/>
      <c r="WBE5" s="390"/>
      <c r="WBF5" s="390"/>
      <c r="WBG5" s="390"/>
      <c r="WBH5" s="390"/>
      <c r="WBI5" s="390"/>
      <c r="WBJ5" s="390"/>
      <c r="WBK5" s="390"/>
      <c r="WBL5" s="390"/>
      <c r="WBM5" s="390"/>
      <c r="WBN5" s="390"/>
      <c r="WBO5" s="390"/>
      <c r="WBP5" s="390"/>
      <c r="WBQ5" s="390"/>
      <c r="WBR5" s="390"/>
      <c r="WBS5" s="390"/>
      <c r="WBT5" s="390"/>
      <c r="WBU5" s="390"/>
      <c r="WBV5" s="390"/>
      <c r="WBW5" s="390"/>
      <c r="WBX5" s="390"/>
      <c r="WBY5" s="390"/>
      <c r="WBZ5" s="390"/>
      <c r="WCA5" s="390"/>
      <c r="WCB5" s="390"/>
      <c r="WCC5" s="390"/>
      <c r="WCD5" s="390"/>
      <c r="WCE5" s="390"/>
      <c r="WCF5" s="390"/>
      <c r="WCG5" s="390"/>
      <c r="WCH5" s="390"/>
      <c r="WCI5" s="390"/>
      <c r="WCJ5" s="390"/>
      <c r="WCK5" s="390"/>
      <c r="WCL5" s="390"/>
      <c r="WCM5" s="390"/>
      <c r="WCN5" s="390"/>
      <c r="WCO5" s="390"/>
      <c r="WCP5" s="390"/>
      <c r="WCQ5" s="390"/>
      <c r="WCR5" s="390"/>
      <c r="WCS5" s="390"/>
      <c r="WCT5" s="390"/>
      <c r="WCU5" s="390"/>
      <c r="WCV5" s="390"/>
      <c r="WCW5" s="390"/>
      <c r="WCX5" s="390"/>
      <c r="WCY5" s="390"/>
      <c r="WCZ5" s="390"/>
      <c r="WDA5" s="390"/>
      <c r="WDB5" s="390"/>
      <c r="WDC5" s="390"/>
      <c r="WDD5" s="390"/>
      <c r="WDE5" s="390"/>
      <c r="WDF5" s="390"/>
      <c r="WDG5" s="390"/>
      <c r="WDH5" s="390"/>
      <c r="WDI5" s="390"/>
      <c r="WDJ5" s="390"/>
      <c r="WDK5" s="390"/>
      <c r="WDL5" s="390"/>
      <c r="WDM5" s="390"/>
      <c r="WDN5" s="390"/>
      <c r="WDO5" s="390"/>
      <c r="WDP5" s="390"/>
      <c r="WDQ5" s="390"/>
      <c r="WDR5" s="390"/>
      <c r="WDS5" s="390"/>
      <c r="WDT5" s="390"/>
      <c r="WDU5" s="390"/>
      <c r="WDV5" s="390"/>
      <c r="WDW5" s="390"/>
      <c r="WDX5" s="390"/>
      <c r="WDY5" s="390"/>
      <c r="WDZ5" s="390"/>
      <c r="WEA5" s="390"/>
      <c r="WEB5" s="390"/>
      <c r="WEC5" s="390"/>
      <c r="WED5" s="390"/>
      <c r="WEE5" s="390"/>
      <c r="WEF5" s="390"/>
      <c r="WEG5" s="390"/>
      <c r="WEH5" s="390"/>
      <c r="WEI5" s="390"/>
      <c r="WEJ5" s="390"/>
      <c r="WEK5" s="390"/>
      <c r="WEL5" s="390"/>
      <c r="WEM5" s="390"/>
      <c r="WEN5" s="390"/>
      <c r="WEO5" s="390"/>
      <c r="WEP5" s="390"/>
      <c r="WEQ5" s="390"/>
      <c r="WER5" s="390"/>
      <c r="WES5" s="390"/>
      <c r="WET5" s="390"/>
      <c r="WEU5" s="390"/>
      <c r="WEV5" s="390"/>
      <c r="WEW5" s="390"/>
      <c r="WEX5" s="390"/>
      <c r="WEY5" s="390"/>
      <c r="WEZ5" s="390"/>
      <c r="WFA5" s="390"/>
      <c r="WFB5" s="390"/>
      <c r="WFC5" s="390"/>
      <c r="WFD5" s="390"/>
      <c r="WFE5" s="390"/>
      <c r="WFF5" s="390"/>
      <c r="WFG5" s="390"/>
      <c r="WFH5" s="390"/>
      <c r="WFI5" s="390"/>
      <c r="WFJ5" s="390"/>
      <c r="WFK5" s="390"/>
      <c r="WFL5" s="390"/>
      <c r="WFM5" s="390"/>
      <c r="WFN5" s="390"/>
      <c r="WFO5" s="390"/>
      <c r="WFP5" s="390"/>
      <c r="WFQ5" s="390"/>
      <c r="WFR5" s="390"/>
      <c r="WFS5" s="390"/>
      <c r="WFT5" s="390"/>
      <c r="WFU5" s="390"/>
      <c r="WFV5" s="390"/>
      <c r="WFW5" s="390"/>
      <c r="WFX5" s="390"/>
      <c r="WFY5" s="390"/>
      <c r="WFZ5" s="390"/>
      <c r="WGA5" s="390"/>
      <c r="WGB5" s="390"/>
      <c r="WGC5" s="390"/>
      <c r="WGD5" s="390"/>
      <c r="WGE5" s="390"/>
      <c r="WGF5" s="390"/>
      <c r="WGG5" s="390"/>
      <c r="WGH5" s="390"/>
      <c r="WGI5" s="390"/>
      <c r="WGJ5" s="390"/>
      <c r="WGK5" s="390"/>
      <c r="WGL5" s="390"/>
      <c r="WGM5" s="390"/>
      <c r="WGN5" s="390"/>
      <c r="WGO5" s="390"/>
      <c r="WGP5" s="390"/>
      <c r="WGQ5" s="390"/>
      <c r="WGR5" s="390"/>
      <c r="WGS5" s="390"/>
      <c r="WGT5" s="390"/>
      <c r="WGU5" s="390"/>
      <c r="WGV5" s="390"/>
      <c r="WGW5" s="390"/>
      <c r="WGX5" s="390"/>
      <c r="WGY5" s="390"/>
      <c r="WGZ5" s="390"/>
      <c r="WHA5" s="390"/>
      <c r="WHB5" s="390"/>
      <c r="WHC5" s="390"/>
      <c r="WHD5" s="390"/>
      <c r="WHE5" s="390"/>
      <c r="WHF5" s="390"/>
      <c r="WHG5" s="390"/>
      <c r="WHH5" s="390"/>
      <c r="WHI5" s="390"/>
      <c r="WHJ5" s="390"/>
      <c r="WHK5" s="390"/>
      <c r="WHL5" s="390"/>
      <c r="WHM5" s="390"/>
      <c r="WHN5" s="390"/>
      <c r="WHO5" s="390"/>
      <c r="WHP5" s="390"/>
      <c r="WHQ5" s="390"/>
      <c r="WHR5" s="390"/>
      <c r="WHS5" s="390"/>
      <c r="WHT5" s="390"/>
      <c r="WHU5" s="390"/>
      <c r="WHV5" s="390"/>
      <c r="WHW5" s="390"/>
      <c r="WHX5" s="390"/>
      <c r="WHY5" s="390"/>
      <c r="WHZ5" s="390"/>
      <c r="WIA5" s="390"/>
      <c r="WIB5" s="390"/>
      <c r="WIC5" s="390"/>
      <c r="WID5" s="390"/>
      <c r="WIE5" s="390"/>
      <c r="WIF5" s="390"/>
      <c r="WIG5" s="390"/>
      <c r="WIH5" s="390"/>
      <c r="WII5" s="390"/>
      <c r="WIJ5" s="390"/>
      <c r="WIK5" s="390"/>
      <c r="WIL5" s="390"/>
      <c r="WIM5" s="390"/>
      <c r="WIN5" s="390"/>
      <c r="WIO5" s="390"/>
      <c r="WIP5" s="390"/>
      <c r="WIQ5" s="390"/>
      <c r="WIR5" s="390"/>
      <c r="WIS5" s="390"/>
      <c r="WIT5" s="390"/>
      <c r="WIU5" s="390"/>
      <c r="WIV5" s="390"/>
      <c r="WIW5" s="390"/>
      <c r="WIX5" s="390"/>
      <c r="WIY5" s="390"/>
      <c r="WIZ5" s="390"/>
      <c r="WJA5" s="390"/>
      <c r="WJB5" s="390"/>
      <c r="WJC5" s="390"/>
      <c r="WJD5" s="390"/>
      <c r="WJE5" s="390"/>
      <c r="WJF5" s="390"/>
      <c r="WJG5" s="390"/>
      <c r="WJH5" s="390"/>
      <c r="WJI5" s="390"/>
      <c r="WJJ5" s="390"/>
      <c r="WJK5" s="390"/>
      <c r="WJL5" s="390"/>
      <c r="WJM5" s="390"/>
      <c r="WJN5" s="390"/>
      <c r="WJO5" s="390"/>
      <c r="WJP5" s="390"/>
      <c r="WJQ5" s="390"/>
      <c r="WJR5" s="390"/>
      <c r="WJS5" s="390"/>
      <c r="WJT5" s="390"/>
      <c r="WJU5" s="390"/>
      <c r="WJV5" s="390"/>
      <c r="WJW5" s="390"/>
      <c r="WJX5" s="390"/>
      <c r="WJY5" s="390"/>
      <c r="WJZ5" s="390"/>
      <c r="WKA5" s="390"/>
      <c r="WKB5" s="390"/>
      <c r="WKC5" s="390"/>
      <c r="WKD5" s="390"/>
      <c r="WKE5" s="390"/>
      <c r="WKF5" s="390"/>
      <c r="WKG5" s="390"/>
      <c r="WKH5" s="390"/>
      <c r="WKI5" s="390"/>
      <c r="WKJ5" s="390"/>
      <c r="WKK5" s="390"/>
      <c r="WKL5" s="390"/>
      <c r="WKM5" s="390"/>
      <c r="WKN5" s="390"/>
      <c r="WKO5" s="390"/>
      <c r="WKP5" s="390"/>
      <c r="WKQ5" s="390"/>
      <c r="WKR5" s="390"/>
      <c r="WKS5" s="390"/>
      <c r="WKT5" s="390"/>
      <c r="WKU5" s="390"/>
      <c r="WKV5" s="390"/>
      <c r="WKW5" s="390"/>
      <c r="WKX5" s="390"/>
      <c r="WKY5" s="390"/>
      <c r="WKZ5" s="390"/>
      <c r="WLA5" s="390"/>
      <c r="WLB5" s="390"/>
      <c r="WLC5" s="390"/>
      <c r="WLD5" s="390"/>
      <c r="WLE5" s="390"/>
      <c r="WLF5" s="390"/>
      <c r="WLG5" s="390"/>
      <c r="WLH5" s="390"/>
      <c r="WLI5" s="390"/>
      <c r="WLJ5" s="390"/>
      <c r="WLK5" s="390"/>
      <c r="WLL5" s="390"/>
      <c r="WLM5" s="390"/>
      <c r="WLN5" s="390"/>
      <c r="WLO5" s="390"/>
      <c r="WLP5" s="390"/>
      <c r="WLQ5" s="390"/>
      <c r="WLR5" s="390"/>
      <c r="WLS5" s="390"/>
      <c r="WLT5" s="390"/>
      <c r="WLU5" s="390"/>
      <c r="WLV5" s="390"/>
      <c r="WLW5" s="390"/>
      <c r="WLX5" s="390"/>
      <c r="WLY5" s="390"/>
      <c r="WLZ5" s="390"/>
      <c r="WMA5" s="390"/>
      <c r="WMB5" s="390"/>
      <c r="WMC5" s="390"/>
      <c r="WMD5" s="390"/>
      <c r="WME5" s="390"/>
      <c r="WMF5" s="390"/>
      <c r="WMG5" s="390"/>
      <c r="WMH5" s="390"/>
      <c r="WMI5" s="390"/>
      <c r="WMJ5" s="390"/>
      <c r="WMK5" s="390"/>
      <c r="WML5" s="390"/>
      <c r="WMM5" s="390"/>
      <c r="WMN5" s="390"/>
      <c r="WMO5" s="390"/>
      <c r="WMP5" s="390"/>
      <c r="WMQ5" s="390"/>
      <c r="WMR5" s="390"/>
      <c r="WMS5" s="390"/>
      <c r="WMT5" s="390"/>
      <c r="WMU5" s="390"/>
      <c r="WMV5" s="390"/>
      <c r="WMW5" s="390"/>
      <c r="WMX5" s="390"/>
      <c r="WMY5" s="390"/>
      <c r="WMZ5" s="390"/>
      <c r="WNA5" s="390"/>
      <c r="WNB5" s="390"/>
      <c r="WNC5" s="390"/>
      <c r="WND5" s="390"/>
      <c r="WNE5" s="390"/>
      <c r="WNF5" s="390"/>
      <c r="WNG5" s="390"/>
      <c r="WNH5" s="390"/>
      <c r="WNI5" s="390"/>
      <c r="WNJ5" s="390"/>
      <c r="WNK5" s="390"/>
      <c r="WNL5" s="390"/>
      <c r="WNM5" s="390"/>
      <c r="WNN5" s="390"/>
      <c r="WNO5" s="390"/>
      <c r="WNP5" s="390"/>
      <c r="WNQ5" s="390"/>
      <c r="WNR5" s="390"/>
      <c r="WNS5" s="390"/>
      <c r="WNT5" s="390"/>
      <c r="WNU5" s="390"/>
      <c r="WNV5" s="390"/>
      <c r="WNW5" s="390"/>
      <c r="WNX5" s="390"/>
      <c r="WNY5" s="390"/>
      <c r="WNZ5" s="390"/>
      <c r="WOA5" s="390"/>
      <c r="WOB5" s="390"/>
      <c r="WOC5" s="390"/>
      <c r="WOD5" s="390"/>
      <c r="WOE5" s="390"/>
      <c r="WOF5" s="390"/>
      <c r="WOG5" s="390"/>
      <c r="WOH5" s="390"/>
      <c r="WOI5" s="390"/>
      <c r="WOJ5" s="390"/>
      <c r="WOK5" s="390"/>
      <c r="WOL5" s="390"/>
      <c r="WOM5" s="390"/>
      <c r="WON5" s="390"/>
      <c r="WOO5" s="390"/>
      <c r="WOP5" s="390"/>
      <c r="WOQ5" s="390"/>
      <c r="WOR5" s="390"/>
      <c r="WOS5" s="390"/>
      <c r="WOT5" s="390"/>
      <c r="WOU5" s="390"/>
      <c r="WOV5" s="390"/>
      <c r="WOW5" s="390"/>
      <c r="WOX5" s="390"/>
      <c r="WOY5" s="390"/>
      <c r="WOZ5" s="390"/>
      <c r="WPA5" s="390"/>
      <c r="WPB5" s="390"/>
      <c r="WPC5" s="390"/>
      <c r="WPD5" s="390"/>
      <c r="WPE5" s="390"/>
      <c r="WPF5" s="390"/>
      <c r="WPG5" s="390"/>
      <c r="WPH5" s="390"/>
      <c r="WPI5" s="390"/>
      <c r="WPJ5" s="390"/>
      <c r="WPK5" s="390"/>
      <c r="WPL5" s="390"/>
      <c r="WPM5" s="390"/>
      <c r="WPN5" s="390"/>
      <c r="WPO5" s="390"/>
      <c r="WPP5" s="390"/>
      <c r="WPQ5" s="390"/>
      <c r="WPR5" s="390"/>
      <c r="WPS5" s="390"/>
      <c r="WPT5" s="390"/>
      <c r="WPU5" s="390"/>
      <c r="WPV5" s="390"/>
      <c r="WPW5" s="390"/>
      <c r="WPX5" s="390"/>
      <c r="WPY5" s="390"/>
      <c r="WPZ5" s="390"/>
      <c r="WQA5" s="390"/>
      <c r="WQB5" s="390"/>
      <c r="WQC5" s="390"/>
      <c r="WQD5" s="390"/>
      <c r="WQE5" s="390"/>
      <c r="WQF5" s="390"/>
      <c r="WQG5" s="390"/>
      <c r="WQH5" s="390"/>
      <c r="WQI5" s="390"/>
      <c r="WQJ5" s="390"/>
      <c r="WQK5" s="390"/>
      <c r="WQL5" s="390"/>
      <c r="WQM5" s="390"/>
      <c r="WQN5" s="390"/>
      <c r="WQO5" s="390"/>
      <c r="WQP5" s="390"/>
      <c r="WQQ5" s="390"/>
      <c r="WQR5" s="390"/>
      <c r="WQS5" s="390"/>
      <c r="WQT5" s="390"/>
      <c r="WQU5" s="390"/>
      <c r="WQV5" s="390"/>
      <c r="WQW5" s="390"/>
      <c r="WQX5" s="390"/>
      <c r="WQY5" s="390"/>
      <c r="WQZ5" s="390"/>
      <c r="WRA5" s="390"/>
      <c r="WRB5" s="390"/>
      <c r="WRC5" s="390"/>
      <c r="WRD5" s="390"/>
      <c r="WRE5" s="390"/>
      <c r="WRF5" s="390"/>
      <c r="WRG5" s="390"/>
      <c r="WRH5" s="390"/>
      <c r="WRI5" s="390"/>
      <c r="WRJ5" s="390"/>
      <c r="WRK5" s="390"/>
      <c r="WRL5" s="390"/>
      <c r="WRM5" s="390"/>
      <c r="WRN5" s="390"/>
      <c r="WRO5" s="390"/>
      <c r="WRP5" s="390"/>
      <c r="WRQ5" s="390"/>
      <c r="WRR5" s="390"/>
      <c r="WRS5" s="390"/>
      <c r="WRT5" s="390"/>
      <c r="WRU5" s="390"/>
      <c r="WRV5" s="390"/>
      <c r="WRW5" s="390"/>
      <c r="WRX5" s="390"/>
      <c r="WRY5" s="390"/>
      <c r="WRZ5" s="390"/>
      <c r="WSA5" s="390"/>
      <c r="WSB5" s="390"/>
      <c r="WSC5" s="390"/>
      <c r="WSD5" s="390"/>
      <c r="WSE5" s="390"/>
      <c r="WSF5" s="390"/>
      <c r="WSG5" s="390"/>
      <c r="WSH5" s="390"/>
      <c r="WSI5" s="390"/>
      <c r="WSJ5" s="390"/>
      <c r="WSK5" s="390"/>
      <c r="WSL5" s="390"/>
      <c r="WSM5" s="390"/>
      <c r="WSN5" s="390"/>
      <c r="WSO5" s="390"/>
      <c r="WSP5" s="390"/>
      <c r="WSQ5" s="390"/>
      <c r="WSR5" s="390"/>
      <c r="WSS5" s="390"/>
      <c r="WST5" s="390"/>
      <c r="WSU5" s="390"/>
      <c r="WSV5" s="390"/>
      <c r="WSW5" s="390"/>
      <c r="WSX5" s="390"/>
      <c r="WSY5" s="390"/>
      <c r="WSZ5" s="390"/>
      <c r="WTA5" s="390"/>
      <c r="WTB5" s="390"/>
      <c r="WTC5" s="390"/>
      <c r="WTD5" s="390"/>
      <c r="WTE5" s="390"/>
      <c r="WTF5" s="390"/>
      <c r="WTG5" s="390"/>
      <c r="WTH5" s="390"/>
      <c r="WTI5" s="390"/>
      <c r="WTJ5" s="390"/>
      <c r="WTK5" s="390"/>
      <c r="WTL5" s="390"/>
      <c r="WTM5" s="390"/>
      <c r="WTN5" s="390"/>
      <c r="WTO5" s="390"/>
      <c r="WTP5" s="390"/>
      <c r="WTQ5" s="390"/>
      <c r="WTR5" s="390"/>
      <c r="WTS5" s="390"/>
      <c r="WTT5" s="390"/>
      <c r="WTU5" s="390"/>
      <c r="WTV5" s="390"/>
      <c r="WTW5" s="390"/>
      <c r="WTX5" s="390"/>
      <c r="WTY5" s="390"/>
      <c r="WTZ5" s="390"/>
      <c r="WUA5" s="390"/>
      <c r="WUB5" s="390"/>
      <c r="WUC5" s="390"/>
      <c r="WUD5" s="390"/>
      <c r="WUE5" s="390"/>
      <c r="WUF5" s="390"/>
      <c r="WUG5" s="390"/>
      <c r="WUH5" s="390"/>
      <c r="WUI5" s="390"/>
      <c r="WUJ5" s="390"/>
      <c r="WUK5" s="390"/>
      <c r="WUL5" s="390"/>
      <c r="WUM5" s="390"/>
      <c r="WUN5" s="390"/>
      <c r="WUO5" s="390"/>
      <c r="WUP5" s="390"/>
      <c r="WUQ5" s="390"/>
      <c r="WUR5" s="390"/>
      <c r="WUS5" s="390"/>
      <c r="WUT5" s="390"/>
      <c r="WUU5" s="390"/>
      <c r="WUV5" s="390"/>
      <c r="WUW5" s="390"/>
      <c r="WUX5" s="390"/>
      <c r="WUY5" s="390"/>
      <c r="WUZ5" s="390"/>
      <c r="WVA5" s="390"/>
      <c r="WVB5" s="390"/>
      <c r="WVC5" s="390"/>
      <c r="WVD5" s="390"/>
      <c r="WVE5" s="390"/>
      <c r="WVF5" s="390"/>
      <c r="WVG5" s="390"/>
      <c r="WVH5" s="390"/>
      <c r="WVI5" s="390"/>
      <c r="WVJ5" s="390"/>
      <c r="WVK5" s="390"/>
      <c r="WVL5" s="390"/>
      <c r="WVM5" s="390"/>
      <c r="WVN5" s="390"/>
      <c r="WVO5" s="390"/>
      <c r="WVP5" s="390"/>
      <c r="WVQ5" s="390"/>
      <c r="WVR5" s="390"/>
      <c r="WVS5" s="390"/>
      <c r="WVT5" s="390"/>
      <c r="WVU5" s="390"/>
      <c r="WVV5" s="390"/>
      <c r="WVW5" s="390"/>
      <c r="WVX5" s="390"/>
      <c r="WVY5" s="390"/>
      <c r="WVZ5" s="390"/>
      <c r="WWA5" s="390"/>
      <c r="WWB5" s="390"/>
      <c r="WWC5" s="390"/>
      <c r="WWD5" s="390"/>
      <c r="WWE5" s="390"/>
      <c r="WWF5" s="390"/>
      <c r="WWG5" s="390"/>
      <c r="WWH5" s="390"/>
      <c r="WWI5" s="390"/>
      <c r="WWJ5" s="390"/>
      <c r="WWK5" s="390"/>
      <c r="WWL5" s="390"/>
      <c r="WWM5" s="390"/>
      <c r="WWN5" s="390"/>
      <c r="WWO5" s="390"/>
      <c r="WWP5" s="390"/>
      <c r="WWQ5" s="390"/>
      <c r="WWR5" s="390"/>
      <c r="WWS5" s="390"/>
      <c r="WWT5" s="390"/>
      <c r="WWU5" s="390"/>
      <c r="WWV5" s="390"/>
      <c r="WWW5" s="390"/>
      <c r="WWX5" s="390"/>
      <c r="WWY5" s="390"/>
      <c r="WWZ5" s="390"/>
      <c r="WXA5" s="390"/>
      <c r="WXB5" s="390"/>
      <c r="WXC5" s="390"/>
      <c r="WXD5" s="390"/>
      <c r="WXE5" s="390"/>
      <c r="WXF5" s="390"/>
      <c r="WXG5" s="390"/>
      <c r="WXH5" s="390"/>
      <c r="WXI5" s="390"/>
      <c r="WXJ5" s="390"/>
      <c r="WXK5" s="390"/>
      <c r="WXL5" s="390"/>
      <c r="WXM5" s="390"/>
      <c r="WXN5" s="390"/>
      <c r="WXO5" s="390"/>
      <c r="WXP5" s="390"/>
      <c r="WXQ5" s="390"/>
      <c r="WXR5" s="390"/>
      <c r="WXS5" s="390"/>
      <c r="WXT5" s="390"/>
      <c r="WXU5" s="390"/>
      <c r="WXV5" s="390"/>
      <c r="WXW5" s="390"/>
      <c r="WXX5" s="390"/>
      <c r="WXY5" s="390"/>
      <c r="WXZ5" s="390"/>
      <c r="WYA5" s="390"/>
      <c r="WYB5" s="390"/>
      <c r="WYC5" s="390"/>
      <c r="WYD5" s="390"/>
      <c r="WYE5" s="390"/>
      <c r="WYF5" s="390"/>
      <c r="WYG5" s="390"/>
      <c r="WYH5" s="390"/>
      <c r="WYI5" s="390"/>
      <c r="WYJ5" s="390"/>
      <c r="WYK5" s="390"/>
      <c r="WYL5" s="390"/>
      <c r="WYM5" s="390"/>
      <c r="WYN5" s="390"/>
      <c r="WYO5" s="390"/>
      <c r="WYP5" s="390"/>
      <c r="WYQ5" s="390"/>
      <c r="WYR5" s="390"/>
      <c r="WYS5" s="390"/>
      <c r="WYT5" s="390"/>
      <c r="WYU5" s="390"/>
      <c r="WYV5" s="390"/>
      <c r="WYW5" s="390"/>
      <c r="WYX5" s="390"/>
      <c r="WYY5" s="390"/>
      <c r="WYZ5" s="390"/>
      <c r="WZA5" s="390"/>
      <c r="WZB5" s="390"/>
      <c r="WZC5" s="390"/>
      <c r="WZD5" s="390"/>
      <c r="WZE5" s="390"/>
      <c r="WZF5" s="390"/>
      <c r="WZG5" s="390"/>
      <c r="WZH5" s="390"/>
      <c r="WZI5" s="390"/>
      <c r="WZJ5" s="390"/>
      <c r="WZK5" s="390"/>
      <c r="WZL5" s="390"/>
      <c r="WZM5" s="390"/>
      <c r="WZN5" s="390"/>
      <c r="WZO5" s="390"/>
      <c r="WZP5" s="390"/>
      <c r="WZQ5" s="390"/>
      <c r="WZR5" s="390"/>
      <c r="WZS5" s="390"/>
      <c r="WZT5" s="390"/>
      <c r="WZU5" s="390"/>
      <c r="WZV5" s="390"/>
      <c r="WZW5" s="390"/>
      <c r="WZX5" s="390"/>
      <c r="WZY5" s="390"/>
      <c r="WZZ5" s="390"/>
      <c r="XAA5" s="390"/>
      <c r="XAB5" s="390"/>
      <c r="XAC5" s="390"/>
      <c r="XAD5" s="390"/>
      <c r="XAE5" s="390"/>
      <c r="XAF5" s="390"/>
      <c r="XAG5" s="390"/>
      <c r="XAH5" s="390"/>
      <c r="XAI5" s="390"/>
      <c r="XAJ5" s="390"/>
      <c r="XAK5" s="390"/>
      <c r="XAL5" s="390"/>
      <c r="XAM5" s="390"/>
      <c r="XAN5" s="390"/>
      <c r="XAO5" s="390"/>
      <c r="XAP5" s="390"/>
      <c r="XAQ5" s="390"/>
      <c r="XAR5" s="390"/>
      <c r="XAS5" s="390"/>
      <c r="XAT5" s="390"/>
      <c r="XAU5" s="390"/>
      <c r="XAV5" s="390"/>
      <c r="XAW5" s="390"/>
      <c r="XAX5" s="390"/>
      <c r="XAY5" s="390"/>
      <c r="XAZ5" s="390"/>
      <c r="XBA5" s="390"/>
      <c r="XBB5" s="390"/>
      <c r="XBC5" s="390"/>
      <c r="XBD5" s="390"/>
      <c r="XBE5" s="390"/>
      <c r="XBF5" s="390"/>
      <c r="XBG5" s="390"/>
      <c r="XBH5" s="390"/>
      <c r="XBI5" s="390"/>
      <c r="XBJ5" s="390"/>
      <c r="XBK5" s="390"/>
      <c r="XBL5" s="390"/>
      <c r="XBM5" s="390"/>
      <c r="XBN5" s="390"/>
      <c r="XBO5" s="390"/>
      <c r="XBP5" s="390"/>
      <c r="XBQ5" s="390"/>
      <c r="XBR5" s="390"/>
      <c r="XBS5" s="390"/>
      <c r="XBT5" s="390"/>
      <c r="XBU5" s="390"/>
      <c r="XBV5" s="390"/>
      <c r="XBW5" s="390"/>
      <c r="XBX5" s="390"/>
      <c r="XBY5" s="390"/>
      <c r="XBZ5" s="390"/>
      <c r="XCA5" s="390"/>
      <c r="XCB5" s="390"/>
      <c r="XCC5" s="390"/>
      <c r="XCD5" s="390"/>
      <c r="XCE5" s="390"/>
      <c r="XCF5" s="390"/>
      <c r="XCG5" s="390"/>
      <c r="XCH5" s="390"/>
      <c r="XCI5" s="390"/>
      <c r="XCJ5" s="390"/>
      <c r="XCK5" s="390"/>
      <c r="XCL5" s="390"/>
      <c r="XCM5" s="390"/>
      <c r="XCN5" s="390"/>
      <c r="XCO5" s="390"/>
      <c r="XCP5" s="390"/>
      <c r="XCQ5" s="390"/>
      <c r="XCR5" s="390"/>
      <c r="XCS5" s="390"/>
      <c r="XCT5" s="390"/>
      <c r="XCU5" s="390"/>
      <c r="XCV5" s="390"/>
      <c r="XCW5" s="390"/>
      <c r="XCX5" s="390"/>
      <c r="XCY5" s="390"/>
      <c r="XCZ5" s="390"/>
      <c r="XDA5" s="390"/>
      <c r="XDB5" s="390"/>
      <c r="XDC5" s="390"/>
      <c r="XDD5" s="390"/>
      <c r="XDE5" s="390"/>
      <c r="XDF5" s="390"/>
      <c r="XDG5" s="390"/>
      <c r="XDH5" s="390"/>
      <c r="XDI5" s="390"/>
      <c r="XDJ5" s="390"/>
      <c r="XDK5" s="390"/>
      <c r="XDL5" s="390"/>
      <c r="XDM5" s="390"/>
      <c r="XDN5" s="390"/>
      <c r="XDO5" s="390"/>
      <c r="XDP5" s="390"/>
      <c r="XDQ5" s="390"/>
      <c r="XDR5" s="390"/>
      <c r="XDS5" s="390"/>
      <c r="XDT5" s="390"/>
      <c r="XDU5" s="390"/>
      <c r="XDV5" s="390"/>
      <c r="XDW5" s="390"/>
      <c r="XDX5" s="390"/>
      <c r="XDY5" s="390"/>
      <c r="XDZ5" s="390"/>
      <c r="XEA5" s="390"/>
      <c r="XEB5" s="390"/>
      <c r="XEC5" s="390"/>
      <c r="XED5" s="390"/>
      <c r="XEE5" s="390"/>
      <c r="XEF5" s="390"/>
      <c r="XEG5" s="390"/>
      <c r="XEH5" s="390"/>
      <c r="XEI5" s="390"/>
      <c r="XEJ5" s="390"/>
      <c r="XEK5" s="390"/>
      <c r="XEL5" s="390"/>
      <c r="XEM5" s="390"/>
      <c r="XEN5" s="390"/>
      <c r="XEO5" s="390"/>
      <c r="XEP5" s="390"/>
      <c r="XEQ5" s="390"/>
      <c r="XER5" s="390"/>
      <c r="XES5" s="390"/>
      <c r="XET5" s="390"/>
      <c r="XEU5" s="390"/>
      <c r="XEV5" s="390"/>
      <c r="XEW5" s="390"/>
      <c r="XEX5" s="390"/>
      <c r="XEY5" s="390"/>
      <c r="XEZ5" s="390"/>
      <c r="XFA5" s="390"/>
      <c r="XFB5" s="390"/>
    </row>
    <row r="6" spans="1:16382" x14ac:dyDescent="0.45">
      <c r="A6" s="390" t="s">
        <v>3967</v>
      </c>
      <c r="B6" s="390"/>
      <c r="C6" s="390"/>
      <c r="D6" s="390"/>
      <c r="E6" s="390"/>
      <c r="F6" s="390"/>
      <c r="G6" s="390"/>
      <c r="H6" s="390"/>
      <c r="I6" s="392"/>
      <c r="J6" s="392"/>
      <c r="K6" s="392"/>
      <c r="L6" s="392"/>
      <c r="M6" s="392"/>
      <c r="N6" s="392"/>
    </row>
    <row r="7" spans="1:16382" x14ac:dyDescent="0.45">
      <c r="A7" s="399"/>
      <c r="B7" s="399"/>
      <c r="C7" s="399"/>
      <c r="D7" s="400"/>
      <c r="E7" s="400"/>
      <c r="F7" s="400"/>
      <c r="G7" s="400"/>
      <c r="H7" s="400"/>
    </row>
    <row r="8" spans="1:16382" s="2" customFormat="1" x14ac:dyDescent="0.45">
      <c r="A8" s="401" t="s">
        <v>3968</v>
      </c>
      <c r="B8" s="402"/>
      <c r="C8" s="402"/>
      <c r="D8" s="403"/>
      <c r="E8" s="403"/>
      <c r="F8" s="403"/>
      <c r="G8" s="403"/>
      <c r="H8" s="404"/>
    </row>
    <row r="9" spans="1:16382" s="2" customFormat="1" x14ac:dyDescent="0.45">
      <c r="A9" s="393" t="s">
        <v>4</v>
      </c>
      <c r="B9" s="394"/>
      <c r="C9" s="394"/>
      <c r="D9" s="394"/>
      <c r="E9" s="394"/>
      <c r="F9" s="394"/>
      <c r="G9" s="394"/>
      <c r="H9" s="395"/>
    </row>
    <row r="10" spans="1:16382" s="2" customFormat="1" x14ac:dyDescent="0.45">
      <c r="A10" s="396" t="s">
        <v>5286</v>
      </c>
      <c r="B10" s="397"/>
      <c r="C10" s="397"/>
      <c r="D10" s="397"/>
      <c r="E10" s="397"/>
      <c r="F10" s="397"/>
      <c r="G10" s="397"/>
      <c r="H10" s="398"/>
    </row>
    <row r="11" spans="1:16382" ht="24.6" x14ac:dyDescent="0.45">
      <c r="A11" s="3" t="s">
        <v>5</v>
      </c>
      <c r="B11" s="221" t="s">
        <v>5002</v>
      </c>
      <c r="C11" s="221" t="s">
        <v>6</v>
      </c>
      <c r="D11" s="5" t="s">
        <v>7</v>
      </c>
      <c r="E11" s="3" t="s">
        <v>8</v>
      </c>
      <c r="F11" s="3" t="s">
        <v>9</v>
      </c>
      <c r="G11" s="3" t="s">
        <v>10</v>
      </c>
      <c r="H11" s="3" t="s">
        <v>11</v>
      </c>
    </row>
    <row r="12" spans="1:16382" s="11" customFormat="1" ht="4.95" customHeight="1" x14ac:dyDescent="0.45">
      <c r="A12" s="6"/>
      <c r="B12" s="7"/>
      <c r="C12" s="7"/>
      <c r="D12" s="8"/>
      <c r="E12" s="7"/>
      <c r="F12" s="9"/>
      <c r="G12" s="9"/>
      <c r="H12" s="10"/>
    </row>
    <row r="13" spans="1:16382" x14ac:dyDescent="0.45">
      <c r="A13" s="12" t="s">
        <v>3969</v>
      </c>
      <c r="B13" s="13"/>
      <c r="C13" s="13"/>
      <c r="D13" s="246" t="s">
        <v>13</v>
      </c>
      <c r="E13" s="15"/>
      <c r="F13" s="14"/>
      <c r="G13" s="15"/>
      <c r="H13" s="14"/>
    </row>
    <row r="14" spans="1:16382" x14ac:dyDescent="0.4">
      <c r="A14" s="16"/>
      <c r="B14" s="222">
        <v>1501000</v>
      </c>
      <c r="C14" s="18"/>
      <c r="D14" s="223" t="s">
        <v>14</v>
      </c>
      <c r="E14" s="20"/>
      <c r="F14" s="21"/>
      <c r="G14" s="20"/>
      <c r="H14" s="21"/>
    </row>
    <row r="15" spans="1:16382" ht="24.6" x14ac:dyDescent="0.45">
      <c r="A15" s="22" t="s">
        <v>3970</v>
      </c>
      <c r="B15" s="23"/>
      <c r="C15" s="23">
        <v>3.1</v>
      </c>
      <c r="D15" s="5" t="s">
        <v>16</v>
      </c>
      <c r="E15" s="23">
        <v>12</v>
      </c>
      <c r="F15" s="23" t="s">
        <v>17</v>
      </c>
      <c r="G15" s="24"/>
      <c r="H15" s="24">
        <f>G15*E15</f>
        <v>0</v>
      </c>
    </row>
    <row r="16" spans="1:16382" x14ac:dyDescent="0.4">
      <c r="A16" s="16"/>
      <c r="B16" s="222">
        <v>1502000</v>
      </c>
      <c r="C16" s="18"/>
      <c r="D16" s="223" t="s">
        <v>18</v>
      </c>
      <c r="E16" s="20"/>
      <c r="F16" s="21"/>
      <c r="G16" s="21"/>
      <c r="H16" s="21"/>
    </row>
    <row r="17" spans="1:8" x14ac:dyDescent="0.45">
      <c r="A17" s="25"/>
      <c r="B17" s="26"/>
      <c r="C17" s="26">
        <v>3.1</v>
      </c>
      <c r="D17" s="27" t="s">
        <v>19</v>
      </c>
      <c r="E17" s="28"/>
      <c r="F17" s="28"/>
      <c r="G17" s="28"/>
      <c r="H17" s="28"/>
    </row>
    <row r="18" spans="1:8" x14ac:dyDescent="0.45">
      <c r="A18" s="22" t="s">
        <v>3971</v>
      </c>
      <c r="B18" s="23">
        <v>1502000</v>
      </c>
      <c r="C18" s="23" t="s">
        <v>21</v>
      </c>
      <c r="D18" s="29" t="s">
        <v>22</v>
      </c>
      <c r="E18" s="23">
        <v>12</v>
      </c>
      <c r="F18" s="23" t="s">
        <v>17</v>
      </c>
      <c r="G18" s="24"/>
      <c r="H18" s="24">
        <f>G18*E18</f>
        <v>0</v>
      </c>
    </row>
    <row r="19" spans="1:8" x14ac:dyDescent="0.45">
      <c r="A19" s="22" t="s">
        <v>3972</v>
      </c>
      <c r="B19" s="23">
        <v>1502000</v>
      </c>
      <c r="C19" s="23" t="s">
        <v>24</v>
      </c>
      <c r="D19" s="29" t="s">
        <v>25</v>
      </c>
      <c r="E19" s="23">
        <v>12</v>
      </c>
      <c r="F19" s="23" t="s">
        <v>17</v>
      </c>
      <c r="G19" s="24"/>
      <c r="H19" s="24">
        <f>G19*E19</f>
        <v>0</v>
      </c>
    </row>
    <row r="20" spans="1:8" x14ac:dyDescent="0.45">
      <c r="A20" s="22" t="s">
        <v>3973</v>
      </c>
      <c r="B20" s="23">
        <v>1502000</v>
      </c>
      <c r="C20" s="23" t="s">
        <v>27</v>
      </c>
      <c r="D20" s="29" t="s">
        <v>28</v>
      </c>
      <c r="E20" s="23">
        <v>12</v>
      </c>
      <c r="F20" s="23" t="s">
        <v>17</v>
      </c>
      <c r="G20" s="24"/>
      <c r="H20" s="24">
        <f>G20*E20</f>
        <v>0</v>
      </c>
    </row>
    <row r="21" spans="1:8" x14ac:dyDescent="0.45">
      <c r="A21" s="25"/>
      <c r="B21" s="26"/>
      <c r="C21" s="26">
        <v>3.2</v>
      </c>
      <c r="D21" s="27" t="s">
        <v>29</v>
      </c>
      <c r="E21" s="28"/>
      <c r="F21" s="28"/>
      <c r="G21" s="28"/>
      <c r="H21" s="28"/>
    </row>
    <row r="22" spans="1:8" x14ac:dyDescent="0.45">
      <c r="A22" s="22" t="s">
        <v>3974</v>
      </c>
      <c r="B22" s="23">
        <v>1502000</v>
      </c>
      <c r="C22" s="286">
        <v>3.2</v>
      </c>
      <c r="D22" s="29" t="s">
        <v>5072</v>
      </c>
      <c r="E22" s="23">
        <v>12</v>
      </c>
      <c r="F22" s="23" t="s">
        <v>17</v>
      </c>
      <c r="G22" s="24"/>
      <c r="H22" s="24">
        <f>G22*E22</f>
        <v>0</v>
      </c>
    </row>
    <row r="23" spans="1:8" x14ac:dyDescent="0.45">
      <c r="A23" s="25"/>
      <c r="B23" s="26"/>
      <c r="C23" s="26">
        <v>3.3</v>
      </c>
      <c r="D23" s="27" t="s">
        <v>31</v>
      </c>
      <c r="E23" s="28"/>
      <c r="F23" s="28"/>
      <c r="G23" s="28"/>
      <c r="H23" s="28"/>
    </row>
    <row r="24" spans="1:8" x14ac:dyDescent="0.45">
      <c r="A24" s="22" t="s">
        <v>3975</v>
      </c>
      <c r="B24" s="23">
        <v>1502000</v>
      </c>
      <c r="C24" s="23" t="s">
        <v>33</v>
      </c>
      <c r="D24" s="30" t="s">
        <v>34</v>
      </c>
      <c r="E24" s="23">
        <v>12</v>
      </c>
      <c r="F24" s="23" t="s">
        <v>17</v>
      </c>
      <c r="G24" s="24"/>
      <c r="H24" s="24">
        <f t="shared" ref="H24:H33" si="0">G24*E24</f>
        <v>0</v>
      </c>
    </row>
    <row r="25" spans="1:8" x14ac:dyDescent="0.45">
      <c r="A25" s="22" t="s">
        <v>3976</v>
      </c>
      <c r="B25" s="23">
        <v>1502000</v>
      </c>
      <c r="C25" s="23" t="s">
        <v>36</v>
      </c>
      <c r="D25" s="32" t="s">
        <v>37</v>
      </c>
      <c r="E25" s="33">
        <v>12</v>
      </c>
      <c r="F25" s="23" t="s">
        <v>17</v>
      </c>
      <c r="G25" s="24"/>
      <c r="H25" s="24">
        <f t="shared" si="0"/>
        <v>0</v>
      </c>
    </row>
    <row r="26" spans="1:8" x14ac:dyDescent="0.45">
      <c r="A26" s="22" t="s">
        <v>3977</v>
      </c>
      <c r="B26" s="23">
        <v>1502000</v>
      </c>
      <c r="C26" s="23" t="s">
        <v>39</v>
      </c>
      <c r="D26" s="32" t="s">
        <v>40</v>
      </c>
      <c r="E26" s="33">
        <v>12</v>
      </c>
      <c r="F26" s="23" t="s">
        <v>17</v>
      </c>
      <c r="G26" s="24"/>
      <c r="H26" s="24">
        <f t="shared" si="0"/>
        <v>0</v>
      </c>
    </row>
    <row r="27" spans="1:8" x14ac:dyDescent="0.45">
      <c r="A27" s="22" t="s">
        <v>3978</v>
      </c>
      <c r="B27" s="23">
        <v>1502000</v>
      </c>
      <c r="C27" s="224" t="s">
        <v>42</v>
      </c>
      <c r="D27" s="30" t="s">
        <v>43</v>
      </c>
      <c r="E27" s="33">
        <v>12</v>
      </c>
      <c r="F27" s="23" t="s">
        <v>17</v>
      </c>
      <c r="G27" s="24"/>
      <c r="H27" s="24">
        <f t="shared" si="0"/>
        <v>0</v>
      </c>
    </row>
    <row r="28" spans="1:8" x14ac:dyDescent="0.45">
      <c r="A28" s="22" t="s">
        <v>3979</v>
      </c>
      <c r="B28" s="23">
        <v>1502000</v>
      </c>
      <c r="C28" s="23" t="s">
        <v>45</v>
      </c>
      <c r="D28" s="30" t="s">
        <v>46</v>
      </c>
      <c r="E28" s="33">
        <v>12</v>
      </c>
      <c r="F28" s="23" t="s">
        <v>17</v>
      </c>
      <c r="G28" s="24"/>
      <c r="H28" s="24">
        <f t="shared" si="0"/>
        <v>0</v>
      </c>
    </row>
    <row r="29" spans="1:8" x14ac:dyDescent="0.45">
      <c r="A29" s="22" t="s">
        <v>3980</v>
      </c>
      <c r="B29" s="23">
        <v>1502000</v>
      </c>
      <c r="C29" s="23" t="s">
        <v>48</v>
      </c>
      <c r="D29" s="30" t="s">
        <v>49</v>
      </c>
      <c r="E29" s="33">
        <v>12</v>
      </c>
      <c r="F29" s="23" t="s">
        <v>17</v>
      </c>
      <c r="G29" s="24"/>
      <c r="H29" s="24">
        <f t="shared" si="0"/>
        <v>0</v>
      </c>
    </row>
    <row r="30" spans="1:8" x14ac:dyDescent="0.45">
      <c r="A30" s="22" t="s">
        <v>3981</v>
      </c>
      <c r="B30" s="23">
        <v>1502000</v>
      </c>
      <c r="C30" s="23" t="s">
        <v>51</v>
      </c>
      <c r="D30" s="30" t="s">
        <v>52</v>
      </c>
      <c r="E30" s="33">
        <v>12</v>
      </c>
      <c r="F30" s="23" t="s">
        <v>17</v>
      </c>
      <c r="G30" s="24"/>
      <c r="H30" s="24">
        <f t="shared" si="0"/>
        <v>0</v>
      </c>
    </row>
    <row r="31" spans="1:8" x14ac:dyDescent="0.45">
      <c r="A31" s="22" t="s">
        <v>3982</v>
      </c>
      <c r="B31" s="23">
        <v>1502000</v>
      </c>
      <c r="C31" s="23" t="s">
        <v>54</v>
      </c>
      <c r="D31" s="30" t="s">
        <v>55</v>
      </c>
      <c r="E31" s="33">
        <v>12</v>
      </c>
      <c r="F31" s="23" t="s">
        <v>17</v>
      </c>
      <c r="G31" s="24"/>
      <c r="H31" s="24">
        <f t="shared" si="0"/>
        <v>0</v>
      </c>
    </row>
    <row r="32" spans="1:8" x14ac:dyDescent="0.45">
      <c r="A32" s="22" t="s">
        <v>3983</v>
      </c>
      <c r="B32" s="23">
        <v>1502000</v>
      </c>
      <c r="C32" s="23" t="s">
        <v>57</v>
      </c>
      <c r="D32" s="30" t="s">
        <v>58</v>
      </c>
      <c r="E32" s="33">
        <v>12</v>
      </c>
      <c r="F32" s="23" t="s">
        <v>17</v>
      </c>
      <c r="G32" s="24"/>
      <c r="H32" s="24">
        <f t="shared" si="0"/>
        <v>0</v>
      </c>
    </row>
    <row r="33" spans="1:8" x14ac:dyDescent="0.45">
      <c r="A33" s="22" t="s">
        <v>3984</v>
      </c>
      <c r="B33" s="23">
        <v>1502000</v>
      </c>
      <c r="C33" s="23" t="s">
        <v>60</v>
      </c>
      <c r="D33" s="30" t="s">
        <v>61</v>
      </c>
      <c r="E33" s="33">
        <v>12</v>
      </c>
      <c r="F33" s="23" t="s">
        <v>17</v>
      </c>
      <c r="G33" s="24"/>
      <c r="H33" s="24">
        <f t="shared" si="0"/>
        <v>0</v>
      </c>
    </row>
    <row r="34" spans="1:8" x14ac:dyDescent="0.45">
      <c r="A34" s="25"/>
      <c r="B34" s="26"/>
      <c r="C34" s="26">
        <v>3.4</v>
      </c>
      <c r="D34" s="27" t="s">
        <v>62</v>
      </c>
      <c r="E34" s="28"/>
      <c r="F34" s="28"/>
      <c r="G34" s="28"/>
      <c r="H34" s="28"/>
    </row>
    <row r="35" spans="1:8" x14ac:dyDescent="0.45">
      <c r="A35" s="22" t="s">
        <v>3985</v>
      </c>
      <c r="B35" s="23">
        <v>1502000</v>
      </c>
      <c r="C35" s="23" t="s">
        <v>64</v>
      </c>
      <c r="D35" s="35" t="s">
        <v>65</v>
      </c>
      <c r="E35" s="23">
        <v>12</v>
      </c>
      <c r="F35" s="23" t="s">
        <v>17</v>
      </c>
      <c r="G35" s="24"/>
      <c r="H35" s="24">
        <f>G35*E35</f>
        <v>0</v>
      </c>
    </row>
    <row r="36" spans="1:8" x14ac:dyDescent="0.45">
      <c r="A36" s="22" t="s">
        <v>3986</v>
      </c>
      <c r="B36" s="23">
        <v>1502000</v>
      </c>
      <c r="C36" s="23" t="s">
        <v>67</v>
      </c>
      <c r="D36" s="35" t="s">
        <v>68</v>
      </c>
      <c r="E36" s="23">
        <v>12</v>
      </c>
      <c r="F36" s="23" t="s">
        <v>17</v>
      </c>
      <c r="G36" s="24"/>
      <c r="H36" s="24">
        <f>G36*E36</f>
        <v>0</v>
      </c>
    </row>
    <row r="37" spans="1:8" x14ac:dyDescent="0.45">
      <c r="A37" s="22" t="s">
        <v>3987</v>
      </c>
      <c r="B37" s="23">
        <v>1502000</v>
      </c>
      <c r="C37" s="33" t="s">
        <v>70</v>
      </c>
      <c r="D37" s="36" t="s">
        <v>71</v>
      </c>
      <c r="E37" s="33">
        <v>12</v>
      </c>
      <c r="F37" s="23" t="s">
        <v>17</v>
      </c>
      <c r="G37" s="24"/>
      <c r="H37" s="24">
        <f>G37*E37</f>
        <v>0</v>
      </c>
    </row>
    <row r="38" spans="1:8" x14ac:dyDescent="0.45">
      <c r="A38" s="25"/>
      <c r="B38" s="26"/>
      <c r="C38" s="26">
        <v>3.5</v>
      </c>
      <c r="D38" s="27" t="s">
        <v>72</v>
      </c>
      <c r="E38" s="28"/>
      <c r="F38" s="28"/>
      <c r="G38" s="28"/>
      <c r="H38" s="28"/>
    </row>
    <row r="39" spans="1:8" x14ac:dyDescent="0.45">
      <c r="A39" s="22" t="s">
        <v>3988</v>
      </c>
      <c r="B39" s="23">
        <v>1502000</v>
      </c>
      <c r="C39" s="23" t="s">
        <v>74</v>
      </c>
      <c r="D39" s="32" t="s">
        <v>37</v>
      </c>
      <c r="E39" s="33">
        <v>12</v>
      </c>
      <c r="F39" s="23" t="s">
        <v>17</v>
      </c>
      <c r="G39" s="24"/>
      <c r="H39" s="24">
        <f>G39*E39</f>
        <v>0</v>
      </c>
    </row>
    <row r="40" spans="1:8" x14ac:dyDescent="0.45">
      <c r="A40" s="25"/>
      <c r="B40" s="37"/>
      <c r="C40" s="37">
        <v>3.6</v>
      </c>
      <c r="D40" s="38" t="s">
        <v>75</v>
      </c>
      <c r="E40" s="28"/>
      <c r="F40" s="28"/>
      <c r="G40" s="28"/>
      <c r="H40" s="28"/>
    </row>
    <row r="41" spans="1:8" x14ac:dyDescent="0.45">
      <c r="A41" s="22" t="s">
        <v>3989</v>
      </c>
      <c r="B41" s="23">
        <v>1502000</v>
      </c>
      <c r="C41" s="33" t="s">
        <v>77</v>
      </c>
      <c r="D41" s="39" t="s">
        <v>78</v>
      </c>
      <c r="E41" s="33">
        <v>12</v>
      </c>
      <c r="F41" s="23" t="s">
        <v>17</v>
      </c>
      <c r="G41" s="24"/>
      <c r="H41" s="24">
        <f t="shared" ref="H41:H52" si="1">G41*E41</f>
        <v>0</v>
      </c>
    </row>
    <row r="42" spans="1:8" x14ac:dyDescent="0.45">
      <c r="A42" s="22" t="s">
        <v>3990</v>
      </c>
      <c r="B42" s="23">
        <v>1502000</v>
      </c>
      <c r="C42" s="33" t="s">
        <v>80</v>
      </c>
      <c r="D42" s="39" t="s">
        <v>81</v>
      </c>
      <c r="E42" s="33">
        <v>12</v>
      </c>
      <c r="F42" s="23" t="s">
        <v>17</v>
      </c>
      <c r="G42" s="24"/>
      <c r="H42" s="24">
        <f t="shared" si="1"/>
        <v>0</v>
      </c>
    </row>
    <row r="43" spans="1:8" x14ac:dyDescent="0.45">
      <c r="A43" s="22" t="s">
        <v>3991</v>
      </c>
      <c r="B43" s="23">
        <v>1502000</v>
      </c>
      <c r="C43" s="33" t="s">
        <v>83</v>
      </c>
      <c r="D43" s="39" t="s">
        <v>84</v>
      </c>
      <c r="E43" s="33">
        <v>12</v>
      </c>
      <c r="F43" s="23" t="s">
        <v>17</v>
      </c>
      <c r="G43" s="24"/>
      <c r="H43" s="24">
        <f t="shared" si="1"/>
        <v>0</v>
      </c>
    </row>
    <row r="44" spans="1:8" x14ac:dyDescent="0.45">
      <c r="A44" s="22" t="s">
        <v>3992</v>
      </c>
      <c r="B44" s="23">
        <v>1502000</v>
      </c>
      <c r="C44" s="33" t="s">
        <v>86</v>
      </c>
      <c r="D44" s="39" t="s">
        <v>87</v>
      </c>
      <c r="E44" s="33">
        <v>12</v>
      </c>
      <c r="F44" s="23" t="s">
        <v>17</v>
      </c>
      <c r="G44" s="24"/>
      <c r="H44" s="24">
        <f t="shared" si="1"/>
        <v>0</v>
      </c>
    </row>
    <row r="45" spans="1:8" x14ac:dyDescent="0.45">
      <c r="A45" s="22" t="s">
        <v>3993</v>
      </c>
      <c r="B45" s="23">
        <v>1502000</v>
      </c>
      <c r="C45" s="33" t="s">
        <v>89</v>
      </c>
      <c r="D45" s="39" t="s">
        <v>90</v>
      </c>
      <c r="E45" s="33">
        <v>12</v>
      </c>
      <c r="F45" s="23" t="s">
        <v>17</v>
      </c>
      <c r="G45" s="24"/>
      <c r="H45" s="24">
        <f t="shared" si="1"/>
        <v>0</v>
      </c>
    </row>
    <row r="46" spans="1:8" x14ac:dyDescent="0.45">
      <c r="A46" s="22" t="s">
        <v>3994</v>
      </c>
      <c r="B46" s="23">
        <v>1502000</v>
      </c>
      <c r="C46" s="33" t="s">
        <v>92</v>
      </c>
      <c r="D46" s="39" t="s">
        <v>93</v>
      </c>
      <c r="E46" s="33">
        <v>12</v>
      </c>
      <c r="F46" s="23" t="s">
        <v>17</v>
      </c>
      <c r="G46" s="24"/>
      <c r="H46" s="24">
        <f t="shared" si="1"/>
        <v>0</v>
      </c>
    </row>
    <row r="47" spans="1:8" x14ac:dyDescent="0.45">
      <c r="A47" s="22" t="s">
        <v>3995</v>
      </c>
      <c r="B47" s="23">
        <v>1502000</v>
      </c>
      <c r="C47" s="33" t="s">
        <v>95</v>
      </c>
      <c r="D47" s="39" t="s">
        <v>96</v>
      </c>
      <c r="E47" s="33">
        <v>12</v>
      </c>
      <c r="F47" s="23" t="s">
        <v>17</v>
      </c>
      <c r="G47" s="24"/>
      <c r="H47" s="24">
        <f t="shared" si="1"/>
        <v>0</v>
      </c>
    </row>
    <row r="48" spans="1:8" x14ac:dyDescent="0.45">
      <c r="A48" s="22" t="s">
        <v>3996</v>
      </c>
      <c r="B48" s="23">
        <v>1502000</v>
      </c>
      <c r="C48" s="33" t="s">
        <v>98</v>
      </c>
      <c r="D48" s="39" t="s">
        <v>99</v>
      </c>
      <c r="E48" s="33">
        <v>12</v>
      </c>
      <c r="F48" s="23" t="s">
        <v>17</v>
      </c>
      <c r="G48" s="24"/>
      <c r="H48" s="24">
        <f t="shared" si="1"/>
        <v>0</v>
      </c>
    </row>
    <row r="49" spans="1:8" s="293" customFormat="1" x14ac:dyDescent="0.45">
      <c r="A49" s="257" t="s">
        <v>3997</v>
      </c>
      <c r="B49" s="286">
        <v>1502000</v>
      </c>
      <c r="C49" s="301" t="s">
        <v>273</v>
      </c>
      <c r="D49" s="372" t="s">
        <v>309</v>
      </c>
      <c r="E49" s="301">
        <v>12</v>
      </c>
      <c r="F49" s="286" t="s">
        <v>17</v>
      </c>
      <c r="G49" s="302"/>
      <c r="H49" s="302">
        <f t="shared" si="1"/>
        <v>0</v>
      </c>
    </row>
    <row r="50" spans="1:8" x14ac:dyDescent="0.45">
      <c r="A50" s="257" t="s">
        <v>3998</v>
      </c>
      <c r="B50" s="23">
        <v>1502000</v>
      </c>
      <c r="C50" s="33" t="s">
        <v>101</v>
      </c>
      <c r="D50" s="39" t="s">
        <v>102</v>
      </c>
      <c r="E50" s="33">
        <v>12</v>
      </c>
      <c r="F50" s="23" t="s">
        <v>17</v>
      </c>
      <c r="G50" s="24"/>
      <c r="H50" s="24">
        <f t="shared" si="1"/>
        <v>0</v>
      </c>
    </row>
    <row r="51" spans="1:8" x14ac:dyDescent="0.45">
      <c r="A51" s="257" t="s">
        <v>3999</v>
      </c>
      <c r="B51" s="23">
        <v>1502000</v>
      </c>
      <c r="C51" s="23" t="s">
        <v>104</v>
      </c>
      <c r="D51" s="35" t="s">
        <v>105</v>
      </c>
      <c r="E51" s="33">
        <v>12</v>
      </c>
      <c r="F51" s="23" t="s">
        <v>17</v>
      </c>
      <c r="G51" s="24"/>
      <c r="H51" s="24">
        <f t="shared" si="1"/>
        <v>0</v>
      </c>
    </row>
    <row r="52" spans="1:8" x14ac:dyDescent="0.45">
      <c r="A52" s="257" t="s">
        <v>4000</v>
      </c>
      <c r="B52" s="23">
        <v>1502000</v>
      </c>
      <c r="C52" s="23" t="s">
        <v>107</v>
      </c>
      <c r="D52" s="22" t="s">
        <v>108</v>
      </c>
      <c r="E52" s="33">
        <v>12</v>
      </c>
      <c r="F52" s="23" t="s">
        <v>17</v>
      </c>
      <c r="G52" s="24"/>
      <c r="H52" s="24">
        <f t="shared" si="1"/>
        <v>0</v>
      </c>
    </row>
    <row r="53" spans="1:8" x14ac:dyDescent="0.45">
      <c r="A53" s="287"/>
      <c r="B53" s="41">
        <v>1503010</v>
      </c>
      <c r="C53" s="41"/>
      <c r="D53" s="42" t="s">
        <v>109</v>
      </c>
      <c r="E53" s="43"/>
      <c r="F53" s="44"/>
      <c r="G53" s="44"/>
      <c r="H53" s="45"/>
    </row>
    <row r="54" spans="1:8" x14ac:dyDescent="0.45">
      <c r="A54" s="257" t="s">
        <v>4001</v>
      </c>
      <c r="B54" s="33">
        <v>1503010</v>
      </c>
      <c r="C54" s="33">
        <v>3.1</v>
      </c>
      <c r="D54" s="36" t="s">
        <v>111</v>
      </c>
      <c r="E54" s="33">
        <v>12</v>
      </c>
      <c r="F54" s="23" t="s">
        <v>17</v>
      </c>
      <c r="G54" s="24"/>
      <c r="H54" s="24">
        <f>G54*E54</f>
        <v>0</v>
      </c>
    </row>
    <row r="55" spans="1:8" x14ac:dyDescent="0.45">
      <c r="A55" s="257" t="s">
        <v>4002</v>
      </c>
      <c r="B55" s="33">
        <v>1503010</v>
      </c>
      <c r="C55" s="33">
        <v>3.1</v>
      </c>
      <c r="D55" s="36" t="s">
        <v>113</v>
      </c>
      <c r="E55" s="33">
        <v>12</v>
      </c>
      <c r="F55" s="23" t="s">
        <v>17</v>
      </c>
      <c r="G55" s="24"/>
      <c r="H55" s="24">
        <f>G55*E55</f>
        <v>0</v>
      </c>
    </row>
    <row r="56" spans="1:8" x14ac:dyDescent="0.45">
      <c r="A56" s="287"/>
      <c r="B56" s="41">
        <v>1503020</v>
      </c>
      <c r="C56" s="41"/>
      <c r="D56" s="42" t="s">
        <v>114</v>
      </c>
      <c r="E56" s="43"/>
      <c r="F56" s="44"/>
      <c r="G56" s="44"/>
      <c r="H56" s="45"/>
    </row>
    <row r="57" spans="1:8" x14ac:dyDescent="0.45">
      <c r="A57" s="257" t="s">
        <v>4003</v>
      </c>
      <c r="B57" s="33">
        <v>1503020</v>
      </c>
      <c r="C57" s="33">
        <v>3.1</v>
      </c>
      <c r="D57" s="36" t="s">
        <v>116</v>
      </c>
      <c r="E57" s="33">
        <v>12</v>
      </c>
      <c r="F57" s="23" t="s">
        <v>17</v>
      </c>
      <c r="G57" s="24"/>
      <c r="H57" s="24">
        <f>G57*E57</f>
        <v>0</v>
      </c>
    </row>
    <row r="58" spans="1:8" x14ac:dyDescent="0.45">
      <c r="A58" s="257" t="s">
        <v>4004</v>
      </c>
      <c r="B58" s="33">
        <v>1503020</v>
      </c>
      <c r="C58" s="33">
        <v>3.2</v>
      </c>
      <c r="D58" s="36" t="s">
        <v>118</v>
      </c>
      <c r="E58" s="33">
        <v>12</v>
      </c>
      <c r="F58" s="23" t="s">
        <v>17</v>
      </c>
      <c r="G58" s="24"/>
      <c r="H58" s="24">
        <f>G58*E58</f>
        <v>0</v>
      </c>
    </row>
    <row r="59" spans="1:8" x14ac:dyDescent="0.45">
      <c r="A59" s="257" t="s">
        <v>4005</v>
      </c>
      <c r="B59" s="33">
        <v>1503020</v>
      </c>
      <c r="C59" s="33">
        <v>3.3</v>
      </c>
      <c r="D59" s="36" t="s">
        <v>120</v>
      </c>
      <c r="E59" s="33">
        <v>12</v>
      </c>
      <c r="F59" s="23" t="s">
        <v>17</v>
      </c>
      <c r="G59" s="24"/>
      <c r="H59" s="24">
        <f>G59*E59</f>
        <v>0</v>
      </c>
    </row>
    <row r="60" spans="1:8" x14ac:dyDescent="0.45">
      <c r="A60" s="287"/>
      <c r="B60" s="43">
        <v>1503030</v>
      </c>
      <c r="C60" s="41"/>
      <c r="D60" s="42" t="s">
        <v>121</v>
      </c>
      <c r="E60" s="43"/>
      <c r="F60" s="44"/>
      <c r="G60" s="44"/>
      <c r="H60" s="45"/>
    </row>
    <row r="61" spans="1:8" x14ac:dyDescent="0.45">
      <c r="A61" s="257" t="s">
        <v>4006</v>
      </c>
      <c r="B61" s="33">
        <v>1503030</v>
      </c>
      <c r="C61" s="33" t="s">
        <v>123</v>
      </c>
      <c r="D61" s="36" t="s">
        <v>124</v>
      </c>
      <c r="E61" s="33">
        <v>12</v>
      </c>
      <c r="F61" s="23" t="s">
        <v>17</v>
      </c>
      <c r="G61" s="24"/>
      <c r="H61" s="24">
        <f>G61*E61</f>
        <v>0</v>
      </c>
    </row>
    <row r="62" spans="1:8" x14ac:dyDescent="0.45">
      <c r="A62" s="257" t="s">
        <v>4007</v>
      </c>
      <c r="B62" s="33">
        <v>1503030</v>
      </c>
      <c r="C62" s="33">
        <v>3.6</v>
      </c>
      <c r="D62" s="36" t="s">
        <v>126</v>
      </c>
      <c r="E62" s="33">
        <v>12</v>
      </c>
      <c r="F62" s="23" t="s">
        <v>17</v>
      </c>
      <c r="G62" s="24"/>
      <c r="H62" s="24">
        <f>G62*E62</f>
        <v>0</v>
      </c>
    </row>
    <row r="63" spans="1:8" x14ac:dyDescent="0.45">
      <c r="A63" s="287"/>
      <c r="B63" s="41">
        <v>1503050</v>
      </c>
      <c r="C63" s="41"/>
      <c r="D63" s="42" t="s">
        <v>127</v>
      </c>
      <c r="E63" s="43"/>
      <c r="F63" s="44"/>
      <c r="G63" s="44"/>
      <c r="H63" s="45"/>
    </row>
    <row r="64" spans="1:8" x14ac:dyDescent="0.45">
      <c r="A64" s="257" t="s">
        <v>4008</v>
      </c>
      <c r="B64" s="33">
        <v>1503050</v>
      </c>
      <c r="C64" s="33">
        <v>3.1</v>
      </c>
      <c r="D64" s="46" t="s">
        <v>129</v>
      </c>
      <c r="E64" s="33">
        <v>12</v>
      </c>
      <c r="F64" s="23" t="s">
        <v>17</v>
      </c>
      <c r="G64" s="24"/>
      <c r="H64" s="24">
        <f>G64*E64</f>
        <v>0</v>
      </c>
    </row>
    <row r="65" spans="1:8" x14ac:dyDescent="0.45">
      <c r="A65" s="257" t="s">
        <v>4009</v>
      </c>
      <c r="B65" s="33">
        <v>1503050</v>
      </c>
      <c r="C65" s="33">
        <v>3.2</v>
      </c>
      <c r="D65" s="36" t="s">
        <v>131</v>
      </c>
      <c r="E65" s="33">
        <v>12</v>
      </c>
      <c r="F65" s="23" t="s">
        <v>17</v>
      </c>
      <c r="G65" s="24"/>
      <c r="H65" s="24">
        <f>G65*E65</f>
        <v>0</v>
      </c>
    </row>
    <row r="66" spans="1:8" x14ac:dyDescent="0.45">
      <c r="A66" s="257" t="s">
        <v>4010</v>
      </c>
      <c r="B66" s="33">
        <v>1503050</v>
      </c>
      <c r="C66" s="33">
        <v>3.3</v>
      </c>
      <c r="D66" s="36" t="s">
        <v>133</v>
      </c>
      <c r="E66" s="33">
        <v>12</v>
      </c>
      <c r="F66" s="23" t="s">
        <v>17</v>
      </c>
      <c r="G66" s="24"/>
      <c r="H66" s="24">
        <f>G66*E66</f>
        <v>0</v>
      </c>
    </row>
    <row r="67" spans="1:8" x14ac:dyDescent="0.45">
      <c r="A67" s="257" t="s">
        <v>4011</v>
      </c>
      <c r="B67" s="33">
        <v>1503050</v>
      </c>
      <c r="C67" s="33">
        <v>3.4</v>
      </c>
      <c r="D67" s="36" t="s">
        <v>135</v>
      </c>
      <c r="E67" s="33">
        <v>12</v>
      </c>
      <c r="F67" s="23" t="s">
        <v>17</v>
      </c>
      <c r="G67" s="24"/>
      <c r="H67" s="24">
        <f>G67*E67</f>
        <v>0</v>
      </c>
    </row>
    <row r="68" spans="1:8" s="389" customFormat="1" x14ac:dyDescent="0.45">
      <c r="A68" s="257" t="s">
        <v>4012</v>
      </c>
      <c r="B68" s="301">
        <v>1503050</v>
      </c>
      <c r="C68" s="301">
        <v>3.4</v>
      </c>
      <c r="D68" s="295" t="s">
        <v>5024</v>
      </c>
      <c r="E68" s="301">
        <v>12</v>
      </c>
      <c r="F68" s="286" t="s">
        <v>17</v>
      </c>
      <c r="G68" s="302"/>
      <c r="H68" s="302">
        <f>G68*E68</f>
        <v>0</v>
      </c>
    </row>
    <row r="69" spans="1:8" s="389" customFormat="1" x14ac:dyDescent="0.45">
      <c r="A69" s="257" t="s">
        <v>5268</v>
      </c>
      <c r="B69" s="33">
        <v>1503050</v>
      </c>
      <c r="C69" s="33">
        <v>3.5</v>
      </c>
      <c r="D69" s="47" t="s">
        <v>137</v>
      </c>
      <c r="E69" s="33">
        <v>12</v>
      </c>
      <c r="F69" s="23" t="s">
        <v>17</v>
      </c>
      <c r="G69" s="24"/>
      <c r="H69" s="24">
        <f>G69*E69</f>
        <v>0</v>
      </c>
    </row>
    <row r="70" spans="1:8" x14ac:dyDescent="0.45">
      <c r="A70" s="287"/>
      <c r="B70" s="41">
        <v>1503060</v>
      </c>
      <c r="C70" s="41"/>
      <c r="D70" s="42" t="s">
        <v>138</v>
      </c>
      <c r="E70" s="43"/>
      <c r="F70" s="44"/>
      <c r="G70" s="44"/>
      <c r="H70" s="45"/>
    </row>
    <row r="71" spans="1:8" x14ac:dyDescent="0.45">
      <c r="A71" s="257" t="s">
        <v>4013</v>
      </c>
      <c r="B71" s="33">
        <v>1503060</v>
      </c>
      <c r="C71" s="33">
        <v>3.1</v>
      </c>
      <c r="D71" s="36" t="s">
        <v>140</v>
      </c>
      <c r="E71" s="23">
        <v>12</v>
      </c>
      <c r="F71" s="23" t="s">
        <v>17</v>
      </c>
      <c r="G71" s="24"/>
      <c r="H71" s="24">
        <f>G71*E71</f>
        <v>0</v>
      </c>
    </row>
    <row r="72" spans="1:8" x14ac:dyDescent="0.45">
      <c r="A72" s="257" t="s">
        <v>4014</v>
      </c>
      <c r="B72" s="33">
        <v>1503060</v>
      </c>
      <c r="C72" s="33">
        <v>3.2</v>
      </c>
      <c r="D72" s="36" t="s">
        <v>142</v>
      </c>
      <c r="E72" s="23">
        <v>12</v>
      </c>
      <c r="F72" s="23" t="s">
        <v>17</v>
      </c>
      <c r="G72" s="24"/>
      <c r="H72" s="24">
        <f>G72*E72</f>
        <v>0</v>
      </c>
    </row>
    <row r="73" spans="1:8" x14ac:dyDescent="0.45">
      <c r="A73" s="287"/>
      <c r="B73" s="41">
        <v>1601000</v>
      </c>
      <c r="C73" s="41"/>
      <c r="D73" s="42" t="s">
        <v>143</v>
      </c>
      <c r="E73" s="43"/>
      <c r="F73" s="44"/>
      <c r="G73" s="44"/>
      <c r="H73" s="45"/>
    </row>
    <row r="74" spans="1:8" x14ac:dyDescent="0.45">
      <c r="A74" s="363"/>
      <c r="B74" s="26"/>
      <c r="C74" s="26">
        <v>3.1</v>
      </c>
      <c r="D74" s="27" t="s">
        <v>144</v>
      </c>
      <c r="E74" s="28"/>
      <c r="F74" s="28"/>
      <c r="G74" s="28"/>
      <c r="H74" s="28"/>
    </row>
    <row r="75" spans="1:8" x14ac:dyDescent="0.45">
      <c r="A75" s="257" t="s">
        <v>4015</v>
      </c>
      <c r="B75" s="23">
        <v>1601000</v>
      </c>
      <c r="C75" s="23" t="s">
        <v>21</v>
      </c>
      <c r="D75" s="48" t="s">
        <v>146</v>
      </c>
      <c r="E75" s="23">
        <v>12</v>
      </c>
      <c r="F75" s="23" t="s">
        <v>17</v>
      </c>
      <c r="G75" s="24"/>
      <c r="H75" s="24">
        <f>G75*E75</f>
        <v>0</v>
      </c>
    </row>
    <row r="76" spans="1:8" x14ac:dyDescent="0.45">
      <c r="A76" s="257" t="s">
        <v>4016</v>
      </c>
      <c r="B76" s="23">
        <v>1601000</v>
      </c>
      <c r="C76" s="23" t="s">
        <v>24</v>
      </c>
      <c r="D76" s="48" t="s">
        <v>148</v>
      </c>
      <c r="E76" s="23">
        <v>12</v>
      </c>
      <c r="F76" s="23" t="s">
        <v>17</v>
      </c>
      <c r="G76" s="24"/>
      <c r="H76" s="24">
        <f>G76*E76</f>
        <v>0</v>
      </c>
    </row>
    <row r="77" spans="1:8" x14ac:dyDescent="0.45">
      <c r="A77" s="257" t="s">
        <v>4017</v>
      </c>
      <c r="B77" s="23">
        <v>1601000</v>
      </c>
      <c r="C77" s="23">
        <v>3.2</v>
      </c>
      <c r="D77" s="48" t="s">
        <v>150</v>
      </c>
      <c r="E77" s="23">
        <v>12</v>
      </c>
      <c r="F77" s="23" t="s">
        <v>17</v>
      </c>
      <c r="G77" s="24"/>
      <c r="H77" s="24">
        <f>G77*E77</f>
        <v>0</v>
      </c>
    </row>
    <row r="78" spans="1:8" x14ac:dyDescent="0.45">
      <c r="A78" s="257" t="s">
        <v>4018</v>
      </c>
      <c r="B78" s="23">
        <v>1601000</v>
      </c>
      <c r="C78" s="23">
        <v>3.3</v>
      </c>
      <c r="D78" s="48" t="s">
        <v>152</v>
      </c>
      <c r="E78" s="23">
        <v>12</v>
      </c>
      <c r="F78" s="23" t="s">
        <v>17</v>
      </c>
      <c r="G78" s="24"/>
      <c r="H78" s="24">
        <f>G78*E78</f>
        <v>0</v>
      </c>
    </row>
    <row r="79" spans="1:8" x14ac:dyDescent="0.45">
      <c r="A79" s="287"/>
      <c r="B79" s="41">
        <v>1602000</v>
      </c>
      <c r="C79" s="41"/>
      <c r="D79" s="42" t="s">
        <v>153</v>
      </c>
      <c r="E79" s="43"/>
      <c r="F79" s="44" t="s">
        <v>154</v>
      </c>
      <c r="G79" s="44"/>
      <c r="H79" s="45"/>
    </row>
    <row r="80" spans="1:8" x14ac:dyDescent="0.45">
      <c r="A80" s="363"/>
      <c r="B80" s="26"/>
      <c r="C80" s="26">
        <v>3.1</v>
      </c>
      <c r="D80" s="27" t="s">
        <v>31</v>
      </c>
      <c r="E80" s="28"/>
      <c r="F80" s="28"/>
      <c r="G80" s="28"/>
      <c r="H80" s="28"/>
    </row>
    <row r="81" spans="1:8" x14ac:dyDescent="0.45">
      <c r="A81" s="257" t="s">
        <v>4019</v>
      </c>
      <c r="B81" s="23">
        <v>1602000</v>
      </c>
      <c r="C81" s="23" t="s">
        <v>21</v>
      </c>
      <c r="D81" s="48" t="s">
        <v>156</v>
      </c>
      <c r="E81" s="23">
        <v>12</v>
      </c>
      <c r="F81" s="23" t="s">
        <v>17</v>
      </c>
      <c r="G81" s="24"/>
      <c r="H81" s="24">
        <f>G81*E81</f>
        <v>0</v>
      </c>
    </row>
    <row r="82" spans="1:8" x14ac:dyDescent="0.45">
      <c r="A82" s="363"/>
      <c r="B82" s="49"/>
      <c r="C82" s="26">
        <v>3.2</v>
      </c>
      <c r="D82" s="28" t="s">
        <v>75</v>
      </c>
      <c r="E82" s="28"/>
      <c r="F82" s="28"/>
      <c r="G82" s="28"/>
      <c r="H82" s="28"/>
    </row>
    <row r="83" spans="1:8" x14ac:dyDescent="0.45">
      <c r="A83" s="257" t="s">
        <v>4020</v>
      </c>
      <c r="B83" s="23">
        <v>1602000</v>
      </c>
      <c r="C83" s="23" t="s">
        <v>158</v>
      </c>
      <c r="D83" s="48" t="s">
        <v>159</v>
      </c>
      <c r="E83" s="23">
        <v>12</v>
      </c>
      <c r="F83" s="23" t="s">
        <v>17</v>
      </c>
      <c r="G83" s="24"/>
      <c r="H83" s="24">
        <f>G83*E83</f>
        <v>0</v>
      </c>
    </row>
    <row r="84" spans="1:8" x14ac:dyDescent="0.45">
      <c r="A84" s="287"/>
      <c r="B84" s="41">
        <v>1603000</v>
      </c>
      <c r="C84" s="41"/>
      <c r="D84" s="42" t="s">
        <v>160</v>
      </c>
      <c r="E84" s="50"/>
      <c r="F84" s="50"/>
      <c r="G84" s="44"/>
      <c r="H84" s="51"/>
    </row>
    <row r="85" spans="1:8" x14ac:dyDescent="0.45">
      <c r="A85" s="257" t="s">
        <v>4021</v>
      </c>
      <c r="B85" s="23">
        <v>1603000</v>
      </c>
      <c r="C85" s="23">
        <v>3.1</v>
      </c>
      <c r="D85" s="48" t="s">
        <v>62</v>
      </c>
      <c r="E85" s="23">
        <v>12</v>
      </c>
      <c r="F85" s="23" t="s">
        <v>17</v>
      </c>
      <c r="G85" s="24"/>
      <c r="H85" s="24">
        <f>G85*E85</f>
        <v>0</v>
      </c>
    </row>
    <row r="86" spans="1:8" x14ac:dyDescent="0.45">
      <c r="A86" s="287"/>
      <c r="B86" s="41">
        <v>1604000</v>
      </c>
      <c r="C86" s="41"/>
      <c r="D86" s="42" t="s">
        <v>162</v>
      </c>
      <c r="E86" s="50"/>
      <c r="F86" s="50"/>
      <c r="G86" s="44"/>
      <c r="H86" s="51"/>
    </row>
    <row r="87" spans="1:8" x14ac:dyDescent="0.45">
      <c r="A87" s="257" t="s">
        <v>4022</v>
      </c>
      <c r="B87" s="23">
        <v>1604000</v>
      </c>
      <c r="C87" s="23">
        <v>3.1</v>
      </c>
      <c r="D87" s="30" t="s">
        <v>31</v>
      </c>
      <c r="E87" s="52">
        <v>12</v>
      </c>
      <c r="F87" s="52" t="s">
        <v>17</v>
      </c>
      <c r="G87" s="24"/>
      <c r="H87" s="24">
        <f>G87*E87</f>
        <v>0</v>
      </c>
    </row>
    <row r="88" spans="1:8" x14ac:dyDescent="0.45">
      <c r="A88" s="257" t="s">
        <v>4023</v>
      </c>
      <c r="B88" s="23">
        <v>1604000</v>
      </c>
      <c r="C88" s="23">
        <v>3.2</v>
      </c>
      <c r="D88" s="30" t="s">
        <v>165</v>
      </c>
      <c r="E88" s="52">
        <v>12</v>
      </c>
      <c r="F88" s="52" t="s">
        <v>17</v>
      </c>
      <c r="G88" s="24"/>
      <c r="H88" s="24">
        <f>G88*E88</f>
        <v>0</v>
      </c>
    </row>
    <row r="89" spans="1:8" x14ac:dyDescent="0.45">
      <c r="A89" s="287"/>
      <c r="B89" s="41">
        <v>1606001</v>
      </c>
      <c r="C89" s="41"/>
      <c r="D89" s="54" t="s">
        <v>166</v>
      </c>
      <c r="E89" s="55"/>
      <c r="F89" s="55"/>
      <c r="G89" s="44"/>
      <c r="H89" s="51"/>
    </row>
    <row r="90" spans="1:8" x14ac:dyDescent="0.45">
      <c r="A90" s="257" t="s">
        <v>4024</v>
      </c>
      <c r="B90" s="23">
        <v>1606001</v>
      </c>
      <c r="C90" s="23">
        <v>3.1</v>
      </c>
      <c r="D90" s="56" t="s">
        <v>31</v>
      </c>
      <c r="E90" s="23">
        <v>12</v>
      </c>
      <c r="F90" s="23" t="s">
        <v>17</v>
      </c>
      <c r="G90" s="24"/>
      <c r="H90" s="24">
        <f>G90*E90</f>
        <v>0</v>
      </c>
    </row>
    <row r="91" spans="1:8" x14ac:dyDescent="0.45">
      <c r="A91" s="257" t="s">
        <v>4025</v>
      </c>
      <c r="B91" s="23">
        <v>1606001</v>
      </c>
      <c r="C91" s="23">
        <v>3.2</v>
      </c>
      <c r="D91" s="56" t="s">
        <v>169</v>
      </c>
      <c r="E91" s="23">
        <v>12</v>
      </c>
      <c r="F91" s="23" t="s">
        <v>17</v>
      </c>
      <c r="G91" s="24"/>
      <c r="H91" s="24">
        <f>G91*E91</f>
        <v>0</v>
      </c>
    </row>
    <row r="92" spans="1:8" x14ac:dyDescent="0.45">
      <c r="A92" s="257" t="s">
        <v>4026</v>
      </c>
      <c r="B92" s="23">
        <v>1606001</v>
      </c>
      <c r="C92" s="23">
        <v>3.3</v>
      </c>
      <c r="D92" s="56" t="s">
        <v>170</v>
      </c>
      <c r="E92" s="23">
        <v>12</v>
      </c>
      <c r="F92" s="23" t="s">
        <v>17</v>
      </c>
      <c r="G92" s="24"/>
      <c r="H92" s="24">
        <f>G92*E92</f>
        <v>0</v>
      </c>
    </row>
    <row r="93" spans="1:8" x14ac:dyDescent="0.45">
      <c r="A93" s="287"/>
      <c r="B93" s="41">
        <v>1700000</v>
      </c>
      <c r="C93" s="41"/>
      <c r="D93" s="42" t="s">
        <v>171</v>
      </c>
      <c r="E93" s="50"/>
      <c r="F93" s="50"/>
      <c r="G93" s="44"/>
      <c r="H93" s="51"/>
    </row>
    <row r="94" spans="1:8" x14ac:dyDescent="0.45">
      <c r="A94" s="257" t="s">
        <v>4027</v>
      </c>
      <c r="B94" s="23">
        <v>1700000</v>
      </c>
      <c r="C94" s="23">
        <v>3.1</v>
      </c>
      <c r="D94" s="30" t="s">
        <v>173</v>
      </c>
      <c r="E94" s="23">
        <v>12</v>
      </c>
      <c r="F94" s="23" t="s">
        <v>17</v>
      </c>
      <c r="G94" s="24"/>
      <c r="H94" s="24">
        <f>G94*E94</f>
        <v>0</v>
      </c>
    </row>
    <row r="95" spans="1:8" x14ac:dyDescent="0.45">
      <c r="A95" s="287"/>
      <c r="B95" s="41">
        <v>1800000</v>
      </c>
      <c r="C95" s="41"/>
      <c r="D95" s="42" t="s">
        <v>174</v>
      </c>
      <c r="E95" s="43"/>
      <c r="F95" s="44"/>
      <c r="G95" s="44"/>
      <c r="H95" s="45"/>
    </row>
    <row r="96" spans="1:8" ht="25.2" x14ac:dyDescent="0.45">
      <c r="A96" s="257" t="s">
        <v>5334</v>
      </c>
      <c r="B96" s="23">
        <v>1800000</v>
      </c>
      <c r="C96" s="23">
        <v>3.1</v>
      </c>
      <c r="D96" s="57" t="s">
        <v>176</v>
      </c>
      <c r="E96" s="23">
        <v>12</v>
      </c>
      <c r="F96" s="23" t="s">
        <v>17</v>
      </c>
      <c r="G96" s="24"/>
      <c r="H96" s="24">
        <f>G96*E96</f>
        <v>0</v>
      </c>
    </row>
    <row r="97" spans="1:8" x14ac:dyDescent="0.45">
      <c r="A97" s="58"/>
      <c r="B97" s="59"/>
      <c r="C97" s="59"/>
      <c r="D97" s="60" t="s">
        <v>177</v>
      </c>
      <c r="E97" s="59"/>
      <c r="F97" s="59"/>
      <c r="G97" s="59"/>
      <c r="H97" s="62">
        <f>SUM(H15:H96)</f>
        <v>0</v>
      </c>
    </row>
    <row r="98" spans="1:8" hidden="1" x14ac:dyDescent="0.45">
      <c r="A98" s="63"/>
      <c r="B98" s="64"/>
      <c r="C98" s="64"/>
      <c r="D98" s="65"/>
      <c r="E98" s="64"/>
      <c r="F98" s="64"/>
      <c r="G98" s="64"/>
      <c r="H98" s="66"/>
    </row>
    <row r="99" spans="1:8" s="70" customFormat="1" ht="13.5" hidden="1" customHeight="1" x14ac:dyDescent="0.45">
      <c r="A99" s="67"/>
      <c r="B99" s="68"/>
      <c r="C99" s="68"/>
      <c r="D99" s="69"/>
      <c r="E99" s="69"/>
      <c r="F99" s="69"/>
      <c r="G99" s="69"/>
      <c r="H99" s="69"/>
    </row>
    <row r="100" spans="1:8" s="70" customFormat="1" ht="12.3" hidden="1" x14ac:dyDescent="0.45">
      <c r="A100" s="71"/>
      <c r="B100" s="72"/>
      <c r="C100" s="72"/>
      <c r="D100" s="73" t="s">
        <v>178</v>
      </c>
      <c r="E100" s="74"/>
      <c r="F100" s="74"/>
      <c r="G100" s="74"/>
      <c r="H100" s="75"/>
    </row>
    <row r="101" spans="1:8" s="70" customFormat="1" ht="12.3" hidden="1" x14ac:dyDescent="0.45">
      <c r="A101" s="76"/>
      <c r="B101" s="77"/>
      <c r="C101" s="77"/>
      <c r="D101" s="78" t="s">
        <v>179</v>
      </c>
      <c r="E101" s="79">
        <v>12</v>
      </c>
      <c r="F101" s="79" t="s">
        <v>17</v>
      </c>
      <c r="G101" s="79"/>
      <c r="H101" s="80">
        <f>G101*E101</f>
        <v>0</v>
      </c>
    </row>
    <row r="102" spans="1:8" s="70" customFormat="1" ht="12.3" hidden="1" x14ac:dyDescent="0.45">
      <c r="A102" s="71"/>
      <c r="B102" s="72"/>
      <c r="C102" s="72"/>
      <c r="D102" s="73" t="s">
        <v>180</v>
      </c>
      <c r="E102" s="72"/>
      <c r="F102" s="81"/>
      <c r="G102" s="81"/>
      <c r="H102" s="82"/>
    </row>
    <row r="103" spans="1:8" s="70" customFormat="1" ht="12.3" hidden="1" x14ac:dyDescent="0.45">
      <c r="A103" s="83"/>
      <c r="B103" s="84"/>
      <c r="C103" s="84"/>
      <c r="D103" s="85" t="s">
        <v>181</v>
      </c>
      <c r="E103" s="84"/>
      <c r="F103" s="84"/>
      <c r="G103" s="84"/>
      <c r="H103" s="86">
        <f>SUM(H100:H102)</f>
        <v>0</v>
      </c>
    </row>
    <row r="104" spans="1:8" x14ac:dyDescent="0.45">
      <c r="A104" s="87"/>
      <c r="B104" s="88"/>
      <c r="C104" s="88"/>
      <c r="D104" s="89"/>
      <c r="E104" s="64"/>
      <c r="F104" s="64"/>
      <c r="G104" s="64"/>
      <c r="H104" s="66"/>
    </row>
    <row r="105" spans="1:8" x14ac:dyDescent="0.45">
      <c r="A105" s="12" t="s">
        <v>4028</v>
      </c>
      <c r="B105" s="90"/>
      <c r="C105" s="13"/>
      <c r="D105" s="12" t="s">
        <v>183</v>
      </c>
      <c r="E105" s="91"/>
      <c r="F105" s="91"/>
      <c r="G105" s="91"/>
      <c r="H105" s="91"/>
    </row>
    <row r="106" spans="1:8" x14ac:dyDescent="0.4">
      <c r="A106" s="40"/>
      <c r="B106" s="222">
        <v>1502000</v>
      </c>
      <c r="C106" s="18"/>
      <c r="D106" s="223" t="s">
        <v>18</v>
      </c>
      <c r="E106" s="50"/>
      <c r="F106" s="50"/>
      <c r="G106" s="50"/>
      <c r="H106" s="51"/>
    </row>
    <row r="107" spans="1:8" x14ac:dyDescent="0.45">
      <c r="A107" s="25"/>
      <c r="B107" s="26"/>
      <c r="C107" s="26">
        <v>3.1</v>
      </c>
      <c r="D107" s="27" t="s">
        <v>19</v>
      </c>
      <c r="E107" s="28"/>
      <c r="F107" s="28"/>
      <c r="G107" s="28"/>
      <c r="H107" s="28"/>
    </row>
    <row r="108" spans="1:8" x14ac:dyDescent="0.45">
      <c r="A108" s="22" t="s">
        <v>4029</v>
      </c>
      <c r="B108" s="23">
        <v>1502000</v>
      </c>
      <c r="C108" s="23" t="s">
        <v>21</v>
      </c>
      <c r="D108" s="29" t="s">
        <v>22</v>
      </c>
      <c r="E108" s="23">
        <v>12</v>
      </c>
      <c r="F108" s="23" t="s">
        <v>17</v>
      </c>
      <c r="G108" s="24"/>
      <c r="H108" s="24">
        <f>G108*E108</f>
        <v>0</v>
      </c>
    </row>
    <row r="109" spans="1:8" x14ac:dyDescent="0.45">
      <c r="A109" s="22" t="s">
        <v>4030</v>
      </c>
      <c r="B109" s="23">
        <v>1502000</v>
      </c>
      <c r="C109" s="23" t="s">
        <v>24</v>
      </c>
      <c r="D109" s="29" t="s">
        <v>25</v>
      </c>
      <c r="E109" s="23">
        <v>12</v>
      </c>
      <c r="F109" s="23" t="s">
        <v>17</v>
      </c>
      <c r="G109" s="24"/>
      <c r="H109" s="24">
        <f>G109*E109</f>
        <v>0</v>
      </c>
    </row>
    <row r="110" spans="1:8" x14ac:dyDescent="0.45">
      <c r="A110" s="22" t="s">
        <v>4031</v>
      </c>
      <c r="B110" s="23">
        <v>1502000</v>
      </c>
      <c r="C110" s="23" t="s">
        <v>27</v>
      </c>
      <c r="D110" s="29" t="s">
        <v>28</v>
      </c>
      <c r="E110" s="23">
        <v>12</v>
      </c>
      <c r="F110" s="23" t="s">
        <v>17</v>
      </c>
      <c r="G110" s="24"/>
      <c r="H110" s="24">
        <f>G110*E110</f>
        <v>0</v>
      </c>
    </row>
    <row r="111" spans="1:8" x14ac:dyDescent="0.45">
      <c r="A111" s="25"/>
      <c r="B111" s="26"/>
      <c r="C111" s="26">
        <v>3.4</v>
      </c>
      <c r="D111" s="27" t="s">
        <v>62</v>
      </c>
      <c r="E111" s="28"/>
      <c r="F111" s="28"/>
      <c r="G111" s="28"/>
      <c r="H111" s="28"/>
    </row>
    <row r="112" spans="1:8" x14ac:dyDescent="0.45">
      <c r="A112" s="22" t="s">
        <v>4032</v>
      </c>
      <c r="B112" s="23">
        <v>1502000</v>
      </c>
      <c r="C112" s="23" t="s">
        <v>67</v>
      </c>
      <c r="D112" s="35" t="s">
        <v>68</v>
      </c>
      <c r="E112" s="23">
        <v>12</v>
      </c>
      <c r="F112" s="23" t="s">
        <v>17</v>
      </c>
      <c r="G112" s="24"/>
      <c r="H112" s="24">
        <f>G112*E112</f>
        <v>0</v>
      </c>
    </row>
    <row r="113" spans="1:8" x14ac:dyDescent="0.45">
      <c r="A113" s="25"/>
      <c r="B113" s="37"/>
      <c r="C113" s="37">
        <v>3.6</v>
      </c>
      <c r="D113" s="38" t="s">
        <v>75</v>
      </c>
      <c r="E113" s="28"/>
      <c r="F113" s="28"/>
      <c r="G113" s="28"/>
      <c r="H113" s="28"/>
    </row>
    <row r="114" spans="1:8" s="263" customFormat="1" x14ac:dyDescent="0.45">
      <c r="A114" s="258" t="s">
        <v>4033</v>
      </c>
      <c r="B114" s="261">
        <v>1502000</v>
      </c>
      <c r="C114" s="259" t="s">
        <v>77</v>
      </c>
      <c r="D114" s="275" t="s">
        <v>78</v>
      </c>
      <c r="E114" s="261">
        <v>12</v>
      </c>
      <c r="F114" s="261" t="s">
        <v>17</v>
      </c>
      <c r="G114" s="262"/>
      <c r="H114" s="262">
        <f>G114*E114</f>
        <v>0</v>
      </c>
    </row>
    <row r="115" spans="1:8" s="389" customFormat="1" x14ac:dyDescent="0.45">
      <c r="A115" s="22" t="s">
        <v>4034</v>
      </c>
      <c r="B115" s="23">
        <v>1502000</v>
      </c>
      <c r="C115" s="33" t="s">
        <v>95</v>
      </c>
      <c r="D115" s="39" t="s">
        <v>96</v>
      </c>
      <c r="E115" s="23">
        <v>12</v>
      </c>
      <c r="F115" s="23" t="s">
        <v>17</v>
      </c>
      <c r="G115" s="24"/>
      <c r="H115" s="24">
        <f>G115*E115</f>
        <v>0</v>
      </c>
    </row>
    <row r="116" spans="1:8" s="263" customFormat="1" x14ac:dyDescent="0.45">
      <c r="A116" s="258" t="s">
        <v>4035</v>
      </c>
      <c r="B116" s="261">
        <v>1502000</v>
      </c>
      <c r="C116" s="259" t="s">
        <v>101</v>
      </c>
      <c r="D116" s="275" t="s">
        <v>102</v>
      </c>
      <c r="E116" s="261">
        <v>12</v>
      </c>
      <c r="F116" s="261" t="s">
        <v>17</v>
      </c>
      <c r="G116" s="262"/>
      <c r="H116" s="262">
        <f>G116*E116</f>
        <v>0</v>
      </c>
    </row>
    <row r="117" spans="1:8" x14ac:dyDescent="0.45">
      <c r="A117" s="40"/>
      <c r="B117" s="41">
        <v>1503010</v>
      </c>
      <c r="C117" s="41"/>
      <c r="D117" s="42" t="s">
        <v>109</v>
      </c>
      <c r="E117" s="43"/>
      <c r="F117" s="44"/>
      <c r="G117" s="44"/>
      <c r="H117" s="45"/>
    </row>
    <row r="118" spans="1:8" x14ac:dyDescent="0.45">
      <c r="A118" s="22" t="s">
        <v>4036</v>
      </c>
      <c r="B118" s="33">
        <v>1503010</v>
      </c>
      <c r="C118" s="33">
        <v>3.1</v>
      </c>
      <c r="D118" s="36" t="s">
        <v>111</v>
      </c>
      <c r="E118" s="23">
        <v>12</v>
      </c>
      <c r="F118" s="23" t="s">
        <v>17</v>
      </c>
      <c r="G118" s="24"/>
      <c r="H118" s="24">
        <f>G118*E118</f>
        <v>0</v>
      </c>
    </row>
    <row r="119" spans="1:8" x14ac:dyDescent="0.45">
      <c r="A119" s="40"/>
      <c r="B119" s="92">
        <v>1503020</v>
      </c>
      <c r="C119" s="92"/>
      <c r="D119" s="93" t="s">
        <v>114</v>
      </c>
      <c r="E119" s="50"/>
      <c r="F119" s="50"/>
      <c r="G119" s="44"/>
      <c r="H119" s="51"/>
    </row>
    <row r="120" spans="1:8" x14ac:dyDescent="0.45">
      <c r="A120" s="22" t="s">
        <v>4037</v>
      </c>
      <c r="B120" s="33">
        <v>1503020</v>
      </c>
      <c r="C120" s="33">
        <v>3.1</v>
      </c>
      <c r="D120" s="36" t="s">
        <v>116</v>
      </c>
      <c r="E120" s="23">
        <v>12</v>
      </c>
      <c r="F120" s="23" t="s">
        <v>17</v>
      </c>
      <c r="G120" s="24"/>
      <c r="H120" s="24">
        <f>G120*E120</f>
        <v>0</v>
      </c>
    </row>
    <row r="121" spans="1:8" x14ac:dyDescent="0.45">
      <c r="A121" s="22" t="s">
        <v>4038</v>
      </c>
      <c r="B121" s="33">
        <v>1503020</v>
      </c>
      <c r="C121" s="33">
        <v>3.3</v>
      </c>
      <c r="D121" s="36" t="s">
        <v>120</v>
      </c>
      <c r="E121" s="23">
        <v>12</v>
      </c>
      <c r="F121" s="23" t="s">
        <v>17</v>
      </c>
      <c r="G121" s="24"/>
      <c r="H121" s="24">
        <f>G121*E121</f>
        <v>0</v>
      </c>
    </row>
    <row r="122" spans="1:8" x14ac:dyDescent="0.45">
      <c r="A122" s="58"/>
      <c r="B122" s="59"/>
      <c r="C122" s="59"/>
      <c r="D122" s="60" t="s">
        <v>190</v>
      </c>
      <c r="E122" s="59"/>
      <c r="F122" s="59"/>
      <c r="G122" s="59"/>
      <c r="H122" s="62">
        <f>SUM(H108:H121)</f>
        <v>0</v>
      </c>
    </row>
    <row r="123" spans="1:8" x14ac:dyDescent="0.45">
      <c r="A123" s="87"/>
      <c r="B123" s="88"/>
      <c r="C123" s="88"/>
      <c r="D123" s="89"/>
      <c r="E123" s="88"/>
      <c r="F123" s="88"/>
      <c r="G123" s="88"/>
      <c r="H123" s="94"/>
    </row>
    <row r="124" spans="1:8" x14ac:dyDescent="0.45">
      <c r="A124" s="12" t="s">
        <v>4039</v>
      </c>
      <c r="B124" s="13"/>
      <c r="C124" s="13"/>
      <c r="D124" s="12" t="s">
        <v>192</v>
      </c>
      <c r="E124" s="91"/>
      <c r="F124" s="91"/>
      <c r="G124" s="91"/>
      <c r="H124" s="91"/>
    </row>
    <row r="125" spans="1:8" x14ac:dyDescent="0.4">
      <c r="A125" s="40"/>
      <c r="B125" s="222">
        <v>1502000</v>
      </c>
      <c r="C125" s="18"/>
      <c r="D125" s="223" t="s">
        <v>18</v>
      </c>
      <c r="E125" s="43"/>
      <c r="F125" s="44"/>
      <c r="G125" s="43"/>
      <c r="H125" s="45"/>
    </row>
    <row r="126" spans="1:8" x14ac:dyDescent="0.45">
      <c r="A126" s="25"/>
      <c r="B126" s="26"/>
      <c r="C126" s="26">
        <v>3.4</v>
      </c>
      <c r="D126" s="27" t="s">
        <v>62</v>
      </c>
      <c r="E126" s="28"/>
      <c r="F126" s="28"/>
      <c r="G126" s="28"/>
      <c r="H126" s="28"/>
    </row>
    <row r="127" spans="1:8" x14ac:dyDescent="0.45">
      <c r="A127" s="22" t="s">
        <v>4040</v>
      </c>
      <c r="B127" s="23">
        <v>1502000</v>
      </c>
      <c r="C127" s="23" t="s">
        <v>67</v>
      </c>
      <c r="D127" s="35" t="s">
        <v>68</v>
      </c>
      <c r="E127" s="23">
        <v>12</v>
      </c>
      <c r="F127" s="23" t="s">
        <v>17</v>
      </c>
      <c r="G127" s="24"/>
      <c r="H127" s="24">
        <f>G127*E127</f>
        <v>0</v>
      </c>
    </row>
    <row r="128" spans="1:8" s="263" customFormat="1" x14ac:dyDescent="0.45">
      <c r="A128" s="265"/>
      <c r="B128" s="376"/>
      <c r="C128" s="376">
        <v>3.6</v>
      </c>
      <c r="D128" s="377" t="s">
        <v>75</v>
      </c>
      <c r="E128" s="268"/>
      <c r="F128" s="268"/>
      <c r="G128" s="268"/>
      <c r="H128" s="268"/>
    </row>
    <row r="129" spans="1:8" s="263" customFormat="1" x14ac:dyDescent="0.45">
      <c r="A129" s="258" t="s">
        <v>4041</v>
      </c>
      <c r="B129" s="261">
        <v>1502000</v>
      </c>
      <c r="C129" s="259" t="s">
        <v>77</v>
      </c>
      <c r="D129" s="275" t="s">
        <v>78</v>
      </c>
      <c r="E129" s="261">
        <v>12</v>
      </c>
      <c r="F129" s="261" t="s">
        <v>17</v>
      </c>
      <c r="G129" s="262"/>
      <c r="H129" s="262">
        <f>G129*E129</f>
        <v>0</v>
      </c>
    </row>
    <row r="130" spans="1:8" x14ac:dyDescent="0.45">
      <c r="A130" s="40"/>
      <c r="B130" s="92">
        <v>1503020</v>
      </c>
      <c r="C130" s="92"/>
      <c r="D130" s="93" t="s">
        <v>114</v>
      </c>
      <c r="E130" s="50"/>
      <c r="F130" s="50"/>
      <c r="G130" s="44"/>
      <c r="H130" s="51"/>
    </row>
    <row r="131" spans="1:8" x14ac:dyDescent="0.45">
      <c r="A131" s="22" t="s">
        <v>4042</v>
      </c>
      <c r="B131" s="33">
        <v>1503020</v>
      </c>
      <c r="C131" s="33">
        <v>3.1</v>
      </c>
      <c r="D131" s="36" t="s">
        <v>116</v>
      </c>
      <c r="E131" s="23">
        <v>12</v>
      </c>
      <c r="F131" s="23" t="s">
        <v>17</v>
      </c>
      <c r="G131" s="24"/>
      <c r="H131" s="24">
        <f>G131*E131</f>
        <v>0</v>
      </c>
    </row>
    <row r="132" spans="1:8" x14ac:dyDescent="0.45">
      <c r="A132" s="22" t="s">
        <v>4043</v>
      </c>
      <c r="B132" s="33">
        <v>1503020</v>
      </c>
      <c r="C132" s="33">
        <v>3.2</v>
      </c>
      <c r="D132" s="36" t="s">
        <v>118</v>
      </c>
      <c r="E132" s="23">
        <v>12</v>
      </c>
      <c r="F132" s="23" t="s">
        <v>17</v>
      </c>
      <c r="G132" s="24"/>
      <c r="H132" s="24">
        <f>G132*E132</f>
        <v>0</v>
      </c>
    </row>
    <row r="133" spans="1:8" x14ac:dyDescent="0.45">
      <c r="A133" s="22" t="s">
        <v>4044</v>
      </c>
      <c r="B133" s="33">
        <v>1503020</v>
      </c>
      <c r="C133" s="33">
        <v>3.3</v>
      </c>
      <c r="D133" s="36" t="s">
        <v>120</v>
      </c>
      <c r="E133" s="23">
        <v>12</v>
      </c>
      <c r="F133" s="23" t="s">
        <v>17</v>
      </c>
      <c r="G133" s="24"/>
      <c r="H133" s="24">
        <f>G133*E133</f>
        <v>0</v>
      </c>
    </row>
    <row r="134" spans="1:8" x14ac:dyDescent="0.45">
      <c r="A134" s="40"/>
      <c r="B134" s="43">
        <v>1503030</v>
      </c>
      <c r="C134" s="41"/>
      <c r="D134" s="42" t="s">
        <v>121</v>
      </c>
      <c r="E134" s="95"/>
      <c r="F134" s="95"/>
      <c r="G134" s="44"/>
      <c r="H134" s="95"/>
    </row>
    <row r="135" spans="1:8" x14ac:dyDescent="0.45">
      <c r="A135" s="22" t="s">
        <v>4045</v>
      </c>
      <c r="B135" s="33">
        <v>1503030</v>
      </c>
      <c r="C135" s="33" t="s">
        <v>123</v>
      </c>
      <c r="D135" s="36" t="s">
        <v>124</v>
      </c>
      <c r="E135" s="23">
        <v>12</v>
      </c>
      <c r="F135" s="23" t="s">
        <v>17</v>
      </c>
      <c r="G135" s="24"/>
      <c r="H135" s="24">
        <f>G135*E135</f>
        <v>0</v>
      </c>
    </row>
    <row r="136" spans="1:8" x14ac:dyDescent="0.45">
      <c r="A136" s="58"/>
      <c r="B136" s="59"/>
      <c r="C136" s="59"/>
      <c r="D136" s="60" t="s">
        <v>195</v>
      </c>
      <c r="E136" s="59"/>
      <c r="F136" s="59"/>
      <c r="G136" s="59"/>
      <c r="H136" s="62">
        <f>SUM(H127:H135)</f>
        <v>0</v>
      </c>
    </row>
    <row r="137" spans="1:8" x14ac:dyDescent="0.45">
      <c r="A137" s="87"/>
      <c r="B137" s="88"/>
      <c r="C137" s="88"/>
      <c r="D137" s="65"/>
      <c r="E137" s="64"/>
      <c r="F137" s="64"/>
      <c r="G137" s="97"/>
      <c r="H137" s="66"/>
    </row>
    <row r="138" spans="1:8" x14ac:dyDescent="0.45">
      <c r="A138" s="12" t="s">
        <v>4046</v>
      </c>
      <c r="B138" s="13"/>
      <c r="C138" s="13"/>
      <c r="D138" s="12" t="s">
        <v>197</v>
      </c>
      <c r="E138" s="91"/>
      <c r="F138" s="91"/>
      <c r="G138" s="101"/>
      <c r="H138" s="91"/>
    </row>
    <row r="139" spans="1:8" x14ac:dyDescent="0.45">
      <c r="A139" s="40"/>
      <c r="B139" s="41">
        <v>1503010</v>
      </c>
      <c r="C139" s="41"/>
      <c r="D139" s="42" t="s">
        <v>109</v>
      </c>
      <c r="E139" s="43"/>
      <c r="F139" s="44"/>
      <c r="G139" s="44"/>
      <c r="H139" s="45"/>
    </row>
    <row r="140" spans="1:8" x14ac:dyDescent="0.45">
      <c r="A140" s="22" t="s">
        <v>4047</v>
      </c>
      <c r="B140" s="33">
        <v>1503010</v>
      </c>
      <c r="C140" s="33">
        <v>3.1</v>
      </c>
      <c r="D140" s="36" t="s">
        <v>111</v>
      </c>
      <c r="E140" s="23">
        <v>12</v>
      </c>
      <c r="F140" s="23" t="s">
        <v>17</v>
      </c>
      <c r="G140" s="24"/>
      <c r="H140" s="24">
        <f>G140*E140</f>
        <v>0</v>
      </c>
    </row>
    <row r="141" spans="1:8" x14ac:dyDescent="0.45">
      <c r="A141" s="40"/>
      <c r="B141" s="43">
        <v>1503030</v>
      </c>
      <c r="C141" s="41"/>
      <c r="D141" s="42" t="s">
        <v>121</v>
      </c>
      <c r="E141" s="50"/>
      <c r="F141" s="50"/>
      <c r="G141" s="44"/>
      <c r="H141" s="51"/>
    </row>
    <row r="142" spans="1:8" x14ac:dyDescent="0.45">
      <c r="A142" s="22" t="s">
        <v>4048</v>
      </c>
      <c r="B142" s="33">
        <v>1503030</v>
      </c>
      <c r="C142" s="33" t="s">
        <v>123</v>
      </c>
      <c r="D142" s="36" t="s">
        <v>124</v>
      </c>
      <c r="E142" s="23">
        <v>12</v>
      </c>
      <c r="F142" s="23" t="s">
        <v>17</v>
      </c>
      <c r="G142" s="24"/>
      <c r="H142" s="24">
        <f>G142*E142</f>
        <v>0</v>
      </c>
    </row>
    <row r="143" spans="1:8" x14ac:dyDescent="0.45">
      <c r="A143" s="58"/>
      <c r="B143" s="59"/>
      <c r="C143" s="59"/>
      <c r="D143" s="60" t="s">
        <v>200</v>
      </c>
      <c r="E143" s="59"/>
      <c r="F143" s="59"/>
      <c r="G143" s="59"/>
      <c r="H143" s="62">
        <f>SUM(H140:H142)</f>
        <v>0</v>
      </c>
    </row>
    <row r="144" spans="1:8" x14ac:dyDescent="0.45">
      <c r="A144" s="96"/>
      <c r="B144" s="97"/>
      <c r="C144" s="97"/>
      <c r="D144" s="98"/>
      <c r="E144" s="97"/>
      <c r="F144" s="97"/>
      <c r="G144" s="97"/>
      <c r="H144" s="99"/>
    </row>
    <row r="145" spans="1:8" x14ac:dyDescent="0.45">
      <c r="A145" s="12" t="s">
        <v>4049</v>
      </c>
      <c r="B145" s="13"/>
      <c r="C145" s="13"/>
      <c r="D145" s="12" t="s">
        <v>202</v>
      </c>
      <c r="E145" s="100"/>
      <c r="F145" s="101"/>
      <c r="G145" s="101"/>
      <c r="H145" s="102"/>
    </row>
    <row r="146" spans="1:8" x14ac:dyDescent="0.45">
      <c r="A146" s="40"/>
      <c r="B146" s="41">
        <v>1503010</v>
      </c>
      <c r="C146" s="41"/>
      <c r="D146" s="42" t="s">
        <v>109</v>
      </c>
      <c r="E146" s="43"/>
      <c r="F146" s="44"/>
      <c r="G146" s="44"/>
      <c r="H146" s="45"/>
    </row>
    <row r="147" spans="1:8" x14ac:dyDescent="0.45">
      <c r="A147" s="22" t="s">
        <v>4050</v>
      </c>
      <c r="B147" s="33">
        <v>1503010</v>
      </c>
      <c r="C147" s="33">
        <v>3.1</v>
      </c>
      <c r="D147" s="36" t="s">
        <v>111</v>
      </c>
      <c r="E147" s="23">
        <v>12</v>
      </c>
      <c r="F147" s="23" t="s">
        <v>17</v>
      </c>
      <c r="G147" s="24"/>
      <c r="H147" s="24">
        <f>G147*E147</f>
        <v>0</v>
      </c>
    </row>
    <row r="148" spans="1:8" x14ac:dyDescent="0.45">
      <c r="A148" s="40"/>
      <c r="B148" s="43">
        <v>1503030</v>
      </c>
      <c r="C148" s="41"/>
      <c r="D148" s="42" t="s">
        <v>121</v>
      </c>
      <c r="E148" s="43"/>
      <c r="F148" s="44"/>
      <c r="G148" s="44"/>
      <c r="H148" s="45"/>
    </row>
    <row r="149" spans="1:8" x14ac:dyDescent="0.45">
      <c r="A149" s="22" t="s">
        <v>4051</v>
      </c>
      <c r="B149" s="33">
        <v>1503030</v>
      </c>
      <c r="C149" s="33" t="s">
        <v>123</v>
      </c>
      <c r="D149" s="36" t="s">
        <v>124</v>
      </c>
      <c r="E149" s="23">
        <v>12</v>
      </c>
      <c r="F149" s="23" t="s">
        <v>17</v>
      </c>
      <c r="G149" s="24"/>
      <c r="H149" s="24">
        <f>G149*E149</f>
        <v>0</v>
      </c>
    </row>
    <row r="150" spans="1:8" x14ac:dyDescent="0.45">
      <c r="A150" s="58"/>
      <c r="B150" s="59"/>
      <c r="C150" s="59"/>
      <c r="D150" s="60" t="s">
        <v>205</v>
      </c>
      <c r="E150" s="59"/>
      <c r="F150" s="59"/>
      <c r="G150" s="59"/>
      <c r="H150" s="62">
        <f>SUM(H147:H149)</f>
        <v>0</v>
      </c>
    </row>
    <row r="151" spans="1:8" x14ac:dyDescent="0.45">
      <c r="A151" s="96"/>
      <c r="B151" s="97"/>
      <c r="C151" s="97"/>
      <c r="D151" s="98"/>
      <c r="E151" s="97"/>
      <c r="F151" s="97"/>
      <c r="G151" s="88"/>
      <c r="H151" s="99"/>
    </row>
    <row r="152" spans="1:8" x14ac:dyDescent="0.45">
      <c r="A152" s="12" t="s">
        <v>4052</v>
      </c>
      <c r="B152" s="13"/>
      <c r="C152" s="13"/>
      <c r="D152" s="12" t="s">
        <v>207</v>
      </c>
      <c r="E152" s="100"/>
      <c r="F152" s="101"/>
      <c r="G152" s="91"/>
      <c r="H152" s="102"/>
    </row>
    <row r="153" spans="1:8" x14ac:dyDescent="0.4">
      <c r="A153" s="40"/>
      <c r="B153" s="222">
        <v>1502000</v>
      </c>
      <c r="C153" s="18"/>
      <c r="D153" s="223" t="s">
        <v>18</v>
      </c>
      <c r="E153" s="43"/>
      <c r="F153" s="44"/>
      <c r="G153" s="43"/>
      <c r="H153" s="45"/>
    </row>
    <row r="154" spans="1:8" x14ac:dyDescent="0.45">
      <c r="A154" s="25"/>
      <c r="B154" s="37"/>
      <c r="C154" s="37">
        <v>3.6</v>
      </c>
      <c r="D154" s="38" t="s">
        <v>75</v>
      </c>
      <c r="E154" s="28"/>
      <c r="F154" s="28"/>
      <c r="G154" s="28"/>
      <c r="H154" s="28"/>
    </row>
    <row r="155" spans="1:8" x14ac:dyDescent="0.45">
      <c r="A155" s="22" t="s">
        <v>4053</v>
      </c>
      <c r="B155" s="23">
        <v>1502000</v>
      </c>
      <c r="C155" s="33" t="s">
        <v>77</v>
      </c>
      <c r="D155" s="39" t="s">
        <v>78</v>
      </c>
      <c r="E155" s="23">
        <v>12</v>
      </c>
      <c r="F155" s="23" t="s">
        <v>17</v>
      </c>
      <c r="G155" s="24"/>
      <c r="H155" s="24">
        <f>G155*E155</f>
        <v>0</v>
      </c>
    </row>
    <row r="156" spans="1:8" x14ac:dyDescent="0.45">
      <c r="A156" s="22" t="s">
        <v>4054</v>
      </c>
      <c r="B156" s="23">
        <v>1502000</v>
      </c>
      <c r="C156" s="33" t="s">
        <v>101</v>
      </c>
      <c r="D156" s="39" t="s">
        <v>102</v>
      </c>
      <c r="E156" s="23">
        <v>12</v>
      </c>
      <c r="F156" s="23" t="s">
        <v>17</v>
      </c>
      <c r="G156" s="24"/>
      <c r="H156" s="24">
        <f>G156*E156</f>
        <v>0</v>
      </c>
    </row>
    <row r="157" spans="1:8" x14ac:dyDescent="0.45">
      <c r="A157" s="40"/>
      <c r="B157" s="41">
        <v>1503010</v>
      </c>
      <c r="C157" s="41"/>
      <c r="D157" s="42" t="s">
        <v>109</v>
      </c>
      <c r="E157" s="43"/>
      <c r="F157" s="44"/>
      <c r="G157" s="44"/>
      <c r="H157" s="45"/>
    </row>
    <row r="158" spans="1:8" x14ac:dyDescent="0.45">
      <c r="A158" s="22" t="s">
        <v>4055</v>
      </c>
      <c r="B158" s="33">
        <v>1503010</v>
      </c>
      <c r="C158" s="33">
        <v>3.1</v>
      </c>
      <c r="D158" s="36" t="s">
        <v>111</v>
      </c>
      <c r="E158" s="23">
        <v>12</v>
      </c>
      <c r="F158" s="23" t="s">
        <v>17</v>
      </c>
      <c r="G158" s="24"/>
      <c r="H158" s="24">
        <f>G158*E158</f>
        <v>0</v>
      </c>
    </row>
    <row r="159" spans="1:8" x14ac:dyDescent="0.45">
      <c r="A159" s="40"/>
      <c r="B159" s="92">
        <v>1503020</v>
      </c>
      <c r="C159" s="92"/>
      <c r="D159" s="93" t="s">
        <v>114</v>
      </c>
      <c r="E159" s="43"/>
      <c r="F159" s="44"/>
      <c r="G159" s="44"/>
      <c r="H159" s="45"/>
    </row>
    <row r="160" spans="1:8" x14ac:dyDescent="0.45">
      <c r="A160" s="22" t="s">
        <v>4056</v>
      </c>
      <c r="B160" s="33">
        <v>1503020</v>
      </c>
      <c r="C160" s="33">
        <v>3.1</v>
      </c>
      <c r="D160" s="36" t="s">
        <v>116</v>
      </c>
      <c r="E160" s="23">
        <v>12</v>
      </c>
      <c r="F160" s="23" t="s">
        <v>17</v>
      </c>
      <c r="G160" s="24"/>
      <c r="H160" s="24">
        <f>G160*E160</f>
        <v>0</v>
      </c>
    </row>
    <row r="161" spans="1:8" x14ac:dyDescent="0.45">
      <c r="A161" s="22" t="s">
        <v>4057</v>
      </c>
      <c r="B161" s="33">
        <v>1503020</v>
      </c>
      <c r="C161" s="33">
        <v>3.2</v>
      </c>
      <c r="D161" s="36" t="s">
        <v>118</v>
      </c>
      <c r="E161" s="23">
        <v>12</v>
      </c>
      <c r="F161" s="23" t="s">
        <v>17</v>
      </c>
      <c r="G161" s="24"/>
      <c r="H161" s="24">
        <f>G161*E161</f>
        <v>0</v>
      </c>
    </row>
    <row r="162" spans="1:8" x14ac:dyDescent="0.45">
      <c r="A162" s="22" t="s">
        <v>4058</v>
      </c>
      <c r="B162" s="33">
        <v>1503020</v>
      </c>
      <c r="C162" s="33">
        <v>3.3</v>
      </c>
      <c r="D162" s="36" t="s">
        <v>120</v>
      </c>
      <c r="E162" s="23">
        <v>12</v>
      </c>
      <c r="F162" s="23" t="s">
        <v>17</v>
      </c>
      <c r="G162" s="24"/>
      <c r="H162" s="24">
        <f>G162*E162</f>
        <v>0</v>
      </c>
    </row>
    <row r="163" spans="1:8" x14ac:dyDescent="0.45">
      <c r="A163" s="40"/>
      <c r="B163" s="43">
        <v>1503030</v>
      </c>
      <c r="C163" s="41"/>
      <c r="D163" s="42" t="s">
        <v>121</v>
      </c>
      <c r="E163" s="43"/>
      <c r="F163" s="44"/>
      <c r="G163" s="44"/>
      <c r="H163" s="45"/>
    </row>
    <row r="164" spans="1:8" x14ac:dyDescent="0.45">
      <c r="A164" s="22" t="s">
        <v>4059</v>
      </c>
      <c r="B164" s="33">
        <v>1503030</v>
      </c>
      <c r="C164" s="33" t="s">
        <v>123</v>
      </c>
      <c r="D164" s="36" t="s">
        <v>124</v>
      </c>
      <c r="E164" s="23">
        <v>12</v>
      </c>
      <c r="F164" s="23" t="s">
        <v>17</v>
      </c>
      <c r="G164" s="24"/>
      <c r="H164" s="24">
        <f>G164*E164</f>
        <v>0</v>
      </c>
    </row>
    <row r="165" spans="1:8" x14ac:dyDescent="0.45">
      <c r="A165" s="58"/>
      <c r="B165" s="59"/>
      <c r="C165" s="59"/>
      <c r="D165" s="60" t="s">
        <v>215</v>
      </c>
      <c r="E165" s="59"/>
      <c r="F165" s="59"/>
      <c r="G165" s="59"/>
      <c r="H165" s="62">
        <f>SUM(H155:H164)</f>
        <v>0</v>
      </c>
    </row>
    <row r="166" spans="1:8" x14ac:dyDescent="0.45">
      <c r="A166" s="96"/>
      <c r="B166" s="97"/>
      <c r="C166" s="97"/>
      <c r="D166" s="98"/>
      <c r="E166" s="97"/>
      <c r="F166" s="97"/>
      <c r="G166" s="88"/>
      <c r="H166" s="99"/>
    </row>
    <row r="167" spans="1:8" x14ac:dyDescent="0.45">
      <c r="A167" s="12" t="s">
        <v>4060</v>
      </c>
      <c r="B167" s="13"/>
      <c r="C167" s="13"/>
      <c r="D167" s="12" t="s">
        <v>217</v>
      </c>
      <c r="E167" s="100"/>
      <c r="F167" s="101"/>
      <c r="G167" s="91"/>
      <c r="H167" s="102"/>
    </row>
    <row r="168" spans="1:8" s="263" customFormat="1" x14ac:dyDescent="0.4">
      <c r="A168" s="278"/>
      <c r="B168" s="430">
        <v>1502000</v>
      </c>
      <c r="C168" s="280"/>
      <c r="D168" s="431" t="s">
        <v>18</v>
      </c>
      <c r="E168" s="282"/>
      <c r="F168" s="283"/>
      <c r="G168" s="282"/>
      <c r="H168" s="284"/>
    </row>
    <row r="169" spans="1:8" s="263" customFormat="1" x14ac:dyDescent="0.45">
      <c r="A169" s="265"/>
      <c r="B169" s="266"/>
      <c r="C169" s="266">
        <v>3.1</v>
      </c>
      <c r="D169" s="267" t="s">
        <v>19</v>
      </c>
      <c r="E169" s="266"/>
      <c r="F169" s="266"/>
      <c r="G169" s="268"/>
      <c r="H169" s="273"/>
    </row>
    <row r="170" spans="1:8" s="263" customFormat="1" x14ac:dyDescent="0.45">
      <c r="A170" s="258" t="s">
        <v>4061</v>
      </c>
      <c r="B170" s="261">
        <v>1502000</v>
      </c>
      <c r="C170" s="261" t="s">
        <v>21</v>
      </c>
      <c r="D170" s="264" t="s">
        <v>22</v>
      </c>
      <c r="E170" s="261">
        <v>12</v>
      </c>
      <c r="F170" s="261" t="s">
        <v>17</v>
      </c>
      <c r="G170" s="262"/>
      <c r="H170" s="262">
        <f>G170*E170</f>
        <v>0</v>
      </c>
    </row>
    <row r="171" spans="1:8" s="263" customFormat="1" x14ac:dyDescent="0.45">
      <c r="A171" s="258" t="s">
        <v>4062</v>
      </c>
      <c r="B171" s="261">
        <v>1502000</v>
      </c>
      <c r="C171" s="261" t="s">
        <v>24</v>
      </c>
      <c r="D171" s="264" t="s">
        <v>25</v>
      </c>
      <c r="E171" s="261">
        <v>12</v>
      </c>
      <c r="F171" s="261" t="s">
        <v>17</v>
      </c>
      <c r="G171" s="262"/>
      <c r="H171" s="262">
        <f>G171*E171</f>
        <v>0</v>
      </c>
    </row>
    <row r="172" spans="1:8" s="263" customFormat="1" ht="13.5" customHeight="1" x14ac:dyDescent="0.45">
      <c r="A172" s="258" t="s">
        <v>4063</v>
      </c>
      <c r="B172" s="261">
        <v>1502000</v>
      </c>
      <c r="C172" s="261" t="s">
        <v>27</v>
      </c>
      <c r="D172" s="264" t="s">
        <v>28</v>
      </c>
      <c r="E172" s="261">
        <v>12</v>
      </c>
      <c r="F172" s="261" t="s">
        <v>17</v>
      </c>
      <c r="G172" s="262"/>
      <c r="H172" s="262">
        <f>G172*E172</f>
        <v>0</v>
      </c>
    </row>
    <row r="173" spans="1:8" s="263" customFormat="1" x14ac:dyDescent="0.45">
      <c r="A173" s="265"/>
      <c r="B173" s="266"/>
      <c r="C173" s="266">
        <v>3.1</v>
      </c>
      <c r="D173" s="267" t="s">
        <v>31</v>
      </c>
      <c r="E173" s="268"/>
      <c r="F173" s="268"/>
      <c r="G173" s="268"/>
      <c r="H173" s="268"/>
    </row>
    <row r="174" spans="1:8" s="263" customFormat="1" x14ac:dyDescent="0.45">
      <c r="A174" s="258" t="s">
        <v>4064</v>
      </c>
      <c r="B174" s="261">
        <v>1502000</v>
      </c>
      <c r="C174" s="261" t="s">
        <v>222</v>
      </c>
      <c r="D174" s="269" t="s">
        <v>223</v>
      </c>
      <c r="E174" s="261">
        <v>12</v>
      </c>
      <c r="F174" s="261" t="s">
        <v>17</v>
      </c>
      <c r="G174" s="262"/>
      <c r="H174" s="262">
        <f t="shared" ref="H174:H191" si="2">G174*E174</f>
        <v>0</v>
      </c>
    </row>
    <row r="175" spans="1:8" s="263" customFormat="1" x14ac:dyDescent="0.45">
      <c r="A175" s="258" t="s">
        <v>4065</v>
      </c>
      <c r="B175" s="261">
        <v>1502000</v>
      </c>
      <c r="C175" s="261" t="s">
        <v>33</v>
      </c>
      <c r="D175" s="269" t="s">
        <v>34</v>
      </c>
      <c r="E175" s="261">
        <v>12</v>
      </c>
      <c r="F175" s="261" t="s">
        <v>17</v>
      </c>
      <c r="G175" s="262"/>
      <c r="H175" s="262">
        <f t="shared" si="2"/>
        <v>0</v>
      </c>
    </row>
    <row r="176" spans="1:8" s="263" customFormat="1" x14ac:dyDescent="0.45">
      <c r="A176" s="258" t="s">
        <v>4066</v>
      </c>
      <c r="B176" s="261">
        <v>1502000</v>
      </c>
      <c r="C176" s="261" t="s">
        <v>36</v>
      </c>
      <c r="D176" s="269" t="s">
        <v>37</v>
      </c>
      <c r="E176" s="261">
        <v>12</v>
      </c>
      <c r="F176" s="261" t="s">
        <v>17</v>
      </c>
      <c r="G176" s="262"/>
      <c r="H176" s="262">
        <f t="shared" si="2"/>
        <v>0</v>
      </c>
    </row>
    <row r="177" spans="1:8" s="263" customFormat="1" x14ac:dyDescent="0.45">
      <c r="A177" s="258" t="s">
        <v>4067</v>
      </c>
      <c r="B177" s="261">
        <v>1502000</v>
      </c>
      <c r="C177" s="261" t="s">
        <v>227</v>
      </c>
      <c r="D177" s="270" t="s">
        <v>228</v>
      </c>
      <c r="E177" s="261">
        <v>12</v>
      </c>
      <c r="F177" s="261" t="s">
        <v>17</v>
      </c>
      <c r="G177" s="262"/>
      <c r="H177" s="262">
        <f t="shared" si="2"/>
        <v>0</v>
      </c>
    </row>
    <row r="178" spans="1:8" s="263" customFormat="1" x14ac:dyDescent="0.45">
      <c r="A178" s="258" t="s">
        <v>4068</v>
      </c>
      <c r="B178" s="261">
        <v>1502000</v>
      </c>
      <c r="C178" s="261" t="s">
        <v>39</v>
      </c>
      <c r="D178" s="269" t="s">
        <v>230</v>
      </c>
      <c r="E178" s="261">
        <v>12</v>
      </c>
      <c r="F178" s="261" t="s">
        <v>17</v>
      </c>
      <c r="G178" s="262"/>
      <c r="H178" s="262">
        <f t="shared" si="2"/>
        <v>0</v>
      </c>
    </row>
    <row r="179" spans="1:8" s="263" customFormat="1" x14ac:dyDescent="0.45">
      <c r="A179" s="258" t="s">
        <v>4069</v>
      </c>
      <c r="B179" s="261">
        <v>1502000</v>
      </c>
      <c r="C179" s="261" t="s">
        <v>232</v>
      </c>
      <c r="D179" s="269" t="s">
        <v>233</v>
      </c>
      <c r="E179" s="261">
        <v>12</v>
      </c>
      <c r="F179" s="261" t="s">
        <v>17</v>
      </c>
      <c r="G179" s="262"/>
      <c r="H179" s="262">
        <f t="shared" si="2"/>
        <v>0</v>
      </c>
    </row>
    <row r="180" spans="1:8" s="263" customFormat="1" x14ac:dyDescent="0.45">
      <c r="A180" s="258" t="s">
        <v>4070</v>
      </c>
      <c r="B180" s="261">
        <v>1502000</v>
      </c>
      <c r="C180" s="271" t="s">
        <v>235</v>
      </c>
      <c r="D180" s="263" t="s">
        <v>236</v>
      </c>
      <c r="E180" s="261">
        <v>12</v>
      </c>
      <c r="F180" s="261" t="s">
        <v>17</v>
      </c>
      <c r="G180" s="262"/>
      <c r="H180" s="262">
        <f t="shared" si="2"/>
        <v>0</v>
      </c>
    </row>
    <row r="181" spans="1:8" s="263" customFormat="1" x14ac:dyDescent="0.45">
      <c r="A181" s="258" t="s">
        <v>4071</v>
      </c>
      <c r="B181" s="261">
        <v>1502000</v>
      </c>
      <c r="C181" s="261" t="s">
        <v>238</v>
      </c>
      <c r="D181" s="269" t="s">
        <v>239</v>
      </c>
      <c r="E181" s="261">
        <v>12</v>
      </c>
      <c r="F181" s="261" t="s">
        <v>17</v>
      </c>
      <c r="G181" s="262"/>
      <c r="H181" s="262">
        <f t="shared" si="2"/>
        <v>0</v>
      </c>
    </row>
    <row r="182" spans="1:8" s="263" customFormat="1" x14ac:dyDescent="0.45">
      <c r="A182" s="258" t="s">
        <v>4072</v>
      </c>
      <c r="B182" s="261">
        <v>1502000</v>
      </c>
      <c r="C182" s="261" t="s">
        <v>241</v>
      </c>
      <c r="D182" s="269" t="s">
        <v>242</v>
      </c>
      <c r="E182" s="261">
        <v>12</v>
      </c>
      <c r="F182" s="261" t="s">
        <v>17</v>
      </c>
      <c r="G182" s="262"/>
      <c r="H182" s="262">
        <f t="shared" si="2"/>
        <v>0</v>
      </c>
    </row>
    <row r="183" spans="1:8" s="263" customFormat="1" x14ac:dyDescent="0.45">
      <c r="A183" s="258" t="s">
        <v>4073</v>
      </c>
      <c r="B183" s="261">
        <v>1502000</v>
      </c>
      <c r="C183" s="261" t="s">
        <v>244</v>
      </c>
      <c r="D183" s="269" t="s">
        <v>245</v>
      </c>
      <c r="E183" s="261">
        <v>12</v>
      </c>
      <c r="F183" s="261" t="s">
        <v>17</v>
      </c>
      <c r="G183" s="262"/>
      <c r="H183" s="262">
        <f t="shared" si="2"/>
        <v>0</v>
      </c>
    </row>
    <row r="184" spans="1:8" s="263" customFormat="1" x14ac:dyDescent="0.45">
      <c r="A184" s="258" t="s">
        <v>4074</v>
      </c>
      <c r="B184" s="261">
        <v>1502000</v>
      </c>
      <c r="C184" s="261" t="s">
        <v>247</v>
      </c>
      <c r="D184" s="269" t="s">
        <v>248</v>
      </c>
      <c r="E184" s="261">
        <v>12</v>
      </c>
      <c r="F184" s="261" t="s">
        <v>17</v>
      </c>
      <c r="G184" s="262"/>
      <c r="H184" s="262">
        <f t="shared" si="2"/>
        <v>0</v>
      </c>
    </row>
    <row r="185" spans="1:8" s="263" customFormat="1" x14ac:dyDescent="0.45">
      <c r="A185" s="258" t="s">
        <v>4075</v>
      </c>
      <c r="B185" s="261">
        <v>1502000</v>
      </c>
      <c r="C185" s="261" t="s">
        <v>250</v>
      </c>
      <c r="D185" s="269" t="s">
        <v>251</v>
      </c>
      <c r="E185" s="261">
        <v>12</v>
      </c>
      <c r="F185" s="261" t="s">
        <v>17</v>
      </c>
      <c r="G185" s="262"/>
      <c r="H185" s="262">
        <f t="shared" si="2"/>
        <v>0</v>
      </c>
    </row>
    <row r="186" spans="1:8" s="263" customFormat="1" x14ac:dyDescent="0.45">
      <c r="A186" s="258" t="s">
        <v>4076</v>
      </c>
      <c r="B186" s="261">
        <v>1502000</v>
      </c>
      <c r="C186" s="261" t="s">
        <v>253</v>
      </c>
      <c r="D186" s="269" t="s">
        <v>254</v>
      </c>
      <c r="E186" s="261">
        <v>12</v>
      </c>
      <c r="F186" s="261" t="s">
        <v>17</v>
      </c>
      <c r="G186" s="262"/>
      <c r="H186" s="262">
        <f t="shared" si="2"/>
        <v>0</v>
      </c>
    </row>
    <row r="187" spans="1:8" s="263" customFormat="1" x14ac:dyDescent="0.45">
      <c r="A187" s="258" t="s">
        <v>4077</v>
      </c>
      <c r="B187" s="261">
        <v>1502000</v>
      </c>
      <c r="C187" s="261" t="s">
        <v>45</v>
      </c>
      <c r="D187" s="269" t="s">
        <v>46</v>
      </c>
      <c r="E187" s="261">
        <v>12</v>
      </c>
      <c r="F187" s="261" t="s">
        <v>17</v>
      </c>
      <c r="G187" s="262"/>
      <c r="H187" s="262">
        <f t="shared" si="2"/>
        <v>0</v>
      </c>
    </row>
    <row r="188" spans="1:8" s="263" customFormat="1" x14ac:dyDescent="0.45">
      <c r="A188" s="258" t="s">
        <v>4078</v>
      </c>
      <c r="B188" s="261">
        <v>1502000</v>
      </c>
      <c r="C188" s="261" t="s">
        <v>48</v>
      </c>
      <c r="D188" s="269" t="s">
        <v>257</v>
      </c>
      <c r="E188" s="261">
        <v>12</v>
      </c>
      <c r="F188" s="261" t="s">
        <v>17</v>
      </c>
      <c r="G188" s="262"/>
      <c r="H188" s="262">
        <f t="shared" si="2"/>
        <v>0</v>
      </c>
    </row>
    <row r="189" spans="1:8" s="263" customFormat="1" x14ac:dyDescent="0.45">
      <c r="A189" s="258" t="s">
        <v>4079</v>
      </c>
      <c r="B189" s="261">
        <v>1502000</v>
      </c>
      <c r="C189" s="261" t="s">
        <v>54</v>
      </c>
      <c r="D189" s="269" t="s">
        <v>55</v>
      </c>
      <c r="E189" s="261">
        <v>12</v>
      </c>
      <c r="F189" s="261" t="s">
        <v>17</v>
      </c>
      <c r="G189" s="262"/>
      <c r="H189" s="262">
        <f t="shared" si="2"/>
        <v>0</v>
      </c>
    </row>
    <row r="190" spans="1:8" s="263" customFormat="1" x14ac:dyDescent="0.45">
      <c r="A190" s="258" t="s">
        <v>4080</v>
      </c>
      <c r="B190" s="261">
        <v>1502000</v>
      </c>
      <c r="C190" s="261" t="s">
        <v>260</v>
      </c>
      <c r="D190" s="269" t="s">
        <v>261</v>
      </c>
      <c r="E190" s="261">
        <v>12</v>
      </c>
      <c r="F190" s="261" t="s">
        <v>17</v>
      </c>
      <c r="G190" s="262"/>
      <c r="H190" s="262">
        <f t="shared" si="2"/>
        <v>0</v>
      </c>
    </row>
    <row r="191" spans="1:8" s="263" customFormat="1" x14ac:dyDescent="0.45">
      <c r="A191" s="258" t="s">
        <v>4081</v>
      </c>
      <c r="B191" s="261">
        <v>1502000</v>
      </c>
      <c r="C191" s="271" t="s">
        <v>60</v>
      </c>
      <c r="D191" s="432" t="s">
        <v>61</v>
      </c>
      <c r="E191" s="261">
        <v>12</v>
      </c>
      <c r="F191" s="261" t="s">
        <v>17</v>
      </c>
      <c r="G191" s="262"/>
      <c r="H191" s="262">
        <f t="shared" si="2"/>
        <v>0</v>
      </c>
    </row>
    <row r="192" spans="1:8" s="263" customFormat="1" x14ac:dyDescent="0.45">
      <c r="A192" s="265"/>
      <c r="B192" s="266"/>
      <c r="C192" s="266">
        <v>3.4</v>
      </c>
      <c r="D192" s="267" t="s">
        <v>62</v>
      </c>
      <c r="E192" s="266"/>
      <c r="F192" s="266"/>
      <c r="G192" s="268"/>
      <c r="H192" s="273"/>
    </row>
    <row r="193" spans="1:8" s="263" customFormat="1" x14ac:dyDescent="0.45">
      <c r="A193" s="258" t="s">
        <v>4082</v>
      </c>
      <c r="B193" s="261">
        <v>1502000</v>
      </c>
      <c r="C193" s="261" t="s">
        <v>64</v>
      </c>
      <c r="D193" s="270" t="s">
        <v>65</v>
      </c>
      <c r="E193" s="261">
        <v>12</v>
      </c>
      <c r="F193" s="261" t="s">
        <v>17</v>
      </c>
      <c r="G193" s="262"/>
      <c r="H193" s="262">
        <f>G193*E193</f>
        <v>0</v>
      </c>
    </row>
    <row r="194" spans="1:8" s="263" customFormat="1" x14ac:dyDescent="0.45">
      <c r="A194" s="258" t="s">
        <v>4083</v>
      </c>
      <c r="B194" s="261">
        <v>1502000</v>
      </c>
      <c r="C194" s="261" t="s">
        <v>67</v>
      </c>
      <c r="D194" s="270" t="s">
        <v>68</v>
      </c>
      <c r="E194" s="261">
        <v>12</v>
      </c>
      <c r="F194" s="261" t="s">
        <v>17</v>
      </c>
      <c r="G194" s="262"/>
      <c r="H194" s="262">
        <f>G194*E194</f>
        <v>0</v>
      </c>
    </row>
    <row r="195" spans="1:8" s="263" customFormat="1" x14ac:dyDescent="0.45">
      <c r="A195" s="258" t="s">
        <v>4084</v>
      </c>
      <c r="B195" s="261">
        <v>1502000</v>
      </c>
      <c r="C195" s="259" t="s">
        <v>70</v>
      </c>
      <c r="D195" s="260" t="s">
        <v>71</v>
      </c>
      <c r="E195" s="261">
        <v>12</v>
      </c>
      <c r="F195" s="261" t="s">
        <v>17</v>
      </c>
      <c r="G195" s="262"/>
      <c r="H195" s="262">
        <f>G195*E195</f>
        <v>0</v>
      </c>
    </row>
    <row r="196" spans="1:8" s="263" customFormat="1" x14ac:dyDescent="0.45">
      <c r="A196" s="265"/>
      <c r="B196" s="266"/>
      <c r="C196" s="266">
        <v>3.5</v>
      </c>
      <c r="D196" s="267" t="s">
        <v>72</v>
      </c>
      <c r="E196" s="268"/>
      <c r="F196" s="268"/>
      <c r="G196" s="268"/>
      <c r="H196" s="268"/>
    </row>
    <row r="197" spans="1:8" s="263" customFormat="1" x14ac:dyDescent="0.45">
      <c r="A197" s="258" t="s">
        <v>4085</v>
      </c>
      <c r="B197" s="261">
        <v>1502000</v>
      </c>
      <c r="C197" s="261" t="s">
        <v>267</v>
      </c>
      <c r="D197" s="274" t="s">
        <v>71</v>
      </c>
      <c r="E197" s="261">
        <v>12</v>
      </c>
      <c r="F197" s="261" t="s">
        <v>17</v>
      </c>
      <c r="G197" s="262"/>
      <c r="H197" s="262">
        <f>G197*E197</f>
        <v>0</v>
      </c>
    </row>
    <row r="198" spans="1:8" s="263" customFormat="1" x14ac:dyDescent="0.45">
      <c r="A198" s="258" t="s">
        <v>4086</v>
      </c>
      <c r="B198" s="261">
        <v>1502000</v>
      </c>
      <c r="C198" s="261" t="s">
        <v>74</v>
      </c>
      <c r="D198" s="269" t="s">
        <v>37</v>
      </c>
      <c r="E198" s="261">
        <v>12</v>
      </c>
      <c r="F198" s="261" t="s">
        <v>17</v>
      </c>
      <c r="G198" s="262"/>
      <c r="H198" s="262">
        <f>G198*E198</f>
        <v>0</v>
      </c>
    </row>
    <row r="199" spans="1:8" s="263" customFormat="1" x14ac:dyDescent="0.45">
      <c r="A199" s="265"/>
      <c r="B199" s="266"/>
      <c r="C199" s="266">
        <v>3.6</v>
      </c>
      <c r="D199" s="267" t="s">
        <v>75</v>
      </c>
      <c r="E199" s="266"/>
      <c r="F199" s="266"/>
      <c r="G199" s="268"/>
      <c r="H199" s="273"/>
    </row>
    <row r="200" spans="1:8" s="263" customFormat="1" x14ac:dyDescent="0.45">
      <c r="A200" s="258" t="s">
        <v>4087</v>
      </c>
      <c r="B200" s="261">
        <v>1502000</v>
      </c>
      <c r="C200" s="259" t="s">
        <v>77</v>
      </c>
      <c r="D200" s="275" t="s">
        <v>78</v>
      </c>
      <c r="E200" s="261">
        <v>12</v>
      </c>
      <c r="F200" s="261" t="s">
        <v>17</v>
      </c>
      <c r="G200" s="262"/>
      <c r="H200" s="262">
        <f>G200*E200</f>
        <v>0</v>
      </c>
    </row>
    <row r="201" spans="1:8" s="263" customFormat="1" x14ac:dyDescent="0.45">
      <c r="A201" s="258" t="s">
        <v>4088</v>
      </c>
      <c r="B201" s="261">
        <v>1502000</v>
      </c>
      <c r="C201" s="259" t="s">
        <v>80</v>
      </c>
      <c r="D201" s="275" t="s">
        <v>81</v>
      </c>
      <c r="E201" s="261">
        <v>12</v>
      </c>
      <c r="F201" s="261" t="s">
        <v>17</v>
      </c>
      <c r="G201" s="262"/>
      <c r="H201" s="262">
        <f>G201*E201</f>
        <v>0</v>
      </c>
    </row>
    <row r="202" spans="1:8" s="263" customFormat="1" x14ac:dyDescent="0.45">
      <c r="A202" s="258" t="s">
        <v>4089</v>
      </c>
      <c r="B202" s="261">
        <v>1502000</v>
      </c>
      <c r="C202" s="259" t="s">
        <v>83</v>
      </c>
      <c r="D202" s="275" t="s">
        <v>84</v>
      </c>
      <c r="E202" s="261">
        <v>12</v>
      </c>
      <c r="F202" s="261" t="s">
        <v>17</v>
      </c>
      <c r="G202" s="262"/>
      <c r="H202" s="262">
        <f>G202*E202</f>
        <v>0</v>
      </c>
    </row>
    <row r="203" spans="1:8" s="263" customFormat="1" x14ac:dyDescent="0.45">
      <c r="A203" s="258" t="s">
        <v>4090</v>
      </c>
      <c r="B203" s="261">
        <v>1502000</v>
      </c>
      <c r="C203" s="261" t="s">
        <v>273</v>
      </c>
      <c r="D203" s="276" t="s">
        <v>274</v>
      </c>
      <c r="E203" s="261">
        <v>12</v>
      </c>
      <c r="F203" s="261" t="s">
        <v>17</v>
      </c>
      <c r="G203" s="262"/>
      <c r="H203" s="262">
        <f>G203*E203</f>
        <v>0</v>
      </c>
    </row>
    <row r="204" spans="1:8" s="263" customFormat="1" x14ac:dyDescent="0.45">
      <c r="A204" s="258" t="s">
        <v>4091</v>
      </c>
      <c r="B204" s="261">
        <v>1502000</v>
      </c>
      <c r="C204" s="277" t="s">
        <v>276</v>
      </c>
      <c r="D204" s="276" t="s">
        <v>277</v>
      </c>
      <c r="E204" s="261">
        <v>12</v>
      </c>
      <c r="F204" s="261" t="s">
        <v>17</v>
      </c>
      <c r="G204" s="262"/>
      <c r="H204" s="262">
        <f>G204*E204</f>
        <v>0</v>
      </c>
    </row>
    <row r="205" spans="1:8" x14ac:dyDescent="0.45">
      <c r="A205" s="40"/>
      <c r="B205" s="41">
        <v>1503010</v>
      </c>
      <c r="C205" s="41"/>
      <c r="D205" s="42" t="s">
        <v>109</v>
      </c>
      <c r="E205" s="43"/>
      <c r="F205" s="44"/>
      <c r="G205" s="44"/>
      <c r="H205" s="45"/>
    </row>
    <row r="206" spans="1:8" x14ac:dyDescent="0.45">
      <c r="A206" s="257" t="s">
        <v>4085</v>
      </c>
      <c r="B206" s="33">
        <v>1503010</v>
      </c>
      <c r="C206" s="33">
        <v>3.1</v>
      </c>
      <c r="D206" s="36" t="s">
        <v>111</v>
      </c>
      <c r="E206" s="23">
        <v>12</v>
      </c>
      <c r="F206" s="23" t="s">
        <v>17</v>
      </c>
      <c r="G206" s="24"/>
      <c r="H206" s="24">
        <f>G206*E206</f>
        <v>0</v>
      </c>
    </row>
    <row r="207" spans="1:8" x14ac:dyDescent="0.45">
      <c r="A207" s="257" t="s">
        <v>4086</v>
      </c>
      <c r="B207" s="33">
        <v>1503010</v>
      </c>
      <c r="C207" s="33">
        <v>3.2</v>
      </c>
      <c r="D207" s="36" t="s">
        <v>278</v>
      </c>
      <c r="E207" s="23">
        <v>12</v>
      </c>
      <c r="F207" s="23" t="s">
        <v>17</v>
      </c>
      <c r="G207" s="24"/>
      <c r="H207" s="24">
        <f>G207*E207</f>
        <v>0</v>
      </c>
    </row>
    <row r="208" spans="1:8" x14ac:dyDescent="0.45">
      <c r="A208" s="287"/>
      <c r="B208" s="43">
        <v>1503020</v>
      </c>
      <c r="C208" s="41"/>
      <c r="D208" s="42" t="s">
        <v>114</v>
      </c>
      <c r="E208" s="43"/>
      <c r="F208" s="44"/>
      <c r="G208" s="44"/>
      <c r="H208" s="45"/>
    </row>
    <row r="209" spans="1:8" ht="13.45" customHeight="1" x14ac:dyDescent="0.45">
      <c r="A209" s="257" t="s">
        <v>4087</v>
      </c>
      <c r="B209" s="33">
        <v>1503020</v>
      </c>
      <c r="C209" s="33">
        <v>3.1</v>
      </c>
      <c r="D209" s="36" t="s">
        <v>116</v>
      </c>
      <c r="E209" s="23">
        <v>12</v>
      </c>
      <c r="F209" s="23" t="s">
        <v>17</v>
      </c>
      <c r="G209" s="24"/>
      <c r="H209" s="24">
        <f>G209*E209</f>
        <v>0</v>
      </c>
    </row>
    <row r="210" spans="1:8" ht="13.45" customHeight="1" x14ac:dyDescent="0.45">
      <c r="A210" s="257" t="s">
        <v>4088</v>
      </c>
      <c r="B210" s="33">
        <v>1503020</v>
      </c>
      <c r="C210" s="33">
        <v>3.3</v>
      </c>
      <c r="D210" s="36" t="s">
        <v>120</v>
      </c>
      <c r="E210" s="23">
        <v>12</v>
      </c>
      <c r="F210" s="23" t="s">
        <v>17</v>
      </c>
      <c r="G210" s="24"/>
      <c r="H210" s="24">
        <f>G210*E210</f>
        <v>0</v>
      </c>
    </row>
    <row r="211" spans="1:8" x14ac:dyDescent="0.45">
      <c r="A211" s="287"/>
      <c r="B211" s="43">
        <v>1503030</v>
      </c>
      <c r="C211" s="41"/>
      <c r="D211" s="42" t="s">
        <v>121</v>
      </c>
      <c r="E211" s="43"/>
      <c r="F211" s="44"/>
      <c r="G211" s="44"/>
      <c r="H211" s="45"/>
    </row>
    <row r="212" spans="1:8" x14ac:dyDescent="0.45">
      <c r="A212" s="257" t="s">
        <v>4089</v>
      </c>
      <c r="B212" s="33">
        <v>1503030</v>
      </c>
      <c r="C212" s="33" t="s">
        <v>123</v>
      </c>
      <c r="D212" s="36" t="s">
        <v>124</v>
      </c>
      <c r="E212" s="23">
        <v>12</v>
      </c>
      <c r="F212" s="23" t="s">
        <v>17</v>
      </c>
      <c r="G212" s="24"/>
      <c r="H212" s="24">
        <f>G212*E212</f>
        <v>0</v>
      </c>
    </row>
    <row r="213" spans="1:8" x14ac:dyDescent="0.45">
      <c r="A213" s="287"/>
      <c r="B213" s="41">
        <v>1503050</v>
      </c>
      <c r="C213" s="41"/>
      <c r="D213" s="42" t="s">
        <v>127</v>
      </c>
      <c r="E213" s="43"/>
      <c r="F213" s="44"/>
      <c r="G213" s="44"/>
      <c r="H213" s="45"/>
    </row>
    <row r="214" spans="1:8" x14ac:dyDescent="0.45">
      <c r="A214" s="257" t="s">
        <v>4090</v>
      </c>
      <c r="B214" s="33">
        <v>1503050</v>
      </c>
      <c r="C214" s="33">
        <v>3.1</v>
      </c>
      <c r="D214" s="46" t="s">
        <v>129</v>
      </c>
      <c r="E214" s="23">
        <v>12</v>
      </c>
      <c r="F214" s="23" t="s">
        <v>17</v>
      </c>
      <c r="G214" s="24"/>
      <c r="H214" s="24">
        <f>G214*E214</f>
        <v>0</v>
      </c>
    </row>
    <row r="215" spans="1:8" x14ac:dyDescent="0.45">
      <c r="A215" s="257" t="s">
        <v>4091</v>
      </c>
      <c r="B215" s="33">
        <v>1503050</v>
      </c>
      <c r="C215" s="33">
        <v>3.4</v>
      </c>
      <c r="D215" s="36" t="s">
        <v>135</v>
      </c>
      <c r="E215" s="23">
        <v>12</v>
      </c>
      <c r="F215" s="23" t="s">
        <v>17</v>
      </c>
      <c r="G215" s="24"/>
      <c r="H215" s="24">
        <f>G215*E215</f>
        <v>0</v>
      </c>
    </row>
    <row r="216" spans="1:8" x14ac:dyDescent="0.45">
      <c r="A216" s="58"/>
      <c r="B216" s="59"/>
      <c r="C216" s="59"/>
      <c r="D216" s="60" t="s">
        <v>279</v>
      </c>
      <c r="E216" s="59"/>
      <c r="F216" s="59"/>
      <c r="G216" s="59"/>
      <c r="H216" s="62">
        <f>SUM(H206:H215)</f>
        <v>0</v>
      </c>
    </row>
    <row r="217" spans="1:8" x14ac:dyDescent="0.45">
      <c r="A217" s="6"/>
      <c r="B217" s="107"/>
      <c r="C217" s="107"/>
      <c r="D217" s="108"/>
      <c r="E217" s="107"/>
      <c r="F217" s="109"/>
      <c r="G217" s="88"/>
      <c r="H217" s="110"/>
    </row>
    <row r="218" spans="1:8" x14ac:dyDescent="0.45">
      <c r="A218" s="12" t="s">
        <v>4092</v>
      </c>
      <c r="B218" s="13"/>
      <c r="C218" s="13"/>
      <c r="D218" s="111" t="s">
        <v>281</v>
      </c>
      <c r="E218" s="100"/>
      <c r="F218" s="101"/>
      <c r="G218" s="91"/>
      <c r="H218" s="102"/>
    </row>
    <row r="219" spans="1:8" x14ac:dyDescent="0.45">
      <c r="A219" s="103"/>
      <c r="B219" s="41">
        <v>1502000</v>
      </c>
      <c r="C219" s="43"/>
      <c r="D219" s="42" t="s">
        <v>18</v>
      </c>
      <c r="E219" s="43"/>
      <c r="F219" s="44"/>
      <c r="G219" s="43"/>
      <c r="H219" s="45"/>
    </row>
    <row r="220" spans="1:8" x14ac:dyDescent="0.45">
      <c r="A220" s="25"/>
      <c r="B220" s="26"/>
      <c r="C220" s="26">
        <v>3.1</v>
      </c>
      <c r="D220" s="27" t="s">
        <v>19</v>
      </c>
      <c r="E220" s="28"/>
      <c r="F220" s="28"/>
      <c r="G220" s="28"/>
      <c r="H220" s="28"/>
    </row>
    <row r="221" spans="1:8" x14ac:dyDescent="0.45">
      <c r="A221" s="22" t="s">
        <v>4093</v>
      </c>
      <c r="B221" s="23"/>
      <c r="C221" s="23" t="s">
        <v>24</v>
      </c>
      <c r="D221" s="29" t="s">
        <v>25</v>
      </c>
      <c r="E221" s="23">
        <v>12</v>
      </c>
      <c r="F221" s="23" t="s">
        <v>17</v>
      </c>
      <c r="G221" s="24"/>
      <c r="H221" s="24">
        <f>G221*E221</f>
        <v>0</v>
      </c>
    </row>
    <row r="222" spans="1:8" x14ac:dyDescent="0.45">
      <c r="A222" s="25"/>
      <c r="B222" s="26"/>
      <c r="C222" s="26">
        <v>3.1</v>
      </c>
      <c r="D222" s="27" t="s">
        <v>31</v>
      </c>
      <c r="E222" s="28"/>
      <c r="F222" s="28"/>
      <c r="G222" s="28"/>
      <c r="H222" s="28"/>
    </row>
    <row r="223" spans="1:8" x14ac:dyDescent="0.45">
      <c r="A223" s="22" t="s">
        <v>4094</v>
      </c>
      <c r="B223" s="105">
        <v>1502000</v>
      </c>
      <c r="C223" s="105" t="s">
        <v>36</v>
      </c>
      <c r="D223" s="112" t="s">
        <v>37</v>
      </c>
      <c r="E223" s="23">
        <v>12</v>
      </c>
      <c r="F223" s="23" t="s">
        <v>17</v>
      </c>
      <c r="G223" s="24"/>
      <c r="H223" s="24">
        <f>G223*E223</f>
        <v>0</v>
      </c>
    </row>
    <row r="224" spans="1:8" x14ac:dyDescent="0.45">
      <c r="A224" s="25"/>
      <c r="B224" s="26"/>
      <c r="C224" s="26">
        <v>3.4</v>
      </c>
      <c r="D224" s="27" t="s">
        <v>62</v>
      </c>
      <c r="E224" s="26"/>
      <c r="F224" s="26"/>
      <c r="G224" s="28"/>
      <c r="H224" s="104"/>
    </row>
    <row r="225" spans="1:8" x14ac:dyDescent="0.45">
      <c r="A225" s="22" t="s">
        <v>4095</v>
      </c>
      <c r="B225" s="23">
        <v>1502000</v>
      </c>
      <c r="C225" s="23" t="s">
        <v>67</v>
      </c>
      <c r="D225" s="35" t="s">
        <v>68</v>
      </c>
      <c r="E225" s="23">
        <v>12</v>
      </c>
      <c r="F225" s="23" t="s">
        <v>17</v>
      </c>
      <c r="G225" s="24"/>
      <c r="H225" s="24">
        <f>G225*E225</f>
        <v>0</v>
      </c>
    </row>
    <row r="226" spans="1:8" x14ac:dyDescent="0.45">
      <c r="A226" s="25"/>
      <c r="B226" s="26"/>
      <c r="C226" s="26">
        <v>3.5</v>
      </c>
      <c r="D226" s="27" t="s">
        <v>72</v>
      </c>
      <c r="E226" s="28"/>
      <c r="F226" s="28"/>
      <c r="G226" s="28"/>
      <c r="H226" s="28"/>
    </row>
    <row r="227" spans="1:8" x14ac:dyDescent="0.45">
      <c r="A227" s="22" t="s">
        <v>4096</v>
      </c>
      <c r="B227" s="23">
        <v>1502000</v>
      </c>
      <c r="C227" s="23" t="s">
        <v>74</v>
      </c>
      <c r="D227" s="32" t="s">
        <v>37</v>
      </c>
      <c r="E227" s="23">
        <v>12</v>
      </c>
      <c r="F227" s="23" t="s">
        <v>17</v>
      </c>
      <c r="G227" s="24"/>
      <c r="H227" s="24">
        <f>G227*E227</f>
        <v>0</v>
      </c>
    </row>
    <row r="228" spans="1:8" s="263" customFormat="1" x14ac:dyDescent="0.45">
      <c r="A228" s="265"/>
      <c r="B228" s="266"/>
      <c r="C228" s="266">
        <v>3.6</v>
      </c>
      <c r="D228" s="267" t="s">
        <v>75</v>
      </c>
      <c r="E228" s="266"/>
      <c r="F228" s="266"/>
      <c r="G228" s="268"/>
      <c r="H228" s="273"/>
    </row>
    <row r="229" spans="1:8" s="263" customFormat="1" x14ac:dyDescent="0.45">
      <c r="A229" s="258" t="s">
        <v>4097</v>
      </c>
      <c r="B229" s="261">
        <v>1502000</v>
      </c>
      <c r="C229" s="259" t="s">
        <v>101</v>
      </c>
      <c r="D229" s="275" t="s">
        <v>102</v>
      </c>
      <c r="E229" s="261">
        <v>12</v>
      </c>
      <c r="F229" s="261" t="s">
        <v>17</v>
      </c>
      <c r="G229" s="262"/>
      <c r="H229" s="262">
        <f>G229*E229</f>
        <v>0</v>
      </c>
    </row>
    <row r="230" spans="1:8" x14ac:dyDescent="0.45">
      <c r="A230" s="40"/>
      <c r="B230" s="43">
        <v>1503020</v>
      </c>
      <c r="C230" s="41"/>
      <c r="D230" s="42" t="s">
        <v>114</v>
      </c>
      <c r="E230" s="43"/>
      <c r="F230" s="44"/>
      <c r="G230" s="44"/>
      <c r="H230" s="45"/>
    </row>
    <row r="231" spans="1:8" ht="13.45" customHeight="1" x14ac:dyDescent="0.45">
      <c r="A231" s="22" t="s">
        <v>5293</v>
      </c>
      <c r="B231" s="33">
        <v>1503020</v>
      </c>
      <c r="C231" s="33">
        <v>3.1</v>
      </c>
      <c r="D231" s="36" t="s">
        <v>116</v>
      </c>
      <c r="E231" s="23">
        <v>12</v>
      </c>
      <c r="F231" s="23" t="s">
        <v>17</v>
      </c>
      <c r="G231" s="24"/>
      <c r="H231" s="24">
        <f>G231*E231</f>
        <v>0</v>
      </c>
    </row>
    <row r="232" spans="1:8" ht="13.45" customHeight="1" x14ac:dyDescent="0.45">
      <c r="A232" s="22" t="s">
        <v>5294</v>
      </c>
      <c r="B232" s="33">
        <v>1503020</v>
      </c>
      <c r="C232" s="33">
        <v>3.2</v>
      </c>
      <c r="D232" s="36" t="s">
        <v>118</v>
      </c>
      <c r="E232" s="23">
        <v>12</v>
      </c>
      <c r="F232" s="23" t="s">
        <v>17</v>
      </c>
      <c r="G232" s="24"/>
      <c r="H232" s="24">
        <f>G232*E232</f>
        <v>0</v>
      </c>
    </row>
    <row r="233" spans="1:8" x14ac:dyDescent="0.45">
      <c r="A233" s="22" t="s">
        <v>5295</v>
      </c>
      <c r="B233" s="33">
        <v>1503020</v>
      </c>
      <c r="C233" s="33">
        <v>3.3</v>
      </c>
      <c r="D233" s="36" t="s">
        <v>120</v>
      </c>
      <c r="E233" s="23">
        <v>12</v>
      </c>
      <c r="F233" s="23" t="s">
        <v>17</v>
      </c>
      <c r="G233" s="24"/>
      <c r="H233" s="24">
        <f>G233*E233</f>
        <v>0</v>
      </c>
    </row>
    <row r="234" spans="1:8" x14ac:dyDescent="0.45">
      <c r="A234" s="40"/>
      <c r="B234" s="43">
        <v>1503030</v>
      </c>
      <c r="C234" s="41"/>
      <c r="D234" s="42" t="s">
        <v>121</v>
      </c>
      <c r="E234" s="43"/>
      <c r="F234" s="44"/>
      <c r="G234" s="44"/>
      <c r="H234" s="45"/>
    </row>
    <row r="235" spans="1:8" x14ac:dyDescent="0.45">
      <c r="A235" s="22" t="s">
        <v>5296</v>
      </c>
      <c r="B235" s="33">
        <v>1503030</v>
      </c>
      <c r="C235" s="33" t="s">
        <v>123</v>
      </c>
      <c r="D235" s="36" t="s">
        <v>124</v>
      </c>
      <c r="E235" s="23">
        <v>12</v>
      </c>
      <c r="F235" s="23" t="s">
        <v>17</v>
      </c>
      <c r="G235" s="24"/>
      <c r="H235" s="24">
        <f>G235*E235</f>
        <v>0</v>
      </c>
    </row>
    <row r="236" spans="1:8" x14ac:dyDescent="0.45">
      <c r="A236" s="58"/>
      <c r="B236" s="59"/>
      <c r="C236" s="59"/>
      <c r="D236" s="60" t="s">
        <v>287</v>
      </c>
      <c r="E236" s="59"/>
      <c r="F236" s="59"/>
      <c r="G236" s="59"/>
      <c r="H236" s="62">
        <f>SUM(H221:H235)</f>
        <v>0</v>
      </c>
    </row>
    <row r="237" spans="1:8" x14ac:dyDescent="0.45">
      <c r="A237" s="96"/>
      <c r="B237" s="97"/>
      <c r="C237" s="97"/>
      <c r="D237" s="98"/>
      <c r="E237" s="97"/>
      <c r="F237" s="97"/>
      <c r="G237" s="97"/>
      <c r="H237" s="99"/>
    </row>
    <row r="238" spans="1:8" x14ac:dyDescent="0.45">
      <c r="A238" s="12" t="s">
        <v>4098</v>
      </c>
      <c r="B238" s="13"/>
      <c r="C238" s="13"/>
      <c r="D238" s="12" t="s">
        <v>289</v>
      </c>
      <c r="E238" s="100"/>
      <c r="F238" s="101"/>
      <c r="G238" s="101"/>
      <c r="H238" s="102"/>
    </row>
    <row r="239" spans="1:8" x14ac:dyDescent="0.45">
      <c r="A239" s="103"/>
      <c r="B239" s="41">
        <v>1502000</v>
      </c>
      <c r="C239" s="43"/>
      <c r="D239" s="42" t="s">
        <v>18</v>
      </c>
      <c r="E239" s="43"/>
      <c r="F239" s="44"/>
      <c r="G239" s="44"/>
      <c r="H239" s="45"/>
    </row>
    <row r="240" spans="1:8" x14ac:dyDescent="0.45">
      <c r="A240" s="25"/>
      <c r="B240" s="26"/>
      <c r="C240" s="26">
        <v>3.4</v>
      </c>
      <c r="D240" s="27" t="s">
        <v>62</v>
      </c>
      <c r="E240" s="26"/>
      <c r="F240" s="26"/>
      <c r="G240" s="26"/>
      <c r="H240" s="104"/>
    </row>
    <row r="241" spans="1:8" x14ac:dyDescent="0.45">
      <c r="A241" s="22" t="s">
        <v>4099</v>
      </c>
      <c r="B241" s="23">
        <v>1502000</v>
      </c>
      <c r="C241" s="23" t="s">
        <v>67</v>
      </c>
      <c r="D241" s="35" t="s">
        <v>68</v>
      </c>
      <c r="E241" s="23">
        <v>12</v>
      </c>
      <c r="F241" s="23" t="s">
        <v>17</v>
      </c>
      <c r="G241" s="24"/>
      <c r="H241" s="24">
        <f>G241*E241</f>
        <v>0</v>
      </c>
    </row>
    <row r="242" spans="1:8" x14ac:dyDescent="0.45">
      <c r="A242" s="58"/>
      <c r="B242" s="59"/>
      <c r="C242" s="59"/>
      <c r="D242" s="60" t="s">
        <v>291</v>
      </c>
      <c r="E242" s="59"/>
      <c r="F242" s="59"/>
      <c r="G242" s="59"/>
      <c r="H242" s="62">
        <f>SUM(H241)</f>
        <v>0</v>
      </c>
    </row>
    <row r="243" spans="1:8" x14ac:dyDescent="0.45">
      <c r="A243" s="96"/>
      <c r="B243" s="97"/>
      <c r="C243" s="97"/>
      <c r="D243" s="98"/>
      <c r="E243" s="97"/>
      <c r="F243" s="97"/>
      <c r="G243" s="97"/>
      <c r="H243" s="99"/>
    </row>
    <row r="244" spans="1:8" x14ac:dyDescent="0.45">
      <c r="A244" s="12" t="s">
        <v>4100</v>
      </c>
      <c r="B244" s="13"/>
      <c r="C244" s="13"/>
      <c r="D244" s="12" t="s">
        <v>293</v>
      </c>
      <c r="E244" s="100"/>
      <c r="F244" s="101"/>
      <c r="G244" s="101"/>
      <c r="H244" s="102"/>
    </row>
    <row r="245" spans="1:8" x14ac:dyDescent="0.45">
      <c r="A245" s="40"/>
      <c r="B245" s="43">
        <v>1503030</v>
      </c>
      <c r="C245" s="41"/>
      <c r="D245" s="42" t="s">
        <v>121</v>
      </c>
      <c r="E245" s="43"/>
      <c r="F245" s="44"/>
      <c r="G245" s="44"/>
      <c r="H245" s="45"/>
    </row>
    <row r="246" spans="1:8" x14ac:dyDescent="0.45">
      <c r="A246" s="22" t="s">
        <v>4101</v>
      </c>
      <c r="B246" s="33">
        <v>1503030</v>
      </c>
      <c r="C246" s="33" t="s">
        <v>123</v>
      </c>
      <c r="D246" s="36" t="s">
        <v>124</v>
      </c>
      <c r="E246" s="23">
        <v>12</v>
      </c>
      <c r="F246" s="23" t="s">
        <v>17</v>
      </c>
      <c r="G246" s="24"/>
      <c r="H246" s="24">
        <f>G246*E246</f>
        <v>0</v>
      </c>
    </row>
    <row r="247" spans="1:8" x14ac:dyDescent="0.45">
      <c r="A247" s="58"/>
      <c r="B247" s="59"/>
      <c r="C247" s="59"/>
      <c r="D247" s="60" t="s">
        <v>295</v>
      </c>
      <c r="E247" s="59"/>
      <c r="F247" s="59"/>
      <c r="G247" s="59"/>
      <c r="H247" s="62">
        <f>SUM(H246)</f>
        <v>0</v>
      </c>
    </row>
    <row r="248" spans="1:8" x14ac:dyDescent="0.45">
      <c r="A248" s="96"/>
      <c r="B248" s="97"/>
      <c r="C248" s="97"/>
      <c r="D248" s="98"/>
      <c r="E248" s="97"/>
      <c r="F248" s="97"/>
      <c r="G248" s="88"/>
      <c r="H248" s="99"/>
    </row>
    <row r="249" spans="1:8" x14ac:dyDescent="0.45">
      <c r="A249" s="12" t="s">
        <v>4102</v>
      </c>
      <c r="B249" s="13"/>
      <c r="C249" s="13"/>
      <c r="D249" s="12" t="s">
        <v>297</v>
      </c>
      <c r="E249" s="100"/>
      <c r="F249" s="101"/>
      <c r="G249" s="91"/>
      <c r="H249" s="102"/>
    </row>
    <row r="250" spans="1:8" x14ac:dyDescent="0.45">
      <c r="A250" s="103"/>
      <c r="B250" s="41">
        <v>1502000</v>
      </c>
      <c r="C250" s="43"/>
      <c r="D250" s="42" t="s">
        <v>18</v>
      </c>
      <c r="E250" s="43"/>
      <c r="F250" s="44"/>
      <c r="G250" s="43"/>
      <c r="H250" s="45"/>
    </row>
    <row r="251" spans="1:8" x14ac:dyDescent="0.45">
      <c r="A251" s="27"/>
      <c r="B251" s="26"/>
      <c r="C251" s="26">
        <v>3.1</v>
      </c>
      <c r="D251" s="27" t="s">
        <v>19</v>
      </c>
      <c r="E251" s="26"/>
      <c r="F251" s="26"/>
      <c r="G251" s="28"/>
      <c r="H251" s="104"/>
    </row>
    <row r="252" spans="1:8" x14ac:dyDescent="0.45">
      <c r="A252" s="22" t="s">
        <v>4103</v>
      </c>
      <c r="B252" s="23">
        <v>1502000</v>
      </c>
      <c r="C252" s="23" t="s">
        <v>21</v>
      </c>
      <c r="D252" s="29" t="s">
        <v>22</v>
      </c>
      <c r="E252" s="23">
        <v>12</v>
      </c>
      <c r="F252" s="23" t="s">
        <v>17</v>
      </c>
      <c r="G252" s="24"/>
      <c r="H252" s="24">
        <f>G252*E252</f>
        <v>0</v>
      </c>
    </row>
    <row r="253" spans="1:8" x14ac:dyDescent="0.45">
      <c r="A253" s="22" t="s">
        <v>4104</v>
      </c>
      <c r="B253" s="23">
        <v>1502000</v>
      </c>
      <c r="C253" s="23" t="s">
        <v>24</v>
      </c>
      <c r="D253" s="29" t="s">
        <v>25</v>
      </c>
      <c r="E253" s="23">
        <v>12</v>
      </c>
      <c r="F253" s="23" t="s">
        <v>17</v>
      </c>
      <c r="G253" s="24"/>
      <c r="H253" s="24">
        <f>G253*E253</f>
        <v>0</v>
      </c>
    </row>
    <row r="254" spans="1:8" x14ac:dyDescent="0.45">
      <c r="A254" s="22" t="s">
        <v>4105</v>
      </c>
      <c r="B254" s="23">
        <v>1502000</v>
      </c>
      <c r="C254" s="23" t="s">
        <v>27</v>
      </c>
      <c r="D254" s="29" t="s">
        <v>28</v>
      </c>
      <c r="E254" s="23">
        <v>12</v>
      </c>
      <c r="F254" s="23" t="s">
        <v>17</v>
      </c>
      <c r="G254" s="24"/>
      <c r="H254" s="24">
        <f>G254*E254</f>
        <v>0</v>
      </c>
    </row>
    <row r="255" spans="1:8" x14ac:dyDescent="0.45">
      <c r="A255" s="25"/>
      <c r="B255" s="26"/>
      <c r="C255" s="26">
        <v>3.1</v>
      </c>
      <c r="D255" s="27" t="s">
        <v>31</v>
      </c>
      <c r="E255" s="28"/>
      <c r="F255" s="28"/>
      <c r="G255" s="28"/>
      <c r="H255" s="28"/>
    </row>
    <row r="256" spans="1:8" x14ac:dyDescent="0.45">
      <c r="A256" s="22" t="s">
        <v>4106</v>
      </c>
      <c r="B256" s="23">
        <v>1502000</v>
      </c>
      <c r="C256" s="286" t="s">
        <v>5022</v>
      </c>
      <c r="D256" s="32" t="s">
        <v>37</v>
      </c>
      <c r="E256" s="23">
        <v>12</v>
      </c>
      <c r="F256" s="23" t="s">
        <v>17</v>
      </c>
      <c r="G256" s="24"/>
      <c r="H256" s="24">
        <f>G256*E256</f>
        <v>0</v>
      </c>
    </row>
    <row r="257" spans="1:8" x14ac:dyDescent="0.45">
      <c r="A257" s="22" t="s">
        <v>4107</v>
      </c>
      <c r="B257" s="23">
        <v>1502000</v>
      </c>
      <c r="C257" s="23" t="s">
        <v>45</v>
      </c>
      <c r="D257" s="30" t="s">
        <v>46</v>
      </c>
      <c r="E257" s="23">
        <v>12</v>
      </c>
      <c r="F257" s="23" t="s">
        <v>17</v>
      </c>
      <c r="G257" s="24"/>
      <c r="H257" s="24">
        <f>G257*E257</f>
        <v>0</v>
      </c>
    </row>
    <row r="258" spans="1:8" x14ac:dyDescent="0.45">
      <c r="A258" s="25"/>
      <c r="B258" s="26"/>
      <c r="C258" s="26">
        <v>3.4</v>
      </c>
      <c r="D258" s="27" t="s">
        <v>62</v>
      </c>
      <c r="E258" s="26"/>
      <c r="F258" s="26"/>
      <c r="G258" s="28"/>
      <c r="H258" s="104"/>
    </row>
    <row r="259" spans="1:8" x14ac:dyDescent="0.45">
      <c r="A259" s="22" t="s">
        <v>4108</v>
      </c>
      <c r="B259" s="23">
        <v>1502000</v>
      </c>
      <c r="C259" s="23" t="s">
        <v>67</v>
      </c>
      <c r="D259" s="35" t="s">
        <v>68</v>
      </c>
      <c r="E259" s="23">
        <v>12</v>
      </c>
      <c r="F259" s="23" t="s">
        <v>17</v>
      </c>
      <c r="G259" s="24"/>
      <c r="H259" s="24">
        <f>G259*E259</f>
        <v>0</v>
      </c>
    </row>
    <row r="260" spans="1:8" x14ac:dyDescent="0.45">
      <c r="A260" s="25"/>
      <c r="B260" s="26"/>
      <c r="C260" s="26">
        <v>3.5</v>
      </c>
      <c r="D260" s="27" t="s">
        <v>72</v>
      </c>
      <c r="E260" s="28"/>
      <c r="F260" s="28"/>
      <c r="G260" s="28"/>
      <c r="H260" s="28"/>
    </row>
    <row r="261" spans="1:8" x14ac:dyDescent="0.45">
      <c r="A261" s="22" t="s">
        <v>4109</v>
      </c>
      <c r="B261" s="23">
        <v>1502000</v>
      </c>
      <c r="C261" s="23" t="s">
        <v>74</v>
      </c>
      <c r="D261" s="32" t="s">
        <v>37</v>
      </c>
      <c r="E261" s="23">
        <v>12</v>
      </c>
      <c r="F261" s="23" t="s">
        <v>17</v>
      </c>
      <c r="G261" s="24"/>
      <c r="H261" s="24">
        <f>G261*E261</f>
        <v>0</v>
      </c>
    </row>
    <row r="262" spans="1:8" x14ac:dyDescent="0.45">
      <c r="A262" s="25"/>
      <c r="B262" s="26"/>
      <c r="C262" s="26">
        <v>3.6</v>
      </c>
      <c r="D262" s="27" t="s">
        <v>75</v>
      </c>
      <c r="E262" s="26"/>
      <c r="F262" s="26"/>
      <c r="G262" s="28"/>
      <c r="H262" s="104"/>
    </row>
    <row r="263" spans="1:8" x14ac:dyDescent="0.45">
      <c r="A263" s="22" t="s">
        <v>4110</v>
      </c>
      <c r="B263" s="23">
        <v>1502000</v>
      </c>
      <c r="C263" s="33" t="s">
        <v>86</v>
      </c>
      <c r="D263" s="39" t="s">
        <v>87</v>
      </c>
      <c r="E263" s="23">
        <v>12</v>
      </c>
      <c r="F263" s="23" t="s">
        <v>17</v>
      </c>
      <c r="G263" s="24"/>
      <c r="H263" s="24">
        <f>G263*E263</f>
        <v>0</v>
      </c>
    </row>
    <row r="264" spans="1:8" x14ac:dyDescent="0.45">
      <c r="A264" s="22" t="s">
        <v>4111</v>
      </c>
      <c r="B264" s="23">
        <v>1502000</v>
      </c>
      <c r="C264" s="33" t="s">
        <v>89</v>
      </c>
      <c r="D264" s="39" t="s">
        <v>90</v>
      </c>
      <c r="E264" s="23">
        <v>12</v>
      </c>
      <c r="F264" s="23" t="s">
        <v>17</v>
      </c>
      <c r="G264" s="24"/>
      <c r="H264" s="24">
        <f>G264*E264</f>
        <v>0</v>
      </c>
    </row>
    <row r="265" spans="1:8" x14ac:dyDescent="0.45">
      <c r="A265" s="22" t="s">
        <v>4112</v>
      </c>
      <c r="B265" s="23">
        <v>1502000</v>
      </c>
      <c r="C265" s="23" t="s">
        <v>308</v>
      </c>
      <c r="D265" s="106" t="s">
        <v>309</v>
      </c>
      <c r="E265" s="23">
        <v>12</v>
      </c>
      <c r="F265" s="23" t="s">
        <v>17</v>
      </c>
      <c r="G265" s="24"/>
      <c r="H265" s="24">
        <f>G265*E265</f>
        <v>0</v>
      </c>
    </row>
    <row r="266" spans="1:8" x14ac:dyDescent="0.45">
      <c r="A266" s="40"/>
      <c r="B266" s="43">
        <v>1503020</v>
      </c>
      <c r="C266" s="41"/>
      <c r="D266" s="42" t="s">
        <v>114</v>
      </c>
      <c r="E266" s="43"/>
      <c r="F266" s="44"/>
      <c r="G266" s="44"/>
      <c r="H266" s="45"/>
    </row>
    <row r="267" spans="1:8" x14ac:dyDescent="0.45">
      <c r="A267" s="22" t="s">
        <v>4113</v>
      </c>
      <c r="B267" s="33">
        <v>1503020</v>
      </c>
      <c r="C267" s="33">
        <v>3.1</v>
      </c>
      <c r="D267" s="36" t="s">
        <v>116</v>
      </c>
      <c r="E267" s="23">
        <v>12</v>
      </c>
      <c r="F267" s="23" t="s">
        <v>17</v>
      </c>
      <c r="G267" s="24"/>
      <c r="H267" s="24">
        <f>G267*E267</f>
        <v>0</v>
      </c>
    </row>
    <row r="268" spans="1:8" x14ac:dyDescent="0.45">
      <c r="A268" s="22" t="s">
        <v>4114</v>
      </c>
      <c r="B268" s="33">
        <v>1503020</v>
      </c>
      <c r="C268" s="33">
        <v>3.2</v>
      </c>
      <c r="D268" s="36" t="s">
        <v>118</v>
      </c>
      <c r="E268" s="23">
        <v>12</v>
      </c>
      <c r="F268" s="23" t="s">
        <v>17</v>
      </c>
      <c r="G268" s="24"/>
      <c r="H268" s="24">
        <f>G268*E268</f>
        <v>0</v>
      </c>
    </row>
    <row r="269" spans="1:8" x14ac:dyDescent="0.45">
      <c r="A269" s="22" t="s">
        <v>4115</v>
      </c>
      <c r="B269" s="33">
        <v>1503020</v>
      </c>
      <c r="C269" s="33">
        <v>3.3</v>
      </c>
      <c r="D269" s="36" t="s">
        <v>120</v>
      </c>
      <c r="E269" s="23">
        <v>12</v>
      </c>
      <c r="F269" s="23" t="s">
        <v>17</v>
      </c>
      <c r="G269" s="24"/>
      <c r="H269" s="24">
        <f>G269*E269</f>
        <v>0</v>
      </c>
    </row>
    <row r="270" spans="1:8" x14ac:dyDescent="0.45">
      <c r="A270" s="40"/>
      <c r="B270" s="43">
        <v>1503030</v>
      </c>
      <c r="C270" s="41"/>
      <c r="D270" s="42" t="s">
        <v>121</v>
      </c>
      <c r="E270" s="43"/>
      <c r="F270" s="44"/>
      <c r="G270" s="44"/>
      <c r="H270" s="45"/>
    </row>
    <row r="271" spans="1:8" x14ac:dyDescent="0.45">
      <c r="A271" s="22" t="s">
        <v>4116</v>
      </c>
      <c r="B271" s="33">
        <v>1503030</v>
      </c>
      <c r="C271" s="33" t="s">
        <v>123</v>
      </c>
      <c r="D271" s="36" t="s">
        <v>124</v>
      </c>
      <c r="E271" s="23">
        <v>12</v>
      </c>
      <c r="F271" s="23" t="s">
        <v>17</v>
      </c>
      <c r="G271" s="24"/>
      <c r="H271" s="24">
        <f>G271*E271</f>
        <v>0</v>
      </c>
    </row>
    <row r="272" spans="1:8" x14ac:dyDescent="0.45">
      <c r="A272" s="58"/>
      <c r="B272" s="59"/>
      <c r="C272" s="59"/>
      <c r="D272" s="60" t="s">
        <v>314</v>
      </c>
      <c r="E272" s="59"/>
      <c r="F272" s="59"/>
      <c r="G272" s="59"/>
      <c r="H272" s="62">
        <f>SUM(H252:H271)</f>
        <v>0</v>
      </c>
    </row>
    <row r="273" spans="1:8" x14ac:dyDescent="0.45">
      <c r="A273" s="96"/>
      <c r="B273" s="97"/>
      <c r="C273" s="97"/>
      <c r="D273" s="98"/>
      <c r="E273" s="97"/>
      <c r="F273" s="97"/>
      <c r="G273" s="97"/>
      <c r="H273" s="99"/>
    </row>
    <row r="274" spans="1:8" x14ac:dyDescent="0.45">
      <c r="A274" s="12" t="s">
        <v>4117</v>
      </c>
      <c r="B274" s="13"/>
      <c r="C274" s="13"/>
      <c r="D274" s="12" t="s">
        <v>316</v>
      </c>
      <c r="E274" s="100"/>
      <c r="F274" s="101"/>
      <c r="G274" s="13"/>
      <c r="H274" s="102"/>
    </row>
    <row r="275" spans="1:8" x14ac:dyDescent="0.45">
      <c r="A275" s="40"/>
      <c r="B275" s="41">
        <v>1503010</v>
      </c>
      <c r="C275" s="41"/>
      <c r="D275" s="42" t="s">
        <v>109</v>
      </c>
      <c r="E275" s="43"/>
      <c r="F275" s="44"/>
      <c r="G275" s="44"/>
      <c r="H275" s="45"/>
    </row>
    <row r="276" spans="1:8" x14ac:dyDescent="0.45">
      <c r="A276" s="22" t="s">
        <v>4118</v>
      </c>
      <c r="B276" s="33">
        <v>1503010</v>
      </c>
      <c r="C276" s="33">
        <v>3.1</v>
      </c>
      <c r="D276" s="36" t="s">
        <v>111</v>
      </c>
      <c r="E276" s="23">
        <v>12</v>
      </c>
      <c r="F276" s="23" t="s">
        <v>17</v>
      </c>
      <c r="G276" s="24"/>
      <c r="H276" s="24">
        <f>G276*E276</f>
        <v>0</v>
      </c>
    </row>
    <row r="277" spans="1:8" x14ac:dyDescent="0.45">
      <c r="A277" s="40"/>
      <c r="B277" s="43">
        <v>1503020</v>
      </c>
      <c r="C277" s="41"/>
      <c r="D277" s="42" t="s">
        <v>114</v>
      </c>
      <c r="E277" s="43"/>
      <c r="F277" s="44"/>
      <c r="G277" s="44"/>
      <c r="H277" s="45"/>
    </row>
    <row r="278" spans="1:8" ht="13.45" customHeight="1" x14ac:dyDescent="0.45">
      <c r="A278" s="22" t="s">
        <v>4119</v>
      </c>
      <c r="B278" s="33">
        <v>1503020</v>
      </c>
      <c r="C278" s="33">
        <v>3.1</v>
      </c>
      <c r="D278" s="36" t="s">
        <v>116</v>
      </c>
      <c r="E278" s="23">
        <v>12</v>
      </c>
      <c r="F278" s="23" t="s">
        <v>17</v>
      </c>
      <c r="G278" s="24"/>
      <c r="H278" s="24">
        <f>G278*E278</f>
        <v>0</v>
      </c>
    </row>
    <row r="279" spans="1:8" ht="13.45" customHeight="1" x14ac:dyDescent="0.45">
      <c r="A279" s="22" t="s">
        <v>4120</v>
      </c>
      <c r="B279" s="33">
        <v>1503020</v>
      </c>
      <c r="C279" s="33">
        <v>3.2</v>
      </c>
      <c r="D279" s="36" t="s">
        <v>118</v>
      </c>
      <c r="E279" s="23">
        <v>12</v>
      </c>
      <c r="F279" s="23" t="s">
        <v>17</v>
      </c>
      <c r="G279" s="24"/>
      <c r="H279" s="24">
        <f>G279*E279</f>
        <v>0</v>
      </c>
    </row>
    <row r="280" spans="1:8" x14ac:dyDescent="0.45">
      <c r="A280" s="22" t="s">
        <v>4121</v>
      </c>
      <c r="B280" s="33">
        <v>1503020</v>
      </c>
      <c r="C280" s="33">
        <v>3.3</v>
      </c>
      <c r="D280" s="36" t="s">
        <v>120</v>
      </c>
      <c r="E280" s="23">
        <v>12</v>
      </c>
      <c r="F280" s="23" t="s">
        <v>17</v>
      </c>
      <c r="G280" s="24"/>
      <c r="H280" s="24">
        <f>G280*E280</f>
        <v>0</v>
      </c>
    </row>
    <row r="281" spans="1:8" x14ac:dyDescent="0.45">
      <c r="A281" s="58"/>
      <c r="B281" s="59"/>
      <c r="C281" s="59"/>
      <c r="D281" s="60" t="s">
        <v>321</v>
      </c>
      <c r="E281" s="59"/>
      <c r="F281" s="59"/>
      <c r="G281" s="59"/>
      <c r="H281" s="62">
        <f>SUM(H276:H280)</f>
        <v>0</v>
      </c>
    </row>
    <row r="282" spans="1:8" x14ac:dyDescent="0.45">
      <c r="A282" s="96"/>
      <c r="B282" s="97"/>
      <c r="C282" s="97"/>
      <c r="D282" s="98"/>
      <c r="E282" s="97"/>
      <c r="F282" s="97"/>
      <c r="G282" s="88"/>
      <c r="H282" s="99"/>
    </row>
    <row r="283" spans="1:8" x14ac:dyDescent="0.45">
      <c r="A283" s="12" t="s">
        <v>4122</v>
      </c>
      <c r="B283" s="13"/>
      <c r="C283" s="13"/>
      <c r="D283" s="12" t="s">
        <v>323</v>
      </c>
      <c r="E283" s="13"/>
      <c r="F283" s="13"/>
      <c r="G283" s="91"/>
      <c r="H283" s="102"/>
    </row>
    <row r="284" spans="1:8" x14ac:dyDescent="0.45">
      <c r="A284" s="103"/>
      <c r="B284" s="41">
        <v>1502000</v>
      </c>
      <c r="C284" s="43"/>
      <c r="D284" s="42" t="s">
        <v>18</v>
      </c>
      <c r="E284" s="43"/>
      <c r="F284" s="44"/>
      <c r="G284" s="43"/>
      <c r="H284" s="45"/>
    </row>
    <row r="285" spans="1:8" x14ac:dyDescent="0.45">
      <c r="A285" s="27"/>
      <c r="B285" s="26"/>
      <c r="C285" s="26">
        <v>3.1</v>
      </c>
      <c r="D285" s="27" t="s">
        <v>19</v>
      </c>
      <c r="E285" s="26"/>
      <c r="F285" s="26"/>
      <c r="G285" s="28"/>
      <c r="H285" s="104"/>
    </row>
    <row r="286" spans="1:8" x14ac:dyDescent="0.45">
      <c r="A286" s="22" t="s">
        <v>4123</v>
      </c>
      <c r="B286" s="23">
        <v>1502000</v>
      </c>
      <c r="C286" s="23" t="s">
        <v>21</v>
      </c>
      <c r="D286" s="29" t="s">
        <v>22</v>
      </c>
      <c r="E286" s="23">
        <v>12</v>
      </c>
      <c r="F286" s="23" t="s">
        <v>17</v>
      </c>
      <c r="G286" s="24"/>
      <c r="H286" s="24">
        <f>G286*E286</f>
        <v>0</v>
      </c>
    </row>
    <row r="287" spans="1:8" x14ac:dyDescent="0.45">
      <c r="A287" s="22" t="s">
        <v>4124</v>
      </c>
      <c r="B287" s="23">
        <v>1502000</v>
      </c>
      <c r="C287" s="23" t="s">
        <v>24</v>
      </c>
      <c r="D287" s="29" t="s">
        <v>25</v>
      </c>
      <c r="E287" s="23">
        <v>12</v>
      </c>
      <c r="F287" s="23" t="s">
        <v>17</v>
      </c>
      <c r="G287" s="24"/>
      <c r="H287" s="24">
        <f>G287*E287</f>
        <v>0</v>
      </c>
    </row>
    <row r="288" spans="1:8" x14ac:dyDescent="0.45">
      <c r="A288" s="22" t="s">
        <v>4125</v>
      </c>
      <c r="B288" s="23">
        <v>1502000</v>
      </c>
      <c r="C288" s="23" t="s">
        <v>27</v>
      </c>
      <c r="D288" s="29" t="s">
        <v>28</v>
      </c>
      <c r="E288" s="23">
        <v>12</v>
      </c>
      <c r="F288" s="23" t="s">
        <v>17</v>
      </c>
      <c r="G288" s="24"/>
      <c r="H288" s="24">
        <f>G288*E288</f>
        <v>0</v>
      </c>
    </row>
    <row r="289" spans="1:8" x14ac:dyDescent="0.45">
      <c r="A289" s="25"/>
      <c r="B289" s="26"/>
      <c r="C289" s="26">
        <v>3.1</v>
      </c>
      <c r="D289" s="27" t="s">
        <v>31</v>
      </c>
      <c r="E289" s="28"/>
      <c r="F289" s="28"/>
      <c r="G289" s="28"/>
      <c r="H289" s="28"/>
    </row>
    <row r="290" spans="1:8" x14ac:dyDescent="0.45">
      <c r="A290" s="22" t="s">
        <v>4126</v>
      </c>
      <c r="B290" s="23">
        <v>1502000</v>
      </c>
      <c r="C290" s="23" t="s">
        <v>33</v>
      </c>
      <c r="D290" s="30" t="s">
        <v>34</v>
      </c>
      <c r="E290" s="23">
        <v>12</v>
      </c>
      <c r="F290" s="23" t="s">
        <v>17</v>
      </c>
      <c r="G290" s="24"/>
      <c r="H290" s="24">
        <f t="shared" ref="H290:H295" si="3">G290*E290</f>
        <v>0</v>
      </c>
    </row>
    <row r="291" spans="1:8" s="389" customFormat="1" x14ac:dyDescent="0.45">
      <c r="A291" s="22" t="s">
        <v>4127</v>
      </c>
      <c r="B291" s="23">
        <v>1502000</v>
      </c>
      <c r="C291" s="23" t="s">
        <v>5016</v>
      </c>
      <c r="D291" s="30" t="s">
        <v>46</v>
      </c>
      <c r="E291" s="23">
        <v>12</v>
      </c>
      <c r="F291" s="23" t="s">
        <v>17</v>
      </c>
      <c r="G291" s="24"/>
      <c r="H291" s="24">
        <f t="shared" si="3"/>
        <v>0</v>
      </c>
    </row>
    <row r="292" spans="1:8" s="389" customFormat="1" x14ac:dyDescent="0.45">
      <c r="A292" s="258" t="s">
        <v>4128</v>
      </c>
      <c r="B292" s="261">
        <v>1502000</v>
      </c>
      <c r="C292" s="261" t="s">
        <v>5017</v>
      </c>
      <c r="D292" s="269" t="s">
        <v>55</v>
      </c>
      <c r="E292" s="261">
        <v>12</v>
      </c>
      <c r="F292" s="261" t="s">
        <v>17</v>
      </c>
      <c r="G292" s="262"/>
      <c r="H292" s="262">
        <f t="shared" si="3"/>
        <v>0</v>
      </c>
    </row>
    <row r="293" spans="1:8" s="389" customFormat="1" x14ac:dyDescent="0.45">
      <c r="A293" s="22" t="s">
        <v>5269</v>
      </c>
      <c r="B293" s="23">
        <v>1502000</v>
      </c>
      <c r="C293" s="113" t="s">
        <v>5018</v>
      </c>
      <c r="D293" s="114" t="s">
        <v>330</v>
      </c>
      <c r="E293" s="23">
        <v>12</v>
      </c>
      <c r="F293" s="23" t="s">
        <v>17</v>
      </c>
      <c r="G293" s="24"/>
      <c r="H293" s="24">
        <f t="shared" si="3"/>
        <v>0</v>
      </c>
    </row>
    <row r="294" spans="1:8" s="389" customFormat="1" x14ac:dyDescent="0.45">
      <c r="A294" s="22" t="s">
        <v>5270</v>
      </c>
      <c r="B294" s="23">
        <v>1502000</v>
      </c>
      <c r="C294" s="113" t="s">
        <v>5019</v>
      </c>
      <c r="D294" s="114" t="s">
        <v>331</v>
      </c>
      <c r="E294" s="23">
        <v>12</v>
      </c>
      <c r="F294" s="23" t="s">
        <v>17</v>
      </c>
      <c r="G294" s="24"/>
      <c r="H294" s="24">
        <f t="shared" si="3"/>
        <v>0</v>
      </c>
    </row>
    <row r="295" spans="1:8" s="389" customFormat="1" x14ac:dyDescent="0.45">
      <c r="A295" s="22" t="s">
        <v>5271</v>
      </c>
      <c r="B295" s="23">
        <v>1502000</v>
      </c>
      <c r="C295" s="113" t="s">
        <v>5020</v>
      </c>
      <c r="D295" s="114" t="s">
        <v>333</v>
      </c>
      <c r="E295" s="23">
        <v>12</v>
      </c>
      <c r="F295" s="23" t="s">
        <v>17</v>
      </c>
      <c r="G295" s="24"/>
      <c r="H295" s="24">
        <f t="shared" si="3"/>
        <v>0</v>
      </c>
    </row>
    <row r="296" spans="1:8" x14ac:dyDescent="0.45">
      <c r="A296" s="25"/>
      <c r="B296" s="26"/>
      <c r="C296" s="26">
        <v>3.4</v>
      </c>
      <c r="D296" s="27" t="s">
        <v>62</v>
      </c>
      <c r="E296" s="26"/>
      <c r="F296" s="26"/>
      <c r="G296" s="28"/>
      <c r="H296" s="104"/>
    </row>
    <row r="297" spans="1:8" x14ac:dyDescent="0.45">
      <c r="A297" s="22" t="s">
        <v>5272</v>
      </c>
      <c r="B297" s="23">
        <v>1502000</v>
      </c>
      <c r="C297" s="23" t="s">
        <v>67</v>
      </c>
      <c r="D297" s="35" t="s">
        <v>68</v>
      </c>
      <c r="E297" s="23">
        <v>12</v>
      </c>
      <c r="F297" s="23" t="s">
        <v>17</v>
      </c>
      <c r="G297" s="24"/>
      <c r="H297" s="24">
        <f>G297*E297</f>
        <v>0</v>
      </c>
    </row>
    <row r="298" spans="1:8" x14ac:dyDescent="0.45">
      <c r="A298" s="25"/>
      <c r="B298" s="26"/>
      <c r="C298" s="26">
        <v>3.6</v>
      </c>
      <c r="D298" s="27" t="s">
        <v>75</v>
      </c>
      <c r="E298" s="26"/>
      <c r="F298" s="26"/>
      <c r="G298" s="28"/>
      <c r="H298" s="104"/>
    </row>
    <row r="299" spans="1:8" x14ac:dyDescent="0.45">
      <c r="A299" s="22" t="s">
        <v>5273</v>
      </c>
      <c r="B299" s="23">
        <v>1502000</v>
      </c>
      <c r="C299" s="33" t="s">
        <v>89</v>
      </c>
      <c r="D299" s="39" t="s">
        <v>90</v>
      </c>
      <c r="E299" s="23">
        <v>12</v>
      </c>
      <c r="F299" s="23" t="s">
        <v>17</v>
      </c>
      <c r="G299" s="24"/>
      <c r="H299" s="24">
        <f>G299*E299</f>
        <v>0</v>
      </c>
    </row>
    <row r="300" spans="1:8" x14ac:dyDescent="0.45">
      <c r="A300" s="22" t="s">
        <v>5274</v>
      </c>
      <c r="B300" s="23">
        <v>1502000</v>
      </c>
      <c r="C300" s="33" t="s">
        <v>101</v>
      </c>
      <c r="D300" s="39" t="s">
        <v>102</v>
      </c>
      <c r="E300" s="23">
        <v>12</v>
      </c>
      <c r="F300" s="23" t="s">
        <v>17</v>
      </c>
      <c r="G300" s="24"/>
      <c r="H300" s="24">
        <f>G300*E300</f>
        <v>0</v>
      </c>
    </row>
    <row r="301" spans="1:8" x14ac:dyDescent="0.45">
      <c r="A301" s="40"/>
      <c r="B301" s="41">
        <v>1503010</v>
      </c>
      <c r="C301" s="41"/>
      <c r="D301" s="42" t="s">
        <v>109</v>
      </c>
      <c r="E301" s="43"/>
      <c r="F301" s="44"/>
      <c r="G301" s="44"/>
      <c r="H301" s="45"/>
    </row>
    <row r="302" spans="1:8" x14ac:dyDescent="0.45">
      <c r="A302" s="22" t="s">
        <v>5275</v>
      </c>
      <c r="B302" s="33">
        <v>1503010</v>
      </c>
      <c r="C302" s="33">
        <v>3.1</v>
      </c>
      <c r="D302" s="36" t="s">
        <v>111</v>
      </c>
      <c r="E302" s="23">
        <v>12</v>
      </c>
      <c r="F302" s="115" t="s">
        <v>17</v>
      </c>
      <c r="G302" s="24"/>
      <c r="H302" s="24">
        <f>G302*E302</f>
        <v>0</v>
      </c>
    </row>
    <row r="303" spans="1:8" x14ac:dyDescent="0.45">
      <c r="A303" s="58"/>
      <c r="B303" s="59"/>
      <c r="C303" s="59"/>
      <c r="D303" s="60" t="s">
        <v>334</v>
      </c>
      <c r="E303" s="59"/>
      <c r="F303" s="59"/>
      <c r="G303" s="59"/>
      <c r="H303" s="62">
        <f>SUM(H286:H302)</f>
        <v>0</v>
      </c>
    </row>
    <row r="304" spans="1:8" x14ac:dyDescent="0.45">
      <c r="A304" s="96"/>
      <c r="B304" s="97"/>
      <c r="C304" s="97"/>
      <c r="D304" s="116"/>
      <c r="E304" s="97"/>
      <c r="F304" s="97"/>
      <c r="G304" s="88"/>
      <c r="H304" s="99"/>
    </row>
    <row r="305" spans="1:8" x14ac:dyDescent="0.45">
      <c r="A305" s="12" t="s">
        <v>4129</v>
      </c>
      <c r="B305" s="13"/>
      <c r="C305" s="13"/>
      <c r="D305" s="247" t="s">
        <v>5009</v>
      </c>
      <c r="E305" s="13"/>
      <c r="F305" s="13"/>
      <c r="G305" s="91"/>
      <c r="H305" s="102"/>
    </row>
    <row r="306" spans="1:8" x14ac:dyDescent="0.45">
      <c r="A306" s="40"/>
      <c r="B306" s="41">
        <v>1401000</v>
      </c>
      <c r="C306" s="41"/>
      <c r="D306" s="42" t="s">
        <v>336</v>
      </c>
      <c r="E306" s="43"/>
      <c r="F306" s="44"/>
      <c r="G306" s="43"/>
      <c r="H306" s="45"/>
    </row>
    <row r="307" spans="1:8" x14ac:dyDescent="0.45">
      <c r="A307" s="22" t="s">
        <v>4130</v>
      </c>
      <c r="B307" s="23">
        <v>1401000</v>
      </c>
      <c r="C307" s="23">
        <v>3.1</v>
      </c>
      <c r="D307" s="27" t="s">
        <v>338</v>
      </c>
      <c r="E307" s="26"/>
      <c r="F307" s="26"/>
      <c r="G307" s="28"/>
      <c r="H307" s="104"/>
    </row>
    <row r="308" spans="1:8" x14ac:dyDescent="0.45">
      <c r="A308" s="22" t="s">
        <v>4131</v>
      </c>
      <c r="B308" s="117">
        <v>1401000</v>
      </c>
      <c r="C308" s="117" t="s">
        <v>340</v>
      </c>
      <c r="D308" s="106" t="s">
        <v>22</v>
      </c>
      <c r="E308" s="118">
        <v>12</v>
      </c>
      <c r="F308" s="118" t="s">
        <v>17</v>
      </c>
      <c r="G308" s="24"/>
      <c r="H308" s="24">
        <f>G308*E308</f>
        <v>0</v>
      </c>
    </row>
    <row r="309" spans="1:8" x14ac:dyDescent="0.45">
      <c r="A309" s="22" t="s">
        <v>4132</v>
      </c>
      <c r="B309" s="117">
        <v>1401000</v>
      </c>
      <c r="C309" s="117" t="s">
        <v>342</v>
      </c>
      <c r="D309" s="106" t="s">
        <v>25</v>
      </c>
      <c r="E309" s="118">
        <v>12</v>
      </c>
      <c r="F309" s="118" t="s">
        <v>17</v>
      </c>
      <c r="G309" s="24"/>
      <c r="H309" s="24">
        <f>G309*E309</f>
        <v>0</v>
      </c>
    </row>
    <row r="310" spans="1:8" x14ac:dyDescent="0.45">
      <c r="A310" s="22" t="s">
        <v>4133</v>
      </c>
      <c r="B310" s="117">
        <v>1401000</v>
      </c>
      <c r="C310" s="117" t="s">
        <v>344</v>
      </c>
      <c r="D310" s="106" t="s">
        <v>28</v>
      </c>
      <c r="E310" s="118">
        <v>12</v>
      </c>
      <c r="F310" s="118" t="s">
        <v>17</v>
      </c>
      <c r="G310" s="24"/>
      <c r="H310" s="24">
        <f>G310*E310</f>
        <v>0</v>
      </c>
    </row>
    <row r="311" spans="1:8" x14ac:dyDescent="0.45">
      <c r="A311" s="22" t="s">
        <v>4134</v>
      </c>
      <c r="B311" s="117">
        <v>1401000</v>
      </c>
      <c r="C311" s="117" t="s">
        <v>24</v>
      </c>
      <c r="D311" s="106" t="s">
        <v>346</v>
      </c>
      <c r="E311" s="118">
        <v>12</v>
      </c>
      <c r="F311" s="118" t="s">
        <v>17</v>
      </c>
      <c r="G311" s="24"/>
      <c r="H311" s="24">
        <f>G311*E311</f>
        <v>0</v>
      </c>
    </row>
    <row r="312" spans="1:8" x14ac:dyDescent="0.45">
      <c r="A312" s="103"/>
      <c r="B312" s="41">
        <v>1502000</v>
      </c>
      <c r="C312" s="43"/>
      <c r="D312" s="42" t="s">
        <v>18</v>
      </c>
      <c r="E312" s="43"/>
      <c r="F312" s="44"/>
      <c r="G312" s="44"/>
      <c r="H312" s="45"/>
    </row>
    <row r="313" spans="1:8" x14ac:dyDescent="0.45">
      <c r="A313" s="25"/>
      <c r="B313" s="26"/>
      <c r="C313" s="26">
        <v>3.1</v>
      </c>
      <c r="D313" s="27" t="s">
        <v>31</v>
      </c>
      <c r="E313" s="28"/>
      <c r="F313" s="28"/>
      <c r="G313" s="28"/>
      <c r="H313" s="28"/>
    </row>
    <row r="314" spans="1:8" x14ac:dyDescent="0.45">
      <c r="A314" s="22" t="s">
        <v>4135</v>
      </c>
      <c r="B314" s="33">
        <v>1502000</v>
      </c>
      <c r="C314" s="33" t="s">
        <v>60</v>
      </c>
      <c r="D314" s="30" t="s">
        <v>61</v>
      </c>
      <c r="E314" s="118">
        <v>12</v>
      </c>
      <c r="F314" s="118" t="s">
        <v>17</v>
      </c>
      <c r="G314" s="24"/>
      <c r="H314" s="24">
        <f>G314*E314</f>
        <v>0</v>
      </c>
    </row>
    <row r="315" spans="1:8" x14ac:dyDescent="0.45">
      <c r="A315" s="25"/>
      <c r="B315" s="26"/>
      <c r="C315" s="26">
        <v>3.4</v>
      </c>
      <c r="D315" s="27" t="s">
        <v>62</v>
      </c>
      <c r="E315" s="26"/>
      <c r="F315" s="26"/>
      <c r="G315" s="28"/>
      <c r="H315" s="104"/>
    </row>
    <row r="316" spans="1:8" x14ac:dyDescent="0.45">
      <c r="A316" s="22" t="s">
        <v>4136</v>
      </c>
      <c r="B316" s="23">
        <v>1502000</v>
      </c>
      <c r="C316" s="23" t="s">
        <v>64</v>
      </c>
      <c r="D316" s="35" t="s">
        <v>65</v>
      </c>
      <c r="E316" s="118">
        <v>12</v>
      </c>
      <c r="F316" s="118" t="s">
        <v>17</v>
      </c>
      <c r="G316" s="24"/>
      <c r="H316" s="24">
        <f>G316*E316</f>
        <v>0</v>
      </c>
    </row>
    <row r="317" spans="1:8" x14ac:dyDescent="0.45">
      <c r="A317" s="22" t="s">
        <v>4137</v>
      </c>
      <c r="B317" s="23">
        <v>1502000</v>
      </c>
      <c r="C317" s="33" t="s">
        <v>70</v>
      </c>
      <c r="D317" s="36" t="s">
        <v>71</v>
      </c>
      <c r="E317" s="118">
        <v>12</v>
      </c>
      <c r="F317" s="118" t="s">
        <v>17</v>
      </c>
      <c r="G317" s="24"/>
      <c r="H317" s="24">
        <f>G317*E317</f>
        <v>0</v>
      </c>
    </row>
    <row r="318" spans="1:8" x14ac:dyDescent="0.45">
      <c r="A318" s="25"/>
      <c r="B318" s="26"/>
      <c r="C318" s="26">
        <v>3.6</v>
      </c>
      <c r="D318" s="27" t="s">
        <v>75</v>
      </c>
      <c r="E318" s="26"/>
      <c r="F318" s="26"/>
      <c r="G318" s="28"/>
      <c r="H318" s="104"/>
    </row>
    <row r="319" spans="1:8" x14ac:dyDescent="0.45">
      <c r="A319" s="22" t="s">
        <v>4138</v>
      </c>
      <c r="B319" s="23">
        <v>1502000</v>
      </c>
      <c r="C319" s="23" t="s">
        <v>80</v>
      </c>
      <c r="D319" s="30" t="s">
        <v>81</v>
      </c>
      <c r="E319" s="118">
        <v>12</v>
      </c>
      <c r="F319" s="118" t="s">
        <v>17</v>
      </c>
      <c r="G319" s="24"/>
      <c r="H319" s="24">
        <f>G319*E319</f>
        <v>0</v>
      </c>
    </row>
    <row r="320" spans="1:8" x14ac:dyDescent="0.45">
      <c r="A320" s="22" t="s">
        <v>4139</v>
      </c>
      <c r="B320" s="23">
        <v>1502000</v>
      </c>
      <c r="C320" s="33" t="s">
        <v>86</v>
      </c>
      <c r="D320" s="39" t="s">
        <v>87</v>
      </c>
      <c r="E320" s="118">
        <v>12</v>
      </c>
      <c r="F320" s="118" t="s">
        <v>17</v>
      </c>
      <c r="G320" s="24"/>
      <c r="H320" s="24">
        <f>G320*E320</f>
        <v>0</v>
      </c>
    </row>
    <row r="321" spans="1:8" x14ac:dyDescent="0.45">
      <c r="A321" s="40"/>
      <c r="B321" s="41">
        <v>1503010</v>
      </c>
      <c r="C321" s="41"/>
      <c r="D321" s="42" t="s">
        <v>109</v>
      </c>
      <c r="E321" s="43"/>
      <c r="F321" s="44"/>
      <c r="G321" s="44"/>
      <c r="H321" s="45"/>
    </row>
    <row r="322" spans="1:8" x14ac:dyDescent="0.45">
      <c r="A322" s="22" t="s">
        <v>4140</v>
      </c>
      <c r="B322" s="33">
        <v>1503010</v>
      </c>
      <c r="C322" s="33">
        <v>3.1</v>
      </c>
      <c r="D322" s="36" t="s">
        <v>111</v>
      </c>
      <c r="E322" s="23">
        <v>12</v>
      </c>
      <c r="F322" s="23" t="s">
        <v>17</v>
      </c>
      <c r="G322" s="24"/>
      <c r="H322" s="24">
        <f>G322*E322</f>
        <v>0</v>
      </c>
    </row>
    <row r="323" spans="1:8" x14ac:dyDescent="0.45">
      <c r="A323" s="40"/>
      <c r="B323" s="43">
        <v>1503020</v>
      </c>
      <c r="C323" s="41"/>
      <c r="D323" s="42" t="s">
        <v>114</v>
      </c>
      <c r="E323" s="43"/>
      <c r="F323" s="44"/>
      <c r="G323" s="44"/>
      <c r="H323" s="45"/>
    </row>
    <row r="324" spans="1:8" s="254" customFormat="1" x14ac:dyDescent="0.45">
      <c r="A324" s="249" t="s">
        <v>4141</v>
      </c>
      <c r="B324" s="250">
        <v>1503020</v>
      </c>
      <c r="C324" s="250">
        <v>3.1</v>
      </c>
      <c r="D324" s="295" t="s">
        <v>116</v>
      </c>
      <c r="E324" s="252">
        <v>12</v>
      </c>
      <c r="F324" s="252" t="s">
        <v>17</v>
      </c>
      <c r="G324" s="253"/>
      <c r="H324" s="253">
        <f>G324*E324</f>
        <v>0</v>
      </c>
    </row>
    <row r="325" spans="1:8" s="254" customFormat="1" x14ac:dyDescent="0.45">
      <c r="A325" s="249" t="s">
        <v>4142</v>
      </c>
      <c r="B325" s="250">
        <v>1503020</v>
      </c>
      <c r="C325" s="250">
        <v>3.2</v>
      </c>
      <c r="D325" s="251" t="s">
        <v>118</v>
      </c>
      <c r="E325" s="252">
        <v>12</v>
      </c>
      <c r="F325" s="252" t="s">
        <v>17</v>
      </c>
      <c r="G325" s="253"/>
      <c r="H325" s="253">
        <f>G325*E325</f>
        <v>0</v>
      </c>
    </row>
    <row r="326" spans="1:8" s="300" customFormat="1" x14ac:dyDescent="0.45">
      <c r="A326" s="269" t="s">
        <v>4142</v>
      </c>
      <c r="B326" s="296">
        <v>1503020</v>
      </c>
      <c r="C326" s="296" t="s">
        <v>158</v>
      </c>
      <c r="D326" s="297" t="s">
        <v>5015</v>
      </c>
      <c r="E326" s="298">
        <v>12</v>
      </c>
      <c r="F326" s="298" t="s">
        <v>17</v>
      </c>
      <c r="G326" s="299"/>
      <c r="H326" s="299">
        <f>G326*E326</f>
        <v>0</v>
      </c>
    </row>
    <row r="327" spans="1:8" s="140" customFormat="1" x14ac:dyDescent="0.45">
      <c r="A327" s="249" t="s">
        <v>4143</v>
      </c>
      <c r="B327" s="52">
        <v>1503020</v>
      </c>
      <c r="C327" s="52">
        <v>3.3</v>
      </c>
      <c r="D327" s="36" t="s">
        <v>120</v>
      </c>
      <c r="E327" s="255">
        <v>12</v>
      </c>
      <c r="F327" s="255" t="s">
        <v>17</v>
      </c>
      <c r="G327" s="256"/>
      <c r="H327" s="24">
        <f>G327*E327</f>
        <v>0</v>
      </c>
    </row>
    <row r="328" spans="1:8" x14ac:dyDescent="0.45">
      <c r="A328" s="40"/>
      <c r="B328" s="43">
        <v>1503030</v>
      </c>
      <c r="C328" s="41"/>
      <c r="D328" s="42" t="s">
        <v>121</v>
      </c>
      <c r="E328" s="43"/>
      <c r="F328" s="44"/>
      <c r="G328" s="44"/>
      <c r="H328" s="45"/>
    </row>
    <row r="329" spans="1:8" x14ac:dyDescent="0.45">
      <c r="A329" s="22" t="s">
        <v>4143</v>
      </c>
      <c r="B329" s="33">
        <v>1503030</v>
      </c>
      <c r="C329" s="33" t="s">
        <v>123</v>
      </c>
      <c r="D329" s="36" t="s">
        <v>124</v>
      </c>
      <c r="E329" s="23">
        <v>12</v>
      </c>
      <c r="F329" s="23" t="s">
        <v>17</v>
      </c>
      <c r="G329" s="24"/>
      <c r="H329" s="24">
        <f>G329*E329</f>
        <v>0</v>
      </c>
    </row>
    <row r="330" spans="1:8" x14ac:dyDescent="0.45">
      <c r="A330" s="40"/>
      <c r="B330" s="41">
        <v>1503050</v>
      </c>
      <c r="C330" s="41"/>
      <c r="D330" s="42" t="s">
        <v>127</v>
      </c>
      <c r="E330" s="43"/>
      <c r="F330" s="44"/>
      <c r="G330" s="44"/>
      <c r="H330" s="45"/>
    </row>
    <row r="331" spans="1:8" x14ac:dyDescent="0.45">
      <c r="A331" s="22" t="s">
        <v>4144</v>
      </c>
      <c r="B331" s="23">
        <v>1503050</v>
      </c>
      <c r="C331" s="23">
        <v>3.1</v>
      </c>
      <c r="D331" s="106" t="s">
        <v>129</v>
      </c>
      <c r="E331" s="23">
        <v>12</v>
      </c>
      <c r="F331" s="23" t="s">
        <v>17</v>
      </c>
      <c r="G331" s="24"/>
      <c r="H331" s="24">
        <f>G331*E331</f>
        <v>0</v>
      </c>
    </row>
    <row r="332" spans="1:8" x14ac:dyDescent="0.45">
      <c r="A332" s="40"/>
      <c r="B332" s="41">
        <v>1503060</v>
      </c>
      <c r="C332" s="41"/>
      <c r="D332" s="42" t="s">
        <v>138</v>
      </c>
      <c r="E332" s="43"/>
      <c r="F332" s="44"/>
      <c r="G332" s="44"/>
      <c r="H332" s="45"/>
    </row>
    <row r="333" spans="1:8" x14ac:dyDescent="0.45">
      <c r="A333" s="22" t="s">
        <v>4145</v>
      </c>
      <c r="B333" s="23">
        <v>1503060</v>
      </c>
      <c r="C333" s="23">
        <v>3.1</v>
      </c>
      <c r="D333" s="106" t="s">
        <v>129</v>
      </c>
      <c r="E333" s="23">
        <v>12</v>
      </c>
      <c r="F333" s="23" t="s">
        <v>17</v>
      </c>
      <c r="G333" s="24"/>
      <c r="H333" s="24">
        <f>G333*E333</f>
        <v>0</v>
      </c>
    </row>
    <row r="334" spans="1:8" x14ac:dyDescent="0.45">
      <c r="A334" s="58"/>
      <c r="B334" s="59"/>
      <c r="C334" s="59"/>
      <c r="D334" s="60" t="s">
        <v>358</v>
      </c>
      <c r="E334" s="59"/>
      <c r="F334" s="59"/>
      <c r="G334" s="59"/>
      <c r="H334" s="62">
        <f>SUM(H308:H333)</f>
        <v>0</v>
      </c>
    </row>
    <row r="335" spans="1:8" x14ac:dyDescent="0.45">
      <c r="A335" s="121"/>
      <c r="B335" s="122"/>
      <c r="C335" s="122"/>
      <c r="D335" s="123"/>
      <c r="E335" s="122"/>
      <c r="F335" s="124"/>
      <c r="G335" s="97"/>
      <c r="H335" s="110"/>
    </row>
    <row r="336" spans="1:8" x14ac:dyDescent="0.45">
      <c r="A336" s="12" t="s">
        <v>4146</v>
      </c>
      <c r="B336" s="13"/>
      <c r="C336" s="13"/>
      <c r="D336" s="12" t="s">
        <v>360</v>
      </c>
      <c r="E336" s="100"/>
      <c r="F336" s="101"/>
      <c r="G336" s="13"/>
      <c r="H336" s="102"/>
    </row>
    <row r="337" spans="1:8" x14ac:dyDescent="0.45">
      <c r="A337" s="40"/>
      <c r="B337" s="41">
        <v>1402000</v>
      </c>
      <c r="C337" s="41">
        <v>3</v>
      </c>
      <c r="D337" s="42" t="s">
        <v>124</v>
      </c>
      <c r="E337" s="43"/>
      <c r="F337" s="44"/>
      <c r="G337" s="44"/>
      <c r="H337" s="45"/>
    </row>
    <row r="338" spans="1:8" x14ac:dyDescent="0.45">
      <c r="A338" s="22" t="s">
        <v>4147</v>
      </c>
      <c r="B338" s="23">
        <v>1402000</v>
      </c>
      <c r="C338" s="23">
        <v>3.1</v>
      </c>
      <c r="D338" s="106" t="s">
        <v>362</v>
      </c>
      <c r="E338" s="23">
        <v>12</v>
      </c>
      <c r="F338" s="23" t="s">
        <v>17</v>
      </c>
      <c r="G338" s="24"/>
      <c r="H338" s="24">
        <f>G338*E338</f>
        <v>0</v>
      </c>
    </row>
    <row r="339" spans="1:8" s="429" customFormat="1" x14ac:dyDescent="0.45">
      <c r="A339" s="258" t="s">
        <v>4148</v>
      </c>
      <c r="B339" s="261">
        <v>1402000</v>
      </c>
      <c r="C339" s="26">
        <v>3.2</v>
      </c>
      <c r="D339" s="27" t="s">
        <v>364</v>
      </c>
      <c r="E339" s="28"/>
      <c r="F339" s="28"/>
      <c r="G339" s="28"/>
      <c r="H339" s="28"/>
    </row>
    <row r="340" spans="1:8" s="293" customFormat="1" x14ac:dyDescent="0.45">
      <c r="A340" s="257" t="s">
        <v>4148</v>
      </c>
      <c r="B340" s="286">
        <v>1402000</v>
      </c>
      <c r="C340" s="286">
        <v>3.2</v>
      </c>
      <c r="D340" s="180" t="s">
        <v>5027</v>
      </c>
      <c r="E340" s="286">
        <v>150</v>
      </c>
      <c r="F340" s="286" t="s">
        <v>472</v>
      </c>
      <c r="G340" s="302"/>
      <c r="H340" s="302">
        <f t="shared" ref="H340:H343" si="4">G340*E340</f>
        <v>0</v>
      </c>
    </row>
    <row r="341" spans="1:8" s="389" customFormat="1" x14ac:dyDescent="0.45">
      <c r="A341" s="257" t="s">
        <v>4149</v>
      </c>
      <c r="B341" s="286">
        <v>1402000</v>
      </c>
      <c r="C341" s="286">
        <v>3.2</v>
      </c>
      <c r="D341" s="180" t="s">
        <v>5028</v>
      </c>
      <c r="E341" s="286">
        <v>200</v>
      </c>
      <c r="F341" s="286" t="s">
        <v>472</v>
      </c>
      <c r="G341" s="302"/>
      <c r="H341" s="302">
        <f t="shared" si="4"/>
        <v>0</v>
      </c>
    </row>
    <row r="342" spans="1:8" s="389" customFormat="1" x14ac:dyDescent="0.45">
      <c r="A342" s="257" t="s">
        <v>5276</v>
      </c>
      <c r="B342" s="286">
        <v>1402000</v>
      </c>
      <c r="C342" s="286">
        <v>3.2</v>
      </c>
      <c r="D342" s="180" t="s">
        <v>5029</v>
      </c>
      <c r="E342" s="286">
        <v>150</v>
      </c>
      <c r="F342" s="286" t="s">
        <v>472</v>
      </c>
      <c r="G342" s="302"/>
      <c r="H342" s="302">
        <f t="shared" si="4"/>
        <v>0</v>
      </c>
    </row>
    <row r="343" spans="1:8" s="389" customFormat="1" x14ac:dyDescent="0.45">
      <c r="A343" s="257" t="s">
        <v>5277</v>
      </c>
      <c r="B343" s="286">
        <v>1402000</v>
      </c>
      <c r="C343" s="286">
        <v>3.2</v>
      </c>
      <c r="D343" s="180" t="s">
        <v>5030</v>
      </c>
      <c r="E343" s="286">
        <v>200</v>
      </c>
      <c r="F343" s="286" t="s">
        <v>472</v>
      </c>
      <c r="G343" s="302"/>
      <c r="H343" s="302">
        <f t="shared" si="4"/>
        <v>0</v>
      </c>
    </row>
    <row r="344" spans="1:8" x14ac:dyDescent="0.45">
      <c r="A344" s="22" t="s">
        <v>5315</v>
      </c>
      <c r="B344" s="23">
        <v>1402000</v>
      </c>
      <c r="C344" s="23">
        <v>3.3</v>
      </c>
      <c r="D344" s="106" t="s">
        <v>366</v>
      </c>
      <c r="E344" s="23">
        <v>12</v>
      </c>
      <c r="F344" s="23" t="s">
        <v>17</v>
      </c>
      <c r="G344" s="24"/>
      <c r="H344" s="24">
        <f>G344*E344</f>
        <v>0</v>
      </c>
    </row>
    <row r="345" spans="1:8" x14ac:dyDescent="0.45">
      <c r="A345" s="58"/>
      <c r="B345" s="59"/>
      <c r="C345" s="59"/>
      <c r="D345" s="60" t="s">
        <v>367</v>
      </c>
      <c r="E345" s="59"/>
      <c r="F345" s="59"/>
      <c r="G345" s="59"/>
      <c r="H345" s="62">
        <f>SUM(H338:H344)</f>
        <v>0</v>
      </c>
    </row>
    <row r="346" spans="1:8" x14ac:dyDescent="0.45">
      <c r="A346" s="121"/>
      <c r="B346" s="122"/>
      <c r="C346" s="122"/>
      <c r="D346" s="123"/>
      <c r="E346" s="122"/>
      <c r="F346" s="124"/>
      <c r="G346" s="88"/>
      <c r="H346" s="110"/>
    </row>
    <row r="347" spans="1:8" x14ac:dyDescent="0.45">
      <c r="A347" s="12" t="s">
        <v>4150</v>
      </c>
      <c r="B347" s="13"/>
      <c r="C347" s="13"/>
      <c r="D347" s="12" t="s">
        <v>369</v>
      </c>
      <c r="E347" s="100"/>
      <c r="F347" s="101"/>
      <c r="G347" s="91"/>
      <c r="H347" s="102"/>
    </row>
    <row r="348" spans="1:8" x14ac:dyDescent="0.45">
      <c r="A348" s="103"/>
      <c r="B348" s="41">
        <v>1502000</v>
      </c>
      <c r="C348" s="43"/>
      <c r="D348" s="42" t="s">
        <v>18</v>
      </c>
      <c r="E348" s="43"/>
      <c r="F348" s="44"/>
      <c r="G348" s="43"/>
      <c r="H348" s="45"/>
    </row>
    <row r="349" spans="1:8" x14ac:dyDescent="0.45">
      <c r="A349" s="27"/>
      <c r="B349" s="26"/>
      <c r="C349" s="26">
        <v>3.1</v>
      </c>
      <c r="D349" s="27" t="s">
        <v>19</v>
      </c>
      <c r="E349" s="26"/>
      <c r="F349" s="26"/>
      <c r="G349" s="28"/>
      <c r="H349" s="104"/>
    </row>
    <row r="350" spans="1:8" x14ac:dyDescent="0.45">
      <c r="A350" s="22" t="s">
        <v>4151</v>
      </c>
      <c r="B350" s="23">
        <v>1502000</v>
      </c>
      <c r="C350" s="23" t="s">
        <v>21</v>
      </c>
      <c r="D350" s="29" t="s">
        <v>22</v>
      </c>
      <c r="E350" s="23">
        <v>12</v>
      </c>
      <c r="F350" s="23" t="s">
        <v>17</v>
      </c>
      <c r="G350" s="24"/>
      <c r="H350" s="24">
        <f>G350*E350</f>
        <v>0</v>
      </c>
    </row>
    <row r="351" spans="1:8" x14ac:dyDescent="0.45">
      <c r="A351" s="22" t="s">
        <v>4152</v>
      </c>
      <c r="B351" s="23">
        <v>1502000</v>
      </c>
      <c r="C351" s="23" t="s">
        <v>24</v>
      </c>
      <c r="D351" s="29" t="s">
        <v>25</v>
      </c>
      <c r="E351" s="23">
        <v>12</v>
      </c>
      <c r="F351" s="23" t="s">
        <v>17</v>
      </c>
      <c r="G351" s="24"/>
      <c r="H351" s="24">
        <f>G351*E351</f>
        <v>0</v>
      </c>
    </row>
    <row r="352" spans="1:8" x14ac:dyDescent="0.45">
      <c r="A352" s="22" t="s">
        <v>4153</v>
      </c>
      <c r="B352" s="23">
        <v>1502000</v>
      </c>
      <c r="C352" s="23" t="s">
        <v>27</v>
      </c>
      <c r="D352" s="29" t="s">
        <v>28</v>
      </c>
      <c r="E352" s="23">
        <v>12</v>
      </c>
      <c r="F352" s="23" t="s">
        <v>17</v>
      </c>
      <c r="G352" s="24"/>
      <c r="H352" s="24">
        <f>G352*E352</f>
        <v>0</v>
      </c>
    </row>
    <row r="353" spans="1:8" x14ac:dyDescent="0.45">
      <c r="A353" s="25"/>
      <c r="B353" s="26"/>
      <c r="C353" s="26">
        <v>3.1</v>
      </c>
      <c r="D353" s="27" t="s">
        <v>31</v>
      </c>
      <c r="E353" s="28"/>
      <c r="F353" s="28"/>
      <c r="G353" s="28"/>
      <c r="H353" s="28"/>
    </row>
    <row r="354" spans="1:8" x14ac:dyDescent="0.45">
      <c r="A354" s="22" t="s">
        <v>4154</v>
      </c>
      <c r="B354" s="23">
        <v>1502000</v>
      </c>
      <c r="C354" s="23" t="s">
        <v>222</v>
      </c>
      <c r="D354" s="29" t="s">
        <v>223</v>
      </c>
      <c r="E354" s="23">
        <v>12</v>
      </c>
      <c r="F354" s="23" t="s">
        <v>17</v>
      </c>
      <c r="G354" s="24"/>
      <c r="H354" s="24">
        <f t="shared" ref="H354:H366" si="5">G354*E354</f>
        <v>0</v>
      </c>
    </row>
    <row r="355" spans="1:8" x14ac:dyDescent="0.45">
      <c r="A355" s="22" t="s">
        <v>4155</v>
      </c>
      <c r="B355" s="23">
        <v>1502000</v>
      </c>
      <c r="C355" s="23" t="s">
        <v>33</v>
      </c>
      <c r="D355" s="29" t="s">
        <v>34</v>
      </c>
      <c r="E355" s="23">
        <v>12</v>
      </c>
      <c r="F355" s="23" t="s">
        <v>17</v>
      </c>
      <c r="G355" s="24"/>
      <c r="H355" s="24">
        <f t="shared" si="5"/>
        <v>0</v>
      </c>
    </row>
    <row r="356" spans="1:8" x14ac:dyDescent="0.45">
      <c r="A356" s="22" t="s">
        <v>4156</v>
      </c>
      <c r="B356" s="23">
        <v>1502000</v>
      </c>
      <c r="C356" s="23" t="s">
        <v>227</v>
      </c>
      <c r="D356" s="29" t="s">
        <v>228</v>
      </c>
      <c r="E356" s="23">
        <v>12</v>
      </c>
      <c r="F356" s="23" t="s">
        <v>17</v>
      </c>
      <c r="G356" s="24"/>
      <c r="H356" s="24">
        <f t="shared" si="5"/>
        <v>0</v>
      </c>
    </row>
    <row r="357" spans="1:8" x14ac:dyDescent="0.45">
      <c r="A357" s="22" t="s">
        <v>4157</v>
      </c>
      <c r="B357" s="23">
        <v>1502000</v>
      </c>
      <c r="C357" s="23" t="s">
        <v>39</v>
      </c>
      <c r="D357" s="29" t="s">
        <v>230</v>
      </c>
      <c r="E357" s="23">
        <v>12</v>
      </c>
      <c r="F357" s="23" t="s">
        <v>17</v>
      </c>
      <c r="G357" s="24"/>
      <c r="H357" s="24">
        <f t="shared" si="5"/>
        <v>0</v>
      </c>
    </row>
    <row r="358" spans="1:8" x14ac:dyDescent="0.45">
      <c r="A358" s="22" t="s">
        <v>4158</v>
      </c>
      <c r="B358" s="23">
        <v>1502000</v>
      </c>
      <c r="C358" s="23" t="s">
        <v>232</v>
      </c>
      <c r="D358" s="29" t="s">
        <v>233</v>
      </c>
      <c r="E358" s="23">
        <v>12</v>
      </c>
      <c r="F358" s="23" t="s">
        <v>17</v>
      </c>
      <c r="G358" s="24"/>
      <c r="H358" s="24">
        <f t="shared" si="5"/>
        <v>0</v>
      </c>
    </row>
    <row r="359" spans="1:8" x14ac:dyDescent="0.45">
      <c r="A359" s="22" t="s">
        <v>4159</v>
      </c>
      <c r="B359" s="23">
        <v>1502000</v>
      </c>
      <c r="C359" s="23" t="s">
        <v>250</v>
      </c>
      <c r="D359" s="29" t="s">
        <v>379</v>
      </c>
      <c r="E359" s="23">
        <v>12</v>
      </c>
      <c r="F359" s="23" t="s">
        <v>17</v>
      </c>
      <c r="G359" s="24"/>
      <c r="H359" s="24">
        <f t="shared" si="5"/>
        <v>0</v>
      </c>
    </row>
    <row r="360" spans="1:8" x14ac:dyDescent="0.45">
      <c r="A360" s="22" t="s">
        <v>4160</v>
      </c>
      <c r="B360" s="23">
        <v>1502000</v>
      </c>
      <c r="C360" s="23" t="s">
        <v>45</v>
      </c>
      <c r="D360" s="29" t="s">
        <v>46</v>
      </c>
      <c r="E360" s="23">
        <v>12</v>
      </c>
      <c r="F360" s="23" t="s">
        <v>17</v>
      </c>
      <c r="G360" s="24"/>
      <c r="H360" s="24">
        <f t="shared" si="5"/>
        <v>0</v>
      </c>
    </row>
    <row r="361" spans="1:8" x14ac:dyDescent="0.45">
      <c r="A361" s="22" t="s">
        <v>4161</v>
      </c>
      <c r="B361" s="23">
        <v>1502000</v>
      </c>
      <c r="C361" s="23" t="s">
        <v>48</v>
      </c>
      <c r="D361" s="29" t="s">
        <v>257</v>
      </c>
      <c r="E361" s="23">
        <v>12</v>
      </c>
      <c r="F361" s="23" t="s">
        <v>17</v>
      </c>
      <c r="G361" s="24"/>
      <c r="H361" s="24">
        <f t="shared" si="5"/>
        <v>0</v>
      </c>
    </row>
    <row r="362" spans="1:8" x14ac:dyDescent="0.45">
      <c r="A362" s="22" t="s">
        <v>4162</v>
      </c>
      <c r="B362" s="23">
        <v>1502000</v>
      </c>
      <c r="C362" s="23" t="s">
        <v>51</v>
      </c>
      <c r="D362" s="29" t="s">
        <v>383</v>
      </c>
      <c r="E362" s="23">
        <v>12</v>
      </c>
      <c r="F362" s="23" t="s">
        <v>17</v>
      </c>
      <c r="G362" s="24"/>
      <c r="H362" s="24">
        <f t="shared" si="5"/>
        <v>0</v>
      </c>
    </row>
    <row r="363" spans="1:8" x14ac:dyDescent="0.45">
      <c r="A363" s="22" t="s">
        <v>4163</v>
      </c>
      <c r="B363" s="23">
        <v>1502000</v>
      </c>
      <c r="C363" s="23" t="s">
        <v>54</v>
      </c>
      <c r="D363" s="29" t="s">
        <v>55</v>
      </c>
      <c r="E363" s="23">
        <v>12</v>
      </c>
      <c r="F363" s="23" t="s">
        <v>17</v>
      </c>
      <c r="G363" s="24"/>
      <c r="H363" s="24">
        <f t="shared" si="5"/>
        <v>0</v>
      </c>
    </row>
    <row r="364" spans="1:8" x14ac:dyDescent="0.45">
      <c r="A364" s="22" t="s">
        <v>4164</v>
      </c>
      <c r="B364" s="23">
        <v>1502000</v>
      </c>
      <c r="C364" s="23" t="s">
        <v>260</v>
      </c>
      <c r="D364" s="29" t="s">
        <v>386</v>
      </c>
      <c r="E364" s="23">
        <v>12</v>
      </c>
      <c r="F364" s="23" t="s">
        <v>17</v>
      </c>
      <c r="G364" s="24"/>
      <c r="H364" s="24">
        <f t="shared" si="5"/>
        <v>0</v>
      </c>
    </row>
    <row r="365" spans="1:8" x14ac:dyDescent="0.45">
      <c r="A365" s="22" t="s">
        <v>4165</v>
      </c>
      <c r="B365" s="23">
        <v>1502000</v>
      </c>
      <c r="C365" s="23" t="s">
        <v>332</v>
      </c>
      <c r="D365" s="29" t="s">
        <v>388</v>
      </c>
      <c r="E365" s="23">
        <v>12</v>
      </c>
      <c r="F365" s="23" t="s">
        <v>17</v>
      </c>
      <c r="G365" s="24"/>
      <c r="H365" s="24">
        <f t="shared" si="5"/>
        <v>0</v>
      </c>
    </row>
    <row r="366" spans="1:8" x14ac:dyDescent="0.45">
      <c r="A366" s="22" t="s">
        <v>4166</v>
      </c>
      <c r="B366" s="23">
        <v>1502000</v>
      </c>
      <c r="C366" s="23" t="s">
        <v>390</v>
      </c>
      <c r="D366" s="29" t="s">
        <v>391</v>
      </c>
      <c r="E366" s="23">
        <v>12</v>
      </c>
      <c r="F366" s="23" t="s">
        <v>17</v>
      </c>
      <c r="G366" s="24"/>
      <c r="H366" s="24">
        <f t="shared" si="5"/>
        <v>0</v>
      </c>
    </row>
    <row r="367" spans="1:8" x14ac:dyDescent="0.45">
      <c r="A367" s="25"/>
      <c r="B367" s="26">
        <v>1502000</v>
      </c>
      <c r="C367" s="26">
        <v>3.4</v>
      </c>
      <c r="D367" s="27" t="s">
        <v>62</v>
      </c>
      <c r="E367" s="26"/>
      <c r="F367" s="26"/>
      <c r="G367" s="28"/>
      <c r="H367" s="104"/>
    </row>
    <row r="368" spans="1:8" x14ac:dyDescent="0.45">
      <c r="A368" s="22" t="s">
        <v>4167</v>
      </c>
      <c r="B368" s="23">
        <v>1502000</v>
      </c>
      <c r="C368" s="23" t="s">
        <v>64</v>
      </c>
      <c r="D368" s="106" t="s">
        <v>65</v>
      </c>
      <c r="E368" s="23">
        <v>12</v>
      </c>
      <c r="F368" s="23" t="s">
        <v>17</v>
      </c>
      <c r="G368" s="24"/>
      <c r="H368" s="24">
        <f>G368*E368</f>
        <v>0</v>
      </c>
    </row>
    <row r="369" spans="1:8" x14ac:dyDescent="0.45">
      <c r="A369" s="22" t="s">
        <v>4168</v>
      </c>
      <c r="B369" s="23">
        <v>1502000</v>
      </c>
      <c r="C369" s="23" t="s">
        <v>67</v>
      </c>
      <c r="D369" s="120" t="s">
        <v>68</v>
      </c>
      <c r="E369" s="23">
        <v>12</v>
      </c>
      <c r="F369" s="23" t="s">
        <v>17</v>
      </c>
      <c r="G369" s="24"/>
      <c r="H369" s="24">
        <f>G369*E369</f>
        <v>0</v>
      </c>
    </row>
    <row r="370" spans="1:8" x14ac:dyDescent="0.45">
      <c r="A370" s="22" t="s">
        <v>4169</v>
      </c>
      <c r="B370" s="23">
        <v>1502000</v>
      </c>
      <c r="C370" s="23" t="s">
        <v>70</v>
      </c>
      <c r="D370" s="106" t="s">
        <v>71</v>
      </c>
      <c r="E370" s="23">
        <v>12</v>
      </c>
      <c r="F370" s="23" t="s">
        <v>17</v>
      </c>
      <c r="G370" s="24"/>
      <c r="H370" s="24">
        <f>G370*E370</f>
        <v>0</v>
      </c>
    </row>
    <row r="371" spans="1:8" x14ac:dyDescent="0.45">
      <c r="A371" s="25"/>
      <c r="B371" s="26"/>
      <c r="C371" s="26">
        <v>3.5</v>
      </c>
      <c r="D371" s="27" t="s">
        <v>72</v>
      </c>
      <c r="E371" s="28"/>
      <c r="F371" s="28"/>
      <c r="G371" s="28"/>
      <c r="H371" s="28"/>
    </row>
    <row r="372" spans="1:8" x14ac:dyDescent="0.45">
      <c r="A372" s="22" t="s">
        <v>4170</v>
      </c>
      <c r="B372" s="23">
        <v>1502000</v>
      </c>
      <c r="C372" s="301" t="s">
        <v>5021</v>
      </c>
      <c r="D372" s="36" t="s">
        <v>71</v>
      </c>
      <c r="E372" s="23">
        <v>12</v>
      </c>
      <c r="F372" s="23" t="s">
        <v>17</v>
      </c>
      <c r="G372" s="24"/>
      <c r="H372" s="24">
        <f>G372*E372</f>
        <v>0</v>
      </c>
    </row>
    <row r="373" spans="1:8" x14ac:dyDescent="0.45">
      <c r="A373" s="27"/>
      <c r="B373" s="125"/>
      <c r="C373" s="125"/>
      <c r="D373" s="27" t="s">
        <v>75</v>
      </c>
      <c r="E373" s="26"/>
      <c r="F373" s="26"/>
      <c r="G373" s="28"/>
      <c r="H373" s="104"/>
    </row>
    <row r="374" spans="1:8" x14ac:dyDescent="0.45">
      <c r="A374" s="22" t="s">
        <v>4171</v>
      </c>
      <c r="B374" s="23">
        <v>1502000</v>
      </c>
      <c r="C374" s="23" t="s">
        <v>80</v>
      </c>
      <c r="D374" s="30" t="s">
        <v>81</v>
      </c>
      <c r="E374" s="23">
        <v>12</v>
      </c>
      <c r="F374" s="23" t="s">
        <v>17</v>
      </c>
      <c r="G374" s="24"/>
      <c r="H374" s="24">
        <f t="shared" ref="H374:H379" si="6">G374*E374</f>
        <v>0</v>
      </c>
    </row>
    <row r="375" spans="1:8" x14ac:dyDescent="0.45">
      <c r="A375" s="22" t="s">
        <v>4172</v>
      </c>
      <c r="B375" s="23">
        <v>1502000</v>
      </c>
      <c r="C375" s="23" t="s">
        <v>83</v>
      </c>
      <c r="D375" s="30" t="s">
        <v>84</v>
      </c>
      <c r="E375" s="23">
        <v>12</v>
      </c>
      <c r="F375" s="23" t="s">
        <v>17</v>
      </c>
      <c r="G375" s="24"/>
      <c r="H375" s="24">
        <f t="shared" si="6"/>
        <v>0</v>
      </c>
    </row>
    <row r="376" spans="1:8" x14ac:dyDescent="0.45">
      <c r="A376" s="22" t="s">
        <v>4173</v>
      </c>
      <c r="B376" s="23">
        <v>1502000</v>
      </c>
      <c r="C376" s="23" t="s">
        <v>86</v>
      </c>
      <c r="D376" s="106" t="s">
        <v>87</v>
      </c>
      <c r="E376" s="23">
        <v>12</v>
      </c>
      <c r="F376" s="23" t="s">
        <v>17</v>
      </c>
      <c r="G376" s="24"/>
      <c r="H376" s="24">
        <f t="shared" si="6"/>
        <v>0</v>
      </c>
    </row>
    <row r="377" spans="1:8" x14ac:dyDescent="0.45">
      <c r="A377" s="22" t="s">
        <v>4174</v>
      </c>
      <c r="B377" s="23">
        <v>1502000</v>
      </c>
      <c r="C377" s="23" t="s">
        <v>400</v>
      </c>
      <c r="D377" s="106" t="s">
        <v>401</v>
      </c>
      <c r="E377" s="23">
        <v>12</v>
      </c>
      <c r="F377" s="23" t="s">
        <v>17</v>
      </c>
      <c r="G377" s="24"/>
      <c r="H377" s="24">
        <f t="shared" si="6"/>
        <v>0</v>
      </c>
    </row>
    <row r="378" spans="1:8" x14ac:dyDescent="0.45">
      <c r="A378" s="22" t="s">
        <v>4175</v>
      </c>
      <c r="B378" s="23">
        <v>1502000</v>
      </c>
      <c r="C378" s="286" t="s">
        <v>5037</v>
      </c>
      <c r="D378" s="22" t="s">
        <v>108</v>
      </c>
      <c r="E378" s="33">
        <v>12</v>
      </c>
      <c r="F378" s="23" t="s">
        <v>17</v>
      </c>
      <c r="G378" s="24"/>
      <c r="H378" s="24">
        <f t="shared" si="6"/>
        <v>0</v>
      </c>
    </row>
    <row r="379" spans="1:8" x14ac:dyDescent="0.45">
      <c r="A379" s="22" t="s">
        <v>4176</v>
      </c>
      <c r="B379" s="23">
        <v>1502000</v>
      </c>
      <c r="C379" s="23" t="s">
        <v>107</v>
      </c>
      <c r="D379" s="126" t="s">
        <v>277</v>
      </c>
      <c r="E379" s="23">
        <v>12</v>
      </c>
      <c r="F379" s="23" t="s">
        <v>17</v>
      </c>
      <c r="G379" s="24"/>
      <c r="H379" s="24">
        <f t="shared" si="6"/>
        <v>0</v>
      </c>
    </row>
    <row r="380" spans="1:8" x14ac:dyDescent="0.45">
      <c r="A380" s="40"/>
      <c r="B380" s="41">
        <v>1503010</v>
      </c>
      <c r="C380" s="41"/>
      <c r="D380" s="42" t="s">
        <v>109</v>
      </c>
      <c r="E380" s="43"/>
      <c r="F380" s="44"/>
      <c r="G380" s="44"/>
      <c r="H380" s="45"/>
    </row>
    <row r="381" spans="1:8" x14ac:dyDescent="0.45">
      <c r="A381" s="22" t="s">
        <v>4177</v>
      </c>
      <c r="B381" s="33">
        <v>1503010</v>
      </c>
      <c r="C381" s="33">
        <v>3.1</v>
      </c>
      <c r="D381" s="36" t="s">
        <v>111</v>
      </c>
      <c r="E381" s="23">
        <v>12</v>
      </c>
      <c r="F381" s="23" t="s">
        <v>17</v>
      </c>
      <c r="G381" s="24"/>
      <c r="H381" s="24">
        <f>G381*E381</f>
        <v>0</v>
      </c>
    </row>
    <row r="382" spans="1:8" x14ac:dyDescent="0.45">
      <c r="A382" s="40"/>
      <c r="B382" s="43">
        <v>1503020</v>
      </c>
      <c r="C382" s="41"/>
      <c r="D382" s="42" t="s">
        <v>114</v>
      </c>
      <c r="E382" s="43"/>
      <c r="F382" s="44"/>
      <c r="G382" s="44"/>
      <c r="H382" s="44"/>
    </row>
    <row r="383" spans="1:8" x14ac:dyDescent="0.45">
      <c r="A383" s="22" t="s">
        <v>4178</v>
      </c>
      <c r="B383" s="33">
        <v>1503020</v>
      </c>
      <c r="C383" s="23">
        <v>3.1</v>
      </c>
      <c r="D383" s="206" t="s">
        <v>406</v>
      </c>
      <c r="E383" s="23">
        <v>12</v>
      </c>
      <c r="F383" s="115" t="s">
        <v>17</v>
      </c>
      <c r="G383" s="24"/>
      <c r="H383" s="24">
        <f>G383*E383</f>
        <v>0</v>
      </c>
    </row>
    <row r="384" spans="1:8" x14ac:dyDescent="0.45">
      <c r="A384" s="22" t="s">
        <v>4179</v>
      </c>
      <c r="B384" s="33">
        <v>1503020</v>
      </c>
      <c r="C384" s="33">
        <v>3.2</v>
      </c>
      <c r="D384" s="36" t="s">
        <v>118</v>
      </c>
      <c r="E384" s="23">
        <v>12</v>
      </c>
      <c r="F384" s="23" t="s">
        <v>17</v>
      </c>
      <c r="G384" s="24"/>
      <c r="H384" s="24">
        <f>G384*E384</f>
        <v>0</v>
      </c>
    </row>
    <row r="385" spans="1:8" x14ac:dyDescent="0.45">
      <c r="A385" s="22" t="s">
        <v>4180</v>
      </c>
      <c r="B385" s="33">
        <v>1503020</v>
      </c>
      <c r="C385" s="23">
        <v>3.3</v>
      </c>
      <c r="D385" s="106" t="s">
        <v>120</v>
      </c>
      <c r="E385" s="23">
        <v>12</v>
      </c>
      <c r="F385" s="23" t="s">
        <v>17</v>
      </c>
      <c r="G385" s="24"/>
      <c r="H385" s="24">
        <f>G385*E385</f>
        <v>0</v>
      </c>
    </row>
    <row r="386" spans="1:8" x14ac:dyDescent="0.45">
      <c r="A386" s="40"/>
      <c r="B386" s="43">
        <v>1503030</v>
      </c>
      <c r="C386" s="41"/>
      <c r="D386" s="42" t="s">
        <v>121</v>
      </c>
      <c r="E386" s="43"/>
      <c r="F386" s="44"/>
      <c r="G386" s="44"/>
      <c r="H386" s="45"/>
    </row>
    <row r="387" spans="1:8" x14ac:dyDescent="0.45">
      <c r="A387" s="22" t="s">
        <v>4181</v>
      </c>
      <c r="B387" s="33">
        <v>1503030</v>
      </c>
      <c r="C387" s="33" t="s">
        <v>123</v>
      </c>
      <c r="D387" s="36" t="s">
        <v>124</v>
      </c>
      <c r="E387" s="23">
        <v>12</v>
      </c>
      <c r="F387" s="23" t="s">
        <v>17</v>
      </c>
      <c r="G387" s="24"/>
      <c r="H387" s="24">
        <f>G387*E387</f>
        <v>0</v>
      </c>
    </row>
    <row r="388" spans="1:8" x14ac:dyDescent="0.45">
      <c r="A388" s="58"/>
      <c r="B388" s="59"/>
      <c r="C388" s="59"/>
      <c r="D388" s="60" t="s">
        <v>410</v>
      </c>
      <c r="E388" s="59"/>
      <c r="F388" s="59"/>
      <c r="G388" s="59"/>
      <c r="H388" s="62">
        <f>SUM(H350:H387)</f>
        <v>0</v>
      </c>
    </row>
    <row r="389" spans="1:8" x14ac:dyDescent="0.45">
      <c r="A389" s="121"/>
      <c r="B389" s="122"/>
      <c r="C389" s="122"/>
      <c r="D389" s="123"/>
      <c r="E389" s="122"/>
      <c r="F389" s="124"/>
      <c r="G389" s="88"/>
      <c r="H389" s="110"/>
    </row>
    <row r="390" spans="1:8" x14ac:dyDescent="0.45">
      <c r="A390" s="12" t="s">
        <v>4182</v>
      </c>
      <c r="B390" s="13"/>
      <c r="C390" s="13"/>
      <c r="D390" s="12" t="s">
        <v>412</v>
      </c>
      <c r="E390" s="13"/>
      <c r="F390" s="13"/>
      <c r="G390" s="91"/>
      <c r="H390" s="102"/>
    </row>
    <row r="391" spans="1:8" x14ac:dyDescent="0.45">
      <c r="A391" s="103"/>
      <c r="B391" s="41">
        <v>1502000</v>
      </c>
      <c r="C391" s="43"/>
      <c r="D391" s="42" t="s">
        <v>18</v>
      </c>
      <c r="E391" s="43"/>
      <c r="F391" s="44"/>
      <c r="G391" s="43"/>
      <c r="H391" s="45"/>
    </row>
    <row r="392" spans="1:8" x14ac:dyDescent="0.45">
      <c r="A392" s="25"/>
      <c r="B392" s="26">
        <v>1502000</v>
      </c>
      <c r="C392" s="26">
        <v>3.4</v>
      </c>
      <c r="D392" s="27" t="s">
        <v>62</v>
      </c>
      <c r="E392" s="26"/>
      <c r="F392" s="26"/>
      <c r="G392" s="28"/>
      <c r="H392" s="104"/>
    </row>
    <row r="393" spans="1:8" x14ac:dyDescent="0.45">
      <c r="A393" s="22" t="s">
        <v>4183</v>
      </c>
      <c r="B393" s="23">
        <v>1502000</v>
      </c>
      <c r="C393" s="23" t="s">
        <v>67</v>
      </c>
      <c r="D393" s="120" t="s">
        <v>68</v>
      </c>
      <c r="E393" s="23">
        <v>12</v>
      </c>
      <c r="F393" s="23" t="s">
        <v>17</v>
      </c>
      <c r="G393" s="24"/>
      <c r="H393" s="24">
        <f>G393*E393</f>
        <v>0</v>
      </c>
    </row>
    <row r="394" spans="1:8" x14ac:dyDescent="0.45">
      <c r="A394" s="40"/>
      <c r="B394" s="41">
        <v>1503010</v>
      </c>
      <c r="C394" s="41"/>
      <c r="D394" s="42" t="s">
        <v>109</v>
      </c>
      <c r="E394" s="43"/>
      <c r="F394" s="44"/>
      <c r="G394" s="44"/>
      <c r="H394" s="45"/>
    </row>
    <row r="395" spans="1:8" x14ac:dyDescent="0.45">
      <c r="A395" s="22" t="s">
        <v>4184</v>
      </c>
      <c r="B395" s="33">
        <v>1503010</v>
      </c>
      <c r="C395" s="33">
        <v>3.1</v>
      </c>
      <c r="D395" s="36" t="s">
        <v>111</v>
      </c>
      <c r="E395" s="23">
        <v>12</v>
      </c>
      <c r="F395" s="23" t="s">
        <v>17</v>
      </c>
      <c r="G395" s="24"/>
      <c r="H395" s="24">
        <f>G395*E395</f>
        <v>0</v>
      </c>
    </row>
    <row r="396" spans="1:8" x14ac:dyDescent="0.45">
      <c r="A396" s="58"/>
      <c r="B396" s="59"/>
      <c r="C396" s="59"/>
      <c r="D396" s="60" t="s">
        <v>415</v>
      </c>
      <c r="E396" s="59"/>
      <c r="F396" s="59"/>
      <c r="G396" s="59"/>
      <c r="H396" s="62">
        <f>SUM(H393:H395)</f>
        <v>0</v>
      </c>
    </row>
    <row r="397" spans="1:8" x14ac:dyDescent="0.45">
      <c r="A397" s="121"/>
      <c r="B397" s="122"/>
      <c r="C397" s="122"/>
      <c r="D397" s="123"/>
      <c r="E397" s="122"/>
      <c r="F397" s="124"/>
      <c r="G397" s="88"/>
      <c r="H397" s="110"/>
    </row>
    <row r="398" spans="1:8" x14ac:dyDescent="0.45">
      <c r="A398" s="12" t="s">
        <v>4185</v>
      </c>
      <c r="B398" s="13"/>
      <c r="C398" s="13"/>
      <c r="D398" s="12" t="s">
        <v>417</v>
      </c>
      <c r="E398" s="13"/>
      <c r="F398" s="13"/>
      <c r="G398" s="91"/>
      <c r="H398" s="102"/>
    </row>
    <row r="399" spans="1:8" x14ac:dyDescent="0.45">
      <c r="A399" s="103"/>
      <c r="B399" s="41">
        <v>1502000</v>
      </c>
      <c r="C399" s="43"/>
      <c r="D399" s="42" t="s">
        <v>18</v>
      </c>
      <c r="E399" s="43"/>
      <c r="F399" s="44"/>
      <c r="G399" s="43"/>
      <c r="H399" s="45"/>
    </row>
    <row r="400" spans="1:8" x14ac:dyDescent="0.45">
      <c r="A400" s="27"/>
      <c r="B400" s="26"/>
      <c r="C400" s="26">
        <v>3.1</v>
      </c>
      <c r="D400" s="27" t="s">
        <v>19</v>
      </c>
      <c r="E400" s="26"/>
      <c r="F400" s="26"/>
      <c r="G400" s="28"/>
      <c r="H400" s="104"/>
    </row>
    <row r="401" spans="1:8" x14ac:dyDescent="0.45">
      <c r="A401" s="22" t="s">
        <v>4186</v>
      </c>
      <c r="B401" s="23">
        <v>1502000</v>
      </c>
      <c r="C401" s="23" t="s">
        <v>21</v>
      </c>
      <c r="D401" s="29" t="s">
        <v>22</v>
      </c>
      <c r="E401" s="23">
        <v>12</v>
      </c>
      <c r="F401" s="23" t="s">
        <v>17</v>
      </c>
      <c r="G401" s="24"/>
      <c r="H401" s="24">
        <f>G401*E401</f>
        <v>0</v>
      </c>
    </row>
    <row r="402" spans="1:8" x14ac:dyDescent="0.45">
      <c r="A402" s="22" t="s">
        <v>4187</v>
      </c>
      <c r="B402" s="23">
        <v>1502000</v>
      </c>
      <c r="C402" s="23" t="s">
        <v>24</v>
      </c>
      <c r="D402" s="29" t="s">
        <v>25</v>
      </c>
      <c r="E402" s="23">
        <v>12</v>
      </c>
      <c r="F402" s="23" t="s">
        <v>17</v>
      </c>
      <c r="G402" s="24"/>
      <c r="H402" s="24">
        <f>G402*E402</f>
        <v>0</v>
      </c>
    </row>
    <row r="403" spans="1:8" x14ac:dyDescent="0.45">
      <c r="A403" s="22" t="s">
        <v>4188</v>
      </c>
      <c r="B403" s="23">
        <v>1502000</v>
      </c>
      <c r="C403" s="23" t="s">
        <v>27</v>
      </c>
      <c r="D403" s="29" t="s">
        <v>28</v>
      </c>
      <c r="E403" s="23">
        <v>12</v>
      </c>
      <c r="F403" s="23" t="s">
        <v>17</v>
      </c>
      <c r="G403" s="24"/>
      <c r="H403" s="24">
        <f>G403*E403</f>
        <v>0</v>
      </c>
    </row>
    <row r="404" spans="1:8" x14ac:dyDescent="0.45">
      <c r="A404" s="25"/>
      <c r="B404" s="26">
        <v>1502000</v>
      </c>
      <c r="C404" s="26">
        <v>3.4</v>
      </c>
      <c r="D404" s="27" t="s">
        <v>62</v>
      </c>
      <c r="E404" s="26"/>
      <c r="F404" s="26"/>
      <c r="G404" s="28"/>
      <c r="H404" s="104"/>
    </row>
    <row r="405" spans="1:8" x14ac:dyDescent="0.45">
      <c r="A405" s="22" t="s">
        <v>4189</v>
      </c>
      <c r="B405" s="23">
        <v>1502000</v>
      </c>
      <c r="C405" s="23" t="s">
        <v>67</v>
      </c>
      <c r="D405" s="35" t="s">
        <v>68</v>
      </c>
      <c r="E405" s="23">
        <v>12</v>
      </c>
      <c r="F405" s="23" t="s">
        <v>17</v>
      </c>
      <c r="G405" s="24"/>
      <c r="H405" s="24">
        <f>G405*E405</f>
        <v>0</v>
      </c>
    </row>
    <row r="406" spans="1:8" x14ac:dyDescent="0.45">
      <c r="A406" s="58"/>
      <c r="B406" s="59"/>
      <c r="C406" s="59"/>
      <c r="D406" s="60" t="s">
        <v>422</v>
      </c>
      <c r="E406" s="59"/>
      <c r="F406" s="59"/>
      <c r="G406" s="59"/>
      <c r="H406" s="62">
        <f>SUM(H401:H405)</f>
        <v>0</v>
      </c>
    </row>
    <row r="407" spans="1:8" x14ac:dyDescent="0.45">
      <c r="A407" s="121"/>
      <c r="B407" s="122"/>
      <c r="C407" s="122"/>
      <c r="D407" s="123"/>
      <c r="E407" s="122"/>
      <c r="F407" s="124"/>
      <c r="G407" s="88"/>
      <c r="H407" s="110"/>
    </row>
    <row r="408" spans="1:8" x14ac:dyDescent="0.45">
      <c r="A408" s="12" t="s">
        <v>4190</v>
      </c>
      <c r="B408" s="13"/>
      <c r="C408" s="13"/>
      <c r="D408" s="111" t="s">
        <v>424</v>
      </c>
      <c r="E408" s="100"/>
      <c r="F408" s="101"/>
      <c r="G408" s="91"/>
      <c r="H408" s="102"/>
    </row>
    <row r="409" spans="1:8" x14ac:dyDescent="0.45">
      <c r="A409" s="103"/>
      <c r="B409" s="41">
        <v>1502000</v>
      </c>
      <c r="C409" s="43"/>
      <c r="D409" s="42" t="s">
        <v>18</v>
      </c>
      <c r="E409" s="43"/>
      <c r="F409" s="44"/>
      <c r="G409" s="43"/>
      <c r="H409" s="45"/>
    </row>
    <row r="410" spans="1:8" x14ac:dyDescent="0.45">
      <c r="A410" s="27"/>
      <c r="B410" s="26"/>
      <c r="C410" s="26">
        <v>3.1</v>
      </c>
      <c r="D410" s="27" t="s">
        <v>19</v>
      </c>
      <c r="E410" s="26"/>
      <c r="F410" s="26"/>
      <c r="G410" s="28"/>
      <c r="H410" s="104"/>
    </row>
    <row r="411" spans="1:8" x14ac:dyDescent="0.45">
      <c r="A411" s="22" t="s">
        <v>4191</v>
      </c>
      <c r="B411" s="23">
        <v>1502000</v>
      </c>
      <c r="C411" s="23" t="s">
        <v>21</v>
      </c>
      <c r="D411" s="29" t="s">
        <v>22</v>
      </c>
      <c r="E411" s="23">
        <v>12</v>
      </c>
      <c r="F411" s="23" t="s">
        <v>17</v>
      </c>
      <c r="G411" s="24"/>
      <c r="H411" s="24">
        <f>G411*E411</f>
        <v>0</v>
      </c>
    </row>
    <row r="412" spans="1:8" x14ac:dyDescent="0.45">
      <c r="A412" s="22" t="s">
        <v>4192</v>
      </c>
      <c r="B412" s="23">
        <v>1502000</v>
      </c>
      <c r="C412" s="23" t="s">
        <v>24</v>
      </c>
      <c r="D412" s="29" t="s">
        <v>25</v>
      </c>
      <c r="E412" s="23">
        <v>12</v>
      </c>
      <c r="F412" s="23" t="s">
        <v>17</v>
      </c>
      <c r="G412" s="24"/>
      <c r="H412" s="24">
        <f>G412*E412</f>
        <v>0</v>
      </c>
    </row>
    <row r="413" spans="1:8" x14ac:dyDescent="0.45">
      <c r="A413" s="22" t="s">
        <v>4193</v>
      </c>
      <c r="B413" s="23">
        <v>1502000</v>
      </c>
      <c r="C413" s="23" t="s">
        <v>27</v>
      </c>
      <c r="D413" s="29" t="s">
        <v>28</v>
      </c>
      <c r="E413" s="23">
        <v>12</v>
      </c>
      <c r="F413" s="23" t="s">
        <v>17</v>
      </c>
      <c r="G413" s="24"/>
      <c r="H413" s="24">
        <f>G413*E413</f>
        <v>0</v>
      </c>
    </row>
    <row r="414" spans="1:8" x14ac:dyDescent="0.45">
      <c r="A414" s="40"/>
      <c r="B414" s="41">
        <v>1503010</v>
      </c>
      <c r="C414" s="41"/>
      <c r="D414" s="42" t="s">
        <v>109</v>
      </c>
      <c r="E414" s="43"/>
      <c r="F414" s="44"/>
      <c r="G414" s="44"/>
      <c r="H414" s="45"/>
    </row>
    <row r="415" spans="1:8" x14ac:dyDescent="0.45">
      <c r="A415" s="22" t="s">
        <v>4194</v>
      </c>
      <c r="B415" s="33">
        <v>1503010</v>
      </c>
      <c r="C415" s="33">
        <v>3.1</v>
      </c>
      <c r="D415" s="36" t="s">
        <v>111</v>
      </c>
      <c r="E415" s="23">
        <v>12</v>
      </c>
      <c r="F415" s="23" t="s">
        <v>17</v>
      </c>
      <c r="G415" s="24"/>
      <c r="H415" s="24">
        <f>G415*E415</f>
        <v>0</v>
      </c>
    </row>
    <row r="416" spans="1:8" x14ac:dyDescent="0.45">
      <c r="A416" s="40"/>
      <c r="B416" s="43">
        <v>1503030</v>
      </c>
      <c r="C416" s="41"/>
      <c r="D416" s="42" t="s">
        <v>121</v>
      </c>
      <c r="E416" s="43"/>
      <c r="F416" s="44"/>
      <c r="G416" s="44"/>
      <c r="H416" s="45"/>
    </row>
    <row r="417" spans="1:8" x14ac:dyDescent="0.45">
      <c r="A417" s="22" t="s">
        <v>4195</v>
      </c>
      <c r="B417" s="33">
        <v>1503030</v>
      </c>
      <c r="C417" s="33" t="s">
        <v>123</v>
      </c>
      <c r="D417" s="36" t="s">
        <v>124</v>
      </c>
      <c r="E417" s="23">
        <v>12</v>
      </c>
      <c r="F417" s="23" t="s">
        <v>17</v>
      </c>
      <c r="G417" s="24"/>
      <c r="H417" s="24">
        <f>G417*E417</f>
        <v>0</v>
      </c>
    </row>
    <row r="418" spans="1:8" s="293" customFormat="1" x14ac:dyDescent="0.45">
      <c r="A418" s="287"/>
      <c r="B418" s="288">
        <v>1503050</v>
      </c>
      <c r="C418" s="288"/>
      <c r="D418" s="289" t="s">
        <v>5014</v>
      </c>
      <c r="E418" s="290"/>
      <c r="F418" s="291"/>
      <c r="G418" s="291"/>
      <c r="H418" s="292"/>
    </row>
    <row r="419" spans="1:8" s="293" customFormat="1" x14ac:dyDescent="0.45">
      <c r="A419" s="257" t="s">
        <v>5278</v>
      </c>
      <c r="B419" s="301">
        <v>1503050</v>
      </c>
      <c r="C419" s="301">
        <v>3.4</v>
      </c>
      <c r="D419" s="295" t="s">
        <v>135</v>
      </c>
      <c r="E419" s="301">
        <v>12</v>
      </c>
      <c r="F419" s="286" t="s">
        <v>17</v>
      </c>
      <c r="G419" s="302"/>
      <c r="H419" s="302">
        <f>G419*E419</f>
        <v>0</v>
      </c>
    </row>
    <row r="420" spans="1:8" x14ac:dyDescent="0.45">
      <c r="A420" s="58"/>
      <c r="B420" s="59"/>
      <c r="C420" s="59"/>
      <c r="D420" s="60" t="s">
        <v>430</v>
      </c>
      <c r="E420" s="59"/>
      <c r="F420" s="59"/>
      <c r="G420" s="59"/>
      <c r="H420" s="62">
        <f>SUM(H411:H419)</f>
        <v>0</v>
      </c>
    </row>
    <row r="421" spans="1:8" x14ac:dyDescent="0.45">
      <c r="A421" s="121"/>
      <c r="B421" s="122"/>
      <c r="C421" s="122"/>
      <c r="D421" s="123"/>
      <c r="E421" s="122"/>
      <c r="F421" s="124"/>
      <c r="G421" s="88"/>
      <c r="H421" s="110"/>
    </row>
    <row r="422" spans="1:8" x14ac:dyDescent="0.45">
      <c r="A422" s="12" t="s">
        <v>4196</v>
      </c>
      <c r="B422" s="13"/>
      <c r="C422" s="13"/>
      <c r="D422" s="12" t="s">
        <v>432</v>
      </c>
      <c r="E422" s="13"/>
      <c r="F422" s="13"/>
      <c r="G422" s="91"/>
      <c r="H422" s="102"/>
    </row>
    <row r="423" spans="1:8" x14ac:dyDescent="0.45">
      <c r="A423" s="103"/>
      <c r="B423" s="41">
        <v>1502000</v>
      </c>
      <c r="C423" s="43"/>
      <c r="D423" s="42" t="s">
        <v>18</v>
      </c>
      <c r="E423" s="43"/>
      <c r="F423" s="44"/>
      <c r="G423" s="43"/>
      <c r="H423" s="45"/>
    </row>
    <row r="424" spans="1:8" x14ac:dyDescent="0.45">
      <c r="A424" s="27"/>
      <c r="B424" s="26"/>
      <c r="C424" s="26">
        <v>3.1</v>
      </c>
      <c r="D424" s="27" t="s">
        <v>19</v>
      </c>
      <c r="E424" s="26"/>
      <c r="F424" s="26"/>
      <c r="G424" s="28"/>
      <c r="H424" s="104"/>
    </row>
    <row r="425" spans="1:8" x14ac:dyDescent="0.45">
      <c r="A425" s="22" t="s">
        <v>4197</v>
      </c>
      <c r="B425" s="23">
        <v>1502000</v>
      </c>
      <c r="C425" s="23" t="s">
        <v>21</v>
      </c>
      <c r="D425" s="29" t="s">
        <v>22</v>
      </c>
      <c r="E425" s="23">
        <v>12</v>
      </c>
      <c r="F425" s="23" t="s">
        <v>17</v>
      </c>
      <c r="G425" s="24"/>
      <c r="H425" s="24">
        <f>G425*E425</f>
        <v>0</v>
      </c>
    </row>
    <row r="426" spans="1:8" x14ac:dyDescent="0.45">
      <c r="A426" s="22" t="s">
        <v>4198</v>
      </c>
      <c r="B426" s="23">
        <v>1502000</v>
      </c>
      <c r="C426" s="23" t="s">
        <v>24</v>
      </c>
      <c r="D426" s="29" t="s">
        <v>25</v>
      </c>
      <c r="E426" s="23">
        <v>12</v>
      </c>
      <c r="F426" s="23" t="s">
        <v>17</v>
      </c>
      <c r="G426" s="24"/>
      <c r="H426" s="24">
        <f>G426*E426</f>
        <v>0</v>
      </c>
    </row>
    <row r="427" spans="1:8" x14ac:dyDescent="0.45">
      <c r="A427" s="22" t="s">
        <v>4199</v>
      </c>
      <c r="B427" s="23">
        <v>1502000</v>
      </c>
      <c r="C427" s="23" t="s">
        <v>27</v>
      </c>
      <c r="D427" s="29" t="s">
        <v>28</v>
      </c>
      <c r="E427" s="23">
        <v>12</v>
      </c>
      <c r="F427" s="23" t="s">
        <v>17</v>
      </c>
      <c r="G427" s="24"/>
      <c r="H427" s="24">
        <f>G427*E427</f>
        <v>0</v>
      </c>
    </row>
    <row r="428" spans="1:8" x14ac:dyDescent="0.45">
      <c r="A428" s="25"/>
      <c r="B428" s="26"/>
      <c r="C428" s="26">
        <v>3.1</v>
      </c>
      <c r="D428" s="27" t="s">
        <v>31</v>
      </c>
      <c r="E428" s="28"/>
      <c r="F428" s="28"/>
      <c r="G428" s="28"/>
      <c r="H428" s="28"/>
    </row>
    <row r="429" spans="1:8" x14ac:dyDescent="0.45">
      <c r="A429" s="22" t="s">
        <v>4200</v>
      </c>
      <c r="B429" s="23">
        <v>1502000</v>
      </c>
      <c r="C429" s="23" t="s">
        <v>39</v>
      </c>
      <c r="D429" s="29" t="s">
        <v>230</v>
      </c>
      <c r="E429" s="23">
        <v>12</v>
      </c>
      <c r="F429" s="23" t="s">
        <v>17</v>
      </c>
      <c r="G429" s="24"/>
      <c r="H429" s="24">
        <f>G429*E429</f>
        <v>0</v>
      </c>
    </row>
    <row r="430" spans="1:8" x14ac:dyDescent="0.45">
      <c r="A430" s="22" t="s">
        <v>4201</v>
      </c>
      <c r="B430" s="23">
        <v>1502000</v>
      </c>
      <c r="C430" s="23" t="s">
        <v>250</v>
      </c>
      <c r="D430" s="29" t="s">
        <v>379</v>
      </c>
      <c r="E430" s="23">
        <v>12</v>
      </c>
      <c r="F430" s="23" t="s">
        <v>17</v>
      </c>
      <c r="G430" s="24"/>
      <c r="H430" s="24">
        <f>G430*E430</f>
        <v>0</v>
      </c>
    </row>
    <row r="431" spans="1:8" x14ac:dyDescent="0.45">
      <c r="A431" s="22" t="s">
        <v>4202</v>
      </c>
      <c r="B431" s="23">
        <v>1502000</v>
      </c>
      <c r="C431" s="23" t="s">
        <v>54</v>
      </c>
      <c r="D431" s="29" t="s">
        <v>55</v>
      </c>
      <c r="E431" s="23">
        <v>12</v>
      </c>
      <c r="F431" s="23" t="s">
        <v>17</v>
      </c>
      <c r="G431" s="24"/>
      <c r="H431" s="24">
        <f>G431*E431</f>
        <v>0</v>
      </c>
    </row>
    <row r="432" spans="1:8" x14ac:dyDescent="0.45">
      <c r="A432" s="25"/>
      <c r="B432" s="26">
        <v>1502000</v>
      </c>
      <c r="C432" s="26">
        <v>3.4</v>
      </c>
      <c r="D432" s="27" t="s">
        <v>62</v>
      </c>
      <c r="E432" s="26"/>
      <c r="F432" s="26"/>
      <c r="G432" s="28"/>
      <c r="H432" s="104"/>
    </row>
    <row r="433" spans="1:8" x14ac:dyDescent="0.45">
      <c r="A433" s="22" t="s">
        <v>4203</v>
      </c>
      <c r="B433" s="23">
        <v>1502000</v>
      </c>
      <c r="C433" s="23" t="s">
        <v>64</v>
      </c>
      <c r="D433" s="106" t="s">
        <v>65</v>
      </c>
      <c r="E433" s="23">
        <v>12</v>
      </c>
      <c r="F433" s="23" t="s">
        <v>17</v>
      </c>
      <c r="G433" s="24"/>
      <c r="H433" s="24">
        <f>G433*E433</f>
        <v>0</v>
      </c>
    </row>
    <row r="434" spans="1:8" x14ac:dyDescent="0.45">
      <c r="A434" s="22" t="s">
        <v>4204</v>
      </c>
      <c r="B434" s="23">
        <v>1502000</v>
      </c>
      <c r="C434" s="23" t="s">
        <v>67</v>
      </c>
      <c r="D434" s="120" t="s">
        <v>68</v>
      </c>
      <c r="E434" s="23">
        <v>12</v>
      </c>
      <c r="F434" s="23" t="s">
        <v>17</v>
      </c>
      <c r="G434" s="24"/>
      <c r="H434" s="24">
        <f>G434*E434</f>
        <v>0</v>
      </c>
    </row>
    <row r="435" spans="1:8" x14ac:dyDescent="0.45">
      <c r="A435" s="22" t="s">
        <v>4205</v>
      </c>
      <c r="B435" s="23">
        <v>1502000</v>
      </c>
      <c r="C435" s="23" t="s">
        <v>70</v>
      </c>
      <c r="D435" s="106" t="s">
        <v>71</v>
      </c>
      <c r="E435" s="23">
        <v>12</v>
      </c>
      <c r="F435" s="23" t="s">
        <v>17</v>
      </c>
      <c r="G435" s="24"/>
      <c r="H435" s="24">
        <f>G435*E435</f>
        <v>0</v>
      </c>
    </row>
    <row r="436" spans="1:8" x14ac:dyDescent="0.45">
      <c r="A436" s="27"/>
      <c r="B436" s="125"/>
      <c r="C436" s="125"/>
      <c r="D436" s="27" t="s">
        <v>75</v>
      </c>
      <c r="E436" s="26"/>
      <c r="F436" s="26"/>
      <c r="G436" s="28"/>
      <c r="H436" s="104"/>
    </row>
    <row r="437" spans="1:8" x14ac:dyDescent="0.45">
      <c r="A437" s="22" t="s">
        <v>4206</v>
      </c>
      <c r="B437" s="23">
        <v>1502000</v>
      </c>
      <c r="C437" s="23" t="s">
        <v>80</v>
      </c>
      <c r="D437" s="30" t="s">
        <v>81</v>
      </c>
      <c r="E437" s="23">
        <v>12</v>
      </c>
      <c r="F437" s="23" t="s">
        <v>17</v>
      </c>
      <c r="G437" s="24"/>
      <c r="H437" s="24">
        <f>G437*E437</f>
        <v>0</v>
      </c>
    </row>
    <row r="438" spans="1:8" x14ac:dyDescent="0.45">
      <c r="A438" s="22" t="s">
        <v>4207</v>
      </c>
      <c r="B438" s="23">
        <v>1502000</v>
      </c>
      <c r="C438" s="23" t="s">
        <v>86</v>
      </c>
      <c r="D438" s="106" t="s">
        <v>87</v>
      </c>
      <c r="E438" s="23">
        <v>12</v>
      </c>
      <c r="F438" s="23" t="s">
        <v>17</v>
      </c>
      <c r="G438" s="24"/>
      <c r="H438" s="24">
        <f>G438*E438</f>
        <v>0</v>
      </c>
    </row>
    <row r="439" spans="1:8" x14ac:dyDescent="0.45">
      <c r="A439" s="40"/>
      <c r="B439" s="41">
        <v>1503010</v>
      </c>
      <c r="C439" s="41"/>
      <c r="D439" s="42" t="s">
        <v>109</v>
      </c>
      <c r="E439" s="43"/>
      <c r="F439" s="44"/>
      <c r="G439" s="44"/>
      <c r="H439" s="45"/>
    </row>
    <row r="440" spans="1:8" x14ac:dyDescent="0.45">
      <c r="A440" s="22" t="s">
        <v>4208</v>
      </c>
      <c r="B440" s="33">
        <v>1503010</v>
      </c>
      <c r="C440" s="33">
        <v>3.1</v>
      </c>
      <c r="D440" s="36" t="s">
        <v>111</v>
      </c>
      <c r="E440" s="23">
        <v>12</v>
      </c>
      <c r="F440" s="23" t="s">
        <v>17</v>
      </c>
      <c r="G440" s="24"/>
      <c r="H440" s="24">
        <f>G440*E440</f>
        <v>0</v>
      </c>
    </row>
    <row r="441" spans="1:8" x14ac:dyDescent="0.45">
      <c r="A441" s="40"/>
      <c r="B441" s="43">
        <v>1503020</v>
      </c>
      <c r="C441" s="41"/>
      <c r="D441" s="42" t="s">
        <v>114</v>
      </c>
      <c r="E441" s="43"/>
      <c r="F441" s="44"/>
      <c r="G441" s="44"/>
      <c r="H441" s="45"/>
    </row>
    <row r="442" spans="1:8" ht="13.45" customHeight="1" x14ac:dyDescent="0.45">
      <c r="A442" s="22" t="s">
        <v>4209</v>
      </c>
      <c r="B442" s="33">
        <v>1503020</v>
      </c>
      <c r="C442" s="33">
        <v>3.1</v>
      </c>
      <c r="D442" s="36" t="s">
        <v>116</v>
      </c>
      <c r="E442" s="23">
        <v>12</v>
      </c>
      <c r="F442" s="23" t="s">
        <v>17</v>
      </c>
      <c r="G442" s="24"/>
      <c r="H442" s="24">
        <f>G442*E442</f>
        <v>0</v>
      </c>
    </row>
    <row r="443" spans="1:8" x14ac:dyDescent="0.45">
      <c r="A443" s="22" t="s">
        <v>4210</v>
      </c>
      <c r="B443" s="33">
        <v>1503020</v>
      </c>
      <c r="C443" s="33">
        <v>3.2</v>
      </c>
      <c r="D443" s="36" t="s">
        <v>118</v>
      </c>
      <c r="E443" s="23">
        <v>12</v>
      </c>
      <c r="F443" s="23" t="s">
        <v>17</v>
      </c>
      <c r="G443" s="24"/>
      <c r="H443" s="24">
        <f>G443*E443</f>
        <v>0</v>
      </c>
    </row>
    <row r="444" spans="1:8" x14ac:dyDescent="0.45">
      <c r="A444" s="22" t="s">
        <v>4211</v>
      </c>
      <c r="B444" s="33">
        <v>1503020</v>
      </c>
      <c r="C444" s="33">
        <v>3.3</v>
      </c>
      <c r="D444" s="36" t="s">
        <v>120</v>
      </c>
      <c r="E444" s="23">
        <v>12</v>
      </c>
      <c r="F444" s="23" t="s">
        <v>17</v>
      </c>
      <c r="G444" s="24"/>
      <c r="H444" s="24">
        <f>G444*E444</f>
        <v>0</v>
      </c>
    </row>
    <row r="445" spans="1:8" x14ac:dyDescent="0.45">
      <c r="A445" s="40"/>
      <c r="B445" s="43">
        <v>1503030</v>
      </c>
      <c r="C445" s="41"/>
      <c r="D445" s="42" t="s">
        <v>121</v>
      </c>
      <c r="E445" s="43"/>
      <c r="F445" s="44"/>
      <c r="G445" s="44"/>
      <c r="H445" s="45"/>
    </row>
    <row r="446" spans="1:8" x14ac:dyDescent="0.45">
      <c r="A446" s="22" t="s">
        <v>4212</v>
      </c>
      <c r="B446" s="33">
        <v>1503030</v>
      </c>
      <c r="C446" s="33" t="s">
        <v>123</v>
      </c>
      <c r="D446" s="36" t="s">
        <v>124</v>
      </c>
      <c r="E446" s="23">
        <v>12</v>
      </c>
      <c r="F446" s="23" t="s">
        <v>17</v>
      </c>
      <c r="G446" s="24"/>
      <c r="H446" s="24">
        <f>G446*E446</f>
        <v>0</v>
      </c>
    </row>
    <row r="447" spans="1:8" x14ac:dyDescent="0.45">
      <c r="A447" s="58"/>
      <c r="B447" s="59"/>
      <c r="C447" s="59"/>
      <c r="D447" s="60" t="s">
        <v>449</v>
      </c>
      <c r="E447" s="59"/>
      <c r="F447" s="59"/>
      <c r="G447" s="59"/>
      <c r="H447" s="62">
        <f>SUM(H425:H446)</f>
        <v>0</v>
      </c>
    </row>
    <row r="448" spans="1:8" x14ac:dyDescent="0.45">
      <c r="A448" s="96"/>
      <c r="B448" s="97"/>
      <c r="C448" s="97"/>
      <c r="D448" s="116"/>
      <c r="E448" s="97"/>
      <c r="F448" s="97"/>
      <c r="G448" s="97"/>
      <c r="H448" s="99"/>
    </row>
    <row r="449" spans="1:8" x14ac:dyDescent="0.45">
      <c r="A449" s="12" t="s">
        <v>4213</v>
      </c>
      <c r="B449" s="13"/>
      <c r="C449" s="13"/>
      <c r="D449" s="12" t="s">
        <v>451</v>
      </c>
      <c r="E449" s="13"/>
      <c r="F449" s="13"/>
      <c r="G449" s="13"/>
      <c r="H449" s="102"/>
    </row>
    <row r="450" spans="1:8" x14ac:dyDescent="0.45">
      <c r="A450" s="368"/>
      <c r="B450" s="369">
        <v>1503010</v>
      </c>
      <c r="C450" s="369"/>
      <c r="D450" s="370" t="s">
        <v>109</v>
      </c>
      <c r="E450" s="282"/>
      <c r="F450" s="283"/>
      <c r="G450" s="283"/>
      <c r="H450" s="284"/>
    </row>
    <row r="451" spans="1:8" x14ac:dyDescent="0.45">
      <c r="A451" s="258" t="s">
        <v>5279</v>
      </c>
      <c r="B451" s="259">
        <v>1503010</v>
      </c>
      <c r="C451" s="259">
        <v>3.1</v>
      </c>
      <c r="D451" s="260" t="s">
        <v>111</v>
      </c>
      <c r="E451" s="261">
        <v>12</v>
      </c>
      <c r="F451" s="261" t="s">
        <v>17</v>
      </c>
      <c r="G451" s="262"/>
      <c r="H451" s="262">
        <f>G451*E451</f>
        <v>0</v>
      </c>
    </row>
    <row r="452" spans="1:8" x14ac:dyDescent="0.45">
      <c r="A452" s="40"/>
      <c r="B452" s="43">
        <v>1503020</v>
      </c>
      <c r="C452" s="41"/>
      <c r="D452" s="42" t="s">
        <v>114</v>
      </c>
      <c r="E452" s="43"/>
      <c r="F452" s="44"/>
      <c r="G452" s="44"/>
      <c r="H452" s="45"/>
    </row>
    <row r="453" spans="1:8" ht="13.45" customHeight="1" x14ac:dyDescent="0.45">
      <c r="A453" s="22" t="s">
        <v>4214</v>
      </c>
      <c r="B453" s="33">
        <v>1503020</v>
      </c>
      <c r="C453" s="33">
        <v>3.1</v>
      </c>
      <c r="D453" s="36" t="s">
        <v>116</v>
      </c>
      <c r="E453" s="23">
        <v>12</v>
      </c>
      <c r="F453" s="23" t="s">
        <v>17</v>
      </c>
      <c r="G453" s="24"/>
      <c r="H453" s="24">
        <f>G453*E453</f>
        <v>0</v>
      </c>
    </row>
    <row r="454" spans="1:8" x14ac:dyDescent="0.45">
      <c r="A454" s="22" t="s">
        <v>4215</v>
      </c>
      <c r="B454" s="33">
        <v>1503020</v>
      </c>
      <c r="C454" s="33">
        <v>3.3</v>
      </c>
      <c r="D454" s="36" t="s">
        <v>120</v>
      </c>
      <c r="E454" s="23">
        <v>12</v>
      </c>
      <c r="F454" s="23" t="s">
        <v>17</v>
      </c>
      <c r="G454" s="24"/>
      <c r="H454" s="24">
        <f>G454*E454</f>
        <v>0</v>
      </c>
    </row>
    <row r="455" spans="1:8" x14ac:dyDescent="0.45">
      <c r="A455" s="58"/>
      <c r="B455" s="59"/>
      <c r="C455" s="59"/>
      <c r="D455" s="60" t="s">
        <v>453</v>
      </c>
      <c r="E455" s="59"/>
      <c r="F455" s="59"/>
      <c r="G455" s="59"/>
      <c r="H455" s="62">
        <f>SUM(H451:H454)</f>
        <v>0</v>
      </c>
    </row>
    <row r="456" spans="1:8" s="389" customFormat="1" x14ac:dyDescent="0.45">
      <c r="A456" s="87"/>
      <c r="B456" s="88"/>
      <c r="C456" s="88"/>
      <c r="D456" s="89"/>
      <c r="E456" s="64"/>
      <c r="F456" s="64"/>
      <c r="G456" s="66"/>
      <c r="H456" s="66"/>
    </row>
    <row r="457" spans="1:8" s="389" customFormat="1" x14ac:dyDescent="0.45">
      <c r="A457" s="378" t="s">
        <v>5281</v>
      </c>
      <c r="B457" s="379"/>
      <c r="C457" s="380"/>
      <c r="D457" s="378" t="s">
        <v>5047</v>
      </c>
      <c r="E457" s="381"/>
      <c r="F457" s="381"/>
      <c r="G457" s="381"/>
      <c r="H457" s="381"/>
    </row>
    <row r="458" spans="1:8" s="389" customFormat="1" x14ac:dyDescent="0.4">
      <c r="A458" s="287"/>
      <c r="B458" s="382">
        <v>1502000</v>
      </c>
      <c r="C458" s="383"/>
      <c r="D458" s="384" t="s">
        <v>18</v>
      </c>
      <c r="E458" s="385"/>
      <c r="F458" s="385"/>
      <c r="G458" s="386"/>
      <c r="H458" s="386"/>
    </row>
    <row r="459" spans="1:8" s="389" customFormat="1" x14ac:dyDescent="0.45">
      <c r="A459" s="363"/>
      <c r="B459" s="373"/>
      <c r="C459" s="373">
        <v>3.6</v>
      </c>
      <c r="D459" s="374" t="s">
        <v>75</v>
      </c>
      <c r="E459" s="375"/>
      <c r="F459" s="375"/>
      <c r="G459" s="375"/>
      <c r="H459" s="375"/>
    </row>
    <row r="460" spans="1:8" s="389" customFormat="1" x14ac:dyDescent="0.45">
      <c r="A460" s="257" t="s">
        <v>5282</v>
      </c>
      <c r="B460" s="286">
        <v>1502000</v>
      </c>
      <c r="C460" s="301" t="s">
        <v>77</v>
      </c>
      <c r="D460" s="372" t="s">
        <v>78</v>
      </c>
      <c r="E460" s="286">
        <v>12</v>
      </c>
      <c r="F460" s="286" t="s">
        <v>17</v>
      </c>
      <c r="G460" s="302"/>
      <c r="H460" s="302">
        <f>G460*E460</f>
        <v>0</v>
      </c>
    </row>
    <row r="461" spans="1:8" s="389" customFormat="1" x14ac:dyDescent="0.45">
      <c r="A461" s="257" t="s">
        <v>5283</v>
      </c>
      <c r="B461" s="286">
        <v>1502000</v>
      </c>
      <c r="C461" s="301" t="s">
        <v>101</v>
      </c>
      <c r="D461" s="372" t="s">
        <v>102</v>
      </c>
      <c r="E461" s="286">
        <v>12</v>
      </c>
      <c r="F461" s="286" t="s">
        <v>17</v>
      </c>
      <c r="G461" s="302"/>
      <c r="H461" s="302">
        <f>G461*E461</f>
        <v>0</v>
      </c>
    </row>
    <row r="462" spans="1:8" s="389" customFormat="1" x14ac:dyDescent="0.45">
      <c r="A462" s="58"/>
      <c r="B462" s="59"/>
      <c r="C462" s="59"/>
      <c r="D462" s="387" t="s">
        <v>5048</v>
      </c>
      <c r="E462" s="59"/>
      <c r="F462" s="59"/>
      <c r="G462" s="61"/>
      <c r="H462" s="388">
        <f>SUM(H460:H461)</f>
        <v>0</v>
      </c>
    </row>
    <row r="463" spans="1:8" s="389" customFormat="1" x14ac:dyDescent="0.45">
      <c r="A463" s="87"/>
      <c r="B463" s="88"/>
      <c r="C463" s="88"/>
      <c r="D463" s="89"/>
      <c r="E463" s="64"/>
      <c r="F463" s="64"/>
      <c r="G463" s="66"/>
      <c r="H463" s="66"/>
    </row>
    <row r="464" spans="1:8" s="293" customFormat="1" x14ac:dyDescent="0.45">
      <c r="A464" s="378" t="s">
        <v>5284</v>
      </c>
      <c r="B464" s="380"/>
      <c r="C464" s="380"/>
      <c r="D464" s="378" t="s">
        <v>5050</v>
      </c>
      <c r="E464" s="381"/>
      <c r="F464" s="381"/>
      <c r="G464" s="381"/>
      <c r="H464" s="381"/>
    </row>
    <row r="465" spans="1:8" s="293" customFormat="1" x14ac:dyDescent="0.4">
      <c r="A465" s="287"/>
      <c r="B465" s="382">
        <v>1502000</v>
      </c>
      <c r="C465" s="383"/>
      <c r="D465" s="384" t="s">
        <v>18</v>
      </c>
      <c r="E465" s="290"/>
      <c r="F465" s="291"/>
      <c r="G465" s="291"/>
      <c r="H465" s="292"/>
    </row>
    <row r="466" spans="1:8" s="293" customFormat="1" x14ac:dyDescent="0.45">
      <c r="A466" s="363"/>
      <c r="B466" s="373"/>
      <c r="C466" s="373">
        <v>3.6</v>
      </c>
      <c r="D466" s="374" t="s">
        <v>75</v>
      </c>
      <c r="E466" s="375"/>
      <c r="F466" s="375"/>
      <c r="G466" s="375"/>
      <c r="H466" s="375"/>
    </row>
    <row r="467" spans="1:8" s="293" customFormat="1" x14ac:dyDescent="0.45">
      <c r="A467" s="257" t="s">
        <v>5285</v>
      </c>
      <c r="B467" s="286">
        <v>1502000</v>
      </c>
      <c r="C467" s="301" t="s">
        <v>77</v>
      </c>
      <c r="D467" s="372" t="s">
        <v>78</v>
      </c>
      <c r="E467" s="286">
        <v>12</v>
      </c>
      <c r="F467" s="286" t="s">
        <v>17</v>
      </c>
      <c r="G467" s="302"/>
      <c r="H467" s="302">
        <f>G467*E467</f>
        <v>0</v>
      </c>
    </row>
    <row r="468" spans="1:8" s="389" customFormat="1" x14ac:dyDescent="0.45">
      <c r="A468" s="58"/>
      <c r="B468" s="59"/>
      <c r="C468" s="59"/>
      <c r="D468" s="387" t="s">
        <v>5051</v>
      </c>
      <c r="E468" s="59"/>
      <c r="F468" s="59"/>
      <c r="G468" s="61"/>
      <c r="H468" s="388">
        <f>SUM(H467)</f>
        <v>0</v>
      </c>
    </row>
    <row r="469" spans="1:8" s="389" customFormat="1" x14ac:dyDescent="0.45">
      <c r="B469" s="105"/>
      <c r="C469" s="105"/>
      <c r="D469" s="140"/>
      <c r="E469" s="105"/>
      <c r="F469" s="105"/>
      <c r="G469" s="141"/>
      <c r="H469" s="141"/>
    </row>
    <row r="470" spans="1:8" ht="7.5" customHeight="1" x14ac:dyDescent="0.45">
      <c r="A470" s="130"/>
      <c r="B470" s="131"/>
      <c r="C470" s="131"/>
      <c r="D470" s="132"/>
      <c r="E470" s="131"/>
      <c r="F470" s="133"/>
      <c r="G470" s="133"/>
      <c r="H470" s="134"/>
    </row>
    <row r="471" spans="1:8" s="139" customFormat="1" ht="15" x14ac:dyDescent="0.45">
      <c r="A471" s="135" t="s">
        <v>5280</v>
      </c>
      <c r="B471" s="136"/>
      <c r="C471" s="136"/>
      <c r="D471" s="137"/>
      <c r="E471" s="137"/>
      <c r="F471" s="137"/>
      <c r="G471" s="137"/>
      <c r="H471" s="138">
        <f>H455+H447+H420+H406+H396+H388+H345+H334+H303+H281+H272+H247+H242+H236+H216+H165+H150+H143+H136+H122+H97+H462+H468</f>
        <v>0</v>
      </c>
    </row>
  </sheetData>
  <mergeCells count="2354">
    <mergeCell ref="A9:H9"/>
    <mergeCell ref="A10:H10"/>
    <mergeCell ref="XER5:XEX5"/>
    <mergeCell ref="XEY5:XFB5"/>
    <mergeCell ref="A6:H6"/>
    <mergeCell ref="I6:N6"/>
    <mergeCell ref="A7:H7"/>
    <mergeCell ref="A8:H8"/>
    <mergeCell ref="XDB5:XDH5"/>
    <mergeCell ref="XDI5:XDO5"/>
    <mergeCell ref="XDP5:XDV5"/>
    <mergeCell ref="XDW5:XEC5"/>
    <mergeCell ref="XED5:XEJ5"/>
    <mergeCell ref="XEK5:XEQ5"/>
    <mergeCell ref="XBL5:XBR5"/>
    <mergeCell ref="XBS5:XBY5"/>
    <mergeCell ref="XBZ5:XCF5"/>
    <mergeCell ref="XCG5:XCM5"/>
    <mergeCell ref="XCN5:XCT5"/>
    <mergeCell ref="XCU5:XDA5"/>
    <mergeCell ref="WZV5:XAB5"/>
    <mergeCell ref="XAC5:XAI5"/>
    <mergeCell ref="XAJ5:XAP5"/>
    <mergeCell ref="XAQ5:XAW5"/>
    <mergeCell ref="XAX5:XBD5"/>
    <mergeCell ref="XBE5:XBK5"/>
    <mergeCell ref="WYF5:WYL5"/>
    <mergeCell ref="WYM5:WYS5"/>
    <mergeCell ref="WYT5:WYZ5"/>
    <mergeCell ref="WZA5:WZG5"/>
    <mergeCell ref="WZH5:WZN5"/>
    <mergeCell ref="WZO5:WZU5"/>
    <mergeCell ref="WWP5:WWV5"/>
    <mergeCell ref="WWW5:WXC5"/>
    <mergeCell ref="WXD5:WXJ5"/>
    <mergeCell ref="WXK5:WXQ5"/>
    <mergeCell ref="WXR5:WXX5"/>
    <mergeCell ref="WXY5:WYE5"/>
    <mergeCell ref="WUZ5:WVF5"/>
    <mergeCell ref="WVG5:WVM5"/>
    <mergeCell ref="WVN5:WVT5"/>
    <mergeCell ref="WVU5:WWA5"/>
    <mergeCell ref="WWB5:WWH5"/>
    <mergeCell ref="WWI5:WWO5"/>
    <mergeCell ref="WTJ5:WTP5"/>
    <mergeCell ref="WTQ5:WTW5"/>
    <mergeCell ref="WTX5:WUD5"/>
    <mergeCell ref="WUE5:WUK5"/>
    <mergeCell ref="WUL5:WUR5"/>
    <mergeCell ref="WUS5:WUY5"/>
    <mergeCell ref="WRT5:WRZ5"/>
    <mergeCell ref="WSA5:WSG5"/>
    <mergeCell ref="WSH5:WSN5"/>
    <mergeCell ref="WSO5:WSU5"/>
    <mergeCell ref="WSV5:WTB5"/>
    <mergeCell ref="WTC5:WTI5"/>
    <mergeCell ref="WQD5:WQJ5"/>
    <mergeCell ref="WQK5:WQQ5"/>
    <mergeCell ref="WQR5:WQX5"/>
    <mergeCell ref="WQY5:WRE5"/>
    <mergeCell ref="WRF5:WRL5"/>
    <mergeCell ref="WRM5:WRS5"/>
    <mergeCell ref="WON5:WOT5"/>
    <mergeCell ref="WOU5:WPA5"/>
    <mergeCell ref="WPB5:WPH5"/>
    <mergeCell ref="WPI5:WPO5"/>
    <mergeCell ref="WPP5:WPV5"/>
    <mergeCell ref="WPW5:WQC5"/>
    <mergeCell ref="WMX5:WND5"/>
    <mergeCell ref="WNE5:WNK5"/>
    <mergeCell ref="WNL5:WNR5"/>
    <mergeCell ref="WNS5:WNY5"/>
    <mergeCell ref="WNZ5:WOF5"/>
    <mergeCell ref="WOG5:WOM5"/>
    <mergeCell ref="WLH5:WLN5"/>
    <mergeCell ref="WLO5:WLU5"/>
    <mergeCell ref="WLV5:WMB5"/>
    <mergeCell ref="WMC5:WMI5"/>
    <mergeCell ref="WMJ5:WMP5"/>
    <mergeCell ref="WMQ5:WMW5"/>
    <mergeCell ref="WJR5:WJX5"/>
    <mergeCell ref="WJY5:WKE5"/>
    <mergeCell ref="WKF5:WKL5"/>
    <mergeCell ref="WKM5:WKS5"/>
    <mergeCell ref="WKT5:WKZ5"/>
    <mergeCell ref="WLA5:WLG5"/>
    <mergeCell ref="WIB5:WIH5"/>
    <mergeCell ref="WII5:WIO5"/>
    <mergeCell ref="WIP5:WIV5"/>
    <mergeCell ref="WIW5:WJC5"/>
    <mergeCell ref="WJD5:WJJ5"/>
    <mergeCell ref="WJK5:WJQ5"/>
    <mergeCell ref="WGL5:WGR5"/>
    <mergeCell ref="WGS5:WGY5"/>
    <mergeCell ref="WGZ5:WHF5"/>
    <mergeCell ref="WHG5:WHM5"/>
    <mergeCell ref="WHN5:WHT5"/>
    <mergeCell ref="WHU5:WIA5"/>
    <mergeCell ref="WEV5:WFB5"/>
    <mergeCell ref="WFC5:WFI5"/>
    <mergeCell ref="WFJ5:WFP5"/>
    <mergeCell ref="WFQ5:WFW5"/>
    <mergeCell ref="WFX5:WGD5"/>
    <mergeCell ref="WGE5:WGK5"/>
    <mergeCell ref="WDF5:WDL5"/>
    <mergeCell ref="WDM5:WDS5"/>
    <mergeCell ref="WDT5:WDZ5"/>
    <mergeCell ref="WEA5:WEG5"/>
    <mergeCell ref="WEH5:WEN5"/>
    <mergeCell ref="WEO5:WEU5"/>
    <mergeCell ref="WBP5:WBV5"/>
    <mergeCell ref="WBW5:WCC5"/>
    <mergeCell ref="WCD5:WCJ5"/>
    <mergeCell ref="WCK5:WCQ5"/>
    <mergeCell ref="WCR5:WCX5"/>
    <mergeCell ref="WCY5:WDE5"/>
    <mergeCell ref="VZZ5:WAF5"/>
    <mergeCell ref="WAG5:WAM5"/>
    <mergeCell ref="WAN5:WAT5"/>
    <mergeCell ref="WAU5:WBA5"/>
    <mergeCell ref="WBB5:WBH5"/>
    <mergeCell ref="WBI5:WBO5"/>
    <mergeCell ref="VYJ5:VYP5"/>
    <mergeCell ref="VYQ5:VYW5"/>
    <mergeCell ref="VYX5:VZD5"/>
    <mergeCell ref="VZE5:VZK5"/>
    <mergeCell ref="VZL5:VZR5"/>
    <mergeCell ref="VZS5:VZY5"/>
    <mergeCell ref="VWT5:VWZ5"/>
    <mergeCell ref="VXA5:VXG5"/>
    <mergeCell ref="VXH5:VXN5"/>
    <mergeCell ref="VXO5:VXU5"/>
    <mergeCell ref="VXV5:VYB5"/>
    <mergeCell ref="VYC5:VYI5"/>
    <mergeCell ref="VVD5:VVJ5"/>
    <mergeCell ref="VVK5:VVQ5"/>
    <mergeCell ref="VVR5:VVX5"/>
    <mergeCell ref="VVY5:VWE5"/>
    <mergeCell ref="VWF5:VWL5"/>
    <mergeCell ref="VWM5:VWS5"/>
    <mergeCell ref="VTN5:VTT5"/>
    <mergeCell ref="VTU5:VUA5"/>
    <mergeCell ref="VUB5:VUH5"/>
    <mergeCell ref="VUI5:VUO5"/>
    <mergeCell ref="VUP5:VUV5"/>
    <mergeCell ref="VUW5:VVC5"/>
    <mergeCell ref="VRX5:VSD5"/>
    <mergeCell ref="VSE5:VSK5"/>
    <mergeCell ref="VSL5:VSR5"/>
    <mergeCell ref="VSS5:VSY5"/>
    <mergeCell ref="VSZ5:VTF5"/>
    <mergeCell ref="VTG5:VTM5"/>
    <mergeCell ref="VQH5:VQN5"/>
    <mergeCell ref="VQO5:VQU5"/>
    <mergeCell ref="VQV5:VRB5"/>
    <mergeCell ref="VRC5:VRI5"/>
    <mergeCell ref="VRJ5:VRP5"/>
    <mergeCell ref="VRQ5:VRW5"/>
    <mergeCell ref="VOR5:VOX5"/>
    <mergeCell ref="VOY5:VPE5"/>
    <mergeCell ref="VPF5:VPL5"/>
    <mergeCell ref="VPM5:VPS5"/>
    <mergeCell ref="VPT5:VPZ5"/>
    <mergeCell ref="VQA5:VQG5"/>
    <mergeCell ref="VNB5:VNH5"/>
    <mergeCell ref="VNI5:VNO5"/>
    <mergeCell ref="VNP5:VNV5"/>
    <mergeCell ref="VNW5:VOC5"/>
    <mergeCell ref="VOD5:VOJ5"/>
    <mergeCell ref="VOK5:VOQ5"/>
    <mergeCell ref="VLL5:VLR5"/>
    <mergeCell ref="VLS5:VLY5"/>
    <mergeCell ref="VLZ5:VMF5"/>
    <mergeCell ref="VMG5:VMM5"/>
    <mergeCell ref="VMN5:VMT5"/>
    <mergeCell ref="VMU5:VNA5"/>
    <mergeCell ref="VJV5:VKB5"/>
    <mergeCell ref="VKC5:VKI5"/>
    <mergeCell ref="VKJ5:VKP5"/>
    <mergeCell ref="VKQ5:VKW5"/>
    <mergeCell ref="VKX5:VLD5"/>
    <mergeCell ref="VLE5:VLK5"/>
    <mergeCell ref="VIF5:VIL5"/>
    <mergeCell ref="VIM5:VIS5"/>
    <mergeCell ref="VIT5:VIZ5"/>
    <mergeCell ref="VJA5:VJG5"/>
    <mergeCell ref="VJH5:VJN5"/>
    <mergeCell ref="VJO5:VJU5"/>
    <mergeCell ref="VGP5:VGV5"/>
    <mergeCell ref="VGW5:VHC5"/>
    <mergeCell ref="VHD5:VHJ5"/>
    <mergeCell ref="VHK5:VHQ5"/>
    <mergeCell ref="VHR5:VHX5"/>
    <mergeCell ref="VHY5:VIE5"/>
    <mergeCell ref="VEZ5:VFF5"/>
    <mergeCell ref="VFG5:VFM5"/>
    <mergeCell ref="VFN5:VFT5"/>
    <mergeCell ref="VFU5:VGA5"/>
    <mergeCell ref="VGB5:VGH5"/>
    <mergeCell ref="VGI5:VGO5"/>
    <mergeCell ref="VDJ5:VDP5"/>
    <mergeCell ref="VDQ5:VDW5"/>
    <mergeCell ref="VDX5:VED5"/>
    <mergeCell ref="VEE5:VEK5"/>
    <mergeCell ref="VEL5:VER5"/>
    <mergeCell ref="VES5:VEY5"/>
    <mergeCell ref="VBT5:VBZ5"/>
    <mergeCell ref="VCA5:VCG5"/>
    <mergeCell ref="VCH5:VCN5"/>
    <mergeCell ref="VCO5:VCU5"/>
    <mergeCell ref="VCV5:VDB5"/>
    <mergeCell ref="VDC5:VDI5"/>
    <mergeCell ref="VAD5:VAJ5"/>
    <mergeCell ref="VAK5:VAQ5"/>
    <mergeCell ref="VAR5:VAX5"/>
    <mergeCell ref="VAY5:VBE5"/>
    <mergeCell ref="VBF5:VBL5"/>
    <mergeCell ref="VBM5:VBS5"/>
    <mergeCell ref="UYN5:UYT5"/>
    <mergeCell ref="UYU5:UZA5"/>
    <mergeCell ref="UZB5:UZH5"/>
    <mergeCell ref="UZI5:UZO5"/>
    <mergeCell ref="UZP5:UZV5"/>
    <mergeCell ref="UZW5:VAC5"/>
    <mergeCell ref="UWX5:UXD5"/>
    <mergeCell ref="UXE5:UXK5"/>
    <mergeCell ref="UXL5:UXR5"/>
    <mergeCell ref="UXS5:UXY5"/>
    <mergeCell ref="UXZ5:UYF5"/>
    <mergeCell ref="UYG5:UYM5"/>
    <mergeCell ref="UVH5:UVN5"/>
    <mergeCell ref="UVO5:UVU5"/>
    <mergeCell ref="UVV5:UWB5"/>
    <mergeCell ref="UWC5:UWI5"/>
    <mergeCell ref="UWJ5:UWP5"/>
    <mergeCell ref="UWQ5:UWW5"/>
    <mergeCell ref="UTR5:UTX5"/>
    <mergeCell ref="UTY5:UUE5"/>
    <mergeCell ref="UUF5:UUL5"/>
    <mergeCell ref="UUM5:UUS5"/>
    <mergeCell ref="UUT5:UUZ5"/>
    <mergeCell ref="UVA5:UVG5"/>
    <mergeCell ref="USB5:USH5"/>
    <mergeCell ref="USI5:USO5"/>
    <mergeCell ref="USP5:USV5"/>
    <mergeCell ref="USW5:UTC5"/>
    <mergeCell ref="UTD5:UTJ5"/>
    <mergeCell ref="UTK5:UTQ5"/>
    <mergeCell ref="UQL5:UQR5"/>
    <mergeCell ref="UQS5:UQY5"/>
    <mergeCell ref="UQZ5:URF5"/>
    <mergeCell ref="URG5:URM5"/>
    <mergeCell ref="URN5:URT5"/>
    <mergeCell ref="URU5:USA5"/>
    <mergeCell ref="UOV5:UPB5"/>
    <mergeCell ref="UPC5:UPI5"/>
    <mergeCell ref="UPJ5:UPP5"/>
    <mergeCell ref="UPQ5:UPW5"/>
    <mergeCell ref="UPX5:UQD5"/>
    <mergeCell ref="UQE5:UQK5"/>
    <mergeCell ref="UNF5:UNL5"/>
    <mergeCell ref="UNM5:UNS5"/>
    <mergeCell ref="UNT5:UNZ5"/>
    <mergeCell ref="UOA5:UOG5"/>
    <mergeCell ref="UOH5:UON5"/>
    <mergeCell ref="UOO5:UOU5"/>
    <mergeCell ref="ULP5:ULV5"/>
    <mergeCell ref="ULW5:UMC5"/>
    <mergeCell ref="UMD5:UMJ5"/>
    <mergeCell ref="UMK5:UMQ5"/>
    <mergeCell ref="UMR5:UMX5"/>
    <mergeCell ref="UMY5:UNE5"/>
    <mergeCell ref="UJZ5:UKF5"/>
    <mergeCell ref="UKG5:UKM5"/>
    <mergeCell ref="UKN5:UKT5"/>
    <mergeCell ref="UKU5:ULA5"/>
    <mergeCell ref="ULB5:ULH5"/>
    <mergeCell ref="ULI5:ULO5"/>
    <mergeCell ref="UIJ5:UIP5"/>
    <mergeCell ref="UIQ5:UIW5"/>
    <mergeCell ref="UIX5:UJD5"/>
    <mergeCell ref="UJE5:UJK5"/>
    <mergeCell ref="UJL5:UJR5"/>
    <mergeCell ref="UJS5:UJY5"/>
    <mergeCell ref="UGT5:UGZ5"/>
    <mergeCell ref="UHA5:UHG5"/>
    <mergeCell ref="UHH5:UHN5"/>
    <mergeCell ref="UHO5:UHU5"/>
    <mergeCell ref="UHV5:UIB5"/>
    <mergeCell ref="UIC5:UII5"/>
    <mergeCell ref="UFD5:UFJ5"/>
    <mergeCell ref="UFK5:UFQ5"/>
    <mergeCell ref="UFR5:UFX5"/>
    <mergeCell ref="UFY5:UGE5"/>
    <mergeCell ref="UGF5:UGL5"/>
    <mergeCell ref="UGM5:UGS5"/>
    <mergeCell ref="UDN5:UDT5"/>
    <mergeCell ref="UDU5:UEA5"/>
    <mergeCell ref="UEB5:UEH5"/>
    <mergeCell ref="UEI5:UEO5"/>
    <mergeCell ref="UEP5:UEV5"/>
    <mergeCell ref="UEW5:UFC5"/>
    <mergeCell ref="UBX5:UCD5"/>
    <mergeCell ref="UCE5:UCK5"/>
    <mergeCell ref="UCL5:UCR5"/>
    <mergeCell ref="UCS5:UCY5"/>
    <mergeCell ref="UCZ5:UDF5"/>
    <mergeCell ref="UDG5:UDM5"/>
    <mergeCell ref="UAH5:UAN5"/>
    <mergeCell ref="UAO5:UAU5"/>
    <mergeCell ref="UAV5:UBB5"/>
    <mergeCell ref="UBC5:UBI5"/>
    <mergeCell ref="UBJ5:UBP5"/>
    <mergeCell ref="UBQ5:UBW5"/>
    <mergeCell ref="TYR5:TYX5"/>
    <mergeCell ref="TYY5:TZE5"/>
    <mergeCell ref="TZF5:TZL5"/>
    <mergeCell ref="TZM5:TZS5"/>
    <mergeCell ref="TZT5:TZZ5"/>
    <mergeCell ref="UAA5:UAG5"/>
    <mergeCell ref="TXB5:TXH5"/>
    <mergeCell ref="TXI5:TXO5"/>
    <mergeCell ref="TXP5:TXV5"/>
    <mergeCell ref="TXW5:TYC5"/>
    <mergeCell ref="TYD5:TYJ5"/>
    <mergeCell ref="TYK5:TYQ5"/>
    <mergeCell ref="TVL5:TVR5"/>
    <mergeCell ref="TVS5:TVY5"/>
    <mergeCell ref="TVZ5:TWF5"/>
    <mergeCell ref="TWG5:TWM5"/>
    <mergeCell ref="TWN5:TWT5"/>
    <mergeCell ref="TWU5:TXA5"/>
    <mergeCell ref="TTV5:TUB5"/>
    <mergeCell ref="TUC5:TUI5"/>
    <mergeCell ref="TUJ5:TUP5"/>
    <mergeCell ref="TUQ5:TUW5"/>
    <mergeCell ref="TUX5:TVD5"/>
    <mergeCell ref="TVE5:TVK5"/>
    <mergeCell ref="TSF5:TSL5"/>
    <mergeCell ref="TSM5:TSS5"/>
    <mergeCell ref="TST5:TSZ5"/>
    <mergeCell ref="TTA5:TTG5"/>
    <mergeCell ref="TTH5:TTN5"/>
    <mergeCell ref="TTO5:TTU5"/>
    <mergeCell ref="TQP5:TQV5"/>
    <mergeCell ref="TQW5:TRC5"/>
    <mergeCell ref="TRD5:TRJ5"/>
    <mergeCell ref="TRK5:TRQ5"/>
    <mergeCell ref="TRR5:TRX5"/>
    <mergeCell ref="TRY5:TSE5"/>
    <mergeCell ref="TOZ5:TPF5"/>
    <mergeCell ref="TPG5:TPM5"/>
    <mergeCell ref="TPN5:TPT5"/>
    <mergeCell ref="TPU5:TQA5"/>
    <mergeCell ref="TQB5:TQH5"/>
    <mergeCell ref="TQI5:TQO5"/>
    <mergeCell ref="TNJ5:TNP5"/>
    <mergeCell ref="TNQ5:TNW5"/>
    <mergeCell ref="TNX5:TOD5"/>
    <mergeCell ref="TOE5:TOK5"/>
    <mergeCell ref="TOL5:TOR5"/>
    <mergeCell ref="TOS5:TOY5"/>
    <mergeCell ref="TLT5:TLZ5"/>
    <mergeCell ref="TMA5:TMG5"/>
    <mergeCell ref="TMH5:TMN5"/>
    <mergeCell ref="TMO5:TMU5"/>
    <mergeCell ref="TMV5:TNB5"/>
    <mergeCell ref="TNC5:TNI5"/>
    <mergeCell ref="TKD5:TKJ5"/>
    <mergeCell ref="TKK5:TKQ5"/>
    <mergeCell ref="TKR5:TKX5"/>
    <mergeCell ref="TKY5:TLE5"/>
    <mergeCell ref="TLF5:TLL5"/>
    <mergeCell ref="TLM5:TLS5"/>
    <mergeCell ref="TIN5:TIT5"/>
    <mergeCell ref="TIU5:TJA5"/>
    <mergeCell ref="TJB5:TJH5"/>
    <mergeCell ref="TJI5:TJO5"/>
    <mergeCell ref="TJP5:TJV5"/>
    <mergeCell ref="TJW5:TKC5"/>
    <mergeCell ref="TGX5:THD5"/>
    <mergeCell ref="THE5:THK5"/>
    <mergeCell ref="THL5:THR5"/>
    <mergeCell ref="THS5:THY5"/>
    <mergeCell ref="THZ5:TIF5"/>
    <mergeCell ref="TIG5:TIM5"/>
    <mergeCell ref="TFH5:TFN5"/>
    <mergeCell ref="TFO5:TFU5"/>
    <mergeCell ref="TFV5:TGB5"/>
    <mergeCell ref="TGC5:TGI5"/>
    <mergeCell ref="TGJ5:TGP5"/>
    <mergeCell ref="TGQ5:TGW5"/>
    <mergeCell ref="TDR5:TDX5"/>
    <mergeCell ref="TDY5:TEE5"/>
    <mergeCell ref="TEF5:TEL5"/>
    <mergeCell ref="TEM5:TES5"/>
    <mergeCell ref="TET5:TEZ5"/>
    <mergeCell ref="TFA5:TFG5"/>
    <mergeCell ref="TCB5:TCH5"/>
    <mergeCell ref="TCI5:TCO5"/>
    <mergeCell ref="TCP5:TCV5"/>
    <mergeCell ref="TCW5:TDC5"/>
    <mergeCell ref="TDD5:TDJ5"/>
    <mergeCell ref="TDK5:TDQ5"/>
    <mergeCell ref="TAL5:TAR5"/>
    <mergeCell ref="TAS5:TAY5"/>
    <mergeCell ref="TAZ5:TBF5"/>
    <mergeCell ref="TBG5:TBM5"/>
    <mergeCell ref="TBN5:TBT5"/>
    <mergeCell ref="TBU5:TCA5"/>
    <mergeCell ref="SYV5:SZB5"/>
    <mergeCell ref="SZC5:SZI5"/>
    <mergeCell ref="SZJ5:SZP5"/>
    <mergeCell ref="SZQ5:SZW5"/>
    <mergeCell ref="SZX5:TAD5"/>
    <mergeCell ref="TAE5:TAK5"/>
    <mergeCell ref="SXF5:SXL5"/>
    <mergeCell ref="SXM5:SXS5"/>
    <mergeCell ref="SXT5:SXZ5"/>
    <mergeCell ref="SYA5:SYG5"/>
    <mergeCell ref="SYH5:SYN5"/>
    <mergeCell ref="SYO5:SYU5"/>
    <mergeCell ref="SVP5:SVV5"/>
    <mergeCell ref="SVW5:SWC5"/>
    <mergeCell ref="SWD5:SWJ5"/>
    <mergeCell ref="SWK5:SWQ5"/>
    <mergeCell ref="SWR5:SWX5"/>
    <mergeCell ref="SWY5:SXE5"/>
    <mergeCell ref="STZ5:SUF5"/>
    <mergeCell ref="SUG5:SUM5"/>
    <mergeCell ref="SUN5:SUT5"/>
    <mergeCell ref="SUU5:SVA5"/>
    <mergeCell ref="SVB5:SVH5"/>
    <mergeCell ref="SVI5:SVO5"/>
    <mergeCell ref="SSJ5:SSP5"/>
    <mergeCell ref="SSQ5:SSW5"/>
    <mergeCell ref="SSX5:STD5"/>
    <mergeCell ref="STE5:STK5"/>
    <mergeCell ref="STL5:STR5"/>
    <mergeCell ref="STS5:STY5"/>
    <mergeCell ref="SQT5:SQZ5"/>
    <mergeCell ref="SRA5:SRG5"/>
    <mergeCell ref="SRH5:SRN5"/>
    <mergeCell ref="SRO5:SRU5"/>
    <mergeCell ref="SRV5:SSB5"/>
    <mergeCell ref="SSC5:SSI5"/>
    <mergeCell ref="SPD5:SPJ5"/>
    <mergeCell ref="SPK5:SPQ5"/>
    <mergeCell ref="SPR5:SPX5"/>
    <mergeCell ref="SPY5:SQE5"/>
    <mergeCell ref="SQF5:SQL5"/>
    <mergeCell ref="SQM5:SQS5"/>
    <mergeCell ref="SNN5:SNT5"/>
    <mergeCell ref="SNU5:SOA5"/>
    <mergeCell ref="SOB5:SOH5"/>
    <mergeCell ref="SOI5:SOO5"/>
    <mergeCell ref="SOP5:SOV5"/>
    <mergeCell ref="SOW5:SPC5"/>
    <mergeCell ref="SLX5:SMD5"/>
    <mergeCell ref="SME5:SMK5"/>
    <mergeCell ref="SML5:SMR5"/>
    <mergeCell ref="SMS5:SMY5"/>
    <mergeCell ref="SMZ5:SNF5"/>
    <mergeCell ref="SNG5:SNM5"/>
    <mergeCell ref="SKH5:SKN5"/>
    <mergeCell ref="SKO5:SKU5"/>
    <mergeCell ref="SKV5:SLB5"/>
    <mergeCell ref="SLC5:SLI5"/>
    <mergeCell ref="SLJ5:SLP5"/>
    <mergeCell ref="SLQ5:SLW5"/>
    <mergeCell ref="SIR5:SIX5"/>
    <mergeCell ref="SIY5:SJE5"/>
    <mergeCell ref="SJF5:SJL5"/>
    <mergeCell ref="SJM5:SJS5"/>
    <mergeCell ref="SJT5:SJZ5"/>
    <mergeCell ref="SKA5:SKG5"/>
    <mergeCell ref="SHB5:SHH5"/>
    <mergeCell ref="SHI5:SHO5"/>
    <mergeCell ref="SHP5:SHV5"/>
    <mergeCell ref="SHW5:SIC5"/>
    <mergeCell ref="SID5:SIJ5"/>
    <mergeCell ref="SIK5:SIQ5"/>
    <mergeCell ref="SFL5:SFR5"/>
    <mergeCell ref="SFS5:SFY5"/>
    <mergeCell ref="SFZ5:SGF5"/>
    <mergeCell ref="SGG5:SGM5"/>
    <mergeCell ref="SGN5:SGT5"/>
    <mergeCell ref="SGU5:SHA5"/>
    <mergeCell ref="SDV5:SEB5"/>
    <mergeCell ref="SEC5:SEI5"/>
    <mergeCell ref="SEJ5:SEP5"/>
    <mergeCell ref="SEQ5:SEW5"/>
    <mergeCell ref="SEX5:SFD5"/>
    <mergeCell ref="SFE5:SFK5"/>
    <mergeCell ref="SCF5:SCL5"/>
    <mergeCell ref="SCM5:SCS5"/>
    <mergeCell ref="SCT5:SCZ5"/>
    <mergeCell ref="SDA5:SDG5"/>
    <mergeCell ref="SDH5:SDN5"/>
    <mergeCell ref="SDO5:SDU5"/>
    <mergeCell ref="SAP5:SAV5"/>
    <mergeCell ref="SAW5:SBC5"/>
    <mergeCell ref="SBD5:SBJ5"/>
    <mergeCell ref="SBK5:SBQ5"/>
    <mergeCell ref="SBR5:SBX5"/>
    <mergeCell ref="SBY5:SCE5"/>
    <mergeCell ref="RYZ5:RZF5"/>
    <mergeCell ref="RZG5:RZM5"/>
    <mergeCell ref="RZN5:RZT5"/>
    <mergeCell ref="RZU5:SAA5"/>
    <mergeCell ref="SAB5:SAH5"/>
    <mergeCell ref="SAI5:SAO5"/>
    <mergeCell ref="RXJ5:RXP5"/>
    <mergeCell ref="RXQ5:RXW5"/>
    <mergeCell ref="RXX5:RYD5"/>
    <mergeCell ref="RYE5:RYK5"/>
    <mergeCell ref="RYL5:RYR5"/>
    <mergeCell ref="RYS5:RYY5"/>
    <mergeCell ref="RVT5:RVZ5"/>
    <mergeCell ref="RWA5:RWG5"/>
    <mergeCell ref="RWH5:RWN5"/>
    <mergeCell ref="RWO5:RWU5"/>
    <mergeCell ref="RWV5:RXB5"/>
    <mergeCell ref="RXC5:RXI5"/>
    <mergeCell ref="RUD5:RUJ5"/>
    <mergeCell ref="RUK5:RUQ5"/>
    <mergeCell ref="RUR5:RUX5"/>
    <mergeCell ref="RUY5:RVE5"/>
    <mergeCell ref="RVF5:RVL5"/>
    <mergeCell ref="RVM5:RVS5"/>
    <mergeCell ref="RSN5:RST5"/>
    <mergeCell ref="RSU5:RTA5"/>
    <mergeCell ref="RTB5:RTH5"/>
    <mergeCell ref="RTI5:RTO5"/>
    <mergeCell ref="RTP5:RTV5"/>
    <mergeCell ref="RTW5:RUC5"/>
    <mergeCell ref="RQX5:RRD5"/>
    <mergeCell ref="RRE5:RRK5"/>
    <mergeCell ref="RRL5:RRR5"/>
    <mergeCell ref="RRS5:RRY5"/>
    <mergeCell ref="RRZ5:RSF5"/>
    <mergeCell ref="RSG5:RSM5"/>
    <mergeCell ref="RPH5:RPN5"/>
    <mergeCell ref="RPO5:RPU5"/>
    <mergeCell ref="RPV5:RQB5"/>
    <mergeCell ref="RQC5:RQI5"/>
    <mergeCell ref="RQJ5:RQP5"/>
    <mergeCell ref="RQQ5:RQW5"/>
    <mergeCell ref="RNR5:RNX5"/>
    <mergeCell ref="RNY5:ROE5"/>
    <mergeCell ref="ROF5:ROL5"/>
    <mergeCell ref="ROM5:ROS5"/>
    <mergeCell ref="ROT5:ROZ5"/>
    <mergeCell ref="RPA5:RPG5"/>
    <mergeCell ref="RMB5:RMH5"/>
    <mergeCell ref="RMI5:RMO5"/>
    <mergeCell ref="RMP5:RMV5"/>
    <mergeCell ref="RMW5:RNC5"/>
    <mergeCell ref="RND5:RNJ5"/>
    <mergeCell ref="RNK5:RNQ5"/>
    <mergeCell ref="RKL5:RKR5"/>
    <mergeCell ref="RKS5:RKY5"/>
    <mergeCell ref="RKZ5:RLF5"/>
    <mergeCell ref="RLG5:RLM5"/>
    <mergeCell ref="RLN5:RLT5"/>
    <mergeCell ref="RLU5:RMA5"/>
    <mergeCell ref="RIV5:RJB5"/>
    <mergeCell ref="RJC5:RJI5"/>
    <mergeCell ref="RJJ5:RJP5"/>
    <mergeCell ref="RJQ5:RJW5"/>
    <mergeCell ref="RJX5:RKD5"/>
    <mergeCell ref="RKE5:RKK5"/>
    <mergeCell ref="RHF5:RHL5"/>
    <mergeCell ref="RHM5:RHS5"/>
    <mergeCell ref="RHT5:RHZ5"/>
    <mergeCell ref="RIA5:RIG5"/>
    <mergeCell ref="RIH5:RIN5"/>
    <mergeCell ref="RIO5:RIU5"/>
    <mergeCell ref="RFP5:RFV5"/>
    <mergeCell ref="RFW5:RGC5"/>
    <mergeCell ref="RGD5:RGJ5"/>
    <mergeCell ref="RGK5:RGQ5"/>
    <mergeCell ref="RGR5:RGX5"/>
    <mergeCell ref="RGY5:RHE5"/>
    <mergeCell ref="RDZ5:REF5"/>
    <mergeCell ref="REG5:REM5"/>
    <mergeCell ref="REN5:RET5"/>
    <mergeCell ref="REU5:RFA5"/>
    <mergeCell ref="RFB5:RFH5"/>
    <mergeCell ref="RFI5:RFO5"/>
    <mergeCell ref="RCJ5:RCP5"/>
    <mergeCell ref="RCQ5:RCW5"/>
    <mergeCell ref="RCX5:RDD5"/>
    <mergeCell ref="RDE5:RDK5"/>
    <mergeCell ref="RDL5:RDR5"/>
    <mergeCell ref="RDS5:RDY5"/>
    <mergeCell ref="RAT5:RAZ5"/>
    <mergeCell ref="RBA5:RBG5"/>
    <mergeCell ref="RBH5:RBN5"/>
    <mergeCell ref="RBO5:RBU5"/>
    <mergeCell ref="RBV5:RCB5"/>
    <mergeCell ref="RCC5:RCI5"/>
    <mergeCell ref="QZD5:QZJ5"/>
    <mergeCell ref="QZK5:QZQ5"/>
    <mergeCell ref="QZR5:QZX5"/>
    <mergeCell ref="QZY5:RAE5"/>
    <mergeCell ref="RAF5:RAL5"/>
    <mergeCell ref="RAM5:RAS5"/>
    <mergeCell ref="QXN5:QXT5"/>
    <mergeCell ref="QXU5:QYA5"/>
    <mergeCell ref="QYB5:QYH5"/>
    <mergeCell ref="QYI5:QYO5"/>
    <mergeCell ref="QYP5:QYV5"/>
    <mergeCell ref="QYW5:QZC5"/>
    <mergeCell ref="QVX5:QWD5"/>
    <mergeCell ref="QWE5:QWK5"/>
    <mergeCell ref="QWL5:QWR5"/>
    <mergeCell ref="QWS5:QWY5"/>
    <mergeCell ref="QWZ5:QXF5"/>
    <mergeCell ref="QXG5:QXM5"/>
    <mergeCell ref="QUH5:QUN5"/>
    <mergeCell ref="QUO5:QUU5"/>
    <mergeCell ref="QUV5:QVB5"/>
    <mergeCell ref="QVC5:QVI5"/>
    <mergeCell ref="QVJ5:QVP5"/>
    <mergeCell ref="QVQ5:QVW5"/>
    <mergeCell ref="QSR5:QSX5"/>
    <mergeCell ref="QSY5:QTE5"/>
    <mergeCell ref="QTF5:QTL5"/>
    <mergeCell ref="QTM5:QTS5"/>
    <mergeCell ref="QTT5:QTZ5"/>
    <mergeCell ref="QUA5:QUG5"/>
    <mergeCell ref="QRB5:QRH5"/>
    <mergeCell ref="QRI5:QRO5"/>
    <mergeCell ref="QRP5:QRV5"/>
    <mergeCell ref="QRW5:QSC5"/>
    <mergeCell ref="QSD5:QSJ5"/>
    <mergeCell ref="QSK5:QSQ5"/>
    <mergeCell ref="QPL5:QPR5"/>
    <mergeCell ref="QPS5:QPY5"/>
    <mergeCell ref="QPZ5:QQF5"/>
    <mergeCell ref="QQG5:QQM5"/>
    <mergeCell ref="QQN5:QQT5"/>
    <mergeCell ref="QQU5:QRA5"/>
    <mergeCell ref="QNV5:QOB5"/>
    <mergeCell ref="QOC5:QOI5"/>
    <mergeCell ref="QOJ5:QOP5"/>
    <mergeCell ref="QOQ5:QOW5"/>
    <mergeCell ref="QOX5:QPD5"/>
    <mergeCell ref="QPE5:QPK5"/>
    <mergeCell ref="QMF5:QML5"/>
    <mergeCell ref="QMM5:QMS5"/>
    <mergeCell ref="QMT5:QMZ5"/>
    <mergeCell ref="QNA5:QNG5"/>
    <mergeCell ref="QNH5:QNN5"/>
    <mergeCell ref="QNO5:QNU5"/>
    <mergeCell ref="QKP5:QKV5"/>
    <mergeCell ref="QKW5:QLC5"/>
    <mergeCell ref="QLD5:QLJ5"/>
    <mergeCell ref="QLK5:QLQ5"/>
    <mergeCell ref="QLR5:QLX5"/>
    <mergeCell ref="QLY5:QME5"/>
    <mergeCell ref="QIZ5:QJF5"/>
    <mergeCell ref="QJG5:QJM5"/>
    <mergeCell ref="QJN5:QJT5"/>
    <mergeCell ref="QJU5:QKA5"/>
    <mergeCell ref="QKB5:QKH5"/>
    <mergeCell ref="QKI5:QKO5"/>
    <mergeCell ref="QHJ5:QHP5"/>
    <mergeCell ref="QHQ5:QHW5"/>
    <mergeCell ref="QHX5:QID5"/>
    <mergeCell ref="QIE5:QIK5"/>
    <mergeCell ref="QIL5:QIR5"/>
    <mergeCell ref="QIS5:QIY5"/>
    <mergeCell ref="QFT5:QFZ5"/>
    <mergeCell ref="QGA5:QGG5"/>
    <mergeCell ref="QGH5:QGN5"/>
    <mergeCell ref="QGO5:QGU5"/>
    <mergeCell ref="QGV5:QHB5"/>
    <mergeCell ref="QHC5:QHI5"/>
    <mergeCell ref="QED5:QEJ5"/>
    <mergeCell ref="QEK5:QEQ5"/>
    <mergeCell ref="QER5:QEX5"/>
    <mergeCell ref="QEY5:QFE5"/>
    <mergeCell ref="QFF5:QFL5"/>
    <mergeCell ref="QFM5:QFS5"/>
    <mergeCell ref="QCN5:QCT5"/>
    <mergeCell ref="QCU5:QDA5"/>
    <mergeCell ref="QDB5:QDH5"/>
    <mergeCell ref="QDI5:QDO5"/>
    <mergeCell ref="QDP5:QDV5"/>
    <mergeCell ref="QDW5:QEC5"/>
    <mergeCell ref="QAX5:QBD5"/>
    <mergeCell ref="QBE5:QBK5"/>
    <mergeCell ref="QBL5:QBR5"/>
    <mergeCell ref="QBS5:QBY5"/>
    <mergeCell ref="QBZ5:QCF5"/>
    <mergeCell ref="QCG5:QCM5"/>
    <mergeCell ref="PZH5:PZN5"/>
    <mergeCell ref="PZO5:PZU5"/>
    <mergeCell ref="PZV5:QAB5"/>
    <mergeCell ref="QAC5:QAI5"/>
    <mergeCell ref="QAJ5:QAP5"/>
    <mergeCell ref="QAQ5:QAW5"/>
    <mergeCell ref="PXR5:PXX5"/>
    <mergeCell ref="PXY5:PYE5"/>
    <mergeCell ref="PYF5:PYL5"/>
    <mergeCell ref="PYM5:PYS5"/>
    <mergeCell ref="PYT5:PYZ5"/>
    <mergeCell ref="PZA5:PZG5"/>
    <mergeCell ref="PWB5:PWH5"/>
    <mergeCell ref="PWI5:PWO5"/>
    <mergeCell ref="PWP5:PWV5"/>
    <mergeCell ref="PWW5:PXC5"/>
    <mergeCell ref="PXD5:PXJ5"/>
    <mergeCell ref="PXK5:PXQ5"/>
    <mergeCell ref="PUL5:PUR5"/>
    <mergeCell ref="PUS5:PUY5"/>
    <mergeCell ref="PUZ5:PVF5"/>
    <mergeCell ref="PVG5:PVM5"/>
    <mergeCell ref="PVN5:PVT5"/>
    <mergeCell ref="PVU5:PWA5"/>
    <mergeCell ref="PSV5:PTB5"/>
    <mergeCell ref="PTC5:PTI5"/>
    <mergeCell ref="PTJ5:PTP5"/>
    <mergeCell ref="PTQ5:PTW5"/>
    <mergeCell ref="PTX5:PUD5"/>
    <mergeCell ref="PUE5:PUK5"/>
    <mergeCell ref="PRF5:PRL5"/>
    <mergeCell ref="PRM5:PRS5"/>
    <mergeCell ref="PRT5:PRZ5"/>
    <mergeCell ref="PSA5:PSG5"/>
    <mergeCell ref="PSH5:PSN5"/>
    <mergeCell ref="PSO5:PSU5"/>
    <mergeCell ref="PPP5:PPV5"/>
    <mergeCell ref="PPW5:PQC5"/>
    <mergeCell ref="PQD5:PQJ5"/>
    <mergeCell ref="PQK5:PQQ5"/>
    <mergeCell ref="PQR5:PQX5"/>
    <mergeCell ref="PQY5:PRE5"/>
    <mergeCell ref="PNZ5:POF5"/>
    <mergeCell ref="POG5:POM5"/>
    <mergeCell ref="PON5:POT5"/>
    <mergeCell ref="POU5:PPA5"/>
    <mergeCell ref="PPB5:PPH5"/>
    <mergeCell ref="PPI5:PPO5"/>
    <mergeCell ref="PMJ5:PMP5"/>
    <mergeCell ref="PMQ5:PMW5"/>
    <mergeCell ref="PMX5:PND5"/>
    <mergeCell ref="PNE5:PNK5"/>
    <mergeCell ref="PNL5:PNR5"/>
    <mergeCell ref="PNS5:PNY5"/>
    <mergeCell ref="PKT5:PKZ5"/>
    <mergeCell ref="PLA5:PLG5"/>
    <mergeCell ref="PLH5:PLN5"/>
    <mergeCell ref="PLO5:PLU5"/>
    <mergeCell ref="PLV5:PMB5"/>
    <mergeCell ref="PMC5:PMI5"/>
    <mergeCell ref="PJD5:PJJ5"/>
    <mergeCell ref="PJK5:PJQ5"/>
    <mergeCell ref="PJR5:PJX5"/>
    <mergeCell ref="PJY5:PKE5"/>
    <mergeCell ref="PKF5:PKL5"/>
    <mergeCell ref="PKM5:PKS5"/>
    <mergeCell ref="PHN5:PHT5"/>
    <mergeCell ref="PHU5:PIA5"/>
    <mergeCell ref="PIB5:PIH5"/>
    <mergeCell ref="PII5:PIO5"/>
    <mergeCell ref="PIP5:PIV5"/>
    <mergeCell ref="PIW5:PJC5"/>
    <mergeCell ref="PFX5:PGD5"/>
    <mergeCell ref="PGE5:PGK5"/>
    <mergeCell ref="PGL5:PGR5"/>
    <mergeCell ref="PGS5:PGY5"/>
    <mergeCell ref="PGZ5:PHF5"/>
    <mergeCell ref="PHG5:PHM5"/>
    <mergeCell ref="PEH5:PEN5"/>
    <mergeCell ref="PEO5:PEU5"/>
    <mergeCell ref="PEV5:PFB5"/>
    <mergeCell ref="PFC5:PFI5"/>
    <mergeCell ref="PFJ5:PFP5"/>
    <mergeCell ref="PFQ5:PFW5"/>
    <mergeCell ref="PCR5:PCX5"/>
    <mergeCell ref="PCY5:PDE5"/>
    <mergeCell ref="PDF5:PDL5"/>
    <mergeCell ref="PDM5:PDS5"/>
    <mergeCell ref="PDT5:PDZ5"/>
    <mergeCell ref="PEA5:PEG5"/>
    <mergeCell ref="PBB5:PBH5"/>
    <mergeCell ref="PBI5:PBO5"/>
    <mergeCell ref="PBP5:PBV5"/>
    <mergeCell ref="PBW5:PCC5"/>
    <mergeCell ref="PCD5:PCJ5"/>
    <mergeCell ref="PCK5:PCQ5"/>
    <mergeCell ref="OZL5:OZR5"/>
    <mergeCell ref="OZS5:OZY5"/>
    <mergeCell ref="OZZ5:PAF5"/>
    <mergeCell ref="PAG5:PAM5"/>
    <mergeCell ref="PAN5:PAT5"/>
    <mergeCell ref="PAU5:PBA5"/>
    <mergeCell ref="OXV5:OYB5"/>
    <mergeCell ref="OYC5:OYI5"/>
    <mergeCell ref="OYJ5:OYP5"/>
    <mergeCell ref="OYQ5:OYW5"/>
    <mergeCell ref="OYX5:OZD5"/>
    <mergeCell ref="OZE5:OZK5"/>
    <mergeCell ref="OWF5:OWL5"/>
    <mergeCell ref="OWM5:OWS5"/>
    <mergeCell ref="OWT5:OWZ5"/>
    <mergeCell ref="OXA5:OXG5"/>
    <mergeCell ref="OXH5:OXN5"/>
    <mergeCell ref="OXO5:OXU5"/>
    <mergeCell ref="OUP5:OUV5"/>
    <mergeCell ref="OUW5:OVC5"/>
    <mergeCell ref="OVD5:OVJ5"/>
    <mergeCell ref="OVK5:OVQ5"/>
    <mergeCell ref="OVR5:OVX5"/>
    <mergeCell ref="OVY5:OWE5"/>
    <mergeCell ref="OSZ5:OTF5"/>
    <mergeCell ref="OTG5:OTM5"/>
    <mergeCell ref="OTN5:OTT5"/>
    <mergeCell ref="OTU5:OUA5"/>
    <mergeCell ref="OUB5:OUH5"/>
    <mergeCell ref="OUI5:OUO5"/>
    <mergeCell ref="ORJ5:ORP5"/>
    <mergeCell ref="ORQ5:ORW5"/>
    <mergeCell ref="ORX5:OSD5"/>
    <mergeCell ref="OSE5:OSK5"/>
    <mergeCell ref="OSL5:OSR5"/>
    <mergeCell ref="OSS5:OSY5"/>
    <mergeCell ref="OPT5:OPZ5"/>
    <mergeCell ref="OQA5:OQG5"/>
    <mergeCell ref="OQH5:OQN5"/>
    <mergeCell ref="OQO5:OQU5"/>
    <mergeCell ref="OQV5:ORB5"/>
    <mergeCell ref="ORC5:ORI5"/>
    <mergeCell ref="OOD5:OOJ5"/>
    <mergeCell ref="OOK5:OOQ5"/>
    <mergeCell ref="OOR5:OOX5"/>
    <mergeCell ref="OOY5:OPE5"/>
    <mergeCell ref="OPF5:OPL5"/>
    <mergeCell ref="OPM5:OPS5"/>
    <mergeCell ref="OMN5:OMT5"/>
    <mergeCell ref="OMU5:ONA5"/>
    <mergeCell ref="ONB5:ONH5"/>
    <mergeCell ref="ONI5:ONO5"/>
    <mergeCell ref="ONP5:ONV5"/>
    <mergeCell ref="ONW5:OOC5"/>
    <mergeCell ref="OKX5:OLD5"/>
    <mergeCell ref="OLE5:OLK5"/>
    <mergeCell ref="OLL5:OLR5"/>
    <mergeCell ref="OLS5:OLY5"/>
    <mergeCell ref="OLZ5:OMF5"/>
    <mergeCell ref="OMG5:OMM5"/>
    <mergeCell ref="OJH5:OJN5"/>
    <mergeCell ref="OJO5:OJU5"/>
    <mergeCell ref="OJV5:OKB5"/>
    <mergeCell ref="OKC5:OKI5"/>
    <mergeCell ref="OKJ5:OKP5"/>
    <mergeCell ref="OKQ5:OKW5"/>
    <mergeCell ref="OHR5:OHX5"/>
    <mergeCell ref="OHY5:OIE5"/>
    <mergeCell ref="OIF5:OIL5"/>
    <mergeCell ref="OIM5:OIS5"/>
    <mergeCell ref="OIT5:OIZ5"/>
    <mergeCell ref="OJA5:OJG5"/>
    <mergeCell ref="OGB5:OGH5"/>
    <mergeCell ref="OGI5:OGO5"/>
    <mergeCell ref="OGP5:OGV5"/>
    <mergeCell ref="OGW5:OHC5"/>
    <mergeCell ref="OHD5:OHJ5"/>
    <mergeCell ref="OHK5:OHQ5"/>
    <mergeCell ref="OEL5:OER5"/>
    <mergeCell ref="OES5:OEY5"/>
    <mergeCell ref="OEZ5:OFF5"/>
    <mergeCell ref="OFG5:OFM5"/>
    <mergeCell ref="OFN5:OFT5"/>
    <mergeCell ref="OFU5:OGA5"/>
    <mergeCell ref="OCV5:ODB5"/>
    <mergeCell ref="ODC5:ODI5"/>
    <mergeCell ref="ODJ5:ODP5"/>
    <mergeCell ref="ODQ5:ODW5"/>
    <mergeCell ref="ODX5:OED5"/>
    <mergeCell ref="OEE5:OEK5"/>
    <mergeCell ref="OBF5:OBL5"/>
    <mergeCell ref="OBM5:OBS5"/>
    <mergeCell ref="OBT5:OBZ5"/>
    <mergeCell ref="OCA5:OCG5"/>
    <mergeCell ref="OCH5:OCN5"/>
    <mergeCell ref="OCO5:OCU5"/>
    <mergeCell ref="NZP5:NZV5"/>
    <mergeCell ref="NZW5:OAC5"/>
    <mergeCell ref="OAD5:OAJ5"/>
    <mergeCell ref="OAK5:OAQ5"/>
    <mergeCell ref="OAR5:OAX5"/>
    <mergeCell ref="OAY5:OBE5"/>
    <mergeCell ref="NXZ5:NYF5"/>
    <mergeCell ref="NYG5:NYM5"/>
    <mergeCell ref="NYN5:NYT5"/>
    <mergeCell ref="NYU5:NZA5"/>
    <mergeCell ref="NZB5:NZH5"/>
    <mergeCell ref="NZI5:NZO5"/>
    <mergeCell ref="NWJ5:NWP5"/>
    <mergeCell ref="NWQ5:NWW5"/>
    <mergeCell ref="NWX5:NXD5"/>
    <mergeCell ref="NXE5:NXK5"/>
    <mergeCell ref="NXL5:NXR5"/>
    <mergeCell ref="NXS5:NXY5"/>
    <mergeCell ref="NUT5:NUZ5"/>
    <mergeCell ref="NVA5:NVG5"/>
    <mergeCell ref="NVH5:NVN5"/>
    <mergeCell ref="NVO5:NVU5"/>
    <mergeCell ref="NVV5:NWB5"/>
    <mergeCell ref="NWC5:NWI5"/>
    <mergeCell ref="NTD5:NTJ5"/>
    <mergeCell ref="NTK5:NTQ5"/>
    <mergeCell ref="NTR5:NTX5"/>
    <mergeCell ref="NTY5:NUE5"/>
    <mergeCell ref="NUF5:NUL5"/>
    <mergeCell ref="NUM5:NUS5"/>
    <mergeCell ref="NRN5:NRT5"/>
    <mergeCell ref="NRU5:NSA5"/>
    <mergeCell ref="NSB5:NSH5"/>
    <mergeCell ref="NSI5:NSO5"/>
    <mergeCell ref="NSP5:NSV5"/>
    <mergeCell ref="NSW5:NTC5"/>
    <mergeCell ref="NPX5:NQD5"/>
    <mergeCell ref="NQE5:NQK5"/>
    <mergeCell ref="NQL5:NQR5"/>
    <mergeCell ref="NQS5:NQY5"/>
    <mergeCell ref="NQZ5:NRF5"/>
    <mergeCell ref="NRG5:NRM5"/>
    <mergeCell ref="NOH5:NON5"/>
    <mergeCell ref="NOO5:NOU5"/>
    <mergeCell ref="NOV5:NPB5"/>
    <mergeCell ref="NPC5:NPI5"/>
    <mergeCell ref="NPJ5:NPP5"/>
    <mergeCell ref="NPQ5:NPW5"/>
    <mergeCell ref="NMR5:NMX5"/>
    <mergeCell ref="NMY5:NNE5"/>
    <mergeCell ref="NNF5:NNL5"/>
    <mergeCell ref="NNM5:NNS5"/>
    <mergeCell ref="NNT5:NNZ5"/>
    <mergeCell ref="NOA5:NOG5"/>
    <mergeCell ref="NLB5:NLH5"/>
    <mergeCell ref="NLI5:NLO5"/>
    <mergeCell ref="NLP5:NLV5"/>
    <mergeCell ref="NLW5:NMC5"/>
    <mergeCell ref="NMD5:NMJ5"/>
    <mergeCell ref="NMK5:NMQ5"/>
    <mergeCell ref="NJL5:NJR5"/>
    <mergeCell ref="NJS5:NJY5"/>
    <mergeCell ref="NJZ5:NKF5"/>
    <mergeCell ref="NKG5:NKM5"/>
    <mergeCell ref="NKN5:NKT5"/>
    <mergeCell ref="NKU5:NLA5"/>
    <mergeCell ref="NHV5:NIB5"/>
    <mergeCell ref="NIC5:NII5"/>
    <mergeCell ref="NIJ5:NIP5"/>
    <mergeCell ref="NIQ5:NIW5"/>
    <mergeCell ref="NIX5:NJD5"/>
    <mergeCell ref="NJE5:NJK5"/>
    <mergeCell ref="NGF5:NGL5"/>
    <mergeCell ref="NGM5:NGS5"/>
    <mergeCell ref="NGT5:NGZ5"/>
    <mergeCell ref="NHA5:NHG5"/>
    <mergeCell ref="NHH5:NHN5"/>
    <mergeCell ref="NHO5:NHU5"/>
    <mergeCell ref="NEP5:NEV5"/>
    <mergeCell ref="NEW5:NFC5"/>
    <mergeCell ref="NFD5:NFJ5"/>
    <mergeCell ref="NFK5:NFQ5"/>
    <mergeCell ref="NFR5:NFX5"/>
    <mergeCell ref="NFY5:NGE5"/>
    <mergeCell ref="NCZ5:NDF5"/>
    <mergeCell ref="NDG5:NDM5"/>
    <mergeCell ref="NDN5:NDT5"/>
    <mergeCell ref="NDU5:NEA5"/>
    <mergeCell ref="NEB5:NEH5"/>
    <mergeCell ref="NEI5:NEO5"/>
    <mergeCell ref="NBJ5:NBP5"/>
    <mergeCell ref="NBQ5:NBW5"/>
    <mergeCell ref="NBX5:NCD5"/>
    <mergeCell ref="NCE5:NCK5"/>
    <mergeCell ref="NCL5:NCR5"/>
    <mergeCell ref="NCS5:NCY5"/>
    <mergeCell ref="MZT5:MZZ5"/>
    <mergeCell ref="NAA5:NAG5"/>
    <mergeCell ref="NAH5:NAN5"/>
    <mergeCell ref="NAO5:NAU5"/>
    <mergeCell ref="NAV5:NBB5"/>
    <mergeCell ref="NBC5:NBI5"/>
    <mergeCell ref="MYD5:MYJ5"/>
    <mergeCell ref="MYK5:MYQ5"/>
    <mergeCell ref="MYR5:MYX5"/>
    <mergeCell ref="MYY5:MZE5"/>
    <mergeCell ref="MZF5:MZL5"/>
    <mergeCell ref="MZM5:MZS5"/>
    <mergeCell ref="MWN5:MWT5"/>
    <mergeCell ref="MWU5:MXA5"/>
    <mergeCell ref="MXB5:MXH5"/>
    <mergeCell ref="MXI5:MXO5"/>
    <mergeCell ref="MXP5:MXV5"/>
    <mergeCell ref="MXW5:MYC5"/>
    <mergeCell ref="MUX5:MVD5"/>
    <mergeCell ref="MVE5:MVK5"/>
    <mergeCell ref="MVL5:MVR5"/>
    <mergeCell ref="MVS5:MVY5"/>
    <mergeCell ref="MVZ5:MWF5"/>
    <mergeCell ref="MWG5:MWM5"/>
    <mergeCell ref="MTH5:MTN5"/>
    <mergeCell ref="MTO5:MTU5"/>
    <mergeCell ref="MTV5:MUB5"/>
    <mergeCell ref="MUC5:MUI5"/>
    <mergeCell ref="MUJ5:MUP5"/>
    <mergeCell ref="MUQ5:MUW5"/>
    <mergeCell ref="MRR5:MRX5"/>
    <mergeCell ref="MRY5:MSE5"/>
    <mergeCell ref="MSF5:MSL5"/>
    <mergeCell ref="MSM5:MSS5"/>
    <mergeCell ref="MST5:MSZ5"/>
    <mergeCell ref="MTA5:MTG5"/>
    <mergeCell ref="MQB5:MQH5"/>
    <mergeCell ref="MQI5:MQO5"/>
    <mergeCell ref="MQP5:MQV5"/>
    <mergeCell ref="MQW5:MRC5"/>
    <mergeCell ref="MRD5:MRJ5"/>
    <mergeCell ref="MRK5:MRQ5"/>
    <mergeCell ref="MOL5:MOR5"/>
    <mergeCell ref="MOS5:MOY5"/>
    <mergeCell ref="MOZ5:MPF5"/>
    <mergeCell ref="MPG5:MPM5"/>
    <mergeCell ref="MPN5:MPT5"/>
    <mergeCell ref="MPU5:MQA5"/>
    <mergeCell ref="MMV5:MNB5"/>
    <mergeCell ref="MNC5:MNI5"/>
    <mergeCell ref="MNJ5:MNP5"/>
    <mergeCell ref="MNQ5:MNW5"/>
    <mergeCell ref="MNX5:MOD5"/>
    <mergeCell ref="MOE5:MOK5"/>
    <mergeCell ref="MLF5:MLL5"/>
    <mergeCell ref="MLM5:MLS5"/>
    <mergeCell ref="MLT5:MLZ5"/>
    <mergeCell ref="MMA5:MMG5"/>
    <mergeCell ref="MMH5:MMN5"/>
    <mergeCell ref="MMO5:MMU5"/>
    <mergeCell ref="MJP5:MJV5"/>
    <mergeCell ref="MJW5:MKC5"/>
    <mergeCell ref="MKD5:MKJ5"/>
    <mergeCell ref="MKK5:MKQ5"/>
    <mergeCell ref="MKR5:MKX5"/>
    <mergeCell ref="MKY5:MLE5"/>
    <mergeCell ref="MHZ5:MIF5"/>
    <mergeCell ref="MIG5:MIM5"/>
    <mergeCell ref="MIN5:MIT5"/>
    <mergeCell ref="MIU5:MJA5"/>
    <mergeCell ref="MJB5:MJH5"/>
    <mergeCell ref="MJI5:MJO5"/>
    <mergeCell ref="MGJ5:MGP5"/>
    <mergeCell ref="MGQ5:MGW5"/>
    <mergeCell ref="MGX5:MHD5"/>
    <mergeCell ref="MHE5:MHK5"/>
    <mergeCell ref="MHL5:MHR5"/>
    <mergeCell ref="MHS5:MHY5"/>
    <mergeCell ref="MET5:MEZ5"/>
    <mergeCell ref="MFA5:MFG5"/>
    <mergeCell ref="MFH5:MFN5"/>
    <mergeCell ref="MFO5:MFU5"/>
    <mergeCell ref="MFV5:MGB5"/>
    <mergeCell ref="MGC5:MGI5"/>
    <mergeCell ref="MDD5:MDJ5"/>
    <mergeCell ref="MDK5:MDQ5"/>
    <mergeCell ref="MDR5:MDX5"/>
    <mergeCell ref="MDY5:MEE5"/>
    <mergeCell ref="MEF5:MEL5"/>
    <mergeCell ref="MEM5:MES5"/>
    <mergeCell ref="MBN5:MBT5"/>
    <mergeCell ref="MBU5:MCA5"/>
    <mergeCell ref="MCB5:MCH5"/>
    <mergeCell ref="MCI5:MCO5"/>
    <mergeCell ref="MCP5:MCV5"/>
    <mergeCell ref="MCW5:MDC5"/>
    <mergeCell ref="LZX5:MAD5"/>
    <mergeCell ref="MAE5:MAK5"/>
    <mergeCell ref="MAL5:MAR5"/>
    <mergeCell ref="MAS5:MAY5"/>
    <mergeCell ref="MAZ5:MBF5"/>
    <mergeCell ref="MBG5:MBM5"/>
    <mergeCell ref="LYH5:LYN5"/>
    <mergeCell ref="LYO5:LYU5"/>
    <mergeCell ref="LYV5:LZB5"/>
    <mergeCell ref="LZC5:LZI5"/>
    <mergeCell ref="LZJ5:LZP5"/>
    <mergeCell ref="LZQ5:LZW5"/>
    <mergeCell ref="LWR5:LWX5"/>
    <mergeCell ref="LWY5:LXE5"/>
    <mergeCell ref="LXF5:LXL5"/>
    <mergeCell ref="LXM5:LXS5"/>
    <mergeCell ref="LXT5:LXZ5"/>
    <mergeCell ref="LYA5:LYG5"/>
    <mergeCell ref="LVB5:LVH5"/>
    <mergeCell ref="LVI5:LVO5"/>
    <mergeCell ref="LVP5:LVV5"/>
    <mergeCell ref="LVW5:LWC5"/>
    <mergeCell ref="LWD5:LWJ5"/>
    <mergeCell ref="LWK5:LWQ5"/>
    <mergeCell ref="LTL5:LTR5"/>
    <mergeCell ref="LTS5:LTY5"/>
    <mergeCell ref="LTZ5:LUF5"/>
    <mergeCell ref="LUG5:LUM5"/>
    <mergeCell ref="LUN5:LUT5"/>
    <mergeCell ref="LUU5:LVA5"/>
    <mergeCell ref="LRV5:LSB5"/>
    <mergeCell ref="LSC5:LSI5"/>
    <mergeCell ref="LSJ5:LSP5"/>
    <mergeCell ref="LSQ5:LSW5"/>
    <mergeCell ref="LSX5:LTD5"/>
    <mergeCell ref="LTE5:LTK5"/>
    <mergeCell ref="LQF5:LQL5"/>
    <mergeCell ref="LQM5:LQS5"/>
    <mergeCell ref="LQT5:LQZ5"/>
    <mergeCell ref="LRA5:LRG5"/>
    <mergeCell ref="LRH5:LRN5"/>
    <mergeCell ref="LRO5:LRU5"/>
    <mergeCell ref="LOP5:LOV5"/>
    <mergeCell ref="LOW5:LPC5"/>
    <mergeCell ref="LPD5:LPJ5"/>
    <mergeCell ref="LPK5:LPQ5"/>
    <mergeCell ref="LPR5:LPX5"/>
    <mergeCell ref="LPY5:LQE5"/>
    <mergeCell ref="LMZ5:LNF5"/>
    <mergeCell ref="LNG5:LNM5"/>
    <mergeCell ref="LNN5:LNT5"/>
    <mergeCell ref="LNU5:LOA5"/>
    <mergeCell ref="LOB5:LOH5"/>
    <mergeCell ref="LOI5:LOO5"/>
    <mergeCell ref="LLJ5:LLP5"/>
    <mergeCell ref="LLQ5:LLW5"/>
    <mergeCell ref="LLX5:LMD5"/>
    <mergeCell ref="LME5:LMK5"/>
    <mergeCell ref="LML5:LMR5"/>
    <mergeCell ref="LMS5:LMY5"/>
    <mergeCell ref="LJT5:LJZ5"/>
    <mergeCell ref="LKA5:LKG5"/>
    <mergeCell ref="LKH5:LKN5"/>
    <mergeCell ref="LKO5:LKU5"/>
    <mergeCell ref="LKV5:LLB5"/>
    <mergeCell ref="LLC5:LLI5"/>
    <mergeCell ref="LID5:LIJ5"/>
    <mergeCell ref="LIK5:LIQ5"/>
    <mergeCell ref="LIR5:LIX5"/>
    <mergeCell ref="LIY5:LJE5"/>
    <mergeCell ref="LJF5:LJL5"/>
    <mergeCell ref="LJM5:LJS5"/>
    <mergeCell ref="LGN5:LGT5"/>
    <mergeCell ref="LGU5:LHA5"/>
    <mergeCell ref="LHB5:LHH5"/>
    <mergeCell ref="LHI5:LHO5"/>
    <mergeCell ref="LHP5:LHV5"/>
    <mergeCell ref="LHW5:LIC5"/>
    <mergeCell ref="LEX5:LFD5"/>
    <mergeCell ref="LFE5:LFK5"/>
    <mergeCell ref="LFL5:LFR5"/>
    <mergeCell ref="LFS5:LFY5"/>
    <mergeCell ref="LFZ5:LGF5"/>
    <mergeCell ref="LGG5:LGM5"/>
    <mergeCell ref="LDH5:LDN5"/>
    <mergeCell ref="LDO5:LDU5"/>
    <mergeCell ref="LDV5:LEB5"/>
    <mergeCell ref="LEC5:LEI5"/>
    <mergeCell ref="LEJ5:LEP5"/>
    <mergeCell ref="LEQ5:LEW5"/>
    <mergeCell ref="LBR5:LBX5"/>
    <mergeCell ref="LBY5:LCE5"/>
    <mergeCell ref="LCF5:LCL5"/>
    <mergeCell ref="LCM5:LCS5"/>
    <mergeCell ref="LCT5:LCZ5"/>
    <mergeCell ref="LDA5:LDG5"/>
    <mergeCell ref="LAB5:LAH5"/>
    <mergeCell ref="LAI5:LAO5"/>
    <mergeCell ref="LAP5:LAV5"/>
    <mergeCell ref="LAW5:LBC5"/>
    <mergeCell ref="LBD5:LBJ5"/>
    <mergeCell ref="LBK5:LBQ5"/>
    <mergeCell ref="KYL5:KYR5"/>
    <mergeCell ref="KYS5:KYY5"/>
    <mergeCell ref="KYZ5:KZF5"/>
    <mergeCell ref="KZG5:KZM5"/>
    <mergeCell ref="KZN5:KZT5"/>
    <mergeCell ref="KZU5:LAA5"/>
    <mergeCell ref="KWV5:KXB5"/>
    <mergeCell ref="KXC5:KXI5"/>
    <mergeCell ref="KXJ5:KXP5"/>
    <mergeCell ref="KXQ5:KXW5"/>
    <mergeCell ref="KXX5:KYD5"/>
    <mergeCell ref="KYE5:KYK5"/>
    <mergeCell ref="KVF5:KVL5"/>
    <mergeCell ref="KVM5:KVS5"/>
    <mergeCell ref="KVT5:KVZ5"/>
    <mergeCell ref="KWA5:KWG5"/>
    <mergeCell ref="KWH5:KWN5"/>
    <mergeCell ref="KWO5:KWU5"/>
    <mergeCell ref="KTP5:KTV5"/>
    <mergeCell ref="KTW5:KUC5"/>
    <mergeCell ref="KUD5:KUJ5"/>
    <mergeCell ref="KUK5:KUQ5"/>
    <mergeCell ref="KUR5:KUX5"/>
    <mergeCell ref="KUY5:KVE5"/>
    <mergeCell ref="KRZ5:KSF5"/>
    <mergeCell ref="KSG5:KSM5"/>
    <mergeCell ref="KSN5:KST5"/>
    <mergeCell ref="KSU5:KTA5"/>
    <mergeCell ref="KTB5:KTH5"/>
    <mergeCell ref="KTI5:KTO5"/>
    <mergeCell ref="KQJ5:KQP5"/>
    <mergeCell ref="KQQ5:KQW5"/>
    <mergeCell ref="KQX5:KRD5"/>
    <mergeCell ref="KRE5:KRK5"/>
    <mergeCell ref="KRL5:KRR5"/>
    <mergeCell ref="KRS5:KRY5"/>
    <mergeCell ref="KOT5:KOZ5"/>
    <mergeCell ref="KPA5:KPG5"/>
    <mergeCell ref="KPH5:KPN5"/>
    <mergeCell ref="KPO5:KPU5"/>
    <mergeCell ref="KPV5:KQB5"/>
    <mergeCell ref="KQC5:KQI5"/>
    <mergeCell ref="KND5:KNJ5"/>
    <mergeCell ref="KNK5:KNQ5"/>
    <mergeCell ref="KNR5:KNX5"/>
    <mergeCell ref="KNY5:KOE5"/>
    <mergeCell ref="KOF5:KOL5"/>
    <mergeCell ref="KOM5:KOS5"/>
    <mergeCell ref="KLN5:KLT5"/>
    <mergeCell ref="KLU5:KMA5"/>
    <mergeCell ref="KMB5:KMH5"/>
    <mergeCell ref="KMI5:KMO5"/>
    <mergeCell ref="KMP5:KMV5"/>
    <mergeCell ref="KMW5:KNC5"/>
    <mergeCell ref="KJX5:KKD5"/>
    <mergeCell ref="KKE5:KKK5"/>
    <mergeCell ref="KKL5:KKR5"/>
    <mergeCell ref="KKS5:KKY5"/>
    <mergeCell ref="KKZ5:KLF5"/>
    <mergeCell ref="KLG5:KLM5"/>
    <mergeCell ref="KIH5:KIN5"/>
    <mergeCell ref="KIO5:KIU5"/>
    <mergeCell ref="KIV5:KJB5"/>
    <mergeCell ref="KJC5:KJI5"/>
    <mergeCell ref="KJJ5:KJP5"/>
    <mergeCell ref="KJQ5:KJW5"/>
    <mergeCell ref="KGR5:KGX5"/>
    <mergeCell ref="KGY5:KHE5"/>
    <mergeCell ref="KHF5:KHL5"/>
    <mergeCell ref="KHM5:KHS5"/>
    <mergeCell ref="KHT5:KHZ5"/>
    <mergeCell ref="KIA5:KIG5"/>
    <mergeCell ref="KFB5:KFH5"/>
    <mergeCell ref="KFI5:KFO5"/>
    <mergeCell ref="KFP5:KFV5"/>
    <mergeCell ref="KFW5:KGC5"/>
    <mergeCell ref="KGD5:KGJ5"/>
    <mergeCell ref="KGK5:KGQ5"/>
    <mergeCell ref="KDL5:KDR5"/>
    <mergeCell ref="KDS5:KDY5"/>
    <mergeCell ref="KDZ5:KEF5"/>
    <mergeCell ref="KEG5:KEM5"/>
    <mergeCell ref="KEN5:KET5"/>
    <mergeCell ref="KEU5:KFA5"/>
    <mergeCell ref="KBV5:KCB5"/>
    <mergeCell ref="KCC5:KCI5"/>
    <mergeCell ref="KCJ5:KCP5"/>
    <mergeCell ref="KCQ5:KCW5"/>
    <mergeCell ref="KCX5:KDD5"/>
    <mergeCell ref="KDE5:KDK5"/>
    <mergeCell ref="KAF5:KAL5"/>
    <mergeCell ref="KAM5:KAS5"/>
    <mergeCell ref="KAT5:KAZ5"/>
    <mergeCell ref="KBA5:KBG5"/>
    <mergeCell ref="KBH5:KBN5"/>
    <mergeCell ref="KBO5:KBU5"/>
    <mergeCell ref="JYP5:JYV5"/>
    <mergeCell ref="JYW5:JZC5"/>
    <mergeCell ref="JZD5:JZJ5"/>
    <mergeCell ref="JZK5:JZQ5"/>
    <mergeCell ref="JZR5:JZX5"/>
    <mergeCell ref="JZY5:KAE5"/>
    <mergeCell ref="JWZ5:JXF5"/>
    <mergeCell ref="JXG5:JXM5"/>
    <mergeCell ref="JXN5:JXT5"/>
    <mergeCell ref="JXU5:JYA5"/>
    <mergeCell ref="JYB5:JYH5"/>
    <mergeCell ref="JYI5:JYO5"/>
    <mergeCell ref="JVJ5:JVP5"/>
    <mergeCell ref="JVQ5:JVW5"/>
    <mergeCell ref="JVX5:JWD5"/>
    <mergeCell ref="JWE5:JWK5"/>
    <mergeCell ref="JWL5:JWR5"/>
    <mergeCell ref="JWS5:JWY5"/>
    <mergeCell ref="JTT5:JTZ5"/>
    <mergeCell ref="JUA5:JUG5"/>
    <mergeCell ref="JUH5:JUN5"/>
    <mergeCell ref="JUO5:JUU5"/>
    <mergeCell ref="JUV5:JVB5"/>
    <mergeCell ref="JVC5:JVI5"/>
    <mergeCell ref="JSD5:JSJ5"/>
    <mergeCell ref="JSK5:JSQ5"/>
    <mergeCell ref="JSR5:JSX5"/>
    <mergeCell ref="JSY5:JTE5"/>
    <mergeCell ref="JTF5:JTL5"/>
    <mergeCell ref="JTM5:JTS5"/>
    <mergeCell ref="JQN5:JQT5"/>
    <mergeCell ref="JQU5:JRA5"/>
    <mergeCell ref="JRB5:JRH5"/>
    <mergeCell ref="JRI5:JRO5"/>
    <mergeCell ref="JRP5:JRV5"/>
    <mergeCell ref="JRW5:JSC5"/>
    <mergeCell ref="JOX5:JPD5"/>
    <mergeCell ref="JPE5:JPK5"/>
    <mergeCell ref="JPL5:JPR5"/>
    <mergeCell ref="JPS5:JPY5"/>
    <mergeCell ref="JPZ5:JQF5"/>
    <mergeCell ref="JQG5:JQM5"/>
    <mergeCell ref="JNH5:JNN5"/>
    <mergeCell ref="JNO5:JNU5"/>
    <mergeCell ref="JNV5:JOB5"/>
    <mergeCell ref="JOC5:JOI5"/>
    <mergeCell ref="JOJ5:JOP5"/>
    <mergeCell ref="JOQ5:JOW5"/>
    <mergeCell ref="JLR5:JLX5"/>
    <mergeCell ref="JLY5:JME5"/>
    <mergeCell ref="JMF5:JML5"/>
    <mergeCell ref="JMM5:JMS5"/>
    <mergeCell ref="JMT5:JMZ5"/>
    <mergeCell ref="JNA5:JNG5"/>
    <mergeCell ref="JKB5:JKH5"/>
    <mergeCell ref="JKI5:JKO5"/>
    <mergeCell ref="JKP5:JKV5"/>
    <mergeCell ref="JKW5:JLC5"/>
    <mergeCell ref="JLD5:JLJ5"/>
    <mergeCell ref="JLK5:JLQ5"/>
    <mergeCell ref="JIL5:JIR5"/>
    <mergeCell ref="JIS5:JIY5"/>
    <mergeCell ref="JIZ5:JJF5"/>
    <mergeCell ref="JJG5:JJM5"/>
    <mergeCell ref="JJN5:JJT5"/>
    <mergeCell ref="JJU5:JKA5"/>
    <mergeCell ref="JGV5:JHB5"/>
    <mergeCell ref="JHC5:JHI5"/>
    <mergeCell ref="JHJ5:JHP5"/>
    <mergeCell ref="JHQ5:JHW5"/>
    <mergeCell ref="JHX5:JID5"/>
    <mergeCell ref="JIE5:JIK5"/>
    <mergeCell ref="JFF5:JFL5"/>
    <mergeCell ref="JFM5:JFS5"/>
    <mergeCell ref="JFT5:JFZ5"/>
    <mergeCell ref="JGA5:JGG5"/>
    <mergeCell ref="JGH5:JGN5"/>
    <mergeCell ref="JGO5:JGU5"/>
    <mergeCell ref="JDP5:JDV5"/>
    <mergeCell ref="JDW5:JEC5"/>
    <mergeCell ref="JED5:JEJ5"/>
    <mergeCell ref="JEK5:JEQ5"/>
    <mergeCell ref="JER5:JEX5"/>
    <mergeCell ref="JEY5:JFE5"/>
    <mergeCell ref="JBZ5:JCF5"/>
    <mergeCell ref="JCG5:JCM5"/>
    <mergeCell ref="JCN5:JCT5"/>
    <mergeCell ref="JCU5:JDA5"/>
    <mergeCell ref="JDB5:JDH5"/>
    <mergeCell ref="JDI5:JDO5"/>
    <mergeCell ref="JAJ5:JAP5"/>
    <mergeCell ref="JAQ5:JAW5"/>
    <mergeCell ref="JAX5:JBD5"/>
    <mergeCell ref="JBE5:JBK5"/>
    <mergeCell ref="JBL5:JBR5"/>
    <mergeCell ref="JBS5:JBY5"/>
    <mergeCell ref="IYT5:IYZ5"/>
    <mergeCell ref="IZA5:IZG5"/>
    <mergeCell ref="IZH5:IZN5"/>
    <mergeCell ref="IZO5:IZU5"/>
    <mergeCell ref="IZV5:JAB5"/>
    <mergeCell ref="JAC5:JAI5"/>
    <mergeCell ref="IXD5:IXJ5"/>
    <mergeCell ref="IXK5:IXQ5"/>
    <mergeCell ref="IXR5:IXX5"/>
    <mergeCell ref="IXY5:IYE5"/>
    <mergeCell ref="IYF5:IYL5"/>
    <mergeCell ref="IYM5:IYS5"/>
    <mergeCell ref="IVN5:IVT5"/>
    <mergeCell ref="IVU5:IWA5"/>
    <mergeCell ref="IWB5:IWH5"/>
    <mergeCell ref="IWI5:IWO5"/>
    <mergeCell ref="IWP5:IWV5"/>
    <mergeCell ref="IWW5:IXC5"/>
    <mergeCell ref="ITX5:IUD5"/>
    <mergeCell ref="IUE5:IUK5"/>
    <mergeCell ref="IUL5:IUR5"/>
    <mergeCell ref="IUS5:IUY5"/>
    <mergeCell ref="IUZ5:IVF5"/>
    <mergeCell ref="IVG5:IVM5"/>
    <mergeCell ref="ISH5:ISN5"/>
    <mergeCell ref="ISO5:ISU5"/>
    <mergeCell ref="ISV5:ITB5"/>
    <mergeCell ref="ITC5:ITI5"/>
    <mergeCell ref="ITJ5:ITP5"/>
    <mergeCell ref="ITQ5:ITW5"/>
    <mergeCell ref="IQR5:IQX5"/>
    <mergeCell ref="IQY5:IRE5"/>
    <mergeCell ref="IRF5:IRL5"/>
    <mergeCell ref="IRM5:IRS5"/>
    <mergeCell ref="IRT5:IRZ5"/>
    <mergeCell ref="ISA5:ISG5"/>
    <mergeCell ref="IPB5:IPH5"/>
    <mergeCell ref="IPI5:IPO5"/>
    <mergeCell ref="IPP5:IPV5"/>
    <mergeCell ref="IPW5:IQC5"/>
    <mergeCell ref="IQD5:IQJ5"/>
    <mergeCell ref="IQK5:IQQ5"/>
    <mergeCell ref="INL5:INR5"/>
    <mergeCell ref="INS5:INY5"/>
    <mergeCell ref="INZ5:IOF5"/>
    <mergeCell ref="IOG5:IOM5"/>
    <mergeCell ref="ION5:IOT5"/>
    <mergeCell ref="IOU5:IPA5"/>
    <mergeCell ref="ILV5:IMB5"/>
    <mergeCell ref="IMC5:IMI5"/>
    <mergeCell ref="IMJ5:IMP5"/>
    <mergeCell ref="IMQ5:IMW5"/>
    <mergeCell ref="IMX5:IND5"/>
    <mergeCell ref="INE5:INK5"/>
    <mergeCell ref="IKF5:IKL5"/>
    <mergeCell ref="IKM5:IKS5"/>
    <mergeCell ref="IKT5:IKZ5"/>
    <mergeCell ref="ILA5:ILG5"/>
    <mergeCell ref="ILH5:ILN5"/>
    <mergeCell ref="ILO5:ILU5"/>
    <mergeCell ref="IIP5:IIV5"/>
    <mergeCell ref="IIW5:IJC5"/>
    <mergeCell ref="IJD5:IJJ5"/>
    <mergeCell ref="IJK5:IJQ5"/>
    <mergeCell ref="IJR5:IJX5"/>
    <mergeCell ref="IJY5:IKE5"/>
    <mergeCell ref="IGZ5:IHF5"/>
    <mergeCell ref="IHG5:IHM5"/>
    <mergeCell ref="IHN5:IHT5"/>
    <mergeCell ref="IHU5:IIA5"/>
    <mergeCell ref="IIB5:IIH5"/>
    <mergeCell ref="III5:IIO5"/>
    <mergeCell ref="IFJ5:IFP5"/>
    <mergeCell ref="IFQ5:IFW5"/>
    <mergeCell ref="IFX5:IGD5"/>
    <mergeCell ref="IGE5:IGK5"/>
    <mergeCell ref="IGL5:IGR5"/>
    <mergeCell ref="IGS5:IGY5"/>
    <mergeCell ref="IDT5:IDZ5"/>
    <mergeCell ref="IEA5:IEG5"/>
    <mergeCell ref="IEH5:IEN5"/>
    <mergeCell ref="IEO5:IEU5"/>
    <mergeCell ref="IEV5:IFB5"/>
    <mergeCell ref="IFC5:IFI5"/>
    <mergeCell ref="ICD5:ICJ5"/>
    <mergeCell ref="ICK5:ICQ5"/>
    <mergeCell ref="ICR5:ICX5"/>
    <mergeCell ref="ICY5:IDE5"/>
    <mergeCell ref="IDF5:IDL5"/>
    <mergeCell ref="IDM5:IDS5"/>
    <mergeCell ref="IAN5:IAT5"/>
    <mergeCell ref="IAU5:IBA5"/>
    <mergeCell ref="IBB5:IBH5"/>
    <mergeCell ref="IBI5:IBO5"/>
    <mergeCell ref="IBP5:IBV5"/>
    <mergeCell ref="IBW5:ICC5"/>
    <mergeCell ref="HYX5:HZD5"/>
    <mergeCell ref="HZE5:HZK5"/>
    <mergeCell ref="HZL5:HZR5"/>
    <mergeCell ref="HZS5:HZY5"/>
    <mergeCell ref="HZZ5:IAF5"/>
    <mergeCell ref="IAG5:IAM5"/>
    <mergeCell ref="HXH5:HXN5"/>
    <mergeCell ref="HXO5:HXU5"/>
    <mergeCell ref="HXV5:HYB5"/>
    <mergeCell ref="HYC5:HYI5"/>
    <mergeCell ref="HYJ5:HYP5"/>
    <mergeCell ref="HYQ5:HYW5"/>
    <mergeCell ref="HVR5:HVX5"/>
    <mergeCell ref="HVY5:HWE5"/>
    <mergeCell ref="HWF5:HWL5"/>
    <mergeCell ref="HWM5:HWS5"/>
    <mergeCell ref="HWT5:HWZ5"/>
    <mergeCell ref="HXA5:HXG5"/>
    <mergeCell ref="HUB5:HUH5"/>
    <mergeCell ref="HUI5:HUO5"/>
    <mergeCell ref="HUP5:HUV5"/>
    <mergeCell ref="HUW5:HVC5"/>
    <mergeCell ref="HVD5:HVJ5"/>
    <mergeCell ref="HVK5:HVQ5"/>
    <mergeCell ref="HSL5:HSR5"/>
    <mergeCell ref="HSS5:HSY5"/>
    <mergeCell ref="HSZ5:HTF5"/>
    <mergeCell ref="HTG5:HTM5"/>
    <mergeCell ref="HTN5:HTT5"/>
    <mergeCell ref="HTU5:HUA5"/>
    <mergeCell ref="HQV5:HRB5"/>
    <mergeCell ref="HRC5:HRI5"/>
    <mergeCell ref="HRJ5:HRP5"/>
    <mergeCell ref="HRQ5:HRW5"/>
    <mergeCell ref="HRX5:HSD5"/>
    <mergeCell ref="HSE5:HSK5"/>
    <mergeCell ref="HPF5:HPL5"/>
    <mergeCell ref="HPM5:HPS5"/>
    <mergeCell ref="HPT5:HPZ5"/>
    <mergeCell ref="HQA5:HQG5"/>
    <mergeCell ref="HQH5:HQN5"/>
    <mergeCell ref="HQO5:HQU5"/>
    <mergeCell ref="HNP5:HNV5"/>
    <mergeCell ref="HNW5:HOC5"/>
    <mergeCell ref="HOD5:HOJ5"/>
    <mergeCell ref="HOK5:HOQ5"/>
    <mergeCell ref="HOR5:HOX5"/>
    <mergeCell ref="HOY5:HPE5"/>
    <mergeCell ref="HLZ5:HMF5"/>
    <mergeCell ref="HMG5:HMM5"/>
    <mergeCell ref="HMN5:HMT5"/>
    <mergeCell ref="HMU5:HNA5"/>
    <mergeCell ref="HNB5:HNH5"/>
    <mergeCell ref="HNI5:HNO5"/>
    <mergeCell ref="HKJ5:HKP5"/>
    <mergeCell ref="HKQ5:HKW5"/>
    <mergeCell ref="HKX5:HLD5"/>
    <mergeCell ref="HLE5:HLK5"/>
    <mergeCell ref="HLL5:HLR5"/>
    <mergeCell ref="HLS5:HLY5"/>
    <mergeCell ref="HIT5:HIZ5"/>
    <mergeCell ref="HJA5:HJG5"/>
    <mergeCell ref="HJH5:HJN5"/>
    <mergeCell ref="HJO5:HJU5"/>
    <mergeCell ref="HJV5:HKB5"/>
    <mergeCell ref="HKC5:HKI5"/>
    <mergeCell ref="HHD5:HHJ5"/>
    <mergeCell ref="HHK5:HHQ5"/>
    <mergeCell ref="HHR5:HHX5"/>
    <mergeCell ref="HHY5:HIE5"/>
    <mergeCell ref="HIF5:HIL5"/>
    <mergeCell ref="HIM5:HIS5"/>
    <mergeCell ref="HFN5:HFT5"/>
    <mergeCell ref="HFU5:HGA5"/>
    <mergeCell ref="HGB5:HGH5"/>
    <mergeCell ref="HGI5:HGO5"/>
    <mergeCell ref="HGP5:HGV5"/>
    <mergeCell ref="HGW5:HHC5"/>
    <mergeCell ref="HDX5:HED5"/>
    <mergeCell ref="HEE5:HEK5"/>
    <mergeCell ref="HEL5:HER5"/>
    <mergeCell ref="HES5:HEY5"/>
    <mergeCell ref="HEZ5:HFF5"/>
    <mergeCell ref="HFG5:HFM5"/>
    <mergeCell ref="HCH5:HCN5"/>
    <mergeCell ref="HCO5:HCU5"/>
    <mergeCell ref="HCV5:HDB5"/>
    <mergeCell ref="HDC5:HDI5"/>
    <mergeCell ref="HDJ5:HDP5"/>
    <mergeCell ref="HDQ5:HDW5"/>
    <mergeCell ref="HAR5:HAX5"/>
    <mergeCell ref="HAY5:HBE5"/>
    <mergeCell ref="HBF5:HBL5"/>
    <mergeCell ref="HBM5:HBS5"/>
    <mergeCell ref="HBT5:HBZ5"/>
    <mergeCell ref="HCA5:HCG5"/>
    <mergeCell ref="GZB5:GZH5"/>
    <mergeCell ref="GZI5:GZO5"/>
    <mergeCell ref="GZP5:GZV5"/>
    <mergeCell ref="GZW5:HAC5"/>
    <mergeCell ref="HAD5:HAJ5"/>
    <mergeCell ref="HAK5:HAQ5"/>
    <mergeCell ref="GXL5:GXR5"/>
    <mergeCell ref="GXS5:GXY5"/>
    <mergeCell ref="GXZ5:GYF5"/>
    <mergeCell ref="GYG5:GYM5"/>
    <mergeCell ref="GYN5:GYT5"/>
    <mergeCell ref="GYU5:GZA5"/>
    <mergeCell ref="GVV5:GWB5"/>
    <mergeCell ref="GWC5:GWI5"/>
    <mergeCell ref="GWJ5:GWP5"/>
    <mergeCell ref="GWQ5:GWW5"/>
    <mergeCell ref="GWX5:GXD5"/>
    <mergeCell ref="GXE5:GXK5"/>
    <mergeCell ref="GUF5:GUL5"/>
    <mergeCell ref="GUM5:GUS5"/>
    <mergeCell ref="GUT5:GUZ5"/>
    <mergeCell ref="GVA5:GVG5"/>
    <mergeCell ref="GVH5:GVN5"/>
    <mergeCell ref="GVO5:GVU5"/>
    <mergeCell ref="GSP5:GSV5"/>
    <mergeCell ref="GSW5:GTC5"/>
    <mergeCell ref="GTD5:GTJ5"/>
    <mergeCell ref="GTK5:GTQ5"/>
    <mergeCell ref="GTR5:GTX5"/>
    <mergeCell ref="GTY5:GUE5"/>
    <mergeCell ref="GQZ5:GRF5"/>
    <mergeCell ref="GRG5:GRM5"/>
    <mergeCell ref="GRN5:GRT5"/>
    <mergeCell ref="GRU5:GSA5"/>
    <mergeCell ref="GSB5:GSH5"/>
    <mergeCell ref="GSI5:GSO5"/>
    <mergeCell ref="GPJ5:GPP5"/>
    <mergeCell ref="GPQ5:GPW5"/>
    <mergeCell ref="GPX5:GQD5"/>
    <mergeCell ref="GQE5:GQK5"/>
    <mergeCell ref="GQL5:GQR5"/>
    <mergeCell ref="GQS5:GQY5"/>
    <mergeCell ref="GNT5:GNZ5"/>
    <mergeCell ref="GOA5:GOG5"/>
    <mergeCell ref="GOH5:GON5"/>
    <mergeCell ref="GOO5:GOU5"/>
    <mergeCell ref="GOV5:GPB5"/>
    <mergeCell ref="GPC5:GPI5"/>
    <mergeCell ref="GMD5:GMJ5"/>
    <mergeCell ref="GMK5:GMQ5"/>
    <mergeCell ref="GMR5:GMX5"/>
    <mergeCell ref="GMY5:GNE5"/>
    <mergeCell ref="GNF5:GNL5"/>
    <mergeCell ref="GNM5:GNS5"/>
    <mergeCell ref="GKN5:GKT5"/>
    <mergeCell ref="GKU5:GLA5"/>
    <mergeCell ref="GLB5:GLH5"/>
    <mergeCell ref="GLI5:GLO5"/>
    <mergeCell ref="GLP5:GLV5"/>
    <mergeCell ref="GLW5:GMC5"/>
    <mergeCell ref="GIX5:GJD5"/>
    <mergeCell ref="GJE5:GJK5"/>
    <mergeCell ref="GJL5:GJR5"/>
    <mergeCell ref="GJS5:GJY5"/>
    <mergeCell ref="GJZ5:GKF5"/>
    <mergeCell ref="GKG5:GKM5"/>
    <mergeCell ref="GHH5:GHN5"/>
    <mergeCell ref="GHO5:GHU5"/>
    <mergeCell ref="GHV5:GIB5"/>
    <mergeCell ref="GIC5:GII5"/>
    <mergeCell ref="GIJ5:GIP5"/>
    <mergeCell ref="GIQ5:GIW5"/>
    <mergeCell ref="GFR5:GFX5"/>
    <mergeCell ref="GFY5:GGE5"/>
    <mergeCell ref="GGF5:GGL5"/>
    <mergeCell ref="GGM5:GGS5"/>
    <mergeCell ref="GGT5:GGZ5"/>
    <mergeCell ref="GHA5:GHG5"/>
    <mergeCell ref="GEB5:GEH5"/>
    <mergeCell ref="GEI5:GEO5"/>
    <mergeCell ref="GEP5:GEV5"/>
    <mergeCell ref="GEW5:GFC5"/>
    <mergeCell ref="GFD5:GFJ5"/>
    <mergeCell ref="GFK5:GFQ5"/>
    <mergeCell ref="GCL5:GCR5"/>
    <mergeCell ref="GCS5:GCY5"/>
    <mergeCell ref="GCZ5:GDF5"/>
    <mergeCell ref="GDG5:GDM5"/>
    <mergeCell ref="GDN5:GDT5"/>
    <mergeCell ref="GDU5:GEA5"/>
    <mergeCell ref="GAV5:GBB5"/>
    <mergeCell ref="GBC5:GBI5"/>
    <mergeCell ref="GBJ5:GBP5"/>
    <mergeCell ref="GBQ5:GBW5"/>
    <mergeCell ref="GBX5:GCD5"/>
    <mergeCell ref="GCE5:GCK5"/>
    <mergeCell ref="FZF5:FZL5"/>
    <mergeCell ref="FZM5:FZS5"/>
    <mergeCell ref="FZT5:FZZ5"/>
    <mergeCell ref="GAA5:GAG5"/>
    <mergeCell ref="GAH5:GAN5"/>
    <mergeCell ref="GAO5:GAU5"/>
    <mergeCell ref="FXP5:FXV5"/>
    <mergeCell ref="FXW5:FYC5"/>
    <mergeCell ref="FYD5:FYJ5"/>
    <mergeCell ref="FYK5:FYQ5"/>
    <mergeCell ref="FYR5:FYX5"/>
    <mergeCell ref="FYY5:FZE5"/>
    <mergeCell ref="FVZ5:FWF5"/>
    <mergeCell ref="FWG5:FWM5"/>
    <mergeCell ref="FWN5:FWT5"/>
    <mergeCell ref="FWU5:FXA5"/>
    <mergeCell ref="FXB5:FXH5"/>
    <mergeCell ref="FXI5:FXO5"/>
    <mergeCell ref="FUJ5:FUP5"/>
    <mergeCell ref="FUQ5:FUW5"/>
    <mergeCell ref="FUX5:FVD5"/>
    <mergeCell ref="FVE5:FVK5"/>
    <mergeCell ref="FVL5:FVR5"/>
    <mergeCell ref="FVS5:FVY5"/>
    <mergeCell ref="FST5:FSZ5"/>
    <mergeCell ref="FTA5:FTG5"/>
    <mergeCell ref="FTH5:FTN5"/>
    <mergeCell ref="FTO5:FTU5"/>
    <mergeCell ref="FTV5:FUB5"/>
    <mergeCell ref="FUC5:FUI5"/>
    <mergeCell ref="FRD5:FRJ5"/>
    <mergeCell ref="FRK5:FRQ5"/>
    <mergeCell ref="FRR5:FRX5"/>
    <mergeCell ref="FRY5:FSE5"/>
    <mergeCell ref="FSF5:FSL5"/>
    <mergeCell ref="FSM5:FSS5"/>
    <mergeCell ref="FPN5:FPT5"/>
    <mergeCell ref="FPU5:FQA5"/>
    <mergeCell ref="FQB5:FQH5"/>
    <mergeCell ref="FQI5:FQO5"/>
    <mergeCell ref="FQP5:FQV5"/>
    <mergeCell ref="FQW5:FRC5"/>
    <mergeCell ref="FNX5:FOD5"/>
    <mergeCell ref="FOE5:FOK5"/>
    <mergeCell ref="FOL5:FOR5"/>
    <mergeCell ref="FOS5:FOY5"/>
    <mergeCell ref="FOZ5:FPF5"/>
    <mergeCell ref="FPG5:FPM5"/>
    <mergeCell ref="FMH5:FMN5"/>
    <mergeCell ref="FMO5:FMU5"/>
    <mergeCell ref="FMV5:FNB5"/>
    <mergeCell ref="FNC5:FNI5"/>
    <mergeCell ref="FNJ5:FNP5"/>
    <mergeCell ref="FNQ5:FNW5"/>
    <mergeCell ref="FKR5:FKX5"/>
    <mergeCell ref="FKY5:FLE5"/>
    <mergeCell ref="FLF5:FLL5"/>
    <mergeCell ref="FLM5:FLS5"/>
    <mergeCell ref="FLT5:FLZ5"/>
    <mergeCell ref="FMA5:FMG5"/>
    <mergeCell ref="FJB5:FJH5"/>
    <mergeCell ref="FJI5:FJO5"/>
    <mergeCell ref="FJP5:FJV5"/>
    <mergeCell ref="FJW5:FKC5"/>
    <mergeCell ref="FKD5:FKJ5"/>
    <mergeCell ref="FKK5:FKQ5"/>
    <mergeCell ref="FHL5:FHR5"/>
    <mergeCell ref="FHS5:FHY5"/>
    <mergeCell ref="FHZ5:FIF5"/>
    <mergeCell ref="FIG5:FIM5"/>
    <mergeCell ref="FIN5:FIT5"/>
    <mergeCell ref="FIU5:FJA5"/>
    <mergeCell ref="FFV5:FGB5"/>
    <mergeCell ref="FGC5:FGI5"/>
    <mergeCell ref="FGJ5:FGP5"/>
    <mergeCell ref="FGQ5:FGW5"/>
    <mergeCell ref="FGX5:FHD5"/>
    <mergeCell ref="FHE5:FHK5"/>
    <mergeCell ref="FEF5:FEL5"/>
    <mergeCell ref="FEM5:FES5"/>
    <mergeCell ref="FET5:FEZ5"/>
    <mergeCell ref="FFA5:FFG5"/>
    <mergeCell ref="FFH5:FFN5"/>
    <mergeCell ref="FFO5:FFU5"/>
    <mergeCell ref="FCP5:FCV5"/>
    <mergeCell ref="FCW5:FDC5"/>
    <mergeCell ref="FDD5:FDJ5"/>
    <mergeCell ref="FDK5:FDQ5"/>
    <mergeCell ref="FDR5:FDX5"/>
    <mergeCell ref="FDY5:FEE5"/>
    <mergeCell ref="FAZ5:FBF5"/>
    <mergeCell ref="FBG5:FBM5"/>
    <mergeCell ref="FBN5:FBT5"/>
    <mergeCell ref="FBU5:FCA5"/>
    <mergeCell ref="FCB5:FCH5"/>
    <mergeCell ref="FCI5:FCO5"/>
    <mergeCell ref="EZJ5:EZP5"/>
    <mergeCell ref="EZQ5:EZW5"/>
    <mergeCell ref="EZX5:FAD5"/>
    <mergeCell ref="FAE5:FAK5"/>
    <mergeCell ref="FAL5:FAR5"/>
    <mergeCell ref="FAS5:FAY5"/>
    <mergeCell ref="EXT5:EXZ5"/>
    <mergeCell ref="EYA5:EYG5"/>
    <mergeCell ref="EYH5:EYN5"/>
    <mergeCell ref="EYO5:EYU5"/>
    <mergeCell ref="EYV5:EZB5"/>
    <mergeCell ref="EZC5:EZI5"/>
    <mergeCell ref="EWD5:EWJ5"/>
    <mergeCell ref="EWK5:EWQ5"/>
    <mergeCell ref="EWR5:EWX5"/>
    <mergeCell ref="EWY5:EXE5"/>
    <mergeCell ref="EXF5:EXL5"/>
    <mergeCell ref="EXM5:EXS5"/>
    <mergeCell ref="EUN5:EUT5"/>
    <mergeCell ref="EUU5:EVA5"/>
    <mergeCell ref="EVB5:EVH5"/>
    <mergeCell ref="EVI5:EVO5"/>
    <mergeCell ref="EVP5:EVV5"/>
    <mergeCell ref="EVW5:EWC5"/>
    <mergeCell ref="ESX5:ETD5"/>
    <mergeCell ref="ETE5:ETK5"/>
    <mergeCell ref="ETL5:ETR5"/>
    <mergeCell ref="ETS5:ETY5"/>
    <mergeCell ref="ETZ5:EUF5"/>
    <mergeCell ref="EUG5:EUM5"/>
    <mergeCell ref="ERH5:ERN5"/>
    <mergeCell ref="ERO5:ERU5"/>
    <mergeCell ref="ERV5:ESB5"/>
    <mergeCell ref="ESC5:ESI5"/>
    <mergeCell ref="ESJ5:ESP5"/>
    <mergeCell ref="ESQ5:ESW5"/>
    <mergeCell ref="EPR5:EPX5"/>
    <mergeCell ref="EPY5:EQE5"/>
    <mergeCell ref="EQF5:EQL5"/>
    <mergeCell ref="EQM5:EQS5"/>
    <mergeCell ref="EQT5:EQZ5"/>
    <mergeCell ref="ERA5:ERG5"/>
    <mergeCell ref="EOB5:EOH5"/>
    <mergeCell ref="EOI5:EOO5"/>
    <mergeCell ref="EOP5:EOV5"/>
    <mergeCell ref="EOW5:EPC5"/>
    <mergeCell ref="EPD5:EPJ5"/>
    <mergeCell ref="EPK5:EPQ5"/>
    <mergeCell ref="EML5:EMR5"/>
    <mergeCell ref="EMS5:EMY5"/>
    <mergeCell ref="EMZ5:ENF5"/>
    <mergeCell ref="ENG5:ENM5"/>
    <mergeCell ref="ENN5:ENT5"/>
    <mergeCell ref="ENU5:EOA5"/>
    <mergeCell ref="EKV5:ELB5"/>
    <mergeCell ref="ELC5:ELI5"/>
    <mergeCell ref="ELJ5:ELP5"/>
    <mergeCell ref="ELQ5:ELW5"/>
    <mergeCell ref="ELX5:EMD5"/>
    <mergeCell ref="EME5:EMK5"/>
    <mergeCell ref="EJF5:EJL5"/>
    <mergeCell ref="EJM5:EJS5"/>
    <mergeCell ref="EJT5:EJZ5"/>
    <mergeCell ref="EKA5:EKG5"/>
    <mergeCell ref="EKH5:EKN5"/>
    <mergeCell ref="EKO5:EKU5"/>
    <mergeCell ref="EHP5:EHV5"/>
    <mergeCell ref="EHW5:EIC5"/>
    <mergeCell ref="EID5:EIJ5"/>
    <mergeCell ref="EIK5:EIQ5"/>
    <mergeCell ref="EIR5:EIX5"/>
    <mergeCell ref="EIY5:EJE5"/>
    <mergeCell ref="EFZ5:EGF5"/>
    <mergeCell ref="EGG5:EGM5"/>
    <mergeCell ref="EGN5:EGT5"/>
    <mergeCell ref="EGU5:EHA5"/>
    <mergeCell ref="EHB5:EHH5"/>
    <mergeCell ref="EHI5:EHO5"/>
    <mergeCell ref="EEJ5:EEP5"/>
    <mergeCell ref="EEQ5:EEW5"/>
    <mergeCell ref="EEX5:EFD5"/>
    <mergeCell ref="EFE5:EFK5"/>
    <mergeCell ref="EFL5:EFR5"/>
    <mergeCell ref="EFS5:EFY5"/>
    <mergeCell ref="ECT5:ECZ5"/>
    <mergeCell ref="EDA5:EDG5"/>
    <mergeCell ref="EDH5:EDN5"/>
    <mergeCell ref="EDO5:EDU5"/>
    <mergeCell ref="EDV5:EEB5"/>
    <mergeCell ref="EEC5:EEI5"/>
    <mergeCell ref="EBD5:EBJ5"/>
    <mergeCell ref="EBK5:EBQ5"/>
    <mergeCell ref="EBR5:EBX5"/>
    <mergeCell ref="EBY5:ECE5"/>
    <mergeCell ref="ECF5:ECL5"/>
    <mergeCell ref="ECM5:ECS5"/>
    <mergeCell ref="DZN5:DZT5"/>
    <mergeCell ref="DZU5:EAA5"/>
    <mergeCell ref="EAB5:EAH5"/>
    <mergeCell ref="EAI5:EAO5"/>
    <mergeCell ref="EAP5:EAV5"/>
    <mergeCell ref="EAW5:EBC5"/>
    <mergeCell ref="DXX5:DYD5"/>
    <mergeCell ref="DYE5:DYK5"/>
    <mergeCell ref="DYL5:DYR5"/>
    <mergeCell ref="DYS5:DYY5"/>
    <mergeCell ref="DYZ5:DZF5"/>
    <mergeCell ref="DZG5:DZM5"/>
    <mergeCell ref="DWH5:DWN5"/>
    <mergeCell ref="DWO5:DWU5"/>
    <mergeCell ref="DWV5:DXB5"/>
    <mergeCell ref="DXC5:DXI5"/>
    <mergeCell ref="DXJ5:DXP5"/>
    <mergeCell ref="DXQ5:DXW5"/>
    <mergeCell ref="DUR5:DUX5"/>
    <mergeCell ref="DUY5:DVE5"/>
    <mergeCell ref="DVF5:DVL5"/>
    <mergeCell ref="DVM5:DVS5"/>
    <mergeCell ref="DVT5:DVZ5"/>
    <mergeCell ref="DWA5:DWG5"/>
    <mergeCell ref="DTB5:DTH5"/>
    <mergeCell ref="DTI5:DTO5"/>
    <mergeCell ref="DTP5:DTV5"/>
    <mergeCell ref="DTW5:DUC5"/>
    <mergeCell ref="DUD5:DUJ5"/>
    <mergeCell ref="DUK5:DUQ5"/>
    <mergeCell ref="DRL5:DRR5"/>
    <mergeCell ref="DRS5:DRY5"/>
    <mergeCell ref="DRZ5:DSF5"/>
    <mergeCell ref="DSG5:DSM5"/>
    <mergeCell ref="DSN5:DST5"/>
    <mergeCell ref="DSU5:DTA5"/>
    <mergeCell ref="DPV5:DQB5"/>
    <mergeCell ref="DQC5:DQI5"/>
    <mergeCell ref="DQJ5:DQP5"/>
    <mergeCell ref="DQQ5:DQW5"/>
    <mergeCell ref="DQX5:DRD5"/>
    <mergeCell ref="DRE5:DRK5"/>
    <mergeCell ref="DOF5:DOL5"/>
    <mergeCell ref="DOM5:DOS5"/>
    <mergeCell ref="DOT5:DOZ5"/>
    <mergeCell ref="DPA5:DPG5"/>
    <mergeCell ref="DPH5:DPN5"/>
    <mergeCell ref="DPO5:DPU5"/>
    <mergeCell ref="DMP5:DMV5"/>
    <mergeCell ref="DMW5:DNC5"/>
    <mergeCell ref="DND5:DNJ5"/>
    <mergeCell ref="DNK5:DNQ5"/>
    <mergeCell ref="DNR5:DNX5"/>
    <mergeCell ref="DNY5:DOE5"/>
    <mergeCell ref="DKZ5:DLF5"/>
    <mergeCell ref="DLG5:DLM5"/>
    <mergeCell ref="DLN5:DLT5"/>
    <mergeCell ref="DLU5:DMA5"/>
    <mergeCell ref="DMB5:DMH5"/>
    <mergeCell ref="DMI5:DMO5"/>
    <mergeCell ref="DJJ5:DJP5"/>
    <mergeCell ref="DJQ5:DJW5"/>
    <mergeCell ref="DJX5:DKD5"/>
    <mergeCell ref="DKE5:DKK5"/>
    <mergeCell ref="DKL5:DKR5"/>
    <mergeCell ref="DKS5:DKY5"/>
    <mergeCell ref="DHT5:DHZ5"/>
    <mergeCell ref="DIA5:DIG5"/>
    <mergeCell ref="DIH5:DIN5"/>
    <mergeCell ref="DIO5:DIU5"/>
    <mergeCell ref="DIV5:DJB5"/>
    <mergeCell ref="DJC5:DJI5"/>
    <mergeCell ref="DGD5:DGJ5"/>
    <mergeCell ref="DGK5:DGQ5"/>
    <mergeCell ref="DGR5:DGX5"/>
    <mergeCell ref="DGY5:DHE5"/>
    <mergeCell ref="DHF5:DHL5"/>
    <mergeCell ref="DHM5:DHS5"/>
    <mergeCell ref="DEN5:DET5"/>
    <mergeCell ref="DEU5:DFA5"/>
    <mergeCell ref="DFB5:DFH5"/>
    <mergeCell ref="DFI5:DFO5"/>
    <mergeCell ref="DFP5:DFV5"/>
    <mergeCell ref="DFW5:DGC5"/>
    <mergeCell ref="DCX5:DDD5"/>
    <mergeCell ref="DDE5:DDK5"/>
    <mergeCell ref="DDL5:DDR5"/>
    <mergeCell ref="DDS5:DDY5"/>
    <mergeCell ref="DDZ5:DEF5"/>
    <mergeCell ref="DEG5:DEM5"/>
    <mergeCell ref="DBH5:DBN5"/>
    <mergeCell ref="DBO5:DBU5"/>
    <mergeCell ref="DBV5:DCB5"/>
    <mergeCell ref="DCC5:DCI5"/>
    <mergeCell ref="DCJ5:DCP5"/>
    <mergeCell ref="DCQ5:DCW5"/>
    <mergeCell ref="CZR5:CZX5"/>
    <mergeCell ref="CZY5:DAE5"/>
    <mergeCell ref="DAF5:DAL5"/>
    <mergeCell ref="DAM5:DAS5"/>
    <mergeCell ref="DAT5:DAZ5"/>
    <mergeCell ref="DBA5:DBG5"/>
    <mergeCell ref="CYB5:CYH5"/>
    <mergeCell ref="CYI5:CYO5"/>
    <mergeCell ref="CYP5:CYV5"/>
    <mergeCell ref="CYW5:CZC5"/>
    <mergeCell ref="CZD5:CZJ5"/>
    <mergeCell ref="CZK5:CZQ5"/>
    <mergeCell ref="CWL5:CWR5"/>
    <mergeCell ref="CWS5:CWY5"/>
    <mergeCell ref="CWZ5:CXF5"/>
    <mergeCell ref="CXG5:CXM5"/>
    <mergeCell ref="CXN5:CXT5"/>
    <mergeCell ref="CXU5:CYA5"/>
    <mergeCell ref="CUV5:CVB5"/>
    <mergeCell ref="CVC5:CVI5"/>
    <mergeCell ref="CVJ5:CVP5"/>
    <mergeCell ref="CVQ5:CVW5"/>
    <mergeCell ref="CVX5:CWD5"/>
    <mergeCell ref="CWE5:CWK5"/>
    <mergeCell ref="CTF5:CTL5"/>
    <mergeCell ref="CTM5:CTS5"/>
    <mergeCell ref="CTT5:CTZ5"/>
    <mergeCell ref="CUA5:CUG5"/>
    <mergeCell ref="CUH5:CUN5"/>
    <mergeCell ref="CUO5:CUU5"/>
    <mergeCell ref="CRP5:CRV5"/>
    <mergeCell ref="CRW5:CSC5"/>
    <mergeCell ref="CSD5:CSJ5"/>
    <mergeCell ref="CSK5:CSQ5"/>
    <mergeCell ref="CSR5:CSX5"/>
    <mergeCell ref="CSY5:CTE5"/>
    <mergeCell ref="CPZ5:CQF5"/>
    <mergeCell ref="CQG5:CQM5"/>
    <mergeCell ref="CQN5:CQT5"/>
    <mergeCell ref="CQU5:CRA5"/>
    <mergeCell ref="CRB5:CRH5"/>
    <mergeCell ref="CRI5:CRO5"/>
    <mergeCell ref="COJ5:COP5"/>
    <mergeCell ref="COQ5:COW5"/>
    <mergeCell ref="COX5:CPD5"/>
    <mergeCell ref="CPE5:CPK5"/>
    <mergeCell ref="CPL5:CPR5"/>
    <mergeCell ref="CPS5:CPY5"/>
    <mergeCell ref="CMT5:CMZ5"/>
    <mergeCell ref="CNA5:CNG5"/>
    <mergeCell ref="CNH5:CNN5"/>
    <mergeCell ref="CNO5:CNU5"/>
    <mergeCell ref="CNV5:COB5"/>
    <mergeCell ref="COC5:COI5"/>
    <mergeCell ref="CLD5:CLJ5"/>
    <mergeCell ref="CLK5:CLQ5"/>
    <mergeCell ref="CLR5:CLX5"/>
    <mergeCell ref="CLY5:CME5"/>
    <mergeCell ref="CMF5:CML5"/>
    <mergeCell ref="CMM5:CMS5"/>
    <mergeCell ref="CJN5:CJT5"/>
    <mergeCell ref="CJU5:CKA5"/>
    <mergeCell ref="CKB5:CKH5"/>
    <mergeCell ref="CKI5:CKO5"/>
    <mergeCell ref="CKP5:CKV5"/>
    <mergeCell ref="CKW5:CLC5"/>
    <mergeCell ref="CHX5:CID5"/>
    <mergeCell ref="CIE5:CIK5"/>
    <mergeCell ref="CIL5:CIR5"/>
    <mergeCell ref="CIS5:CIY5"/>
    <mergeCell ref="CIZ5:CJF5"/>
    <mergeCell ref="CJG5:CJM5"/>
    <mergeCell ref="CGH5:CGN5"/>
    <mergeCell ref="CGO5:CGU5"/>
    <mergeCell ref="CGV5:CHB5"/>
    <mergeCell ref="CHC5:CHI5"/>
    <mergeCell ref="CHJ5:CHP5"/>
    <mergeCell ref="CHQ5:CHW5"/>
    <mergeCell ref="CER5:CEX5"/>
    <mergeCell ref="CEY5:CFE5"/>
    <mergeCell ref="CFF5:CFL5"/>
    <mergeCell ref="CFM5:CFS5"/>
    <mergeCell ref="CFT5:CFZ5"/>
    <mergeCell ref="CGA5:CGG5"/>
    <mergeCell ref="CDB5:CDH5"/>
    <mergeCell ref="CDI5:CDO5"/>
    <mergeCell ref="CDP5:CDV5"/>
    <mergeCell ref="CDW5:CEC5"/>
    <mergeCell ref="CED5:CEJ5"/>
    <mergeCell ref="CEK5:CEQ5"/>
    <mergeCell ref="CBL5:CBR5"/>
    <mergeCell ref="CBS5:CBY5"/>
    <mergeCell ref="CBZ5:CCF5"/>
    <mergeCell ref="CCG5:CCM5"/>
    <mergeCell ref="CCN5:CCT5"/>
    <mergeCell ref="CCU5:CDA5"/>
    <mergeCell ref="BZV5:CAB5"/>
    <mergeCell ref="CAC5:CAI5"/>
    <mergeCell ref="CAJ5:CAP5"/>
    <mergeCell ref="CAQ5:CAW5"/>
    <mergeCell ref="CAX5:CBD5"/>
    <mergeCell ref="CBE5:CBK5"/>
    <mergeCell ref="BYF5:BYL5"/>
    <mergeCell ref="BYM5:BYS5"/>
    <mergeCell ref="BYT5:BYZ5"/>
    <mergeCell ref="BZA5:BZG5"/>
    <mergeCell ref="BZH5:BZN5"/>
    <mergeCell ref="BZO5:BZU5"/>
    <mergeCell ref="BWP5:BWV5"/>
    <mergeCell ref="BWW5:BXC5"/>
    <mergeCell ref="BXD5:BXJ5"/>
    <mergeCell ref="BXK5:BXQ5"/>
    <mergeCell ref="BXR5:BXX5"/>
    <mergeCell ref="BXY5:BYE5"/>
    <mergeCell ref="BUZ5:BVF5"/>
    <mergeCell ref="BVG5:BVM5"/>
    <mergeCell ref="BVN5:BVT5"/>
    <mergeCell ref="BVU5:BWA5"/>
    <mergeCell ref="BWB5:BWH5"/>
    <mergeCell ref="BWI5:BWO5"/>
    <mergeCell ref="BTJ5:BTP5"/>
    <mergeCell ref="BTQ5:BTW5"/>
    <mergeCell ref="BTX5:BUD5"/>
    <mergeCell ref="BUE5:BUK5"/>
    <mergeCell ref="BUL5:BUR5"/>
    <mergeCell ref="BUS5:BUY5"/>
    <mergeCell ref="BRT5:BRZ5"/>
    <mergeCell ref="BSA5:BSG5"/>
    <mergeCell ref="BSH5:BSN5"/>
    <mergeCell ref="BSO5:BSU5"/>
    <mergeCell ref="BSV5:BTB5"/>
    <mergeCell ref="BTC5:BTI5"/>
    <mergeCell ref="BQD5:BQJ5"/>
    <mergeCell ref="BQK5:BQQ5"/>
    <mergeCell ref="BQR5:BQX5"/>
    <mergeCell ref="BQY5:BRE5"/>
    <mergeCell ref="BRF5:BRL5"/>
    <mergeCell ref="BRM5:BRS5"/>
    <mergeCell ref="BON5:BOT5"/>
    <mergeCell ref="BOU5:BPA5"/>
    <mergeCell ref="BPB5:BPH5"/>
    <mergeCell ref="BPI5:BPO5"/>
    <mergeCell ref="BPP5:BPV5"/>
    <mergeCell ref="BPW5:BQC5"/>
    <mergeCell ref="BMX5:BND5"/>
    <mergeCell ref="BNE5:BNK5"/>
    <mergeCell ref="BNL5:BNR5"/>
    <mergeCell ref="BNS5:BNY5"/>
    <mergeCell ref="BNZ5:BOF5"/>
    <mergeCell ref="BOG5:BOM5"/>
    <mergeCell ref="BLH5:BLN5"/>
    <mergeCell ref="BLO5:BLU5"/>
    <mergeCell ref="BLV5:BMB5"/>
    <mergeCell ref="BMC5:BMI5"/>
    <mergeCell ref="BMJ5:BMP5"/>
    <mergeCell ref="BMQ5:BMW5"/>
    <mergeCell ref="BJR5:BJX5"/>
    <mergeCell ref="BJY5:BKE5"/>
    <mergeCell ref="BKF5:BKL5"/>
    <mergeCell ref="BKM5:BKS5"/>
    <mergeCell ref="BKT5:BKZ5"/>
    <mergeCell ref="BLA5:BLG5"/>
    <mergeCell ref="BIB5:BIH5"/>
    <mergeCell ref="BII5:BIO5"/>
    <mergeCell ref="BIP5:BIV5"/>
    <mergeCell ref="BIW5:BJC5"/>
    <mergeCell ref="BJD5:BJJ5"/>
    <mergeCell ref="BJK5:BJQ5"/>
    <mergeCell ref="BGL5:BGR5"/>
    <mergeCell ref="BGS5:BGY5"/>
    <mergeCell ref="BGZ5:BHF5"/>
    <mergeCell ref="BHG5:BHM5"/>
    <mergeCell ref="BHN5:BHT5"/>
    <mergeCell ref="BHU5:BIA5"/>
    <mergeCell ref="BEV5:BFB5"/>
    <mergeCell ref="BFC5:BFI5"/>
    <mergeCell ref="BFJ5:BFP5"/>
    <mergeCell ref="BFQ5:BFW5"/>
    <mergeCell ref="BFX5:BGD5"/>
    <mergeCell ref="BGE5:BGK5"/>
    <mergeCell ref="BDF5:BDL5"/>
    <mergeCell ref="BDM5:BDS5"/>
    <mergeCell ref="BDT5:BDZ5"/>
    <mergeCell ref="BEA5:BEG5"/>
    <mergeCell ref="BEH5:BEN5"/>
    <mergeCell ref="BEO5:BEU5"/>
    <mergeCell ref="BBP5:BBV5"/>
    <mergeCell ref="BBW5:BCC5"/>
    <mergeCell ref="BCD5:BCJ5"/>
    <mergeCell ref="BCK5:BCQ5"/>
    <mergeCell ref="BCR5:BCX5"/>
    <mergeCell ref="BCY5:BDE5"/>
    <mergeCell ref="AZZ5:BAF5"/>
    <mergeCell ref="BAG5:BAM5"/>
    <mergeCell ref="BAN5:BAT5"/>
    <mergeCell ref="BAU5:BBA5"/>
    <mergeCell ref="BBB5:BBH5"/>
    <mergeCell ref="BBI5:BBO5"/>
    <mergeCell ref="AYJ5:AYP5"/>
    <mergeCell ref="AYQ5:AYW5"/>
    <mergeCell ref="AYX5:AZD5"/>
    <mergeCell ref="AZE5:AZK5"/>
    <mergeCell ref="AZL5:AZR5"/>
    <mergeCell ref="AZS5:AZY5"/>
    <mergeCell ref="AWT5:AWZ5"/>
    <mergeCell ref="AXA5:AXG5"/>
    <mergeCell ref="AXH5:AXN5"/>
    <mergeCell ref="AXO5:AXU5"/>
    <mergeCell ref="AXV5:AYB5"/>
    <mergeCell ref="AYC5:AYI5"/>
    <mergeCell ref="AVD5:AVJ5"/>
    <mergeCell ref="AVK5:AVQ5"/>
    <mergeCell ref="AVR5:AVX5"/>
    <mergeCell ref="AVY5:AWE5"/>
    <mergeCell ref="AWF5:AWL5"/>
    <mergeCell ref="AWM5:AWS5"/>
    <mergeCell ref="ATN5:ATT5"/>
    <mergeCell ref="ATU5:AUA5"/>
    <mergeCell ref="AUB5:AUH5"/>
    <mergeCell ref="AUI5:AUO5"/>
    <mergeCell ref="AUP5:AUV5"/>
    <mergeCell ref="AUW5:AVC5"/>
    <mergeCell ref="ARX5:ASD5"/>
    <mergeCell ref="ASE5:ASK5"/>
    <mergeCell ref="ASL5:ASR5"/>
    <mergeCell ref="ASS5:ASY5"/>
    <mergeCell ref="ASZ5:ATF5"/>
    <mergeCell ref="ATG5:ATM5"/>
    <mergeCell ref="AQH5:AQN5"/>
    <mergeCell ref="AQO5:AQU5"/>
    <mergeCell ref="AQV5:ARB5"/>
    <mergeCell ref="ARC5:ARI5"/>
    <mergeCell ref="ARJ5:ARP5"/>
    <mergeCell ref="ARQ5:ARW5"/>
    <mergeCell ref="AOR5:AOX5"/>
    <mergeCell ref="AOY5:APE5"/>
    <mergeCell ref="APF5:APL5"/>
    <mergeCell ref="APM5:APS5"/>
    <mergeCell ref="APT5:APZ5"/>
    <mergeCell ref="AQA5:AQG5"/>
    <mergeCell ref="ANB5:ANH5"/>
    <mergeCell ref="ANI5:ANO5"/>
    <mergeCell ref="ANP5:ANV5"/>
    <mergeCell ref="ANW5:AOC5"/>
    <mergeCell ref="AOD5:AOJ5"/>
    <mergeCell ref="AOK5:AOQ5"/>
    <mergeCell ref="ALL5:ALR5"/>
    <mergeCell ref="ALS5:ALY5"/>
    <mergeCell ref="ALZ5:AMF5"/>
    <mergeCell ref="AMG5:AMM5"/>
    <mergeCell ref="AMN5:AMT5"/>
    <mergeCell ref="AMU5:ANA5"/>
    <mergeCell ref="AJV5:AKB5"/>
    <mergeCell ref="AKC5:AKI5"/>
    <mergeCell ref="AKJ5:AKP5"/>
    <mergeCell ref="AKQ5:AKW5"/>
    <mergeCell ref="AKX5:ALD5"/>
    <mergeCell ref="ALE5:ALK5"/>
    <mergeCell ref="AIF5:AIL5"/>
    <mergeCell ref="AIM5:AIS5"/>
    <mergeCell ref="AIT5:AIZ5"/>
    <mergeCell ref="AJA5:AJG5"/>
    <mergeCell ref="AJH5:AJN5"/>
    <mergeCell ref="AJO5:AJU5"/>
    <mergeCell ref="AGP5:AGV5"/>
    <mergeCell ref="AGW5:AHC5"/>
    <mergeCell ref="AHD5:AHJ5"/>
    <mergeCell ref="AHK5:AHQ5"/>
    <mergeCell ref="AHR5:AHX5"/>
    <mergeCell ref="AHY5:AIE5"/>
    <mergeCell ref="AEZ5:AFF5"/>
    <mergeCell ref="AFG5:AFM5"/>
    <mergeCell ref="AFN5:AFT5"/>
    <mergeCell ref="AFU5:AGA5"/>
    <mergeCell ref="AGB5:AGH5"/>
    <mergeCell ref="AGI5:AGO5"/>
    <mergeCell ref="ADJ5:ADP5"/>
    <mergeCell ref="ADQ5:ADW5"/>
    <mergeCell ref="ADX5:AED5"/>
    <mergeCell ref="AEE5:AEK5"/>
    <mergeCell ref="AEL5:AER5"/>
    <mergeCell ref="AES5:AEY5"/>
    <mergeCell ref="ABT5:ABZ5"/>
    <mergeCell ref="ACA5:ACG5"/>
    <mergeCell ref="ACH5:ACN5"/>
    <mergeCell ref="ACO5:ACU5"/>
    <mergeCell ref="ACV5:ADB5"/>
    <mergeCell ref="ADC5:ADI5"/>
    <mergeCell ref="AAD5:AAJ5"/>
    <mergeCell ref="AAK5:AAQ5"/>
    <mergeCell ref="AAR5:AAX5"/>
    <mergeCell ref="AAY5:ABE5"/>
    <mergeCell ref="ABF5:ABL5"/>
    <mergeCell ref="ABM5:ABS5"/>
    <mergeCell ref="YN5:YT5"/>
    <mergeCell ref="YU5:ZA5"/>
    <mergeCell ref="ZB5:ZH5"/>
    <mergeCell ref="ZI5:ZO5"/>
    <mergeCell ref="ZP5:ZV5"/>
    <mergeCell ref="ZW5:AAC5"/>
    <mergeCell ref="WX5:XD5"/>
    <mergeCell ref="XE5:XK5"/>
    <mergeCell ref="XL5:XR5"/>
    <mergeCell ref="XS5:XY5"/>
    <mergeCell ref="XZ5:YF5"/>
    <mergeCell ref="YG5:YM5"/>
    <mergeCell ref="VH5:VN5"/>
    <mergeCell ref="VO5:VU5"/>
    <mergeCell ref="VV5:WB5"/>
    <mergeCell ref="WC5:WI5"/>
    <mergeCell ref="WJ5:WP5"/>
    <mergeCell ref="WQ5:WW5"/>
    <mergeCell ref="TR5:TX5"/>
    <mergeCell ref="TY5:UE5"/>
    <mergeCell ref="UF5:UL5"/>
    <mergeCell ref="UM5:US5"/>
    <mergeCell ref="UT5:UZ5"/>
    <mergeCell ref="VA5:VG5"/>
    <mergeCell ref="SB5:SH5"/>
    <mergeCell ref="SI5:SO5"/>
    <mergeCell ref="SP5:SV5"/>
    <mergeCell ref="SW5:TC5"/>
    <mergeCell ref="TD5:TJ5"/>
    <mergeCell ref="TK5:TQ5"/>
    <mergeCell ref="QL5:QR5"/>
    <mergeCell ref="QS5:QY5"/>
    <mergeCell ref="QZ5:RF5"/>
    <mergeCell ref="RG5:RM5"/>
    <mergeCell ref="RN5:RT5"/>
    <mergeCell ref="RU5:SA5"/>
    <mergeCell ref="OV5:PB5"/>
    <mergeCell ref="PC5:PI5"/>
    <mergeCell ref="PJ5:PP5"/>
    <mergeCell ref="PQ5:PW5"/>
    <mergeCell ref="PX5:QD5"/>
    <mergeCell ref="QE5:QK5"/>
    <mergeCell ref="NF5:NL5"/>
    <mergeCell ref="NM5:NS5"/>
    <mergeCell ref="NT5:NZ5"/>
    <mergeCell ref="OA5:OG5"/>
    <mergeCell ref="OH5:ON5"/>
    <mergeCell ref="OO5:OU5"/>
    <mergeCell ref="LP5:LV5"/>
    <mergeCell ref="LW5:MC5"/>
    <mergeCell ref="MD5:MJ5"/>
    <mergeCell ref="MK5:MQ5"/>
    <mergeCell ref="MR5:MX5"/>
    <mergeCell ref="MY5:NE5"/>
    <mergeCell ref="JZ5:KF5"/>
    <mergeCell ref="KG5:KM5"/>
    <mergeCell ref="KN5:KT5"/>
    <mergeCell ref="KU5:LA5"/>
    <mergeCell ref="LB5:LH5"/>
    <mergeCell ref="LI5:LO5"/>
    <mergeCell ref="IJ5:IP5"/>
    <mergeCell ref="IQ5:IW5"/>
    <mergeCell ref="IX5:JD5"/>
    <mergeCell ref="JE5:JK5"/>
    <mergeCell ref="JL5:JR5"/>
    <mergeCell ref="JS5:JY5"/>
    <mergeCell ref="GT5:GZ5"/>
    <mergeCell ref="HA5:HG5"/>
    <mergeCell ref="HH5:HN5"/>
    <mergeCell ref="HO5:HU5"/>
    <mergeCell ref="HV5:IB5"/>
    <mergeCell ref="IC5:II5"/>
    <mergeCell ref="FD5:FJ5"/>
    <mergeCell ref="FK5:FQ5"/>
    <mergeCell ref="FR5:FX5"/>
    <mergeCell ref="FY5:GE5"/>
    <mergeCell ref="GF5:GL5"/>
    <mergeCell ref="GM5:GS5"/>
    <mergeCell ref="DN5:DT5"/>
    <mergeCell ref="DU5:EA5"/>
    <mergeCell ref="EB5:EH5"/>
    <mergeCell ref="EI5:EO5"/>
    <mergeCell ref="EP5:EV5"/>
    <mergeCell ref="EW5:FC5"/>
    <mergeCell ref="BX5:CD5"/>
    <mergeCell ref="CE5:CK5"/>
    <mergeCell ref="CL5:CR5"/>
    <mergeCell ref="CS5:CY5"/>
    <mergeCell ref="CZ5:DF5"/>
    <mergeCell ref="DG5:DM5"/>
    <mergeCell ref="AH5:AN5"/>
    <mergeCell ref="AO5:AU5"/>
    <mergeCell ref="AV5:BB5"/>
    <mergeCell ref="BC5:BI5"/>
    <mergeCell ref="BJ5:BP5"/>
    <mergeCell ref="BQ5:BW5"/>
    <mergeCell ref="A4:H4"/>
    <mergeCell ref="A5:H5"/>
    <mergeCell ref="I5:L5"/>
    <mergeCell ref="M5:S5"/>
    <mergeCell ref="T5:Z5"/>
    <mergeCell ref="AA5:AG5"/>
    <mergeCell ref="A1:H1"/>
    <mergeCell ref="I1:N1"/>
    <mergeCell ref="A2:H2"/>
    <mergeCell ref="I2:N2"/>
    <mergeCell ref="A3:H3"/>
    <mergeCell ref="I3:N3"/>
  </mergeCells>
  <printOptions horizontalCentered="1"/>
  <pageMargins left="0.5" right="0.5" top="0.75" bottom="0.75" header="0.5" footer="0.5"/>
  <pageSetup scale="90" fitToHeight="3" orientation="landscape" r:id="rId1"/>
  <headerFooter alignWithMargins="0">
    <oddFooter>&amp;C&amp;"Times New Roman,Regular"Page &amp;P of &amp;N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9722-12E9-45FE-873B-3F844C5F3169}">
  <sheetPr>
    <tabColor rgb="FFCCFFFF"/>
  </sheetPr>
  <dimension ref="A1:J267"/>
  <sheetViews>
    <sheetView zoomScaleNormal="100" workbookViewId="0">
      <selection activeCell="A11" sqref="A11"/>
    </sheetView>
  </sheetViews>
  <sheetFormatPr defaultColWidth="10.5859375" defaultRowHeight="12.6" x14ac:dyDescent="0.45"/>
  <cols>
    <col min="1" max="2" width="12.05859375" style="198" customWidth="1"/>
    <col min="3" max="3" width="24.05859375" style="142" customWidth="1"/>
    <col min="4" max="4" width="88" style="142" customWidth="1"/>
    <col min="5" max="5" width="12.05859375" style="169" customWidth="1"/>
    <col min="6" max="6" width="7.46875" style="199" customWidth="1"/>
    <col min="7" max="7" width="11.5859375" style="200" customWidth="1"/>
    <col min="8" max="8" width="15.3515625" style="201" customWidth="1"/>
    <col min="9" max="16384" width="10.5859375" style="142"/>
  </cols>
  <sheetData>
    <row r="1" spans="1:9" ht="12.75" customHeight="1" x14ac:dyDescent="0.45">
      <c r="A1" s="390" t="s">
        <v>4992</v>
      </c>
      <c r="B1" s="390"/>
      <c r="C1" s="390"/>
      <c r="D1" s="390"/>
      <c r="E1" s="390"/>
      <c r="F1" s="390"/>
      <c r="G1" s="390"/>
      <c r="H1" s="390"/>
    </row>
    <row r="2" spans="1:9" ht="12.75" customHeight="1" x14ac:dyDescent="0.45">
      <c r="A2" s="390" t="s">
        <v>0</v>
      </c>
      <c r="B2" s="390"/>
      <c r="C2" s="390"/>
      <c r="D2" s="390"/>
      <c r="E2" s="390"/>
      <c r="F2" s="390"/>
      <c r="G2" s="390"/>
      <c r="H2" s="390"/>
    </row>
    <row r="3" spans="1:9" ht="12.75" customHeight="1" x14ac:dyDescent="0.45">
      <c r="A3" s="390" t="s">
        <v>4991</v>
      </c>
      <c r="B3" s="390"/>
      <c r="C3" s="390"/>
      <c r="D3" s="390"/>
      <c r="E3" s="390"/>
      <c r="F3" s="390"/>
      <c r="G3" s="390"/>
      <c r="H3" s="390"/>
    </row>
    <row r="4" spans="1:9" x14ac:dyDescent="0.45">
      <c r="A4" s="410"/>
      <c r="B4" s="410"/>
      <c r="C4" s="410"/>
      <c r="D4" s="410"/>
      <c r="E4" s="410"/>
      <c r="F4" s="410"/>
      <c r="G4" s="410"/>
      <c r="H4" s="410"/>
    </row>
    <row r="5" spans="1:9" x14ac:dyDescent="0.45">
      <c r="A5" s="410" t="s">
        <v>5007</v>
      </c>
      <c r="B5" s="410"/>
      <c r="C5" s="410"/>
      <c r="D5" s="410"/>
      <c r="E5" s="410"/>
      <c r="F5" s="410"/>
      <c r="G5" s="410"/>
      <c r="H5" s="410"/>
    </row>
    <row r="6" spans="1:9" x14ac:dyDescent="0.45">
      <c r="A6" s="410" t="s">
        <v>4216</v>
      </c>
      <c r="B6" s="410"/>
      <c r="C6" s="410"/>
      <c r="D6" s="410"/>
      <c r="E6" s="410"/>
      <c r="F6" s="410"/>
      <c r="G6" s="410"/>
      <c r="H6" s="410"/>
    </row>
    <row r="7" spans="1:9" x14ac:dyDescent="0.45">
      <c r="A7" s="410"/>
      <c r="B7" s="410"/>
      <c r="C7" s="410"/>
      <c r="D7" s="410"/>
      <c r="E7" s="410"/>
      <c r="F7" s="410"/>
      <c r="G7" s="410"/>
      <c r="H7" s="410"/>
    </row>
    <row r="8" spans="1:9" x14ac:dyDescent="0.45">
      <c r="A8" s="413" t="s">
        <v>4217</v>
      </c>
      <c r="B8" s="414"/>
      <c r="C8" s="414"/>
      <c r="D8" s="415"/>
      <c r="E8" s="415"/>
      <c r="F8" s="415"/>
      <c r="G8" s="415"/>
      <c r="H8" s="416"/>
    </row>
    <row r="9" spans="1:9" ht="27.7" customHeight="1" x14ac:dyDescent="0.45">
      <c r="A9" s="417" t="s">
        <v>457</v>
      </c>
      <c r="B9" s="418"/>
      <c r="C9" s="418"/>
      <c r="D9" s="418"/>
      <c r="E9" s="418"/>
      <c r="F9" s="418"/>
      <c r="G9" s="418"/>
      <c r="H9" s="419"/>
    </row>
    <row r="10" spans="1:9" x14ac:dyDescent="0.45">
      <c r="A10" s="420" t="s">
        <v>4218</v>
      </c>
      <c r="B10" s="421"/>
      <c r="C10" s="421"/>
      <c r="D10" s="421"/>
      <c r="E10" s="421"/>
      <c r="F10" s="421"/>
      <c r="G10" s="421"/>
      <c r="H10" s="422"/>
    </row>
    <row r="11" spans="1:9" s="207" customFormat="1" ht="24.6" x14ac:dyDescent="0.45">
      <c r="A11" s="435" t="s">
        <v>459</v>
      </c>
      <c r="B11" s="143" t="s">
        <v>460</v>
      </c>
      <c r="C11" s="144" t="s">
        <v>461</v>
      </c>
      <c r="D11" s="145" t="s">
        <v>462</v>
      </c>
      <c r="E11" s="146" t="s">
        <v>463</v>
      </c>
      <c r="F11" s="147" t="s">
        <v>464</v>
      </c>
      <c r="G11" s="148" t="s">
        <v>465</v>
      </c>
      <c r="H11" s="149" t="s">
        <v>466</v>
      </c>
    </row>
    <row r="12" spans="1:9" s="208" customFormat="1" x14ac:dyDescent="0.45">
      <c r="A12" s="423" t="s">
        <v>467</v>
      </c>
      <c r="B12" s="424"/>
      <c r="C12" s="425"/>
      <c r="D12" s="425"/>
      <c r="E12" s="150"/>
      <c r="F12" s="151"/>
      <c r="G12" s="152"/>
      <c r="H12" s="153"/>
    </row>
    <row r="13" spans="1:9" ht="7.5" customHeight="1" x14ac:dyDescent="0.45">
      <c r="A13" s="154"/>
      <c r="B13" s="154"/>
      <c r="C13" s="155"/>
      <c r="D13" s="155"/>
      <c r="E13" s="156"/>
      <c r="F13" s="155"/>
      <c r="G13" s="157"/>
      <c r="H13" s="158"/>
    </row>
    <row r="14" spans="1:9" ht="13" customHeight="1" x14ac:dyDescent="0.45">
      <c r="A14" s="159"/>
      <c r="B14" s="160">
        <v>200000</v>
      </c>
      <c r="C14" s="159"/>
      <c r="D14" s="159" t="s">
        <v>468</v>
      </c>
      <c r="E14" s="209"/>
      <c r="F14" s="209"/>
      <c r="G14" s="210"/>
      <c r="H14" s="211"/>
    </row>
    <row r="15" spans="1:9" ht="50.4" x14ac:dyDescent="0.45">
      <c r="A15" s="164" t="s">
        <v>4219</v>
      </c>
      <c r="B15" s="164"/>
      <c r="C15" s="212" t="s">
        <v>470</v>
      </c>
      <c r="D15" s="165" t="s">
        <v>471</v>
      </c>
      <c r="E15" s="166"/>
      <c r="F15" s="164" t="s">
        <v>472</v>
      </c>
      <c r="G15" s="167">
        <v>5</v>
      </c>
      <c r="H15" s="168">
        <f>SUM(E15)*G15</f>
        <v>0</v>
      </c>
      <c r="I15" s="169"/>
    </row>
    <row r="16" spans="1:9" x14ac:dyDescent="0.45">
      <c r="A16" s="118" t="s">
        <v>4220</v>
      </c>
      <c r="B16" s="184" t="s">
        <v>180</v>
      </c>
      <c r="D16" s="120"/>
      <c r="E16" s="142"/>
      <c r="F16" s="171"/>
      <c r="G16" s="142"/>
      <c r="H16" s="168"/>
    </row>
    <row r="17" spans="1:8" ht="13" customHeight="1" x14ac:dyDescent="0.45">
      <c r="A17" s="159"/>
      <c r="B17" s="159">
        <v>1401000</v>
      </c>
      <c r="C17" s="159"/>
      <c r="D17" s="159" t="s">
        <v>474</v>
      </c>
      <c r="E17" s="159"/>
      <c r="F17" s="159"/>
      <c r="G17" s="159"/>
      <c r="H17" s="163"/>
    </row>
    <row r="18" spans="1:8" ht="75.599999999999994" x14ac:dyDescent="0.45">
      <c r="A18" s="171" t="s">
        <v>4221</v>
      </c>
      <c r="B18" s="171"/>
      <c r="C18" s="184" t="s">
        <v>476</v>
      </c>
      <c r="D18" s="106" t="s">
        <v>477</v>
      </c>
      <c r="E18" s="166"/>
      <c r="F18" s="171" t="s">
        <v>472</v>
      </c>
      <c r="G18" s="172">
        <v>4</v>
      </c>
      <c r="H18" s="168">
        <f t="shared" ref="H18:H29" si="0">SUM(E18)*G18</f>
        <v>0</v>
      </c>
    </row>
    <row r="19" spans="1:8" ht="50.4" x14ac:dyDescent="0.45">
      <c r="A19" s="171" t="s">
        <v>4222</v>
      </c>
      <c r="B19" s="171"/>
      <c r="C19" s="106" t="s">
        <v>479</v>
      </c>
      <c r="D19" s="106" t="s">
        <v>480</v>
      </c>
      <c r="E19" s="166"/>
      <c r="F19" s="171" t="s">
        <v>472</v>
      </c>
      <c r="G19" s="172">
        <v>4</v>
      </c>
      <c r="H19" s="168">
        <f t="shared" si="0"/>
        <v>0</v>
      </c>
    </row>
    <row r="20" spans="1:8" ht="50.4" x14ac:dyDescent="0.45">
      <c r="A20" s="171" t="s">
        <v>4223</v>
      </c>
      <c r="B20" s="171"/>
      <c r="C20" s="106" t="s">
        <v>482</v>
      </c>
      <c r="D20" s="106" t="s">
        <v>483</v>
      </c>
      <c r="E20" s="166"/>
      <c r="F20" s="171" t="s">
        <v>472</v>
      </c>
      <c r="G20" s="172">
        <v>4</v>
      </c>
      <c r="H20" s="168">
        <f t="shared" si="0"/>
        <v>0</v>
      </c>
    </row>
    <row r="21" spans="1:8" ht="50.4" x14ac:dyDescent="0.45">
      <c r="A21" s="171" t="s">
        <v>4224</v>
      </c>
      <c r="B21" s="171"/>
      <c r="C21" s="106" t="s">
        <v>485</v>
      </c>
      <c r="D21" s="106" t="s">
        <v>486</v>
      </c>
      <c r="E21" s="166"/>
      <c r="F21" s="171" t="s">
        <v>472</v>
      </c>
      <c r="G21" s="172">
        <v>8</v>
      </c>
      <c r="H21" s="168">
        <f t="shared" si="0"/>
        <v>0</v>
      </c>
    </row>
    <row r="22" spans="1:8" ht="63" x14ac:dyDescent="0.45">
      <c r="A22" s="171" t="s">
        <v>4225</v>
      </c>
      <c r="B22" s="171"/>
      <c r="C22" s="106" t="s">
        <v>488</v>
      </c>
      <c r="D22" s="106" t="s">
        <v>489</v>
      </c>
      <c r="E22" s="166"/>
      <c r="F22" s="171" t="s">
        <v>472</v>
      </c>
      <c r="G22" s="172">
        <v>4</v>
      </c>
      <c r="H22" s="168">
        <f t="shared" si="0"/>
        <v>0</v>
      </c>
    </row>
    <row r="23" spans="1:8" ht="50.4" x14ac:dyDescent="0.45">
      <c r="A23" s="171" t="s">
        <v>4226</v>
      </c>
      <c r="B23" s="171"/>
      <c r="C23" s="106" t="s">
        <v>491</v>
      </c>
      <c r="D23" s="106" t="s">
        <v>492</v>
      </c>
      <c r="E23" s="166"/>
      <c r="F23" s="171" t="s">
        <v>472</v>
      </c>
      <c r="G23" s="172">
        <v>4</v>
      </c>
      <c r="H23" s="168">
        <f t="shared" si="0"/>
        <v>0</v>
      </c>
    </row>
    <row r="24" spans="1:8" ht="50.4" x14ac:dyDescent="0.45">
      <c r="A24" s="171" t="s">
        <v>4227</v>
      </c>
      <c r="B24" s="171"/>
      <c r="C24" s="106" t="s">
        <v>494</v>
      </c>
      <c r="D24" s="106" t="s">
        <v>495</v>
      </c>
      <c r="E24" s="166"/>
      <c r="F24" s="171" t="s">
        <v>472</v>
      </c>
      <c r="G24" s="172">
        <v>4</v>
      </c>
      <c r="H24" s="168">
        <f t="shared" si="0"/>
        <v>0</v>
      </c>
    </row>
    <row r="25" spans="1:8" ht="50.4" x14ac:dyDescent="0.45">
      <c r="A25" s="171" t="s">
        <v>4228</v>
      </c>
      <c r="B25" s="171"/>
      <c r="C25" s="106" t="s">
        <v>497</v>
      </c>
      <c r="D25" s="106" t="s">
        <v>498</v>
      </c>
      <c r="E25" s="166"/>
      <c r="F25" s="171" t="s">
        <v>472</v>
      </c>
      <c r="G25" s="172">
        <v>4</v>
      </c>
      <c r="H25" s="168">
        <f t="shared" si="0"/>
        <v>0</v>
      </c>
    </row>
    <row r="26" spans="1:8" ht="50.4" x14ac:dyDescent="0.45">
      <c r="A26" s="171" t="s">
        <v>4229</v>
      </c>
      <c r="B26" s="171"/>
      <c r="C26" s="106" t="s">
        <v>500</v>
      </c>
      <c r="D26" s="106" t="s">
        <v>501</v>
      </c>
      <c r="E26" s="166"/>
      <c r="F26" s="171" t="s">
        <v>472</v>
      </c>
      <c r="G26" s="172">
        <v>4</v>
      </c>
      <c r="H26" s="168">
        <f t="shared" si="0"/>
        <v>0</v>
      </c>
    </row>
    <row r="27" spans="1:8" s="177" customFormat="1" ht="100.8" x14ac:dyDescent="0.45">
      <c r="A27" s="173" t="s">
        <v>4230</v>
      </c>
      <c r="B27" s="173"/>
      <c r="C27" s="174" t="s">
        <v>503</v>
      </c>
      <c r="D27" s="174" t="s">
        <v>504</v>
      </c>
      <c r="E27" s="166"/>
      <c r="F27" s="173" t="s">
        <v>472</v>
      </c>
      <c r="G27" s="175">
        <v>10</v>
      </c>
      <c r="H27" s="176">
        <f t="shared" si="0"/>
        <v>0</v>
      </c>
    </row>
    <row r="28" spans="1:8" ht="75.599999999999994" x14ac:dyDescent="0.45">
      <c r="A28" s="171" t="s">
        <v>4231</v>
      </c>
      <c r="B28" s="171"/>
      <c r="C28" s="106" t="s">
        <v>506</v>
      </c>
      <c r="D28" s="178" t="s">
        <v>507</v>
      </c>
      <c r="E28" s="166"/>
      <c r="F28" s="171" t="s">
        <v>508</v>
      </c>
      <c r="G28" s="172">
        <v>300</v>
      </c>
      <c r="H28" s="168">
        <f t="shared" si="0"/>
        <v>0</v>
      </c>
    </row>
    <row r="29" spans="1:8" ht="75.599999999999994" x14ac:dyDescent="0.45">
      <c r="A29" s="171" t="s">
        <v>4232</v>
      </c>
      <c r="B29" s="171"/>
      <c r="C29" s="106" t="s">
        <v>510</v>
      </c>
      <c r="D29" s="178" t="s">
        <v>511</v>
      </c>
      <c r="E29" s="166"/>
      <c r="F29" s="171" t="s">
        <v>508</v>
      </c>
      <c r="G29" s="172">
        <v>300</v>
      </c>
      <c r="H29" s="168">
        <f t="shared" si="0"/>
        <v>0</v>
      </c>
    </row>
    <row r="30" spans="1:8" x14ac:dyDescent="0.45">
      <c r="A30" s="118" t="s">
        <v>4233</v>
      </c>
      <c r="B30" s="184" t="s">
        <v>180</v>
      </c>
      <c r="D30" s="120"/>
      <c r="E30" s="142"/>
      <c r="F30" s="218"/>
      <c r="G30" s="218"/>
      <c r="H30" s="168"/>
    </row>
    <row r="31" spans="1:8" ht="13" customHeight="1" x14ac:dyDescent="0.45">
      <c r="A31" s="159"/>
      <c r="B31" s="159">
        <v>1402000</v>
      </c>
      <c r="C31" s="159"/>
      <c r="D31" s="159" t="s">
        <v>513</v>
      </c>
      <c r="E31" s="159"/>
      <c r="F31" s="159"/>
      <c r="G31" s="159"/>
      <c r="H31" s="163"/>
    </row>
    <row r="32" spans="1:8" ht="63" x14ac:dyDescent="0.45">
      <c r="A32" s="171" t="s">
        <v>4234</v>
      </c>
      <c r="B32" s="171"/>
      <c r="C32" s="184" t="s">
        <v>515</v>
      </c>
      <c r="D32" s="184" t="s">
        <v>516</v>
      </c>
      <c r="E32" s="166"/>
      <c r="F32" s="171" t="s">
        <v>472</v>
      </c>
      <c r="G32" s="172">
        <v>50</v>
      </c>
      <c r="H32" s="168">
        <f>SUM(E32)*G32</f>
        <v>0</v>
      </c>
    </row>
    <row r="33" spans="1:8" ht="63" x14ac:dyDescent="0.45">
      <c r="A33" s="171" t="s">
        <v>4235</v>
      </c>
      <c r="B33" s="171"/>
      <c r="C33" s="184" t="s">
        <v>518</v>
      </c>
      <c r="D33" s="184" t="s">
        <v>519</v>
      </c>
      <c r="E33" s="166"/>
      <c r="F33" s="171" t="s">
        <v>472</v>
      </c>
      <c r="G33" s="172">
        <v>40</v>
      </c>
      <c r="H33" s="168">
        <f>SUM(E33)*G33</f>
        <v>0</v>
      </c>
    </row>
    <row r="34" spans="1:8" ht="37.799999999999997" x14ac:dyDescent="0.45">
      <c r="A34" s="171" t="s">
        <v>4236</v>
      </c>
      <c r="B34" s="171"/>
      <c r="C34" s="184" t="s">
        <v>521</v>
      </c>
      <c r="D34" s="184" t="s">
        <v>522</v>
      </c>
      <c r="E34" s="166"/>
      <c r="F34" s="171" t="s">
        <v>472</v>
      </c>
      <c r="G34" s="172">
        <v>50</v>
      </c>
      <c r="H34" s="168">
        <f>SUM(E34)*G34</f>
        <v>0</v>
      </c>
    </row>
    <row r="35" spans="1:8" ht="37.799999999999997" x14ac:dyDescent="0.45">
      <c r="A35" s="171" t="s">
        <v>4237</v>
      </c>
      <c r="B35" s="171"/>
      <c r="C35" s="184" t="s">
        <v>524</v>
      </c>
      <c r="D35" s="184" t="s">
        <v>525</v>
      </c>
      <c r="E35" s="166"/>
      <c r="F35" s="171" t="s">
        <v>472</v>
      </c>
      <c r="G35" s="172">
        <v>40</v>
      </c>
      <c r="H35" s="168">
        <f>SUM(E35)*G35</f>
        <v>0</v>
      </c>
    </row>
    <row r="36" spans="1:8" x14ac:dyDescent="0.45">
      <c r="A36" s="118" t="s">
        <v>4238</v>
      </c>
      <c r="B36" s="184" t="s">
        <v>180</v>
      </c>
      <c r="D36" s="120"/>
      <c r="E36" s="142"/>
      <c r="F36" s="171"/>
      <c r="G36" s="172"/>
      <c r="H36" s="168"/>
    </row>
    <row r="37" spans="1:8" ht="13" customHeight="1" x14ac:dyDescent="0.45">
      <c r="A37" s="159"/>
      <c r="B37" s="159">
        <v>1502000</v>
      </c>
      <c r="C37" s="159"/>
      <c r="D37" s="159" t="s">
        <v>18</v>
      </c>
      <c r="E37" s="159"/>
      <c r="F37" s="159"/>
      <c r="G37" s="162"/>
      <c r="H37" s="163"/>
    </row>
    <row r="38" spans="1:8" ht="37.799999999999997" x14ac:dyDescent="0.45">
      <c r="A38" s="171" t="s">
        <v>4239</v>
      </c>
      <c r="B38" s="171"/>
      <c r="C38" s="184" t="s">
        <v>528</v>
      </c>
      <c r="D38" s="184" t="s">
        <v>529</v>
      </c>
      <c r="E38" s="166"/>
      <c r="F38" s="171" t="s">
        <v>508</v>
      </c>
      <c r="G38" s="172">
        <v>3000</v>
      </c>
      <c r="H38" s="168">
        <f t="shared" ref="H38:H49" si="1">SUM(E38)*G38</f>
        <v>0</v>
      </c>
    </row>
    <row r="39" spans="1:8" ht="50.4" x14ac:dyDescent="0.45">
      <c r="A39" s="171" t="s">
        <v>4240</v>
      </c>
      <c r="B39" s="171"/>
      <c r="C39" s="184" t="s">
        <v>531</v>
      </c>
      <c r="D39" s="184" t="s">
        <v>532</v>
      </c>
      <c r="E39" s="166"/>
      <c r="F39" s="171" t="s">
        <v>533</v>
      </c>
      <c r="G39" s="172">
        <v>3000</v>
      </c>
      <c r="H39" s="168">
        <f t="shared" si="1"/>
        <v>0</v>
      </c>
    </row>
    <row r="40" spans="1:8" ht="63" x14ac:dyDescent="0.45">
      <c r="A40" s="171" t="s">
        <v>4241</v>
      </c>
      <c r="B40" s="171"/>
      <c r="C40" s="184" t="s">
        <v>535</v>
      </c>
      <c r="D40" s="184" t="s">
        <v>536</v>
      </c>
      <c r="E40" s="166"/>
      <c r="F40" s="171" t="s">
        <v>508</v>
      </c>
      <c r="G40" s="172">
        <v>2000</v>
      </c>
      <c r="H40" s="168">
        <f t="shared" si="1"/>
        <v>0</v>
      </c>
    </row>
    <row r="41" spans="1:8" ht="63" x14ac:dyDescent="0.45">
      <c r="A41" s="171" t="s">
        <v>4242</v>
      </c>
      <c r="B41" s="171"/>
      <c r="C41" s="184" t="s">
        <v>538</v>
      </c>
      <c r="D41" s="184" t="s">
        <v>539</v>
      </c>
      <c r="E41" s="166"/>
      <c r="F41" s="171" t="s">
        <v>508</v>
      </c>
      <c r="G41" s="172">
        <v>2000</v>
      </c>
      <c r="H41" s="168">
        <f t="shared" si="1"/>
        <v>0</v>
      </c>
    </row>
    <row r="42" spans="1:8" ht="50.4" x14ac:dyDescent="0.45">
      <c r="A42" s="171" t="s">
        <v>4243</v>
      </c>
      <c r="B42" s="171"/>
      <c r="C42" s="184" t="s">
        <v>541</v>
      </c>
      <c r="D42" s="184" t="s">
        <v>542</v>
      </c>
      <c r="E42" s="166"/>
      <c r="F42" s="171" t="s">
        <v>543</v>
      </c>
      <c r="G42" s="172">
        <v>19500</v>
      </c>
      <c r="H42" s="168">
        <f t="shared" si="1"/>
        <v>0</v>
      </c>
    </row>
    <row r="43" spans="1:8" ht="37.799999999999997" x14ac:dyDescent="0.45">
      <c r="A43" s="171" t="s">
        <v>4244</v>
      </c>
      <c r="B43" s="171"/>
      <c r="C43" s="184" t="s">
        <v>545</v>
      </c>
      <c r="D43" s="184" t="s">
        <v>546</v>
      </c>
      <c r="E43" s="166"/>
      <c r="F43" s="171" t="s">
        <v>472</v>
      </c>
      <c r="G43" s="172">
        <v>10</v>
      </c>
      <c r="H43" s="168">
        <f t="shared" si="1"/>
        <v>0</v>
      </c>
    </row>
    <row r="44" spans="1:8" ht="151.19999999999999" x14ac:dyDescent="0.45">
      <c r="A44" s="171" t="s">
        <v>4245</v>
      </c>
      <c r="B44" s="171"/>
      <c r="C44" s="184" t="s">
        <v>548</v>
      </c>
      <c r="D44" s="106" t="s">
        <v>549</v>
      </c>
      <c r="E44" s="166"/>
      <c r="F44" s="171" t="s">
        <v>472</v>
      </c>
      <c r="G44" s="172">
        <v>25</v>
      </c>
      <c r="H44" s="168">
        <f t="shared" si="1"/>
        <v>0</v>
      </c>
    </row>
    <row r="45" spans="1:8" ht="37.799999999999997" x14ac:dyDescent="0.45">
      <c r="A45" s="171" t="s">
        <v>4246</v>
      </c>
      <c r="B45" s="171"/>
      <c r="C45" s="106" t="s">
        <v>551</v>
      </c>
      <c r="D45" s="184" t="s">
        <v>552</v>
      </c>
      <c r="E45" s="166"/>
      <c r="F45" s="171" t="s">
        <v>472</v>
      </c>
      <c r="G45" s="172">
        <v>38</v>
      </c>
      <c r="H45" s="168">
        <f t="shared" si="1"/>
        <v>0</v>
      </c>
    </row>
    <row r="46" spans="1:8" ht="37.799999999999997" x14ac:dyDescent="0.45">
      <c r="A46" s="171" t="s">
        <v>4247</v>
      </c>
      <c r="B46" s="171"/>
      <c r="C46" s="106" t="s">
        <v>554</v>
      </c>
      <c r="D46" s="184" t="s">
        <v>555</v>
      </c>
      <c r="E46" s="166"/>
      <c r="F46" s="171" t="s">
        <v>472</v>
      </c>
      <c r="G46" s="172">
        <v>38</v>
      </c>
      <c r="H46" s="168">
        <f t="shared" si="1"/>
        <v>0</v>
      </c>
    </row>
    <row r="47" spans="1:8" ht="37.799999999999997" x14ac:dyDescent="0.45">
      <c r="A47" s="171" t="s">
        <v>4248</v>
      </c>
      <c r="B47" s="171"/>
      <c r="C47" s="106" t="s">
        <v>557</v>
      </c>
      <c r="D47" s="184" t="s">
        <v>558</v>
      </c>
      <c r="E47" s="166"/>
      <c r="F47" s="171" t="s">
        <v>472</v>
      </c>
      <c r="G47" s="172">
        <v>38</v>
      </c>
      <c r="H47" s="168">
        <f t="shared" si="1"/>
        <v>0</v>
      </c>
    </row>
    <row r="48" spans="1:8" ht="70.5" x14ac:dyDescent="0.45">
      <c r="A48" s="171" t="s">
        <v>4249</v>
      </c>
      <c r="B48" s="171"/>
      <c r="C48" s="106" t="s">
        <v>560</v>
      </c>
      <c r="D48" s="179" t="s">
        <v>561</v>
      </c>
      <c r="E48" s="166"/>
      <c r="F48" s="171" t="s">
        <v>472</v>
      </c>
      <c r="G48" s="172">
        <v>14</v>
      </c>
      <c r="H48" s="168">
        <f t="shared" si="1"/>
        <v>0</v>
      </c>
    </row>
    <row r="49" spans="1:8" ht="56.4" x14ac:dyDescent="0.45">
      <c r="A49" s="171" t="s">
        <v>4250</v>
      </c>
      <c r="B49" s="171"/>
      <c r="C49" s="106" t="s">
        <v>563</v>
      </c>
      <c r="D49" s="179" t="s">
        <v>564</v>
      </c>
      <c r="E49" s="166"/>
      <c r="F49" s="171" t="s">
        <v>472</v>
      </c>
      <c r="G49" s="172">
        <v>14</v>
      </c>
      <c r="H49" s="168">
        <f t="shared" si="1"/>
        <v>0</v>
      </c>
    </row>
    <row r="50" spans="1:8" ht="70.5" x14ac:dyDescent="0.45">
      <c r="A50" s="171" t="s">
        <v>4251</v>
      </c>
      <c r="B50" s="171"/>
      <c r="C50" s="106" t="s">
        <v>566</v>
      </c>
      <c r="D50" s="179" t="s">
        <v>567</v>
      </c>
      <c r="E50" s="166"/>
      <c r="F50" s="171" t="s">
        <v>568</v>
      </c>
      <c r="G50" s="172">
        <v>35</v>
      </c>
      <c r="H50" s="168">
        <f>SUM(E50)*G50</f>
        <v>0</v>
      </c>
    </row>
    <row r="51" spans="1:8" ht="92.1" customHeight="1" x14ac:dyDescent="0.45">
      <c r="A51" s="171" t="s">
        <v>4252</v>
      </c>
      <c r="B51" s="180"/>
      <c r="C51" s="182" t="s">
        <v>570</v>
      </c>
      <c r="D51" s="182" t="s">
        <v>571</v>
      </c>
      <c r="E51" s="166"/>
      <c r="F51" s="171" t="s">
        <v>472</v>
      </c>
      <c r="G51" s="172">
        <v>50</v>
      </c>
      <c r="H51" s="168">
        <f t="shared" ref="H51:H54" si="2">SUM(E51)*G51</f>
        <v>0</v>
      </c>
    </row>
    <row r="52" spans="1:8" s="183" customFormat="1" ht="333.9" customHeight="1" x14ac:dyDescent="0.45">
      <c r="A52" s="185" t="s">
        <v>4253</v>
      </c>
      <c r="B52" s="182"/>
      <c r="C52" s="182" t="s">
        <v>573</v>
      </c>
      <c r="D52" s="182" t="s">
        <v>574</v>
      </c>
      <c r="E52" s="166"/>
      <c r="F52" s="185" t="s">
        <v>508</v>
      </c>
      <c r="G52" s="214">
        <v>1500</v>
      </c>
      <c r="H52" s="168">
        <f t="shared" si="2"/>
        <v>0</v>
      </c>
    </row>
    <row r="53" spans="1:8" s="183" customFormat="1" ht="206.95" customHeight="1" x14ac:dyDescent="0.45">
      <c r="A53" s="185" t="s">
        <v>4254</v>
      </c>
      <c r="B53" s="182"/>
      <c r="C53" s="182" t="s">
        <v>576</v>
      </c>
      <c r="D53" s="182" t="s">
        <v>577</v>
      </c>
      <c r="E53" s="166"/>
      <c r="F53" s="185" t="s">
        <v>508</v>
      </c>
      <c r="G53" s="214">
        <v>2500</v>
      </c>
      <c r="H53" s="168">
        <f t="shared" si="2"/>
        <v>0</v>
      </c>
    </row>
    <row r="54" spans="1:8" s="183" customFormat="1" ht="75.599999999999994" x14ac:dyDescent="0.45">
      <c r="A54" s="185" t="s">
        <v>4255</v>
      </c>
      <c r="B54" s="182"/>
      <c r="C54" s="219" t="s">
        <v>579</v>
      </c>
      <c r="D54" s="219" t="s">
        <v>580</v>
      </c>
      <c r="E54" s="166"/>
      <c r="F54" s="185" t="s">
        <v>508</v>
      </c>
      <c r="G54" s="214">
        <v>2000</v>
      </c>
      <c r="H54" s="168">
        <f t="shared" si="2"/>
        <v>0</v>
      </c>
    </row>
    <row r="55" spans="1:8" x14ac:dyDescent="0.45">
      <c r="A55" s="118" t="s">
        <v>4256</v>
      </c>
      <c r="B55" s="184" t="s">
        <v>180</v>
      </c>
      <c r="D55" s="170"/>
      <c r="E55" s="142"/>
      <c r="F55" s="172"/>
      <c r="G55" s="168"/>
      <c r="H55" s="142"/>
    </row>
    <row r="56" spans="1:8" ht="13" customHeight="1" x14ac:dyDescent="0.45">
      <c r="A56" s="159"/>
      <c r="B56" s="159">
        <v>1503010</v>
      </c>
      <c r="C56" s="159"/>
      <c r="D56" s="159" t="s">
        <v>109</v>
      </c>
      <c r="E56" s="159"/>
      <c r="F56" s="209"/>
      <c r="G56" s="210"/>
      <c r="H56" s="163"/>
    </row>
    <row r="57" spans="1:8" ht="25.2" x14ac:dyDescent="0.45">
      <c r="A57" s="171" t="s">
        <v>4257</v>
      </c>
      <c r="B57" s="171"/>
      <c r="C57" s="106" t="s">
        <v>583</v>
      </c>
      <c r="D57" s="106" t="s">
        <v>584</v>
      </c>
      <c r="E57" s="166"/>
      <c r="F57" s="171" t="s">
        <v>508</v>
      </c>
      <c r="G57" s="172">
        <v>500</v>
      </c>
      <c r="H57" s="168">
        <f t="shared" ref="H57:H74" si="3">SUM(E57)*G57</f>
        <v>0</v>
      </c>
    </row>
    <row r="58" spans="1:8" ht="50.4" x14ac:dyDescent="0.45">
      <c r="A58" s="171" t="s">
        <v>4258</v>
      </c>
      <c r="B58" s="171"/>
      <c r="C58" s="106" t="s">
        <v>586</v>
      </c>
      <c r="D58" s="106" t="s">
        <v>587</v>
      </c>
      <c r="E58" s="166"/>
      <c r="F58" s="171" t="s">
        <v>508</v>
      </c>
      <c r="G58" s="172">
        <v>500</v>
      </c>
      <c r="H58" s="168">
        <f t="shared" si="3"/>
        <v>0</v>
      </c>
    </row>
    <row r="59" spans="1:8" ht="50.4" x14ac:dyDescent="0.45">
      <c r="A59" s="171" t="s">
        <v>4259</v>
      </c>
      <c r="B59" s="171"/>
      <c r="C59" s="106" t="s">
        <v>589</v>
      </c>
      <c r="D59" s="106" t="s">
        <v>590</v>
      </c>
      <c r="E59" s="166"/>
      <c r="F59" s="171" t="s">
        <v>508</v>
      </c>
      <c r="G59" s="172">
        <v>1000</v>
      </c>
      <c r="H59" s="168">
        <f t="shared" si="3"/>
        <v>0</v>
      </c>
    </row>
    <row r="60" spans="1:8" ht="37.799999999999997" x14ac:dyDescent="0.45">
      <c r="A60" s="171" t="s">
        <v>4260</v>
      </c>
      <c r="B60" s="171"/>
      <c r="C60" s="106" t="s">
        <v>592</v>
      </c>
      <c r="D60" s="106" t="s">
        <v>593</v>
      </c>
      <c r="E60" s="166"/>
      <c r="F60" s="171" t="s">
        <v>508</v>
      </c>
      <c r="G60" s="172">
        <v>1000</v>
      </c>
      <c r="H60" s="168">
        <f t="shared" si="3"/>
        <v>0</v>
      </c>
    </row>
    <row r="61" spans="1:8" ht="75.599999999999994" x14ac:dyDescent="0.45">
      <c r="A61" s="171" t="s">
        <v>4261</v>
      </c>
      <c r="B61" s="171"/>
      <c r="C61" s="106" t="s">
        <v>595</v>
      </c>
      <c r="D61" s="106" t="s">
        <v>596</v>
      </c>
      <c r="E61" s="166"/>
      <c r="F61" s="171" t="s">
        <v>508</v>
      </c>
      <c r="G61" s="172">
        <v>1000</v>
      </c>
      <c r="H61" s="168">
        <f t="shared" si="3"/>
        <v>0</v>
      </c>
    </row>
    <row r="62" spans="1:8" ht="63" x14ac:dyDescent="0.45">
      <c r="A62" s="171" t="s">
        <v>4262</v>
      </c>
      <c r="B62" s="171"/>
      <c r="C62" s="106" t="s">
        <v>598</v>
      </c>
      <c r="D62" s="106" t="s">
        <v>599</v>
      </c>
      <c r="E62" s="166"/>
      <c r="F62" s="171" t="s">
        <v>508</v>
      </c>
      <c r="G62" s="172">
        <v>1000</v>
      </c>
      <c r="H62" s="168">
        <f t="shared" si="3"/>
        <v>0</v>
      </c>
    </row>
    <row r="63" spans="1:8" ht="50.4" x14ac:dyDescent="0.45">
      <c r="A63" s="171" t="s">
        <v>4263</v>
      </c>
      <c r="B63" s="171"/>
      <c r="C63" s="106" t="s">
        <v>601</v>
      </c>
      <c r="D63" s="106" t="s">
        <v>602</v>
      </c>
      <c r="E63" s="166"/>
      <c r="F63" s="171" t="s">
        <v>508</v>
      </c>
      <c r="G63" s="172">
        <v>1000</v>
      </c>
      <c r="H63" s="168">
        <f t="shared" si="3"/>
        <v>0</v>
      </c>
    </row>
    <row r="64" spans="1:8" ht="50.4" x14ac:dyDescent="0.45">
      <c r="A64" s="171" t="s">
        <v>4264</v>
      </c>
      <c r="B64" s="171"/>
      <c r="C64" s="106" t="s">
        <v>604</v>
      </c>
      <c r="D64" s="106" t="s">
        <v>605</v>
      </c>
      <c r="E64" s="166"/>
      <c r="F64" s="171" t="s">
        <v>508</v>
      </c>
      <c r="G64" s="172">
        <v>500</v>
      </c>
      <c r="H64" s="168">
        <f t="shared" si="3"/>
        <v>0</v>
      </c>
    </row>
    <row r="65" spans="1:8" ht="50.4" x14ac:dyDescent="0.45">
      <c r="A65" s="171" t="s">
        <v>4265</v>
      </c>
      <c r="B65" s="171"/>
      <c r="C65" s="106" t="s">
        <v>607</v>
      </c>
      <c r="D65" s="106" t="s">
        <v>608</v>
      </c>
      <c r="E65" s="166"/>
      <c r="F65" s="171" t="s">
        <v>508</v>
      </c>
      <c r="G65" s="172">
        <v>500</v>
      </c>
      <c r="H65" s="168">
        <f t="shared" si="3"/>
        <v>0</v>
      </c>
    </row>
    <row r="66" spans="1:8" ht="25.2" x14ac:dyDescent="0.45">
      <c r="A66" s="171" t="s">
        <v>4266</v>
      </c>
      <c r="B66" s="171"/>
      <c r="C66" s="106" t="s">
        <v>610</v>
      </c>
      <c r="D66" s="106" t="s">
        <v>611</v>
      </c>
      <c r="E66" s="166"/>
      <c r="F66" s="171" t="s">
        <v>508</v>
      </c>
      <c r="G66" s="172">
        <v>500</v>
      </c>
      <c r="H66" s="168">
        <f t="shared" si="3"/>
        <v>0</v>
      </c>
    </row>
    <row r="67" spans="1:8" ht="50.4" x14ac:dyDescent="0.45">
      <c r="A67" s="171" t="s">
        <v>4267</v>
      </c>
      <c r="B67" s="171"/>
      <c r="C67" s="106" t="s">
        <v>613</v>
      </c>
      <c r="D67" s="106" t="s">
        <v>614</v>
      </c>
      <c r="E67" s="166"/>
      <c r="F67" s="171" t="s">
        <v>508</v>
      </c>
      <c r="G67" s="172">
        <v>250</v>
      </c>
      <c r="H67" s="168">
        <f t="shared" si="3"/>
        <v>0</v>
      </c>
    </row>
    <row r="68" spans="1:8" ht="50.4" x14ac:dyDescent="0.45">
      <c r="A68" s="171" t="s">
        <v>4268</v>
      </c>
      <c r="B68" s="171"/>
      <c r="C68" s="106" t="s">
        <v>616</v>
      </c>
      <c r="D68" s="106" t="s">
        <v>617</v>
      </c>
      <c r="E68" s="166"/>
      <c r="F68" s="171" t="s">
        <v>508</v>
      </c>
      <c r="G68" s="172">
        <v>500</v>
      </c>
      <c r="H68" s="168">
        <f t="shared" si="3"/>
        <v>0</v>
      </c>
    </row>
    <row r="69" spans="1:8" ht="50.4" x14ac:dyDescent="0.45">
      <c r="A69" s="171" t="s">
        <v>4269</v>
      </c>
      <c r="B69" s="171"/>
      <c r="C69" s="106" t="s">
        <v>619</v>
      </c>
      <c r="D69" s="106" t="s">
        <v>620</v>
      </c>
      <c r="E69" s="166"/>
      <c r="F69" s="171" t="s">
        <v>508</v>
      </c>
      <c r="G69" s="172">
        <v>1000</v>
      </c>
      <c r="H69" s="168">
        <f t="shared" si="3"/>
        <v>0</v>
      </c>
    </row>
    <row r="70" spans="1:8" ht="25.2" x14ac:dyDescent="0.45">
      <c r="A70" s="171" t="s">
        <v>4270</v>
      </c>
      <c r="B70" s="171"/>
      <c r="C70" s="106" t="s">
        <v>622</v>
      </c>
      <c r="D70" s="106" t="s">
        <v>623</v>
      </c>
      <c r="E70" s="166"/>
      <c r="F70" s="171" t="s">
        <v>508</v>
      </c>
      <c r="G70" s="172">
        <v>3000</v>
      </c>
      <c r="H70" s="168">
        <f t="shared" si="3"/>
        <v>0</v>
      </c>
    </row>
    <row r="71" spans="1:8" ht="37.799999999999997" x14ac:dyDescent="0.45">
      <c r="A71" s="171" t="s">
        <v>4271</v>
      </c>
      <c r="B71" s="171"/>
      <c r="C71" s="106" t="s">
        <v>625</v>
      </c>
      <c r="D71" s="106" t="s">
        <v>626</v>
      </c>
      <c r="E71" s="166"/>
      <c r="F71" s="171" t="s">
        <v>472</v>
      </c>
      <c r="G71" s="172">
        <v>100</v>
      </c>
      <c r="H71" s="168">
        <f t="shared" si="3"/>
        <v>0</v>
      </c>
    </row>
    <row r="72" spans="1:8" ht="37.799999999999997" x14ac:dyDescent="0.45">
      <c r="A72" s="171" t="s">
        <v>4272</v>
      </c>
      <c r="B72" s="171"/>
      <c r="C72" s="106" t="s">
        <v>628</v>
      </c>
      <c r="D72" s="106" t="s">
        <v>629</v>
      </c>
      <c r="E72" s="166"/>
      <c r="F72" s="171" t="s">
        <v>472</v>
      </c>
      <c r="G72" s="172">
        <v>50</v>
      </c>
      <c r="H72" s="168">
        <f t="shared" si="3"/>
        <v>0</v>
      </c>
    </row>
    <row r="73" spans="1:8" ht="63" x14ac:dyDescent="0.45">
      <c r="A73" s="171" t="s">
        <v>4273</v>
      </c>
      <c r="B73" s="171"/>
      <c r="C73" s="106" t="s">
        <v>631</v>
      </c>
      <c r="D73" s="184" t="s">
        <v>632</v>
      </c>
      <c r="E73" s="166"/>
      <c r="F73" s="171" t="s">
        <v>633</v>
      </c>
      <c r="G73" s="172">
        <v>240</v>
      </c>
      <c r="H73" s="168">
        <f t="shared" si="3"/>
        <v>0</v>
      </c>
    </row>
    <row r="74" spans="1:8" s="183" customFormat="1" ht="151.19999999999999" x14ac:dyDescent="0.45">
      <c r="A74" s="185" t="s">
        <v>4274</v>
      </c>
      <c r="B74" s="185"/>
      <c r="C74" s="216" t="s">
        <v>635</v>
      </c>
      <c r="D74" s="216" t="s">
        <v>636</v>
      </c>
      <c r="E74" s="166"/>
      <c r="F74" s="185" t="s">
        <v>472</v>
      </c>
      <c r="G74" s="172">
        <v>6</v>
      </c>
      <c r="H74" s="168">
        <f t="shared" si="3"/>
        <v>0</v>
      </c>
    </row>
    <row r="75" spans="1:8" x14ac:dyDescent="0.45">
      <c r="A75" s="118" t="s">
        <v>4275</v>
      </c>
      <c r="B75" s="184" t="s">
        <v>180</v>
      </c>
      <c r="C75" s="120"/>
      <c r="D75" s="170"/>
      <c r="E75" s="142"/>
      <c r="F75" s="172"/>
      <c r="G75" s="168"/>
      <c r="H75" s="142"/>
    </row>
    <row r="76" spans="1:8" ht="13" customHeight="1" x14ac:dyDescent="0.45">
      <c r="A76" s="159"/>
      <c r="B76" s="159">
        <v>1503020</v>
      </c>
      <c r="C76" s="159"/>
      <c r="D76" s="159" t="s">
        <v>638</v>
      </c>
      <c r="E76" s="159"/>
      <c r="F76" s="159"/>
      <c r="G76" s="210"/>
      <c r="H76" s="163"/>
    </row>
    <row r="77" spans="1:8" ht="37.799999999999997" x14ac:dyDescent="0.45">
      <c r="A77" s="171" t="s">
        <v>4276</v>
      </c>
      <c r="B77" s="171"/>
      <c r="C77" s="106" t="s">
        <v>640</v>
      </c>
      <c r="D77" s="106" t="s">
        <v>641</v>
      </c>
      <c r="E77" s="166"/>
      <c r="F77" s="171" t="s">
        <v>472</v>
      </c>
      <c r="G77" s="172">
        <v>16</v>
      </c>
      <c r="H77" s="168">
        <f t="shared" ref="H77:H89" si="4">SUM(E77)*G77</f>
        <v>0</v>
      </c>
    </row>
    <row r="78" spans="1:8" ht="63" x14ac:dyDescent="0.45">
      <c r="A78" s="171" t="s">
        <v>4277</v>
      </c>
      <c r="B78" s="171"/>
      <c r="C78" s="106" t="s">
        <v>643</v>
      </c>
      <c r="D78" s="106" t="s">
        <v>644</v>
      </c>
      <c r="E78" s="166"/>
      <c r="F78" s="171" t="s">
        <v>645</v>
      </c>
      <c r="G78" s="172">
        <v>16</v>
      </c>
      <c r="H78" s="168">
        <f t="shared" si="4"/>
        <v>0</v>
      </c>
    </row>
    <row r="79" spans="1:8" ht="37.799999999999997" x14ac:dyDescent="0.45">
      <c r="A79" s="171" t="s">
        <v>4278</v>
      </c>
      <c r="B79" s="171"/>
      <c r="C79" s="106" t="s">
        <v>647</v>
      </c>
      <c r="D79" s="106" t="s">
        <v>648</v>
      </c>
      <c r="E79" s="166"/>
      <c r="F79" s="171" t="s">
        <v>472</v>
      </c>
      <c r="G79" s="172">
        <v>16</v>
      </c>
      <c r="H79" s="168">
        <f t="shared" si="4"/>
        <v>0</v>
      </c>
    </row>
    <row r="80" spans="1:8" ht="37.799999999999997" x14ac:dyDescent="0.45">
      <c r="A80" s="171" t="s">
        <v>4279</v>
      </c>
      <c r="B80" s="171"/>
      <c r="C80" s="106" t="s">
        <v>650</v>
      </c>
      <c r="D80" s="106" t="s">
        <v>651</v>
      </c>
      <c r="E80" s="166"/>
      <c r="F80" s="171" t="s">
        <v>472</v>
      </c>
      <c r="G80" s="172">
        <v>16</v>
      </c>
      <c r="H80" s="168">
        <f t="shared" si="4"/>
        <v>0</v>
      </c>
    </row>
    <row r="81" spans="1:10" ht="63" x14ac:dyDescent="0.45">
      <c r="A81" s="171" t="s">
        <v>4280</v>
      </c>
      <c r="B81" s="171"/>
      <c r="C81" s="106" t="s">
        <v>653</v>
      </c>
      <c r="D81" s="106" t="s">
        <v>654</v>
      </c>
      <c r="E81" s="166"/>
      <c r="F81" s="171" t="s">
        <v>472</v>
      </c>
      <c r="G81" s="172">
        <v>70</v>
      </c>
      <c r="H81" s="168">
        <f t="shared" si="4"/>
        <v>0</v>
      </c>
    </row>
    <row r="82" spans="1:10" ht="50.4" x14ac:dyDescent="0.45">
      <c r="A82" s="171" t="s">
        <v>4281</v>
      </c>
      <c r="B82" s="171"/>
      <c r="C82" s="106" t="s">
        <v>656</v>
      </c>
      <c r="D82" s="106" t="s">
        <v>657</v>
      </c>
      <c r="E82" s="166"/>
      <c r="F82" s="171" t="s">
        <v>472</v>
      </c>
      <c r="G82" s="172">
        <v>30</v>
      </c>
      <c r="H82" s="168">
        <f t="shared" si="4"/>
        <v>0</v>
      </c>
    </row>
    <row r="83" spans="1:10" ht="75.599999999999994" x14ac:dyDescent="0.45">
      <c r="A83" s="171" t="s">
        <v>4282</v>
      </c>
      <c r="B83" s="171"/>
      <c r="C83" s="106" t="s">
        <v>659</v>
      </c>
      <c r="D83" s="106" t="s">
        <v>660</v>
      </c>
      <c r="E83" s="166"/>
      <c r="F83" s="171" t="s">
        <v>472</v>
      </c>
      <c r="G83" s="172">
        <v>175</v>
      </c>
      <c r="H83" s="168">
        <f t="shared" si="4"/>
        <v>0</v>
      </c>
    </row>
    <row r="84" spans="1:10" ht="50.4" x14ac:dyDescent="0.45">
      <c r="A84" s="171" t="s">
        <v>4283</v>
      </c>
      <c r="B84" s="171"/>
      <c r="C84" s="184" t="s">
        <v>662</v>
      </c>
      <c r="D84" s="184" t="s">
        <v>663</v>
      </c>
      <c r="E84" s="166"/>
      <c r="F84" s="171" t="s">
        <v>472</v>
      </c>
      <c r="G84" s="172">
        <v>50</v>
      </c>
      <c r="H84" s="168">
        <f t="shared" si="4"/>
        <v>0</v>
      </c>
    </row>
    <row r="85" spans="1:10" ht="37.799999999999997" x14ac:dyDescent="0.45">
      <c r="A85" s="171" t="s">
        <v>4284</v>
      </c>
      <c r="B85" s="171"/>
      <c r="C85" s="184" t="s">
        <v>665</v>
      </c>
      <c r="D85" s="184" t="s">
        <v>666</v>
      </c>
      <c r="E85" s="166"/>
      <c r="F85" s="171" t="s">
        <v>508</v>
      </c>
      <c r="G85" s="172">
        <v>300</v>
      </c>
      <c r="H85" s="168">
        <f t="shared" si="4"/>
        <v>0</v>
      </c>
    </row>
    <row r="86" spans="1:10" ht="126" x14ac:dyDescent="0.45">
      <c r="A86" s="171" t="s">
        <v>4285</v>
      </c>
      <c r="B86" s="171"/>
      <c r="C86" s="184" t="s">
        <v>668</v>
      </c>
      <c r="D86" s="106" t="s">
        <v>669</v>
      </c>
      <c r="E86" s="166"/>
      <c r="F86" s="171" t="s">
        <v>508</v>
      </c>
      <c r="G86" s="172">
        <v>3500</v>
      </c>
      <c r="H86" s="168">
        <f t="shared" si="4"/>
        <v>0</v>
      </c>
    </row>
    <row r="87" spans="1:10" ht="37.799999999999997" x14ac:dyDescent="0.45">
      <c r="A87" s="171" t="s">
        <v>4286</v>
      </c>
      <c r="B87" s="171"/>
      <c r="C87" s="186" t="s">
        <v>671</v>
      </c>
      <c r="D87" s="186" t="s">
        <v>672</v>
      </c>
      <c r="E87" s="166"/>
      <c r="F87" s="171" t="s">
        <v>472</v>
      </c>
      <c r="G87" s="172">
        <v>20</v>
      </c>
      <c r="H87" s="168">
        <f t="shared" si="4"/>
        <v>0</v>
      </c>
    </row>
    <row r="88" spans="1:10" ht="37.799999999999997" x14ac:dyDescent="0.45">
      <c r="A88" s="171" t="s">
        <v>4287</v>
      </c>
      <c r="B88" s="171"/>
      <c r="C88" s="349" t="s">
        <v>5044</v>
      </c>
      <c r="D88" s="186" t="s">
        <v>1377</v>
      </c>
      <c r="E88" s="166"/>
      <c r="F88" s="171" t="s">
        <v>472</v>
      </c>
      <c r="G88" s="172">
        <v>20</v>
      </c>
      <c r="H88" s="168">
        <f t="shared" si="4"/>
        <v>0</v>
      </c>
    </row>
    <row r="89" spans="1:10" ht="302.39999999999998" x14ac:dyDescent="0.45">
      <c r="A89" s="171" t="s">
        <v>4288</v>
      </c>
      <c r="B89" s="171"/>
      <c r="C89" s="106" t="s">
        <v>675</v>
      </c>
      <c r="D89" s="106" t="s">
        <v>676</v>
      </c>
      <c r="E89" s="166"/>
      <c r="F89" s="171" t="s">
        <v>472</v>
      </c>
      <c r="G89" s="172">
        <v>15</v>
      </c>
      <c r="H89" s="168">
        <f t="shared" si="4"/>
        <v>0</v>
      </c>
      <c r="I89" s="169"/>
    </row>
    <row r="90" spans="1:10" x14ac:dyDescent="0.45">
      <c r="A90" s="118" t="s">
        <v>4289</v>
      </c>
      <c r="B90" s="184" t="s">
        <v>180</v>
      </c>
      <c r="D90" s="120"/>
      <c r="E90" s="142"/>
      <c r="F90" s="171"/>
      <c r="G90" s="172"/>
      <c r="H90" s="220"/>
    </row>
    <row r="91" spans="1:10" ht="13" customHeight="1" x14ac:dyDescent="0.45">
      <c r="A91" s="159"/>
      <c r="B91" s="159">
        <v>1503030</v>
      </c>
      <c r="C91" s="159"/>
      <c r="D91" s="159" t="s">
        <v>678</v>
      </c>
      <c r="E91" s="159"/>
      <c r="F91" s="209"/>
      <c r="G91" s="210"/>
      <c r="H91" s="163"/>
    </row>
    <row r="92" spans="1:10" ht="75.599999999999994" x14ac:dyDescent="0.45">
      <c r="A92" s="171" t="s">
        <v>4290</v>
      </c>
      <c r="B92" s="171"/>
      <c r="C92" s="106" t="s">
        <v>680</v>
      </c>
      <c r="D92" s="106" t="s">
        <v>681</v>
      </c>
      <c r="E92" s="166"/>
      <c r="F92" s="171" t="s">
        <v>682</v>
      </c>
      <c r="G92" s="171">
        <v>10</v>
      </c>
      <c r="H92" s="168">
        <f t="shared" ref="H92:H112" si="5">SUM(E92)*G92</f>
        <v>0</v>
      </c>
      <c r="I92" s="169"/>
    </row>
    <row r="93" spans="1:10" ht="75.599999999999994" x14ac:dyDescent="0.45">
      <c r="A93" s="171" t="s">
        <v>4291</v>
      </c>
      <c r="B93" s="171"/>
      <c r="C93" s="106" t="s">
        <v>684</v>
      </c>
      <c r="D93" s="106" t="s">
        <v>685</v>
      </c>
      <c r="E93" s="166"/>
      <c r="F93" s="171" t="s">
        <v>472</v>
      </c>
      <c r="G93" s="171">
        <v>5</v>
      </c>
      <c r="H93" s="168">
        <f t="shared" si="5"/>
        <v>0</v>
      </c>
      <c r="I93" s="169"/>
    </row>
    <row r="94" spans="1:10" ht="75.599999999999994" x14ac:dyDescent="0.45">
      <c r="A94" s="171" t="s">
        <v>4292</v>
      </c>
      <c r="B94" s="171"/>
      <c r="C94" s="106" t="s">
        <v>687</v>
      </c>
      <c r="D94" s="106" t="s">
        <v>688</v>
      </c>
      <c r="E94" s="166"/>
      <c r="F94" s="171" t="s">
        <v>472</v>
      </c>
      <c r="G94" s="171">
        <v>5</v>
      </c>
      <c r="H94" s="168">
        <f t="shared" si="5"/>
        <v>0</v>
      </c>
      <c r="I94" s="169"/>
      <c r="J94" s="187"/>
    </row>
    <row r="95" spans="1:10" ht="75.599999999999994" x14ac:dyDescent="0.45">
      <c r="A95" s="171" t="s">
        <v>4293</v>
      </c>
      <c r="B95" s="171"/>
      <c r="C95" s="106" t="s">
        <v>690</v>
      </c>
      <c r="D95" s="106" t="s">
        <v>691</v>
      </c>
      <c r="E95" s="166"/>
      <c r="F95" s="367" t="s">
        <v>472</v>
      </c>
      <c r="G95" s="171">
        <v>10</v>
      </c>
      <c r="H95" s="168">
        <f t="shared" si="5"/>
        <v>0</v>
      </c>
      <c r="I95" s="169"/>
      <c r="J95" s="187"/>
    </row>
    <row r="96" spans="1:10" ht="75.599999999999994" x14ac:dyDescent="0.45">
      <c r="A96" s="171" t="s">
        <v>4294</v>
      </c>
      <c r="B96" s="171"/>
      <c r="C96" s="106" t="s">
        <v>693</v>
      </c>
      <c r="D96" s="106" t="s">
        <v>694</v>
      </c>
      <c r="E96" s="166"/>
      <c r="F96" s="367" t="s">
        <v>472</v>
      </c>
      <c r="G96" s="171">
        <v>5</v>
      </c>
      <c r="H96" s="168">
        <f t="shared" si="5"/>
        <v>0</v>
      </c>
      <c r="I96" s="169"/>
      <c r="J96" s="187"/>
    </row>
    <row r="97" spans="1:9" ht="75.599999999999994" x14ac:dyDescent="0.45">
      <c r="A97" s="171" t="s">
        <v>4295</v>
      </c>
      <c r="B97" s="171"/>
      <c r="C97" s="106" t="s">
        <v>696</v>
      </c>
      <c r="D97" s="106" t="s">
        <v>697</v>
      </c>
      <c r="E97" s="166"/>
      <c r="F97" s="367" t="s">
        <v>472</v>
      </c>
      <c r="G97" s="171">
        <v>5</v>
      </c>
      <c r="H97" s="168">
        <f t="shared" si="5"/>
        <v>0</v>
      </c>
      <c r="I97" s="169"/>
    </row>
    <row r="98" spans="1:9" ht="75.599999999999994" x14ac:dyDescent="0.45">
      <c r="A98" s="171" t="s">
        <v>4296</v>
      </c>
      <c r="B98" s="171"/>
      <c r="C98" s="106" t="s">
        <v>699</v>
      </c>
      <c r="D98" s="106" t="s">
        <v>700</v>
      </c>
      <c r="E98" s="166"/>
      <c r="F98" s="367" t="s">
        <v>472</v>
      </c>
      <c r="G98" s="171">
        <v>5</v>
      </c>
      <c r="H98" s="168">
        <f t="shared" si="5"/>
        <v>0</v>
      </c>
      <c r="I98" s="169"/>
    </row>
    <row r="99" spans="1:9" ht="88.2" x14ac:dyDescent="0.45">
      <c r="A99" s="171" t="s">
        <v>4297</v>
      </c>
      <c r="B99" s="171"/>
      <c r="C99" s="106" t="s">
        <v>702</v>
      </c>
      <c r="D99" s="106" t="s">
        <v>703</v>
      </c>
      <c r="E99" s="166"/>
      <c r="F99" s="367" t="s">
        <v>472</v>
      </c>
      <c r="G99" s="171">
        <v>5</v>
      </c>
      <c r="H99" s="168">
        <f t="shared" si="5"/>
        <v>0</v>
      </c>
      <c r="I99" s="169"/>
    </row>
    <row r="100" spans="1:9" ht="88.2" x14ac:dyDescent="0.45">
      <c r="A100" s="171" t="s">
        <v>4298</v>
      </c>
      <c r="B100" s="171"/>
      <c r="C100" s="106" t="s">
        <v>705</v>
      </c>
      <c r="D100" s="106" t="s">
        <v>706</v>
      </c>
      <c r="E100" s="166"/>
      <c r="F100" s="367" t="s">
        <v>472</v>
      </c>
      <c r="G100" s="171">
        <v>5</v>
      </c>
      <c r="H100" s="168">
        <f t="shared" si="5"/>
        <v>0</v>
      </c>
      <c r="I100" s="169"/>
    </row>
    <row r="101" spans="1:9" ht="75.599999999999994" x14ac:dyDescent="0.45">
      <c r="A101" s="171" t="s">
        <v>4299</v>
      </c>
      <c r="B101" s="171"/>
      <c r="C101" s="106" t="s">
        <v>708</v>
      </c>
      <c r="D101" s="106" t="s">
        <v>709</v>
      </c>
      <c r="E101" s="166"/>
      <c r="F101" s="367" t="s">
        <v>472</v>
      </c>
      <c r="G101" s="171">
        <v>5</v>
      </c>
      <c r="H101" s="168">
        <f t="shared" si="5"/>
        <v>0</v>
      </c>
      <c r="I101" s="169"/>
    </row>
    <row r="102" spans="1:9" ht="75.599999999999994" x14ac:dyDescent="0.45">
      <c r="A102" s="171" t="s">
        <v>4300</v>
      </c>
      <c r="B102" s="171"/>
      <c r="C102" s="106" t="s">
        <v>711</v>
      </c>
      <c r="D102" s="106" t="s">
        <v>712</v>
      </c>
      <c r="E102" s="166"/>
      <c r="F102" s="367" t="s">
        <v>472</v>
      </c>
      <c r="G102" s="171">
        <v>5</v>
      </c>
      <c r="H102" s="168">
        <f t="shared" si="5"/>
        <v>0</v>
      </c>
      <c r="I102" s="169"/>
    </row>
    <row r="103" spans="1:9" ht="75.599999999999994" x14ac:dyDescent="0.45">
      <c r="A103" s="171" t="s">
        <v>4301</v>
      </c>
      <c r="B103" s="171"/>
      <c r="C103" s="106" t="s">
        <v>714</v>
      </c>
      <c r="D103" s="106" t="s">
        <v>715</v>
      </c>
      <c r="E103" s="166"/>
      <c r="F103" s="367" t="s">
        <v>472</v>
      </c>
      <c r="G103" s="171">
        <v>5</v>
      </c>
      <c r="H103" s="168">
        <f t="shared" si="5"/>
        <v>0</v>
      </c>
      <c r="I103" s="169"/>
    </row>
    <row r="104" spans="1:9" ht="75.599999999999994" x14ac:dyDescent="0.45">
      <c r="A104" s="171" t="s">
        <v>4302</v>
      </c>
      <c r="B104" s="171"/>
      <c r="C104" s="106" t="s">
        <v>717</v>
      </c>
      <c r="D104" s="106" t="s">
        <v>718</v>
      </c>
      <c r="E104" s="166"/>
      <c r="F104" s="367" t="s">
        <v>472</v>
      </c>
      <c r="G104" s="171">
        <v>5</v>
      </c>
      <c r="H104" s="168">
        <f t="shared" si="5"/>
        <v>0</v>
      </c>
      <c r="I104" s="169"/>
    </row>
    <row r="105" spans="1:9" ht="50.4" x14ac:dyDescent="0.45">
      <c r="A105" s="171" t="s">
        <v>4303</v>
      </c>
      <c r="B105" s="171"/>
      <c r="C105" s="106" t="s">
        <v>720</v>
      </c>
      <c r="D105" s="106" t="s">
        <v>721</v>
      </c>
      <c r="E105" s="166"/>
      <c r="F105" s="367" t="s">
        <v>472</v>
      </c>
      <c r="G105" s="188">
        <v>5</v>
      </c>
      <c r="H105" s="168">
        <f t="shared" si="5"/>
        <v>0</v>
      </c>
    </row>
    <row r="106" spans="1:9" ht="63" x14ac:dyDescent="0.45">
      <c r="A106" s="171" t="s">
        <v>4304</v>
      </c>
      <c r="B106" s="171"/>
      <c r="C106" s="106" t="s">
        <v>723</v>
      </c>
      <c r="D106" s="106" t="s">
        <v>724</v>
      </c>
      <c r="E106" s="166"/>
      <c r="F106" s="171" t="s">
        <v>472</v>
      </c>
      <c r="G106" s="171">
        <v>5</v>
      </c>
      <c r="H106" s="168">
        <f t="shared" si="5"/>
        <v>0</v>
      </c>
    </row>
    <row r="107" spans="1:9" ht="63" x14ac:dyDescent="0.45">
      <c r="A107" s="171" t="s">
        <v>4305</v>
      </c>
      <c r="B107" s="171"/>
      <c r="C107" s="106" t="s">
        <v>726</v>
      </c>
      <c r="D107" s="106" t="s">
        <v>727</v>
      </c>
      <c r="E107" s="166"/>
      <c r="F107" s="171" t="s">
        <v>472</v>
      </c>
      <c r="G107" s="171">
        <v>5</v>
      </c>
      <c r="H107" s="168">
        <f t="shared" si="5"/>
        <v>0</v>
      </c>
    </row>
    <row r="108" spans="1:9" ht="50.4" x14ac:dyDescent="0.45">
      <c r="A108" s="171" t="s">
        <v>4306</v>
      </c>
      <c r="B108" s="171"/>
      <c r="C108" s="106" t="s">
        <v>729</v>
      </c>
      <c r="D108" s="189" t="s">
        <v>730</v>
      </c>
      <c r="E108" s="166"/>
      <c r="F108" s="171" t="s">
        <v>472</v>
      </c>
      <c r="G108" s="171">
        <v>5</v>
      </c>
      <c r="H108" s="168">
        <f t="shared" si="5"/>
        <v>0</v>
      </c>
    </row>
    <row r="109" spans="1:9" ht="50.4" x14ac:dyDescent="0.45">
      <c r="A109" s="171" t="s">
        <v>4307</v>
      </c>
      <c r="B109" s="171"/>
      <c r="C109" s="106" t="s">
        <v>732</v>
      </c>
      <c r="D109" s="189" t="s">
        <v>733</v>
      </c>
      <c r="E109" s="166"/>
      <c r="F109" s="171" t="s">
        <v>472</v>
      </c>
      <c r="G109" s="171">
        <v>5</v>
      </c>
      <c r="H109" s="168">
        <f t="shared" si="5"/>
        <v>0</v>
      </c>
    </row>
    <row r="110" spans="1:9" ht="50.4" x14ac:dyDescent="0.45">
      <c r="A110" s="171" t="s">
        <v>4308</v>
      </c>
      <c r="B110" s="171"/>
      <c r="C110" s="106" t="s">
        <v>735</v>
      </c>
      <c r="D110" s="189" t="s">
        <v>736</v>
      </c>
      <c r="E110" s="166"/>
      <c r="F110" s="171" t="s">
        <v>472</v>
      </c>
      <c r="G110" s="171">
        <v>10</v>
      </c>
      <c r="H110" s="168">
        <f t="shared" si="5"/>
        <v>0</v>
      </c>
    </row>
    <row r="111" spans="1:9" ht="63" x14ac:dyDescent="0.45">
      <c r="A111" s="171" t="s">
        <v>4309</v>
      </c>
      <c r="B111" s="171"/>
      <c r="C111" s="106" t="s">
        <v>738</v>
      </c>
      <c r="D111" s="189" t="s">
        <v>739</v>
      </c>
      <c r="E111" s="166"/>
      <c r="F111" s="171" t="s">
        <v>472</v>
      </c>
      <c r="G111" s="171">
        <v>5</v>
      </c>
      <c r="H111" s="168">
        <f t="shared" si="5"/>
        <v>0</v>
      </c>
    </row>
    <row r="112" spans="1:9" s="183" customFormat="1" ht="63" x14ac:dyDescent="0.45">
      <c r="A112" s="185" t="s">
        <v>4310</v>
      </c>
      <c r="B112" s="185"/>
      <c r="C112" s="216" t="s">
        <v>741</v>
      </c>
      <c r="D112" s="216" t="s">
        <v>742</v>
      </c>
      <c r="E112" s="166"/>
      <c r="F112" s="185" t="s">
        <v>472</v>
      </c>
      <c r="G112" s="217">
        <v>20</v>
      </c>
      <c r="H112" s="168">
        <f t="shared" si="5"/>
        <v>0</v>
      </c>
    </row>
    <row r="113" spans="1:8" x14ac:dyDescent="0.45">
      <c r="A113" s="118" t="s">
        <v>4311</v>
      </c>
      <c r="B113" s="184" t="s">
        <v>180</v>
      </c>
      <c r="C113" s="120"/>
      <c r="D113" s="170"/>
      <c r="E113" s="142"/>
      <c r="F113" s="172"/>
      <c r="G113" s="168"/>
      <c r="H113" s="142"/>
    </row>
    <row r="114" spans="1:8" ht="13" customHeight="1" x14ac:dyDescent="0.45">
      <c r="A114" s="159"/>
      <c r="B114" s="159">
        <v>1503050</v>
      </c>
      <c r="C114" s="159"/>
      <c r="D114" s="159" t="s">
        <v>127</v>
      </c>
      <c r="E114" s="159"/>
      <c r="F114" s="209"/>
      <c r="G114" s="210"/>
      <c r="H114" s="163"/>
    </row>
    <row r="115" spans="1:8" ht="88.2" x14ac:dyDescent="0.45">
      <c r="A115" s="118" t="s">
        <v>4312</v>
      </c>
      <c r="B115" s="118"/>
      <c r="C115" s="184" t="s">
        <v>745</v>
      </c>
      <c r="D115" s="120" t="s">
        <v>746</v>
      </c>
      <c r="E115" s="166"/>
      <c r="F115" s="171" t="s">
        <v>508</v>
      </c>
      <c r="G115" s="172">
        <v>10000</v>
      </c>
      <c r="H115" s="168">
        <f t="shared" ref="H115:H134" si="6">SUM(E115)*G115</f>
        <v>0</v>
      </c>
    </row>
    <row r="116" spans="1:8" ht="63" x14ac:dyDescent="0.45">
      <c r="A116" s="171" t="s">
        <v>4313</v>
      </c>
      <c r="B116" s="171"/>
      <c r="C116" s="106" t="s">
        <v>748</v>
      </c>
      <c r="D116" s="106" t="s">
        <v>749</v>
      </c>
      <c r="E116" s="166"/>
      <c r="F116" s="171" t="s">
        <v>750</v>
      </c>
      <c r="G116" s="172">
        <v>3000</v>
      </c>
      <c r="H116" s="168">
        <f t="shared" si="6"/>
        <v>0</v>
      </c>
    </row>
    <row r="117" spans="1:8" ht="37.799999999999997" x14ac:dyDescent="0.45">
      <c r="A117" s="171" t="s">
        <v>4314</v>
      </c>
      <c r="B117" s="171"/>
      <c r="C117" s="106" t="s">
        <v>752</v>
      </c>
      <c r="D117" s="106" t="s">
        <v>753</v>
      </c>
      <c r="E117" s="166"/>
      <c r="F117" s="171" t="s">
        <v>508</v>
      </c>
      <c r="G117" s="172">
        <v>10000</v>
      </c>
      <c r="H117" s="168">
        <f t="shared" si="6"/>
        <v>0</v>
      </c>
    </row>
    <row r="118" spans="1:8" ht="63" x14ac:dyDescent="0.45">
      <c r="A118" s="171" t="s">
        <v>4315</v>
      </c>
      <c r="B118" s="171"/>
      <c r="C118" s="106" t="s">
        <v>755</v>
      </c>
      <c r="D118" s="106" t="s">
        <v>756</v>
      </c>
      <c r="E118" s="166"/>
      <c r="F118" s="171" t="s">
        <v>508</v>
      </c>
      <c r="G118" s="172">
        <v>10000</v>
      </c>
      <c r="H118" s="168">
        <f t="shared" si="6"/>
        <v>0</v>
      </c>
    </row>
    <row r="119" spans="1:8" ht="88.2" x14ac:dyDescent="0.45">
      <c r="A119" s="171" t="s">
        <v>4316</v>
      </c>
      <c r="B119" s="171"/>
      <c r="C119" s="106" t="s">
        <v>758</v>
      </c>
      <c r="D119" s="106" t="s">
        <v>759</v>
      </c>
      <c r="E119" s="166"/>
      <c r="F119" s="171" t="s">
        <v>472</v>
      </c>
      <c r="G119" s="172">
        <v>150</v>
      </c>
      <c r="H119" s="168">
        <f t="shared" si="6"/>
        <v>0</v>
      </c>
    </row>
    <row r="120" spans="1:8" ht="88.2" x14ac:dyDescent="0.45">
      <c r="A120" s="171" t="s">
        <v>4317</v>
      </c>
      <c r="B120" s="171"/>
      <c r="C120" s="106" t="s">
        <v>761</v>
      </c>
      <c r="D120" s="106" t="s">
        <v>759</v>
      </c>
      <c r="E120" s="166"/>
      <c r="F120" s="171" t="s">
        <v>750</v>
      </c>
      <c r="G120" s="172">
        <v>2000</v>
      </c>
      <c r="H120" s="168">
        <f t="shared" si="6"/>
        <v>0</v>
      </c>
    </row>
    <row r="121" spans="1:8" ht="151.19999999999999" x14ac:dyDescent="0.45">
      <c r="A121" s="171" t="s">
        <v>4318</v>
      </c>
      <c r="B121" s="171"/>
      <c r="C121" s="106" t="s">
        <v>763</v>
      </c>
      <c r="D121" s="106" t="s">
        <v>764</v>
      </c>
      <c r="E121" s="166"/>
      <c r="F121" s="171" t="s">
        <v>472</v>
      </c>
      <c r="G121" s="171">
        <v>150</v>
      </c>
      <c r="H121" s="168">
        <f t="shared" si="6"/>
        <v>0</v>
      </c>
    </row>
    <row r="122" spans="1:8" ht="151.19999999999999" x14ac:dyDescent="0.45">
      <c r="A122" s="171" t="s">
        <v>4319</v>
      </c>
      <c r="B122" s="171"/>
      <c r="C122" s="106" t="s">
        <v>766</v>
      </c>
      <c r="D122" s="106" t="s">
        <v>764</v>
      </c>
      <c r="E122" s="166"/>
      <c r="F122" s="171" t="s">
        <v>472</v>
      </c>
      <c r="G122" s="171">
        <v>150</v>
      </c>
      <c r="H122" s="168">
        <f t="shared" si="6"/>
        <v>0</v>
      </c>
    </row>
    <row r="123" spans="1:8" ht="63" x14ac:dyDescent="0.45">
      <c r="A123" s="171" t="s">
        <v>4320</v>
      </c>
      <c r="B123" s="171"/>
      <c r="C123" s="106" t="s">
        <v>768</v>
      </c>
      <c r="D123" s="106" t="s">
        <v>769</v>
      </c>
      <c r="E123" s="166"/>
      <c r="F123" s="171" t="s">
        <v>472</v>
      </c>
      <c r="G123" s="171">
        <v>25</v>
      </c>
      <c r="H123" s="168">
        <f t="shared" si="6"/>
        <v>0</v>
      </c>
    </row>
    <row r="124" spans="1:8" ht="63" x14ac:dyDescent="0.45">
      <c r="A124" s="171" t="s">
        <v>4321</v>
      </c>
      <c r="B124" s="171"/>
      <c r="C124" s="106" t="s">
        <v>771</v>
      </c>
      <c r="D124" s="106" t="s">
        <v>772</v>
      </c>
      <c r="E124" s="166"/>
      <c r="F124" s="171" t="s">
        <v>472</v>
      </c>
      <c r="G124" s="171">
        <v>50</v>
      </c>
      <c r="H124" s="168">
        <f t="shared" si="6"/>
        <v>0</v>
      </c>
    </row>
    <row r="125" spans="1:8" ht="63" x14ac:dyDescent="0.45">
      <c r="A125" s="171" t="s">
        <v>4322</v>
      </c>
      <c r="B125" s="171"/>
      <c r="C125" s="106" t="s">
        <v>774</v>
      </c>
      <c r="D125" s="106" t="s">
        <v>772</v>
      </c>
      <c r="E125" s="166"/>
      <c r="F125" s="171" t="s">
        <v>472</v>
      </c>
      <c r="G125" s="171">
        <v>50</v>
      </c>
      <c r="H125" s="168">
        <f t="shared" si="6"/>
        <v>0</v>
      </c>
    </row>
    <row r="126" spans="1:8" ht="50.4" x14ac:dyDescent="0.45">
      <c r="A126" s="171" t="s">
        <v>4323</v>
      </c>
      <c r="B126" s="171"/>
      <c r="C126" s="106" t="s">
        <v>776</v>
      </c>
      <c r="D126" s="106" t="s">
        <v>777</v>
      </c>
      <c r="E126" s="166"/>
      <c r="F126" s="171" t="s">
        <v>472</v>
      </c>
      <c r="G126" s="171">
        <v>100</v>
      </c>
      <c r="H126" s="168">
        <f t="shared" si="6"/>
        <v>0</v>
      </c>
    </row>
    <row r="127" spans="1:8" ht="113.4" x14ac:dyDescent="0.45">
      <c r="A127" s="171" t="s">
        <v>4324</v>
      </c>
      <c r="B127" s="171"/>
      <c r="C127" s="106" t="s">
        <v>779</v>
      </c>
      <c r="D127" s="106" t="s">
        <v>780</v>
      </c>
      <c r="E127" s="166"/>
      <c r="F127" s="171" t="s">
        <v>472</v>
      </c>
      <c r="G127" s="171">
        <v>150</v>
      </c>
      <c r="H127" s="168">
        <f t="shared" si="6"/>
        <v>0</v>
      </c>
    </row>
    <row r="128" spans="1:8" ht="113.4" x14ac:dyDescent="0.45">
      <c r="A128" s="171" t="s">
        <v>4325</v>
      </c>
      <c r="B128" s="171"/>
      <c r="C128" s="106" t="s">
        <v>782</v>
      </c>
      <c r="D128" s="106" t="s">
        <v>783</v>
      </c>
      <c r="E128" s="166"/>
      <c r="F128" s="171" t="s">
        <v>472</v>
      </c>
      <c r="G128" s="171">
        <v>150</v>
      </c>
      <c r="H128" s="168">
        <f t="shared" si="6"/>
        <v>0</v>
      </c>
    </row>
    <row r="129" spans="1:8" ht="100.8" x14ac:dyDescent="0.45">
      <c r="A129" s="171" t="s">
        <v>4326</v>
      </c>
      <c r="B129" s="171"/>
      <c r="C129" s="106" t="s">
        <v>785</v>
      </c>
      <c r="D129" s="106" t="s">
        <v>786</v>
      </c>
      <c r="E129" s="166"/>
      <c r="F129" s="171" t="s">
        <v>472</v>
      </c>
      <c r="G129" s="171">
        <v>150</v>
      </c>
      <c r="H129" s="168">
        <f t="shared" si="6"/>
        <v>0</v>
      </c>
    </row>
    <row r="130" spans="1:8" ht="75.599999999999994" x14ac:dyDescent="0.45">
      <c r="A130" s="171" t="s">
        <v>4327</v>
      </c>
      <c r="B130" s="171"/>
      <c r="C130" s="106" t="s">
        <v>788</v>
      </c>
      <c r="D130" s="106" t="s">
        <v>789</v>
      </c>
      <c r="E130" s="166"/>
      <c r="F130" s="171" t="s">
        <v>508</v>
      </c>
      <c r="G130" s="171">
        <v>5000</v>
      </c>
      <c r="H130" s="168">
        <f t="shared" si="6"/>
        <v>0</v>
      </c>
    </row>
    <row r="131" spans="1:8" ht="88.2" x14ac:dyDescent="0.45">
      <c r="A131" s="171" t="s">
        <v>4328</v>
      </c>
      <c r="B131" s="171"/>
      <c r="C131" s="106" t="s">
        <v>791</v>
      </c>
      <c r="D131" s="106" t="s">
        <v>792</v>
      </c>
      <c r="E131" s="166"/>
      <c r="F131" s="171" t="s">
        <v>508</v>
      </c>
      <c r="G131" s="171">
        <v>1750</v>
      </c>
      <c r="H131" s="168">
        <f t="shared" si="6"/>
        <v>0</v>
      </c>
    </row>
    <row r="132" spans="1:8" ht="75.599999999999994" x14ac:dyDescent="0.45">
      <c r="A132" s="171" t="s">
        <v>4329</v>
      </c>
      <c r="B132" s="171"/>
      <c r="C132" s="106" t="s">
        <v>794</v>
      </c>
      <c r="D132" s="106" t="s">
        <v>795</v>
      </c>
      <c r="E132" s="166"/>
      <c r="F132" s="171" t="s">
        <v>508</v>
      </c>
      <c r="G132" s="171">
        <v>6000</v>
      </c>
      <c r="H132" s="168">
        <f t="shared" si="6"/>
        <v>0</v>
      </c>
    </row>
    <row r="133" spans="1:8" ht="75.599999999999994" x14ac:dyDescent="0.45">
      <c r="A133" s="171" t="s">
        <v>4330</v>
      </c>
      <c r="B133" s="171"/>
      <c r="C133" s="106" t="s">
        <v>797</v>
      </c>
      <c r="D133" s="106" t="s">
        <v>798</v>
      </c>
      <c r="E133" s="166"/>
      <c r="F133" s="171" t="s">
        <v>682</v>
      </c>
      <c r="G133" s="171">
        <v>450</v>
      </c>
      <c r="H133" s="168">
        <f t="shared" si="6"/>
        <v>0</v>
      </c>
    </row>
    <row r="134" spans="1:8" ht="75.599999999999994" x14ac:dyDescent="0.45">
      <c r="A134" s="171" t="s">
        <v>4331</v>
      </c>
      <c r="B134" s="171"/>
      <c r="C134" s="106" t="s">
        <v>800</v>
      </c>
      <c r="D134" s="106" t="s">
        <v>801</v>
      </c>
      <c r="E134" s="166"/>
      <c r="F134" s="171" t="s">
        <v>508</v>
      </c>
      <c r="G134" s="172">
        <v>12000</v>
      </c>
      <c r="H134" s="168">
        <f t="shared" si="6"/>
        <v>0</v>
      </c>
    </row>
    <row r="135" spans="1:8" x14ac:dyDescent="0.45">
      <c r="A135" s="118" t="s">
        <v>4332</v>
      </c>
      <c r="B135" s="184" t="s">
        <v>180</v>
      </c>
      <c r="D135" s="120"/>
      <c r="E135" s="142"/>
      <c r="F135" s="171"/>
      <c r="G135" s="172"/>
      <c r="H135" s="168"/>
    </row>
    <row r="136" spans="1:8" x14ac:dyDescent="0.45">
      <c r="A136" s="159"/>
      <c r="B136" s="159">
        <v>1503060</v>
      </c>
      <c r="C136" s="159"/>
      <c r="D136" s="159" t="s">
        <v>138</v>
      </c>
      <c r="E136" s="159"/>
      <c r="F136" s="159"/>
      <c r="G136" s="210"/>
      <c r="H136" s="163"/>
    </row>
    <row r="137" spans="1:8" ht="113.4" x14ac:dyDescent="0.45">
      <c r="A137" s="171" t="s">
        <v>4333</v>
      </c>
      <c r="B137" s="171"/>
      <c r="C137" s="106" t="s">
        <v>138</v>
      </c>
      <c r="D137" s="106" t="s">
        <v>804</v>
      </c>
      <c r="E137" s="166"/>
      <c r="F137" s="171" t="s">
        <v>508</v>
      </c>
      <c r="G137" s="172">
        <v>800000</v>
      </c>
      <c r="H137" s="168">
        <f>SUM(E137)*G137</f>
        <v>0</v>
      </c>
    </row>
    <row r="138" spans="1:8" ht="88.2" x14ac:dyDescent="0.45">
      <c r="A138" s="171" t="s">
        <v>4334</v>
      </c>
      <c r="B138" s="171"/>
      <c r="C138" s="106" t="s">
        <v>806</v>
      </c>
      <c r="D138" s="106" t="s">
        <v>807</v>
      </c>
      <c r="E138" s="166"/>
      <c r="F138" s="171" t="s">
        <v>508</v>
      </c>
      <c r="G138" s="172">
        <v>13000</v>
      </c>
      <c r="H138" s="168">
        <f>SUM(E138)*G138</f>
        <v>0</v>
      </c>
    </row>
    <row r="139" spans="1:8" x14ac:dyDescent="0.45">
      <c r="A139" s="118" t="s">
        <v>4335</v>
      </c>
      <c r="B139" s="184" t="s">
        <v>180</v>
      </c>
      <c r="D139" s="120"/>
      <c r="E139" s="142"/>
      <c r="F139" s="171"/>
      <c r="G139" s="172"/>
      <c r="H139" s="168"/>
    </row>
    <row r="140" spans="1:8" ht="13" customHeight="1" x14ac:dyDescent="0.45">
      <c r="A140" s="159"/>
      <c r="B140" s="159">
        <v>1700000</v>
      </c>
      <c r="C140" s="159"/>
      <c r="D140" s="159" t="s">
        <v>171</v>
      </c>
      <c r="E140" s="159"/>
      <c r="F140" s="159"/>
      <c r="G140" s="210"/>
      <c r="H140" s="163"/>
    </row>
    <row r="141" spans="1:8" ht="75.599999999999994" x14ac:dyDescent="0.45">
      <c r="A141" s="171" t="s">
        <v>4336</v>
      </c>
      <c r="B141" s="171"/>
      <c r="C141" s="106" t="s">
        <v>810</v>
      </c>
      <c r="D141" s="106" t="s">
        <v>811</v>
      </c>
      <c r="E141" s="166"/>
      <c r="F141" s="171" t="s">
        <v>633</v>
      </c>
      <c r="G141" s="171">
        <v>45</v>
      </c>
      <c r="H141" s="168">
        <f>SUM(E141)*G141</f>
        <v>0</v>
      </c>
    </row>
    <row r="142" spans="1:8" ht="75.599999999999994" x14ac:dyDescent="0.45">
      <c r="A142" s="171" t="s">
        <v>4337</v>
      </c>
      <c r="B142" s="171"/>
      <c r="C142" s="106" t="s">
        <v>813</v>
      </c>
      <c r="D142" s="106" t="s">
        <v>814</v>
      </c>
      <c r="E142" s="166"/>
      <c r="F142" s="171" t="s">
        <v>633</v>
      </c>
      <c r="G142" s="171">
        <v>45</v>
      </c>
      <c r="H142" s="168">
        <f>SUM(E142)*G142</f>
        <v>0</v>
      </c>
    </row>
    <row r="143" spans="1:8" x14ac:dyDescent="0.45">
      <c r="A143" s="118" t="s">
        <v>4338</v>
      </c>
      <c r="B143" s="184" t="s">
        <v>180</v>
      </c>
      <c r="D143" s="120"/>
      <c r="E143" s="142"/>
      <c r="F143" s="171"/>
      <c r="G143" s="172"/>
      <c r="H143" s="220"/>
    </row>
    <row r="144" spans="1:8" ht="13" customHeight="1" x14ac:dyDescent="0.45">
      <c r="A144" s="159"/>
      <c r="B144" s="159">
        <v>1800000</v>
      </c>
      <c r="C144" s="159"/>
      <c r="D144" s="159" t="s">
        <v>174</v>
      </c>
      <c r="E144" s="159"/>
      <c r="F144" s="209"/>
      <c r="G144" s="210"/>
      <c r="H144" s="163"/>
    </row>
    <row r="145" spans="1:8" ht="176.4" x14ac:dyDescent="0.45">
      <c r="A145" s="171" t="s">
        <v>4339</v>
      </c>
      <c r="B145" s="171"/>
      <c r="C145" s="186" t="s">
        <v>817</v>
      </c>
      <c r="D145" s="186" t="s">
        <v>818</v>
      </c>
      <c r="E145" s="166"/>
      <c r="F145" s="171" t="s">
        <v>472</v>
      </c>
      <c r="G145" s="171">
        <v>25</v>
      </c>
      <c r="H145" s="168">
        <f t="shared" ref="H145:H208" si="7">SUM(E145)*G145</f>
        <v>0</v>
      </c>
    </row>
    <row r="146" spans="1:8" ht="176.4" x14ac:dyDescent="0.45">
      <c r="A146" s="171" t="s">
        <v>4340</v>
      </c>
      <c r="B146" s="171"/>
      <c r="C146" s="186" t="s">
        <v>820</v>
      </c>
      <c r="D146" s="186" t="s">
        <v>818</v>
      </c>
      <c r="E146" s="166"/>
      <c r="F146" s="171" t="s">
        <v>472</v>
      </c>
      <c r="G146" s="171">
        <v>20</v>
      </c>
      <c r="H146" s="168">
        <f t="shared" si="7"/>
        <v>0</v>
      </c>
    </row>
    <row r="147" spans="1:8" ht="176.4" x14ac:dyDescent="0.45">
      <c r="A147" s="171" t="s">
        <v>4341</v>
      </c>
      <c r="B147" s="171"/>
      <c r="C147" s="106" t="s">
        <v>822</v>
      </c>
      <c r="D147" s="106" t="s">
        <v>823</v>
      </c>
      <c r="E147" s="166"/>
      <c r="F147" s="171" t="s">
        <v>472</v>
      </c>
      <c r="G147" s="171">
        <v>6</v>
      </c>
      <c r="H147" s="168">
        <f t="shared" si="7"/>
        <v>0</v>
      </c>
    </row>
    <row r="148" spans="1:8" ht="176.4" x14ac:dyDescent="0.45">
      <c r="A148" s="171" t="s">
        <v>4342</v>
      </c>
      <c r="B148" s="171"/>
      <c r="C148" s="106" t="s">
        <v>825</v>
      </c>
      <c r="D148" s="106" t="s">
        <v>823</v>
      </c>
      <c r="E148" s="166"/>
      <c r="F148" s="171" t="s">
        <v>472</v>
      </c>
      <c r="G148" s="172">
        <v>1</v>
      </c>
      <c r="H148" s="168">
        <f t="shared" si="7"/>
        <v>0</v>
      </c>
    </row>
    <row r="149" spans="1:8" ht="176.4" x14ac:dyDescent="0.45">
      <c r="A149" s="171" t="s">
        <v>4343</v>
      </c>
      <c r="B149" s="171"/>
      <c r="C149" s="106" t="s">
        <v>827</v>
      </c>
      <c r="D149" s="106" t="s">
        <v>828</v>
      </c>
      <c r="E149" s="166"/>
      <c r="F149" s="171" t="s">
        <v>472</v>
      </c>
      <c r="G149" s="172">
        <v>1</v>
      </c>
      <c r="H149" s="168">
        <f t="shared" si="7"/>
        <v>0</v>
      </c>
    </row>
    <row r="150" spans="1:8" ht="50.4" x14ac:dyDescent="0.45">
      <c r="A150" s="171" t="s">
        <v>4344</v>
      </c>
      <c r="B150" s="171"/>
      <c r="C150" s="106" t="s">
        <v>830</v>
      </c>
      <c r="D150" s="106" t="s">
        <v>831</v>
      </c>
      <c r="E150" s="166"/>
      <c r="F150" s="171" t="s">
        <v>543</v>
      </c>
      <c r="G150" s="172">
        <v>33000</v>
      </c>
      <c r="H150" s="168">
        <f t="shared" si="7"/>
        <v>0</v>
      </c>
    </row>
    <row r="151" spans="1:8" ht="63" x14ac:dyDescent="0.45">
      <c r="A151" s="171" t="s">
        <v>4345</v>
      </c>
      <c r="B151" s="171"/>
      <c r="C151" s="186" t="s">
        <v>833</v>
      </c>
      <c r="D151" s="186" t="s">
        <v>1436</v>
      </c>
      <c r="E151" s="166"/>
      <c r="F151" s="171" t="s">
        <v>543</v>
      </c>
      <c r="G151" s="172">
        <v>2400</v>
      </c>
      <c r="H151" s="168">
        <f t="shared" si="7"/>
        <v>0</v>
      </c>
    </row>
    <row r="152" spans="1:8" ht="63" x14ac:dyDescent="0.45">
      <c r="A152" s="171" t="s">
        <v>4346</v>
      </c>
      <c r="B152" s="171"/>
      <c r="C152" s="186" t="s">
        <v>835</v>
      </c>
      <c r="D152" s="186" t="s">
        <v>1438</v>
      </c>
      <c r="E152" s="166"/>
      <c r="F152" s="171" t="s">
        <v>543</v>
      </c>
      <c r="G152" s="172">
        <v>7000</v>
      </c>
      <c r="H152" s="168">
        <f t="shared" si="7"/>
        <v>0</v>
      </c>
    </row>
    <row r="153" spans="1:8" ht="63" x14ac:dyDescent="0.45">
      <c r="A153" s="171" t="s">
        <v>4347</v>
      </c>
      <c r="B153" s="171"/>
      <c r="C153" s="186" t="s">
        <v>837</v>
      </c>
      <c r="D153" s="186" t="s">
        <v>1440</v>
      </c>
      <c r="E153" s="166"/>
      <c r="F153" s="171" t="s">
        <v>543</v>
      </c>
      <c r="G153" s="172">
        <v>1750</v>
      </c>
      <c r="H153" s="168">
        <f t="shared" si="7"/>
        <v>0</v>
      </c>
    </row>
    <row r="154" spans="1:8" ht="63" x14ac:dyDescent="0.45">
      <c r="A154" s="171" t="s">
        <v>4348</v>
      </c>
      <c r="B154" s="171"/>
      <c r="C154" s="186" t="s">
        <v>839</v>
      </c>
      <c r="D154" s="186" t="s">
        <v>1442</v>
      </c>
      <c r="E154" s="166"/>
      <c r="F154" s="171" t="s">
        <v>543</v>
      </c>
      <c r="G154" s="172">
        <v>300</v>
      </c>
      <c r="H154" s="168">
        <f t="shared" si="7"/>
        <v>0</v>
      </c>
    </row>
    <row r="155" spans="1:8" ht="63" x14ac:dyDescent="0.45">
      <c r="A155" s="171" t="s">
        <v>4349</v>
      </c>
      <c r="B155" s="171"/>
      <c r="C155" s="186" t="s">
        <v>841</v>
      </c>
      <c r="D155" s="186" t="s">
        <v>1444</v>
      </c>
      <c r="E155" s="166"/>
      <c r="F155" s="171" t="s">
        <v>543</v>
      </c>
      <c r="G155" s="172">
        <v>5880</v>
      </c>
      <c r="H155" s="168">
        <f t="shared" si="7"/>
        <v>0</v>
      </c>
    </row>
    <row r="156" spans="1:8" ht="63" x14ac:dyDescent="0.45">
      <c r="A156" s="171" t="s">
        <v>4350</v>
      </c>
      <c r="B156" s="171"/>
      <c r="C156" s="186" t="s">
        <v>843</v>
      </c>
      <c r="D156" s="186" t="s">
        <v>1446</v>
      </c>
      <c r="E156" s="166"/>
      <c r="F156" s="171" t="s">
        <v>543</v>
      </c>
      <c r="G156" s="172">
        <v>1020</v>
      </c>
      <c r="H156" s="168">
        <f t="shared" si="7"/>
        <v>0</v>
      </c>
    </row>
    <row r="157" spans="1:8" ht="63" x14ac:dyDescent="0.45">
      <c r="A157" s="171" t="s">
        <v>4351</v>
      </c>
      <c r="B157" s="171"/>
      <c r="C157" s="186" t="s">
        <v>845</v>
      </c>
      <c r="D157" s="186" t="s">
        <v>1438</v>
      </c>
      <c r="E157" s="166"/>
      <c r="F157" s="171" t="s">
        <v>543</v>
      </c>
      <c r="G157" s="172">
        <v>3000</v>
      </c>
      <c r="H157" s="168">
        <f t="shared" si="7"/>
        <v>0</v>
      </c>
    </row>
    <row r="158" spans="1:8" ht="63" x14ac:dyDescent="0.45">
      <c r="A158" s="171" t="s">
        <v>4352</v>
      </c>
      <c r="B158" s="171"/>
      <c r="C158" s="186" t="s">
        <v>837</v>
      </c>
      <c r="D158" s="186" t="s">
        <v>1440</v>
      </c>
      <c r="E158" s="166"/>
      <c r="F158" s="171" t="s">
        <v>543</v>
      </c>
      <c r="G158" s="172">
        <v>750</v>
      </c>
      <c r="H158" s="168">
        <f t="shared" si="7"/>
        <v>0</v>
      </c>
    </row>
    <row r="159" spans="1:8" ht="63" x14ac:dyDescent="0.45">
      <c r="A159" s="171" t="s">
        <v>4353</v>
      </c>
      <c r="B159" s="171"/>
      <c r="C159" s="186" t="s">
        <v>839</v>
      </c>
      <c r="D159" s="186" t="s">
        <v>1442</v>
      </c>
      <c r="E159" s="166"/>
      <c r="F159" s="171" t="s">
        <v>543</v>
      </c>
      <c r="G159" s="172">
        <v>125</v>
      </c>
      <c r="H159" s="168">
        <f t="shared" si="7"/>
        <v>0</v>
      </c>
    </row>
    <row r="160" spans="1:8" ht="63" x14ac:dyDescent="0.45">
      <c r="A160" s="171" t="s">
        <v>4354</v>
      </c>
      <c r="B160" s="171"/>
      <c r="C160" s="186" t="s">
        <v>849</v>
      </c>
      <c r="D160" s="186" t="s">
        <v>1451</v>
      </c>
      <c r="E160" s="166"/>
      <c r="F160" s="171" t="s">
        <v>543</v>
      </c>
      <c r="G160" s="172">
        <v>2050</v>
      </c>
      <c r="H160" s="168">
        <f t="shared" si="7"/>
        <v>0</v>
      </c>
    </row>
    <row r="161" spans="1:8" ht="50.4" x14ac:dyDescent="0.45">
      <c r="A161" s="171" t="s">
        <v>4355</v>
      </c>
      <c r="B161" s="171"/>
      <c r="C161" s="106" t="s">
        <v>851</v>
      </c>
      <c r="D161" s="106" t="s">
        <v>852</v>
      </c>
      <c r="E161" s="166"/>
      <c r="F161" s="171" t="s">
        <v>543</v>
      </c>
      <c r="G161" s="172">
        <v>15000</v>
      </c>
      <c r="H161" s="168">
        <f t="shared" si="7"/>
        <v>0</v>
      </c>
    </row>
    <row r="162" spans="1:8" ht="63" x14ac:dyDescent="0.45">
      <c r="A162" s="171" t="s">
        <v>4356</v>
      </c>
      <c r="B162" s="171"/>
      <c r="C162" s="106" t="s">
        <v>854</v>
      </c>
      <c r="D162" s="106" t="s">
        <v>855</v>
      </c>
      <c r="E162" s="166"/>
      <c r="F162" s="171" t="s">
        <v>472</v>
      </c>
      <c r="G162" s="171">
        <v>10</v>
      </c>
      <c r="H162" s="168">
        <f t="shared" si="7"/>
        <v>0</v>
      </c>
    </row>
    <row r="163" spans="1:8" ht="63" x14ac:dyDescent="0.45">
      <c r="A163" s="171" t="s">
        <v>4357</v>
      </c>
      <c r="B163" s="171"/>
      <c r="C163" s="106" t="s">
        <v>857</v>
      </c>
      <c r="D163" s="184" t="s">
        <v>858</v>
      </c>
      <c r="E163" s="166"/>
      <c r="F163" s="171" t="s">
        <v>543</v>
      </c>
      <c r="G163" s="172">
        <v>33000</v>
      </c>
      <c r="H163" s="168">
        <f t="shared" si="7"/>
        <v>0</v>
      </c>
    </row>
    <row r="164" spans="1:8" ht="63" x14ac:dyDescent="0.45">
      <c r="A164" s="171" t="s">
        <v>4358</v>
      </c>
      <c r="B164" s="171"/>
      <c r="C164" s="106" t="s">
        <v>860</v>
      </c>
      <c r="D164" s="184" t="s">
        <v>861</v>
      </c>
      <c r="E164" s="166"/>
      <c r="F164" s="171" t="s">
        <v>543</v>
      </c>
      <c r="G164" s="172">
        <v>39000</v>
      </c>
      <c r="H164" s="168">
        <f t="shared" si="7"/>
        <v>0</v>
      </c>
    </row>
    <row r="165" spans="1:8" ht="37.799999999999997" x14ac:dyDescent="0.45">
      <c r="A165" s="171" t="s">
        <v>4359</v>
      </c>
      <c r="B165" s="171"/>
      <c r="C165" s="106" t="s">
        <v>863</v>
      </c>
      <c r="D165" s="106" t="s">
        <v>864</v>
      </c>
      <c r="E165" s="166"/>
      <c r="F165" s="171" t="s">
        <v>472</v>
      </c>
      <c r="G165" s="171">
        <v>10</v>
      </c>
      <c r="H165" s="168">
        <f t="shared" si="7"/>
        <v>0</v>
      </c>
    </row>
    <row r="166" spans="1:8" ht="37.799999999999997" x14ac:dyDescent="0.45">
      <c r="A166" s="171" t="s">
        <v>4360</v>
      </c>
      <c r="B166" s="171"/>
      <c r="C166" s="106" t="s">
        <v>866</v>
      </c>
      <c r="D166" s="106" t="s">
        <v>864</v>
      </c>
      <c r="E166" s="166"/>
      <c r="F166" s="171" t="s">
        <v>472</v>
      </c>
      <c r="G166" s="171">
        <v>10</v>
      </c>
      <c r="H166" s="168">
        <f t="shared" si="7"/>
        <v>0</v>
      </c>
    </row>
    <row r="167" spans="1:8" ht="37.799999999999997" x14ac:dyDescent="0.45">
      <c r="A167" s="171" t="s">
        <v>4361</v>
      </c>
      <c r="B167" s="171"/>
      <c r="C167" s="106" t="s">
        <v>868</v>
      </c>
      <c r="D167" s="106" t="s">
        <v>869</v>
      </c>
      <c r="E167" s="166"/>
      <c r="F167" s="171" t="s">
        <v>472</v>
      </c>
      <c r="G167" s="171">
        <v>10</v>
      </c>
      <c r="H167" s="168">
        <f t="shared" si="7"/>
        <v>0</v>
      </c>
    </row>
    <row r="168" spans="1:8" ht="37.799999999999997" x14ac:dyDescent="0.45">
      <c r="A168" s="171" t="s">
        <v>4362</v>
      </c>
      <c r="B168" s="171"/>
      <c r="C168" s="106" t="s">
        <v>871</v>
      </c>
      <c r="D168" s="106" t="s">
        <v>869</v>
      </c>
      <c r="E168" s="166"/>
      <c r="F168" s="171" t="s">
        <v>472</v>
      </c>
      <c r="G168" s="171">
        <v>10</v>
      </c>
      <c r="H168" s="168">
        <f t="shared" si="7"/>
        <v>0</v>
      </c>
    </row>
    <row r="169" spans="1:8" ht="37.799999999999997" x14ac:dyDescent="0.45">
      <c r="A169" s="171" t="s">
        <v>4363</v>
      </c>
      <c r="B169" s="171"/>
      <c r="C169" s="106" t="s">
        <v>873</v>
      </c>
      <c r="D169" s="106" t="s">
        <v>864</v>
      </c>
      <c r="E169" s="166"/>
      <c r="F169" s="171" t="s">
        <v>472</v>
      </c>
      <c r="G169" s="171">
        <v>10</v>
      </c>
      <c r="H169" s="168">
        <f t="shared" si="7"/>
        <v>0</v>
      </c>
    </row>
    <row r="170" spans="1:8" ht="37.799999999999997" x14ac:dyDescent="0.45">
      <c r="A170" s="171" t="s">
        <v>4364</v>
      </c>
      <c r="B170" s="171"/>
      <c r="C170" s="106" t="s">
        <v>875</v>
      </c>
      <c r="D170" s="106" t="s">
        <v>864</v>
      </c>
      <c r="E170" s="166"/>
      <c r="F170" s="171" t="s">
        <v>472</v>
      </c>
      <c r="G170" s="171">
        <v>10</v>
      </c>
      <c r="H170" s="168">
        <f t="shared" si="7"/>
        <v>0</v>
      </c>
    </row>
    <row r="171" spans="1:8" ht="37.799999999999997" x14ac:dyDescent="0.45">
      <c r="A171" s="171" t="s">
        <v>4365</v>
      </c>
      <c r="B171" s="171"/>
      <c r="C171" s="106" t="s">
        <v>877</v>
      </c>
      <c r="D171" s="106" t="s">
        <v>864</v>
      </c>
      <c r="E171" s="166"/>
      <c r="F171" s="171" t="s">
        <v>472</v>
      </c>
      <c r="G171" s="171">
        <v>10</v>
      </c>
      <c r="H171" s="168">
        <f t="shared" si="7"/>
        <v>0</v>
      </c>
    </row>
    <row r="172" spans="1:8" ht="37.799999999999997" x14ac:dyDescent="0.45">
      <c r="A172" s="171" t="s">
        <v>4366</v>
      </c>
      <c r="B172" s="171"/>
      <c r="C172" s="106" t="s">
        <v>879</v>
      </c>
      <c r="D172" s="106" t="s">
        <v>864</v>
      </c>
      <c r="E172" s="166"/>
      <c r="F172" s="171" t="s">
        <v>472</v>
      </c>
      <c r="G172" s="171">
        <v>10</v>
      </c>
      <c r="H172" s="168">
        <f t="shared" si="7"/>
        <v>0</v>
      </c>
    </row>
    <row r="173" spans="1:8" ht="37.799999999999997" x14ac:dyDescent="0.45">
      <c r="A173" s="171" t="s">
        <v>4367</v>
      </c>
      <c r="B173" s="171"/>
      <c r="C173" s="106" t="s">
        <v>881</v>
      </c>
      <c r="D173" s="106" t="s">
        <v>864</v>
      </c>
      <c r="E173" s="166"/>
      <c r="F173" s="171" t="s">
        <v>472</v>
      </c>
      <c r="G173" s="171">
        <v>10</v>
      </c>
      <c r="H173" s="168">
        <f t="shared" si="7"/>
        <v>0</v>
      </c>
    </row>
    <row r="174" spans="1:8" ht="37.799999999999997" x14ac:dyDescent="0.45">
      <c r="A174" s="171" t="s">
        <v>4368</v>
      </c>
      <c r="B174" s="171"/>
      <c r="C174" s="106" t="s">
        <v>883</v>
      </c>
      <c r="D174" s="106" t="s">
        <v>864</v>
      </c>
      <c r="E174" s="166"/>
      <c r="F174" s="171" t="s">
        <v>472</v>
      </c>
      <c r="G174" s="171">
        <v>10</v>
      </c>
      <c r="H174" s="168">
        <f t="shared" si="7"/>
        <v>0</v>
      </c>
    </row>
    <row r="175" spans="1:8" ht="37.799999999999997" x14ac:dyDescent="0.45">
      <c r="A175" s="171" t="s">
        <v>4369</v>
      </c>
      <c r="B175" s="171"/>
      <c r="C175" s="106" t="s">
        <v>885</v>
      </c>
      <c r="D175" s="106" t="s">
        <v>864</v>
      </c>
      <c r="E175" s="166"/>
      <c r="F175" s="171" t="s">
        <v>472</v>
      </c>
      <c r="G175" s="171">
        <v>10</v>
      </c>
      <c r="H175" s="168">
        <f t="shared" si="7"/>
        <v>0</v>
      </c>
    </row>
    <row r="176" spans="1:8" ht="37.799999999999997" x14ac:dyDescent="0.45">
      <c r="A176" s="171" t="s">
        <v>4370</v>
      </c>
      <c r="B176" s="171"/>
      <c r="C176" s="106" t="s">
        <v>887</v>
      </c>
      <c r="D176" s="106" t="s">
        <v>864</v>
      </c>
      <c r="E176" s="166"/>
      <c r="F176" s="171" t="s">
        <v>472</v>
      </c>
      <c r="G176" s="171">
        <v>10</v>
      </c>
      <c r="H176" s="168">
        <f t="shared" si="7"/>
        <v>0</v>
      </c>
    </row>
    <row r="177" spans="1:8" ht="37.799999999999997" x14ac:dyDescent="0.45">
      <c r="A177" s="171" t="s">
        <v>4371</v>
      </c>
      <c r="B177" s="171"/>
      <c r="C177" s="106" t="s">
        <v>889</v>
      </c>
      <c r="D177" s="106" t="s">
        <v>864</v>
      </c>
      <c r="E177" s="166"/>
      <c r="F177" s="171" t="s">
        <v>472</v>
      </c>
      <c r="G177" s="171">
        <v>10</v>
      </c>
      <c r="H177" s="168">
        <f t="shared" si="7"/>
        <v>0</v>
      </c>
    </row>
    <row r="178" spans="1:8" ht="37.799999999999997" x14ac:dyDescent="0.45">
      <c r="A178" s="171" t="s">
        <v>4372</v>
      </c>
      <c r="B178" s="171"/>
      <c r="C178" s="106" t="s">
        <v>891</v>
      </c>
      <c r="D178" s="106" t="s">
        <v>864</v>
      </c>
      <c r="E178" s="166"/>
      <c r="F178" s="171" t="s">
        <v>472</v>
      </c>
      <c r="G178" s="171">
        <v>10</v>
      </c>
      <c r="H178" s="168">
        <f t="shared" si="7"/>
        <v>0</v>
      </c>
    </row>
    <row r="179" spans="1:8" ht="37.799999999999997" x14ac:dyDescent="0.45">
      <c r="A179" s="171" t="s">
        <v>4373</v>
      </c>
      <c r="B179" s="171"/>
      <c r="C179" s="106" t="s">
        <v>893</v>
      </c>
      <c r="D179" s="106" t="s">
        <v>864</v>
      </c>
      <c r="E179" s="166"/>
      <c r="F179" s="171" t="s">
        <v>472</v>
      </c>
      <c r="G179" s="171">
        <v>10</v>
      </c>
      <c r="H179" s="168">
        <f t="shared" si="7"/>
        <v>0</v>
      </c>
    </row>
    <row r="180" spans="1:8" ht="37.799999999999997" x14ac:dyDescent="0.45">
      <c r="A180" s="171" t="s">
        <v>4374</v>
      </c>
      <c r="B180" s="171"/>
      <c r="C180" s="106" t="s">
        <v>895</v>
      </c>
      <c r="D180" s="106" t="s">
        <v>864</v>
      </c>
      <c r="E180" s="166"/>
      <c r="F180" s="171" t="s">
        <v>472</v>
      </c>
      <c r="G180" s="171">
        <v>10</v>
      </c>
      <c r="H180" s="168">
        <f t="shared" si="7"/>
        <v>0</v>
      </c>
    </row>
    <row r="181" spans="1:8" ht="37.799999999999997" x14ac:dyDescent="0.45">
      <c r="A181" s="171" t="s">
        <v>4375</v>
      </c>
      <c r="B181" s="171"/>
      <c r="C181" s="106" t="s">
        <v>897</v>
      </c>
      <c r="D181" s="106" t="s">
        <v>864</v>
      </c>
      <c r="E181" s="166"/>
      <c r="F181" s="171" t="s">
        <v>472</v>
      </c>
      <c r="G181" s="171">
        <v>10</v>
      </c>
      <c r="H181" s="168">
        <f t="shared" si="7"/>
        <v>0</v>
      </c>
    </row>
    <row r="182" spans="1:8" ht="37.799999999999997" x14ac:dyDescent="0.45">
      <c r="A182" s="171" t="s">
        <v>4376</v>
      </c>
      <c r="B182" s="171"/>
      <c r="C182" s="106" t="s">
        <v>899</v>
      </c>
      <c r="D182" s="106" t="s">
        <v>864</v>
      </c>
      <c r="E182" s="166"/>
      <c r="F182" s="171" t="s">
        <v>472</v>
      </c>
      <c r="G182" s="171">
        <v>10</v>
      </c>
      <c r="H182" s="168">
        <f t="shared" si="7"/>
        <v>0</v>
      </c>
    </row>
    <row r="183" spans="1:8" ht="37.799999999999997" x14ac:dyDescent="0.45">
      <c r="A183" s="171" t="s">
        <v>4377</v>
      </c>
      <c r="B183" s="171"/>
      <c r="C183" s="106" t="s">
        <v>901</v>
      </c>
      <c r="D183" s="106" t="s">
        <v>864</v>
      </c>
      <c r="E183" s="166"/>
      <c r="F183" s="171" t="s">
        <v>472</v>
      </c>
      <c r="G183" s="171">
        <v>10</v>
      </c>
      <c r="H183" s="168">
        <f t="shared" si="7"/>
        <v>0</v>
      </c>
    </row>
    <row r="184" spans="1:8" ht="37.799999999999997" x14ac:dyDescent="0.45">
      <c r="A184" s="171" t="s">
        <v>4378</v>
      </c>
      <c r="B184" s="171"/>
      <c r="C184" s="106" t="s">
        <v>903</v>
      </c>
      <c r="D184" s="106" t="s">
        <v>864</v>
      </c>
      <c r="E184" s="166"/>
      <c r="F184" s="171" t="s">
        <v>472</v>
      </c>
      <c r="G184" s="171">
        <v>10</v>
      </c>
      <c r="H184" s="168">
        <f t="shared" si="7"/>
        <v>0</v>
      </c>
    </row>
    <row r="185" spans="1:8" ht="37.799999999999997" x14ac:dyDescent="0.45">
      <c r="A185" s="171" t="s">
        <v>4379</v>
      </c>
      <c r="B185" s="171"/>
      <c r="C185" s="106" t="s">
        <v>905</v>
      </c>
      <c r="D185" s="106" t="s">
        <v>864</v>
      </c>
      <c r="E185" s="166"/>
      <c r="F185" s="171" t="s">
        <v>472</v>
      </c>
      <c r="G185" s="171">
        <v>10</v>
      </c>
      <c r="H185" s="168">
        <f t="shared" si="7"/>
        <v>0</v>
      </c>
    </row>
    <row r="186" spans="1:8" ht="37.799999999999997" x14ac:dyDescent="0.45">
      <c r="A186" s="171" t="s">
        <v>4380</v>
      </c>
      <c r="B186" s="171"/>
      <c r="C186" s="106" t="s">
        <v>907</v>
      </c>
      <c r="D186" s="106" t="s">
        <v>864</v>
      </c>
      <c r="E186" s="166"/>
      <c r="F186" s="171" t="s">
        <v>472</v>
      </c>
      <c r="G186" s="171">
        <v>10</v>
      </c>
      <c r="H186" s="168">
        <f t="shared" si="7"/>
        <v>0</v>
      </c>
    </row>
    <row r="187" spans="1:8" ht="37.799999999999997" x14ac:dyDescent="0.45">
      <c r="A187" s="171" t="s">
        <v>4381</v>
      </c>
      <c r="B187" s="171"/>
      <c r="C187" s="106" t="s">
        <v>909</v>
      </c>
      <c r="D187" s="106" t="s">
        <v>864</v>
      </c>
      <c r="E187" s="166"/>
      <c r="F187" s="171" t="s">
        <v>472</v>
      </c>
      <c r="G187" s="171">
        <v>10</v>
      </c>
      <c r="H187" s="168">
        <f t="shared" si="7"/>
        <v>0</v>
      </c>
    </row>
    <row r="188" spans="1:8" ht="50.4" x14ac:dyDescent="0.45">
      <c r="A188" s="171" t="s">
        <v>4382</v>
      </c>
      <c r="B188" s="171"/>
      <c r="C188" s="106" t="s">
        <v>911</v>
      </c>
      <c r="D188" s="106" t="s">
        <v>864</v>
      </c>
      <c r="E188" s="166"/>
      <c r="F188" s="171" t="s">
        <v>472</v>
      </c>
      <c r="G188" s="171">
        <v>10</v>
      </c>
      <c r="H188" s="168">
        <f t="shared" si="7"/>
        <v>0</v>
      </c>
    </row>
    <row r="189" spans="1:8" ht="37.799999999999997" x14ac:dyDescent="0.45">
      <c r="A189" s="171" t="s">
        <v>4383</v>
      </c>
      <c r="B189" s="171"/>
      <c r="C189" s="106" t="s">
        <v>913</v>
      </c>
      <c r="D189" s="106" t="s">
        <v>864</v>
      </c>
      <c r="E189" s="166"/>
      <c r="F189" s="171" t="s">
        <v>472</v>
      </c>
      <c r="G189" s="171">
        <v>10</v>
      </c>
      <c r="H189" s="168">
        <f t="shared" si="7"/>
        <v>0</v>
      </c>
    </row>
    <row r="190" spans="1:8" ht="50.4" x14ac:dyDescent="0.45">
      <c r="A190" s="171" t="s">
        <v>4384</v>
      </c>
      <c r="B190" s="171"/>
      <c r="C190" s="106" t="s">
        <v>915</v>
      </c>
      <c r="D190" s="106" t="s">
        <v>864</v>
      </c>
      <c r="E190" s="166"/>
      <c r="F190" s="171" t="s">
        <v>472</v>
      </c>
      <c r="G190" s="171">
        <v>10</v>
      </c>
      <c r="H190" s="168">
        <f t="shared" si="7"/>
        <v>0</v>
      </c>
    </row>
    <row r="191" spans="1:8" ht="50.4" x14ac:dyDescent="0.45">
      <c r="A191" s="171" t="s">
        <v>4385</v>
      </c>
      <c r="B191" s="171"/>
      <c r="C191" s="106" t="s">
        <v>917</v>
      </c>
      <c r="D191" s="106" t="s">
        <v>864</v>
      </c>
      <c r="E191" s="166"/>
      <c r="F191" s="171" t="s">
        <v>472</v>
      </c>
      <c r="G191" s="171">
        <v>10</v>
      </c>
      <c r="H191" s="168">
        <f t="shared" si="7"/>
        <v>0</v>
      </c>
    </row>
    <row r="192" spans="1:8" ht="50.4" x14ac:dyDescent="0.45">
      <c r="A192" s="171" t="s">
        <v>4386</v>
      </c>
      <c r="B192" s="171"/>
      <c r="C192" s="106" t="s">
        <v>919</v>
      </c>
      <c r="D192" s="106" t="s">
        <v>864</v>
      </c>
      <c r="E192" s="166"/>
      <c r="F192" s="171" t="s">
        <v>472</v>
      </c>
      <c r="G192" s="171">
        <v>10</v>
      </c>
      <c r="H192" s="168">
        <f t="shared" si="7"/>
        <v>0</v>
      </c>
    </row>
    <row r="193" spans="1:8" ht="37.799999999999997" x14ac:dyDescent="0.45">
      <c r="A193" s="171" t="s">
        <v>4387</v>
      </c>
      <c r="B193" s="171"/>
      <c r="C193" s="106" t="s">
        <v>921</v>
      </c>
      <c r="D193" s="106" t="s">
        <v>864</v>
      </c>
      <c r="E193" s="166"/>
      <c r="F193" s="171" t="s">
        <v>472</v>
      </c>
      <c r="G193" s="171">
        <v>10</v>
      </c>
      <c r="H193" s="168">
        <f t="shared" si="7"/>
        <v>0</v>
      </c>
    </row>
    <row r="194" spans="1:8" ht="50.4" x14ac:dyDescent="0.45">
      <c r="A194" s="171" t="s">
        <v>4388</v>
      </c>
      <c r="B194" s="171"/>
      <c r="C194" s="106" t="s">
        <v>923</v>
      </c>
      <c r="D194" s="106" t="s">
        <v>864</v>
      </c>
      <c r="E194" s="166"/>
      <c r="F194" s="171" t="s">
        <v>472</v>
      </c>
      <c r="G194" s="171">
        <v>10</v>
      </c>
      <c r="H194" s="168">
        <f t="shared" si="7"/>
        <v>0</v>
      </c>
    </row>
    <row r="195" spans="1:8" ht="50.4" x14ac:dyDescent="0.45">
      <c r="A195" s="171" t="s">
        <v>4389</v>
      </c>
      <c r="B195" s="171"/>
      <c r="C195" s="106" t="s">
        <v>925</v>
      </c>
      <c r="D195" s="106" t="s">
        <v>864</v>
      </c>
      <c r="E195" s="166"/>
      <c r="F195" s="171" t="s">
        <v>472</v>
      </c>
      <c r="G195" s="171">
        <v>10</v>
      </c>
      <c r="H195" s="168">
        <f t="shared" si="7"/>
        <v>0</v>
      </c>
    </row>
    <row r="196" spans="1:8" ht="50.4" x14ac:dyDescent="0.45">
      <c r="A196" s="171" t="s">
        <v>4390</v>
      </c>
      <c r="B196" s="171"/>
      <c r="C196" s="106" t="s">
        <v>927</v>
      </c>
      <c r="D196" s="106" t="s">
        <v>864</v>
      </c>
      <c r="E196" s="166"/>
      <c r="F196" s="171" t="s">
        <v>472</v>
      </c>
      <c r="G196" s="171">
        <v>10</v>
      </c>
      <c r="H196" s="168">
        <f t="shared" si="7"/>
        <v>0</v>
      </c>
    </row>
    <row r="197" spans="1:8" ht="50.4" x14ac:dyDescent="0.45">
      <c r="A197" s="171" t="s">
        <v>4391</v>
      </c>
      <c r="B197" s="171"/>
      <c r="C197" s="106" t="s">
        <v>929</v>
      </c>
      <c r="D197" s="106" t="s">
        <v>864</v>
      </c>
      <c r="E197" s="166"/>
      <c r="F197" s="171" t="s">
        <v>472</v>
      </c>
      <c r="G197" s="171">
        <v>10</v>
      </c>
      <c r="H197" s="168">
        <f t="shared" si="7"/>
        <v>0</v>
      </c>
    </row>
    <row r="198" spans="1:8" ht="50.4" x14ac:dyDescent="0.45">
      <c r="A198" s="171" t="s">
        <v>4392</v>
      </c>
      <c r="B198" s="171"/>
      <c r="C198" s="106" t="s">
        <v>931</v>
      </c>
      <c r="D198" s="106" t="s">
        <v>864</v>
      </c>
      <c r="E198" s="166"/>
      <c r="F198" s="171" t="s">
        <v>472</v>
      </c>
      <c r="G198" s="171">
        <v>10</v>
      </c>
      <c r="H198" s="168">
        <f t="shared" si="7"/>
        <v>0</v>
      </c>
    </row>
    <row r="199" spans="1:8" ht="37.799999999999997" x14ac:dyDescent="0.45">
      <c r="A199" s="171" t="s">
        <v>4393</v>
      </c>
      <c r="B199" s="171"/>
      <c r="C199" s="106" t="s">
        <v>933</v>
      </c>
      <c r="D199" s="106" t="s">
        <v>864</v>
      </c>
      <c r="E199" s="166"/>
      <c r="F199" s="171" t="s">
        <v>472</v>
      </c>
      <c r="G199" s="171">
        <v>10</v>
      </c>
      <c r="H199" s="168">
        <f t="shared" si="7"/>
        <v>0</v>
      </c>
    </row>
    <row r="200" spans="1:8" ht="37.799999999999997" x14ac:dyDescent="0.45">
      <c r="A200" s="171" t="s">
        <v>4394</v>
      </c>
      <c r="B200" s="171"/>
      <c r="C200" s="106" t="s">
        <v>935</v>
      </c>
      <c r="D200" s="106" t="s">
        <v>864</v>
      </c>
      <c r="E200" s="166"/>
      <c r="F200" s="171" t="s">
        <v>472</v>
      </c>
      <c r="G200" s="171">
        <v>10</v>
      </c>
      <c r="H200" s="168">
        <f t="shared" si="7"/>
        <v>0</v>
      </c>
    </row>
    <row r="201" spans="1:8" ht="50.4" x14ac:dyDescent="0.45">
      <c r="A201" s="171" t="s">
        <v>4395</v>
      </c>
      <c r="B201" s="171"/>
      <c r="C201" s="106" t="s">
        <v>937</v>
      </c>
      <c r="D201" s="106" t="s">
        <v>864</v>
      </c>
      <c r="E201" s="166"/>
      <c r="F201" s="171" t="s">
        <v>472</v>
      </c>
      <c r="G201" s="171">
        <v>10</v>
      </c>
      <c r="H201" s="168">
        <f t="shared" si="7"/>
        <v>0</v>
      </c>
    </row>
    <row r="202" spans="1:8" ht="50.4" x14ac:dyDescent="0.45">
      <c r="A202" s="171" t="s">
        <v>4396</v>
      </c>
      <c r="B202" s="171"/>
      <c r="C202" s="106" t="s">
        <v>939</v>
      </c>
      <c r="D202" s="106" t="s">
        <v>864</v>
      </c>
      <c r="E202" s="166"/>
      <c r="F202" s="171" t="s">
        <v>472</v>
      </c>
      <c r="G202" s="171">
        <v>10</v>
      </c>
      <c r="H202" s="168">
        <f t="shared" si="7"/>
        <v>0</v>
      </c>
    </row>
    <row r="203" spans="1:8" ht="50.4" x14ac:dyDescent="0.45">
      <c r="A203" s="171" t="s">
        <v>4397</v>
      </c>
      <c r="B203" s="171"/>
      <c r="C203" s="106" t="s">
        <v>941</v>
      </c>
      <c r="D203" s="106" t="s">
        <v>864</v>
      </c>
      <c r="E203" s="166"/>
      <c r="F203" s="171" t="s">
        <v>472</v>
      </c>
      <c r="G203" s="171">
        <v>10</v>
      </c>
      <c r="H203" s="168">
        <f t="shared" si="7"/>
        <v>0</v>
      </c>
    </row>
    <row r="204" spans="1:8" ht="50.4" x14ac:dyDescent="0.45">
      <c r="A204" s="171" t="s">
        <v>4398</v>
      </c>
      <c r="B204" s="171"/>
      <c r="C204" s="106" t="s">
        <v>943</v>
      </c>
      <c r="D204" s="106" t="s">
        <v>864</v>
      </c>
      <c r="E204" s="166"/>
      <c r="F204" s="171" t="s">
        <v>472</v>
      </c>
      <c r="G204" s="171">
        <v>10</v>
      </c>
      <c r="H204" s="168">
        <f t="shared" si="7"/>
        <v>0</v>
      </c>
    </row>
    <row r="205" spans="1:8" ht="50.4" x14ac:dyDescent="0.45">
      <c r="A205" s="171" t="s">
        <v>4399</v>
      </c>
      <c r="B205" s="171"/>
      <c r="C205" s="106" t="s">
        <v>945</v>
      </c>
      <c r="D205" s="106" t="s">
        <v>864</v>
      </c>
      <c r="E205" s="166"/>
      <c r="F205" s="171" t="s">
        <v>472</v>
      </c>
      <c r="G205" s="171">
        <v>10</v>
      </c>
      <c r="H205" s="168">
        <f t="shared" si="7"/>
        <v>0</v>
      </c>
    </row>
    <row r="206" spans="1:8" ht="50.4" x14ac:dyDescent="0.45">
      <c r="A206" s="171" t="s">
        <v>4400</v>
      </c>
      <c r="B206" s="171"/>
      <c r="C206" s="106" t="s">
        <v>947</v>
      </c>
      <c r="D206" s="106" t="s">
        <v>864</v>
      </c>
      <c r="E206" s="166"/>
      <c r="F206" s="171" t="s">
        <v>472</v>
      </c>
      <c r="G206" s="171">
        <v>10</v>
      </c>
      <c r="H206" s="168">
        <f t="shared" si="7"/>
        <v>0</v>
      </c>
    </row>
    <row r="207" spans="1:8" ht="50.4" x14ac:dyDescent="0.45">
      <c r="A207" s="171" t="s">
        <v>4401</v>
      </c>
      <c r="B207" s="171"/>
      <c r="C207" s="106" t="s">
        <v>949</v>
      </c>
      <c r="D207" s="106" t="s">
        <v>864</v>
      </c>
      <c r="E207" s="166"/>
      <c r="F207" s="171" t="s">
        <v>472</v>
      </c>
      <c r="G207" s="171">
        <v>10</v>
      </c>
      <c r="H207" s="168">
        <f t="shared" si="7"/>
        <v>0</v>
      </c>
    </row>
    <row r="208" spans="1:8" ht="50.4" x14ac:dyDescent="0.45">
      <c r="A208" s="171" t="s">
        <v>4402</v>
      </c>
      <c r="B208" s="171"/>
      <c r="C208" s="106" t="s">
        <v>951</v>
      </c>
      <c r="D208" s="106" t="s">
        <v>864</v>
      </c>
      <c r="E208" s="166"/>
      <c r="F208" s="171" t="s">
        <v>472</v>
      </c>
      <c r="G208" s="171">
        <v>10</v>
      </c>
      <c r="H208" s="168">
        <f t="shared" si="7"/>
        <v>0</v>
      </c>
    </row>
    <row r="209" spans="1:8" ht="50.4" x14ac:dyDescent="0.45">
      <c r="A209" s="171" t="s">
        <v>4403</v>
      </c>
      <c r="B209" s="171"/>
      <c r="C209" s="106" t="s">
        <v>953</v>
      </c>
      <c r="D209" s="106" t="s">
        <v>864</v>
      </c>
      <c r="E209" s="166"/>
      <c r="F209" s="171" t="s">
        <v>472</v>
      </c>
      <c r="G209" s="171">
        <v>10</v>
      </c>
      <c r="H209" s="168">
        <f t="shared" ref="H209:H258" si="8">SUM(E209)*G209</f>
        <v>0</v>
      </c>
    </row>
    <row r="210" spans="1:8" ht="50.4" x14ac:dyDescent="0.45">
      <c r="A210" s="171" t="s">
        <v>4404</v>
      </c>
      <c r="B210" s="171"/>
      <c r="C210" s="106" t="s">
        <v>955</v>
      </c>
      <c r="D210" s="106" t="s">
        <v>864</v>
      </c>
      <c r="E210" s="166"/>
      <c r="F210" s="171" t="s">
        <v>472</v>
      </c>
      <c r="G210" s="171">
        <v>10</v>
      </c>
      <c r="H210" s="168">
        <f t="shared" si="8"/>
        <v>0</v>
      </c>
    </row>
    <row r="211" spans="1:8" ht="50.4" x14ac:dyDescent="0.45">
      <c r="A211" s="171" t="s">
        <v>4405</v>
      </c>
      <c r="B211" s="171"/>
      <c r="C211" s="106" t="s">
        <v>957</v>
      </c>
      <c r="D211" s="106" t="s">
        <v>864</v>
      </c>
      <c r="E211" s="166"/>
      <c r="F211" s="171" t="s">
        <v>472</v>
      </c>
      <c r="G211" s="171">
        <v>10</v>
      </c>
      <c r="H211" s="168">
        <f t="shared" si="8"/>
        <v>0</v>
      </c>
    </row>
    <row r="212" spans="1:8" ht="50.4" x14ac:dyDescent="0.45">
      <c r="A212" s="171" t="s">
        <v>4406</v>
      </c>
      <c r="B212" s="171"/>
      <c r="C212" s="106" t="s">
        <v>959</v>
      </c>
      <c r="D212" s="106" t="s">
        <v>864</v>
      </c>
      <c r="E212" s="166"/>
      <c r="F212" s="171" t="s">
        <v>472</v>
      </c>
      <c r="G212" s="171">
        <v>10</v>
      </c>
      <c r="H212" s="168">
        <f t="shared" si="8"/>
        <v>0</v>
      </c>
    </row>
    <row r="213" spans="1:8" ht="50.4" x14ac:dyDescent="0.45">
      <c r="A213" s="171" t="s">
        <v>4407</v>
      </c>
      <c r="B213" s="171"/>
      <c r="C213" s="106" t="s">
        <v>961</v>
      </c>
      <c r="D213" s="106" t="s">
        <v>864</v>
      </c>
      <c r="E213" s="166"/>
      <c r="F213" s="171" t="s">
        <v>472</v>
      </c>
      <c r="G213" s="171">
        <v>10</v>
      </c>
      <c r="H213" s="168">
        <f t="shared" si="8"/>
        <v>0</v>
      </c>
    </row>
    <row r="214" spans="1:8" ht="50.4" x14ac:dyDescent="0.45">
      <c r="A214" s="171" t="s">
        <v>4408</v>
      </c>
      <c r="B214" s="171"/>
      <c r="C214" s="106" t="s">
        <v>963</v>
      </c>
      <c r="D214" s="106" t="s">
        <v>864</v>
      </c>
      <c r="E214" s="166"/>
      <c r="F214" s="171" t="s">
        <v>472</v>
      </c>
      <c r="G214" s="171">
        <v>10</v>
      </c>
      <c r="H214" s="168">
        <f t="shared" si="8"/>
        <v>0</v>
      </c>
    </row>
    <row r="215" spans="1:8" ht="50.4" x14ac:dyDescent="0.45">
      <c r="A215" s="171" t="s">
        <v>4409</v>
      </c>
      <c r="B215" s="171"/>
      <c r="C215" s="106" t="s">
        <v>965</v>
      </c>
      <c r="D215" s="106" t="s">
        <v>864</v>
      </c>
      <c r="E215" s="166"/>
      <c r="F215" s="171" t="s">
        <v>472</v>
      </c>
      <c r="G215" s="171">
        <v>10</v>
      </c>
      <c r="H215" s="168">
        <f t="shared" si="8"/>
        <v>0</v>
      </c>
    </row>
    <row r="216" spans="1:8" ht="50.4" x14ac:dyDescent="0.45">
      <c r="A216" s="171" t="s">
        <v>4410</v>
      </c>
      <c r="B216" s="171"/>
      <c r="C216" s="106" t="s">
        <v>967</v>
      </c>
      <c r="D216" s="106" t="s">
        <v>864</v>
      </c>
      <c r="E216" s="166"/>
      <c r="F216" s="171" t="s">
        <v>472</v>
      </c>
      <c r="G216" s="171">
        <v>10</v>
      </c>
      <c r="H216" s="168">
        <f t="shared" si="8"/>
        <v>0</v>
      </c>
    </row>
    <row r="217" spans="1:8" ht="50.4" x14ac:dyDescent="0.45">
      <c r="A217" s="171" t="s">
        <v>4411</v>
      </c>
      <c r="B217" s="171"/>
      <c r="C217" s="106" t="s">
        <v>969</v>
      </c>
      <c r="D217" s="106" t="s">
        <v>864</v>
      </c>
      <c r="E217" s="166"/>
      <c r="F217" s="171" t="s">
        <v>472</v>
      </c>
      <c r="G217" s="171">
        <v>10</v>
      </c>
      <c r="H217" s="168">
        <f t="shared" si="8"/>
        <v>0</v>
      </c>
    </row>
    <row r="218" spans="1:8" ht="50.4" x14ac:dyDescent="0.45">
      <c r="A218" s="171" t="s">
        <v>4412</v>
      </c>
      <c r="B218" s="171"/>
      <c r="C218" s="106" t="s">
        <v>971</v>
      </c>
      <c r="D218" s="106" t="s">
        <v>864</v>
      </c>
      <c r="E218" s="166"/>
      <c r="F218" s="171" t="s">
        <v>472</v>
      </c>
      <c r="G218" s="171">
        <v>10</v>
      </c>
      <c r="H218" s="168">
        <f t="shared" si="8"/>
        <v>0</v>
      </c>
    </row>
    <row r="219" spans="1:8" ht="50.4" x14ac:dyDescent="0.45">
      <c r="A219" s="171" t="s">
        <v>4413</v>
      </c>
      <c r="B219" s="171"/>
      <c r="C219" s="106" t="s">
        <v>973</v>
      </c>
      <c r="D219" s="106" t="s">
        <v>864</v>
      </c>
      <c r="E219" s="166"/>
      <c r="F219" s="171" t="s">
        <v>472</v>
      </c>
      <c r="G219" s="171">
        <v>10</v>
      </c>
      <c r="H219" s="168">
        <f t="shared" si="8"/>
        <v>0</v>
      </c>
    </row>
    <row r="220" spans="1:8" ht="37.799999999999997" x14ac:dyDescent="0.45">
      <c r="A220" s="171" t="s">
        <v>4414</v>
      </c>
      <c r="B220" s="171"/>
      <c r="C220" s="106" t="s">
        <v>975</v>
      </c>
      <c r="D220" s="106" t="s">
        <v>864</v>
      </c>
      <c r="E220" s="166"/>
      <c r="F220" s="171" t="s">
        <v>472</v>
      </c>
      <c r="G220" s="171">
        <v>10</v>
      </c>
      <c r="H220" s="168">
        <f t="shared" si="8"/>
        <v>0</v>
      </c>
    </row>
    <row r="221" spans="1:8" ht="37.799999999999997" x14ac:dyDescent="0.45">
      <c r="A221" s="171" t="s">
        <v>4415</v>
      </c>
      <c r="B221" s="171"/>
      <c r="C221" s="106" t="s">
        <v>977</v>
      </c>
      <c r="D221" s="106" t="s">
        <v>864</v>
      </c>
      <c r="E221" s="166"/>
      <c r="F221" s="171" t="s">
        <v>472</v>
      </c>
      <c r="G221" s="171">
        <v>10</v>
      </c>
      <c r="H221" s="168">
        <f t="shared" si="8"/>
        <v>0</v>
      </c>
    </row>
    <row r="222" spans="1:8" ht="37.799999999999997" x14ac:dyDescent="0.45">
      <c r="A222" s="171" t="s">
        <v>4416</v>
      </c>
      <c r="B222" s="171"/>
      <c r="C222" s="106" t="s">
        <v>979</v>
      </c>
      <c r="D222" s="106" t="s">
        <v>864</v>
      </c>
      <c r="E222" s="166"/>
      <c r="F222" s="171" t="s">
        <v>472</v>
      </c>
      <c r="G222" s="171">
        <v>10</v>
      </c>
      <c r="H222" s="168">
        <f t="shared" si="8"/>
        <v>0</v>
      </c>
    </row>
    <row r="223" spans="1:8" ht="37.799999999999997" x14ac:dyDescent="0.45">
      <c r="A223" s="171" t="s">
        <v>4417</v>
      </c>
      <c r="B223" s="171"/>
      <c r="C223" s="106" t="s">
        <v>981</v>
      </c>
      <c r="D223" s="106" t="s">
        <v>864</v>
      </c>
      <c r="E223" s="166"/>
      <c r="F223" s="171" t="s">
        <v>472</v>
      </c>
      <c r="G223" s="171">
        <v>10</v>
      </c>
      <c r="H223" s="168">
        <f t="shared" si="8"/>
        <v>0</v>
      </c>
    </row>
    <row r="224" spans="1:8" ht="37.799999999999997" x14ac:dyDescent="0.45">
      <c r="A224" s="171" t="s">
        <v>4418</v>
      </c>
      <c r="B224" s="171"/>
      <c r="C224" s="106" t="s">
        <v>983</v>
      </c>
      <c r="D224" s="106" t="s">
        <v>864</v>
      </c>
      <c r="E224" s="166"/>
      <c r="F224" s="171" t="s">
        <v>472</v>
      </c>
      <c r="G224" s="171">
        <v>10</v>
      </c>
      <c r="H224" s="168">
        <f t="shared" si="8"/>
        <v>0</v>
      </c>
    </row>
    <row r="225" spans="1:8" ht="63" x14ac:dyDescent="0.45">
      <c r="A225" s="171" t="s">
        <v>4419</v>
      </c>
      <c r="B225" s="171"/>
      <c r="C225" s="106" t="s">
        <v>985</v>
      </c>
      <c r="D225" s="106" t="s">
        <v>864</v>
      </c>
      <c r="E225" s="166"/>
      <c r="F225" s="171" t="s">
        <v>472</v>
      </c>
      <c r="G225" s="171">
        <v>10</v>
      </c>
      <c r="H225" s="168">
        <f t="shared" si="8"/>
        <v>0</v>
      </c>
    </row>
    <row r="226" spans="1:8" ht="63" x14ac:dyDescent="0.45">
      <c r="A226" s="171" t="s">
        <v>4420</v>
      </c>
      <c r="B226" s="171"/>
      <c r="C226" s="106" t="s">
        <v>987</v>
      </c>
      <c r="D226" s="106" t="s">
        <v>864</v>
      </c>
      <c r="E226" s="166"/>
      <c r="F226" s="171" t="s">
        <v>472</v>
      </c>
      <c r="G226" s="171">
        <v>10</v>
      </c>
      <c r="H226" s="168">
        <f t="shared" si="8"/>
        <v>0</v>
      </c>
    </row>
    <row r="227" spans="1:8" ht="37.799999999999997" x14ac:dyDescent="0.45">
      <c r="A227" s="171" t="s">
        <v>4421</v>
      </c>
      <c r="B227" s="171"/>
      <c r="C227" s="106" t="s">
        <v>989</v>
      </c>
      <c r="D227" s="106" t="s">
        <v>864</v>
      </c>
      <c r="E227" s="166"/>
      <c r="F227" s="171" t="s">
        <v>472</v>
      </c>
      <c r="G227" s="171">
        <v>10</v>
      </c>
      <c r="H227" s="168">
        <f t="shared" si="8"/>
        <v>0</v>
      </c>
    </row>
    <row r="228" spans="1:8" ht="37.799999999999997" x14ac:dyDescent="0.45">
      <c r="A228" s="171" t="s">
        <v>4422</v>
      </c>
      <c r="B228" s="171"/>
      <c r="C228" s="106" t="s">
        <v>991</v>
      </c>
      <c r="D228" s="106" t="s">
        <v>864</v>
      </c>
      <c r="E228" s="166"/>
      <c r="F228" s="171" t="s">
        <v>472</v>
      </c>
      <c r="G228" s="171">
        <v>10</v>
      </c>
      <c r="H228" s="168">
        <f t="shared" si="8"/>
        <v>0</v>
      </c>
    </row>
    <row r="229" spans="1:8" ht="37.799999999999997" x14ac:dyDescent="0.45">
      <c r="A229" s="171" t="s">
        <v>4423</v>
      </c>
      <c r="B229" s="171"/>
      <c r="C229" s="106" t="s">
        <v>993</v>
      </c>
      <c r="D229" s="106" t="s">
        <v>864</v>
      </c>
      <c r="E229" s="166"/>
      <c r="F229" s="171" t="s">
        <v>472</v>
      </c>
      <c r="G229" s="171">
        <v>10</v>
      </c>
      <c r="H229" s="168">
        <f t="shared" si="8"/>
        <v>0</v>
      </c>
    </row>
    <row r="230" spans="1:8" ht="37.799999999999997" x14ac:dyDescent="0.45">
      <c r="A230" s="171" t="s">
        <v>4424</v>
      </c>
      <c r="B230" s="171"/>
      <c r="C230" s="106" t="s">
        <v>995</v>
      </c>
      <c r="D230" s="106" t="s">
        <v>864</v>
      </c>
      <c r="E230" s="166"/>
      <c r="F230" s="171" t="s">
        <v>472</v>
      </c>
      <c r="G230" s="171">
        <v>10</v>
      </c>
      <c r="H230" s="168">
        <f t="shared" si="8"/>
        <v>0</v>
      </c>
    </row>
    <row r="231" spans="1:8" ht="37.799999999999997" x14ac:dyDescent="0.45">
      <c r="A231" s="171" t="s">
        <v>4425</v>
      </c>
      <c r="B231" s="171"/>
      <c r="C231" s="106" t="s">
        <v>997</v>
      </c>
      <c r="D231" s="106" t="s">
        <v>864</v>
      </c>
      <c r="E231" s="166"/>
      <c r="F231" s="171" t="s">
        <v>472</v>
      </c>
      <c r="G231" s="171">
        <v>10</v>
      </c>
      <c r="H231" s="168">
        <f t="shared" si="8"/>
        <v>0</v>
      </c>
    </row>
    <row r="232" spans="1:8" ht="37.799999999999997" x14ac:dyDescent="0.45">
      <c r="A232" s="171" t="s">
        <v>4426</v>
      </c>
      <c r="B232" s="171"/>
      <c r="C232" s="106" t="s">
        <v>999</v>
      </c>
      <c r="D232" s="106" t="s">
        <v>864</v>
      </c>
      <c r="E232" s="166"/>
      <c r="F232" s="171" t="s">
        <v>472</v>
      </c>
      <c r="G232" s="171">
        <v>10</v>
      </c>
      <c r="H232" s="168">
        <f t="shared" si="8"/>
        <v>0</v>
      </c>
    </row>
    <row r="233" spans="1:8" ht="37.799999999999997" x14ac:dyDescent="0.45">
      <c r="A233" s="171" t="s">
        <v>4427</v>
      </c>
      <c r="B233" s="171"/>
      <c r="C233" s="106" t="s">
        <v>1001</v>
      </c>
      <c r="D233" s="106" t="s">
        <v>864</v>
      </c>
      <c r="E233" s="166"/>
      <c r="F233" s="171" t="s">
        <v>472</v>
      </c>
      <c r="G233" s="171">
        <v>10</v>
      </c>
      <c r="H233" s="168">
        <f t="shared" si="8"/>
        <v>0</v>
      </c>
    </row>
    <row r="234" spans="1:8" ht="37.799999999999997" x14ac:dyDescent="0.45">
      <c r="A234" s="171" t="s">
        <v>4428</v>
      </c>
      <c r="B234" s="171"/>
      <c r="C234" s="106" t="s">
        <v>1003</v>
      </c>
      <c r="D234" s="106" t="s">
        <v>864</v>
      </c>
      <c r="E234" s="166"/>
      <c r="F234" s="171" t="s">
        <v>472</v>
      </c>
      <c r="G234" s="171">
        <v>10</v>
      </c>
      <c r="H234" s="168">
        <f t="shared" si="8"/>
        <v>0</v>
      </c>
    </row>
    <row r="235" spans="1:8" ht="37.799999999999997" x14ac:dyDescent="0.45">
      <c r="A235" s="171" t="s">
        <v>4429</v>
      </c>
      <c r="B235" s="171"/>
      <c r="C235" s="106" t="s">
        <v>1005</v>
      </c>
      <c r="D235" s="106" t="s">
        <v>864</v>
      </c>
      <c r="E235" s="166"/>
      <c r="F235" s="171" t="s">
        <v>472</v>
      </c>
      <c r="G235" s="171">
        <v>10</v>
      </c>
      <c r="H235" s="168">
        <f t="shared" si="8"/>
        <v>0</v>
      </c>
    </row>
    <row r="236" spans="1:8" ht="37.799999999999997" x14ac:dyDescent="0.45">
      <c r="A236" s="171" t="s">
        <v>4430</v>
      </c>
      <c r="B236" s="171"/>
      <c r="C236" s="106" t="s">
        <v>1007</v>
      </c>
      <c r="D236" s="106" t="s">
        <v>864</v>
      </c>
      <c r="E236" s="166"/>
      <c r="F236" s="171" t="s">
        <v>472</v>
      </c>
      <c r="G236" s="171">
        <v>10</v>
      </c>
      <c r="H236" s="168">
        <f t="shared" si="8"/>
        <v>0</v>
      </c>
    </row>
    <row r="237" spans="1:8" ht="37.799999999999997" x14ac:dyDescent="0.45">
      <c r="A237" s="171" t="s">
        <v>4431</v>
      </c>
      <c r="B237" s="171"/>
      <c r="C237" s="106" t="s">
        <v>1009</v>
      </c>
      <c r="D237" s="106" t="s">
        <v>864</v>
      </c>
      <c r="E237" s="166"/>
      <c r="F237" s="171" t="s">
        <v>472</v>
      </c>
      <c r="G237" s="171">
        <v>10</v>
      </c>
      <c r="H237" s="168">
        <f t="shared" si="8"/>
        <v>0</v>
      </c>
    </row>
    <row r="238" spans="1:8" ht="37.799999999999997" x14ac:dyDescent="0.45">
      <c r="A238" s="171" t="s">
        <v>4432</v>
      </c>
      <c r="B238" s="171"/>
      <c r="C238" s="106" t="s">
        <v>1011</v>
      </c>
      <c r="D238" s="106" t="s">
        <v>864</v>
      </c>
      <c r="E238" s="166"/>
      <c r="F238" s="171" t="s">
        <v>472</v>
      </c>
      <c r="G238" s="171">
        <v>10</v>
      </c>
      <c r="H238" s="168">
        <f t="shared" si="8"/>
        <v>0</v>
      </c>
    </row>
    <row r="239" spans="1:8" ht="37.799999999999997" x14ac:dyDescent="0.45">
      <c r="A239" s="171" t="s">
        <v>4433</v>
      </c>
      <c r="B239" s="171"/>
      <c r="C239" s="106" t="s">
        <v>1013</v>
      </c>
      <c r="D239" s="106" t="s">
        <v>864</v>
      </c>
      <c r="E239" s="166"/>
      <c r="F239" s="171" t="s">
        <v>472</v>
      </c>
      <c r="G239" s="171">
        <v>10</v>
      </c>
      <c r="H239" s="168">
        <f t="shared" si="8"/>
        <v>0</v>
      </c>
    </row>
    <row r="240" spans="1:8" ht="37.799999999999997" x14ac:dyDescent="0.45">
      <c r="A240" s="171" t="s">
        <v>4434</v>
      </c>
      <c r="B240" s="171"/>
      <c r="C240" s="106" t="s">
        <v>1015</v>
      </c>
      <c r="D240" s="106" t="s">
        <v>864</v>
      </c>
      <c r="E240" s="166"/>
      <c r="F240" s="171" t="s">
        <v>472</v>
      </c>
      <c r="G240" s="171">
        <v>10</v>
      </c>
      <c r="H240" s="168">
        <f t="shared" si="8"/>
        <v>0</v>
      </c>
    </row>
    <row r="241" spans="1:8" ht="37.799999999999997" x14ac:dyDescent="0.45">
      <c r="A241" s="171" t="s">
        <v>4435</v>
      </c>
      <c r="B241" s="171"/>
      <c r="C241" s="106" t="s">
        <v>1017</v>
      </c>
      <c r="D241" s="106" t="s">
        <v>864</v>
      </c>
      <c r="E241" s="166"/>
      <c r="F241" s="171" t="s">
        <v>472</v>
      </c>
      <c r="G241" s="171">
        <v>10</v>
      </c>
      <c r="H241" s="168">
        <f t="shared" si="8"/>
        <v>0</v>
      </c>
    </row>
    <row r="242" spans="1:8" ht="37.799999999999997" x14ac:dyDescent="0.45">
      <c r="A242" s="171" t="s">
        <v>4436</v>
      </c>
      <c r="B242" s="171"/>
      <c r="C242" s="106" t="s">
        <v>1019</v>
      </c>
      <c r="D242" s="106" t="s">
        <v>864</v>
      </c>
      <c r="E242" s="166"/>
      <c r="F242" s="171" t="s">
        <v>472</v>
      </c>
      <c r="G242" s="171">
        <v>10</v>
      </c>
      <c r="H242" s="168">
        <f t="shared" si="8"/>
        <v>0</v>
      </c>
    </row>
    <row r="243" spans="1:8" ht="37.799999999999997" x14ac:dyDescent="0.45">
      <c r="A243" s="171" t="s">
        <v>4437</v>
      </c>
      <c r="B243" s="171"/>
      <c r="C243" s="106" t="s">
        <v>1021</v>
      </c>
      <c r="D243" s="106" t="s">
        <v>864</v>
      </c>
      <c r="E243" s="166"/>
      <c r="F243" s="171" t="s">
        <v>472</v>
      </c>
      <c r="G243" s="171">
        <v>10</v>
      </c>
      <c r="H243" s="168">
        <f t="shared" si="8"/>
        <v>0</v>
      </c>
    </row>
    <row r="244" spans="1:8" ht="37.799999999999997" x14ac:dyDescent="0.45">
      <c r="A244" s="171" t="s">
        <v>4438</v>
      </c>
      <c r="B244" s="171"/>
      <c r="C244" s="106" t="s">
        <v>1023</v>
      </c>
      <c r="D244" s="106" t="s">
        <v>864</v>
      </c>
      <c r="E244" s="166"/>
      <c r="F244" s="171" t="s">
        <v>472</v>
      </c>
      <c r="G244" s="171">
        <v>10</v>
      </c>
      <c r="H244" s="168">
        <f t="shared" si="8"/>
        <v>0</v>
      </c>
    </row>
    <row r="245" spans="1:8" ht="37.799999999999997" x14ac:dyDescent="0.45">
      <c r="A245" s="171" t="s">
        <v>4439</v>
      </c>
      <c r="B245" s="171"/>
      <c r="C245" s="106" t="s">
        <v>1025</v>
      </c>
      <c r="D245" s="106" t="s">
        <v>864</v>
      </c>
      <c r="E245" s="166"/>
      <c r="F245" s="171" t="s">
        <v>472</v>
      </c>
      <c r="G245" s="171">
        <v>10</v>
      </c>
      <c r="H245" s="168">
        <f t="shared" si="8"/>
        <v>0</v>
      </c>
    </row>
    <row r="246" spans="1:8" ht="37.799999999999997" x14ac:dyDescent="0.45">
      <c r="A246" s="171" t="s">
        <v>4440</v>
      </c>
      <c r="B246" s="171"/>
      <c r="C246" s="106" t="s">
        <v>1027</v>
      </c>
      <c r="D246" s="106" t="s">
        <v>864</v>
      </c>
      <c r="E246" s="166"/>
      <c r="F246" s="171" t="s">
        <v>472</v>
      </c>
      <c r="G246" s="171">
        <v>10</v>
      </c>
      <c r="H246" s="168">
        <f t="shared" si="8"/>
        <v>0</v>
      </c>
    </row>
    <row r="247" spans="1:8" ht="37.799999999999997" x14ac:dyDescent="0.45">
      <c r="A247" s="171" t="s">
        <v>4441</v>
      </c>
      <c r="B247" s="171"/>
      <c r="C247" s="106" t="s">
        <v>1029</v>
      </c>
      <c r="D247" s="106" t="s">
        <v>864</v>
      </c>
      <c r="E247" s="166"/>
      <c r="F247" s="171" t="s">
        <v>472</v>
      </c>
      <c r="G247" s="171">
        <v>10</v>
      </c>
      <c r="H247" s="168">
        <f t="shared" si="8"/>
        <v>0</v>
      </c>
    </row>
    <row r="248" spans="1:8" ht="37.799999999999997" x14ac:dyDescent="0.45">
      <c r="A248" s="171" t="s">
        <v>4442</v>
      </c>
      <c r="B248" s="171"/>
      <c r="C248" s="106" t="s">
        <v>1031</v>
      </c>
      <c r="D248" s="106" t="s">
        <v>864</v>
      </c>
      <c r="E248" s="166"/>
      <c r="F248" s="171" t="s">
        <v>472</v>
      </c>
      <c r="G248" s="171">
        <v>10</v>
      </c>
      <c r="H248" s="168">
        <f t="shared" si="8"/>
        <v>0</v>
      </c>
    </row>
    <row r="249" spans="1:8" ht="37.799999999999997" x14ac:dyDescent="0.45">
      <c r="A249" s="171" t="s">
        <v>4443</v>
      </c>
      <c r="B249" s="171"/>
      <c r="C249" s="106" t="s">
        <v>1033</v>
      </c>
      <c r="D249" s="106" t="s">
        <v>864</v>
      </c>
      <c r="E249" s="166"/>
      <c r="F249" s="171" t="s">
        <v>472</v>
      </c>
      <c r="G249" s="171">
        <v>10</v>
      </c>
      <c r="H249" s="168">
        <f t="shared" si="8"/>
        <v>0</v>
      </c>
    </row>
    <row r="250" spans="1:8" ht="37.799999999999997" x14ac:dyDescent="0.45">
      <c r="A250" s="171" t="s">
        <v>4444</v>
      </c>
      <c r="B250" s="171"/>
      <c r="C250" s="106" t="s">
        <v>1035</v>
      </c>
      <c r="D250" s="106" t="s">
        <v>864</v>
      </c>
      <c r="E250" s="166"/>
      <c r="F250" s="171" t="s">
        <v>472</v>
      </c>
      <c r="G250" s="171">
        <v>10</v>
      </c>
      <c r="H250" s="168">
        <f t="shared" si="8"/>
        <v>0</v>
      </c>
    </row>
    <row r="251" spans="1:8" ht="37.799999999999997" x14ac:dyDescent="0.45">
      <c r="A251" s="171" t="s">
        <v>4445</v>
      </c>
      <c r="B251" s="171"/>
      <c r="C251" s="106" t="s">
        <v>1037</v>
      </c>
      <c r="D251" s="106" t="s">
        <v>864</v>
      </c>
      <c r="E251" s="166"/>
      <c r="F251" s="171" t="s">
        <v>472</v>
      </c>
      <c r="G251" s="171">
        <v>10</v>
      </c>
      <c r="H251" s="168">
        <f t="shared" si="8"/>
        <v>0</v>
      </c>
    </row>
    <row r="252" spans="1:8" ht="37.799999999999997" x14ac:dyDescent="0.45">
      <c r="A252" s="171" t="s">
        <v>4446</v>
      </c>
      <c r="B252" s="171"/>
      <c r="C252" s="106" t="s">
        <v>1039</v>
      </c>
      <c r="D252" s="106" t="s">
        <v>864</v>
      </c>
      <c r="E252" s="166"/>
      <c r="F252" s="171" t="s">
        <v>472</v>
      </c>
      <c r="G252" s="171">
        <v>10</v>
      </c>
      <c r="H252" s="168">
        <f t="shared" si="8"/>
        <v>0</v>
      </c>
    </row>
    <row r="253" spans="1:8" ht="37.799999999999997" x14ac:dyDescent="0.45">
      <c r="A253" s="171" t="s">
        <v>4447</v>
      </c>
      <c r="B253" s="171"/>
      <c r="C253" s="106" t="s">
        <v>1041</v>
      </c>
      <c r="D253" s="106" t="s">
        <v>864</v>
      </c>
      <c r="E253" s="166"/>
      <c r="F253" s="171" t="s">
        <v>472</v>
      </c>
      <c r="G253" s="171">
        <v>10</v>
      </c>
      <c r="H253" s="168">
        <f t="shared" si="8"/>
        <v>0</v>
      </c>
    </row>
    <row r="254" spans="1:8" ht="37.799999999999997" x14ac:dyDescent="0.45">
      <c r="A254" s="171" t="s">
        <v>4448</v>
      </c>
      <c r="B254" s="171"/>
      <c r="C254" s="106" t="s">
        <v>1043</v>
      </c>
      <c r="D254" s="106" t="s">
        <v>864</v>
      </c>
      <c r="E254" s="166"/>
      <c r="F254" s="171" t="s">
        <v>472</v>
      </c>
      <c r="G254" s="171">
        <v>10</v>
      </c>
      <c r="H254" s="168">
        <f t="shared" si="8"/>
        <v>0</v>
      </c>
    </row>
    <row r="255" spans="1:8" ht="37.799999999999997" x14ac:dyDescent="0.45">
      <c r="A255" s="171" t="s">
        <v>4449</v>
      </c>
      <c r="B255" s="171"/>
      <c r="C255" s="106" t="s">
        <v>1045</v>
      </c>
      <c r="D255" s="106" t="s">
        <v>864</v>
      </c>
      <c r="E255" s="166"/>
      <c r="F255" s="171" t="s">
        <v>472</v>
      </c>
      <c r="G255" s="171">
        <v>10</v>
      </c>
      <c r="H255" s="168">
        <f t="shared" si="8"/>
        <v>0</v>
      </c>
    </row>
    <row r="256" spans="1:8" ht="37.799999999999997" x14ac:dyDescent="0.45">
      <c r="A256" s="171" t="s">
        <v>4450</v>
      </c>
      <c r="B256" s="171"/>
      <c r="C256" s="106" t="s">
        <v>1047</v>
      </c>
      <c r="D256" s="106" t="s">
        <v>864</v>
      </c>
      <c r="E256" s="166"/>
      <c r="F256" s="171" t="s">
        <v>472</v>
      </c>
      <c r="G256" s="171">
        <v>10</v>
      </c>
      <c r="H256" s="168">
        <f t="shared" si="8"/>
        <v>0</v>
      </c>
    </row>
    <row r="257" spans="1:8" ht="37.799999999999997" x14ac:dyDescent="0.45">
      <c r="A257" s="171" t="s">
        <v>4451</v>
      </c>
      <c r="B257" s="171"/>
      <c r="C257" s="106" t="s">
        <v>1049</v>
      </c>
      <c r="D257" s="106" t="s">
        <v>864</v>
      </c>
      <c r="E257" s="166"/>
      <c r="F257" s="171" t="s">
        <v>472</v>
      </c>
      <c r="G257" s="171">
        <v>10</v>
      </c>
      <c r="H257" s="168">
        <f t="shared" si="8"/>
        <v>0</v>
      </c>
    </row>
    <row r="258" spans="1:8" ht="37.799999999999997" x14ac:dyDescent="0.45">
      <c r="A258" s="171" t="s">
        <v>4452</v>
      </c>
      <c r="B258" s="171"/>
      <c r="C258" s="106" t="s">
        <v>1051</v>
      </c>
      <c r="D258" s="106" t="s">
        <v>864</v>
      </c>
      <c r="E258" s="166"/>
      <c r="F258" s="171" t="s">
        <v>472</v>
      </c>
      <c r="G258" s="171">
        <v>10</v>
      </c>
      <c r="H258" s="168">
        <f t="shared" si="8"/>
        <v>0</v>
      </c>
    </row>
    <row r="259" spans="1:8" x14ac:dyDescent="0.45">
      <c r="A259" s="118" t="s">
        <v>4453</v>
      </c>
      <c r="B259" s="184" t="s">
        <v>180</v>
      </c>
      <c r="D259" s="120"/>
      <c r="E259" s="142"/>
      <c r="F259" s="171"/>
      <c r="G259" s="172"/>
      <c r="H259" s="220"/>
    </row>
    <row r="260" spans="1:8" ht="13" customHeight="1" x14ac:dyDescent="0.45">
      <c r="A260" s="310"/>
      <c r="B260" s="426" t="s">
        <v>1053</v>
      </c>
      <c r="C260" s="427"/>
      <c r="D260" s="428"/>
      <c r="E260" s="159"/>
      <c r="F260" s="209"/>
      <c r="G260" s="210"/>
      <c r="H260" s="163"/>
    </row>
    <row r="261" spans="1:8" ht="63" x14ac:dyDescent="0.45">
      <c r="A261" s="171" t="s">
        <v>4454</v>
      </c>
      <c r="B261" s="171"/>
      <c r="C261" s="106" t="s">
        <v>1055</v>
      </c>
      <c r="D261" s="106" t="s">
        <v>1056</v>
      </c>
      <c r="E261" s="166"/>
      <c r="F261" s="171" t="s">
        <v>633</v>
      </c>
      <c r="G261" s="172">
        <v>2500</v>
      </c>
      <c r="H261" s="168">
        <f>SUM(E261)*G261</f>
        <v>0</v>
      </c>
    </row>
    <row r="262" spans="1:8" ht="50.4" x14ac:dyDescent="0.45">
      <c r="A262" s="171" t="s">
        <v>4455</v>
      </c>
      <c r="B262" s="171"/>
      <c r="C262" s="106" t="s">
        <v>1058</v>
      </c>
      <c r="D262" s="106" t="s">
        <v>1059</v>
      </c>
      <c r="E262" s="166"/>
      <c r="F262" s="171" t="s">
        <v>633</v>
      </c>
      <c r="G262" s="172">
        <v>2500</v>
      </c>
      <c r="H262" s="168">
        <f>SUM(E262)*G262</f>
        <v>0</v>
      </c>
    </row>
    <row r="263" spans="1:8" ht="37.799999999999997" x14ac:dyDescent="0.45">
      <c r="A263" s="171" t="s">
        <v>4456</v>
      </c>
      <c r="B263" s="171"/>
      <c r="C263" s="106" t="s">
        <v>1061</v>
      </c>
      <c r="D263" s="106" t="s">
        <v>1062</v>
      </c>
      <c r="E263" s="190"/>
      <c r="F263" s="171" t="s">
        <v>1063</v>
      </c>
      <c r="G263" s="172" t="s">
        <v>1064</v>
      </c>
      <c r="H263" s="168">
        <v>100000</v>
      </c>
    </row>
    <row r="264" spans="1:8" x14ac:dyDescent="0.45">
      <c r="A264" s="191"/>
      <c r="B264" s="191"/>
      <c r="C264" s="192"/>
      <c r="D264" s="193"/>
      <c r="E264" s="194"/>
      <c r="F264" s="193"/>
      <c r="G264" s="195"/>
      <c r="H264" s="168"/>
    </row>
    <row r="265" spans="1:8" ht="7.5" customHeight="1" x14ac:dyDescent="0.45">
      <c r="A265" s="154"/>
      <c r="B265" s="154"/>
      <c r="C265" s="155"/>
      <c r="D265" s="155"/>
      <c r="E265" s="156"/>
      <c r="F265" s="155"/>
      <c r="G265" s="157"/>
      <c r="H265" s="158"/>
    </row>
    <row r="266" spans="1:8" ht="13.2" customHeight="1" x14ac:dyDescent="0.45">
      <c r="A266" s="411" t="s">
        <v>4457</v>
      </c>
      <c r="B266" s="412"/>
      <c r="C266" s="412"/>
      <c r="D266" s="412"/>
      <c r="E266" s="412"/>
      <c r="F266" s="412"/>
      <c r="G266" s="196"/>
      <c r="H266" s="436">
        <f>SUM(H15:H263)</f>
        <v>100000</v>
      </c>
    </row>
    <row r="267" spans="1:8" ht="7.5" customHeight="1" x14ac:dyDescent="0.45">
      <c r="A267" s="154"/>
      <c r="B267" s="154"/>
      <c r="C267" s="155"/>
      <c r="D267" s="155"/>
      <c r="E267" s="156"/>
      <c r="F267" s="155"/>
      <c r="G267" s="157"/>
      <c r="H267" s="158"/>
    </row>
  </sheetData>
  <mergeCells count="13">
    <mergeCell ref="A266:F266"/>
    <mergeCell ref="A7:H7"/>
    <mergeCell ref="A8:H8"/>
    <mergeCell ref="A9:H9"/>
    <mergeCell ref="A10:H10"/>
    <mergeCell ref="A12:D12"/>
    <mergeCell ref="B260:D260"/>
    <mergeCell ref="A6:H6"/>
    <mergeCell ref="A1:H1"/>
    <mergeCell ref="A2:H2"/>
    <mergeCell ref="A3:H3"/>
    <mergeCell ref="A4:H4"/>
    <mergeCell ref="A5:H5"/>
  </mergeCells>
  <printOptions horizontalCentered="1"/>
  <pageMargins left="0.28000000000000003" right="0.23" top="0.51" bottom="0.56000000000000005" header="0.3" footer="0.31"/>
  <pageSetup scale="80" orientation="landscape" horizontalDpi="4294967293" r:id="rId1"/>
  <headerFooter alignWithMargins="0">
    <oddFooter>&amp;C&amp;"Times New Roman,Regular"Page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88F75-FC9F-4B3A-9E02-61EFD1D6110D}">
  <sheetPr>
    <tabColor rgb="FFFFFFCC"/>
  </sheetPr>
  <dimension ref="A1:XFB471"/>
  <sheetViews>
    <sheetView zoomScaleNormal="100" zoomScaleSheetLayoutView="100" workbookViewId="0">
      <selection activeCell="A11" sqref="A11"/>
    </sheetView>
  </sheetViews>
  <sheetFormatPr defaultColWidth="9.05859375" defaultRowHeight="12.6" x14ac:dyDescent="0.45"/>
  <cols>
    <col min="1" max="1" width="9.5859375" style="1" customWidth="1"/>
    <col min="2" max="3" width="9.8203125" style="105" customWidth="1"/>
    <col min="4" max="4" width="49.5859375" style="140" customWidth="1"/>
    <col min="5" max="6" width="9.5859375" style="105" customWidth="1"/>
    <col min="7" max="7" width="13.5859375" style="141" customWidth="1"/>
    <col min="8" max="8" width="17.5859375" style="141" customWidth="1"/>
    <col min="9" max="108" width="8.8203125" style="1" customWidth="1"/>
    <col min="109" max="16384" width="9.05859375" style="1"/>
  </cols>
  <sheetData>
    <row r="1" spans="1:16382" x14ac:dyDescent="0.45">
      <c r="A1" s="390" t="s">
        <v>4992</v>
      </c>
      <c r="B1" s="390"/>
      <c r="C1" s="390"/>
      <c r="D1" s="390"/>
      <c r="E1" s="390"/>
      <c r="F1" s="390"/>
      <c r="G1" s="390"/>
      <c r="H1" s="390"/>
      <c r="I1" s="392"/>
      <c r="J1" s="392"/>
      <c r="K1" s="392"/>
      <c r="L1" s="392"/>
      <c r="M1" s="392"/>
      <c r="N1" s="392"/>
    </row>
    <row r="2" spans="1:16382" x14ac:dyDescent="0.45">
      <c r="A2" s="390" t="s">
        <v>0</v>
      </c>
      <c r="B2" s="390"/>
      <c r="C2" s="390"/>
      <c r="D2" s="390"/>
      <c r="E2" s="390"/>
      <c r="F2" s="390"/>
      <c r="G2" s="390"/>
      <c r="H2" s="390"/>
      <c r="I2" s="392"/>
      <c r="J2" s="392"/>
      <c r="K2" s="392"/>
      <c r="L2" s="392"/>
      <c r="M2" s="392"/>
      <c r="N2" s="392"/>
    </row>
    <row r="3" spans="1:16382" x14ac:dyDescent="0.45">
      <c r="A3" s="390" t="s">
        <v>4991</v>
      </c>
      <c r="B3" s="390"/>
      <c r="C3" s="390"/>
      <c r="D3" s="390"/>
      <c r="E3" s="390"/>
      <c r="F3" s="390"/>
      <c r="G3" s="390"/>
      <c r="H3" s="390"/>
      <c r="I3" s="392"/>
      <c r="J3" s="392"/>
      <c r="K3" s="392"/>
      <c r="L3" s="392"/>
      <c r="M3" s="392"/>
      <c r="N3" s="392"/>
    </row>
    <row r="4" spans="1:16382" x14ac:dyDescent="0.45">
      <c r="A4" s="390"/>
      <c r="B4" s="390"/>
      <c r="C4" s="390"/>
      <c r="D4" s="391"/>
      <c r="E4" s="391"/>
      <c r="F4" s="391"/>
      <c r="G4" s="391"/>
      <c r="H4" s="391"/>
    </row>
    <row r="5" spans="1:16382" x14ac:dyDescent="0.45">
      <c r="A5" s="390" t="s">
        <v>5000</v>
      </c>
      <c r="B5" s="390"/>
      <c r="C5" s="390"/>
      <c r="D5" s="390"/>
      <c r="E5" s="390"/>
      <c r="F5" s="390"/>
      <c r="G5" s="390"/>
      <c r="H5" s="390"/>
      <c r="I5" s="390"/>
      <c r="J5" s="390"/>
      <c r="K5" s="390"/>
      <c r="L5" s="390"/>
      <c r="M5" s="390"/>
      <c r="N5" s="390"/>
      <c r="O5" s="390"/>
      <c r="P5" s="390"/>
      <c r="Q5" s="390"/>
      <c r="R5" s="390"/>
      <c r="S5" s="390"/>
      <c r="T5" s="390"/>
      <c r="U5" s="390"/>
      <c r="V5" s="390"/>
      <c r="W5" s="390"/>
      <c r="X5" s="390"/>
      <c r="Y5" s="390"/>
      <c r="Z5" s="390"/>
      <c r="AA5" s="390"/>
      <c r="AB5" s="390"/>
      <c r="AC5" s="390"/>
      <c r="AD5" s="390"/>
      <c r="AE5" s="390"/>
      <c r="AF5" s="390"/>
      <c r="AG5" s="390"/>
      <c r="AH5" s="390"/>
      <c r="AI5" s="390"/>
      <c r="AJ5" s="390"/>
      <c r="AK5" s="390"/>
      <c r="AL5" s="390"/>
      <c r="AM5" s="390"/>
      <c r="AN5" s="390"/>
      <c r="AO5" s="390"/>
      <c r="AP5" s="390"/>
      <c r="AQ5" s="390"/>
      <c r="AR5" s="390"/>
      <c r="AS5" s="390"/>
      <c r="AT5" s="390"/>
      <c r="AU5" s="390"/>
      <c r="AV5" s="390"/>
      <c r="AW5" s="390"/>
      <c r="AX5" s="390"/>
      <c r="AY5" s="390"/>
      <c r="AZ5" s="390"/>
      <c r="BA5" s="390"/>
      <c r="BB5" s="390"/>
      <c r="BC5" s="390"/>
      <c r="BD5" s="390"/>
      <c r="BE5" s="390"/>
      <c r="BF5" s="390"/>
      <c r="BG5" s="390"/>
      <c r="BH5" s="390"/>
      <c r="BI5" s="390"/>
      <c r="BJ5" s="390"/>
      <c r="BK5" s="390"/>
      <c r="BL5" s="390"/>
      <c r="BM5" s="390"/>
      <c r="BN5" s="390"/>
      <c r="BO5" s="390"/>
      <c r="BP5" s="390"/>
      <c r="BQ5" s="390"/>
      <c r="BR5" s="390"/>
      <c r="BS5" s="390"/>
      <c r="BT5" s="390"/>
      <c r="BU5" s="390"/>
      <c r="BV5" s="390"/>
      <c r="BW5" s="390"/>
      <c r="BX5" s="390"/>
      <c r="BY5" s="390"/>
      <c r="BZ5" s="390"/>
      <c r="CA5" s="390"/>
      <c r="CB5" s="390"/>
      <c r="CC5" s="390"/>
      <c r="CD5" s="390"/>
      <c r="CE5" s="390"/>
      <c r="CF5" s="390"/>
      <c r="CG5" s="390"/>
      <c r="CH5" s="390"/>
      <c r="CI5" s="390"/>
      <c r="CJ5" s="390"/>
      <c r="CK5" s="390"/>
      <c r="CL5" s="390"/>
      <c r="CM5" s="390"/>
      <c r="CN5" s="390"/>
      <c r="CO5" s="390"/>
      <c r="CP5" s="390"/>
      <c r="CQ5" s="390"/>
      <c r="CR5" s="390"/>
      <c r="CS5" s="390"/>
      <c r="CT5" s="390"/>
      <c r="CU5" s="390"/>
      <c r="CV5" s="390"/>
      <c r="CW5" s="390"/>
      <c r="CX5" s="390"/>
      <c r="CY5" s="390"/>
      <c r="CZ5" s="390"/>
      <c r="DA5" s="390"/>
      <c r="DB5" s="390"/>
      <c r="DC5" s="390"/>
      <c r="DD5" s="390"/>
      <c r="DE5" s="390"/>
      <c r="DF5" s="390"/>
      <c r="DG5" s="390"/>
      <c r="DH5" s="390"/>
      <c r="DI5" s="390"/>
      <c r="DJ5" s="390"/>
      <c r="DK5" s="390"/>
      <c r="DL5" s="390"/>
      <c r="DM5" s="390"/>
      <c r="DN5" s="390"/>
      <c r="DO5" s="390"/>
      <c r="DP5" s="390"/>
      <c r="DQ5" s="390"/>
      <c r="DR5" s="390"/>
      <c r="DS5" s="390"/>
      <c r="DT5" s="390"/>
      <c r="DU5" s="390"/>
      <c r="DV5" s="390"/>
      <c r="DW5" s="390"/>
      <c r="DX5" s="390"/>
      <c r="DY5" s="390"/>
      <c r="DZ5" s="390"/>
      <c r="EA5" s="390"/>
      <c r="EB5" s="390"/>
      <c r="EC5" s="390"/>
      <c r="ED5" s="390"/>
      <c r="EE5" s="390"/>
      <c r="EF5" s="390"/>
      <c r="EG5" s="390"/>
      <c r="EH5" s="390"/>
      <c r="EI5" s="390"/>
      <c r="EJ5" s="390"/>
      <c r="EK5" s="390"/>
      <c r="EL5" s="390"/>
      <c r="EM5" s="390"/>
      <c r="EN5" s="390"/>
      <c r="EO5" s="390"/>
      <c r="EP5" s="390"/>
      <c r="EQ5" s="390"/>
      <c r="ER5" s="390"/>
      <c r="ES5" s="390"/>
      <c r="ET5" s="390"/>
      <c r="EU5" s="390"/>
      <c r="EV5" s="390"/>
      <c r="EW5" s="390"/>
      <c r="EX5" s="390"/>
      <c r="EY5" s="390"/>
      <c r="EZ5" s="390"/>
      <c r="FA5" s="390"/>
      <c r="FB5" s="390"/>
      <c r="FC5" s="390"/>
      <c r="FD5" s="390"/>
      <c r="FE5" s="390"/>
      <c r="FF5" s="390"/>
      <c r="FG5" s="390"/>
      <c r="FH5" s="390"/>
      <c r="FI5" s="390"/>
      <c r="FJ5" s="390"/>
      <c r="FK5" s="390"/>
      <c r="FL5" s="390"/>
      <c r="FM5" s="390"/>
      <c r="FN5" s="390"/>
      <c r="FO5" s="390"/>
      <c r="FP5" s="390"/>
      <c r="FQ5" s="390"/>
      <c r="FR5" s="390"/>
      <c r="FS5" s="390"/>
      <c r="FT5" s="390"/>
      <c r="FU5" s="390"/>
      <c r="FV5" s="390"/>
      <c r="FW5" s="390"/>
      <c r="FX5" s="390"/>
      <c r="FY5" s="390"/>
      <c r="FZ5" s="390"/>
      <c r="GA5" s="390"/>
      <c r="GB5" s="390"/>
      <c r="GC5" s="390"/>
      <c r="GD5" s="390"/>
      <c r="GE5" s="390"/>
      <c r="GF5" s="390"/>
      <c r="GG5" s="390"/>
      <c r="GH5" s="390"/>
      <c r="GI5" s="390"/>
      <c r="GJ5" s="390"/>
      <c r="GK5" s="390"/>
      <c r="GL5" s="390"/>
      <c r="GM5" s="390"/>
      <c r="GN5" s="390"/>
      <c r="GO5" s="390"/>
      <c r="GP5" s="390"/>
      <c r="GQ5" s="390"/>
      <c r="GR5" s="390"/>
      <c r="GS5" s="390"/>
      <c r="GT5" s="390"/>
      <c r="GU5" s="390"/>
      <c r="GV5" s="390"/>
      <c r="GW5" s="390"/>
      <c r="GX5" s="390"/>
      <c r="GY5" s="390"/>
      <c r="GZ5" s="390"/>
      <c r="HA5" s="390"/>
      <c r="HB5" s="390"/>
      <c r="HC5" s="390"/>
      <c r="HD5" s="390"/>
      <c r="HE5" s="390"/>
      <c r="HF5" s="390"/>
      <c r="HG5" s="390"/>
      <c r="HH5" s="390"/>
      <c r="HI5" s="390"/>
      <c r="HJ5" s="390"/>
      <c r="HK5" s="390"/>
      <c r="HL5" s="390"/>
      <c r="HM5" s="390"/>
      <c r="HN5" s="390"/>
      <c r="HO5" s="390"/>
      <c r="HP5" s="390"/>
      <c r="HQ5" s="390"/>
      <c r="HR5" s="390"/>
      <c r="HS5" s="390"/>
      <c r="HT5" s="390"/>
      <c r="HU5" s="390"/>
      <c r="HV5" s="390"/>
      <c r="HW5" s="390"/>
      <c r="HX5" s="390"/>
      <c r="HY5" s="390"/>
      <c r="HZ5" s="390"/>
      <c r="IA5" s="390"/>
      <c r="IB5" s="390"/>
      <c r="IC5" s="390"/>
      <c r="ID5" s="390"/>
      <c r="IE5" s="390"/>
      <c r="IF5" s="390"/>
      <c r="IG5" s="390"/>
      <c r="IH5" s="390"/>
      <c r="II5" s="390"/>
      <c r="IJ5" s="390"/>
      <c r="IK5" s="390"/>
      <c r="IL5" s="390"/>
      <c r="IM5" s="390"/>
      <c r="IN5" s="390"/>
      <c r="IO5" s="390"/>
      <c r="IP5" s="390"/>
      <c r="IQ5" s="390"/>
      <c r="IR5" s="390"/>
      <c r="IS5" s="390"/>
      <c r="IT5" s="390"/>
      <c r="IU5" s="390"/>
      <c r="IV5" s="390"/>
      <c r="IW5" s="390"/>
      <c r="IX5" s="390"/>
      <c r="IY5" s="390"/>
      <c r="IZ5" s="390"/>
      <c r="JA5" s="390"/>
      <c r="JB5" s="390"/>
      <c r="JC5" s="390"/>
      <c r="JD5" s="390"/>
      <c r="JE5" s="390"/>
      <c r="JF5" s="390"/>
      <c r="JG5" s="390"/>
      <c r="JH5" s="390"/>
      <c r="JI5" s="390"/>
      <c r="JJ5" s="390"/>
      <c r="JK5" s="390"/>
      <c r="JL5" s="390"/>
      <c r="JM5" s="390"/>
      <c r="JN5" s="390"/>
      <c r="JO5" s="390"/>
      <c r="JP5" s="390"/>
      <c r="JQ5" s="390"/>
      <c r="JR5" s="390"/>
      <c r="JS5" s="390"/>
      <c r="JT5" s="390"/>
      <c r="JU5" s="390"/>
      <c r="JV5" s="390"/>
      <c r="JW5" s="390"/>
      <c r="JX5" s="390"/>
      <c r="JY5" s="390"/>
      <c r="JZ5" s="390"/>
      <c r="KA5" s="390"/>
      <c r="KB5" s="390"/>
      <c r="KC5" s="390"/>
      <c r="KD5" s="390"/>
      <c r="KE5" s="390"/>
      <c r="KF5" s="390"/>
      <c r="KG5" s="390"/>
      <c r="KH5" s="390"/>
      <c r="KI5" s="390"/>
      <c r="KJ5" s="390"/>
      <c r="KK5" s="390"/>
      <c r="KL5" s="390"/>
      <c r="KM5" s="390"/>
      <c r="KN5" s="390"/>
      <c r="KO5" s="390"/>
      <c r="KP5" s="390"/>
      <c r="KQ5" s="390"/>
      <c r="KR5" s="390"/>
      <c r="KS5" s="390"/>
      <c r="KT5" s="390"/>
      <c r="KU5" s="390"/>
      <c r="KV5" s="390"/>
      <c r="KW5" s="390"/>
      <c r="KX5" s="390"/>
      <c r="KY5" s="390"/>
      <c r="KZ5" s="390"/>
      <c r="LA5" s="390"/>
      <c r="LB5" s="390"/>
      <c r="LC5" s="390"/>
      <c r="LD5" s="390"/>
      <c r="LE5" s="390"/>
      <c r="LF5" s="390"/>
      <c r="LG5" s="390"/>
      <c r="LH5" s="390"/>
      <c r="LI5" s="390"/>
      <c r="LJ5" s="390"/>
      <c r="LK5" s="390"/>
      <c r="LL5" s="390"/>
      <c r="LM5" s="390"/>
      <c r="LN5" s="390"/>
      <c r="LO5" s="390"/>
      <c r="LP5" s="390"/>
      <c r="LQ5" s="390"/>
      <c r="LR5" s="390"/>
      <c r="LS5" s="390"/>
      <c r="LT5" s="390"/>
      <c r="LU5" s="390"/>
      <c r="LV5" s="390"/>
      <c r="LW5" s="390"/>
      <c r="LX5" s="390"/>
      <c r="LY5" s="390"/>
      <c r="LZ5" s="390"/>
      <c r="MA5" s="390"/>
      <c r="MB5" s="390"/>
      <c r="MC5" s="390"/>
      <c r="MD5" s="390"/>
      <c r="ME5" s="390"/>
      <c r="MF5" s="390"/>
      <c r="MG5" s="390"/>
      <c r="MH5" s="390"/>
      <c r="MI5" s="390"/>
      <c r="MJ5" s="390"/>
      <c r="MK5" s="390"/>
      <c r="ML5" s="390"/>
      <c r="MM5" s="390"/>
      <c r="MN5" s="390"/>
      <c r="MO5" s="390"/>
      <c r="MP5" s="390"/>
      <c r="MQ5" s="390"/>
      <c r="MR5" s="390"/>
      <c r="MS5" s="390"/>
      <c r="MT5" s="390"/>
      <c r="MU5" s="390"/>
      <c r="MV5" s="390"/>
      <c r="MW5" s="390"/>
      <c r="MX5" s="390"/>
      <c r="MY5" s="390"/>
      <c r="MZ5" s="390"/>
      <c r="NA5" s="390"/>
      <c r="NB5" s="390"/>
      <c r="NC5" s="390"/>
      <c r="ND5" s="390"/>
      <c r="NE5" s="390"/>
      <c r="NF5" s="390"/>
      <c r="NG5" s="390"/>
      <c r="NH5" s="390"/>
      <c r="NI5" s="390"/>
      <c r="NJ5" s="390"/>
      <c r="NK5" s="390"/>
      <c r="NL5" s="390"/>
      <c r="NM5" s="390"/>
      <c r="NN5" s="390"/>
      <c r="NO5" s="390"/>
      <c r="NP5" s="390"/>
      <c r="NQ5" s="390"/>
      <c r="NR5" s="390"/>
      <c r="NS5" s="390"/>
      <c r="NT5" s="390"/>
      <c r="NU5" s="390"/>
      <c r="NV5" s="390"/>
      <c r="NW5" s="390"/>
      <c r="NX5" s="390"/>
      <c r="NY5" s="390"/>
      <c r="NZ5" s="390"/>
      <c r="OA5" s="390"/>
      <c r="OB5" s="390"/>
      <c r="OC5" s="390"/>
      <c r="OD5" s="390"/>
      <c r="OE5" s="390"/>
      <c r="OF5" s="390"/>
      <c r="OG5" s="390"/>
      <c r="OH5" s="390"/>
      <c r="OI5" s="390"/>
      <c r="OJ5" s="390"/>
      <c r="OK5" s="390"/>
      <c r="OL5" s="390"/>
      <c r="OM5" s="390"/>
      <c r="ON5" s="390"/>
      <c r="OO5" s="390"/>
      <c r="OP5" s="390"/>
      <c r="OQ5" s="390"/>
      <c r="OR5" s="390"/>
      <c r="OS5" s="390"/>
      <c r="OT5" s="390"/>
      <c r="OU5" s="390"/>
      <c r="OV5" s="390"/>
      <c r="OW5" s="390"/>
      <c r="OX5" s="390"/>
      <c r="OY5" s="390"/>
      <c r="OZ5" s="390"/>
      <c r="PA5" s="390"/>
      <c r="PB5" s="390"/>
      <c r="PC5" s="390"/>
      <c r="PD5" s="390"/>
      <c r="PE5" s="390"/>
      <c r="PF5" s="390"/>
      <c r="PG5" s="390"/>
      <c r="PH5" s="390"/>
      <c r="PI5" s="390"/>
      <c r="PJ5" s="390"/>
      <c r="PK5" s="390"/>
      <c r="PL5" s="390"/>
      <c r="PM5" s="390"/>
      <c r="PN5" s="390"/>
      <c r="PO5" s="390"/>
      <c r="PP5" s="390"/>
      <c r="PQ5" s="390"/>
      <c r="PR5" s="390"/>
      <c r="PS5" s="390"/>
      <c r="PT5" s="390"/>
      <c r="PU5" s="390"/>
      <c r="PV5" s="390"/>
      <c r="PW5" s="390"/>
      <c r="PX5" s="390"/>
      <c r="PY5" s="390"/>
      <c r="PZ5" s="390"/>
      <c r="QA5" s="390"/>
      <c r="QB5" s="390"/>
      <c r="QC5" s="390"/>
      <c r="QD5" s="390"/>
      <c r="QE5" s="390"/>
      <c r="QF5" s="390"/>
      <c r="QG5" s="390"/>
      <c r="QH5" s="390"/>
      <c r="QI5" s="390"/>
      <c r="QJ5" s="390"/>
      <c r="QK5" s="390"/>
      <c r="QL5" s="390"/>
      <c r="QM5" s="390"/>
      <c r="QN5" s="390"/>
      <c r="QO5" s="390"/>
      <c r="QP5" s="390"/>
      <c r="QQ5" s="390"/>
      <c r="QR5" s="390"/>
      <c r="QS5" s="390"/>
      <c r="QT5" s="390"/>
      <c r="QU5" s="390"/>
      <c r="QV5" s="390"/>
      <c r="QW5" s="390"/>
      <c r="QX5" s="390"/>
      <c r="QY5" s="390"/>
      <c r="QZ5" s="390"/>
      <c r="RA5" s="390"/>
      <c r="RB5" s="390"/>
      <c r="RC5" s="390"/>
      <c r="RD5" s="390"/>
      <c r="RE5" s="390"/>
      <c r="RF5" s="390"/>
      <c r="RG5" s="390"/>
      <c r="RH5" s="390"/>
      <c r="RI5" s="390"/>
      <c r="RJ5" s="390"/>
      <c r="RK5" s="390"/>
      <c r="RL5" s="390"/>
      <c r="RM5" s="390"/>
      <c r="RN5" s="390"/>
      <c r="RO5" s="390"/>
      <c r="RP5" s="390"/>
      <c r="RQ5" s="390"/>
      <c r="RR5" s="390"/>
      <c r="RS5" s="390"/>
      <c r="RT5" s="390"/>
      <c r="RU5" s="390"/>
      <c r="RV5" s="390"/>
      <c r="RW5" s="390"/>
      <c r="RX5" s="390"/>
      <c r="RY5" s="390"/>
      <c r="RZ5" s="390"/>
      <c r="SA5" s="390"/>
      <c r="SB5" s="390"/>
      <c r="SC5" s="390"/>
      <c r="SD5" s="390"/>
      <c r="SE5" s="390"/>
      <c r="SF5" s="390"/>
      <c r="SG5" s="390"/>
      <c r="SH5" s="390"/>
      <c r="SI5" s="390"/>
      <c r="SJ5" s="390"/>
      <c r="SK5" s="390"/>
      <c r="SL5" s="390"/>
      <c r="SM5" s="390"/>
      <c r="SN5" s="390"/>
      <c r="SO5" s="390"/>
      <c r="SP5" s="390"/>
      <c r="SQ5" s="390"/>
      <c r="SR5" s="390"/>
      <c r="SS5" s="390"/>
      <c r="ST5" s="390"/>
      <c r="SU5" s="390"/>
      <c r="SV5" s="390"/>
      <c r="SW5" s="390"/>
      <c r="SX5" s="390"/>
      <c r="SY5" s="390"/>
      <c r="SZ5" s="390"/>
      <c r="TA5" s="390"/>
      <c r="TB5" s="390"/>
      <c r="TC5" s="390"/>
      <c r="TD5" s="390"/>
      <c r="TE5" s="390"/>
      <c r="TF5" s="390"/>
      <c r="TG5" s="390"/>
      <c r="TH5" s="390"/>
      <c r="TI5" s="390"/>
      <c r="TJ5" s="390"/>
      <c r="TK5" s="390"/>
      <c r="TL5" s="390"/>
      <c r="TM5" s="390"/>
      <c r="TN5" s="390"/>
      <c r="TO5" s="390"/>
      <c r="TP5" s="390"/>
      <c r="TQ5" s="390"/>
      <c r="TR5" s="390"/>
      <c r="TS5" s="390"/>
      <c r="TT5" s="390"/>
      <c r="TU5" s="390"/>
      <c r="TV5" s="390"/>
      <c r="TW5" s="390"/>
      <c r="TX5" s="390"/>
      <c r="TY5" s="390"/>
      <c r="TZ5" s="390"/>
      <c r="UA5" s="390"/>
      <c r="UB5" s="390"/>
      <c r="UC5" s="390"/>
      <c r="UD5" s="390"/>
      <c r="UE5" s="390"/>
      <c r="UF5" s="390"/>
      <c r="UG5" s="390"/>
      <c r="UH5" s="390"/>
      <c r="UI5" s="390"/>
      <c r="UJ5" s="390"/>
      <c r="UK5" s="390"/>
      <c r="UL5" s="390"/>
      <c r="UM5" s="390"/>
      <c r="UN5" s="390"/>
      <c r="UO5" s="390"/>
      <c r="UP5" s="390"/>
      <c r="UQ5" s="390"/>
      <c r="UR5" s="390"/>
      <c r="US5" s="390"/>
      <c r="UT5" s="390"/>
      <c r="UU5" s="390"/>
      <c r="UV5" s="390"/>
      <c r="UW5" s="390"/>
      <c r="UX5" s="390"/>
      <c r="UY5" s="390"/>
      <c r="UZ5" s="390"/>
      <c r="VA5" s="390"/>
      <c r="VB5" s="390"/>
      <c r="VC5" s="390"/>
      <c r="VD5" s="390"/>
      <c r="VE5" s="390"/>
      <c r="VF5" s="390"/>
      <c r="VG5" s="390"/>
      <c r="VH5" s="390"/>
      <c r="VI5" s="390"/>
      <c r="VJ5" s="390"/>
      <c r="VK5" s="390"/>
      <c r="VL5" s="390"/>
      <c r="VM5" s="390"/>
      <c r="VN5" s="390"/>
      <c r="VO5" s="390"/>
      <c r="VP5" s="390"/>
      <c r="VQ5" s="390"/>
      <c r="VR5" s="390"/>
      <c r="VS5" s="390"/>
      <c r="VT5" s="390"/>
      <c r="VU5" s="390"/>
      <c r="VV5" s="390"/>
      <c r="VW5" s="390"/>
      <c r="VX5" s="390"/>
      <c r="VY5" s="390"/>
      <c r="VZ5" s="390"/>
      <c r="WA5" s="390"/>
      <c r="WB5" s="390"/>
      <c r="WC5" s="390"/>
      <c r="WD5" s="390"/>
      <c r="WE5" s="390"/>
      <c r="WF5" s="390"/>
      <c r="WG5" s="390"/>
      <c r="WH5" s="390"/>
      <c r="WI5" s="390"/>
      <c r="WJ5" s="390"/>
      <c r="WK5" s="390"/>
      <c r="WL5" s="390"/>
      <c r="WM5" s="390"/>
      <c r="WN5" s="390"/>
      <c r="WO5" s="390"/>
      <c r="WP5" s="390"/>
      <c r="WQ5" s="390"/>
      <c r="WR5" s="390"/>
      <c r="WS5" s="390"/>
      <c r="WT5" s="390"/>
      <c r="WU5" s="390"/>
      <c r="WV5" s="390"/>
      <c r="WW5" s="390"/>
      <c r="WX5" s="390"/>
      <c r="WY5" s="390"/>
      <c r="WZ5" s="390"/>
      <c r="XA5" s="390"/>
      <c r="XB5" s="390"/>
      <c r="XC5" s="390"/>
      <c r="XD5" s="390"/>
      <c r="XE5" s="390"/>
      <c r="XF5" s="390"/>
      <c r="XG5" s="390"/>
      <c r="XH5" s="390"/>
      <c r="XI5" s="390"/>
      <c r="XJ5" s="390"/>
      <c r="XK5" s="390"/>
      <c r="XL5" s="390"/>
      <c r="XM5" s="390"/>
      <c r="XN5" s="390"/>
      <c r="XO5" s="390"/>
      <c r="XP5" s="390"/>
      <c r="XQ5" s="390"/>
      <c r="XR5" s="390"/>
      <c r="XS5" s="390"/>
      <c r="XT5" s="390"/>
      <c r="XU5" s="390"/>
      <c r="XV5" s="390"/>
      <c r="XW5" s="390"/>
      <c r="XX5" s="390"/>
      <c r="XY5" s="390"/>
      <c r="XZ5" s="390"/>
      <c r="YA5" s="390"/>
      <c r="YB5" s="390"/>
      <c r="YC5" s="390"/>
      <c r="YD5" s="390"/>
      <c r="YE5" s="390"/>
      <c r="YF5" s="390"/>
      <c r="YG5" s="390"/>
      <c r="YH5" s="390"/>
      <c r="YI5" s="390"/>
      <c r="YJ5" s="390"/>
      <c r="YK5" s="390"/>
      <c r="YL5" s="390"/>
      <c r="YM5" s="390"/>
      <c r="YN5" s="390"/>
      <c r="YO5" s="390"/>
      <c r="YP5" s="390"/>
      <c r="YQ5" s="390"/>
      <c r="YR5" s="390"/>
      <c r="YS5" s="390"/>
      <c r="YT5" s="390"/>
      <c r="YU5" s="390"/>
      <c r="YV5" s="390"/>
      <c r="YW5" s="390"/>
      <c r="YX5" s="390"/>
      <c r="YY5" s="390"/>
      <c r="YZ5" s="390"/>
      <c r="ZA5" s="390"/>
      <c r="ZB5" s="390"/>
      <c r="ZC5" s="390"/>
      <c r="ZD5" s="390"/>
      <c r="ZE5" s="390"/>
      <c r="ZF5" s="390"/>
      <c r="ZG5" s="390"/>
      <c r="ZH5" s="390"/>
      <c r="ZI5" s="390"/>
      <c r="ZJ5" s="390"/>
      <c r="ZK5" s="390"/>
      <c r="ZL5" s="390"/>
      <c r="ZM5" s="390"/>
      <c r="ZN5" s="390"/>
      <c r="ZO5" s="390"/>
      <c r="ZP5" s="390"/>
      <c r="ZQ5" s="390"/>
      <c r="ZR5" s="390"/>
      <c r="ZS5" s="390"/>
      <c r="ZT5" s="390"/>
      <c r="ZU5" s="390"/>
      <c r="ZV5" s="390"/>
      <c r="ZW5" s="390"/>
      <c r="ZX5" s="390"/>
      <c r="ZY5" s="390"/>
      <c r="ZZ5" s="390"/>
      <c r="AAA5" s="390"/>
      <c r="AAB5" s="390"/>
      <c r="AAC5" s="390"/>
      <c r="AAD5" s="390"/>
      <c r="AAE5" s="390"/>
      <c r="AAF5" s="390"/>
      <c r="AAG5" s="390"/>
      <c r="AAH5" s="390"/>
      <c r="AAI5" s="390"/>
      <c r="AAJ5" s="390"/>
      <c r="AAK5" s="390"/>
      <c r="AAL5" s="390"/>
      <c r="AAM5" s="390"/>
      <c r="AAN5" s="390"/>
      <c r="AAO5" s="390"/>
      <c r="AAP5" s="390"/>
      <c r="AAQ5" s="390"/>
      <c r="AAR5" s="390"/>
      <c r="AAS5" s="390"/>
      <c r="AAT5" s="390"/>
      <c r="AAU5" s="390"/>
      <c r="AAV5" s="390"/>
      <c r="AAW5" s="390"/>
      <c r="AAX5" s="390"/>
      <c r="AAY5" s="390"/>
      <c r="AAZ5" s="390"/>
      <c r="ABA5" s="390"/>
      <c r="ABB5" s="390"/>
      <c r="ABC5" s="390"/>
      <c r="ABD5" s="390"/>
      <c r="ABE5" s="390"/>
      <c r="ABF5" s="390"/>
      <c r="ABG5" s="390"/>
      <c r="ABH5" s="390"/>
      <c r="ABI5" s="390"/>
      <c r="ABJ5" s="390"/>
      <c r="ABK5" s="390"/>
      <c r="ABL5" s="390"/>
      <c r="ABM5" s="390"/>
      <c r="ABN5" s="390"/>
      <c r="ABO5" s="390"/>
      <c r="ABP5" s="390"/>
      <c r="ABQ5" s="390"/>
      <c r="ABR5" s="390"/>
      <c r="ABS5" s="390"/>
      <c r="ABT5" s="390"/>
      <c r="ABU5" s="390"/>
      <c r="ABV5" s="390"/>
      <c r="ABW5" s="390"/>
      <c r="ABX5" s="390"/>
      <c r="ABY5" s="390"/>
      <c r="ABZ5" s="390"/>
      <c r="ACA5" s="390"/>
      <c r="ACB5" s="390"/>
      <c r="ACC5" s="390"/>
      <c r="ACD5" s="390"/>
      <c r="ACE5" s="390"/>
      <c r="ACF5" s="390"/>
      <c r="ACG5" s="390"/>
      <c r="ACH5" s="390"/>
      <c r="ACI5" s="390"/>
      <c r="ACJ5" s="390"/>
      <c r="ACK5" s="390"/>
      <c r="ACL5" s="390"/>
      <c r="ACM5" s="390"/>
      <c r="ACN5" s="390"/>
      <c r="ACO5" s="390"/>
      <c r="ACP5" s="390"/>
      <c r="ACQ5" s="390"/>
      <c r="ACR5" s="390"/>
      <c r="ACS5" s="390"/>
      <c r="ACT5" s="390"/>
      <c r="ACU5" s="390"/>
      <c r="ACV5" s="390"/>
      <c r="ACW5" s="390"/>
      <c r="ACX5" s="390"/>
      <c r="ACY5" s="390"/>
      <c r="ACZ5" s="390"/>
      <c r="ADA5" s="390"/>
      <c r="ADB5" s="390"/>
      <c r="ADC5" s="390"/>
      <c r="ADD5" s="390"/>
      <c r="ADE5" s="390"/>
      <c r="ADF5" s="390"/>
      <c r="ADG5" s="390"/>
      <c r="ADH5" s="390"/>
      <c r="ADI5" s="390"/>
      <c r="ADJ5" s="390"/>
      <c r="ADK5" s="390"/>
      <c r="ADL5" s="390"/>
      <c r="ADM5" s="390"/>
      <c r="ADN5" s="390"/>
      <c r="ADO5" s="390"/>
      <c r="ADP5" s="390"/>
      <c r="ADQ5" s="390"/>
      <c r="ADR5" s="390"/>
      <c r="ADS5" s="390"/>
      <c r="ADT5" s="390"/>
      <c r="ADU5" s="390"/>
      <c r="ADV5" s="390"/>
      <c r="ADW5" s="390"/>
      <c r="ADX5" s="390"/>
      <c r="ADY5" s="390"/>
      <c r="ADZ5" s="390"/>
      <c r="AEA5" s="390"/>
      <c r="AEB5" s="390"/>
      <c r="AEC5" s="390"/>
      <c r="AED5" s="390"/>
      <c r="AEE5" s="390"/>
      <c r="AEF5" s="390"/>
      <c r="AEG5" s="390"/>
      <c r="AEH5" s="390"/>
      <c r="AEI5" s="390"/>
      <c r="AEJ5" s="390"/>
      <c r="AEK5" s="390"/>
      <c r="AEL5" s="390"/>
      <c r="AEM5" s="390"/>
      <c r="AEN5" s="390"/>
      <c r="AEO5" s="390"/>
      <c r="AEP5" s="390"/>
      <c r="AEQ5" s="390"/>
      <c r="AER5" s="390"/>
      <c r="AES5" s="390"/>
      <c r="AET5" s="390"/>
      <c r="AEU5" s="390"/>
      <c r="AEV5" s="390"/>
      <c r="AEW5" s="390"/>
      <c r="AEX5" s="390"/>
      <c r="AEY5" s="390"/>
      <c r="AEZ5" s="390"/>
      <c r="AFA5" s="390"/>
      <c r="AFB5" s="390"/>
      <c r="AFC5" s="390"/>
      <c r="AFD5" s="390"/>
      <c r="AFE5" s="390"/>
      <c r="AFF5" s="390"/>
      <c r="AFG5" s="390"/>
      <c r="AFH5" s="390"/>
      <c r="AFI5" s="390"/>
      <c r="AFJ5" s="390"/>
      <c r="AFK5" s="390"/>
      <c r="AFL5" s="390"/>
      <c r="AFM5" s="390"/>
      <c r="AFN5" s="390"/>
      <c r="AFO5" s="390"/>
      <c r="AFP5" s="390"/>
      <c r="AFQ5" s="390"/>
      <c r="AFR5" s="390"/>
      <c r="AFS5" s="390"/>
      <c r="AFT5" s="390"/>
      <c r="AFU5" s="390"/>
      <c r="AFV5" s="390"/>
      <c r="AFW5" s="390"/>
      <c r="AFX5" s="390"/>
      <c r="AFY5" s="390"/>
      <c r="AFZ5" s="390"/>
      <c r="AGA5" s="390"/>
      <c r="AGB5" s="390"/>
      <c r="AGC5" s="390"/>
      <c r="AGD5" s="390"/>
      <c r="AGE5" s="390"/>
      <c r="AGF5" s="390"/>
      <c r="AGG5" s="390"/>
      <c r="AGH5" s="390"/>
      <c r="AGI5" s="390"/>
      <c r="AGJ5" s="390"/>
      <c r="AGK5" s="390"/>
      <c r="AGL5" s="390"/>
      <c r="AGM5" s="390"/>
      <c r="AGN5" s="390"/>
      <c r="AGO5" s="390"/>
      <c r="AGP5" s="390"/>
      <c r="AGQ5" s="390"/>
      <c r="AGR5" s="390"/>
      <c r="AGS5" s="390"/>
      <c r="AGT5" s="390"/>
      <c r="AGU5" s="390"/>
      <c r="AGV5" s="390"/>
      <c r="AGW5" s="390"/>
      <c r="AGX5" s="390"/>
      <c r="AGY5" s="390"/>
      <c r="AGZ5" s="390"/>
      <c r="AHA5" s="390"/>
      <c r="AHB5" s="390"/>
      <c r="AHC5" s="390"/>
      <c r="AHD5" s="390"/>
      <c r="AHE5" s="390"/>
      <c r="AHF5" s="390"/>
      <c r="AHG5" s="390"/>
      <c r="AHH5" s="390"/>
      <c r="AHI5" s="390"/>
      <c r="AHJ5" s="390"/>
      <c r="AHK5" s="390"/>
      <c r="AHL5" s="390"/>
      <c r="AHM5" s="390"/>
      <c r="AHN5" s="390"/>
      <c r="AHO5" s="390"/>
      <c r="AHP5" s="390"/>
      <c r="AHQ5" s="390"/>
      <c r="AHR5" s="390"/>
      <c r="AHS5" s="390"/>
      <c r="AHT5" s="390"/>
      <c r="AHU5" s="390"/>
      <c r="AHV5" s="390"/>
      <c r="AHW5" s="390"/>
      <c r="AHX5" s="390"/>
      <c r="AHY5" s="390"/>
      <c r="AHZ5" s="390"/>
      <c r="AIA5" s="390"/>
      <c r="AIB5" s="390"/>
      <c r="AIC5" s="390"/>
      <c r="AID5" s="390"/>
      <c r="AIE5" s="390"/>
      <c r="AIF5" s="390"/>
      <c r="AIG5" s="390"/>
      <c r="AIH5" s="390"/>
      <c r="AII5" s="390"/>
      <c r="AIJ5" s="390"/>
      <c r="AIK5" s="390"/>
      <c r="AIL5" s="390"/>
      <c r="AIM5" s="390"/>
      <c r="AIN5" s="390"/>
      <c r="AIO5" s="390"/>
      <c r="AIP5" s="390"/>
      <c r="AIQ5" s="390"/>
      <c r="AIR5" s="390"/>
      <c r="AIS5" s="390"/>
      <c r="AIT5" s="390"/>
      <c r="AIU5" s="390"/>
      <c r="AIV5" s="390"/>
      <c r="AIW5" s="390"/>
      <c r="AIX5" s="390"/>
      <c r="AIY5" s="390"/>
      <c r="AIZ5" s="390"/>
      <c r="AJA5" s="390"/>
      <c r="AJB5" s="390"/>
      <c r="AJC5" s="390"/>
      <c r="AJD5" s="390"/>
      <c r="AJE5" s="390"/>
      <c r="AJF5" s="390"/>
      <c r="AJG5" s="390"/>
      <c r="AJH5" s="390"/>
      <c r="AJI5" s="390"/>
      <c r="AJJ5" s="390"/>
      <c r="AJK5" s="390"/>
      <c r="AJL5" s="390"/>
      <c r="AJM5" s="390"/>
      <c r="AJN5" s="390"/>
      <c r="AJO5" s="390"/>
      <c r="AJP5" s="390"/>
      <c r="AJQ5" s="390"/>
      <c r="AJR5" s="390"/>
      <c r="AJS5" s="390"/>
      <c r="AJT5" s="390"/>
      <c r="AJU5" s="390"/>
      <c r="AJV5" s="390"/>
      <c r="AJW5" s="390"/>
      <c r="AJX5" s="390"/>
      <c r="AJY5" s="390"/>
      <c r="AJZ5" s="390"/>
      <c r="AKA5" s="390"/>
      <c r="AKB5" s="390"/>
      <c r="AKC5" s="390"/>
      <c r="AKD5" s="390"/>
      <c r="AKE5" s="390"/>
      <c r="AKF5" s="390"/>
      <c r="AKG5" s="390"/>
      <c r="AKH5" s="390"/>
      <c r="AKI5" s="390"/>
      <c r="AKJ5" s="390"/>
      <c r="AKK5" s="390"/>
      <c r="AKL5" s="390"/>
      <c r="AKM5" s="390"/>
      <c r="AKN5" s="390"/>
      <c r="AKO5" s="390"/>
      <c r="AKP5" s="390"/>
      <c r="AKQ5" s="390"/>
      <c r="AKR5" s="390"/>
      <c r="AKS5" s="390"/>
      <c r="AKT5" s="390"/>
      <c r="AKU5" s="390"/>
      <c r="AKV5" s="390"/>
      <c r="AKW5" s="390"/>
      <c r="AKX5" s="390"/>
      <c r="AKY5" s="390"/>
      <c r="AKZ5" s="390"/>
      <c r="ALA5" s="390"/>
      <c r="ALB5" s="390"/>
      <c r="ALC5" s="390"/>
      <c r="ALD5" s="390"/>
      <c r="ALE5" s="390"/>
      <c r="ALF5" s="390"/>
      <c r="ALG5" s="390"/>
      <c r="ALH5" s="390"/>
      <c r="ALI5" s="390"/>
      <c r="ALJ5" s="390"/>
      <c r="ALK5" s="390"/>
      <c r="ALL5" s="390"/>
      <c r="ALM5" s="390"/>
      <c r="ALN5" s="390"/>
      <c r="ALO5" s="390"/>
      <c r="ALP5" s="390"/>
      <c r="ALQ5" s="390"/>
      <c r="ALR5" s="390"/>
      <c r="ALS5" s="390"/>
      <c r="ALT5" s="390"/>
      <c r="ALU5" s="390"/>
      <c r="ALV5" s="390"/>
      <c r="ALW5" s="390"/>
      <c r="ALX5" s="390"/>
      <c r="ALY5" s="390"/>
      <c r="ALZ5" s="390"/>
      <c r="AMA5" s="390"/>
      <c r="AMB5" s="390"/>
      <c r="AMC5" s="390"/>
      <c r="AMD5" s="390"/>
      <c r="AME5" s="390"/>
      <c r="AMF5" s="390"/>
      <c r="AMG5" s="390"/>
      <c r="AMH5" s="390"/>
      <c r="AMI5" s="390"/>
      <c r="AMJ5" s="390"/>
      <c r="AMK5" s="390"/>
      <c r="AML5" s="390"/>
      <c r="AMM5" s="390"/>
      <c r="AMN5" s="390"/>
      <c r="AMO5" s="390"/>
      <c r="AMP5" s="390"/>
      <c r="AMQ5" s="390"/>
      <c r="AMR5" s="390"/>
      <c r="AMS5" s="390"/>
      <c r="AMT5" s="390"/>
      <c r="AMU5" s="390"/>
      <c r="AMV5" s="390"/>
      <c r="AMW5" s="390"/>
      <c r="AMX5" s="390"/>
      <c r="AMY5" s="390"/>
      <c r="AMZ5" s="390"/>
      <c r="ANA5" s="390"/>
      <c r="ANB5" s="390"/>
      <c r="ANC5" s="390"/>
      <c r="AND5" s="390"/>
      <c r="ANE5" s="390"/>
      <c r="ANF5" s="390"/>
      <c r="ANG5" s="390"/>
      <c r="ANH5" s="390"/>
      <c r="ANI5" s="390"/>
      <c r="ANJ5" s="390"/>
      <c r="ANK5" s="390"/>
      <c r="ANL5" s="390"/>
      <c r="ANM5" s="390"/>
      <c r="ANN5" s="390"/>
      <c r="ANO5" s="390"/>
      <c r="ANP5" s="390"/>
      <c r="ANQ5" s="390"/>
      <c r="ANR5" s="390"/>
      <c r="ANS5" s="390"/>
      <c r="ANT5" s="390"/>
      <c r="ANU5" s="390"/>
      <c r="ANV5" s="390"/>
      <c r="ANW5" s="390"/>
      <c r="ANX5" s="390"/>
      <c r="ANY5" s="390"/>
      <c r="ANZ5" s="390"/>
      <c r="AOA5" s="390"/>
      <c r="AOB5" s="390"/>
      <c r="AOC5" s="390"/>
      <c r="AOD5" s="390"/>
      <c r="AOE5" s="390"/>
      <c r="AOF5" s="390"/>
      <c r="AOG5" s="390"/>
      <c r="AOH5" s="390"/>
      <c r="AOI5" s="390"/>
      <c r="AOJ5" s="390"/>
      <c r="AOK5" s="390"/>
      <c r="AOL5" s="390"/>
      <c r="AOM5" s="390"/>
      <c r="AON5" s="390"/>
      <c r="AOO5" s="390"/>
      <c r="AOP5" s="390"/>
      <c r="AOQ5" s="390"/>
      <c r="AOR5" s="390"/>
      <c r="AOS5" s="390"/>
      <c r="AOT5" s="390"/>
      <c r="AOU5" s="390"/>
      <c r="AOV5" s="390"/>
      <c r="AOW5" s="390"/>
      <c r="AOX5" s="390"/>
      <c r="AOY5" s="390"/>
      <c r="AOZ5" s="390"/>
      <c r="APA5" s="390"/>
      <c r="APB5" s="390"/>
      <c r="APC5" s="390"/>
      <c r="APD5" s="390"/>
      <c r="APE5" s="390"/>
      <c r="APF5" s="390"/>
      <c r="APG5" s="390"/>
      <c r="APH5" s="390"/>
      <c r="API5" s="390"/>
      <c r="APJ5" s="390"/>
      <c r="APK5" s="390"/>
      <c r="APL5" s="390"/>
      <c r="APM5" s="390"/>
      <c r="APN5" s="390"/>
      <c r="APO5" s="390"/>
      <c r="APP5" s="390"/>
      <c r="APQ5" s="390"/>
      <c r="APR5" s="390"/>
      <c r="APS5" s="390"/>
      <c r="APT5" s="390"/>
      <c r="APU5" s="390"/>
      <c r="APV5" s="390"/>
      <c r="APW5" s="390"/>
      <c r="APX5" s="390"/>
      <c r="APY5" s="390"/>
      <c r="APZ5" s="390"/>
      <c r="AQA5" s="390"/>
      <c r="AQB5" s="390"/>
      <c r="AQC5" s="390"/>
      <c r="AQD5" s="390"/>
      <c r="AQE5" s="390"/>
      <c r="AQF5" s="390"/>
      <c r="AQG5" s="390"/>
      <c r="AQH5" s="390"/>
      <c r="AQI5" s="390"/>
      <c r="AQJ5" s="390"/>
      <c r="AQK5" s="390"/>
      <c r="AQL5" s="390"/>
      <c r="AQM5" s="390"/>
      <c r="AQN5" s="390"/>
      <c r="AQO5" s="390"/>
      <c r="AQP5" s="390"/>
      <c r="AQQ5" s="390"/>
      <c r="AQR5" s="390"/>
      <c r="AQS5" s="390"/>
      <c r="AQT5" s="390"/>
      <c r="AQU5" s="390"/>
      <c r="AQV5" s="390"/>
      <c r="AQW5" s="390"/>
      <c r="AQX5" s="390"/>
      <c r="AQY5" s="390"/>
      <c r="AQZ5" s="390"/>
      <c r="ARA5" s="390"/>
      <c r="ARB5" s="390"/>
      <c r="ARC5" s="390"/>
      <c r="ARD5" s="390"/>
      <c r="ARE5" s="390"/>
      <c r="ARF5" s="390"/>
      <c r="ARG5" s="390"/>
      <c r="ARH5" s="390"/>
      <c r="ARI5" s="390"/>
      <c r="ARJ5" s="390"/>
      <c r="ARK5" s="390"/>
      <c r="ARL5" s="390"/>
      <c r="ARM5" s="390"/>
      <c r="ARN5" s="390"/>
      <c r="ARO5" s="390"/>
      <c r="ARP5" s="390"/>
      <c r="ARQ5" s="390"/>
      <c r="ARR5" s="390"/>
      <c r="ARS5" s="390"/>
      <c r="ART5" s="390"/>
      <c r="ARU5" s="390"/>
      <c r="ARV5" s="390"/>
      <c r="ARW5" s="390"/>
      <c r="ARX5" s="390"/>
      <c r="ARY5" s="390"/>
      <c r="ARZ5" s="390"/>
      <c r="ASA5" s="390"/>
      <c r="ASB5" s="390"/>
      <c r="ASC5" s="390"/>
      <c r="ASD5" s="390"/>
      <c r="ASE5" s="390"/>
      <c r="ASF5" s="390"/>
      <c r="ASG5" s="390"/>
      <c r="ASH5" s="390"/>
      <c r="ASI5" s="390"/>
      <c r="ASJ5" s="390"/>
      <c r="ASK5" s="390"/>
      <c r="ASL5" s="390"/>
      <c r="ASM5" s="390"/>
      <c r="ASN5" s="390"/>
      <c r="ASO5" s="390"/>
      <c r="ASP5" s="390"/>
      <c r="ASQ5" s="390"/>
      <c r="ASR5" s="390"/>
      <c r="ASS5" s="390"/>
      <c r="AST5" s="390"/>
      <c r="ASU5" s="390"/>
      <c r="ASV5" s="390"/>
      <c r="ASW5" s="390"/>
      <c r="ASX5" s="390"/>
      <c r="ASY5" s="390"/>
      <c r="ASZ5" s="390"/>
      <c r="ATA5" s="390"/>
      <c r="ATB5" s="390"/>
      <c r="ATC5" s="390"/>
      <c r="ATD5" s="390"/>
      <c r="ATE5" s="390"/>
      <c r="ATF5" s="390"/>
      <c r="ATG5" s="390"/>
      <c r="ATH5" s="390"/>
      <c r="ATI5" s="390"/>
      <c r="ATJ5" s="390"/>
      <c r="ATK5" s="390"/>
      <c r="ATL5" s="390"/>
      <c r="ATM5" s="390"/>
      <c r="ATN5" s="390"/>
      <c r="ATO5" s="390"/>
      <c r="ATP5" s="390"/>
      <c r="ATQ5" s="390"/>
      <c r="ATR5" s="390"/>
      <c r="ATS5" s="390"/>
      <c r="ATT5" s="390"/>
      <c r="ATU5" s="390"/>
      <c r="ATV5" s="390"/>
      <c r="ATW5" s="390"/>
      <c r="ATX5" s="390"/>
      <c r="ATY5" s="390"/>
      <c r="ATZ5" s="390"/>
      <c r="AUA5" s="390"/>
      <c r="AUB5" s="390"/>
      <c r="AUC5" s="390"/>
      <c r="AUD5" s="390"/>
      <c r="AUE5" s="390"/>
      <c r="AUF5" s="390"/>
      <c r="AUG5" s="390"/>
      <c r="AUH5" s="390"/>
      <c r="AUI5" s="390"/>
      <c r="AUJ5" s="390"/>
      <c r="AUK5" s="390"/>
      <c r="AUL5" s="390"/>
      <c r="AUM5" s="390"/>
      <c r="AUN5" s="390"/>
      <c r="AUO5" s="390"/>
      <c r="AUP5" s="390"/>
      <c r="AUQ5" s="390"/>
      <c r="AUR5" s="390"/>
      <c r="AUS5" s="390"/>
      <c r="AUT5" s="390"/>
      <c r="AUU5" s="390"/>
      <c r="AUV5" s="390"/>
      <c r="AUW5" s="390"/>
      <c r="AUX5" s="390"/>
      <c r="AUY5" s="390"/>
      <c r="AUZ5" s="390"/>
      <c r="AVA5" s="390"/>
      <c r="AVB5" s="390"/>
      <c r="AVC5" s="390"/>
      <c r="AVD5" s="390"/>
      <c r="AVE5" s="390"/>
      <c r="AVF5" s="390"/>
      <c r="AVG5" s="390"/>
      <c r="AVH5" s="390"/>
      <c r="AVI5" s="390"/>
      <c r="AVJ5" s="390"/>
      <c r="AVK5" s="390"/>
      <c r="AVL5" s="390"/>
      <c r="AVM5" s="390"/>
      <c r="AVN5" s="390"/>
      <c r="AVO5" s="390"/>
      <c r="AVP5" s="390"/>
      <c r="AVQ5" s="390"/>
      <c r="AVR5" s="390"/>
      <c r="AVS5" s="390"/>
      <c r="AVT5" s="390"/>
      <c r="AVU5" s="390"/>
      <c r="AVV5" s="390"/>
      <c r="AVW5" s="390"/>
      <c r="AVX5" s="390"/>
      <c r="AVY5" s="390"/>
      <c r="AVZ5" s="390"/>
      <c r="AWA5" s="390"/>
      <c r="AWB5" s="390"/>
      <c r="AWC5" s="390"/>
      <c r="AWD5" s="390"/>
      <c r="AWE5" s="390"/>
      <c r="AWF5" s="390"/>
      <c r="AWG5" s="390"/>
      <c r="AWH5" s="390"/>
      <c r="AWI5" s="390"/>
      <c r="AWJ5" s="390"/>
      <c r="AWK5" s="390"/>
      <c r="AWL5" s="390"/>
      <c r="AWM5" s="390"/>
      <c r="AWN5" s="390"/>
      <c r="AWO5" s="390"/>
      <c r="AWP5" s="390"/>
      <c r="AWQ5" s="390"/>
      <c r="AWR5" s="390"/>
      <c r="AWS5" s="390"/>
      <c r="AWT5" s="390"/>
      <c r="AWU5" s="390"/>
      <c r="AWV5" s="390"/>
      <c r="AWW5" s="390"/>
      <c r="AWX5" s="390"/>
      <c r="AWY5" s="390"/>
      <c r="AWZ5" s="390"/>
      <c r="AXA5" s="390"/>
      <c r="AXB5" s="390"/>
      <c r="AXC5" s="390"/>
      <c r="AXD5" s="390"/>
      <c r="AXE5" s="390"/>
      <c r="AXF5" s="390"/>
      <c r="AXG5" s="390"/>
      <c r="AXH5" s="390"/>
      <c r="AXI5" s="390"/>
      <c r="AXJ5" s="390"/>
      <c r="AXK5" s="390"/>
      <c r="AXL5" s="390"/>
      <c r="AXM5" s="390"/>
      <c r="AXN5" s="390"/>
      <c r="AXO5" s="390"/>
      <c r="AXP5" s="390"/>
      <c r="AXQ5" s="390"/>
      <c r="AXR5" s="390"/>
      <c r="AXS5" s="390"/>
      <c r="AXT5" s="390"/>
      <c r="AXU5" s="390"/>
      <c r="AXV5" s="390"/>
      <c r="AXW5" s="390"/>
      <c r="AXX5" s="390"/>
      <c r="AXY5" s="390"/>
      <c r="AXZ5" s="390"/>
      <c r="AYA5" s="390"/>
      <c r="AYB5" s="390"/>
      <c r="AYC5" s="390"/>
      <c r="AYD5" s="390"/>
      <c r="AYE5" s="390"/>
      <c r="AYF5" s="390"/>
      <c r="AYG5" s="390"/>
      <c r="AYH5" s="390"/>
      <c r="AYI5" s="390"/>
      <c r="AYJ5" s="390"/>
      <c r="AYK5" s="390"/>
      <c r="AYL5" s="390"/>
      <c r="AYM5" s="390"/>
      <c r="AYN5" s="390"/>
      <c r="AYO5" s="390"/>
      <c r="AYP5" s="390"/>
      <c r="AYQ5" s="390"/>
      <c r="AYR5" s="390"/>
      <c r="AYS5" s="390"/>
      <c r="AYT5" s="390"/>
      <c r="AYU5" s="390"/>
      <c r="AYV5" s="390"/>
      <c r="AYW5" s="390"/>
      <c r="AYX5" s="390"/>
      <c r="AYY5" s="390"/>
      <c r="AYZ5" s="390"/>
      <c r="AZA5" s="390"/>
      <c r="AZB5" s="390"/>
      <c r="AZC5" s="390"/>
      <c r="AZD5" s="390"/>
      <c r="AZE5" s="390"/>
      <c r="AZF5" s="390"/>
      <c r="AZG5" s="390"/>
      <c r="AZH5" s="390"/>
      <c r="AZI5" s="390"/>
      <c r="AZJ5" s="390"/>
      <c r="AZK5" s="390"/>
      <c r="AZL5" s="390"/>
      <c r="AZM5" s="390"/>
      <c r="AZN5" s="390"/>
      <c r="AZO5" s="390"/>
      <c r="AZP5" s="390"/>
      <c r="AZQ5" s="390"/>
      <c r="AZR5" s="390"/>
      <c r="AZS5" s="390"/>
      <c r="AZT5" s="390"/>
      <c r="AZU5" s="390"/>
      <c r="AZV5" s="390"/>
      <c r="AZW5" s="390"/>
      <c r="AZX5" s="390"/>
      <c r="AZY5" s="390"/>
      <c r="AZZ5" s="390"/>
      <c r="BAA5" s="390"/>
      <c r="BAB5" s="390"/>
      <c r="BAC5" s="390"/>
      <c r="BAD5" s="390"/>
      <c r="BAE5" s="390"/>
      <c r="BAF5" s="390"/>
      <c r="BAG5" s="390"/>
      <c r="BAH5" s="390"/>
      <c r="BAI5" s="390"/>
      <c r="BAJ5" s="390"/>
      <c r="BAK5" s="390"/>
      <c r="BAL5" s="390"/>
      <c r="BAM5" s="390"/>
      <c r="BAN5" s="390"/>
      <c r="BAO5" s="390"/>
      <c r="BAP5" s="390"/>
      <c r="BAQ5" s="390"/>
      <c r="BAR5" s="390"/>
      <c r="BAS5" s="390"/>
      <c r="BAT5" s="390"/>
      <c r="BAU5" s="390"/>
      <c r="BAV5" s="390"/>
      <c r="BAW5" s="390"/>
      <c r="BAX5" s="390"/>
      <c r="BAY5" s="390"/>
      <c r="BAZ5" s="390"/>
      <c r="BBA5" s="390"/>
      <c r="BBB5" s="390"/>
      <c r="BBC5" s="390"/>
      <c r="BBD5" s="390"/>
      <c r="BBE5" s="390"/>
      <c r="BBF5" s="390"/>
      <c r="BBG5" s="390"/>
      <c r="BBH5" s="390"/>
      <c r="BBI5" s="390"/>
      <c r="BBJ5" s="390"/>
      <c r="BBK5" s="390"/>
      <c r="BBL5" s="390"/>
      <c r="BBM5" s="390"/>
      <c r="BBN5" s="390"/>
      <c r="BBO5" s="390"/>
      <c r="BBP5" s="390"/>
      <c r="BBQ5" s="390"/>
      <c r="BBR5" s="390"/>
      <c r="BBS5" s="390"/>
      <c r="BBT5" s="390"/>
      <c r="BBU5" s="390"/>
      <c r="BBV5" s="390"/>
      <c r="BBW5" s="390"/>
      <c r="BBX5" s="390"/>
      <c r="BBY5" s="390"/>
      <c r="BBZ5" s="390"/>
      <c r="BCA5" s="390"/>
      <c r="BCB5" s="390"/>
      <c r="BCC5" s="390"/>
      <c r="BCD5" s="390"/>
      <c r="BCE5" s="390"/>
      <c r="BCF5" s="390"/>
      <c r="BCG5" s="390"/>
      <c r="BCH5" s="390"/>
      <c r="BCI5" s="390"/>
      <c r="BCJ5" s="390"/>
      <c r="BCK5" s="390"/>
      <c r="BCL5" s="390"/>
      <c r="BCM5" s="390"/>
      <c r="BCN5" s="390"/>
      <c r="BCO5" s="390"/>
      <c r="BCP5" s="390"/>
      <c r="BCQ5" s="390"/>
      <c r="BCR5" s="390"/>
      <c r="BCS5" s="390"/>
      <c r="BCT5" s="390"/>
      <c r="BCU5" s="390"/>
      <c r="BCV5" s="390"/>
      <c r="BCW5" s="390"/>
      <c r="BCX5" s="390"/>
      <c r="BCY5" s="390"/>
      <c r="BCZ5" s="390"/>
      <c r="BDA5" s="390"/>
      <c r="BDB5" s="390"/>
      <c r="BDC5" s="390"/>
      <c r="BDD5" s="390"/>
      <c r="BDE5" s="390"/>
      <c r="BDF5" s="390"/>
      <c r="BDG5" s="390"/>
      <c r="BDH5" s="390"/>
      <c r="BDI5" s="390"/>
      <c r="BDJ5" s="390"/>
      <c r="BDK5" s="390"/>
      <c r="BDL5" s="390"/>
      <c r="BDM5" s="390"/>
      <c r="BDN5" s="390"/>
      <c r="BDO5" s="390"/>
      <c r="BDP5" s="390"/>
      <c r="BDQ5" s="390"/>
      <c r="BDR5" s="390"/>
      <c r="BDS5" s="390"/>
      <c r="BDT5" s="390"/>
      <c r="BDU5" s="390"/>
      <c r="BDV5" s="390"/>
      <c r="BDW5" s="390"/>
      <c r="BDX5" s="390"/>
      <c r="BDY5" s="390"/>
      <c r="BDZ5" s="390"/>
      <c r="BEA5" s="390"/>
      <c r="BEB5" s="390"/>
      <c r="BEC5" s="390"/>
      <c r="BED5" s="390"/>
      <c r="BEE5" s="390"/>
      <c r="BEF5" s="390"/>
      <c r="BEG5" s="390"/>
      <c r="BEH5" s="390"/>
      <c r="BEI5" s="390"/>
      <c r="BEJ5" s="390"/>
      <c r="BEK5" s="390"/>
      <c r="BEL5" s="390"/>
      <c r="BEM5" s="390"/>
      <c r="BEN5" s="390"/>
      <c r="BEO5" s="390"/>
      <c r="BEP5" s="390"/>
      <c r="BEQ5" s="390"/>
      <c r="BER5" s="390"/>
      <c r="BES5" s="390"/>
      <c r="BET5" s="390"/>
      <c r="BEU5" s="390"/>
      <c r="BEV5" s="390"/>
      <c r="BEW5" s="390"/>
      <c r="BEX5" s="390"/>
      <c r="BEY5" s="390"/>
      <c r="BEZ5" s="390"/>
      <c r="BFA5" s="390"/>
      <c r="BFB5" s="390"/>
      <c r="BFC5" s="390"/>
      <c r="BFD5" s="390"/>
      <c r="BFE5" s="390"/>
      <c r="BFF5" s="390"/>
      <c r="BFG5" s="390"/>
      <c r="BFH5" s="390"/>
      <c r="BFI5" s="390"/>
      <c r="BFJ5" s="390"/>
      <c r="BFK5" s="390"/>
      <c r="BFL5" s="390"/>
      <c r="BFM5" s="390"/>
      <c r="BFN5" s="390"/>
      <c r="BFO5" s="390"/>
      <c r="BFP5" s="390"/>
      <c r="BFQ5" s="390"/>
      <c r="BFR5" s="390"/>
      <c r="BFS5" s="390"/>
      <c r="BFT5" s="390"/>
      <c r="BFU5" s="390"/>
      <c r="BFV5" s="390"/>
      <c r="BFW5" s="390"/>
      <c r="BFX5" s="390"/>
      <c r="BFY5" s="390"/>
      <c r="BFZ5" s="390"/>
      <c r="BGA5" s="390"/>
      <c r="BGB5" s="390"/>
      <c r="BGC5" s="390"/>
      <c r="BGD5" s="390"/>
      <c r="BGE5" s="390"/>
      <c r="BGF5" s="390"/>
      <c r="BGG5" s="390"/>
      <c r="BGH5" s="390"/>
      <c r="BGI5" s="390"/>
      <c r="BGJ5" s="390"/>
      <c r="BGK5" s="390"/>
      <c r="BGL5" s="390"/>
      <c r="BGM5" s="390"/>
      <c r="BGN5" s="390"/>
      <c r="BGO5" s="390"/>
      <c r="BGP5" s="390"/>
      <c r="BGQ5" s="390"/>
      <c r="BGR5" s="390"/>
      <c r="BGS5" s="390"/>
      <c r="BGT5" s="390"/>
      <c r="BGU5" s="390"/>
      <c r="BGV5" s="390"/>
      <c r="BGW5" s="390"/>
      <c r="BGX5" s="390"/>
      <c r="BGY5" s="390"/>
      <c r="BGZ5" s="390"/>
      <c r="BHA5" s="390"/>
      <c r="BHB5" s="390"/>
      <c r="BHC5" s="390"/>
      <c r="BHD5" s="390"/>
      <c r="BHE5" s="390"/>
      <c r="BHF5" s="390"/>
      <c r="BHG5" s="390"/>
      <c r="BHH5" s="390"/>
      <c r="BHI5" s="390"/>
      <c r="BHJ5" s="390"/>
      <c r="BHK5" s="390"/>
      <c r="BHL5" s="390"/>
      <c r="BHM5" s="390"/>
      <c r="BHN5" s="390"/>
      <c r="BHO5" s="390"/>
      <c r="BHP5" s="390"/>
      <c r="BHQ5" s="390"/>
      <c r="BHR5" s="390"/>
      <c r="BHS5" s="390"/>
      <c r="BHT5" s="390"/>
      <c r="BHU5" s="390"/>
      <c r="BHV5" s="390"/>
      <c r="BHW5" s="390"/>
      <c r="BHX5" s="390"/>
      <c r="BHY5" s="390"/>
      <c r="BHZ5" s="390"/>
      <c r="BIA5" s="390"/>
      <c r="BIB5" s="390"/>
      <c r="BIC5" s="390"/>
      <c r="BID5" s="390"/>
      <c r="BIE5" s="390"/>
      <c r="BIF5" s="390"/>
      <c r="BIG5" s="390"/>
      <c r="BIH5" s="390"/>
      <c r="BII5" s="390"/>
      <c r="BIJ5" s="390"/>
      <c r="BIK5" s="390"/>
      <c r="BIL5" s="390"/>
      <c r="BIM5" s="390"/>
      <c r="BIN5" s="390"/>
      <c r="BIO5" s="390"/>
      <c r="BIP5" s="390"/>
      <c r="BIQ5" s="390"/>
      <c r="BIR5" s="390"/>
      <c r="BIS5" s="390"/>
      <c r="BIT5" s="390"/>
      <c r="BIU5" s="390"/>
      <c r="BIV5" s="390"/>
      <c r="BIW5" s="390"/>
      <c r="BIX5" s="390"/>
      <c r="BIY5" s="390"/>
      <c r="BIZ5" s="390"/>
      <c r="BJA5" s="390"/>
      <c r="BJB5" s="390"/>
      <c r="BJC5" s="390"/>
      <c r="BJD5" s="390"/>
      <c r="BJE5" s="390"/>
      <c r="BJF5" s="390"/>
      <c r="BJG5" s="390"/>
      <c r="BJH5" s="390"/>
      <c r="BJI5" s="390"/>
      <c r="BJJ5" s="390"/>
      <c r="BJK5" s="390"/>
      <c r="BJL5" s="390"/>
      <c r="BJM5" s="390"/>
      <c r="BJN5" s="390"/>
      <c r="BJO5" s="390"/>
      <c r="BJP5" s="390"/>
      <c r="BJQ5" s="390"/>
      <c r="BJR5" s="390"/>
      <c r="BJS5" s="390"/>
      <c r="BJT5" s="390"/>
      <c r="BJU5" s="390"/>
      <c r="BJV5" s="390"/>
      <c r="BJW5" s="390"/>
      <c r="BJX5" s="390"/>
      <c r="BJY5" s="390"/>
      <c r="BJZ5" s="390"/>
      <c r="BKA5" s="390"/>
      <c r="BKB5" s="390"/>
      <c r="BKC5" s="390"/>
      <c r="BKD5" s="390"/>
      <c r="BKE5" s="390"/>
      <c r="BKF5" s="390"/>
      <c r="BKG5" s="390"/>
      <c r="BKH5" s="390"/>
      <c r="BKI5" s="390"/>
      <c r="BKJ5" s="390"/>
      <c r="BKK5" s="390"/>
      <c r="BKL5" s="390"/>
      <c r="BKM5" s="390"/>
      <c r="BKN5" s="390"/>
      <c r="BKO5" s="390"/>
      <c r="BKP5" s="390"/>
      <c r="BKQ5" s="390"/>
      <c r="BKR5" s="390"/>
      <c r="BKS5" s="390"/>
      <c r="BKT5" s="390"/>
      <c r="BKU5" s="390"/>
      <c r="BKV5" s="390"/>
      <c r="BKW5" s="390"/>
      <c r="BKX5" s="390"/>
      <c r="BKY5" s="390"/>
      <c r="BKZ5" s="390"/>
      <c r="BLA5" s="390"/>
      <c r="BLB5" s="390"/>
      <c r="BLC5" s="390"/>
      <c r="BLD5" s="390"/>
      <c r="BLE5" s="390"/>
      <c r="BLF5" s="390"/>
      <c r="BLG5" s="390"/>
      <c r="BLH5" s="390"/>
      <c r="BLI5" s="390"/>
      <c r="BLJ5" s="390"/>
      <c r="BLK5" s="390"/>
      <c r="BLL5" s="390"/>
      <c r="BLM5" s="390"/>
      <c r="BLN5" s="390"/>
      <c r="BLO5" s="390"/>
      <c r="BLP5" s="390"/>
      <c r="BLQ5" s="390"/>
      <c r="BLR5" s="390"/>
      <c r="BLS5" s="390"/>
      <c r="BLT5" s="390"/>
      <c r="BLU5" s="390"/>
      <c r="BLV5" s="390"/>
      <c r="BLW5" s="390"/>
      <c r="BLX5" s="390"/>
      <c r="BLY5" s="390"/>
      <c r="BLZ5" s="390"/>
      <c r="BMA5" s="390"/>
      <c r="BMB5" s="390"/>
      <c r="BMC5" s="390"/>
      <c r="BMD5" s="390"/>
      <c r="BME5" s="390"/>
      <c r="BMF5" s="390"/>
      <c r="BMG5" s="390"/>
      <c r="BMH5" s="390"/>
      <c r="BMI5" s="390"/>
      <c r="BMJ5" s="390"/>
      <c r="BMK5" s="390"/>
      <c r="BML5" s="390"/>
      <c r="BMM5" s="390"/>
      <c r="BMN5" s="390"/>
      <c r="BMO5" s="390"/>
      <c r="BMP5" s="390"/>
      <c r="BMQ5" s="390"/>
      <c r="BMR5" s="390"/>
      <c r="BMS5" s="390"/>
      <c r="BMT5" s="390"/>
      <c r="BMU5" s="390"/>
      <c r="BMV5" s="390"/>
      <c r="BMW5" s="390"/>
      <c r="BMX5" s="390"/>
      <c r="BMY5" s="390"/>
      <c r="BMZ5" s="390"/>
      <c r="BNA5" s="390"/>
      <c r="BNB5" s="390"/>
      <c r="BNC5" s="390"/>
      <c r="BND5" s="390"/>
      <c r="BNE5" s="390"/>
      <c r="BNF5" s="390"/>
      <c r="BNG5" s="390"/>
      <c r="BNH5" s="390"/>
      <c r="BNI5" s="390"/>
      <c r="BNJ5" s="390"/>
      <c r="BNK5" s="390"/>
      <c r="BNL5" s="390"/>
      <c r="BNM5" s="390"/>
      <c r="BNN5" s="390"/>
      <c r="BNO5" s="390"/>
      <c r="BNP5" s="390"/>
      <c r="BNQ5" s="390"/>
      <c r="BNR5" s="390"/>
      <c r="BNS5" s="390"/>
      <c r="BNT5" s="390"/>
      <c r="BNU5" s="390"/>
      <c r="BNV5" s="390"/>
      <c r="BNW5" s="390"/>
      <c r="BNX5" s="390"/>
      <c r="BNY5" s="390"/>
      <c r="BNZ5" s="390"/>
      <c r="BOA5" s="390"/>
      <c r="BOB5" s="390"/>
      <c r="BOC5" s="390"/>
      <c r="BOD5" s="390"/>
      <c r="BOE5" s="390"/>
      <c r="BOF5" s="390"/>
      <c r="BOG5" s="390"/>
      <c r="BOH5" s="390"/>
      <c r="BOI5" s="390"/>
      <c r="BOJ5" s="390"/>
      <c r="BOK5" s="390"/>
      <c r="BOL5" s="390"/>
      <c r="BOM5" s="390"/>
      <c r="BON5" s="390"/>
      <c r="BOO5" s="390"/>
      <c r="BOP5" s="390"/>
      <c r="BOQ5" s="390"/>
      <c r="BOR5" s="390"/>
      <c r="BOS5" s="390"/>
      <c r="BOT5" s="390"/>
      <c r="BOU5" s="390"/>
      <c r="BOV5" s="390"/>
      <c r="BOW5" s="390"/>
      <c r="BOX5" s="390"/>
      <c r="BOY5" s="390"/>
      <c r="BOZ5" s="390"/>
      <c r="BPA5" s="390"/>
      <c r="BPB5" s="390"/>
      <c r="BPC5" s="390"/>
      <c r="BPD5" s="390"/>
      <c r="BPE5" s="390"/>
      <c r="BPF5" s="390"/>
      <c r="BPG5" s="390"/>
      <c r="BPH5" s="390"/>
      <c r="BPI5" s="390"/>
      <c r="BPJ5" s="390"/>
      <c r="BPK5" s="390"/>
      <c r="BPL5" s="390"/>
      <c r="BPM5" s="390"/>
      <c r="BPN5" s="390"/>
      <c r="BPO5" s="390"/>
      <c r="BPP5" s="390"/>
      <c r="BPQ5" s="390"/>
      <c r="BPR5" s="390"/>
      <c r="BPS5" s="390"/>
      <c r="BPT5" s="390"/>
      <c r="BPU5" s="390"/>
      <c r="BPV5" s="390"/>
      <c r="BPW5" s="390"/>
      <c r="BPX5" s="390"/>
      <c r="BPY5" s="390"/>
      <c r="BPZ5" s="390"/>
      <c r="BQA5" s="390"/>
      <c r="BQB5" s="390"/>
      <c r="BQC5" s="390"/>
      <c r="BQD5" s="390"/>
      <c r="BQE5" s="390"/>
      <c r="BQF5" s="390"/>
      <c r="BQG5" s="390"/>
      <c r="BQH5" s="390"/>
      <c r="BQI5" s="390"/>
      <c r="BQJ5" s="390"/>
      <c r="BQK5" s="390"/>
      <c r="BQL5" s="390"/>
      <c r="BQM5" s="390"/>
      <c r="BQN5" s="390"/>
      <c r="BQO5" s="390"/>
      <c r="BQP5" s="390"/>
      <c r="BQQ5" s="390"/>
      <c r="BQR5" s="390"/>
      <c r="BQS5" s="390"/>
      <c r="BQT5" s="390"/>
      <c r="BQU5" s="390"/>
      <c r="BQV5" s="390"/>
      <c r="BQW5" s="390"/>
      <c r="BQX5" s="390"/>
      <c r="BQY5" s="390"/>
      <c r="BQZ5" s="390"/>
      <c r="BRA5" s="390"/>
      <c r="BRB5" s="390"/>
      <c r="BRC5" s="390"/>
      <c r="BRD5" s="390"/>
      <c r="BRE5" s="390"/>
      <c r="BRF5" s="390"/>
      <c r="BRG5" s="390"/>
      <c r="BRH5" s="390"/>
      <c r="BRI5" s="390"/>
      <c r="BRJ5" s="390"/>
      <c r="BRK5" s="390"/>
      <c r="BRL5" s="390"/>
      <c r="BRM5" s="390"/>
      <c r="BRN5" s="390"/>
      <c r="BRO5" s="390"/>
      <c r="BRP5" s="390"/>
      <c r="BRQ5" s="390"/>
      <c r="BRR5" s="390"/>
      <c r="BRS5" s="390"/>
      <c r="BRT5" s="390"/>
      <c r="BRU5" s="390"/>
      <c r="BRV5" s="390"/>
      <c r="BRW5" s="390"/>
      <c r="BRX5" s="390"/>
      <c r="BRY5" s="390"/>
      <c r="BRZ5" s="390"/>
      <c r="BSA5" s="390"/>
      <c r="BSB5" s="390"/>
      <c r="BSC5" s="390"/>
      <c r="BSD5" s="390"/>
      <c r="BSE5" s="390"/>
      <c r="BSF5" s="390"/>
      <c r="BSG5" s="390"/>
      <c r="BSH5" s="390"/>
      <c r="BSI5" s="390"/>
      <c r="BSJ5" s="390"/>
      <c r="BSK5" s="390"/>
      <c r="BSL5" s="390"/>
      <c r="BSM5" s="390"/>
      <c r="BSN5" s="390"/>
      <c r="BSO5" s="390"/>
      <c r="BSP5" s="390"/>
      <c r="BSQ5" s="390"/>
      <c r="BSR5" s="390"/>
      <c r="BSS5" s="390"/>
      <c r="BST5" s="390"/>
      <c r="BSU5" s="390"/>
      <c r="BSV5" s="390"/>
      <c r="BSW5" s="390"/>
      <c r="BSX5" s="390"/>
      <c r="BSY5" s="390"/>
      <c r="BSZ5" s="390"/>
      <c r="BTA5" s="390"/>
      <c r="BTB5" s="390"/>
      <c r="BTC5" s="390"/>
      <c r="BTD5" s="390"/>
      <c r="BTE5" s="390"/>
      <c r="BTF5" s="390"/>
      <c r="BTG5" s="390"/>
      <c r="BTH5" s="390"/>
      <c r="BTI5" s="390"/>
      <c r="BTJ5" s="390"/>
      <c r="BTK5" s="390"/>
      <c r="BTL5" s="390"/>
      <c r="BTM5" s="390"/>
      <c r="BTN5" s="390"/>
      <c r="BTO5" s="390"/>
      <c r="BTP5" s="390"/>
      <c r="BTQ5" s="390"/>
      <c r="BTR5" s="390"/>
      <c r="BTS5" s="390"/>
      <c r="BTT5" s="390"/>
      <c r="BTU5" s="390"/>
      <c r="BTV5" s="390"/>
      <c r="BTW5" s="390"/>
      <c r="BTX5" s="390"/>
      <c r="BTY5" s="390"/>
      <c r="BTZ5" s="390"/>
      <c r="BUA5" s="390"/>
      <c r="BUB5" s="390"/>
      <c r="BUC5" s="390"/>
      <c r="BUD5" s="390"/>
      <c r="BUE5" s="390"/>
      <c r="BUF5" s="390"/>
      <c r="BUG5" s="390"/>
      <c r="BUH5" s="390"/>
      <c r="BUI5" s="390"/>
      <c r="BUJ5" s="390"/>
      <c r="BUK5" s="390"/>
      <c r="BUL5" s="390"/>
      <c r="BUM5" s="390"/>
      <c r="BUN5" s="390"/>
      <c r="BUO5" s="390"/>
      <c r="BUP5" s="390"/>
      <c r="BUQ5" s="390"/>
      <c r="BUR5" s="390"/>
      <c r="BUS5" s="390"/>
      <c r="BUT5" s="390"/>
      <c r="BUU5" s="390"/>
      <c r="BUV5" s="390"/>
      <c r="BUW5" s="390"/>
      <c r="BUX5" s="390"/>
      <c r="BUY5" s="390"/>
      <c r="BUZ5" s="390"/>
      <c r="BVA5" s="390"/>
      <c r="BVB5" s="390"/>
      <c r="BVC5" s="390"/>
      <c r="BVD5" s="390"/>
      <c r="BVE5" s="390"/>
      <c r="BVF5" s="390"/>
      <c r="BVG5" s="390"/>
      <c r="BVH5" s="390"/>
      <c r="BVI5" s="390"/>
      <c r="BVJ5" s="390"/>
      <c r="BVK5" s="390"/>
      <c r="BVL5" s="390"/>
      <c r="BVM5" s="390"/>
      <c r="BVN5" s="390"/>
      <c r="BVO5" s="390"/>
      <c r="BVP5" s="390"/>
      <c r="BVQ5" s="390"/>
      <c r="BVR5" s="390"/>
      <c r="BVS5" s="390"/>
      <c r="BVT5" s="390"/>
      <c r="BVU5" s="390"/>
      <c r="BVV5" s="390"/>
      <c r="BVW5" s="390"/>
      <c r="BVX5" s="390"/>
      <c r="BVY5" s="390"/>
      <c r="BVZ5" s="390"/>
      <c r="BWA5" s="390"/>
      <c r="BWB5" s="390"/>
      <c r="BWC5" s="390"/>
      <c r="BWD5" s="390"/>
      <c r="BWE5" s="390"/>
      <c r="BWF5" s="390"/>
      <c r="BWG5" s="390"/>
      <c r="BWH5" s="390"/>
      <c r="BWI5" s="390"/>
      <c r="BWJ5" s="390"/>
      <c r="BWK5" s="390"/>
      <c r="BWL5" s="390"/>
      <c r="BWM5" s="390"/>
      <c r="BWN5" s="390"/>
      <c r="BWO5" s="390"/>
      <c r="BWP5" s="390"/>
      <c r="BWQ5" s="390"/>
      <c r="BWR5" s="390"/>
      <c r="BWS5" s="390"/>
      <c r="BWT5" s="390"/>
      <c r="BWU5" s="390"/>
      <c r="BWV5" s="390"/>
      <c r="BWW5" s="390"/>
      <c r="BWX5" s="390"/>
      <c r="BWY5" s="390"/>
      <c r="BWZ5" s="390"/>
      <c r="BXA5" s="390"/>
      <c r="BXB5" s="390"/>
      <c r="BXC5" s="390"/>
      <c r="BXD5" s="390"/>
      <c r="BXE5" s="390"/>
      <c r="BXF5" s="390"/>
      <c r="BXG5" s="390"/>
      <c r="BXH5" s="390"/>
      <c r="BXI5" s="390"/>
      <c r="BXJ5" s="390"/>
      <c r="BXK5" s="390"/>
      <c r="BXL5" s="390"/>
      <c r="BXM5" s="390"/>
      <c r="BXN5" s="390"/>
      <c r="BXO5" s="390"/>
      <c r="BXP5" s="390"/>
      <c r="BXQ5" s="390"/>
      <c r="BXR5" s="390"/>
      <c r="BXS5" s="390"/>
      <c r="BXT5" s="390"/>
      <c r="BXU5" s="390"/>
      <c r="BXV5" s="390"/>
      <c r="BXW5" s="390"/>
      <c r="BXX5" s="390"/>
      <c r="BXY5" s="390"/>
      <c r="BXZ5" s="390"/>
      <c r="BYA5" s="390"/>
      <c r="BYB5" s="390"/>
      <c r="BYC5" s="390"/>
      <c r="BYD5" s="390"/>
      <c r="BYE5" s="390"/>
      <c r="BYF5" s="390"/>
      <c r="BYG5" s="390"/>
      <c r="BYH5" s="390"/>
      <c r="BYI5" s="390"/>
      <c r="BYJ5" s="390"/>
      <c r="BYK5" s="390"/>
      <c r="BYL5" s="390"/>
      <c r="BYM5" s="390"/>
      <c r="BYN5" s="390"/>
      <c r="BYO5" s="390"/>
      <c r="BYP5" s="390"/>
      <c r="BYQ5" s="390"/>
      <c r="BYR5" s="390"/>
      <c r="BYS5" s="390"/>
      <c r="BYT5" s="390"/>
      <c r="BYU5" s="390"/>
      <c r="BYV5" s="390"/>
      <c r="BYW5" s="390"/>
      <c r="BYX5" s="390"/>
      <c r="BYY5" s="390"/>
      <c r="BYZ5" s="390"/>
      <c r="BZA5" s="390"/>
      <c r="BZB5" s="390"/>
      <c r="BZC5" s="390"/>
      <c r="BZD5" s="390"/>
      <c r="BZE5" s="390"/>
      <c r="BZF5" s="390"/>
      <c r="BZG5" s="390"/>
      <c r="BZH5" s="390"/>
      <c r="BZI5" s="390"/>
      <c r="BZJ5" s="390"/>
      <c r="BZK5" s="390"/>
      <c r="BZL5" s="390"/>
      <c r="BZM5" s="390"/>
      <c r="BZN5" s="390"/>
      <c r="BZO5" s="390"/>
      <c r="BZP5" s="390"/>
      <c r="BZQ5" s="390"/>
      <c r="BZR5" s="390"/>
      <c r="BZS5" s="390"/>
      <c r="BZT5" s="390"/>
      <c r="BZU5" s="390"/>
      <c r="BZV5" s="390"/>
      <c r="BZW5" s="390"/>
      <c r="BZX5" s="390"/>
      <c r="BZY5" s="390"/>
      <c r="BZZ5" s="390"/>
      <c r="CAA5" s="390"/>
      <c r="CAB5" s="390"/>
      <c r="CAC5" s="390"/>
      <c r="CAD5" s="390"/>
      <c r="CAE5" s="390"/>
      <c r="CAF5" s="390"/>
      <c r="CAG5" s="390"/>
      <c r="CAH5" s="390"/>
      <c r="CAI5" s="390"/>
      <c r="CAJ5" s="390"/>
      <c r="CAK5" s="390"/>
      <c r="CAL5" s="390"/>
      <c r="CAM5" s="390"/>
      <c r="CAN5" s="390"/>
      <c r="CAO5" s="390"/>
      <c r="CAP5" s="390"/>
      <c r="CAQ5" s="390"/>
      <c r="CAR5" s="390"/>
      <c r="CAS5" s="390"/>
      <c r="CAT5" s="390"/>
      <c r="CAU5" s="390"/>
      <c r="CAV5" s="390"/>
      <c r="CAW5" s="390"/>
      <c r="CAX5" s="390"/>
      <c r="CAY5" s="390"/>
      <c r="CAZ5" s="390"/>
      <c r="CBA5" s="390"/>
      <c r="CBB5" s="390"/>
      <c r="CBC5" s="390"/>
      <c r="CBD5" s="390"/>
      <c r="CBE5" s="390"/>
      <c r="CBF5" s="390"/>
      <c r="CBG5" s="390"/>
      <c r="CBH5" s="390"/>
      <c r="CBI5" s="390"/>
      <c r="CBJ5" s="390"/>
      <c r="CBK5" s="390"/>
      <c r="CBL5" s="390"/>
      <c r="CBM5" s="390"/>
      <c r="CBN5" s="390"/>
      <c r="CBO5" s="390"/>
      <c r="CBP5" s="390"/>
      <c r="CBQ5" s="390"/>
      <c r="CBR5" s="390"/>
      <c r="CBS5" s="390"/>
      <c r="CBT5" s="390"/>
      <c r="CBU5" s="390"/>
      <c r="CBV5" s="390"/>
      <c r="CBW5" s="390"/>
      <c r="CBX5" s="390"/>
      <c r="CBY5" s="390"/>
      <c r="CBZ5" s="390"/>
      <c r="CCA5" s="390"/>
      <c r="CCB5" s="390"/>
      <c r="CCC5" s="390"/>
      <c r="CCD5" s="390"/>
      <c r="CCE5" s="390"/>
      <c r="CCF5" s="390"/>
      <c r="CCG5" s="390"/>
      <c r="CCH5" s="390"/>
      <c r="CCI5" s="390"/>
      <c r="CCJ5" s="390"/>
      <c r="CCK5" s="390"/>
      <c r="CCL5" s="390"/>
      <c r="CCM5" s="390"/>
      <c r="CCN5" s="390"/>
      <c r="CCO5" s="390"/>
      <c r="CCP5" s="390"/>
      <c r="CCQ5" s="390"/>
      <c r="CCR5" s="390"/>
      <c r="CCS5" s="390"/>
      <c r="CCT5" s="390"/>
      <c r="CCU5" s="390"/>
      <c r="CCV5" s="390"/>
      <c r="CCW5" s="390"/>
      <c r="CCX5" s="390"/>
      <c r="CCY5" s="390"/>
      <c r="CCZ5" s="390"/>
      <c r="CDA5" s="390"/>
      <c r="CDB5" s="390"/>
      <c r="CDC5" s="390"/>
      <c r="CDD5" s="390"/>
      <c r="CDE5" s="390"/>
      <c r="CDF5" s="390"/>
      <c r="CDG5" s="390"/>
      <c r="CDH5" s="390"/>
      <c r="CDI5" s="390"/>
      <c r="CDJ5" s="390"/>
      <c r="CDK5" s="390"/>
      <c r="CDL5" s="390"/>
      <c r="CDM5" s="390"/>
      <c r="CDN5" s="390"/>
      <c r="CDO5" s="390"/>
      <c r="CDP5" s="390"/>
      <c r="CDQ5" s="390"/>
      <c r="CDR5" s="390"/>
      <c r="CDS5" s="390"/>
      <c r="CDT5" s="390"/>
      <c r="CDU5" s="390"/>
      <c r="CDV5" s="390"/>
      <c r="CDW5" s="390"/>
      <c r="CDX5" s="390"/>
      <c r="CDY5" s="390"/>
      <c r="CDZ5" s="390"/>
      <c r="CEA5" s="390"/>
      <c r="CEB5" s="390"/>
      <c r="CEC5" s="390"/>
      <c r="CED5" s="390"/>
      <c r="CEE5" s="390"/>
      <c r="CEF5" s="390"/>
      <c r="CEG5" s="390"/>
      <c r="CEH5" s="390"/>
      <c r="CEI5" s="390"/>
      <c r="CEJ5" s="390"/>
      <c r="CEK5" s="390"/>
      <c r="CEL5" s="390"/>
      <c r="CEM5" s="390"/>
      <c r="CEN5" s="390"/>
      <c r="CEO5" s="390"/>
      <c r="CEP5" s="390"/>
      <c r="CEQ5" s="390"/>
      <c r="CER5" s="390"/>
      <c r="CES5" s="390"/>
      <c r="CET5" s="390"/>
      <c r="CEU5" s="390"/>
      <c r="CEV5" s="390"/>
      <c r="CEW5" s="390"/>
      <c r="CEX5" s="390"/>
      <c r="CEY5" s="390"/>
      <c r="CEZ5" s="390"/>
      <c r="CFA5" s="390"/>
      <c r="CFB5" s="390"/>
      <c r="CFC5" s="390"/>
      <c r="CFD5" s="390"/>
      <c r="CFE5" s="390"/>
      <c r="CFF5" s="390"/>
      <c r="CFG5" s="390"/>
      <c r="CFH5" s="390"/>
      <c r="CFI5" s="390"/>
      <c r="CFJ5" s="390"/>
      <c r="CFK5" s="390"/>
      <c r="CFL5" s="390"/>
      <c r="CFM5" s="390"/>
      <c r="CFN5" s="390"/>
      <c r="CFO5" s="390"/>
      <c r="CFP5" s="390"/>
      <c r="CFQ5" s="390"/>
      <c r="CFR5" s="390"/>
      <c r="CFS5" s="390"/>
      <c r="CFT5" s="390"/>
      <c r="CFU5" s="390"/>
      <c r="CFV5" s="390"/>
      <c r="CFW5" s="390"/>
      <c r="CFX5" s="390"/>
      <c r="CFY5" s="390"/>
      <c r="CFZ5" s="390"/>
      <c r="CGA5" s="390"/>
      <c r="CGB5" s="390"/>
      <c r="CGC5" s="390"/>
      <c r="CGD5" s="390"/>
      <c r="CGE5" s="390"/>
      <c r="CGF5" s="390"/>
      <c r="CGG5" s="390"/>
      <c r="CGH5" s="390"/>
      <c r="CGI5" s="390"/>
      <c r="CGJ5" s="390"/>
      <c r="CGK5" s="390"/>
      <c r="CGL5" s="390"/>
      <c r="CGM5" s="390"/>
      <c r="CGN5" s="390"/>
      <c r="CGO5" s="390"/>
      <c r="CGP5" s="390"/>
      <c r="CGQ5" s="390"/>
      <c r="CGR5" s="390"/>
      <c r="CGS5" s="390"/>
      <c r="CGT5" s="390"/>
      <c r="CGU5" s="390"/>
      <c r="CGV5" s="390"/>
      <c r="CGW5" s="390"/>
      <c r="CGX5" s="390"/>
      <c r="CGY5" s="390"/>
      <c r="CGZ5" s="390"/>
      <c r="CHA5" s="390"/>
      <c r="CHB5" s="390"/>
      <c r="CHC5" s="390"/>
      <c r="CHD5" s="390"/>
      <c r="CHE5" s="390"/>
      <c r="CHF5" s="390"/>
      <c r="CHG5" s="390"/>
      <c r="CHH5" s="390"/>
      <c r="CHI5" s="390"/>
      <c r="CHJ5" s="390"/>
      <c r="CHK5" s="390"/>
      <c r="CHL5" s="390"/>
      <c r="CHM5" s="390"/>
      <c r="CHN5" s="390"/>
      <c r="CHO5" s="390"/>
      <c r="CHP5" s="390"/>
      <c r="CHQ5" s="390"/>
      <c r="CHR5" s="390"/>
      <c r="CHS5" s="390"/>
      <c r="CHT5" s="390"/>
      <c r="CHU5" s="390"/>
      <c r="CHV5" s="390"/>
      <c r="CHW5" s="390"/>
      <c r="CHX5" s="390"/>
      <c r="CHY5" s="390"/>
      <c r="CHZ5" s="390"/>
      <c r="CIA5" s="390"/>
      <c r="CIB5" s="390"/>
      <c r="CIC5" s="390"/>
      <c r="CID5" s="390"/>
      <c r="CIE5" s="390"/>
      <c r="CIF5" s="390"/>
      <c r="CIG5" s="390"/>
      <c r="CIH5" s="390"/>
      <c r="CII5" s="390"/>
      <c r="CIJ5" s="390"/>
      <c r="CIK5" s="390"/>
      <c r="CIL5" s="390"/>
      <c r="CIM5" s="390"/>
      <c r="CIN5" s="390"/>
      <c r="CIO5" s="390"/>
      <c r="CIP5" s="390"/>
      <c r="CIQ5" s="390"/>
      <c r="CIR5" s="390"/>
      <c r="CIS5" s="390"/>
      <c r="CIT5" s="390"/>
      <c r="CIU5" s="390"/>
      <c r="CIV5" s="390"/>
      <c r="CIW5" s="390"/>
      <c r="CIX5" s="390"/>
      <c r="CIY5" s="390"/>
      <c r="CIZ5" s="390"/>
      <c r="CJA5" s="390"/>
      <c r="CJB5" s="390"/>
      <c r="CJC5" s="390"/>
      <c r="CJD5" s="390"/>
      <c r="CJE5" s="390"/>
      <c r="CJF5" s="390"/>
      <c r="CJG5" s="390"/>
      <c r="CJH5" s="390"/>
      <c r="CJI5" s="390"/>
      <c r="CJJ5" s="390"/>
      <c r="CJK5" s="390"/>
      <c r="CJL5" s="390"/>
      <c r="CJM5" s="390"/>
      <c r="CJN5" s="390"/>
      <c r="CJO5" s="390"/>
      <c r="CJP5" s="390"/>
      <c r="CJQ5" s="390"/>
      <c r="CJR5" s="390"/>
      <c r="CJS5" s="390"/>
      <c r="CJT5" s="390"/>
      <c r="CJU5" s="390"/>
      <c r="CJV5" s="390"/>
      <c r="CJW5" s="390"/>
      <c r="CJX5" s="390"/>
      <c r="CJY5" s="390"/>
      <c r="CJZ5" s="390"/>
      <c r="CKA5" s="390"/>
      <c r="CKB5" s="390"/>
      <c r="CKC5" s="390"/>
      <c r="CKD5" s="390"/>
      <c r="CKE5" s="390"/>
      <c r="CKF5" s="390"/>
      <c r="CKG5" s="390"/>
      <c r="CKH5" s="390"/>
      <c r="CKI5" s="390"/>
      <c r="CKJ5" s="390"/>
      <c r="CKK5" s="390"/>
      <c r="CKL5" s="390"/>
      <c r="CKM5" s="390"/>
      <c r="CKN5" s="390"/>
      <c r="CKO5" s="390"/>
      <c r="CKP5" s="390"/>
      <c r="CKQ5" s="390"/>
      <c r="CKR5" s="390"/>
      <c r="CKS5" s="390"/>
      <c r="CKT5" s="390"/>
      <c r="CKU5" s="390"/>
      <c r="CKV5" s="390"/>
      <c r="CKW5" s="390"/>
      <c r="CKX5" s="390"/>
      <c r="CKY5" s="390"/>
      <c r="CKZ5" s="390"/>
      <c r="CLA5" s="390"/>
      <c r="CLB5" s="390"/>
      <c r="CLC5" s="390"/>
      <c r="CLD5" s="390"/>
      <c r="CLE5" s="390"/>
      <c r="CLF5" s="390"/>
      <c r="CLG5" s="390"/>
      <c r="CLH5" s="390"/>
      <c r="CLI5" s="390"/>
      <c r="CLJ5" s="390"/>
      <c r="CLK5" s="390"/>
      <c r="CLL5" s="390"/>
      <c r="CLM5" s="390"/>
      <c r="CLN5" s="390"/>
      <c r="CLO5" s="390"/>
      <c r="CLP5" s="390"/>
      <c r="CLQ5" s="390"/>
      <c r="CLR5" s="390"/>
      <c r="CLS5" s="390"/>
      <c r="CLT5" s="390"/>
      <c r="CLU5" s="390"/>
      <c r="CLV5" s="390"/>
      <c r="CLW5" s="390"/>
      <c r="CLX5" s="390"/>
      <c r="CLY5" s="390"/>
      <c r="CLZ5" s="390"/>
      <c r="CMA5" s="390"/>
      <c r="CMB5" s="390"/>
      <c r="CMC5" s="390"/>
      <c r="CMD5" s="390"/>
      <c r="CME5" s="390"/>
      <c r="CMF5" s="390"/>
      <c r="CMG5" s="390"/>
      <c r="CMH5" s="390"/>
      <c r="CMI5" s="390"/>
      <c r="CMJ5" s="390"/>
      <c r="CMK5" s="390"/>
      <c r="CML5" s="390"/>
      <c r="CMM5" s="390"/>
      <c r="CMN5" s="390"/>
      <c r="CMO5" s="390"/>
      <c r="CMP5" s="390"/>
      <c r="CMQ5" s="390"/>
      <c r="CMR5" s="390"/>
      <c r="CMS5" s="390"/>
      <c r="CMT5" s="390"/>
      <c r="CMU5" s="390"/>
      <c r="CMV5" s="390"/>
      <c r="CMW5" s="390"/>
      <c r="CMX5" s="390"/>
      <c r="CMY5" s="390"/>
      <c r="CMZ5" s="390"/>
      <c r="CNA5" s="390"/>
      <c r="CNB5" s="390"/>
      <c r="CNC5" s="390"/>
      <c r="CND5" s="390"/>
      <c r="CNE5" s="390"/>
      <c r="CNF5" s="390"/>
      <c r="CNG5" s="390"/>
      <c r="CNH5" s="390"/>
      <c r="CNI5" s="390"/>
      <c r="CNJ5" s="390"/>
      <c r="CNK5" s="390"/>
      <c r="CNL5" s="390"/>
      <c r="CNM5" s="390"/>
      <c r="CNN5" s="390"/>
      <c r="CNO5" s="390"/>
      <c r="CNP5" s="390"/>
      <c r="CNQ5" s="390"/>
      <c r="CNR5" s="390"/>
      <c r="CNS5" s="390"/>
      <c r="CNT5" s="390"/>
      <c r="CNU5" s="390"/>
      <c r="CNV5" s="390"/>
      <c r="CNW5" s="390"/>
      <c r="CNX5" s="390"/>
      <c r="CNY5" s="390"/>
      <c r="CNZ5" s="390"/>
      <c r="COA5" s="390"/>
      <c r="COB5" s="390"/>
      <c r="COC5" s="390"/>
      <c r="COD5" s="390"/>
      <c r="COE5" s="390"/>
      <c r="COF5" s="390"/>
      <c r="COG5" s="390"/>
      <c r="COH5" s="390"/>
      <c r="COI5" s="390"/>
      <c r="COJ5" s="390"/>
      <c r="COK5" s="390"/>
      <c r="COL5" s="390"/>
      <c r="COM5" s="390"/>
      <c r="CON5" s="390"/>
      <c r="COO5" s="390"/>
      <c r="COP5" s="390"/>
      <c r="COQ5" s="390"/>
      <c r="COR5" s="390"/>
      <c r="COS5" s="390"/>
      <c r="COT5" s="390"/>
      <c r="COU5" s="390"/>
      <c r="COV5" s="390"/>
      <c r="COW5" s="390"/>
      <c r="COX5" s="390"/>
      <c r="COY5" s="390"/>
      <c r="COZ5" s="390"/>
      <c r="CPA5" s="390"/>
      <c r="CPB5" s="390"/>
      <c r="CPC5" s="390"/>
      <c r="CPD5" s="390"/>
      <c r="CPE5" s="390"/>
      <c r="CPF5" s="390"/>
      <c r="CPG5" s="390"/>
      <c r="CPH5" s="390"/>
      <c r="CPI5" s="390"/>
      <c r="CPJ5" s="390"/>
      <c r="CPK5" s="390"/>
      <c r="CPL5" s="390"/>
      <c r="CPM5" s="390"/>
      <c r="CPN5" s="390"/>
      <c r="CPO5" s="390"/>
      <c r="CPP5" s="390"/>
      <c r="CPQ5" s="390"/>
      <c r="CPR5" s="390"/>
      <c r="CPS5" s="390"/>
      <c r="CPT5" s="390"/>
      <c r="CPU5" s="390"/>
      <c r="CPV5" s="390"/>
      <c r="CPW5" s="390"/>
      <c r="CPX5" s="390"/>
      <c r="CPY5" s="390"/>
      <c r="CPZ5" s="390"/>
      <c r="CQA5" s="390"/>
      <c r="CQB5" s="390"/>
      <c r="CQC5" s="390"/>
      <c r="CQD5" s="390"/>
      <c r="CQE5" s="390"/>
      <c r="CQF5" s="390"/>
      <c r="CQG5" s="390"/>
      <c r="CQH5" s="390"/>
      <c r="CQI5" s="390"/>
      <c r="CQJ5" s="390"/>
      <c r="CQK5" s="390"/>
      <c r="CQL5" s="390"/>
      <c r="CQM5" s="390"/>
      <c r="CQN5" s="390"/>
      <c r="CQO5" s="390"/>
      <c r="CQP5" s="390"/>
      <c r="CQQ5" s="390"/>
      <c r="CQR5" s="390"/>
      <c r="CQS5" s="390"/>
      <c r="CQT5" s="390"/>
      <c r="CQU5" s="390"/>
      <c r="CQV5" s="390"/>
      <c r="CQW5" s="390"/>
      <c r="CQX5" s="390"/>
      <c r="CQY5" s="390"/>
      <c r="CQZ5" s="390"/>
      <c r="CRA5" s="390"/>
      <c r="CRB5" s="390"/>
      <c r="CRC5" s="390"/>
      <c r="CRD5" s="390"/>
      <c r="CRE5" s="390"/>
      <c r="CRF5" s="390"/>
      <c r="CRG5" s="390"/>
      <c r="CRH5" s="390"/>
      <c r="CRI5" s="390"/>
      <c r="CRJ5" s="390"/>
      <c r="CRK5" s="390"/>
      <c r="CRL5" s="390"/>
      <c r="CRM5" s="390"/>
      <c r="CRN5" s="390"/>
      <c r="CRO5" s="390"/>
      <c r="CRP5" s="390"/>
      <c r="CRQ5" s="390"/>
      <c r="CRR5" s="390"/>
      <c r="CRS5" s="390"/>
      <c r="CRT5" s="390"/>
      <c r="CRU5" s="390"/>
      <c r="CRV5" s="390"/>
      <c r="CRW5" s="390"/>
      <c r="CRX5" s="390"/>
      <c r="CRY5" s="390"/>
      <c r="CRZ5" s="390"/>
      <c r="CSA5" s="390"/>
      <c r="CSB5" s="390"/>
      <c r="CSC5" s="390"/>
      <c r="CSD5" s="390"/>
      <c r="CSE5" s="390"/>
      <c r="CSF5" s="390"/>
      <c r="CSG5" s="390"/>
      <c r="CSH5" s="390"/>
      <c r="CSI5" s="390"/>
      <c r="CSJ5" s="390"/>
      <c r="CSK5" s="390"/>
      <c r="CSL5" s="390"/>
      <c r="CSM5" s="390"/>
      <c r="CSN5" s="390"/>
      <c r="CSO5" s="390"/>
      <c r="CSP5" s="390"/>
      <c r="CSQ5" s="390"/>
      <c r="CSR5" s="390"/>
      <c r="CSS5" s="390"/>
      <c r="CST5" s="390"/>
      <c r="CSU5" s="390"/>
      <c r="CSV5" s="390"/>
      <c r="CSW5" s="390"/>
      <c r="CSX5" s="390"/>
      <c r="CSY5" s="390"/>
      <c r="CSZ5" s="390"/>
      <c r="CTA5" s="390"/>
      <c r="CTB5" s="390"/>
      <c r="CTC5" s="390"/>
      <c r="CTD5" s="390"/>
      <c r="CTE5" s="390"/>
      <c r="CTF5" s="390"/>
      <c r="CTG5" s="390"/>
      <c r="CTH5" s="390"/>
      <c r="CTI5" s="390"/>
      <c r="CTJ5" s="390"/>
      <c r="CTK5" s="390"/>
      <c r="CTL5" s="390"/>
      <c r="CTM5" s="390"/>
      <c r="CTN5" s="390"/>
      <c r="CTO5" s="390"/>
      <c r="CTP5" s="390"/>
      <c r="CTQ5" s="390"/>
      <c r="CTR5" s="390"/>
      <c r="CTS5" s="390"/>
      <c r="CTT5" s="390"/>
      <c r="CTU5" s="390"/>
      <c r="CTV5" s="390"/>
      <c r="CTW5" s="390"/>
      <c r="CTX5" s="390"/>
      <c r="CTY5" s="390"/>
      <c r="CTZ5" s="390"/>
      <c r="CUA5" s="390"/>
      <c r="CUB5" s="390"/>
      <c r="CUC5" s="390"/>
      <c r="CUD5" s="390"/>
      <c r="CUE5" s="390"/>
      <c r="CUF5" s="390"/>
      <c r="CUG5" s="390"/>
      <c r="CUH5" s="390"/>
      <c r="CUI5" s="390"/>
      <c r="CUJ5" s="390"/>
      <c r="CUK5" s="390"/>
      <c r="CUL5" s="390"/>
      <c r="CUM5" s="390"/>
      <c r="CUN5" s="390"/>
      <c r="CUO5" s="390"/>
      <c r="CUP5" s="390"/>
      <c r="CUQ5" s="390"/>
      <c r="CUR5" s="390"/>
      <c r="CUS5" s="390"/>
      <c r="CUT5" s="390"/>
      <c r="CUU5" s="390"/>
      <c r="CUV5" s="390"/>
      <c r="CUW5" s="390"/>
      <c r="CUX5" s="390"/>
      <c r="CUY5" s="390"/>
      <c r="CUZ5" s="390"/>
      <c r="CVA5" s="390"/>
      <c r="CVB5" s="390"/>
      <c r="CVC5" s="390"/>
      <c r="CVD5" s="390"/>
      <c r="CVE5" s="390"/>
      <c r="CVF5" s="390"/>
      <c r="CVG5" s="390"/>
      <c r="CVH5" s="390"/>
      <c r="CVI5" s="390"/>
      <c r="CVJ5" s="390"/>
      <c r="CVK5" s="390"/>
      <c r="CVL5" s="390"/>
      <c r="CVM5" s="390"/>
      <c r="CVN5" s="390"/>
      <c r="CVO5" s="390"/>
      <c r="CVP5" s="390"/>
      <c r="CVQ5" s="390"/>
      <c r="CVR5" s="390"/>
      <c r="CVS5" s="390"/>
      <c r="CVT5" s="390"/>
      <c r="CVU5" s="390"/>
      <c r="CVV5" s="390"/>
      <c r="CVW5" s="390"/>
      <c r="CVX5" s="390"/>
      <c r="CVY5" s="390"/>
      <c r="CVZ5" s="390"/>
      <c r="CWA5" s="390"/>
      <c r="CWB5" s="390"/>
      <c r="CWC5" s="390"/>
      <c r="CWD5" s="390"/>
      <c r="CWE5" s="390"/>
      <c r="CWF5" s="390"/>
      <c r="CWG5" s="390"/>
      <c r="CWH5" s="390"/>
      <c r="CWI5" s="390"/>
      <c r="CWJ5" s="390"/>
      <c r="CWK5" s="390"/>
      <c r="CWL5" s="390"/>
      <c r="CWM5" s="390"/>
      <c r="CWN5" s="390"/>
      <c r="CWO5" s="390"/>
      <c r="CWP5" s="390"/>
      <c r="CWQ5" s="390"/>
      <c r="CWR5" s="390"/>
      <c r="CWS5" s="390"/>
      <c r="CWT5" s="390"/>
      <c r="CWU5" s="390"/>
      <c r="CWV5" s="390"/>
      <c r="CWW5" s="390"/>
      <c r="CWX5" s="390"/>
      <c r="CWY5" s="390"/>
      <c r="CWZ5" s="390"/>
      <c r="CXA5" s="390"/>
      <c r="CXB5" s="390"/>
      <c r="CXC5" s="390"/>
      <c r="CXD5" s="390"/>
      <c r="CXE5" s="390"/>
      <c r="CXF5" s="390"/>
      <c r="CXG5" s="390"/>
      <c r="CXH5" s="390"/>
      <c r="CXI5" s="390"/>
      <c r="CXJ5" s="390"/>
      <c r="CXK5" s="390"/>
      <c r="CXL5" s="390"/>
      <c r="CXM5" s="390"/>
      <c r="CXN5" s="390"/>
      <c r="CXO5" s="390"/>
      <c r="CXP5" s="390"/>
      <c r="CXQ5" s="390"/>
      <c r="CXR5" s="390"/>
      <c r="CXS5" s="390"/>
      <c r="CXT5" s="390"/>
      <c r="CXU5" s="390"/>
      <c r="CXV5" s="390"/>
      <c r="CXW5" s="390"/>
      <c r="CXX5" s="390"/>
      <c r="CXY5" s="390"/>
      <c r="CXZ5" s="390"/>
      <c r="CYA5" s="390"/>
      <c r="CYB5" s="390"/>
      <c r="CYC5" s="390"/>
      <c r="CYD5" s="390"/>
      <c r="CYE5" s="390"/>
      <c r="CYF5" s="390"/>
      <c r="CYG5" s="390"/>
      <c r="CYH5" s="390"/>
      <c r="CYI5" s="390"/>
      <c r="CYJ5" s="390"/>
      <c r="CYK5" s="390"/>
      <c r="CYL5" s="390"/>
      <c r="CYM5" s="390"/>
      <c r="CYN5" s="390"/>
      <c r="CYO5" s="390"/>
      <c r="CYP5" s="390"/>
      <c r="CYQ5" s="390"/>
      <c r="CYR5" s="390"/>
      <c r="CYS5" s="390"/>
      <c r="CYT5" s="390"/>
      <c r="CYU5" s="390"/>
      <c r="CYV5" s="390"/>
      <c r="CYW5" s="390"/>
      <c r="CYX5" s="390"/>
      <c r="CYY5" s="390"/>
      <c r="CYZ5" s="390"/>
      <c r="CZA5" s="390"/>
      <c r="CZB5" s="390"/>
      <c r="CZC5" s="390"/>
      <c r="CZD5" s="390"/>
      <c r="CZE5" s="390"/>
      <c r="CZF5" s="390"/>
      <c r="CZG5" s="390"/>
      <c r="CZH5" s="390"/>
      <c r="CZI5" s="390"/>
      <c r="CZJ5" s="390"/>
      <c r="CZK5" s="390"/>
      <c r="CZL5" s="390"/>
      <c r="CZM5" s="390"/>
      <c r="CZN5" s="390"/>
      <c r="CZO5" s="390"/>
      <c r="CZP5" s="390"/>
      <c r="CZQ5" s="390"/>
      <c r="CZR5" s="390"/>
      <c r="CZS5" s="390"/>
      <c r="CZT5" s="390"/>
      <c r="CZU5" s="390"/>
      <c r="CZV5" s="390"/>
      <c r="CZW5" s="390"/>
      <c r="CZX5" s="390"/>
      <c r="CZY5" s="390"/>
      <c r="CZZ5" s="390"/>
      <c r="DAA5" s="390"/>
      <c r="DAB5" s="390"/>
      <c r="DAC5" s="390"/>
      <c r="DAD5" s="390"/>
      <c r="DAE5" s="390"/>
      <c r="DAF5" s="390"/>
      <c r="DAG5" s="390"/>
      <c r="DAH5" s="390"/>
      <c r="DAI5" s="390"/>
      <c r="DAJ5" s="390"/>
      <c r="DAK5" s="390"/>
      <c r="DAL5" s="390"/>
      <c r="DAM5" s="390"/>
      <c r="DAN5" s="390"/>
      <c r="DAO5" s="390"/>
      <c r="DAP5" s="390"/>
      <c r="DAQ5" s="390"/>
      <c r="DAR5" s="390"/>
      <c r="DAS5" s="390"/>
      <c r="DAT5" s="390"/>
      <c r="DAU5" s="390"/>
      <c r="DAV5" s="390"/>
      <c r="DAW5" s="390"/>
      <c r="DAX5" s="390"/>
      <c r="DAY5" s="390"/>
      <c r="DAZ5" s="390"/>
      <c r="DBA5" s="390"/>
      <c r="DBB5" s="390"/>
      <c r="DBC5" s="390"/>
      <c r="DBD5" s="390"/>
      <c r="DBE5" s="390"/>
      <c r="DBF5" s="390"/>
      <c r="DBG5" s="390"/>
      <c r="DBH5" s="390"/>
      <c r="DBI5" s="390"/>
      <c r="DBJ5" s="390"/>
      <c r="DBK5" s="390"/>
      <c r="DBL5" s="390"/>
      <c r="DBM5" s="390"/>
      <c r="DBN5" s="390"/>
      <c r="DBO5" s="390"/>
      <c r="DBP5" s="390"/>
      <c r="DBQ5" s="390"/>
      <c r="DBR5" s="390"/>
      <c r="DBS5" s="390"/>
      <c r="DBT5" s="390"/>
      <c r="DBU5" s="390"/>
      <c r="DBV5" s="390"/>
      <c r="DBW5" s="390"/>
      <c r="DBX5" s="390"/>
      <c r="DBY5" s="390"/>
      <c r="DBZ5" s="390"/>
      <c r="DCA5" s="390"/>
      <c r="DCB5" s="390"/>
      <c r="DCC5" s="390"/>
      <c r="DCD5" s="390"/>
      <c r="DCE5" s="390"/>
      <c r="DCF5" s="390"/>
      <c r="DCG5" s="390"/>
      <c r="DCH5" s="390"/>
      <c r="DCI5" s="390"/>
      <c r="DCJ5" s="390"/>
      <c r="DCK5" s="390"/>
      <c r="DCL5" s="390"/>
      <c r="DCM5" s="390"/>
      <c r="DCN5" s="390"/>
      <c r="DCO5" s="390"/>
      <c r="DCP5" s="390"/>
      <c r="DCQ5" s="390"/>
      <c r="DCR5" s="390"/>
      <c r="DCS5" s="390"/>
      <c r="DCT5" s="390"/>
      <c r="DCU5" s="390"/>
      <c r="DCV5" s="390"/>
      <c r="DCW5" s="390"/>
      <c r="DCX5" s="390"/>
      <c r="DCY5" s="390"/>
      <c r="DCZ5" s="390"/>
      <c r="DDA5" s="390"/>
      <c r="DDB5" s="390"/>
      <c r="DDC5" s="390"/>
      <c r="DDD5" s="390"/>
      <c r="DDE5" s="390"/>
      <c r="DDF5" s="390"/>
      <c r="DDG5" s="390"/>
      <c r="DDH5" s="390"/>
      <c r="DDI5" s="390"/>
      <c r="DDJ5" s="390"/>
      <c r="DDK5" s="390"/>
      <c r="DDL5" s="390"/>
      <c r="DDM5" s="390"/>
      <c r="DDN5" s="390"/>
      <c r="DDO5" s="390"/>
      <c r="DDP5" s="390"/>
      <c r="DDQ5" s="390"/>
      <c r="DDR5" s="390"/>
      <c r="DDS5" s="390"/>
      <c r="DDT5" s="390"/>
      <c r="DDU5" s="390"/>
      <c r="DDV5" s="390"/>
      <c r="DDW5" s="390"/>
      <c r="DDX5" s="390"/>
      <c r="DDY5" s="390"/>
      <c r="DDZ5" s="390"/>
      <c r="DEA5" s="390"/>
      <c r="DEB5" s="390"/>
      <c r="DEC5" s="390"/>
      <c r="DED5" s="390"/>
      <c r="DEE5" s="390"/>
      <c r="DEF5" s="390"/>
      <c r="DEG5" s="390"/>
      <c r="DEH5" s="390"/>
      <c r="DEI5" s="390"/>
      <c r="DEJ5" s="390"/>
      <c r="DEK5" s="390"/>
      <c r="DEL5" s="390"/>
      <c r="DEM5" s="390"/>
      <c r="DEN5" s="390"/>
      <c r="DEO5" s="390"/>
      <c r="DEP5" s="390"/>
      <c r="DEQ5" s="390"/>
      <c r="DER5" s="390"/>
      <c r="DES5" s="390"/>
      <c r="DET5" s="390"/>
      <c r="DEU5" s="390"/>
      <c r="DEV5" s="390"/>
      <c r="DEW5" s="390"/>
      <c r="DEX5" s="390"/>
      <c r="DEY5" s="390"/>
      <c r="DEZ5" s="390"/>
      <c r="DFA5" s="390"/>
      <c r="DFB5" s="390"/>
      <c r="DFC5" s="390"/>
      <c r="DFD5" s="390"/>
      <c r="DFE5" s="390"/>
      <c r="DFF5" s="390"/>
      <c r="DFG5" s="390"/>
      <c r="DFH5" s="390"/>
      <c r="DFI5" s="390"/>
      <c r="DFJ5" s="390"/>
      <c r="DFK5" s="390"/>
      <c r="DFL5" s="390"/>
      <c r="DFM5" s="390"/>
      <c r="DFN5" s="390"/>
      <c r="DFO5" s="390"/>
      <c r="DFP5" s="390"/>
      <c r="DFQ5" s="390"/>
      <c r="DFR5" s="390"/>
      <c r="DFS5" s="390"/>
      <c r="DFT5" s="390"/>
      <c r="DFU5" s="390"/>
      <c r="DFV5" s="390"/>
      <c r="DFW5" s="390"/>
      <c r="DFX5" s="390"/>
      <c r="DFY5" s="390"/>
      <c r="DFZ5" s="390"/>
      <c r="DGA5" s="390"/>
      <c r="DGB5" s="390"/>
      <c r="DGC5" s="390"/>
      <c r="DGD5" s="390"/>
      <c r="DGE5" s="390"/>
      <c r="DGF5" s="390"/>
      <c r="DGG5" s="390"/>
      <c r="DGH5" s="390"/>
      <c r="DGI5" s="390"/>
      <c r="DGJ5" s="390"/>
      <c r="DGK5" s="390"/>
      <c r="DGL5" s="390"/>
      <c r="DGM5" s="390"/>
      <c r="DGN5" s="390"/>
      <c r="DGO5" s="390"/>
      <c r="DGP5" s="390"/>
      <c r="DGQ5" s="390"/>
      <c r="DGR5" s="390"/>
      <c r="DGS5" s="390"/>
      <c r="DGT5" s="390"/>
      <c r="DGU5" s="390"/>
      <c r="DGV5" s="390"/>
      <c r="DGW5" s="390"/>
      <c r="DGX5" s="390"/>
      <c r="DGY5" s="390"/>
      <c r="DGZ5" s="390"/>
      <c r="DHA5" s="390"/>
      <c r="DHB5" s="390"/>
      <c r="DHC5" s="390"/>
      <c r="DHD5" s="390"/>
      <c r="DHE5" s="390"/>
      <c r="DHF5" s="390"/>
      <c r="DHG5" s="390"/>
      <c r="DHH5" s="390"/>
      <c r="DHI5" s="390"/>
      <c r="DHJ5" s="390"/>
      <c r="DHK5" s="390"/>
      <c r="DHL5" s="390"/>
      <c r="DHM5" s="390"/>
      <c r="DHN5" s="390"/>
      <c r="DHO5" s="390"/>
      <c r="DHP5" s="390"/>
      <c r="DHQ5" s="390"/>
      <c r="DHR5" s="390"/>
      <c r="DHS5" s="390"/>
      <c r="DHT5" s="390"/>
      <c r="DHU5" s="390"/>
      <c r="DHV5" s="390"/>
      <c r="DHW5" s="390"/>
      <c r="DHX5" s="390"/>
      <c r="DHY5" s="390"/>
      <c r="DHZ5" s="390"/>
      <c r="DIA5" s="390"/>
      <c r="DIB5" s="390"/>
      <c r="DIC5" s="390"/>
      <c r="DID5" s="390"/>
      <c r="DIE5" s="390"/>
      <c r="DIF5" s="390"/>
      <c r="DIG5" s="390"/>
      <c r="DIH5" s="390"/>
      <c r="DII5" s="390"/>
      <c r="DIJ5" s="390"/>
      <c r="DIK5" s="390"/>
      <c r="DIL5" s="390"/>
      <c r="DIM5" s="390"/>
      <c r="DIN5" s="390"/>
      <c r="DIO5" s="390"/>
      <c r="DIP5" s="390"/>
      <c r="DIQ5" s="390"/>
      <c r="DIR5" s="390"/>
      <c r="DIS5" s="390"/>
      <c r="DIT5" s="390"/>
      <c r="DIU5" s="390"/>
      <c r="DIV5" s="390"/>
      <c r="DIW5" s="390"/>
      <c r="DIX5" s="390"/>
      <c r="DIY5" s="390"/>
      <c r="DIZ5" s="390"/>
      <c r="DJA5" s="390"/>
      <c r="DJB5" s="390"/>
      <c r="DJC5" s="390"/>
      <c r="DJD5" s="390"/>
      <c r="DJE5" s="390"/>
      <c r="DJF5" s="390"/>
      <c r="DJG5" s="390"/>
      <c r="DJH5" s="390"/>
      <c r="DJI5" s="390"/>
      <c r="DJJ5" s="390"/>
      <c r="DJK5" s="390"/>
      <c r="DJL5" s="390"/>
      <c r="DJM5" s="390"/>
      <c r="DJN5" s="390"/>
      <c r="DJO5" s="390"/>
      <c r="DJP5" s="390"/>
      <c r="DJQ5" s="390"/>
      <c r="DJR5" s="390"/>
      <c r="DJS5" s="390"/>
      <c r="DJT5" s="390"/>
      <c r="DJU5" s="390"/>
      <c r="DJV5" s="390"/>
      <c r="DJW5" s="390"/>
      <c r="DJX5" s="390"/>
      <c r="DJY5" s="390"/>
      <c r="DJZ5" s="390"/>
      <c r="DKA5" s="390"/>
      <c r="DKB5" s="390"/>
      <c r="DKC5" s="390"/>
      <c r="DKD5" s="390"/>
      <c r="DKE5" s="390"/>
      <c r="DKF5" s="390"/>
      <c r="DKG5" s="390"/>
      <c r="DKH5" s="390"/>
      <c r="DKI5" s="390"/>
      <c r="DKJ5" s="390"/>
      <c r="DKK5" s="390"/>
      <c r="DKL5" s="390"/>
      <c r="DKM5" s="390"/>
      <c r="DKN5" s="390"/>
      <c r="DKO5" s="390"/>
      <c r="DKP5" s="390"/>
      <c r="DKQ5" s="390"/>
      <c r="DKR5" s="390"/>
      <c r="DKS5" s="390"/>
      <c r="DKT5" s="390"/>
      <c r="DKU5" s="390"/>
      <c r="DKV5" s="390"/>
      <c r="DKW5" s="390"/>
      <c r="DKX5" s="390"/>
      <c r="DKY5" s="390"/>
      <c r="DKZ5" s="390"/>
      <c r="DLA5" s="390"/>
      <c r="DLB5" s="390"/>
      <c r="DLC5" s="390"/>
      <c r="DLD5" s="390"/>
      <c r="DLE5" s="390"/>
      <c r="DLF5" s="390"/>
      <c r="DLG5" s="390"/>
      <c r="DLH5" s="390"/>
      <c r="DLI5" s="390"/>
      <c r="DLJ5" s="390"/>
      <c r="DLK5" s="390"/>
      <c r="DLL5" s="390"/>
      <c r="DLM5" s="390"/>
      <c r="DLN5" s="390"/>
      <c r="DLO5" s="390"/>
      <c r="DLP5" s="390"/>
      <c r="DLQ5" s="390"/>
      <c r="DLR5" s="390"/>
      <c r="DLS5" s="390"/>
      <c r="DLT5" s="390"/>
      <c r="DLU5" s="390"/>
      <c r="DLV5" s="390"/>
      <c r="DLW5" s="390"/>
      <c r="DLX5" s="390"/>
      <c r="DLY5" s="390"/>
      <c r="DLZ5" s="390"/>
      <c r="DMA5" s="390"/>
      <c r="DMB5" s="390"/>
      <c r="DMC5" s="390"/>
      <c r="DMD5" s="390"/>
      <c r="DME5" s="390"/>
      <c r="DMF5" s="390"/>
      <c r="DMG5" s="390"/>
      <c r="DMH5" s="390"/>
      <c r="DMI5" s="390"/>
      <c r="DMJ5" s="390"/>
      <c r="DMK5" s="390"/>
      <c r="DML5" s="390"/>
      <c r="DMM5" s="390"/>
      <c r="DMN5" s="390"/>
      <c r="DMO5" s="390"/>
      <c r="DMP5" s="390"/>
      <c r="DMQ5" s="390"/>
      <c r="DMR5" s="390"/>
      <c r="DMS5" s="390"/>
      <c r="DMT5" s="390"/>
      <c r="DMU5" s="390"/>
      <c r="DMV5" s="390"/>
      <c r="DMW5" s="390"/>
      <c r="DMX5" s="390"/>
      <c r="DMY5" s="390"/>
      <c r="DMZ5" s="390"/>
      <c r="DNA5" s="390"/>
      <c r="DNB5" s="390"/>
      <c r="DNC5" s="390"/>
      <c r="DND5" s="390"/>
      <c r="DNE5" s="390"/>
      <c r="DNF5" s="390"/>
      <c r="DNG5" s="390"/>
      <c r="DNH5" s="390"/>
      <c r="DNI5" s="390"/>
      <c r="DNJ5" s="390"/>
      <c r="DNK5" s="390"/>
      <c r="DNL5" s="390"/>
      <c r="DNM5" s="390"/>
      <c r="DNN5" s="390"/>
      <c r="DNO5" s="390"/>
      <c r="DNP5" s="390"/>
      <c r="DNQ5" s="390"/>
      <c r="DNR5" s="390"/>
      <c r="DNS5" s="390"/>
      <c r="DNT5" s="390"/>
      <c r="DNU5" s="390"/>
      <c r="DNV5" s="390"/>
      <c r="DNW5" s="390"/>
      <c r="DNX5" s="390"/>
      <c r="DNY5" s="390"/>
      <c r="DNZ5" s="390"/>
      <c r="DOA5" s="390"/>
      <c r="DOB5" s="390"/>
      <c r="DOC5" s="390"/>
      <c r="DOD5" s="390"/>
      <c r="DOE5" s="390"/>
      <c r="DOF5" s="390"/>
      <c r="DOG5" s="390"/>
      <c r="DOH5" s="390"/>
      <c r="DOI5" s="390"/>
      <c r="DOJ5" s="390"/>
      <c r="DOK5" s="390"/>
      <c r="DOL5" s="390"/>
      <c r="DOM5" s="390"/>
      <c r="DON5" s="390"/>
      <c r="DOO5" s="390"/>
      <c r="DOP5" s="390"/>
      <c r="DOQ5" s="390"/>
      <c r="DOR5" s="390"/>
      <c r="DOS5" s="390"/>
      <c r="DOT5" s="390"/>
      <c r="DOU5" s="390"/>
      <c r="DOV5" s="390"/>
      <c r="DOW5" s="390"/>
      <c r="DOX5" s="390"/>
      <c r="DOY5" s="390"/>
      <c r="DOZ5" s="390"/>
      <c r="DPA5" s="390"/>
      <c r="DPB5" s="390"/>
      <c r="DPC5" s="390"/>
      <c r="DPD5" s="390"/>
      <c r="DPE5" s="390"/>
      <c r="DPF5" s="390"/>
      <c r="DPG5" s="390"/>
      <c r="DPH5" s="390"/>
      <c r="DPI5" s="390"/>
      <c r="DPJ5" s="390"/>
      <c r="DPK5" s="390"/>
      <c r="DPL5" s="390"/>
      <c r="DPM5" s="390"/>
      <c r="DPN5" s="390"/>
      <c r="DPO5" s="390"/>
      <c r="DPP5" s="390"/>
      <c r="DPQ5" s="390"/>
      <c r="DPR5" s="390"/>
      <c r="DPS5" s="390"/>
      <c r="DPT5" s="390"/>
      <c r="DPU5" s="390"/>
      <c r="DPV5" s="390"/>
      <c r="DPW5" s="390"/>
      <c r="DPX5" s="390"/>
      <c r="DPY5" s="390"/>
      <c r="DPZ5" s="390"/>
      <c r="DQA5" s="390"/>
      <c r="DQB5" s="390"/>
      <c r="DQC5" s="390"/>
      <c r="DQD5" s="390"/>
      <c r="DQE5" s="390"/>
      <c r="DQF5" s="390"/>
      <c r="DQG5" s="390"/>
      <c r="DQH5" s="390"/>
      <c r="DQI5" s="390"/>
      <c r="DQJ5" s="390"/>
      <c r="DQK5" s="390"/>
      <c r="DQL5" s="390"/>
      <c r="DQM5" s="390"/>
      <c r="DQN5" s="390"/>
      <c r="DQO5" s="390"/>
      <c r="DQP5" s="390"/>
      <c r="DQQ5" s="390"/>
      <c r="DQR5" s="390"/>
      <c r="DQS5" s="390"/>
      <c r="DQT5" s="390"/>
      <c r="DQU5" s="390"/>
      <c r="DQV5" s="390"/>
      <c r="DQW5" s="390"/>
      <c r="DQX5" s="390"/>
      <c r="DQY5" s="390"/>
      <c r="DQZ5" s="390"/>
      <c r="DRA5" s="390"/>
      <c r="DRB5" s="390"/>
      <c r="DRC5" s="390"/>
      <c r="DRD5" s="390"/>
      <c r="DRE5" s="390"/>
      <c r="DRF5" s="390"/>
      <c r="DRG5" s="390"/>
      <c r="DRH5" s="390"/>
      <c r="DRI5" s="390"/>
      <c r="DRJ5" s="390"/>
      <c r="DRK5" s="390"/>
      <c r="DRL5" s="390"/>
      <c r="DRM5" s="390"/>
      <c r="DRN5" s="390"/>
      <c r="DRO5" s="390"/>
      <c r="DRP5" s="390"/>
      <c r="DRQ5" s="390"/>
      <c r="DRR5" s="390"/>
      <c r="DRS5" s="390"/>
      <c r="DRT5" s="390"/>
      <c r="DRU5" s="390"/>
      <c r="DRV5" s="390"/>
      <c r="DRW5" s="390"/>
      <c r="DRX5" s="390"/>
      <c r="DRY5" s="390"/>
      <c r="DRZ5" s="390"/>
      <c r="DSA5" s="390"/>
      <c r="DSB5" s="390"/>
      <c r="DSC5" s="390"/>
      <c r="DSD5" s="390"/>
      <c r="DSE5" s="390"/>
      <c r="DSF5" s="390"/>
      <c r="DSG5" s="390"/>
      <c r="DSH5" s="390"/>
      <c r="DSI5" s="390"/>
      <c r="DSJ5" s="390"/>
      <c r="DSK5" s="390"/>
      <c r="DSL5" s="390"/>
      <c r="DSM5" s="390"/>
      <c r="DSN5" s="390"/>
      <c r="DSO5" s="390"/>
      <c r="DSP5" s="390"/>
      <c r="DSQ5" s="390"/>
      <c r="DSR5" s="390"/>
      <c r="DSS5" s="390"/>
      <c r="DST5" s="390"/>
      <c r="DSU5" s="390"/>
      <c r="DSV5" s="390"/>
      <c r="DSW5" s="390"/>
      <c r="DSX5" s="390"/>
      <c r="DSY5" s="390"/>
      <c r="DSZ5" s="390"/>
      <c r="DTA5" s="390"/>
      <c r="DTB5" s="390"/>
      <c r="DTC5" s="390"/>
      <c r="DTD5" s="390"/>
      <c r="DTE5" s="390"/>
      <c r="DTF5" s="390"/>
      <c r="DTG5" s="390"/>
      <c r="DTH5" s="390"/>
      <c r="DTI5" s="390"/>
      <c r="DTJ5" s="390"/>
      <c r="DTK5" s="390"/>
      <c r="DTL5" s="390"/>
      <c r="DTM5" s="390"/>
      <c r="DTN5" s="390"/>
      <c r="DTO5" s="390"/>
      <c r="DTP5" s="390"/>
      <c r="DTQ5" s="390"/>
      <c r="DTR5" s="390"/>
      <c r="DTS5" s="390"/>
      <c r="DTT5" s="390"/>
      <c r="DTU5" s="390"/>
      <c r="DTV5" s="390"/>
      <c r="DTW5" s="390"/>
      <c r="DTX5" s="390"/>
      <c r="DTY5" s="390"/>
      <c r="DTZ5" s="390"/>
      <c r="DUA5" s="390"/>
      <c r="DUB5" s="390"/>
      <c r="DUC5" s="390"/>
      <c r="DUD5" s="390"/>
      <c r="DUE5" s="390"/>
      <c r="DUF5" s="390"/>
      <c r="DUG5" s="390"/>
      <c r="DUH5" s="390"/>
      <c r="DUI5" s="390"/>
      <c r="DUJ5" s="390"/>
      <c r="DUK5" s="390"/>
      <c r="DUL5" s="390"/>
      <c r="DUM5" s="390"/>
      <c r="DUN5" s="390"/>
      <c r="DUO5" s="390"/>
      <c r="DUP5" s="390"/>
      <c r="DUQ5" s="390"/>
      <c r="DUR5" s="390"/>
      <c r="DUS5" s="390"/>
      <c r="DUT5" s="390"/>
      <c r="DUU5" s="390"/>
      <c r="DUV5" s="390"/>
      <c r="DUW5" s="390"/>
      <c r="DUX5" s="390"/>
      <c r="DUY5" s="390"/>
      <c r="DUZ5" s="390"/>
      <c r="DVA5" s="390"/>
      <c r="DVB5" s="390"/>
      <c r="DVC5" s="390"/>
      <c r="DVD5" s="390"/>
      <c r="DVE5" s="390"/>
      <c r="DVF5" s="390"/>
      <c r="DVG5" s="390"/>
      <c r="DVH5" s="390"/>
      <c r="DVI5" s="390"/>
      <c r="DVJ5" s="390"/>
      <c r="DVK5" s="390"/>
      <c r="DVL5" s="390"/>
      <c r="DVM5" s="390"/>
      <c r="DVN5" s="390"/>
      <c r="DVO5" s="390"/>
      <c r="DVP5" s="390"/>
      <c r="DVQ5" s="390"/>
      <c r="DVR5" s="390"/>
      <c r="DVS5" s="390"/>
      <c r="DVT5" s="390"/>
      <c r="DVU5" s="390"/>
      <c r="DVV5" s="390"/>
      <c r="DVW5" s="390"/>
      <c r="DVX5" s="390"/>
      <c r="DVY5" s="390"/>
      <c r="DVZ5" s="390"/>
      <c r="DWA5" s="390"/>
      <c r="DWB5" s="390"/>
      <c r="DWC5" s="390"/>
      <c r="DWD5" s="390"/>
      <c r="DWE5" s="390"/>
      <c r="DWF5" s="390"/>
      <c r="DWG5" s="390"/>
      <c r="DWH5" s="390"/>
      <c r="DWI5" s="390"/>
      <c r="DWJ5" s="390"/>
      <c r="DWK5" s="390"/>
      <c r="DWL5" s="390"/>
      <c r="DWM5" s="390"/>
      <c r="DWN5" s="390"/>
      <c r="DWO5" s="390"/>
      <c r="DWP5" s="390"/>
      <c r="DWQ5" s="390"/>
      <c r="DWR5" s="390"/>
      <c r="DWS5" s="390"/>
      <c r="DWT5" s="390"/>
      <c r="DWU5" s="390"/>
      <c r="DWV5" s="390"/>
      <c r="DWW5" s="390"/>
      <c r="DWX5" s="390"/>
      <c r="DWY5" s="390"/>
      <c r="DWZ5" s="390"/>
      <c r="DXA5" s="390"/>
      <c r="DXB5" s="390"/>
      <c r="DXC5" s="390"/>
      <c r="DXD5" s="390"/>
      <c r="DXE5" s="390"/>
      <c r="DXF5" s="390"/>
      <c r="DXG5" s="390"/>
      <c r="DXH5" s="390"/>
      <c r="DXI5" s="390"/>
      <c r="DXJ5" s="390"/>
      <c r="DXK5" s="390"/>
      <c r="DXL5" s="390"/>
      <c r="DXM5" s="390"/>
      <c r="DXN5" s="390"/>
      <c r="DXO5" s="390"/>
      <c r="DXP5" s="390"/>
      <c r="DXQ5" s="390"/>
      <c r="DXR5" s="390"/>
      <c r="DXS5" s="390"/>
      <c r="DXT5" s="390"/>
      <c r="DXU5" s="390"/>
      <c r="DXV5" s="390"/>
      <c r="DXW5" s="390"/>
      <c r="DXX5" s="390"/>
      <c r="DXY5" s="390"/>
      <c r="DXZ5" s="390"/>
      <c r="DYA5" s="390"/>
      <c r="DYB5" s="390"/>
      <c r="DYC5" s="390"/>
      <c r="DYD5" s="390"/>
      <c r="DYE5" s="390"/>
      <c r="DYF5" s="390"/>
      <c r="DYG5" s="390"/>
      <c r="DYH5" s="390"/>
      <c r="DYI5" s="390"/>
      <c r="DYJ5" s="390"/>
      <c r="DYK5" s="390"/>
      <c r="DYL5" s="390"/>
      <c r="DYM5" s="390"/>
      <c r="DYN5" s="390"/>
      <c r="DYO5" s="390"/>
      <c r="DYP5" s="390"/>
      <c r="DYQ5" s="390"/>
      <c r="DYR5" s="390"/>
      <c r="DYS5" s="390"/>
      <c r="DYT5" s="390"/>
      <c r="DYU5" s="390"/>
      <c r="DYV5" s="390"/>
      <c r="DYW5" s="390"/>
      <c r="DYX5" s="390"/>
      <c r="DYY5" s="390"/>
      <c r="DYZ5" s="390"/>
      <c r="DZA5" s="390"/>
      <c r="DZB5" s="390"/>
      <c r="DZC5" s="390"/>
      <c r="DZD5" s="390"/>
      <c r="DZE5" s="390"/>
      <c r="DZF5" s="390"/>
      <c r="DZG5" s="390"/>
      <c r="DZH5" s="390"/>
      <c r="DZI5" s="390"/>
      <c r="DZJ5" s="390"/>
      <c r="DZK5" s="390"/>
      <c r="DZL5" s="390"/>
      <c r="DZM5" s="390"/>
      <c r="DZN5" s="390"/>
      <c r="DZO5" s="390"/>
      <c r="DZP5" s="390"/>
      <c r="DZQ5" s="390"/>
      <c r="DZR5" s="390"/>
      <c r="DZS5" s="390"/>
      <c r="DZT5" s="390"/>
      <c r="DZU5" s="390"/>
      <c r="DZV5" s="390"/>
      <c r="DZW5" s="390"/>
      <c r="DZX5" s="390"/>
      <c r="DZY5" s="390"/>
      <c r="DZZ5" s="390"/>
      <c r="EAA5" s="390"/>
      <c r="EAB5" s="390"/>
      <c r="EAC5" s="390"/>
      <c r="EAD5" s="390"/>
      <c r="EAE5" s="390"/>
      <c r="EAF5" s="390"/>
      <c r="EAG5" s="390"/>
      <c r="EAH5" s="390"/>
      <c r="EAI5" s="390"/>
      <c r="EAJ5" s="390"/>
      <c r="EAK5" s="390"/>
      <c r="EAL5" s="390"/>
      <c r="EAM5" s="390"/>
      <c r="EAN5" s="390"/>
      <c r="EAO5" s="390"/>
      <c r="EAP5" s="390"/>
      <c r="EAQ5" s="390"/>
      <c r="EAR5" s="390"/>
      <c r="EAS5" s="390"/>
      <c r="EAT5" s="390"/>
      <c r="EAU5" s="390"/>
      <c r="EAV5" s="390"/>
      <c r="EAW5" s="390"/>
      <c r="EAX5" s="390"/>
      <c r="EAY5" s="390"/>
      <c r="EAZ5" s="390"/>
      <c r="EBA5" s="390"/>
      <c r="EBB5" s="390"/>
      <c r="EBC5" s="390"/>
      <c r="EBD5" s="390"/>
      <c r="EBE5" s="390"/>
      <c r="EBF5" s="390"/>
      <c r="EBG5" s="390"/>
      <c r="EBH5" s="390"/>
      <c r="EBI5" s="390"/>
      <c r="EBJ5" s="390"/>
      <c r="EBK5" s="390"/>
      <c r="EBL5" s="390"/>
      <c r="EBM5" s="390"/>
      <c r="EBN5" s="390"/>
      <c r="EBO5" s="390"/>
      <c r="EBP5" s="390"/>
      <c r="EBQ5" s="390"/>
      <c r="EBR5" s="390"/>
      <c r="EBS5" s="390"/>
      <c r="EBT5" s="390"/>
      <c r="EBU5" s="390"/>
      <c r="EBV5" s="390"/>
      <c r="EBW5" s="390"/>
      <c r="EBX5" s="390"/>
      <c r="EBY5" s="390"/>
      <c r="EBZ5" s="390"/>
      <c r="ECA5" s="390"/>
      <c r="ECB5" s="390"/>
      <c r="ECC5" s="390"/>
      <c r="ECD5" s="390"/>
      <c r="ECE5" s="390"/>
      <c r="ECF5" s="390"/>
      <c r="ECG5" s="390"/>
      <c r="ECH5" s="390"/>
      <c r="ECI5" s="390"/>
      <c r="ECJ5" s="390"/>
      <c r="ECK5" s="390"/>
      <c r="ECL5" s="390"/>
      <c r="ECM5" s="390"/>
      <c r="ECN5" s="390"/>
      <c r="ECO5" s="390"/>
      <c r="ECP5" s="390"/>
      <c r="ECQ5" s="390"/>
      <c r="ECR5" s="390"/>
      <c r="ECS5" s="390"/>
      <c r="ECT5" s="390"/>
      <c r="ECU5" s="390"/>
      <c r="ECV5" s="390"/>
      <c r="ECW5" s="390"/>
      <c r="ECX5" s="390"/>
      <c r="ECY5" s="390"/>
      <c r="ECZ5" s="390"/>
      <c r="EDA5" s="390"/>
      <c r="EDB5" s="390"/>
      <c r="EDC5" s="390"/>
      <c r="EDD5" s="390"/>
      <c r="EDE5" s="390"/>
      <c r="EDF5" s="390"/>
      <c r="EDG5" s="390"/>
      <c r="EDH5" s="390"/>
      <c r="EDI5" s="390"/>
      <c r="EDJ5" s="390"/>
      <c r="EDK5" s="390"/>
      <c r="EDL5" s="390"/>
      <c r="EDM5" s="390"/>
      <c r="EDN5" s="390"/>
      <c r="EDO5" s="390"/>
      <c r="EDP5" s="390"/>
      <c r="EDQ5" s="390"/>
      <c r="EDR5" s="390"/>
      <c r="EDS5" s="390"/>
      <c r="EDT5" s="390"/>
      <c r="EDU5" s="390"/>
      <c r="EDV5" s="390"/>
      <c r="EDW5" s="390"/>
      <c r="EDX5" s="390"/>
      <c r="EDY5" s="390"/>
      <c r="EDZ5" s="390"/>
      <c r="EEA5" s="390"/>
      <c r="EEB5" s="390"/>
      <c r="EEC5" s="390"/>
      <c r="EED5" s="390"/>
      <c r="EEE5" s="390"/>
      <c r="EEF5" s="390"/>
      <c r="EEG5" s="390"/>
      <c r="EEH5" s="390"/>
      <c r="EEI5" s="390"/>
      <c r="EEJ5" s="390"/>
      <c r="EEK5" s="390"/>
      <c r="EEL5" s="390"/>
      <c r="EEM5" s="390"/>
      <c r="EEN5" s="390"/>
      <c r="EEO5" s="390"/>
      <c r="EEP5" s="390"/>
      <c r="EEQ5" s="390"/>
      <c r="EER5" s="390"/>
      <c r="EES5" s="390"/>
      <c r="EET5" s="390"/>
      <c r="EEU5" s="390"/>
      <c r="EEV5" s="390"/>
      <c r="EEW5" s="390"/>
      <c r="EEX5" s="390"/>
      <c r="EEY5" s="390"/>
      <c r="EEZ5" s="390"/>
      <c r="EFA5" s="390"/>
      <c r="EFB5" s="390"/>
      <c r="EFC5" s="390"/>
      <c r="EFD5" s="390"/>
      <c r="EFE5" s="390"/>
      <c r="EFF5" s="390"/>
      <c r="EFG5" s="390"/>
      <c r="EFH5" s="390"/>
      <c r="EFI5" s="390"/>
      <c r="EFJ5" s="390"/>
      <c r="EFK5" s="390"/>
      <c r="EFL5" s="390"/>
      <c r="EFM5" s="390"/>
      <c r="EFN5" s="390"/>
      <c r="EFO5" s="390"/>
      <c r="EFP5" s="390"/>
      <c r="EFQ5" s="390"/>
      <c r="EFR5" s="390"/>
      <c r="EFS5" s="390"/>
      <c r="EFT5" s="390"/>
      <c r="EFU5" s="390"/>
      <c r="EFV5" s="390"/>
      <c r="EFW5" s="390"/>
      <c r="EFX5" s="390"/>
      <c r="EFY5" s="390"/>
      <c r="EFZ5" s="390"/>
      <c r="EGA5" s="390"/>
      <c r="EGB5" s="390"/>
      <c r="EGC5" s="390"/>
      <c r="EGD5" s="390"/>
      <c r="EGE5" s="390"/>
      <c r="EGF5" s="390"/>
      <c r="EGG5" s="390"/>
      <c r="EGH5" s="390"/>
      <c r="EGI5" s="390"/>
      <c r="EGJ5" s="390"/>
      <c r="EGK5" s="390"/>
      <c r="EGL5" s="390"/>
      <c r="EGM5" s="390"/>
      <c r="EGN5" s="390"/>
      <c r="EGO5" s="390"/>
      <c r="EGP5" s="390"/>
      <c r="EGQ5" s="390"/>
      <c r="EGR5" s="390"/>
      <c r="EGS5" s="390"/>
      <c r="EGT5" s="390"/>
      <c r="EGU5" s="390"/>
      <c r="EGV5" s="390"/>
      <c r="EGW5" s="390"/>
      <c r="EGX5" s="390"/>
      <c r="EGY5" s="390"/>
      <c r="EGZ5" s="390"/>
      <c r="EHA5" s="390"/>
      <c r="EHB5" s="390"/>
      <c r="EHC5" s="390"/>
      <c r="EHD5" s="390"/>
      <c r="EHE5" s="390"/>
      <c r="EHF5" s="390"/>
      <c r="EHG5" s="390"/>
      <c r="EHH5" s="390"/>
      <c r="EHI5" s="390"/>
      <c r="EHJ5" s="390"/>
      <c r="EHK5" s="390"/>
      <c r="EHL5" s="390"/>
      <c r="EHM5" s="390"/>
      <c r="EHN5" s="390"/>
      <c r="EHO5" s="390"/>
      <c r="EHP5" s="390"/>
      <c r="EHQ5" s="390"/>
      <c r="EHR5" s="390"/>
      <c r="EHS5" s="390"/>
      <c r="EHT5" s="390"/>
      <c r="EHU5" s="390"/>
      <c r="EHV5" s="390"/>
      <c r="EHW5" s="390"/>
      <c r="EHX5" s="390"/>
      <c r="EHY5" s="390"/>
      <c r="EHZ5" s="390"/>
      <c r="EIA5" s="390"/>
      <c r="EIB5" s="390"/>
      <c r="EIC5" s="390"/>
      <c r="EID5" s="390"/>
      <c r="EIE5" s="390"/>
      <c r="EIF5" s="390"/>
      <c r="EIG5" s="390"/>
      <c r="EIH5" s="390"/>
      <c r="EII5" s="390"/>
      <c r="EIJ5" s="390"/>
      <c r="EIK5" s="390"/>
      <c r="EIL5" s="390"/>
      <c r="EIM5" s="390"/>
      <c r="EIN5" s="390"/>
      <c r="EIO5" s="390"/>
      <c r="EIP5" s="390"/>
      <c r="EIQ5" s="390"/>
      <c r="EIR5" s="390"/>
      <c r="EIS5" s="390"/>
      <c r="EIT5" s="390"/>
      <c r="EIU5" s="390"/>
      <c r="EIV5" s="390"/>
      <c r="EIW5" s="390"/>
      <c r="EIX5" s="390"/>
      <c r="EIY5" s="390"/>
      <c r="EIZ5" s="390"/>
      <c r="EJA5" s="390"/>
      <c r="EJB5" s="390"/>
      <c r="EJC5" s="390"/>
      <c r="EJD5" s="390"/>
      <c r="EJE5" s="390"/>
      <c r="EJF5" s="390"/>
      <c r="EJG5" s="390"/>
      <c r="EJH5" s="390"/>
      <c r="EJI5" s="390"/>
      <c r="EJJ5" s="390"/>
      <c r="EJK5" s="390"/>
      <c r="EJL5" s="390"/>
      <c r="EJM5" s="390"/>
      <c r="EJN5" s="390"/>
      <c r="EJO5" s="390"/>
      <c r="EJP5" s="390"/>
      <c r="EJQ5" s="390"/>
      <c r="EJR5" s="390"/>
      <c r="EJS5" s="390"/>
      <c r="EJT5" s="390"/>
      <c r="EJU5" s="390"/>
      <c r="EJV5" s="390"/>
      <c r="EJW5" s="390"/>
      <c r="EJX5" s="390"/>
      <c r="EJY5" s="390"/>
      <c r="EJZ5" s="390"/>
      <c r="EKA5" s="390"/>
      <c r="EKB5" s="390"/>
      <c r="EKC5" s="390"/>
      <c r="EKD5" s="390"/>
      <c r="EKE5" s="390"/>
      <c r="EKF5" s="390"/>
      <c r="EKG5" s="390"/>
      <c r="EKH5" s="390"/>
      <c r="EKI5" s="390"/>
      <c r="EKJ5" s="390"/>
      <c r="EKK5" s="390"/>
      <c r="EKL5" s="390"/>
      <c r="EKM5" s="390"/>
      <c r="EKN5" s="390"/>
      <c r="EKO5" s="390"/>
      <c r="EKP5" s="390"/>
      <c r="EKQ5" s="390"/>
      <c r="EKR5" s="390"/>
      <c r="EKS5" s="390"/>
      <c r="EKT5" s="390"/>
      <c r="EKU5" s="390"/>
      <c r="EKV5" s="390"/>
      <c r="EKW5" s="390"/>
      <c r="EKX5" s="390"/>
      <c r="EKY5" s="390"/>
      <c r="EKZ5" s="390"/>
      <c r="ELA5" s="390"/>
      <c r="ELB5" s="390"/>
      <c r="ELC5" s="390"/>
      <c r="ELD5" s="390"/>
      <c r="ELE5" s="390"/>
      <c r="ELF5" s="390"/>
      <c r="ELG5" s="390"/>
      <c r="ELH5" s="390"/>
      <c r="ELI5" s="390"/>
      <c r="ELJ5" s="390"/>
      <c r="ELK5" s="390"/>
      <c r="ELL5" s="390"/>
      <c r="ELM5" s="390"/>
      <c r="ELN5" s="390"/>
      <c r="ELO5" s="390"/>
      <c r="ELP5" s="390"/>
      <c r="ELQ5" s="390"/>
      <c r="ELR5" s="390"/>
      <c r="ELS5" s="390"/>
      <c r="ELT5" s="390"/>
      <c r="ELU5" s="390"/>
      <c r="ELV5" s="390"/>
      <c r="ELW5" s="390"/>
      <c r="ELX5" s="390"/>
      <c r="ELY5" s="390"/>
      <c r="ELZ5" s="390"/>
      <c r="EMA5" s="390"/>
      <c r="EMB5" s="390"/>
      <c r="EMC5" s="390"/>
      <c r="EMD5" s="390"/>
      <c r="EME5" s="390"/>
      <c r="EMF5" s="390"/>
      <c r="EMG5" s="390"/>
      <c r="EMH5" s="390"/>
      <c r="EMI5" s="390"/>
      <c r="EMJ5" s="390"/>
      <c r="EMK5" s="390"/>
      <c r="EML5" s="390"/>
      <c r="EMM5" s="390"/>
      <c r="EMN5" s="390"/>
      <c r="EMO5" s="390"/>
      <c r="EMP5" s="390"/>
      <c r="EMQ5" s="390"/>
      <c r="EMR5" s="390"/>
      <c r="EMS5" s="390"/>
      <c r="EMT5" s="390"/>
      <c r="EMU5" s="390"/>
      <c r="EMV5" s="390"/>
      <c r="EMW5" s="390"/>
      <c r="EMX5" s="390"/>
      <c r="EMY5" s="390"/>
      <c r="EMZ5" s="390"/>
      <c r="ENA5" s="390"/>
      <c r="ENB5" s="390"/>
      <c r="ENC5" s="390"/>
      <c r="END5" s="390"/>
      <c r="ENE5" s="390"/>
      <c r="ENF5" s="390"/>
      <c r="ENG5" s="390"/>
      <c r="ENH5" s="390"/>
      <c r="ENI5" s="390"/>
      <c r="ENJ5" s="390"/>
      <c r="ENK5" s="390"/>
      <c r="ENL5" s="390"/>
      <c r="ENM5" s="390"/>
      <c r="ENN5" s="390"/>
      <c r="ENO5" s="390"/>
      <c r="ENP5" s="390"/>
      <c r="ENQ5" s="390"/>
      <c r="ENR5" s="390"/>
      <c r="ENS5" s="390"/>
      <c r="ENT5" s="390"/>
      <c r="ENU5" s="390"/>
      <c r="ENV5" s="390"/>
      <c r="ENW5" s="390"/>
      <c r="ENX5" s="390"/>
      <c r="ENY5" s="390"/>
      <c r="ENZ5" s="390"/>
      <c r="EOA5" s="390"/>
      <c r="EOB5" s="390"/>
      <c r="EOC5" s="390"/>
      <c r="EOD5" s="390"/>
      <c r="EOE5" s="390"/>
      <c r="EOF5" s="390"/>
      <c r="EOG5" s="390"/>
      <c r="EOH5" s="390"/>
      <c r="EOI5" s="390"/>
      <c r="EOJ5" s="390"/>
      <c r="EOK5" s="390"/>
      <c r="EOL5" s="390"/>
      <c r="EOM5" s="390"/>
      <c r="EON5" s="390"/>
      <c r="EOO5" s="390"/>
      <c r="EOP5" s="390"/>
      <c r="EOQ5" s="390"/>
      <c r="EOR5" s="390"/>
      <c r="EOS5" s="390"/>
      <c r="EOT5" s="390"/>
      <c r="EOU5" s="390"/>
      <c r="EOV5" s="390"/>
      <c r="EOW5" s="390"/>
      <c r="EOX5" s="390"/>
      <c r="EOY5" s="390"/>
      <c r="EOZ5" s="390"/>
      <c r="EPA5" s="390"/>
      <c r="EPB5" s="390"/>
      <c r="EPC5" s="390"/>
      <c r="EPD5" s="390"/>
      <c r="EPE5" s="390"/>
      <c r="EPF5" s="390"/>
      <c r="EPG5" s="390"/>
      <c r="EPH5" s="390"/>
      <c r="EPI5" s="390"/>
      <c r="EPJ5" s="390"/>
      <c r="EPK5" s="390"/>
      <c r="EPL5" s="390"/>
      <c r="EPM5" s="390"/>
      <c r="EPN5" s="390"/>
      <c r="EPO5" s="390"/>
      <c r="EPP5" s="390"/>
      <c r="EPQ5" s="390"/>
      <c r="EPR5" s="390"/>
      <c r="EPS5" s="390"/>
      <c r="EPT5" s="390"/>
      <c r="EPU5" s="390"/>
      <c r="EPV5" s="390"/>
      <c r="EPW5" s="390"/>
      <c r="EPX5" s="390"/>
      <c r="EPY5" s="390"/>
      <c r="EPZ5" s="390"/>
      <c r="EQA5" s="390"/>
      <c r="EQB5" s="390"/>
      <c r="EQC5" s="390"/>
      <c r="EQD5" s="390"/>
      <c r="EQE5" s="390"/>
      <c r="EQF5" s="390"/>
      <c r="EQG5" s="390"/>
      <c r="EQH5" s="390"/>
      <c r="EQI5" s="390"/>
      <c r="EQJ5" s="390"/>
      <c r="EQK5" s="390"/>
      <c r="EQL5" s="390"/>
      <c r="EQM5" s="390"/>
      <c r="EQN5" s="390"/>
      <c r="EQO5" s="390"/>
      <c r="EQP5" s="390"/>
      <c r="EQQ5" s="390"/>
      <c r="EQR5" s="390"/>
      <c r="EQS5" s="390"/>
      <c r="EQT5" s="390"/>
      <c r="EQU5" s="390"/>
      <c r="EQV5" s="390"/>
      <c r="EQW5" s="390"/>
      <c r="EQX5" s="390"/>
      <c r="EQY5" s="390"/>
      <c r="EQZ5" s="390"/>
      <c r="ERA5" s="390"/>
      <c r="ERB5" s="390"/>
      <c r="ERC5" s="390"/>
      <c r="ERD5" s="390"/>
      <c r="ERE5" s="390"/>
      <c r="ERF5" s="390"/>
      <c r="ERG5" s="390"/>
      <c r="ERH5" s="390"/>
      <c r="ERI5" s="390"/>
      <c r="ERJ5" s="390"/>
      <c r="ERK5" s="390"/>
      <c r="ERL5" s="390"/>
      <c r="ERM5" s="390"/>
      <c r="ERN5" s="390"/>
      <c r="ERO5" s="390"/>
      <c r="ERP5" s="390"/>
      <c r="ERQ5" s="390"/>
      <c r="ERR5" s="390"/>
      <c r="ERS5" s="390"/>
      <c r="ERT5" s="390"/>
      <c r="ERU5" s="390"/>
      <c r="ERV5" s="390"/>
      <c r="ERW5" s="390"/>
      <c r="ERX5" s="390"/>
      <c r="ERY5" s="390"/>
      <c r="ERZ5" s="390"/>
      <c r="ESA5" s="390"/>
      <c r="ESB5" s="390"/>
      <c r="ESC5" s="390"/>
      <c r="ESD5" s="390"/>
      <c r="ESE5" s="390"/>
      <c r="ESF5" s="390"/>
      <c r="ESG5" s="390"/>
      <c r="ESH5" s="390"/>
      <c r="ESI5" s="390"/>
      <c r="ESJ5" s="390"/>
      <c r="ESK5" s="390"/>
      <c r="ESL5" s="390"/>
      <c r="ESM5" s="390"/>
      <c r="ESN5" s="390"/>
      <c r="ESO5" s="390"/>
      <c r="ESP5" s="390"/>
      <c r="ESQ5" s="390"/>
      <c r="ESR5" s="390"/>
      <c r="ESS5" s="390"/>
      <c r="EST5" s="390"/>
      <c r="ESU5" s="390"/>
      <c r="ESV5" s="390"/>
      <c r="ESW5" s="390"/>
      <c r="ESX5" s="390"/>
      <c r="ESY5" s="390"/>
      <c r="ESZ5" s="390"/>
      <c r="ETA5" s="390"/>
      <c r="ETB5" s="390"/>
      <c r="ETC5" s="390"/>
      <c r="ETD5" s="390"/>
      <c r="ETE5" s="390"/>
      <c r="ETF5" s="390"/>
      <c r="ETG5" s="390"/>
      <c r="ETH5" s="390"/>
      <c r="ETI5" s="390"/>
      <c r="ETJ5" s="390"/>
      <c r="ETK5" s="390"/>
      <c r="ETL5" s="390"/>
      <c r="ETM5" s="390"/>
      <c r="ETN5" s="390"/>
      <c r="ETO5" s="390"/>
      <c r="ETP5" s="390"/>
      <c r="ETQ5" s="390"/>
      <c r="ETR5" s="390"/>
      <c r="ETS5" s="390"/>
      <c r="ETT5" s="390"/>
      <c r="ETU5" s="390"/>
      <c r="ETV5" s="390"/>
      <c r="ETW5" s="390"/>
      <c r="ETX5" s="390"/>
      <c r="ETY5" s="390"/>
      <c r="ETZ5" s="390"/>
      <c r="EUA5" s="390"/>
      <c r="EUB5" s="390"/>
      <c r="EUC5" s="390"/>
      <c r="EUD5" s="390"/>
      <c r="EUE5" s="390"/>
      <c r="EUF5" s="390"/>
      <c r="EUG5" s="390"/>
      <c r="EUH5" s="390"/>
      <c r="EUI5" s="390"/>
      <c r="EUJ5" s="390"/>
      <c r="EUK5" s="390"/>
      <c r="EUL5" s="390"/>
      <c r="EUM5" s="390"/>
      <c r="EUN5" s="390"/>
      <c r="EUO5" s="390"/>
      <c r="EUP5" s="390"/>
      <c r="EUQ5" s="390"/>
      <c r="EUR5" s="390"/>
      <c r="EUS5" s="390"/>
      <c r="EUT5" s="390"/>
      <c r="EUU5" s="390"/>
      <c r="EUV5" s="390"/>
      <c r="EUW5" s="390"/>
      <c r="EUX5" s="390"/>
      <c r="EUY5" s="390"/>
      <c r="EUZ5" s="390"/>
      <c r="EVA5" s="390"/>
      <c r="EVB5" s="390"/>
      <c r="EVC5" s="390"/>
      <c r="EVD5" s="390"/>
      <c r="EVE5" s="390"/>
      <c r="EVF5" s="390"/>
      <c r="EVG5" s="390"/>
      <c r="EVH5" s="390"/>
      <c r="EVI5" s="390"/>
      <c r="EVJ5" s="390"/>
      <c r="EVK5" s="390"/>
      <c r="EVL5" s="390"/>
      <c r="EVM5" s="390"/>
      <c r="EVN5" s="390"/>
      <c r="EVO5" s="390"/>
      <c r="EVP5" s="390"/>
      <c r="EVQ5" s="390"/>
      <c r="EVR5" s="390"/>
      <c r="EVS5" s="390"/>
      <c r="EVT5" s="390"/>
      <c r="EVU5" s="390"/>
      <c r="EVV5" s="390"/>
      <c r="EVW5" s="390"/>
      <c r="EVX5" s="390"/>
      <c r="EVY5" s="390"/>
      <c r="EVZ5" s="390"/>
      <c r="EWA5" s="390"/>
      <c r="EWB5" s="390"/>
      <c r="EWC5" s="390"/>
      <c r="EWD5" s="390"/>
      <c r="EWE5" s="390"/>
      <c r="EWF5" s="390"/>
      <c r="EWG5" s="390"/>
      <c r="EWH5" s="390"/>
      <c r="EWI5" s="390"/>
      <c r="EWJ5" s="390"/>
      <c r="EWK5" s="390"/>
      <c r="EWL5" s="390"/>
      <c r="EWM5" s="390"/>
      <c r="EWN5" s="390"/>
      <c r="EWO5" s="390"/>
      <c r="EWP5" s="390"/>
      <c r="EWQ5" s="390"/>
      <c r="EWR5" s="390"/>
      <c r="EWS5" s="390"/>
      <c r="EWT5" s="390"/>
      <c r="EWU5" s="390"/>
      <c r="EWV5" s="390"/>
      <c r="EWW5" s="390"/>
      <c r="EWX5" s="390"/>
      <c r="EWY5" s="390"/>
      <c r="EWZ5" s="390"/>
      <c r="EXA5" s="390"/>
      <c r="EXB5" s="390"/>
      <c r="EXC5" s="390"/>
      <c r="EXD5" s="390"/>
      <c r="EXE5" s="390"/>
      <c r="EXF5" s="390"/>
      <c r="EXG5" s="390"/>
      <c r="EXH5" s="390"/>
      <c r="EXI5" s="390"/>
      <c r="EXJ5" s="390"/>
      <c r="EXK5" s="390"/>
      <c r="EXL5" s="390"/>
      <c r="EXM5" s="390"/>
      <c r="EXN5" s="390"/>
      <c r="EXO5" s="390"/>
      <c r="EXP5" s="390"/>
      <c r="EXQ5" s="390"/>
      <c r="EXR5" s="390"/>
      <c r="EXS5" s="390"/>
      <c r="EXT5" s="390"/>
      <c r="EXU5" s="390"/>
      <c r="EXV5" s="390"/>
      <c r="EXW5" s="390"/>
      <c r="EXX5" s="390"/>
      <c r="EXY5" s="390"/>
      <c r="EXZ5" s="390"/>
      <c r="EYA5" s="390"/>
      <c r="EYB5" s="390"/>
      <c r="EYC5" s="390"/>
      <c r="EYD5" s="390"/>
      <c r="EYE5" s="390"/>
      <c r="EYF5" s="390"/>
      <c r="EYG5" s="390"/>
      <c r="EYH5" s="390"/>
      <c r="EYI5" s="390"/>
      <c r="EYJ5" s="390"/>
      <c r="EYK5" s="390"/>
      <c r="EYL5" s="390"/>
      <c r="EYM5" s="390"/>
      <c r="EYN5" s="390"/>
      <c r="EYO5" s="390"/>
      <c r="EYP5" s="390"/>
      <c r="EYQ5" s="390"/>
      <c r="EYR5" s="390"/>
      <c r="EYS5" s="390"/>
      <c r="EYT5" s="390"/>
      <c r="EYU5" s="390"/>
      <c r="EYV5" s="390"/>
      <c r="EYW5" s="390"/>
      <c r="EYX5" s="390"/>
      <c r="EYY5" s="390"/>
      <c r="EYZ5" s="390"/>
      <c r="EZA5" s="390"/>
      <c r="EZB5" s="390"/>
      <c r="EZC5" s="390"/>
      <c r="EZD5" s="390"/>
      <c r="EZE5" s="390"/>
      <c r="EZF5" s="390"/>
      <c r="EZG5" s="390"/>
      <c r="EZH5" s="390"/>
      <c r="EZI5" s="390"/>
      <c r="EZJ5" s="390"/>
      <c r="EZK5" s="390"/>
      <c r="EZL5" s="390"/>
      <c r="EZM5" s="390"/>
      <c r="EZN5" s="390"/>
      <c r="EZO5" s="390"/>
      <c r="EZP5" s="390"/>
      <c r="EZQ5" s="390"/>
      <c r="EZR5" s="390"/>
      <c r="EZS5" s="390"/>
      <c r="EZT5" s="390"/>
      <c r="EZU5" s="390"/>
      <c r="EZV5" s="390"/>
      <c r="EZW5" s="390"/>
      <c r="EZX5" s="390"/>
      <c r="EZY5" s="390"/>
      <c r="EZZ5" s="390"/>
      <c r="FAA5" s="390"/>
      <c r="FAB5" s="390"/>
      <c r="FAC5" s="390"/>
      <c r="FAD5" s="390"/>
      <c r="FAE5" s="390"/>
      <c r="FAF5" s="390"/>
      <c r="FAG5" s="390"/>
      <c r="FAH5" s="390"/>
      <c r="FAI5" s="390"/>
      <c r="FAJ5" s="390"/>
      <c r="FAK5" s="390"/>
      <c r="FAL5" s="390"/>
      <c r="FAM5" s="390"/>
      <c r="FAN5" s="390"/>
      <c r="FAO5" s="390"/>
      <c r="FAP5" s="390"/>
      <c r="FAQ5" s="390"/>
      <c r="FAR5" s="390"/>
      <c r="FAS5" s="390"/>
      <c r="FAT5" s="390"/>
      <c r="FAU5" s="390"/>
      <c r="FAV5" s="390"/>
      <c r="FAW5" s="390"/>
      <c r="FAX5" s="390"/>
      <c r="FAY5" s="390"/>
      <c r="FAZ5" s="390"/>
      <c r="FBA5" s="390"/>
      <c r="FBB5" s="390"/>
      <c r="FBC5" s="390"/>
      <c r="FBD5" s="390"/>
      <c r="FBE5" s="390"/>
      <c r="FBF5" s="390"/>
      <c r="FBG5" s="390"/>
      <c r="FBH5" s="390"/>
      <c r="FBI5" s="390"/>
      <c r="FBJ5" s="390"/>
      <c r="FBK5" s="390"/>
      <c r="FBL5" s="390"/>
      <c r="FBM5" s="390"/>
      <c r="FBN5" s="390"/>
      <c r="FBO5" s="390"/>
      <c r="FBP5" s="390"/>
      <c r="FBQ5" s="390"/>
      <c r="FBR5" s="390"/>
      <c r="FBS5" s="390"/>
      <c r="FBT5" s="390"/>
      <c r="FBU5" s="390"/>
      <c r="FBV5" s="390"/>
      <c r="FBW5" s="390"/>
      <c r="FBX5" s="390"/>
      <c r="FBY5" s="390"/>
      <c r="FBZ5" s="390"/>
      <c r="FCA5" s="390"/>
      <c r="FCB5" s="390"/>
      <c r="FCC5" s="390"/>
      <c r="FCD5" s="390"/>
      <c r="FCE5" s="390"/>
      <c r="FCF5" s="390"/>
      <c r="FCG5" s="390"/>
      <c r="FCH5" s="390"/>
      <c r="FCI5" s="390"/>
      <c r="FCJ5" s="390"/>
      <c r="FCK5" s="390"/>
      <c r="FCL5" s="390"/>
      <c r="FCM5" s="390"/>
      <c r="FCN5" s="390"/>
      <c r="FCO5" s="390"/>
      <c r="FCP5" s="390"/>
      <c r="FCQ5" s="390"/>
      <c r="FCR5" s="390"/>
      <c r="FCS5" s="390"/>
      <c r="FCT5" s="390"/>
      <c r="FCU5" s="390"/>
      <c r="FCV5" s="390"/>
      <c r="FCW5" s="390"/>
      <c r="FCX5" s="390"/>
      <c r="FCY5" s="390"/>
      <c r="FCZ5" s="390"/>
      <c r="FDA5" s="390"/>
      <c r="FDB5" s="390"/>
      <c r="FDC5" s="390"/>
      <c r="FDD5" s="390"/>
      <c r="FDE5" s="390"/>
      <c r="FDF5" s="390"/>
      <c r="FDG5" s="390"/>
      <c r="FDH5" s="390"/>
      <c r="FDI5" s="390"/>
      <c r="FDJ5" s="390"/>
      <c r="FDK5" s="390"/>
      <c r="FDL5" s="390"/>
      <c r="FDM5" s="390"/>
      <c r="FDN5" s="390"/>
      <c r="FDO5" s="390"/>
      <c r="FDP5" s="390"/>
      <c r="FDQ5" s="390"/>
      <c r="FDR5" s="390"/>
      <c r="FDS5" s="390"/>
      <c r="FDT5" s="390"/>
      <c r="FDU5" s="390"/>
      <c r="FDV5" s="390"/>
      <c r="FDW5" s="390"/>
      <c r="FDX5" s="390"/>
      <c r="FDY5" s="390"/>
      <c r="FDZ5" s="390"/>
      <c r="FEA5" s="390"/>
      <c r="FEB5" s="390"/>
      <c r="FEC5" s="390"/>
      <c r="FED5" s="390"/>
      <c r="FEE5" s="390"/>
      <c r="FEF5" s="390"/>
      <c r="FEG5" s="390"/>
      <c r="FEH5" s="390"/>
      <c r="FEI5" s="390"/>
      <c r="FEJ5" s="390"/>
      <c r="FEK5" s="390"/>
      <c r="FEL5" s="390"/>
      <c r="FEM5" s="390"/>
      <c r="FEN5" s="390"/>
      <c r="FEO5" s="390"/>
      <c r="FEP5" s="390"/>
      <c r="FEQ5" s="390"/>
      <c r="FER5" s="390"/>
      <c r="FES5" s="390"/>
      <c r="FET5" s="390"/>
      <c r="FEU5" s="390"/>
      <c r="FEV5" s="390"/>
      <c r="FEW5" s="390"/>
      <c r="FEX5" s="390"/>
      <c r="FEY5" s="390"/>
      <c r="FEZ5" s="390"/>
      <c r="FFA5" s="390"/>
      <c r="FFB5" s="390"/>
      <c r="FFC5" s="390"/>
      <c r="FFD5" s="390"/>
      <c r="FFE5" s="390"/>
      <c r="FFF5" s="390"/>
      <c r="FFG5" s="390"/>
      <c r="FFH5" s="390"/>
      <c r="FFI5" s="390"/>
      <c r="FFJ5" s="390"/>
      <c r="FFK5" s="390"/>
      <c r="FFL5" s="390"/>
      <c r="FFM5" s="390"/>
      <c r="FFN5" s="390"/>
      <c r="FFO5" s="390"/>
      <c r="FFP5" s="390"/>
      <c r="FFQ5" s="390"/>
      <c r="FFR5" s="390"/>
      <c r="FFS5" s="390"/>
      <c r="FFT5" s="390"/>
      <c r="FFU5" s="390"/>
      <c r="FFV5" s="390"/>
      <c r="FFW5" s="390"/>
      <c r="FFX5" s="390"/>
      <c r="FFY5" s="390"/>
      <c r="FFZ5" s="390"/>
      <c r="FGA5" s="390"/>
      <c r="FGB5" s="390"/>
      <c r="FGC5" s="390"/>
      <c r="FGD5" s="390"/>
      <c r="FGE5" s="390"/>
      <c r="FGF5" s="390"/>
      <c r="FGG5" s="390"/>
      <c r="FGH5" s="390"/>
      <c r="FGI5" s="390"/>
      <c r="FGJ5" s="390"/>
      <c r="FGK5" s="390"/>
      <c r="FGL5" s="390"/>
      <c r="FGM5" s="390"/>
      <c r="FGN5" s="390"/>
      <c r="FGO5" s="390"/>
      <c r="FGP5" s="390"/>
      <c r="FGQ5" s="390"/>
      <c r="FGR5" s="390"/>
      <c r="FGS5" s="390"/>
      <c r="FGT5" s="390"/>
      <c r="FGU5" s="390"/>
      <c r="FGV5" s="390"/>
      <c r="FGW5" s="390"/>
      <c r="FGX5" s="390"/>
      <c r="FGY5" s="390"/>
      <c r="FGZ5" s="390"/>
      <c r="FHA5" s="390"/>
      <c r="FHB5" s="390"/>
      <c r="FHC5" s="390"/>
      <c r="FHD5" s="390"/>
      <c r="FHE5" s="390"/>
      <c r="FHF5" s="390"/>
      <c r="FHG5" s="390"/>
      <c r="FHH5" s="390"/>
      <c r="FHI5" s="390"/>
      <c r="FHJ5" s="390"/>
      <c r="FHK5" s="390"/>
      <c r="FHL5" s="390"/>
      <c r="FHM5" s="390"/>
      <c r="FHN5" s="390"/>
      <c r="FHO5" s="390"/>
      <c r="FHP5" s="390"/>
      <c r="FHQ5" s="390"/>
      <c r="FHR5" s="390"/>
      <c r="FHS5" s="390"/>
      <c r="FHT5" s="390"/>
      <c r="FHU5" s="390"/>
      <c r="FHV5" s="390"/>
      <c r="FHW5" s="390"/>
      <c r="FHX5" s="390"/>
      <c r="FHY5" s="390"/>
      <c r="FHZ5" s="390"/>
      <c r="FIA5" s="390"/>
      <c r="FIB5" s="390"/>
      <c r="FIC5" s="390"/>
      <c r="FID5" s="390"/>
      <c r="FIE5" s="390"/>
      <c r="FIF5" s="390"/>
      <c r="FIG5" s="390"/>
      <c r="FIH5" s="390"/>
      <c r="FII5" s="390"/>
      <c r="FIJ5" s="390"/>
      <c r="FIK5" s="390"/>
      <c r="FIL5" s="390"/>
      <c r="FIM5" s="390"/>
      <c r="FIN5" s="390"/>
      <c r="FIO5" s="390"/>
      <c r="FIP5" s="390"/>
      <c r="FIQ5" s="390"/>
      <c r="FIR5" s="390"/>
      <c r="FIS5" s="390"/>
      <c r="FIT5" s="390"/>
      <c r="FIU5" s="390"/>
      <c r="FIV5" s="390"/>
      <c r="FIW5" s="390"/>
      <c r="FIX5" s="390"/>
      <c r="FIY5" s="390"/>
      <c r="FIZ5" s="390"/>
      <c r="FJA5" s="390"/>
      <c r="FJB5" s="390"/>
      <c r="FJC5" s="390"/>
      <c r="FJD5" s="390"/>
      <c r="FJE5" s="390"/>
      <c r="FJF5" s="390"/>
      <c r="FJG5" s="390"/>
      <c r="FJH5" s="390"/>
      <c r="FJI5" s="390"/>
      <c r="FJJ5" s="390"/>
      <c r="FJK5" s="390"/>
      <c r="FJL5" s="390"/>
      <c r="FJM5" s="390"/>
      <c r="FJN5" s="390"/>
      <c r="FJO5" s="390"/>
      <c r="FJP5" s="390"/>
      <c r="FJQ5" s="390"/>
      <c r="FJR5" s="390"/>
      <c r="FJS5" s="390"/>
      <c r="FJT5" s="390"/>
      <c r="FJU5" s="390"/>
      <c r="FJV5" s="390"/>
      <c r="FJW5" s="390"/>
      <c r="FJX5" s="390"/>
      <c r="FJY5" s="390"/>
      <c r="FJZ5" s="390"/>
      <c r="FKA5" s="390"/>
      <c r="FKB5" s="390"/>
      <c r="FKC5" s="390"/>
      <c r="FKD5" s="390"/>
      <c r="FKE5" s="390"/>
      <c r="FKF5" s="390"/>
      <c r="FKG5" s="390"/>
      <c r="FKH5" s="390"/>
      <c r="FKI5" s="390"/>
      <c r="FKJ5" s="390"/>
      <c r="FKK5" s="390"/>
      <c r="FKL5" s="390"/>
      <c r="FKM5" s="390"/>
      <c r="FKN5" s="390"/>
      <c r="FKO5" s="390"/>
      <c r="FKP5" s="390"/>
      <c r="FKQ5" s="390"/>
      <c r="FKR5" s="390"/>
      <c r="FKS5" s="390"/>
      <c r="FKT5" s="390"/>
      <c r="FKU5" s="390"/>
      <c r="FKV5" s="390"/>
      <c r="FKW5" s="390"/>
      <c r="FKX5" s="390"/>
      <c r="FKY5" s="390"/>
      <c r="FKZ5" s="390"/>
      <c r="FLA5" s="390"/>
      <c r="FLB5" s="390"/>
      <c r="FLC5" s="390"/>
      <c r="FLD5" s="390"/>
      <c r="FLE5" s="390"/>
      <c r="FLF5" s="390"/>
      <c r="FLG5" s="390"/>
      <c r="FLH5" s="390"/>
      <c r="FLI5" s="390"/>
      <c r="FLJ5" s="390"/>
      <c r="FLK5" s="390"/>
      <c r="FLL5" s="390"/>
      <c r="FLM5" s="390"/>
      <c r="FLN5" s="390"/>
      <c r="FLO5" s="390"/>
      <c r="FLP5" s="390"/>
      <c r="FLQ5" s="390"/>
      <c r="FLR5" s="390"/>
      <c r="FLS5" s="390"/>
      <c r="FLT5" s="390"/>
      <c r="FLU5" s="390"/>
      <c r="FLV5" s="390"/>
      <c r="FLW5" s="390"/>
      <c r="FLX5" s="390"/>
      <c r="FLY5" s="390"/>
      <c r="FLZ5" s="390"/>
      <c r="FMA5" s="390"/>
      <c r="FMB5" s="390"/>
      <c r="FMC5" s="390"/>
      <c r="FMD5" s="390"/>
      <c r="FME5" s="390"/>
      <c r="FMF5" s="390"/>
      <c r="FMG5" s="390"/>
      <c r="FMH5" s="390"/>
      <c r="FMI5" s="390"/>
      <c r="FMJ5" s="390"/>
      <c r="FMK5" s="390"/>
      <c r="FML5" s="390"/>
      <c r="FMM5" s="390"/>
      <c r="FMN5" s="390"/>
      <c r="FMO5" s="390"/>
      <c r="FMP5" s="390"/>
      <c r="FMQ5" s="390"/>
      <c r="FMR5" s="390"/>
      <c r="FMS5" s="390"/>
      <c r="FMT5" s="390"/>
      <c r="FMU5" s="390"/>
      <c r="FMV5" s="390"/>
      <c r="FMW5" s="390"/>
      <c r="FMX5" s="390"/>
      <c r="FMY5" s="390"/>
      <c r="FMZ5" s="390"/>
      <c r="FNA5" s="390"/>
      <c r="FNB5" s="390"/>
      <c r="FNC5" s="390"/>
      <c r="FND5" s="390"/>
      <c r="FNE5" s="390"/>
      <c r="FNF5" s="390"/>
      <c r="FNG5" s="390"/>
      <c r="FNH5" s="390"/>
      <c r="FNI5" s="390"/>
      <c r="FNJ5" s="390"/>
      <c r="FNK5" s="390"/>
      <c r="FNL5" s="390"/>
      <c r="FNM5" s="390"/>
      <c r="FNN5" s="390"/>
      <c r="FNO5" s="390"/>
      <c r="FNP5" s="390"/>
      <c r="FNQ5" s="390"/>
      <c r="FNR5" s="390"/>
      <c r="FNS5" s="390"/>
      <c r="FNT5" s="390"/>
      <c r="FNU5" s="390"/>
      <c r="FNV5" s="390"/>
      <c r="FNW5" s="390"/>
      <c r="FNX5" s="390"/>
      <c r="FNY5" s="390"/>
      <c r="FNZ5" s="390"/>
      <c r="FOA5" s="390"/>
      <c r="FOB5" s="390"/>
      <c r="FOC5" s="390"/>
      <c r="FOD5" s="390"/>
      <c r="FOE5" s="390"/>
      <c r="FOF5" s="390"/>
      <c r="FOG5" s="390"/>
      <c r="FOH5" s="390"/>
      <c r="FOI5" s="390"/>
      <c r="FOJ5" s="390"/>
      <c r="FOK5" s="390"/>
      <c r="FOL5" s="390"/>
      <c r="FOM5" s="390"/>
      <c r="FON5" s="390"/>
      <c r="FOO5" s="390"/>
      <c r="FOP5" s="390"/>
      <c r="FOQ5" s="390"/>
      <c r="FOR5" s="390"/>
      <c r="FOS5" s="390"/>
      <c r="FOT5" s="390"/>
      <c r="FOU5" s="390"/>
      <c r="FOV5" s="390"/>
      <c r="FOW5" s="390"/>
      <c r="FOX5" s="390"/>
      <c r="FOY5" s="390"/>
      <c r="FOZ5" s="390"/>
      <c r="FPA5" s="390"/>
      <c r="FPB5" s="390"/>
      <c r="FPC5" s="390"/>
      <c r="FPD5" s="390"/>
      <c r="FPE5" s="390"/>
      <c r="FPF5" s="390"/>
      <c r="FPG5" s="390"/>
      <c r="FPH5" s="390"/>
      <c r="FPI5" s="390"/>
      <c r="FPJ5" s="390"/>
      <c r="FPK5" s="390"/>
      <c r="FPL5" s="390"/>
      <c r="FPM5" s="390"/>
      <c r="FPN5" s="390"/>
      <c r="FPO5" s="390"/>
      <c r="FPP5" s="390"/>
      <c r="FPQ5" s="390"/>
      <c r="FPR5" s="390"/>
      <c r="FPS5" s="390"/>
      <c r="FPT5" s="390"/>
      <c r="FPU5" s="390"/>
      <c r="FPV5" s="390"/>
      <c r="FPW5" s="390"/>
      <c r="FPX5" s="390"/>
      <c r="FPY5" s="390"/>
      <c r="FPZ5" s="390"/>
      <c r="FQA5" s="390"/>
      <c r="FQB5" s="390"/>
      <c r="FQC5" s="390"/>
      <c r="FQD5" s="390"/>
      <c r="FQE5" s="390"/>
      <c r="FQF5" s="390"/>
      <c r="FQG5" s="390"/>
      <c r="FQH5" s="390"/>
      <c r="FQI5" s="390"/>
      <c r="FQJ5" s="390"/>
      <c r="FQK5" s="390"/>
      <c r="FQL5" s="390"/>
      <c r="FQM5" s="390"/>
      <c r="FQN5" s="390"/>
      <c r="FQO5" s="390"/>
      <c r="FQP5" s="390"/>
      <c r="FQQ5" s="390"/>
      <c r="FQR5" s="390"/>
      <c r="FQS5" s="390"/>
      <c r="FQT5" s="390"/>
      <c r="FQU5" s="390"/>
      <c r="FQV5" s="390"/>
      <c r="FQW5" s="390"/>
      <c r="FQX5" s="390"/>
      <c r="FQY5" s="390"/>
      <c r="FQZ5" s="390"/>
      <c r="FRA5" s="390"/>
      <c r="FRB5" s="390"/>
      <c r="FRC5" s="390"/>
      <c r="FRD5" s="390"/>
      <c r="FRE5" s="390"/>
      <c r="FRF5" s="390"/>
      <c r="FRG5" s="390"/>
      <c r="FRH5" s="390"/>
      <c r="FRI5" s="390"/>
      <c r="FRJ5" s="390"/>
      <c r="FRK5" s="390"/>
      <c r="FRL5" s="390"/>
      <c r="FRM5" s="390"/>
      <c r="FRN5" s="390"/>
      <c r="FRO5" s="390"/>
      <c r="FRP5" s="390"/>
      <c r="FRQ5" s="390"/>
      <c r="FRR5" s="390"/>
      <c r="FRS5" s="390"/>
      <c r="FRT5" s="390"/>
      <c r="FRU5" s="390"/>
      <c r="FRV5" s="390"/>
      <c r="FRW5" s="390"/>
      <c r="FRX5" s="390"/>
      <c r="FRY5" s="390"/>
      <c r="FRZ5" s="390"/>
      <c r="FSA5" s="390"/>
      <c r="FSB5" s="390"/>
      <c r="FSC5" s="390"/>
      <c r="FSD5" s="390"/>
      <c r="FSE5" s="390"/>
      <c r="FSF5" s="390"/>
      <c r="FSG5" s="390"/>
      <c r="FSH5" s="390"/>
      <c r="FSI5" s="390"/>
      <c r="FSJ5" s="390"/>
      <c r="FSK5" s="390"/>
      <c r="FSL5" s="390"/>
      <c r="FSM5" s="390"/>
      <c r="FSN5" s="390"/>
      <c r="FSO5" s="390"/>
      <c r="FSP5" s="390"/>
      <c r="FSQ5" s="390"/>
      <c r="FSR5" s="390"/>
      <c r="FSS5" s="390"/>
      <c r="FST5" s="390"/>
      <c r="FSU5" s="390"/>
      <c r="FSV5" s="390"/>
      <c r="FSW5" s="390"/>
      <c r="FSX5" s="390"/>
      <c r="FSY5" s="390"/>
      <c r="FSZ5" s="390"/>
      <c r="FTA5" s="390"/>
      <c r="FTB5" s="390"/>
      <c r="FTC5" s="390"/>
      <c r="FTD5" s="390"/>
      <c r="FTE5" s="390"/>
      <c r="FTF5" s="390"/>
      <c r="FTG5" s="390"/>
      <c r="FTH5" s="390"/>
      <c r="FTI5" s="390"/>
      <c r="FTJ5" s="390"/>
      <c r="FTK5" s="390"/>
      <c r="FTL5" s="390"/>
      <c r="FTM5" s="390"/>
      <c r="FTN5" s="390"/>
      <c r="FTO5" s="390"/>
      <c r="FTP5" s="390"/>
      <c r="FTQ5" s="390"/>
      <c r="FTR5" s="390"/>
      <c r="FTS5" s="390"/>
      <c r="FTT5" s="390"/>
      <c r="FTU5" s="390"/>
      <c r="FTV5" s="390"/>
      <c r="FTW5" s="390"/>
      <c r="FTX5" s="390"/>
      <c r="FTY5" s="390"/>
      <c r="FTZ5" s="390"/>
      <c r="FUA5" s="390"/>
      <c r="FUB5" s="390"/>
      <c r="FUC5" s="390"/>
      <c r="FUD5" s="390"/>
      <c r="FUE5" s="390"/>
      <c r="FUF5" s="390"/>
      <c r="FUG5" s="390"/>
      <c r="FUH5" s="390"/>
      <c r="FUI5" s="390"/>
      <c r="FUJ5" s="390"/>
      <c r="FUK5" s="390"/>
      <c r="FUL5" s="390"/>
      <c r="FUM5" s="390"/>
      <c r="FUN5" s="390"/>
      <c r="FUO5" s="390"/>
      <c r="FUP5" s="390"/>
      <c r="FUQ5" s="390"/>
      <c r="FUR5" s="390"/>
      <c r="FUS5" s="390"/>
      <c r="FUT5" s="390"/>
      <c r="FUU5" s="390"/>
      <c r="FUV5" s="390"/>
      <c r="FUW5" s="390"/>
      <c r="FUX5" s="390"/>
      <c r="FUY5" s="390"/>
      <c r="FUZ5" s="390"/>
      <c r="FVA5" s="390"/>
      <c r="FVB5" s="390"/>
      <c r="FVC5" s="390"/>
      <c r="FVD5" s="390"/>
      <c r="FVE5" s="390"/>
      <c r="FVF5" s="390"/>
      <c r="FVG5" s="390"/>
      <c r="FVH5" s="390"/>
      <c r="FVI5" s="390"/>
      <c r="FVJ5" s="390"/>
      <c r="FVK5" s="390"/>
      <c r="FVL5" s="390"/>
      <c r="FVM5" s="390"/>
      <c r="FVN5" s="390"/>
      <c r="FVO5" s="390"/>
      <c r="FVP5" s="390"/>
      <c r="FVQ5" s="390"/>
      <c r="FVR5" s="390"/>
      <c r="FVS5" s="390"/>
      <c r="FVT5" s="390"/>
      <c r="FVU5" s="390"/>
      <c r="FVV5" s="390"/>
      <c r="FVW5" s="390"/>
      <c r="FVX5" s="390"/>
      <c r="FVY5" s="390"/>
      <c r="FVZ5" s="390"/>
      <c r="FWA5" s="390"/>
      <c r="FWB5" s="390"/>
      <c r="FWC5" s="390"/>
      <c r="FWD5" s="390"/>
      <c r="FWE5" s="390"/>
      <c r="FWF5" s="390"/>
      <c r="FWG5" s="390"/>
      <c r="FWH5" s="390"/>
      <c r="FWI5" s="390"/>
      <c r="FWJ5" s="390"/>
      <c r="FWK5" s="390"/>
      <c r="FWL5" s="390"/>
      <c r="FWM5" s="390"/>
      <c r="FWN5" s="390"/>
      <c r="FWO5" s="390"/>
      <c r="FWP5" s="390"/>
      <c r="FWQ5" s="390"/>
      <c r="FWR5" s="390"/>
      <c r="FWS5" s="390"/>
      <c r="FWT5" s="390"/>
      <c r="FWU5" s="390"/>
      <c r="FWV5" s="390"/>
      <c r="FWW5" s="390"/>
      <c r="FWX5" s="390"/>
      <c r="FWY5" s="390"/>
      <c r="FWZ5" s="390"/>
      <c r="FXA5" s="390"/>
      <c r="FXB5" s="390"/>
      <c r="FXC5" s="390"/>
      <c r="FXD5" s="390"/>
      <c r="FXE5" s="390"/>
      <c r="FXF5" s="390"/>
      <c r="FXG5" s="390"/>
      <c r="FXH5" s="390"/>
      <c r="FXI5" s="390"/>
      <c r="FXJ5" s="390"/>
      <c r="FXK5" s="390"/>
      <c r="FXL5" s="390"/>
      <c r="FXM5" s="390"/>
      <c r="FXN5" s="390"/>
      <c r="FXO5" s="390"/>
      <c r="FXP5" s="390"/>
      <c r="FXQ5" s="390"/>
      <c r="FXR5" s="390"/>
      <c r="FXS5" s="390"/>
      <c r="FXT5" s="390"/>
      <c r="FXU5" s="390"/>
      <c r="FXV5" s="390"/>
      <c r="FXW5" s="390"/>
      <c r="FXX5" s="390"/>
      <c r="FXY5" s="390"/>
      <c r="FXZ5" s="390"/>
      <c r="FYA5" s="390"/>
      <c r="FYB5" s="390"/>
      <c r="FYC5" s="390"/>
      <c r="FYD5" s="390"/>
      <c r="FYE5" s="390"/>
      <c r="FYF5" s="390"/>
      <c r="FYG5" s="390"/>
      <c r="FYH5" s="390"/>
      <c r="FYI5" s="390"/>
      <c r="FYJ5" s="390"/>
      <c r="FYK5" s="390"/>
      <c r="FYL5" s="390"/>
      <c r="FYM5" s="390"/>
      <c r="FYN5" s="390"/>
      <c r="FYO5" s="390"/>
      <c r="FYP5" s="390"/>
      <c r="FYQ5" s="390"/>
      <c r="FYR5" s="390"/>
      <c r="FYS5" s="390"/>
      <c r="FYT5" s="390"/>
      <c r="FYU5" s="390"/>
      <c r="FYV5" s="390"/>
      <c r="FYW5" s="390"/>
      <c r="FYX5" s="390"/>
      <c r="FYY5" s="390"/>
      <c r="FYZ5" s="390"/>
      <c r="FZA5" s="390"/>
      <c r="FZB5" s="390"/>
      <c r="FZC5" s="390"/>
      <c r="FZD5" s="390"/>
      <c r="FZE5" s="390"/>
      <c r="FZF5" s="390"/>
      <c r="FZG5" s="390"/>
      <c r="FZH5" s="390"/>
      <c r="FZI5" s="390"/>
      <c r="FZJ5" s="390"/>
      <c r="FZK5" s="390"/>
      <c r="FZL5" s="390"/>
      <c r="FZM5" s="390"/>
      <c r="FZN5" s="390"/>
      <c r="FZO5" s="390"/>
      <c r="FZP5" s="390"/>
      <c r="FZQ5" s="390"/>
      <c r="FZR5" s="390"/>
      <c r="FZS5" s="390"/>
      <c r="FZT5" s="390"/>
      <c r="FZU5" s="390"/>
      <c r="FZV5" s="390"/>
      <c r="FZW5" s="390"/>
      <c r="FZX5" s="390"/>
      <c r="FZY5" s="390"/>
      <c r="FZZ5" s="390"/>
      <c r="GAA5" s="390"/>
      <c r="GAB5" s="390"/>
      <c r="GAC5" s="390"/>
      <c r="GAD5" s="390"/>
      <c r="GAE5" s="390"/>
      <c r="GAF5" s="390"/>
      <c r="GAG5" s="390"/>
      <c r="GAH5" s="390"/>
      <c r="GAI5" s="390"/>
      <c r="GAJ5" s="390"/>
      <c r="GAK5" s="390"/>
      <c r="GAL5" s="390"/>
      <c r="GAM5" s="390"/>
      <c r="GAN5" s="390"/>
      <c r="GAO5" s="390"/>
      <c r="GAP5" s="390"/>
      <c r="GAQ5" s="390"/>
      <c r="GAR5" s="390"/>
      <c r="GAS5" s="390"/>
      <c r="GAT5" s="390"/>
      <c r="GAU5" s="390"/>
      <c r="GAV5" s="390"/>
      <c r="GAW5" s="390"/>
      <c r="GAX5" s="390"/>
      <c r="GAY5" s="390"/>
      <c r="GAZ5" s="390"/>
      <c r="GBA5" s="390"/>
      <c r="GBB5" s="390"/>
      <c r="GBC5" s="390"/>
      <c r="GBD5" s="390"/>
      <c r="GBE5" s="390"/>
      <c r="GBF5" s="390"/>
      <c r="GBG5" s="390"/>
      <c r="GBH5" s="390"/>
      <c r="GBI5" s="390"/>
      <c r="GBJ5" s="390"/>
      <c r="GBK5" s="390"/>
      <c r="GBL5" s="390"/>
      <c r="GBM5" s="390"/>
      <c r="GBN5" s="390"/>
      <c r="GBO5" s="390"/>
      <c r="GBP5" s="390"/>
      <c r="GBQ5" s="390"/>
      <c r="GBR5" s="390"/>
      <c r="GBS5" s="390"/>
      <c r="GBT5" s="390"/>
      <c r="GBU5" s="390"/>
      <c r="GBV5" s="390"/>
      <c r="GBW5" s="390"/>
      <c r="GBX5" s="390"/>
      <c r="GBY5" s="390"/>
      <c r="GBZ5" s="390"/>
      <c r="GCA5" s="390"/>
      <c r="GCB5" s="390"/>
      <c r="GCC5" s="390"/>
      <c r="GCD5" s="390"/>
      <c r="GCE5" s="390"/>
      <c r="GCF5" s="390"/>
      <c r="GCG5" s="390"/>
      <c r="GCH5" s="390"/>
      <c r="GCI5" s="390"/>
      <c r="GCJ5" s="390"/>
      <c r="GCK5" s="390"/>
      <c r="GCL5" s="390"/>
      <c r="GCM5" s="390"/>
      <c r="GCN5" s="390"/>
      <c r="GCO5" s="390"/>
      <c r="GCP5" s="390"/>
      <c r="GCQ5" s="390"/>
      <c r="GCR5" s="390"/>
      <c r="GCS5" s="390"/>
      <c r="GCT5" s="390"/>
      <c r="GCU5" s="390"/>
      <c r="GCV5" s="390"/>
      <c r="GCW5" s="390"/>
      <c r="GCX5" s="390"/>
      <c r="GCY5" s="390"/>
      <c r="GCZ5" s="390"/>
      <c r="GDA5" s="390"/>
      <c r="GDB5" s="390"/>
      <c r="GDC5" s="390"/>
      <c r="GDD5" s="390"/>
      <c r="GDE5" s="390"/>
      <c r="GDF5" s="390"/>
      <c r="GDG5" s="390"/>
      <c r="GDH5" s="390"/>
      <c r="GDI5" s="390"/>
      <c r="GDJ5" s="390"/>
      <c r="GDK5" s="390"/>
      <c r="GDL5" s="390"/>
      <c r="GDM5" s="390"/>
      <c r="GDN5" s="390"/>
      <c r="GDO5" s="390"/>
      <c r="GDP5" s="390"/>
      <c r="GDQ5" s="390"/>
      <c r="GDR5" s="390"/>
      <c r="GDS5" s="390"/>
      <c r="GDT5" s="390"/>
      <c r="GDU5" s="390"/>
      <c r="GDV5" s="390"/>
      <c r="GDW5" s="390"/>
      <c r="GDX5" s="390"/>
      <c r="GDY5" s="390"/>
      <c r="GDZ5" s="390"/>
      <c r="GEA5" s="390"/>
      <c r="GEB5" s="390"/>
      <c r="GEC5" s="390"/>
      <c r="GED5" s="390"/>
      <c r="GEE5" s="390"/>
      <c r="GEF5" s="390"/>
      <c r="GEG5" s="390"/>
      <c r="GEH5" s="390"/>
      <c r="GEI5" s="390"/>
      <c r="GEJ5" s="390"/>
      <c r="GEK5" s="390"/>
      <c r="GEL5" s="390"/>
      <c r="GEM5" s="390"/>
      <c r="GEN5" s="390"/>
      <c r="GEO5" s="390"/>
      <c r="GEP5" s="390"/>
      <c r="GEQ5" s="390"/>
      <c r="GER5" s="390"/>
      <c r="GES5" s="390"/>
      <c r="GET5" s="390"/>
      <c r="GEU5" s="390"/>
      <c r="GEV5" s="390"/>
      <c r="GEW5" s="390"/>
      <c r="GEX5" s="390"/>
      <c r="GEY5" s="390"/>
      <c r="GEZ5" s="390"/>
      <c r="GFA5" s="390"/>
      <c r="GFB5" s="390"/>
      <c r="GFC5" s="390"/>
      <c r="GFD5" s="390"/>
      <c r="GFE5" s="390"/>
      <c r="GFF5" s="390"/>
      <c r="GFG5" s="390"/>
      <c r="GFH5" s="390"/>
      <c r="GFI5" s="390"/>
      <c r="GFJ5" s="390"/>
      <c r="GFK5" s="390"/>
      <c r="GFL5" s="390"/>
      <c r="GFM5" s="390"/>
      <c r="GFN5" s="390"/>
      <c r="GFO5" s="390"/>
      <c r="GFP5" s="390"/>
      <c r="GFQ5" s="390"/>
      <c r="GFR5" s="390"/>
      <c r="GFS5" s="390"/>
      <c r="GFT5" s="390"/>
      <c r="GFU5" s="390"/>
      <c r="GFV5" s="390"/>
      <c r="GFW5" s="390"/>
      <c r="GFX5" s="390"/>
      <c r="GFY5" s="390"/>
      <c r="GFZ5" s="390"/>
      <c r="GGA5" s="390"/>
      <c r="GGB5" s="390"/>
      <c r="GGC5" s="390"/>
      <c r="GGD5" s="390"/>
      <c r="GGE5" s="390"/>
      <c r="GGF5" s="390"/>
      <c r="GGG5" s="390"/>
      <c r="GGH5" s="390"/>
      <c r="GGI5" s="390"/>
      <c r="GGJ5" s="390"/>
      <c r="GGK5" s="390"/>
      <c r="GGL5" s="390"/>
      <c r="GGM5" s="390"/>
      <c r="GGN5" s="390"/>
      <c r="GGO5" s="390"/>
      <c r="GGP5" s="390"/>
      <c r="GGQ5" s="390"/>
      <c r="GGR5" s="390"/>
      <c r="GGS5" s="390"/>
      <c r="GGT5" s="390"/>
      <c r="GGU5" s="390"/>
      <c r="GGV5" s="390"/>
      <c r="GGW5" s="390"/>
      <c r="GGX5" s="390"/>
      <c r="GGY5" s="390"/>
      <c r="GGZ5" s="390"/>
      <c r="GHA5" s="390"/>
      <c r="GHB5" s="390"/>
      <c r="GHC5" s="390"/>
      <c r="GHD5" s="390"/>
      <c r="GHE5" s="390"/>
      <c r="GHF5" s="390"/>
      <c r="GHG5" s="390"/>
      <c r="GHH5" s="390"/>
      <c r="GHI5" s="390"/>
      <c r="GHJ5" s="390"/>
      <c r="GHK5" s="390"/>
      <c r="GHL5" s="390"/>
      <c r="GHM5" s="390"/>
      <c r="GHN5" s="390"/>
      <c r="GHO5" s="390"/>
      <c r="GHP5" s="390"/>
      <c r="GHQ5" s="390"/>
      <c r="GHR5" s="390"/>
      <c r="GHS5" s="390"/>
      <c r="GHT5" s="390"/>
      <c r="GHU5" s="390"/>
      <c r="GHV5" s="390"/>
      <c r="GHW5" s="390"/>
      <c r="GHX5" s="390"/>
      <c r="GHY5" s="390"/>
      <c r="GHZ5" s="390"/>
      <c r="GIA5" s="390"/>
      <c r="GIB5" s="390"/>
      <c r="GIC5" s="390"/>
      <c r="GID5" s="390"/>
      <c r="GIE5" s="390"/>
      <c r="GIF5" s="390"/>
      <c r="GIG5" s="390"/>
      <c r="GIH5" s="390"/>
      <c r="GII5" s="390"/>
      <c r="GIJ5" s="390"/>
      <c r="GIK5" s="390"/>
      <c r="GIL5" s="390"/>
      <c r="GIM5" s="390"/>
      <c r="GIN5" s="390"/>
      <c r="GIO5" s="390"/>
      <c r="GIP5" s="390"/>
      <c r="GIQ5" s="390"/>
      <c r="GIR5" s="390"/>
      <c r="GIS5" s="390"/>
      <c r="GIT5" s="390"/>
      <c r="GIU5" s="390"/>
      <c r="GIV5" s="390"/>
      <c r="GIW5" s="390"/>
      <c r="GIX5" s="390"/>
      <c r="GIY5" s="390"/>
      <c r="GIZ5" s="390"/>
      <c r="GJA5" s="390"/>
      <c r="GJB5" s="390"/>
      <c r="GJC5" s="390"/>
      <c r="GJD5" s="390"/>
      <c r="GJE5" s="390"/>
      <c r="GJF5" s="390"/>
      <c r="GJG5" s="390"/>
      <c r="GJH5" s="390"/>
      <c r="GJI5" s="390"/>
      <c r="GJJ5" s="390"/>
      <c r="GJK5" s="390"/>
      <c r="GJL5" s="390"/>
      <c r="GJM5" s="390"/>
      <c r="GJN5" s="390"/>
      <c r="GJO5" s="390"/>
      <c r="GJP5" s="390"/>
      <c r="GJQ5" s="390"/>
      <c r="GJR5" s="390"/>
      <c r="GJS5" s="390"/>
      <c r="GJT5" s="390"/>
      <c r="GJU5" s="390"/>
      <c r="GJV5" s="390"/>
      <c r="GJW5" s="390"/>
      <c r="GJX5" s="390"/>
      <c r="GJY5" s="390"/>
      <c r="GJZ5" s="390"/>
      <c r="GKA5" s="390"/>
      <c r="GKB5" s="390"/>
      <c r="GKC5" s="390"/>
      <c r="GKD5" s="390"/>
      <c r="GKE5" s="390"/>
      <c r="GKF5" s="390"/>
      <c r="GKG5" s="390"/>
      <c r="GKH5" s="390"/>
      <c r="GKI5" s="390"/>
      <c r="GKJ5" s="390"/>
      <c r="GKK5" s="390"/>
      <c r="GKL5" s="390"/>
      <c r="GKM5" s="390"/>
      <c r="GKN5" s="390"/>
      <c r="GKO5" s="390"/>
      <c r="GKP5" s="390"/>
      <c r="GKQ5" s="390"/>
      <c r="GKR5" s="390"/>
      <c r="GKS5" s="390"/>
      <c r="GKT5" s="390"/>
      <c r="GKU5" s="390"/>
      <c r="GKV5" s="390"/>
      <c r="GKW5" s="390"/>
      <c r="GKX5" s="390"/>
      <c r="GKY5" s="390"/>
      <c r="GKZ5" s="390"/>
      <c r="GLA5" s="390"/>
      <c r="GLB5" s="390"/>
      <c r="GLC5" s="390"/>
      <c r="GLD5" s="390"/>
      <c r="GLE5" s="390"/>
      <c r="GLF5" s="390"/>
      <c r="GLG5" s="390"/>
      <c r="GLH5" s="390"/>
      <c r="GLI5" s="390"/>
      <c r="GLJ5" s="390"/>
      <c r="GLK5" s="390"/>
      <c r="GLL5" s="390"/>
      <c r="GLM5" s="390"/>
      <c r="GLN5" s="390"/>
      <c r="GLO5" s="390"/>
      <c r="GLP5" s="390"/>
      <c r="GLQ5" s="390"/>
      <c r="GLR5" s="390"/>
      <c r="GLS5" s="390"/>
      <c r="GLT5" s="390"/>
      <c r="GLU5" s="390"/>
      <c r="GLV5" s="390"/>
      <c r="GLW5" s="390"/>
      <c r="GLX5" s="390"/>
      <c r="GLY5" s="390"/>
      <c r="GLZ5" s="390"/>
      <c r="GMA5" s="390"/>
      <c r="GMB5" s="390"/>
      <c r="GMC5" s="390"/>
      <c r="GMD5" s="390"/>
      <c r="GME5" s="390"/>
      <c r="GMF5" s="390"/>
      <c r="GMG5" s="390"/>
      <c r="GMH5" s="390"/>
      <c r="GMI5" s="390"/>
      <c r="GMJ5" s="390"/>
      <c r="GMK5" s="390"/>
      <c r="GML5" s="390"/>
      <c r="GMM5" s="390"/>
      <c r="GMN5" s="390"/>
      <c r="GMO5" s="390"/>
      <c r="GMP5" s="390"/>
      <c r="GMQ5" s="390"/>
      <c r="GMR5" s="390"/>
      <c r="GMS5" s="390"/>
      <c r="GMT5" s="390"/>
      <c r="GMU5" s="390"/>
      <c r="GMV5" s="390"/>
      <c r="GMW5" s="390"/>
      <c r="GMX5" s="390"/>
      <c r="GMY5" s="390"/>
      <c r="GMZ5" s="390"/>
      <c r="GNA5" s="390"/>
      <c r="GNB5" s="390"/>
      <c r="GNC5" s="390"/>
      <c r="GND5" s="390"/>
      <c r="GNE5" s="390"/>
      <c r="GNF5" s="390"/>
      <c r="GNG5" s="390"/>
      <c r="GNH5" s="390"/>
      <c r="GNI5" s="390"/>
      <c r="GNJ5" s="390"/>
      <c r="GNK5" s="390"/>
      <c r="GNL5" s="390"/>
      <c r="GNM5" s="390"/>
      <c r="GNN5" s="390"/>
      <c r="GNO5" s="390"/>
      <c r="GNP5" s="390"/>
      <c r="GNQ5" s="390"/>
      <c r="GNR5" s="390"/>
      <c r="GNS5" s="390"/>
      <c r="GNT5" s="390"/>
      <c r="GNU5" s="390"/>
      <c r="GNV5" s="390"/>
      <c r="GNW5" s="390"/>
      <c r="GNX5" s="390"/>
      <c r="GNY5" s="390"/>
      <c r="GNZ5" s="390"/>
      <c r="GOA5" s="390"/>
      <c r="GOB5" s="390"/>
      <c r="GOC5" s="390"/>
      <c r="GOD5" s="390"/>
      <c r="GOE5" s="390"/>
      <c r="GOF5" s="390"/>
      <c r="GOG5" s="390"/>
      <c r="GOH5" s="390"/>
      <c r="GOI5" s="390"/>
      <c r="GOJ5" s="390"/>
      <c r="GOK5" s="390"/>
      <c r="GOL5" s="390"/>
      <c r="GOM5" s="390"/>
      <c r="GON5" s="390"/>
      <c r="GOO5" s="390"/>
      <c r="GOP5" s="390"/>
      <c r="GOQ5" s="390"/>
      <c r="GOR5" s="390"/>
      <c r="GOS5" s="390"/>
      <c r="GOT5" s="390"/>
      <c r="GOU5" s="390"/>
      <c r="GOV5" s="390"/>
      <c r="GOW5" s="390"/>
      <c r="GOX5" s="390"/>
      <c r="GOY5" s="390"/>
      <c r="GOZ5" s="390"/>
      <c r="GPA5" s="390"/>
      <c r="GPB5" s="390"/>
      <c r="GPC5" s="390"/>
      <c r="GPD5" s="390"/>
      <c r="GPE5" s="390"/>
      <c r="GPF5" s="390"/>
      <c r="GPG5" s="390"/>
      <c r="GPH5" s="390"/>
      <c r="GPI5" s="390"/>
      <c r="GPJ5" s="390"/>
      <c r="GPK5" s="390"/>
      <c r="GPL5" s="390"/>
      <c r="GPM5" s="390"/>
      <c r="GPN5" s="390"/>
      <c r="GPO5" s="390"/>
      <c r="GPP5" s="390"/>
      <c r="GPQ5" s="390"/>
      <c r="GPR5" s="390"/>
      <c r="GPS5" s="390"/>
      <c r="GPT5" s="390"/>
      <c r="GPU5" s="390"/>
      <c r="GPV5" s="390"/>
      <c r="GPW5" s="390"/>
      <c r="GPX5" s="390"/>
      <c r="GPY5" s="390"/>
      <c r="GPZ5" s="390"/>
      <c r="GQA5" s="390"/>
      <c r="GQB5" s="390"/>
      <c r="GQC5" s="390"/>
      <c r="GQD5" s="390"/>
      <c r="GQE5" s="390"/>
      <c r="GQF5" s="390"/>
      <c r="GQG5" s="390"/>
      <c r="GQH5" s="390"/>
      <c r="GQI5" s="390"/>
      <c r="GQJ5" s="390"/>
      <c r="GQK5" s="390"/>
      <c r="GQL5" s="390"/>
      <c r="GQM5" s="390"/>
      <c r="GQN5" s="390"/>
      <c r="GQO5" s="390"/>
      <c r="GQP5" s="390"/>
      <c r="GQQ5" s="390"/>
      <c r="GQR5" s="390"/>
      <c r="GQS5" s="390"/>
      <c r="GQT5" s="390"/>
      <c r="GQU5" s="390"/>
      <c r="GQV5" s="390"/>
      <c r="GQW5" s="390"/>
      <c r="GQX5" s="390"/>
      <c r="GQY5" s="390"/>
      <c r="GQZ5" s="390"/>
      <c r="GRA5" s="390"/>
      <c r="GRB5" s="390"/>
      <c r="GRC5" s="390"/>
      <c r="GRD5" s="390"/>
      <c r="GRE5" s="390"/>
      <c r="GRF5" s="390"/>
      <c r="GRG5" s="390"/>
      <c r="GRH5" s="390"/>
      <c r="GRI5" s="390"/>
      <c r="GRJ5" s="390"/>
      <c r="GRK5" s="390"/>
      <c r="GRL5" s="390"/>
      <c r="GRM5" s="390"/>
      <c r="GRN5" s="390"/>
      <c r="GRO5" s="390"/>
      <c r="GRP5" s="390"/>
      <c r="GRQ5" s="390"/>
      <c r="GRR5" s="390"/>
      <c r="GRS5" s="390"/>
      <c r="GRT5" s="390"/>
      <c r="GRU5" s="390"/>
      <c r="GRV5" s="390"/>
      <c r="GRW5" s="390"/>
      <c r="GRX5" s="390"/>
      <c r="GRY5" s="390"/>
      <c r="GRZ5" s="390"/>
      <c r="GSA5" s="390"/>
      <c r="GSB5" s="390"/>
      <c r="GSC5" s="390"/>
      <c r="GSD5" s="390"/>
      <c r="GSE5" s="390"/>
      <c r="GSF5" s="390"/>
      <c r="GSG5" s="390"/>
      <c r="GSH5" s="390"/>
      <c r="GSI5" s="390"/>
      <c r="GSJ5" s="390"/>
      <c r="GSK5" s="390"/>
      <c r="GSL5" s="390"/>
      <c r="GSM5" s="390"/>
      <c r="GSN5" s="390"/>
      <c r="GSO5" s="390"/>
      <c r="GSP5" s="390"/>
      <c r="GSQ5" s="390"/>
      <c r="GSR5" s="390"/>
      <c r="GSS5" s="390"/>
      <c r="GST5" s="390"/>
      <c r="GSU5" s="390"/>
      <c r="GSV5" s="390"/>
      <c r="GSW5" s="390"/>
      <c r="GSX5" s="390"/>
      <c r="GSY5" s="390"/>
      <c r="GSZ5" s="390"/>
      <c r="GTA5" s="390"/>
      <c r="GTB5" s="390"/>
      <c r="GTC5" s="390"/>
      <c r="GTD5" s="390"/>
      <c r="GTE5" s="390"/>
      <c r="GTF5" s="390"/>
      <c r="GTG5" s="390"/>
      <c r="GTH5" s="390"/>
      <c r="GTI5" s="390"/>
      <c r="GTJ5" s="390"/>
      <c r="GTK5" s="390"/>
      <c r="GTL5" s="390"/>
      <c r="GTM5" s="390"/>
      <c r="GTN5" s="390"/>
      <c r="GTO5" s="390"/>
      <c r="GTP5" s="390"/>
      <c r="GTQ5" s="390"/>
      <c r="GTR5" s="390"/>
      <c r="GTS5" s="390"/>
      <c r="GTT5" s="390"/>
      <c r="GTU5" s="390"/>
      <c r="GTV5" s="390"/>
      <c r="GTW5" s="390"/>
      <c r="GTX5" s="390"/>
      <c r="GTY5" s="390"/>
      <c r="GTZ5" s="390"/>
      <c r="GUA5" s="390"/>
      <c r="GUB5" s="390"/>
      <c r="GUC5" s="390"/>
      <c r="GUD5" s="390"/>
      <c r="GUE5" s="390"/>
      <c r="GUF5" s="390"/>
      <c r="GUG5" s="390"/>
      <c r="GUH5" s="390"/>
      <c r="GUI5" s="390"/>
      <c r="GUJ5" s="390"/>
      <c r="GUK5" s="390"/>
      <c r="GUL5" s="390"/>
      <c r="GUM5" s="390"/>
      <c r="GUN5" s="390"/>
      <c r="GUO5" s="390"/>
      <c r="GUP5" s="390"/>
      <c r="GUQ5" s="390"/>
      <c r="GUR5" s="390"/>
      <c r="GUS5" s="390"/>
      <c r="GUT5" s="390"/>
      <c r="GUU5" s="390"/>
      <c r="GUV5" s="390"/>
      <c r="GUW5" s="390"/>
      <c r="GUX5" s="390"/>
      <c r="GUY5" s="390"/>
      <c r="GUZ5" s="390"/>
      <c r="GVA5" s="390"/>
      <c r="GVB5" s="390"/>
      <c r="GVC5" s="390"/>
      <c r="GVD5" s="390"/>
      <c r="GVE5" s="390"/>
      <c r="GVF5" s="390"/>
      <c r="GVG5" s="390"/>
      <c r="GVH5" s="390"/>
      <c r="GVI5" s="390"/>
      <c r="GVJ5" s="390"/>
      <c r="GVK5" s="390"/>
      <c r="GVL5" s="390"/>
      <c r="GVM5" s="390"/>
      <c r="GVN5" s="390"/>
      <c r="GVO5" s="390"/>
      <c r="GVP5" s="390"/>
      <c r="GVQ5" s="390"/>
      <c r="GVR5" s="390"/>
      <c r="GVS5" s="390"/>
      <c r="GVT5" s="390"/>
      <c r="GVU5" s="390"/>
      <c r="GVV5" s="390"/>
      <c r="GVW5" s="390"/>
      <c r="GVX5" s="390"/>
      <c r="GVY5" s="390"/>
      <c r="GVZ5" s="390"/>
      <c r="GWA5" s="390"/>
      <c r="GWB5" s="390"/>
      <c r="GWC5" s="390"/>
      <c r="GWD5" s="390"/>
      <c r="GWE5" s="390"/>
      <c r="GWF5" s="390"/>
      <c r="GWG5" s="390"/>
      <c r="GWH5" s="390"/>
      <c r="GWI5" s="390"/>
      <c r="GWJ5" s="390"/>
      <c r="GWK5" s="390"/>
      <c r="GWL5" s="390"/>
      <c r="GWM5" s="390"/>
      <c r="GWN5" s="390"/>
      <c r="GWO5" s="390"/>
      <c r="GWP5" s="390"/>
      <c r="GWQ5" s="390"/>
      <c r="GWR5" s="390"/>
      <c r="GWS5" s="390"/>
      <c r="GWT5" s="390"/>
      <c r="GWU5" s="390"/>
      <c r="GWV5" s="390"/>
      <c r="GWW5" s="390"/>
      <c r="GWX5" s="390"/>
      <c r="GWY5" s="390"/>
      <c r="GWZ5" s="390"/>
      <c r="GXA5" s="390"/>
      <c r="GXB5" s="390"/>
      <c r="GXC5" s="390"/>
      <c r="GXD5" s="390"/>
      <c r="GXE5" s="390"/>
      <c r="GXF5" s="390"/>
      <c r="GXG5" s="390"/>
      <c r="GXH5" s="390"/>
      <c r="GXI5" s="390"/>
      <c r="GXJ5" s="390"/>
      <c r="GXK5" s="390"/>
      <c r="GXL5" s="390"/>
      <c r="GXM5" s="390"/>
      <c r="GXN5" s="390"/>
      <c r="GXO5" s="390"/>
      <c r="GXP5" s="390"/>
      <c r="GXQ5" s="390"/>
      <c r="GXR5" s="390"/>
      <c r="GXS5" s="390"/>
      <c r="GXT5" s="390"/>
      <c r="GXU5" s="390"/>
      <c r="GXV5" s="390"/>
      <c r="GXW5" s="390"/>
      <c r="GXX5" s="390"/>
      <c r="GXY5" s="390"/>
      <c r="GXZ5" s="390"/>
      <c r="GYA5" s="390"/>
      <c r="GYB5" s="390"/>
      <c r="GYC5" s="390"/>
      <c r="GYD5" s="390"/>
      <c r="GYE5" s="390"/>
      <c r="GYF5" s="390"/>
      <c r="GYG5" s="390"/>
      <c r="GYH5" s="390"/>
      <c r="GYI5" s="390"/>
      <c r="GYJ5" s="390"/>
      <c r="GYK5" s="390"/>
      <c r="GYL5" s="390"/>
      <c r="GYM5" s="390"/>
      <c r="GYN5" s="390"/>
      <c r="GYO5" s="390"/>
      <c r="GYP5" s="390"/>
      <c r="GYQ5" s="390"/>
      <c r="GYR5" s="390"/>
      <c r="GYS5" s="390"/>
      <c r="GYT5" s="390"/>
      <c r="GYU5" s="390"/>
      <c r="GYV5" s="390"/>
      <c r="GYW5" s="390"/>
      <c r="GYX5" s="390"/>
      <c r="GYY5" s="390"/>
      <c r="GYZ5" s="390"/>
      <c r="GZA5" s="390"/>
      <c r="GZB5" s="390"/>
      <c r="GZC5" s="390"/>
      <c r="GZD5" s="390"/>
      <c r="GZE5" s="390"/>
      <c r="GZF5" s="390"/>
      <c r="GZG5" s="390"/>
      <c r="GZH5" s="390"/>
      <c r="GZI5" s="390"/>
      <c r="GZJ5" s="390"/>
      <c r="GZK5" s="390"/>
      <c r="GZL5" s="390"/>
      <c r="GZM5" s="390"/>
      <c r="GZN5" s="390"/>
      <c r="GZO5" s="390"/>
      <c r="GZP5" s="390"/>
      <c r="GZQ5" s="390"/>
      <c r="GZR5" s="390"/>
      <c r="GZS5" s="390"/>
      <c r="GZT5" s="390"/>
      <c r="GZU5" s="390"/>
      <c r="GZV5" s="390"/>
      <c r="GZW5" s="390"/>
      <c r="GZX5" s="390"/>
      <c r="GZY5" s="390"/>
      <c r="GZZ5" s="390"/>
      <c r="HAA5" s="390"/>
      <c r="HAB5" s="390"/>
      <c r="HAC5" s="390"/>
      <c r="HAD5" s="390"/>
      <c r="HAE5" s="390"/>
      <c r="HAF5" s="390"/>
      <c r="HAG5" s="390"/>
      <c r="HAH5" s="390"/>
      <c r="HAI5" s="390"/>
      <c r="HAJ5" s="390"/>
      <c r="HAK5" s="390"/>
      <c r="HAL5" s="390"/>
      <c r="HAM5" s="390"/>
      <c r="HAN5" s="390"/>
      <c r="HAO5" s="390"/>
      <c r="HAP5" s="390"/>
      <c r="HAQ5" s="390"/>
      <c r="HAR5" s="390"/>
      <c r="HAS5" s="390"/>
      <c r="HAT5" s="390"/>
      <c r="HAU5" s="390"/>
      <c r="HAV5" s="390"/>
      <c r="HAW5" s="390"/>
      <c r="HAX5" s="390"/>
      <c r="HAY5" s="390"/>
      <c r="HAZ5" s="390"/>
      <c r="HBA5" s="390"/>
      <c r="HBB5" s="390"/>
      <c r="HBC5" s="390"/>
      <c r="HBD5" s="390"/>
      <c r="HBE5" s="390"/>
      <c r="HBF5" s="390"/>
      <c r="HBG5" s="390"/>
      <c r="HBH5" s="390"/>
      <c r="HBI5" s="390"/>
      <c r="HBJ5" s="390"/>
      <c r="HBK5" s="390"/>
      <c r="HBL5" s="390"/>
      <c r="HBM5" s="390"/>
      <c r="HBN5" s="390"/>
      <c r="HBO5" s="390"/>
      <c r="HBP5" s="390"/>
      <c r="HBQ5" s="390"/>
      <c r="HBR5" s="390"/>
      <c r="HBS5" s="390"/>
      <c r="HBT5" s="390"/>
      <c r="HBU5" s="390"/>
      <c r="HBV5" s="390"/>
      <c r="HBW5" s="390"/>
      <c r="HBX5" s="390"/>
      <c r="HBY5" s="390"/>
      <c r="HBZ5" s="390"/>
      <c r="HCA5" s="390"/>
      <c r="HCB5" s="390"/>
      <c r="HCC5" s="390"/>
      <c r="HCD5" s="390"/>
      <c r="HCE5" s="390"/>
      <c r="HCF5" s="390"/>
      <c r="HCG5" s="390"/>
      <c r="HCH5" s="390"/>
      <c r="HCI5" s="390"/>
      <c r="HCJ5" s="390"/>
      <c r="HCK5" s="390"/>
      <c r="HCL5" s="390"/>
      <c r="HCM5" s="390"/>
      <c r="HCN5" s="390"/>
      <c r="HCO5" s="390"/>
      <c r="HCP5" s="390"/>
      <c r="HCQ5" s="390"/>
      <c r="HCR5" s="390"/>
      <c r="HCS5" s="390"/>
      <c r="HCT5" s="390"/>
      <c r="HCU5" s="390"/>
      <c r="HCV5" s="390"/>
      <c r="HCW5" s="390"/>
      <c r="HCX5" s="390"/>
      <c r="HCY5" s="390"/>
      <c r="HCZ5" s="390"/>
      <c r="HDA5" s="390"/>
      <c r="HDB5" s="390"/>
      <c r="HDC5" s="390"/>
      <c r="HDD5" s="390"/>
      <c r="HDE5" s="390"/>
      <c r="HDF5" s="390"/>
      <c r="HDG5" s="390"/>
      <c r="HDH5" s="390"/>
      <c r="HDI5" s="390"/>
      <c r="HDJ5" s="390"/>
      <c r="HDK5" s="390"/>
      <c r="HDL5" s="390"/>
      <c r="HDM5" s="390"/>
      <c r="HDN5" s="390"/>
      <c r="HDO5" s="390"/>
      <c r="HDP5" s="390"/>
      <c r="HDQ5" s="390"/>
      <c r="HDR5" s="390"/>
      <c r="HDS5" s="390"/>
      <c r="HDT5" s="390"/>
      <c r="HDU5" s="390"/>
      <c r="HDV5" s="390"/>
      <c r="HDW5" s="390"/>
      <c r="HDX5" s="390"/>
      <c r="HDY5" s="390"/>
      <c r="HDZ5" s="390"/>
      <c r="HEA5" s="390"/>
      <c r="HEB5" s="390"/>
      <c r="HEC5" s="390"/>
      <c r="HED5" s="390"/>
      <c r="HEE5" s="390"/>
      <c r="HEF5" s="390"/>
      <c r="HEG5" s="390"/>
      <c r="HEH5" s="390"/>
      <c r="HEI5" s="390"/>
      <c r="HEJ5" s="390"/>
      <c r="HEK5" s="390"/>
      <c r="HEL5" s="390"/>
      <c r="HEM5" s="390"/>
      <c r="HEN5" s="390"/>
      <c r="HEO5" s="390"/>
      <c r="HEP5" s="390"/>
      <c r="HEQ5" s="390"/>
      <c r="HER5" s="390"/>
      <c r="HES5" s="390"/>
      <c r="HET5" s="390"/>
      <c r="HEU5" s="390"/>
      <c r="HEV5" s="390"/>
      <c r="HEW5" s="390"/>
      <c r="HEX5" s="390"/>
      <c r="HEY5" s="390"/>
      <c r="HEZ5" s="390"/>
      <c r="HFA5" s="390"/>
      <c r="HFB5" s="390"/>
      <c r="HFC5" s="390"/>
      <c r="HFD5" s="390"/>
      <c r="HFE5" s="390"/>
      <c r="HFF5" s="390"/>
      <c r="HFG5" s="390"/>
      <c r="HFH5" s="390"/>
      <c r="HFI5" s="390"/>
      <c r="HFJ5" s="390"/>
      <c r="HFK5" s="390"/>
      <c r="HFL5" s="390"/>
      <c r="HFM5" s="390"/>
      <c r="HFN5" s="390"/>
      <c r="HFO5" s="390"/>
      <c r="HFP5" s="390"/>
      <c r="HFQ5" s="390"/>
      <c r="HFR5" s="390"/>
      <c r="HFS5" s="390"/>
      <c r="HFT5" s="390"/>
      <c r="HFU5" s="390"/>
      <c r="HFV5" s="390"/>
      <c r="HFW5" s="390"/>
      <c r="HFX5" s="390"/>
      <c r="HFY5" s="390"/>
      <c r="HFZ5" s="390"/>
      <c r="HGA5" s="390"/>
      <c r="HGB5" s="390"/>
      <c r="HGC5" s="390"/>
      <c r="HGD5" s="390"/>
      <c r="HGE5" s="390"/>
      <c r="HGF5" s="390"/>
      <c r="HGG5" s="390"/>
      <c r="HGH5" s="390"/>
      <c r="HGI5" s="390"/>
      <c r="HGJ5" s="390"/>
      <c r="HGK5" s="390"/>
      <c r="HGL5" s="390"/>
      <c r="HGM5" s="390"/>
      <c r="HGN5" s="390"/>
      <c r="HGO5" s="390"/>
      <c r="HGP5" s="390"/>
      <c r="HGQ5" s="390"/>
      <c r="HGR5" s="390"/>
      <c r="HGS5" s="390"/>
      <c r="HGT5" s="390"/>
      <c r="HGU5" s="390"/>
      <c r="HGV5" s="390"/>
      <c r="HGW5" s="390"/>
      <c r="HGX5" s="390"/>
      <c r="HGY5" s="390"/>
      <c r="HGZ5" s="390"/>
      <c r="HHA5" s="390"/>
      <c r="HHB5" s="390"/>
      <c r="HHC5" s="390"/>
      <c r="HHD5" s="390"/>
      <c r="HHE5" s="390"/>
      <c r="HHF5" s="390"/>
      <c r="HHG5" s="390"/>
      <c r="HHH5" s="390"/>
      <c r="HHI5" s="390"/>
      <c r="HHJ5" s="390"/>
      <c r="HHK5" s="390"/>
      <c r="HHL5" s="390"/>
      <c r="HHM5" s="390"/>
      <c r="HHN5" s="390"/>
      <c r="HHO5" s="390"/>
      <c r="HHP5" s="390"/>
      <c r="HHQ5" s="390"/>
      <c r="HHR5" s="390"/>
      <c r="HHS5" s="390"/>
      <c r="HHT5" s="390"/>
      <c r="HHU5" s="390"/>
      <c r="HHV5" s="390"/>
      <c r="HHW5" s="390"/>
      <c r="HHX5" s="390"/>
      <c r="HHY5" s="390"/>
      <c r="HHZ5" s="390"/>
      <c r="HIA5" s="390"/>
      <c r="HIB5" s="390"/>
      <c r="HIC5" s="390"/>
      <c r="HID5" s="390"/>
      <c r="HIE5" s="390"/>
      <c r="HIF5" s="390"/>
      <c r="HIG5" s="390"/>
      <c r="HIH5" s="390"/>
      <c r="HII5" s="390"/>
      <c r="HIJ5" s="390"/>
      <c r="HIK5" s="390"/>
      <c r="HIL5" s="390"/>
      <c r="HIM5" s="390"/>
      <c r="HIN5" s="390"/>
      <c r="HIO5" s="390"/>
      <c r="HIP5" s="390"/>
      <c r="HIQ5" s="390"/>
      <c r="HIR5" s="390"/>
      <c r="HIS5" s="390"/>
      <c r="HIT5" s="390"/>
      <c r="HIU5" s="390"/>
      <c r="HIV5" s="390"/>
      <c r="HIW5" s="390"/>
      <c r="HIX5" s="390"/>
      <c r="HIY5" s="390"/>
      <c r="HIZ5" s="390"/>
      <c r="HJA5" s="390"/>
      <c r="HJB5" s="390"/>
      <c r="HJC5" s="390"/>
      <c r="HJD5" s="390"/>
      <c r="HJE5" s="390"/>
      <c r="HJF5" s="390"/>
      <c r="HJG5" s="390"/>
      <c r="HJH5" s="390"/>
      <c r="HJI5" s="390"/>
      <c r="HJJ5" s="390"/>
      <c r="HJK5" s="390"/>
      <c r="HJL5" s="390"/>
      <c r="HJM5" s="390"/>
      <c r="HJN5" s="390"/>
      <c r="HJO5" s="390"/>
      <c r="HJP5" s="390"/>
      <c r="HJQ5" s="390"/>
      <c r="HJR5" s="390"/>
      <c r="HJS5" s="390"/>
      <c r="HJT5" s="390"/>
      <c r="HJU5" s="390"/>
      <c r="HJV5" s="390"/>
      <c r="HJW5" s="390"/>
      <c r="HJX5" s="390"/>
      <c r="HJY5" s="390"/>
      <c r="HJZ5" s="390"/>
      <c r="HKA5" s="390"/>
      <c r="HKB5" s="390"/>
      <c r="HKC5" s="390"/>
      <c r="HKD5" s="390"/>
      <c r="HKE5" s="390"/>
      <c r="HKF5" s="390"/>
      <c r="HKG5" s="390"/>
      <c r="HKH5" s="390"/>
      <c r="HKI5" s="390"/>
      <c r="HKJ5" s="390"/>
      <c r="HKK5" s="390"/>
      <c r="HKL5" s="390"/>
      <c r="HKM5" s="390"/>
      <c r="HKN5" s="390"/>
      <c r="HKO5" s="390"/>
      <c r="HKP5" s="390"/>
      <c r="HKQ5" s="390"/>
      <c r="HKR5" s="390"/>
      <c r="HKS5" s="390"/>
      <c r="HKT5" s="390"/>
      <c r="HKU5" s="390"/>
      <c r="HKV5" s="390"/>
      <c r="HKW5" s="390"/>
      <c r="HKX5" s="390"/>
      <c r="HKY5" s="390"/>
      <c r="HKZ5" s="390"/>
      <c r="HLA5" s="390"/>
      <c r="HLB5" s="390"/>
      <c r="HLC5" s="390"/>
      <c r="HLD5" s="390"/>
      <c r="HLE5" s="390"/>
      <c r="HLF5" s="390"/>
      <c r="HLG5" s="390"/>
      <c r="HLH5" s="390"/>
      <c r="HLI5" s="390"/>
      <c r="HLJ5" s="390"/>
      <c r="HLK5" s="390"/>
      <c r="HLL5" s="390"/>
      <c r="HLM5" s="390"/>
      <c r="HLN5" s="390"/>
      <c r="HLO5" s="390"/>
      <c r="HLP5" s="390"/>
      <c r="HLQ5" s="390"/>
      <c r="HLR5" s="390"/>
      <c r="HLS5" s="390"/>
      <c r="HLT5" s="390"/>
      <c r="HLU5" s="390"/>
      <c r="HLV5" s="390"/>
      <c r="HLW5" s="390"/>
      <c r="HLX5" s="390"/>
      <c r="HLY5" s="390"/>
      <c r="HLZ5" s="390"/>
      <c r="HMA5" s="390"/>
      <c r="HMB5" s="390"/>
      <c r="HMC5" s="390"/>
      <c r="HMD5" s="390"/>
      <c r="HME5" s="390"/>
      <c r="HMF5" s="390"/>
      <c r="HMG5" s="390"/>
      <c r="HMH5" s="390"/>
      <c r="HMI5" s="390"/>
      <c r="HMJ5" s="390"/>
      <c r="HMK5" s="390"/>
      <c r="HML5" s="390"/>
      <c r="HMM5" s="390"/>
      <c r="HMN5" s="390"/>
      <c r="HMO5" s="390"/>
      <c r="HMP5" s="390"/>
      <c r="HMQ5" s="390"/>
      <c r="HMR5" s="390"/>
      <c r="HMS5" s="390"/>
      <c r="HMT5" s="390"/>
      <c r="HMU5" s="390"/>
      <c r="HMV5" s="390"/>
      <c r="HMW5" s="390"/>
      <c r="HMX5" s="390"/>
      <c r="HMY5" s="390"/>
      <c r="HMZ5" s="390"/>
      <c r="HNA5" s="390"/>
      <c r="HNB5" s="390"/>
      <c r="HNC5" s="390"/>
      <c r="HND5" s="390"/>
      <c r="HNE5" s="390"/>
      <c r="HNF5" s="390"/>
      <c r="HNG5" s="390"/>
      <c r="HNH5" s="390"/>
      <c r="HNI5" s="390"/>
      <c r="HNJ5" s="390"/>
      <c r="HNK5" s="390"/>
      <c r="HNL5" s="390"/>
      <c r="HNM5" s="390"/>
      <c r="HNN5" s="390"/>
      <c r="HNO5" s="390"/>
      <c r="HNP5" s="390"/>
      <c r="HNQ5" s="390"/>
      <c r="HNR5" s="390"/>
      <c r="HNS5" s="390"/>
      <c r="HNT5" s="390"/>
      <c r="HNU5" s="390"/>
      <c r="HNV5" s="390"/>
      <c r="HNW5" s="390"/>
      <c r="HNX5" s="390"/>
      <c r="HNY5" s="390"/>
      <c r="HNZ5" s="390"/>
      <c r="HOA5" s="390"/>
      <c r="HOB5" s="390"/>
      <c r="HOC5" s="390"/>
      <c r="HOD5" s="390"/>
      <c r="HOE5" s="390"/>
      <c r="HOF5" s="390"/>
      <c r="HOG5" s="390"/>
      <c r="HOH5" s="390"/>
      <c r="HOI5" s="390"/>
      <c r="HOJ5" s="390"/>
      <c r="HOK5" s="390"/>
      <c r="HOL5" s="390"/>
      <c r="HOM5" s="390"/>
      <c r="HON5" s="390"/>
      <c r="HOO5" s="390"/>
      <c r="HOP5" s="390"/>
      <c r="HOQ5" s="390"/>
      <c r="HOR5" s="390"/>
      <c r="HOS5" s="390"/>
      <c r="HOT5" s="390"/>
      <c r="HOU5" s="390"/>
      <c r="HOV5" s="390"/>
      <c r="HOW5" s="390"/>
      <c r="HOX5" s="390"/>
      <c r="HOY5" s="390"/>
      <c r="HOZ5" s="390"/>
      <c r="HPA5" s="390"/>
      <c r="HPB5" s="390"/>
      <c r="HPC5" s="390"/>
      <c r="HPD5" s="390"/>
      <c r="HPE5" s="390"/>
      <c r="HPF5" s="390"/>
      <c r="HPG5" s="390"/>
      <c r="HPH5" s="390"/>
      <c r="HPI5" s="390"/>
      <c r="HPJ5" s="390"/>
      <c r="HPK5" s="390"/>
      <c r="HPL5" s="390"/>
      <c r="HPM5" s="390"/>
      <c r="HPN5" s="390"/>
      <c r="HPO5" s="390"/>
      <c r="HPP5" s="390"/>
      <c r="HPQ5" s="390"/>
      <c r="HPR5" s="390"/>
      <c r="HPS5" s="390"/>
      <c r="HPT5" s="390"/>
      <c r="HPU5" s="390"/>
      <c r="HPV5" s="390"/>
      <c r="HPW5" s="390"/>
      <c r="HPX5" s="390"/>
      <c r="HPY5" s="390"/>
      <c r="HPZ5" s="390"/>
      <c r="HQA5" s="390"/>
      <c r="HQB5" s="390"/>
      <c r="HQC5" s="390"/>
      <c r="HQD5" s="390"/>
      <c r="HQE5" s="390"/>
      <c r="HQF5" s="390"/>
      <c r="HQG5" s="390"/>
      <c r="HQH5" s="390"/>
      <c r="HQI5" s="390"/>
      <c r="HQJ5" s="390"/>
      <c r="HQK5" s="390"/>
      <c r="HQL5" s="390"/>
      <c r="HQM5" s="390"/>
      <c r="HQN5" s="390"/>
      <c r="HQO5" s="390"/>
      <c r="HQP5" s="390"/>
      <c r="HQQ5" s="390"/>
      <c r="HQR5" s="390"/>
      <c r="HQS5" s="390"/>
      <c r="HQT5" s="390"/>
      <c r="HQU5" s="390"/>
      <c r="HQV5" s="390"/>
      <c r="HQW5" s="390"/>
      <c r="HQX5" s="390"/>
      <c r="HQY5" s="390"/>
      <c r="HQZ5" s="390"/>
      <c r="HRA5" s="390"/>
      <c r="HRB5" s="390"/>
      <c r="HRC5" s="390"/>
      <c r="HRD5" s="390"/>
      <c r="HRE5" s="390"/>
      <c r="HRF5" s="390"/>
      <c r="HRG5" s="390"/>
      <c r="HRH5" s="390"/>
      <c r="HRI5" s="390"/>
      <c r="HRJ5" s="390"/>
      <c r="HRK5" s="390"/>
      <c r="HRL5" s="390"/>
      <c r="HRM5" s="390"/>
      <c r="HRN5" s="390"/>
      <c r="HRO5" s="390"/>
      <c r="HRP5" s="390"/>
      <c r="HRQ5" s="390"/>
      <c r="HRR5" s="390"/>
      <c r="HRS5" s="390"/>
      <c r="HRT5" s="390"/>
      <c r="HRU5" s="390"/>
      <c r="HRV5" s="390"/>
      <c r="HRW5" s="390"/>
      <c r="HRX5" s="390"/>
      <c r="HRY5" s="390"/>
      <c r="HRZ5" s="390"/>
      <c r="HSA5" s="390"/>
      <c r="HSB5" s="390"/>
      <c r="HSC5" s="390"/>
      <c r="HSD5" s="390"/>
      <c r="HSE5" s="390"/>
      <c r="HSF5" s="390"/>
      <c r="HSG5" s="390"/>
      <c r="HSH5" s="390"/>
      <c r="HSI5" s="390"/>
      <c r="HSJ5" s="390"/>
      <c r="HSK5" s="390"/>
      <c r="HSL5" s="390"/>
      <c r="HSM5" s="390"/>
      <c r="HSN5" s="390"/>
      <c r="HSO5" s="390"/>
      <c r="HSP5" s="390"/>
      <c r="HSQ5" s="390"/>
      <c r="HSR5" s="390"/>
      <c r="HSS5" s="390"/>
      <c r="HST5" s="390"/>
      <c r="HSU5" s="390"/>
      <c r="HSV5" s="390"/>
      <c r="HSW5" s="390"/>
      <c r="HSX5" s="390"/>
      <c r="HSY5" s="390"/>
      <c r="HSZ5" s="390"/>
      <c r="HTA5" s="390"/>
      <c r="HTB5" s="390"/>
      <c r="HTC5" s="390"/>
      <c r="HTD5" s="390"/>
      <c r="HTE5" s="390"/>
      <c r="HTF5" s="390"/>
      <c r="HTG5" s="390"/>
      <c r="HTH5" s="390"/>
      <c r="HTI5" s="390"/>
      <c r="HTJ5" s="390"/>
      <c r="HTK5" s="390"/>
      <c r="HTL5" s="390"/>
      <c r="HTM5" s="390"/>
      <c r="HTN5" s="390"/>
      <c r="HTO5" s="390"/>
      <c r="HTP5" s="390"/>
      <c r="HTQ5" s="390"/>
      <c r="HTR5" s="390"/>
      <c r="HTS5" s="390"/>
      <c r="HTT5" s="390"/>
      <c r="HTU5" s="390"/>
      <c r="HTV5" s="390"/>
      <c r="HTW5" s="390"/>
      <c r="HTX5" s="390"/>
      <c r="HTY5" s="390"/>
      <c r="HTZ5" s="390"/>
      <c r="HUA5" s="390"/>
      <c r="HUB5" s="390"/>
      <c r="HUC5" s="390"/>
      <c r="HUD5" s="390"/>
      <c r="HUE5" s="390"/>
      <c r="HUF5" s="390"/>
      <c r="HUG5" s="390"/>
      <c r="HUH5" s="390"/>
      <c r="HUI5" s="390"/>
      <c r="HUJ5" s="390"/>
      <c r="HUK5" s="390"/>
      <c r="HUL5" s="390"/>
      <c r="HUM5" s="390"/>
      <c r="HUN5" s="390"/>
      <c r="HUO5" s="390"/>
      <c r="HUP5" s="390"/>
      <c r="HUQ5" s="390"/>
      <c r="HUR5" s="390"/>
      <c r="HUS5" s="390"/>
      <c r="HUT5" s="390"/>
      <c r="HUU5" s="390"/>
      <c r="HUV5" s="390"/>
      <c r="HUW5" s="390"/>
      <c r="HUX5" s="390"/>
      <c r="HUY5" s="390"/>
      <c r="HUZ5" s="390"/>
      <c r="HVA5" s="390"/>
      <c r="HVB5" s="390"/>
      <c r="HVC5" s="390"/>
      <c r="HVD5" s="390"/>
      <c r="HVE5" s="390"/>
      <c r="HVF5" s="390"/>
      <c r="HVG5" s="390"/>
      <c r="HVH5" s="390"/>
      <c r="HVI5" s="390"/>
      <c r="HVJ5" s="390"/>
      <c r="HVK5" s="390"/>
      <c r="HVL5" s="390"/>
      <c r="HVM5" s="390"/>
      <c r="HVN5" s="390"/>
      <c r="HVO5" s="390"/>
      <c r="HVP5" s="390"/>
      <c r="HVQ5" s="390"/>
      <c r="HVR5" s="390"/>
      <c r="HVS5" s="390"/>
      <c r="HVT5" s="390"/>
      <c r="HVU5" s="390"/>
      <c r="HVV5" s="390"/>
      <c r="HVW5" s="390"/>
      <c r="HVX5" s="390"/>
      <c r="HVY5" s="390"/>
      <c r="HVZ5" s="390"/>
      <c r="HWA5" s="390"/>
      <c r="HWB5" s="390"/>
      <c r="HWC5" s="390"/>
      <c r="HWD5" s="390"/>
      <c r="HWE5" s="390"/>
      <c r="HWF5" s="390"/>
      <c r="HWG5" s="390"/>
      <c r="HWH5" s="390"/>
      <c r="HWI5" s="390"/>
      <c r="HWJ5" s="390"/>
      <c r="HWK5" s="390"/>
      <c r="HWL5" s="390"/>
      <c r="HWM5" s="390"/>
      <c r="HWN5" s="390"/>
      <c r="HWO5" s="390"/>
      <c r="HWP5" s="390"/>
      <c r="HWQ5" s="390"/>
      <c r="HWR5" s="390"/>
      <c r="HWS5" s="390"/>
      <c r="HWT5" s="390"/>
      <c r="HWU5" s="390"/>
      <c r="HWV5" s="390"/>
      <c r="HWW5" s="390"/>
      <c r="HWX5" s="390"/>
      <c r="HWY5" s="390"/>
      <c r="HWZ5" s="390"/>
      <c r="HXA5" s="390"/>
      <c r="HXB5" s="390"/>
      <c r="HXC5" s="390"/>
      <c r="HXD5" s="390"/>
      <c r="HXE5" s="390"/>
      <c r="HXF5" s="390"/>
      <c r="HXG5" s="390"/>
      <c r="HXH5" s="390"/>
      <c r="HXI5" s="390"/>
      <c r="HXJ5" s="390"/>
      <c r="HXK5" s="390"/>
      <c r="HXL5" s="390"/>
      <c r="HXM5" s="390"/>
      <c r="HXN5" s="390"/>
      <c r="HXO5" s="390"/>
      <c r="HXP5" s="390"/>
      <c r="HXQ5" s="390"/>
      <c r="HXR5" s="390"/>
      <c r="HXS5" s="390"/>
      <c r="HXT5" s="390"/>
      <c r="HXU5" s="390"/>
      <c r="HXV5" s="390"/>
      <c r="HXW5" s="390"/>
      <c r="HXX5" s="390"/>
      <c r="HXY5" s="390"/>
      <c r="HXZ5" s="390"/>
      <c r="HYA5" s="390"/>
      <c r="HYB5" s="390"/>
      <c r="HYC5" s="390"/>
      <c r="HYD5" s="390"/>
      <c r="HYE5" s="390"/>
      <c r="HYF5" s="390"/>
      <c r="HYG5" s="390"/>
      <c r="HYH5" s="390"/>
      <c r="HYI5" s="390"/>
      <c r="HYJ5" s="390"/>
      <c r="HYK5" s="390"/>
      <c r="HYL5" s="390"/>
      <c r="HYM5" s="390"/>
      <c r="HYN5" s="390"/>
      <c r="HYO5" s="390"/>
      <c r="HYP5" s="390"/>
      <c r="HYQ5" s="390"/>
      <c r="HYR5" s="390"/>
      <c r="HYS5" s="390"/>
      <c r="HYT5" s="390"/>
      <c r="HYU5" s="390"/>
      <c r="HYV5" s="390"/>
      <c r="HYW5" s="390"/>
      <c r="HYX5" s="390"/>
      <c r="HYY5" s="390"/>
      <c r="HYZ5" s="390"/>
      <c r="HZA5" s="390"/>
      <c r="HZB5" s="390"/>
      <c r="HZC5" s="390"/>
      <c r="HZD5" s="390"/>
      <c r="HZE5" s="390"/>
      <c r="HZF5" s="390"/>
      <c r="HZG5" s="390"/>
      <c r="HZH5" s="390"/>
      <c r="HZI5" s="390"/>
      <c r="HZJ5" s="390"/>
      <c r="HZK5" s="390"/>
      <c r="HZL5" s="390"/>
      <c r="HZM5" s="390"/>
      <c r="HZN5" s="390"/>
      <c r="HZO5" s="390"/>
      <c r="HZP5" s="390"/>
      <c r="HZQ5" s="390"/>
      <c r="HZR5" s="390"/>
      <c r="HZS5" s="390"/>
      <c r="HZT5" s="390"/>
      <c r="HZU5" s="390"/>
      <c r="HZV5" s="390"/>
      <c r="HZW5" s="390"/>
      <c r="HZX5" s="390"/>
      <c r="HZY5" s="390"/>
      <c r="HZZ5" s="390"/>
      <c r="IAA5" s="390"/>
      <c r="IAB5" s="390"/>
      <c r="IAC5" s="390"/>
      <c r="IAD5" s="390"/>
      <c r="IAE5" s="390"/>
      <c r="IAF5" s="390"/>
      <c r="IAG5" s="390"/>
      <c r="IAH5" s="390"/>
      <c r="IAI5" s="390"/>
      <c r="IAJ5" s="390"/>
      <c r="IAK5" s="390"/>
      <c r="IAL5" s="390"/>
      <c r="IAM5" s="390"/>
      <c r="IAN5" s="390"/>
      <c r="IAO5" s="390"/>
      <c r="IAP5" s="390"/>
      <c r="IAQ5" s="390"/>
      <c r="IAR5" s="390"/>
      <c r="IAS5" s="390"/>
      <c r="IAT5" s="390"/>
      <c r="IAU5" s="390"/>
      <c r="IAV5" s="390"/>
      <c r="IAW5" s="390"/>
      <c r="IAX5" s="390"/>
      <c r="IAY5" s="390"/>
      <c r="IAZ5" s="390"/>
      <c r="IBA5" s="390"/>
      <c r="IBB5" s="390"/>
      <c r="IBC5" s="390"/>
      <c r="IBD5" s="390"/>
      <c r="IBE5" s="390"/>
      <c r="IBF5" s="390"/>
      <c r="IBG5" s="390"/>
      <c r="IBH5" s="390"/>
      <c r="IBI5" s="390"/>
      <c r="IBJ5" s="390"/>
      <c r="IBK5" s="390"/>
      <c r="IBL5" s="390"/>
      <c r="IBM5" s="390"/>
      <c r="IBN5" s="390"/>
      <c r="IBO5" s="390"/>
      <c r="IBP5" s="390"/>
      <c r="IBQ5" s="390"/>
      <c r="IBR5" s="390"/>
      <c r="IBS5" s="390"/>
      <c r="IBT5" s="390"/>
      <c r="IBU5" s="390"/>
      <c r="IBV5" s="390"/>
      <c r="IBW5" s="390"/>
      <c r="IBX5" s="390"/>
      <c r="IBY5" s="390"/>
      <c r="IBZ5" s="390"/>
      <c r="ICA5" s="390"/>
      <c r="ICB5" s="390"/>
      <c r="ICC5" s="390"/>
      <c r="ICD5" s="390"/>
      <c r="ICE5" s="390"/>
      <c r="ICF5" s="390"/>
      <c r="ICG5" s="390"/>
      <c r="ICH5" s="390"/>
      <c r="ICI5" s="390"/>
      <c r="ICJ5" s="390"/>
      <c r="ICK5" s="390"/>
      <c r="ICL5" s="390"/>
      <c r="ICM5" s="390"/>
      <c r="ICN5" s="390"/>
      <c r="ICO5" s="390"/>
      <c r="ICP5" s="390"/>
      <c r="ICQ5" s="390"/>
      <c r="ICR5" s="390"/>
      <c r="ICS5" s="390"/>
      <c r="ICT5" s="390"/>
      <c r="ICU5" s="390"/>
      <c r="ICV5" s="390"/>
      <c r="ICW5" s="390"/>
      <c r="ICX5" s="390"/>
      <c r="ICY5" s="390"/>
      <c r="ICZ5" s="390"/>
      <c r="IDA5" s="390"/>
      <c r="IDB5" s="390"/>
      <c r="IDC5" s="390"/>
      <c r="IDD5" s="390"/>
      <c r="IDE5" s="390"/>
      <c r="IDF5" s="390"/>
      <c r="IDG5" s="390"/>
      <c r="IDH5" s="390"/>
      <c r="IDI5" s="390"/>
      <c r="IDJ5" s="390"/>
      <c r="IDK5" s="390"/>
      <c r="IDL5" s="390"/>
      <c r="IDM5" s="390"/>
      <c r="IDN5" s="390"/>
      <c r="IDO5" s="390"/>
      <c r="IDP5" s="390"/>
      <c r="IDQ5" s="390"/>
      <c r="IDR5" s="390"/>
      <c r="IDS5" s="390"/>
      <c r="IDT5" s="390"/>
      <c r="IDU5" s="390"/>
      <c r="IDV5" s="390"/>
      <c r="IDW5" s="390"/>
      <c r="IDX5" s="390"/>
      <c r="IDY5" s="390"/>
      <c r="IDZ5" s="390"/>
      <c r="IEA5" s="390"/>
      <c r="IEB5" s="390"/>
      <c r="IEC5" s="390"/>
      <c r="IED5" s="390"/>
      <c r="IEE5" s="390"/>
      <c r="IEF5" s="390"/>
      <c r="IEG5" s="390"/>
      <c r="IEH5" s="390"/>
      <c r="IEI5" s="390"/>
      <c r="IEJ5" s="390"/>
      <c r="IEK5" s="390"/>
      <c r="IEL5" s="390"/>
      <c r="IEM5" s="390"/>
      <c r="IEN5" s="390"/>
      <c r="IEO5" s="390"/>
      <c r="IEP5" s="390"/>
      <c r="IEQ5" s="390"/>
      <c r="IER5" s="390"/>
      <c r="IES5" s="390"/>
      <c r="IET5" s="390"/>
      <c r="IEU5" s="390"/>
      <c r="IEV5" s="390"/>
      <c r="IEW5" s="390"/>
      <c r="IEX5" s="390"/>
      <c r="IEY5" s="390"/>
      <c r="IEZ5" s="390"/>
      <c r="IFA5" s="390"/>
      <c r="IFB5" s="390"/>
      <c r="IFC5" s="390"/>
      <c r="IFD5" s="390"/>
      <c r="IFE5" s="390"/>
      <c r="IFF5" s="390"/>
      <c r="IFG5" s="390"/>
      <c r="IFH5" s="390"/>
      <c r="IFI5" s="390"/>
      <c r="IFJ5" s="390"/>
      <c r="IFK5" s="390"/>
      <c r="IFL5" s="390"/>
      <c r="IFM5" s="390"/>
      <c r="IFN5" s="390"/>
      <c r="IFO5" s="390"/>
      <c r="IFP5" s="390"/>
      <c r="IFQ5" s="390"/>
      <c r="IFR5" s="390"/>
      <c r="IFS5" s="390"/>
      <c r="IFT5" s="390"/>
      <c r="IFU5" s="390"/>
      <c r="IFV5" s="390"/>
      <c r="IFW5" s="390"/>
      <c r="IFX5" s="390"/>
      <c r="IFY5" s="390"/>
      <c r="IFZ5" s="390"/>
      <c r="IGA5" s="390"/>
      <c r="IGB5" s="390"/>
      <c r="IGC5" s="390"/>
      <c r="IGD5" s="390"/>
      <c r="IGE5" s="390"/>
      <c r="IGF5" s="390"/>
      <c r="IGG5" s="390"/>
      <c r="IGH5" s="390"/>
      <c r="IGI5" s="390"/>
      <c r="IGJ5" s="390"/>
      <c r="IGK5" s="390"/>
      <c r="IGL5" s="390"/>
      <c r="IGM5" s="390"/>
      <c r="IGN5" s="390"/>
      <c r="IGO5" s="390"/>
      <c r="IGP5" s="390"/>
      <c r="IGQ5" s="390"/>
      <c r="IGR5" s="390"/>
      <c r="IGS5" s="390"/>
      <c r="IGT5" s="390"/>
      <c r="IGU5" s="390"/>
      <c r="IGV5" s="390"/>
      <c r="IGW5" s="390"/>
      <c r="IGX5" s="390"/>
      <c r="IGY5" s="390"/>
      <c r="IGZ5" s="390"/>
      <c r="IHA5" s="390"/>
      <c r="IHB5" s="390"/>
      <c r="IHC5" s="390"/>
      <c r="IHD5" s="390"/>
      <c r="IHE5" s="390"/>
      <c r="IHF5" s="390"/>
      <c r="IHG5" s="390"/>
      <c r="IHH5" s="390"/>
      <c r="IHI5" s="390"/>
      <c r="IHJ5" s="390"/>
      <c r="IHK5" s="390"/>
      <c r="IHL5" s="390"/>
      <c r="IHM5" s="390"/>
      <c r="IHN5" s="390"/>
      <c r="IHO5" s="390"/>
      <c r="IHP5" s="390"/>
      <c r="IHQ5" s="390"/>
      <c r="IHR5" s="390"/>
      <c r="IHS5" s="390"/>
      <c r="IHT5" s="390"/>
      <c r="IHU5" s="390"/>
      <c r="IHV5" s="390"/>
      <c r="IHW5" s="390"/>
      <c r="IHX5" s="390"/>
      <c r="IHY5" s="390"/>
      <c r="IHZ5" s="390"/>
      <c r="IIA5" s="390"/>
      <c r="IIB5" s="390"/>
      <c r="IIC5" s="390"/>
      <c r="IID5" s="390"/>
      <c r="IIE5" s="390"/>
      <c r="IIF5" s="390"/>
      <c r="IIG5" s="390"/>
      <c r="IIH5" s="390"/>
      <c r="III5" s="390"/>
      <c r="IIJ5" s="390"/>
      <c r="IIK5" s="390"/>
      <c r="IIL5" s="390"/>
      <c r="IIM5" s="390"/>
      <c r="IIN5" s="390"/>
      <c r="IIO5" s="390"/>
      <c r="IIP5" s="390"/>
      <c r="IIQ5" s="390"/>
      <c r="IIR5" s="390"/>
      <c r="IIS5" s="390"/>
      <c r="IIT5" s="390"/>
      <c r="IIU5" s="390"/>
      <c r="IIV5" s="390"/>
      <c r="IIW5" s="390"/>
      <c r="IIX5" s="390"/>
      <c r="IIY5" s="390"/>
      <c r="IIZ5" s="390"/>
      <c r="IJA5" s="390"/>
      <c r="IJB5" s="390"/>
      <c r="IJC5" s="390"/>
      <c r="IJD5" s="390"/>
      <c r="IJE5" s="390"/>
      <c r="IJF5" s="390"/>
      <c r="IJG5" s="390"/>
      <c r="IJH5" s="390"/>
      <c r="IJI5" s="390"/>
      <c r="IJJ5" s="390"/>
      <c r="IJK5" s="390"/>
      <c r="IJL5" s="390"/>
      <c r="IJM5" s="390"/>
      <c r="IJN5" s="390"/>
      <c r="IJO5" s="390"/>
      <c r="IJP5" s="390"/>
      <c r="IJQ5" s="390"/>
      <c r="IJR5" s="390"/>
      <c r="IJS5" s="390"/>
      <c r="IJT5" s="390"/>
      <c r="IJU5" s="390"/>
      <c r="IJV5" s="390"/>
      <c r="IJW5" s="390"/>
      <c r="IJX5" s="390"/>
      <c r="IJY5" s="390"/>
      <c r="IJZ5" s="390"/>
      <c r="IKA5" s="390"/>
      <c r="IKB5" s="390"/>
      <c r="IKC5" s="390"/>
      <c r="IKD5" s="390"/>
      <c r="IKE5" s="390"/>
      <c r="IKF5" s="390"/>
      <c r="IKG5" s="390"/>
      <c r="IKH5" s="390"/>
      <c r="IKI5" s="390"/>
      <c r="IKJ5" s="390"/>
      <c r="IKK5" s="390"/>
      <c r="IKL5" s="390"/>
      <c r="IKM5" s="390"/>
      <c r="IKN5" s="390"/>
      <c r="IKO5" s="390"/>
      <c r="IKP5" s="390"/>
      <c r="IKQ5" s="390"/>
      <c r="IKR5" s="390"/>
      <c r="IKS5" s="390"/>
      <c r="IKT5" s="390"/>
      <c r="IKU5" s="390"/>
      <c r="IKV5" s="390"/>
      <c r="IKW5" s="390"/>
      <c r="IKX5" s="390"/>
      <c r="IKY5" s="390"/>
      <c r="IKZ5" s="390"/>
      <c r="ILA5" s="390"/>
      <c r="ILB5" s="390"/>
      <c r="ILC5" s="390"/>
      <c r="ILD5" s="390"/>
      <c r="ILE5" s="390"/>
      <c r="ILF5" s="390"/>
      <c r="ILG5" s="390"/>
      <c r="ILH5" s="390"/>
      <c r="ILI5" s="390"/>
      <c r="ILJ5" s="390"/>
      <c r="ILK5" s="390"/>
      <c r="ILL5" s="390"/>
      <c r="ILM5" s="390"/>
      <c r="ILN5" s="390"/>
      <c r="ILO5" s="390"/>
      <c r="ILP5" s="390"/>
      <c r="ILQ5" s="390"/>
      <c r="ILR5" s="390"/>
      <c r="ILS5" s="390"/>
      <c r="ILT5" s="390"/>
      <c r="ILU5" s="390"/>
      <c r="ILV5" s="390"/>
      <c r="ILW5" s="390"/>
      <c r="ILX5" s="390"/>
      <c r="ILY5" s="390"/>
      <c r="ILZ5" s="390"/>
      <c r="IMA5" s="390"/>
      <c r="IMB5" s="390"/>
      <c r="IMC5" s="390"/>
      <c r="IMD5" s="390"/>
      <c r="IME5" s="390"/>
      <c r="IMF5" s="390"/>
      <c r="IMG5" s="390"/>
      <c r="IMH5" s="390"/>
      <c r="IMI5" s="390"/>
      <c r="IMJ5" s="390"/>
      <c r="IMK5" s="390"/>
      <c r="IML5" s="390"/>
      <c r="IMM5" s="390"/>
      <c r="IMN5" s="390"/>
      <c r="IMO5" s="390"/>
      <c r="IMP5" s="390"/>
      <c r="IMQ5" s="390"/>
      <c r="IMR5" s="390"/>
      <c r="IMS5" s="390"/>
      <c r="IMT5" s="390"/>
      <c r="IMU5" s="390"/>
      <c r="IMV5" s="390"/>
      <c r="IMW5" s="390"/>
      <c r="IMX5" s="390"/>
      <c r="IMY5" s="390"/>
      <c r="IMZ5" s="390"/>
      <c r="INA5" s="390"/>
      <c r="INB5" s="390"/>
      <c r="INC5" s="390"/>
      <c r="IND5" s="390"/>
      <c r="INE5" s="390"/>
      <c r="INF5" s="390"/>
      <c r="ING5" s="390"/>
      <c r="INH5" s="390"/>
      <c r="INI5" s="390"/>
      <c r="INJ5" s="390"/>
      <c r="INK5" s="390"/>
      <c r="INL5" s="390"/>
      <c r="INM5" s="390"/>
      <c r="INN5" s="390"/>
      <c r="INO5" s="390"/>
      <c r="INP5" s="390"/>
      <c r="INQ5" s="390"/>
      <c r="INR5" s="390"/>
      <c r="INS5" s="390"/>
      <c r="INT5" s="390"/>
      <c r="INU5" s="390"/>
      <c r="INV5" s="390"/>
      <c r="INW5" s="390"/>
      <c r="INX5" s="390"/>
      <c r="INY5" s="390"/>
      <c r="INZ5" s="390"/>
      <c r="IOA5" s="390"/>
      <c r="IOB5" s="390"/>
      <c r="IOC5" s="390"/>
      <c r="IOD5" s="390"/>
      <c r="IOE5" s="390"/>
      <c r="IOF5" s="390"/>
      <c r="IOG5" s="390"/>
      <c r="IOH5" s="390"/>
      <c r="IOI5" s="390"/>
      <c r="IOJ5" s="390"/>
      <c r="IOK5" s="390"/>
      <c r="IOL5" s="390"/>
      <c r="IOM5" s="390"/>
      <c r="ION5" s="390"/>
      <c r="IOO5" s="390"/>
      <c r="IOP5" s="390"/>
      <c r="IOQ5" s="390"/>
      <c r="IOR5" s="390"/>
      <c r="IOS5" s="390"/>
      <c r="IOT5" s="390"/>
      <c r="IOU5" s="390"/>
      <c r="IOV5" s="390"/>
      <c r="IOW5" s="390"/>
      <c r="IOX5" s="390"/>
      <c r="IOY5" s="390"/>
      <c r="IOZ5" s="390"/>
      <c r="IPA5" s="390"/>
      <c r="IPB5" s="390"/>
      <c r="IPC5" s="390"/>
      <c r="IPD5" s="390"/>
      <c r="IPE5" s="390"/>
      <c r="IPF5" s="390"/>
      <c r="IPG5" s="390"/>
      <c r="IPH5" s="390"/>
      <c r="IPI5" s="390"/>
      <c r="IPJ5" s="390"/>
      <c r="IPK5" s="390"/>
      <c r="IPL5" s="390"/>
      <c r="IPM5" s="390"/>
      <c r="IPN5" s="390"/>
      <c r="IPO5" s="390"/>
      <c r="IPP5" s="390"/>
      <c r="IPQ5" s="390"/>
      <c r="IPR5" s="390"/>
      <c r="IPS5" s="390"/>
      <c r="IPT5" s="390"/>
      <c r="IPU5" s="390"/>
      <c r="IPV5" s="390"/>
      <c r="IPW5" s="390"/>
      <c r="IPX5" s="390"/>
      <c r="IPY5" s="390"/>
      <c r="IPZ5" s="390"/>
      <c r="IQA5" s="390"/>
      <c r="IQB5" s="390"/>
      <c r="IQC5" s="390"/>
      <c r="IQD5" s="390"/>
      <c r="IQE5" s="390"/>
      <c r="IQF5" s="390"/>
      <c r="IQG5" s="390"/>
      <c r="IQH5" s="390"/>
      <c r="IQI5" s="390"/>
      <c r="IQJ5" s="390"/>
      <c r="IQK5" s="390"/>
      <c r="IQL5" s="390"/>
      <c r="IQM5" s="390"/>
      <c r="IQN5" s="390"/>
      <c r="IQO5" s="390"/>
      <c r="IQP5" s="390"/>
      <c r="IQQ5" s="390"/>
      <c r="IQR5" s="390"/>
      <c r="IQS5" s="390"/>
      <c r="IQT5" s="390"/>
      <c r="IQU5" s="390"/>
      <c r="IQV5" s="390"/>
      <c r="IQW5" s="390"/>
      <c r="IQX5" s="390"/>
      <c r="IQY5" s="390"/>
      <c r="IQZ5" s="390"/>
      <c r="IRA5" s="390"/>
      <c r="IRB5" s="390"/>
      <c r="IRC5" s="390"/>
      <c r="IRD5" s="390"/>
      <c r="IRE5" s="390"/>
      <c r="IRF5" s="390"/>
      <c r="IRG5" s="390"/>
      <c r="IRH5" s="390"/>
      <c r="IRI5" s="390"/>
      <c r="IRJ5" s="390"/>
      <c r="IRK5" s="390"/>
      <c r="IRL5" s="390"/>
      <c r="IRM5" s="390"/>
      <c r="IRN5" s="390"/>
      <c r="IRO5" s="390"/>
      <c r="IRP5" s="390"/>
      <c r="IRQ5" s="390"/>
      <c r="IRR5" s="390"/>
      <c r="IRS5" s="390"/>
      <c r="IRT5" s="390"/>
      <c r="IRU5" s="390"/>
      <c r="IRV5" s="390"/>
      <c r="IRW5" s="390"/>
      <c r="IRX5" s="390"/>
      <c r="IRY5" s="390"/>
      <c r="IRZ5" s="390"/>
      <c r="ISA5" s="390"/>
      <c r="ISB5" s="390"/>
      <c r="ISC5" s="390"/>
      <c r="ISD5" s="390"/>
      <c r="ISE5" s="390"/>
      <c r="ISF5" s="390"/>
      <c r="ISG5" s="390"/>
      <c r="ISH5" s="390"/>
      <c r="ISI5" s="390"/>
      <c r="ISJ5" s="390"/>
      <c r="ISK5" s="390"/>
      <c r="ISL5" s="390"/>
      <c r="ISM5" s="390"/>
      <c r="ISN5" s="390"/>
      <c r="ISO5" s="390"/>
      <c r="ISP5" s="390"/>
      <c r="ISQ5" s="390"/>
      <c r="ISR5" s="390"/>
      <c r="ISS5" s="390"/>
      <c r="IST5" s="390"/>
      <c r="ISU5" s="390"/>
      <c r="ISV5" s="390"/>
      <c r="ISW5" s="390"/>
      <c r="ISX5" s="390"/>
      <c r="ISY5" s="390"/>
      <c r="ISZ5" s="390"/>
      <c r="ITA5" s="390"/>
      <c r="ITB5" s="390"/>
      <c r="ITC5" s="390"/>
      <c r="ITD5" s="390"/>
      <c r="ITE5" s="390"/>
      <c r="ITF5" s="390"/>
      <c r="ITG5" s="390"/>
      <c r="ITH5" s="390"/>
      <c r="ITI5" s="390"/>
      <c r="ITJ5" s="390"/>
      <c r="ITK5" s="390"/>
      <c r="ITL5" s="390"/>
      <c r="ITM5" s="390"/>
      <c r="ITN5" s="390"/>
      <c r="ITO5" s="390"/>
      <c r="ITP5" s="390"/>
      <c r="ITQ5" s="390"/>
      <c r="ITR5" s="390"/>
      <c r="ITS5" s="390"/>
      <c r="ITT5" s="390"/>
      <c r="ITU5" s="390"/>
      <c r="ITV5" s="390"/>
      <c r="ITW5" s="390"/>
      <c r="ITX5" s="390"/>
      <c r="ITY5" s="390"/>
      <c r="ITZ5" s="390"/>
      <c r="IUA5" s="390"/>
      <c r="IUB5" s="390"/>
      <c r="IUC5" s="390"/>
      <c r="IUD5" s="390"/>
      <c r="IUE5" s="390"/>
      <c r="IUF5" s="390"/>
      <c r="IUG5" s="390"/>
      <c r="IUH5" s="390"/>
      <c r="IUI5" s="390"/>
      <c r="IUJ5" s="390"/>
      <c r="IUK5" s="390"/>
      <c r="IUL5" s="390"/>
      <c r="IUM5" s="390"/>
      <c r="IUN5" s="390"/>
      <c r="IUO5" s="390"/>
      <c r="IUP5" s="390"/>
      <c r="IUQ5" s="390"/>
      <c r="IUR5" s="390"/>
      <c r="IUS5" s="390"/>
      <c r="IUT5" s="390"/>
      <c r="IUU5" s="390"/>
      <c r="IUV5" s="390"/>
      <c r="IUW5" s="390"/>
      <c r="IUX5" s="390"/>
      <c r="IUY5" s="390"/>
      <c r="IUZ5" s="390"/>
      <c r="IVA5" s="390"/>
      <c r="IVB5" s="390"/>
      <c r="IVC5" s="390"/>
      <c r="IVD5" s="390"/>
      <c r="IVE5" s="390"/>
      <c r="IVF5" s="390"/>
      <c r="IVG5" s="390"/>
      <c r="IVH5" s="390"/>
      <c r="IVI5" s="390"/>
      <c r="IVJ5" s="390"/>
      <c r="IVK5" s="390"/>
      <c r="IVL5" s="390"/>
      <c r="IVM5" s="390"/>
      <c r="IVN5" s="390"/>
      <c r="IVO5" s="390"/>
      <c r="IVP5" s="390"/>
      <c r="IVQ5" s="390"/>
      <c r="IVR5" s="390"/>
      <c r="IVS5" s="390"/>
      <c r="IVT5" s="390"/>
      <c r="IVU5" s="390"/>
      <c r="IVV5" s="390"/>
      <c r="IVW5" s="390"/>
      <c r="IVX5" s="390"/>
      <c r="IVY5" s="390"/>
      <c r="IVZ5" s="390"/>
      <c r="IWA5" s="390"/>
      <c r="IWB5" s="390"/>
      <c r="IWC5" s="390"/>
      <c r="IWD5" s="390"/>
      <c r="IWE5" s="390"/>
      <c r="IWF5" s="390"/>
      <c r="IWG5" s="390"/>
      <c r="IWH5" s="390"/>
      <c r="IWI5" s="390"/>
      <c r="IWJ5" s="390"/>
      <c r="IWK5" s="390"/>
      <c r="IWL5" s="390"/>
      <c r="IWM5" s="390"/>
      <c r="IWN5" s="390"/>
      <c r="IWO5" s="390"/>
      <c r="IWP5" s="390"/>
      <c r="IWQ5" s="390"/>
      <c r="IWR5" s="390"/>
      <c r="IWS5" s="390"/>
      <c r="IWT5" s="390"/>
      <c r="IWU5" s="390"/>
      <c r="IWV5" s="390"/>
      <c r="IWW5" s="390"/>
      <c r="IWX5" s="390"/>
      <c r="IWY5" s="390"/>
      <c r="IWZ5" s="390"/>
      <c r="IXA5" s="390"/>
      <c r="IXB5" s="390"/>
      <c r="IXC5" s="390"/>
      <c r="IXD5" s="390"/>
      <c r="IXE5" s="390"/>
      <c r="IXF5" s="390"/>
      <c r="IXG5" s="390"/>
      <c r="IXH5" s="390"/>
      <c r="IXI5" s="390"/>
      <c r="IXJ5" s="390"/>
      <c r="IXK5" s="390"/>
      <c r="IXL5" s="390"/>
      <c r="IXM5" s="390"/>
      <c r="IXN5" s="390"/>
      <c r="IXO5" s="390"/>
      <c r="IXP5" s="390"/>
      <c r="IXQ5" s="390"/>
      <c r="IXR5" s="390"/>
      <c r="IXS5" s="390"/>
      <c r="IXT5" s="390"/>
      <c r="IXU5" s="390"/>
      <c r="IXV5" s="390"/>
      <c r="IXW5" s="390"/>
      <c r="IXX5" s="390"/>
      <c r="IXY5" s="390"/>
      <c r="IXZ5" s="390"/>
      <c r="IYA5" s="390"/>
      <c r="IYB5" s="390"/>
      <c r="IYC5" s="390"/>
      <c r="IYD5" s="390"/>
      <c r="IYE5" s="390"/>
      <c r="IYF5" s="390"/>
      <c r="IYG5" s="390"/>
      <c r="IYH5" s="390"/>
      <c r="IYI5" s="390"/>
      <c r="IYJ5" s="390"/>
      <c r="IYK5" s="390"/>
      <c r="IYL5" s="390"/>
      <c r="IYM5" s="390"/>
      <c r="IYN5" s="390"/>
      <c r="IYO5" s="390"/>
      <c r="IYP5" s="390"/>
      <c r="IYQ5" s="390"/>
      <c r="IYR5" s="390"/>
      <c r="IYS5" s="390"/>
      <c r="IYT5" s="390"/>
      <c r="IYU5" s="390"/>
      <c r="IYV5" s="390"/>
      <c r="IYW5" s="390"/>
      <c r="IYX5" s="390"/>
      <c r="IYY5" s="390"/>
      <c r="IYZ5" s="390"/>
      <c r="IZA5" s="390"/>
      <c r="IZB5" s="390"/>
      <c r="IZC5" s="390"/>
      <c r="IZD5" s="390"/>
      <c r="IZE5" s="390"/>
      <c r="IZF5" s="390"/>
      <c r="IZG5" s="390"/>
      <c r="IZH5" s="390"/>
      <c r="IZI5" s="390"/>
      <c r="IZJ5" s="390"/>
      <c r="IZK5" s="390"/>
      <c r="IZL5" s="390"/>
      <c r="IZM5" s="390"/>
      <c r="IZN5" s="390"/>
      <c r="IZO5" s="390"/>
      <c r="IZP5" s="390"/>
      <c r="IZQ5" s="390"/>
      <c r="IZR5" s="390"/>
      <c r="IZS5" s="390"/>
      <c r="IZT5" s="390"/>
      <c r="IZU5" s="390"/>
      <c r="IZV5" s="390"/>
      <c r="IZW5" s="390"/>
      <c r="IZX5" s="390"/>
      <c r="IZY5" s="390"/>
      <c r="IZZ5" s="390"/>
      <c r="JAA5" s="390"/>
      <c r="JAB5" s="390"/>
      <c r="JAC5" s="390"/>
      <c r="JAD5" s="390"/>
      <c r="JAE5" s="390"/>
      <c r="JAF5" s="390"/>
      <c r="JAG5" s="390"/>
      <c r="JAH5" s="390"/>
      <c r="JAI5" s="390"/>
      <c r="JAJ5" s="390"/>
      <c r="JAK5" s="390"/>
      <c r="JAL5" s="390"/>
      <c r="JAM5" s="390"/>
      <c r="JAN5" s="390"/>
      <c r="JAO5" s="390"/>
      <c r="JAP5" s="390"/>
      <c r="JAQ5" s="390"/>
      <c r="JAR5" s="390"/>
      <c r="JAS5" s="390"/>
      <c r="JAT5" s="390"/>
      <c r="JAU5" s="390"/>
      <c r="JAV5" s="390"/>
      <c r="JAW5" s="390"/>
      <c r="JAX5" s="390"/>
      <c r="JAY5" s="390"/>
      <c r="JAZ5" s="390"/>
      <c r="JBA5" s="390"/>
      <c r="JBB5" s="390"/>
      <c r="JBC5" s="390"/>
      <c r="JBD5" s="390"/>
      <c r="JBE5" s="390"/>
      <c r="JBF5" s="390"/>
      <c r="JBG5" s="390"/>
      <c r="JBH5" s="390"/>
      <c r="JBI5" s="390"/>
      <c r="JBJ5" s="390"/>
      <c r="JBK5" s="390"/>
      <c r="JBL5" s="390"/>
      <c r="JBM5" s="390"/>
      <c r="JBN5" s="390"/>
      <c r="JBO5" s="390"/>
      <c r="JBP5" s="390"/>
      <c r="JBQ5" s="390"/>
      <c r="JBR5" s="390"/>
      <c r="JBS5" s="390"/>
      <c r="JBT5" s="390"/>
      <c r="JBU5" s="390"/>
      <c r="JBV5" s="390"/>
      <c r="JBW5" s="390"/>
      <c r="JBX5" s="390"/>
      <c r="JBY5" s="390"/>
      <c r="JBZ5" s="390"/>
      <c r="JCA5" s="390"/>
      <c r="JCB5" s="390"/>
      <c r="JCC5" s="390"/>
      <c r="JCD5" s="390"/>
      <c r="JCE5" s="390"/>
      <c r="JCF5" s="390"/>
      <c r="JCG5" s="390"/>
      <c r="JCH5" s="390"/>
      <c r="JCI5" s="390"/>
      <c r="JCJ5" s="390"/>
      <c r="JCK5" s="390"/>
      <c r="JCL5" s="390"/>
      <c r="JCM5" s="390"/>
      <c r="JCN5" s="390"/>
      <c r="JCO5" s="390"/>
      <c r="JCP5" s="390"/>
      <c r="JCQ5" s="390"/>
      <c r="JCR5" s="390"/>
      <c r="JCS5" s="390"/>
      <c r="JCT5" s="390"/>
      <c r="JCU5" s="390"/>
      <c r="JCV5" s="390"/>
      <c r="JCW5" s="390"/>
      <c r="JCX5" s="390"/>
      <c r="JCY5" s="390"/>
      <c r="JCZ5" s="390"/>
      <c r="JDA5" s="390"/>
      <c r="JDB5" s="390"/>
      <c r="JDC5" s="390"/>
      <c r="JDD5" s="390"/>
      <c r="JDE5" s="390"/>
      <c r="JDF5" s="390"/>
      <c r="JDG5" s="390"/>
      <c r="JDH5" s="390"/>
      <c r="JDI5" s="390"/>
      <c r="JDJ5" s="390"/>
      <c r="JDK5" s="390"/>
      <c r="JDL5" s="390"/>
      <c r="JDM5" s="390"/>
      <c r="JDN5" s="390"/>
      <c r="JDO5" s="390"/>
      <c r="JDP5" s="390"/>
      <c r="JDQ5" s="390"/>
      <c r="JDR5" s="390"/>
      <c r="JDS5" s="390"/>
      <c r="JDT5" s="390"/>
      <c r="JDU5" s="390"/>
      <c r="JDV5" s="390"/>
      <c r="JDW5" s="390"/>
      <c r="JDX5" s="390"/>
      <c r="JDY5" s="390"/>
      <c r="JDZ5" s="390"/>
      <c r="JEA5" s="390"/>
      <c r="JEB5" s="390"/>
      <c r="JEC5" s="390"/>
      <c r="JED5" s="390"/>
      <c r="JEE5" s="390"/>
      <c r="JEF5" s="390"/>
      <c r="JEG5" s="390"/>
      <c r="JEH5" s="390"/>
      <c r="JEI5" s="390"/>
      <c r="JEJ5" s="390"/>
      <c r="JEK5" s="390"/>
      <c r="JEL5" s="390"/>
      <c r="JEM5" s="390"/>
      <c r="JEN5" s="390"/>
      <c r="JEO5" s="390"/>
      <c r="JEP5" s="390"/>
      <c r="JEQ5" s="390"/>
      <c r="JER5" s="390"/>
      <c r="JES5" s="390"/>
      <c r="JET5" s="390"/>
      <c r="JEU5" s="390"/>
      <c r="JEV5" s="390"/>
      <c r="JEW5" s="390"/>
      <c r="JEX5" s="390"/>
      <c r="JEY5" s="390"/>
      <c r="JEZ5" s="390"/>
      <c r="JFA5" s="390"/>
      <c r="JFB5" s="390"/>
      <c r="JFC5" s="390"/>
      <c r="JFD5" s="390"/>
      <c r="JFE5" s="390"/>
      <c r="JFF5" s="390"/>
      <c r="JFG5" s="390"/>
      <c r="JFH5" s="390"/>
      <c r="JFI5" s="390"/>
      <c r="JFJ5" s="390"/>
      <c r="JFK5" s="390"/>
      <c r="JFL5" s="390"/>
      <c r="JFM5" s="390"/>
      <c r="JFN5" s="390"/>
      <c r="JFO5" s="390"/>
      <c r="JFP5" s="390"/>
      <c r="JFQ5" s="390"/>
      <c r="JFR5" s="390"/>
      <c r="JFS5" s="390"/>
      <c r="JFT5" s="390"/>
      <c r="JFU5" s="390"/>
      <c r="JFV5" s="390"/>
      <c r="JFW5" s="390"/>
      <c r="JFX5" s="390"/>
      <c r="JFY5" s="390"/>
      <c r="JFZ5" s="390"/>
      <c r="JGA5" s="390"/>
      <c r="JGB5" s="390"/>
      <c r="JGC5" s="390"/>
      <c r="JGD5" s="390"/>
      <c r="JGE5" s="390"/>
      <c r="JGF5" s="390"/>
      <c r="JGG5" s="390"/>
      <c r="JGH5" s="390"/>
      <c r="JGI5" s="390"/>
      <c r="JGJ5" s="390"/>
      <c r="JGK5" s="390"/>
      <c r="JGL5" s="390"/>
      <c r="JGM5" s="390"/>
      <c r="JGN5" s="390"/>
      <c r="JGO5" s="390"/>
      <c r="JGP5" s="390"/>
      <c r="JGQ5" s="390"/>
      <c r="JGR5" s="390"/>
      <c r="JGS5" s="390"/>
      <c r="JGT5" s="390"/>
      <c r="JGU5" s="390"/>
      <c r="JGV5" s="390"/>
      <c r="JGW5" s="390"/>
      <c r="JGX5" s="390"/>
      <c r="JGY5" s="390"/>
      <c r="JGZ5" s="390"/>
      <c r="JHA5" s="390"/>
      <c r="JHB5" s="390"/>
      <c r="JHC5" s="390"/>
      <c r="JHD5" s="390"/>
      <c r="JHE5" s="390"/>
      <c r="JHF5" s="390"/>
      <c r="JHG5" s="390"/>
      <c r="JHH5" s="390"/>
      <c r="JHI5" s="390"/>
      <c r="JHJ5" s="390"/>
      <c r="JHK5" s="390"/>
      <c r="JHL5" s="390"/>
      <c r="JHM5" s="390"/>
      <c r="JHN5" s="390"/>
      <c r="JHO5" s="390"/>
      <c r="JHP5" s="390"/>
      <c r="JHQ5" s="390"/>
      <c r="JHR5" s="390"/>
      <c r="JHS5" s="390"/>
      <c r="JHT5" s="390"/>
      <c r="JHU5" s="390"/>
      <c r="JHV5" s="390"/>
      <c r="JHW5" s="390"/>
      <c r="JHX5" s="390"/>
      <c r="JHY5" s="390"/>
      <c r="JHZ5" s="390"/>
      <c r="JIA5" s="390"/>
      <c r="JIB5" s="390"/>
      <c r="JIC5" s="390"/>
      <c r="JID5" s="390"/>
      <c r="JIE5" s="390"/>
      <c r="JIF5" s="390"/>
      <c r="JIG5" s="390"/>
      <c r="JIH5" s="390"/>
      <c r="JII5" s="390"/>
      <c r="JIJ5" s="390"/>
      <c r="JIK5" s="390"/>
      <c r="JIL5" s="390"/>
      <c r="JIM5" s="390"/>
      <c r="JIN5" s="390"/>
      <c r="JIO5" s="390"/>
      <c r="JIP5" s="390"/>
      <c r="JIQ5" s="390"/>
      <c r="JIR5" s="390"/>
      <c r="JIS5" s="390"/>
      <c r="JIT5" s="390"/>
      <c r="JIU5" s="390"/>
      <c r="JIV5" s="390"/>
      <c r="JIW5" s="390"/>
      <c r="JIX5" s="390"/>
      <c r="JIY5" s="390"/>
      <c r="JIZ5" s="390"/>
      <c r="JJA5" s="390"/>
      <c r="JJB5" s="390"/>
      <c r="JJC5" s="390"/>
      <c r="JJD5" s="390"/>
      <c r="JJE5" s="390"/>
      <c r="JJF5" s="390"/>
      <c r="JJG5" s="390"/>
      <c r="JJH5" s="390"/>
      <c r="JJI5" s="390"/>
      <c r="JJJ5" s="390"/>
      <c r="JJK5" s="390"/>
      <c r="JJL5" s="390"/>
      <c r="JJM5" s="390"/>
      <c r="JJN5" s="390"/>
      <c r="JJO5" s="390"/>
      <c r="JJP5" s="390"/>
      <c r="JJQ5" s="390"/>
      <c r="JJR5" s="390"/>
      <c r="JJS5" s="390"/>
      <c r="JJT5" s="390"/>
      <c r="JJU5" s="390"/>
      <c r="JJV5" s="390"/>
      <c r="JJW5" s="390"/>
      <c r="JJX5" s="390"/>
      <c r="JJY5" s="390"/>
      <c r="JJZ5" s="390"/>
      <c r="JKA5" s="390"/>
      <c r="JKB5" s="390"/>
      <c r="JKC5" s="390"/>
      <c r="JKD5" s="390"/>
      <c r="JKE5" s="390"/>
      <c r="JKF5" s="390"/>
      <c r="JKG5" s="390"/>
      <c r="JKH5" s="390"/>
      <c r="JKI5" s="390"/>
      <c r="JKJ5" s="390"/>
      <c r="JKK5" s="390"/>
      <c r="JKL5" s="390"/>
      <c r="JKM5" s="390"/>
      <c r="JKN5" s="390"/>
      <c r="JKO5" s="390"/>
      <c r="JKP5" s="390"/>
      <c r="JKQ5" s="390"/>
      <c r="JKR5" s="390"/>
      <c r="JKS5" s="390"/>
      <c r="JKT5" s="390"/>
      <c r="JKU5" s="390"/>
      <c r="JKV5" s="390"/>
      <c r="JKW5" s="390"/>
      <c r="JKX5" s="390"/>
      <c r="JKY5" s="390"/>
      <c r="JKZ5" s="390"/>
      <c r="JLA5" s="390"/>
      <c r="JLB5" s="390"/>
      <c r="JLC5" s="390"/>
      <c r="JLD5" s="390"/>
      <c r="JLE5" s="390"/>
      <c r="JLF5" s="390"/>
      <c r="JLG5" s="390"/>
      <c r="JLH5" s="390"/>
      <c r="JLI5" s="390"/>
      <c r="JLJ5" s="390"/>
      <c r="JLK5" s="390"/>
      <c r="JLL5" s="390"/>
      <c r="JLM5" s="390"/>
      <c r="JLN5" s="390"/>
      <c r="JLO5" s="390"/>
      <c r="JLP5" s="390"/>
      <c r="JLQ5" s="390"/>
      <c r="JLR5" s="390"/>
      <c r="JLS5" s="390"/>
      <c r="JLT5" s="390"/>
      <c r="JLU5" s="390"/>
      <c r="JLV5" s="390"/>
      <c r="JLW5" s="390"/>
      <c r="JLX5" s="390"/>
      <c r="JLY5" s="390"/>
      <c r="JLZ5" s="390"/>
      <c r="JMA5" s="390"/>
      <c r="JMB5" s="390"/>
      <c r="JMC5" s="390"/>
      <c r="JMD5" s="390"/>
      <c r="JME5" s="390"/>
      <c r="JMF5" s="390"/>
      <c r="JMG5" s="390"/>
      <c r="JMH5" s="390"/>
      <c r="JMI5" s="390"/>
      <c r="JMJ5" s="390"/>
      <c r="JMK5" s="390"/>
      <c r="JML5" s="390"/>
      <c r="JMM5" s="390"/>
      <c r="JMN5" s="390"/>
      <c r="JMO5" s="390"/>
      <c r="JMP5" s="390"/>
      <c r="JMQ5" s="390"/>
      <c r="JMR5" s="390"/>
      <c r="JMS5" s="390"/>
      <c r="JMT5" s="390"/>
      <c r="JMU5" s="390"/>
      <c r="JMV5" s="390"/>
      <c r="JMW5" s="390"/>
      <c r="JMX5" s="390"/>
      <c r="JMY5" s="390"/>
      <c r="JMZ5" s="390"/>
      <c r="JNA5" s="390"/>
      <c r="JNB5" s="390"/>
      <c r="JNC5" s="390"/>
      <c r="JND5" s="390"/>
      <c r="JNE5" s="390"/>
      <c r="JNF5" s="390"/>
      <c r="JNG5" s="390"/>
      <c r="JNH5" s="390"/>
      <c r="JNI5" s="390"/>
      <c r="JNJ5" s="390"/>
      <c r="JNK5" s="390"/>
      <c r="JNL5" s="390"/>
      <c r="JNM5" s="390"/>
      <c r="JNN5" s="390"/>
      <c r="JNO5" s="390"/>
      <c r="JNP5" s="390"/>
      <c r="JNQ5" s="390"/>
      <c r="JNR5" s="390"/>
      <c r="JNS5" s="390"/>
      <c r="JNT5" s="390"/>
      <c r="JNU5" s="390"/>
      <c r="JNV5" s="390"/>
      <c r="JNW5" s="390"/>
      <c r="JNX5" s="390"/>
      <c r="JNY5" s="390"/>
      <c r="JNZ5" s="390"/>
      <c r="JOA5" s="390"/>
      <c r="JOB5" s="390"/>
      <c r="JOC5" s="390"/>
      <c r="JOD5" s="390"/>
      <c r="JOE5" s="390"/>
      <c r="JOF5" s="390"/>
      <c r="JOG5" s="390"/>
      <c r="JOH5" s="390"/>
      <c r="JOI5" s="390"/>
      <c r="JOJ5" s="390"/>
      <c r="JOK5" s="390"/>
      <c r="JOL5" s="390"/>
      <c r="JOM5" s="390"/>
      <c r="JON5" s="390"/>
      <c r="JOO5" s="390"/>
      <c r="JOP5" s="390"/>
      <c r="JOQ5" s="390"/>
      <c r="JOR5" s="390"/>
      <c r="JOS5" s="390"/>
      <c r="JOT5" s="390"/>
      <c r="JOU5" s="390"/>
      <c r="JOV5" s="390"/>
      <c r="JOW5" s="390"/>
      <c r="JOX5" s="390"/>
      <c r="JOY5" s="390"/>
      <c r="JOZ5" s="390"/>
      <c r="JPA5" s="390"/>
      <c r="JPB5" s="390"/>
      <c r="JPC5" s="390"/>
      <c r="JPD5" s="390"/>
      <c r="JPE5" s="390"/>
      <c r="JPF5" s="390"/>
      <c r="JPG5" s="390"/>
      <c r="JPH5" s="390"/>
      <c r="JPI5" s="390"/>
      <c r="JPJ5" s="390"/>
      <c r="JPK5" s="390"/>
      <c r="JPL5" s="390"/>
      <c r="JPM5" s="390"/>
      <c r="JPN5" s="390"/>
      <c r="JPO5" s="390"/>
      <c r="JPP5" s="390"/>
      <c r="JPQ5" s="390"/>
      <c r="JPR5" s="390"/>
      <c r="JPS5" s="390"/>
      <c r="JPT5" s="390"/>
      <c r="JPU5" s="390"/>
      <c r="JPV5" s="390"/>
      <c r="JPW5" s="390"/>
      <c r="JPX5" s="390"/>
      <c r="JPY5" s="390"/>
      <c r="JPZ5" s="390"/>
      <c r="JQA5" s="390"/>
      <c r="JQB5" s="390"/>
      <c r="JQC5" s="390"/>
      <c r="JQD5" s="390"/>
      <c r="JQE5" s="390"/>
      <c r="JQF5" s="390"/>
      <c r="JQG5" s="390"/>
      <c r="JQH5" s="390"/>
      <c r="JQI5" s="390"/>
      <c r="JQJ5" s="390"/>
      <c r="JQK5" s="390"/>
      <c r="JQL5" s="390"/>
      <c r="JQM5" s="390"/>
      <c r="JQN5" s="390"/>
      <c r="JQO5" s="390"/>
      <c r="JQP5" s="390"/>
      <c r="JQQ5" s="390"/>
      <c r="JQR5" s="390"/>
      <c r="JQS5" s="390"/>
      <c r="JQT5" s="390"/>
      <c r="JQU5" s="390"/>
      <c r="JQV5" s="390"/>
      <c r="JQW5" s="390"/>
      <c r="JQX5" s="390"/>
      <c r="JQY5" s="390"/>
      <c r="JQZ5" s="390"/>
      <c r="JRA5" s="390"/>
      <c r="JRB5" s="390"/>
      <c r="JRC5" s="390"/>
      <c r="JRD5" s="390"/>
      <c r="JRE5" s="390"/>
      <c r="JRF5" s="390"/>
      <c r="JRG5" s="390"/>
      <c r="JRH5" s="390"/>
      <c r="JRI5" s="390"/>
      <c r="JRJ5" s="390"/>
      <c r="JRK5" s="390"/>
      <c r="JRL5" s="390"/>
      <c r="JRM5" s="390"/>
      <c r="JRN5" s="390"/>
      <c r="JRO5" s="390"/>
      <c r="JRP5" s="390"/>
      <c r="JRQ5" s="390"/>
      <c r="JRR5" s="390"/>
      <c r="JRS5" s="390"/>
      <c r="JRT5" s="390"/>
      <c r="JRU5" s="390"/>
      <c r="JRV5" s="390"/>
      <c r="JRW5" s="390"/>
      <c r="JRX5" s="390"/>
      <c r="JRY5" s="390"/>
      <c r="JRZ5" s="390"/>
      <c r="JSA5" s="390"/>
      <c r="JSB5" s="390"/>
      <c r="JSC5" s="390"/>
      <c r="JSD5" s="390"/>
      <c r="JSE5" s="390"/>
      <c r="JSF5" s="390"/>
      <c r="JSG5" s="390"/>
      <c r="JSH5" s="390"/>
      <c r="JSI5" s="390"/>
      <c r="JSJ5" s="390"/>
      <c r="JSK5" s="390"/>
      <c r="JSL5" s="390"/>
      <c r="JSM5" s="390"/>
      <c r="JSN5" s="390"/>
      <c r="JSO5" s="390"/>
      <c r="JSP5" s="390"/>
      <c r="JSQ5" s="390"/>
      <c r="JSR5" s="390"/>
      <c r="JSS5" s="390"/>
      <c r="JST5" s="390"/>
      <c r="JSU5" s="390"/>
      <c r="JSV5" s="390"/>
      <c r="JSW5" s="390"/>
      <c r="JSX5" s="390"/>
      <c r="JSY5" s="390"/>
      <c r="JSZ5" s="390"/>
      <c r="JTA5" s="390"/>
      <c r="JTB5" s="390"/>
      <c r="JTC5" s="390"/>
      <c r="JTD5" s="390"/>
      <c r="JTE5" s="390"/>
      <c r="JTF5" s="390"/>
      <c r="JTG5" s="390"/>
      <c r="JTH5" s="390"/>
      <c r="JTI5" s="390"/>
      <c r="JTJ5" s="390"/>
      <c r="JTK5" s="390"/>
      <c r="JTL5" s="390"/>
      <c r="JTM5" s="390"/>
      <c r="JTN5" s="390"/>
      <c r="JTO5" s="390"/>
      <c r="JTP5" s="390"/>
      <c r="JTQ5" s="390"/>
      <c r="JTR5" s="390"/>
      <c r="JTS5" s="390"/>
      <c r="JTT5" s="390"/>
      <c r="JTU5" s="390"/>
      <c r="JTV5" s="390"/>
      <c r="JTW5" s="390"/>
      <c r="JTX5" s="390"/>
      <c r="JTY5" s="390"/>
      <c r="JTZ5" s="390"/>
      <c r="JUA5" s="390"/>
      <c r="JUB5" s="390"/>
      <c r="JUC5" s="390"/>
      <c r="JUD5" s="390"/>
      <c r="JUE5" s="390"/>
      <c r="JUF5" s="390"/>
      <c r="JUG5" s="390"/>
      <c r="JUH5" s="390"/>
      <c r="JUI5" s="390"/>
      <c r="JUJ5" s="390"/>
      <c r="JUK5" s="390"/>
      <c r="JUL5" s="390"/>
      <c r="JUM5" s="390"/>
      <c r="JUN5" s="390"/>
      <c r="JUO5" s="390"/>
      <c r="JUP5" s="390"/>
      <c r="JUQ5" s="390"/>
      <c r="JUR5" s="390"/>
      <c r="JUS5" s="390"/>
      <c r="JUT5" s="390"/>
      <c r="JUU5" s="390"/>
      <c r="JUV5" s="390"/>
      <c r="JUW5" s="390"/>
      <c r="JUX5" s="390"/>
      <c r="JUY5" s="390"/>
      <c r="JUZ5" s="390"/>
      <c r="JVA5" s="390"/>
      <c r="JVB5" s="390"/>
      <c r="JVC5" s="390"/>
      <c r="JVD5" s="390"/>
      <c r="JVE5" s="390"/>
      <c r="JVF5" s="390"/>
      <c r="JVG5" s="390"/>
      <c r="JVH5" s="390"/>
      <c r="JVI5" s="390"/>
      <c r="JVJ5" s="390"/>
      <c r="JVK5" s="390"/>
      <c r="JVL5" s="390"/>
      <c r="JVM5" s="390"/>
      <c r="JVN5" s="390"/>
      <c r="JVO5" s="390"/>
      <c r="JVP5" s="390"/>
      <c r="JVQ5" s="390"/>
      <c r="JVR5" s="390"/>
      <c r="JVS5" s="390"/>
      <c r="JVT5" s="390"/>
      <c r="JVU5" s="390"/>
      <c r="JVV5" s="390"/>
      <c r="JVW5" s="390"/>
      <c r="JVX5" s="390"/>
      <c r="JVY5" s="390"/>
      <c r="JVZ5" s="390"/>
      <c r="JWA5" s="390"/>
      <c r="JWB5" s="390"/>
      <c r="JWC5" s="390"/>
      <c r="JWD5" s="390"/>
      <c r="JWE5" s="390"/>
      <c r="JWF5" s="390"/>
      <c r="JWG5" s="390"/>
      <c r="JWH5" s="390"/>
      <c r="JWI5" s="390"/>
      <c r="JWJ5" s="390"/>
      <c r="JWK5" s="390"/>
      <c r="JWL5" s="390"/>
      <c r="JWM5" s="390"/>
      <c r="JWN5" s="390"/>
      <c r="JWO5" s="390"/>
      <c r="JWP5" s="390"/>
      <c r="JWQ5" s="390"/>
      <c r="JWR5" s="390"/>
      <c r="JWS5" s="390"/>
      <c r="JWT5" s="390"/>
      <c r="JWU5" s="390"/>
      <c r="JWV5" s="390"/>
      <c r="JWW5" s="390"/>
      <c r="JWX5" s="390"/>
      <c r="JWY5" s="390"/>
      <c r="JWZ5" s="390"/>
      <c r="JXA5" s="390"/>
      <c r="JXB5" s="390"/>
      <c r="JXC5" s="390"/>
      <c r="JXD5" s="390"/>
      <c r="JXE5" s="390"/>
      <c r="JXF5" s="390"/>
      <c r="JXG5" s="390"/>
      <c r="JXH5" s="390"/>
      <c r="JXI5" s="390"/>
      <c r="JXJ5" s="390"/>
      <c r="JXK5" s="390"/>
      <c r="JXL5" s="390"/>
      <c r="JXM5" s="390"/>
      <c r="JXN5" s="390"/>
      <c r="JXO5" s="390"/>
      <c r="JXP5" s="390"/>
      <c r="JXQ5" s="390"/>
      <c r="JXR5" s="390"/>
      <c r="JXS5" s="390"/>
      <c r="JXT5" s="390"/>
      <c r="JXU5" s="390"/>
      <c r="JXV5" s="390"/>
      <c r="JXW5" s="390"/>
      <c r="JXX5" s="390"/>
      <c r="JXY5" s="390"/>
      <c r="JXZ5" s="390"/>
      <c r="JYA5" s="390"/>
      <c r="JYB5" s="390"/>
      <c r="JYC5" s="390"/>
      <c r="JYD5" s="390"/>
      <c r="JYE5" s="390"/>
      <c r="JYF5" s="390"/>
      <c r="JYG5" s="390"/>
      <c r="JYH5" s="390"/>
      <c r="JYI5" s="390"/>
      <c r="JYJ5" s="390"/>
      <c r="JYK5" s="390"/>
      <c r="JYL5" s="390"/>
      <c r="JYM5" s="390"/>
      <c r="JYN5" s="390"/>
      <c r="JYO5" s="390"/>
      <c r="JYP5" s="390"/>
      <c r="JYQ5" s="390"/>
      <c r="JYR5" s="390"/>
      <c r="JYS5" s="390"/>
      <c r="JYT5" s="390"/>
      <c r="JYU5" s="390"/>
      <c r="JYV5" s="390"/>
      <c r="JYW5" s="390"/>
      <c r="JYX5" s="390"/>
      <c r="JYY5" s="390"/>
      <c r="JYZ5" s="390"/>
      <c r="JZA5" s="390"/>
      <c r="JZB5" s="390"/>
      <c r="JZC5" s="390"/>
      <c r="JZD5" s="390"/>
      <c r="JZE5" s="390"/>
      <c r="JZF5" s="390"/>
      <c r="JZG5" s="390"/>
      <c r="JZH5" s="390"/>
      <c r="JZI5" s="390"/>
      <c r="JZJ5" s="390"/>
      <c r="JZK5" s="390"/>
      <c r="JZL5" s="390"/>
      <c r="JZM5" s="390"/>
      <c r="JZN5" s="390"/>
      <c r="JZO5" s="390"/>
      <c r="JZP5" s="390"/>
      <c r="JZQ5" s="390"/>
      <c r="JZR5" s="390"/>
      <c r="JZS5" s="390"/>
      <c r="JZT5" s="390"/>
      <c r="JZU5" s="390"/>
      <c r="JZV5" s="390"/>
      <c r="JZW5" s="390"/>
      <c r="JZX5" s="390"/>
      <c r="JZY5" s="390"/>
      <c r="JZZ5" s="390"/>
      <c r="KAA5" s="390"/>
      <c r="KAB5" s="390"/>
      <c r="KAC5" s="390"/>
      <c r="KAD5" s="390"/>
      <c r="KAE5" s="390"/>
      <c r="KAF5" s="390"/>
      <c r="KAG5" s="390"/>
      <c r="KAH5" s="390"/>
      <c r="KAI5" s="390"/>
      <c r="KAJ5" s="390"/>
      <c r="KAK5" s="390"/>
      <c r="KAL5" s="390"/>
      <c r="KAM5" s="390"/>
      <c r="KAN5" s="390"/>
      <c r="KAO5" s="390"/>
      <c r="KAP5" s="390"/>
      <c r="KAQ5" s="390"/>
      <c r="KAR5" s="390"/>
      <c r="KAS5" s="390"/>
      <c r="KAT5" s="390"/>
      <c r="KAU5" s="390"/>
      <c r="KAV5" s="390"/>
      <c r="KAW5" s="390"/>
      <c r="KAX5" s="390"/>
      <c r="KAY5" s="390"/>
      <c r="KAZ5" s="390"/>
      <c r="KBA5" s="390"/>
      <c r="KBB5" s="390"/>
      <c r="KBC5" s="390"/>
      <c r="KBD5" s="390"/>
      <c r="KBE5" s="390"/>
      <c r="KBF5" s="390"/>
      <c r="KBG5" s="390"/>
      <c r="KBH5" s="390"/>
      <c r="KBI5" s="390"/>
      <c r="KBJ5" s="390"/>
      <c r="KBK5" s="390"/>
      <c r="KBL5" s="390"/>
      <c r="KBM5" s="390"/>
      <c r="KBN5" s="390"/>
      <c r="KBO5" s="390"/>
      <c r="KBP5" s="390"/>
      <c r="KBQ5" s="390"/>
      <c r="KBR5" s="390"/>
      <c r="KBS5" s="390"/>
      <c r="KBT5" s="390"/>
      <c r="KBU5" s="390"/>
      <c r="KBV5" s="390"/>
      <c r="KBW5" s="390"/>
      <c r="KBX5" s="390"/>
      <c r="KBY5" s="390"/>
      <c r="KBZ5" s="390"/>
      <c r="KCA5" s="390"/>
      <c r="KCB5" s="390"/>
      <c r="KCC5" s="390"/>
      <c r="KCD5" s="390"/>
      <c r="KCE5" s="390"/>
      <c r="KCF5" s="390"/>
      <c r="KCG5" s="390"/>
      <c r="KCH5" s="390"/>
      <c r="KCI5" s="390"/>
      <c r="KCJ5" s="390"/>
      <c r="KCK5" s="390"/>
      <c r="KCL5" s="390"/>
      <c r="KCM5" s="390"/>
      <c r="KCN5" s="390"/>
      <c r="KCO5" s="390"/>
      <c r="KCP5" s="390"/>
      <c r="KCQ5" s="390"/>
      <c r="KCR5" s="390"/>
      <c r="KCS5" s="390"/>
      <c r="KCT5" s="390"/>
      <c r="KCU5" s="390"/>
      <c r="KCV5" s="390"/>
      <c r="KCW5" s="390"/>
      <c r="KCX5" s="390"/>
      <c r="KCY5" s="390"/>
      <c r="KCZ5" s="390"/>
      <c r="KDA5" s="390"/>
      <c r="KDB5" s="390"/>
      <c r="KDC5" s="390"/>
      <c r="KDD5" s="390"/>
      <c r="KDE5" s="390"/>
      <c r="KDF5" s="390"/>
      <c r="KDG5" s="390"/>
      <c r="KDH5" s="390"/>
      <c r="KDI5" s="390"/>
      <c r="KDJ5" s="390"/>
      <c r="KDK5" s="390"/>
      <c r="KDL5" s="390"/>
      <c r="KDM5" s="390"/>
      <c r="KDN5" s="390"/>
      <c r="KDO5" s="390"/>
      <c r="KDP5" s="390"/>
      <c r="KDQ5" s="390"/>
      <c r="KDR5" s="390"/>
      <c r="KDS5" s="390"/>
      <c r="KDT5" s="390"/>
      <c r="KDU5" s="390"/>
      <c r="KDV5" s="390"/>
      <c r="KDW5" s="390"/>
      <c r="KDX5" s="390"/>
      <c r="KDY5" s="390"/>
      <c r="KDZ5" s="390"/>
      <c r="KEA5" s="390"/>
      <c r="KEB5" s="390"/>
      <c r="KEC5" s="390"/>
      <c r="KED5" s="390"/>
      <c r="KEE5" s="390"/>
      <c r="KEF5" s="390"/>
      <c r="KEG5" s="390"/>
      <c r="KEH5" s="390"/>
      <c r="KEI5" s="390"/>
      <c r="KEJ5" s="390"/>
      <c r="KEK5" s="390"/>
      <c r="KEL5" s="390"/>
      <c r="KEM5" s="390"/>
      <c r="KEN5" s="390"/>
      <c r="KEO5" s="390"/>
      <c r="KEP5" s="390"/>
      <c r="KEQ5" s="390"/>
      <c r="KER5" s="390"/>
      <c r="KES5" s="390"/>
      <c r="KET5" s="390"/>
      <c r="KEU5" s="390"/>
      <c r="KEV5" s="390"/>
      <c r="KEW5" s="390"/>
      <c r="KEX5" s="390"/>
      <c r="KEY5" s="390"/>
      <c r="KEZ5" s="390"/>
      <c r="KFA5" s="390"/>
      <c r="KFB5" s="390"/>
      <c r="KFC5" s="390"/>
      <c r="KFD5" s="390"/>
      <c r="KFE5" s="390"/>
      <c r="KFF5" s="390"/>
      <c r="KFG5" s="390"/>
      <c r="KFH5" s="390"/>
      <c r="KFI5" s="390"/>
      <c r="KFJ5" s="390"/>
      <c r="KFK5" s="390"/>
      <c r="KFL5" s="390"/>
      <c r="KFM5" s="390"/>
      <c r="KFN5" s="390"/>
      <c r="KFO5" s="390"/>
      <c r="KFP5" s="390"/>
      <c r="KFQ5" s="390"/>
      <c r="KFR5" s="390"/>
      <c r="KFS5" s="390"/>
      <c r="KFT5" s="390"/>
      <c r="KFU5" s="390"/>
      <c r="KFV5" s="390"/>
      <c r="KFW5" s="390"/>
      <c r="KFX5" s="390"/>
      <c r="KFY5" s="390"/>
      <c r="KFZ5" s="390"/>
      <c r="KGA5" s="390"/>
      <c r="KGB5" s="390"/>
      <c r="KGC5" s="390"/>
      <c r="KGD5" s="390"/>
      <c r="KGE5" s="390"/>
      <c r="KGF5" s="390"/>
      <c r="KGG5" s="390"/>
      <c r="KGH5" s="390"/>
      <c r="KGI5" s="390"/>
      <c r="KGJ5" s="390"/>
      <c r="KGK5" s="390"/>
      <c r="KGL5" s="390"/>
      <c r="KGM5" s="390"/>
      <c r="KGN5" s="390"/>
      <c r="KGO5" s="390"/>
      <c r="KGP5" s="390"/>
      <c r="KGQ5" s="390"/>
      <c r="KGR5" s="390"/>
      <c r="KGS5" s="390"/>
      <c r="KGT5" s="390"/>
      <c r="KGU5" s="390"/>
      <c r="KGV5" s="390"/>
      <c r="KGW5" s="390"/>
      <c r="KGX5" s="390"/>
      <c r="KGY5" s="390"/>
      <c r="KGZ5" s="390"/>
      <c r="KHA5" s="390"/>
      <c r="KHB5" s="390"/>
      <c r="KHC5" s="390"/>
      <c r="KHD5" s="390"/>
      <c r="KHE5" s="390"/>
      <c r="KHF5" s="390"/>
      <c r="KHG5" s="390"/>
      <c r="KHH5" s="390"/>
      <c r="KHI5" s="390"/>
      <c r="KHJ5" s="390"/>
      <c r="KHK5" s="390"/>
      <c r="KHL5" s="390"/>
      <c r="KHM5" s="390"/>
      <c r="KHN5" s="390"/>
      <c r="KHO5" s="390"/>
      <c r="KHP5" s="390"/>
      <c r="KHQ5" s="390"/>
      <c r="KHR5" s="390"/>
      <c r="KHS5" s="390"/>
      <c r="KHT5" s="390"/>
      <c r="KHU5" s="390"/>
      <c r="KHV5" s="390"/>
      <c r="KHW5" s="390"/>
      <c r="KHX5" s="390"/>
      <c r="KHY5" s="390"/>
      <c r="KHZ5" s="390"/>
      <c r="KIA5" s="390"/>
      <c r="KIB5" s="390"/>
      <c r="KIC5" s="390"/>
      <c r="KID5" s="390"/>
      <c r="KIE5" s="390"/>
      <c r="KIF5" s="390"/>
      <c r="KIG5" s="390"/>
      <c r="KIH5" s="390"/>
      <c r="KII5" s="390"/>
      <c r="KIJ5" s="390"/>
      <c r="KIK5" s="390"/>
      <c r="KIL5" s="390"/>
      <c r="KIM5" s="390"/>
      <c r="KIN5" s="390"/>
      <c r="KIO5" s="390"/>
      <c r="KIP5" s="390"/>
      <c r="KIQ5" s="390"/>
      <c r="KIR5" s="390"/>
      <c r="KIS5" s="390"/>
      <c r="KIT5" s="390"/>
      <c r="KIU5" s="390"/>
      <c r="KIV5" s="390"/>
      <c r="KIW5" s="390"/>
      <c r="KIX5" s="390"/>
      <c r="KIY5" s="390"/>
      <c r="KIZ5" s="390"/>
      <c r="KJA5" s="390"/>
      <c r="KJB5" s="390"/>
      <c r="KJC5" s="390"/>
      <c r="KJD5" s="390"/>
      <c r="KJE5" s="390"/>
      <c r="KJF5" s="390"/>
      <c r="KJG5" s="390"/>
      <c r="KJH5" s="390"/>
      <c r="KJI5" s="390"/>
      <c r="KJJ5" s="390"/>
      <c r="KJK5" s="390"/>
      <c r="KJL5" s="390"/>
      <c r="KJM5" s="390"/>
      <c r="KJN5" s="390"/>
      <c r="KJO5" s="390"/>
      <c r="KJP5" s="390"/>
      <c r="KJQ5" s="390"/>
      <c r="KJR5" s="390"/>
      <c r="KJS5" s="390"/>
      <c r="KJT5" s="390"/>
      <c r="KJU5" s="390"/>
      <c r="KJV5" s="390"/>
      <c r="KJW5" s="390"/>
      <c r="KJX5" s="390"/>
      <c r="KJY5" s="390"/>
      <c r="KJZ5" s="390"/>
      <c r="KKA5" s="390"/>
      <c r="KKB5" s="390"/>
      <c r="KKC5" s="390"/>
      <c r="KKD5" s="390"/>
      <c r="KKE5" s="390"/>
      <c r="KKF5" s="390"/>
      <c r="KKG5" s="390"/>
      <c r="KKH5" s="390"/>
      <c r="KKI5" s="390"/>
      <c r="KKJ5" s="390"/>
      <c r="KKK5" s="390"/>
      <c r="KKL5" s="390"/>
      <c r="KKM5" s="390"/>
      <c r="KKN5" s="390"/>
      <c r="KKO5" s="390"/>
      <c r="KKP5" s="390"/>
      <c r="KKQ5" s="390"/>
      <c r="KKR5" s="390"/>
      <c r="KKS5" s="390"/>
      <c r="KKT5" s="390"/>
      <c r="KKU5" s="390"/>
      <c r="KKV5" s="390"/>
      <c r="KKW5" s="390"/>
      <c r="KKX5" s="390"/>
      <c r="KKY5" s="390"/>
      <c r="KKZ5" s="390"/>
      <c r="KLA5" s="390"/>
      <c r="KLB5" s="390"/>
      <c r="KLC5" s="390"/>
      <c r="KLD5" s="390"/>
      <c r="KLE5" s="390"/>
      <c r="KLF5" s="390"/>
      <c r="KLG5" s="390"/>
      <c r="KLH5" s="390"/>
      <c r="KLI5" s="390"/>
      <c r="KLJ5" s="390"/>
      <c r="KLK5" s="390"/>
      <c r="KLL5" s="390"/>
      <c r="KLM5" s="390"/>
      <c r="KLN5" s="390"/>
      <c r="KLO5" s="390"/>
      <c r="KLP5" s="390"/>
      <c r="KLQ5" s="390"/>
      <c r="KLR5" s="390"/>
      <c r="KLS5" s="390"/>
      <c r="KLT5" s="390"/>
      <c r="KLU5" s="390"/>
      <c r="KLV5" s="390"/>
      <c r="KLW5" s="390"/>
      <c r="KLX5" s="390"/>
      <c r="KLY5" s="390"/>
      <c r="KLZ5" s="390"/>
      <c r="KMA5" s="390"/>
      <c r="KMB5" s="390"/>
      <c r="KMC5" s="390"/>
      <c r="KMD5" s="390"/>
      <c r="KME5" s="390"/>
      <c r="KMF5" s="390"/>
      <c r="KMG5" s="390"/>
      <c r="KMH5" s="390"/>
      <c r="KMI5" s="390"/>
      <c r="KMJ5" s="390"/>
      <c r="KMK5" s="390"/>
      <c r="KML5" s="390"/>
      <c r="KMM5" s="390"/>
      <c r="KMN5" s="390"/>
      <c r="KMO5" s="390"/>
      <c r="KMP5" s="390"/>
      <c r="KMQ5" s="390"/>
      <c r="KMR5" s="390"/>
      <c r="KMS5" s="390"/>
      <c r="KMT5" s="390"/>
      <c r="KMU5" s="390"/>
      <c r="KMV5" s="390"/>
      <c r="KMW5" s="390"/>
      <c r="KMX5" s="390"/>
      <c r="KMY5" s="390"/>
      <c r="KMZ5" s="390"/>
      <c r="KNA5" s="390"/>
      <c r="KNB5" s="390"/>
      <c r="KNC5" s="390"/>
      <c r="KND5" s="390"/>
      <c r="KNE5" s="390"/>
      <c r="KNF5" s="390"/>
      <c r="KNG5" s="390"/>
      <c r="KNH5" s="390"/>
      <c r="KNI5" s="390"/>
      <c r="KNJ5" s="390"/>
      <c r="KNK5" s="390"/>
      <c r="KNL5" s="390"/>
      <c r="KNM5" s="390"/>
      <c r="KNN5" s="390"/>
      <c r="KNO5" s="390"/>
      <c r="KNP5" s="390"/>
      <c r="KNQ5" s="390"/>
      <c r="KNR5" s="390"/>
      <c r="KNS5" s="390"/>
      <c r="KNT5" s="390"/>
      <c r="KNU5" s="390"/>
      <c r="KNV5" s="390"/>
      <c r="KNW5" s="390"/>
      <c r="KNX5" s="390"/>
      <c r="KNY5" s="390"/>
      <c r="KNZ5" s="390"/>
      <c r="KOA5" s="390"/>
      <c r="KOB5" s="390"/>
      <c r="KOC5" s="390"/>
      <c r="KOD5" s="390"/>
      <c r="KOE5" s="390"/>
      <c r="KOF5" s="390"/>
      <c r="KOG5" s="390"/>
      <c r="KOH5" s="390"/>
      <c r="KOI5" s="390"/>
      <c r="KOJ5" s="390"/>
      <c r="KOK5" s="390"/>
      <c r="KOL5" s="390"/>
      <c r="KOM5" s="390"/>
      <c r="KON5" s="390"/>
      <c r="KOO5" s="390"/>
      <c r="KOP5" s="390"/>
      <c r="KOQ5" s="390"/>
      <c r="KOR5" s="390"/>
      <c r="KOS5" s="390"/>
      <c r="KOT5" s="390"/>
      <c r="KOU5" s="390"/>
      <c r="KOV5" s="390"/>
      <c r="KOW5" s="390"/>
      <c r="KOX5" s="390"/>
      <c r="KOY5" s="390"/>
      <c r="KOZ5" s="390"/>
      <c r="KPA5" s="390"/>
      <c r="KPB5" s="390"/>
      <c r="KPC5" s="390"/>
      <c r="KPD5" s="390"/>
      <c r="KPE5" s="390"/>
      <c r="KPF5" s="390"/>
      <c r="KPG5" s="390"/>
      <c r="KPH5" s="390"/>
      <c r="KPI5" s="390"/>
      <c r="KPJ5" s="390"/>
      <c r="KPK5" s="390"/>
      <c r="KPL5" s="390"/>
      <c r="KPM5" s="390"/>
      <c r="KPN5" s="390"/>
      <c r="KPO5" s="390"/>
      <c r="KPP5" s="390"/>
      <c r="KPQ5" s="390"/>
      <c r="KPR5" s="390"/>
      <c r="KPS5" s="390"/>
      <c r="KPT5" s="390"/>
      <c r="KPU5" s="390"/>
      <c r="KPV5" s="390"/>
      <c r="KPW5" s="390"/>
      <c r="KPX5" s="390"/>
      <c r="KPY5" s="390"/>
      <c r="KPZ5" s="390"/>
      <c r="KQA5" s="390"/>
      <c r="KQB5" s="390"/>
      <c r="KQC5" s="390"/>
      <c r="KQD5" s="390"/>
      <c r="KQE5" s="390"/>
      <c r="KQF5" s="390"/>
      <c r="KQG5" s="390"/>
      <c r="KQH5" s="390"/>
      <c r="KQI5" s="390"/>
      <c r="KQJ5" s="390"/>
      <c r="KQK5" s="390"/>
      <c r="KQL5" s="390"/>
      <c r="KQM5" s="390"/>
      <c r="KQN5" s="390"/>
      <c r="KQO5" s="390"/>
      <c r="KQP5" s="390"/>
      <c r="KQQ5" s="390"/>
      <c r="KQR5" s="390"/>
      <c r="KQS5" s="390"/>
      <c r="KQT5" s="390"/>
      <c r="KQU5" s="390"/>
      <c r="KQV5" s="390"/>
      <c r="KQW5" s="390"/>
      <c r="KQX5" s="390"/>
      <c r="KQY5" s="390"/>
      <c r="KQZ5" s="390"/>
      <c r="KRA5" s="390"/>
      <c r="KRB5" s="390"/>
      <c r="KRC5" s="390"/>
      <c r="KRD5" s="390"/>
      <c r="KRE5" s="390"/>
      <c r="KRF5" s="390"/>
      <c r="KRG5" s="390"/>
      <c r="KRH5" s="390"/>
      <c r="KRI5" s="390"/>
      <c r="KRJ5" s="390"/>
      <c r="KRK5" s="390"/>
      <c r="KRL5" s="390"/>
      <c r="KRM5" s="390"/>
      <c r="KRN5" s="390"/>
      <c r="KRO5" s="390"/>
      <c r="KRP5" s="390"/>
      <c r="KRQ5" s="390"/>
      <c r="KRR5" s="390"/>
      <c r="KRS5" s="390"/>
      <c r="KRT5" s="390"/>
      <c r="KRU5" s="390"/>
      <c r="KRV5" s="390"/>
      <c r="KRW5" s="390"/>
      <c r="KRX5" s="390"/>
      <c r="KRY5" s="390"/>
      <c r="KRZ5" s="390"/>
      <c r="KSA5" s="390"/>
      <c r="KSB5" s="390"/>
      <c r="KSC5" s="390"/>
      <c r="KSD5" s="390"/>
      <c r="KSE5" s="390"/>
      <c r="KSF5" s="390"/>
      <c r="KSG5" s="390"/>
      <c r="KSH5" s="390"/>
      <c r="KSI5" s="390"/>
      <c r="KSJ5" s="390"/>
      <c r="KSK5" s="390"/>
      <c r="KSL5" s="390"/>
      <c r="KSM5" s="390"/>
      <c r="KSN5" s="390"/>
      <c r="KSO5" s="390"/>
      <c r="KSP5" s="390"/>
      <c r="KSQ5" s="390"/>
      <c r="KSR5" s="390"/>
      <c r="KSS5" s="390"/>
      <c r="KST5" s="390"/>
      <c r="KSU5" s="390"/>
      <c r="KSV5" s="390"/>
      <c r="KSW5" s="390"/>
      <c r="KSX5" s="390"/>
      <c r="KSY5" s="390"/>
      <c r="KSZ5" s="390"/>
      <c r="KTA5" s="390"/>
      <c r="KTB5" s="390"/>
      <c r="KTC5" s="390"/>
      <c r="KTD5" s="390"/>
      <c r="KTE5" s="390"/>
      <c r="KTF5" s="390"/>
      <c r="KTG5" s="390"/>
      <c r="KTH5" s="390"/>
      <c r="KTI5" s="390"/>
      <c r="KTJ5" s="390"/>
      <c r="KTK5" s="390"/>
      <c r="KTL5" s="390"/>
      <c r="KTM5" s="390"/>
      <c r="KTN5" s="390"/>
      <c r="KTO5" s="390"/>
      <c r="KTP5" s="390"/>
      <c r="KTQ5" s="390"/>
      <c r="KTR5" s="390"/>
      <c r="KTS5" s="390"/>
      <c r="KTT5" s="390"/>
      <c r="KTU5" s="390"/>
      <c r="KTV5" s="390"/>
      <c r="KTW5" s="390"/>
      <c r="KTX5" s="390"/>
      <c r="KTY5" s="390"/>
      <c r="KTZ5" s="390"/>
      <c r="KUA5" s="390"/>
      <c r="KUB5" s="390"/>
      <c r="KUC5" s="390"/>
      <c r="KUD5" s="390"/>
      <c r="KUE5" s="390"/>
      <c r="KUF5" s="390"/>
      <c r="KUG5" s="390"/>
      <c r="KUH5" s="390"/>
      <c r="KUI5" s="390"/>
      <c r="KUJ5" s="390"/>
      <c r="KUK5" s="390"/>
      <c r="KUL5" s="390"/>
      <c r="KUM5" s="390"/>
      <c r="KUN5" s="390"/>
      <c r="KUO5" s="390"/>
      <c r="KUP5" s="390"/>
      <c r="KUQ5" s="390"/>
      <c r="KUR5" s="390"/>
      <c r="KUS5" s="390"/>
      <c r="KUT5" s="390"/>
      <c r="KUU5" s="390"/>
      <c r="KUV5" s="390"/>
      <c r="KUW5" s="390"/>
      <c r="KUX5" s="390"/>
      <c r="KUY5" s="390"/>
      <c r="KUZ5" s="390"/>
      <c r="KVA5" s="390"/>
      <c r="KVB5" s="390"/>
      <c r="KVC5" s="390"/>
      <c r="KVD5" s="390"/>
      <c r="KVE5" s="390"/>
      <c r="KVF5" s="390"/>
      <c r="KVG5" s="390"/>
      <c r="KVH5" s="390"/>
      <c r="KVI5" s="390"/>
      <c r="KVJ5" s="390"/>
      <c r="KVK5" s="390"/>
      <c r="KVL5" s="390"/>
      <c r="KVM5" s="390"/>
      <c r="KVN5" s="390"/>
      <c r="KVO5" s="390"/>
      <c r="KVP5" s="390"/>
      <c r="KVQ5" s="390"/>
      <c r="KVR5" s="390"/>
      <c r="KVS5" s="390"/>
      <c r="KVT5" s="390"/>
      <c r="KVU5" s="390"/>
      <c r="KVV5" s="390"/>
      <c r="KVW5" s="390"/>
      <c r="KVX5" s="390"/>
      <c r="KVY5" s="390"/>
      <c r="KVZ5" s="390"/>
      <c r="KWA5" s="390"/>
      <c r="KWB5" s="390"/>
      <c r="KWC5" s="390"/>
      <c r="KWD5" s="390"/>
      <c r="KWE5" s="390"/>
      <c r="KWF5" s="390"/>
      <c r="KWG5" s="390"/>
      <c r="KWH5" s="390"/>
      <c r="KWI5" s="390"/>
      <c r="KWJ5" s="390"/>
      <c r="KWK5" s="390"/>
      <c r="KWL5" s="390"/>
      <c r="KWM5" s="390"/>
      <c r="KWN5" s="390"/>
      <c r="KWO5" s="390"/>
      <c r="KWP5" s="390"/>
      <c r="KWQ5" s="390"/>
      <c r="KWR5" s="390"/>
      <c r="KWS5" s="390"/>
      <c r="KWT5" s="390"/>
      <c r="KWU5" s="390"/>
      <c r="KWV5" s="390"/>
      <c r="KWW5" s="390"/>
      <c r="KWX5" s="390"/>
      <c r="KWY5" s="390"/>
      <c r="KWZ5" s="390"/>
      <c r="KXA5" s="390"/>
      <c r="KXB5" s="390"/>
      <c r="KXC5" s="390"/>
      <c r="KXD5" s="390"/>
      <c r="KXE5" s="390"/>
      <c r="KXF5" s="390"/>
      <c r="KXG5" s="390"/>
      <c r="KXH5" s="390"/>
      <c r="KXI5" s="390"/>
      <c r="KXJ5" s="390"/>
      <c r="KXK5" s="390"/>
      <c r="KXL5" s="390"/>
      <c r="KXM5" s="390"/>
      <c r="KXN5" s="390"/>
      <c r="KXO5" s="390"/>
      <c r="KXP5" s="390"/>
      <c r="KXQ5" s="390"/>
      <c r="KXR5" s="390"/>
      <c r="KXS5" s="390"/>
      <c r="KXT5" s="390"/>
      <c r="KXU5" s="390"/>
      <c r="KXV5" s="390"/>
      <c r="KXW5" s="390"/>
      <c r="KXX5" s="390"/>
      <c r="KXY5" s="390"/>
      <c r="KXZ5" s="390"/>
      <c r="KYA5" s="390"/>
      <c r="KYB5" s="390"/>
      <c r="KYC5" s="390"/>
      <c r="KYD5" s="390"/>
      <c r="KYE5" s="390"/>
      <c r="KYF5" s="390"/>
      <c r="KYG5" s="390"/>
      <c r="KYH5" s="390"/>
      <c r="KYI5" s="390"/>
      <c r="KYJ5" s="390"/>
      <c r="KYK5" s="390"/>
      <c r="KYL5" s="390"/>
      <c r="KYM5" s="390"/>
      <c r="KYN5" s="390"/>
      <c r="KYO5" s="390"/>
      <c r="KYP5" s="390"/>
      <c r="KYQ5" s="390"/>
      <c r="KYR5" s="390"/>
      <c r="KYS5" s="390"/>
      <c r="KYT5" s="390"/>
      <c r="KYU5" s="390"/>
      <c r="KYV5" s="390"/>
      <c r="KYW5" s="390"/>
      <c r="KYX5" s="390"/>
      <c r="KYY5" s="390"/>
      <c r="KYZ5" s="390"/>
      <c r="KZA5" s="390"/>
      <c r="KZB5" s="390"/>
      <c r="KZC5" s="390"/>
      <c r="KZD5" s="390"/>
      <c r="KZE5" s="390"/>
      <c r="KZF5" s="390"/>
      <c r="KZG5" s="390"/>
      <c r="KZH5" s="390"/>
      <c r="KZI5" s="390"/>
      <c r="KZJ5" s="390"/>
      <c r="KZK5" s="390"/>
      <c r="KZL5" s="390"/>
      <c r="KZM5" s="390"/>
      <c r="KZN5" s="390"/>
      <c r="KZO5" s="390"/>
      <c r="KZP5" s="390"/>
      <c r="KZQ5" s="390"/>
      <c r="KZR5" s="390"/>
      <c r="KZS5" s="390"/>
      <c r="KZT5" s="390"/>
      <c r="KZU5" s="390"/>
      <c r="KZV5" s="390"/>
      <c r="KZW5" s="390"/>
      <c r="KZX5" s="390"/>
      <c r="KZY5" s="390"/>
      <c r="KZZ5" s="390"/>
      <c r="LAA5" s="390"/>
      <c r="LAB5" s="390"/>
      <c r="LAC5" s="390"/>
      <c r="LAD5" s="390"/>
      <c r="LAE5" s="390"/>
      <c r="LAF5" s="390"/>
      <c r="LAG5" s="390"/>
      <c r="LAH5" s="390"/>
      <c r="LAI5" s="390"/>
      <c r="LAJ5" s="390"/>
      <c r="LAK5" s="390"/>
      <c r="LAL5" s="390"/>
      <c r="LAM5" s="390"/>
      <c r="LAN5" s="390"/>
      <c r="LAO5" s="390"/>
      <c r="LAP5" s="390"/>
      <c r="LAQ5" s="390"/>
      <c r="LAR5" s="390"/>
      <c r="LAS5" s="390"/>
      <c r="LAT5" s="390"/>
      <c r="LAU5" s="390"/>
      <c r="LAV5" s="390"/>
      <c r="LAW5" s="390"/>
      <c r="LAX5" s="390"/>
      <c r="LAY5" s="390"/>
      <c r="LAZ5" s="390"/>
      <c r="LBA5" s="390"/>
      <c r="LBB5" s="390"/>
      <c r="LBC5" s="390"/>
      <c r="LBD5" s="390"/>
      <c r="LBE5" s="390"/>
      <c r="LBF5" s="390"/>
      <c r="LBG5" s="390"/>
      <c r="LBH5" s="390"/>
      <c r="LBI5" s="390"/>
      <c r="LBJ5" s="390"/>
      <c r="LBK5" s="390"/>
      <c r="LBL5" s="390"/>
      <c r="LBM5" s="390"/>
      <c r="LBN5" s="390"/>
      <c r="LBO5" s="390"/>
      <c r="LBP5" s="390"/>
      <c r="LBQ5" s="390"/>
      <c r="LBR5" s="390"/>
      <c r="LBS5" s="390"/>
      <c r="LBT5" s="390"/>
      <c r="LBU5" s="390"/>
      <c r="LBV5" s="390"/>
      <c r="LBW5" s="390"/>
      <c r="LBX5" s="390"/>
      <c r="LBY5" s="390"/>
      <c r="LBZ5" s="390"/>
      <c r="LCA5" s="390"/>
      <c r="LCB5" s="390"/>
      <c r="LCC5" s="390"/>
      <c r="LCD5" s="390"/>
      <c r="LCE5" s="390"/>
      <c r="LCF5" s="390"/>
      <c r="LCG5" s="390"/>
      <c r="LCH5" s="390"/>
      <c r="LCI5" s="390"/>
      <c r="LCJ5" s="390"/>
      <c r="LCK5" s="390"/>
      <c r="LCL5" s="390"/>
      <c r="LCM5" s="390"/>
      <c r="LCN5" s="390"/>
      <c r="LCO5" s="390"/>
      <c r="LCP5" s="390"/>
      <c r="LCQ5" s="390"/>
      <c r="LCR5" s="390"/>
      <c r="LCS5" s="390"/>
      <c r="LCT5" s="390"/>
      <c r="LCU5" s="390"/>
      <c r="LCV5" s="390"/>
      <c r="LCW5" s="390"/>
      <c r="LCX5" s="390"/>
      <c r="LCY5" s="390"/>
      <c r="LCZ5" s="390"/>
      <c r="LDA5" s="390"/>
      <c r="LDB5" s="390"/>
      <c r="LDC5" s="390"/>
      <c r="LDD5" s="390"/>
      <c r="LDE5" s="390"/>
      <c r="LDF5" s="390"/>
      <c r="LDG5" s="390"/>
      <c r="LDH5" s="390"/>
      <c r="LDI5" s="390"/>
      <c r="LDJ5" s="390"/>
      <c r="LDK5" s="390"/>
      <c r="LDL5" s="390"/>
      <c r="LDM5" s="390"/>
      <c r="LDN5" s="390"/>
      <c r="LDO5" s="390"/>
      <c r="LDP5" s="390"/>
      <c r="LDQ5" s="390"/>
      <c r="LDR5" s="390"/>
      <c r="LDS5" s="390"/>
      <c r="LDT5" s="390"/>
      <c r="LDU5" s="390"/>
      <c r="LDV5" s="390"/>
      <c r="LDW5" s="390"/>
      <c r="LDX5" s="390"/>
      <c r="LDY5" s="390"/>
      <c r="LDZ5" s="390"/>
      <c r="LEA5" s="390"/>
      <c r="LEB5" s="390"/>
      <c r="LEC5" s="390"/>
      <c r="LED5" s="390"/>
      <c r="LEE5" s="390"/>
      <c r="LEF5" s="390"/>
      <c r="LEG5" s="390"/>
      <c r="LEH5" s="390"/>
      <c r="LEI5" s="390"/>
      <c r="LEJ5" s="390"/>
      <c r="LEK5" s="390"/>
      <c r="LEL5" s="390"/>
      <c r="LEM5" s="390"/>
      <c r="LEN5" s="390"/>
      <c r="LEO5" s="390"/>
      <c r="LEP5" s="390"/>
      <c r="LEQ5" s="390"/>
      <c r="LER5" s="390"/>
      <c r="LES5" s="390"/>
      <c r="LET5" s="390"/>
      <c r="LEU5" s="390"/>
      <c r="LEV5" s="390"/>
      <c r="LEW5" s="390"/>
      <c r="LEX5" s="390"/>
      <c r="LEY5" s="390"/>
      <c r="LEZ5" s="390"/>
      <c r="LFA5" s="390"/>
      <c r="LFB5" s="390"/>
      <c r="LFC5" s="390"/>
      <c r="LFD5" s="390"/>
      <c r="LFE5" s="390"/>
      <c r="LFF5" s="390"/>
      <c r="LFG5" s="390"/>
      <c r="LFH5" s="390"/>
      <c r="LFI5" s="390"/>
      <c r="LFJ5" s="390"/>
      <c r="LFK5" s="390"/>
      <c r="LFL5" s="390"/>
      <c r="LFM5" s="390"/>
      <c r="LFN5" s="390"/>
      <c r="LFO5" s="390"/>
      <c r="LFP5" s="390"/>
      <c r="LFQ5" s="390"/>
      <c r="LFR5" s="390"/>
      <c r="LFS5" s="390"/>
      <c r="LFT5" s="390"/>
      <c r="LFU5" s="390"/>
      <c r="LFV5" s="390"/>
      <c r="LFW5" s="390"/>
      <c r="LFX5" s="390"/>
      <c r="LFY5" s="390"/>
      <c r="LFZ5" s="390"/>
      <c r="LGA5" s="390"/>
      <c r="LGB5" s="390"/>
      <c r="LGC5" s="390"/>
      <c r="LGD5" s="390"/>
      <c r="LGE5" s="390"/>
      <c r="LGF5" s="390"/>
      <c r="LGG5" s="390"/>
      <c r="LGH5" s="390"/>
      <c r="LGI5" s="390"/>
      <c r="LGJ5" s="390"/>
      <c r="LGK5" s="390"/>
      <c r="LGL5" s="390"/>
      <c r="LGM5" s="390"/>
      <c r="LGN5" s="390"/>
      <c r="LGO5" s="390"/>
      <c r="LGP5" s="390"/>
      <c r="LGQ5" s="390"/>
      <c r="LGR5" s="390"/>
      <c r="LGS5" s="390"/>
      <c r="LGT5" s="390"/>
      <c r="LGU5" s="390"/>
      <c r="LGV5" s="390"/>
      <c r="LGW5" s="390"/>
      <c r="LGX5" s="390"/>
      <c r="LGY5" s="390"/>
      <c r="LGZ5" s="390"/>
      <c r="LHA5" s="390"/>
      <c r="LHB5" s="390"/>
      <c r="LHC5" s="390"/>
      <c r="LHD5" s="390"/>
      <c r="LHE5" s="390"/>
      <c r="LHF5" s="390"/>
      <c r="LHG5" s="390"/>
      <c r="LHH5" s="390"/>
      <c r="LHI5" s="390"/>
      <c r="LHJ5" s="390"/>
      <c r="LHK5" s="390"/>
      <c r="LHL5" s="390"/>
      <c r="LHM5" s="390"/>
      <c r="LHN5" s="390"/>
      <c r="LHO5" s="390"/>
      <c r="LHP5" s="390"/>
      <c r="LHQ5" s="390"/>
      <c r="LHR5" s="390"/>
      <c r="LHS5" s="390"/>
      <c r="LHT5" s="390"/>
      <c r="LHU5" s="390"/>
      <c r="LHV5" s="390"/>
      <c r="LHW5" s="390"/>
      <c r="LHX5" s="390"/>
      <c r="LHY5" s="390"/>
      <c r="LHZ5" s="390"/>
      <c r="LIA5" s="390"/>
      <c r="LIB5" s="390"/>
      <c r="LIC5" s="390"/>
      <c r="LID5" s="390"/>
      <c r="LIE5" s="390"/>
      <c r="LIF5" s="390"/>
      <c r="LIG5" s="390"/>
      <c r="LIH5" s="390"/>
      <c r="LII5" s="390"/>
      <c r="LIJ5" s="390"/>
      <c r="LIK5" s="390"/>
      <c r="LIL5" s="390"/>
      <c r="LIM5" s="390"/>
      <c r="LIN5" s="390"/>
      <c r="LIO5" s="390"/>
      <c r="LIP5" s="390"/>
      <c r="LIQ5" s="390"/>
      <c r="LIR5" s="390"/>
      <c r="LIS5" s="390"/>
      <c r="LIT5" s="390"/>
      <c r="LIU5" s="390"/>
      <c r="LIV5" s="390"/>
      <c r="LIW5" s="390"/>
      <c r="LIX5" s="390"/>
      <c r="LIY5" s="390"/>
      <c r="LIZ5" s="390"/>
      <c r="LJA5" s="390"/>
      <c r="LJB5" s="390"/>
      <c r="LJC5" s="390"/>
      <c r="LJD5" s="390"/>
      <c r="LJE5" s="390"/>
      <c r="LJF5" s="390"/>
      <c r="LJG5" s="390"/>
      <c r="LJH5" s="390"/>
      <c r="LJI5" s="390"/>
      <c r="LJJ5" s="390"/>
      <c r="LJK5" s="390"/>
      <c r="LJL5" s="390"/>
      <c r="LJM5" s="390"/>
      <c r="LJN5" s="390"/>
      <c r="LJO5" s="390"/>
      <c r="LJP5" s="390"/>
      <c r="LJQ5" s="390"/>
      <c r="LJR5" s="390"/>
      <c r="LJS5" s="390"/>
      <c r="LJT5" s="390"/>
      <c r="LJU5" s="390"/>
      <c r="LJV5" s="390"/>
      <c r="LJW5" s="390"/>
      <c r="LJX5" s="390"/>
      <c r="LJY5" s="390"/>
      <c r="LJZ5" s="390"/>
      <c r="LKA5" s="390"/>
      <c r="LKB5" s="390"/>
      <c r="LKC5" s="390"/>
      <c r="LKD5" s="390"/>
      <c r="LKE5" s="390"/>
      <c r="LKF5" s="390"/>
      <c r="LKG5" s="390"/>
      <c r="LKH5" s="390"/>
      <c r="LKI5" s="390"/>
      <c r="LKJ5" s="390"/>
      <c r="LKK5" s="390"/>
      <c r="LKL5" s="390"/>
      <c r="LKM5" s="390"/>
      <c r="LKN5" s="390"/>
      <c r="LKO5" s="390"/>
      <c r="LKP5" s="390"/>
      <c r="LKQ5" s="390"/>
      <c r="LKR5" s="390"/>
      <c r="LKS5" s="390"/>
      <c r="LKT5" s="390"/>
      <c r="LKU5" s="390"/>
      <c r="LKV5" s="390"/>
      <c r="LKW5" s="390"/>
      <c r="LKX5" s="390"/>
      <c r="LKY5" s="390"/>
      <c r="LKZ5" s="390"/>
      <c r="LLA5" s="390"/>
      <c r="LLB5" s="390"/>
      <c r="LLC5" s="390"/>
      <c r="LLD5" s="390"/>
      <c r="LLE5" s="390"/>
      <c r="LLF5" s="390"/>
      <c r="LLG5" s="390"/>
      <c r="LLH5" s="390"/>
      <c r="LLI5" s="390"/>
      <c r="LLJ5" s="390"/>
      <c r="LLK5" s="390"/>
      <c r="LLL5" s="390"/>
      <c r="LLM5" s="390"/>
      <c r="LLN5" s="390"/>
      <c r="LLO5" s="390"/>
      <c r="LLP5" s="390"/>
      <c r="LLQ5" s="390"/>
      <c r="LLR5" s="390"/>
      <c r="LLS5" s="390"/>
      <c r="LLT5" s="390"/>
      <c r="LLU5" s="390"/>
      <c r="LLV5" s="390"/>
      <c r="LLW5" s="390"/>
      <c r="LLX5" s="390"/>
      <c r="LLY5" s="390"/>
      <c r="LLZ5" s="390"/>
      <c r="LMA5" s="390"/>
      <c r="LMB5" s="390"/>
      <c r="LMC5" s="390"/>
      <c r="LMD5" s="390"/>
      <c r="LME5" s="390"/>
      <c r="LMF5" s="390"/>
      <c r="LMG5" s="390"/>
      <c r="LMH5" s="390"/>
      <c r="LMI5" s="390"/>
      <c r="LMJ5" s="390"/>
      <c r="LMK5" s="390"/>
      <c r="LML5" s="390"/>
      <c r="LMM5" s="390"/>
      <c r="LMN5" s="390"/>
      <c r="LMO5" s="390"/>
      <c r="LMP5" s="390"/>
      <c r="LMQ5" s="390"/>
      <c r="LMR5" s="390"/>
      <c r="LMS5" s="390"/>
      <c r="LMT5" s="390"/>
      <c r="LMU5" s="390"/>
      <c r="LMV5" s="390"/>
      <c r="LMW5" s="390"/>
      <c r="LMX5" s="390"/>
      <c r="LMY5" s="390"/>
      <c r="LMZ5" s="390"/>
      <c r="LNA5" s="390"/>
      <c r="LNB5" s="390"/>
      <c r="LNC5" s="390"/>
      <c r="LND5" s="390"/>
      <c r="LNE5" s="390"/>
      <c r="LNF5" s="390"/>
      <c r="LNG5" s="390"/>
      <c r="LNH5" s="390"/>
      <c r="LNI5" s="390"/>
      <c r="LNJ5" s="390"/>
      <c r="LNK5" s="390"/>
      <c r="LNL5" s="390"/>
      <c r="LNM5" s="390"/>
      <c r="LNN5" s="390"/>
      <c r="LNO5" s="390"/>
      <c r="LNP5" s="390"/>
      <c r="LNQ5" s="390"/>
      <c r="LNR5" s="390"/>
      <c r="LNS5" s="390"/>
      <c r="LNT5" s="390"/>
      <c r="LNU5" s="390"/>
      <c r="LNV5" s="390"/>
      <c r="LNW5" s="390"/>
      <c r="LNX5" s="390"/>
      <c r="LNY5" s="390"/>
      <c r="LNZ5" s="390"/>
      <c r="LOA5" s="390"/>
      <c r="LOB5" s="390"/>
      <c r="LOC5" s="390"/>
      <c r="LOD5" s="390"/>
      <c r="LOE5" s="390"/>
      <c r="LOF5" s="390"/>
      <c r="LOG5" s="390"/>
      <c r="LOH5" s="390"/>
      <c r="LOI5" s="390"/>
      <c r="LOJ5" s="390"/>
      <c r="LOK5" s="390"/>
      <c r="LOL5" s="390"/>
      <c r="LOM5" s="390"/>
      <c r="LON5" s="390"/>
      <c r="LOO5" s="390"/>
      <c r="LOP5" s="390"/>
      <c r="LOQ5" s="390"/>
      <c r="LOR5" s="390"/>
      <c r="LOS5" s="390"/>
      <c r="LOT5" s="390"/>
      <c r="LOU5" s="390"/>
      <c r="LOV5" s="390"/>
      <c r="LOW5" s="390"/>
      <c r="LOX5" s="390"/>
      <c r="LOY5" s="390"/>
      <c r="LOZ5" s="390"/>
      <c r="LPA5" s="390"/>
      <c r="LPB5" s="390"/>
      <c r="LPC5" s="390"/>
      <c r="LPD5" s="390"/>
      <c r="LPE5" s="390"/>
      <c r="LPF5" s="390"/>
      <c r="LPG5" s="390"/>
      <c r="LPH5" s="390"/>
      <c r="LPI5" s="390"/>
      <c r="LPJ5" s="390"/>
      <c r="LPK5" s="390"/>
      <c r="LPL5" s="390"/>
      <c r="LPM5" s="390"/>
      <c r="LPN5" s="390"/>
      <c r="LPO5" s="390"/>
      <c r="LPP5" s="390"/>
      <c r="LPQ5" s="390"/>
      <c r="LPR5" s="390"/>
      <c r="LPS5" s="390"/>
      <c r="LPT5" s="390"/>
      <c r="LPU5" s="390"/>
      <c r="LPV5" s="390"/>
      <c r="LPW5" s="390"/>
      <c r="LPX5" s="390"/>
      <c r="LPY5" s="390"/>
      <c r="LPZ5" s="390"/>
      <c r="LQA5" s="390"/>
      <c r="LQB5" s="390"/>
      <c r="LQC5" s="390"/>
      <c r="LQD5" s="390"/>
      <c r="LQE5" s="390"/>
      <c r="LQF5" s="390"/>
      <c r="LQG5" s="390"/>
      <c r="LQH5" s="390"/>
      <c r="LQI5" s="390"/>
      <c r="LQJ5" s="390"/>
      <c r="LQK5" s="390"/>
      <c r="LQL5" s="390"/>
      <c r="LQM5" s="390"/>
      <c r="LQN5" s="390"/>
      <c r="LQO5" s="390"/>
      <c r="LQP5" s="390"/>
      <c r="LQQ5" s="390"/>
      <c r="LQR5" s="390"/>
      <c r="LQS5" s="390"/>
      <c r="LQT5" s="390"/>
      <c r="LQU5" s="390"/>
      <c r="LQV5" s="390"/>
      <c r="LQW5" s="390"/>
      <c r="LQX5" s="390"/>
      <c r="LQY5" s="390"/>
      <c r="LQZ5" s="390"/>
      <c r="LRA5" s="390"/>
      <c r="LRB5" s="390"/>
      <c r="LRC5" s="390"/>
      <c r="LRD5" s="390"/>
      <c r="LRE5" s="390"/>
      <c r="LRF5" s="390"/>
      <c r="LRG5" s="390"/>
      <c r="LRH5" s="390"/>
      <c r="LRI5" s="390"/>
      <c r="LRJ5" s="390"/>
      <c r="LRK5" s="390"/>
      <c r="LRL5" s="390"/>
      <c r="LRM5" s="390"/>
      <c r="LRN5" s="390"/>
      <c r="LRO5" s="390"/>
      <c r="LRP5" s="390"/>
      <c r="LRQ5" s="390"/>
      <c r="LRR5" s="390"/>
      <c r="LRS5" s="390"/>
      <c r="LRT5" s="390"/>
      <c r="LRU5" s="390"/>
      <c r="LRV5" s="390"/>
      <c r="LRW5" s="390"/>
      <c r="LRX5" s="390"/>
      <c r="LRY5" s="390"/>
      <c r="LRZ5" s="390"/>
      <c r="LSA5" s="390"/>
      <c r="LSB5" s="390"/>
      <c r="LSC5" s="390"/>
      <c r="LSD5" s="390"/>
      <c r="LSE5" s="390"/>
      <c r="LSF5" s="390"/>
      <c r="LSG5" s="390"/>
      <c r="LSH5" s="390"/>
      <c r="LSI5" s="390"/>
      <c r="LSJ5" s="390"/>
      <c r="LSK5" s="390"/>
      <c r="LSL5" s="390"/>
      <c r="LSM5" s="390"/>
      <c r="LSN5" s="390"/>
      <c r="LSO5" s="390"/>
      <c r="LSP5" s="390"/>
      <c r="LSQ5" s="390"/>
      <c r="LSR5" s="390"/>
      <c r="LSS5" s="390"/>
      <c r="LST5" s="390"/>
      <c r="LSU5" s="390"/>
      <c r="LSV5" s="390"/>
      <c r="LSW5" s="390"/>
      <c r="LSX5" s="390"/>
      <c r="LSY5" s="390"/>
      <c r="LSZ5" s="390"/>
      <c r="LTA5" s="390"/>
      <c r="LTB5" s="390"/>
      <c r="LTC5" s="390"/>
      <c r="LTD5" s="390"/>
      <c r="LTE5" s="390"/>
      <c r="LTF5" s="390"/>
      <c r="LTG5" s="390"/>
      <c r="LTH5" s="390"/>
      <c r="LTI5" s="390"/>
      <c r="LTJ5" s="390"/>
      <c r="LTK5" s="390"/>
      <c r="LTL5" s="390"/>
      <c r="LTM5" s="390"/>
      <c r="LTN5" s="390"/>
      <c r="LTO5" s="390"/>
      <c r="LTP5" s="390"/>
      <c r="LTQ5" s="390"/>
      <c r="LTR5" s="390"/>
      <c r="LTS5" s="390"/>
      <c r="LTT5" s="390"/>
      <c r="LTU5" s="390"/>
      <c r="LTV5" s="390"/>
      <c r="LTW5" s="390"/>
      <c r="LTX5" s="390"/>
      <c r="LTY5" s="390"/>
      <c r="LTZ5" s="390"/>
      <c r="LUA5" s="390"/>
      <c r="LUB5" s="390"/>
      <c r="LUC5" s="390"/>
      <c r="LUD5" s="390"/>
      <c r="LUE5" s="390"/>
      <c r="LUF5" s="390"/>
      <c r="LUG5" s="390"/>
      <c r="LUH5" s="390"/>
      <c r="LUI5" s="390"/>
      <c r="LUJ5" s="390"/>
      <c r="LUK5" s="390"/>
      <c r="LUL5" s="390"/>
      <c r="LUM5" s="390"/>
      <c r="LUN5" s="390"/>
      <c r="LUO5" s="390"/>
      <c r="LUP5" s="390"/>
      <c r="LUQ5" s="390"/>
      <c r="LUR5" s="390"/>
      <c r="LUS5" s="390"/>
      <c r="LUT5" s="390"/>
      <c r="LUU5" s="390"/>
      <c r="LUV5" s="390"/>
      <c r="LUW5" s="390"/>
      <c r="LUX5" s="390"/>
      <c r="LUY5" s="390"/>
      <c r="LUZ5" s="390"/>
      <c r="LVA5" s="390"/>
      <c r="LVB5" s="390"/>
      <c r="LVC5" s="390"/>
      <c r="LVD5" s="390"/>
      <c r="LVE5" s="390"/>
      <c r="LVF5" s="390"/>
      <c r="LVG5" s="390"/>
      <c r="LVH5" s="390"/>
      <c r="LVI5" s="390"/>
      <c r="LVJ5" s="390"/>
      <c r="LVK5" s="390"/>
      <c r="LVL5" s="390"/>
      <c r="LVM5" s="390"/>
      <c r="LVN5" s="390"/>
      <c r="LVO5" s="390"/>
      <c r="LVP5" s="390"/>
      <c r="LVQ5" s="390"/>
      <c r="LVR5" s="390"/>
      <c r="LVS5" s="390"/>
      <c r="LVT5" s="390"/>
      <c r="LVU5" s="390"/>
      <c r="LVV5" s="390"/>
      <c r="LVW5" s="390"/>
      <c r="LVX5" s="390"/>
      <c r="LVY5" s="390"/>
      <c r="LVZ5" s="390"/>
      <c r="LWA5" s="390"/>
      <c r="LWB5" s="390"/>
      <c r="LWC5" s="390"/>
      <c r="LWD5" s="390"/>
      <c r="LWE5" s="390"/>
      <c r="LWF5" s="390"/>
      <c r="LWG5" s="390"/>
      <c r="LWH5" s="390"/>
      <c r="LWI5" s="390"/>
      <c r="LWJ5" s="390"/>
      <c r="LWK5" s="390"/>
      <c r="LWL5" s="390"/>
      <c r="LWM5" s="390"/>
      <c r="LWN5" s="390"/>
      <c r="LWO5" s="390"/>
      <c r="LWP5" s="390"/>
      <c r="LWQ5" s="390"/>
      <c r="LWR5" s="390"/>
      <c r="LWS5" s="390"/>
      <c r="LWT5" s="390"/>
      <c r="LWU5" s="390"/>
      <c r="LWV5" s="390"/>
      <c r="LWW5" s="390"/>
      <c r="LWX5" s="390"/>
      <c r="LWY5" s="390"/>
      <c r="LWZ5" s="390"/>
      <c r="LXA5" s="390"/>
      <c r="LXB5" s="390"/>
      <c r="LXC5" s="390"/>
      <c r="LXD5" s="390"/>
      <c r="LXE5" s="390"/>
      <c r="LXF5" s="390"/>
      <c r="LXG5" s="390"/>
      <c r="LXH5" s="390"/>
      <c r="LXI5" s="390"/>
      <c r="LXJ5" s="390"/>
      <c r="LXK5" s="390"/>
      <c r="LXL5" s="390"/>
      <c r="LXM5" s="390"/>
      <c r="LXN5" s="390"/>
      <c r="LXO5" s="390"/>
      <c r="LXP5" s="390"/>
      <c r="LXQ5" s="390"/>
      <c r="LXR5" s="390"/>
      <c r="LXS5" s="390"/>
      <c r="LXT5" s="390"/>
      <c r="LXU5" s="390"/>
      <c r="LXV5" s="390"/>
      <c r="LXW5" s="390"/>
      <c r="LXX5" s="390"/>
      <c r="LXY5" s="390"/>
      <c r="LXZ5" s="390"/>
      <c r="LYA5" s="390"/>
      <c r="LYB5" s="390"/>
      <c r="LYC5" s="390"/>
      <c r="LYD5" s="390"/>
      <c r="LYE5" s="390"/>
      <c r="LYF5" s="390"/>
      <c r="LYG5" s="390"/>
      <c r="LYH5" s="390"/>
      <c r="LYI5" s="390"/>
      <c r="LYJ5" s="390"/>
      <c r="LYK5" s="390"/>
      <c r="LYL5" s="390"/>
      <c r="LYM5" s="390"/>
      <c r="LYN5" s="390"/>
      <c r="LYO5" s="390"/>
      <c r="LYP5" s="390"/>
      <c r="LYQ5" s="390"/>
      <c r="LYR5" s="390"/>
      <c r="LYS5" s="390"/>
      <c r="LYT5" s="390"/>
      <c r="LYU5" s="390"/>
      <c r="LYV5" s="390"/>
      <c r="LYW5" s="390"/>
      <c r="LYX5" s="390"/>
      <c r="LYY5" s="390"/>
      <c r="LYZ5" s="390"/>
      <c r="LZA5" s="390"/>
      <c r="LZB5" s="390"/>
      <c r="LZC5" s="390"/>
      <c r="LZD5" s="390"/>
      <c r="LZE5" s="390"/>
      <c r="LZF5" s="390"/>
      <c r="LZG5" s="390"/>
      <c r="LZH5" s="390"/>
      <c r="LZI5" s="390"/>
      <c r="LZJ5" s="390"/>
      <c r="LZK5" s="390"/>
      <c r="LZL5" s="390"/>
      <c r="LZM5" s="390"/>
      <c r="LZN5" s="390"/>
      <c r="LZO5" s="390"/>
      <c r="LZP5" s="390"/>
      <c r="LZQ5" s="390"/>
      <c r="LZR5" s="390"/>
      <c r="LZS5" s="390"/>
      <c r="LZT5" s="390"/>
      <c r="LZU5" s="390"/>
      <c r="LZV5" s="390"/>
      <c r="LZW5" s="390"/>
      <c r="LZX5" s="390"/>
      <c r="LZY5" s="390"/>
      <c r="LZZ5" s="390"/>
      <c r="MAA5" s="390"/>
      <c r="MAB5" s="390"/>
      <c r="MAC5" s="390"/>
      <c r="MAD5" s="390"/>
      <c r="MAE5" s="390"/>
      <c r="MAF5" s="390"/>
      <c r="MAG5" s="390"/>
      <c r="MAH5" s="390"/>
      <c r="MAI5" s="390"/>
      <c r="MAJ5" s="390"/>
      <c r="MAK5" s="390"/>
      <c r="MAL5" s="390"/>
      <c r="MAM5" s="390"/>
      <c r="MAN5" s="390"/>
      <c r="MAO5" s="390"/>
      <c r="MAP5" s="390"/>
      <c r="MAQ5" s="390"/>
      <c r="MAR5" s="390"/>
      <c r="MAS5" s="390"/>
      <c r="MAT5" s="390"/>
      <c r="MAU5" s="390"/>
      <c r="MAV5" s="390"/>
      <c r="MAW5" s="390"/>
      <c r="MAX5" s="390"/>
      <c r="MAY5" s="390"/>
      <c r="MAZ5" s="390"/>
      <c r="MBA5" s="390"/>
      <c r="MBB5" s="390"/>
      <c r="MBC5" s="390"/>
      <c r="MBD5" s="390"/>
      <c r="MBE5" s="390"/>
      <c r="MBF5" s="390"/>
      <c r="MBG5" s="390"/>
      <c r="MBH5" s="390"/>
      <c r="MBI5" s="390"/>
      <c r="MBJ5" s="390"/>
      <c r="MBK5" s="390"/>
      <c r="MBL5" s="390"/>
      <c r="MBM5" s="390"/>
      <c r="MBN5" s="390"/>
      <c r="MBO5" s="390"/>
      <c r="MBP5" s="390"/>
      <c r="MBQ5" s="390"/>
      <c r="MBR5" s="390"/>
      <c r="MBS5" s="390"/>
      <c r="MBT5" s="390"/>
      <c r="MBU5" s="390"/>
      <c r="MBV5" s="390"/>
      <c r="MBW5" s="390"/>
      <c r="MBX5" s="390"/>
      <c r="MBY5" s="390"/>
      <c r="MBZ5" s="390"/>
      <c r="MCA5" s="390"/>
      <c r="MCB5" s="390"/>
      <c r="MCC5" s="390"/>
      <c r="MCD5" s="390"/>
      <c r="MCE5" s="390"/>
      <c r="MCF5" s="390"/>
      <c r="MCG5" s="390"/>
      <c r="MCH5" s="390"/>
      <c r="MCI5" s="390"/>
      <c r="MCJ5" s="390"/>
      <c r="MCK5" s="390"/>
      <c r="MCL5" s="390"/>
      <c r="MCM5" s="390"/>
      <c r="MCN5" s="390"/>
      <c r="MCO5" s="390"/>
      <c r="MCP5" s="390"/>
      <c r="MCQ5" s="390"/>
      <c r="MCR5" s="390"/>
      <c r="MCS5" s="390"/>
      <c r="MCT5" s="390"/>
      <c r="MCU5" s="390"/>
      <c r="MCV5" s="390"/>
      <c r="MCW5" s="390"/>
      <c r="MCX5" s="390"/>
      <c r="MCY5" s="390"/>
      <c r="MCZ5" s="390"/>
      <c r="MDA5" s="390"/>
      <c r="MDB5" s="390"/>
      <c r="MDC5" s="390"/>
      <c r="MDD5" s="390"/>
      <c r="MDE5" s="390"/>
      <c r="MDF5" s="390"/>
      <c r="MDG5" s="390"/>
      <c r="MDH5" s="390"/>
      <c r="MDI5" s="390"/>
      <c r="MDJ5" s="390"/>
      <c r="MDK5" s="390"/>
      <c r="MDL5" s="390"/>
      <c r="MDM5" s="390"/>
      <c r="MDN5" s="390"/>
      <c r="MDO5" s="390"/>
      <c r="MDP5" s="390"/>
      <c r="MDQ5" s="390"/>
      <c r="MDR5" s="390"/>
      <c r="MDS5" s="390"/>
      <c r="MDT5" s="390"/>
      <c r="MDU5" s="390"/>
      <c r="MDV5" s="390"/>
      <c r="MDW5" s="390"/>
      <c r="MDX5" s="390"/>
      <c r="MDY5" s="390"/>
      <c r="MDZ5" s="390"/>
      <c r="MEA5" s="390"/>
      <c r="MEB5" s="390"/>
      <c r="MEC5" s="390"/>
      <c r="MED5" s="390"/>
      <c r="MEE5" s="390"/>
      <c r="MEF5" s="390"/>
      <c r="MEG5" s="390"/>
      <c r="MEH5" s="390"/>
      <c r="MEI5" s="390"/>
      <c r="MEJ5" s="390"/>
      <c r="MEK5" s="390"/>
      <c r="MEL5" s="390"/>
      <c r="MEM5" s="390"/>
      <c r="MEN5" s="390"/>
      <c r="MEO5" s="390"/>
      <c r="MEP5" s="390"/>
      <c r="MEQ5" s="390"/>
      <c r="MER5" s="390"/>
      <c r="MES5" s="390"/>
      <c r="MET5" s="390"/>
      <c r="MEU5" s="390"/>
      <c r="MEV5" s="390"/>
      <c r="MEW5" s="390"/>
      <c r="MEX5" s="390"/>
      <c r="MEY5" s="390"/>
      <c r="MEZ5" s="390"/>
      <c r="MFA5" s="390"/>
      <c r="MFB5" s="390"/>
      <c r="MFC5" s="390"/>
      <c r="MFD5" s="390"/>
      <c r="MFE5" s="390"/>
      <c r="MFF5" s="390"/>
      <c r="MFG5" s="390"/>
      <c r="MFH5" s="390"/>
      <c r="MFI5" s="390"/>
      <c r="MFJ5" s="390"/>
      <c r="MFK5" s="390"/>
      <c r="MFL5" s="390"/>
      <c r="MFM5" s="390"/>
      <c r="MFN5" s="390"/>
      <c r="MFO5" s="390"/>
      <c r="MFP5" s="390"/>
      <c r="MFQ5" s="390"/>
      <c r="MFR5" s="390"/>
      <c r="MFS5" s="390"/>
      <c r="MFT5" s="390"/>
      <c r="MFU5" s="390"/>
      <c r="MFV5" s="390"/>
      <c r="MFW5" s="390"/>
      <c r="MFX5" s="390"/>
      <c r="MFY5" s="390"/>
      <c r="MFZ5" s="390"/>
      <c r="MGA5" s="390"/>
      <c r="MGB5" s="390"/>
      <c r="MGC5" s="390"/>
      <c r="MGD5" s="390"/>
      <c r="MGE5" s="390"/>
      <c r="MGF5" s="390"/>
      <c r="MGG5" s="390"/>
      <c r="MGH5" s="390"/>
      <c r="MGI5" s="390"/>
      <c r="MGJ5" s="390"/>
      <c r="MGK5" s="390"/>
      <c r="MGL5" s="390"/>
      <c r="MGM5" s="390"/>
      <c r="MGN5" s="390"/>
      <c r="MGO5" s="390"/>
      <c r="MGP5" s="390"/>
      <c r="MGQ5" s="390"/>
      <c r="MGR5" s="390"/>
      <c r="MGS5" s="390"/>
      <c r="MGT5" s="390"/>
      <c r="MGU5" s="390"/>
      <c r="MGV5" s="390"/>
      <c r="MGW5" s="390"/>
      <c r="MGX5" s="390"/>
      <c r="MGY5" s="390"/>
      <c r="MGZ5" s="390"/>
      <c r="MHA5" s="390"/>
      <c r="MHB5" s="390"/>
      <c r="MHC5" s="390"/>
      <c r="MHD5" s="390"/>
      <c r="MHE5" s="390"/>
      <c r="MHF5" s="390"/>
      <c r="MHG5" s="390"/>
      <c r="MHH5" s="390"/>
      <c r="MHI5" s="390"/>
      <c r="MHJ5" s="390"/>
      <c r="MHK5" s="390"/>
      <c r="MHL5" s="390"/>
      <c r="MHM5" s="390"/>
      <c r="MHN5" s="390"/>
      <c r="MHO5" s="390"/>
      <c r="MHP5" s="390"/>
      <c r="MHQ5" s="390"/>
      <c r="MHR5" s="390"/>
      <c r="MHS5" s="390"/>
      <c r="MHT5" s="390"/>
      <c r="MHU5" s="390"/>
      <c r="MHV5" s="390"/>
      <c r="MHW5" s="390"/>
      <c r="MHX5" s="390"/>
      <c r="MHY5" s="390"/>
      <c r="MHZ5" s="390"/>
      <c r="MIA5" s="390"/>
      <c r="MIB5" s="390"/>
      <c r="MIC5" s="390"/>
      <c r="MID5" s="390"/>
      <c r="MIE5" s="390"/>
      <c r="MIF5" s="390"/>
      <c r="MIG5" s="390"/>
      <c r="MIH5" s="390"/>
      <c r="MII5" s="390"/>
      <c r="MIJ5" s="390"/>
      <c r="MIK5" s="390"/>
      <c r="MIL5" s="390"/>
      <c r="MIM5" s="390"/>
      <c r="MIN5" s="390"/>
      <c r="MIO5" s="390"/>
      <c r="MIP5" s="390"/>
      <c r="MIQ5" s="390"/>
      <c r="MIR5" s="390"/>
      <c r="MIS5" s="390"/>
      <c r="MIT5" s="390"/>
      <c r="MIU5" s="390"/>
      <c r="MIV5" s="390"/>
      <c r="MIW5" s="390"/>
      <c r="MIX5" s="390"/>
      <c r="MIY5" s="390"/>
      <c r="MIZ5" s="390"/>
      <c r="MJA5" s="390"/>
      <c r="MJB5" s="390"/>
      <c r="MJC5" s="390"/>
      <c r="MJD5" s="390"/>
      <c r="MJE5" s="390"/>
      <c r="MJF5" s="390"/>
      <c r="MJG5" s="390"/>
      <c r="MJH5" s="390"/>
      <c r="MJI5" s="390"/>
      <c r="MJJ5" s="390"/>
      <c r="MJK5" s="390"/>
      <c r="MJL5" s="390"/>
      <c r="MJM5" s="390"/>
      <c r="MJN5" s="390"/>
      <c r="MJO5" s="390"/>
      <c r="MJP5" s="390"/>
      <c r="MJQ5" s="390"/>
      <c r="MJR5" s="390"/>
      <c r="MJS5" s="390"/>
      <c r="MJT5" s="390"/>
      <c r="MJU5" s="390"/>
      <c r="MJV5" s="390"/>
      <c r="MJW5" s="390"/>
      <c r="MJX5" s="390"/>
      <c r="MJY5" s="390"/>
      <c r="MJZ5" s="390"/>
      <c r="MKA5" s="390"/>
      <c r="MKB5" s="390"/>
      <c r="MKC5" s="390"/>
      <c r="MKD5" s="390"/>
      <c r="MKE5" s="390"/>
      <c r="MKF5" s="390"/>
      <c r="MKG5" s="390"/>
      <c r="MKH5" s="390"/>
      <c r="MKI5" s="390"/>
      <c r="MKJ5" s="390"/>
      <c r="MKK5" s="390"/>
      <c r="MKL5" s="390"/>
      <c r="MKM5" s="390"/>
      <c r="MKN5" s="390"/>
      <c r="MKO5" s="390"/>
      <c r="MKP5" s="390"/>
      <c r="MKQ5" s="390"/>
      <c r="MKR5" s="390"/>
      <c r="MKS5" s="390"/>
      <c r="MKT5" s="390"/>
      <c r="MKU5" s="390"/>
      <c r="MKV5" s="390"/>
      <c r="MKW5" s="390"/>
      <c r="MKX5" s="390"/>
      <c r="MKY5" s="390"/>
      <c r="MKZ5" s="390"/>
      <c r="MLA5" s="390"/>
      <c r="MLB5" s="390"/>
      <c r="MLC5" s="390"/>
      <c r="MLD5" s="390"/>
      <c r="MLE5" s="390"/>
      <c r="MLF5" s="390"/>
      <c r="MLG5" s="390"/>
      <c r="MLH5" s="390"/>
      <c r="MLI5" s="390"/>
      <c r="MLJ5" s="390"/>
      <c r="MLK5" s="390"/>
      <c r="MLL5" s="390"/>
      <c r="MLM5" s="390"/>
      <c r="MLN5" s="390"/>
      <c r="MLO5" s="390"/>
      <c r="MLP5" s="390"/>
      <c r="MLQ5" s="390"/>
      <c r="MLR5" s="390"/>
      <c r="MLS5" s="390"/>
      <c r="MLT5" s="390"/>
      <c r="MLU5" s="390"/>
      <c r="MLV5" s="390"/>
      <c r="MLW5" s="390"/>
      <c r="MLX5" s="390"/>
      <c r="MLY5" s="390"/>
      <c r="MLZ5" s="390"/>
      <c r="MMA5" s="390"/>
      <c r="MMB5" s="390"/>
      <c r="MMC5" s="390"/>
      <c r="MMD5" s="390"/>
      <c r="MME5" s="390"/>
      <c r="MMF5" s="390"/>
      <c r="MMG5" s="390"/>
      <c r="MMH5" s="390"/>
      <c r="MMI5" s="390"/>
      <c r="MMJ5" s="390"/>
      <c r="MMK5" s="390"/>
      <c r="MML5" s="390"/>
      <c r="MMM5" s="390"/>
      <c r="MMN5" s="390"/>
      <c r="MMO5" s="390"/>
      <c r="MMP5" s="390"/>
      <c r="MMQ5" s="390"/>
      <c r="MMR5" s="390"/>
      <c r="MMS5" s="390"/>
      <c r="MMT5" s="390"/>
      <c r="MMU5" s="390"/>
      <c r="MMV5" s="390"/>
      <c r="MMW5" s="390"/>
      <c r="MMX5" s="390"/>
      <c r="MMY5" s="390"/>
      <c r="MMZ5" s="390"/>
      <c r="MNA5" s="390"/>
      <c r="MNB5" s="390"/>
      <c r="MNC5" s="390"/>
      <c r="MND5" s="390"/>
      <c r="MNE5" s="390"/>
      <c r="MNF5" s="390"/>
      <c r="MNG5" s="390"/>
      <c r="MNH5" s="390"/>
      <c r="MNI5" s="390"/>
      <c r="MNJ5" s="390"/>
      <c r="MNK5" s="390"/>
      <c r="MNL5" s="390"/>
      <c r="MNM5" s="390"/>
      <c r="MNN5" s="390"/>
      <c r="MNO5" s="390"/>
      <c r="MNP5" s="390"/>
      <c r="MNQ5" s="390"/>
      <c r="MNR5" s="390"/>
      <c r="MNS5" s="390"/>
      <c r="MNT5" s="390"/>
      <c r="MNU5" s="390"/>
      <c r="MNV5" s="390"/>
      <c r="MNW5" s="390"/>
      <c r="MNX5" s="390"/>
      <c r="MNY5" s="390"/>
      <c r="MNZ5" s="390"/>
      <c r="MOA5" s="390"/>
      <c r="MOB5" s="390"/>
      <c r="MOC5" s="390"/>
      <c r="MOD5" s="390"/>
      <c r="MOE5" s="390"/>
      <c r="MOF5" s="390"/>
      <c r="MOG5" s="390"/>
      <c r="MOH5" s="390"/>
      <c r="MOI5" s="390"/>
      <c r="MOJ5" s="390"/>
      <c r="MOK5" s="390"/>
      <c r="MOL5" s="390"/>
      <c r="MOM5" s="390"/>
      <c r="MON5" s="390"/>
      <c r="MOO5" s="390"/>
      <c r="MOP5" s="390"/>
      <c r="MOQ5" s="390"/>
      <c r="MOR5" s="390"/>
      <c r="MOS5" s="390"/>
      <c r="MOT5" s="390"/>
      <c r="MOU5" s="390"/>
      <c r="MOV5" s="390"/>
      <c r="MOW5" s="390"/>
      <c r="MOX5" s="390"/>
      <c r="MOY5" s="390"/>
      <c r="MOZ5" s="390"/>
      <c r="MPA5" s="390"/>
      <c r="MPB5" s="390"/>
      <c r="MPC5" s="390"/>
      <c r="MPD5" s="390"/>
      <c r="MPE5" s="390"/>
      <c r="MPF5" s="390"/>
      <c r="MPG5" s="390"/>
      <c r="MPH5" s="390"/>
      <c r="MPI5" s="390"/>
      <c r="MPJ5" s="390"/>
      <c r="MPK5" s="390"/>
      <c r="MPL5" s="390"/>
      <c r="MPM5" s="390"/>
      <c r="MPN5" s="390"/>
      <c r="MPO5" s="390"/>
      <c r="MPP5" s="390"/>
      <c r="MPQ5" s="390"/>
      <c r="MPR5" s="390"/>
      <c r="MPS5" s="390"/>
      <c r="MPT5" s="390"/>
      <c r="MPU5" s="390"/>
      <c r="MPV5" s="390"/>
      <c r="MPW5" s="390"/>
      <c r="MPX5" s="390"/>
      <c r="MPY5" s="390"/>
      <c r="MPZ5" s="390"/>
      <c r="MQA5" s="390"/>
      <c r="MQB5" s="390"/>
      <c r="MQC5" s="390"/>
      <c r="MQD5" s="390"/>
      <c r="MQE5" s="390"/>
      <c r="MQF5" s="390"/>
      <c r="MQG5" s="390"/>
      <c r="MQH5" s="390"/>
      <c r="MQI5" s="390"/>
      <c r="MQJ5" s="390"/>
      <c r="MQK5" s="390"/>
      <c r="MQL5" s="390"/>
      <c r="MQM5" s="390"/>
      <c r="MQN5" s="390"/>
      <c r="MQO5" s="390"/>
      <c r="MQP5" s="390"/>
      <c r="MQQ5" s="390"/>
      <c r="MQR5" s="390"/>
      <c r="MQS5" s="390"/>
      <c r="MQT5" s="390"/>
      <c r="MQU5" s="390"/>
      <c r="MQV5" s="390"/>
      <c r="MQW5" s="390"/>
      <c r="MQX5" s="390"/>
      <c r="MQY5" s="390"/>
      <c r="MQZ5" s="390"/>
      <c r="MRA5" s="390"/>
      <c r="MRB5" s="390"/>
      <c r="MRC5" s="390"/>
      <c r="MRD5" s="390"/>
      <c r="MRE5" s="390"/>
      <c r="MRF5" s="390"/>
      <c r="MRG5" s="390"/>
      <c r="MRH5" s="390"/>
      <c r="MRI5" s="390"/>
      <c r="MRJ5" s="390"/>
      <c r="MRK5" s="390"/>
      <c r="MRL5" s="390"/>
      <c r="MRM5" s="390"/>
      <c r="MRN5" s="390"/>
      <c r="MRO5" s="390"/>
      <c r="MRP5" s="390"/>
      <c r="MRQ5" s="390"/>
      <c r="MRR5" s="390"/>
      <c r="MRS5" s="390"/>
      <c r="MRT5" s="390"/>
      <c r="MRU5" s="390"/>
      <c r="MRV5" s="390"/>
      <c r="MRW5" s="390"/>
      <c r="MRX5" s="390"/>
      <c r="MRY5" s="390"/>
      <c r="MRZ5" s="390"/>
      <c r="MSA5" s="390"/>
      <c r="MSB5" s="390"/>
      <c r="MSC5" s="390"/>
      <c r="MSD5" s="390"/>
      <c r="MSE5" s="390"/>
      <c r="MSF5" s="390"/>
      <c r="MSG5" s="390"/>
      <c r="MSH5" s="390"/>
      <c r="MSI5" s="390"/>
      <c r="MSJ5" s="390"/>
      <c r="MSK5" s="390"/>
      <c r="MSL5" s="390"/>
      <c r="MSM5" s="390"/>
      <c r="MSN5" s="390"/>
      <c r="MSO5" s="390"/>
      <c r="MSP5" s="390"/>
      <c r="MSQ5" s="390"/>
      <c r="MSR5" s="390"/>
      <c r="MSS5" s="390"/>
      <c r="MST5" s="390"/>
      <c r="MSU5" s="390"/>
      <c r="MSV5" s="390"/>
      <c r="MSW5" s="390"/>
      <c r="MSX5" s="390"/>
      <c r="MSY5" s="390"/>
      <c r="MSZ5" s="390"/>
      <c r="MTA5" s="390"/>
      <c r="MTB5" s="390"/>
      <c r="MTC5" s="390"/>
      <c r="MTD5" s="390"/>
      <c r="MTE5" s="390"/>
      <c r="MTF5" s="390"/>
      <c r="MTG5" s="390"/>
      <c r="MTH5" s="390"/>
      <c r="MTI5" s="390"/>
      <c r="MTJ5" s="390"/>
      <c r="MTK5" s="390"/>
      <c r="MTL5" s="390"/>
      <c r="MTM5" s="390"/>
      <c r="MTN5" s="390"/>
      <c r="MTO5" s="390"/>
      <c r="MTP5" s="390"/>
      <c r="MTQ5" s="390"/>
      <c r="MTR5" s="390"/>
      <c r="MTS5" s="390"/>
      <c r="MTT5" s="390"/>
      <c r="MTU5" s="390"/>
      <c r="MTV5" s="390"/>
      <c r="MTW5" s="390"/>
      <c r="MTX5" s="390"/>
      <c r="MTY5" s="390"/>
      <c r="MTZ5" s="390"/>
      <c r="MUA5" s="390"/>
      <c r="MUB5" s="390"/>
      <c r="MUC5" s="390"/>
      <c r="MUD5" s="390"/>
      <c r="MUE5" s="390"/>
      <c r="MUF5" s="390"/>
      <c r="MUG5" s="390"/>
      <c r="MUH5" s="390"/>
      <c r="MUI5" s="390"/>
      <c r="MUJ5" s="390"/>
      <c r="MUK5" s="390"/>
      <c r="MUL5" s="390"/>
      <c r="MUM5" s="390"/>
      <c r="MUN5" s="390"/>
      <c r="MUO5" s="390"/>
      <c r="MUP5" s="390"/>
      <c r="MUQ5" s="390"/>
      <c r="MUR5" s="390"/>
      <c r="MUS5" s="390"/>
      <c r="MUT5" s="390"/>
      <c r="MUU5" s="390"/>
      <c r="MUV5" s="390"/>
      <c r="MUW5" s="390"/>
      <c r="MUX5" s="390"/>
      <c r="MUY5" s="390"/>
      <c r="MUZ5" s="390"/>
      <c r="MVA5" s="390"/>
      <c r="MVB5" s="390"/>
      <c r="MVC5" s="390"/>
      <c r="MVD5" s="390"/>
      <c r="MVE5" s="390"/>
      <c r="MVF5" s="390"/>
      <c r="MVG5" s="390"/>
      <c r="MVH5" s="390"/>
      <c r="MVI5" s="390"/>
      <c r="MVJ5" s="390"/>
      <c r="MVK5" s="390"/>
      <c r="MVL5" s="390"/>
      <c r="MVM5" s="390"/>
      <c r="MVN5" s="390"/>
      <c r="MVO5" s="390"/>
      <c r="MVP5" s="390"/>
      <c r="MVQ5" s="390"/>
      <c r="MVR5" s="390"/>
      <c r="MVS5" s="390"/>
      <c r="MVT5" s="390"/>
      <c r="MVU5" s="390"/>
      <c r="MVV5" s="390"/>
      <c r="MVW5" s="390"/>
      <c r="MVX5" s="390"/>
      <c r="MVY5" s="390"/>
      <c r="MVZ5" s="390"/>
      <c r="MWA5" s="390"/>
      <c r="MWB5" s="390"/>
      <c r="MWC5" s="390"/>
      <c r="MWD5" s="390"/>
      <c r="MWE5" s="390"/>
      <c r="MWF5" s="390"/>
      <c r="MWG5" s="390"/>
      <c r="MWH5" s="390"/>
      <c r="MWI5" s="390"/>
      <c r="MWJ5" s="390"/>
      <c r="MWK5" s="390"/>
      <c r="MWL5" s="390"/>
      <c r="MWM5" s="390"/>
      <c r="MWN5" s="390"/>
      <c r="MWO5" s="390"/>
      <c r="MWP5" s="390"/>
      <c r="MWQ5" s="390"/>
      <c r="MWR5" s="390"/>
      <c r="MWS5" s="390"/>
      <c r="MWT5" s="390"/>
      <c r="MWU5" s="390"/>
      <c r="MWV5" s="390"/>
      <c r="MWW5" s="390"/>
      <c r="MWX5" s="390"/>
      <c r="MWY5" s="390"/>
      <c r="MWZ5" s="390"/>
      <c r="MXA5" s="390"/>
      <c r="MXB5" s="390"/>
      <c r="MXC5" s="390"/>
      <c r="MXD5" s="390"/>
      <c r="MXE5" s="390"/>
      <c r="MXF5" s="390"/>
      <c r="MXG5" s="390"/>
      <c r="MXH5" s="390"/>
      <c r="MXI5" s="390"/>
      <c r="MXJ5" s="390"/>
      <c r="MXK5" s="390"/>
      <c r="MXL5" s="390"/>
      <c r="MXM5" s="390"/>
      <c r="MXN5" s="390"/>
      <c r="MXO5" s="390"/>
      <c r="MXP5" s="390"/>
      <c r="MXQ5" s="390"/>
      <c r="MXR5" s="390"/>
      <c r="MXS5" s="390"/>
      <c r="MXT5" s="390"/>
      <c r="MXU5" s="390"/>
      <c r="MXV5" s="390"/>
      <c r="MXW5" s="390"/>
      <c r="MXX5" s="390"/>
      <c r="MXY5" s="390"/>
      <c r="MXZ5" s="390"/>
      <c r="MYA5" s="390"/>
      <c r="MYB5" s="390"/>
      <c r="MYC5" s="390"/>
      <c r="MYD5" s="390"/>
      <c r="MYE5" s="390"/>
      <c r="MYF5" s="390"/>
      <c r="MYG5" s="390"/>
      <c r="MYH5" s="390"/>
      <c r="MYI5" s="390"/>
      <c r="MYJ5" s="390"/>
      <c r="MYK5" s="390"/>
      <c r="MYL5" s="390"/>
      <c r="MYM5" s="390"/>
      <c r="MYN5" s="390"/>
      <c r="MYO5" s="390"/>
      <c r="MYP5" s="390"/>
      <c r="MYQ5" s="390"/>
      <c r="MYR5" s="390"/>
      <c r="MYS5" s="390"/>
      <c r="MYT5" s="390"/>
      <c r="MYU5" s="390"/>
      <c r="MYV5" s="390"/>
      <c r="MYW5" s="390"/>
      <c r="MYX5" s="390"/>
      <c r="MYY5" s="390"/>
      <c r="MYZ5" s="390"/>
      <c r="MZA5" s="390"/>
      <c r="MZB5" s="390"/>
      <c r="MZC5" s="390"/>
      <c r="MZD5" s="390"/>
      <c r="MZE5" s="390"/>
      <c r="MZF5" s="390"/>
      <c r="MZG5" s="390"/>
      <c r="MZH5" s="390"/>
      <c r="MZI5" s="390"/>
      <c r="MZJ5" s="390"/>
      <c r="MZK5" s="390"/>
      <c r="MZL5" s="390"/>
      <c r="MZM5" s="390"/>
      <c r="MZN5" s="390"/>
      <c r="MZO5" s="390"/>
      <c r="MZP5" s="390"/>
      <c r="MZQ5" s="390"/>
      <c r="MZR5" s="390"/>
      <c r="MZS5" s="390"/>
      <c r="MZT5" s="390"/>
      <c r="MZU5" s="390"/>
      <c r="MZV5" s="390"/>
      <c r="MZW5" s="390"/>
      <c r="MZX5" s="390"/>
      <c r="MZY5" s="390"/>
      <c r="MZZ5" s="390"/>
      <c r="NAA5" s="390"/>
      <c r="NAB5" s="390"/>
      <c r="NAC5" s="390"/>
      <c r="NAD5" s="390"/>
      <c r="NAE5" s="390"/>
      <c r="NAF5" s="390"/>
      <c r="NAG5" s="390"/>
      <c r="NAH5" s="390"/>
      <c r="NAI5" s="390"/>
      <c r="NAJ5" s="390"/>
      <c r="NAK5" s="390"/>
      <c r="NAL5" s="390"/>
      <c r="NAM5" s="390"/>
      <c r="NAN5" s="390"/>
      <c r="NAO5" s="390"/>
      <c r="NAP5" s="390"/>
      <c r="NAQ5" s="390"/>
      <c r="NAR5" s="390"/>
      <c r="NAS5" s="390"/>
      <c r="NAT5" s="390"/>
      <c r="NAU5" s="390"/>
      <c r="NAV5" s="390"/>
      <c r="NAW5" s="390"/>
      <c r="NAX5" s="390"/>
      <c r="NAY5" s="390"/>
      <c r="NAZ5" s="390"/>
      <c r="NBA5" s="390"/>
      <c r="NBB5" s="390"/>
      <c r="NBC5" s="390"/>
      <c r="NBD5" s="390"/>
      <c r="NBE5" s="390"/>
      <c r="NBF5" s="390"/>
      <c r="NBG5" s="390"/>
      <c r="NBH5" s="390"/>
      <c r="NBI5" s="390"/>
      <c r="NBJ5" s="390"/>
      <c r="NBK5" s="390"/>
      <c r="NBL5" s="390"/>
      <c r="NBM5" s="390"/>
      <c r="NBN5" s="390"/>
      <c r="NBO5" s="390"/>
      <c r="NBP5" s="390"/>
      <c r="NBQ5" s="390"/>
      <c r="NBR5" s="390"/>
      <c r="NBS5" s="390"/>
      <c r="NBT5" s="390"/>
      <c r="NBU5" s="390"/>
      <c r="NBV5" s="390"/>
      <c r="NBW5" s="390"/>
      <c r="NBX5" s="390"/>
      <c r="NBY5" s="390"/>
      <c r="NBZ5" s="390"/>
      <c r="NCA5" s="390"/>
      <c r="NCB5" s="390"/>
      <c r="NCC5" s="390"/>
      <c r="NCD5" s="390"/>
      <c r="NCE5" s="390"/>
      <c r="NCF5" s="390"/>
      <c r="NCG5" s="390"/>
      <c r="NCH5" s="390"/>
      <c r="NCI5" s="390"/>
      <c r="NCJ5" s="390"/>
      <c r="NCK5" s="390"/>
      <c r="NCL5" s="390"/>
      <c r="NCM5" s="390"/>
      <c r="NCN5" s="390"/>
      <c r="NCO5" s="390"/>
      <c r="NCP5" s="390"/>
      <c r="NCQ5" s="390"/>
      <c r="NCR5" s="390"/>
      <c r="NCS5" s="390"/>
      <c r="NCT5" s="390"/>
      <c r="NCU5" s="390"/>
      <c r="NCV5" s="390"/>
      <c r="NCW5" s="390"/>
      <c r="NCX5" s="390"/>
      <c r="NCY5" s="390"/>
      <c r="NCZ5" s="390"/>
      <c r="NDA5" s="390"/>
      <c r="NDB5" s="390"/>
      <c r="NDC5" s="390"/>
      <c r="NDD5" s="390"/>
      <c r="NDE5" s="390"/>
      <c r="NDF5" s="390"/>
      <c r="NDG5" s="390"/>
      <c r="NDH5" s="390"/>
      <c r="NDI5" s="390"/>
      <c r="NDJ5" s="390"/>
      <c r="NDK5" s="390"/>
      <c r="NDL5" s="390"/>
      <c r="NDM5" s="390"/>
      <c r="NDN5" s="390"/>
      <c r="NDO5" s="390"/>
      <c r="NDP5" s="390"/>
      <c r="NDQ5" s="390"/>
      <c r="NDR5" s="390"/>
      <c r="NDS5" s="390"/>
      <c r="NDT5" s="390"/>
      <c r="NDU5" s="390"/>
      <c r="NDV5" s="390"/>
      <c r="NDW5" s="390"/>
      <c r="NDX5" s="390"/>
      <c r="NDY5" s="390"/>
      <c r="NDZ5" s="390"/>
      <c r="NEA5" s="390"/>
      <c r="NEB5" s="390"/>
      <c r="NEC5" s="390"/>
      <c r="NED5" s="390"/>
      <c r="NEE5" s="390"/>
      <c r="NEF5" s="390"/>
      <c r="NEG5" s="390"/>
      <c r="NEH5" s="390"/>
      <c r="NEI5" s="390"/>
      <c r="NEJ5" s="390"/>
      <c r="NEK5" s="390"/>
      <c r="NEL5" s="390"/>
      <c r="NEM5" s="390"/>
      <c r="NEN5" s="390"/>
      <c r="NEO5" s="390"/>
      <c r="NEP5" s="390"/>
      <c r="NEQ5" s="390"/>
      <c r="NER5" s="390"/>
      <c r="NES5" s="390"/>
      <c r="NET5" s="390"/>
      <c r="NEU5" s="390"/>
      <c r="NEV5" s="390"/>
      <c r="NEW5" s="390"/>
      <c r="NEX5" s="390"/>
      <c r="NEY5" s="390"/>
      <c r="NEZ5" s="390"/>
      <c r="NFA5" s="390"/>
      <c r="NFB5" s="390"/>
      <c r="NFC5" s="390"/>
      <c r="NFD5" s="390"/>
      <c r="NFE5" s="390"/>
      <c r="NFF5" s="390"/>
      <c r="NFG5" s="390"/>
      <c r="NFH5" s="390"/>
      <c r="NFI5" s="390"/>
      <c r="NFJ5" s="390"/>
      <c r="NFK5" s="390"/>
      <c r="NFL5" s="390"/>
      <c r="NFM5" s="390"/>
      <c r="NFN5" s="390"/>
      <c r="NFO5" s="390"/>
      <c r="NFP5" s="390"/>
      <c r="NFQ5" s="390"/>
      <c r="NFR5" s="390"/>
      <c r="NFS5" s="390"/>
      <c r="NFT5" s="390"/>
      <c r="NFU5" s="390"/>
      <c r="NFV5" s="390"/>
      <c r="NFW5" s="390"/>
      <c r="NFX5" s="390"/>
      <c r="NFY5" s="390"/>
      <c r="NFZ5" s="390"/>
      <c r="NGA5" s="390"/>
      <c r="NGB5" s="390"/>
      <c r="NGC5" s="390"/>
      <c r="NGD5" s="390"/>
      <c r="NGE5" s="390"/>
      <c r="NGF5" s="390"/>
      <c r="NGG5" s="390"/>
      <c r="NGH5" s="390"/>
      <c r="NGI5" s="390"/>
      <c r="NGJ5" s="390"/>
      <c r="NGK5" s="390"/>
      <c r="NGL5" s="390"/>
      <c r="NGM5" s="390"/>
      <c r="NGN5" s="390"/>
      <c r="NGO5" s="390"/>
      <c r="NGP5" s="390"/>
      <c r="NGQ5" s="390"/>
      <c r="NGR5" s="390"/>
      <c r="NGS5" s="390"/>
      <c r="NGT5" s="390"/>
      <c r="NGU5" s="390"/>
      <c r="NGV5" s="390"/>
      <c r="NGW5" s="390"/>
      <c r="NGX5" s="390"/>
      <c r="NGY5" s="390"/>
      <c r="NGZ5" s="390"/>
      <c r="NHA5" s="390"/>
      <c r="NHB5" s="390"/>
      <c r="NHC5" s="390"/>
      <c r="NHD5" s="390"/>
      <c r="NHE5" s="390"/>
      <c r="NHF5" s="390"/>
      <c r="NHG5" s="390"/>
      <c r="NHH5" s="390"/>
      <c r="NHI5" s="390"/>
      <c r="NHJ5" s="390"/>
      <c r="NHK5" s="390"/>
      <c r="NHL5" s="390"/>
      <c r="NHM5" s="390"/>
      <c r="NHN5" s="390"/>
      <c r="NHO5" s="390"/>
      <c r="NHP5" s="390"/>
      <c r="NHQ5" s="390"/>
      <c r="NHR5" s="390"/>
      <c r="NHS5" s="390"/>
      <c r="NHT5" s="390"/>
      <c r="NHU5" s="390"/>
      <c r="NHV5" s="390"/>
      <c r="NHW5" s="390"/>
      <c r="NHX5" s="390"/>
      <c r="NHY5" s="390"/>
      <c r="NHZ5" s="390"/>
      <c r="NIA5" s="390"/>
      <c r="NIB5" s="390"/>
      <c r="NIC5" s="390"/>
      <c r="NID5" s="390"/>
      <c r="NIE5" s="390"/>
      <c r="NIF5" s="390"/>
      <c r="NIG5" s="390"/>
      <c r="NIH5" s="390"/>
      <c r="NII5" s="390"/>
      <c r="NIJ5" s="390"/>
      <c r="NIK5" s="390"/>
      <c r="NIL5" s="390"/>
      <c r="NIM5" s="390"/>
      <c r="NIN5" s="390"/>
      <c r="NIO5" s="390"/>
      <c r="NIP5" s="390"/>
      <c r="NIQ5" s="390"/>
      <c r="NIR5" s="390"/>
      <c r="NIS5" s="390"/>
      <c r="NIT5" s="390"/>
      <c r="NIU5" s="390"/>
      <c r="NIV5" s="390"/>
      <c r="NIW5" s="390"/>
      <c r="NIX5" s="390"/>
      <c r="NIY5" s="390"/>
      <c r="NIZ5" s="390"/>
      <c r="NJA5" s="390"/>
      <c r="NJB5" s="390"/>
      <c r="NJC5" s="390"/>
      <c r="NJD5" s="390"/>
      <c r="NJE5" s="390"/>
      <c r="NJF5" s="390"/>
      <c r="NJG5" s="390"/>
      <c r="NJH5" s="390"/>
      <c r="NJI5" s="390"/>
      <c r="NJJ5" s="390"/>
      <c r="NJK5" s="390"/>
      <c r="NJL5" s="390"/>
      <c r="NJM5" s="390"/>
      <c r="NJN5" s="390"/>
      <c r="NJO5" s="390"/>
      <c r="NJP5" s="390"/>
      <c r="NJQ5" s="390"/>
      <c r="NJR5" s="390"/>
      <c r="NJS5" s="390"/>
      <c r="NJT5" s="390"/>
      <c r="NJU5" s="390"/>
      <c r="NJV5" s="390"/>
      <c r="NJW5" s="390"/>
      <c r="NJX5" s="390"/>
      <c r="NJY5" s="390"/>
      <c r="NJZ5" s="390"/>
      <c r="NKA5" s="390"/>
      <c r="NKB5" s="390"/>
      <c r="NKC5" s="390"/>
      <c r="NKD5" s="390"/>
      <c r="NKE5" s="390"/>
      <c r="NKF5" s="390"/>
      <c r="NKG5" s="390"/>
      <c r="NKH5" s="390"/>
      <c r="NKI5" s="390"/>
      <c r="NKJ5" s="390"/>
      <c r="NKK5" s="390"/>
      <c r="NKL5" s="390"/>
      <c r="NKM5" s="390"/>
      <c r="NKN5" s="390"/>
      <c r="NKO5" s="390"/>
      <c r="NKP5" s="390"/>
      <c r="NKQ5" s="390"/>
      <c r="NKR5" s="390"/>
      <c r="NKS5" s="390"/>
      <c r="NKT5" s="390"/>
      <c r="NKU5" s="390"/>
      <c r="NKV5" s="390"/>
      <c r="NKW5" s="390"/>
      <c r="NKX5" s="390"/>
      <c r="NKY5" s="390"/>
      <c r="NKZ5" s="390"/>
      <c r="NLA5" s="390"/>
      <c r="NLB5" s="390"/>
      <c r="NLC5" s="390"/>
      <c r="NLD5" s="390"/>
      <c r="NLE5" s="390"/>
      <c r="NLF5" s="390"/>
      <c r="NLG5" s="390"/>
      <c r="NLH5" s="390"/>
      <c r="NLI5" s="390"/>
      <c r="NLJ5" s="390"/>
      <c r="NLK5" s="390"/>
      <c r="NLL5" s="390"/>
      <c r="NLM5" s="390"/>
      <c r="NLN5" s="390"/>
      <c r="NLO5" s="390"/>
      <c r="NLP5" s="390"/>
      <c r="NLQ5" s="390"/>
      <c r="NLR5" s="390"/>
      <c r="NLS5" s="390"/>
      <c r="NLT5" s="390"/>
      <c r="NLU5" s="390"/>
      <c r="NLV5" s="390"/>
      <c r="NLW5" s="390"/>
      <c r="NLX5" s="390"/>
      <c r="NLY5" s="390"/>
      <c r="NLZ5" s="390"/>
      <c r="NMA5" s="390"/>
      <c r="NMB5" s="390"/>
      <c r="NMC5" s="390"/>
      <c r="NMD5" s="390"/>
      <c r="NME5" s="390"/>
      <c r="NMF5" s="390"/>
      <c r="NMG5" s="390"/>
      <c r="NMH5" s="390"/>
      <c r="NMI5" s="390"/>
      <c r="NMJ5" s="390"/>
      <c r="NMK5" s="390"/>
      <c r="NML5" s="390"/>
      <c r="NMM5" s="390"/>
      <c r="NMN5" s="390"/>
      <c r="NMO5" s="390"/>
      <c r="NMP5" s="390"/>
      <c r="NMQ5" s="390"/>
      <c r="NMR5" s="390"/>
      <c r="NMS5" s="390"/>
      <c r="NMT5" s="390"/>
      <c r="NMU5" s="390"/>
      <c r="NMV5" s="390"/>
      <c r="NMW5" s="390"/>
      <c r="NMX5" s="390"/>
      <c r="NMY5" s="390"/>
      <c r="NMZ5" s="390"/>
      <c r="NNA5" s="390"/>
      <c r="NNB5" s="390"/>
      <c r="NNC5" s="390"/>
      <c r="NND5" s="390"/>
      <c r="NNE5" s="390"/>
      <c r="NNF5" s="390"/>
      <c r="NNG5" s="390"/>
      <c r="NNH5" s="390"/>
      <c r="NNI5" s="390"/>
      <c r="NNJ5" s="390"/>
      <c r="NNK5" s="390"/>
      <c r="NNL5" s="390"/>
      <c r="NNM5" s="390"/>
      <c r="NNN5" s="390"/>
      <c r="NNO5" s="390"/>
      <c r="NNP5" s="390"/>
      <c r="NNQ5" s="390"/>
      <c r="NNR5" s="390"/>
      <c r="NNS5" s="390"/>
      <c r="NNT5" s="390"/>
      <c r="NNU5" s="390"/>
      <c r="NNV5" s="390"/>
      <c r="NNW5" s="390"/>
      <c r="NNX5" s="390"/>
      <c r="NNY5" s="390"/>
      <c r="NNZ5" s="390"/>
      <c r="NOA5" s="390"/>
      <c r="NOB5" s="390"/>
      <c r="NOC5" s="390"/>
      <c r="NOD5" s="390"/>
      <c r="NOE5" s="390"/>
      <c r="NOF5" s="390"/>
      <c r="NOG5" s="390"/>
      <c r="NOH5" s="390"/>
      <c r="NOI5" s="390"/>
      <c r="NOJ5" s="390"/>
      <c r="NOK5" s="390"/>
      <c r="NOL5" s="390"/>
      <c r="NOM5" s="390"/>
      <c r="NON5" s="390"/>
      <c r="NOO5" s="390"/>
      <c r="NOP5" s="390"/>
      <c r="NOQ5" s="390"/>
      <c r="NOR5" s="390"/>
      <c r="NOS5" s="390"/>
      <c r="NOT5" s="390"/>
      <c r="NOU5" s="390"/>
      <c r="NOV5" s="390"/>
      <c r="NOW5" s="390"/>
      <c r="NOX5" s="390"/>
      <c r="NOY5" s="390"/>
      <c r="NOZ5" s="390"/>
      <c r="NPA5" s="390"/>
      <c r="NPB5" s="390"/>
      <c r="NPC5" s="390"/>
      <c r="NPD5" s="390"/>
      <c r="NPE5" s="390"/>
      <c r="NPF5" s="390"/>
      <c r="NPG5" s="390"/>
      <c r="NPH5" s="390"/>
      <c r="NPI5" s="390"/>
      <c r="NPJ5" s="390"/>
      <c r="NPK5" s="390"/>
      <c r="NPL5" s="390"/>
      <c r="NPM5" s="390"/>
      <c r="NPN5" s="390"/>
      <c r="NPO5" s="390"/>
      <c r="NPP5" s="390"/>
      <c r="NPQ5" s="390"/>
      <c r="NPR5" s="390"/>
      <c r="NPS5" s="390"/>
      <c r="NPT5" s="390"/>
      <c r="NPU5" s="390"/>
      <c r="NPV5" s="390"/>
      <c r="NPW5" s="390"/>
      <c r="NPX5" s="390"/>
      <c r="NPY5" s="390"/>
      <c r="NPZ5" s="390"/>
      <c r="NQA5" s="390"/>
      <c r="NQB5" s="390"/>
      <c r="NQC5" s="390"/>
      <c r="NQD5" s="390"/>
      <c r="NQE5" s="390"/>
      <c r="NQF5" s="390"/>
      <c r="NQG5" s="390"/>
      <c r="NQH5" s="390"/>
      <c r="NQI5" s="390"/>
      <c r="NQJ5" s="390"/>
      <c r="NQK5" s="390"/>
      <c r="NQL5" s="390"/>
      <c r="NQM5" s="390"/>
      <c r="NQN5" s="390"/>
      <c r="NQO5" s="390"/>
      <c r="NQP5" s="390"/>
      <c r="NQQ5" s="390"/>
      <c r="NQR5" s="390"/>
      <c r="NQS5" s="390"/>
      <c r="NQT5" s="390"/>
      <c r="NQU5" s="390"/>
      <c r="NQV5" s="390"/>
      <c r="NQW5" s="390"/>
      <c r="NQX5" s="390"/>
      <c r="NQY5" s="390"/>
      <c r="NQZ5" s="390"/>
      <c r="NRA5" s="390"/>
      <c r="NRB5" s="390"/>
      <c r="NRC5" s="390"/>
      <c r="NRD5" s="390"/>
      <c r="NRE5" s="390"/>
      <c r="NRF5" s="390"/>
      <c r="NRG5" s="390"/>
      <c r="NRH5" s="390"/>
      <c r="NRI5" s="390"/>
      <c r="NRJ5" s="390"/>
      <c r="NRK5" s="390"/>
      <c r="NRL5" s="390"/>
      <c r="NRM5" s="390"/>
      <c r="NRN5" s="390"/>
      <c r="NRO5" s="390"/>
      <c r="NRP5" s="390"/>
      <c r="NRQ5" s="390"/>
      <c r="NRR5" s="390"/>
      <c r="NRS5" s="390"/>
      <c r="NRT5" s="390"/>
      <c r="NRU5" s="390"/>
      <c r="NRV5" s="390"/>
      <c r="NRW5" s="390"/>
      <c r="NRX5" s="390"/>
      <c r="NRY5" s="390"/>
      <c r="NRZ5" s="390"/>
      <c r="NSA5" s="390"/>
      <c r="NSB5" s="390"/>
      <c r="NSC5" s="390"/>
      <c r="NSD5" s="390"/>
      <c r="NSE5" s="390"/>
      <c r="NSF5" s="390"/>
      <c r="NSG5" s="390"/>
      <c r="NSH5" s="390"/>
      <c r="NSI5" s="390"/>
      <c r="NSJ5" s="390"/>
      <c r="NSK5" s="390"/>
      <c r="NSL5" s="390"/>
      <c r="NSM5" s="390"/>
      <c r="NSN5" s="390"/>
      <c r="NSO5" s="390"/>
      <c r="NSP5" s="390"/>
      <c r="NSQ5" s="390"/>
      <c r="NSR5" s="390"/>
      <c r="NSS5" s="390"/>
      <c r="NST5" s="390"/>
      <c r="NSU5" s="390"/>
      <c r="NSV5" s="390"/>
      <c r="NSW5" s="390"/>
      <c r="NSX5" s="390"/>
      <c r="NSY5" s="390"/>
      <c r="NSZ5" s="390"/>
      <c r="NTA5" s="390"/>
      <c r="NTB5" s="390"/>
      <c r="NTC5" s="390"/>
      <c r="NTD5" s="390"/>
      <c r="NTE5" s="390"/>
      <c r="NTF5" s="390"/>
      <c r="NTG5" s="390"/>
      <c r="NTH5" s="390"/>
      <c r="NTI5" s="390"/>
      <c r="NTJ5" s="390"/>
      <c r="NTK5" s="390"/>
      <c r="NTL5" s="390"/>
      <c r="NTM5" s="390"/>
      <c r="NTN5" s="390"/>
      <c r="NTO5" s="390"/>
      <c r="NTP5" s="390"/>
      <c r="NTQ5" s="390"/>
      <c r="NTR5" s="390"/>
      <c r="NTS5" s="390"/>
      <c r="NTT5" s="390"/>
      <c r="NTU5" s="390"/>
      <c r="NTV5" s="390"/>
      <c r="NTW5" s="390"/>
      <c r="NTX5" s="390"/>
      <c r="NTY5" s="390"/>
      <c r="NTZ5" s="390"/>
      <c r="NUA5" s="390"/>
      <c r="NUB5" s="390"/>
      <c r="NUC5" s="390"/>
      <c r="NUD5" s="390"/>
      <c r="NUE5" s="390"/>
      <c r="NUF5" s="390"/>
      <c r="NUG5" s="390"/>
      <c r="NUH5" s="390"/>
      <c r="NUI5" s="390"/>
      <c r="NUJ5" s="390"/>
      <c r="NUK5" s="390"/>
      <c r="NUL5" s="390"/>
      <c r="NUM5" s="390"/>
      <c r="NUN5" s="390"/>
      <c r="NUO5" s="390"/>
      <c r="NUP5" s="390"/>
      <c r="NUQ5" s="390"/>
      <c r="NUR5" s="390"/>
      <c r="NUS5" s="390"/>
      <c r="NUT5" s="390"/>
      <c r="NUU5" s="390"/>
      <c r="NUV5" s="390"/>
      <c r="NUW5" s="390"/>
      <c r="NUX5" s="390"/>
      <c r="NUY5" s="390"/>
      <c r="NUZ5" s="390"/>
      <c r="NVA5" s="390"/>
      <c r="NVB5" s="390"/>
      <c r="NVC5" s="390"/>
      <c r="NVD5" s="390"/>
      <c r="NVE5" s="390"/>
      <c r="NVF5" s="390"/>
      <c r="NVG5" s="390"/>
      <c r="NVH5" s="390"/>
      <c r="NVI5" s="390"/>
      <c r="NVJ5" s="390"/>
      <c r="NVK5" s="390"/>
      <c r="NVL5" s="390"/>
      <c r="NVM5" s="390"/>
      <c r="NVN5" s="390"/>
      <c r="NVO5" s="390"/>
      <c r="NVP5" s="390"/>
      <c r="NVQ5" s="390"/>
      <c r="NVR5" s="390"/>
      <c r="NVS5" s="390"/>
      <c r="NVT5" s="390"/>
      <c r="NVU5" s="390"/>
      <c r="NVV5" s="390"/>
      <c r="NVW5" s="390"/>
      <c r="NVX5" s="390"/>
      <c r="NVY5" s="390"/>
      <c r="NVZ5" s="390"/>
      <c r="NWA5" s="390"/>
      <c r="NWB5" s="390"/>
      <c r="NWC5" s="390"/>
      <c r="NWD5" s="390"/>
      <c r="NWE5" s="390"/>
      <c r="NWF5" s="390"/>
      <c r="NWG5" s="390"/>
      <c r="NWH5" s="390"/>
      <c r="NWI5" s="390"/>
      <c r="NWJ5" s="390"/>
      <c r="NWK5" s="390"/>
      <c r="NWL5" s="390"/>
      <c r="NWM5" s="390"/>
      <c r="NWN5" s="390"/>
      <c r="NWO5" s="390"/>
      <c r="NWP5" s="390"/>
      <c r="NWQ5" s="390"/>
      <c r="NWR5" s="390"/>
      <c r="NWS5" s="390"/>
      <c r="NWT5" s="390"/>
      <c r="NWU5" s="390"/>
      <c r="NWV5" s="390"/>
      <c r="NWW5" s="390"/>
      <c r="NWX5" s="390"/>
      <c r="NWY5" s="390"/>
      <c r="NWZ5" s="390"/>
      <c r="NXA5" s="390"/>
      <c r="NXB5" s="390"/>
      <c r="NXC5" s="390"/>
      <c r="NXD5" s="390"/>
      <c r="NXE5" s="390"/>
      <c r="NXF5" s="390"/>
      <c r="NXG5" s="390"/>
      <c r="NXH5" s="390"/>
      <c r="NXI5" s="390"/>
      <c r="NXJ5" s="390"/>
      <c r="NXK5" s="390"/>
      <c r="NXL5" s="390"/>
      <c r="NXM5" s="390"/>
      <c r="NXN5" s="390"/>
      <c r="NXO5" s="390"/>
      <c r="NXP5" s="390"/>
      <c r="NXQ5" s="390"/>
      <c r="NXR5" s="390"/>
      <c r="NXS5" s="390"/>
      <c r="NXT5" s="390"/>
      <c r="NXU5" s="390"/>
      <c r="NXV5" s="390"/>
      <c r="NXW5" s="390"/>
      <c r="NXX5" s="390"/>
      <c r="NXY5" s="390"/>
      <c r="NXZ5" s="390"/>
      <c r="NYA5" s="390"/>
      <c r="NYB5" s="390"/>
      <c r="NYC5" s="390"/>
      <c r="NYD5" s="390"/>
      <c r="NYE5" s="390"/>
      <c r="NYF5" s="390"/>
      <c r="NYG5" s="390"/>
      <c r="NYH5" s="390"/>
      <c r="NYI5" s="390"/>
      <c r="NYJ5" s="390"/>
      <c r="NYK5" s="390"/>
      <c r="NYL5" s="390"/>
      <c r="NYM5" s="390"/>
      <c r="NYN5" s="390"/>
      <c r="NYO5" s="390"/>
      <c r="NYP5" s="390"/>
      <c r="NYQ5" s="390"/>
      <c r="NYR5" s="390"/>
      <c r="NYS5" s="390"/>
      <c r="NYT5" s="390"/>
      <c r="NYU5" s="390"/>
      <c r="NYV5" s="390"/>
      <c r="NYW5" s="390"/>
      <c r="NYX5" s="390"/>
      <c r="NYY5" s="390"/>
      <c r="NYZ5" s="390"/>
      <c r="NZA5" s="390"/>
      <c r="NZB5" s="390"/>
      <c r="NZC5" s="390"/>
      <c r="NZD5" s="390"/>
      <c r="NZE5" s="390"/>
      <c r="NZF5" s="390"/>
      <c r="NZG5" s="390"/>
      <c r="NZH5" s="390"/>
      <c r="NZI5" s="390"/>
      <c r="NZJ5" s="390"/>
      <c r="NZK5" s="390"/>
      <c r="NZL5" s="390"/>
      <c r="NZM5" s="390"/>
      <c r="NZN5" s="390"/>
      <c r="NZO5" s="390"/>
      <c r="NZP5" s="390"/>
      <c r="NZQ5" s="390"/>
      <c r="NZR5" s="390"/>
      <c r="NZS5" s="390"/>
      <c r="NZT5" s="390"/>
      <c r="NZU5" s="390"/>
      <c r="NZV5" s="390"/>
      <c r="NZW5" s="390"/>
      <c r="NZX5" s="390"/>
      <c r="NZY5" s="390"/>
      <c r="NZZ5" s="390"/>
      <c r="OAA5" s="390"/>
      <c r="OAB5" s="390"/>
      <c r="OAC5" s="390"/>
      <c r="OAD5" s="390"/>
      <c r="OAE5" s="390"/>
      <c r="OAF5" s="390"/>
      <c r="OAG5" s="390"/>
      <c r="OAH5" s="390"/>
      <c r="OAI5" s="390"/>
      <c r="OAJ5" s="390"/>
      <c r="OAK5" s="390"/>
      <c r="OAL5" s="390"/>
      <c r="OAM5" s="390"/>
      <c r="OAN5" s="390"/>
      <c r="OAO5" s="390"/>
      <c r="OAP5" s="390"/>
      <c r="OAQ5" s="390"/>
      <c r="OAR5" s="390"/>
      <c r="OAS5" s="390"/>
      <c r="OAT5" s="390"/>
      <c r="OAU5" s="390"/>
      <c r="OAV5" s="390"/>
      <c r="OAW5" s="390"/>
      <c r="OAX5" s="390"/>
      <c r="OAY5" s="390"/>
      <c r="OAZ5" s="390"/>
      <c r="OBA5" s="390"/>
      <c r="OBB5" s="390"/>
      <c r="OBC5" s="390"/>
      <c r="OBD5" s="390"/>
      <c r="OBE5" s="390"/>
      <c r="OBF5" s="390"/>
      <c r="OBG5" s="390"/>
      <c r="OBH5" s="390"/>
      <c r="OBI5" s="390"/>
      <c r="OBJ5" s="390"/>
      <c r="OBK5" s="390"/>
      <c r="OBL5" s="390"/>
      <c r="OBM5" s="390"/>
      <c r="OBN5" s="390"/>
      <c r="OBO5" s="390"/>
      <c r="OBP5" s="390"/>
      <c r="OBQ5" s="390"/>
      <c r="OBR5" s="390"/>
      <c r="OBS5" s="390"/>
      <c r="OBT5" s="390"/>
      <c r="OBU5" s="390"/>
      <c r="OBV5" s="390"/>
      <c r="OBW5" s="390"/>
      <c r="OBX5" s="390"/>
      <c r="OBY5" s="390"/>
      <c r="OBZ5" s="390"/>
      <c r="OCA5" s="390"/>
      <c r="OCB5" s="390"/>
      <c r="OCC5" s="390"/>
      <c r="OCD5" s="390"/>
      <c r="OCE5" s="390"/>
      <c r="OCF5" s="390"/>
      <c r="OCG5" s="390"/>
      <c r="OCH5" s="390"/>
      <c r="OCI5" s="390"/>
      <c r="OCJ5" s="390"/>
      <c r="OCK5" s="390"/>
      <c r="OCL5" s="390"/>
      <c r="OCM5" s="390"/>
      <c r="OCN5" s="390"/>
      <c r="OCO5" s="390"/>
      <c r="OCP5" s="390"/>
      <c r="OCQ5" s="390"/>
      <c r="OCR5" s="390"/>
      <c r="OCS5" s="390"/>
      <c r="OCT5" s="390"/>
      <c r="OCU5" s="390"/>
      <c r="OCV5" s="390"/>
      <c r="OCW5" s="390"/>
      <c r="OCX5" s="390"/>
      <c r="OCY5" s="390"/>
      <c r="OCZ5" s="390"/>
      <c r="ODA5" s="390"/>
      <c r="ODB5" s="390"/>
      <c r="ODC5" s="390"/>
      <c r="ODD5" s="390"/>
      <c r="ODE5" s="390"/>
      <c r="ODF5" s="390"/>
      <c r="ODG5" s="390"/>
      <c r="ODH5" s="390"/>
      <c r="ODI5" s="390"/>
      <c r="ODJ5" s="390"/>
      <c r="ODK5" s="390"/>
      <c r="ODL5" s="390"/>
      <c r="ODM5" s="390"/>
      <c r="ODN5" s="390"/>
      <c r="ODO5" s="390"/>
      <c r="ODP5" s="390"/>
      <c r="ODQ5" s="390"/>
      <c r="ODR5" s="390"/>
      <c r="ODS5" s="390"/>
      <c r="ODT5" s="390"/>
      <c r="ODU5" s="390"/>
      <c r="ODV5" s="390"/>
      <c r="ODW5" s="390"/>
      <c r="ODX5" s="390"/>
      <c r="ODY5" s="390"/>
      <c r="ODZ5" s="390"/>
      <c r="OEA5" s="390"/>
      <c r="OEB5" s="390"/>
      <c r="OEC5" s="390"/>
      <c r="OED5" s="390"/>
      <c r="OEE5" s="390"/>
      <c r="OEF5" s="390"/>
      <c r="OEG5" s="390"/>
      <c r="OEH5" s="390"/>
      <c r="OEI5" s="390"/>
      <c r="OEJ5" s="390"/>
      <c r="OEK5" s="390"/>
      <c r="OEL5" s="390"/>
      <c r="OEM5" s="390"/>
      <c r="OEN5" s="390"/>
      <c r="OEO5" s="390"/>
      <c r="OEP5" s="390"/>
      <c r="OEQ5" s="390"/>
      <c r="OER5" s="390"/>
      <c r="OES5" s="390"/>
      <c r="OET5" s="390"/>
      <c r="OEU5" s="390"/>
      <c r="OEV5" s="390"/>
      <c r="OEW5" s="390"/>
      <c r="OEX5" s="390"/>
      <c r="OEY5" s="390"/>
      <c r="OEZ5" s="390"/>
      <c r="OFA5" s="390"/>
      <c r="OFB5" s="390"/>
      <c r="OFC5" s="390"/>
      <c r="OFD5" s="390"/>
      <c r="OFE5" s="390"/>
      <c r="OFF5" s="390"/>
      <c r="OFG5" s="390"/>
      <c r="OFH5" s="390"/>
      <c r="OFI5" s="390"/>
      <c r="OFJ5" s="390"/>
      <c r="OFK5" s="390"/>
      <c r="OFL5" s="390"/>
      <c r="OFM5" s="390"/>
      <c r="OFN5" s="390"/>
      <c r="OFO5" s="390"/>
      <c r="OFP5" s="390"/>
      <c r="OFQ5" s="390"/>
      <c r="OFR5" s="390"/>
      <c r="OFS5" s="390"/>
      <c r="OFT5" s="390"/>
      <c r="OFU5" s="390"/>
      <c r="OFV5" s="390"/>
      <c r="OFW5" s="390"/>
      <c r="OFX5" s="390"/>
      <c r="OFY5" s="390"/>
      <c r="OFZ5" s="390"/>
      <c r="OGA5" s="390"/>
      <c r="OGB5" s="390"/>
      <c r="OGC5" s="390"/>
      <c r="OGD5" s="390"/>
      <c r="OGE5" s="390"/>
      <c r="OGF5" s="390"/>
      <c r="OGG5" s="390"/>
      <c r="OGH5" s="390"/>
      <c r="OGI5" s="390"/>
      <c r="OGJ5" s="390"/>
      <c r="OGK5" s="390"/>
      <c r="OGL5" s="390"/>
      <c r="OGM5" s="390"/>
      <c r="OGN5" s="390"/>
      <c r="OGO5" s="390"/>
      <c r="OGP5" s="390"/>
      <c r="OGQ5" s="390"/>
      <c r="OGR5" s="390"/>
      <c r="OGS5" s="390"/>
      <c r="OGT5" s="390"/>
      <c r="OGU5" s="390"/>
      <c r="OGV5" s="390"/>
      <c r="OGW5" s="390"/>
      <c r="OGX5" s="390"/>
      <c r="OGY5" s="390"/>
      <c r="OGZ5" s="390"/>
      <c r="OHA5" s="390"/>
      <c r="OHB5" s="390"/>
      <c r="OHC5" s="390"/>
      <c r="OHD5" s="390"/>
      <c r="OHE5" s="390"/>
      <c r="OHF5" s="390"/>
      <c r="OHG5" s="390"/>
      <c r="OHH5" s="390"/>
      <c r="OHI5" s="390"/>
      <c r="OHJ5" s="390"/>
      <c r="OHK5" s="390"/>
      <c r="OHL5" s="390"/>
      <c r="OHM5" s="390"/>
      <c r="OHN5" s="390"/>
      <c r="OHO5" s="390"/>
      <c r="OHP5" s="390"/>
      <c r="OHQ5" s="390"/>
      <c r="OHR5" s="390"/>
      <c r="OHS5" s="390"/>
      <c r="OHT5" s="390"/>
      <c r="OHU5" s="390"/>
      <c r="OHV5" s="390"/>
      <c r="OHW5" s="390"/>
      <c r="OHX5" s="390"/>
      <c r="OHY5" s="390"/>
      <c r="OHZ5" s="390"/>
      <c r="OIA5" s="390"/>
      <c r="OIB5" s="390"/>
      <c r="OIC5" s="390"/>
      <c r="OID5" s="390"/>
      <c r="OIE5" s="390"/>
      <c r="OIF5" s="390"/>
      <c r="OIG5" s="390"/>
      <c r="OIH5" s="390"/>
      <c r="OII5" s="390"/>
      <c r="OIJ5" s="390"/>
      <c r="OIK5" s="390"/>
      <c r="OIL5" s="390"/>
      <c r="OIM5" s="390"/>
      <c r="OIN5" s="390"/>
      <c r="OIO5" s="390"/>
      <c r="OIP5" s="390"/>
      <c r="OIQ5" s="390"/>
      <c r="OIR5" s="390"/>
      <c r="OIS5" s="390"/>
      <c r="OIT5" s="390"/>
      <c r="OIU5" s="390"/>
      <c r="OIV5" s="390"/>
      <c r="OIW5" s="390"/>
      <c r="OIX5" s="390"/>
      <c r="OIY5" s="390"/>
      <c r="OIZ5" s="390"/>
      <c r="OJA5" s="390"/>
      <c r="OJB5" s="390"/>
      <c r="OJC5" s="390"/>
      <c r="OJD5" s="390"/>
      <c r="OJE5" s="390"/>
      <c r="OJF5" s="390"/>
      <c r="OJG5" s="390"/>
      <c r="OJH5" s="390"/>
      <c r="OJI5" s="390"/>
      <c r="OJJ5" s="390"/>
      <c r="OJK5" s="390"/>
      <c r="OJL5" s="390"/>
      <c r="OJM5" s="390"/>
      <c r="OJN5" s="390"/>
      <c r="OJO5" s="390"/>
      <c r="OJP5" s="390"/>
      <c r="OJQ5" s="390"/>
      <c r="OJR5" s="390"/>
      <c r="OJS5" s="390"/>
      <c r="OJT5" s="390"/>
      <c r="OJU5" s="390"/>
      <c r="OJV5" s="390"/>
      <c r="OJW5" s="390"/>
      <c r="OJX5" s="390"/>
      <c r="OJY5" s="390"/>
      <c r="OJZ5" s="390"/>
      <c r="OKA5" s="390"/>
      <c r="OKB5" s="390"/>
      <c r="OKC5" s="390"/>
      <c r="OKD5" s="390"/>
      <c r="OKE5" s="390"/>
      <c r="OKF5" s="390"/>
      <c r="OKG5" s="390"/>
      <c r="OKH5" s="390"/>
      <c r="OKI5" s="390"/>
      <c r="OKJ5" s="390"/>
      <c r="OKK5" s="390"/>
      <c r="OKL5" s="390"/>
      <c r="OKM5" s="390"/>
      <c r="OKN5" s="390"/>
      <c r="OKO5" s="390"/>
      <c r="OKP5" s="390"/>
      <c r="OKQ5" s="390"/>
      <c r="OKR5" s="390"/>
      <c r="OKS5" s="390"/>
      <c r="OKT5" s="390"/>
      <c r="OKU5" s="390"/>
      <c r="OKV5" s="390"/>
      <c r="OKW5" s="390"/>
      <c r="OKX5" s="390"/>
      <c r="OKY5" s="390"/>
      <c r="OKZ5" s="390"/>
      <c r="OLA5" s="390"/>
      <c r="OLB5" s="390"/>
      <c r="OLC5" s="390"/>
      <c r="OLD5" s="390"/>
      <c r="OLE5" s="390"/>
      <c r="OLF5" s="390"/>
      <c r="OLG5" s="390"/>
      <c r="OLH5" s="390"/>
      <c r="OLI5" s="390"/>
      <c r="OLJ5" s="390"/>
      <c r="OLK5" s="390"/>
      <c r="OLL5" s="390"/>
      <c r="OLM5" s="390"/>
      <c r="OLN5" s="390"/>
      <c r="OLO5" s="390"/>
      <c r="OLP5" s="390"/>
      <c r="OLQ5" s="390"/>
      <c r="OLR5" s="390"/>
      <c r="OLS5" s="390"/>
      <c r="OLT5" s="390"/>
      <c r="OLU5" s="390"/>
      <c r="OLV5" s="390"/>
      <c r="OLW5" s="390"/>
      <c r="OLX5" s="390"/>
      <c r="OLY5" s="390"/>
      <c r="OLZ5" s="390"/>
      <c r="OMA5" s="390"/>
      <c r="OMB5" s="390"/>
      <c r="OMC5" s="390"/>
      <c r="OMD5" s="390"/>
      <c r="OME5" s="390"/>
      <c r="OMF5" s="390"/>
      <c r="OMG5" s="390"/>
      <c r="OMH5" s="390"/>
      <c r="OMI5" s="390"/>
      <c r="OMJ5" s="390"/>
      <c r="OMK5" s="390"/>
      <c r="OML5" s="390"/>
      <c r="OMM5" s="390"/>
      <c r="OMN5" s="390"/>
      <c r="OMO5" s="390"/>
      <c r="OMP5" s="390"/>
      <c r="OMQ5" s="390"/>
      <c r="OMR5" s="390"/>
      <c r="OMS5" s="390"/>
      <c r="OMT5" s="390"/>
      <c r="OMU5" s="390"/>
      <c r="OMV5" s="390"/>
      <c r="OMW5" s="390"/>
      <c r="OMX5" s="390"/>
      <c r="OMY5" s="390"/>
      <c r="OMZ5" s="390"/>
      <c r="ONA5" s="390"/>
      <c r="ONB5" s="390"/>
      <c r="ONC5" s="390"/>
      <c r="OND5" s="390"/>
      <c r="ONE5" s="390"/>
      <c r="ONF5" s="390"/>
      <c r="ONG5" s="390"/>
      <c r="ONH5" s="390"/>
      <c r="ONI5" s="390"/>
      <c r="ONJ5" s="390"/>
      <c r="ONK5" s="390"/>
      <c r="ONL5" s="390"/>
      <c r="ONM5" s="390"/>
      <c r="ONN5" s="390"/>
      <c r="ONO5" s="390"/>
      <c r="ONP5" s="390"/>
      <c r="ONQ5" s="390"/>
      <c r="ONR5" s="390"/>
      <c r="ONS5" s="390"/>
      <c r="ONT5" s="390"/>
      <c r="ONU5" s="390"/>
      <c r="ONV5" s="390"/>
      <c r="ONW5" s="390"/>
      <c r="ONX5" s="390"/>
      <c r="ONY5" s="390"/>
      <c r="ONZ5" s="390"/>
      <c r="OOA5" s="390"/>
      <c r="OOB5" s="390"/>
      <c r="OOC5" s="390"/>
      <c r="OOD5" s="390"/>
      <c r="OOE5" s="390"/>
      <c r="OOF5" s="390"/>
      <c r="OOG5" s="390"/>
      <c r="OOH5" s="390"/>
      <c r="OOI5" s="390"/>
      <c r="OOJ5" s="390"/>
      <c r="OOK5" s="390"/>
      <c r="OOL5" s="390"/>
      <c r="OOM5" s="390"/>
      <c r="OON5" s="390"/>
      <c r="OOO5" s="390"/>
      <c r="OOP5" s="390"/>
      <c r="OOQ5" s="390"/>
      <c r="OOR5" s="390"/>
      <c r="OOS5" s="390"/>
      <c r="OOT5" s="390"/>
      <c r="OOU5" s="390"/>
      <c r="OOV5" s="390"/>
      <c r="OOW5" s="390"/>
      <c r="OOX5" s="390"/>
      <c r="OOY5" s="390"/>
      <c r="OOZ5" s="390"/>
      <c r="OPA5" s="390"/>
      <c r="OPB5" s="390"/>
      <c r="OPC5" s="390"/>
      <c r="OPD5" s="390"/>
      <c r="OPE5" s="390"/>
      <c r="OPF5" s="390"/>
      <c r="OPG5" s="390"/>
      <c r="OPH5" s="390"/>
      <c r="OPI5" s="390"/>
      <c r="OPJ5" s="390"/>
      <c r="OPK5" s="390"/>
      <c r="OPL5" s="390"/>
      <c r="OPM5" s="390"/>
      <c r="OPN5" s="390"/>
      <c r="OPO5" s="390"/>
      <c r="OPP5" s="390"/>
      <c r="OPQ5" s="390"/>
      <c r="OPR5" s="390"/>
      <c r="OPS5" s="390"/>
      <c r="OPT5" s="390"/>
      <c r="OPU5" s="390"/>
      <c r="OPV5" s="390"/>
      <c r="OPW5" s="390"/>
      <c r="OPX5" s="390"/>
      <c r="OPY5" s="390"/>
      <c r="OPZ5" s="390"/>
      <c r="OQA5" s="390"/>
      <c r="OQB5" s="390"/>
      <c r="OQC5" s="390"/>
      <c r="OQD5" s="390"/>
      <c r="OQE5" s="390"/>
      <c r="OQF5" s="390"/>
      <c r="OQG5" s="390"/>
      <c r="OQH5" s="390"/>
      <c r="OQI5" s="390"/>
      <c r="OQJ5" s="390"/>
      <c r="OQK5" s="390"/>
      <c r="OQL5" s="390"/>
      <c r="OQM5" s="390"/>
      <c r="OQN5" s="390"/>
      <c r="OQO5" s="390"/>
      <c r="OQP5" s="390"/>
      <c r="OQQ5" s="390"/>
      <c r="OQR5" s="390"/>
      <c r="OQS5" s="390"/>
      <c r="OQT5" s="390"/>
      <c r="OQU5" s="390"/>
      <c r="OQV5" s="390"/>
      <c r="OQW5" s="390"/>
      <c r="OQX5" s="390"/>
      <c r="OQY5" s="390"/>
      <c r="OQZ5" s="390"/>
      <c r="ORA5" s="390"/>
      <c r="ORB5" s="390"/>
      <c r="ORC5" s="390"/>
      <c r="ORD5" s="390"/>
      <c r="ORE5" s="390"/>
      <c r="ORF5" s="390"/>
      <c r="ORG5" s="390"/>
      <c r="ORH5" s="390"/>
      <c r="ORI5" s="390"/>
      <c r="ORJ5" s="390"/>
      <c r="ORK5" s="390"/>
      <c r="ORL5" s="390"/>
      <c r="ORM5" s="390"/>
      <c r="ORN5" s="390"/>
      <c r="ORO5" s="390"/>
      <c r="ORP5" s="390"/>
      <c r="ORQ5" s="390"/>
      <c r="ORR5" s="390"/>
      <c r="ORS5" s="390"/>
      <c r="ORT5" s="390"/>
      <c r="ORU5" s="390"/>
      <c r="ORV5" s="390"/>
      <c r="ORW5" s="390"/>
      <c r="ORX5" s="390"/>
      <c r="ORY5" s="390"/>
      <c r="ORZ5" s="390"/>
      <c r="OSA5" s="390"/>
      <c r="OSB5" s="390"/>
      <c r="OSC5" s="390"/>
      <c r="OSD5" s="390"/>
      <c r="OSE5" s="390"/>
      <c r="OSF5" s="390"/>
      <c r="OSG5" s="390"/>
      <c r="OSH5" s="390"/>
      <c r="OSI5" s="390"/>
      <c r="OSJ5" s="390"/>
      <c r="OSK5" s="390"/>
      <c r="OSL5" s="390"/>
      <c r="OSM5" s="390"/>
      <c r="OSN5" s="390"/>
      <c r="OSO5" s="390"/>
      <c r="OSP5" s="390"/>
      <c r="OSQ5" s="390"/>
      <c r="OSR5" s="390"/>
      <c r="OSS5" s="390"/>
      <c r="OST5" s="390"/>
      <c r="OSU5" s="390"/>
      <c r="OSV5" s="390"/>
      <c r="OSW5" s="390"/>
      <c r="OSX5" s="390"/>
      <c r="OSY5" s="390"/>
      <c r="OSZ5" s="390"/>
      <c r="OTA5" s="390"/>
      <c r="OTB5" s="390"/>
      <c r="OTC5" s="390"/>
      <c r="OTD5" s="390"/>
      <c r="OTE5" s="390"/>
      <c r="OTF5" s="390"/>
      <c r="OTG5" s="390"/>
      <c r="OTH5" s="390"/>
      <c r="OTI5" s="390"/>
      <c r="OTJ5" s="390"/>
      <c r="OTK5" s="390"/>
      <c r="OTL5" s="390"/>
      <c r="OTM5" s="390"/>
      <c r="OTN5" s="390"/>
      <c r="OTO5" s="390"/>
      <c r="OTP5" s="390"/>
      <c r="OTQ5" s="390"/>
      <c r="OTR5" s="390"/>
      <c r="OTS5" s="390"/>
      <c r="OTT5" s="390"/>
      <c r="OTU5" s="390"/>
      <c r="OTV5" s="390"/>
      <c r="OTW5" s="390"/>
      <c r="OTX5" s="390"/>
      <c r="OTY5" s="390"/>
      <c r="OTZ5" s="390"/>
      <c r="OUA5" s="390"/>
      <c r="OUB5" s="390"/>
      <c r="OUC5" s="390"/>
      <c r="OUD5" s="390"/>
      <c r="OUE5" s="390"/>
      <c r="OUF5" s="390"/>
      <c r="OUG5" s="390"/>
      <c r="OUH5" s="390"/>
      <c r="OUI5" s="390"/>
      <c r="OUJ5" s="390"/>
      <c r="OUK5" s="390"/>
      <c r="OUL5" s="390"/>
      <c r="OUM5" s="390"/>
      <c r="OUN5" s="390"/>
      <c r="OUO5" s="390"/>
      <c r="OUP5" s="390"/>
      <c r="OUQ5" s="390"/>
      <c r="OUR5" s="390"/>
      <c r="OUS5" s="390"/>
      <c r="OUT5" s="390"/>
      <c r="OUU5" s="390"/>
      <c r="OUV5" s="390"/>
      <c r="OUW5" s="390"/>
      <c r="OUX5" s="390"/>
      <c r="OUY5" s="390"/>
      <c r="OUZ5" s="390"/>
      <c r="OVA5" s="390"/>
      <c r="OVB5" s="390"/>
      <c r="OVC5" s="390"/>
      <c r="OVD5" s="390"/>
      <c r="OVE5" s="390"/>
      <c r="OVF5" s="390"/>
      <c r="OVG5" s="390"/>
      <c r="OVH5" s="390"/>
      <c r="OVI5" s="390"/>
      <c r="OVJ5" s="390"/>
      <c r="OVK5" s="390"/>
      <c r="OVL5" s="390"/>
      <c r="OVM5" s="390"/>
      <c r="OVN5" s="390"/>
      <c r="OVO5" s="390"/>
      <c r="OVP5" s="390"/>
      <c r="OVQ5" s="390"/>
      <c r="OVR5" s="390"/>
      <c r="OVS5" s="390"/>
      <c r="OVT5" s="390"/>
      <c r="OVU5" s="390"/>
      <c r="OVV5" s="390"/>
      <c r="OVW5" s="390"/>
      <c r="OVX5" s="390"/>
      <c r="OVY5" s="390"/>
      <c r="OVZ5" s="390"/>
      <c r="OWA5" s="390"/>
      <c r="OWB5" s="390"/>
      <c r="OWC5" s="390"/>
      <c r="OWD5" s="390"/>
      <c r="OWE5" s="390"/>
      <c r="OWF5" s="390"/>
      <c r="OWG5" s="390"/>
      <c r="OWH5" s="390"/>
      <c r="OWI5" s="390"/>
      <c r="OWJ5" s="390"/>
      <c r="OWK5" s="390"/>
      <c r="OWL5" s="390"/>
      <c r="OWM5" s="390"/>
      <c r="OWN5" s="390"/>
      <c r="OWO5" s="390"/>
      <c r="OWP5" s="390"/>
      <c r="OWQ5" s="390"/>
      <c r="OWR5" s="390"/>
      <c r="OWS5" s="390"/>
      <c r="OWT5" s="390"/>
      <c r="OWU5" s="390"/>
      <c r="OWV5" s="390"/>
      <c r="OWW5" s="390"/>
      <c r="OWX5" s="390"/>
      <c r="OWY5" s="390"/>
      <c r="OWZ5" s="390"/>
      <c r="OXA5" s="390"/>
      <c r="OXB5" s="390"/>
      <c r="OXC5" s="390"/>
      <c r="OXD5" s="390"/>
      <c r="OXE5" s="390"/>
      <c r="OXF5" s="390"/>
      <c r="OXG5" s="390"/>
      <c r="OXH5" s="390"/>
      <c r="OXI5" s="390"/>
      <c r="OXJ5" s="390"/>
      <c r="OXK5" s="390"/>
      <c r="OXL5" s="390"/>
      <c r="OXM5" s="390"/>
      <c r="OXN5" s="390"/>
      <c r="OXO5" s="390"/>
      <c r="OXP5" s="390"/>
      <c r="OXQ5" s="390"/>
      <c r="OXR5" s="390"/>
      <c r="OXS5" s="390"/>
      <c r="OXT5" s="390"/>
      <c r="OXU5" s="390"/>
      <c r="OXV5" s="390"/>
      <c r="OXW5" s="390"/>
      <c r="OXX5" s="390"/>
      <c r="OXY5" s="390"/>
      <c r="OXZ5" s="390"/>
      <c r="OYA5" s="390"/>
      <c r="OYB5" s="390"/>
      <c r="OYC5" s="390"/>
      <c r="OYD5" s="390"/>
      <c r="OYE5" s="390"/>
      <c r="OYF5" s="390"/>
      <c r="OYG5" s="390"/>
      <c r="OYH5" s="390"/>
      <c r="OYI5" s="390"/>
      <c r="OYJ5" s="390"/>
      <c r="OYK5" s="390"/>
      <c r="OYL5" s="390"/>
      <c r="OYM5" s="390"/>
      <c r="OYN5" s="390"/>
      <c r="OYO5" s="390"/>
      <c r="OYP5" s="390"/>
      <c r="OYQ5" s="390"/>
      <c r="OYR5" s="390"/>
      <c r="OYS5" s="390"/>
      <c r="OYT5" s="390"/>
      <c r="OYU5" s="390"/>
      <c r="OYV5" s="390"/>
      <c r="OYW5" s="390"/>
      <c r="OYX5" s="390"/>
      <c r="OYY5" s="390"/>
      <c r="OYZ5" s="390"/>
      <c r="OZA5" s="390"/>
      <c r="OZB5" s="390"/>
      <c r="OZC5" s="390"/>
      <c r="OZD5" s="390"/>
      <c r="OZE5" s="390"/>
      <c r="OZF5" s="390"/>
      <c r="OZG5" s="390"/>
      <c r="OZH5" s="390"/>
      <c r="OZI5" s="390"/>
      <c r="OZJ5" s="390"/>
      <c r="OZK5" s="390"/>
      <c r="OZL5" s="390"/>
      <c r="OZM5" s="390"/>
      <c r="OZN5" s="390"/>
      <c r="OZO5" s="390"/>
      <c r="OZP5" s="390"/>
      <c r="OZQ5" s="390"/>
      <c r="OZR5" s="390"/>
      <c r="OZS5" s="390"/>
      <c r="OZT5" s="390"/>
      <c r="OZU5" s="390"/>
      <c r="OZV5" s="390"/>
      <c r="OZW5" s="390"/>
      <c r="OZX5" s="390"/>
      <c r="OZY5" s="390"/>
      <c r="OZZ5" s="390"/>
      <c r="PAA5" s="390"/>
      <c r="PAB5" s="390"/>
      <c r="PAC5" s="390"/>
      <c r="PAD5" s="390"/>
      <c r="PAE5" s="390"/>
      <c r="PAF5" s="390"/>
      <c r="PAG5" s="390"/>
      <c r="PAH5" s="390"/>
      <c r="PAI5" s="390"/>
      <c r="PAJ5" s="390"/>
      <c r="PAK5" s="390"/>
      <c r="PAL5" s="390"/>
      <c r="PAM5" s="390"/>
      <c r="PAN5" s="390"/>
      <c r="PAO5" s="390"/>
      <c r="PAP5" s="390"/>
      <c r="PAQ5" s="390"/>
      <c r="PAR5" s="390"/>
      <c r="PAS5" s="390"/>
      <c r="PAT5" s="390"/>
      <c r="PAU5" s="390"/>
      <c r="PAV5" s="390"/>
      <c r="PAW5" s="390"/>
      <c r="PAX5" s="390"/>
      <c r="PAY5" s="390"/>
      <c r="PAZ5" s="390"/>
      <c r="PBA5" s="390"/>
      <c r="PBB5" s="390"/>
      <c r="PBC5" s="390"/>
      <c r="PBD5" s="390"/>
      <c r="PBE5" s="390"/>
      <c r="PBF5" s="390"/>
      <c r="PBG5" s="390"/>
      <c r="PBH5" s="390"/>
      <c r="PBI5" s="390"/>
      <c r="PBJ5" s="390"/>
      <c r="PBK5" s="390"/>
      <c r="PBL5" s="390"/>
      <c r="PBM5" s="390"/>
      <c r="PBN5" s="390"/>
      <c r="PBO5" s="390"/>
      <c r="PBP5" s="390"/>
      <c r="PBQ5" s="390"/>
      <c r="PBR5" s="390"/>
      <c r="PBS5" s="390"/>
      <c r="PBT5" s="390"/>
      <c r="PBU5" s="390"/>
      <c r="PBV5" s="390"/>
      <c r="PBW5" s="390"/>
      <c r="PBX5" s="390"/>
      <c r="PBY5" s="390"/>
      <c r="PBZ5" s="390"/>
      <c r="PCA5" s="390"/>
      <c r="PCB5" s="390"/>
      <c r="PCC5" s="390"/>
      <c r="PCD5" s="390"/>
      <c r="PCE5" s="390"/>
      <c r="PCF5" s="390"/>
      <c r="PCG5" s="390"/>
      <c r="PCH5" s="390"/>
      <c r="PCI5" s="390"/>
      <c r="PCJ5" s="390"/>
      <c r="PCK5" s="390"/>
      <c r="PCL5" s="390"/>
      <c r="PCM5" s="390"/>
      <c r="PCN5" s="390"/>
      <c r="PCO5" s="390"/>
      <c r="PCP5" s="390"/>
      <c r="PCQ5" s="390"/>
      <c r="PCR5" s="390"/>
      <c r="PCS5" s="390"/>
      <c r="PCT5" s="390"/>
      <c r="PCU5" s="390"/>
      <c r="PCV5" s="390"/>
      <c r="PCW5" s="390"/>
      <c r="PCX5" s="390"/>
      <c r="PCY5" s="390"/>
      <c r="PCZ5" s="390"/>
      <c r="PDA5" s="390"/>
      <c r="PDB5" s="390"/>
      <c r="PDC5" s="390"/>
      <c r="PDD5" s="390"/>
      <c r="PDE5" s="390"/>
      <c r="PDF5" s="390"/>
      <c r="PDG5" s="390"/>
      <c r="PDH5" s="390"/>
      <c r="PDI5" s="390"/>
      <c r="PDJ5" s="390"/>
      <c r="PDK5" s="390"/>
      <c r="PDL5" s="390"/>
      <c r="PDM5" s="390"/>
      <c r="PDN5" s="390"/>
      <c r="PDO5" s="390"/>
      <c r="PDP5" s="390"/>
      <c r="PDQ5" s="390"/>
      <c r="PDR5" s="390"/>
      <c r="PDS5" s="390"/>
      <c r="PDT5" s="390"/>
      <c r="PDU5" s="390"/>
      <c r="PDV5" s="390"/>
      <c r="PDW5" s="390"/>
      <c r="PDX5" s="390"/>
      <c r="PDY5" s="390"/>
      <c r="PDZ5" s="390"/>
      <c r="PEA5" s="390"/>
      <c r="PEB5" s="390"/>
      <c r="PEC5" s="390"/>
      <c r="PED5" s="390"/>
      <c r="PEE5" s="390"/>
      <c r="PEF5" s="390"/>
      <c r="PEG5" s="390"/>
      <c r="PEH5" s="390"/>
      <c r="PEI5" s="390"/>
      <c r="PEJ5" s="390"/>
      <c r="PEK5" s="390"/>
      <c r="PEL5" s="390"/>
      <c r="PEM5" s="390"/>
      <c r="PEN5" s="390"/>
      <c r="PEO5" s="390"/>
      <c r="PEP5" s="390"/>
      <c r="PEQ5" s="390"/>
      <c r="PER5" s="390"/>
      <c r="PES5" s="390"/>
      <c r="PET5" s="390"/>
      <c r="PEU5" s="390"/>
      <c r="PEV5" s="390"/>
      <c r="PEW5" s="390"/>
      <c r="PEX5" s="390"/>
      <c r="PEY5" s="390"/>
      <c r="PEZ5" s="390"/>
      <c r="PFA5" s="390"/>
      <c r="PFB5" s="390"/>
      <c r="PFC5" s="390"/>
      <c r="PFD5" s="390"/>
      <c r="PFE5" s="390"/>
      <c r="PFF5" s="390"/>
      <c r="PFG5" s="390"/>
      <c r="PFH5" s="390"/>
      <c r="PFI5" s="390"/>
      <c r="PFJ5" s="390"/>
      <c r="PFK5" s="390"/>
      <c r="PFL5" s="390"/>
      <c r="PFM5" s="390"/>
      <c r="PFN5" s="390"/>
      <c r="PFO5" s="390"/>
      <c r="PFP5" s="390"/>
      <c r="PFQ5" s="390"/>
      <c r="PFR5" s="390"/>
      <c r="PFS5" s="390"/>
      <c r="PFT5" s="390"/>
      <c r="PFU5" s="390"/>
      <c r="PFV5" s="390"/>
      <c r="PFW5" s="390"/>
      <c r="PFX5" s="390"/>
      <c r="PFY5" s="390"/>
      <c r="PFZ5" s="390"/>
      <c r="PGA5" s="390"/>
      <c r="PGB5" s="390"/>
      <c r="PGC5" s="390"/>
      <c r="PGD5" s="390"/>
      <c r="PGE5" s="390"/>
      <c r="PGF5" s="390"/>
      <c r="PGG5" s="390"/>
      <c r="PGH5" s="390"/>
      <c r="PGI5" s="390"/>
      <c r="PGJ5" s="390"/>
      <c r="PGK5" s="390"/>
      <c r="PGL5" s="390"/>
      <c r="PGM5" s="390"/>
      <c r="PGN5" s="390"/>
      <c r="PGO5" s="390"/>
      <c r="PGP5" s="390"/>
      <c r="PGQ5" s="390"/>
      <c r="PGR5" s="390"/>
      <c r="PGS5" s="390"/>
      <c r="PGT5" s="390"/>
      <c r="PGU5" s="390"/>
      <c r="PGV5" s="390"/>
      <c r="PGW5" s="390"/>
      <c r="PGX5" s="390"/>
      <c r="PGY5" s="390"/>
      <c r="PGZ5" s="390"/>
      <c r="PHA5" s="390"/>
      <c r="PHB5" s="390"/>
      <c r="PHC5" s="390"/>
      <c r="PHD5" s="390"/>
      <c r="PHE5" s="390"/>
      <c r="PHF5" s="390"/>
      <c r="PHG5" s="390"/>
      <c r="PHH5" s="390"/>
      <c r="PHI5" s="390"/>
      <c r="PHJ5" s="390"/>
      <c r="PHK5" s="390"/>
      <c r="PHL5" s="390"/>
      <c r="PHM5" s="390"/>
      <c r="PHN5" s="390"/>
      <c r="PHO5" s="390"/>
      <c r="PHP5" s="390"/>
      <c r="PHQ5" s="390"/>
      <c r="PHR5" s="390"/>
      <c r="PHS5" s="390"/>
      <c r="PHT5" s="390"/>
      <c r="PHU5" s="390"/>
      <c r="PHV5" s="390"/>
      <c r="PHW5" s="390"/>
      <c r="PHX5" s="390"/>
      <c r="PHY5" s="390"/>
      <c r="PHZ5" s="390"/>
      <c r="PIA5" s="390"/>
      <c r="PIB5" s="390"/>
      <c r="PIC5" s="390"/>
      <c r="PID5" s="390"/>
      <c r="PIE5" s="390"/>
      <c r="PIF5" s="390"/>
      <c r="PIG5" s="390"/>
      <c r="PIH5" s="390"/>
      <c r="PII5" s="390"/>
      <c r="PIJ5" s="390"/>
      <c r="PIK5" s="390"/>
      <c r="PIL5" s="390"/>
      <c r="PIM5" s="390"/>
      <c r="PIN5" s="390"/>
      <c r="PIO5" s="390"/>
      <c r="PIP5" s="390"/>
      <c r="PIQ5" s="390"/>
      <c r="PIR5" s="390"/>
      <c r="PIS5" s="390"/>
      <c r="PIT5" s="390"/>
      <c r="PIU5" s="390"/>
      <c r="PIV5" s="390"/>
      <c r="PIW5" s="390"/>
      <c r="PIX5" s="390"/>
      <c r="PIY5" s="390"/>
      <c r="PIZ5" s="390"/>
      <c r="PJA5" s="390"/>
      <c r="PJB5" s="390"/>
      <c r="PJC5" s="390"/>
      <c r="PJD5" s="390"/>
      <c r="PJE5" s="390"/>
      <c r="PJF5" s="390"/>
      <c r="PJG5" s="390"/>
      <c r="PJH5" s="390"/>
      <c r="PJI5" s="390"/>
      <c r="PJJ5" s="390"/>
      <c r="PJK5" s="390"/>
      <c r="PJL5" s="390"/>
      <c r="PJM5" s="390"/>
      <c r="PJN5" s="390"/>
      <c r="PJO5" s="390"/>
      <c r="PJP5" s="390"/>
      <c r="PJQ5" s="390"/>
      <c r="PJR5" s="390"/>
      <c r="PJS5" s="390"/>
      <c r="PJT5" s="390"/>
      <c r="PJU5" s="390"/>
      <c r="PJV5" s="390"/>
      <c r="PJW5" s="390"/>
      <c r="PJX5" s="390"/>
      <c r="PJY5" s="390"/>
      <c r="PJZ5" s="390"/>
      <c r="PKA5" s="390"/>
      <c r="PKB5" s="390"/>
      <c r="PKC5" s="390"/>
      <c r="PKD5" s="390"/>
      <c r="PKE5" s="390"/>
      <c r="PKF5" s="390"/>
      <c r="PKG5" s="390"/>
      <c r="PKH5" s="390"/>
      <c r="PKI5" s="390"/>
      <c r="PKJ5" s="390"/>
      <c r="PKK5" s="390"/>
      <c r="PKL5" s="390"/>
      <c r="PKM5" s="390"/>
      <c r="PKN5" s="390"/>
      <c r="PKO5" s="390"/>
      <c r="PKP5" s="390"/>
      <c r="PKQ5" s="390"/>
      <c r="PKR5" s="390"/>
      <c r="PKS5" s="390"/>
      <c r="PKT5" s="390"/>
      <c r="PKU5" s="390"/>
      <c r="PKV5" s="390"/>
      <c r="PKW5" s="390"/>
      <c r="PKX5" s="390"/>
      <c r="PKY5" s="390"/>
      <c r="PKZ5" s="390"/>
      <c r="PLA5" s="390"/>
      <c r="PLB5" s="390"/>
      <c r="PLC5" s="390"/>
      <c r="PLD5" s="390"/>
      <c r="PLE5" s="390"/>
      <c r="PLF5" s="390"/>
      <c r="PLG5" s="390"/>
      <c r="PLH5" s="390"/>
      <c r="PLI5" s="390"/>
      <c r="PLJ5" s="390"/>
      <c r="PLK5" s="390"/>
      <c r="PLL5" s="390"/>
      <c r="PLM5" s="390"/>
      <c r="PLN5" s="390"/>
      <c r="PLO5" s="390"/>
      <c r="PLP5" s="390"/>
      <c r="PLQ5" s="390"/>
      <c r="PLR5" s="390"/>
      <c r="PLS5" s="390"/>
      <c r="PLT5" s="390"/>
      <c r="PLU5" s="390"/>
      <c r="PLV5" s="390"/>
      <c r="PLW5" s="390"/>
      <c r="PLX5" s="390"/>
      <c r="PLY5" s="390"/>
      <c r="PLZ5" s="390"/>
      <c r="PMA5" s="390"/>
      <c r="PMB5" s="390"/>
      <c r="PMC5" s="390"/>
      <c r="PMD5" s="390"/>
      <c r="PME5" s="390"/>
      <c r="PMF5" s="390"/>
      <c r="PMG5" s="390"/>
      <c r="PMH5" s="390"/>
      <c r="PMI5" s="390"/>
      <c r="PMJ5" s="390"/>
      <c r="PMK5" s="390"/>
      <c r="PML5" s="390"/>
      <c r="PMM5" s="390"/>
      <c r="PMN5" s="390"/>
      <c r="PMO5" s="390"/>
      <c r="PMP5" s="390"/>
      <c r="PMQ5" s="390"/>
      <c r="PMR5" s="390"/>
      <c r="PMS5" s="390"/>
      <c r="PMT5" s="390"/>
      <c r="PMU5" s="390"/>
      <c r="PMV5" s="390"/>
      <c r="PMW5" s="390"/>
      <c r="PMX5" s="390"/>
      <c r="PMY5" s="390"/>
      <c r="PMZ5" s="390"/>
      <c r="PNA5" s="390"/>
      <c r="PNB5" s="390"/>
      <c r="PNC5" s="390"/>
      <c r="PND5" s="390"/>
      <c r="PNE5" s="390"/>
      <c r="PNF5" s="390"/>
      <c r="PNG5" s="390"/>
      <c r="PNH5" s="390"/>
      <c r="PNI5" s="390"/>
      <c r="PNJ5" s="390"/>
      <c r="PNK5" s="390"/>
      <c r="PNL5" s="390"/>
      <c r="PNM5" s="390"/>
      <c r="PNN5" s="390"/>
      <c r="PNO5" s="390"/>
      <c r="PNP5" s="390"/>
      <c r="PNQ5" s="390"/>
      <c r="PNR5" s="390"/>
      <c r="PNS5" s="390"/>
      <c r="PNT5" s="390"/>
      <c r="PNU5" s="390"/>
      <c r="PNV5" s="390"/>
      <c r="PNW5" s="390"/>
      <c r="PNX5" s="390"/>
      <c r="PNY5" s="390"/>
      <c r="PNZ5" s="390"/>
      <c r="POA5" s="390"/>
      <c r="POB5" s="390"/>
      <c r="POC5" s="390"/>
      <c r="POD5" s="390"/>
      <c r="POE5" s="390"/>
      <c r="POF5" s="390"/>
      <c r="POG5" s="390"/>
      <c r="POH5" s="390"/>
      <c r="POI5" s="390"/>
      <c r="POJ5" s="390"/>
      <c r="POK5" s="390"/>
      <c r="POL5" s="390"/>
      <c r="POM5" s="390"/>
      <c r="PON5" s="390"/>
      <c r="POO5" s="390"/>
      <c r="POP5" s="390"/>
      <c r="POQ5" s="390"/>
      <c r="POR5" s="390"/>
      <c r="POS5" s="390"/>
      <c r="POT5" s="390"/>
      <c r="POU5" s="390"/>
      <c r="POV5" s="390"/>
      <c r="POW5" s="390"/>
      <c r="POX5" s="390"/>
      <c r="POY5" s="390"/>
      <c r="POZ5" s="390"/>
      <c r="PPA5" s="390"/>
      <c r="PPB5" s="390"/>
      <c r="PPC5" s="390"/>
      <c r="PPD5" s="390"/>
      <c r="PPE5" s="390"/>
      <c r="PPF5" s="390"/>
      <c r="PPG5" s="390"/>
      <c r="PPH5" s="390"/>
      <c r="PPI5" s="390"/>
      <c r="PPJ5" s="390"/>
      <c r="PPK5" s="390"/>
      <c r="PPL5" s="390"/>
      <c r="PPM5" s="390"/>
      <c r="PPN5" s="390"/>
      <c r="PPO5" s="390"/>
      <c r="PPP5" s="390"/>
      <c r="PPQ5" s="390"/>
      <c r="PPR5" s="390"/>
      <c r="PPS5" s="390"/>
      <c r="PPT5" s="390"/>
      <c r="PPU5" s="390"/>
      <c r="PPV5" s="390"/>
      <c r="PPW5" s="390"/>
      <c r="PPX5" s="390"/>
      <c r="PPY5" s="390"/>
      <c r="PPZ5" s="390"/>
      <c r="PQA5" s="390"/>
      <c r="PQB5" s="390"/>
      <c r="PQC5" s="390"/>
      <c r="PQD5" s="390"/>
      <c r="PQE5" s="390"/>
      <c r="PQF5" s="390"/>
      <c r="PQG5" s="390"/>
      <c r="PQH5" s="390"/>
      <c r="PQI5" s="390"/>
      <c r="PQJ5" s="390"/>
      <c r="PQK5" s="390"/>
      <c r="PQL5" s="390"/>
      <c r="PQM5" s="390"/>
      <c r="PQN5" s="390"/>
      <c r="PQO5" s="390"/>
      <c r="PQP5" s="390"/>
      <c r="PQQ5" s="390"/>
      <c r="PQR5" s="390"/>
      <c r="PQS5" s="390"/>
      <c r="PQT5" s="390"/>
      <c r="PQU5" s="390"/>
      <c r="PQV5" s="390"/>
      <c r="PQW5" s="390"/>
      <c r="PQX5" s="390"/>
      <c r="PQY5" s="390"/>
      <c r="PQZ5" s="390"/>
      <c r="PRA5" s="390"/>
      <c r="PRB5" s="390"/>
      <c r="PRC5" s="390"/>
      <c r="PRD5" s="390"/>
      <c r="PRE5" s="390"/>
      <c r="PRF5" s="390"/>
      <c r="PRG5" s="390"/>
      <c r="PRH5" s="390"/>
      <c r="PRI5" s="390"/>
      <c r="PRJ5" s="390"/>
      <c r="PRK5" s="390"/>
      <c r="PRL5" s="390"/>
      <c r="PRM5" s="390"/>
      <c r="PRN5" s="390"/>
      <c r="PRO5" s="390"/>
      <c r="PRP5" s="390"/>
      <c r="PRQ5" s="390"/>
      <c r="PRR5" s="390"/>
      <c r="PRS5" s="390"/>
      <c r="PRT5" s="390"/>
      <c r="PRU5" s="390"/>
      <c r="PRV5" s="390"/>
      <c r="PRW5" s="390"/>
      <c r="PRX5" s="390"/>
      <c r="PRY5" s="390"/>
      <c r="PRZ5" s="390"/>
      <c r="PSA5" s="390"/>
      <c r="PSB5" s="390"/>
      <c r="PSC5" s="390"/>
      <c r="PSD5" s="390"/>
      <c r="PSE5" s="390"/>
      <c r="PSF5" s="390"/>
      <c r="PSG5" s="390"/>
      <c r="PSH5" s="390"/>
      <c r="PSI5" s="390"/>
      <c r="PSJ5" s="390"/>
      <c r="PSK5" s="390"/>
      <c r="PSL5" s="390"/>
      <c r="PSM5" s="390"/>
      <c r="PSN5" s="390"/>
      <c r="PSO5" s="390"/>
      <c r="PSP5" s="390"/>
      <c r="PSQ5" s="390"/>
      <c r="PSR5" s="390"/>
      <c r="PSS5" s="390"/>
      <c r="PST5" s="390"/>
      <c r="PSU5" s="390"/>
      <c r="PSV5" s="390"/>
      <c r="PSW5" s="390"/>
      <c r="PSX5" s="390"/>
      <c r="PSY5" s="390"/>
      <c r="PSZ5" s="390"/>
      <c r="PTA5" s="390"/>
      <c r="PTB5" s="390"/>
      <c r="PTC5" s="390"/>
      <c r="PTD5" s="390"/>
      <c r="PTE5" s="390"/>
      <c r="PTF5" s="390"/>
      <c r="PTG5" s="390"/>
      <c r="PTH5" s="390"/>
      <c r="PTI5" s="390"/>
      <c r="PTJ5" s="390"/>
      <c r="PTK5" s="390"/>
      <c r="PTL5" s="390"/>
      <c r="PTM5" s="390"/>
      <c r="PTN5" s="390"/>
      <c r="PTO5" s="390"/>
      <c r="PTP5" s="390"/>
      <c r="PTQ5" s="390"/>
      <c r="PTR5" s="390"/>
      <c r="PTS5" s="390"/>
      <c r="PTT5" s="390"/>
      <c r="PTU5" s="390"/>
      <c r="PTV5" s="390"/>
      <c r="PTW5" s="390"/>
      <c r="PTX5" s="390"/>
      <c r="PTY5" s="390"/>
      <c r="PTZ5" s="390"/>
      <c r="PUA5" s="390"/>
      <c r="PUB5" s="390"/>
      <c r="PUC5" s="390"/>
      <c r="PUD5" s="390"/>
      <c r="PUE5" s="390"/>
      <c r="PUF5" s="390"/>
      <c r="PUG5" s="390"/>
      <c r="PUH5" s="390"/>
      <c r="PUI5" s="390"/>
      <c r="PUJ5" s="390"/>
      <c r="PUK5" s="390"/>
      <c r="PUL5" s="390"/>
      <c r="PUM5" s="390"/>
      <c r="PUN5" s="390"/>
      <c r="PUO5" s="390"/>
      <c r="PUP5" s="390"/>
      <c r="PUQ5" s="390"/>
      <c r="PUR5" s="390"/>
      <c r="PUS5" s="390"/>
      <c r="PUT5" s="390"/>
      <c r="PUU5" s="390"/>
      <c r="PUV5" s="390"/>
      <c r="PUW5" s="390"/>
      <c r="PUX5" s="390"/>
      <c r="PUY5" s="390"/>
      <c r="PUZ5" s="390"/>
      <c r="PVA5" s="390"/>
      <c r="PVB5" s="390"/>
      <c r="PVC5" s="390"/>
      <c r="PVD5" s="390"/>
      <c r="PVE5" s="390"/>
      <c r="PVF5" s="390"/>
      <c r="PVG5" s="390"/>
      <c r="PVH5" s="390"/>
      <c r="PVI5" s="390"/>
      <c r="PVJ5" s="390"/>
      <c r="PVK5" s="390"/>
      <c r="PVL5" s="390"/>
      <c r="PVM5" s="390"/>
      <c r="PVN5" s="390"/>
      <c r="PVO5" s="390"/>
      <c r="PVP5" s="390"/>
      <c r="PVQ5" s="390"/>
      <c r="PVR5" s="390"/>
      <c r="PVS5" s="390"/>
      <c r="PVT5" s="390"/>
      <c r="PVU5" s="390"/>
      <c r="PVV5" s="390"/>
      <c r="PVW5" s="390"/>
      <c r="PVX5" s="390"/>
      <c r="PVY5" s="390"/>
      <c r="PVZ5" s="390"/>
      <c r="PWA5" s="390"/>
      <c r="PWB5" s="390"/>
      <c r="PWC5" s="390"/>
      <c r="PWD5" s="390"/>
      <c r="PWE5" s="390"/>
      <c r="PWF5" s="390"/>
      <c r="PWG5" s="390"/>
      <c r="PWH5" s="390"/>
      <c r="PWI5" s="390"/>
      <c r="PWJ5" s="390"/>
      <c r="PWK5" s="390"/>
      <c r="PWL5" s="390"/>
      <c r="PWM5" s="390"/>
      <c r="PWN5" s="390"/>
      <c r="PWO5" s="390"/>
      <c r="PWP5" s="390"/>
      <c r="PWQ5" s="390"/>
      <c r="PWR5" s="390"/>
      <c r="PWS5" s="390"/>
      <c r="PWT5" s="390"/>
      <c r="PWU5" s="390"/>
      <c r="PWV5" s="390"/>
      <c r="PWW5" s="390"/>
      <c r="PWX5" s="390"/>
      <c r="PWY5" s="390"/>
      <c r="PWZ5" s="390"/>
      <c r="PXA5" s="390"/>
      <c r="PXB5" s="390"/>
      <c r="PXC5" s="390"/>
      <c r="PXD5" s="390"/>
      <c r="PXE5" s="390"/>
      <c r="PXF5" s="390"/>
      <c r="PXG5" s="390"/>
      <c r="PXH5" s="390"/>
      <c r="PXI5" s="390"/>
      <c r="PXJ5" s="390"/>
      <c r="PXK5" s="390"/>
      <c r="PXL5" s="390"/>
      <c r="PXM5" s="390"/>
      <c r="PXN5" s="390"/>
      <c r="PXO5" s="390"/>
      <c r="PXP5" s="390"/>
      <c r="PXQ5" s="390"/>
      <c r="PXR5" s="390"/>
      <c r="PXS5" s="390"/>
      <c r="PXT5" s="390"/>
      <c r="PXU5" s="390"/>
      <c r="PXV5" s="390"/>
      <c r="PXW5" s="390"/>
      <c r="PXX5" s="390"/>
      <c r="PXY5" s="390"/>
      <c r="PXZ5" s="390"/>
      <c r="PYA5" s="390"/>
      <c r="PYB5" s="390"/>
      <c r="PYC5" s="390"/>
      <c r="PYD5" s="390"/>
      <c r="PYE5" s="390"/>
      <c r="PYF5" s="390"/>
      <c r="PYG5" s="390"/>
      <c r="PYH5" s="390"/>
      <c r="PYI5" s="390"/>
      <c r="PYJ5" s="390"/>
      <c r="PYK5" s="390"/>
      <c r="PYL5" s="390"/>
      <c r="PYM5" s="390"/>
      <c r="PYN5" s="390"/>
      <c r="PYO5" s="390"/>
      <c r="PYP5" s="390"/>
      <c r="PYQ5" s="390"/>
      <c r="PYR5" s="390"/>
      <c r="PYS5" s="390"/>
      <c r="PYT5" s="390"/>
      <c r="PYU5" s="390"/>
      <c r="PYV5" s="390"/>
      <c r="PYW5" s="390"/>
      <c r="PYX5" s="390"/>
      <c r="PYY5" s="390"/>
      <c r="PYZ5" s="390"/>
      <c r="PZA5" s="390"/>
      <c r="PZB5" s="390"/>
      <c r="PZC5" s="390"/>
      <c r="PZD5" s="390"/>
      <c r="PZE5" s="390"/>
      <c r="PZF5" s="390"/>
      <c r="PZG5" s="390"/>
      <c r="PZH5" s="390"/>
      <c r="PZI5" s="390"/>
      <c r="PZJ5" s="390"/>
      <c r="PZK5" s="390"/>
      <c r="PZL5" s="390"/>
      <c r="PZM5" s="390"/>
      <c r="PZN5" s="390"/>
      <c r="PZO5" s="390"/>
      <c r="PZP5" s="390"/>
      <c r="PZQ5" s="390"/>
      <c r="PZR5" s="390"/>
      <c r="PZS5" s="390"/>
      <c r="PZT5" s="390"/>
      <c r="PZU5" s="390"/>
      <c r="PZV5" s="390"/>
      <c r="PZW5" s="390"/>
      <c r="PZX5" s="390"/>
      <c r="PZY5" s="390"/>
      <c r="PZZ5" s="390"/>
      <c r="QAA5" s="390"/>
      <c r="QAB5" s="390"/>
      <c r="QAC5" s="390"/>
      <c r="QAD5" s="390"/>
      <c r="QAE5" s="390"/>
      <c r="QAF5" s="390"/>
      <c r="QAG5" s="390"/>
      <c r="QAH5" s="390"/>
      <c r="QAI5" s="390"/>
      <c r="QAJ5" s="390"/>
      <c r="QAK5" s="390"/>
      <c r="QAL5" s="390"/>
      <c r="QAM5" s="390"/>
      <c r="QAN5" s="390"/>
      <c r="QAO5" s="390"/>
      <c r="QAP5" s="390"/>
      <c r="QAQ5" s="390"/>
      <c r="QAR5" s="390"/>
      <c r="QAS5" s="390"/>
      <c r="QAT5" s="390"/>
      <c r="QAU5" s="390"/>
      <c r="QAV5" s="390"/>
      <c r="QAW5" s="390"/>
      <c r="QAX5" s="390"/>
      <c r="QAY5" s="390"/>
      <c r="QAZ5" s="390"/>
      <c r="QBA5" s="390"/>
      <c r="QBB5" s="390"/>
      <c r="QBC5" s="390"/>
      <c r="QBD5" s="390"/>
      <c r="QBE5" s="390"/>
      <c r="QBF5" s="390"/>
      <c r="QBG5" s="390"/>
      <c r="QBH5" s="390"/>
      <c r="QBI5" s="390"/>
      <c r="QBJ5" s="390"/>
      <c r="QBK5" s="390"/>
      <c r="QBL5" s="390"/>
      <c r="QBM5" s="390"/>
      <c r="QBN5" s="390"/>
      <c r="QBO5" s="390"/>
      <c r="QBP5" s="390"/>
      <c r="QBQ5" s="390"/>
      <c r="QBR5" s="390"/>
      <c r="QBS5" s="390"/>
      <c r="QBT5" s="390"/>
      <c r="QBU5" s="390"/>
      <c r="QBV5" s="390"/>
      <c r="QBW5" s="390"/>
      <c r="QBX5" s="390"/>
      <c r="QBY5" s="390"/>
      <c r="QBZ5" s="390"/>
      <c r="QCA5" s="390"/>
      <c r="QCB5" s="390"/>
      <c r="QCC5" s="390"/>
      <c r="QCD5" s="390"/>
      <c r="QCE5" s="390"/>
      <c r="QCF5" s="390"/>
      <c r="QCG5" s="390"/>
      <c r="QCH5" s="390"/>
      <c r="QCI5" s="390"/>
      <c r="QCJ5" s="390"/>
      <c r="QCK5" s="390"/>
      <c r="QCL5" s="390"/>
      <c r="QCM5" s="390"/>
      <c r="QCN5" s="390"/>
      <c r="QCO5" s="390"/>
      <c r="QCP5" s="390"/>
      <c r="QCQ5" s="390"/>
      <c r="QCR5" s="390"/>
      <c r="QCS5" s="390"/>
      <c r="QCT5" s="390"/>
      <c r="QCU5" s="390"/>
      <c r="QCV5" s="390"/>
      <c r="QCW5" s="390"/>
      <c r="QCX5" s="390"/>
      <c r="QCY5" s="390"/>
      <c r="QCZ5" s="390"/>
      <c r="QDA5" s="390"/>
      <c r="QDB5" s="390"/>
      <c r="QDC5" s="390"/>
      <c r="QDD5" s="390"/>
      <c r="QDE5" s="390"/>
      <c r="QDF5" s="390"/>
      <c r="QDG5" s="390"/>
      <c r="QDH5" s="390"/>
      <c r="QDI5" s="390"/>
      <c r="QDJ5" s="390"/>
      <c r="QDK5" s="390"/>
      <c r="QDL5" s="390"/>
      <c r="QDM5" s="390"/>
      <c r="QDN5" s="390"/>
      <c r="QDO5" s="390"/>
      <c r="QDP5" s="390"/>
      <c r="QDQ5" s="390"/>
      <c r="QDR5" s="390"/>
      <c r="QDS5" s="390"/>
      <c r="QDT5" s="390"/>
      <c r="QDU5" s="390"/>
      <c r="QDV5" s="390"/>
      <c r="QDW5" s="390"/>
      <c r="QDX5" s="390"/>
      <c r="QDY5" s="390"/>
      <c r="QDZ5" s="390"/>
      <c r="QEA5" s="390"/>
      <c r="QEB5" s="390"/>
      <c r="QEC5" s="390"/>
      <c r="QED5" s="390"/>
      <c r="QEE5" s="390"/>
      <c r="QEF5" s="390"/>
      <c r="QEG5" s="390"/>
      <c r="QEH5" s="390"/>
      <c r="QEI5" s="390"/>
      <c r="QEJ5" s="390"/>
      <c r="QEK5" s="390"/>
      <c r="QEL5" s="390"/>
      <c r="QEM5" s="390"/>
      <c r="QEN5" s="390"/>
      <c r="QEO5" s="390"/>
      <c r="QEP5" s="390"/>
      <c r="QEQ5" s="390"/>
      <c r="QER5" s="390"/>
      <c r="QES5" s="390"/>
      <c r="QET5" s="390"/>
      <c r="QEU5" s="390"/>
      <c r="QEV5" s="390"/>
      <c r="QEW5" s="390"/>
      <c r="QEX5" s="390"/>
      <c r="QEY5" s="390"/>
      <c r="QEZ5" s="390"/>
      <c r="QFA5" s="390"/>
      <c r="QFB5" s="390"/>
      <c r="QFC5" s="390"/>
      <c r="QFD5" s="390"/>
      <c r="QFE5" s="390"/>
      <c r="QFF5" s="390"/>
      <c r="QFG5" s="390"/>
      <c r="QFH5" s="390"/>
      <c r="QFI5" s="390"/>
      <c r="QFJ5" s="390"/>
      <c r="QFK5" s="390"/>
      <c r="QFL5" s="390"/>
      <c r="QFM5" s="390"/>
      <c r="QFN5" s="390"/>
      <c r="QFO5" s="390"/>
      <c r="QFP5" s="390"/>
      <c r="QFQ5" s="390"/>
      <c r="QFR5" s="390"/>
      <c r="QFS5" s="390"/>
      <c r="QFT5" s="390"/>
      <c r="QFU5" s="390"/>
      <c r="QFV5" s="390"/>
      <c r="QFW5" s="390"/>
      <c r="QFX5" s="390"/>
      <c r="QFY5" s="390"/>
      <c r="QFZ5" s="390"/>
      <c r="QGA5" s="390"/>
      <c r="QGB5" s="390"/>
      <c r="QGC5" s="390"/>
      <c r="QGD5" s="390"/>
      <c r="QGE5" s="390"/>
      <c r="QGF5" s="390"/>
      <c r="QGG5" s="390"/>
      <c r="QGH5" s="390"/>
      <c r="QGI5" s="390"/>
      <c r="QGJ5" s="390"/>
      <c r="QGK5" s="390"/>
      <c r="QGL5" s="390"/>
      <c r="QGM5" s="390"/>
      <c r="QGN5" s="390"/>
      <c r="QGO5" s="390"/>
      <c r="QGP5" s="390"/>
      <c r="QGQ5" s="390"/>
      <c r="QGR5" s="390"/>
      <c r="QGS5" s="390"/>
      <c r="QGT5" s="390"/>
      <c r="QGU5" s="390"/>
      <c r="QGV5" s="390"/>
      <c r="QGW5" s="390"/>
      <c r="QGX5" s="390"/>
      <c r="QGY5" s="390"/>
      <c r="QGZ5" s="390"/>
      <c r="QHA5" s="390"/>
      <c r="QHB5" s="390"/>
      <c r="QHC5" s="390"/>
      <c r="QHD5" s="390"/>
      <c r="QHE5" s="390"/>
      <c r="QHF5" s="390"/>
      <c r="QHG5" s="390"/>
      <c r="QHH5" s="390"/>
      <c r="QHI5" s="390"/>
      <c r="QHJ5" s="390"/>
      <c r="QHK5" s="390"/>
      <c r="QHL5" s="390"/>
      <c r="QHM5" s="390"/>
      <c r="QHN5" s="390"/>
      <c r="QHO5" s="390"/>
      <c r="QHP5" s="390"/>
      <c r="QHQ5" s="390"/>
      <c r="QHR5" s="390"/>
      <c r="QHS5" s="390"/>
      <c r="QHT5" s="390"/>
      <c r="QHU5" s="390"/>
      <c r="QHV5" s="390"/>
      <c r="QHW5" s="390"/>
      <c r="QHX5" s="390"/>
      <c r="QHY5" s="390"/>
      <c r="QHZ5" s="390"/>
      <c r="QIA5" s="390"/>
      <c r="QIB5" s="390"/>
      <c r="QIC5" s="390"/>
      <c r="QID5" s="390"/>
      <c r="QIE5" s="390"/>
      <c r="QIF5" s="390"/>
      <c r="QIG5" s="390"/>
      <c r="QIH5" s="390"/>
      <c r="QII5" s="390"/>
      <c r="QIJ5" s="390"/>
      <c r="QIK5" s="390"/>
      <c r="QIL5" s="390"/>
      <c r="QIM5" s="390"/>
      <c r="QIN5" s="390"/>
      <c r="QIO5" s="390"/>
      <c r="QIP5" s="390"/>
      <c r="QIQ5" s="390"/>
      <c r="QIR5" s="390"/>
      <c r="QIS5" s="390"/>
      <c r="QIT5" s="390"/>
      <c r="QIU5" s="390"/>
      <c r="QIV5" s="390"/>
      <c r="QIW5" s="390"/>
      <c r="QIX5" s="390"/>
      <c r="QIY5" s="390"/>
      <c r="QIZ5" s="390"/>
      <c r="QJA5" s="390"/>
      <c r="QJB5" s="390"/>
      <c r="QJC5" s="390"/>
      <c r="QJD5" s="390"/>
      <c r="QJE5" s="390"/>
      <c r="QJF5" s="390"/>
      <c r="QJG5" s="390"/>
      <c r="QJH5" s="390"/>
      <c r="QJI5" s="390"/>
      <c r="QJJ5" s="390"/>
      <c r="QJK5" s="390"/>
      <c r="QJL5" s="390"/>
      <c r="QJM5" s="390"/>
      <c r="QJN5" s="390"/>
      <c r="QJO5" s="390"/>
      <c r="QJP5" s="390"/>
      <c r="QJQ5" s="390"/>
      <c r="QJR5" s="390"/>
      <c r="QJS5" s="390"/>
      <c r="QJT5" s="390"/>
      <c r="QJU5" s="390"/>
      <c r="QJV5" s="390"/>
      <c r="QJW5" s="390"/>
      <c r="QJX5" s="390"/>
      <c r="QJY5" s="390"/>
      <c r="QJZ5" s="390"/>
      <c r="QKA5" s="390"/>
      <c r="QKB5" s="390"/>
      <c r="QKC5" s="390"/>
      <c r="QKD5" s="390"/>
      <c r="QKE5" s="390"/>
      <c r="QKF5" s="390"/>
      <c r="QKG5" s="390"/>
      <c r="QKH5" s="390"/>
      <c r="QKI5" s="390"/>
      <c r="QKJ5" s="390"/>
      <c r="QKK5" s="390"/>
      <c r="QKL5" s="390"/>
      <c r="QKM5" s="390"/>
      <c r="QKN5" s="390"/>
      <c r="QKO5" s="390"/>
      <c r="QKP5" s="390"/>
      <c r="QKQ5" s="390"/>
      <c r="QKR5" s="390"/>
      <c r="QKS5" s="390"/>
      <c r="QKT5" s="390"/>
      <c r="QKU5" s="390"/>
      <c r="QKV5" s="390"/>
      <c r="QKW5" s="390"/>
      <c r="QKX5" s="390"/>
      <c r="QKY5" s="390"/>
      <c r="QKZ5" s="390"/>
      <c r="QLA5" s="390"/>
      <c r="QLB5" s="390"/>
      <c r="QLC5" s="390"/>
      <c r="QLD5" s="390"/>
      <c r="QLE5" s="390"/>
      <c r="QLF5" s="390"/>
      <c r="QLG5" s="390"/>
      <c r="QLH5" s="390"/>
      <c r="QLI5" s="390"/>
      <c r="QLJ5" s="390"/>
      <c r="QLK5" s="390"/>
      <c r="QLL5" s="390"/>
      <c r="QLM5" s="390"/>
      <c r="QLN5" s="390"/>
      <c r="QLO5" s="390"/>
      <c r="QLP5" s="390"/>
      <c r="QLQ5" s="390"/>
      <c r="QLR5" s="390"/>
      <c r="QLS5" s="390"/>
      <c r="QLT5" s="390"/>
      <c r="QLU5" s="390"/>
      <c r="QLV5" s="390"/>
      <c r="QLW5" s="390"/>
      <c r="QLX5" s="390"/>
      <c r="QLY5" s="390"/>
      <c r="QLZ5" s="390"/>
      <c r="QMA5" s="390"/>
      <c r="QMB5" s="390"/>
      <c r="QMC5" s="390"/>
      <c r="QMD5" s="390"/>
      <c r="QME5" s="390"/>
      <c r="QMF5" s="390"/>
      <c r="QMG5" s="390"/>
      <c r="QMH5" s="390"/>
      <c r="QMI5" s="390"/>
      <c r="QMJ5" s="390"/>
      <c r="QMK5" s="390"/>
      <c r="QML5" s="390"/>
      <c r="QMM5" s="390"/>
      <c r="QMN5" s="390"/>
      <c r="QMO5" s="390"/>
      <c r="QMP5" s="390"/>
      <c r="QMQ5" s="390"/>
      <c r="QMR5" s="390"/>
      <c r="QMS5" s="390"/>
      <c r="QMT5" s="390"/>
      <c r="QMU5" s="390"/>
      <c r="QMV5" s="390"/>
      <c r="QMW5" s="390"/>
      <c r="QMX5" s="390"/>
      <c r="QMY5" s="390"/>
      <c r="QMZ5" s="390"/>
      <c r="QNA5" s="390"/>
      <c r="QNB5" s="390"/>
      <c r="QNC5" s="390"/>
      <c r="QND5" s="390"/>
      <c r="QNE5" s="390"/>
      <c r="QNF5" s="390"/>
      <c r="QNG5" s="390"/>
      <c r="QNH5" s="390"/>
      <c r="QNI5" s="390"/>
      <c r="QNJ5" s="390"/>
      <c r="QNK5" s="390"/>
      <c r="QNL5" s="390"/>
      <c r="QNM5" s="390"/>
      <c r="QNN5" s="390"/>
      <c r="QNO5" s="390"/>
      <c r="QNP5" s="390"/>
      <c r="QNQ5" s="390"/>
      <c r="QNR5" s="390"/>
      <c r="QNS5" s="390"/>
      <c r="QNT5" s="390"/>
      <c r="QNU5" s="390"/>
      <c r="QNV5" s="390"/>
      <c r="QNW5" s="390"/>
      <c r="QNX5" s="390"/>
      <c r="QNY5" s="390"/>
      <c r="QNZ5" s="390"/>
      <c r="QOA5" s="390"/>
      <c r="QOB5" s="390"/>
      <c r="QOC5" s="390"/>
      <c r="QOD5" s="390"/>
      <c r="QOE5" s="390"/>
      <c r="QOF5" s="390"/>
      <c r="QOG5" s="390"/>
      <c r="QOH5" s="390"/>
      <c r="QOI5" s="390"/>
      <c r="QOJ5" s="390"/>
      <c r="QOK5" s="390"/>
      <c r="QOL5" s="390"/>
      <c r="QOM5" s="390"/>
      <c r="QON5" s="390"/>
      <c r="QOO5" s="390"/>
      <c r="QOP5" s="390"/>
      <c r="QOQ5" s="390"/>
      <c r="QOR5" s="390"/>
      <c r="QOS5" s="390"/>
      <c r="QOT5" s="390"/>
      <c r="QOU5" s="390"/>
      <c r="QOV5" s="390"/>
      <c r="QOW5" s="390"/>
      <c r="QOX5" s="390"/>
      <c r="QOY5" s="390"/>
      <c r="QOZ5" s="390"/>
      <c r="QPA5" s="390"/>
      <c r="QPB5" s="390"/>
      <c r="QPC5" s="390"/>
      <c r="QPD5" s="390"/>
      <c r="QPE5" s="390"/>
      <c r="QPF5" s="390"/>
      <c r="QPG5" s="390"/>
      <c r="QPH5" s="390"/>
      <c r="QPI5" s="390"/>
      <c r="QPJ5" s="390"/>
      <c r="QPK5" s="390"/>
      <c r="QPL5" s="390"/>
      <c r="QPM5" s="390"/>
      <c r="QPN5" s="390"/>
      <c r="QPO5" s="390"/>
      <c r="QPP5" s="390"/>
      <c r="QPQ5" s="390"/>
      <c r="QPR5" s="390"/>
      <c r="QPS5" s="390"/>
      <c r="QPT5" s="390"/>
      <c r="QPU5" s="390"/>
      <c r="QPV5" s="390"/>
      <c r="QPW5" s="390"/>
      <c r="QPX5" s="390"/>
      <c r="QPY5" s="390"/>
      <c r="QPZ5" s="390"/>
      <c r="QQA5" s="390"/>
      <c r="QQB5" s="390"/>
      <c r="QQC5" s="390"/>
      <c r="QQD5" s="390"/>
      <c r="QQE5" s="390"/>
      <c r="QQF5" s="390"/>
      <c r="QQG5" s="390"/>
      <c r="QQH5" s="390"/>
      <c r="QQI5" s="390"/>
      <c r="QQJ5" s="390"/>
      <c r="QQK5" s="390"/>
      <c r="QQL5" s="390"/>
      <c r="QQM5" s="390"/>
      <c r="QQN5" s="390"/>
      <c r="QQO5" s="390"/>
      <c r="QQP5" s="390"/>
      <c r="QQQ5" s="390"/>
      <c r="QQR5" s="390"/>
      <c r="QQS5" s="390"/>
      <c r="QQT5" s="390"/>
      <c r="QQU5" s="390"/>
      <c r="QQV5" s="390"/>
      <c r="QQW5" s="390"/>
      <c r="QQX5" s="390"/>
      <c r="QQY5" s="390"/>
      <c r="QQZ5" s="390"/>
      <c r="QRA5" s="390"/>
      <c r="QRB5" s="390"/>
      <c r="QRC5" s="390"/>
      <c r="QRD5" s="390"/>
      <c r="QRE5" s="390"/>
      <c r="QRF5" s="390"/>
      <c r="QRG5" s="390"/>
      <c r="QRH5" s="390"/>
      <c r="QRI5" s="390"/>
      <c r="QRJ5" s="390"/>
      <c r="QRK5" s="390"/>
      <c r="QRL5" s="390"/>
      <c r="QRM5" s="390"/>
      <c r="QRN5" s="390"/>
      <c r="QRO5" s="390"/>
      <c r="QRP5" s="390"/>
      <c r="QRQ5" s="390"/>
      <c r="QRR5" s="390"/>
      <c r="QRS5" s="390"/>
      <c r="QRT5" s="390"/>
      <c r="QRU5" s="390"/>
      <c r="QRV5" s="390"/>
      <c r="QRW5" s="390"/>
      <c r="QRX5" s="390"/>
      <c r="QRY5" s="390"/>
      <c r="QRZ5" s="390"/>
      <c r="QSA5" s="390"/>
      <c r="QSB5" s="390"/>
      <c r="QSC5" s="390"/>
      <c r="QSD5" s="390"/>
      <c r="QSE5" s="390"/>
      <c r="QSF5" s="390"/>
      <c r="QSG5" s="390"/>
      <c r="QSH5" s="390"/>
      <c r="QSI5" s="390"/>
      <c r="QSJ5" s="390"/>
      <c r="QSK5" s="390"/>
      <c r="QSL5" s="390"/>
      <c r="QSM5" s="390"/>
      <c r="QSN5" s="390"/>
      <c r="QSO5" s="390"/>
      <c r="QSP5" s="390"/>
      <c r="QSQ5" s="390"/>
      <c r="QSR5" s="390"/>
      <c r="QSS5" s="390"/>
      <c r="QST5" s="390"/>
      <c r="QSU5" s="390"/>
      <c r="QSV5" s="390"/>
      <c r="QSW5" s="390"/>
      <c r="QSX5" s="390"/>
      <c r="QSY5" s="390"/>
      <c r="QSZ5" s="390"/>
      <c r="QTA5" s="390"/>
      <c r="QTB5" s="390"/>
      <c r="QTC5" s="390"/>
      <c r="QTD5" s="390"/>
      <c r="QTE5" s="390"/>
      <c r="QTF5" s="390"/>
      <c r="QTG5" s="390"/>
      <c r="QTH5" s="390"/>
      <c r="QTI5" s="390"/>
      <c r="QTJ5" s="390"/>
      <c r="QTK5" s="390"/>
      <c r="QTL5" s="390"/>
      <c r="QTM5" s="390"/>
      <c r="QTN5" s="390"/>
      <c r="QTO5" s="390"/>
      <c r="QTP5" s="390"/>
      <c r="QTQ5" s="390"/>
      <c r="QTR5" s="390"/>
      <c r="QTS5" s="390"/>
      <c r="QTT5" s="390"/>
      <c r="QTU5" s="390"/>
      <c r="QTV5" s="390"/>
      <c r="QTW5" s="390"/>
      <c r="QTX5" s="390"/>
      <c r="QTY5" s="390"/>
      <c r="QTZ5" s="390"/>
      <c r="QUA5" s="390"/>
      <c r="QUB5" s="390"/>
      <c r="QUC5" s="390"/>
      <c r="QUD5" s="390"/>
      <c r="QUE5" s="390"/>
      <c r="QUF5" s="390"/>
      <c r="QUG5" s="390"/>
      <c r="QUH5" s="390"/>
      <c r="QUI5" s="390"/>
      <c r="QUJ5" s="390"/>
      <c r="QUK5" s="390"/>
      <c r="QUL5" s="390"/>
      <c r="QUM5" s="390"/>
      <c r="QUN5" s="390"/>
      <c r="QUO5" s="390"/>
      <c r="QUP5" s="390"/>
      <c r="QUQ5" s="390"/>
      <c r="QUR5" s="390"/>
      <c r="QUS5" s="390"/>
      <c r="QUT5" s="390"/>
      <c r="QUU5" s="390"/>
      <c r="QUV5" s="390"/>
      <c r="QUW5" s="390"/>
      <c r="QUX5" s="390"/>
      <c r="QUY5" s="390"/>
      <c r="QUZ5" s="390"/>
      <c r="QVA5" s="390"/>
      <c r="QVB5" s="390"/>
      <c r="QVC5" s="390"/>
      <c r="QVD5" s="390"/>
      <c r="QVE5" s="390"/>
      <c r="QVF5" s="390"/>
      <c r="QVG5" s="390"/>
      <c r="QVH5" s="390"/>
      <c r="QVI5" s="390"/>
      <c r="QVJ5" s="390"/>
      <c r="QVK5" s="390"/>
      <c r="QVL5" s="390"/>
      <c r="QVM5" s="390"/>
      <c r="QVN5" s="390"/>
      <c r="QVO5" s="390"/>
      <c r="QVP5" s="390"/>
      <c r="QVQ5" s="390"/>
      <c r="QVR5" s="390"/>
      <c r="QVS5" s="390"/>
      <c r="QVT5" s="390"/>
      <c r="QVU5" s="390"/>
      <c r="QVV5" s="390"/>
      <c r="QVW5" s="390"/>
      <c r="QVX5" s="390"/>
      <c r="QVY5" s="390"/>
      <c r="QVZ5" s="390"/>
      <c r="QWA5" s="390"/>
      <c r="QWB5" s="390"/>
      <c r="QWC5" s="390"/>
      <c r="QWD5" s="390"/>
      <c r="QWE5" s="390"/>
      <c r="QWF5" s="390"/>
      <c r="QWG5" s="390"/>
      <c r="QWH5" s="390"/>
      <c r="QWI5" s="390"/>
      <c r="QWJ5" s="390"/>
      <c r="QWK5" s="390"/>
      <c r="QWL5" s="390"/>
      <c r="QWM5" s="390"/>
      <c r="QWN5" s="390"/>
      <c r="QWO5" s="390"/>
      <c r="QWP5" s="390"/>
      <c r="QWQ5" s="390"/>
      <c r="QWR5" s="390"/>
      <c r="QWS5" s="390"/>
      <c r="QWT5" s="390"/>
      <c r="QWU5" s="390"/>
      <c r="QWV5" s="390"/>
      <c r="QWW5" s="390"/>
      <c r="QWX5" s="390"/>
      <c r="QWY5" s="390"/>
      <c r="QWZ5" s="390"/>
      <c r="QXA5" s="390"/>
      <c r="QXB5" s="390"/>
      <c r="QXC5" s="390"/>
      <c r="QXD5" s="390"/>
      <c r="QXE5" s="390"/>
      <c r="QXF5" s="390"/>
      <c r="QXG5" s="390"/>
      <c r="QXH5" s="390"/>
      <c r="QXI5" s="390"/>
      <c r="QXJ5" s="390"/>
      <c r="QXK5" s="390"/>
      <c r="QXL5" s="390"/>
      <c r="QXM5" s="390"/>
      <c r="QXN5" s="390"/>
      <c r="QXO5" s="390"/>
      <c r="QXP5" s="390"/>
      <c r="QXQ5" s="390"/>
      <c r="QXR5" s="390"/>
      <c r="QXS5" s="390"/>
      <c r="QXT5" s="390"/>
      <c r="QXU5" s="390"/>
      <c r="QXV5" s="390"/>
      <c r="QXW5" s="390"/>
      <c r="QXX5" s="390"/>
      <c r="QXY5" s="390"/>
      <c r="QXZ5" s="390"/>
      <c r="QYA5" s="390"/>
      <c r="QYB5" s="390"/>
      <c r="QYC5" s="390"/>
      <c r="QYD5" s="390"/>
      <c r="QYE5" s="390"/>
      <c r="QYF5" s="390"/>
      <c r="QYG5" s="390"/>
      <c r="QYH5" s="390"/>
      <c r="QYI5" s="390"/>
      <c r="QYJ5" s="390"/>
      <c r="QYK5" s="390"/>
      <c r="QYL5" s="390"/>
      <c r="QYM5" s="390"/>
      <c r="QYN5" s="390"/>
      <c r="QYO5" s="390"/>
      <c r="QYP5" s="390"/>
      <c r="QYQ5" s="390"/>
      <c r="QYR5" s="390"/>
      <c r="QYS5" s="390"/>
      <c r="QYT5" s="390"/>
      <c r="QYU5" s="390"/>
      <c r="QYV5" s="390"/>
      <c r="QYW5" s="390"/>
      <c r="QYX5" s="390"/>
      <c r="QYY5" s="390"/>
      <c r="QYZ5" s="390"/>
      <c r="QZA5" s="390"/>
      <c r="QZB5" s="390"/>
      <c r="QZC5" s="390"/>
      <c r="QZD5" s="390"/>
      <c r="QZE5" s="390"/>
      <c r="QZF5" s="390"/>
      <c r="QZG5" s="390"/>
      <c r="QZH5" s="390"/>
      <c r="QZI5" s="390"/>
      <c r="QZJ5" s="390"/>
      <c r="QZK5" s="390"/>
      <c r="QZL5" s="390"/>
      <c r="QZM5" s="390"/>
      <c r="QZN5" s="390"/>
      <c r="QZO5" s="390"/>
      <c r="QZP5" s="390"/>
      <c r="QZQ5" s="390"/>
      <c r="QZR5" s="390"/>
      <c r="QZS5" s="390"/>
      <c r="QZT5" s="390"/>
      <c r="QZU5" s="390"/>
      <c r="QZV5" s="390"/>
      <c r="QZW5" s="390"/>
      <c r="QZX5" s="390"/>
      <c r="QZY5" s="390"/>
      <c r="QZZ5" s="390"/>
      <c r="RAA5" s="390"/>
      <c r="RAB5" s="390"/>
      <c r="RAC5" s="390"/>
      <c r="RAD5" s="390"/>
      <c r="RAE5" s="390"/>
      <c r="RAF5" s="390"/>
      <c r="RAG5" s="390"/>
      <c r="RAH5" s="390"/>
      <c r="RAI5" s="390"/>
      <c r="RAJ5" s="390"/>
      <c r="RAK5" s="390"/>
      <c r="RAL5" s="390"/>
      <c r="RAM5" s="390"/>
      <c r="RAN5" s="390"/>
      <c r="RAO5" s="390"/>
      <c r="RAP5" s="390"/>
      <c r="RAQ5" s="390"/>
      <c r="RAR5" s="390"/>
      <c r="RAS5" s="390"/>
      <c r="RAT5" s="390"/>
      <c r="RAU5" s="390"/>
      <c r="RAV5" s="390"/>
      <c r="RAW5" s="390"/>
      <c r="RAX5" s="390"/>
      <c r="RAY5" s="390"/>
      <c r="RAZ5" s="390"/>
      <c r="RBA5" s="390"/>
      <c r="RBB5" s="390"/>
      <c r="RBC5" s="390"/>
      <c r="RBD5" s="390"/>
      <c r="RBE5" s="390"/>
      <c r="RBF5" s="390"/>
      <c r="RBG5" s="390"/>
      <c r="RBH5" s="390"/>
      <c r="RBI5" s="390"/>
      <c r="RBJ5" s="390"/>
      <c r="RBK5" s="390"/>
      <c r="RBL5" s="390"/>
      <c r="RBM5" s="390"/>
      <c r="RBN5" s="390"/>
      <c r="RBO5" s="390"/>
      <c r="RBP5" s="390"/>
      <c r="RBQ5" s="390"/>
      <c r="RBR5" s="390"/>
      <c r="RBS5" s="390"/>
      <c r="RBT5" s="390"/>
      <c r="RBU5" s="390"/>
      <c r="RBV5" s="390"/>
      <c r="RBW5" s="390"/>
      <c r="RBX5" s="390"/>
      <c r="RBY5" s="390"/>
      <c r="RBZ5" s="390"/>
      <c r="RCA5" s="390"/>
      <c r="RCB5" s="390"/>
      <c r="RCC5" s="390"/>
      <c r="RCD5" s="390"/>
      <c r="RCE5" s="390"/>
      <c r="RCF5" s="390"/>
      <c r="RCG5" s="390"/>
      <c r="RCH5" s="390"/>
      <c r="RCI5" s="390"/>
      <c r="RCJ5" s="390"/>
      <c r="RCK5" s="390"/>
      <c r="RCL5" s="390"/>
      <c r="RCM5" s="390"/>
      <c r="RCN5" s="390"/>
      <c r="RCO5" s="390"/>
      <c r="RCP5" s="390"/>
      <c r="RCQ5" s="390"/>
      <c r="RCR5" s="390"/>
      <c r="RCS5" s="390"/>
      <c r="RCT5" s="390"/>
      <c r="RCU5" s="390"/>
      <c r="RCV5" s="390"/>
      <c r="RCW5" s="390"/>
      <c r="RCX5" s="390"/>
      <c r="RCY5" s="390"/>
      <c r="RCZ5" s="390"/>
      <c r="RDA5" s="390"/>
      <c r="RDB5" s="390"/>
      <c r="RDC5" s="390"/>
      <c r="RDD5" s="390"/>
      <c r="RDE5" s="390"/>
      <c r="RDF5" s="390"/>
      <c r="RDG5" s="390"/>
      <c r="RDH5" s="390"/>
      <c r="RDI5" s="390"/>
      <c r="RDJ5" s="390"/>
      <c r="RDK5" s="390"/>
      <c r="RDL5" s="390"/>
      <c r="RDM5" s="390"/>
      <c r="RDN5" s="390"/>
      <c r="RDO5" s="390"/>
      <c r="RDP5" s="390"/>
      <c r="RDQ5" s="390"/>
      <c r="RDR5" s="390"/>
      <c r="RDS5" s="390"/>
      <c r="RDT5" s="390"/>
      <c r="RDU5" s="390"/>
      <c r="RDV5" s="390"/>
      <c r="RDW5" s="390"/>
      <c r="RDX5" s="390"/>
      <c r="RDY5" s="390"/>
      <c r="RDZ5" s="390"/>
      <c r="REA5" s="390"/>
      <c r="REB5" s="390"/>
      <c r="REC5" s="390"/>
      <c r="RED5" s="390"/>
      <c r="REE5" s="390"/>
      <c r="REF5" s="390"/>
      <c r="REG5" s="390"/>
      <c r="REH5" s="390"/>
      <c r="REI5" s="390"/>
      <c r="REJ5" s="390"/>
      <c r="REK5" s="390"/>
      <c r="REL5" s="390"/>
      <c r="REM5" s="390"/>
      <c r="REN5" s="390"/>
      <c r="REO5" s="390"/>
      <c r="REP5" s="390"/>
      <c r="REQ5" s="390"/>
      <c r="RER5" s="390"/>
      <c r="RES5" s="390"/>
      <c r="RET5" s="390"/>
      <c r="REU5" s="390"/>
      <c r="REV5" s="390"/>
      <c r="REW5" s="390"/>
      <c r="REX5" s="390"/>
      <c r="REY5" s="390"/>
      <c r="REZ5" s="390"/>
      <c r="RFA5" s="390"/>
      <c r="RFB5" s="390"/>
      <c r="RFC5" s="390"/>
      <c r="RFD5" s="390"/>
      <c r="RFE5" s="390"/>
      <c r="RFF5" s="390"/>
      <c r="RFG5" s="390"/>
      <c r="RFH5" s="390"/>
      <c r="RFI5" s="390"/>
      <c r="RFJ5" s="390"/>
      <c r="RFK5" s="390"/>
      <c r="RFL5" s="390"/>
      <c r="RFM5" s="390"/>
      <c r="RFN5" s="390"/>
      <c r="RFO5" s="390"/>
      <c r="RFP5" s="390"/>
      <c r="RFQ5" s="390"/>
      <c r="RFR5" s="390"/>
      <c r="RFS5" s="390"/>
      <c r="RFT5" s="390"/>
      <c r="RFU5" s="390"/>
      <c r="RFV5" s="390"/>
      <c r="RFW5" s="390"/>
      <c r="RFX5" s="390"/>
      <c r="RFY5" s="390"/>
      <c r="RFZ5" s="390"/>
      <c r="RGA5" s="390"/>
      <c r="RGB5" s="390"/>
      <c r="RGC5" s="390"/>
      <c r="RGD5" s="390"/>
      <c r="RGE5" s="390"/>
      <c r="RGF5" s="390"/>
      <c r="RGG5" s="390"/>
      <c r="RGH5" s="390"/>
      <c r="RGI5" s="390"/>
      <c r="RGJ5" s="390"/>
      <c r="RGK5" s="390"/>
      <c r="RGL5" s="390"/>
      <c r="RGM5" s="390"/>
      <c r="RGN5" s="390"/>
      <c r="RGO5" s="390"/>
      <c r="RGP5" s="390"/>
      <c r="RGQ5" s="390"/>
      <c r="RGR5" s="390"/>
      <c r="RGS5" s="390"/>
      <c r="RGT5" s="390"/>
      <c r="RGU5" s="390"/>
      <c r="RGV5" s="390"/>
      <c r="RGW5" s="390"/>
      <c r="RGX5" s="390"/>
      <c r="RGY5" s="390"/>
      <c r="RGZ5" s="390"/>
      <c r="RHA5" s="390"/>
      <c r="RHB5" s="390"/>
      <c r="RHC5" s="390"/>
      <c r="RHD5" s="390"/>
      <c r="RHE5" s="390"/>
      <c r="RHF5" s="390"/>
      <c r="RHG5" s="390"/>
      <c r="RHH5" s="390"/>
      <c r="RHI5" s="390"/>
      <c r="RHJ5" s="390"/>
      <c r="RHK5" s="390"/>
      <c r="RHL5" s="390"/>
      <c r="RHM5" s="390"/>
      <c r="RHN5" s="390"/>
      <c r="RHO5" s="390"/>
      <c r="RHP5" s="390"/>
      <c r="RHQ5" s="390"/>
      <c r="RHR5" s="390"/>
      <c r="RHS5" s="390"/>
      <c r="RHT5" s="390"/>
      <c r="RHU5" s="390"/>
      <c r="RHV5" s="390"/>
      <c r="RHW5" s="390"/>
      <c r="RHX5" s="390"/>
      <c r="RHY5" s="390"/>
      <c r="RHZ5" s="390"/>
      <c r="RIA5" s="390"/>
      <c r="RIB5" s="390"/>
      <c r="RIC5" s="390"/>
      <c r="RID5" s="390"/>
      <c r="RIE5" s="390"/>
      <c r="RIF5" s="390"/>
      <c r="RIG5" s="390"/>
      <c r="RIH5" s="390"/>
      <c r="RII5" s="390"/>
      <c r="RIJ5" s="390"/>
      <c r="RIK5" s="390"/>
      <c r="RIL5" s="390"/>
      <c r="RIM5" s="390"/>
      <c r="RIN5" s="390"/>
      <c r="RIO5" s="390"/>
      <c r="RIP5" s="390"/>
      <c r="RIQ5" s="390"/>
      <c r="RIR5" s="390"/>
      <c r="RIS5" s="390"/>
      <c r="RIT5" s="390"/>
      <c r="RIU5" s="390"/>
      <c r="RIV5" s="390"/>
      <c r="RIW5" s="390"/>
      <c r="RIX5" s="390"/>
      <c r="RIY5" s="390"/>
      <c r="RIZ5" s="390"/>
      <c r="RJA5" s="390"/>
      <c r="RJB5" s="390"/>
      <c r="RJC5" s="390"/>
      <c r="RJD5" s="390"/>
      <c r="RJE5" s="390"/>
      <c r="RJF5" s="390"/>
      <c r="RJG5" s="390"/>
      <c r="RJH5" s="390"/>
      <c r="RJI5" s="390"/>
      <c r="RJJ5" s="390"/>
      <c r="RJK5" s="390"/>
      <c r="RJL5" s="390"/>
      <c r="RJM5" s="390"/>
      <c r="RJN5" s="390"/>
      <c r="RJO5" s="390"/>
      <c r="RJP5" s="390"/>
      <c r="RJQ5" s="390"/>
      <c r="RJR5" s="390"/>
      <c r="RJS5" s="390"/>
      <c r="RJT5" s="390"/>
      <c r="RJU5" s="390"/>
      <c r="RJV5" s="390"/>
      <c r="RJW5" s="390"/>
      <c r="RJX5" s="390"/>
      <c r="RJY5" s="390"/>
      <c r="RJZ5" s="390"/>
      <c r="RKA5" s="390"/>
      <c r="RKB5" s="390"/>
      <c r="RKC5" s="390"/>
      <c r="RKD5" s="390"/>
      <c r="RKE5" s="390"/>
      <c r="RKF5" s="390"/>
      <c r="RKG5" s="390"/>
      <c r="RKH5" s="390"/>
      <c r="RKI5" s="390"/>
      <c r="RKJ5" s="390"/>
      <c r="RKK5" s="390"/>
      <c r="RKL5" s="390"/>
      <c r="RKM5" s="390"/>
      <c r="RKN5" s="390"/>
      <c r="RKO5" s="390"/>
      <c r="RKP5" s="390"/>
      <c r="RKQ5" s="390"/>
      <c r="RKR5" s="390"/>
      <c r="RKS5" s="390"/>
      <c r="RKT5" s="390"/>
      <c r="RKU5" s="390"/>
      <c r="RKV5" s="390"/>
      <c r="RKW5" s="390"/>
      <c r="RKX5" s="390"/>
      <c r="RKY5" s="390"/>
      <c r="RKZ5" s="390"/>
      <c r="RLA5" s="390"/>
      <c r="RLB5" s="390"/>
      <c r="RLC5" s="390"/>
      <c r="RLD5" s="390"/>
      <c r="RLE5" s="390"/>
      <c r="RLF5" s="390"/>
      <c r="RLG5" s="390"/>
      <c r="RLH5" s="390"/>
      <c r="RLI5" s="390"/>
      <c r="RLJ5" s="390"/>
      <c r="RLK5" s="390"/>
      <c r="RLL5" s="390"/>
      <c r="RLM5" s="390"/>
      <c r="RLN5" s="390"/>
      <c r="RLO5" s="390"/>
      <c r="RLP5" s="390"/>
      <c r="RLQ5" s="390"/>
      <c r="RLR5" s="390"/>
      <c r="RLS5" s="390"/>
      <c r="RLT5" s="390"/>
      <c r="RLU5" s="390"/>
      <c r="RLV5" s="390"/>
      <c r="RLW5" s="390"/>
      <c r="RLX5" s="390"/>
      <c r="RLY5" s="390"/>
      <c r="RLZ5" s="390"/>
      <c r="RMA5" s="390"/>
      <c r="RMB5" s="390"/>
      <c r="RMC5" s="390"/>
      <c r="RMD5" s="390"/>
      <c r="RME5" s="390"/>
      <c r="RMF5" s="390"/>
      <c r="RMG5" s="390"/>
      <c r="RMH5" s="390"/>
      <c r="RMI5" s="390"/>
      <c r="RMJ5" s="390"/>
      <c r="RMK5" s="390"/>
      <c r="RML5" s="390"/>
      <c r="RMM5" s="390"/>
      <c r="RMN5" s="390"/>
      <c r="RMO5" s="390"/>
      <c r="RMP5" s="390"/>
      <c r="RMQ5" s="390"/>
      <c r="RMR5" s="390"/>
      <c r="RMS5" s="390"/>
      <c r="RMT5" s="390"/>
      <c r="RMU5" s="390"/>
      <c r="RMV5" s="390"/>
      <c r="RMW5" s="390"/>
      <c r="RMX5" s="390"/>
      <c r="RMY5" s="390"/>
      <c r="RMZ5" s="390"/>
      <c r="RNA5" s="390"/>
      <c r="RNB5" s="390"/>
      <c r="RNC5" s="390"/>
      <c r="RND5" s="390"/>
      <c r="RNE5" s="390"/>
      <c r="RNF5" s="390"/>
      <c r="RNG5" s="390"/>
      <c r="RNH5" s="390"/>
      <c r="RNI5" s="390"/>
      <c r="RNJ5" s="390"/>
      <c r="RNK5" s="390"/>
      <c r="RNL5" s="390"/>
      <c r="RNM5" s="390"/>
      <c r="RNN5" s="390"/>
      <c r="RNO5" s="390"/>
      <c r="RNP5" s="390"/>
      <c r="RNQ5" s="390"/>
      <c r="RNR5" s="390"/>
      <c r="RNS5" s="390"/>
      <c r="RNT5" s="390"/>
      <c r="RNU5" s="390"/>
      <c r="RNV5" s="390"/>
      <c r="RNW5" s="390"/>
      <c r="RNX5" s="390"/>
      <c r="RNY5" s="390"/>
      <c r="RNZ5" s="390"/>
      <c r="ROA5" s="390"/>
      <c r="ROB5" s="390"/>
      <c r="ROC5" s="390"/>
      <c r="ROD5" s="390"/>
      <c r="ROE5" s="390"/>
      <c r="ROF5" s="390"/>
      <c r="ROG5" s="390"/>
      <c r="ROH5" s="390"/>
      <c r="ROI5" s="390"/>
      <c r="ROJ5" s="390"/>
      <c r="ROK5" s="390"/>
      <c r="ROL5" s="390"/>
      <c r="ROM5" s="390"/>
      <c r="RON5" s="390"/>
      <c r="ROO5" s="390"/>
      <c r="ROP5" s="390"/>
      <c r="ROQ5" s="390"/>
      <c r="ROR5" s="390"/>
      <c r="ROS5" s="390"/>
      <c r="ROT5" s="390"/>
      <c r="ROU5" s="390"/>
      <c r="ROV5" s="390"/>
      <c r="ROW5" s="390"/>
      <c r="ROX5" s="390"/>
      <c r="ROY5" s="390"/>
      <c r="ROZ5" s="390"/>
      <c r="RPA5" s="390"/>
      <c r="RPB5" s="390"/>
      <c r="RPC5" s="390"/>
      <c r="RPD5" s="390"/>
      <c r="RPE5" s="390"/>
      <c r="RPF5" s="390"/>
      <c r="RPG5" s="390"/>
      <c r="RPH5" s="390"/>
      <c r="RPI5" s="390"/>
      <c r="RPJ5" s="390"/>
      <c r="RPK5" s="390"/>
      <c r="RPL5" s="390"/>
      <c r="RPM5" s="390"/>
      <c r="RPN5" s="390"/>
      <c r="RPO5" s="390"/>
      <c r="RPP5" s="390"/>
      <c r="RPQ5" s="390"/>
      <c r="RPR5" s="390"/>
      <c r="RPS5" s="390"/>
      <c r="RPT5" s="390"/>
      <c r="RPU5" s="390"/>
      <c r="RPV5" s="390"/>
      <c r="RPW5" s="390"/>
      <c r="RPX5" s="390"/>
      <c r="RPY5" s="390"/>
      <c r="RPZ5" s="390"/>
      <c r="RQA5" s="390"/>
      <c r="RQB5" s="390"/>
      <c r="RQC5" s="390"/>
      <c r="RQD5" s="390"/>
      <c r="RQE5" s="390"/>
      <c r="RQF5" s="390"/>
      <c r="RQG5" s="390"/>
      <c r="RQH5" s="390"/>
      <c r="RQI5" s="390"/>
      <c r="RQJ5" s="390"/>
      <c r="RQK5" s="390"/>
      <c r="RQL5" s="390"/>
      <c r="RQM5" s="390"/>
      <c r="RQN5" s="390"/>
      <c r="RQO5" s="390"/>
      <c r="RQP5" s="390"/>
      <c r="RQQ5" s="390"/>
      <c r="RQR5" s="390"/>
      <c r="RQS5" s="390"/>
      <c r="RQT5" s="390"/>
      <c r="RQU5" s="390"/>
      <c r="RQV5" s="390"/>
      <c r="RQW5" s="390"/>
      <c r="RQX5" s="390"/>
      <c r="RQY5" s="390"/>
      <c r="RQZ5" s="390"/>
      <c r="RRA5" s="390"/>
      <c r="RRB5" s="390"/>
      <c r="RRC5" s="390"/>
      <c r="RRD5" s="390"/>
      <c r="RRE5" s="390"/>
      <c r="RRF5" s="390"/>
      <c r="RRG5" s="390"/>
      <c r="RRH5" s="390"/>
      <c r="RRI5" s="390"/>
      <c r="RRJ5" s="390"/>
      <c r="RRK5" s="390"/>
      <c r="RRL5" s="390"/>
      <c r="RRM5" s="390"/>
      <c r="RRN5" s="390"/>
      <c r="RRO5" s="390"/>
      <c r="RRP5" s="390"/>
      <c r="RRQ5" s="390"/>
      <c r="RRR5" s="390"/>
      <c r="RRS5" s="390"/>
      <c r="RRT5" s="390"/>
      <c r="RRU5" s="390"/>
      <c r="RRV5" s="390"/>
      <c r="RRW5" s="390"/>
      <c r="RRX5" s="390"/>
      <c r="RRY5" s="390"/>
      <c r="RRZ5" s="390"/>
      <c r="RSA5" s="390"/>
      <c r="RSB5" s="390"/>
      <c r="RSC5" s="390"/>
      <c r="RSD5" s="390"/>
      <c r="RSE5" s="390"/>
      <c r="RSF5" s="390"/>
      <c r="RSG5" s="390"/>
      <c r="RSH5" s="390"/>
      <c r="RSI5" s="390"/>
      <c r="RSJ5" s="390"/>
      <c r="RSK5" s="390"/>
      <c r="RSL5" s="390"/>
      <c r="RSM5" s="390"/>
      <c r="RSN5" s="390"/>
      <c r="RSO5" s="390"/>
      <c r="RSP5" s="390"/>
      <c r="RSQ5" s="390"/>
      <c r="RSR5" s="390"/>
      <c r="RSS5" s="390"/>
      <c r="RST5" s="390"/>
      <c r="RSU5" s="390"/>
      <c r="RSV5" s="390"/>
      <c r="RSW5" s="390"/>
      <c r="RSX5" s="390"/>
      <c r="RSY5" s="390"/>
      <c r="RSZ5" s="390"/>
      <c r="RTA5" s="390"/>
      <c r="RTB5" s="390"/>
      <c r="RTC5" s="390"/>
      <c r="RTD5" s="390"/>
      <c r="RTE5" s="390"/>
      <c r="RTF5" s="390"/>
      <c r="RTG5" s="390"/>
      <c r="RTH5" s="390"/>
      <c r="RTI5" s="390"/>
      <c r="RTJ5" s="390"/>
      <c r="RTK5" s="390"/>
      <c r="RTL5" s="390"/>
      <c r="RTM5" s="390"/>
      <c r="RTN5" s="390"/>
      <c r="RTO5" s="390"/>
      <c r="RTP5" s="390"/>
      <c r="RTQ5" s="390"/>
      <c r="RTR5" s="390"/>
      <c r="RTS5" s="390"/>
      <c r="RTT5" s="390"/>
      <c r="RTU5" s="390"/>
      <c r="RTV5" s="390"/>
      <c r="RTW5" s="390"/>
      <c r="RTX5" s="390"/>
      <c r="RTY5" s="390"/>
      <c r="RTZ5" s="390"/>
      <c r="RUA5" s="390"/>
      <c r="RUB5" s="390"/>
      <c r="RUC5" s="390"/>
      <c r="RUD5" s="390"/>
      <c r="RUE5" s="390"/>
      <c r="RUF5" s="390"/>
      <c r="RUG5" s="390"/>
      <c r="RUH5" s="390"/>
      <c r="RUI5" s="390"/>
      <c r="RUJ5" s="390"/>
      <c r="RUK5" s="390"/>
      <c r="RUL5" s="390"/>
      <c r="RUM5" s="390"/>
      <c r="RUN5" s="390"/>
      <c r="RUO5" s="390"/>
      <c r="RUP5" s="390"/>
      <c r="RUQ5" s="390"/>
      <c r="RUR5" s="390"/>
      <c r="RUS5" s="390"/>
      <c r="RUT5" s="390"/>
      <c r="RUU5" s="390"/>
      <c r="RUV5" s="390"/>
      <c r="RUW5" s="390"/>
      <c r="RUX5" s="390"/>
      <c r="RUY5" s="390"/>
      <c r="RUZ5" s="390"/>
      <c r="RVA5" s="390"/>
      <c r="RVB5" s="390"/>
      <c r="RVC5" s="390"/>
      <c r="RVD5" s="390"/>
      <c r="RVE5" s="390"/>
      <c r="RVF5" s="390"/>
      <c r="RVG5" s="390"/>
      <c r="RVH5" s="390"/>
      <c r="RVI5" s="390"/>
      <c r="RVJ5" s="390"/>
      <c r="RVK5" s="390"/>
      <c r="RVL5" s="390"/>
      <c r="RVM5" s="390"/>
      <c r="RVN5" s="390"/>
      <c r="RVO5" s="390"/>
      <c r="RVP5" s="390"/>
      <c r="RVQ5" s="390"/>
      <c r="RVR5" s="390"/>
      <c r="RVS5" s="390"/>
      <c r="RVT5" s="390"/>
      <c r="RVU5" s="390"/>
      <c r="RVV5" s="390"/>
      <c r="RVW5" s="390"/>
      <c r="RVX5" s="390"/>
      <c r="RVY5" s="390"/>
      <c r="RVZ5" s="390"/>
      <c r="RWA5" s="390"/>
      <c r="RWB5" s="390"/>
      <c r="RWC5" s="390"/>
      <c r="RWD5" s="390"/>
      <c r="RWE5" s="390"/>
      <c r="RWF5" s="390"/>
      <c r="RWG5" s="390"/>
      <c r="RWH5" s="390"/>
      <c r="RWI5" s="390"/>
      <c r="RWJ5" s="390"/>
      <c r="RWK5" s="390"/>
      <c r="RWL5" s="390"/>
      <c r="RWM5" s="390"/>
      <c r="RWN5" s="390"/>
      <c r="RWO5" s="390"/>
      <c r="RWP5" s="390"/>
      <c r="RWQ5" s="390"/>
      <c r="RWR5" s="390"/>
      <c r="RWS5" s="390"/>
      <c r="RWT5" s="390"/>
      <c r="RWU5" s="390"/>
      <c r="RWV5" s="390"/>
      <c r="RWW5" s="390"/>
      <c r="RWX5" s="390"/>
      <c r="RWY5" s="390"/>
      <c r="RWZ5" s="390"/>
      <c r="RXA5" s="390"/>
      <c r="RXB5" s="390"/>
      <c r="RXC5" s="390"/>
      <c r="RXD5" s="390"/>
      <c r="RXE5" s="390"/>
      <c r="RXF5" s="390"/>
      <c r="RXG5" s="390"/>
      <c r="RXH5" s="390"/>
      <c r="RXI5" s="390"/>
      <c r="RXJ5" s="390"/>
      <c r="RXK5" s="390"/>
      <c r="RXL5" s="390"/>
      <c r="RXM5" s="390"/>
      <c r="RXN5" s="390"/>
      <c r="RXO5" s="390"/>
      <c r="RXP5" s="390"/>
      <c r="RXQ5" s="390"/>
      <c r="RXR5" s="390"/>
      <c r="RXS5" s="390"/>
      <c r="RXT5" s="390"/>
      <c r="RXU5" s="390"/>
      <c r="RXV5" s="390"/>
      <c r="RXW5" s="390"/>
      <c r="RXX5" s="390"/>
      <c r="RXY5" s="390"/>
      <c r="RXZ5" s="390"/>
      <c r="RYA5" s="390"/>
      <c r="RYB5" s="390"/>
      <c r="RYC5" s="390"/>
      <c r="RYD5" s="390"/>
      <c r="RYE5" s="390"/>
      <c r="RYF5" s="390"/>
      <c r="RYG5" s="390"/>
      <c r="RYH5" s="390"/>
      <c r="RYI5" s="390"/>
      <c r="RYJ5" s="390"/>
      <c r="RYK5" s="390"/>
      <c r="RYL5" s="390"/>
      <c r="RYM5" s="390"/>
      <c r="RYN5" s="390"/>
      <c r="RYO5" s="390"/>
      <c r="RYP5" s="390"/>
      <c r="RYQ5" s="390"/>
      <c r="RYR5" s="390"/>
      <c r="RYS5" s="390"/>
      <c r="RYT5" s="390"/>
      <c r="RYU5" s="390"/>
      <c r="RYV5" s="390"/>
      <c r="RYW5" s="390"/>
      <c r="RYX5" s="390"/>
      <c r="RYY5" s="390"/>
      <c r="RYZ5" s="390"/>
      <c r="RZA5" s="390"/>
      <c r="RZB5" s="390"/>
      <c r="RZC5" s="390"/>
      <c r="RZD5" s="390"/>
      <c r="RZE5" s="390"/>
      <c r="RZF5" s="390"/>
      <c r="RZG5" s="390"/>
      <c r="RZH5" s="390"/>
      <c r="RZI5" s="390"/>
      <c r="RZJ5" s="390"/>
      <c r="RZK5" s="390"/>
      <c r="RZL5" s="390"/>
      <c r="RZM5" s="390"/>
      <c r="RZN5" s="390"/>
      <c r="RZO5" s="390"/>
      <c r="RZP5" s="390"/>
      <c r="RZQ5" s="390"/>
      <c r="RZR5" s="390"/>
      <c r="RZS5" s="390"/>
      <c r="RZT5" s="390"/>
      <c r="RZU5" s="390"/>
      <c r="RZV5" s="390"/>
      <c r="RZW5" s="390"/>
      <c r="RZX5" s="390"/>
      <c r="RZY5" s="390"/>
      <c r="RZZ5" s="390"/>
      <c r="SAA5" s="390"/>
      <c r="SAB5" s="390"/>
      <c r="SAC5" s="390"/>
      <c r="SAD5" s="390"/>
      <c r="SAE5" s="390"/>
      <c r="SAF5" s="390"/>
      <c r="SAG5" s="390"/>
      <c r="SAH5" s="390"/>
      <c r="SAI5" s="390"/>
      <c r="SAJ5" s="390"/>
      <c r="SAK5" s="390"/>
      <c r="SAL5" s="390"/>
      <c r="SAM5" s="390"/>
      <c r="SAN5" s="390"/>
      <c r="SAO5" s="390"/>
      <c r="SAP5" s="390"/>
      <c r="SAQ5" s="390"/>
      <c r="SAR5" s="390"/>
      <c r="SAS5" s="390"/>
      <c r="SAT5" s="390"/>
      <c r="SAU5" s="390"/>
      <c r="SAV5" s="390"/>
      <c r="SAW5" s="390"/>
      <c r="SAX5" s="390"/>
      <c r="SAY5" s="390"/>
      <c r="SAZ5" s="390"/>
      <c r="SBA5" s="390"/>
      <c r="SBB5" s="390"/>
      <c r="SBC5" s="390"/>
      <c r="SBD5" s="390"/>
      <c r="SBE5" s="390"/>
      <c r="SBF5" s="390"/>
      <c r="SBG5" s="390"/>
      <c r="SBH5" s="390"/>
      <c r="SBI5" s="390"/>
      <c r="SBJ5" s="390"/>
      <c r="SBK5" s="390"/>
      <c r="SBL5" s="390"/>
      <c r="SBM5" s="390"/>
      <c r="SBN5" s="390"/>
      <c r="SBO5" s="390"/>
      <c r="SBP5" s="390"/>
      <c r="SBQ5" s="390"/>
      <c r="SBR5" s="390"/>
      <c r="SBS5" s="390"/>
      <c r="SBT5" s="390"/>
      <c r="SBU5" s="390"/>
      <c r="SBV5" s="390"/>
      <c r="SBW5" s="390"/>
      <c r="SBX5" s="390"/>
      <c r="SBY5" s="390"/>
      <c r="SBZ5" s="390"/>
      <c r="SCA5" s="390"/>
      <c r="SCB5" s="390"/>
      <c r="SCC5" s="390"/>
      <c r="SCD5" s="390"/>
      <c r="SCE5" s="390"/>
      <c r="SCF5" s="390"/>
      <c r="SCG5" s="390"/>
      <c r="SCH5" s="390"/>
      <c r="SCI5" s="390"/>
      <c r="SCJ5" s="390"/>
      <c r="SCK5" s="390"/>
      <c r="SCL5" s="390"/>
      <c r="SCM5" s="390"/>
      <c r="SCN5" s="390"/>
      <c r="SCO5" s="390"/>
      <c r="SCP5" s="390"/>
      <c r="SCQ5" s="390"/>
      <c r="SCR5" s="390"/>
      <c r="SCS5" s="390"/>
      <c r="SCT5" s="390"/>
      <c r="SCU5" s="390"/>
      <c r="SCV5" s="390"/>
      <c r="SCW5" s="390"/>
      <c r="SCX5" s="390"/>
      <c r="SCY5" s="390"/>
      <c r="SCZ5" s="390"/>
      <c r="SDA5" s="390"/>
      <c r="SDB5" s="390"/>
      <c r="SDC5" s="390"/>
      <c r="SDD5" s="390"/>
      <c r="SDE5" s="390"/>
      <c r="SDF5" s="390"/>
      <c r="SDG5" s="390"/>
      <c r="SDH5" s="390"/>
      <c r="SDI5" s="390"/>
      <c r="SDJ5" s="390"/>
      <c r="SDK5" s="390"/>
      <c r="SDL5" s="390"/>
      <c r="SDM5" s="390"/>
      <c r="SDN5" s="390"/>
      <c r="SDO5" s="390"/>
      <c r="SDP5" s="390"/>
      <c r="SDQ5" s="390"/>
      <c r="SDR5" s="390"/>
      <c r="SDS5" s="390"/>
      <c r="SDT5" s="390"/>
      <c r="SDU5" s="390"/>
      <c r="SDV5" s="390"/>
      <c r="SDW5" s="390"/>
      <c r="SDX5" s="390"/>
      <c r="SDY5" s="390"/>
      <c r="SDZ5" s="390"/>
      <c r="SEA5" s="390"/>
      <c r="SEB5" s="390"/>
      <c r="SEC5" s="390"/>
      <c r="SED5" s="390"/>
      <c r="SEE5" s="390"/>
      <c r="SEF5" s="390"/>
      <c r="SEG5" s="390"/>
      <c r="SEH5" s="390"/>
      <c r="SEI5" s="390"/>
      <c r="SEJ5" s="390"/>
      <c r="SEK5" s="390"/>
      <c r="SEL5" s="390"/>
      <c r="SEM5" s="390"/>
      <c r="SEN5" s="390"/>
      <c r="SEO5" s="390"/>
      <c r="SEP5" s="390"/>
      <c r="SEQ5" s="390"/>
      <c r="SER5" s="390"/>
      <c r="SES5" s="390"/>
      <c r="SET5" s="390"/>
      <c r="SEU5" s="390"/>
      <c r="SEV5" s="390"/>
      <c r="SEW5" s="390"/>
      <c r="SEX5" s="390"/>
      <c r="SEY5" s="390"/>
      <c r="SEZ5" s="390"/>
      <c r="SFA5" s="390"/>
      <c r="SFB5" s="390"/>
      <c r="SFC5" s="390"/>
      <c r="SFD5" s="390"/>
      <c r="SFE5" s="390"/>
      <c r="SFF5" s="390"/>
      <c r="SFG5" s="390"/>
      <c r="SFH5" s="390"/>
      <c r="SFI5" s="390"/>
      <c r="SFJ5" s="390"/>
      <c r="SFK5" s="390"/>
      <c r="SFL5" s="390"/>
      <c r="SFM5" s="390"/>
      <c r="SFN5" s="390"/>
      <c r="SFO5" s="390"/>
      <c r="SFP5" s="390"/>
      <c r="SFQ5" s="390"/>
      <c r="SFR5" s="390"/>
      <c r="SFS5" s="390"/>
      <c r="SFT5" s="390"/>
      <c r="SFU5" s="390"/>
      <c r="SFV5" s="390"/>
      <c r="SFW5" s="390"/>
      <c r="SFX5" s="390"/>
      <c r="SFY5" s="390"/>
      <c r="SFZ5" s="390"/>
      <c r="SGA5" s="390"/>
      <c r="SGB5" s="390"/>
      <c r="SGC5" s="390"/>
      <c r="SGD5" s="390"/>
      <c r="SGE5" s="390"/>
      <c r="SGF5" s="390"/>
      <c r="SGG5" s="390"/>
      <c r="SGH5" s="390"/>
      <c r="SGI5" s="390"/>
      <c r="SGJ5" s="390"/>
      <c r="SGK5" s="390"/>
      <c r="SGL5" s="390"/>
      <c r="SGM5" s="390"/>
      <c r="SGN5" s="390"/>
      <c r="SGO5" s="390"/>
      <c r="SGP5" s="390"/>
      <c r="SGQ5" s="390"/>
      <c r="SGR5" s="390"/>
      <c r="SGS5" s="390"/>
      <c r="SGT5" s="390"/>
      <c r="SGU5" s="390"/>
      <c r="SGV5" s="390"/>
      <c r="SGW5" s="390"/>
      <c r="SGX5" s="390"/>
      <c r="SGY5" s="390"/>
      <c r="SGZ5" s="390"/>
      <c r="SHA5" s="390"/>
      <c r="SHB5" s="390"/>
      <c r="SHC5" s="390"/>
      <c r="SHD5" s="390"/>
      <c r="SHE5" s="390"/>
      <c r="SHF5" s="390"/>
      <c r="SHG5" s="390"/>
      <c r="SHH5" s="390"/>
      <c r="SHI5" s="390"/>
      <c r="SHJ5" s="390"/>
      <c r="SHK5" s="390"/>
      <c r="SHL5" s="390"/>
      <c r="SHM5" s="390"/>
      <c r="SHN5" s="390"/>
      <c r="SHO5" s="390"/>
      <c r="SHP5" s="390"/>
      <c r="SHQ5" s="390"/>
      <c r="SHR5" s="390"/>
      <c r="SHS5" s="390"/>
      <c r="SHT5" s="390"/>
      <c r="SHU5" s="390"/>
      <c r="SHV5" s="390"/>
      <c r="SHW5" s="390"/>
      <c r="SHX5" s="390"/>
      <c r="SHY5" s="390"/>
      <c r="SHZ5" s="390"/>
      <c r="SIA5" s="390"/>
      <c r="SIB5" s="390"/>
      <c r="SIC5" s="390"/>
      <c r="SID5" s="390"/>
      <c r="SIE5" s="390"/>
      <c r="SIF5" s="390"/>
      <c r="SIG5" s="390"/>
      <c r="SIH5" s="390"/>
      <c r="SII5" s="390"/>
      <c r="SIJ5" s="390"/>
      <c r="SIK5" s="390"/>
      <c r="SIL5" s="390"/>
      <c r="SIM5" s="390"/>
      <c r="SIN5" s="390"/>
      <c r="SIO5" s="390"/>
      <c r="SIP5" s="390"/>
      <c r="SIQ5" s="390"/>
      <c r="SIR5" s="390"/>
      <c r="SIS5" s="390"/>
      <c r="SIT5" s="390"/>
      <c r="SIU5" s="390"/>
      <c r="SIV5" s="390"/>
      <c r="SIW5" s="390"/>
      <c r="SIX5" s="390"/>
      <c r="SIY5" s="390"/>
      <c r="SIZ5" s="390"/>
      <c r="SJA5" s="390"/>
      <c r="SJB5" s="390"/>
      <c r="SJC5" s="390"/>
      <c r="SJD5" s="390"/>
      <c r="SJE5" s="390"/>
      <c r="SJF5" s="390"/>
      <c r="SJG5" s="390"/>
      <c r="SJH5" s="390"/>
      <c r="SJI5" s="390"/>
      <c r="SJJ5" s="390"/>
      <c r="SJK5" s="390"/>
      <c r="SJL5" s="390"/>
      <c r="SJM5" s="390"/>
      <c r="SJN5" s="390"/>
      <c r="SJO5" s="390"/>
      <c r="SJP5" s="390"/>
      <c r="SJQ5" s="390"/>
      <c r="SJR5" s="390"/>
      <c r="SJS5" s="390"/>
      <c r="SJT5" s="390"/>
      <c r="SJU5" s="390"/>
      <c r="SJV5" s="390"/>
      <c r="SJW5" s="390"/>
      <c r="SJX5" s="390"/>
      <c r="SJY5" s="390"/>
      <c r="SJZ5" s="390"/>
      <c r="SKA5" s="390"/>
      <c r="SKB5" s="390"/>
      <c r="SKC5" s="390"/>
      <c r="SKD5" s="390"/>
      <c r="SKE5" s="390"/>
      <c r="SKF5" s="390"/>
      <c r="SKG5" s="390"/>
      <c r="SKH5" s="390"/>
      <c r="SKI5" s="390"/>
      <c r="SKJ5" s="390"/>
      <c r="SKK5" s="390"/>
      <c r="SKL5" s="390"/>
      <c r="SKM5" s="390"/>
      <c r="SKN5" s="390"/>
      <c r="SKO5" s="390"/>
      <c r="SKP5" s="390"/>
      <c r="SKQ5" s="390"/>
      <c r="SKR5" s="390"/>
      <c r="SKS5" s="390"/>
      <c r="SKT5" s="390"/>
      <c r="SKU5" s="390"/>
      <c r="SKV5" s="390"/>
      <c r="SKW5" s="390"/>
      <c r="SKX5" s="390"/>
      <c r="SKY5" s="390"/>
      <c r="SKZ5" s="390"/>
      <c r="SLA5" s="390"/>
      <c r="SLB5" s="390"/>
      <c r="SLC5" s="390"/>
      <c r="SLD5" s="390"/>
      <c r="SLE5" s="390"/>
      <c r="SLF5" s="390"/>
      <c r="SLG5" s="390"/>
      <c r="SLH5" s="390"/>
      <c r="SLI5" s="390"/>
      <c r="SLJ5" s="390"/>
      <c r="SLK5" s="390"/>
      <c r="SLL5" s="390"/>
      <c r="SLM5" s="390"/>
      <c r="SLN5" s="390"/>
      <c r="SLO5" s="390"/>
      <c r="SLP5" s="390"/>
      <c r="SLQ5" s="390"/>
      <c r="SLR5" s="390"/>
      <c r="SLS5" s="390"/>
      <c r="SLT5" s="390"/>
      <c r="SLU5" s="390"/>
      <c r="SLV5" s="390"/>
      <c r="SLW5" s="390"/>
      <c r="SLX5" s="390"/>
      <c r="SLY5" s="390"/>
      <c r="SLZ5" s="390"/>
      <c r="SMA5" s="390"/>
      <c r="SMB5" s="390"/>
      <c r="SMC5" s="390"/>
      <c r="SMD5" s="390"/>
      <c r="SME5" s="390"/>
      <c r="SMF5" s="390"/>
      <c r="SMG5" s="390"/>
      <c r="SMH5" s="390"/>
      <c r="SMI5" s="390"/>
      <c r="SMJ5" s="390"/>
      <c r="SMK5" s="390"/>
      <c r="SML5" s="390"/>
      <c r="SMM5" s="390"/>
      <c r="SMN5" s="390"/>
      <c r="SMO5" s="390"/>
      <c r="SMP5" s="390"/>
      <c r="SMQ5" s="390"/>
      <c r="SMR5" s="390"/>
      <c r="SMS5" s="390"/>
      <c r="SMT5" s="390"/>
      <c r="SMU5" s="390"/>
      <c r="SMV5" s="390"/>
      <c r="SMW5" s="390"/>
      <c r="SMX5" s="390"/>
      <c r="SMY5" s="390"/>
      <c r="SMZ5" s="390"/>
      <c r="SNA5" s="390"/>
      <c r="SNB5" s="390"/>
      <c r="SNC5" s="390"/>
      <c r="SND5" s="390"/>
      <c r="SNE5" s="390"/>
      <c r="SNF5" s="390"/>
      <c r="SNG5" s="390"/>
      <c r="SNH5" s="390"/>
      <c r="SNI5" s="390"/>
      <c r="SNJ5" s="390"/>
      <c r="SNK5" s="390"/>
      <c r="SNL5" s="390"/>
      <c r="SNM5" s="390"/>
      <c r="SNN5" s="390"/>
      <c r="SNO5" s="390"/>
      <c r="SNP5" s="390"/>
      <c r="SNQ5" s="390"/>
      <c r="SNR5" s="390"/>
      <c r="SNS5" s="390"/>
      <c r="SNT5" s="390"/>
      <c r="SNU5" s="390"/>
      <c r="SNV5" s="390"/>
      <c r="SNW5" s="390"/>
      <c r="SNX5" s="390"/>
      <c r="SNY5" s="390"/>
      <c r="SNZ5" s="390"/>
      <c r="SOA5" s="390"/>
      <c r="SOB5" s="390"/>
      <c r="SOC5" s="390"/>
      <c r="SOD5" s="390"/>
      <c r="SOE5" s="390"/>
      <c r="SOF5" s="390"/>
      <c r="SOG5" s="390"/>
      <c r="SOH5" s="390"/>
      <c r="SOI5" s="390"/>
      <c r="SOJ5" s="390"/>
      <c r="SOK5" s="390"/>
      <c r="SOL5" s="390"/>
      <c r="SOM5" s="390"/>
      <c r="SON5" s="390"/>
      <c r="SOO5" s="390"/>
      <c r="SOP5" s="390"/>
      <c r="SOQ5" s="390"/>
      <c r="SOR5" s="390"/>
      <c r="SOS5" s="390"/>
      <c r="SOT5" s="390"/>
      <c r="SOU5" s="390"/>
      <c r="SOV5" s="390"/>
      <c r="SOW5" s="390"/>
      <c r="SOX5" s="390"/>
      <c r="SOY5" s="390"/>
      <c r="SOZ5" s="390"/>
      <c r="SPA5" s="390"/>
      <c r="SPB5" s="390"/>
      <c r="SPC5" s="390"/>
      <c r="SPD5" s="390"/>
      <c r="SPE5" s="390"/>
      <c r="SPF5" s="390"/>
      <c r="SPG5" s="390"/>
      <c r="SPH5" s="390"/>
      <c r="SPI5" s="390"/>
      <c r="SPJ5" s="390"/>
      <c r="SPK5" s="390"/>
      <c r="SPL5" s="390"/>
      <c r="SPM5" s="390"/>
      <c r="SPN5" s="390"/>
      <c r="SPO5" s="390"/>
      <c r="SPP5" s="390"/>
      <c r="SPQ5" s="390"/>
      <c r="SPR5" s="390"/>
      <c r="SPS5" s="390"/>
      <c r="SPT5" s="390"/>
      <c r="SPU5" s="390"/>
      <c r="SPV5" s="390"/>
      <c r="SPW5" s="390"/>
      <c r="SPX5" s="390"/>
      <c r="SPY5" s="390"/>
      <c r="SPZ5" s="390"/>
      <c r="SQA5" s="390"/>
      <c r="SQB5" s="390"/>
      <c r="SQC5" s="390"/>
      <c r="SQD5" s="390"/>
      <c r="SQE5" s="390"/>
      <c r="SQF5" s="390"/>
      <c r="SQG5" s="390"/>
      <c r="SQH5" s="390"/>
      <c r="SQI5" s="390"/>
      <c r="SQJ5" s="390"/>
      <c r="SQK5" s="390"/>
      <c r="SQL5" s="390"/>
      <c r="SQM5" s="390"/>
      <c r="SQN5" s="390"/>
      <c r="SQO5" s="390"/>
      <c r="SQP5" s="390"/>
      <c r="SQQ5" s="390"/>
      <c r="SQR5" s="390"/>
      <c r="SQS5" s="390"/>
      <c r="SQT5" s="390"/>
      <c r="SQU5" s="390"/>
      <c r="SQV5" s="390"/>
      <c r="SQW5" s="390"/>
      <c r="SQX5" s="390"/>
      <c r="SQY5" s="390"/>
      <c r="SQZ5" s="390"/>
      <c r="SRA5" s="390"/>
      <c r="SRB5" s="390"/>
      <c r="SRC5" s="390"/>
      <c r="SRD5" s="390"/>
      <c r="SRE5" s="390"/>
      <c r="SRF5" s="390"/>
      <c r="SRG5" s="390"/>
      <c r="SRH5" s="390"/>
      <c r="SRI5" s="390"/>
      <c r="SRJ5" s="390"/>
      <c r="SRK5" s="390"/>
      <c r="SRL5" s="390"/>
      <c r="SRM5" s="390"/>
      <c r="SRN5" s="390"/>
      <c r="SRO5" s="390"/>
      <c r="SRP5" s="390"/>
      <c r="SRQ5" s="390"/>
      <c r="SRR5" s="390"/>
      <c r="SRS5" s="390"/>
      <c r="SRT5" s="390"/>
      <c r="SRU5" s="390"/>
      <c r="SRV5" s="390"/>
      <c r="SRW5" s="390"/>
      <c r="SRX5" s="390"/>
      <c r="SRY5" s="390"/>
      <c r="SRZ5" s="390"/>
      <c r="SSA5" s="390"/>
      <c r="SSB5" s="390"/>
      <c r="SSC5" s="390"/>
      <c r="SSD5" s="390"/>
      <c r="SSE5" s="390"/>
      <c r="SSF5" s="390"/>
      <c r="SSG5" s="390"/>
      <c r="SSH5" s="390"/>
      <c r="SSI5" s="390"/>
      <c r="SSJ5" s="390"/>
      <c r="SSK5" s="390"/>
      <c r="SSL5" s="390"/>
      <c r="SSM5" s="390"/>
      <c r="SSN5" s="390"/>
      <c r="SSO5" s="390"/>
      <c r="SSP5" s="390"/>
      <c r="SSQ5" s="390"/>
      <c r="SSR5" s="390"/>
      <c r="SSS5" s="390"/>
      <c r="SST5" s="390"/>
      <c r="SSU5" s="390"/>
      <c r="SSV5" s="390"/>
      <c r="SSW5" s="390"/>
      <c r="SSX5" s="390"/>
      <c r="SSY5" s="390"/>
      <c r="SSZ5" s="390"/>
      <c r="STA5" s="390"/>
      <c r="STB5" s="390"/>
      <c r="STC5" s="390"/>
      <c r="STD5" s="390"/>
      <c r="STE5" s="390"/>
      <c r="STF5" s="390"/>
      <c r="STG5" s="390"/>
      <c r="STH5" s="390"/>
      <c r="STI5" s="390"/>
      <c r="STJ5" s="390"/>
      <c r="STK5" s="390"/>
      <c r="STL5" s="390"/>
      <c r="STM5" s="390"/>
      <c r="STN5" s="390"/>
      <c r="STO5" s="390"/>
      <c r="STP5" s="390"/>
      <c r="STQ5" s="390"/>
      <c r="STR5" s="390"/>
      <c r="STS5" s="390"/>
      <c r="STT5" s="390"/>
      <c r="STU5" s="390"/>
      <c r="STV5" s="390"/>
      <c r="STW5" s="390"/>
      <c r="STX5" s="390"/>
      <c r="STY5" s="390"/>
      <c r="STZ5" s="390"/>
      <c r="SUA5" s="390"/>
      <c r="SUB5" s="390"/>
      <c r="SUC5" s="390"/>
      <c r="SUD5" s="390"/>
      <c r="SUE5" s="390"/>
      <c r="SUF5" s="390"/>
      <c r="SUG5" s="390"/>
      <c r="SUH5" s="390"/>
      <c r="SUI5" s="390"/>
      <c r="SUJ5" s="390"/>
      <c r="SUK5" s="390"/>
      <c r="SUL5" s="390"/>
      <c r="SUM5" s="390"/>
      <c r="SUN5" s="390"/>
      <c r="SUO5" s="390"/>
      <c r="SUP5" s="390"/>
      <c r="SUQ5" s="390"/>
      <c r="SUR5" s="390"/>
      <c r="SUS5" s="390"/>
      <c r="SUT5" s="390"/>
      <c r="SUU5" s="390"/>
      <c r="SUV5" s="390"/>
      <c r="SUW5" s="390"/>
      <c r="SUX5" s="390"/>
      <c r="SUY5" s="390"/>
      <c r="SUZ5" s="390"/>
      <c r="SVA5" s="390"/>
      <c r="SVB5" s="390"/>
      <c r="SVC5" s="390"/>
      <c r="SVD5" s="390"/>
      <c r="SVE5" s="390"/>
      <c r="SVF5" s="390"/>
      <c r="SVG5" s="390"/>
      <c r="SVH5" s="390"/>
      <c r="SVI5" s="390"/>
      <c r="SVJ5" s="390"/>
      <c r="SVK5" s="390"/>
      <c r="SVL5" s="390"/>
      <c r="SVM5" s="390"/>
      <c r="SVN5" s="390"/>
      <c r="SVO5" s="390"/>
      <c r="SVP5" s="390"/>
      <c r="SVQ5" s="390"/>
      <c r="SVR5" s="390"/>
      <c r="SVS5" s="390"/>
      <c r="SVT5" s="390"/>
      <c r="SVU5" s="390"/>
      <c r="SVV5" s="390"/>
      <c r="SVW5" s="390"/>
      <c r="SVX5" s="390"/>
      <c r="SVY5" s="390"/>
      <c r="SVZ5" s="390"/>
      <c r="SWA5" s="390"/>
      <c r="SWB5" s="390"/>
      <c r="SWC5" s="390"/>
      <c r="SWD5" s="390"/>
      <c r="SWE5" s="390"/>
      <c r="SWF5" s="390"/>
      <c r="SWG5" s="390"/>
      <c r="SWH5" s="390"/>
      <c r="SWI5" s="390"/>
      <c r="SWJ5" s="390"/>
      <c r="SWK5" s="390"/>
      <c r="SWL5" s="390"/>
      <c r="SWM5" s="390"/>
      <c r="SWN5" s="390"/>
      <c r="SWO5" s="390"/>
      <c r="SWP5" s="390"/>
      <c r="SWQ5" s="390"/>
      <c r="SWR5" s="390"/>
      <c r="SWS5" s="390"/>
      <c r="SWT5" s="390"/>
      <c r="SWU5" s="390"/>
      <c r="SWV5" s="390"/>
      <c r="SWW5" s="390"/>
      <c r="SWX5" s="390"/>
      <c r="SWY5" s="390"/>
      <c r="SWZ5" s="390"/>
      <c r="SXA5" s="390"/>
      <c r="SXB5" s="390"/>
      <c r="SXC5" s="390"/>
      <c r="SXD5" s="390"/>
      <c r="SXE5" s="390"/>
      <c r="SXF5" s="390"/>
      <c r="SXG5" s="390"/>
      <c r="SXH5" s="390"/>
      <c r="SXI5" s="390"/>
      <c r="SXJ5" s="390"/>
      <c r="SXK5" s="390"/>
      <c r="SXL5" s="390"/>
      <c r="SXM5" s="390"/>
      <c r="SXN5" s="390"/>
      <c r="SXO5" s="390"/>
      <c r="SXP5" s="390"/>
      <c r="SXQ5" s="390"/>
      <c r="SXR5" s="390"/>
      <c r="SXS5" s="390"/>
      <c r="SXT5" s="390"/>
      <c r="SXU5" s="390"/>
      <c r="SXV5" s="390"/>
      <c r="SXW5" s="390"/>
      <c r="SXX5" s="390"/>
      <c r="SXY5" s="390"/>
      <c r="SXZ5" s="390"/>
      <c r="SYA5" s="390"/>
      <c r="SYB5" s="390"/>
      <c r="SYC5" s="390"/>
      <c r="SYD5" s="390"/>
      <c r="SYE5" s="390"/>
      <c r="SYF5" s="390"/>
      <c r="SYG5" s="390"/>
      <c r="SYH5" s="390"/>
      <c r="SYI5" s="390"/>
      <c r="SYJ5" s="390"/>
      <c r="SYK5" s="390"/>
      <c r="SYL5" s="390"/>
      <c r="SYM5" s="390"/>
      <c r="SYN5" s="390"/>
      <c r="SYO5" s="390"/>
      <c r="SYP5" s="390"/>
      <c r="SYQ5" s="390"/>
      <c r="SYR5" s="390"/>
      <c r="SYS5" s="390"/>
      <c r="SYT5" s="390"/>
      <c r="SYU5" s="390"/>
      <c r="SYV5" s="390"/>
      <c r="SYW5" s="390"/>
      <c r="SYX5" s="390"/>
      <c r="SYY5" s="390"/>
      <c r="SYZ5" s="390"/>
      <c r="SZA5" s="390"/>
      <c r="SZB5" s="390"/>
      <c r="SZC5" s="390"/>
      <c r="SZD5" s="390"/>
      <c r="SZE5" s="390"/>
      <c r="SZF5" s="390"/>
      <c r="SZG5" s="390"/>
      <c r="SZH5" s="390"/>
      <c r="SZI5" s="390"/>
      <c r="SZJ5" s="390"/>
      <c r="SZK5" s="390"/>
      <c r="SZL5" s="390"/>
      <c r="SZM5" s="390"/>
      <c r="SZN5" s="390"/>
      <c r="SZO5" s="390"/>
      <c r="SZP5" s="390"/>
      <c r="SZQ5" s="390"/>
      <c r="SZR5" s="390"/>
      <c r="SZS5" s="390"/>
      <c r="SZT5" s="390"/>
      <c r="SZU5" s="390"/>
      <c r="SZV5" s="390"/>
      <c r="SZW5" s="390"/>
      <c r="SZX5" s="390"/>
      <c r="SZY5" s="390"/>
      <c r="SZZ5" s="390"/>
      <c r="TAA5" s="390"/>
      <c r="TAB5" s="390"/>
      <c r="TAC5" s="390"/>
      <c r="TAD5" s="390"/>
      <c r="TAE5" s="390"/>
      <c r="TAF5" s="390"/>
      <c r="TAG5" s="390"/>
      <c r="TAH5" s="390"/>
      <c r="TAI5" s="390"/>
      <c r="TAJ5" s="390"/>
      <c r="TAK5" s="390"/>
      <c r="TAL5" s="390"/>
      <c r="TAM5" s="390"/>
      <c r="TAN5" s="390"/>
      <c r="TAO5" s="390"/>
      <c r="TAP5" s="390"/>
      <c r="TAQ5" s="390"/>
      <c r="TAR5" s="390"/>
      <c r="TAS5" s="390"/>
      <c r="TAT5" s="390"/>
      <c r="TAU5" s="390"/>
      <c r="TAV5" s="390"/>
      <c r="TAW5" s="390"/>
      <c r="TAX5" s="390"/>
      <c r="TAY5" s="390"/>
      <c r="TAZ5" s="390"/>
      <c r="TBA5" s="390"/>
      <c r="TBB5" s="390"/>
      <c r="TBC5" s="390"/>
      <c r="TBD5" s="390"/>
      <c r="TBE5" s="390"/>
      <c r="TBF5" s="390"/>
      <c r="TBG5" s="390"/>
      <c r="TBH5" s="390"/>
      <c r="TBI5" s="390"/>
      <c r="TBJ5" s="390"/>
      <c r="TBK5" s="390"/>
      <c r="TBL5" s="390"/>
      <c r="TBM5" s="390"/>
      <c r="TBN5" s="390"/>
      <c r="TBO5" s="390"/>
      <c r="TBP5" s="390"/>
      <c r="TBQ5" s="390"/>
      <c r="TBR5" s="390"/>
      <c r="TBS5" s="390"/>
      <c r="TBT5" s="390"/>
      <c r="TBU5" s="390"/>
      <c r="TBV5" s="390"/>
      <c r="TBW5" s="390"/>
      <c r="TBX5" s="390"/>
      <c r="TBY5" s="390"/>
      <c r="TBZ5" s="390"/>
      <c r="TCA5" s="390"/>
      <c r="TCB5" s="390"/>
      <c r="TCC5" s="390"/>
      <c r="TCD5" s="390"/>
      <c r="TCE5" s="390"/>
      <c r="TCF5" s="390"/>
      <c r="TCG5" s="390"/>
      <c r="TCH5" s="390"/>
      <c r="TCI5" s="390"/>
      <c r="TCJ5" s="390"/>
      <c r="TCK5" s="390"/>
      <c r="TCL5" s="390"/>
      <c r="TCM5" s="390"/>
      <c r="TCN5" s="390"/>
      <c r="TCO5" s="390"/>
      <c r="TCP5" s="390"/>
      <c r="TCQ5" s="390"/>
      <c r="TCR5" s="390"/>
      <c r="TCS5" s="390"/>
      <c r="TCT5" s="390"/>
      <c r="TCU5" s="390"/>
      <c r="TCV5" s="390"/>
      <c r="TCW5" s="390"/>
      <c r="TCX5" s="390"/>
      <c r="TCY5" s="390"/>
      <c r="TCZ5" s="390"/>
      <c r="TDA5" s="390"/>
      <c r="TDB5" s="390"/>
      <c r="TDC5" s="390"/>
      <c r="TDD5" s="390"/>
      <c r="TDE5" s="390"/>
      <c r="TDF5" s="390"/>
      <c r="TDG5" s="390"/>
      <c r="TDH5" s="390"/>
      <c r="TDI5" s="390"/>
      <c r="TDJ5" s="390"/>
      <c r="TDK5" s="390"/>
      <c r="TDL5" s="390"/>
      <c r="TDM5" s="390"/>
      <c r="TDN5" s="390"/>
      <c r="TDO5" s="390"/>
      <c r="TDP5" s="390"/>
      <c r="TDQ5" s="390"/>
      <c r="TDR5" s="390"/>
      <c r="TDS5" s="390"/>
      <c r="TDT5" s="390"/>
      <c r="TDU5" s="390"/>
      <c r="TDV5" s="390"/>
      <c r="TDW5" s="390"/>
      <c r="TDX5" s="390"/>
      <c r="TDY5" s="390"/>
      <c r="TDZ5" s="390"/>
      <c r="TEA5" s="390"/>
      <c r="TEB5" s="390"/>
      <c r="TEC5" s="390"/>
      <c r="TED5" s="390"/>
      <c r="TEE5" s="390"/>
      <c r="TEF5" s="390"/>
      <c r="TEG5" s="390"/>
      <c r="TEH5" s="390"/>
      <c r="TEI5" s="390"/>
      <c r="TEJ5" s="390"/>
      <c r="TEK5" s="390"/>
      <c r="TEL5" s="390"/>
      <c r="TEM5" s="390"/>
      <c r="TEN5" s="390"/>
      <c r="TEO5" s="390"/>
      <c r="TEP5" s="390"/>
      <c r="TEQ5" s="390"/>
      <c r="TER5" s="390"/>
      <c r="TES5" s="390"/>
      <c r="TET5" s="390"/>
      <c r="TEU5" s="390"/>
      <c r="TEV5" s="390"/>
      <c r="TEW5" s="390"/>
      <c r="TEX5" s="390"/>
      <c r="TEY5" s="390"/>
      <c r="TEZ5" s="390"/>
      <c r="TFA5" s="390"/>
      <c r="TFB5" s="390"/>
      <c r="TFC5" s="390"/>
      <c r="TFD5" s="390"/>
      <c r="TFE5" s="390"/>
      <c r="TFF5" s="390"/>
      <c r="TFG5" s="390"/>
      <c r="TFH5" s="390"/>
      <c r="TFI5" s="390"/>
      <c r="TFJ5" s="390"/>
      <c r="TFK5" s="390"/>
      <c r="TFL5" s="390"/>
      <c r="TFM5" s="390"/>
      <c r="TFN5" s="390"/>
      <c r="TFO5" s="390"/>
      <c r="TFP5" s="390"/>
      <c r="TFQ5" s="390"/>
      <c r="TFR5" s="390"/>
      <c r="TFS5" s="390"/>
      <c r="TFT5" s="390"/>
      <c r="TFU5" s="390"/>
      <c r="TFV5" s="390"/>
      <c r="TFW5" s="390"/>
      <c r="TFX5" s="390"/>
      <c r="TFY5" s="390"/>
      <c r="TFZ5" s="390"/>
      <c r="TGA5" s="390"/>
      <c r="TGB5" s="390"/>
      <c r="TGC5" s="390"/>
      <c r="TGD5" s="390"/>
      <c r="TGE5" s="390"/>
      <c r="TGF5" s="390"/>
      <c r="TGG5" s="390"/>
      <c r="TGH5" s="390"/>
      <c r="TGI5" s="390"/>
      <c r="TGJ5" s="390"/>
      <c r="TGK5" s="390"/>
      <c r="TGL5" s="390"/>
      <c r="TGM5" s="390"/>
      <c r="TGN5" s="390"/>
      <c r="TGO5" s="390"/>
      <c r="TGP5" s="390"/>
      <c r="TGQ5" s="390"/>
      <c r="TGR5" s="390"/>
      <c r="TGS5" s="390"/>
      <c r="TGT5" s="390"/>
      <c r="TGU5" s="390"/>
      <c r="TGV5" s="390"/>
      <c r="TGW5" s="390"/>
      <c r="TGX5" s="390"/>
      <c r="TGY5" s="390"/>
      <c r="TGZ5" s="390"/>
      <c r="THA5" s="390"/>
      <c r="THB5" s="390"/>
      <c r="THC5" s="390"/>
      <c r="THD5" s="390"/>
      <c r="THE5" s="390"/>
      <c r="THF5" s="390"/>
      <c r="THG5" s="390"/>
      <c r="THH5" s="390"/>
      <c r="THI5" s="390"/>
      <c r="THJ5" s="390"/>
      <c r="THK5" s="390"/>
      <c r="THL5" s="390"/>
      <c r="THM5" s="390"/>
      <c r="THN5" s="390"/>
      <c r="THO5" s="390"/>
      <c r="THP5" s="390"/>
      <c r="THQ5" s="390"/>
      <c r="THR5" s="390"/>
      <c r="THS5" s="390"/>
      <c r="THT5" s="390"/>
      <c r="THU5" s="390"/>
      <c r="THV5" s="390"/>
      <c r="THW5" s="390"/>
      <c r="THX5" s="390"/>
      <c r="THY5" s="390"/>
      <c r="THZ5" s="390"/>
      <c r="TIA5" s="390"/>
      <c r="TIB5" s="390"/>
      <c r="TIC5" s="390"/>
      <c r="TID5" s="390"/>
      <c r="TIE5" s="390"/>
      <c r="TIF5" s="390"/>
      <c r="TIG5" s="390"/>
      <c r="TIH5" s="390"/>
      <c r="TII5" s="390"/>
      <c r="TIJ5" s="390"/>
      <c r="TIK5" s="390"/>
      <c r="TIL5" s="390"/>
      <c r="TIM5" s="390"/>
      <c r="TIN5" s="390"/>
      <c r="TIO5" s="390"/>
      <c r="TIP5" s="390"/>
      <c r="TIQ5" s="390"/>
      <c r="TIR5" s="390"/>
      <c r="TIS5" s="390"/>
      <c r="TIT5" s="390"/>
      <c r="TIU5" s="390"/>
      <c r="TIV5" s="390"/>
      <c r="TIW5" s="390"/>
      <c r="TIX5" s="390"/>
      <c r="TIY5" s="390"/>
      <c r="TIZ5" s="390"/>
      <c r="TJA5" s="390"/>
      <c r="TJB5" s="390"/>
      <c r="TJC5" s="390"/>
      <c r="TJD5" s="390"/>
      <c r="TJE5" s="390"/>
      <c r="TJF5" s="390"/>
      <c r="TJG5" s="390"/>
      <c r="TJH5" s="390"/>
      <c r="TJI5" s="390"/>
      <c r="TJJ5" s="390"/>
      <c r="TJK5" s="390"/>
      <c r="TJL5" s="390"/>
      <c r="TJM5" s="390"/>
      <c r="TJN5" s="390"/>
      <c r="TJO5" s="390"/>
      <c r="TJP5" s="390"/>
      <c r="TJQ5" s="390"/>
      <c r="TJR5" s="390"/>
      <c r="TJS5" s="390"/>
      <c r="TJT5" s="390"/>
      <c r="TJU5" s="390"/>
      <c r="TJV5" s="390"/>
      <c r="TJW5" s="390"/>
      <c r="TJX5" s="390"/>
      <c r="TJY5" s="390"/>
      <c r="TJZ5" s="390"/>
      <c r="TKA5" s="390"/>
      <c r="TKB5" s="390"/>
      <c r="TKC5" s="390"/>
      <c r="TKD5" s="390"/>
      <c r="TKE5" s="390"/>
      <c r="TKF5" s="390"/>
      <c r="TKG5" s="390"/>
      <c r="TKH5" s="390"/>
      <c r="TKI5" s="390"/>
      <c r="TKJ5" s="390"/>
      <c r="TKK5" s="390"/>
      <c r="TKL5" s="390"/>
      <c r="TKM5" s="390"/>
      <c r="TKN5" s="390"/>
      <c r="TKO5" s="390"/>
      <c r="TKP5" s="390"/>
      <c r="TKQ5" s="390"/>
      <c r="TKR5" s="390"/>
      <c r="TKS5" s="390"/>
      <c r="TKT5" s="390"/>
      <c r="TKU5" s="390"/>
      <c r="TKV5" s="390"/>
      <c r="TKW5" s="390"/>
      <c r="TKX5" s="390"/>
      <c r="TKY5" s="390"/>
      <c r="TKZ5" s="390"/>
      <c r="TLA5" s="390"/>
      <c r="TLB5" s="390"/>
      <c r="TLC5" s="390"/>
      <c r="TLD5" s="390"/>
      <c r="TLE5" s="390"/>
      <c r="TLF5" s="390"/>
      <c r="TLG5" s="390"/>
      <c r="TLH5" s="390"/>
      <c r="TLI5" s="390"/>
      <c r="TLJ5" s="390"/>
      <c r="TLK5" s="390"/>
      <c r="TLL5" s="390"/>
      <c r="TLM5" s="390"/>
      <c r="TLN5" s="390"/>
      <c r="TLO5" s="390"/>
      <c r="TLP5" s="390"/>
      <c r="TLQ5" s="390"/>
      <c r="TLR5" s="390"/>
      <c r="TLS5" s="390"/>
      <c r="TLT5" s="390"/>
      <c r="TLU5" s="390"/>
      <c r="TLV5" s="390"/>
      <c r="TLW5" s="390"/>
      <c r="TLX5" s="390"/>
      <c r="TLY5" s="390"/>
      <c r="TLZ5" s="390"/>
      <c r="TMA5" s="390"/>
      <c r="TMB5" s="390"/>
      <c r="TMC5" s="390"/>
      <c r="TMD5" s="390"/>
      <c r="TME5" s="390"/>
      <c r="TMF5" s="390"/>
      <c r="TMG5" s="390"/>
      <c r="TMH5" s="390"/>
      <c r="TMI5" s="390"/>
      <c r="TMJ5" s="390"/>
      <c r="TMK5" s="390"/>
      <c r="TML5" s="390"/>
      <c r="TMM5" s="390"/>
      <c r="TMN5" s="390"/>
      <c r="TMO5" s="390"/>
      <c r="TMP5" s="390"/>
      <c r="TMQ5" s="390"/>
      <c r="TMR5" s="390"/>
      <c r="TMS5" s="390"/>
      <c r="TMT5" s="390"/>
      <c r="TMU5" s="390"/>
      <c r="TMV5" s="390"/>
      <c r="TMW5" s="390"/>
      <c r="TMX5" s="390"/>
      <c r="TMY5" s="390"/>
      <c r="TMZ5" s="390"/>
      <c r="TNA5" s="390"/>
      <c r="TNB5" s="390"/>
      <c r="TNC5" s="390"/>
      <c r="TND5" s="390"/>
      <c r="TNE5" s="390"/>
      <c r="TNF5" s="390"/>
      <c r="TNG5" s="390"/>
      <c r="TNH5" s="390"/>
      <c r="TNI5" s="390"/>
      <c r="TNJ5" s="390"/>
      <c r="TNK5" s="390"/>
      <c r="TNL5" s="390"/>
      <c r="TNM5" s="390"/>
      <c r="TNN5" s="390"/>
      <c r="TNO5" s="390"/>
      <c r="TNP5" s="390"/>
      <c r="TNQ5" s="390"/>
      <c r="TNR5" s="390"/>
      <c r="TNS5" s="390"/>
      <c r="TNT5" s="390"/>
      <c r="TNU5" s="390"/>
      <c r="TNV5" s="390"/>
      <c r="TNW5" s="390"/>
      <c r="TNX5" s="390"/>
      <c r="TNY5" s="390"/>
      <c r="TNZ5" s="390"/>
      <c r="TOA5" s="390"/>
      <c r="TOB5" s="390"/>
      <c r="TOC5" s="390"/>
      <c r="TOD5" s="390"/>
      <c r="TOE5" s="390"/>
      <c r="TOF5" s="390"/>
      <c r="TOG5" s="390"/>
      <c r="TOH5" s="390"/>
      <c r="TOI5" s="390"/>
      <c r="TOJ5" s="390"/>
      <c r="TOK5" s="390"/>
      <c r="TOL5" s="390"/>
      <c r="TOM5" s="390"/>
      <c r="TON5" s="390"/>
      <c r="TOO5" s="390"/>
      <c r="TOP5" s="390"/>
      <c r="TOQ5" s="390"/>
      <c r="TOR5" s="390"/>
      <c r="TOS5" s="390"/>
      <c r="TOT5" s="390"/>
      <c r="TOU5" s="390"/>
      <c r="TOV5" s="390"/>
      <c r="TOW5" s="390"/>
      <c r="TOX5" s="390"/>
      <c r="TOY5" s="390"/>
      <c r="TOZ5" s="390"/>
      <c r="TPA5" s="390"/>
      <c r="TPB5" s="390"/>
      <c r="TPC5" s="390"/>
      <c r="TPD5" s="390"/>
      <c r="TPE5" s="390"/>
      <c r="TPF5" s="390"/>
      <c r="TPG5" s="390"/>
      <c r="TPH5" s="390"/>
      <c r="TPI5" s="390"/>
      <c r="TPJ5" s="390"/>
      <c r="TPK5" s="390"/>
      <c r="TPL5" s="390"/>
      <c r="TPM5" s="390"/>
      <c r="TPN5" s="390"/>
      <c r="TPO5" s="390"/>
      <c r="TPP5" s="390"/>
      <c r="TPQ5" s="390"/>
      <c r="TPR5" s="390"/>
      <c r="TPS5" s="390"/>
      <c r="TPT5" s="390"/>
      <c r="TPU5" s="390"/>
      <c r="TPV5" s="390"/>
      <c r="TPW5" s="390"/>
      <c r="TPX5" s="390"/>
      <c r="TPY5" s="390"/>
      <c r="TPZ5" s="390"/>
      <c r="TQA5" s="390"/>
      <c r="TQB5" s="390"/>
      <c r="TQC5" s="390"/>
      <c r="TQD5" s="390"/>
      <c r="TQE5" s="390"/>
      <c r="TQF5" s="390"/>
      <c r="TQG5" s="390"/>
      <c r="TQH5" s="390"/>
      <c r="TQI5" s="390"/>
      <c r="TQJ5" s="390"/>
      <c r="TQK5" s="390"/>
      <c r="TQL5" s="390"/>
      <c r="TQM5" s="390"/>
      <c r="TQN5" s="390"/>
      <c r="TQO5" s="390"/>
      <c r="TQP5" s="390"/>
      <c r="TQQ5" s="390"/>
      <c r="TQR5" s="390"/>
      <c r="TQS5" s="390"/>
      <c r="TQT5" s="390"/>
      <c r="TQU5" s="390"/>
      <c r="TQV5" s="390"/>
      <c r="TQW5" s="390"/>
      <c r="TQX5" s="390"/>
      <c r="TQY5" s="390"/>
      <c r="TQZ5" s="390"/>
      <c r="TRA5" s="390"/>
      <c r="TRB5" s="390"/>
      <c r="TRC5" s="390"/>
      <c r="TRD5" s="390"/>
      <c r="TRE5" s="390"/>
      <c r="TRF5" s="390"/>
      <c r="TRG5" s="390"/>
      <c r="TRH5" s="390"/>
      <c r="TRI5" s="390"/>
      <c r="TRJ5" s="390"/>
      <c r="TRK5" s="390"/>
      <c r="TRL5" s="390"/>
      <c r="TRM5" s="390"/>
      <c r="TRN5" s="390"/>
      <c r="TRO5" s="390"/>
      <c r="TRP5" s="390"/>
      <c r="TRQ5" s="390"/>
      <c r="TRR5" s="390"/>
      <c r="TRS5" s="390"/>
      <c r="TRT5" s="390"/>
      <c r="TRU5" s="390"/>
      <c r="TRV5" s="390"/>
      <c r="TRW5" s="390"/>
      <c r="TRX5" s="390"/>
      <c r="TRY5" s="390"/>
      <c r="TRZ5" s="390"/>
      <c r="TSA5" s="390"/>
      <c r="TSB5" s="390"/>
      <c r="TSC5" s="390"/>
      <c r="TSD5" s="390"/>
      <c r="TSE5" s="390"/>
      <c r="TSF5" s="390"/>
      <c r="TSG5" s="390"/>
      <c r="TSH5" s="390"/>
      <c r="TSI5" s="390"/>
      <c r="TSJ5" s="390"/>
      <c r="TSK5" s="390"/>
      <c r="TSL5" s="390"/>
      <c r="TSM5" s="390"/>
      <c r="TSN5" s="390"/>
      <c r="TSO5" s="390"/>
      <c r="TSP5" s="390"/>
      <c r="TSQ5" s="390"/>
      <c r="TSR5" s="390"/>
      <c r="TSS5" s="390"/>
      <c r="TST5" s="390"/>
      <c r="TSU5" s="390"/>
      <c r="TSV5" s="390"/>
      <c r="TSW5" s="390"/>
      <c r="TSX5" s="390"/>
      <c r="TSY5" s="390"/>
      <c r="TSZ5" s="390"/>
      <c r="TTA5" s="390"/>
      <c r="TTB5" s="390"/>
      <c r="TTC5" s="390"/>
      <c r="TTD5" s="390"/>
      <c r="TTE5" s="390"/>
      <c r="TTF5" s="390"/>
      <c r="TTG5" s="390"/>
      <c r="TTH5" s="390"/>
      <c r="TTI5" s="390"/>
      <c r="TTJ5" s="390"/>
      <c r="TTK5" s="390"/>
      <c r="TTL5" s="390"/>
      <c r="TTM5" s="390"/>
      <c r="TTN5" s="390"/>
      <c r="TTO5" s="390"/>
      <c r="TTP5" s="390"/>
      <c r="TTQ5" s="390"/>
      <c r="TTR5" s="390"/>
      <c r="TTS5" s="390"/>
      <c r="TTT5" s="390"/>
      <c r="TTU5" s="390"/>
      <c r="TTV5" s="390"/>
      <c r="TTW5" s="390"/>
      <c r="TTX5" s="390"/>
      <c r="TTY5" s="390"/>
      <c r="TTZ5" s="390"/>
      <c r="TUA5" s="390"/>
      <c r="TUB5" s="390"/>
      <c r="TUC5" s="390"/>
      <c r="TUD5" s="390"/>
      <c r="TUE5" s="390"/>
      <c r="TUF5" s="390"/>
      <c r="TUG5" s="390"/>
      <c r="TUH5" s="390"/>
      <c r="TUI5" s="390"/>
      <c r="TUJ5" s="390"/>
      <c r="TUK5" s="390"/>
      <c r="TUL5" s="390"/>
      <c r="TUM5" s="390"/>
      <c r="TUN5" s="390"/>
      <c r="TUO5" s="390"/>
      <c r="TUP5" s="390"/>
      <c r="TUQ5" s="390"/>
      <c r="TUR5" s="390"/>
      <c r="TUS5" s="390"/>
      <c r="TUT5" s="390"/>
      <c r="TUU5" s="390"/>
      <c r="TUV5" s="390"/>
      <c r="TUW5" s="390"/>
      <c r="TUX5" s="390"/>
      <c r="TUY5" s="390"/>
      <c r="TUZ5" s="390"/>
      <c r="TVA5" s="390"/>
      <c r="TVB5" s="390"/>
      <c r="TVC5" s="390"/>
      <c r="TVD5" s="390"/>
      <c r="TVE5" s="390"/>
      <c r="TVF5" s="390"/>
      <c r="TVG5" s="390"/>
      <c r="TVH5" s="390"/>
      <c r="TVI5" s="390"/>
      <c r="TVJ5" s="390"/>
      <c r="TVK5" s="390"/>
      <c r="TVL5" s="390"/>
      <c r="TVM5" s="390"/>
      <c r="TVN5" s="390"/>
      <c r="TVO5" s="390"/>
      <c r="TVP5" s="390"/>
      <c r="TVQ5" s="390"/>
      <c r="TVR5" s="390"/>
      <c r="TVS5" s="390"/>
      <c r="TVT5" s="390"/>
      <c r="TVU5" s="390"/>
      <c r="TVV5" s="390"/>
      <c r="TVW5" s="390"/>
      <c r="TVX5" s="390"/>
      <c r="TVY5" s="390"/>
      <c r="TVZ5" s="390"/>
      <c r="TWA5" s="390"/>
      <c r="TWB5" s="390"/>
      <c r="TWC5" s="390"/>
      <c r="TWD5" s="390"/>
      <c r="TWE5" s="390"/>
      <c r="TWF5" s="390"/>
      <c r="TWG5" s="390"/>
      <c r="TWH5" s="390"/>
      <c r="TWI5" s="390"/>
      <c r="TWJ5" s="390"/>
      <c r="TWK5" s="390"/>
      <c r="TWL5" s="390"/>
      <c r="TWM5" s="390"/>
      <c r="TWN5" s="390"/>
      <c r="TWO5" s="390"/>
      <c r="TWP5" s="390"/>
      <c r="TWQ5" s="390"/>
      <c r="TWR5" s="390"/>
      <c r="TWS5" s="390"/>
      <c r="TWT5" s="390"/>
      <c r="TWU5" s="390"/>
      <c r="TWV5" s="390"/>
      <c r="TWW5" s="390"/>
      <c r="TWX5" s="390"/>
      <c r="TWY5" s="390"/>
      <c r="TWZ5" s="390"/>
      <c r="TXA5" s="390"/>
      <c r="TXB5" s="390"/>
      <c r="TXC5" s="390"/>
      <c r="TXD5" s="390"/>
      <c r="TXE5" s="390"/>
      <c r="TXF5" s="390"/>
      <c r="TXG5" s="390"/>
      <c r="TXH5" s="390"/>
      <c r="TXI5" s="390"/>
      <c r="TXJ5" s="390"/>
      <c r="TXK5" s="390"/>
      <c r="TXL5" s="390"/>
      <c r="TXM5" s="390"/>
      <c r="TXN5" s="390"/>
      <c r="TXO5" s="390"/>
      <c r="TXP5" s="390"/>
      <c r="TXQ5" s="390"/>
      <c r="TXR5" s="390"/>
      <c r="TXS5" s="390"/>
      <c r="TXT5" s="390"/>
      <c r="TXU5" s="390"/>
      <c r="TXV5" s="390"/>
      <c r="TXW5" s="390"/>
      <c r="TXX5" s="390"/>
      <c r="TXY5" s="390"/>
      <c r="TXZ5" s="390"/>
      <c r="TYA5" s="390"/>
      <c r="TYB5" s="390"/>
      <c r="TYC5" s="390"/>
      <c r="TYD5" s="390"/>
      <c r="TYE5" s="390"/>
      <c r="TYF5" s="390"/>
      <c r="TYG5" s="390"/>
      <c r="TYH5" s="390"/>
      <c r="TYI5" s="390"/>
      <c r="TYJ5" s="390"/>
      <c r="TYK5" s="390"/>
      <c r="TYL5" s="390"/>
      <c r="TYM5" s="390"/>
      <c r="TYN5" s="390"/>
      <c r="TYO5" s="390"/>
      <c r="TYP5" s="390"/>
      <c r="TYQ5" s="390"/>
      <c r="TYR5" s="390"/>
      <c r="TYS5" s="390"/>
      <c r="TYT5" s="390"/>
      <c r="TYU5" s="390"/>
      <c r="TYV5" s="390"/>
      <c r="TYW5" s="390"/>
      <c r="TYX5" s="390"/>
      <c r="TYY5" s="390"/>
      <c r="TYZ5" s="390"/>
      <c r="TZA5" s="390"/>
      <c r="TZB5" s="390"/>
      <c r="TZC5" s="390"/>
      <c r="TZD5" s="390"/>
      <c r="TZE5" s="390"/>
      <c r="TZF5" s="390"/>
      <c r="TZG5" s="390"/>
      <c r="TZH5" s="390"/>
      <c r="TZI5" s="390"/>
      <c r="TZJ5" s="390"/>
      <c r="TZK5" s="390"/>
      <c r="TZL5" s="390"/>
      <c r="TZM5" s="390"/>
      <c r="TZN5" s="390"/>
      <c r="TZO5" s="390"/>
      <c r="TZP5" s="390"/>
      <c r="TZQ5" s="390"/>
      <c r="TZR5" s="390"/>
      <c r="TZS5" s="390"/>
      <c r="TZT5" s="390"/>
      <c r="TZU5" s="390"/>
      <c r="TZV5" s="390"/>
      <c r="TZW5" s="390"/>
      <c r="TZX5" s="390"/>
      <c r="TZY5" s="390"/>
      <c r="TZZ5" s="390"/>
      <c r="UAA5" s="390"/>
      <c r="UAB5" s="390"/>
      <c r="UAC5" s="390"/>
      <c r="UAD5" s="390"/>
      <c r="UAE5" s="390"/>
      <c r="UAF5" s="390"/>
      <c r="UAG5" s="390"/>
      <c r="UAH5" s="390"/>
      <c r="UAI5" s="390"/>
      <c r="UAJ5" s="390"/>
      <c r="UAK5" s="390"/>
      <c r="UAL5" s="390"/>
      <c r="UAM5" s="390"/>
      <c r="UAN5" s="390"/>
      <c r="UAO5" s="390"/>
      <c r="UAP5" s="390"/>
      <c r="UAQ5" s="390"/>
      <c r="UAR5" s="390"/>
      <c r="UAS5" s="390"/>
      <c r="UAT5" s="390"/>
      <c r="UAU5" s="390"/>
      <c r="UAV5" s="390"/>
      <c r="UAW5" s="390"/>
      <c r="UAX5" s="390"/>
      <c r="UAY5" s="390"/>
      <c r="UAZ5" s="390"/>
      <c r="UBA5" s="390"/>
      <c r="UBB5" s="390"/>
      <c r="UBC5" s="390"/>
      <c r="UBD5" s="390"/>
      <c r="UBE5" s="390"/>
      <c r="UBF5" s="390"/>
      <c r="UBG5" s="390"/>
      <c r="UBH5" s="390"/>
      <c r="UBI5" s="390"/>
      <c r="UBJ5" s="390"/>
      <c r="UBK5" s="390"/>
      <c r="UBL5" s="390"/>
      <c r="UBM5" s="390"/>
      <c r="UBN5" s="390"/>
      <c r="UBO5" s="390"/>
      <c r="UBP5" s="390"/>
      <c r="UBQ5" s="390"/>
      <c r="UBR5" s="390"/>
      <c r="UBS5" s="390"/>
      <c r="UBT5" s="390"/>
      <c r="UBU5" s="390"/>
      <c r="UBV5" s="390"/>
      <c r="UBW5" s="390"/>
      <c r="UBX5" s="390"/>
      <c r="UBY5" s="390"/>
      <c r="UBZ5" s="390"/>
      <c r="UCA5" s="390"/>
      <c r="UCB5" s="390"/>
      <c r="UCC5" s="390"/>
      <c r="UCD5" s="390"/>
      <c r="UCE5" s="390"/>
      <c r="UCF5" s="390"/>
      <c r="UCG5" s="390"/>
      <c r="UCH5" s="390"/>
      <c r="UCI5" s="390"/>
      <c r="UCJ5" s="390"/>
      <c r="UCK5" s="390"/>
      <c r="UCL5" s="390"/>
      <c r="UCM5" s="390"/>
      <c r="UCN5" s="390"/>
      <c r="UCO5" s="390"/>
      <c r="UCP5" s="390"/>
      <c r="UCQ5" s="390"/>
      <c r="UCR5" s="390"/>
      <c r="UCS5" s="390"/>
      <c r="UCT5" s="390"/>
      <c r="UCU5" s="390"/>
      <c r="UCV5" s="390"/>
      <c r="UCW5" s="390"/>
      <c r="UCX5" s="390"/>
      <c r="UCY5" s="390"/>
      <c r="UCZ5" s="390"/>
      <c r="UDA5" s="390"/>
      <c r="UDB5" s="390"/>
      <c r="UDC5" s="390"/>
      <c r="UDD5" s="390"/>
      <c r="UDE5" s="390"/>
      <c r="UDF5" s="390"/>
      <c r="UDG5" s="390"/>
      <c r="UDH5" s="390"/>
      <c r="UDI5" s="390"/>
      <c r="UDJ5" s="390"/>
      <c r="UDK5" s="390"/>
      <c r="UDL5" s="390"/>
      <c r="UDM5" s="390"/>
      <c r="UDN5" s="390"/>
      <c r="UDO5" s="390"/>
      <c r="UDP5" s="390"/>
      <c r="UDQ5" s="390"/>
      <c r="UDR5" s="390"/>
      <c r="UDS5" s="390"/>
      <c r="UDT5" s="390"/>
      <c r="UDU5" s="390"/>
      <c r="UDV5" s="390"/>
      <c r="UDW5" s="390"/>
      <c r="UDX5" s="390"/>
      <c r="UDY5" s="390"/>
      <c r="UDZ5" s="390"/>
      <c r="UEA5" s="390"/>
      <c r="UEB5" s="390"/>
      <c r="UEC5" s="390"/>
      <c r="UED5" s="390"/>
      <c r="UEE5" s="390"/>
      <c r="UEF5" s="390"/>
      <c r="UEG5" s="390"/>
      <c r="UEH5" s="390"/>
      <c r="UEI5" s="390"/>
      <c r="UEJ5" s="390"/>
      <c r="UEK5" s="390"/>
      <c r="UEL5" s="390"/>
      <c r="UEM5" s="390"/>
      <c r="UEN5" s="390"/>
      <c r="UEO5" s="390"/>
      <c r="UEP5" s="390"/>
      <c r="UEQ5" s="390"/>
      <c r="UER5" s="390"/>
      <c r="UES5" s="390"/>
      <c r="UET5" s="390"/>
      <c r="UEU5" s="390"/>
      <c r="UEV5" s="390"/>
      <c r="UEW5" s="390"/>
      <c r="UEX5" s="390"/>
      <c r="UEY5" s="390"/>
      <c r="UEZ5" s="390"/>
      <c r="UFA5" s="390"/>
      <c r="UFB5" s="390"/>
      <c r="UFC5" s="390"/>
      <c r="UFD5" s="390"/>
      <c r="UFE5" s="390"/>
      <c r="UFF5" s="390"/>
      <c r="UFG5" s="390"/>
      <c r="UFH5" s="390"/>
      <c r="UFI5" s="390"/>
      <c r="UFJ5" s="390"/>
      <c r="UFK5" s="390"/>
      <c r="UFL5" s="390"/>
      <c r="UFM5" s="390"/>
      <c r="UFN5" s="390"/>
      <c r="UFO5" s="390"/>
      <c r="UFP5" s="390"/>
      <c r="UFQ5" s="390"/>
      <c r="UFR5" s="390"/>
      <c r="UFS5" s="390"/>
      <c r="UFT5" s="390"/>
      <c r="UFU5" s="390"/>
      <c r="UFV5" s="390"/>
      <c r="UFW5" s="390"/>
      <c r="UFX5" s="390"/>
      <c r="UFY5" s="390"/>
      <c r="UFZ5" s="390"/>
      <c r="UGA5" s="390"/>
      <c r="UGB5" s="390"/>
      <c r="UGC5" s="390"/>
      <c r="UGD5" s="390"/>
      <c r="UGE5" s="390"/>
      <c r="UGF5" s="390"/>
      <c r="UGG5" s="390"/>
      <c r="UGH5" s="390"/>
      <c r="UGI5" s="390"/>
      <c r="UGJ5" s="390"/>
      <c r="UGK5" s="390"/>
      <c r="UGL5" s="390"/>
      <c r="UGM5" s="390"/>
      <c r="UGN5" s="390"/>
      <c r="UGO5" s="390"/>
      <c r="UGP5" s="390"/>
      <c r="UGQ5" s="390"/>
      <c r="UGR5" s="390"/>
      <c r="UGS5" s="390"/>
      <c r="UGT5" s="390"/>
      <c r="UGU5" s="390"/>
      <c r="UGV5" s="390"/>
      <c r="UGW5" s="390"/>
      <c r="UGX5" s="390"/>
      <c r="UGY5" s="390"/>
      <c r="UGZ5" s="390"/>
      <c r="UHA5" s="390"/>
      <c r="UHB5" s="390"/>
      <c r="UHC5" s="390"/>
      <c r="UHD5" s="390"/>
      <c r="UHE5" s="390"/>
      <c r="UHF5" s="390"/>
      <c r="UHG5" s="390"/>
      <c r="UHH5" s="390"/>
      <c r="UHI5" s="390"/>
      <c r="UHJ5" s="390"/>
      <c r="UHK5" s="390"/>
      <c r="UHL5" s="390"/>
      <c r="UHM5" s="390"/>
      <c r="UHN5" s="390"/>
      <c r="UHO5" s="390"/>
      <c r="UHP5" s="390"/>
      <c r="UHQ5" s="390"/>
      <c r="UHR5" s="390"/>
      <c r="UHS5" s="390"/>
      <c r="UHT5" s="390"/>
      <c r="UHU5" s="390"/>
      <c r="UHV5" s="390"/>
      <c r="UHW5" s="390"/>
      <c r="UHX5" s="390"/>
      <c r="UHY5" s="390"/>
      <c r="UHZ5" s="390"/>
      <c r="UIA5" s="390"/>
      <c r="UIB5" s="390"/>
      <c r="UIC5" s="390"/>
      <c r="UID5" s="390"/>
      <c r="UIE5" s="390"/>
      <c r="UIF5" s="390"/>
      <c r="UIG5" s="390"/>
      <c r="UIH5" s="390"/>
      <c r="UII5" s="390"/>
      <c r="UIJ5" s="390"/>
      <c r="UIK5" s="390"/>
      <c r="UIL5" s="390"/>
      <c r="UIM5" s="390"/>
      <c r="UIN5" s="390"/>
      <c r="UIO5" s="390"/>
      <c r="UIP5" s="390"/>
      <c r="UIQ5" s="390"/>
      <c r="UIR5" s="390"/>
      <c r="UIS5" s="390"/>
      <c r="UIT5" s="390"/>
      <c r="UIU5" s="390"/>
      <c r="UIV5" s="390"/>
      <c r="UIW5" s="390"/>
      <c r="UIX5" s="390"/>
      <c r="UIY5" s="390"/>
      <c r="UIZ5" s="390"/>
      <c r="UJA5" s="390"/>
      <c r="UJB5" s="390"/>
      <c r="UJC5" s="390"/>
      <c r="UJD5" s="390"/>
      <c r="UJE5" s="390"/>
      <c r="UJF5" s="390"/>
      <c r="UJG5" s="390"/>
      <c r="UJH5" s="390"/>
      <c r="UJI5" s="390"/>
      <c r="UJJ5" s="390"/>
      <c r="UJK5" s="390"/>
      <c r="UJL5" s="390"/>
      <c r="UJM5" s="390"/>
      <c r="UJN5" s="390"/>
      <c r="UJO5" s="390"/>
      <c r="UJP5" s="390"/>
      <c r="UJQ5" s="390"/>
      <c r="UJR5" s="390"/>
      <c r="UJS5" s="390"/>
      <c r="UJT5" s="390"/>
      <c r="UJU5" s="390"/>
      <c r="UJV5" s="390"/>
      <c r="UJW5" s="390"/>
      <c r="UJX5" s="390"/>
      <c r="UJY5" s="390"/>
      <c r="UJZ5" s="390"/>
      <c r="UKA5" s="390"/>
      <c r="UKB5" s="390"/>
      <c r="UKC5" s="390"/>
      <c r="UKD5" s="390"/>
      <c r="UKE5" s="390"/>
      <c r="UKF5" s="390"/>
      <c r="UKG5" s="390"/>
      <c r="UKH5" s="390"/>
      <c r="UKI5" s="390"/>
      <c r="UKJ5" s="390"/>
      <c r="UKK5" s="390"/>
      <c r="UKL5" s="390"/>
      <c r="UKM5" s="390"/>
      <c r="UKN5" s="390"/>
      <c r="UKO5" s="390"/>
      <c r="UKP5" s="390"/>
      <c r="UKQ5" s="390"/>
      <c r="UKR5" s="390"/>
      <c r="UKS5" s="390"/>
      <c r="UKT5" s="390"/>
      <c r="UKU5" s="390"/>
      <c r="UKV5" s="390"/>
      <c r="UKW5" s="390"/>
      <c r="UKX5" s="390"/>
      <c r="UKY5" s="390"/>
      <c r="UKZ5" s="390"/>
      <c r="ULA5" s="390"/>
      <c r="ULB5" s="390"/>
      <c r="ULC5" s="390"/>
      <c r="ULD5" s="390"/>
      <c r="ULE5" s="390"/>
      <c r="ULF5" s="390"/>
      <c r="ULG5" s="390"/>
      <c r="ULH5" s="390"/>
      <c r="ULI5" s="390"/>
      <c r="ULJ5" s="390"/>
      <c r="ULK5" s="390"/>
      <c r="ULL5" s="390"/>
      <c r="ULM5" s="390"/>
      <c r="ULN5" s="390"/>
      <c r="ULO5" s="390"/>
      <c r="ULP5" s="390"/>
      <c r="ULQ5" s="390"/>
      <c r="ULR5" s="390"/>
      <c r="ULS5" s="390"/>
      <c r="ULT5" s="390"/>
      <c r="ULU5" s="390"/>
      <c r="ULV5" s="390"/>
      <c r="ULW5" s="390"/>
      <c r="ULX5" s="390"/>
      <c r="ULY5" s="390"/>
      <c r="ULZ5" s="390"/>
      <c r="UMA5" s="390"/>
      <c r="UMB5" s="390"/>
      <c r="UMC5" s="390"/>
      <c r="UMD5" s="390"/>
      <c r="UME5" s="390"/>
      <c r="UMF5" s="390"/>
      <c r="UMG5" s="390"/>
      <c r="UMH5" s="390"/>
      <c r="UMI5" s="390"/>
      <c r="UMJ5" s="390"/>
      <c r="UMK5" s="390"/>
      <c r="UML5" s="390"/>
      <c r="UMM5" s="390"/>
      <c r="UMN5" s="390"/>
      <c r="UMO5" s="390"/>
      <c r="UMP5" s="390"/>
      <c r="UMQ5" s="390"/>
      <c r="UMR5" s="390"/>
      <c r="UMS5" s="390"/>
      <c r="UMT5" s="390"/>
      <c r="UMU5" s="390"/>
      <c r="UMV5" s="390"/>
      <c r="UMW5" s="390"/>
      <c r="UMX5" s="390"/>
      <c r="UMY5" s="390"/>
      <c r="UMZ5" s="390"/>
      <c r="UNA5" s="390"/>
      <c r="UNB5" s="390"/>
      <c r="UNC5" s="390"/>
      <c r="UND5" s="390"/>
      <c r="UNE5" s="390"/>
      <c r="UNF5" s="390"/>
      <c r="UNG5" s="390"/>
      <c r="UNH5" s="390"/>
      <c r="UNI5" s="390"/>
      <c r="UNJ5" s="390"/>
      <c r="UNK5" s="390"/>
      <c r="UNL5" s="390"/>
      <c r="UNM5" s="390"/>
      <c r="UNN5" s="390"/>
      <c r="UNO5" s="390"/>
      <c r="UNP5" s="390"/>
      <c r="UNQ5" s="390"/>
      <c r="UNR5" s="390"/>
      <c r="UNS5" s="390"/>
      <c r="UNT5" s="390"/>
      <c r="UNU5" s="390"/>
      <c r="UNV5" s="390"/>
      <c r="UNW5" s="390"/>
      <c r="UNX5" s="390"/>
      <c r="UNY5" s="390"/>
      <c r="UNZ5" s="390"/>
      <c r="UOA5" s="390"/>
      <c r="UOB5" s="390"/>
      <c r="UOC5" s="390"/>
      <c r="UOD5" s="390"/>
      <c r="UOE5" s="390"/>
      <c r="UOF5" s="390"/>
      <c r="UOG5" s="390"/>
      <c r="UOH5" s="390"/>
      <c r="UOI5" s="390"/>
      <c r="UOJ5" s="390"/>
      <c r="UOK5" s="390"/>
      <c r="UOL5" s="390"/>
      <c r="UOM5" s="390"/>
      <c r="UON5" s="390"/>
      <c r="UOO5" s="390"/>
      <c r="UOP5" s="390"/>
      <c r="UOQ5" s="390"/>
      <c r="UOR5" s="390"/>
      <c r="UOS5" s="390"/>
      <c r="UOT5" s="390"/>
      <c r="UOU5" s="390"/>
      <c r="UOV5" s="390"/>
      <c r="UOW5" s="390"/>
      <c r="UOX5" s="390"/>
      <c r="UOY5" s="390"/>
      <c r="UOZ5" s="390"/>
      <c r="UPA5" s="390"/>
      <c r="UPB5" s="390"/>
      <c r="UPC5" s="390"/>
      <c r="UPD5" s="390"/>
      <c r="UPE5" s="390"/>
      <c r="UPF5" s="390"/>
      <c r="UPG5" s="390"/>
      <c r="UPH5" s="390"/>
      <c r="UPI5" s="390"/>
      <c r="UPJ5" s="390"/>
      <c r="UPK5" s="390"/>
      <c r="UPL5" s="390"/>
      <c r="UPM5" s="390"/>
      <c r="UPN5" s="390"/>
      <c r="UPO5" s="390"/>
      <c r="UPP5" s="390"/>
      <c r="UPQ5" s="390"/>
      <c r="UPR5" s="390"/>
      <c r="UPS5" s="390"/>
      <c r="UPT5" s="390"/>
      <c r="UPU5" s="390"/>
      <c r="UPV5" s="390"/>
      <c r="UPW5" s="390"/>
      <c r="UPX5" s="390"/>
      <c r="UPY5" s="390"/>
      <c r="UPZ5" s="390"/>
      <c r="UQA5" s="390"/>
      <c r="UQB5" s="390"/>
      <c r="UQC5" s="390"/>
      <c r="UQD5" s="390"/>
      <c r="UQE5" s="390"/>
      <c r="UQF5" s="390"/>
      <c r="UQG5" s="390"/>
      <c r="UQH5" s="390"/>
      <c r="UQI5" s="390"/>
      <c r="UQJ5" s="390"/>
      <c r="UQK5" s="390"/>
      <c r="UQL5" s="390"/>
      <c r="UQM5" s="390"/>
      <c r="UQN5" s="390"/>
      <c r="UQO5" s="390"/>
      <c r="UQP5" s="390"/>
      <c r="UQQ5" s="390"/>
      <c r="UQR5" s="390"/>
      <c r="UQS5" s="390"/>
      <c r="UQT5" s="390"/>
      <c r="UQU5" s="390"/>
      <c r="UQV5" s="390"/>
      <c r="UQW5" s="390"/>
      <c r="UQX5" s="390"/>
      <c r="UQY5" s="390"/>
      <c r="UQZ5" s="390"/>
      <c r="URA5" s="390"/>
      <c r="URB5" s="390"/>
      <c r="URC5" s="390"/>
      <c r="URD5" s="390"/>
      <c r="URE5" s="390"/>
      <c r="URF5" s="390"/>
      <c r="URG5" s="390"/>
      <c r="URH5" s="390"/>
      <c r="URI5" s="390"/>
      <c r="URJ5" s="390"/>
      <c r="URK5" s="390"/>
      <c r="URL5" s="390"/>
      <c r="URM5" s="390"/>
      <c r="URN5" s="390"/>
      <c r="URO5" s="390"/>
      <c r="URP5" s="390"/>
      <c r="URQ5" s="390"/>
      <c r="URR5" s="390"/>
      <c r="URS5" s="390"/>
      <c r="URT5" s="390"/>
      <c r="URU5" s="390"/>
      <c r="URV5" s="390"/>
      <c r="URW5" s="390"/>
      <c r="URX5" s="390"/>
      <c r="URY5" s="390"/>
      <c r="URZ5" s="390"/>
      <c r="USA5" s="390"/>
      <c r="USB5" s="390"/>
      <c r="USC5" s="390"/>
      <c r="USD5" s="390"/>
      <c r="USE5" s="390"/>
      <c r="USF5" s="390"/>
      <c r="USG5" s="390"/>
      <c r="USH5" s="390"/>
      <c r="USI5" s="390"/>
      <c r="USJ5" s="390"/>
      <c r="USK5" s="390"/>
      <c r="USL5" s="390"/>
      <c r="USM5" s="390"/>
      <c r="USN5" s="390"/>
      <c r="USO5" s="390"/>
      <c r="USP5" s="390"/>
      <c r="USQ5" s="390"/>
      <c r="USR5" s="390"/>
      <c r="USS5" s="390"/>
      <c r="UST5" s="390"/>
      <c r="USU5" s="390"/>
      <c r="USV5" s="390"/>
      <c r="USW5" s="390"/>
      <c r="USX5" s="390"/>
      <c r="USY5" s="390"/>
      <c r="USZ5" s="390"/>
      <c r="UTA5" s="390"/>
      <c r="UTB5" s="390"/>
      <c r="UTC5" s="390"/>
      <c r="UTD5" s="390"/>
      <c r="UTE5" s="390"/>
      <c r="UTF5" s="390"/>
      <c r="UTG5" s="390"/>
      <c r="UTH5" s="390"/>
      <c r="UTI5" s="390"/>
      <c r="UTJ5" s="390"/>
      <c r="UTK5" s="390"/>
      <c r="UTL5" s="390"/>
      <c r="UTM5" s="390"/>
      <c r="UTN5" s="390"/>
      <c r="UTO5" s="390"/>
      <c r="UTP5" s="390"/>
      <c r="UTQ5" s="390"/>
      <c r="UTR5" s="390"/>
      <c r="UTS5" s="390"/>
      <c r="UTT5" s="390"/>
      <c r="UTU5" s="390"/>
      <c r="UTV5" s="390"/>
      <c r="UTW5" s="390"/>
      <c r="UTX5" s="390"/>
      <c r="UTY5" s="390"/>
      <c r="UTZ5" s="390"/>
      <c r="UUA5" s="390"/>
      <c r="UUB5" s="390"/>
      <c r="UUC5" s="390"/>
      <c r="UUD5" s="390"/>
      <c r="UUE5" s="390"/>
      <c r="UUF5" s="390"/>
      <c r="UUG5" s="390"/>
      <c r="UUH5" s="390"/>
      <c r="UUI5" s="390"/>
      <c r="UUJ5" s="390"/>
      <c r="UUK5" s="390"/>
      <c r="UUL5" s="390"/>
      <c r="UUM5" s="390"/>
      <c r="UUN5" s="390"/>
      <c r="UUO5" s="390"/>
      <c r="UUP5" s="390"/>
      <c r="UUQ5" s="390"/>
      <c r="UUR5" s="390"/>
      <c r="UUS5" s="390"/>
      <c r="UUT5" s="390"/>
      <c r="UUU5" s="390"/>
      <c r="UUV5" s="390"/>
      <c r="UUW5" s="390"/>
      <c r="UUX5" s="390"/>
      <c r="UUY5" s="390"/>
      <c r="UUZ5" s="390"/>
      <c r="UVA5" s="390"/>
      <c r="UVB5" s="390"/>
      <c r="UVC5" s="390"/>
      <c r="UVD5" s="390"/>
      <c r="UVE5" s="390"/>
      <c r="UVF5" s="390"/>
      <c r="UVG5" s="390"/>
      <c r="UVH5" s="390"/>
      <c r="UVI5" s="390"/>
      <c r="UVJ5" s="390"/>
      <c r="UVK5" s="390"/>
      <c r="UVL5" s="390"/>
      <c r="UVM5" s="390"/>
      <c r="UVN5" s="390"/>
      <c r="UVO5" s="390"/>
      <c r="UVP5" s="390"/>
      <c r="UVQ5" s="390"/>
      <c r="UVR5" s="390"/>
      <c r="UVS5" s="390"/>
      <c r="UVT5" s="390"/>
      <c r="UVU5" s="390"/>
      <c r="UVV5" s="390"/>
      <c r="UVW5" s="390"/>
      <c r="UVX5" s="390"/>
      <c r="UVY5" s="390"/>
      <c r="UVZ5" s="390"/>
      <c r="UWA5" s="390"/>
      <c r="UWB5" s="390"/>
      <c r="UWC5" s="390"/>
      <c r="UWD5" s="390"/>
      <c r="UWE5" s="390"/>
      <c r="UWF5" s="390"/>
      <c r="UWG5" s="390"/>
      <c r="UWH5" s="390"/>
      <c r="UWI5" s="390"/>
      <c r="UWJ5" s="390"/>
      <c r="UWK5" s="390"/>
      <c r="UWL5" s="390"/>
      <c r="UWM5" s="390"/>
      <c r="UWN5" s="390"/>
      <c r="UWO5" s="390"/>
      <c r="UWP5" s="390"/>
      <c r="UWQ5" s="390"/>
      <c r="UWR5" s="390"/>
      <c r="UWS5" s="390"/>
      <c r="UWT5" s="390"/>
      <c r="UWU5" s="390"/>
      <c r="UWV5" s="390"/>
      <c r="UWW5" s="390"/>
      <c r="UWX5" s="390"/>
      <c r="UWY5" s="390"/>
      <c r="UWZ5" s="390"/>
      <c r="UXA5" s="390"/>
      <c r="UXB5" s="390"/>
      <c r="UXC5" s="390"/>
      <c r="UXD5" s="390"/>
      <c r="UXE5" s="390"/>
      <c r="UXF5" s="390"/>
      <c r="UXG5" s="390"/>
      <c r="UXH5" s="390"/>
      <c r="UXI5" s="390"/>
      <c r="UXJ5" s="390"/>
      <c r="UXK5" s="390"/>
      <c r="UXL5" s="390"/>
      <c r="UXM5" s="390"/>
      <c r="UXN5" s="390"/>
      <c r="UXO5" s="390"/>
      <c r="UXP5" s="390"/>
      <c r="UXQ5" s="390"/>
      <c r="UXR5" s="390"/>
      <c r="UXS5" s="390"/>
      <c r="UXT5" s="390"/>
      <c r="UXU5" s="390"/>
      <c r="UXV5" s="390"/>
      <c r="UXW5" s="390"/>
      <c r="UXX5" s="390"/>
      <c r="UXY5" s="390"/>
      <c r="UXZ5" s="390"/>
      <c r="UYA5" s="390"/>
      <c r="UYB5" s="390"/>
      <c r="UYC5" s="390"/>
      <c r="UYD5" s="390"/>
      <c r="UYE5" s="390"/>
      <c r="UYF5" s="390"/>
      <c r="UYG5" s="390"/>
      <c r="UYH5" s="390"/>
      <c r="UYI5" s="390"/>
      <c r="UYJ5" s="390"/>
      <c r="UYK5" s="390"/>
      <c r="UYL5" s="390"/>
      <c r="UYM5" s="390"/>
      <c r="UYN5" s="390"/>
      <c r="UYO5" s="390"/>
      <c r="UYP5" s="390"/>
      <c r="UYQ5" s="390"/>
      <c r="UYR5" s="390"/>
      <c r="UYS5" s="390"/>
      <c r="UYT5" s="390"/>
      <c r="UYU5" s="390"/>
      <c r="UYV5" s="390"/>
      <c r="UYW5" s="390"/>
      <c r="UYX5" s="390"/>
      <c r="UYY5" s="390"/>
      <c r="UYZ5" s="390"/>
      <c r="UZA5" s="390"/>
      <c r="UZB5" s="390"/>
      <c r="UZC5" s="390"/>
      <c r="UZD5" s="390"/>
      <c r="UZE5" s="390"/>
      <c r="UZF5" s="390"/>
      <c r="UZG5" s="390"/>
      <c r="UZH5" s="390"/>
      <c r="UZI5" s="390"/>
      <c r="UZJ5" s="390"/>
      <c r="UZK5" s="390"/>
      <c r="UZL5" s="390"/>
      <c r="UZM5" s="390"/>
      <c r="UZN5" s="390"/>
      <c r="UZO5" s="390"/>
      <c r="UZP5" s="390"/>
      <c r="UZQ5" s="390"/>
      <c r="UZR5" s="390"/>
      <c r="UZS5" s="390"/>
      <c r="UZT5" s="390"/>
      <c r="UZU5" s="390"/>
      <c r="UZV5" s="390"/>
      <c r="UZW5" s="390"/>
      <c r="UZX5" s="390"/>
      <c r="UZY5" s="390"/>
      <c r="UZZ5" s="390"/>
      <c r="VAA5" s="390"/>
      <c r="VAB5" s="390"/>
      <c r="VAC5" s="390"/>
      <c r="VAD5" s="390"/>
      <c r="VAE5" s="390"/>
      <c r="VAF5" s="390"/>
      <c r="VAG5" s="390"/>
      <c r="VAH5" s="390"/>
      <c r="VAI5" s="390"/>
      <c r="VAJ5" s="390"/>
      <c r="VAK5" s="390"/>
      <c r="VAL5" s="390"/>
      <c r="VAM5" s="390"/>
      <c r="VAN5" s="390"/>
      <c r="VAO5" s="390"/>
      <c r="VAP5" s="390"/>
      <c r="VAQ5" s="390"/>
      <c r="VAR5" s="390"/>
      <c r="VAS5" s="390"/>
      <c r="VAT5" s="390"/>
      <c r="VAU5" s="390"/>
      <c r="VAV5" s="390"/>
      <c r="VAW5" s="390"/>
      <c r="VAX5" s="390"/>
      <c r="VAY5" s="390"/>
      <c r="VAZ5" s="390"/>
      <c r="VBA5" s="390"/>
      <c r="VBB5" s="390"/>
      <c r="VBC5" s="390"/>
      <c r="VBD5" s="390"/>
      <c r="VBE5" s="390"/>
      <c r="VBF5" s="390"/>
      <c r="VBG5" s="390"/>
      <c r="VBH5" s="390"/>
      <c r="VBI5" s="390"/>
      <c r="VBJ5" s="390"/>
      <c r="VBK5" s="390"/>
      <c r="VBL5" s="390"/>
      <c r="VBM5" s="390"/>
      <c r="VBN5" s="390"/>
      <c r="VBO5" s="390"/>
      <c r="VBP5" s="390"/>
      <c r="VBQ5" s="390"/>
      <c r="VBR5" s="390"/>
      <c r="VBS5" s="390"/>
      <c r="VBT5" s="390"/>
      <c r="VBU5" s="390"/>
      <c r="VBV5" s="390"/>
      <c r="VBW5" s="390"/>
      <c r="VBX5" s="390"/>
      <c r="VBY5" s="390"/>
      <c r="VBZ5" s="390"/>
      <c r="VCA5" s="390"/>
      <c r="VCB5" s="390"/>
      <c r="VCC5" s="390"/>
      <c r="VCD5" s="390"/>
      <c r="VCE5" s="390"/>
      <c r="VCF5" s="390"/>
      <c r="VCG5" s="390"/>
      <c r="VCH5" s="390"/>
      <c r="VCI5" s="390"/>
      <c r="VCJ5" s="390"/>
      <c r="VCK5" s="390"/>
      <c r="VCL5" s="390"/>
      <c r="VCM5" s="390"/>
      <c r="VCN5" s="390"/>
      <c r="VCO5" s="390"/>
      <c r="VCP5" s="390"/>
      <c r="VCQ5" s="390"/>
      <c r="VCR5" s="390"/>
      <c r="VCS5" s="390"/>
      <c r="VCT5" s="390"/>
      <c r="VCU5" s="390"/>
      <c r="VCV5" s="390"/>
      <c r="VCW5" s="390"/>
      <c r="VCX5" s="390"/>
      <c r="VCY5" s="390"/>
      <c r="VCZ5" s="390"/>
      <c r="VDA5" s="390"/>
      <c r="VDB5" s="390"/>
      <c r="VDC5" s="390"/>
      <c r="VDD5" s="390"/>
      <c r="VDE5" s="390"/>
      <c r="VDF5" s="390"/>
      <c r="VDG5" s="390"/>
      <c r="VDH5" s="390"/>
      <c r="VDI5" s="390"/>
      <c r="VDJ5" s="390"/>
      <c r="VDK5" s="390"/>
      <c r="VDL5" s="390"/>
      <c r="VDM5" s="390"/>
      <c r="VDN5" s="390"/>
      <c r="VDO5" s="390"/>
      <c r="VDP5" s="390"/>
      <c r="VDQ5" s="390"/>
      <c r="VDR5" s="390"/>
      <c r="VDS5" s="390"/>
      <c r="VDT5" s="390"/>
      <c r="VDU5" s="390"/>
      <c r="VDV5" s="390"/>
      <c r="VDW5" s="390"/>
      <c r="VDX5" s="390"/>
      <c r="VDY5" s="390"/>
      <c r="VDZ5" s="390"/>
      <c r="VEA5" s="390"/>
      <c r="VEB5" s="390"/>
      <c r="VEC5" s="390"/>
      <c r="VED5" s="390"/>
      <c r="VEE5" s="390"/>
      <c r="VEF5" s="390"/>
      <c r="VEG5" s="390"/>
      <c r="VEH5" s="390"/>
      <c r="VEI5" s="390"/>
      <c r="VEJ5" s="390"/>
      <c r="VEK5" s="390"/>
      <c r="VEL5" s="390"/>
      <c r="VEM5" s="390"/>
      <c r="VEN5" s="390"/>
      <c r="VEO5" s="390"/>
      <c r="VEP5" s="390"/>
      <c r="VEQ5" s="390"/>
      <c r="VER5" s="390"/>
      <c r="VES5" s="390"/>
      <c r="VET5" s="390"/>
      <c r="VEU5" s="390"/>
      <c r="VEV5" s="390"/>
      <c r="VEW5" s="390"/>
      <c r="VEX5" s="390"/>
      <c r="VEY5" s="390"/>
      <c r="VEZ5" s="390"/>
      <c r="VFA5" s="390"/>
      <c r="VFB5" s="390"/>
      <c r="VFC5" s="390"/>
      <c r="VFD5" s="390"/>
      <c r="VFE5" s="390"/>
      <c r="VFF5" s="390"/>
      <c r="VFG5" s="390"/>
      <c r="VFH5" s="390"/>
      <c r="VFI5" s="390"/>
      <c r="VFJ5" s="390"/>
      <c r="VFK5" s="390"/>
      <c r="VFL5" s="390"/>
      <c r="VFM5" s="390"/>
      <c r="VFN5" s="390"/>
      <c r="VFO5" s="390"/>
      <c r="VFP5" s="390"/>
      <c r="VFQ5" s="390"/>
      <c r="VFR5" s="390"/>
      <c r="VFS5" s="390"/>
      <c r="VFT5" s="390"/>
      <c r="VFU5" s="390"/>
      <c r="VFV5" s="390"/>
      <c r="VFW5" s="390"/>
      <c r="VFX5" s="390"/>
      <c r="VFY5" s="390"/>
      <c r="VFZ5" s="390"/>
      <c r="VGA5" s="390"/>
      <c r="VGB5" s="390"/>
      <c r="VGC5" s="390"/>
      <c r="VGD5" s="390"/>
      <c r="VGE5" s="390"/>
      <c r="VGF5" s="390"/>
      <c r="VGG5" s="390"/>
      <c r="VGH5" s="390"/>
      <c r="VGI5" s="390"/>
      <c r="VGJ5" s="390"/>
      <c r="VGK5" s="390"/>
      <c r="VGL5" s="390"/>
      <c r="VGM5" s="390"/>
      <c r="VGN5" s="390"/>
      <c r="VGO5" s="390"/>
      <c r="VGP5" s="390"/>
      <c r="VGQ5" s="390"/>
      <c r="VGR5" s="390"/>
      <c r="VGS5" s="390"/>
      <c r="VGT5" s="390"/>
      <c r="VGU5" s="390"/>
      <c r="VGV5" s="390"/>
      <c r="VGW5" s="390"/>
      <c r="VGX5" s="390"/>
      <c r="VGY5" s="390"/>
      <c r="VGZ5" s="390"/>
      <c r="VHA5" s="390"/>
      <c r="VHB5" s="390"/>
      <c r="VHC5" s="390"/>
      <c r="VHD5" s="390"/>
      <c r="VHE5" s="390"/>
      <c r="VHF5" s="390"/>
      <c r="VHG5" s="390"/>
      <c r="VHH5" s="390"/>
      <c r="VHI5" s="390"/>
      <c r="VHJ5" s="390"/>
      <c r="VHK5" s="390"/>
      <c r="VHL5" s="390"/>
      <c r="VHM5" s="390"/>
      <c r="VHN5" s="390"/>
      <c r="VHO5" s="390"/>
      <c r="VHP5" s="390"/>
      <c r="VHQ5" s="390"/>
      <c r="VHR5" s="390"/>
      <c r="VHS5" s="390"/>
      <c r="VHT5" s="390"/>
      <c r="VHU5" s="390"/>
      <c r="VHV5" s="390"/>
      <c r="VHW5" s="390"/>
      <c r="VHX5" s="390"/>
      <c r="VHY5" s="390"/>
      <c r="VHZ5" s="390"/>
      <c r="VIA5" s="390"/>
      <c r="VIB5" s="390"/>
      <c r="VIC5" s="390"/>
      <c r="VID5" s="390"/>
      <c r="VIE5" s="390"/>
      <c r="VIF5" s="390"/>
      <c r="VIG5" s="390"/>
      <c r="VIH5" s="390"/>
      <c r="VII5" s="390"/>
      <c r="VIJ5" s="390"/>
      <c r="VIK5" s="390"/>
      <c r="VIL5" s="390"/>
      <c r="VIM5" s="390"/>
      <c r="VIN5" s="390"/>
      <c r="VIO5" s="390"/>
      <c r="VIP5" s="390"/>
      <c r="VIQ5" s="390"/>
      <c r="VIR5" s="390"/>
      <c r="VIS5" s="390"/>
      <c r="VIT5" s="390"/>
      <c r="VIU5" s="390"/>
      <c r="VIV5" s="390"/>
      <c r="VIW5" s="390"/>
      <c r="VIX5" s="390"/>
      <c r="VIY5" s="390"/>
      <c r="VIZ5" s="390"/>
      <c r="VJA5" s="390"/>
      <c r="VJB5" s="390"/>
      <c r="VJC5" s="390"/>
      <c r="VJD5" s="390"/>
      <c r="VJE5" s="390"/>
      <c r="VJF5" s="390"/>
      <c r="VJG5" s="390"/>
      <c r="VJH5" s="390"/>
      <c r="VJI5" s="390"/>
      <c r="VJJ5" s="390"/>
      <c r="VJK5" s="390"/>
      <c r="VJL5" s="390"/>
      <c r="VJM5" s="390"/>
      <c r="VJN5" s="390"/>
      <c r="VJO5" s="390"/>
      <c r="VJP5" s="390"/>
      <c r="VJQ5" s="390"/>
      <c r="VJR5" s="390"/>
      <c r="VJS5" s="390"/>
      <c r="VJT5" s="390"/>
      <c r="VJU5" s="390"/>
      <c r="VJV5" s="390"/>
      <c r="VJW5" s="390"/>
      <c r="VJX5" s="390"/>
      <c r="VJY5" s="390"/>
      <c r="VJZ5" s="390"/>
      <c r="VKA5" s="390"/>
      <c r="VKB5" s="390"/>
      <c r="VKC5" s="390"/>
      <c r="VKD5" s="390"/>
      <c r="VKE5" s="390"/>
      <c r="VKF5" s="390"/>
      <c r="VKG5" s="390"/>
      <c r="VKH5" s="390"/>
      <c r="VKI5" s="390"/>
      <c r="VKJ5" s="390"/>
      <c r="VKK5" s="390"/>
      <c r="VKL5" s="390"/>
      <c r="VKM5" s="390"/>
      <c r="VKN5" s="390"/>
      <c r="VKO5" s="390"/>
      <c r="VKP5" s="390"/>
      <c r="VKQ5" s="390"/>
      <c r="VKR5" s="390"/>
      <c r="VKS5" s="390"/>
      <c r="VKT5" s="390"/>
      <c r="VKU5" s="390"/>
      <c r="VKV5" s="390"/>
      <c r="VKW5" s="390"/>
      <c r="VKX5" s="390"/>
      <c r="VKY5" s="390"/>
      <c r="VKZ5" s="390"/>
      <c r="VLA5" s="390"/>
      <c r="VLB5" s="390"/>
      <c r="VLC5" s="390"/>
      <c r="VLD5" s="390"/>
      <c r="VLE5" s="390"/>
      <c r="VLF5" s="390"/>
      <c r="VLG5" s="390"/>
      <c r="VLH5" s="390"/>
      <c r="VLI5" s="390"/>
      <c r="VLJ5" s="390"/>
      <c r="VLK5" s="390"/>
      <c r="VLL5" s="390"/>
      <c r="VLM5" s="390"/>
      <c r="VLN5" s="390"/>
      <c r="VLO5" s="390"/>
      <c r="VLP5" s="390"/>
      <c r="VLQ5" s="390"/>
      <c r="VLR5" s="390"/>
      <c r="VLS5" s="390"/>
      <c r="VLT5" s="390"/>
      <c r="VLU5" s="390"/>
      <c r="VLV5" s="390"/>
      <c r="VLW5" s="390"/>
      <c r="VLX5" s="390"/>
      <c r="VLY5" s="390"/>
      <c r="VLZ5" s="390"/>
      <c r="VMA5" s="390"/>
      <c r="VMB5" s="390"/>
      <c r="VMC5" s="390"/>
      <c r="VMD5" s="390"/>
      <c r="VME5" s="390"/>
      <c r="VMF5" s="390"/>
      <c r="VMG5" s="390"/>
      <c r="VMH5" s="390"/>
      <c r="VMI5" s="390"/>
      <c r="VMJ5" s="390"/>
      <c r="VMK5" s="390"/>
      <c r="VML5" s="390"/>
      <c r="VMM5" s="390"/>
      <c r="VMN5" s="390"/>
      <c r="VMO5" s="390"/>
      <c r="VMP5" s="390"/>
      <c r="VMQ5" s="390"/>
      <c r="VMR5" s="390"/>
      <c r="VMS5" s="390"/>
      <c r="VMT5" s="390"/>
      <c r="VMU5" s="390"/>
      <c r="VMV5" s="390"/>
      <c r="VMW5" s="390"/>
      <c r="VMX5" s="390"/>
      <c r="VMY5" s="390"/>
      <c r="VMZ5" s="390"/>
      <c r="VNA5" s="390"/>
      <c r="VNB5" s="390"/>
      <c r="VNC5" s="390"/>
      <c r="VND5" s="390"/>
      <c r="VNE5" s="390"/>
      <c r="VNF5" s="390"/>
      <c r="VNG5" s="390"/>
      <c r="VNH5" s="390"/>
      <c r="VNI5" s="390"/>
      <c r="VNJ5" s="390"/>
      <c r="VNK5" s="390"/>
      <c r="VNL5" s="390"/>
      <c r="VNM5" s="390"/>
      <c r="VNN5" s="390"/>
      <c r="VNO5" s="390"/>
      <c r="VNP5" s="390"/>
      <c r="VNQ5" s="390"/>
      <c r="VNR5" s="390"/>
      <c r="VNS5" s="390"/>
      <c r="VNT5" s="390"/>
      <c r="VNU5" s="390"/>
      <c r="VNV5" s="390"/>
      <c r="VNW5" s="390"/>
      <c r="VNX5" s="390"/>
      <c r="VNY5" s="390"/>
      <c r="VNZ5" s="390"/>
      <c r="VOA5" s="390"/>
      <c r="VOB5" s="390"/>
      <c r="VOC5" s="390"/>
      <c r="VOD5" s="390"/>
      <c r="VOE5" s="390"/>
      <c r="VOF5" s="390"/>
      <c r="VOG5" s="390"/>
      <c r="VOH5" s="390"/>
      <c r="VOI5" s="390"/>
      <c r="VOJ5" s="390"/>
      <c r="VOK5" s="390"/>
      <c r="VOL5" s="390"/>
      <c r="VOM5" s="390"/>
      <c r="VON5" s="390"/>
      <c r="VOO5" s="390"/>
      <c r="VOP5" s="390"/>
      <c r="VOQ5" s="390"/>
      <c r="VOR5" s="390"/>
      <c r="VOS5" s="390"/>
      <c r="VOT5" s="390"/>
      <c r="VOU5" s="390"/>
      <c r="VOV5" s="390"/>
      <c r="VOW5" s="390"/>
      <c r="VOX5" s="390"/>
      <c r="VOY5" s="390"/>
      <c r="VOZ5" s="390"/>
      <c r="VPA5" s="390"/>
      <c r="VPB5" s="390"/>
      <c r="VPC5" s="390"/>
      <c r="VPD5" s="390"/>
      <c r="VPE5" s="390"/>
      <c r="VPF5" s="390"/>
      <c r="VPG5" s="390"/>
      <c r="VPH5" s="390"/>
      <c r="VPI5" s="390"/>
      <c r="VPJ5" s="390"/>
      <c r="VPK5" s="390"/>
      <c r="VPL5" s="390"/>
      <c r="VPM5" s="390"/>
      <c r="VPN5" s="390"/>
      <c r="VPO5" s="390"/>
      <c r="VPP5" s="390"/>
      <c r="VPQ5" s="390"/>
      <c r="VPR5" s="390"/>
      <c r="VPS5" s="390"/>
      <c r="VPT5" s="390"/>
      <c r="VPU5" s="390"/>
      <c r="VPV5" s="390"/>
      <c r="VPW5" s="390"/>
      <c r="VPX5" s="390"/>
      <c r="VPY5" s="390"/>
      <c r="VPZ5" s="390"/>
      <c r="VQA5" s="390"/>
      <c r="VQB5" s="390"/>
      <c r="VQC5" s="390"/>
      <c r="VQD5" s="390"/>
      <c r="VQE5" s="390"/>
      <c r="VQF5" s="390"/>
      <c r="VQG5" s="390"/>
      <c r="VQH5" s="390"/>
      <c r="VQI5" s="390"/>
      <c r="VQJ5" s="390"/>
      <c r="VQK5" s="390"/>
      <c r="VQL5" s="390"/>
      <c r="VQM5" s="390"/>
      <c r="VQN5" s="390"/>
      <c r="VQO5" s="390"/>
      <c r="VQP5" s="390"/>
      <c r="VQQ5" s="390"/>
      <c r="VQR5" s="390"/>
      <c r="VQS5" s="390"/>
      <c r="VQT5" s="390"/>
      <c r="VQU5" s="390"/>
      <c r="VQV5" s="390"/>
      <c r="VQW5" s="390"/>
      <c r="VQX5" s="390"/>
      <c r="VQY5" s="390"/>
      <c r="VQZ5" s="390"/>
      <c r="VRA5" s="390"/>
      <c r="VRB5" s="390"/>
      <c r="VRC5" s="390"/>
      <c r="VRD5" s="390"/>
      <c r="VRE5" s="390"/>
      <c r="VRF5" s="390"/>
      <c r="VRG5" s="390"/>
      <c r="VRH5" s="390"/>
      <c r="VRI5" s="390"/>
      <c r="VRJ5" s="390"/>
      <c r="VRK5" s="390"/>
      <c r="VRL5" s="390"/>
      <c r="VRM5" s="390"/>
      <c r="VRN5" s="390"/>
      <c r="VRO5" s="390"/>
      <c r="VRP5" s="390"/>
      <c r="VRQ5" s="390"/>
      <c r="VRR5" s="390"/>
      <c r="VRS5" s="390"/>
      <c r="VRT5" s="390"/>
      <c r="VRU5" s="390"/>
      <c r="VRV5" s="390"/>
      <c r="VRW5" s="390"/>
      <c r="VRX5" s="390"/>
      <c r="VRY5" s="390"/>
      <c r="VRZ5" s="390"/>
      <c r="VSA5" s="390"/>
      <c r="VSB5" s="390"/>
      <c r="VSC5" s="390"/>
      <c r="VSD5" s="390"/>
      <c r="VSE5" s="390"/>
      <c r="VSF5" s="390"/>
      <c r="VSG5" s="390"/>
      <c r="VSH5" s="390"/>
      <c r="VSI5" s="390"/>
      <c r="VSJ5" s="390"/>
      <c r="VSK5" s="390"/>
      <c r="VSL5" s="390"/>
      <c r="VSM5" s="390"/>
      <c r="VSN5" s="390"/>
      <c r="VSO5" s="390"/>
      <c r="VSP5" s="390"/>
      <c r="VSQ5" s="390"/>
      <c r="VSR5" s="390"/>
      <c r="VSS5" s="390"/>
      <c r="VST5" s="390"/>
      <c r="VSU5" s="390"/>
      <c r="VSV5" s="390"/>
      <c r="VSW5" s="390"/>
      <c r="VSX5" s="390"/>
      <c r="VSY5" s="390"/>
      <c r="VSZ5" s="390"/>
      <c r="VTA5" s="390"/>
      <c r="VTB5" s="390"/>
      <c r="VTC5" s="390"/>
      <c r="VTD5" s="390"/>
      <c r="VTE5" s="390"/>
      <c r="VTF5" s="390"/>
      <c r="VTG5" s="390"/>
      <c r="VTH5" s="390"/>
      <c r="VTI5" s="390"/>
      <c r="VTJ5" s="390"/>
      <c r="VTK5" s="390"/>
      <c r="VTL5" s="390"/>
      <c r="VTM5" s="390"/>
      <c r="VTN5" s="390"/>
      <c r="VTO5" s="390"/>
      <c r="VTP5" s="390"/>
      <c r="VTQ5" s="390"/>
      <c r="VTR5" s="390"/>
      <c r="VTS5" s="390"/>
      <c r="VTT5" s="390"/>
      <c r="VTU5" s="390"/>
      <c r="VTV5" s="390"/>
      <c r="VTW5" s="390"/>
      <c r="VTX5" s="390"/>
      <c r="VTY5" s="390"/>
      <c r="VTZ5" s="390"/>
      <c r="VUA5" s="390"/>
      <c r="VUB5" s="390"/>
      <c r="VUC5" s="390"/>
      <c r="VUD5" s="390"/>
      <c r="VUE5" s="390"/>
      <c r="VUF5" s="390"/>
      <c r="VUG5" s="390"/>
      <c r="VUH5" s="390"/>
      <c r="VUI5" s="390"/>
      <c r="VUJ5" s="390"/>
      <c r="VUK5" s="390"/>
      <c r="VUL5" s="390"/>
      <c r="VUM5" s="390"/>
      <c r="VUN5" s="390"/>
      <c r="VUO5" s="390"/>
      <c r="VUP5" s="390"/>
      <c r="VUQ5" s="390"/>
      <c r="VUR5" s="390"/>
      <c r="VUS5" s="390"/>
      <c r="VUT5" s="390"/>
      <c r="VUU5" s="390"/>
      <c r="VUV5" s="390"/>
      <c r="VUW5" s="390"/>
      <c r="VUX5" s="390"/>
      <c r="VUY5" s="390"/>
      <c r="VUZ5" s="390"/>
      <c r="VVA5" s="390"/>
      <c r="VVB5" s="390"/>
      <c r="VVC5" s="390"/>
      <c r="VVD5" s="390"/>
      <c r="VVE5" s="390"/>
      <c r="VVF5" s="390"/>
      <c r="VVG5" s="390"/>
      <c r="VVH5" s="390"/>
      <c r="VVI5" s="390"/>
      <c r="VVJ5" s="390"/>
      <c r="VVK5" s="390"/>
      <c r="VVL5" s="390"/>
      <c r="VVM5" s="390"/>
      <c r="VVN5" s="390"/>
      <c r="VVO5" s="390"/>
      <c r="VVP5" s="390"/>
      <c r="VVQ5" s="390"/>
      <c r="VVR5" s="390"/>
      <c r="VVS5" s="390"/>
      <c r="VVT5" s="390"/>
      <c r="VVU5" s="390"/>
      <c r="VVV5" s="390"/>
      <c r="VVW5" s="390"/>
      <c r="VVX5" s="390"/>
      <c r="VVY5" s="390"/>
      <c r="VVZ5" s="390"/>
      <c r="VWA5" s="390"/>
      <c r="VWB5" s="390"/>
      <c r="VWC5" s="390"/>
      <c r="VWD5" s="390"/>
      <c r="VWE5" s="390"/>
      <c r="VWF5" s="390"/>
      <c r="VWG5" s="390"/>
      <c r="VWH5" s="390"/>
      <c r="VWI5" s="390"/>
      <c r="VWJ5" s="390"/>
      <c r="VWK5" s="390"/>
      <c r="VWL5" s="390"/>
      <c r="VWM5" s="390"/>
      <c r="VWN5" s="390"/>
      <c r="VWO5" s="390"/>
      <c r="VWP5" s="390"/>
      <c r="VWQ5" s="390"/>
      <c r="VWR5" s="390"/>
      <c r="VWS5" s="390"/>
      <c r="VWT5" s="390"/>
      <c r="VWU5" s="390"/>
      <c r="VWV5" s="390"/>
      <c r="VWW5" s="390"/>
      <c r="VWX5" s="390"/>
      <c r="VWY5" s="390"/>
      <c r="VWZ5" s="390"/>
      <c r="VXA5" s="390"/>
      <c r="VXB5" s="390"/>
      <c r="VXC5" s="390"/>
      <c r="VXD5" s="390"/>
      <c r="VXE5" s="390"/>
      <c r="VXF5" s="390"/>
      <c r="VXG5" s="390"/>
      <c r="VXH5" s="390"/>
      <c r="VXI5" s="390"/>
      <c r="VXJ5" s="390"/>
      <c r="VXK5" s="390"/>
      <c r="VXL5" s="390"/>
      <c r="VXM5" s="390"/>
      <c r="VXN5" s="390"/>
      <c r="VXO5" s="390"/>
      <c r="VXP5" s="390"/>
      <c r="VXQ5" s="390"/>
      <c r="VXR5" s="390"/>
      <c r="VXS5" s="390"/>
      <c r="VXT5" s="390"/>
      <c r="VXU5" s="390"/>
      <c r="VXV5" s="390"/>
      <c r="VXW5" s="390"/>
      <c r="VXX5" s="390"/>
      <c r="VXY5" s="390"/>
      <c r="VXZ5" s="390"/>
      <c r="VYA5" s="390"/>
      <c r="VYB5" s="390"/>
      <c r="VYC5" s="390"/>
      <c r="VYD5" s="390"/>
      <c r="VYE5" s="390"/>
      <c r="VYF5" s="390"/>
      <c r="VYG5" s="390"/>
      <c r="VYH5" s="390"/>
      <c r="VYI5" s="390"/>
      <c r="VYJ5" s="390"/>
      <c r="VYK5" s="390"/>
      <c r="VYL5" s="390"/>
      <c r="VYM5" s="390"/>
      <c r="VYN5" s="390"/>
      <c r="VYO5" s="390"/>
      <c r="VYP5" s="390"/>
      <c r="VYQ5" s="390"/>
      <c r="VYR5" s="390"/>
      <c r="VYS5" s="390"/>
      <c r="VYT5" s="390"/>
      <c r="VYU5" s="390"/>
      <c r="VYV5" s="390"/>
      <c r="VYW5" s="390"/>
      <c r="VYX5" s="390"/>
      <c r="VYY5" s="390"/>
      <c r="VYZ5" s="390"/>
      <c r="VZA5" s="390"/>
      <c r="VZB5" s="390"/>
      <c r="VZC5" s="390"/>
      <c r="VZD5" s="390"/>
      <c r="VZE5" s="390"/>
      <c r="VZF5" s="390"/>
      <c r="VZG5" s="390"/>
      <c r="VZH5" s="390"/>
      <c r="VZI5" s="390"/>
      <c r="VZJ5" s="390"/>
      <c r="VZK5" s="390"/>
      <c r="VZL5" s="390"/>
      <c r="VZM5" s="390"/>
      <c r="VZN5" s="390"/>
      <c r="VZO5" s="390"/>
      <c r="VZP5" s="390"/>
      <c r="VZQ5" s="390"/>
      <c r="VZR5" s="390"/>
      <c r="VZS5" s="390"/>
      <c r="VZT5" s="390"/>
      <c r="VZU5" s="390"/>
      <c r="VZV5" s="390"/>
      <c r="VZW5" s="390"/>
      <c r="VZX5" s="390"/>
      <c r="VZY5" s="390"/>
      <c r="VZZ5" s="390"/>
      <c r="WAA5" s="390"/>
      <c r="WAB5" s="390"/>
      <c r="WAC5" s="390"/>
      <c r="WAD5" s="390"/>
      <c r="WAE5" s="390"/>
      <c r="WAF5" s="390"/>
      <c r="WAG5" s="390"/>
      <c r="WAH5" s="390"/>
      <c r="WAI5" s="390"/>
      <c r="WAJ5" s="390"/>
      <c r="WAK5" s="390"/>
      <c r="WAL5" s="390"/>
      <c r="WAM5" s="390"/>
      <c r="WAN5" s="390"/>
      <c r="WAO5" s="390"/>
      <c r="WAP5" s="390"/>
      <c r="WAQ5" s="390"/>
      <c r="WAR5" s="390"/>
      <c r="WAS5" s="390"/>
      <c r="WAT5" s="390"/>
      <c r="WAU5" s="390"/>
      <c r="WAV5" s="390"/>
      <c r="WAW5" s="390"/>
      <c r="WAX5" s="390"/>
      <c r="WAY5" s="390"/>
      <c r="WAZ5" s="390"/>
      <c r="WBA5" s="390"/>
      <c r="WBB5" s="390"/>
      <c r="WBC5" s="390"/>
      <c r="WBD5" s="390"/>
      <c r="WBE5" s="390"/>
      <c r="WBF5" s="390"/>
      <c r="WBG5" s="390"/>
      <c r="WBH5" s="390"/>
      <c r="WBI5" s="390"/>
      <c r="WBJ5" s="390"/>
      <c r="WBK5" s="390"/>
      <c r="WBL5" s="390"/>
      <c r="WBM5" s="390"/>
      <c r="WBN5" s="390"/>
      <c r="WBO5" s="390"/>
      <c r="WBP5" s="390"/>
      <c r="WBQ5" s="390"/>
      <c r="WBR5" s="390"/>
      <c r="WBS5" s="390"/>
      <c r="WBT5" s="390"/>
      <c r="WBU5" s="390"/>
      <c r="WBV5" s="390"/>
      <c r="WBW5" s="390"/>
      <c r="WBX5" s="390"/>
      <c r="WBY5" s="390"/>
      <c r="WBZ5" s="390"/>
      <c r="WCA5" s="390"/>
      <c r="WCB5" s="390"/>
      <c r="WCC5" s="390"/>
      <c r="WCD5" s="390"/>
      <c r="WCE5" s="390"/>
      <c r="WCF5" s="390"/>
      <c r="WCG5" s="390"/>
      <c r="WCH5" s="390"/>
      <c r="WCI5" s="390"/>
      <c r="WCJ5" s="390"/>
      <c r="WCK5" s="390"/>
      <c r="WCL5" s="390"/>
      <c r="WCM5" s="390"/>
      <c r="WCN5" s="390"/>
      <c r="WCO5" s="390"/>
      <c r="WCP5" s="390"/>
      <c r="WCQ5" s="390"/>
      <c r="WCR5" s="390"/>
      <c r="WCS5" s="390"/>
      <c r="WCT5" s="390"/>
      <c r="WCU5" s="390"/>
      <c r="WCV5" s="390"/>
      <c r="WCW5" s="390"/>
      <c r="WCX5" s="390"/>
      <c r="WCY5" s="390"/>
      <c r="WCZ5" s="390"/>
      <c r="WDA5" s="390"/>
      <c r="WDB5" s="390"/>
      <c r="WDC5" s="390"/>
      <c r="WDD5" s="390"/>
      <c r="WDE5" s="390"/>
      <c r="WDF5" s="390"/>
      <c r="WDG5" s="390"/>
      <c r="WDH5" s="390"/>
      <c r="WDI5" s="390"/>
      <c r="WDJ5" s="390"/>
      <c r="WDK5" s="390"/>
      <c r="WDL5" s="390"/>
      <c r="WDM5" s="390"/>
      <c r="WDN5" s="390"/>
      <c r="WDO5" s="390"/>
      <c r="WDP5" s="390"/>
      <c r="WDQ5" s="390"/>
      <c r="WDR5" s="390"/>
      <c r="WDS5" s="390"/>
      <c r="WDT5" s="390"/>
      <c r="WDU5" s="390"/>
      <c r="WDV5" s="390"/>
      <c r="WDW5" s="390"/>
      <c r="WDX5" s="390"/>
      <c r="WDY5" s="390"/>
      <c r="WDZ5" s="390"/>
      <c r="WEA5" s="390"/>
      <c r="WEB5" s="390"/>
      <c r="WEC5" s="390"/>
      <c r="WED5" s="390"/>
      <c r="WEE5" s="390"/>
      <c r="WEF5" s="390"/>
      <c r="WEG5" s="390"/>
      <c r="WEH5" s="390"/>
      <c r="WEI5" s="390"/>
      <c r="WEJ5" s="390"/>
      <c r="WEK5" s="390"/>
      <c r="WEL5" s="390"/>
      <c r="WEM5" s="390"/>
      <c r="WEN5" s="390"/>
      <c r="WEO5" s="390"/>
      <c r="WEP5" s="390"/>
      <c r="WEQ5" s="390"/>
      <c r="WER5" s="390"/>
      <c r="WES5" s="390"/>
      <c r="WET5" s="390"/>
      <c r="WEU5" s="390"/>
      <c r="WEV5" s="390"/>
      <c r="WEW5" s="390"/>
      <c r="WEX5" s="390"/>
      <c r="WEY5" s="390"/>
      <c r="WEZ5" s="390"/>
      <c r="WFA5" s="390"/>
      <c r="WFB5" s="390"/>
      <c r="WFC5" s="390"/>
      <c r="WFD5" s="390"/>
      <c r="WFE5" s="390"/>
      <c r="WFF5" s="390"/>
      <c r="WFG5" s="390"/>
      <c r="WFH5" s="390"/>
      <c r="WFI5" s="390"/>
      <c r="WFJ5" s="390"/>
      <c r="WFK5" s="390"/>
      <c r="WFL5" s="390"/>
      <c r="WFM5" s="390"/>
      <c r="WFN5" s="390"/>
      <c r="WFO5" s="390"/>
      <c r="WFP5" s="390"/>
      <c r="WFQ5" s="390"/>
      <c r="WFR5" s="390"/>
      <c r="WFS5" s="390"/>
      <c r="WFT5" s="390"/>
      <c r="WFU5" s="390"/>
      <c r="WFV5" s="390"/>
      <c r="WFW5" s="390"/>
      <c r="WFX5" s="390"/>
      <c r="WFY5" s="390"/>
      <c r="WFZ5" s="390"/>
      <c r="WGA5" s="390"/>
      <c r="WGB5" s="390"/>
      <c r="WGC5" s="390"/>
      <c r="WGD5" s="390"/>
      <c r="WGE5" s="390"/>
      <c r="WGF5" s="390"/>
      <c r="WGG5" s="390"/>
      <c r="WGH5" s="390"/>
      <c r="WGI5" s="390"/>
      <c r="WGJ5" s="390"/>
      <c r="WGK5" s="390"/>
      <c r="WGL5" s="390"/>
      <c r="WGM5" s="390"/>
      <c r="WGN5" s="390"/>
      <c r="WGO5" s="390"/>
      <c r="WGP5" s="390"/>
      <c r="WGQ5" s="390"/>
      <c r="WGR5" s="390"/>
      <c r="WGS5" s="390"/>
      <c r="WGT5" s="390"/>
      <c r="WGU5" s="390"/>
      <c r="WGV5" s="390"/>
      <c r="WGW5" s="390"/>
      <c r="WGX5" s="390"/>
      <c r="WGY5" s="390"/>
      <c r="WGZ5" s="390"/>
      <c r="WHA5" s="390"/>
      <c r="WHB5" s="390"/>
      <c r="WHC5" s="390"/>
      <c r="WHD5" s="390"/>
      <c r="WHE5" s="390"/>
      <c r="WHF5" s="390"/>
      <c r="WHG5" s="390"/>
      <c r="WHH5" s="390"/>
      <c r="WHI5" s="390"/>
      <c r="WHJ5" s="390"/>
      <c r="WHK5" s="390"/>
      <c r="WHL5" s="390"/>
      <c r="WHM5" s="390"/>
      <c r="WHN5" s="390"/>
      <c r="WHO5" s="390"/>
      <c r="WHP5" s="390"/>
      <c r="WHQ5" s="390"/>
      <c r="WHR5" s="390"/>
      <c r="WHS5" s="390"/>
      <c r="WHT5" s="390"/>
      <c r="WHU5" s="390"/>
      <c r="WHV5" s="390"/>
      <c r="WHW5" s="390"/>
      <c r="WHX5" s="390"/>
      <c r="WHY5" s="390"/>
      <c r="WHZ5" s="390"/>
      <c r="WIA5" s="390"/>
      <c r="WIB5" s="390"/>
      <c r="WIC5" s="390"/>
      <c r="WID5" s="390"/>
      <c r="WIE5" s="390"/>
      <c r="WIF5" s="390"/>
      <c r="WIG5" s="390"/>
      <c r="WIH5" s="390"/>
      <c r="WII5" s="390"/>
      <c r="WIJ5" s="390"/>
      <c r="WIK5" s="390"/>
      <c r="WIL5" s="390"/>
      <c r="WIM5" s="390"/>
      <c r="WIN5" s="390"/>
      <c r="WIO5" s="390"/>
      <c r="WIP5" s="390"/>
      <c r="WIQ5" s="390"/>
      <c r="WIR5" s="390"/>
      <c r="WIS5" s="390"/>
      <c r="WIT5" s="390"/>
      <c r="WIU5" s="390"/>
      <c r="WIV5" s="390"/>
      <c r="WIW5" s="390"/>
      <c r="WIX5" s="390"/>
      <c r="WIY5" s="390"/>
      <c r="WIZ5" s="390"/>
      <c r="WJA5" s="390"/>
      <c r="WJB5" s="390"/>
      <c r="WJC5" s="390"/>
      <c r="WJD5" s="390"/>
      <c r="WJE5" s="390"/>
      <c r="WJF5" s="390"/>
      <c r="WJG5" s="390"/>
      <c r="WJH5" s="390"/>
      <c r="WJI5" s="390"/>
      <c r="WJJ5" s="390"/>
      <c r="WJK5" s="390"/>
      <c r="WJL5" s="390"/>
      <c r="WJM5" s="390"/>
      <c r="WJN5" s="390"/>
      <c r="WJO5" s="390"/>
      <c r="WJP5" s="390"/>
      <c r="WJQ5" s="390"/>
      <c r="WJR5" s="390"/>
      <c r="WJS5" s="390"/>
      <c r="WJT5" s="390"/>
      <c r="WJU5" s="390"/>
      <c r="WJV5" s="390"/>
      <c r="WJW5" s="390"/>
      <c r="WJX5" s="390"/>
      <c r="WJY5" s="390"/>
      <c r="WJZ5" s="390"/>
      <c r="WKA5" s="390"/>
      <c r="WKB5" s="390"/>
      <c r="WKC5" s="390"/>
      <c r="WKD5" s="390"/>
      <c r="WKE5" s="390"/>
      <c r="WKF5" s="390"/>
      <c r="WKG5" s="390"/>
      <c r="WKH5" s="390"/>
      <c r="WKI5" s="390"/>
      <c r="WKJ5" s="390"/>
      <c r="WKK5" s="390"/>
      <c r="WKL5" s="390"/>
      <c r="WKM5" s="390"/>
      <c r="WKN5" s="390"/>
      <c r="WKO5" s="390"/>
      <c r="WKP5" s="390"/>
      <c r="WKQ5" s="390"/>
      <c r="WKR5" s="390"/>
      <c r="WKS5" s="390"/>
      <c r="WKT5" s="390"/>
      <c r="WKU5" s="390"/>
      <c r="WKV5" s="390"/>
      <c r="WKW5" s="390"/>
      <c r="WKX5" s="390"/>
      <c r="WKY5" s="390"/>
      <c r="WKZ5" s="390"/>
      <c r="WLA5" s="390"/>
      <c r="WLB5" s="390"/>
      <c r="WLC5" s="390"/>
      <c r="WLD5" s="390"/>
      <c r="WLE5" s="390"/>
      <c r="WLF5" s="390"/>
      <c r="WLG5" s="390"/>
      <c r="WLH5" s="390"/>
      <c r="WLI5" s="390"/>
      <c r="WLJ5" s="390"/>
      <c r="WLK5" s="390"/>
      <c r="WLL5" s="390"/>
      <c r="WLM5" s="390"/>
      <c r="WLN5" s="390"/>
      <c r="WLO5" s="390"/>
      <c r="WLP5" s="390"/>
      <c r="WLQ5" s="390"/>
      <c r="WLR5" s="390"/>
      <c r="WLS5" s="390"/>
      <c r="WLT5" s="390"/>
      <c r="WLU5" s="390"/>
      <c r="WLV5" s="390"/>
      <c r="WLW5" s="390"/>
      <c r="WLX5" s="390"/>
      <c r="WLY5" s="390"/>
      <c r="WLZ5" s="390"/>
      <c r="WMA5" s="390"/>
      <c r="WMB5" s="390"/>
      <c r="WMC5" s="390"/>
      <c r="WMD5" s="390"/>
      <c r="WME5" s="390"/>
      <c r="WMF5" s="390"/>
      <c r="WMG5" s="390"/>
      <c r="WMH5" s="390"/>
      <c r="WMI5" s="390"/>
      <c r="WMJ5" s="390"/>
      <c r="WMK5" s="390"/>
      <c r="WML5" s="390"/>
      <c r="WMM5" s="390"/>
      <c r="WMN5" s="390"/>
      <c r="WMO5" s="390"/>
      <c r="WMP5" s="390"/>
      <c r="WMQ5" s="390"/>
      <c r="WMR5" s="390"/>
      <c r="WMS5" s="390"/>
      <c r="WMT5" s="390"/>
      <c r="WMU5" s="390"/>
      <c r="WMV5" s="390"/>
      <c r="WMW5" s="390"/>
      <c r="WMX5" s="390"/>
      <c r="WMY5" s="390"/>
      <c r="WMZ5" s="390"/>
      <c r="WNA5" s="390"/>
      <c r="WNB5" s="390"/>
      <c r="WNC5" s="390"/>
      <c r="WND5" s="390"/>
      <c r="WNE5" s="390"/>
      <c r="WNF5" s="390"/>
      <c r="WNG5" s="390"/>
      <c r="WNH5" s="390"/>
      <c r="WNI5" s="390"/>
      <c r="WNJ5" s="390"/>
      <c r="WNK5" s="390"/>
      <c r="WNL5" s="390"/>
      <c r="WNM5" s="390"/>
      <c r="WNN5" s="390"/>
      <c r="WNO5" s="390"/>
      <c r="WNP5" s="390"/>
      <c r="WNQ5" s="390"/>
      <c r="WNR5" s="390"/>
      <c r="WNS5" s="390"/>
      <c r="WNT5" s="390"/>
      <c r="WNU5" s="390"/>
      <c r="WNV5" s="390"/>
      <c r="WNW5" s="390"/>
      <c r="WNX5" s="390"/>
      <c r="WNY5" s="390"/>
      <c r="WNZ5" s="390"/>
      <c r="WOA5" s="390"/>
      <c r="WOB5" s="390"/>
      <c r="WOC5" s="390"/>
      <c r="WOD5" s="390"/>
      <c r="WOE5" s="390"/>
      <c r="WOF5" s="390"/>
      <c r="WOG5" s="390"/>
      <c r="WOH5" s="390"/>
      <c r="WOI5" s="390"/>
      <c r="WOJ5" s="390"/>
      <c r="WOK5" s="390"/>
      <c r="WOL5" s="390"/>
      <c r="WOM5" s="390"/>
      <c r="WON5" s="390"/>
      <c r="WOO5" s="390"/>
      <c r="WOP5" s="390"/>
      <c r="WOQ5" s="390"/>
      <c r="WOR5" s="390"/>
      <c r="WOS5" s="390"/>
      <c r="WOT5" s="390"/>
      <c r="WOU5" s="390"/>
      <c r="WOV5" s="390"/>
      <c r="WOW5" s="390"/>
      <c r="WOX5" s="390"/>
      <c r="WOY5" s="390"/>
      <c r="WOZ5" s="390"/>
      <c r="WPA5" s="390"/>
      <c r="WPB5" s="390"/>
      <c r="WPC5" s="390"/>
      <c r="WPD5" s="390"/>
      <c r="WPE5" s="390"/>
      <c r="WPF5" s="390"/>
      <c r="WPG5" s="390"/>
      <c r="WPH5" s="390"/>
      <c r="WPI5" s="390"/>
      <c r="WPJ5" s="390"/>
      <c r="WPK5" s="390"/>
      <c r="WPL5" s="390"/>
      <c r="WPM5" s="390"/>
      <c r="WPN5" s="390"/>
      <c r="WPO5" s="390"/>
      <c r="WPP5" s="390"/>
      <c r="WPQ5" s="390"/>
      <c r="WPR5" s="390"/>
      <c r="WPS5" s="390"/>
      <c r="WPT5" s="390"/>
      <c r="WPU5" s="390"/>
      <c r="WPV5" s="390"/>
      <c r="WPW5" s="390"/>
      <c r="WPX5" s="390"/>
      <c r="WPY5" s="390"/>
      <c r="WPZ5" s="390"/>
      <c r="WQA5" s="390"/>
      <c r="WQB5" s="390"/>
      <c r="WQC5" s="390"/>
      <c r="WQD5" s="390"/>
      <c r="WQE5" s="390"/>
      <c r="WQF5" s="390"/>
      <c r="WQG5" s="390"/>
      <c r="WQH5" s="390"/>
      <c r="WQI5" s="390"/>
      <c r="WQJ5" s="390"/>
      <c r="WQK5" s="390"/>
      <c r="WQL5" s="390"/>
      <c r="WQM5" s="390"/>
      <c r="WQN5" s="390"/>
      <c r="WQO5" s="390"/>
      <c r="WQP5" s="390"/>
      <c r="WQQ5" s="390"/>
      <c r="WQR5" s="390"/>
      <c r="WQS5" s="390"/>
      <c r="WQT5" s="390"/>
      <c r="WQU5" s="390"/>
      <c r="WQV5" s="390"/>
      <c r="WQW5" s="390"/>
      <c r="WQX5" s="390"/>
      <c r="WQY5" s="390"/>
      <c r="WQZ5" s="390"/>
      <c r="WRA5" s="390"/>
      <c r="WRB5" s="390"/>
      <c r="WRC5" s="390"/>
      <c r="WRD5" s="390"/>
      <c r="WRE5" s="390"/>
      <c r="WRF5" s="390"/>
      <c r="WRG5" s="390"/>
      <c r="WRH5" s="390"/>
      <c r="WRI5" s="390"/>
      <c r="WRJ5" s="390"/>
      <c r="WRK5" s="390"/>
      <c r="WRL5" s="390"/>
      <c r="WRM5" s="390"/>
      <c r="WRN5" s="390"/>
      <c r="WRO5" s="390"/>
      <c r="WRP5" s="390"/>
      <c r="WRQ5" s="390"/>
      <c r="WRR5" s="390"/>
      <c r="WRS5" s="390"/>
      <c r="WRT5" s="390"/>
      <c r="WRU5" s="390"/>
      <c r="WRV5" s="390"/>
      <c r="WRW5" s="390"/>
      <c r="WRX5" s="390"/>
      <c r="WRY5" s="390"/>
      <c r="WRZ5" s="390"/>
      <c r="WSA5" s="390"/>
      <c r="WSB5" s="390"/>
      <c r="WSC5" s="390"/>
      <c r="WSD5" s="390"/>
      <c r="WSE5" s="390"/>
      <c r="WSF5" s="390"/>
      <c r="WSG5" s="390"/>
      <c r="WSH5" s="390"/>
      <c r="WSI5" s="390"/>
      <c r="WSJ5" s="390"/>
      <c r="WSK5" s="390"/>
      <c r="WSL5" s="390"/>
      <c r="WSM5" s="390"/>
      <c r="WSN5" s="390"/>
      <c r="WSO5" s="390"/>
      <c r="WSP5" s="390"/>
      <c r="WSQ5" s="390"/>
      <c r="WSR5" s="390"/>
      <c r="WSS5" s="390"/>
      <c r="WST5" s="390"/>
      <c r="WSU5" s="390"/>
      <c r="WSV5" s="390"/>
      <c r="WSW5" s="390"/>
      <c r="WSX5" s="390"/>
      <c r="WSY5" s="390"/>
      <c r="WSZ5" s="390"/>
      <c r="WTA5" s="390"/>
      <c r="WTB5" s="390"/>
      <c r="WTC5" s="390"/>
      <c r="WTD5" s="390"/>
      <c r="WTE5" s="390"/>
      <c r="WTF5" s="390"/>
      <c r="WTG5" s="390"/>
      <c r="WTH5" s="390"/>
      <c r="WTI5" s="390"/>
      <c r="WTJ5" s="390"/>
      <c r="WTK5" s="390"/>
      <c r="WTL5" s="390"/>
      <c r="WTM5" s="390"/>
      <c r="WTN5" s="390"/>
      <c r="WTO5" s="390"/>
      <c r="WTP5" s="390"/>
      <c r="WTQ5" s="390"/>
      <c r="WTR5" s="390"/>
      <c r="WTS5" s="390"/>
      <c r="WTT5" s="390"/>
      <c r="WTU5" s="390"/>
      <c r="WTV5" s="390"/>
      <c r="WTW5" s="390"/>
      <c r="WTX5" s="390"/>
      <c r="WTY5" s="390"/>
      <c r="WTZ5" s="390"/>
      <c r="WUA5" s="390"/>
      <c r="WUB5" s="390"/>
      <c r="WUC5" s="390"/>
      <c r="WUD5" s="390"/>
      <c r="WUE5" s="390"/>
      <c r="WUF5" s="390"/>
      <c r="WUG5" s="390"/>
      <c r="WUH5" s="390"/>
      <c r="WUI5" s="390"/>
      <c r="WUJ5" s="390"/>
      <c r="WUK5" s="390"/>
      <c r="WUL5" s="390"/>
      <c r="WUM5" s="390"/>
      <c r="WUN5" s="390"/>
      <c r="WUO5" s="390"/>
      <c r="WUP5" s="390"/>
      <c r="WUQ5" s="390"/>
      <c r="WUR5" s="390"/>
      <c r="WUS5" s="390"/>
      <c r="WUT5" s="390"/>
      <c r="WUU5" s="390"/>
      <c r="WUV5" s="390"/>
      <c r="WUW5" s="390"/>
      <c r="WUX5" s="390"/>
      <c r="WUY5" s="390"/>
      <c r="WUZ5" s="390"/>
      <c r="WVA5" s="390"/>
      <c r="WVB5" s="390"/>
      <c r="WVC5" s="390"/>
      <c r="WVD5" s="390"/>
      <c r="WVE5" s="390"/>
      <c r="WVF5" s="390"/>
      <c r="WVG5" s="390"/>
      <c r="WVH5" s="390"/>
      <c r="WVI5" s="390"/>
      <c r="WVJ5" s="390"/>
      <c r="WVK5" s="390"/>
      <c r="WVL5" s="390"/>
      <c r="WVM5" s="390"/>
      <c r="WVN5" s="390"/>
      <c r="WVO5" s="390"/>
      <c r="WVP5" s="390"/>
      <c r="WVQ5" s="390"/>
      <c r="WVR5" s="390"/>
      <c r="WVS5" s="390"/>
      <c r="WVT5" s="390"/>
      <c r="WVU5" s="390"/>
      <c r="WVV5" s="390"/>
      <c r="WVW5" s="390"/>
      <c r="WVX5" s="390"/>
      <c r="WVY5" s="390"/>
      <c r="WVZ5" s="390"/>
      <c r="WWA5" s="390"/>
      <c r="WWB5" s="390"/>
      <c r="WWC5" s="390"/>
      <c r="WWD5" s="390"/>
      <c r="WWE5" s="390"/>
      <c r="WWF5" s="390"/>
      <c r="WWG5" s="390"/>
      <c r="WWH5" s="390"/>
      <c r="WWI5" s="390"/>
      <c r="WWJ5" s="390"/>
      <c r="WWK5" s="390"/>
      <c r="WWL5" s="390"/>
      <c r="WWM5" s="390"/>
      <c r="WWN5" s="390"/>
      <c r="WWO5" s="390"/>
      <c r="WWP5" s="390"/>
      <c r="WWQ5" s="390"/>
      <c r="WWR5" s="390"/>
      <c r="WWS5" s="390"/>
      <c r="WWT5" s="390"/>
      <c r="WWU5" s="390"/>
      <c r="WWV5" s="390"/>
      <c r="WWW5" s="390"/>
      <c r="WWX5" s="390"/>
      <c r="WWY5" s="390"/>
      <c r="WWZ5" s="390"/>
      <c r="WXA5" s="390"/>
      <c r="WXB5" s="390"/>
      <c r="WXC5" s="390"/>
      <c r="WXD5" s="390"/>
      <c r="WXE5" s="390"/>
      <c r="WXF5" s="390"/>
      <c r="WXG5" s="390"/>
      <c r="WXH5" s="390"/>
      <c r="WXI5" s="390"/>
      <c r="WXJ5" s="390"/>
      <c r="WXK5" s="390"/>
      <c r="WXL5" s="390"/>
      <c r="WXM5" s="390"/>
      <c r="WXN5" s="390"/>
      <c r="WXO5" s="390"/>
      <c r="WXP5" s="390"/>
      <c r="WXQ5" s="390"/>
      <c r="WXR5" s="390"/>
      <c r="WXS5" s="390"/>
      <c r="WXT5" s="390"/>
      <c r="WXU5" s="390"/>
      <c r="WXV5" s="390"/>
      <c r="WXW5" s="390"/>
      <c r="WXX5" s="390"/>
      <c r="WXY5" s="390"/>
      <c r="WXZ5" s="390"/>
      <c r="WYA5" s="390"/>
      <c r="WYB5" s="390"/>
      <c r="WYC5" s="390"/>
      <c r="WYD5" s="390"/>
      <c r="WYE5" s="390"/>
      <c r="WYF5" s="390"/>
      <c r="WYG5" s="390"/>
      <c r="WYH5" s="390"/>
      <c r="WYI5" s="390"/>
      <c r="WYJ5" s="390"/>
      <c r="WYK5" s="390"/>
      <c r="WYL5" s="390"/>
      <c r="WYM5" s="390"/>
      <c r="WYN5" s="390"/>
      <c r="WYO5" s="390"/>
      <c r="WYP5" s="390"/>
      <c r="WYQ5" s="390"/>
      <c r="WYR5" s="390"/>
      <c r="WYS5" s="390"/>
      <c r="WYT5" s="390"/>
      <c r="WYU5" s="390"/>
      <c r="WYV5" s="390"/>
      <c r="WYW5" s="390"/>
      <c r="WYX5" s="390"/>
      <c r="WYY5" s="390"/>
      <c r="WYZ5" s="390"/>
      <c r="WZA5" s="390"/>
      <c r="WZB5" s="390"/>
      <c r="WZC5" s="390"/>
      <c r="WZD5" s="390"/>
      <c r="WZE5" s="390"/>
      <c r="WZF5" s="390"/>
      <c r="WZG5" s="390"/>
      <c r="WZH5" s="390"/>
      <c r="WZI5" s="390"/>
      <c r="WZJ5" s="390"/>
      <c r="WZK5" s="390"/>
      <c r="WZL5" s="390"/>
      <c r="WZM5" s="390"/>
      <c r="WZN5" s="390"/>
      <c r="WZO5" s="390"/>
      <c r="WZP5" s="390"/>
      <c r="WZQ5" s="390"/>
      <c r="WZR5" s="390"/>
      <c r="WZS5" s="390"/>
      <c r="WZT5" s="390"/>
      <c r="WZU5" s="390"/>
      <c r="WZV5" s="390"/>
      <c r="WZW5" s="390"/>
      <c r="WZX5" s="390"/>
      <c r="WZY5" s="390"/>
      <c r="WZZ5" s="390"/>
      <c r="XAA5" s="390"/>
      <c r="XAB5" s="390"/>
      <c r="XAC5" s="390"/>
      <c r="XAD5" s="390"/>
      <c r="XAE5" s="390"/>
      <c r="XAF5" s="390"/>
      <c r="XAG5" s="390"/>
      <c r="XAH5" s="390"/>
      <c r="XAI5" s="390"/>
      <c r="XAJ5" s="390"/>
      <c r="XAK5" s="390"/>
      <c r="XAL5" s="390"/>
      <c r="XAM5" s="390"/>
      <c r="XAN5" s="390"/>
      <c r="XAO5" s="390"/>
      <c r="XAP5" s="390"/>
      <c r="XAQ5" s="390"/>
      <c r="XAR5" s="390"/>
      <c r="XAS5" s="390"/>
      <c r="XAT5" s="390"/>
      <c r="XAU5" s="390"/>
      <c r="XAV5" s="390"/>
      <c r="XAW5" s="390"/>
      <c r="XAX5" s="390"/>
      <c r="XAY5" s="390"/>
      <c r="XAZ5" s="390"/>
      <c r="XBA5" s="390"/>
      <c r="XBB5" s="390"/>
      <c r="XBC5" s="390"/>
      <c r="XBD5" s="390"/>
      <c r="XBE5" s="390"/>
      <c r="XBF5" s="390"/>
      <c r="XBG5" s="390"/>
      <c r="XBH5" s="390"/>
      <c r="XBI5" s="390"/>
      <c r="XBJ5" s="390"/>
      <c r="XBK5" s="390"/>
      <c r="XBL5" s="390"/>
      <c r="XBM5" s="390"/>
      <c r="XBN5" s="390"/>
      <c r="XBO5" s="390"/>
      <c r="XBP5" s="390"/>
      <c r="XBQ5" s="390"/>
      <c r="XBR5" s="390"/>
      <c r="XBS5" s="390"/>
      <c r="XBT5" s="390"/>
      <c r="XBU5" s="390"/>
      <c r="XBV5" s="390"/>
      <c r="XBW5" s="390"/>
      <c r="XBX5" s="390"/>
      <c r="XBY5" s="390"/>
      <c r="XBZ5" s="390"/>
      <c r="XCA5" s="390"/>
      <c r="XCB5" s="390"/>
      <c r="XCC5" s="390"/>
      <c r="XCD5" s="390"/>
      <c r="XCE5" s="390"/>
      <c r="XCF5" s="390"/>
      <c r="XCG5" s="390"/>
      <c r="XCH5" s="390"/>
      <c r="XCI5" s="390"/>
      <c r="XCJ5" s="390"/>
      <c r="XCK5" s="390"/>
      <c r="XCL5" s="390"/>
      <c r="XCM5" s="390"/>
      <c r="XCN5" s="390"/>
      <c r="XCO5" s="390"/>
      <c r="XCP5" s="390"/>
      <c r="XCQ5" s="390"/>
      <c r="XCR5" s="390"/>
      <c r="XCS5" s="390"/>
      <c r="XCT5" s="390"/>
      <c r="XCU5" s="390"/>
      <c r="XCV5" s="390"/>
      <c r="XCW5" s="390"/>
      <c r="XCX5" s="390"/>
      <c r="XCY5" s="390"/>
      <c r="XCZ5" s="390"/>
      <c r="XDA5" s="390"/>
      <c r="XDB5" s="390"/>
      <c r="XDC5" s="390"/>
      <c r="XDD5" s="390"/>
      <c r="XDE5" s="390"/>
      <c r="XDF5" s="390"/>
      <c r="XDG5" s="390"/>
      <c r="XDH5" s="390"/>
      <c r="XDI5" s="390"/>
      <c r="XDJ5" s="390"/>
      <c r="XDK5" s="390"/>
      <c r="XDL5" s="390"/>
      <c r="XDM5" s="390"/>
      <c r="XDN5" s="390"/>
      <c r="XDO5" s="390"/>
      <c r="XDP5" s="390"/>
      <c r="XDQ5" s="390"/>
      <c r="XDR5" s="390"/>
      <c r="XDS5" s="390"/>
      <c r="XDT5" s="390"/>
      <c r="XDU5" s="390"/>
      <c r="XDV5" s="390"/>
      <c r="XDW5" s="390"/>
      <c r="XDX5" s="390"/>
      <c r="XDY5" s="390"/>
      <c r="XDZ5" s="390"/>
      <c r="XEA5" s="390"/>
      <c r="XEB5" s="390"/>
      <c r="XEC5" s="390"/>
      <c r="XED5" s="390"/>
      <c r="XEE5" s="390"/>
      <c r="XEF5" s="390"/>
      <c r="XEG5" s="390"/>
      <c r="XEH5" s="390"/>
      <c r="XEI5" s="390"/>
      <c r="XEJ5" s="390"/>
      <c r="XEK5" s="390"/>
      <c r="XEL5" s="390"/>
      <c r="XEM5" s="390"/>
      <c r="XEN5" s="390"/>
      <c r="XEO5" s="390"/>
      <c r="XEP5" s="390"/>
      <c r="XEQ5" s="390"/>
      <c r="XER5" s="390"/>
      <c r="XES5" s="390"/>
      <c r="XET5" s="390"/>
      <c r="XEU5" s="390"/>
      <c r="XEV5" s="390"/>
      <c r="XEW5" s="390"/>
      <c r="XEX5" s="390"/>
      <c r="XEY5" s="390"/>
      <c r="XEZ5" s="390"/>
      <c r="XFA5" s="390"/>
      <c r="XFB5" s="390"/>
    </row>
    <row r="6" spans="1:16382" x14ac:dyDescent="0.45">
      <c r="A6" s="390" t="s">
        <v>4458</v>
      </c>
      <c r="B6" s="390"/>
      <c r="C6" s="390"/>
      <c r="D6" s="390"/>
      <c r="E6" s="390"/>
      <c r="F6" s="390"/>
      <c r="G6" s="390"/>
      <c r="H6" s="390"/>
      <c r="I6" s="392"/>
      <c r="J6" s="392"/>
      <c r="K6" s="392"/>
      <c r="L6" s="392"/>
      <c r="M6" s="392"/>
      <c r="N6" s="392"/>
    </row>
    <row r="7" spans="1:16382" x14ac:dyDescent="0.45">
      <c r="A7" s="399"/>
      <c r="B7" s="399"/>
      <c r="C7" s="399"/>
      <c r="D7" s="400"/>
      <c r="E7" s="400"/>
      <c r="F7" s="400"/>
      <c r="G7" s="400"/>
      <c r="H7" s="400"/>
    </row>
    <row r="8" spans="1:16382" s="2" customFormat="1" x14ac:dyDescent="0.45">
      <c r="A8" s="401" t="s">
        <v>4459</v>
      </c>
      <c r="B8" s="402"/>
      <c r="C8" s="402"/>
      <c r="D8" s="403"/>
      <c r="E8" s="403"/>
      <c r="F8" s="403"/>
      <c r="G8" s="403"/>
      <c r="H8" s="404"/>
    </row>
    <row r="9" spans="1:16382" s="2" customFormat="1" x14ac:dyDescent="0.45">
      <c r="A9" s="393" t="s">
        <v>4</v>
      </c>
      <c r="B9" s="394"/>
      <c r="C9" s="394"/>
      <c r="D9" s="394"/>
      <c r="E9" s="394"/>
      <c r="F9" s="394"/>
      <c r="G9" s="394"/>
      <c r="H9" s="395"/>
    </row>
    <row r="10" spans="1:16382" s="2" customFormat="1" x14ac:dyDescent="0.45">
      <c r="A10" s="396" t="s">
        <v>5287</v>
      </c>
      <c r="B10" s="397"/>
      <c r="C10" s="397"/>
      <c r="D10" s="397"/>
      <c r="E10" s="397"/>
      <c r="F10" s="397"/>
      <c r="G10" s="397"/>
      <c r="H10" s="398"/>
    </row>
    <row r="11" spans="1:16382" ht="24.6" x14ac:dyDescent="0.45">
      <c r="A11" s="3" t="s">
        <v>5</v>
      </c>
      <c r="B11" s="221" t="s">
        <v>5002</v>
      </c>
      <c r="C11" s="221" t="s">
        <v>6</v>
      </c>
      <c r="D11" s="5" t="s">
        <v>7</v>
      </c>
      <c r="E11" s="3" t="s">
        <v>8</v>
      </c>
      <c r="F11" s="3" t="s">
        <v>9</v>
      </c>
      <c r="G11" s="3" t="s">
        <v>10</v>
      </c>
      <c r="H11" s="3" t="s">
        <v>11</v>
      </c>
    </row>
    <row r="12" spans="1:16382" s="11" customFormat="1" ht="4.95" customHeight="1" x14ac:dyDescent="0.45">
      <c r="A12" s="6"/>
      <c r="B12" s="7"/>
      <c r="C12" s="7"/>
      <c r="D12" s="8"/>
      <c r="E12" s="7"/>
      <c r="F12" s="9"/>
      <c r="G12" s="9"/>
      <c r="H12" s="10"/>
    </row>
    <row r="13" spans="1:16382" x14ac:dyDescent="0.45">
      <c r="A13" s="12" t="s">
        <v>4460</v>
      </c>
      <c r="B13" s="13"/>
      <c r="C13" s="13"/>
      <c r="D13" s="246" t="s">
        <v>13</v>
      </c>
      <c r="E13" s="15"/>
      <c r="F13" s="14"/>
      <c r="G13" s="15"/>
      <c r="H13" s="14"/>
    </row>
    <row r="14" spans="1:16382" x14ac:dyDescent="0.4">
      <c r="A14" s="16"/>
      <c r="B14" s="222">
        <v>1501000</v>
      </c>
      <c r="C14" s="18"/>
      <c r="D14" s="223" t="s">
        <v>14</v>
      </c>
      <c r="E14" s="20"/>
      <c r="F14" s="21"/>
      <c r="G14" s="20"/>
      <c r="H14" s="21"/>
    </row>
    <row r="15" spans="1:16382" ht="24.6" x14ac:dyDescent="0.45">
      <c r="A15" s="22" t="s">
        <v>4461</v>
      </c>
      <c r="B15" s="23"/>
      <c r="C15" s="23">
        <v>3.1</v>
      </c>
      <c r="D15" s="5" t="s">
        <v>16</v>
      </c>
      <c r="E15" s="23">
        <v>6</v>
      </c>
      <c r="F15" s="23" t="s">
        <v>17</v>
      </c>
      <c r="G15" s="24"/>
      <c r="H15" s="24">
        <f>G15*E15</f>
        <v>0</v>
      </c>
    </row>
    <row r="16" spans="1:16382" x14ac:dyDescent="0.4">
      <c r="A16" s="16"/>
      <c r="B16" s="222">
        <v>1502000</v>
      </c>
      <c r="C16" s="18"/>
      <c r="D16" s="223" t="s">
        <v>18</v>
      </c>
      <c r="E16" s="20"/>
      <c r="F16" s="21"/>
      <c r="G16" s="21"/>
      <c r="H16" s="21"/>
    </row>
    <row r="17" spans="1:8" x14ac:dyDescent="0.45">
      <c r="A17" s="25"/>
      <c r="B17" s="26"/>
      <c r="C17" s="26">
        <v>3.1</v>
      </c>
      <c r="D17" s="27" t="s">
        <v>19</v>
      </c>
      <c r="E17" s="28"/>
      <c r="F17" s="28"/>
      <c r="G17" s="28"/>
      <c r="H17" s="28"/>
    </row>
    <row r="18" spans="1:8" x14ac:dyDescent="0.45">
      <c r="A18" s="22" t="s">
        <v>4462</v>
      </c>
      <c r="B18" s="23">
        <v>1502000</v>
      </c>
      <c r="C18" s="23" t="s">
        <v>21</v>
      </c>
      <c r="D18" s="29" t="s">
        <v>22</v>
      </c>
      <c r="E18" s="23">
        <v>6</v>
      </c>
      <c r="F18" s="23" t="s">
        <v>17</v>
      </c>
      <c r="G18" s="24"/>
      <c r="H18" s="24">
        <f>G18*E18</f>
        <v>0</v>
      </c>
    </row>
    <row r="19" spans="1:8" x14ac:dyDescent="0.45">
      <c r="A19" s="22" t="s">
        <v>4463</v>
      </c>
      <c r="B19" s="23">
        <v>1502000</v>
      </c>
      <c r="C19" s="23" t="s">
        <v>24</v>
      </c>
      <c r="D19" s="29" t="s">
        <v>25</v>
      </c>
      <c r="E19" s="23">
        <v>6</v>
      </c>
      <c r="F19" s="23" t="s">
        <v>17</v>
      </c>
      <c r="G19" s="24"/>
      <c r="H19" s="24">
        <f>G19*E19</f>
        <v>0</v>
      </c>
    </row>
    <row r="20" spans="1:8" x14ac:dyDescent="0.45">
      <c r="A20" s="22" t="s">
        <v>4464</v>
      </c>
      <c r="B20" s="23">
        <v>1502000</v>
      </c>
      <c r="C20" s="23" t="s">
        <v>27</v>
      </c>
      <c r="D20" s="29" t="s">
        <v>28</v>
      </c>
      <c r="E20" s="23">
        <v>6</v>
      </c>
      <c r="F20" s="23" t="s">
        <v>17</v>
      </c>
      <c r="G20" s="24"/>
      <c r="H20" s="24">
        <f>G20*E20</f>
        <v>0</v>
      </c>
    </row>
    <row r="21" spans="1:8" x14ac:dyDescent="0.45">
      <c r="A21" s="25"/>
      <c r="B21" s="26"/>
      <c r="C21" s="26">
        <v>3.2</v>
      </c>
      <c r="D21" s="27" t="s">
        <v>29</v>
      </c>
      <c r="E21" s="28"/>
      <c r="F21" s="28"/>
      <c r="G21" s="28"/>
      <c r="H21" s="28"/>
    </row>
    <row r="22" spans="1:8" x14ac:dyDescent="0.45">
      <c r="A22" s="22" t="s">
        <v>4465</v>
      </c>
      <c r="B22" s="23">
        <v>1502000</v>
      </c>
      <c r="C22" s="286">
        <v>3.2</v>
      </c>
      <c r="D22" s="29" t="s">
        <v>5072</v>
      </c>
      <c r="E22" s="23">
        <v>6</v>
      </c>
      <c r="F22" s="23" t="s">
        <v>17</v>
      </c>
      <c r="G22" s="24"/>
      <c r="H22" s="24">
        <f>G22*E22</f>
        <v>0</v>
      </c>
    </row>
    <row r="23" spans="1:8" x14ac:dyDescent="0.45">
      <c r="A23" s="25"/>
      <c r="B23" s="26"/>
      <c r="C23" s="26">
        <v>3.3</v>
      </c>
      <c r="D23" s="27" t="s">
        <v>31</v>
      </c>
      <c r="E23" s="28"/>
      <c r="F23" s="28"/>
      <c r="G23" s="28"/>
      <c r="H23" s="28"/>
    </row>
    <row r="24" spans="1:8" x14ac:dyDescent="0.45">
      <c r="A24" s="22" t="s">
        <v>4466</v>
      </c>
      <c r="B24" s="23">
        <v>1502000</v>
      </c>
      <c r="C24" s="23" t="s">
        <v>33</v>
      </c>
      <c r="D24" s="30" t="s">
        <v>34</v>
      </c>
      <c r="E24" s="23">
        <v>6</v>
      </c>
      <c r="F24" s="23" t="s">
        <v>17</v>
      </c>
      <c r="G24" s="24"/>
      <c r="H24" s="24">
        <f t="shared" ref="H24:H33" si="0">G24*E24</f>
        <v>0</v>
      </c>
    </row>
    <row r="25" spans="1:8" x14ac:dyDescent="0.45">
      <c r="A25" s="22" t="s">
        <v>4467</v>
      </c>
      <c r="B25" s="23">
        <v>1502000</v>
      </c>
      <c r="C25" s="23" t="s">
        <v>36</v>
      </c>
      <c r="D25" s="32" t="s">
        <v>37</v>
      </c>
      <c r="E25" s="33">
        <v>6</v>
      </c>
      <c r="F25" s="23" t="s">
        <v>17</v>
      </c>
      <c r="G25" s="24"/>
      <c r="H25" s="24">
        <f t="shared" si="0"/>
        <v>0</v>
      </c>
    </row>
    <row r="26" spans="1:8" x14ac:dyDescent="0.45">
      <c r="A26" s="22" t="s">
        <v>4468</v>
      </c>
      <c r="B26" s="23">
        <v>1502000</v>
      </c>
      <c r="C26" s="23" t="s">
        <v>39</v>
      </c>
      <c r="D26" s="32" t="s">
        <v>40</v>
      </c>
      <c r="E26" s="33">
        <v>6</v>
      </c>
      <c r="F26" s="23" t="s">
        <v>17</v>
      </c>
      <c r="G26" s="24"/>
      <c r="H26" s="24">
        <f t="shared" si="0"/>
        <v>0</v>
      </c>
    </row>
    <row r="27" spans="1:8" x14ac:dyDescent="0.45">
      <c r="A27" s="22" t="s">
        <v>4469</v>
      </c>
      <c r="B27" s="23">
        <v>1502000</v>
      </c>
      <c r="C27" s="224" t="s">
        <v>42</v>
      </c>
      <c r="D27" s="30" t="s">
        <v>43</v>
      </c>
      <c r="E27" s="33">
        <v>6</v>
      </c>
      <c r="F27" s="23" t="s">
        <v>17</v>
      </c>
      <c r="G27" s="24"/>
      <c r="H27" s="24">
        <f t="shared" si="0"/>
        <v>0</v>
      </c>
    </row>
    <row r="28" spans="1:8" x14ac:dyDescent="0.45">
      <c r="A28" s="22" t="s">
        <v>4470</v>
      </c>
      <c r="B28" s="23">
        <v>1502000</v>
      </c>
      <c r="C28" s="23" t="s">
        <v>45</v>
      </c>
      <c r="D28" s="30" t="s">
        <v>46</v>
      </c>
      <c r="E28" s="33">
        <v>6</v>
      </c>
      <c r="F28" s="23" t="s">
        <v>17</v>
      </c>
      <c r="G28" s="24"/>
      <c r="H28" s="24">
        <f t="shared" si="0"/>
        <v>0</v>
      </c>
    </row>
    <row r="29" spans="1:8" x14ac:dyDescent="0.45">
      <c r="A29" s="22" t="s">
        <v>4471</v>
      </c>
      <c r="B29" s="23">
        <v>1502000</v>
      </c>
      <c r="C29" s="23" t="s">
        <v>48</v>
      </c>
      <c r="D29" s="30" t="s">
        <v>49</v>
      </c>
      <c r="E29" s="33">
        <v>6</v>
      </c>
      <c r="F29" s="23" t="s">
        <v>17</v>
      </c>
      <c r="G29" s="24"/>
      <c r="H29" s="24">
        <f t="shared" si="0"/>
        <v>0</v>
      </c>
    </row>
    <row r="30" spans="1:8" x14ac:dyDescent="0.45">
      <c r="A30" s="22" t="s">
        <v>4472</v>
      </c>
      <c r="B30" s="23">
        <v>1502000</v>
      </c>
      <c r="C30" s="23" t="s">
        <v>51</v>
      </c>
      <c r="D30" s="30" t="s">
        <v>52</v>
      </c>
      <c r="E30" s="33">
        <v>6</v>
      </c>
      <c r="F30" s="23" t="s">
        <v>17</v>
      </c>
      <c r="G30" s="24"/>
      <c r="H30" s="24">
        <f t="shared" si="0"/>
        <v>0</v>
      </c>
    </row>
    <row r="31" spans="1:8" x14ac:dyDescent="0.45">
      <c r="A31" s="22" t="s">
        <v>4473</v>
      </c>
      <c r="B31" s="23">
        <v>1502000</v>
      </c>
      <c r="C31" s="23" t="s">
        <v>54</v>
      </c>
      <c r="D31" s="30" t="s">
        <v>55</v>
      </c>
      <c r="E31" s="33">
        <v>6</v>
      </c>
      <c r="F31" s="23" t="s">
        <v>17</v>
      </c>
      <c r="G31" s="24"/>
      <c r="H31" s="24">
        <f t="shared" si="0"/>
        <v>0</v>
      </c>
    </row>
    <row r="32" spans="1:8" x14ac:dyDescent="0.45">
      <c r="A32" s="22" t="s">
        <v>4474</v>
      </c>
      <c r="B32" s="23">
        <v>1502000</v>
      </c>
      <c r="C32" s="23" t="s">
        <v>57</v>
      </c>
      <c r="D32" s="30" t="s">
        <v>58</v>
      </c>
      <c r="E32" s="33">
        <v>6</v>
      </c>
      <c r="F32" s="23" t="s">
        <v>17</v>
      </c>
      <c r="G32" s="24"/>
      <c r="H32" s="24">
        <f t="shared" si="0"/>
        <v>0</v>
      </c>
    </row>
    <row r="33" spans="1:8" x14ac:dyDescent="0.45">
      <c r="A33" s="22" t="s">
        <v>4475</v>
      </c>
      <c r="B33" s="23">
        <v>1502000</v>
      </c>
      <c r="C33" s="23" t="s">
        <v>60</v>
      </c>
      <c r="D33" s="30" t="s">
        <v>61</v>
      </c>
      <c r="E33" s="33">
        <v>6</v>
      </c>
      <c r="F33" s="23" t="s">
        <v>17</v>
      </c>
      <c r="G33" s="24"/>
      <c r="H33" s="24">
        <f t="shared" si="0"/>
        <v>0</v>
      </c>
    </row>
    <row r="34" spans="1:8" x14ac:dyDescent="0.45">
      <c r="A34" s="25"/>
      <c r="B34" s="26"/>
      <c r="C34" s="26">
        <v>3.4</v>
      </c>
      <c r="D34" s="27" t="s">
        <v>62</v>
      </c>
      <c r="E34" s="28"/>
      <c r="F34" s="28"/>
      <c r="G34" s="28"/>
      <c r="H34" s="28"/>
    </row>
    <row r="35" spans="1:8" x14ac:dyDescent="0.45">
      <c r="A35" s="22" t="s">
        <v>4476</v>
      </c>
      <c r="B35" s="23">
        <v>1502000</v>
      </c>
      <c r="C35" s="23" t="s">
        <v>64</v>
      </c>
      <c r="D35" s="35" t="s">
        <v>65</v>
      </c>
      <c r="E35" s="23">
        <v>6</v>
      </c>
      <c r="F35" s="23" t="s">
        <v>17</v>
      </c>
      <c r="G35" s="24"/>
      <c r="H35" s="24">
        <f>G35*E35</f>
        <v>0</v>
      </c>
    </row>
    <row r="36" spans="1:8" x14ac:dyDescent="0.45">
      <c r="A36" s="22" t="s">
        <v>4477</v>
      </c>
      <c r="B36" s="23">
        <v>1502000</v>
      </c>
      <c r="C36" s="23" t="s">
        <v>67</v>
      </c>
      <c r="D36" s="35" t="s">
        <v>68</v>
      </c>
      <c r="E36" s="23">
        <v>6</v>
      </c>
      <c r="F36" s="23" t="s">
        <v>17</v>
      </c>
      <c r="G36" s="24"/>
      <c r="H36" s="24">
        <f>G36*E36</f>
        <v>0</v>
      </c>
    </row>
    <row r="37" spans="1:8" x14ac:dyDescent="0.45">
      <c r="A37" s="22" t="s">
        <v>4478</v>
      </c>
      <c r="B37" s="23">
        <v>1502000</v>
      </c>
      <c r="C37" s="33" t="s">
        <v>70</v>
      </c>
      <c r="D37" s="36" t="s">
        <v>71</v>
      </c>
      <c r="E37" s="33">
        <v>6</v>
      </c>
      <c r="F37" s="23" t="s">
        <v>17</v>
      </c>
      <c r="G37" s="24"/>
      <c r="H37" s="24">
        <f>G37*E37</f>
        <v>0</v>
      </c>
    </row>
    <row r="38" spans="1:8" x14ac:dyDescent="0.45">
      <c r="A38" s="25"/>
      <c r="B38" s="26"/>
      <c r="C38" s="26">
        <v>3.5</v>
      </c>
      <c r="D38" s="27" t="s">
        <v>72</v>
      </c>
      <c r="E38" s="28"/>
      <c r="F38" s="28"/>
      <c r="G38" s="28"/>
      <c r="H38" s="28"/>
    </row>
    <row r="39" spans="1:8" x14ac:dyDescent="0.45">
      <c r="A39" s="22" t="s">
        <v>4479</v>
      </c>
      <c r="B39" s="23">
        <v>1502000</v>
      </c>
      <c r="C39" s="23" t="s">
        <v>74</v>
      </c>
      <c r="D39" s="32" t="s">
        <v>37</v>
      </c>
      <c r="E39" s="33">
        <v>6</v>
      </c>
      <c r="F39" s="23" t="s">
        <v>17</v>
      </c>
      <c r="G39" s="24"/>
      <c r="H39" s="24">
        <f>G39*E39</f>
        <v>0</v>
      </c>
    </row>
    <row r="40" spans="1:8" x14ac:dyDescent="0.45">
      <c r="A40" s="25"/>
      <c r="B40" s="37"/>
      <c r="C40" s="37">
        <v>3.6</v>
      </c>
      <c r="D40" s="38" t="s">
        <v>75</v>
      </c>
      <c r="E40" s="28"/>
      <c r="F40" s="28"/>
      <c r="G40" s="28"/>
      <c r="H40" s="28"/>
    </row>
    <row r="41" spans="1:8" x14ac:dyDescent="0.45">
      <c r="A41" s="22" t="s">
        <v>4480</v>
      </c>
      <c r="B41" s="23">
        <v>1502000</v>
      </c>
      <c r="C41" s="33" t="s">
        <v>77</v>
      </c>
      <c r="D41" s="39" t="s">
        <v>78</v>
      </c>
      <c r="E41" s="33">
        <v>6</v>
      </c>
      <c r="F41" s="23" t="s">
        <v>17</v>
      </c>
      <c r="G41" s="24"/>
      <c r="H41" s="24">
        <f t="shared" ref="H41:H52" si="1">G41*E41</f>
        <v>0</v>
      </c>
    </row>
    <row r="42" spans="1:8" x14ac:dyDescent="0.45">
      <c r="A42" s="22" t="s">
        <v>4481</v>
      </c>
      <c r="B42" s="23">
        <v>1502000</v>
      </c>
      <c r="C42" s="33" t="s">
        <v>80</v>
      </c>
      <c r="D42" s="39" t="s">
        <v>81</v>
      </c>
      <c r="E42" s="33">
        <v>6</v>
      </c>
      <c r="F42" s="23" t="s">
        <v>17</v>
      </c>
      <c r="G42" s="24"/>
      <c r="H42" s="24">
        <f t="shared" si="1"/>
        <v>0</v>
      </c>
    </row>
    <row r="43" spans="1:8" x14ac:dyDescent="0.45">
      <c r="A43" s="22" t="s">
        <v>4482</v>
      </c>
      <c r="B43" s="23">
        <v>1502000</v>
      </c>
      <c r="C43" s="33" t="s">
        <v>83</v>
      </c>
      <c r="D43" s="39" t="s">
        <v>84</v>
      </c>
      <c r="E43" s="33">
        <v>6</v>
      </c>
      <c r="F43" s="23" t="s">
        <v>17</v>
      </c>
      <c r="G43" s="24"/>
      <c r="H43" s="24">
        <f t="shared" si="1"/>
        <v>0</v>
      </c>
    </row>
    <row r="44" spans="1:8" x14ac:dyDescent="0.45">
      <c r="A44" s="22" t="s">
        <v>4483</v>
      </c>
      <c r="B44" s="23">
        <v>1502000</v>
      </c>
      <c r="C44" s="33" t="s">
        <v>86</v>
      </c>
      <c r="D44" s="39" t="s">
        <v>87</v>
      </c>
      <c r="E44" s="33">
        <v>6</v>
      </c>
      <c r="F44" s="23" t="s">
        <v>17</v>
      </c>
      <c r="G44" s="24"/>
      <c r="H44" s="24">
        <f t="shared" si="1"/>
        <v>0</v>
      </c>
    </row>
    <row r="45" spans="1:8" x14ac:dyDescent="0.45">
      <c r="A45" s="22" t="s">
        <v>4484</v>
      </c>
      <c r="B45" s="23">
        <v>1502000</v>
      </c>
      <c r="C45" s="33" t="s">
        <v>89</v>
      </c>
      <c r="D45" s="39" t="s">
        <v>90</v>
      </c>
      <c r="E45" s="33">
        <v>6</v>
      </c>
      <c r="F45" s="23" t="s">
        <v>17</v>
      </c>
      <c r="G45" s="24"/>
      <c r="H45" s="24">
        <f t="shared" si="1"/>
        <v>0</v>
      </c>
    </row>
    <row r="46" spans="1:8" x14ac:dyDescent="0.45">
      <c r="A46" s="22" t="s">
        <v>4485</v>
      </c>
      <c r="B46" s="23">
        <v>1502000</v>
      </c>
      <c r="C46" s="33" t="s">
        <v>92</v>
      </c>
      <c r="D46" s="39" t="s">
        <v>93</v>
      </c>
      <c r="E46" s="33">
        <v>6</v>
      </c>
      <c r="F46" s="23" t="s">
        <v>17</v>
      </c>
      <c r="G46" s="24"/>
      <c r="H46" s="24">
        <f t="shared" si="1"/>
        <v>0</v>
      </c>
    </row>
    <row r="47" spans="1:8" x14ac:dyDescent="0.45">
      <c r="A47" s="22" t="s">
        <v>4486</v>
      </c>
      <c r="B47" s="23">
        <v>1502000</v>
      </c>
      <c r="C47" s="33" t="s">
        <v>95</v>
      </c>
      <c r="D47" s="39" t="s">
        <v>96</v>
      </c>
      <c r="E47" s="33">
        <v>6</v>
      </c>
      <c r="F47" s="23" t="s">
        <v>17</v>
      </c>
      <c r="G47" s="24"/>
      <c r="H47" s="24">
        <f t="shared" si="1"/>
        <v>0</v>
      </c>
    </row>
    <row r="48" spans="1:8" x14ac:dyDescent="0.45">
      <c r="A48" s="22" t="s">
        <v>4487</v>
      </c>
      <c r="B48" s="23">
        <v>1502000</v>
      </c>
      <c r="C48" s="33" t="s">
        <v>98</v>
      </c>
      <c r="D48" s="39" t="s">
        <v>99</v>
      </c>
      <c r="E48" s="33">
        <v>6</v>
      </c>
      <c r="F48" s="23" t="s">
        <v>17</v>
      </c>
      <c r="G48" s="24"/>
      <c r="H48" s="24">
        <f t="shared" si="1"/>
        <v>0</v>
      </c>
    </row>
    <row r="49" spans="1:8" s="293" customFormat="1" x14ac:dyDescent="0.45">
      <c r="A49" s="257" t="s">
        <v>4488</v>
      </c>
      <c r="B49" s="286">
        <v>1502000</v>
      </c>
      <c r="C49" s="301" t="s">
        <v>273</v>
      </c>
      <c r="D49" s="372" t="s">
        <v>309</v>
      </c>
      <c r="E49" s="301">
        <v>12</v>
      </c>
      <c r="F49" s="286" t="s">
        <v>17</v>
      </c>
      <c r="G49" s="302"/>
      <c r="H49" s="302">
        <f t="shared" si="1"/>
        <v>0</v>
      </c>
    </row>
    <row r="50" spans="1:8" x14ac:dyDescent="0.45">
      <c r="A50" s="257" t="s">
        <v>4489</v>
      </c>
      <c r="B50" s="23">
        <v>1502000</v>
      </c>
      <c r="C50" s="33" t="s">
        <v>101</v>
      </c>
      <c r="D50" s="39" t="s">
        <v>102</v>
      </c>
      <c r="E50" s="33">
        <v>6</v>
      </c>
      <c r="F50" s="23" t="s">
        <v>17</v>
      </c>
      <c r="G50" s="24"/>
      <c r="H50" s="24">
        <f t="shared" si="1"/>
        <v>0</v>
      </c>
    </row>
    <row r="51" spans="1:8" x14ac:dyDescent="0.45">
      <c r="A51" s="257" t="s">
        <v>4490</v>
      </c>
      <c r="B51" s="23">
        <v>1502000</v>
      </c>
      <c r="C51" s="23" t="s">
        <v>104</v>
      </c>
      <c r="D51" s="35" t="s">
        <v>105</v>
      </c>
      <c r="E51" s="33">
        <v>6</v>
      </c>
      <c r="F51" s="23" t="s">
        <v>17</v>
      </c>
      <c r="G51" s="24"/>
      <c r="H51" s="24">
        <f t="shared" si="1"/>
        <v>0</v>
      </c>
    </row>
    <row r="52" spans="1:8" x14ac:dyDescent="0.45">
      <c r="A52" s="257" t="s">
        <v>4491</v>
      </c>
      <c r="B52" s="23">
        <v>1502000</v>
      </c>
      <c r="C52" s="23" t="s">
        <v>107</v>
      </c>
      <c r="D52" s="22" t="s">
        <v>108</v>
      </c>
      <c r="E52" s="33">
        <v>6</v>
      </c>
      <c r="F52" s="23" t="s">
        <v>17</v>
      </c>
      <c r="G52" s="24"/>
      <c r="H52" s="24">
        <f t="shared" si="1"/>
        <v>0</v>
      </c>
    </row>
    <row r="53" spans="1:8" x14ac:dyDescent="0.45">
      <c r="A53" s="287"/>
      <c r="B53" s="41">
        <v>1503010</v>
      </c>
      <c r="C53" s="41"/>
      <c r="D53" s="42" t="s">
        <v>109</v>
      </c>
      <c r="E53" s="43"/>
      <c r="F53" s="44"/>
      <c r="G53" s="44"/>
      <c r="H53" s="45"/>
    </row>
    <row r="54" spans="1:8" x14ac:dyDescent="0.45">
      <c r="A54" s="257" t="s">
        <v>4492</v>
      </c>
      <c r="B54" s="33">
        <v>1503010</v>
      </c>
      <c r="C54" s="33">
        <v>3.1</v>
      </c>
      <c r="D54" s="36" t="s">
        <v>111</v>
      </c>
      <c r="E54" s="33">
        <v>6</v>
      </c>
      <c r="F54" s="23" t="s">
        <v>17</v>
      </c>
      <c r="G54" s="24"/>
      <c r="H54" s="24">
        <f>G54*E54</f>
        <v>0</v>
      </c>
    </row>
    <row r="55" spans="1:8" x14ac:dyDescent="0.45">
      <c r="A55" s="257" t="s">
        <v>4493</v>
      </c>
      <c r="B55" s="33">
        <v>1503010</v>
      </c>
      <c r="C55" s="33">
        <v>3.1</v>
      </c>
      <c r="D55" s="36" t="s">
        <v>113</v>
      </c>
      <c r="E55" s="33">
        <v>6</v>
      </c>
      <c r="F55" s="23" t="s">
        <v>17</v>
      </c>
      <c r="G55" s="24"/>
      <c r="H55" s="24">
        <f>G55*E55</f>
        <v>0</v>
      </c>
    </row>
    <row r="56" spans="1:8" x14ac:dyDescent="0.45">
      <c r="A56" s="287"/>
      <c r="B56" s="41">
        <v>1503020</v>
      </c>
      <c r="C56" s="41"/>
      <c r="D56" s="42" t="s">
        <v>114</v>
      </c>
      <c r="E56" s="43"/>
      <c r="F56" s="44"/>
      <c r="G56" s="44"/>
      <c r="H56" s="45"/>
    </row>
    <row r="57" spans="1:8" x14ac:dyDescent="0.45">
      <c r="A57" s="257" t="s">
        <v>4494</v>
      </c>
      <c r="B57" s="33">
        <v>1503020</v>
      </c>
      <c r="C57" s="33">
        <v>3.1</v>
      </c>
      <c r="D57" s="36" t="s">
        <v>116</v>
      </c>
      <c r="E57" s="33">
        <v>6</v>
      </c>
      <c r="F57" s="23" t="s">
        <v>17</v>
      </c>
      <c r="G57" s="24"/>
      <c r="H57" s="24">
        <f>G57*E57</f>
        <v>0</v>
      </c>
    </row>
    <row r="58" spans="1:8" x14ac:dyDescent="0.45">
      <c r="A58" s="257" t="s">
        <v>4495</v>
      </c>
      <c r="B58" s="33">
        <v>1503020</v>
      </c>
      <c r="C58" s="33">
        <v>3.2</v>
      </c>
      <c r="D58" s="36" t="s">
        <v>118</v>
      </c>
      <c r="E58" s="33">
        <v>6</v>
      </c>
      <c r="F58" s="23" t="s">
        <v>17</v>
      </c>
      <c r="G58" s="24"/>
      <c r="H58" s="24">
        <f>G58*E58</f>
        <v>0</v>
      </c>
    </row>
    <row r="59" spans="1:8" x14ac:dyDescent="0.45">
      <c r="A59" s="257" t="s">
        <v>4496</v>
      </c>
      <c r="B59" s="33">
        <v>1503020</v>
      </c>
      <c r="C59" s="33">
        <v>3.3</v>
      </c>
      <c r="D59" s="36" t="s">
        <v>120</v>
      </c>
      <c r="E59" s="33">
        <v>6</v>
      </c>
      <c r="F59" s="23" t="s">
        <v>17</v>
      </c>
      <c r="G59" s="24"/>
      <c r="H59" s="24">
        <f>G59*E59</f>
        <v>0</v>
      </c>
    </row>
    <row r="60" spans="1:8" x14ac:dyDescent="0.45">
      <c r="A60" s="287"/>
      <c r="B60" s="43">
        <v>1503030</v>
      </c>
      <c r="C60" s="41"/>
      <c r="D60" s="42" t="s">
        <v>121</v>
      </c>
      <c r="E60" s="43"/>
      <c r="F60" s="44"/>
      <c r="G60" s="44"/>
      <c r="H60" s="45"/>
    </row>
    <row r="61" spans="1:8" x14ac:dyDescent="0.45">
      <c r="A61" s="257" t="s">
        <v>4497</v>
      </c>
      <c r="B61" s="33">
        <v>1503030</v>
      </c>
      <c r="C61" s="33" t="s">
        <v>123</v>
      </c>
      <c r="D61" s="36" t="s">
        <v>124</v>
      </c>
      <c r="E61" s="33">
        <v>6</v>
      </c>
      <c r="F61" s="23" t="s">
        <v>17</v>
      </c>
      <c r="G61" s="24"/>
      <c r="H61" s="24">
        <f>G61*E61</f>
        <v>0</v>
      </c>
    </row>
    <row r="62" spans="1:8" x14ac:dyDescent="0.45">
      <c r="A62" s="257" t="s">
        <v>4498</v>
      </c>
      <c r="B62" s="33">
        <v>1503030</v>
      </c>
      <c r="C62" s="33">
        <v>3.6</v>
      </c>
      <c r="D62" s="36" t="s">
        <v>126</v>
      </c>
      <c r="E62" s="33">
        <v>6</v>
      </c>
      <c r="F62" s="23" t="s">
        <v>17</v>
      </c>
      <c r="G62" s="24"/>
      <c r="H62" s="24">
        <f>G62*E62</f>
        <v>0</v>
      </c>
    </row>
    <row r="63" spans="1:8" x14ac:dyDescent="0.45">
      <c r="A63" s="287"/>
      <c r="B63" s="41">
        <v>1503050</v>
      </c>
      <c r="C63" s="41"/>
      <c r="D63" s="42" t="s">
        <v>127</v>
      </c>
      <c r="E63" s="43"/>
      <c r="F63" s="44"/>
      <c r="G63" s="44"/>
      <c r="H63" s="45"/>
    </row>
    <row r="64" spans="1:8" x14ac:dyDescent="0.45">
      <c r="A64" s="257" t="s">
        <v>4499</v>
      </c>
      <c r="B64" s="33">
        <v>1503050</v>
      </c>
      <c r="C64" s="33">
        <v>3.1</v>
      </c>
      <c r="D64" s="46" t="s">
        <v>129</v>
      </c>
      <c r="E64" s="33">
        <v>6</v>
      </c>
      <c r="F64" s="23" t="s">
        <v>17</v>
      </c>
      <c r="G64" s="24"/>
      <c r="H64" s="24">
        <f>G64*E64</f>
        <v>0</v>
      </c>
    </row>
    <row r="65" spans="1:8" x14ac:dyDescent="0.45">
      <c r="A65" s="257" t="s">
        <v>4500</v>
      </c>
      <c r="B65" s="33">
        <v>1503050</v>
      </c>
      <c r="C65" s="33">
        <v>3.2</v>
      </c>
      <c r="D65" s="36" t="s">
        <v>131</v>
      </c>
      <c r="E65" s="33">
        <v>6</v>
      </c>
      <c r="F65" s="23" t="s">
        <v>17</v>
      </c>
      <c r="G65" s="24"/>
      <c r="H65" s="24">
        <f>G65*E65</f>
        <v>0</v>
      </c>
    </row>
    <row r="66" spans="1:8" x14ac:dyDescent="0.45">
      <c r="A66" s="257" t="s">
        <v>4501</v>
      </c>
      <c r="B66" s="33">
        <v>1503050</v>
      </c>
      <c r="C66" s="33">
        <v>3.3</v>
      </c>
      <c r="D66" s="36" t="s">
        <v>133</v>
      </c>
      <c r="E66" s="33">
        <v>6</v>
      </c>
      <c r="F66" s="23" t="s">
        <v>17</v>
      </c>
      <c r="G66" s="24"/>
      <c r="H66" s="24">
        <f>G66*E66</f>
        <v>0</v>
      </c>
    </row>
    <row r="67" spans="1:8" x14ac:dyDescent="0.45">
      <c r="A67" s="257" t="s">
        <v>4502</v>
      </c>
      <c r="B67" s="33">
        <v>1503050</v>
      </c>
      <c r="C67" s="33">
        <v>3.4</v>
      </c>
      <c r="D67" s="36" t="s">
        <v>135</v>
      </c>
      <c r="E67" s="33">
        <v>6</v>
      </c>
      <c r="F67" s="23" t="s">
        <v>17</v>
      </c>
      <c r="G67" s="24"/>
      <c r="H67" s="24">
        <f>G67*E67</f>
        <v>0</v>
      </c>
    </row>
    <row r="68" spans="1:8" s="389" customFormat="1" x14ac:dyDescent="0.45">
      <c r="A68" s="257" t="s">
        <v>4503</v>
      </c>
      <c r="B68" s="301">
        <v>1503050</v>
      </c>
      <c r="C68" s="301">
        <v>3.4</v>
      </c>
      <c r="D68" s="295" t="s">
        <v>5024</v>
      </c>
      <c r="E68" s="301">
        <v>6</v>
      </c>
      <c r="F68" s="286" t="s">
        <v>17</v>
      </c>
      <c r="G68" s="302"/>
      <c r="H68" s="302">
        <f>G68*E68</f>
        <v>0</v>
      </c>
    </row>
    <row r="69" spans="1:8" s="389" customFormat="1" x14ac:dyDescent="0.45">
      <c r="A69" s="257" t="s">
        <v>5288</v>
      </c>
      <c r="B69" s="33">
        <v>1503050</v>
      </c>
      <c r="C69" s="33">
        <v>3.5</v>
      </c>
      <c r="D69" s="47" t="s">
        <v>137</v>
      </c>
      <c r="E69" s="33">
        <v>12</v>
      </c>
      <c r="F69" s="23" t="s">
        <v>17</v>
      </c>
      <c r="G69" s="24"/>
      <c r="H69" s="24">
        <f>G69*E69</f>
        <v>0</v>
      </c>
    </row>
    <row r="70" spans="1:8" x14ac:dyDescent="0.45">
      <c r="A70" s="287"/>
      <c r="B70" s="41">
        <v>1503060</v>
      </c>
      <c r="C70" s="41"/>
      <c r="D70" s="42" t="s">
        <v>138</v>
      </c>
      <c r="E70" s="43"/>
      <c r="F70" s="44"/>
      <c r="G70" s="44"/>
      <c r="H70" s="45"/>
    </row>
    <row r="71" spans="1:8" x14ac:dyDescent="0.45">
      <c r="A71" s="257" t="s">
        <v>4504</v>
      </c>
      <c r="B71" s="33">
        <v>1503060</v>
      </c>
      <c r="C71" s="33">
        <v>3.1</v>
      </c>
      <c r="D71" s="36" t="s">
        <v>140</v>
      </c>
      <c r="E71" s="23">
        <v>6</v>
      </c>
      <c r="F71" s="23" t="s">
        <v>17</v>
      </c>
      <c r="G71" s="24"/>
      <c r="H71" s="24">
        <f>G71*E71</f>
        <v>0</v>
      </c>
    </row>
    <row r="72" spans="1:8" x14ac:dyDescent="0.45">
      <c r="A72" s="257" t="s">
        <v>4505</v>
      </c>
      <c r="B72" s="33">
        <v>1503060</v>
      </c>
      <c r="C72" s="33">
        <v>3.2</v>
      </c>
      <c r="D72" s="36" t="s">
        <v>142</v>
      </c>
      <c r="E72" s="23">
        <v>6</v>
      </c>
      <c r="F72" s="23" t="s">
        <v>17</v>
      </c>
      <c r="G72" s="24"/>
      <c r="H72" s="24">
        <f>G72*E72</f>
        <v>0</v>
      </c>
    </row>
    <row r="73" spans="1:8" x14ac:dyDescent="0.45">
      <c r="A73" s="287"/>
      <c r="B73" s="41">
        <v>1601000</v>
      </c>
      <c r="C73" s="41"/>
      <c r="D73" s="42" t="s">
        <v>143</v>
      </c>
      <c r="E73" s="43"/>
      <c r="F73" s="44"/>
      <c r="G73" s="44"/>
      <c r="H73" s="45"/>
    </row>
    <row r="74" spans="1:8" x14ac:dyDescent="0.45">
      <c r="A74" s="363"/>
      <c r="B74" s="26"/>
      <c r="C74" s="26">
        <v>3.1</v>
      </c>
      <c r="D74" s="27" t="s">
        <v>144</v>
      </c>
      <c r="E74" s="28"/>
      <c r="F74" s="28"/>
      <c r="G74" s="28"/>
      <c r="H74" s="28"/>
    </row>
    <row r="75" spans="1:8" x14ac:dyDescent="0.45">
      <c r="A75" s="257" t="s">
        <v>4506</v>
      </c>
      <c r="B75" s="23">
        <v>1601000</v>
      </c>
      <c r="C75" s="23" t="s">
        <v>21</v>
      </c>
      <c r="D75" s="48" t="s">
        <v>146</v>
      </c>
      <c r="E75" s="23">
        <v>6</v>
      </c>
      <c r="F75" s="23" t="s">
        <v>17</v>
      </c>
      <c r="G75" s="24"/>
      <c r="H75" s="24">
        <f>G75*E75</f>
        <v>0</v>
      </c>
    </row>
    <row r="76" spans="1:8" x14ac:dyDescent="0.45">
      <c r="A76" s="257" t="s">
        <v>4507</v>
      </c>
      <c r="B76" s="23">
        <v>1601000</v>
      </c>
      <c r="C76" s="23" t="s">
        <v>24</v>
      </c>
      <c r="D76" s="48" t="s">
        <v>148</v>
      </c>
      <c r="E76" s="23">
        <v>6</v>
      </c>
      <c r="F76" s="23" t="s">
        <v>17</v>
      </c>
      <c r="G76" s="24"/>
      <c r="H76" s="24">
        <f>G76*E76</f>
        <v>0</v>
      </c>
    </row>
    <row r="77" spans="1:8" x14ac:dyDescent="0.45">
      <c r="A77" s="257" t="s">
        <v>4508</v>
      </c>
      <c r="B77" s="23">
        <v>1601000</v>
      </c>
      <c r="C77" s="23">
        <v>3.2</v>
      </c>
      <c r="D77" s="48" t="s">
        <v>150</v>
      </c>
      <c r="E77" s="23">
        <v>6</v>
      </c>
      <c r="F77" s="23" t="s">
        <v>17</v>
      </c>
      <c r="G77" s="24"/>
      <c r="H77" s="24">
        <f>G77*E77</f>
        <v>0</v>
      </c>
    </row>
    <row r="78" spans="1:8" x14ac:dyDescent="0.45">
      <c r="A78" s="257" t="s">
        <v>4509</v>
      </c>
      <c r="B78" s="23">
        <v>1601000</v>
      </c>
      <c r="C78" s="23">
        <v>3.3</v>
      </c>
      <c r="D78" s="48" t="s">
        <v>152</v>
      </c>
      <c r="E78" s="23">
        <v>6</v>
      </c>
      <c r="F78" s="23" t="s">
        <v>17</v>
      </c>
      <c r="G78" s="24"/>
      <c r="H78" s="24">
        <f>G78*E78</f>
        <v>0</v>
      </c>
    </row>
    <row r="79" spans="1:8" x14ac:dyDescent="0.45">
      <c r="A79" s="287"/>
      <c r="B79" s="41">
        <v>1602000</v>
      </c>
      <c r="C79" s="41"/>
      <c r="D79" s="42" t="s">
        <v>153</v>
      </c>
      <c r="E79" s="43"/>
      <c r="F79" s="44" t="s">
        <v>154</v>
      </c>
      <c r="G79" s="44"/>
      <c r="H79" s="45"/>
    </row>
    <row r="80" spans="1:8" x14ac:dyDescent="0.45">
      <c r="A80" s="363"/>
      <c r="B80" s="26"/>
      <c r="C80" s="26">
        <v>3.1</v>
      </c>
      <c r="D80" s="27" t="s">
        <v>31</v>
      </c>
      <c r="E80" s="28"/>
      <c r="F80" s="28"/>
      <c r="G80" s="28"/>
      <c r="H80" s="28"/>
    </row>
    <row r="81" spans="1:8" x14ac:dyDescent="0.45">
      <c r="A81" s="257" t="s">
        <v>4510</v>
      </c>
      <c r="B81" s="23">
        <v>1602000</v>
      </c>
      <c r="C81" s="23" t="s">
        <v>21</v>
      </c>
      <c r="D81" s="48" t="s">
        <v>156</v>
      </c>
      <c r="E81" s="23">
        <v>6</v>
      </c>
      <c r="F81" s="23" t="s">
        <v>17</v>
      </c>
      <c r="G81" s="24"/>
      <c r="H81" s="24">
        <f>G81*E81</f>
        <v>0</v>
      </c>
    </row>
    <row r="82" spans="1:8" x14ac:dyDescent="0.45">
      <c r="A82" s="363"/>
      <c r="B82" s="49"/>
      <c r="C82" s="26">
        <v>3.2</v>
      </c>
      <c r="D82" s="28" t="s">
        <v>75</v>
      </c>
      <c r="E82" s="28"/>
      <c r="F82" s="28"/>
      <c r="G82" s="28"/>
      <c r="H82" s="28"/>
    </row>
    <row r="83" spans="1:8" x14ac:dyDescent="0.45">
      <c r="A83" s="257" t="s">
        <v>4511</v>
      </c>
      <c r="B83" s="23">
        <v>1602000</v>
      </c>
      <c r="C83" s="23" t="s">
        <v>158</v>
      </c>
      <c r="D83" s="48" t="s">
        <v>159</v>
      </c>
      <c r="E83" s="23">
        <v>6</v>
      </c>
      <c r="F83" s="23" t="s">
        <v>17</v>
      </c>
      <c r="G83" s="24"/>
      <c r="H83" s="24">
        <f>G83*E83</f>
        <v>0</v>
      </c>
    </row>
    <row r="84" spans="1:8" x14ac:dyDescent="0.45">
      <c r="A84" s="287"/>
      <c r="B84" s="41">
        <v>1603000</v>
      </c>
      <c r="C84" s="41"/>
      <c r="D84" s="42" t="s">
        <v>160</v>
      </c>
      <c r="E84" s="50"/>
      <c r="F84" s="50"/>
      <c r="G84" s="44"/>
      <c r="H84" s="51"/>
    </row>
    <row r="85" spans="1:8" x14ac:dyDescent="0.45">
      <c r="A85" s="257" t="s">
        <v>4512</v>
      </c>
      <c r="B85" s="23">
        <v>1603000</v>
      </c>
      <c r="C85" s="23">
        <v>3.1</v>
      </c>
      <c r="D85" s="48" t="s">
        <v>62</v>
      </c>
      <c r="E85" s="23">
        <v>6</v>
      </c>
      <c r="F85" s="23" t="s">
        <v>17</v>
      </c>
      <c r="G85" s="24"/>
      <c r="H85" s="24">
        <f>G85*E85</f>
        <v>0</v>
      </c>
    </row>
    <row r="86" spans="1:8" x14ac:dyDescent="0.45">
      <c r="A86" s="287"/>
      <c r="B86" s="41">
        <v>1604000</v>
      </c>
      <c r="C86" s="41"/>
      <c r="D86" s="42" t="s">
        <v>162</v>
      </c>
      <c r="E86" s="50"/>
      <c r="F86" s="50"/>
      <c r="G86" s="44"/>
      <c r="H86" s="51"/>
    </row>
    <row r="87" spans="1:8" x14ac:dyDescent="0.45">
      <c r="A87" s="257" t="s">
        <v>4513</v>
      </c>
      <c r="B87" s="23">
        <v>1604000</v>
      </c>
      <c r="C87" s="23">
        <v>3.1</v>
      </c>
      <c r="D87" s="30" t="s">
        <v>31</v>
      </c>
      <c r="E87" s="52">
        <v>6</v>
      </c>
      <c r="F87" s="52" t="s">
        <v>17</v>
      </c>
      <c r="G87" s="24"/>
      <c r="H87" s="24">
        <f>G87*E87</f>
        <v>0</v>
      </c>
    </row>
    <row r="88" spans="1:8" x14ac:dyDescent="0.45">
      <c r="A88" s="257" t="s">
        <v>4514</v>
      </c>
      <c r="B88" s="23">
        <v>1604000</v>
      </c>
      <c r="C88" s="23">
        <v>3.2</v>
      </c>
      <c r="D88" s="30" t="s">
        <v>165</v>
      </c>
      <c r="E88" s="52">
        <v>6</v>
      </c>
      <c r="F88" s="52" t="s">
        <v>17</v>
      </c>
      <c r="G88" s="24"/>
      <c r="H88" s="24">
        <f>G88*E88</f>
        <v>0</v>
      </c>
    </row>
    <row r="89" spans="1:8" x14ac:dyDescent="0.45">
      <c r="A89" s="287"/>
      <c r="B89" s="41">
        <v>1606001</v>
      </c>
      <c r="C89" s="41"/>
      <c r="D89" s="54" t="s">
        <v>166</v>
      </c>
      <c r="E89" s="55"/>
      <c r="F89" s="55"/>
      <c r="G89" s="44"/>
      <c r="H89" s="55"/>
    </row>
    <row r="90" spans="1:8" x14ac:dyDescent="0.45">
      <c r="A90" s="257" t="s">
        <v>4515</v>
      </c>
      <c r="B90" s="23">
        <v>1606001</v>
      </c>
      <c r="C90" s="23">
        <v>3.1</v>
      </c>
      <c r="D90" s="56" t="s">
        <v>31</v>
      </c>
      <c r="E90" s="23">
        <v>6</v>
      </c>
      <c r="F90" s="23" t="s">
        <v>17</v>
      </c>
      <c r="G90" s="24"/>
      <c r="H90" s="24">
        <f>G90*E90</f>
        <v>0</v>
      </c>
    </row>
    <row r="91" spans="1:8" x14ac:dyDescent="0.45">
      <c r="A91" s="257" t="s">
        <v>4516</v>
      </c>
      <c r="B91" s="23">
        <v>1606001</v>
      </c>
      <c r="C91" s="23">
        <v>3.2</v>
      </c>
      <c r="D91" s="56" t="s">
        <v>169</v>
      </c>
      <c r="E91" s="23">
        <v>6</v>
      </c>
      <c r="F91" s="23" t="s">
        <v>17</v>
      </c>
      <c r="G91" s="24"/>
      <c r="H91" s="24">
        <f>G91*E91</f>
        <v>0</v>
      </c>
    </row>
    <row r="92" spans="1:8" x14ac:dyDescent="0.45">
      <c r="A92" s="257" t="s">
        <v>4517</v>
      </c>
      <c r="B92" s="23">
        <v>1606001</v>
      </c>
      <c r="C92" s="23">
        <v>3.3</v>
      </c>
      <c r="D92" s="56" t="s">
        <v>170</v>
      </c>
      <c r="E92" s="23">
        <v>6</v>
      </c>
      <c r="F92" s="23" t="s">
        <v>17</v>
      </c>
      <c r="G92" s="24"/>
      <c r="H92" s="24">
        <f>G92*E92</f>
        <v>0</v>
      </c>
    </row>
    <row r="93" spans="1:8" x14ac:dyDescent="0.45">
      <c r="A93" s="287"/>
      <c r="B93" s="41">
        <v>1700000</v>
      </c>
      <c r="C93" s="41"/>
      <c r="D93" s="42" t="s">
        <v>171</v>
      </c>
      <c r="E93" s="50"/>
      <c r="F93" s="50"/>
      <c r="G93" s="44"/>
      <c r="H93" s="51"/>
    </row>
    <row r="94" spans="1:8" x14ac:dyDescent="0.45">
      <c r="A94" s="257" t="s">
        <v>4518</v>
      </c>
      <c r="B94" s="23">
        <v>1700000</v>
      </c>
      <c r="C94" s="23">
        <v>3.1</v>
      </c>
      <c r="D94" s="30" t="s">
        <v>173</v>
      </c>
      <c r="E94" s="23">
        <v>6</v>
      </c>
      <c r="F94" s="23" t="s">
        <v>17</v>
      </c>
      <c r="G94" s="24"/>
      <c r="H94" s="24">
        <f>G94*E94</f>
        <v>0</v>
      </c>
    </row>
    <row r="95" spans="1:8" x14ac:dyDescent="0.45">
      <c r="A95" s="287"/>
      <c r="B95" s="41">
        <v>1800000</v>
      </c>
      <c r="C95" s="41"/>
      <c r="D95" s="42" t="s">
        <v>174</v>
      </c>
      <c r="E95" s="43"/>
      <c r="F95" s="44"/>
      <c r="G95" s="44"/>
      <c r="H95" s="45"/>
    </row>
    <row r="96" spans="1:8" ht="25.2" x14ac:dyDescent="0.45">
      <c r="A96" s="257" t="s">
        <v>5335</v>
      </c>
      <c r="B96" s="23">
        <v>1800000</v>
      </c>
      <c r="C96" s="23">
        <v>3.1</v>
      </c>
      <c r="D96" s="57" t="s">
        <v>176</v>
      </c>
      <c r="E96" s="23">
        <v>6</v>
      </c>
      <c r="F96" s="23" t="s">
        <v>17</v>
      </c>
      <c r="G96" s="24"/>
      <c r="H96" s="24">
        <f>G96*E96</f>
        <v>0</v>
      </c>
    </row>
    <row r="97" spans="1:8" x14ac:dyDescent="0.45">
      <c r="A97" s="58"/>
      <c r="B97" s="59"/>
      <c r="C97" s="59"/>
      <c r="D97" s="60" t="s">
        <v>177</v>
      </c>
      <c r="E97" s="59"/>
      <c r="F97" s="59"/>
      <c r="G97" s="59"/>
      <c r="H97" s="62">
        <f>SUM(H15:H96)</f>
        <v>0</v>
      </c>
    </row>
    <row r="98" spans="1:8" hidden="1" x14ac:dyDescent="0.45">
      <c r="A98" s="63"/>
      <c r="B98" s="64"/>
      <c r="C98" s="64"/>
      <c r="D98" s="65"/>
      <c r="E98" s="64"/>
      <c r="F98" s="64"/>
      <c r="G98" s="64"/>
      <c r="H98" s="66"/>
    </row>
    <row r="99" spans="1:8" s="70" customFormat="1" ht="13.5" hidden="1" customHeight="1" x14ac:dyDescent="0.45">
      <c r="A99" s="67"/>
      <c r="B99" s="68"/>
      <c r="C99" s="68"/>
      <c r="D99" s="69"/>
      <c r="E99" s="69"/>
      <c r="F99" s="69"/>
      <c r="G99" s="69"/>
      <c r="H99" s="69"/>
    </row>
    <row r="100" spans="1:8" s="70" customFormat="1" ht="12.3" hidden="1" x14ac:dyDescent="0.45">
      <c r="A100" s="71"/>
      <c r="B100" s="72"/>
      <c r="C100" s="72"/>
      <c r="D100" s="73" t="s">
        <v>178</v>
      </c>
      <c r="E100" s="74"/>
      <c r="F100" s="74"/>
      <c r="G100" s="74"/>
      <c r="H100" s="75"/>
    </row>
    <row r="101" spans="1:8" s="70" customFormat="1" ht="12.3" hidden="1" x14ac:dyDescent="0.45">
      <c r="A101" s="76"/>
      <c r="B101" s="77"/>
      <c r="C101" s="77"/>
      <c r="D101" s="78" t="s">
        <v>179</v>
      </c>
      <c r="E101" s="79">
        <v>6</v>
      </c>
      <c r="F101" s="79" t="s">
        <v>17</v>
      </c>
      <c r="G101" s="79"/>
      <c r="H101" s="80">
        <f>G101*E101</f>
        <v>0</v>
      </c>
    </row>
    <row r="102" spans="1:8" s="70" customFormat="1" ht="12.3" hidden="1" x14ac:dyDescent="0.45">
      <c r="A102" s="71"/>
      <c r="B102" s="72"/>
      <c r="C102" s="72"/>
      <c r="D102" s="73" t="s">
        <v>180</v>
      </c>
      <c r="E102" s="72"/>
      <c r="F102" s="81"/>
      <c r="G102" s="81"/>
      <c r="H102" s="82"/>
    </row>
    <row r="103" spans="1:8" s="70" customFormat="1" ht="12.3" hidden="1" x14ac:dyDescent="0.45">
      <c r="A103" s="83"/>
      <c r="B103" s="84"/>
      <c r="C103" s="84"/>
      <c r="D103" s="85" t="s">
        <v>181</v>
      </c>
      <c r="E103" s="84"/>
      <c r="F103" s="84"/>
      <c r="G103" s="84"/>
      <c r="H103" s="86">
        <f>SUM(H100:H102)</f>
        <v>0</v>
      </c>
    </row>
    <row r="104" spans="1:8" x14ac:dyDescent="0.45">
      <c r="A104" s="87"/>
      <c r="B104" s="88"/>
      <c r="C104" s="88"/>
      <c r="D104" s="89"/>
      <c r="E104" s="64"/>
      <c r="F104" s="64"/>
      <c r="G104" s="64"/>
      <c r="H104" s="66"/>
    </row>
    <row r="105" spans="1:8" x14ac:dyDescent="0.45">
      <c r="A105" s="12" t="s">
        <v>4519</v>
      </c>
      <c r="B105" s="90"/>
      <c r="C105" s="13"/>
      <c r="D105" s="12" t="s">
        <v>183</v>
      </c>
      <c r="E105" s="91"/>
      <c r="F105" s="91"/>
      <c r="G105" s="91"/>
      <c r="H105" s="91"/>
    </row>
    <row r="106" spans="1:8" x14ac:dyDescent="0.4">
      <c r="A106" s="40"/>
      <c r="B106" s="222">
        <v>1502000</v>
      </c>
      <c r="C106" s="18"/>
      <c r="D106" s="223" t="s">
        <v>18</v>
      </c>
      <c r="E106" s="50"/>
      <c r="F106" s="50"/>
      <c r="G106" s="50"/>
      <c r="H106" s="51"/>
    </row>
    <row r="107" spans="1:8" x14ac:dyDescent="0.45">
      <c r="A107" s="25"/>
      <c r="B107" s="26"/>
      <c r="C107" s="26">
        <v>3.1</v>
      </c>
      <c r="D107" s="27" t="s">
        <v>19</v>
      </c>
      <c r="E107" s="28"/>
      <c r="F107" s="28"/>
      <c r="G107" s="28"/>
      <c r="H107" s="28"/>
    </row>
    <row r="108" spans="1:8" x14ac:dyDescent="0.45">
      <c r="A108" s="22" t="s">
        <v>4520</v>
      </c>
      <c r="B108" s="23">
        <v>1502000</v>
      </c>
      <c r="C108" s="23" t="s">
        <v>21</v>
      </c>
      <c r="D108" s="29" t="s">
        <v>22</v>
      </c>
      <c r="E108" s="23">
        <v>6</v>
      </c>
      <c r="F108" s="23" t="s">
        <v>17</v>
      </c>
      <c r="G108" s="24"/>
      <c r="H108" s="24">
        <f>G108*E108</f>
        <v>0</v>
      </c>
    </row>
    <row r="109" spans="1:8" x14ac:dyDescent="0.45">
      <c r="A109" s="22" t="s">
        <v>4521</v>
      </c>
      <c r="B109" s="23">
        <v>1502000</v>
      </c>
      <c r="C109" s="23" t="s">
        <v>24</v>
      </c>
      <c r="D109" s="29" t="s">
        <v>25</v>
      </c>
      <c r="E109" s="23">
        <v>6</v>
      </c>
      <c r="F109" s="23" t="s">
        <v>17</v>
      </c>
      <c r="G109" s="24"/>
      <c r="H109" s="24">
        <f>G109*E109</f>
        <v>0</v>
      </c>
    </row>
    <row r="110" spans="1:8" x14ac:dyDescent="0.45">
      <c r="A110" s="22" t="s">
        <v>4522</v>
      </c>
      <c r="B110" s="23">
        <v>1502000</v>
      </c>
      <c r="C110" s="23" t="s">
        <v>27</v>
      </c>
      <c r="D110" s="29" t="s">
        <v>28</v>
      </c>
      <c r="E110" s="23">
        <v>6</v>
      </c>
      <c r="F110" s="23" t="s">
        <v>17</v>
      </c>
      <c r="G110" s="24"/>
      <c r="H110" s="24">
        <f>G110*E110</f>
        <v>0</v>
      </c>
    </row>
    <row r="111" spans="1:8" x14ac:dyDescent="0.45">
      <c r="A111" s="25"/>
      <c r="B111" s="26"/>
      <c r="C111" s="26">
        <v>3.4</v>
      </c>
      <c r="D111" s="27" t="s">
        <v>62</v>
      </c>
      <c r="E111" s="28"/>
      <c r="F111" s="28"/>
      <c r="G111" s="28"/>
      <c r="H111" s="28"/>
    </row>
    <row r="112" spans="1:8" x14ac:dyDescent="0.45">
      <c r="A112" s="22" t="s">
        <v>4523</v>
      </c>
      <c r="B112" s="23">
        <v>1502000</v>
      </c>
      <c r="C112" s="23" t="s">
        <v>67</v>
      </c>
      <c r="D112" s="35" t="s">
        <v>68</v>
      </c>
      <c r="E112" s="23">
        <v>6</v>
      </c>
      <c r="F112" s="23" t="s">
        <v>17</v>
      </c>
      <c r="G112" s="24"/>
      <c r="H112" s="24">
        <f>G112*E112</f>
        <v>0</v>
      </c>
    </row>
    <row r="113" spans="1:8" x14ac:dyDescent="0.45">
      <c r="A113" s="25"/>
      <c r="B113" s="37"/>
      <c r="C113" s="37">
        <v>3.6</v>
      </c>
      <c r="D113" s="38" t="s">
        <v>75</v>
      </c>
      <c r="E113" s="28"/>
      <c r="F113" s="28"/>
      <c r="G113" s="28"/>
      <c r="H113" s="28"/>
    </row>
    <row r="114" spans="1:8" s="263" customFormat="1" x14ac:dyDescent="0.45">
      <c r="A114" s="258" t="s">
        <v>4524</v>
      </c>
      <c r="B114" s="261">
        <v>1502000</v>
      </c>
      <c r="C114" s="259" t="s">
        <v>77</v>
      </c>
      <c r="D114" s="275" t="s">
        <v>78</v>
      </c>
      <c r="E114" s="261">
        <v>6</v>
      </c>
      <c r="F114" s="261" t="s">
        <v>17</v>
      </c>
      <c r="G114" s="262"/>
      <c r="H114" s="262">
        <f>G114*E114</f>
        <v>0</v>
      </c>
    </row>
    <row r="115" spans="1:8" s="389" customFormat="1" x14ac:dyDescent="0.45">
      <c r="A115" s="22" t="s">
        <v>4525</v>
      </c>
      <c r="B115" s="23">
        <v>1502000</v>
      </c>
      <c r="C115" s="33" t="s">
        <v>95</v>
      </c>
      <c r="D115" s="39" t="s">
        <v>96</v>
      </c>
      <c r="E115" s="23">
        <v>6</v>
      </c>
      <c r="F115" s="23" t="s">
        <v>17</v>
      </c>
      <c r="G115" s="24"/>
      <c r="H115" s="24">
        <f>G115*E115</f>
        <v>0</v>
      </c>
    </row>
    <row r="116" spans="1:8" s="263" customFormat="1" x14ac:dyDescent="0.45">
      <c r="A116" s="258" t="s">
        <v>4526</v>
      </c>
      <c r="B116" s="261">
        <v>1502000</v>
      </c>
      <c r="C116" s="259" t="s">
        <v>101</v>
      </c>
      <c r="D116" s="275" t="s">
        <v>102</v>
      </c>
      <c r="E116" s="261">
        <v>6</v>
      </c>
      <c r="F116" s="261" t="s">
        <v>17</v>
      </c>
      <c r="G116" s="262"/>
      <c r="H116" s="262">
        <f>G116*E116</f>
        <v>0</v>
      </c>
    </row>
    <row r="117" spans="1:8" x14ac:dyDescent="0.45">
      <c r="A117" s="40"/>
      <c r="B117" s="41">
        <v>1503010</v>
      </c>
      <c r="C117" s="41"/>
      <c r="D117" s="42" t="s">
        <v>109</v>
      </c>
      <c r="E117" s="43"/>
      <c r="F117" s="44"/>
      <c r="G117" s="44"/>
      <c r="H117" s="45"/>
    </row>
    <row r="118" spans="1:8" x14ac:dyDescent="0.45">
      <c r="A118" s="22" t="s">
        <v>4527</v>
      </c>
      <c r="B118" s="33">
        <v>1503010</v>
      </c>
      <c r="C118" s="33">
        <v>3.1</v>
      </c>
      <c r="D118" s="36" t="s">
        <v>111</v>
      </c>
      <c r="E118" s="23">
        <v>6</v>
      </c>
      <c r="F118" s="23" t="s">
        <v>17</v>
      </c>
      <c r="G118" s="24"/>
      <c r="H118" s="24">
        <f>G118*E118</f>
        <v>0</v>
      </c>
    </row>
    <row r="119" spans="1:8" x14ac:dyDescent="0.45">
      <c r="A119" s="40"/>
      <c r="B119" s="92">
        <v>1503020</v>
      </c>
      <c r="C119" s="92"/>
      <c r="D119" s="93" t="s">
        <v>114</v>
      </c>
      <c r="E119" s="50"/>
      <c r="F119" s="50"/>
      <c r="G119" s="44"/>
      <c r="H119" s="51"/>
    </row>
    <row r="120" spans="1:8" x14ac:dyDescent="0.45">
      <c r="A120" s="22" t="s">
        <v>4528</v>
      </c>
      <c r="B120" s="33">
        <v>1503020</v>
      </c>
      <c r="C120" s="33">
        <v>3.1</v>
      </c>
      <c r="D120" s="36" t="s">
        <v>116</v>
      </c>
      <c r="E120" s="23">
        <v>6</v>
      </c>
      <c r="F120" s="23" t="s">
        <v>17</v>
      </c>
      <c r="G120" s="24"/>
      <c r="H120" s="24">
        <f>G120*E120</f>
        <v>0</v>
      </c>
    </row>
    <row r="121" spans="1:8" x14ac:dyDescent="0.45">
      <c r="A121" s="22" t="s">
        <v>4529</v>
      </c>
      <c r="B121" s="33">
        <v>1503020</v>
      </c>
      <c r="C121" s="33">
        <v>3.3</v>
      </c>
      <c r="D121" s="36" t="s">
        <v>120</v>
      </c>
      <c r="E121" s="23">
        <v>6</v>
      </c>
      <c r="F121" s="23" t="s">
        <v>17</v>
      </c>
      <c r="G121" s="24"/>
      <c r="H121" s="24">
        <f>G121*E121</f>
        <v>0</v>
      </c>
    </row>
    <row r="122" spans="1:8" x14ac:dyDescent="0.45">
      <c r="A122" s="58"/>
      <c r="B122" s="59"/>
      <c r="C122" s="59"/>
      <c r="D122" s="60" t="s">
        <v>190</v>
      </c>
      <c r="E122" s="59"/>
      <c r="F122" s="59"/>
      <c r="G122" s="59"/>
      <c r="H122" s="62">
        <f>SUM(H107:H121)</f>
        <v>0</v>
      </c>
    </row>
    <row r="123" spans="1:8" x14ac:dyDescent="0.45">
      <c r="A123" s="87"/>
      <c r="B123" s="88"/>
      <c r="C123" s="88"/>
      <c r="D123" s="89"/>
      <c r="E123" s="88"/>
      <c r="F123" s="88"/>
      <c r="G123" s="88"/>
      <c r="H123" s="94"/>
    </row>
    <row r="124" spans="1:8" x14ac:dyDescent="0.45">
      <c r="A124" s="12" t="s">
        <v>4530</v>
      </c>
      <c r="B124" s="13"/>
      <c r="C124" s="13"/>
      <c r="D124" s="12" t="s">
        <v>192</v>
      </c>
      <c r="E124" s="91"/>
      <c r="F124" s="91"/>
      <c r="G124" s="91"/>
      <c r="H124" s="91"/>
    </row>
    <row r="125" spans="1:8" x14ac:dyDescent="0.4">
      <c r="A125" s="40"/>
      <c r="B125" s="222">
        <v>1502000</v>
      </c>
      <c r="C125" s="18"/>
      <c r="D125" s="223" t="s">
        <v>18</v>
      </c>
      <c r="E125" s="43"/>
      <c r="F125" s="44"/>
      <c r="G125" s="44"/>
      <c r="H125" s="45"/>
    </row>
    <row r="126" spans="1:8" x14ac:dyDescent="0.45">
      <c r="A126" s="25"/>
      <c r="B126" s="26"/>
      <c r="C126" s="26">
        <v>3.4</v>
      </c>
      <c r="D126" s="27" t="s">
        <v>62</v>
      </c>
      <c r="E126" s="28"/>
      <c r="F126" s="28"/>
      <c r="G126" s="28"/>
      <c r="H126" s="28"/>
    </row>
    <row r="127" spans="1:8" x14ac:dyDescent="0.45">
      <c r="A127" s="22" t="s">
        <v>4531</v>
      </c>
      <c r="B127" s="23">
        <v>1502000</v>
      </c>
      <c r="C127" s="23" t="s">
        <v>67</v>
      </c>
      <c r="D127" s="35" t="s">
        <v>68</v>
      </c>
      <c r="E127" s="23">
        <v>6</v>
      </c>
      <c r="F127" s="23" t="s">
        <v>17</v>
      </c>
      <c r="G127" s="24"/>
      <c r="H127" s="24">
        <f>G127*E127</f>
        <v>0</v>
      </c>
    </row>
    <row r="128" spans="1:8" s="263" customFormat="1" x14ac:dyDescent="0.45">
      <c r="A128" s="265"/>
      <c r="B128" s="376"/>
      <c r="C128" s="376">
        <v>3.6</v>
      </c>
      <c r="D128" s="377" t="s">
        <v>75</v>
      </c>
      <c r="E128" s="268"/>
      <c r="F128" s="268"/>
      <c r="G128" s="268"/>
      <c r="H128" s="268"/>
    </row>
    <row r="129" spans="1:8" s="263" customFormat="1" x14ac:dyDescent="0.45">
      <c r="A129" s="258" t="s">
        <v>4532</v>
      </c>
      <c r="B129" s="261">
        <v>1502000</v>
      </c>
      <c r="C129" s="259" t="s">
        <v>77</v>
      </c>
      <c r="D129" s="275" t="s">
        <v>78</v>
      </c>
      <c r="E129" s="261">
        <v>6</v>
      </c>
      <c r="F129" s="261" t="s">
        <v>17</v>
      </c>
      <c r="G129" s="262"/>
      <c r="H129" s="262">
        <f>G129*E129</f>
        <v>0</v>
      </c>
    </row>
    <row r="130" spans="1:8" x14ac:dyDescent="0.45">
      <c r="A130" s="40"/>
      <c r="B130" s="92">
        <v>1503020</v>
      </c>
      <c r="C130" s="92"/>
      <c r="D130" s="93" t="s">
        <v>114</v>
      </c>
      <c r="E130" s="50"/>
      <c r="F130" s="50"/>
      <c r="G130" s="44"/>
      <c r="H130" s="51"/>
    </row>
    <row r="131" spans="1:8" x14ac:dyDescent="0.45">
      <c r="A131" s="22" t="s">
        <v>4533</v>
      </c>
      <c r="B131" s="33">
        <v>1503020</v>
      </c>
      <c r="C131" s="33">
        <v>3.1</v>
      </c>
      <c r="D131" s="36" t="s">
        <v>116</v>
      </c>
      <c r="E131" s="23">
        <v>6</v>
      </c>
      <c r="F131" s="23" t="s">
        <v>17</v>
      </c>
      <c r="G131" s="24"/>
      <c r="H131" s="24">
        <f>G131*E131</f>
        <v>0</v>
      </c>
    </row>
    <row r="132" spans="1:8" x14ac:dyDescent="0.45">
      <c r="A132" s="22" t="s">
        <v>4534</v>
      </c>
      <c r="B132" s="33">
        <v>1503020</v>
      </c>
      <c r="C132" s="33">
        <v>3.2</v>
      </c>
      <c r="D132" s="36" t="s">
        <v>118</v>
      </c>
      <c r="E132" s="23">
        <v>6</v>
      </c>
      <c r="F132" s="23" t="s">
        <v>17</v>
      </c>
      <c r="G132" s="24"/>
      <c r="H132" s="24">
        <f>G132*E132</f>
        <v>0</v>
      </c>
    </row>
    <row r="133" spans="1:8" x14ac:dyDescent="0.45">
      <c r="A133" s="22" t="s">
        <v>4535</v>
      </c>
      <c r="B133" s="33">
        <v>1503020</v>
      </c>
      <c r="C133" s="33">
        <v>3.3</v>
      </c>
      <c r="D133" s="36" t="s">
        <v>120</v>
      </c>
      <c r="E133" s="23">
        <v>6</v>
      </c>
      <c r="F133" s="23" t="s">
        <v>17</v>
      </c>
      <c r="G133" s="24"/>
      <c r="H133" s="24">
        <f>G133*E133</f>
        <v>0</v>
      </c>
    </row>
    <row r="134" spans="1:8" x14ac:dyDescent="0.45">
      <c r="A134" s="40"/>
      <c r="B134" s="43">
        <v>1503030</v>
      </c>
      <c r="C134" s="41"/>
      <c r="D134" s="42" t="s">
        <v>121</v>
      </c>
      <c r="E134" s="95"/>
      <c r="F134" s="95"/>
      <c r="G134" s="44"/>
      <c r="H134" s="95"/>
    </row>
    <row r="135" spans="1:8" x14ac:dyDescent="0.45">
      <c r="A135" s="22" t="s">
        <v>4536</v>
      </c>
      <c r="B135" s="33">
        <v>1503030</v>
      </c>
      <c r="C135" s="33" t="s">
        <v>123</v>
      </c>
      <c r="D135" s="36" t="s">
        <v>124</v>
      </c>
      <c r="E135" s="23">
        <v>6</v>
      </c>
      <c r="F135" s="23" t="s">
        <v>17</v>
      </c>
      <c r="G135" s="24"/>
      <c r="H135" s="24">
        <f>G135*E135</f>
        <v>0</v>
      </c>
    </row>
    <row r="136" spans="1:8" x14ac:dyDescent="0.45">
      <c r="A136" s="58"/>
      <c r="B136" s="59"/>
      <c r="C136" s="59"/>
      <c r="D136" s="60" t="s">
        <v>195</v>
      </c>
      <c r="E136" s="59"/>
      <c r="F136" s="59"/>
      <c r="G136" s="59"/>
      <c r="H136" s="62">
        <f>SUM(H127:H135)</f>
        <v>0</v>
      </c>
    </row>
    <row r="137" spans="1:8" x14ac:dyDescent="0.45">
      <c r="A137" s="87"/>
      <c r="B137" s="88"/>
      <c r="C137" s="88"/>
      <c r="D137" s="65"/>
      <c r="E137" s="64"/>
      <c r="F137" s="64"/>
      <c r="G137" s="97"/>
      <c r="H137" s="66"/>
    </row>
    <row r="138" spans="1:8" x14ac:dyDescent="0.45">
      <c r="A138" s="12" t="s">
        <v>4537</v>
      </c>
      <c r="B138" s="13"/>
      <c r="C138" s="13"/>
      <c r="D138" s="12" t="s">
        <v>197</v>
      </c>
      <c r="E138" s="91"/>
      <c r="F138" s="91"/>
      <c r="G138" s="13"/>
      <c r="H138" s="91"/>
    </row>
    <row r="139" spans="1:8" x14ac:dyDescent="0.45">
      <c r="A139" s="40"/>
      <c r="B139" s="41">
        <v>1503010</v>
      </c>
      <c r="C139" s="41"/>
      <c r="D139" s="42" t="s">
        <v>109</v>
      </c>
      <c r="E139" s="43"/>
      <c r="F139" s="44"/>
      <c r="G139" s="44"/>
      <c r="H139" s="45"/>
    </row>
    <row r="140" spans="1:8" x14ac:dyDescent="0.45">
      <c r="A140" s="22" t="s">
        <v>4538</v>
      </c>
      <c r="B140" s="33">
        <v>1503010</v>
      </c>
      <c r="C140" s="33">
        <v>3.1</v>
      </c>
      <c r="D140" s="36" t="s">
        <v>111</v>
      </c>
      <c r="E140" s="23">
        <v>6</v>
      </c>
      <c r="F140" s="23" t="s">
        <v>17</v>
      </c>
      <c r="G140" s="24"/>
      <c r="H140" s="24">
        <f>G140*E140</f>
        <v>0</v>
      </c>
    </row>
    <row r="141" spans="1:8" x14ac:dyDescent="0.45">
      <c r="A141" s="40"/>
      <c r="B141" s="43">
        <v>1503030</v>
      </c>
      <c r="C141" s="41"/>
      <c r="D141" s="42" t="s">
        <v>121</v>
      </c>
      <c r="E141" s="50"/>
      <c r="F141" s="50"/>
      <c r="G141" s="44"/>
      <c r="H141" s="51"/>
    </row>
    <row r="142" spans="1:8" x14ac:dyDescent="0.45">
      <c r="A142" s="22" t="s">
        <v>4539</v>
      </c>
      <c r="B142" s="33">
        <v>1503030</v>
      </c>
      <c r="C142" s="33" t="s">
        <v>123</v>
      </c>
      <c r="D142" s="36" t="s">
        <v>124</v>
      </c>
      <c r="E142" s="23">
        <v>6</v>
      </c>
      <c r="F142" s="23" t="s">
        <v>17</v>
      </c>
      <c r="G142" s="24"/>
      <c r="H142" s="24">
        <f>G142*E142</f>
        <v>0</v>
      </c>
    </row>
    <row r="143" spans="1:8" x14ac:dyDescent="0.45">
      <c r="A143" s="58"/>
      <c r="B143" s="59"/>
      <c r="C143" s="59"/>
      <c r="D143" s="60" t="s">
        <v>200</v>
      </c>
      <c r="E143" s="59"/>
      <c r="F143" s="59"/>
      <c r="G143" s="59"/>
      <c r="H143" s="62">
        <f>SUM(H139:H142)</f>
        <v>0</v>
      </c>
    </row>
    <row r="144" spans="1:8" x14ac:dyDescent="0.45">
      <c r="A144" s="96"/>
      <c r="B144" s="97"/>
      <c r="C144" s="97"/>
      <c r="D144" s="98"/>
      <c r="E144" s="97"/>
      <c r="F144" s="97"/>
      <c r="G144" s="97"/>
      <c r="H144" s="99"/>
    </row>
    <row r="145" spans="1:8" x14ac:dyDescent="0.45">
      <c r="A145" s="12" t="s">
        <v>4540</v>
      </c>
      <c r="B145" s="13"/>
      <c r="C145" s="13"/>
      <c r="D145" s="12" t="s">
        <v>202</v>
      </c>
      <c r="E145" s="100"/>
      <c r="F145" s="101"/>
      <c r="G145" s="13"/>
      <c r="H145" s="102"/>
    </row>
    <row r="146" spans="1:8" x14ac:dyDescent="0.45">
      <c r="A146" s="40"/>
      <c r="B146" s="41">
        <v>1503010</v>
      </c>
      <c r="C146" s="41"/>
      <c r="D146" s="42" t="s">
        <v>109</v>
      </c>
      <c r="E146" s="43"/>
      <c r="F146" s="44"/>
      <c r="G146" s="44"/>
      <c r="H146" s="45"/>
    </row>
    <row r="147" spans="1:8" x14ac:dyDescent="0.45">
      <c r="A147" s="22" t="s">
        <v>4541</v>
      </c>
      <c r="B147" s="33">
        <v>1503010</v>
      </c>
      <c r="C147" s="33">
        <v>3.1</v>
      </c>
      <c r="D147" s="36" t="s">
        <v>111</v>
      </c>
      <c r="E147" s="23">
        <v>6</v>
      </c>
      <c r="F147" s="23" t="s">
        <v>17</v>
      </c>
      <c r="G147" s="24"/>
      <c r="H147" s="24">
        <f>G147*E147</f>
        <v>0</v>
      </c>
    </row>
    <row r="148" spans="1:8" x14ac:dyDescent="0.45">
      <c r="A148" s="40"/>
      <c r="B148" s="43">
        <v>1503030</v>
      </c>
      <c r="C148" s="41"/>
      <c r="D148" s="42" t="s">
        <v>121</v>
      </c>
      <c r="E148" s="43"/>
      <c r="F148" s="44"/>
      <c r="G148" s="44"/>
      <c r="H148" s="45"/>
    </row>
    <row r="149" spans="1:8" x14ac:dyDescent="0.45">
      <c r="A149" s="22" t="s">
        <v>4542</v>
      </c>
      <c r="B149" s="33">
        <v>1503030</v>
      </c>
      <c r="C149" s="33" t="s">
        <v>123</v>
      </c>
      <c r="D149" s="36" t="s">
        <v>124</v>
      </c>
      <c r="E149" s="23">
        <v>6</v>
      </c>
      <c r="F149" s="23" t="s">
        <v>17</v>
      </c>
      <c r="G149" s="24"/>
      <c r="H149" s="24">
        <f>G149*E149</f>
        <v>0</v>
      </c>
    </row>
    <row r="150" spans="1:8" x14ac:dyDescent="0.45">
      <c r="A150" s="58"/>
      <c r="B150" s="59"/>
      <c r="C150" s="59"/>
      <c r="D150" s="60" t="s">
        <v>205</v>
      </c>
      <c r="E150" s="59"/>
      <c r="F150" s="59"/>
      <c r="G150" s="59"/>
      <c r="H150" s="62">
        <f>SUM(H147:H149)</f>
        <v>0</v>
      </c>
    </row>
    <row r="151" spans="1:8" x14ac:dyDescent="0.45">
      <c r="A151" s="96"/>
      <c r="B151" s="97"/>
      <c r="C151" s="97"/>
      <c r="D151" s="98"/>
      <c r="E151" s="97"/>
      <c r="F151" s="97"/>
      <c r="G151" s="88"/>
      <c r="H151" s="99"/>
    </row>
    <row r="152" spans="1:8" x14ac:dyDescent="0.45">
      <c r="A152" s="12" t="s">
        <v>4543</v>
      </c>
      <c r="B152" s="13"/>
      <c r="C152" s="13"/>
      <c r="D152" s="12" t="s">
        <v>207</v>
      </c>
      <c r="E152" s="100"/>
      <c r="F152" s="101"/>
      <c r="G152" s="91"/>
      <c r="H152" s="102"/>
    </row>
    <row r="153" spans="1:8" x14ac:dyDescent="0.4">
      <c r="A153" s="40"/>
      <c r="B153" s="222">
        <v>1502000</v>
      </c>
      <c r="C153" s="18"/>
      <c r="D153" s="223" t="s">
        <v>18</v>
      </c>
      <c r="E153" s="43"/>
      <c r="F153" s="44"/>
      <c r="G153" s="44"/>
      <c r="H153" s="45"/>
    </row>
    <row r="154" spans="1:8" x14ac:dyDescent="0.45">
      <c r="A154" s="25"/>
      <c r="B154" s="37"/>
      <c r="C154" s="37">
        <v>3.6</v>
      </c>
      <c r="D154" s="38" t="s">
        <v>75</v>
      </c>
      <c r="E154" s="28"/>
      <c r="F154" s="28"/>
      <c r="G154" s="28"/>
      <c r="H154" s="28"/>
    </row>
    <row r="155" spans="1:8" x14ac:dyDescent="0.45">
      <c r="A155" s="22" t="s">
        <v>4544</v>
      </c>
      <c r="B155" s="23">
        <v>1502000</v>
      </c>
      <c r="C155" s="33" t="s">
        <v>77</v>
      </c>
      <c r="D155" s="39" t="s">
        <v>78</v>
      </c>
      <c r="E155" s="23">
        <v>6</v>
      </c>
      <c r="F155" s="23" t="s">
        <v>17</v>
      </c>
      <c r="G155" s="24"/>
      <c r="H155" s="24">
        <f>G155*E155</f>
        <v>0</v>
      </c>
    </row>
    <row r="156" spans="1:8" x14ac:dyDescent="0.45">
      <c r="A156" s="22" t="s">
        <v>4545</v>
      </c>
      <c r="B156" s="23">
        <v>1502000</v>
      </c>
      <c r="C156" s="33" t="s">
        <v>101</v>
      </c>
      <c r="D156" s="39" t="s">
        <v>102</v>
      </c>
      <c r="E156" s="23">
        <v>6</v>
      </c>
      <c r="F156" s="23" t="s">
        <v>17</v>
      </c>
      <c r="G156" s="24"/>
      <c r="H156" s="24">
        <f>G156*E156</f>
        <v>0</v>
      </c>
    </row>
    <row r="157" spans="1:8" x14ac:dyDescent="0.45">
      <c r="A157" s="40"/>
      <c r="B157" s="41">
        <v>1503010</v>
      </c>
      <c r="C157" s="41"/>
      <c r="D157" s="42" t="s">
        <v>109</v>
      </c>
      <c r="E157" s="43"/>
      <c r="F157" s="44"/>
      <c r="G157" s="44"/>
      <c r="H157" s="45"/>
    </row>
    <row r="158" spans="1:8" x14ac:dyDescent="0.45">
      <c r="A158" s="22" t="s">
        <v>4546</v>
      </c>
      <c r="B158" s="33">
        <v>1503010</v>
      </c>
      <c r="C158" s="33">
        <v>3.1</v>
      </c>
      <c r="D158" s="36" t="s">
        <v>111</v>
      </c>
      <c r="E158" s="23">
        <v>6</v>
      </c>
      <c r="F158" s="23" t="s">
        <v>17</v>
      </c>
      <c r="G158" s="24"/>
      <c r="H158" s="24">
        <f>G158*E158</f>
        <v>0</v>
      </c>
    </row>
    <row r="159" spans="1:8" x14ac:dyDescent="0.45">
      <c r="A159" s="40"/>
      <c r="B159" s="92">
        <v>1503020</v>
      </c>
      <c r="C159" s="92"/>
      <c r="D159" s="93" t="s">
        <v>114</v>
      </c>
      <c r="E159" s="43"/>
      <c r="F159" s="44"/>
      <c r="G159" s="44"/>
      <c r="H159" s="45"/>
    </row>
    <row r="160" spans="1:8" x14ac:dyDescent="0.45">
      <c r="A160" s="22" t="s">
        <v>4547</v>
      </c>
      <c r="B160" s="33">
        <v>1503020</v>
      </c>
      <c r="C160" s="33">
        <v>3.1</v>
      </c>
      <c r="D160" s="36" t="s">
        <v>116</v>
      </c>
      <c r="E160" s="23">
        <v>6</v>
      </c>
      <c r="F160" s="23" t="s">
        <v>17</v>
      </c>
      <c r="G160" s="24"/>
      <c r="H160" s="24">
        <f>G160*E160</f>
        <v>0</v>
      </c>
    </row>
    <row r="161" spans="1:8" x14ac:dyDescent="0.45">
      <c r="A161" s="22" t="s">
        <v>4548</v>
      </c>
      <c r="B161" s="33">
        <v>1503020</v>
      </c>
      <c r="C161" s="33">
        <v>3.2</v>
      </c>
      <c r="D161" s="36" t="s">
        <v>118</v>
      </c>
      <c r="E161" s="23">
        <v>6</v>
      </c>
      <c r="F161" s="23" t="s">
        <v>17</v>
      </c>
      <c r="G161" s="24"/>
      <c r="H161" s="24">
        <f>G161*E161</f>
        <v>0</v>
      </c>
    </row>
    <row r="162" spans="1:8" x14ac:dyDescent="0.45">
      <c r="A162" s="22" t="s">
        <v>4549</v>
      </c>
      <c r="B162" s="33">
        <v>1503020</v>
      </c>
      <c r="C162" s="33">
        <v>3.3</v>
      </c>
      <c r="D162" s="36" t="s">
        <v>120</v>
      </c>
      <c r="E162" s="23">
        <v>6</v>
      </c>
      <c r="F162" s="23" t="s">
        <v>17</v>
      </c>
      <c r="G162" s="24"/>
      <c r="H162" s="24">
        <f>G162*E162</f>
        <v>0</v>
      </c>
    </row>
    <row r="163" spans="1:8" x14ac:dyDescent="0.45">
      <c r="A163" s="40"/>
      <c r="B163" s="43">
        <v>1503030</v>
      </c>
      <c r="C163" s="41"/>
      <c r="D163" s="42" t="s">
        <v>121</v>
      </c>
      <c r="E163" s="43"/>
      <c r="F163" s="44"/>
      <c r="G163" s="44"/>
      <c r="H163" s="45"/>
    </row>
    <row r="164" spans="1:8" x14ac:dyDescent="0.45">
      <c r="A164" s="22" t="s">
        <v>4550</v>
      </c>
      <c r="B164" s="33">
        <v>1503030</v>
      </c>
      <c r="C164" s="33" t="s">
        <v>123</v>
      </c>
      <c r="D164" s="36" t="s">
        <v>124</v>
      </c>
      <c r="E164" s="23">
        <v>6</v>
      </c>
      <c r="F164" s="23" t="s">
        <v>17</v>
      </c>
      <c r="G164" s="24"/>
      <c r="H164" s="24">
        <f>G164*E164</f>
        <v>0</v>
      </c>
    </row>
    <row r="165" spans="1:8" x14ac:dyDescent="0.45">
      <c r="A165" s="58"/>
      <c r="B165" s="59"/>
      <c r="C165" s="59"/>
      <c r="D165" s="60" t="s">
        <v>215</v>
      </c>
      <c r="E165" s="59"/>
      <c r="F165" s="59"/>
      <c r="G165" s="59"/>
      <c r="H165" s="62">
        <f>SUM(H155:H164)</f>
        <v>0</v>
      </c>
    </row>
    <row r="166" spans="1:8" x14ac:dyDescent="0.45">
      <c r="A166" s="96"/>
      <c r="B166" s="97"/>
      <c r="C166" s="97"/>
      <c r="D166" s="98"/>
      <c r="E166" s="97"/>
      <c r="F166" s="97"/>
      <c r="G166" s="88"/>
      <c r="H166" s="99"/>
    </row>
    <row r="167" spans="1:8" x14ac:dyDescent="0.45">
      <c r="A167" s="12" t="s">
        <v>4551</v>
      </c>
      <c r="B167" s="13"/>
      <c r="C167" s="13"/>
      <c r="D167" s="12" t="s">
        <v>217</v>
      </c>
      <c r="E167" s="100"/>
      <c r="F167" s="101"/>
      <c r="G167" s="91"/>
      <c r="H167" s="102"/>
    </row>
    <row r="168" spans="1:8" s="263" customFormat="1" x14ac:dyDescent="0.4">
      <c r="A168" s="278"/>
      <c r="B168" s="430">
        <v>1502000</v>
      </c>
      <c r="C168" s="280"/>
      <c r="D168" s="431" t="s">
        <v>18</v>
      </c>
      <c r="E168" s="282"/>
      <c r="F168" s="283"/>
      <c r="G168" s="283"/>
      <c r="H168" s="284"/>
    </row>
    <row r="169" spans="1:8" s="263" customFormat="1" x14ac:dyDescent="0.45">
      <c r="A169" s="265"/>
      <c r="B169" s="266"/>
      <c r="C169" s="266">
        <v>3.1</v>
      </c>
      <c r="D169" s="267" t="s">
        <v>19</v>
      </c>
      <c r="E169" s="266"/>
      <c r="F169" s="266"/>
      <c r="G169" s="268"/>
      <c r="H169" s="273"/>
    </row>
    <row r="170" spans="1:8" s="263" customFormat="1" x14ac:dyDescent="0.45">
      <c r="A170" s="258" t="s">
        <v>4552</v>
      </c>
      <c r="B170" s="261">
        <v>1502000</v>
      </c>
      <c r="C170" s="261" t="s">
        <v>21</v>
      </c>
      <c r="D170" s="264" t="s">
        <v>22</v>
      </c>
      <c r="E170" s="261">
        <v>6</v>
      </c>
      <c r="F170" s="261" t="s">
        <v>17</v>
      </c>
      <c r="G170" s="262"/>
      <c r="H170" s="262">
        <f>G170*E170</f>
        <v>0</v>
      </c>
    </row>
    <row r="171" spans="1:8" s="263" customFormat="1" x14ac:dyDescent="0.45">
      <c r="A171" s="258" t="s">
        <v>4553</v>
      </c>
      <c r="B171" s="261">
        <v>1502000</v>
      </c>
      <c r="C171" s="261" t="s">
        <v>24</v>
      </c>
      <c r="D171" s="264" t="s">
        <v>25</v>
      </c>
      <c r="E171" s="261">
        <v>6</v>
      </c>
      <c r="F171" s="261" t="s">
        <v>17</v>
      </c>
      <c r="G171" s="262"/>
      <c r="H171" s="262">
        <f>G171*E171</f>
        <v>0</v>
      </c>
    </row>
    <row r="172" spans="1:8" s="263" customFormat="1" ht="13.5" customHeight="1" x14ac:dyDescent="0.45">
      <c r="A172" s="258" t="s">
        <v>4554</v>
      </c>
      <c r="B172" s="261">
        <v>1502000</v>
      </c>
      <c r="C172" s="261" t="s">
        <v>27</v>
      </c>
      <c r="D172" s="264" t="s">
        <v>28</v>
      </c>
      <c r="E172" s="261">
        <v>6</v>
      </c>
      <c r="F172" s="261" t="s">
        <v>17</v>
      </c>
      <c r="G172" s="262"/>
      <c r="H172" s="262">
        <f>G172*E172</f>
        <v>0</v>
      </c>
    </row>
    <row r="173" spans="1:8" s="263" customFormat="1" x14ac:dyDescent="0.45">
      <c r="A173" s="265"/>
      <c r="B173" s="266"/>
      <c r="C173" s="266">
        <v>3.1</v>
      </c>
      <c r="D173" s="267" t="s">
        <v>31</v>
      </c>
      <c r="E173" s="268"/>
      <c r="F173" s="268"/>
      <c r="G173" s="268"/>
      <c r="H173" s="268"/>
    </row>
    <row r="174" spans="1:8" s="263" customFormat="1" x14ac:dyDescent="0.45">
      <c r="A174" s="258" t="s">
        <v>4555</v>
      </c>
      <c r="B174" s="261">
        <v>1502000</v>
      </c>
      <c r="C174" s="261" t="s">
        <v>222</v>
      </c>
      <c r="D174" s="269" t="s">
        <v>223</v>
      </c>
      <c r="E174" s="261">
        <v>6</v>
      </c>
      <c r="F174" s="261" t="s">
        <v>17</v>
      </c>
      <c r="G174" s="262"/>
      <c r="H174" s="262">
        <f t="shared" ref="H174:H191" si="2">G174*E174</f>
        <v>0</v>
      </c>
    </row>
    <row r="175" spans="1:8" s="263" customFormat="1" x14ac:dyDescent="0.45">
      <c r="A175" s="258" t="s">
        <v>4556</v>
      </c>
      <c r="B175" s="261">
        <v>1502000</v>
      </c>
      <c r="C175" s="261" t="s">
        <v>33</v>
      </c>
      <c r="D175" s="269" t="s">
        <v>34</v>
      </c>
      <c r="E175" s="261">
        <v>6</v>
      </c>
      <c r="F175" s="261" t="s">
        <v>17</v>
      </c>
      <c r="G175" s="262"/>
      <c r="H175" s="262">
        <f t="shared" si="2"/>
        <v>0</v>
      </c>
    </row>
    <row r="176" spans="1:8" s="263" customFormat="1" x14ac:dyDescent="0.45">
      <c r="A176" s="258" t="s">
        <v>4557</v>
      </c>
      <c r="B176" s="261">
        <v>1502000</v>
      </c>
      <c r="C176" s="261" t="s">
        <v>36</v>
      </c>
      <c r="D176" s="269" t="s">
        <v>37</v>
      </c>
      <c r="E176" s="261">
        <v>6</v>
      </c>
      <c r="F176" s="261" t="s">
        <v>17</v>
      </c>
      <c r="G176" s="262"/>
      <c r="H176" s="262">
        <f t="shared" si="2"/>
        <v>0</v>
      </c>
    </row>
    <row r="177" spans="1:8" s="263" customFormat="1" x14ac:dyDescent="0.45">
      <c r="A177" s="258" t="s">
        <v>4558</v>
      </c>
      <c r="B177" s="261">
        <v>1502000</v>
      </c>
      <c r="C177" s="261" t="s">
        <v>227</v>
      </c>
      <c r="D177" s="270" t="s">
        <v>228</v>
      </c>
      <c r="E177" s="261">
        <v>6</v>
      </c>
      <c r="F177" s="261" t="s">
        <v>17</v>
      </c>
      <c r="G177" s="262"/>
      <c r="H177" s="262">
        <f t="shared" si="2"/>
        <v>0</v>
      </c>
    </row>
    <row r="178" spans="1:8" s="263" customFormat="1" x14ac:dyDescent="0.45">
      <c r="A178" s="258" t="s">
        <v>4559</v>
      </c>
      <c r="B178" s="261">
        <v>1502000</v>
      </c>
      <c r="C178" s="261" t="s">
        <v>39</v>
      </c>
      <c r="D178" s="269" t="s">
        <v>230</v>
      </c>
      <c r="E178" s="261">
        <v>6</v>
      </c>
      <c r="F178" s="261" t="s">
        <v>17</v>
      </c>
      <c r="G178" s="262"/>
      <c r="H178" s="262">
        <f t="shared" si="2"/>
        <v>0</v>
      </c>
    </row>
    <row r="179" spans="1:8" s="263" customFormat="1" x14ac:dyDescent="0.45">
      <c r="A179" s="258" t="s">
        <v>4560</v>
      </c>
      <c r="B179" s="261">
        <v>1502000</v>
      </c>
      <c r="C179" s="261" t="s">
        <v>232</v>
      </c>
      <c r="D179" s="269" t="s">
        <v>233</v>
      </c>
      <c r="E179" s="261">
        <v>6</v>
      </c>
      <c r="F179" s="261" t="s">
        <v>17</v>
      </c>
      <c r="G179" s="262"/>
      <c r="H179" s="262">
        <f t="shared" si="2"/>
        <v>0</v>
      </c>
    </row>
    <row r="180" spans="1:8" s="263" customFormat="1" x14ac:dyDescent="0.45">
      <c r="A180" s="258" t="s">
        <v>4561</v>
      </c>
      <c r="B180" s="261">
        <v>1502000</v>
      </c>
      <c r="C180" s="271" t="s">
        <v>235</v>
      </c>
      <c r="D180" s="263" t="s">
        <v>236</v>
      </c>
      <c r="E180" s="261">
        <v>6</v>
      </c>
      <c r="F180" s="261" t="s">
        <v>17</v>
      </c>
      <c r="G180" s="262"/>
      <c r="H180" s="262">
        <f t="shared" si="2"/>
        <v>0</v>
      </c>
    </row>
    <row r="181" spans="1:8" s="263" customFormat="1" x14ac:dyDescent="0.45">
      <c r="A181" s="258" t="s">
        <v>4562</v>
      </c>
      <c r="B181" s="261">
        <v>1502000</v>
      </c>
      <c r="C181" s="261" t="s">
        <v>238</v>
      </c>
      <c r="D181" s="269" t="s">
        <v>239</v>
      </c>
      <c r="E181" s="261">
        <v>6</v>
      </c>
      <c r="F181" s="261" t="s">
        <v>17</v>
      </c>
      <c r="G181" s="262"/>
      <c r="H181" s="262">
        <f t="shared" si="2"/>
        <v>0</v>
      </c>
    </row>
    <row r="182" spans="1:8" s="263" customFormat="1" x14ac:dyDescent="0.45">
      <c r="A182" s="258" t="s">
        <v>4563</v>
      </c>
      <c r="B182" s="261">
        <v>1502000</v>
      </c>
      <c r="C182" s="261" t="s">
        <v>241</v>
      </c>
      <c r="D182" s="269" t="s">
        <v>242</v>
      </c>
      <c r="E182" s="261">
        <v>6</v>
      </c>
      <c r="F182" s="261" t="s">
        <v>17</v>
      </c>
      <c r="G182" s="262"/>
      <c r="H182" s="262">
        <f t="shared" si="2"/>
        <v>0</v>
      </c>
    </row>
    <row r="183" spans="1:8" s="263" customFormat="1" x14ac:dyDescent="0.45">
      <c r="A183" s="258" t="s">
        <v>4564</v>
      </c>
      <c r="B183" s="261">
        <v>1502000</v>
      </c>
      <c r="C183" s="261" t="s">
        <v>244</v>
      </c>
      <c r="D183" s="269" t="s">
        <v>245</v>
      </c>
      <c r="E183" s="261">
        <v>6</v>
      </c>
      <c r="F183" s="261" t="s">
        <v>17</v>
      </c>
      <c r="G183" s="262"/>
      <c r="H183" s="262">
        <f t="shared" si="2"/>
        <v>0</v>
      </c>
    </row>
    <row r="184" spans="1:8" s="263" customFormat="1" x14ac:dyDescent="0.45">
      <c r="A184" s="258" t="s">
        <v>4565</v>
      </c>
      <c r="B184" s="261">
        <v>1502000</v>
      </c>
      <c r="C184" s="261" t="s">
        <v>247</v>
      </c>
      <c r="D184" s="269" t="s">
        <v>248</v>
      </c>
      <c r="E184" s="261">
        <v>6</v>
      </c>
      <c r="F184" s="261" t="s">
        <v>17</v>
      </c>
      <c r="G184" s="262"/>
      <c r="H184" s="262">
        <f t="shared" si="2"/>
        <v>0</v>
      </c>
    </row>
    <row r="185" spans="1:8" s="263" customFormat="1" x14ac:dyDescent="0.45">
      <c r="A185" s="258" t="s">
        <v>4566</v>
      </c>
      <c r="B185" s="261">
        <v>1502000</v>
      </c>
      <c r="C185" s="261" t="s">
        <v>250</v>
      </c>
      <c r="D185" s="269" t="s">
        <v>251</v>
      </c>
      <c r="E185" s="261">
        <v>6</v>
      </c>
      <c r="F185" s="261" t="s">
        <v>17</v>
      </c>
      <c r="G185" s="262"/>
      <c r="H185" s="262">
        <f t="shared" si="2"/>
        <v>0</v>
      </c>
    </row>
    <row r="186" spans="1:8" s="263" customFormat="1" x14ac:dyDescent="0.45">
      <c r="A186" s="258" t="s">
        <v>4567</v>
      </c>
      <c r="B186" s="261">
        <v>1502000</v>
      </c>
      <c r="C186" s="261" t="s">
        <v>253</v>
      </c>
      <c r="D186" s="269" t="s">
        <v>254</v>
      </c>
      <c r="E186" s="261">
        <v>6</v>
      </c>
      <c r="F186" s="261" t="s">
        <v>17</v>
      </c>
      <c r="G186" s="262"/>
      <c r="H186" s="262">
        <f t="shared" si="2"/>
        <v>0</v>
      </c>
    </row>
    <row r="187" spans="1:8" s="263" customFormat="1" x14ac:dyDescent="0.45">
      <c r="A187" s="258" t="s">
        <v>4568</v>
      </c>
      <c r="B187" s="261">
        <v>1502000</v>
      </c>
      <c r="C187" s="261" t="s">
        <v>45</v>
      </c>
      <c r="D187" s="269" t="s">
        <v>46</v>
      </c>
      <c r="E187" s="261">
        <v>6</v>
      </c>
      <c r="F187" s="261" t="s">
        <v>17</v>
      </c>
      <c r="G187" s="262"/>
      <c r="H187" s="262">
        <f t="shared" si="2"/>
        <v>0</v>
      </c>
    </row>
    <row r="188" spans="1:8" s="263" customFormat="1" x14ac:dyDescent="0.45">
      <c r="A188" s="258" t="s">
        <v>4569</v>
      </c>
      <c r="B188" s="261">
        <v>1502000</v>
      </c>
      <c r="C188" s="261" t="s">
        <v>48</v>
      </c>
      <c r="D188" s="269" t="s">
        <v>257</v>
      </c>
      <c r="E188" s="261">
        <v>6</v>
      </c>
      <c r="F188" s="261" t="s">
        <v>17</v>
      </c>
      <c r="G188" s="262"/>
      <c r="H188" s="262">
        <f t="shared" si="2"/>
        <v>0</v>
      </c>
    </row>
    <row r="189" spans="1:8" s="263" customFormat="1" x14ac:dyDescent="0.45">
      <c r="A189" s="258" t="s">
        <v>4570</v>
      </c>
      <c r="B189" s="261">
        <v>1502000</v>
      </c>
      <c r="C189" s="261" t="s">
        <v>54</v>
      </c>
      <c r="D189" s="269" t="s">
        <v>55</v>
      </c>
      <c r="E189" s="261">
        <v>6</v>
      </c>
      <c r="F189" s="261" t="s">
        <v>17</v>
      </c>
      <c r="G189" s="262"/>
      <c r="H189" s="262">
        <f t="shared" si="2"/>
        <v>0</v>
      </c>
    </row>
    <row r="190" spans="1:8" s="263" customFormat="1" x14ac:dyDescent="0.45">
      <c r="A190" s="258" t="s">
        <v>4571</v>
      </c>
      <c r="B190" s="261">
        <v>1502000</v>
      </c>
      <c r="C190" s="261" t="s">
        <v>260</v>
      </c>
      <c r="D190" s="269" t="s">
        <v>261</v>
      </c>
      <c r="E190" s="261">
        <v>6</v>
      </c>
      <c r="F190" s="261" t="s">
        <v>17</v>
      </c>
      <c r="G190" s="262"/>
      <c r="H190" s="262">
        <f t="shared" si="2"/>
        <v>0</v>
      </c>
    </row>
    <row r="191" spans="1:8" s="263" customFormat="1" x14ac:dyDescent="0.45">
      <c r="A191" s="258" t="s">
        <v>4572</v>
      </c>
      <c r="B191" s="261">
        <v>1502000</v>
      </c>
      <c r="C191" s="271" t="s">
        <v>60</v>
      </c>
      <c r="D191" s="432" t="s">
        <v>61</v>
      </c>
      <c r="E191" s="261">
        <v>6</v>
      </c>
      <c r="F191" s="261" t="s">
        <v>17</v>
      </c>
      <c r="G191" s="262"/>
      <c r="H191" s="262">
        <f t="shared" si="2"/>
        <v>0</v>
      </c>
    </row>
    <row r="192" spans="1:8" s="263" customFormat="1" x14ac:dyDescent="0.45">
      <c r="A192" s="265"/>
      <c r="B192" s="266"/>
      <c r="C192" s="266">
        <v>3.4</v>
      </c>
      <c r="D192" s="267" t="s">
        <v>62</v>
      </c>
      <c r="E192" s="266"/>
      <c r="F192" s="266"/>
      <c r="G192" s="268"/>
      <c r="H192" s="273"/>
    </row>
    <row r="193" spans="1:8" s="263" customFormat="1" x14ac:dyDescent="0.45">
      <c r="A193" s="258" t="s">
        <v>4573</v>
      </c>
      <c r="B193" s="261">
        <v>1502000</v>
      </c>
      <c r="C193" s="261" t="s">
        <v>64</v>
      </c>
      <c r="D193" s="270" t="s">
        <v>65</v>
      </c>
      <c r="E193" s="261">
        <v>6</v>
      </c>
      <c r="F193" s="261" t="s">
        <v>17</v>
      </c>
      <c r="G193" s="262"/>
      <c r="H193" s="262">
        <f>G193*E193</f>
        <v>0</v>
      </c>
    </row>
    <row r="194" spans="1:8" s="263" customFormat="1" x14ac:dyDescent="0.45">
      <c r="A194" s="258" t="s">
        <v>4574</v>
      </c>
      <c r="B194" s="261">
        <v>1502000</v>
      </c>
      <c r="C194" s="261" t="s">
        <v>67</v>
      </c>
      <c r="D194" s="270" t="s">
        <v>68</v>
      </c>
      <c r="E194" s="261">
        <v>6</v>
      </c>
      <c r="F194" s="261" t="s">
        <v>17</v>
      </c>
      <c r="G194" s="262"/>
      <c r="H194" s="262">
        <f>G194*E194</f>
        <v>0</v>
      </c>
    </row>
    <row r="195" spans="1:8" s="263" customFormat="1" x14ac:dyDescent="0.45">
      <c r="A195" s="258" t="s">
        <v>4575</v>
      </c>
      <c r="B195" s="261">
        <v>1502000</v>
      </c>
      <c r="C195" s="259" t="s">
        <v>70</v>
      </c>
      <c r="D195" s="260" t="s">
        <v>71</v>
      </c>
      <c r="E195" s="261">
        <v>6</v>
      </c>
      <c r="F195" s="261" t="s">
        <v>17</v>
      </c>
      <c r="G195" s="262"/>
      <c r="H195" s="262">
        <f>G195*E195</f>
        <v>0</v>
      </c>
    </row>
    <row r="196" spans="1:8" s="263" customFormat="1" x14ac:dyDescent="0.45">
      <c r="A196" s="265"/>
      <c r="B196" s="266"/>
      <c r="C196" s="266">
        <v>3.5</v>
      </c>
      <c r="D196" s="267" t="s">
        <v>72</v>
      </c>
      <c r="E196" s="268"/>
      <c r="F196" s="268"/>
      <c r="G196" s="268"/>
      <c r="H196" s="268"/>
    </row>
    <row r="197" spans="1:8" s="263" customFormat="1" x14ac:dyDescent="0.45">
      <c r="A197" s="258" t="s">
        <v>4576</v>
      </c>
      <c r="B197" s="261">
        <v>1502000</v>
      </c>
      <c r="C197" s="261" t="s">
        <v>267</v>
      </c>
      <c r="D197" s="274" t="s">
        <v>71</v>
      </c>
      <c r="E197" s="261">
        <v>6</v>
      </c>
      <c r="F197" s="261" t="s">
        <v>17</v>
      </c>
      <c r="G197" s="262"/>
      <c r="H197" s="262">
        <f>G197*E197</f>
        <v>0</v>
      </c>
    </row>
    <row r="198" spans="1:8" s="263" customFormat="1" x14ac:dyDescent="0.45">
      <c r="A198" s="258" t="s">
        <v>4577</v>
      </c>
      <c r="B198" s="261">
        <v>1502000</v>
      </c>
      <c r="C198" s="261" t="s">
        <v>74</v>
      </c>
      <c r="D198" s="269" t="s">
        <v>37</v>
      </c>
      <c r="E198" s="261">
        <v>6</v>
      </c>
      <c r="F198" s="261" t="s">
        <v>17</v>
      </c>
      <c r="G198" s="262"/>
      <c r="H198" s="262">
        <f>G198*E198</f>
        <v>0</v>
      </c>
    </row>
    <row r="199" spans="1:8" s="263" customFormat="1" x14ac:dyDescent="0.45">
      <c r="A199" s="265"/>
      <c r="B199" s="266"/>
      <c r="C199" s="266">
        <v>3.6</v>
      </c>
      <c r="D199" s="267" t="s">
        <v>75</v>
      </c>
      <c r="E199" s="266"/>
      <c r="F199" s="266"/>
      <c r="G199" s="268"/>
      <c r="H199" s="273"/>
    </row>
    <row r="200" spans="1:8" s="263" customFormat="1" x14ac:dyDescent="0.45">
      <c r="A200" s="258" t="s">
        <v>4578</v>
      </c>
      <c r="B200" s="261">
        <v>1502000</v>
      </c>
      <c r="C200" s="259" t="s">
        <v>77</v>
      </c>
      <c r="D200" s="275" t="s">
        <v>78</v>
      </c>
      <c r="E200" s="261">
        <v>6</v>
      </c>
      <c r="F200" s="261" t="s">
        <v>17</v>
      </c>
      <c r="G200" s="262"/>
      <c r="H200" s="262">
        <f>G200*E200</f>
        <v>0</v>
      </c>
    </row>
    <row r="201" spans="1:8" s="263" customFormat="1" x14ac:dyDescent="0.45">
      <c r="A201" s="258" t="s">
        <v>4579</v>
      </c>
      <c r="B201" s="261">
        <v>1502000</v>
      </c>
      <c r="C201" s="259" t="s">
        <v>80</v>
      </c>
      <c r="D201" s="275" t="s">
        <v>81</v>
      </c>
      <c r="E201" s="261">
        <v>6</v>
      </c>
      <c r="F201" s="261" t="s">
        <v>17</v>
      </c>
      <c r="G201" s="262"/>
      <c r="H201" s="262">
        <f>G201*E201</f>
        <v>0</v>
      </c>
    </row>
    <row r="202" spans="1:8" s="263" customFormat="1" x14ac:dyDescent="0.45">
      <c r="A202" s="258" t="s">
        <v>4580</v>
      </c>
      <c r="B202" s="261">
        <v>1502000</v>
      </c>
      <c r="C202" s="259" t="s">
        <v>83</v>
      </c>
      <c r="D202" s="275" t="s">
        <v>84</v>
      </c>
      <c r="E202" s="261">
        <v>6</v>
      </c>
      <c r="F202" s="261" t="s">
        <v>17</v>
      </c>
      <c r="G202" s="262"/>
      <c r="H202" s="262">
        <f>G202*E202</f>
        <v>0</v>
      </c>
    </row>
    <row r="203" spans="1:8" s="263" customFormat="1" x14ac:dyDescent="0.45">
      <c r="A203" s="258" t="s">
        <v>4581</v>
      </c>
      <c r="B203" s="261">
        <v>1502000</v>
      </c>
      <c r="C203" s="261" t="s">
        <v>273</v>
      </c>
      <c r="D203" s="276" t="s">
        <v>274</v>
      </c>
      <c r="E203" s="261">
        <v>6</v>
      </c>
      <c r="F203" s="261" t="s">
        <v>17</v>
      </c>
      <c r="G203" s="262"/>
      <c r="H203" s="262">
        <f>G203*E203</f>
        <v>0</v>
      </c>
    </row>
    <row r="204" spans="1:8" s="263" customFormat="1" x14ac:dyDescent="0.45">
      <c r="A204" s="258" t="s">
        <v>4582</v>
      </c>
      <c r="B204" s="261">
        <v>1502000</v>
      </c>
      <c r="C204" s="277" t="s">
        <v>276</v>
      </c>
      <c r="D204" s="276" t="s">
        <v>277</v>
      </c>
      <c r="E204" s="261">
        <v>6</v>
      </c>
      <c r="F204" s="261" t="s">
        <v>17</v>
      </c>
      <c r="G204" s="262"/>
      <c r="H204" s="262">
        <f>G204*E204</f>
        <v>0</v>
      </c>
    </row>
    <row r="205" spans="1:8" x14ac:dyDescent="0.45">
      <c r="A205" s="40"/>
      <c r="B205" s="41">
        <v>1503010</v>
      </c>
      <c r="C205" s="41"/>
      <c r="D205" s="42" t="s">
        <v>109</v>
      </c>
      <c r="E205" s="43"/>
      <c r="F205" s="44"/>
      <c r="G205" s="44"/>
      <c r="H205" s="45"/>
    </row>
    <row r="206" spans="1:8" x14ac:dyDescent="0.45">
      <c r="A206" s="257" t="s">
        <v>4576</v>
      </c>
      <c r="B206" s="33">
        <v>1503010</v>
      </c>
      <c r="C206" s="33">
        <v>3.1</v>
      </c>
      <c r="D206" s="36" t="s">
        <v>111</v>
      </c>
      <c r="E206" s="23">
        <v>6</v>
      </c>
      <c r="F206" s="23" t="s">
        <v>17</v>
      </c>
      <c r="G206" s="24"/>
      <c r="H206" s="24">
        <f>G206*E206</f>
        <v>0</v>
      </c>
    </row>
    <row r="207" spans="1:8" x14ac:dyDescent="0.45">
      <c r="A207" s="257" t="s">
        <v>4577</v>
      </c>
      <c r="B207" s="33">
        <v>1503010</v>
      </c>
      <c r="C207" s="33">
        <v>3.2</v>
      </c>
      <c r="D207" s="36" t="s">
        <v>278</v>
      </c>
      <c r="E207" s="23">
        <v>6</v>
      </c>
      <c r="F207" s="23" t="s">
        <v>17</v>
      </c>
      <c r="G207" s="24"/>
      <c r="H207" s="24">
        <f>G207*E207</f>
        <v>0</v>
      </c>
    </row>
    <row r="208" spans="1:8" x14ac:dyDescent="0.45">
      <c r="A208" s="287"/>
      <c r="B208" s="43">
        <v>1503020</v>
      </c>
      <c r="C208" s="41"/>
      <c r="D208" s="42" t="s">
        <v>114</v>
      </c>
      <c r="E208" s="43"/>
      <c r="F208" s="44"/>
      <c r="G208" s="44"/>
      <c r="H208" s="45"/>
    </row>
    <row r="209" spans="1:8" ht="13.45" customHeight="1" x14ac:dyDescent="0.45">
      <c r="A209" s="257" t="s">
        <v>4578</v>
      </c>
      <c r="B209" s="33">
        <v>1503020</v>
      </c>
      <c r="C209" s="33">
        <v>3.1</v>
      </c>
      <c r="D209" s="36" t="s">
        <v>116</v>
      </c>
      <c r="E209" s="23">
        <v>6</v>
      </c>
      <c r="F209" s="23" t="s">
        <v>17</v>
      </c>
      <c r="G209" s="24"/>
      <c r="H209" s="24">
        <f>G209*E209</f>
        <v>0</v>
      </c>
    </row>
    <row r="210" spans="1:8" ht="13.45" customHeight="1" x14ac:dyDescent="0.45">
      <c r="A210" s="257" t="s">
        <v>4579</v>
      </c>
      <c r="B210" s="33">
        <v>1503020</v>
      </c>
      <c r="C210" s="33">
        <v>3.3</v>
      </c>
      <c r="D210" s="36" t="s">
        <v>120</v>
      </c>
      <c r="E210" s="23">
        <v>6</v>
      </c>
      <c r="F210" s="23" t="s">
        <v>17</v>
      </c>
      <c r="G210" s="24"/>
      <c r="H210" s="24">
        <f>G210*E210</f>
        <v>0</v>
      </c>
    </row>
    <row r="211" spans="1:8" x14ac:dyDescent="0.45">
      <c r="A211" s="287"/>
      <c r="B211" s="43">
        <v>1503030</v>
      </c>
      <c r="C211" s="41"/>
      <c r="D211" s="42" t="s">
        <v>121</v>
      </c>
      <c r="E211" s="43"/>
      <c r="F211" s="44"/>
      <c r="G211" s="44"/>
      <c r="H211" s="45"/>
    </row>
    <row r="212" spans="1:8" x14ac:dyDescent="0.45">
      <c r="A212" s="257" t="s">
        <v>4580</v>
      </c>
      <c r="B212" s="33">
        <v>1503030</v>
      </c>
      <c r="C212" s="33" t="s">
        <v>123</v>
      </c>
      <c r="D212" s="36" t="s">
        <v>124</v>
      </c>
      <c r="E212" s="23">
        <v>6</v>
      </c>
      <c r="F212" s="23" t="s">
        <v>17</v>
      </c>
      <c r="G212" s="24"/>
      <c r="H212" s="24">
        <f>G212*E212</f>
        <v>0</v>
      </c>
    </row>
    <row r="213" spans="1:8" x14ac:dyDescent="0.45">
      <c r="A213" s="287"/>
      <c r="B213" s="41">
        <v>1503050</v>
      </c>
      <c r="C213" s="41"/>
      <c r="D213" s="42" t="s">
        <v>127</v>
      </c>
      <c r="E213" s="43"/>
      <c r="F213" s="44"/>
      <c r="G213" s="44"/>
      <c r="H213" s="45"/>
    </row>
    <row r="214" spans="1:8" x14ac:dyDescent="0.45">
      <c r="A214" s="257" t="s">
        <v>4581</v>
      </c>
      <c r="B214" s="33">
        <v>1503050</v>
      </c>
      <c r="C214" s="33">
        <v>3.1</v>
      </c>
      <c r="D214" s="46" t="s">
        <v>129</v>
      </c>
      <c r="E214" s="23">
        <v>6</v>
      </c>
      <c r="F214" s="23" t="s">
        <v>17</v>
      </c>
      <c r="G214" s="24"/>
      <c r="H214" s="24">
        <f>G214*E214</f>
        <v>0</v>
      </c>
    </row>
    <row r="215" spans="1:8" x14ac:dyDescent="0.45">
      <c r="A215" s="257" t="s">
        <v>4582</v>
      </c>
      <c r="B215" s="33">
        <v>1503050</v>
      </c>
      <c r="C215" s="33">
        <v>3.4</v>
      </c>
      <c r="D215" s="36" t="s">
        <v>135</v>
      </c>
      <c r="E215" s="23">
        <v>6</v>
      </c>
      <c r="F215" s="23" t="s">
        <v>17</v>
      </c>
      <c r="G215" s="24"/>
      <c r="H215" s="24">
        <f>G215*E215</f>
        <v>0</v>
      </c>
    </row>
    <row r="216" spans="1:8" x14ac:dyDescent="0.45">
      <c r="A216" s="58"/>
      <c r="B216" s="59"/>
      <c r="C216" s="59"/>
      <c r="D216" s="60" t="s">
        <v>279</v>
      </c>
      <c r="E216" s="59"/>
      <c r="F216" s="59"/>
      <c r="G216" s="59"/>
      <c r="H216" s="62">
        <f>SUM(H206:H215)</f>
        <v>0</v>
      </c>
    </row>
    <row r="217" spans="1:8" x14ac:dyDescent="0.45">
      <c r="A217" s="6"/>
      <c r="B217" s="107"/>
      <c r="C217" s="107"/>
      <c r="D217" s="108"/>
      <c r="E217" s="107"/>
      <c r="F217" s="109"/>
      <c r="G217" s="88"/>
      <c r="H217" s="110"/>
    </row>
    <row r="218" spans="1:8" x14ac:dyDescent="0.45">
      <c r="A218" s="12" t="s">
        <v>4583</v>
      </c>
      <c r="B218" s="13"/>
      <c r="C218" s="13"/>
      <c r="D218" s="111" t="s">
        <v>281</v>
      </c>
      <c r="E218" s="100"/>
      <c r="F218" s="101"/>
      <c r="G218" s="91"/>
      <c r="H218" s="102"/>
    </row>
    <row r="219" spans="1:8" x14ac:dyDescent="0.45">
      <c r="A219" s="103"/>
      <c r="B219" s="41">
        <v>1502000</v>
      </c>
      <c r="C219" s="43"/>
      <c r="D219" s="42" t="s">
        <v>18</v>
      </c>
      <c r="E219" s="43"/>
      <c r="F219" s="44"/>
      <c r="G219" s="44"/>
      <c r="H219" s="45"/>
    </row>
    <row r="220" spans="1:8" x14ac:dyDescent="0.45">
      <c r="A220" s="25"/>
      <c r="B220" s="26"/>
      <c r="C220" s="26">
        <v>3.1</v>
      </c>
      <c r="D220" s="27" t="s">
        <v>19</v>
      </c>
      <c r="E220" s="28"/>
      <c r="F220" s="28"/>
      <c r="G220" s="28"/>
      <c r="H220" s="28"/>
    </row>
    <row r="221" spans="1:8" x14ac:dyDescent="0.45">
      <c r="A221" s="22" t="s">
        <v>4584</v>
      </c>
      <c r="B221" s="23"/>
      <c r="C221" s="23" t="s">
        <v>24</v>
      </c>
      <c r="D221" s="29" t="s">
        <v>25</v>
      </c>
      <c r="E221" s="23">
        <v>6</v>
      </c>
      <c r="F221" s="23" t="s">
        <v>17</v>
      </c>
      <c r="G221" s="24"/>
      <c r="H221" s="24">
        <f>G221*E221</f>
        <v>0</v>
      </c>
    </row>
    <row r="222" spans="1:8" x14ac:dyDescent="0.45">
      <c r="A222" s="25"/>
      <c r="B222" s="26"/>
      <c r="C222" s="26">
        <v>3.1</v>
      </c>
      <c r="D222" s="27" t="s">
        <v>31</v>
      </c>
      <c r="E222" s="28"/>
      <c r="F222" s="28"/>
      <c r="G222" s="28"/>
      <c r="H222" s="28"/>
    </row>
    <row r="223" spans="1:8" x14ac:dyDescent="0.45">
      <c r="A223" s="22" t="s">
        <v>4585</v>
      </c>
      <c r="B223" s="105">
        <v>1502000</v>
      </c>
      <c r="C223" s="105" t="s">
        <v>36</v>
      </c>
      <c r="D223" s="112" t="s">
        <v>37</v>
      </c>
      <c r="E223" s="23">
        <v>6</v>
      </c>
      <c r="F223" s="23" t="s">
        <v>17</v>
      </c>
      <c r="G223" s="24"/>
      <c r="H223" s="24">
        <f>G223*E223</f>
        <v>0</v>
      </c>
    </row>
    <row r="224" spans="1:8" x14ac:dyDescent="0.45">
      <c r="A224" s="25"/>
      <c r="B224" s="26"/>
      <c r="C224" s="26">
        <v>3.4</v>
      </c>
      <c r="D224" s="27" t="s">
        <v>62</v>
      </c>
      <c r="E224" s="26"/>
      <c r="F224" s="26"/>
      <c r="G224" s="28"/>
      <c r="H224" s="104"/>
    </row>
    <row r="225" spans="1:8" x14ac:dyDescent="0.45">
      <c r="A225" s="22" t="s">
        <v>4586</v>
      </c>
      <c r="B225" s="23">
        <v>1502000</v>
      </c>
      <c r="C225" s="23" t="s">
        <v>67</v>
      </c>
      <c r="D225" s="35" t="s">
        <v>68</v>
      </c>
      <c r="E225" s="23">
        <v>6</v>
      </c>
      <c r="F225" s="23" t="s">
        <v>17</v>
      </c>
      <c r="G225" s="24"/>
      <c r="H225" s="24">
        <f>G225*E225</f>
        <v>0</v>
      </c>
    </row>
    <row r="226" spans="1:8" x14ac:dyDescent="0.45">
      <c r="A226" s="25"/>
      <c r="B226" s="26"/>
      <c r="C226" s="26">
        <v>3.5</v>
      </c>
      <c r="D226" s="27" t="s">
        <v>72</v>
      </c>
      <c r="E226" s="28"/>
      <c r="F226" s="28"/>
      <c r="G226" s="28"/>
      <c r="H226" s="28"/>
    </row>
    <row r="227" spans="1:8" x14ac:dyDescent="0.45">
      <c r="A227" s="22" t="s">
        <v>4587</v>
      </c>
      <c r="B227" s="23">
        <v>1502000</v>
      </c>
      <c r="C227" s="23" t="s">
        <v>74</v>
      </c>
      <c r="D227" s="32" t="s">
        <v>37</v>
      </c>
      <c r="E227" s="23">
        <v>6</v>
      </c>
      <c r="F227" s="23" t="s">
        <v>17</v>
      </c>
      <c r="G227" s="24"/>
      <c r="H227" s="24">
        <f>G227*E227</f>
        <v>0</v>
      </c>
    </row>
    <row r="228" spans="1:8" s="263" customFormat="1" x14ac:dyDescent="0.45">
      <c r="A228" s="265"/>
      <c r="B228" s="266"/>
      <c r="C228" s="266">
        <v>3.6</v>
      </c>
      <c r="D228" s="267" t="s">
        <v>75</v>
      </c>
      <c r="E228" s="266"/>
      <c r="F228" s="266"/>
      <c r="G228" s="268"/>
      <c r="H228" s="273"/>
    </row>
    <row r="229" spans="1:8" s="263" customFormat="1" x14ac:dyDescent="0.45">
      <c r="A229" s="258" t="s">
        <v>4588</v>
      </c>
      <c r="B229" s="261">
        <v>1502000</v>
      </c>
      <c r="C229" s="259" t="s">
        <v>101</v>
      </c>
      <c r="D229" s="275" t="s">
        <v>102</v>
      </c>
      <c r="E229" s="261">
        <v>6</v>
      </c>
      <c r="F229" s="261" t="s">
        <v>17</v>
      </c>
      <c r="G229" s="262"/>
      <c r="H229" s="262">
        <f>G229*E229</f>
        <v>0</v>
      </c>
    </row>
    <row r="230" spans="1:8" x14ac:dyDescent="0.45">
      <c r="A230" s="40"/>
      <c r="B230" s="43">
        <v>1503020</v>
      </c>
      <c r="C230" s="41"/>
      <c r="D230" s="42" t="s">
        <v>114</v>
      </c>
      <c r="E230" s="43"/>
      <c r="F230" s="44"/>
      <c r="G230" s="44"/>
      <c r="H230" s="45"/>
    </row>
    <row r="231" spans="1:8" ht="13.45" customHeight="1" x14ac:dyDescent="0.45">
      <c r="A231" s="22" t="s">
        <v>5297</v>
      </c>
      <c r="B231" s="33">
        <v>1503020</v>
      </c>
      <c r="C231" s="33">
        <v>3.1</v>
      </c>
      <c r="D231" s="36" t="s">
        <v>116</v>
      </c>
      <c r="E231" s="23">
        <v>6</v>
      </c>
      <c r="F231" s="23" t="s">
        <v>17</v>
      </c>
      <c r="G231" s="24"/>
      <c r="H231" s="24">
        <f>G231*E231</f>
        <v>0</v>
      </c>
    </row>
    <row r="232" spans="1:8" ht="13.45" customHeight="1" x14ac:dyDescent="0.45">
      <c r="A232" s="22" t="s">
        <v>5298</v>
      </c>
      <c r="B232" s="33">
        <v>1503020</v>
      </c>
      <c r="C232" s="33">
        <v>3.2</v>
      </c>
      <c r="D232" s="36" t="s">
        <v>118</v>
      </c>
      <c r="E232" s="23">
        <v>6</v>
      </c>
      <c r="F232" s="23" t="s">
        <v>17</v>
      </c>
      <c r="G232" s="24"/>
      <c r="H232" s="24">
        <f>G232*E232</f>
        <v>0</v>
      </c>
    </row>
    <row r="233" spans="1:8" x14ac:dyDescent="0.45">
      <c r="A233" s="22" t="s">
        <v>5299</v>
      </c>
      <c r="B233" s="33">
        <v>1503020</v>
      </c>
      <c r="C233" s="33">
        <v>3.3</v>
      </c>
      <c r="D233" s="36" t="s">
        <v>120</v>
      </c>
      <c r="E233" s="23">
        <v>6</v>
      </c>
      <c r="F233" s="23" t="s">
        <v>17</v>
      </c>
      <c r="G233" s="24"/>
      <c r="H233" s="24">
        <f>G233*E233</f>
        <v>0</v>
      </c>
    </row>
    <row r="234" spans="1:8" x14ac:dyDescent="0.45">
      <c r="A234" s="40"/>
      <c r="B234" s="43">
        <v>1503030</v>
      </c>
      <c r="C234" s="41"/>
      <c r="D234" s="42" t="s">
        <v>121</v>
      </c>
      <c r="E234" s="43"/>
      <c r="F234" s="44"/>
      <c r="G234" s="44"/>
      <c r="H234" s="45"/>
    </row>
    <row r="235" spans="1:8" x14ac:dyDescent="0.45">
      <c r="A235" s="22" t="s">
        <v>5300</v>
      </c>
      <c r="B235" s="33">
        <v>1503030</v>
      </c>
      <c r="C235" s="33" t="s">
        <v>123</v>
      </c>
      <c r="D235" s="36" t="s">
        <v>124</v>
      </c>
      <c r="E235" s="23">
        <v>6</v>
      </c>
      <c r="F235" s="23" t="s">
        <v>17</v>
      </c>
      <c r="G235" s="24"/>
      <c r="H235" s="24">
        <f>G235*E235</f>
        <v>0</v>
      </c>
    </row>
    <row r="236" spans="1:8" x14ac:dyDescent="0.45">
      <c r="A236" s="58"/>
      <c r="B236" s="59"/>
      <c r="C236" s="59"/>
      <c r="D236" s="60" t="s">
        <v>287</v>
      </c>
      <c r="E236" s="59"/>
      <c r="F236" s="59"/>
      <c r="G236" s="59"/>
      <c r="H236" s="62">
        <f>SUM(H221:H235)</f>
        <v>0</v>
      </c>
    </row>
    <row r="237" spans="1:8" x14ac:dyDescent="0.45">
      <c r="A237" s="96"/>
      <c r="B237" s="97"/>
      <c r="C237" s="97"/>
      <c r="D237" s="98"/>
      <c r="E237" s="97"/>
      <c r="F237" s="97"/>
      <c r="G237" s="88"/>
      <c r="H237" s="99"/>
    </row>
    <row r="238" spans="1:8" x14ac:dyDescent="0.45">
      <c r="A238" s="12" t="s">
        <v>4589</v>
      </c>
      <c r="B238" s="13"/>
      <c r="C238" s="13"/>
      <c r="D238" s="12" t="s">
        <v>289</v>
      </c>
      <c r="E238" s="100"/>
      <c r="F238" s="101"/>
      <c r="G238" s="91"/>
      <c r="H238" s="102"/>
    </row>
    <row r="239" spans="1:8" x14ac:dyDescent="0.45">
      <c r="A239" s="103"/>
      <c r="B239" s="41">
        <v>1502000</v>
      </c>
      <c r="C239" s="43"/>
      <c r="D239" s="42" t="s">
        <v>18</v>
      </c>
      <c r="E239" s="43"/>
      <c r="F239" s="44"/>
      <c r="G239" s="44"/>
      <c r="H239" s="45"/>
    </row>
    <row r="240" spans="1:8" x14ac:dyDescent="0.45">
      <c r="A240" s="25"/>
      <c r="B240" s="26"/>
      <c r="C240" s="26">
        <v>3.4</v>
      </c>
      <c r="D240" s="27" t="s">
        <v>62</v>
      </c>
      <c r="E240" s="26"/>
      <c r="F240" s="26"/>
      <c r="G240" s="28"/>
      <c r="H240" s="104"/>
    </row>
    <row r="241" spans="1:8" x14ac:dyDescent="0.45">
      <c r="A241" s="22" t="s">
        <v>4590</v>
      </c>
      <c r="B241" s="23">
        <v>1502000</v>
      </c>
      <c r="C241" s="23" t="s">
        <v>67</v>
      </c>
      <c r="D241" s="35" t="s">
        <v>68</v>
      </c>
      <c r="E241" s="23">
        <v>6</v>
      </c>
      <c r="F241" s="23" t="s">
        <v>17</v>
      </c>
      <c r="G241" s="24"/>
      <c r="H241" s="24">
        <f>G241*E241</f>
        <v>0</v>
      </c>
    </row>
    <row r="242" spans="1:8" x14ac:dyDescent="0.45">
      <c r="A242" s="58"/>
      <c r="B242" s="59"/>
      <c r="C242" s="59"/>
      <c r="D242" s="60" t="s">
        <v>291</v>
      </c>
      <c r="E242" s="59"/>
      <c r="F242" s="59"/>
      <c r="G242" s="59"/>
      <c r="H242" s="62">
        <f>SUM(H241)</f>
        <v>0</v>
      </c>
    </row>
    <row r="243" spans="1:8" x14ac:dyDescent="0.45">
      <c r="A243" s="96"/>
      <c r="B243" s="97"/>
      <c r="C243" s="97"/>
      <c r="D243" s="98"/>
      <c r="E243" s="97"/>
      <c r="F243" s="97"/>
      <c r="G243" s="97"/>
      <c r="H243" s="99"/>
    </row>
    <row r="244" spans="1:8" x14ac:dyDescent="0.45">
      <c r="A244" s="12" t="s">
        <v>4591</v>
      </c>
      <c r="B244" s="13"/>
      <c r="C244" s="13"/>
      <c r="D244" s="12" t="s">
        <v>293</v>
      </c>
      <c r="E244" s="100"/>
      <c r="F244" s="101"/>
      <c r="G244" s="13"/>
      <c r="H244" s="102"/>
    </row>
    <row r="245" spans="1:8" x14ac:dyDescent="0.45">
      <c r="A245" s="40"/>
      <c r="B245" s="43">
        <v>1503030</v>
      </c>
      <c r="C245" s="41"/>
      <c r="D245" s="42" t="s">
        <v>121</v>
      </c>
      <c r="E245" s="43"/>
      <c r="F245" s="44"/>
      <c r="G245" s="44"/>
      <c r="H245" s="45"/>
    </row>
    <row r="246" spans="1:8" x14ac:dyDescent="0.45">
      <c r="A246" s="22" t="s">
        <v>4592</v>
      </c>
      <c r="B246" s="33">
        <v>1503030</v>
      </c>
      <c r="C246" s="33" t="s">
        <v>123</v>
      </c>
      <c r="D246" s="36" t="s">
        <v>124</v>
      </c>
      <c r="E246" s="23">
        <v>6</v>
      </c>
      <c r="F246" s="23" t="s">
        <v>17</v>
      </c>
      <c r="G246" s="24"/>
      <c r="H246" s="24">
        <f>G246*E246</f>
        <v>0</v>
      </c>
    </row>
    <row r="247" spans="1:8" x14ac:dyDescent="0.45">
      <c r="A247" s="58"/>
      <c r="B247" s="59"/>
      <c r="C247" s="59"/>
      <c r="D247" s="60" t="s">
        <v>295</v>
      </c>
      <c r="E247" s="59"/>
      <c r="F247" s="59"/>
      <c r="G247" s="59"/>
      <c r="H247" s="62">
        <f>SUM(H246)</f>
        <v>0</v>
      </c>
    </row>
    <row r="248" spans="1:8" x14ac:dyDescent="0.45">
      <c r="A248" s="96"/>
      <c r="B248" s="97"/>
      <c r="C248" s="97"/>
      <c r="D248" s="98"/>
      <c r="E248" s="97"/>
      <c r="F248" s="97"/>
      <c r="G248" s="88"/>
      <c r="H248" s="99"/>
    </row>
    <row r="249" spans="1:8" x14ac:dyDescent="0.45">
      <c r="A249" s="12" t="s">
        <v>4593</v>
      </c>
      <c r="B249" s="13"/>
      <c r="C249" s="13"/>
      <c r="D249" s="12" t="s">
        <v>297</v>
      </c>
      <c r="E249" s="100"/>
      <c r="F249" s="101"/>
      <c r="G249" s="91"/>
      <c r="H249" s="102"/>
    </row>
    <row r="250" spans="1:8" x14ac:dyDescent="0.45">
      <c r="A250" s="103"/>
      <c r="B250" s="41">
        <v>1502000</v>
      </c>
      <c r="C250" s="43"/>
      <c r="D250" s="42" t="s">
        <v>18</v>
      </c>
      <c r="E250" s="43"/>
      <c r="F250" s="44"/>
      <c r="G250" s="44"/>
      <c r="H250" s="45"/>
    </row>
    <row r="251" spans="1:8" x14ac:dyDescent="0.45">
      <c r="A251" s="27"/>
      <c r="B251" s="26"/>
      <c r="C251" s="26">
        <v>3.1</v>
      </c>
      <c r="D251" s="27" t="s">
        <v>19</v>
      </c>
      <c r="E251" s="26"/>
      <c r="F251" s="26"/>
      <c r="G251" s="28"/>
      <c r="H251" s="104"/>
    </row>
    <row r="252" spans="1:8" x14ac:dyDescent="0.45">
      <c r="A252" s="22" t="s">
        <v>4594</v>
      </c>
      <c r="B252" s="23">
        <v>1502000</v>
      </c>
      <c r="C252" s="23" t="s">
        <v>21</v>
      </c>
      <c r="D252" s="29" t="s">
        <v>22</v>
      </c>
      <c r="E252" s="23">
        <v>6</v>
      </c>
      <c r="F252" s="23" t="s">
        <v>17</v>
      </c>
      <c r="G252" s="24"/>
      <c r="H252" s="24">
        <f>G252*E252</f>
        <v>0</v>
      </c>
    </row>
    <row r="253" spans="1:8" x14ac:dyDescent="0.45">
      <c r="A253" s="22" t="s">
        <v>4595</v>
      </c>
      <c r="B253" s="23">
        <v>1502000</v>
      </c>
      <c r="C253" s="23" t="s">
        <v>24</v>
      </c>
      <c r="D253" s="29" t="s">
        <v>25</v>
      </c>
      <c r="E253" s="23">
        <v>6</v>
      </c>
      <c r="F253" s="23" t="s">
        <v>17</v>
      </c>
      <c r="G253" s="24"/>
      <c r="H253" s="24">
        <f>G253*E253</f>
        <v>0</v>
      </c>
    </row>
    <row r="254" spans="1:8" x14ac:dyDescent="0.45">
      <c r="A254" s="22" t="s">
        <v>4596</v>
      </c>
      <c r="B254" s="23">
        <v>1502000</v>
      </c>
      <c r="C254" s="23" t="s">
        <v>27</v>
      </c>
      <c r="D254" s="29" t="s">
        <v>28</v>
      </c>
      <c r="E254" s="23">
        <v>6</v>
      </c>
      <c r="F254" s="23" t="s">
        <v>17</v>
      </c>
      <c r="G254" s="24"/>
      <c r="H254" s="24">
        <f>G254*E254</f>
        <v>0</v>
      </c>
    </row>
    <row r="255" spans="1:8" x14ac:dyDescent="0.45">
      <c r="A255" s="25"/>
      <c r="B255" s="26"/>
      <c r="C255" s="26">
        <v>3.1</v>
      </c>
      <c r="D255" s="27" t="s">
        <v>31</v>
      </c>
      <c r="E255" s="28"/>
      <c r="F255" s="28"/>
      <c r="G255" s="28"/>
      <c r="H255" s="28"/>
    </row>
    <row r="256" spans="1:8" x14ac:dyDescent="0.45">
      <c r="A256" s="22" t="s">
        <v>4597</v>
      </c>
      <c r="B256" s="23">
        <v>1502000</v>
      </c>
      <c r="C256" s="286" t="s">
        <v>5022</v>
      </c>
      <c r="D256" s="32" t="s">
        <v>37</v>
      </c>
      <c r="E256" s="23">
        <v>6</v>
      </c>
      <c r="F256" s="23" t="s">
        <v>17</v>
      </c>
      <c r="G256" s="24"/>
      <c r="H256" s="24">
        <f>G256*E256</f>
        <v>0</v>
      </c>
    </row>
    <row r="257" spans="1:8" x14ac:dyDescent="0.45">
      <c r="A257" s="22" t="s">
        <v>4598</v>
      </c>
      <c r="B257" s="23">
        <v>1502000</v>
      </c>
      <c r="C257" s="23" t="s">
        <v>45</v>
      </c>
      <c r="D257" s="30" t="s">
        <v>46</v>
      </c>
      <c r="E257" s="23">
        <v>6</v>
      </c>
      <c r="F257" s="23" t="s">
        <v>17</v>
      </c>
      <c r="G257" s="24"/>
      <c r="H257" s="24">
        <f>G257*E257</f>
        <v>0</v>
      </c>
    </row>
    <row r="258" spans="1:8" x14ac:dyDescent="0.45">
      <c r="A258" s="25"/>
      <c r="B258" s="26"/>
      <c r="C258" s="26">
        <v>3.4</v>
      </c>
      <c r="D258" s="27" t="s">
        <v>62</v>
      </c>
      <c r="E258" s="26"/>
      <c r="F258" s="26"/>
      <c r="G258" s="28"/>
      <c r="H258" s="104"/>
    </row>
    <row r="259" spans="1:8" x14ac:dyDescent="0.45">
      <c r="A259" s="22" t="s">
        <v>4599</v>
      </c>
      <c r="B259" s="23">
        <v>1502000</v>
      </c>
      <c r="C259" s="23" t="s">
        <v>67</v>
      </c>
      <c r="D259" s="35" t="s">
        <v>68</v>
      </c>
      <c r="E259" s="23">
        <v>6</v>
      </c>
      <c r="F259" s="23" t="s">
        <v>17</v>
      </c>
      <c r="G259" s="24"/>
      <c r="H259" s="24">
        <f>G259*E259</f>
        <v>0</v>
      </c>
    </row>
    <row r="260" spans="1:8" x14ac:dyDescent="0.45">
      <c r="A260" s="25"/>
      <c r="B260" s="26"/>
      <c r="C260" s="26">
        <v>3.5</v>
      </c>
      <c r="D260" s="27" t="s">
        <v>72</v>
      </c>
      <c r="E260" s="28"/>
      <c r="F260" s="28"/>
      <c r="G260" s="28"/>
      <c r="H260" s="28"/>
    </row>
    <row r="261" spans="1:8" x14ac:dyDescent="0.45">
      <c r="A261" s="22" t="s">
        <v>4600</v>
      </c>
      <c r="B261" s="23">
        <v>1502000</v>
      </c>
      <c r="C261" s="23" t="s">
        <v>74</v>
      </c>
      <c r="D261" s="32" t="s">
        <v>37</v>
      </c>
      <c r="E261" s="23">
        <v>6</v>
      </c>
      <c r="F261" s="23" t="s">
        <v>17</v>
      </c>
      <c r="G261" s="24"/>
      <c r="H261" s="24">
        <f>G261*E261</f>
        <v>0</v>
      </c>
    </row>
    <row r="262" spans="1:8" x14ac:dyDescent="0.45">
      <c r="A262" s="25"/>
      <c r="B262" s="26"/>
      <c r="C262" s="26">
        <v>3.6</v>
      </c>
      <c r="D262" s="27" t="s">
        <v>75</v>
      </c>
      <c r="E262" s="26"/>
      <c r="F262" s="26"/>
      <c r="G262" s="28"/>
      <c r="H262" s="104"/>
    </row>
    <row r="263" spans="1:8" x14ac:dyDescent="0.45">
      <c r="A263" s="22" t="s">
        <v>4601</v>
      </c>
      <c r="B263" s="23">
        <v>1502000</v>
      </c>
      <c r="C263" s="33" t="s">
        <v>86</v>
      </c>
      <c r="D263" s="39" t="s">
        <v>87</v>
      </c>
      <c r="E263" s="23">
        <v>6</v>
      </c>
      <c r="F263" s="23" t="s">
        <v>17</v>
      </c>
      <c r="G263" s="24"/>
      <c r="H263" s="24">
        <f>G263*E263</f>
        <v>0</v>
      </c>
    </row>
    <row r="264" spans="1:8" x14ac:dyDescent="0.45">
      <c r="A264" s="22" t="s">
        <v>4602</v>
      </c>
      <c r="B264" s="23">
        <v>1502000</v>
      </c>
      <c r="C264" s="33" t="s">
        <v>89</v>
      </c>
      <c r="D264" s="39" t="s">
        <v>90</v>
      </c>
      <c r="E264" s="23">
        <v>6</v>
      </c>
      <c r="F264" s="23" t="s">
        <v>17</v>
      </c>
      <c r="G264" s="24"/>
      <c r="H264" s="24">
        <f>G264*E264</f>
        <v>0</v>
      </c>
    </row>
    <row r="265" spans="1:8" x14ac:dyDescent="0.45">
      <c r="A265" s="22" t="s">
        <v>4603</v>
      </c>
      <c r="B265" s="23">
        <v>1502000</v>
      </c>
      <c r="C265" s="23" t="s">
        <v>308</v>
      </c>
      <c r="D265" s="106" t="s">
        <v>309</v>
      </c>
      <c r="E265" s="23">
        <v>6</v>
      </c>
      <c r="F265" s="23" t="s">
        <v>17</v>
      </c>
      <c r="G265" s="24"/>
      <c r="H265" s="24">
        <f>G265*E265</f>
        <v>0</v>
      </c>
    </row>
    <row r="266" spans="1:8" x14ac:dyDescent="0.45">
      <c r="A266" s="40"/>
      <c r="B266" s="43">
        <v>1503020</v>
      </c>
      <c r="C266" s="41"/>
      <c r="D266" s="42" t="s">
        <v>114</v>
      </c>
      <c r="E266" s="43"/>
      <c r="F266" s="44"/>
      <c r="G266" s="44"/>
      <c r="H266" s="45"/>
    </row>
    <row r="267" spans="1:8" x14ac:dyDescent="0.45">
      <c r="A267" s="22" t="s">
        <v>4604</v>
      </c>
      <c r="B267" s="33">
        <v>1503020</v>
      </c>
      <c r="C267" s="33">
        <v>3.1</v>
      </c>
      <c r="D267" s="36" t="s">
        <v>116</v>
      </c>
      <c r="E267" s="23">
        <v>6</v>
      </c>
      <c r="F267" s="23" t="s">
        <v>17</v>
      </c>
      <c r="G267" s="24"/>
      <c r="H267" s="24">
        <f>G267*E267</f>
        <v>0</v>
      </c>
    </row>
    <row r="268" spans="1:8" x14ac:dyDescent="0.45">
      <c r="A268" s="22" t="s">
        <v>4605</v>
      </c>
      <c r="B268" s="33">
        <v>1503020</v>
      </c>
      <c r="C268" s="33">
        <v>3.2</v>
      </c>
      <c r="D268" s="36" t="s">
        <v>118</v>
      </c>
      <c r="E268" s="23">
        <v>6</v>
      </c>
      <c r="F268" s="23" t="s">
        <v>17</v>
      </c>
      <c r="G268" s="24"/>
      <c r="H268" s="24">
        <f>G268*E268</f>
        <v>0</v>
      </c>
    </row>
    <row r="269" spans="1:8" x14ac:dyDescent="0.45">
      <c r="A269" s="22" t="s">
        <v>4606</v>
      </c>
      <c r="B269" s="33">
        <v>1503020</v>
      </c>
      <c r="C269" s="33">
        <v>3.3</v>
      </c>
      <c r="D269" s="36" t="s">
        <v>120</v>
      </c>
      <c r="E269" s="23">
        <v>6</v>
      </c>
      <c r="F269" s="23" t="s">
        <v>17</v>
      </c>
      <c r="G269" s="24"/>
      <c r="H269" s="24">
        <f>G269*E269</f>
        <v>0</v>
      </c>
    </row>
    <row r="270" spans="1:8" x14ac:dyDescent="0.45">
      <c r="A270" s="40"/>
      <c r="B270" s="43">
        <v>1503030</v>
      </c>
      <c r="C270" s="41"/>
      <c r="D270" s="42" t="s">
        <v>121</v>
      </c>
      <c r="E270" s="43"/>
      <c r="F270" s="44"/>
      <c r="G270" s="44"/>
      <c r="H270" s="45"/>
    </row>
    <row r="271" spans="1:8" x14ac:dyDescent="0.45">
      <c r="A271" s="22" t="s">
        <v>4607</v>
      </c>
      <c r="B271" s="33">
        <v>1503030</v>
      </c>
      <c r="C271" s="33" t="s">
        <v>123</v>
      </c>
      <c r="D271" s="36" t="s">
        <v>124</v>
      </c>
      <c r="E271" s="23">
        <v>6</v>
      </c>
      <c r="F271" s="23" t="s">
        <v>17</v>
      </c>
      <c r="G271" s="24"/>
      <c r="H271" s="24">
        <f>G271*E271</f>
        <v>0</v>
      </c>
    </row>
    <row r="272" spans="1:8" x14ac:dyDescent="0.45">
      <c r="A272" s="58"/>
      <c r="B272" s="59"/>
      <c r="C272" s="59"/>
      <c r="D272" s="60" t="s">
        <v>314</v>
      </c>
      <c r="E272" s="59"/>
      <c r="F272" s="59"/>
      <c r="G272" s="59"/>
      <c r="H272" s="62">
        <f>SUM(H252:H271)</f>
        <v>0</v>
      </c>
    </row>
    <row r="273" spans="1:8" x14ac:dyDescent="0.45">
      <c r="A273" s="96"/>
      <c r="B273" s="97"/>
      <c r="C273" s="97"/>
      <c r="D273" s="98"/>
      <c r="E273" s="97"/>
      <c r="F273" s="97"/>
      <c r="G273" s="97"/>
      <c r="H273" s="99"/>
    </row>
    <row r="274" spans="1:8" x14ac:dyDescent="0.45">
      <c r="A274" s="12" t="s">
        <v>4608</v>
      </c>
      <c r="B274" s="13"/>
      <c r="C274" s="13"/>
      <c r="D274" s="12" t="s">
        <v>316</v>
      </c>
      <c r="E274" s="100"/>
      <c r="F274" s="101"/>
      <c r="G274" s="13"/>
      <c r="H274" s="102"/>
    </row>
    <row r="275" spans="1:8" x14ac:dyDescent="0.45">
      <c r="A275" s="40"/>
      <c r="B275" s="41">
        <v>1503010</v>
      </c>
      <c r="C275" s="41"/>
      <c r="D275" s="42" t="s">
        <v>109</v>
      </c>
      <c r="E275" s="43"/>
      <c r="F275" s="44"/>
      <c r="G275" s="44"/>
      <c r="H275" s="45"/>
    </row>
    <row r="276" spans="1:8" x14ac:dyDescent="0.45">
      <c r="A276" s="22" t="s">
        <v>4609</v>
      </c>
      <c r="B276" s="33">
        <v>1503010</v>
      </c>
      <c r="C276" s="33">
        <v>3.1</v>
      </c>
      <c r="D276" s="36" t="s">
        <v>111</v>
      </c>
      <c r="E276" s="23">
        <v>6</v>
      </c>
      <c r="F276" s="23" t="s">
        <v>17</v>
      </c>
      <c r="G276" s="24"/>
      <c r="H276" s="24">
        <f>G276*E276</f>
        <v>0</v>
      </c>
    </row>
    <row r="277" spans="1:8" x14ac:dyDescent="0.45">
      <c r="A277" s="40"/>
      <c r="B277" s="43">
        <v>1503020</v>
      </c>
      <c r="C277" s="41"/>
      <c r="D277" s="42" t="s">
        <v>114</v>
      </c>
      <c r="E277" s="43"/>
      <c r="F277" s="44"/>
      <c r="G277" s="44"/>
      <c r="H277" s="45"/>
    </row>
    <row r="278" spans="1:8" ht="13.45" customHeight="1" x14ac:dyDescent="0.45">
      <c r="A278" s="22" t="s">
        <v>4610</v>
      </c>
      <c r="B278" s="33">
        <v>1503020</v>
      </c>
      <c r="C278" s="33">
        <v>3.1</v>
      </c>
      <c r="D278" s="36" t="s">
        <v>116</v>
      </c>
      <c r="E278" s="23">
        <v>6</v>
      </c>
      <c r="F278" s="23" t="s">
        <v>17</v>
      </c>
      <c r="G278" s="24"/>
      <c r="H278" s="24">
        <f>G278*E278</f>
        <v>0</v>
      </c>
    </row>
    <row r="279" spans="1:8" ht="13.45" customHeight="1" x14ac:dyDescent="0.45">
      <c r="A279" s="22" t="s">
        <v>4611</v>
      </c>
      <c r="B279" s="33">
        <v>1503020</v>
      </c>
      <c r="C279" s="33">
        <v>3.2</v>
      </c>
      <c r="D279" s="36" t="s">
        <v>118</v>
      </c>
      <c r="E279" s="23">
        <v>6</v>
      </c>
      <c r="F279" s="23" t="s">
        <v>17</v>
      </c>
      <c r="G279" s="24"/>
      <c r="H279" s="24">
        <f>G279*E279</f>
        <v>0</v>
      </c>
    </row>
    <row r="280" spans="1:8" x14ac:dyDescent="0.45">
      <c r="A280" s="22" t="s">
        <v>4612</v>
      </c>
      <c r="B280" s="33">
        <v>1503020</v>
      </c>
      <c r="C280" s="33">
        <v>3.3</v>
      </c>
      <c r="D280" s="36" t="s">
        <v>120</v>
      </c>
      <c r="E280" s="23">
        <v>6</v>
      </c>
      <c r="F280" s="23" t="s">
        <v>17</v>
      </c>
      <c r="G280" s="24"/>
      <c r="H280" s="24">
        <f>G280*E280</f>
        <v>0</v>
      </c>
    </row>
    <row r="281" spans="1:8" x14ac:dyDescent="0.45">
      <c r="A281" s="58"/>
      <c r="B281" s="59"/>
      <c r="C281" s="59"/>
      <c r="D281" s="60" t="s">
        <v>321</v>
      </c>
      <c r="E281" s="59"/>
      <c r="F281" s="59"/>
      <c r="G281" s="59"/>
      <c r="H281" s="62">
        <f>SUM(H276:H280)</f>
        <v>0</v>
      </c>
    </row>
    <row r="282" spans="1:8" x14ac:dyDescent="0.45">
      <c r="A282" s="96"/>
      <c r="B282" s="97"/>
      <c r="C282" s="97"/>
      <c r="D282" s="98"/>
      <c r="E282" s="97"/>
      <c r="F282" s="97"/>
      <c r="G282" s="88"/>
      <c r="H282" s="99"/>
    </row>
    <row r="283" spans="1:8" x14ac:dyDescent="0.45">
      <c r="A283" s="12" t="s">
        <v>4613</v>
      </c>
      <c r="B283" s="13"/>
      <c r="C283" s="13"/>
      <c r="D283" s="12" t="s">
        <v>323</v>
      </c>
      <c r="E283" s="13"/>
      <c r="F283" s="13"/>
      <c r="G283" s="91"/>
      <c r="H283" s="102"/>
    </row>
    <row r="284" spans="1:8" x14ac:dyDescent="0.45">
      <c r="A284" s="103"/>
      <c r="B284" s="41">
        <v>1502000</v>
      </c>
      <c r="C284" s="43"/>
      <c r="D284" s="42" t="s">
        <v>18</v>
      </c>
      <c r="E284" s="43"/>
      <c r="F284" s="44"/>
      <c r="G284" s="44"/>
      <c r="H284" s="45"/>
    </row>
    <row r="285" spans="1:8" x14ac:dyDescent="0.45">
      <c r="A285" s="27"/>
      <c r="B285" s="26"/>
      <c r="C285" s="26">
        <v>3.1</v>
      </c>
      <c r="D285" s="27" t="s">
        <v>19</v>
      </c>
      <c r="E285" s="26"/>
      <c r="F285" s="26"/>
      <c r="G285" s="28"/>
      <c r="H285" s="104"/>
    </row>
    <row r="286" spans="1:8" x14ac:dyDescent="0.45">
      <c r="A286" s="22" t="s">
        <v>4614</v>
      </c>
      <c r="B286" s="23">
        <v>1502000</v>
      </c>
      <c r="C286" s="23" t="s">
        <v>21</v>
      </c>
      <c r="D286" s="29" t="s">
        <v>22</v>
      </c>
      <c r="E286" s="23">
        <v>6</v>
      </c>
      <c r="F286" s="23" t="s">
        <v>17</v>
      </c>
      <c r="G286" s="24"/>
      <c r="H286" s="24">
        <f>G286*E286</f>
        <v>0</v>
      </c>
    </row>
    <row r="287" spans="1:8" x14ac:dyDescent="0.45">
      <c r="A287" s="22" t="s">
        <v>4615</v>
      </c>
      <c r="B287" s="23">
        <v>1502000</v>
      </c>
      <c r="C287" s="23" t="s">
        <v>24</v>
      </c>
      <c r="D287" s="29" t="s">
        <v>25</v>
      </c>
      <c r="E287" s="23">
        <v>6</v>
      </c>
      <c r="F287" s="23" t="s">
        <v>17</v>
      </c>
      <c r="G287" s="24"/>
      <c r="H287" s="24">
        <f>G287*E287</f>
        <v>0</v>
      </c>
    </row>
    <row r="288" spans="1:8" x14ac:dyDescent="0.45">
      <c r="A288" s="22" t="s">
        <v>4616</v>
      </c>
      <c r="B288" s="23">
        <v>1502000</v>
      </c>
      <c r="C288" s="23" t="s">
        <v>27</v>
      </c>
      <c r="D288" s="29" t="s">
        <v>28</v>
      </c>
      <c r="E288" s="23">
        <v>6</v>
      </c>
      <c r="F288" s="23" t="s">
        <v>17</v>
      </c>
      <c r="G288" s="24"/>
      <c r="H288" s="24">
        <f>G288*E288</f>
        <v>0</v>
      </c>
    </row>
    <row r="289" spans="1:8" x14ac:dyDescent="0.45">
      <c r="A289" s="25"/>
      <c r="B289" s="26"/>
      <c r="C289" s="26">
        <v>3.1</v>
      </c>
      <c r="D289" s="27" t="s">
        <v>31</v>
      </c>
      <c r="E289" s="28"/>
      <c r="F289" s="28"/>
      <c r="G289" s="28"/>
      <c r="H289" s="28"/>
    </row>
    <row r="290" spans="1:8" x14ac:dyDescent="0.45">
      <c r="A290" s="22" t="s">
        <v>4617</v>
      </c>
      <c r="B290" s="23">
        <v>1502000</v>
      </c>
      <c r="C290" s="23" t="s">
        <v>33</v>
      </c>
      <c r="D290" s="30" t="s">
        <v>34</v>
      </c>
      <c r="E290" s="23">
        <v>6</v>
      </c>
      <c r="F290" s="23" t="s">
        <v>17</v>
      </c>
      <c r="G290" s="24"/>
      <c r="H290" s="24">
        <f t="shared" ref="H290:H295" si="3">G290*E290</f>
        <v>0</v>
      </c>
    </row>
    <row r="291" spans="1:8" s="389" customFormat="1" x14ac:dyDescent="0.45">
      <c r="A291" s="22" t="s">
        <v>4618</v>
      </c>
      <c r="B291" s="23">
        <v>1502000</v>
      </c>
      <c r="C291" s="23" t="s">
        <v>5016</v>
      </c>
      <c r="D291" s="30" t="s">
        <v>46</v>
      </c>
      <c r="E291" s="23">
        <v>6</v>
      </c>
      <c r="F291" s="23" t="s">
        <v>17</v>
      </c>
      <c r="G291" s="24"/>
      <c r="H291" s="24">
        <f t="shared" si="3"/>
        <v>0</v>
      </c>
    </row>
    <row r="292" spans="1:8" s="389" customFormat="1" x14ac:dyDescent="0.45">
      <c r="A292" s="258" t="s">
        <v>4619</v>
      </c>
      <c r="B292" s="261">
        <v>1502000</v>
      </c>
      <c r="C292" s="261" t="s">
        <v>5017</v>
      </c>
      <c r="D292" s="269" t="s">
        <v>55</v>
      </c>
      <c r="E292" s="261">
        <v>6</v>
      </c>
      <c r="F292" s="261" t="s">
        <v>17</v>
      </c>
      <c r="G292" s="262"/>
      <c r="H292" s="262">
        <f t="shared" si="3"/>
        <v>0</v>
      </c>
    </row>
    <row r="293" spans="1:8" s="389" customFormat="1" x14ac:dyDescent="0.45">
      <c r="A293" s="22" t="s">
        <v>5301</v>
      </c>
      <c r="B293" s="23">
        <v>1502000</v>
      </c>
      <c r="C293" s="113" t="s">
        <v>5018</v>
      </c>
      <c r="D293" s="114" t="s">
        <v>330</v>
      </c>
      <c r="E293" s="23">
        <v>6</v>
      </c>
      <c r="F293" s="23" t="s">
        <v>17</v>
      </c>
      <c r="G293" s="24"/>
      <c r="H293" s="24">
        <f t="shared" si="3"/>
        <v>0</v>
      </c>
    </row>
    <row r="294" spans="1:8" s="389" customFormat="1" x14ac:dyDescent="0.45">
      <c r="A294" s="22" t="s">
        <v>5302</v>
      </c>
      <c r="B294" s="23">
        <v>1502000</v>
      </c>
      <c r="C294" s="113" t="s">
        <v>5019</v>
      </c>
      <c r="D294" s="114" t="s">
        <v>331</v>
      </c>
      <c r="E294" s="23">
        <v>6</v>
      </c>
      <c r="F294" s="23" t="s">
        <v>17</v>
      </c>
      <c r="G294" s="24"/>
      <c r="H294" s="24">
        <f t="shared" si="3"/>
        <v>0</v>
      </c>
    </row>
    <row r="295" spans="1:8" s="389" customFormat="1" x14ac:dyDescent="0.45">
      <c r="A295" s="22" t="s">
        <v>5303</v>
      </c>
      <c r="B295" s="23">
        <v>1502000</v>
      </c>
      <c r="C295" s="113" t="s">
        <v>5020</v>
      </c>
      <c r="D295" s="114" t="s">
        <v>333</v>
      </c>
      <c r="E295" s="23">
        <v>6</v>
      </c>
      <c r="F295" s="23" t="s">
        <v>17</v>
      </c>
      <c r="G295" s="24"/>
      <c r="H295" s="24">
        <f t="shared" si="3"/>
        <v>0</v>
      </c>
    </row>
    <row r="296" spans="1:8" x14ac:dyDescent="0.45">
      <c r="A296" s="25"/>
      <c r="B296" s="26"/>
      <c r="C296" s="26">
        <v>3.4</v>
      </c>
      <c r="D296" s="27" t="s">
        <v>62</v>
      </c>
      <c r="E296" s="26"/>
      <c r="F296" s="26"/>
      <c r="G296" s="28"/>
      <c r="H296" s="104"/>
    </row>
    <row r="297" spans="1:8" x14ac:dyDescent="0.45">
      <c r="A297" s="22" t="s">
        <v>5304</v>
      </c>
      <c r="B297" s="23">
        <v>1502000</v>
      </c>
      <c r="C297" s="23" t="s">
        <v>67</v>
      </c>
      <c r="D297" s="35" t="s">
        <v>68</v>
      </c>
      <c r="E297" s="23">
        <v>6</v>
      </c>
      <c r="F297" s="23" t="s">
        <v>17</v>
      </c>
      <c r="G297" s="24"/>
      <c r="H297" s="24">
        <f>G297*E297</f>
        <v>0</v>
      </c>
    </row>
    <row r="298" spans="1:8" x14ac:dyDescent="0.45">
      <c r="A298" s="25"/>
      <c r="B298" s="26"/>
      <c r="C298" s="26">
        <v>3.6</v>
      </c>
      <c r="D298" s="27" t="s">
        <v>75</v>
      </c>
      <c r="E298" s="26"/>
      <c r="F298" s="26"/>
      <c r="G298" s="28"/>
      <c r="H298" s="104"/>
    </row>
    <row r="299" spans="1:8" x14ac:dyDescent="0.45">
      <c r="A299" s="22" t="s">
        <v>5305</v>
      </c>
      <c r="B299" s="23">
        <v>1502000</v>
      </c>
      <c r="C299" s="33" t="s">
        <v>89</v>
      </c>
      <c r="D299" s="39" t="s">
        <v>90</v>
      </c>
      <c r="E299" s="23">
        <v>6</v>
      </c>
      <c r="F299" s="23" t="s">
        <v>17</v>
      </c>
      <c r="G299" s="24"/>
      <c r="H299" s="24">
        <f>G299*E299</f>
        <v>0</v>
      </c>
    </row>
    <row r="300" spans="1:8" x14ac:dyDescent="0.45">
      <c r="A300" s="22" t="s">
        <v>5306</v>
      </c>
      <c r="B300" s="23">
        <v>1502000</v>
      </c>
      <c r="C300" s="33" t="s">
        <v>101</v>
      </c>
      <c r="D300" s="39" t="s">
        <v>102</v>
      </c>
      <c r="E300" s="23">
        <v>6</v>
      </c>
      <c r="F300" s="23" t="s">
        <v>17</v>
      </c>
      <c r="G300" s="24"/>
      <c r="H300" s="24">
        <f>G300*E300</f>
        <v>0</v>
      </c>
    </row>
    <row r="301" spans="1:8" x14ac:dyDescent="0.45">
      <c r="A301" s="40"/>
      <c r="B301" s="41">
        <v>1503010</v>
      </c>
      <c r="C301" s="41"/>
      <c r="D301" s="42" t="s">
        <v>109</v>
      </c>
      <c r="E301" s="43"/>
      <c r="F301" s="44"/>
      <c r="G301" s="44"/>
      <c r="H301" s="45"/>
    </row>
    <row r="302" spans="1:8" x14ac:dyDescent="0.45">
      <c r="A302" s="22" t="s">
        <v>5307</v>
      </c>
      <c r="B302" s="33">
        <v>1503010</v>
      </c>
      <c r="C302" s="33">
        <v>3.1</v>
      </c>
      <c r="D302" s="36" t="s">
        <v>111</v>
      </c>
      <c r="E302" s="23">
        <v>6</v>
      </c>
      <c r="F302" s="115" t="s">
        <v>17</v>
      </c>
      <c r="G302" s="24"/>
      <c r="H302" s="24">
        <f>G302*E302</f>
        <v>0</v>
      </c>
    </row>
    <row r="303" spans="1:8" x14ac:dyDescent="0.45">
      <c r="A303" s="58"/>
      <c r="B303" s="59"/>
      <c r="C303" s="59"/>
      <c r="D303" s="60" t="s">
        <v>334</v>
      </c>
      <c r="E303" s="59"/>
      <c r="F303" s="59"/>
      <c r="G303" s="59"/>
      <c r="H303" s="62">
        <f>SUM(H286:H302)</f>
        <v>0</v>
      </c>
    </row>
    <row r="304" spans="1:8" x14ac:dyDescent="0.45">
      <c r="A304" s="96"/>
      <c r="B304" s="97"/>
      <c r="C304" s="97"/>
      <c r="D304" s="116"/>
      <c r="E304" s="97"/>
      <c r="F304" s="97"/>
      <c r="G304" s="88"/>
      <c r="H304" s="99"/>
    </row>
    <row r="305" spans="1:8" x14ac:dyDescent="0.45">
      <c r="A305" s="12" t="s">
        <v>4620</v>
      </c>
      <c r="B305" s="13"/>
      <c r="C305" s="13"/>
      <c r="D305" s="247" t="s">
        <v>5009</v>
      </c>
      <c r="E305" s="13"/>
      <c r="F305" s="13"/>
      <c r="G305" s="91"/>
      <c r="H305" s="102"/>
    </row>
    <row r="306" spans="1:8" x14ac:dyDescent="0.45">
      <c r="A306" s="40"/>
      <c r="B306" s="41">
        <v>1401000</v>
      </c>
      <c r="C306" s="41"/>
      <c r="D306" s="42" t="s">
        <v>336</v>
      </c>
      <c r="E306" s="43"/>
      <c r="F306" s="44"/>
      <c r="G306" s="44"/>
      <c r="H306" s="45"/>
    </row>
    <row r="307" spans="1:8" x14ac:dyDescent="0.45">
      <c r="A307" s="22" t="s">
        <v>4621</v>
      </c>
      <c r="B307" s="23">
        <v>1401000</v>
      </c>
      <c r="C307" s="23">
        <v>3.1</v>
      </c>
      <c r="D307" s="27" t="s">
        <v>338</v>
      </c>
      <c r="E307" s="26"/>
      <c r="F307" s="26"/>
      <c r="G307" s="28"/>
      <c r="H307" s="104"/>
    </row>
    <row r="308" spans="1:8" x14ac:dyDescent="0.45">
      <c r="A308" s="22" t="s">
        <v>4622</v>
      </c>
      <c r="B308" s="117">
        <v>1401000</v>
      </c>
      <c r="C308" s="117" t="s">
        <v>340</v>
      </c>
      <c r="D308" s="106" t="s">
        <v>22</v>
      </c>
      <c r="E308" s="118">
        <v>6</v>
      </c>
      <c r="F308" s="118" t="s">
        <v>17</v>
      </c>
      <c r="G308" s="24"/>
      <c r="H308" s="24">
        <f>G308*E308</f>
        <v>0</v>
      </c>
    </row>
    <row r="309" spans="1:8" x14ac:dyDescent="0.45">
      <c r="A309" s="22" t="s">
        <v>4623</v>
      </c>
      <c r="B309" s="117">
        <v>1401000</v>
      </c>
      <c r="C309" s="117" t="s">
        <v>342</v>
      </c>
      <c r="D309" s="106" t="s">
        <v>25</v>
      </c>
      <c r="E309" s="118">
        <v>6</v>
      </c>
      <c r="F309" s="118" t="s">
        <v>17</v>
      </c>
      <c r="G309" s="24"/>
      <c r="H309" s="24">
        <f>G309*E309</f>
        <v>0</v>
      </c>
    </row>
    <row r="310" spans="1:8" x14ac:dyDescent="0.45">
      <c r="A310" s="22" t="s">
        <v>4624</v>
      </c>
      <c r="B310" s="117">
        <v>1401000</v>
      </c>
      <c r="C310" s="117" t="s">
        <v>344</v>
      </c>
      <c r="D310" s="106" t="s">
        <v>28</v>
      </c>
      <c r="E310" s="118">
        <v>6</v>
      </c>
      <c r="F310" s="118" t="s">
        <v>17</v>
      </c>
      <c r="G310" s="24"/>
      <c r="H310" s="24">
        <f>G310*E310</f>
        <v>0</v>
      </c>
    </row>
    <row r="311" spans="1:8" x14ac:dyDescent="0.45">
      <c r="A311" s="22" t="s">
        <v>4625</v>
      </c>
      <c r="B311" s="117">
        <v>1401000</v>
      </c>
      <c r="C311" s="117" t="s">
        <v>24</v>
      </c>
      <c r="D311" s="106" t="s">
        <v>346</v>
      </c>
      <c r="E311" s="118">
        <v>6</v>
      </c>
      <c r="F311" s="118" t="s">
        <v>17</v>
      </c>
      <c r="G311" s="24"/>
      <c r="H311" s="24">
        <f>G311*E311</f>
        <v>0</v>
      </c>
    </row>
    <row r="312" spans="1:8" x14ac:dyDescent="0.45">
      <c r="A312" s="103"/>
      <c r="B312" s="41">
        <v>1502000</v>
      </c>
      <c r="C312" s="43"/>
      <c r="D312" s="42" t="s">
        <v>18</v>
      </c>
      <c r="E312" s="43"/>
      <c r="F312" s="44"/>
      <c r="G312" s="44"/>
      <c r="H312" s="45"/>
    </row>
    <row r="313" spans="1:8" x14ac:dyDescent="0.45">
      <c r="A313" s="25"/>
      <c r="B313" s="26"/>
      <c r="C313" s="26">
        <v>3.1</v>
      </c>
      <c r="D313" s="27" t="s">
        <v>31</v>
      </c>
      <c r="E313" s="28"/>
      <c r="F313" s="28"/>
      <c r="G313" s="28"/>
      <c r="H313" s="28"/>
    </row>
    <row r="314" spans="1:8" x14ac:dyDescent="0.45">
      <c r="A314" s="22" t="s">
        <v>4626</v>
      </c>
      <c r="B314" s="33">
        <v>1502000</v>
      </c>
      <c r="C314" s="33" t="s">
        <v>60</v>
      </c>
      <c r="D314" s="30" t="s">
        <v>61</v>
      </c>
      <c r="E314" s="118">
        <v>6</v>
      </c>
      <c r="F314" s="118" t="s">
        <v>17</v>
      </c>
      <c r="G314" s="24"/>
      <c r="H314" s="24">
        <f>G314*E314</f>
        <v>0</v>
      </c>
    </row>
    <row r="315" spans="1:8" x14ac:dyDescent="0.45">
      <c r="A315" s="25"/>
      <c r="B315" s="26"/>
      <c r="C315" s="26">
        <v>3.4</v>
      </c>
      <c r="D315" s="27" t="s">
        <v>62</v>
      </c>
      <c r="E315" s="26"/>
      <c r="F315" s="26"/>
      <c r="G315" s="28"/>
      <c r="H315" s="104"/>
    </row>
    <row r="316" spans="1:8" x14ac:dyDescent="0.45">
      <c r="A316" s="22" t="s">
        <v>4627</v>
      </c>
      <c r="B316" s="23">
        <v>1502000</v>
      </c>
      <c r="C316" s="23" t="s">
        <v>64</v>
      </c>
      <c r="D316" s="35" t="s">
        <v>65</v>
      </c>
      <c r="E316" s="118">
        <v>6</v>
      </c>
      <c r="F316" s="118" t="s">
        <v>17</v>
      </c>
      <c r="G316" s="24"/>
      <c r="H316" s="24">
        <f>G316*E316</f>
        <v>0</v>
      </c>
    </row>
    <row r="317" spans="1:8" x14ac:dyDescent="0.45">
      <c r="A317" s="22" t="s">
        <v>4628</v>
      </c>
      <c r="B317" s="23">
        <v>1502000</v>
      </c>
      <c r="C317" s="33" t="s">
        <v>70</v>
      </c>
      <c r="D317" s="36" t="s">
        <v>71</v>
      </c>
      <c r="E317" s="118">
        <v>6</v>
      </c>
      <c r="F317" s="118" t="s">
        <v>17</v>
      </c>
      <c r="G317" s="24"/>
      <c r="H317" s="24">
        <f>G317*E317</f>
        <v>0</v>
      </c>
    </row>
    <row r="318" spans="1:8" x14ac:dyDescent="0.45">
      <c r="A318" s="25"/>
      <c r="B318" s="26"/>
      <c r="C318" s="26">
        <v>3.6</v>
      </c>
      <c r="D318" s="27" t="s">
        <v>75</v>
      </c>
      <c r="E318" s="26"/>
      <c r="F318" s="26"/>
      <c r="G318" s="28"/>
      <c r="H318" s="104"/>
    </row>
    <row r="319" spans="1:8" x14ac:dyDescent="0.45">
      <c r="A319" s="22" t="s">
        <v>4629</v>
      </c>
      <c r="B319" s="23">
        <v>1502000</v>
      </c>
      <c r="C319" s="23" t="s">
        <v>80</v>
      </c>
      <c r="D319" s="30" t="s">
        <v>81</v>
      </c>
      <c r="E319" s="118">
        <v>6</v>
      </c>
      <c r="F319" s="118" t="s">
        <v>17</v>
      </c>
      <c r="G319" s="24"/>
      <c r="H319" s="24">
        <f>G319*E319</f>
        <v>0</v>
      </c>
    </row>
    <row r="320" spans="1:8" x14ac:dyDescent="0.45">
      <c r="A320" s="22" t="s">
        <v>4630</v>
      </c>
      <c r="B320" s="23">
        <v>1502000</v>
      </c>
      <c r="C320" s="33" t="s">
        <v>86</v>
      </c>
      <c r="D320" s="39" t="s">
        <v>87</v>
      </c>
      <c r="E320" s="118">
        <v>6</v>
      </c>
      <c r="F320" s="118" t="s">
        <v>17</v>
      </c>
      <c r="G320" s="24"/>
      <c r="H320" s="24">
        <f>G320*E320</f>
        <v>0</v>
      </c>
    </row>
    <row r="321" spans="1:8" x14ac:dyDescent="0.45">
      <c r="A321" s="40"/>
      <c r="B321" s="41">
        <v>1503010</v>
      </c>
      <c r="C321" s="41"/>
      <c r="D321" s="42" t="s">
        <v>109</v>
      </c>
      <c r="E321" s="43"/>
      <c r="F321" s="44"/>
      <c r="G321" s="44"/>
      <c r="H321" s="45"/>
    </row>
    <row r="322" spans="1:8" x14ac:dyDescent="0.45">
      <c r="A322" s="22" t="s">
        <v>4631</v>
      </c>
      <c r="B322" s="33">
        <v>1503010</v>
      </c>
      <c r="C322" s="33">
        <v>3.1</v>
      </c>
      <c r="D322" s="36" t="s">
        <v>111</v>
      </c>
      <c r="E322" s="23">
        <v>6</v>
      </c>
      <c r="F322" s="23" t="s">
        <v>17</v>
      </c>
      <c r="G322" s="24"/>
      <c r="H322" s="24">
        <f>G322*E322</f>
        <v>0</v>
      </c>
    </row>
    <row r="323" spans="1:8" s="389" customFormat="1" x14ac:dyDescent="0.45">
      <c r="A323" s="40"/>
      <c r="B323" s="43">
        <v>1503020</v>
      </c>
      <c r="C323" s="41"/>
      <c r="D323" s="42" t="s">
        <v>114</v>
      </c>
      <c r="E323" s="43"/>
      <c r="F323" s="44"/>
      <c r="G323" s="44"/>
      <c r="H323" s="45"/>
    </row>
    <row r="324" spans="1:8" s="254" customFormat="1" x14ac:dyDescent="0.45">
      <c r="A324" s="249" t="s">
        <v>4632</v>
      </c>
      <c r="B324" s="250">
        <v>1503020</v>
      </c>
      <c r="C324" s="250">
        <v>3.1</v>
      </c>
      <c r="D324" s="295" t="s">
        <v>116</v>
      </c>
      <c r="E324" s="252">
        <v>6</v>
      </c>
      <c r="F324" s="252" t="s">
        <v>17</v>
      </c>
      <c r="G324" s="253"/>
      <c r="H324" s="253">
        <f>G324*E324</f>
        <v>0</v>
      </c>
    </row>
    <row r="325" spans="1:8" s="254" customFormat="1" x14ac:dyDescent="0.45">
      <c r="A325" s="249" t="s">
        <v>4633</v>
      </c>
      <c r="B325" s="250">
        <v>1503020</v>
      </c>
      <c r="C325" s="250">
        <v>3.2</v>
      </c>
      <c r="D325" s="251" t="s">
        <v>118</v>
      </c>
      <c r="E325" s="252">
        <v>6</v>
      </c>
      <c r="F325" s="252" t="s">
        <v>17</v>
      </c>
      <c r="G325" s="253"/>
      <c r="H325" s="253">
        <f>G325*E325</f>
        <v>0</v>
      </c>
    </row>
    <row r="326" spans="1:8" s="300" customFormat="1" x14ac:dyDescent="0.45">
      <c r="A326" s="269" t="s">
        <v>4633</v>
      </c>
      <c r="B326" s="296">
        <v>1503020</v>
      </c>
      <c r="C326" s="296" t="s">
        <v>158</v>
      </c>
      <c r="D326" s="297" t="s">
        <v>5015</v>
      </c>
      <c r="E326" s="298">
        <v>6</v>
      </c>
      <c r="F326" s="298" t="s">
        <v>17</v>
      </c>
      <c r="G326" s="299"/>
      <c r="H326" s="299">
        <f>G326*E326</f>
        <v>0</v>
      </c>
    </row>
    <row r="327" spans="1:8" s="140" customFormat="1" x14ac:dyDescent="0.45">
      <c r="A327" s="249" t="s">
        <v>4634</v>
      </c>
      <c r="B327" s="52">
        <v>1503020</v>
      </c>
      <c r="C327" s="52">
        <v>3.3</v>
      </c>
      <c r="D327" s="36" t="s">
        <v>120</v>
      </c>
      <c r="E327" s="255">
        <v>6</v>
      </c>
      <c r="F327" s="255" t="s">
        <v>17</v>
      </c>
      <c r="G327" s="256"/>
      <c r="H327" s="24">
        <f>G327*E327</f>
        <v>0</v>
      </c>
    </row>
    <row r="328" spans="1:8" x14ac:dyDescent="0.45">
      <c r="A328" s="40"/>
      <c r="B328" s="43">
        <v>1503030</v>
      </c>
      <c r="C328" s="41"/>
      <c r="D328" s="42" t="s">
        <v>121</v>
      </c>
      <c r="E328" s="43"/>
      <c r="F328" s="44"/>
      <c r="G328" s="44"/>
      <c r="H328" s="45"/>
    </row>
    <row r="329" spans="1:8" x14ac:dyDescent="0.45">
      <c r="A329" s="22" t="s">
        <v>4634</v>
      </c>
      <c r="B329" s="33">
        <v>1503030</v>
      </c>
      <c r="C329" s="33" t="s">
        <v>123</v>
      </c>
      <c r="D329" s="36" t="s">
        <v>124</v>
      </c>
      <c r="E329" s="23">
        <v>6</v>
      </c>
      <c r="F329" s="23" t="s">
        <v>17</v>
      </c>
      <c r="G329" s="24"/>
      <c r="H329" s="24">
        <f>G329*E329</f>
        <v>0</v>
      </c>
    </row>
    <row r="330" spans="1:8" x14ac:dyDescent="0.45">
      <c r="A330" s="40"/>
      <c r="B330" s="41">
        <v>1503050</v>
      </c>
      <c r="C330" s="41"/>
      <c r="D330" s="42" t="s">
        <v>127</v>
      </c>
      <c r="E330" s="43"/>
      <c r="F330" s="44"/>
      <c r="G330" s="44"/>
      <c r="H330" s="45"/>
    </row>
    <row r="331" spans="1:8" x14ac:dyDescent="0.45">
      <c r="A331" s="22" t="s">
        <v>4635</v>
      </c>
      <c r="B331" s="23">
        <v>1503050</v>
      </c>
      <c r="C331" s="23">
        <v>3.1</v>
      </c>
      <c r="D331" s="106" t="s">
        <v>129</v>
      </c>
      <c r="E331" s="23">
        <v>6</v>
      </c>
      <c r="F331" s="23" t="s">
        <v>17</v>
      </c>
      <c r="G331" s="24"/>
      <c r="H331" s="24">
        <f>G331*E331</f>
        <v>0</v>
      </c>
    </row>
    <row r="332" spans="1:8" x14ac:dyDescent="0.45">
      <c r="A332" s="40"/>
      <c r="B332" s="41">
        <v>1503060</v>
      </c>
      <c r="C332" s="41"/>
      <c r="D332" s="42" t="s">
        <v>138</v>
      </c>
      <c r="E332" s="43"/>
      <c r="F332" s="44"/>
      <c r="G332" s="44"/>
      <c r="H332" s="45"/>
    </row>
    <row r="333" spans="1:8" x14ac:dyDescent="0.45">
      <c r="A333" s="22" t="s">
        <v>4636</v>
      </c>
      <c r="B333" s="23">
        <v>1503060</v>
      </c>
      <c r="C333" s="23">
        <v>3.1</v>
      </c>
      <c r="D333" s="106" t="s">
        <v>129</v>
      </c>
      <c r="E333" s="23">
        <v>6</v>
      </c>
      <c r="F333" s="23" t="s">
        <v>17</v>
      </c>
      <c r="G333" s="24"/>
      <c r="H333" s="24">
        <f>G333*E333</f>
        <v>0</v>
      </c>
    </row>
    <row r="334" spans="1:8" x14ac:dyDescent="0.45">
      <c r="A334" s="58"/>
      <c r="B334" s="59"/>
      <c r="C334" s="59"/>
      <c r="D334" s="60" t="s">
        <v>358</v>
      </c>
      <c r="E334" s="59"/>
      <c r="F334" s="59"/>
      <c r="G334" s="59"/>
      <c r="H334" s="62">
        <f>SUM(H308:H333)</f>
        <v>0</v>
      </c>
    </row>
    <row r="335" spans="1:8" x14ac:dyDescent="0.45">
      <c r="A335" s="121"/>
      <c r="B335" s="122"/>
      <c r="C335" s="122"/>
      <c r="D335" s="123"/>
      <c r="E335" s="122"/>
      <c r="F335" s="124"/>
      <c r="G335" s="97"/>
      <c r="H335" s="110"/>
    </row>
    <row r="336" spans="1:8" x14ac:dyDescent="0.45">
      <c r="A336" s="12" t="s">
        <v>4637</v>
      </c>
      <c r="B336" s="13"/>
      <c r="C336" s="13"/>
      <c r="D336" s="12" t="s">
        <v>360</v>
      </c>
      <c r="E336" s="100"/>
      <c r="F336" s="101"/>
      <c r="G336" s="13"/>
      <c r="H336" s="102"/>
    </row>
    <row r="337" spans="1:8" x14ac:dyDescent="0.45">
      <c r="A337" s="40"/>
      <c r="B337" s="41">
        <v>1402000</v>
      </c>
      <c r="C337" s="41">
        <v>3</v>
      </c>
      <c r="D337" s="42" t="s">
        <v>124</v>
      </c>
      <c r="E337" s="43"/>
      <c r="F337" s="44"/>
      <c r="G337" s="44"/>
      <c r="H337" s="45"/>
    </row>
    <row r="338" spans="1:8" x14ac:dyDescent="0.45">
      <c r="A338" s="22" t="s">
        <v>4638</v>
      </c>
      <c r="B338" s="23">
        <v>1402000</v>
      </c>
      <c r="C338" s="23">
        <v>3.1</v>
      </c>
      <c r="D338" s="106" t="s">
        <v>362</v>
      </c>
      <c r="E338" s="23">
        <v>6</v>
      </c>
      <c r="F338" s="23" t="s">
        <v>17</v>
      </c>
      <c r="G338" s="24"/>
      <c r="H338" s="24">
        <f>G338*E338</f>
        <v>0</v>
      </c>
    </row>
    <row r="339" spans="1:8" s="429" customFormat="1" x14ac:dyDescent="0.45">
      <c r="A339" s="258" t="s">
        <v>4639</v>
      </c>
      <c r="B339" s="261">
        <v>1402000</v>
      </c>
      <c r="C339" s="26">
        <v>3.2</v>
      </c>
      <c r="D339" s="27" t="s">
        <v>364</v>
      </c>
      <c r="E339" s="28"/>
      <c r="F339" s="28"/>
      <c r="G339" s="28"/>
      <c r="H339" s="28"/>
    </row>
    <row r="340" spans="1:8" s="293" customFormat="1" x14ac:dyDescent="0.45">
      <c r="A340" s="257" t="s">
        <v>4639</v>
      </c>
      <c r="B340" s="286">
        <v>1402000</v>
      </c>
      <c r="C340" s="286">
        <v>3.2</v>
      </c>
      <c r="D340" s="180" t="s">
        <v>5027</v>
      </c>
      <c r="E340" s="286">
        <v>75</v>
      </c>
      <c r="F340" s="286" t="s">
        <v>472</v>
      </c>
      <c r="G340" s="302"/>
      <c r="H340" s="302">
        <f t="shared" ref="H340:H343" si="4">G340*E340</f>
        <v>0</v>
      </c>
    </row>
    <row r="341" spans="1:8" s="389" customFormat="1" x14ac:dyDescent="0.45">
      <c r="A341" s="257" t="s">
        <v>4640</v>
      </c>
      <c r="B341" s="286">
        <v>1402000</v>
      </c>
      <c r="C341" s="286">
        <v>3.2</v>
      </c>
      <c r="D341" s="180" t="s">
        <v>5028</v>
      </c>
      <c r="E341" s="286">
        <v>100</v>
      </c>
      <c r="F341" s="286" t="s">
        <v>472</v>
      </c>
      <c r="G341" s="302"/>
      <c r="H341" s="302">
        <f t="shared" si="4"/>
        <v>0</v>
      </c>
    </row>
    <row r="342" spans="1:8" s="389" customFormat="1" x14ac:dyDescent="0.45">
      <c r="A342" s="257" t="s">
        <v>5316</v>
      </c>
      <c r="B342" s="286">
        <v>1402000</v>
      </c>
      <c r="C342" s="286">
        <v>3.2</v>
      </c>
      <c r="D342" s="180" t="s">
        <v>5029</v>
      </c>
      <c r="E342" s="286">
        <v>75</v>
      </c>
      <c r="F342" s="286" t="s">
        <v>472</v>
      </c>
      <c r="G342" s="302"/>
      <c r="H342" s="302">
        <f t="shared" si="4"/>
        <v>0</v>
      </c>
    </row>
    <row r="343" spans="1:8" s="389" customFormat="1" x14ac:dyDescent="0.45">
      <c r="A343" s="257" t="s">
        <v>5317</v>
      </c>
      <c r="B343" s="286">
        <v>1402000</v>
      </c>
      <c r="C343" s="286">
        <v>3.2</v>
      </c>
      <c r="D343" s="180" t="s">
        <v>5030</v>
      </c>
      <c r="E343" s="286">
        <v>100</v>
      </c>
      <c r="F343" s="286" t="s">
        <v>472</v>
      </c>
      <c r="G343" s="302"/>
      <c r="H343" s="302">
        <f t="shared" si="4"/>
        <v>0</v>
      </c>
    </row>
    <row r="344" spans="1:8" s="389" customFormat="1" x14ac:dyDescent="0.45">
      <c r="A344" s="22" t="s">
        <v>5318</v>
      </c>
      <c r="B344" s="23">
        <v>1402000</v>
      </c>
      <c r="C344" s="23">
        <v>3.3</v>
      </c>
      <c r="D344" s="106" t="s">
        <v>366</v>
      </c>
      <c r="E344" s="23">
        <v>6</v>
      </c>
      <c r="F344" s="23" t="s">
        <v>17</v>
      </c>
      <c r="G344" s="24"/>
      <c r="H344" s="24">
        <f>G344*E344</f>
        <v>0</v>
      </c>
    </row>
    <row r="345" spans="1:8" x14ac:dyDescent="0.45">
      <c r="A345" s="58"/>
      <c r="B345" s="59"/>
      <c r="C345" s="59"/>
      <c r="D345" s="60" t="s">
        <v>367</v>
      </c>
      <c r="E345" s="59"/>
      <c r="F345" s="59"/>
      <c r="G345" s="59"/>
      <c r="H345" s="62">
        <f>SUM(H338:H344)</f>
        <v>0</v>
      </c>
    </row>
    <row r="346" spans="1:8" x14ac:dyDescent="0.45">
      <c r="A346" s="121"/>
      <c r="B346" s="122"/>
      <c r="C346" s="122"/>
      <c r="D346" s="123"/>
      <c r="E346" s="122"/>
      <c r="F346" s="124"/>
      <c r="G346" s="88"/>
      <c r="H346" s="110"/>
    </row>
    <row r="347" spans="1:8" x14ac:dyDescent="0.45">
      <c r="A347" s="12" t="s">
        <v>4641</v>
      </c>
      <c r="B347" s="13"/>
      <c r="C347" s="13"/>
      <c r="D347" s="12" t="s">
        <v>369</v>
      </c>
      <c r="E347" s="100"/>
      <c r="F347" s="101"/>
      <c r="G347" s="91"/>
      <c r="H347" s="102"/>
    </row>
    <row r="348" spans="1:8" x14ac:dyDescent="0.45">
      <c r="A348" s="103"/>
      <c r="B348" s="41">
        <v>1502000</v>
      </c>
      <c r="C348" s="43"/>
      <c r="D348" s="42" t="s">
        <v>18</v>
      </c>
      <c r="E348" s="43"/>
      <c r="F348" s="44"/>
      <c r="G348" s="44"/>
      <c r="H348" s="45"/>
    </row>
    <row r="349" spans="1:8" x14ac:dyDescent="0.45">
      <c r="A349" s="27"/>
      <c r="B349" s="26"/>
      <c r="C349" s="26">
        <v>3.1</v>
      </c>
      <c r="D349" s="27" t="s">
        <v>19</v>
      </c>
      <c r="E349" s="26"/>
      <c r="F349" s="26"/>
      <c r="G349" s="28"/>
      <c r="H349" s="104"/>
    </row>
    <row r="350" spans="1:8" x14ac:dyDescent="0.45">
      <c r="A350" s="22" t="s">
        <v>4642</v>
      </c>
      <c r="B350" s="23">
        <v>1502000</v>
      </c>
      <c r="C350" s="23" t="s">
        <v>21</v>
      </c>
      <c r="D350" s="29" t="s">
        <v>22</v>
      </c>
      <c r="E350" s="23">
        <v>6</v>
      </c>
      <c r="F350" s="23" t="s">
        <v>17</v>
      </c>
      <c r="G350" s="24"/>
      <c r="H350" s="24">
        <f>G350*E350</f>
        <v>0</v>
      </c>
    </row>
    <row r="351" spans="1:8" x14ac:dyDescent="0.45">
      <c r="A351" s="22" t="s">
        <v>4643</v>
      </c>
      <c r="B351" s="23">
        <v>1502000</v>
      </c>
      <c r="C351" s="23" t="s">
        <v>24</v>
      </c>
      <c r="D351" s="29" t="s">
        <v>25</v>
      </c>
      <c r="E351" s="23">
        <v>6</v>
      </c>
      <c r="F351" s="23" t="s">
        <v>17</v>
      </c>
      <c r="G351" s="24"/>
      <c r="H351" s="24">
        <f>G351*E351</f>
        <v>0</v>
      </c>
    </row>
    <row r="352" spans="1:8" x14ac:dyDescent="0.45">
      <c r="A352" s="22" t="s">
        <v>4644</v>
      </c>
      <c r="B352" s="23">
        <v>1502000</v>
      </c>
      <c r="C352" s="23" t="s">
        <v>27</v>
      </c>
      <c r="D352" s="29" t="s">
        <v>28</v>
      </c>
      <c r="E352" s="23">
        <v>6</v>
      </c>
      <c r="F352" s="23" t="s">
        <v>17</v>
      </c>
      <c r="G352" s="24"/>
      <c r="H352" s="24">
        <f>G352*E352</f>
        <v>0</v>
      </c>
    </row>
    <row r="353" spans="1:8" x14ac:dyDescent="0.45">
      <c r="A353" s="25"/>
      <c r="B353" s="26"/>
      <c r="C353" s="26">
        <v>3.1</v>
      </c>
      <c r="D353" s="27" t="s">
        <v>31</v>
      </c>
      <c r="E353" s="28"/>
      <c r="F353" s="28"/>
      <c r="G353" s="28"/>
      <c r="H353" s="28"/>
    </row>
    <row r="354" spans="1:8" x14ac:dyDescent="0.45">
      <c r="A354" s="22" t="s">
        <v>4645</v>
      </c>
      <c r="B354" s="23">
        <v>1502000</v>
      </c>
      <c r="C354" s="23" t="s">
        <v>222</v>
      </c>
      <c r="D354" s="29" t="s">
        <v>223</v>
      </c>
      <c r="E354" s="23">
        <v>6</v>
      </c>
      <c r="F354" s="23" t="s">
        <v>17</v>
      </c>
      <c r="G354" s="24"/>
      <c r="H354" s="24">
        <f t="shared" ref="H354:H366" si="5">G354*E354</f>
        <v>0</v>
      </c>
    </row>
    <row r="355" spans="1:8" x14ac:dyDescent="0.45">
      <c r="A355" s="22" t="s">
        <v>4646</v>
      </c>
      <c r="B355" s="23">
        <v>1502000</v>
      </c>
      <c r="C355" s="23" t="s">
        <v>33</v>
      </c>
      <c r="D355" s="29" t="s">
        <v>34</v>
      </c>
      <c r="E355" s="23">
        <v>6</v>
      </c>
      <c r="F355" s="23" t="s">
        <v>17</v>
      </c>
      <c r="G355" s="24"/>
      <c r="H355" s="24">
        <f t="shared" si="5"/>
        <v>0</v>
      </c>
    </row>
    <row r="356" spans="1:8" x14ac:dyDescent="0.45">
      <c r="A356" s="22" t="s">
        <v>4647</v>
      </c>
      <c r="B356" s="23">
        <v>1502000</v>
      </c>
      <c r="C356" s="23" t="s">
        <v>227</v>
      </c>
      <c r="D356" s="29" t="s">
        <v>228</v>
      </c>
      <c r="E356" s="23">
        <v>6</v>
      </c>
      <c r="F356" s="23" t="s">
        <v>17</v>
      </c>
      <c r="G356" s="24"/>
      <c r="H356" s="24">
        <f t="shared" si="5"/>
        <v>0</v>
      </c>
    </row>
    <row r="357" spans="1:8" x14ac:dyDescent="0.45">
      <c r="A357" s="22" t="s">
        <v>4648</v>
      </c>
      <c r="B357" s="23">
        <v>1502000</v>
      </c>
      <c r="C357" s="23" t="s">
        <v>39</v>
      </c>
      <c r="D357" s="29" t="s">
        <v>230</v>
      </c>
      <c r="E357" s="23">
        <v>6</v>
      </c>
      <c r="F357" s="23" t="s">
        <v>17</v>
      </c>
      <c r="G357" s="24"/>
      <c r="H357" s="24">
        <f t="shared" si="5"/>
        <v>0</v>
      </c>
    </row>
    <row r="358" spans="1:8" x14ac:dyDescent="0.45">
      <c r="A358" s="22" t="s">
        <v>4649</v>
      </c>
      <c r="B358" s="23">
        <v>1502000</v>
      </c>
      <c r="C358" s="23" t="s">
        <v>232</v>
      </c>
      <c r="D358" s="29" t="s">
        <v>233</v>
      </c>
      <c r="E358" s="23">
        <v>6</v>
      </c>
      <c r="F358" s="23" t="s">
        <v>17</v>
      </c>
      <c r="G358" s="24"/>
      <c r="H358" s="24">
        <f t="shared" si="5"/>
        <v>0</v>
      </c>
    </row>
    <row r="359" spans="1:8" x14ac:dyDescent="0.45">
      <c r="A359" s="22" t="s">
        <v>4650</v>
      </c>
      <c r="B359" s="23">
        <v>1502000</v>
      </c>
      <c r="C359" s="23" t="s">
        <v>250</v>
      </c>
      <c r="D359" s="29" t="s">
        <v>379</v>
      </c>
      <c r="E359" s="23">
        <v>6</v>
      </c>
      <c r="F359" s="23" t="s">
        <v>17</v>
      </c>
      <c r="G359" s="24"/>
      <c r="H359" s="24">
        <f t="shared" si="5"/>
        <v>0</v>
      </c>
    </row>
    <row r="360" spans="1:8" x14ac:dyDescent="0.45">
      <c r="A360" s="22" t="s">
        <v>4651</v>
      </c>
      <c r="B360" s="23">
        <v>1502000</v>
      </c>
      <c r="C360" s="23" t="s">
        <v>45</v>
      </c>
      <c r="D360" s="29" t="s">
        <v>46</v>
      </c>
      <c r="E360" s="23">
        <v>6</v>
      </c>
      <c r="F360" s="23" t="s">
        <v>17</v>
      </c>
      <c r="G360" s="24"/>
      <c r="H360" s="24">
        <f t="shared" si="5"/>
        <v>0</v>
      </c>
    </row>
    <row r="361" spans="1:8" x14ac:dyDescent="0.45">
      <c r="A361" s="22" t="s">
        <v>4652</v>
      </c>
      <c r="B361" s="23">
        <v>1502000</v>
      </c>
      <c r="C361" s="23" t="s">
        <v>48</v>
      </c>
      <c r="D361" s="29" t="s">
        <v>257</v>
      </c>
      <c r="E361" s="23">
        <v>6</v>
      </c>
      <c r="F361" s="23" t="s">
        <v>17</v>
      </c>
      <c r="G361" s="24"/>
      <c r="H361" s="24">
        <f t="shared" si="5"/>
        <v>0</v>
      </c>
    </row>
    <row r="362" spans="1:8" x14ac:dyDescent="0.45">
      <c r="A362" s="22" t="s">
        <v>4653</v>
      </c>
      <c r="B362" s="23">
        <v>1502000</v>
      </c>
      <c r="C362" s="23" t="s">
        <v>51</v>
      </c>
      <c r="D362" s="29" t="s">
        <v>383</v>
      </c>
      <c r="E362" s="23">
        <v>6</v>
      </c>
      <c r="F362" s="23" t="s">
        <v>17</v>
      </c>
      <c r="G362" s="24"/>
      <c r="H362" s="24">
        <f t="shared" si="5"/>
        <v>0</v>
      </c>
    </row>
    <row r="363" spans="1:8" x14ac:dyDescent="0.45">
      <c r="A363" s="22" t="s">
        <v>4654</v>
      </c>
      <c r="B363" s="23">
        <v>1502000</v>
      </c>
      <c r="C363" s="23" t="s">
        <v>54</v>
      </c>
      <c r="D363" s="29" t="s">
        <v>55</v>
      </c>
      <c r="E363" s="23">
        <v>6</v>
      </c>
      <c r="F363" s="23" t="s">
        <v>17</v>
      </c>
      <c r="G363" s="24"/>
      <c r="H363" s="24">
        <f t="shared" si="5"/>
        <v>0</v>
      </c>
    </row>
    <row r="364" spans="1:8" x14ac:dyDescent="0.45">
      <c r="A364" s="22" t="s">
        <v>4655</v>
      </c>
      <c r="B364" s="23">
        <v>1502000</v>
      </c>
      <c r="C364" s="23" t="s">
        <v>260</v>
      </c>
      <c r="D364" s="29" t="s">
        <v>386</v>
      </c>
      <c r="E364" s="23">
        <v>6</v>
      </c>
      <c r="F364" s="23" t="s">
        <v>17</v>
      </c>
      <c r="G364" s="24"/>
      <c r="H364" s="24">
        <f t="shared" si="5"/>
        <v>0</v>
      </c>
    </row>
    <row r="365" spans="1:8" x14ac:dyDescent="0.45">
      <c r="A365" s="22" t="s">
        <v>4656</v>
      </c>
      <c r="B365" s="23">
        <v>1502000</v>
      </c>
      <c r="C365" s="23" t="s">
        <v>332</v>
      </c>
      <c r="D365" s="29" t="s">
        <v>388</v>
      </c>
      <c r="E365" s="23">
        <v>6</v>
      </c>
      <c r="F365" s="23" t="s">
        <v>17</v>
      </c>
      <c r="G365" s="24"/>
      <c r="H365" s="24">
        <f t="shared" si="5"/>
        <v>0</v>
      </c>
    </row>
    <row r="366" spans="1:8" x14ac:dyDescent="0.45">
      <c r="A366" s="22" t="s">
        <v>4657</v>
      </c>
      <c r="B366" s="23">
        <v>1502000</v>
      </c>
      <c r="C366" s="23" t="s">
        <v>390</v>
      </c>
      <c r="D366" s="29" t="s">
        <v>391</v>
      </c>
      <c r="E366" s="23">
        <v>6</v>
      </c>
      <c r="F366" s="23" t="s">
        <v>17</v>
      </c>
      <c r="G366" s="24"/>
      <c r="H366" s="24">
        <f t="shared" si="5"/>
        <v>0</v>
      </c>
    </row>
    <row r="367" spans="1:8" x14ac:dyDescent="0.45">
      <c r="A367" s="25"/>
      <c r="B367" s="26">
        <v>1502000</v>
      </c>
      <c r="C367" s="26">
        <v>3.4</v>
      </c>
      <c r="D367" s="27" t="s">
        <v>62</v>
      </c>
      <c r="E367" s="26"/>
      <c r="F367" s="26"/>
      <c r="G367" s="28"/>
      <c r="H367" s="104"/>
    </row>
    <row r="368" spans="1:8" x14ac:dyDescent="0.45">
      <c r="A368" s="22" t="s">
        <v>4658</v>
      </c>
      <c r="B368" s="23">
        <v>1502000</v>
      </c>
      <c r="C368" s="23" t="s">
        <v>64</v>
      </c>
      <c r="D368" s="106" t="s">
        <v>65</v>
      </c>
      <c r="E368" s="23">
        <v>6</v>
      </c>
      <c r="F368" s="23" t="s">
        <v>17</v>
      </c>
      <c r="G368" s="24"/>
      <c r="H368" s="24">
        <f>G368*E368</f>
        <v>0</v>
      </c>
    </row>
    <row r="369" spans="1:8" x14ac:dyDescent="0.45">
      <c r="A369" s="22" t="s">
        <v>4659</v>
      </c>
      <c r="B369" s="23">
        <v>1502000</v>
      </c>
      <c r="C369" s="23" t="s">
        <v>67</v>
      </c>
      <c r="D369" s="120" t="s">
        <v>68</v>
      </c>
      <c r="E369" s="23">
        <v>6</v>
      </c>
      <c r="F369" s="23" t="s">
        <v>17</v>
      </c>
      <c r="G369" s="24"/>
      <c r="H369" s="24">
        <f>G369*E369</f>
        <v>0</v>
      </c>
    </row>
    <row r="370" spans="1:8" x14ac:dyDescent="0.45">
      <c r="A370" s="22" t="s">
        <v>4660</v>
      </c>
      <c r="B370" s="23">
        <v>1502000</v>
      </c>
      <c r="C370" s="23" t="s">
        <v>70</v>
      </c>
      <c r="D370" s="106" t="s">
        <v>71</v>
      </c>
      <c r="E370" s="23">
        <v>6</v>
      </c>
      <c r="F370" s="23" t="s">
        <v>17</v>
      </c>
      <c r="G370" s="24"/>
      <c r="H370" s="24">
        <f>G370*E370</f>
        <v>0</v>
      </c>
    </row>
    <row r="371" spans="1:8" x14ac:dyDescent="0.45">
      <c r="A371" s="25"/>
      <c r="B371" s="26"/>
      <c r="C371" s="26">
        <v>3.5</v>
      </c>
      <c r="D371" s="27" t="s">
        <v>72</v>
      </c>
      <c r="E371" s="28"/>
      <c r="F371" s="28"/>
      <c r="G371" s="28"/>
      <c r="H371" s="28"/>
    </row>
    <row r="372" spans="1:8" x14ac:dyDescent="0.45">
      <c r="A372" s="22" t="s">
        <v>4661</v>
      </c>
      <c r="B372" s="23">
        <v>1502000</v>
      </c>
      <c r="C372" s="301" t="s">
        <v>5021</v>
      </c>
      <c r="D372" s="36" t="s">
        <v>71</v>
      </c>
      <c r="E372" s="23">
        <v>6</v>
      </c>
      <c r="F372" s="23" t="s">
        <v>17</v>
      </c>
      <c r="G372" s="24"/>
      <c r="H372" s="24">
        <f>G372*E372</f>
        <v>0</v>
      </c>
    </row>
    <row r="373" spans="1:8" x14ac:dyDescent="0.45">
      <c r="A373" s="27"/>
      <c r="B373" s="125"/>
      <c r="C373" s="125"/>
      <c r="D373" s="27" t="s">
        <v>75</v>
      </c>
      <c r="E373" s="26"/>
      <c r="F373" s="26"/>
      <c r="G373" s="28"/>
      <c r="H373" s="104"/>
    </row>
    <row r="374" spans="1:8" x14ac:dyDescent="0.45">
      <c r="A374" s="22" t="s">
        <v>4662</v>
      </c>
      <c r="B374" s="23">
        <v>1502000</v>
      </c>
      <c r="C374" s="23" t="s">
        <v>80</v>
      </c>
      <c r="D374" s="30" t="s">
        <v>81</v>
      </c>
      <c r="E374" s="23">
        <v>6</v>
      </c>
      <c r="F374" s="23" t="s">
        <v>17</v>
      </c>
      <c r="G374" s="24"/>
      <c r="H374" s="24">
        <f t="shared" ref="H374:H379" si="6">G374*E374</f>
        <v>0</v>
      </c>
    </row>
    <row r="375" spans="1:8" x14ac:dyDescent="0.45">
      <c r="A375" s="22" t="s">
        <v>4663</v>
      </c>
      <c r="B375" s="23">
        <v>1502000</v>
      </c>
      <c r="C375" s="23" t="s">
        <v>83</v>
      </c>
      <c r="D375" s="30" t="s">
        <v>84</v>
      </c>
      <c r="E375" s="23">
        <v>6</v>
      </c>
      <c r="F375" s="23" t="s">
        <v>17</v>
      </c>
      <c r="G375" s="24"/>
      <c r="H375" s="24">
        <f t="shared" si="6"/>
        <v>0</v>
      </c>
    </row>
    <row r="376" spans="1:8" x14ac:dyDescent="0.45">
      <c r="A376" s="22" t="s">
        <v>4664</v>
      </c>
      <c r="B376" s="23">
        <v>1502000</v>
      </c>
      <c r="C376" s="23" t="s">
        <v>86</v>
      </c>
      <c r="D376" s="106" t="s">
        <v>87</v>
      </c>
      <c r="E376" s="23">
        <v>6</v>
      </c>
      <c r="F376" s="23" t="s">
        <v>17</v>
      </c>
      <c r="G376" s="24"/>
      <c r="H376" s="24">
        <f t="shared" si="6"/>
        <v>0</v>
      </c>
    </row>
    <row r="377" spans="1:8" x14ac:dyDescent="0.45">
      <c r="A377" s="22" t="s">
        <v>4665</v>
      </c>
      <c r="B377" s="23">
        <v>1502000</v>
      </c>
      <c r="C377" s="23" t="s">
        <v>400</v>
      </c>
      <c r="D377" s="106" t="s">
        <v>401</v>
      </c>
      <c r="E377" s="23">
        <v>6</v>
      </c>
      <c r="F377" s="23" t="s">
        <v>17</v>
      </c>
      <c r="G377" s="24"/>
      <c r="H377" s="24">
        <f t="shared" si="6"/>
        <v>0</v>
      </c>
    </row>
    <row r="378" spans="1:8" x14ac:dyDescent="0.45">
      <c r="A378" s="22" t="s">
        <v>4666</v>
      </c>
      <c r="B378" s="23">
        <v>1502000</v>
      </c>
      <c r="C378" s="286" t="s">
        <v>5037</v>
      </c>
      <c r="D378" s="22" t="s">
        <v>108</v>
      </c>
      <c r="E378" s="33">
        <v>6</v>
      </c>
      <c r="F378" s="23" t="s">
        <v>17</v>
      </c>
      <c r="G378" s="24"/>
      <c r="H378" s="24">
        <f t="shared" si="6"/>
        <v>0</v>
      </c>
    </row>
    <row r="379" spans="1:8" x14ac:dyDescent="0.45">
      <c r="A379" s="22" t="s">
        <v>4667</v>
      </c>
      <c r="B379" s="23">
        <v>1502000</v>
      </c>
      <c r="C379" s="23" t="s">
        <v>107</v>
      </c>
      <c r="D379" s="126" t="s">
        <v>277</v>
      </c>
      <c r="E379" s="23">
        <v>6</v>
      </c>
      <c r="F379" s="23" t="s">
        <v>17</v>
      </c>
      <c r="G379" s="24"/>
      <c r="H379" s="24">
        <f t="shared" si="6"/>
        <v>0</v>
      </c>
    </row>
    <row r="380" spans="1:8" x14ac:dyDescent="0.45">
      <c r="A380" s="40"/>
      <c r="B380" s="41">
        <v>1503010</v>
      </c>
      <c r="C380" s="41"/>
      <c r="D380" s="42" t="s">
        <v>109</v>
      </c>
      <c r="E380" s="43"/>
      <c r="F380" s="44"/>
      <c r="G380" s="44"/>
      <c r="H380" s="45"/>
    </row>
    <row r="381" spans="1:8" x14ac:dyDescent="0.45">
      <c r="A381" s="22" t="s">
        <v>4668</v>
      </c>
      <c r="B381" s="33">
        <v>1503010</v>
      </c>
      <c r="C381" s="33">
        <v>3.1</v>
      </c>
      <c r="D381" s="36" t="s">
        <v>111</v>
      </c>
      <c r="E381" s="23">
        <v>6</v>
      </c>
      <c r="F381" s="23" t="s">
        <v>17</v>
      </c>
      <c r="G381" s="24"/>
      <c r="H381" s="24">
        <f>G381*E381</f>
        <v>0</v>
      </c>
    </row>
    <row r="382" spans="1:8" x14ac:dyDescent="0.45">
      <c r="A382" s="40"/>
      <c r="B382" s="43">
        <v>1503020</v>
      </c>
      <c r="C382" s="41"/>
      <c r="D382" s="42" t="s">
        <v>114</v>
      </c>
      <c r="E382" s="43"/>
      <c r="F382" s="44"/>
      <c r="G382" s="44"/>
      <c r="H382" s="44"/>
    </row>
    <row r="383" spans="1:8" x14ac:dyDescent="0.45">
      <c r="A383" s="22" t="s">
        <v>4669</v>
      </c>
      <c r="B383" s="33">
        <v>1503020</v>
      </c>
      <c r="C383" s="23">
        <v>3.1</v>
      </c>
      <c r="D383" s="206" t="s">
        <v>406</v>
      </c>
      <c r="E383" s="23">
        <v>6</v>
      </c>
      <c r="F383" s="115" t="s">
        <v>17</v>
      </c>
      <c r="G383" s="24"/>
      <c r="H383" s="24">
        <f>G383*E383</f>
        <v>0</v>
      </c>
    </row>
    <row r="384" spans="1:8" x14ac:dyDescent="0.45">
      <c r="A384" s="22" t="s">
        <v>4670</v>
      </c>
      <c r="B384" s="33">
        <v>1503020</v>
      </c>
      <c r="C384" s="33">
        <v>3.2</v>
      </c>
      <c r="D384" s="36" t="s">
        <v>118</v>
      </c>
      <c r="E384" s="23">
        <v>6</v>
      </c>
      <c r="F384" s="23" t="s">
        <v>17</v>
      </c>
      <c r="G384" s="24"/>
      <c r="H384" s="24">
        <f>G384*E384</f>
        <v>0</v>
      </c>
    </row>
    <row r="385" spans="1:8" x14ac:dyDescent="0.45">
      <c r="A385" s="22" t="s">
        <v>4671</v>
      </c>
      <c r="B385" s="33">
        <v>1503020</v>
      </c>
      <c r="C385" s="23">
        <v>3.3</v>
      </c>
      <c r="D385" s="106" t="s">
        <v>120</v>
      </c>
      <c r="E385" s="23">
        <v>6</v>
      </c>
      <c r="F385" s="23" t="s">
        <v>17</v>
      </c>
      <c r="G385" s="24"/>
      <c r="H385" s="24">
        <f>G385*E385</f>
        <v>0</v>
      </c>
    </row>
    <row r="386" spans="1:8" x14ac:dyDescent="0.45">
      <c r="A386" s="40"/>
      <c r="B386" s="43">
        <v>1503030</v>
      </c>
      <c r="C386" s="41"/>
      <c r="D386" s="42" t="s">
        <v>121</v>
      </c>
      <c r="E386" s="43"/>
      <c r="F386" s="44"/>
      <c r="G386" s="44"/>
      <c r="H386" s="45"/>
    </row>
    <row r="387" spans="1:8" x14ac:dyDescent="0.45">
      <c r="A387" s="22" t="s">
        <v>4672</v>
      </c>
      <c r="B387" s="33">
        <v>1503030</v>
      </c>
      <c r="C387" s="33" t="s">
        <v>123</v>
      </c>
      <c r="D387" s="36" t="s">
        <v>124</v>
      </c>
      <c r="E387" s="23">
        <v>6</v>
      </c>
      <c r="F387" s="23" t="s">
        <v>17</v>
      </c>
      <c r="G387" s="24"/>
      <c r="H387" s="24">
        <f>G387*E387</f>
        <v>0</v>
      </c>
    </row>
    <row r="388" spans="1:8" x14ac:dyDescent="0.45">
      <c r="A388" s="58"/>
      <c r="B388" s="59"/>
      <c r="C388" s="59"/>
      <c r="D388" s="60" t="s">
        <v>410</v>
      </c>
      <c r="E388" s="59"/>
      <c r="F388" s="59"/>
      <c r="G388" s="59"/>
      <c r="H388" s="62">
        <f>SUM(H350:H387)</f>
        <v>0</v>
      </c>
    </row>
    <row r="389" spans="1:8" x14ac:dyDescent="0.45">
      <c r="A389" s="121"/>
      <c r="B389" s="122"/>
      <c r="C389" s="122"/>
      <c r="D389" s="123"/>
      <c r="E389" s="122"/>
      <c r="F389" s="124"/>
      <c r="G389" s="88"/>
      <c r="H389" s="110"/>
    </row>
    <row r="390" spans="1:8" x14ac:dyDescent="0.45">
      <c r="A390" s="12" t="s">
        <v>4673</v>
      </c>
      <c r="B390" s="13"/>
      <c r="C390" s="13"/>
      <c r="D390" s="12" t="s">
        <v>412</v>
      </c>
      <c r="E390" s="13"/>
      <c r="F390" s="13"/>
      <c r="G390" s="91"/>
      <c r="H390" s="102"/>
    </row>
    <row r="391" spans="1:8" x14ac:dyDescent="0.45">
      <c r="A391" s="103"/>
      <c r="B391" s="41">
        <v>1502000</v>
      </c>
      <c r="C391" s="43"/>
      <c r="D391" s="42" t="s">
        <v>18</v>
      </c>
      <c r="E391" s="43"/>
      <c r="F391" s="44"/>
      <c r="G391" s="44"/>
      <c r="H391" s="45"/>
    </row>
    <row r="392" spans="1:8" x14ac:dyDescent="0.45">
      <c r="A392" s="25"/>
      <c r="B392" s="26">
        <v>1502000</v>
      </c>
      <c r="C392" s="26">
        <v>3.4</v>
      </c>
      <c r="D392" s="27" t="s">
        <v>62</v>
      </c>
      <c r="E392" s="26"/>
      <c r="F392" s="26"/>
      <c r="G392" s="28"/>
      <c r="H392" s="104"/>
    </row>
    <row r="393" spans="1:8" x14ac:dyDescent="0.45">
      <c r="A393" s="22" t="s">
        <v>4674</v>
      </c>
      <c r="B393" s="23">
        <v>1502000</v>
      </c>
      <c r="C393" s="23" t="s">
        <v>67</v>
      </c>
      <c r="D393" s="120" t="s">
        <v>68</v>
      </c>
      <c r="E393" s="23">
        <v>6</v>
      </c>
      <c r="F393" s="23" t="s">
        <v>17</v>
      </c>
      <c r="G393" s="24"/>
      <c r="H393" s="24">
        <f>G393*E393</f>
        <v>0</v>
      </c>
    </row>
    <row r="394" spans="1:8" x14ac:dyDescent="0.45">
      <c r="A394" s="40"/>
      <c r="B394" s="41">
        <v>1503010</v>
      </c>
      <c r="C394" s="41"/>
      <c r="D394" s="42" t="s">
        <v>109</v>
      </c>
      <c r="E394" s="43"/>
      <c r="F394" s="44"/>
      <c r="G394" s="44"/>
      <c r="H394" s="45"/>
    </row>
    <row r="395" spans="1:8" x14ac:dyDescent="0.45">
      <c r="A395" s="22" t="s">
        <v>4675</v>
      </c>
      <c r="B395" s="33">
        <v>1503010</v>
      </c>
      <c r="C395" s="33">
        <v>3.1</v>
      </c>
      <c r="D395" s="36" t="s">
        <v>111</v>
      </c>
      <c r="E395" s="23">
        <v>6</v>
      </c>
      <c r="F395" s="23" t="s">
        <v>17</v>
      </c>
      <c r="G395" s="24"/>
      <c r="H395" s="24">
        <f>G395*E395</f>
        <v>0</v>
      </c>
    </row>
    <row r="396" spans="1:8" x14ac:dyDescent="0.45">
      <c r="A396" s="58"/>
      <c r="B396" s="59"/>
      <c r="C396" s="59"/>
      <c r="D396" s="60" t="s">
        <v>415</v>
      </c>
      <c r="E396" s="59"/>
      <c r="F396" s="59"/>
      <c r="G396" s="59"/>
      <c r="H396" s="62">
        <f>SUM(H393:H395)</f>
        <v>0</v>
      </c>
    </row>
    <row r="397" spans="1:8" x14ac:dyDescent="0.45">
      <c r="A397" s="121"/>
      <c r="B397" s="122"/>
      <c r="C397" s="122"/>
      <c r="D397" s="123"/>
      <c r="E397" s="122"/>
      <c r="F397" s="124"/>
      <c r="G397" s="88"/>
      <c r="H397" s="110"/>
    </row>
    <row r="398" spans="1:8" x14ac:dyDescent="0.45">
      <c r="A398" s="12" t="s">
        <v>4676</v>
      </c>
      <c r="B398" s="13"/>
      <c r="C398" s="13"/>
      <c r="D398" s="12" t="s">
        <v>417</v>
      </c>
      <c r="E398" s="13"/>
      <c r="F398" s="13"/>
      <c r="G398" s="91"/>
      <c r="H398" s="102"/>
    </row>
    <row r="399" spans="1:8" x14ac:dyDescent="0.45">
      <c r="A399" s="103"/>
      <c r="B399" s="41">
        <v>1502000</v>
      </c>
      <c r="C399" s="43"/>
      <c r="D399" s="42" t="s">
        <v>18</v>
      </c>
      <c r="E399" s="43"/>
      <c r="F399" s="44"/>
      <c r="G399" s="44"/>
      <c r="H399" s="45"/>
    </row>
    <row r="400" spans="1:8" x14ac:dyDescent="0.45">
      <c r="A400" s="27"/>
      <c r="B400" s="26"/>
      <c r="C400" s="26">
        <v>3.1</v>
      </c>
      <c r="D400" s="27" t="s">
        <v>19</v>
      </c>
      <c r="E400" s="26"/>
      <c r="F400" s="26"/>
      <c r="G400" s="28"/>
      <c r="H400" s="104"/>
    </row>
    <row r="401" spans="1:8" x14ac:dyDescent="0.45">
      <c r="A401" s="22" t="s">
        <v>4677</v>
      </c>
      <c r="B401" s="23">
        <v>1502000</v>
      </c>
      <c r="C401" s="23" t="s">
        <v>21</v>
      </c>
      <c r="D401" s="29" t="s">
        <v>22</v>
      </c>
      <c r="E401" s="23">
        <v>6</v>
      </c>
      <c r="F401" s="23" t="s">
        <v>17</v>
      </c>
      <c r="G401" s="24"/>
      <c r="H401" s="24">
        <f>G401*E401</f>
        <v>0</v>
      </c>
    </row>
    <row r="402" spans="1:8" x14ac:dyDescent="0.45">
      <c r="A402" s="22" t="s">
        <v>4678</v>
      </c>
      <c r="B402" s="23">
        <v>1502000</v>
      </c>
      <c r="C402" s="23" t="s">
        <v>24</v>
      </c>
      <c r="D402" s="29" t="s">
        <v>25</v>
      </c>
      <c r="E402" s="23">
        <v>6</v>
      </c>
      <c r="F402" s="23" t="s">
        <v>17</v>
      </c>
      <c r="G402" s="24"/>
      <c r="H402" s="24">
        <f>G402*E402</f>
        <v>0</v>
      </c>
    </row>
    <row r="403" spans="1:8" x14ac:dyDescent="0.45">
      <c r="A403" s="22" t="s">
        <v>4679</v>
      </c>
      <c r="B403" s="23">
        <v>1502000</v>
      </c>
      <c r="C403" s="23" t="s">
        <v>27</v>
      </c>
      <c r="D403" s="29" t="s">
        <v>28</v>
      </c>
      <c r="E403" s="23">
        <v>6</v>
      </c>
      <c r="F403" s="23" t="s">
        <v>17</v>
      </c>
      <c r="G403" s="24"/>
      <c r="H403" s="24">
        <f>G403*E403</f>
        <v>0</v>
      </c>
    </row>
    <row r="404" spans="1:8" x14ac:dyDescent="0.45">
      <c r="A404" s="25"/>
      <c r="B404" s="26">
        <v>1502000</v>
      </c>
      <c r="C404" s="26">
        <v>3.4</v>
      </c>
      <c r="D404" s="27" t="s">
        <v>62</v>
      </c>
      <c r="E404" s="26"/>
      <c r="F404" s="26"/>
      <c r="G404" s="28"/>
      <c r="H404" s="104"/>
    </row>
    <row r="405" spans="1:8" x14ac:dyDescent="0.45">
      <c r="A405" s="22" t="s">
        <v>4680</v>
      </c>
      <c r="B405" s="23">
        <v>1502000</v>
      </c>
      <c r="C405" s="23" t="s">
        <v>67</v>
      </c>
      <c r="D405" s="35" t="s">
        <v>68</v>
      </c>
      <c r="E405" s="23">
        <v>6</v>
      </c>
      <c r="F405" s="23" t="s">
        <v>17</v>
      </c>
      <c r="G405" s="24"/>
      <c r="H405" s="24">
        <f>G405*E405</f>
        <v>0</v>
      </c>
    </row>
    <row r="406" spans="1:8" x14ac:dyDescent="0.45">
      <c r="A406" s="58"/>
      <c r="B406" s="59"/>
      <c r="C406" s="59"/>
      <c r="D406" s="60" t="s">
        <v>422</v>
      </c>
      <c r="E406" s="59"/>
      <c r="F406" s="59"/>
      <c r="G406" s="59"/>
      <c r="H406" s="62">
        <f>SUM(H401:H405)</f>
        <v>0</v>
      </c>
    </row>
    <row r="407" spans="1:8" x14ac:dyDescent="0.45">
      <c r="A407" s="121"/>
      <c r="B407" s="122"/>
      <c r="C407" s="122"/>
      <c r="D407" s="123"/>
      <c r="E407" s="122"/>
      <c r="F407" s="124"/>
      <c r="G407" s="88"/>
      <c r="H407" s="110"/>
    </row>
    <row r="408" spans="1:8" x14ac:dyDescent="0.45">
      <c r="A408" s="12" t="s">
        <v>4681</v>
      </c>
      <c r="B408" s="13"/>
      <c r="C408" s="13"/>
      <c r="D408" s="111" t="s">
        <v>424</v>
      </c>
      <c r="E408" s="100"/>
      <c r="F408" s="101"/>
      <c r="G408" s="91"/>
      <c r="H408" s="102"/>
    </row>
    <row r="409" spans="1:8" x14ac:dyDescent="0.45">
      <c r="A409" s="103"/>
      <c r="B409" s="41">
        <v>1502000</v>
      </c>
      <c r="C409" s="43"/>
      <c r="D409" s="42" t="s">
        <v>18</v>
      </c>
      <c r="E409" s="43"/>
      <c r="F409" s="44"/>
      <c r="G409" s="44"/>
      <c r="H409" s="45"/>
    </row>
    <row r="410" spans="1:8" x14ac:dyDescent="0.45">
      <c r="A410" s="27"/>
      <c r="B410" s="26"/>
      <c r="C410" s="26">
        <v>3.1</v>
      </c>
      <c r="D410" s="27" t="s">
        <v>19</v>
      </c>
      <c r="E410" s="26"/>
      <c r="F410" s="26"/>
      <c r="G410" s="28"/>
      <c r="H410" s="104"/>
    </row>
    <row r="411" spans="1:8" x14ac:dyDescent="0.45">
      <c r="A411" s="22" t="s">
        <v>4682</v>
      </c>
      <c r="B411" s="23">
        <v>1502000</v>
      </c>
      <c r="C411" s="23" t="s">
        <v>21</v>
      </c>
      <c r="D411" s="29" t="s">
        <v>22</v>
      </c>
      <c r="E411" s="23">
        <v>6</v>
      </c>
      <c r="F411" s="23" t="s">
        <v>17</v>
      </c>
      <c r="G411" s="24"/>
      <c r="H411" s="24">
        <f>G411*E411</f>
        <v>0</v>
      </c>
    </row>
    <row r="412" spans="1:8" x14ac:dyDescent="0.45">
      <c r="A412" s="22" t="s">
        <v>4683</v>
      </c>
      <c r="B412" s="23">
        <v>1502000</v>
      </c>
      <c r="C412" s="23" t="s">
        <v>24</v>
      </c>
      <c r="D412" s="29" t="s">
        <v>25</v>
      </c>
      <c r="E412" s="23">
        <v>6</v>
      </c>
      <c r="F412" s="23" t="s">
        <v>17</v>
      </c>
      <c r="G412" s="24"/>
      <c r="H412" s="24">
        <f>G412*E412</f>
        <v>0</v>
      </c>
    </row>
    <row r="413" spans="1:8" x14ac:dyDescent="0.45">
      <c r="A413" s="22" t="s">
        <v>4684</v>
      </c>
      <c r="B413" s="23">
        <v>1502000</v>
      </c>
      <c r="C413" s="23" t="s">
        <v>27</v>
      </c>
      <c r="D413" s="29" t="s">
        <v>28</v>
      </c>
      <c r="E413" s="23">
        <v>6</v>
      </c>
      <c r="F413" s="23" t="s">
        <v>17</v>
      </c>
      <c r="G413" s="24"/>
      <c r="H413" s="24">
        <f>G413*E413</f>
        <v>0</v>
      </c>
    </row>
    <row r="414" spans="1:8" x14ac:dyDescent="0.45">
      <c r="A414" s="40"/>
      <c r="B414" s="41">
        <v>1503010</v>
      </c>
      <c r="C414" s="41"/>
      <c r="D414" s="42" t="s">
        <v>109</v>
      </c>
      <c r="E414" s="43"/>
      <c r="F414" s="44"/>
      <c r="G414" s="44"/>
      <c r="H414" s="45"/>
    </row>
    <row r="415" spans="1:8" x14ac:dyDescent="0.45">
      <c r="A415" s="22" t="s">
        <v>4685</v>
      </c>
      <c r="B415" s="33">
        <v>1503010</v>
      </c>
      <c r="C415" s="33">
        <v>3.1</v>
      </c>
      <c r="D415" s="36" t="s">
        <v>111</v>
      </c>
      <c r="E415" s="23">
        <v>6</v>
      </c>
      <c r="F415" s="23" t="s">
        <v>17</v>
      </c>
      <c r="G415" s="24"/>
      <c r="H415" s="24">
        <f>G415*E415</f>
        <v>0</v>
      </c>
    </row>
    <row r="416" spans="1:8" x14ac:dyDescent="0.45">
      <c r="A416" s="40"/>
      <c r="B416" s="43">
        <v>1503030</v>
      </c>
      <c r="C416" s="41"/>
      <c r="D416" s="42" t="s">
        <v>121</v>
      </c>
      <c r="E416" s="43"/>
      <c r="F416" s="44"/>
      <c r="G416" s="44"/>
      <c r="H416" s="45"/>
    </row>
    <row r="417" spans="1:8" x14ac:dyDescent="0.45">
      <c r="A417" s="22" t="s">
        <v>4686</v>
      </c>
      <c r="B417" s="33">
        <v>1503030</v>
      </c>
      <c r="C417" s="33" t="s">
        <v>123</v>
      </c>
      <c r="D417" s="36" t="s">
        <v>124</v>
      </c>
      <c r="E417" s="23">
        <v>6</v>
      </c>
      <c r="F417" s="23" t="s">
        <v>17</v>
      </c>
      <c r="G417" s="24"/>
      <c r="H417" s="24">
        <f>G417*E417</f>
        <v>0</v>
      </c>
    </row>
    <row r="418" spans="1:8" s="293" customFormat="1" x14ac:dyDescent="0.45">
      <c r="A418" s="287"/>
      <c r="B418" s="288">
        <v>1503050</v>
      </c>
      <c r="C418" s="288"/>
      <c r="D418" s="289" t="s">
        <v>5014</v>
      </c>
      <c r="E418" s="290"/>
      <c r="F418" s="291"/>
      <c r="G418" s="291"/>
      <c r="H418" s="292"/>
    </row>
    <row r="419" spans="1:8" s="293" customFormat="1" x14ac:dyDescent="0.45">
      <c r="A419" s="257" t="s">
        <v>5319</v>
      </c>
      <c r="B419" s="301">
        <v>1503050</v>
      </c>
      <c r="C419" s="301">
        <v>3.4</v>
      </c>
      <c r="D419" s="295" t="s">
        <v>135</v>
      </c>
      <c r="E419" s="301">
        <v>6</v>
      </c>
      <c r="F419" s="286" t="s">
        <v>17</v>
      </c>
      <c r="G419" s="302"/>
      <c r="H419" s="302">
        <f>G419*E419</f>
        <v>0</v>
      </c>
    </row>
    <row r="420" spans="1:8" x14ac:dyDescent="0.45">
      <c r="A420" s="58"/>
      <c r="B420" s="59"/>
      <c r="C420" s="59"/>
      <c r="D420" s="60" t="s">
        <v>430</v>
      </c>
      <c r="E420" s="59"/>
      <c r="F420" s="59"/>
      <c r="G420" s="59"/>
      <c r="H420" s="62">
        <f>SUM(H411:H419)</f>
        <v>0</v>
      </c>
    </row>
    <row r="421" spans="1:8" x14ac:dyDescent="0.45">
      <c r="A421" s="121"/>
      <c r="B421" s="122"/>
      <c r="C421" s="122"/>
      <c r="D421" s="123"/>
      <c r="E421" s="122"/>
      <c r="F421" s="124"/>
      <c r="G421" s="88"/>
      <c r="H421" s="110"/>
    </row>
    <row r="422" spans="1:8" x14ac:dyDescent="0.45">
      <c r="A422" s="12" t="s">
        <v>4687</v>
      </c>
      <c r="B422" s="13"/>
      <c r="C422" s="13"/>
      <c r="D422" s="12" t="s">
        <v>432</v>
      </c>
      <c r="E422" s="13"/>
      <c r="F422" s="13"/>
      <c r="G422" s="91"/>
      <c r="H422" s="102"/>
    </row>
    <row r="423" spans="1:8" x14ac:dyDescent="0.45">
      <c r="A423" s="103"/>
      <c r="B423" s="41">
        <v>1502000</v>
      </c>
      <c r="C423" s="43"/>
      <c r="D423" s="42" t="s">
        <v>18</v>
      </c>
      <c r="E423" s="43"/>
      <c r="F423" s="44"/>
      <c r="G423" s="44"/>
      <c r="H423" s="45"/>
    </row>
    <row r="424" spans="1:8" x14ac:dyDescent="0.45">
      <c r="A424" s="27"/>
      <c r="B424" s="26"/>
      <c r="C424" s="26">
        <v>3.1</v>
      </c>
      <c r="D424" s="27" t="s">
        <v>19</v>
      </c>
      <c r="E424" s="26"/>
      <c r="F424" s="26"/>
      <c r="G424" s="28"/>
      <c r="H424" s="104"/>
    </row>
    <row r="425" spans="1:8" x14ac:dyDescent="0.45">
      <c r="A425" s="22" t="s">
        <v>4688</v>
      </c>
      <c r="B425" s="23">
        <v>1502000</v>
      </c>
      <c r="C425" s="23" t="s">
        <v>21</v>
      </c>
      <c r="D425" s="29" t="s">
        <v>22</v>
      </c>
      <c r="E425" s="23">
        <v>6</v>
      </c>
      <c r="F425" s="23" t="s">
        <v>17</v>
      </c>
      <c r="G425" s="24"/>
      <c r="H425" s="24">
        <f>G425*E425</f>
        <v>0</v>
      </c>
    </row>
    <row r="426" spans="1:8" x14ac:dyDescent="0.45">
      <c r="A426" s="22" t="s">
        <v>4689</v>
      </c>
      <c r="B426" s="23">
        <v>1502000</v>
      </c>
      <c r="C426" s="23" t="s">
        <v>24</v>
      </c>
      <c r="D426" s="29" t="s">
        <v>25</v>
      </c>
      <c r="E426" s="23">
        <v>6</v>
      </c>
      <c r="F426" s="23" t="s">
        <v>17</v>
      </c>
      <c r="G426" s="24"/>
      <c r="H426" s="24">
        <f>G426*E426</f>
        <v>0</v>
      </c>
    </row>
    <row r="427" spans="1:8" x14ac:dyDescent="0.45">
      <c r="A427" s="22" t="s">
        <v>4690</v>
      </c>
      <c r="B427" s="23">
        <v>1502000</v>
      </c>
      <c r="C427" s="23" t="s">
        <v>27</v>
      </c>
      <c r="D427" s="29" t="s">
        <v>28</v>
      </c>
      <c r="E427" s="23">
        <v>6</v>
      </c>
      <c r="F427" s="23" t="s">
        <v>17</v>
      </c>
      <c r="G427" s="24"/>
      <c r="H427" s="24">
        <f>G427*E427</f>
        <v>0</v>
      </c>
    </row>
    <row r="428" spans="1:8" x14ac:dyDescent="0.45">
      <c r="A428" s="25"/>
      <c r="B428" s="26"/>
      <c r="C428" s="26">
        <v>3.1</v>
      </c>
      <c r="D428" s="27" t="s">
        <v>31</v>
      </c>
      <c r="E428" s="28"/>
      <c r="F428" s="28"/>
      <c r="G428" s="28"/>
      <c r="H428" s="28"/>
    </row>
    <row r="429" spans="1:8" x14ac:dyDescent="0.45">
      <c r="A429" s="22" t="s">
        <v>4691</v>
      </c>
      <c r="B429" s="23">
        <v>1502000</v>
      </c>
      <c r="C429" s="23" t="s">
        <v>39</v>
      </c>
      <c r="D429" s="29" t="s">
        <v>230</v>
      </c>
      <c r="E429" s="23">
        <v>6</v>
      </c>
      <c r="F429" s="23" t="s">
        <v>17</v>
      </c>
      <c r="G429" s="24"/>
      <c r="H429" s="24">
        <f>G429*E429</f>
        <v>0</v>
      </c>
    </row>
    <row r="430" spans="1:8" x14ac:dyDescent="0.45">
      <c r="A430" s="22" t="s">
        <v>4692</v>
      </c>
      <c r="B430" s="23">
        <v>1502000</v>
      </c>
      <c r="C430" s="23" t="s">
        <v>250</v>
      </c>
      <c r="D430" s="29" t="s">
        <v>379</v>
      </c>
      <c r="E430" s="23">
        <v>6</v>
      </c>
      <c r="F430" s="23" t="s">
        <v>17</v>
      </c>
      <c r="G430" s="24"/>
      <c r="H430" s="24">
        <f>G430*E430</f>
        <v>0</v>
      </c>
    </row>
    <row r="431" spans="1:8" x14ac:dyDescent="0.45">
      <c r="A431" s="22" t="s">
        <v>4693</v>
      </c>
      <c r="B431" s="23">
        <v>1502000</v>
      </c>
      <c r="C431" s="23" t="s">
        <v>54</v>
      </c>
      <c r="D431" s="29" t="s">
        <v>55</v>
      </c>
      <c r="E431" s="23">
        <v>6</v>
      </c>
      <c r="F431" s="23" t="s">
        <v>17</v>
      </c>
      <c r="G431" s="24"/>
      <c r="H431" s="24">
        <f>G431*E431</f>
        <v>0</v>
      </c>
    </row>
    <row r="432" spans="1:8" x14ac:dyDescent="0.45">
      <c r="A432" s="25"/>
      <c r="B432" s="26">
        <v>1502000</v>
      </c>
      <c r="C432" s="26">
        <v>3.4</v>
      </c>
      <c r="D432" s="27" t="s">
        <v>62</v>
      </c>
      <c r="E432" s="26"/>
      <c r="F432" s="26"/>
      <c r="G432" s="28"/>
      <c r="H432" s="104"/>
    </row>
    <row r="433" spans="1:8" x14ac:dyDescent="0.45">
      <c r="A433" s="22" t="s">
        <v>4694</v>
      </c>
      <c r="B433" s="23">
        <v>1502000</v>
      </c>
      <c r="C433" s="23" t="s">
        <v>64</v>
      </c>
      <c r="D433" s="106" t="s">
        <v>65</v>
      </c>
      <c r="E433" s="23">
        <v>6</v>
      </c>
      <c r="F433" s="23" t="s">
        <v>17</v>
      </c>
      <c r="G433" s="24"/>
      <c r="H433" s="24">
        <f>G433*E433</f>
        <v>0</v>
      </c>
    </row>
    <row r="434" spans="1:8" x14ac:dyDescent="0.45">
      <c r="A434" s="22" t="s">
        <v>4695</v>
      </c>
      <c r="B434" s="23">
        <v>1502000</v>
      </c>
      <c r="C434" s="23" t="s">
        <v>67</v>
      </c>
      <c r="D434" s="120" t="s">
        <v>68</v>
      </c>
      <c r="E434" s="23">
        <v>6</v>
      </c>
      <c r="F434" s="23" t="s">
        <v>17</v>
      </c>
      <c r="G434" s="24"/>
      <c r="H434" s="24">
        <f>G434*E434</f>
        <v>0</v>
      </c>
    </row>
    <row r="435" spans="1:8" x14ac:dyDescent="0.45">
      <c r="A435" s="22" t="s">
        <v>4696</v>
      </c>
      <c r="B435" s="23">
        <v>1502000</v>
      </c>
      <c r="C435" s="23" t="s">
        <v>70</v>
      </c>
      <c r="D435" s="106" t="s">
        <v>71</v>
      </c>
      <c r="E435" s="23">
        <v>6</v>
      </c>
      <c r="F435" s="23" t="s">
        <v>17</v>
      </c>
      <c r="G435" s="24"/>
      <c r="H435" s="24">
        <f>G435*E435</f>
        <v>0</v>
      </c>
    </row>
    <row r="436" spans="1:8" x14ac:dyDescent="0.45">
      <c r="A436" s="27"/>
      <c r="B436" s="125"/>
      <c r="C436" s="125"/>
      <c r="D436" s="27" t="s">
        <v>75</v>
      </c>
      <c r="E436" s="26"/>
      <c r="F436" s="26"/>
      <c r="G436" s="28"/>
      <c r="H436" s="104"/>
    </row>
    <row r="437" spans="1:8" x14ac:dyDescent="0.45">
      <c r="A437" s="22" t="s">
        <v>4697</v>
      </c>
      <c r="B437" s="23">
        <v>1502000</v>
      </c>
      <c r="C437" s="23" t="s">
        <v>80</v>
      </c>
      <c r="D437" s="30" t="s">
        <v>81</v>
      </c>
      <c r="E437" s="23">
        <v>6</v>
      </c>
      <c r="F437" s="23" t="s">
        <v>17</v>
      </c>
      <c r="G437" s="24"/>
      <c r="H437" s="24">
        <f>G437*E437</f>
        <v>0</v>
      </c>
    </row>
    <row r="438" spans="1:8" x14ac:dyDescent="0.45">
      <c r="A438" s="22" t="s">
        <v>4698</v>
      </c>
      <c r="B438" s="23">
        <v>1502000</v>
      </c>
      <c r="C438" s="23" t="s">
        <v>86</v>
      </c>
      <c r="D438" s="106" t="s">
        <v>87</v>
      </c>
      <c r="E438" s="23">
        <v>6</v>
      </c>
      <c r="F438" s="23" t="s">
        <v>17</v>
      </c>
      <c r="G438" s="24"/>
      <c r="H438" s="24">
        <f>G438*E438</f>
        <v>0</v>
      </c>
    </row>
    <row r="439" spans="1:8" x14ac:dyDescent="0.45">
      <c r="A439" s="40"/>
      <c r="B439" s="41">
        <v>1503010</v>
      </c>
      <c r="C439" s="41"/>
      <c r="D439" s="42" t="s">
        <v>109</v>
      </c>
      <c r="E439" s="43"/>
      <c r="F439" s="44"/>
      <c r="G439" s="44"/>
      <c r="H439" s="45"/>
    </row>
    <row r="440" spans="1:8" x14ac:dyDescent="0.45">
      <c r="A440" s="22" t="s">
        <v>4699</v>
      </c>
      <c r="B440" s="33">
        <v>1503010</v>
      </c>
      <c r="C440" s="33">
        <v>3.1</v>
      </c>
      <c r="D440" s="36" t="s">
        <v>111</v>
      </c>
      <c r="E440" s="23">
        <v>6</v>
      </c>
      <c r="F440" s="23" t="s">
        <v>17</v>
      </c>
      <c r="G440" s="24"/>
      <c r="H440" s="24">
        <f>G440*E440</f>
        <v>0</v>
      </c>
    </row>
    <row r="441" spans="1:8" x14ac:dyDescent="0.45">
      <c r="A441" s="40"/>
      <c r="B441" s="43">
        <v>1503020</v>
      </c>
      <c r="C441" s="41"/>
      <c r="D441" s="42" t="s">
        <v>114</v>
      </c>
      <c r="E441" s="43"/>
      <c r="F441" s="44"/>
      <c r="G441" s="44"/>
      <c r="H441" s="45"/>
    </row>
    <row r="442" spans="1:8" ht="13.45" customHeight="1" x14ac:dyDescent="0.45">
      <c r="A442" s="22" t="s">
        <v>4700</v>
      </c>
      <c r="B442" s="33">
        <v>1503020</v>
      </c>
      <c r="C442" s="33">
        <v>3.1</v>
      </c>
      <c r="D442" s="36" t="s">
        <v>116</v>
      </c>
      <c r="E442" s="23">
        <v>6</v>
      </c>
      <c r="F442" s="23" t="s">
        <v>17</v>
      </c>
      <c r="G442" s="24"/>
      <c r="H442" s="24">
        <f>G442*E442</f>
        <v>0</v>
      </c>
    </row>
    <row r="443" spans="1:8" x14ac:dyDescent="0.45">
      <c r="A443" s="22" t="s">
        <v>4701</v>
      </c>
      <c r="B443" s="33">
        <v>1503020</v>
      </c>
      <c r="C443" s="33">
        <v>3.2</v>
      </c>
      <c r="D443" s="36" t="s">
        <v>118</v>
      </c>
      <c r="E443" s="23">
        <v>6</v>
      </c>
      <c r="F443" s="23" t="s">
        <v>17</v>
      </c>
      <c r="G443" s="24"/>
      <c r="H443" s="24">
        <f>G443*E443</f>
        <v>0</v>
      </c>
    </row>
    <row r="444" spans="1:8" x14ac:dyDescent="0.45">
      <c r="A444" s="22" t="s">
        <v>4702</v>
      </c>
      <c r="B444" s="33">
        <v>1503020</v>
      </c>
      <c r="C444" s="33">
        <v>3.3</v>
      </c>
      <c r="D444" s="36" t="s">
        <v>120</v>
      </c>
      <c r="E444" s="23">
        <v>6</v>
      </c>
      <c r="F444" s="23" t="s">
        <v>17</v>
      </c>
      <c r="G444" s="24"/>
      <c r="H444" s="24">
        <f>G444*E444</f>
        <v>0</v>
      </c>
    </row>
    <row r="445" spans="1:8" x14ac:dyDescent="0.45">
      <c r="A445" s="40"/>
      <c r="B445" s="43">
        <v>1503030</v>
      </c>
      <c r="C445" s="41"/>
      <c r="D445" s="42" t="s">
        <v>121</v>
      </c>
      <c r="E445" s="43"/>
      <c r="F445" s="44"/>
      <c r="G445" s="44"/>
      <c r="H445" s="45"/>
    </row>
    <row r="446" spans="1:8" x14ac:dyDescent="0.45">
      <c r="A446" s="22" t="s">
        <v>4703</v>
      </c>
      <c r="B446" s="33">
        <v>1503030</v>
      </c>
      <c r="C446" s="33" t="s">
        <v>123</v>
      </c>
      <c r="D446" s="36" t="s">
        <v>124</v>
      </c>
      <c r="E446" s="23">
        <v>6</v>
      </c>
      <c r="F446" s="23" t="s">
        <v>17</v>
      </c>
      <c r="G446" s="24"/>
      <c r="H446" s="24">
        <f>G446*E446</f>
        <v>0</v>
      </c>
    </row>
    <row r="447" spans="1:8" x14ac:dyDescent="0.45">
      <c r="A447" s="58"/>
      <c r="B447" s="59"/>
      <c r="C447" s="59"/>
      <c r="D447" s="60" t="s">
        <v>449</v>
      </c>
      <c r="E447" s="59"/>
      <c r="F447" s="59"/>
      <c r="G447" s="59"/>
      <c r="H447" s="62">
        <f>SUM(H425:H446)</f>
        <v>0</v>
      </c>
    </row>
    <row r="448" spans="1:8" x14ac:dyDescent="0.45">
      <c r="A448" s="96"/>
      <c r="B448" s="97"/>
      <c r="C448" s="97"/>
      <c r="D448" s="116"/>
      <c r="E448" s="97"/>
      <c r="F448" s="97"/>
      <c r="G448" s="97"/>
      <c r="H448" s="99"/>
    </row>
    <row r="449" spans="1:8" x14ac:dyDescent="0.45">
      <c r="A449" s="12" t="s">
        <v>4704</v>
      </c>
      <c r="B449" s="13"/>
      <c r="C449" s="13"/>
      <c r="D449" s="12" t="s">
        <v>451</v>
      </c>
      <c r="E449" s="13"/>
      <c r="F449" s="13"/>
      <c r="G449" s="13"/>
      <c r="H449" s="102"/>
    </row>
    <row r="450" spans="1:8" x14ac:dyDescent="0.45">
      <c r="A450" s="368"/>
      <c r="B450" s="369">
        <v>1503010</v>
      </c>
      <c r="C450" s="369"/>
      <c r="D450" s="370" t="s">
        <v>109</v>
      </c>
      <c r="E450" s="282"/>
      <c r="F450" s="283"/>
      <c r="G450" s="283"/>
      <c r="H450" s="284"/>
    </row>
    <row r="451" spans="1:8" x14ac:dyDescent="0.45">
      <c r="A451" s="258" t="s">
        <v>5320</v>
      </c>
      <c r="B451" s="259">
        <v>1503010</v>
      </c>
      <c r="C451" s="259">
        <v>3.1</v>
      </c>
      <c r="D451" s="260" t="s">
        <v>111</v>
      </c>
      <c r="E451" s="261">
        <v>6</v>
      </c>
      <c r="F451" s="261" t="s">
        <v>17</v>
      </c>
      <c r="G451" s="262"/>
      <c r="H451" s="262">
        <f>G451*E451</f>
        <v>0</v>
      </c>
    </row>
    <row r="452" spans="1:8" x14ac:dyDescent="0.45">
      <c r="A452" s="40"/>
      <c r="B452" s="43">
        <v>1503020</v>
      </c>
      <c r="C452" s="41"/>
      <c r="D452" s="42" t="s">
        <v>114</v>
      </c>
      <c r="E452" s="43"/>
      <c r="F452" s="44"/>
      <c r="G452" s="44"/>
      <c r="H452" s="45"/>
    </row>
    <row r="453" spans="1:8" ht="13.45" customHeight="1" x14ac:dyDescent="0.45">
      <c r="A453" s="22" t="s">
        <v>4705</v>
      </c>
      <c r="B453" s="33">
        <v>1503020</v>
      </c>
      <c r="C453" s="33">
        <v>3.1</v>
      </c>
      <c r="D453" s="36" t="s">
        <v>116</v>
      </c>
      <c r="E453" s="23">
        <v>6</v>
      </c>
      <c r="F453" s="23" t="s">
        <v>17</v>
      </c>
      <c r="G453" s="24"/>
      <c r="H453" s="24">
        <f>G453*E453</f>
        <v>0</v>
      </c>
    </row>
    <row r="454" spans="1:8" x14ac:dyDescent="0.45">
      <c r="A454" s="22" t="s">
        <v>4706</v>
      </c>
      <c r="B454" s="33">
        <v>1503020</v>
      </c>
      <c r="C454" s="33">
        <v>3.3</v>
      </c>
      <c r="D454" s="36" t="s">
        <v>120</v>
      </c>
      <c r="E454" s="23">
        <v>6</v>
      </c>
      <c r="F454" s="23" t="s">
        <v>17</v>
      </c>
      <c r="G454" s="24"/>
      <c r="H454" s="24">
        <f>G454*E454</f>
        <v>0</v>
      </c>
    </row>
    <row r="455" spans="1:8" x14ac:dyDescent="0.45">
      <c r="A455" s="58"/>
      <c r="B455" s="59"/>
      <c r="C455" s="59"/>
      <c r="D455" s="60" t="s">
        <v>453</v>
      </c>
      <c r="E455" s="59"/>
      <c r="F455" s="59"/>
      <c r="G455" s="61"/>
      <c r="H455" s="62">
        <f>SUM(H451:H454)</f>
        <v>0</v>
      </c>
    </row>
    <row r="456" spans="1:8" s="389" customFormat="1" x14ac:dyDescent="0.45">
      <c r="A456" s="87"/>
      <c r="B456" s="88"/>
      <c r="C456" s="88"/>
      <c r="D456" s="89"/>
      <c r="E456" s="64"/>
      <c r="F456" s="64"/>
      <c r="G456" s="66"/>
      <c r="H456" s="66"/>
    </row>
    <row r="457" spans="1:8" s="389" customFormat="1" x14ac:dyDescent="0.45">
      <c r="A457" s="378" t="s">
        <v>5321</v>
      </c>
      <c r="B457" s="379"/>
      <c r="C457" s="380"/>
      <c r="D457" s="378" t="s">
        <v>5047</v>
      </c>
      <c r="E457" s="381"/>
      <c r="F457" s="381"/>
      <c r="G457" s="381"/>
      <c r="H457" s="381"/>
    </row>
    <row r="458" spans="1:8" s="389" customFormat="1" x14ac:dyDescent="0.4">
      <c r="A458" s="287"/>
      <c r="B458" s="382">
        <v>1502000</v>
      </c>
      <c r="C458" s="383"/>
      <c r="D458" s="384" t="s">
        <v>18</v>
      </c>
      <c r="E458" s="385"/>
      <c r="F458" s="385"/>
      <c r="G458" s="386"/>
      <c r="H458" s="386"/>
    </row>
    <row r="459" spans="1:8" s="389" customFormat="1" x14ac:dyDescent="0.45">
      <c r="A459" s="363"/>
      <c r="B459" s="373"/>
      <c r="C459" s="373">
        <v>3.6</v>
      </c>
      <c r="D459" s="374" t="s">
        <v>75</v>
      </c>
      <c r="E459" s="375"/>
      <c r="F459" s="375"/>
      <c r="G459" s="375"/>
      <c r="H459" s="375"/>
    </row>
    <row r="460" spans="1:8" s="389" customFormat="1" x14ac:dyDescent="0.45">
      <c r="A460" s="257" t="s">
        <v>5322</v>
      </c>
      <c r="B460" s="286">
        <v>1502000</v>
      </c>
      <c r="C460" s="301" t="s">
        <v>77</v>
      </c>
      <c r="D460" s="372" t="s">
        <v>78</v>
      </c>
      <c r="E460" s="286">
        <v>6</v>
      </c>
      <c r="F460" s="286" t="s">
        <v>17</v>
      </c>
      <c r="G460" s="302"/>
      <c r="H460" s="302">
        <f>G460*E460</f>
        <v>0</v>
      </c>
    </row>
    <row r="461" spans="1:8" s="389" customFormat="1" x14ac:dyDescent="0.45">
      <c r="A461" s="257" t="s">
        <v>5323</v>
      </c>
      <c r="B461" s="286">
        <v>1502000</v>
      </c>
      <c r="C461" s="301" t="s">
        <v>101</v>
      </c>
      <c r="D461" s="372" t="s">
        <v>102</v>
      </c>
      <c r="E461" s="286">
        <v>6</v>
      </c>
      <c r="F461" s="286" t="s">
        <v>17</v>
      </c>
      <c r="G461" s="302"/>
      <c r="H461" s="302">
        <f>G461*E461</f>
        <v>0</v>
      </c>
    </row>
    <row r="462" spans="1:8" s="389" customFormat="1" x14ac:dyDescent="0.45">
      <c r="A462" s="58"/>
      <c r="B462" s="59"/>
      <c r="C462" s="59"/>
      <c r="D462" s="387" t="s">
        <v>5048</v>
      </c>
      <c r="E462" s="59"/>
      <c r="F462" s="59"/>
      <c r="G462" s="61"/>
      <c r="H462" s="388">
        <f>SUM(H460:H461)</f>
        <v>0</v>
      </c>
    </row>
    <row r="463" spans="1:8" s="389" customFormat="1" x14ac:dyDescent="0.45">
      <c r="A463" s="87"/>
      <c r="B463" s="88"/>
      <c r="C463" s="88"/>
      <c r="D463" s="89"/>
      <c r="E463" s="64"/>
      <c r="F463" s="64"/>
      <c r="G463" s="66"/>
      <c r="H463" s="66"/>
    </row>
    <row r="464" spans="1:8" s="293" customFormat="1" x14ac:dyDescent="0.45">
      <c r="A464" s="378" t="s">
        <v>5324</v>
      </c>
      <c r="B464" s="380"/>
      <c r="C464" s="380"/>
      <c r="D464" s="378" t="s">
        <v>5050</v>
      </c>
      <c r="E464" s="381"/>
      <c r="F464" s="381"/>
      <c r="G464" s="381"/>
      <c r="H464" s="381"/>
    </row>
    <row r="465" spans="1:8" s="293" customFormat="1" x14ac:dyDescent="0.4">
      <c r="A465" s="287"/>
      <c r="B465" s="382">
        <v>1502000</v>
      </c>
      <c r="C465" s="383"/>
      <c r="D465" s="384" t="s">
        <v>18</v>
      </c>
      <c r="E465" s="290"/>
      <c r="F465" s="291"/>
      <c r="G465" s="291"/>
      <c r="H465" s="292"/>
    </row>
    <row r="466" spans="1:8" s="293" customFormat="1" x14ac:dyDescent="0.45">
      <c r="A466" s="363"/>
      <c r="B466" s="373"/>
      <c r="C466" s="373">
        <v>3.6</v>
      </c>
      <c r="D466" s="374" t="s">
        <v>75</v>
      </c>
      <c r="E466" s="375"/>
      <c r="F466" s="375"/>
      <c r="G466" s="375"/>
      <c r="H466" s="375"/>
    </row>
    <row r="467" spans="1:8" s="293" customFormat="1" x14ac:dyDescent="0.45">
      <c r="A467" s="257" t="s">
        <v>5325</v>
      </c>
      <c r="B467" s="286">
        <v>1502000</v>
      </c>
      <c r="C467" s="301" t="s">
        <v>77</v>
      </c>
      <c r="D467" s="372" t="s">
        <v>78</v>
      </c>
      <c r="E467" s="286">
        <v>6</v>
      </c>
      <c r="F467" s="286" t="s">
        <v>17</v>
      </c>
      <c r="G467" s="302"/>
      <c r="H467" s="302">
        <f>G467*E467</f>
        <v>0</v>
      </c>
    </row>
    <row r="468" spans="1:8" s="389" customFormat="1" x14ac:dyDescent="0.45">
      <c r="A468" s="58"/>
      <c r="B468" s="59"/>
      <c r="C468" s="59"/>
      <c r="D468" s="387" t="s">
        <v>5051</v>
      </c>
      <c r="E468" s="59"/>
      <c r="F468" s="59"/>
      <c r="G468" s="61"/>
      <c r="H468" s="388">
        <f>SUM(H466:H467)</f>
        <v>0</v>
      </c>
    </row>
    <row r="469" spans="1:8" s="389" customFormat="1" x14ac:dyDescent="0.45">
      <c r="B469" s="105"/>
      <c r="C469" s="105"/>
      <c r="D469" s="140"/>
      <c r="E469" s="105"/>
      <c r="F469" s="105"/>
      <c r="G469" s="141"/>
      <c r="H469" s="141"/>
    </row>
    <row r="470" spans="1:8" ht="7.5" customHeight="1" x14ac:dyDescent="0.45">
      <c r="A470" s="130"/>
      <c r="B470" s="131"/>
      <c r="C470" s="131"/>
      <c r="D470" s="132"/>
      <c r="E470" s="131"/>
      <c r="F470" s="133"/>
      <c r="G470" s="133"/>
      <c r="H470" s="134"/>
    </row>
    <row r="471" spans="1:8" s="139" customFormat="1" ht="15" x14ac:dyDescent="0.45">
      <c r="A471" s="135" t="s">
        <v>5326</v>
      </c>
      <c r="B471" s="136"/>
      <c r="C471" s="136"/>
      <c r="D471" s="137"/>
      <c r="E471" s="137"/>
      <c r="F471" s="137"/>
      <c r="G471" s="137"/>
      <c r="H471" s="138">
        <f>H455+H447+H420+H406+H396+H388+H345+H334+H303+H281+H272+H247+H242+H236+H216+H165+H150+H143+H136+H122+H97+H462+H468</f>
        <v>0</v>
      </c>
    </row>
  </sheetData>
  <mergeCells count="2354">
    <mergeCell ref="A9:H9"/>
    <mergeCell ref="A10:H10"/>
    <mergeCell ref="XER5:XEX5"/>
    <mergeCell ref="XEY5:XFB5"/>
    <mergeCell ref="A6:H6"/>
    <mergeCell ref="I6:N6"/>
    <mergeCell ref="A7:H7"/>
    <mergeCell ref="A8:H8"/>
    <mergeCell ref="XDB5:XDH5"/>
    <mergeCell ref="XDI5:XDO5"/>
    <mergeCell ref="XDP5:XDV5"/>
    <mergeCell ref="XDW5:XEC5"/>
    <mergeCell ref="XED5:XEJ5"/>
    <mergeCell ref="XEK5:XEQ5"/>
    <mergeCell ref="XBL5:XBR5"/>
    <mergeCell ref="XBS5:XBY5"/>
    <mergeCell ref="XBZ5:XCF5"/>
    <mergeCell ref="XCG5:XCM5"/>
    <mergeCell ref="XCN5:XCT5"/>
    <mergeCell ref="XCU5:XDA5"/>
    <mergeCell ref="WZV5:XAB5"/>
    <mergeCell ref="XAC5:XAI5"/>
    <mergeCell ref="XAJ5:XAP5"/>
    <mergeCell ref="XAQ5:XAW5"/>
    <mergeCell ref="XAX5:XBD5"/>
    <mergeCell ref="XBE5:XBK5"/>
    <mergeCell ref="WYF5:WYL5"/>
    <mergeCell ref="WYM5:WYS5"/>
    <mergeCell ref="WYT5:WYZ5"/>
    <mergeCell ref="WZA5:WZG5"/>
    <mergeCell ref="WZH5:WZN5"/>
    <mergeCell ref="WZO5:WZU5"/>
    <mergeCell ref="WWP5:WWV5"/>
    <mergeCell ref="WWW5:WXC5"/>
    <mergeCell ref="WXD5:WXJ5"/>
    <mergeCell ref="WXK5:WXQ5"/>
    <mergeCell ref="WXR5:WXX5"/>
    <mergeCell ref="WXY5:WYE5"/>
    <mergeCell ref="WUZ5:WVF5"/>
    <mergeCell ref="WVG5:WVM5"/>
    <mergeCell ref="WVN5:WVT5"/>
    <mergeCell ref="WVU5:WWA5"/>
    <mergeCell ref="WWB5:WWH5"/>
    <mergeCell ref="WWI5:WWO5"/>
    <mergeCell ref="WTJ5:WTP5"/>
    <mergeCell ref="WTQ5:WTW5"/>
    <mergeCell ref="WTX5:WUD5"/>
    <mergeCell ref="WUE5:WUK5"/>
    <mergeCell ref="WUL5:WUR5"/>
    <mergeCell ref="WUS5:WUY5"/>
    <mergeCell ref="WRT5:WRZ5"/>
    <mergeCell ref="WSA5:WSG5"/>
    <mergeCell ref="WSH5:WSN5"/>
    <mergeCell ref="WSO5:WSU5"/>
    <mergeCell ref="WSV5:WTB5"/>
    <mergeCell ref="WTC5:WTI5"/>
    <mergeCell ref="WQD5:WQJ5"/>
    <mergeCell ref="WQK5:WQQ5"/>
    <mergeCell ref="WQR5:WQX5"/>
    <mergeCell ref="WQY5:WRE5"/>
    <mergeCell ref="WRF5:WRL5"/>
    <mergeCell ref="WRM5:WRS5"/>
    <mergeCell ref="WON5:WOT5"/>
    <mergeCell ref="WOU5:WPA5"/>
    <mergeCell ref="WPB5:WPH5"/>
    <mergeCell ref="WPI5:WPO5"/>
    <mergeCell ref="WPP5:WPV5"/>
    <mergeCell ref="WPW5:WQC5"/>
    <mergeCell ref="WMX5:WND5"/>
    <mergeCell ref="WNE5:WNK5"/>
    <mergeCell ref="WNL5:WNR5"/>
    <mergeCell ref="WNS5:WNY5"/>
    <mergeCell ref="WNZ5:WOF5"/>
    <mergeCell ref="WOG5:WOM5"/>
    <mergeCell ref="WLH5:WLN5"/>
    <mergeCell ref="WLO5:WLU5"/>
    <mergeCell ref="WLV5:WMB5"/>
    <mergeCell ref="WMC5:WMI5"/>
    <mergeCell ref="WMJ5:WMP5"/>
    <mergeCell ref="WMQ5:WMW5"/>
    <mergeCell ref="WJR5:WJX5"/>
    <mergeCell ref="WJY5:WKE5"/>
    <mergeCell ref="WKF5:WKL5"/>
    <mergeCell ref="WKM5:WKS5"/>
    <mergeCell ref="WKT5:WKZ5"/>
    <mergeCell ref="WLA5:WLG5"/>
    <mergeCell ref="WIB5:WIH5"/>
    <mergeCell ref="WII5:WIO5"/>
    <mergeCell ref="WIP5:WIV5"/>
    <mergeCell ref="WIW5:WJC5"/>
    <mergeCell ref="WJD5:WJJ5"/>
    <mergeCell ref="WJK5:WJQ5"/>
    <mergeCell ref="WGL5:WGR5"/>
    <mergeCell ref="WGS5:WGY5"/>
    <mergeCell ref="WGZ5:WHF5"/>
    <mergeCell ref="WHG5:WHM5"/>
    <mergeCell ref="WHN5:WHT5"/>
    <mergeCell ref="WHU5:WIA5"/>
    <mergeCell ref="WEV5:WFB5"/>
    <mergeCell ref="WFC5:WFI5"/>
    <mergeCell ref="WFJ5:WFP5"/>
    <mergeCell ref="WFQ5:WFW5"/>
    <mergeCell ref="WFX5:WGD5"/>
    <mergeCell ref="WGE5:WGK5"/>
    <mergeCell ref="WDF5:WDL5"/>
    <mergeCell ref="WDM5:WDS5"/>
    <mergeCell ref="WDT5:WDZ5"/>
    <mergeCell ref="WEA5:WEG5"/>
    <mergeCell ref="WEH5:WEN5"/>
    <mergeCell ref="WEO5:WEU5"/>
    <mergeCell ref="WBP5:WBV5"/>
    <mergeCell ref="WBW5:WCC5"/>
    <mergeCell ref="WCD5:WCJ5"/>
    <mergeCell ref="WCK5:WCQ5"/>
    <mergeCell ref="WCR5:WCX5"/>
    <mergeCell ref="WCY5:WDE5"/>
    <mergeCell ref="VZZ5:WAF5"/>
    <mergeCell ref="WAG5:WAM5"/>
    <mergeCell ref="WAN5:WAT5"/>
    <mergeCell ref="WAU5:WBA5"/>
    <mergeCell ref="WBB5:WBH5"/>
    <mergeCell ref="WBI5:WBO5"/>
    <mergeCell ref="VYJ5:VYP5"/>
    <mergeCell ref="VYQ5:VYW5"/>
    <mergeCell ref="VYX5:VZD5"/>
    <mergeCell ref="VZE5:VZK5"/>
    <mergeCell ref="VZL5:VZR5"/>
    <mergeCell ref="VZS5:VZY5"/>
    <mergeCell ref="VWT5:VWZ5"/>
    <mergeCell ref="VXA5:VXG5"/>
    <mergeCell ref="VXH5:VXN5"/>
    <mergeCell ref="VXO5:VXU5"/>
    <mergeCell ref="VXV5:VYB5"/>
    <mergeCell ref="VYC5:VYI5"/>
    <mergeCell ref="VVD5:VVJ5"/>
    <mergeCell ref="VVK5:VVQ5"/>
    <mergeCell ref="VVR5:VVX5"/>
    <mergeCell ref="VVY5:VWE5"/>
    <mergeCell ref="VWF5:VWL5"/>
    <mergeCell ref="VWM5:VWS5"/>
    <mergeCell ref="VTN5:VTT5"/>
    <mergeCell ref="VTU5:VUA5"/>
    <mergeCell ref="VUB5:VUH5"/>
    <mergeCell ref="VUI5:VUO5"/>
    <mergeCell ref="VUP5:VUV5"/>
    <mergeCell ref="VUW5:VVC5"/>
    <mergeCell ref="VRX5:VSD5"/>
    <mergeCell ref="VSE5:VSK5"/>
    <mergeCell ref="VSL5:VSR5"/>
    <mergeCell ref="VSS5:VSY5"/>
    <mergeCell ref="VSZ5:VTF5"/>
    <mergeCell ref="VTG5:VTM5"/>
    <mergeCell ref="VQH5:VQN5"/>
    <mergeCell ref="VQO5:VQU5"/>
    <mergeCell ref="VQV5:VRB5"/>
    <mergeCell ref="VRC5:VRI5"/>
    <mergeCell ref="VRJ5:VRP5"/>
    <mergeCell ref="VRQ5:VRW5"/>
    <mergeCell ref="VOR5:VOX5"/>
    <mergeCell ref="VOY5:VPE5"/>
    <mergeCell ref="VPF5:VPL5"/>
    <mergeCell ref="VPM5:VPS5"/>
    <mergeCell ref="VPT5:VPZ5"/>
    <mergeCell ref="VQA5:VQG5"/>
    <mergeCell ref="VNB5:VNH5"/>
    <mergeCell ref="VNI5:VNO5"/>
    <mergeCell ref="VNP5:VNV5"/>
    <mergeCell ref="VNW5:VOC5"/>
    <mergeCell ref="VOD5:VOJ5"/>
    <mergeCell ref="VOK5:VOQ5"/>
    <mergeCell ref="VLL5:VLR5"/>
    <mergeCell ref="VLS5:VLY5"/>
    <mergeCell ref="VLZ5:VMF5"/>
    <mergeCell ref="VMG5:VMM5"/>
    <mergeCell ref="VMN5:VMT5"/>
    <mergeCell ref="VMU5:VNA5"/>
    <mergeCell ref="VJV5:VKB5"/>
    <mergeCell ref="VKC5:VKI5"/>
    <mergeCell ref="VKJ5:VKP5"/>
    <mergeCell ref="VKQ5:VKW5"/>
    <mergeCell ref="VKX5:VLD5"/>
    <mergeCell ref="VLE5:VLK5"/>
    <mergeCell ref="VIF5:VIL5"/>
    <mergeCell ref="VIM5:VIS5"/>
    <mergeCell ref="VIT5:VIZ5"/>
    <mergeCell ref="VJA5:VJG5"/>
    <mergeCell ref="VJH5:VJN5"/>
    <mergeCell ref="VJO5:VJU5"/>
    <mergeCell ref="VGP5:VGV5"/>
    <mergeCell ref="VGW5:VHC5"/>
    <mergeCell ref="VHD5:VHJ5"/>
    <mergeCell ref="VHK5:VHQ5"/>
    <mergeCell ref="VHR5:VHX5"/>
    <mergeCell ref="VHY5:VIE5"/>
    <mergeCell ref="VEZ5:VFF5"/>
    <mergeCell ref="VFG5:VFM5"/>
    <mergeCell ref="VFN5:VFT5"/>
    <mergeCell ref="VFU5:VGA5"/>
    <mergeCell ref="VGB5:VGH5"/>
    <mergeCell ref="VGI5:VGO5"/>
    <mergeCell ref="VDJ5:VDP5"/>
    <mergeCell ref="VDQ5:VDW5"/>
    <mergeCell ref="VDX5:VED5"/>
    <mergeCell ref="VEE5:VEK5"/>
    <mergeCell ref="VEL5:VER5"/>
    <mergeCell ref="VES5:VEY5"/>
    <mergeCell ref="VBT5:VBZ5"/>
    <mergeCell ref="VCA5:VCG5"/>
    <mergeCell ref="VCH5:VCN5"/>
    <mergeCell ref="VCO5:VCU5"/>
    <mergeCell ref="VCV5:VDB5"/>
    <mergeCell ref="VDC5:VDI5"/>
    <mergeCell ref="VAD5:VAJ5"/>
    <mergeCell ref="VAK5:VAQ5"/>
    <mergeCell ref="VAR5:VAX5"/>
    <mergeCell ref="VAY5:VBE5"/>
    <mergeCell ref="VBF5:VBL5"/>
    <mergeCell ref="VBM5:VBS5"/>
    <mergeCell ref="UYN5:UYT5"/>
    <mergeCell ref="UYU5:UZA5"/>
    <mergeCell ref="UZB5:UZH5"/>
    <mergeCell ref="UZI5:UZO5"/>
    <mergeCell ref="UZP5:UZV5"/>
    <mergeCell ref="UZW5:VAC5"/>
    <mergeCell ref="UWX5:UXD5"/>
    <mergeCell ref="UXE5:UXK5"/>
    <mergeCell ref="UXL5:UXR5"/>
    <mergeCell ref="UXS5:UXY5"/>
    <mergeCell ref="UXZ5:UYF5"/>
    <mergeCell ref="UYG5:UYM5"/>
    <mergeCell ref="UVH5:UVN5"/>
    <mergeCell ref="UVO5:UVU5"/>
    <mergeCell ref="UVV5:UWB5"/>
    <mergeCell ref="UWC5:UWI5"/>
    <mergeCell ref="UWJ5:UWP5"/>
    <mergeCell ref="UWQ5:UWW5"/>
    <mergeCell ref="UTR5:UTX5"/>
    <mergeCell ref="UTY5:UUE5"/>
    <mergeCell ref="UUF5:UUL5"/>
    <mergeCell ref="UUM5:UUS5"/>
    <mergeCell ref="UUT5:UUZ5"/>
    <mergeCell ref="UVA5:UVG5"/>
    <mergeCell ref="USB5:USH5"/>
    <mergeCell ref="USI5:USO5"/>
    <mergeCell ref="USP5:USV5"/>
    <mergeCell ref="USW5:UTC5"/>
    <mergeCell ref="UTD5:UTJ5"/>
    <mergeCell ref="UTK5:UTQ5"/>
    <mergeCell ref="UQL5:UQR5"/>
    <mergeCell ref="UQS5:UQY5"/>
    <mergeCell ref="UQZ5:URF5"/>
    <mergeCell ref="URG5:URM5"/>
    <mergeCell ref="URN5:URT5"/>
    <mergeCell ref="URU5:USA5"/>
    <mergeCell ref="UOV5:UPB5"/>
    <mergeCell ref="UPC5:UPI5"/>
    <mergeCell ref="UPJ5:UPP5"/>
    <mergeCell ref="UPQ5:UPW5"/>
    <mergeCell ref="UPX5:UQD5"/>
    <mergeCell ref="UQE5:UQK5"/>
    <mergeCell ref="UNF5:UNL5"/>
    <mergeCell ref="UNM5:UNS5"/>
    <mergeCell ref="UNT5:UNZ5"/>
    <mergeCell ref="UOA5:UOG5"/>
    <mergeCell ref="UOH5:UON5"/>
    <mergeCell ref="UOO5:UOU5"/>
    <mergeCell ref="ULP5:ULV5"/>
    <mergeCell ref="ULW5:UMC5"/>
    <mergeCell ref="UMD5:UMJ5"/>
    <mergeCell ref="UMK5:UMQ5"/>
    <mergeCell ref="UMR5:UMX5"/>
    <mergeCell ref="UMY5:UNE5"/>
    <mergeCell ref="UJZ5:UKF5"/>
    <mergeCell ref="UKG5:UKM5"/>
    <mergeCell ref="UKN5:UKT5"/>
    <mergeCell ref="UKU5:ULA5"/>
    <mergeCell ref="ULB5:ULH5"/>
    <mergeCell ref="ULI5:ULO5"/>
    <mergeCell ref="UIJ5:UIP5"/>
    <mergeCell ref="UIQ5:UIW5"/>
    <mergeCell ref="UIX5:UJD5"/>
    <mergeCell ref="UJE5:UJK5"/>
    <mergeCell ref="UJL5:UJR5"/>
    <mergeCell ref="UJS5:UJY5"/>
    <mergeCell ref="UGT5:UGZ5"/>
    <mergeCell ref="UHA5:UHG5"/>
    <mergeCell ref="UHH5:UHN5"/>
    <mergeCell ref="UHO5:UHU5"/>
    <mergeCell ref="UHV5:UIB5"/>
    <mergeCell ref="UIC5:UII5"/>
    <mergeCell ref="UFD5:UFJ5"/>
    <mergeCell ref="UFK5:UFQ5"/>
    <mergeCell ref="UFR5:UFX5"/>
    <mergeCell ref="UFY5:UGE5"/>
    <mergeCell ref="UGF5:UGL5"/>
    <mergeCell ref="UGM5:UGS5"/>
    <mergeCell ref="UDN5:UDT5"/>
    <mergeCell ref="UDU5:UEA5"/>
    <mergeCell ref="UEB5:UEH5"/>
    <mergeCell ref="UEI5:UEO5"/>
    <mergeCell ref="UEP5:UEV5"/>
    <mergeCell ref="UEW5:UFC5"/>
    <mergeCell ref="UBX5:UCD5"/>
    <mergeCell ref="UCE5:UCK5"/>
    <mergeCell ref="UCL5:UCR5"/>
    <mergeCell ref="UCS5:UCY5"/>
    <mergeCell ref="UCZ5:UDF5"/>
    <mergeCell ref="UDG5:UDM5"/>
    <mergeCell ref="UAH5:UAN5"/>
    <mergeCell ref="UAO5:UAU5"/>
    <mergeCell ref="UAV5:UBB5"/>
    <mergeCell ref="UBC5:UBI5"/>
    <mergeCell ref="UBJ5:UBP5"/>
    <mergeCell ref="UBQ5:UBW5"/>
    <mergeCell ref="TYR5:TYX5"/>
    <mergeCell ref="TYY5:TZE5"/>
    <mergeCell ref="TZF5:TZL5"/>
    <mergeCell ref="TZM5:TZS5"/>
    <mergeCell ref="TZT5:TZZ5"/>
    <mergeCell ref="UAA5:UAG5"/>
    <mergeCell ref="TXB5:TXH5"/>
    <mergeCell ref="TXI5:TXO5"/>
    <mergeCell ref="TXP5:TXV5"/>
    <mergeCell ref="TXW5:TYC5"/>
    <mergeCell ref="TYD5:TYJ5"/>
    <mergeCell ref="TYK5:TYQ5"/>
    <mergeCell ref="TVL5:TVR5"/>
    <mergeCell ref="TVS5:TVY5"/>
    <mergeCell ref="TVZ5:TWF5"/>
    <mergeCell ref="TWG5:TWM5"/>
    <mergeCell ref="TWN5:TWT5"/>
    <mergeCell ref="TWU5:TXA5"/>
    <mergeCell ref="TTV5:TUB5"/>
    <mergeCell ref="TUC5:TUI5"/>
    <mergeCell ref="TUJ5:TUP5"/>
    <mergeCell ref="TUQ5:TUW5"/>
    <mergeCell ref="TUX5:TVD5"/>
    <mergeCell ref="TVE5:TVK5"/>
    <mergeCell ref="TSF5:TSL5"/>
    <mergeCell ref="TSM5:TSS5"/>
    <mergeCell ref="TST5:TSZ5"/>
    <mergeCell ref="TTA5:TTG5"/>
    <mergeCell ref="TTH5:TTN5"/>
    <mergeCell ref="TTO5:TTU5"/>
    <mergeCell ref="TQP5:TQV5"/>
    <mergeCell ref="TQW5:TRC5"/>
    <mergeCell ref="TRD5:TRJ5"/>
    <mergeCell ref="TRK5:TRQ5"/>
    <mergeCell ref="TRR5:TRX5"/>
    <mergeCell ref="TRY5:TSE5"/>
    <mergeCell ref="TOZ5:TPF5"/>
    <mergeCell ref="TPG5:TPM5"/>
    <mergeCell ref="TPN5:TPT5"/>
    <mergeCell ref="TPU5:TQA5"/>
    <mergeCell ref="TQB5:TQH5"/>
    <mergeCell ref="TQI5:TQO5"/>
    <mergeCell ref="TNJ5:TNP5"/>
    <mergeCell ref="TNQ5:TNW5"/>
    <mergeCell ref="TNX5:TOD5"/>
    <mergeCell ref="TOE5:TOK5"/>
    <mergeCell ref="TOL5:TOR5"/>
    <mergeCell ref="TOS5:TOY5"/>
    <mergeCell ref="TLT5:TLZ5"/>
    <mergeCell ref="TMA5:TMG5"/>
    <mergeCell ref="TMH5:TMN5"/>
    <mergeCell ref="TMO5:TMU5"/>
    <mergeCell ref="TMV5:TNB5"/>
    <mergeCell ref="TNC5:TNI5"/>
    <mergeCell ref="TKD5:TKJ5"/>
    <mergeCell ref="TKK5:TKQ5"/>
    <mergeCell ref="TKR5:TKX5"/>
    <mergeCell ref="TKY5:TLE5"/>
    <mergeCell ref="TLF5:TLL5"/>
    <mergeCell ref="TLM5:TLS5"/>
    <mergeCell ref="TIN5:TIT5"/>
    <mergeCell ref="TIU5:TJA5"/>
    <mergeCell ref="TJB5:TJH5"/>
    <mergeCell ref="TJI5:TJO5"/>
    <mergeCell ref="TJP5:TJV5"/>
    <mergeCell ref="TJW5:TKC5"/>
    <mergeCell ref="TGX5:THD5"/>
    <mergeCell ref="THE5:THK5"/>
    <mergeCell ref="THL5:THR5"/>
    <mergeCell ref="THS5:THY5"/>
    <mergeCell ref="THZ5:TIF5"/>
    <mergeCell ref="TIG5:TIM5"/>
    <mergeCell ref="TFH5:TFN5"/>
    <mergeCell ref="TFO5:TFU5"/>
    <mergeCell ref="TFV5:TGB5"/>
    <mergeCell ref="TGC5:TGI5"/>
    <mergeCell ref="TGJ5:TGP5"/>
    <mergeCell ref="TGQ5:TGW5"/>
    <mergeCell ref="TDR5:TDX5"/>
    <mergeCell ref="TDY5:TEE5"/>
    <mergeCell ref="TEF5:TEL5"/>
    <mergeCell ref="TEM5:TES5"/>
    <mergeCell ref="TET5:TEZ5"/>
    <mergeCell ref="TFA5:TFG5"/>
    <mergeCell ref="TCB5:TCH5"/>
    <mergeCell ref="TCI5:TCO5"/>
    <mergeCell ref="TCP5:TCV5"/>
    <mergeCell ref="TCW5:TDC5"/>
    <mergeCell ref="TDD5:TDJ5"/>
    <mergeCell ref="TDK5:TDQ5"/>
    <mergeCell ref="TAL5:TAR5"/>
    <mergeCell ref="TAS5:TAY5"/>
    <mergeCell ref="TAZ5:TBF5"/>
    <mergeCell ref="TBG5:TBM5"/>
    <mergeCell ref="TBN5:TBT5"/>
    <mergeCell ref="TBU5:TCA5"/>
    <mergeCell ref="SYV5:SZB5"/>
    <mergeCell ref="SZC5:SZI5"/>
    <mergeCell ref="SZJ5:SZP5"/>
    <mergeCell ref="SZQ5:SZW5"/>
    <mergeCell ref="SZX5:TAD5"/>
    <mergeCell ref="TAE5:TAK5"/>
    <mergeCell ref="SXF5:SXL5"/>
    <mergeCell ref="SXM5:SXS5"/>
    <mergeCell ref="SXT5:SXZ5"/>
    <mergeCell ref="SYA5:SYG5"/>
    <mergeCell ref="SYH5:SYN5"/>
    <mergeCell ref="SYO5:SYU5"/>
    <mergeCell ref="SVP5:SVV5"/>
    <mergeCell ref="SVW5:SWC5"/>
    <mergeCell ref="SWD5:SWJ5"/>
    <mergeCell ref="SWK5:SWQ5"/>
    <mergeCell ref="SWR5:SWX5"/>
    <mergeCell ref="SWY5:SXE5"/>
    <mergeCell ref="STZ5:SUF5"/>
    <mergeCell ref="SUG5:SUM5"/>
    <mergeCell ref="SUN5:SUT5"/>
    <mergeCell ref="SUU5:SVA5"/>
    <mergeCell ref="SVB5:SVH5"/>
    <mergeCell ref="SVI5:SVO5"/>
    <mergeCell ref="SSJ5:SSP5"/>
    <mergeCell ref="SSQ5:SSW5"/>
    <mergeCell ref="SSX5:STD5"/>
    <mergeCell ref="STE5:STK5"/>
    <mergeCell ref="STL5:STR5"/>
    <mergeCell ref="STS5:STY5"/>
    <mergeCell ref="SQT5:SQZ5"/>
    <mergeCell ref="SRA5:SRG5"/>
    <mergeCell ref="SRH5:SRN5"/>
    <mergeCell ref="SRO5:SRU5"/>
    <mergeCell ref="SRV5:SSB5"/>
    <mergeCell ref="SSC5:SSI5"/>
    <mergeCell ref="SPD5:SPJ5"/>
    <mergeCell ref="SPK5:SPQ5"/>
    <mergeCell ref="SPR5:SPX5"/>
    <mergeCell ref="SPY5:SQE5"/>
    <mergeCell ref="SQF5:SQL5"/>
    <mergeCell ref="SQM5:SQS5"/>
    <mergeCell ref="SNN5:SNT5"/>
    <mergeCell ref="SNU5:SOA5"/>
    <mergeCell ref="SOB5:SOH5"/>
    <mergeCell ref="SOI5:SOO5"/>
    <mergeCell ref="SOP5:SOV5"/>
    <mergeCell ref="SOW5:SPC5"/>
    <mergeCell ref="SLX5:SMD5"/>
    <mergeCell ref="SME5:SMK5"/>
    <mergeCell ref="SML5:SMR5"/>
    <mergeCell ref="SMS5:SMY5"/>
    <mergeCell ref="SMZ5:SNF5"/>
    <mergeCell ref="SNG5:SNM5"/>
    <mergeCell ref="SKH5:SKN5"/>
    <mergeCell ref="SKO5:SKU5"/>
    <mergeCell ref="SKV5:SLB5"/>
    <mergeCell ref="SLC5:SLI5"/>
    <mergeCell ref="SLJ5:SLP5"/>
    <mergeCell ref="SLQ5:SLW5"/>
    <mergeCell ref="SIR5:SIX5"/>
    <mergeCell ref="SIY5:SJE5"/>
    <mergeCell ref="SJF5:SJL5"/>
    <mergeCell ref="SJM5:SJS5"/>
    <mergeCell ref="SJT5:SJZ5"/>
    <mergeCell ref="SKA5:SKG5"/>
    <mergeCell ref="SHB5:SHH5"/>
    <mergeCell ref="SHI5:SHO5"/>
    <mergeCell ref="SHP5:SHV5"/>
    <mergeCell ref="SHW5:SIC5"/>
    <mergeCell ref="SID5:SIJ5"/>
    <mergeCell ref="SIK5:SIQ5"/>
    <mergeCell ref="SFL5:SFR5"/>
    <mergeCell ref="SFS5:SFY5"/>
    <mergeCell ref="SFZ5:SGF5"/>
    <mergeCell ref="SGG5:SGM5"/>
    <mergeCell ref="SGN5:SGT5"/>
    <mergeCell ref="SGU5:SHA5"/>
    <mergeCell ref="SDV5:SEB5"/>
    <mergeCell ref="SEC5:SEI5"/>
    <mergeCell ref="SEJ5:SEP5"/>
    <mergeCell ref="SEQ5:SEW5"/>
    <mergeCell ref="SEX5:SFD5"/>
    <mergeCell ref="SFE5:SFK5"/>
    <mergeCell ref="SCF5:SCL5"/>
    <mergeCell ref="SCM5:SCS5"/>
    <mergeCell ref="SCT5:SCZ5"/>
    <mergeCell ref="SDA5:SDG5"/>
    <mergeCell ref="SDH5:SDN5"/>
    <mergeCell ref="SDO5:SDU5"/>
    <mergeCell ref="SAP5:SAV5"/>
    <mergeCell ref="SAW5:SBC5"/>
    <mergeCell ref="SBD5:SBJ5"/>
    <mergeCell ref="SBK5:SBQ5"/>
    <mergeCell ref="SBR5:SBX5"/>
    <mergeCell ref="SBY5:SCE5"/>
    <mergeCell ref="RYZ5:RZF5"/>
    <mergeCell ref="RZG5:RZM5"/>
    <mergeCell ref="RZN5:RZT5"/>
    <mergeCell ref="RZU5:SAA5"/>
    <mergeCell ref="SAB5:SAH5"/>
    <mergeCell ref="SAI5:SAO5"/>
    <mergeCell ref="RXJ5:RXP5"/>
    <mergeCell ref="RXQ5:RXW5"/>
    <mergeCell ref="RXX5:RYD5"/>
    <mergeCell ref="RYE5:RYK5"/>
    <mergeCell ref="RYL5:RYR5"/>
    <mergeCell ref="RYS5:RYY5"/>
    <mergeCell ref="RVT5:RVZ5"/>
    <mergeCell ref="RWA5:RWG5"/>
    <mergeCell ref="RWH5:RWN5"/>
    <mergeCell ref="RWO5:RWU5"/>
    <mergeCell ref="RWV5:RXB5"/>
    <mergeCell ref="RXC5:RXI5"/>
    <mergeCell ref="RUD5:RUJ5"/>
    <mergeCell ref="RUK5:RUQ5"/>
    <mergeCell ref="RUR5:RUX5"/>
    <mergeCell ref="RUY5:RVE5"/>
    <mergeCell ref="RVF5:RVL5"/>
    <mergeCell ref="RVM5:RVS5"/>
    <mergeCell ref="RSN5:RST5"/>
    <mergeCell ref="RSU5:RTA5"/>
    <mergeCell ref="RTB5:RTH5"/>
    <mergeCell ref="RTI5:RTO5"/>
    <mergeCell ref="RTP5:RTV5"/>
    <mergeCell ref="RTW5:RUC5"/>
    <mergeCell ref="RQX5:RRD5"/>
    <mergeCell ref="RRE5:RRK5"/>
    <mergeCell ref="RRL5:RRR5"/>
    <mergeCell ref="RRS5:RRY5"/>
    <mergeCell ref="RRZ5:RSF5"/>
    <mergeCell ref="RSG5:RSM5"/>
    <mergeCell ref="RPH5:RPN5"/>
    <mergeCell ref="RPO5:RPU5"/>
    <mergeCell ref="RPV5:RQB5"/>
    <mergeCell ref="RQC5:RQI5"/>
    <mergeCell ref="RQJ5:RQP5"/>
    <mergeCell ref="RQQ5:RQW5"/>
    <mergeCell ref="RNR5:RNX5"/>
    <mergeCell ref="RNY5:ROE5"/>
    <mergeCell ref="ROF5:ROL5"/>
    <mergeCell ref="ROM5:ROS5"/>
    <mergeCell ref="ROT5:ROZ5"/>
    <mergeCell ref="RPA5:RPG5"/>
    <mergeCell ref="RMB5:RMH5"/>
    <mergeCell ref="RMI5:RMO5"/>
    <mergeCell ref="RMP5:RMV5"/>
    <mergeCell ref="RMW5:RNC5"/>
    <mergeCell ref="RND5:RNJ5"/>
    <mergeCell ref="RNK5:RNQ5"/>
    <mergeCell ref="RKL5:RKR5"/>
    <mergeCell ref="RKS5:RKY5"/>
    <mergeCell ref="RKZ5:RLF5"/>
    <mergeCell ref="RLG5:RLM5"/>
    <mergeCell ref="RLN5:RLT5"/>
    <mergeCell ref="RLU5:RMA5"/>
    <mergeCell ref="RIV5:RJB5"/>
    <mergeCell ref="RJC5:RJI5"/>
    <mergeCell ref="RJJ5:RJP5"/>
    <mergeCell ref="RJQ5:RJW5"/>
    <mergeCell ref="RJX5:RKD5"/>
    <mergeCell ref="RKE5:RKK5"/>
    <mergeCell ref="RHF5:RHL5"/>
    <mergeCell ref="RHM5:RHS5"/>
    <mergeCell ref="RHT5:RHZ5"/>
    <mergeCell ref="RIA5:RIG5"/>
    <mergeCell ref="RIH5:RIN5"/>
    <mergeCell ref="RIO5:RIU5"/>
    <mergeCell ref="RFP5:RFV5"/>
    <mergeCell ref="RFW5:RGC5"/>
    <mergeCell ref="RGD5:RGJ5"/>
    <mergeCell ref="RGK5:RGQ5"/>
    <mergeCell ref="RGR5:RGX5"/>
    <mergeCell ref="RGY5:RHE5"/>
    <mergeCell ref="RDZ5:REF5"/>
    <mergeCell ref="REG5:REM5"/>
    <mergeCell ref="REN5:RET5"/>
    <mergeCell ref="REU5:RFA5"/>
    <mergeCell ref="RFB5:RFH5"/>
    <mergeCell ref="RFI5:RFO5"/>
    <mergeCell ref="RCJ5:RCP5"/>
    <mergeCell ref="RCQ5:RCW5"/>
    <mergeCell ref="RCX5:RDD5"/>
    <mergeCell ref="RDE5:RDK5"/>
    <mergeCell ref="RDL5:RDR5"/>
    <mergeCell ref="RDS5:RDY5"/>
    <mergeCell ref="RAT5:RAZ5"/>
    <mergeCell ref="RBA5:RBG5"/>
    <mergeCell ref="RBH5:RBN5"/>
    <mergeCell ref="RBO5:RBU5"/>
    <mergeCell ref="RBV5:RCB5"/>
    <mergeCell ref="RCC5:RCI5"/>
    <mergeCell ref="QZD5:QZJ5"/>
    <mergeCell ref="QZK5:QZQ5"/>
    <mergeCell ref="QZR5:QZX5"/>
    <mergeCell ref="QZY5:RAE5"/>
    <mergeCell ref="RAF5:RAL5"/>
    <mergeCell ref="RAM5:RAS5"/>
    <mergeCell ref="QXN5:QXT5"/>
    <mergeCell ref="QXU5:QYA5"/>
    <mergeCell ref="QYB5:QYH5"/>
    <mergeCell ref="QYI5:QYO5"/>
    <mergeCell ref="QYP5:QYV5"/>
    <mergeCell ref="QYW5:QZC5"/>
    <mergeCell ref="QVX5:QWD5"/>
    <mergeCell ref="QWE5:QWK5"/>
    <mergeCell ref="QWL5:QWR5"/>
    <mergeCell ref="QWS5:QWY5"/>
    <mergeCell ref="QWZ5:QXF5"/>
    <mergeCell ref="QXG5:QXM5"/>
    <mergeCell ref="QUH5:QUN5"/>
    <mergeCell ref="QUO5:QUU5"/>
    <mergeCell ref="QUV5:QVB5"/>
    <mergeCell ref="QVC5:QVI5"/>
    <mergeCell ref="QVJ5:QVP5"/>
    <mergeCell ref="QVQ5:QVW5"/>
    <mergeCell ref="QSR5:QSX5"/>
    <mergeCell ref="QSY5:QTE5"/>
    <mergeCell ref="QTF5:QTL5"/>
    <mergeCell ref="QTM5:QTS5"/>
    <mergeCell ref="QTT5:QTZ5"/>
    <mergeCell ref="QUA5:QUG5"/>
    <mergeCell ref="QRB5:QRH5"/>
    <mergeCell ref="QRI5:QRO5"/>
    <mergeCell ref="QRP5:QRV5"/>
    <mergeCell ref="QRW5:QSC5"/>
    <mergeCell ref="QSD5:QSJ5"/>
    <mergeCell ref="QSK5:QSQ5"/>
    <mergeCell ref="QPL5:QPR5"/>
    <mergeCell ref="QPS5:QPY5"/>
    <mergeCell ref="QPZ5:QQF5"/>
    <mergeCell ref="QQG5:QQM5"/>
    <mergeCell ref="QQN5:QQT5"/>
    <mergeCell ref="QQU5:QRA5"/>
    <mergeCell ref="QNV5:QOB5"/>
    <mergeCell ref="QOC5:QOI5"/>
    <mergeCell ref="QOJ5:QOP5"/>
    <mergeCell ref="QOQ5:QOW5"/>
    <mergeCell ref="QOX5:QPD5"/>
    <mergeCell ref="QPE5:QPK5"/>
    <mergeCell ref="QMF5:QML5"/>
    <mergeCell ref="QMM5:QMS5"/>
    <mergeCell ref="QMT5:QMZ5"/>
    <mergeCell ref="QNA5:QNG5"/>
    <mergeCell ref="QNH5:QNN5"/>
    <mergeCell ref="QNO5:QNU5"/>
    <mergeCell ref="QKP5:QKV5"/>
    <mergeCell ref="QKW5:QLC5"/>
    <mergeCell ref="QLD5:QLJ5"/>
    <mergeCell ref="QLK5:QLQ5"/>
    <mergeCell ref="QLR5:QLX5"/>
    <mergeCell ref="QLY5:QME5"/>
    <mergeCell ref="QIZ5:QJF5"/>
    <mergeCell ref="QJG5:QJM5"/>
    <mergeCell ref="QJN5:QJT5"/>
    <mergeCell ref="QJU5:QKA5"/>
    <mergeCell ref="QKB5:QKH5"/>
    <mergeCell ref="QKI5:QKO5"/>
    <mergeCell ref="QHJ5:QHP5"/>
    <mergeCell ref="QHQ5:QHW5"/>
    <mergeCell ref="QHX5:QID5"/>
    <mergeCell ref="QIE5:QIK5"/>
    <mergeCell ref="QIL5:QIR5"/>
    <mergeCell ref="QIS5:QIY5"/>
    <mergeCell ref="QFT5:QFZ5"/>
    <mergeCell ref="QGA5:QGG5"/>
    <mergeCell ref="QGH5:QGN5"/>
    <mergeCell ref="QGO5:QGU5"/>
    <mergeCell ref="QGV5:QHB5"/>
    <mergeCell ref="QHC5:QHI5"/>
    <mergeCell ref="QED5:QEJ5"/>
    <mergeCell ref="QEK5:QEQ5"/>
    <mergeCell ref="QER5:QEX5"/>
    <mergeCell ref="QEY5:QFE5"/>
    <mergeCell ref="QFF5:QFL5"/>
    <mergeCell ref="QFM5:QFS5"/>
    <mergeCell ref="QCN5:QCT5"/>
    <mergeCell ref="QCU5:QDA5"/>
    <mergeCell ref="QDB5:QDH5"/>
    <mergeCell ref="QDI5:QDO5"/>
    <mergeCell ref="QDP5:QDV5"/>
    <mergeCell ref="QDW5:QEC5"/>
    <mergeCell ref="QAX5:QBD5"/>
    <mergeCell ref="QBE5:QBK5"/>
    <mergeCell ref="QBL5:QBR5"/>
    <mergeCell ref="QBS5:QBY5"/>
    <mergeCell ref="QBZ5:QCF5"/>
    <mergeCell ref="QCG5:QCM5"/>
    <mergeCell ref="PZH5:PZN5"/>
    <mergeCell ref="PZO5:PZU5"/>
    <mergeCell ref="PZV5:QAB5"/>
    <mergeCell ref="QAC5:QAI5"/>
    <mergeCell ref="QAJ5:QAP5"/>
    <mergeCell ref="QAQ5:QAW5"/>
    <mergeCell ref="PXR5:PXX5"/>
    <mergeCell ref="PXY5:PYE5"/>
    <mergeCell ref="PYF5:PYL5"/>
    <mergeCell ref="PYM5:PYS5"/>
    <mergeCell ref="PYT5:PYZ5"/>
    <mergeCell ref="PZA5:PZG5"/>
    <mergeCell ref="PWB5:PWH5"/>
    <mergeCell ref="PWI5:PWO5"/>
    <mergeCell ref="PWP5:PWV5"/>
    <mergeCell ref="PWW5:PXC5"/>
    <mergeCell ref="PXD5:PXJ5"/>
    <mergeCell ref="PXK5:PXQ5"/>
    <mergeCell ref="PUL5:PUR5"/>
    <mergeCell ref="PUS5:PUY5"/>
    <mergeCell ref="PUZ5:PVF5"/>
    <mergeCell ref="PVG5:PVM5"/>
    <mergeCell ref="PVN5:PVT5"/>
    <mergeCell ref="PVU5:PWA5"/>
    <mergeCell ref="PSV5:PTB5"/>
    <mergeCell ref="PTC5:PTI5"/>
    <mergeCell ref="PTJ5:PTP5"/>
    <mergeCell ref="PTQ5:PTW5"/>
    <mergeCell ref="PTX5:PUD5"/>
    <mergeCell ref="PUE5:PUK5"/>
    <mergeCell ref="PRF5:PRL5"/>
    <mergeCell ref="PRM5:PRS5"/>
    <mergeCell ref="PRT5:PRZ5"/>
    <mergeCell ref="PSA5:PSG5"/>
    <mergeCell ref="PSH5:PSN5"/>
    <mergeCell ref="PSO5:PSU5"/>
    <mergeCell ref="PPP5:PPV5"/>
    <mergeCell ref="PPW5:PQC5"/>
    <mergeCell ref="PQD5:PQJ5"/>
    <mergeCell ref="PQK5:PQQ5"/>
    <mergeCell ref="PQR5:PQX5"/>
    <mergeCell ref="PQY5:PRE5"/>
    <mergeCell ref="PNZ5:POF5"/>
    <mergeCell ref="POG5:POM5"/>
    <mergeCell ref="PON5:POT5"/>
    <mergeCell ref="POU5:PPA5"/>
    <mergeCell ref="PPB5:PPH5"/>
    <mergeCell ref="PPI5:PPO5"/>
    <mergeCell ref="PMJ5:PMP5"/>
    <mergeCell ref="PMQ5:PMW5"/>
    <mergeCell ref="PMX5:PND5"/>
    <mergeCell ref="PNE5:PNK5"/>
    <mergeCell ref="PNL5:PNR5"/>
    <mergeCell ref="PNS5:PNY5"/>
    <mergeCell ref="PKT5:PKZ5"/>
    <mergeCell ref="PLA5:PLG5"/>
    <mergeCell ref="PLH5:PLN5"/>
    <mergeCell ref="PLO5:PLU5"/>
    <mergeCell ref="PLV5:PMB5"/>
    <mergeCell ref="PMC5:PMI5"/>
    <mergeCell ref="PJD5:PJJ5"/>
    <mergeCell ref="PJK5:PJQ5"/>
    <mergeCell ref="PJR5:PJX5"/>
    <mergeCell ref="PJY5:PKE5"/>
    <mergeCell ref="PKF5:PKL5"/>
    <mergeCell ref="PKM5:PKS5"/>
    <mergeCell ref="PHN5:PHT5"/>
    <mergeCell ref="PHU5:PIA5"/>
    <mergeCell ref="PIB5:PIH5"/>
    <mergeCell ref="PII5:PIO5"/>
    <mergeCell ref="PIP5:PIV5"/>
    <mergeCell ref="PIW5:PJC5"/>
    <mergeCell ref="PFX5:PGD5"/>
    <mergeCell ref="PGE5:PGK5"/>
    <mergeCell ref="PGL5:PGR5"/>
    <mergeCell ref="PGS5:PGY5"/>
    <mergeCell ref="PGZ5:PHF5"/>
    <mergeCell ref="PHG5:PHM5"/>
    <mergeCell ref="PEH5:PEN5"/>
    <mergeCell ref="PEO5:PEU5"/>
    <mergeCell ref="PEV5:PFB5"/>
    <mergeCell ref="PFC5:PFI5"/>
    <mergeCell ref="PFJ5:PFP5"/>
    <mergeCell ref="PFQ5:PFW5"/>
    <mergeCell ref="PCR5:PCX5"/>
    <mergeCell ref="PCY5:PDE5"/>
    <mergeCell ref="PDF5:PDL5"/>
    <mergeCell ref="PDM5:PDS5"/>
    <mergeCell ref="PDT5:PDZ5"/>
    <mergeCell ref="PEA5:PEG5"/>
    <mergeCell ref="PBB5:PBH5"/>
    <mergeCell ref="PBI5:PBO5"/>
    <mergeCell ref="PBP5:PBV5"/>
    <mergeCell ref="PBW5:PCC5"/>
    <mergeCell ref="PCD5:PCJ5"/>
    <mergeCell ref="PCK5:PCQ5"/>
    <mergeCell ref="OZL5:OZR5"/>
    <mergeCell ref="OZS5:OZY5"/>
    <mergeCell ref="OZZ5:PAF5"/>
    <mergeCell ref="PAG5:PAM5"/>
    <mergeCell ref="PAN5:PAT5"/>
    <mergeCell ref="PAU5:PBA5"/>
    <mergeCell ref="OXV5:OYB5"/>
    <mergeCell ref="OYC5:OYI5"/>
    <mergeCell ref="OYJ5:OYP5"/>
    <mergeCell ref="OYQ5:OYW5"/>
    <mergeCell ref="OYX5:OZD5"/>
    <mergeCell ref="OZE5:OZK5"/>
    <mergeCell ref="OWF5:OWL5"/>
    <mergeCell ref="OWM5:OWS5"/>
    <mergeCell ref="OWT5:OWZ5"/>
    <mergeCell ref="OXA5:OXG5"/>
    <mergeCell ref="OXH5:OXN5"/>
    <mergeCell ref="OXO5:OXU5"/>
    <mergeCell ref="OUP5:OUV5"/>
    <mergeCell ref="OUW5:OVC5"/>
    <mergeCell ref="OVD5:OVJ5"/>
    <mergeCell ref="OVK5:OVQ5"/>
    <mergeCell ref="OVR5:OVX5"/>
    <mergeCell ref="OVY5:OWE5"/>
    <mergeCell ref="OSZ5:OTF5"/>
    <mergeCell ref="OTG5:OTM5"/>
    <mergeCell ref="OTN5:OTT5"/>
    <mergeCell ref="OTU5:OUA5"/>
    <mergeCell ref="OUB5:OUH5"/>
    <mergeCell ref="OUI5:OUO5"/>
    <mergeCell ref="ORJ5:ORP5"/>
    <mergeCell ref="ORQ5:ORW5"/>
    <mergeCell ref="ORX5:OSD5"/>
    <mergeCell ref="OSE5:OSK5"/>
    <mergeCell ref="OSL5:OSR5"/>
    <mergeCell ref="OSS5:OSY5"/>
    <mergeCell ref="OPT5:OPZ5"/>
    <mergeCell ref="OQA5:OQG5"/>
    <mergeCell ref="OQH5:OQN5"/>
    <mergeCell ref="OQO5:OQU5"/>
    <mergeCell ref="OQV5:ORB5"/>
    <mergeCell ref="ORC5:ORI5"/>
    <mergeCell ref="OOD5:OOJ5"/>
    <mergeCell ref="OOK5:OOQ5"/>
    <mergeCell ref="OOR5:OOX5"/>
    <mergeCell ref="OOY5:OPE5"/>
    <mergeCell ref="OPF5:OPL5"/>
    <mergeCell ref="OPM5:OPS5"/>
    <mergeCell ref="OMN5:OMT5"/>
    <mergeCell ref="OMU5:ONA5"/>
    <mergeCell ref="ONB5:ONH5"/>
    <mergeCell ref="ONI5:ONO5"/>
    <mergeCell ref="ONP5:ONV5"/>
    <mergeCell ref="ONW5:OOC5"/>
    <mergeCell ref="OKX5:OLD5"/>
    <mergeCell ref="OLE5:OLK5"/>
    <mergeCell ref="OLL5:OLR5"/>
    <mergeCell ref="OLS5:OLY5"/>
    <mergeCell ref="OLZ5:OMF5"/>
    <mergeCell ref="OMG5:OMM5"/>
    <mergeCell ref="OJH5:OJN5"/>
    <mergeCell ref="OJO5:OJU5"/>
    <mergeCell ref="OJV5:OKB5"/>
    <mergeCell ref="OKC5:OKI5"/>
    <mergeCell ref="OKJ5:OKP5"/>
    <mergeCell ref="OKQ5:OKW5"/>
    <mergeCell ref="OHR5:OHX5"/>
    <mergeCell ref="OHY5:OIE5"/>
    <mergeCell ref="OIF5:OIL5"/>
    <mergeCell ref="OIM5:OIS5"/>
    <mergeCell ref="OIT5:OIZ5"/>
    <mergeCell ref="OJA5:OJG5"/>
    <mergeCell ref="OGB5:OGH5"/>
    <mergeCell ref="OGI5:OGO5"/>
    <mergeCell ref="OGP5:OGV5"/>
    <mergeCell ref="OGW5:OHC5"/>
    <mergeCell ref="OHD5:OHJ5"/>
    <mergeCell ref="OHK5:OHQ5"/>
    <mergeCell ref="OEL5:OER5"/>
    <mergeCell ref="OES5:OEY5"/>
    <mergeCell ref="OEZ5:OFF5"/>
    <mergeCell ref="OFG5:OFM5"/>
    <mergeCell ref="OFN5:OFT5"/>
    <mergeCell ref="OFU5:OGA5"/>
    <mergeCell ref="OCV5:ODB5"/>
    <mergeCell ref="ODC5:ODI5"/>
    <mergeCell ref="ODJ5:ODP5"/>
    <mergeCell ref="ODQ5:ODW5"/>
    <mergeCell ref="ODX5:OED5"/>
    <mergeCell ref="OEE5:OEK5"/>
    <mergeCell ref="OBF5:OBL5"/>
    <mergeCell ref="OBM5:OBS5"/>
    <mergeCell ref="OBT5:OBZ5"/>
    <mergeCell ref="OCA5:OCG5"/>
    <mergeCell ref="OCH5:OCN5"/>
    <mergeCell ref="OCO5:OCU5"/>
    <mergeCell ref="NZP5:NZV5"/>
    <mergeCell ref="NZW5:OAC5"/>
    <mergeCell ref="OAD5:OAJ5"/>
    <mergeCell ref="OAK5:OAQ5"/>
    <mergeCell ref="OAR5:OAX5"/>
    <mergeCell ref="OAY5:OBE5"/>
    <mergeCell ref="NXZ5:NYF5"/>
    <mergeCell ref="NYG5:NYM5"/>
    <mergeCell ref="NYN5:NYT5"/>
    <mergeCell ref="NYU5:NZA5"/>
    <mergeCell ref="NZB5:NZH5"/>
    <mergeCell ref="NZI5:NZO5"/>
    <mergeCell ref="NWJ5:NWP5"/>
    <mergeCell ref="NWQ5:NWW5"/>
    <mergeCell ref="NWX5:NXD5"/>
    <mergeCell ref="NXE5:NXK5"/>
    <mergeCell ref="NXL5:NXR5"/>
    <mergeCell ref="NXS5:NXY5"/>
    <mergeCell ref="NUT5:NUZ5"/>
    <mergeCell ref="NVA5:NVG5"/>
    <mergeCell ref="NVH5:NVN5"/>
    <mergeCell ref="NVO5:NVU5"/>
    <mergeCell ref="NVV5:NWB5"/>
    <mergeCell ref="NWC5:NWI5"/>
    <mergeCell ref="NTD5:NTJ5"/>
    <mergeCell ref="NTK5:NTQ5"/>
    <mergeCell ref="NTR5:NTX5"/>
    <mergeCell ref="NTY5:NUE5"/>
    <mergeCell ref="NUF5:NUL5"/>
    <mergeCell ref="NUM5:NUS5"/>
    <mergeCell ref="NRN5:NRT5"/>
    <mergeCell ref="NRU5:NSA5"/>
    <mergeCell ref="NSB5:NSH5"/>
    <mergeCell ref="NSI5:NSO5"/>
    <mergeCell ref="NSP5:NSV5"/>
    <mergeCell ref="NSW5:NTC5"/>
    <mergeCell ref="NPX5:NQD5"/>
    <mergeCell ref="NQE5:NQK5"/>
    <mergeCell ref="NQL5:NQR5"/>
    <mergeCell ref="NQS5:NQY5"/>
    <mergeCell ref="NQZ5:NRF5"/>
    <mergeCell ref="NRG5:NRM5"/>
    <mergeCell ref="NOH5:NON5"/>
    <mergeCell ref="NOO5:NOU5"/>
    <mergeCell ref="NOV5:NPB5"/>
    <mergeCell ref="NPC5:NPI5"/>
    <mergeCell ref="NPJ5:NPP5"/>
    <mergeCell ref="NPQ5:NPW5"/>
    <mergeCell ref="NMR5:NMX5"/>
    <mergeCell ref="NMY5:NNE5"/>
    <mergeCell ref="NNF5:NNL5"/>
    <mergeCell ref="NNM5:NNS5"/>
    <mergeCell ref="NNT5:NNZ5"/>
    <mergeCell ref="NOA5:NOG5"/>
    <mergeCell ref="NLB5:NLH5"/>
    <mergeCell ref="NLI5:NLO5"/>
    <mergeCell ref="NLP5:NLV5"/>
    <mergeCell ref="NLW5:NMC5"/>
    <mergeCell ref="NMD5:NMJ5"/>
    <mergeCell ref="NMK5:NMQ5"/>
    <mergeCell ref="NJL5:NJR5"/>
    <mergeCell ref="NJS5:NJY5"/>
    <mergeCell ref="NJZ5:NKF5"/>
    <mergeCell ref="NKG5:NKM5"/>
    <mergeCell ref="NKN5:NKT5"/>
    <mergeCell ref="NKU5:NLA5"/>
    <mergeCell ref="NHV5:NIB5"/>
    <mergeCell ref="NIC5:NII5"/>
    <mergeCell ref="NIJ5:NIP5"/>
    <mergeCell ref="NIQ5:NIW5"/>
    <mergeCell ref="NIX5:NJD5"/>
    <mergeCell ref="NJE5:NJK5"/>
    <mergeCell ref="NGF5:NGL5"/>
    <mergeCell ref="NGM5:NGS5"/>
    <mergeCell ref="NGT5:NGZ5"/>
    <mergeCell ref="NHA5:NHG5"/>
    <mergeCell ref="NHH5:NHN5"/>
    <mergeCell ref="NHO5:NHU5"/>
    <mergeCell ref="NEP5:NEV5"/>
    <mergeCell ref="NEW5:NFC5"/>
    <mergeCell ref="NFD5:NFJ5"/>
    <mergeCell ref="NFK5:NFQ5"/>
    <mergeCell ref="NFR5:NFX5"/>
    <mergeCell ref="NFY5:NGE5"/>
    <mergeCell ref="NCZ5:NDF5"/>
    <mergeCell ref="NDG5:NDM5"/>
    <mergeCell ref="NDN5:NDT5"/>
    <mergeCell ref="NDU5:NEA5"/>
    <mergeCell ref="NEB5:NEH5"/>
    <mergeCell ref="NEI5:NEO5"/>
    <mergeCell ref="NBJ5:NBP5"/>
    <mergeCell ref="NBQ5:NBW5"/>
    <mergeCell ref="NBX5:NCD5"/>
    <mergeCell ref="NCE5:NCK5"/>
    <mergeCell ref="NCL5:NCR5"/>
    <mergeCell ref="NCS5:NCY5"/>
    <mergeCell ref="MZT5:MZZ5"/>
    <mergeCell ref="NAA5:NAG5"/>
    <mergeCell ref="NAH5:NAN5"/>
    <mergeCell ref="NAO5:NAU5"/>
    <mergeCell ref="NAV5:NBB5"/>
    <mergeCell ref="NBC5:NBI5"/>
    <mergeCell ref="MYD5:MYJ5"/>
    <mergeCell ref="MYK5:MYQ5"/>
    <mergeCell ref="MYR5:MYX5"/>
    <mergeCell ref="MYY5:MZE5"/>
    <mergeCell ref="MZF5:MZL5"/>
    <mergeCell ref="MZM5:MZS5"/>
    <mergeCell ref="MWN5:MWT5"/>
    <mergeCell ref="MWU5:MXA5"/>
    <mergeCell ref="MXB5:MXH5"/>
    <mergeCell ref="MXI5:MXO5"/>
    <mergeCell ref="MXP5:MXV5"/>
    <mergeCell ref="MXW5:MYC5"/>
    <mergeCell ref="MUX5:MVD5"/>
    <mergeCell ref="MVE5:MVK5"/>
    <mergeCell ref="MVL5:MVR5"/>
    <mergeCell ref="MVS5:MVY5"/>
    <mergeCell ref="MVZ5:MWF5"/>
    <mergeCell ref="MWG5:MWM5"/>
    <mergeCell ref="MTH5:MTN5"/>
    <mergeCell ref="MTO5:MTU5"/>
    <mergeCell ref="MTV5:MUB5"/>
    <mergeCell ref="MUC5:MUI5"/>
    <mergeCell ref="MUJ5:MUP5"/>
    <mergeCell ref="MUQ5:MUW5"/>
    <mergeCell ref="MRR5:MRX5"/>
    <mergeCell ref="MRY5:MSE5"/>
    <mergeCell ref="MSF5:MSL5"/>
    <mergeCell ref="MSM5:MSS5"/>
    <mergeCell ref="MST5:MSZ5"/>
    <mergeCell ref="MTA5:MTG5"/>
    <mergeCell ref="MQB5:MQH5"/>
    <mergeCell ref="MQI5:MQO5"/>
    <mergeCell ref="MQP5:MQV5"/>
    <mergeCell ref="MQW5:MRC5"/>
    <mergeCell ref="MRD5:MRJ5"/>
    <mergeCell ref="MRK5:MRQ5"/>
    <mergeCell ref="MOL5:MOR5"/>
    <mergeCell ref="MOS5:MOY5"/>
    <mergeCell ref="MOZ5:MPF5"/>
    <mergeCell ref="MPG5:MPM5"/>
    <mergeCell ref="MPN5:MPT5"/>
    <mergeCell ref="MPU5:MQA5"/>
    <mergeCell ref="MMV5:MNB5"/>
    <mergeCell ref="MNC5:MNI5"/>
    <mergeCell ref="MNJ5:MNP5"/>
    <mergeCell ref="MNQ5:MNW5"/>
    <mergeCell ref="MNX5:MOD5"/>
    <mergeCell ref="MOE5:MOK5"/>
    <mergeCell ref="MLF5:MLL5"/>
    <mergeCell ref="MLM5:MLS5"/>
    <mergeCell ref="MLT5:MLZ5"/>
    <mergeCell ref="MMA5:MMG5"/>
    <mergeCell ref="MMH5:MMN5"/>
    <mergeCell ref="MMO5:MMU5"/>
    <mergeCell ref="MJP5:MJV5"/>
    <mergeCell ref="MJW5:MKC5"/>
    <mergeCell ref="MKD5:MKJ5"/>
    <mergeCell ref="MKK5:MKQ5"/>
    <mergeCell ref="MKR5:MKX5"/>
    <mergeCell ref="MKY5:MLE5"/>
    <mergeCell ref="MHZ5:MIF5"/>
    <mergeCell ref="MIG5:MIM5"/>
    <mergeCell ref="MIN5:MIT5"/>
    <mergeCell ref="MIU5:MJA5"/>
    <mergeCell ref="MJB5:MJH5"/>
    <mergeCell ref="MJI5:MJO5"/>
    <mergeCell ref="MGJ5:MGP5"/>
    <mergeCell ref="MGQ5:MGW5"/>
    <mergeCell ref="MGX5:MHD5"/>
    <mergeCell ref="MHE5:MHK5"/>
    <mergeCell ref="MHL5:MHR5"/>
    <mergeCell ref="MHS5:MHY5"/>
    <mergeCell ref="MET5:MEZ5"/>
    <mergeCell ref="MFA5:MFG5"/>
    <mergeCell ref="MFH5:MFN5"/>
    <mergeCell ref="MFO5:MFU5"/>
    <mergeCell ref="MFV5:MGB5"/>
    <mergeCell ref="MGC5:MGI5"/>
    <mergeCell ref="MDD5:MDJ5"/>
    <mergeCell ref="MDK5:MDQ5"/>
    <mergeCell ref="MDR5:MDX5"/>
    <mergeCell ref="MDY5:MEE5"/>
    <mergeCell ref="MEF5:MEL5"/>
    <mergeCell ref="MEM5:MES5"/>
    <mergeCell ref="MBN5:MBT5"/>
    <mergeCell ref="MBU5:MCA5"/>
    <mergeCell ref="MCB5:MCH5"/>
    <mergeCell ref="MCI5:MCO5"/>
    <mergeCell ref="MCP5:MCV5"/>
    <mergeCell ref="MCW5:MDC5"/>
    <mergeCell ref="LZX5:MAD5"/>
    <mergeCell ref="MAE5:MAK5"/>
    <mergeCell ref="MAL5:MAR5"/>
    <mergeCell ref="MAS5:MAY5"/>
    <mergeCell ref="MAZ5:MBF5"/>
    <mergeCell ref="MBG5:MBM5"/>
    <mergeCell ref="LYH5:LYN5"/>
    <mergeCell ref="LYO5:LYU5"/>
    <mergeCell ref="LYV5:LZB5"/>
    <mergeCell ref="LZC5:LZI5"/>
    <mergeCell ref="LZJ5:LZP5"/>
    <mergeCell ref="LZQ5:LZW5"/>
    <mergeCell ref="LWR5:LWX5"/>
    <mergeCell ref="LWY5:LXE5"/>
    <mergeCell ref="LXF5:LXL5"/>
    <mergeCell ref="LXM5:LXS5"/>
    <mergeCell ref="LXT5:LXZ5"/>
    <mergeCell ref="LYA5:LYG5"/>
    <mergeCell ref="LVB5:LVH5"/>
    <mergeCell ref="LVI5:LVO5"/>
    <mergeCell ref="LVP5:LVV5"/>
    <mergeCell ref="LVW5:LWC5"/>
    <mergeCell ref="LWD5:LWJ5"/>
    <mergeCell ref="LWK5:LWQ5"/>
    <mergeCell ref="LTL5:LTR5"/>
    <mergeCell ref="LTS5:LTY5"/>
    <mergeCell ref="LTZ5:LUF5"/>
    <mergeCell ref="LUG5:LUM5"/>
    <mergeCell ref="LUN5:LUT5"/>
    <mergeCell ref="LUU5:LVA5"/>
    <mergeCell ref="LRV5:LSB5"/>
    <mergeCell ref="LSC5:LSI5"/>
    <mergeCell ref="LSJ5:LSP5"/>
    <mergeCell ref="LSQ5:LSW5"/>
    <mergeCell ref="LSX5:LTD5"/>
    <mergeCell ref="LTE5:LTK5"/>
    <mergeCell ref="LQF5:LQL5"/>
    <mergeCell ref="LQM5:LQS5"/>
    <mergeCell ref="LQT5:LQZ5"/>
    <mergeCell ref="LRA5:LRG5"/>
    <mergeCell ref="LRH5:LRN5"/>
    <mergeCell ref="LRO5:LRU5"/>
    <mergeCell ref="LOP5:LOV5"/>
    <mergeCell ref="LOW5:LPC5"/>
    <mergeCell ref="LPD5:LPJ5"/>
    <mergeCell ref="LPK5:LPQ5"/>
    <mergeCell ref="LPR5:LPX5"/>
    <mergeCell ref="LPY5:LQE5"/>
    <mergeCell ref="LMZ5:LNF5"/>
    <mergeCell ref="LNG5:LNM5"/>
    <mergeCell ref="LNN5:LNT5"/>
    <mergeCell ref="LNU5:LOA5"/>
    <mergeCell ref="LOB5:LOH5"/>
    <mergeCell ref="LOI5:LOO5"/>
    <mergeCell ref="LLJ5:LLP5"/>
    <mergeCell ref="LLQ5:LLW5"/>
    <mergeCell ref="LLX5:LMD5"/>
    <mergeCell ref="LME5:LMK5"/>
    <mergeCell ref="LML5:LMR5"/>
    <mergeCell ref="LMS5:LMY5"/>
    <mergeCell ref="LJT5:LJZ5"/>
    <mergeCell ref="LKA5:LKG5"/>
    <mergeCell ref="LKH5:LKN5"/>
    <mergeCell ref="LKO5:LKU5"/>
    <mergeCell ref="LKV5:LLB5"/>
    <mergeCell ref="LLC5:LLI5"/>
    <mergeCell ref="LID5:LIJ5"/>
    <mergeCell ref="LIK5:LIQ5"/>
    <mergeCell ref="LIR5:LIX5"/>
    <mergeCell ref="LIY5:LJE5"/>
    <mergeCell ref="LJF5:LJL5"/>
    <mergeCell ref="LJM5:LJS5"/>
    <mergeCell ref="LGN5:LGT5"/>
    <mergeCell ref="LGU5:LHA5"/>
    <mergeCell ref="LHB5:LHH5"/>
    <mergeCell ref="LHI5:LHO5"/>
    <mergeCell ref="LHP5:LHV5"/>
    <mergeCell ref="LHW5:LIC5"/>
    <mergeCell ref="LEX5:LFD5"/>
    <mergeCell ref="LFE5:LFK5"/>
    <mergeCell ref="LFL5:LFR5"/>
    <mergeCell ref="LFS5:LFY5"/>
    <mergeCell ref="LFZ5:LGF5"/>
    <mergeCell ref="LGG5:LGM5"/>
    <mergeCell ref="LDH5:LDN5"/>
    <mergeCell ref="LDO5:LDU5"/>
    <mergeCell ref="LDV5:LEB5"/>
    <mergeCell ref="LEC5:LEI5"/>
    <mergeCell ref="LEJ5:LEP5"/>
    <mergeCell ref="LEQ5:LEW5"/>
    <mergeCell ref="LBR5:LBX5"/>
    <mergeCell ref="LBY5:LCE5"/>
    <mergeCell ref="LCF5:LCL5"/>
    <mergeCell ref="LCM5:LCS5"/>
    <mergeCell ref="LCT5:LCZ5"/>
    <mergeCell ref="LDA5:LDG5"/>
    <mergeCell ref="LAB5:LAH5"/>
    <mergeCell ref="LAI5:LAO5"/>
    <mergeCell ref="LAP5:LAV5"/>
    <mergeCell ref="LAW5:LBC5"/>
    <mergeCell ref="LBD5:LBJ5"/>
    <mergeCell ref="LBK5:LBQ5"/>
    <mergeCell ref="KYL5:KYR5"/>
    <mergeCell ref="KYS5:KYY5"/>
    <mergeCell ref="KYZ5:KZF5"/>
    <mergeCell ref="KZG5:KZM5"/>
    <mergeCell ref="KZN5:KZT5"/>
    <mergeCell ref="KZU5:LAA5"/>
    <mergeCell ref="KWV5:KXB5"/>
    <mergeCell ref="KXC5:KXI5"/>
    <mergeCell ref="KXJ5:KXP5"/>
    <mergeCell ref="KXQ5:KXW5"/>
    <mergeCell ref="KXX5:KYD5"/>
    <mergeCell ref="KYE5:KYK5"/>
    <mergeCell ref="KVF5:KVL5"/>
    <mergeCell ref="KVM5:KVS5"/>
    <mergeCell ref="KVT5:KVZ5"/>
    <mergeCell ref="KWA5:KWG5"/>
    <mergeCell ref="KWH5:KWN5"/>
    <mergeCell ref="KWO5:KWU5"/>
    <mergeCell ref="KTP5:KTV5"/>
    <mergeCell ref="KTW5:KUC5"/>
    <mergeCell ref="KUD5:KUJ5"/>
    <mergeCell ref="KUK5:KUQ5"/>
    <mergeCell ref="KUR5:KUX5"/>
    <mergeCell ref="KUY5:KVE5"/>
    <mergeCell ref="KRZ5:KSF5"/>
    <mergeCell ref="KSG5:KSM5"/>
    <mergeCell ref="KSN5:KST5"/>
    <mergeCell ref="KSU5:KTA5"/>
    <mergeCell ref="KTB5:KTH5"/>
    <mergeCell ref="KTI5:KTO5"/>
    <mergeCell ref="KQJ5:KQP5"/>
    <mergeCell ref="KQQ5:KQW5"/>
    <mergeCell ref="KQX5:KRD5"/>
    <mergeCell ref="KRE5:KRK5"/>
    <mergeCell ref="KRL5:KRR5"/>
    <mergeCell ref="KRS5:KRY5"/>
    <mergeCell ref="KOT5:KOZ5"/>
    <mergeCell ref="KPA5:KPG5"/>
    <mergeCell ref="KPH5:KPN5"/>
    <mergeCell ref="KPO5:KPU5"/>
    <mergeCell ref="KPV5:KQB5"/>
    <mergeCell ref="KQC5:KQI5"/>
    <mergeCell ref="KND5:KNJ5"/>
    <mergeCell ref="KNK5:KNQ5"/>
    <mergeCell ref="KNR5:KNX5"/>
    <mergeCell ref="KNY5:KOE5"/>
    <mergeCell ref="KOF5:KOL5"/>
    <mergeCell ref="KOM5:KOS5"/>
    <mergeCell ref="KLN5:KLT5"/>
    <mergeCell ref="KLU5:KMA5"/>
    <mergeCell ref="KMB5:KMH5"/>
    <mergeCell ref="KMI5:KMO5"/>
    <mergeCell ref="KMP5:KMV5"/>
    <mergeCell ref="KMW5:KNC5"/>
    <mergeCell ref="KJX5:KKD5"/>
    <mergeCell ref="KKE5:KKK5"/>
    <mergeCell ref="KKL5:KKR5"/>
    <mergeCell ref="KKS5:KKY5"/>
    <mergeCell ref="KKZ5:KLF5"/>
    <mergeCell ref="KLG5:KLM5"/>
    <mergeCell ref="KIH5:KIN5"/>
    <mergeCell ref="KIO5:KIU5"/>
    <mergeCell ref="KIV5:KJB5"/>
    <mergeCell ref="KJC5:KJI5"/>
    <mergeCell ref="KJJ5:KJP5"/>
    <mergeCell ref="KJQ5:KJW5"/>
    <mergeCell ref="KGR5:KGX5"/>
    <mergeCell ref="KGY5:KHE5"/>
    <mergeCell ref="KHF5:KHL5"/>
    <mergeCell ref="KHM5:KHS5"/>
    <mergeCell ref="KHT5:KHZ5"/>
    <mergeCell ref="KIA5:KIG5"/>
    <mergeCell ref="KFB5:KFH5"/>
    <mergeCell ref="KFI5:KFO5"/>
    <mergeCell ref="KFP5:KFV5"/>
    <mergeCell ref="KFW5:KGC5"/>
    <mergeCell ref="KGD5:KGJ5"/>
    <mergeCell ref="KGK5:KGQ5"/>
    <mergeCell ref="KDL5:KDR5"/>
    <mergeCell ref="KDS5:KDY5"/>
    <mergeCell ref="KDZ5:KEF5"/>
    <mergeCell ref="KEG5:KEM5"/>
    <mergeCell ref="KEN5:KET5"/>
    <mergeCell ref="KEU5:KFA5"/>
    <mergeCell ref="KBV5:KCB5"/>
    <mergeCell ref="KCC5:KCI5"/>
    <mergeCell ref="KCJ5:KCP5"/>
    <mergeCell ref="KCQ5:KCW5"/>
    <mergeCell ref="KCX5:KDD5"/>
    <mergeCell ref="KDE5:KDK5"/>
    <mergeCell ref="KAF5:KAL5"/>
    <mergeCell ref="KAM5:KAS5"/>
    <mergeCell ref="KAT5:KAZ5"/>
    <mergeCell ref="KBA5:KBG5"/>
    <mergeCell ref="KBH5:KBN5"/>
    <mergeCell ref="KBO5:KBU5"/>
    <mergeCell ref="JYP5:JYV5"/>
    <mergeCell ref="JYW5:JZC5"/>
    <mergeCell ref="JZD5:JZJ5"/>
    <mergeCell ref="JZK5:JZQ5"/>
    <mergeCell ref="JZR5:JZX5"/>
    <mergeCell ref="JZY5:KAE5"/>
    <mergeCell ref="JWZ5:JXF5"/>
    <mergeCell ref="JXG5:JXM5"/>
    <mergeCell ref="JXN5:JXT5"/>
    <mergeCell ref="JXU5:JYA5"/>
    <mergeCell ref="JYB5:JYH5"/>
    <mergeCell ref="JYI5:JYO5"/>
    <mergeCell ref="JVJ5:JVP5"/>
    <mergeCell ref="JVQ5:JVW5"/>
    <mergeCell ref="JVX5:JWD5"/>
    <mergeCell ref="JWE5:JWK5"/>
    <mergeCell ref="JWL5:JWR5"/>
    <mergeCell ref="JWS5:JWY5"/>
    <mergeCell ref="JTT5:JTZ5"/>
    <mergeCell ref="JUA5:JUG5"/>
    <mergeCell ref="JUH5:JUN5"/>
    <mergeCell ref="JUO5:JUU5"/>
    <mergeCell ref="JUV5:JVB5"/>
    <mergeCell ref="JVC5:JVI5"/>
    <mergeCell ref="JSD5:JSJ5"/>
    <mergeCell ref="JSK5:JSQ5"/>
    <mergeCell ref="JSR5:JSX5"/>
    <mergeCell ref="JSY5:JTE5"/>
    <mergeCell ref="JTF5:JTL5"/>
    <mergeCell ref="JTM5:JTS5"/>
    <mergeCell ref="JQN5:JQT5"/>
    <mergeCell ref="JQU5:JRA5"/>
    <mergeCell ref="JRB5:JRH5"/>
    <mergeCell ref="JRI5:JRO5"/>
    <mergeCell ref="JRP5:JRV5"/>
    <mergeCell ref="JRW5:JSC5"/>
    <mergeCell ref="JOX5:JPD5"/>
    <mergeCell ref="JPE5:JPK5"/>
    <mergeCell ref="JPL5:JPR5"/>
    <mergeCell ref="JPS5:JPY5"/>
    <mergeCell ref="JPZ5:JQF5"/>
    <mergeCell ref="JQG5:JQM5"/>
    <mergeCell ref="JNH5:JNN5"/>
    <mergeCell ref="JNO5:JNU5"/>
    <mergeCell ref="JNV5:JOB5"/>
    <mergeCell ref="JOC5:JOI5"/>
    <mergeCell ref="JOJ5:JOP5"/>
    <mergeCell ref="JOQ5:JOW5"/>
    <mergeCell ref="JLR5:JLX5"/>
    <mergeCell ref="JLY5:JME5"/>
    <mergeCell ref="JMF5:JML5"/>
    <mergeCell ref="JMM5:JMS5"/>
    <mergeCell ref="JMT5:JMZ5"/>
    <mergeCell ref="JNA5:JNG5"/>
    <mergeCell ref="JKB5:JKH5"/>
    <mergeCell ref="JKI5:JKO5"/>
    <mergeCell ref="JKP5:JKV5"/>
    <mergeCell ref="JKW5:JLC5"/>
    <mergeCell ref="JLD5:JLJ5"/>
    <mergeCell ref="JLK5:JLQ5"/>
    <mergeCell ref="JIL5:JIR5"/>
    <mergeCell ref="JIS5:JIY5"/>
    <mergeCell ref="JIZ5:JJF5"/>
    <mergeCell ref="JJG5:JJM5"/>
    <mergeCell ref="JJN5:JJT5"/>
    <mergeCell ref="JJU5:JKA5"/>
    <mergeCell ref="JGV5:JHB5"/>
    <mergeCell ref="JHC5:JHI5"/>
    <mergeCell ref="JHJ5:JHP5"/>
    <mergeCell ref="JHQ5:JHW5"/>
    <mergeCell ref="JHX5:JID5"/>
    <mergeCell ref="JIE5:JIK5"/>
    <mergeCell ref="JFF5:JFL5"/>
    <mergeCell ref="JFM5:JFS5"/>
    <mergeCell ref="JFT5:JFZ5"/>
    <mergeCell ref="JGA5:JGG5"/>
    <mergeCell ref="JGH5:JGN5"/>
    <mergeCell ref="JGO5:JGU5"/>
    <mergeCell ref="JDP5:JDV5"/>
    <mergeCell ref="JDW5:JEC5"/>
    <mergeCell ref="JED5:JEJ5"/>
    <mergeCell ref="JEK5:JEQ5"/>
    <mergeCell ref="JER5:JEX5"/>
    <mergeCell ref="JEY5:JFE5"/>
    <mergeCell ref="JBZ5:JCF5"/>
    <mergeCell ref="JCG5:JCM5"/>
    <mergeCell ref="JCN5:JCT5"/>
    <mergeCell ref="JCU5:JDA5"/>
    <mergeCell ref="JDB5:JDH5"/>
    <mergeCell ref="JDI5:JDO5"/>
    <mergeCell ref="JAJ5:JAP5"/>
    <mergeCell ref="JAQ5:JAW5"/>
    <mergeCell ref="JAX5:JBD5"/>
    <mergeCell ref="JBE5:JBK5"/>
    <mergeCell ref="JBL5:JBR5"/>
    <mergeCell ref="JBS5:JBY5"/>
    <mergeCell ref="IYT5:IYZ5"/>
    <mergeCell ref="IZA5:IZG5"/>
    <mergeCell ref="IZH5:IZN5"/>
    <mergeCell ref="IZO5:IZU5"/>
    <mergeCell ref="IZV5:JAB5"/>
    <mergeCell ref="JAC5:JAI5"/>
    <mergeCell ref="IXD5:IXJ5"/>
    <mergeCell ref="IXK5:IXQ5"/>
    <mergeCell ref="IXR5:IXX5"/>
    <mergeCell ref="IXY5:IYE5"/>
    <mergeCell ref="IYF5:IYL5"/>
    <mergeCell ref="IYM5:IYS5"/>
    <mergeCell ref="IVN5:IVT5"/>
    <mergeCell ref="IVU5:IWA5"/>
    <mergeCell ref="IWB5:IWH5"/>
    <mergeCell ref="IWI5:IWO5"/>
    <mergeCell ref="IWP5:IWV5"/>
    <mergeCell ref="IWW5:IXC5"/>
    <mergeCell ref="ITX5:IUD5"/>
    <mergeCell ref="IUE5:IUK5"/>
    <mergeCell ref="IUL5:IUR5"/>
    <mergeCell ref="IUS5:IUY5"/>
    <mergeCell ref="IUZ5:IVF5"/>
    <mergeCell ref="IVG5:IVM5"/>
    <mergeCell ref="ISH5:ISN5"/>
    <mergeCell ref="ISO5:ISU5"/>
    <mergeCell ref="ISV5:ITB5"/>
    <mergeCell ref="ITC5:ITI5"/>
    <mergeCell ref="ITJ5:ITP5"/>
    <mergeCell ref="ITQ5:ITW5"/>
    <mergeCell ref="IQR5:IQX5"/>
    <mergeCell ref="IQY5:IRE5"/>
    <mergeCell ref="IRF5:IRL5"/>
    <mergeCell ref="IRM5:IRS5"/>
    <mergeCell ref="IRT5:IRZ5"/>
    <mergeCell ref="ISA5:ISG5"/>
    <mergeCell ref="IPB5:IPH5"/>
    <mergeCell ref="IPI5:IPO5"/>
    <mergeCell ref="IPP5:IPV5"/>
    <mergeCell ref="IPW5:IQC5"/>
    <mergeCell ref="IQD5:IQJ5"/>
    <mergeCell ref="IQK5:IQQ5"/>
    <mergeCell ref="INL5:INR5"/>
    <mergeCell ref="INS5:INY5"/>
    <mergeCell ref="INZ5:IOF5"/>
    <mergeCell ref="IOG5:IOM5"/>
    <mergeCell ref="ION5:IOT5"/>
    <mergeCell ref="IOU5:IPA5"/>
    <mergeCell ref="ILV5:IMB5"/>
    <mergeCell ref="IMC5:IMI5"/>
    <mergeCell ref="IMJ5:IMP5"/>
    <mergeCell ref="IMQ5:IMW5"/>
    <mergeCell ref="IMX5:IND5"/>
    <mergeCell ref="INE5:INK5"/>
    <mergeCell ref="IKF5:IKL5"/>
    <mergeCell ref="IKM5:IKS5"/>
    <mergeCell ref="IKT5:IKZ5"/>
    <mergeCell ref="ILA5:ILG5"/>
    <mergeCell ref="ILH5:ILN5"/>
    <mergeCell ref="ILO5:ILU5"/>
    <mergeCell ref="IIP5:IIV5"/>
    <mergeCell ref="IIW5:IJC5"/>
    <mergeCell ref="IJD5:IJJ5"/>
    <mergeCell ref="IJK5:IJQ5"/>
    <mergeCell ref="IJR5:IJX5"/>
    <mergeCell ref="IJY5:IKE5"/>
    <mergeCell ref="IGZ5:IHF5"/>
    <mergeCell ref="IHG5:IHM5"/>
    <mergeCell ref="IHN5:IHT5"/>
    <mergeCell ref="IHU5:IIA5"/>
    <mergeCell ref="IIB5:IIH5"/>
    <mergeCell ref="III5:IIO5"/>
    <mergeCell ref="IFJ5:IFP5"/>
    <mergeCell ref="IFQ5:IFW5"/>
    <mergeCell ref="IFX5:IGD5"/>
    <mergeCell ref="IGE5:IGK5"/>
    <mergeCell ref="IGL5:IGR5"/>
    <mergeCell ref="IGS5:IGY5"/>
    <mergeCell ref="IDT5:IDZ5"/>
    <mergeCell ref="IEA5:IEG5"/>
    <mergeCell ref="IEH5:IEN5"/>
    <mergeCell ref="IEO5:IEU5"/>
    <mergeCell ref="IEV5:IFB5"/>
    <mergeCell ref="IFC5:IFI5"/>
    <mergeCell ref="ICD5:ICJ5"/>
    <mergeCell ref="ICK5:ICQ5"/>
    <mergeCell ref="ICR5:ICX5"/>
    <mergeCell ref="ICY5:IDE5"/>
    <mergeCell ref="IDF5:IDL5"/>
    <mergeCell ref="IDM5:IDS5"/>
    <mergeCell ref="IAN5:IAT5"/>
    <mergeCell ref="IAU5:IBA5"/>
    <mergeCell ref="IBB5:IBH5"/>
    <mergeCell ref="IBI5:IBO5"/>
    <mergeCell ref="IBP5:IBV5"/>
    <mergeCell ref="IBW5:ICC5"/>
    <mergeCell ref="HYX5:HZD5"/>
    <mergeCell ref="HZE5:HZK5"/>
    <mergeCell ref="HZL5:HZR5"/>
    <mergeCell ref="HZS5:HZY5"/>
    <mergeCell ref="HZZ5:IAF5"/>
    <mergeCell ref="IAG5:IAM5"/>
    <mergeCell ref="HXH5:HXN5"/>
    <mergeCell ref="HXO5:HXU5"/>
    <mergeCell ref="HXV5:HYB5"/>
    <mergeCell ref="HYC5:HYI5"/>
    <mergeCell ref="HYJ5:HYP5"/>
    <mergeCell ref="HYQ5:HYW5"/>
    <mergeCell ref="HVR5:HVX5"/>
    <mergeCell ref="HVY5:HWE5"/>
    <mergeCell ref="HWF5:HWL5"/>
    <mergeCell ref="HWM5:HWS5"/>
    <mergeCell ref="HWT5:HWZ5"/>
    <mergeCell ref="HXA5:HXG5"/>
    <mergeCell ref="HUB5:HUH5"/>
    <mergeCell ref="HUI5:HUO5"/>
    <mergeCell ref="HUP5:HUV5"/>
    <mergeCell ref="HUW5:HVC5"/>
    <mergeCell ref="HVD5:HVJ5"/>
    <mergeCell ref="HVK5:HVQ5"/>
    <mergeCell ref="HSL5:HSR5"/>
    <mergeCell ref="HSS5:HSY5"/>
    <mergeCell ref="HSZ5:HTF5"/>
    <mergeCell ref="HTG5:HTM5"/>
    <mergeCell ref="HTN5:HTT5"/>
    <mergeCell ref="HTU5:HUA5"/>
    <mergeCell ref="HQV5:HRB5"/>
    <mergeCell ref="HRC5:HRI5"/>
    <mergeCell ref="HRJ5:HRP5"/>
    <mergeCell ref="HRQ5:HRW5"/>
    <mergeCell ref="HRX5:HSD5"/>
    <mergeCell ref="HSE5:HSK5"/>
    <mergeCell ref="HPF5:HPL5"/>
    <mergeCell ref="HPM5:HPS5"/>
    <mergeCell ref="HPT5:HPZ5"/>
    <mergeCell ref="HQA5:HQG5"/>
    <mergeCell ref="HQH5:HQN5"/>
    <mergeCell ref="HQO5:HQU5"/>
    <mergeCell ref="HNP5:HNV5"/>
    <mergeCell ref="HNW5:HOC5"/>
    <mergeCell ref="HOD5:HOJ5"/>
    <mergeCell ref="HOK5:HOQ5"/>
    <mergeCell ref="HOR5:HOX5"/>
    <mergeCell ref="HOY5:HPE5"/>
    <mergeCell ref="HLZ5:HMF5"/>
    <mergeCell ref="HMG5:HMM5"/>
    <mergeCell ref="HMN5:HMT5"/>
    <mergeCell ref="HMU5:HNA5"/>
    <mergeCell ref="HNB5:HNH5"/>
    <mergeCell ref="HNI5:HNO5"/>
    <mergeCell ref="HKJ5:HKP5"/>
    <mergeCell ref="HKQ5:HKW5"/>
    <mergeCell ref="HKX5:HLD5"/>
    <mergeCell ref="HLE5:HLK5"/>
    <mergeCell ref="HLL5:HLR5"/>
    <mergeCell ref="HLS5:HLY5"/>
    <mergeCell ref="HIT5:HIZ5"/>
    <mergeCell ref="HJA5:HJG5"/>
    <mergeCell ref="HJH5:HJN5"/>
    <mergeCell ref="HJO5:HJU5"/>
    <mergeCell ref="HJV5:HKB5"/>
    <mergeCell ref="HKC5:HKI5"/>
    <mergeCell ref="HHD5:HHJ5"/>
    <mergeCell ref="HHK5:HHQ5"/>
    <mergeCell ref="HHR5:HHX5"/>
    <mergeCell ref="HHY5:HIE5"/>
    <mergeCell ref="HIF5:HIL5"/>
    <mergeCell ref="HIM5:HIS5"/>
    <mergeCell ref="HFN5:HFT5"/>
    <mergeCell ref="HFU5:HGA5"/>
    <mergeCell ref="HGB5:HGH5"/>
    <mergeCell ref="HGI5:HGO5"/>
    <mergeCell ref="HGP5:HGV5"/>
    <mergeCell ref="HGW5:HHC5"/>
    <mergeCell ref="HDX5:HED5"/>
    <mergeCell ref="HEE5:HEK5"/>
    <mergeCell ref="HEL5:HER5"/>
    <mergeCell ref="HES5:HEY5"/>
    <mergeCell ref="HEZ5:HFF5"/>
    <mergeCell ref="HFG5:HFM5"/>
    <mergeCell ref="HCH5:HCN5"/>
    <mergeCell ref="HCO5:HCU5"/>
    <mergeCell ref="HCV5:HDB5"/>
    <mergeCell ref="HDC5:HDI5"/>
    <mergeCell ref="HDJ5:HDP5"/>
    <mergeCell ref="HDQ5:HDW5"/>
    <mergeCell ref="HAR5:HAX5"/>
    <mergeCell ref="HAY5:HBE5"/>
    <mergeCell ref="HBF5:HBL5"/>
    <mergeCell ref="HBM5:HBS5"/>
    <mergeCell ref="HBT5:HBZ5"/>
    <mergeCell ref="HCA5:HCG5"/>
    <mergeCell ref="GZB5:GZH5"/>
    <mergeCell ref="GZI5:GZO5"/>
    <mergeCell ref="GZP5:GZV5"/>
    <mergeCell ref="GZW5:HAC5"/>
    <mergeCell ref="HAD5:HAJ5"/>
    <mergeCell ref="HAK5:HAQ5"/>
    <mergeCell ref="GXL5:GXR5"/>
    <mergeCell ref="GXS5:GXY5"/>
    <mergeCell ref="GXZ5:GYF5"/>
    <mergeCell ref="GYG5:GYM5"/>
    <mergeCell ref="GYN5:GYT5"/>
    <mergeCell ref="GYU5:GZA5"/>
    <mergeCell ref="GVV5:GWB5"/>
    <mergeCell ref="GWC5:GWI5"/>
    <mergeCell ref="GWJ5:GWP5"/>
    <mergeCell ref="GWQ5:GWW5"/>
    <mergeCell ref="GWX5:GXD5"/>
    <mergeCell ref="GXE5:GXK5"/>
    <mergeCell ref="GUF5:GUL5"/>
    <mergeCell ref="GUM5:GUS5"/>
    <mergeCell ref="GUT5:GUZ5"/>
    <mergeCell ref="GVA5:GVG5"/>
    <mergeCell ref="GVH5:GVN5"/>
    <mergeCell ref="GVO5:GVU5"/>
    <mergeCell ref="GSP5:GSV5"/>
    <mergeCell ref="GSW5:GTC5"/>
    <mergeCell ref="GTD5:GTJ5"/>
    <mergeCell ref="GTK5:GTQ5"/>
    <mergeCell ref="GTR5:GTX5"/>
    <mergeCell ref="GTY5:GUE5"/>
    <mergeCell ref="GQZ5:GRF5"/>
    <mergeCell ref="GRG5:GRM5"/>
    <mergeCell ref="GRN5:GRT5"/>
    <mergeCell ref="GRU5:GSA5"/>
    <mergeCell ref="GSB5:GSH5"/>
    <mergeCell ref="GSI5:GSO5"/>
    <mergeCell ref="GPJ5:GPP5"/>
    <mergeCell ref="GPQ5:GPW5"/>
    <mergeCell ref="GPX5:GQD5"/>
    <mergeCell ref="GQE5:GQK5"/>
    <mergeCell ref="GQL5:GQR5"/>
    <mergeCell ref="GQS5:GQY5"/>
    <mergeCell ref="GNT5:GNZ5"/>
    <mergeCell ref="GOA5:GOG5"/>
    <mergeCell ref="GOH5:GON5"/>
    <mergeCell ref="GOO5:GOU5"/>
    <mergeCell ref="GOV5:GPB5"/>
    <mergeCell ref="GPC5:GPI5"/>
    <mergeCell ref="GMD5:GMJ5"/>
    <mergeCell ref="GMK5:GMQ5"/>
    <mergeCell ref="GMR5:GMX5"/>
    <mergeCell ref="GMY5:GNE5"/>
    <mergeCell ref="GNF5:GNL5"/>
    <mergeCell ref="GNM5:GNS5"/>
    <mergeCell ref="GKN5:GKT5"/>
    <mergeCell ref="GKU5:GLA5"/>
    <mergeCell ref="GLB5:GLH5"/>
    <mergeCell ref="GLI5:GLO5"/>
    <mergeCell ref="GLP5:GLV5"/>
    <mergeCell ref="GLW5:GMC5"/>
    <mergeCell ref="GIX5:GJD5"/>
    <mergeCell ref="GJE5:GJK5"/>
    <mergeCell ref="GJL5:GJR5"/>
    <mergeCell ref="GJS5:GJY5"/>
    <mergeCell ref="GJZ5:GKF5"/>
    <mergeCell ref="GKG5:GKM5"/>
    <mergeCell ref="GHH5:GHN5"/>
    <mergeCell ref="GHO5:GHU5"/>
    <mergeCell ref="GHV5:GIB5"/>
    <mergeCell ref="GIC5:GII5"/>
    <mergeCell ref="GIJ5:GIP5"/>
    <mergeCell ref="GIQ5:GIW5"/>
    <mergeCell ref="GFR5:GFX5"/>
    <mergeCell ref="GFY5:GGE5"/>
    <mergeCell ref="GGF5:GGL5"/>
    <mergeCell ref="GGM5:GGS5"/>
    <mergeCell ref="GGT5:GGZ5"/>
    <mergeCell ref="GHA5:GHG5"/>
    <mergeCell ref="GEB5:GEH5"/>
    <mergeCell ref="GEI5:GEO5"/>
    <mergeCell ref="GEP5:GEV5"/>
    <mergeCell ref="GEW5:GFC5"/>
    <mergeCell ref="GFD5:GFJ5"/>
    <mergeCell ref="GFK5:GFQ5"/>
    <mergeCell ref="GCL5:GCR5"/>
    <mergeCell ref="GCS5:GCY5"/>
    <mergeCell ref="GCZ5:GDF5"/>
    <mergeCell ref="GDG5:GDM5"/>
    <mergeCell ref="GDN5:GDT5"/>
    <mergeCell ref="GDU5:GEA5"/>
    <mergeCell ref="GAV5:GBB5"/>
    <mergeCell ref="GBC5:GBI5"/>
    <mergeCell ref="GBJ5:GBP5"/>
    <mergeCell ref="GBQ5:GBW5"/>
    <mergeCell ref="GBX5:GCD5"/>
    <mergeCell ref="GCE5:GCK5"/>
    <mergeCell ref="FZF5:FZL5"/>
    <mergeCell ref="FZM5:FZS5"/>
    <mergeCell ref="FZT5:FZZ5"/>
    <mergeCell ref="GAA5:GAG5"/>
    <mergeCell ref="GAH5:GAN5"/>
    <mergeCell ref="GAO5:GAU5"/>
    <mergeCell ref="FXP5:FXV5"/>
    <mergeCell ref="FXW5:FYC5"/>
    <mergeCell ref="FYD5:FYJ5"/>
    <mergeCell ref="FYK5:FYQ5"/>
    <mergeCell ref="FYR5:FYX5"/>
    <mergeCell ref="FYY5:FZE5"/>
    <mergeCell ref="FVZ5:FWF5"/>
    <mergeCell ref="FWG5:FWM5"/>
    <mergeCell ref="FWN5:FWT5"/>
    <mergeCell ref="FWU5:FXA5"/>
    <mergeCell ref="FXB5:FXH5"/>
    <mergeCell ref="FXI5:FXO5"/>
    <mergeCell ref="FUJ5:FUP5"/>
    <mergeCell ref="FUQ5:FUW5"/>
    <mergeCell ref="FUX5:FVD5"/>
    <mergeCell ref="FVE5:FVK5"/>
    <mergeCell ref="FVL5:FVR5"/>
    <mergeCell ref="FVS5:FVY5"/>
    <mergeCell ref="FST5:FSZ5"/>
    <mergeCell ref="FTA5:FTG5"/>
    <mergeCell ref="FTH5:FTN5"/>
    <mergeCell ref="FTO5:FTU5"/>
    <mergeCell ref="FTV5:FUB5"/>
    <mergeCell ref="FUC5:FUI5"/>
    <mergeCell ref="FRD5:FRJ5"/>
    <mergeCell ref="FRK5:FRQ5"/>
    <mergeCell ref="FRR5:FRX5"/>
    <mergeCell ref="FRY5:FSE5"/>
    <mergeCell ref="FSF5:FSL5"/>
    <mergeCell ref="FSM5:FSS5"/>
    <mergeCell ref="FPN5:FPT5"/>
    <mergeCell ref="FPU5:FQA5"/>
    <mergeCell ref="FQB5:FQH5"/>
    <mergeCell ref="FQI5:FQO5"/>
    <mergeCell ref="FQP5:FQV5"/>
    <mergeCell ref="FQW5:FRC5"/>
    <mergeCell ref="FNX5:FOD5"/>
    <mergeCell ref="FOE5:FOK5"/>
    <mergeCell ref="FOL5:FOR5"/>
    <mergeCell ref="FOS5:FOY5"/>
    <mergeCell ref="FOZ5:FPF5"/>
    <mergeCell ref="FPG5:FPM5"/>
    <mergeCell ref="FMH5:FMN5"/>
    <mergeCell ref="FMO5:FMU5"/>
    <mergeCell ref="FMV5:FNB5"/>
    <mergeCell ref="FNC5:FNI5"/>
    <mergeCell ref="FNJ5:FNP5"/>
    <mergeCell ref="FNQ5:FNW5"/>
    <mergeCell ref="FKR5:FKX5"/>
    <mergeCell ref="FKY5:FLE5"/>
    <mergeCell ref="FLF5:FLL5"/>
    <mergeCell ref="FLM5:FLS5"/>
    <mergeCell ref="FLT5:FLZ5"/>
    <mergeCell ref="FMA5:FMG5"/>
    <mergeCell ref="FJB5:FJH5"/>
    <mergeCell ref="FJI5:FJO5"/>
    <mergeCell ref="FJP5:FJV5"/>
    <mergeCell ref="FJW5:FKC5"/>
    <mergeCell ref="FKD5:FKJ5"/>
    <mergeCell ref="FKK5:FKQ5"/>
    <mergeCell ref="FHL5:FHR5"/>
    <mergeCell ref="FHS5:FHY5"/>
    <mergeCell ref="FHZ5:FIF5"/>
    <mergeCell ref="FIG5:FIM5"/>
    <mergeCell ref="FIN5:FIT5"/>
    <mergeCell ref="FIU5:FJA5"/>
    <mergeCell ref="FFV5:FGB5"/>
    <mergeCell ref="FGC5:FGI5"/>
    <mergeCell ref="FGJ5:FGP5"/>
    <mergeCell ref="FGQ5:FGW5"/>
    <mergeCell ref="FGX5:FHD5"/>
    <mergeCell ref="FHE5:FHK5"/>
    <mergeCell ref="FEF5:FEL5"/>
    <mergeCell ref="FEM5:FES5"/>
    <mergeCell ref="FET5:FEZ5"/>
    <mergeCell ref="FFA5:FFG5"/>
    <mergeCell ref="FFH5:FFN5"/>
    <mergeCell ref="FFO5:FFU5"/>
    <mergeCell ref="FCP5:FCV5"/>
    <mergeCell ref="FCW5:FDC5"/>
    <mergeCell ref="FDD5:FDJ5"/>
    <mergeCell ref="FDK5:FDQ5"/>
    <mergeCell ref="FDR5:FDX5"/>
    <mergeCell ref="FDY5:FEE5"/>
    <mergeCell ref="FAZ5:FBF5"/>
    <mergeCell ref="FBG5:FBM5"/>
    <mergeCell ref="FBN5:FBT5"/>
    <mergeCell ref="FBU5:FCA5"/>
    <mergeCell ref="FCB5:FCH5"/>
    <mergeCell ref="FCI5:FCO5"/>
    <mergeCell ref="EZJ5:EZP5"/>
    <mergeCell ref="EZQ5:EZW5"/>
    <mergeCell ref="EZX5:FAD5"/>
    <mergeCell ref="FAE5:FAK5"/>
    <mergeCell ref="FAL5:FAR5"/>
    <mergeCell ref="FAS5:FAY5"/>
    <mergeCell ref="EXT5:EXZ5"/>
    <mergeCell ref="EYA5:EYG5"/>
    <mergeCell ref="EYH5:EYN5"/>
    <mergeCell ref="EYO5:EYU5"/>
    <mergeCell ref="EYV5:EZB5"/>
    <mergeCell ref="EZC5:EZI5"/>
    <mergeCell ref="EWD5:EWJ5"/>
    <mergeCell ref="EWK5:EWQ5"/>
    <mergeCell ref="EWR5:EWX5"/>
    <mergeCell ref="EWY5:EXE5"/>
    <mergeCell ref="EXF5:EXL5"/>
    <mergeCell ref="EXM5:EXS5"/>
    <mergeCell ref="EUN5:EUT5"/>
    <mergeCell ref="EUU5:EVA5"/>
    <mergeCell ref="EVB5:EVH5"/>
    <mergeCell ref="EVI5:EVO5"/>
    <mergeCell ref="EVP5:EVV5"/>
    <mergeCell ref="EVW5:EWC5"/>
    <mergeCell ref="ESX5:ETD5"/>
    <mergeCell ref="ETE5:ETK5"/>
    <mergeCell ref="ETL5:ETR5"/>
    <mergeCell ref="ETS5:ETY5"/>
    <mergeCell ref="ETZ5:EUF5"/>
    <mergeCell ref="EUG5:EUM5"/>
    <mergeCell ref="ERH5:ERN5"/>
    <mergeCell ref="ERO5:ERU5"/>
    <mergeCell ref="ERV5:ESB5"/>
    <mergeCell ref="ESC5:ESI5"/>
    <mergeCell ref="ESJ5:ESP5"/>
    <mergeCell ref="ESQ5:ESW5"/>
    <mergeCell ref="EPR5:EPX5"/>
    <mergeCell ref="EPY5:EQE5"/>
    <mergeCell ref="EQF5:EQL5"/>
    <mergeCell ref="EQM5:EQS5"/>
    <mergeCell ref="EQT5:EQZ5"/>
    <mergeCell ref="ERA5:ERG5"/>
    <mergeCell ref="EOB5:EOH5"/>
    <mergeCell ref="EOI5:EOO5"/>
    <mergeCell ref="EOP5:EOV5"/>
    <mergeCell ref="EOW5:EPC5"/>
    <mergeCell ref="EPD5:EPJ5"/>
    <mergeCell ref="EPK5:EPQ5"/>
    <mergeCell ref="EML5:EMR5"/>
    <mergeCell ref="EMS5:EMY5"/>
    <mergeCell ref="EMZ5:ENF5"/>
    <mergeCell ref="ENG5:ENM5"/>
    <mergeCell ref="ENN5:ENT5"/>
    <mergeCell ref="ENU5:EOA5"/>
    <mergeCell ref="EKV5:ELB5"/>
    <mergeCell ref="ELC5:ELI5"/>
    <mergeCell ref="ELJ5:ELP5"/>
    <mergeCell ref="ELQ5:ELW5"/>
    <mergeCell ref="ELX5:EMD5"/>
    <mergeCell ref="EME5:EMK5"/>
    <mergeCell ref="EJF5:EJL5"/>
    <mergeCell ref="EJM5:EJS5"/>
    <mergeCell ref="EJT5:EJZ5"/>
    <mergeCell ref="EKA5:EKG5"/>
    <mergeCell ref="EKH5:EKN5"/>
    <mergeCell ref="EKO5:EKU5"/>
    <mergeCell ref="EHP5:EHV5"/>
    <mergeCell ref="EHW5:EIC5"/>
    <mergeCell ref="EID5:EIJ5"/>
    <mergeCell ref="EIK5:EIQ5"/>
    <mergeCell ref="EIR5:EIX5"/>
    <mergeCell ref="EIY5:EJE5"/>
    <mergeCell ref="EFZ5:EGF5"/>
    <mergeCell ref="EGG5:EGM5"/>
    <mergeCell ref="EGN5:EGT5"/>
    <mergeCell ref="EGU5:EHA5"/>
    <mergeCell ref="EHB5:EHH5"/>
    <mergeCell ref="EHI5:EHO5"/>
    <mergeCell ref="EEJ5:EEP5"/>
    <mergeCell ref="EEQ5:EEW5"/>
    <mergeCell ref="EEX5:EFD5"/>
    <mergeCell ref="EFE5:EFK5"/>
    <mergeCell ref="EFL5:EFR5"/>
    <mergeCell ref="EFS5:EFY5"/>
    <mergeCell ref="ECT5:ECZ5"/>
    <mergeCell ref="EDA5:EDG5"/>
    <mergeCell ref="EDH5:EDN5"/>
    <mergeCell ref="EDO5:EDU5"/>
    <mergeCell ref="EDV5:EEB5"/>
    <mergeCell ref="EEC5:EEI5"/>
    <mergeCell ref="EBD5:EBJ5"/>
    <mergeCell ref="EBK5:EBQ5"/>
    <mergeCell ref="EBR5:EBX5"/>
    <mergeCell ref="EBY5:ECE5"/>
    <mergeCell ref="ECF5:ECL5"/>
    <mergeCell ref="ECM5:ECS5"/>
    <mergeCell ref="DZN5:DZT5"/>
    <mergeCell ref="DZU5:EAA5"/>
    <mergeCell ref="EAB5:EAH5"/>
    <mergeCell ref="EAI5:EAO5"/>
    <mergeCell ref="EAP5:EAV5"/>
    <mergeCell ref="EAW5:EBC5"/>
    <mergeCell ref="DXX5:DYD5"/>
    <mergeCell ref="DYE5:DYK5"/>
    <mergeCell ref="DYL5:DYR5"/>
    <mergeCell ref="DYS5:DYY5"/>
    <mergeCell ref="DYZ5:DZF5"/>
    <mergeCell ref="DZG5:DZM5"/>
    <mergeCell ref="DWH5:DWN5"/>
    <mergeCell ref="DWO5:DWU5"/>
    <mergeCell ref="DWV5:DXB5"/>
    <mergeCell ref="DXC5:DXI5"/>
    <mergeCell ref="DXJ5:DXP5"/>
    <mergeCell ref="DXQ5:DXW5"/>
    <mergeCell ref="DUR5:DUX5"/>
    <mergeCell ref="DUY5:DVE5"/>
    <mergeCell ref="DVF5:DVL5"/>
    <mergeCell ref="DVM5:DVS5"/>
    <mergeCell ref="DVT5:DVZ5"/>
    <mergeCell ref="DWA5:DWG5"/>
    <mergeCell ref="DTB5:DTH5"/>
    <mergeCell ref="DTI5:DTO5"/>
    <mergeCell ref="DTP5:DTV5"/>
    <mergeCell ref="DTW5:DUC5"/>
    <mergeCell ref="DUD5:DUJ5"/>
    <mergeCell ref="DUK5:DUQ5"/>
    <mergeCell ref="DRL5:DRR5"/>
    <mergeCell ref="DRS5:DRY5"/>
    <mergeCell ref="DRZ5:DSF5"/>
    <mergeCell ref="DSG5:DSM5"/>
    <mergeCell ref="DSN5:DST5"/>
    <mergeCell ref="DSU5:DTA5"/>
    <mergeCell ref="DPV5:DQB5"/>
    <mergeCell ref="DQC5:DQI5"/>
    <mergeCell ref="DQJ5:DQP5"/>
    <mergeCell ref="DQQ5:DQW5"/>
    <mergeCell ref="DQX5:DRD5"/>
    <mergeCell ref="DRE5:DRK5"/>
    <mergeCell ref="DOF5:DOL5"/>
    <mergeCell ref="DOM5:DOS5"/>
    <mergeCell ref="DOT5:DOZ5"/>
    <mergeCell ref="DPA5:DPG5"/>
    <mergeCell ref="DPH5:DPN5"/>
    <mergeCell ref="DPO5:DPU5"/>
    <mergeCell ref="DMP5:DMV5"/>
    <mergeCell ref="DMW5:DNC5"/>
    <mergeCell ref="DND5:DNJ5"/>
    <mergeCell ref="DNK5:DNQ5"/>
    <mergeCell ref="DNR5:DNX5"/>
    <mergeCell ref="DNY5:DOE5"/>
    <mergeCell ref="DKZ5:DLF5"/>
    <mergeCell ref="DLG5:DLM5"/>
    <mergeCell ref="DLN5:DLT5"/>
    <mergeCell ref="DLU5:DMA5"/>
    <mergeCell ref="DMB5:DMH5"/>
    <mergeCell ref="DMI5:DMO5"/>
    <mergeCell ref="DJJ5:DJP5"/>
    <mergeCell ref="DJQ5:DJW5"/>
    <mergeCell ref="DJX5:DKD5"/>
    <mergeCell ref="DKE5:DKK5"/>
    <mergeCell ref="DKL5:DKR5"/>
    <mergeCell ref="DKS5:DKY5"/>
    <mergeCell ref="DHT5:DHZ5"/>
    <mergeCell ref="DIA5:DIG5"/>
    <mergeCell ref="DIH5:DIN5"/>
    <mergeCell ref="DIO5:DIU5"/>
    <mergeCell ref="DIV5:DJB5"/>
    <mergeCell ref="DJC5:DJI5"/>
    <mergeCell ref="DGD5:DGJ5"/>
    <mergeCell ref="DGK5:DGQ5"/>
    <mergeCell ref="DGR5:DGX5"/>
    <mergeCell ref="DGY5:DHE5"/>
    <mergeCell ref="DHF5:DHL5"/>
    <mergeCell ref="DHM5:DHS5"/>
    <mergeCell ref="DEN5:DET5"/>
    <mergeCell ref="DEU5:DFA5"/>
    <mergeCell ref="DFB5:DFH5"/>
    <mergeCell ref="DFI5:DFO5"/>
    <mergeCell ref="DFP5:DFV5"/>
    <mergeCell ref="DFW5:DGC5"/>
    <mergeCell ref="DCX5:DDD5"/>
    <mergeCell ref="DDE5:DDK5"/>
    <mergeCell ref="DDL5:DDR5"/>
    <mergeCell ref="DDS5:DDY5"/>
    <mergeCell ref="DDZ5:DEF5"/>
    <mergeCell ref="DEG5:DEM5"/>
    <mergeCell ref="DBH5:DBN5"/>
    <mergeCell ref="DBO5:DBU5"/>
    <mergeCell ref="DBV5:DCB5"/>
    <mergeCell ref="DCC5:DCI5"/>
    <mergeCell ref="DCJ5:DCP5"/>
    <mergeCell ref="DCQ5:DCW5"/>
    <mergeCell ref="CZR5:CZX5"/>
    <mergeCell ref="CZY5:DAE5"/>
    <mergeCell ref="DAF5:DAL5"/>
    <mergeCell ref="DAM5:DAS5"/>
    <mergeCell ref="DAT5:DAZ5"/>
    <mergeCell ref="DBA5:DBG5"/>
    <mergeCell ref="CYB5:CYH5"/>
    <mergeCell ref="CYI5:CYO5"/>
    <mergeCell ref="CYP5:CYV5"/>
    <mergeCell ref="CYW5:CZC5"/>
    <mergeCell ref="CZD5:CZJ5"/>
    <mergeCell ref="CZK5:CZQ5"/>
    <mergeCell ref="CWL5:CWR5"/>
    <mergeCell ref="CWS5:CWY5"/>
    <mergeCell ref="CWZ5:CXF5"/>
    <mergeCell ref="CXG5:CXM5"/>
    <mergeCell ref="CXN5:CXT5"/>
    <mergeCell ref="CXU5:CYA5"/>
    <mergeCell ref="CUV5:CVB5"/>
    <mergeCell ref="CVC5:CVI5"/>
    <mergeCell ref="CVJ5:CVP5"/>
    <mergeCell ref="CVQ5:CVW5"/>
    <mergeCell ref="CVX5:CWD5"/>
    <mergeCell ref="CWE5:CWK5"/>
    <mergeCell ref="CTF5:CTL5"/>
    <mergeCell ref="CTM5:CTS5"/>
    <mergeCell ref="CTT5:CTZ5"/>
    <mergeCell ref="CUA5:CUG5"/>
    <mergeCell ref="CUH5:CUN5"/>
    <mergeCell ref="CUO5:CUU5"/>
    <mergeCell ref="CRP5:CRV5"/>
    <mergeCell ref="CRW5:CSC5"/>
    <mergeCell ref="CSD5:CSJ5"/>
    <mergeCell ref="CSK5:CSQ5"/>
    <mergeCell ref="CSR5:CSX5"/>
    <mergeCell ref="CSY5:CTE5"/>
    <mergeCell ref="CPZ5:CQF5"/>
    <mergeCell ref="CQG5:CQM5"/>
    <mergeCell ref="CQN5:CQT5"/>
    <mergeCell ref="CQU5:CRA5"/>
    <mergeCell ref="CRB5:CRH5"/>
    <mergeCell ref="CRI5:CRO5"/>
    <mergeCell ref="COJ5:COP5"/>
    <mergeCell ref="COQ5:COW5"/>
    <mergeCell ref="COX5:CPD5"/>
    <mergeCell ref="CPE5:CPK5"/>
    <mergeCell ref="CPL5:CPR5"/>
    <mergeCell ref="CPS5:CPY5"/>
    <mergeCell ref="CMT5:CMZ5"/>
    <mergeCell ref="CNA5:CNG5"/>
    <mergeCell ref="CNH5:CNN5"/>
    <mergeCell ref="CNO5:CNU5"/>
    <mergeCell ref="CNV5:COB5"/>
    <mergeCell ref="COC5:COI5"/>
    <mergeCell ref="CLD5:CLJ5"/>
    <mergeCell ref="CLK5:CLQ5"/>
    <mergeCell ref="CLR5:CLX5"/>
    <mergeCell ref="CLY5:CME5"/>
    <mergeCell ref="CMF5:CML5"/>
    <mergeCell ref="CMM5:CMS5"/>
    <mergeCell ref="CJN5:CJT5"/>
    <mergeCell ref="CJU5:CKA5"/>
    <mergeCell ref="CKB5:CKH5"/>
    <mergeCell ref="CKI5:CKO5"/>
    <mergeCell ref="CKP5:CKV5"/>
    <mergeCell ref="CKW5:CLC5"/>
    <mergeCell ref="CHX5:CID5"/>
    <mergeCell ref="CIE5:CIK5"/>
    <mergeCell ref="CIL5:CIR5"/>
    <mergeCell ref="CIS5:CIY5"/>
    <mergeCell ref="CIZ5:CJF5"/>
    <mergeCell ref="CJG5:CJM5"/>
    <mergeCell ref="CGH5:CGN5"/>
    <mergeCell ref="CGO5:CGU5"/>
    <mergeCell ref="CGV5:CHB5"/>
    <mergeCell ref="CHC5:CHI5"/>
    <mergeCell ref="CHJ5:CHP5"/>
    <mergeCell ref="CHQ5:CHW5"/>
    <mergeCell ref="CER5:CEX5"/>
    <mergeCell ref="CEY5:CFE5"/>
    <mergeCell ref="CFF5:CFL5"/>
    <mergeCell ref="CFM5:CFS5"/>
    <mergeCell ref="CFT5:CFZ5"/>
    <mergeCell ref="CGA5:CGG5"/>
    <mergeCell ref="CDB5:CDH5"/>
    <mergeCell ref="CDI5:CDO5"/>
    <mergeCell ref="CDP5:CDV5"/>
    <mergeCell ref="CDW5:CEC5"/>
    <mergeCell ref="CED5:CEJ5"/>
    <mergeCell ref="CEK5:CEQ5"/>
    <mergeCell ref="CBL5:CBR5"/>
    <mergeCell ref="CBS5:CBY5"/>
    <mergeCell ref="CBZ5:CCF5"/>
    <mergeCell ref="CCG5:CCM5"/>
    <mergeCell ref="CCN5:CCT5"/>
    <mergeCell ref="CCU5:CDA5"/>
    <mergeCell ref="BZV5:CAB5"/>
    <mergeCell ref="CAC5:CAI5"/>
    <mergeCell ref="CAJ5:CAP5"/>
    <mergeCell ref="CAQ5:CAW5"/>
    <mergeCell ref="CAX5:CBD5"/>
    <mergeCell ref="CBE5:CBK5"/>
    <mergeCell ref="BYF5:BYL5"/>
    <mergeCell ref="BYM5:BYS5"/>
    <mergeCell ref="BYT5:BYZ5"/>
    <mergeCell ref="BZA5:BZG5"/>
    <mergeCell ref="BZH5:BZN5"/>
    <mergeCell ref="BZO5:BZU5"/>
    <mergeCell ref="BWP5:BWV5"/>
    <mergeCell ref="BWW5:BXC5"/>
    <mergeCell ref="BXD5:BXJ5"/>
    <mergeCell ref="BXK5:BXQ5"/>
    <mergeCell ref="BXR5:BXX5"/>
    <mergeCell ref="BXY5:BYE5"/>
    <mergeCell ref="BUZ5:BVF5"/>
    <mergeCell ref="BVG5:BVM5"/>
    <mergeCell ref="BVN5:BVT5"/>
    <mergeCell ref="BVU5:BWA5"/>
    <mergeCell ref="BWB5:BWH5"/>
    <mergeCell ref="BWI5:BWO5"/>
    <mergeCell ref="BTJ5:BTP5"/>
    <mergeCell ref="BTQ5:BTW5"/>
    <mergeCell ref="BTX5:BUD5"/>
    <mergeCell ref="BUE5:BUK5"/>
    <mergeCell ref="BUL5:BUR5"/>
    <mergeCell ref="BUS5:BUY5"/>
    <mergeCell ref="BRT5:BRZ5"/>
    <mergeCell ref="BSA5:BSG5"/>
    <mergeCell ref="BSH5:BSN5"/>
    <mergeCell ref="BSO5:BSU5"/>
    <mergeCell ref="BSV5:BTB5"/>
    <mergeCell ref="BTC5:BTI5"/>
    <mergeCell ref="BQD5:BQJ5"/>
    <mergeCell ref="BQK5:BQQ5"/>
    <mergeCell ref="BQR5:BQX5"/>
    <mergeCell ref="BQY5:BRE5"/>
    <mergeCell ref="BRF5:BRL5"/>
    <mergeCell ref="BRM5:BRS5"/>
    <mergeCell ref="BON5:BOT5"/>
    <mergeCell ref="BOU5:BPA5"/>
    <mergeCell ref="BPB5:BPH5"/>
    <mergeCell ref="BPI5:BPO5"/>
    <mergeCell ref="BPP5:BPV5"/>
    <mergeCell ref="BPW5:BQC5"/>
    <mergeCell ref="BMX5:BND5"/>
    <mergeCell ref="BNE5:BNK5"/>
    <mergeCell ref="BNL5:BNR5"/>
    <mergeCell ref="BNS5:BNY5"/>
    <mergeCell ref="BNZ5:BOF5"/>
    <mergeCell ref="BOG5:BOM5"/>
    <mergeCell ref="BLH5:BLN5"/>
    <mergeCell ref="BLO5:BLU5"/>
    <mergeCell ref="BLV5:BMB5"/>
    <mergeCell ref="BMC5:BMI5"/>
    <mergeCell ref="BMJ5:BMP5"/>
    <mergeCell ref="BMQ5:BMW5"/>
    <mergeCell ref="BJR5:BJX5"/>
    <mergeCell ref="BJY5:BKE5"/>
    <mergeCell ref="BKF5:BKL5"/>
    <mergeCell ref="BKM5:BKS5"/>
    <mergeCell ref="BKT5:BKZ5"/>
    <mergeCell ref="BLA5:BLG5"/>
    <mergeCell ref="BIB5:BIH5"/>
    <mergeCell ref="BII5:BIO5"/>
    <mergeCell ref="BIP5:BIV5"/>
    <mergeCell ref="BIW5:BJC5"/>
    <mergeCell ref="BJD5:BJJ5"/>
    <mergeCell ref="BJK5:BJQ5"/>
    <mergeCell ref="BGL5:BGR5"/>
    <mergeCell ref="BGS5:BGY5"/>
    <mergeCell ref="BGZ5:BHF5"/>
    <mergeCell ref="BHG5:BHM5"/>
    <mergeCell ref="BHN5:BHT5"/>
    <mergeCell ref="BHU5:BIA5"/>
    <mergeCell ref="BEV5:BFB5"/>
    <mergeCell ref="BFC5:BFI5"/>
    <mergeCell ref="BFJ5:BFP5"/>
    <mergeCell ref="BFQ5:BFW5"/>
    <mergeCell ref="BFX5:BGD5"/>
    <mergeCell ref="BGE5:BGK5"/>
    <mergeCell ref="BDF5:BDL5"/>
    <mergeCell ref="BDM5:BDS5"/>
    <mergeCell ref="BDT5:BDZ5"/>
    <mergeCell ref="BEA5:BEG5"/>
    <mergeCell ref="BEH5:BEN5"/>
    <mergeCell ref="BEO5:BEU5"/>
    <mergeCell ref="BBP5:BBV5"/>
    <mergeCell ref="BBW5:BCC5"/>
    <mergeCell ref="BCD5:BCJ5"/>
    <mergeCell ref="BCK5:BCQ5"/>
    <mergeCell ref="BCR5:BCX5"/>
    <mergeCell ref="BCY5:BDE5"/>
    <mergeCell ref="AZZ5:BAF5"/>
    <mergeCell ref="BAG5:BAM5"/>
    <mergeCell ref="BAN5:BAT5"/>
    <mergeCell ref="BAU5:BBA5"/>
    <mergeCell ref="BBB5:BBH5"/>
    <mergeCell ref="BBI5:BBO5"/>
    <mergeCell ref="AYJ5:AYP5"/>
    <mergeCell ref="AYQ5:AYW5"/>
    <mergeCell ref="AYX5:AZD5"/>
    <mergeCell ref="AZE5:AZK5"/>
    <mergeCell ref="AZL5:AZR5"/>
    <mergeCell ref="AZS5:AZY5"/>
    <mergeCell ref="AWT5:AWZ5"/>
    <mergeCell ref="AXA5:AXG5"/>
    <mergeCell ref="AXH5:AXN5"/>
    <mergeCell ref="AXO5:AXU5"/>
    <mergeCell ref="AXV5:AYB5"/>
    <mergeCell ref="AYC5:AYI5"/>
    <mergeCell ref="AVD5:AVJ5"/>
    <mergeCell ref="AVK5:AVQ5"/>
    <mergeCell ref="AVR5:AVX5"/>
    <mergeCell ref="AVY5:AWE5"/>
    <mergeCell ref="AWF5:AWL5"/>
    <mergeCell ref="AWM5:AWS5"/>
    <mergeCell ref="ATN5:ATT5"/>
    <mergeCell ref="ATU5:AUA5"/>
    <mergeCell ref="AUB5:AUH5"/>
    <mergeCell ref="AUI5:AUO5"/>
    <mergeCell ref="AUP5:AUV5"/>
    <mergeCell ref="AUW5:AVC5"/>
    <mergeCell ref="ARX5:ASD5"/>
    <mergeCell ref="ASE5:ASK5"/>
    <mergeCell ref="ASL5:ASR5"/>
    <mergeCell ref="ASS5:ASY5"/>
    <mergeCell ref="ASZ5:ATF5"/>
    <mergeCell ref="ATG5:ATM5"/>
    <mergeCell ref="AQH5:AQN5"/>
    <mergeCell ref="AQO5:AQU5"/>
    <mergeCell ref="AQV5:ARB5"/>
    <mergeCell ref="ARC5:ARI5"/>
    <mergeCell ref="ARJ5:ARP5"/>
    <mergeCell ref="ARQ5:ARW5"/>
    <mergeCell ref="AOR5:AOX5"/>
    <mergeCell ref="AOY5:APE5"/>
    <mergeCell ref="APF5:APL5"/>
    <mergeCell ref="APM5:APS5"/>
    <mergeCell ref="APT5:APZ5"/>
    <mergeCell ref="AQA5:AQG5"/>
    <mergeCell ref="ANB5:ANH5"/>
    <mergeCell ref="ANI5:ANO5"/>
    <mergeCell ref="ANP5:ANV5"/>
    <mergeCell ref="ANW5:AOC5"/>
    <mergeCell ref="AOD5:AOJ5"/>
    <mergeCell ref="AOK5:AOQ5"/>
    <mergeCell ref="ALL5:ALR5"/>
    <mergeCell ref="ALS5:ALY5"/>
    <mergeCell ref="ALZ5:AMF5"/>
    <mergeCell ref="AMG5:AMM5"/>
    <mergeCell ref="AMN5:AMT5"/>
    <mergeCell ref="AMU5:ANA5"/>
    <mergeCell ref="AJV5:AKB5"/>
    <mergeCell ref="AKC5:AKI5"/>
    <mergeCell ref="AKJ5:AKP5"/>
    <mergeCell ref="AKQ5:AKW5"/>
    <mergeCell ref="AKX5:ALD5"/>
    <mergeCell ref="ALE5:ALK5"/>
    <mergeCell ref="AIF5:AIL5"/>
    <mergeCell ref="AIM5:AIS5"/>
    <mergeCell ref="AIT5:AIZ5"/>
    <mergeCell ref="AJA5:AJG5"/>
    <mergeCell ref="AJH5:AJN5"/>
    <mergeCell ref="AJO5:AJU5"/>
    <mergeCell ref="AGP5:AGV5"/>
    <mergeCell ref="AGW5:AHC5"/>
    <mergeCell ref="AHD5:AHJ5"/>
    <mergeCell ref="AHK5:AHQ5"/>
    <mergeCell ref="AHR5:AHX5"/>
    <mergeCell ref="AHY5:AIE5"/>
    <mergeCell ref="AEZ5:AFF5"/>
    <mergeCell ref="AFG5:AFM5"/>
    <mergeCell ref="AFN5:AFT5"/>
    <mergeCell ref="AFU5:AGA5"/>
    <mergeCell ref="AGB5:AGH5"/>
    <mergeCell ref="AGI5:AGO5"/>
    <mergeCell ref="ADJ5:ADP5"/>
    <mergeCell ref="ADQ5:ADW5"/>
    <mergeCell ref="ADX5:AED5"/>
    <mergeCell ref="AEE5:AEK5"/>
    <mergeCell ref="AEL5:AER5"/>
    <mergeCell ref="AES5:AEY5"/>
    <mergeCell ref="ABT5:ABZ5"/>
    <mergeCell ref="ACA5:ACG5"/>
    <mergeCell ref="ACH5:ACN5"/>
    <mergeCell ref="ACO5:ACU5"/>
    <mergeCell ref="ACV5:ADB5"/>
    <mergeCell ref="ADC5:ADI5"/>
    <mergeCell ref="AAD5:AAJ5"/>
    <mergeCell ref="AAK5:AAQ5"/>
    <mergeCell ref="AAR5:AAX5"/>
    <mergeCell ref="AAY5:ABE5"/>
    <mergeCell ref="ABF5:ABL5"/>
    <mergeCell ref="ABM5:ABS5"/>
    <mergeCell ref="YN5:YT5"/>
    <mergeCell ref="YU5:ZA5"/>
    <mergeCell ref="ZB5:ZH5"/>
    <mergeCell ref="ZI5:ZO5"/>
    <mergeCell ref="ZP5:ZV5"/>
    <mergeCell ref="ZW5:AAC5"/>
    <mergeCell ref="WX5:XD5"/>
    <mergeCell ref="XE5:XK5"/>
    <mergeCell ref="XL5:XR5"/>
    <mergeCell ref="XS5:XY5"/>
    <mergeCell ref="XZ5:YF5"/>
    <mergeCell ref="YG5:YM5"/>
    <mergeCell ref="VH5:VN5"/>
    <mergeCell ref="VO5:VU5"/>
    <mergeCell ref="VV5:WB5"/>
    <mergeCell ref="WC5:WI5"/>
    <mergeCell ref="WJ5:WP5"/>
    <mergeCell ref="WQ5:WW5"/>
    <mergeCell ref="TR5:TX5"/>
    <mergeCell ref="TY5:UE5"/>
    <mergeCell ref="UF5:UL5"/>
    <mergeCell ref="UM5:US5"/>
    <mergeCell ref="UT5:UZ5"/>
    <mergeCell ref="VA5:VG5"/>
    <mergeCell ref="SB5:SH5"/>
    <mergeCell ref="SI5:SO5"/>
    <mergeCell ref="SP5:SV5"/>
    <mergeCell ref="SW5:TC5"/>
    <mergeCell ref="TD5:TJ5"/>
    <mergeCell ref="TK5:TQ5"/>
    <mergeCell ref="QL5:QR5"/>
    <mergeCell ref="QS5:QY5"/>
    <mergeCell ref="QZ5:RF5"/>
    <mergeCell ref="RG5:RM5"/>
    <mergeCell ref="RN5:RT5"/>
    <mergeCell ref="RU5:SA5"/>
    <mergeCell ref="OV5:PB5"/>
    <mergeCell ref="PC5:PI5"/>
    <mergeCell ref="PJ5:PP5"/>
    <mergeCell ref="PQ5:PW5"/>
    <mergeCell ref="PX5:QD5"/>
    <mergeCell ref="QE5:QK5"/>
    <mergeCell ref="NF5:NL5"/>
    <mergeCell ref="NM5:NS5"/>
    <mergeCell ref="NT5:NZ5"/>
    <mergeCell ref="OA5:OG5"/>
    <mergeCell ref="OH5:ON5"/>
    <mergeCell ref="OO5:OU5"/>
    <mergeCell ref="LP5:LV5"/>
    <mergeCell ref="LW5:MC5"/>
    <mergeCell ref="MD5:MJ5"/>
    <mergeCell ref="MK5:MQ5"/>
    <mergeCell ref="MR5:MX5"/>
    <mergeCell ref="MY5:NE5"/>
    <mergeCell ref="JZ5:KF5"/>
    <mergeCell ref="KG5:KM5"/>
    <mergeCell ref="KN5:KT5"/>
    <mergeCell ref="KU5:LA5"/>
    <mergeCell ref="LB5:LH5"/>
    <mergeCell ref="LI5:LO5"/>
    <mergeCell ref="IJ5:IP5"/>
    <mergeCell ref="IQ5:IW5"/>
    <mergeCell ref="IX5:JD5"/>
    <mergeCell ref="JE5:JK5"/>
    <mergeCell ref="JL5:JR5"/>
    <mergeCell ref="JS5:JY5"/>
    <mergeCell ref="GT5:GZ5"/>
    <mergeCell ref="HA5:HG5"/>
    <mergeCell ref="HH5:HN5"/>
    <mergeCell ref="HO5:HU5"/>
    <mergeCell ref="HV5:IB5"/>
    <mergeCell ref="IC5:II5"/>
    <mergeCell ref="FD5:FJ5"/>
    <mergeCell ref="FK5:FQ5"/>
    <mergeCell ref="FR5:FX5"/>
    <mergeCell ref="FY5:GE5"/>
    <mergeCell ref="GF5:GL5"/>
    <mergeCell ref="GM5:GS5"/>
    <mergeCell ref="DN5:DT5"/>
    <mergeCell ref="DU5:EA5"/>
    <mergeCell ref="EB5:EH5"/>
    <mergeCell ref="EI5:EO5"/>
    <mergeCell ref="EP5:EV5"/>
    <mergeCell ref="EW5:FC5"/>
    <mergeCell ref="BX5:CD5"/>
    <mergeCell ref="CE5:CK5"/>
    <mergeCell ref="CL5:CR5"/>
    <mergeCell ref="CS5:CY5"/>
    <mergeCell ref="CZ5:DF5"/>
    <mergeCell ref="DG5:DM5"/>
    <mergeCell ref="AH5:AN5"/>
    <mergeCell ref="AO5:AU5"/>
    <mergeCell ref="AV5:BB5"/>
    <mergeCell ref="BC5:BI5"/>
    <mergeCell ref="BJ5:BP5"/>
    <mergeCell ref="BQ5:BW5"/>
    <mergeCell ref="A4:H4"/>
    <mergeCell ref="A5:H5"/>
    <mergeCell ref="I5:L5"/>
    <mergeCell ref="M5:S5"/>
    <mergeCell ref="T5:Z5"/>
    <mergeCell ref="AA5:AG5"/>
    <mergeCell ref="A1:H1"/>
    <mergeCell ref="I1:N1"/>
    <mergeCell ref="A2:H2"/>
    <mergeCell ref="I2:N2"/>
    <mergeCell ref="A3:H3"/>
    <mergeCell ref="I3:N3"/>
  </mergeCells>
  <printOptions horizontalCentered="1"/>
  <pageMargins left="0.5" right="0.5" top="0.75" bottom="0.75" header="0.5" footer="0.5"/>
  <pageSetup scale="90" fitToHeight="3" orientation="landscape" r:id="rId1"/>
  <headerFooter alignWithMargins="0">
    <oddFooter>&amp;C&amp;"Times New Roman,Regular"Page &amp;P of &amp;N</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E2051-0D5D-4D9C-BF60-8D2BB9A8DA18}">
  <sheetPr>
    <tabColor rgb="FFCCFFFF"/>
  </sheetPr>
  <dimension ref="A1:J267"/>
  <sheetViews>
    <sheetView zoomScaleNormal="100" workbookViewId="0">
      <selection activeCell="A11" sqref="A11"/>
    </sheetView>
  </sheetViews>
  <sheetFormatPr defaultColWidth="10.5859375" defaultRowHeight="12.6" x14ac:dyDescent="0.45"/>
  <cols>
    <col min="1" max="1" width="12.05859375" style="311" customWidth="1"/>
    <col min="2" max="2" width="12.05859375" style="198" customWidth="1"/>
    <col min="3" max="3" width="24.05859375" style="142" customWidth="1"/>
    <col min="4" max="4" width="88" style="142" customWidth="1"/>
    <col min="5" max="5" width="12.05859375" style="169" customWidth="1"/>
    <col min="6" max="6" width="7.46875" style="199" customWidth="1"/>
    <col min="7" max="7" width="11.5859375" style="200" customWidth="1"/>
    <col min="8" max="8" width="15.3515625" style="201" customWidth="1"/>
    <col min="9" max="16384" width="10.5859375" style="142"/>
  </cols>
  <sheetData>
    <row r="1" spans="1:9" ht="12.75" customHeight="1" x14ac:dyDescent="0.45">
      <c r="A1" s="390" t="s">
        <v>4992</v>
      </c>
      <c r="B1" s="390"/>
      <c r="C1" s="390"/>
      <c r="D1" s="390"/>
      <c r="E1" s="390"/>
      <c r="F1" s="390"/>
      <c r="G1" s="390"/>
      <c r="H1" s="390"/>
    </row>
    <row r="2" spans="1:9" ht="12.75" customHeight="1" x14ac:dyDescent="0.45">
      <c r="A2" s="390" t="s">
        <v>0</v>
      </c>
      <c r="B2" s="390"/>
      <c r="C2" s="390"/>
      <c r="D2" s="390"/>
      <c r="E2" s="390"/>
      <c r="F2" s="390"/>
      <c r="G2" s="390"/>
      <c r="H2" s="390"/>
    </row>
    <row r="3" spans="1:9" ht="12.75" customHeight="1" x14ac:dyDescent="0.45">
      <c r="A3" s="390" t="s">
        <v>4991</v>
      </c>
      <c r="B3" s="390"/>
      <c r="C3" s="390"/>
      <c r="D3" s="390"/>
      <c r="E3" s="390"/>
      <c r="F3" s="390"/>
      <c r="G3" s="390"/>
      <c r="H3" s="390"/>
    </row>
    <row r="4" spans="1:9" x14ac:dyDescent="0.45">
      <c r="A4" s="410"/>
      <c r="B4" s="410"/>
      <c r="C4" s="410"/>
      <c r="D4" s="410"/>
      <c r="E4" s="410"/>
      <c r="F4" s="410"/>
      <c r="G4" s="410"/>
      <c r="H4" s="410"/>
    </row>
    <row r="5" spans="1:9" x14ac:dyDescent="0.45">
      <c r="A5" s="410" t="s">
        <v>5008</v>
      </c>
      <c r="B5" s="410"/>
      <c r="C5" s="410"/>
      <c r="D5" s="410"/>
      <c r="E5" s="410"/>
      <c r="F5" s="410"/>
      <c r="G5" s="410"/>
      <c r="H5" s="410"/>
    </row>
    <row r="6" spans="1:9" x14ac:dyDescent="0.45">
      <c r="A6" s="410" t="s">
        <v>4707</v>
      </c>
      <c r="B6" s="410"/>
      <c r="C6" s="410"/>
      <c r="D6" s="410"/>
      <c r="E6" s="410"/>
      <c r="F6" s="410"/>
      <c r="G6" s="410"/>
      <c r="H6" s="410"/>
    </row>
    <row r="7" spans="1:9" x14ac:dyDescent="0.45">
      <c r="A7" s="410"/>
      <c r="B7" s="410"/>
      <c r="C7" s="410"/>
      <c r="D7" s="410"/>
      <c r="E7" s="410"/>
      <c r="F7" s="410"/>
      <c r="G7" s="410"/>
      <c r="H7" s="410"/>
    </row>
    <row r="8" spans="1:9" x14ac:dyDescent="0.45">
      <c r="A8" s="413" t="s">
        <v>4708</v>
      </c>
      <c r="B8" s="414"/>
      <c r="C8" s="414"/>
      <c r="D8" s="415"/>
      <c r="E8" s="415"/>
      <c r="F8" s="415"/>
      <c r="G8" s="415"/>
      <c r="H8" s="416"/>
    </row>
    <row r="9" spans="1:9" ht="27.7" customHeight="1" x14ac:dyDescent="0.45">
      <c r="A9" s="417" t="s">
        <v>457</v>
      </c>
      <c r="B9" s="418"/>
      <c r="C9" s="418"/>
      <c r="D9" s="418"/>
      <c r="E9" s="418"/>
      <c r="F9" s="418"/>
      <c r="G9" s="418"/>
      <c r="H9" s="419"/>
    </row>
    <row r="10" spans="1:9" x14ac:dyDescent="0.45">
      <c r="A10" s="420" t="s">
        <v>4709</v>
      </c>
      <c r="B10" s="421"/>
      <c r="C10" s="421"/>
      <c r="D10" s="421"/>
      <c r="E10" s="421"/>
      <c r="F10" s="421"/>
      <c r="G10" s="421"/>
      <c r="H10" s="422"/>
    </row>
    <row r="11" spans="1:9" s="207" customFormat="1" ht="24.6" x14ac:dyDescent="0.45">
      <c r="A11" s="438" t="s">
        <v>459</v>
      </c>
      <c r="B11" s="143" t="s">
        <v>460</v>
      </c>
      <c r="C11" s="144" t="s">
        <v>461</v>
      </c>
      <c r="D11" s="145" t="s">
        <v>462</v>
      </c>
      <c r="E11" s="146" t="s">
        <v>463</v>
      </c>
      <c r="F11" s="147" t="s">
        <v>464</v>
      </c>
      <c r="G11" s="148" t="s">
        <v>465</v>
      </c>
      <c r="H11" s="439" t="s">
        <v>466</v>
      </c>
    </row>
    <row r="12" spans="1:9" s="208" customFormat="1" x14ac:dyDescent="0.45">
      <c r="A12" s="423" t="s">
        <v>467</v>
      </c>
      <c r="B12" s="424"/>
      <c r="C12" s="425"/>
      <c r="D12" s="425"/>
      <c r="E12" s="150"/>
      <c r="F12" s="151"/>
      <c r="G12" s="152"/>
      <c r="H12" s="153"/>
    </row>
    <row r="13" spans="1:9" ht="7.5" customHeight="1" x14ac:dyDescent="0.45">
      <c r="A13" s="309"/>
      <c r="B13" s="154"/>
      <c r="C13" s="155"/>
      <c r="D13" s="155"/>
      <c r="E13" s="156"/>
      <c r="F13" s="155"/>
      <c r="G13" s="157"/>
      <c r="H13" s="158"/>
    </row>
    <row r="14" spans="1:9" ht="13" customHeight="1" x14ac:dyDescent="0.45">
      <c r="A14" s="310"/>
      <c r="B14" s="160">
        <v>200000</v>
      </c>
      <c r="C14" s="159"/>
      <c r="D14" s="159" t="s">
        <v>468</v>
      </c>
      <c r="E14" s="209"/>
      <c r="F14" s="209"/>
      <c r="G14" s="210"/>
      <c r="H14" s="211"/>
    </row>
    <row r="15" spans="1:9" ht="50.4" x14ac:dyDescent="0.45">
      <c r="A15" s="305" t="s">
        <v>4710</v>
      </c>
      <c r="B15" s="164"/>
      <c r="C15" s="212" t="s">
        <v>470</v>
      </c>
      <c r="D15" s="165" t="s">
        <v>471</v>
      </c>
      <c r="E15" s="166"/>
      <c r="F15" s="164" t="s">
        <v>472</v>
      </c>
      <c r="G15" s="167">
        <v>3</v>
      </c>
      <c r="H15" s="168">
        <f>SUM(E15)*G15</f>
        <v>0</v>
      </c>
      <c r="I15" s="169"/>
    </row>
    <row r="16" spans="1:9" x14ac:dyDescent="0.45">
      <c r="A16" s="306" t="s">
        <v>4711</v>
      </c>
      <c r="B16" s="184" t="s">
        <v>180</v>
      </c>
      <c r="D16" s="120"/>
      <c r="E16" s="142"/>
      <c r="F16" s="171"/>
      <c r="G16" s="142"/>
      <c r="H16" s="168"/>
    </row>
    <row r="17" spans="1:8" ht="13" customHeight="1" x14ac:dyDescent="0.45">
      <c r="A17" s="310"/>
      <c r="B17" s="159">
        <v>1401000</v>
      </c>
      <c r="C17" s="159"/>
      <c r="D17" s="159" t="s">
        <v>474</v>
      </c>
      <c r="E17" s="159"/>
      <c r="F17" s="159"/>
      <c r="G17" s="159"/>
      <c r="H17" s="163"/>
    </row>
    <row r="18" spans="1:8" ht="75.599999999999994" x14ac:dyDescent="0.45">
      <c r="A18" s="173" t="s">
        <v>4712</v>
      </c>
      <c r="B18" s="171"/>
      <c r="C18" s="184" t="s">
        <v>476</v>
      </c>
      <c r="D18" s="106" t="s">
        <v>477</v>
      </c>
      <c r="E18" s="166"/>
      <c r="F18" s="171" t="s">
        <v>472</v>
      </c>
      <c r="G18" s="172">
        <v>2</v>
      </c>
      <c r="H18" s="168">
        <f t="shared" ref="H18:H29" si="0">SUM(E18)*G18</f>
        <v>0</v>
      </c>
    </row>
    <row r="19" spans="1:8" ht="50.4" x14ac:dyDescent="0.45">
      <c r="A19" s="173" t="s">
        <v>4713</v>
      </c>
      <c r="B19" s="171"/>
      <c r="C19" s="106" t="s">
        <v>479</v>
      </c>
      <c r="D19" s="106" t="s">
        <v>480</v>
      </c>
      <c r="E19" s="166"/>
      <c r="F19" s="171" t="s">
        <v>472</v>
      </c>
      <c r="G19" s="172">
        <v>2</v>
      </c>
      <c r="H19" s="168">
        <f t="shared" si="0"/>
        <v>0</v>
      </c>
    </row>
    <row r="20" spans="1:8" ht="50.4" x14ac:dyDescent="0.45">
      <c r="A20" s="173" t="s">
        <v>4714</v>
      </c>
      <c r="B20" s="171"/>
      <c r="C20" s="106" t="s">
        <v>482</v>
      </c>
      <c r="D20" s="106" t="s">
        <v>483</v>
      </c>
      <c r="E20" s="166"/>
      <c r="F20" s="171" t="s">
        <v>472</v>
      </c>
      <c r="G20" s="172">
        <v>2</v>
      </c>
      <c r="H20" s="168">
        <f t="shared" si="0"/>
        <v>0</v>
      </c>
    </row>
    <row r="21" spans="1:8" ht="50.4" x14ac:dyDescent="0.45">
      <c r="A21" s="173" t="s">
        <v>4715</v>
      </c>
      <c r="B21" s="171"/>
      <c r="C21" s="106" t="s">
        <v>485</v>
      </c>
      <c r="D21" s="106" t="s">
        <v>486</v>
      </c>
      <c r="E21" s="166"/>
      <c r="F21" s="171" t="s">
        <v>472</v>
      </c>
      <c r="G21" s="172">
        <v>4</v>
      </c>
      <c r="H21" s="168">
        <f t="shared" si="0"/>
        <v>0</v>
      </c>
    </row>
    <row r="22" spans="1:8" ht="63" x14ac:dyDescent="0.45">
      <c r="A22" s="173" t="s">
        <v>4716</v>
      </c>
      <c r="B22" s="171"/>
      <c r="C22" s="106" t="s">
        <v>488</v>
      </c>
      <c r="D22" s="106" t="s">
        <v>489</v>
      </c>
      <c r="E22" s="166"/>
      <c r="F22" s="171" t="s">
        <v>472</v>
      </c>
      <c r="G22" s="172">
        <v>2</v>
      </c>
      <c r="H22" s="168">
        <f t="shared" si="0"/>
        <v>0</v>
      </c>
    </row>
    <row r="23" spans="1:8" ht="50.4" x14ac:dyDescent="0.45">
      <c r="A23" s="173" t="s">
        <v>4717</v>
      </c>
      <c r="B23" s="171"/>
      <c r="C23" s="106" t="s">
        <v>491</v>
      </c>
      <c r="D23" s="106" t="s">
        <v>492</v>
      </c>
      <c r="E23" s="166"/>
      <c r="F23" s="171" t="s">
        <v>472</v>
      </c>
      <c r="G23" s="172">
        <v>2</v>
      </c>
      <c r="H23" s="168">
        <f t="shared" si="0"/>
        <v>0</v>
      </c>
    </row>
    <row r="24" spans="1:8" ht="50.4" x14ac:dyDescent="0.45">
      <c r="A24" s="173" t="s">
        <v>4718</v>
      </c>
      <c r="B24" s="171"/>
      <c r="C24" s="106" t="s">
        <v>494</v>
      </c>
      <c r="D24" s="106" t="s">
        <v>495</v>
      </c>
      <c r="E24" s="166"/>
      <c r="F24" s="171" t="s">
        <v>472</v>
      </c>
      <c r="G24" s="172">
        <v>2</v>
      </c>
      <c r="H24" s="168">
        <f t="shared" si="0"/>
        <v>0</v>
      </c>
    </row>
    <row r="25" spans="1:8" ht="50.4" x14ac:dyDescent="0.45">
      <c r="A25" s="173" t="s">
        <v>4719</v>
      </c>
      <c r="B25" s="171"/>
      <c r="C25" s="106" t="s">
        <v>497</v>
      </c>
      <c r="D25" s="106" t="s">
        <v>498</v>
      </c>
      <c r="E25" s="166"/>
      <c r="F25" s="171" t="s">
        <v>472</v>
      </c>
      <c r="G25" s="172">
        <v>2</v>
      </c>
      <c r="H25" s="168">
        <f t="shared" si="0"/>
        <v>0</v>
      </c>
    </row>
    <row r="26" spans="1:8" ht="50.4" x14ac:dyDescent="0.45">
      <c r="A26" s="173" t="s">
        <v>4720</v>
      </c>
      <c r="B26" s="171"/>
      <c r="C26" s="106" t="s">
        <v>500</v>
      </c>
      <c r="D26" s="106" t="s">
        <v>501</v>
      </c>
      <c r="E26" s="166"/>
      <c r="F26" s="171" t="s">
        <v>472</v>
      </c>
      <c r="G26" s="172">
        <v>2</v>
      </c>
      <c r="H26" s="168">
        <f t="shared" si="0"/>
        <v>0</v>
      </c>
    </row>
    <row r="27" spans="1:8" s="177" customFormat="1" ht="100.8" x14ac:dyDescent="0.45">
      <c r="A27" s="173" t="s">
        <v>4721</v>
      </c>
      <c r="B27" s="173"/>
      <c r="C27" s="174" t="s">
        <v>503</v>
      </c>
      <c r="D27" s="174" t="s">
        <v>504</v>
      </c>
      <c r="E27" s="166"/>
      <c r="F27" s="173" t="s">
        <v>472</v>
      </c>
      <c r="G27" s="175">
        <v>5</v>
      </c>
      <c r="H27" s="176">
        <f t="shared" si="0"/>
        <v>0</v>
      </c>
    </row>
    <row r="28" spans="1:8" ht="75.599999999999994" x14ac:dyDescent="0.45">
      <c r="A28" s="173" t="s">
        <v>4722</v>
      </c>
      <c r="B28" s="171"/>
      <c r="C28" s="106" t="s">
        <v>506</v>
      </c>
      <c r="D28" s="178" t="s">
        <v>507</v>
      </c>
      <c r="E28" s="166"/>
      <c r="F28" s="171" t="s">
        <v>508</v>
      </c>
      <c r="G28" s="172">
        <v>150</v>
      </c>
      <c r="H28" s="168">
        <f t="shared" si="0"/>
        <v>0</v>
      </c>
    </row>
    <row r="29" spans="1:8" ht="75.599999999999994" x14ac:dyDescent="0.45">
      <c r="A29" s="173" t="s">
        <v>4723</v>
      </c>
      <c r="B29" s="171"/>
      <c r="C29" s="106" t="s">
        <v>510</v>
      </c>
      <c r="D29" s="178" t="s">
        <v>511</v>
      </c>
      <c r="E29" s="166"/>
      <c r="F29" s="171" t="s">
        <v>508</v>
      </c>
      <c r="G29" s="172">
        <v>150</v>
      </c>
      <c r="H29" s="168">
        <f t="shared" si="0"/>
        <v>0</v>
      </c>
    </row>
    <row r="30" spans="1:8" x14ac:dyDescent="0.45">
      <c r="A30" s="306" t="s">
        <v>4724</v>
      </c>
      <c r="B30" s="184" t="s">
        <v>180</v>
      </c>
      <c r="D30" s="120"/>
      <c r="E30" s="142"/>
      <c r="F30" s="218"/>
      <c r="G30" s="218"/>
      <c r="H30" s="168"/>
    </row>
    <row r="31" spans="1:8" ht="13" customHeight="1" x14ac:dyDescent="0.45">
      <c r="A31" s="310"/>
      <c r="B31" s="159">
        <v>1402000</v>
      </c>
      <c r="C31" s="159"/>
      <c r="D31" s="159" t="s">
        <v>513</v>
      </c>
      <c r="E31" s="159"/>
      <c r="F31" s="159"/>
      <c r="G31" s="159"/>
      <c r="H31" s="163"/>
    </row>
    <row r="32" spans="1:8" ht="63" x14ac:dyDescent="0.45">
      <c r="A32" s="173" t="s">
        <v>4725</v>
      </c>
      <c r="B32" s="171"/>
      <c r="C32" s="184" t="s">
        <v>515</v>
      </c>
      <c r="D32" s="184" t="s">
        <v>516</v>
      </c>
      <c r="E32" s="166"/>
      <c r="F32" s="171" t="s">
        <v>472</v>
      </c>
      <c r="G32" s="172">
        <v>25</v>
      </c>
      <c r="H32" s="168">
        <f>SUM(E32)*G32</f>
        <v>0</v>
      </c>
    </row>
    <row r="33" spans="1:8" ht="63" x14ac:dyDescent="0.45">
      <c r="A33" s="173" t="s">
        <v>4726</v>
      </c>
      <c r="B33" s="171"/>
      <c r="C33" s="184" t="s">
        <v>518</v>
      </c>
      <c r="D33" s="184" t="s">
        <v>519</v>
      </c>
      <c r="E33" s="166"/>
      <c r="F33" s="171" t="s">
        <v>472</v>
      </c>
      <c r="G33" s="172">
        <v>20</v>
      </c>
      <c r="H33" s="168">
        <f>SUM(E33)*G33</f>
        <v>0</v>
      </c>
    </row>
    <row r="34" spans="1:8" ht="37.799999999999997" x14ac:dyDescent="0.45">
      <c r="A34" s="173" t="s">
        <v>4727</v>
      </c>
      <c r="B34" s="171"/>
      <c r="C34" s="184" t="s">
        <v>521</v>
      </c>
      <c r="D34" s="184" t="s">
        <v>522</v>
      </c>
      <c r="E34" s="166"/>
      <c r="F34" s="171" t="s">
        <v>472</v>
      </c>
      <c r="G34" s="172">
        <v>25</v>
      </c>
      <c r="H34" s="168">
        <f>SUM(E34)*G34</f>
        <v>0</v>
      </c>
    </row>
    <row r="35" spans="1:8" ht="37.799999999999997" x14ac:dyDescent="0.45">
      <c r="A35" s="173" t="s">
        <v>4728</v>
      </c>
      <c r="B35" s="171"/>
      <c r="C35" s="184" t="s">
        <v>524</v>
      </c>
      <c r="D35" s="184" t="s">
        <v>525</v>
      </c>
      <c r="E35" s="166"/>
      <c r="F35" s="171" t="s">
        <v>472</v>
      </c>
      <c r="G35" s="172">
        <v>20</v>
      </c>
      <c r="H35" s="168">
        <f>SUM(E35)*G35</f>
        <v>0</v>
      </c>
    </row>
    <row r="36" spans="1:8" x14ac:dyDescent="0.45">
      <c r="A36" s="306" t="s">
        <v>4729</v>
      </c>
      <c r="B36" s="184" t="s">
        <v>180</v>
      </c>
      <c r="D36" s="120"/>
      <c r="E36" s="142"/>
      <c r="F36" s="171"/>
      <c r="G36" s="172"/>
      <c r="H36" s="168"/>
    </row>
    <row r="37" spans="1:8" ht="13" customHeight="1" x14ac:dyDescent="0.45">
      <c r="A37" s="310"/>
      <c r="B37" s="159">
        <v>1502000</v>
      </c>
      <c r="C37" s="159"/>
      <c r="D37" s="159" t="s">
        <v>18</v>
      </c>
      <c r="E37" s="159"/>
      <c r="F37" s="159"/>
      <c r="G37" s="162"/>
      <c r="H37" s="163"/>
    </row>
    <row r="38" spans="1:8" ht="37.799999999999997" x14ac:dyDescent="0.45">
      <c r="A38" s="173" t="s">
        <v>4730</v>
      </c>
      <c r="B38" s="171"/>
      <c r="C38" s="184" t="s">
        <v>528</v>
      </c>
      <c r="D38" s="184" t="s">
        <v>529</v>
      </c>
      <c r="E38" s="166"/>
      <c r="F38" s="171" t="s">
        <v>508</v>
      </c>
      <c r="G38" s="172">
        <v>1500</v>
      </c>
      <c r="H38" s="168">
        <f t="shared" ref="H38:H54" si="1">SUM(E38)*G38</f>
        <v>0</v>
      </c>
    </row>
    <row r="39" spans="1:8" ht="50.4" x14ac:dyDescent="0.45">
      <c r="A39" s="173" t="s">
        <v>4731</v>
      </c>
      <c r="B39" s="171"/>
      <c r="C39" s="184" t="s">
        <v>531</v>
      </c>
      <c r="D39" s="184" t="s">
        <v>532</v>
      </c>
      <c r="E39" s="166"/>
      <c r="F39" s="171" t="s">
        <v>533</v>
      </c>
      <c r="G39" s="172">
        <v>1500</v>
      </c>
      <c r="H39" s="168">
        <f t="shared" si="1"/>
        <v>0</v>
      </c>
    </row>
    <row r="40" spans="1:8" ht="63" x14ac:dyDescent="0.45">
      <c r="A40" s="173" t="s">
        <v>4732</v>
      </c>
      <c r="B40" s="171"/>
      <c r="C40" s="184" t="s">
        <v>535</v>
      </c>
      <c r="D40" s="184" t="s">
        <v>536</v>
      </c>
      <c r="E40" s="166"/>
      <c r="F40" s="171" t="s">
        <v>508</v>
      </c>
      <c r="G40" s="172">
        <v>1000</v>
      </c>
      <c r="H40" s="168">
        <f t="shared" si="1"/>
        <v>0</v>
      </c>
    </row>
    <row r="41" spans="1:8" ht="63" x14ac:dyDescent="0.45">
      <c r="A41" s="173" t="s">
        <v>4733</v>
      </c>
      <c r="B41" s="171"/>
      <c r="C41" s="184" t="s">
        <v>538</v>
      </c>
      <c r="D41" s="184" t="s">
        <v>539</v>
      </c>
      <c r="E41" s="166"/>
      <c r="F41" s="171" t="s">
        <v>508</v>
      </c>
      <c r="G41" s="172">
        <v>1000</v>
      </c>
      <c r="H41" s="168">
        <f t="shared" si="1"/>
        <v>0</v>
      </c>
    </row>
    <row r="42" spans="1:8" ht="50.4" x14ac:dyDescent="0.45">
      <c r="A42" s="173" t="s">
        <v>4734</v>
      </c>
      <c r="B42" s="171"/>
      <c r="C42" s="184" t="s">
        <v>541</v>
      </c>
      <c r="D42" s="184" t="s">
        <v>542</v>
      </c>
      <c r="E42" s="166"/>
      <c r="F42" s="171" t="s">
        <v>543</v>
      </c>
      <c r="G42" s="172">
        <v>9750</v>
      </c>
      <c r="H42" s="168">
        <f t="shared" si="1"/>
        <v>0</v>
      </c>
    </row>
    <row r="43" spans="1:8" ht="37.799999999999997" x14ac:dyDescent="0.45">
      <c r="A43" s="173" t="s">
        <v>4735</v>
      </c>
      <c r="B43" s="171"/>
      <c r="C43" s="184" t="s">
        <v>545</v>
      </c>
      <c r="D43" s="184" t="s">
        <v>546</v>
      </c>
      <c r="E43" s="166"/>
      <c r="F43" s="171" t="s">
        <v>472</v>
      </c>
      <c r="G43" s="172">
        <v>5</v>
      </c>
      <c r="H43" s="168">
        <f t="shared" si="1"/>
        <v>0</v>
      </c>
    </row>
    <row r="44" spans="1:8" ht="151.19999999999999" x14ac:dyDescent="0.45">
      <c r="A44" s="173" t="s">
        <v>4736</v>
      </c>
      <c r="B44" s="171"/>
      <c r="C44" s="184" t="s">
        <v>548</v>
      </c>
      <c r="D44" s="106" t="s">
        <v>549</v>
      </c>
      <c r="E44" s="166"/>
      <c r="F44" s="171" t="s">
        <v>472</v>
      </c>
      <c r="G44" s="172">
        <v>13</v>
      </c>
      <c r="H44" s="168">
        <f t="shared" si="1"/>
        <v>0</v>
      </c>
    </row>
    <row r="45" spans="1:8" ht="37.799999999999997" x14ac:dyDescent="0.45">
      <c r="A45" s="173" t="s">
        <v>4737</v>
      </c>
      <c r="B45" s="171"/>
      <c r="C45" s="106" t="s">
        <v>551</v>
      </c>
      <c r="D45" s="184" t="s">
        <v>552</v>
      </c>
      <c r="E45" s="166"/>
      <c r="F45" s="171" t="s">
        <v>472</v>
      </c>
      <c r="G45" s="172">
        <v>19</v>
      </c>
      <c r="H45" s="168">
        <f t="shared" si="1"/>
        <v>0</v>
      </c>
    </row>
    <row r="46" spans="1:8" ht="37.799999999999997" x14ac:dyDescent="0.45">
      <c r="A46" s="173" t="s">
        <v>4738</v>
      </c>
      <c r="B46" s="171"/>
      <c r="C46" s="106" t="s">
        <v>554</v>
      </c>
      <c r="D46" s="184" t="s">
        <v>555</v>
      </c>
      <c r="E46" s="166"/>
      <c r="F46" s="171" t="s">
        <v>472</v>
      </c>
      <c r="G46" s="172">
        <v>19</v>
      </c>
      <c r="H46" s="168">
        <f t="shared" si="1"/>
        <v>0</v>
      </c>
    </row>
    <row r="47" spans="1:8" ht="37.799999999999997" x14ac:dyDescent="0.45">
      <c r="A47" s="173" t="s">
        <v>4739</v>
      </c>
      <c r="B47" s="171"/>
      <c r="C47" s="106" t="s">
        <v>557</v>
      </c>
      <c r="D47" s="184" t="s">
        <v>558</v>
      </c>
      <c r="E47" s="166"/>
      <c r="F47" s="171" t="s">
        <v>472</v>
      </c>
      <c r="G47" s="172">
        <v>19</v>
      </c>
      <c r="H47" s="168">
        <f t="shared" si="1"/>
        <v>0</v>
      </c>
    </row>
    <row r="48" spans="1:8" ht="70.5" x14ac:dyDescent="0.45">
      <c r="A48" s="173" t="s">
        <v>4740</v>
      </c>
      <c r="B48" s="171"/>
      <c r="C48" s="106" t="s">
        <v>560</v>
      </c>
      <c r="D48" s="179" t="s">
        <v>561</v>
      </c>
      <c r="E48" s="166"/>
      <c r="F48" s="171" t="s">
        <v>472</v>
      </c>
      <c r="G48" s="172">
        <v>7</v>
      </c>
      <c r="H48" s="168">
        <f t="shared" si="1"/>
        <v>0</v>
      </c>
    </row>
    <row r="49" spans="1:8" ht="56.4" x14ac:dyDescent="0.45">
      <c r="A49" s="173" t="s">
        <v>4741</v>
      </c>
      <c r="B49" s="171"/>
      <c r="C49" s="106" t="s">
        <v>563</v>
      </c>
      <c r="D49" s="179" t="s">
        <v>564</v>
      </c>
      <c r="E49" s="166"/>
      <c r="F49" s="171" t="s">
        <v>472</v>
      </c>
      <c r="G49" s="172">
        <v>7</v>
      </c>
      <c r="H49" s="168">
        <f t="shared" si="1"/>
        <v>0</v>
      </c>
    </row>
    <row r="50" spans="1:8" ht="70.5" x14ac:dyDescent="0.45">
      <c r="A50" s="173" t="s">
        <v>4742</v>
      </c>
      <c r="B50" s="171"/>
      <c r="C50" s="106" t="s">
        <v>566</v>
      </c>
      <c r="D50" s="179" t="s">
        <v>567</v>
      </c>
      <c r="E50" s="166"/>
      <c r="F50" s="171" t="s">
        <v>568</v>
      </c>
      <c r="G50" s="172">
        <v>18</v>
      </c>
      <c r="H50" s="168">
        <f t="shared" si="1"/>
        <v>0</v>
      </c>
    </row>
    <row r="51" spans="1:8" ht="106.5" customHeight="1" x14ac:dyDescent="0.45">
      <c r="A51" s="173" t="s">
        <v>4743</v>
      </c>
      <c r="B51" s="180"/>
      <c r="C51" s="174" t="s">
        <v>570</v>
      </c>
      <c r="D51" s="174" t="s">
        <v>571</v>
      </c>
      <c r="E51" s="166"/>
      <c r="F51" s="171" t="s">
        <v>472</v>
      </c>
      <c r="G51" s="172">
        <v>25</v>
      </c>
      <c r="H51" s="168">
        <f t="shared" si="1"/>
        <v>0</v>
      </c>
    </row>
    <row r="52" spans="1:8" s="183" customFormat="1" ht="331.8" customHeight="1" x14ac:dyDescent="0.45">
      <c r="A52" s="173" t="s">
        <v>4744</v>
      </c>
      <c r="B52" s="182"/>
      <c r="C52" s="174" t="s">
        <v>573</v>
      </c>
      <c r="D52" s="174" t="s">
        <v>574</v>
      </c>
      <c r="E52" s="166"/>
      <c r="F52" s="185" t="s">
        <v>508</v>
      </c>
      <c r="G52" s="214">
        <v>750</v>
      </c>
      <c r="H52" s="168">
        <f t="shared" si="1"/>
        <v>0</v>
      </c>
    </row>
    <row r="53" spans="1:8" s="183" customFormat="1" ht="195" customHeight="1" x14ac:dyDescent="0.45">
      <c r="A53" s="173" t="s">
        <v>4745</v>
      </c>
      <c r="B53" s="182"/>
      <c r="C53" s="174" t="s">
        <v>576</v>
      </c>
      <c r="D53" s="174" t="s">
        <v>577</v>
      </c>
      <c r="E53" s="166"/>
      <c r="F53" s="185" t="s">
        <v>508</v>
      </c>
      <c r="G53" s="214">
        <v>1250</v>
      </c>
      <c r="H53" s="168">
        <f t="shared" si="1"/>
        <v>0</v>
      </c>
    </row>
    <row r="54" spans="1:8" s="183" customFormat="1" ht="75.599999999999994" x14ac:dyDescent="0.45">
      <c r="A54" s="173" t="s">
        <v>4746</v>
      </c>
      <c r="B54" s="182"/>
      <c r="C54" s="308" t="s">
        <v>579</v>
      </c>
      <c r="D54" s="308" t="s">
        <v>580</v>
      </c>
      <c r="E54" s="166"/>
      <c r="F54" s="185" t="s">
        <v>508</v>
      </c>
      <c r="G54" s="214">
        <v>1000</v>
      </c>
      <c r="H54" s="168">
        <f t="shared" si="1"/>
        <v>0</v>
      </c>
    </row>
    <row r="55" spans="1:8" x14ac:dyDescent="0.45">
      <c r="A55" s="306" t="s">
        <v>4747</v>
      </c>
      <c r="B55" s="184" t="s">
        <v>180</v>
      </c>
      <c r="D55" s="170"/>
      <c r="E55" s="142"/>
      <c r="F55" s="172"/>
      <c r="G55" s="168"/>
      <c r="H55" s="142"/>
    </row>
    <row r="56" spans="1:8" ht="13" customHeight="1" x14ac:dyDescent="0.45">
      <c r="A56" s="310"/>
      <c r="B56" s="159">
        <v>1503010</v>
      </c>
      <c r="C56" s="159"/>
      <c r="D56" s="159" t="s">
        <v>109</v>
      </c>
      <c r="E56" s="159"/>
      <c r="F56" s="209"/>
      <c r="G56" s="210"/>
      <c r="H56" s="163"/>
    </row>
    <row r="57" spans="1:8" ht="25.2" x14ac:dyDescent="0.45">
      <c r="A57" s="173" t="s">
        <v>4748</v>
      </c>
      <c r="B57" s="171"/>
      <c r="C57" s="106" t="s">
        <v>583</v>
      </c>
      <c r="D57" s="106" t="s">
        <v>584</v>
      </c>
      <c r="E57" s="166"/>
      <c r="F57" s="171" t="s">
        <v>508</v>
      </c>
      <c r="G57" s="172">
        <v>250</v>
      </c>
      <c r="H57" s="168">
        <f t="shared" ref="H57:H74" si="2">SUM(E57)*G57</f>
        <v>0</v>
      </c>
    </row>
    <row r="58" spans="1:8" ht="50.4" x14ac:dyDescent="0.45">
      <c r="A58" s="173" t="s">
        <v>4749</v>
      </c>
      <c r="B58" s="171"/>
      <c r="C58" s="106" t="s">
        <v>586</v>
      </c>
      <c r="D58" s="106" t="s">
        <v>587</v>
      </c>
      <c r="E58" s="166"/>
      <c r="F58" s="171" t="s">
        <v>508</v>
      </c>
      <c r="G58" s="172">
        <v>250</v>
      </c>
      <c r="H58" s="168">
        <f t="shared" si="2"/>
        <v>0</v>
      </c>
    </row>
    <row r="59" spans="1:8" ht="50.4" x14ac:dyDescent="0.45">
      <c r="A59" s="173" t="s">
        <v>4750</v>
      </c>
      <c r="B59" s="171"/>
      <c r="C59" s="106" t="s">
        <v>589</v>
      </c>
      <c r="D59" s="106" t="s">
        <v>590</v>
      </c>
      <c r="E59" s="166"/>
      <c r="F59" s="171" t="s">
        <v>508</v>
      </c>
      <c r="G59" s="172">
        <v>500</v>
      </c>
      <c r="H59" s="168">
        <f t="shared" si="2"/>
        <v>0</v>
      </c>
    </row>
    <row r="60" spans="1:8" ht="37.799999999999997" x14ac:dyDescent="0.45">
      <c r="A60" s="173" t="s">
        <v>4751</v>
      </c>
      <c r="B60" s="171"/>
      <c r="C60" s="106" t="s">
        <v>592</v>
      </c>
      <c r="D60" s="106" t="s">
        <v>593</v>
      </c>
      <c r="E60" s="166"/>
      <c r="F60" s="171" t="s">
        <v>508</v>
      </c>
      <c r="G60" s="172">
        <v>500</v>
      </c>
      <c r="H60" s="168">
        <f t="shared" si="2"/>
        <v>0</v>
      </c>
    </row>
    <row r="61" spans="1:8" ht="75.599999999999994" x14ac:dyDescent="0.45">
      <c r="A61" s="173" t="s">
        <v>4752</v>
      </c>
      <c r="B61" s="171"/>
      <c r="C61" s="106" t="s">
        <v>595</v>
      </c>
      <c r="D61" s="106" t="s">
        <v>596</v>
      </c>
      <c r="E61" s="166"/>
      <c r="F61" s="171" t="s">
        <v>508</v>
      </c>
      <c r="G61" s="172">
        <v>500</v>
      </c>
      <c r="H61" s="168">
        <f t="shared" si="2"/>
        <v>0</v>
      </c>
    </row>
    <row r="62" spans="1:8" ht="63" x14ac:dyDescent="0.45">
      <c r="A62" s="173" t="s">
        <v>4753</v>
      </c>
      <c r="B62" s="171"/>
      <c r="C62" s="106" t="s">
        <v>598</v>
      </c>
      <c r="D62" s="106" t="s">
        <v>599</v>
      </c>
      <c r="E62" s="166"/>
      <c r="F62" s="171" t="s">
        <v>508</v>
      </c>
      <c r="G62" s="172">
        <v>500</v>
      </c>
      <c r="H62" s="168">
        <f t="shared" si="2"/>
        <v>0</v>
      </c>
    </row>
    <row r="63" spans="1:8" ht="50.4" x14ac:dyDescent="0.45">
      <c r="A63" s="173" t="s">
        <v>4754</v>
      </c>
      <c r="B63" s="171"/>
      <c r="C63" s="106" t="s">
        <v>601</v>
      </c>
      <c r="D63" s="106" t="s">
        <v>602</v>
      </c>
      <c r="E63" s="166"/>
      <c r="F63" s="171" t="s">
        <v>508</v>
      </c>
      <c r="G63" s="172">
        <v>500</v>
      </c>
      <c r="H63" s="168">
        <f t="shared" si="2"/>
        <v>0</v>
      </c>
    </row>
    <row r="64" spans="1:8" ht="50.4" x14ac:dyDescent="0.45">
      <c r="A64" s="173" t="s">
        <v>4755</v>
      </c>
      <c r="B64" s="171"/>
      <c r="C64" s="106" t="s">
        <v>604</v>
      </c>
      <c r="D64" s="106" t="s">
        <v>605</v>
      </c>
      <c r="E64" s="166"/>
      <c r="F64" s="171" t="s">
        <v>508</v>
      </c>
      <c r="G64" s="172">
        <v>250</v>
      </c>
      <c r="H64" s="168">
        <f t="shared" si="2"/>
        <v>0</v>
      </c>
    </row>
    <row r="65" spans="1:8" ht="50.4" x14ac:dyDescent="0.45">
      <c r="A65" s="173" t="s">
        <v>4756</v>
      </c>
      <c r="B65" s="171"/>
      <c r="C65" s="106" t="s">
        <v>607</v>
      </c>
      <c r="D65" s="106" t="s">
        <v>608</v>
      </c>
      <c r="E65" s="166"/>
      <c r="F65" s="171" t="s">
        <v>508</v>
      </c>
      <c r="G65" s="172">
        <v>250</v>
      </c>
      <c r="H65" s="168">
        <f t="shared" si="2"/>
        <v>0</v>
      </c>
    </row>
    <row r="66" spans="1:8" ht="25.2" x14ac:dyDescent="0.45">
      <c r="A66" s="173" t="s">
        <v>4757</v>
      </c>
      <c r="B66" s="171"/>
      <c r="C66" s="106" t="s">
        <v>610</v>
      </c>
      <c r="D66" s="106" t="s">
        <v>611</v>
      </c>
      <c r="E66" s="166"/>
      <c r="F66" s="171" t="s">
        <v>508</v>
      </c>
      <c r="G66" s="172">
        <v>250</v>
      </c>
      <c r="H66" s="168">
        <f t="shared" si="2"/>
        <v>0</v>
      </c>
    </row>
    <row r="67" spans="1:8" ht="50.4" x14ac:dyDescent="0.45">
      <c r="A67" s="173" t="s">
        <v>4758</v>
      </c>
      <c r="B67" s="171"/>
      <c r="C67" s="106" t="s">
        <v>613</v>
      </c>
      <c r="D67" s="106" t="s">
        <v>614</v>
      </c>
      <c r="E67" s="166"/>
      <c r="F67" s="171" t="s">
        <v>508</v>
      </c>
      <c r="G67" s="172">
        <v>125</v>
      </c>
      <c r="H67" s="168">
        <f t="shared" si="2"/>
        <v>0</v>
      </c>
    </row>
    <row r="68" spans="1:8" ht="50.4" x14ac:dyDescent="0.45">
      <c r="A68" s="173" t="s">
        <v>4759</v>
      </c>
      <c r="B68" s="171"/>
      <c r="C68" s="106" t="s">
        <v>616</v>
      </c>
      <c r="D68" s="106" t="s">
        <v>617</v>
      </c>
      <c r="E68" s="166"/>
      <c r="F68" s="171" t="s">
        <v>508</v>
      </c>
      <c r="G68" s="172">
        <v>250</v>
      </c>
      <c r="H68" s="168">
        <f t="shared" si="2"/>
        <v>0</v>
      </c>
    </row>
    <row r="69" spans="1:8" ht="50.4" x14ac:dyDescent="0.45">
      <c r="A69" s="173" t="s">
        <v>4760</v>
      </c>
      <c r="B69" s="171"/>
      <c r="C69" s="106" t="s">
        <v>619</v>
      </c>
      <c r="D69" s="106" t="s">
        <v>620</v>
      </c>
      <c r="E69" s="166"/>
      <c r="F69" s="171" t="s">
        <v>508</v>
      </c>
      <c r="G69" s="172">
        <v>500</v>
      </c>
      <c r="H69" s="168">
        <f t="shared" si="2"/>
        <v>0</v>
      </c>
    </row>
    <row r="70" spans="1:8" ht="25.2" x14ac:dyDescent="0.45">
      <c r="A70" s="173" t="s">
        <v>4761</v>
      </c>
      <c r="B70" s="171"/>
      <c r="C70" s="106" t="s">
        <v>622</v>
      </c>
      <c r="D70" s="106" t="s">
        <v>623</v>
      </c>
      <c r="E70" s="166"/>
      <c r="F70" s="171" t="s">
        <v>508</v>
      </c>
      <c r="G70" s="172">
        <v>1500</v>
      </c>
      <c r="H70" s="168">
        <f t="shared" si="2"/>
        <v>0</v>
      </c>
    </row>
    <row r="71" spans="1:8" ht="37.799999999999997" x14ac:dyDescent="0.45">
      <c r="A71" s="173" t="s">
        <v>4762</v>
      </c>
      <c r="B71" s="171"/>
      <c r="C71" s="106" t="s">
        <v>625</v>
      </c>
      <c r="D71" s="106" t="s">
        <v>626</v>
      </c>
      <c r="E71" s="166"/>
      <c r="F71" s="171" t="s">
        <v>472</v>
      </c>
      <c r="G71" s="172">
        <v>50</v>
      </c>
      <c r="H71" s="168">
        <f t="shared" si="2"/>
        <v>0</v>
      </c>
    </row>
    <row r="72" spans="1:8" ht="37.799999999999997" x14ac:dyDescent="0.45">
      <c r="A72" s="173" t="s">
        <v>4763</v>
      </c>
      <c r="B72" s="171"/>
      <c r="C72" s="106" t="s">
        <v>628</v>
      </c>
      <c r="D72" s="106" t="s">
        <v>629</v>
      </c>
      <c r="E72" s="166"/>
      <c r="F72" s="171" t="s">
        <v>472</v>
      </c>
      <c r="G72" s="172">
        <v>25</v>
      </c>
      <c r="H72" s="168">
        <f t="shared" si="2"/>
        <v>0</v>
      </c>
    </row>
    <row r="73" spans="1:8" ht="63" x14ac:dyDescent="0.45">
      <c r="A73" s="173" t="s">
        <v>4764</v>
      </c>
      <c r="B73" s="171"/>
      <c r="C73" s="106" t="s">
        <v>631</v>
      </c>
      <c r="D73" s="184" t="s">
        <v>632</v>
      </c>
      <c r="E73" s="166"/>
      <c r="F73" s="171" t="s">
        <v>633</v>
      </c>
      <c r="G73" s="172">
        <v>120</v>
      </c>
      <c r="H73" s="168">
        <f t="shared" si="2"/>
        <v>0</v>
      </c>
    </row>
    <row r="74" spans="1:8" s="183" customFormat="1" ht="151.19999999999999" x14ac:dyDescent="0.45">
      <c r="A74" s="173" t="s">
        <v>4765</v>
      </c>
      <c r="B74" s="185"/>
      <c r="C74" s="216" t="s">
        <v>635</v>
      </c>
      <c r="D74" s="216" t="s">
        <v>636</v>
      </c>
      <c r="E74" s="166"/>
      <c r="F74" s="185" t="s">
        <v>472</v>
      </c>
      <c r="G74" s="172">
        <v>3</v>
      </c>
      <c r="H74" s="168">
        <f t="shared" si="2"/>
        <v>0</v>
      </c>
    </row>
    <row r="75" spans="1:8" x14ac:dyDescent="0.45">
      <c r="A75" s="306" t="s">
        <v>4766</v>
      </c>
      <c r="B75" s="184" t="s">
        <v>180</v>
      </c>
      <c r="C75" s="120"/>
      <c r="D75" s="170"/>
      <c r="E75" s="142"/>
      <c r="F75" s="172"/>
      <c r="G75" s="168"/>
      <c r="H75" s="142"/>
    </row>
    <row r="76" spans="1:8" ht="13" customHeight="1" x14ac:dyDescent="0.45">
      <c r="A76" s="310"/>
      <c r="B76" s="159">
        <v>1503020</v>
      </c>
      <c r="C76" s="159"/>
      <c r="D76" s="159" t="s">
        <v>638</v>
      </c>
      <c r="E76" s="159"/>
      <c r="F76" s="159"/>
      <c r="G76" s="210"/>
      <c r="H76" s="163"/>
    </row>
    <row r="77" spans="1:8" ht="37.799999999999997" x14ac:dyDescent="0.45">
      <c r="A77" s="173" t="s">
        <v>4767</v>
      </c>
      <c r="B77" s="171"/>
      <c r="C77" s="106" t="s">
        <v>640</v>
      </c>
      <c r="D77" s="106" t="s">
        <v>641</v>
      </c>
      <c r="E77" s="166"/>
      <c r="F77" s="171" t="s">
        <v>472</v>
      </c>
      <c r="G77" s="172">
        <v>8</v>
      </c>
      <c r="H77" s="168">
        <f t="shared" ref="H77:H89" si="3">SUM(E77)*G77</f>
        <v>0</v>
      </c>
    </row>
    <row r="78" spans="1:8" ht="63" x14ac:dyDescent="0.45">
      <c r="A78" s="173" t="s">
        <v>4768</v>
      </c>
      <c r="B78" s="171"/>
      <c r="C78" s="106" t="s">
        <v>643</v>
      </c>
      <c r="D78" s="106" t="s">
        <v>644</v>
      </c>
      <c r="E78" s="166"/>
      <c r="F78" s="171" t="s">
        <v>645</v>
      </c>
      <c r="G78" s="172">
        <v>8</v>
      </c>
      <c r="H78" s="168">
        <f t="shared" si="3"/>
        <v>0</v>
      </c>
    </row>
    <row r="79" spans="1:8" ht="37.799999999999997" x14ac:dyDescent="0.45">
      <c r="A79" s="173" t="s">
        <v>4769</v>
      </c>
      <c r="B79" s="171"/>
      <c r="C79" s="106" t="s">
        <v>647</v>
      </c>
      <c r="D79" s="106" t="s">
        <v>648</v>
      </c>
      <c r="E79" s="166"/>
      <c r="F79" s="171" t="s">
        <v>472</v>
      </c>
      <c r="G79" s="172">
        <v>8</v>
      </c>
      <c r="H79" s="168">
        <f t="shared" si="3"/>
        <v>0</v>
      </c>
    </row>
    <row r="80" spans="1:8" ht="37.799999999999997" x14ac:dyDescent="0.45">
      <c r="A80" s="173" t="s">
        <v>4770</v>
      </c>
      <c r="B80" s="171"/>
      <c r="C80" s="106" t="s">
        <v>650</v>
      </c>
      <c r="D80" s="106" t="s">
        <v>651</v>
      </c>
      <c r="E80" s="166"/>
      <c r="F80" s="171" t="s">
        <v>472</v>
      </c>
      <c r="G80" s="172">
        <v>8</v>
      </c>
      <c r="H80" s="168">
        <f t="shared" si="3"/>
        <v>0</v>
      </c>
    </row>
    <row r="81" spans="1:10" ht="63" x14ac:dyDescent="0.45">
      <c r="A81" s="173" t="s">
        <v>4771</v>
      </c>
      <c r="B81" s="171"/>
      <c r="C81" s="106" t="s">
        <v>653</v>
      </c>
      <c r="D81" s="106" t="s">
        <v>654</v>
      </c>
      <c r="E81" s="166"/>
      <c r="F81" s="171" t="s">
        <v>472</v>
      </c>
      <c r="G81" s="172">
        <v>35</v>
      </c>
      <c r="H81" s="168">
        <f t="shared" si="3"/>
        <v>0</v>
      </c>
    </row>
    <row r="82" spans="1:10" ht="50.4" x14ac:dyDescent="0.45">
      <c r="A82" s="173" t="s">
        <v>4772</v>
      </c>
      <c r="B82" s="171"/>
      <c r="C82" s="106" t="s">
        <v>656</v>
      </c>
      <c r="D82" s="106" t="s">
        <v>657</v>
      </c>
      <c r="E82" s="166"/>
      <c r="F82" s="171" t="s">
        <v>472</v>
      </c>
      <c r="G82" s="172">
        <v>15</v>
      </c>
      <c r="H82" s="168">
        <f t="shared" si="3"/>
        <v>0</v>
      </c>
    </row>
    <row r="83" spans="1:10" ht="54.3" customHeight="1" x14ac:dyDescent="0.45">
      <c r="A83" s="173" t="s">
        <v>4773</v>
      </c>
      <c r="B83" s="171"/>
      <c r="C83" s="106" t="s">
        <v>659</v>
      </c>
      <c r="D83" s="106" t="s">
        <v>660</v>
      </c>
      <c r="E83" s="166"/>
      <c r="F83" s="171" t="s">
        <v>472</v>
      </c>
      <c r="G83" s="172">
        <v>88</v>
      </c>
      <c r="H83" s="168">
        <f t="shared" si="3"/>
        <v>0</v>
      </c>
    </row>
    <row r="84" spans="1:10" ht="50.4" x14ac:dyDescent="0.45">
      <c r="A84" s="173" t="s">
        <v>4774</v>
      </c>
      <c r="B84" s="171"/>
      <c r="C84" s="184" t="s">
        <v>662</v>
      </c>
      <c r="D84" s="184" t="s">
        <v>663</v>
      </c>
      <c r="E84" s="166"/>
      <c r="F84" s="171" t="s">
        <v>472</v>
      </c>
      <c r="G84" s="172">
        <v>25</v>
      </c>
      <c r="H84" s="168">
        <f t="shared" si="3"/>
        <v>0</v>
      </c>
    </row>
    <row r="85" spans="1:10" ht="37.799999999999997" x14ac:dyDescent="0.45">
      <c r="A85" s="173" t="s">
        <v>4775</v>
      </c>
      <c r="B85" s="171"/>
      <c r="C85" s="184" t="s">
        <v>665</v>
      </c>
      <c r="D85" s="184" t="s">
        <v>666</v>
      </c>
      <c r="E85" s="166"/>
      <c r="F85" s="171" t="s">
        <v>508</v>
      </c>
      <c r="G85" s="172">
        <v>150</v>
      </c>
      <c r="H85" s="168">
        <f t="shared" si="3"/>
        <v>0</v>
      </c>
    </row>
    <row r="86" spans="1:10" ht="126" x14ac:dyDescent="0.45">
      <c r="A86" s="173" t="s">
        <v>4776</v>
      </c>
      <c r="B86" s="171"/>
      <c r="C86" s="184" t="s">
        <v>668</v>
      </c>
      <c r="D86" s="106" t="s">
        <v>669</v>
      </c>
      <c r="E86" s="166"/>
      <c r="F86" s="171" t="s">
        <v>508</v>
      </c>
      <c r="G86" s="172">
        <v>1750</v>
      </c>
      <c r="H86" s="168">
        <f t="shared" si="3"/>
        <v>0</v>
      </c>
    </row>
    <row r="87" spans="1:10" ht="37.799999999999997" x14ac:dyDescent="0.45">
      <c r="A87" s="173" t="s">
        <v>4777</v>
      </c>
      <c r="B87" s="171"/>
      <c r="C87" s="186" t="s">
        <v>671</v>
      </c>
      <c r="D87" s="186" t="s">
        <v>672</v>
      </c>
      <c r="E87" s="166"/>
      <c r="F87" s="171" t="s">
        <v>472</v>
      </c>
      <c r="G87" s="172">
        <v>10</v>
      </c>
      <c r="H87" s="168">
        <f t="shared" si="3"/>
        <v>0</v>
      </c>
    </row>
    <row r="88" spans="1:10" ht="37.799999999999997" x14ac:dyDescent="0.45">
      <c r="A88" s="173" t="s">
        <v>4778</v>
      </c>
      <c r="B88" s="171"/>
      <c r="C88" s="349" t="s">
        <v>5044</v>
      </c>
      <c r="D88" s="186" t="s">
        <v>1377</v>
      </c>
      <c r="E88" s="166"/>
      <c r="F88" s="171" t="s">
        <v>472</v>
      </c>
      <c r="G88" s="172">
        <v>10</v>
      </c>
      <c r="H88" s="168">
        <f t="shared" si="3"/>
        <v>0</v>
      </c>
    </row>
    <row r="89" spans="1:10" ht="298.75" customHeight="1" x14ac:dyDescent="0.45">
      <c r="A89" s="173" t="s">
        <v>4779</v>
      </c>
      <c r="B89" s="171"/>
      <c r="C89" s="106" t="s">
        <v>675</v>
      </c>
      <c r="D89" s="106" t="s">
        <v>676</v>
      </c>
      <c r="E89" s="166"/>
      <c r="F89" s="171" t="s">
        <v>472</v>
      </c>
      <c r="G89" s="172">
        <v>8</v>
      </c>
      <c r="H89" s="168">
        <f t="shared" si="3"/>
        <v>0</v>
      </c>
      <c r="I89" s="169"/>
    </row>
    <row r="90" spans="1:10" x14ac:dyDescent="0.45">
      <c r="A90" s="306" t="s">
        <v>4780</v>
      </c>
      <c r="B90" s="184" t="s">
        <v>180</v>
      </c>
      <c r="D90" s="120"/>
      <c r="E90" s="142"/>
      <c r="F90" s="171"/>
      <c r="G90" s="172"/>
      <c r="H90" s="220"/>
    </row>
    <row r="91" spans="1:10" ht="13" customHeight="1" x14ac:dyDescent="0.45">
      <c r="A91" s="310"/>
      <c r="B91" s="159">
        <v>1503030</v>
      </c>
      <c r="C91" s="159"/>
      <c r="D91" s="159" t="s">
        <v>678</v>
      </c>
      <c r="E91" s="159"/>
      <c r="F91" s="209"/>
      <c r="G91" s="210"/>
      <c r="H91" s="163"/>
    </row>
    <row r="92" spans="1:10" ht="75.599999999999994" x14ac:dyDescent="0.45">
      <c r="A92" s="173" t="s">
        <v>4781</v>
      </c>
      <c r="B92" s="171"/>
      <c r="C92" s="106" t="s">
        <v>680</v>
      </c>
      <c r="D92" s="106" t="s">
        <v>681</v>
      </c>
      <c r="E92" s="166"/>
      <c r="F92" s="171" t="s">
        <v>682</v>
      </c>
      <c r="G92" s="171">
        <v>5</v>
      </c>
      <c r="H92" s="168">
        <f t="shared" ref="H92:H112" si="4">SUM(E92)*G92</f>
        <v>0</v>
      </c>
      <c r="I92" s="169"/>
    </row>
    <row r="93" spans="1:10" ht="75.599999999999994" x14ac:dyDescent="0.45">
      <c r="A93" s="173" t="s">
        <v>4782</v>
      </c>
      <c r="B93" s="171"/>
      <c r="C93" s="106" t="s">
        <v>684</v>
      </c>
      <c r="D93" s="106" t="s">
        <v>685</v>
      </c>
      <c r="E93" s="166"/>
      <c r="F93" s="171" t="s">
        <v>472</v>
      </c>
      <c r="G93" s="171">
        <v>3</v>
      </c>
      <c r="H93" s="168">
        <f t="shared" si="4"/>
        <v>0</v>
      </c>
      <c r="I93" s="169"/>
    </row>
    <row r="94" spans="1:10" ht="75.599999999999994" x14ac:dyDescent="0.45">
      <c r="A94" s="173" t="s">
        <v>4783</v>
      </c>
      <c r="B94" s="171"/>
      <c r="C94" s="106" t="s">
        <v>687</v>
      </c>
      <c r="D94" s="106" t="s">
        <v>688</v>
      </c>
      <c r="E94" s="166"/>
      <c r="F94" s="171" t="s">
        <v>472</v>
      </c>
      <c r="G94" s="171">
        <v>3</v>
      </c>
      <c r="H94" s="168">
        <f t="shared" si="4"/>
        <v>0</v>
      </c>
      <c r="I94" s="169"/>
      <c r="J94" s="187"/>
    </row>
    <row r="95" spans="1:10" ht="75.599999999999994" x14ac:dyDescent="0.45">
      <c r="A95" s="173" t="s">
        <v>4784</v>
      </c>
      <c r="B95" s="171"/>
      <c r="C95" s="106" t="s">
        <v>690</v>
      </c>
      <c r="D95" s="106" t="s">
        <v>691</v>
      </c>
      <c r="E95" s="166"/>
      <c r="F95" s="367" t="s">
        <v>472</v>
      </c>
      <c r="G95" s="171">
        <v>5</v>
      </c>
      <c r="H95" s="168">
        <f t="shared" si="4"/>
        <v>0</v>
      </c>
      <c r="I95" s="169"/>
      <c r="J95" s="187"/>
    </row>
    <row r="96" spans="1:10" ht="75.599999999999994" x14ac:dyDescent="0.45">
      <c r="A96" s="173" t="s">
        <v>4785</v>
      </c>
      <c r="B96" s="171"/>
      <c r="C96" s="106" t="s">
        <v>693</v>
      </c>
      <c r="D96" s="106" t="s">
        <v>694</v>
      </c>
      <c r="E96" s="166"/>
      <c r="F96" s="367" t="s">
        <v>472</v>
      </c>
      <c r="G96" s="171">
        <v>3</v>
      </c>
      <c r="H96" s="168">
        <f t="shared" si="4"/>
        <v>0</v>
      </c>
      <c r="I96" s="169"/>
      <c r="J96" s="187"/>
    </row>
    <row r="97" spans="1:9" ht="75.599999999999994" x14ac:dyDescent="0.45">
      <c r="A97" s="173" t="s">
        <v>4786</v>
      </c>
      <c r="B97" s="171"/>
      <c r="C97" s="106" t="s">
        <v>696</v>
      </c>
      <c r="D97" s="106" t="s">
        <v>697</v>
      </c>
      <c r="E97" s="166"/>
      <c r="F97" s="367" t="s">
        <v>472</v>
      </c>
      <c r="G97" s="171">
        <v>3</v>
      </c>
      <c r="H97" s="168">
        <f t="shared" si="4"/>
        <v>0</v>
      </c>
      <c r="I97" s="169"/>
    </row>
    <row r="98" spans="1:9" ht="75.599999999999994" x14ac:dyDescent="0.45">
      <c r="A98" s="173" t="s">
        <v>4787</v>
      </c>
      <c r="B98" s="171"/>
      <c r="C98" s="106" t="s">
        <v>699</v>
      </c>
      <c r="D98" s="106" t="s">
        <v>700</v>
      </c>
      <c r="E98" s="166"/>
      <c r="F98" s="367" t="s">
        <v>472</v>
      </c>
      <c r="G98" s="171">
        <v>3</v>
      </c>
      <c r="H98" s="168">
        <f t="shared" si="4"/>
        <v>0</v>
      </c>
      <c r="I98" s="169"/>
    </row>
    <row r="99" spans="1:9" ht="88.2" x14ac:dyDescent="0.45">
      <c r="A99" s="173" t="s">
        <v>4788</v>
      </c>
      <c r="B99" s="171"/>
      <c r="C99" s="106" t="s">
        <v>702</v>
      </c>
      <c r="D99" s="106" t="s">
        <v>703</v>
      </c>
      <c r="E99" s="166"/>
      <c r="F99" s="367" t="s">
        <v>472</v>
      </c>
      <c r="G99" s="171">
        <v>3</v>
      </c>
      <c r="H99" s="168">
        <f t="shared" si="4"/>
        <v>0</v>
      </c>
      <c r="I99" s="169"/>
    </row>
    <row r="100" spans="1:9" ht="88.2" x14ac:dyDescent="0.45">
      <c r="A100" s="173" t="s">
        <v>4789</v>
      </c>
      <c r="B100" s="171"/>
      <c r="C100" s="106" t="s">
        <v>705</v>
      </c>
      <c r="D100" s="106" t="s">
        <v>706</v>
      </c>
      <c r="E100" s="166"/>
      <c r="F100" s="367" t="s">
        <v>472</v>
      </c>
      <c r="G100" s="171">
        <v>3</v>
      </c>
      <c r="H100" s="168">
        <f t="shared" si="4"/>
        <v>0</v>
      </c>
      <c r="I100" s="169"/>
    </row>
    <row r="101" spans="1:9" ht="75.599999999999994" x14ac:dyDescent="0.45">
      <c r="A101" s="173" t="s">
        <v>4790</v>
      </c>
      <c r="B101" s="171"/>
      <c r="C101" s="106" t="s">
        <v>708</v>
      </c>
      <c r="D101" s="106" t="s">
        <v>709</v>
      </c>
      <c r="E101" s="166"/>
      <c r="F101" s="367" t="s">
        <v>472</v>
      </c>
      <c r="G101" s="171">
        <v>3</v>
      </c>
      <c r="H101" s="168">
        <f t="shared" si="4"/>
        <v>0</v>
      </c>
      <c r="I101" s="169"/>
    </row>
    <row r="102" spans="1:9" ht="75.599999999999994" x14ac:dyDescent="0.45">
      <c r="A102" s="173" t="s">
        <v>4791</v>
      </c>
      <c r="B102" s="171"/>
      <c r="C102" s="106" t="s">
        <v>711</v>
      </c>
      <c r="D102" s="106" t="s">
        <v>712</v>
      </c>
      <c r="E102" s="166"/>
      <c r="F102" s="367" t="s">
        <v>472</v>
      </c>
      <c r="G102" s="171">
        <v>3</v>
      </c>
      <c r="H102" s="168">
        <f t="shared" si="4"/>
        <v>0</v>
      </c>
      <c r="I102" s="169"/>
    </row>
    <row r="103" spans="1:9" ht="75.599999999999994" x14ac:dyDescent="0.45">
      <c r="A103" s="173" t="s">
        <v>4792</v>
      </c>
      <c r="B103" s="171"/>
      <c r="C103" s="106" t="s">
        <v>714</v>
      </c>
      <c r="D103" s="106" t="s">
        <v>715</v>
      </c>
      <c r="E103" s="166"/>
      <c r="F103" s="367" t="s">
        <v>472</v>
      </c>
      <c r="G103" s="171">
        <v>3</v>
      </c>
      <c r="H103" s="168">
        <f t="shared" si="4"/>
        <v>0</v>
      </c>
      <c r="I103" s="169"/>
    </row>
    <row r="104" spans="1:9" ht="75.599999999999994" x14ac:dyDescent="0.45">
      <c r="A104" s="173" t="s">
        <v>4793</v>
      </c>
      <c r="B104" s="171"/>
      <c r="C104" s="106" t="s">
        <v>717</v>
      </c>
      <c r="D104" s="106" t="s">
        <v>718</v>
      </c>
      <c r="E104" s="166"/>
      <c r="F104" s="367" t="s">
        <v>472</v>
      </c>
      <c r="G104" s="171">
        <v>3</v>
      </c>
      <c r="H104" s="168">
        <f t="shared" si="4"/>
        <v>0</v>
      </c>
      <c r="I104" s="169"/>
    </row>
    <row r="105" spans="1:9" ht="50.4" x14ac:dyDescent="0.45">
      <c r="A105" s="173" t="s">
        <v>4794</v>
      </c>
      <c r="B105" s="171"/>
      <c r="C105" s="106" t="s">
        <v>720</v>
      </c>
      <c r="D105" s="106" t="s">
        <v>721</v>
      </c>
      <c r="E105" s="166"/>
      <c r="F105" s="367" t="s">
        <v>472</v>
      </c>
      <c r="G105" s="188">
        <v>3</v>
      </c>
      <c r="H105" s="168">
        <f t="shared" si="4"/>
        <v>0</v>
      </c>
    </row>
    <row r="106" spans="1:9" ht="63" x14ac:dyDescent="0.45">
      <c r="A106" s="173" t="s">
        <v>4795</v>
      </c>
      <c r="B106" s="171"/>
      <c r="C106" s="106" t="s">
        <v>723</v>
      </c>
      <c r="D106" s="106" t="s">
        <v>724</v>
      </c>
      <c r="E106" s="166"/>
      <c r="F106" s="171" t="s">
        <v>472</v>
      </c>
      <c r="G106" s="171">
        <v>3</v>
      </c>
      <c r="H106" s="168">
        <f t="shared" si="4"/>
        <v>0</v>
      </c>
    </row>
    <row r="107" spans="1:9" ht="63" x14ac:dyDescent="0.45">
      <c r="A107" s="173" t="s">
        <v>4796</v>
      </c>
      <c r="B107" s="171"/>
      <c r="C107" s="106" t="s">
        <v>726</v>
      </c>
      <c r="D107" s="106" t="s">
        <v>727</v>
      </c>
      <c r="E107" s="166"/>
      <c r="F107" s="171" t="s">
        <v>472</v>
      </c>
      <c r="G107" s="171">
        <v>3</v>
      </c>
      <c r="H107" s="168">
        <f t="shared" si="4"/>
        <v>0</v>
      </c>
    </row>
    <row r="108" spans="1:9" ht="50.4" x14ac:dyDescent="0.45">
      <c r="A108" s="173" t="s">
        <v>4797</v>
      </c>
      <c r="B108" s="171"/>
      <c r="C108" s="106" t="s">
        <v>729</v>
      </c>
      <c r="D108" s="189" t="s">
        <v>730</v>
      </c>
      <c r="E108" s="166"/>
      <c r="F108" s="171" t="s">
        <v>472</v>
      </c>
      <c r="G108" s="171">
        <v>3</v>
      </c>
      <c r="H108" s="168">
        <f t="shared" si="4"/>
        <v>0</v>
      </c>
    </row>
    <row r="109" spans="1:9" ht="50.4" x14ac:dyDescent="0.45">
      <c r="A109" s="173" t="s">
        <v>4798</v>
      </c>
      <c r="B109" s="171"/>
      <c r="C109" s="106" t="s">
        <v>732</v>
      </c>
      <c r="D109" s="189" t="s">
        <v>733</v>
      </c>
      <c r="E109" s="166"/>
      <c r="F109" s="171" t="s">
        <v>472</v>
      </c>
      <c r="G109" s="171">
        <v>3</v>
      </c>
      <c r="H109" s="168">
        <f t="shared" si="4"/>
        <v>0</v>
      </c>
    </row>
    <row r="110" spans="1:9" ht="50.4" x14ac:dyDescent="0.45">
      <c r="A110" s="173" t="s">
        <v>4799</v>
      </c>
      <c r="B110" s="171"/>
      <c r="C110" s="106" t="s">
        <v>735</v>
      </c>
      <c r="D110" s="189" t="s">
        <v>736</v>
      </c>
      <c r="E110" s="166"/>
      <c r="F110" s="171" t="s">
        <v>472</v>
      </c>
      <c r="G110" s="171">
        <v>5</v>
      </c>
      <c r="H110" s="168">
        <f t="shared" si="4"/>
        <v>0</v>
      </c>
    </row>
    <row r="111" spans="1:9" ht="63" x14ac:dyDescent="0.45">
      <c r="A111" s="173" t="s">
        <v>4800</v>
      </c>
      <c r="B111" s="171"/>
      <c r="C111" s="106" t="s">
        <v>738</v>
      </c>
      <c r="D111" s="189" t="s">
        <v>739</v>
      </c>
      <c r="E111" s="166"/>
      <c r="F111" s="171" t="s">
        <v>472</v>
      </c>
      <c r="G111" s="171">
        <v>3</v>
      </c>
      <c r="H111" s="168">
        <f t="shared" si="4"/>
        <v>0</v>
      </c>
    </row>
    <row r="112" spans="1:9" s="183" customFormat="1" ht="63" x14ac:dyDescent="0.45">
      <c r="A112" s="173" t="s">
        <v>4801</v>
      </c>
      <c r="B112" s="185"/>
      <c r="C112" s="216" t="s">
        <v>741</v>
      </c>
      <c r="D112" s="216" t="s">
        <v>742</v>
      </c>
      <c r="E112" s="166"/>
      <c r="F112" s="185" t="s">
        <v>472</v>
      </c>
      <c r="G112" s="217">
        <v>10</v>
      </c>
      <c r="H112" s="168">
        <f t="shared" si="4"/>
        <v>0</v>
      </c>
    </row>
    <row r="113" spans="1:8" x14ac:dyDescent="0.45">
      <c r="A113" s="306" t="s">
        <v>4802</v>
      </c>
      <c r="B113" s="184" t="s">
        <v>180</v>
      </c>
      <c r="C113" s="120"/>
      <c r="D113" s="170"/>
      <c r="E113" s="142"/>
      <c r="F113" s="172"/>
      <c r="G113" s="168"/>
      <c r="H113" s="142"/>
    </row>
    <row r="114" spans="1:8" ht="13" customHeight="1" x14ac:dyDescent="0.45">
      <c r="A114" s="310"/>
      <c r="B114" s="159">
        <v>1503050</v>
      </c>
      <c r="C114" s="159"/>
      <c r="D114" s="159" t="s">
        <v>127</v>
      </c>
      <c r="E114" s="159"/>
      <c r="F114" s="209"/>
      <c r="G114" s="210"/>
      <c r="H114" s="163"/>
    </row>
    <row r="115" spans="1:8" ht="88.2" x14ac:dyDescent="0.45">
      <c r="A115" s="306" t="s">
        <v>4803</v>
      </c>
      <c r="B115" s="118"/>
      <c r="C115" s="184" t="s">
        <v>745</v>
      </c>
      <c r="D115" s="120" t="s">
        <v>746</v>
      </c>
      <c r="E115" s="166"/>
      <c r="F115" s="171" t="s">
        <v>508</v>
      </c>
      <c r="G115" s="172">
        <v>5000</v>
      </c>
      <c r="H115" s="168">
        <f t="shared" ref="H115:H134" si="5">SUM(E115)*G115</f>
        <v>0</v>
      </c>
    </row>
    <row r="116" spans="1:8" ht="63" x14ac:dyDescent="0.45">
      <c r="A116" s="173" t="s">
        <v>4804</v>
      </c>
      <c r="B116" s="171"/>
      <c r="C116" s="106" t="s">
        <v>748</v>
      </c>
      <c r="D116" s="106" t="s">
        <v>749</v>
      </c>
      <c r="E116" s="166"/>
      <c r="F116" s="171" t="s">
        <v>750</v>
      </c>
      <c r="G116" s="172">
        <v>1500</v>
      </c>
      <c r="H116" s="168">
        <f t="shared" si="5"/>
        <v>0</v>
      </c>
    </row>
    <row r="117" spans="1:8" ht="37.799999999999997" x14ac:dyDescent="0.45">
      <c r="A117" s="173" t="s">
        <v>4805</v>
      </c>
      <c r="B117" s="171"/>
      <c r="C117" s="106" t="s">
        <v>752</v>
      </c>
      <c r="D117" s="106" t="s">
        <v>753</v>
      </c>
      <c r="E117" s="166"/>
      <c r="F117" s="171" t="s">
        <v>508</v>
      </c>
      <c r="G117" s="172">
        <v>5000</v>
      </c>
      <c r="H117" s="168">
        <f t="shared" si="5"/>
        <v>0</v>
      </c>
    </row>
    <row r="118" spans="1:8" ht="63" x14ac:dyDescent="0.45">
      <c r="A118" s="173" t="s">
        <v>4806</v>
      </c>
      <c r="B118" s="171"/>
      <c r="C118" s="106" t="s">
        <v>755</v>
      </c>
      <c r="D118" s="106" t="s">
        <v>756</v>
      </c>
      <c r="E118" s="166"/>
      <c r="F118" s="171" t="s">
        <v>508</v>
      </c>
      <c r="G118" s="172">
        <v>5000</v>
      </c>
      <c r="H118" s="168">
        <f t="shared" si="5"/>
        <v>0</v>
      </c>
    </row>
    <row r="119" spans="1:8" ht="88.2" x14ac:dyDescent="0.45">
      <c r="A119" s="173" t="s">
        <v>4807</v>
      </c>
      <c r="B119" s="171"/>
      <c r="C119" s="106" t="s">
        <v>758</v>
      </c>
      <c r="D119" s="106" t="s">
        <v>759</v>
      </c>
      <c r="E119" s="166"/>
      <c r="F119" s="171" t="s">
        <v>472</v>
      </c>
      <c r="G119" s="172">
        <v>75</v>
      </c>
      <c r="H119" s="168">
        <f t="shared" si="5"/>
        <v>0</v>
      </c>
    </row>
    <row r="120" spans="1:8" ht="88.2" x14ac:dyDescent="0.45">
      <c r="A120" s="173" t="s">
        <v>4808</v>
      </c>
      <c r="B120" s="171"/>
      <c r="C120" s="106" t="s">
        <v>761</v>
      </c>
      <c r="D120" s="106" t="s">
        <v>759</v>
      </c>
      <c r="E120" s="166"/>
      <c r="F120" s="171" t="s">
        <v>750</v>
      </c>
      <c r="G120" s="172">
        <v>1000</v>
      </c>
      <c r="H120" s="168">
        <f t="shared" si="5"/>
        <v>0</v>
      </c>
    </row>
    <row r="121" spans="1:8" ht="151.19999999999999" x14ac:dyDescent="0.45">
      <c r="A121" s="173" t="s">
        <v>4809</v>
      </c>
      <c r="B121" s="171"/>
      <c r="C121" s="106" t="s">
        <v>763</v>
      </c>
      <c r="D121" s="106" t="s">
        <v>764</v>
      </c>
      <c r="E121" s="166"/>
      <c r="F121" s="171" t="s">
        <v>472</v>
      </c>
      <c r="G121" s="171">
        <v>75</v>
      </c>
      <c r="H121" s="168">
        <f t="shared" si="5"/>
        <v>0</v>
      </c>
    </row>
    <row r="122" spans="1:8" ht="151.19999999999999" x14ac:dyDescent="0.45">
      <c r="A122" s="173" t="s">
        <v>4810</v>
      </c>
      <c r="B122" s="171"/>
      <c r="C122" s="106" t="s">
        <v>766</v>
      </c>
      <c r="D122" s="106" t="s">
        <v>764</v>
      </c>
      <c r="E122" s="166"/>
      <c r="F122" s="171" t="s">
        <v>472</v>
      </c>
      <c r="G122" s="171">
        <v>75</v>
      </c>
      <c r="H122" s="168">
        <f t="shared" si="5"/>
        <v>0</v>
      </c>
    </row>
    <row r="123" spans="1:8" ht="63" x14ac:dyDescent="0.45">
      <c r="A123" s="173" t="s">
        <v>4811</v>
      </c>
      <c r="B123" s="171"/>
      <c r="C123" s="106" t="s">
        <v>768</v>
      </c>
      <c r="D123" s="106" t="s">
        <v>769</v>
      </c>
      <c r="E123" s="166"/>
      <c r="F123" s="171" t="s">
        <v>472</v>
      </c>
      <c r="G123" s="171">
        <v>13</v>
      </c>
      <c r="H123" s="168">
        <f t="shared" si="5"/>
        <v>0</v>
      </c>
    </row>
    <row r="124" spans="1:8" ht="63" x14ac:dyDescent="0.45">
      <c r="A124" s="173" t="s">
        <v>4812</v>
      </c>
      <c r="B124" s="171"/>
      <c r="C124" s="106" t="s">
        <v>771</v>
      </c>
      <c r="D124" s="106" t="s">
        <v>772</v>
      </c>
      <c r="E124" s="166"/>
      <c r="F124" s="171" t="s">
        <v>472</v>
      </c>
      <c r="G124" s="171">
        <v>25</v>
      </c>
      <c r="H124" s="168">
        <f t="shared" si="5"/>
        <v>0</v>
      </c>
    </row>
    <row r="125" spans="1:8" ht="63" x14ac:dyDescent="0.45">
      <c r="A125" s="173" t="s">
        <v>4813</v>
      </c>
      <c r="B125" s="171"/>
      <c r="C125" s="106" t="s">
        <v>774</v>
      </c>
      <c r="D125" s="106" t="s">
        <v>772</v>
      </c>
      <c r="E125" s="166"/>
      <c r="F125" s="171" t="s">
        <v>472</v>
      </c>
      <c r="G125" s="171">
        <v>25</v>
      </c>
      <c r="H125" s="168">
        <f t="shared" si="5"/>
        <v>0</v>
      </c>
    </row>
    <row r="126" spans="1:8" ht="50.4" x14ac:dyDescent="0.45">
      <c r="A126" s="173" t="s">
        <v>4814</v>
      </c>
      <c r="B126" s="171"/>
      <c r="C126" s="106" t="s">
        <v>776</v>
      </c>
      <c r="D126" s="106" t="s">
        <v>777</v>
      </c>
      <c r="E126" s="166"/>
      <c r="F126" s="171" t="s">
        <v>472</v>
      </c>
      <c r="G126" s="171">
        <v>50</v>
      </c>
      <c r="H126" s="168">
        <f t="shared" si="5"/>
        <v>0</v>
      </c>
    </row>
    <row r="127" spans="1:8" ht="113.4" x14ac:dyDescent="0.45">
      <c r="A127" s="173" t="s">
        <v>4815</v>
      </c>
      <c r="B127" s="171"/>
      <c r="C127" s="106" t="s">
        <v>779</v>
      </c>
      <c r="D127" s="106" t="s">
        <v>780</v>
      </c>
      <c r="E127" s="166"/>
      <c r="F127" s="171" t="s">
        <v>472</v>
      </c>
      <c r="G127" s="171">
        <v>75</v>
      </c>
      <c r="H127" s="168">
        <f t="shared" si="5"/>
        <v>0</v>
      </c>
    </row>
    <row r="128" spans="1:8" ht="113.4" x14ac:dyDescent="0.45">
      <c r="A128" s="173" t="s">
        <v>4816</v>
      </c>
      <c r="B128" s="171"/>
      <c r="C128" s="106" t="s">
        <v>782</v>
      </c>
      <c r="D128" s="106" t="s">
        <v>783</v>
      </c>
      <c r="E128" s="166"/>
      <c r="F128" s="171" t="s">
        <v>472</v>
      </c>
      <c r="G128" s="171">
        <v>75</v>
      </c>
      <c r="H128" s="168">
        <f t="shared" si="5"/>
        <v>0</v>
      </c>
    </row>
    <row r="129" spans="1:8" ht="100.8" x14ac:dyDescent="0.45">
      <c r="A129" s="173" t="s">
        <v>4817</v>
      </c>
      <c r="B129" s="171"/>
      <c r="C129" s="106" t="s">
        <v>785</v>
      </c>
      <c r="D129" s="106" t="s">
        <v>786</v>
      </c>
      <c r="E129" s="166"/>
      <c r="F129" s="171" t="s">
        <v>472</v>
      </c>
      <c r="G129" s="171">
        <v>75</v>
      </c>
      <c r="H129" s="168">
        <f t="shared" si="5"/>
        <v>0</v>
      </c>
    </row>
    <row r="130" spans="1:8" ht="75.599999999999994" x14ac:dyDescent="0.45">
      <c r="A130" s="173" t="s">
        <v>4818</v>
      </c>
      <c r="B130" s="171"/>
      <c r="C130" s="106" t="s">
        <v>788</v>
      </c>
      <c r="D130" s="106" t="s">
        <v>789</v>
      </c>
      <c r="E130" s="166"/>
      <c r="F130" s="171" t="s">
        <v>508</v>
      </c>
      <c r="G130" s="171">
        <v>2500</v>
      </c>
      <c r="H130" s="168">
        <f t="shared" si="5"/>
        <v>0</v>
      </c>
    </row>
    <row r="131" spans="1:8" ht="88.2" x14ac:dyDescent="0.45">
      <c r="A131" s="173" t="s">
        <v>4819</v>
      </c>
      <c r="B131" s="171"/>
      <c r="C131" s="106" t="s">
        <v>791</v>
      </c>
      <c r="D131" s="106" t="s">
        <v>792</v>
      </c>
      <c r="E131" s="166"/>
      <c r="F131" s="171" t="s">
        <v>508</v>
      </c>
      <c r="G131" s="171">
        <v>875</v>
      </c>
      <c r="H131" s="168">
        <f t="shared" si="5"/>
        <v>0</v>
      </c>
    </row>
    <row r="132" spans="1:8" ht="75.599999999999994" x14ac:dyDescent="0.45">
      <c r="A132" s="173" t="s">
        <v>4820</v>
      </c>
      <c r="B132" s="171"/>
      <c r="C132" s="106" t="s">
        <v>794</v>
      </c>
      <c r="D132" s="106" t="s">
        <v>795</v>
      </c>
      <c r="E132" s="166"/>
      <c r="F132" s="171" t="s">
        <v>508</v>
      </c>
      <c r="G132" s="171">
        <v>3000</v>
      </c>
      <c r="H132" s="168">
        <f t="shared" si="5"/>
        <v>0</v>
      </c>
    </row>
    <row r="133" spans="1:8" ht="75.599999999999994" x14ac:dyDescent="0.45">
      <c r="A133" s="173" t="s">
        <v>4821</v>
      </c>
      <c r="B133" s="171"/>
      <c r="C133" s="106" t="s">
        <v>797</v>
      </c>
      <c r="D133" s="106" t="s">
        <v>798</v>
      </c>
      <c r="E133" s="166"/>
      <c r="F133" s="171" t="s">
        <v>682</v>
      </c>
      <c r="G133" s="171">
        <v>225</v>
      </c>
      <c r="H133" s="168">
        <f t="shared" si="5"/>
        <v>0</v>
      </c>
    </row>
    <row r="134" spans="1:8" ht="75.599999999999994" x14ac:dyDescent="0.45">
      <c r="A134" s="173" t="s">
        <v>4822</v>
      </c>
      <c r="B134" s="171"/>
      <c r="C134" s="106" t="s">
        <v>800</v>
      </c>
      <c r="D134" s="106" t="s">
        <v>801</v>
      </c>
      <c r="E134" s="166"/>
      <c r="F134" s="171" t="s">
        <v>508</v>
      </c>
      <c r="G134" s="172">
        <v>6000</v>
      </c>
      <c r="H134" s="168">
        <f t="shared" si="5"/>
        <v>0</v>
      </c>
    </row>
    <row r="135" spans="1:8" x14ac:dyDescent="0.45">
      <c r="A135" s="306" t="s">
        <v>4823</v>
      </c>
      <c r="B135" s="184" t="s">
        <v>180</v>
      </c>
      <c r="D135" s="120"/>
      <c r="E135" s="142"/>
      <c r="F135" s="171"/>
      <c r="G135" s="172"/>
      <c r="H135" s="168"/>
    </row>
    <row r="136" spans="1:8" x14ac:dyDescent="0.45">
      <c r="A136" s="310"/>
      <c r="B136" s="159">
        <v>1503060</v>
      </c>
      <c r="C136" s="159"/>
      <c r="D136" s="159" t="s">
        <v>138</v>
      </c>
      <c r="E136" s="159"/>
      <c r="F136" s="159"/>
      <c r="G136" s="210"/>
      <c r="H136" s="163"/>
    </row>
    <row r="137" spans="1:8" ht="113.4" x14ac:dyDescent="0.45">
      <c r="A137" s="173" t="s">
        <v>4824</v>
      </c>
      <c r="B137" s="171"/>
      <c r="C137" s="106" t="s">
        <v>138</v>
      </c>
      <c r="D137" s="106" t="s">
        <v>804</v>
      </c>
      <c r="E137" s="166"/>
      <c r="F137" s="171" t="s">
        <v>508</v>
      </c>
      <c r="G137" s="172">
        <v>400000</v>
      </c>
      <c r="H137" s="168">
        <f>SUM(E137)*G137</f>
        <v>0</v>
      </c>
    </row>
    <row r="138" spans="1:8" ht="88.2" x14ac:dyDescent="0.45">
      <c r="A138" s="173" t="s">
        <v>4825</v>
      </c>
      <c r="B138" s="171"/>
      <c r="C138" s="106" t="s">
        <v>806</v>
      </c>
      <c r="D138" s="106" t="s">
        <v>807</v>
      </c>
      <c r="E138" s="166"/>
      <c r="F138" s="171" t="s">
        <v>508</v>
      </c>
      <c r="G138" s="172">
        <v>6500</v>
      </c>
      <c r="H138" s="168">
        <f>SUM(E138)*G138</f>
        <v>0</v>
      </c>
    </row>
    <row r="139" spans="1:8" x14ac:dyDescent="0.45">
      <c r="A139" s="306" t="s">
        <v>4826</v>
      </c>
      <c r="B139" s="184" t="s">
        <v>180</v>
      </c>
      <c r="D139" s="120"/>
      <c r="E139" s="142"/>
      <c r="F139" s="171"/>
      <c r="G139" s="172"/>
      <c r="H139" s="168"/>
    </row>
    <row r="140" spans="1:8" ht="13" customHeight="1" x14ac:dyDescent="0.45">
      <c r="A140" s="310"/>
      <c r="B140" s="159">
        <v>1700000</v>
      </c>
      <c r="C140" s="159"/>
      <c r="D140" s="159" t="s">
        <v>171</v>
      </c>
      <c r="E140" s="159"/>
      <c r="F140" s="159"/>
      <c r="G140" s="210"/>
      <c r="H140" s="163"/>
    </row>
    <row r="141" spans="1:8" ht="75.599999999999994" x14ac:dyDescent="0.45">
      <c r="A141" s="173" t="s">
        <v>4827</v>
      </c>
      <c r="B141" s="171"/>
      <c r="C141" s="106" t="s">
        <v>810</v>
      </c>
      <c r="D141" s="106" t="s">
        <v>811</v>
      </c>
      <c r="E141" s="166"/>
      <c r="F141" s="171" t="s">
        <v>633</v>
      </c>
      <c r="G141" s="171">
        <v>23</v>
      </c>
      <c r="H141" s="168">
        <f>SUM(E141)*G141</f>
        <v>0</v>
      </c>
    </row>
    <row r="142" spans="1:8" ht="75.599999999999994" x14ac:dyDescent="0.45">
      <c r="A142" s="173" t="s">
        <v>4828</v>
      </c>
      <c r="B142" s="171"/>
      <c r="C142" s="106" t="s">
        <v>813</v>
      </c>
      <c r="D142" s="106" t="s">
        <v>814</v>
      </c>
      <c r="E142" s="166"/>
      <c r="F142" s="171" t="s">
        <v>633</v>
      </c>
      <c r="G142" s="171">
        <v>23</v>
      </c>
      <c r="H142" s="168">
        <f>SUM(E142)*G142</f>
        <v>0</v>
      </c>
    </row>
    <row r="143" spans="1:8" x14ac:dyDescent="0.45">
      <c r="A143" s="306" t="s">
        <v>4829</v>
      </c>
      <c r="B143" s="184" t="s">
        <v>180</v>
      </c>
      <c r="D143" s="120"/>
      <c r="E143" s="142"/>
      <c r="F143" s="171"/>
      <c r="G143" s="172"/>
      <c r="H143" s="220"/>
    </row>
    <row r="144" spans="1:8" ht="13" customHeight="1" x14ac:dyDescent="0.45">
      <c r="A144" s="310"/>
      <c r="B144" s="159">
        <v>1800000</v>
      </c>
      <c r="C144" s="159"/>
      <c r="D144" s="159" t="s">
        <v>174</v>
      </c>
      <c r="E144" s="159"/>
      <c r="F144" s="209"/>
      <c r="G144" s="210"/>
      <c r="H144" s="163"/>
    </row>
    <row r="145" spans="1:8" ht="176.4" x14ac:dyDescent="0.45">
      <c r="A145" s="173" t="s">
        <v>4830</v>
      </c>
      <c r="B145" s="171"/>
      <c r="C145" s="186" t="s">
        <v>817</v>
      </c>
      <c r="D145" s="186" t="s">
        <v>818</v>
      </c>
      <c r="E145" s="166"/>
      <c r="F145" s="171" t="s">
        <v>472</v>
      </c>
      <c r="G145" s="171">
        <v>13</v>
      </c>
      <c r="H145" s="168">
        <f t="shared" ref="H145:H208" si="6">SUM(E145)*G145</f>
        <v>0</v>
      </c>
    </row>
    <row r="146" spans="1:8" ht="176.4" x14ac:dyDescent="0.45">
      <c r="A146" s="173" t="s">
        <v>4831</v>
      </c>
      <c r="B146" s="171"/>
      <c r="C146" s="186" t="s">
        <v>820</v>
      </c>
      <c r="D146" s="186" t="s">
        <v>818</v>
      </c>
      <c r="E146" s="166"/>
      <c r="F146" s="171" t="s">
        <v>472</v>
      </c>
      <c r="G146" s="171">
        <v>10</v>
      </c>
      <c r="H146" s="168">
        <f t="shared" si="6"/>
        <v>0</v>
      </c>
    </row>
    <row r="147" spans="1:8" ht="176.4" x14ac:dyDescent="0.45">
      <c r="A147" s="173" t="s">
        <v>4832</v>
      </c>
      <c r="B147" s="171"/>
      <c r="C147" s="106" t="s">
        <v>822</v>
      </c>
      <c r="D147" s="106" t="s">
        <v>823</v>
      </c>
      <c r="E147" s="166"/>
      <c r="F147" s="171" t="s">
        <v>472</v>
      </c>
      <c r="G147" s="171">
        <v>3</v>
      </c>
      <c r="H147" s="168">
        <f t="shared" si="6"/>
        <v>0</v>
      </c>
    </row>
    <row r="148" spans="1:8" ht="176.4" x14ac:dyDescent="0.45">
      <c r="A148" s="173" t="s">
        <v>4833</v>
      </c>
      <c r="B148" s="171"/>
      <c r="C148" s="106" t="s">
        <v>825</v>
      </c>
      <c r="D148" s="106" t="s">
        <v>823</v>
      </c>
      <c r="E148" s="166"/>
      <c r="F148" s="171" t="s">
        <v>472</v>
      </c>
      <c r="G148" s="172">
        <v>1</v>
      </c>
      <c r="H148" s="168">
        <f t="shared" si="6"/>
        <v>0</v>
      </c>
    </row>
    <row r="149" spans="1:8" ht="176.4" x14ac:dyDescent="0.45">
      <c r="A149" s="173" t="s">
        <v>4834</v>
      </c>
      <c r="B149" s="171"/>
      <c r="C149" s="106" t="s">
        <v>827</v>
      </c>
      <c r="D149" s="106" t="s">
        <v>828</v>
      </c>
      <c r="E149" s="166"/>
      <c r="F149" s="171" t="s">
        <v>472</v>
      </c>
      <c r="G149" s="172">
        <v>1</v>
      </c>
      <c r="H149" s="168">
        <f t="shared" si="6"/>
        <v>0</v>
      </c>
    </row>
    <row r="150" spans="1:8" ht="50.4" x14ac:dyDescent="0.45">
      <c r="A150" s="173" t="s">
        <v>4835</v>
      </c>
      <c r="B150" s="171"/>
      <c r="C150" s="106" t="s">
        <v>830</v>
      </c>
      <c r="D150" s="106" t="s">
        <v>831</v>
      </c>
      <c r="E150" s="166"/>
      <c r="F150" s="171" t="s">
        <v>543</v>
      </c>
      <c r="G150" s="172">
        <v>16500</v>
      </c>
      <c r="H150" s="168">
        <f t="shared" si="6"/>
        <v>0</v>
      </c>
    </row>
    <row r="151" spans="1:8" ht="63" x14ac:dyDescent="0.45">
      <c r="A151" s="173" t="s">
        <v>4836</v>
      </c>
      <c r="B151" s="171"/>
      <c r="C151" s="186" t="s">
        <v>833</v>
      </c>
      <c r="D151" s="186" t="s">
        <v>1436</v>
      </c>
      <c r="E151" s="166"/>
      <c r="F151" s="171" t="s">
        <v>543</v>
      </c>
      <c r="G151" s="172">
        <v>1200</v>
      </c>
      <c r="H151" s="168">
        <f t="shared" si="6"/>
        <v>0</v>
      </c>
    </row>
    <row r="152" spans="1:8" ht="63" x14ac:dyDescent="0.45">
      <c r="A152" s="173" t="s">
        <v>4837</v>
      </c>
      <c r="B152" s="171"/>
      <c r="C152" s="186" t="s">
        <v>835</v>
      </c>
      <c r="D152" s="186" t="s">
        <v>1438</v>
      </c>
      <c r="E152" s="166"/>
      <c r="F152" s="171" t="s">
        <v>543</v>
      </c>
      <c r="G152" s="172">
        <v>3500</v>
      </c>
      <c r="H152" s="168">
        <f t="shared" si="6"/>
        <v>0</v>
      </c>
    </row>
    <row r="153" spans="1:8" ht="63" x14ac:dyDescent="0.45">
      <c r="A153" s="173" t="s">
        <v>4838</v>
      </c>
      <c r="B153" s="171"/>
      <c r="C153" s="186" t="s">
        <v>837</v>
      </c>
      <c r="D153" s="186" t="s">
        <v>1440</v>
      </c>
      <c r="E153" s="166"/>
      <c r="F153" s="171" t="s">
        <v>543</v>
      </c>
      <c r="G153" s="172">
        <v>875</v>
      </c>
      <c r="H153" s="168">
        <f t="shared" si="6"/>
        <v>0</v>
      </c>
    </row>
    <row r="154" spans="1:8" ht="63" x14ac:dyDescent="0.45">
      <c r="A154" s="173" t="s">
        <v>4839</v>
      </c>
      <c r="B154" s="171"/>
      <c r="C154" s="186" t="s">
        <v>839</v>
      </c>
      <c r="D154" s="186" t="s">
        <v>1442</v>
      </c>
      <c r="E154" s="166"/>
      <c r="F154" s="171" t="s">
        <v>543</v>
      </c>
      <c r="G154" s="172">
        <v>150</v>
      </c>
      <c r="H154" s="168">
        <f t="shared" si="6"/>
        <v>0</v>
      </c>
    </row>
    <row r="155" spans="1:8" ht="63" x14ac:dyDescent="0.45">
      <c r="A155" s="173" t="s">
        <v>4840</v>
      </c>
      <c r="B155" s="171"/>
      <c r="C155" s="186" t="s">
        <v>841</v>
      </c>
      <c r="D155" s="186" t="s">
        <v>1444</v>
      </c>
      <c r="E155" s="166"/>
      <c r="F155" s="171" t="s">
        <v>543</v>
      </c>
      <c r="G155" s="172">
        <v>2940</v>
      </c>
      <c r="H155" s="168">
        <f t="shared" si="6"/>
        <v>0</v>
      </c>
    </row>
    <row r="156" spans="1:8" ht="63" x14ac:dyDescent="0.45">
      <c r="A156" s="173" t="s">
        <v>4841</v>
      </c>
      <c r="B156" s="171"/>
      <c r="C156" s="186" t="s">
        <v>843</v>
      </c>
      <c r="D156" s="186" t="s">
        <v>1446</v>
      </c>
      <c r="E156" s="166"/>
      <c r="F156" s="171" t="s">
        <v>543</v>
      </c>
      <c r="G156" s="172">
        <v>5010</v>
      </c>
      <c r="H156" s="168">
        <f t="shared" si="6"/>
        <v>0</v>
      </c>
    </row>
    <row r="157" spans="1:8" ht="63" x14ac:dyDescent="0.45">
      <c r="A157" s="173" t="s">
        <v>4842</v>
      </c>
      <c r="B157" s="171"/>
      <c r="C157" s="186" t="s">
        <v>845</v>
      </c>
      <c r="D157" s="186" t="s">
        <v>1438</v>
      </c>
      <c r="E157" s="166"/>
      <c r="F157" s="171" t="s">
        <v>543</v>
      </c>
      <c r="G157" s="172">
        <v>1500</v>
      </c>
      <c r="H157" s="168">
        <f t="shared" si="6"/>
        <v>0</v>
      </c>
    </row>
    <row r="158" spans="1:8" ht="63" x14ac:dyDescent="0.45">
      <c r="A158" s="173" t="s">
        <v>4843</v>
      </c>
      <c r="B158" s="171"/>
      <c r="C158" s="186" t="s">
        <v>837</v>
      </c>
      <c r="D158" s="186" t="s">
        <v>1440</v>
      </c>
      <c r="E158" s="166"/>
      <c r="F158" s="171" t="s">
        <v>543</v>
      </c>
      <c r="G158" s="172">
        <v>375</v>
      </c>
      <c r="H158" s="168">
        <f t="shared" si="6"/>
        <v>0</v>
      </c>
    </row>
    <row r="159" spans="1:8" ht="63" x14ac:dyDescent="0.45">
      <c r="A159" s="173" t="s">
        <v>4844</v>
      </c>
      <c r="B159" s="171"/>
      <c r="C159" s="186" t="s">
        <v>839</v>
      </c>
      <c r="D159" s="186" t="s">
        <v>1442</v>
      </c>
      <c r="E159" s="166"/>
      <c r="F159" s="171" t="s">
        <v>543</v>
      </c>
      <c r="G159" s="172">
        <v>63</v>
      </c>
      <c r="H159" s="168">
        <f t="shared" si="6"/>
        <v>0</v>
      </c>
    </row>
    <row r="160" spans="1:8" ht="63" x14ac:dyDescent="0.45">
      <c r="A160" s="173" t="s">
        <v>4845</v>
      </c>
      <c r="B160" s="171"/>
      <c r="C160" s="186" t="s">
        <v>849</v>
      </c>
      <c r="D160" s="186" t="s">
        <v>1451</v>
      </c>
      <c r="E160" s="166"/>
      <c r="F160" s="171" t="s">
        <v>543</v>
      </c>
      <c r="G160" s="172">
        <v>10254</v>
      </c>
      <c r="H160" s="168">
        <f t="shared" si="6"/>
        <v>0</v>
      </c>
    </row>
    <row r="161" spans="1:8" ht="50.4" x14ac:dyDescent="0.45">
      <c r="A161" s="173" t="s">
        <v>4846</v>
      </c>
      <c r="B161" s="171"/>
      <c r="C161" s="106" t="s">
        <v>851</v>
      </c>
      <c r="D161" s="106" t="s">
        <v>852</v>
      </c>
      <c r="E161" s="166"/>
      <c r="F161" s="171" t="s">
        <v>543</v>
      </c>
      <c r="G161" s="172">
        <v>7500</v>
      </c>
      <c r="H161" s="168">
        <f t="shared" si="6"/>
        <v>0</v>
      </c>
    </row>
    <row r="162" spans="1:8" ht="63" x14ac:dyDescent="0.45">
      <c r="A162" s="173" t="s">
        <v>4847</v>
      </c>
      <c r="B162" s="171"/>
      <c r="C162" s="106" t="s">
        <v>854</v>
      </c>
      <c r="D162" s="106" t="s">
        <v>855</v>
      </c>
      <c r="E162" s="166"/>
      <c r="F162" s="171" t="s">
        <v>472</v>
      </c>
      <c r="G162" s="171">
        <v>5</v>
      </c>
      <c r="H162" s="168">
        <f t="shared" si="6"/>
        <v>0</v>
      </c>
    </row>
    <row r="163" spans="1:8" ht="63" x14ac:dyDescent="0.45">
      <c r="A163" s="173" t="s">
        <v>4848</v>
      </c>
      <c r="B163" s="171"/>
      <c r="C163" s="106" t="s">
        <v>857</v>
      </c>
      <c r="D163" s="184" t="s">
        <v>858</v>
      </c>
      <c r="E163" s="166"/>
      <c r="F163" s="171" t="s">
        <v>543</v>
      </c>
      <c r="G163" s="172">
        <v>16500</v>
      </c>
      <c r="H163" s="168">
        <f t="shared" si="6"/>
        <v>0</v>
      </c>
    </row>
    <row r="164" spans="1:8" ht="63" x14ac:dyDescent="0.45">
      <c r="A164" s="173" t="s">
        <v>4849</v>
      </c>
      <c r="B164" s="171"/>
      <c r="C164" s="106" t="s">
        <v>860</v>
      </c>
      <c r="D164" s="184" t="s">
        <v>861</v>
      </c>
      <c r="E164" s="166"/>
      <c r="F164" s="171" t="s">
        <v>543</v>
      </c>
      <c r="G164" s="172">
        <v>19500</v>
      </c>
      <c r="H164" s="168">
        <f t="shared" si="6"/>
        <v>0</v>
      </c>
    </row>
    <row r="165" spans="1:8" ht="37.799999999999997" x14ac:dyDescent="0.45">
      <c r="A165" s="173" t="s">
        <v>4850</v>
      </c>
      <c r="B165" s="171"/>
      <c r="C165" s="106" t="s">
        <v>863</v>
      </c>
      <c r="D165" s="106" t="s">
        <v>864</v>
      </c>
      <c r="E165" s="166"/>
      <c r="F165" s="171" t="s">
        <v>472</v>
      </c>
      <c r="G165" s="171">
        <v>5</v>
      </c>
      <c r="H165" s="168">
        <f t="shared" si="6"/>
        <v>0</v>
      </c>
    </row>
    <row r="166" spans="1:8" ht="37.799999999999997" x14ac:dyDescent="0.45">
      <c r="A166" s="173" t="s">
        <v>4851</v>
      </c>
      <c r="B166" s="171"/>
      <c r="C166" s="106" t="s">
        <v>866</v>
      </c>
      <c r="D166" s="106" t="s">
        <v>864</v>
      </c>
      <c r="E166" s="166"/>
      <c r="F166" s="171" t="s">
        <v>472</v>
      </c>
      <c r="G166" s="171">
        <v>5</v>
      </c>
      <c r="H166" s="168">
        <f t="shared" si="6"/>
        <v>0</v>
      </c>
    </row>
    <row r="167" spans="1:8" ht="37.799999999999997" x14ac:dyDescent="0.45">
      <c r="A167" s="173" t="s">
        <v>4852</v>
      </c>
      <c r="B167" s="171"/>
      <c r="C167" s="106" t="s">
        <v>868</v>
      </c>
      <c r="D167" s="106" t="s">
        <v>869</v>
      </c>
      <c r="E167" s="166"/>
      <c r="F167" s="171" t="s">
        <v>472</v>
      </c>
      <c r="G167" s="171">
        <v>5</v>
      </c>
      <c r="H167" s="168">
        <f t="shared" si="6"/>
        <v>0</v>
      </c>
    </row>
    <row r="168" spans="1:8" ht="37.799999999999997" x14ac:dyDescent="0.45">
      <c r="A168" s="173" t="s">
        <v>4853</v>
      </c>
      <c r="B168" s="171"/>
      <c r="C168" s="106" t="s">
        <v>871</v>
      </c>
      <c r="D168" s="106" t="s">
        <v>869</v>
      </c>
      <c r="E168" s="166"/>
      <c r="F168" s="171" t="s">
        <v>472</v>
      </c>
      <c r="G168" s="171">
        <v>5</v>
      </c>
      <c r="H168" s="168">
        <f t="shared" si="6"/>
        <v>0</v>
      </c>
    </row>
    <row r="169" spans="1:8" ht="37.799999999999997" x14ac:dyDescent="0.45">
      <c r="A169" s="173" t="s">
        <v>4854</v>
      </c>
      <c r="B169" s="171"/>
      <c r="C169" s="106" t="s">
        <v>873</v>
      </c>
      <c r="D169" s="106" t="s">
        <v>864</v>
      </c>
      <c r="E169" s="166"/>
      <c r="F169" s="171" t="s">
        <v>472</v>
      </c>
      <c r="G169" s="171">
        <v>5</v>
      </c>
      <c r="H169" s="168">
        <f t="shared" si="6"/>
        <v>0</v>
      </c>
    </row>
    <row r="170" spans="1:8" ht="37.799999999999997" x14ac:dyDescent="0.45">
      <c r="A170" s="173" t="s">
        <v>4855</v>
      </c>
      <c r="B170" s="171"/>
      <c r="C170" s="106" t="s">
        <v>875</v>
      </c>
      <c r="D170" s="106" t="s">
        <v>864</v>
      </c>
      <c r="E170" s="166"/>
      <c r="F170" s="171" t="s">
        <v>472</v>
      </c>
      <c r="G170" s="171">
        <v>5</v>
      </c>
      <c r="H170" s="168">
        <f t="shared" si="6"/>
        <v>0</v>
      </c>
    </row>
    <row r="171" spans="1:8" ht="37.799999999999997" x14ac:dyDescent="0.45">
      <c r="A171" s="173" t="s">
        <v>4856</v>
      </c>
      <c r="B171" s="171"/>
      <c r="C171" s="106" t="s">
        <v>877</v>
      </c>
      <c r="D171" s="106" t="s">
        <v>864</v>
      </c>
      <c r="E171" s="166"/>
      <c r="F171" s="171" t="s">
        <v>472</v>
      </c>
      <c r="G171" s="171">
        <v>5</v>
      </c>
      <c r="H171" s="168">
        <f t="shared" si="6"/>
        <v>0</v>
      </c>
    </row>
    <row r="172" spans="1:8" ht="37.799999999999997" x14ac:dyDescent="0.45">
      <c r="A172" s="173" t="s">
        <v>4857</v>
      </c>
      <c r="B172" s="171"/>
      <c r="C172" s="106" t="s">
        <v>879</v>
      </c>
      <c r="D172" s="106" t="s">
        <v>864</v>
      </c>
      <c r="E172" s="166"/>
      <c r="F172" s="171" t="s">
        <v>472</v>
      </c>
      <c r="G172" s="171">
        <v>5</v>
      </c>
      <c r="H172" s="168">
        <f t="shared" si="6"/>
        <v>0</v>
      </c>
    </row>
    <row r="173" spans="1:8" ht="37.799999999999997" x14ac:dyDescent="0.45">
      <c r="A173" s="173" t="s">
        <v>4858</v>
      </c>
      <c r="B173" s="171"/>
      <c r="C173" s="106" t="s">
        <v>881</v>
      </c>
      <c r="D173" s="106" t="s">
        <v>864</v>
      </c>
      <c r="E173" s="166"/>
      <c r="F173" s="171" t="s">
        <v>472</v>
      </c>
      <c r="G173" s="171">
        <v>5</v>
      </c>
      <c r="H173" s="168">
        <f t="shared" si="6"/>
        <v>0</v>
      </c>
    </row>
    <row r="174" spans="1:8" ht="37.799999999999997" x14ac:dyDescent="0.45">
      <c r="A174" s="173" t="s">
        <v>4859</v>
      </c>
      <c r="B174" s="171"/>
      <c r="C174" s="106" t="s">
        <v>883</v>
      </c>
      <c r="D174" s="106" t="s">
        <v>864</v>
      </c>
      <c r="E174" s="166"/>
      <c r="F174" s="171" t="s">
        <v>472</v>
      </c>
      <c r="G174" s="171">
        <v>5</v>
      </c>
      <c r="H174" s="168">
        <f t="shared" si="6"/>
        <v>0</v>
      </c>
    </row>
    <row r="175" spans="1:8" ht="37.799999999999997" x14ac:dyDescent="0.45">
      <c r="A175" s="173" t="s">
        <v>4860</v>
      </c>
      <c r="B175" s="171"/>
      <c r="C175" s="106" t="s">
        <v>885</v>
      </c>
      <c r="D175" s="106" t="s">
        <v>864</v>
      </c>
      <c r="E175" s="166"/>
      <c r="F175" s="171" t="s">
        <v>472</v>
      </c>
      <c r="G175" s="171">
        <v>5</v>
      </c>
      <c r="H175" s="168">
        <f t="shared" si="6"/>
        <v>0</v>
      </c>
    </row>
    <row r="176" spans="1:8" ht="37.799999999999997" x14ac:dyDescent="0.45">
      <c r="A176" s="173" t="s">
        <v>4861</v>
      </c>
      <c r="B176" s="171"/>
      <c r="C176" s="106" t="s">
        <v>887</v>
      </c>
      <c r="D176" s="106" t="s">
        <v>864</v>
      </c>
      <c r="E176" s="166"/>
      <c r="F176" s="171" t="s">
        <v>472</v>
      </c>
      <c r="G176" s="171">
        <v>5</v>
      </c>
      <c r="H176" s="168">
        <f t="shared" si="6"/>
        <v>0</v>
      </c>
    </row>
    <row r="177" spans="1:8" ht="37.799999999999997" x14ac:dyDescent="0.45">
      <c r="A177" s="173" t="s">
        <v>4862</v>
      </c>
      <c r="B177" s="171"/>
      <c r="C177" s="106" t="s">
        <v>889</v>
      </c>
      <c r="D177" s="106" t="s">
        <v>864</v>
      </c>
      <c r="E177" s="166"/>
      <c r="F177" s="171" t="s">
        <v>472</v>
      </c>
      <c r="G177" s="171">
        <v>5</v>
      </c>
      <c r="H177" s="168">
        <f t="shared" si="6"/>
        <v>0</v>
      </c>
    </row>
    <row r="178" spans="1:8" ht="37.799999999999997" x14ac:dyDescent="0.45">
      <c r="A178" s="173" t="s">
        <v>4863</v>
      </c>
      <c r="B178" s="171"/>
      <c r="C178" s="106" t="s">
        <v>891</v>
      </c>
      <c r="D178" s="106" t="s">
        <v>864</v>
      </c>
      <c r="E178" s="166"/>
      <c r="F178" s="171" t="s">
        <v>472</v>
      </c>
      <c r="G178" s="171">
        <v>5</v>
      </c>
      <c r="H178" s="168">
        <f t="shared" si="6"/>
        <v>0</v>
      </c>
    </row>
    <row r="179" spans="1:8" ht="37.799999999999997" x14ac:dyDescent="0.45">
      <c r="A179" s="173" t="s">
        <v>4864</v>
      </c>
      <c r="B179" s="171"/>
      <c r="C179" s="106" t="s">
        <v>893</v>
      </c>
      <c r="D179" s="106" t="s">
        <v>864</v>
      </c>
      <c r="E179" s="166"/>
      <c r="F179" s="171" t="s">
        <v>472</v>
      </c>
      <c r="G179" s="171">
        <v>5</v>
      </c>
      <c r="H179" s="168">
        <f t="shared" si="6"/>
        <v>0</v>
      </c>
    </row>
    <row r="180" spans="1:8" ht="37.799999999999997" x14ac:dyDescent="0.45">
      <c r="A180" s="173" t="s">
        <v>4865</v>
      </c>
      <c r="B180" s="171"/>
      <c r="C180" s="106" t="s">
        <v>895</v>
      </c>
      <c r="D180" s="106" t="s">
        <v>864</v>
      </c>
      <c r="E180" s="166"/>
      <c r="F180" s="171" t="s">
        <v>472</v>
      </c>
      <c r="G180" s="171">
        <v>5</v>
      </c>
      <c r="H180" s="168">
        <f t="shared" si="6"/>
        <v>0</v>
      </c>
    </row>
    <row r="181" spans="1:8" ht="37.799999999999997" x14ac:dyDescent="0.45">
      <c r="A181" s="173" t="s">
        <v>4866</v>
      </c>
      <c r="B181" s="171"/>
      <c r="C181" s="106" t="s">
        <v>897</v>
      </c>
      <c r="D181" s="106" t="s">
        <v>864</v>
      </c>
      <c r="E181" s="166"/>
      <c r="F181" s="171" t="s">
        <v>472</v>
      </c>
      <c r="G181" s="171">
        <v>5</v>
      </c>
      <c r="H181" s="168">
        <f t="shared" si="6"/>
        <v>0</v>
      </c>
    </row>
    <row r="182" spans="1:8" ht="37.799999999999997" x14ac:dyDescent="0.45">
      <c r="A182" s="173" t="s">
        <v>4867</v>
      </c>
      <c r="B182" s="171"/>
      <c r="C182" s="106" t="s">
        <v>899</v>
      </c>
      <c r="D182" s="106" t="s">
        <v>864</v>
      </c>
      <c r="E182" s="166"/>
      <c r="F182" s="171" t="s">
        <v>472</v>
      </c>
      <c r="G182" s="171">
        <v>5</v>
      </c>
      <c r="H182" s="168">
        <f t="shared" si="6"/>
        <v>0</v>
      </c>
    </row>
    <row r="183" spans="1:8" ht="37.799999999999997" x14ac:dyDescent="0.45">
      <c r="A183" s="173" t="s">
        <v>4868</v>
      </c>
      <c r="B183" s="171"/>
      <c r="C183" s="106" t="s">
        <v>901</v>
      </c>
      <c r="D183" s="106" t="s">
        <v>864</v>
      </c>
      <c r="E183" s="166"/>
      <c r="F183" s="171" t="s">
        <v>472</v>
      </c>
      <c r="G183" s="171">
        <v>5</v>
      </c>
      <c r="H183" s="168">
        <f t="shared" si="6"/>
        <v>0</v>
      </c>
    </row>
    <row r="184" spans="1:8" ht="37.799999999999997" x14ac:dyDescent="0.45">
      <c r="A184" s="173" t="s">
        <v>4869</v>
      </c>
      <c r="B184" s="171"/>
      <c r="C184" s="106" t="s">
        <v>903</v>
      </c>
      <c r="D184" s="106" t="s">
        <v>864</v>
      </c>
      <c r="E184" s="166"/>
      <c r="F184" s="171" t="s">
        <v>472</v>
      </c>
      <c r="G184" s="171">
        <v>5</v>
      </c>
      <c r="H184" s="168">
        <f t="shared" si="6"/>
        <v>0</v>
      </c>
    </row>
    <row r="185" spans="1:8" ht="37.799999999999997" x14ac:dyDescent="0.45">
      <c r="A185" s="173" t="s">
        <v>4870</v>
      </c>
      <c r="B185" s="171"/>
      <c r="C185" s="106" t="s">
        <v>905</v>
      </c>
      <c r="D185" s="106" t="s">
        <v>864</v>
      </c>
      <c r="E185" s="166"/>
      <c r="F185" s="171" t="s">
        <v>472</v>
      </c>
      <c r="G185" s="171">
        <v>5</v>
      </c>
      <c r="H185" s="168">
        <f t="shared" si="6"/>
        <v>0</v>
      </c>
    </row>
    <row r="186" spans="1:8" ht="37.799999999999997" x14ac:dyDescent="0.45">
      <c r="A186" s="173" t="s">
        <v>4871</v>
      </c>
      <c r="B186" s="171"/>
      <c r="C186" s="106" t="s">
        <v>907</v>
      </c>
      <c r="D186" s="106" t="s">
        <v>864</v>
      </c>
      <c r="E186" s="166"/>
      <c r="F186" s="171" t="s">
        <v>472</v>
      </c>
      <c r="G186" s="171">
        <v>5</v>
      </c>
      <c r="H186" s="168">
        <f t="shared" si="6"/>
        <v>0</v>
      </c>
    </row>
    <row r="187" spans="1:8" ht="37.799999999999997" x14ac:dyDescent="0.45">
      <c r="A187" s="173" t="s">
        <v>4872</v>
      </c>
      <c r="B187" s="171"/>
      <c r="C187" s="106" t="s">
        <v>909</v>
      </c>
      <c r="D187" s="106" t="s">
        <v>864</v>
      </c>
      <c r="E187" s="166"/>
      <c r="F187" s="171" t="s">
        <v>472</v>
      </c>
      <c r="G187" s="171">
        <v>5</v>
      </c>
      <c r="H187" s="168">
        <f t="shared" si="6"/>
        <v>0</v>
      </c>
    </row>
    <row r="188" spans="1:8" ht="50.4" x14ac:dyDescent="0.45">
      <c r="A188" s="173" t="s">
        <v>4873</v>
      </c>
      <c r="B188" s="171"/>
      <c r="C188" s="106" t="s">
        <v>911</v>
      </c>
      <c r="D188" s="106" t="s">
        <v>864</v>
      </c>
      <c r="E188" s="166"/>
      <c r="F188" s="171" t="s">
        <v>472</v>
      </c>
      <c r="G188" s="171">
        <v>5</v>
      </c>
      <c r="H188" s="168">
        <f t="shared" si="6"/>
        <v>0</v>
      </c>
    </row>
    <row r="189" spans="1:8" ht="37.799999999999997" x14ac:dyDescent="0.45">
      <c r="A189" s="173" t="s">
        <v>4874</v>
      </c>
      <c r="B189" s="171"/>
      <c r="C189" s="106" t="s">
        <v>913</v>
      </c>
      <c r="D189" s="106" t="s">
        <v>864</v>
      </c>
      <c r="E189" s="166"/>
      <c r="F189" s="171" t="s">
        <v>472</v>
      </c>
      <c r="G189" s="171">
        <v>5</v>
      </c>
      <c r="H189" s="168">
        <f t="shared" si="6"/>
        <v>0</v>
      </c>
    </row>
    <row r="190" spans="1:8" ht="50.4" x14ac:dyDescent="0.45">
      <c r="A190" s="173" t="s">
        <v>4875</v>
      </c>
      <c r="B190" s="171"/>
      <c r="C190" s="106" t="s">
        <v>915</v>
      </c>
      <c r="D190" s="106" t="s">
        <v>864</v>
      </c>
      <c r="E190" s="166"/>
      <c r="F190" s="171" t="s">
        <v>472</v>
      </c>
      <c r="G190" s="171">
        <v>5</v>
      </c>
      <c r="H190" s="168">
        <f t="shared" si="6"/>
        <v>0</v>
      </c>
    </row>
    <row r="191" spans="1:8" ht="50.4" x14ac:dyDescent="0.45">
      <c r="A191" s="173" t="s">
        <v>4876</v>
      </c>
      <c r="B191" s="171"/>
      <c r="C191" s="106" t="s">
        <v>917</v>
      </c>
      <c r="D191" s="106" t="s">
        <v>864</v>
      </c>
      <c r="E191" s="166"/>
      <c r="F191" s="171" t="s">
        <v>472</v>
      </c>
      <c r="G191" s="171">
        <v>5</v>
      </c>
      <c r="H191" s="168">
        <f t="shared" si="6"/>
        <v>0</v>
      </c>
    </row>
    <row r="192" spans="1:8" ht="50.4" x14ac:dyDescent="0.45">
      <c r="A192" s="173" t="s">
        <v>4877</v>
      </c>
      <c r="B192" s="171"/>
      <c r="C192" s="106" t="s">
        <v>919</v>
      </c>
      <c r="D192" s="106" t="s">
        <v>864</v>
      </c>
      <c r="E192" s="166"/>
      <c r="F192" s="171" t="s">
        <v>472</v>
      </c>
      <c r="G192" s="171">
        <v>5</v>
      </c>
      <c r="H192" s="168">
        <f t="shared" si="6"/>
        <v>0</v>
      </c>
    </row>
    <row r="193" spans="1:8" ht="37.799999999999997" x14ac:dyDescent="0.45">
      <c r="A193" s="173" t="s">
        <v>4878</v>
      </c>
      <c r="B193" s="171"/>
      <c r="C193" s="106" t="s">
        <v>921</v>
      </c>
      <c r="D193" s="106" t="s">
        <v>864</v>
      </c>
      <c r="E193" s="166"/>
      <c r="F193" s="171" t="s">
        <v>472</v>
      </c>
      <c r="G193" s="171">
        <v>5</v>
      </c>
      <c r="H193" s="168">
        <f t="shared" si="6"/>
        <v>0</v>
      </c>
    </row>
    <row r="194" spans="1:8" ht="50.4" x14ac:dyDescent="0.45">
      <c r="A194" s="173" t="s">
        <v>4879</v>
      </c>
      <c r="B194" s="171"/>
      <c r="C194" s="106" t="s">
        <v>923</v>
      </c>
      <c r="D194" s="106" t="s">
        <v>864</v>
      </c>
      <c r="E194" s="166"/>
      <c r="F194" s="171" t="s">
        <v>472</v>
      </c>
      <c r="G194" s="171">
        <v>5</v>
      </c>
      <c r="H194" s="168">
        <f t="shared" si="6"/>
        <v>0</v>
      </c>
    </row>
    <row r="195" spans="1:8" ht="50.4" x14ac:dyDescent="0.45">
      <c r="A195" s="173" t="s">
        <v>4880</v>
      </c>
      <c r="B195" s="171"/>
      <c r="C195" s="106" t="s">
        <v>925</v>
      </c>
      <c r="D195" s="106" t="s">
        <v>864</v>
      </c>
      <c r="E195" s="166"/>
      <c r="F195" s="171" t="s">
        <v>472</v>
      </c>
      <c r="G195" s="171">
        <v>5</v>
      </c>
      <c r="H195" s="168">
        <f t="shared" si="6"/>
        <v>0</v>
      </c>
    </row>
    <row r="196" spans="1:8" ht="50.4" x14ac:dyDescent="0.45">
      <c r="A196" s="173" t="s">
        <v>4881</v>
      </c>
      <c r="B196" s="171"/>
      <c r="C196" s="106" t="s">
        <v>927</v>
      </c>
      <c r="D196" s="106" t="s">
        <v>864</v>
      </c>
      <c r="E196" s="166"/>
      <c r="F196" s="171" t="s">
        <v>472</v>
      </c>
      <c r="G196" s="171">
        <v>5</v>
      </c>
      <c r="H196" s="168">
        <f t="shared" si="6"/>
        <v>0</v>
      </c>
    </row>
    <row r="197" spans="1:8" ht="50.4" x14ac:dyDescent="0.45">
      <c r="A197" s="173" t="s">
        <v>4882</v>
      </c>
      <c r="B197" s="171"/>
      <c r="C197" s="106" t="s">
        <v>929</v>
      </c>
      <c r="D197" s="106" t="s">
        <v>864</v>
      </c>
      <c r="E197" s="166"/>
      <c r="F197" s="171" t="s">
        <v>472</v>
      </c>
      <c r="G197" s="171">
        <v>5</v>
      </c>
      <c r="H197" s="168">
        <f t="shared" si="6"/>
        <v>0</v>
      </c>
    </row>
    <row r="198" spans="1:8" ht="50.4" x14ac:dyDescent="0.45">
      <c r="A198" s="173" t="s">
        <v>4883</v>
      </c>
      <c r="B198" s="171"/>
      <c r="C198" s="106" t="s">
        <v>931</v>
      </c>
      <c r="D198" s="106" t="s">
        <v>864</v>
      </c>
      <c r="E198" s="166"/>
      <c r="F198" s="171" t="s">
        <v>472</v>
      </c>
      <c r="G198" s="171">
        <v>5</v>
      </c>
      <c r="H198" s="168">
        <f t="shared" si="6"/>
        <v>0</v>
      </c>
    </row>
    <row r="199" spans="1:8" ht="37.799999999999997" x14ac:dyDescent="0.45">
      <c r="A199" s="173" t="s">
        <v>4884</v>
      </c>
      <c r="B199" s="171"/>
      <c r="C199" s="106" t="s">
        <v>933</v>
      </c>
      <c r="D199" s="106" t="s">
        <v>864</v>
      </c>
      <c r="E199" s="166"/>
      <c r="F199" s="171" t="s">
        <v>472</v>
      </c>
      <c r="G199" s="171">
        <v>5</v>
      </c>
      <c r="H199" s="168">
        <f t="shared" si="6"/>
        <v>0</v>
      </c>
    </row>
    <row r="200" spans="1:8" ht="37.799999999999997" x14ac:dyDescent="0.45">
      <c r="A200" s="173" t="s">
        <v>4885</v>
      </c>
      <c r="B200" s="171"/>
      <c r="C200" s="106" t="s">
        <v>935</v>
      </c>
      <c r="D200" s="106" t="s">
        <v>864</v>
      </c>
      <c r="E200" s="166"/>
      <c r="F200" s="171" t="s">
        <v>472</v>
      </c>
      <c r="G200" s="171">
        <v>5</v>
      </c>
      <c r="H200" s="168">
        <f t="shared" si="6"/>
        <v>0</v>
      </c>
    </row>
    <row r="201" spans="1:8" ht="50.4" x14ac:dyDescent="0.45">
      <c r="A201" s="173" t="s">
        <v>4886</v>
      </c>
      <c r="B201" s="171"/>
      <c r="C201" s="106" t="s">
        <v>937</v>
      </c>
      <c r="D201" s="106" t="s">
        <v>864</v>
      </c>
      <c r="E201" s="166"/>
      <c r="F201" s="171" t="s">
        <v>472</v>
      </c>
      <c r="G201" s="171">
        <v>5</v>
      </c>
      <c r="H201" s="168">
        <f t="shared" si="6"/>
        <v>0</v>
      </c>
    </row>
    <row r="202" spans="1:8" ht="50.4" x14ac:dyDescent="0.45">
      <c r="A202" s="173" t="s">
        <v>4887</v>
      </c>
      <c r="B202" s="171"/>
      <c r="C202" s="106" t="s">
        <v>939</v>
      </c>
      <c r="D202" s="106" t="s">
        <v>864</v>
      </c>
      <c r="E202" s="166"/>
      <c r="F202" s="171" t="s">
        <v>472</v>
      </c>
      <c r="G202" s="171">
        <v>5</v>
      </c>
      <c r="H202" s="168">
        <f t="shared" si="6"/>
        <v>0</v>
      </c>
    </row>
    <row r="203" spans="1:8" ht="50.4" x14ac:dyDescent="0.45">
      <c r="A203" s="173" t="s">
        <v>4888</v>
      </c>
      <c r="B203" s="171"/>
      <c r="C203" s="106" t="s">
        <v>941</v>
      </c>
      <c r="D203" s="106" t="s">
        <v>864</v>
      </c>
      <c r="E203" s="166"/>
      <c r="F203" s="171" t="s">
        <v>472</v>
      </c>
      <c r="G203" s="171">
        <v>5</v>
      </c>
      <c r="H203" s="168">
        <f t="shared" si="6"/>
        <v>0</v>
      </c>
    </row>
    <row r="204" spans="1:8" ht="50.4" x14ac:dyDescent="0.45">
      <c r="A204" s="173" t="s">
        <v>4889</v>
      </c>
      <c r="B204" s="171"/>
      <c r="C204" s="106" t="s">
        <v>943</v>
      </c>
      <c r="D204" s="106" t="s">
        <v>864</v>
      </c>
      <c r="E204" s="166"/>
      <c r="F204" s="171" t="s">
        <v>472</v>
      </c>
      <c r="G204" s="171">
        <v>5</v>
      </c>
      <c r="H204" s="168">
        <f t="shared" si="6"/>
        <v>0</v>
      </c>
    </row>
    <row r="205" spans="1:8" ht="50.4" x14ac:dyDescent="0.45">
      <c r="A205" s="173" t="s">
        <v>4890</v>
      </c>
      <c r="B205" s="171"/>
      <c r="C205" s="106" t="s">
        <v>945</v>
      </c>
      <c r="D205" s="106" t="s">
        <v>864</v>
      </c>
      <c r="E205" s="166"/>
      <c r="F205" s="171" t="s">
        <v>472</v>
      </c>
      <c r="G205" s="171">
        <v>5</v>
      </c>
      <c r="H205" s="168">
        <f t="shared" si="6"/>
        <v>0</v>
      </c>
    </row>
    <row r="206" spans="1:8" ht="50.4" x14ac:dyDescent="0.45">
      <c r="A206" s="173" t="s">
        <v>4891</v>
      </c>
      <c r="B206" s="171"/>
      <c r="C206" s="106" t="s">
        <v>947</v>
      </c>
      <c r="D206" s="106" t="s">
        <v>864</v>
      </c>
      <c r="E206" s="166"/>
      <c r="F206" s="171" t="s">
        <v>472</v>
      </c>
      <c r="G206" s="171">
        <v>5</v>
      </c>
      <c r="H206" s="168">
        <f t="shared" si="6"/>
        <v>0</v>
      </c>
    </row>
    <row r="207" spans="1:8" ht="50.4" x14ac:dyDescent="0.45">
      <c r="A207" s="173" t="s">
        <v>4892</v>
      </c>
      <c r="B207" s="171"/>
      <c r="C207" s="106" t="s">
        <v>949</v>
      </c>
      <c r="D207" s="106" t="s">
        <v>864</v>
      </c>
      <c r="E207" s="166"/>
      <c r="F207" s="171" t="s">
        <v>472</v>
      </c>
      <c r="G207" s="171">
        <v>5</v>
      </c>
      <c r="H207" s="168">
        <f t="shared" si="6"/>
        <v>0</v>
      </c>
    </row>
    <row r="208" spans="1:8" ht="50.4" x14ac:dyDescent="0.45">
      <c r="A208" s="173" t="s">
        <v>4893</v>
      </c>
      <c r="B208" s="171"/>
      <c r="C208" s="106" t="s">
        <v>951</v>
      </c>
      <c r="D208" s="106" t="s">
        <v>864</v>
      </c>
      <c r="E208" s="166"/>
      <c r="F208" s="171" t="s">
        <v>472</v>
      </c>
      <c r="G208" s="171">
        <v>5</v>
      </c>
      <c r="H208" s="168">
        <f t="shared" si="6"/>
        <v>0</v>
      </c>
    </row>
    <row r="209" spans="1:8" ht="50.4" x14ac:dyDescent="0.45">
      <c r="A209" s="173" t="s">
        <v>4894</v>
      </c>
      <c r="B209" s="171"/>
      <c r="C209" s="106" t="s">
        <v>953</v>
      </c>
      <c r="D209" s="106" t="s">
        <v>864</v>
      </c>
      <c r="E209" s="166"/>
      <c r="F209" s="171" t="s">
        <v>472</v>
      </c>
      <c r="G209" s="171">
        <v>5</v>
      </c>
      <c r="H209" s="168">
        <f t="shared" ref="H209:H258" si="7">SUM(E209)*G209</f>
        <v>0</v>
      </c>
    </row>
    <row r="210" spans="1:8" ht="50.4" x14ac:dyDescent="0.45">
      <c r="A210" s="173" t="s">
        <v>4895</v>
      </c>
      <c r="B210" s="171"/>
      <c r="C210" s="106" t="s">
        <v>955</v>
      </c>
      <c r="D210" s="106" t="s">
        <v>864</v>
      </c>
      <c r="E210" s="166"/>
      <c r="F210" s="171" t="s">
        <v>472</v>
      </c>
      <c r="G210" s="171">
        <v>5</v>
      </c>
      <c r="H210" s="168">
        <f t="shared" si="7"/>
        <v>0</v>
      </c>
    </row>
    <row r="211" spans="1:8" ht="50.4" x14ac:dyDescent="0.45">
      <c r="A211" s="173" t="s">
        <v>4896</v>
      </c>
      <c r="B211" s="171"/>
      <c r="C211" s="106" t="s">
        <v>957</v>
      </c>
      <c r="D211" s="106" t="s">
        <v>864</v>
      </c>
      <c r="E211" s="166"/>
      <c r="F211" s="171" t="s">
        <v>472</v>
      </c>
      <c r="G211" s="171">
        <v>5</v>
      </c>
      <c r="H211" s="168">
        <f t="shared" si="7"/>
        <v>0</v>
      </c>
    </row>
    <row r="212" spans="1:8" ht="50.4" x14ac:dyDescent="0.45">
      <c r="A212" s="173" t="s">
        <v>4897</v>
      </c>
      <c r="B212" s="171"/>
      <c r="C212" s="106" t="s">
        <v>959</v>
      </c>
      <c r="D212" s="106" t="s">
        <v>864</v>
      </c>
      <c r="E212" s="166"/>
      <c r="F212" s="171" t="s">
        <v>472</v>
      </c>
      <c r="G212" s="171">
        <v>5</v>
      </c>
      <c r="H212" s="168">
        <f t="shared" si="7"/>
        <v>0</v>
      </c>
    </row>
    <row r="213" spans="1:8" ht="50.4" x14ac:dyDescent="0.45">
      <c r="A213" s="173" t="s">
        <v>4898</v>
      </c>
      <c r="B213" s="171"/>
      <c r="C213" s="106" t="s">
        <v>961</v>
      </c>
      <c r="D213" s="106" t="s">
        <v>864</v>
      </c>
      <c r="E213" s="166"/>
      <c r="F213" s="171" t="s">
        <v>472</v>
      </c>
      <c r="G213" s="171">
        <v>5</v>
      </c>
      <c r="H213" s="168">
        <f t="shared" si="7"/>
        <v>0</v>
      </c>
    </row>
    <row r="214" spans="1:8" ht="50.4" x14ac:dyDescent="0.45">
      <c r="A214" s="173" t="s">
        <v>4899</v>
      </c>
      <c r="B214" s="171"/>
      <c r="C214" s="106" t="s">
        <v>963</v>
      </c>
      <c r="D214" s="106" t="s">
        <v>864</v>
      </c>
      <c r="E214" s="166"/>
      <c r="F214" s="171" t="s">
        <v>472</v>
      </c>
      <c r="G214" s="171">
        <v>5</v>
      </c>
      <c r="H214" s="168">
        <f t="shared" si="7"/>
        <v>0</v>
      </c>
    </row>
    <row r="215" spans="1:8" ht="50.4" x14ac:dyDescent="0.45">
      <c r="A215" s="173" t="s">
        <v>4900</v>
      </c>
      <c r="B215" s="171"/>
      <c r="C215" s="106" t="s">
        <v>965</v>
      </c>
      <c r="D215" s="106" t="s">
        <v>864</v>
      </c>
      <c r="E215" s="166"/>
      <c r="F215" s="171" t="s">
        <v>472</v>
      </c>
      <c r="G215" s="171">
        <v>5</v>
      </c>
      <c r="H215" s="168">
        <f t="shared" si="7"/>
        <v>0</v>
      </c>
    </row>
    <row r="216" spans="1:8" ht="50.4" x14ac:dyDescent="0.45">
      <c r="A216" s="173" t="s">
        <v>4901</v>
      </c>
      <c r="B216" s="171"/>
      <c r="C216" s="106" t="s">
        <v>967</v>
      </c>
      <c r="D216" s="106" t="s">
        <v>864</v>
      </c>
      <c r="E216" s="166"/>
      <c r="F216" s="171" t="s">
        <v>472</v>
      </c>
      <c r="G216" s="171">
        <v>5</v>
      </c>
      <c r="H216" s="168">
        <f t="shared" si="7"/>
        <v>0</v>
      </c>
    </row>
    <row r="217" spans="1:8" ht="50.4" x14ac:dyDescent="0.45">
      <c r="A217" s="173" t="s">
        <v>4902</v>
      </c>
      <c r="B217" s="171"/>
      <c r="C217" s="106" t="s">
        <v>969</v>
      </c>
      <c r="D217" s="106" t="s">
        <v>864</v>
      </c>
      <c r="E217" s="166"/>
      <c r="F217" s="171" t="s">
        <v>472</v>
      </c>
      <c r="G217" s="171">
        <v>5</v>
      </c>
      <c r="H217" s="168">
        <f t="shared" si="7"/>
        <v>0</v>
      </c>
    </row>
    <row r="218" spans="1:8" ht="50.4" x14ac:dyDescent="0.45">
      <c r="A218" s="173" t="s">
        <v>4903</v>
      </c>
      <c r="B218" s="171"/>
      <c r="C218" s="106" t="s">
        <v>971</v>
      </c>
      <c r="D218" s="106" t="s">
        <v>864</v>
      </c>
      <c r="E218" s="166"/>
      <c r="F218" s="171" t="s">
        <v>472</v>
      </c>
      <c r="G218" s="171">
        <v>5</v>
      </c>
      <c r="H218" s="168">
        <f t="shared" si="7"/>
        <v>0</v>
      </c>
    </row>
    <row r="219" spans="1:8" ht="50.4" x14ac:dyDescent="0.45">
      <c r="A219" s="173" t="s">
        <v>4904</v>
      </c>
      <c r="B219" s="171"/>
      <c r="C219" s="106" t="s">
        <v>973</v>
      </c>
      <c r="D219" s="106" t="s">
        <v>864</v>
      </c>
      <c r="E219" s="166"/>
      <c r="F219" s="171" t="s">
        <v>472</v>
      </c>
      <c r="G219" s="171">
        <v>5</v>
      </c>
      <c r="H219" s="168">
        <f t="shared" si="7"/>
        <v>0</v>
      </c>
    </row>
    <row r="220" spans="1:8" ht="37.799999999999997" x14ac:dyDescent="0.45">
      <c r="A220" s="173" t="s">
        <v>4905</v>
      </c>
      <c r="B220" s="171"/>
      <c r="C220" s="106" t="s">
        <v>975</v>
      </c>
      <c r="D220" s="106" t="s">
        <v>864</v>
      </c>
      <c r="E220" s="166"/>
      <c r="F220" s="171" t="s">
        <v>472</v>
      </c>
      <c r="G220" s="171">
        <v>5</v>
      </c>
      <c r="H220" s="168">
        <f t="shared" si="7"/>
        <v>0</v>
      </c>
    </row>
    <row r="221" spans="1:8" ht="37.799999999999997" x14ac:dyDescent="0.45">
      <c r="A221" s="173" t="s">
        <v>4906</v>
      </c>
      <c r="B221" s="171"/>
      <c r="C221" s="106" t="s">
        <v>977</v>
      </c>
      <c r="D221" s="106" t="s">
        <v>864</v>
      </c>
      <c r="E221" s="166"/>
      <c r="F221" s="171" t="s">
        <v>472</v>
      </c>
      <c r="G221" s="171">
        <v>5</v>
      </c>
      <c r="H221" s="168">
        <f t="shared" si="7"/>
        <v>0</v>
      </c>
    </row>
    <row r="222" spans="1:8" ht="37.799999999999997" x14ac:dyDescent="0.45">
      <c r="A222" s="173" t="s">
        <v>4907</v>
      </c>
      <c r="B222" s="171"/>
      <c r="C222" s="106" t="s">
        <v>979</v>
      </c>
      <c r="D222" s="106" t="s">
        <v>864</v>
      </c>
      <c r="E222" s="166"/>
      <c r="F222" s="171" t="s">
        <v>472</v>
      </c>
      <c r="G222" s="171">
        <v>5</v>
      </c>
      <c r="H222" s="168">
        <f t="shared" si="7"/>
        <v>0</v>
      </c>
    </row>
    <row r="223" spans="1:8" ht="37.799999999999997" x14ac:dyDescent="0.45">
      <c r="A223" s="173" t="s">
        <v>4908</v>
      </c>
      <c r="B223" s="171"/>
      <c r="C223" s="106" t="s">
        <v>981</v>
      </c>
      <c r="D223" s="106" t="s">
        <v>864</v>
      </c>
      <c r="E223" s="166"/>
      <c r="F223" s="171" t="s">
        <v>472</v>
      </c>
      <c r="G223" s="171">
        <v>5</v>
      </c>
      <c r="H223" s="168">
        <f t="shared" si="7"/>
        <v>0</v>
      </c>
    </row>
    <row r="224" spans="1:8" ht="37.799999999999997" x14ac:dyDescent="0.45">
      <c r="A224" s="173" t="s">
        <v>4909</v>
      </c>
      <c r="B224" s="171"/>
      <c r="C224" s="106" t="s">
        <v>983</v>
      </c>
      <c r="D224" s="106" t="s">
        <v>864</v>
      </c>
      <c r="E224" s="166"/>
      <c r="F224" s="171" t="s">
        <v>472</v>
      </c>
      <c r="G224" s="171">
        <v>5</v>
      </c>
      <c r="H224" s="168">
        <f t="shared" si="7"/>
        <v>0</v>
      </c>
    </row>
    <row r="225" spans="1:8" ht="63" x14ac:dyDescent="0.45">
      <c r="A225" s="173" t="s">
        <v>4910</v>
      </c>
      <c r="B225" s="171"/>
      <c r="C225" s="106" t="s">
        <v>985</v>
      </c>
      <c r="D225" s="106" t="s">
        <v>864</v>
      </c>
      <c r="E225" s="166"/>
      <c r="F225" s="171" t="s">
        <v>472</v>
      </c>
      <c r="G225" s="171">
        <v>5</v>
      </c>
      <c r="H225" s="168">
        <f t="shared" si="7"/>
        <v>0</v>
      </c>
    </row>
    <row r="226" spans="1:8" ht="63" x14ac:dyDescent="0.45">
      <c r="A226" s="173" t="s">
        <v>4911</v>
      </c>
      <c r="B226" s="171"/>
      <c r="C226" s="106" t="s">
        <v>987</v>
      </c>
      <c r="D226" s="106" t="s">
        <v>864</v>
      </c>
      <c r="E226" s="166"/>
      <c r="F226" s="171" t="s">
        <v>472</v>
      </c>
      <c r="G226" s="171">
        <v>5</v>
      </c>
      <c r="H226" s="168">
        <f t="shared" si="7"/>
        <v>0</v>
      </c>
    </row>
    <row r="227" spans="1:8" ht="37.799999999999997" x14ac:dyDescent="0.45">
      <c r="A227" s="173" t="s">
        <v>4912</v>
      </c>
      <c r="B227" s="171"/>
      <c r="C227" s="106" t="s">
        <v>989</v>
      </c>
      <c r="D227" s="106" t="s">
        <v>864</v>
      </c>
      <c r="E227" s="166"/>
      <c r="F227" s="171" t="s">
        <v>472</v>
      </c>
      <c r="G227" s="171">
        <v>5</v>
      </c>
      <c r="H227" s="168">
        <f t="shared" si="7"/>
        <v>0</v>
      </c>
    </row>
    <row r="228" spans="1:8" ht="37.799999999999997" x14ac:dyDescent="0.45">
      <c r="A228" s="173" t="s">
        <v>4913</v>
      </c>
      <c r="B228" s="171"/>
      <c r="C228" s="106" t="s">
        <v>991</v>
      </c>
      <c r="D228" s="106" t="s">
        <v>864</v>
      </c>
      <c r="E228" s="166"/>
      <c r="F228" s="171" t="s">
        <v>472</v>
      </c>
      <c r="G228" s="171">
        <v>5</v>
      </c>
      <c r="H228" s="168">
        <f t="shared" si="7"/>
        <v>0</v>
      </c>
    </row>
    <row r="229" spans="1:8" ht="37.799999999999997" x14ac:dyDescent="0.45">
      <c r="A229" s="173" t="s">
        <v>4914</v>
      </c>
      <c r="B229" s="171"/>
      <c r="C229" s="106" t="s">
        <v>993</v>
      </c>
      <c r="D229" s="106" t="s">
        <v>864</v>
      </c>
      <c r="E229" s="166"/>
      <c r="F229" s="171" t="s">
        <v>472</v>
      </c>
      <c r="G229" s="171">
        <v>5</v>
      </c>
      <c r="H229" s="168">
        <f t="shared" si="7"/>
        <v>0</v>
      </c>
    </row>
    <row r="230" spans="1:8" ht="37.799999999999997" x14ac:dyDescent="0.45">
      <c r="A230" s="173" t="s">
        <v>4915</v>
      </c>
      <c r="B230" s="171"/>
      <c r="C230" s="106" t="s">
        <v>995</v>
      </c>
      <c r="D230" s="106" t="s">
        <v>864</v>
      </c>
      <c r="E230" s="166"/>
      <c r="F230" s="171" t="s">
        <v>472</v>
      </c>
      <c r="G230" s="171">
        <v>5</v>
      </c>
      <c r="H230" s="168">
        <f t="shared" si="7"/>
        <v>0</v>
      </c>
    </row>
    <row r="231" spans="1:8" ht="37.799999999999997" x14ac:dyDescent="0.45">
      <c r="A231" s="173" t="s">
        <v>4916</v>
      </c>
      <c r="B231" s="171"/>
      <c r="C231" s="106" t="s">
        <v>997</v>
      </c>
      <c r="D231" s="106" t="s">
        <v>864</v>
      </c>
      <c r="E231" s="166"/>
      <c r="F231" s="171" t="s">
        <v>472</v>
      </c>
      <c r="G231" s="171">
        <v>5</v>
      </c>
      <c r="H231" s="168">
        <f t="shared" si="7"/>
        <v>0</v>
      </c>
    </row>
    <row r="232" spans="1:8" ht="37.799999999999997" x14ac:dyDescent="0.45">
      <c r="A232" s="173" t="s">
        <v>4917</v>
      </c>
      <c r="B232" s="171"/>
      <c r="C232" s="106" t="s">
        <v>999</v>
      </c>
      <c r="D232" s="106" t="s">
        <v>864</v>
      </c>
      <c r="E232" s="166"/>
      <c r="F232" s="171" t="s">
        <v>472</v>
      </c>
      <c r="G232" s="171">
        <v>5</v>
      </c>
      <c r="H232" s="168">
        <f t="shared" si="7"/>
        <v>0</v>
      </c>
    </row>
    <row r="233" spans="1:8" ht="37.799999999999997" x14ac:dyDescent="0.45">
      <c r="A233" s="173" t="s">
        <v>4918</v>
      </c>
      <c r="B233" s="171"/>
      <c r="C233" s="106" t="s">
        <v>1001</v>
      </c>
      <c r="D233" s="106" t="s">
        <v>864</v>
      </c>
      <c r="E233" s="166"/>
      <c r="F233" s="171" t="s">
        <v>472</v>
      </c>
      <c r="G233" s="171">
        <v>5</v>
      </c>
      <c r="H233" s="168">
        <f t="shared" si="7"/>
        <v>0</v>
      </c>
    </row>
    <row r="234" spans="1:8" ht="37.799999999999997" x14ac:dyDescent="0.45">
      <c r="A234" s="173" t="s">
        <v>4919</v>
      </c>
      <c r="B234" s="171"/>
      <c r="C234" s="106" t="s">
        <v>1003</v>
      </c>
      <c r="D234" s="106" t="s">
        <v>864</v>
      </c>
      <c r="E234" s="166"/>
      <c r="F234" s="171" t="s">
        <v>472</v>
      </c>
      <c r="G234" s="171">
        <v>5</v>
      </c>
      <c r="H234" s="168">
        <f t="shared" si="7"/>
        <v>0</v>
      </c>
    </row>
    <row r="235" spans="1:8" ht="37.799999999999997" x14ac:dyDescent="0.45">
      <c r="A235" s="173" t="s">
        <v>4920</v>
      </c>
      <c r="B235" s="171"/>
      <c r="C235" s="106" t="s">
        <v>1005</v>
      </c>
      <c r="D235" s="106" t="s">
        <v>864</v>
      </c>
      <c r="E235" s="166"/>
      <c r="F235" s="171" t="s">
        <v>472</v>
      </c>
      <c r="G235" s="171">
        <v>5</v>
      </c>
      <c r="H235" s="168">
        <f t="shared" si="7"/>
        <v>0</v>
      </c>
    </row>
    <row r="236" spans="1:8" ht="37.799999999999997" x14ac:dyDescent="0.45">
      <c r="A236" s="173" t="s">
        <v>4921</v>
      </c>
      <c r="B236" s="171"/>
      <c r="C236" s="106" t="s">
        <v>1007</v>
      </c>
      <c r="D236" s="106" t="s">
        <v>864</v>
      </c>
      <c r="E236" s="166"/>
      <c r="F236" s="171" t="s">
        <v>472</v>
      </c>
      <c r="G236" s="171">
        <v>5</v>
      </c>
      <c r="H236" s="168">
        <f t="shared" si="7"/>
        <v>0</v>
      </c>
    </row>
    <row r="237" spans="1:8" ht="37.799999999999997" x14ac:dyDescent="0.45">
      <c r="A237" s="173" t="s">
        <v>4922</v>
      </c>
      <c r="B237" s="171"/>
      <c r="C237" s="106" t="s">
        <v>1009</v>
      </c>
      <c r="D237" s="106" t="s">
        <v>864</v>
      </c>
      <c r="E237" s="166"/>
      <c r="F237" s="171" t="s">
        <v>472</v>
      </c>
      <c r="G237" s="171">
        <v>5</v>
      </c>
      <c r="H237" s="168">
        <f t="shared" si="7"/>
        <v>0</v>
      </c>
    </row>
    <row r="238" spans="1:8" ht="37.799999999999997" x14ac:dyDescent="0.45">
      <c r="A238" s="173" t="s">
        <v>4923</v>
      </c>
      <c r="B238" s="171"/>
      <c r="C238" s="106" t="s">
        <v>1011</v>
      </c>
      <c r="D238" s="106" t="s">
        <v>864</v>
      </c>
      <c r="E238" s="166"/>
      <c r="F238" s="171" t="s">
        <v>472</v>
      </c>
      <c r="G238" s="171">
        <v>5</v>
      </c>
      <c r="H238" s="168">
        <f t="shared" si="7"/>
        <v>0</v>
      </c>
    </row>
    <row r="239" spans="1:8" ht="37.799999999999997" x14ac:dyDescent="0.45">
      <c r="A239" s="173" t="s">
        <v>4924</v>
      </c>
      <c r="B239" s="171"/>
      <c r="C239" s="106" t="s">
        <v>1013</v>
      </c>
      <c r="D239" s="106" t="s">
        <v>864</v>
      </c>
      <c r="E239" s="166"/>
      <c r="F239" s="171" t="s">
        <v>472</v>
      </c>
      <c r="G239" s="171">
        <v>5</v>
      </c>
      <c r="H239" s="168">
        <f t="shared" si="7"/>
        <v>0</v>
      </c>
    </row>
    <row r="240" spans="1:8" ht="37.799999999999997" x14ac:dyDescent="0.45">
      <c r="A240" s="173" t="s">
        <v>4925</v>
      </c>
      <c r="B240" s="171"/>
      <c r="C240" s="106" t="s">
        <v>1015</v>
      </c>
      <c r="D240" s="106" t="s">
        <v>864</v>
      </c>
      <c r="E240" s="166"/>
      <c r="F240" s="171" t="s">
        <v>472</v>
      </c>
      <c r="G240" s="171">
        <v>5</v>
      </c>
      <c r="H240" s="168">
        <f t="shared" si="7"/>
        <v>0</v>
      </c>
    </row>
    <row r="241" spans="1:8" ht="37.799999999999997" x14ac:dyDescent="0.45">
      <c r="A241" s="173" t="s">
        <v>4926</v>
      </c>
      <c r="B241" s="171"/>
      <c r="C241" s="106" t="s">
        <v>1017</v>
      </c>
      <c r="D241" s="106" t="s">
        <v>864</v>
      </c>
      <c r="E241" s="166"/>
      <c r="F241" s="171" t="s">
        <v>472</v>
      </c>
      <c r="G241" s="171">
        <v>5</v>
      </c>
      <c r="H241" s="168">
        <f t="shared" si="7"/>
        <v>0</v>
      </c>
    </row>
    <row r="242" spans="1:8" ht="37.799999999999997" x14ac:dyDescent="0.45">
      <c r="A242" s="173" t="s">
        <v>4927</v>
      </c>
      <c r="B242" s="171"/>
      <c r="C242" s="106" t="s">
        <v>1019</v>
      </c>
      <c r="D242" s="106" t="s">
        <v>864</v>
      </c>
      <c r="E242" s="166"/>
      <c r="F242" s="171" t="s">
        <v>472</v>
      </c>
      <c r="G242" s="171">
        <v>5</v>
      </c>
      <c r="H242" s="168">
        <f t="shared" si="7"/>
        <v>0</v>
      </c>
    </row>
    <row r="243" spans="1:8" ht="37.799999999999997" x14ac:dyDescent="0.45">
      <c r="A243" s="173" t="s">
        <v>4928</v>
      </c>
      <c r="B243" s="171"/>
      <c r="C243" s="106" t="s">
        <v>1021</v>
      </c>
      <c r="D243" s="106" t="s">
        <v>864</v>
      </c>
      <c r="E243" s="166"/>
      <c r="F243" s="171" t="s">
        <v>472</v>
      </c>
      <c r="G243" s="171">
        <v>5</v>
      </c>
      <c r="H243" s="168">
        <f t="shared" si="7"/>
        <v>0</v>
      </c>
    </row>
    <row r="244" spans="1:8" ht="37.799999999999997" x14ac:dyDescent="0.45">
      <c r="A244" s="173" t="s">
        <v>4929</v>
      </c>
      <c r="B244" s="171"/>
      <c r="C244" s="106" t="s">
        <v>1023</v>
      </c>
      <c r="D244" s="106" t="s">
        <v>864</v>
      </c>
      <c r="E244" s="166"/>
      <c r="F244" s="171" t="s">
        <v>472</v>
      </c>
      <c r="G244" s="171">
        <v>5</v>
      </c>
      <c r="H244" s="168">
        <f t="shared" si="7"/>
        <v>0</v>
      </c>
    </row>
    <row r="245" spans="1:8" ht="37.799999999999997" x14ac:dyDescent="0.45">
      <c r="A245" s="173" t="s">
        <v>4930</v>
      </c>
      <c r="B245" s="171"/>
      <c r="C245" s="106" t="s">
        <v>1025</v>
      </c>
      <c r="D245" s="106" t="s">
        <v>864</v>
      </c>
      <c r="E245" s="166"/>
      <c r="F245" s="171" t="s">
        <v>472</v>
      </c>
      <c r="G245" s="171">
        <v>5</v>
      </c>
      <c r="H245" s="168">
        <f t="shared" si="7"/>
        <v>0</v>
      </c>
    </row>
    <row r="246" spans="1:8" ht="37.799999999999997" x14ac:dyDescent="0.45">
      <c r="A246" s="173" t="s">
        <v>4931</v>
      </c>
      <c r="B246" s="171"/>
      <c r="C246" s="106" t="s">
        <v>1027</v>
      </c>
      <c r="D246" s="106" t="s">
        <v>864</v>
      </c>
      <c r="E246" s="166"/>
      <c r="F246" s="171" t="s">
        <v>472</v>
      </c>
      <c r="G246" s="171">
        <v>5</v>
      </c>
      <c r="H246" s="168">
        <f t="shared" si="7"/>
        <v>0</v>
      </c>
    </row>
    <row r="247" spans="1:8" ht="37.799999999999997" x14ac:dyDescent="0.45">
      <c r="A247" s="173" t="s">
        <v>4932</v>
      </c>
      <c r="B247" s="171"/>
      <c r="C247" s="106" t="s">
        <v>1029</v>
      </c>
      <c r="D247" s="106" t="s">
        <v>864</v>
      </c>
      <c r="E247" s="166"/>
      <c r="F247" s="171" t="s">
        <v>472</v>
      </c>
      <c r="G247" s="171">
        <v>5</v>
      </c>
      <c r="H247" s="168">
        <f t="shared" si="7"/>
        <v>0</v>
      </c>
    </row>
    <row r="248" spans="1:8" ht="37.799999999999997" x14ac:dyDescent="0.45">
      <c r="A248" s="173" t="s">
        <v>4933</v>
      </c>
      <c r="B248" s="171"/>
      <c r="C248" s="106" t="s">
        <v>1031</v>
      </c>
      <c r="D248" s="106" t="s">
        <v>864</v>
      </c>
      <c r="E248" s="166"/>
      <c r="F248" s="171" t="s">
        <v>472</v>
      </c>
      <c r="G248" s="171">
        <v>5</v>
      </c>
      <c r="H248" s="168">
        <f t="shared" si="7"/>
        <v>0</v>
      </c>
    </row>
    <row r="249" spans="1:8" ht="37.799999999999997" x14ac:dyDescent="0.45">
      <c r="A249" s="173" t="s">
        <v>4934</v>
      </c>
      <c r="B249" s="171"/>
      <c r="C249" s="106" t="s">
        <v>1033</v>
      </c>
      <c r="D249" s="106" t="s">
        <v>864</v>
      </c>
      <c r="E249" s="166"/>
      <c r="F249" s="171" t="s">
        <v>472</v>
      </c>
      <c r="G249" s="171">
        <v>5</v>
      </c>
      <c r="H249" s="168">
        <f t="shared" si="7"/>
        <v>0</v>
      </c>
    </row>
    <row r="250" spans="1:8" ht="37.799999999999997" x14ac:dyDescent="0.45">
      <c r="A250" s="173" t="s">
        <v>4935</v>
      </c>
      <c r="B250" s="171"/>
      <c r="C250" s="106" t="s">
        <v>1035</v>
      </c>
      <c r="D250" s="106" t="s">
        <v>864</v>
      </c>
      <c r="E250" s="166"/>
      <c r="F250" s="171" t="s">
        <v>472</v>
      </c>
      <c r="G250" s="171">
        <v>5</v>
      </c>
      <c r="H250" s="168">
        <f t="shared" si="7"/>
        <v>0</v>
      </c>
    </row>
    <row r="251" spans="1:8" ht="37.799999999999997" x14ac:dyDescent="0.45">
      <c r="A251" s="173" t="s">
        <v>4936</v>
      </c>
      <c r="B251" s="171"/>
      <c r="C251" s="106" t="s">
        <v>1037</v>
      </c>
      <c r="D251" s="106" t="s">
        <v>864</v>
      </c>
      <c r="E251" s="166"/>
      <c r="F251" s="171" t="s">
        <v>472</v>
      </c>
      <c r="G251" s="171">
        <v>5</v>
      </c>
      <c r="H251" s="168">
        <f t="shared" si="7"/>
        <v>0</v>
      </c>
    </row>
    <row r="252" spans="1:8" ht="37.799999999999997" x14ac:dyDescent="0.45">
      <c r="A252" s="173" t="s">
        <v>4937</v>
      </c>
      <c r="B252" s="171"/>
      <c r="C252" s="106" t="s">
        <v>1039</v>
      </c>
      <c r="D252" s="106" t="s">
        <v>864</v>
      </c>
      <c r="E252" s="166"/>
      <c r="F252" s="171" t="s">
        <v>472</v>
      </c>
      <c r="G252" s="171">
        <v>5</v>
      </c>
      <c r="H252" s="168">
        <f t="shared" si="7"/>
        <v>0</v>
      </c>
    </row>
    <row r="253" spans="1:8" ht="37.799999999999997" x14ac:dyDescent="0.45">
      <c r="A253" s="173" t="s">
        <v>4938</v>
      </c>
      <c r="B253" s="171"/>
      <c r="C253" s="106" t="s">
        <v>1041</v>
      </c>
      <c r="D253" s="106" t="s">
        <v>864</v>
      </c>
      <c r="E253" s="166"/>
      <c r="F253" s="171" t="s">
        <v>472</v>
      </c>
      <c r="G253" s="171">
        <v>5</v>
      </c>
      <c r="H253" s="168">
        <f t="shared" si="7"/>
        <v>0</v>
      </c>
    </row>
    <row r="254" spans="1:8" ht="37.799999999999997" x14ac:dyDescent="0.45">
      <c r="A254" s="173" t="s">
        <v>4939</v>
      </c>
      <c r="B254" s="171"/>
      <c r="C254" s="106" t="s">
        <v>1043</v>
      </c>
      <c r="D254" s="106" t="s">
        <v>864</v>
      </c>
      <c r="E254" s="166"/>
      <c r="F254" s="171" t="s">
        <v>472</v>
      </c>
      <c r="G254" s="171">
        <v>5</v>
      </c>
      <c r="H254" s="168">
        <f t="shared" si="7"/>
        <v>0</v>
      </c>
    </row>
    <row r="255" spans="1:8" ht="37.799999999999997" x14ac:dyDescent="0.45">
      <c r="A255" s="173" t="s">
        <v>4940</v>
      </c>
      <c r="B255" s="171"/>
      <c r="C255" s="106" t="s">
        <v>1045</v>
      </c>
      <c r="D255" s="106" t="s">
        <v>864</v>
      </c>
      <c r="E255" s="166"/>
      <c r="F255" s="171" t="s">
        <v>472</v>
      </c>
      <c r="G255" s="171">
        <v>5</v>
      </c>
      <c r="H255" s="168">
        <f t="shared" si="7"/>
        <v>0</v>
      </c>
    </row>
    <row r="256" spans="1:8" ht="37.799999999999997" x14ac:dyDescent="0.45">
      <c r="A256" s="173" t="s">
        <v>4941</v>
      </c>
      <c r="B256" s="171"/>
      <c r="C256" s="106" t="s">
        <v>1047</v>
      </c>
      <c r="D256" s="106" t="s">
        <v>864</v>
      </c>
      <c r="E256" s="166"/>
      <c r="F256" s="171" t="s">
        <v>472</v>
      </c>
      <c r="G256" s="171">
        <v>5</v>
      </c>
      <c r="H256" s="168">
        <f t="shared" si="7"/>
        <v>0</v>
      </c>
    </row>
    <row r="257" spans="1:8" ht="37.799999999999997" x14ac:dyDescent="0.45">
      <c r="A257" s="173" t="s">
        <v>4942</v>
      </c>
      <c r="B257" s="171"/>
      <c r="C257" s="106" t="s">
        <v>1049</v>
      </c>
      <c r="D257" s="106" t="s">
        <v>864</v>
      </c>
      <c r="E257" s="166"/>
      <c r="F257" s="171" t="s">
        <v>472</v>
      </c>
      <c r="G257" s="171">
        <v>5</v>
      </c>
      <c r="H257" s="168">
        <f t="shared" si="7"/>
        <v>0</v>
      </c>
    </row>
    <row r="258" spans="1:8" ht="37.799999999999997" x14ac:dyDescent="0.45">
      <c r="A258" s="173" t="s">
        <v>4943</v>
      </c>
      <c r="B258" s="171"/>
      <c r="C258" s="106" t="s">
        <v>1051</v>
      </c>
      <c r="D258" s="106" t="s">
        <v>864</v>
      </c>
      <c r="E258" s="166"/>
      <c r="F258" s="171" t="s">
        <v>472</v>
      </c>
      <c r="G258" s="171">
        <v>5</v>
      </c>
      <c r="H258" s="168">
        <f t="shared" si="7"/>
        <v>0</v>
      </c>
    </row>
    <row r="259" spans="1:8" x14ac:dyDescent="0.45">
      <c r="A259" s="306" t="s">
        <v>4944</v>
      </c>
      <c r="B259" s="184" t="s">
        <v>180</v>
      </c>
      <c r="D259" s="120"/>
      <c r="E259" s="142"/>
      <c r="F259" s="171"/>
      <c r="G259" s="172"/>
      <c r="H259" s="220"/>
    </row>
    <row r="260" spans="1:8" ht="13" customHeight="1" x14ac:dyDescent="0.45">
      <c r="A260" s="310"/>
      <c r="B260" s="426" t="s">
        <v>1053</v>
      </c>
      <c r="C260" s="427"/>
      <c r="D260" s="428"/>
      <c r="E260" s="159"/>
      <c r="F260" s="209"/>
      <c r="G260" s="210"/>
      <c r="H260" s="163"/>
    </row>
    <row r="261" spans="1:8" ht="63" x14ac:dyDescent="0.45">
      <c r="A261" s="173" t="s">
        <v>4945</v>
      </c>
      <c r="B261" s="171"/>
      <c r="C261" s="106" t="s">
        <v>1055</v>
      </c>
      <c r="D261" s="106" t="s">
        <v>1056</v>
      </c>
      <c r="E261" s="166"/>
      <c r="F261" s="171" t="s">
        <v>633</v>
      </c>
      <c r="G261" s="172">
        <v>1250</v>
      </c>
      <c r="H261" s="168">
        <f>SUM(E261)*G261</f>
        <v>0</v>
      </c>
    </row>
    <row r="262" spans="1:8" ht="50.4" x14ac:dyDescent="0.45">
      <c r="A262" s="173" t="s">
        <v>4946</v>
      </c>
      <c r="B262" s="171"/>
      <c r="C262" s="106" t="s">
        <v>1058</v>
      </c>
      <c r="D262" s="106" t="s">
        <v>1059</v>
      </c>
      <c r="E262" s="166"/>
      <c r="F262" s="171" t="s">
        <v>633</v>
      </c>
      <c r="G262" s="172">
        <v>1250</v>
      </c>
      <c r="H262" s="168">
        <f>SUM(E262)*G262</f>
        <v>0</v>
      </c>
    </row>
    <row r="263" spans="1:8" ht="37.799999999999997" x14ac:dyDescent="0.45">
      <c r="A263" s="173" t="s">
        <v>4947</v>
      </c>
      <c r="B263" s="171"/>
      <c r="C263" s="106" t="s">
        <v>1061</v>
      </c>
      <c r="D263" s="106" t="s">
        <v>1062</v>
      </c>
      <c r="E263" s="190"/>
      <c r="F263" s="171" t="s">
        <v>1063</v>
      </c>
      <c r="G263" s="172" t="s">
        <v>1064</v>
      </c>
      <c r="H263" s="168">
        <v>50000</v>
      </c>
    </row>
    <row r="264" spans="1:8" x14ac:dyDescent="0.45">
      <c r="A264" s="307"/>
      <c r="B264" s="191"/>
      <c r="C264" s="192"/>
      <c r="D264" s="193"/>
      <c r="E264" s="194"/>
      <c r="F264" s="193"/>
      <c r="G264" s="195"/>
      <c r="H264" s="168"/>
    </row>
    <row r="265" spans="1:8" ht="7.5" customHeight="1" x14ac:dyDescent="0.45">
      <c r="A265" s="309"/>
      <c r="B265" s="154"/>
      <c r="C265" s="155"/>
      <c r="D265" s="155"/>
      <c r="E265" s="156"/>
      <c r="F265" s="155"/>
      <c r="G265" s="157"/>
      <c r="H265" s="158"/>
    </row>
    <row r="266" spans="1:8" ht="13.2" customHeight="1" x14ac:dyDescent="0.45">
      <c r="A266" s="411" t="s">
        <v>4948</v>
      </c>
      <c r="B266" s="412"/>
      <c r="C266" s="412"/>
      <c r="D266" s="412"/>
      <c r="E266" s="412"/>
      <c r="F266" s="412"/>
      <c r="G266" s="196"/>
      <c r="H266" s="436">
        <f>SUM(H15:H263)</f>
        <v>50000</v>
      </c>
    </row>
    <row r="267" spans="1:8" ht="7.5" customHeight="1" x14ac:dyDescent="0.45">
      <c r="A267" s="309"/>
      <c r="B267" s="154"/>
      <c r="C267" s="155"/>
      <c r="D267" s="155"/>
      <c r="E267" s="156"/>
      <c r="F267" s="155"/>
      <c r="G267" s="157"/>
      <c r="H267" s="158"/>
    </row>
  </sheetData>
  <mergeCells count="13">
    <mergeCell ref="A266:F266"/>
    <mergeCell ref="A7:H7"/>
    <mergeCell ref="A8:H8"/>
    <mergeCell ref="A9:H9"/>
    <mergeCell ref="A10:H10"/>
    <mergeCell ref="A12:D12"/>
    <mergeCell ref="B260:D260"/>
    <mergeCell ref="A6:H6"/>
    <mergeCell ref="A1:H1"/>
    <mergeCell ref="A2:H2"/>
    <mergeCell ref="A3:H3"/>
    <mergeCell ref="A4:H4"/>
    <mergeCell ref="A5:H5"/>
  </mergeCells>
  <printOptions horizontalCentered="1"/>
  <pageMargins left="0.28000000000000003" right="0.23" top="0.51" bottom="0.56000000000000005" header="0.3" footer="0.31"/>
  <pageSetup scale="80" orientation="landscape" horizontalDpi="4294967293" r:id="rId1"/>
  <headerFooter alignWithMargins="0">
    <oddFooter>&amp;C&amp;"Times New Roman,Regular"Page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1480C-395E-4FDD-A896-D0C66B1F0F75}">
  <sheetPr>
    <tabColor rgb="FFFF0000"/>
    <pageSetUpPr fitToPage="1"/>
  </sheetPr>
  <dimension ref="B1:F52"/>
  <sheetViews>
    <sheetView view="pageLayout" zoomScaleNormal="100" workbookViewId="0">
      <selection activeCell="B9" sqref="B9"/>
    </sheetView>
  </sheetViews>
  <sheetFormatPr defaultColWidth="8.8203125" defaultRowHeight="12.6" x14ac:dyDescent="0.45"/>
  <cols>
    <col min="1" max="1" width="4.46875" style="225" customWidth="1"/>
    <col min="2" max="2" width="65.52734375" style="225" customWidth="1"/>
    <col min="3" max="3" width="19.5859375" style="230" customWidth="1"/>
    <col min="4" max="4" width="8.8203125" style="225"/>
    <col min="5" max="6" width="0" style="225" hidden="1" customWidth="1"/>
    <col min="7" max="16384" width="8.8203125" style="225"/>
  </cols>
  <sheetData>
    <row r="1" spans="2:6" ht="18" customHeight="1" x14ac:dyDescent="0.45">
      <c r="B1" s="231" t="s">
        <v>4949</v>
      </c>
      <c r="C1" s="232"/>
    </row>
    <row r="2" spans="2:6" x14ac:dyDescent="0.45">
      <c r="B2" s="233" t="s">
        <v>4950</v>
      </c>
      <c r="C2" s="234"/>
    </row>
    <row r="3" spans="2:6" x14ac:dyDescent="0.45">
      <c r="B3" s="233" t="s">
        <v>4951</v>
      </c>
      <c r="C3" s="234"/>
    </row>
    <row r="4" spans="2:6" ht="18" customHeight="1" x14ac:dyDescent="0.45">
      <c r="B4" s="235" t="s">
        <v>4952</v>
      </c>
      <c r="C4" s="236">
        <f>SUM(C2:C3)</f>
        <v>0</v>
      </c>
    </row>
    <row r="5" spans="2:6" x14ac:dyDescent="0.45">
      <c r="B5" s="237"/>
      <c r="C5" s="238"/>
    </row>
    <row r="6" spans="2:6" ht="18" customHeight="1" x14ac:dyDescent="0.45">
      <c r="B6" s="231" t="s">
        <v>4953</v>
      </c>
      <c r="C6" s="234"/>
    </row>
    <row r="7" spans="2:6" x14ac:dyDescent="0.45">
      <c r="B7" s="239" t="s">
        <v>4954</v>
      </c>
      <c r="C7" s="234"/>
      <c r="E7" s="226" t="e">
        <f>C7/C2</f>
        <v>#DIV/0!</v>
      </c>
      <c r="F7" s="227" t="s">
        <v>4955</v>
      </c>
    </row>
    <row r="8" spans="2:6" x14ac:dyDescent="0.45">
      <c r="B8" s="239" t="s">
        <v>4956</v>
      </c>
      <c r="C8" s="234"/>
      <c r="E8" s="228"/>
      <c r="F8" s="227"/>
    </row>
    <row r="9" spans="2:6" ht="18" customHeight="1" x14ac:dyDescent="0.45">
      <c r="B9" s="240" t="s">
        <v>4957</v>
      </c>
      <c r="C9" s="236">
        <f>SUM(C7:C8)</f>
        <v>0</v>
      </c>
      <c r="E9" s="228"/>
      <c r="F9" s="227"/>
    </row>
    <row r="10" spans="2:6" x14ac:dyDescent="0.45">
      <c r="B10" s="237"/>
      <c r="C10" s="238"/>
      <c r="E10" s="228" t="e">
        <f>C8/C3</f>
        <v>#DIV/0!</v>
      </c>
      <c r="F10" s="227" t="s">
        <v>4958</v>
      </c>
    </row>
    <row r="11" spans="2:6" ht="18" customHeight="1" x14ac:dyDescent="0.45">
      <c r="B11" s="231" t="s">
        <v>4959</v>
      </c>
      <c r="C11" s="234"/>
      <c r="E11" s="228"/>
      <c r="F11" s="227"/>
    </row>
    <row r="12" spans="2:6" x14ac:dyDescent="0.45">
      <c r="B12" s="239" t="s">
        <v>4960</v>
      </c>
      <c r="C12" s="234"/>
      <c r="E12" s="228" t="e">
        <f>C12/C7</f>
        <v>#DIV/0!</v>
      </c>
      <c r="F12" s="227" t="s">
        <v>4955</v>
      </c>
    </row>
    <row r="13" spans="2:6" x14ac:dyDescent="0.45">
      <c r="B13" s="239" t="s">
        <v>4961</v>
      </c>
      <c r="C13" s="234"/>
      <c r="E13" s="228"/>
      <c r="F13" s="227"/>
    </row>
    <row r="14" spans="2:6" ht="18" customHeight="1" x14ac:dyDescent="0.45">
      <c r="B14" s="240" t="s">
        <v>4962</v>
      </c>
      <c r="C14" s="236">
        <f>SUM(C12:C13)</f>
        <v>0</v>
      </c>
      <c r="E14" s="228"/>
      <c r="F14" s="227"/>
    </row>
    <row r="15" spans="2:6" x14ac:dyDescent="0.45">
      <c r="B15" s="237"/>
      <c r="C15" s="238"/>
      <c r="E15" s="228" t="e">
        <f>C13/C8</f>
        <v>#DIV/0!</v>
      </c>
      <c r="F15" s="227" t="s">
        <v>4958</v>
      </c>
    </row>
    <row r="16" spans="2:6" ht="18" customHeight="1" x14ac:dyDescent="0.45">
      <c r="B16" s="231" t="s">
        <v>4963</v>
      </c>
      <c r="C16" s="234"/>
      <c r="E16" s="228"/>
      <c r="F16" s="227"/>
    </row>
    <row r="17" spans="2:6" x14ac:dyDescent="0.45">
      <c r="B17" s="239" t="s">
        <v>4964</v>
      </c>
      <c r="C17" s="234"/>
      <c r="E17" s="228" t="e">
        <f>C17/C12</f>
        <v>#DIV/0!</v>
      </c>
      <c r="F17" s="227" t="s">
        <v>4955</v>
      </c>
    </row>
    <row r="18" spans="2:6" x14ac:dyDescent="0.45">
      <c r="B18" s="239" t="s">
        <v>4965</v>
      </c>
      <c r="C18" s="234"/>
      <c r="E18" s="228"/>
      <c r="F18" s="227"/>
    </row>
    <row r="19" spans="2:6" ht="18" customHeight="1" x14ac:dyDescent="0.45">
      <c r="B19" s="240" t="s">
        <v>4966</v>
      </c>
      <c r="C19" s="236">
        <f>SUM(C17:C18)</f>
        <v>0</v>
      </c>
      <c r="E19" s="228"/>
      <c r="F19" s="227"/>
    </row>
    <row r="20" spans="2:6" x14ac:dyDescent="0.45">
      <c r="B20" s="237"/>
      <c r="C20" s="238"/>
      <c r="E20" s="228" t="e">
        <f>C18/C13</f>
        <v>#DIV/0!</v>
      </c>
      <c r="F20" s="227" t="s">
        <v>4958</v>
      </c>
    </row>
    <row r="21" spans="2:6" ht="18" customHeight="1" x14ac:dyDescent="0.45">
      <c r="B21" s="231" t="s">
        <v>4967</v>
      </c>
      <c r="C21" s="234"/>
      <c r="E21" s="228"/>
      <c r="F21" s="227"/>
    </row>
    <row r="22" spans="2:6" x14ac:dyDescent="0.45">
      <c r="B22" s="239" t="s">
        <v>4968</v>
      </c>
      <c r="C22" s="234"/>
      <c r="E22" s="228" t="e">
        <f>C22/C17</f>
        <v>#DIV/0!</v>
      </c>
      <c r="F22" s="227" t="s">
        <v>4955</v>
      </c>
    </row>
    <row r="23" spans="2:6" x14ac:dyDescent="0.45">
      <c r="B23" s="239" t="s">
        <v>4969</v>
      </c>
      <c r="C23" s="234"/>
      <c r="E23" s="228"/>
      <c r="F23" s="227"/>
    </row>
    <row r="24" spans="2:6" ht="18" customHeight="1" x14ac:dyDescent="0.45">
      <c r="B24" s="240" t="s">
        <v>4970</v>
      </c>
      <c r="C24" s="236">
        <f>SUM(C22:C23)</f>
        <v>0</v>
      </c>
      <c r="E24" s="228"/>
      <c r="F24" s="227"/>
    </row>
    <row r="25" spans="2:6" x14ac:dyDescent="0.45">
      <c r="B25" s="237"/>
      <c r="C25" s="238"/>
      <c r="E25" s="228" t="e">
        <f>C23/C18</f>
        <v>#DIV/0!</v>
      </c>
      <c r="F25" s="227" t="s">
        <v>4958</v>
      </c>
    </row>
    <row r="26" spans="2:6" ht="18" customHeight="1" x14ac:dyDescent="0.45">
      <c r="B26" s="231" t="s">
        <v>4971</v>
      </c>
      <c r="C26" s="234"/>
      <c r="E26" s="228"/>
      <c r="F26" s="227"/>
    </row>
    <row r="27" spans="2:6" x14ac:dyDescent="0.45">
      <c r="B27" s="239" t="s">
        <v>4972</v>
      </c>
      <c r="C27" s="234"/>
      <c r="E27" s="228" t="e">
        <f>C27/C22</f>
        <v>#DIV/0!</v>
      </c>
      <c r="F27" s="227" t="s">
        <v>4955</v>
      </c>
    </row>
    <row r="28" spans="2:6" x14ac:dyDescent="0.45">
      <c r="B28" s="239" t="s">
        <v>4973</v>
      </c>
      <c r="C28" s="234"/>
      <c r="E28" s="228"/>
      <c r="F28" s="227"/>
    </row>
    <row r="29" spans="2:6" ht="18" customHeight="1" x14ac:dyDescent="0.45">
      <c r="B29" s="240" t="s">
        <v>4974</v>
      </c>
      <c r="C29" s="236">
        <f>SUM(C27:C28)</f>
        <v>0</v>
      </c>
      <c r="E29" s="228"/>
      <c r="F29" s="227"/>
    </row>
    <row r="30" spans="2:6" x14ac:dyDescent="0.45">
      <c r="B30" s="237"/>
      <c r="C30" s="238"/>
      <c r="E30" s="228" t="e">
        <f>C28/C23</f>
        <v>#DIV/0!</v>
      </c>
      <c r="F30" s="227" t="s">
        <v>4958</v>
      </c>
    </row>
    <row r="31" spans="2:6" ht="18" customHeight="1" x14ac:dyDescent="0.45">
      <c r="B31" s="231" t="s">
        <v>4975</v>
      </c>
      <c r="C31" s="234"/>
      <c r="E31" s="228"/>
      <c r="F31" s="227"/>
    </row>
    <row r="32" spans="2:6" x14ac:dyDescent="0.45">
      <c r="B32" s="239" t="s">
        <v>4976</v>
      </c>
      <c r="C32" s="234"/>
      <c r="E32" s="228" t="e">
        <f>C32/C27</f>
        <v>#DIV/0!</v>
      </c>
      <c r="F32" s="227" t="s">
        <v>4955</v>
      </c>
    </row>
    <row r="33" spans="2:6" x14ac:dyDescent="0.45">
      <c r="B33" s="239" t="s">
        <v>4977</v>
      </c>
      <c r="C33" s="234"/>
      <c r="E33" s="228"/>
      <c r="F33" s="227"/>
    </row>
    <row r="34" spans="2:6" ht="18" customHeight="1" x14ac:dyDescent="0.45">
      <c r="B34" s="240" t="s">
        <v>4978</v>
      </c>
      <c r="C34" s="236">
        <f>SUM(C32:C33)</f>
        <v>0</v>
      </c>
      <c r="E34" s="228"/>
      <c r="F34" s="227"/>
    </row>
    <row r="35" spans="2:6" x14ac:dyDescent="0.45">
      <c r="B35" s="237"/>
      <c r="C35" s="238"/>
      <c r="E35" s="228" t="e">
        <f>C38/C33</f>
        <v>#DIV/0!</v>
      </c>
      <c r="F35" s="227" t="s">
        <v>4958</v>
      </c>
    </row>
    <row r="36" spans="2:6" ht="18" customHeight="1" x14ac:dyDescent="0.45">
      <c r="B36" s="231" t="s">
        <v>4979</v>
      </c>
      <c r="C36" s="234"/>
      <c r="E36" s="228"/>
      <c r="F36" s="227"/>
    </row>
    <row r="37" spans="2:6" x14ac:dyDescent="0.45">
      <c r="B37" s="239" t="s">
        <v>4980</v>
      </c>
      <c r="C37" s="234"/>
      <c r="E37" s="228" t="e">
        <f>C37/C32</f>
        <v>#DIV/0!</v>
      </c>
      <c r="F37" s="227" t="s">
        <v>4955</v>
      </c>
    </row>
    <row r="38" spans="2:6" x14ac:dyDescent="0.45">
      <c r="B38" s="239" t="s">
        <v>4981</v>
      </c>
      <c r="C38" s="234"/>
      <c r="E38" s="229"/>
      <c r="F38" s="227"/>
    </row>
    <row r="39" spans="2:6" ht="18" customHeight="1" x14ac:dyDescent="0.45">
      <c r="B39" s="240" t="s">
        <v>4982</v>
      </c>
      <c r="C39" s="236">
        <f>SUM(C37:C38)</f>
        <v>0</v>
      </c>
      <c r="E39" s="229"/>
      <c r="F39" s="227"/>
    </row>
    <row r="40" spans="2:6" x14ac:dyDescent="0.45">
      <c r="B40" s="237"/>
      <c r="C40" s="238"/>
      <c r="E40" s="228" t="e">
        <f>C43/C38</f>
        <v>#DIV/0!</v>
      </c>
      <c r="F40" s="227" t="s">
        <v>4958</v>
      </c>
    </row>
    <row r="41" spans="2:6" ht="18" customHeight="1" x14ac:dyDescent="0.45">
      <c r="B41" s="231" t="s">
        <v>4983</v>
      </c>
      <c r="C41" s="234"/>
      <c r="E41" s="228"/>
      <c r="F41" s="227"/>
    </row>
    <row r="42" spans="2:6" x14ac:dyDescent="0.45">
      <c r="B42" s="239" t="s">
        <v>4984</v>
      </c>
      <c r="C42" s="234"/>
      <c r="E42" s="228" t="e">
        <f>C42/C37</f>
        <v>#DIV/0!</v>
      </c>
      <c r="F42" s="227" t="s">
        <v>4955</v>
      </c>
    </row>
    <row r="43" spans="2:6" x14ac:dyDescent="0.45">
      <c r="B43" s="239" t="s">
        <v>4985</v>
      </c>
      <c r="C43" s="234"/>
      <c r="E43" s="229"/>
      <c r="F43" s="227"/>
    </row>
    <row r="44" spans="2:6" ht="18" customHeight="1" x14ac:dyDescent="0.45">
      <c r="B44" s="240" t="s">
        <v>4986</v>
      </c>
      <c r="C44" s="236">
        <f>SUM(C42:C43)</f>
        <v>0</v>
      </c>
      <c r="E44" s="229"/>
      <c r="F44" s="227"/>
    </row>
    <row r="45" spans="2:6" ht="12.9" thickBot="1" x14ac:dyDescent="0.5">
      <c r="B45" s="237"/>
      <c r="C45" s="238"/>
      <c r="E45" s="228" t="e">
        <f>#REF!/C43</f>
        <v>#REF!</v>
      </c>
      <c r="F45" s="227" t="s">
        <v>4958</v>
      </c>
    </row>
    <row r="46" spans="2:6" ht="18" customHeight="1" thickBot="1" x14ac:dyDescent="0.5">
      <c r="B46" s="241" t="s">
        <v>4987</v>
      </c>
      <c r="C46" s="242"/>
      <c r="E46" s="229"/>
      <c r="F46" s="227"/>
    </row>
    <row r="47" spans="2:6" x14ac:dyDescent="0.45">
      <c r="B47" s="237"/>
      <c r="C47" s="243"/>
    </row>
    <row r="48" spans="2:6" x14ac:dyDescent="0.45">
      <c r="B48" s="237"/>
      <c r="C48" s="243"/>
    </row>
    <row r="49" spans="2:3" ht="12.9" thickBot="1" x14ac:dyDescent="0.5">
      <c r="B49" s="237"/>
      <c r="C49" s="243"/>
    </row>
    <row r="50" spans="2:3" ht="18" customHeight="1" thickBot="1" x14ac:dyDescent="0.5">
      <c r="B50" s="244" t="s">
        <v>4988</v>
      </c>
      <c r="C50" s="245">
        <f>SUM(C2,C7,C12,C17,C22,C27,C32,C37,C42)</f>
        <v>0</v>
      </c>
    </row>
    <row r="51" spans="2:3" ht="18" customHeight="1" thickBot="1" x14ac:dyDescent="0.5">
      <c r="B51" s="244" t="s">
        <v>4989</v>
      </c>
      <c r="C51" s="245">
        <f>SUM(C3,C8,C13,C18,C23,C28,C33,C38,C43)</f>
        <v>0</v>
      </c>
    </row>
    <row r="52" spans="2:3" ht="18" customHeight="1" thickBot="1" x14ac:dyDescent="0.5">
      <c r="B52" s="244" t="s">
        <v>4990</v>
      </c>
      <c r="C52" s="245">
        <f>SUM(C4,C9,C14,C19,C24,C29,C34,C39,C44)</f>
        <v>0</v>
      </c>
    </row>
  </sheetData>
  <pageMargins left="0.2" right="0.2" top="0.5" bottom="0.5" header="0.3" footer="0.3"/>
  <pageSetup fitToHeight="0" orientation="portrait" r:id="rId1"/>
  <headerFooter>
    <oddHeader>&amp;C&amp;"-,Bold"&amp;S&amp;KFF0000COST &amp; PRICE SUMMARY RECAPITULATION SHEET COVERING SIGONELLA BOS</oddHeader>
    <oddFooter>&amp;CSheet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AA1613BAC3900448427BCC962077BE5" ma:contentTypeVersion="3" ma:contentTypeDescription="Create a new document." ma:contentTypeScope="" ma:versionID="1eeb476b6817e46e306601012bfd54fa">
  <xsd:schema xmlns:xsd="http://www.w3.org/2001/XMLSchema" xmlns:xs="http://www.w3.org/2001/XMLSchema" xmlns:p="http://schemas.microsoft.com/office/2006/metadata/properties" xmlns:ns2="e9589737-e1fb-4fd4-8666-ea78f5cf4eb3" targetNamespace="http://schemas.microsoft.com/office/2006/metadata/properties" ma:root="true" ma:fieldsID="e4d09c53ed0b4b70e26e620febe4b7c1" ns2:_="">
    <xsd:import namespace="e9589737-e1fb-4fd4-8666-ea78f5cf4eb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589737-e1fb-4fd4-8666-ea78f5cf4e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2B59D72-056F-4FD5-BA0B-075CC6FBE553}">
  <ds:schemaRefs>
    <ds:schemaRef ds:uri="http://schemas.microsoft.com/sharepoint/v3/contenttype/forms"/>
  </ds:schemaRefs>
</ds:datastoreItem>
</file>

<file path=customXml/itemProps2.xml><?xml version="1.0" encoding="utf-8"?>
<ds:datastoreItem xmlns:ds="http://schemas.openxmlformats.org/officeDocument/2006/customXml" ds:itemID="{97E0D0C2-9097-4D46-B5CA-8479AA23DD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589737-e1fb-4fd4-8666-ea78f5cf4e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4CB376-D24B-41D2-A1CC-8FBAFA777D57}">
  <ds:schemaRefs>
    <ds:schemaRef ds:uri="e9589737-e1fb-4fd4-8666-ea78f5cf4eb3"/>
    <ds:schemaRef ds:uri="http://purl.org/dc/dcmitype/"/>
    <ds:schemaRef ds:uri="http://purl.org/dc/terms/"/>
    <ds:schemaRef ds:uri="http://schemas.microsoft.com/office/infopath/2007/PartnerControls"/>
    <ds:schemaRef ds:uri="http://purl.org/dc/elements/1.1/"/>
    <ds:schemaRef ds:uri="http://schemas.microsoft.com/office/2006/documentManagement/types"/>
    <ds:schemaRef ds:uri="http://schemas.microsoft.com/office/2006/metadata/properties"/>
    <ds:schemaRef ds:uri="http://www.w3.org/XML/1998/namespace"/>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36</vt:i4>
      </vt:variant>
    </vt:vector>
  </HeadingPairs>
  <TitlesOfParts>
    <vt:vector size="55" baseType="lpstr">
      <vt:lpstr>CLIN 001 - Base Period - RW </vt:lpstr>
      <vt:lpstr>CLIN 002 - Base Period - NRW</vt:lpstr>
      <vt:lpstr>CLIN 003 - 1st OP - RW</vt:lpstr>
      <vt:lpstr>CLIN 004 - 1st OP - NRW</vt:lpstr>
      <vt:lpstr>CLIN 005 - 2nd OP - RW</vt:lpstr>
      <vt:lpstr>CLIN 006 - 2nd OP - NRW</vt:lpstr>
      <vt:lpstr>CLIN 007 - 3rd OP - RW</vt:lpstr>
      <vt:lpstr>CLIN 008 - 3rd OP - NRW</vt:lpstr>
      <vt:lpstr>CLIN 009 - 4th OP - RW</vt:lpstr>
      <vt:lpstr>CLIN 010 - 4th OP - NRW</vt:lpstr>
      <vt:lpstr>CLIN 011 - 5th OP - RW</vt:lpstr>
      <vt:lpstr>CLIN 012 - 5th OP - NRW</vt:lpstr>
      <vt:lpstr>CLIN 013 - 6th OP - RW</vt:lpstr>
      <vt:lpstr>CLIN 014 - 6th OP - NRW</vt:lpstr>
      <vt:lpstr>CLIN 015 - 7th OP - RW</vt:lpstr>
      <vt:lpstr>CLIN 016 - 7th OP - NRW</vt:lpstr>
      <vt:lpstr>CLIN 017 - 8th OP - RW (6 Mos) </vt:lpstr>
      <vt:lpstr>CLIN 018 - 8th OP - NRW (6 Mos)</vt:lpstr>
      <vt:lpstr>C&amp;P Sum (Recap)</vt:lpstr>
      <vt:lpstr>'CLIN 001 - Base Period - RW '!Print_Area</vt:lpstr>
      <vt:lpstr>'CLIN 002 - Base Period - NRW'!Print_Area</vt:lpstr>
      <vt:lpstr>'CLIN 003 - 1st OP - RW'!Print_Area</vt:lpstr>
      <vt:lpstr>'CLIN 004 - 1st OP - NRW'!Print_Area</vt:lpstr>
      <vt:lpstr>'CLIN 005 - 2nd OP - RW'!Print_Area</vt:lpstr>
      <vt:lpstr>'CLIN 006 - 2nd OP - NRW'!Print_Area</vt:lpstr>
      <vt:lpstr>'CLIN 007 - 3rd OP - RW'!Print_Area</vt:lpstr>
      <vt:lpstr>'CLIN 008 - 3rd OP - NRW'!Print_Area</vt:lpstr>
      <vt:lpstr>'CLIN 009 - 4th OP - RW'!Print_Area</vt:lpstr>
      <vt:lpstr>'CLIN 010 - 4th OP - NRW'!Print_Area</vt:lpstr>
      <vt:lpstr>'CLIN 011 - 5th OP - RW'!Print_Area</vt:lpstr>
      <vt:lpstr>'CLIN 012 - 5th OP - NRW'!Print_Area</vt:lpstr>
      <vt:lpstr>'CLIN 013 - 6th OP - RW'!Print_Area</vt:lpstr>
      <vt:lpstr>'CLIN 014 - 6th OP - NRW'!Print_Area</vt:lpstr>
      <vt:lpstr>'CLIN 015 - 7th OP - RW'!Print_Area</vt:lpstr>
      <vt:lpstr>'CLIN 016 - 7th OP - NRW'!Print_Area</vt:lpstr>
      <vt:lpstr>'CLIN 017 - 8th OP - RW (6 Mos) '!Print_Area</vt:lpstr>
      <vt:lpstr>'CLIN 018 - 8th OP - NRW (6 Mos)'!Print_Area</vt:lpstr>
      <vt:lpstr>'CLIN 001 - Base Period - RW '!Print_Titles</vt:lpstr>
      <vt:lpstr>'CLIN 002 - Base Period - NRW'!Print_Titles</vt:lpstr>
      <vt:lpstr>'CLIN 003 - 1st OP - RW'!Print_Titles</vt:lpstr>
      <vt:lpstr>'CLIN 004 - 1st OP - NRW'!Print_Titles</vt:lpstr>
      <vt:lpstr>'CLIN 005 - 2nd OP - RW'!Print_Titles</vt:lpstr>
      <vt:lpstr>'CLIN 006 - 2nd OP - NRW'!Print_Titles</vt:lpstr>
      <vt:lpstr>'CLIN 007 - 3rd OP - RW'!Print_Titles</vt:lpstr>
      <vt:lpstr>'CLIN 008 - 3rd OP - NRW'!Print_Titles</vt:lpstr>
      <vt:lpstr>'CLIN 009 - 4th OP - RW'!Print_Titles</vt:lpstr>
      <vt:lpstr>'CLIN 010 - 4th OP - NRW'!Print_Titles</vt:lpstr>
      <vt:lpstr>'CLIN 011 - 5th OP - RW'!Print_Titles</vt:lpstr>
      <vt:lpstr>'CLIN 012 - 5th OP - NRW'!Print_Titles</vt:lpstr>
      <vt:lpstr>'CLIN 013 - 6th OP - RW'!Print_Titles</vt:lpstr>
      <vt:lpstr>'CLIN 014 - 6th OP - NRW'!Print_Titles</vt:lpstr>
      <vt:lpstr>'CLIN 015 - 7th OP - RW'!Print_Titles</vt:lpstr>
      <vt:lpstr>'CLIN 016 - 7th OP - NRW'!Print_Titles</vt:lpstr>
      <vt:lpstr>'CLIN 017 - 8th OP - RW (6 Mos) '!Print_Titles</vt:lpstr>
      <vt:lpstr>'CLIN 018 - 8th OP - NRW (6 Mos)'!Print_Titles</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Alba, Crisostomo B CIV USN NAVFAC LANT NOR VA (USA)</dc:creator>
  <cp:lastModifiedBy>Bellinger, Emma C CIV USN NAVFAC LANT NOR VA (USA)</cp:lastModifiedBy>
  <dcterms:created xsi:type="dcterms:W3CDTF">2025-08-14T15:24:05Z</dcterms:created>
  <dcterms:modified xsi:type="dcterms:W3CDTF">2025-12-03T19:33:43Z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0x0101007AA1613BAC3900448427BCC962077BE5</vt:lpwstr>
  </property>
</Properties>
</file>