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vagov-my.sharepoint.com/personal/marcos_diaz_va_gov/Documents/Desktop/1 691 Waveform Gen/"/>
    </mc:Choice>
  </mc:AlternateContent>
  <xr:revisionPtr revIDLastSave="156" documentId="13_ncr:1_{25309648-13C1-4E98-BFB0-65B904DC3CA1}" xr6:coauthVersionLast="47" xr6:coauthVersionMax="47" xr10:uidLastSave="{68FDF350-EA16-4B85-82D3-7A9BA9B61348}"/>
  <bookViews>
    <workbookView xWindow="31605" yWindow="1080" windowWidth="25665" windowHeight="13425" xr2:uid="{D31AFFB8-1CDE-4389-82FF-3CBF3C3644B5}"/>
  </bookViews>
  <sheets>
    <sheet name="1 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N4" i="1"/>
  <c r="N2" i="1"/>
  <c r="N6" i="1" l="1"/>
</calcChain>
</file>

<file path=xl/sharedStrings.xml><?xml version="1.0" encoding="utf-8"?>
<sst xmlns="http://schemas.openxmlformats.org/spreadsheetml/2006/main" count="31" uniqueCount="26">
  <si>
    <t>CLIN</t>
  </si>
  <si>
    <t>Salient Characteristics</t>
  </si>
  <si>
    <t>Equivalent Nomenclature</t>
  </si>
  <si>
    <t>Brand Name Nomenclature</t>
  </si>
  <si>
    <t>Equivalent Part Number</t>
  </si>
  <si>
    <t>Manufacturer Part Number</t>
  </si>
  <si>
    <t>Unit Price</t>
  </si>
  <si>
    <t>Extended Price</t>
  </si>
  <si>
    <t>Brand Name</t>
  </si>
  <si>
    <t>Equivalent Brand</t>
  </si>
  <si>
    <t>Equivalent Description Matching Salient Characteristics and/or location of information regarding equal capability</t>
  </si>
  <si>
    <t>TOTAL</t>
  </si>
  <si>
    <t>unit of measure/issue</t>
  </si>
  <si>
    <t>packaging multiple</t>
  </si>
  <si>
    <t>EA</t>
  </si>
  <si>
    <t>Quantity required (ANNUAL)</t>
  </si>
  <si>
    <t>HDcap (Size 56 &amp; 60)</t>
  </si>
  <si>
    <t>Soterix</t>
  </si>
  <si>
    <t>Medical MxN-5/33 PRO HD-tES Custom Waveform Generator</t>
  </si>
  <si>
    <t>HD-Explore Software</t>
  </si>
  <si>
    <t>0210E-5PRO</t>
  </si>
  <si>
    <t>HD-SWE</t>
  </si>
  <si>
    <t>41HDCXX</t>
  </si>
  <si>
    <t>Medical MxN-5/33 PRO HD-tES Custom Waveform Generator (including: connecting cables, 5 HD electrodes, 5 HD electrode holders, HDcap (size 58), 5 HD-GEL (250g), EASYcase, a blunt end syringe, and one laptop with pre-installed software)</t>
  </si>
  <si>
    <t>HD-Explore Software (Includes perpetual license with free upgrades to the latest release for the lifetime of the product) - Standard</t>
  </si>
  <si>
    <r>
      <t xml:space="preserve">See </t>
    </r>
    <r>
      <rPr>
        <b/>
        <sz val="11"/>
        <color theme="1"/>
        <rFont val="Calibri"/>
        <family val="2"/>
        <scheme val="minor"/>
      </rPr>
      <t>attachment B</t>
    </r>
    <r>
      <rPr>
        <sz val="11"/>
        <color theme="1"/>
        <rFont val="Calibri"/>
        <family val="2"/>
        <scheme val="minor"/>
      </rPr>
      <t xml:space="preserve"> for additional information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</si>
</sst>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r_ansi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</cellStyleXfs>
  <cellXfs count="17">
    <xf numFmtId="0" fontId="0" fillId="0" borderId="0" xfId="0"/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 wrapText="1"/>
    </xf>
    <xf numFmtId="44" fontId="0" fillId="0" borderId="1" xfId="1" applyFont="1" applyBorder="1" applyAlignment="1">
      <alignment horizontal="left" wrapText="1"/>
    </xf>
    <xf numFmtId="0" fontId="0" fillId="0" borderId="1" xfId="0" applyBorder="1" applyAlignment="1" applyProtection="1">
      <alignment horizontal="left" wrapText="1"/>
      <protection locked="0"/>
    </xf>
    <xf numFmtId="44" fontId="0" fillId="0" borderId="1" xfId="1" applyFont="1" applyBorder="1" applyAlignment="1" applyProtection="1">
      <alignment horizontal="left" wrapText="1"/>
      <protection locked="0"/>
    </xf>
    <xf numFmtId="0" fontId="2" fillId="0" borderId="2" xfId="2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44" fontId="2" fillId="0" borderId="2" xfId="2" applyNumberFormat="1" applyAlignment="1">
      <alignment horizontal="center" wrapText="1"/>
    </xf>
    <xf numFmtId="0" fontId="3" fillId="0" borderId="3" xfId="3" applyAlignment="1">
      <alignment horizontal="left" wrapText="1"/>
    </xf>
    <xf numFmtId="44" fontId="3" fillId="0" borderId="3" xfId="3" applyNumberFormat="1" applyAlignment="1">
      <alignment horizontal="left" wrapText="1"/>
    </xf>
    <xf numFmtId="0" fontId="0" fillId="0" borderId="0" xfId="0" applyAlignment="1">
      <alignment wrapText="1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left" wrapText="1"/>
    </xf>
    <xf numFmtId="0" fontId="5" fillId="0" borderId="0" xfId="0" applyFont="1" applyAlignment="1"/>
  </cellXfs>
  <cellStyles count="4">
    <cellStyle name="Currency" xfId="1" builtinId="4"/>
    <cellStyle name="Heading 1" xfId="2" builtinId="16"/>
    <cellStyle name="Normal" xfId="0" builtinId="0"/>
    <cellStyle name="Total" xfId="3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64D30-29D0-45B8-9D2D-2E9EAA875EC3}">
  <dimension ref="A1:N7"/>
  <sheetViews>
    <sheetView tabSelected="1" zoomScaleNormal="100" workbookViewId="0">
      <selection activeCell="D2" sqref="D2"/>
    </sheetView>
  </sheetViews>
  <sheetFormatPr defaultColWidth="9.140625" defaultRowHeight="15" x14ac:dyDescent="0.25"/>
  <cols>
    <col min="1" max="1" width="6.5703125" style="2" bestFit="1" customWidth="1"/>
    <col min="2" max="2" width="8.42578125" style="2" bestFit="1" customWidth="1"/>
    <col min="3" max="3" width="25.5703125" style="2" bestFit="1" customWidth="1"/>
    <col min="4" max="4" width="18" style="2" bestFit="1" customWidth="1"/>
    <col min="5" max="5" width="34.7109375" style="2" customWidth="1"/>
    <col min="6" max="6" width="14.140625" style="2" customWidth="1"/>
    <col min="7" max="7" width="18.5703125" style="2" customWidth="1"/>
    <col min="8" max="8" width="14.140625" style="2" customWidth="1"/>
    <col min="9" max="9" width="29.7109375" style="2" customWidth="1"/>
    <col min="10" max="10" width="12.85546875" style="2" customWidth="1"/>
    <col min="11" max="11" width="13.140625" style="2" customWidth="1"/>
    <col min="12" max="12" width="13.85546875" style="2" customWidth="1"/>
    <col min="13" max="14" width="20.7109375" style="2" customWidth="1"/>
    <col min="15" max="16384" width="9.140625" style="2"/>
  </cols>
  <sheetData>
    <row r="1" spans="1:14" ht="117.75" thickBot="1" x14ac:dyDescent="0.35">
      <c r="A1" s="7" t="s">
        <v>0</v>
      </c>
      <c r="B1" s="7" t="s">
        <v>8</v>
      </c>
      <c r="C1" s="7" t="s">
        <v>3</v>
      </c>
      <c r="D1" s="7" t="s">
        <v>5</v>
      </c>
      <c r="E1" s="7" t="s">
        <v>1</v>
      </c>
      <c r="F1" s="7" t="s">
        <v>9</v>
      </c>
      <c r="G1" s="7" t="s">
        <v>2</v>
      </c>
      <c r="H1" s="7" t="s">
        <v>4</v>
      </c>
      <c r="I1" s="7" t="s">
        <v>10</v>
      </c>
      <c r="J1" s="7" t="s">
        <v>12</v>
      </c>
      <c r="K1" s="7" t="s">
        <v>13</v>
      </c>
      <c r="L1" s="7" t="s">
        <v>15</v>
      </c>
      <c r="M1" s="9" t="s">
        <v>6</v>
      </c>
      <c r="N1" s="9" t="s">
        <v>7</v>
      </c>
    </row>
    <row r="2" spans="1:14" ht="120.75" thickTop="1" x14ac:dyDescent="0.25">
      <c r="A2" s="3">
        <v>1</v>
      </c>
      <c r="B2" s="1" t="s">
        <v>17</v>
      </c>
      <c r="C2" s="15" t="s">
        <v>18</v>
      </c>
      <c r="D2" s="16" t="s">
        <v>20</v>
      </c>
      <c r="E2" s="12" t="s">
        <v>23</v>
      </c>
      <c r="F2" s="5"/>
      <c r="G2" s="5"/>
      <c r="H2" s="5"/>
      <c r="I2" s="5"/>
      <c r="J2" s="5" t="s">
        <v>14</v>
      </c>
      <c r="K2" s="5"/>
      <c r="L2" s="14">
        <v>1</v>
      </c>
      <c r="M2" s="6"/>
      <c r="N2" s="4">
        <f>SUM(M2*L2)</f>
        <v>0</v>
      </c>
    </row>
    <row r="3" spans="1:14" ht="60" x14ac:dyDescent="0.25">
      <c r="A3" s="3">
        <v>2</v>
      </c>
      <c r="B3" s="1" t="s">
        <v>17</v>
      </c>
      <c r="C3" s="15" t="s">
        <v>19</v>
      </c>
      <c r="D3" s="13" t="s">
        <v>21</v>
      </c>
      <c r="E3" s="1" t="s">
        <v>24</v>
      </c>
      <c r="F3" s="5"/>
      <c r="G3" s="5"/>
      <c r="H3" s="5"/>
      <c r="I3" s="5"/>
      <c r="J3" s="5" t="s">
        <v>14</v>
      </c>
      <c r="K3" s="5"/>
      <c r="L3" s="8">
        <v>1</v>
      </c>
      <c r="M3" s="6"/>
      <c r="N3" s="4">
        <f t="shared" ref="N3:N4" si="0">SUM(M3*L3)</f>
        <v>0</v>
      </c>
    </row>
    <row r="4" spans="1:14" x14ac:dyDescent="0.25">
      <c r="A4" s="3">
        <v>3</v>
      </c>
      <c r="B4" s="1" t="s">
        <v>17</v>
      </c>
      <c r="C4" s="16" t="s">
        <v>16</v>
      </c>
      <c r="D4" s="13" t="s">
        <v>22</v>
      </c>
      <c r="E4" s="12" t="s">
        <v>16</v>
      </c>
      <c r="F4" s="5"/>
      <c r="G4" s="5"/>
      <c r="H4" s="5"/>
      <c r="I4" s="5"/>
      <c r="J4" s="5" t="s">
        <v>14</v>
      </c>
      <c r="K4" s="5"/>
      <c r="L4" s="8">
        <v>2</v>
      </c>
      <c r="M4" s="6"/>
      <c r="N4" s="4">
        <f t="shared" si="0"/>
        <v>0</v>
      </c>
    </row>
    <row r="5" spans="1:14" ht="30" x14ac:dyDescent="0.25">
      <c r="A5" s="3"/>
      <c r="B5" s="1"/>
      <c r="C5" s="1"/>
      <c r="D5" s="1"/>
      <c r="E5" s="1" t="s">
        <v>25</v>
      </c>
      <c r="F5" s="5"/>
      <c r="G5" s="5"/>
      <c r="H5" s="5"/>
      <c r="I5" s="5"/>
      <c r="J5" s="5"/>
      <c r="K5" s="5"/>
      <c r="L5" s="1"/>
      <c r="M5" s="6"/>
      <c r="N5" s="4"/>
    </row>
    <row r="6" spans="1:14" ht="15.75" thickBot="1" x14ac:dyDescent="0.3">
      <c r="M6" s="10" t="s">
        <v>11</v>
      </c>
      <c r="N6" s="11">
        <f>SUM(N2:N5)</f>
        <v>0</v>
      </c>
    </row>
    <row r="7" spans="1:14" ht="15.75" thickTop="1" x14ac:dyDescent="0.25"/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Veterans Affairs</dc:creator>
  <cp:lastModifiedBy>Diaz, Marcos A.</cp:lastModifiedBy>
  <dcterms:created xsi:type="dcterms:W3CDTF">2020-01-27T23:53:43Z</dcterms:created>
  <dcterms:modified xsi:type="dcterms:W3CDTF">2026-04-02T19:09:02Z</dcterms:modified>
</cp:coreProperties>
</file>