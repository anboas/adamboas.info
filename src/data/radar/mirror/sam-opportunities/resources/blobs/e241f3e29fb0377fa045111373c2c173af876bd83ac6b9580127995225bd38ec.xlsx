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T\APTD\2032H321C00019_Vault Cafe\"/>
    </mc:Choice>
  </mc:AlternateContent>
  <xr:revisionPtr revIDLastSave="0" documentId="8_{4E1984D2-5FC0-4C51-88BE-D3E76CDE520E}" xr6:coauthVersionLast="47" xr6:coauthVersionMax="47" xr10:uidLastSave="{00000000-0000-0000-0000-000000000000}"/>
  <bookViews>
    <workbookView xWindow="30690" yWindow="1170" windowWidth="19050" windowHeight="1600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5" i="1"/>
  <c r="C34" i="1"/>
  <c r="C25" i="1"/>
  <c r="C22" i="1"/>
  <c r="C21" i="1"/>
  <c r="C16" i="1"/>
  <c r="C15" i="1"/>
  <c r="C14" i="1"/>
  <c r="C10" i="1"/>
  <c r="C9" i="1"/>
  <c r="C5" i="1"/>
  <c r="B38" i="1"/>
  <c r="B17" i="1" s="1"/>
  <c r="B18" i="1" s="1"/>
  <c r="C18" i="1" s="1"/>
  <c r="B23" i="1"/>
  <c r="C23" i="1" s="1"/>
  <c r="B11" i="1"/>
  <c r="C11" i="1" s="1"/>
  <c r="B6" i="1"/>
  <c r="C6" i="1" s="1"/>
  <c r="C17" i="1" l="1"/>
  <c r="C38" i="1"/>
  <c r="B27" i="1"/>
  <c r="B28" i="1" l="1"/>
  <c r="B30" i="1" s="1"/>
</calcChain>
</file>

<file path=xl/sharedStrings.xml><?xml version="1.0" encoding="utf-8"?>
<sst xmlns="http://schemas.openxmlformats.org/spreadsheetml/2006/main" count="32" uniqueCount="32">
  <si>
    <r>
      <rPr>
        <b/>
        <sz val="11"/>
        <rFont val="Arial"/>
        <family val="2"/>
      </rPr>
      <t xml:space="preserve">EXAMPLE
</t>
    </r>
    <r>
      <rPr>
        <b/>
        <sz val="11"/>
        <rFont val="Arial"/>
        <family val="2"/>
      </rPr>
      <t xml:space="preserve">DEPARTMENT OF THE TREASURY
</t>
    </r>
    <r>
      <rPr>
        <b/>
        <sz val="11"/>
        <rFont val="Arial"/>
        <family val="2"/>
      </rPr>
      <t>Income Statement 7/30/XXXX</t>
    </r>
  </si>
  <si>
    <r>
      <rPr>
        <u/>
        <sz val="8"/>
        <rFont val="Arial"/>
        <family val="2"/>
      </rPr>
      <t>        Actual            </t>
    </r>
  </si>
  <si>
    <r>
      <rPr>
        <b/>
        <sz val="14"/>
        <rFont val="Arial"/>
        <family val="2"/>
      </rPr>
      <t>Miscellaneous (Detail):</t>
    </r>
  </si>
  <si>
    <t>Labor Costs</t>
  </si>
  <si>
    <t>Gross Margin</t>
  </si>
  <si>
    <t>Non Controllable Expenses</t>
  </si>
  <si>
    <t>Total Controllable Expenses</t>
  </si>
  <si>
    <t>Sales</t>
  </si>
  <si>
    <t>Food Cost</t>
  </si>
  <si>
    <t>Salaries</t>
  </si>
  <si>
    <t>Employee Benefits</t>
  </si>
  <si>
    <t>Total Labor Costs</t>
  </si>
  <si>
    <t>Supplies</t>
  </si>
  <si>
    <t>Services Purchased</t>
  </si>
  <si>
    <t>Communications</t>
  </si>
  <si>
    <t>Miscellaneous</t>
  </si>
  <si>
    <t>Insurance</t>
  </si>
  <si>
    <t>Professional Services</t>
  </si>
  <si>
    <t>Total Non Controllables Expenses</t>
  </si>
  <si>
    <t>Administrative Fee/ G&amp;A</t>
  </si>
  <si>
    <t>Controllable Expenses</t>
  </si>
  <si>
    <t>Total Operating expenses</t>
  </si>
  <si>
    <t>Profit/Loss</t>
  </si>
  <si>
    <t>Guaranteed Profit</t>
  </si>
  <si>
    <t>Invoice amount</t>
  </si>
  <si>
    <t>%         </t>
  </si>
  <si>
    <t>Permints and Licenses</t>
  </si>
  <si>
    <t>CREDIT CARD FEES</t>
  </si>
  <si>
    <t>BANK FEES</t>
  </si>
  <si>
    <t>CASH SHORT/OVER</t>
  </si>
  <si>
    <t>Total Other Costs</t>
  </si>
  <si>
    <r>
      <t>* Requires to be supported by Staff Hours report that includes:</t>
    </r>
    <r>
      <rPr>
        <b/>
        <i/>
        <sz val="12"/>
        <color rgb="FF000000"/>
        <rFont val="Times New Roman"/>
        <family val="1"/>
      </rPr>
      <t xml:space="preserve"> labor category; rate, number of hours, total amount.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</si>
</sst>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</numFmts>
  <fonts count="19" x14ac:knownFonts="1">
    <font>
      <sz val="10"/>
      <color rgb="FF000000"/>
      <name val="Times New Roman"/>
      <charset val="204"/>
    </font>
    <font>
      <sz val="8"/>
      <name val="Arial"/>
      <family val="2"/>
    </font>
    <font>
      <b/>
      <sz val="8.5"/>
      <color rgb="FF000000"/>
      <name val="Arial"/>
      <family val="2"/>
    </font>
    <font>
      <sz val="8"/>
      <color rgb="FF00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sz val="8.5"/>
      <color rgb="FF000000"/>
      <name val="Arial"/>
      <family val="2"/>
    </font>
    <font>
      <sz val="10"/>
      <color rgb="FF000000"/>
      <name val="Times New Roman"/>
      <family val="1"/>
    </font>
    <font>
      <b/>
      <sz val="8"/>
      <color rgb="FF000000"/>
      <name val="Arial"/>
      <family val="2"/>
    </font>
    <font>
      <i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6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/>
    </xf>
    <xf numFmtId="44" fontId="0" fillId="0" borderId="0" xfId="1" applyFont="1" applyFill="1" applyBorder="1" applyAlignment="1">
      <alignment horizontal="left" vertical="top"/>
    </xf>
    <xf numFmtId="0" fontId="9" fillId="0" borderId="0" xfId="0" applyFont="1" applyAlignment="1">
      <alignment vertical="top" wrapText="1"/>
    </xf>
    <xf numFmtId="164" fontId="3" fillId="0" borderId="0" xfId="0" applyNumberFormat="1" applyFont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6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top" wrapText="1"/>
    </xf>
    <xf numFmtId="164" fontId="3" fillId="0" borderId="9" xfId="0" applyNumberFormat="1" applyFont="1" applyBorder="1" applyAlignment="1">
      <alignment horizontal="center" vertical="top" shrinkToFit="1"/>
    </xf>
    <xf numFmtId="0" fontId="9" fillId="4" borderId="8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9" fillId="3" borderId="10" xfId="0" applyFont="1" applyFill="1" applyBorder="1" applyAlignment="1">
      <alignment vertical="top" wrapText="1"/>
    </xf>
    <xf numFmtId="164" fontId="3" fillId="0" borderId="12" xfId="0" applyNumberFormat="1" applyFont="1" applyBorder="1" applyAlignment="1">
      <alignment horizontal="center" vertical="top" shrinkToFit="1"/>
    </xf>
    <xf numFmtId="165" fontId="1" fillId="0" borderId="2" xfId="1" applyNumberFormat="1" applyFont="1" applyFill="1" applyBorder="1" applyAlignment="1">
      <alignment horizontal="center" vertical="top" wrapText="1"/>
    </xf>
    <xf numFmtId="165" fontId="11" fillId="0" borderId="4" xfId="1" applyNumberFormat="1" applyFont="1" applyFill="1" applyBorder="1" applyAlignment="1">
      <alignment horizontal="left" vertical="top"/>
    </xf>
    <xf numFmtId="165" fontId="11" fillId="4" borderId="4" xfId="1" applyNumberFormat="1" applyFont="1" applyFill="1" applyBorder="1" applyAlignment="1">
      <alignment horizontal="left" vertical="top"/>
    </xf>
    <xf numFmtId="165" fontId="11" fillId="2" borderId="4" xfId="1" applyNumberFormat="1" applyFont="1" applyFill="1" applyBorder="1" applyAlignment="1">
      <alignment horizontal="left" vertical="top"/>
    </xf>
    <xf numFmtId="165" fontId="11" fillId="3" borderId="11" xfId="1" applyNumberFormat="1" applyFont="1" applyFill="1" applyBorder="1" applyAlignment="1">
      <alignment horizontal="left" vertical="top"/>
    </xf>
    <xf numFmtId="165" fontId="11" fillId="0" borderId="0" xfId="1" applyNumberFormat="1" applyFont="1" applyFill="1" applyBorder="1" applyAlignment="1">
      <alignment horizontal="left" vertical="top"/>
    </xf>
    <xf numFmtId="165" fontId="0" fillId="0" borderId="0" xfId="1" applyNumberFormat="1" applyFont="1" applyFill="1" applyBorder="1" applyAlignment="1">
      <alignment horizontal="center" vertical="top"/>
    </xf>
    <xf numFmtId="165" fontId="0" fillId="0" borderId="0" xfId="1" applyNumberFormat="1" applyFont="1" applyFill="1" applyBorder="1" applyAlignment="1">
      <alignment horizontal="left" vertical="top"/>
    </xf>
    <xf numFmtId="0" fontId="15" fillId="5" borderId="0" xfId="0" applyFont="1" applyFill="1" applyAlignment="1">
      <alignment horizontal="left" wrapText="1"/>
    </xf>
    <xf numFmtId="0" fontId="10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wrapText="1"/>
    </xf>
    <xf numFmtId="165" fontId="11" fillId="0" borderId="6" xfId="1" applyNumberFormat="1" applyFont="1" applyFill="1" applyBorder="1" applyAlignment="1">
      <alignment horizontal="left"/>
    </xf>
    <xf numFmtId="164" fontId="2" fillId="0" borderId="7" xfId="0" applyNumberFormat="1" applyFont="1" applyBorder="1" applyAlignment="1">
      <alignment horizontal="center" shrinkToFit="1"/>
    </xf>
    <xf numFmtId="0" fontId="9" fillId="0" borderId="8" xfId="0" applyFont="1" applyBorder="1" applyAlignment="1">
      <alignment wrapText="1"/>
    </xf>
    <xf numFmtId="165" fontId="11" fillId="0" borderId="4" xfId="1" applyNumberFormat="1" applyFont="1" applyFill="1" applyBorder="1" applyAlignment="1">
      <alignment horizontal="left"/>
    </xf>
    <xf numFmtId="164" fontId="2" fillId="0" borderId="9" xfId="0" applyNumberFormat="1" applyFont="1" applyBorder="1" applyAlignment="1">
      <alignment horizontal="center" shrinkToFit="1"/>
    </xf>
    <xf numFmtId="0" fontId="10" fillId="0" borderId="8" xfId="0" applyFont="1" applyBorder="1" applyAlignment="1">
      <alignment wrapText="1"/>
    </xf>
    <xf numFmtId="165" fontId="0" fillId="0" borderId="4" xfId="1" applyNumberFormat="1" applyFont="1" applyFill="1" applyBorder="1" applyAlignment="1">
      <alignment horizontal="left"/>
    </xf>
    <xf numFmtId="164" fontId="12" fillId="0" borderId="9" xfId="0" applyNumberFormat="1" applyFont="1" applyBorder="1" applyAlignment="1">
      <alignment horizontal="center" shrinkToFit="1"/>
    </xf>
    <xf numFmtId="0" fontId="10" fillId="0" borderId="8" xfId="0" applyFont="1" applyBorder="1" applyAlignment="1">
      <alignment horizontal="left" wrapText="1"/>
    </xf>
    <xf numFmtId="164" fontId="3" fillId="0" borderId="9" xfId="0" applyNumberFormat="1" applyFont="1" applyBorder="1" applyAlignment="1">
      <alignment horizontal="center" shrinkToFit="1"/>
    </xf>
    <xf numFmtId="0" fontId="9" fillId="0" borderId="8" xfId="0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13" fillId="0" borderId="9" xfId="0" applyFont="1" applyBorder="1" applyAlignment="1">
      <alignment horizontal="center"/>
    </xf>
    <xf numFmtId="0" fontId="10" fillId="0" borderId="5" xfId="0" applyFont="1" applyBorder="1" applyAlignment="1">
      <alignment horizontal="left" vertical="center" wrapText="1"/>
    </xf>
    <xf numFmtId="165" fontId="17" fillId="0" borderId="6" xfId="1" applyNumberFormat="1" applyFont="1" applyFill="1" applyBorder="1" applyAlignment="1">
      <alignment horizontal="left" vertical="center"/>
    </xf>
    <xf numFmtId="164" fontId="17" fillId="0" borderId="7" xfId="0" applyNumberFormat="1" applyFont="1" applyBorder="1" applyAlignment="1">
      <alignment horizontal="center" vertical="center" shrinkToFit="1"/>
    </xf>
    <xf numFmtId="165" fontId="17" fillId="0" borderId="4" xfId="1" applyNumberFormat="1" applyFont="1" applyFill="1" applyBorder="1" applyAlignment="1">
      <alignment horizontal="left" vertical="center"/>
    </xf>
    <xf numFmtId="164" fontId="17" fillId="0" borderId="9" xfId="0" applyNumberFormat="1" applyFont="1" applyBorder="1" applyAlignment="1">
      <alignment horizontal="center" vertical="center" shrinkToFit="1"/>
    </xf>
    <xf numFmtId="0" fontId="9" fillId="0" borderId="10" xfId="0" applyFont="1" applyBorder="1" applyAlignment="1">
      <alignment vertical="center" wrapText="1"/>
    </xf>
    <xf numFmtId="165" fontId="18" fillId="0" borderId="11" xfId="1" applyNumberFormat="1" applyFont="1" applyFill="1" applyBorder="1" applyAlignment="1">
      <alignment horizontal="left" vertical="center"/>
    </xf>
    <xf numFmtId="164" fontId="18" fillId="0" borderId="12" xfId="0" applyNumberFormat="1" applyFont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left" wrapText="1"/>
    </xf>
    <xf numFmtId="165" fontId="0" fillId="2" borderId="4" xfId="1" applyNumberFormat="1" applyFont="1" applyFill="1" applyBorder="1" applyAlignment="1">
      <alignment horizontal="left"/>
    </xf>
    <xf numFmtId="164" fontId="3" fillId="2" borderId="9" xfId="0" applyNumberFormat="1" applyFont="1" applyFill="1" applyBorder="1" applyAlignment="1">
      <alignment horizontal="center" shrinkToFit="1"/>
    </xf>
    <xf numFmtId="0" fontId="9" fillId="6" borderId="8" xfId="0" applyFont="1" applyFill="1" applyBorder="1" applyAlignment="1">
      <alignment horizontal="left" wrapText="1"/>
    </xf>
    <xf numFmtId="165" fontId="11" fillId="6" borderId="4" xfId="1" applyNumberFormat="1" applyFont="1" applyFill="1" applyBorder="1" applyAlignment="1">
      <alignment horizontal="left"/>
    </xf>
    <xf numFmtId="164" fontId="14" fillId="6" borderId="9" xfId="0" applyNumberFormat="1" applyFont="1" applyFill="1" applyBorder="1" applyAlignment="1">
      <alignment horizontal="center" shrinkToFit="1"/>
    </xf>
    <xf numFmtId="0" fontId="4" fillId="0" borderId="16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selection activeCell="D21" sqref="D21"/>
    </sheetView>
  </sheetViews>
  <sheetFormatPr defaultRowHeight="13" x14ac:dyDescent="0.3"/>
  <cols>
    <col min="1" max="1" width="39.5" customWidth="1"/>
    <col min="2" max="2" width="17" style="23" bestFit="1" customWidth="1"/>
    <col min="3" max="3" width="14.19921875" style="4" customWidth="1"/>
    <col min="4" max="4" width="78.5" customWidth="1"/>
    <col min="5" max="5" width="11.5" bestFit="1" customWidth="1"/>
  </cols>
  <sheetData>
    <row r="1" spans="1:5" ht="100.5" customHeight="1" x14ac:dyDescent="0.3">
      <c r="A1" s="58"/>
      <c r="B1" s="58"/>
      <c r="C1" s="58"/>
      <c r="D1" s="58"/>
    </row>
    <row r="2" spans="1:5" ht="74.150000000000006" customHeight="1" thickBot="1" x14ac:dyDescent="0.35">
      <c r="A2" s="59" t="s">
        <v>0</v>
      </c>
      <c r="B2" s="59"/>
      <c r="C2" s="59"/>
      <c r="D2" s="2"/>
    </row>
    <row r="3" spans="1:5" ht="11.25" customHeight="1" thickBot="1" x14ac:dyDescent="0.35">
      <c r="A3" s="8"/>
      <c r="B3" s="16" t="s">
        <v>1</v>
      </c>
      <c r="C3" s="9" t="s">
        <v>25</v>
      </c>
      <c r="D3" s="3"/>
      <c r="E3" s="5"/>
    </row>
    <row r="4" spans="1:5" ht="12" customHeight="1" x14ac:dyDescent="0.3">
      <c r="A4" s="26" t="s">
        <v>7</v>
      </c>
      <c r="B4" s="27">
        <v>72856</v>
      </c>
      <c r="C4" s="28">
        <v>1</v>
      </c>
      <c r="D4" s="3"/>
    </row>
    <row r="5" spans="1:5" ht="14.25" customHeight="1" x14ac:dyDescent="0.3">
      <c r="A5" s="29" t="s">
        <v>8</v>
      </c>
      <c r="B5" s="30">
        <v>26508</v>
      </c>
      <c r="C5" s="31">
        <f>B5*C4/B4</f>
        <v>0.36384100142747339</v>
      </c>
      <c r="D5" s="1"/>
    </row>
    <row r="6" spans="1:5" ht="16" customHeight="1" x14ac:dyDescent="0.3">
      <c r="A6" s="32" t="s">
        <v>4</v>
      </c>
      <c r="B6" s="33">
        <f>B4-B5</f>
        <v>46348</v>
      </c>
      <c r="C6" s="34">
        <f>B6*C4/B4</f>
        <v>0.63615899857252667</v>
      </c>
      <c r="D6" s="3"/>
    </row>
    <row r="7" spans="1:5" ht="9" customHeight="1" x14ac:dyDescent="0.3">
      <c r="A7" s="60"/>
      <c r="B7" s="61"/>
      <c r="C7" s="62"/>
      <c r="D7" s="3"/>
    </row>
    <row r="8" spans="1:5" ht="19.5" customHeight="1" x14ac:dyDescent="0.3">
      <c r="A8" s="60" t="s">
        <v>3</v>
      </c>
      <c r="B8" s="61"/>
      <c r="C8" s="62"/>
      <c r="D8" s="3"/>
    </row>
    <row r="9" spans="1:5" ht="31" x14ac:dyDescent="0.35">
      <c r="A9" s="48" t="s">
        <v>9</v>
      </c>
      <c r="B9" s="49">
        <v>32141</v>
      </c>
      <c r="C9" s="50">
        <f>B9*C4/B4</f>
        <v>0.44115790051608655</v>
      </c>
      <c r="D9" s="24" t="s">
        <v>31</v>
      </c>
    </row>
    <row r="10" spans="1:5" ht="14" x14ac:dyDescent="0.3">
      <c r="A10" s="35" t="s">
        <v>10</v>
      </c>
      <c r="B10" s="33">
        <v>4256</v>
      </c>
      <c r="C10" s="36">
        <f>B10*C4/B4</f>
        <v>5.8416602613374329E-2</v>
      </c>
      <c r="D10" s="3"/>
    </row>
    <row r="11" spans="1:5" ht="16" customHeight="1" x14ac:dyDescent="0.3">
      <c r="A11" s="29" t="s">
        <v>11</v>
      </c>
      <c r="B11" s="30">
        <f>B9+B10</f>
        <v>36397</v>
      </c>
      <c r="C11" s="31">
        <f>B11*C4/B4</f>
        <v>0.49957450312946083</v>
      </c>
      <c r="D11" s="3"/>
    </row>
    <row r="12" spans="1:5" ht="12" customHeight="1" x14ac:dyDescent="0.3">
      <c r="A12" s="60"/>
      <c r="B12" s="61"/>
      <c r="C12" s="62"/>
      <c r="D12" s="3"/>
    </row>
    <row r="13" spans="1:5" ht="15" customHeight="1" x14ac:dyDescent="0.3">
      <c r="A13" s="60" t="s">
        <v>20</v>
      </c>
      <c r="B13" s="61"/>
      <c r="C13" s="62"/>
      <c r="D13" s="3"/>
    </row>
    <row r="14" spans="1:5" ht="14" x14ac:dyDescent="0.3">
      <c r="A14" s="35" t="s">
        <v>12</v>
      </c>
      <c r="B14" s="33">
        <v>1366</v>
      </c>
      <c r="C14" s="36">
        <f>B14*C4/B4</f>
        <v>1.8749313714724936E-2</v>
      </c>
      <c r="D14" s="3"/>
    </row>
    <row r="15" spans="1:5" ht="14" x14ac:dyDescent="0.3">
      <c r="A15" s="35" t="s">
        <v>13</v>
      </c>
      <c r="B15" s="33">
        <v>242</v>
      </c>
      <c r="C15" s="36">
        <f>B15*C4/B4</f>
        <v>3.321620731305589E-3</v>
      </c>
      <c r="D15" s="3"/>
    </row>
    <row r="16" spans="1:5" ht="14" x14ac:dyDescent="0.3">
      <c r="A16" s="35" t="s">
        <v>14</v>
      </c>
      <c r="B16" s="33">
        <v>60</v>
      </c>
      <c r="C16" s="36">
        <f>B16*C4/B4</f>
        <v>8.235423300757659E-4</v>
      </c>
      <c r="D16" s="3"/>
    </row>
    <row r="17" spans="1:4" ht="14" x14ac:dyDescent="0.3">
      <c r="A17" s="35" t="s">
        <v>15</v>
      </c>
      <c r="B17" s="33">
        <f>B38</f>
        <v>5450</v>
      </c>
      <c r="C17" s="36">
        <f>B17*C4/B4</f>
        <v>7.4805094981882064E-2</v>
      </c>
      <c r="D17" s="3"/>
    </row>
    <row r="18" spans="1:4" ht="16" customHeight="1" x14ac:dyDescent="0.3">
      <c r="A18" s="37" t="s">
        <v>6</v>
      </c>
      <c r="B18" s="30">
        <f>SUM(B14:B17)</f>
        <v>7118</v>
      </c>
      <c r="C18" s="31">
        <f>B18*C4/B4</f>
        <v>9.7699571757988365E-2</v>
      </c>
      <c r="D18" s="3"/>
    </row>
    <row r="19" spans="1:4" ht="12.75" customHeight="1" x14ac:dyDescent="0.3">
      <c r="A19" s="60"/>
      <c r="B19" s="61"/>
      <c r="C19" s="62"/>
      <c r="D19" s="3"/>
    </row>
    <row r="20" spans="1:4" ht="16" customHeight="1" x14ac:dyDescent="0.3">
      <c r="A20" s="63" t="s">
        <v>5</v>
      </c>
      <c r="B20" s="64"/>
      <c r="C20" s="65"/>
      <c r="D20" s="3"/>
    </row>
    <row r="21" spans="1:4" ht="15" customHeight="1" x14ac:dyDescent="0.3">
      <c r="A21" s="35" t="s">
        <v>16</v>
      </c>
      <c r="B21" s="33">
        <v>218</v>
      </c>
      <c r="C21" s="36">
        <f>B21*C4/B4</f>
        <v>2.9922037992752828E-3</v>
      </c>
      <c r="D21" s="3"/>
    </row>
    <row r="22" spans="1:4" ht="17.25" customHeight="1" x14ac:dyDescent="0.3">
      <c r="A22" s="35" t="s">
        <v>17</v>
      </c>
      <c r="B22" s="33">
        <v>339</v>
      </c>
      <c r="C22" s="36">
        <f>B22*C4/B4</f>
        <v>4.6530141649280777E-3</v>
      </c>
      <c r="D22" s="3"/>
    </row>
    <row r="23" spans="1:4" ht="16" customHeight="1" x14ac:dyDescent="0.3">
      <c r="A23" s="29" t="s">
        <v>18</v>
      </c>
      <c r="B23" s="30">
        <f>SUM(B21:B22)</f>
        <v>557</v>
      </c>
      <c r="C23" s="31">
        <f>B23*C4/B4</f>
        <v>7.6452179642033597E-3</v>
      </c>
      <c r="D23" s="3"/>
    </row>
    <row r="24" spans="1:4" ht="9" customHeight="1" x14ac:dyDescent="0.3">
      <c r="A24" s="38"/>
      <c r="B24" s="33"/>
      <c r="C24" s="39"/>
    </row>
    <row r="25" spans="1:4" ht="16" customHeight="1" x14ac:dyDescent="0.3">
      <c r="A25" s="51" t="s">
        <v>19</v>
      </c>
      <c r="B25" s="52">
        <v>2186</v>
      </c>
      <c r="C25" s="53">
        <f>B25*C4/B4</f>
        <v>3.0004392225760405E-2</v>
      </c>
      <c r="D25" s="3"/>
    </row>
    <row r="26" spans="1:4" ht="10.5" customHeight="1" x14ac:dyDescent="0.3">
      <c r="A26" s="55"/>
      <c r="B26" s="56"/>
      <c r="C26" s="57"/>
      <c r="D26" s="3"/>
    </row>
    <row r="27" spans="1:4" ht="16" customHeight="1" x14ac:dyDescent="0.3">
      <c r="A27" s="10" t="s">
        <v>21</v>
      </c>
      <c r="B27" s="17">
        <f>B5+B11+B18+B23+B25</f>
        <v>72766</v>
      </c>
      <c r="C27" s="11"/>
      <c r="D27" s="3"/>
    </row>
    <row r="28" spans="1:4" ht="16" customHeight="1" x14ac:dyDescent="0.3">
      <c r="A28" s="12" t="s">
        <v>22</v>
      </c>
      <c r="B28" s="18">
        <f>B4-B27</f>
        <v>90</v>
      </c>
      <c r="C28" s="11"/>
      <c r="D28" s="3"/>
    </row>
    <row r="29" spans="1:4" ht="16" customHeight="1" x14ac:dyDescent="0.3">
      <c r="A29" s="13" t="s">
        <v>23</v>
      </c>
      <c r="B29" s="19">
        <v>7000</v>
      </c>
      <c r="C29" s="11"/>
      <c r="D29" s="3"/>
    </row>
    <row r="30" spans="1:4" ht="16" customHeight="1" thickBot="1" x14ac:dyDescent="0.35">
      <c r="A30" s="14" t="s">
        <v>24</v>
      </c>
      <c r="B30" s="20">
        <f>-B28+B29</f>
        <v>6910</v>
      </c>
      <c r="C30" s="15"/>
      <c r="D30" s="3"/>
    </row>
    <row r="31" spans="1:4" ht="16" customHeight="1" x14ac:dyDescent="0.3">
      <c r="A31" s="6"/>
      <c r="B31" s="21"/>
      <c r="C31" s="7"/>
      <c r="D31" s="3"/>
    </row>
    <row r="32" spans="1:4" ht="16" customHeight="1" x14ac:dyDescent="0.3">
      <c r="A32" s="6"/>
      <c r="B32" s="21"/>
      <c r="C32" s="7"/>
      <c r="D32" s="3"/>
    </row>
    <row r="33" spans="1:4" ht="22.5" customHeight="1" thickBot="1" x14ac:dyDescent="0.35">
      <c r="A33" s="54" t="s">
        <v>2</v>
      </c>
      <c r="B33" s="54"/>
      <c r="C33" s="54"/>
      <c r="D33" s="2"/>
    </row>
    <row r="34" spans="1:4" ht="11.25" customHeight="1" x14ac:dyDescent="0.3">
      <c r="A34" s="40" t="s">
        <v>27</v>
      </c>
      <c r="B34" s="41">
        <v>5392</v>
      </c>
      <c r="C34" s="42">
        <f>B34*C4/B4</f>
        <v>7.4009004062808831E-2</v>
      </c>
      <c r="D34" s="3"/>
    </row>
    <row r="35" spans="1:4" ht="11.25" customHeight="1" x14ac:dyDescent="0.3">
      <c r="A35" s="25" t="s">
        <v>28</v>
      </c>
      <c r="B35" s="43">
        <v>31</v>
      </c>
      <c r="C35" s="44">
        <f>B35*C4/B4</f>
        <v>4.2549687053914569E-4</v>
      </c>
      <c r="D35" s="3"/>
    </row>
    <row r="36" spans="1:4" ht="11.25" customHeight="1" x14ac:dyDescent="0.3">
      <c r="A36" s="25" t="s">
        <v>26</v>
      </c>
      <c r="B36" s="43">
        <v>0</v>
      </c>
      <c r="C36" s="44">
        <f>B36*C4/B4</f>
        <v>0</v>
      </c>
      <c r="D36" s="3"/>
    </row>
    <row r="37" spans="1:4" ht="11.25" customHeight="1" x14ac:dyDescent="0.3">
      <c r="A37" s="25" t="s">
        <v>29</v>
      </c>
      <c r="B37" s="43">
        <v>27</v>
      </c>
      <c r="C37" s="44">
        <f>B37*C4/B4</f>
        <v>3.7059404853409463E-4</v>
      </c>
      <c r="D37" s="3"/>
    </row>
    <row r="38" spans="1:4" ht="12.75" customHeight="1" thickBot="1" x14ac:dyDescent="0.35">
      <c r="A38" s="45" t="s">
        <v>30</v>
      </c>
      <c r="B38" s="46">
        <f>SUM(B34:B37)</f>
        <v>5450</v>
      </c>
      <c r="C38" s="47">
        <f>B38*C4/B4</f>
        <v>7.4805094981882064E-2</v>
      </c>
      <c r="D38" s="3"/>
    </row>
    <row r="39" spans="1:4" x14ac:dyDescent="0.3">
      <c r="B39" s="22"/>
    </row>
    <row r="40" spans="1:4" x14ac:dyDescent="0.3">
      <c r="B40" s="22"/>
    </row>
  </sheetData>
  <mergeCells count="10">
    <mergeCell ref="A33:C33"/>
    <mergeCell ref="A26:C26"/>
    <mergeCell ref="A1:D1"/>
    <mergeCell ref="A2:C2"/>
    <mergeCell ref="A7:C7"/>
    <mergeCell ref="A12:C12"/>
    <mergeCell ref="A19:C19"/>
    <mergeCell ref="A8:C8"/>
    <mergeCell ref="A13:C13"/>
    <mergeCell ref="A20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 Ramona L</dc:creator>
  <dc:description/>
  <cp:lastModifiedBy>Callahan Ricky L Jr</cp:lastModifiedBy>
  <dcterms:created xsi:type="dcterms:W3CDTF">2026-03-26T15:00:42Z</dcterms:created>
  <dcterms:modified xsi:type="dcterms:W3CDTF">2026-04-27T18:03:26Z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2021-02-11T00:00:00Z</vt:filetime>
  </property>
  <property fmtid="{D5CDD505-2E9C-101B-9397-08002B2CF9AE}" pid="3" name="Creator">
    <vt:lpwstr>Acrobat PDFMaker 20 for Word</vt:lpwstr>
  </property>
  <property fmtid="{D5CDD505-2E9C-101B-9397-08002B2CF9AE}" pid="4" name="LastSaved">
    <vt:filetime>2026-03-26T00:00:00Z</vt:filetime>
  </property>
  <property fmtid="{D5CDD505-2E9C-101B-9397-08002B2CF9AE}" pid="5" name="Producer">
    <vt:lpwstr>Adobe PDF Library 20.13.96</vt:lpwstr>
  </property>
  <property fmtid="{D5CDD505-2E9C-101B-9397-08002B2CF9AE}" pid="6" name="SourceModified">
    <vt:lpwstr>D:20210211190939</vt:lpwstr>
  </property>
</Properties>
</file>