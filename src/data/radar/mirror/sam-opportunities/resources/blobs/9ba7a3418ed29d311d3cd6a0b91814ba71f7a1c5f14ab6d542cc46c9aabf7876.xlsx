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yle_a_welge_civ_us_navy_mil/Documents/Documents/ACTIVE/CH-53K # 26-0134 O-Level Bag Group C/solicitation/"/>
    </mc:Choice>
  </mc:AlternateContent>
  <xr:revisionPtr revIDLastSave="737" documentId="8_{5947FB15-7B48-4DF8-BF54-98BC44BA59B9}" xr6:coauthVersionLast="47" xr6:coauthVersionMax="47" xr10:uidLastSave="{C1E8D5FF-3C0A-45E1-9E50-7C690144B752}"/>
  <bookViews>
    <workbookView xWindow="28680" yWindow="-120" windowWidth="29040" windowHeight="15720" xr2:uid="{00000000-000D-0000-FFFF-FFFF00000000}"/>
  </bookViews>
  <sheets>
    <sheet name="Instructions" sheetId="4" r:id="rId1"/>
    <sheet name="1. Company Info" sheetId="2" r:id="rId2"/>
    <sheet name="2. Pricing - Offeror Complet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4" l="1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40" i="4" l="1"/>
</calcChain>
</file>

<file path=xl/sharedStrings.xml><?xml version="1.0" encoding="utf-8"?>
<sst xmlns="http://schemas.openxmlformats.org/spreadsheetml/2006/main" count="303" uniqueCount="82">
  <si>
    <t>INSTRUCTIONS TO OFFERORS</t>
  </si>
  <si>
    <r>
      <rPr>
        <b/>
        <sz val="11"/>
        <color theme="1"/>
        <rFont val="Calibri"/>
        <family val="2"/>
        <scheme val="minor"/>
      </rPr>
      <t>1. COMPANY INFORMATION TAB</t>
    </r>
    <r>
      <rPr>
        <sz val="11"/>
        <color theme="1"/>
        <rFont val="Calibri"/>
        <family val="2"/>
        <scheme val="minor"/>
      </rPr>
      <t xml:space="preserve">: Offerors shall complete all the green colored cells on the Company Information tab. </t>
    </r>
  </si>
  <si>
    <t>Figure 1:</t>
  </si>
  <si>
    <t>Figure 2:</t>
  </si>
  <si>
    <t>ITEM</t>
  </si>
  <si>
    <t xml:space="preserve">QUANTITY </t>
  </si>
  <si>
    <t>UNIT PRICE</t>
  </si>
  <si>
    <t>AMOUNT</t>
  </si>
  <si>
    <t>TOTAL EVALUATED PRICE</t>
  </si>
  <si>
    <t>0001</t>
  </si>
  <si>
    <t>0002</t>
  </si>
  <si>
    <t>0003</t>
  </si>
  <si>
    <t>Offeror Company Information</t>
  </si>
  <si>
    <t>Offeror Name:</t>
  </si>
  <si>
    <t>Offeror Street Address:</t>
  </si>
  <si>
    <t>Offeror City:</t>
  </si>
  <si>
    <t>Offeror State:</t>
  </si>
  <si>
    <t>Offeror Zip Code:</t>
  </si>
  <si>
    <t>Offeror Primary Contact Name:</t>
  </si>
  <si>
    <t>Offeror Primary Contact Email:</t>
  </si>
  <si>
    <t>Offeror Primary Contact Phone Number:</t>
  </si>
  <si>
    <t>Offeror DUNS:</t>
  </si>
  <si>
    <t>Offeror CAGE Code:</t>
  </si>
  <si>
    <t>Offeror Secondary Contact Name:</t>
  </si>
  <si>
    <t>Offeror Secondary Contact Email:</t>
  </si>
  <si>
    <t>Offeror Secondary Contact Phone Number:</t>
  </si>
  <si>
    <t>CLIN Number</t>
  </si>
  <si>
    <t>0011</t>
  </si>
  <si>
    <t>0012</t>
  </si>
  <si>
    <t>0013</t>
  </si>
  <si>
    <t>0004</t>
  </si>
  <si>
    <t>0005</t>
  </si>
  <si>
    <t>0006</t>
  </si>
  <si>
    <t>0007</t>
  </si>
  <si>
    <t>0008</t>
  </si>
  <si>
    <t>0009</t>
  </si>
  <si>
    <t>0010</t>
  </si>
  <si>
    <r>
      <rPr>
        <b/>
        <sz val="11"/>
        <rFont val="Calibri"/>
        <family val="2"/>
        <scheme val="minor"/>
      </rPr>
      <t>2. PRICING  TAB</t>
    </r>
    <r>
      <rPr>
        <sz val="11"/>
        <rFont val="Calibri"/>
        <family val="2"/>
        <scheme val="minor"/>
      </rPr>
      <t>: Offerors shall propose Fixed-Price unit prices in the green colored cells in column D for each Contract Line Item as applicable.  All cells that are filled in with the color as that of Figure 1 below shall have a unit priced inserted. All Firm-Fixed-Price unit prices proposed in the Pricing tab, if awarded, shall be the contractual amounts. The amount in cell E61 of Figure 2 (E54 of the Pricing tab) is derived from the sum of the blue cells above them for each respective CLIN/SLIN. Figure 2 below provides an example of what a populated pricing tab shall look like.*DO NOT PRICE CDRLs; CDRLs are NOT SEPERATELY PRICED (NSP)</t>
    </r>
  </si>
  <si>
    <t>STAND, INSTL-RMVL, INTERMEDIATE GEARBOX</t>
  </si>
  <si>
    <t>DOMESTIC</t>
  </si>
  <si>
    <t>4158AS0273-1</t>
  </si>
  <si>
    <t>OPTION</t>
  </si>
  <si>
    <t>PART NO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</si>
  <si>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</si>
  <si>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</si>
  <si>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</si>
  <si>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</si>
  <si>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</si>
  <si>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</si>
  <si>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</si>
  <si>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</si>
  <si>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</si>
  <si>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</si>
  <si>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</si>
  <si>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</si>
  <si>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</si>
  <si>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</si>
  <si>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</si>
  <si>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</si>
  <si>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</si>
  <si>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</si>
  <si>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FMS ISRAEL</t>
  </si>
  <si>
    <t>YES</t>
  </si>
  <si>
    <t>TRANSPORT CART, ENGINE ASSEMBLY</t>
  </si>
  <si>
    <t>4158AS0420-1</t>
  </si>
  <si>
    <t>TRANSPORT CART, NOSE GEARBOX</t>
  </si>
  <si>
    <t>4158AS0342-1</t>
  </si>
  <si>
    <t>TRANSPORT CART, SLEEVE AND HINGE CUFF</t>
  </si>
  <si>
    <t>4158AS0101-1</t>
  </si>
  <si>
    <t>ADJUSTMENT SET, TRIM TAB, MAIN ROTOR BLADE</t>
  </si>
  <si>
    <t>4158AS0400-10</t>
  </si>
  <si>
    <t>ALIGNMENT SET, DRIVE SHAFT, ENGINE INPUT AND TAIL</t>
  </si>
  <si>
    <t>4158AS0410-1</t>
  </si>
  <si>
    <t>TRANSPORT ADAPTER, MAIN ROTOR BLADE</t>
  </si>
  <si>
    <t>4158AS1110-1</t>
  </si>
  <si>
    <t>TRANSPORT CART, APU/ECS</t>
  </si>
  <si>
    <t>4158AS0430-1</t>
  </si>
  <si>
    <t>TRANSPORT CART, TAIL ROTOR BLADE</t>
  </si>
  <si>
    <t>4158AS1100-1</t>
  </si>
  <si>
    <t>INSTALLATION/REMOVAL TOOL, MAIN ROTOR SERVO</t>
  </si>
  <si>
    <t>4158AS0130-1</t>
  </si>
  <si>
    <t>Domestic, AEPD PLUS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</si>
</sst>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000"/>
    <numFmt numFmtId="165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2"/>
      <color theme="1"/>
      <name val="Cambri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1" fillId="4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4" borderId="0" xfId="0" applyFont="1" applyFill="1" applyAlignment="1" applyProtection="1">
      <alignment horizontal="lef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165" fontId="2" fillId="0" borderId="0" xfId="0" applyNumberFormat="1" applyFont="1" applyAlignment="1" applyProtection="1">
      <alignment horizontal="right"/>
      <protection locked="0"/>
    </xf>
    <xf numFmtId="165" fontId="2" fillId="0" borderId="0" xfId="0" applyNumberFormat="1" applyFont="1" applyProtection="1">
      <protection locked="0"/>
    </xf>
    <xf numFmtId="165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10" fillId="2" borderId="1" xfId="0" applyFont="1" applyFill="1" applyBorder="1"/>
    <xf numFmtId="0" fontId="9" fillId="2" borderId="1" xfId="0" applyFont="1" applyFill="1" applyBorder="1"/>
    <xf numFmtId="0" fontId="8" fillId="0" borderId="1" xfId="0" applyFont="1" applyBorder="1"/>
    <xf numFmtId="0" fontId="8" fillId="5" borderId="1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center"/>
    </xf>
    <xf numFmtId="8" fontId="0" fillId="0" borderId="0" xfId="0" applyNumberFormat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5" fontId="1" fillId="5" borderId="1" xfId="0" applyNumberFormat="1" applyFont="1" applyFill="1" applyBorder="1" applyAlignment="1" applyProtection="1">
      <alignment vertical="center"/>
      <protection locked="0"/>
    </xf>
    <xf numFmtId="165" fontId="8" fillId="0" borderId="0" xfId="0" applyNumberFormat="1" applyFont="1"/>
    <xf numFmtId="165" fontId="1" fillId="6" borderId="1" xfId="0" applyNumberFormat="1" applyFont="1" applyFill="1" applyBorder="1" applyAlignment="1">
      <alignment vertical="center"/>
    </xf>
    <xf numFmtId="164" fontId="4" fillId="4" borderId="0" xfId="0" applyNumberFormat="1" applyFont="1" applyFill="1" applyAlignment="1" applyProtection="1">
      <alignment vertical="center" wrapText="1"/>
      <protection locked="0" hidden="1"/>
    </xf>
    <xf numFmtId="0" fontId="0" fillId="0" borderId="0" xfId="0" applyProtection="1">
      <protection locked="0"/>
    </xf>
    <xf numFmtId="165" fontId="8" fillId="6" borderId="2" xfId="0" applyNumberFormat="1" applyFont="1" applyFill="1" applyBorder="1" applyAlignment="1">
      <alignment horizontal="right" wrapText="1"/>
    </xf>
    <xf numFmtId="0" fontId="0" fillId="0" borderId="1" xfId="0" applyBorder="1"/>
    <xf numFmtId="0" fontId="12" fillId="2" borderId="3" xfId="0" applyFont="1" applyFill="1" applyBorder="1" applyAlignment="1" applyProtection="1">
      <alignment horizontal="center" vertical="center"/>
      <protection locked="0"/>
    </xf>
    <xf numFmtId="0" fontId="12" fillId="2" borderId="4" xfId="0" applyFont="1" applyFill="1" applyBorder="1" applyAlignment="1" applyProtection="1">
      <alignment horizontal="center" vertical="center"/>
      <protection locked="0"/>
    </xf>
    <xf numFmtId="164" fontId="12" fillId="2" borderId="4" xfId="0" applyNumberFormat="1" applyFont="1" applyFill="1" applyBorder="1" applyAlignment="1" applyProtection="1">
      <alignment horizontal="center" vertical="center" wrapText="1"/>
      <protection locked="0" hidden="1"/>
    </xf>
    <xf numFmtId="164" fontId="12" fillId="3" borderId="5" xfId="0" applyNumberFormat="1" applyFont="1" applyFill="1" applyBorder="1" applyAlignment="1" applyProtection="1">
      <alignment horizontal="center" vertical="center" wrapText="1"/>
      <protection locked="0" hidden="1"/>
    </xf>
    <xf numFmtId="0" fontId="14" fillId="0" borderId="1" xfId="0" applyFont="1" applyBorder="1" applyAlignment="1">
      <alignment vertical="center"/>
    </xf>
    <xf numFmtId="14" fontId="0" fillId="0" borderId="0" xfId="0" applyNumberFormat="1"/>
    <xf numFmtId="0" fontId="0" fillId="5" borderId="0" xfId="0" applyFill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5BBE-20A4-432A-A714-A771B1B91B17}">
  <dimension ref="A1:AL853"/>
  <sheetViews>
    <sheetView tabSelected="1" zoomScale="85" zoomScaleNormal="85" workbookViewId="0">
      <selection sqref="A1:F1"/>
    </sheetView>
  </sheetViews>
  <sheetFormatPr defaultColWidth="9.140625" defaultRowHeight="15" x14ac:dyDescent="0.25"/>
  <cols>
    <col min="1" max="1" width="12.7109375" bestFit="1" customWidth="1"/>
    <col min="2" max="2" width="53.140625" bestFit="1" customWidth="1"/>
    <col min="3" max="3" width="13.42578125" bestFit="1" customWidth="1"/>
    <col min="4" max="4" width="14.5703125" bestFit="1" customWidth="1"/>
    <col min="5" max="5" width="13.5703125" customWidth="1"/>
    <col min="6" max="6" width="16.5703125" bestFit="1" customWidth="1"/>
    <col min="7" max="7" width="15.7109375" customWidth="1"/>
    <col min="8" max="8" width="17.7109375" customWidth="1"/>
    <col min="9" max="9" width="19.7109375" customWidth="1"/>
    <col min="10" max="10" width="16.42578125" bestFit="1" customWidth="1"/>
    <col min="11" max="11" width="13.5703125" bestFit="1" customWidth="1"/>
    <col min="39" max="16384" width="9.140625" style="4"/>
  </cols>
  <sheetData>
    <row r="1" spans="1:38" x14ac:dyDescent="0.25">
      <c r="A1" s="37" t="s">
        <v>0</v>
      </c>
      <c r="B1" s="37"/>
      <c r="C1" s="37"/>
      <c r="D1" s="37"/>
      <c r="E1" s="37"/>
      <c r="F1" s="37"/>
    </row>
    <row r="2" spans="1:38" x14ac:dyDescent="0.25">
      <c r="A2" s="38" t="s">
        <v>1</v>
      </c>
      <c r="B2" s="38"/>
      <c r="C2" s="38"/>
      <c r="D2" s="38"/>
      <c r="E2" s="38"/>
      <c r="F2" s="38"/>
    </row>
    <row r="3" spans="1:38" ht="75" customHeight="1" x14ac:dyDescent="0.25">
      <c r="A3" s="39" t="s">
        <v>37</v>
      </c>
      <c r="B3" s="39"/>
      <c r="C3" s="39"/>
      <c r="D3" s="39"/>
      <c r="E3" s="39"/>
      <c r="F3" s="39"/>
    </row>
    <row r="4" spans="1:38" x14ac:dyDescent="0.25">
      <c r="A4" s="15"/>
      <c r="B4" s="16"/>
      <c r="C4" s="16"/>
      <c r="D4" s="16"/>
      <c r="E4" s="16"/>
      <c r="F4" s="16"/>
    </row>
    <row r="5" spans="1:38" x14ac:dyDescent="0.25">
      <c r="A5" s="17" t="s">
        <v>2</v>
      </c>
      <c r="B5" s="36">
        <v>123456</v>
      </c>
      <c r="C5" s="16"/>
      <c r="D5" s="16"/>
      <c r="E5" s="16"/>
      <c r="F5" s="16"/>
    </row>
    <row r="6" spans="1:38" x14ac:dyDescent="0.25">
      <c r="A6" s="17"/>
      <c r="B6" s="18"/>
      <c r="C6" s="16"/>
      <c r="D6" s="16"/>
      <c r="E6" s="16"/>
      <c r="F6" s="16"/>
    </row>
    <row r="7" spans="1:38" ht="15.75" thickBot="1" x14ac:dyDescent="0.3">
      <c r="A7" s="19" t="s">
        <v>3</v>
      </c>
      <c r="B7" s="18"/>
      <c r="C7" s="16"/>
      <c r="D7" s="16"/>
      <c r="E7" s="16"/>
      <c r="F7" s="16"/>
    </row>
    <row r="8" spans="1:38" s="2" customFormat="1" ht="28.15" customHeight="1" x14ac:dyDescent="0.25">
      <c r="A8" s="30" t="s">
        <v>26</v>
      </c>
      <c r="B8" s="31" t="s">
        <v>4</v>
      </c>
      <c r="C8" s="31"/>
      <c r="D8" s="31" t="s">
        <v>42</v>
      </c>
      <c r="E8" s="31" t="s">
        <v>41</v>
      </c>
      <c r="F8" s="32" t="s">
        <v>5</v>
      </c>
      <c r="G8" s="32" t="s">
        <v>6</v>
      </c>
      <c r="H8" s="32" t="s">
        <v>7</v>
      </c>
      <c r="I8" s="33" t="s">
        <v>8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ht="15" customHeight="1" x14ac:dyDescent="0.25">
      <c r="A9" s="20" t="s">
        <v>9</v>
      </c>
      <c r="B9" s="34" t="s">
        <v>38</v>
      </c>
      <c r="C9" s="34" t="s">
        <v>39</v>
      </c>
      <c r="D9" s="34" t="s">
        <v>40</v>
      </c>
      <c r="E9" s="34"/>
      <c r="F9" s="22">
        <v>2</v>
      </c>
      <c r="G9" s="23">
        <v>123</v>
      </c>
      <c r="H9" s="25">
        <f t="shared" ref="H9:H39" si="0">G9*F9</f>
        <v>246</v>
      </c>
      <c r="I9" s="29"/>
    </row>
    <row r="10" spans="1:38" ht="15" customHeight="1" x14ac:dyDescent="0.25">
      <c r="A10" s="20" t="s">
        <v>10</v>
      </c>
      <c r="B10" s="34" t="s">
        <v>38</v>
      </c>
      <c r="C10" s="34" t="s">
        <v>61</v>
      </c>
      <c r="D10" s="34" t="s">
        <v>40</v>
      </c>
      <c r="E10" s="34"/>
      <c r="F10" s="22">
        <v>2</v>
      </c>
      <c r="G10" s="23">
        <v>123</v>
      </c>
      <c r="H10" s="25">
        <f t="shared" si="0"/>
        <v>246</v>
      </c>
      <c r="I10" s="29"/>
    </row>
    <row r="11" spans="1:38" x14ac:dyDescent="0.25">
      <c r="A11" s="20" t="s">
        <v>11</v>
      </c>
      <c r="B11" s="34" t="s">
        <v>38</v>
      </c>
      <c r="C11" s="34" t="s">
        <v>39</v>
      </c>
      <c r="D11" s="34" t="s">
        <v>40</v>
      </c>
      <c r="E11" s="34" t="s">
        <v>62</v>
      </c>
      <c r="F11" s="22">
        <v>2</v>
      </c>
      <c r="G11" s="23">
        <v>123</v>
      </c>
      <c r="H11" s="25">
        <f t="shared" si="0"/>
        <v>246</v>
      </c>
      <c r="I11" s="29"/>
    </row>
    <row r="12" spans="1:38" x14ac:dyDescent="0.25">
      <c r="A12" s="20" t="s">
        <v>30</v>
      </c>
      <c r="B12" s="34" t="s">
        <v>63</v>
      </c>
      <c r="C12" s="34" t="s">
        <v>39</v>
      </c>
      <c r="D12" s="34" t="s">
        <v>64</v>
      </c>
      <c r="E12" s="34"/>
      <c r="F12" s="22">
        <v>2</v>
      </c>
      <c r="G12" s="23">
        <v>123</v>
      </c>
      <c r="H12" s="25">
        <f t="shared" si="0"/>
        <v>246</v>
      </c>
      <c r="I12" s="29"/>
    </row>
    <row r="13" spans="1:38" x14ac:dyDescent="0.25">
      <c r="A13" s="20" t="s">
        <v>31</v>
      </c>
      <c r="B13" s="34" t="s">
        <v>63</v>
      </c>
      <c r="C13" s="34" t="s">
        <v>61</v>
      </c>
      <c r="D13" s="34" t="s">
        <v>64</v>
      </c>
      <c r="E13" s="21"/>
      <c r="F13" s="22">
        <v>2</v>
      </c>
      <c r="G13" s="23">
        <v>123</v>
      </c>
      <c r="H13" s="25">
        <f t="shared" si="0"/>
        <v>246</v>
      </c>
      <c r="I13" s="29"/>
    </row>
    <row r="14" spans="1:38" x14ac:dyDescent="0.25">
      <c r="A14" s="20" t="s">
        <v>32</v>
      </c>
      <c r="B14" s="34" t="s">
        <v>63</v>
      </c>
      <c r="C14" s="34" t="s">
        <v>39</v>
      </c>
      <c r="D14" s="34" t="s">
        <v>64</v>
      </c>
      <c r="E14" s="34" t="s">
        <v>62</v>
      </c>
      <c r="F14" s="22">
        <v>2</v>
      </c>
      <c r="G14" s="23">
        <v>123</v>
      </c>
      <c r="H14" s="25">
        <f t="shared" si="0"/>
        <v>246</v>
      </c>
      <c r="I14" s="29"/>
    </row>
    <row r="15" spans="1:38" x14ac:dyDescent="0.25">
      <c r="A15" s="20" t="s">
        <v>33</v>
      </c>
      <c r="B15" s="21" t="s">
        <v>65</v>
      </c>
      <c r="C15" s="34" t="s">
        <v>39</v>
      </c>
      <c r="D15" s="21" t="s">
        <v>66</v>
      </c>
      <c r="E15" s="21"/>
      <c r="F15" s="22">
        <v>2</v>
      </c>
      <c r="G15" s="23">
        <v>123</v>
      </c>
      <c r="H15" s="25">
        <f t="shared" si="0"/>
        <v>246</v>
      </c>
      <c r="I15" s="29"/>
    </row>
    <row r="16" spans="1:38" x14ac:dyDescent="0.25">
      <c r="A16" s="20" t="s">
        <v>34</v>
      </c>
      <c r="B16" s="21" t="s">
        <v>65</v>
      </c>
      <c r="C16" s="34" t="s">
        <v>61</v>
      </c>
      <c r="D16" s="21" t="s">
        <v>66</v>
      </c>
      <c r="E16" s="21"/>
      <c r="F16" s="22">
        <v>2</v>
      </c>
      <c r="G16" s="23">
        <v>123</v>
      </c>
      <c r="H16" s="25">
        <f t="shared" si="0"/>
        <v>246</v>
      </c>
      <c r="I16" s="29"/>
    </row>
    <row r="17" spans="1:9" x14ac:dyDescent="0.25">
      <c r="A17" s="20" t="s">
        <v>35</v>
      </c>
      <c r="B17" s="21" t="s">
        <v>65</v>
      </c>
      <c r="C17" s="34" t="s">
        <v>39</v>
      </c>
      <c r="D17" s="21" t="s">
        <v>66</v>
      </c>
      <c r="E17" s="34" t="s">
        <v>62</v>
      </c>
      <c r="F17" s="22">
        <v>2</v>
      </c>
      <c r="G17" s="23">
        <v>123</v>
      </c>
      <c r="H17" s="25">
        <f t="shared" si="0"/>
        <v>246</v>
      </c>
      <c r="I17" s="29"/>
    </row>
    <row r="18" spans="1:9" x14ac:dyDescent="0.25">
      <c r="A18" s="20" t="s">
        <v>36</v>
      </c>
      <c r="B18" s="21" t="s">
        <v>67</v>
      </c>
      <c r="C18" s="34" t="s">
        <v>39</v>
      </c>
      <c r="D18" s="21" t="s">
        <v>68</v>
      </c>
      <c r="E18" s="21"/>
      <c r="F18" s="22">
        <v>2</v>
      </c>
      <c r="G18" s="23">
        <v>123</v>
      </c>
      <c r="H18" s="25">
        <f t="shared" si="0"/>
        <v>246</v>
      </c>
      <c r="I18" s="29"/>
    </row>
    <row r="19" spans="1:9" x14ac:dyDescent="0.25">
      <c r="A19" s="20" t="s">
        <v>27</v>
      </c>
      <c r="B19" s="21" t="s">
        <v>67</v>
      </c>
      <c r="C19" s="34" t="s">
        <v>61</v>
      </c>
      <c r="D19" s="21" t="s">
        <v>68</v>
      </c>
      <c r="E19" s="21"/>
      <c r="F19" s="22">
        <v>1</v>
      </c>
      <c r="G19" s="23">
        <v>123</v>
      </c>
      <c r="H19" s="25">
        <f t="shared" si="0"/>
        <v>123</v>
      </c>
      <c r="I19" s="29"/>
    </row>
    <row r="20" spans="1:9" x14ac:dyDescent="0.25">
      <c r="A20" s="20" t="s">
        <v>28</v>
      </c>
      <c r="B20" s="21" t="s">
        <v>67</v>
      </c>
      <c r="C20" s="34" t="s">
        <v>39</v>
      </c>
      <c r="D20" s="21" t="s">
        <v>68</v>
      </c>
      <c r="E20" s="34" t="s">
        <v>62</v>
      </c>
      <c r="F20" s="22">
        <v>2</v>
      </c>
      <c r="G20" s="23">
        <v>123</v>
      </c>
      <c r="H20" s="25">
        <f t="shared" si="0"/>
        <v>246</v>
      </c>
      <c r="I20" s="29"/>
    </row>
    <row r="21" spans="1:9" x14ac:dyDescent="0.25">
      <c r="A21" s="20" t="s">
        <v>29</v>
      </c>
      <c r="B21" s="21" t="s">
        <v>69</v>
      </c>
      <c r="C21" s="34" t="s">
        <v>39</v>
      </c>
      <c r="D21" s="21" t="s">
        <v>70</v>
      </c>
      <c r="E21" s="5"/>
      <c r="F21" s="22">
        <v>2</v>
      </c>
      <c r="G21" s="23">
        <v>123</v>
      </c>
      <c r="H21" s="25">
        <f t="shared" si="0"/>
        <v>246</v>
      </c>
      <c r="I21" s="29"/>
    </row>
    <row r="22" spans="1:9" x14ac:dyDescent="0.25">
      <c r="A22" s="20" t="s">
        <v>43</v>
      </c>
      <c r="B22" s="21" t="s">
        <v>69</v>
      </c>
      <c r="C22" s="34" t="s">
        <v>61</v>
      </c>
      <c r="D22" s="21" t="s">
        <v>70</v>
      </c>
      <c r="E22" s="21"/>
      <c r="F22" s="22">
        <v>3</v>
      </c>
      <c r="G22" s="23">
        <v>123</v>
      </c>
      <c r="H22" s="25">
        <f t="shared" si="0"/>
        <v>369</v>
      </c>
      <c r="I22" s="29"/>
    </row>
    <row r="23" spans="1:9" x14ac:dyDescent="0.25">
      <c r="A23" s="20" t="s">
        <v>44</v>
      </c>
      <c r="B23" s="21" t="s">
        <v>69</v>
      </c>
      <c r="C23" s="5" t="s">
        <v>81</v>
      </c>
      <c r="D23" s="21" t="s">
        <v>70</v>
      </c>
      <c r="E23" s="21"/>
      <c r="F23" s="22">
        <v>1</v>
      </c>
      <c r="G23" s="23">
        <v>123</v>
      </c>
      <c r="H23" s="25">
        <f t="shared" si="0"/>
        <v>123</v>
      </c>
      <c r="I23" s="29"/>
    </row>
    <row r="24" spans="1:9" x14ac:dyDescent="0.25">
      <c r="A24" s="20" t="s">
        <v>45</v>
      </c>
      <c r="B24" s="21" t="s">
        <v>69</v>
      </c>
      <c r="C24" s="34" t="s">
        <v>39</v>
      </c>
      <c r="D24" s="21" t="s">
        <v>70</v>
      </c>
      <c r="E24" s="34" t="s">
        <v>62</v>
      </c>
      <c r="F24" s="22">
        <v>2</v>
      </c>
      <c r="G24" s="23">
        <v>123</v>
      </c>
      <c r="H24" s="25">
        <f t="shared" si="0"/>
        <v>246</v>
      </c>
      <c r="I24" s="29"/>
    </row>
    <row r="25" spans="1:9" x14ac:dyDescent="0.25">
      <c r="A25" s="20" t="s">
        <v>46</v>
      </c>
      <c r="B25" s="21" t="s">
        <v>71</v>
      </c>
      <c r="C25" s="34" t="s">
        <v>39</v>
      </c>
      <c r="D25" s="21" t="s">
        <v>72</v>
      </c>
      <c r="E25" s="21"/>
      <c r="F25" s="22">
        <v>2</v>
      </c>
      <c r="G25" s="23">
        <v>123</v>
      </c>
      <c r="H25" s="25">
        <f t="shared" si="0"/>
        <v>246</v>
      </c>
      <c r="I25" s="29"/>
    </row>
    <row r="26" spans="1:9" x14ac:dyDescent="0.25">
      <c r="A26" s="20" t="s">
        <v>47</v>
      </c>
      <c r="B26" s="21" t="s">
        <v>71</v>
      </c>
      <c r="C26" s="34" t="s">
        <v>61</v>
      </c>
      <c r="D26" s="21" t="s">
        <v>72</v>
      </c>
      <c r="E26" s="21"/>
      <c r="F26" s="22">
        <v>2</v>
      </c>
      <c r="G26" s="23">
        <v>123</v>
      </c>
      <c r="H26" s="25">
        <f t="shared" si="0"/>
        <v>246</v>
      </c>
      <c r="I26" s="29"/>
    </row>
    <row r="27" spans="1:9" x14ac:dyDescent="0.25">
      <c r="A27" s="20" t="s">
        <v>48</v>
      </c>
      <c r="B27" s="21" t="s">
        <v>71</v>
      </c>
      <c r="C27" s="34" t="s">
        <v>39</v>
      </c>
      <c r="D27" s="21" t="s">
        <v>72</v>
      </c>
      <c r="E27" s="34" t="s">
        <v>62</v>
      </c>
      <c r="F27" s="22">
        <v>2</v>
      </c>
      <c r="G27" s="23">
        <v>123</v>
      </c>
      <c r="H27" s="25">
        <f t="shared" si="0"/>
        <v>246</v>
      </c>
      <c r="I27" s="29"/>
    </row>
    <row r="28" spans="1:9" x14ac:dyDescent="0.25">
      <c r="A28" s="20" t="s">
        <v>49</v>
      </c>
      <c r="B28" s="21" t="s">
        <v>73</v>
      </c>
      <c r="C28" s="34" t="s">
        <v>39</v>
      </c>
      <c r="D28" s="21" t="s">
        <v>74</v>
      </c>
      <c r="E28" s="21"/>
      <c r="F28" s="22">
        <v>2</v>
      </c>
      <c r="G28" s="23">
        <v>123</v>
      </c>
      <c r="H28" s="25">
        <f t="shared" si="0"/>
        <v>246</v>
      </c>
      <c r="I28" s="29"/>
    </row>
    <row r="29" spans="1:9" x14ac:dyDescent="0.25">
      <c r="A29" s="20" t="s">
        <v>50</v>
      </c>
      <c r="B29" s="21" t="s">
        <v>73</v>
      </c>
      <c r="C29" s="34" t="s">
        <v>61</v>
      </c>
      <c r="D29" s="21" t="s">
        <v>74</v>
      </c>
      <c r="E29" s="21"/>
      <c r="F29" s="22">
        <v>2</v>
      </c>
      <c r="G29" s="23">
        <v>123</v>
      </c>
      <c r="H29" s="25">
        <f t="shared" si="0"/>
        <v>246</v>
      </c>
      <c r="I29" s="29"/>
    </row>
    <row r="30" spans="1:9" x14ac:dyDescent="0.25">
      <c r="A30" s="20" t="s">
        <v>51</v>
      </c>
      <c r="B30" s="21" t="s">
        <v>73</v>
      </c>
      <c r="C30" s="34" t="s">
        <v>39</v>
      </c>
      <c r="D30" s="21" t="s">
        <v>74</v>
      </c>
      <c r="E30" s="34" t="s">
        <v>62</v>
      </c>
      <c r="F30" s="22">
        <v>2</v>
      </c>
      <c r="G30" s="23">
        <v>123</v>
      </c>
      <c r="H30" s="25">
        <f t="shared" si="0"/>
        <v>246</v>
      </c>
      <c r="I30" s="29"/>
    </row>
    <row r="31" spans="1:9" x14ac:dyDescent="0.25">
      <c r="A31" s="20" t="s">
        <v>52</v>
      </c>
      <c r="B31" s="21" t="s">
        <v>75</v>
      </c>
      <c r="C31" s="34" t="s">
        <v>39</v>
      </c>
      <c r="D31" s="21" t="s">
        <v>76</v>
      </c>
      <c r="E31" s="21"/>
      <c r="F31" s="22">
        <v>2</v>
      </c>
      <c r="G31" s="23">
        <v>123</v>
      </c>
      <c r="H31" s="25">
        <f t="shared" si="0"/>
        <v>246</v>
      </c>
      <c r="I31" s="29"/>
    </row>
    <row r="32" spans="1:9" x14ac:dyDescent="0.25">
      <c r="A32" s="20" t="s">
        <v>53</v>
      </c>
      <c r="B32" s="21" t="s">
        <v>75</v>
      </c>
      <c r="C32" s="34" t="s">
        <v>61</v>
      </c>
      <c r="D32" s="21" t="s">
        <v>76</v>
      </c>
      <c r="E32" s="21"/>
      <c r="F32" s="22">
        <v>2</v>
      </c>
      <c r="G32" s="23">
        <v>123</v>
      </c>
      <c r="H32" s="25">
        <f t="shared" si="0"/>
        <v>246</v>
      </c>
      <c r="I32" s="29"/>
    </row>
    <row r="33" spans="1:38" x14ac:dyDescent="0.25">
      <c r="A33" s="20" t="s">
        <v>54</v>
      </c>
      <c r="B33" s="21" t="s">
        <v>75</v>
      </c>
      <c r="C33" s="34" t="s">
        <v>39</v>
      </c>
      <c r="D33" s="21" t="s">
        <v>76</v>
      </c>
      <c r="E33" s="34" t="s">
        <v>62</v>
      </c>
      <c r="F33" s="22">
        <v>2</v>
      </c>
      <c r="G33" s="23">
        <v>123</v>
      </c>
      <c r="H33" s="25">
        <f t="shared" si="0"/>
        <v>246</v>
      </c>
      <c r="I33" s="29"/>
    </row>
    <row r="34" spans="1:38" x14ac:dyDescent="0.25">
      <c r="A34" s="20" t="s">
        <v>55</v>
      </c>
      <c r="B34" s="21" t="s">
        <v>77</v>
      </c>
      <c r="C34" s="34" t="s">
        <v>39</v>
      </c>
      <c r="D34" s="21" t="s">
        <v>78</v>
      </c>
      <c r="E34" s="21"/>
      <c r="F34" s="22">
        <v>2</v>
      </c>
      <c r="G34" s="23">
        <v>123</v>
      </c>
      <c r="H34" s="25">
        <f t="shared" si="0"/>
        <v>246</v>
      </c>
      <c r="I34" s="29"/>
    </row>
    <row r="35" spans="1:38" x14ac:dyDescent="0.25">
      <c r="A35" s="20" t="s">
        <v>56</v>
      </c>
      <c r="B35" s="21" t="s">
        <v>77</v>
      </c>
      <c r="C35" s="34" t="s">
        <v>61</v>
      </c>
      <c r="D35" s="21" t="s">
        <v>78</v>
      </c>
      <c r="E35" s="21"/>
      <c r="F35" s="22">
        <v>2</v>
      </c>
      <c r="G35" s="23">
        <v>123</v>
      </c>
      <c r="H35" s="25">
        <f t="shared" si="0"/>
        <v>246</v>
      </c>
      <c r="I35" s="29"/>
    </row>
    <row r="36" spans="1:38" x14ac:dyDescent="0.25">
      <c r="A36" s="20" t="s">
        <v>57</v>
      </c>
      <c r="B36" s="21" t="s">
        <v>77</v>
      </c>
      <c r="C36" s="34" t="s">
        <v>39</v>
      </c>
      <c r="D36" s="21" t="s">
        <v>78</v>
      </c>
      <c r="E36" s="34" t="s">
        <v>62</v>
      </c>
      <c r="F36" s="22">
        <v>2</v>
      </c>
      <c r="G36" s="23">
        <v>123</v>
      </c>
      <c r="H36" s="25">
        <f t="shared" si="0"/>
        <v>246</v>
      </c>
      <c r="I36" s="29"/>
    </row>
    <row r="37" spans="1:38" x14ac:dyDescent="0.25">
      <c r="A37" s="20" t="s">
        <v>58</v>
      </c>
      <c r="B37" s="21" t="s">
        <v>79</v>
      </c>
      <c r="C37" s="34" t="s">
        <v>39</v>
      </c>
      <c r="D37" s="21" t="s">
        <v>80</v>
      </c>
      <c r="E37" s="21"/>
      <c r="F37" s="22">
        <v>2</v>
      </c>
      <c r="G37" s="23">
        <v>123</v>
      </c>
      <c r="H37" s="25">
        <f t="shared" si="0"/>
        <v>246</v>
      </c>
      <c r="I37" s="29"/>
    </row>
    <row r="38" spans="1:38" x14ac:dyDescent="0.25">
      <c r="A38" s="20" t="s">
        <v>59</v>
      </c>
      <c r="B38" s="21" t="s">
        <v>79</v>
      </c>
      <c r="C38" s="34" t="s">
        <v>61</v>
      </c>
      <c r="D38" s="21" t="s">
        <v>80</v>
      </c>
      <c r="E38" s="21"/>
      <c r="F38" s="22">
        <v>2</v>
      </c>
      <c r="G38" s="23">
        <v>123</v>
      </c>
      <c r="H38" s="25">
        <f t="shared" si="0"/>
        <v>246</v>
      </c>
      <c r="I38" s="29"/>
    </row>
    <row r="39" spans="1:38" s="3" customFormat="1" x14ac:dyDescent="0.25">
      <c r="A39" s="20" t="s">
        <v>60</v>
      </c>
      <c r="B39" s="21" t="s">
        <v>79</v>
      </c>
      <c r="C39" s="34" t="s">
        <v>39</v>
      </c>
      <c r="D39" s="21" t="s">
        <v>80</v>
      </c>
      <c r="E39" s="34" t="s">
        <v>62</v>
      </c>
      <c r="F39" s="22">
        <v>2</v>
      </c>
      <c r="G39" s="23">
        <v>123</v>
      </c>
      <c r="H39" s="25">
        <f t="shared" si="0"/>
        <v>246</v>
      </c>
      <c r="I39" s="2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</row>
    <row r="40" spans="1:38" ht="15.75" thickBot="1" x14ac:dyDescent="0.3">
      <c r="H40" s="28">
        <f>SUM(H9:H39)</f>
        <v>7503</v>
      </c>
      <c r="I40" s="24"/>
    </row>
    <row r="45" spans="1:38" x14ac:dyDescent="0.25">
      <c r="D45" s="35"/>
    </row>
    <row r="46" spans="1:38" x14ac:dyDescent="0.25">
      <c r="D46" s="35"/>
    </row>
    <row r="66" spans="1:38" s="3" customForma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114" spans="1:38" s="3" customForma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62" spans="1:38" s="3" customFormat="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</row>
    <row r="210" spans="1:38" s="3" customFormat="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</row>
    <row r="258" spans="1:38" s="3" customFormat="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306" spans="1:38" s="3" customFormat="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</row>
    <row r="354" spans="1:38" s="3" customFormat="1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</row>
    <row r="402" spans="1:38" s="3" customFormat="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</row>
    <row r="450" spans="1:38" s="3" customFormat="1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</row>
    <row r="609" spans="1:38" s="27" customFormat="1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</row>
    <row r="610" spans="1:38" s="27" customFormat="1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</row>
    <row r="682" spans="1:38" s="3" customFormat="1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</row>
    <row r="687" spans="1:38" s="3" customFormat="1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</row>
    <row r="701" spans="1:38" s="3" customFormat="1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</row>
    <row r="728" spans="1:38" s="3" customFormat="1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</row>
    <row r="769" spans="1:38" s="3" customFormat="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</row>
    <row r="775" spans="1:38" s="3" customFormat="1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</row>
    <row r="781" spans="1:38" s="3" customFormat="1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</row>
    <row r="787" spans="1:38" s="3" customFormat="1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</row>
    <row r="793" spans="1:38" s="3" customFormat="1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</row>
    <row r="799" spans="1:38" s="3" customFormat="1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</row>
    <row r="805" spans="1:38" s="3" customFormat="1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</row>
    <row r="811" spans="1:38" s="3" customFormat="1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</row>
    <row r="817" spans="1:38" s="3" customFormat="1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</row>
    <row r="823" spans="1:38" s="3" customFormat="1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</row>
    <row r="829" spans="1:38" s="3" customFormat="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</row>
    <row r="835" spans="1:38" s="3" customFormat="1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</row>
    <row r="841" spans="1:38" s="3" customFormat="1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</row>
    <row r="847" spans="1:38" s="3" customFormat="1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</row>
    <row r="853" spans="1:38" s="3" customFormat="1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29" sqref="B29"/>
    </sheetView>
  </sheetViews>
  <sheetFormatPr defaultRowHeight="15" x14ac:dyDescent="0.25"/>
  <cols>
    <col min="1" max="1" width="39.7109375" bestFit="1" customWidth="1"/>
    <col min="2" max="2" width="60.7109375" customWidth="1"/>
  </cols>
  <sheetData>
    <row r="1" spans="1:2" ht="18.75" x14ac:dyDescent="0.3">
      <c r="A1" s="11" t="s">
        <v>12</v>
      </c>
      <c r="B1" s="12"/>
    </row>
    <row r="2" spans="1:2" x14ac:dyDescent="0.25">
      <c r="A2" s="13" t="s">
        <v>13</v>
      </c>
      <c r="B2" s="14"/>
    </row>
    <row r="3" spans="1:2" x14ac:dyDescent="0.25">
      <c r="A3" s="13" t="s">
        <v>14</v>
      </c>
      <c r="B3" s="14"/>
    </row>
    <row r="4" spans="1:2" x14ac:dyDescent="0.25">
      <c r="A4" s="13" t="s">
        <v>15</v>
      </c>
      <c r="B4" s="14"/>
    </row>
    <row r="5" spans="1:2" x14ac:dyDescent="0.25">
      <c r="A5" s="13" t="s">
        <v>16</v>
      </c>
      <c r="B5" s="14"/>
    </row>
    <row r="6" spans="1:2" x14ac:dyDescent="0.25">
      <c r="A6" s="13" t="s">
        <v>17</v>
      </c>
      <c r="B6" s="14"/>
    </row>
    <row r="7" spans="1:2" x14ac:dyDescent="0.25">
      <c r="A7" s="13" t="s">
        <v>18</v>
      </c>
      <c r="B7" s="14"/>
    </row>
    <row r="8" spans="1:2" x14ac:dyDescent="0.25">
      <c r="A8" s="13" t="s">
        <v>19</v>
      </c>
      <c r="B8" s="14"/>
    </row>
    <row r="9" spans="1:2" x14ac:dyDescent="0.25">
      <c r="A9" s="13" t="s">
        <v>20</v>
      </c>
      <c r="B9" s="14"/>
    </row>
    <row r="10" spans="1:2" x14ac:dyDescent="0.25">
      <c r="A10" s="13" t="s">
        <v>21</v>
      </c>
      <c r="B10" s="14"/>
    </row>
    <row r="11" spans="1:2" x14ac:dyDescent="0.25">
      <c r="A11" s="13" t="s">
        <v>22</v>
      </c>
      <c r="B11" s="14"/>
    </row>
    <row r="12" spans="1:2" x14ac:dyDescent="0.25">
      <c r="A12" s="13" t="s">
        <v>23</v>
      </c>
      <c r="B12" s="14"/>
    </row>
    <row r="13" spans="1:2" x14ac:dyDescent="0.25">
      <c r="A13" s="13" t="s">
        <v>24</v>
      </c>
      <c r="B13" s="14"/>
    </row>
    <row r="14" spans="1:2" x14ac:dyDescent="0.25">
      <c r="A14" s="13" t="s">
        <v>25</v>
      </c>
      <c r="B14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86"/>
  <sheetViews>
    <sheetView zoomScale="85" zoomScaleNormal="85" workbookViewId="0">
      <selection activeCell="G2" sqref="G2"/>
    </sheetView>
  </sheetViews>
  <sheetFormatPr defaultColWidth="9.140625" defaultRowHeight="15" x14ac:dyDescent="0.25"/>
  <cols>
    <col min="1" max="1" width="12.7109375" bestFit="1" customWidth="1"/>
    <col min="2" max="2" width="53.140625" bestFit="1" customWidth="1"/>
    <col min="3" max="3" width="13.42578125" bestFit="1" customWidth="1"/>
    <col min="4" max="4" width="14.5703125" bestFit="1" customWidth="1"/>
    <col min="5" max="5" width="13.5703125" customWidth="1"/>
    <col min="6" max="6" width="16.5703125" bestFit="1" customWidth="1"/>
    <col min="7" max="7" width="15.7109375" customWidth="1"/>
    <col min="8" max="8" width="17.7109375" customWidth="1"/>
    <col min="9" max="9" width="19.7109375" customWidth="1"/>
    <col min="10" max="10" width="16.42578125" style="4" bestFit="1" customWidth="1"/>
    <col min="11" max="11" width="13.5703125" style="4" bestFit="1" customWidth="1"/>
    <col min="12" max="16384" width="9.140625" style="4"/>
  </cols>
  <sheetData>
    <row r="1" spans="1:18" s="2" customFormat="1" ht="28.15" customHeight="1" x14ac:dyDescent="0.25">
      <c r="A1" s="30" t="s">
        <v>26</v>
      </c>
      <c r="B1" s="31" t="s">
        <v>4</v>
      </c>
      <c r="C1" s="31"/>
      <c r="D1" s="31" t="s">
        <v>42</v>
      </c>
      <c r="E1" s="31" t="s">
        <v>41</v>
      </c>
      <c r="F1" s="32" t="s">
        <v>5</v>
      </c>
      <c r="G1" s="32" t="s">
        <v>6</v>
      </c>
      <c r="H1" s="32" t="s">
        <v>7</v>
      </c>
      <c r="I1" s="33" t="s">
        <v>8</v>
      </c>
      <c r="J1" s="1"/>
      <c r="K1" s="1"/>
      <c r="L1" s="1"/>
      <c r="M1" s="1"/>
      <c r="N1" s="1"/>
      <c r="O1" s="1"/>
      <c r="P1" s="26"/>
      <c r="Q1" s="1"/>
      <c r="R1" s="1"/>
    </row>
    <row r="2" spans="1:18" x14ac:dyDescent="0.25">
      <c r="A2" s="20" t="s">
        <v>9</v>
      </c>
      <c r="B2" s="34" t="s">
        <v>38</v>
      </c>
      <c r="C2" s="34" t="s">
        <v>39</v>
      </c>
      <c r="D2" s="34" t="s">
        <v>40</v>
      </c>
      <c r="E2" s="34"/>
      <c r="F2" s="22">
        <v>2</v>
      </c>
      <c r="G2" s="23"/>
      <c r="H2" s="25">
        <f t="shared" ref="H2" si="0">G2*F2</f>
        <v>0</v>
      </c>
      <c r="I2" s="29"/>
    </row>
    <row r="3" spans="1:18" x14ac:dyDescent="0.25">
      <c r="A3" s="20" t="s">
        <v>10</v>
      </c>
      <c r="B3" s="34" t="s">
        <v>38</v>
      </c>
      <c r="C3" s="34" t="s">
        <v>61</v>
      </c>
      <c r="D3" s="34" t="s">
        <v>40</v>
      </c>
      <c r="E3" s="34"/>
      <c r="F3" s="22">
        <v>2</v>
      </c>
      <c r="G3" s="23"/>
      <c r="H3" s="25">
        <f t="shared" ref="H3:H26" si="1">G3*F3</f>
        <v>0</v>
      </c>
      <c r="I3" s="29"/>
    </row>
    <row r="4" spans="1:18" x14ac:dyDescent="0.25">
      <c r="A4" s="20" t="s">
        <v>11</v>
      </c>
      <c r="B4" s="34" t="s">
        <v>38</v>
      </c>
      <c r="C4" s="34" t="s">
        <v>39</v>
      </c>
      <c r="D4" s="34" t="s">
        <v>40</v>
      </c>
      <c r="E4" s="34" t="s">
        <v>62</v>
      </c>
      <c r="F4" s="22">
        <v>2</v>
      </c>
      <c r="G4" s="23"/>
      <c r="H4" s="25">
        <f t="shared" si="1"/>
        <v>0</v>
      </c>
      <c r="I4" s="29"/>
    </row>
    <row r="5" spans="1:18" x14ac:dyDescent="0.25">
      <c r="A5" s="20" t="s">
        <v>30</v>
      </c>
      <c r="B5" s="34" t="s">
        <v>63</v>
      </c>
      <c r="C5" s="34" t="s">
        <v>39</v>
      </c>
      <c r="D5" s="34" t="s">
        <v>64</v>
      </c>
      <c r="E5" s="34"/>
      <c r="F5" s="22">
        <v>2</v>
      </c>
      <c r="G5" s="23"/>
      <c r="H5" s="25">
        <f t="shared" si="1"/>
        <v>0</v>
      </c>
      <c r="I5" s="29"/>
    </row>
    <row r="6" spans="1:18" x14ac:dyDescent="0.25">
      <c r="A6" s="20" t="s">
        <v>31</v>
      </c>
      <c r="B6" s="34" t="s">
        <v>63</v>
      </c>
      <c r="C6" s="34" t="s">
        <v>61</v>
      </c>
      <c r="D6" s="34" t="s">
        <v>64</v>
      </c>
      <c r="E6" s="21"/>
      <c r="F6" s="22">
        <v>2</v>
      </c>
      <c r="G6" s="23"/>
      <c r="H6" s="25">
        <f t="shared" si="1"/>
        <v>0</v>
      </c>
      <c r="I6" s="29"/>
    </row>
    <row r="7" spans="1:18" x14ac:dyDescent="0.25">
      <c r="A7" s="20" t="s">
        <v>32</v>
      </c>
      <c r="B7" s="34" t="s">
        <v>63</v>
      </c>
      <c r="C7" s="34" t="s">
        <v>39</v>
      </c>
      <c r="D7" s="34" t="s">
        <v>64</v>
      </c>
      <c r="E7" s="34" t="s">
        <v>62</v>
      </c>
      <c r="F7" s="22">
        <v>2</v>
      </c>
      <c r="G7" s="23"/>
      <c r="H7" s="25">
        <f t="shared" si="1"/>
        <v>0</v>
      </c>
      <c r="I7" s="29"/>
    </row>
    <row r="8" spans="1:18" x14ac:dyDescent="0.25">
      <c r="A8" s="20" t="s">
        <v>33</v>
      </c>
      <c r="B8" s="21" t="s">
        <v>65</v>
      </c>
      <c r="C8" s="34" t="s">
        <v>39</v>
      </c>
      <c r="D8" s="21" t="s">
        <v>66</v>
      </c>
      <c r="E8" s="21"/>
      <c r="F8" s="22">
        <v>2</v>
      </c>
      <c r="G8" s="23"/>
      <c r="H8" s="25">
        <f t="shared" si="1"/>
        <v>0</v>
      </c>
      <c r="I8" s="29"/>
    </row>
    <row r="9" spans="1:18" x14ac:dyDescent="0.25">
      <c r="A9" s="20" t="s">
        <v>34</v>
      </c>
      <c r="B9" s="21" t="s">
        <v>65</v>
      </c>
      <c r="C9" s="34" t="s">
        <v>61</v>
      </c>
      <c r="D9" s="21" t="s">
        <v>66</v>
      </c>
      <c r="E9" s="21"/>
      <c r="F9" s="22">
        <v>2</v>
      </c>
      <c r="G9" s="23"/>
      <c r="H9" s="25">
        <f t="shared" si="1"/>
        <v>0</v>
      </c>
      <c r="I9" s="29"/>
    </row>
    <row r="10" spans="1:18" x14ac:dyDescent="0.25">
      <c r="A10" s="20" t="s">
        <v>35</v>
      </c>
      <c r="B10" s="21" t="s">
        <v>65</v>
      </c>
      <c r="C10" s="34" t="s">
        <v>39</v>
      </c>
      <c r="D10" s="21" t="s">
        <v>66</v>
      </c>
      <c r="E10" s="34" t="s">
        <v>62</v>
      </c>
      <c r="F10" s="22">
        <v>2</v>
      </c>
      <c r="G10" s="23"/>
      <c r="H10" s="25">
        <f t="shared" si="1"/>
        <v>0</v>
      </c>
      <c r="I10" s="29"/>
    </row>
    <row r="11" spans="1:18" x14ac:dyDescent="0.25">
      <c r="A11" s="20" t="s">
        <v>36</v>
      </c>
      <c r="B11" s="21" t="s">
        <v>67</v>
      </c>
      <c r="C11" s="34" t="s">
        <v>39</v>
      </c>
      <c r="D11" s="21" t="s">
        <v>68</v>
      </c>
      <c r="E11" s="21"/>
      <c r="F11" s="22">
        <v>2</v>
      </c>
      <c r="G11" s="23"/>
      <c r="H11" s="25">
        <f t="shared" si="1"/>
        <v>0</v>
      </c>
      <c r="I11" s="29"/>
    </row>
    <row r="12" spans="1:18" x14ac:dyDescent="0.25">
      <c r="A12" s="20" t="s">
        <v>27</v>
      </c>
      <c r="B12" s="21" t="s">
        <v>67</v>
      </c>
      <c r="C12" s="34" t="s">
        <v>61</v>
      </c>
      <c r="D12" s="21" t="s">
        <v>68</v>
      </c>
      <c r="E12" s="21"/>
      <c r="F12" s="22">
        <v>1</v>
      </c>
      <c r="G12" s="23"/>
      <c r="H12" s="25">
        <f t="shared" si="1"/>
        <v>0</v>
      </c>
      <c r="I12" s="29"/>
    </row>
    <row r="13" spans="1:18" x14ac:dyDescent="0.25">
      <c r="A13" s="20" t="s">
        <v>28</v>
      </c>
      <c r="B13" s="21" t="s">
        <v>67</v>
      </c>
      <c r="C13" s="34" t="s">
        <v>39</v>
      </c>
      <c r="D13" s="21" t="s">
        <v>68</v>
      </c>
      <c r="E13" s="34" t="s">
        <v>62</v>
      </c>
      <c r="F13" s="22">
        <v>2</v>
      </c>
      <c r="G13" s="23"/>
      <c r="H13" s="25">
        <f t="shared" si="1"/>
        <v>0</v>
      </c>
      <c r="I13" s="29"/>
    </row>
    <row r="14" spans="1:18" x14ac:dyDescent="0.25">
      <c r="A14" s="20" t="s">
        <v>29</v>
      </c>
      <c r="B14" s="21" t="s">
        <v>69</v>
      </c>
      <c r="C14" s="34" t="s">
        <v>39</v>
      </c>
      <c r="D14" s="21" t="s">
        <v>70</v>
      </c>
      <c r="E14" s="5"/>
      <c r="F14" s="22">
        <v>2</v>
      </c>
      <c r="G14" s="23"/>
      <c r="H14" s="25">
        <f t="shared" si="1"/>
        <v>0</v>
      </c>
      <c r="I14" s="29"/>
    </row>
    <row r="15" spans="1:18" x14ac:dyDescent="0.25">
      <c r="A15" s="20" t="s">
        <v>43</v>
      </c>
      <c r="B15" s="21" t="s">
        <v>69</v>
      </c>
      <c r="C15" s="34" t="s">
        <v>61</v>
      </c>
      <c r="D15" s="21" t="s">
        <v>70</v>
      </c>
      <c r="E15" s="21"/>
      <c r="F15" s="22">
        <v>3</v>
      </c>
      <c r="G15" s="23"/>
      <c r="H15" s="25">
        <f t="shared" si="1"/>
        <v>0</v>
      </c>
      <c r="I15" s="29"/>
    </row>
    <row r="16" spans="1:18" x14ac:dyDescent="0.25">
      <c r="A16" s="20" t="s">
        <v>44</v>
      </c>
      <c r="B16" s="21" t="s">
        <v>69</v>
      </c>
      <c r="C16" s="5" t="s">
        <v>81</v>
      </c>
      <c r="D16" s="21" t="s">
        <v>70</v>
      </c>
      <c r="E16" s="21"/>
      <c r="F16" s="22">
        <v>1</v>
      </c>
      <c r="G16" s="23"/>
      <c r="H16" s="25">
        <f t="shared" si="1"/>
        <v>0</v>
      </c>
      <c r="I16" s="29"/>
    </row>
    <row r="17" spans="1:11" x14ac:dyDescent="0.25">
      <c r="A17" s="20" t="s">
        <v>45</v>
      </c>
      <c r="B17" s="21" t="s">
        <v>69</v>
      </c>
      <c r="C17" s="34" t="s">
        <v>39</v>
      </c>
      <c r="D17" s="21" t="s">
        <v>70</v>
      </c>
      <c r="E17" s="34" t="s">
        <v>62</v>
      </c>
      <c r="F17" s="22">
        <v>2</v>
      </c>
      <c r="G17" s="23"/>
      <c r="H17" s="25">
        <f t="shared" si="1"/>
        <v>0</v>
      </c>
      <c r="I17" s="29"/>
    </row>
    <row r="18" spans="1:11" x14ac:dyDescent="0.25">
      <c r="A18" s="20" t="s">
        <v>46</v>
      </c>
      <c r="B18" s="21" t="s">
        <v>71</v>
      </c>
      <c r="C18" s="34" t="s">
        <v>39</v>
      </c>
      <c r="D18" s="21" t="s">
        <v>72</v>
      </c>
      <c r="E18" s="21"/>
      <c r="F18" s="22">
        <v>2</v>
      </c>
      <c r="G18" s="23"/>
      <c r="H18" s="25">
        <f t="shared" si="1"/>
        <v>0</v>
      </c>
      <c r="I18" s="29"/>
    </row>
    <row r="19" spans="1:11" x14ac:dyDescent="0.25">
      <c r="A19" s="20" t="s">
        <v>47</v>
      </c>
      <c r="B19" s="21" t="s">
        <v>71</v>
      </c>
      <c r="C19" s="34" t="s">
        <v>61</v>
      </c>
      <c r="D19" s="21" t="s">
        <v>72</v>
      </c>
      <c r="E19" s="21"/>
      <c r="F19" s="22">
        <v>2</v>
      </c>
      <c r="G19" s="23"/>
      <c r="H19" s="25">
        <f t="shared" si="1"/>
        <v>0</v>
      </c>
      <c r="I19" s="29"/>
    </row>
    <row r="20" spans="1:11" x14ac:dyDescent="0.25">
      <c r="A20" s="20" t="s">
        <v>48</v>
      </c>
      <c r="B20" s="21" t="s">
        <v>71</v>
      </c>
      <c r="C20" s="34" t="s">
        <v>39</v>
      </c>
      <c r="D20" s="21" t="s">
        <v>72</v>
      </c>
      <c r="E20" s="34" t="s">
        <v>62</v>
      </c>
      <c r="F20" s="22">
        <v>2</v>
      </c>
      <c r="G20" s="23"/>
      <c r="H20" s="25">
        <f t="shared" si="1"/>
        <v>0</v>
      </c>
      <c r="I20" s="29"/>
    </row>
    <row r="21" spans="1:11" x14ac:dyDescent="0.25">
      <c r="A21" s="20" t="s">
        <v>49</v>
      </c>
      <c r="B21" s="21" t="s">
        <v>73</v>
      </c>
      <c r="C21" s="34" t="s">
        <v>39</v>
      </c>
      <c r="D21" s="21" t="s">
        <v>74</v>
      </c>
      <c r="E21" s="21"/>
      <c r="F21" s="22">
        <v>2</v>
      </c>
      <c r="G21" s="23"/>
      <c r="H21" s="25">
        <f t="shared" si="1"/>
        <v>0</v>
      </c>
      <c r="I21" s="29"/>
    </row>
    <row r="22" spans="1:11" x14ac:dyDescent="0.25">
      <c r="A22" s="20" t="s">
        <v>50</v>
      </c>
      <c r="B22" s="21" t="s">
        <v>73</v>
      </c>
      <c r="C22" s="34" t="s">
        <v>61</v>
      </c>
      <c r="D22" s="21" t="s">
        <v>74</v>
      </c>
      <c r="E22" s="21"/>
      <c r="F22" s="22">
        <v>2</v>
      </c>
      <c r="G22" s="23"/>
      <c r="H22" s="25">
        <f t="shared" si="1"/>
        <v>0</v>
      </c>
      <c r="I22" s="29"/>
    </row>
    <row r="23" spans="1:11" x14ac:dyDescent="0.25">
      <c r="A23" s="20" t="s">
        <v>51</v>
      </c>
      <c r="B23" s="21" t="s">
        <v>73</v>
      </c>
      <c r="C23" s="34" t="s">
        <v>39</v>
      </c>
      <c r="D23" s="21" t="s">
        <v>74</v>
      </c>
      <c r="E23" s="34" t="s">
        <v>62</v>
      </c>
      <c r="F23" s="22">
        <v>2</v>
      </c>
      <c r="G23" s="23"/>
      <c r="H23" s="25">
        <f t="shared" si="1"/>
        <v>0</v>
      </c>
      <c r="I23" s="29"/>
    </row>
    <row r="24" spans="1:11" x14ac:dyDescent="0.25">
      <c r="A24" s="20" t="s">
        <v>52</v>
      </c>
      <c r="B24" s="21" t="s">
        <v>75</v>
      </c>
      <c r="C24" s="34" t="s">
        <v>39</v>
      </c>
      <c r="D24" s="21" t="s">
        <v>76</v>
      </c>
      <c r="E24" s="21"/>
      <c r="F24" s="22">
        <v>2</v>
      </c>
      <c r="G24" s="23"/>
      <c r="H24" s="25">
        <f t="shared" si="1"/>
        <v>0</v>
      </c>
      <c r="I24" s="29"/>
    </row>
    <row r="25" spans="1:11" x14ac:dyDescent="0.25">
      <c r="A25" s="20" t="s">
        <v>53</v>
      </c>
      <c r="B25" s="21" t="s">
        <v>75</v>
      </c>
      <c r="C25" s="34" t="s">
        <v>61</v>
      </c>
      <c r="D25" s="21" t="s">
        <v>76</v>
      </c>
      <c r="E25" s="21"/>
      <c r="F25" s="22">
        <v>2</v>
      </c>
      <c r="G25" s="23"/>
      <c r="H25" s="25">
        <f t="shared" si="1"/>
        <v>0</v>
      </c>
      <c r="I25" s="29"/>
    </row>
    <row r="26" spans="1:11" x14ac:dyDescent="0.25">
      <c r="A26" s="20" t="s">
        <v>54</v>
      </c>
      <c r="B26" s="21" t="s">
        <v>75</v>
      </c>
      <c r="C26" s="34" t="s">
        <v>39</v>
      </c>
      <c r="D26" s="21" t="s">
        <v>76</v>
      </c>
      <c r="E26" s="34" t="s">
        <v>62</v>
      </c>
      <c r="F26" s="22">
        <v>2</v>
      </c>
      <c r="G26" s="23"/>
      <c r="H26" s="25">
        <f t="shared" si="1"/>
        <v>0</v>
      </c>
      <c r="I26" s="29"/>
    </row>
    <row r="27" spans="1:11" x14ac:dyDescent="0.25">
      <c r="A27" s="20" t="s">
        <v>55</v>
      </c>
      <c r="B27" s="21" t="s">
        <v>77</v>
      </c>
      <c r="C27" s="34" t="s">
        <v>39</v>
      </c>
      <c r="D27" s="21" t="s">
        <v>78</v>
      </c>
      <c r="E27" s="21"/>
      <c r="F27" s="22">
        <v>2</v>
      </c>
      <c r="G27" s="23"/>
      <c r="H27" s="25">
        <f t="shared" ref="H27:H29" si="2">G27*F27</f>
        <v>0</v>
      </c>
      <c r="I27" s="29"/>
    </row>
    <row r="28" spans="1:11" x14ac:dyDescent="0.25">
      <c r="A28" s="20" t="s">
        <v>56</v>
      </c>
      <c r="B28" s="21" t="s">
        <v>77</v>
      </c>
      <c r="C28" s="34" t="s">
        <v>61</v>
      </c>
      <c r="D28" s="21" t="s">
        <v>78</v>
      </c>
      <c r="E28" s="21"/>
      <c r="F28" s="22">
        <v>2</v>
      </c>
      <c r="G28" s="23"/>
      <c r="H28" s="25">
        <f t="shared" si="2"/>
        <v>0</v>
      </c>
      <c r="I28" s="29"/>
    </row>
    <row r="29" spans="1:11" x14ac:dyDescent="0.25">
      <c r="A29" s="20" t="s">
        <v>57</v>
      </c>
      <c r="B29" s="21" t="s">
        <v>77</v>
      </c>
      <c r="C29" s="34" t="s">
        <v>39</v>
      </c>
      <c r="D29" s="21" t="s">
        <v>78</v>
      </c>
      <c r="E29" s="34" t="s">
        <v>62</v>
      </c>
      <c r="F29" s="22">
        <v>2</v>
      </c>
      <c r="G29" s="23"/>
      <c r="H29" s="25">
        <f t="shared" si="2"/>
        <v>0</v>
      </c>
      <c r="I29" s="29"/>
    </row>
    <row r="30" spans="1:11" x14ac:dyDescent="0.25">
      <c r="A30" s="20" t="s">
        <v>58</v>
      </c>
      <c r="B30" s="21" t="s">
        <v>79</v>
      </c>
      <c r="C30" s="34" t="s">
        <v>39</v>
      </c>
      <c r="D30" s="21" t="s">
        <v>80</v>
      </c>
      <c r="E30" s="21"/>
      <c r="F30" s="22">
        <v>2</v>
      </c>
      <c r="G30" s="23"/>
      <c r="H30" s="25">
        <f t="shared" ref="H30:H32" si="3">G30*F30</f>
        <v>0</v>
      </c>
      <c r="I30" s="29"/>
    </row>
    <row r="31" spans="1:11" x14ac:dyDescent="0.25">
      <c r="A31" s="20" t="s">
        <v>59</v>
      </c>
      <c r="B31" s="21" t="s">
        <v>79</v>
      </c>
      <c r="C31" s="34" t="s">
        <v>61</v>
      </c>
      <c r="D31" s="21" t="s">
        <v>80</v>
      </c>
      <c r="E31" s="21"/>
      <c r="F31" s="22">
        <v>2</v>
      </c>
      <c r="G31" s="23"/>
      <c r="H31" s="25">
        <f t="shared" si="3"/>
        <v>0</v>
      </c>
      <c r="I31" s="29"/>
    </row>
    <row r="32" spans="1:11" s="3" customFormat="1" x14ac:dyDescent="0.25">
      <c r="A32" s="20" t="s">
        <v>60</v>
      </c>
      <c r="B32" s="21" t="s">
        <v>79</v>
      </c>
      <c r="C32" s="34" t="s">
        <v>39</v>
      </c>
      <c r="D32" s="21" t="s">
        <v>80</v>
      </c>
      <c r="E32" s="34" t="s">
        <v>62</v>
      </c>
      <c r="F32" s="22">
        <v>2</v>
      </c>
      <c r="G32" s="23"/>
      <c r="H32" s="25">
        <f t="shared" si="3"/>
        <v>0</v>
      </c>
      <c r="I32" s="29"/>
      <c r="J32" s="6"/>
      <c r="K32" s="7"/>
    </row>
    <row r="33" spans="4:9" ht="15.75" thickBot="1" x14ac:dyDescent="0.3">
      <c r="H33" s="28">
        <f>SUM(H2:H32)</f>
        <v>0</v>
      </c>
      <c r="I33" s="24"/>
    </row>
    <row r="38" spans="4:9" x14ac:dyDescent="0.25">
      <c r="D38" s="35"/>
    </row>
    <row r="39" spans="4:9" x14ac:dyDescent="0.25">
      <c r="D39" s="35"/>
    </row>
    <row r="59" spans="1:10" s="3" customFormat="1" x14ac:dyDescent="0.25">
      <c r="A59"/>
      <c r="B59"/>
      <c r="C59"/>
      <c r="D59"/>
      <c r="E59"/>
      <c r="F59"/>
      <c r="G59"/>
      <c r="H59"/>
      <c r="I59"/>
      <c r="J59" s="6"/>
    </row>
    <row r="60" spans="1:10" x14ac:dyDescent="0.25">
      <c r="J60" s="6"/>
    </row>
    <row r="107" spans="1:10" s="3" customFormat="1" x14ac:dyDescent="0.25">
      <c r="A107"/>
      <c r="B107"/>
      <c r="C107"/>
      <c r="D107"/>
      <c r="E107"/>
      <c r="F107"/>
      <c r="G107"/>
      <c r="H107"/>
      <c r="I107"/>
      <c r="J107" s="6"/>
    </row>
    <row r="108" spans="1:10" x14ac:dyDescent="0.25">
      <c r="J108" s="6"/>
    </row>
    <row r="155" spans="1:10" s="3" customFormat="1" x14ac:dyDescent="0.25">
      <c r="A155"/>
      <c r="B155"/>
      <c r="C155"/>
      <c r="D155"/>
      <c r="E155"/>
      <c r="F155"/>
      <c r="G155"/>
      <c r="H155"/>
      <c r="I155"/>
      <c r="J155" s="6"/>
    </row>
    <row r="156" spans="1:10" x14ac:dyDescent="0.25">
      <c r="J156" s="6"/>
    </row>
    <row r="203" spans="1:10" s="3" customFormat="1" x14ac:dyDescent="0.25">
      <c r="A203"/>
      <c r="B203"/>
      <c r="C203"/>
      <c r="D203"/>
      <c r="E203"/>
      <c r="F203"/>
      <c r="G203"/>
      <c r="H203"/>
      <c r="I203"/>
      <c r="J203" s="6"/>
    </row>
    <row r="204" spans="1:10" x14ac:dyDescent="0.25">
      <c r="J204" s="6"/>
    </row>
    <row r="251" spans="1:10" s="3" customFormat="1" x14ac:dyDescent="0.25">
      <c r="A251"/>
      <c r="B251"/>
      <c r="C251"/>
      <c r="D251"/>
      <c r="E251"/>
      <c r="F251"/>
      <c r="G251"/>
      <c r="H251"/>
      <c r="I251"/>
      <c r="J251" s="6"/>
    </row>
    <row r="252" spans="1:10" x14ac:dyDescent="0.25">
      <c r="J252" s="6"/>
    </row>
    <row r="299" spans="1:10" s="3" customFormat="1" x14ac:dyDescent="0.25">
      <c r="A299"/>
      <c r="B299"/>
      <c r="C299"/>
      <c r="D299"/>
      <c r="E299"/>
      <c r="F299"/>
      <c r="G299"/>
      <c r="H299"/>
      <c r="I299"/>
      <c r="J299" s="6"/>
    </row>
    <row r="300" spans="1:10" x14ac:dyDescent="0.25">
      <c r="J300" s="6"/>
    </row>
    <row r="347" spans="1:10" s="3" customFormat="1" x14ac:dyDescent="0.25">
      <c r="A347"/>
      <c r="B347"/>
      <c r="C347"/>
      <c r="D347"/>
      <c r="E347"/>
      <c r="F347"/>
      <c r="G347"/>
      <c r="H347"/>
      <c r="I347"/>
      <c r="J347" s="6"/>
    </row>
    <row r="348" spans="1:10" x14ac:dyDescent="0.25">
      <c r="J348" s="6"/>
    </row>
    <row r="395" spans="1:10" s="3" customFormat="1" x14ac:dyDescent="0.25">
      <c r="A395"/>
      <c r="B395"/>
      <c r="C395"/>
      <c r="D395"/>
      <c r="E395"/>
      <c r="F395"/>
      <c r="G395"/>
      <c r="H395"/>
      <c r="I395"/>
      <c r="J395" s="6"/>
    </row>
    <row r="396" spans="1:10" x14ac:dyDescent="0.25">
      <c r="J396" s="6"/>
    </row>
    <row r="443" spans="1:10" s="3" customFormat="1" x14ac:dyDescent="0.25">
      <c r="A443"/>
      <c r="B443"/>
      <c r="C443"/>
      <c r="D443"/>
      <c r="E443"/>
      <c r="F443"/>
      <c r="G443"/>
      <c r="H443"/>
      <c r="I443"/>
      <c r="J443" s="6"/>
    </row>
    <row r="444" spans="1:10" x14ac:dyDescent="0.25">
      <c r="J444" s="6"/>
    </row>
    <row r="475" spans="10:10" x14ac:dyDescent="0.25">
      <c r="J475" s="8"/>
    </row>
    <row r="491" spans="10:10" x14ac:dyDescent="0.25">
      <c r="J491" s="9"/>
    </row>
    <row r="497" spans="10:10" x14ac:dyDescent="0.25">
      <c r="J497" s="9"/>
    </row>
    <row r="500" spans="10:10" x14ac:dyDescent="0.25">
      <c r="J500" s="10"/>
    </row>
    <row r="547" spans="10:11" x14ac:dyDescent="0.25">
      <c r="J547" s="9"/>
      <c r="K547" s="8"/>
    </row>
    <row r="594" spans="1:11" x14ac:dyDescent="0.25">
      <c r="J594" s="9"/>
    </row>
    <row r="595" spans="1:11" x14ac:dyDescent="0.25">
      <c r="J595" s="9"/>
      <c r="K595" s="8"/>
    </row>
    <row r="598" spans="1:11" x14ac:dyDescent="0.25">
      <c r="J598" s="9"/>
    </row>
    <row r="602" spans="1:11" s="27" customFormat="1" x14ac:dyDescent="0.25">
      <c r="A602"/>
      <c r="B602"/>
      <c r="C602"/>
      <c r="D602"/>
      <c r="E602"/>
      <c r="F602"/>
      <c r="G602"/>
      <c r="H602"/>
      <c r="I602"/>
      <c r="J602" s="9"/>
    </row>
    <row r="603" spans="1:11" s="27" customFormat="1" x14ac:dyDescent="0.25">
      <c r="A603"/>
      <c r="B603"/>
      <c r="C603"/>
      <c r="D603"/>
      <c r="E603"/>
      <c r="F603"/>
      <c r="G603"/>
      <c r="H603"/>
      <c r="I603"/>
    </row>
    <row r="606" spans="1:11" x14ac:dyDescent="0.25">
      <c r="J606" s="9"/>
    </row>
    <row r="610" spans="10:10" x14ac:dyDescent="0.25">
      <c r="J610" s="9"/>
    </row>
    <row r="614" spans="10:10" x14ac:dyDescent="0.25">
      <c r="J614" s="9"/>
    </row>
    <row r="618" spans="10:10" x14ac:dyDescent="0.25">
      <c r="J618" s="9"/>
    </row>
    <row r="622" spans="10:10" x14ac:dyDescent="0.25">
      <c r="J622" s="9"/>
    </row>
    <row r="627" spans="10:10" x14ac:dyDescent="0.25">
      <c r="J627" s="9"/>
    </row>
    <row r="634" spans="10:10" x14ac:dyDescent="0.25">
      <c r="J634" s="9"/>
    </row>
    <row r="635" spans="10:10" x14ac:dyDescent="0.25">
      <c r="J635" s="9"/>
    </row>
    <row r="638" spans="10:10" x14ac:dyDescent="0.25">
      <c r="J638" s="9"/>
    </row>
    <row r="639" spans="10:10" x14ac:dyDescent="0.25">
      <c r="J639" s="9"/>
    </row>
    <row r="642" spans="10:10" x14ac:dyDescent="0.25">
      <c r="J642" s="9"/>
    </row>
    <row r="643" spans="10:10" x14ac:dyDescent="0.25">
      <c r="J643" s="9"/>
    </row>
    <row r="646" spans="10:10" x14ac:dyDescent="0.25">
      <c r="J646" s="9"/>
    </row>
    <row r="647" spans="10:10" x14ac:dyDescent="0.25">
      <c r="J647" s="9"/>
    </row>
    <row r="650" spans="10:10" x14ac:dyDescent="0.25">
      <c r="J650" s="9"/>
    </row>
    <row r="672" spans="10:10" x14ac:dyDescent="0.25">
      <c r="J672" s="10"/>
    </row>
    <row r="675" spans="1:10" s="3" customFormat="1" x14ac:dyDescent="0.25">
      <c r="A675"/>
      <c r="B675"/>
      <c r="C675"/>
      <c r="D675"/>
      <c r="E675"/>
      <c r="F675"/>
      <c r="G675"/>
      <c r="H675"/>
      <c r="I675"/>
    </row>
    <row r="677" spans="1:10" x14ac:dyDescent="0.25">
      <c r="J677" s="9"/>
    </row>
    <row r="680" spans="1:10" s="3" customFormat="1" x14ac:dyDescent="0.25">
      <c r="A680"/>
      <c r="B680"/>
      <c r="C680"/>
      <c r="D680"/>
      <c r="E680"/>
      <c r="F680"/>
      <c r="G680"/>
      <c r="H680"/>
      <c r="I680"/>
    </row>
    <row r="689" spans="1:10" x14ac:dyDescent="0.25">
      <c r="J689" s="9"/>
    </row>
    <row r="694" spans="1:10" s="3" customFormat="1" x14ac:dyDescent="0.25">
      <c r="A694"/>
      <c r="B694"/>
      <c r="C694"/>
      <c r="D694"/>
      <c r="E694"/>
      <c r="F694"/>
      <c r="G694"/>
      <c r="H694"/>
      <c r="I694"/>
    </row>
    <row r="718" spans="10:10" x14ac:dyDescent="0.25">
      <c r="J718" s="9"/>
    </row>
    <row r="721" spans="1:9" s="3" customFormat="1" x14ac:dyDescent="0.25">
      <c r="A721"/>
      <c r="B721"/>
      <c r="C721"/>
      <c r="D721"/>
      <c r="E721"/>
      <c r="F721"/>
      <c r="G721"/>
      <c r="H721"/>
      <c r="I721"/>
    </row>
    <row r="762" spans="1:10" s="3" customFormat="1" x14ac:dyDescent="0.25">
      <c r="A762"/>
      <c r="B762"/>
      <c r="C762"/>
      <c r="D762"/>
      <c r="E762"/>
      <c r="F762"/>
      <c r="G762"/>
      <c r="H762"/>
      <c r="I762"/>
    </row>
    <row r="765" spans="1:10" x14ac:dyDescent="0.25">
      <c r="J765" s="9"/>
    </row>
    <row r="768" spans="1:10" s="3" customFormat="1" x14ac:dyDescent="0.25">
      <c r="A768"/>
      <c r="B768"/>
      <c r="C768"/>
      <c r="D768"/>
      <c r="E768"/>
      <c r="F768"/>
      <c r="G768"/>
      <c r="H768"/>
      <c r="I768"/>
    </row>
    <row r="771" spans="1:10" x14ac:dyDescent="0.25">
      <c r="J771" s="9"/>
    </row>
    <row r="774" spans="1:10" s="3" customFormat="1" x14ac:dyDescent="0.25">
      <c r="A774"/>
      <c r="B774"/>
      <c r="C774"/>
      <c r="D774"/>
      <c r="E774"/>
      <c r="F774"/>
      <c r="G774"/>
      <c r="H774"/>
      <c r="I774"/>
    </row>
    <row r="777" spans="1:10" x14ac:dyDescent="0.25">
      <c r="J777" s="9"/>
    </row>
    <row r="780" spans="1:10" s="3" customFormat="1" x14ac:dyDescent="0.25">
      <c r="A780"/>
      <c r="B780"/>
      <c r="C780"/>
      <c r="D780"/>
      <c r="E780"/>
      <c r="F780"/>
      <c r="G780"/>
      <c r="H780"/>
      <c r="I780"/>
    </row>
    <row r="783" spans="1:10" x14ac:dyDescent="0.25">
      <c r="J783" s="9"/>
    </row>
    <row r="786" spans="1:10" s="3" customFormat="1" x14ac:dyDescent="0.25">
      <c r="A786"/>
      <c r="B786"/>
      <c r="C786"/>
      <c r="D786"/>
      <c r="E786"/>
      <c r="F786"/>
      <c r="G786"/>
      <c r="H786"/>
      <c r="I786"/>
    </row>
    <row r="789" spans="1:10" x14ac:dyDescent="0.25">
      <c r="J789" s="9"/>
    </row>
    <row r="792" spans="1:10" s="3" customFormat="1" x14ac:dyDescent="0.25">
      <c r="A792"/>
      <c r="B792"/>
      <c r="C792"/>
      <c r="D792"/>
      <c r="E792"/>
      <c r="F792"/>
      <c r="G792"/>
      <c r="H792"/>
      <c r="I792"/>
    </row>
    <row r="795" spans="1:10" x14ac:dyDescent="0.25">
      <c r="J795" s="9"/>
    </row>
    <row r="798" spans="1:10" s="3" customFormat="1" x14ac:dyDescent="0.25">
      <c r="A798"/>
      <c r="B798"/>
      <c r="C798"/>
      <c r="D798"/>
      <c r="E798"/>
      <c r="F798"/>
      <c r="G798"/>
      <c r="H798"/>
      <c r="I798"/>
    </row>
    <row r="801" spans="1:10" x14ac:dyDescent="0.25">
      <c r="J801" s="9"/>
    </row>
    <row r="804" spans="1:10" s="3" customFormat="1" x14ac:dyDescent="0.25">
      <c r="A804"/>
      <c r="B804"/>
      <c r="C804"/>
      <c r="D804"/>
      <c r="E804"/>
      <c r="F804"/>
      <c r="G804"/>
      <c r="H804"/>
      <c r="I804"/>
    </row>
    <row r="807" spans="1:10" x14ac:dyDescent="0.25">
      <c r="J807" s="9"/>
    </row>
    <row r="810" spans="1:10" s="3" customFormat="1" x14ac:dyDescent="0.25">
      <c r="A810"/>
      <c r="B810"/>
      <c r="C810"/>
      <c r="D810"/>
      <c r="E810"/>
      <c r="F810"/>
      <c r="G810"/>
      <c r="H810"/>
      <c r="I810"/>
    </row>
    <row r="813" spans="1:10" x14ac:dyDescent="0.25">
      <c r="J813" s="9"/>
    </row>
    <row r="816" spans="1:10" s="3" customFormat="1" x14ac:dyDescent="0.25">
      <c r="A816"/>
      <c r="B816"/>
      <c r="C816"/>
      <c r="D816"/>
      <c r="E816"/>
      <c r="F816"/>
      <c r="G816"/>
      <c r="H816"/>
      <c r="I816"/>
    </row>
    <row r="819" spans="1:10" x14ac:dyDescent="0.25">
      <c r="J819" s="9"/>
    </row>
    <row r="822" spans="1:10" s="3" customFormat="1" x14ac:dyDescent="0.25">
      <c r="A822"/>
      <c r="B822"/>
      <c r="C822"/>
      <c r="D822"/>
      <c r="E822"/>
      <c r="F822"/>
      <c r="G822"/>
      <c r="H822"/>
      <c r="I822"/>
    </row>
    <row r="825" spans="1:10" x14ac:dyDescent="0.25">
      <c r="J825" s="9"/>
    </row>
    <row r="828" spans="1:10" s="3" customFormat="1" x14ac:dyDescent="0.25">
      <c r="A828"/>
      <c r="B828"/>
      <c r="C828"/>
      <c r="D828"/>
      <c r="E828"/>
      <c r="F828"/>
      <c r="G828"/>
      <c r="H828"/>
      <c r="I828"/>
    </row>
    <row r="831" spans="1:10" x14ac:dyDescent="0.25">
      <c r="J831" s="9"/>
    </row>
    <row r="834" spans="1:10" s="3" customFormat="1" x14ac:dyDescent="0.25">
      <c r="A834"/>
      <c r="B834"/>
      <c r="C834"/>
      <c r="D834"/>
      <c r="E834"/>
      <c r="F834"/>
      <c r="G834"/>
      <c r="H834"/>
      <c r="I834"/>
    </row>
    <row r="837" spans="1:10" x14ac:dyDescent="0.25">
      <c r="J837" s="9"/>
    </row>
    <row r="840" spans="1:10" s="3" customFormat="1" x14ac:dyDescent="0.25">
      <c r="A840"/>
      <c r="B840"/>
      <c r="C840"/>
      <c r="D840"/>
      <c r="E840"/>
      <c r="F840"/>
      <c r="G840"/>
      <c r="H840"/>
      <c r="I840"/>
    </row>
    <row r="843" spans="1:10" x14ac:dyDescent="0.25">
      <c r="J843" s="9"/>
    </row>
    <row r="846" spans="1:10" s="3" customFormat="1" x14ac:dyDescent="0.25">
      <c r="A846"/>
      <c r="B846"/>
      <c r="C846"/>
      <c r="D846"/>
      <c r="E846"/>
      <c r="F846"/>
      <c r="G846"/>
      <c r="H846"/>
      <c r="I846"/>
    </row>
    <row r="849" spans="10:10" x14ac:dyDescent="0.25">
      <c r="J849" s="9"/>
    </row>
    <row r="855" spans="10:10" x14ac:dyDescent="0.25">
      <c r="J855" s="9"/>
    </row>
    <row r="858" spans="10:10" x14ac:dyDescent="0.25">
      <c r="J858" s="3"/>
    </row>
    <row r="861" spans="10:10" x14ac:dyDescent="0.25">
      <c r="J861" s="9"/>
    </row>
    <row r="864" spans="10:10" x14ac:dyDescent="0.25">
      <c r="J864" s="3"/>
    </row>
    <row r="867" spans="10:10" x14ac:dyDescent="0.25">
      <c r="J867" s="9"/>
    </row>
    <row r="873" spans="10:10" x14ac:dyDescent="0.25">
      <c r="J873" s="9"/>
    </row>
    <row r="879" spans="10:10" x14ac:dyDescent="0.25">
      <c r="J879" s="9"/>
    </row>
    <row r="885" spans="10:10" x14ac:dyDescent="0.25">
      <c r="J885" s="9"/>
    </row>
    <row r="891" spans="10:10" x14ac:dyDescent="0.25">
      <c r="J891" s="9"/>
    </row>
    <row r="897" spans="10:10" x14ac:dyDescent="0.25">
      <c r="J897" s="9"/>
    </row>
    <row r="900" spans="10:10" x14ac:dyDescent="0.25">
      <c r="J900" s="3"/>
    </row>
    <row r="903" spans="10:10" x14ac:dyDescent="0.25">
      <c r="J903" s="9"/>
    </row>
    <row r="909" spans="10:10" x14ac:dyDescent="0.25">
      <c r="J909" s="9"/>
    </row>
    <row r="915" spans="10:10" x14ac:dyDescent="0.25">
      <c r="J915" s="9"/>
    </row>
    <row r="921" spans="10:10" x14ac:dyDescent="0.25">
      <c r="J921" s="9"/>
    </row>
    <row r="927" spans="10:10" x14ac:dyDescent="0.25">
      <c r="J927" s="9"/>
    </row>
    <row r="933" spans="10:10" x14ac:dyDescent="0.25">
      <c r="J933" s="9"/>
    </row>
    <row r="939" spans="10:10" x14ac:dyDescent="0.25">
      <c r="J939" s="9"/>
    </row>
    <row r="944" spans="10:10" x14ac:dyDescent="0.25">
      <c r="J944" s="9"/>
    </row>
    <row r="950" spans="10:10" x14ac:dyDescent="0.25">
      <c r="J950" s="9"/>
    </row>
    <row r="956" spans="10:10" x14ac:dyDescent="0.25">
      <c r="J956" s="9"/>
    </row>
    <row r="962" spans="10:10" x14ac:dyDescent="0.25">
      <c r="J962" s="9"/>
    </row>
    <row r="968" spans="10:10" x14ac:dyDescent="0.25">
      <c r="J968" s="9"/>
    </row>
    <row r="974" spans="10:10" x14ac:dyDescent="0.25">
      <c r="J974" s="9"/>
    </row>
    <row r="980" spans="10:10" x14ac:dyDescent="0.25">
      <c r="J980" s="9"/>
    </row>
    <row r="986" spans="10:10" x14ac:dyDescent="0.25">
      <c r="J986" s="9"/>
    </row>
  </sheetData>
  <phoneticPr fontId="13" type="noConversion"/>
  <pageMargins left="0.7" right="0.7" top="0.75" bottom="0.75" header="0.3" footer="0.3"/>
  <pageSetup orientation="portrait" r:id="rId1"/>
  <ignoredErrors>
    <ignoredError sqref="A2 A3:A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C35099E5D03439D1DA3F6309014BE" ma:contentTypeVersion="12" ma:contentTypeDescription="Create a new document." ma:contentTypeScope="" ma:versionID="a02954a3ce2d1a969e5e30456ed70cd1">
  <xsd:schema xmlns:xsd="http://www.w3.org/2001/XMLSchema" xmlns:xs="http://www.w3.org/2001/XMLSchema" xmlns:p="http://schemas.microsoft.com/office/2006/metadata/properties" xmlns:ns2="cd6b6d9b-0f01-4d2d-b851-df7a1e79837d" xmlns:ns3="cffde6b5-7fbf-4e94-9a47-d471db5be0ee" targetNamespace="http://schemas.microsoft.com/office/2006/metadata/properties" ma:root="true" ma:fieldsID="89d32c58df60458ee1db4b61634728c8" ns2:_="" ns3:_="">
    <xsd:import namespace="cd6b6d9b-0f01-4d2d-b851-df7a1e79837d"/>
    <xsd:import namespace="cffde6b5-7fbf-4e94-9a47-d471db5be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b6d9b-0f01-4d2d-b851-df7a1e7983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de6b5-7fbf-4e94-9a47-d471db5be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8C52FA-7444-41E2-87DB-A81CD44389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8878650-B9B4-41E5-BDCA-5DBB3FC793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C23AE-9CE4-408B-BB8A-EAE5A3B33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b6d9b-0f01-4d2d-b851-df7a1e79837d"/>
    <ds:schemaRef ds:uri="cffde6b5-7fbf-4e94-9a47-d471db5be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1. Company Info</vt:lpstr>
      <vt:lpstr>2. Pricing - Offeror Completes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Hemhauser, William T CIV USN (USA)</dc:creator>
  <cp:keywords/>
  <dc:description/>
  <cp:lastModifiedBy>Welge, Kyle A CIV USN NAWCAD NJ (USA)</cp:lastModifiedBy>
  <cp:revision/>
  <dcterms:created xsi:type="dcterms:W3CDTF">2022-01-11T19:59:58Z</dcterms:created>
  <dcterms:modified xsi:type="dcterms:W3CDTF">2026-04-01T20:11:31Z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0x01010075FC35099E5D03439D1DA3F6309014BE</vt:lpwstr>
  </property>
</Properties>
</file>