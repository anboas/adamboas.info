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kimberly_l_marra_civ_army_mil/Documents/Desktop/PURCHASE ORDERS/LASER-CUT ITEMS/"/>
    </mc:Choice>
  </mc:AlternateContent>
  <xr:revisionPtr revIDLastSave="11" documentId="8_{C798C500-4BB7-41A9-B997-1390A6B8A4A6}" xr6:coauthVersionLast="47" xr6:coauthVersionMax="47" xr10:uidLastSave="{EAFE8DBA-D6CB-404C-B2DD-9A2B9F9BFEBF}"/>
  <bookViews>
    <workbookView xWindow="-120" yWindow="120" windowWidth="29040" windowHeight="15480" activeTab="4" xr2:uid="{00000000-000D-0000-FFFF-FFFF00000000}"/>
  </bookViews>
  <sheets>
    <sheet name="SUM" sheetId="1" r:id="rId1"/>
    <sheet name="0001" sheetId="2" r:id="rId2"/>
    <sheet name="0002" sheetId="6" r:id="rId3"/>
    <sheet name="0003" sheetId="4" r:id="rId4"/>
    <sheet name="000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62" i="4"/>
  <c r="G63" i="4"/>
  <c r="G64" i="4"/>
  <c r="G65" i="4"/>
  <c r="G66" i="4"/>
  <c r="G11" i="2"/>
  <c r="G12" i="2"/>
  <c r="G13" i="2"/>
  <c r="G14" i="2"/>
  <c r="G15" i="2"/>
  <c r="G16" i="2"/>
  <c r="G17" i="2"/>
  <c r="G18" i="2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5" i="6"/>
  <c r="G6" i="6"/>
  <c r="G7" i="6"/>
  <c r="G8" i="6" s="1"/>
  <c r="C6" i="1" s="1"/>
  <c r="D6" i="1" s="1"/>
  <c r="G9" i="2"/>
  <c r="G10" i="2"/>
  <c r="G6" i="2"/>
  <c r="G7" i="2"/>
  <c r="G8" i="2"/>
  <c r="G67" i="4" l="1"/>
  <c r="C7" i="1" s="1"/>
  <c r="D7" i="1" s="1"/>
  <c r="G19" i="2"/>
  <c r="C5" i="1" s="1"/>
  <c r="D5" i="1" s="1"/>
  <c r="G24" i="5"/>
  <c r="C8" i="1" s="1"/>
  <c r="D8" i="1" s="1"/>
  <c r="D9" i="1" s="1"/>
  <c r="C9" i="1"/>
</calcChain>
</file>

<file path=xl/sharedStrings.xml><?xml version="1.0" encoding="utf-8"?>
<sst xmlns="http://schemas.openxmlformats.org/spreadsheetml/2006/main" count="477" uniqueCount="328">
  <si>
    <t>Pos</t>
  </si>
  <si>
    <t>QTY</t>
  </si>
  <si>
    <t>UI</t>
  </si>
  <si>
    <t>Bezeichnung</t>
  </si>
  <si>
    <t>Description</t>
  </si>
  <si>
    <t>Price/UI</t>
  </si>
  <si>
    <t>Price/tot</t>
  </si>
  <si>
    <t>Stk.</t>
  </si>
  <si>
    <t>material must meet the requested specification</t>
  </si>
  <si>
    <t>delivery cost to MAV must be included; unloading done by MAV</t>
  </si>
  <si>
    <t>cutted shapes must be laser cutted - no other technology is acceptable</t>
  </si>
  <si>
    <t>Brand name as listed or equal to</t>
  </si>
  <si>
    <t>Kühlrohr Kjellberg #.11.848.201.142 G091Y</t>
  </si>
  <si>
    <t>cooling tube Kjellberg #.11.848.201.142 G091Y</t>
  </si>
  <si>
    <t>Kühlrohr Kjellberg #.11.852.201.142 G902Y</t>
  </si>
  <si>
    <t>cooling tube Kjellberg #.11.848.201.142 G002Y</t>
  </si>
  <si>
    <t>Kühlrohr Kjellberg #.11.848.401.142 G931Y</t>
  </si>
  <si>
    <t>cooling tube Kjellberg #.11.848.201.142 G931Y</t>
  </si>
  <si>
    <t>Kühlrohr Kjellberg #.11.848.211.142 G941</t>
  </si>
  <si>
    <t>cooling tube Kjellberg #.11.848.201.142 G941</t>
  </si>
  <si>
    <t>Kühlrohr Kjellberg #.11.848.411.142 G971</t>
  </si>
  <si>
    <t>cooling tube Kjellberg #.11.848.201.142 G971</t>
  </si>
  <si>
    <t>Kathode Kjellberg #.11.848.211.510 G042</t>
  </si>
  <si>
    <t>cathode Kjellberg #.11.848.211.510 G042</t>
  </si>
  <si>
    <t>Kathode Kjellberg #.11.848.311.510 G052</t>
  </si>
  <si>
    <t>cathode Kjellberg #.11.848.311.510 G052</t>
  </si>
  <si>
    <t>Kathode Kjellberg #.11.848.411.510 G071</t>
  </si>
  <si>
    <t>cathode Kjellberg #.11.848.411.510 G071</t>
  </si>
  <si>
    <t>Kathode Kjellberg #.11.848.231.320 G011Y</t>
  </si>
  <si>
    <t>cathode Kjellberg #.11.848.231.320 G011Y</t>
  </si>
  <si>
    <t>Kathode Kjellberg #.11.848.231.350 G015Y</t>
  </si>
  <si>
    <t>cathode Kjellberg #.11.848.231.350 G015Y</t>
  </si>
  <si>
    <t>Kathode Kjellberg #.11.848.231.360 G016Y</t>
  </si>
  <si>
    <t>cathode Kjellberg #.11.848.231.360 G016Y</t>
  </si>
  <si>
    <t>Kathode Kjellberg #.11.848.401.310 G092Y</t>
  </si>
  <si>
    <t>cathode Kjellberg #.11.848.401.310 G092Y</t>
  </si>
  <si>
    <t>Gasfuehrung Kjellberg #.11.848.221.145C G101C</t>
  </si>
  <si>
    <t>gas guide Kjellberg #.11.848.221.145C G101C</t>
  </si>
  <si>
    <t>Gasfuehrung Kjellberg #.11.848.221.148 G104</t>
  </si>
  <si>
    <t>gas guide Kjellberg #.11.848.221.148 G104</t>
  </si>
  <si>
    <t>Gasfuehrung Kjellberg #.11.848.221.149 G105</t>
  </si>
  <si>
    <t>gas guide Kjellberg #.11.848.221.149 G105</t>
  </si>
  <si>
    <t>Gasfuehrung Kjellberg #.11.848.421.145C G121C</t>
  </si>
  <si>
    <t>gas guide Kjellberg #.11.848.421.145C G121C</t>
  </si>
  <si>
    <t>Gasfuehrung Kjellberg #.11.848.421.149 G125</t>
  </si>
  <si>
    <t>gas guide Kjellberg #.11.848.421.149 G125</t>
  </si>
  <si>
    <t>Duese Kjellberg #.11.848.221.406N G2006YN</t>
  </si>
  <si>
    <t>nozzle Kjellberg #.11.848.221.406N G2006YN</t>
  </si>
  <si>
    <t>Duese Kjellberg #.11.848.221.407N G2007YN</t>
  </si>
  <si>
    <t>nozzle Kjellberg #.11.848.221.407N G2007YN</t>
  </si>
  <si>
    <t>Duese Kjellberg #.11.848.221.408N G2008YN</t>
  </si>
  <si>
    <t>nozzle Kjellberg #.11.848.221.408N G2008YN</t>
  </si>
  <si>
    <t>Duese Kjellberg #.11.848.221.410N G2010YN</t>
  </si>
  <si>
    <t>nozzle Kjellberg #.11.848.221.410N G2010YN</t>
  </si>
  <si>
    <t>Duese Kjellberg #.11.848.221.412N G2012YN</t>
  </si>
  <si>
    <t>nozzle Kjellberg #.11.848.221.412N G2012YN</t>
  </si>
  <si>
    <t>Duese Kjellberg #.11.848.221.414N G2014YN</t>
  </si>
  <si>
    <t>nozzle Kjellberg #.11.848.221.414N G2014YN</t>
  </si>
  <si>
    <t>Duese Kjellberg #.11.848.221.416N G2016YN</t>
  </si>
  <si>
    <t>nozzle Kjellberg #.11.848.221.416N G2016YN</t>
  </si>
  <si>
    <t>Duese Kjellberg #.11.848.221.417N G2017YN</t>
  </si>
  <si>
    <t>nozzle Kjellberg #.11.848.221.417N G2017YN</t>
  </si>
  <si>
    <t>Duese Kjellberg #.11.848.421.426N G2326YN</t>
  </si>
  <si>
    <t>nozzle Kjellberg #.11.848.421.426N G2326YN</t>
  </si>
  <si>
    <t>Duese Kjellberg #.11.848.311.614N G2514N</t>
  </si>
  <si>
    <t>nozzle Kjellberg #.11.848.311.614N G2514N</t>
  </si>
  <si>
    <t>Duese Kjellberg #.11.848.311.615N G2515N</t>
  </si>
  <si>
    <t>nozzle Kjellberg #.11.848.311.615N G2515N</t>
  </si>
  <si>
    <t>Duese Kjellberg #.11.848.411.625N G2725N</t>
  </si>
  <si>
    <t>nozzle Kjellberg #.11.848.411.625N G2725N</t>
  </si>
  <si>
    <t>Duese Kjellberg #.11.848.221.408SN G2008SN</t>
  </si>
  <si>
    <t>nozzle Kjellberg #.11.848.221.408SN G2008SN</t>
  </si>
  <si>
    <t>Duese Kjellberg #.11.848.221.410SN G2010SN</t>
  </si>
  <si>
    <t>nozzle Kjellberg #.11.848.221.410SN G2010SN</t>
  </si>
  <si>
    <t>Duese Kjellberg #.11.848.221.412SN G2012SN</t>
  </si>
  <si>
    <t>nozzle Kjellberg #.11.848.221.412SN G2012SN</t>
  </si>
  <si>
    <t>Duese Kjellberg #.11.848.221.414SN G2014SN</t>
  </si>
  <si>
    <t>nozzle Kjellberg #.11.848.221.414SN G2014SN</t>
  </si>
  <si>
    <t>Duesenkappe Kjellberg #.11.848.201.1604 G3004</t>
  </si>
  <si>
    <t>nozzle cap Kjellberg #.11.848.201.1604 G3004</t>
  </si>
  <si>
    <t>Duesenkappe Kjellberg #.11.848.201.1608 G3008</t>
  </si>
  <si>
    <t>nozzle cap Kjellberg #.11.848.201.1608 G3008</t>
  </si>
  <si>
    <t>Duesenkappe Kjellberg #.11.848.201.1618 G3018</t>
  </si>
  <si>
    <t>nozzle cap Kjellberg #.11.848.201.1618 G3018</t>
  </si>
  <si>
    <t>Duesenkappe Kjellberg #.11.848.201.1628 G3028</t>
  </si>
  <si>
    <t>nozzle cap Kjellberg #.11.848.201.1628 G3028</t>
  </si>
  <si>
    <t>Duesenkappe Kjellberg #.11.848.401.1609 G3209</t>
  </si>
  <si>
    <t>nozzle cap Kjellberg #.11.848.401.1609 G3209</t>
  </si>
  <si>
    <t>Duesenkappe Kjellberg #.11.848.401.1619 G3219</t>
  </si>
  <si>
    <t>nozzle cap Kjellberg #.11.848.401.1619 G3219</t>
  </si>
  <si>
    <t>Duesenkappe Kjellberg #.11.848.401.1629 G3229</t>
  </si>
  <si>
    <t>nozzle cap Kjellberg #.11.848.401.1629 G3229</t>
  </si>
  <si>
    <t>Duesenkappe Kjellberg #.11.848.401.1649 G3249</t>
  </si>
  <si>
    <t>nozzle cap Kjellberg #.11.848.401.1649 G3249</t>
  </si>
  <si>
    <t>Schutzkappe Kjellberg #.11.852.201.081 G502</t>
  </si>
  <si>
    <t>protective cap Kjellberg #.11.852.201.081 G502</t>
  </si>
  <si>
    <t>Schutzkappe Kjellberg #.11.852.401.081 G522</t>
  </si>
  <si>
    <t>protective cap Kjellberg #.11.852.401.081 G522</t>
  </si>
  <si>
    <t>Wirbelgaskappe Kjellberg #.11.848.201.1515 G4015</t>
  </si>
  <si>
    <t>swirl cap Kjellberg #.11.848.201.1515 G4015</t>
  </si>
  <si>
    <t>Wirbelgaskappe Kjellberg #.11.848.201.1520 G4020</t>
  </si>
  <si>
    <t>swirl cap Kjellberg #.11.848.201.1520 G4020</t>
  </si>
  <si>
    <t>Wirbelgaskappe Kjellberg #.11.848.201.1522 G4022</t>
  </si>
  <si>
    <t>swirl cap Kjellberg #.11.848.201.1522 G4022</t>
  </si>
  <si>
    <t>Wirbelgaskappe Kjellberg #.11.848.201.1525 G4025</t>
  </si>
  <si>
    <t>swirl cap Kjellberg #.11.848.201.1525 G4025</t>
  </si>
  <si>
    <t>Wirbelgaskappe Kjellberg #.11.848.201.1530 G4030</t>
  </si>
  <si>
    <t>swirl cap Kjellberg #.11.848.201.1530 G4030</t>
  </si>
  <si>
    <t>Wirbelgaskappe Kjellberg #.11.848.201.1535 G4035</t>
  </si>
  <si>
    <t>swirl cap Kjellberg #.11.848.201.1535 G4035</t>
  </si>
  <si>
    <t>Wirbelgaskappe Kjellberg #.11.848.201.1540 G4040</t>
  </si>
  <si>
    <t>swirl cap Kjellberg #.11.848.201.1540 G4040</t>
  </si>
  <si>
    <t>Wirbelgaskappe Kjellberg #.11.848.401.1535 G4335</t>
  </si>
  <si>
    <t>swirl cap Kjellberg #.11.848.401.1535 G4335</t>
  </si>
  <si>
    <t>Wirbelgaskappe Kjellberg #.11.848.401.1540 G4340</t>
  </si>
  <si>
    <t>swirl cap Kjellberg #.11.848.401.1540 G4340</t>
  </si>
  <si>
    <t>Wirbelgaskappe Kjellberg #.11.848.401.1545 G4345</t>
  </si>
  <si>
    <t>swirl cap Kjellberg #.11.848.401.1545 G4345</t>
  </si>
  <si>
    <t>Wirbelgaskappe Kjellberg #.11.848.401.1550 G4350</t>
  </si>
  <si>
    <t>swirl cap Kjellberg #.11.848.401.1550 G4350</t>
  </si>
  <si>
    <t>Wirbelgaskappe Kjellberg #.11.848.311.1530 G4530</t>
  </si>
  <si>
    <t>swirl cap Kjellberg #.11.848.311.1530 G4530</t>
  </si>
  <si>
    <t>Wirbelgaskappe Kjellberg #.11.848.311.1540 G4540</t>
  </si>
  <si>
    <t>swirl cap Kjellberg #.11.848.311.1540 G4540</t>
  </si>
  <si>
    <t>Wirbelgaskappe Kjellberg #.11.848.311.1535 G4535</t>
  </si>
  <si>
    <t>swirl cap Kjellberg #.11.848.311.1535 G4535</t>
  </si>
  <si>
    <t>VHM-Schaftfräser beschichtet GARANT #203035 8</t>
  </si>
  <si>
    <t>full carbide end mill coated GARANT #203035 8</t>
  </si>
  <si>
    <t>VHM-Schaftfräser beschichtet GARANT #203035 10</t>
  </si>
  <si>
    <t>full carbide end mill coated GARANT #203035 10</t>
  </si>
  <si>
    <t>VHM-Schaftfräser beschichtet GARANT #203035 12</t>
  </si>
  <si>
    <t>full carbide end mill coated GARANT #203035 12</t>
  </si>
  <si>
    <t>VHM-Schaftfräser beschichtet GARANT #203035 16</t>
  </si>
  <si>
    <t>full carbide end mill coated GARANT #203035 16</t>
  </si>
  <si>
    <t>VHM-Bohrer beschichtet GARANT #122426 5</t>
  </si>
  <si>
    <t>full carbide drill coated GARANT#122426 5</t>
  </si>
  <si>
    <t>VHM-Bohrer beschichtet GARANT #122426 6</t>
  </si>
  <si>
    <t>full carbide drill coated GARANT#122426 6</t>
  </si>
  <si>
    <t>VHM-Bohrer beschichtet GARANT #122426 8</t>
  </si>
  <si>
    <t>full carbide drill coated GARANT#122426 8</t>
  </si>
  <si>
    <t>VHM-Bohrer beschichtet GARANT #122426 10</t>
  </si>
  <si>
    <t>full carbide drill coated GARANT#122426 10</t>
  </si>
  <si>
    <t>VHM-Bohrer beschichtet GARANT #122426 12</t>
  </si>
  <si>
    <t>full carbide drill coated GARANT#122426 12</t>
  </si>
  <si>
    <t>VHM-Gewindebohrer beschichtet GARANT #136152 M6</t>
  </si>
  <si>
    <t>full carbide tap drill coated GARANT #136152 M6</t>
  </si>
  <si>
    <t>0004-10</t>
  </si>
  <si>
    <t>VHM-Gewindebohrer beschichtet GARANT #136152 M8</t>
  </si>
  <si>
    <t>full carbide tap drill coated GARANT #136152 M8</t>
  </si>
  <si>
    <t>0004-11</t>
  </si>
  <si>
    <t>VHM-Gewindebohrer beschichtet GARANT #136152 M10</t>
  </si>
  <si>
    <t>full carbide tap drill coated GARANT #136152 M10</t>
  </si>
  <si>
    <t>0004-12</t>
  </si>
  <si>
    <t>VHM-Gewindebohrer beschichtet GARANT #136152 M12</t>
  </si>
  <si>
    <t>full carbide tap drill coated GARANT #136152 M12</t>
  </si>
  <si>
    <t>0004-13</t>
  </si>
  <si>
    <t>VHM Wendeplatten Trennfräser ap=2,2mm D=125mm z=10 GARANT #218426 125/10</t>
  </si>
  <si>
    <t>full carbide insert cutting blade ap=2,2mm D=125mm z=10 GARANT #218426 125/10</t>
  </si>
  <si>
    <t>0004-14</t>
  </si>
  <si>
    <t>VHM Wendeplatte 2,2mm INOX GARANT #218460 INOX</t>
  </si>
  <si>
    <t>full carbide insert 2,2mm INOX GARANT #218460 INOX</t>
  </si>
  <si>
    <t>0004-15</t>
  </si>
  <si>
    <t>VHM Wendeplatte 2,2mm ALU GARANT #218460 ALU</t>
  </si>
  <si>
    <t>full carbide insert 2,2mm ALU GARANT #218460 ALU</t>
  </si>
  <si>
    <t>0004-16</t>
  </si>
  <si>
    <t>VHM Wendeplatte 2,2mm UNI GARANT #218460 UNI</t>
  </si>
  <si>
    <t>full carbide insert 2,2mm UNI GARANT #218460 UNI</t>
  </si>
  <si>
    <t>Item #</t>
  </si>
  <si>
    <t>total Amount
EUR</t>
  </si>
  <si>
    <t>total Amount
USD</t>
  </si>
  <si>
    <t>0001</t>
  </si>
  <si>
    <t>0002</t>
  </si>
  <si>
    <t>0003</t>
  </si>
  <si>
    <t>0004</t>
  </si>
  <si>
    <t>1 € =</t>
  </si>
  <si>
    <t>standardized parts</t>
  </si>
  <si>
    <t>welding &amp; cutting consumables</t>
  </si>
  <si>
    <t>milling &amp; turning consumables</t>
  </si>
  <si>
    <t>0004-17</t>
  </si>
  <si>
    <t>0004-18</t>
  </si>
  <si>
    <t>0004-19</t>
  </si>
  <si>
    <t>0001-01</t>
  </si>
  <si>
    <t>0001-02</t>
  </si>
  <si>
    <t>0001-03</t>
  </si>
  <si>
    <t>0001-04</t>
  </si>
  <si>
    <t>0001-05</t>
  </si>
  <si>
    <t>0001-06</t>
  </si>
  <si>
    <t>0002-01</t>
  </si>
  <si>
    <t>0002-02</t>
  </si>
  <si>
    <t>0002-03</t>
  </si>
  <si>
    <t>0003-01</t>
  </si>
  <si>
    <t>0003-02</t>
  </si>
  <si>
    <t>0003-03</t>
  </si>
  <si>
    <t>0003-04</t>
  </si>
  <si>
    <t>0003-05</t>
  </si>
  <si>
    <t>0003-06</t>
  </si>
  <si>
    <t>0003-07</t>
  </si>
  <si>
    <t>0003-08</t>
  </si>
  <si>
    <t>0003-09</t>
  </si>
  <si>
    <t>0003-10</t>
  </si>
  <si>
    <t>0003-11</t>
  </si>
  <si>
    <t>0003-12</t>
  </si>
  <si>
    <t>0003-13</t>
  </si>
  <si>
    <t>0004-01</t>
  </si>
  <si>
    <t>0004-02</t>
  </si>
  <si>
    <t>0004-03</t>
  </si>
  <si>
    <t>0004-04</t>
  </si>
  <si>
    <t>0004-05</t>
  </si>
  <si>
    <t>0004-06</t>
  </si>
  <si>
    <t>0004-07</t>
  </si>
  <si>
    <t>0004-08</t>
  </si>
  <si>
    <t>0004-09</t>
  </si>
  <si>
    <t>VHM Formfräser sonderschliff R13,25mm D=25mm reduzierter HB Schaft E&amp;S Industrietechnik #X26581-000591</t>
  </si>
  <si>
    <t>full carbide special shape end mill R13,25 D=25mm reduzed HB shank E&amp;S Industrietechnik #X26581-00591</t>
  </si>
  <si>
    <t>Lochstempel sonderform geschliffen, D25mm, Fläche 20mm E&amp;S Industrietechnik #X26581-000846</t>
  </si>
  <si>
    <t>hole punch stamp special shape grinded, D25mm, flat 20mm, E&amp;S Industrietechnik #X26581-000846</t>
  </si>
  <si>
    <t>ITEM 0002 Standardized parts</t>
  </si>
  <si>
    <t>ITEM 0003 Welding &amp; cutting consumables</t>
  </si>
  <si>
    <t>ITEM 0004 Milling &amp; turning consumables</t>
  </si>
  <si>
    <t>0003-14</t>
  </si>
  <si>
    <t>0003-15</t>
  </si>
  <si>
    <t>0003-16</t>
  </si>
  <si>
    <t>0003-17</t>
  </si>
  <si>
    <t>0003-18</t>
  </si>
  <si>
    <t>0003-19</t>
  </si>
  <si>
    <t>0003-20</t>
  </si>
  <si>
    <t>0003-21</t>
  </si>
  <si>
    <t>0003-22</t>
  </si>
  <si>
    <t>0003-23</t>
  </si>
  <si>
    <t>0003-24</t>
  </si>
  <si>
    <t>0003-25</t>
  </si>
  <si>
    <t>0003-26</t>
  </si>
  <si>
    <t>0003-27</t>
  </si>
  <si>
    <t>0003-28</t>
  </si>
  <si>
    <t>0003-29</t>
  </si>
  <si>
    <t>0003-30</t>
  </si>
  <si>
    <t>0003-31</t>
  </si>
  <si>
    <t>0003-32</t>
  </si>
  <si>
    <t>0003-33</t>
  </si>
  <si>
    <t>0003-34</t>
  </si>
  <si>
    <t>0003-35</t>
  </si>
  <si>
    <t>0003-36</t>
  </si>
  <si>
    <t>0003-37</t>
  </si>
  <si>
    <t>0003-38</t>
  </si>
  <si>
    <t>0003-39</t>
  </si>
  <si>
    <t>0003-40</t>
  </si>
  <si>
    <t>0003-41</t>
  </si>
  <si>
    <t>0003-42</t>
  </si>
  <si>
    <t>0003-43</t>
  </si>
  <si>
    <t>0003-44</t>
  </si>
  <si>
    <t>0003-45</t>
  </si>
  <si>
    <t>0003-46</t>
  </si>
  <si>
    <t>0003-47</t>
  </si>
  <si>
    <t>0003-48</t>
  </si>
  <si>
    <t>0003-49</t>
  </si>
  <si>
    <t>0003-50</t>
  </si>
  <si>
    <t>0003-51</t>
  </si>
  <si>
    <t>0003-52</t>
  </si>
  <si>
    <t>0003-53</t>
  </si>
  <si>
    <t>0003-54</t>
  </si>
  <si>
    <t>0003-55</t>
  </si>
  <si>
    <t>0003-56</t>
  </si>
  <si>
    <t>0003-57</t>
  </si>
  <si>
    <t>laser cutted parts &amp; steel bar stock</t>
  </si>
  <si>
    <t>Laserzuschnitt Grobblech Kanten entgratet und geschliffen THYSSEN SECURE600 nach Zeichnung "MAV-20-04-08-001"</t>
  </si>
  <si>
    <t>Laserzuschnitt Grobblech Kanten entgratet und geschliffen THYSSEN SECURE600 nach Zeichnung "MAV-20-04-08-002"</t>
  </si>
  <si>
    <t>Laserzuschnitt Grobblech Kanten entgratet und geschliffen THYSSEN SECURE600 nach Zeichnung "MAV-20-04-08-003"</t>
  </si>
  <si>
    <t>Laserzuschnitt Grobblech Kanten entgratet und geschliffen THYSSEN SECURE600 nach Zeichnung "MAV-20-04-08-004"</t>
  </si>
  <si>
    <t>Laserzuschnitt Grobblech Kanten entgratet und geschliffen THYSSEN SECURE600 nach Zeichnung "MAV-20-04-08-006"</t>
  </si>
  <si>
    <t>Laserzuschnitt Grobblech Kanten entgratet und geschliffen THYSSEN SECURE600 nach Zeichnung "MAV-20-04-08-007"</t>
  </si>
  <si>
    <t>0001-07</t>
  </si>
  <si>
    <t>Laserzuschnitt Grobblech Kanten entgratet und geschliffen THYSSEN SECURE600 nach Zeichnung "MAV-20-04-08-008"</t>
  </si>
  <si>
    <t>0001-08</t>
  </si>
  <si>
    <t>Laserzuschnitt Grobblech Kanten entgratet und geschliffen THYSSEN SECURE600 nach Zeichnung "MAV-25-02-10-001"</t>
  </si>
  <si>
    <t>0001-09</t>
  </si>
  <si>
    <t>Laserzuschnitt Grobblech Kanten entgratet und geschliffen THYSSEN SECURE600 nach Zeichnung "MAV-25-02-10-002"</t>
  </si>
  <si>
    <t>0001-10</t>
  </si>
  <si>
    <t>Laserzuschnitt Grobblech Kanten entgratet und geschliffen THYSSEN SECURE600 nach Zeichnung "MAV-25-02-10-003"</t>
  </si>
  <si>
    <t>0001-11</t>
  </si>
  <si>
    <t>Laserzuschnitt Grobblech Kanten entgratet und geschliffen THYSSEN SECURE600 nach Zeichnung "MAV-25-02-10-004"</t>
  </si>
  <si>
    <t>0001-12</t>
  </si>
  <si>
    <t>Laserzuschnitt Grobblech Kanten entgratet und geschliffen THYSSEN SECURE600 nach Zeichnung "MAV-25-02-10-005"</t>
  </si>
  <si>
    <t>0001-13</t>
  </si>
  <si>
    <t>Laserzuschnitt Grobblech Kanten entgratet und geschliffen THYSSEN SECURE600 nach Zeichnung "MAV-25-02-10-006"</t>
  </si>
  <si>
    <t>0001-14</t>
  </si>
  <si>
    <t>Rundrohr 28x6mm DIN EN 10305-1 E235 Fixlänge=217mm geschnitten geplant entgratet</t>
  </si>
  <si>
    <t>round tube 28x6mm DIN EN 10305-1 E235 fixed length=217mm cuttet turned w/ lathe debured</t>
  </si>
  <si>
    <t>FISCHER FH II 15/M12/A4; Schwerlasthuelsenanker M12; Edelstahl A4</t>
  </si>
  <si>
    <t>FISCHER FH II 15/M12/A4; heavy duty load concrete anchor M12; stainless steel A4</t>
  </si>
  <si>
    <t>Flachkopfschraube; ISO 7380-2; M12x30 mm; verzinkt</t>
  </si>
  <si>
    <t>screw hexagon head; HV; EN 14399-4; M16x40mm; zinc coated</t>
  </si>
  <si>
    <t>Sechskantschraube; DIN 933; M16x35mm; verzinkt</t>
  </si>
  <si>
    <t>screw hexagon head; DIN 933; M16x35mm; zinc coated</t>
  </si>
  <si>
    <t>0003-58</t>
  </si>
  <si>
    <t>Wechselkopf Kjellberg #.17.223.521.100N PerCut 851MN</t>
  </si>
  <si>
    <t>quick change head Kjellberg #.17.223.521.100N PerCut 851MN</t>
  </si>
  <si>
    <t>0003-59</t>
  </si>
  <si>
    <t>Schweißdraht HOBART Fab-Co 81  Fülldraht 16kg rolle K300</t>
  </si>
  <si>
    <t>welding wire HOBART Fab-Co 81 flux core 16kg spool K300</t>
  </si>
  <si>
    <t>Kontaktdüse Stahl 0.8 Fronius #42,0001,6464,10</t>
  </si>
  <si>
    <t>contact nozzle steel 0.8mm Fronius #42,0001,6464,10</t>
  </si>
  <si>
    <t>0003-60</t>
  </si>
  <si>
    <t>Kontaktdüse Stahl 1.0 Fronius #42,0001,6466,10</t>
  </si>
  <si>
    <t>contact nozzle steel 1.0mm Fronius #42,0001,6466,10</t>
  </si>
  <si>
    <t>0003-61</t>
  </si>
  <si>
    <t>Kontaktdüse Stahl 1.2 Fronius #42,0001,6467,10</t>
  </si>
  <si>
    <t>contact nozzle steel 1.2mm Fronius #42,0001,6467,10</t>
  </si>
  <si>
    <t>ITEM 0001 Laser-cut parts &amp; steel bar stock</t>
  </si>
  <si>
    <t>delivery cost must be included; unloading done by Customer</t>
  </si>
  <si>
    <t>laser-cut plate edges broken and grinded THYSSEN SECURE600 according to drawing "MAV-20-04-08-001"</t>
  </si>
  <si>
    <t>laser-cut plate edges broken and grinded THYSSEN SECURE600 according to drawing "MAV-20-04-08-002"</t>
  </si>
  <si>
    <t>laser-cut plate edges broken and grinded THYSSEN SECURE600 according to drawing "MAV-20-04-08-003"</t>
  </si>
  <si>
    <t>laser-cut plate edges broken and grinded THYSSEN SECURE600 according to drawing "MAV-20-04-08-004"</t>
  </si>
  <si>
    <t>laser-cut plate edges broken and grinded THYSSEN SECURE600 according to drawing "MAV-20-04-08-006"</t>
  </si>
  <si>
    <t>laser-cut plate edges broken and grinded THYSSEN SECURE600 according to drawing "MAV-20-04-08-007"</t>
  </si>
  <si>
    <t>laser-cut plate edges broken and grinded THYSSEN SECURE600 according to drawing "MAV-20-04-08-008"</t>
  </si>
  <si>
    <t>laser-cut plate edges broken and grinded THYSSEN SECURE600 according to drawing "MAV-25-02-10-001"</t>
  </si>
  <si>
    <t>laser-cut plate edges broken and grinded THYSSEN SECURE600 according to drawing "MAV-25-02-10-002"</t>
  </si>
  <si>
    <t>laser-cut plate edges broken and grinded THYSSEN SECURE600 according to drawing "MAV-25-02-10-003"</t>
  </si>
  <si>
    <t>laser-cut plate edges broken and grinded THYSSEN SECURE600 according to drawing "MAV-25-02-10-004"</t>
  </si>
  <si>
    <t>laser-cut plate edges broken and grinded THYSSEN SECURE600 according to drawing "MAV-25-02-10-005"</t>
  </si>
  <si>
    <t>laser-cut plate edges broken and grinded THYSSEN SECURE600 according to drawing "MAV-25-02-10-006"</t>
  </si>
  <si>
    <t>cutted shapes must be laser-cut - no other technology is acceptable</t>
  </si>
  <si>
    <t>Delivery Address:</t>
  </si>
  <si>
    <t>Maintenance Activity Vilseck</t>
  </si>
  <si>
    <t>Rose Barracks, Bldg. 308</t>
  </si>
  <si>
    <t>92249 Vilseck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</si>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</sst>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_-* #,##0.00\ [$€-407]_-;\-* #,##0.00\ [$€-407]_-;_-* &quot;-&quot;??\ [$€-407]_-;_-@_-"/>
    <numFmt numFmtId="166" formatCode="_-[$$-409]* #,##0.00_ ;_-[$$-409]* \-#,##0.00\ ;_-[$$-409]* &quot;-&quot;??_ ;_-@_ "/>
    <numFmt numFmtId="167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0" applyNumberFormat="1"/>
    <xf numFmtId="1" fontId="0" fillId="0" borderId="0" xfId="0" applyNumberFormat="1" applyAlignment="1">
      <alignment vertical="top"/>
    </xf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2">
    <cellStyle name="Normal" xfId="0" builtinId="0"/>
    <cellStyle name="Währung 2" xfId="1" xr:uid="{9D730969-3573-42B3-BD9C-E19A37E9E5C1}"/>
  </cellStyles>
  <dxfs count="34">
    <dxf>
      <numFmt numFmtId="164" formatCode="_-* #,##0.00\ &quot;€&quot;_-;\-* #,##0.00\ &quot;€&quot;_-;_-* &quot;-&quot;??\ &quot;€&quot;_-;_-@_-"/>
    </dxf>
    <dxf>
      <numFmt numFmtId="165" formatCode="_-* #,##0.00\ [$€-407]_-;\-* #,##0.00\ [$€-407]_-;_-* &quot;-&quot;??\ [$€-407]_-;_-@_-"/>
    </dxf>
    <dxf>
      <numFmt numFmtId="165" formatCode="_-* #,##0.00\ [$€-407]_-;\-* #,##0.00\ [$€-407]_-;_-* &quot;-&quot;??\ [$€-407]_-;_-@_-"/>
    </dxf>
    <dxf>
      <numFmt numFmtId="30" formatCode="@"/>
    </dxf>
    <dxf>
      <numFmt numFmtId="30" formatCode="@"/>
    </dxf>
    <dxf>
      <numFmt numFmtId="1" formatCode="0"/>
    </dxf>
    <dxf>
      <numFmt numFmtId="1" formatCode="0"/>
      <alignment horizontal="general" vertical="top" textRotation="0" wrapText="0" indent="0" justifyLastLine="0" shrinkToFit="0" readingOrder="0"/>
    </dxf>
    <dxf>
      <numFmt numFmtId="164" formatCode="_-* #,##0.00\ &quot;€&quot;_-;\-* #,##0.00\ &quot;€&quot;_-;_-* &quot;-&quot;??\ &quot;€&quot;_-;_-@_-"/>
    </dxf>
    <dxf>
      <numFmt numFmtId="165" formatCode="_-* #,##0.00\ [$€-407]_-;\-* #,##0.00\ [$€-407]_-;_-* &quot;-&quot;??\ [$€-407]_-;_-@_-"/>
    </dxf>
    <dxf>
      <numFmt numFmtId="165" formatCode="_-* #,##0.00\ [$€-407]_-;\-* #,##0.00\ [$€-407]_-;_-* &quot;-&quot;??\ [$€-407]_-;_-@_-"/>
    </dxf>
    <dxf>
      <numFmt numFmtId="30" formatCode="@"/>
    </dxf>
    <dxf>
      <numFmt numFmtId="30" formatCode="@"/>
    </dxf>
    <dxf>
      <numFmt numFmtId="1" formatCode="0"/>
    </dxf>
    <dxf>
      <numFmt numFmtId="1" formatCode="0"/>
      <alignment horizontal="general" vertical="top" textRotation="0" wrapText="0" indent="0" justifyLastLine="0" shrinkToFit="0" readingOrder="0"/>
    </dxf>
    <dxf>
      <numFmt numFmtId="30" formatCode="@"/>
    </dxf>
    <dxf>
      <numFmt numFmtId="164" formatCode="_-* #,##0.00\ &quot;€&quot;_-;\-* #,##0.00\ &quot;€&quot;_-;_-* &quot;-&quot;??\ &quot;€&quot;_-;_-@_-"/>
    </dxf>
    <dxf>
      <numFmt numFmtId="165" formatCode="_-* #,##0.00\ [$€-407]_-;\-* #,##0.00\ [$€-407]_-;_-* &quot;-&quot;??\ [$€-407]_-;_-@_-"/>
    </dxf>
    <dxf>
      <numFmt numFmtId="165" formatCode="_-* #,##0.00\ [$€-407]_-;\-* #,##0.00\ [$€-407]_-;_-* &quot;-&quot;??\ [$€-407]_-;_-@_-"/>
    </dxf>
    <dxf>
      <numFmt numFmtId="30" formatCode="@"/>
    </dxf>
    <dxf>
      <numFmt numFmtId="30" formatCode="@"/>
    </dxf>
    <dxf>
      <numFmt numFmtId="1" formatCode="0"/>
    </dxf>
    <dxf>
      <numFmt numFmtId="1" formatCode="0"/>
      <alignment horizontal="general" vertical="top" textRotation="0" wrapText="0" indent="0" justifyLastLine="0" shrinkToFit="0" readingOrder="0"/>
    </dxf>
    <dxf>
      <numFmt numFmtId="164" formatCode="_-* #,##0.00\ &quot;€&quot;_-;\-* #,##0.00\ &quot;€&quot;_-;_-* &quot;-&quot;??\ &quot;€&quot;_-;_-@_-"/>
    </dxf>
    <dxf>
      <numFmt numFmtId="165" formatCode="_-* #,##0.00\ [$€-407]_-;\-* #,##0.00\ [$€-407]_-;_-* &quot;-&quot;??\ [$€-407]_-;_-@_-"/>
    </dxf>
    <dxf>
      <numFmt numFmtId="165" formatCode="_-* #,##0.00\ [$€-407]_-;\-* #,##0.00\ [$€-407]_-;_-* &quot;-&quot;??\ [$€-407]_-;_-@_-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5" formatCode="_-* #,##0.00\ [$€-407]_-;\-* #,##0.00\ [$€-407]_-;_-* &quot;-&quot;??\ [$€-407]_-;_-@_-"/>
    </dxf>
    <dxf>
      <numFmt numFmtId="165" formatCode="_-* #,##0.00\ [$€-407]_-;\-* #,##0.00\ [$€-407]_-;_-* &quot;-&quot;??\ [$€-407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1342C3-B251-4C02-B4A1-911C92AEF5D3}" name="Tabelle6" displayName="Tabelle6" ref="A4:D9" totalsRowCount="1">
  <autoFilter ref="A4:D8" xr:uid="{2DE25EC5-C337-48F9-8563-8E8563227D61}"/>
  <tableColumns count="4">
    <tableColumn id="1" xr3:uid="{B70E9572-0E69-4581-AAB3-4D9EAED848CA}" name="Item #"/>
    <tableColumn id="2" xr3:uid="{188E5DBA-CD52-4FD7-823B-26CF0BA45EC3}" name="Description"/>
    <tableColumn id="3" xr3:uid="{9FA383CB-EA52-497D-8036-1A3C999AE11C}" name="total Amount_x000a_EUR" totalsRowFunction="sum" dataDxfId="33" totalsRowDxfId="32"/>
    <tableColumn id="4" xr3:uid="{C6610785-16B3-4F78-B7D5-85ED91418663}" name="total Amount_x000a_USD" totalsRowFunction="sum" dataDxfId="31" totalsRowDxfId="30">
      <calculatedColumnFormula>Tabelle6[[#This Row],[total Amount
EUR]]/$D$2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D28B79-9D99-488E-A0BA-B85DBB9A05C2}" name="CLIN0001" displayName="CLIN0001" ref="A4:G19" totalsRowCount="1">
  <autoFilter ref="A4:G18" xr:uid="{D7E80447-3E2E-417B-894C-B8FE1DA306EA}"/>
  <tableColumns count="7">
    <tableColumn id="1" xr3:uid="{806E8129-07BE-44E5-83D4-29A84FCCB27B}" name="Pos" dataDxfId="29"/>
    <tableColumn id="2" xr3:uid="{322EC360-9F7D-48BB-A0D3-8060BAB2CBEC}" name="QTY" dataDxfId="28"/>
    <tableColumn id="3" xr3:uid="{C50AEAB1-C4CE-469B-B146-9AC07A06121E}" name="UI" dataDxfId="27"/>
    <tableColumn id="4" xr3:uid="{323178CF-767A-46CA-BBCE-D9AEB578919B}" name="Bezeichnung" dataDxfId="26"/>
    <tableColumn id="5" xr3:uid="{19FCACDF-2FFA-4401-8646-67C3E12DD4A9}" name="Description" dataDxfId="25"/>
    <tableColumn id="6" xr3:uid="{0A551D7E-A950-49B5-9254-F1B127344029}" name="Price/UI" dataDxfId="24"/>
    <tableColumn id="7" xr3:uid="{4A7C212F-E01E-4289-9B6C-2CC5EC651BFE}" name="Price/tot" totalsRowFunction="sum" dataDxfId="23" totalsRowDxfId="22">
      <calculatedColumnFormula>CLIN0001[[#This Row],[Price/UI]]*CLIN0001[[#This Row],[QTY]]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A9F6F2-A513-4398-B0FC-BA9128F7738F}" name="CLIN0002" displayName="CLIN0002" ref="A4:G8" totalsRowCount="1">
  <autoFilter ref="A4:G7" xr:uid="{F3D82D9F-1727-40FF-9239-CEF36FE42790}"/>
  <tableColumns count="7">
    <tableColumn id="1" xr3:uid="{ED5EE2C8-6107-40D7-A54E-4AB3A7E202A0}" name="Pos"/>
    <tableColumn id="2" xr3:uid="{BE3DFACB-6769-438C-8675-D26192B34128}" name="QTY" dataDxfId="21"/>
    <tableColumn id="3" xr3:uid="{D34FC1D0-908D-4981-9B00-AFF2B43530A3}" name="UI" dataDxfId="20"/>
    <tableColumn id="4" xr3:uid="{3E8BB2ED-8582-4911-BDB1-C945D5A4F798}" name="Bezeichnung" dataDxfId="19"/>
    <tableColumn id="5" xr3:uid="{BBF918D2-C98B-486D-9729-2F40E07924E0}" name="Description" dataDxfId="18"/>
    <tableColumn id="6" xr3:uid="{18649D29-AF05-46C9-8982-563A46FC884C}" name="Price/UI" dataDxfId="17"/>
    <tableColumn id="7" xr3:uid="{CC320754-82FB-49AB-8676-577188CFB129}" name="Price/tot" totalsRowFunction="sum" dataDxfId="16" totalsRowDxfId="15">
      <calculatedColumnFormula>CLIN0002[[#This Row],[Price/UI]]*CLIN0002[[#This Row],[QTY]]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3A77F7-571A-4E9E-BDBA-94D725DDD819}" name="CLIN0003" displayName="CLIN0003" ref="A4:G67" totalsRowCount="1">
  <autoFilter ref="A4:G66" xr:uid="{7B2BF736-CB42-41C1-947F-85B2A0BDE4F9}"/>
  <tableColumns count="7">
    <tableColumn id="1" xr3:uid="{503E5B2B-047A-40AD-96B0-644A8BB174B9}" name="Pos" dataDxfId="14"/>
    <tableColumn id="2" xr3:uid="{809D355F-5317-4044-A78C-37A4705F98FA}" name="QTY" dataDxfId="13"/>
    <tableColumn id="3" xr3:uid="{366AE24C-BD87-4C8F-AC9F-D201F5EDED05}" name="UI" dataDxfId="12"/>
    <tableColumn id="4" xr3:uid="{421259A7-CA3C-4FC9-BA2C-58E308CAA7C3}" name="Bezeichnung" dataDxfId="11"/>
    <tableColumn id="5" xr3:uid="{6D99D3C5-E964-4744-8F87-64527EE8E281}" name="Description" dataDxfId="10"/>
    <tableColumn id="6" xr3:uid="{180CE662-2840-44DA-A86F-17428A069838}" name="Price/UI" dataDxfId="9"/>
    <tableColumn id="7" xr3:uid="{A6E23A2F-1456-4F2B-BC76-A5AE3442BDEE}" name="Price/tot" totalsRowFunction="sum" dataDxfId="8" totalsRowDxfId="7">
      <calculatedColumnFormula>CLIN0003[[#This Row],[Price/UI]]*CLIN0003[[#This Row],[QTY]]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4F3E69-E56D-427D-9211-421E10BAEA39}" name="CLIN0004" displayName="CLIN0004" ref="A4:G24" totalsRowCount="1">
  <autoFilter ref="A4:G23" xr:uid="{8C96F022-9032-4FBF-8517-60A8BE56C256}"/>
  <tableColumns count="7">
    <tableColumn id="1" xr3:uid="{50E8C4E7-97C9-4EE5-8EAB-383BBD94A253}" name="Pos"/>
    <tableColumn id="2" xr3:uid="{AFECFE40-0FB7-440F-BFA8-5204DF95E3D6}" name="QTY" dataDxfId="6"/>
    <tableColumn id="3" xr3:uid="{F49F7A0C-F2CD-498B-9C69-344D1A7184A2}" name="UI" dataDxfId="5"/>
    <tableColumn id="4" xr3:uid="{B525AF70-F739-4EB4-86BB-FE27FF7F4118}" name="Bezeichnung" dataDxfId="4"/>
    <tableColumn id="5" xr3:uid="{A86602FA-1339-432E-B1F1-04EA84F55E76}" name="Description" dataDxfId="3"/>
    <tableColumn id="6" xr3:uid="{55E37188-C45D-4733-B954-779D13FC1206}" name="Price/UI" dataDxfId="2"/>
    <tableColumn id="7" xr3:uid="{B36A00DC-58D5-4F48-AA02-0498A0467299}" name="Price/tot" totalsRowFunction="sum" dataDxfId="1" totalsRowDxfId="0">
      <calculatedColumnFormula>CLIN0004[[#This Row],[Price/UI]]*CLIN0004[[#This Row],[QTY]]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5"/>
  <sheetViews>
    <sheetView workbookViewId="0">
      <selection activeCell="K14" sqref="K14"/>
    </sheetView>
  </sheetViews>
  <sheetFormatPr defaultColWidth="8.7109375" defaultRowHeight="15" x14ac:dyDescent="0.25"/>
  <cols>
    <col min="1" max="1" width="8.42578125" bestFit="1" customWidth="1"/>
    <col min="2" max="2" width="31.28515625" bestFit="1" customWidth="1"/>
    <col min="3" max="3" width="12.7109375" bestFit="1" customWidth="1"/>
    <col min="4" max="4" width="12" bestFit="1" customWidth="1"/>
    <col min="5" max="5" width="17.42578125" customWidth="1"/>
  </cols>
  <sheetData>
    <row r="2" spans="1:4" x14ac:dyDescent="0.25">
      <c r="C2" t="s">
        <v>174</v>
      </c>
      <c r="D2" s="9">
        <v>0.93030000000000002</v>
      </c>
    </row>
    <row r="4" spans="1:4" ht="45" x14ac:dyDescent="0.25">
      <c r="A4" t="s">
        <v>167</v>
      </c>
      <c r="B4" t="s">
        <v>4</v>
      </c>
      <c r="C4" s="6" t="s">
        <v>168</v>
      </c>
      <c r="D4" s="6" t="s">
        <v>169</v>
      </c>
    </row>
    <row r="5" spans="1:4" x14ac:dyDescent="0.25">
      <c r="A5" s="7" t="s">
        <v>170</v>
      </c>
      <c r="B5" t="s">
        <v>263</v>
      </c>
      <c r="C5" s="1">
        <f>CLIN0001[[#Totals],[Price/tot]]</f>
        <v>0</v>
      </c>
      <c r="D5" s="8">
        <f>Tabelle6[[#This Row],[total Amount
EUR]]/$D$2</f>
        <v>0</v>
      </c>
    </row>
    <row r="6" spans="1:4" x14ac:dyDescent="0.25">
      <c r="A6" s="7" t="s">
        <v>171</v>
      </c>
      <c r="B6" t="s">
        <v>175</v>
      </c>
      <c r="C6" s="1">
        <f>CLIN0002[[#Totals],[Price/tot]]</f>
        <v>0</v>
      </c>
      <c r="D6" s="8">
        <f>Tabelle6[[#This Row],[total Amount
EUR]]/$D$2</f>
        <v>0</v>
      </c>
    </row>
    <row r="7" spans="1:4" x14ac:dyDescent="0.25">
      <c r="A7" s="7" t="s">
        <v>172</v>
      </c>
      <c r="B7" t="s">
        <v>176</v>
      </c>
      <c r="C7" s="1">
        <f>CLIN0003[[#Totals],[Price/tot]]</f>
        <v>0</v>
      </c>
      <c r="D7" s="8">
        <f>Tabelle6[[#This Row],[total Amount
EUR]]/$D$2</f>
        <v>0</v>
      </c>
    </row>
    <row r="8" spans="1:4" x14ac:dyDescent="0.25">
      <c r="A8" s="7" t="s">
        <v>173</v>
      </c>
      <c r="B8" t="s">
        <v>177</v>
      </c>
      <c r="C8" s="1">
        <f>CLIN0004[[#Totals],[Price/tot]]</f>
        <v>0</v>
      </c>
      <c r="D8" s="8">
        <f>Tabelle6[[#This Row],[total Amount
EUR]]/$D$2</f>
        <v>0</v>
      </c>
    </row>
    <row r="9" spans="1:4" x14ac:dyDescent="0.25">
      <c r="A9" s="7"/>
      <c r="C9" s="1">
        <f>SUBTOTAL(109,Tabelle6[total Amount
EUR])</f>
        <v>0</v>
      </c>
      <c r="D9" s="8">
        <f>SUBTOTAL(109,Tabelle6[total Amount
USD])</f>
        <v>0</v>
      </c>
    </row>
    <row r="10" spans="1:4" x14ac:dyDescent="0.25">
      <c r="A10" s="7"/>
      <c r="C10" s="1"/>
      <c r="D10" s="8"/>
    </row>
    <row r="11" spans="1:4" x14ac:dyDescent="0.25">
      <c r="A11" s="7"/>
      <c r="C11" s="1"/>
      <c r="D11" s="8"/>
    </row>
    <row r="12" spans="1:4" x14ac:dyDescent="0.25">
      <c r="A12" s="10" t="s">
        <v>8</v>
      </c>
      <c r="B12" s="10"/>
      <c r="C12" s="10"/>
      <c r="D12" s="10"/>
    </row>
    <row r="13" spans="1:4" x14ac:dyDescent="0.25">
      <c r="A13" s="10" t="s">
        <v>9</v>
      </c>
      <c r="B13" s="10"/>
      <c r="C13" s="10"/>
      <c r="D13" s="10"/>
    </row>
    <row r="14" spans="1:4" x14ac:dyDescent="0.25">
      <c r="A14" s="10" t="s">
        <v>10</v>
      </c>
      <c r="B14" s="10"/>
      <c r="C14" s="10"/>
      <c r="D14" s="10"/>
    </row>
    <row r="15" spans="1:4" x14ac:dyDescent="0.25">
      <c r="A15" s="10" t="s">
        <v>11</v>
      </c>
      <c r="B15" s="10"/>
      <c r="C15" s="10"/>
      <c r="D15" s="10"/>
    </row>
  </sheetData>
  <mergeCells count="4">
    <mergeCell ref="A12:D12"/>
    <mergeCell ref="A13:D13"/>
    <mergeCell ref="A14:D14"/>
    <mergeCell ref="A15:D15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B94C-7F18-4F90-B21E-2849F867F5DC}">
  <dimension ref="A2:G34"/>
  <sheetViews>
    <sheetView zoomScaleNormal="100" workbookViewId="0">
      <selection activeCell="A27" sqref="A27:B34"/>
    </sheetView>
  </sheetViews>
  <sheetFormatPr defaultColWidth="11.42578125" defaultRowHeight="15" x14ac:dyDescent="0.25"/>
  <cols>
    <col min="1" max="1" width="8.28515625" bestFit="1" customWidth="1"/>
    <col min="2" max="2" width="6.5703125" bestFit="1" customWidth="1"/>
    <col min="3" max="3" width="5.140625" bestFit="1" customWidth="1"/>
    <col min="4" max="5" width="137.7109375" customWidth="1"/>
    <col min="6" max="6" width="10.140625" bestFit="1" customWidth="1"/>
    <col min="7" max="7" width="10.7109375" bestFit="1" customWidth="1"/>
  </cols>
  <sheetData>
    <row r="2" spans="1:7" ht="18.75" x14ac:dyDescent="0.3">
      <c r="A2" s="11" t="s">
        <v>307</v>
      </c>
      <c r="B2" s="11"/>
      <c r="C2" s="11"/>
      <c r="D2" s="11"/>
      <c r="E2" s="11"/>
      <c r="F2" s="11"/>
      <c r="G2" s="11"/>
    </row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s="4" t="s">
        <v>181</v>
      </c>
      <c r="B5" s="3">
        <v>32</v>
      </c>
      <c r="C5" s="3" t="s">
        <v>7</v>
      </c>
      <c r="D5" s="4" t="s">
        <v>264</v>
      </c>
      <c r="E5" s="4" t="s">
        <v>309</v>
      </c>
      <c r="F5" s="1"/>
      <c r="G5" s="1">
        <f>CLIN0001[[#This Row],[Price/UI]]*CLIN0001[[#This Row],[QTY]]</f>
        <v>0</v>
      </c>
    </row>
    <row r="6" spans="1:7" x14ac:dyDescent="0.25">
      <c r="A6" s="4" t="s">
        <v>182</v>
      </c>
      <c r="B6" s="3">
        <v>32</v>
      </c>
      <c r="C6" s="3" t="s">
        <v>7</v>
      </c>
      <c r="D6" s="4" t="s">
        <v>265</v>
      </c>
      <c r="E6" s="4" t="s">
        <v>310</v>
      </c>
      <c r="F6" s="1"/>
      <c r="G6" s="1">
        <f>CLIN0001[[#This Row],[Price/UI]]*CLIN0001[[#This Row],[QTY]]</f>
        <v>0</v>
      </c>
    </row>
    <row r="7" spans="1:7" x14ac:dyDescent="0.25">
      <c r="A7" s="4" t="s">
        <v>183</v>
      </c>
      <c r="B7" s="3">
        <v>38</v>
      </c>
      <c r="C7" s="3" t="s">
        <v>7</v>
      </c>
      <c r="D7" s="4" t="s">
        <v>266</v>
      </c>
      <c r="E7" s="4" t="s">
        <v>311</v>
      </c>
      <c r="F7" s="1"/>
      <c r="G7" s="1">
        <f>CLIN0001[[#This Row],[Price/UI]]*CLIN0001[[#This Row],[QTY]]</f>
        <v>0</v>
      </c>
    </row>
    <row r="8" spans="1:7" x14ac:dyDescent="0.25">
      <c r="A8" s="4" t="s">
        <v>184</v>
      </c>
      <c r="B8" s="3">
        <v>32</v>
      </c>
      <c r="C8" s="3" t="s">
        <v>7</v>
      </c>
      <c r="D8" s="4" t="s">
        <v>267</v>
      </c>
      <c r="E8" s="4" t="s">
        <v>312</v>
      </c>
      <c r="F8" s="1"/>
      <c r="G8" s="1">
        <f>CLIN0001[[#This Row],[Price/UI]]*CLIN0001[[#This Row],[QTY]]</f>
        <v>0</v>
      </c>
    </row>
    <row r="9" spans="1:7" x14ac:dyDescent="0.25">
      <c r="A9" s="4" t="s">
        <v>185</v>
      </c>
      <c r="B9" s="3">
        <v>38</v>
      </c>
      <c r="C9" s="3" t="s">
        <v>7</v>
      </c>
      <c r="D9" s="4" t="s">
        <v>268</v>
      </c>
      <c r="E9" s="4" t="s">
        <v>313</v>
      </c>
      <c r="F9" s="1"/>
      <c r="G9" s="1">
        <f>CLIN0001[[#This Row],[Price/UI]]*CLIN0001[[#This Row],[QTY]]</f>
        <v>0</v>
      </c>
    </row>
    <row r="10" spans="1:7" x14ac:dyDescent="0.25">
      <c r="A10" s="4" t="s">
        <v>186</v>
      </c>
      <c r="B10" s="3">
        <v>32</v>
      </c>
      <c r="C10" s="3" t="s">
        <v>7</v>
      </c>
      <c r="D10" s="4" t="s">
        <v>269</v>
      </c>
      <c r="E10" s="4" t="s">
        <v>314</v>
      </c>
      <c r="F10" s="1"/>
      <c r="G10" s="1">
        <f>CLIN0001[[#This Row],[Price/UI]]*CLIN0001[[#This Row],[QTY]]</f>
        <v>0</v>
      </c>
    </row>
    <row r="11" spans="1:7" x14ac:dyDescent="0.25">
      <c r="A11" s="4" t="s">
        <v>270</v>
      </c>
      <c r="B11" s="3">
        <v>40</v>
      </c>
      <c r="C11" s="3" t="s">
        <v>7</v>
      </c>
      <c r="D11" s="4" t="s">
        <v>271</v>
      </c>
      <c r="E11" s="4" t="s">
        <v>315</v>
      </c>
      <c r="F11" s="1"/>
      <c r="G11" s="1">
        <f>CLIN0001[[#This Row],[Price/UI]]*CLIN0001[[#This Row],[QTY]]</f>
        <v>0</v>
      </c>
    </row>
    <row r="12" spans="1:7" x14ac:dyDescent="0.25">
      <c r="A12" s="4" t="s">
        <v>272</v>
      </c>
      <c r="B12" s="3">
        <v>32</v>
      </c>
      <c r="C12" s="3" t="s">
        <v>7</v>
      </c>
      <c r="D12" s="4" t="s">
        <v>273</v>
      </c>
      <c r="E12" s="4" t="s">
        <v>316</v>
      </c>
      <c r="F12" s="1"/>
      <c r="G12" s="1">
        <f>CLIN0001[[#This Row],[Price/UI]]*CLIN0001[[#This Row],[QTY]]</f>
        <v>0</v>
      </c>
    </row>
    <row r="13" spans="1:7" x14ac:dyDescent="0.25">
      <c r="A13" s="4" t="s">
        <v>274</v>
      </c>
      <c r="B13" s="3">
        <v>32</v>
      </c>
      <c r="C13" s="3" t="s">
        <v>7</v>
      </c>
      <c r="D13" s="4" t="s">
        <v>275</v>
      </c>
      <c r="E13" s="4" t="s">
        <v>317</v>
      </c>
      <c r="F13" s="1"/>
      <c r="G13" s="1">
        <f>CLIN0001[[#This Row],[Price/UI]]*CLIN0001[[#This Row],[QTY]]</f>
        <v>0</v>
      </c>
    </row>
    <row r="14" spans="1:7" x14ac:dyDescent="0.25">
      <c r="A14" s="4" t="s">
        <v>276</v>
      </c>
      <c r="B14" s="3">
        <v>32</v>
      </c>
      <c r="C14" s="3" t="s">
        <v>7</v>
      </c>
      <c r="D14" s="4" t="s">
        <v>277</v>
      </c>
      <c r="E14" s="4" t="s">
        <v>318</v>
      </c>
      <c r="F14" s="1"/>
      <c r="G14" s="1">
        <f>CLIN0001[[#This Row],[Price/UI]]*CLIN0001[[#This Row],[QTY]]</f>
        <v>0</v>
      </c>
    </row>
    <row r="15" spans="1:7" x14ac:dyDescent="0.25">
      <c r="A15" s="4" t="s">
        <v>278</v>
      </c>
      <c r="B15" s="3">
        <v>40</v>
      </c>
      <c r="C15" s="3" t="s">
        <v>7</v>
      </c>
      <c r="D15" s="4" t="s">
        <v>279</v>
      </c>
      <c r="E15" s="4" t="s">
        <v>319</v>
      </c>
      <c r="F15" s="1"/>
      <c r="G15" s="1">
        <f>CLIN0001[[#This Row],[Price/UI]]*CLIN0001[[#This Row],[QTY]]</f>
        <v>0</v>
      </c>
    </row>
    <row r="16" spans="1:7" x14ac:dyDescent="0.25">
      <c r="A16" s="4" t="s">
        <v>280</v>
      </c>
      <c r="B16" s="3">
        <v>40</v>
      </c>
      <c r="C16" s="3" t="s">
        <v>7</v>
      </c>
      <c r="D16" s="4" t="s">
        <v>281</v>
      </c>
      <c r="E16" s="4" t="s">
        <v>320</v>
      </c>
      <c r="F16" s="1"/>
      <c r="G16" s="1">
        <f>CLIN0001[[#This Row],[Price/UI]]*CLIN0001[[#This Row],[QTY]]</f>
        <v>0</v>
      </c>
    </row>
    <row r="17" spans="1:7" x14ac:dyDescent="0.25">
      <c r="A17" s="4" t="s">
        <v>282</v>
      </c>
      <c r="B17" s="3">
        <v>40</v>
      </c>
      <c r="C17" s="3" t="s">
        <v>7</v>
      </c>
      <c r="D17" s="4" t="s">
        <v>283</v>
      </c>
      <c r="E17" s="4" t="s">
        <v>321</v>
      </c>
      <c r="F17" s="1"/>
      <c r="G17" s="1">
        <f>CLIN0001[[#This Row],[Price/UI]]*CLIN0001[[#This Row],[QTY]]</f>
        <v>0</v>
      </c>
    </row>
    <row r="18" spans="1:7" x14ac:dyDescent="0.25">
      <c r="A18" s="4" t="s">
        <v>284</v>
      </c>
      <c r="B18" s="3">
        <v>96</v>
      </c>
      <c r="C18" s="3" t="s">
        <v>7</v>
      </c>
      <c r="D18" s="4" t="s">
        <v>285</v>
      </c>
      <c r="E18" s="4" t="s">
        <v>286</v>
      </c>
      <c r="F18" s="1"/>
      <c r="G18" s="1">
        <f>CLIN0001[[#This Row],[Price/UI]]*CLIN0001[[#This Row],[QTY]]</f>
        <v>0</v>
      </c>
    </row>
    <row r="19" spans="1:7" x14ac:dyDescent="0.25">
      <c r="G19" s="5">
        <f>SUBTOTAL(109,CLIN0001[Price/tot])</f>
        <v>0</v>
      </c>
    </row>
    <row r="20" spans="1:7" x14ac:dyDescent="0.25">
      <c r="G20" s="5"/>
    </row>
    <row r="21" spans="1:7" x14ac:dyDescent="0.25">
      <c r="G21" s="5"/>
    </row>
    <row r="22" spans="1:7" x14ac:dyDescent="0.25">
      <c r="A22" s="10" t="s">
        <v>8</v>
      </c>
      <c r="B22" s="10"/>
      <c r="C22" s="10"/>
      <c r="D22" s="10"/>
    </row>
    <row r="23" spans="1:7" x14ac:dyDescent="0.25">
      <c r="A23" s="10" t="s">
        <v>308</v>
      </c>
      <c r="B23" s="10"/>
      <c r="C23" s="10"/>
      <c r="D23" s="10"/>
    </row>
    <row r="24" spans="1:7" x14ac:dyDescent="0.25">
      <c r="A24" s="10" t="s">
        <v>322</v>
      </c>
      <c r="B24" s="10"/>
      <c r="C24" s="10"/>
      <c r="D24" s="10"/>
    </row>
    <row r="25" spans="1:7" x14ac:dyDescent="0.25">
      <c r="A25" s="10" t="s">
        <v>11</v>
      </c>
      <c r="B25" s="10"/>
      <c r="C25" s="10"/>
      <c r="D25" s="10"/>
    </row>
    <row r="27" spans="1:7" x14ac:dyDescent="0.25">
      <c r="A27" t="s">
        <v>323</v>
      </c>
    </row>
    <row r="28" spans="1:7" x14ac:dyDescent="0.25">
      <c r="A28" t="s">
        <v>324</v>
      </c>
    </row>
    <row r="30" spans="1:7" x14ac:dyDescent="0.25">
      <c r="A30" t="s">
        <v>325</v>
      </c>
    </row>
    <row r="32" spans="1:7" x14ac:dyDescent="0.25">
      <c r="A32" t="s">
        <v>326</v>
      </c>
    </row>
    <row r="34" spans="1:1" x14ac:dyDescent="0.25">
      <c r="A34" t="s">
        <v>327</v>
      </c>
    </row>
  </sheetData>
  <mergeCells count="5">
    <mergeCell ref="A22:D22"/>
    <mergeCell ref="A23:D23"/>
    <mergeCell ref="A24:D24"/>
    <mergeCell ref="A25:D25"/>
    <mergeCell ref="A2:G2"/>
  </mergeCells>
  <phoneticPr fontId="1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665A-6828-4F8A-A271-DE87D8AADB2C}">
  <dimension ref="A2:G23"/>
  <sheetViews>
    <sheetView zoomScaleNormal="100" workbookViewId="0">
      <selection activeCell="A16" sqref="A16:B23"/>
    </sheetView>
  </sheetViews>
  <sheetFormatPr defaultColWidth="11.42578125" defaultRowHeight="15" x14ac:dyDescent="0.25"/>
  <cols>
    <col min="1" max="1" width="7.7109375" bestFit="1" customWidth="1"/>
    <col min="2" max="2" width="6.5703125" bestFit="1" customWidth="1"/>
    <col min="3" max="3" width="5.140625" bestFit="1" customWidth="1"/>
    <col min="4" max="5" width="137.7109375" customWidth="1"/>
    <col min="6" max="6" width="10.140625" bestFit="1" customWidth="1"/>
    <col min="7" max="7" width="10.7109375" bestFit="1" customWidth="1"/>
  </cols>
  <sheetData>
    <row r="2" spans="1:7" ht="18.75" x14ac:dyDescent="0.3">
      <c r="A2" s="11" t="s">
        <v>216</v>
      </c>
      <c r="B2" s="11"/>
      <c r="C2" s="11"/>
      <c r="D2" s="11"/>
      <c r="E2" s="11"/>
      <c r="F2" s="11"/>
      <c r="G2" s="11"/>
    </row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s="4" t="s">
        <v>187</v>
      </c>
      <c r="B5" s="3">
        <v>300</v>
      </c>
      <c r="C5" s="3" t="s">
        <v>7</v>
      </c>
      <c r="D5" s="4" t="s">
        <v>287</v>
      </c>
      <c r="E5" s="4" t="s">
        <v>288</v>
      </c>
      <c r="F5" s="1"/>
      <c r="G5" s="1">
        <f>CLIN0002[[#This Row],[Price/UI]]*CLIN0002[[#This Row],[QTY]]</f>
        <v>0</v>
      </c>
    </row>
    <row r="6" spans="1:7" x14ac:dyDescent="0.25">
      <c r="A6" s="4" t="s">
        <v>188</v>
      </c>
      <c r="B6" s="3">
        <v>300</v>
      </c>
      <c r="C6" s="3" t="s">
        <v>7</v>
      </c>
      <c r="D6" s="4" t="s">
        <v>289</v>
      </c>
      <c r="E6" s="4" t="s">
        <v>290</v>
      </c>
      <c r="F6" s="1"/>
      <c r="G6" s="1">
        <f>CLIN0002[[#This Row],[Price/UI]]*CLIN0002[[#This Row],[QTY]]</f>
        <v>0</v>
      </c>
    </row>
    <row r="7" spans="1:7" x14ac:dyDescent="0.25">
      <c r="A7" s="4" t="s">
        <v>189</v>
      </c>
      <c r="B7" s="3">
        <v>300</v>
      </c>
      <c r="C7" s="3" t="s">
        <v>7</v>
      </c>
      <c r="D7" s="4" t="s">
        <v>291</v>
      </c>
      <c r="E7" s="4" t="s">
        <v>292</v>
      </c>
      <c r="F7" s="1"/>
      <c r="G7" s="1">
        <f>CLIN0002[[#This Row],[Price/UI]]*CLIN0002[[#This Row],[QTY]]</f>
        <v>0</v>
      </c>
    </row>
    <row r="8" spans="1:7" x14ac:dyDescent="0.25">
      <c r="G8" s="5">
        <f>SUBTOTAL(109,CLIN0002[Price/tot])</f>
        <v>0</v>
      </c>
    </row>
    <row r="9" spans="1:7" x14ac:dyDescent="0.25">
      <c r="G9" s="5"/>
    </row>
    <row r="10" spans="1:7" x14ac:dyDescent="0.25">
      <c r="A10" s="10" t="s">
        <v>8</v>
      </c>
      <c r="B10" s="10"/>
      <c r="C10" s="10"/>
      <c r="D10" s="10"/>
    </row>
    <row r="11" spans="1:7" x14ac:dyDescent="0.25">
      <c r="A11" s="10" t="s">
        <v>308</v>
      </c>
      <c r="B11" s="10"/>
      <c r="C11" s="10"/>
      <c r="D11" s="10"/>
    </row>
    <row r="12" spans="1:7" x14ac:dyDescent="0.25">
      <c r="A12" s="10" t="s">
        <v>10</v>
      </c>
      <c r="B12" s="10"/>
      <c r="C12" s="10"/>
      <c r="D12" s="10"/>
    </row>
    <row r="13" spans="1:7" x14ac:dyDescent="0.25">
      <c r="A13" s="10" t="s">
        <v>11</v>
      </c>
      <c r="B13" s="10"/>
      <c r="C13" s="10"/>
      <c r="D13" s="10"/>
    </row>
    <row r="16" spans="1:7" x14ac:dyDescent="0.25">
      <c r="A16" t="s">
        <v>323</v>
      </c>
    </row>
    <row r="17" spans="1:1" x14ac:dyDescent="0.25">
      <c r="A17" t="s">
        <v>324</v>
      </c>
    </row>
    <row r="19" spans="1:1" x14ac:dyDescent="0.25">
      <c r="A19" t="s">
        <v>325</v>
      </c>
    </row>
    <row r="21" spans="1:1" x14ac:dyDescent="0.25">
      <c r="A21" t="s">
        <v>326</v>
      </c>
    </row>
    <row r="23" spans="1:1" x14ac:dyDescent="0.25">
      <c r="A23" t="s">
        <v>327</v>
      </c>
    </row>
  </sheetData>
  <mergeCells count="5">
    <mergeCell ref="A2:G2"/>
    <mergeCell ref="A10:D10"/>
    <mergeCell ref="A11:D11"/>
    <mergeCell ref="A12:D12"/>
    <mergeCell ref="A13:D13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C7C1-4248-4B6F-AB31-47EB7A8032CB}">
  <dimension ref="A2:G80"/>
  <sheetViews>
    <sheetView topLeftCell="A45" workbookViewId="0">
      <selection activeCell="A73" sqref="A73:B80"/>
    </sheetView>
  </sheetViews>
  <sheetFormatPr defaultColWidth="11.42578125" defaultRowHeight="15" x14ac:dyDescent="0.25"/>
  <cols>
    <col min="1" max="1" width="7.7109375" bestFit="1" customWidth="1"/>
    <col min="2" max="2" width="6.42578125" bestFit="1" customWidth="1"/>
    <col min="3" max="3" width="4.85546875" bestFit="1" customWidth="1"/>
    <col min="4" max="5" width="137.7109375" customWidth="1"/>
    <col min="6" max="6" width="12.5703125" bestFit="1" customWidth="1"/>
    <col min="7" max="7" width="14.28515625" bestFit="1" customWidth="1"/>
  </cols>
  <sheetData>
    <row r="2" spans="1:7" ht="18.75" x14ac:dyDescent="0.3">
      <c r="A2" s="11" t="s">
        <v>217</v>
      </c>
      <c r="B2" s="11"/>
      <c r="C2" s="11"/>
      <c r="D2" s="11"/>
      <c r="E2" s="11"/>
      <c r="F2" s="11"/>
      <c r="G2" s="11"/>
    </row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s="4" t="s">
        <v>190</v>
      </c>
      <c r="B5" s="3">
        <v>50</v>
      </c>
      <c r="C5" s="3" t="s">
        <v>7</v>
      </c>
      <c r="D5" s="4" t="s">
        <v>12</v>
      </c>
      <c r="E5" s="4" t="s">
        <v>13</v>
      </c>
      <c r="F5" s="1"/>
      <c r="G5" s="1">
        <f>CLIN0003[[#This Row],[Price/UI]]*CLIN0003[[#This Row],[QTY]]</f>
        <v>0</v>
      </c>
    </row>
    <row r="6" spans="1:7" x14ac:dyDescent="0.25">
      <c r="A6" s="4" t="s">
        <v>191</v>
      </c>
      <c r="B6" s="3">
        <v>50</v>
      </c>
      <c r="C6" s="3" t="s">
        <v>7</v>
      </c>
      <c r="D6" s="4" t="s">
        <v>14</v>
      </c>
      <c r="E6" s="4" t="s">
        <v>15</v>
      </c>
      <c r="F6" s="1"/>
      <c r="G6" s="1">
        <f>CLIN0003[[#This Row],[Price/UI]]*CLIN0003[[#This Row],[QTY]]</f>
        <v>0</v>
      </c>
    </row>
    <row r="7" spans="1:7" x14ac:dyDescent="0.25">
      <c r="A7" s="4" t="s">
        <v>192</v>
      </c>
      <c r="B7" s="3">
        <v>50</v>
      </c>
      <c r="C7" s="3" t="s">
        <v>7</v>
      </c>
      <c r="D7" s="4" t="s">
        <v>16</v>
      </c>
      <c r="E7" s="4" t="s">
        <v>17</v>
      </c>
      <c r="F7" s="1"/>
      <c r="G7" s="1">
        <f>CLIN0003[[#This Row],[Price/UI]]*CLIN0003[[#This Row],[QTY]]</f>
        <v>0</v>
      </c>
    </row>
    <row r="8" spans="1:7" x14ac:dyDescent="0.25">
      <c r="A8" s="4" t="s">
        <v>193</v>
      </c>
      <c r="B8" s="3">
        <v>50</v>
      </c>
      <c r="C8" s="3" t="s">
        <v>7</v>
      </c>
      <c r="D8" s="4" t="s">
        <v>18</v>
      </c>
      <c r="E8" s="4" t="s">
        <v>19</v>
      </c>
      <c r="F8" s="1"/>
      <c r="G8" s="1">
        <f>CLIN0003[[#This Row],[Price/UI]]*CLIN0003[[#This Row],[QTY]]</f>
        <v>0</v>
      </c>
    </row>
    <row r="9" spans="1:7" x14ac:dyDescent="0.25">
      <c r="A9" s="4" t="s">
        <v>194</v>
      </c>
      <c r="B9" s="3">
        <v>50</v>
      </c>
      <c r="C9" s="3" t="s">
        <v>7</v>
      </c>
      <c r="D9" s="4" t="s">
        <v>20</v>
      </c>
      <c r="E9" s="4" t="s">
        <v>21</v>
      </c>
      <c r="F9" s="1"/>
      <c r="G9" s="1">
        <f>CLIN0003[[#This Row],[Price/UI]]*CLIN0003[[#This Row],[QTY]]</f>
        <v>0</v>
      </c>
    </row>
    <row r="10" spans="1:7" x14ac:dyDescent="0.25">
      <c r="A10" s="4" t="s">
        <v>195</v>
      </c>
      <c r="B10" s="3">
        <v>50</v>
      </c>
      <c r="C10" s="3" t="s">
        <v>7</v>
      </c>
      <c r="D10" s="4" t="s">
        <v>22</v>
      </c>
      <c r="E10" s="4" t="s">
        <v>23</v>
      </c>
      <c r="F10" s="1"/>
      <c r="G10" s="1">
        <f>CLIN0003[[#This Row],[Price/UI]]*CLIN0003[[#This Row],[QTY]]</f>
        <v>0</v>
      </c>
    </row>
    <row r="11" spans="1:7" x14ac:dyDescent="0.25">
      <c r="A11" s="4" t="s">
        <v>196</v>
      </c>
      <c r="B11" s="3">
        <v>50</v>
      </c>
      <c r="C11" s="3" t="s">
        <v>7</v>
      </c>
      <c r="D11" s="4" t="s">
        <v>24</v>
      </c>
      <c r="E11" s="4" t="s">
        <v>25</v>
      </c>
      <c r="F11" s="1"/>
      <c r="G11" s="1">
        <f>CLIN0003[[#This Row],[Price/UI]]*CLIN0003[[#This Row],[QTY]]</f>
        <v>0</v>
      </c>
    </row>
    <row r="12" spans="1:7" x14ac:dyDescent="0.25">
      <c r="A12" s="4" t="s">
        <v>197</v>
      </c>
      <c r="B12" s="3">
        <v>50</v>
      </c>
      <c r="C12" s="3" t="s">
        <v>7</v>
      </c>
      <c r="D12" s="4" t="s">
        <v>26</v>
      </c>
      <c r="E12" s="4" t="s">
        <v>27</v>
      </c>
      <c r="F12" s="1"/>
      <c r="G12" s="1">
        <f>CLIN0003[[#This Row],[Price/UI]]*CLIN0003[[#This Row],[QTY]]</f>
        <v>0</v>
      </c>
    </row>
    <row r="13" spans="1:7" x14ac:dyDescent="0.25">
      <c r="A13" s="4" t="s">
        <v>198</v>
      </c>
      <c r="B13" s="3">
        <v>50</v>
      </c>
      <c r="C13" s="3" t="s">
        <v>7</v>
      </c>
      <c r="D13" s="4" t="s">
        <v>28</v>
      </c>
      <c r="E13" s="4" t="s">
        <v>29</v>
      </c>
      <c r="F13" s="1"/>
      <c r="G13" s="1">
        <f>CLIN0003[[#This Row],[Price/UI]]*CLIN0003[[#This Row],[QTY]]</f>
        <v>0</v>
      </c>
    </row>
    <row r="14" spans="1:7" x14ac:dyDescent="0.25">
      <c r="A14" s="4" t="s">
        <v>199</v>
      </c>
      <c r="B14" s="3">
        <v>50</v>
      </c>
      <c r="C14" s="3" t="s">
        <v>7</v>
      </c>
      <c r="D14" s="4" t="s">
        <v>30</v>
      </c>
      <c r="E14" s="4" t="s">
        <v>31</v>
      </c>
      <c r="F14" s="1"/>
      <c r="G14" s="1">
        <f>CLIN0003[[#This Row],[Price/UI]]*CLIN0003[[#This Row],[QTY]]</f>
        <v>0</v>
      </c>
    </row>
    <row r="15" spans="1:7" x14ac:dyDescent="0.25">
      <c r="A15" s="4" t="s">
        <v>200</v>
      </c>
      <c r="B15" s="3">
        <v>50</v>
      </c>
      <c r="C15" s="3" t="s">
        <v>7</v>
      </c>
      <c r="D15" s="4" t="s">
        <v>32</v>
      </c>
      <c r="E15" s="4" t="s">
        <v>33</v>
      </c>
      <c r="F15" s="1"/>
      <c r="G15" s="1">
        <f>CLIN0003[[#This Row],[Price/UI]]*CLIN0003[[#This Row],[QTY]]</f>
        <v>0</v>
      </c>
    </row>
    <row r="16" spans="1:7" x14ac:dyDescent="0.25">
      <c r="A16" s="4" t="s">
        <v>201</v>
      </c>
      <c r="B16" s="3">
        <v>50</v>
      </c>
      <c r="C16" s="3" t="s">
        <v>7</v>
      </c>
      <c r="D16" s="4" t="s">
        <v>34</v>
      </c>
      <c r="E16" s="4" t="s">
        <v>35</v>
      </c>
      <c r="F16" s="1"/>
      <c r="G16" s="1">
        <f>CLIN0003[[#This Row],[Price/UI]]*CLIN0003[[#This Row],[QTY]]</f>
        <v>0</v>
      </c>
    </row>
    <row r="17" spans="1:7" x14ac:dyDescent="0.25">
      <c r="A17" s="4" t="s">
        <v>202</v>
      </c>
      <c r="B17" s="3">
        <v>50</v>
      </c>
      <c r="C17" s="3" t="s">
        <v>7</v>
      </c>
      <c r="D17" s="4" t="s">
        <v>36</v>
      </c>
      <c r="E17" s="4" t="s">
        <v>37</v>
      </c>
      <c r="F17" s="1"/>
      <c r="G17" s="1">
        <f>CLIN0003[[#This Row],[Price/UI]]*CLIN0003[[#This Row],[QTY]]</f>
        <v>0</v>
      </c>
    </row>
    <row r="18" spans="1:7" x14ac:dyDescent="0.25">
      <c r="A18" s="4" t="s">
        <v>219</v>
      </c>
      <c r="B18" s="3">
        <v>50</v>
      </c>
      <c r="C18" s="3" t="s">
        <v>7</v>
      </c>
      <c r="D18" s="4" t="s">
        <v>38</v>
      </c>
      <c r="E18" s="4" t="s">
        <v>39</v>
      </c>
      <c r="F18" s="1"/>
      <c r="G18" s="1">
        <f>CLIN0003[[#This Row],[Price/UI]]*CLIN0003[[#This Row],[QTY]]</f>
        <v>0</v>
      </c>
    </row>
    <row r="19" spans="1:7" x14ac:dyDescent="0.25">
      <c r="A19" s="4" t="s">
        <v>220</v>
      </c>
      <c r="B19" s="3">
        <v>50</v>
      </c>
      <c r="C19" s="3" t="s">
        <v>7</v>
      </c>
      <c r="D19" s="4" t="s">
        <v>40</v>
      </c>
      <c r="E19" s="4" t="s">
        <v>41</v>
      </c>
      <c r="F19" s="1"/>
      <c r="G19" s="1">
        <f>CLIN0003[[#This Row],[Price/UI]]*CLIN0003[[#This Row],[QTY]]</f>
        <v>0</v>
      </c>
    </row>
    <row r="20" spans="1:7" x14ac:dyDescent="0.25">
      <c r="A20" s="4" t="s">
        <v>221</v>
      </c>
      <c r="B20" s="3">
        <v>50</v>
      </c>
      <c r="C20" s="3" t="s">
        <v>7</v>
      </c>
      <c r="D20" s="4" t="s">
        <v>42</v>
      </c>
      <c r="E20" s="4" t="s">
        <v>43</v>
      </c>
      <c r="F20" s="1"/>
      <c r="G20" s="1">
        <f>CLIN0003[[#This Row],[Price/UI]]*CLIN0003[[#This Row],[QTY]]</f>
        <v>0</v>
      </c>
    </row>
    <row r="21" spans="1:7" x14ac:dyDescent="0.25">
      <c r="A21" s="4" t="s">
        <v>222</v>
      </c>
      <c r="B21" s="3">
        <v>50</v>
      </c>
      <c r="C21" s="3" t="s">
        <v>7</v>
      </c>
      <c r="D21" s="4" t="s">
        <v>44</v>
      </c>
      <c r="E21" s="4" t="s">
        <v>45</v>
      </c>
      <c r="F21" s="1"/>
      <c r="G21" s="1">
        <f>CLIN0003[[#This Row],[Price/UI]]*CLIN0003[[#This Row],[QTY]]</f>
        <v>0</v>
      </c>
    </row>
    <row r="22" spans="1:7" x14ac:dyDescent="0.25">
      <c r="A22" s="4" t="s">
        <v>223</v>
      </c>
      <c r="B22" s="3">
        <v>50</v>
      </c>
      <c r="C22" s="3" t="s">
        <v>7</v>
      </c>
      <c r="D22" s="4" t="s">
        <v>46</v>
      </c>
      <c r="E22" s="4" t="s">
        <v>47</v>
      </c>
      <c r="F22" s="1"/>
      <c r="G22" s="1">
        <f>CLIN0003[[#This Row],[Price/UI]]*CLIN0003[[#This Row],[QTY]]</f>
        <v>0</v>
      </c>
    </row>
    <row r="23" spans="1:7" x14ac:dyDescent="0.25">
      <c r="A23" s="4" t="s">
        <v>224</v>
      </c>
      <c r="B23" s="3">
        <v>120</v>
      </c>
      <c r="C23" s="3" t="s">
        <v>7</v>
      </c>
      <c r="D23" s="4" t="s">
        <v>48</v>
      </c>
      <c r="E23" s="4" t="s">
        <v>49</v>
      </c>
      <c r="F23" s="1"/>
      <c r="G23" s="1">
        <f>CLIN0003[[#This Row],[Price/UI]]*CLIN0003[[#This Row],[QTY]]</f>
        <v>0</v>
      </c>
    </row>
    <row r="24" spans="1:7" x14ac:dyDescent="0.25">
      <c r="A24" s="4" t="s">
        <v>225</v>
      </c>
      <c r="B24" s="3">
        <v>120</v>
      </c>
      <c r="C24" s="3" t="s">
        <v>7</v>
      </c>
      <c r="D24" s="4" t="s">
        <v>50</v>
      </c>
      <c r="E24" s="4" t="s">
        <v>51</v>
      </c>
      <c r="F24" s="1"/>
      <c r="G24" s="1">
        <f>CLIN0003[[#This Row],[Price/UI]]*CLIN0003[[#This Row],[QTY]]</f>
        <v>0</v>
      </c>
    </row>
    <row r="25" spans="1:7" x14ac:dyDescent="0.25">
      <c r="A25" s="4" t="s">
        <v>226</v>
      </c>
      <c r="B25" s="3">
        <v>120</v>
      </c>
      <c r="C25" s="3" t="s">
        <v>7</v>
      </c>
      <c r="D25" s="4" t="s">
        <v>52</v>
      </c>
      <c r="E25" s="4" t="s">
        <v>53</v>
      </c>
      <c r="F25" s="1"/>
      <c r="G25" s="1">
        <f>CLIN0003[[#This Row],[Price/UI]]*CLIN0003[[#This Row],[QTY]]</f>
        <v>0</v>
      </c>
    </row>
    <row r="26" spans="1:7" x14ac:dyDescent="0.25">
      <c r="A26" s="4" t="s">
        <v>227</v>
      </c>
      <c r="B26" s="3">
        <v>120</v>
      </c>
      <c r="C26" s="3" t="s">
        <v>7</v>
      </c>
      <c r="D26" s="4" t="s">
        <v>54</v>
      </c>
      <c r="E26" s="4" t="s">
        <v>55</v>
      </c>
      <c r="F26" s="1"/>
      <c r="G26" s="1">
        <f>CLIN0003[[#This Row],[Price/UI]]*CLIN0003[[#This Row],[QTY]]</f>
        <v>0</v>
      </c>
    </row>
    <row r="27" spans="1:7" x14ac:dyDescent="0.25">
      <c r="A27" s="4" t="s">
        <v>228</v>
      </c>
      <c r="B27" s="3">
        <v>120</v>
      </c>
      <c r="C27" s="3" t="s">
        <v>7</v>
      </c>
      <c r="D27" s="4" t="s">
        <v>56</v>
      </c>
      <c r="E27" s="4" t="s">
        <v>57</v>
      </c>
      <c r="F27" s="1"/>
      <c r="G27" s="1">
        <f>CLIN0003[[#This Row],[Price/UI]]*CLIN0003[[#This Row],[QTY]]</f>
        <v>0</v>
      </c>
    </row>
    <row r="28" spans="1:7" x14ac:dyDescent="0.25">
      <c r="A28" s="4" t="s">
        <v>229</v>
      </c>
      <c r="B28" s="3">
        <v>120</v>
      </c>
      <c r="C28" s="3" t="s">
        <v>7</v>
      </c>
      <c r="D28" s="4" t="s">
        <v>58</v>
      </c>
      <c r="E28" s="4" t="s">
        <v>59</v>
      </c>
      <c r="F28" s="1"/>
      <c r="G28" s="1">
        <f>CLIN0003[[#This Row],[Price/UI]]*CLIN0003[[#This Row],[QTY]]</f>
        <v>0</v>
      </c>
    </row>
    <row r="29" spans="1:7" x14ac:dyDescent="0.25">
      <c r="A29" s="4" t="s">
        <v>230</v>
      </c>
      <c r="B29" s="3">
        <v>120</v>
      </c>
      <c r="C29" s="3" t="s">
        <v>7</v>
      </c>
      <c r="D29" s="4" t="s">
        <v>60</v>
      </c>
      <c r="E29" s="4" t="s">
        <v>61</v>
      </c>
      <c r="F29" s="1"/>
      <c r="G29" s="1">
        <f>CLIN0003[[#This Row],[Price/UI]]*CLIN0003[[#This Row],[QTY]]</f>
        <v>0</v>
      </c>
    </row>
    <row r="30" spans="1:7" x14ac:dyDescent="0.25">
      <c r="A30" s="4" t="s">
        <v>231</v>
      </c>
      <c r="B30" s="3">
        <v>120</v>
      </c>
      <c r="C30" s="3" t="s">
        <v>7</v>
      </c>
      <c r="D30" s="4" t="s">
        <v>62</v>
      </c>
      <c r="E30" s="4" t="s">
        <v>63</v>
      </c>
      <c r="F30" s="1"/>
      <c r="G30" s="1">
        <f>CLIN0003[[#This Row],[Price/UI]]*CLIN0003[[#This Row],[QTY]]</f>
        <v>0</v>
      </c>
    </row>
    <row r="31" spans="1:7" x14ac:dyDescent="0.25">
      <c r="A31" s="4" t="s">
        <v>232</v>
      </c>
      <c r="B31" s="3">
        <v>120</v>
      </c>
      <c r="C31" s="3" t="s">
        <v>7</v>
      </c>
      <c r="D31" s="4" t="s">
        <v>64</v>
      </c>
      <c r="E31" s="4" t="s">
        <v>65</v>
      </c>
      <c r="F31" s="1"/>
      <c r="G31" s="1">
        <f>CLIN0003[[#This Row],[Price/UI]]*CLIN0003[[#This Row],[QTY]]</f>
        <v>0</v>
      </c>
    </row>
    <row r="32" spans="1:7" x14ac:dyDescent="0.25">
      <c r="A32" s="4" t="s">
        <v>233</v>
      </c>
      <c r="B32" s="3">
        <v>120</v>
      </c>
      <c r="C32" s="3" t="s">
        <v>7</v>
      </c>
      <c r="D32" s="4" t="s">
        <v>66</v>
      </c>
      <c r="E32" s="4" t="s">
        <v>67</v>
      </c>
      <c r="F32" s="1"/>
      <c r="G32" s="1">
        <f>CLIN0003[[#This Row],[Price/UI]]*CLIN0003[[#This Row],[QTY]]</f>
        <v>0</v>
      </c>
    </row>
    <row r="33" spans="1:7" x14ac:dyDescent="0.25">
      <c r="A33" s="4" t="s">
        <v>234</v>
      </c>
      <c r="B33" s="3">
        <v>120</v>
      </c>
      <c r="C33" s="3" t="s">
        <v>7</v>
      </c>
      <c r="D33" s="4" t="s">
        <v>68</v>
      </c>
      <c r="E33" s="4" t="s">
        <v>69</v>
      </c>
      <c r="F33" s="1"/>
      <c r="G33" s="1">
        <f>CLIN0003[[#This Row],[Price/UI]]*CLIN0003[[#This Row],[QTY]]</f>
        <v>0</v>
      </c>
    </row>
    <row r="34" spans="1:7" x14ac:dyDescent="0.25">
      <c r="A34" s="4" t="s">
        <v>235</v>
      </c>
      <c r="B34" s="3">
        <v>120</v>
      </c>
      <c r="C34" s="3" t="s">
        <v>7</v>
      </c>
      <c r="D34" s="4" t="s">
        <v>70</v>
      </c>
      <c r="E34" s="4" t="s">
        <v>71</v>
      </c>
      <c r="F34" s="1"/>
      <c r="G34" s="1">
        <f>CLIN0003[[#This Row],[Price/UI]]*CLIN0003[[#This Row],[QTY]]</f>
        <v>0</v>
      </c>
    </row>
    <row r="35" spans="1:7" x14ac:dyDescent="0.25">
      <c r="A35" s="4" t="s">
        <v>236</v>
      </c>
      <c r="B35" s="3">
        <v>120</v>
      </c>
      <c r="C35" s="3" t="s">
        <v>7</v>
      </c>
      <c r="D35" s="4" t="s">
        <v>72</v>
      </c>
      <c r="E35" s="4" t="s">
        <v>73</v>
      </c>
      <c r="F35" s="1"/>
      <c r="G35" s="1">
        <f>CLIN0003[[#This Row],[Price/UI]]*CLIN0003[[#This Row],[QTY]]</f>
        <v>0</v>
      </c>
    </row>
    <row r="36" spans="1:7" x14ac:dyDescent="0.25">
      <c r="A36" s="4" t="s">
        <v>237</v>
      </c>
      <c r="B36" s="3">
        <v>120</v>
      </c>
      <c r="C36" s="3" t="s">
        <v>7</v>
      </c>
      <c r="D36" s="4" t="s">
        <v>74</v>
      </c>
      <c r="E36" s="4" t="s">
        <v>75</v>
      </c>
      <c r="F36" s="1"/>
      <c r="G36" s="1">
        <f>CLIN0003[[#This Row],[Price/UI]]*CLIN0003[[#This Row],[QTY]]</f>
        <v>0</v>
      </c>
    </row>
    <row r="37" spans="1:7" x14ac:dyDescent="0.25">
      <c r="A37" s="4" t="s">
        <v>238</v>
      </c>
      <c r="B37" s="3">
        <v>120</v>
      </c>
      <c r="C37" s="3" t="s">
        <v>7</v>
      </c>
      <c r="D37" s="4" t="s">
        <v>76</v>
      </c>
      <c r="E37" s="4" t="s">
        <v>77</v>
      </c>
      <c r="F37" s="1"/>
      <c r="G37" s="1">
        <f>CLIN0003[[#This Row],[Price/UI]]*CLIN0003[[#This Row],[QTY]]</f>
        <v>0</v>
      </c>
    </row>
    <row r="38" spans="1:7" x14ac:dyDescent="0.25">
      <c r="A38" s="4" t="s">
        <v>239</v>
      </c>
      <c r="B38" s="3">
        <v>60</v>
      </c>
      <c r="C38" s="3" t="s">
        <v>7</v>
      </c>
      <c r="D38" s="4" t="s">
        <v>78</v>
      </c>
      <c r="E38" s="4" t="s">
        <v>79</v>
      </c>
      <c r="F38" s="1"/>
      <c r="G38" s="1">
        <f>CLIN0003[[#This Row],[Price/UI]]*CLIN0003[[#This Row],[QTY]]</f>
        <v>0</v>
      </c>
    </row>
    <row r="39" spans="1:7" x14ac:dyDescent="0.25">
      <c r="A39" s="4" t="s">
        <v>240</v>
      </c>
      <c r="B39" s="3">
        <v>60</v>
      </c>
      <c r="C39" s="3" t="s">
        <v>7</v>
      </c>
      <c r="D39" s="4" t="s">
        <v>80</v>
      </c>
      <c r="E39" s="4" t="s">
        <v>81</v>
      </c>
      <c r="F39" s="1"/>
      <c r="G39" s="1">
        <f>CLIN0003[[#This Row],[Price/UI]]*CLIN0003[[#This Row],[QTY]]</f>
        <v>0</v>
      </c>
    </row>
    <row r="40" spans="1:7" x14ac:dyDescent="0.25">
      <c r="A40" s="4" t="s">
        <v>241</v>
      </c>
      <c r="B40" s="3">
        <v>60</v>
      </c>
      <c r="C40" s="3" t="s">
        <v>7</v>
      </c>
      <c r="D40" s="4" t="s">
        <v>82</v>
      </c>
      <c r="E40" s="4" t="s">
        <v>83</v>
      </c>
      <c r="F40" s="1"/>
      <c r="G40" s="1">
        <f>CLIN0003[[#This Row],[Price/UI]]*CLIN0003[[#This Row],[QTY]]</f>
        <v>0</v>
      </c>
    </row>
    <row r="41" spans="1:7" x14ac:dyDescent="0.25">
      <c r="A41" s="4" t="s">
        <v>242</v>
      </c>
      <c r="B41" s="3">
        <v>60</v>
      </c>
      <c r="C41" s="3" t="s">
        <v>7</v>
      </c>
      <c r="D41" s="4" t="s">
        <v>84</v>
      </c>
      <c r="E41" s="4" t="s">
        <v>85</v>
      </c>
      <c r="F41" s="1"/>
      <c r="G41" s="1">
        <f>CLIN0003[[#This Row],[Price/UI]]*CLIN0003[[#This Row],[QTY]]</f>
        <v>0</v>
      </c>
    </row>
    <row r="42" spans="1:7" x14ac:dyDescent="0.25">
      <c r="A42" s="4" t="s">
        <v>243</v>
      </c>
      <c r="B42" s="3">
        <v>60</v>
      </c>
      <c r="C42" s="3" t="s">
        <v>7</v>
      </c>
      <c r="D42" s="4" t="s">
        <v>86</v>
      </c>
      <c r="E42" s="4" t="s">
        <v>87</v>
      </c>
      <c r="F42" s="1"/>
      <c r="G42" s="1">
        <f>CLIN0003[[#This Row],[Price/UI]]*CLIN0003[[#This Row],[QTY]]</f>
        <v>0</v>
      </c>
    </row>
    <row r="43" spans="1:7" x14ac:dyDescent="0.25">
      <c r="A43" s="4" t="s">
        <v>244</v>
      </c>
      <c r="B43" s="3">
        <v>60</v>
      </c>
      <c r="C43" s="3" t="s">
        <v>7</v>
      </c>
      <c r="D43" s="4" t="s">
        <v>88</v>
      </c>
      <c r="E43" s="4" t="s">
        <v>89</v>
      </c>
      <c r="F43" s="1"/>
      <c r="G43" s="1">
        <f>CLIN0003[[#This Row],[Price/UI]]*CLIN0003[[#This Row],[QTY]]</f>
        <v>0</v>
      </c>
    </row>
    <row r="44" spans="1:7" x14ac:dyDescent="0.25">
      <c r="A44" s="4" t="s">
        <v>245</v>
      </c>
      <c r="B44" s="3">
        <v>60</v>
      </c>
      <c r="C44" s="3" t="s">
        <v>7</v>
      </c>
      <c r="D44" s="4" t="s">
        <v>90</v>
      </c>
      <c r="E44" s="4" t="s">
        <v>91</v>
      </c>
      <c r="F44" s="1"/>
      <c r="G44" s="1">
        <f>CLIN0003[[#This Row],[Price/UI]]*CLIN0003[[#This Row],[QTY]]</f>
        <v>0</v>
      </c>
    </row>
    <row r="45" spans="1:7" x14ac:dyDescent="0.25">
      <c r="A45" s="4" t="s">
        <v>246</v>
      </c>
      <c r="B45" s="3">
        <v>60</v>
      </c>
      <c r="C45" s="3" t="s">
        <v>7</v>
      </c>
      <c r="D45" s="4" t="s">
        <v>92</v>
      </c>
      <c r="E45" s="4" t="s">
        <v>93</v>
      </c>
      <c r="F45" s="1"/>
      <c r="G45" s="1">
        <f>CLIN0003[[#This Row],[Price/UI]]*CLIN0003[[#This Row],[QTY]]</f>
        <v>0</v>
      </c>
    </row>
    <row r="46" spans="1:7" x14ac:dyDescent="0.25">
      <c r="A46" s="4" t="s">
        <v>247</v>
      </c>
      <c r="B46" s="3">
        <v>60</v>
      </c>
      <c r="C46" s="3" t="s">
        <v>7</v>
      </c>
      <c r="D46" s="4" t="s">
        <v>94</v>
      </c>
      <c r="E46" s="4" t="s">
        <v>95</v>
      </c>
      <c r="F46" s="1"/>
      <c r="G46" s="1">
        <f>CLIN0003[[#This Row],[Price/UI]]*CLIN0003[[#This Row],[QTY]]</f>
        <v>0</v>
      </c>
    </row>
    <row r="47" spans="1:7" x14ac:dyDescent="0.25">
      <c r="A47" s="4" t="s">
        <v>248</v>
      </c>
      <c r="B47" s="3">
        <v>60</v>
      </c>
      <c r="C47" s="3" t="s">
        <v>7</v>
      </c>
      <c r="D47" s="4" t="s">
        <v>96</v>
      </c>
      <c r="E47" s="4" t="s">
        <v>97</v>
      </c>
      <c r="F47" s="1"/>
      <c r="G47" s="1">
        <f>CLIN0003[[#This Row],[Price/UI]]*CLIN0003[[#This Row],[QTY]]</f>
        <v>0</v>
      </c>
    </row>
    <row r="48" spans="1:7" x14ac:dyDescent="0.25">
      <c r="A48" s="4" t="s">
        <v>249</v>
      </c>
      <c r="B48" s="3">
        <v>120</v>
      </c>
      <c r="C48" s="3" t="s">
        <v>7</v>
      </c>
      <c r="D48" s="4" t="s">
        <v>98</v>
      </c>
      <c r="E48" s="4" t="s">
        <v>99</v>
      </c>
      <c r="F48" s="1"/>
      <c r="G48" s="1">
        <f>CLIN0003[[#This Row],[Price/UI]]*CLIN0003[[#This Row],[QTY]]</f>
        <v>0</v>
      </c>
    </row>
    <row r="49" spans="1:7" x14ac:dyDescent="0.25">
      <c r="A49" s="4" t="s">
        <v>250</v>
      </c>
      <c r="B49" s="3">
        <v>120</v>
      </c>
      <c r="C49" s="3" t="s">
        <v>7</v>
      </c>
      <c r="D49" s="4" t="s">
        <v>100</v>
      </c>
      <c r="E49" s="4" t="s">
        <v>101</v>
      </c>
      <c r="F49" s="1"/>
      <c r="G49" s="1">
        <f>CLIN0003[[#This Row],[Price/UI]]*CLIN0003[[#This Row],[QTY]]</f>
        <v>0</v>
      </c>
    </row>
    <row r="50" spans="1:7" x14ac:dyDescent="0.25">
      <c r="A50" s="4" t="s">
        <v>251</v>
      </c>
      <c r="B50" s="3">
        <v>120</v>
      </c>
      <c r="C50" s="3" t="s">
        <v>7</v>
      </c>
      <c r="D50" s="4" t="s">
        <v>102</v>
      </c>
      <c r="E50" s="4" t="s">
        <v>103</v>
      </c>
      <c r="F50" s="1"/>
      <c r="G50" s="1">
        <f>CLIN0003[[#This Row],[Price/UI]]*CLIN0003[[#This Row],[QTY]]</f>
        <v>0</v>
      </c>
    </row>
    <row r="51" spans="1:7" x14ac:dyDescent="0.25">
      <c r="A51" s="4" t="s">
        <v>252</v>
      </c>
      <c r="B51" s="3">
        <v>120</v>
      </c>
      <c r="C51" s="3" t="s">
        <v>7</v>
      </c>
      <c r="D51" s="4" t="s">
        <v>104</v>
      </c>
      <c r="E51" s="4" t="s">
        <v>105</v>
      </c>
      <c r="F51" s="1"/>
      <c r="G51" s="1">
        <f>CLIN0003[[#This Row],[Price/UI]]*CLIN0003[[#This Row],[QTY]]</f>
        <v>0</v>
      </c>
    </row>
    <row r="52" spans="1:7" x14ac:dyDescent="0.25">
      <c r="A52" s="4" t="s">
        <v>253</v>
      </c>
      <c r="B52" s="3">
        <v>120</v>
      </c>
      <c r="C52" s="3" t="s">
        <v>7</v>
      </c>
      <c r="D52" s="4" t="s">
        <v>106</v>
      </c>
      <c r="E52" s="4" t="s">
        <v>107</v>
      </c>
      <c r="F52" s="1"/>
      <c r="G52" s="1">
        <f>CLIN0003[[#This Row],[Price/UI]]*CLIN0003[[#This Row],[QTY]]</f>
        <v>0</v>
      </c>
    </row>
    <row r="53" spans="1:7" x14ac:dyDescent="0.25">
      <c r="A53" s="4" t="s">
        <v>254</v>
      </c>
      <c r="B53" s="3">
        <v>120</v>
      </c>
      <c r="C53" s="3" t="s">
        <v>7</v>
      </c>
      <c r="D53" s="4" t="s">
        <v>108</v>
      </c>
      <c r="E53" s="4" t="s">
        <v>109</v>
      </c>
      <c r="F53" s="1"/>
      <c r="G53" s="1">
        <f>CLIN0003[[#This Row],[Price/UI]]*CLIN0003[[#This Row],[QTY]]</f>
        <v>0</v>
      </c>
    </row>
    <row r="54" spans="1:7" x14ac:dyDescent="0.25">
      <c r="A54" s="4" t="s">
        <v>255</v>
      </c>
      <c r="B54" s="3">
        <v>120</v>
      </c>
      <c r="C54" s="3" t="s">
        <v>7</v>
      </c>
      <c r="D54" s="4" t="s">
        <v>110</v>
      </c>
      <c r="E54" s="4" t="s">
        <v>111</v>
      </c>
      <c r="F54" s="1"/>
      <c r="G54" s="1">
        <f>CLIN0003[[#This Row],[Price/UI]]*CLIN0003[[#This Row],[QTY]]</f>
        <v>0</v>
      </c>
    </row>
    <row r="55" spans="1:7" x14ac:dyDescent="0.25">
      <c r="A55" s="4" t="s">
        <v>256</v>
      </c>
      <c r="B55" s="3">
        <v>120</v>
      </c>
      <c r="C55" s="3" t="s">
        <v>7</v>
      </c>
      <c r="D55" s="4" t="s">
        <v>112</v>
      </c>
      <c r="E55" s="4" t="s">
        <v>113</v>
      </c>
      <c r="F55" s="1"/>
      <c r="G55" s="1">
        <f>CLIN0003[[#This Row],[Price/UI]]*CLIN0003[[#This Row],[QTY]]</f>
        <v>0</v>
      </c>
    </row>
    <row r="56" spans="1:7" x14ac:dyDescent="0.25">
      <c r="A56" s="4" t="s">
        <v>257</v>
      </c>
      <c r="B56" s="3">
        <v>120</v>
      </c>
      <c r="C56" s="3" t="s">
        <v>7</v>
      </c>
      <c r="D56" s="4" t="s">
        <v>114</v>
      </c>
      <c r="E56" s="4" t="s">
        <v>115</v>
      </c>
      <c r="F56" s="1"/>
      <c r="G56" s="1">
        <f>CLIN0003[[#This Row],[Price/UI]]*CLIN0003[[#This Row],[QTY]]</f>
        <v>0</v>
      </c>
    </row>
    <row r="57" spans="1:7" x14ac:dyDescent="0.25">
      <c r="A57" s="4" t="s">
        <v>258</v>
      </c>
      <c r="B57" s="3">
        <v>120</v>
      </c>
      <c r="C57" s="3" t="s">
        <v>7</v>
      </c>
      <c r="D57" s="4" t="s">
        <v>116</v>
      </c>
      <c r="E57" s="4" t="s">
        <v>117</v>
      </c>
      <c r="F57" s="1"/>
      <c r="G57" s="1">
        <f>CLIN0003[[#This Row],[Price/UI]]*CLIN0003[[#This Row],[QTY]]</f>
        <v>0</v>
      </c>
    </row>
    <row r="58" spans="1:7" x14ac:dyDescent="0.25">
      <c r="A58" s="4" t="s">
        <v>259</v>
      </c>
      <c r="B58" s="3">
        <v>120</v>
      </c>
      <c r="C58" s="3" t="s">
        <v>7</v>
      </c>
      <c r="D58" s="4" t="s">
        <v>118</v>
      </c>
      <c r="E58" s="4" t="s">
        <v>119</v>
      </c>
      <c r="F58" s="1"/>
      <c r="G58" s="1">
        <f>CLIN0003[[#This Row],[Price/UI]]*CLIN0003[[#This Row],[QTY]]</f>
        <v>0</v>
      </c>
    </row>
    <row r="59" spans="1:7" x14ac:dyDescent="0.25">
      <c r="A59" s="4" t="s">
        <v>260</v>
      </c>
      <c r="B59" s="3">
        <v>120</v>
      </c>
      <c r="C59" s="3" t="s">
        <v>7</v>
      </c>
      <c r="D59" s="4" t="s">
        <v>120</v>
      </c>
      <c r="E59" s="4" t="s">
        <v>121</v>
      </c>
      <c r="F59" s="1"/>
      <c r="G59" s="1">
        <f>CLIN0003[[#This Row],[Price/UI]]*CLIN0003[[#This Row],[QTY]]</f>
        <v>0</v>
      </c>
    </row>
    <row r="60" spans="1:7" x14ac:dyDescent="0.25">
      <c r="A60" s="4" t="s">
        <v>261</v>
      </c>
      <c r="B60" s="3">
        <v>120</v>
      </c>
      <c r="C60" s="3" t="s">
        <v>7</v>
      </c>
      <c r="D60" s="4" t="s">
        <v>122</v>
      </c>
      <c r="E60" s="4" t="s">
        <v>123</v>
      </c>
      <c r="F60" s="1"/>
      <c r="G60" s="1">
        <f>CLIN0003[[#This Row],[Price/UI]]*CLIN0003[[#This Row],[QTY]]</f>
        <v>0</v>
      </c>
    </row>
    <row r="61" spans="1:7" x14ac:dyDescent="0.25">
      <c r="A61" s="4" t="s">
        <v>262</v>
      </c>
      <c r="B61" s="3">
        <v>120</v>
      </c>
      <c r="C61" s="3" t="s">
        <v>7</v>
      </c>
      <c r="D61" s="4" t="s">
        <v>124</v>
      </c>
      <c r="E61" s="4" t="s">
        <v>125</v>
      </c>
      <c r="F61" s="1"/>
      <c r="G61" s="1">
        <f>CLIN0003[[#This Row],[Price/UI]]*CLIN0003[[#This Row],[QTY]]</f>
        <v>0</v>
      </c>
    </row>
    <row r="62" spans="1:7" x14ac:dyDescent="0.25">
      <c r="A62" s="4" t="s">
        <v>293</v>
      </c>
      <c r="B62" s="3">
        <v>10</v>
      </c>
      <c r="C62" s="3" t="s">
        <v>7</v>
      </c>
      <c r="D62" s="4" t="s">
        <v>294</v>
      </c>
      <c r="E62" s="4" t="s">
        <v>295</v>
      </c>
      <c r="F62" s="1"/>
      <c r="G62" s="1">
        <f>CLIN0003[[#This Row],[Price/UI]]*CLIN0003[[#This Row],[QTY]]</f>
        <v>0</v>
      </c>
    </row>
    <row r="63" spans="1:7" x14ac:dyDescent="0.25">
      <c r="A63" s="4" t="s">
        <v>296</v>
      </c>
      <c r="B63" s="3">
        <v>3</v>
      </c>
      <c r="C63" s="3" t="s">
        <v>7</v>
      </c>
      <c r="D63" s="4" t="s">
        <v>297</v>
      </c>
      <c r="E63" s="4" t="s">
        <v>298</v>
      </c>
      <c r="F63" s="1"/>
      <c r="G63" s="1">
        <f>CLIN0003[[#This Row],[Price/UI]]*CLIN0003[[#This Row],[QTY]]</f>
        <v>0</v>
      </c>
    </row>
    <row r="64" spans="1:7" x14ac:dyDescent="0.25">
      <c r="A64" s="4" t="s">
        <v>296</v>
      </c>
      <c r="B64" s="3">
        <v>50</v>
      </c>
      <c r="C64" s="3" t="s">
        <v>7</v>
      </c>
      <c r="D64" s="4" t="s">
        <v>299</v>
      </c>
      <c r="E64" s="4" t="s">
        <v>300</v>
      </c>
      <c r="F64" s="1"/>
      <c r="G64" s="1">
        <f>CLIN0003[[#This Row],[Price/UI]]*CLIN0003[[#This Row],[QTY]]</f>
        <v>0</v>
      </c>
    </row>
    <row r="65" spans="1:7" x14ac:dyDescent="0.25">
      <c r="A65" s="4" t="s">
        <v>301</v>
      </c>
      <c r="B65" s="3">
        <v>50</v>
      </c>
      <c r="C65" s="3" t="s">
        <v>7</v>
      </c>
      <c r="D65" s="4" t="s">
        <v>302</v>
      </c>
      <c r="E65" s="4" t="s">
        <v>303</v>
      </c>
      <c r="F65" s="1"/>
      <c r="G65" s="1">
        <f>CLIN0003[[#This Row],[Price/UI]]*CLIN0003[[#This Row],[QTY]]</f>
        <v>0</v>
      </c>
    </row>
    <row r="66" spans="1:7" x14ac:dyDescent="0.25">
      <c r="A66" s="4" t="s">
        <v>304</v>
      </c>
      <c r="B66" s="3">
        <v>50</v>
      </c>
      <c r="C66" s="3" t="s">
        <v>7</v>
      </c>
      <c r="D66" s="4" t="s">
        <v>305</v>
      </c>
      <c r="E66" s="4" t="s">
        <v>306</v>
      </c>
      <c r="F66" s="1"/>
      <c r="G66" s="1">
        <f>CLIN0003[[#This Row],[Price/UI]]*CLIN0003[[#This Row],[QTY]]</f>
        <v>0</v>
      </c>
    </row>
    <row r="67" spans="1:7" x14ac:dyDescent="0.25">
      <c r="G67" s="5">
        <f>SUBTOTAL(109,CLIN0003[Price/tot])</f>
        <v>0</v>
      </c>
    </row>
    <row r="68" spans="1:7" x14ac:dyDescent="0.25">
      <c r="A68" s="10" t="s">
        <v>8</v>
      </c>
      <c r="B68" s="10"/>
      <c r="C68" s="10"/>
      <c r="D68" s="10"/>
    </row>
    <row r="69" spans="1:7" x14ac:dyDescent="0.25">
      <c r="A69" s="10" t="s">
        <v>308</v>
      </c>
      <c r="B69" s="10"/>
      <c r="C69" s="10"/>
      <c r="D69" s="10"/>
    </row>
    <row r="70" spans="1:7" x14ac:dyDescent="0.25">
      <c r="A70" s="10" t="s">
        <v>10</v>
      </c>
      <c r="B70" s="10"/>
      <c r="C70" s="10"/>
      <c r="D70" s="10"/>
    </row>
    <row r="71" spans="1:7" x14ac:dyDescent="0.25">
      <c r="A71" s="10" t="s">
        <v>11</v>
      </c>
      <c r="B71" s="10"/>
      <c r="C71" s="10"/>
      <c r="D71" s="10"/>
    </row>
    <row r="73" spans="1:7" x14ac:dyDescent="0.25">
      <c r="A73" t="s">
        <v>323</v>
      </c>
    </row>
    <row r="74" spans="1:7" x14ac:dyDescent="0.25">
      <c r="A74" t="s">
        <v>324</v>
      </c>
    </row>
    <row r="76" spans="1:7" x14ac:dyDescent="0.25">
      <c r="A76" t="s">
        <v>325</v>
      </c>
    </row>
    <row r="78" spans="1:7" x14ac:dyDescent="0.25">
      <c r="A78" t="s">
        <v>326</v>
      </c>
    </row>
    <row r="80" spans="1:7" x14ac:dyDescent="0.25">
      <c r="A80" t="s">
        <v>327</v>
      </c>
    </row>
  </sheetData>
  <mergeCells count="5">
    <mergeCell ref="A68:D68"/>
    <mergeCell ref="A69:D69"/>
    <mergeCell ref="A70:D70"/>
    <mergeCell ref="A71:D71"/>
    <mergeCell ref="A2:G2"/>
  </mergeCells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AE5F-2A69-4C4D-9353-C7BFFD5A8FC5}">
  <dimension ref="A2:G55"/>
  <sheetViews>
    <sheetView tabSelected="1" topLeftCell="A12" workbookViewId="0">
      <selection activeCell="D31" sqref="D31"/>
    </sheetView>
  </sheetViews>
  <sheetFormatPr defaultColWidth="11.42578125" defaultRowHeight="15" x14ac:dyDescent="0.25"/>
  <cols>
    <col min="1" max="1" width="7.42578125" bestFit="1" customWidth="1"/>
    <col min="2" max="2" width="6.42578125" bestFit="1" customWidth="1"/>
    <col min="3" max="3" width="5.140625" customWidth="1"/>
    <col min="4" max="5" width="137.7109375" customWidth="1"/>
    <col min="6" max="6" width="12.5703125" bestFit="1" customWidth="1"/>
    <col min="7" max="7" width="14.28515625" bestFit="1" customWidth="1"/>
  </cols>
  <sheetData>
    <row r="2" spans="1:7" ht="18.75" x14ac:dyDescent="0.3">
      <c r="A2" s="11" t="s">
        <v>218</v>
      </c>
      <c r="B2" s="11"/>
      <c r="C2" s="11"/>
      <c r="D2" s="11"/>
      <c r="E2" s="11"/>
      <c r="F2" s="11"/>
      <c r="G2" s="11"/>
    </row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s="4" t="s">
        <v>203</v>
      </c>
      <c r="B5" s="3">
        <v>40</v>
      </c>
      <c r="C5" s="3" t="s">
        <v>7</v>
      </c>
      <c r="D5" s="4" t="s">
        <v>126</v>
      </c>
      <c r="E5" s="4" t="s">
        <v>127</v>
      </c>
      <c r="F5" s="1"/>
      <c r="G5" s="1">
        <f>CLIN0004[[#This Row],[Price/UI]]*CLIN0004[[#This Row],[QTY]]</f>
        <v>0</v>
      </c>
    </row>
    <row r="6" spans="1:7" x14ac:dyDescent="0.25">
      <c r="A6" s="4" t="s">
        <v>204</v>
      </c>
      <c r="B6" s="3">
        <v>40</v>
      </c>
      <c r="C6" s="3" t="s">
        <v>7</v>
      </c>
      <c r="D6" s="4" t="s">
        <v>128</v>
      </c>
      <c r="E6" s="4" t="s">
        <v>129</v>
      </c>
      <c r="F6" s="1"/>
      <c r="G6" s="1">
        <f>CLIN0004[[#This Row],[Price/UI]]*CLIN0004[[#This Row],[QTY]]</f>
        <v>0</v>
      </c>
    </row>
    <row r="7" spans="1:7" x14ac:dyDescent="0.25">
      <c r="A7" s="4" t="s">
        <v>205</v>
      </c>
      <c r="B7" s="3">
        <v>40</v>
      </c>
      <c r="C7" s="3" t="s">
        <v>7</v>
      </c>
      <c r="D7" s="4" t="s">
        <v>130</v>
      </c>
      <c r="E7" s="4" t="s">
        <v>131</v>
      </c>
      <c r="F7" s="1"/>
      <c r="G7" s="1">
        <f>CLIN0004[[#This Row],[Price/UI]]*CLIN0004[[#This Row],[QTY]]</f>
        <v>0</v>
      </c>
    </row>
    <row r="8" spans="1:7" x14ac:dyDescent="0.25">
      <c r="A8" s="4" t="s">
        <v>206</v>
      </c>
      <c r="B8" s="3">
        <v>40</v>
      </c>
      <c r="C8" s="3" t="s">
        <v>7</v>
      </c>
      <c r="D8" s="4" t="s">
        <v>132</v>
      </c>
      <c r="E8" s="4" t="s">
        <v>133</v>
      </c>
      <c r="F8" s="1"/>
      <c r="G8" s="1">
        <f>CLIN0004[[#This Row],[Price/UI]]*CLIN0004[[#This Row],[QTY]]</f>
        <v>0</v>
      </c>
    </row>
    <row r="9" spans="1:7" x14ac:dyDescent="0.25">
      <c r="A9" s="4" t="s">
        <v>207</v>
      </c>
      <c r="B9" s="3">
        <v>40</v>
      </c>
      <c r="C9" s="3" t="s">
        <v>7</v>
      </c>
      <c r="D9" s="4" t="s">
        <v>134</v>
      </c>
      <c r="E9" s="4" t="s">
        <v>135</v>
      </c>
      <c r="F9" s="1"/>
      <c r="G9" s="1">
        <f>CLIN0004[[#This Row],[Price/UI]]*CLIN0004[[#This Row],[QTY]]</f>
        <v>0</v>
      </c>
    </row>
    <row r="10" spans="1:7" x14ac:dyDescent="0.25">
      <c r="A10" s="4" t="s">
        <v>208</v>
      </c>
      <c r="B10" s="3">
        <v>40</v>
      </c>
      <c r="C10" s="3" t="s">
        <v>7</v>
      </c>
      <c r="D10" s="4" t="s">
        <v>136</v>
      </c>
      <c r="E10" s="4" t="s">
        <v>137</v>
      </c>
      <c r="F10" s="1"/>
      <c r="G10" s="1">
        <f>CLIN0004[[#This Row],[Price/UI]]*CLIN0004[[#This Row],[QTY]]</f>
        <v>0</v>
      </c>
    </row>
    <row r="11" spans="1:7" x14ac:dyDescent="0.25">
      <c r="A11" s="4" t="s">
        <v>209</v>
      </c>
      <c r="B11" s="3">
        <v>40</v>
      </c>
      <c r="C11" s="3" t="s">
        <v>7</v>
      </c>
      <c r="D11" s="4" t="s">
        <v>138</v>
      </c>
      <c r="E11" s="4" t="s">
        <v>139</v>
      </c>
      <c r="F11" s="1"/>
      <c r="G11" s="1">
        <f>CLIN0004[[#This Row],[Price/UI]]*CLIN0004[[#This Row],[QTY]]</f>
        <v>0</v>
      </c>
    </row>
    <row r="12" spans="1:7" x14ac:dyDescent="0.25">
      <c r="A12" s="4" t="s">
        <v>210</v>
      </c>
      <c r="B12" s="3">
        <v>40</v>
      </c>
      <c r="C12" s="3" t="s">
        <v>7</v>
      </c>
      <c r="D12" s="4" t="s">
        <v>140</v>
      </c>
      <c r="E12" s="4" t="s">
        <v>141</v>
      </c>
      <c r="F12" s="1"/>
      <c r="G12" s="1">
        <f>CLIN0004[[#This Row],[Price/UI]]*CLIN0004[[#This Row],[QTY]]</f>
        <v>0</v>
      </c>
    </row>
    <row r="13" spans="1:7" x14ac:dyDescent="0.25">
      <c r="A13" s="4" t="s">
        <v>211</v>
      </c>
      <c r="B13" s="3">
        <v>40</v>
      </c>
      <c r="C13" s="3" t="s">
        <v>7</v>
      </c>
      <c r="D13" s="4" t="s">
        <v>142</v>
      </c>
      <c r="E13" s="4" t="s">
        <v>143</v>
      </c>
      <c r="F13" s="1"/>
      <c r="G13" s="1">
        <f>CLIN0004[[#This Row],[Price/UI]]*CLIN0004[[#This Row],[QTY]]</f>
        <v>0</v>
      </c>
    </row>
    <row r="14" spans="1:7" x14ac:dyDescent="0.25">
      <c r="A14" s="4" t="s">
        <v>146</v>
      </c>
      <c r="B14" s="3">
        <v>40</v>
      </c>
      <c r="C14" s="3" t="s">
        <v>7</v>
      </c>
      <c r="D14" s="4" t="s">
        <v>144</v>
      </c>
      <c r="E14" s="4" t="s">
        <v>145</v>
      </c>
      <c r="F14" s="1"/>
      <c r="G14" s="1">
        <f>CLIN0004[[#This Row],[Price/UI]]*CLIN0004[[#This Row],[QTY]]</f>
        <v>0</v>
      </c>
    </row>
    <row r="15" spans="1:7" x14ac:dyDescent="0.25">
      <c r="A15" s="4" t="s">
        <v>149</v>
      </c>
      <c r="B15" s="3">
        <v>40</v>
      </c>
      <c r="C15" s="3" t="s">
        <v>7</v>
      </c>
      <c r="D15" s="4" t="s">
        <v>147</v>
      </c>
      <c r="E15" s="4" t="s">
        <v>148</v>
      </c>
      <c r="F15" s="1"/>
      <c r="G15" s="1">
        <f>CLIN0004[[#This Row],[Price/UI]]*CLIN0004[[#This Row],[QTY]]</f>
        <v>0</v>
      </c>
    </row>
    <row r="16" spans="1:7" x14ac:dyDescent="0.25">
      <c r="A16" s="4" t="s">
        <v>152</v>
      </c>
      <c r="B16" s="3">
        <v>40</v>
      </c>
      <c r="C16" s="3" t="s">
        <v>7</v>
      </c>
      <c r="D16" s="4" t="s">
        <v>150</v>
      </c>
      <c r="E16" s="4" t="s">
        <v>151</v>
      </c>
      <c r="F16" s="1"/>
      <c r="G16" s="1">
        <f>CLIN0004[[#This Row],[Price/UI]]*CLIN0004[[#This Row],[QTY]]</f>
        <v>0</v>
      </c>
    </row>
    <row r="17" spans="1:7" x14ac:dyDescent="0.25">
      <c r="A17" s="4" t="s">
        <v>155</v>
      </c>
      <c r="B17" s="3">
        <v>40</v>
      </c>
      <c r="C17" s="3" t="s">
        <v>7</v>
      </c>
      <c r="D17" s="4" t="s">
        <v>153</v>
      </c>
      <c r="E17" s="4" t="s">
        <v>154</v>
      </c>
      <c r="F17" s="1"/>
      <c r="G17" s="1">
        <f>CLIN0004[[#This Row],[Price/UI]]*CLIN0004[[#This Row],[QTY]]</f>
        <v>0</v>
      </c>
    </row>
    <row r="18" spans="1:7" x14ac:dyDescent="0.25">
      <c r="A18" s="4" t="s">
        <v>158</v>
      </c>
      <c r="B18" s="3">
        <v>4</v>
      </c>
      <c r="C18" s="3" t="s">
        <v>7</v>
      </c>
      <c r="D18" s="4" t="s">
        <v>156</v>
      </c>
      <c r="E18" s="4" t="s">
        <v>157</v>
      </c>
      <c r="F18" s="1"/>
      <c r="G18" s="1">
        <f>CLIN0004[[#This Row],[Price/UI]]*CLIN0004[[#This Row],[QTY]]</f>
        <v>0</v>
      </c>
    </row>
    <row r="19" spans="1:7" x14ac:dyDescent="0.25">
      <c r="A19" s="4" t="s">
        <v>161</v>
      </c>
      <c r="B19" s="3">
        <v>100</v>
      </c>
      <c r="C19" s="3" t="s">
        <v>7</v>
      </c>
      <c r="D19" s="4" t="s">
        <v>159</v>
      </c>
      <c r="E19" s="4" t="s">
        <v>160</v>
      </c>
      <c r="F19" s="1"/>
      <c r="G19" s="1">
        <f>CLIN0004[[#This Row],[Price/UI]]*CLIN0004[[#This Row],[QTY]]</f>
        <v>0</v>
      </c>
    </row>
    <row r="20" spans="1:7" x14ac:dyDescent="0.25">
      <c r="A20" s="4" t="s">
        <v>164</v>
      </c>
      <c r="B20" s="3">
        <v>100</v>
      </c>
      <c r="C20" s="3" t="s">
        <v>7</v>
      </c>
      <c r="D20" s="4" t="s">
        <v>162</v>
      </c>
      <c r="E20" s="4" t="s">
        <v>163</v>
      </c>
      <c r="F20" s="1"/>
      <c r="G20" s="1">
        <f>CLIN0004[[#This Row],[Price/UI]]*CLIN0004[[#This Row],[QTY]]</f>
        <v>0</v>
      </c>
    </row>
    <row r="21" spans="1:7" x14ac:dyDescent="0.25">
      <c r="A21" s="4" t="s">
        <v>178</v>
      </c>
      <c r="B21" s="3">
        <v>100</v>
      </c>
      <c r="C21" s="3" t="s">
        <v>7</v>
      </c>
      <c r="D21" s="4" t="s">
        <v>165</v>
      </c>
      <c r="E21" s="4" t="s">
        <v>166</v>
      </c>
      <c r="F21" s="1"/>
      <c r="G21" s="1">
        <f>CLIN0004[[#This Row],[Price/UI]]*CLIN0004[[#This Row],[QTY]]</f>
        <v>0</v>
      </c>
    </row>
    <row r="22" spans="1:7" x14ac:dyDescent="0.25">
      <c r="A22" s="4" t="s">
        <v>179</v>
      </c>
      <c r="B22" s="2">
        <v>16</v>
      </c>
      <c r="C22" s="3" t="s">
        <v>7</v>
      </c>
      <c r="D22" s="4" t="s">
        <v>212</v>
      </c>
      <c r="E22" s="4" t="s">
        <v>213</v>
      </c>
      <c r="F22" s="1"/>
      <c r="G22" s="1">
        <f>CLIN0004[[#This Row],[Price/UI]]*CLIN0004[[#This Row],[QTY]]</f>
        <v>0</v>
      </c>
    </row>
    <row r="23" spans="1:7" x14ac:dyDescent="0.25">
      <c r="A23" s="4" t="s">
        <v>180</v>
      </c>
      <c r="B23" s="2">
        <v>16</v>
      </c>
      <c r="C23" s="3" t="s">
        <v>7</v>
      </c>
      <c r="D23" s="4" t="s">
        <v>214</v>
      </c>
      <c r="E23" s="4" t="s">
        <v>215</v>
      </c>
      <c r="F23" s="1"/>
      <c r="G23" s="1">
        <f>CLIN0004[[#This Row],[Price/UI]]*CLIN0004[[#This Row],[QTY]]</f>
        <v>0</v>
      </c>
    </row>
    <row r="24" spans="1:7" x14ac:dyDescent="0.25">
      <c r="G24" s="5">
        <f>SUBTOTAL(109,CLIN0004[Price/tot])</f>
        <v>0</v>
      </c>
    </row>
    <row r="25" spans="1:7" x14ac:dyDescent="0.25">
      <c r="G25" s="5"/>
    </row>
    <row r="26" spans="1:7" x14ac:dyDescent="0.25">
      <c r="G26" s="5"/>
    </row>
    <row r="27" spans="1:7" x14ac:dyDescent="0.25">
      <c r="A27" s="10" t="s">
        <v>8</v>
      </c>
      <c r="B27" s="10"/>
      <c r="C27" s="10"/>
      <c r="D27" s="10"/>
    </row>
    <row r="28" spans="1:7" x14ac:dyDescent="0.25">
      <c r="A28" s="10" t="s">
        <v>308</v>
      </c>
      <c r="B28" s="10"/>
      <c r="C28" s="10"/>
      <c r="D28" s="10"/>
    </row>
    <row r="29" spans="1:7" x14ac:dyDescent="0.25">
      <c r="A29" s="10" t="s">
        <v>10</v>
      </c>
      <c r="B29" s="10"/>
      <c r="C29" s="10"/>
      <c r="D29" s="10"/>
    </row>
    <row r="30" spans="1:7" x14ac:dyDescent="0.25">
      <c r="A30" s="10" t="s">
        <v>11</v>
      </c>
      <c r="B30" s="10"/>
      <c r="C30" s="10"/>
      <c r="D30" s="10"/>
    </row>
    <row r="32" spans="1:7" x14ac:dyDescent="0.25">
      <c r="A32" t="s">
        <v>323</v>
      </c>
    </row>
    <row r="33" spans="1:2" x14ac:dyDescent="0.25">
      <c r="A33" t="s">
        <v>324</v>
      </c>
    </row>
    <row r="35" spans="1:2" x14ac:dyDescent="0.25">
      <c r="A35" t="s">
        <v>325</v>
      </c>
    </row>
    <row r="37" spans="1:2" x14ac:dyDescent="0.25">
      <c r="A37" t="s">
        <v>326</v>
      </c>
    </row>
    <row r="39" spans="1:2" x14ac:dyDescent="0.25">
      <c r="A39" t="s">
        <v>327</v>
      </c>
    </row>
    <row r="40" spans="1:2" x14ac:dyDescent="0.25">
      <c r="B40" s="3"/>
    </row>
    <row r="41" spans="1:2" x14ac:dyDescent="0.25">
      <c r="B41" s="3"/>
    </row>
    <row r="42" spans="1:2" x14ac:dyDescent="0.25">
      <c r="B42" s="3"/>
    </row>
    <row r="43" spans="1:2" x14ac:dyDescent="0.25">
      <c r="B43" s="3"/>
    </row>
    <row r="44" spans="1:2" x14ac:dyDescent="0.25">
      <c r="B44" s="3"/>
    </row>
    <row r="45" spans="1:2" x14ac:dyDescent="0.25">
      <c r="B45" s="3"/>
    </row>
    <row r="46" spans="1:2" x14ac:dyDescent="0.25">
      <c r="B46" s="3"/>
    </row>
    <row r="47" spans="1:2" x14ac:dyDescent="0.25">
      <c r="B47" s="3"/>
    </row>
    <row r="48" spans="1:2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</sheetData>
  <mergeCells count="5">
    <mergeCell ref="A27:D27"/>
    <mergeCell ref="A28:D28"/>
    <mergeCell ref="A29:D29"/>
    <mergeCell ref="A30:D30"/>
    <mergeCell ref="A2:G2"/>
  </mergeCells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A8801179BC3F48B304208CC2C4028A" ma:contentTypeVersion="26" ma:contentTypeDescription="Create a new document." ma:contentTypeScope="" ma:versionID="456c0702b1f8e9dbc8248a0d09755e83">
  <xsd:schema xmlns:xsd="http://www.w3.org/2001/XMLSchema" xmlns:xs="http://www.w3.org/2001/XMLSchema" xmlns:p="http://schemas.microsoft.com/office/2006/metadata/properties" xmlns:ns1="http://schemas.microsoft.com/sharepoint/v3" xmlns:ns2="051ba86b-b837-436a-9167-f13d02113917" xmlns:ns3="9f7be66a-2bac-42ca-92fc-8cfcee081eca" targetNamespace="http://schemas.microsoft.com/office/2006/metadata/properties" ma:root="true" ma:fieldsID="c04524523551225eca9d63ce5001c2d1" ns1:_="" ns2:_="" ns3:_="">
    <xsd:import namespace="http://schemas.microsoft.com/sharepoint/v3"/>
    <xsd:import namespace="051ba86b-b837-436a-9167-f13d02113917"/>
    <xsd:import namespace="9f7be66a-2bac-42ca-92fc-8cfcee081e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UI" minOccurs="0"/>
                <xsd:element ref="ns2:MediaServiceLocation" minOccurs="0"/>
                <xsd:element ref="ns2:Preview" minOccurs="0"/>
                <xsd:element ref="ns2:MediaServiceBillingMetadata" minOccurs="0"/>
                <xsd:element ref="ns2:DocumentLifecycle" minOccurs="0"/>
                <xsd:element ref="ns2:DocumentType" minOccurs="0"/>
                <xsd:element ref="ns2:Details" minOccurs="0"/>
                <xsd:element ref="ns2:as_of_date" minOccurs="0"/>
                <xsd:element ref="ns2:original_fil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ba86b-b837-436a-9167-f13d021139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CUI" ma:index="24" nillable="true" ma:displayName="CUI" ma:format="Dropdown" ma:internalName="CUI">
      <xsd:simpleType>
        <xsd:restriction base="dms:Text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Preview" ma:index="26" nillable="true" ma:displayName="Preview" ma:format="Thumbnail" ma:internalName="Preview">
      <xsd:simpleType>
        <xsd:restriction base="dms:Unknown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DocumentLifecycle" ma:index="28" nillable="true" ma:displayName="DocumentLifecycle" ma:default="Draft" ma:format="Dropdown" ma:indexed="true" ma:internalName="DocumentLifecycle">
      <xsd:simpleType>
        <xsd:restriction base="dms:Choice">
          <xsd:enumeration value="Template"/>
          <xsd:enumeration value="Draft"/>
          <xsd:enumeration value="Working"/>
          <xsd:enumeration value="Review"/>
          <xsd:enumeration value="Final"/>
          <xsd:enumeration value="Superseded"/>
          <xsd:enumeration value="Obsolete"/>
        </xsd:restriction>
      </xsd:simpleType>
    </xsd:element>
    <xsd:element name="DocumentType" ma:index="29" nillable="true" ma:displayName="Document Type" ma:format="Dropdown" ma:internalName="DocumentType">
      <xsd:simpleType>
        <xsd:restriction base="dms:Choice">
          <xsd:enumeration value="409th Checklist"/>
          <xsd:enumeration value="Local Procurement Memo"/>
          <xsd:enumeration value="AT-OPSEC"/>
          <xsd:enumeration value="PR"/>
          <xsd:enumeration value="IGE"/>
          <xsd:enumeration value="ELIN"/>
          <xsd:enumeration value="Decision Memo"/>
          <xsd:enumeration value="CARB Slide"/>
          <xsd:enumeration value="URVS Approval"/>
          <xsd:enumeration value="CARB Approval"/>
          <xsd:enumeration value="Salient Characteristics"/>
          <xsd:enumeration value="SOW"/>
          <xsd:enumeration value="PWS"/>
          <xsd:enumeration value="RSCA"/>
          <xsd:enumeration value="Contract"/>
          <xsd:enumeration value="Supporting Documentation"/>
          <xsd:enumeration value="Long-term Lease Approval"/>
          <xsd:enumeration value="Market Research"/>
        </xsd:restriction>
      </xsd:simpleType>
    </xsd:element>
    <xsd:element name="Details" ma:index="30" nillable="true" ma:displayName="Details" ma:description="Describes the content of the file/folder" ma:format="Dropdown" ma:internalName="Details">
      <xsd:simpleType>
        <xsd:restriction base="dms:Text">
          <xsd:maxLength value="255"/>
        </xsd:restriction>
      </xsd:simpleType>
    </xsd:element>
    <xsd:element name="as_of_date" ma:index="31" nillable="true" ma:displayName="as_of_date" ma:description="The date for which the file is, regardless of when it was created or last saved." ma:format="DateOnly" ma:internalName="as_of_date">
      <xsd:simpleType>
        <xsd:restriction base="dms:DateTime"/>
      </xsd:simpleType>
    </xsd:element>
    <xsd:element name="original_filename" ma:index="32" nillable="true" ma:displayName="original_filename" ma:description="the original filename before power automate processing" ma:format="Dropdown" ma:internalName="original_fil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be66a-2bac-42ca-92fc-8cfcee081ec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cb0b1d6-1c06-4569-963f-2eaecea2a6a9}" ma:internalName="TaxCatchAll" ma:showField="CatchAllData" ma:web="9f7be66a-2bac-42ca-92fc-8cfcee081e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51ba86b-b837-436a-9167-f13d02113917">
      <Terms xmlns="http://schemas.microsoft.com/office/infopath/2007/PartnerControls"/>
    </lcf76f155ced4ddcb4097134ff3c332f>
    <CUI xmlns="051ba86b-b837-436a-9167-f13d02113917" xsi:nil="true"/>
    <as_of_date xmlns="051ba86b-b837-436a-9167-f13d02113917" xsi:nil="true"/>
    <DocumentLifecycle xmlns="051ba86b-b837-436a-9167-f13d02113917">Draft</DocumentLifecycle>
    <original_filename xmlns="051ba86b-b837-436a-9167-f13d02113917" xsi:nil="true"/>
    <Preview xmlns="051ba86b-b837-436a-9167-f13d02113917" xsi:nil="true"/>
    <DocumentType xmlns="051ba86b-b837-436a-9167-f13d02113917" xsi:nil="true"/>
    <TaxCatchAll xmlns="9f7be66a-2bac-42ca-92fc-8cfcee081eca" xsi:nil="true"/>
    <Details xmlns="051ba86b-b837-436a-9167-f13d02113917" xsi:nil="true"/>
  </documentManagement>
</p:properties>
</file>

<file path=customXml/itemProps1.xml><?xml version="1.0" encoding="utf-8"?>
<ds:datastoreItem xmlns:ds="http://schemas.openxmlformats.org/officeDocument/2006/customXml" ds:itemID="{67F04211-E2DF-47B1-81D3-ACCF58F32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1ba86b-b837-436a-9167-f13d02113917"/>
    <ds:schemaRef ds:uri="9f7be66a-2bac-42ca-92fc-8cfcee081e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2782F8-AD15-4F02-B44A-774C03FC6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6C4855-3D6F-410C-AE33-4744347D380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51ba86b-b837-436a-9167-f13d02113917"/>
    <ds:schemaRef ds:uri="9f7be66a-2bac-42ca-92fc-8cfcee081eca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</vt:lpstr>
      <vt:lpstr>0001</vt:lpstr>
      <vt:lpstr>0002</vt:lpstr>
      <vt:lpstr>0003</vt:lpstr>
      <vt:lpstr>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 Winkelmaier</dc:creator>
  <cp:lastModifiedBy>Marra, Kimberly L CIV USARMY 409 CONTR SPT BDE (USA)</cp:lastModifiedBy>
  <dcterms:created xsi:type="dcterms:W3CDTF">2015-06-05T18:19:34Z</dcterms:created>
  <dcterms:modified xsi:type="dcterms:W3CDTF">2026-03-16T13:16:50Z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0x0101002FA8801179BC3F48B304208CC2C4028A</vt:lpwstr>
  </property>
  <property fmtid="{D5CDD505-2E9C-101B-9397-08002B2CF9AE}" pid="3" name="MediaServiceImageTags">
    <vt:lpwstr/>
  </property>
</Properties>
</file>