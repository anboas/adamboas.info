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r.Emily.E\Documents\"/>
    </mc:Choice>
  </mc:AlternateContent>
  <xr:revisionPtr revIDLastSave="0" documentId="8_{8DA16CDC-F713-418F-AE73-4A2165E96D3C}" xr6:coauthVersionLast="47" xr6:coauthVersionMax="47" xr10:uidLastSave="{00000000-0000-0000-0000-000000000000}"/>
  <workbookProtection lockStructure="1"/>
  <bookViews>
    <workbookView xWindow="-28920" yWindow="-1245" windowWidth="29040" windowHeight="15720" firstSheet="1" activeTab="1" xr2:uid="{D097B45D-D8D2-404A-AD26-99E024D3151F}"/>
  </bookViews>
  <sheets>
    <sheet name="Instructions " sheetId="30" r:id="rId1"/>
    <sheet name="Base Period" sheetId="27" r:id="rId2"/>
    <sheet name="Option Period 1" sheetId="26" r:id="rId3"/>
    <sheet name="Option Period 2" sheetId="25" r:id="rId4"/>
    <sheet name="Option Period 3" sheetId="24" r:id="rId5"/>
    <sheet name="Option Period 4" sheetId="28" r:id="rId6"/>
    <sheet name="Summary" sheetId="29" r:id="rId7"/>
  </sheets>
  <definedNames>
    <definedName name="_xlnm._FilterDatabase" localSheetId="1" hidden="1">'Base Period'!$A$2:$AK$87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" i="27" l="1"/>
  <c r="D138" i="28"/>
  <c r="B142" i="28"/>
  <c r="B150" i="28"/>
  <c r="B158" i="28"/>
  <c r="D156" i="28"/>
  <c r="D157" i="28"/>
  <c r="D148" i="28"/>
  <c r="D149" i="28"/>
  <c r="D140" i="28"/>
  <c r="D141" i="28"/>
  <c r="B158" i="24"/>
  <c r="D156" i="24"/>
  <c r="D157" i="24"/>
  <c r="D148" i="24"/>
  <c r="D149" i="24"/>
  <c r="B142" i="24"/>
  <c r="E56" i="29" s="1"/>
  <c r="D140" i="24"/>
  <c r="D141" i="24"/>
  <c r="B158" i="25"/>
  <c r="B150" i="25"/>
  <c r="B142" i="25"/>
  <c r="D140" i="25"/>
  <c r="D141" i="25"/>
  <c r="D156" i="25"/>
  <c r="D157" i="25"/>
  <c r="D148" i="25"/>
  <c r="D149" i="25"/>
  <c r="B142" i="26"/>
  <c r="D140" i="26"/>
  <c r="D141" i="26"/>
  <c r="B158" i="26"/>
  <c r="B150" i="26"/>
  <c r="E27" i="29" s="1"/>
  <c r="D156" i="26"/>
  <c r="D157" i="26"/>
  <c r="D148" i="26"/>
  <c r="D149" i="26"/>
  <c r="B158" i="27"/>
  <c r="E13" i="29" s="1"/>
  <c r="D156" i="27"/>
  <c r="D157" i="27"/>
  <c r="B142" i="27"/>
  <c r="E11" i="29" s="1"/>
  <c r="B150" i="27"/>
  <c r="E12" i="29" s="1"/>
  <c r="D148" i="27"/>
  <c r="D149" i="27"/>
  <c r="D140" i="27"/>
  <c r="D141" i="27"/>
  <c r="K17" i="27"/>
  <c r="D155" i="25"/>
  <c r="D147" i="25"/>
  <c r="D139" i="25"/>
  <c r="D155" i="28"/>
  <c r="D147" i="28"/>
  <c r="D139" i="28"/>
  <c r="D139" i="24"/>
  <c r="D147" i="24"/>
  <c r="D155" i="24"/>
  <c r="D139" i="26"/>
  <c r="D155" i="26"/>
  <c r="D147" i="26"/>
  <c r="D139" i="27"/>
  <c r="D147" i="27"/>
  <c r="D155" i="27"/>
  <c r="I116" i="27"/>
  <c r="N100" i="27"/>
  <c r="M100" i="27"/>
  <c r="L100" i="27"/>
  <c r="K100" i="27"/>
  <c r="J100" i="27"/>
  <c r="I100" i="27"/>
  <c r="D133" i="28"/>
  <c r="D145" i="28"/>
  <c r="J7" i="28"/>
  <c r="J12" i="28"/>
  <c r="I9" i="28"/>
  <c r="E70" i="29"/>
  <c r="E55" i="29"/>
  <c r="E40" i="29"/>
  <c r="E25" i="29"/>
  <c r="E10" i="29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M62" i="25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N61" i="26"/>
  <c r="N62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D154" i="27"/>
  <c r="D146" i="27"/>
  <c r="D145" i="27"/>
  <c r="D138" i="27"/>
  <c r="D137" i="27"/>
  <c r="D133" i="27"/>
  <c r="B126" i="27"/>
  <c r="E8" i="29" s="1"/>
  <c r="N125" i="27"/>
  <c r="M125" i="27"/>
  <c r="L125" i="27"/>
  <c r="K125" i="27"/>
  <c r="J125" i="27"/>
  <c r="I125" i="27"/>
  <c r="N124" i="27"/>
  <c r="M124" i="27"/>
  <c r="L124" i="27"/>
  <c r="K124" i="27"/>
  <c r="J124" i="27"/>
  <c r="I124" i="27"/>
  <c r="N123" i="27"/>
  <c r="M123" i="27"/>
  <c r="L123" i="27"/>
  <c r="K123" i="27"/>
  <c r="J123" i="27"/>
  <c r="I123" i="27"/>
  <c r="N122" i="27"/>
  <c r="M122" i="27"/>
  <c r="L122" i="27"/>
  <c r="K122" i="27"/>
  <c r="J122" i="27"/>
  <c r="I122" i="27"/>
  <c r="N121" i="27"/>
  <c r="M121" i="27"/>
  <c r="L121" i="27"/>
  <c r="K121" i="27"/>
  <c r="J121" i="27"/>
  <c r="I121" i="27"/>
  <c r="N120" i="27"/>
  <c r="M120" i="27"/>
  <c r="L120" i="27"/>
  <c r="K120" i="27"/>
  <c r="J120" i="27"/>
  <c r="I120" i="27"/>
  <c r="N119" i="27"/>
  <c r="M119" i="27"/>
  <c r="L119" i="27"/>
  <c r="K119" i="27"/>
  <c r="J119" i="27"/>
  <c r="I119" i="27"/>
  <c r="N118" i="27"/>
  <c r="M118" i="27"/>
  <c r="L118" i="27"/>
  <c r="K118" i="27"/>
  <c r="J118" i="27"/>
  <c r="I118" i="27"/>
  <c r="N117" i="27"/>
  <c r="M117" i="27"/>
  <c r="L117" i="27"/>
  <c r="K117" i="27"/>
  <c r="J117" i="27"/>
  <c r="I117" i="27"/>
  <c r="N116" i="27"/>
  <c r="M116" i="27"/>
  <c r="L116" i="27"/>
  <c r="K116" i="27"/>
  <c r="J116" i="27"/>
  <c r="N115" i="27"/>
  <c r="M115" i="27"/>
  <c r="L115" i="27"/>
  <c r="K115" i="27"/>
  <c r="J115" i="27"/>
  <c r="I115" i="27"/>
  <c r="N114" i="27"/>
  <c r="M114" i="27"/>
  <c r="L114" i="27"/>
  <c r="K114" i="27"/>
  <c r="J114" i="27"/>
  <c r="I114" i="27"/>
  <c r="N113" i="27"/>
  <c r="M113" i="27"/>
  <c r="L113" i="27"/>
  <c r="K113" i="27"/>
  <c r="J113" i="27"/>
  <c r="I113" i="27"/>
  <c r="N112" i="27"/>
  <c r="M112" i="27"/>
  <c r="L112" i="27"/>
  <c r="K112" i="27"/>
  <c r="J112" i="27"/>
  <c r="I112" i="27"/>
  <c r="N111" i="27"/>
  <c r="M111" i="27"/>
  <c r="L111" i="27"/>
  <c r="K111" i="27"/>
  <c r="J111" i="27"/>
  <c r="I111" i="27"/>
  <c r="N110" i="27"/>
  <c r="M110" i="27"/>
  <c r="L110" i="27"/>
  <c r="K110" i="27"/>
  <c r="J110" i="27"/>
  <c r="I110" i="27"/>
  <c r="N109" i="27"/>
  <c r="M109" i="27"/>
  <c r="L109" i="27"/>
  <c r="K109" i="27"/>
  <c r="J109" i="27"/>
  <c r="I109" i="27"/>
  <c r="N108" i="27"/>
  <c r="M108" i="27"/>
  <c r="L108" i="27"/>
  <c r="K108" i="27"/>
  <c r="J108" i="27"/>
  <c r="I108" i="27"/>
  <c r="N107" i="27"/>
  <c r="M107" i="27"/>
  <c r="L107" i="27"/>
  <c r="K107" i="27"/>
  <c r="J107" i="27"/>
  <c r="I107" i="27"/>
  <c r="N106" i="27"/>
  <c r="M106" i="27"/>
  <c r="L106" i="27"/>
  <c r="K106" i="27"/>
  <c r="J106" i="27"/>
  <c r="I106" i="27"/>
  <c r="N105" i="27"/>
  <c r="M105" i="27"/>
  <c r="L105" i="27"/>
  <c r="K105" i="27"/>
  <c r="J105" i="27"/>
  <c r="I105" i="27"/>
  <c r="N104" i="27"/>
  <c r="M104" i="27"/>
  <c r="L104" i="27"/>
  <c r="K104" i="27"/>
  <c r="J104" i="27"/>
  <c r="I104" i="27"/>
  <c r="N103" i="27"/>
  <c r="M103" i="27"/>
  <c r="L103" i="27"/>
  <c r="K103" i="27"/>
  <c r="J103" i="27"/>
  <c r="I103" i="27"/>
  <c r="N102" i="27"/>
  <c r="M102" i="27"/>
  <c r="L102" i="27"/>
  <c r="K102" i="27"/>
  <c r="J102" i="27"/>
  <c r="I102" i="27"/>
  <c r="N101" i="27"/>
  <c r="M101" i="27"/>
  <c r="L101" i="27"/>
  <c r="K101" i="27"/>
  <c r="J101" i="27"/>
  <c r="I101" i="27"/>
  <c r="N99" i="27"/>
  <c r="M99" i="27"/>
  <c r="L99" i="27"/>
  <c r="K99" i="27"/>
  <c r="J99" i="27"/>
  <c r="I99" i="27"/>
  <c r="N98" i="27"/>
  <c r="M98" i="27"/>
  <c r="L98" i="27"/>
  <c r="K98" i="27"/>
  <c r="J98" i="27"/>
  <c r="I98" i="27"/>
  <c r="N97" i="27"/>
  <c r="M97" i="27"/>
  <c r="L97" i="27"/>
  <c r="K97" i="27"/>
  <c r="J97" i="27"/>
  <c r="I97" i="27"/>
  <c r="N96" i="27"/>
  <c r="M96" i="27"/>
  <c r="L96" i="27"/>
  <c r="K96" i="27"/>
  <c r="J96" i="27"/>
  <c r="I96" i="27"/>
  <c r="N95" i="27"/>
  <c r="M95" i="27"/>
  <c r="L95" i="27"/>
  <c r="K95" i="27"/>
  <c r="J95" i="27"/>
  <c r="I95" i="27"/>
  <c r="N94" i="27"/>
  <c r="M94" i="27"/>
  <c r="L94" i="27"/>
  <c r="K94" i="27"/>
  <c r="J94" i="27"/>
  <c r="I94" i="27"/>
  <c r="N93" i="27"/>
  <c r="M93" i="27"/>
  <c r="L93" i="27"/>
  <c r="K93" i="27"/>
  <c r="J93" i="27"/>
  <c r="I93" i="27"/>
  <c r="N92" i="27"/>
  <c r="M92" i="27"/>
  <c r="L92" i="27"/>
  <c r="K92" i="27"/>
  <c r="J92" i="27"/>
  <c r="I92" i="27"/>
  <c r="N91" i="27"/>
  <c r="M91" i="27"/>
  <c r="L91" i="27"/>
  <c r="K91" i="27"/>
  <c r="J91" i="27"/>
  <c r="I91" i="27"/>
  <c r="N90" i="27"/>
  <c r="M90" i="27"/>
  <c r="L90" i="27"/>
  <c r="K90" i="27"/>
  <c r="J90" i="27"/>
  <c r="I90" i="27"/>
  <c r="N89" i="27"/>
  <c r="M89" i="27"/>
  <c r="L89" i="27"/>
  <c r="K89" i="27"/>
  <c r="J89" i="27"/>
  <c r="I89" i="27"/>
  <c r="N88" i="27"/>
  <c r="M88" i="27"/>
  <c r="L88" i="27"/>
  <c r="K88" i="27"/>
  <c r="J88" i="27"/>
  <c r="I88" i="27"/>
  <c r="N87" i="27"/>
  <c r="M87" i="27"/>
  <c r="L87" i="27"/>
  <c r="K87" i="27"/>
  <c r="J87" i="27"/>
  <c r="I87" i="27"/>
  <c r="N86" i="27"/>
  <c r="M86" i="27"/>
  <c r="L86" i="27"/>
  <c r="K86" i="27"/>
  <c r="J86" i="27"/>
  <c r="I86" i="27"/>
  <c r="N85" i="27"/>
  <c r="M85" i="27"/>
  <c r="L85" i="27"/>
  <c r="K85" i="27"/>
  <c r="J85" i="27"/>
  <c r="I85" i="27"/>
  <c r="N84" i="27"/>
  <c r="M84" i="27"/>
  <c r="L84" i="27"/>
  <c r="K84" i="27"/>
  <c r="J84" i="27"/>
  <c r="I84" i="27"/>
  <c r="N83" i="27"/>
  <c r="M83" i="27"/>
  <c r="L83" i="27"/>
  <c r="K83" i="27"/>
  <c r="J83" i="27"/>
  <c r="I83" i="27"/>
  <c r="N82" i="27"/>
  <c r="M82" i="27"/>
  <c r="L82" i="27"/>
  <c r="K82" i="27"/>
  <c r="J82" i="27"/>
  <c r="I82" i="27"/>
  <c r="N81" i="27"/>
  <c r="M81" i="27"/>
  <c r="L81" i="27"/>
  <c r="K81" i="27"/>
  <c r="J81" i="27"/>
  <c r="I81" i="27"/>
  <c r="N80" i="27"/>
  <c r="M80" i="27"/>
  <c r="L80" i="27"/>
  <c r="K80" i="27"/>
  <c r="J80" i="27"/>
  <c r="I80" i="27"/>
  <c r="N79" i="27"/>
  <c r="M79" i="27"/>
  <c r="L79" i="27"/>
  <c r="K79" i="27"/>
  <c r="J79" i="27"/>
  <c r="I79" i="27"/>
  <c r="N78" i="27"/>
  <c r="M78" i="27"/>
  <c r="L78" i="27"/>
  <c r="K78" i="27"/>
  <c r="J78" i="27"/>
  <c r="I78" i="27"/>
  <c r="N77" i="27"/>
  <c r="M77" i="27"/>
  <c r="L77" i="27"/>
  <c r="K77" i="27"/>
  <c r="J77" i="27"/>
  <c r="I77" i="27"/>
  <c r="N76" i="27"/>
  <c r="M76" i="27"/>
  <c r="L76" i="27"/>
  <c r="K76" i="27"/>
  <c r="J76" i="27"/>
  <c r="I76" i="27"/>
  <c r="N75" i="27"/>
  <c r="M75" i="27"/>
  <c r="L75" i="27"/>
  <c r="K75" i="27"/>
  <c r="J75" i="27"/>
  <c r="I75" i="27"/>
  <c r="N74" i="27"/>
  <c r="M74" i="27"/>
  <c r="L74" i="27"/>
  <c r="K74" i="27"/>
  <c r="J74" i="27"/>
  <c r="I74" i="27"/>
  <c r="N73" i="27"/>
  <c r="M73" i="27"/>
  <c r="L73" i="27"/>
  <c r="K73" i="27"/>
  <c r="J73" i="27"/>
  <c r="I73" i="27"/>
  <c r="N72" i="27"/>
  <c r="M72" i="27"/>
  <c r="L72" i="27"/>
  <c r="K72" i="27"/>
  <c r="J72" i="27"/>
  <c r="I72" i="27"/>
  <c r="N71" i="27"/>
  <c r="M71" i="27"/>
  <c r="L71" i="27"/>
  <c r="K71" i="27"/>
  <c r="J71" i="27"/>
  <c r="I71" i="27"/>
  <c r="N70" i="27"/>
  <c r="M70" i="27"/>
  <c r="L70" i="27"/>
  <c r="K70" i="27"/>
  <c r="J70" i="27"/>
  <c r="I70" i="27"/>
  <c r="N69" i="27"/>
  <c r="M69" i="27"/>
  <c r="L69" i="27"/>
  <c r="K69" i="27"/>
  <c r="J69" i="27"/>
  <c r="I69" i="27"/>
  <c r="N68" i="27"/>
  <c r="M68" i="27"/>
  <c r="L68" i="27"/>
  <c r="K68" i="27"/>
  <c r="J68" i="27"/>
  <c r="I68" i="27"/>
  <c r="B63" i="27"/>
  <c r="E9" i="29" s="1"/>
  <c r="K62" i="27"/>
  <c r="J62" i="27"/>
  <c r="I62" i="27"/>
  <c r="K61" i="27"/>
  <c r="J61" i="27"/>
  <c r="I61" i="27"/>
  <c r="K60" i="27"/>
  <c r="J60" i="27"/>
  <c r="I60" i="27"/>
  <c r="K59" i="27"/>
  <c r="J59" i="27"/>
  <c r="I59" i="27"/>
  <c r="K58" i="27"/>
  <c r="J58" i="27"/>
  <c r="I58" i="27"/>
  <c r="K57" i="27"/>
  <c r="J57" i="27"/>
  <c r="I57" i="27"/>
  <c r="K56" i="27"/>
  <c r="J56" i="27"/>
  <c r="I56" i="27"/>
  <c r="K55" i="27"/>
  <c r="J55" i="27"/>
  <c r="I55" i="27"/>
  <c r="K54" i="27"/>
  <c r="J54" i="27"/>
  <c r="I54" i="27"/>
  <c r="K53" i="27"/>
  <c r="J53" i="27"/>
  <c r="I53" i="27"/>
  <c r="K52" i="27"/>
  <c r="J52" i="27"/>
  <c r="I52" i="27"/>
  <c r="K51" i="27"/>
  <c r="J51" i="27"/>
  <c r="I51" i="27"/>
  <c r="K50" i="27"/>
  <c r="J50" i="27"/>
  <c r="I50" i="27"/>
  <c r="K49" i="27"/>
  <c r="J49" i="27"/>
  <c r="I49" i="27"/>
  <c r="K48" i="27"/>
  <c r="J48" i="27"/>
  <c r="I48" i="27"/>
  <c r="K47" i="27"/>
  <c r="J47" i="27"/>
  <c r="I47" i="27"/>
  <c r="K46" i="27"/>
  <c r="J46" i="27"/>
  <c r="I46" i="27"/>
  <c r="K45" i="27"/>
  <c r="J45" i="27"/>
  <c r="I45" i="27"/>
  <c r="K44" i="27"/>
  <c r="J44" i="27"/>
  <c r="I44" i="27"/>
  <c r="K43" i="27"/>
  <c r="J43" i="27"/>
  <c r="I43" i="27"/>
  <c r="K42" i="27"/>
  <c r="J42" i="27"/>
  <c r="I42" i="27"/>
  <c r="K41" i="27"/>
  <c r="J41" i="27"/>
  <c r="I41" i="27"/>
  <c r="K40" i="27"/>
  <c r="J40" i="27"/>
  <c r="I40" i="27"/>
  <c r="K39" i="27"/>
  <c r="J39" i="27"/>
  <c r="I39" i="27"/>
  <c r="K38" i="27"/>
  <c r="J38" i="27"/>
  <c r="I38" i="27"/>
  <c r="K37" i="27"/>
  <c r="J37" i="27"/>
  <c r="I37" i="27"/>
  <c r="K36" i="27"/>
  <c r="J36" i="27"/>
  <c r="I36" i="27"/>
  <c r="K35" i="27"/>
  <c r="J35" i="27"/>
  <c r="I35" i="27"/>
  <c r="K34" i="27"/>
  <c r="J34" i="27"/>
  <c r="I34" i="27"/>
  <c r="K33" i="27"/>
  <c r="J33" i="27"/>
  <c r="I33" i="27"/>
  <c r="K32" i="27"/>
  <c r="J32" i="27"/>
  <c r="I32" i="27"/>
  <c r="K31" i="27"/>
  <c r="J31" i="27"/>
  <c r="I31" i="27"/>
  <c r="K30" i="27"/>
  <c r="J30" i="27"/>
  <c r="I30" i="27"/>
  <c r="K29" i="27"/>
  <c r="J29" i="27"/>
  <c r="I29" i="27"/>
  <c r="K28" i="27"/>
  <c r="J28" i="27"/>
  <c r="I28" i="27"/>
  <c r="K27" i="27"/>
  <c r="J27" i="27"/>
  <c r="I27" i="27"/>
  <c r="K26" i="27"/>
  <c r="J26" i="27"/>
  <c r="I26" i="27"/>
  <c r="K25" i="27"/>
  <c r="J25" i="27"/>
  <c r="I25" i="27"/>
  <c r="K24" i="27"/>
  <c r="J24" i="27"/>
  <c r="I24" i="27"/>
  <c r="K23" i="27"/>
  <c r="J23" i="27"/>
  <c r="I23" i="27"/>
  <c r="K22" i="27"/>
  <c r="J22" i="27"/>
  <c r="I22" i="27"/>
  <c r="K21" i="27"/>
  <c r="J21" i="27"/>
  <c r="I21" i="27"/>
  <c r="K20" i="27"/>
  <c r="J20" i="27"/>
  <c r="I20" i="27"/>
  <c r="K19" i="27"/>
  <c r="J19" i="27"/>
  <c r="I19" i="27"/>
  <c r="K18" i="27"/>
  <c r="J18" i="27"/>
  <c r="I18" i="27"/>
  <c r="J17" i="27"/>
  <c r="I17" i="27"/>
  <c r="K16" i="27"/>
  <c r="J16" i="27"/>
  <c r="I16" i="27"/>
  <c r="K15" i="27"/>
  <c r="J15" i="27"/>
  <c r="I15" i="27"/>
  <c r="K14" i="27"/>
  <c r="J14" i="27"/>
  <c r="I14" i="27"/>
  <c r="K13" i="27"/>
  <c r="J13" i="27"/>
  <c r="I13" i="27"/>
  <c r="K12" i="27"/>
  <c r="J12" i="27"/>
  <c r="I12" i="27"/>
  <c r="K11" i="27"/>
  <c r="J11" i="27"/>
  <c r="I11" i="27"/>
  <c r="K10" i="27"/>
  <c r="J10" i="27"/>
  <c r="I10" i="27"/>
  <c r="K9" i="27"/>
  <c r="J9" i="27"/>
  <c r="I9" i="27"/>
  <c r="K8" i="27"/>
  <c r="J8" i="27"/>
  <c r="I8" i="27"/>
  <c r="K7" i="27"/>
  <c r="J7" i="27"/>
  <c r="I7" i="27"/>
  <c r="K6" i="27"/>
  <c r="J6" i="27"/>
  <c r="I6" i="27"/>
  <c r="N5" i="27"/>
  <c r="M5" i="27"/>
  <c r="L5" i="27"/>
  <c r="K5" i="27"/>
  <c r="J5" i="27"/>
  <c r="I5" i="27"/>
  <c r="E28" i="29"/>
  <c r="D154" i="26"/>
  <c r="D153" i="26"/>
  <c r="D146" i="26"/>
  <c r="D145" i="26"/>
  <c r="E26" i="29"/>
  <c r="D138" i="26"/>
  <c r="D137" i="26"/>
  <c r="D133" i="26"/>
  <c r="B126" i="26"/>
  <c r="E23" i="29" s="1"/>
  <c r="N125" i="26"/>
  <c r="M125" i="26"/>
  <c r="L125" i="26"/>
  <c r="K125" i="26"/>
  <c r="J125" i="26"/>
  <c r="I125" i="26"/>
  <c r="N124" i="26"/>
  <c r="M124" i="26"/>
  <c r="L124" i="26"/>
  <c r="K124" i="26"/>
  <c r="J124" i="26"/>
  <c r="I124" i="26"/>
  <c r="N123" i="26"/>
  <c r="M123" i="26"/>
  <c r="L123" i="26"/>
  <c r="K123" i="26"/>
  <c r="J123" i="26"/>
  <c r="I123" i="26"/>
  <c r="N122" i="26"/>
  <c r="M122" i="26"/>
  <c r="L122" i="26"/>
  <c r="K122" i="26"/>
  <c r="J122" i="26"/>
  <c r="I122" i="26"/>
  <c r="N121" i="26"/>
  <c r="M121" i="26"/>
  <c r="L121" i="26"/>
  <c r="K121" i="26"/>
  <c r="J121" i="26"/>
  <c r="I121" i="26"/>
  <c r="N120" i="26"/>
  <c r="M120" i="26"/>
  <c r="L120" i="26"/>
  <c r="K120" i="26"/>
  <c r="J120" i="26"/>
  <c r="I120" i="26"/>
  <c r="N119" i="26"/>
  <c r="M119" i="26"/>
  <c r="L119" i="26"/>
  <c r="K119" i="26"/>
  <c r="J119" i="26"/>
  <c r="I119" i="26"/>
  <c r="N118" i="26"/>
  <c r="M118" i="26"/>
  <c r="L118" i="26"/>
  <c r="K118" i="26"/>
  <c r="J118" i="26"/>
  <c r="I118" i="26"/>
  <c r="N117" i="26"/>
  <c r="M117" i="26"/>
  <c r="L117" i="26"/>
  <c r="K117" i="26"/>
  <c r="J117" i="26"/>
  <c r="I117" i="26"/>
  <c r="N116" i="26"/>
  <c r="M116" i="26"/>
  <c r="L116" i="26"/>
  <c r="K116" i="26"/>
  <c r="J116" i="26"/>
  <c r="I116" i="26"/>
  <c r="N115" i="26"/>
  <c r="M115" i="26"/>
  <c r="L115" i="26"/>
  <c r="K115" i="26"/>
  <c r="J115" i="26"/>
  <c r="I115" i="26"/>
  <c r="N114" i="26"/>
  <c r="M114" i="26"/>
  <c r="L114" i="26"/>
  <c r="K114" i="26"/>
  <c r="J114" i="26"/>
  <c r="I114" i="26"/>
  <c r="N113" i="26"/>
  <c r="M113" i="26"/>
  <c r="L113" i="26"/>
  <c r="K113" i="26"/>
  <c r="J113" i="26"/>
  <c r="I113" i="26"/>
  <c r="N112" i="26"/>
  <c r="M112" i="26"/>
  <c r="L112" i="26"/>
  <c r="K112" i="26"/>
  <c r="J112" i="26"/>
  <c r="I112" i="26"/>
  <c r="N111" i="26"/>
  <c r="M111" i="26"/>
  <c r="L111" i="26"/>
  <c r="K111" i="26"/>
  <c r="J111" i="26"/>
  <c r="I111" i="26"/>
  <c r="N110" i="26"/>
  <c r="M110" i="26"/>
  <c r="L110" i="26"/>
  <c r="K110" i="26"/>
  <c r="J110" i="26"/>
  <c r="I110" i="26"/>
  <c r="N109" i="26"/>
  <c r="M109" i="26"/>
  <c r="L109" i="26"/>
  <c r="K109" i="26"/>
  <c r="J109" i="26"/>
  <c r="I109" i="26"/>
  <c r="N108" i="26"/>
  <c r="M108" i="26"/>
  <c r="L108" i="26"/>
  <c r="K108" i="26"/>
  <c r="J108" i="26"/>
  <c r="I108" i="26"/>
  <c r="N107" i="26"/>
  <c r="M107" i="26"/>
  <c r="L107" i="26"/>
  <c r="K107" i="26"/>
  <c r="J107" i="26"/>
  <c r="I107" i="26"/>
  <c r="N106" i="26"/>
  <c r="M106" i="26"/>
  <c r="L106" i="26"/>
  <c r="K106" i="26"/>
  <c r="J106" i="26"/>
  <c r="I106" i="26"/>
  <c r="N105" i="26"/>
  <c r="M105" i="26"/>
  <c r="L105" i="26"/>
  <c r="K105" i="26"/>
  <c r="J105" i="26"/>
  <c r="I105" i="26"/>
  <c r="N104" i="26"/>
  <c r="M104" i="26"/>
  <c r="L104" i="26"/>
  <c r="K104" i="26"/>
  <c r="J104" i="26"/>
  <c r="I104" i="26"/>
  <c r="N103" i="26"/>
  <c r="M103" i="26"/>
  <c r="L103" i="26"/>
  <c r="K103" i="26"/>
  <c r="J103" i="26"/>
  <c r="I103" i="26"/>
  <c r="N102" i="26"/>
  <c r="M102" i="26"/>
  <c r="L102" i="26"/>
  <c r="K102" i="26"/>
  <c r="J102" i="26"/>
  <c r="I102" i="26"/>
  <c r="N101" i="26"/>
  <c r="M101" i="26"/>
  <c r="L101" i="26"/>
  <c r="K101" i="26"/>
  <c r="J101" i="26"/>
  <c r="I101" i="26"/>
  <c r="N100" i="26"/>
  <c r="M100" i="26"/>
  <c r="L100" i="26"/>
  <c r="K100" i="26"/>
  <c r="J100" i="26"/>
  <c r="I100" i="26"/>
  <c r="N99" i="26"/>
  <c r="M99" i="26"/>
  <c r="L99" i="26"/>
  <c r="K99" i="26"/>
  <c r="J99" i="26"/>
  <c r="I99" i="26"/>
  <c r="N98" i="26"/>
  <c r="M98" i="26"/>
  <c r="L98" i="26"/>
  <c r="K98" i="26"/>
  <c r="J98" i="26"/>
  <c r="I98" i="26"/>
  <c r="N97" i="26"/>
  <c r="M97" i="26"/>
  <c r="L97" i="26"/>
  <c r="K97" i="26"/>
  <c r="J97" i="26"/>
  <c r="I97" i="26"/>
  <c r="N96" i="26"/>
  <c r="M96" i="26"/>
  <c r="L96" i="26"/>
  <c r="K96" i="26"/>
  <c r="J96" i="26"/>
  <c r="I96" i="26"/>
  <c r="N95" i="26"/>
  <c r="M95" i="26"/>
  <c r="L95" i="26"/>
  <c r="K95" i="26"/>
  <c r="J95" i="26"/>
  <c r="I95" i="26"/>
  <c r="N94" i="26"/>
  <c r="M94" i="26"/>
  <c r="L94" i="26"/>
  <c r="K94" i="26"/>
  <c r="J94" i="26"/>
  <c r="I94" i="26"/>
  <c r="N93" i="26"/>
  <c r="M93" i="26"/>
  <c r="L93" i="26"/>
  <c r="K93" i="26"/>
  <c r="J93" i="26"/>
  <c r="I93" i="26"/>
  <c r="N92" i="26"/>
  <c r="M92" i="26"/>
  <c r="L92" i="26"/>
  <c r="K92" i="26"/>
  <c r="J92" i="26"/>
  <c r="I92" i="26"/>
  <c r="N91" i="26"/>
  <c r="M91" i="26"/>
  <c r="L91" i="26"/>
  <c r="K91" i="26"/>
  <c r="J91" i="26"/>
  <c r="I91" i="26"/>
  <c r="N90" i="26"/>
  <c r="M90" i="26"/>
  <c r="L90" i="26"/>
  <c r="K90" i="26"/>
  <c r="J90" i="26"/>
  <c r="I90" i="26"/>
  <c r="N89" i="26"/>
  <c r="M89" i="26"/>
  <c r="L89" i="26"/>
  <c r="K89" i="26"/>
  <c r="J89" i="26"/>
  <c r="I89" i="26"/>
  <c r="N88" i="26"/>
  <c r="M88" i="26"/>
  <c r="L88" i="26"/>
  <c r="K88" i="26"/>
  <c r="J88" i="26"/>
  <c r="I88" i="26"/>
  <c r="N87" i="26"/>
  <c r="M87" i="26"/>
  <c r="L87" i="26"/>
  <c r="K87" i="26"/>
  <c r="J87" i="26"/>
  <c r="I87" i="26"/>
  <c r="N86" i="26"/>
  <c r="M86" i="26"/>
  <c r="L86" i="26"/>
  <c r="K86" i="26"/>
  <c r="J86" i="26"/>
  <c r="I86" i="26"/>
  <c r="N85" i="26"/>
  <c r="M85" i="26"/>
  <c r="L85" i="26"/>
  <c r="K85" i="26"/>
  <c r="J85" i="26"/>
  <c r="I85" i="26"/>
  <c r="N84" i="26"/>
  <c r="M84" i="26"/>
  <c r="L84" i="26"/>
  <c r="K84" i="26"/>
  <c r="J84" i="26"/>
  <c r="I84" i="26"/>
  <c r="N83" i="26"/>
  <c r="M83" i="26"/>
  <c r="L83" i="26"/>
  <c r="K83" i="26"/>
  <c r="J83" i="26"/>
  <c r="I83" i="26"/>
  <c r="N82" i="26"/>
  <c r="M82" i="26"/>
  <c r="L82" i="26"/>
  <c r="K82" i="26"/>
  <c r="J82" i="26"/>
  <c r="I82" i="26"/>
  <c r="N81" i="26"/>
  <c r="M81" i="26"/>
  <c r="L81" i="26"/>
  <c r="K81" i="26"/>
  <c r="J81" i="26"/>
  <c r="I81" i="26"/>
  <c r="N80" i="26"/>
  <c r="M80" i="26"/>
  <c r="L80" i="26"/>
  <c r="K80" i="26"/>
  <c r="J80" i="26"/>
  <c r="I80" i="26"/>
  <c r="N79" i="26"/>
  <c r="M79" i="26"/>
  <c r="L79" i="26"/>
  <c r="K79" i="26"/>
  <c r="J79" i="26"/>
  <c r="I79" i="26"/>
  <c r="N78" i="26"/>
  <c r="M78" i="26"/>
  <c r="L78" i="26"/>
  <c r="K78" i="26"/>
  <c r="J78" i="26"/>
  <c r="I78" i="26"/>
  <c r="N77" i="26"/>
  <c r="M77" i="26"/>
  <c r="L77" i="26"/>
  <c r="K77" i="26"/>
  <c r="J77" i="26"/>
  <c r="I77" i="26"/>
  <c r="N76" i="26"/>
  <c r="M76" i="26"/>
  <c r="L76" i="26"/>
  <c r="K76" i="26"/>
  <c r="J76" i="26"/>
  <c r="I76" i="26"/>
  <c r="N75" i="26"/>
  <c r="M75" i="26"/>
  <c r="L75" i="26"/>
  <c r="K75" i="26"/>
  <c r="J75" i="26"/>
  <c r="I75" i="26"/>
  <c r="N74" i="26"/>
  <c r="M74" i="26"/>
  <c r="L74" i="26"/>
  <c r="K74" i="26"/>
  <c r="J74" i="26"/>
  <c r="I74" i="26"/>
  <c r="N73" i="26"/>
  <c r="M73" i="26"/>
  <c r="L73" i="26"/>
  <c r="K73" i="26"/>
  <c r="J73" i="26"/>
  <c r="I73" i="26"/>
  <c r="N72" i="26"/>
  <c r="M72" i="26"/>
  <c r="L72" i="26"/>
  <c r="K72" i="26"/>
  <c r="J72" i="26"/>
  <c r="I72" i="26"/>
  <c r="N71" i="26"/>
  <c r="M71" i="26"/>
  <c r="L71" i="26"/>
  <c r="K71" i="26"/>
  <c r="J71" i="26"/>
  <c r="I71" i="26"/>
  <c r="N70" i="26"/>
  <c r="M70" i="26"/>
  <c r="L70" i="26"/>
  <c r="K70" i="26"/>
  <c r="J70" i="26"/>
  <c r="I70" i="26"/>
  <c r="N69" i="26"/>
  <c r="M69" i="26"/>
  <c r="L69" i="26"/>
  <c r="K69" i="26"/>
  <c r="J69" i="26"/>
  <c r="I69" i="26"/>
  <c r="N68" i="26"/>
  <c r="M68" i="26"/>
  <c r="L68" i="26"/>
  <c r="K68" i="26"/>
  <c r="J68" i="26"/>
  <c r="I68" i="26"/>
  <c r="B63" i="26"/>
  <c r="E24" i="29" s="1"/>
  <c r="K62" i="26"/>
  <c r="J62" i="26"/>
  <c r="I62" i="26"/>
  <c r="K61" i="26"/>
  <c r="J61" i="26"/>
  <c r="I61" i="26"/>
  <c r="K60" i="26"/>
  <c r="J60" i="26"/>
  <c r="I60" i="26"/>
  <c r="K59" i="26"/>
  <c r="J59" i="26"/>
  <c r="I59" i="26"/>
  <c r="K58" i="26"/>
  <c r="J58" i="26"/>
  <c r="I58" i="26"/>
  <c r="K57" i="26"/>
  <c r="J57" i="26"/>
  <c r="I57" i="26"/>
  <c r="K56" i="26"/>
  <c r="J56" i="26"/>
  <c r="I56" i="26"/>
  <c r="K55" i="26"/>
  <c r="J55" i="26"/>
  <c r="I55" i="26"/>
  <c r="K54" i="26"/>
  <c r="J54" i="26"/>
  <c r="I54" i="26"/>
  <c r="K53" i="26"/>
  <c r="J53" i="26"/>
  <c r="I53" i="26"/>
  <c r="K52" i="26"/>
  <c r="J52" i="26"/>
  <c r="I52" i="26"/>
  <c r="K51" i="26"/>
  <c r="J51" i="26"/>
  <c r="I51" i="26"/>
  <c r="K50" i="26"/>
  <c r="J50" i="26"/>
  <c r="I50" i="26"/>
  <c r="K49" i="26"/>
  <c r="J49" i="26"/>
  <c r="I49" i="26"/>
  <c r="K48" i="26"/>
  <c r="J48" i="26"/>
  <c r="I48" i="26"/>
  <c r="K47" i="26"/>
  <c r="J47" i="26"/>
  <c r="I47" i="26"/>
  <c r="K46" i="26"/>
  <c r="J46" i="26"/>
  <c r="I46" i="26"/>
  <c r="K45" i="26"/>
  <c r="J45" i="26"/>
  <c r="I45" i="26"/>
  <c r="K44" i="26"/>
  <c r="J44" i="26"/>
  <c r="I44" i="26"/>
  <c r="K43" i="26"/>
  <c r="J43" i="26"/>
  <c r="I43" i="26"/>
  <c r="K42" i="26"/>
  <c r="J42" i="26"/>
  <c r="I42" i="26"/>
  <c r="K41" i="26"/>
  <c r="J41" i="26"/>
  <c r="I41" i="26"/>
  <c r="K40" i="26"/>
  <c r="J40" i="26"/>
  <c r="I40" i="26"/>
  <c r="K39" i="26"/>
  <c r="J39" i="26"/>
  <c r="I39" i="26"/>
  <c r="K38" i="26"/>
  <c r="J38" i="26"/>
  <c r="I38" i="26"/>
  <c r="K37" i="26"/>
  <c r="J37" i="26"/>
  <c r="I37" i="26"/>
  <c r="K36" i="26"/>
  <c r="J36" i="26"/>
  <c r="I36" i="26"/>
  <c r="K35" i="26"/>
  <c r="J35" i="26"/>
  <c r="I35" i="26"/>
  <c r="K34" i="26"/>
  <c r="J34" i="26"/>
  <c r="I34" i="26"/>
  <c r="K33" i="26"/>
  <c r="J33" i="26"/>
  <c r="I33" i="26"/>
  <c r="K32" i="26"/>
  <c r="J32" i="26"/>
  <c r="I32" i="26"/>
  <c r="K31" i="26"/>
  <c r="J31" i="26"/>
  <c r="I31" i="26"/>
  <c r="K30" i="26"/>
  <c r="J30" i="26"/>
  <c r="I30" i="26"/>
  <c r="K29" i="26"/>
  <c r="J29" i="26"/>
  <c r="I29" i="26"/>
  <c r="K28" i="26"/>
  <c r="J28" i="26"/>
  <c r="I28" i="26"/>
  <c r="K27" i="26"/>
  <c r="J27" i="26"/>
  <c r="I27" i="26"/>
  <c r="K26" i="26"/>
  <c r="J26" i="26"/>
  <c r="I26" i="26"/>
  <c r="K25" i="26"/>
  <c r="J25" i="26"/>
  <c r="I25" i="26"/>
  <c r="K24" i="26"/>
  <c r="J24" i="26"/>
  <c r="I24" i="26"/>
  <c r="K23" i="26"/>
  <c r="J23" i="26"/>
  <c r="I23" i="26"/>
  <c r="K22" i="26"/>
  <c r="J22" i="26"/>
  <c r="I22" i="26"/>
  <c r="K21" i="26"/>
  <c r="J21" i="26"/>
  <c r="I21" i="26"/>
  <c r="K20" i="26"/>
  <c r="J20" i="26"/>
  <c r="I20" i="26"/>
  <c r="K19" i="26"/>
  <c r="J19" i="26"/>
  <c r="I19" i="26"/>
  <c r="K18" i="26"/>
  <c r="J18" i="26"/>
  <c r="I18" i="26"/>
  <c r="K17" i="26"/>
  <c r="J17" i="26"/>
  <c r="I17" i="26"/>
  <c r="K16" i="26"/>
  <c r="J16" i="26"/>
  <c r="I16" i="26"/>
  <c r="K15" i="26"/>
  <c r="J15" i="26"/>
  <c r="I15" i="26"/>
  <c r="K14" i="26"/>
  <c r="J14" i="26"/>
  <c r="I14" i="26"/>
  <c r="K13" i="26"/>
  <c r="J13" i="26"/>
  <c r="I13" i="26"/>
  <c r="K12" i="26"/>
  <c r="J12" i="26"/>
  <c r="I12" i="26"/>
  <c r="K11" i="26"/>
  <c r="J11" i="26"/>
  <c r="I11" i="26"/>
  <c r="K10" i="26"/>
  <c r="J10" i="26"/>
  <c r="I10" i="26"/>
  <c r="K9" i="26"/>
  <c r="J9" i="26"/>
  <c r="I9" i="26"/>
  <c r="K8" i="26"/>
  <c r="J8" i="26"/>
  <c r="I8" i="26"/>
  <c r="K7" i="26"/>
  <c r="J7" i="26"/>
  <c r="I7" i="26"/>
  <c r="K6" i="26"/>
  <c r="J6" i="26"/>
  <c r="I6" i="26"/>
  <c r="N5" i="26"/>
  <c r="M5" i="26"/>
  <c r="L5" i="26"/>
  <c r="K5" i="26"/>
  <c r="J5" i="26"/>
  <c r="I5" i="26"/>
  <c r="E43" i="29"/>
  <c r="D154" i="25"/>
  <c r="D153" i="25"/>
  <c r="E42" i="29"/>
  <c r="D146" i="25"/>
  <c r="D145" i="25"/>
  <c r="E41" i="29"/>
  <c r="D138" i="25"/>
  <c r="D137" i="25"/>
  <c r="D133" i="25"/>
  <c r="B126" i="25"/>
  <c r="E38" i="29" s="1"/>
  <c r="N125" i="25"/>
  <c r="M125" i="25"/>
  <c r="L125" i="25"/>
  <c r="K125" i="25"/>
  <c r="J125" i="25"/>
  <c r="I125" i="25"/>
  <c r="N124" i="25"/>
  <c r="M124" i="25"/>
  <c r="L124" i="25"/>
  <c r="K124" i="25"/>
  <c r="J124" i="25"/>
  <c r="I124" i="25"/>
  <c r="N123" i="25"/>
  <c r="M123" i="25"/>
  <c r="L123" i="25"/>
  <c r="K123" i="25"/>
  <c r="J123" i="25"/>
  <c r="I123" i="25"/>
  <c r="N122" i="25"/>
  <c r="M122" i="25"/>
  <c r="L122" i="25"/>
  <c r="K122" i="25"/>
  <c r="J122" i="25"/>
  <c r="I122" i="25"/>
  <c r="N121" i="25"/>
  <c r="M121" i="25"/>
  <c r="L121" i="25"/>
  <c r="K121" i="25"/>
  <c r="J121" i="25"/>
  <c r="I121" i="25"/>
  <c r="N120" i="25"/>
  <c r="M120" i="25"/>
  <c r="L120" i="25"/>
  <c r="K120" i="25"/>
  <c r="J120" i="25"/>
  <c r="I120" i="25"/>
  <c r="N119" i="25"/>
  <c r="M119" i="25"/>
  <c r="L119" i="25"/>
  <c r="K119" i="25"/>
  <c r="J119" i="25"/>
  <c r="I119" i="25"/>
  <c r="N118" i="25"/>
  <c r="M118" i="25"/>
  <c r="L118" i="25"/>
  <c r="K118" i="25"/>
  <c r="J118" i="25"/>
  <c r="I118" i="25"/>
  <c r="N117" i="25"/>
  <c r="M117" i="25"/>
  <c r="L117" i="25"/>
  <c r="K117" i="25"/>
  <c r="J117" i="25"/>
  <c r="I117" i="25"/>
  <c r="N116" i="25"/>
  <c r="M116" i="25"/>
  <c r="L116" i="25"/>
  <c r="K116" i="25"/>
  <c r="J116" i="25"/>
  <c r="I116" i="25"/>
  <c r="N115" i="25"/>
  <c r="M115" i="25"/>
  <c r="L115" i="25"/>
  <c r="K115" i="25"/>
  <c r="J115" i="25"/>
  <c r="I115" i="25"/>
  <c r="N114" i="25"/>
  <c r="M114" i="25"/>
  <c r="L114" i="25"/>
  <c r="K114" i="25"/>
  <c r="J114" i="25"/>
  <c r="I114" i="25"/>
  <c r="N113" i="25"/>
  <c r="M113" i="25"/>
  <c r="L113" i="25"/>
  <c r="K113" i="25"/>
  <c r="J113" i="25"/>
  <c r="I113" i="25"/>
  <c r="N112" i="25"/>
  <c r="M112" i="25"/>
  <c r="L112" i="25"/>
  <c r="K112" i="25"/>
  <c r="J112" i="25"/>
  <c r="I112" i="25"/>
  <c r="N111" i="25"/>
  <c r="M111" i="25"/>
  <c r="L111" i="25"/>
  <c r="K111" i="25"/>
  <c r="J111" i="25"/>
  <c r="I111" i="25"/>
  <c r="N110" i="25"/>
  <c r="M110" i="25"/>
  <c r="L110" i="25"/>
  <c r="K110" i="25"/>
  <c r="J110" i="25"/>
  <c r="I110" i="25"/>
  <c r="N109" i="25"/>
  <c r="M109" i="25"/>
  <c r="L109" i="25"/>
  <c r="K109" i="25"/>
  <c r="J109" i="25"/>
  <c r="I109" i="25"/>
  <c r="N108" i="25"/>
  <c r="M108" i="25"/>
  <c r="L108" i="25"/>
  <c r="K108" i="25"/>
  <c r="J108" i="25"/>
  <c r="I108" i="25"/>
  <c r="N107" i="25"/>
  <c r="M107" i="25"/>
  <c r="L107" i="25"/>
  <c r="K107" i="25"/>
  <c r="J107" i="25"/>
  <c r="I107" i="25"/>
  <c r="N106" i="25"/>
  <c r="M106" i="25"/>
  <c r="L106" i="25"/>
  <c r="K106" i="25"/>
  <c r="J106" i="25"/>
  <c r="I106" i="25"/>
  <c r="N105" i="25"/>
  <c r="M105" i="25"/>
  <c r="L105" i="25"/>
  <c r="K105" i="25"/>
  <c r="J105" i="25"/>
  <c r="I105" i="25"/>
  <c r="N104" i="25"/>
  <c r="M104" i="25"/>
  <c r="L104" i="25"/>
  <c r="K104" i="25"/>
  <c r="J104" i="25"/>
  <c r="I104" i="25"/>
  <c r="N103" i="25"/>
  <c r="M103" i="25"/>
  <c r="L103" i="25"/>
  <c r="K103" i="25"/>
  <c r="J103" i="25"/>
  <c r="I103" i="25"/>
  <c r="N102" i="25"/>
  <c r="M102" i="25"/>
  <c r="L102" i="25"/>
  <c r="K102" i="25"/>
  <c r="J102" i="25"/>
  <c r="I102" i="25"/>
  <c r="N101" i="25"/>
  <c r="M101" i="25"/>
  <c r="L101" i="25"/>
  <c r="K101" i="25"/>
  <c r="J101" i="25"/>
  <c r="I101" i="25"/>
  <c r="N100" i="25"/>
  <c r="M100" i="25"/>
  <c r="L100" i="25"/>
  <c r="K100" i="25"/>
  <c r="J100" i="25"/>
  <c r="I100" i="25"/>
  <c r="N99" i="25"/>
  <c r="M99" i="25"/>
  <c r="L99" i="25"/>
  <c r="K99" i="25"/>
  <c r="J99" i="25"/>
  <c r="I99" i="25"/>
  <c r="N98" i="25"/>
  <c r="M98" i="25"/>
  <c r="L98" i="25"/>
  <c r="K98" i="25"/>
  <c r="J98" i="25"/>
  <c r="I98" i="25"/>
  <c r="N97" i="25"/>
  <c r="M97" i="25"/>
  <c r="L97" i="25"/>
  <c r="K97" i="25"/>
  <c r="J97" i="25"/>
  <c r="I97" i="25"/>
  <c r="N96" i="25"/>
  <c r="M96" i="25"/>
  <c r="L96" i="25"/>
  <c r="K96" i="25"/>
  <c r="J96" i="25"/>
  <c r="I96" i="25"/>
  <c r="N95" i="25"/>
  <c r="M95" i="25"/>
  <c r="L95" i="25"/>
  <c r="K95" i="25"/>
  <c r="J95" i="25"/>
  <c r="I95" i="25"/>
  <c r="N94" i="25"/>
  <c r="M94" i="25"/>
  <c r="L94" i="25"/>
  <c r="K94" i="25"/>
  <c r="J94" i="25"/>
  <c r="I94" i="25"/>
  <c r="N93" i="25"/>
  <c r="M93" i="25"/>
  <c r="L93" i="25"/>
  <c r="K93" i="25"/>
  <c r="J93" i="25"/>
  <c r="I93" i="25"/>
  <c r="N92" i="25"/>
  <c r="M92" i="25"/>
  <c r="L92" i="25"/>
  <c r="K92" i="25"/>
  <c r="J92" i="25"/>
  <c r="I92" i="25"/>
  <c r="N91" i="25"/>
  <c r="M91" i="25"/>
  <c r="L91" i="25"/>
  <c r="K91" i="25"/>
  <c r="J91" i="25"/>
  <c r="I91" i="25"/>
  <c r="N90" i="25"/>
  <c r="M90" i="25"/>
  <c r="L90" i="25"/>
  <c r="K90" i="25"/>
  <c r="J90" i="25"/>
  <c r="I90" i="25"/>
  <c r="N89" i="25"/>
  <c r="M89" i="25"/>
  <c r="L89" i="25"/>
  <c r="K89" i="25"/>
  <c r="J89" i="25"/>
  <c r="I89" i="25"/>
  <c r="N88" i="25"/>
  <c r="M88" i="25"/>
  <c r="L88" i="25"/>
  <c r="K88" i="25"/>
  <c r="J88" i="25"/>
  <c r="I88" i="25"/>
  <c r="N87" i="25"/>
  <c r="M87" i="25"/>
  <c r="L87" i="25"/>
  <c r="K87" i="25"/>
  <c r="J87" i="25"/>
  <c r="I87" i="25"/>
  <c r="N86" i="25"/>
  <c r="M86" i="25"/>
  <c r="L86" i="25"/>
  <c r="K86" i="25"/>
  <c r="J86" i="25"/>
  <c r="I86" i="25"/>
  <c r="N85" i="25"/>
  <c r="M85" i="25"/>
  <c r="L85" i="25"/>
  <c r="K85" i="25"/>
  <c r="J85" i="25"/>
  <c r="I85" i="25"/>
  <c r="N84" i="25"/>
  <c r="M84" i="25"/>
  <c r="L84" i="25"/>
  <c r="K84" i="25"/>
  <c r="J84" i="25"/>
  <c r="I84" i="25"/>
  <c r="N83" i="25"/>
  <c r="M83" i="25"/>
  <c r="L83" i="25"/>
  <c r="K83" i="25"/>
  <c r="J83" i="25"/>
  <c r="I83" i="25"/>
  <c r="N82" i="25"/>
  <c r="M82" i="25"/>
  <c r="L82" i="25"/>
  <c r="K82" i="25"/>
  <c r="J82" i="25"/>
  <c r="I82" i="25"/>
  <c r="N81" i="25"/>
  <c r="M81" i="25"/>
  <c r="L81" i="25"/>
  <c r="K81" i="25"/>
  <c r="J81" i="25"/>
  <c r="I81" i="25"/>
  <c r="N80" i="25"/>
  <c r="M80" i="25"/>
  <c r="L80" i="25"/>
  <c r="K80" i="25"/>
  <c r="J80" i="25"/>
  <c r="I80" i="25"/>
  <c r="N79" i="25"/>
  <c r="M79" i="25"/>
  <c r="L79" i="25"/>
  <c r="K79" i="25"/>
  <c r="J79" i="25"/>
  <c r="I79" i="25"/>
  <c r="N78" i="25"/>
  <c r="M78" i="25"/>
  <c r="L78" i="25"/>
  <c r="K78" i="25"/>
  <c r="J78" i="25"/>
  <c r="I78" i="25"/>
  <c r="N77" i="25"/>
  <c r="M77" i="25"/>
  <c r="L77" i="25"/>
  <c r="K77" i="25"/>
  <c r="J77" i="25"/>
  <c r="I77" i="25"/>
  <c r="N76" i="25"/>
  <c r="M76" i="25"/>
  <c r="L76" i="25"/>
  <c r="K76" i="25"/>
  <c r="J76" i="25"/>
  <c r="I76" i="25"/>
  <c r="N75" i="25"/>
  <c r="M75" i="25"/>
  <c r="L75" i="25"/>
  <c r="K75" i="25"/>
  <c r="J75" i="25"/>
  <c r="I75" i="25"/>
  <c r="N74" i="25"/>
  <c r="M74" i="25"/>
  <c r="L74" i="25"/>
  <c r="K74" i="25"/>
  <c r="J74" i="25"/>
  <c r="I74" i="25"/>
  <c r="N73" i="25"/>
  <c r="M73" i="25"/>
  <c r="L73" i="25"/>
  <c r="K73" i="25"/>
  <c r="J73" i="25"/>
  <c r="I73" i="25"/>
  <c r="N72" i="25"/>
  <c r="M72" i="25"/>
  <c r="L72" i="25"/>
  <c r="K72" i="25"/>
  <c r="J72" i="25"/>
  <c r="I72" i="25"/>
  <c r="N71" i="25"/>
  <c r="M71" i="25"/>
  <c r="L71" i="25"/>
  <c r="K71" i="25"/>
  <c r="J71" i="25"/>
  <c r="I71" i="25"/>
  <c r="N70" i="25"/>
  <c r="M70" i="25"/>
  <c r="L70" i="25"/>
  <c r="K70" i="25"/>
  <c r="J70" i="25"/>
  <c r="I70" i="25"/>
  <c r="N69" i="25"/>
  <c r="M69" i="25"/>
  <c r="L69" i="25"/>
  <c r="K69" i="25"/>
  <c r="J69" i="25"/>
  <c r="I69" i="25"/>
  <c r="N68" i="25"/>
  <c r="M68" i="25"/>
  <c r="L68" i="25"/>
  <c r="K68" i="25"/>
  <c r="J68" i="25"/>
  <c r="I68" i="25"/>
  <c r="B63" i="25"/>
  <c r="E39" i="29" s="1"/>
  <c r="K62" i="25"/>
  <c r="J62" i="25"/>
  <c r="I62" i="25"/>
  <c r="K61" i="25"/>
  <c r="J61" i="25"/>
  <c r="I61" i="25"/>
  <c r="K60" i="25"/>
  <c r="J60" i="25"/>
  <c r="I60" i="25"/>
  <c r="K59" i="25"/>
  <c r="J59" i="25"/>
  <c r="I59" i="25"/>
  <c r="K58" i="25"/>
  <c r="J58" i="25"/>
  <c r="I58" i="25"/>
  <c r="K57" i="25"/>
  <c r="J57" i="25"/>
  <c r="I57" i="25"/>
  <c r="K56" i="25"/>
  <c r="J56" i="25"/>
  <c r="I56" i="25"/>
  <c r="K55" i="25"/>
  <c r="J55" i="25"/>
  <c r="I55" i="25"/>
  <c r="K54" i="25"/>
  <c r="J54" i="25"/>
  <c r="I54" i="25"/>
  <c r="K53" i="25"/>
  <c r="J53" i="25"/>
  <c r="I53" i="25"/>
  <c r="K52" i="25"/>
  <c r="J52" i="25"/>
  <c r="I52" i="25"/>
  <c r="K51" i="25"/>
  <c r="J51" i="25"/>
  <c r="I51" i="25"/>
  <c r="K50" i="25"/>
  <c r="J50" i="25"/>
  <c r="I50" i="25"/>
  <c r="K49" i="25"/>
  <c r="J49" i="25"/>
  <c r="I49" i="25"/>
  <c r="K48" i="25"/>
  <c r="J48" i="25"/>
  <c r="I48" i="25"/>
  <c r="K47" i="25"/>
  <c r="J47" i="25"/>
  <c r="I47" i="25"/>
  <c r="K46" i="25"/>
  <c r="J46" i="25"/>
  <c r="I46" i="25"/>
  <c r="K45" i="25"/>
  <c r="J45" i="25"/>
  <c r="I45" i="25"/>
  <c r="K44" i="25"/>
  <c r="J44" i="25"/>
  <c r="I44" i="25"/>
  <c r="K43" i="25"/>
  <c r="J43" i="25"/>
  <c r="I43" i="25"/>
  <c r="K42" i="25"/>
  <c r="J42" i="25"/>
  <c r="I42" i="25"/>
  <c r="K41" i="25"/>
  <c r="J41" i="25"/>
  <c r="I41" i="25"/>
  <c r="K40" i="25"/>
  <c r="J40" i="25"/>
  <c r="I40" i="25"/>
  <c r="K39" i="25"/>
  <c r="J39" i="25"/>
  <c r="I39" i="25"/>
  <c r="K38" i="25"/>
  <c r="J38" i="25"/>
  <c r="I38" i="25"/>
  <c r="K37" i="25"/>
  <c r="J37" i="25"/>
  <c r="I37" i="25"/>
  <c r="K36" i="25"/>
  <c r="J36" i="25"/>
  <c r="I36" i="25"/>
  <c r="K35" i="25"/>
  <c r="J35" i="25"/>
  <c r="I35" i="25"/>
  <c r="K34" i="25"/>
  <c r="J34" i="25"/>
  <c r="I34" i="25"/>
  <c r="K33" i="25"/>
  <c r="J33" i="25"/>
  <c r="I33" i="25"/>
  <c r="K32" i="25"/>
  <c r="J32" i="25"/>
  <c r="I32" i="25"/>
  <c r="K31" i="25"/>
  <c r="J31" i="25"/>
  <c r="I31" i="25"/>
  <c r="K30" i="25"/>
  <c r="J30" i="25"/>
  <c r="I30" i="25"/>
  <c r="K29" i="25"/>
  <c r="J29" i="25"/>
  <c r="I29" i="25"/>
  <c r="K28" i="25"/>
  <c r="J28" i="25"/>
  <c r="I28" i="25"/>
  <c r="K27" i="25"/>
  <c r="J27" i="25"/>
  <c r="I27" i="25"/>
  <c r="K26" i="25"/>
  <c r="J26" i="25"/>
  <c r="I26" i="25"/>
  <c r="K25" i="25"/>
  <c r="J25" i="25"/>
  <c r="I25" i="25"/>
  <c r="K24" i="25"/>
  <c r="J24" i="25"/>
  <c r="I24" i="25"/>
  <c r="K23" i="25"/>
  <c r="J23" i="25"/>
  <c r="I23" i="25"/>
  <c r="K22" i="25"/>
  <c r="J22" i="25"/>
  <c r="I22" i="25"/>
  <c r="K21" i="25"/>
  <c r="J21" i="25"/>
  <c r="I21" i="25"/>
  <c r="K20" i="25"/>
  <c r="J20" i="25"/>
  <c r="I20" i="25"/>
  <c r="K19" i="25"/>
  <c r="J19" i="25"/>
  <c r="I19" i="25"/>
  <c r="K18" i="25"/>
  <c r="J18" i="25"/>
  <c r="I18" i="25"/>
  <c r="K17" i="25"/>
  <c r="J17" i="25"/>
  <c r="I17" i="25"/>
  <c r="K16" i="25"/>
  <c r="J16" i="25"/>
  <c r="I16" i="25"/>
  <c r="K15" i="25"/>
  <c r="J15" i="25"/>
  <c r="I15" i="25"/>
  <c r="K14" i="25"/>
  <c r="J14" i="25"/>
  <c r="I14" i="25"/>
  <c r="K13" i="25"/>
  <c r="J13" i="25"/>
  <c r="I13" i="25"/>
  <c r="K12" i="25"/>
  <c r="J12" i="25"/>
  <c r="I12" i="25"/>
  <c r="K11" i="25"/>
  <c r="J11" i="25"/>
  <c r="I11" i="25"/>
  <c r="K10" i="25"/>
  <c r="J10" i="25"/>
  <c r="I10" i="25"/>
  <c r="K9" i="25"/>
  <c r="J9" i="25"/>
  <c r="I9" i="25"/>
  <c r="K8" i="25"/>
  <c r="J8" i="25"/>
  <c r="I8" i="25"/>
  <c r="K7" i="25"/>
  <c r="J7" i="25"/>
  <c r="I7" i="25"/>
  <c r="K6" i="25"/>
  <c r="J6" i="25"/>
  <c r="I6" i="25"/>
  <c r="N5" i="25"/>
  <c r="M5" i="25"/>
  <c r="L5" i="25"/>
  <c r="K5" i="25"/>
  <c r="J5" i="25"/>
  <c r="I5" i="25"/>
  <c r="E58" i="29"/>
  <c r="D154" i="24"/>
  <c r="D153" i="24"/>
  <c r="D146" i="24"/>
  <c r="D145" i="24"/>
  <c r="D138" i="24"/>
  <c r="D137" i="24"/>
  <c r="D133" i="24"/>
  <c r="B126" i="24"/>
  <c r="E53" i="29" s="1"/>
  <c r="N125" i="24"/>
  <c r="M125" i="24"/>
  <c r="L125" i="24"/>
  <c r="K125" i="24"/>
  <c r="J125" i="24"/>
  <c r="I125" i="24"/>
  <c r="N124" i="24"/>
  <c r="M124" i="24"/>
  <c r="L124" i="24"/>
  <c r="K124" i="24"/>
  <c r="J124" i="24"/>
  <c r="I124" i="24"/>
  <c r="N123" i="24"/>
  <c r="M123" i="24"/>
  <c r="L123" i="24"/>
  <c r="K123" i="24"/>
  <c r="J123" i="24"/>
  <c r="I123" i="24"/>
  <c r="N122" i="24"/>
  <c r="M122" i="24"/>
  <c r="L122" i="24"/>
  <c r="K122" i="24"/>
  <c r="J122" i="24"/>
  <c r="I122" i="24"/>
  <c r="N121" i="24"/>
  <c r="M121" i="24"/>
  <c r="L121" i="24"/>
  <c r="K121" i="24"/>
  <c r="J121" i="24"/>
  <c r="I121" i="24"/>
  <c r="N120" i="24"/>
  <c r="M120" i="24"/>
  <c r="L120" i="24"/>
  <c r="K120" i="24"/>
  <c r="J120" i="24"/>
  <c r="I120" i="24"/>
  <c r="N119" i="24"/>
  <c r="M119" i="24"/>
  <c r="L119" i="24"/>
  <c r="K119" i="24"/>
  <c r="J119" i="24"/>
  <c r="I119" i="24"/>
  <c r="N118" i="24"/>
  <c r="M118" i="24"/>
  <c r="L118" i="24"/>
  <c r="K118" i="24"/>
  <c r="J118" i="24"/>
  <c r="I118" i="24"/>
  <c r="N117" i="24"/>
  <c r="M117" i="24"/>
  <c r="L117" i="24"/>
  <c r="K117" i="24"/>
  <c r="J117" i="24"/>
  <c r="I117" i="24"/>
  <c r="N116" i="24"/>
  <c r="M116" i="24"/>
  <c r="L116" i="24"/>
  <c r="K116" i="24"/>
  <c r="J116" i="24"/>
  <c r="I116" i="24"/>
  <c r="N115" i="24"/>
  <c r="M115" i="24"/>
  <c r="L115" i="24"/>
  <c r="K115" i="24"/>
  <c r="J115" i="24"/>
  <c r="I115" i="24"/>
  <c r="N114" i="24"/>
  <c r="M114" i="24"/>
  <c r="L114" i="24"/>
  <c r="K114" i="24"/>
  <c r="J114" i="24"/>
  <c r="I114" i="24"/>
  <c r="N113" i="24"/>
  <c r="M113" i="24"/>
  <c r="L113" i="24"/>
  <c r="K113" i="24"/>
  <c r="J113" i="24"/>
  <c r="I113" i="24"/>
  <c r="N112" i="24"/>
  <c r="M112" i="24"/>
  <c r="L112" i="24"/>
  <c r="K112" i="24"/>
  <c r="J112" i="24"/>
  <c r="I112" i="24"/>
  <c r="N111" i="24"/>
  <c r="M111" i="24"/>
  <c r="L111" i="24"/>
  <c r="K111" i="24"/>
  <c r="J111" i="24"/>
  <c r="I111" i="24"/>
  <c r="N110" i="24"/>
  <c r="M110" i="24"/>
  <c r="L110" i="24"/>
  <c r="K110" i="24"/>
  <c r="J110" i="24"/>
  <c r="I110" i="24"/>
  <c r="N109" i="24"/>
  <c r="M109" i="24"/>
  <c r="L109" i="24"/>
  <c r="K109" i="24"/>
  <c r="J109" i="24"/>
  <c r="I109" i="24"/>
  <c r="N108" i="24"/>
  <c r="M108" i="24"/>
  <c r="L108" i="24"/>
  <c r="K108" i="24"/>
  <c r="J108" i="24"/>
  <c r="I108" i="24"/>
  <c r="N107" i="24"/>
  <c r="M107" i="24"/>
  <c r="L107" i="24"/>
  <c r="K107" i="24"/>
  <c r="J107" i="24"/>
  <c r="I107" i="24"/>
  <c r="N106" i="24"/>
  <c r="M106" i="24"/>
  <c r="L106" i="24"/>
  <c r="K106" i="24"/>
  <c r="J106" i="24"/>
  <c r="I106" i="24"/>
  <c r="N105" i="24"/>
  <c r="M105" i="24"/>
  <c r="L105" i="24"/>
  <c r="K105" i="24"/>
  <c r="J105" i="24"/>
  <c r="I105" i="24"/>
  <c r="N104" i="24"/>
  <c r="M104" i="24"/>
  <c r="L104" i="24"/>
  <c r="K104" i="24"/>
  <c r="J104" i="24"/>
  <c r="I104" i="24"/>
  <c r="N103" i="24"/>
  <c r="M103" i="24"/>
  <c r="L103" i="24"/>
  <c r="K103" i="24"/>
  <c r="J103" i="24"/>
  <c r="I103" i="24"/>
  <c r="N102" i="24"/>
  <c r="M102" i="24"/>
  <c r="L102" i="24"/>
  <c r="K102" i="24"/>
  <c r="J102" i="24"/>
  <c r="I102" i="24"/>
  <c r="N101" i="24"/>
  <c r="M101" i="24"/>
  <c r="L101" i="24"/>
  <c r="K101" i="24"/>
  <c r="J101" i="24"/>
  <c r="I101" i="24"/>
  <c r="N100" i="24"/>
  <c r="M100" i="24"/>
  <c r="L100" i="24"/>
  <c r="K100" i="24"/>
  <c r="J100" i="24"/>
  <c r="I100" i="24"/>
  <c r="N99" i="24"/>
  <c r="M99" i="24"/>
  <c r="L99" i="24"/>
  <c r="K99" i="24"/>
  <c r="J99" i="24"/>
  <c r="I99" i="24"/>
  <c r="N98" i="24"/>
  <c r="M98" i="24"/>
  <c r="L98" i="24"/>
  <c r="K98" i="24"/>
  <c r="J98" i="24"/>
  <c r="I98" i="24"/>
  <c r="N97" i="24"/>
  <c r="M97" i="24"/>
  <c r="L97" i="24"/>
  <c r="K97" i="24"/>
  <c r="J97" i="24"/>
  <c r="I97" i="24"/>
  <c r="N96" i="24"/>
  <c r="M96" i="24"/>
  <c r="L96" i="24"/>
  <c r="K96" i="24"/>
  <c r="J96" i="24"/>
  <c r="I96" i="24"/>
  <c r="N95" i="24"/>
  <c r="M95" i="24"/>
  <c r="L95" i="24"/>
  <c r="K95" i="24"/>
  <c r="J95" i="24"/>
  <c r="I95" i="24"/>
  <c r="N94" i="24"/>
  <c r="M94" i="24"/>
  <c r="L94" i="24"/>
  <c r="K94" i="24"/>
  <c r="J94" i="24"/>
  <c r="I94" i="24"/>
  <c r="N93" i="24"/>
  <c r="M93" i="24"/>
  <c r="L93" i="24"/>
  <c r="K93" i="24"/>
  <c r="J93" i="24"/>
  <c r="I93" i="24"/>
  <c r="N92" i="24"/>
  <c r="M92" i="24"/>
  <c r="L92" i="24"/>
  <c r="K92" i="24"/>
  <c r="J92" i="24"/>
  <c r="I92" i="24"/>
  <c r="N91" i="24"/>
  <c r="M91" i="24"/>
  <c r="L91" i="24"/>
  <c r="K91" i="24"/>
  <c r="J91" i="24"/>
  <c r="I91" i="24"/>
  <c r="N90" i="24"/>
  <c r="M90" i="24"/>
  <c r="L90" i="24"/>
  <c r="K90" i="24"/>
  <c r="J90" i="24"/>
  <c r="I90" i="24"/>
  <c r="N89" i="24"/>
  <c r="M89" i="24"/>
  <c r="L89" i="24"/>
  <c r="K89" i="24"/>
  <c r="J89" i="24"/>
  <c r="I89" i="24"/>
  <c r="N88" i="24"/>
  <c r="M88" i="24"/>
  <c r="L88" i="24"/>
  <c r="K88" i="24"/>
  <c r="J88" i="24"/>
  <c r="I88" i="24"/>
  <c r="N87" i="24"/>
  <c r="M87" i="24"/>
  <c r="L87" i="24"/>
  <c r="K87" i="24"/>
  <c r="J87" i="24"/>
  <c r="I87" i="24"/>
  <c r="N86" i="24"/>
  <c r="M86" i="24"/>
  <c r="L86" i="24"/>
  <c r="K86" i="24"/>
  <c r="J86" i="24"/>
  <c r="I86" i="24"/>
  <c r="N85" i="24"/>
  <c r="M85" i="24"/>
  <c r="L85" i="24"/>
  <c r="K85" i="24"/>
  <c r="J85" i="24"/>
  <c r="I85" i="24"/>
  <c r="N84" i="24"/>
  <c r="M84" i="24"/>
  <c r="L84" i="24"/>
  <c r="K84" i="24"/>
  <c r="J84" i="24"/>
  <c r="I84" i="24"/>
  <c r="N83" i="24"/>
  <c r="M83" i="24"/>
  <c r="L83" i="24"/>
  <c r="K83" i="24"/>
  <c r="J83" i="24"/>
  <c r="I83" i="24"/>
  <c r="N82" i="24"/>
  <c r="M82" i="24"/>
  <c r="L82" i="24"/>
  <c r="K82" i="24"/>
  <c r="J82" i="24"/>
  <c r="I82" i="24"/>
  <c r="N81" i="24"/>
  <c r="M81" i="24"/>
  <c r="L81" i="24"/>
  <c r="K81" i="24"/>
  <c r="J81" i="24"/>
  <c r="I81" i="24"/>
  <c r="N80" i="24"/>
  <c r="M80" i="24"/>
  <c r="L80" i="24"/>
  <c r="K80" i="24"/>
  <c r="J80" i="24"/>
  <c r="I80" i="24"/>
  <c r="N79" i="24"/>
  <c r="M79" i="24"/>
  <c r="L79" i="24"/>
  <c r="K79" i="24"/>
  <c r="J79" i="24"/>
  <c r="I79" i="24"/>
  <c r="N78" i="24"/>
  <c r="M78" i="24"/>
  <c r="L78" i="24"/>
  <c r="K78" i="24"/>
  <c r="J78" i="24"/>
  <c r="I78" i="24"/>
  <c r="N77" i="24"/>
  <c r="M77" i="24"/>
  <c r="L77" i="24"/>
  <c r="K77" i="24"/>
  <c r="J77" i="24"/>
  <c r="I77" i="24"/>
  <c r="N76" i="24"/>
  <c r="M76" i="24"/>
  <c r="L76" i="24"/>
  <c r="K76" i="24"/>
  <c r="J76" i="24"/>
  <c r="I76" i="24"/>
  <c r="N75" i="24"/>
  <c r="M75" i="24"/>
  <c r="L75" i="24"/>
  <c r="K75" i="24"/>
  <c r="J75" i="24"/>
  <c r="I75" i="24"/>
  <c r="N74" i="24"/>
  <c r="M74" i="24"/>
  <c r="L74" i="24"/>
  <c r="K74" i="24"/>
  <c r="J74" i="24"/>
  <c r="I74" i="24"/>
  <c r="N73" i="24"/>
  <c r="M73" i="24"/>
  <c r="L73" i="24"/>
  <c r="K73" i="24"/>
  <c r="J73" i="24"/>
  <c r="I73" i="24"/>
  <c r="N72" i="24"/>
  <c r="M72" i="24"/>
  <c r="L72" i="24"/>
  <c r="K72" i="24"/>
  <c r="J72" i="24"/>
  <c r="I72" i="24"/>
  <c r="N71" i="24"/>
  <c r="M71" i="24"/>
  <c r="L71" i="24"/>
  <c r="K71" i="24"/>
  <c r="J71" i="24"/>
  <c r="I71" i="24"/>
  <c r="N70" i="24"/>
  <c r="M70" i="24"/>
  <c r="L70" i="24"/>
  <c r="K70" i="24"/>
  <c r="J70" i="24"/>
  <c r="I70" i="24"/>
  <c r="N69" i="24"/>
  <c r="M69" i="24"/>
  <c r="L69" i="24"/>
  <c r="K69" i="24"/>
  <c r="J69" i="24"/>
  <c r="I69" i="24"/>
  <c r="N68" i="24"/>
  <c r="M68" i="24"/>
  <c r="L68" i="24"/>
  <c r="K68" i="24"/>
  <c r="J68" i="24"/>
  <c r="I68" i="24"/>
  <c r="B63" i="24"/>
  <c r="E52" i="29" s="1"/>
  <c r="K62" i="24"/>
  <c r="J62" i="24"/>
  <c r="I62" i="24"/>
  <c r="K61" i="24"/>
  <c r="J61" i="24"/>
  <c r="I61" i="24"/>
  <c r="K60" i="24"/>
  <c r="J60" i="24"/>
  <c r="I60" i="24"/>
  <c r="K59" i="24"/>
  <c r="J59" i="24"/>
  <c r="I59" i="24"/>
  <c r="K58" i="24"/>
  <c r="J58" i="24"/>
  <c r="I58" i="24"/>
  <c r="K57" i="24"/>
  <c r="J57" i="24"/>
  <c r="I57" i="24"/>
  <c r="K56" i="24"/>
  <c r="J56" i="24"/>
  <c r="I56" i="24"/>
  <c r="K55" i="24"/>
  <c r="J55" i="24"/>
  <c r="I55" i="24"/>
  <c r="K54" i="24"/>
  <c r="J54" i="24"/>
  <c r="I54" i="24"/>
  <c r="K53" i="24"/>
  <c r="J53" i="24"/>
  <c r="I53" i="24"/>
  <c r="K52" i="24"/>
  <c r="J52" i="24"/>
  <c r="I52" i="24"/>
  <c r="K51" i="24"/>
  <c r="J51" i="24"/>
  <c r="I51" i="24"/>
  <c r="K50" i="24"/>
  <c r="J50" i="24"/>
  <c r="I50" i="24"/>
  <c r="K49" i="24"/>
  <c r="J49" i="24"/>
  <c r="I49" i="24"/>
  <c r="K48" i="24"/>
  <c r="J48" i="24"/>
  <c r="I48" i="24"/>
  <c r="K47" i="24"/>
  <c r="J47" i="24"/>
  <c r="I47" i="24"/>
  <c r="K46" i="24"/>
  <c r="J46" i="24"/>
  <c r="I46" i="24"/>
  <c r="K45" i="24"/>
  <c r="J45" i="24"/>
  <c r="I45" i="24"/>
  <c r="K44" i="24"/>
  <c r="J44" i="24"/>
  <c r="I44" i="24"/>
  <c r="K43" i="24"/>
  <c r="J43" i="24"/>
  <c r="I43" i="24"/>
  <c r="K42" i="24"/>
  <c r="J42" i="24"/>
  <c r="I42" i="24"/>
  <c r="K41" i="24"/>
  <c r="J41" i="24"/>
  <c r="I41" i="24"/>
  <c r="K40" i="24"/>
  <c r="J40" i="24"/>
  <c r="I40" i="24"/>
  <c r="K39" i="24"/>
  <c r="J39" i="24"/>
  <c r="I39" i="24"/>
  <c r="K38" i="24"/>
  <c r="J38" i="24"/>
  <c r="I38" i="24"/>
  <c r="K37" i="24"/>
  <c r="J37" i="24"/>
  <c r="I37" i="24"/>
  <c r="K36" i="24"/>
  <c r="J36" i="24"/>
  <c r="I36" i="24"/>
  <c r="K35" i="24"/>
  <c r="J35" i="24"/>
  <c r="I35" i="24"/>
  <c r="K34" i="24"/>
  <c r="J34" i="24"/>
  <c r="I34" i="24"/>
  <c r="K33" i="24"/>
  <c r="J33" i="24"/>
  <c r="I33" i="24"/>
  <c r="K32" i="24"/>
  <c r="J32" i="24"/>
  <c r="I32" i="24"/>
  <c r="K31" i="24"/>
  <c r="J31" i="24"/>
  <c r="I31" i="24"/>
  <c r="K30" i="24"/>
  <c r="J30" i="24"/>
  <c r="I30" i="24"/>
  <c r="K29" i="24"/>
  <c r="J29" i="24"/>
  <c r="I29" i="24"/>
  <c r="K28" i="24"/>
  <c r="J28" i="24"/>
  <c r="I28" i="24"/>
  <c r="K27" i="24"/>
  <c r="J27" i="24"/>
  <c r="I27" i="24"/>
  <c r="K26" i="24"/>
  <c r="J26" i="24"/>
  <c r="I26" i="24"/>
  <c r="K25" i="24"/>
  <c r="J25" i="24"/>
  <c r="I25" i="24"/>
  <c r="K24" i="24"/>
  <c r="J24" i="24"/>
  <c r="I24" i="24"/>
  <c r="K23" i="24"/>
  <c r="J23" i="24"/>
  <c r="I23" i="24"/>
  <c r="K22" i="24"/>
  <c r="J22" i="24"/>
  <c r="I22" i="24"/>
  <c r="K21" i="24"/>
  <c r="J21" i="24"/>
  <c r="I21" i="24"/>
  <c r="K20" i="24"/>
  <c r="J20" i="24"/>
  <c r="I20" i="24"/>
  <c r="K19" i="24"/>
  <c r="J19" i="24"/>
  <c r="I19" i="24"/>
  <c r="K18" i="24"/>
  <c r="J18" i="24"/>
  <c r="I18" i="24"/>
  <c r="K17" i="24"/>
  <c r="J17" i="24"/>
  <c r="I17" i="24"/>
  <c r="K16" i="24"/>
  <c r="J16" i="24"/>
  <c r="I16" i="24"/>
  <c r="K15" i="24"/>
  <c r="J15" i="24"/>
  <c r="I15" i="24"/>
  <c r="K14" i="24"/>
  <c r="J14" i="24"/>
  <c r="I14" i="24"/>
  <c r="K13" i="24"/>
  <c r="J13" i="24"/>
  <c r="I13" i="24"/>
  <c r="K12" i="24"/>
  <c r="J12" i="24"/>
  <c r="I12" i="24"/>
  <c r="K11" i="24"/>
  <c r="J11" i="24"/>
  <c r="I11" i="24"/>
  <c r="K10" i="24"/>
  <c r="J10" i="24"/>
  <c r="I10" i="24"/>
  <c r="K9" i="24"/>
  <c r="J9" i="24"/>
  <c r="I9" i="24"/>
  <c r="K8" i="24"/>
  <c r="J8" i="24"/>
  <c r="I8" i="24"/>
  <c r="K7" i="24"/>
  <c r="J7" i="24"/>
  <c r="I7" i="24"/>
  <c r="K6" i="24"/>
  <c r="J6" i="24"/>
  <c r="I6" i="24"/>
  <c r="N5" i="24"/>
  <c r="M5" i="24"/>
  <c r="L5" i="24"/>
  <c r="K5" i="24"/>
  <c r="J5" i="24"/>
  <c r="I5" i="24"/>
  <c r="E54" i="29" l="1"/>
  <c r="E22" i="29"/>
  <c r="E7" i="29"/>
  <c r="E37" i="29"/>
  <c r="D154" i="28" l="1"/>
  <c r="D153" i="28"/>
  <c r="D146" i="28"/>
  <c r="D137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M123" i="28"/>
  <c r="M124" i="28"/>
  <c r="M125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J125" i="28"/>
  <c r="J69" i="28"/>
  <c r="J70" i="28"/>
  <c r="J71" i="28"/>
  <c r="J72" i="28"/>
  <c r="J73" i="28"/>
  <c r="J74" i="28"/>
  <c r="J75" i="28"/>
  <c r="J76" i="28"/>
  <c r="J77" i="28"/>
  <c r="J78" i="28"/>
  <c r="J79" i="28"/>
  <c r="J80" i="28"/>
  <c r="J81" i="28"/>
  <c r="J82" i="28"/>
  <c r="J83" i="28"/>
  <c r="J84" i="28"/>
  <c r="J85" i="28"/>
  <c r="J86" i="28"/>
  <c r="J87" i="28"/>
  <c r="J88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J68" i="28"/>
  <c r="K68" i="28"/>
  <c r="L68" i="28"/>
  <c r="M68" i="28"/>
  <c r="N68" i="28"/>
  <c r="I68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J62" i="28"/>
  <c r="J6" i="28"/>
  <c r="J8" i="28"/>
  <c r="J9" i="28"/>
  <c r="J10" i="28"/>
  <c r="J11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5" i="28"/>
  <c r="K5" i="28"/>
  <c r="L5" i="28"/>
  <c r="M5" i="28"/>
  <c r="N5" i="28"/>
  <c r="I6" i="28"/>
  <c r="I7" i="28"/>
  <c r="I8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5" i="28"/>
  <c r="E71" i="29" l="1"/>
  <c r="F9" i="29" l="1"/>
  <c r="F7" i="29"/>
  <c r="E74" i="29"/>
  <c r="E30" i="29"/>
  <c r="E45" i="29" s="1"/>
  <c r="E60" i="29" s="1"/>
  <c r="E75" i="29" s="1"/>
  <c r="F28" i="29"/>
  <c r="F13" i="29"/>
  <c r="F12" i="29"/>
  <c r="F11" i="29"/>
  <c r="F10" i="29"/>
  <c r="F8" i="29"/>
  <c r="E73" i="29"/>
  <c r="E72" i="29"/>
  <c r="B126" i="28"/>
  <c r="E68" i="29" s="1"/>
  <c r="B63" i="28"/>
  <c r="E69" i="29" l="1"/>
  <c r="E67" i="29"/>
  <c r="F17" i="29"/>
  <c r="F40" i="29"/>
  <c r="F41" i="29"/>
  <c r="F42" i="29"/>
  <c r="F37" i="29"/>
  <c r="F38" i="29"/>
  <c r="F39" i="29"/>
  <c r="F25" i="29"/>
  <c r="F24" i="29"/>
  <c r="F22" i="29"/>
  <c r="F26" i="29"/>
  <c r="F23" i="29"/>
  <c r="F27" i="29"/>
  <c r="F32" i="29" l="1"/>
  <c r="F72" i="29"/>
  <c r="F43" i="29"/>
  <c r="F47" i="29" s="1"/>
  <c r="F53" i="29"/>
  <c r="F68" i="29"/>
  <c r="F56" i="29"/>
  <c r="F71" i="29"/>
  <c r="F52" i="29"/>
  <c r="F67" i="29"/>
  <c r="F54" i="29"/>
  <c r="F69" i="29"/>
  <c r="F70" i="29"/>
  <c r="F55" i="29"/>
  <c r="F58" i="29" l="1"/>
  <c r="F73" i="29"/>
  <c r="F77" i="29" s="1"/>
  <c r="B150" i="24"/>
  <c r="E57" i="29"/>
  <c r="F57" i="29"/>
  <c r="F62" i="29"/>
  <c r="D78" i="29"/>
</calcChain>
</file>

<file path=xl/sharedStrings.xml><?xml version="1.0" encoding="utf-8"?>
<sst xmlns="http://schemas.openxmlformats.org/spreadsheetml/2006/main" count="1126" uniqueCount="288">
  <si>
    <t>AZ</t>
  </si>
  <si>
    <t>CA</t>
  </si>
  <si>
    <t>CT</t>
  </si>
  <si>
    <t>CO</t>
  </si>
  <si>
    <t>DC</t>
  </si>
  <si>
    <t>DE</t>
  </si>
  <si>
    <t>FL North</t>
  </si>
  <si>
    <t>FL Central</t>
  </si>
  <si>
    <t>FL South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</si>
  <si>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</si>
  <si>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</si>
  <si>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</si>
  <si>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</si>
  <si>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</si>
  <si>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</si>
  <si>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</si>
  <si>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</si>
  <si>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</si>
  <si>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</si>
  <si>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</si>
  <si>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</si>
  <si>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</si>
  <si>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</si>
  <si>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</si>
  <si>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MT</t>
  </si>
  <si>
    <t>NC</t>
  </si>
  <si>
    <t>ND</t>
  </si>
  <si>
    <t>NE</t>
  </si>
  <si>
    <t>NH</t>
  </si>
  <si>
    <t>NJ</t>
  </si>
  <si>
    <t>NM</t>
  </si>
  <si>
    <t>NV</t>
  </si>
  <si>
    <t xml:space="preserve">NY (Downstate) </t>
  </si>
  <si>
    <t>NY (Upstate)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</si>
  <si>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</si>
  <si>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</si>
  <si>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</si>
  <si>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</si>
  <si>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</si>
  <si>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</si>
  <si>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</si>
  <si>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</si>
  <si>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</si>
  <si>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</si>
  <si>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</si>
  <si>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</si>
  <si>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</si>
  <si>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</si>
  <si>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</si>
  <si>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</si>
  <si>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MS</t>
  </si>
  <si>
    <t>State/Location</t>
  </si>
  <si>
    <t>AL</t>
  </si>
  <si>
    <t>AK</t>
  </si>
  <si>
    <t>AR</t>
  </si>
  <si>
    <t>PR</t>
  </si>
  <si>
    <t>Billed/Paid at the fixed rate of $200 Per OWCP CPT Code</t>
  </si>
  <si>
    <t>RFP 1605C3-25-R-00007 - Directed Medical Services for the Division of Federal Employees Compensation</t>
  </si>
  <si>
    <t>CLIN 0004 Supplemental Reports</t>
  </si>
  <si>
    <t>CLIN 0007 File Review Other</t>
  </si>
  <si>
    <t>CLIN 0005 File Review Surgical</t>
  </si>
  <si>
    <t>CLIN 0008 Travel/Transportation</t>
  </si>
  <si>
    <t>CLIN 0009 Claimant No-Show/Government Cancelations less than 24 hour notice</t>
  </si>
  <si>
    <t>CLIN 0009 Interpreter Services</t>
  </si>
  <si>
    <t>CLIN 0009 Diagnostic Tests</t>
  </si>
  <si>
    <t>CLIN 0009 All other ancillary services</t>
  </si>
  <si>
    <t>CLIN 1004 Supplemental Reports</t>
  </si>
  <si>
    <t>CLIN 1005 File Review Surgical</t>
  </si>
  <si>
    <t>CLIN 1007 File Review Other</t>
  </si>
  <si>
    <t>CLIN 1008 Travel/Transportation</t>
  </si>
  <si>
    <t>CLIN 1009 Claimant No-Show/Government Cancelations less than 24 hour notice</t>
  </si>
  <si>
    <t>CLIN 1009 Interpreter Services</t>
  </si>
  <si>
    <t>CLIN 1009 Diagnostic Tests</t>
  </si>
  <si>
    <t>CLIN 1009 All other ancillary services</t>
  </si>
  <si>
    <t>CLIN 2004 Supplemental Reports</t>
  </si>
  <si>
    <t>CLIN 2005 File Review Surgical</t>
  </si>
  <si>
    <t>CLIN 2007 File Review Other</t>
  </si>
  <si>
    <t>CLIN 2008 Travel/Transportation</t>
  </si>
  <si>
    <t>CLIN 2009 Claimant No-Show/Government Cancelations less than 24 hour notice</t>
  </si>
  <si>
    <t>CLIN 2009 Interpreter Services</t>
  </si>
  <si>
    <t>CLIN 2009 Diagnostic Tests</t>
  </si>
  <si>
    <t>CLIN 2009 All other ancillary services</t>
  </si>
  <si>
    <t>CLIN 3004 Supplemental Reports</t>
  </si>
  <si>
    <t>CLIN 3005 File Review Surgical</t>
  </si>
  <si>
    <t>CLIN 3007 File Review Other</t>
  </si>
  <si>
    <t>CLIN 3008 Travel/Transportation</t>
  </si>
  <si>
    <t>CLIN 3009 Claimant No-Show/Government Cancelations less than 24 hour notice</t>
  </si>
  <si>
    <t>CLIN 3009 Interpreter Services</t>
  </si>
  <si>
    <t>CLIN 3009 Diagnostic Tests</t>
  </si>
  <si>
    <t>CLIN 3009 All other ancillary services</t>
  </si>
  <si>
    <t>CLIN 4004 Supplemental Reports</t>
  </si>
  <si>
    <t>CLIN 4005 File Review Surgical</t>
  </si>
  <si>
    <t>CLIN 4007 File Review Other</t>
  </si>
  <si>
    <t>CLIN 4008 Travel/Transportation</t>
  </si>
  <si>
    <t>CLIN 4009 Claimant No-Show/Government Cancelations less than 24 hour notice</t>
  </si>
  <si>
    <t>CLIN 4009 Interpreter Services</t>
  </si>
  <si>
    <t>CLIN 4009 Diagnostic Tests</t>
  </si>
  <si>
    <t>CLIN 4009 All other ancillary services</t>
  </si>
  <si>
    <t>Average</t>
  </si>
  <si>
    <t>Orthopedic surgery Price per exam</t>
  </si>
  <si>
    <t>Pulmonary Medicine Price Per exam</t>
  </si>
  <si>
    <t xml:space="preserve">Otolaryngology Price per exam </t>
  </si>
  <si>
    <t>Neurology price per exam</t>
  </si>
  <si>
    <t>Psychiatry Price per exam</t>
  </si>
  <si>
    <t xml:space="preserve">Average </t>
  </si>
  <si>
    <t>Price per report</t>
  </si>
  <si>
    <t>Price per review</t>
  </si>
  <si>
    <t xml:space="preserve">Base Period: </t>
  </si>
  <si>
    <t xml:space="preserve">              DESCRIPTION OF WORK</t>
  </si>
  <si>
    <t>Quantity</t>
  </si>
  <si>
    <t>UOM</t>
  </si>
  <si>
    <t xml:space="preserve">   SUBTOTALS</t>
  </si>
  <si>
    <t>Medical Second Opinion and Examination Services</t>
  </si>
  <si>
    <t>Case</t>
  </si>
  <si>
    <t>IME</t>
  </si>
  <si>
    <t>Schedule Award/Impairment Ratings</t>
  </si>
  <si>
    <t>Supplemental Reports</t>
  </si>
  <si>
    <t>Each</t>
  </si>
  <si>
    <t xml:space="preserve">File Review Surgical </t>
  </si>
  <si>
    <t>File Review Impairment Rating, IME File Review</t>
  </si>
  <si>
    <t xml:space="preserve">File Review Other </t>
  </si>
  <si>
    <t xml:space="preserve">Case </t>
  </si>
  <si>
    <t>Fee</t>
  </si>
  <si>
    <t>Sub-Total Base Period</t>
  </si>
  <si>
    <t xml:space="preserve">Option Period One:  </t>
  </si>
  <si>
    <t>Sub-Total Option Period One</t>
  </si>
  <si>
    <t xml:space="preserve">Option Period Two: </t>
  </si>
  <si>
    <t>Sub-Total Option Period Two</t>
  </si>
  <si>
    <t xml:space="preserve">Option Period Three: </t>
  </si>
  <si>
    <t>Sub-Total Option Period Three</t>
  </si>
  <si>
    <t xml:space="preserve">Option Period Four: </t>
  </si>
  <si>
    <t>Sub-Total Option Period Four</t>
  </si>
  <si>
    <t xml:space="preserve">Contract Value with Options </t>
  </si>
  <si>
    <t>* Pay-As-Billed Per OWCP CPT Code</t>
  </si>
  <si>
    <t>** Billed/Paid at the fixed rate of $200 Per OWCP CPT Code</t>
  </si>
  <si>
    <t xml:space="preserve">CLIN 4002 IME examination </t>
  </si>
  <si>
    <t xml:space="preserve">CLIN 0002 IME examination </t>
  </si>
  <si>
    <t xml:space="preserve">CLIN 1002 IME examination </t>
  </si>
  <si>
    <t xml:space="preserve">CLIN 2002 IME examination </t>
  </si>
  <si>
    <t xml:space="preserve">CLIN 3002 IME examination 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</si>
  <si>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</si>
  <si>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</si>
  <si>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</si>
  <si>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</si>
  <si>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</si>
  <si>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</si>
  <si>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</si>
  <si>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</si>
  <si>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</si>
  <si>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Other Specialists price per exam</t>
  </si>
  <si>
    <t>CLIN 0001 Second Opinion Examination &amp; CLIN 0003 Schedule Award/Impairment Ratings</t>
  </si>
  <si>
    <t>CLIN 1001 Second Opinion Examination &amp; CLIN 1003 Schedule Award/Impairment Ratings</t>
  </si>
  <si>
    <t>CLIN 2001 Second Opinion Examination &amp; CLIN 2003 Schedule Award/Impairment Ratings</t>
  </si>
  <si>
    <t>CLIN 3001 Second Opinion Examination &amp; CLIN 3003 Schedule Award/Impairment Ratings</t>
  </si>
  <si>
    <t xml:space="preserve">CLIN 3006 File Review--Impairment Rating </t>
  </si>
  <si>
    <t>CLIN 4001 Second Opinion Examination &amp; CLIN 4003 Schedule Award/Impairment Ratings</t>
  </si>
  <si>
    <t xml:space="preserve">CLIN 4006 File Review--Impairment Rating </t>
  </si>
  <si>
    <t>Average Price per Unit</t>
  </si>
  <si>
    <t>CLIN 1 and Clin 3</t>
  </si>
  <si>
    <t xml:space="preserve"> Second Opinion Examination &amp; Schedule Award/Impairment Ratings will share pricing rates</t>
  </si>
  <si>
    <t xml:space="preserve">The Table will average all individual entries to a single rate. </t>
  </si>
  <si>
    <t xml:space="preserve">The Government will use the summary tab for evaluation purposes. </t>
  </si>
  <si>
    <t xml:space="preserve">CLIN 2 </t>
  </si>
  <si>
    <t>IME Examination pricing rate</t>
  </si>
  <si>
    <t>CLIN 4</t>
  </si>
  <si>
    <t>CLIN 5</t>
  </si>
  <si>
    <t>CLIN 6</t>
  </si>
  <si>
    <t>CLIN 7</t>
  </si>
  <si>
    <t xml:space="preserve">CLIN 8 and 9 </t>
  </si>
  <si>
    <t>The Government will provide a set not to exceed value common to all offerors, based on historical volumes and mandatory government pricing for the components of these CLINS</t>
  </si>
  <si>
    <t xml:space="preserve">Claimant No-Show/Government Cancelations less than 24 hour notice are set at $200 per instance. </t>
  </si>
  <si>
    <t>Interpreter Services are set by OWCP fee schedule</t>
  </si>
  <si>
    <t>Diagnostic Tests are set by OWCP fee schedule</t>
  </si>
  <si>
    <t>All other ancillary services are set by OWCP fee schedule</t>
  </si>
  <si>
    <t>Pay Per FTR mileage reimbursement rates</t>
  </si>
  <si>
    <t xml:space="preserve">The summary tab will apply this average rate to volume estimates to calculate the proposed CLIN 1 and CLIN 3 prices. </t>
  </si>
  <si>
    <t xml:space="preserve">As offerors' summary prices reach similarity, the government will consider individual pricing on the performance period tab. </t>
  </si>
  <si>
    <t xml:space="preserve">The summary tab will apply this average rate to volume estimates to calculate the proposed CLIN 2 prices. </t>
  </si>
  <si>
    <t xml:space="preserve">The summary tab will apply this fixed rate to volume estimates to calculate the proposed CLIN 4 prices. </t>
  </si>
  <si>
    <t xml:space="preserve">The summary tab will apply this average rate to volume estimates to calculate the proposed CLIN 5 prices. </t>
  </si>
  <si>
    <t xml:space="preserve">The summary tab will apply this average rate to volume estimates to calculate the proposed CLIN 6 prices. </t>
  </si>
  <si>
    <t xml:space="preserve">The summary tab will apply this average rate to volume estimates to calculate the proposed CLIN 7 prices. </t>
  </si>
  <si>
    <t xml:space="preserve">Travel/Transpiration is governed by the Federal Travel Regulation (FTR) issued by the General Services Administration (GSA) </t>
  </si>
  <si>
    <t>File Review Surgical pricing rate</t>
  </si>
  <si>
    <t>File Review Other pricing rate</t>
  </si>
  <si>
    <t>File Review--Impairment pricing rate</t>
  </si>
  <si>
    <t>Supplemental  Report pricing rate</t>
  </si>
  <si>
    <t xml:space="preserve">Tier 1 (Base Price) </t>
  </si>
  <si>
    <t xml:space="preserve">Tier 2 (Incentive Price) </t>
  </si>
  <si>
    <t xml:space="preserve">CLIN 0006 File Review-Impairment Rating </t>
  </si>
  <si>
    <t xml:space="preserve">CLIN 1006 File Review-Impairment Rating </t>
  </si>
  <si>
    <t xml:space="preserve">CLIN 2006 File Review-Impairment Rating </t>
  </si>
  <si>
    <t xml:space="preserve">On each performance period tab, enter the proposed rate by specialty and location in the appropriate cells indicated as the tier 1 pricing (highlighed in blue). </t>
  </si>
  <si>
    <t xml:space="preserve">On each performance period tab, enter the proposed rate by file size in the appropriate cells indicated as the tier 1 pricing (highlighed in blue).  </t>
  </si>
  <si>
    <t xml:space="preserve">On each performance period tab, enter the proposed fixed rate for all supplemental reports indicated as the tier 1 pricing (highlighed in blue).  </t>
  </si>
  <si>
    <t xml:space="preserve">On each performance period tab, enter the proposed rate by specialty and location in the appropriate cells indicated as the tier 1 pricing (highlighed in blue).  </t>
  </si>
  <si>
    <t>CLIN 0005 File Review Surgical (0-100 Pages)</t>
  </si>
  <si>
    <t>CLIN 0006 File Review-Impairment Rating (0-100 Pages)</t>
  </si>
  <si>
    <t>CLIN 0007 File Review Other (0-100 Pages)</t>
  </si>
  <si>
    <t>CLIN 1005 File Review Surgical (0-100 Pages)</t>
  </si>
  <si>
    <t>CLIN 1006 File Review-Impairment Rating (0-100 Pages)</t>
  </si>
  <si>
    <t>RFP 1605C3-25-R-01007 - Directed Medical Services for the Division of Federal Employees Compensation</t>
  </si>
  <si>
    <t>CLIN 1007 File Review Other (0-100 Pages)</t>
  </si>
  <si>
    <t>CLIN 2007 File Review Other (0-100 Pages)</t>
  </si>
  <si>
    <t>CLIN 2006 File Review-Impairment Rating (0-100 Pages)</t>
  </si>
  <si>
    <t>CLIN 2005 File Review Surgical (0-100 Pages)</t>
  </si>
  <si>
    <t>CLIN 3005 File Review Surgical (0-100 Pages)</t>
  </si>
  <si>
    <t>CLIN 3006 File Review-Impairment Rating (0-100 Pages)</t>
  </si>
  <si>
    <t>CLIN 3007 File Review Other (0-100 Pages)</t>
  </si>
  <si>
    <t>CLIN 4007 File Review Other (0-100 Pages)</t>
  </si>
  <si>
    <t>CLIN 4006 File Review-Impairment Rating (0-100 Pages)</t>
  </si>
  <si>
    <t>CLIN 4005 File Review Surgical (0-100 Pages)</t>
  </si>
  <si>
    <t xml:space="preserve">Note the volumes listed in the Quantity column represent estimated annual volumes and are for evaluations only. </t>
  </si>
  <si>
    <t>CLIN 0005 File Review Surgical (101-300 Pages)</t>
  </si>
  <si>
    <t>CLIN 0005 File Review Surgical (301 + 600)</t>
  </si>
  <si>
    <t>CLIN 0005 File Review Surgical (601 + 1,000)</t>
  </si>
  <si>
    <t>CLIN 0006 File Review-Impairment Rating (101-300 Pages)</t>
  </si>
  <si>
    <t>CLIN 0007 File Review Other (101-300 Pages)</t>
  </si>
  <si>
    <t>CLIN 0007 File Review Other (301 - 600 Pages)</t>
  </si>
  <si>
    <t>CLIN 0006 File Review-Impairment Rating (301 - 600 Pages)</t>
  </si>
  <si>
    <t>CLIN 0006 File Review-Impairment Rating (601 - 1,000 Pages)</t>
  </si>
  <si>
    <t>CLIN 0007 File Review Other (601 - 1,000 Pages)</t>
  </si>
  <si>
    <t>CLIN 0007 File Review Other (1,001 + Pages)</t>
  </si>
  <si>
    <t>CLIN 0006 File Review-Impairment Rating (1,001 + Pages)</t>
  </si>
  <si>
    <t>CLIN 1005 File Review Surgical (101-300 Pages)</t>
  </si>
  <si>
    <t>CLIN 1005 File Review Surgical (301 + 600)</t>
  </si>
  <si>
    <t>CLIN 1005 File Review Surgical (601 + 1,000)</t>
  </si>
  <si>
    <t>CLIN 1006 File Review-Impairment Rating (101-300 Pages)</t>
  </si>
  <si>
    <t>CLIN 1006 File Review-Impairment Rating (301 - 600 Pages)</t>
  </si>
  <si>
    <t>CLIN 1006 File Review-Impairment Rating (601 - 1,000 Pages)</t>
  </si>
  <si>
    <t>CLIN 1006 File Review-Impairment Rating (1,001 + Pages)</t>
  </si>
  <si>
    <t>CLIN 1007 File Review Other (101-300 Pages)</t>
  </si>
  <si>
    <t>CLIN 1007 File Review Other (301 - 600 Pages)</t>
  </si>
  <si>
    <t>CLIN 1007 File Review Other (601 - 1,000 Pages)</t>
  </si>
  <si>
    <t>CLIN 1007 File Review Other (1,001 + Pages)</t>
  </si>
  <si>
    <t>CLIN 2007 File Review Other (101-300 Pages)</t>
  </si>
  <si>
    <t>CLIN 2007 File Review Other (301 - 600 Pages)</t>
  </si>
  <si>
    <t>CLIN 2007 File Review Other (601 - 1,000 Pages)</t>
  </si>
  <si>
    <t>CLIN 2007 File Review Other (1,001 + Pages)</t>
  </si>
  <si>
    <t>CLIN 2006 File Review-Impairment Rating (101-300 Pages)</t>
  </si>
  <si>
    <t>CLIN 2006 File Review-Impairment Rating (301 - 600 Pages)</t>
  </si>
  <si>
    <t>CLIN 2006 File Review-Impairment Rating (601 - 1,000 Pages)</t>
  </si>
  <si>
    <t>CLIN 2006 File Review-Impairment Rating (1,001 + Pages)</t>
  </si>
  <si>
    <t>CLIN 2005 File Review Surgical (101-300 Pages)</t>
  </si>
  <si>
    <t>CLIN 2005 File Review Surgical (301 + 600)</t>
  </si>
  <si>
    <t>CLIN 2005 File Review Surgical (601 + 1,000)</t>
  </si>
  <si>
    <t>CLIN 2005 FILE Review Surgical (1,001 + Pages)</t>
  </si>
  <si>
    <t>CLIN 1005 FILE Review Surgical (1,001 + Pages)</t>
  </si>
  <si>
    <t>CLIN 0005 FILE Review Surgical (1,001 + Pages)</t>
  </si>
  <si>
    <t>CLIN 3005 File Review Surgical (101-300 Pages)</t>
  </si>
  <si>
    <t>CLIN 3005 File Review Surgical (301 + 600)</t>
  </si>
  <si>
    <t>CLIN 3005 File Review Surgical (601 + 1,000)</t>
  </si>
  <si>
    <t>CLIN 3005 FILE Review Surgical (1,001 + Pages)</t>
  </si>
  <si>
    <t>CLIN 3006 File Review-Impairment Rating (101-300 Pages)</t>
  </si>
  <si>
    <t>CLIN 3006 File Review-Impairment Rating (301 - 600 Pages)</t>
  </si>
  <si>
    <t>CLIN 3006 File Review-Impairment Rating (601 - 1,000 Pages)</t>
  </si>
  <si>
    <t>CLIN 3006 File Review-Impairment Rating (1,001 + Pages)</t>
  </si>
  <si>
    <t>CLIN 3007 File Review Other (101-300 Pages)</t>
  </si>
  <si>
    <t>CLIN 3007 File Review Other (301 - 600 Pages)</t>
  </si>
  <si>
    <t>CLIN 3007 File Review Other (601 - 1,000 Pages)</t>
  </si>
  <si>
    <t>CLIN 3007 File Review Other (1,001 + Pages)</t>
  </si>
  <si>
    <t>CLIN 4007 File Review Other (101-300 Pages)</t>
  </si>
  <si>
    <t>CLIN 4007 File Review Other (301 - 600 Pages)</t>
  </si>
  <si>
    <t>CLIN 4007 File Review Other (601 - 1,000 Pages)</t>
  </si>
  <si>
    <t>CLIN 4007 File Review Other (1,001 + Pages)</t>
  </si>
  <si>
    <t>CLIN 4006 File Review-Impairment Rating (101-300 Pages)</t>
  </si>
  <si>
    <t>CLIN 4006 File Review-Impairment Rating (301 - 600 Pages)</t>
  </si>
  <si>
    <t>CLIN 4006 File Review-Impairment Rating (601 - 1,000 Pages)</t>
  </si>
  <si>
    <t>CLIN 4006 File Review-Impairment Rating (1,001 + Pages)</t>
  </si>
  <si>
    <t>CLIN 4005 File Review Surgical (101-300 Pages)</t>
  </si>
  <si>
    <t>CLIN 4005 File Review Surgical (301 + 600)</t>
  </si>
  <si>
    <t>CLIN 4005 File Review Surgical (601 + 1,000)</t>
  </si>
  <si>
    <t>CLIN 4005 FILE Review Surgical (1,001 + Pages)</t>
  </si>
  <si>
    <t>Travel/Transportation* (NTE ceiling)</t>
  </si>
  <si>
    <t xml:space="preserve">Other Direct Cost - Canceled Appointments**, Interpretive Services*, Diagnostic Tests* (NTE Ceiling) </t>
  </si>
  <si>
    <t xml:space="preserve">CLIN 0008 Travel/Transportation (Government NTE value in summary tab) </t>
  </si>
  <si>
    <t xml:space="preserve">CLIN 0009 Other Direct Cost - Canceled Appointments, Interpretive
Services, Diagnostic Tests, and all other ancillary services (Government NTE value in summary tab) </t>
  </si>
  <si>
    <t xml:space="preserve">CLIN 1008 Travel/Transportation (Government NTE value in summary tab) </t>
  </si>
  <si>
    <t xml:space="preserve">CLIN 1009 Other Direct Cost - Canceled Appointments, Interpretive
Services, Diagnostic Tests, and all other ancillary services (Government NTE value in summary tab) </t>
  </si>
  <si>
    <t xml:space="preserve">CLIN 2008 Travel/Transportation (Government NTE value in summary tab) </t>
  </si>
  <si>
    <t xml:space="preserve">CLIN 2009 Other Direct Cost - Canceled Appointments, Interpretive
Services, Diagnostic Tests, and all other ancillary services (Government NTE value in summary tab) </t>
  </si>
  <si>
    <t xml:space="preserve">CLIN 3008 Travel/Transportation (Government NTE value in summary tab) </t>
  </si>
  <si>
    <t xml:space="preserve">CLIN 3009 Other Direct Cost - Canceled Appointments, Interpretive
Services, Diagnostic Tests, and all other ancillary services (Government NTE value in summary tab) </t>
  </si>
  <si>
    <t xml:space="preserve">CLIN 4008 Travel/Transportation (Government NTE value in summary tab) </t>
  </si>
  <si>
    <t xml:space="preserve">CLIN 4009 Other Direct Cost - Canceled Appointments, Interpretive
Services, Diagnostic Tests, and all other ancillary services (Government NTE value in summary tab) </t>
  </si>
  <si>
    <t xml:space="preserve">All other Territories or Possessions </t>
  </si>
  <si>
    <t>Puerto Rico</t>
  </si>
  <si>
    <t xml:space="preserve">Virgin Islands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</si>
</sst>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theme="8" tint="-0.249977111117893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name val="Calibri"/>
      <family val="2"/>
      <scheme val="minor"/>
    </font>
    <font>
      <sz val="12"/>
      <color rgb="FF000000"/>
      <name val="Arial"/>
      <family val="2"/>
    </font>
    <font>
      <i/>
      <sz val="12"/>
      <color theme="3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164" fontId="0" fillId="0" borderId="5" xfId="0" applyNumberFormat="1" applyBorder="1"/>
    <xf numFmtId="44" fontId="0" fillId="0" borderId="6" xfId="1" applyFont="1" applyBorder="1"/>
    <xf numFmtId="164" fontId="3" fillId="0" borderId="5" xfId="0" applyNumberFormat="1" applyFont="1" applyBorder="1"/>
    <xf numFmtId="0" fontId="5" fillId="0" borderId="4" xfId="0" applyFont="1" applyBorder="1"/>
    <xf numFmtId="0" fontId="0" fillId="2" borderId="0" xfId="0" applyFill="1"/>
    <xf numFmtId="0" fontId="4" fillId="3" borderId="1" xfId="0" applyFont="1" applyFill="1" applyBorder="1"/>
    <xf numFmtId="0" fontId="2" fillId="0" borderId="0" xfId="0" applyFont="1"/>
    <xf numFmtId="44" fontId="0" fillId="0" borderId="0" xfId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/>
    <xf numFmtId="0" fontId="2" fillId="0" borderId="2" xfId="0" applyFont="1" applyBorder="1"/>
    <xf numFmtId="0" fontId="2" fillId="0" borderId="3" xfId="0" applyFont="1" applyBorder="1"/>
    <xf numFmtId="0" fontId="7" fillId="4" borderId="1" xfId="0" applyFont="1" applyFill="1" applyBorder="1" applyAlignment="1">
      <alignment wrapText="1"/>
    </xf>
    <xf numFmtId="1" fontId="0" fillId="0" borderId="1" xfId="1" applyNumberFormat="1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wrapText="1"/>
    </xf>
    <xf numFmtId="44" fontId="0" fillId="0" borderId="5" xfId="1" applyFont="1" applyBorder="1"/>
    <xf numFmtId="1" fontId="0" fillId="0" borderId="5" xfId="1" applyNumberFormat="1" applyFont="1" applyBorder="1"/>
    <xf numFmtId="0" fontId="0" fillId="2" borderId="5" xfId="0" applyFill="1" applyBorder="1"/>
    <xf numFmtId="0" fontId="0" fillId="2" borderId="6" xfId="0" applyFill="1" applyBorder="1"/>
    <xf numFmtId="0" fontId="4" fillId="6" borderId="1" xfId="0" applyFont="1" applyFill="1" applyBorder="1"/>
    <xf numFmtId="0" fontId="4" fillId="6" borderId="0" xfId="0" applyFont="1" applyFill="1"/>
    <xf numFmtId="0" fontId="0" fillId="6" borderId="0" xfId="0" applyFill="1"/>
    <xf numFmtId="0" fontId="2" fillId="0" borderId="4" xfId="0" applyFont="1" applyBorder="1" applyAlignment="1">
      <alignment horizontal="left" wrapText="1"/>
    </xf>
    <xf numFmtId="0" fontId="2" fillId="6" borderId="1" xfId="0" applyFont="1" applyFill="1" applyBorder="1" applyAlignment="1">
      <alignment wrapText="1"/>
    </xf>
    <xf numFmtId="0" fontId="8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4" xfId="0" applyFont="1" applyBorder="1" applyAlignment="1">
      <alignment horizontal="right"/>
    </xf>
    <xf numFmtId="164" fontId="0" fillId="0" borderId="0" xfId="0" applyNumberFormat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0" fillId="0" borderId="5" xfId="1" applyNumberFormat="1" applyFont="1" applyBorder="1"/>
    <xf numFmtId="0" fontId="0" fillId="0" borderId="5" xfId="0" applyBorder="1"/>
    <xf numFmtId="0" fontId="0" fillId="0" borderId="6" xfId="0" applyBorder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38" fontId="12" fillId="0" borderId="0" xfId="2" applyNumberFormat="1" applyFont="1" applyBorder="1"/>
    <xf numFmtId="0" fontId="12" fillId="0" borderId="0" xfId="0" applyFont="1" applyAlignment="1">
      <alignment horizontal="center"/>
    </xf>
    <xf numFmtId="7" fontId="12" fillId="0" borderId="0" xfId="0" applyNumberFormat="1" applyFont="1"/>
    <xf numFmtId="4" fontId="12" fillId="0" borderId="0" xfId="0" applyNumberFormat="1" applyFont="1"/>
    <xf numFmtId="0" fontId="11" fillId="0" borderId="1" xfId="0" applyFont="1" applyBorder="1" applyAlignment="1">
      <alignment horizontal="center"/>
    </xf>
    <xf numFmtId="38" fontId="11" fillId="0" borderId="1" xfId="2" applyNumberFormat="1" applyFont="1" applyBorder="1" applyAlignment="1">
      <alignment horizontal="center"/>
    </xf>
    <xf numFmtId="4" fontId="11" fillId="6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1" fontId="12" fillId="0" borderId="1" xfId="2" applyNumberFormat="1" applyFont="1" applyBorder="1" applyAlignment="1">
      <alignment horizontal="center"/>
    </xf>
    <xf numFmtId="44" fontId="12" fillId="0" borderId="0" xfId="1" applyFont="1"/>
    <xf numFmtId="1" fontId="12" fillId="6" borderId="1" xfId="2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7" fontId="12" fillId="6" borderId="1" xfId="0" applyNumberFormat="1" applyFont="1" applyFill="1" applyBorder="1"/>
    <xf numFmtId="44" fontId="12" fillId="9" borderId="1" xfId="1" applyFont="1" applyFill="1" applyBorder="1"/>
    <xf numFmtId="0" fontId="12" fillId="0" borderId="1" xfId="0" applyFont="1" applyBorder="1" applyAlignment="1">
      <alignment wrapText="1"/>
    </xf>
    <xf numFmtId="164" fontId="11" fillId="9" borderId="1" xfId="0" applyNumberFormat="1" applyFont="1" applyFill="1" applyBorder="1"/>
    <xf numFmtId="164" fontId="12" fillId="0" borderId="0" xfId="0" applyNumberFormat="1" applyFont="1"/>
    <xf numFmtId="0" fontId="12" fillId="0" borderId="0" xfId="0" applyFont="1" applyAlignment="1">
      <alignment wrapText="1"/>
    </xf>
    <xf numFmtId="1" fontId="11" fillId="6" borderId="0" xfId="2" applyNumberFormat="1" applyFont="1" applyFill="1" applyBorder="1"/>
    <xf numFmtId="0" fontId="11" fillId="6" borderId="0" xfId="0" applyFont="1" applyFill="1" applyAlignment="1">
      <alignment horizontal="center"/>
    </xf>
    <xf numFmtId="7" fontId="12" fillId="6" borderId="0" xfId="0" applyNumberFormat="1" applyFont="1" applyFill="1"/>
    <xf numFmtId="164" fontId="11" fillId="6" borderId="0" xfId="0" applyNumberFormat="1" applyFont="1" applyFill="1"/>
    <xf numFmtId="0" fontId="11" fillId="0" borderId="1" xfId="0" applyFont="1" applyBorder="1"/>
    <xf numFmtId="7" fontId="12" fillId="10" borderId="1" xfId="0" applyNumberFormat="1" applyFont="1" applyFill="1" applyBorder="1"/>
    <xf numFmtId="164" fontId="12" fillId="10" borderId="1" xfId="0" applyNumberFormat="1" applyFont="1" applyFill="1" applyBorder="1"/>
    <xf numFmtId="1" fontId="11" fillId="6" borderId="1" xfId="2" applyNumberFormat="1" applyFont="1" applyFill="1" applyBorder="1"/>
    <xf numFmtId="0" fontId="11" fillId="6" borderId="1" xfId="0" applyFont="1" applyFill="1" applyBorder="1" applyAlignment="1">
      <alignment horizontal="center"/>
    </xf>
    <xf numFmtId="164" fontId="11" fillId="10" borderId="1" xfId="0" applyNumberFormat="1" applyFont="1" applyFill="1" applyBorder="1"/>
    <xf numFmtId="0" fontId="15" fillId="0" borderId="0" xfId="0" applyFont="1" applyAlignment="1">
      <alignment horizontal="left" vertical="center" indent="1"/>
    </xf>
    <xf numFmtId="1" fontId="11" fillId="6" borderId="1" xfId="2" applyNumberFormat="1" applyFont="1" applyFill="1" applyBorder="1" applyAlignment="1">
      <alignment horizontal="center"/>
    </xf>
    <xf numFmtId="0" fontId="16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vertical="top" wrapText="1"/>
    </xf>
    <xf numFmtId="49" fontId="12" fillId="0" borderId="0" xfId="0" applyNumberFormat="1" applyFont="1"/>
    <xf numFmtId="0" fontId="11" fillId="2" borderId="1" xfId="0" applyFont="1" applyFill="1" applyBorder="1"/>
    <xf numFmtId="0" fontId="11" fillId="0" borderId="1" xfId="0" applyFont="1" applyBorder="1" applyAlignment="1">
      <alignment horizontal="left" wrapText="1"/>
    </xf>
    <xf numFmtId="0" fontId="8" fillId="0" borderId="0" xfId="0" applyFont="1"/>
    <xf numFmtId="7" fontId="12" fillId="0" borderId="1" xfId="0" applyNumberFormat="1" applyFont="1" applyBorder="1"/>
    <xf numFmtId="164" fontId="12" fillId="6" borderId="1" xfId="0" applyNumberFormat="1" applyFont="1" applyFill="1" applyBorder="1"/>
    <xf numFmtId="7" fontId="12" fillId="6" borderId="1" xfId="0" applyNumberFormat="1" applyFont="1" applyFill="1" applyBorder="1" applyAlignment="1">
      <alignment wrapText="1"/>
    </xf>
    <xf numFmtId="0" fontId="18" fillId="12" borderId="10" xfId="0" applyFont="1" applyFill="1" applyBorder="1"/>
    <xf numFmtId="0" fontId="18" fillId="12" borderId="11" xfId="0" applyFont="1" applyFill="1" applyBorder="1"/>
    <xf numFmtId="0" fontId="18" fillId="12" borderId="7" xfId="0" applyFont="1" applyFill="1" applyBorder="1"/>
    <xf numFmtId="0" fontId="18" fillId="12" borderId="12" xfId="0" applyFont="1" applyFill="1" applyBorder="1"/>
    <xf numFmtId="0" fontId="18" fillId="12" borderId="9" xfId="0" applyFont="1" applyFill="1" applyBorder="1"/>
    <xf numFmtId="0" fontId="18" fillId="12" borderId="3" xfId="0" applyFont="1" applyFill="1" applyBorder="1"/>
    <xf numFmtId="0" fontId="18" fillId="0" borderId="0" xfId="0" applyFont="1"/>
    <xf numFmtId="0" fontId="18" fillId="13" borderId="10" xfId="0" applyFont="1" applyFill="1" applyBorder="1"/>
    <xf numFmtId="0" fontId="18" fillId="13" borderId="11" xfId="0" applyFont="1" applyFill="1" applyBorder="1"/>
    <xf numFmtId="0" fontId="18" fillId="13" borderId="7" xfId="0" applyFont="1" applyFill="1" applyBorder="1"/>
    <xf numFmtId="0" fontId="18" fillId="13" borderId="12" xfId="0" applyFont="1" applyFill="1" applyBorder="1"/>
    <xf numFmtId="0" fontId="18" fillId="13" borderId="9" xfId="0" applyFont="1" applyFill="1" applyBorder="1"/>
    <xf numFmtId="0" fontId="18" fillId="13" borderId="3" xfId="0" applyFont="1" applyFill="1" applyBorder="1"/>
    <xf numFmtId="0" fontId="18" fillId="2" borderId="10" xfId="0" applyFont="1" applyFill="1" applyBorder="1"/>
    <xf numFmtId="0" fontId="18" fillId="2" borderId="11" xfId="0" applyFont="1" applyFill="1" applyBorder="1"/>
    <xf numFmtId="0" fontId="18" fillId="2" borderId="7" xfId="0" applyFont="1" applyFill="1" applyBorder="1"/>
    <xf numFmtId="0" fontId="18" fillId="2" borderId="12" xfId="0" applyFont="1" applyFill="1" applyBorder="1"/>
    <xf numFmtId="0" fontId="14" fillId="2" borderId="7" xfId="0" applyFont="1" applyFill="1" applyBorder="1"/>
    <xf numFmtId="0" fontId="17" fillId="2" borderId="7" xfId="0" applyFont="1" applyFill="1" applyBorder="1" applyAlignment="1">
      <alignment wrapText="1"/>
    </xf>
    <xf numFmtId="0" fontId="14" fillId="2" borderId="9" xfId="0" applyFont="1" applyFill="1" applyBorder="1"/>
    <xf numFmtId="0" fontId="18" fillId="2" borderId="3" xfId="0" applyFont="1" applyFill="1" applyBorder="1"/>
    <xf numFmtId="164" fontId="0" fillId="11" borderId="1" xfId="0" applyNumberFormat="1" applyFill="1" applyBorder="1"/>
    <xf numFmtId="0" fontId="17" fillId="0" borderId="5" xfId="0" applyFont="1" applyBorder="1"/>
    <xf numFmtId="0" fontId="17" fillId="0" borderId="2" xfId="0" applyFont="1" applyBorder="1"/>
    <xf numFmtId="0" fontId="3" fillId="0" borderId="0" xfId="0" applyFont="1"/>
    <xf numFmtId="164" fontId="0" fillId="5" borderId="1" xfId="0" applyNumberFormat="1" applyFill="1" applyBorder="1" applyProtection="1">
      <protection locked="0"/>
    </xf>
    <xf numFmtId="3" fontId="12" fillId="0" borderId="1" xfId="0" applyNumberFormat="1" applyFont="1" applyBorder="1" applyAlignment="1">
      <alignment horizontal="center"/>
    </xf>
    <xf numFmtId="0" fontId="4" fillId="14" borderId="1" xfId="0" applyFont="1" applyFill="1" applyBorder="1"/>
    <xf numFmtId="0" fontId="6" fillId="14" borderId="1" xfId="0" applyFont="1" applyFill="1" applyBorder="1" applyAlignment="1">
      <alignment wrapText="1"/>
    </xf>
    <xf numFmtId="0" fontId="0" fillId="14" borderId="5" xfId="0" applyFill="1" applyBorder="1" applyAlignment="1">
      <alignment horizontal="center"/>
    </xf>
    <xf numFmtId="0" fontId="19" fillId="0" borderId="1" xfId="0" applyFont="1" applyBorder="1"/>
    <xf numFmtId="0" fontId="17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1" fontId="11" fillId="0" borderId="4" xfId="2" applyNumberFormat="1" applyFont="1" applyFill="1" applyBorder="1" applyAlignment="1">
      <alignment horizontal="center"/>
    </xf>
    <xf numFmtId="1" fontId="11" fillId="0" borderId="6" xfId="2" applyNumberFormat="1" applyFont="1" applyFill="1" applyBorder="1" applyAlignment="1">
      <alignment horizontal="center"/>
    </xf>
    <xf numFmtId="164" fontId="11" fillId="4" borderId="4" xfId="0" applyNumberFormat="1" applyFont="1" applyFill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/>
    </xf>
    <xf numFmtId="164" fontId="11" fillId="4" borderId="6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11" fillId="7" borderId="4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1" fontId="11" fillId="6" borderId="4" xfId="2" applyNumberFormat="1" applyFont="1" applyFill="1" applyBorder="1" applyAlignment="1">
      <alignment horizontal="left" wrapText="1"/>
    </xf>
    <xf numFmtId="1" fontId="11" fillId="6" borderId="6" xfId="2" applyNumberFormat="1" applyFont="1" applyFill="1" applyBorder="1" applyAlignment="1">
      <alignment horizontal="left" wrapText="1"/>
    </xf>
    <xf numFmtId="0" fontId="11" fillId="7" borderId="9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1" fontId="11" fillId="6" borderId="4" xfId="2" applyNumberFormat="1" applyFont="1" applyFill="1" applyBorder="1" applyAlignment="1">
      <alignment horizontal="left"/>
    </xf>
    <xf numFmtId="1" fontId="11" fillId="6" borderId="6" xfId="2" applyNumberFormat="1" applyFont="1" applyFill="1" applyBorder="1" applyAlignment="1">
      <alignment horizontal="left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76D0-1FE8-47BE-A29F-D89D83D72325}">
  <dimension ref="A3:B52"/>
  <sheetViews>
    <sheetView workbookViewId="0">
      <selection activeCell="B1" sqref="B1"/>
    </sheetView>
  </sheetViews>
  <sheetFormatPr defaultRowHeight="14.5" x14ac:dyDescent="0.35"/>
  <cols>
    <col min="1" max="1" width="15.54296875" bestFit="1" customWidth="1"/>
    <col min="2" max="2" width="171" bestFit="1" customWidth="1"/>
  </cols>
  <sheetData>
    <row r="3" spans="1:2" ht="15.5" x14ac:dyDescent="0.35">
      <c r="A3" s="87" t="s">
        <v>158</v>
      </c>
      <c r="B3" s="88" t="s">
        <v>159</v>
      </c>
    </row>
    <row r="4" spans="1:2" ht="15.5" x14ac:dyDescent="0.35">
      <c r="A4" s="89"/>
      <c r="B4" s="90" t="s">
        <v>192</v>
      </c>
    </row>
    <row r="5" spans="1:2" ht="15.5" x14ac:dyDescent="0.35">
      <c r="A5" s="89"/>
      <c r="B5" s="90" t="s">
        <v>160</v>
      </c>
    </row>
    <row r="6" spans="1:2" ht="15.5" x14ac:dyDescent="0.35">
      <c r="A6" s="89"/>
      <c r="B6" s="90" t="s">
        <v>175</v>
      </c>
    </row>
    <row r="7" spans="1:2" ht="15.5" x14ac:dyDescent="0.35">
      <c r="A7" s="89"/>
      <c r="B7" s="90" t="s">
        <v>161</v>
      </c>
    </row>
    <row r="8" spans="1:2" ht="15.5" x14ac:dyDescent="0.35">
      <c r="A8" s="91"/>
      <c r="B8" s="92" t="s">
        <v>176</v>
      </c>
    </row>
    <row r="9" spans="1:2" ht="15.5" x14ac:dyDescent="0.35">
      <c r="A9" s="93"/>
      <c r="B9" s="93"/>
    </row>
    <row r="10" spans="1:2" ht="15.5" x14ac:dyDescent="0.35">
      <c r="A10" s="87" t="s">
        <v>162</v>
      </c>
      <c r="B10" s="88" t="s">
        <v>163</v>
      </c>
    </row>
    <row r="11" spans="1:2" ht="15.5" x14ac:dyDescent="0.35">
      <c r="A11" s="89"/>
      <c r="B11" s="90" t="s">
        <v>195</v>
      </c>
    </row>
    <row r="12" spans="1:2" ht="15.5" x14ac:dyDescent="0.35">
      <c r="A12" s="89"/>
      <c r="B12" s="90" t="s">
        <v>160</v>
      </c>
    </row>
    <row r="13" spans="1:2" ht="15.5" x14ac:dyDescent="0.35">
      <c r="A13" s="89"/>
      <c r="B13" s="90" t="s">
        <v>177</v>
      </c>
    </row>
    <row r="14" spans="1:2" ht="15.5" x14ac:dyDescent="0.35">
      <c r="A14" s="89"/>
      <c r="B14" s="90" t="s">
        <v>161</v>
      </c>
    </row>
    <row r="15" spans="1:2" ht="15.5" x14ac:dyDescent="0.35">
      <c r="A15" s="91"/>
      <c r="B15" s="92" t="s">
        <v>176</v>
      </c>
    </row>
    <row r="16" spans="1:2" ht="15.5" x14ac:dyDescent="0.35">
      <c r="A16" s="93"/>
      <c r="B16" s="93"/>
    </row>
    <row r="17" spans="1:2" ht="15.5" x14ac:dyDescent="0.35">
      <c r="A17" s="94" t="s">
        <v>164</v>
      </c>
      <c r="B17" s="95" t="s">
        <v>186</v>
      </c>
    </row>
    <row r="18" spans="1:2" ht="15.5" x14ac:dyDescent="0.35">
      <c r="A18" s="96"/>
      <c r="B18" s="97" t="s">
        <v>194</v>
      </c>
    </row>
    <row r="19" spans="1:2" ht="15.5" x14ac:dyDescent="0.35">
      <c r="A19" s="96"/>
      <c r="B19" s="97" t="s">
        <v>178</v>
      </c>
    </row>
    <row r="20" spans="1:2" ht="15.5" x14ac:dyDescent="0.35">
      <c r="A20" s="98"/>
      <c r="B20" s="99" t="s">
        <v>161</v>
      </c>
    </row>
    <row r="21" spans="1:2" ht="15.5" x14ac:dyDescent="0.35">
      <c r="A21" s="93"/>
      <c r="B21" s="93"/>
    </row>
    <row r="22" spans="1:2" ht="15.5" x14ac:dyDescent="0.35">
      <c r="A22" s="94" t="s">
        <v>165</v>
      </c>
      <c r="B22" s="95" t="s">
        <v>183</v>
      </c>
    </row>
    <row r="23" spans="1:2" ht="15.5" x14ac:dyDescent="0.35">
      <c r="A23" s="96"/>
      <c r="B23" s="97" t="s">
        <v>193</v>
      </c>
    </row>
    <row r="24" spans="1:2" ht="15.5" x14ac:dyDescent="0.35">
      <c r="A24" s="96"/>
      <c r="B24" s="97" t="s">
        <v>160</v>
      </c>
    </row>
    <row r="25" spans="1:2" ht="15.5" x14ac:dyDescent="0.35">
      <c r="A25" s="96"/>
      <c r="B25" s="97" t="s">
        <v>179</v>
      </c>
    </row>
    <row r="26" spans="1:2" ht="15.5" x14ac:dyDescent="0.35">
      <c r="A26" s="96"/>
      <c r="B26" s="97" t="s">
        <v>161</v>
      </c>
    </row>
    <row r="27" spans="1:2" ht="15.5" x14ac:dyDescent="0.35">
      <c r="A27" s="98"/>
      <c r="B27" s="99" t="s">
        <v>176</v>
      </c>
    </row>
    <row r="28" spans="1:2" ht="15.5" x14ac:dyDescent="0.35">
      <c r="A28" s="93"/>
      <c r="B28" s="93"/>
    </row>
    <row r="29" spans="1:2" ht="15.5" x14ac:dyDescent="0.35">
      <c r="A29" s="94" t="s">
        <v>166</v>
      </c>
      <c r="B29" s="95" t="s">
        <v>185</v>
      </c>
    </row>
    <row r="30" spans="1:2" ht="15.5" x14ac:dyDescent="0.35">
      <c r="A30" s="96"/>
      <c r="B30" s="97" t="s">
        <v>193</v>
      </c>
    </row>
    <row r="31" spans="1:2" ht="15.5" x14ac:dyDescent="0.35">
      <c r="A31" s="96"/>
      <c r="B31" s="97" t="s">
        <v>160</v>
      </c>
    </row>
    <row r="32" spans="1:2" ht="15.5" x14ac:dyDescent="0.35">
      <c r="A32" s="96"/>
      <c r="B32" s="97" t="s">
        <v>180</v>
      </c>
    </row>
    <row r="33" spans="1:2" ht="15.5" x14ac:dyDescent="0.35">
      <c r="A33" s="96"/>
      <c r="B33" s="97" t="s">
        <v>161</v>
      </c>
    </row>
    <row r="34" spans="1:2" ht="15.5" x14ac:dyDescent="0.35">
      <c r="A34" s="98"/>
      <c r="B34" s="99" t="s">
        <v>176</v>
      </c>
    </row>
    <row r="35" spans="1:2" ht="15.5" x14ac:dyDescent="0.35">
      <c r="A35" s="93"/>
      <c r="B35" s="93"/>
    </row>
    <row r="36" spans="1:2" ht="15.5" x14ac:dyDescent="0.35">
      <c r="A36" s="94" t="s">
        <v>167</v>
      </c>
      <c r="B36" s="95" t="s">
        <v>184</v>
      </c>
    </row>
    <row r="37" spans="1:2" ht="15.5" x14ac:dyDescent="0.35">
      <c r="A37" s="96"/>
      <c r="B37" s="97" t="s">
        <v>193</v>
      </c>
    </row>
    <row r="38" spans="1:2" ht="15.5" x14ac:dyDescent="0.35">
      <c r="A38" s="96"/>
      <c r="B38" s="97" t="s">
        <v>160</v>
      </c>
    </row>
    <row r="39" spans="1:2" ht="15.5" x14ac:dyDescent="0.35">
      <c r="A39" s="96"/>
      <c r="B39" s="97" t="s">
        <v>181</v>
      </c>
    </row>
    <row r="40" spans="1:2" ht="15.5" x14ac:dyDescent="0.35">
      <c r="A40" s="96"/>
      <c r="B40" s="97" t="s">
        <v>161</v>
      </c>
    </row>
    <row r="41" spans="1:2" ht="15.5" x14ac:dyDescent="0.35">
      <c r="A41" s="98"/>
      <c r="B41" s="99" t="s">
        <v>176</v>
      </c>
    </row>
    <row r="42" spans="1:2" ht="15.5" x14ac:dyDescent="0.35">
      <c r="A42" s="93"/>
      <c r="B42" s="93"/>
    </row>
    <row r="43" spans="1:2" ht="15.5" x14ac:dyDescent="0.35">
      <c r="A43" s="93"/>
      <c r="B43" s="93"/>
    </row>
    <row r="44" spans="1:2" ht="15.5" x14ac:dyDescent="0.35">
      <c r="A44" s="100" t="s">
        <v>168</v>
      </c>
      <c r="B44" s="101" t="s">
        <v>169</v>
      </c>
    </row>
    <row r="45" spans="1:2" ht="15.5" x14ac:dyDescent="0.35">
      <c r="A45" s="102"/>
      <c r="B45" s="103" t="s">
        <v>182</v>
      </c>
    </row>
    <row r="46" spans="1:2" ht="15.5" x14ac:dyDescent="0.35">
      <c r="A46" s="104"/>
      <c r="B46" s="103" t="s">
        <v>170</v>
      </c>
    </row>
    <row r="47" spans="1:2" ht="15.5" x14ac:dyDescent="0.35">
      <c r="A47" s="104"/>
      <c r="B47" s="103" t="s">
        <v>171</v>
      </c>
    </row>
    <row r="48" spans="1:2" ht="15.5" x14ac:dyDescent="0.35">
      <c r="A48" s="105"/>
      <c r="B48" s="103" t="s">
        <v>172</v>
      </c>
    </row>
    <row r="49" spans="1:2" ht="15.5" x14ac:dyDescent="0.35">
      <c r="A49" s="106"/>
      <c r="B49" s="107" t="s">
        <v>173</v>
      </c>
    </row>
    <row r="50" spans="1:2" x14ac:dyDescent="0.35">
      <c r="A50" s="83"/>
    </row>
    <row r="51" spans="1:2" x14ac:dyDescent="0.35">
      <c r="A51" s="83"/>
    </row>
    <row r="52" spans="1:2" x14ac:dyDescent="0.35">
      <c r="A52" s="83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BD3C-23DD-41BE-82FC-280D7FF1D803}">
  <dimension ref="A1:T167"/>
  <sheetViews>
    <sheetView tabSelected="1" zoomScale="130" zoomScaleNormal="130" workbookViewId="0">
      <selection activeCell="A5" sqref="A5"/>
    </sheetView>
  </sheetViews>
  <sheetFormatPr defaultRowHeight="14.5" x14ac:dyDescent="0.35"/>
  <cols>
    <col min="1" max="1" width="79.54296875" customWidth="1"/>
    <col min="2" max="3" width="16" customWidth="1"/>
    <col min="4" max="4" width="21.7265625" bestFit="1" customWidth="1"/>
    <col min="5" max="5" width="12.7265625" customWidth="1"/>
    <col min="6" max="6" width="14.81640625" customWidth="1"/>
    <col min="7" max="7" width="13.26953125" bestFit="1" customWidth="1"/>
    <col min="8" max="8" width="13" customWidth="1"/>
    <col min="9" max="9" width="13.1796875" bestFit="1" customWidth="1"/>
    <col min="10" max="10" width="8.453125" customWidth="1"/>
    <col min="11" max="11" width="13.1796875" customWidth="1"/>
    <col min="12" max="12" width="14" customWidth="1"/>
    <col min="13" max="13" width="8.453125" customWidth="1"/>
    <col min="14" max="14" width="14.81640625" bestFit="1" customWidth="1"/>
    <col min="15" max="17" width="12.7265625" customWidth="1"/>
    <col min="18" max="18" width="21.453125" customWidth="1"/>
    <col min="19" max="19" width="8.26953125" customWidth="1"/>
    <col min="20" max="20" width="11.81640625" customWidth="1"/>
    <col min="21" max="21" width="11.453125" bestFit="1" customWidth="1"/>
    <col min="22" max="23" width="9.81640625" customWidth="1"/>
    <col min="27" max="27" width="11.81640625" customWidth="1"/>
  </cols>
  <sheetData>
    <row r="1" spans="1:20" ht="27.75" customHeight="1" x14ac:dyDescent="0.35">
      <c r="A1" s="119" t="s">
        <v>57</v>
      </c>
      <c r="B1" s="119"/>
      <c r="C1" s="119"/>
      <c r="D1" s="119"/>
      <c r="E1" s="119"/>
      <c r="F1" s="119"/>
      <c r="G1" s="119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0"/>
      <c r="T1" s="10"/>
    </row>
    <row r="2" spans="1:20" ht="30" customHeight="1" x14ac:dyDescent="0.35">
      <c r="A2" s="121" t="s">
        <v>150</v>
      </c>
      <c r="B2" s="121"/>
      <c r="C2" s="121"/>
      <c r="D2" s="121"/>
      <c r="E2" s="121"/>
      <c r="F2" s="121"/>
      <c r="G2" s="12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7.75" customHeight="1" x14ac:dyDescent="0.35">
      <c r="A3" s="109"/>
      <c r="B3" s="118" t="s">
        <v>187</v>
      </c>
      <c r="C3" s="118"/>
      <c r="D3" s="118"/>
      <c r="E3" s="118"/>
      <c r="F3" s="118"/>
      <c r="G3" s="118"/>
      <c r="H3" s="10"/>
      <c r="I3" s="118" t="s">
        <v>188</v>
      </c>
      <c r="J3" s="118"/>
      <c r="K3" s="118"/>
      <c r="L3" s="118"/>
      <c r="M3" s="118"/>
      <c r="N3" s="118"/>
      <c r="O3" s="10"/>
      <c r="P3" s="10"/>
      <c r="Q3" s="10"/>
      <c r="R3" s="10"/>
      <c r="S3" s="10"/>
      <c r="T3" s="10"/>
    </row>
    <row r="4" spans="1:20" ht="43" x14ac:dyDescent="0.35">
      <c r="A4" s="81" t="s">
        <v>51</v>
      </c>
      <c r="B4" s="17" t="s">
        <v>99</v>
      </c>
      <c r="C4" s="17" t="s">
        <v>100</v>
      </c>
      <c r="D4" s="17" t="s">
        <v>101</v>
      </c>
      <c r="E4" s="17" t="s">
        <v>102</v>
      </c>
      <c r="F4" s="17" t="s">
        <v>103</v>
      </c>
      <c r="G4" s="17" t="s">
        <v>149</v>
      </c>
      <c r="I4" s="17" t="s">
        <v>99</v>
      </c>
      <c r="J4" s="17" t="s">
        <v>100</v>
      </c>
      <c r="K4" s="17" t="s">
        <v>101</v>
      </c>
      <c r="L4" s="17" t="s">
        <v>102</v>
      </c>
      <c r="M4" s="17" t="s">
        <v>103</v>
      </c>
      <c r="N4" s="17" t="s">
        <v>149</v>
      </c>
    </row>
    <row r="5" spans="1:20" x14ac:dyDescent="0.35">
      <c r="A5" s="117" t="s">
        <v>286</v>
      </c>
      <c r="B5" s="112">
        <v>0</v>
      </c>
      <c r="C5" s="112">
        <v>0</v>
      </c>
      <c r="D5" s="112">
        <v>0</v>
      </c>
      <c r="E5" s="112">
        <v>0</v>
      </c>
      <c r="F5" s="112">
        <v>0</v>
      </c>
      <c r="G5" s="112">
        <v>0</v>
      </c>
      <c r="I5" s="108">
        <f>B5*1.1</f>
        <v>0</v>
      </c>
      <c r="J5" s="108">
        <f t="shared" ref="J5:N20" si="0">C5*1.1</f>
        <v>0</v>
      </c>
      <c r="K5" s="108">
        <f t="shared" si="0"/>
        <v>0</v>
      </c>
      <c r="L5" s="108">
        <f t="shared" si="0"/>
        <v>0</v>
      </c>
      <c r="M5" s="108">
        <f t="shared" si="0"/>
        <v>0</v>
      </c>
      <c r="N5" s="108">
        <f t="shared" si="0"/>
        <v>0</v>
      </c>
    </row>
    <row r="6" spans="1:20" x14ac:dyDescent="0.35">
      <c r="A6" s="117" t="s">
        <v>287</v>
      </c>
      <c r="B6" s="112">
        <v>0</v>
      </c>
      <c r="C6" s="112">
        <v>0</v>
      </c>
      <c r="D6" s="112">
        <v>0</v>
      </c>
      <c r="E6" s="112">
        <v>0</v>
      </c>
      <c r="F6" s="112">
        <v>0</v>
      </c>
      <c r="G6" s="112">
        <v>0</v>
      </c>
      <c r="I6" s="108">
        <f t="shared" ref="I6:N62" si="1">B6*1.1</f>
        <v>0</v>
      </c>
      <c r="J6" s="108">
        <f t="shared" si="0"/>
        <v>0</v>
      </c>
      <c r="K6" s="108">
        <f t="shared" si="0"/>
        <v>0</v>
      </c>
      <c r="L6" s="108">
        <f t="shared" si="0"/>
        <v>0</v>
      </c>
      <c r="M6" s="108">
        <f t="shared" si="0"/>
        <v>0</v>
      </c>
      <c r="N6" s="108">
        <f t="shared" si="0"/>
        <v>0</v>
      </c>
    </row>
    <row r="7" spans="1:20" x14ac:dyDescent="0.35">
      <c r="A7" s="117" t="s">
        <v>285</v>
      </c>
      <c r="B7" s="112">
        <v>0</v>
      </c>
      <c r="C7" s="112">
        <v>0</v>
      </c>
      <c r="D7" s="112">
        <v>0</v>
      </c>
      <c r="E7" s="112">
        <v>0</v>
      </c>
      <c r="F7" s="112">
        <v>0</v>
      </c>
      <c r="G7" s="112">
        <v>0</v>
      </c>
      <c r="I7" s="108">
        <f t="shared" si="1"/>
        <v>0</v>
      </c>
      <c r="J7" s="108">
        <f t="shared" si="0"/>
        <v>0</v>
      </c>
      <c r="K7" s="108">
        <f t="shared" si="0"/>
        <v>0</v>
      </c>
      <c r="L7" s="108">
        <f t="shared" si="0"/>
        <v>0</v>
      </c>
      <c r="M7" s="108">
        <f t="shared" si="0"/>
        <v>0</v>
      </c>
      <c r="N7" s="108">
        <f t="shared" si="0"/>
        <v>0</v>
      </c>
    </row>
    <row r="8" spans="1:20" x14ac:dyDescent="0.35">
      <c r="A8" s="1" t="s">
        <v>53</v>
      </c>
      <c r="B8" s="112">
        <v>0</v>
      </c>
      <c r="C8" s="112">
        <v>0</v>
      </c>
      <c r="D8" s="112">
        <v>0</v>
      </c>
      <c r="E8" s="112">
        <v>0</v>
      </c>
      <c r="F8" s="112">
        <v>0</v>
      </c>
      <c r="G8" s="112">
        <v>0</v>
      </c>
      <c r="I8" s="108">
        <f t="shared" si="1"/>
        <v>0</v>
      </c>
      <c r="J8" s="108">
        <f t="shared" si="0"/>
        <v>0</v>
      </c>
      <c r="K8" s="108">
        <f t="shared" si="0"/>
        <v>0</v>
      </c>
      <c r="L8" s="108">
        <f t="shared" si="0"/>
        <v>0</v>
      </c>
      <c r="M8" s="108">
        <f t="shared" si="0"/>
        <v>0</v>
      </c>
      <c r="N8" s="108">
        <f t="shared" si="0"/>
        <v>0</v>
      </c>
    </row>
    <row r="9" spans="1:20" x14ac:dyDescent="0.35">
      <c r="A9" s="1" t="s">
        <v>52</v>
      </c>
      <c r="B9" s="112">
        <v>0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I9" s="108">
        <f t="shared" si="1"/>
        <v>0</v>
      </c>
      <c r="J9" s="108">
        <f t="shared" si="0"/>
        <v>0</v>
      </c>
      <c r="K9" s="108">
        <f t="shared" si="0"/>
        <v>0</v>
      </c>
      <c r="L9" s="108">
        <f t="shared" si="0"/>
        <v>0</v>
      </c>
      <c r="M9" s="108">
        <f t="shared" si="0"/>
        <v>0</v>
      </c>
      <c r="N9" s="108">
        <f t="shared" si="0"/>
        <v>0</v>
      </c>
    </row>
    <row r="10" spans="1:20" x14ac:dyDescent="0.35">
      <c r="A10" s="1" t="s">
        <v>54</v>
      </c>
      <c r="B10" s="112">
        <v>0</v>
      </c>
      <c r="C10" s="112">
        <v>0</v>
      </c>
      <c r="D10" s="112">
        <v>0</v>
      </c>
      <c r="E10" s="112">
        <v>0</v>
      </c>
      <c r="F10" s="112">
        <v>0</v>
      </c>
      <c r="G10" s="112">
        <v>0</v>
      </c>
      <c r="I10" s="108">
        <f t="shared" si="1"/>
        <v>0</v>
      </c>
      <c r="J10" s="108">
        <f t="shared" si="0"/>
        <v>0</v>
      </c>
      <c r="K10" s="108">
        <f t="shared" si="0"/>
        <v>0</v>
      </c>
      <c r="L10" s="108">
        <f t="shared" si="0"/>
        <v>0</v>
      </c>
      <c r="M10" s="108">
        <f t="shared" si="0"/>
        <v>0</v>
      </c>
      <c r="N10" s="108">
        <f t="shared" si="0"/>
        <v>0</v>
      </c>
    </row>
    <row r="11" spans="1:20" x14ac:dyDescent="0.35">
      <c r="A11" s="1" t="s">
        <v>0</v>
      </c>
      <c r="B11" s="112">
        <v>0</v>
      </c>
      <c r="C11" s="112">
        <v>0</v>
      </c>
      <c r="D11" s="112">
        <v>0</v>
      </c>
      <c r="E11" s="112">
        <v>0</v>
      </c>
      <c r="F11" s="112">
        <v>0</v>
      </c>
      <c r="G11" s="112">
        <v>0</v>
      </c>
      <c r="I11" s="108">
        <f t="shared" si="1"/>
        <v>0</v>
      </c>
      <c r="J11" s="108">
        <f t="shared" si="0"/>
        <v>0</v>
      </c>
      <c r="K11" s="108">
        <f t="shared" si="0"/>
        <v>0</v>
      </c>
      <c r="L11" s="108">
        <f t="shared" si="0"/>
        <v>0</v>
      </c>
      <c r="M11" s="108">
        <f t="shared" si="0"/>
        <v>0</v>
      </c>
      <c r="N11" s="108">
        <f t="shared" si="0"/>
        <v>0</v>
      </c>
    </row>
    <row r="12" spans="1:20" x14ac:dyDescent="0.35">
      <c r="A12" s="1" t="s">
        <v>1</v>
      </c>
      <c r="B12" s="112">
        <v>0</v>
      </c>
      <c r="C12" s="112">
        <v>0</v>
      </c>
      <c r="D12" s="112">
        <v>0</v>
      </c>
      <c r="E12" s="112">
        <v>0</v>
      </c>
      <c r="F12" s="112">
        <v>0</v>
      </c>
      <c r="G12" s="112">
        <v>0</v>
      </c>
      <c r="I12" s="108">
        <f t="shared" si="1"/>
        <v>0</v>
      </c>
      <c r="J12" s="108">
        <f t="shared" si="0"/>
        <v>0</v>
      </c>
      <c r="K12" s="108">
        <f t="shared" si="0"/>
        <v>0</v>
      </c>
      <c r="L12" s="108">
        <f t="shared" si="0"/>
        <v>0</v>
      </c>
      <c r="M12" s="108">
        <f t="shared" si="0"/>
        <v>0</v>
      </c>
      <c r="N12" s="108">
        <f t="shared" si="0"/>
        <v>0</v>
      </c>
    </row>
    <row r="13" spans="1:20" x14ac:dyDescent="0.35">
      <c r="A13" s="1" t="s">
        <v>2</v>
      </c>
      <c r="B13" s="112">
        <v>0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I13" s="108">
        <f t="shared" si="1"/>
        <v>0</v>
      </c>
      <c r="J13" s="108">
        <f t="shared" si="0"/>
        <v>0</v>
      </c>
      <c r="K13" s="108">
        <f t="shared" si="0"/>
        <v>0</v>
      </c>
      <c r="L13" s="108">
        <f t="shared" si="0"/>
        <v>0</v>
      </c>
      <c r="M13" s="108">
        <f t="shared" si="0"/>
        <v>0</v>
      </c>
      <c r="N13" s="108">
        <f t="shared" si="0"/>
        <v>0</v>
      </c>
    </row>
    <row r="14" spans="1:20" x14ac:dyDescent="0.35">
      <c r="A14" s="1" t="s">
        <v>3</v>
      </c>
      <c r="B14" s="112">
        <v>0</v>
      </c>
      <c r="C14" s="112">
        <v>0</v>
      </c>
      <c r="D14" s="112">
        <v>0</v>
      </c>
      <c r="E14" s="112">
        <v>0</v>
      </c>
      <c r="F14" s="112">
        <v>0</v>
      </c>
      <c r="G14" s="112">
        <v>0</v>
      </c>
      <c r="I14" s="108">
        <f t="shared" si="1"/>
        <v>0</v>
      </c>
      <c r="J14" s="108">
        <f t="shared" si="0"/>
        <v>0</v>
      </c>
      <c r="K14" s="108">
        <f t="shared" si="0"/>
        <v>0</v>
      </c>
      <c r="L14" s="108">
        <f t="shared" si="0"/>
        <v>0</v>
      </c>
      <c r="M14" s="108">
        <f t="shared" si="0"/>
        <v>0</v>
      </c>
      <c r="N14" s="108">
        <f t="shared" si="0"/>
        <v>0</v>
      </c>
    </row>
    <row r="15" spans="1:20" x14ac:dyDescent="0.35">
      <c r="A15" s="1" t="s">
        <v>4</v>
      </c>
      <c r="B15" s="112">
        <v>0</v>
      </c>
      <c r="C15" s="112">
        <v>0</v>
      </c>
      <c r="D15" s="112">
        <v>0</v>
      </c>
      <c r="E15" s="112">
        <v>0</v>
      </c>
      <c r="F15" s="112">
        <v>0</v>
      </c>
      <c r="G15" s="112">
        <v>0</v>
      </c>
      <c r="I15" s="108">
        <f t="shared" si="1"/>
        <v>0</v>
      </c>
      <c r="J15" s="108">
        <f t="shared" si="0"/>
        <v>0</v>
      </c>
      <c r="K15" s="108">
        <f t="shared" si="0"/>
        <v>0</v>
      </c>
      <c r="L15" s="108">
        <f t="shared" si="0"/>
        <v>0</v>
      </c>
      <c r="M15" s="108">
        <f t="shared" si="0"/>
        <v>0</v>
      </c>
      <c r="N15" s="108">
        <f t="shared" si="0"/>
        <v>0</v>
      </c>
    </row>
    <row r="16" spans="1:20" x14ac:dyDescent="0.35">
      <c r="A16" s="1" t="s">
        <v>5</v>
      </c>
      <c r="B16" s="112">
        <v>0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I16" s="108">
        <f t="shared" si="1"/>
        <v>0</v>
      </c>
      <c r="J16" s="108">
        <f t="shared" si="0"/>
        <v>0</v>
      </c>
      <c r="K16" s="108">
        <f t="shared" si="0"/>
        <v>0</v>
      </c>
      <c r="L16" s="108">
        <f t="shared" si="0"/>
        <v>0</v>
      </c>
      <c r="M16" s="108">
        <f t="shared" si="0"/>
        <v>0</v>
      </c>
      <c r="N16" s="108">
        <f t="shared" si="0"/>
        <v>0</v>
      </c>
    </row>
    <row r="17" spans="1:14" x14ac:dyDescent="0.35">
      <c r="A17" s="1" t="s">
        <v>6</v>
      </c>
      <c r="B17" s="112">
        <v>0</v>
      </c>
      <c r="C17" s="112">
        <v>0</v>
      </c>
      <c r="D17" s="112">
        <v>0</v>
      </c>
      <c r="E17" s="112">
        <v>0</v>
      </c>
      <c r="F17" s="112">
        <v>0</v>
      </c>
      <c r="G17" s="112">
        <v>0</v>
      </c>
      <c r="I17" s="108">
        <f t="shared" si="1"/>
        <v>0</v>
      </c>
      <c r="J17" s="108">
        <f t="shared" si="0"/>
        <v>0</v>
      </c>
      <c r="K17" s="108">
        <f>D17*1.1</f>
        <v>0</v>
      </c>
      <c r="L17" s="108">
        <f t="shared" si="0"/>
        <v>0</v>
      </c>
      <c r="M17" s="108">
        <f t="shared" si="0"/>
        <v>0</v>
      </c>
      <c r="N17" s="108">
        <f t="shared" si="0"/>
        <v>0</v>
      </c>
    </row>
    <row r="18" spans="1:14" x14ac:dyDescent="0.35">
      <c r="A18" s="1" t="s">
        <v>7</v>
      </c>
      <c r="B18" s="112">
        <v>0</v>
      </c>
      <c r="C18" s="112">
        <v>0</v>
      </c>
      <c r="D18" s="112">
        <v>0</v>
      </c>
      <c r="E18" s="112">
        <v>0</v>
      </c>
      <c r="F18" s="112">
        <v>0</v>
      </c>
      <c r="G18" s="112">
        <v>0</v>
      </c>
      <c r="I18" s="108">
        <f t="shared" si="1"/>
        <v>0</v>
      </c>
      <c r="J18" s="108">
        <f t="shared" si="0"/>
        <v>0</v>
      </c>
      <c r="K18" s="108">
        <f t="shared" si="0"/>
        <v>0</v>
      </c>
      <c r="L18" s="108">
        <f t="shared" si="0"/>
        <v>0</v>
      </c>
      <c r="M18" s="108">
        <f t="shared" si="0"/>
        <v>0</v>
      </c>
      <c r="N18" s="108">
        <f t="shared" si="0"/>
        <v>0</v>
      </c>
    </row>
    <row r="19" spans="1:14" x14ac:dyDescent="0.35">
      <c r="A19" s="1" t="s">
        <v>8</v>
      </c>
      <c r="B19" s="112">
        <v>0</v>
      </c>
      <c r="C19" s="112">
        <v>0</v>
      </c>
      <c r="D19" s="112">
        <v>0</v>
      </c>
      <c r="E19" s="112">
        <v>0</v>
      </c>
      <c r="F19" s="112">
        <v>0</v>
      </c>
      <c r="G19" s="112">
        <v>0</v>
      </c>
      <c r="I19" s="108">
        <f t="shared" si="1"/>
        <v>0</v>
      </c>
      <c r="J19" s="108">
        <f t="shared" si="0"/>
        <v>0</v>
      </c>
      <c r="K19" s="108">
        <f t="shared" si="0"/>
        <v>0</v>
      </c>
      <c r="L19" s="108">
        <f t="shared" si="0"/>
        <v>0</v>
      </c>
      <c r="M19" s="108">
        <f t="shared" si="0"/>
        <v>0</v>
      </c>
      <c r="N19" s="108">
        <f t="shared" si="0"/>
        <v>0</v>
      </c>
    </row>
    <row r="20" spans="1:14" x14ac:dyDescent="0.35">
      <c r="A20" s="1" t="s">
        <v>9</v>
      </c>
      <c r="B20" s="112">
        <v>0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I20" s="108">
        <f t="shared" si="1"/>
        <v>0</v>
      </c>
      <c r="J20" s="108">
        <f t="shared" si="0"/>
        <v>0</v>
      </c>
      <c r="K20" s="108">
        <f t="shared" si="0"/>
        <v>0</v>
      </c>
      <c r="L20" s="108">
        <f t="shared" si="0"/>
        <v>0</v>
      </c>
      <c r="M20" s="108">
        <f t="shared" si="0"/>
        <v>0</v>
      </c>
      <c r="N20" s="108">
        <f t="shared" si="0"/>
        <v>0</v>
      </c>
    </row>
    <row r="21" spans="1:14" x14ac:dyDescent="0.35">
      <c r="A21" s="1" t="s">
        <v>10</v>
      </c>
      <c r="B21" s="112">
        <v>0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I21" s="108">
        <f t="shared" si="1"/>
        <v>0</v>
      </c>
      <c r="J21" s="108">
        <f t="shared" si="1"/>
        <v>0</v>
      </c>
      <c r="K21" s="108">
        <f t="shared" si="1"/>
        <v>0</v>
      </c>
      <c r="L21" s="108">
        <f t="shared" si="1"/>
        <v>0</v>
      </c>
      <c r="M21" s="108">
        <f t="shared" si="1"/>
        <v>0</v>
      </c>
      <c r="N21" s="108">
        <f t="shared" si="1"/>
        <v>0</v>
      </c>
    </row>
    <row r="22" spans="1:14" x14ac:dyDescent="0.35">
      <c r="A22" s="1" t="s">
        <v>11</v>
      </c>
      <c r="B22" s="112">
        <v>0</v>
      </c>
      <c r="C22" s="112">
        <v>0</v>
      </c>
      <c r="D22" s="112">
        <v>0</v>
      </c>
      <c r="E22" s="112">
        <v>0</v>
      </c>
      <c r="F22" s="112">
        <v>0</v>
      </c>
      <c r="G22" s="112">
        <v>0</v>
      </c>
      <c r="I22" s="108">
        <f t="shared" si="1"/>
        <v>0</v>
      </c>
      <c r="J22" s="108">
        <f t="shared" si="1"/>
        <v>0</v>
      </c>
      <c r="K22" s="108">
        <f t="shared" si="1"/>
        <v>0</v>
      </c>
      <c r="L22" s="108">
        <f t="shared" si="1"/>
        <v>0</v>
      </c>
      <c r="M22" s="108">
        <f t="shared" si="1"/>
        <v>0</v>
      </c>
      <c r="N22" s="108">
        <f t="shared" si="1"/>
        <v>0</v>
      </c>
    </row>
    <row r="23" spans="1:14" x14ac:dyDescent="0.35">
      <c r="A23" s="1" t="s">
        <v>12</v>
      </c>
      <c r="B23" s="112">
        <v>0</v>
      </c>
      <c r="C23" s="112">
        <v>0</v>
      </c>
      <c r="D23" s="112">
        <v>0</v>
      </c>
      <c r="E23" s="112">
        <v>0</v>
      </c>
      <c r="F23" s="112">
        <v>0</v>
      </c>
      <c r="G23" s="112">
        <v>0</v>
      </c>
      <c r="I23" s="108">
        <f t="shared" si="1"/>
        <v>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f t="shared" si="1"/>
        <v>0</v>
      </c>
      <c r="N23" s="108">
        <f t="shared" si="1"/>
        <v>0</v>
      </c>
    </row>
    <row r="24" spans="1:14" x14ac:dyDescent="0.35">
      <c r="A24" s="1" t="s">
        <v>13</v>
      </c>
      <c r="B24" s="112">
        <v>0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I24" s="108">
        <f t="shared" si="1"/>
        <v>0</v>
      </c>
      <c r="J24" s="108">
        <f t="shared" si="1"/>
        <v>0</v>
      </c>
      <c r="K24" s="108">
        <f t="shared" si="1"/>
        <v>0</v>
      </c>
      <c r="L24" s="108">
        <f t="shared" si="1"/>
        <v>0</v>
      </c>
      <c r="M24" s="108">
        <f t="shared" si="1"/>
        <v>0</v>
      </c>
      <c r="N24" s="108">
        <f t="shared" si="1"/>
        <v>0</v>
      </c>
    </row>
    <row r="25" spans="1:14" x14ac:dyDescent="0.35">
      <c r="A25" s="1" t="s">
        <v>14</v>
      </c>
      <c r="B25" s="112">
        <v>0</v>
      </c>
      <c r="C25" s="112">
        <v>0</v>
      </c>
      <c r="D25" s="112">
        <v>0</v>
      </c>
      <c r="E25" s="112">
        <v>0</v>
      </c>
      <c r="F25" s="112">
        <v>0</v>
      </c>
      <c r="G25" s="112">
        <v>0</v>
      </c>
      <c r="I25" s="108">
        <f t="shared" si="1"/>
        <v>0</v>
      </c>
      <c r="J25" s="108">
        <f t="shared" si="1"/>
        <v>0</v>
      </c>
      <c r="K25" s="108">
        <f t="shared" si="1"/>
        <v>0</v>
      </c>
      <c r="L25" s="108">
        <f t="shared" si="1"/>
        <v>0</v>
      </c>
      <c r="M25" s="108">
        <f t="shared" si="1"/>
        <v>0</v>
      </c>
      <c r="N25" s="108">
        <f t="shared" si="1"/>
        <v>0</v>
      </c>
    </row>
    <row r="26" spans="1:14" x14ac:dyDescent="0.35">
      <c r="A26" s="1" t="s">
        <v>15</v>
      </c>
      <c r="B26" s="112">
        <v>0</v>
      </c>
      <c r="C26" s="112">
        <v>0</v>
      </c>
      <c r="D26" s="112">
        <v>0</v>
      </c>
      <c r="E26" s="112">
        <v>0</v>
      </c>
      <c r="F26" s="112">
        <v>0</v>
      </c>
      <c r="G26" s="112">
        <v>0</v>
      </c>
      <c r="I26" s="108">
        <f t="shared" si="1"/>
        <v>0</v>
      </c>
      <c r="J26" s="108">
        <f t="shared" si="1"/>
        <v>0</v>
      </c>
      <c r="K26" s="108">
        <f t="shared" si="1"/>
        <v>0</v>
      </c>
      <c r="L26" s="108">
        <f t="shared" si="1"/>
        <v>0</v>
      </c>
      <c r="M26" s="108">
        <f t="shared" si="1"/>
        <v>0</v>
      </c>
      <c r="N26" s="108">
        <f t="shared" si="1"/>
        <v>0</v>
      </c>
    </row>
    <row r="27" spans="1:14" x14ac:dyDescent="0.35">
      <c r="A27" s="1" t="s">
        <v>16</v>
      </c>
      <c r="B27" s="112">
        <v>0</v>
      </c>
      <c r="C27" s="112">
        <v>0</v>
      </c>
      <c r="D27" s="112">
        <v>0</v>
      </c>
      <c r="E27" s="112">
        <v>0</v>
      </c>
      <c r="F27" s="112">
        <v>0</v>
      </c>
      <c r="G27" s="112">
        <v>0</v>
      </c>
      <c r="I27" s="108">
        <f t="shared" si="1"/>
        <v>0</v>
      </c>
      <c r="J27" s="108">
        <f t="shared" si="1"/>
        <v>0</v>
      </c>
      <c r="K27" s="108">
        <f t="shared" si="1"/>
        <v>0</v>
      </c>
      <c r="L27" s="108">
        <f t="shared" si="1"/>
        <v>0</v>
      </c>
      <c r="M27" s="108">
        <f t="shared" si="1"/>
        <v>0</v>
      </c>
      <c r="N27" s="108">
        <f t="shared" si="1"/>
        <v>0</v>
      </c>
    </row>
    <row r="28" spans="1:14" x14ac:dyDescent="0.35">
      <c r="A28" s="1" t="s">
        <v>17</v>
      </c>
      <c r="B28" s="112">
        <v>0</v>
      </c>
      <c r="C28" s="112">
        <v>0</v>
      </c>
      <c r="D28" s="112">
        <v>0</v>
      </c>
      <c r="E28" s="112">
        <v>0</v>
      </c>
      <c r="F28" s="112">
        <v>0</v>
      </c>
      <c r="G28" s="112">
        <v>0</v>
      </c>
      <c r="I28" s="108">
        <f t="shared" si="1"/>
        <v>0</v>
      </c>
      <c r="J28" s="108">
        <f t="shared" si="1"/>
        <v>0</v>
      </c>
      <c r="K28" s="108">
        <f t="shared" si="1"/>
        <v>0</v>
      </c>
      <c r="L28" s="108">
        <f t="shared" si="1"/>
        <v>0</v>
      </c>
      <c r="M28" s="108">
        <f t="shared" si="1"/>
        <v>0</v>
      </c>
      <c r="N28" s="108">
        <f t="shared" si="1"/>
        <v>0</v>
      </c>
    </row>
    <row r="29" spans="1:14" x14ac:dyDescent="0.35">
      <c r="A29" s="1" t="s">
        <v>18</v>
      </c>
      <c r="B29" s="112">
        <v>0</v>
      </c>
      <c r="C29" s="112">
        <v>0</v>
      </c>
      <c r="D29" s="112">
        <v>0</v>
      </c>
      <c r="E29" s="112">
        <v>0</v>
      </c>
      <c r="F29" s="112">
        <v>0</v>
      </c>
      <c r="G29" s="112">
        <v>0</v>
      </c>
      <c r="I29" s="108">
        <f t="shared" si="1"/>
        <v>0</v>
      </c>
      <c r="J29" s="108">
        <f t="shared" si="1"/>
        <v>0</v>
      </c>
      <c r="K29" s="108">
        <f t="shared" si="1"/>
        <v>0</v>
      </c>
      <c r="L29" s="108">
        <f t="shared" si="1"/>
        <v>0</v>
      </c>
      <c r="M29" s="108">
        <f t="shared" si="1"/>
        <v>0</v>
      </c>
      <c r="N29" s="108">
        <f t="shared" si="1"/>
        <v>0</v>
      </c>
    </row>
    <row r="30" spans="1:14" x14ac:dyDescent="0.35">
      <c r="A30" s="1" t="s">
        <v>19</v>
      </c>
      <c r="B30" s="112">
        <v>0</v>
      </c>
      <c r="C30" s="112">
        <v>0</v>
      </c>
      <c r="D30" s="112">
        <v>0</v>
      </c>
      <c r="E30" s="112">
        <v>0</v>
      </c>
      <c r="F30" s="112">
        <v>0</v>
      </c>
      <c r="G30" s="112">
        <v>0</v>
      </c>
      <c r="I30" s="108">
        <f t="shared" si="1"/>
        <v>0</v>
      </c>
      <c r="J30" s="108">
        <f t="shared" si="1"/>
        <v>0</v>
      </c>
      <c r="K30" s="108">
        <f t="shared" si="1"/>
        <v>0</v>
      </c>
      <c r="L30" s="108">
        <f t="shared" si="1"/>
        <v>0</v>
      </c>
      <c r="M30" s="108">
        <f t="shared" si="1"/>
        <v>0</v>
      </c>
      <c r="N30" s="108">
        <f t="shared" si="1"/>
        <v>0</v>
      </c>
    </row>
    <row r="31" spans="1:14" x14ac:dyDescent="0.35">
      <c r="A31" s="1" t="s">
        <v>20</v>
      </c>
      <c r="B31" s="112">
        <v>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I31" s="108">
        <f t="shared" si="1"/>
        <v>0</v>
      </c>
      <c r="J31" s="108">
        <f t="shared" si="1"/>
        <v>0</v>
      </c>
      <c r="K31" s="108">
        <f t="shared" si="1"/>
        <v>0</v>
      </c>
      <c r="L31" s="108">
        <f t="shared" si="1"/>
        <v>0</v>
      </c>
      <c r="M31" s="108">
        <f t="shared" si="1"/>
        <v>0</v>
      </c>
      <c r="N31" s="108">
        <f t="shared" si="1"/>
        <v>0</v>
      </c>
    </row>
    <row r="32" spans="1:14" x14ac:dyDescent="0.35">
      <c r="A32" s="1" t="s">
        <v>21</v>
      </c>
      <c r="B32" s="112">
        <v>0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I32" s="108">
        <f t="shared" si="1"/>
        <v>0</v>
      </c>
      <c r="J32" s="108">
        <f t="shared" si="1"/>
        <v>0</v>
      </c>
      <c r="K32" s="108">
        <f t="shared" si="1"/>
        <v>0</v>
      </c>
      <c r="L32" s="108">
        <f t="shared" si="1"/>
        <v>0</v>
      </c>
      <c r="M32" s="108">
        <f t="shared" si="1"/>
        <v>0</v>
      </c>
      <c r="N32" s="108">
        <f t="shared" si="1"/>
        <v>0</v>
      </c>
    </row>
    <row r="33" spans="1:14" x14ac:dyDescent="0.35">
      <c r="A33" s="1" t="s">
        <v>22</v>
      </c>
      <c r="B33" s="112">
        <v>0</v>
      </c>
      <c r="C33" s="112">
        <v>0</v>
      </c>
      <c r="D33" s="112">
        <v>0</v>
      </c>
      <c r="E33" s="112">
        <v>0</v>
      </c>
      <c r="F33" s="112">
        <v>0</v>
      </c>
      <c r="G33" s="112">
        <v>0</v>
      </c>
      <c r="I33" s="108">
        <f t="shared" si="1"/>
        <v>0</v>
      </c>
      <c r="J33" s="108">
        <f t="shared" si="1"/>
        <v>0</v>
      </c>
      <c r="K33" s="108">
        <f t="shared" si="1"/>
        <v>0</v>
      </c>
      <c r="L33" s="108">
        <f t="shared" si="1"/>
        <v>0</v>
      </c>
      <c r="M33" s="108">
        <f t="shared" si="1"/>
        <v>0</v>
      </c>
      <c r="N33" s="108">
        <f t="shared" si="1"/>
        <v>0</v>
      </c>
    </row>
    <row r="34" spans="1:14" x14ac:dyDescent="0.35">
      <c r="A34" s="1" t="s">
        <v>23</v>
      </c>
      <c r="B34" s="112">
        <v>0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I34" s="108">
        <f t="shared" si="1"/>
        <v>0</v>
      </c>
      <c r="J34" s="108">
        <f t="shared" si="1"/>
        <v>0</v>
      </c>
      <c r="K34" s="108">
        <f t="shared" si="1"/>
        <v>0</v>
      </c>
      <c r="L34" s="108">
        <f t="shared" si="1"/>
        <v>0</v>
      </c>
      <c r="M34" s="108">
        <f t="shared" si="1"/>
        <v>0</v>
      </c>
      <c r="N34" s="108">
        <f t="shared" si="1"/>
        <v>0</v>
      </c>
    </row>
    <row r="35" spans="1:14" x14ac:dyDescent="0.35">
      <c r="A35" s="1" t="s">
        <v>50</v>
      </c>
      <c r="B35" s="112">
        <v>0</v>
      </c>
      <c r="C35" s="112">
        <v>0</v>
      </c>
      <c r="D35" s="112">
        <v>0</v>
      </c>
      <c r="E35" s="112">
        <v>0</v>
      </c>
      <c r="F35" s="112">
        <v>0</v>
      </c>
      <c r="G35" s="112">
        <v>0</v>
      </c>
      <c r="I35" s="108">
        <f t="shared" si="1"/>
        <v>0</v>
      </c>
      <c r="J35" s="108">
        <f t="shared" si="1"/>
        <v>0</v>
      </c>
      <c r="K35" s="108">
        <f t="shared" si="1"/>
        <v>0</v>
      </c>
      <c r="L35" s="108">
        <f t="shared" si="1"/>
        <v>0</v>
      </c>
      <c r="M35" s="108">
        <f t="shared" si="1"/>
        <v>0</v>
      </c>
      <c r="N35" s="108">
        <f t="shared" si="1"/>
        <v>0</v>
      </c>
    </row>
    <row r="36" spans="1:14" x14ac:dyDescent="0.35">
      <c r="A36" s="1" t="s">
        <v>24</v>
      </c>
      <c r="B36" s="112">
        <v>0</v>
      </c>
      <c r="C36" s="112">
        <v>0</v>
      </c>
      <c r="D36" s="112">
        <v>0</v>
      </c>
      <c r="E36" s="112">
        <v>0</v>
      </c>
      <c r="F36" s="112">
        <v>0</v>
      </c>
      <c r="G36" s="112">
        <v>0</v>
      </c>
      <c r="I36" s="108">
        <f t="shared" si="1"/>
        <v>0</v>
      </c>
      <c r="J36" s="108">
        <f t="shared" si="1"/>
        <v>0</v>
      </c>
      <c r="K36" s="108">
        <f t="shared" si="1"/>
        <v>0</v>
      </c>
      <c r="L36" s="108">
        <f t="shared" si="1"/>
        <v>0</v>
      </c>
      <c r="M36" s="108">
        <f t="shared" si="1"/>
        <v>0</v>
      </c>
      <c r="N36" s="108">
        <f t="shared" si="1"/>
        <v>0</v>
      </c>
    </row>
    <row r="37" spans="1:14" x14ac:dyDescent="0.35">
      <c r="A37" s="1" t="s">
        <v>25</v>
      </c>
      <c r="B37" s="112">
        <v>0</v>
      </c>
      <c r="C37" s="112">
        <v>0</v>
      </c>
      <c r="D37" s="112">
        <v>0</v>
      </c>
      <c r="E37" s="112">
        <v>0</v>
      </c>
      <c r="F37" s="112">
        <v>0</v>
      </c>
      <c r="G37" s="112">
        <v>0</v>
      </c>
      <c r="I37" s="108">
        <f t="shared" si="1"/>
        <v>0</v>
      </c>
      <c r="J37" s="108">
        <f t="shared" si="1"/>
        <v>0</v>
      </c>
      <c r="K37" s="108">
        <f t="shared" si="1"/>
        <v>0</v>
      </c>
      <c r="L37" s="108">
        <f t="shared" si="1"/>
        <v>0</v>
      </c>
      <c r="M37" s="108">
        <f t="shared" si="1"/>
        <v>0</v>
      </c>
      <c r="N37" s="108">
        <f t="shared" si="1"/>
        <v>0</v>
      </c>
    </row>
    <row r="38" spans="1:14" x14ac:dyDescent="0.35">
      <c r="A38" s="1" t="s">
        <v>26</v>
      </c>
      <c r="B38" s="112">
        <v>0</v>
      </c>
      <c r="C38" s="112">
        <v>0</v>
      </c>
      <c r="D38" s="112">
        <v>0</v>
      </c>
      <c r="E38" s="112">
        <v>0</v>
      </c>
      <c r="F38" s="112">
        <v>0</v>
      </c>
      <c r="G38" s="112">
        <v>0</v>
      </c>
      <c r="I38" s="108">
        <f t="shared" si="1"/>
        <v>0</v>
      </c>
      <c r="J38" s="108">
        <f t="shared" si="1"/>
        <v>0</v>
      </c>
      <c r="K38" s="108">
        <f t="shared" si="1"/>
        <v>0</v>
      </c>
      <c r="L38" s="108">
        <f t="shared" si="1"/>
        <v>0</v>
      </c>
      <c r="M38" s="108">
        <f t="shared" si="1"/>
        <v>0</v>
      </c>
      <c r="N38" s="108">
        <f t="shared" si="1"/>
        <v>0</v>
      </c>
    </row>
    <row r="39" spans="1:14" x14ac:dyDescent="0.35">
      <c r="A39" s="1" t="s">
        <v>27</v>
      </c>
      <c r="B39" s="112">
        <v>0</v>
      </c>
      <c r="C39" s="112">
        <v>0</v>
      </c>
      <c r="D39" s="112">
        <v>0</v>
      </c>
      <c r="E39" s="112">
        <v>0</v>
      </c>
      <c r="F39" s="112">
        <v>0</v>
      </c>
      <c r="G39" s="112">
        <v>0</v>
      </c>
      <c r="I39" s="108">
        <f t="shared" si="1"/>
        <v>0</v>
      </c>
      <c r="J39" s="108">
        <f t="shared" si="1"/>
        <v>0</v>
      </c>
      <c r="K39" s="108">
        <f t="shared" si="1"/>
        <v>0</v>
      </c>
      <c r="L39" s="108">
        <f t="shared" si="1"/>
        <v>0</v>
      </c>
      <c r="M39" s="108">
        <f t="shared" si="1"/>
        <v>0</v>
      </c>
      <c r="N39" s="108">
        <f t="shared" si="1"/>
        <v>0</v>
      </c>
    </row>
    <row r="40" spans="1:14" x14ac:dyDescent="0.35">
      <c r="A40" s="1" t="s">
        <v>28</v>
      </c>
      <c r="B40" s="112">
        <v>0</v>
      </c>
      <c r="C40" s="112">
        <v>0</v>
      </c>
      <c r="D40" s="112">
        <v>0</v>
      </c>
      <c r="E40" s="112">
        <v>0</v>
      </c>
      <c r="F40" s="112">
        <v>0</v>
      </c>
      <c r="G40" s="112">
        <v>0</v>
      </c>
      <c r="I40" s="108">
        <f t="shared" si="1"/>
        <v>0</v>
      </c>
      <c r="J40" s="108">
        <f t="shared" si="1"/>
        <v>0</v>
      </c>
      <c r="K40" s="108">
        <f t="shared" si="1"/>
        <v>0</v>
      </c>
      <c r="L40" s="108">
        <f t="shared" si="1"/>
        <v>0</v>
      </c>
      <c r="M40" s="108">
        <f t="shared" si="1"/>
        <v>0</v>
      </c>
      <c r="N40" s="108">
        <f t="shared" si="1"/>
        <v>0</v>
      </c>
    </row>
    <row r="41" spans="1:14" x14ac:dyDescent="0.35">
      <c r="A41" s="1" t="s">
        <v>29</v>
      </c>
      <c r="B41" s="112">
        <v>0</v>
      </c>
      <c r="C41" s="112">
        <v>0</v>
      </c>
      <c r="D41" s="112">
        <v>0</v>
      </c>
      <c r="E41" s="112">
        <v>0</v>
      </c>
      <c r="F41" s="112">
        <v>0</v>
      </c>
      <c r="G41" s="112">
        <v>0</v>
      </c>
      <c r="I41" s="108">
        <f t="shared" si="1"/>
        <v>0</v>
      </c>
      <c r="J41" s="108">
        <f t="shared" si="1"/>
        <v>0</v>
      </c>
      <c r="K41" s="108">
        <f t="shared" si="1"/>
        <v>0</v>
      </c>
      <c r="L41" s="108">
        <f t="shared" si="1"/>
        <v>0</v>
      </c>
      <c r="M41" s="108">
        <f t="shared" si="1"/>
        <v>0</v>
      </c>
      <c r="N41" s="108">
        <f t="shared" si="1"/>
        <v>0</v>
      </c>
    </row>
    <row r="42" spans="1:14" x14ac:dyDescent="0.35">
      <c r="A42" s="1" t="s">
        <v>30</v>
      </c>
      <c r="B42" s="112">
        <v>0</v>
      </c>
      <c r="C42" s="112">
        <v>0</v>
      </c>
      <c r="D42" s="112">
        <v>0</v>
      </c>
      <c r="E42" s="112">
        <v>0</v>
      </c>
      <c r="F42" s="112">
        <v>0</v>
      </c>
      <c r="G42" s="112">
        <v>0</v>
      </c>
      <c r="I42" s="108">
        <f t="shared" si="1"/>
        <v>0</v>
      </c>
      <c r="J42" s="108">
        <f t="shared" si="1"/>
        <v>0</v>
      </c>
      <c r="K42" s="108">
        <f t="shared" si="1"/>
        <v>0</v>
      </c>
      <c r="L42" s="108">
        <f t="shared" si="1"/>
        <v>0</v>
      </c>
      <c r="M42" s="108">
        <f t="shared" si="1"/>
        <v>0</v>
      </c>
      <c r="N42" s="108">
        <f t="shared" si="1"/>
        <v>0</v>
      </c>
    </row>
    <row r="43" spans="1:14" x14ac:dyDescent="0.35">
      <c r="A43" s="1" t="s">
        <v>31</v>
      </c>
      <c r="B43" s="112">
        <v>0</v>
      </c>
      <c r="C43" s="112">
        <v>0</v>
      </c>
      <c r="D43" s="112">
        <v>0</v>
      </c>
      <c r="E43" s="112">
        <v>0</v>
      </c>
      <c r="F43" s="112">
        <v>0</v>
      </c>
      <c r="G43" s="112">
        <v>0</v>
      </c>
      <c r="I43" s="108">
        <f t="shared" si="1"/>
        <v>0</v>
      </c>
      <c r="J43" s="108">
        <f t="shared" si="1"/>
        <v>0</v>
      </c>
      <c r="K43" s="108">
        <f t="shared" si="1"/>
        <v>0</v>
      </c>
      <c r="L43" s="108">
        <f t="shared" si="1"/>
        <v>0</v>
      </c>
      <c r="M43" s="108">
        <f t="shared" si="1"/>
        <v>0</v>
      </c>
      <c r="N43" s="108">
        <f t="shared" si="1"/>
        <v>0</v>
      </c>
    </row>
    <row r="44" spans="1:14" x14ac:dyDescent="0.35">
      <c r="A44" s="1" t="s">
        <v>33</v>
      </c>
      <c r="B44" s="112">
        <v>0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I44" s="108">
        <f t="shared" si="1"/>
        <v>0</v>
      </c>
      <c r="J44" s="108">
        <f t="shared" si="1"/>
        <v>0</v>
      </c>
      <c r="K44" s="108">
        <f t="shared" si="1"/>
        <v>0</v>
      </c>
      <c r="L44" s="108">
        <f t="shared" si="1"/>
        <v>0</v>
      </c>
      <c r="M44" s="108">
        <f t="shared" si="1"/>
        <v>0</v>
      </c>
      <c r="N44" s="108">
        <f t="shared" si="1"/>
        <v>0</v>
      </c>
    </row>
    <row r="45" spans="1:14" x14ac:dyDescent="0.35">
      <c r="A45" s="1" t="s">
        <v>32</v>
      </c>
      <c r="B45" s="112">
        <v>0</v>
      </c>
      <c r="C45" s="112">
        <v>0</v>
      </c>
      <c r="D45" s="112">
        <v>0</v>
      </c>
      <c r="E45" s="112">
        <v>0</v>
      </c>
      <c r="F45" s="112">
        <v>0</v>
      </c>
      <c r="G45" s="112">
        <v>0</v>
      </c>
      <c r="I45" s="108">
        <f t="shared" si="1"/>
        <v>0</v>
      </c>
      <c r="J45" s="108">
        <f t="shared" si="1"/>
        <v>0</v>
      </c>
      <c r="K45" s="108">
        <f t="shared" si="1"/>
        <v>0</v>
      </c>
      <c r="L45" s="108">
        <f t="shared" si="1"/>
        <v>0</v>
      </c>
      <c r="M45" s="108">
        <f t="shared" si="1"/>
        <v>0</v>
      </c>
      <c r="N45" s="108">
        <f t="shared" si="1"/>
        <v>0</v>
      </c>
    </row>
    <row r="46" spans="1:14" x14ac:dyDescent="0.35">
      <c r="A46" s="1" t="s">
        <v>34</v>
      </c>
      <c r="B46" s="112">
        <v>0</v>
      </c>
      <c r="C46" s="112">
        <v>0</v>
      </c>
      <c r="D46" s="112">
        <v>0</v>
      </c>
      <c r="E46" s="112">
        <v>0</v>
      </c>
      <c r="F46" s="112">
        <v>0</v>
      </c>
      <c r="G46" s="112">
        <v>0</v>
      </c>
      <c r="I46" s="108">
        <f t="shared" si="1"/>
        <v>0</v>
      </c>
      <c r="J46" s="108">
        <f t="shared" si="1"/>
        <v>0</v>
      </c>
      <c r="K46" s="108">
        <f t="shared" si="1"/>
        <v>0</v>
      </c>
      <c r="L46" s="108">
        <f t="shared" si="1"/>
        <v>0</v>
      </c>
      <c r="M46" s="108">
        <f t="shared" si="1"/>
        <v>0</v>
      </c>
      <c r="N46" s="108">
        <f t="shared" si="1"/>
        <v>0</v>
      </c>
    </row>
    <row r="47" spans="1:14" x14ac:dyDescent="0.35">
      <c r="A47" s="1" t="s">
        <v>35</v>
      </c>
      <c r="B47" s="112">
        <v>0</v>
      </c>
      <c r="C47" s="112">
        <v>0</v>
      </c>
      <c r="D47" s="112">
        <v>0</v>
      </c>
      <c r="E47" s="112">
        <v>0</v>
      </c>
      <c r="F47" s="112">
        <v>0</v>
      </c>
      <c r="G47" s="112">
        <v>0</v>
      </c>
      <c r="I47" s="108">
        <f t="shared" si="1"/>
        <v>0</v>
      </c>
      <c r="J47" s="108">
        <f t="shared" si="1"/>
        <v>0</v>
      </c>
      <c r="K47" s="108">
        <f t="shared" si="1"/>
        <v>0</v>
      </c>
      <c r="L47" s="108">
        <f t="shared" si="1"/>
        <v>0</v>
      </c>
      <c r="M47" s="108">
        <f t="shared" si="1"/>
        <v>0</v>
      </c>
      <c r="N47" s="108">
        <f t="shared" si="1"/>
        <v>0</v>
      </c>
    </row>
    <row r="48" spans="1:14" x14ac:dyDescent="0.35">
      <c r="A48" s="1" t="s">
        <v>36</v>
      </c>
      <c r="B48" s="112">
        <v>0</v>
      </c>
      <c r="C48" s="112">
        <v>0</v>
      </c>
      <c r="D48" s="112">
        <v>0</v>
      </c>
      <c r="E48" s="112">
        <v>0</v>
      </c>
      <c r="F48" s="112">
        <v>0</v>
      </c>
      <c r="G48" s="112">
        <v>0</v>
      </c>
      <c r="I48" s="108">
        <f t="shared" si="1"/>
        <v>0</v>
      </c>
      <c r="J48" s="108">
        <f t="shared" si="1"/>
        <v>0</v>
      </c>
      <c r="K48" s="108">
        <f t="shared" si="1"/>
        <v>0</v>
      </c>
      <c r="L48" s="108">
        <f t="shared" si="1"/>
        <v>0</v>
      </c>
      <c r="M48" s="108">
        <f t="shared" si="1"/>
        <v>0</v>
      </c>
      <c r="N48" s="108">
        <f t="shared" si="1"/>
        <v>0</v>
      </c>
    </row>
    <row r="49" spans="1:20" x14ac:dyDescent="0.35">
      <c r="A49" s="1" t="s">
        <v>37</v>
      </c>
      <c r="B49" s="112">
        <v>0</v>
      </c>
      <c r="C49" s="112">
        <v>0</v>
      </c>
      <c r="D49" s="112">
        <v>0</v>
      </c>
      <c r="E49" s="112">
        <v>0</v>
      </c>
      <c r="F49" s="112">
        <v>0</v>
      </c>
      <c r="G49" s="112">
        <v>0</v>
      </c>
      <c r="I49" s="108">
        <f t="shared" si="1"/>
        <v>0</v>
      </c>
      <c r="J49" s="108">
        <f t="shared" si="1"/>
        <v>0</v>
      </c>
      <c r="K49" s="108">
        <f t="shared" si="1"/>
        <v>0</v>
      </c>
      <c r="L49" s="108">
        <f t="shared" si="1"/>
        <v>0</v>
      </c>
      <c r="M49" s="108">
        <f t="shared" si="1"/>
        <v>0</v>
      </c>
      <c r="N49" s="108">
        <f t="shared" si="1"/>
        <v>0</v>
      </c>
    </row>
    <row r="50" spans="1:20" x14ac:dyDescent="0.35">
      <c r="A50" s="1" t="s">
        <v>55</v>
      </c>
      <c r="B50" s="112">
        <v>0</v>
      </c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I50" s="108">
        <f t="shared" si="1"/>
        <v>0</v>
      </c>
      <c r="J50" s="108">
        <f t="shared" si="1"/>
        <v>0</v>
      </c>
      <c r="K50" s="108">
        <f t="shared" si="1"/>
        <v>0</v>
      </c>
      <c r="L50" s="108">
        <f t="shared" si="1"/>
        <v>0</v>
      </c>
      <c r="M50" s="108">
        <f t="shared" si="1"/>
        <v>0</v>
      </c>
      <c r="N50" s="108">
        <f t="shared" si="1"/>
        <v>0</v>
      </c>
    </row>
    <row r="51" spans="1:20" x14ac:dyDescent="0.35">
      <c r="A51" s="1" t="s">
        <v>38</v>
      </c>
      <c r="B51" s="112">
        <v>0</v>
      </c>
      <c r="C51" s="112">
        <v>0</v>
      </c>
      <c r="D51" s="112">
        <v>0</v>
      </c>
      <c r="E51" s="112">
        <v>0</v>
      </c>
      <c r="F51" s="112">
        <v>0</v>
      </c>
      <c r="G51" s="112">
        <v>0</v>
      </c>
      <c r="I51" s="108">
        <f t="shared" si="1"/>
        <v>0</v>
      </c>
      <c r="J51" s="108">
        <f t="shared" si="1"/>
        <v>0</v>
      </c>
      <c r="K51" s="108">
        <f t="shared" si="1"/>
        <v>0</v>
      </c>
      <c r="L51" s="108">
        <f t="shared" si="1"/>
        <v>0</v>
      </c>
      <c r="M51" s="108">
        <f t="shared" si="1"/>
        <v>0</v>
      </c>
      <c r="N51" s="108">
        <f t="shared" ref="N51:N62" si="2">G51*1.1</f>
        <v>0</v>
      </c>
    </row>
    <row r="52" spans="1:20" x14ac:dyDescent="0.35">
      <c r="A52" s="1" t="s">
        <v>39</v>
      </c>
      <c r="B52" s="112">
        <v>0</v>
      </c>
      <c r="C52" s="112">
        <v>0</v>
      </c>
      <c r="D52" s="112">
        <v>0</v>
      </c>
      <c r="E52" s="112">
        <v>0</v>
      </c>
      <c r="F52" s="112">
        <v>0</v>
      </c>
      <c r="G52" s="112">
        <v>0</v>
      </c>
      <c r="I52" s="108">
        <f t="shared" si="1"/>
        <v>0</v>
      </c>
      <c r="J52" s="108">
        <f t="shared" si="1"/>
        <v>0</v>
      </c>
      <c r="K52" s="108">
        <f t="shared" si="1"/>
        <v>0</v>
      </c>
      <c r="L52" s="108">
        <f t="shared" si="1"/>
        <v>0</v>
      </c>
      <c r="M52" s="108">
        <f t="shared" si="1"/>
        <v>0</v>
      </c>
      <c r="N52" s="108">
        <f t="shared" si="2"/>
        <v>0</v>
      </c>
    </row>
    <row r="53" spans="1:20" x14ac:dyDescent="0.35">
      <c r="A53" s="1" t="s">
        <v>40</v>
      </c>
      <c r="B53" s="112">
        <v>0</v>
      </c>
      <c r="C53" s="112">
        <v>0</v>
      </c>
      <c r="D53" s="112">
        <v>0</v>
      </c>
      <c r="E53" s="112">
        <v>0</v>
      </c>
      <c r="F53" s="112">
        <v>0</v>
      </c>
      <c r="G53" s="112">
        <v>0</v>
      </c>
      <c r="I53" s="108">
        <f t="shared" si="1"/>
        <v>0</v>
      </c>
      <c r="J53" s="108">
        <f t="shared" si="1"/>
        <v>0</v>
      </c>
      <c r="K53" s="108">
        <f t="shared" si="1"/>
        <v>0</v>
      </c>
      <c r="L53" s="108">
        <f t="shared" si="1"/>
        <v>0</v>
      </c>
      <c r="M53" s="108">
        <f t="shared" si="1"/>
        <v>0</v>
      </c>
      <c r="N53" s="108">
        <f t="shared" si="2"/>
        <v>0</v>
      </c>
    </row>
    <row r="54" spans="1:20" x14ac:dyDescent="0.35">
      <c r="A54" s="1" t="s">
        <v>41</v>
      </c>
      <c r="B54" s="112">
        <v>0</v>
      </c>
      <c r="C54" s="112">
        <v>0</v>
      </c>
      <c r="D54" s="112">
        <v>0</v>
      </c>
      <c r="E54" s="112">
        <v>0</v>
      </c>
      <c r="F54" s="112">
        <v>0</v>
      </c>
      <c r="G54" s="112">
        <v>0</v>
      </c>
      <c r="I54" s="108">
        <f t="shared" si="1"/>
        <v>0</v>
      </c>
      <c r="J54" s="108">
        <f t="shared" si="1"/>
        <v>0</v>
      </c>
      <c r="K54" s="108">
        <f t="shared" si="1"/>
        <v>0</v>
      </c>
      <c r="L54" s="108">
        <f t="shared" si="1"/>
        <v>0</v>
      </c>
      <c r="M54" s="108">
        <f t="shared" si="1"/>
        <v>0</v>
      </c>
      <c r="N54" s="108">
        <f t="shared" si="2"/>
        <v>0</v>
      </c>
    </row>
    <row r="55" spans="1:20" x14ac:dyDescent="0.35">
      <c r="A55" s="1" t="s">
        <v>42</v>
      </c>
      <c r="B55" s="112">
        <v>0</v>
      </c>
      <c r="C55" s="112">
        <v>0</v>
      </c>
      <c r="D55" s="112">
        <v>0</v>
      </c>
      <c r="E55" s="112">
        <v>0</v>
      </c>
      <c r="F55" s="112">
        <v>0</v>
      </c>
      <c r="G55" s="112">
        <v>0</v>
      </c>
      <c r="I55" s="108">
        <f t="shared" si="1"/>
        <v>0</v>
      </c>
      <c r="J55" s="108">
        <f t="shared" si="1"/>
        <v>0</v>
      </c>
      <c r="K55" s="108">
        <f t="shared" si="1"/>
        <v>0</v>
      </c>
      <c r="L55" s="108">
        <f t="shared" si="1"/>
        <v>0</v>
      </c>
      <c r="M55" s="108">
        <f t="shared" si="1"/>
        <v>0</v>
      </c>
      <c r="N55" s="108">
        <f t="shared" si="2"/>
        <v>0</v>
      </c>
    </row>
    <row r="56" spans="1:20" x14ac:dyDescent="0.35">
      <c r="A56" s="1" t="s">
        <v>43</v>
      </c>
      <c r="B56" s="112">
        <v>0</v>
      </c>
      <c r="C56" s="112">
        <v>0</v>
      </c>
      <c r="D56" s="112">
        <v>0</v>
      </c>
      <c r="E56" s="112">
        <v>0</v>
      </c>
      <c r="F56" s="112">
        <v>0</v>
      </c>
      <c r="G56" s="112">
        <v>0</v>
      </c>
      <c r="I56" s="108">
        <f t="shared" si="1"/>
        <v>0</v>
      </c>
      <c r="J56" s="108">
        <f t="shared" si="1"/>
        <v>0</v>
      </c>
      <c r="K56" s="108">
        <f t="shared" si="1"/>
        <v>0</v>
      </c>
      <c r="L56" s="108">
        <f t="shared" si="1"/>
        <v>0</v>
      </c>
      <c r="M56" s="108">
        <f t="shared" si="1"/>
        <v>0</v>
      </c>
      <c r="N56" s="108">
        <f t="shared" si="2"/>
        <v>0</v>
      </c>
    </row>
    <row r="57" spans="1:20" x14ac:dyDescent="0.35">
      <c r="A57" s="1" t="s">
        <v>44</v>
      </c>
      <c r="B57" s="112">
        <v>0</v>
      </c>
      <c r="C57" s="112">
        <v>0</v>
      </c>
      <c r="D57" s="112">
        <v>0</v>
      </c>
      <c r="E57" s="112">
        <v>0</v>
      </c>
      <c r="F57" s="112">
        <v>0</v>
      </c>
      <c r="G57" s="112">
        <v>0</v>
      </c>
      <c r="I57" s="108">
        <f t="shared" si="1"/>
        <v>0</v>
      </c>
      <c r="J57" s="108">
        <f t="shared" si="1"/>
        <v>0</v>
      </c>
      <c r="K57" s="108">
        <f t="shared" si="1"/>
        <v>0</v>
      </c>
      <c r="L57" s="108">
        <f t="shared" si="1"/>
        <v>0</v>
      </c>
      <c r="M57" s="108">
        <f t="shared" si="1"/>
        <v>0</v>
      </c>
      <c r="N57" s="108">
        <f t="shared" si="2"/>
        <v>0</v>
      </c>
    </row>
    <row r="58" spans="1:20" x14ac:dyDescent="0.35">
      <c r="A58" s="1" t="s">
        <v>45</v>
      </c>
      <c r="B58" s="112">
        <v>0</v>
      </c>
      <c r="C58" s="112">
        <v>0</v>
      </c>
      <c r="D58" s="112">
        <v>0</v>
      </c>
      <c r="E58" s="112">
        <v>0</v>
      </c>
      <c r="F58" s="112">
        <v>0</v>
      </c>
      <c r="G58" s="112">
        <v>0</v>
      </c>
      <c r="I58" s="108">
        <f t="shared" si="1"/>
        <v>0</v>
      </c>
      <c r="J58" s="108">
        <f t="shared" si="1"/>
        <v>0</v>
      </c>
      <c r="K58" s="108">
        <f t="shared" si="1"/>
        <v>0</v>
      </c>
      <c r="L58" s="108">
        <f t="shared" si="1"/>
        <v>0</v>
      </c>
      <c r="M58" s="108">
        <f t="shared" si="1"/>
        <v>0</v>
      </c>
      <c r="N58" s="108">
        <f t="shared" si="2"/>
        <v>0</v>
      </c>
    </row>
    <row r="59" spans="1:20" x14ac:dyDescent="0.35">
      <c r="A59" s="1" t="s">
        <v>46</v>
      </c>
      <c r="B59" s="112">
        <v>0</v>
      </c>
      <c r="C59" s="112">
        <v>0</v>
      </c>
      <c r="D59" s="112">
        <v>0</v>
      </c>
      <c r="E59" s="112">
        <v>0</v>
      </c>
      <c r="F59" s="112">
        <v>0</v>
      </c>
      <c r="G59" s="112">
        <v>0</v>
      </c>
      <c r="I59" s="108">
        <f t="shared" si="1"/>
        <v>0</v>
      </c>
      <c r="J59" s="108">
        <f t="shared" si="1"/>
        <v>0</v>
      </c>
      <c r="K59" s="108">
        <f t="shared" si="1"/>
        <v>0</v>
      </c>
      <c r="L59" s="108">
        <f t="shared" si="1"/>
        <v>0</v>
      </c>
      <c r="M59" s="108">
        <f t="shared" si="1"/>
        <v>0</v>
      </c>
      <c r="N59" s="108">
        <f t="shared" si="2"/>
        <v>0</v>
      </c>
    </row>
    <row r="60" spans="1:20" x14ac:dyDescent="0.35">
      <c r="A60" s="1" t="s">
        <v>47</v>
      </c>
      <c r="B60" s="112">
        <v>0</v>
      </c>
      <c r="C60" s="112">
        <v>0</v>
      </c>
      <c r="D60" s="112">
        <v>0</v>
      </c>
      <c r="E60" s="112">
        <v>0</v>
      </c>
      <c r="F60" s="112">
        <v>0</v>
      </c>
      <c r="G60" s="112">
        <v>0</v>
      </c>
      <c r="I60" s="108">
        <f t="shared" si="1"/>
        <v>0</v>
      </c>
      <c r="J60" s="108">
        <f t="shared" si="1"/>
        <v>0</v>
      </c>
      <c r="K60" s="108">
        <f t="shared" si="1"/>
        <v>0</v>
      </c>
      <c r="L60" s="108">
        <f t="shared" si="1"/>
        <v>0</v>
      </c>
      <c r="M60" s="108">
        <f t="shared" si="1"/>
        <v>0</v>
      </c>
      <c r="N60" s="108">
        <f t="shared" si="2"/>
        <v>0</v>
      </c>
    </row>
    <row r="61" spans="1:20" x14ac:dyDescent="0.35">
      <c r="A61" s="1" t="s">
        <v>48</v>
      </c>
      <c r="B61" s="112">
        <v>0</v>
      </c>
      <c r="C61" s="112">
        <v>0</v>
      </c>
      <c r="D61" s="112">
        <v>0</v>
      </c>
      <c r="E61" s="112">
        <v>0</v>
      </c>
      <c r="F61" s="112">
        <v>0</v>
      </c>
      <c r="G61" s="112">
        <v>0</v>
      </c>
      <c r="I61" s="108">
        <f t="shared" si="1"/>
        <v>0</v>
      </c>
      <c r="J61" s="108">
        <f t="shared" si="1"/>
        <v>0</v>
      </c>
      <c r="K61" s="108">
        <f t="shared" si="1"/>
        <v>0</v>
      </c>
      <c r="L61" s="108">
        <f t="shared" si="1"/>
        <v>0</v>
      </c>
      <c r="M61" s="108">
        <f t="shared" si="1"/>
        <v>0</v>
      </c>
      <c r="N61" s="108">
        <f t="shared" si="2"/>
        <v>0</v>
      </c>
    </row>
    <row r="62" spans="1:20" x14ac:dyDescent="0.35">
      <c r="A62" s="1" t="s">
        <v>49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I62" s="108">
        <f t="shared" si="1"/>
        <v>0</v>
      </c>
      <c r="J62" s="108">
        <f t="shared" si="1"/>
        <v>0</v>
      </c>
      <c r="K62" s="108">
        <f t="shared" si="1"/>
        <v>0</v>
      </c>
      <c r="L62" s="108">
        <f t="shared" si="1"/>
        <v>0</v>
      </c>
      <c r="M62" s="108">
        <f t="shared" si="1"/>
        <v>0</v>
      </c>
      <c r="N62" s="108">
        <f t="shared" si="2"/>
        <v>0</v>
      </c>
    </row>
    <row r="63" spans="1:20" x14ac:dyDescent="0.35">
      <c r="A63" s="37" t="s">
        <v>104</v>
      </c>
      <c r="B63" s="36">
        <f>AVERAGE(B5:G62)</f>
        <v>0</v>
      </c>
      <c r="S63" s="11"/>
      <c r="T63" s="11"/>
    </row>
    <row r="64" spans="1:20" x14ac:dyDescent="0.35">
      <c r="S64" s="11"/>
      <c r="T64" s="11"/>
    </row>
    <row r="65" spans="1:20" ht="15.5" x14ac:dyDescent="0.35">
      <c r="A65" s="120" t="s">
        <v>136</v>
      </c>
      <c r="B65" s="120"/>
      <c r="C65" s="120"/>
      <c r="D65" s="120"/>
      <c r="E65" s="120"/>
      <c r="F65" s="120"/>
      <c r="G65" s="120"/>
      <c r="S65" s="11"/>
      <c r="T65" s="11"/>
    </row>
    <row r="66" spans="1:20" ht="47.25" customHeight="1" x14ac:dyDescent="0.35">
      <c r="A66" s="110"/>
      <c r="B66" s="118" t="s">
        <v>187</v>
      </c>
      <c r="C66" s="118"/>
      <c r="D66" s="118"/>
      <c r="E66" s="118"/>
      <c r="F66" s="118"/>
      <c r="G66" s="118"/>
      <c r="I66" s="118" t="s">
        <v>188</v>
      </c>
      <c r="J66" s="118"/>
      <c r="K66" s="118"/>
      <c r="L66" s="118"/>
      <c r="M66" s="118"/>
      <c r="N66" s="118"/>
      <c r="S66" s="8"/>
      <c r="T66" s="8"/>
    </row>
    <row r="67" spans="1:20" ht="43" x14ac:dyDescent="0.35">
      <c r="A67" s="81" t="s">
        <v>51</v>
      </c>
      <c r="B67" s="17" t="s">
        <v>99</v>
      </c>
      <c r="C67" s="17" t="s">
        <v>100</v>
      </c>
      <c r="D67" s="17" t="s">
        <v>101</v>
      </c>
      <c r="E67" s="17" t="s">
        <v>102</v>
      </c>
      <c r="F67" s="17" t="s">
        <v>103</v>
      </c>
      <c r="G67" s="17" t="s">
        <v>149</v>
      </c>
      <c r="I67" s="17" t="s">
        <v>99</v>
      </c>
      <c r="J67" s="17" t="s">
        <v>100</v>
      </c>
      <c r="K67" s="17" t="s">
        <v>101</v>
      </c>
      <c r="L67" s="17" t="s">
        <v>102</v>
      </c>
      <c r="M67" s="17" t="s">
        <v>103</v>
      </c>
      <c r="N67" s="17" t="s">
        <v>149</v>
      </c>
      <c r="S67" s="8"/>
      <c r="T67" s="8"/>
    </row>
    <row r="68" spans="1:20" x14ac:dyDescent="0.35">
      <c r="A68" s="117" t="s">
        <v>286</v>
      </c>
      <c r="B68" s="112">
        <v>0</v>
      </c>
      <c r="C68" s="112">
        <v>0</v>
      </c>
      <c r="D68" s="112">
        <v>0</v>
      </c>
      <c r="E68" s="112">
        <v>0</v>
      </c>
      <c r="F68" s="112">
        <v>0</v>
      </c>
      <c r="G68" s="112">
        <v>0</v>
      </c>
      <c r="I68" s="108">
        <f>B68*1.1</f>
        <v>0</v>
      </c>
      <c r="J68" s="108">
        <f t="shared" ref="J68:N83" si="3">C68*1.1</f>
        <v>0</v>
      </c>
      <c r="K68" s="108">
        <f t="shared" si="3"/>
        <v>0</v>
      </c>
      <c r="L68" s="108">
        <f t="shared" si="3"/>
        <v>0</v>
      </c>
      <c r="M68" s="108">
        <f t="shared" si="3"/>
        <v>0</v>
      </c>
      <c r="N68" s="108">
        <f t="shared" si="3"/>
        <v>0</v>
      </c>
      <c r="S68" s="12"/>
      <c r="T68" s="12"/>
    </row>
    <row r="69" spans="1:20" x14ac:dyDescent="0.35">
      <c r="A69" s="117" t="s">
        <v>287</v>
      </c>
      <c r="B69" s="112">
        <v>0</v>
      </c>
      <c r="C69" s="112">
        <v>0</v>
      </c>
      <c r="D69" s="112">
        <v>0</v>
      </c>
      <c r="E69" s="112">
        <v>0</v>
      </c>
      <c r="F69" s="112">
        <v>0</v>
      </c>
      <c r="G69" s="112">
        <v>0</v>
      </c>
      <c r="I69" s="108">
        <f t="shared" ref="I69:N123" si="4">B69*1.1</f>
        <v>0</v>
      </c>
      <c r="J69" s="108">
        <f t="shared" si="3"/>
        <v>0</v>
      </c>
      <c r="K69" s="108">
        <f t="shared" si="3"/>
        <v>0</v>
      </c>
      <c r="L69" s="108">
        <f t="shared" si="3"/>
        <v>0</v>
      </c>
      <c r="M69" s="108">
        <f t="shared" si="3"/>
        <v>0</v>
      </c>
      <c r="N69" s="108">
        <f t="shared" si="3"/>
        <v>0</v>
      </c>
      <c r="S69" s="8"/>
      <c r="T69" s="8"/>
    </row>
    <row r="70" spans="1:20" x14ac:dyDescent="0.35">
      <c r="A70" s="117" t="s">
        <v>285</v>
      </c>
      <c r="B70" s="112">
        <v>0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I70" s="108">
        <f t="shared" si="4"/>
        <v>0</v>
      </c>
      <c r="J70" s="108">
        <f t="shared" si="3"/>
        <v>0</v>
      </c>
      <c r="K70" s="108">
        <f t="shared" si="3"/>
        <v>0</v>
      </c>
      <c r="L70" s="108">
        <f t="shared" si="3"/>
        <v>0</v>
      </c>
      <c r="M70" s="108">
        <f t="shared" si="3"/>
        <v>0</v>
      </c>
      <c r="N70" s="108">
        <f t="shared" si="3"/>
        <v>0</v>
      </c>
      <c r="S70" s="8"/>
      <c r="T70" s="8"/>
    </row>
    <row r="71" spans="1:20" x14ac:dyDescent="0.35">
      <c r="A71" s="1" t="s">
        <v>53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I71" s="108">
        <f t="shared" si="4"/>
        <v>0</v>
      </c>
      <c r="J71" s="108">
        <f t="shared" si="3"/>
        <v>0</v>
      </c>
      <c r="K71" s="108">
        <f t="shared" si="3"/>
        <v>0</v>
      </c>
      <c r="L71" s="108">
        <f t="shared" si="3"/>
        <v>0</v>
      </c>
      <c r="M71" s="108">
        <f t="shared" si="3"/>
        <v>0</v>
      </c>
      <c r="N71" s="108">
        <f t="shared" si="3"/>
        <v>0</v>
      </c>
      <c r="S71" s="8"/>
      <c r="T71" s="8"/>
    </row>
    <row r="72" spans="1:20" x14ac:dyDescent="0.35">
      <c r="A72" s="1" t="s">
        <v>52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I72" s="108">
        <f t="shared" si="4"/>
        <v>0</v>
      </c>
      <c r="J72" s="108">
        <f t="shared" si="3"/>
        <v>0</v>
      </c>
      <c r="K72" s="108">
        <f t="shared" si="3"/>
        <v>0</v>
      </c>
      <c r="L72" s="108">
        <f t="shared" si="3"/>
        <v>0</v>
      </c>
      <c r="M72" s="108">
        <f t="shared" si="3"/>
        <v>0</v>
      </c>
      <c r="N72" s="108">
        <f t="shared" si="3"/>
        <v>0</v>
      </c>
      <c r="S72" s="8"/>
      <c r="T72" s="8"/>
    </row>
    <row r="73" spans="1:20" x14ac:dyDescent="0.35">
      <c r="A73" s="1" t="s">
        <v>54</v>
      </c>
      <c r="B73" s="112">
        <v>0</v>
      </c>
      <c r="C73" s="112">
        <v>0</v>
      </c>
      <c r="D73" s="112">
        <v>0</v>
      </c>
      <c r="E73" s="112">
        <v>0</v>
      </c>
      <c r="F73" s="112">
        <v>0</v>
      </c>
      <c r="G73" s="112">
        <v>0</v>
      </c>
      <c r="I73" s="108">
        <f t="shared" si="4"/>
        <v>0</v>
      </c>
      <c r="J73" s="108">
        <f t="shared" si="3"/>
        <v>0</v>
      </c>
      <c r="K73" s="108">
        <f t="shared" si="3"/>
        <v>0</v>
      </c>
      <c r="L73" s="108">
        <f t="shared" si="3"/>
        <v>0</v>
      </c>
      <c r="M73" s="108">
        <f t="shared" si="3"/>
        <v>0</v>
      </c>
      <c r="N73" s="108">
        <f t="shared" si="3"/>
        <v>0</v>
      </c>
      <c r="S73" s="8"/>
      <c r="T73" s="8"/>
    </row>
    <row r="74" spans="1:20" x14ac:dyDescent="0.35">
      <c r="A74" s="1" t="s">
        <v>0</v>
      </c>
      <c r="B74" s="112">
        <v>0</v>
      </c>
      <c r="C74" s="112">
        <v>0</v>
      </c>
      <c r="D74" s="112">
        <v>0</v>
      </c>
      <c r="E74" s="112">
        <v>0</v>
      </c>
      <c r="F74" s="112">
        <v>0</v>
      </c>
      <c r="G74" s="112">
        <v>0</v>
      </c>
      <c r="I74" s="108">
        <f t="shared" si="4"/>
        <v>0</v>
      </c>
      <c r="J74" s="108">
        <f t="shared" si="3"/>
        <v>0</v>
      </c>
      <c r="K74" s="108">
        <f t="shared" si="3"/>
        <v>0</v>
      </c>
      <c r="L74" s="108">
        <f t="shared" si="3"/>
        <v>0</v>
      </c>
      <c r="M74" s="108">
        <f t="shared" si="3"/>
        <v>0</v>
      </c>
      <c r="N74" s="108">
        <f t="shared" si="3"/>
        <v>0</v>
      </c>
      <c r="S74" s="8"/>
      <c r="T74" s="8"/>
    </row>
    <row r="75" spans="1:20" x14ac:dyDescent="0.35">
      <c r="A75" s="1" t="s">
        <v>1</v>
      </c>
      <c r="B75" s="112">
        <v>0</v>
      </c>
      <c r="C75" s="112">
        <v>0</v>
      </c>
      <c r="D75" s="112">
        <v>0</v>
      </c>
      <c r="E75" s="112">
        <v>0</v>
      </c>
      <c r="F75" s="112">
        <v>0</v>
      </c>
      <c r="G75" s="112">
        <v>0</v>
      </c>
      <c r="I75" s="108">
        <f t="shared" si="4"/>
        <v>0</v>
      </c>
      <c r="J75" s="108">
        <f t="shared" si="3"/>
        <v>0</v>
      </c>
      <c r="K75" s="108">
        <f t="shared" si="3"/>
        <v>0</v>
      </c>
      <c r="L75" s="108">
        <f t="shared" si="3"/>
        <v>0</v>
      </c>
      <c r="M75" s="108">
        <f t="shared" si="3"/>
        <v>0</v>
      </c>
      <c r="N75" s="108">
        <f t="shared" si="3"/>
        <v>0</v>
      </c>
      <c r="S75" s="8"/>
      <c r="T75" s="8"/>
    </row>
    <row r="76" spans="1:20" x14ac:dyDescent="0.35">
      <c r="A76" s="1" t="s">
        <v>2</v>
      </c>
      <c r="B76" s="112">
        <v>0</v>
      </c>
      <c r="C76" s="112">
        <v>0</v>
      </c>
      <c r="D76" s="112">
        <v>0</v>
      </c>
      <c r="E76" s="112">
        <v>0</v>
      </c>
      <c r="F76" s="112">
        <v>0</v>
      </c>
      <c r="G76" s="112">
        <v>0</v>
      </c>
      <c r="I76" s="108">
        <f t="shared" si="4"/>
        <v>0</v>
      </c>
      <c r="J76" s="108">
        <f t="shared" si="3"/>
        <v>0</v>
      </c>
      <c r="K76" s="108">
        <f t="shared" si="3"/>
        <v>0</v>
      </c>
      <c r="L76" s="108">
        <f t="shared" si="3"/>
        <v>0</v>
      </c>
      <c r="M76" s="108">
        <f t="shared" si="3"/>
        <v>0</v>
      </c>
      <c r="N76" s="108">
        <f t="shared" si="3"/>
        <v>0</v>
      </c>
      <c r="S76" s="8"/>
      <c r="T76" s="8"/>
    </row>
    <row r="77" spans="1:20" x14ac:dyDescent="0.35">
      <c r="A77" s="1" t="s">
        <v>3</v>
      </c>
      <c r="B77" s="112">
        <v>0</v>
      </c>
      <c r="C77" s="112">
        <v>0</v>
      </c>
      <c r="D77" s="112">
        <v>0</v>
      </c>
      <c r="E77" s="112">
        <v>0</v>
      </c>
      <c r="F77" s="112">
        <v>0</v>
      </c>
      <c r="G77" s="112">
        <v>0</v>
      </c>
      <c r="I77" s="108">
        <f t="shared" si="4"/>
        <v>0</v>
      </c>
      <c r="J77" s="108">
        <f t="shared" si="3"/>
        <v>0</v>
      </c>
      <c r="K77" s="108">
        <f t="shared" si="3"/>
        <v>0</v>
      </c>
      <c r="L77" s="108">
        <f t="shared" si="3"/>
        <v>0</v>
      </c>
      <c r="M77" s="108">
        <f t="shared" si="3"/>
        <v>0</v>
      </c>
      <c r="N77" s="108">
        <f t="shared" si="3"/>
        <v>0</v>
      </c>
      <c r="S77" s="8"/>
      <c r="T77" s="8"/>
    </row>
    <row r="78" spans="1:20" x14ac:dyDescent="0.35">
      <c r="A78" s="1" t="s">
        <v>4</v>
      </c>
      <c r="B78" s="112">
        <v>0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I78" s="108">
        <f t="shared" si="4"/>
        <v>0</v>
      </c>
      <c r="J78" s="108">
        <f t="shared" si="3"/>
        <v>0</v>
      </c>
      <c r="K78" s="108">
        <f t="shared" si="3"/>
        <v>0</v>
      </c>
      <c r="L78" s="108">
        <f t="shared" si="3"/>
        <v>0</v>
      </c>
      <c r="M78" s="108">
        <f t="shared" si="3"/>
        <v>0</v>
      </c>
      <c r="N78" s="108">
        <f t="shared" si="3"/>
        <v>0</v>
      </c>
      <c r="S78" s="8"/>
      <c r="T78" s="8"/>
    </row>
    <row r="79" spans="1:20" x14ac:dyDescent="0.35">
      <c r="A79" s="1" t="s">
        <v>5</v>
      </c>
      <c r="B79" s="112">
        <v>0</v>
      </c>
      <c r="C79" s="112">
        <v>0</v>
      </c>
      <c r="D79" s="112">
        <v>0</v>
      </c>
      <c r="E79" s="112">
        <v>0</v>
      </c>
      <c r="F79" s="112">
        <v>0</v>
      </c>
      <c r="G79" s="112">
        <v>0</v>
      </c>
      <c r="I79" s="108">
        <f t="shared" si="4"/>
        <v>0</v>
      </c>
      <c r="J79" s="108">
        <f t="shared" si="3"/>
        <v>0</v>
      </c>
      <c r="K79" s="108">
        <f t="shared" si="3"/>
        <v>0</v>
      </c>
      <c r="L79" s="108">
        <f t="shared" si="3"/>
        <v>0</v>
      </c>
      <c r="M79" s="108">
        <f t="shared" si="3"/>
        <v>0</v>
      </c>
      <c r="N79" s="108">
        <f t="shared" si="3"/>
        <v>0</v>
      </c>
      <c r="S79" s="8"/>
      <c r="T79" s="8"/>
    </row>
    <row r="80" spans="1:20" x14ac:dyDescent="0.35">
      <c r="A80" s="1" t="s">
        <v>6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I80" s="108">
        <f t="shared" si="4"/>
        <v>0</v>
      </c>
      <c r="J80" s="108">
        <f t="shared" si="3"/>
        <v>0</v>
      </c>
      <c r="K80" s="108">
        <f t="shared" si="3"/>
        <v>0</v>
      </c>
      <c r="L80" s="108">
        <f t="shared" si="3"/>
        <v>0</v>
      </c>
      <c r="M80" s="108">
        <f t="shared" si="3"/>
        <v>0</v>
      </c>
      <c r="N80" s="108">
        <f t="shared" si="3"/>
        <v>0</v>
      </c>
      <c r="S80" s="8"/>
      <c r="T80" s="8"/>
    </row>
    <row r="81" spans="1:20" x14ac:dyDescent="0.35">
      <c r="A81" s="1" t="s">
        <v>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I81" s="108">
        <f t="shared" si="4"/>
        <v>0</v>
      </c>
      <c r="J81" s="108">
        <f t="shared" si="3"/>
        <v>0</v>
      </c>
      <c r="K81" s="108">
        <f t="shared" si="3"/>
        <v>0</v>
      </c>
      <c r="L81" s="108">
        <f t="shared" si="3"/>
        <v>0</v>
      </c>
      <c r="M81" s="108">
        <f t="shared" si="3"/>
        <v>0</v>
      </c>
      <c r="N81" s="108">
        <f t="shared" si="3"/>
        <v>0</v>
      </c>
      <c r="S81" s="8"/>
      <c r="T81" s="8"/>
    </row>
    <row r="82" spans="1:20" x14ac:dyDescent="0.35">
      <c r="A82" s="1" t="s">
        <v>8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I82" s="108">
        <f t="shared" si="4"/>
        <v>0</v>
      </c>
      <c r="J82" s="108">
        <f t="shared" si="3"/>
        <v>0</v>
      </c>
      <c r="K82" s="108">
        <f t="shared" si="3"/>
        <v>0</v>
      </c>
      <c r="L82" s="108">
        <f t="shared" si="3"/>
        <v>0</v>
      </c>
      <c r="M82" s="108">
        <f t="shared" si="3"/>
        <v>0</v>
      </c>
      <c r="N82" s="108">
        <f t="shared" si="3"/>
        <v>0</v>
      </c>
      <c r="S82" s="13"/>
      <c r="T82" s="13"/>
    </row>
    <row r="83" spans="1:20" x14ac:dyDescent="0.35">
      <c r="A83" s="1" t="s">
        <v>9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I83" s="108">
        <f t="shared" si="4"/>
        <v>0</v>
      </c>
      <c r="J83" s="108">
        <f t="shared" si="3"/>
        <v>0</v>
      </c>
      <c r="K83" s="108">
        <f t="shared" si="3"/>
        <v>0</v>
      </c>
      <c r="L83" s="108">
        <f t="shared" si="3"/>
        <v>0</v>
      </c>
      <c r="M83" s="108">
        <f t="shared" si="3"/>
        <v>0</v>
      </c>
      <c r="N83" s="108">
        <f t="shared" si="3"/>
        <v>0</v>
      </c>
      <c r="S83" s="13"/>
      <c r="T83" s="13"/>
    </row>
    <row r="84" spans="1:20" x14ac:dyDescent="0.35">
      <c r="A84" s="1" t="s">
        <v>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I84" s="108">
        <f t="shared" si="4"/>
        <v>0</v>
      </c>
      <c r="J84" s="108">
        <f t="shared" si="4"/>
        <v>0</v>
      </c>
      <c r="K84" s="108">
        <f t="shared" si="4"/>
        <v>0</v>
      </c>
      <c r="L84" s="108">
        <f t="shared" si="4"/>
        <v>0</v>
      </c>
      <c r="M84" s="108">
        <f t="shared" si="4"/>
        <v>0</v>
      </c>
      <c r="N84" s="108">
        <f t="shared" si="4"/>
        <v>0</v>
      </c>
      <c r="S84" s="14"/>
      <c r="T84" s="14"/>
    </row>
    <row r="85" spans="1:20" x14ac:dyDescent="0.35">
      <c r="A85" s="1" t="s">
        <v>11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I85" s="108">
        <f t="shared" si="4"/>
        <v>0</v>
      </c>
      <c r="J85" s="108">
        <f t="shared" si="4"/>
        <v>0</v>
      </c>
      <c r="K85" s="108">
        <f t="shared" si="4"/>
        <v>0</v>
      </c>
      <c r="L85" s="108">
        <f t="shared" si="4"/>
        <v>0</v>
      </c>
      <c r="M85" s="108">
        <f t="shared" si="4"/>
        <v>0</v>
      </c>
      <c r="N85" s="108">
        <f t="shared" si="4"/>
        <v>0</v>
      </c>
      <c r="S85" s="14"/>
      <c r="T85" s="14"/>
    </row>
    <row r="86" spans="1:20" s="28" customFormat="1" x14ac:dyDescent="0.35">
      <c r="A86" s="1" t="s">
        <v>12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I86" s="108">
        <f t="shared" si="4"/>
        <v>0</v>
      </c>
      <c r="J86" s="108">
        <f t="shared" si="4"/>
        <v>0</v>
      </c>
      <c r="K86" s="108">
        <f t="shared" si="4"/>
        <v>0</v>
      </c>
      <c r="L86" s="108">
        <f t="shared" si="4"/>
        <v>0</v>
      </c>
      <c r="M86" s="108">
        <f t="shared" si="4"/>
        <v>0</v>
      </c>
      <c r="N86" s="108">
        <f t="shared" si="4"/>
        <v>0</v>
      </c>
      <c r="S86" s="27"/>
      <c r="T86" s="27"/>
    </row>
    <row r="87" spans="1:20" x14ac:dyDescent="0.35">
      <c r="A87" s="1" t="s">
        <v>13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I87" s="108">
        <f t="shared" si="4"/>
        <v>0</v>
      </c>
      <c r="J87" s="108">
        <f t="shared" si="4"/>
        <v>0</v>
      </c>
      <c r="K87" s="108">
        <f t="shared" si="4"/>
        <v>0</v>
      </c>
      <c r="L87" s="108">
        <f t="shared" si="4"/>
        <v>0</v>
      </c>
      <c r="M87" s="108">
        <f t="shared" si="4"/>
        <v>0</v>
      </c>
      <c r="N87" s="108">
        <f t="shared" si="4"/>
        <v>0</v>
      </c>
      <c r="S87" s="14"/>
      <c r="T87" s="14"/>
    </row>
    <row r="88" spans="1:20" x14ac:dyDescent="0.35">
      <c r="A88" s="1" t="s">
        <v>14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I88" s="108">
        <f t="shared" si="4"/>
        <v>0</v>
      </c>
      <c r="J88" s="108">
        <f t="shared" si="4"/>
        <v>0</v>
      </c>
      <c r="K88" s="108">
        <f t="shared" si="4"/>
        <v>0</v>
      </c>
      <c r="L88" s="108">
        <f t="shared" si="4"/>
        <v>0</v>
      </c>
      <c r="M88" s="108">
        <f t="shared" si="4"/>
        <v>0</v>
      </c>
      <c r="N88" s="108">
        <f t="shared" si="4"/>
        <v>0</v>
      </c>
      <c r="S88" s="14"/>
      <c r="T88" s="14"/>
    </row>
    <row r="89" spans="1:20" x14ac:dyDescent="0.35">
      <c r="A89" s="1" t="s">
        <v>15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I89" s="108">
        <f t="shared" si="4"/>
        <v>0</v>
      </c>
      <c r="J89" s="108">
        <f t="shared" si="4"/>
        <v>0</v>
      </c>
      <c r="K89" s="108">
        <f t="shared" si="4"/>
        <v>0</v>
      </c>
      <c r="L89" s="108">
        <f t="shared" si="4"/>
        <v>0</v>
      </c>
      <c r="M89" s="108">
        <f t="shared" si="4"/>
        <v>0</v>
      </c>
      <c r="N89" s="108">
        <f t="shared" si="4"/>
        <v>0</v>
      </c>
      <c r="S89" s="14"/>
      <c r="T89" s="14"/>
    </row>
    <row r="90" spans="1:20" x14ac:dyDescent="0.35">
      <c r="A90" s="1" t="s">
        <v>16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I90" s="108">
        <f t="shared" si="4"/>
        <v>0</v>
      </c>
      <c r="J90" s="108">
        <f t="shared" si="4"/>
        <v>0</v>
      </c>
      <c r="K90" s="108">
        <f t="shared" si="4"/>
        <v>0</v>
      </c>
      <c r="L90" s="108">
        <f t="shared" si="4"/>
        <v>0</v>
      </c>
      <c r="M90" s="108">
        <f t="shared" si="4"/>
        <v>0</v>
      </c>
      <c r="N90" s="108">
        <f t="shared" si="4"/>
        <v>0</v>
      </c>
      <c r="S90" s="14"/>
      <c r="T90" s="14"/>
    </row>
    <row r="91" spans="1:20" x14ac:dyDescent="0.35">
      <c r="A91" s="1" t="s">
        <v>17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I91" s="108">
        <f t="shared" si="4"/>
        <v>0</v>
      </c>
      <c r="J91" s="108">
        <f t="shared" si="4"/>
        <v>0</v>
      </c>
      <c r="K91" s="108">
        <f t="shared" si="4"/>
        <v>0</v>
      </c>
      <c r="L91" s="108">
        <f t="shared" si="4"/>
        <v>0</v>
      </c>
      <c r="M91" s="108">
        <f t="shared" si="4"/>
        <v>0</v>
      </c>
      <c r="N91" s="108">
        <f t="shared" si="4"/>
        <v>0</v>
      </c>
    </row>
    <row r="92" spans="1:20" x14ac:dyDescent="0.35">
      <c r="A92" s="1" t="s">
        <v>18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I92" s="108">
        <f t="shared" si="4"/>
        <v>0</v>
      </c>
      <c r="J92" s="108">
        <f t="shared" si="4"/>
        <v>0</v>
      </c>
      <c r="K92" s="108">
        <f t="shared" si="4"/>
        <v>0</v>
      </c>
      <c r="L92" s="108">
        <f t="shared" si="4"/>
        <v>0</v>
      </c>
      <c r="M92" s="108">
        <f t="shared" si="4"/>
        <v>0</v>
      </c>
      <c r="N92" s="108">
        <f t="shared" si="4"/>
        <v>0</v>
      </c>
    </row>
    <row r="93" spans="1:20" x14ac:dyDescent="0.35">
      <c r="A93" s="1" t="s">
        <v>19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I93" s="108">
        <f t="shared" si="4"/>
        <v>0</v>
      </c>
      <c r="J93" s="108">
        <f t="shared" si="4"/>
        <v>0</v>
      </c>
      <c r="K93" s="108">
        <f t="shared" si="4"/>
        <v>0</v>
      </c>
      <c r="L93" s="108">
        <f t="shared" si="4"/>
        <v>0</v>
      </c>
      <c r="M93" s="108">
        <f t="shared" si="4"/>
        <v>0</v>
      </c>
      <c r="N93" s="108">
        <f t="shared" si="4"/>
        <v>0</v>
      </c>
    </row>
    <row r="94" spans="1:20" x14ac:dyDescent="0.35">
      <c r="A94" s="1" t="s">
        <v>20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I94" s="108">
        <f t="shared" si="4"/>
        <v>0</v>
      </c>
      <c r="J94" s="108">
        <f t="shared" si="4"/>
        <v>0</v>
      </c>
      <c r="K94" s="108">
        <f t="shared" si="4"/>
        <v>0</v>
      </c>
      <c r="L94" s="108">
        <f t="shared" si="4"/>
        <v>0</v>
      </c>
      <c r="M94" s="108">
        <f t="shared" si="4"/>
        <v>0</v>
      </c>
      <c r="N94" s="108">
        <f t="shared" si="4"/>
        <v>0</v>
      </c>
    </row>
    <row r="95" spans="1:20" x14ac:dyDescent="0.35">
      <c r="A95" s="1" t="s">
        <v>21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I95" s="108">
        <f t="shared" si="4"/>
        <v>0</v>
      </c>
      <c r="J95" s="108">
        <f t="shared" si="4"/>
        <v>0</v>
      </c>
      <c r="K95" s="108">
        <f t="shared" si="4"/>
        <v>0</v>
      </c>
      <c r="L95" s="108">
        <f t="shared" si="4"/>
        <v>0</v>
      </c>
      <c r="M95" s="108">
        <f t="shared" si="4"/>
        <v>0</v>
      </c>
      <c r="N95" s="108">
        <f t="shared" si="4"/>
        <v>0</v>
      </c>
    </row>
    <row r="96" spans="1:20" x14ac:dyDescent="0.35">
      <c r="A96" s="1" t="s">
        <v>22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I96" s="108">
        <f t="shared" si="4"/>
        <v>0</v>
      </c>
      <c r="J96" s="108">
        <f t="shared" si="4"/>
        <v>0</v>
      </c>
      <c r="K96" s="108">
        <f t="shared" si="4"/>
        <v>0</v>
      </c>
      <c r="L96" s="108">
        <f t="shared" si="4"/>
        <v>0</v>
      </c>
      <c r="M96" s="108">
        <f t="shared" si="4"/>
        <v>0</v>
      </c>
      <c r="N96" s="108">
        <f t="shared" si="4"/>
        <v>0</v>
      </c>
    </row>
    <row r="97" spans="1:14" x14ac:dyDescent="0.35">
      <c r="A97" s="1" t="s">
        <v>23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I97" s="108">
        <f t="shared" si="4"/>
        <v>0</v>
      </c>
      <c r="J97" s="108">
        <f t="shared" si="4"/>
        <v>0</v>
      </c>
      <c r="K97" s="108">
        <f t="shared" si="4"/>
        <v>0</v>
      </c>
      <c r="L97" s="108">
        <f t="shared" si="4"/>
        <v>0</v>
      </c>
      <c r="M97" s="108">
        <f t="shared" si="4"/>
        <v>0</v>
      </c>
      <c r="N97" s="108">
        <f t="shared" si="4"/>
        <v>0</v>
      </c>
    </row>
    <row r="98" spans="1:14" x14ac:dyDescent="0.35">
      <c r="A98" s="1" t="s">
        <v>50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I98" s="108">
        <f t="shared" si="4"/>
        <v>0</v>
      </c>
      <c r="J98" s="108">
        <f t="shared" si="4"/>
        <v>0</v>
      </c>
      <c r="K98" s="108">
        <f t="shared" si="4"/>
        <v>0</v>
      </c>
      <c r="L98" s="108">
        <f t="shared" si="4"/>
        <v>0</v>
      </c>
      <c r="M98" s="108">
        <f t="shared" si="4"/>
        <v>0</v>
      </c>
      <c r="N98" s="108">
        <f t="shared" si="4"/>
        <v>0</v>
      </c>
    </row>
    <row r="99" spans="1:14" x14ac:dyDescent="0.35">
      <c r="A99" s="1" t="s">
        <v>24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I99" s="108">
        <f t="shared" si="4"/>
        <v>0</v>
      </c>
      <c r="J99" s="108">
        <f t="shared" si="4"/>
        <v>0</v>
      </c>
      <c r="K99" s="108">
        <f t="shared" si="4"/>
        <v>0</v>
      </c>
      <c r="L99" s="108">
        <f t="shared" si="4"/>
        <v>0</v>
      </c>
      <c r="M99" s="108">
        <f t="shared" si="4"/>
        <v>0</v>
      </c>
      <c r="N99" s="108">
        <f t="shared" si="4"/>
        <v>0</v>
      </c>
    </row>
    <row r="100" spans="1:14" x14ac:dyDescent="0.35">
      <c r="A100" s="1" t="s">
        <v>25</v>
      </c>
      <c r="B100" s="112">
        <v>0</v>
      </c>
      <c r="C100" s="112">
        <v>0</v>
      </c>
      <c r="D100" s="112">
        <v>0</v>
      </c>
      <c r="E100" s="112">
        <v>0</v>
      </c>
      <c r="F100" s="112">
        <v>0</v>
      </c>
      <c r="G100" s="112">
        <v>0</v>
      </c>
      <c r="I100" s="108">
        <f t="shared" ref="I100:N100" si="5">B100*1.1</f>
        <v>0</v>
      </c>
      <c r="J100" s="108">
        <f t="shared" si="5"/>
        <v>0</v>
      </c>
      <c r="K100" s="108">
        <f t="shared" si="5"/>
        <v>0</v>
      </c>
      <c r="L100" s="108">
        <f t="shared" si="5"/>
        <v>0</v>
      </c>
      <c r="M100" s="108">
        <f t="shared" si="5"/>
        <v>0</v>
      </c>
      <c r="N100" s="108">
        <f t="shared" si="5"/>
        <v>0</v>
      </c>
    </row>
    <row r="101" spans="1:14" x14ac:dyDescent="0.35">
      <c r="A101" s="1" t="s">
        <v>26</v>
      </c>
      <c r="B101" s="112">
        <v>0</v>
      </c>
      <c r="C101" s="112">
        <v>0</v>
      </c>
      <c r="D101" s="112">
        <v>0</v>
      </c>
      <c r="E101" s="112">
        <v>0</v>
      </c>
      <c r="F101" s="112">
        <v>0</v>
      </c>
      <c r="G101" s="112">
        <v>0</v>
      </c>
      <c r="I101" s="108">
        <f t="shared" si="4"/>
        <v>0</v>
      </c>
      <c r="J101" s="108">
        <f t="shared" si="4"/>
        <v>0</v>
      </c>
      <c r="K101" s="108">
        <f t="shared" si="4"/>
        <v>0</v>
      </c>
      <c r="L101" s="108">
        <f t="shared" si="4"/>
        <v>0</v>
      </c>
      <c r="M101" s="108">
        <f t="shared" si="4"/>
        <v>0</v>
      </c>
      <c r="N101" s="108">
        <f t="shared" si="4"/>
        <v>0</v>
      </c>
    </row>
    <row r="102" spans="1:14" x14ac:dyDescent="0.35">
      <c r="A102" s="1" t="s">
        <v>27</v>
      </c>
      <c r="B102" s="112">
        <v>0</v>
      </c>
      <c r="C102" s="112">
        <v>0</v>
      </c>
      <c r="D102" s="112">
        <v>0</v>
      </c>
      <c r="E102" s="112">
        <v>0</v>
      </c>
      <c r="F102" s="112">
        <v>0</v>
      </c>
      <c r="G102" s="112">
        <v>0</v>
      </c>
      <c r="I102" s="108">
        <f t="shared" si="4"/>
        <v>0</v>
      </c>
      <c r="J102" s="108">
        <f t="shared" si="4"/>
        <v>0</v>
      </c>
      <c r="K102" s="108">
        <f t="shared" si="4"/>
        <v>0</v>
      </c>
      <c r="L102" s="108">
        <f t="shared" si="4"/>
        <v>0</v>
      </c>
      <c r="M102" s="108">
        <f t="shared" si="4"/>
        <v>0</v>
      </c>
      <c r="N102" s="108">
        <f t="shared" si="4"/>
        <v>0</v>
      </c>
    </row>
    <row r="103" spans="1:14" x14ac:dyDescent="0.35">
      <c r="A103" s="1" t="s">
        <v>28</v>
      </c>
      <c r="B103" s="112">
        <v>0</v>
      </c>
      <c r="C103" s="112">
        <v>0</v>
      </c>
      <c r="D103" s="112">
        <v>0</v>
      </c>
      <c r="E103" s="112">
        <v>0</v>
      </c>
      <c r="F103" s="112">
        <v>0</v>
      </c>
      <c r="G103" s="112">
        <v>0</v>
      </c>
      <c r="I103" s="108">
        <f t="shared" si="4"/>
        <v>0</v>
      </c>
      <c r="J103" s="108">
        <f t="shared" si="4"/>
        <v>0</v>
      </c>
      <c r="K103" s="108">
        <f t="shared" si="4"/>
        <v>0</v>
      </c>
      <c r="L103" s="108">
        <f t="shared" si="4"/>
        <v>0</v>
      </c>
      <c r="M103" s="108">
        <f t="shared" si="4"/>
        <v>0</v>
      </c>
      <c r="N103" s="108">
        <f t="shared" si="4"/>
        <v>0</v>
      </c>
    </row>
    <row r="104" spans="1:14" x14ac:dyDescent="0.35">
      <c r="A104" s="1" t="s">
        <v>29</v>
      </c>
      <c r="B104" s="112">
        <v>0</v>
      </c>
      <c r="C104" s="112">
        <v>0</v>
      </c>
      <c r="D104" s="112">
        <v>0</v>
      </c>
      <c r="E104" s="112">
        <v>0</v>
      </c>
      <c r="F104" s="112">
        <v>0</v>
      </c>
      <c r="G104" s="112">
        <v>0</v>
      </c>
      <c r="I104" s="108">
        <f t="shared" si="4"/>
        <v>0</v>
      </c>
      <c r="J104" s="108">
        <f t="shared" si="4"/>
        <v>0</v>
      </c>
      <c r="K104" s="108">
        <f t="shared" si="4"/>
        <v>0</v>
      </c>
      <c r="L104" s="108">
        <f t="shared" si="4"/>
        <v>0</v>
      </c>
      <c r="M104" s="108">
        <f t="shared" si="4"/>
        <v>0</v>
      </c>
      <c r="N104" s="108">
        <f t="shared" si="4"/>
        <v>0</v>
      </c>
    </row>
    <row r="105" spans="1:14" x14ac:dyDescent="0.35">
      <c r="A105" s="1" t="s">
        <v>30</v>
      </c>
      <c r="B105" s="112">
        <v>0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I105" s="108">
        <f t="shared" si="4"/>
        <v>0</v>
      </c>
      <c r="J105" s="108">
        <f t="shared" si="4"/>
        <v>0</v>
      </c>
      <c r="K105" s="108">
        <f t="shared" si="4"/>
        <v>0</v>
      </c>
      <c r="L105" s="108">
        <f t="shared" si="4"/>
        <v>0</v>
      </c>
      <c r="M105" s="108">
        <f t="shared" si="4"/>
        <v>0</v>
      </c>
      <c r="N105" s="108">
        <f t="shared" si="4"/>
        <v>0</v>
      </c>
    </row>
    <row r="106" spans="1:14" x14ac:dyDescent="0.35">
      <c r="A106" s="1" t="s">
        <v>31</v>
      </c>
      <c r="B106" s="112">
        <v>0</v>
      </c>
      <c r="C106" s="112">
        <v>0</v>
      </c>
      <c r="D106" s="112">
        <v>0</v>
      </c>
      <c r="E106" s="112">
        <v>0</v>
      </c>
      <c r="F106" s="112">
        <v>0</v>
      </c>
      <c r="G106" s="112">
        <v>0</v>
      </c>
      <c r="I106" s="108">
        <f t="shared" si="4"/>
        <v>0</v>
      </c>
      <c r="J106" s="108">
        <f t="shared" si="4"/>
        <v>0</v>
      </c>
      <c r="K106" s="108">
        <f t="shared" si="4"/>
        <v>0</v>
      </c>
      <c r="L106" s="108">
        <f t="shared" si="4"/>
        <v>0</v>
      </c>
      <c r="M106" s="108">
        <f t="shared" si="4"/>
        <v>0</v>
      </c>
      <c r="N106" s="108">
        <f t="shared" si="4"/>
        <v>0</v>
      </c>
    </row>
    <row r="107" spans="1:14" x14ac:dyDescent="0.35">
      <c r="A107" s="1" t="s">
        <v>33</v>
      </c>
      <c r="B107" s="112">
        <v>0</v>
      </c>
      <c r="C107" s="112">
        <v>0</v>
      </c>
      <c r="D107" s="112">
        <v>0</v>
      </c>
      <c r="E107" s="112">
        <v>0</v>
      </c>
      <c r="F107" s="112">
        <v>0</v>
      </c>
      <c r="G107" s="112">
        <v>0</v>
      </c>
      <c r="I107" s="108">
        <f t="shared" si="4"/>
        <v>0</v>
      </c>
      <c r="J107" s="108">
        <f t="shared" si="4"/>
        <v>0</v>
      </c>
      <c r="K107" s="108">
        <f t="shared" si="4"/>
        <v>0</v>
      </c>
      <c r="L107" s="108">
        <f t="shared" si="4"/>
        <v>0</v>
      </c>
      <c r="M107" s="108">
        <f t="shared" si="4"/>
        <v>0</v>
      </c>
      <c r="N107" s="108">
        <f t="shared" si="4"/>
        <v>0</v>
      </c>
    </row>
    <row r="108" spans="1:14" x14ac:dyDescent="0.35">
      <c r="A108" s="1" t="s">
        <v>32</v>
      </c>
      <c r="B108" s="112">
        <v>0</v>
      </c>
      <c r="C108" s="112">
        <v>0</v>
      </c>
      <c r="D108" s="112">
        <v>0</v>
      </c>
      <c r="E108" s="112">
        <v>0</v>
      </c>
      <c r="F108" s="112">
        <v>0</v>
      </c>
      <c r="G108" s="112">
        <v>0</v>
      </c>
      <c r="I108" s="108">
        <f t="shared" si="4"/>
        <v>0</v>
      </c>
      <c r="J108" s="108">
        <f t="shared" si="4"/>
        <v>0</v>
      </c>
      <c r="K108" s="108">
        <f t="shared" si="4"/>
        <v>0</v>
      </c>
      <c r="L108" s="108">
        <f t="shared" si="4"/>
        <v>0</v>
      </c>
      <c r="M108" s="108">
        <f t="shared" si="4"/>
        <v>0</v>
      </c>
      <c r="N108" s="108">
        <f t="shared" si="4"/>
        <v>0</v>
      </c>
    </row>
    <row r="109" spans="1:14" x14ac:dyDescent="0.35">
      <c r="A109" s="1" t="s">
        <v>34</v>
      </c>
      <c r="B109" s="112">
        <v>0</v>
      </c>
      <c r="C109" s="112">
        <v>0</v>
      </c>
      <c r="D109" s="112">
        <v>0</v>
      </c>
      <c r="E109" s="112">
        <v>0</v>
      </c>
      <c r="F109" s="112">
        <v>0</v>
      </c>
      <c r="G109" s="112">
        <v>0</v>
      </c>
      <c r="I109" s="108">
        <f t="shared" si="4"/>
        <v>0</v>
      </c>
      <c r="J109" s="108">
        <f t="shared" si="4"/>
        <v>0</v>
      </c>
      <c r="K109" s="108">
        <f t="shared" si="4"/>
        <v>0</v>
      </c>
      <c r="L109" s="108">
        <f t="shared" si="4"/>
        <v>0</v>
      </c>
      <c r="M109" s="108">
        <f t="shared" si="4"/>
        <v>0</v>
      </c>
      <c r="N109" s="108">
        <f t="shared" si="4"/>
        <v>0</v>
      </c>
    </row>
    <row r="110" spans="1:14" x14ac:dyDescent="0.35">
      <c r="A110" s="1" t="s">
        <v>35</v>
      </c>
      <c r="B110" s="112">
        <v>0</v>
      </c>
      <c r="C110" s="112">
        <v>0</v>
      </c>
      <c r="D110" s="112">
        <v>0</v>
      </c>
      <c r="E110" s="112">
        <v>0</v>
      </c>
      <c r="F110" s="112">
        <v>0</v>
      </c>
      <c r="G110" s="112">
        <v>0</v>
      </c>
      <c r="I110" s="108">
        <f t="shared" si="4"/>
        <v>0</v>
      </c>
      <c r="J110" s="108">
        <f t="shared" si="4"/>
        <v>0</v>
      </c>
      <c r="K110" s="108">
        <f t="shared" si="4"/>
        <v>0</v>
      </c>
      <c r="L110" s="108">
        <f t="shared" si="4"/>
        <v>0</v>
      </c>
      <c r="M110" s="108">
        <f t="shared" si="4"/>
        <v>0</v>
      </c>
      <c r="N110" s="108">
        <f t="shared" si="4"/>
        <v>0</v>
      </c>
    </row>
    <row r="111" spans="1:14" x14ac:dyDescent="0.35">
      <c r="A111" s="1" t="s">
        <v>36</v>
      </c>
      <c r="B111" s="112">
        <v>0</v>
      </c>
      <c r="C111" s="112">
        <v>0</v>
      </c>
      <c r="D111" s="112">
        <v>0</v>
      </c>
      <c r="E111" s="112">
        <v>0</v>
      </c>
      <c r="F111" s="112">
        <v>0</v>
      </c>
      <c r="G111" s="112">
        <v>0</v>
      </c>
      <c r="I111" s="108">
        <f t="shared" si="4"/>
        <v>0</v>
      </c>
      <c r="J111" s="108">
        <f t="shared" si="4"/>
        <v>0</v>
      </c>
      <c r="K111" s="108">
        <f t="shared" si="4"/>
        <v>0</v>
      </c>
      <c r="L111" s="108">
        <f t="shared" si="4"/>
        <v>0</v>
      </c>
      <c r="M111" s="108">
        <f t="shared" si="4"/>
        <v>0</v>
      </c>
      <c r="N111" s="108">
        <f t="shared" si="4"/>
        <v>0</v>
      </c>
    </row>
    <row r="112" spans="1:14" x14ac:dyDescent="0.35">
      <c r="A112" s="1" t="s">
        <v>37</v>
      </c>
      <c r="B112" s="112">
        <v>0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I112" s="108">
        <f t="shared" si="4"/>
        <v>0</v>
      </c>
      <c r="J112" s="108">
        <f t="shared" si="4"/>
        <v>0</v>
      </c>
      <c r="K112" s="108">
        <f t="shared" si="4"/>
        <v>0</v>
      </c>
      <c r="L112" s="108">
        <f t="shared" si="4"/>
        <v>0</v>
      </c>
      <c r="M112" s="108">
        <f t="shared" si="4"/>
        <v>0</v>
      </c>
      <c r="N112" s="108">
        <f t="shared" si="4"/>
        <v>0</v>
      </c>
    </row>
    <row r="113" spans="1:14" x14ac:dyDescent="0.35">
      <c r="A113" s="1" t="s">
        <v>55</v>
      </c>
      <c r="B113" s="112">
        <v>0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I113" s="108">
        <f t="shared" si="4"/>
        <v>0</v>
      </c>
      <c r="J113" s="108">
        <f t="shared" si="4"/>
        <v>0</v>
      </c>
      <c r="K113" s="108">
        <f t="shared" si="4"/>
        <v>0</v>
      </c>
      <c r="L113" s="108">
        <f t="shared" si="4"/>
        <v>0</v>
      </c>
      <c r="M113" s="108">
        <f t="shared" si="4"/>
        <v>0</v>
      </c>
      <c r="N113" s="108">
        <f t="shared" si="4"/>
        <v>0</v>
      </c>
    </row>
    <row r="114" spans="1:14" x14ac:dyDescent="0.35">
      <c r="A114" s="1" t="s">
        <v>38</v>
      </c>
      <c r="B114" s="112">
        <v>0</v>
      </c>
      <c r="C114" s="112">
        <v>0</v>
      </c>
      <c r="D114" s="112">
        <v>0</v>
      </c>
      <c r="E114" s="112">
        <v>0</v>
      </c>
      <c r="F114" s="112">
        <v>0</v>
      </c>
      <c r="G114" s="112">
        <v>0</v>
      </c>
      <c r="I114" s="108">
        <f t="shared" si="4"/>
        <v>0</v>
      </c>
      <c r="J114" s="108">
        <f t="shared" si="4"/>
        <v>0</v>
      </c>
      <c r="K114" s="108">
        <f t="shared" si="4"/>
        <v>0</v>
      </c>
      <c r="L114" s="108">
        <f t="shared" si="4"/>
        <v>0</v>
      </c>
      <c r="M114" s="108">
        <f t="shared" si="4"/>
        <v>0</v>
      </c>
      <c r="N114" s="108">
        <f t="shared" si="4"/>
        <v>0</v>
      </c>
    </row>
    <row r="115" spans="1:14" x14ac:dyDescent="0.35">
      <c r="A115" s="1" t="s">
        <v>39</v>
      </c>
      <c r="B115" s="112">
        <v>0</v>
      </c>
      <c r="C115" s="112">
        <v>0</v>
      </c>
      <c r="D115" s="112">
        <v>0</v>
      </c>
      <c r="E115" s="112">
        <v>0</v>
      </c>
      <c r="F115" s="112">
        <v>0</v>
      </c>
      <c r="G115" s="112">
        <v>0</v>
      </c>
      <c r="I115" s="108">
        <f t="shared" si="4"/>
        <v>0</v>
      </c>
      <c r="J115" s="108">
        <f t="shared" si="4"/>
        <v>0</v>
      </c>
      <c r="K115" s="108">
        <f t="shared" si="4"/>
        <v>0</v>
      </c>
      <c r="L115" s="108">
        <f t="shared" si="4"/>
        <v>0</v>
      </c>
      <c r="M115" s="108">
        <f t="shared" si="4"/>
        <v>0</v>
      </c>
      <c r="N115" s="108">
        <f t="shared" si="4"/>
        <v>0</v>
      </c>
    </row>
    <row r="116" spans="1:14" x14ac:dyDescent="0.35">
      <c r="A116" s="1" t="s">
        <v>40</v>
      </c>
      <c r="B116" s="112">
        <v>0</v>
      </c>
      <c r="C116" s="112">
        <v>0</v>
      </c>
      <c r="D116" s="112">
        <v>0</v>
      </c>
      <c r="E116" s="112">
        <v>0</v>
      </c>
      <c r="F116" s="112">
        <v>0</v>
      </c>
      <c r="G116" s="112">
        <v>0</v>
      </c>
      <c r="I116" s="108">
        <f t="shared" si="4"/>
        <v>0</v>
      </c>
      <c r="J116" s="108">
        <f t="shared" si="4"/>
        <v>0</v>
      </c>
      <c r="K116" s="108">
        <f t="shared" si="4"/>
        <v>0</v>
      </c>
      <c r="L116" s="108">
        <f t="shared" si="4"/>
        <v>0</v>
      </c>
      <c r="M116" s="108">
        <f t="shared" si="4"/>
        <v>0</v>
      </c>
      <c r="N116" s="108">
        <f t="shared" si="4"/>
        <v>0</v>
      </c>
    </row>
    <row r="117" spans="1:14" x14ac:dyDescent="0.35">
      <c r="A117" s="1" t="s">
        <v>41</v>
      </c>
      <c r="B117" s="112">
        <v>0</v>
      </c>
      <c r="C117" s="112">
        <v>0</v>
      </c>
      <c r="D117" s="112">
        <v>0</v>
      </c>
      <c r="E117" s="112">
        <v>0</v>
      </c>
      <c r="F117" s="112">
        <v>0</v>
      </c>
      <c r="G117" s="112">
        <v>0</v>
      </c>
      <c r="I117" s="108">
        <f t="shared" si="4"/>
        <v>0</v>
      </c>
      <c r="J117" s="108">
        <f t="shared" si="4"/>
        <v>0</v>
      </c>
      <c r="K117" s="108">
        <f t="shared" si="4"/>
        <v>0</v>
      </c>
      <c r="L117" s="108">
        <f t="shared" si="4"/>
        <v>0</v>
      </c>
      <c r="M117" s="108">
        <f t="shared" si="4"/>
        <v>0</v>
      </c>
      <c r="N117" s="108">
        <f t="shared" si="4"/>
        <v>0</v>
      </c>
    </row>
    <row r="118" spans="1:14" x14ac:dyDescent="0.35">
      <c r="A118" s="1" t="s">
        <v>42</v>
      </c>
      <c r="B118" s="112">
        <v>0</v>
      </c>
      <c r="C118" s="112">
        <v>0</v>
      </c>
      <c r="D118" s="112">
        <v>0</v>
      </c>
      <c r="E118" s="112">
        <v>0</v>
      </c>
      <c r="F118" s="112">
        <v>0</v>
      </c>
      <c r="G118" s="112">
        <v>0</v>
      </c>
      <c r="I118" s="108">
        <f t="shared" si="4"/>
        <v>0</v>
      </c>
      <c r="J118" s="108">
        <f t="shared" si="4"/>
        <v>0</v>
      </c>
      <c r="K118" s="108">
        <f t="shared" si="4"/>
        <v>0</v>
      </c>
      <c r="L118" s="108">
        <f t="shared" si="4"/>
        <v>0</v>
      </c>
      <c r="M118" s="108">
        <f t="shared" si="4"/>
        <v>0</v>
      </c>
      <c r="N118" s="108">
        <f t="shared" si="4"/>
        <v>0</v>
      </c>
    </row>
    <row r="119" spans="1:14" x14ac:dyDescent="0.35">
      <c r="A119" s="1" t="s">
        <v>43</v>
      </c>
      <c r="B119" s="112">
        <v>0</v>
      </c>
      <c r="C119" s="112">
        <v>0</v>
      </c>
      <c r="D119" s="112">
        <v>0</v>
      </c>
      <c r="E119" s="112">
        <v>0</v>
      </c>
      <c r="F119" s="112">
        <v>0</v>
      </c>
      <c r="G119" s="112">
        <v>0</v>
      </c>
      <c r="I119" s="108">
        <f t="shared" si="4"/>
        <v>0</v>
      </c>
      <c r="J119" s="108">
        <f t="shared" si="4"/>
        <v>0</v>
      </c>
      <c r="K119" s="108">
        <f t="shared" si="4"/>
        <v>0</v>
      </c>
      <c r="L119" s="108">
        <f t="shared" si="4"/>
        <v>0</v>
      </c>
      <c r="M119" s="108">
        <f t="shared" si="4"/>
        <v>0</v>
      </c>
      <c r="N119" s="108">
        <f t="shared" si="4"/>
        <v>0</v>
      </c>
    </row>
    <row r="120" spans="1:14" x14ac:dyDescent="0.35">
      <c r="A120" s="1" t="s">
        <v>44</v>
      </c>
      <c r="B120" s="112">
        <v>0</v>
      </c>
      <c r="C120" s="112">
        <v>0</v>
      </c>
      <c r="D120" s="112">
        <v>0</v>
      </c>
      <c r="E120" s="112">
        <v>0</v>
      </c>
      <c r="F120" s="112">
        <v>0</v>
      </c>
      <c r="G120" s="112">
        <v>0</v>
      </c>
      <c r="I120" s="108">
        <f t="shared" si="4"/>
        <v>0</v>
      </c>
      <c r="J120" s="108">
        <f t="shared" si="4"/>
        <v>0</v>
      </c>
      <c r="K120" s="108">
        <f t="shared" si="4"/>
        <v>0</v>
      </c>
      <c r="L120" s="108">
        <f t="shared" si="4"/>
        <v>0</v>
      </c>
      <c r="M120" s="108">
        <f t="shared" si="4"/>
        <v>0</v>
      </c>
      <c r="N120" s="108">
        <f t="shared" si="4"/>
        <v>0</v>
      </c>
    </row>
    <row r="121" spans="1:14" x14ac:dyDescent="0.35">
      <c r="A121" s="1" t="s">
        <v>45</v>
      </c>
      <c r="B121" s="112">
        <v>0</v>
      </c>
      <c r="C121" s="112">
        <v>0</v>
      </c>
      <c r="D121" s="112">
        <v>0</v>
      </c>
      <c r="E121" s="112">
        <v>0</v>
      </c>
      <c r="F121" s="112">
        <v>0</v>
      </c>
      <c r="G121" s="112">
        <v>0</v>
      </c>
      <c r="I121" s="108">
        <f t="shared" si="4"/>
        <v>0</v>
      </c>
      <c r="J121" s="108">
        <f t="shared" si="4"/>
        <v>0</v>
      </c>
      <c r="K121" s="108">
        <f t="shared" si="4"/>
        <v>0</v>
      </c>
      <c r="L121" s="108">
        <f t="shared" si="4"/>
        <v>0</v>
      </c>
      <c r="M121" s="108">
        <f t="shared" si="4"/>
        <v>0</v>
      </c>
      <c r="N121" s="108">
        <f t="shared" si="4"/>
        <v>0</v>
      </c>
    </row>
    <row r="122" spans="1:14" x14ac:dyDescent="0.35">
      <c r="A122" s="1" t="s">
        <v>46</v>
      </c>
      <c r="B122" s="112">
        <v>0</v>
      </c>
      <c r="C122" s="112">
        <v>0</v>
      </c>
      <c r="D122" s="112">
        <v>0</v>
      </c>
      <c r="E122" s="112">
        <v>0</v>
      </c>
      <c r="F122" s="112">
        <v>0</v>
      </c>
      <c r="G122" s="112">
        <v>0</v>
      </c>
      <c r="I122" s="108">
        <f t="shared" si="4"/>
        <v>0</v>
      </c>
      <c r="J122" s="108">
        <f t="shared" si="4"/>
        <v>0</v>
      </c>
      <c r="K122" s="108">
        <f t="shared" si="4"/>
        <v>0</v>
      </c>
      <c r="L122" s="108">
        <f t="shared" si="4"/>
        <v>0</v>
      </c>
      <c r="M122" s="108">
        <f t="shared" si="4"/>
        <v>0</v>
      </c>
      <c r="N122" s="108">
        <f t="shared" si="4"/>
        <v>0</v>
      </c>
    </row>
    <row r="123" spans="1:14" x14ac:dyDescent="0.35">
      <c r="A123" s="1" t="s">
        <v>47</v>
      </c>
      <c r="B123" s="112">
        <v>0</v>
      </c>
      <c r="C123" s="112">
        <v>0</v>
      </c>
      <c r="D123" s="112">
        <v>0</v>
      </c>
      <c r="E123" s="112">
        <v>0</v>
      </c>
      <c r="F123" s="112">
        <v>0</v>
      </c>
      <c r="G123" s="112">
        <v>0</v>
      </c>
      <c r="I123" s="108">
        <f t="shared" si="4"/>
        <v>0</v>
      </c>
      <c r="J123" s="108">
        <f t="shared" si="4"/>
        <v>0</v>
      </c>
      <c r="K123" s="108">
        <f t="shared" si="4"/>
        <v>0</v>
      </c>
      <c r="L123" s="108">
        <f t="shared" si="4"/>
        <v>0</v>
      </c>
      <c r="M123" s="108">
        <f t="shared" si="4"/>
        <v>0</v>
      </c>
      <c r="N123" s="108">
        <f t="shared" si="4"/>
        <v>0</v>
      </c>
    </row>
    <row r="124" spans="1:14" x14ac:dyDescent="0.35">
      <c r="A124" s="1" t="s">
        <v>48</v>
      </c>
      <c r="B124" s="112">
        <v>0</v>
      </c>
      <c r="C124" s="112">
        <v>0</v>
      </c>
      <c r="D124" s="112">
        <v>0</v>
      </c>
      <c r="E124" s="112">
        <v>0</v>
      </c>
      <c r="F124" s="112">
        <v>0</v>
      </c>
      <c r="G124" s="112">
        <v>0</v>
      </c>
      <c r="I124" s="108">
        <f t="shared" ref="I124:N125" si="6">B124*1.1</f>
        <v>0</v>
      </c>
      <c r="J124" s="108">
        <f t="shared" si="6"/>
        <v>0</v>
      </c>
      <c r="K124" s="108">
        <f t="shared" si="6"/>
        <v>0</v>
      </c>
      <c r="L124" s="108">
        <f t="shared" si="6"/>
        <v>0</v>
      </c>
      <c r="M124" s="108">
        <f t="shared" si="6"/>
        <v>0</v>
      </c>
      <c r="N124" s="108">
        <f t="shared" si="6"/>
        <v>0</v>
      </c>
    </row>
    <row r="125" spans="1:14" x14ac:dyDescent="0.35">
      <c r="A125" s="1" t="s">
        <v>49</v>
      </c>
      <c r="B125" s="112">
        <v>0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I125" s="108">
        <f t="shared" si="6"/>
        <v>0</v>
      </c>
      <c r="J125" s="108">
        <f t="shared" si="6"/>
        <v>0</v>
      </c>
      <c r="K125" s="108">
        <f t="shared" si="6"/>
        <v>0</v>
      </c>
      <c r="L125" s="108">
        <f t="shared" si="6"/>
        <v>0</v>
      </c>
      <c r="M125" s="108">
        <f t="shared" si="6"/>
        <v>0</v>
      </c>
      <c r="N125" s="108">
        <f t="shared" si="6"/>
        <v>0</v>
      </c>
    </row>
    <row r="126" spans="1:14" ht="16.5" customHeight="1" x14ac:dyDescent="0.35">
      <c r="A126" s="38" t="s">
        <v>104</v>
      </c>
      <c r="B126" s="36">
        <f>AVERAGE(B68:G125)</f>
        <v>0</v>
      </c>
    </row>
    <row r="130" spans="1:18" x14ac:dyDescent="0.35">
      <c r="B130" s="111" t="s">
        <v>187</v>
      </c>
      <c r="D130" s="111" t="s">
        <v>188</v>
      </c>
    </row>
    <row r="131" spans="1:18" x14ac:dyDescent="0.35">
      <c r="A131" s="35"/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</row>
    <row r="132" spans="1:18" x14ac:dyDescent="0.35">
      <c r="A132" s="32" t="s">
        <v>58</v>
      </c>
      <c r="B132" s="33" t="s">
        <v>105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4"/>
    </row>
    <row r="133" spans="1:18" x14ac:dyDescent="0.35">
      <c r="A133" s="2" t="s">
        <v>58</v>
      </c>
      <c r="B133" s="112">
        <v>0</v>
      </c>
      <c r="C133" s="18"/>
      <c r="D133" s="108">
        <f>B133*1.1</f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5">
      <c r="A134" s="21"/>
      <c r="B134" s="22"/>
      <c r="C134" s="23"/>
      <c r="D134" s="22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5"/>
    </row>
    <row r="135" spans="1:18" x14ac:dyDescent="0.35">
      <c r="A135" s="21"/>
      <c r="B135" s="22"/>
      <c r="C135" s="23"/>
      <c r="D135" s="22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5"/>
    </row>
    <row r="136" spans="1:18" x14ac:dyDescent="0.35">
      <c r="A136" s="32" t="s">
        <v>60</v>
      </c>
      <c r="B136" s="33" t="s">
        <v>106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4"/>
    </row>
    <row r="137" spans="1:18" x14ac:dyDescent="0.35">
      <c r="A137" s="2" t="s">
        <v>196</v>
      </c>
      <c r="B137" s="112">
        <v>0</v>
      </c>
      <c r="C137" s="18"/>
      <c r="D137" s="108">
        <f>B137*1.1</f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5">
      <c r="A138" s="2" t="s">
        <v>213</v>
      </c>
      <c r="B138" s="112">
        <v>0</v>
      </c>
      <c r="C138" s="18"/>
      <c r="D138" s="108">
        <f t="shared" ref="D138:D141" si="7">B138*1.1</f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5">
      <c r="A139" s="2" t="s">
        <v>214</v>
      </c>
      <c r="B139" s="112">
        <v>0</v>
      </c>
      <c r="C139" s="18"/>
      <c r="D139" s="108">
        <f t="shared" si="7"/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5">
      <c r="A140" s="2" t="s">
        <v>215</v>
      </c>
      <c r="B140" s="112">
        <v>0</v>
      </c>
      <c r="C140" s="23"/>
      <c r="D140" s="108">
        <f t="shared" si="7"/>
        <v>0</v>
      </c>
      <c r="E140" s="24"/>
      <c r="F140" s="2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5">
      <c r="A141" s="21" t="s">
        <v>248</v>
      </c>
      <c r="B141" s="112">
        <v>0</v>
      </c>
      <c r="C141" s="23"/>
      <c r="D141" s="108">
        <f t="shared" si="7"/>
        <v>0</v>
      </c>
      <c r="E141" s="24"/>
      <c r="F141" s="2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5">
      <c r="A142" s="39" t="s">
        <v>98</v>
      </c>
      <c r="B142" s="6">
        <f>AVERAGE(B137:B141)</f>
        <v>0</v>
      </c>
      <c r="C142" s="6"/>
      <c r="D142" s="6"/>
      <c r="E142" s="6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5">
      <c r="A143" s="7"/>
      <c r="B143" s="6"/>
      <c r="C143" s="6"/>
      <c r="D143" s="6"/>
      <c r="E143" s="6"/>
      <c r="F143" s="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5"/>
    </row>
    <row r="144" spans="1:18" x14ac:dyDescent="0.35">
      <c r="A144" s="32" t="s">
        <v>189</v>
      </c>
      <c r="B144" s="33" t="s">
        <v>106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4"/>
    </row>
    <row r="145" spans="1:18" x14ac:dyDescent="0.35">
      <c r="A145" s="2" t="s">
        <v>197</v>
      </c>
      <c r="B145" s="112">
        <v>0</v>
      </c>
      <c r="C145" s="18"/>
      <c r="D145" s="108">
        <f>B145*1.1</f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5">
      <c r="A146" s="2" t="s">
        <v>216</v>
      </c>
      <c r="B146" s="112">
        <v>0</v>
      </c>
      <c r="C146" s="18"/>
      <c r="D146" s="108">
        <f t="shared" ref="D146:D149" si="8">B146*1.1</f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5">
      <c r="A147" s="2" t="s">
        <v>219</v>
      </c>
      <c r="B147" s="112">
        <v>0</v>
      </c>
      <c r="C147" s="18"/>
      <c r="D147" s="108">
        <f t="shared" si="8"/>
        <v>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5">
      <c r="A148" s="2" t="s">
        <v>220</v>
      </c>
      <c r="B148" s="112">
        <v>0</v>
      </c>
      <c r="C148" s="23"/>
      <c r="D148" s="108">
        <f t="shared" si="8"/>
        <v>0</v>
      </c>
      <c r="E148" s="24"/>
      <c r="F148" s="2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5">
      <c r="A149" s="2" t="s">
        <v>223</v>
      </c>
      <c r="B149" s="112">
        <v>0</v>
      </c>
      <c r="C149" s="23"/>
      <c r="D149" s="108">
        <f t="shared" si="8"/>
        <v>0</v>
      </c>
      <c r="E149" s="24"/>
      <c r="F149" s="2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5">
      <c r="A150" s="39" t="s">
        <v>98</v>
      </c>
      <c r="B150" s="4">
        <f>AVERAGE(B145:B149)</f>
        <v>0</v>
      </c>
      <c r="C150" s="23"/>
      <c r="D150" s="40"/>
      <c r="E150" s="24"/>
      <c r="F150" s="2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5">
      <c r="A151" s="7"/>
      <c r="B151" s="6"/>
      <c r="C151" s="6"/>
      <c r="D151" s="6"/>
      <c r="E151" s="6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5">
      <c r="A152" s="32" t="s">
        <v>59</v>
      </c>
      <c r="B152" s="33" t="s">
        <v>106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4"/>
    </row>
    <row r="153" spans="1:18" x14ac:dyDescent="0.35">
      <c r="A153" s="2" t="s">
        <v>198</v>
      </c>
      <c r="B153" s="112">
        <v>0</v>
      </c>
      <c r="C153" s="18"/>
      <c r="D153" s="108">
        <f>B153*1.1</f>
        <v>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5">
      <c r="A154" s="2" t="s">
        <v>217</v>
      </c>
      <c r="B154" s="112">
        <v>0</v>
      </c>
      <c r="C154" s="18"/>
      <c r="D154" s="108">
        <f t="shared" ref="D154:D157" si="9">B154*1.1</f>
        <v>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5">
      <c r="A155" s="2" t="s">
        <v>218</v>
      </c>
      <c r="B155" s="112">
        <v>0</v>
      </c>
      <c r="C155" s="18"/>
      <c r="D155" s="108">
        <f t="shared" si="9"/>
        <v>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5">
      <c r="A156" s="2" t="s">
        <v>221</v>
      </c>
      <c r="B156" s="112">
        <v>0</v>
      </c>
      <c r="C156" s="23"/>
      <c r="D156" s="108">
        <f t="shared" si="9"/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5"/>
    </row>
    <row r="157" spans="1:18" x14ac:dyDescent="0.35">
      <c r="A157" s="2" t="s">
        <v>222</v>
      </c>
      <c r="B157" s="112">
        <v>0</v>
      </c>
      <c r="C157" s="23"/>
      <c r="D157" s="108">
        <f t="shared" si="9"/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5"/>
    </row>
    <row r="158" spans="1:18" x14ac:dyDescent="0.35">
      <c r="A158" s="39" t="s">
        <v>98</v>
      </c>
      <c r="B158" s="4">
        <f>AVERAGE(B153:B157)</f>
        <v>0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2"/>
    </row>
    <row r="159" spans="1:18" x14ac:dyDescent="0.35">
      <c r="A159" s="39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2"/>
    </row>
    <row r="160" spans="1:18" x14ac:dyDescent="0.35">
      <c r="A160" s="29" t="s">
        <v>275</v>
      </c>
      <c r="B160" s="116"/>
      <c r="C160" s="116"/>
      <c r="D160" s="116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</row>
    <row r="161" spans="1:18" x14ac:dyDescent="0.35">
      <c r="A161" s="31" t="s">
        <v>61</v>
      </c>
      <c r="B161" s="114"/>
      <c r="C161" s="114"/>
      <c r="D161" s="1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x14ac:dyDescent="0.35">
      <c r="A162" s="31"/>
      <c r="B162" s="115"/>
      <c r="C162" s="115"/>
      <c r="D162" s="11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43.5" x14ac:dyDescent="0.35">
      <c r="A163" s="30" t="s">
        <v>276</v>
      </c>
      <c r="B163" s="115"/>
      <c r="C163" s="115"/>
      <c r="D163" s="115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</row>
    <row r="164" spans="1:18" x14ac:dyDescent="0.35">
      <c r="A164" s="31" t="s">
        <v>62</v>
      </c>
      <c r="B164" s="114"/>
      <c r="C164" s="114"/>
      <c r="D164" s="1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x14ac:dyDescent="0.35">
      <c r="A165" s="31" t="s">
        <v>63</v>
      </c>
      <c r="B165" s="114"/>
      <c r="C165" s="114"/>
      <c r="D165" s="1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x14ac:dyDescent="0.35">
      <c r="A166" s="31" t="s">
        <v>64</v>
      </c>
      <c r="B166" s="114"/>
      <c r="C166" s="114"/>
      <c r="D166" s="1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x14ac:dyDescent="0.35">
      <c r="A167" s="31" t="s">
        <v>65</v>
      </c>
      <c r="B167" s="114"/>
      <c r="C167" s="114"/>
      <c r="D167" s="1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</sheetData>
  <mergeCells count="7">
    <mergeCell ref="I3:N3"/>
    <mergeCell ref="B66:G66"/>
    <mergeCell ref="I66:N66"/>
    <mergeCell ref="A1:G1"/>
    <mergeCell ref="A65:G65"/>
    <mergeCell ref="A2:G2"/>
    <mergeCell ref="B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A6C3-E56F-4A49-B323-22DB2F0E5A51}">
  <dimension ref="A1:T167"/>
  <sheetViews>
    <sheetView topLeftCell="A66" zoomScale="106" zoomScaleNormal="106" workbookViewId="0">
      <selection activeCell="A68" sqref="A68:A70"/>
    </sheetView>
  </sheetViews>
  <sheetFormatPr defaultRowHeight="14.5" x14ac:dyDescent="0.35"/>
  <cols>
    <col min="1" max="1" width="79.54296875" customWidth="1"/>
    <col min="2" max="3" width="16" customWidth="1"/>
    <col min="4" max="4" width="21.7265625" bestFit="1" customWidth="1"/>
    <col min="5" max="5" width="12.7265625" customWidth="1"/>
    <col min="6" max="6" width="14.81640625" customWidth="1"/>
    <col min="7" max="7" width="13.26953125" bestFit="1" customWidth="1"/>
    <col min="8" max="8" width="13" customWidth="1"/>
    <col min="9" max="9" width="13.1796875" bestFit="1" customWidth="1"/>
    <col min="10" max="10" width="8.453125" customWidth="1"/>
    <col min="11" max="11" width="13.1796875" customWidth="1"/>
    <col min="12" max="12" width="14" customWidth="1"/>
    <col min="13" max="13" width="8.453125" customWidth="1"/>
    <col min="14" max="14" width="14.81640625" bestFit="1" customWidth="1"/>
    <col min="15" max="17" width="12.7265625" customWidth="1"/>
    <col min="18" max="18" width="21.453125" customWidth="1"/>
    <col min="19" max="19" width="8.26953125" customWidth="1"/>
    <col min="20" max="20" width="11.81640625" customWidth="1"/>
    <col min="21" max="21" width="11.453125" bestFit="1" customWidth="1"/>
    <col min="22" max="23" width="9.81640625" customWidth="1"/>
    <col min="27" max="27" width="11.81640625" customWidth="1"/>
  </cols>
  <sheetData>
    <row r="1" spans="1:20" ht="27.75" customHeight="1" x14ac:dyDescent="0.35">
      <c r="A1" s="119" t="s">
        <v>201</v>
      </c>
      <c r="B1" s="119"/>
      <c r="C1" s="119"/>
      <c r="D1" s="119"/>
      <c r="E1" s="119"/>
      <c r="F1" s="119"/>
      <c r="G1" s="119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0"/>
      <c r="T1" s="10"/>
    </row>
    <row r="2" spans="1:20" ht="30" customHeight="1" x14ac:dyDescent="0.35">
      <c r="A2" s="121" t="s">
        <v>151</v>
      </c>
      <c r="B2" s="121"/>
      <c r="C2" s="121"/>
      <c r="D2" s="121"/>
      <c r="E2" s="121"/>
      <c r="F2" s="121"/>
      <c r="G2" s="12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7.75" customHeight="1" x14ac:dyDescent="0.35">
      <c r="A3" s="109"/>
      <c r="B3" s="118" t="s">
        <v>187</v>
      </c>
      <c r="C3" s="118"/>
      <c r="D3" s="118"/>
      <c r="E3" s="118"/>
      <c r="F3" s="118"/>
      <c r="G3" s="118"/>
      <c r="H3" s="10"/>
      <c r="I3" s="118" t="s">
        <v>188</v>
      </c>
      <c r="J3" s="118"/>
      <c r="K3" s="118"/>
      <c r="L3" s="118"/>
      <c r="M3" s="118"/>
      <c r="N3" s="118"/>
      <c r="O3" s="10"/>
      <c r="P3" s="10"/>
      <c r="Q3" s="10"/>
      <c r="R3" s="10"/>
      <c r="S3" s="10"/>
      <c r="T3" s="10"/>
    </row>
    <row r="4" spans="1:20" ht="43" x14ac:dyDescent="0.35">
      <c r="A4" s="81" t="s">
        <v>51</v>
      </c>
      <c r="B4" s="17" t="s">
        <v>99</v>
      </c>
      <c r="C4" s="17" t="s">
        <v>100</v>
      </c>
      <c r="D4" s="17" t="s">
        <v>101</v>
      </c>
      <c r="E4" s="17" t="s">
        <v>102</v>
      </c>
      <c r="F4" s="17" t="s">
        <v>103</v>
      </c>
      <c r="G4" s="17" t="s">
        <v>149</v>
      </c>
      <c r="I4" s="17" t="s">
        <v>99</v>
      </c>
      <c r="J4" s="17" t="s">
        <v>100</v>
      </c>
      <c r="K4" s="17" t="s">
        <v>101</v>
      </c>
      <c r="L4" s="17" t="s">
        <v>102</v>
      </c>
      <c r="M4" s="17" t="s">
        <v>103</v>
      </c>
      <c r="N4" s="17" t="s">
        <v>149</v>
      </c>
    </row>
    <row r="5" spans="1:20" x14ac:dyDescent="0.35">
      <c r="A5" s="117" t="s">
        <v>286</v>
      </c>
      <c r="B5" s="112">
        <v>0</v>
      </c>
      <c r="C5" s="112">
        <v>0</v>
      </c>
      <c r="D5" s="112">
        <v>0</v>
      </c>
      <c r="E5" s="112">
        <v>0</v>
      </c>
      <c r="F5" s="112">
        <v>0</v>
      </c>
      <c r="G5" s="112">
        <v>0</v>
      </c>
      <c r="I5" s="108">
        <f>B5*1.1</f>
        <v>0</v>
      </c>
      <c r="J5" s="108">
        <f t="shared" ref="J5:N20" si="0">C5*1.1</f>
        <v>0</v>
      </c>
      <c r="K5" s="108">
        <f t="shared" si="0"/>
        <v>0</v>
      </c>
      <c r="L5" s="108">
        <f t="shared" si="0"/>
        <v>0</v>
      </c>
      <c r="M5" s="108">
        <f t="shared" si="0"/>
        <v>0</v>
      </c>
      <c r="N5" s="108">
        <f t="shared" si="0"/>
        <v>0</v>
      </c>
    </row>
    <row r="6" spans="1:20" x14ac:dyDescent="0.35">
      <c r="A6" s="117" t="s">
        <v>287</v>
      </c>
      <c r="B6" s="112">
        <v>0</v>
      </c>
      <c r="C6" s="112">
        <v>0</v>
      </c>
      <c r="D6" s="112">
        <v>0</v>
      </c>
      <c r="E6" s="112">
        <v>0</v>
      </c>
      <c r="F6" s="112">
        <v>0</v>
      </c>
      <c r="G6" s="112">
        <v>0</v>
      </c>
      <c r="I6" s="108">
        <f t="shared" ref="I6:N62" si="1">B6*1.1</f>
        <v>0</v>
      </c>
      <c r="J6" s="108">
        <f t="shared" si="0"/>
        <v>0</v>
      </c>
      <c r="K6" s="108">
        <f t="shared" si="0"/>
        <v>0</v>
      </c>
      <c r="L6" s="108">
        <f t="shared" si="0"/>
        <v>0</v>
      </c>
      <c r="M6" s="108">
        <f t="shared" si="0"/>
        <v>0</v>
      </c>
      <c r="N6" s="108">
        <f t="shared" si="0"/>
        <v>0</v>
      </c>
    </row>
    <row r="7" spans="1:20" x14ac:dyDescent="0.35">
      <c r="A7" s="117" t="s">
        <v>285</v>
      </c>
      <c r="B7" s="112">
        <v>0</v>
      </c>
      <c r="C7" s="112">
        <v>0</v>
      </c>
      <c r="D7" s="112">
        <v>0</v>
      </c>
      <c r="E7" s="112">
        <v>0</v>
      </c>
      <c r="F7" s="112">
        <v>0</v>
      </c>
      <c r="G7" s="112">
        <v>0</v>
      </c>
      <c r="I7" s="108">
        <f t="shared" si="1"/>
        <v>0</v>
      </c>
      <c r="J7" s="108">
        <f t="shared" si="0"/>
        <v>0</v>
      </c>
      <c r="K7" s="108">
        <f t="shared" si="0"/>
        <v>0</v>
      </c>
      <c r="L7" s="108">
        <f t="shared" si="0"/>
        <v>0</v>
      </c>
      <c r="M7" s="108">
        <f t="shared" si="0"/>
        <v>0</v>
      </c>
      <c r="N7" s="108">
        <f t="shared" si="0"/>
        <v>0</v>
      </c>
    </row>
    <row r="8" spans="1:20" x14ac:dyDescent="0.35">
      <c r="A8" s="1" t="s">
        <v>53</v>
      </c>
      <c r="B8" s="112">
        <v>0</v>
      </c>
      <c r="C8" s="112">
        <v>0</v>
      </c>
      <c r="D8" s="112">
        <v>0</v>
      </c>
      <c r="E8" s="112">
        <v>0</v>
      </c>
      <c r="F8" s="112">
        <v>0</v>
      </c>
      <c r="G8" s="112">
        <v>0</v>
      </c>
      <c r="I8" s="108">
        <f t="shared" si="1"/>
        <v>0</v>
      </c>
      <c r="J8" s="108">
        <f t="shared" si="0"/>
        <v>0</v>
      </c>
      <c r="K8" s="108">
        <f t="shared" si="0"/>
        <v>0</v>
      </c>
      <c r="L8" s="108">
        <f t="shared" si="0"/>
        <v>0</v>
      </c>
      <c r="M8" s="108">
        <f t="shared" si="0"/>
        <v>0</v>
      </c>
      <c r="N8" s="108">
        <f t="shared" si="0"/>
        <v>0</v>
      </c>
    </row>
    <row r="9" spans="1:20" x14ac:dyDescent="0.35">
      <c r="A9" s="1" t="s">
        <v>52</v>
      </c>
      <c r="B9" s="112">
        <v>0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I9" s="108">
        <f t="shared" si="1"/>
        <v>0</v>
      </c>
      <c r="J9" s="108">
        <f t="shared" si="0"/>
        <v>0</v>
      </c>
      <c r="K9" s="108">
        <f t="shared" si="0"/>
        <v>0</v>
      </c>
      <c r="L9" s="108">
        <f t="shared" si="0"/>
        <v>0</v>
      </c>
      <c r="M9" s="108">
        <f t="shared" si="0"/>
        <v>0</v>
      </c>
      <c r="N9" s="108">
        <f t="shared" si="0"/>
        <v>0</v>
      </c>
    </row>
    <row r="10" spans="1:20" x14ac:dyDescent="0.35">
      <c r="A10" s="1" t="s">
        <v>54</v>
      </c>
      <c r="B10" s="112">
        <v>0</v>
      </c>
      <c r="C10" s="112">
        <v>0</v>
      </c>
      <c r="D10" s="112">
        <v>0</v>
      </c>
      <c r="E10" s="112">
        <v>0</v>
      </c>
      <c r="F10" s="112">
        <v>0</v>
      </c>
      <c r="G10" s="112">
        <v>0</v>
      </c>
      <c r="I10" s="108">
        <f t="shared" si="1"/>
        <v>0</v>
      </c>
      <c r="J10" s="108">
        <f t="shared" si="0"/>
        <v>0</v>
      </c>
      <c r="K10" s="108">
        <f t="shared" si="0"/>
        <v>0</v>
      </c>
      <c r="L10" s="108">
        <f t="shared" si="0"/>
        <v>0</v>
      </c>
      <c r="M10" s="108">
        <f t="shared" si="0"/>
        <v>0</v>
      </c>
      <c r="N10" s="108">
        <f t="shared" si="0"/>
        <v>0</v>
      </c>
    </row>
    <row r="11" spans="1:20" x14ac:dyDescent="0.35">
      <c r="A11" s="1" t="s">
        <v>0</v>
      </c>
      <c r="B11" s="112">
        <v>0</v>
      </c>
      <c r="C11" s="112">
        <v>0</v>
      </c>
      <c r="D11" s="112">
        <v>0</v>
      </c>
      <c r="E11" s="112">
        <v>0</v>
      </c>
      <c r="F11" s="112">
        <v>0</v>
      </c>
      <c r="G11" s="112">
        <v>0</v>
      </c>
      <c r="I11" s="108">
        <f t="shared" si="1"/>
        <v>0</v>
      </c>
      <c r="J11" s="108">
        <f t="shared" si="0"/>
        <v>0</v>
      </c>
      <c r="K11" s="108">
        <f t="shared" si="0"/>
        <v>0</v>
      </c>
      <c r="L11" s="108">
        <f t="shared" si="0"/>
        <v>0</v>
      </c>
      <c r="M11" s="108">
        <f t="shared" si="0"/>
        <v>0</v>
      </c>
      <c r="N11" s="108">
        <f t="shared" si="0"/>
        <v>0</v>
      </c>
    </row>
    <row r="12" spans="1:20" x14ac:dyDescent="0.35">
      <c r="A12" s="1" t="s">
        <v>1</v>
      </c>
      <c r="B12" s="112">
        <v>0</v>
      </c>
      <c r="C12" s="112">
        <v>0</v>
      </c>
      <c r="D12" s="112">
        <v>0</v>
      </c>
      <c r="E12" s="112">
        <v>0</v>
      </c>
      <c r="F12" s="112">
        <v>0</v>
      </c>
      <c r="G12" s="112">
        <v>0</v>
      </c>
      <c r="I12" s="108">
        <f t="shared" si="1"/>
        <v>0</v>
      </c>
      <c r="J12" s="108">
        <f t="shared" si="0"/>
        <v>0</v>
      </c>
      <c r="K12" s="108">
        <f t="shared" si="0"/>
        <v>0</v>
      </c>
      <c r="L12" s="108">
        <f t="shared" si="0"/>
        <v>0</v>
      </c>
      <c r="M12" s="108">
        <f t="shared" si="0"/>
        <v>0</v>
      </c>
      <c r="N12" s="108">
        <f t="shared" si="0"/>
        <v>0</v>
      </c>
    </row>
    <row r="13" spans="1:20" x14ac:dyDescent="0.35">
      <c r="A13" s="1" t="s">
        <v>2</v>
      </c>
      <c r="B13" s="112">
        <v>0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I13" s="108">
        <f t="shared" si="1"/>
        <v>0</v>
      </c>
      <c r="J13" s="108">
        <f t="shared" si="0"/>
        <v>0</v>
      </c>
      <c r="K13" s="108">
        <f t="shared" si="0"/>
        <v>0</v>
      </c>
      <c r="L13" s="108">
        <f t="shared" si="0"/>
        <v>0</v>
      </c>
      <c r="M13" s="108">
        <f t="shared" si="0"/>
        <v>0</v>
      </c>
      <c r="N13" s="108">
        <f t="shared" si="0"/>
        <v>0</v>
      </c>
    </row>
    <row r="14" spans="1:20" x14ac:dyDescent="0.35">
      <c r="A14" s="1" t="s">
        <v>3</v>
      </c>
      <c r="B14" s="112">
        <v>0</v>
      </c>
      <c r="C14" s="112">
        <v>0</v>
      </c>
      <c r="D14" s="112">
        <v>0</v>
      </c>
      <c r="E14" s="112">
        <v>0</v>
      </c>
      <c r="F14" s="112">
        <v>0</v>
      </c>
      <c r="G14" s="112">
        <v>0</v>
      </c>
      <c r="I14" s="108">
        <f t="shared" si="1"/>
        <v>0</v>
      </c>
      <c r="J14" s="108">
        <f t="shared" si="0"/>
        <v>0</v>
      </c>
      <c r="K14" s="108">
        <f t="shared" si="0"/>
        <v>0</v>
      </c>
      <c r="L14" s="108">
        <f t="shared" si="0"/>
        <v>0</v>
      </c>
      <c r="M14" s="108">
        <f t="shared" si="0"/>
        <v>0</v>
      </c>
      <c r="N14" s="108">
        <f t="shared" si="0"/>
        <v>0</v>
      </c>
    </row>
    <row r="15" spans="1:20" x14ac:dyDescent="0.35">
      <c r="A15" s="1" t="s">
        <v>4</v>
      </c>
      <c r="B15" s="112">
        <v>0</v>
      </c>
      <c r="C15" s="112">
        <v>0</v>
      </c>
      <c r="D15" s="112">
        <v>0</v>
      </c>
      <c r="E15" s="112">
        <v>0</v>
      </c>
      <c r="F15" s="112">
        <v>0</v>
      </c>
      <c r="G15" s="112">
        <v>0</v>
      </c>
      <c r="I15" s="108">
        <f t="shared" si="1"/>
        <v>0</v>
      </c>
      <c r="J15" s="108">
        <f t="shared" si="0"/>
        <v>0</v>
      </c>
      <c r="K15" s="108">
        <f t="shared" si="0"/>
        <v>0</v>
      </c>
      <c r="L15" s="108">
        <f t="shared" si="0"/>
        <v>0</v>
      </c>
      <c r="M15" s="108">
        <f t="shared" si="0"/>
        <v>0</v>
      </c>
      <c r="N15" s="108">
        <f t="shared" si="0"/>
        <v>0</v>
      </c>
    </row>
    <row r="16" spans="1:20" x14ac:dyDescent="0.35">
      <c r="A16" s="1" t="s">
        <v>5</v>
      </c>
      <c r="B16" s="112">
        <v>0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I16" s="108">
        <f t="shared" si="1"/>
        <v>0</v>
      </c>
      <c r="J16" s="108">
        <f t="shared" si="0"/>
        <v>0</v>
      </c>
      <c r="K16" s="108">
        <f t="shared" si="0"/>
        <v>0</v>
      </c>
      <c r="L16" s="108">
        <f t="shared" si="0"/>
        <v>0</v>
      </c>
      <c r="M16" s="108">
        <f t="shared" si="0"/>
        <v>0</v>
      </c>
      <c r="N16" s="108">
        <f t="shared" si="0"/>
        <v>0</v>
      </c>
    </row>
    <row r="17" spans="1:14" x14ac:dyDescent="0.35">
      <c r="A17" s="1" t="s">
        <v>6</v>
      </c>
      <c r="B17" s="112">
        <v>0</v>
      </c>
      <c r="C17" s="112">
        <v>0</v>
      </c>
      <c r="D17" s="112">
        <v>0</v>
      </c>
      <c r="E17" s="112">
        <v>0</v>
      </c>
      <c r="F17" s="112">
        <v>0</v>
      </c>
      <c r="G17" s="112">
        <v>0</v>
      </c>
      <c r="I17" s="108">
        <f t="shared" si="1"/>
        <v>0</v>
      </c>
      <c r="J17" s="108">
        <f t="shared" si="0"/>
        <v>0</v>
      </c>
      <c r="K17" s="108">
        <f t="shared" si="0"/>
        <v>0</v>
      </c>
      <c r="L17" s="108">
        <f t="shared" si="0"/>
        <v>0</v>
      </c>
      <c r="M17" s="108">
        <f t="shared" si="0"/>
        <v>0</v>
      </c>
      <c r="N17" s="108">
        <f t="shared" si="0"/>
        <v>0</v>
      </c>
    </row>
    <row r="18" spans="1:14" x14ac:dyDescent="0.35">
      <c r="A18" s="1" t="s">
        <v>7</v>
      </c>
      <c r="B18" s="112">
        <v>0</v>
      </c>
      <c r="C18" s="112">
        <v>0</v>
      </c>
      <c r="D18" s="112">
        <v>0</v>
      </c>
      <c r="E18" s="112">
        <v>0</v>
      </c>
      <c r="F18" s="112">
        <v>0</v>
      </c>
      <c r="G18" s="112">
        <v>0</v>
      </c>
      <c r="I18" s="108">
        <f t="shared" si="1"/>
        <v>0</v>
      </c>
      <c r="J18" s="108">
        <f t="shared" si="0"/>
        <v>0</v>
      </c>
      <c r="K18" s="108">
        <f t="shared" si="0"/>
        <v>0</v>
      </c>
      <c r="L18" s="108">
        <f t="shared" si="0"/>
        <v>0</v>
      </c>
      <c r="M18" s="108">
        <f t="shared" si="0"/>
        <v>0</v>
      </c>
      <c r="N18" s="108">
        <f t="shared" si="0"/>
        <v>0</v>
      </c>
    </row>
    <row r="19" spans="1:14" x14ac:dyDescent="0.35">
      <c r="A19" s="1" t="s">
        <v>8</v>
      </c>
      <c r="B19" s="112">
        <v>0</v>
      </c>
      <c r="C19" s="112">
        <v>0</v>
      </c>
      <c r="D19" s="112">
        <v>0</v>
      </c>
      <c r="E19" s="112">
        <v>0</v>
      </c>
      <c r="F19" s="112">
        <v>0</v>
      </c>
      <c r="G19" s="112">
        <v>0</v>
      </c>
      <c r="I19" s="108">
        <f t="shared" si="1"/>
        <v>0</v>
      </c>
      <c r="J19" s="108">
        <f t="shared" si="0"/>
        <v>0</v>
      </c>
      <c r="K19" s="108">
        <f t="shared" si="0"/>
        <v>0</v>
      </c>
      <c r="L19" s="108">
        <f t="shared" si="0"/>
        <v>0</v>
      </c>
      <c r="M19" s="108">
        <f t="shared" si="0"/>
        <v>0</v>
      </c>
      <c r="N19" s="108">
        <f t="shared" si="0"/>
        <v>0</v>
      </c>
    </row>
    <row r="20" spans="1:14" x14ac:dyDescent="0.35">
      <c r="A20" s="1" t="s">
        <v>9</v>
      </c>
      <c r="B20" s="112">
        <v>0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I20" s="108">
        <f t="shared" si="1"/>
        <v>0</v>
      </c>
      <c r="J20" s="108">
        <f t="shared" si="0"/>
        <v>0</v>
      </c>
      <c r="K20" s="108">
        <f t="shared" si="0"/>
        <v>0</v>
      </c>
      <c r="L20" s="108">
        <f t="shared" si="0"/>
        <v>0</v>
      </c>
      <c r="M20" s="108">
        <f t="shared" si="0"/>
        <v>0</v>
      </c>
      <c r="N20" s="108">
        <f t="shared" si="0"/>
        <v>0</v>
      </c>
    </row>
    <row r="21" spans="1:14" x14ac:dyDescent="0.35">
      <c r="A21" s="1" t="s">
        <v>10</v>
      </c>
      <c r="B21" s="112">
        <v>0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I21" s="108">
        <f t="shared" si="1"/>
        <v>0</v>
      </c>
      <c r="J21" s="108">
        <f t="shared" si="1"/>
        <v>0</v>
      </c>
      <c r="K21" s="108">
        <f t="shared" si="1"/>
        <v>0</v>
      </c>
      <c r="L21" s="108">
        <f t="shared" si="1"/>
        <v>0</v>
      </c>
      <c r="M21" s="108">
        <f t="shared" si="1"/>
        <v>0</v>
      </c>
      <c r="N21" s="108">
        <f t="shared" si="1"/>
        <v>0</v>
      </c>
    </row>
    <row r="22" spans="1:14" x14ac:dyDescent="0.35">
      <c r="A22" s="1" t="s">
        <v>11</v>
      </c>
      <c r="B22" s="112">
        <v>0</v>
      </c>
      <c r="C22" s="112">
        <v>0</v>
      </c>
      <c r="D22" s="112">
        <v>0</v>
      </c>
      <c r="E22" s="112">
        <v>0</v>
      </c>
      <c r="F22" s="112">
        <v>0</v>
      </c>
      <c r="G22" s="112">
        <v>0</v>
      </c>
      <c r="I22" s="108">
        <f t="shared" si="1"/>
        <v>0</v>
      </c>
      <c r="J22" s="108">
        <f t="shared" si="1"/>
        <v>0</v>
      </c>
      <c r="K22" s="108">
        <f t="shared" si="1"/>
        <v>0</v>
      </c>
      <c r="L22" s="108">
        <f t="shared" si="1"/>
        <v>0</v>
      </c>
      <c r="M22" s="108">
        <f t="shared" si="1"/>
        <v>0</v>
      </c>
      <c r="N22" s="108">
        <f t="shared" si="1"/>
        <v>0</v>
      </c>
    </row>
    <row r="23" spans="1:14" x14ac:dyDescent="0.35">
      <c r="A23" s="1" t="s">
        <v>12</v>
      </c>
      <c r="B23" s="112">
        <v>0</v>
      </c>
      <c r="C23" s="112">
        <v>0</v>
      </c>
      <c r="D23" s="112">
        <v>0</v>
      </c>
      <c r="E23" s="112">
        <v>0</v>
      </c>
      <c r="F23" s="112">
        <v>0</v>
      </c>
      <c r="G23" s="112">
        <v>0</v>
      </c>
      <c r="I23" s="108">
        <f t="shared" si="1"/>
        <v>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f t="shared" si="1"/>
        <v>0</v>
      </c>
      <c r="N23" s="108">
        <f t="shared" si="1"/>
        <v>0</v>
      </c>
    </row>
    <row r="24" spans="1:14" x14ac:dyDescent="0.35">
      <c r="A24" s="1" t="s">
        <v>13</v>
      </c>
      <c r="B24" s="112">
        <v>0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I24" s="108">
        <f t="shared" si="1"/>
        <v>0</v>
      </c>
      <c r="J24" s="108">
        <f t="shared" si="1"/>
        <v>0</v>
      </c>
      <c r="K24" s="108">
        <f t="shared" si="1"/>
        <v>0</v>
      </c>
      <c r="L24" s="108">
        <f t="shared" si="1"/>
        <v>0</v>
      </c>
      <c r="M24" s="108">
        <f t="shared" si="1"/>
        <v>0</v>
      </c>
      <c r="N24" s="108">
        <f t="shared" si="1"/>
        <v>0</v>
      </c>
    </row>
    <row r="25" spans="1:14" x14ac:dyDescent="0.35">
      <c r="A25" s="1" t="s">
        <v>14</v>
      </c>
      <c r="B25" s="112">
        <v>0</v>
      </c>
      <c r="C25" s="112">
        <v>0</v>
      </c>
      <c r="D25" s="112">
        <v>0</v>
      </c>
      <c r="E25" s="112">
        <v>0</v>
      </c>
      <c r="F25" s="112">
        <v>0</v>
      </c>
      <c r="G25" s="112">
        <v>0</v>
      </c>
      <c r="I25" s="108">
        <f t="shared" si="1"/>
        <v>0</v>
      </c>
      <c r="J25" s="108">
        <f t="shared" si="1"/>
        <v>0</v>
      </c>
      <c r="K25" s="108">
        <f t="shared" si="1"/>
        <v>0</v>
      </c>
      <c r="L25" s="108">
        <f t="shared" si="1"/>
        <v>0</v>
      </c>
      <c r="M25" s="108">
        <f t="shared" si="1"/>
        <v>0</v>
      </c>
      <c r="N25" s="108">
        <f t="shared" si="1"/>
        <v>0</v>
      </c>
    </row>
    <row r="26" spans="1:14" x14ac:dyDescent="0.35">
      <c r="A26" s="1" t="s">
        <v>15</v>
      </c>
      <c r="B26" s="112">
        <v>0</v>
      </c>
      <c r="C26" s="112">
        <v>0</v>
      </c>
      <c r="D26" s="112">
        <v>0</v>
      </c>
      <c r="E26" s="112">
        <v>0</v>
      </c>
      <c r="F26" s="112">
        <v>0</v>
      </c>
      <c r="G26" s="112">
        <v>0</v>
      </c>
      <c r="I26" s="108">
        <f t="shared" si="1"/>
        <v>0</v>
      </c>
      <c r="J26" s="108">
        <f t="shared" si="1"/>
        <v>0</v>
      </c>
      <c r="K26" s="108">
        <f t="shared" si="1"/>
        <v>0</v>
      </c>
      <c r="L26" s="108">
        <f t="shared" si="1"/>
        <v>0</v>
      </c>
      <c r="M26" s="108">
        <f t="shared" si="1"/>
        <v>0</v>
      </c>
      <c r="N26" s="108">
        <f t="shared" si="1"/>
        <v>0</v>
      </c>
    </row>
    <row r="27" spans="1:14" x14ac:dyDescent="0.35">
      <c r="A27" s="1" t="s">
        <v>16</v>
      </c>
      <c r="B27" s="112">
        <v>0</v>
      </c>
      <c r="C27" s="112">
        <v>0</v>
      </c>
      <c r="D27" s="112">
        <v>0</v>
      </c>
      <c r="E27" s="112">
        <v>0</v>
      </c>
      <c r="F27" s="112">
        <v>0</v>
      </c>
      <c r="G27" s="112">
        <v>0</v>
      </c>
      <c r="I27" s="108">
        <f t="shared" si="1"/>
        <v>0</v>
      </c>
      <c r="J27" s="108">
        <f t="shared" si="1"/>
        <v>0</v>
      </c>
      <c r="K27" s="108">
        <f t="shared" si="1"/>
        <v>0</v>
      </c>
      <c r="L27" s="108">
        <f t="shared" si="1"/>
        <v>0</v>
      </c>
      <c r="M27" s="108">
        <f t="shared" si="1"/>
        <v>0</v>
      </c>
      <c r="N27" s="108">
        <f t="shared" si="1"/>
        <v>0</v>
      </c>
    </row>
    <row r="28" spans="1:14" x14ac:dyDescent="0.35">
      <c r="A28" s="1" t="s">
        <v>17</v>
      </c>
      <c r="B28" s="112">
        <v>0</v>
      </c>
      <c r="C28" s="112">
        <v>0</v>
      </c>
      <c r="D28" s="112">
        <v>0</v>
      </c>
      <c r="E28" s="112">
        <v>0</v>
      </c>
      <c r="F28" s="112">
        <v>0</v>
      </c>
      <c r="G28" s="112">
        <v>0</v>
      </c>
      <c r="I28" s="108">
        <f t="shared" si="1"/>
        <v>0</v>
      </c>
      <c r="J28" s="108">
        <f t="shared" si="1"/>
        <v>0</v>
      </c>
      <c r="K28" s="108">
        <f t="shared" si="1"/>
        <v>0</v>
      </c>
      <c r="L28" s="108">
        <f t="shared" si="1"/>
        <v>0</v>
      </c>
      <c r="M28" s="108">
        <f t="shared" si="1"/>
        <v>0</v>
      </c>
      <c r="N28" s="108">
        <f t="shared" si="1"/>
        <v>0</v>
      </c>
    </row>
    <row r="29" spans="1:14" x14ac:dyDescent="0.35">
      <c r="A29" s="1" t="s">
        <v>18</v>
      </c>
      <c r="B29" s="112">
        <v>0</v>
      </c>
      <c r="C29" s="112">
        <v>0</v>
      </c>
      <c r="D29" s="112">
        <v>0</v>
      </c>
      <c r="E29" s="112">
        <v>0</v>
      </c>
      <c r="F29" s="112">
        <v>0</v>
      </c>
      <c r="G29" s="112">
        <v>0</v>
      </c>
      <c r="I29" s="108">
        <f t="shared" si="1"/>
        <v>0</v>
      </c>
      <c r="J29" s="108">
        <f t="shared" si="1"/>
        <v>0</v>
      </c>
      <c r="K29" s="108">
        <f t="shared" si="1"/>
        <v>0</v>
      </c>
      <c r="L29" s="108">
        <f t="shared" si="1"/>
        <v>0</v>
      </c>
      <c r="M29" s="108">
        <f t="shared" si="1"/>
        <v>0</v>
      </c>
      <c r="N29" s="108">
        <f t="shared" si="1"/>
        <v>0</v>
      </c>
    </row>
    <row r="30" spans="1:14" x14ac:dyDescent="0.35">
      <c r="A30" s="1" t="s">
        <v>19</v>
      </c>
      <c r="B30" s="112">
        <v>0</v>
      </c>
      <c r="C30" s="112">
        <v>0</v>
      </c>
      <c r="D30" s="112">
        <v>0</v>
      </c>
      <c r="E30" s="112">
        <v>0</v>
      </c>
      <c r="F30" s="112">
        <v>0</v>
      </c>
      <c r="G30" s="112">
        <v>0</v>
      </c>
      <c r="I30" s="108">
        <f t="shared" si="1"/>
        <v>0</v>
      </c>
      <c r="J30" s="108">
        <f t="shared" si="1"/>
        <v>0</v>
      </c>
      <c r="K30" s="108">
        <f t="shared" si="1"/>
        <v>0</v>
      </c>
      <c r="L30" s="108">
        <f t="shared" si="1"/>
        <v>0</v>
      </c>
      <c r="M30" s="108">
        <f t="shared" si="1"/>
        <v>0</v>
      </c>
      <c r="N30" s="108">
        <f t="shared" si="1"/>
        <v>0</v>
      </c>
    </row>
    <row r="31" spans="1:14" x14ac:dyDescent="0.35">
      <c r="A31" s="1" t="s">
        <v>20</v>
      </c>
      <c r="B31" s="112">
        <v>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I31" s="108">
        <f t="shared" si="1"/>
        <v>0</v>
      </c>
      <c r="J31" s="108">
        <f t="shared" si="1"/>
        <v>0</v>
      </c>
      <c r="K31" s="108">
        <f t="shared" si="1"/>
        <v>0</v>
      </c>
      <c r="L31" s="108">
        <f t="shared" si="1"/>
        <v>0</v>
      </c>
      <c r="M31" s="108">
        <f t="shared" si="1"/>
        <v>0</v>
      </c>
      <c r="N31" s="108">
        <f t="shared" si="1"/>
        <v>0</v>
      </c>
    </row>
    <row r="32" spans="1:14" x14ac:dyDescent="0.35">
      <c r="A32" s="1" t="s">
        <v>21</v>
      </c>
      <c r="B32" s="112">
        <v>0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I32" s="108">
        <f t="shared" si="1"/>
        <v>0</v>
      </c>
      <c r="J32" s="108">
        <f t="shared" si="1"/>
        <v>0</v>
      </c>
      <c r="K32" s="108">
        <f t="shared" si="1"/>
        <v>0</v>
      </c>
      <c r="L32" s="108">
        <f t="shared" si="1"/>
        <v>0</v>
      </c>
      <c r="M32" s="108">
        <f t="shared" si="1"/>
        <v>0</v>
      </c>
      <c r="N32" s="108">
        <f t="shared" si="1"/>
        <v>0</v>
      </c>
    </row>
    <row r="33" spans="1:14" x14ac:dyDescent="0.35">
      <c r="A33" s="1" t="s">
        <v>22</v>
      </c>
      <c r="B33" s="112">
        <v>0</v>
      </c>
      <c r="C33" s="112">
        <v>0</v>
      </c>
      <c r="D33" s="112">
        <v>0</v>
      </c>
      <c r="E33" s="112">
        <v>0</v>
      </c>
      <c r="F33" s="112">
        <v>0</v>
      </c>
      <c r="G33" s="112">
        <v>0</v>
      </c>
      <c r="I33" s="108">
        <f t="shared" si="1"/>
        <v>0</v>
      </c>
      <c r="J33" s="108">
        <f t="shared" si="1"/>
        <v>0</v>
      </c>
      <c r="K33" s="108">
        <f t="shared" si="1"/>
        <v>0</v>
      </c>
      <c r="L33" s="108">
        <f t="shared" si="1"/>
        <v>0</v>
      </c>
      <c r="M33" s="108">
        <f t="shared" si="1"/>
        <v>0</v>
      </c>
      <c r="N33" s="108">
        <f t="shared" si="1"/>
        <v>0</v>
      </c>
    </row>
    <row r="34" spans="1:14" x14ac:dyDescent="0.35">
      <c r="A34" s="1" t="s">
        <v>23</v>
      </c>
      <c r="B34" s="112">
        <v>0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I34" s="108">
        <f t="shared" si="1"/>
        <v>0</v>
      </c>
      <c r="J34" s="108">
        <f t="shared" si="1"/>
        <v>0</v>
      </c>
      <c r="K34" s="108">
        <f t="shared" si="1"/>
        <v>0</v>
      </c>
      <c r="L34" s="108">
        <f t="shared" si="1"/>
        <v>0</v>
      </c>
      <c r="M34" s="108">
        <f t="shared" si="1"/>
        <v>0</v>
      </c>
      <c r="N34" s="108">
        <f t="shared" si="1"/>
        <v>0</v>
      </c>
    </row>
    <row r="35" spans="1:14" x14ac:dyDescent="0.35">
      <c r="A35" s="1" t="s">
        <v>50</v>
      </c>
      <c r="B35" s="112">
        <v>0</v>
      </c>
      <c r="C35" s="112">
        <v>0</v>
      </c>
      <c r="D35" s="112">
        <v>0</v>
      </c>
      <c r="E35" s="112">
        <v>0</v>
      </c>
      <c r="F35" s="112">
        <v>0</v>
      </c>
      <c r="G35" s="112">
        <v>0</v>
      </c>
      <c r="I35" s="108">
        <f t="shared" si="1"/>
        <v>0</v>
      </c>
      <c r="J35" s="108">
        <f t="shared" si="1"/>
        <v>0</v>
      </c>
      <c r="K35" s="108">
        <f t="shared" si="1"/>
        <v>0</v>
      </c>
      <c r="L35" s="108">
        <f t="shared" si="1"/>
        <v>0</v>
      </c>
      <c r="M35" s="108">
        <f t="shared" si="1"/>
        <v>0</v>
      </c>
      <c r="N35" s="108">
        <f t="shared" si="1"/>
        <v>0</v>
      </c>
    </row>
    <row r="36" spans="1:14" x14ac:dyDescent="0.35">
      <c r="A36" s="1" t="s">
        <v>24</v>
      </c>
      <c r="B36" s="112">
        <v>0</v>
      </c>
      <c r="C36" s="112">
        <v>0</v>
      </c>
      <c r="D36" s="112">
        <v>0</v>
      </c>
      <c r="E36" s="112">
        <v>0</v>
      </c>
      <c r="F36" s="112">
        <v>0</v>
      </c>
      <c r="G36" s="112">
        <v>0</v>
      </c>
      <c r="I36" s="108">
        <f t="shared" si="1"/>
        <v>0</v>
      </c>
      <c r="J36" s="108">
        <f t="shared" si="1"/>
        <v>0</v>
      </c>
      <c r="K36" s="108">
        <f t="shared" si="1"/>
        <v>0</v>
      </c>
      <c r="L36" s="108">
        <f t="shared" si="1"/>
        <v>0</v>
      </c>
      <c r="M36" s="108">
        <f t="shared" si="1"/>
        <v>0</v>
      </c>
      <c r="N36" s="108">
        <f t="shared" si="1"/>
        <v>0</v>
      </c>
    </row>
    <row r="37" spans="1:14" x14ac:dyDescent="0.35">
      <c r="A37" s="1" t="s">
        <v>25</v>
      </c>
      <c r="B37" s="112">
        <v>0</v>
      </c>
      <c r="C37" s="112">
        <v>0</v>
      </c>
      <c r="D37" s="112">
        <v>0</v>
      </c>
      <c r="E37" s="112">
        <v>0</v>
      </c>
      <c r="F37" s="112">
        <v>0</v>
      </c>
      <c r="G37" s="112">
        <v>0</v>
      </c>
      <c r="I37" s="108">
        <f t="shared" si="1"/>
        <v>0</v>
      </c>
      <c r="J37" s="108">
        <f t="shared" si="1"/>
        <v>0</v>
      </c>
      <c r="K37" s="108">
        <f t="shared" si="1"/>
        <v>0</v>
      </c>
      <c r="L37" s="108">
        <f t="shared" si="1"/>
        <v>0</v>
      </c>
      <c r="M37" s="108">
        <f t="shared" si="1"/>
        <v>0</v>
      </c>
      <c r="N37" s="108">
        <f t="shared" si="1"/>
        <v>0</v>
      </c>
    </row>
    <row r="38" spans="1:14" x14ac:dyDescent="0.35">
      <c r="A38" s="1" t="s">
        <v>26</v>
      </c>
      <c r="B38" s="112">
        <v>0</v>
      </c>
      <c r="C38" s="112">
        <v>0</v>
      </c>
      <c r="D38" s="112">
        <v>0</v>
      </c>
      <c r="E38" s="112">
        <v>0</v>
      </c>
      <c r="F38" s="112">
        <v>0</v>
      </c>
      <c r="G38" s="112">
        <v>0</v>
      </c>
      <c r="I38" s="108">
        <f t="shared" si="1"/>
        <v>0</v>
      </c>
      <c r="J38" s="108">
        <f t="shared" si="1"/>
        <v>0</v>
      </c>
      <c r="K38" s="108">
        <f t="shared" si="1"/>
        <v>0</v>
      </c>
      <c r="L38" s="108">
        <f t="shared" si="1"/>
        <v>0</v>
      </c>
      <c r="M38" s="108">
        <f t="shared" si="1"/>
        <v>0</v>
      </c>
      <c r="N38" s="108">
        <f t="shared" si="1"/>
        <v>0</v>
      </c>
    </row>
    <row r="39" spans="1:14" x14ac:dyDescent="0.35">
      <c r="A39" s="1" t="s">
        <v>27</v>
      </c>
      <c r="B39" s="112">
        <v>0</v>
      </c>
      <c r="C39" s="112">
        <v>0</v>
      </c>
      <c r="D39" s="112">
        <v>0</v>
      </c>
      <c r="E39" s="112">
        <v>0</v>
      </c>
      <c r="F39" s="112">
        <v>0</v>
      </c>
      <c r="G39" s="112">
        <v>0</v>
      </c>
      <c r="I39" s="108">
        <f t="shared" si="1"/>
        <v>0</v>
      </c>
      <c r="J39" s="108">
        <f t="shared" si="1"/>
        <v>0</v>
      </c>
      <c r="K39" s="108">
        <f t="shared" si="1"/>
        <v>0</v>
      </c>
      <c r="L39" s="108">
        <f t="shared" si="1"/>
        <v>0</v>
      </c>
      <c r="M39" s="108">
        <f t="shared" si="1"/>
        <v>0</v>
      </c>
      <c r="N39" s="108">
        <f t="shared" si="1"/>
        <v>0</v>
      </c>
    </row>
    <row r="40" spans="1:14" x14ac:dyDescent="0.35">
      <c r="A40" s="1" t="s">
        <v>28</v>
      </c>
      <c r="B40" s="112">
        <v>0</v>
      </c>
      <c r="C40" s="112">
        <v>0</v>
      </c>
      <c r="D40" s="112">
        <v>0</v>
      </c>
      <c r="E40" s="112">
        <v>0</v>
      </c>
      <c r="F40" s="112">
        <v>0</v>
      </c>
      <c r="G40" s="112">
        <v>0</v>
      </c>
      <c r="I40" s="108">
        <f t="shared" si="1"/>
        <v>0</v>
      </c>
      <c r="J40" s="108">
        <f t="shared" si="1"/>
        <v>0</v>
      </c>
      <c r="K40" s="108">
        <f t="shared" si="1"/>
        <v>0</v>
      </c>
      <c r="L40" s="108">
        <f t="shared" si="1"/>
        <v>0</v>
      </c>
      <c r="M40" s="108">
        <f t="shared" si="1"/>
        <v>0</v>
      </c>
      <c r="N40" s="108">
        <f t="shared" si="1"/>
        <v>0</v>
      </c>
    </row>
    <row r="41" spans="1:14" x14ac:dyDescent="0.35">
      <c r="A41" s="1" t="s">
        <v>29</v>
      </c>
      <c r="B41" s="112">
        <v>0</v>
      </c>
      <c r="C41" s="112">
        <v>0</v>
      </c>
      <c r="D41" s="112">
        <v>0</v>
      </c>
      <c r="E41" s="112">
        <v>0</v>
      </c>
      <c r="F41" s="112">
        <v>0</v>
      </c>
      <c r="G41" s="112">
        <v>0</v>
      </c>
      <c r="I41" s="108">
        <f t="shared" si="1"/>
        <v>0</v>
      </c>
      <c r="J41" s="108">
        <f t="shared" si="1"/>
        <v>0</v>
      </c>
      <c r="K41" s="108">
        <f t="shared" si="1"/>
        <v>0</v>
      </c>
      <c r="L41" s="108">
        <f t="shared" si="1"/>
        <v>0</v>
      </c>
      <c r="M41" s="108">
        <f t="shared" si="1"/>
        <v>0</v>
      </c>
      <c r="N41" s="108">
        <f t="shared" si="1"/>
        <v>0</v>
      </c>
    </row>
    <row r="42" spans="1:14" x14ac:dyDescent="0.35">
      <c r="A42" s="1" t="s">
        <v>30</v>
      </c>
      <c r="B42" s="112">
        <v>0</v>
      </c>
      <c r="C42" s="112">
        <v>0</v>
      </c>
      <c r="D42" s="112">
        <v>0</v>
      </c>
      <c r="E42" s="112">
        <v>0</v>
      </c>
      <c r="F42" s="112">
        <v>0</v>
      </c>
      <c r="G42" s="112">
        <v>0</v>
      </c>
      <c r="I42" s="108">
        <f t="shared" si="1"/>
        <v>0</v>
      </c>
      <c r="J42" s="108">
        <f t="shared" si="1"/>
        <v>0</v>
      </c>
      <c r="K42" s="108">
        <f t="shared" si="1"/>
        <v>0</v>
      </c>
      <c r="L42" s="108">
        <f t="shared" si="1"/>
        <v>0</v>
      </c>
      <c r="M42" s="108">
        <f t="shared" si="1"/>
        <v>0</v>
      </c>
      <c r="N42" s="108">
        <f t="shared" si="1"/>
        <v>0</v>
      </c>
    </row>
    <row r="43" spans="1:14" x14ac:dyDescent="0.35">
      <c r="A43" s="1" t="s">
        <v>31</v>
      </c>
      <c r="B43" s="112">
        <v>0</v>
      </c>
      <c r="C43" s="112">
        <v>0</v>
      </c>
      <c r="D43" s="112">
        <v>0</v>
      </c>
      <c r="E43" s="112">
        <v>0</v>
      </c>
      <c r="F43" s="112">
        <v>0</v>
      </c>
      <c r="G43" s="112">
        <v>0</v>
      </c>
      <c r="I43" s="108">
        <f t="shared" si="1"/>
        <v>0</v>
      </c>
      <c r="J43" s="108">
        <f t="shared" si="1"/>
        <v>0</v>
      </c>
      <c r="K43" s="108">
        <f t="shared" si="1"/>
        <v>0</v>
      </c>
      <c r="L43" s="108">
        <f t="shared" si="1"/>
        <v>0</v>
      </c>
      <c r="M43" s="108">
        <f t="shared" si="1"/>
        <v>0</v>
      </c>
      <c r="N43" s="108">
        <f t="shared" si="1"/>
        <v>0</v>
      </c>
    </row>
    <row r="44" spans="1:14" x14ac:dyDescent="0.35">
      <c r="A44" s="1" t="s">
        <v>33</v>
      </c>
      <c r="B44" s="112">
        <v>0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I44" s="108">
        <f t="shared" si="1"/>
        <v>0</v>
      </c>
      <c r="J44" s="108">
        <f t="shared" si="1"/>
        <v>0</v>
      </c>
      <c r="K44" s="108">
        <f t="shared" si="1"/>
        <v>0</v>
      </c>
      <c r="L44" s="108">
        <f t="shared" si="1"/>
        <v>0</v>
      </c>
      <c r="M44" s="108">
        <f t="shared" si="1"/>
        <v>0</v>
      </c>
      <c r="N44" s="108">
        <f t="shared" si="1"/>
        <v>0</v>
      </c>
    </row>
    <row r="45" spans="1:14" x14ac:dyDescent="0.35">
      <c r="A45" s="1" t="s">
        <v>32</v>
      </c>
      <c r="B45" s="112">
        <v>0</v>
      </c>
      <c r="C45" s="112">
        <v>0</v>
      </c>
      <c r="D45" s="112">
        <v>0</v>
      </c>
      <c r="E45" s="112">
        <v>0</v>
      </c>
      <c r="F45" s="112">
        <v>0</v>
      </c>
      <c r="G45" s="112">
        <v>0</v>
      </c>
      <c r="I45" s="108">
        <f t="shared" si="1"/>
        <v>0</v>
      </c>
      <c r="J45" s="108">
        <f t="shared" si="1"/>
        <v>0</v>
      </c>
      <c r="K45" s="108">
        <f t="shared" si="1"/>
        <v>0</v>
      </c>
      <c r="L45" s="108">
        <f t="shared" si="1"/>
        <v>0</v>
      </c>
      <c r="M45" s="108">
        <f t="shared" si="1"/>
        <v>0</v>
      </c>
      <c r="N45" s="108">
        <f t="shared" si="1"/>
        <v>0</v>
      </c>
    </row>
    <row r="46" spans="1:14" x14ac:dyDescent="0.35">
      <c r="A46" s="1" t="s">
        <v>34</v>
      </c>
      <c r="B46" s="112">
        <v>0</v>
      </c>
      <c r="C46" s="112">
        <v>0</v>
      </c>
      <c r="D46" s="112">
        <v>0</v>
      </c>
      <c r="E46" s="112">
        <v>0</v>
      </c>
      <c r="F46" s="112">
        <v>0</v>
      </c>
      <c r="G46" s="112">
        <v>0</v>
      </c>
      <c r="I46" s="108">
        <f t="shared" si="1"/>
        <v>0</v>
      </c>
      <c r="J46" s="108">
        <f t="shared" si="1"/>
        <v>0</v>
      </c>
      <c r="K46" s="108">
        <f t="shared" si="1"/>
        <v>0</v>
      </c>
      <c r="L46" s="108">
        <f t="shared" si="1"/>
        <v>0</v>
      </c>
      <c r="M46" s="108">
        <f t="shared" si="1"/>
        <v>0</v>
      </c>
      <c r="N46" s="108">
        <f t="shared" si="1"/>
        <v>0</v>
      </c>
    </row>
    <row r="47" spans="1:14" x14ac:dyDescent="0.35">
      <c r="A47" s="1" t="s">
        <v>35</v>
      </c>
      <c r="B47" s="112">
        <v>0</v>
      </c>
      <c r="C47" s="112">
        <v>0</v>
      </c>
      <c r="D47" s="112">
        <v>0</v>
      </c>
      <c r="E47" s="112">
        <v>0</v>
      </c>
      <c r="F47" s="112">
        <v>0</v>
      </c>
      <c r="G47" s="112">
        <v>0</v>
      </c>
      <c r="I47" s="108">
        <f t="shared" si="1"/>
        <v>0</v>
      </c>
      <c r="J47" s="108">
        <f t="shared" si="1"/>
        <v>0</v>
      </c>
      <c r="K47" s="108">
        <f t="shared" si="1"/>
        <v>0</v>
      </c>
      <c r="L47" s="108">
        <f t="shared" si="1"/>
        <v>0</v>
      </c>
      <c r="M47" s="108">
        <f t="shared" si="1"/>
        <v>0</v>
      </c>
      <c r="N47" s="108">
        <f t="shared" si="1"/>
        <v>0</v>
      </c>
    </row>
    <row r="48" spans="1:14" x14ac:dyDescent="0.35">
      <c r="A48" s="1" t="s">
        <v>36</v>
      </c>
      <c r="B48" s="112">
        <v>0</v>
      </c>
      <c r="C48" s="112">
        <v>0</v>
      </c>
      <c r="D48" s="112">
        <v>0</v>
      </c>
      <c r="E48" s="112">
        <v>0</v>
      </c>
      <c r="F48" s="112">
        <v>0</v>
      </c>
      <c r="G48" s="112">
        <v>0</v>
      </c>
      <c r="I48" s="108">
        <f t="shared" si="1"/>
        <v>0</v>
      </c>
      <c r="J48" s="108">
        <f t="shared" si="1"/>
        <v>0</v>
      </c>
      <c r="K48" s="108">
        <f t="shared" si="1"/>
        <v>0</v>
      </c>
      <c r="L48" s="108">
        <f t="shared" si="1"/>
        <v>0</v>
      </c>
      <c r="M48" s="108">
        <f t="shared" si="1"/>
        <v>0</v>
      </c>
      <c r="N48" s="108">
        <f t="shared" si="1"/>
        <v>0</v>
      </c>
    </row>
    <row r="49" spans="1:20" x14ac:dyDescent="0.35">
      <c r="A49" s="1" t="s">
        <v>37</v>
      </c>
      <c r="B49" s="112">
        <v>0</v>
      </c>
      <c r="C49" s="112">
        <v>0</v>
      </c>
      <c r="D49" s="112">
        <v>0</v>
      </c>
      <c r="E49" s="112">
        <v>0</v>
      </c>
      <c r="F49" s="112">
        <v>0</v>
      </c>
      <c r="G49" s="112">
        <v>0</v>
      </c>
      <c r="I49" s="108">
        <f t="shared" si="1"/>
        <v>0</v>
      </c>
      <c r="J49" s="108">
        <f t="shared" si="1"/>
        <v>0</v>
      </c>
      <c r="K49" s="108">
        <f t="shared" si="1"/>
        <v>0</v>
      </c>
      <c r="L49" s="108">
        <f t="shared" si="1"/>
        <v>0</v>
      </c>
      <c r="M49" s="108">
        <f t="shared" si="1"/>
        <v>0</v>
      </c>
      <c r="N49" s="108">
        <f t="shared" si="1"/>
        <v>0</v>
      </c>
    </row>
    <row r="50" spans="1:20" x14ac:dyDescent="0.35">
      <c r="A50" s="1" t="s">
        <v>55</v>
      </c>
      <c r="B50" s="112">
        <v>0</v>
      </c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I50" s="108">
        <f t="shared" si="1"/>
        <v>0</v>
      </c>
      <c r="J50" s="108">
        <f t="shared" si="1"/>
        <v>0</v>
      </c>
      <c r="K50" s="108">
        <f t="shared" si="1"/>
        <v>0</v>
      </c>
      <c r="L50" s="108">
        <f t="shared" si="1"/>
        <v>0</v>
      </c>
      <c r="M50" s="108">
        <f t="shared" si="1"/>
        <v>0</v>
      </c>
      <c r="N50" s="108">
        <f t="shared" si="1"/>
        <v>0</v>
      </c>
    </row>
    <row r="51" spans="1:20" x14ac:dyDescent="0.35">
      <c r="A51" s="1" t="s">
        <v>38</v>
      </c>
      <c r="B51" s="112">
        <v>0</v>
      </c>
      <c r="C51" s="112">
        <v>0</v>
      </c>
      <c r="D51" s="112">
        <v>0</v>
      </c>
      <c r="E51" s="112">
        <v>0</v>
      </c>
      <c r="F51" s="112">
        <v>0</v>
      </c>
      <c r="G51" s="112">
        <v>0</v>
      </c>
      <c r="I51" s="108">
        <f t="shared" si="1"/>
        <v>0</v>
      </c>
      <c r="J51" s="108">
        <f t="shared" si="1"/>
        <v>0</v>
      </c>
      <c r="K51" s="108">
        <f t="shared" si="1"/>
        <v>0</v>
      </c>
      <c r="L51" s="108">
        <f t="shared" si="1"/>
        <v>0</v>
      </c>
      <c r="M51" s="108">
        <f t="shared" si="1"/>
        <v>0</v>
      </c>
      <c r="N51" s="108">
        <f t="shared" ref="N51:N62" si="2">G51*1.1</f>
        <v>0</v>
      </c>
    </row>
    <row r="52" spans="1:20" x14ac:dyDescent="0.35">
      <c r="A52" s="1" t="s">
        <v>39</v>
      </c>
      <c r="B52" s="112">
        <v>0</v>
      </c>
      <c r="C52" s="112">
        <v>0</v>
      </c>
      <c r="D52" s="112">
        <v>0</v>
      </c>
      <c r="E52" s="112">
        <v>0</v>
      </c>
      <c r="F52" s="112">
        <v>0</v>
      </c>
      <c r="G52" s="112">
        <v>0</v>
      </c>
      <c r="I52" s="108">
        <f t="shared" si="1"/>
        <v>0</v>
      </c>
      <c r="J52" s="108">
        <f t="shared" si="1"/>
        <v>0</v>
      </c>
      <c r="K52" s="108">
        <f t="shared" si="1"/>
        <v>0</v>
      </c>
      <c r="L52" s="108">
        <f t="shared" si="1"/>
        <v>0</v>
      </c>
      <c r="M52" s="108">
        <f t="shared" si="1"/>
        <v>0</v>
      </c>
      <c r="N52" s="108">
        <f t="shared" si="2"/>
        <v>0</v>
      </c>
    </row>
    <row r="53" spans="1:20" x14ac:dyDescent="0.35">
      <c r="A53" s="1" t="s">
        <v>40</v>
      </c>
      <c r="B53" s="112">
        <v>0</v>
      </c>
      <c r="C53" s="112">
        <v>0</v>
      </c>
      <c r="D53" s="112">
        <v>0</v>
      </c>
      <c r="E53" s="112">
        <v>0</v>
      </c>
      <c r="F53" s="112">
        <v>0</v>
      </c>
      <c r="G53" s="112">
        <v>0</v>
      </c>
      <c r="I53" s="108">
        <f t="shared" si="1"/>
        <v>0</v>
      </c>
      <c r="J53" s="108">
        <f t="shared" si="1"/>
        <v>0</v>
      </c>
      <c r="K53" s="108">
        <f t="shared" si="1"/>
        <v>0</v>
      </c>
      <c r="L53" s="108">
        <f t="shared" si="1"/>
        <v>0</v>
      </c>
      <c r="M53" s="108">
        <f t="shared" si="1"/>
        <v>0</v>
      </c>
      <c r="N53" s="108">
        <f t="shared" si="2"/>
        <v>0</v>
      </c>
    </row>
    <row r="54" spans="1:20" x14ac:dyDescent="0.35">
      <c r="A54" s="1" t="s">
        <v>41</v>
      </c>
      <c r="B54" s="112">
        <v>0</v>
      </c>
      <c r="C54" s="112">
        <v>0</v>
      </c>
      <c r="D54" s="112">
        <v>0</v>
      </c>
      <c r="E54" s="112">
        <v>0</v>
      </c>
      <c r="F54" s="112">
        <v>0</v>
      </c>
      <c r="G54" s="112">
        <v>0</v>
      </c>
      <c r="I54" s="108">
        <f t="shared" si="1"/>
        <v>0</v>
      </c>
      <c r="J54" s="108">
        <f t="shared" si="1"/>
        <v>0</v>
      </c>
      <c r="K54" s="108">
        <f t="shared" si="1"/>
        <v>0</v>
      </c>
      <c r="L54" s="108">
        <f t="shared" si="1"/>
        <v>0</v>
      </c>
      <c r="M54" s="108">
        <f t="shared" si="1"/>
        <v>0</v>
      </c>
      <c r="N54" s="108">
        <f t="shared" si="2"/>
        <v>0</v>
      </c>
    </row>
    <row r="55" spans="1:20" x14ac:dyDescent="0.35">
      <c r="A55" s="1" t="s">
        <v>42</v>
      </c>
      <c r="B55" s="112">
        <v>0</v>
      </c>
      <c r="C55" s="112">
        <v>0</v>
      </c>
      <c r="D55" s="112">
        <v>0</v>
      </c>
      <c r="E55" s="112">
        <v>0</v>
      </c>
      <c r="F55" s="112">
        <v>0</v>
      </c>
      <c r="G55" s="112">
        <v>0</v>
      </c>
      <c r="I55" s="108">
        <f t="shared" si="1"/>
        <v>0</v>
      </c>
      <c r="J55" s="108">
        <f t="shared" si="1"/>
        <v>0</v>
      </c>
      <c r="K55" s="108">
        <f t="shared" si="1"/>
        <v>0</v>
      </c>
      <c r="L55" s="108">
        <f t="shared" si="1"/>
        <v>0</v>
      </c>
      <c r="M55" s="108">
        <f t="shared" si="1"/>
        <v>0</v>
      </c>
      <c r="N55" s="108">
        <f t="shared" si="2"/>
        <v>0</v>
      </c>
    </row>
    <row r="56" spans="1:20" x14ac:dyDescent="0.35">
      <c r="A56" s="1" t="s">
        <v>43</v>
      </c>
      <c r="B56" s="112">
        <v>0</v>
      </c>
      <c r="C56" s="112">
        <v>0</v>
      </c>
      <c r="D56" s="112">
        <v>0</v>
      </c>
      <c r="E56" s="112">
        <v>0</v>
      </c>
      <c r="F56" s="112">
        <v>0</v>
      </c>
      <c r="G56" s="112">
        <v>0</v>
      </c>
      <c r="I56" s="108">
        <f t="shared" si="1"/>
        <v>0</v>
      </c>
      <c r="J56" s="108">
        <f t="shared" si="1"/>
        <v>0</v>
      </c>
      <c r="K56" s="108">
        <f t="shared" si="1"/>
        <v>0</v>
      </c>
      <c r="L56" s="108">
        <f t="shared" si="1"/>
        <v>0</v>
      </c>
      <c r="M56" s="108">
        <f t="shared" si="1"/>
        <v>0</v>
      </c>
      <c r="N56" s="108">
        <f t="shared" si="2"/>
        <v>0</v>
      </c>
    </row>
    <row r="57" spans="1:20" x14ac:dyDescent="0.35">
      <c r="A57" s="1" t="s">
        <v>44</v>
      </c>
      <c r="B57" s="112">
        <v>0</v>
      </c>
      <c r="C57" s="112">
        <v>0</v>
      </c>
      <c r="D57" s="112">
        <v>0</v>
      </c>
      <c r="E57" s="112">
        <v>0</v>
      </c>
      <c r="F57" s="112">
        <v>0</v>
      </c>
      <c r="G57" s="112">
        <v>0</v>
      </c>
      <c r="I57" s="108">
        <f t="shared" si="1"/>
        <v>0</v>
      </c>
      <c r="J57" s="108">
        <f t="shared" si="1"/>
        <v>0</v>
      </c>
      <c r="K57" s="108">
        <f t="shared" si="1"/>
        <v>0</v>
      </c>
      <c r="L57" s="108">
        <f t="shared" si="1"/>
        <v>0</v>
      </c>
      <c r="M57" s="108">
        <f t="shared" si="1"/>
        <v>0</v>
      </c>
      <c r="N57" s="108">
        <f t="shared" si="2"/>
        <v>0</v>
      </c>
    </row>
    <row r="58" spans="1:20" x14ac:dyDescent="0.35">
      <c r="A58" s="1" t="s">
        <v>45</v>
      </c>
      <c r="B58" s="112">
        <v>0</v>
      </c>
      <c r="C58" s="112">
        <v>0</v>
      </c>
      <c r="D58" s="112">
        <v>0</v>
      </c>
      <c r="E58" s="112">
        <v>0</v>
      </c>
      <c r="F58" s="112">
        <v>0</v>
      </c>
      <c r="G58" s="112">
        <v>0</v>
      </c>
      <c r="I58" s="108">
        <f t="shared" si="1"/>
        <v>0</v>
      </c>
      <c r="J58" s="108">
        <f t="shared" si="1"/>
        <v>0</v>
      </c>
      <c r="K58" s="108">
        <f t="shared" si="1"/>
        <v>0</v>
      </c>
      <c r="L58" s="108">
        <f t="shared" si="1"/>
        <v>0</v>
      </c>
      <c r="M58" s="108">
        <f t="shared" si="1"/>
        <v>0</v>
      </c>
      <c r="N58" s="108">
        <f t="shared" si="2"/>
        <v>0</v>
      </c>
    </row>
    <row r="59" spans="1:20" x14ac:dyDescent="0.35">
      <c r="A59" s="1" t="s">
        <v>46</v>
      </c>
      <c r="B59" s="112">
        <v>0</v>
      </c>
      <c r="C59" s="112">
        <v>0</v>
      </c>
      <c r="D59" s="112">
        <v>0</v>
      </c>
      <c r="E59" s="112">
        <v>0</v>
      </c>
      <c r="F59" s="112">
        <v>0</v>
      </c>
      <c r="G59" s="112">
        <v>0</v>
      </c>
      <c r="I59" s="108">
        <f t="shared" si="1"/>
        <v>0</v>
      </c>
      <c r="J59" s="108">
        <f t="shared" si="1"/>
        <v>0</v>
      </c>
      <c r="K59" s="108">
        <f t="shared" si="1"/>
        <v>0</v>
      </c>
      <c r="L59" s="108">
        <f t="shared" si="1"/>
        <v>0</v>
      </c>
      <c r="M59" s="108">
        <f t="shared" si="1"/>
        <v>0</v>
      </c>
      <c r="N59" s="108">
        <f t="shared" si="2"/>
        <v>0</v>
      </c>
    </row>
    <row r="60" spans="1:20" x14ac:dyDescent="0.35">
      <c r="A60" s="1" t="s">
        <v>47</v>
      </c>
      <c r="B60" s="112">
        <v>0</v>
      </c>
      <c r="C60" s="112">
        <v>0</v>
      </c>
      <c r="D60" s="112">
        <v>0</v>
      </c>
      <c r="E60" s="112">
        <v>0</v>
      </c>
      <c r="F60" s="112">
        <v>0</v>
      </c>
      <c r="G60" s="112">
        <v>0</v>
      </c>
      <c r="I60" s="108">
        <f t="shared" si="1"/>
        <v>0</v>
      </c>
      <c r="J60" s="108">
        <f t="shared" si="1"/>
        <v>0</v>
      </c>
      <c r="K60" s="108">
        <f t="shared" si="1"/>
        <v>0</v>
      </c>
      <c r="L60" s="108">
        <f t="shared" si="1"/>
        <v>0</v>
      </c>
      <c r="M60" s="108">
        <f t="shared" si="1"/>
        <v>0</v>
      </c>
      <c r="N60" s="108">
        <f t="shared" si="2"/>
        <v>0</v>
      </c>
    </row>
    <row r="61" spans="1:20" x14ac:dyDescent="0.35">
      <c r="A61" s="1" t="s">
        <v>48</v>
      </c>
      <c r="B61" s="112">
        <v>0</v>
      </c>
      <c r="C61" s="112">
        <v>0</v>
      </c>
      <c r="D61" s="112">
        <v>0</v>
      </c>
      <c r="E61" s="112">
        <v>0</v>
      </c>
      <c r="F61" s="112">
        <v>0</v>
      </c>
      <c r="G61" s="112">
        <v>0</v>
      </c>
      <c r="I61" s="108">
        <f t="shared" si="1"/>
        <v>0</v>
      </c>
      <c r="J61" s="108">
        <f t="shared" si="1"/>
        <v>0</v>
      </c>
      <c r="K61" s="108">
        <f t="shared" si="1"/>
        <v>0</v>
      </c>
      <c r="L61" s="108">
        <f t="shared" si="1"/>
        <v>0</v>
      </c>
      <c r="M61" s="108">
        <f t="shared" si="1"/>
        <v>0</v>
      </c>
      <c r="N61" s="108">
        <f t="shared" si="2"/>
        <v>0</v>
      </c>
    </row>
    <row r="62" spans="1:20" x14ac:dyDescent="0.35">
      <c r="A62" s="1" t="s">
        <v>49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I62" s="108">
        <f t="shared" si="1"/>
        <v>0</v>
      </c>
      <c r="J62" s="108">
        <f t="shared" si="1"/>
        <v>0</v>
      </c>
      <c r="K62" s="108">
        <f t="shared" si="1"/>
        <v>0</v>
      </c>
      <c r="L62" s="108">
        <f t="shared" si="1"/>
        <v>0</v>
      </c>
      <c r="M62" s="108">
        <f t="shared" si="1"/>
        <v>0</v>
      </c>
      <c r="N62" s="108">
        <f t="shared" si="2"/>
        <v>0</v>
      </c>
    </row>
    <row r="63" spans="1:20" x14ac:dyDescent="0.35">
      <c r="A63" s="37" t="s">
        <v>104</v>
      </c>
      <c r="B63" s="36">
        <f>AVERAGE(B5:G62)</f>
        <v>0</v>
      </c>
      <c r="S63" s="11"/>
      <c r="T63" s="11"/>
    </row>
    <row r="64" spans="1:20" x14ac:dyDescent="0.35">
      <c r="S64" s="11"/>
      <c r="T64" s="11"/>
    </row>
    <row r="65" spans="1:20" ht="15.5" x14ac:dyDescent="0.35">
      <c r="A65" s="120" t="s">
        <v>137</v>
      </c>
      <c r="B65" s="120"/>
      <c r="C65" s="120"/>
      <c r="D65" s="120"/>
      <c r="E65" s="120"/>
      <c r="F65" s="120"/>
      <c r="G65" s="120"/>
      <c r="S65" s="11"/>
      <c r="T65" s="11"/>
    </row>
    <row r="66" spans="1:20" ht="47.25" customHeight="1" x14ac:dyDescent="0.35">
      <c r="A66" s="110"/>
      <c r="B66" s="118" t="s">
        <v>187</v>
      </c>
      <c r="C66" s="118"/>
      <c r="D66" s="118"/>
      <c r="E66" s="118"/>
      <c r="F66" s="118"/>
      <c r="G66" s="118"/>
      <c r="I66" s="118" t="s">
        <v>188</v>
      </c>
      <c r="J66" s="118"/>
      <c r="K66" s="118"/>
      <c r="L66" s="118"/>
      <c r="M66" s="118"/>
      <c r="N66" s="118"/>
      <c r="S66" s="8"/>
      <c r="T66" s="8"/>
    </row>
    <row r="67" spans="1:20" ht="43" x14ac:dyDescent="0.35">
      <c r="A67" s="81" t="s">
        <v>51</v>
      </c>
      <c r="B67" s="17" t="s">
        <v>99</v>
      </c>
      <c r="C67" s="17" t="s">
        <v>100</v>
      </c>
      <c r="D67" s="17" t="s">
        <v>101</v>
      </c>
      <c r="E67" s="17" t="s">
        <v>102</v>
      </c>
      <c r="F67" s="17" t="s">
        <v>103</v>
      </c>
      <c r="G67" s="17" t="s">
        <v>149</v>
      </c>
      <c r="I67" s="17" t="s">
        <v>99</v>
      </c>
      <c r="J67" s="17" t="s">
        <v>100</v>
      </c>
      <c r="K67" s="17" t="s">
        <v>101</v>
      </c>
      <c r="L67" s="17" t="s">
        <v>102</v>
      </c>
      <c r="M67" s="17" t="s">
        <v>103</v>
      </c>
      <c r="N67" s="17" t="s">
        <v>149</v>
      </c>
      <c r="S67" s="8"/>
      <c r="T67" s="8"/>
    </row>
    <row r="68" spans="1:20" x14ac:dyDescent="0.35">
      <c r="A68" s="117" t="s">
        <v>286</v>
      </c>
      <c r="B68" s="112">
        <v>0</v>
      </c>
      <c r="C68" s="112">
        <v>0</v>
      </c>
      <c r="D68" s="112">
        <v>0</v>
      </c>
      <c r="E68" s="112">
        <v>0</v>
      </c>
      <c r="F68" s="112">
        <v>0</v>
      </c>
      <c r="G68" s="112">
        <v>0</v>
      </c>
      <c r="I68" s="108">
        <f>B68*1.1</f>
        <v>0</v>
      </c>
      <c r="J68" s="108">
        <f t="shared" ref="J68:N83" si="3">C68*1.1</f>
        <v>0</v>
      </c>
      <c r="K68" s="108">
        <f t="shared" si="3"/>
        <v>0</v>
      </c>
      <c r="L68" s="108">
        <f t="shared" si="3"/>
        <v>0</v>
      </c>
      <c r="M68" s="108">
        <f t="shared" si="3"/>
        <v>0</v>
      </c>
      <c r="N68" s="108">
        <f t="shared" si="3"/>
        <v>0</v>
      </c>
      <c r="S68" s="12"/>
      <c r="T68" s="12"/>
    </row>
    <row r="69" spans="1:20" x14ac:dyDescent="0.35">
      <c r="A69" s="117" t="s">
        <v>287</v>
      </c>
      <c r="B69" s="112">
        <v>0</v>
      </c>
      <c r="C69" s="112">
        <v>0</v>
      </c>
      <c r="D69" s="112">
        <v>0</v>
      </c>
      <c r="E69" s="112">
        <v>0</v>
      </c>
      <c r="F69" s="112">
        <v>0</v>
      </c>
      <c r="G69" s="112">
        <v>0</v>
      </c>
      <c r="I69" s="108">
        <f t="shared" ref="I69:N123" si="4">B69*1.1</f>
        <v>0</v>
      </c>
      <c r="J69" s="108">
        <f t="shared" si="3"/>
        <v>0</v>
      </c>
      <c r="K69" s="108">
        <f t="shared" si="3"/>
        <v>0</v>
      </c>
      <c r="L69" s="108">
        <f t="shared" si="3"/>
        <v>0</v>
      </c>
      <c r="M69" s="108">
        <f t="shared" si="3"/>
        <v>0</v>
      </c>
      <c r="N69" s="108">
        <f t="shared" si="3"/>
        <v>0</v>
      </c>
      <c r="S69" s="8"/>
      <c r="T69" s="8"/>
    </row>
    <row r="70" spans="1:20" x14ac:dyDescent="0.35">
      <c r="A70" s="117" t="s">
        <v>285</v>
      </c>
      <c r="B70" s="112">
        <v>0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I70" s="108">
        <f t="shared" si="4"/>
        <v>0</v>
      </c>
      <c r="J70" s="108">
        <f t="shared" si="3"/>
        <v>0</v>
      </c>
      <c r="K70" s="108">
        <f t="shared" si="3"/>
        <v>0</v>
      </c>
      <c r="L70" s="108">
        <f t="shared" si="3"/>
        <v>0</v>
      </c>
      <c r="M70" s="108">
        <f t="shared" si="3"/>
        <v>0</v>
      </c>
      <c r="N70" s="108">
        <f t="shared" si="3"/>
        <v>0</v>
      </c>
      <c r="S70" s="8"/>
      <c r="T70" s="8"/>
    </row>
    <row r="71" spans="1:20" x14ac:dyDescent="0.35">
      <c r="A71" s="1" t="s">
        <v>53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I71" s="108">
        <f t="shared" si="4"/>
        <v>0</v>
      </c>
      <c r="J71" s="108">
        <f t="shared" si="3"/>
        <v>0</v>
      </c>
      <c r="K71" s="108">
        <f t="shared" si="3"/>
        <v>0</v>
      </c>
      <c r="L71" s="108">
        <f t="shared" si="3"/>
        <v>0</v>
      </c>
      <c r="M71" s="108">
        <f t="shared" si="3"/>
        <v>0</v>
      </c>
      <c r="N71" s="108">
        <f t="shared" si="3"/>
        <v>0</v>
      </c>
      <c r="S71" s="8"/>
      <c r="T71" s="8"/>
    </row>
    <row r="72" spans="1:20" x14ac:dyDescent="0.35">
      <c r="A72" s="1" t="s">
        <v>52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I72" s="108">
        <f t="shared" si="4"/>
        <v>0</v>
      </c>
      <c r="J72" s="108">
        <f t="shared" si="3"/>
        <v>0</v>
      </c>
      <c r="K72" s="108">
        <f t="shared" si="3"/>
        <v>0</v>
      </c>
      <c r="L72" s="108">
        <f t="shared" si="3"/>
        <v>0</v>
      </c>
      <c r="M72" s="108">
        <f t="shared" si="3"/>
        <v>0</v>
      </c>
      <c r="N72" s="108">
        <f t="shared" si="3"/>
        <v>0</v>
      </c>
      <c r="S72" s="8"/>
      <c r="T72" s="8"/>
    </row>
    <row r="73" spans="1:20" x14ac:dyDescent="0.35">
      <c r="A73" s="1" t="s">
        <v>54</v>
      </c>
      <c r="B73" s="112">
        <v>0</v>
      </c>
      <c r="C73" s="112">
        <v>0</v>
      </c>
      <c r="D73" s="112">
        <v>0</v>
      </c>
      <c r="E73" s="112">
        <v>0</v>
      </c>
      <c r="F73" s="112">
        <v>0</v>
      </c>
      <c r="G73" s="112">
        <v>0</v>
      </c>
      <c r="I73" s="108">
        <f t="shared" si="4"/>
        <v>0</v>
      </c>
      <c r="J73" s="108">
        <f t="shared" si="3"/>
        <v>0</v>
      </c>
      <c r="K73" s="108">
        <f t="shared" si="3"/>
        <v>0</v>
      </c>
      <c r="L73" s="108">
        <f t="shared" si="3"/>
        <v>0</v>
      </c>
      <c r="M73" s="108">
        <f t="shared" si="3"/>
        <v>0</v>
      </c>
      <c r="N73" s="108">
        <f t="shared" si="3"/>
        <v>0</v>
      </c>
      <c r="S73" s="8"/>
      <c r="T73" s="8"/>
    </row>
    <row r="74" spans="1:20" x14ac:dyDescent="0.35">
      <c r="A74" s="1" t="s">
        <v>0</v>
      </c>
      <c r="B74" s="112">
        <v>0</v>
      </c>
      <c r="C74" s="112">
        <v>0</v>
      </c>
      <c r="D74" s="112">
        <v>0</v>
      </c>
      <c r="E74" s="112">
        <v>0</v>
      </c>
      <c r="F74" s="112">
        <v>0</v>
      </c>
      <c r="G74" s="112">
        <v>0</v>
      </c>
      <c r="I74" s="108">
        <f t="shared" si="4"/>
        <v>0</v>
      </c>
      <c r="J74" s="108">
        <f t="shared" si="3"/>
        <v>0</v>
      </c>
      <c r="K74" s="108">
        <f t="shared" si="3"/>
        <v>0</v>
      </c>
      <c r="L74" s="108">
        <f t="shared" si="3"/>
        <v>0</v>
      </c>
      <c r="M74" s="108">
        <f t="shared" si="3"/>
        <v>0</v>
      </c>
      <c r="N74" s="108">
        <f t="shared" si="3"/>
        <v>0</v>
      </c>
      <c r="S74" s="8"/>
      <c r="T74" s="8"/>
    </row>
    <row r="75" spans="1:20" x14ac:dyDescent="0.35">
      <c r="A75" s="1" t="s">
        <v>1</v>
      </c>
      <c r="B75" s="112">
        <v>0</v>
      </c>
      <c r="C75" s="112">
        <v>0</v>
      </c>
      <c r="D75" s="112">
        <v>0</v>
      </c>
      <c r="E75" s="112">
        <v>0</v>
      </c>
      <c r="F75" s="112">
        <v>0</v>
      </c>
      <c r="G75" s="112">
        <v>0</v>
      </c>
      <c r="I75" s="108">
        <f t="shared" si="4"/>
        <v>0</v>
      </c>
      <c r="J75" s="108">
        <f t="shared" si="3"/>
        <v>0</v>
      </c>
      <c r="K75" s="108">
        <f t="shared" si="3"/>
        <v>0</v>
      </c>
      <c r="L75" s="108">
        <f t="shared" si="3"/>
        <v>0</v>
      </c>
      <c r="M75" s="108">
        <f t="shared" si="3"/>
        <v>0</v>
      </c>
      <c r="N75" s="108">
        <f t="shared" si="3"/>
        <v>0</v>
      </c>
      <c r="S75" s="8"/>
      <c r="T75" s="8"/>
    </row>
    <row r="76" spans="1:20" x14ac:dyDescent="0.35">
      <c r="A76" s="1" t="s">
        <v>2</v>
      </c>
      <c r="B76" s="112">
        <v>0</v>
      </c>
      <c r="C76" s="112">
        <v>0</v>
      </c>
      <c r="D76" s="112">
        <v>0</v>
      </c>
      <c r="E76" s="112">
        <v>0</v>
      </c>
      <c r="F76" s="112">
        <v>0</v>
      </c>
      <c r="G76" s="112">
        <v>0</v>
      </c>
      <c r="I76" s="108">
        <f t="shared" si="4"/>
        <v>0</v>
      </c>
      <c r="J76" s="108">
        <f t="shared" si="3"/>
        <v>0</v>
      </c>
      <c r="K76" s="108">
        <f t="shared" si="3"/>
        <v>0</v>
      </c>
      <c r="L76" s="108">
        <f t="shared" si="3"/>
        <v>0</v>
      </c>
      <c r="M76" s="108">
        <f t="shared" si="3"/>
        <v>0</v>
      </c>
      <c r="N76" s="108">
        <f t="shared" si="3"/>
        <v>0</v>
      </c>
      <c r="S76" s="8"/>
      <c r="T76" s="8"/>
    </row>
    <row r="77" spans="1:20" x14ac:dyDescent="0.35">
      <c r="A77" s="1" t="s">
        <v>3</v>
      </c>
      <c r="B77" s="112">
        <v>0</v>
      </c>
      <c r="C77" s="112">
        <v>0</v>
      </c>
      <c r="D77" s="112">
        <v>0</v>
      </c>
      <c r="E77" s="112">
        <v>0</v>
      </c>
      <c r="F77" s="112">
        <v>0</v>
      </c>
      <c r="G77" s="112">
        <v>0</v>
      </c>
      <c r="I77" s="108">
        <f t="shared" si="4"/>
        <v>0</v>
      </c>
      <c r="J77" s="108">
        <f t="shared" si="3"/>
        <v>0</v>
      </c>
      <c r="K77" s="108">
        <f t="shared" si="3"/>
        <v>0</v>
      </c>
      <c r="L77" s="108">
        <f t="shared" si="3"/>
        <v>0</v>
      </c>
      <c r="M77" s="108">
        <f t="shared" si="3"/>
        <v>0</v>
      </c>
      <c r="N77" s="108">
        <f t="shared" si="3"/>
        <v>0</v>
      </c>
      <c r="S77" s="8"/>
      <c r="T77" s="8"/>
    </row>
    <row r="78" spans="1:20" x14ac:dyDescent="0.35">
      <c r="A78" s="1" t="s">
        <v>4</v>
      </c>
      <c r="B78" s="112">
        <v>0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I78" s="108">
        <f t="shared" si="4"/>
        <v>0</v>
      </c>
      <c r="J78" s="108">
        <f t="shared" si="3"/>
        <v>0</v>
      </c>
      <c r="K78" s="108">
        <f t="shared" si="3"/>
        <v>0</v>
      </c>
      <c r="L78" s="108">
        <f t="shared" si="3"/>
        <v>0</v>
      </c>
      <c r="M78" s="108">
        <f t="shared" si="3"/>
        <v>0</v>
      </c>
      <c r="N78" s="108">
        <f t="shared" si="3"/>
        <v>0</v>
      </c>
      <c r="S78" s="8"/>
      <c r="T78" s="8"/>
    </row>
    <row r="79" spans="1:20" x14ac:dyDescent="0.35">
      <c r="A79" s="1" t="s">
        <v>5</v>
      </c>
      <c r="B79" s="112">
        <v>0</v>
      </c>
      <c r="C79" s="112">
        <v>0</v>
      </c>
      <c r="D79" s="112">
        <v>0</v>
      </c>
      <c r="E79" s="112">
        <v>0</v>
      </c>
      <c r="F79" s="112">
        <v>0</v>
      </c>
      <c r="G79" s="112">
        <v>0</v>
      </c>
      <c r="I79" s="108">
        <f t="shared" si="4"/>
        <v>0</v>
      </c>
      <c r="J79" s="108">
        <f t="shared" si="3"/>
        <v>0</v>
      </c>
      <c r="K79" s="108">
        <f t="shared" si="3"/>
        <v>0</v>
      </c>
      <c r="L79" s="108">
        <f t="shared" si="3"/>
        <v>0</v>
      </c>
      <c r="M79" s="108">
        <f t="shared" si="3"/>
        <v>0</v>
      </c>
      <c r="N79" s="108">
        <f t="shared" si="3"/>
        <v>0</v>
      </c>
      <c r="S79" s="8"/>
      <c r="T79" s="8"/>
    </row>
    <row r="80" spans="1:20" x14ac:dyDescent="0.35">
      <c r="A80" s="1" t="s">
        <v>6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I80" s="108">
        <f t="shared" si="4"/>
        <v>0</v>
      </c>
      <c r="J80" s="108">
        <f t="shared" si="3"/>
        <v>0</v>
      </c>
      <c r="K80" s="108">
        <f t="shared" si="3"/>
        <v>0</v>
      </c>
      <c r="L80" s="108">
        <f t="shared" si="3"/>
        <v>0</v>
      </c>
      <c r="M80" s="108">
        <f t="shared" si="3"/>
        <v>0</v>
      </c>
      <c r="N80" s="108">
        <f t="shared" si="3"/>
        <v>0</v>
      </c>
      <c r="S80" s="8"/>
      <c r="T80" s="8"/>
    </row>
    <row r="81" spans="1:20" x14ac:dyDescent="0.35">
      <c r="A81" s="1" t="s">
        <v>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I81" s="108">
        <f t="shared" si="4"/>
        <v>0</v>
      </c>
      <c r="J81" s="108">
        <f t="shared" si="3"/>
        <v>0</v>
      </c>
      <c r="K81" s="108">
        <f t="shared" si="3"/>
        <v>0</v>
      </c>
      <c r="L81" s="108">
        <f t="shared" si="3"/>
        <v>0</v>
      </c>
      <c r="M81" s="108">
        <f t="shared" si="3"/>
        <v>0</v>
      </c>
      <c r="N81" s="108">
        <f t="shared" si="3"/>
        <v>0</v>
      </c>
      <c r="S81" s="8"/>
      <c r="T81" s="8"/>
    </row>
    <row r="82" spans="1:20" x14ac:dyDescent="0.35">
      <c r="A82" s="1" t="s">
        <v>8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I82" s="108">
        <f t="shared" si="4"/>
        <v>0</v>
      </c>
      <c r="J82" s="108">
        <f t="shared" si="3"/>
        <v>0</v>
      </c>
      <c r="K82" s="108">
        <f t="shared" si="3"/>
        <v>0</v>
      </c>
      <c r="L82" s="108">
        <f t="shared" si="3"/>
        <v>0</v>
      </c>
      <c r="M82" s="108">
        <f t="shared" si="3"/>
        <v>0</v>
      </c>
      <c r="N82" s="108">
        <f t="shared" si="3"/>
        <v>0</v>
      </c>
      <c r="S82" s="13"/>
      <c r="T82" s="13"/>
    </row>
    <row r="83" spans="1:20" x14ac:dyDescent="0.35">
      <c r="A83" s="1" t="s">
        <v>9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I83" s="108">
        <f t="shared" si="4"/>
        <v>0</v>
      </c>
      <c r="J83" s="108">
        <f t="shared" si="3"/>
        <v>0</v>
      </c>
      <c r="K83" s="108">
        <f t="shared" si="3"/>
        <v>0</v>
      </c>
      <c r="L83" s="108">
        <f t="shared" si="3"/>
        <v>0</v>
      </c>
      <c r="M83" s="108">
        <f t="shared" si="3"/>
        <v>0</v>
      </c>
      <c r="N83" s="108">
        <f t="shared" si="3"/>
        <v>0</v>
      </c>
      <c r="S83" s="13"/>
      <c r="T83" s="13"/>
    </row>
    <row r="84" spans="1:20" x14ac:dyDescent="0.35">
      <c r="A84" s="1" t="s">
        <v>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I84" s="108">
        <f t="shared" si="4"/>
        <v>0</v>
      </c>
      <c r="J84" s="108">
        <f t="shared" si="4"/>
        <v>0</v>
      </c>
      <c r="K84" s="108">
        <f t="shared" si="4"/>
        <v>0</v>
      </c>
      <c r="L84" s="108">
        <f t="shared" si="4"/>
        <v>0</v>
      </c>
      <c r="M84" s="108">
        <f t="shared" si="4"/>
        <v>0</v>
      </c>
      <c r="N84" s="108">
        <f t="shared" si="4"/>
        <v>0</v>
      </c>
      <c r="S84" s="14"/>
      <c r="T84" s="14"/>
    </row>
    <row r="85" spans="1:20" x14ac:dyDescent="0.35">
      <c r="A85" s="1" t="s">
        <v>11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I85" s="108">
        <f t="shared" si="4"/>
        <v>0</v>
      </c>
      <c r="J85" s="108">
        <f t="shared" si="4"/>
        <v>0</v>
      </c>
      <c r="K85" s="108">
        <f t="shared" si="4"/>
        <v>0</v>
      </c>
      <c r="L85" s="108">
        <f t="shared" si="4"/>
        <v>0</v>
      </c>
      <c r="M85" s="108">
        <f t="shared" si="4"/>
        <v>0</v>
      </c>
      <c r="N85" s="108">
        <f t="shared" si="4"/>
        <v>0</v>
      </c>
      <c r="S85" s="14"/>
      <c r="T85" s="14"/>
    </row>
    <row r="86" spans="1:20" s="28" customFormat="1" x14ac:dyDescent="0.35">
      <c r="A86" s="1" t="s">
        <v>12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I86" s="108">
        <f t="shared" si="4"/>
        <v>0</v>
      </c>
      <c r="J86" s="108">
        <f t="shared" si="4"/>
        <v>0</v>
      </c>
      <c r="K86" s="108">
        <f t="shared" si="4"/>
        <v>0</v>
      </c>
      <c r="L86" s="108">
        <f t="shared" si="4"/>
        <v>0</v>
      </c>
      <c r="M86" s="108">
        <f t="shared" si="4"/>
        <v>0</v>
      </c>
      <c r="N86" s="108">
        <f t="shared" si="4"/>
        <v>0</v>
      </c>
      <c r="S86" s="27"/>
      <c r="T86" s="27"/>
    </row>
    <row r="87" spans="1:20" x14ac:dyDescent="0.35">
      <c r="A87" s="1" t="s">
        <v>13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I87" s="108">
        <f t="shared" si="4"/>
        <v>0</v>
      </c>
      <c r="J87" s="108">
        <f t="shared" si="4"/>
        <v>0</v>
      </c>
      <c r="K87" s="108">
        <f t="shared" si="4"/>
        <v>0</v>
      </c>
      <c r="L87" s="108">
        <f t="shared" si="4"/>
        <v>0</v>
      </c>
      <c r="M87" s="108">
        <f t="shared" si="4"/>
        <v>0</v>
      </c>
      <c r="N87" s="108">
        <f t="shared" si="4"/>
        <v>0</v>
      </c>
      <c r="S87" s="14"/>
      <c r="T87" s="14"/>
    </row>
    <row r="88" spans="1:20" x14ac:dyDescent="0.35">
      <c r="A88" s="1" t="s">
        <v>14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I88" s="108">
        <f t="shared" si="4"/>
        <v>0</v>
      </c>
      <c r="J88" s="108">
        <f t="shared" si="4"/>
        <v>0</v>
      </c>
      <c r="K88" s="108">
        <f t="shared" si="4"/>
        <v>0</v>
      </c>
      <c r="L88" s="108">
        <f t="shared" si="4"/>
        <v>0</v>
      </c>
      <c r="M88" s="108">
        <f t="shared" si="4"/>
        <v>0</v>
      </c>
      <c r="N88" s="108">
        <f t="shared" si="4"/>
        <v>0</v>
      </c>
      <c r="S88" s="14"/>
      <c r="T88" s="14"/>
    </row>
    <row r="89" spans="1:20" x14ac:dyDescent="0.35">
      <c r="A89" s="1" t="s">
        <v>15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I89" s="108">
        <f t="shared" si="4"/>
        <v>0</v>
      </c>
      <c r="J89" s="108">
        <f t="shared" si="4"/>
        <v>0</v>
      </c>
      <c r="K89" s="108">
        <f t="shared" si="4"/>
        <v>0</v>
      </c>
      <c r="L89" s="108">
        <f t="shared" si="4"/>
        <v>0</v>
      </c>
      <c r="M89" s="108">
        <f t="shared" si="4"/>
        <v>0</v>
      </c>
      <c r="N89" s="108">
        <f t="shared" si="4"/>
        <v>0</v>
      </c>
      <c r="S89" s="14"/>
      <c r="T89" s="14"/>
    </row>
    <row r="90" spans="1:20" x14ac:dyDescent="0.35">
      <c r="A90" s="1" t="s">
        <v>16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I90" s="108">
        <f t="shared" si="4"/>
        <v>0</v>
      </c>
      <c r="J90" s="108">
        <f t="shared" si="4"/>
        <v>0</v>
      </c>
      <c r="K90" s="108">
        <f t="shared" si="4"/>
        <v>0</v>
      </c>
      <c r="L90" s="108">
        <f t="shared" si="4"/>
        <v>0</v>
      </c>
      <c r="M90" s="108">
        <f t="shared" si="4"/>
        <v>0</v>
      </c>
      <c r="N90" s="108">
        <f t="shared" si="4"/>
        <v>0</v>
      </c>
      <c r="S90" s="14"/>
      <c r="T90" s="14"/>
    </row>
    <row r="91" spans="1:20" x14ac:dyDescent="0.35">
      <c r="A91" s="1" t="s">
        <v>17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I91" s="108">
        <f t="shared" si="4"/>
        <v>0</v>
      </c>
      <c r="J91" s="108">
        <f t="shared" si="4"/>
        <v>0</v>
      </c>
      <c r="K91" s="108">
        <f t="shared" si="4"/>
        <v>0</v>
      </c>
      <c r="L91" s="108">
        <f t="shared" si="4"/>
        <v>0</v>
      </c>
      <c r="M91" s="108">
        <f t="shared" si="4"/>
        <v>0</v>
      </c>
      <c r="N91" s="108">
        <f t="shared" si="4"/>
        <v>0</v>
      </c>
    </row>
    <row r="92" spans="1:20" x14ac:dyDescent="0.35">
      <c r="A92" s="1" t="s">
        <v>18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I92" s="108">
        <f t="shared" si="4"/>
        <v>0</v>
      </c>
      <c r="J92" s="108">
        <f t="shared" si="4"/>
        <v>0</v>
      </c>
      <c r="K92" s="108">
        <f t="shared" si="4"/>
        <v>0</v>
      </c>
      <c r="L92" s="108">
        <f t="shared" si="4"/>
        <v>0</v>
      </c>
      <c r="M92" s="108">
        <f t="shared" si="4"/>
        <v>0</v>
      </c>
      <c r="N92" s="108">
        <f t="shared" si="4"/>
        <v>0</v>
      </c>
    </row>
    <row r="93" spans="1:20" x14ac:dyDescent="0.35">
      <c r="A93" s="1" t="s">
        <v>19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I93" s="108">
        <f t="shared" si="4"/>
        <v>0</v>
      </c>
      <c r="J93" s="108">
        <f t="shared" si="4"/>
        <v>0</v>
      </c>
      <c r="K93" s="108">
        <f t="shared" si="4"/>
        <v>0</v>
      </c>
      <c r="L93" s="108">
        <f t="shared" si="4"/>
        <v>0</v>
      </c>
      <c r="M93" s="108">
        <f t="shared" si="4"/>
        <v>0</v>
      </c>
      <c r="N93" s="108">
        <f t="shared" si="4"/>
        <v>0</v>
      </c>
    </row>
    <row r="94" spans="1:20" x14ac:dyDescent="0.35">
      <c r="A94" s="1" t="s">
        <v>20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I94" s="108">
        <f t="shared" si="4"/>
        <v>0</v>
      </c>
      <c r="J94" s="108">
        <f t="shared" si="4"/>
        <v>0</v>
      </c>
      <c r="K94" s="108">
        <f t="shared" si="4"/>
        <v>0</v>
      </c>
      <c r="L94" s="108">
        <f t="shared" si="4"/>
        <v>0</v>
      </c>
      <c r="M94" s="108">
        <f t="shared" si="4"/>
        <v>0</v>
      </c>
      <c r="N94" s="108">
        <f t="shared" si="4"/>
        <v>0</v>
      </c>
    </row>
    <row r="95" spans="1:20" x14ac:dyDescent="0.35">
      <c r="A95" s="1" t="s">
        <v>21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I95" s="108">
        <f t="shared" si="4"/>
        <v>0</v>
      </c>
      <c r="J95" s="108">
        <f t="shared" si="4"/>
        <v>0</v>
      </c>
      <c r="K95" s="108">
        <f t="shared" si="4"/>
        <v>0</v>
      </c>
      <c r="L95" s="108">
        <f t="shared" si="4"/>
        <v>0</v>
      </c>
      <c r="M95" s="108">
        <f t="shared" si="4"/>
        <v>0</v>
      </c>
      <c r="N95" s="108">
        <f t="shared" si="4"/>
        <v>0</v>
      </c>
    </row>
    <row r="96" spans="1:20" x14ac:dyDescent="0.35">
      <c r="A96" s="1" t="s">
        <v>22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I96" s="108">
        <f t="shared" si="4"/>
        <v>0</v>
      </c>
      <c r="J96" s="108">
        <f t="shared" si="4"/>
        <v>0</v>
      </c>
      <c r="K96" s="108">
        <f t="shared" si="4"/>
        <v>0</v>
      </c>
      <c r="L96" s="108">
        <f t="shared" si="4"/>
        <v>0</v>
      </c>
      <c r="M96" s="108">
        <f t="shared" si="4"/>
        <v>0</v>
      </c>
      <c r="N96" s="108">
        <f t="shared" si="4"/>
        <v>0</v>
      </c>
    </row>
    <row r="97" spans="1:14" x14ac:dyDescent="0.35">
      <c r="A97" s="1" t="s">
        <v>23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I97" s="108">
        <f t="shared" si="4"/>
        <v>0</v>
      </c>
      <c r="J97" s="108">
        <f t="shared" si="4"/>
        <v>0</v>
      </c>
      <c r="K97" s="108">
        <f t="shared" si="4"/>
        <v>0</v>
      </c>
      <c r="L97" s="108">
        <f t="shared" si="4"/>
        <v>0</v>
      </c>
      <c r="M97" s="108">
        <f t="shared" si="4"/>
        <v>0</v>
      </c>
      <c r="N97" s="108">
        <f t="shared" si="4"/>
        <v>0</v>
      </c>
    </row>
    <row r="98" spans="1:14" x14ac:dyDescent="0.35">
      <c r="A98" s="1" t="s">
        <v>50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I98" s="108">
        <f t="shared" si="4"/>
        <v>0</v>
      </c>
      <c r="J98" s="108">
        <f t="shared" si="4"/>
        <v>0</v>
      </c>
      <c r="K98" s="108">
        <f t="shared" si="4"/>
        <v>0</v>
      </c>
      <c r="L98" s="108">
        <f t="shared" si="4"/>
        <v>0</v>
      </c>
      <c r="M98" s="108">
        <f t="shared" si="4"/>
        <v>0</v>
      </c>
      <c r="N98" s="108">
        <f t="shared" si="4"/>
        <v>0</v>
      </c>
    </row>
    <row r="99" spans="1:14" x14ac:dyDescent="0.35">
      <c r="A99" s="1" t="s">
        <v>24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I99" s="108">
        <f t="shared" si="4"/>
        <v>0</v>
      </c>
      <c r="J99" s="108">
        <f t="shared" si="4"/>
        <v>0</v>
      </c>
      <c r="K99" s="108">
        <f t="shared" si="4"/>
        <v>0</v>
      </c>
      <c r="L99" s="108">
        <f t="shared" si="4"/>
        <v>0</v>
      </c>
      <c r="M99" s="108">
        <f t="shared" si="4"/>
        <v>0</v>
      </c>
      <c r="N99" s="108">
        <f t="shared" si="4"/>
        <v>0</v>
      </c>
    </row>
    <row r="100" spans="1:14" x14ac:dyDescent="0.35">
      <c r="A100" s="1" t="s">
        <v>25</v>
      </c>
      <c r="B100" s="112">
        <v>0</v>
      </c>
      <c r="C100" s="112">
        <v>0</v>
      </c>
      <c r="D100" s="112">
        <v>0</v>
      </c>
      <c r="E100" s="112">
        <v>0</v>
      </c>
      <c r="F100" s="112">
        <v>0</v>
      </c>
      <c r="G100" s="112">
        <v>0</v>
      </c>
      <c r="I100" s="108">
        <f t="shared" si="4"/>
        <v>0</v>
      </c>
      <c r="J100" s="108">
        <f t="shared" si="4"/>
        <v>0</v>
      </c>
      <c r="K100" s="108">
        <f t="shared" si="4"/>
        <v>0</v>
      </c>
      <c r="L100" s="108">
        <f t="shared" si="4"/>
        <v>0</v>
      </c>
      <c r="M100" s="108">
        <f t="shared" si="4"/>
        <v>0</v>
      </c>
      <c r="N100" s="108">
        <f t="shared" si="4"/>
        <v>0</v>
      </c>
    </row>
    <row r="101" spans="1:14" x14ac:dyDescent="0.35">
      <c r="A101" s="1" t="s">
        <v>26</v>
      </c>
      <c r="B101" s="112">
        <v>0</v>
      </c>
      <c r="C101" s="112">
        <v>0</v>
      </c>
      <c r="D101" s="112">
        <v>0</v>
      </c>
      <c r="E101" s="112">
        <v>0</v>
      </c>
      <c r="F101" s="112">
        <v>0</v>
      </c>
      <c r="G101" s="112">
        <v>0</v>
      </c>
      <c r="I101" s="108">
        <f t="shared" si="4"/>
        <v>0</v>
      </c>
      <c r="J101" s="108">
        <f t="shared" si="4"/>
        <v>0</v>
      </c>
      <c r="K101" s="108">
        <f t="shared" si="4"/>
        <v>0</v>
      </c>
      <c r="L101" s="108">
        <f t="shared" si="4"/>
        <v>0</v>
      </c>
      <c r="M101" s="108">
        <f t="shared" si="4"/>
        <v>0</v>
      </c>
      <c r="N101" s="108">
        <f t="shared" si="4"/>
        <v>0</v>
      </c>
    </row>
    <row r="102" spans="1:14" x14ac:dyDescent="0.35">
      <c r="A102" s="1" t="s">
        <v>27</v>
      </c>
      <c r="B102" s="112">
        <v>0</v>
      </c>
      <c r="C102" s="112">
        <v>0</v>
      </c>
      <c r="D102" s="112">
        <v>0</v>
      </c>
      <c r="E102" s="112">
        <v>0</v>
      </c>
      <c r="F102" s="112">
        <v>0</v>
      </c>
      <c r="G102" s="112">
        <v>0</v>
      </c>
      <c r="I102" s="108">
        <f t="shared" si="4"/>
        <v>0</v>
      </c>
      <c r="J102" s="108">
        <f t="shared" si="4"/>
        <v>0</v>
      </c>
      <c r="K102" s="108">
        <f t="shared" si="4"/>
        <v>0</v>
      </c>
      <c r="L102" s="108">
        <f t="shared" si="4"/>
        <v>0</v>
      </c>
      <c r="M102" s="108">
        <f t="shared" si="4"/>
        <v>0</v>
      </c>
      <c r="N102" s="108">
        <f t="shared" si="4"/>
        <v>0</v>
      </c>
    </row>
    <row r="103" spans="1:14" x14ac:dyDescent="0.35">
      <c r="A103" s="1" t="s">
        <v>28</v>
      </c>
      <c r="B103" s="112">
        <v>0</v>
      </c>
      <c r="C103" s="112">
        <v>0</v>
      </c>
      <c r="D103" s="112">
        <v>0</v>
      </c>
      <c r="E103" s="112">
        <v>0</v>
      </c>
      <c r="F103" s="112">
        <v>0</v>
      </c>
      <c r="G103" s="112">
        <v>0</v>
      </c>
      <c r="I103" s="108">
        <f t="shared" si="4"/>
        <v>0</v>
      </c>
      <c r="J103" s="108">
        <f t="shared" si="4"/>
        <v>0</v>
      </c>
      <c r="K103" s="108">
        <f t="shared" si="4"/>
        <v>0</v>
      </c>
      <c r="L103" s="108">
        <f t="shared" si="4"/>
        <v>0</v>
      </c>
      <c r="M103" s="108">
        <f t="shared" si="4"/>
        <v>0</v>
      </c>
      <c r="N103" s="108">
        <f t="shared" si="4"/>
        <v>0</v>
      </c>
    </row>
    <row r="104" spans="1:14" x14ac:dyDescent="0.35">
      <c r="A104" s="1" t="s">
        <v>29</v>
      </c>
      <c r="B104" s="112">
        <v>0</v>
      </c>
      <c r="C104" s="112">
        <v>0</v>
      </c>
      <c r="D104" s="112">
        <v>0</v>
      </c>
      <c r="E104" s="112">
        <v>0</v>
      </c>
      <c r="F104" s="112">
        <v>0</v>
      </c>
      <c r="G104" s="112">
        <v>0</v>
      </c>
      <c r="I104" s="108">
        <f t="shared" si="4"/>
        <v>0</v>
      </c>
      <c r="J104" s="108">
        <f t="shared" si="4"/>
        <v>0</v>
      </c>
      <c r="K104" s="108">
        <f t="shared" si="4"/>
        <v>0</v>
      </c>
      <c r="L104" s="108">
        <f t="shared" si="4"/>
        <v>0</v>
      </c>
      <c r="M104" s="108">
        <f t="shared" si="4"/>
        <v>0</v>
      </c>
      <c r="N104" s="108">
        <f t="shared" si="4"/>
        <v>0</v>
      </c>
    </row>
    <row r="105" spans="1:14" x14ac:dyDescent="0.35">
      <c r="A105" s="1" t="s">
        <v>30</v>
      </c>
      <c r="B105" s="112">
        <v>0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I105" s="108">
        <f t="shared" si="4"/>
        <v>0</v>
      </c>
      <c r="J105" s="108">
        <f t="shared" si="4"/>
        <v>0</v>
      </c>
      <c r="K105" s="108">
        <f t="shared" si="4"/>
        <v>0</v>
      </c>
      <c r="L105" s="108">
        <f t="shared" si="4"/>
        <v>0</v>
      </c>
      <c r="M105" s="108">
        <f t="shared" si="4"/>
        <v>0</v>
      </c>
      <c r="N105" s="108">
        <f t="shared" si="4"/>
        <v>0</v>
      </c>
    </row>
    <row r="106" spans="1:14" x14ac:dyDescent="0.35">
      <c r="A106" s="1" t="s">
        <v>31</v>
      </c>
      <c r="B106" s="112">
        <v>0</v>
      </c>
      <c r="C106" s="112">
        <v>0</v>
      </c>
      <c r="D106" s="112">
        <v>0</v>
      </c>
      <c r="E106" s="112">
        <v>0</v>
      </c>
      <c r="F106" s="112">
        <v>0</v>
      </c>
      <c r="G106" s="112">
        <v>0</v>
      </c>
      <c r="I106" s="108">
        <f t="shared" si="4"/>
        <v>0</v>
      </c>
      <c r="J106" s="108">
        <f t="shared" si="4"/>
        <v>0</v>
      </c>
      <c r="K106" s="108">
        <f t="shared" si="4"/>
        <v>0</v>
      </c>
      <c r="L106" s="108">
        <f t="shared" si="4"/>
        <v>0</v>
      </c>
      <c r="M106" s="108">
        <f t="shared" si="4"/>
        <v>0</v>
      </c>
      <c r="N106" s="108">
        <f t="shared" si="4"/>
        <v>0</v>
      </c>
    </row>
    <row r="107" spans="1:14" x14ac:dyDescent="0.35">
      <c r="A107" s="1" t="s">
        <v>33</v>
      </c>
      <c r="B107" s="112">
        <v>0</v>
      </c>
      <c r="C107" s="112">
        <v>0</v>
      </c>
      <c r="D107" s="112">
        <v>0</v>
      </c>
      <c r="E107" s="112">
        <v>0</v>
      </c>
      <c r="F107" s="112">
        <v>0</v>
      </c>
      <c r="G107" s="112">
        <v>0</v>
      </c>
      <c r="I107" s="108">
        <f t="shared" si="4"/>
        <v>0</v>
      </c>
      <c r="J107" s="108">
        <f t="shared" si="4"/>
        <v>0</v>
      </c>
      <c r="K107" s="108">
        <f t="shared" si="4"/>
        <v>0</v>
      </c>
      <c r="L107" s="108">
        <f t="shared" si="4"/>
        <v>0</v>
      </c>
      <c r="M107" s="108">
        <f t="shared" si="4"/>
        <v>0</v>
      </c>
      <c r="N107" s="108">
        <f t="shared" si="4"/>
        <v>0</v>
      </c>
    </row>
    <row r="108" spans="1:14" x14ac:dyDescent="0.35">
      <c r="A108" s="1" t="s">
        <v>32</v>
      </c>
      <c r="B108" s="112">
        <v>0</v>
      </c>
      <c r="C108" s="112">
        <v>0</v>
      </c>
      <c r="D108" s="112">
        <v>0</v>
      </c>
      <c r="E108" s="112">
        <v>0</v>
      </c>
      <c r="F108" s="112">
        <v>0</v>
      </c>
      <c r="G108" s="112">
        <v>0</v>
      </c>
      <c r="I108" s="108">
        <f t="shared" si="4"/>
        <v>0</v>
      </c>
      <c r="J108" s="108">
        <f t="shared" si="4"/>
        <v>0</v>
      </c>
      <c r="K108" s="108">
        <f t="shared" si="4"/>
        <v>0</v>
      </c>
      <c r="L108" s="108">
        <f t="shared" si="4"/>
        <v>0</v>
      </c>
      <c r="M108" s="108">
        <f t="shared" si="4"/>
        <v>0</v>
      </c>
      <c r="N108" s="108">
        <f t="shared" si="4"/>
        <v>0</v>
      </c>
    </row>
    <row r="109" spans="1:14" x14ac:dyDescent="0.35">
      <c r="A109" s="1" t="s">
        <v>34</v>
      </c>
      <c r="B109" s="112">
        <v>0</v>
      </c>
      <c r="C109" s="112">
        <v>0</v>
      </c>
      <c r="D109" s="112">
        <v>0</v>
      </c>
      <c r="E109" s="112">
        <v>0</v>
      </c>
      <c r="F109" s="112">
        <v>0</v>
      </c>
      <c r="G109" s="112">
        <v>0</v>
      </c>
      <c r="I109" s="108">
        <f t="shared" si="4"/>
        <v>0</v>
      </c>
      <c r="J109" s="108">
        <f t="shared" si="4"/>
        <v>0</v>
      </c>
      <c r="K109" s="108">
        <f t="shared" si="4"/>
        <v>0</v>
      </c>
      <c r="L109" s="108">
        <f t="shared" si="4"/>
        <v>0</v>
      </c>
      <c r="M109" s="108">
        <f t="shared" si="4"/>
        <v>0</v>
      </c>
      <c r="N109" s="108">
        <f t="shared" si="4"/>
        <v>0</v>
      </c>
    </row>
    <row r="110" spans="1:14" x14ac:dyDescent="0.35">
      <c r="A110" s="1" t="s">
        <v>35</v>
      </c>
      <c r="B110" s="112">
        <v>0</v>
      </c>
      <c r="C110" s="112">
        <v>0</v>
      </c>
      <c r="D110" s="112">
        <v>0</v>
      </c>
      <c r="E110" s="112">
        <v>0</v>
      </c>
      <c r="F110" s="112">
        <v>0</v>
      </c>
      <c r="G110" s="112">
        <v>0</v>
      </c>
      <c r="I110" s="108">
        <f t="shared" si="4"/>
        <v>0</v>
      </c>
      <c r="J110" s="108">
        <f t="shared" si="4"/>
        <v>0</v>
      </c>
      <c r="K110" s="108">
        <f t="shared" si="4"/>
        <v>0</v>
      </c>
      <c r="L110" s="108">
        <f t="shared" si="4"/>
        <v>0</v>
      </c>
      <c r="M110" s="108">
        <f t="shared" si="4"/>
        <v>0</v>
      </c>
      <c r="N110" s="108">
        <f t="shared" si="4"/>
        <v>0</v>
      </c>
    </row>
    <row r="111" spans="1:14" x14ac:dyDescent="0.35">
      <c r="A111" s="1" t="s">
        <v>36</v>
      </c>
      <c r="B111" s="112">
        <v>0</v>
      </c>
      <c r="C111" s="112">
        <v>0</v>
      </c>
      <c r="D111" s="112">
        <v>0</v>
      </c>
      <c r="E111" s="112">
        <v>0</v>
      </c>
      <c r="F111" s="112">
        <v>0</v>
      </c>
      <c r="G111" s="112">
        <v>0</v>
      </c>
      <c r="I111" s="108">
        <f t="shared" si="4"/>
        <v>0</v>
      </c>
      <c r="J111" s="108">
        <f t="shared" si="4"/>
        <v>0</v>
      </c>
      <c r="K111" s="108">
        <f t="shared" si="4"/>
        <v>0</v>
      </c>
      <c r="L111" s="108">
        <f t="shared" si="4"/>
        <v>0</v>
      </c>
      <c r="M111" s="108">
        <f t="shared" si="4"/>
        <v>0</v>
      </c>
      <c r="N111" s="108">
        <f t="shared" si="4"/>
        <v>0</v>
      </c>
    </row>
    <row r="112" spans="1:14" x14ac:dyDescent="0.35">
      <c r="A112" s="1" t="s">
        <v>37</v>
      </c>
      <c r="B112" s="112">
        <v>0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I112" s="108">
        <f t="shared" si="4"/>
        <v>0</v>
      </c>
      <c r="J112" s="108">
        <f t="shared" si="4"/>
        <v>0</v>
      </c>
      <c r="K112" s="108">
        <f t="shared" si="4"/>
        <v>0</v>
      </c>
      <c r="L112" s="108">
        <f t="shared" si="4"/>
        <v>0</v>
      </c>
      <c r="M112" s="108">
        <f t="shared" si="4"/>
        <v>0</v>
      </c>
      <c r="N112" s="108">
        <f t="shared" si="4"/>
        <v>0</v>
      </c>
    </row>
    <row r="113" spans="1:14" x14ac:dyDescent="0.35">
      <c r="A113" s="1" t="s">
        <v>55</v>
      </c>
      <c r="B113" s="112">
        <v>0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I113" s="108">
        <f t="shared" si="4"/>
        <v>0</v>
      </c>
      <c r="J113" s="108">
        <f t="shared" si="4"/>
        <v>0</v>
      </c>
      <c r="K113" s="108">
        <f t="shared" si="4"/>
        <v>0</v>
      </c>
      <c r="L113" s="108">
        <f t="shared" si="4"/>
        <v>0</v>
      </c>
      <c r="M113" s="108">
        <f t="shared" si="4"/>
        <v>0</v>
      </c>
      <c r="N113" s="108">
        <f t="shared" si="4"/>
        <v>0</v>
      </c>
    </row>
    <row r="114" spans="1:14" x14ac:dyDescent="0.35">
      <c r="A114" s="1" t="s">
        <v>38</v>
      </c>
      <c r="B114" s="112">
        <v>0</v>
      </c>
      <c r="C114" s="112">
        <v>0</v>
      </c>
      <c r="D114" s="112">
        <v>0</v>
      </c>
      <c r="E114" s="112">
        <v>0</v>
      </c>
      <c r="F114" s="112">
        <v>0</v>
      </c>
      <c r="G114" s="112">
        <v>0</v>
      </c>
      <c r="I114" s="108">
        <f t="shared" si="4"/>
        <v>0</v>
      </c>
      <c r="J114" s="108">
        <f t="shared" si="4"/>
        <v>0</v>
      </c>
      <c r="K114" s="108">
        <f t="shared" si="4"/>
        <v>0</v>
      </c>
      <c r="L114" s="108">
        <f t="shared" si="4"/>
        <v>0</v>
      </c>
      <c r="M114" s="108">
        <f t="shared" si="4"/>
        <v>0</v>
      </c>
      <c r="N114" s="108">
        <f t="shared" si="4"/>
        <v>0</v>
      </c>
    </row>
    <row r="115" spans="1:14" x14ac:dyDescent="0.35">
      <c r="A115" s="1" t="s">
        <v>39</v>
      </c>
      <c r="B115" s="112">
        <v>0</v>
      </c>
      <c r="C115" s="112">
        <v>0</v>
      </c>
      <c r="D115" s="112">
        <v>0</v>
      </c>
      <c r="E115" s="112">
        <v>0</v>
      </c>
      <c r="F115" s="112">
        <v>0</v>
      </c>
      <c r="G115" s="112">
        <v>0</v>
      </c>
      <c r="I115" s="108">
        <f t="shared" si="4"/>
        <v>0</v>
      </c>
      <c r="J115" s="108">
        <f t="shared" si="4"/>
        <v>0</v>
      </c>
      <c r="K115" s="108">
        <f t="shared" si="4"/>
        <v>0</v>
      </c>
      <c r="L115" s="108">
        <f t="shared" si="4"/>
        <v>0</v>
      </c>
      <c r="M115" s="108">
        <f t="shared" si="4"/>
        <v>0</v>
      </c>
      <c r="N115" s="108">
        <f t="shared" si="4"/>
        <v>0</v>
      </c>
    </row>
    <row r="116" spans="1:14" x14ac:dyDescent="0.35">
      <c r="A116" s="1" t="s">
        <v>40</v>
      </c>
      <c r="B116" s="112">
        <v>0</v>
      </c>
      <c r="C116" s="112">
        <v>0</v>
      </c>
      <c r="D116" s="112">
        <v>0</v>
      </c>
      <c r="E116" s="112">
        <v>0</v>
      </c>
      <c r="F116" s="112">
        <v>0</v>
      </c>
      <c r="G116" s="112">
        <v>0</v>
      </c>
      <c r="I116" s="108">
        <f t="shared" si="4"/>
        <v>0</v>
      </c>
      <c r="J116" s="108">
        <f t="shared" si="4"/>
        <v>0</v>
      </c>
      <c r="K116" s="108">
        <f t="shared" si="4"/>
        <v>0</v>
      </c>
      <c r="L116" s="108">
        <f t="shared" si="4"/>
        <v>0</v>
      </c>
      <c r="M116" s="108">
        <f t="shared" si="4"/>
        <v>0</v>
      </c>
      <c r="N116" s="108">
        <f t="shared" si="4"/>
        <v>0</v>
      </c>
    </row>
    <row r="117" spans="1:14" x14ac:dyDescent="0.35">
      <c r="A117" s="1" t="s">
        <v>41</v>
      </c>
      <c r="B117" s="112">
        <v>0</v>
      </c>
      <c r="C117" s="112">
        <v>0</v>
      </c>
      <c r="D117" s="112">
        <v>0</v>
      </c>
      <c r="E117" s="112">
        <v>0</v>
      </c>
      <c r="F117" s="112">
        <v>0</v>
      </c>
      <c r="G117" s="112">
        <v>0</v>
      </c>
      <c r="I117" s="108">
        <f t="shared" si="4"/>
        <v>0</v>
      </c>
      <c r="J117" s="108">
        <f t="shared" si="4"/>
        <v>0</v>
      </c>
      <c r="K117" s="108">
        <f t="shared" si="4"/>
        <v>0</v>
      </c>
      <c r="L117" s="108">
        <f t="shared" si="4"/>
        <v>0</v>
      </c>
      <c r="M117" s="108">
        <f t="shared" si="4"/>
        <v>0</v>
      </c>
      <c r="N117" s="108">
        <f t="shared" si="4"/>
        <v>0</v>
      </c>
    </row>
    <row r="118" spans="1:14" x14ac:dyDescent="0.35">
      <c r="A118" s="1" t="s">
        <v>42</v>
      </c>
      <c r="B118" s="112">
        <v>0</v>
      </c>
      <c r="C118" s="112">
        <v>0</v>
      </c>
      <c r="D118" s="112">
        <v>0</v>
      </c>
      <c r="E118" s="112">
        <v>0</v>
      </c>
      <c r="F118" s="112">
        <v>0</v>
      </c>
      <c r="G118" s="112">
        <v>0</v>
      </c>
      <c r="I118" s="108">
        <f t="shared" si="4"/>
        <v>0</v>
      </c>
      <c r="J118" s="108">
        <f t="shared" si="4"/>
        <v>0</v>
      </c>
      <c r="K118" s="108">
        <f t="shared" si="4"/>
        <v>0</v>
      </c>
      <c r="L118" s="108">
        <f t="shared" si="4"/>
        <v>0</v>
      </c>
      <c r="M118" s="108">
        <f t="shared" si="4"/>
        <v>0</v>
      </c>
      <c r="N118" s="108">
        <f t="shared" si="4"/>
        <v>0</v>
      </c>
    </row>
    <row r="119" spans="1:14" x14ac:dyDescent="0.35">
      <c r="A119" s="1" t="s">
        <v>43</v>
      </c>
      <c r="B119" s="112">
        <v>0</v>
      </c>
      <c r="C119" s="112">
        <v>0</v>
      </c>
      <c r="D119" s="112">
        <v>0</v>
      </c>
      <c r="E119" s="112">
        <v>0</v>
      </c>
      <c r="F119" s="112">
        <v>0</v>
      </c>
      <c r="G119" s="112">
        <v>0</v>
      </c>
      <c r="I119" s="108">
        <f t="shared" si="4"/>
        <v>0</v>
      </c>
      <c r="J119" s="108">
        <f t="shared" si="4"/>
        <v>0</v>
      </c>
      <c r="K119" s="108">
        <f t="shared" si="4"/>
        <v>0</v>
      </c>
      <c r="L119" s="108">
        <f t="shared" si="4"/>
        <v>0</v>
      </c>
      <c r="M119" s="108">
        <f t="shared" si="4"/>
        <v>0</v>
      </c>
      <c r="N119" s="108">
        <f t="shared" si="4"/>
        <v>0</v>
      </c>
    </row>
    <row r="120" spans="1:14" x14ac:dyDescent="0.35">
      <c r="A120" s="1" t="s">
        <v>44</v>
      </c>
      <c r="B120" s="112">
        <v>0</v>
      </c>
      <c r="C120" s="112">
        <v>0</v>
      </c>
      <c r="D120" s="112">
        <v>0</v>
      </c>
      <c r="E120" s="112">
        <v>0</v>
      </c>
      <c r="F120" s="112">
        <v>0</v>
      </c>
      <c r="G120" s="112">
        <v>0</v>
      </c>
      <c r="I120" s="108">
        <f t="shared" si="4"/>
        <v>0</v>
      </c>
      <c r="J120" s="108">
        <f t="shared" si="4"/>
        <v>0</v>
      </c>
      <c r="K120" s="108">
        <f t="shared" si="4"/>
        <v>0</v>
      </c>
      <c r="L120" s="108">
        <f t="shared" si="4"/>
        <v>0</v>
      </c>
      <c r="M120" s="108">
        <f t="shared" si="4"/>
        <v>0</v>
      </c>
      <c r="N120" s="108">
        <f t="shared" si="4"/>
        <v>0</v>
      </c>
    </row>
    <row r="121" spans="1:14" x14ac:dyDescent="0.35">
      <c r="A121" s="1" t="s">
        <v>45</v>
      </c>
      <c r="B121" s="112">
        <v>0</v>
      </c>
      <c r="C121" s="112">
        <v>0</v>
      </c>
      <c r="D121" s="112">
        <v>0</v>
      </c>
      <c r="E121" s="112">
        <v>0</v>
      </c>
      <c r="F121" s="112">
        <v>0</v>
      </c>
      <c r="G121" s="112">
        <v>0</v>
      </c>
      <c r="I121" s="108">
        <f t="shared" si="4"/>
        <v>0</v>
      </c>
      <c r="J121" s="108">
        <f t="shared" si="4"/>
        <v>0</v>
      </c>
      <c r="K121" s="108">
        <f t="shared" si="4"/>
        <v>0</v>
      </c>
      <c r="L121" s="108">
        <f t="shared" si="4"/>
        <v>0</v>
      </c>
      <c r="M121" s="108">
        <f t="shared" si="4"/>
        <v>0</v>
      </c>
      <c r="N121" s="108">
        <f t="shared" si="4"/>
        <v>0</v>
      </c>
    </row>
    <row r="122" spans="1:14" x14ac:dyDescent="0.35">
      <c r="A122" s="1" t="s">
        <v>46</v>
      </c>
      <c r="B122" s="112">
        <v>0</v>
      </c>
      <c r="C122" s="112">
        <v>0</v>
      </c>
      <c r="D122" s="112">
        <v>0</v>
      </c>
      <c r="E122" s="112">
        <v>0</v>
      </c>
      <c r="F122" s="112">
        <v>0</v>
      </c>
      <c r="G122" s="112">
        <v>0</v>
      </c>
      <c r="I122" s="108">
        <f t="shared" si="4"/>
        <v>0</v>
      </c>
      <c r="J122" s="108">
        <f t="shared" si="4"/>
        <v>0</v>
      </c>
      <c r="K122" s="108">
        <f t="shared" si="4"/>
        <v>0</v>
      </c>
      <c r="L122" s="108">
        <f t="shared" si="4"/>
        <v>0</v>
      </c>
      <c r="M122" s="108">
        <f t="shared" si="4"/>
        <v>0</v>
      </c>
      <c r="N122" s="108">
        <f t="shared" si="4"/>
        <v>0</v>
      </c>
    </row>
    <row r="123" spans="1:14" x14ac:dyDescent="0.35">
      <c r="A123" s="1" t="s">
        <v>47</v>
      </c>
      <c r="B123" s="112">
        <v>0</v>
      </c>
      <c r="C123" s="112">
        <v>0</v>
      </c>
      <c r="D123" s="112">
        <v>0</v>
      </c>
      <c r="E123" s="112">
        <v>0</v>
      </c>
      <c r="F123" s="112">
        <v>0</v>
      </c>
      <c r="G123" s="112">
        <v>0</v>
      </c>
      <c r="I123" s="108">
        <f t="shared" si="4"/>
        <v>0</v>
      </c>
      <c r="J123" s="108">
        <f t="shared" si="4"/>
        <v>0</v>
      </c>
      <c r="K123" s="108">
        <f t="shared" si="4"/>
        <v>0</v>
      </c>
      <c r="L123" s="108">
        <f t="shared" si="4"/>
        <v>0</v>
      </c>
      <c r="M123" s="108">
        <f t="shared" si="4"/>
        <v>0</v>
      </c>
      <c r="N123" s="108">
        <f t="shared" si="4"/>
        <v>0</v>
      </c>
    </row>
    <row r="124" spans="1:14" x14ac:dyDescent="0.35">
      <c r="A124" s="1" t="s">
        <v>48</v>
      </c>
      <c r="B124" s="112">
        <v>0</v>
      </c>
      <c r="C124" s="112">
        <v>0</v>
      </c>
      <c r="D124" s="112">
        <v>0</v>
      </c>
      <c r="E124" s="112">
        <v>0</v>
      </c>
      <c r="F124" s="112">
        <v>0</v>
      </c>
      <c r="G124" s="112">
        <v>0</v>
      </c>
      <c r="I124" s="108">
        <f t="shared" ref="I124:N125" si="5">B124*1.1</f>
        <v>0</v>
      </c>
      <c r="J124" s="108">
        <f t="shared" si="5"/>
        <v>0</v>
      </c>
      <c r="K124" s="108">
        <f t="shared" si="5"/>
        <v>0</v>
      </c>
      <c r="L124" s="108">
        <f t="shared" si="5"/>
        <v>0</v>
      </c>
      <c r="M124" s="108">
        <f t="shared" si="5"/>
        <v>0</v>
      </c>
      <c r="N124" s="108">
        <f t="shared" si="5"/>
        <v>0</v>
      </c>
    </row>
    <row r="125" spans="1:14" x14ac:dyDescent="0.35">
      <c r="A125" s="1" t="s">
        <v>49</v>
      </c>
      <c r="B125" s="112">
        <v>0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I125" s="108">
        <f t="shared" si="5"/>
        <v>0</v>
      </c>
      <c r="J125" s="108">
        <f t="shared" si="5"/>
        <v>0</v>
      </c>
      <c r="K125" s="108">
        <f t="shared" si="5"/>
        <v>0</v>
      </c>
      <c r="L125" s="108">
        <f t="shared" si="5"/>
        <v>0</v>
      </c>
      <c r="M125" s="108">
        <f t="shared" si="5"/>
        <v>0</v>
      </c>
      <c r="N125" s="108">
        <f t="shared" si="5"/>
        <v>0</v>
      </c>
    </row>
    <row r="126" spans="1:14" ht="16.5" customHeight="1" x14ac:dyDescent="0.35">
      <c r="A126" s="38" t="s">
        <v>104</v>
      </c>
      <c r="B126" s="36">
        <f>AVERAGE(B68:G125)</f>
        <v>0</v>
      </c>
    </row>
    <row r="130" spans="1:18" x14ac:dyDescent="0.35">
      <c r="B130" s="111" t="s">
        <v>187</v>
      </c>
      <c r="D130" s="111" t="s">
        <v>188</v>
      </c>
    </row>
    <row r="131" spans="1:18" x14ac:dyDescent="0.35">
      <c r="A131" s="35"/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</row>
    <row r="132" spans="1:18" x14ac:dyDescent="0.35">
      <c r="A132" s="32" t="s">
        <v>66</v>
      </c>
      <c r="B132" s="33" t="s">
        <v>105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4"/>
    </row>
    <row r="133" spans="1:18" x14ac:dyDescent="0.35">
      <c r="A133" s="2" t="s">
        <v>66</v>
      </c>
      <c r="B133" s="112">
        <v>0</v>
      </c>
      <c r="C133" s="18"/>
      <c r="D133" s="108">
        <f>B133*1.1</f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5">
      <c r="A134" s="21"/>
      <c r="B134" s="22"/>
      <c r="C134" s="23"/>
      <c r="D134" s="22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5"/>
    </row>
    <row r="135" spans="1:18" x14ac:dyDescent="0.35">
      <c r="A135" s="21"/>
      <c r="B135" s="22"/>
      <c r="C135" s="23"/>
      <c r="D135" s="22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5"/>
    </row>
    <row r="136" spans="1:18" x14ac:dyDescent="0.35">
      <c r="A136" s="32" t="s">
        <v>67</v>
      </c>
      <c r="B136" s="33" t="s">
        <v>106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4"/>
    </row>
    <row r="137" spans="1:18" x14ac:dyDescent="0.35">
      <c r="A137" s="2" t="s">
        <v>199</v>
      </c>
      <c r="B137" s="112">
        <v>0</v>
      </c>
      <c r="C137" s="18"/>
      <c r="D137" s="108">
        <f>B137*1.1</f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5">
      <c r="A138" s="2" t="s">
        <v>224</v>
      </c>
      <c r="B138" s="112">
        <v>0</v>
      </c>
      <c r="C138" s="18"/>
      <c r="D138" s="108">
        <f t="shared" ref="D138:D141" si="6">B138*1.1</f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5">
      <c r="A139" s="2" t="s">
        <v>225</v>
      </c>
      <c r="B139" s="112">
        <v>0</v>
      </c>
      <c r="C139" s="18"/>
      <c r="D139" s="108">
        <f t="shared" si="6"/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5">
      <c r="A140" s="2" t="s">
        <v>226</v>
      </c>
      <c r="B140" s="112">
        <v>0</v>
      </c>
      <c r="C140" s="23"/>
      <c r="D140" s="108">
        <f t="shared" si="6"/>
        <v>0</v>
      </c>
      <c r="E140" s="24"/>
      <c r="F140" s="2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5">
      <c r="A141" s="21" t="s">
        <v>247</v>
      </c>
      <c r="B141" s="112">
        <v>0</v>
      </c>
      <c r="C141" s="23"/>
      <c r="D141" s="108">
        <f t="shared" si="6"/>
        <v>0</v>
      </c>
      <c r="E141" s="24"/>
      <c r="F141" s="2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5">
      <c r="A142" s="39" t="s">
        <v>98</v>
      </c>
      <c r="B142" s="6">
        <f>AVERAGE(B137:B141)</f>
        <v>0</v>
      </c>
      <c r="C142" s="6"/>
      <c r="D142" s="6"/>
      <c r="E142" s="6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5">
      <c r="A143" s="7"/>
      <c r="B143" s="6"/>
      <c r="C143" s="6"/>
      <c r="D143" s="6"/>
      <c r="E143" s="6"/>
      <c r="F143" s="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5"/>
    </row>
    <row r="144" spans="1:18" x14ac:dyDescent="0.35">
      <c r="A144" s="32" t="s">
        <v>190</v>
      </c>
      <c r="B144" s="33" t="s">
        <v>106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4"/>
    </row>
    <row r="145" spans="1:18" x14ac:dyDescent="0.35">
      <c r="A145" s="2" t="s">
        <v>200</v>
      </c>
      <c r="B145" s="112">
        <v>0</v>
      </c>
      <c r="C145" s="18"/>
      <c r="D145" s="108">
        <f>B145*1.1</f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5">
      <c r="A146" s="2" t="s">
        <v>227</v>
      </c>
      <c r="B146" s="112">
        <v>0</v>
      </c>
      <c r="C146" s="18"/>
      <c r="D146" s="108">
        <f t="shared" ref="D146:D149" si="7">B146*1.1</f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5">
      <c r="A147" s="2" t="s">
        <v>228</v>
      </c>
      <c r="B147" s="112">
        <v>0</v>
      </c>
      <c r="C147" s="18"/>
      <c r="D147" s="108">
        <f t="shared" si="7"/>
        <v>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5">
      <c r="A148" s="2" t="s">
        <v>229</v>
      </c>
      <c r="B148" s="112">
        <v>0</v>
      </c>
      <c r="C148" s="23"/>
      <c r="D148" s="108">
        <f t="shared" si="7"/>
        <v>0</v>
      </c>
      <c r="E148" s="24"/>
      <c r="F148" s="2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5">
      <c r="A149" s="2" t="s">
        <v>230</v>
      </c>
      <c r="B149" s="112">
        <v>0</v>
      </c>
      <c r="C149" s="23"/>
      <c r="D149" s="108">
        <f t="shared" si="7"/>
        <v>0</v>
      </c>
      <c r="E149" s="24"/>
      <c r="F149" s="2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5">
      <c r="A150" s="39" t="s">
        <v>98</v>
      </c>
      <c r="B150" s="4">
        <f>AVERAGE(B145:B149)</f>
        <v>0</v>
      </c>
      <c r="C150" s="23"/>
      <c r="D150" s="40"/>
      <c r="E150" s="24"/>
      <c r="F150" s="2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5">
      <c r="A151" s="7"/>
      <c r="B151" s="6"/>
      <c r="C151" s="6"/>
      <c r="D151" s="6"/>
      <c r="E151" s="6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5">
      <c r="A152" s="32" t="s">
        <v>68</v>
      </c>
      <c r="B152" s="33" t="s">
        <v>106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4"/>
    </row>
    <row r="153" spans="1:18" x14ac:dyDescent="0.35">
      <c r="A153" s="2" t="s">
        <v>202</v>
      </c>
      <c r="B153" s="112">
        <v>0</v>
      </c>
      <c r="C153" s="18"/>
      <c r="D153" s="108">
        <f>B153*1.1</f>
        <v>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5">
      <c r="A154" s="2" t="s">
        <v>231</v>
      </c>
      <c r="B154" s="112">
        <v>0</v>
      </c>
      <c r="C154" s="18"/>
      <c r="D154" s="108">
        <f t="shared" ref="D154:D157" si="8">B154*1.1</f>
        <v>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5">
      <c r="A155" s="2" t="s">
        <v>232</v>
      </c>
      <c r="B155" s="112">
        <v>0</v>
      </c>
      <c r="C155" s="18"/>
      <c r="D155" s="108">
        <f t="shared" si="8"/>
        <v>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5">
      <c r="A156" s="2" t="s">
        <v>233</v>
      </c>
      <c r="B156" s="112">
        <v>0</v>
      </c>
      <c r="C156" s="23"/>
      <c r="D156" s="108">
        <f t="shared" si="8"/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5"/>
    </row>
    <row r="157" spans="1:18" x14ac:dyDescent="0.35">
      <c r="A157" s="2" t="s">
        <v>234</v>
      </c>
      <c r="B157" s="112">
        <v>0</v>
      </c>
      <c r="C157" s="23"/>
      <c r="D157" s="108">
        <f t="shared" si="8"/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5"/>
    </row>
    <row r="158" spans="1:18" x14ac:dyDescent="0.35">
      <c r="A158" s="39" t="s">
        <v>98</v>
      </c>
      <c r="B158" s="4">
        <f>AVERAGE(B153:B157)</f>
        <v>0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2"/>
    </row>
    <row r="159" spans="1:18" x14ac:dyDescent="0.35">
      <c r="A159" s="39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2"/>
    </row>
    <row r="160" spans="1:18" x14ac:dyDescent="0.35">
      <c r="A160" s="29" t="s">
        <v>277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</row>
    <row r="161" spans="1:18" x14ac:dyDescent="0.35">
      <c r="A161" s="31" t="s">
        <v>69</v>
      </c>
      <c r="B161" s="114"/>
      <c r="C161" s="114"/>
      <c r="D161" s="1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x14ac:dyDescent="0.35">
      <c r="A162" s="31"/>
      <c r="B162" s="115"/>
      <c r="C162" s="115"/>
      <c r="D162" s="11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43.5" x14ac:dyDescent="0.35">
      <c r="A163" s="30" t="s">
        <v>278</v>
      </c>
      <c r="B163" s="115"/>
      <c r="C163" s="115"/>
      <c r="D163" s="115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</row>
    <row r="164" spans="1:18" x14ac:dyDescent="0.35">
      <c r="A164" s="31" t="s">
        <v>70</v>
      </c>
      <c r="B164" s="114"/>
      <c r="C164" s="114"/>
      <c r="D164" s="1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x14ac:dyDescent="0.35">
      <c r="A165" s="31" t="s">
        <v>71</v>
      </c>
      <c r="B165" s="114"/>
      <c r="C165" s="114"/>
      <c r="D165" s="1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x14ac:dyDescent="0.35">
      <c r="A166" s="31" t="s">
        <v>72</v>
      </c>
      <c r="B166" s="114"/>
      <c r="C166" s="114"/>
      <c r="D166" s="1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x14ac:dyDescent="0.35">
      <c r="A167" s="31" t="s">
        <v>73</v>
      </c>
      <c r="B167" s="114"/>
      <c r="C167" s="114"/>
      <c r="D167" s="1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</sheetData>
  <sheetProtection sheet="1" objects="1" scenarios="1"/>
  <mergeCells count="7">
    <mergeCell ref="I3:N3"/>
    <mergeCell ref="B66:G66"/>
    <mergeCell ref="I66:N66"/>
    <mergeCell ref="A1:G1"/>
    <mergeCell ref="A65:G65"/>
    <mergeCell ref="A2:G2"/>
    <mergeCell ref="B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4D64-CAF1-4A84-B734-55961AD68531}">
  <dimension ref="A1:T167"/>
  <sheetViews>
    <sheetView topLeftCell="A3" zoomScale="106" zoomScaleNormal="106" workbookViewId="0">
      <selection activeCell="A5" sqref="A5:A7"/>
    </sheetView>
  </sheetViews>
  <sheetFormatPr defaultRowHeight="14.5" x14ac:dyDescent="0.35"/>
  <cols>
    <col min="1" max="1" width="79.54296875" customWidth="1"/>
    <col min="2" max="3" width="16" customWidth="1"/>
    <col min="4" max="4" width="21.7265625" bestFit="1" customWidth="1"/>
    <col min="5" max="5" width="12.7265625" customWidth="1"/>
    <col min="6" max="6" width="14.81640625" customWidth="1"/>
    <col min="7" max="7" width="13.26953125" bestFit="1" customWidth="1"/>
    <col min="8" max="8" width="13" customWidth="1"/>
    <col min="9" max="9" width="13.1796875" bestFit="1" customWidth="1"/>
    <col min="10" max="10" width="8.453125" customWidth="1"/>
    <col min="11" max="11" width="13.1796875" customWidth="1"/>
    <col min="12" max="12" width="14" customWidth="1"/>
    <col min="13" max="13" width="8.453125" customWidth="1"/>
    <col min="14" max="14" width="14.81640625" bestFit="1" customWidth="1"/>
    <col min="15" max="17" width="12.7265625" customWidth="1"/>
    <col min="18" max="18" width="21.453125" customWidth="1"/>
    <col min="19" max="19" width="8.26953125" customWidth="1"/>
    <col min="20" max="20" width="11.81640625" customWidth="1"/>
    <col min="21" max="21" width="11.453125" bestFit="1" customWidth="1"/>
    <col min="22" max="23" width="9.81640625" customWidth="1"/>
    <col min="27" max="27" width="11.81640625" customWidth="1"/>
  </cols>
  <sheetData>
    <row r="1" spans="1:20" ht="27.75" customHeight="1" x14ac:dyDescent="0.35">
      <c r="A1" s="119" t="s">
        <v>57</v>
      </c>
      <c r="B1" s="119"/>
      <c r="C1" s="119"/>
      <c r="D1" s="119"/>
      <c r="E1" s="119"/>
      <c r="F1" s="119"/>
      <c r="G1" s="119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0"/>
      <c r="T1" s="10"/>
    </row>
    <row r="2" spans="1:20" ht="30" customHeight="1" x14ac:dyDescent="0.35">
      <c r="A2" s="121" t="s">
        <v>152</v>
      </c>
      <c r="B2" s="121"/>
      <c r="C2" s="121"/>
      <c r="D2" s="121"/>
      <c r="E2" s="121"/>
      <c r="F2" s="121"/>
      <c r="G2" s="12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7.75" customHeight="1" x14ac:dyDescent="0.35">
      <c r="A3" s="109"/>
      <c r="B3" s="118" t="s">
        <v>187</v>
      </c>
      <c r="C3" s="118"/>
      <c r="D3" s="118"/>
      <c r="E3" s="118"/>
      <c r="F3" s="118"/>
      <c r="G3" s="118"/>
      <c r="H3" s="10"/>
      <c r="I3" s="118" t="s">
        <v>188</v>
      </c>
      <c r="J3" s="118"/>
      <c r="K3" s="118"/>
      <c r="L3" s="118"/>
      <c r="M3" s="118"/>
      <c r="N3" s="118"/>
      <c r="O3" s="10"/>
      <c r="P3" s="10"/>
      <c r="Q3" s="10"/>
      <c r="R3" s="10"/>
      <c r="S3" s="10"/>
      <c r="T3" s="10"/>
    </row>
    <row r="4" spans="1:20" ht="43" x14ac:dyDescent="0.35">
      <c r="A4" s="81" t="s">
        <v>51</v>
      </c>
      <c r="B4" s="17" t="s">
        <v>99</v>
      </c>
      <c r="C4" s="17" t="s">
        <v>100</v>
      </c>
      <c r="D4" s="17" t="s">
        <v>101</v>
      </c>
      <c r="E4" s="17" t="s">
        <v>102</v>
      </c>
      <c r="F4" s="17" t="s">
        <v>103</v>
      </c>
      <c r="G4" s="17" t="s">
        <v>149</v>
      </c>
      <c r="I4" s="17" t="s">
        <v>99</v>
      </c>
      <c r="J4" s="17" t="s">
        <v>100</v>
      </c>
      <c r="K4" s="17" t="s">
        <v>101</v>
      </c>
      <c r="L4" s="17" t="s">
        <v>102</v>
      </c>
      <c r="M4" s="17" t="s">
        <v>103</v>
      </c>
      <c r="N4" s="17" t="s">
        <v>149</v>
      </c>
    </row>
    <row r="5" spans="1:20" x14ac:dyDescent="0.35">
      <c r="A5" s="117" t="s">
        <v>286</v>
      </c>
      <c r="B5" s="112">
        <v>0</v>
      </c>
      <c r="C5" s="112">
        <v>0</v>
      </c>
      <c r="D5" s="112">
        <v>0</v>
      </c>
      <c r="E5" s="112">
        <v>0</v>
      </c>
      <c r="F5" s="112">
        <v>0</v>
      </c>
      <c r="G5" s="112">
        <v>0</v>
      </c>
      <c r="I5" s="108">
        <f>B5*1.1</f>
        <v>0</v>
      </c>
      <c r="J5" s="108">
        <f t="shared" ref="J5:N20" si="0">C5*1.1</f>
        <v>0</v>
      </c>
      <c r="K5" s="108">
        <f t="shared" si="0"/>
        <v>0</v>
      </c>
      <c r="L5" s="108">
        <f t="shared" si="0"/>
        <v>0</v>
      </c>
      <c r="M5" s="108">
        <f t="shared" si="0"/>
        <v>0</v>
      </c>
      <c r="N5" s="108">
        <f t="shared" si="0"/>
        <v>0</v>
      </c>
    </row>
    <row r="6" spans="1:20" x14ac:dyDescent="0.35">
      <c r="A6" s="117" t="s">
        <v>287</v>
      </c>
      <c r="B6" s="112">
        <v>0</v>
      </c>
      <c r="C6" s="112">
        <v>0</v>
      </c>
      <c r="D6" s="112">
        <v>0</v>
      </c>
      <c r="E6" s="112">
        <v>0</v>
      </c>
      <c r="F6" s="112">
        <v>0</v>
      </c>
      <c r="G6" s="112">
        <v>0</v>
      </c>
      <c r="I6" s="108">
        <f t="shared" ref="I6:N62" si="1">B6*1.1</f>
        <v>0</v>
      </c>
      <c r="J6" s="108">
        <f t="shared" si="0"/>
        <v>0</v>
      </c>
      <c r="K6" s="108">
        <f t="shared" si="0"/>
        <v>0</v>
      </c>
      <c r="L6" s="108">
        <f t="shared" si="0"/>
        <v>0</v>
      </c>
      <c r="M6" s="108">
        <f t="shared" si="0"/>
        <v>0</v>
      </c>
      <c r="N6" s="108">
        <f t="shared" si="0"/>
        <v>0</v>
      </c>
    </row>
    <row r="7" spans="1:20" x14ac:dyDescent="0.35">
      <c r="A7" s="117" t="s">
        <v>285</v>
      </c>
      <c r="B7" s="112">
        <v>0</v>
      </c>
      <c r="C7" s="112">
        <v>0</v>
      </c>
      <c r="D7" s="112">
        <v>0</v>
      </c>
      <c r="E7" s="112">
        <v>0</v>
      </c>
      <c r="F7" s="112">
        <v>0</v>
      </c>
      <c r="G7" s="112">
        <v>0</v>
      </c>
      <c r="I7" s="108">
        <f t="shared" si="1"/>
        <v>0</v>
      </c>
      <c r="J7" s="108">
        <f t="shared" si="0"/>
        <v>0</v>
      </c>
      <c r="K7" s="108">
        <f t="shared" si="0"/>
        <v>0</v>
      </c>
      <c r="L7" s="108">
        <f t="shared" si="0"/>
        <v>0</v>
      </c>
      <c r="M7" s="108">
        <f t="shared" si="0"/>
        <v>0</v>
      </c>
      <c r="N7" s="108">
        <f t="shared" si="0"/>
        <v>0</v>
      </c>
    </row>
    <row r="8" spans="1:20" x14ac:dyDescent="0.35">
      <c r="A8" s="1" t="s">
        <v>53</v>
      </c>
      <c r="B8" s="112">
        <v>0</v>
      </c>
      <c r="C8" s="112">
        <v>0</v>
      </c>
      <c r="D8" s="112">
        <v>0</v>
      </c>
      <c r="E8" s="112">
        <v>0</v>
      </c>
      <c r="F8" s="112">
        <v>0</v>
      </c>
      <c r="G8" s="112">
        <v>0</v>
      </c>
      <c r="I8" s="108">
        <f t="shared" si="1"/>
        <v>0</v>
      </c>
      <c r="J8" s="108">
        <f t="shared" si="0"/>
        <v>0</v>
      </c>
      <c r="K8" s="108">
        <f t="shared" si="0"/>
        <v>0</v>
      </c>
      <c r="L8" s="108">
        <f t="shared" si="0"/>
        <v>0</v>
      </c>
      <c r="M8" s="108">
        <f t="shared" si="0"/>
        <v>0</v>
      </c>
      <c r="N8" s="108">
        <f t="shared" si="0"/>
        <v>0</v>
      </c>
    </row>
    <row r="9" spans="1:20" x14ac:dyDescent="0.35">
      <c r="A9" s="1" t="s">
        <v>52</v>
      </c>
      <c r="B9" s="112">
        <v>0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I9" s="108">
        <f t="shared" si="1"/>
        <v>0</v>
      </c>
      <c r="J9" s="108">
        <f t="shared" si="0"/>
        <v>0</v>
      </c>
      <c r="K9" s="108">
        <f t="shared" si="0"/>
        <v>0</v>
      </c>
      <c r="L9" s="108">
        <f t="shared" si="0"/>
        <v>0</v>
      </c>
      <c r="M9" s="108">
        <f t="shared" si="0"/>
        <v>0</v>
      </c>
      <c r="N9" s="108">
        <f t="shared" si="0"/>
        <v>0</v>
      </c>
    </row>
    <row r="10" spans="1:20" x14ac:dyDescent="0.35">
      <c r="A10" s="1" t="s">
        <v>54</v>
      </c>
      <c r="B10" s="112">
        <v>0</v>
      </c>
      <c r="C10" s="112">
        <v>0</v>
      </c>
      <c r="D10" s="112">
        <v>0</v>
      </c>
      <c r="E10" s="112">
        <v>0</v>
      </c>
      <c r="F10" s="112">
        <v>0</v>
      </c>
      <c r="G10" s="112">
        <v>0</v>
      </c>
      <c r="I10" s="108">
        <f t="shared" si="1"/>
        <v>0</v>
      </c>
      <c r="J10" s="108">
        <f t="shared" si="0"/>
        <v>0</v>
      </c>
      <c r="K10" s="108">
        <f t="shared" si="0"/>
        <v>0</v>
      </c>
      <c r="L10" s="108">
        <f t="shared" si="0"/>
        <v>0</v>
      </c>
      <c r="M10" s="108">
        <f t="shared" si="0"/>
        <v>0</v>
      </c>
      <c r="N10" s="108">
        <f t="shared" si="0"/>
        <v>0</v>
      </c>
    </row>
    <row r="11" spans="1:20" x14ac:dyDescent="0.35">
      <c r="A11" s="1" t="s">
        <v>0</v>
      </c>
      <c r="B11" s="112">
        <v>0</v>
      </c>
      <c r="C11" s="112">
        <v>0</v>
      </c>
      <c r="D11" s="112">
        <v>0</v>
      </c>
      <c r="E11" s="112">
        <v>0</v>
      </c>
      <c r="F11" s="112">
        <v>0</v>
      </c>
      <c r="G11" s="112">
        <v>0</v>
      </c>
      <c r="I11" s="108">
        <f t="shared" si="1"/>
        <v>0</v>
      </c>
      <c r="J11" s="108">
        <f t="shared" si="0"/>
        <v>0</v>
      </c>
      <c r="K11" s="108">
        <f t="shared" si="0"/>
        <v>0</v>
      </c>
      <c r="L11" s="108">
        <f t="shared" si="0"/>
        <v>0</v>
      </c>
      <c r="M11" s="108">
        <f t="shared" si="0"/>
        <v>0</v>
      </c>
      <c r="N11" s="108">
        <f t="shared" si="0"/>
        <v>0</v>
      </c>
    </row>
    <row r="12" spans="1:20" x14ac:dyDescent="0.35">
      <c r="A12" s="1" t="s">
        <v>1</v>
      </c>
      <c r="B12" s="112">
        <v>0</v>
      </c>
      <c r="C12" s="112">
        <v>0</v>
      </c>
      <c r="D12" s="112">
        <v>0</v>
      </c>
      <c r="E12" s="112">
        <v>0</v>
      </c>
      <c r="F12" s="112">
        <v>0</v>
      </c>
      <c r="G12" s="112">
        <v>0</v>
      </c>
      <c r="I12" s="108">
        <f t="shared" si="1"/>
        <v>0</v>
      </c>
      <c r="J12" s="108">
        <f t="shared" si="0"/>
        <v>0</v>
      </c>
      <c r="K12" s="108">
        <f t="shared" si="0"/>
        <v>0</v>
      </c>
      <c r="L12" s="108">
        <f t="shared" si="0"/>
        <v>0</v>
      </c>
      <c r="M12" s="108">
        <f t="shared" si="0"/>
        <v>0</v>
      </c>
      <c r="N12" s="108">
        <f t="shared" si="0"/>
        <v>0</v>
      </c>
    </row>
    <row r="13" spans="1:20" x14ac:dyDescent="0.35">
      <c r="A13" s="1" t="s">
        <v>2</v>
      </c>
      <c r="B13" s="112">
        <v>0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I13" s="108">
        <f t="shared" si="1"/>
        <v>0</v>
      </c>
      <c r="J13" s="108">
        <f t="shared" si="0"/>
        <v>0</v>
      </c>
      <c r="K13" s="108">
        <f t="shared" si="0"/>
        <v>0</v>
      </c>
      <c r="L13" s="108">
        <f t="shared" si="0"/>
        <v>0</v>
      </c>
      <c r="M13" s="108">
        <f t="shared" si="0"/>
        <v>0</v>
      </c>
      <c r="N13" s="108">
        <f t="shared" si="0"/>
        <v>0</v>
      </c>
    </row>
    <row r="14" spans="1:20" x14ac:dyDescent="0.35">
      <c r="A14" s="1" t="s">
        <v>3</v>
      </c>
      <c r="B14" s="112">
        <v>0</v>
      </c>
      <c r="C14" s="112">
        <v>0</v>
      </c>
      <c r="D14" s="112">
        <v>0</v>
      </c>
      <c r="E14" s="112">
        <v>0</v>
      </c>
      <c r="F14" s="112">
        <v>0</v>
      </c>
      <c r="G14" s="112">
        <v>0</v>
      </c>
      <c r="I14" s="108">
        <f t="shared" si="1"/>
        <v>0</v>
      </c>
      <c r="J14" s="108">
        <f t="shared" si="0"/>
        <v>0</v>
      </c>
      <c r="K14" s="108">
        <f t="shared" si="0"/>
        <v>0</v>
      </c>
      <c r="L14" s="108">
        <f t="shared" si="0"/>
        <v>0</v>
      </c>
      <c r="M14" s="108">
        <f t="shared" si="0"/>
        <v>0</v>
      </c>
      <c r="N14" s="108">
        <f t="shared" si="0"/>
        <v>0</v>
      </c>
    </row>
    <row r="15" spans="1:20" x14ac:dyDescent="0.35">
      <c r="A15" s="1" t="s">
        <v>4</v>
      </c>
      <c r="B15" s="112">
        <v>0</v>
      </c>
      <c r="C15" s="112">
        <v>0</v>
      </c>
      <c r="D15" s="112">
        <v>0</v>
      </c>
      <c r="E15" s="112">
        <v>0</v>
      </c>
      <c r="F15" s="112">
        <v>0</v>
      </c>
      <c r="G15" s="112">
        <v>0</v>
      </c>
      <c r="I15" s="108">
        <f t="shared" si="1"/>
        <v>0</v>
      </c>
      <c r="J15" s="108">
        <f t="shared" si="0"/>
        <v>0</v>
      </c>
      <c r="K15" s="108">
        <f t="shared" si="0"/>
        <v>0</v>
      </c>
      <c r="L15" s="108">
        <f t="shared" si="0"/>
        <v>0</v>
      </c>
      <c r="M15" s="108">
        <f t="shared" si="0"/>
        <v>0</v>
      </c>
      <c r="N15" s="108">
        <f t="shared" si="0"/>
        <v>0</v>
      </c>
    </row>
    <row r="16" spans="1:20" x14ac:dyDescent="0.35">
      <c r="A16" s="1" t="s">
        <v>5</v>
      </c>
      <c r="B16" s="112">
        <v>0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I16" s="108">
        <f t="shared" si="1"/>
        <v>0</v>
      </c>
      <c r="J16" s="108">
        <f t="shared" si="0"/>
        <v>0</v>
      </c>
      <c r="K16" s="108">
        <f t="shared" si="0"/>
        <v>0</v>
      </c>
      <c r="L16" s="108">
        <f t="shared" si="0"/>
        <v>0</v>
      </c>
      <c r="M16" s="108">
        <f t="shared" si="0"/>
        <v>0</v>
      </c>
      <c r="N16" s="108">
        <f t="shared" si="0"/>
        <v>0</v>
      </c>
    </row>
    <row r="17" spans="1:14" x14ac:dyDescent="0.35">
      <c r="A17" s="1" t="s">
        <v>6</v>
      </c>
      <c r="B17" s="112">
        <v>0</v>
      </c>
      <c r="C17" s="112">
        <v>0</v>
      </c>
      <c r="D17" s="112">
        <v>0</v>
      </c>
      <c r="E17" s="112">
        <v>0</v>
      </c>
      <c r="F17" s="112">
        <v>0</v>
      </c>
      <c r="G17" s="112">
        <v>0</v>
      </c>
      <c r="I17" s="108">
        <f t="shared" si="1"/>
        <v>0</v>
      </c>
      <c r="J17" s="108">
        <f t="shared" si="0"/>
        <v>0</v>
      </c>
      <c r="K17" s="108">
        <f t="shared" si="0"/>
        <v>0</v>
      </c>
      <c r="L17" s="108">
        <f t="shared" si="0"/>
        <v>0</v>
      </c>
      <c r="M17" s="108">
        <f t="shared" si="0"/>
        <v>0</v>
      </c>
      <c r="N17" s="108">
        <f t="shared" si="0"/>
        <v>0</v>
      </c>
    </row>
    <row r="18" spans="1:14" x14ac:dyDescent="0.35">
      <c r="A18" s="1" t="s">
        <v>7</v>
      </c>
      <c r="B18" s="112">
        <v>0</v>
      </c>
      <c r="C18" s="112">
        <v>0</v>
      </c>
      <c r="D18" s="112">
        <v>0</v>
      </c>
      <c r="E18" s="112">
        <v>0</v>
      </c>
      <c r="F18" s="112">
        <v>0</v>
      </c>
      <c r="G18" s="112">
        <v>0</v>
      </c>
      <c r="I18" s="108">
        <f t="shared" si="1"/>
        <v>0</v>
      </c>
      <c r="J18" s="108">
        <f t="shared" si="0"/>
        <v>0</v>
      </c>
      <c r="K18" s="108">
        <f t="shared" si="0"/>
        <v>0</v>
      </c>
      <c r="L18" s="108">
        <f t="shared" si="0"/>
        <v>0</v>
      </c>
      <c r="M18" s="108">
        <f t="shared" si="0"/>
        <v>0</v>
      </c>
      <c r="N18" s="108">
        <f t="shared" si="0"/>
        <v>0</v>
      </c>
    </row>
    <row r="19" spans="1:14" x14ac:dyDescent="0.35">
      <c r="A19" s="1" t="s">
        <v>8</v>
      </c>
      <c r="B19" s="112">
        <v>0</v>
      </c>
      <c r="C19" s="112">
        <v>0</v>
      </c>
      <c r="D19" s="112">
        <v>0</v>
      </c>
      <c r="E19" s="112">
        <v>0</v>
      </c>
      <c r="F19" s="112">
        <v>0</v>
      </c>
      <c r="G19" s="112">
        <v>0</v>
      </c>
      <c r="I19" s="108">
        <f t="shared" si="1"/>
        <v>0</v>
      </c>
      <c r="J19" s="108">
        <f t="shared" si="0"/>
        <v>0</v>
      </c>
      <c r="K19" s="108">
        <f t="shared" si="0"/>
        <v>0</v>
      </c>
      <c r="L19" s="108">
        <f t="shared" si="0"/>
        <v>0</v>
      </c>
      <c r="M19" s="108">
        <f t="shared" si="0"/>
        <v>0</v>
      </c>
      <c r="N19" s="108">
        <f t="shared" si="0"/>
        <v>0</v>
      </c>
    </row>
    <row r="20" spans="1:14" x14ac:dyDescent="0.35">
      <c r="A20" s="1" t="s">
        <v>9</v>
      </c>
      <c r="B20" s="112">
        <v>0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I20" s="108">
        <f t="shared" si="1"/>
        <v>0</v>
      </c>
      <c r="J20" s="108">
        <f t="shared" si="0"/>
        <v>0</v>
      </c>
      <c r="K20" s="108">
        <f t="shared" si="0"/>
        <v>0</v>
      </c>
      <c r="L20" s="108">
        <f t="shared" si="0"/>
        <v>0</v>
      </c>
      <c r="M20" s="108">
        <f t="shared" si="0"/>
        <v>0</v>
      </c>
      <c r="N20" s="108">
        <f t="shared" si="0"/>
        <v>0</v>
      </c>
    </row>
    <row r="21" spans="1:14" x14ac:dyDescent="0.35">
      <c r="A21" s="1" t="s">
        <v>10</v>
      </c>
      <c r="B21" s="112">
        <v>0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I21" s="108">
        <f t="shared" si="1"/>
        <v>0</v>
      </c>
      <c r="J21" s="108">
        <f t="shared" si="1"/>
        <v>0</v>
      </c>
      <c r="K21" s="108">
        <f t="shared" si="1"/>
        <v>0</v>
      </c>
      <c r="L21" s="108">
        <f t="shared" si="1"/>
        <v>0</v>
      </c>
      <c r="M21" s="108">
        <f t="shared" si="1"/>
        <v>0</v>
      </c>
      <c r="N21" s="108">
        <f t="shared" si="1"/>
        <v>0</v>
      </c>
    </row>
    <row r="22" spans="1:14" x14ac:dyDescent="0.35">
      <c r="A22" s="1" t="s">
        <v>11</v>
      </c>
      <c r="B22" s="112">
        <v>0</v>
      </c>
      <c r="C22" s="112">
        <v>0</v>
      </c>
      <c r="D22" s="112">
        <v>0</v>
      </c>
      <c r="E22" s="112">
        <v>0</v>
      </c>
      <c r="F22" s="112">
        <v>0</v>
      </c>
      <c r="G22" s="112">
        <v>0</v>
      </c>
      <c r="I22" s="108">
        <f t="shared" si="1"/>
        <v>0</v>
      </c>
      <c r="J22" s="108">
        <f t="shared" si="1"/>
        <v>0</v>
      </c>
      <c r="K22" s="108">
        <f t="shared" si="1"/>
        <v>0</v>
      </c>
      <c r="L22" s="108">
        <f t="shared" si="1"/>
        <v>0</v>
      </c>
      <c r="M22" s="108">
        <f t="shared" si="1"/>
        <v>0</v>
      </c>
      <c r="N22" s="108">
        <f t="shared" si="1"/>
        <v>0</v>
      </c>
    </row>
    <row r="23" spans="1:14" x14ac:dyDescent="0.35">
      <c r="A23" s="1" t="s">
        <v>12</v>
      </c>
      <c r="B23" s="112">
        <v>0</v>
      </c>
      <c r="C23" s="112">
        <v>0</v>
      </c>
      <c r="D23" s="112">
        <v>0</v>
      </c>
      <c r="E23" s="112">
        <v>0</v>
      </c>
      <c r="F23" s="112">
        <v>0</v>
      </c>
      <c r="G23" s="112">
        <v>0</v>
      </c>
      <c r="I23" s="108">
        <f t="shared" si="1"/>
        <v>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f t="shared" si="1"/>
        <v>0</v>
      </c>
      <c r="N23" s="108">
        <f t="shared" si="1"/>
        <v>0</v>
      </c>
    </row>
    <row r="24" spans="1:14" x14ac:dyDescent="0.35">
      <c r="A24" s="1" t="s">
        <v>13</v>
      </c>
      <c r="B24" s="112">
        <v>0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I24" s="108">
        <f t="shared" si="1"/>
        <v>0</v>
      </c>
      <c r="J24" s="108">
        <f t="shared" si="1"/>
        <v>0</v>
      </c>
      <c r="K24" s="108">
        <f t="shared" si="1"/>
        <v>0</v>
      </c>
      <c r="L24" s="108">
        <f t="shared" si="1"/>
        <v>0</v>
      </c>
      <c r="M24" s="108">
        <f t="shared" si="1"/>
        <v>0</v>
      </c>
      <c r="N24" s="108">
        <f t="shared" si="1"/>
        <v>0</v>
      </c>
    </row>
    <row r="25" spans="1:14" x14ac:dyDescent="0.35">
      <c r="A25" s="1" t="s">
        <v>14</v>
      </c>
      <c r="B25" s="112">
        <v>0</v>
      </c>
      <c r="C25" s="112">
        <v>0</v>
      </c>
      <c r="D25" s="112">
        <v>0</v>
      </c>
      <c r="E25" s="112">
        <v>0</v>
      </c>
      <c r="F25" s="112">
        <v>0</v>
      </c>
      <c r="G25" s="112">
        <v>0</v>
      </c>
      <c r="I25" s="108">
        <f t="shared" si="1"/>
        <v>0</v>
      </c>
      <c r="J25" s="108">
        <f t="shared" si="1"/>
        <v>0</v>
      </c>
      <c r="K25" s="108">
        <f t="shared" si="1"/>
        <v>0</v>
      </c>
      <c r="L25" s="108">
        <f t="shared" si="1"/>
        <v>0</v>
      </c>
      <c r="M25" s="108">
        <f t="shared" si="1"/>
        <v>0</v>
      </c>
      <c r="N25" s="108">
        <f t="shared" si="1"/>
        <v>0</v>
      </c>
    </row>
    <row r="26" spans="1:14" x14ac:dyDescent="0.35">
      <c r="A26" s="1" t="s">
        <v>15</v>
      </c>
      <c r="B26" s="112">
        <v>0</v>
      </c>
      <c r="C26" s="112">
        <v>0</v>
      </c>
      <c r="D26" s="112">
        <v>0</v>
      </c>
      <c r="E26" s="112">
        <v>0</v>
      </c>
      <c r="F26" s="112">
        <v>0</v>
      </c>
      <c r="G26" s="112">
        <v>0</v>
      </c>
      <c r="I26" s="108">
        <f t="shared" si="1"/>
        <v>0</v>
      </c>
      <c r="J26" s="108">
        <f t="shared" si="1"/>
        <v>0</v>
      </c>
      <c r="K26" s="108">
        <f t="shared" si="1"/>
        <v>0</v>
      </c>
      <c r="L26" s="108">
        <f t="shared" si="1"/>
        <v>0</v>
      </c>
      <c r="M26" s="108">
        <f t="shared" si="1"/>
        <v>0</v>
      </c>
      <c r="N26" s="108">
        <f t="shared" si="1"/>
        <v>0</v>
      </c>
    </row>
    <row r="27" spans="1:14" x14ac:dyDescent="0.35">
      <c r="A27" s="1" t="s">
        <v>16</v>
      </c>
      <c r="B27" s="112">
        <v>0</v>
      </c>
      <c r="C27" s="112">
        <v>0</v>
      </c>
      <c r="D27" s="112">
        <v>0</v>
      </c>
      <c r="E27" s="112">
        <v>0</v>
      </c>
      <c r="F27" s="112">
        <v>0</v>
      </c>
      <c r="G27" s="112">
        <v>0</v>
      </c>
      <c r="I27" s="108">
        <f t="shared" si="1"/>
        <v>0</v>
      </c>
      <c r="J27" s="108">
        <f t="shared" si="1"/>
        <v>0</v>
      </c>
      <c r="K27" s="108">
        <f t="shared" si="1"/>
        <v>0</v>
      </c>
      <c r="L27" s="108">
        <f t="shared" si="1"/>
        <v>0</v>
      </c>
      <c r="M27" s="108">
        <f t="shared" si="1"/>
        <v>0</v>
      </c>
      <c r="N27" s="108">
        <f t="shared" si="1"/>
        <v>0</v>
      </c>
    </row>
    <row r="28" spans="1:14" x14ac:dyDescent="0.35">
      <c r="A28" s="1" t="s">
        <v>17</v>
      </c>
      <c r="B28" s="112">
        <v>0</v>
      </c>
      <c r="C28" s="112">
        <v>0</v>
      </c>
      <c r="D28" s="112">
        <v>0</v>
      </c>
      <c r="E28" s="112">
        <v>0</v>
      </c>
      <c r="F28" s="112">
        <v>0</v>
      </c>
      <c r="G28" s="112">
        <v>0</v>
      </c>
      <c r="I28" s="108">
        <f t="shared" si="1"/>
        <v>0</v>
      </c>
      <c r="J28" s="108">
        <f t="shared" si="1"/>
        <v>0</v>
      </c>
      <c r="K28" s="108">
        <f t="shared" si="1"/>
        <v>0</v>
      </c>
      <c r="L28" s="108">
        <f t="shared" si="1"/>
        <v>0</v>
      </c>
      <c r="M28" s="108">
        <f t="shared" si="1"/>
        <v>0</v>
      </c>
      <c r="N28" s="108">
        <f t="shared" si="1"/>
        <v>0</v>
      </c>
    </row>
    <row r="29" spans="1:14" x14ac:dyDescent="0.35">
      <c r="A29" s="1" t="s">
        <v>18</v>
      </c>
      <c r="B29" s="112">
        <v>0</v>
      </c>
      <c r="C29" s="112">
        <v>0</v>
      </c>
      <c r="D29" s="112">
        <v>0</v>
      </c>
      <c r="E29" s="112">
        <v>0</v>
      </c>
      <c r="F29" s="112">
        <v>0</v>
      </c>
      <c r="G29" s="112">
        <v>0</v>
      </c>
      <c r="I29" s="108">
        <f t="shared" si="1"/>
        <v>0</v>
      </c>
      <c r="J29" s="108">
        <f t="shared" si="1"/>
        <v>0</v>
      </c>
      <c r="K29" s="108">
        <f t="shared" si="1"/>
        <v>0</v>
      </c>
      <c r="L29" s="108">
        <f t="shared" si="1"/>
        <v>0</v>
      </c>
      <c r="M29" s="108">
        <f t="shared" si="1"/>
        <v>0</v>
      </c>
      <c r="N29" s="108">
        <f t="shared" si="1"/>
        <v>0</v>
      </c>
    </row>
    <row r="30" spans="1:14" x14ac:dyDescent="0.35">
      <c r="A30" s="1" t="s">
        <v>19</v>
      </c>
      <c r="B30" s="112">
        <v>0</v>
      </c>
      <c r="C30" s="112">
        <v>0</v>
      </c>
      <c r="D30" s="112">
        <v>0</v>
      </c>
      <c r="E30" s="112">
        <v>0</v>
      </c>
      <c r="F30" s="112">
        <v>0</v>
      </c>
      <c r="G30" s="112">
        <v>0</v>
      </c>
      <c r="I30" s="108">
        <f t="shared" si="1"/>
        <v>0</v>
      </c>
      <c r="J30" s="108">
        <f t="shared" si="1"/>
        <v>0</v>
      </c>
      <c r="K30" s="108">
        <f t="shared" si="1"/>
        <v>0</v>
      </c>
      <c r="L30" s="108">
        <f t="shared" si="1"/>
        <v>0</v>
      </c>
      <c r="M30" s="108">
        <f t="shared" si="1"/>
        <v>0</v>
      </c>
      <c r="N30" s="108">
        <f t="shared" si="1"/>
        <v>0</v>
      </c>
    </row>
    <row r="31" spans="1:14" x14ac:dyDescent="0.35">
      <c r="A31" s="1" t="s">
        <v>20</v>
      </c>
      <c r="B31" s="112">
        <v>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I31" s="108">
        <f t="shared" si="1"/>
        <v>0</v>
      </c>
      <c r="J31" s="108">
        <f t="shared" si="1"/>
        <v>0</v>
      </c>
      <c r="K31" s="108">
        <f t="shared" si="1"/>
        <v>0</v>
      </c>
      <c r="L31" s="108">
        <f t="shared" si="1"/>
        <v>0</v>
      </c>
      <c r="M31" s="108">
        <f t="shared" si="1"/>
        <v>0</v>
      </c>
      <c r="N31" s="108">
        <f t="shared" si="1"/>
        <v>0</v>
      </c>
    </row>
    <row r="32" spans="1:14" x14ac:dyDescent="0.35">
      <c r="A32" s="1" t="s">
        <v>21</v>
      </c>
      <c r="B32" s="112">
        <v>0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I32" s="108">
        <f t="shared" si="1"/>
        <v>0</v>
      </c>
      <c r="J32" s="108">
        <f t="shared" si="1"/>
        <v>0</v>
      </c>
      <c r="K32" s="108">
        <f t="shared" si="1"/>
        <v>0</v>
      </c>
      <c r="L32" s="108">
        <f t="shared" si="1"/>
        <v>0</v>
      </c>
      <c r="M32" s="108">
        <f t="shared" si="1"/>
        <v>0</v>
      </c>
      <c r="N32" s="108">
        <f t="shared" si="1"/>
        <v>0</v>
      </c>
    </row>
    <row r="33" spans="1:14" x14ac:dyDescent="0.35">
      <c r="A33" s="1" t="s">
        <v>22</v>
      </c>
      <c r="B33" s="112">
        <v>0</v>
      </c>
      <c r="C33" s="112">
        <v>0</v>
      </c>
      <c r="D33" s="112">
        <v>0</v>
      </c>
      <c r="E33" s="112">
        <v>0</v>
      </c>
      <c r="F33" s="112">
        <v>0</v>
      </c>
      <c r="G33" s="112">
        <v>0</v>
      </c>
      <c r="I33" s="108">
        <f t="shared" si="1"/>
        <v>0</v>
      </c>
      <c r="J33" s="108">
        <f t="shared" si="1"/>
        <v>0</v>
      </c>
      <c r="K33" s="108">
        <f t="shared" si="1"/>
        <v>0</v>
      </c>
      <c r="L33" s="108">
        <f t="shared" si="1"/>
        <v>0</v>
      </c>
      <c r="M33" s="108">
        <f t="shared" si="1"/>
        <v>0</v>
      </c>
      <c r="N33" s="108">
        <f t="shared" si="1"/>
        <v>0</v>
      </c>
    </row>
    <row r="34" spans="1:14" x14ac:dyDescent="0.35">
      <c r="A34" s="1" t="s">
        <v>23</v>
      </c>
      <c r="B34" s="112">
        <v>0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I34" s="108">
        <f t="shared" si="1"/>
        <v>0</v>
      </c>
      <c r="J34" s="108">
        <f t="shared" si="1"/>
        <v>0</v>
      </c>
      <c r="K34" s="108">
        <f t="shared" si="1"/>
        <v>0</v>
      </c>
      <c r="L34" s="108">
        <f t="shared" si="1"/>
        <v>0</v>
      </c>
      <c r="M34" s="108">
        <f t="shared" si="1"/>
        <v>0</v>
      </c>
      <c r="N34" s="108">
        <f t="shared" si="1"/>
        <v>0</v>
      </c>
    </row>
    <row r="35" spans="1:14" x14ac:dyDescent="0.35">
      <c r="A35" s="1" t="s">
        <v>50</v>
      </c>
      <c r="B35" s="112">
        <v>0</v>
      </c>
      <c r="C35" s="112">
        <v>0</v>
      </c>
      <c r="D35" s="112">
        <v>0</v>
      </c>
      <c r="E35" s="112">
        <v>0</v>
      </c>
      <c r="F35" s="112">
        <v>0</v>
      </c>
      <c r="G35" s="112">
        <v>0</v>
      </c>
      <c r="I35" s="108">
        <f t="shared" si="1"/>
        <v>0</v>
      </c>
      <c r="J35" s="108">
        <f t="shared" si="1"/>
        <v>0</v>
      </c>
      <c r="K35" s="108">
        <f t="shared" si="1"/>
        <v>0</v>
      </c>
      <c r="L35" s="108">
        <f t="shared" si="1"/>
        <v>0</v>
      </c>
      <c r="M35" s="108">
        <f t="shared" si="1"/>
        <v>0</v>
      </c>
      <c r="N35" s="108">
        <f t="shared" si="1"/>
        <v>0</v>
      </c>
    </row>
    <row r="36" spans="1:14" x14ac:dyDescent="0.35">
      <c r="A36" s="1" t="s">
        <v>24</v>
      </c>
      <c r="B36" s="112">
        <v>0</v>
      </c>
      <c r="C36" s="112">
        <v>0</v>
      </c>
      <c r="D36" s="112">
        <v>0</v>
      </c>
      <c r="E36" s="112">
        <v>0</v>
      </c>
      <c r="F36" s="112">
        <v>0</v>
      </c>
      <c r="G36" s="112">
        <v>0</v>
      </c>
      <c r="I36" s="108">
        <f t="shared" si="1"/>
        <v>0</v>
      </c>
      <c r="J36" s="108">
        <f t="shared" si="1"/>
        <v>0</v>
      </c>
      <c r="K36" s="108">
        <f t="shared" si="1"/>
        <v>0</v>
      </c>
      <c r="L36" s="108">
        <f t="shared" si="1"/>
        <v>0</v>
      </c>
      <c r="M36" s="108">
        <f t="shared" si="1"/>
        <v>0</v>
      </c>
      <c r="N36" s="108">
        <f t="shared" si="1"/>
        <v>0</v>
      </c>
    </row>
    <row r="37" spans="1:14" x14ac:dyDescent="0.35">
      <c r="A37" s="1" t="s">
        <v>25</v>
      </c>
      <c r="B37" s="112">
        <v>0</v>
      </c>
      <c r="C37" s="112">
        <v>0</v>
      </c>
      <c r="D37" s="112">
        <v>0</v>
      </c>
      <c r="E37" s="112">
        <v>0</v>
      </c>
      <c r="F37" s="112">
        <v>0</v>
      </c>
      <c r="G37" s="112">
        <v>0</v>
      </c>
      <c r="I37" s="108">
        <f t="shared" si="1"/>
        <v>0</v>
      </c>
      <c r="J37" s="108">
        <f t="shared" si="1"/>
        <v>0</v>
      </c>
      <c r="K37" s="108">
        <f t="shared" si="1"/>
        <v>0</v>
      </c>
      <c r="L37" s="108">
        <f t="shared" si="1"/>
        <v>0</v>
      </c>
      <c r="M37" s="108">
        <f t="shared" si="1"/>
        <v>0</v>
      </c>
      <c r="N37" s="108">
        <f t="shared" si="1"/>
        <v>0</v>
      </c>
    </row>
    <row r="38" spans="1:14" x14ac:dyDescent="0.35">
      <c r="A38" s="1" t="s">
        <v>26</v>
      </c>
      <c r="B38" s="112">
        <v>0</v>
      </c>
      <c r="C38" s="112">
        <v>0</v>
      </c>
      <c r="D38" s="112">
        <v>0</v>
      </c>
      <c r="E38" s="112">
        <v>0</v>
      </c>
      <c r="F38" s="112">
        <v>0</v>
      </c>
      <c r="G38" s="112">
        <v>0</v>
      </c>
      <c r="I38" s="108">
        <f t="shared" si="1"/>
        <v>0</v>
      </c>
      <c r="J38" s="108">
        <f t="shared" si="1"/>
        <v>0</v>
      </c>
      <c r="K38" s="108">
        <f t="shared" si="1"/>
        <v>0</v>
      </c>
      <c r="L38" s="108">
        <f t="shared" si="1"/>
        <v>0</v>
      </c>
      <c r="M38" s="108">
        <f t="shared" si="1"/>
        <v>0</v>
      </c>
      <c r="N38" s="108">
        <f t="shared" si="1"/>
        <v>0</v>
      </c>
    </row>
    <row r="39" spans="1:14" x14ac:dyDescent="0.35">
      <c r="A39" s="1" t="s">
        <v>27</v>
      </c>
      <c r="B39" s="112">
        <v>0</v>
      </c>
      <c r="C39" s="112">
        <v>0</v>
      </c>
      <c r="D39" s="112">
        <v>0</v>
      </c>
      <c r="E39" s="112">
        <v>0</v>
      </c>
      <c r="F39" s="112">
        <v>0</v>
      </c>
      <c r="G39" s="112">
        <v>0</v>
      </c>
      <c r="I39" s="108">
        <f t="shared" si="1"/>
        <v>0</v>
      </c>
      <c r="J39" s="108">
        <f t="shared" si="1"/>
        <v>0</v>
      </c>
      <c r="K39" s="108">
        <f t="shared" si="1"/>
        <v>0</v>
      </c>
      <c r="L39" s="108">
        <f t="shared" si="1"/>
        <v>0</v>
      </c>
      <c r="M39" s="108">
        <f t="shared" si="1"/>
        <v>0</v>
      </c>
      <c r="N39" s="108">
        <f t="shared" si="1"/>
        <v>0</v>
      </c>
    </row>
    <row r="40" spans="1:14" x14ac:dyDescent="0.35">
      <c r="A40" s="1" t="s">
        <v>28</v>
      </c>
      <c r="B40" s="112">
        <v>0</v>
      </c>
      <c r="C40" s="112">
        <v>0</v>
      </c>
      <c r="D40" s="112">
        <v>0</v>
      </c>
      <c r="E40" s="112">
        <v>0</v>
      </c>
      <c r="F40" s="112">
        <v>0</v>
      </c>
      <c r="G40" s="112">
        <v>0</v>
      </c>
      <c r="I40" s="108">
        <f t="shared" si="1"/>
        <v>0</v>
      </c>
      <c r="J40" s="108">
        <f t="shared" si="1"/>
        <v>0</v>
      </c>
      <c r="K40" s="108">
        <f t="shared" si="1"/>
        <v>0</v>
      </c>
      <c r="L40" s="108">
        <f t="shared" si="1"/>
        <v>0</v>
      </c>
      <c r="M40" s="108">
        <f t="shared" si="1"/>
        <v>0</v>
      </c>
      <c r="N40" s="108">
        <f t="shared" si="1"/>
        <v>0</v>
      </c>
    </row>
    <row r="41" spans="1:14" x14ac:dyDescent="0.35">
      <c r="A41" s="1" t="s">
        <v>29</v>
      </c>
      <c r="B41" s="112">
        <v>0</v>
      </c>
      <c r="C41" s="112">
        <v>0</v>
      </c>
      <c r="D41" s="112">
        <v>0</v>
      </c>
      <c r="E41" s="112">
        <v>0</v>
      </c>
      <c r="F41" s="112">
        <v>0</v>
      </c>
      <c r="G41" s="112">
        <v>0</v>
      </c>
      <c r="I41" s="108">
        <f t="shared" si="1"/>
        <v>0</v>
      </c>
      <c r="J41" s="108">
        <f t="shared" si="1"/>
        <v>0</v>
      </c>
      <c r="K41" s="108">
        <f t="shared" si="1"/>
        <v>0</v>
      </c>
      <c r="L41" s="108">
        <f t="shared" si="1"/>
        <v>0</v>
      </c>
      <c r="M41" s="108">
        <f t="shared" si="1"/>
        <v>0</v>
      </c>
      <c r="N41" s="108">
        <f t="shared" si="1"/>
        <v>0</v>
      </c>
    </row>
    <row r="42" spans="1:14" x14ac:dyDescent="0.35">
      <c r="A42" s="1" t="s">
        <v>30</v>
      </c>
      <c r="B42" s="112">
        <v>0</v>
      </c>
      <c r="C42" s="112">
        <v>0</v>
      </c>
      <c r="D42" s="112">
        <v>0</v>
      </c>
      <c r="E42" s="112">
        <v>0</v>
      </c>
      <c r="F42" s="112">
        <v>0</v>
      </c>
      <c r="G42" s="112">
        <v>0</v>
      </c>
      <c r="I42" s="108">
        <f t="shared" si="1"/>
        <v>0</v>
      </c>
      <c r="J42" s="108">
        <f t="shared" si="1"/>
        <v>0</v>
      </c>
      <c r="K42" s="108">
        <f t="shared" si="1"/>
        <v>0</v>
      </c>
      <c r="L42" s="108">
        <f t="shared" si="1"/>
        <v>0</v>
      </c>
      <c r="M42" s="108">
        <f t="shared" si="1"/>
        <v>0</v>
      </c>
      <c r="N42" s="108">
        <f t="shared" si="1"/>
        <v>0</v>
      </c>
    </row>
    <row r="43" spans="1:14" x14ac:dyDescent="0.35">
      <c r="A43" s="1" t="s">
        <v>31</v>
      </c>
      <c r="B43" s="112">
        <v>0</v>
      </c>
      <c r="C43" s="112">
        <v>0</v>
      </c>
      <c r="D43" s="112">
        <v>0</v>
      </c>
      <c r="E43" s="112">
        <v>0</v>
      </c>
      <c r="F43" s="112">
        <v>0</v>
      </c>
      <c r="G43" s="112">
        <v>0</v>
      </c>
      <c r="I43" s="108">
        <f t="shared" si="1"/>
        <v>0</v>
      </c>
      <c r="J43" s="108">
        <f t="shared" si="1"/>
        <v>0</v>
      </c>
      <c r="K43" s="108">
        <f t="shared" si="1"/>
        <v>0</v>
      </c>
      <c r="L43" s="108">
        <f t="shared" si="1"/>
        <v>0</v>
      </c>
      <c r="M43" s="108">
        <f t="shared" si="1"/>
        <v>0</v>
      </c>
      <c r="N43" s="108">
        <f t="shared" si="1"/>
        <v>0</v>
      </c>
    </row>
    <row r="44" spans="1:14" x14ac:dyDescent="0.35">
      <c r="A44" s="1" t="s">
        <v>33</v>
      </c>
      <c r="B44" s="112">
        <v>0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I44" s="108">
        <f t="shared" si="1"/>
        <v>0</v>
      </c>
      <c r="J44" s="108">
        <f t="shared" si="1"/>
        <v>0</v>
      </c>
      <c r="K44" s="108">
        <f t="shared" si="1"/>
        <v>0</v>
      </c>
      <c r="L44" s="108">
        <f t="shared" si="1"/>
        <v>0</v>
      </c>
      <c r="M44" s="108">
        <f t="shared" si="1"/>
        <v>0</v>
      </c>
      <c r="N44" s="108">
        <f t="shared" si="1"/>
        <v>0</v>
      </c>
    </row>
    <row r="45" spans="1:14" x14ac:dyDescent="0.35">
      <c r="A45" s="1" t="s">
        <v>32</v>
      </c>
      <c r="B45" s="112">
        <v>0</v>
      </c>
      <c r="C45" s="112">
        <v>0</v>
      </c>
      <c r="D45" s="112">
        <v>0</v>
      </c>
      <c r="E45" s="112">
        <v>0</v>
      </c>
      <c r="F45" s="112">
        <v>0</v>
      </c>
      <c r="G45" s="112">
        <v>0</v>
      </c>
      <c r="I45" s="108">
        <f t="shared" si="1"/>
        <v>0</v>
      </c>
      <c r="J45" s="108">
        <f t="shared" si="1"/>
        <v>0</v>
      </c>
      <c r="K45" s="108">
        <f t="shared" si="1"/>
        <v>0</v>
      </c>
      <c r="L45" s="108">
        <f t="shared" si="1"/>
        <v>0</v>
      </c>
      <c r="M45" s="108">
        <f t="shared" si="1"/>
        <v>0</v>
      </c>
      <c r="N45" s="108">
        <f t="shared" si="1"/>
        <v>0</v>
      </c>
    </row>
    <row r="46" spans="1:14" x14ac:dyDescent="0.35">
      <c r="A46" s="1" t="s">
        <v>34</v>
      </c>
      <c r="B46" s="112">
        <v>0</v>
      </c>
      <c r="C46" s="112">
        <v>0</v>
      </c>
      <c r="D46" s="112">
        <v>0</v>
      </c>
      <c r="E46" s="112">
        <v>0</v>
      </c>
      <c r="F46" s="112">
        <v>0</v>
      </c>
      <c r="G46" s="112">
        <v>0</v>
      </c>
      <c r="I46" s="108">
        <f t="shared" si="1"/>
        <v>0</v>
      </c>
      <c r="J46" s="108">
        <f t="shared" si="1"/>
        <v>0</v>
      </c>
      <c r="K46" s="108">
        <f t="shared" si="1"/>
        <v>0</v>
      </c>
      <c r="L46" s="108">
        <f t="shared" si="1"/>
        <v>0</v>
      </c>
      <c r="M46" s="108">
        <f t="shared" si="1"/>
        <v>0</v>
      </c>
      <c r="N46" s="108">
        <f t="shared" si="1"/>
        <v>0</v>
      </c>
    </row>
    <row r="47" spans="1:14" x14ac:dyDescent="0.35">
      <c r="A47" s="1" t="s">
        <v>35</v>
      </c>
      <c r="B47" s="112">
        <v>0</v>
      </c>
      <c r="C47" s="112">
        <v>0</v>
      </c>
      <c r="D47" s="112">
        <v>0</v>
      </c>
      <c r="E47" s="112">
        <v>0</v>
      </c>
      <c r="F47" s="112">
        <v>0</v>
      </c>
      <c r="G47" s="112">
        <v>0</v>
      </c>
      <c r="I47" s="108">
        <f t="shared" si="1"/>
        <v>0</v>
      </c>
      <c r="J47" s="108">
        <f t="shared" si="1"/>
        <v>0</v>
      </c>
      <c r="K47" s="108">
        <f t="shared" si="1"/>
        <v>0</v>
      </c>
      <c r="L47" s="108">
        <f t="shared" si="1"/>
        <v>0</v>
      </c>
      <c r="M47" s="108">
        <f t="shared" si="1"/>
        <v>0</v>
      </c>
      <c r="N47" s="108">
        <f t="shared" si="1"/>
        <v>0</v>
      </c>
    </row>
    <row r="48" spans="1:14" x14ac:dyDescent="0.35">
      <c r="A48" s="1" t="s">
        <v>36</v>
      </c>
      <c r="B48" s="112">
        <v>0</v>
      </c>
      <c r="C48" s="112">
        <v>0</v>
      </c>
      <c r="D48" s="112">
        <v>0</v>
      </c>
      <c r="E48" s="112">
        <v>0</v>
      </c>
      <c r="F48" s="112">
        <v>0</v>
      </c>
      <c r="G48" s="112">
        <v>0</v>
      </c>
      <c r="I48" s="108">
        <f t="shared" si="1"/>
        <v>0</v>
      </c>
      <c r="J48" s="108">
        <f t="shared" si="1"/>
        <v>0</v>
      </c>
      <c r="K48" s="108">
        <f t="shared" si="1"/>
        <v>0</v>
      </c>
      <c r="L48" s="108">
        <f t="shared" si="1"/>
        <v>0</v>
      </c>
      <c r="M48" s="108">
        <f t="shared" si="1"/>
        <v>0</v>
      </c>
      <c r="N48" s="108">
        <f t="shared" si="1"/>
        <v>0</v>
      </c>
    </row>
    <row r="49" spans="1:20" x14ac:dyDescent="0.35">
      <c r="A49" s="1" t="s">
        <v>37</v>
      </c>
      <c r="B49" s="112">
        <v>0</v>
      </c>
      <c r="C49" s="112">
        <v>0</v>
      </c>
      <c r="D49" s="112">
        <v>0</v>
      </c>
      <c r="E49" s="112">
        <v>0</v>
      </c>
      <c r="F49" s="112">
        <v>0</v>
      </c>
      <c r="G49" s="112">
        <v>0</v>
      </c>
      <c r="I49" s="108">
        <f t="shared" si="1"/>
        <v>0</v>
      </c>
      <c r="J49" s="108">
        <f t="shared" si="1"/>
        <v>0</v>
      </c>
      <c r="K49" s="108">
        <f t="shared" si="1"/>
        <v>0</v>
      </c>
      <c r="L49" s="108">
        <f t="shared" si="1"/>
        <v>0</v>
      </c>
      <c r="M49" s="108">
        <f t="shared" si="1"/>
        <v>0</v>
      </c>
      <c r="N49" s="108">
        <f t="shared" si="1"/>
        <v>0</v>
      </c>
    </row>
    <row r="50" spans="1:20" x14ac:dyDescent="0.35">
      <c r="A50" s="1" t="s">
        <v>55</v>
      </c>
      <c r="B50" s="112">
        <v>0</v>
      </c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I50" s="108">
        <f t="shared" si="1"/>
        <v>0</v>
      </c>
      <c r="J50" s="108">
        <f t="shared" si="1"/>
        <v>0</v>
      </c>
      <c r="K50" s="108">
        <f t="shared" si="1"/>
        <v>0</v>
      </c>
      <c r="L50" s="108">
        <f t="shared" si="1"/>
        <v>0</v>
      </c>
      <c r="M50" s="108">
        <f t="shared" si="1"/>
        <v>0</v>
      </c>
      <c r="N50" s="108">
        <f t="shared" si="1"/>
        <v>0</v>
      </c>
    </row>
    <row r="51" spans="1:20" x14ac:dyDescent="0.35">
      <c r="A51" s="1" t="s">
        <v>38</v>
      </c>
      <c r="B51" s="112">
        <v>0</v>
      </c>
      <c r="C51" s="112">
        <v>0</v>
      </c>
      <c r="D51" s="112">
        <v>0</v>
      </c>
      <c r="E51" s="112">
        <v>0</v>
      </c>
      <c r="F51" s="112">
        <v>0</v>
      </c>
      <c r="G51" s="112">
        <v>0</v>
      </c>
      <c r="I51" s="108">
        <f t="shared" si="1"/>
        <v>0</v>
      </c>
      <c r="J51" s="108">
        <f t="shared" si="1"/>
        <v>0</v>
      </c>
      <c r="K51" s="108">
        <f t="shared" si="1"/>
        <v>0</v>
      </c>
      <c r="L51" s="108">
        <f t="shared" si="1"/>
        <v>0</v>
      </c>
      <c r="M51" s="108">
        <f t="shared" si="1"/>
        <v>0</v>
      </c>
      <c r="N51" s="108">
        <f t="shared" ref="N51:N62" si="2">G51*1.1</f>
        <v>0</v>
      </c>
    </row>
    <row r="52" spans="1:20" x14ac:dyDescent="0.35">
      <c r="A52" s="1" t="s">
        <v>39</v>
      </c>
      <c r="B52" s="112">
        <v>0</v>
      </c>
      <c r="C52" s="112">
        <v>0</v>
      </c>
      <c r="D52" s="112">
        <v>0</v>
      </c>
      <c r="E52" s="112">
        <v>0</v>
      </c>
      <c r="F52" s="112">
        <v>0</v>
      </c>
      <c r="G52" s="112">
        <v>0</v>
      </c>
      <c r="I52" s="108">
        <f t="shared" si="1"/>
        <v>0</v>
      </c>
      <c r="J52" s="108">
        <f t="shared" si="1"/>
        <v>0</v>
      </c>
      <c r="K52" s="108">
        <f t="shared" si="1"/>
        <v>0</v>
      </c>
      <c r="L52" s="108">
        <f t="shared" si="1"/>
        <v>0</v>
      </c>
      <c r="M52" s="108">
        <f t="shared" si="1"/>
        <v>0</v>
      </c>
      <c r="N52" s="108">
        <f t="shared" si="2"/>
        <v>0</v>
      </c>
    </row>
    <row r="53" spans="1:20" x14ac:dyDescent="0.35">
      <c r="A53" s="1" t="s">
        <v>40</v>
      </c>
      <c r="B53" s="112">
        <v>0</v>
      </c>
      <c r="C53" s="112">
        <v>0</v>
      </c>
      <c r="D53" s="112">
        <v>0</v>
      </c>
      <c r="E53" s="112">
        <v>0</v>
      </c>
      <c r="F53" s="112">
        <v>0</v>
      </c>
      <c r="G53" s="112">
        <v>0</v>
      </c>
      <c r="I53" s="108">
        <f t="shared" si="1"/>
        <v>0</v>
      </c>
      <c r="J53" s="108">
        <f t="shared" si="1"/>
        <v>0</v>
      </c>
      <c r="K53" s="108">
        <f t="shared" si="1"/>
        <v>0</v>
      </c>
      <c r="L53" s="108">
        <f t="shared" si="1"/>
        <v>0</v>
      </c>
      <c r="M53" s="108">
        <f t="shared" si="1"/>
        <v>0</v>
      </c>
      <c r="N53" s="108">
        <f t="shared" si="2"/>
        <v>0</v>
      </c>
    </row>
    <row r="54" spans="1:20" x14ac:dyDescent="0.35">
      <c r="A54" s="1" t="s">
        <v>41</v>
      </c>
      <c r="B54" s="112">
        <v>0</v>
      </c>
      <c r="C54" s="112">
        <v>0</v>
      </c>
      <c r="D54" s="112">
        <v>0</v>
      </c>
      <c r="E54" s="112">
        <v>0</v>
      </c>
      <c r="F54" s="112">
        <v>0</v>
      </c>
      <c r="G54" s="112">
        <v>0</v>
      </c>
      <c r="I54" s="108">
        <f t="shared" si="1"/>
        <v>0</v>
      </c>
      <c r="J54" s="108">
        <f t="shared" si="1"/>
        <v>0</v>
      </c>
      <c r="K54" s="108">
        <f t="shared" si="1"/>
        <v>0</v>
      </c>
      <c r="L54" s="108">
        <f t="shared" si="1"/>
        <v>0</v>
      </c>
      <c r="M54" s="108">
        <f t="shared" si="1"/>
        <v>0</v>
      </c>
      <c r="N54" s="108">
        <f t="shared" si="2"/>
        <v>0</v>
      </c>
    </row>
    <row r="55" spans="1:20" x14ac:dyDescent="0.35">
      <c r="A55" s="1" t="s">
        <v>42</v>
      </c>
      <c r="B55" s="112">
        <v>0</v>
      </c>
      <c r="C55" s="112">
        <v>0</v>
      </c>
      <c r="D55" s="112">
        <v>0</v>
      </c>
      <c r="E55" s="112">
        <v>0</v>
      </c>
      <c r="F55" s="112">
        <v>0</v>
      </c>
      <c r="G55" s="112">
        <v>0</v>
      </c>
      <c r="I55" s="108">
        <f t="shared" si="1"/>
        <v>0</v>
      </c>
      <c r="J55" s="108">
        <f t="shared" si="1"/>
        <v>0</v>
      </c>
      <c r="K55" s="108">
        <f t="shared" si="1"/>
        <v>0</v>
      </c>
      <c r="L55" s="108">
        <f t="shared" si="1"/>
        <v>0</v>
      </c>
      <c r="M55" s="108">
        <f t="shared" si="1"/>
        <v>0</v>
      </c>
      <c r="N55" s="108">
        <f t="shared" si="2"/>
        <v>0</v>
      </c>
    </row>
    <row r="56" spans="1:20" x14ac:dyDescent="0.35">
      <c r="A56" s="1" t="s">
        <v>43</v>
      </c>
      <c r="B56" s="112">
        <v>0</v>
      </c>
      <c r="C56" s="112">
        <v>0</v>
      </c>
      <c r="D56" s="112">
        <v>0</v>
      </c>
      <c r="E56" s="112">
        <v>0</v>
      </c>
      <c r="F56" s="112">
        <v>0</v>
      </c>
      <c r="G56" s="112">
        <v>0</v>
      </c>
      <c r="I56" s="108">
        <f t="shared" si="1"/>
        <v>0</v>
      </c>
      <c r="J56" s="108">
        <f t="shared" si="1"/>
        <v>0</v>
      </c>
      <c r="K56" s="108">
        <f t="shared" si="1"/>
        <v>0</v>
      </c>
      <c r="L56" s="108">
        <f t="shared" si="1"/>
        <v>0</v>
      </c>
      <c r="M56" s="108">
        <f t="shared" si="1"/>
        <v>0</v>
      </c>
      <c r="N56" s="108">
        <f t="shared" si="2"/>
        <v>0</v>
      </c>
    </row>
    <row r="57" spans="1:20" x14ac:dyDescent="0.35">
      <c r="A57" s="1" t="s">
        <v>44</v>
      </c>
      <c r="B57" s="112">
        <v>0</v>
      </c>
      <c r="C57" s="112">
        <v>0</v>
      </c>
      <c r="D57" s="112">
        <v>0</v>
      </c>
      <c r="E57" s="112">
        <v>0</v>
      </c>
      <c r="F57" s="112">
        <v>0</v>
      </c>
      <c r="G57" s="112">
        <v>0</v>
      </c>
      <c r="I57" s="108">
        <f t="shared" si="1"/>
        <v>0</v>
      </c>
      <c r="J57" s="108">
        <f t="shared" si="1"/>
        <v>0</v>
      </c>
      <c r="K57" s="108">
        <f t="shared" si="1"/>
        <v>0</v>
      </c>
      <c r="L57" s="108">
        <f t="shared" si="1"/>
        <v>0</v>
      </c>
      <c r="M57" s="108">
        <f t="shared" si="1"/>
        <v>0</v>
      </c>
      <c r="N57" s="108">
        <f t="shared" si="2"/>
        <v>0</v>
      </c>
    </row>
    <row r="58" spans="1:20" x14ac:dyDescent="0.35">
      <c r="A58" s="1" t="s">
        <v>45</v>
      </c>
      <c r="B58" s="112">
        <v>0</v>
      </c>
      <c r="C58" s="112">
        <v>0</v>
      </c>
      <c r="D58" s="112">
        <v>0</v>
      </c>
      <c r="E58" s="112">
        <v>0</v>
      </c>
      <c r="F58" s="112">
        <v>0</v>
      </c>
      <c r="G58" s="112">
        <v>0</v>
      </c>
      <c r="I58" s="108">
        <f t="shared" si="1"/>
        <v>0</v>
      </c>
      <c r="J58" s="108">
        <f t="shared" si="1"/>
        <v>0</v>
      </c>
      <c r="K58" s="108">
        <f t="shared" si="1"/>
        <v>0</v>
      </c>
      <c r="L58" s="108">
        <f t="shared" si="1"/>
        <v>0</v>
      </c>
      <c r="M58" s="108">
        <f t="shared" si="1"/>
        <v>0</v>
      </c>
      <c r="N58" s="108">
        <f t="shared" si="2"/>
        <v>0</v>
      </c>
    </row>
    <row r="59" spans="1:20" x14ac:dyDescent="0.35">
      <c r="A59" s="1" t="s">
        <v>46</v>
      </c>
      <c r="B59" s="112">
        <v>0</v>
      </c>
      <c r="C59" s="112">
        <v>0</v>
      </c>
      <c r="D59" s="112">
        <v>0</v>
      </c>
      <c r="E59" s="112">
        <v>0</v>
      </c>
      <c r="F59" s="112">
        <v>0</v>
      </c>
      <c r="G59" s="112">
        <v>0</v>
      </c>
      <c r="I59" s="108">
        <f t="shared" si="1"/>
        <v>0</v>
      </c>
      <c r="J59" s="108">
        <f t="shared" si="1"/>
        <v>0</v>
      </c>
      <c r="K59" s="108">
        <f t="shared" si="1"/>
        <v>0</v>
      </c>
      <c r="L59" s="108">
        <f t="shared" si="1"/>
        <v>0</v>
      </c>
      <c r="M59" s="108">
        <f t="shared" si="1"/>
        <v>0</v>
      </c>
      <c r="N59" s="108">
        <f t="shared" si="2"/>
        <v>0</v>
      </c>
    </row>
    <row r="60" spans="1:20" x14ac:dyDescent="0.35">
      <c r="A60" s="1" t="s">
        <v>47</v>
      </c>
      <c r="B60" s="112">
        <v>0</v>
      </c>
      <c r="C60" s="112">
        <v>0</v>
      </c>
      <c r="D60" s="112">
        <v>0</v>
      </c>
      <c r="E60" s="112">
        <v>0</v>
      </c>
      <c r="F60" s="112">
        <v>0</v>
      </c>
      <c r="G60" s="112">
        <v>0</v>
      </c>
      <c r="I60" s="108">
        <f t="shared" si="1"/>
        <v>0</v>
      </c>
      <c r="J60" s="108">
        <f t="shared" si="1"/>
        <v>0</v>
      </c>
      <c r="K60" s="108">
        <f t="shared" si="1"/>
        <v>0</v>
      </c>
      <c r="L60" s="108">
        <f t="shared" si="1"/>
        <v>0</v>
      </c>
      <c r="M60" s="108">
        <f t="shared" si="1"/>
        <v>0</v>
      </c>
      <c r="N60" s="108">
        <f t="shared" si="2"/>
        <v>0</v>
      </c>
    </row>
    <row r="61" spans="1:20" x14ac:dyDescent="0.35">
      <c r="A61" s="1" t="s">
        <v>48</v>
      </c>
      <c r="B61" s="112">
        <v>0</v>
      </c>
      <c r="C61" s="112">
        <v>0</v>
      </c>
      <c r="D61" s="112">
        <v>0</v>
      </c>
      <c r="E61" s="112">
        <v>0</v>
      </c>
      <c r="F61" s="112">
        <v>0</v>
      </c>
      <c r="G61" s="112">
        <v>0</v>
      </c>
      <c r="I61" s="108">
        <f t="shared" si="1"/>
        <v>0</v>
      </c>
      <c r="J61" s="108">
        <f t="shared" si="1"/>
        <v>0</v>
      </c>
      <c r="K61" s="108">
        <f t="shared" si="1"/>
        <v>0</v>
      </c>
      <c r="L61" s="108">
        <f t="shared" si="1"/>
        <v>0</v>
      </c>
      <c r="M61" s="108">
        <f t="shared" si="1"/>
        <v>0</v>
      </c>
      <c r="N61" s="108">
        <f t="shared" si="2"/>
        <v>0</v>
      </c>
    </row>
    <row r="62" spans="1:20" x14ac:dyDescent="0.35">
      <c r="A62" s="1" t="s">
        <v>49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I62" s="108">
        <f t="shared" si="1"/>
        <v>0</v>
      </c>
      <c r="J62" s="108">
        <f t="shared" si="1"/>
        <v>0</v>
      </c>
      <c r="K62" s="108">
        <f t="shared" si="1"/>
        <v>0</v>
      </c>
      <c r="L62" s="108">
        <f t="shared" si="1"/>
        <v>0</v>
      </c>
      <c r="M62" s="108">
        <f t="shared" si="1"/>
        <v>0</v>
      </c>
      <c r="N62" s="108">
        <f t="shared" si="2"/>
        <v>0</v>
      </c>
    </row>
    <row r="63" spans="1:20" x14ac:dyDescent="0.35">
      <c r="A63" s="37" t="s">
        <v>104</v>
      </c>
      <c r="B63" s="36">
        <f>AVERAGE(B5:G62)</f>
        <v>0</v>
      </c>
      <c r="S63" s="11"/>
      <c r="T63" s="11"/>
    </row>
    <row r="64" spans="1:20" x14ac:dyDescent="0.35">
      <c r="S64" s="11"/>
      <c r="T64" s="11"/>
    </row>
    <row r="65" spans="1:20" ht="15.5" x14ac:dyDescent="0.35">
      <c r="A65" s="120" t="s">
        <v>138</v>
      </c>
      <c r="B65" s="120"/>
      <c r="C65" s="120"/>
      <c r="D65" s="120"/>
      <c r="E65" s="120"/>
      <c r="F65" s="120"/>
      <c r="G65" s="120"/>
      <c r="S65" s="11"/>
      <c r="T65" s="11"/>
    </row>
    <row r="66" spans="1:20" ht="47.25" customHeight="1" x14ac:dyDescent="0.35">
      <c r="A66" s="110"/>
      <c r="B66" s="118" t="s">
        <v>187</v>
      </c>
      <c r="C66" s="118"/>
      <c r="D66" s="118"/>
      <c r="E66" s="118"/>
      <c r="F66" s="118"/>
      <c r="G66" s="118"/>
      <c r="I66" s="118" t="s">
        <v>188</v>
      </c>
      <c r="J66" s="118"/>
      <c r="K66" s="118"/>
      <c r="L66" s="118"/>
      <c r="M66" s="118"/>
      <c r="N66" s="118"/>
      <c r="S66" s="8"/>
      <c r="T66" s="8"/>
    </row>
    <row r="67" spans="1:20" ht="43" x14ac:dyDescent="0.35">
      <c r="A67" s="81" t="s">
        <v>51</v>
      </c>
      <c r="B67" s="17" t="s">
        <v>99</v>
      </c>
      <c r="C67" s="17" t="s">
        <v>100</v>
      </c>
      <c r="D67" s="17" t="s">
        <v>101</v>
      </c>
      <c r="E67" s="17" t="s">
        <v>102</v>
      </c>
      <c r="F67" s="17" t="s">
        <v>103</v>
      </c>
      <c r="G67" s="17" t="s">
        <v>149</v>
      </c>
      <c r="I67" s="17" t="s">
        <v>99</v>
      </c>
      <c r="J67" s="17" t="s">
        <v>100</v>
      </c>
      <c r="K67" s="17" t="s">
        <v>101</v>
      </c>
      <c r="L67" s="17" t="s">
        <v>102</v>
      </c>
      <c r="M67" s="17" t="s">
        <v>103</v>
      </c>
      <c r="N67" s="17" t="s">
        <v>149</v>
      </c>
      <c r="S67" s="8"/>
      <c r="T67" s="8"/>
    </row>
    <row r="68" spans="1:20" x14ac:dyDescent="0.35">
      <c r="A68" s="117" t="s">
        <v>286</v>
      </c>
      <c r="B68" s="112"/>
      <c r="C68" s="112">
        <v>0</v>
      </c>
      <c r="D68" s="112">
        <v>0</v>
      </c>
      <c r="E68" s="112">
        <v>0</v>
      </c>
      <c r="F68" s="112">
        <v>0</v>
      </c>
      <c r="G68" s="112">
        <v>0</v>
      </c>
      <c r="I68" s="108">
        <f>B68*1.1</f>
        <v>0</v>
      </c>
      <c r="J68" s="108">
        <f t="shared" ref="J68:N83" si="3">C68*1.1</f>
        <v>0</v>
      </c>
      <c r="K68" s="108">
        <f t="shared" si="3"/>
        <v>0</v>
      </c>
      <c r="L68" s="108">
        <f t="shared" si="3"/>
        <v>0</v>
      </c>
      <c r="M68" s="108">
        <f t="shared" si="3"/>
        <v>0</v>
      </c>
      <c r="N68" s="108">
        <f t="shared" si="3"/>
        <v>0</v>
      </c>
      <c r="S68" s="12"/>
      <c r="T68" s="12"/>
    </row>
    <row r="69" spans="1:20" x14ac:dyDescent="0.35">
      <c r="A69" s="117" t="s">
        <v>287</v>
      </c>
      <c r="B69" s="112">
        <v>0</v>
      </c>
      <c r="C69" s="112">
        <v>0</v>
      </c>
      <c r="D69" s="112">
        <v>0</v>
      </c>
      <c r="E69" s="112">
        <v>0</v>
      </c>
      <c r="F69" s="112">
        <v>0</v>
      </c>
      <c r="G69" s="112">
        <v>0</v>
      </c>
      <c r="I69" s="108">
        <f t="shared" ref="I69:N123" si="4">B69*1.1</f>
        <v>0</v>
      </c>
      <c r="J69" s="108">
        <f t="shared" si="3"/>
        <v>0</v>
      </c>
      <c r="K69" s="108">
        <f t="shared" si="3"/>
        <v>0</v>
      </c>
      <c r="L69" s="108">
        <f t="shared" si="3"/>
        <v>0</v>
      </c>
      <c r="M69" s="108">
        <f t="shared" si="3"/>
        <v>0</v>
      </c>
      <c r="N69" s="108">
        <f t="shared" si="3"/>
        <v>0</v>
      </c>
      <c r="S69" s="8"/>
      <c r="T69" s="8"/>
    </row>
    <row r="70" spans="1:20" x14ac:dyDescent="0.35">
      <c r="A70" s="117" t="s">
        <v>285</v>
      </c>
      <c r="B70" s="112">
        <v>0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I70" s="108">
        <f t="shared" si="4"/>
        <v>0</v>
      </c>
      <c r="J70" s="108">
        <f t="shared" si="3"/>
        <v>0</v>
      </c>
      <c r="K70" s="108">
        <f t="shared" si="3"/>
        <v>0</v>
      </c>
      <c r="L70" s="108">
        <f t="shared" si="3"/>
        <v>0</v>
      </c>
      <c r="M70" s="108">
        <f t="shared" si="3"/>
        <v>0</v>
      </c>
      <c r="N70" s="108">
        <f t="shared" si="3"/>
        <v>0</v>
      </c>
      <c r="S70" s="8"/>
      <c r="T70" s="8"/>
    </row>
    <row r="71" spans="1:20" x14ac:dyDescent="0.35">
      <c r="A71" s="1" t="s">
        <v>53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I71" s="108">
        <f t="shared" si="4"/>
        <v>0</v>
      </c>
      <c r="J71" s="108">
        <f t="shared" si="3"/>
        <v>0</v>
      </c>
      <c r="K71" s="108">
        <f t="shared" si="3"/>
        <v>0</v>
      </c>
      <c r="L71" s="108">
        <f t="shared" si="3"/>
        <v>0</v>
      </c>
      <c r="M71" s="108">
        <f t="shared" si="3"/>
        <v>0</v>
      </c>
      <c r="N71" s="108">
        <f t="shared" si="3"/>
        <v>0</v>
      </c>
      <c r="S71" s="8"/>
      <c r="T71" s="8"/>
    </row>
    <row r="72" spans="1:20" x14ac:dyDescent="0.35">
      <c r="A72" s="1" t="s">
        <v>52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I72" s="108">
        <f t="shared" si="4"/>
        <v>0</v>
      </c>
      <c r="J72" s="108">
        <f t="shared" si="3"/>
        <v>0</v>
      </c>
      <c r="K72" s="108">
        <f t="shared" si="3"/>
        <v>0</v>
      </c>
      <c r="L72" s="108">
        <f t="shared" si="3"/>
        <v>0</v>
      </c>
      <c r="M72" s="108">
        <f t="shared" si="3"/>
        <v>0</v>
      </c>
      <c r="N72" s="108">
        <f t="shared" si="3"/>
        <v>0</v>
      </c>
      <c r="S72" s="8"/>
      <c r="T72" s="8"/>
    </row>
    <row r="73" spans="1:20" x14ac:dyDescent="0.35">
      <c r="A73" s="1" t="s">
        <v>54</v>
      </c>
      <c r="B73" s="112">
        <v>0</v>
      </c>
      <c r="C73" s="112">
        <v>0</v>
      </c>
      <c r="D73" s="112">
        <v>0</v>
      </c>
      <c r="E73" s="112">
        <v>0</v>
      </c>
      <c r="F73" s="112">
        <v>0</v>
      </c>
      <c r="G73" s="112">
        <v>0</v>
      </c>
      <c r="I73" s="108">
        <f t="shared" si="4"/>
        <v>0</v>
      </c>
      <c r="J73" s="108">
        <f t="shared" si="3"/>
        <v>0</v>
      </c>
      <c r="K73" s="108">
        <f t="shared" si="3"/>
        <v>0</v>
      </c>
      <c r="L73" s="108">
        <f t="shared" si="3"/>
        <v>0</v>
      </c>
      <c r="M73" s="108">
        <f t="shared" si="3"/>
        <v>0</v>
      </c>
      <c r="N73" s="108">
        <f t="shared" si="3"/>
        <v>0</v>
      </c>
      <c r="S73" s="8"/>
      <c r="T73" s="8"/>
    </row>
    <row r="74" spans="1:20" x14ac:dyDescent="0.35">
      <c r="A74" s="1" t="s">
        <v>0</v>
      </c>
      <c r="B74" s="112">
        <v>0</v>
      </c>
      <c r="C74" s="112">
        <v>0</v>
      </c>
      <c r="D74" s="112">
        <v>0</v>
      </c>
      <c r="E74" s="112">
        <v>0</v>
      </c>
      <c r="F74" s="112">
        <v>0</v>
      </c>
      <c r="G74" s="112">
        <v>0</v>
      </c>
      <c r="I74" s="108">
        <f t="shared" si="4"/>
        <v>0</v>
      </c>
      <c r="J74" s="108">
        <f t="shared" si="3"/>
        <v>0</v>
      </c>
      <c r="K74" s="108">
        <f t="shared" si="3"/>
        <v>0</v>
      </c>
      <c r="L74" s="108">
        <f t="shared" si="3"/>
        <v>0</v>
      </c>
      <c r="M74" s="108">
        <f t="shared" si="3"/>
        <v>0</v>
      </c>
      <c r="N74" s="108">
        <f t="shared" si="3"/>
        <v>0</v>
      </c>
      <c r="S74" s="8"/>
      <c r="T74" s="8"/>
    </row>
    <row r="75" spans="1:20" x14ac:dyDescent="0.35">
      <c r="A75" s="1" t="s">
        <v>1</v>
      </c>
      <c r="B75" s="112">
        <v>0</v>
      </c>
      <c r="C75" s="112">
        <v>0</v>
      </c>
      <c r="D75" s="112">
        <v>0</v>
      </c>
      <c r="E75" s="112">
        <v>0</v>
      </c>
      <c r="F75" s="112">
        <v>0</v>
      </c>
      <c r="G75" s="112">
        <v>0</v>
      </c>
      <c r="I75" s="108">
        <f t="shared" si="4"/>
        <v>0</v>
      </c>
      <c r="J75" s="108">
        <f t="shared" si="3"/>
        <v>0</v>
      </c>
      <c r="K75" s="108">
        <f t="shared" si="3"/>
        <v>0</v>
      </c>
      <c r="L75" s="108">
        <f t="shared" si="3"/>
        <v>0</v>
      </c>
      <c r="M75" s="108">
        <f t="shared" si="3"/>
        <v>0</v>
      </c>
      <c r="N75" s="108">
        <f t="shared" si="3"/>
        <v>0</v>
      </c>
      <c r="S75" s="8"/>
      <c r="T75" s="8"/>
    </row>
    <row r="76" spans="1:20" x14ac:dyDescent="0.35">
      <c r="A76" s="1" t="s">
        <v>2</v>
      </c>
      <c r="B76" s="112">
        <v>0</v>
      </c>
      <c r="C76" s="112">
        <v>0</v>
      </c>
      <c r="D76" s="112">
        <v>0</v>
      </c>
      <c r="E76" s="112">
        <v>0</v>
      </c>
      <c r="F76" s="112">
        <v>0</v>
      </c>
      <c r="G76" s="112">
        <v>0</v>
      </c>
      <c r="I76" s="108">
        <f t="shared" si="4"/>
        <v>0</v>
      </c>
      <c r="J76" s="108">
        <f t="shared" si="3"/>
        <v>0</v>
      </c>
      <c r="K76" s="108">
        <f t="shared" si="3"/>
        <v>0</v>
      </c>
      <c r="L76" s="108">
        <f t="shared" si="3"/>
        <v>0</v>
      </c>
      <c r="M76" s="108">
        <f t="shared" si="3"/>
        <v>0</v>
      </c>
      <c r="N76" s="108">
        <f t="shared" si="3"/>
        <v>0</v>
      </c>
      <c r="S76" s="8"/>
      <c r="T76" s="8"/>
    </row>
    <row r="77" spans="1:20" x14ac:dyDescent="0.35">
      <c r="A77" s="1" t="s">
        <v>3</v>
      </c>
      <c r="B77" s="112">
        <v>0</v>
      </c>
      <c r="C77" s="112">
        <v>0</v>
      </c>
      <c r="D77" s="112">
        <v>0</v>
      </c>
      <c r="E77" s="112">
        <v>0</v>
      </c>
      <c r="F77" s="112">
        <v>0</v>
      </c>
      <c r="G77" s="112">
        <v>0</v>
      </c>
      <c r="I77" s="108">
        <f t="shared" si="4"/>
        <v>0</v>
      </c>
      <c r="J77" s="108">
        <f t="shared" si="3"/>
        <v>0</v>
      </c>
      <c r="K77" s="108">
        <f t="shared" si="3"/>
        <v>0</v>
      </c>
      <c r="L77" s="108">
        <f t="shared" si="3"/>
        <v>0</v>
      </c>
      <c r="M77" s="108">
        <f t="shared" si="3"/>
        <v>0</v>
      </c>
      <c r="N77" s="108">
        <f t="shared" si="3"/>
        <v>0</v>
      </c>
      <c r="S77" s="8"/>
      <c r="T77" s="8"/>
    </row>
    <row r="78" spans="1:20" x14ac:dyDescent="0.35">
      <c r="A78" s="1" t="s">
        <v>4</v>
      </c>
      <c r="B78" s="112">
        <v>0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I78" s="108">
        <f t="shared" si="4"/>
        <v>0</v>
      </c>
      <c r="J78" s="108">
        <f t="shared" si="3"/>
        <v>0</v>
      </c>
      <c r="K78" s="108">
        <f t="shared" si="3"/>
        <v>0</v>
      </c>
      <c r="L78" s="108">
        <f t="shared" si="3"/>
        <v>0</v>
      </c>
      <c r="M78" s="108">
        <f t="shared" si="3"/>
        <v>0</v>
      </c>
      <c r="N78" s="108">
        <f t="shared" si="3"/>
        <v>0</v>
      </c>
      <c r="S78" s="8"/>
      <c r="T78" s="8"/>
    </row>
    <row r="79" spans="1:20" x14ac:dyDescent="0.35">
      <c r="A79" s="1" t="s">
        <v>5</v>
      </c>
      <c r="B79" s="112">
        <v>0</v>
      </c>
      <c r="C79" s="112">
        <v>0</v>
      </c>
      <c r="D79" s="112">
        <v>0</v>
      </c>
      <c r="E79" s="112">
        <v>0</v>
      </c>
      <c r="F79" s="112">
        <v>0</v>
      </c>
      <c r="G79" s="112">
        <v>0</v>
      </c>
      <c r="I79" s="108">
        <f t="shared" si="4"/>
        <v>0</v>
      </c>
      <c r="J79" s="108">
        <f t="shared" si="3"/>
        <v>0</v>
      </c>
      <c r="K79" s="108">
        <f t="shared" si="3"/>
        <v>0</v>
      </c>
      <c r="L79" s="108">
        <f t="shared" si="3"/>
        <v>0</v>
      </c>
      <c r="M79" s="108">
        <f t="shared" si="3"/>
        <v>0</v>
      </c>
      <c r="N79" s="108">
        <f t="shared" si="3"/>
        <v>0</v>
      </c>
      <c r="S79" s="8"/>
      <c r="T79" s="8"/>
    </row>
    <row r="80" spans="1:20" x14ac:dyDescent="0.35">
      <c r="A80" s="1" t="s">
        <v>6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I80" s="108">
        <f t="shared" si="4"/>
        <v>0</v>
      </c>
      <c r="J80" s="108">
        <f t="shared" si="3"/>
        <v>0</v>
      </c>
      <c r="K80" s="108">
        <f t="shared" si="3"/>
        <v>0</v>
      </c>
      <c r="L80" s="108">
        <f t="shared" si="3"/>
        <v>0</v>
      </c>
      <c r="M80" s="108">
        <f t="shared" si="3"/>
        <v>0</v>
      </c>
      <c r="N80" s="108">
        <f t="shared" si="3"/>
        <v>0</v>
      </c>
      <c r="S80" s="8"/>
      <c r="T80" s="8"/>
    </row>
    <row r="81" spans="1:20" x14ac:dyDescent="0.35">
      <c r="A81" s="1" t="s">
        <v>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I81" s="108">
        <f t="shared" si="4"/>
        <v>0</v>
      </c>
      <c r="J81" s="108">
        <f t="shared" si="3"/>
        <v>0</v>
      </c>
      <c r="K81" s="108">
        <f t="shared" si="3"/>
        <v>0</v>
      </c>
      <c r="L81" s="108">
        <f t="shared" si="3"/>
        <v>0</v>
      </c>
      <c r="M81" s="108">
        <f t="shared" si="3"/>
        <v>0</v>
      </c>
      <c r="N81" s="108">
        <f t="shared" si="3"/>
        <v>0</v>
      </c>
      <c r="S81" s="8"/>
      <c r="T81" s="8"/>
    </row>
    <row r="82" spans="1:20" x14ac:dyDescent="0.35">
      <c r="A82" s="1" t="s">
        <v>8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I82" s="108">
        <f t="shared" si="4"/>
        <v>0</v>
      </c>
      <c r="J82" s="108">
        <f t="shared" si="3"/>
        <v>0</v>
      </c>
      <c r="K82" s="108">
        <f t="shared" si="3"/>
        <v>0</v>
      </c>
      <c r="L82" s="108">
        <f t="shared" si="3"/>
        <v>0</v>
      </c>
      <c r="M82" s="108">
        <f t="shared" si="3"/>
        <v>0</v>
      </c>
      <c r="N82" s="108">
        <f t="shared" si="3"/>
        <v>0</v>
      </c>
      <c r="S82" s="13"/>
      <c r="T82" s="13"/>
    </row>
    <row r="83" spans="1:20" x14ac:dyDescent="0.35">
      <c r="A83" s="1" t="s">
        <v>9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I83" s="108">
        <f t="shared" si="4"/>
        <v>0</v>
      </c>
      <c r="J83" s="108">
        <f t="shared" si="3"/>
        <v>0</v>
      </c>
      <c r="K83" s="108">
        <f t="shared" si="3"/>
        <v>0</v>
      </c>
      <c r="L83" s="108">
        <f t="shared" si="3"/>
        <v>0</v>
      </c>
      <c r="M83" s="108">
        <f t="shared" si="3"/>
        <v>0</v>
      </c>
      <c r="N83" s="108">
        <f t="shared" si="3"/>
        <v>0</v>
      </c>
      <c r="S83" s="13"/>
      <c r="T83" s="13"/>
    </row>
    <row r="84" spans="1:20" x14ac:dyDescent="0.35">
      <c r="A84" s="1" t="s">
        <v>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I84" s="108">
        <f t="shared" si="4"/>
        <v>0</v>
      </c>
      <c r="J84" s="108">
        <f t="shared" si="4"/>
        <v>0</v>
      </c>
      <c r="K84" s="108">
        <f t="shared" si="4"/>
        <v>0</v>
      </c>
      <c r="L84" s="108">
        <f t="shared" si="4"/>
        <v>0</v>
      </c>
      <c r="M84" s="108">
        <f t="shared" si="4"/>
        <v>0</v>
      </c>
      <c r="N84" s="108">
        <f t="shared" si="4"/>
        <v>0</v>
      </c>
      <c r="S84" s="14"/>
      <c r="T84" s="14"/>
    </row>
    <row r="85" spans="1:20" x14ac:dyDescent="0.35">
      <c r="A85" s="1" t="s">
        <v>11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I85" s="108">
        <f t="shared" si="4"/>
        <v>0</v>
      </c>
      <c r="J85" s="108">
        <f t="shared" si="4"/>
        <v>0</v>
      </c>
      <c r="K85" s="108">
        <f t="shared" si="4"/>
        <v>0</v>
      </c>
      <c r="L85" s="108">
        <f t="shared" si="4"/>
        <v>0</v>
      </c>
      <c r="M85" s="108">
        <f t="shared" si="4"/>
        <v>0</v>
      </c>
      <c r="N85" s="108">
        <f t="shared" si="4"/>
        <v>0</v>
      </c>
      <c r="S85" s="14"/>
      <c r="T85" s="14"/>
    </row>
    <row r="86" spans="1:20" s="28" customFormat="1" x14ac:dyDescent="0.35">
      <c r="A86" s="1" t="s">
        <v>12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I86" s="108">
        <f t="shared" si="4"/>
        <v>0</v>
      </c>
      <c r="J86" s="108">
        <f t="shared" si="4"/>
        <v>0</v>
      </c>
      <c r="K86" s="108">
        <f t="shared" si="4"/>
        <v>0</v>
      </c>
      <c r="L86" s="108">
        <f t="shared" si="4"/>
        <v>0</v>
      </c>
      <c r="M86" s="108">
        <f t="shared" si="4"/>
        <v>0</v>
      </c>
      <c r="N86" s="108">
        <f t="shared" si="4"/>
        <v>0</v>
      </c>
      <c r="S86" s="27"/>
      <c r="T86" s="27"/>
    </row>
    <row r="87" spans="1:20" x14ac:dyDescent="0.35">
      <c r="A87" s="1" t="s">
        <v>13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I87" s="108">
        <f t="shared" si="4"/>
        <v>0</v>
      </c>
      <c r="J87" s="108">
        <f t="shared" si="4"/>
        <v>0</v>
      </c>
      <c r="K87" s="108">
        <f t="shared" si="4"/>
        <v>0</v>
      </c>
      <c r="L87" s="108">
        <f t="shared" si="4"/>
        <v>0</v>
      </c>
      <c r="M87" s="108">
        <f t="shared" si="4"/>
        <v>0</v>
      </c>
      <c r="N87" s="108">
        <f t="shared" si="4"/>
        <v>0</v>
      </c>
      <c r="S87" s="14"/>
      <c r="T87" s="14"/>
    </row>
    <row r="88" spans="1:20" x14ac:dyDescent="0.35">
      <c r="A88" s="1" t="s">
        <v>14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I88" s="108">
        <f t="shared" si="4"/>
        <v>0</v>
      </c>
      <c r="J88" s="108">
        <f t="shared" si="4"/>
        <v>0</v>
      </c>
      <c r="K88" s="108">
        <f t="shared" si="4"/>
        <v>0</v>
      </c>
      <c r="L88" s="108">
        <f t="shared" si="4"/>
        <v>0</v>
      </c>
      <c r="M88" s="108">
        <f t="shared" si="4"/>
        <v>0</v>
      </c>
      <c r="N88" s="108">
        <f t="shared" si="4"/>
        <v>0</v>
      </c>
      <c r="S88" s="14"/>
      <c r="T88" s="14"/>
    </row>
    <row r="89" spans="1:20" x14ac:dyDescent="0.35">
      <c r="A89" s="1" t="s">
        <v>15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I89" s="108">
        <f t="shared" si="4"/>
        <v>0</v>
      </c>
      <c r="J89" s="108">
        <f t="shared" si="4"/>
        <v>0</v>
      </c>
      <c r="K89" s="108">
        <f t="shared" si="4"/>
        <v>0</v>
      </c>
      <c r="L89" s="108">
        <f t="shared" si="4"/>
        <v>0</v>
      </c>
      <c r="M89" s="108">
        <f t="shared" si="4"/>
        <v>0</v>
      </c>
      <c r="N89" s="108">
        <f t="shared" si="4"/>
        <v>0</v>
      </c>
      <c r="S89" s="14"/>
      <c r="T89" s="14"/>
    </row>
    <row r="90" spans="1:20" x14ac:dyDescent="0.35">
      <c r="A90" s="1" t="s">
        <v>16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I90" s="108">
        <f t="shared" si="4"/>
        <v>0</v>
      </c>
      <c r="J90" s="108">
        <f t="shared" si="4"/>
        <v>0</v>
      </c>
      <c r="K90" s="108">
        <f t="shared" si="4"/>
        <v>0</v>
      </c>
      <c r="L90" s="108">
        <f t="shared" si="4"/>
        <v>0</v>
      </c>
      <c r="M90" s="108">
        <f t="shared" si="4"/>
        <v>0</v>
      </c>
      <c r="N90" s="108">
        <f t="shared" si="4"/>
        <v>0</v>
      </c>
      <c r="S90" s="14"/>
      <c r="T90" s="14"/>
    </row>
    <row r="91" spans="1:20" x14ac:dyDescent="0.35">
      <c r="A91" s="1" t="s">
        <v>17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I91" s="108">
        <f t="shared" si="4"/>
        <v>0</v>
      </c>
      <c r="J91" s="108">
        <f t="shared" si="4"/>
        <v>0</v>
      </c>
      <c r="K91" s="108">
        <f t="shared" si="4"/>
        <v>0</v>
      </c>
      <c r="L91" s="108">
        <f t="shared" si="4"/>
        <v>0</v>
      </c>
      <c r="M91" s="108">
        <f t="shared" si="4"/>
        <v>0</v>
      </c>
      <c r="N91" s="108">
        <f t="shared" si="4"/>
        <v>0</v>
      </c>
    </row>
    <row r="92" spans="1:20" x14ac:dyDescent="0.35">
      <c r="A92" s="1" t="s">
        <v>18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I92" s="108">
        <f t="shared" si="4"/>
        <v>0</v>
      </c>
      <c r="J92" s="108">
        <f t="shared" si="4"/>
        <v>0</v>
      </c>
      <c r="K92" s="108">
        <f t="shared" si="4"/>
        <v>0</v>
      </c>
      <c r="L92" s="108">
        <f t="shared" si="4"/>
        <v>0</v>
      </c>
      <c r="M92" s="108">
        <f t="shared" si="4"/>
        <v>0</v>
      </c>
      <c r="N92" s="108">
        <f t="shared" si="4"/>
        <v>0</v>
      </c>
    </row>
    <row r="93" spans="1:20" x14ac:dyDescent="0.35">
      <c r="A93" s="1" t="s">
        <v>19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I93" s="108">
        <f t="shared" si="4"/>
        <v>0</v>
      </c>
      <c r="J93" s="108">
        <f t="shared" si="4"/>
        <v>0</v>
      </c>
      <c r="K93" s="108">
        <f t="shared" si="4"/>
        <v>0</v>
      </c>
      <c r="L93" s="108">
        <f t="shared" si="4"/>
        <v>0</v>
      </c>
      <c r="M93" s="108">
        <f t="shared" si="4"/>
        <v>0</v>
      </c>
      <c r="N93" s="108">
        <f t="shared" si="4"/>
        <v>0</v>
      </c>
    </row>
    <row r="94" spans="1:20" x14ac:dyDescent="0.35">
      <c r="A94" s="1" t="s">
        <v>20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I94" s="108">
        <f t="shared" si="4"/>
        <v>0</v>
      </c>
      <c r="J94" s="108">
        <f t="shared" si="4"/>
        <v>0</v>
      </c>
      <c r="K94" s="108">
        <f t="shared" si="4"/>
        <v>0</v>
      </c>
      <c r="L94" s="108">
        <f t="shared" si="4"/>
        <v>0</v>
      </c>
      <c r="M94" s="108">
        <f t="shared" si="4"/>
        <v>0</v>
      </c>
      <c r="N94" s="108">
        <f t="shared" si="4"/>
        <v>0</v>
      </c>
    </row>
    <row r="95" spans="1:20" x14ac:dyDescent="0.35">
      <c r="A95" s="1" t="s">
        <v>21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I95" s="108">
        <f t="shared" si="4"/>
        <v>0</v>
      </c>
      <c r="J95" s="108">
        <f t="shared" si="4"/>
        <v>0</v>
      </c>
      <c r="K95" s="108">
        <f t="shared" si="4"/>
        <v>0</v>
      </c>
      <c r="L95" s="108">
        <f t="shared" si="4"/>
        <v>0</v>
      </c>
      <c r="M95" s="108">
        <f t="shared" si="4"/>
        <v>0</v>
      </c>
      <c r="N95" s="108">
        <f t="shared" si="4"/>
        <v>0</v>
      </c>
    </row>
    <row r="96" spans="1:20" x14ac:dyDescent="0.35">
      <c r="A96" s="1" t="s">
        <v>22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I96" s="108">
        <f t="shared" si="4"/>
        <v>0</v>
      </c>
      <c r="J96" s="108">
        <f t="shared" si="4"/>
        <v>0</v>
      </c>
      <c r="K96" s="108">
        <f t="shared" si="4"/>
        <v>0</v>
      </c>
      <c r="L96" s="108">
        <f t="shared" si="4"/>
        <v>0</v>
      </c>
      <c r="M96" s="108">
        <f t="shared" si="4"/>
        <v>0</v>
      </c>
      <c r="N96" s="108">
        <f t="shared" si="4"/>
        <v>0</v>
      </c>
    </row>
    <row r="97" spans="1:14" x14ac:dyDescent="0.35">
      <c r="A97" s="1" t="s">
        <v>23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I97" s="108">
        <f t="shared" si="4"/>
        <v>0</v>
      </c>
      <c r="J97" s="108">
        <f t="shared" si="4"/>
        <v>0</v>
      </c>
      <c r="K97" s="108">
        <f t="shared" si="4"/>
        <v>0</v>
      </c>
      <c r="L97" s="108">
        <f t="shared" si="4"/>
        <v>0</v>
      </c>
      <c r="M97" s="108">
        <f t="shared" si="4"/>
        <v>0</v>
      </c>
      <c r="N97" s="108">
        <f t="shared" si="4"/>
        <v>0</v>
      </c>
    </row>
    <row r="98" spans="1:14" x14ac:dyDescent="0.35">
      <c r="A98" s="1" t="s">
        <v>50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I98" s="108">
        <f t="shared" si="4"/>
        <v>0</v>
      </c>
      <c r="J98" s="108">
        <f t="shared" si="4"/>
        <v>0</v>
      </c>
      <c r="K98" s="108">
        <f t="shared" si="4"/>
        <v>0</v>
      </c>
      <c r="L98" s="108">
        <f t="shared" si="4"/>
        <v>0</v>
      </c>
      <c r="M98" s="108">
        <f t="shared" si="4"/>
        <v>0</v>
      </c>
      <c r="N98" s="108">
        <f t="shared" si="4"/>
        <v>0</v>
      </c>
    </row>
    <row r="99" spans="1:14" x14ac:dyDescent="0.35">
      <c r="A99" s="1" t="s">
        <v>24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I99" s="108">
        <f t="shared" si="4"/>
        <v>0</v>
      </c>
      <c r="J99" s="108">
        <f t="shared" si="4"/>
        <v>0</v>
      </c>
      <c r="K99" s="108">
        <f t="shared" si="4"/>
        <v>0</v>
      </c>
      <c r="L99" s="108">
        <f t="shared" si="4"/>
        <v>0</v>
      </c>
      <c r="M99" s="108">
        <f t="shared" si="4"/>
        <v>0</v>
      </c>
      <c r="N99" s="108">
        <f t="shared" si="4"/>
        <v>0</v>
      </c>
    </row>
    <row r="100" spans="1:14" x14ac:dyDescent="0.35">
      <c r="A100" s="1" t="s">
        <v>25</v>
      </c>
      <c r="B100" s="112">
        <v>0</v>
      </c>
      <c r="C100" s="112">
        <v>0</v>
      </c>
      <c r="D100" s="112">
        <v>0</v>
      </c>
      <c r="E100" s="112">
        <v>0</v>
      </c>
      <c r="F100" s="112">
        <v>0</v>
      </c>
      <c r="G100" s="112">
        <v>0</v>
      </c>
      <c r="I100" s="108">
        <f t="shared" si="4"/>
        <v>0</v>
      </c>
      <c r="J100" s="108">
        <f t="shared" si="4"/>
        <v>0</v>
      </c>
      <c r="K100" s="108">
        <f t="shared" si="4"/>
        <v>0</v>
      </c>
      <c r="L100" s="108">
        <f t="shared" si="4"/>
        <v>0</v>
      </c>
      <c r="M100" s="108">
        <f t="shared" si="4"/>
        <v>0</v>
      </c>
      <c r="N100" s="108">
        <f t="shared" si="4"/>
        <v>0</v>
      </c>
    </row>
    <row r="101" spans="1:14" x14ac:dyDescent="0.35">
      <c r="A101" s="1" t="s">
        <v>26</v>
      </c>
      <c r="B101" s="112">
        <v>0</v>
      </c>
      <c r="C101" s="112">
        <v>0</v>
      </c>
      <c r="D101" s="112">
        <v>0</v>
      </c>
      <c r="E101" s="112">
        <v>0</v>
      </c>
      <c r="F101" s="112">
        <v>0</v>
      </c>
      <c r="G101" s="112">
        <v>0</v>
      </c>
      <c r="I101" s="108">
        <f t="shared" si="4"/>
        <v>0</v>
      </c>
      <c r="J101" s="108">
        <f t="shared" si="4"/>
        <v>0</v>
      </c>
      <c r="K101" s="108">
        <f t="shared" si="4"/>
        <v>0</v>
      </c>
      <c r="L101" s="108">
        <f t="shared" si="4"/>
        <v>0</v>
      </c>
      <c r="M101" s="108">
        <f t="shared" si="4"/>
        <v>0</v>
      </c>
      <c r="N101" s="108">
        <f t="shared" si="4"/>
        <v>0</v>
      </c>
    </row>
    <row r="102" spans="1:14" x14ac:dyDescent="0.35">
      <c r="A102" s="1" t="s">
        <v>27</v>
      </c>
      <c r="B102" s="112">
        <v>0</v>
      </c>
      <c r="C102" s="112">
        <v>0</v>
      </c>
      <c r="D102" s="112">
        <v>0</v>
      </c>
      <c r="E102" s="112">
        <v>0</v>
      </c>
      <c r="F102" s="112">
        <v>0</v>
      </c>
      <c r="G102" s="112">
        <v>0</v>
      </c>
      <c r="I102" s="108">
        <f t="shared" si="4"/>
        <v>0</v>
      </c>
      <c r="J102" s="108">
        <f t="shared" si="4"/>
        <v>0</v>
      </c>
      <c r="K102" s="108">
        <f t="shared" si="4"/>
        <v>0</v>
      </c>
      <c r="L102" s="108">
        <f t="shared" si="4"/>
        <v>0</v>
      </c>
      <c r="M102" s="108">
        <f t="shared" si="4"/>
        <v>0</v>
      </c>
      <c r="N102" s="108">
        <f t="shared" si="4"/>
        <v>0</v>
      </c>
    </row>
    <row r="103" spans="1:14" x14ac:dyDescent="0.35">
      <c r="A103" s="1" t="s">
        <v>28</v>
      </c>
      <c r="B103" s="112">
        <v>0</v>
      </c>
      <c r="C103" s="112">
        <v>0</v>
      </c>
      <c r="D103" s="112">
        <v>0</v>
      </c>
      <c r="E103" s="112">
        <v>0</v>
      </c>
      <c r="F103" s="112">
        <v>0</v>
      </c>
      <c r="G103" s="112">
        <v>0</v>
      </c>
      <c r="I103" s="108">
        <f t="shared" si="4"/>
        <v>0</v>
      </c>
      <c r="J103" s="108">
        <f t="shared" si="4"/>
        <v>0</v>
      </c>
      <c r="K103" s="108">
        <f t="shared" si="4"/>
        <v>0</v>
      </c>
      <c r="L103" s="108">
        <f t="shared" si="4"/>
        <v>0</v>
      </c>
      <c r="M103" s="108">
        <f t="shared" si="4"/>
        <v>0</v>
      </c>
      <c r="N103" s="108">
        <f t="shared" si="4"/>
        <v>0</v>
      </c>
    </row>
    <row r="104" spans="1:14" x14ac:dyDescent="0.35">
      <c r="A104" s="1" t="s">
        <v>29</v>
      </c>
      <c r="B104" s="112">
        <v>0</v>
      </c>
      <c r="C104" s="112">
        <v>0</v>
      </c>
      <c r="D104" s="112">
        <v>0</v>
      </c>
      <c r="E104" s="112">
        <v>0</v>
      </c>
      <c r="F104" s="112">
        <v>0</v>
      </c>
      <c r="G104" s="112">
        <v>0</v>
      </c>
      <c r="I104" s="108">
        <f t="shared" si="4"/>
        <v>0</v>
      </c>
      <c r="J104" s="108">
        <f t="shared" si="4"/>
        <v>0</v>
      </c>
      <c r="K104" s="108">
        <f t="shared" si="4"/>
        <v>0</v>
      </c>
      <c r="L104" s="108">
        <f t="shared" si="4"/>
        <v>0</v>
      </c>
      <c r="M104" s="108">
        <f t="shared" si="4"/>
        <v>0</v>
      </c>
      <c r="N104" s="108">
        <f t="shared" si="4"/>
        <v>0</v>
      </c>
    </row>
    <row r="105" spans="1:14" x14ac:dyDescent="0.35">
      <c r="A105" s="1" t="s">
        <v>30</v>
      </c>
      <c r="B105" s="112">
        <v>0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I105" s="108">
        <f t="shared" si="4"/>
        <v>0</v>
      </c>
      <c r="J105" s="108">
        <f t="shared" si="4"/>
        <v>0</v>
      </c>
      <c r="K105" s="108">
        <f t="shared" si="4"/>
        <v>0</v>
      </c>
      <c r="L105" s="108">
        <f t="shared" si="4"/>
        <v>0</v>
      </c>
      <c r="M105" s="108">
        <f t="shared" si="4"/>
        <v>0</v>
      </c>
      <c r="N105" s="108">
        <f t="shared" si="4"/>
        <v>0</v>
      </c>
    </row>
    <row r="106" spans="1:14" x14ac:dyDescent="0.35">
      <c r="A106" s="1" t="s">
        <v>31</v>
      </c>
      <c r="B106" s="112">
        <v>0</v>
      </c>
      <c r="C106" s="112">
        <v>0</v>
      </c>
      <c r="D106" s="112">
        <v>0</v>
      </c>
      <c r="E106" s="112">
        <v>0</v>
      </c>
      <c r="F106" s="112">
        <v>0</v>
      </c>
      <c r="G106" s="112">
        <v>0</v>
      </c>
      <c r="I106" s="108">
        <f t="shared" si="4"/>
        <v>0</v>
      </c>
      <c r="J106" s="108">
        <f t="shared" si="4"/>
        <v>0</v>
      </c>
      <c r="K106" s="108">
        <f t="shared" si="4"/>
        <v>0</v>
      </c>
      <c r="L106" s="108">
        <f t="shared" si="4"/>
        <v>0</v>
      </c>
      <c r="M106" s="108">
        <f t="shared" si="4"/>
        <v>0</v>
      </c>
      <c r="N106" s="108">
        <f t="shared" si="4"/>
        <v>0</v>
      </c>
    </row>
    <row r="107" spans="1:14" x14ac:dyDescent="0.35">
      <c r="A107" s="1" t="s">
        <v>33</v>
      </c>
      <c r="B107" s="112">
        <v>0</v>
      </c>
      <c r="C107" s="112">
        <v>0</v>
      </c>
      <c r="D107" s="112">
        <v>0</v>
      </c>
      <c r="E107" s="112">
        <v>0</v>
      </c>
      <c r="F107" s="112">
        <v>0</v>
      </c>
      <c r="G107" s="112">
        <v>0</v>
      </c>
      <c r="I107" s="108">
        <f t="shared" si="4"/>
        <v>0</v>
      </c>
      <c r="J107" s="108">
        <f t="shared" si="4"/>
        <v>0</v>
      </c>
      <c r="K107" s="108">
        <f t="shared" si="4"/>
        <v>0</v>
      </c>
      <c r="L107" s="108">
        <f t="shared" si="4"/>
        <v>0</v>
      </c>
      <c r="M107" s="108">
        <f t="shared" si="4"/>
        <v>0</v>
      </c>
      <c r="N107" s="108">
        <f t="shared" si="4"/>
        <v>0</v>
      </c>
    </row>
    <row r="108" spans="1:14" x14ac:dyDescent="0.35">
      <c r="A108" s="1" t="s">
        <v>32</v>
      </c>
      <c r="B108" s="112">
        <v>0</v>
      </c>
      <c r="C108" s="112">
        <v>0</v>
      </c>
      <c r="D108" s="112">
        <v>0</v>
      </c>
      <c r="E108" s="112">
        <v>0</v>
      </c>
      <c r="F108" s="112">
        <v>0</v>
      </c>
      <c r="G108" s="112">
        <v>0</v>
      </c>
      <c r="I108" s="108">
        <f t="shared" si="4"/>
        <v>0</v>
      </c>
      <c r="J108" s="108">
        <f t="shared" si="4"/>
        <v>0</v>
      </c>
      <c r="K108" s="108">
        <f t="shared" si="4"/>
        <v>0</v>
      </c>
      <c r="L108" s="108">
        <f t="shared" si="4"/>
        <v>0</v>
      </c>
      <c r="M108" s="108">
        <f t="shared" si="4"/>
        <v>0</v>
      </c>
      <c r="N108" s="108">
        <f t="shared" si="4"/>
        <v>0</v>
      </c>
    </row>
    <row r="109" spans="1:14" x14ac:dyDescent="0.35">
      <c r="A109" s="1" t="s">
        <v>34</v>
      </c>
      <c r="B109" s="112">
        <v>0</v>
      </c>
      <c r="C109" s="112">
        <v>0</v>
      </c>
      <c r="D109" s="112">
        <v>0</v>
      </c>
      <c r="E109" s="112">
        <v>0</v>
      </c>
      <c r="F109" s="112">
        <v>0</v>
      </c>
      <c r="G109" s="112">
        <v>0</v>
      </c>
      <c r="I109" s="108">
        <f t="shared" si="4"/>
        <v>0</v>
      </c>
      <c r="J109" s="108">
        <f t="shared" si="4"/>
        <v>0</v>
      </c>
      <c r="K109" s="108">
        <f t="shared" si="4"/>
        <v>0</v>
      </c>
      <c r="L109" s="108">
        <f t="shared" si="4"/>
        <v>0</v>
      </c>
      <c r="M109" s="108">
        <f t="shared" si="4"/>
        <v>0</v>
      </c>
      <c r="N109" s="108">
        <f t="shared" si="4"/>
        <v>0</v>
      </c>
    </row>
    <row r="110" spans="1:14" x14ac:dyDescent="0.35">
      <c r="A110" s="1" t="s">
        <v>35</v>
      </c>
      <c r="B110" s="112">
        <v>0</v>
      </c>
      <c r="C110" s="112">
        <v>0</v>
      </c>
      <c r="D110" s="112">
        <v>0</v>
      </c>
      <c r="E110" s="112">
        <v>0</v>
      </c>
      <c r="F110" s="112">
        <v>0</v>
      </c>
      <c r="G110" s="112">
        <v>0</v>
      </c>
      <c r="I110" s="108">
        <f t="shared" si="4"/>
        <v>0</v>
      </c>
      <c r="J110" s="108">
        <f t="shared" si="4"/>
        <v>0</v>
      </c>
      <c r="K110" s="108">
        <f t="shared" si="4"/>
        <v>0</v>
      </c>
      <c r="L110" s="108">
        <f t="shared" si="4"/>
        <v>0</v>
      </c>
      <c r="M110" s="108">
        <f t="shared" si="4"/>
        <v>0</v>
      </c>
      <c r="N110" s="108">
        <f t="shared" si="4"/>
        <v>0</v>
      </c>
    </row>
    <row r="111" spans="1:14" x14ac:dyDescent="0.35">
      <c r="A111" s="1" t="s">
        <v>36</v>
      </c>
      <c r="B111" s="112">
        <v>0</v>
      </c>
      <c r="C111" s="112">
        <v>0</v>
      </c>
      <c r="D111" s="112">
        <v>0</v>
      </c>
      <c r="E111" s="112">
        <v>0</v>
      </c>
      <c r="F111" s="112">
        <v>0</v>
      </c>
      <c r="G111" s="112">
        <v>0</v>
      </c>
      <c r="I111" s="108">
        <f t="shared" si="4"/>
        <v>0</v>
      </c>
      <c r="J111" s="108">
        <f t="shared" si="4"/>
        <v>0</v>
      </c>
      <c r="K111" s="108">
        <f t="shared" si="4"/>
        <v>0</v>
      </c>
      <c r="L111" s="108">
        <f t="shared" si="4"/>
        <v>0</v>
      </c>
      <c r="M111" s="108">
        <f t="shared" si="4"/>
        <v>0</v>
      </c>
      <c r="N111" s="108">
        <f t="shared" si="4"/>
        <v>0</v>
      </c>
    </row>
    <row r="112" spans="1:14" x14ac:dyDescent="0.35">
      <c r="A112" s="1" t="s">
        <v>37</v>
      </c>
      <c r="B112" s="112">
        <v>0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I112" s="108">
        <f t="shared" si="4"/>
        <v>0</v>
      </c>
      <c r="J112" s="108">
        <f t="shared" si="4"/>
        <v>0</v>
      </c>
      <c r="K112" s="108">
        <f t="shared" si="4"/>
        <v>0</v>
      </c>
      <c r="L112" s="108">
        <f t="shared" si="4"/>
        <v>0</v>
      </c>
      <c r="M112" s="108">
        <f t="shared" si="4"/>
        <v>0</v>
      </c>
      <c r="N112" s="108">
        <f t="shared" si="4"/>
        <v>0</v>
      </c>
    </row>
    <row r="113" spans="1:14" x14ac:dyDescent="0.35">
      <c r="A113" s="1" t="s">
        <v>55</v>
      </c>
      <c r="B113" s="112">
        <v>0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I113" s="108">
        <f t="shared" si="4"/>
        <v>0</v>
      </c>
      <c r="J113" s="108">
        <f t="shared" si="4"/>
        <v>0</v>
      </c>
      <c r="K113" s="108">
        <f t="shared" si="4"/>
        <v>0</v>
      </c>
      <c r="L113" s="108">
        <f t="shared" si="4"/>
        <v>0</v>
      </c>
      <c r="M113" s="108">
        <f t="shared" si="4"/>
        <v>0</v>
      </c>
      <c r="N113" s="108">
        <f t="shared" si="4"/>
        <v>0</v>
      </c>
    </row>
    <row r="114" spans="1:14" x14ac:dyDescent="0.35">
      <c r="A114" s="1" t="s">
        <v>38</v>
      </c>
      <c r="B114" s="112">
        <v>0</v>
      </c>
      <c r="C114" s="112">
        <v>0</v>
      </c>
      <c r="D114" s="112">
        <v>0</v>
      </c>
      <c r="E114" s="112">
        <v>0</v>
      </c>
      <c r="F114" s="112">
        <v>0</v>
      </c>
      <c r="G114" s="112">
        <v>0</v>
      </c>
      <c r="I114" s="108">
        <f t="shared" si="4"/>
        <v>0</v>
      </c>
      <c r="J114" s="108">
        <f t="shared" si="4"/>
        <v>0</v>
      </c>
      <c r="K114" s="108">
        <f t="shared" si="4"/>
        <v>0</v>
      </c>
      <c r="L114" s="108">
        <f t="shared" si="4"/>
        <v>0</v>
      </c>
      <c r="M114" s="108">
        <f t="shared" si="4"/>
        <v>0</v>
      </c>
      <c r="N114" s="108">
        <f t="shared" si="4"/>
        <v>0</v>
      </c>
    </row>
    <row r="115" spans="1:14" x14ac:dyDescent="0.35">
      <c r="A115" s="1" t="s">
        <v>39</v>
      </c>
      <c r="B115" s="112">
        <v>0</v>
      </c>
      <c r="C115" s="112">
        <v>0</v>
      </c>
      <c r="D115" s="112">
        <v>0</v>
      </c>
      <c r="E115" s="112">
        <v>0</v>
      </c>
      <c r="F115" s="112">
        <v>0</v>
      </c>
      <c r="G115" s="112">
        <v>0</v>
      </c>
      <c r="I115" s="108">
        <f t="shared" si="4"/>
        <v>0</v>
      </c>
      <c r="J115" s="108">
        <f t="shared" si="4"/>
        <v>0</v>
      </c>
      <c r="K115" s="108">
        <f t="shared" si="4"/>
        <v>0</v>
      </c>
      <c r="L115" s="108">
        <f t="shared" si="4"/>
        <v>0</v>
      </c>
      <c r="M115" s="108">
        <f t="shared" si="4"/>
        <v>0</v>
      </c>
      <c r="N115" s="108">
        <f t="shared" si="4"/>
        <v>0</v>
      </c>
    </row>
    <row r="116" spans="1:14" x14ac:dyDescent="0.35">
      <c r="A116" s="1" t="s">
        <v>40</v>
      </c>
      <c r="B116" s="112">
        <v>0</v>
      </c>
      <c r="C116" s="112">
        <v>0</v>
      </c>
      <c r="D116" s="112">
        <v>0</v>
      </c>
      <c r="E116" s="112">
        <v>0</v>
      </c>
      <c r="F116" s="112">
        <v>0</v>
      </c>
      <c r="G116" s="112">
        <v>0</v>
      </c>
      <c r="I116" s="108">
        <f t="shared" si="4"/>
        <v>0</v>
      </c>
      <c r="J116" s="108">
        <f t="shared" si="4"/>
        <v>0</v>
      </c>
      <c r="K116" s="108">
        <f t="shared" si="4"/>
        <v>0</v>
      </c>
      <c r="L116" s="108">
        <f t="shared" si="4"/>
        <v>0</v>
      </c>
      <c r="M116" s="108">
        <f t="shared" si="4"/>
        <v>0</v>
      </c>
      <c r="N116" s="108">
        <f t="shared" si="4"/>
        <v>0</v>
      </c>
    </row>
    <row r="117" spans="1:14" x14ac:dyDescent="0.35">
      <c r="A117" s="1" t="s">
        <v>41</v>
      </c>
      <c r="B117" s="112">
        <v>0</v>
      </c>
      <c r="C117" s="112">
        <v>0</v>
      </c>
      <c r="D117" s="112">
        <v>0</v>
      </c>
      <c r="E117" s="112">
        <v>0</v>
      </c>
      <c r="F117" s="112">
        <v>0</v>
      </c>
      <c r="G117" s="112">
        <v>0</v>
      </c>
      <c r="I117" s="108">
        <f t="shared" si="4"/>
        <v>0</v>
      </c>
      <c r="J117" s="108">
        <f t="shared" si="4"/>
        <v>0</v>
      </c>
      <c r="K117" s="108">
        <f t="shared" si="4"/>
        <v>0</v>
      </c>
      <c r="L117" s="108">
        <f t="shared" si="4"/>
        <v>0</v>
      </c>
      <c r="M117" s="108">
        <f t="shared" si="4"/>
        <v>0</v>
      </c>
      <c r="N117" s="108">
        <f t="shared" si="4"/>
        <v>0</v>
      </c>
    </row>
    <row r="118" spans="1:14" x14ac:dyDescent="0.35">
      <c r="A118" s="1" t="s">
        <v>42</v>
      </c>
      <c r="B118" s="112">
        <v>0</v>
      </c>
      <c r="C118" s="112">
        <v>0</v>
      </c>
      <c r="D118" s="112">
        <v>0</v>
      </c>
      <c r="E118" s="112">
        <v>0</v>
      </c>
      <c r="F118" s="112">
        <v>0</v>
      </c>
      <c r="G118" s="112">
        <v>0</v>
      </c>
      <c r="I118" s="108">
        <f t="shared" si="4"/>
        <v>0</v>
      </c>
      <c r="J118" s="108">
        <f t="shared" si="4"/>
        <v>0</v>
      </c>
      <c r="K118" s="108">
        <f t="shared" si="4"/>
        <v>0</v>
      </c>
      <c r="L118" s="108">
        <f t="shared" si="4"/>
        <v>0</v>
      </c>
      <c r="M118" s="108">
        <f t="shared" si="4"/>
        <v>0</v>
      </c>
      <c r="N118" s="108">
        <f t="shared" si="4"/>
        <v>0</v>
      </c>
    </row>
    <row r="119" spans="1:14" x14ac:dyDescent="0.35">
      <c r="A119" s="1" t="s">
        <v>43</v>
      </c>
      <c r="B119" s="112">
        <v>0</v>
      </c>
      <c r="C119" s="112">
        <v>0</v>
      </c>
      <c r="D119" s="112">
        <v>0</v>
      </c>
      <c r="E119" s="112">
        <v>0</v>
      </c>
      <c r="F119" s="112">
        <v>0</v>
      </c>
      <c r="G119" s="112">
        <v>0</v>
      </c>
      <c r="I119" s="108">
        <f t="shared" si="4"/>
        <v>0</v>
      </c>
      <c r="J119" s="108">
        <f t="shared" si="4"/>
        <v>0</v>
      </c>
      <c r="K119" s="108">
        <f t="shared" si="4"/>
        <v>0</v>
      </c>
      <c r="L119" s="108">
        <f t="shared" si="4"/>
        <v>0</v>
      </c>
      <c r="M119" s="108">
        <f t="shared" si="4"/>
        <v>0</v>
      </c>
      <c r="N119" s="108">
        <f t="shared" si="4"/>
        <v>0</v>
      </c>
    </row>
    <row r="120" spans="1:14" x14ac:dyDescent="0.35">
      <c r="A120" s="1" t="s">
        <v>44</v>
      </c>
      <c r="B120" s="112">
        <v>0</v>
      </c>
      <c r="C120" s="112">
        <v>0</v>
      </c>
      <c r="D120" s="112">
        <v>0</v>
      </c>
      <c r="E120" s="112">
        <v>0</v>
      </c>
      <c r="F120" s="112">
        <v>0</v>
      </c>
      <c r="G120" s="112">
        <v>0</v>
      </c>
      <c r="I120" s="108">
        <f t="shared" si="4"/>
        <v>0</v>
      </c>
      <c r="J120" s="108">
        <f t="shared" si="4"/>
        <v>0</v>
      </c>
      <c r="K120" s="108">
        <f t="shared" si="4"/>
        <v>0</v>
      </c>
      <c r="L120" s="108">
        <f t="shared" si="4"/>
        <v>0</v>
      </c>
      <c r="M120" s="108">
        <f t="shared" si="4"/>
        <v>0</v>
      </c>
      <c r="N120" s="108">
        <f t="shared" si="4"/>
        <v>0</v>
      </c>
    </row>
    <row r="121" spans="1:14" x14ac:dyDescent="0.35">
      <c r="A121" s="1" t="s">
        <v>45</v>
      </c>
      <c r="B121" s="112">
        <v>0</v>
      </c>
      <c r="C121" s="112">
        <v>0</v>
      </c>
      <c r="D121" s="112">
        <v>0</v>
      </c>
      <c r="E121" s="112">
        <v>0</v>
      </c>
      <c r="F121" s="112">
        <v>0</v>
      </c>
      <c r="G121" s="112">
        <v>0</v>
      </c>
      <c r="I121" s="108">
        <f t="shared" si="4"/>
        <v>0</v>
      </c>
      <c r="J121" s="108">
        <f t="shared" si="4"/>
        <v>0</v>
      </c>
      <c r="K121" s="108">
        <f t="shared" si="4"/>
        <v>0</v>
      </c>
      <c r="L121" s="108">
        <f t="shared" si="4"/>
        <v>0</v>
      </c>
      <c r="M121" s="108">
        <f t="shared" si="4"/>
        <v>0</v>
      </c>
      <c r="N121" s="108">
        <f t="shared" si="4"/>
        <v>0</v>
      </c>
    </row>
    <row r="122" spans="1:14" x14ac:dyDescent="0.35">
      <c r="A122" s="1" t="s">
        <v>46</v>
      </c>
      <c r="B122" s="112">
        <v>0</v>
      </c>
      <c r="C122" s="112">
        <v>0</v>
      </c>
      <c r="D122" s="112">
        <v>0</v>
      </c>
      <c r="E122" s="112">
        <v>0</v>
      </c>
      <c r="F122" s="112">
        <v>0</v>
      </c>
      <c r="G122" s="112">
        <v>0</v>
      </c>
      <c r="I122" s="108">
        <f t="shared" si="4"/>
        <v>0</v>
      </c>
      <c r="J122" s="108">
        <f t="shared" si="4"/>
        <v>0</v>
      </c>
      <c r="K122" s="108">
        <f t="shared" si="4"/>
        <v>0</v>
      </c>
      <c r="L122" s="108">
        <f t="shared" si="4"/>
        <v>0</v>
      </c>
      <c r="M122" s="108">
        <f t="shared" si="4"/>
        <v>0</v>
      </c>
      <c r="N122" s="108">
        <f t="shared" si="4"/>
        <v>0</v>
      </c>
    </row>
    <row r="123" spans="1:14" x14ac:dyDescent="0.35">
      <c r="A123" s="1" t="s">
        <v>47</v>
      </c>
      <c r="B123" s="112">
        <v>0</v>
      </c>
      <c r="C123" s="112">
        <v>0</v>
      </c>
      <c r="D123" s="112">
        <v>0</v>
      </c>
      <c r="E123" s="112">
        <v>0</v>
      </c>
      <c r="F123" s="112">
        <v>0</v>
      </c>
      <c r="G123" s="112">
        <v>0</v>
      </c>
      <c r="I123" s="108">
        <f t="shared" si="4"/>
        <v>0</v>
      </c>
      <c r="J123" s="108">
        <f t="shared" si="4"/>
        <v>0</v>
      </c>
      <c r="K123" s="108">
        <f t="shared" si="4"/>
        <v>0</v>
      </c>
      <c r="L123" s="108">
        <f t="shared" si="4"/>
        <v>0</v>
      </c>
      <c r="M123" s="108">
        <f t="shared" si="4"/>
        <v>0</v>
      </c>
      <c r="N123" s="108">
        <f t="shared" si="4"/>
        <v>0</v>
      </c>
    </row>
    <row r="124" spans="1:14" x14ac:dyDescent="0.35">
      <c r="A124" s="1" t="s">
        <v>48</v>
      </c>
      <c r="B124" s="112">
        <v>0</v>
      </c>
      <c r="C124" s="112">
        <v>0</v>
      </c>
      <c r="D124" s="112">
        <v>0</v>
      </c>
      <c r="E124" s="112">
        <v>0</v>
      </c>
      <c r="F124" s="112">
        <v>0</v>
      </c>
      <c r="G124" s="112">
        <v>0</v>
      </c>
      <c r="I124" s="108">
        <f t="shared" ref="I124:N125" si="5">B124*1.1</f>
        <v>0</v>
      </c>
      <c r="J124" s="108">
        <f t="shared" si="5"/>
        <v>0</v>
      </c>
      <c r="K124" s="108">
        <f t="shared" si="5"/>
        <v>0</v>
      </c>
      <c r="L124" s="108">
        <f t="shared" si="5"/>
        <v>0</v>
      </c>
      <c r="M124" s="108">
        <f t="shared" si="5"/>
        <v>0</v>
      </c>
      <c r="N124" s="108">
        <f t="shared" si="5"/>
        <v>0</v>
      </c>
    </row>
    <row r="125" spans="1:14" x14ac:dyDescent="0.35">
      <c r="A125" s="1" t="s">
        <v>49</v>
      </c>
      <c r="B125" s="112">
        <v>0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I125" s="108">
        <f t="shared" si="5"/>
        <v>0</v>
      </c>
      <c r="J125" s="108">
        <f t="shared" si="5"/>
        <v>0</v>
      </c>
      <c r="K125" s="108">
        <f t="shared" si="5"/>
        <v>0</v>
      </c>
      <c r="L125" s="108">
        <f t="shared" si="5"/>
        <v>0</v>
      </c>
      <c r="M125" s="108">
        <f t="shared" si="5"/>
        <v>0</v>
      </c>
      <c r="N125" s="108">
        <f t="shared" si="5"/>
        <v>0</v>
      </c>
    </row>
    <row r="126" spans="1:14" ht="16.5" customHeight="1" x14ac:dyDescent="0.35">
      <c r="A126" s="38" t="s">
        <v>104</v>
      </c>
      <c r="B126" s="36">
        <f>AVERAGE(B68:G125)</f>
        <v>0</v>
      </c>
    </row>
    <row r="130" spans="1:18" x14ac:dyDescent="0.35">
      <c r="B130" s="111" t="s">
        <v>187</v>
      </c>
      <c r="D130" s="111" t="s">
        <v>188</v>
      </c>
    </row>
    <row r="131" spans="1:18" x14ac:dyDescent="0.35">
      <c r="A131" s="35"/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</row>
    <row r="132" spans="1:18" x14ac:dyDescent="0.35">
      <c r="A132" s="32" t="s">
        <v>74</v>
      </c>
      <c r="B132" s="33" t="s">
        <v>105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4"/>
    </row>
    <row r="133" spans="1:18" x14ac:dyDescent="0.35">
      <c r="A133" s="2" t="s">
        <v>74</v>
      </c>
      <c r="B133" s="112">
        <v>0</v>
      </c>
      <c r="C133" s="18"/>
      <c r="D133" s="108">
        <f>B133*1.1</f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5">
      <c r="A134" s="21"/>
      <c r="B134" s="22"/>
      <c r="C134" s="23"/>
      <c r="D134" s="22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5"/>
    </row>
    <row r="135" spans="1:18" x14ac:dyDescent="0.35">
      <c r="A135" s="21"/>
      <c r="B135" s="22"/>
      <c r="C135" s="23"/>
      <c r="D135" s="22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5"/>
    </row>
    <row r="136" spans="1:18" x14ac:dyDescent="0.35">
      <c r="A136" s="32" t="s">
        <v>75</v>
      </c>
      <c r="B136" s="33" t="s">
        <v>106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4"/>
    </row>
    <row r="137" spans="1:18" x14ac:dyDescent="0.35">
      <c r="A137" s="2" t="s">
        <v>205</v>
      </c>
      <c r="B137" s="112">
        <v>0</v>
      </c>
      <c r="C137" s="18"/>
      <c r="D137" s="108">
        <f>B137*1.1</f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5">
      <c r="A138" s="2" t="s">
        <v>243</v>
      </c>
      <c r="B138" s="112">
        <v>0</v>
      </c>
      <c r="C138" s="18"/>
      <c r="D138" s="108">
        <f t="shared" ref="D138:D141" si="6">B138*1.1</f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5">
      <c r="A139" s="2" t="s">
        <v>244</v>
      </c>
      <c r="B139" s="112">
        <v>0</v>
      </c>
      <c r="C139" s="18"/>
      <c r="D139" s="108">
        <f t="shared" si="6"/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5">
      <c r="A140" s="2" t="s">
        <v>245</v>
      </c>
      <c r="B140" s="112">
        <v>0</v>
      </c>
      <c r="C140" s="23"/>
      <c r="D140" s="108">
        <f t="shared" si="6"/>
        <v>0</v>
      </c>
      <c r="E140" s="24"/>
      <c r="F140" s="2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5">
      <c r="A141" s="21" t="s">
        <v>246</v>
      </c>
      <c r="B141" s="112">
        <v>0</v>
      </c>
      <c r="C141" s="23"/>
      <c r="D141" s="108">
        <f t="shared" si="6"/>
        <v>0</v>
      </c>
      <c r="E141" s="24"/>
      <c r="F141" s="2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5">
      <c r="A142" s="39" t="s">
        <v>98</v>
      </c>
      <c r="B142" s="6">
        <f>AVERAGE(B137:B141)</f>
        <v>0</v>
      </c>
      <c r="C142" s="6"/>
      <c r="D142" s="6"/>
      <c r="E142" s="6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5">
      <c r="A143" s="7"/>
      <c r="B143" s="6"/>
      <c r="C143" s="6"/>
      <c r="D143" s="6"/>
      <c r="E143" s="6"/>
      <c r="F143" s="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5"/>
    </row>
    <row r="144" spans="1:18" x14ac:dyDescent="0.35">
      <c r="A144" s="32" t="s">
        <v>191</v>
      </c>
      <c r="B144" s="33" t="s">
        <v>106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4"/>
    </row>
    <row r="145" spans="1:18" x14ac:dyDescent="0.35">
      <c r="A145" s="2" t="s">
        <v>204</v>
      </c>
      <c r="B145" s="112">
        <v>0</v>
      </c>
      <c r="C145" s="18"/>
      <c r="D145" s="108">
        <f>B145*1.1</f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5">
      <c r="A146" s="2" t="s">
        <v>239</v>
      </c>
      <c r="B146" s="112">
        <v>0</v>
      </c>
      <c r="C146" s="18"/>
      <c r="D146" s="108">
        <f t="shared" ref="D146" si="7">B146*1.1</f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5">
      <c r="A147" s="2" t="s">
        <v>240</v>
      </c>
      <c r="B147" s="112">
        <v>0</v>
      </c>
      <c r="C147" s="18"/>
      <c r="D147" s="108">
        <f>B147*1.1</f>
        <v>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5">
      <c r="A148" s="2" t="s">
        <v>241</v>
      </c>
      <c r="B148" s="112">
        <v>0</v>
      </c>
      <c r="C148" s="23"/>
      <c r="D148" s="108">
        <f t="shared" ref="D148:D149" si="8">B148*1.1</f>
        <v>0</v>
      </c>
      <c r="E148" s="24"/>
      <c r="F148" s="2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5">
      <c r="A149" s="2" t="s">
        <v>242</v>
      </c>
      <c r="B149" s="112">
        <v>0</v>
      </c>
      <c r="C149" s="23"/>
      <c r="D149" s="108">
        <f t="shared" si="8"/>
        <v>0</v>
      </c>
      <c r="E149" s="24"/>
      <c r="F149" s="2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5">
      <c r="A150" s="39" t="s">
        <v>98</v>
      </c>
      <c r="B150" s="4">
        <f>AVERAGE(B145:B149)</f>
        <v>0</v>
      </c>
      <c r="C150" s="23"/>
      <c r="D150" s="40"/>
      <c r="E150" s="24"/>
      <c r="F150" s="2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5">
      <c r="A151" s="7"/>
      <c r="B151" s="6"/>
      <c r="C151" s="6"/>
      <c r="D151" s="6"/>
      <c r="E151" s="6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5">
      <c r="A152" s="32" t="s">
        <v>76</v>
      </c>
      <c r="B152" s="33" t="s">
        <v>106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4"/>
    </row>
    <row r="153" spans="1:18" x14ac:dyDescent="0.35">
      <c r="A153" s="2" t="s">
        <v>203</v>
      </c>
      <c r="B153" s="112">
        <v>0</v>
      </c>
      <c r="C153" s="18"/>
      <c r="D153" s="108">
        <f>B153*1.1</f>
        <v>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5">
      <c r="A154" s="2" t="s">
        <v>235</v>
      </c>
      <c r="B154" s="112">
        <v>0</v>
      </c>
      <c r="C154" s="18"/>
      <c r="D154" s="108">
        <f>B154*1.1</f>
        <v>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5">
      <c r="A155" s="2" t="s">
        <v>236</v>
      </c>
      <c r="B155" s="112">
        <v>0</v>
      </c>
      <c r="C155" s="18"/>
      <c r="D155" s="108">
        <f t="shared" ref="D155:D157" si="9">B155*1.1</f>
        <v>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5">
      <c r="A156" s="2" t="s">
        <v>237</v>
      </c>
      <c r="B156" s="112">
        <v>0</v>
      </c>
      <c r="C156" s="23"/>
      <c r="D156" s="108">
        <f t="shared" si="9"/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5"/>
    </row>
    <row r="157" spans="1:18" x14ac:dyDescent="0.35">
      <c r="A157" s="2" t="s">
        <v>238</v>
      </c>
      <c r="B157" s="112">
        <v>0</v>
      </c>
      <c r="C157" s="23"/>
      <c r="D157" s="108">
        <f t="shared" si="9"/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5"/>
    </row>
    <row r="158" spans="1:18" x14ac:dyDescent="0.35">
      <c r="A158" s="39" t="s">
        <v>98</v>
      </c>
      <c r="B158" s="4">
        <f>AVERAGE(B153:B157)</f>
        <v>0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2"/>
    </row>
    <row r="159" spans="1:18" x14ac:dyDescent="0.35">
      <c r="A159" s="39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2"/>
    </row>
    <row r="160" spans="1:18" x14ac:dyDescent="0.35">
      <c r="A160" s="29" t="s">
        <v>279</v>
      </c>
      <c r="B160" s="116"/>
      <c r="C160" s="116"/>
      <c r="D160" s="116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</row>
    <row r="161" spans="1:18" x14ac:dyDescent="0.35">
      <c r="A161" s="31" t="s">
        <v>77</v>
      </c>
      <c r="B161" s="114"/>
      <c r="C161" s="114"/>
      <c r="D161" s="1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x14ac:dyDescent="0.35">
      <c r="A162" s="31"/>
      <c r="B162" s="115"/>
      <c r="C162" s="115"/>
      <c r="D162" s="11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43.5" x14ac:dyDescent="0.35">
      <c r="A163" s="30" t="s">
        <v>280</v>
      </c>
      <c r="B163" s="115"/>
      <c r="C163" s="115"/>
      <c r="D163" s="115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</row>
    <row r="164" spans="1:18" x14ac:dyDescent="0.35">
      <c r="A164" s="31" t="s">
        <v>78</v>
      </c>
      <c r="B164" s="114"/>
      <c r="C164" s="114"/>
      <c r="D164" s="1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x14ac:dyDescent="0.35">
      <c r="A165" s="31" t="s">
        <v>79</v>
      </c>
      <c r="B165" s="114"/>
      <c r="C165" s="114"/>
      <c r="D165" s="1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x14ac:dyDescent="0.35">
      <c r="A166" s="31" t="s">
        <v>80</v>
      </c>
      <c r="B166" s="114"/>
      <c r="C166" s="114"/>
      <c r="D166" s="1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x14ac:dyDescent="0.35">
      <c r="A167" s="31" t="s">
        <v>81</v>
      </c>
      <c r="B167" s="114"/>
      <c r="C167" s="114"/>
      <c r="D167" s="1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</sheetData>
  <sheetProtection sheet="1" objects="1" scenarios="1"/>
  <mergeCells count="7">
    <mergeCell ref="I3:N3"/>
    <mergeCell ref="B66:G66"/>
    <mergeCell ref="I66:N66"/>
    <mergeCell ref="A1:G1"/>
    <mergeCell ref="A65:G65"/>
    <mergeCell ref="A2:G2"/>
    <mergeCell ref="B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57EF-C1A6-4E72-A955-7D1024DE1237}">
  <dimension ref="A1:T167"/>
  <sheetViews>
    <sheetView topLeftCell="A61" zoomScale="106" zoomScaleNormal="106" workbookViewId="0">
      <selection activeCell="A68" sqref="A68:A70"/>
    </sheetView>
  </sheetViews>
  <sheetFormatPr defaultRowHeight="14.5" x14ac:dyDescent="0.35"/>
  <cols>
    <col min="1" max="1" width="79.54296875" customWidth="1"/>
    <col min="2" max="3" width="16" customWidth="1"/>
    <col min="4" max="4" width="21.7265625" bestFit="1" customWidth="1"/>
    <col min="5" max="5" width="12.7265625" customWidth="1"/>
    <col min="6" max="6" width="14.81640625" customWidth="1"/>
    <col min="7" max="7" width="13.26953125" bestFit="1" customWidth="1"/>
    <col min="8" max="8" width="13" customWidth="1"/>
    <col min="9" max="9" width="13.1796875" bestFit="1" customWidth="1"/>
    <col min="10" max="10" width="8.453125" customWidth="1"/>
    <col min="11" max="11" width="13.1796875" customWidth="1"/>
    <col min="12" max="12" width="14" customWidth="1"/>
    <col min="13" max="13" width="8.453125" customWidth="1"/>
    <col min="14" max="14" width="14.81640625" bestFit="1" customWidth="1"/>
    <col min="15" max="17" width="12.7265625" customWidth="1"/>
    <col min="18" max="18" width="21.453125" customWidth="1"/>
    <col min="19" max="19" width="8.26953125" customWidth="1"/>
    <col min="20" max="20" width="11.81640625" customWidth="1"/>
    <col min="21" max="21" width="11.453125" bestFit="1" customWidth="1"/>
    <col min="22" max="23" width="9.81640625" customWidth="1"/>
    <col min="27" max="27" width="11.81640625" customWidth="1"/>
  </cols>
  <sheetData>
    <row r="1" spans="1:20" ht="27.75" customHeight="1" x14ac:dyDescent="0.35">
      <c r="A1" s="119" t="s">
        <v>57</v>
      </c>
      <c r="B1" s="119"/>
      <c r="C1" s="119"/>
      <c r="D1" s="119"/>
      <c r="E1" s="119"/>
      <c r="F1" s="119"/>
      <c r="G1" s="119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0"/>
      <c r="T1" s="10"/>
    </row>
    <row r="2" spans="1:20" ht="30" customHeight="1" x14ac:dyDescent="0.35">
      <c r="A2" s="121" t="s">
        <v>153</v>
      </c>
      <c r="B2" s="121"/>
      <c r="C2" s="121"/>
      <c r="D2" s="121"/>
      <c r="E2" s="121"/>
      <c r="F2" s="121"/>
      <c r="G2" s="12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7.75" customHeight="1" x14ac:dyDescent="0.35">
      <c r="A3" s="109"/>
      <c r="B3" s="118" t="s">
        <v>187</v>
      </c>
      <c r="C3" s="118"/>
      <c r="D3" s="118"/>
      <c r="E3" s="118"/>
      <c r="F3" s="118"/>
      <c r="G3" s="118"/>
      <c r="H3" s="10"/>
      <c r="I3" s="118" t="s">
        <v>188</v>
      </c>
      <c r="J3" s="118"/>
      <c r="K3" s="118"/>
      <c r="L3" s="118"/>
      <c r="M3" s="118"/>
      <c r="N3" s="118"/>
      <c r="O3" s="10"/>
      <c r="P3" s="10"/>
      <c r="Q3" s="10"/>
      <c r="R3" s="10"/>
      <c r="S3" s="10"/>
      <c r="T3" s="10"/>
    </row>
    <row r="4" spans="1:20" ht="43" x14ac:dyDescent="0.35">
      <c r="A4" s="81" t="s">
        <v>51</v>
      </c>
      <c r="B4" s="17" t="s">
        <v>99</v>
      </c>
      <c r="C4" s="17" t="s">
        <v>100</v>
      </c>
      <c r="D4" s="17" t="s">
        <v>101</v>
      </c>
      <c r="E4" s="17" t="s">
        <v>102</v>
      </c>
      <c r="F4" s="17" t="s">
        <v>103</v>
      </c>
      <c r="G4" s="17" t="s">
        <v>149</v>
      </c>
      <c r="I4" s="17" t="s">
        <v>99</v>
      </c>
      <c r="J4" s="17" t="s">
        <v>100</v>
      </c>
      <c r="K4" s="17" t="s">
        <v>101</v>
      </c>
      <c r="L4" s="17" t="s">
        <v>102</v>
      </c>
      <c r="M4" s="17" t="s">
        <v>103</v>
      </c>
      <c r="N4" s="17" t="s">
        <v>149</v>
      </c>
    </row>
    <row r="5" spans="1:20" x14ac:dyDescent="0.35">
      <c r="A5" s="117" t="s">
        <v>286</v>
      </c>
      <c r="B5" s="112">
        <v>0</v>
      </c>
      <c r="C5" s="112">
        <v>0</v>
      </c>
      <c r="D5" s="112">
        <v>0</v>
      </c>
      <c r="E5" s="112">
        <v>0</v>
      </c>
      <c r="F5" s="112">
        <v>0</v>
      </c>
      <c r="G5" s="112">
        <v>0</v>
      </c>
      <c r="I5" s="108">
        <f>B5*1.1</f>
        <v>0</v>
      </c>
      <c r="J5" s="108">
        <f t="shared" ref="J5:N20" si="0">C5*1.1</f>
        <v>0</v>
      </c>
      <c r="K5" s="108">
        <f t="shared" si="0"/>
        <v>0</v>
      </c>
      <c r="L5" s="108">
        <f t="shared" si="0"/>
        <v>0</v>
      </c>
      <c r="M5" s="108">
        <f t="shared" si="0"/>
        <v>0</v>
      </c>
      <c r="N5" s="108">
        <f t="shared" si="0"/>
        <v>0</v>
      </c>
    </row>
    <row r="6" spans="1:20" x14ac:dyDescent="0.35">
      <c r="A6" s="117" t="s">
        <v>287</v>
      </c>
      <c r="B6" s="112">
        <v>0</v>
      </c>
      <c r="C6" s="112">
        <v>0</v>
      </c>
      <c r="D6" s="112">
        <v>0</v>
      </c>
      <c r="E6" s="112">
        <v>0</v>
      </c>
      <c r="F6" s="112">
        <v>0</v>
      </c>
      <c r="G6" s="112">
        <v>0</v>
      </c>
      <c r="I6" s="108">
        <f t="shared" ref="I6:N62" si="1">B6*1.1</f>
        <v>0</v>
      </c>
      <c r="J6" s="108">
        <f t="shared" si="0"/>
        <v>0</v>
      </c>
      <c r="K6" s="108">
        <f t="shared" si="0"/>
        <v>0</v>
      </c>
      <c r="L6" s="108">
        <f t="shared" si="0"/>
        <v>0</v>
      </c>
      <c r="M6" s="108">
        <f t="shared" si="0"/>
        <v>0</v>
      </c>
      <c r="N6" s="108">
        <f t="shared" si="0"/>
        <v>0</v>
      </c>
    </row>
    <row r="7" spans="1:20" x14ac:dyDescent="0.35">
      <c r="A7" s="117" t="s">
        <v>285</v>
      </c>
      <c r="B7" s="112">
        <v>0</v>
      </c>
      <c r="C7" s="112">
        <v>0</v>
      </c>
      <c r="D7" s="112">
        <v>0</v>
      </c>
      <c r="E7" s="112">
        <v>0</v>
      </c>
      <c r="F7" s="112">
        <v>0</v>
      </c>
      <c r="G7" s="112">
        <v>0</v>
      </c>
      <c r="I7" s="108">
        <f t="shared" si="1"/>
        <v>0</v>
      </c>
      <c r="J7" s="108">
        <f t="shared" si="0"/>
        <v>0</v>
      </c>
      <c r="K7" s="108">
        <f t="shared" si="0"/>
        <v>0</v>
      </c>
      <c r="L7" s="108">
        <f t="shared" si="0"/>
        <v>0</v>
      </c>
      <c r="M7" s="108">
        <f t="shared" si="0"/>
        <v>0</v>
      </c>
      <c r="N7" s="108">
        <f t="shared" si="0"/>
        <v>0</v>
      </c>
    </row>
    <row r="8" spans="1:20" x14ac:dyDescent="0.35">
      <c r="A8" s="1" t="s">
        <v>53</v>
      </c>
      <c r="B8" s="112">
        <v>0</v>
      </c>
      <c r="C8" s="112">
        <v>0</v>
      </c>
      <c r="D8" s="112">
        <v>0</v>
      </c>
      <c r="E8" s="112">
        <v>0</v>
      </c>
      <c r="F8" s="112">
        <v>0</v>
      </c>
      <c r="G8" s="112">
        <v>0</v>
      </c>
      <c r="I8" s="108">
        <f t="shared" si="1"/>
        <v>0</v>
      </c>
      <c r="J8" s="108">
        <f t="shared" si="0"/>
        <v>0</v>
      </c>
      <c r="K8" s="108">
        <f t="shared" si="0"/>
        <v>0</v>
      </c>
      <c r="L8" s="108">
        <f t="shared" si="0"/>
        <v>0</v>
      </c>
      <c r="M8" s="108">
        <f t="shared" si="0"/>
        <v>0</v>
      </c>
      <c r="N8" s="108">
        <f t="shared" si="0"/>
        <v>0</v>
      </c>
    </row>
    <row r="9" spans="1:20" x14ac:dyDescent="0.35">
      <c r="A9" s="1" t="s">
        <v>52</v>
      </c>
      <c r="B9" s="112">
        <v>0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I9" s="108">
        <f t="shared" si="1"/>
        <v>0</v>
      </c>
      <c r="J9" s="108">
        <f t="shared" si="0"/>
        <v>0</v>
      </c>
      <c r="K9" s="108">
        <f t="shared" si="0"/>
        <v>0</v>
      </c>
      <c r="L9" s="108">
        <f t="shared" si="0"/>
        <v>0</v>
      </c>
      <c r="M9" s="108">
        <f t="shared" si="0"/>
        <v>0</v>
      </c>
      <c r="N9" s="108">
        <f t="shared" si="0"/>
        <v>0</v>
      </c>
    </row>
    <row r="10" spans="1:20" x14ac:dyDescent="0.35">
      <c r="A10" s="1" t="s">
        <v>54</v>
      </c>
      <c r="B10" s="112">
        <v>0</v>
      </c>
      <c r="C10" s="112">
        <v>0</v>
      </c>
      <c r="D10" s="112">
        <v>0</v>
      </c>
      <c r="E10" s="112">
        <v>0</v>
      </c>
      <c r="F10" s="112">
        <v>0</v>
      </c>
      <c r="G10" s="112">
        <v>0</v>
      </c>
      <c r="I10" s="108">
        <f t="shared" si="1"/>
        <v>0</v>
      </c>
      <c r="J10" s="108">
        <f t="shared" si="0"/>
        <v>0</v>
      </c>
      <c r="K10" s="108">
        <f t="shared" si="0"/>
        <v>0</v>
      </c>
      <c r="L10" s="108">
        <f t="shared" si="0"/>
        <v>0</v>
      </c>
      <c r="M10" s="108">
        <f t="shared" si="0"/>
        <v>0</v>
      </c>
      <c r="N10" s="108">
        <f t="shared" si="0"/>
        <v>0</v>
      </c>
    </row>
    <row r="11" spans="1:20" x14ac:dyDescent="0.35">
      <c r="A11" s="1" t="s">
        <v>0</v>
      </c>
      <c r="B11" s="112">
        <v>0</v>
      </c>
      <c r="C11" s="112">
        <v>0</v>
      </c>
      <c r="D11" s="112">
        <v>0</v>
      </c>
      <c r="E11" s="112">
        <v>0</v>
      </c>
      <c r="F11" s="112">
        <v>0</v>
      </c>
      <c r="G11" s="112">
        <v>0</v>
      </c>
      <c r="I11" s="108">
        <f t="shared" si="1"/>
        <v>0</v>
      </c>
      <c r="J11" s="108">
        <f t="shared" si="0"/>
        <v>0</v>
      </c>
      <c r="K11" s="108">
        <f t="shared" si="0"/>
        <v>0</v>
      </c>
      <c r="L11" s="108">
        <f t="shared" si="0"/>
        <v>0</v>
      </c>
      <c r="M11" s="108">
        <f t="shared" si="0"/>
        <v>0</v>
      </c>
      <c r="N11" s="108">
        <f t="shared" si="0"/>
        <v>0</v>
      </c>
    </row>
    <row r="12" spans="1:20" x14ac:dyDescent="0.35">
      <c r="A12" s="1" t="s">
        <v>1</v>
      </c>
      <c r="B12" s="112">
        <v>0</v>
      </c>
      <c r="C12" s="112">
        <v>0</v>
      </c>
      <c r="D12" s="112">
        <v>0</v>
      </c>
      <c r="E12" s="112">
        <v>0</v>
      </c>
      <c r="F12" s="112">
        <v>0</v>
      </c>
      <c r="G12" s="112">
        <v>0</v>
      </c>
      <c r="I12" s="108">
        <f t="shared" si="1"/>
        <v>0</v>
      </c>
      <c r="J12" s="108">
        <f t="shared" si="0"/>
        <v>0</v>
      </c>
      <c r="K12" s="108">
        <f t="shared" si="0"/>
        <v>0</v>
      </c>
      <c r="L12" s="108">
        <f t="shared" si="0"/>
        <v>0</v>
      </c>
      <c r="M12" s="108">
        <f t="shared" si="0"/>
        <v>0</v>
      </c>
      <c r="N12" s="108">
        <f t="shared" si="0"/>
        <v>0</v>
      </c>
    </row>
    <row r="13" spans="1:20" x14ac:dyDescent="0.35">
      <c r="A13" s="1" t="s">
        <v>2</v>
      </c>
      <c r="B13" s="112">
        <v>0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I13" s="108">
        <f t="shared" si="1"/>
        <v>0</v>
      </c>
      <c r="J13" s="108">
        <f t="shared" si="0"/>
        <v>0</v>
      </c>
      <c r="K13" s="108">
        <f t="shared" si="0"/>
        <v>0</v>
      </c>
      <c r="L13" s="108">
        <f t="shared" si="0"/>
        <v>0</v>
      </c>
      <c r="M13" s="108">
        <f t="shared" si="0"/>
        <v>0</v>
      </c>
      <c r="N13" s="108">
        <f t="shared" si="0"/>
        <v>0</v>
      </c>
    </row>
    <row r="14" spans="1:20" x14ac:dyDescent="0.35">
      <c r="A14" s="1" t="s">
        <v>3</v>
      </c>
      <c r="B14" s="112">
        <v>0</v>
      </c>
      <c r="C14" s="112">
        <v>0</v>
      </c>
      <c r="D14" s="112">
        <v>0</v>
      </c>
      <c r="E14" s="112">
        <v>0</v>
      </c>
      <c r="F14" s="112">
        <v>0</v>
      </c>
      <c r="G14" s="112">
        <v>0</v>
      </c>
      <c r="I14" s="108">
        <f t="shared" si="1"/>
        <v>0</v>
      </c>
      <c r="J14" s="108">
        <f t="shared" si="0"/>
        <v>0</v>
      </c>
      <c r="K14" s="108">
        <f t="shared" si="0"/>
        <v>0</v>
      </c>
      <c r="L14" s="108">
        <f t="shared" si="0"/>
        <v>0</v>
      </c>
      <c r="M14" s="108">
        <f t="shared" si="0"/>
        <v>0</v>
      </c>
      <c r="N14" s="108">
        <f t="shared" si="0"/>
        <v>0</v>
      </c>
    </row>
    <row r="15" spans="1:20" x14ac:dyDescent="0.35">
      <c r="A15" s="1" t="s">
        <v>4</v>
      </c>
      <c r="B15" s="112">
        <v>0</v>
      </c>
      <c r="C15" s="112">
        <v>0</v>
      </c>
      <c r="D15" s="112">
        <v>0</v>
      </c>
      <c r="E15" s="112">
        <v>0</v>
      </c>
      <c r="F15" s="112">
        <v>0</v>
      </c>
      <c r="G15" s="112">
        <v>0</v>
      </c>
      <c r="I15" s="108">
        <f t="shared" si="1"/>
        <v>0</v>
      </c>
      <c r="J15" s="108">
        <f t="shared" si="0"/>
        <v>0</v>
      </c>
      <c r="K15" s="108">
        <f t="shared" si="0"/>
        <v>0</v>
      </c>
      <c r="L15" s="108">
        <f t="shared" si="0"/>
        <v>0</v>
      </c>
      <c r="M15" s="108">
        <f t="shared" si="0"/>
        <v>0</v>
      </c>
      <c r="N15" s="108">
        <f t="shared" si="0"/>
        <v>0</v>
      </c>
    </row>
    <row r="16" spans="1:20" x14ac:dyDescent="0.35">
      <c r="A16" s="1" t="s">
        <v>5</v>
      </c>
      <c r="B16" s="112">
        <v>0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I16" s="108">
        <f t="shared" si="1"/>
        <v>0</v>
      </c>
      <c r="J16" s="108">
        <f t="shared" si="0"/>
        <v>0</v>
      </c>
      <c r="K16" s="108">
        <f t="shared" si="0"/>
        <v>0</v>
      </c>
      <c r="L16" s="108">
        <f t="shared" si="0"/>
        <v>0</v>
      </c>
      <c r="M16" s="108">
        <f t="shared" si="0"/>
        <v>0</v>
      </c>
      <c r="N16" s="108">
        <f t="shared" si="0"/>
        <v>0</v>
      </c>
    </row>
    <row r="17" spans="1:14" x14ac:dyDescent="0.35">
      <c r="A17" s="1" t="s">
        <v>6</v>
      </c>
      <c r="B17" s="112">
        <v>0</v>
      </c>
      <c r="C17" s="112">
        <v>0</v>
      </c>
      <c r="D17" s="112">
        <v>0</v>
      </c>
      <c r="E17" s="112">
        <v>0</v>
      </c>
      <c r="F17" s="112">
        <v>0</v>
      </c>
      <c r="G17" s="112">
        <v>0</v>
      </c>
      <c r="I17" s="108">
        <f t="shared" si="1"/>
        <v>0</v>
      </c>
      <c r="J17" s="108">
        <f t="shared" si="0"/>
        <v>0</v>
      </c>
      <c r="K17" s="108">
        <f t="shared" si="0"/>
        <v>0</v>
      </c>
      <c r="L17" s="108">
        <f t="shared" si="0"/>
        <v>0</v>
      </c>
      <c r="M17" s="108">
        <f t="shared" si="0"/>
        <v>0</v>
      </c>
      <c r="N17" s="108">
        <f t="shared" si="0"/>
        <v>0</v>
      </c>
    </row>
    <row r="18" spans="1:14" x14ac:dyDescent="0.35">
      <c r="A18" s="1" t="s">
        <v>7</v>
      </c>
      <c r="B18" s="112">
        <v>0</v>
      </c>
      <c r="C18" s="112">
        <v>0</v>
      </c>
      <c r="D18" s="112">
        <v>0</v>
      </c>
      <c r="E18" s="112">
        <v>0</v>
      </c>
      <c r="F18" s="112">
        <v>0</v>
      </c>
      <c r="G18" s="112">
        <v>0</v>
      </c>
      <c r="I18" s="108">
        <f t="shared" si="1"/>
        <v>0</v>
      </c>
      <c r="J18" s="108">
        <f t="shared" si="0"/>
        <v>0</v>
      </c>
      <c r="K18" s="108">
        <f t="shared" si="0"/>
        <v>0</v>
      </c>
      <c r="L18" s="108">
        <f t="shared" si="0"/>
        <v>0</v>
      </c>
      <c r="M18" s="108">
        <f t="shared" si="0"/>
        <v>0</v>
      </c>
      <c r="N18" s="108">
        <f t="shared" si="0"/>
        <v>0</v>
      </c>
    </row>
    <row r="19" spans="1:14" x14ac:dyDescent="0.35">
      <c r="A19" s="1" t="s">
        <v>8</v>
      </c>
      <c r="B19" s="112">
        <v>0</v>
      </c>
      <c r="C19" s="112">
        <v>0</v>
      </c>
      <c r="D19" s="112">
        <v>0</v>
      </c>
      <c r="E19" s="112">
        <v>0</v>
      </c>
      <c r="F19" s="112">
        <v>0</v>
      </c>
      <c r="G19" s="112">
        <v>0</v>
      </c>
      <c r="I19" s="108">
        <f t="shared" si="1"/>
        <v>0</v>
      </c>
      <c r="J19" s="108">
        <f t="shared" si="0"/>
        <v>0</v>
      </c>
      <c r="K19" s="108">
        <f t="shared" si="0"/>
        <v>0</v>
      </c>
      <c r="L19" s="108">
        <f t="shared" si="0"/>
        <v>0</v>
      </c>
      <c r="M19" s="108">
        <f t="shared" si="0"/>
        <v>0</v>
      </c>
      <c r="N19" s="108">
        <f t="shared" si="0"/>
        <v>0</v>
      </c>
    </row>
    <row r="20" spans="1:14" x14ac:dyDescent="0.35">
      <c r="A20" s="1" t="s">
        <v>9</v>
      </c>
      <c r="B20" s="112">
        <v>0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I20" s="108">
        <f t="shared" si="1"/>
        <v>0</v>
      </c>
      <c r="J20" s="108">
        <f t="shared" si="0"/>
        <v>0</v>
      </c>
      <c r="K20" s="108">
        <f t="shared" si="0"/>
        <v>0</v>
      </c>
      <c r="L20" s="108">
        <f t="shared" si="0"/>
        <v>0</v>
      </c>
      <c r="M20" s="108">
        <f t="shared" si="0"/>
        <v>0</v>
      </c>
      <c r="N20" s="108">
        <f t="shared" si="0"/>
        <v>0</v>
      </c>
    </row>
    <row r="21" spans="1:14" x14ac:dyDescent="0.35">
      <c r="A21" s="1" t="s">
        <v>10</v>
      </c>
      <c r="B21" s="112">
        <v>0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I21" s="108">
        <f t="shared" si="1"/>
        <v>0</v>
      </c>
      <c r="J21" s="108">
        <f t="shared" si="1"/>
        <v>0</v>
      </c>
      <c r="K21" s="108">
        <f t="shared" si="1"/>
        <v>0</v>
      </c>
      <c r="L21" s="108">
        <f t="shared" si="1"/>
        <v>0</v>
      </c>
      <c r="M21" s="108">
        <f t="shared" si="1"/>
        <v>0</v>
      </c>
      <c r="N21" s="108">
        <f t="shared" si="1"/>
        <v>0</v>
      </c>
    </row>
    <row r="22" spans="1:14" x14ac:dyDescent="0.35">
      <c r="A22" s="1" t="s">
        <v>11</v>
      </c>
      <c r="B22" s="112">
        <v>0</v>
      </c>
      <c r="C22" s="112">
        <v>0</v>
      </c>
      <c r="D22" s="112">
        <v>0</v>
      </c>
      <c r="E22" s="112">
        <v>0</v>
      </c>
      <c r="F22" s="112">
        <v>0</v>
      </c>
      <c r="G22" s="112">
        <v>0</v>
      </c>
      <c r="I22" s="108">
        <f t="shared" si="1"/>
        <v>0</v>
      </c>
      <c r="J22" s="108">
        <f t="shared" si="1"/>
        <v>0</v>
      </c>
      <c r="K22" s="108">
        <f t="shared" si="1"/>
        <v>0</v>
      </c>
      <c r="L22" s="108">
        <f t="shared" si="1"/>
        <v>0</v>
      </c>
      <c r="M22" s="108">
        <f t="shared" si="1"/>
        <v>0</v>
      </c>
      <c r="N22" s="108">
        <f t="shared" si="1"/>
        <v>0</v>
      </c>
    </row>
    <row r="23" spans="1:14" x14ac:dyDescent="0.35">
      <c r="A23" s="1" t="s">
        <v>12</v>
      </c>
      <c r="B23" s="112">
        <v>0</v>
      </c>
      <c r="C23" s="112">
        <v>0</v>
      </c>
      <c r="D23" s="112">
        <v>0</v>
      </c>
      <c r="E23" s="112">
        <v>0</v>
      </c>
      <c r="F23" s="112">
        <v>0</v>
      </c>
      <c r="G23" s="112">
        <v>0</v>
      </c>
      <c r="I23" s="108">
        <f t="shared" si="1"/>
        <v>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f t="shared" si="1"/>
        <v>0</v>
      </c>
      <c r="N23" s="108">
        <f t="shared" si="1"/>
        <v>0</v>
      </c>
    </row>
    <row r="24" spans="1:14" x14ac:dyDescent="0.35">
      <c r="A24" s="1" t="s">
        <v>13</v>
      </c>
      <c r="B24" s="112">
        <v>0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I24" s="108">
        <f t="shared" si="1"/>
        <v>0</v>
      </c>
      <c r="J24" s="108">
        <f t="shared" si="1"/>
        <v>0</v>
      </c>
      <c r="K24" s="108">
        <f t="shared" si="1"/>
        <v>0</v>
      </c>
      <c r="L24" s="108">
        <f t="shared" si="1"/>
        <v>0</v>
      </c>
      <c r="M24" s="108">
        <f t="shared" si="1"/>
        <v>0</v>
      </c>
      <c r="N24" s="108">
        <f t="shared" si="1"/>
        <v>0</v>
      </c>
    </row>
    <row r="25" spans="1:14" x14ac:dyDescent="0.35">
      <c r="A25" s="1" t="s">
        <v>14</v>
      </c>
      <c r="B25" s="112">
        <v>0</v>
      </c>
      <c r="C25" s="112">
        <v>0</v>
      </c>
      <c r="D25" s="112">
        <v>0</v>
      </c>
      <c r="E25" s="112">
        <v>0</v>
      </c>
      <c r="F25" s="112">
        <v>0</v>
      </c>
      <c r="G25" s="112">
        <v>0</v>
      </c>
      <c r="I25" s="108">
        <f t="shared" si="1"/>
        <v>0</v>
      </c>
      <c r="J25" s="108">
        <f t="shared" si="1"/>
        <v>0</v>
      </c>
      <c r="K25" s="108">
        <f t="shared" si="1"/>
        <v>0</v>
      </c>
      <c r="L25" s="108">
        <f t="shared" si="1"/>
        <v>0</v>
      </c>
      <c r="M25" s="108">
        <f t="shared" si="1"/>
        <v>0</v>
      </c>
      <c r="N25" s="108">
        <f t="shared" si="1"/>
        <v>0</v>
      </c>
    </row>
    <row r="26" spans="1:14" x14ac:dyDescent="0.35">
      <c r="A26" s="1" t="s">
        <v>15</v>
      </c>
      <c r="B26" s="112">
        <v>0</v>
      </c>
      <c r="C26" s="112">
        <v>0</v>
      </c>
      <c r="D26" s="112">
        <v>0</v>
      </c>
      <c r="E26" s="112">
        <v>0</v>
      </c>
      <c r="F26" s="112">
        <v>0</v>
      </c>
      <c r="G26" s="112">
        <v>0</v>
      </c>
      <c r="I26" s="108">
        <f t="shared" si="1"/>
        <v>0</v>
      </c>
      <c r="J26" s="108">
        <f t="shared" si="1"/>
        <v>0</v>
      </c>
      <c r="K26" s="108">
        <f t="shared" si="1"/>
        <v>0</v>
      </c>
      <c r="L26" s="108">
        <f t="shared" si="1"/>
        <v>0</v>
      </c>
      <c r="M26" s="108">
        <f t="shared" si="1"/>
        <v>0</v>
      </c>
      <c r="N26" s="108">
        <f t="shared" si="1"/>
        <v>0</v>
      </c>
    </row>
    <row r="27" spans="1:14" x14ac:dyDescent="0.35">
      <c r="A27" s="1" t="s">
        <v>16</v>
      </c>
      <c r="B27" s="112">
        <v>0</v>
      </c>
      <c r="C27" s="112">
        <v>0</v>
      </c>
      <c r="D27" s="112">
        <v>0</v>
      </c>
      <c r="E27" s="112">
        <v>0</v>
      </c>
      <c r="F27" s="112">
        <v>0</v>
      </c>
      <c r="G27" s="112">
        <v>0</v>
      </c>
      <c r="I27" s="108">
        <f t="shared" si="1"/>
        <v>0</v>
      </c>
      <c r="J27" s="108">
        <f t="shared" si="1"/>
        <v>0</v>
      </c>
      <c r="K27" s="108">
        <f t="shared" si="1"/>
        <v>0</v>
      </c>
      <c r="L27" s="108">
        <f t="shared" si="1"/>
        <v>0</v>
      </c>
      <c r="M27" s="108">
        <f t="shared" si="1"/>
        <v>0</v>
      </c>
      <c r="N27" s="108">
        <f t="shared" si="1"/>
        <v>0</v>
      </c>
    </row>
    <row r="28" spans="1:14" x14ac:dyDescent="0.35">
      <c r="A28" s="1" t="s">
        <v>17</v>
      </c>
      <c r="B28" s="112">
        <v>0</v>
      </c>
      <c r="C28" s="112">
        <v>0</v>
      </c>
      <c r="D28" s="112">
        <v>0</v>
      </c>
      <c r="E28" s="112">
        <v>0</v>
      </c>
      <c r="F28" s="112">
        <v>0</v>
      </c>
      <c r="G28" s="112">
        <v>0</v>
      </c>
      <c r="I28" s="108">
        <f t="shared" si="1"/>
        <v>0</v>
      </c>
      <c r="J28" s="108">
        <f t="shared" si="1"/>
        <v>0</v>
      </c>
      <c r="K28" s="108">
        <f t="shared" si="1"/>
        <v>0</v>
      </c>
      <c r="L28" s="108">
        <f t="shared" si="1"/>
        <v>0</v>
      </c>
      <c r="M28" s="108">
        <f t="shared" si="1"/>
        <v>0</v>
      </c>
      <c r="N28" s="108">
        <f t="shared" si="1"/>
        <v>0</v>
      </c>
    </row>
    <row r="29" spans="1:14" x14ac:dyDescent="0.35">
      <c r="A29" s="1" t="s">
        <v>18</v>
      </c>
      <c r="B29" s="112">
        <v>0</v>
      </c>
      <c r="C29" s="112">
        <v>0</v>
      </c>
      <c r="D29" s="112">
        <v>0</v>
      </c>
      <c r="E29" s="112">
        <v>0</v>
      </c>
      <c r="F29" s="112">
        <v>0</v>
      </c>
      <c r="G29" s="112">
        <v>0</v>
      </c>
      <c r="I29" s="108">
        <f t="shared" si="1"/>
        <v>0</v>
      </c>
      <c r="J29" s="108">
        <f t="shared" si="1"/>
        <v>0</v>
      </c>
      <c r="K29" s="108">
        <f t="shared" si="1"/>
        <v>0</v>
      </c>
      <c r="L29" s="108">
        <f t="shared" si="1"/>
        <v>0</v>
      </c>
      <c r="M29" s="108">
        <f t="shared" si="1"/>
        <v>0</v>
      </c>
      <c r="N29" s="108">
        <f t="shared" si="1"/>
        <v>0</v>
      </c>
    </row>
    <row r="30" spans="1:14" x14ac:dyDescent="0.35">
      <c r="A30" s="1" t="s">
        <v>19</v>
      </c>
      <c r="B30" s="112">
        <v>0</v>
      </c>
      <c r="C30" s="112">
        <v>0</v>
      </c>
      <c r="D30" s="112">
        <v>0</v>
      </c>
      <c r="E30" s="112">
        <v>0</v>
      </c>
      <c r="F30" s="112">
        <v>0</v>
      </c>
      <c r="G30" s="112">
        <v>0</v>
      </c>
      <c r="I30" s="108">
        <f t="shared" si="1"/>
        <v>0</v>
      </c>
      <c r="J30" s="108">
        <f t="shared" si="1"/>
        <v>0</v>
      </c>
      <c r="K30" s="108">
        <f t="shared" si="1"/>
        <v>0</v>
      </c>
      <c r="L30" s="108">
        <f t="shared" si="1"/>
        <v>0</v>
      </c>
      <c r="M30" s="108">
        <f t="shared" si="1"/>
        <v>0</v>
      </c>
      <c r="N30" s="108">
        <f t="shared" si="1"/>
        <v>0</v>
      </c>
    </row>
    <row r="31" spans="1:14" x14ac:dyDescent="0.35">
      <c r="A31" s="1" t="s">
        <v>20</v>
      </c>
      <c r="B31" s="112">
        <v>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I31" s="108">
        <f t="shared" si="1"/>
        <v>0</v>
      </c>
      <c r="J31" s="108">
        <f t="shared" si="1"/>
        <v>0</v>
      </c>
      <c r="K31" s="108">
        <f t="shared" si="1"/>
        <v>0</v>
      </c>
      <c r="L31" s="108">
        <f t="shared" si="1"/>
        <v>0</v>
      </c>
      <c r="M31" s="108">
        <f t="shared" si="1"/>
        <v>0</v>
      </c>
      <c r="N31" s="108">
        <f t="shared" si="1"/>
        <v>0</v>
      </c>
    </row>
    <row r="32" spans="1:14" x14ac:dyDescent="0.35">
      <c r="A32" s="1" t="s">
        <v>21</v>
      </c>
      <c r="B32" s="112">
        <v>0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I32" s="108">
        <f t="shared" si="1"/>
        <v>0</v>
      </c>
      <c r="J32" s="108">
        <f t="shared" si="1"/>
        <v>0</v>
      </c>
      <c r="K32" s="108">
        <f t="shared" si="1"/>
        <v>0</v>
      </c>
      <c r="L32" s="108">
        <f t="shared" si="1"/>
        <v>0</v>
      </c>
      <c r="M32" s="108">
        <f t="shared" si="1"/>
        <v>0</v>
      </c>
      <c r="N32" s="108">
        <f t="shared" si="1"/>
        <v>0</v>
      </c>
    </row>
    <row r="33" spans="1:14" x14ac:dyDescent="0.35">
      <c r="A33" s="1" t="s">
        <v>22</v>
      </c>
      <c r="B33" s="112">
        <v>0</v>
      </c>
      <c r="C33" s="112">
        <v>0</v>
      </c>
      <c r="D33" s="112">
        <v>0</v>
      </c>
      <c r="E33" s="112">
        <v>0</v>
      </c>
      <c r="F33" s="112">
        <v>0</v>
      </c>
      <c r="G33" s="112">
        <v>0</v>
      </c>
      <c r="I33" s="108">
        <f t="shared" si="1"/>
        <v>0</v>
      </c>
      <c r="J33" s="108">
        <f t="shared" si="1"/>
        <v>0</v>
      </c>
      <c r="K33" s="108">
        <f t="shared" si="1"/>
        <v>0</v>
      </c>
      <c r="L33" s="108">
        <f t="shared" si="1"/>
        <v>0</v>
      </c>
      <c r="M33" s="108">
        <f t="shared" si="1"/>
        <v>0</v>
      </c>
      <c r="N33" s="108">
        <f t="shared" si="1"/>
        <v>0</v>
      </c>
    </row>
    <row r="34" spans="1:14" x14ac:dyDescent="0.35">
      <c r="A34" s="1" t="s">
        <v>23</v>
      </c>
      <c r="B34" s="112">
        <v>0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I34" s="108">
        <f t="shared" si="1"/>
        <v>0</v>
      </c>
      <c r="J34" s="108">
        <f t="shared" si="1"/>
        <v>0</v>
      </c>
      <c r="K34" s="108">
        <f t="shared" si="1"/>
        <v>0</v>
      </c>
      <c r="L34" s="108">
        <f t="shared" si="1"/>
        <v>0</v>
      </c>
      <c r="M34" s="108">
        <f t="shared" si="1"/>
        <v>0</v>
      </c>
      <c r="N34" s="108">
        <f t="shared" si="1"/>
        <v>0</v>
      </c>
    </row>
    <row r="35" spans="1:14" x14ac:dyDescent="0.35">
      <c r="A35" s="1" t="s">
        <v>50</v>
      </c>
      <c r="B35" s="112">
        <v>0</v>
      </c>
      <c r="C35" s="112">
        <v>0</v>
      </c>
      <c r="D35" s="112">
        <v>0</v>
      </c>
      <c r="E35" s="112">
        <v>0</v>
      </c>
      <c r="F35" s="112">
        <v>0</v>
      </c>
      <c r="G35" s="112">
        <v>0</v>
      </c>
      <c r="I35" s="108">
        <f t="shared" si="1"/>
        <v>0</v>
      </c>
      <c r="J35" s="108">
        <f t="shared" si="1"/>
        <v>0</v>
      </c>
      <c r="K35" s="108">
        <f t="shared" si="1"/>
        <v>0</v>
      </c>
      <c r="L35" s="108">
        <f t="shared" si="1"/>
        <v>0</v>
      </c>
      <c r="M35" s="108">
        <f t="shared" si="1"/>
        <v>0</v>
      </c>
      <c r="N35" s="108">
        <f t="shared" si="1"/>
        <v>0</v>
      </c>
    </row>
    <row r="36" spans="1:14" x14ac:dyDescent="0.35">
      <c r="A36" s="1" t="s">
        <v>24</v>
      </c>
      <c r="B36" s="112">
        <v>0</v>
      </c>
      <c r="C36" s="112">
        <v>0</v>
      </c>
      <c r="D36" s="112">
        <v>0</v>
      </c>
      <c r="E36" s="112">
        <v>0</v>
      </c>
      <c r="F36" s="112">
        <v>0</v>
      </c>
      <c r="G36" s="112">
        <v>0</v>
      </c>
      <c r="I36" s="108">
        <f t="shared" si="1"/>
        <v>0</v>
      </c>
      <c r="J36" s="108">
        <f t="shared" si="1"/>
        <v>0</v>
      </c>
      <c r="K36" s="108">
        <f t="shared" si="1"/>
        <v>0</v>
      </c>
      <c r="L36" s="108">
        <f t="shared" si="1"/>
        <v>0</v>
      </c>
      <c r="M36" s="108">
        <f t="shared" si="1"/>
        <v>0</v>
      </c>
      <c r="N36" s="108">
        <f t="shared" si="1"/>
        <v>0</v>
      </c>
    </row>
    <row r="37" spans="1:14" x14ac:dyDescent="0.35">
      <c r="A37" s="1" t="s">
        <v>25</v>
      </c>
      <c r="B37" s="112">
        <v>0</v>
      </c>
      <c r="C37" s="112">
        <v>0</v>
      </c>
      <c r="D37" s="112">
        <v>0</v>
      </c>
      <c r="E37" s="112">
        <v>0</v>
      </c>
      <c r="F37" s="112">
        <v>0</v>
      </c>
      <c r="G37" s="112">
        <v>0</v>
      </c>
      <c r="I37" s="108">
        <f t="shared" si="1"/>
        <v>0</v>
      </c>
      <c r="J37" s="108">
        <f t="shared" si="1"/>
        <v>0</v>
      </c>
      <c r="K37" s="108">
        <f t="shared" si="1"/>
        <v>0</v>
      </c>
      <c r="L37" s="108">
        <f t="shared" si="1"/>
        <v>0</v>
      </c>
      <c r="M37" s="108">
        <f t="shared" si="1"/>
        <v>0</v>
      </c>
      <c r="N37" s="108">
        <f t="shared" si="1"/>
        <v>0</v>
      </c>
    </row>
    <row r="38" spans="1:14" x14ac:dyDescent="0.35">
      <c r="A38" s="1" t="s">
        <v>26</v>
      </c>
      <c r="B38" s="112">
        <v>0</v>
      </c>
      <c r="C38" s="112">
        <v>0</v>
      </c>
      <c r="D38" s="112">
        <v>0</v>
      </c>
      <c r="E38" s="112">
        <v>0</v>
      </c>
      <c r="F38" s="112">
        <v>0</v>
      </c>
      <c r="G38" s="112">
        <v>0</v>
      </c>
      <c r="I38" s="108">
        <f t="shared" si="1"/>
        <v>0</v>
      </c>
      <c r="J38" s="108">
        <f t="shared" si="1"/>
        <v>0</v>
      </c>
      <c r="K38" s="108">
        <f t="shared" si="1"/>
        <v>0</v>
      </c>
      <c r="L38" s="108">
        <f t="shared" si="1"/>
        <v>0</v>
      </c>
      <c r="M38" s="108">
        <f t="shared" si="1"/>
        <v>0</v>
      </c>
      <c r="N38" s="108">
        <f t="shared" si="1"/>
        <v>0</v>
      </c>
    </row>
    <row r="39" spans="1:14" x14ac:dyDescent="0.35">
      <c r="A39" s="1" t="s">
        <v>27</v>
      </c>
      <c r="B39" s="112">
        <v>0</v>
      </c>
      <c r="C39" s="112">
        <v>0</v>
      </c>
      <c r="D39" s="112">
        <v>0</v>
      </c>
      <c r="E39" s="112">
        <v>0</v>
      </c>
      <c r="F39" s="112">
        <v>0</v>
      </c>
      <c r="G39" s="112">
        <v>0</v>
      </c>
      <c r="I39" s="108">
        <f t="shared" si="1"/>
        <v>0</v>
      </c>
      <c r="J39" s="108">
        <f t="shared" si="1"/>
        <v>0</v>
      </c>
      <c r="K39" s="108">
        <f t="shared" si="1"/>
        <v>0</v>
      </c>
      <c r="L39" s="108">
        <f t="shared" si="1"/>
        <v>0</v>
      </c>
      <c r="M39" s="108">
        <f t="shared" si="1"/>
        <v>0</v>
      </c>
      <c r="N39" s="108">
        <f t="shared" si="1"/>
        <v>0</v>
      </c>
    </row>
    <row r="40" spans="1:14" x14ac:dyDescent="0.35">
      <c r="A40" s="1" t="s">
        <v>28</v>
      </c>
      <c r="B40" s="112">
        <v>0</v>
      </c>
      <c r="C40" s="112">
        <v>0</v>
      </c>
      <c r="D40" s="112">
        <v>0</v>
      </c>
      <c r="E40" s="112">
        <v>0</v>
      </c>
      <c r="F40" s="112">
        <v>0</v>
      </c>
      <c r="G40" s="112">
        <v>0</v>
      </c>
      <c r="I40" s="108">
        <f t="shared" si="1"/>
        <v>0</v>
      </c>
      <c r="J40" s="108">
        <f t="shared" si="1"/>
        <v>0</v>
      </c>
      <c r="K40" s="108">
        <f t="shared" si="1"/>
        <v>0</v>
      </c>
      <c r="L40" s="108">
        <f t="shared" si="1"/>
        <v>0</v>
      </c>
      <c r="M40" s="108">
        <f t="shared" si="1"/>
        <v>0</v>
      </c>
      <c r="N40" s="108">
        <f t="shared" si="1"/>
        <v>0</v>
      </c>
    </row>
    <row r="41" spans="1:14" x14ac:dyDescent="0.35">
      <c r="A41" s="1" t="s">
        <v>29</v>
      </c>
      <c r="B41" s="112">
        <v>0</v>
      </c>
      <c r="C41" s="112">
        <v>0</v>
      </c>
      <c r="D41" s="112">
        <v>0</v>
      </c>
      <c r="E41" s="112">
        <v>0</v>
      </c>
      <c r="F41" s="112">
        <v>0</v>
      </c>
      <c r="G41" s="112">
        <v>0</v>
      </c>
      <c r="I41" s="108">
        <f t="shared" si="1"/>
        <v>0</v>
      </c>
      <c r="J41" s="108">
        <f t="shared" si="1"/>
        <v>0</v>
      </c>
      <c r="K41" s="108">
        <f t="shared" si="1"/>
        <v>0</v>
      </c>
      <c r="L41" s="108">
        <f t="shared" si="1"/>
        <v>0</v>
      </c>
      <c r="M41" s="108">
        <f t="shared" si="1"/>
        <v>0</v>
      </c>
      <c r="N41" s="108">
        <f t="shared" si="1"/>
        <v>0</v>
      </c>
    </row>
    <row r="42" spans="1:14" x14ac:dyDescent="0.35">
      <c r="A42" s="1" t="s">
        <v>30</v>
      </c>
      <c r="B42" s="112">
        <v>0</v>
      </c>
      <c r="C42" s="112">
        <v>0</v>
      </c>
      <c r="D42" s="112">
        <v>0</v>
      </c>
      <c r="E42" s="112">
        <v>0</v>
      </c>
      <c r="F42" s="112">
        <v>0</v>
      </c>
      <c r="G42" s="112">
        <v>0</v>
      </c>
      <c r="I42" s="108">
        <f t="shared" si="1"/>
        <v>0</v>
      </c>
      <c r="J42" s="108">
        <f t="shared" si="1"/>
        <v>0</v>
      </c>
      <c r="K42" s="108">
        <f t="shared" si="1"/>
        <v>0</v>
      </c>
      <c r="L42" s="108">
        <f t="shared" si="1"/>
        <v>0</v>
      </c>
      <c r="M42" s="108">
        <f t="shared" si="1"/>
        <v>0</v>
      </c>
      <c r="N42" s="108">
        <f t="shared" si="1"/>
        <v>0</v>
      </c>
    </row>
    <row r="43" spans="1:14" x14ac:dyDescent="0.35">
      <c r="A43" s="1" t="s">
        <v>31</v>
      </c>
      <c r="B43" s="112">
        <v>0</v>
      </c>
      <c r="C43" s="112">
        <v>0</v>
      </c>
      <c r="D43" s="112">
        <v>0</v>
      </c>
      <c r="E43" s="112">
        <v>0</v>
      </c>
      <c r="F43" s="112">
        <v>0</v>
      </c>
      <c r="G43" s="112">
        <v>0</v>
      </c>
      <c r="I43" s="108">
        <f t="shared" si="1"/>
        <v>0</v>
      </c>
      <c r="J43" s="108">
        <f t="shared" si="1"/>
        <v>0</v>
      </c>
      <c r="K43" s="108">
        <f t="shared" si="1"/>
        <v>0</v>
      </c>
      <c r="L43" s="108">
        <f t="shared" si="1"/>
        <v>0</v>
      </c>
      <c r="M43" s="108">
        <f t="shared" si="1"/>
        <v>0</v>
      </c>
      <c r="N43" s="108">
        <f t="shared" si="1"/>
        <v>0</v>
      </c>
    </row>
    <row r="44" spans="1:14" x14ac:dyDescent="0.35">
      <c r="A44" s="1" t="s">
        <v>33</v>
      </c>
      <c r="B44" s="112">
        <v>0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I44" s="108">
        <f t="shared" si="1"/>
        <v>0</v>
      </c>
      <c r="J44" s="108">
        <f t="shared" si="1"/>
        <v>0</v>
      </c>
      <c r="K44" s="108">
        <f t="shared" si="1"/>
        <v>0</v>
      </c>
      <c r="L44" s="108">
        <f t="shared" si="1"/>
        <v>0</v>
      </c>
      <c r="M44" s="108">
        <f t="shared" si="1"/>
        <v>0</v>
      </c>
      <c r="N44" s="108">
        <f t="shared" si="1"/>
        <v>0</v>
      </c>
    </row>
    <row r="45" spans="1:14" x14ac:dyDescent="0.35">
      <c r="A45" s="1" t="s">
        <v>32</v>
      </c>
      <c r="B45" s="112">
        <v>0</v>
      </c>
      <c r="C45" s="112">
        <v>0</v>
      </c>
      <c r="D45" s="112">
        <v>0</v>
      </c>
      <c r="E45" s="112">
        <v>0</v>
      </c>
      <c r="F45" s="112">
        <v>0</v>
      </c>
      <c r="G45" s="112">
        <v>0</v>
      </c>
      <c r="I45" s="108">
        <f t="shared" si="1"/>
        <v>0</v>
      </c>
      <c r="J45" s="108">
        <f t="shared" si="1"/>
        <v>0</v>
      </c>
      <c r="K45" s="108">
        <f t="shared" si="1"/>
        <v>0</v>
      </c>
      <c r="L45" s="108">
        <f t="shared" si="1"/>
        <v>0</v>
      </c>
      <c r="M45" s="108">
        <f t="shared" si="1"/>
        <v>0</v>
      </c>
      <c r="N45" s="108">
        <f t="shared" si="1"/>
        <v>0</v>
      </c>
    </row>
    <row r="46" spans="1:14" x14ac:dyDescent="0.35">
      <c r="A46" s="1" t="s">
        <v>34</v>
      </c>
      <c r="B46" s="112">
        <v>0</v>
      </c>
      <c r="C46" s="112">
        <v>0</v>
      </c>
      <c r="D46" s="112">
        <v>0</v>
      </c>
      <c r="E46" s="112">
        <v>0</v>
      </c>
      <c r="F46" s="112">
        <v>0</v>
      </c>
      <c r="G46" s="112">
        <v>0</v>
      </c>
      <c r="I46" s="108">
        <f t="shared" si="1"/>
        <v>0</v>
      </c>
      <c r="J46" s="108">
        <f t="shared" si="1"/>
        <v>0</v>
      </c>
      <c r="K46" s="108">
        <f t="shared" si="1"/>
        <v>0</v>
      </c>
      <c r="L46" s="108">
        <f t="shared" si="1"/>
        <v>0</v>
      </c>
      <c r="M46" s="108">
        <f t="shared" si="1"/>
        <v>0</v>
      </c>
      <c r="N46" s="108">
        <f t="shared" si="1"/>
        <v>0</v>
      </c>
    </row>
    <row r="47" spans="1:14" x14ac:dyDescent="0.35">
      <c r="A47" s="1" t="s">
        <v>35</v>
      </c>
      <c r="B47" s="112">
        <v>0</v>
      </c>
      <c r="C47" s="112">
        <v>0</v>
      </c>
      <c r="D47" s="112">
        <v>0</v>
      </c>
      <c r="E47" s="112">
        <v>0</v>
      </c>
      <c r="F47" s="112">
        <v>0</v>
      </c>
      <c r="G47" s="112">
        <v>0</v>
      </c>
      <c r="I47" s="108">
        <f t="shared" si="1"/>
        <v>0</v>
      </c>
      <c r="J47" s="108">
        <f t="shared" si="1"/>
        <v>0</v>
      </c>
      <c r="K47" s="108">
        <f t="shared" si="1"/>
        <v>0</v>
      </c>
      <c r="L47" s="108">
        <f t="shared" si="1"/>
        <v>0</v>
      </c>
      <c r="M47" s="108">
        <f t="shared" si="1"/>
        <v>0</v>
      </c>
      <c r="N47" s="108">
        <f t="shared" si="1"/>
        <v>0</v>
      </c>
    </row>
    <row r="48" spans="1:14" x14ac:dyDescent="0.35">
      <c r="A48" s="1" t="s">
        <v>36</v>
      </c>
      <c r="B48" s="112">
        <v>0</v>
      </c>
      <c r="C48" s="112">
        <v>0</v>
      </c>
      <c r="D48" s="112">
        <v>0</v>
      </c>
      <c r="E48" s="112">
        <v>0</v>
      </c>
      <c r="F48" s="112">
        <v>0</v>
      </c>
      <c r="G48" s="112">
        <v>0</v>
      </c>
      <c r="I48" s="108">
        <f t="shared" si="1"/>
        <v>0</v>
      </c>
      <c r="J48" s="108">
        <f t="shared" si="1"/>
        <v>0</v>
      </c>
      <c r="K48" s="108">
        <f t="shared" si="1"/>
        <v>0</v>
      </c>
      <c r="L48" s="108">
        <f t="shared" si="1"/>
        <v>0</v>
      </c>
      <c r="M48" s="108">
        <f t="shared" si="1"/>
        <v>0</v>
      </c>
      <c r="N48" s="108">
        <f t="shared" si="1"/>
        <v>0</v>
      </c>
    </row>
    <row r="49" spans="1:20" x14ac:dyDescent="0.35">
      <c r="A49" s="1" t="s">
        <v>37</v>
      </c>
      <c r="B49" s="112">
        <v>0</v>
      </c>
      <c r="C49" s="112">
        <v>0</v>
      </c>
      <c r="D49" s="112">
        <v>0</v>
      </c>
      <c r="E49" s="112">
        <v>0</v>
      </c>
      <c r="F49" s="112">
        <v>0</v>
      </c>
      <c r="G49" s="112">
        <v>0</v>
      </c>
      <c r="I49" s="108">
        <f t="shared" si="1"/>
        <v>0</v>
      </c>
      <c r="J49" s="108">
        <f t="shared" si="1"/>
        <v>0</v>
      </c>
      <c r="K49" s="108">
        <f t="shared" si="1"/>
        <v>0</v>
      </c>
      <c r="L49" s="108">
        <f t="shared" si="1"/>
        <v>0</v>
      </c>
      <c r="M49" s="108">
        <f t="shared" si="1"/>
        <v>0</v>
      </c>
      <c r="N49" s="108">
        <f t="shared" si="1"/>
        <v>0</v>
      </c>
    </row>
    <row r="50" spans="1:20" x14ac:dyDescent="0.35">
      <c r="A50" s="1" t="s">
        <v>55</v>
      </c>
      <c r="B50" s="112">
        <v>0</v>
      </c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I50" s="108">
        <f t="shared" si="1"/>
        <v>0</v>
      </c>
      <c r="J50" s="108">
        <f t="shared" si="1"/>
        <v>0</v>
      </c>
      <c r="K50" s="108">
        <f t="shared" si="1"/>
        <v>0</v>
      </c>
      <c r="L50" s="108">
        <f t="shared" si="1"/>
        <v>0</v>
      </c>
      <c r="M50" s="108">
        <f t="shared" si="1"/>
        <v>0</v>
      </c>
      <c r="N50" s="108">
        <f t="shared" si="1"/>
        <v>0</v>
      </c>
    </row>
    <row r="51" spans="1:20" x14ac:dyDescent="0.35">
      <c r="A51" s="1" t="s">
        <v>38</v>
      </c>
      <c r="B51" s="112">
        <v>0</v>
      </c>
      <c r="C51" s="112">
        <v>0</v>
      </c>
      <c r="D51" s="112">
        <v>0</v>
      </c>
      <c r="E51" s="112">
        <v>0</v>
      </c>
      <c r="F51" s="112">
        <v>0</v>
      </c>
      <c r="G51" s="112">
        <v>0</v>
      </c>
      <c r="I51" s="108">
        <f t="shared" si="1"/>
        <v>0</v>
      </c>
      <c r="J51" s="108">
        <f t="shared" si="1"/>
        <v>0</v>
      </c>
      <c r="K51" s="108">
        <f t="shared" si="1"/>
        <v>0</v>
      </c>
      <c r="L51" s="108">
        <f t="shared" si="1"/>
        <v>0</v>
      </c>
      <c r="M51" s="108">
        <f t="shared" si="1"/>
        <v>0</v>
      </c>
      <c r="N51" s="108">
        <f t="shared" ref="N51:N62" si="2">G51*1.1</f>
        <v>0</v>
      </c>
    </row>
    <row r="52" spans="1:20" x14ac:dyDescent="0.35">
      <c r="A52" s="1" t="s">
        <v>39</v>
      </c>
      <c r="B52" s="112">
        <v>0</v>
      </c>
      <c r="C52" s="112">
        <v>0</v>
      </c>
      <c r="D52" s="112">
        <v>0</v>
      </c>
      <c r="E52" s="112">
        <v>0</v>
      </c>
      <c r="F52" s="112">
        <v>0</v>
      </c>
      <c r="G52" s="112">
        <v>0</v>
      </c>
      <c r="I52" s="108">
        <f t="shared" si="1"/>
        <v>0</v>
      </c>
      <c r="J52" s="108">
        <f t="shared" si="1"/>
        <v>0</v>
      </c>
      <c r="K52" s="108">
        <f t="shared" si="1"/>
        <v>0</v>
      </c>
      <c r="L52" s="108">
        <f t="shared" si="1"/>
        <v>0</v>
      </c>
      <c r="M52" s="108">
        <f t="shared" si="1"/>
        <v>0</v>
      </c>
      <c r="N52" s="108">
        <f t="shared" si="2"/>
        <v>0</v>
      </c>
    </row>
    <row r="53" spans="1:20" x14ac:dyDescent="0.35">
      <c r="A53" s="1" t="s">
        <v>40</v>
      </c>
      <c r="B53" s="112">
        <v>0</v>
      </c>
      <c r="C53" s="112">
        <v>0</v>
      </c>
      <c r="D53" s="112">
        <v>0</v>
      </c>
      <c r="E53" s="112">
        <v>0</v>
      </c>
      <c r="F53" s="112">
        <v>0</v>
      </c>
      <c r="G53" s="112">
        <v>0</v>
      </c>
      <c r="I53" s="108">
        <f t="shared" si="1"/>
        <v>0</v>
      </c>
      <c r="J53" s="108">
        <f t="shared" si="1"/>
        <v>0</v>
      </c>
      <c r="K53" s="108">
        <f t="shared" si="1"/>
        <v>0</v>
      </c>
      <c r="L53" s="108">
        <f t="shared" si="1"/>
        <v>0</v>
      </c>
      <c r="M53" s="108">
        <f t="shared" si="1"/>
        <v>0</v>
      </c>
      <c r="N53" s="108">
        <f t="shared" si="2"/>
        <v>0</v>
      </c>
    </row>
    <row r="54" spans="1:20" x14ac:dyDescent="0.35">
      <c r="A54" s="1" t="s">
        <v>41</v>
      </c>
      <c r="B54" s="112">
        <v>0</v>
      </c>
      <c r="C54" s="112">
        <v>0</v>
      </c>
      <c r="D54" s="112">
        <v>0</v>
      </c>
      <c r="E54" s="112">
        <v>0</v>
      </c>
      <c r="F54" s="112">
        <v>0</v>
      </c>
      <c r="G54" s="112">
        <v>0</v>
      </c>
      <c r="I54" s="108">
        <f t="shared" si="1"/>
        <v>0</v>
      </c>
      <c r="J54" s="108">
        <f t="shared" si="1"/>
        <v>0</v>
      </c>
      <c r="K54" s="108">
        <f t="shared" si="1"/>
        <v>0</v>
      </c>
      <c r="L54" s="108">
        <f t="shared" si="1"/>
        <v>0</v>
      </c>
      <c r="M54" s="108">
        <f t="shared" si="1"/>
        <v>0</v>
      </c>
      <c r="N54" s="108">
        <f t="shared" si="2"/>
        <v>0</v>
      </c>
    </row>
    <row r="55" spans="1:20" x14ac:dyDescent="0.35">
      <c r="A55" s="1" t="s">
        <v>42</v>
      </c>
      <c r="B55" s="112">
        <v>0</v>
      </c>
      <c r="C55" s="112">
        <v>0</v>
      </c>
      <c r="D55" s="112">
        <v>0</v>
      </c>
      <c r="E55" s="112">
        <v>0</v>
      </c>
      <c r="F55" s="112">
        <v>0</v>
      </c>
      <c r="G55" s="112">
        <v>0</v>
      </c>
      <c r="I55" s="108">
        <f t="shared" si="1"/>
        <v>0</v>
      </c>
      <c r="J55" s="108">
        <f t="shared" si="1"/>
        <v>0</v>
      </c>
      <c r="K55" s="108">
        <f t="shared" si="1"/>
        <v>0</v>
      </c>
      <c r="L55" s="108">
        <f t="shared" si="1"/>
        <v>0</v>
      </c>
      <c r="M55" s="108">
        <f t="shared" si="1"/>
        <v>0</v>
      </c>
      <c r="N55" s="108">
        <f t="shared" si="2"/>
        <v>0</v>
      </c>
    </row>
    <row r="56" spans="1:20" x14ac:dyDescent="0.35">
      <c r="A56" s="1" t="s">
        <v>43</v>
      </c>
      <c r="B56" s="112">
        <v>0</v>
      </c>
      <c r="C56" s="112">
        <v>0</v>
      </c>
      <c r="D56" s="112">
        <v>0</v>
      </c>
      <c r="E56" s="112">
        <v>0</v>
      </c>
      <c r="F56" s="112">
        <v>0</v>
      </c>
      <c r="G56" s="112">
        <v>0</v>
      </c>
      <c r="I56" s="108">
        <f t="shared" si="1"/>
        <v>0</v>
      </c>
      <c r="J56" s="108">
        <f t="shared" si="1"/>
        <v>0</v>
      </c>
      <c r="K56" s="108">
        <f t="shared" si="1"/>
        <v>0</v>
      </c>
      <c r="L56" s="108">
        <f t="shared" si="1"/>
        <v>0</v>
      </c>
      <c r="M56" s="108">
        <f t="shared" si="1"/>
        <v>0</v>
      </c>
      <c r="N56" s="108">
        <f t="shared" si="2"/>
        <v>0</v>
      </c>
    </row>
    <row r="57" spans="1:20" x14ac:dyDescent="0.35">
      <c r="A57" s="1" t="s">
        <v>44</v>
      </c>
      <c r="B57" s="112">
        <v>0</v>
      </c>
      <c r="C57" s="112">
        <v>0</v>
      </c>
      <c r="D57" s="112">
        <v>0</v>
      </c>
      <c r="E57" s="112">
        <v>0</v>
      </c>
      <c r="F57" s="112">
        <v>0</v>
      </c>
      <c r="G57" s="112">
        <v>0</v>
      </c>
      <c r="I57" s="108">
        <f t="shared" si="1"/>
        <v>0</v>
      </c>
      <c r="J57" s="108">
        <f t="shared" si="1"/>
        <v>0</v>
      </c>
      <c r="K57" s="108">
        <f t="shared" si="1"/>
        <v>0</v>
      </c>
      <c r="L57" s="108">
        <f t="shared" si="1"/>
        <v>0</v>
      </c>
      <c r="M57" s="108">
        <f t="shared" si="1"/>
        <v>0</v>
      </c>
      <c r="N57" s="108">
        <f t="shared" si="2"/>
        <v>0</v>
      </c>
    </row>
    <row r="58" spans="1:20" x14ac:dyDescent="0.35">
      <c r="A58" s="1" t="s">
        <v>45</v>
      </c>
      <c r="B58" s="112">
        <v>0</v>
      </c>
      <c r="C58" s="112">
        <v>0</v>
      </c>
      <c r="D58" s="112">
        <v>0</v>
      </c>
      <c r="E58" s="112">
        <v>0</v>
      </c>
      <c r="F58" s="112">
        <v>0</v>
      </c>
      <c r="G58" s="112">
        <v>0</v>
      </c>
      <c r="I58" s="108">
        <f t="shared" si="1"/>
        <v>0</v>
      </c>
      <c r="J58" s="108">
        <f t="shared" si="1"/>
        <v>0</v>
      </c>
      <c r="K58" s="108">
        <f t="shared" si="1"/>
        <v>0</v>
      </c>
      <c r="L58" s="108">
        <f t="shared" si="1"/>
        <v>0</v>
      </c>
      <c r="M58" s="108">
        <f t="shared" si="1"/>
        <v>0</v>
      </c>
      <c r="N58" s="108">
        <f t="shared" si="2"/>
        <v>0</v>
      </c>
    </row>
    <row r="59" spans="1:20" x14ac:dyDescent="0.35">
      <c r="A59" s="1" t="s">
        <v>46</v>
      </c>
      <c r="B59" s="112">
        <v>0</v>
      </c>
      <c r="C59" s="112">
        <v>0</v>
      </c>
      <c r="D59" s="112">
        <v>0</v>
      </c>
      <c r="E59" s="112">
        <v>0</v>
      </c>
      <c r="F59" s="112">
        <v>0</v>
      </c>
      <c r="G59" s="112">
        <v>0</v>
      </c>
      <c r="I59" s="108">
        <f t="shared" si="1"/>
        <v>0</v>
      </c>
      <c r="J59" s="108">
        <f t="shared" si="1"/>
        <v>0</v>
      </c>
      <c r="K59" s="108">
        <f t="shared" si="1"/>
        <v>0</v>
      </c>
      <c r="L59" s="108">
        <f t="shared" si="1"/>
        <v>0</v>
      </c>
      <c r="M59" s="108">
        <f t="shared" si="1"/>
        <v>0</v>
      </c>
      <c r="N59" s="108">
        <f t="shared" si="2"/>
        <v>0</v>
      </c>
    </row>
    <row r="60" spans="1:20" x14ac:dyDescent="0.35">
      <c r="A60" s="1" t="s">
        <v>47</v>
      </c>
      <c r="B60" s="112">
        <v>0</v>
      </c>
      <c r="C60" s="112">
        <v>0</v>
      </c>
      <c r="D60" s="112">
        <v>0</v>
      </c>
      <c r="E60" s="112">
        <v>0</v>
      </c>
      <c r="F60" s="112">
        <v>0</v>
      </c>
      <c r="G60" s="112">
        <v>0</v>
      </c>
      <c r="I60" s="108">
        <f t="shared" si="1"/>
        <v>0</v>
      </c>
      <c r="J60" s="108">
        <f t="shared" si="1"/>
        <v>0</v>
      </c>
      <c r="K60" s="108">
        <f t="shared" si="1"/>
        <v>0</v>
      </c>
      <c r="L60" s="108">
        <f t="shared" si="1"/>
        <v>0</v>
      </c>
      <c r="M60" s="108">
        <f t="shared" si="1"/>
        <v>0</v>
      </c>
      <c r="N60" s="108">
        <f t="shared" si="2"/>
        <v>0</v>
      </c>
    </row>
    <row r="61" spans="1:20" x14ac:dyDescent="0.35">
      <c r="A61" s="1" t="s">
        <v>48</v>
      </c>
      <c r="B61" s="112">
        <v>0</v>
      </c>
      <c r="C61" s="112">
        <v>0</v>
      </c>
      <c r="D61" s="112">
        <v>0</v>
      </c>
      <c r="E61" s="112">
        <v>0</v>
      </c>
      <c r="F61" s="112">
        <v>0</v>
      </c>
      <c r="G61" s="112">
        <v>0</v>
      </c>
      <c r="I61" s="108">
        <f t="shared" si="1"/>
        <v>0</v>
      </c>
      <c r="J61" s="108">
        <f t="shared" si="1"/>
        <v>0</v>
      </c>
      <c r="K61" s="108">
        <f t="shared" si="1"/>
        <v>0</v>
      </c>
      <c r="L61" s="108">
        <f t="shared" si="1"/>
        <v>0</v>
      </c>
      <c r="M61" s="108">
        <f t="shared" si="1"/>
        <v>0</v>
      </c>
      <c r="N61" s="108">
        <f t="shared" si="2"/>
        <v>0</v>
      </c>
    </row>
    <row r="62" spans="1:20" x14ac:dyDescent="0.35">
      <c r="A62" s="1" t="s">
        <v>49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I62" s="108">
        <f t="shared" si="1"/>
        <v>0</v>
      </c>
      <c r="J62" s="108">
        <f t="shared" si="1"/>
        <v>0</v>
      </c>
      <c r="K62" s="108">
        <f t="shared" si="1"/>
        <v>0</v>
      </c>
      <c r="L62" s="108">
        <f t="shared" si="1"/>
        <v>0</v>
      </c>
      <c r="M62" s="108">
        <f t="shared" si="1"/>
        <v>0</v>
      </c>
      <c r="N62" s="108">
        <f t="shared" si="2"/>
        <v>0</v>
      </c>
    </row>
    <row r="63" spans="1:20" x14ac:dyDescent="0.35">
      <c r="A63" s="37" t="s">
        <v>104</v>
      </c>
      <c r="B63" s="36">
        <f>AVERAGE(B5:G62)</f>
        <v>0</v>
      </c>
      <c r="S63" s="11"/>
      <c r="T63" s="11"/>
    </row>
    <row r="64" spans="1:20" x14ac:dyDescent="0.35">
      <c r="S64" s="11"/>
      <c r="T64" s="11"/>
    </row>
    <row r="65" spans="1:20" ht="15.5" x14ac:dyDescent="0.35">
      <c r="A65" s="120" t="s">
        <v>139</v>
      </c>
      <c r="B65" s="120"/>
      <c r="C65" s="120"/>
      <c r="D65" s="120"/>
      <c r="E65" s="120"/>
      <c r="F65" s="120"/>
      <c r="G65" s="120"/>
      <c r="S65" s="11"/>
      <c r="T65" s="11"/>
    </row>
    <row r="66" spans="1:20" ht="47.25" customHeight="1" x14ac:dyDescent="0.35">
      <c r="A66" s="110"/>
      <c r="B66" s="118" t="s">
        <v>187</v>
      </c>
      <c r="C66" s="118"/>
      <c r="D66" s="118"/>
      <c r="E66" s="118"/>
      <c r="F66" s="118"/>
      <c r="G66" s="118"/>
      <c r="I66" s="118" t="s">
        <v>188</v>
      </c>
      <c r="J66" s="118"/>
      <c r="K66" s="118"/>
      <c r="L66" s="118"/>
      <c r="M66" s="118"/>
      <c r="N66" s="118"/>
      <c r="S66" s="8"/>
      <c r="T66" s="8"/>
    </row>
    <row r="67" spans="1:20" ht="43" x14ac:dyDescent="0.35">
      <c r="A67" s="81" t="s">
        <v>51</v>
      </c>
      <c r="B67" s="17" t="s">
        <v>99</v>
      </c>
      <c r="C67" s="17" t="s">
        <v>100</v>
      </c>
      <c r="D67" s="17" t="s">
        <v>101</v>
      </c>
      <c r="E67" s="17" t="s">
        <v>102</v>
      </c>
      <c r="F67" s="17" t="s">
        <v>103</v>
      </c>
      <c r="G67" s="17" t="s">
        <v>149</v>
      </c>
      <c r="I67" s="17" t="s">
        <v>99</v>
      </c>
      <c r="J67" s="17" t="s">
        <v>100</v>
      </c>
      <c r="K67" s="17" t="s">
        <v>101</v>
      </c>
      <c r="L67" s="17" t="s">
        <v>102</v>
      </c>
      <c r="M67" s="17" t="s">
        <v>103</v>
      </c>
      <c r="N67" s="17" t="s">
        <v>149</v>
      </c>
      <c r="S67" s="8"/>
      <c r="T67" s="8"/>
    </row>
    <row r="68" spans="1:20" x14ac:dyDescent="0.35">
      <c r="A68" s="117" t="s">
        <v>286</v>
      </c>
      <c r="B68" s="112">
        <v>0</v>
      </c>
      <c r="C68" s="112">
        <v>0</v>
      </c>
      <c r="D68" s="112">
        <v>0</v>
      </c>
      <c r="E68" s="112">
        <v>0</v>
      </c>
      <c r="F68" s="112">
        <v>0</v>
      </c>
      <c r="G68" s="112">
        <v>0</v>
      </c>
      <c r="I68" s="108">
        <f>B68*1.1</f>
        <v>0</v>
      </c>
      <c r="J68" s="108">
        <f t="shared" ref="J68:N83" si="3">C68*1.1</f>
        <v>0</v>
      </c>
      <c r="K68" s="108">
        <f t="shared" si="3"/>
        <v>0</v>
      </c>
      <c r="L68" s="108">
        <f t="shared" si="3"/>
        <v>0</v>
      </c>
      <c r="M68" s="108">
        <f t="shared" si="3"/>
        <v>0</v>
      </c>
      <c r="N68" s="108">
        <f t="shared" si="3"/>
        <v>0</v>
      </c>
      <c r="S68" s="12"/>
      <c r="T68" s="12"/>
    </row>
    <row r="69" spans="1:20" x14ac:dyDescent="0.35">
      <c r="A69" s="117" t="s">
        <v>287</v>
      </c>
      <c r="B69" s="112">
        <v>0</v>
      </c>
      <c r="C69" s="112">
        <v>0</v>
      </c>
      <c r="D69" s="112">
        <v>0</v>
      </c>
      <c r="E69" s="112">
        <v>0</v>
      </c>
      <c r="F69" s="112">
        <v>0</v>
      </c>
      <c r="G69" s="112">
        <v>0</v>
      </c>
      <c r="I69" s="108">
        <f t="shared" ref="I69:N123" si="4">B69*1.1</f>
        <v>0</v>
      </c>
      <c r="J69" s="108">
        <f t="shared" si="3"/>
        <v>0</v>
      </c>
      <c r="K69" s="108">
        <f t="shared" si="3"/>
        <v>0</v>
      </c>
      <c r="L69" s="108">
        <f t="shared" si="3"/>
        <v>0</v>
      </c>
      <c r="M69" s="108">
        <f t="shared" si="3"/>
        <v>0</v>
      </c>
      <c r="N69" s="108">
        <f t="shared" si="3"/>
        <v>0</v>
      </c>
      <c r="S69" s="8"/>
      <c r="T69" s="8"/>
    </row>
    <row r="70" spans="1:20" x14ac:dyDescent="0.35">
      <c r="A70" s="117" t="s">
        <v>285</v>
      </c>
      <c r="B70" s="112">
        <v>0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I70" s="108">
        <f t="shared" si="4"/>
        <v>0</v>
      </c>
      <c r="J70" s="108">
        <f t="shared" si="3"/>
        <v>0</v>
      </c>
      <c r="K70" s="108">
        <f t="shared" si="3"/>
        <v>0</v>
      </c>
      <c r="L70" s="108">
        <f t="shared" si="3"/>
        <v>0</v>
      </c>
      <c r="M70" s="108">
        <f t="shared" si="3"/>
        <v>0</v>
      </c>
      <c r="N70" s="108">
        <f t="shared" si="3"/>
        <v>0</v>
      </c>
      <c r="S70" s="8"/>
      <c r="T70" s="8"/>
    </row>
    <row r="71" spans="1:20" x14ac:dyDescent="0.35">
      <c r="A71" s="1" t="s">
        <v>53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I71" s="108">
        <f t="shared" si="4"/>
        <v>0</v>
      </c>
      <c r="J71" s="108">
        <f t="shared" si="3"/>
        <v>0</v>
      </c>
      <c r="K71" s="108">
        <f t="shared" si="3"/>
        <v>0</v>
      </c>
      <c r="L71" s="108">
        <f t="shared" si="3"/>
        <v>0</v>
      </c>
      <c r="M71" s="108">
        <f t="shared" si="3"/>
        <v>0</v>
      </c>
      <c r="N71" s="108">
        <f t="shared" si="3"/>
        <v>0</v>
      </c>
      <c r="S71" s="8"/>
      <c r="T71" s="8"/>
    </row>
    <row r="72" spans="1:20" x14ac:dyDescent="0.35">
      <c r="A72" s="1" t="s">
        <v>52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I72" s="108">
        <f t="shared" si="4"/>
        <v>0</v>
      </c>
      <c r="J72" s="108">
        <f t="shared" si="3"/>
        <v>0</v>
      </c>
      <c r="K72" s="108">
        <f t="shared" si="3"/>
        <v>0</v>
      </c>
      <c r="L72" s="108">
        <f t="shared" si="3"/>
        <v>0</v>
      </c>
      <c r="M72" s="108">
        <f t="shared" si="3"/>
        <v>0</v>
      </c>
      <c r="N72" s="108">
        <f t="shared" si="3"/>
        <v>0</v>
      </c>
      <c r="S72" s="8"/>
      <c r="T72" s="8"/>
    </row>
    <row r="73" spans="1:20" x14ac:dyDescent="0.35">
      <c r="A73" s="1" t="s">
        <v>54</v>
      </c>
      <c r="B73" s="112">
        <v>0</v>
      </c>
      <c r="C73" s="112">
        <v>0</v>
      </c>
      <c r="D73" s="112">
        <v>0</v>
      </c>
      <c r="E73" s="112">
        <v>0</v>
      </c>
      <c r="F73" s="112">
        <v>0</v>
      </c>
      <c r="G73" s="112">
        <v>0</v>
      </c>
      <c r="I73" s="108">
        <f t="shared" si="4"/>
        <v>0</v>
      </c>
      <c r="J73" s="108">
        <f t="shared" si="3"/>
        <v>0</v>
      </c>
      <c r="K73" s="108">
        <f t="shared" si="3"/>
        <v>0</v>
      </c>
      <c r="L73" s="108">
        <f t="shared" si="3"/>
        <v>0</v>
      </c>
      <c r="M73" s="108">
        <f t="shared" si="3"/>
        <v>0</v>
      </c>
      <c r="N73" s="108">
        <f t="shared" si="3"/>
        <v>0</v>
      </c>
      <c r="S73" s="8"/>
      <c r="T73" s="8"/>
    </row>
    <row r="74" spans="1:20" x14ac:dyDescent="0.35">
      <c r="A74" s="1" t="s">
        <v>0</v>
      </c>
      <c r="B74" s="112">
        <v>0</v>
      </c>
      <c r="C74" s="112">
        <v>0</v>
      </c>
      <c r="D74" s="112">
        <v>0</v>
      </c>
      <c r="E74" s="112">
        <v>0</v>
      </c>
      <c r="F74" s="112">
        <v>0</v>
      </c>
      <c r="G74" s="112">
        <v>0</v>
      </c>
      <c r="I74" s="108">
        <f t="shared" si="4"/>
        <v>0</v>
      </c>
      <c r="J74" s="108">
        <f t="shared" si="3"/>
        <v>0</v>
      </c>
      <c r="K74" s="108">
        <f t="shared" si="3"/>
        <v>0</v>
      </c>
      <c r="L74" s="108">
        <f t="shared" si="3"/>
        <v>0</v>
      </c>
      <c r="M74" s="108">
        <f t="shared" si="3"/>
        <v>0</v>
      </c>
      <c r="N74" s="108">
        <f t="shared" si="3"/>
        <v>0</v>
      </c>
      <c r="S74" s="8"/>
      <c r="T74" s="8"/>
    </row>
    <row r="75" spans="1:20" x14ac:dyDescent="0.35">
      <c r="A75" s="1" t="s">
        <v>1</v>
      </c>
      <c r="B75" s="112">
        <v>0</v>
      </c>
      <c r="C75" s="112">
        <v>0</v>
      </c>
      <c r="D75" s="112">
        <v>0</v>
      </c>
      <c r="E75" s="112">
        <v>0</v>
      </c>
      <c r="F75" s="112">
        <v>0</v>
      </c>
      <c r="G75" s="112">
        <v>0</v>
      </c>
      <c r="I75" s="108">
        <f t="shared" si="4"/>
        <v>0</v>
      </c>
      <c r="J75" s="108">
        <f t="shared" si="3"/>
        <v>0</v>
      </c>
      <c r="K75" s="108">
        <f t="shared" si="3"/>
        <v>0</v>
      </c>
      <c r="L75" s="108">
        <f t="shared" si="3"/>
        <v>0</v>
      </c>
      <c r="M75" s="108">
        <f t="shared" si="3"/>
        <v>0</v>
      </c>
      <c r="N75" s="108">
        <f t="shared" si="3"/>
        <v>0</v>
      </c>
      <c r="S75" s="8"/>
      <c r="T75" s="8"/>
    </row>
    <row r="76" spans="1:20" x14ac:dyDescent="0.35">
      <c r="A76" s="1" t="s">
        <v>2</v>
      </c>
      <c r="B76" s="112">
        <v>0</v>
      </c>
      <c r="C76" s="112">
        <v>0</v>
      </c>
      <c r="D76" s="112">
        <v>0</v>
      </c>
      <c r="E76" s="112">
        <v>0</v>
      </c>
      <c r="F76" s="112">
        <v>0</v>
      </c>
      <c r="G76" s="112">
        <v>0</v>
      </c>
      <c r="I76" s="108">
        <f t="shared" si="4"/>
        <v>0</v>
      </c>
      <c r="J76" s="108">
        <f t="shared" si="3"/>
        <v>0</v>
      </c>
      <c r="K76" s="108">
        <f t="shared" si="3"/>
        <v>0</v>
      </c>
      <c r="L76" s="108">
        <f t="shared" si="3"/>
        <v>0</v>
      </c>
      <c r="M76" s="108">
        <f t="shared" si="3"/>
        <v>0</v>
      </c>
      <c r="N76" s="108">
        <f t="shared" si="3"/>
        <v>0</v>
      </c>
      <c r="S76" s="8"/>
      <c r="T76" s="8"/>
    </row>
    <row r="77" spans="1:20" x14ac:dyDescent="0.35">
      <c r="A77" s="1" t="s">
        <v>3</v>
      </c>
      <c r="B77" s="112">
        <v>0</v>
      </c>
      <c r="C77" s="112">
        <v>0</v>
      </c>
      <c r="D77" s="112">
        <v>0</v>
      </c>
      <c r="E77" s="112">
        <v>0</v>
      </c>
      <c r="F77" s="112">
        <v>0</v>
      </c>
      <c r="G77" s="112">
        <v>0</v>
      </c>
      <c r="I77" s="108">
        <f t="shared" si="4"/>
        <v>0</v>
      </c>
      <c r="J77" s="108">
        <f t="shared" si="3"/>
        <v>0</v>
      </c>
      <c r="K77" s="108">
        <f t="shared" si="3"/>
        <v>0</v>
      </c>
      <c r="L77" s="108">
        <f t="shared" si="3"/>
        <v>0</v>
      </c>
      <c r="M77" s="108">
        <f t="shared" si="3"/>
        <v>0</v>
      </c>
      <c r="N77" s="108">
        <f t="shared" si="3"/>
        <v>0</v>
      </c>
      <c r="S77" s="8"/>
      <c r="T77" s="8"/>
    </row>
    <row r="78" spans="1:20" x14ac:dyDescent="0.35">
      <c r="A78" s="1" t="s">
        <v>4</v>
      </c>
      <c r="B78" s="112">
        <v>0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I78" s="108">
        <f t="shared" si="4"/>
        <v>0</v>
      </c>
      <c r="J78" s="108">
        <f t="shared" si="3"/>
        <v>0</v>
      </c>
      <c r="K78" s="108">
        <f t="shared" si="3"/>
        <v>0</v>
      </c>
      <c r="L78" s="108">
        <f t="shared" si="3"/>
        <v>0</v>
      </c>
      <c r="M78" s="108">
        <f t="shared" si="3"/>
        <v>0</v>
      </c>
      <c r="N78" s="108">
        <f t="shared" si="3"/>
        <v>0</v>
      </c>
      <c r="S78" s="8"/>
      <c r="T78" s="8"/>
    </row>
    <row r="79" spans="1:20" x14ac:dyDescent="0.35">
      <c r="A79" s="1" t="s">
        <v>5</v>
      </c>
      <c r="B79" s="112">
        <v>0</v>
      </c>
      <c r="C79" s="112">
        <v>0</v>
      </c>
      <c r="D79" s="112">
        <v>0</v>
      </c>
      <c r="E79" s="112">
        <v>0</v>
      </c>
      <c r="F79" s="112">
        <v>0</v>
      </c>
      <c r="G79" s="112">
        <v>0</v>
      </c>
      <c r="I79" s="108">
        <f t="shared" si="4"/>
        <v>0</v>
      </c>
      <c r="J79" s="108">
        <f t="shared" si="3"/>
        <v>0</v>
      </c>
      <c r="K79" s="108">
        <f t="shared" si="3"/>
        <v>0</v>
      </c>
      <c r="L79" s="108">
        <f t="shared" si="3"/>
        <v>0</v>
      </c>
      <c r="M79" s="108">
        <f t="shared" si="3"/>
        <v>0</v>
      </c>
      <c r="N79" s="108">
        <f t="shared" si="3"/>
        <v>0</v>
      </c>
      <c r="S79" s="8"/>
      <c r="T79" s="8"/>
    </row>
    <row r="80" spans="1:20" x14ac:dyDescent="0.35">
      <c r="A80" s="1" t="s">
        <v>6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I80" s="108">
        <f t="shared" si="4"/>
        <v>0</v>
      </c>
      <c r="J80" s="108">
        <f t="shared" si="3"/>
        <v>0</v>
      </c>
      <c r="K80" s="108">
        <f t="shared" si="3"/>
        <v>0</v>
      </c>
      <c r="L80" s="108">
        <f t="shared" si="3"/>
        <v>0</v>
      </c>
      <c r="M80" s="108">
        <f t="shared" si="3"/>
        <v>0</v>
      </c>
      <c r="N80" s="108">
        <f t="shared" si="3"/>
        <v>0</v>
      </c>
      <c r="S80" s="8"/>
      <c r="T80" s="8"/>
    </row>
    <row r="81" spans="1:20" x14ac:dyDescent="0.35">
      <c r="A81" s="1" t="s">
        <v>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I81" s="108">
        <f t="shared" si="4"/>
        <v>0</v>
      </c>
      <c r="J81" s="108">
        <f t="shared" si="3"/>
        <v>0</v>
      </c>
      <c r="K81" s="108">
        <f t="shared" si="3"/>
        <v>0</v>
      </c>
      <c r="L81" s="108">
        <f t="shared" si="3"/>
        <v>0</v>
      </c>
      <c r="M81" s="108">
        <f t="shared" si="3"/>
        <v>0</v>
      </c>
      <c r="N81" s="108">
        <f t="shared" si="3"/>
        <v>0</v>
      </c>
      <c r="S81" s="8"/>
      <c r="T81" s="8"/>
    </row>
    <row r="82" spans="1:20" x14ac:dyDescent="0.35">
      <c r="A82" s="1" t="s">
        <v>8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I82" s="108">
        <f t="shared" si="4"/>
        <v>0</v>
      </c>
      <c r="J82" s="108">
        <f t="shared" si="3"/>
        <v>0</v>
      </c>
      <c r="K82" s="108">
        <f t="shared" si="3"/>
        <v>0</v>
      </c>
      <c r="L82" s="108">
        <f t="shared" si="3"/>
        <v>0</v>
      </c>
      <c r="M82" s="108">
        <f t="shared" si="3"/>
        <v>0</v>
      </c>
      <c r="N82" s="108">
        <f t="shared" si="3"/>
        <v>0</v>
      </c>
      <c r="S82" s="13"/>
      <c r="T82" s="13"/>
    </row>
    <row r="83" spans="1:20" x14ac:dyDescent="0.35">
      <c r="A83" s="1" t="s">
        <v>9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I83" s="108">
        <f t="shared" si="4"/>
        <v>0</v>
      </c>
      <c r="J83" s="108">
        <f t="shared" si="3"/>
        <v>0</v>
      </c>
      <c r="K83" s="108">
        <f t="shared" si="3"/>
        <v>0</v>
      </c>
      <c r="L83" s="108">
        <f t="shared" si="3"/>
        <v>0</v>
      </c>
      <c r="M83" s="108">
        <f t="shared" si="3"/>
        <v>0</v>
      </c>
      <c r="N83" s="108">
        <f t="shared" si="3"/>
        <v>0</v>
      </c>
      <c r="S83" s="13"/>
      <c r="T83" s="13"/>
    </row>
    <row r="84" spans="1:20" x14ac:dyDescent="0.35">
      <c r="A84" s="1" t="s">
        <v>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I84" s="108">
        <f t="shared" si="4"/>
        <v>0</v>
      </c>
      <c r="J84" s="108">
        <f t="shared" si="4"/>
        <v>0</v>
      </c>
      <c r="K84" s="108">
        <f t="shared" si="4"/>
        <v>0</v>
      </c>
      <c r="L84" s="108">
        <f t="shared" si="4"/>
        <v>0</v>
      </c>
      <c r="M84" s="108">
        <f t="shared" si="4"/>
        <v>0</v>
      </c>
      <c r="N84" s="108">
        <f t="shared" si="4"/>
        <v>0</v>
      </c>
      <c r="S84" s="14"/>
      <c r="T84" s="14"/>
    </row>
    <row r="85" spans="1:20" x14ac:dyDescent="0.35">
      <c r="A85" s="1" t="s">
        <v>11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I85" s="108">
        <f t="shared" si="4"/>
        <v>0</v>
      </c>
      <c r="J85" s="108">
        <f t="shared" si="4"/>
        <v>0</v>
      </c>
      <c r="K85" s="108">
        <f t="shared" si="4"/>
        <v>0</v>
      </c>
      <c r="L85" s="108">
        <f t="shared" si="4"/>
        <v>0</v>
      </c>
      <c r="M85" s="108">
        <f t="shared" si="4"/>
        <v>0</v>
      </c>
      <c r="N85" s="108">
        <f t="shared" si="4"/>
        <v>0</v>
      </c>
      <c r="S85" s="14"/>
      <c r="T85" s="14"/>
    </row>
    <row r="86" spans="1:20" s="28" customFormat="1" x14ac:dyDescent="0.35">
      <c r="A86" s="1" t="s">
        <v>12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I86" s="108">
        <f t="shared" si="4"/>
        <v>0</v>
      </c>
      <c r="J86" s="108">
        <f t="shared" si="4"/>
        <v>0</v>
      </c>
      <c r="K86" s="108">
        <f t="shared" si="4"/>
        <v>0</v>
      </c>
      <c r="L86" s="108">
        <f t="shared" si="4"/>
        <v>0</v>
      </c>
      <c r="M86" s="108">
        <f t="shared" si="4"/>
        <v>0</v>
      </c>
      <c r="N86" s="108">
        <f t="shared" si="4"/>
        <v>0</v>
      </c>
      <c r="S86" s="27"/>
      <c r="T86" s="27"/>
    </row>
    <row r="87" spans="1:20" x14ac:dyDescent="0.35">
      <c r="A87" s="1" t="s">
        <v>13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I87" s="108">
        <f t="shared" si="4"/>
        <v>0</v>
      </c>
      <c r="J87" s="108">
        <f t="shared" si="4"/>
        <v>0</v>
      </c>
      <c r="K87" s="108">
        <f t="shared" si="4"/>
        <v>0</v>
      </c>
      <c r="L87" s="108">
        <f t="shared" si="4"/>
        <v>0</v>
      </c>
      <c r="M87" s="108">
        <f t="shared" si="4"/>
        <v>0</v>
      </c>
      <c r="N87" s="108">
        <f t="shared" si="4"/>
        <v>0</v>
      </c>
      <c r="S87" s="14"/>
      <c r="T87" s="14"/>
    </row>
    <row r="88" spans="1:20" x14ac:dyDescent="0.35">
      <c r="A88" s="1" t="s">
        <v>14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I88" s="108">
        <f t="shared" si="4"/>
        <v>0</v>
      </c>
      <c r="J88" s="108">
        <f t="shared" si="4"/>
        <v>0</v>
      </c>
      <c r="K88" s="108">
        <f t="shared" si="4"/>
        <v>0</v>
      </c>
      <c r="L88" s="108">
        <f t="shared" si="4"/>
        <v>0</v>
      </c>
      <c r="M88" s="108">
        <f t="shared" si="4"/>
        <v>0</v>
      </c>
      <c r="N88" s="108">
        <f t="shared" si="4"/>
        <v>0</v>
      </c>
      <c r="S88" s="14"/>
      <c r="T88" s="14"/>
    </row>
    <row r="89" spans="1:20" x14ac:dyDescent="0.35">
      <c r="A89" s="1" t="s">
        <v>15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I89" s="108">
        <f t="shared" si="4"/>
        <v>0</v>
      </c>
      <c r="J89" s="108">
        <f t="shared" si="4"/>
        <v>0</v>
      </c>
      <c r="K89" s="108">
        <f t="shared" si="4"/>
        <v>0</v>
      </c>
      <c r="L89" s="108">
        <f t="shared" si="4"/>
        <v>0</v>
      </c>
      <c r="M89" s="108">
        <f t="shared" si="4"/>
        <v>0</v>
      </c>
      <c r="N89" s="108">
        <f t="shared" si="4"/>
        <v>0</v>
      </c>
      <c r="S89" s="14"/>
      <c r="T89" s="14"/>
    </row>
    <row r="90" spans="1:20" x14ac:dyDescent="0.35">
      <c r="A90" s="1" t="s">
        <v>16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I90" s="108">
        <f t="shared" si="4"/>
        <v>0</v>
      </c>
      <c r="J90" s="108">
        <f t="shared" si="4"/>
        <v>0</v>
      </c>
      <c r="K90" s="108">
        <f t="shared" si="4"/>
        <v>0</v>
      </c>
      <c r="L90" s="108">
        <f t="shared" si="4"/>
        <v>0</v>
      </c>
      <c r="M90" s="108">
        <f t="shared" si="4"/>
        <v>0</v>
      </c>
      <c r="N90" s="108">
        <f t="shared" si="4"/>
        <v>0</v>
      </c>
      <c r="S90" s="14"/>
      <c r="T90" s="14"/>
    </row>
    <row r="91" spans="1:20" x14ac:dyDescent="0.35">
      <c r="A91" s="1" t="s">
        <v>17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I91" s="108">
        <f t="shared" si="4"/>
        <v>0</v>
      </c>
      <c r="J91" s="108">
        <f t="shared" si="4"/>
        <v>0</v>
      </c>
      <c r="K91" s="108">
        <f t="shared" si="4"/>
        <v>0</v>
      </c>
      <c r="L91" s="108">
        <f t="shared" si="4"/>
        <v>0</v>
      </c>
      <c r="M91" s="108">
        <f t="shared" si="4"/>
        <v>0</v>
      </c>
      <c r="N91" s="108">
        <f t="shared" si="4"/>
        <v>0</v>
      </c>
    </row>
    <row r="92" spans="1:20" x14ac:dyDescent="0.35">
      <c r="A92" s="1" t="s">
        <v>18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I92" s="108">
        <f t="shared" si="4"/>
        <v>0</v>
      </c>
      <c r="J92" s="108">
        <f t="shared" si="4"/>
        <v>0</v>
      </c>
      <c r="K92" s="108">
        <f t="shared" si="4"/>
        <v>0</v>
      </c>
      <c r="L92" s="108">
        <f t="shared" si="4"/>
        <v>0</v>
      </c>
      <c r="M92" s="108">
        <f t="shared" si="4"/>
        <v>0</v>
      </c>
      <c r="N92" s="108">
        <f t="shared" si="4"/>
        <v>0</v>
      </c>
    </row>
    <row r="93" spans="1:20" x14ac:dyDescent="0.35">
      <c r="A93" s="1" t="s">
        <v>19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I93" s="108">
        <f t="shared" si="4"/>
        <v>0</v>
      </c>
      <c r="J93" s="108">
        <f t="shared" si="4"/>
        <v>0</v>
      </c>
      <c r="K93" s="108">
        <f t="shared" si="4"/>
        <v>0</v>
      </c>
      <c r="L93" s="108">
        <f t="shared" si="4"/>
        <v>0</v>
      </c>
      <c r="M93" s="108">
        <f t="shared" si="4"/>
        <v>0</v>
      </c>
      <c r="N93" s="108">
        <f t="shared" si="4"/>
        <v>0</v>
      </c>
    </row>
    <row r="94" spans="1:20" x14ac:dyDescent="0.35">
      <c r="A94" s="1" t="s">
        <v>20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I94" s="108">
        <f t="shared" si="4"/>
        <v>0</v>
      </c>
      <c r="J94" s="108">
        <f t="shared" si="4"/>
        <v>0</v>
      </c>
      <c r="K94" s="108">
        <f t="shared" si="4"/>
        <v>0</v>
      </c>
      <c r="L94" s="108">
        <f t="shared" si="4"/>
        <v>0</v>
      </c>
      <c r="M94" s="108">
        <f t="shared" si="4"/>
        <v>0</v>
      </c>
      <c r="N94" s="108">
        <f t="shared" si="4"/>
        <v>0</v>
      </c>
    </row>
    <row r="95" spans="1:20" x14ac:dyDescent="0.35">
      <c r="A95" s="1" t="s">
        <v>21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I95" s="108">
        <f t="shared" si="4"/>
        <v>0</v>
      </c>
      <c r="J95" s="108">
        <f t="shared" si="4"/>
        <v>0</v>
      </c>
      <c r="K95" s="108">
        <f t="shared" si="4"/>
        <v>0</v>
      </c>
      <c r="L95" s="108">
        <f t="shared" si="4"/>
        <v>0</v>
      </c>
      <c r="M95" s="108">
        <f t="shared" si="4"/>
        <v>0</v>
      </c>
      <c r="N95" s="108">
        <f t="shared" si="4"/>
        <v>0</v>
      </c>
    </row>
    <row r="96" spans="1:20" x14ac:dyDescent="0.35">
      <c r="A96" s="1" t="s">
        <v>22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I96" s="108">
        <f t="shared" si="4"/>
        <v>0</v>
      </c>
      <c r="J96" s="108">
        <f t="shared" si="4"/>
        <v>0</v>
      </c>
      <c r="K96" s="108">
        <f t="shared" si="4"/>
        <v>0</v>
      </c>
      <c r="L96" s="108">
        <f t="shared" si="4"/>
        <v>0</v>
      </c>
      <c r="M96" s="108">
        <f t="shared" si="4"/>
        <v>0</v>
      </c>
      <c r="N96" s="108">
        <f t="shared" si="4"/>
        <v>0</v>
      </c>
    </row>
    <row r="97" spans="1:14" x14ac:dyDescent="0.35">
      <c r="A97" s="1" t="s">
        <v>23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I97" s="108">
        <f t="shared" si="4"/>
        <v>0</v>
      </c>
      <c r="J97" s="108">
        <f t="shared" si="4"/>
        <v>0</v>
      </c>
      <c r="K97" s="108">
        <f t="shared" si="4"/>
        <v>0</v>
      </c>
      <c r="L97" s="108">
        <f t="shared" si="4"/>
        <v>0</v>
      </c>
      <c r="M97" s="108">
        <f t="shared" si="4"/>
        <v>0</v>
      </c>
      <c r="N97" s="108">
        <f t="shared" si="4"/>
        <v>0</v>
      </c>
    </row>
    <row r="98" spans="1:14" x14ac:dyDescent="0.35">
      <c r="A98" s="1" t="s">
        <v>50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I98" s="108">
        <f t="shared" si="4"/>
        <v>0</v>
      </c>
      <c r="J98" s="108">
        <f t="shared" si="4"/>
        <v>0</v>
      </c>
      <c r="K98" s="108">
        <f t="shared" si="4"/>
        <v>0</v>
      </c>
      <c r="L98" s="108">
        <f t="shared" si="4"/>
        <v>0</v>
      </c>
      <c r="M98" s="108">
        <f t="shared" si="4"/>
        <v>0</v>
      </c>
      <c r="N98" s="108">
        <f t="shared" si="4"/>
        <v>0</v>
      </c>
    </row>
    <row r="99" spans="1:14" x14ac:dyDescent="0.35">
      <c r="A99" s="1" t="s">
        <v>24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I99" s="108">
        <f t="shared" si="4"/>
        <v>0</v>
      </c>
      <c r="J99" s="108">
        <f t="shared" si="4"/>
        <v>0</v>
      </c>
      <c r="K99" s="108">
        <f t="shared" si="4"/>
        <v>0</v>
      </c>
      <c r="L99" s="108">
        <f t="shared" si="4"/>
        <v>0</v>
      </c>
      <c r="M99" s="108">
        <f t="shared" si="4"/>
        <v>0</v>
      </c>
      <c r="N99" s="108">
        <f t="shared" si="4"/>
        <v>0</v>
      </c>
    </row>
    <row r="100" spans="1:14" x14ac:dyDescent="0.35">
      <c r="A100" s="1" t="s">
        <v>25</v>
      </c>
      <c r="B100" s="112">
        <v>0</v>
      </c>
      <c r="C100" s="112">
        <v>0</v>
      </c>
      <c r="D100" s="112">
        <v>0</v>
      </c>
      <c r="E100" s="112">
        <v>0</v>
      </c>
      <c r="F100" s="112">
        <v>0</v>
      </c>
      <c r="G100" s="112">
        <v>0</v>
      </c>
      <c r="I100" s="108">
        <f t="shared" si="4"/>
        <v>0</v>
      </c>
      <c r="J100" s="108">
        <f t="shared" si="4"/>
        <v>0</v>
      </c>
      <c r="K100" s="108">
        <f t="shared" si="4"/>
        <v>0</v>
      </c>
      <c r="L100" s="108">
        <f t="shared" si="4"/>
        <v>0</v>
      </c>
      <c r="M100" s="108">
        <f t="shared" si="4"/>
        <v>0</v>
      </c>
      <c r="N100" s="108">
        <f t="shared" si="4"/>
        <v>0</v>
      </c>
    </row>
    <row r="101" spans="1:14" x14ac:dyDescent="0.35">
      <c r="A101" s="1" t="s">
        <v>26</v>
      </c>
      <c r="B101" s="112">
        <v>0</v>
      </c>
      <c r="C101" s="112">
        <v>0</v>
      </c>
      <c r="D101" s="112">
        <v>0</v>
      </c>
      <c r="E101" s="112">
        <v>0</v>
      </c>
      <c r="F101" s="112">
        <v>0</v>
      </c>
      <c r="G101" s="112">
        <v>0</v>
      </c>
      <c r="I101" s="108">
        <f t="shared" si="4"/>
        <v>0</v>
      </c>
      <c r="J101" s="108">
        <f t="shared" si="4"/>
        <v>0</v>
      </c>
      <c r="K101" s="108">
        <f t="shared" si="4"/>
        <v>0</v>
      </c>
      <c r="L101" s="108">
        <f t="shared" si="4"/>
        <v>0</v>
      </c>
      <c r="M101" s="108">
        <f t="shared" si="4"/>
        <v>0</v>
      </c>
      <c r="N101" s="108">
        <f t="shared" si="4"/>
        <v>0</v>
      </c>
    </row>
    <row r="102" spans="1:14" x14ac:dyDescent="0.35">
      <c r="A102" s="1" t="s">
        <v>27</v>
      </c>
      <c r="B102" s="112">
        <v>0</v>
      </c>
      <c r="C102" s="112">
        <v>0</v>
      </c>
      <c r="D102" s="112">
        <v>0</v>
      </c>
      <c r="E102" s="112">
        <v>0</v>
      </c>
      <c r="F102" s="112">
        <v>0</v>
      </c>
      <c r="G102" s="112">
        <v>0</v>
      </c>
      <c r="I102" s="108">
        <f t="shared" si="4"/>
        <v>0</v>
      </c>
      <c r="J102" s="108">
        <f t="shared" si="4"/>
        <v>0</v>
      </c>
      <c r="K102" s="108">
        <f t="shared" si="4"/>
        <v>0</v>
      </c>
      <c r="L102" s="108">
        <f t="shared" si="4"/>
        <v>0</v>
      </c>
      <c r="M102" s="108">
        <f t="shared" si="4"/>
        <v>0</v>
      </c>
      <c r="N102" s="108">
        <f t="shared" si="4"/>
        <v>0</v>
      </c>
    </row>
    <row r="103" spans="1:14" x14ac:dyDescent="0.35">
      <c r="A103" s="1" t="s">
        <v>28</v>
      </c>
      <c r="B103" s="112">
        <v>0</v>
      </c>
      <c r="C103" s="112">
        <v>0</v>
      </c>
      <c r="D103" s="112">
        <v>0</v>
      </c>
      <c r="E103" s="112">
        <v>0</v>
      </c>
      <c r="F103" s="112">
        <v>0</v>
      </c>
      <c r="G103" s="112">
        <v>0</v>
      </c>
      <c r="I103" s="108">
        <f t="shared" si="4"/>
        <v>0</v>
      </c>
      <c r="J103" s="108">
        <f t="shared" si="4"/>
        <v>0</v>
      </c>
      <c r="K103" s="108">
        <f t="shared" si="4"/>
        <v>0</v>
      </c>
      <c r="L103" s="108">
        <f t="shared" si="4"/>
        <v>0</v>
      </c>
      <c r="M103" s="108">
        <f t="shared" si="4"/>
        <v>0</v>
      </c>
      <c r="N103" s="108">
        <f t="shared" si="4"/>
        <v>0</v>
      </c>
    </row>
    <row r="104" spans="1:14" x14ac:dyDescent="0.35">
      <c r="A104" s="1" t="s">
        <v>29</v>
      </c>
      <c r="B104" s="112">
        <v>0</v>
      </c>
      <c r="C104" s="112">
        <v>0</v>
      </c>
      <c r="D104" s="112">
        <v>0</v>
      </c>
      <c r="E104" s="112">
        <v>0</v>
      </c>
      <c r="F104" s="112">
        <v>0</v>
      </c>
      <c r="G104" s="112">
        <v>0</v>
      </c>
      <c r="I104" s="108">
        <f t="shared" si="4"/>
        <v>0</v>
      </c>
      <c r="J104" s="108">
        <f t="shared" si="4"/>
        <v>0</v>
      </c>
      <c r="K104" s="108">
        <f t="shared" si="4"/>
        <v>0</v>
      </c>
      <c r="L104" s="108">
        <f t="shared" si="4"/>
        <v>0</v>
      </c>
      <c r="M104" s="108">
        <f t="shared" si="4"/>
        <v>0</v>
      </c>
      <c r="N104" s="108">
        <f t="shared" si="4"/>
        <v>0</v>
      </c>
    </row>
    <row r="105" spans="1:14" x14ac:dyDescent="0.35">
      <c r="A105" s="1" t="s">
        <v>30</v>
      </c>
      <c r="B105" s="112">
        <v>0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I105" s="108">
        <f t="shared" si="4"/>
        <v>0</v>
      </c>
      <c r="J105" s="108">
        <f t="shared" si="4"/>
        <v>0</v>
      </c>
      <c r="K105" s="108">
        <f t="shared" si="4"/>
        <v>0</v>
      </c>
      <c r="L105" s="108">
        <f t="shared" si="4"/>
        <v>0</v>
      </c>
      <c r="M105" s="108">
        <f t="shared" si="4"/>
        <v>0</v>
      </c>
      <c r="N105" s="108">
        <f t="shared" si="4"/>
        <v>0</v>
      </c>
    </row>
    <row r="106" spans="1:14" x14ac:dyDescent="0.35">
      <c r="A106" s="1" t="s">
        <v>31</v>
      </c>
      <c r="B106" s="112">
        <v>0</v>
      </c>
      <c r="C106" s="112">
        <v>0</v>
      </c>
      <c r="D106" s="112">
        <v>0</v>
      </c>
      <c r="E106" s="112">
        <v>0</v>
      </c>
      <c r="F106" s="112">
        <v>0</v>
      </c>
      <c r="G106" s="112">
        <v>0</v>
      </c>
      <c r="I106" s="108">
        <f t="shared" si="4"/>
        <v>0</v>
      </c>
      <c r="J106" s="108">
        <f t="shared" si="4"/>
        <v>0</v>
      </c>
      <c r="K106" s="108">
        <f t="shared" si="4"/>
        <v>0</v>
      </c>
      <c r="L106" s="108">
        <f t="shared" si="4"/>
        <v>0</v>
      </c>
      <c r="M106" s="108">
        <f t="shared" si="4"/>
        <v>0</v>
      </c>
      <c r="N106" s="108">
        <f t="shared" si="4"/>
        <v>0</v>
      </c>
    </row>
    <row r="107" spans="1:14" x14ac:dyDescent="0.35">
      <c r="A107" s="1" t="s">
        <v>33</v>
      </c>
      <c r="B107" s="112">
        <v>0</v>
      </c>
      <c r="C107" s="112">
        <v>0</v>
      </c>
      <c r="D107" s="112">
        <v>0</v>
      </c>
      <c r="E107" s="112">
        <v>0</v>
      </c>
      <c r="F107" s="112">
        <v>0</v>
      </c>
      <c r="G107" s="112">
        <v>0</v>
      </c>
      <c r="I107" s="108">
        <f t="shared" si="4"/>
        <v>0</v>
      </c>
      <c r="J107" s="108">
        <f t="shared" si="4"/>
        <v>0</v>
      </c>
      <c r="K107" s="108">
        <f t="shared" si="4"/>
        <v>0</v>
      </c>
      <c r="L107" s="108">
        <f t="shared" si="4"/>
        <v>0</v>
      </c>
      <c r="M107" s="108">
        <f t="shared" si="4"/>
        <v>0</v>
      </c>
      <c r="N107" s="108">
        <f t="shared" si="4"/>
        <v>0</v>
      </c>
    </row>
    <row r="108" spans="1:14" x14ac:dyDescent="0.35">
      <c r="A108" s="1" t="s">
        <v>32</v>
      </c>
      <c r="B108" s="112">
        <v>0</v>
      </c>
      <c r="C108" s="112">
        <v>0</v>
      </c>
      <c r="D108" s="112">
        <v>0</v>
      </c>
      <c r="E108" s="112">
        <v>0</v>
      </c>
      <c r="F108" s="112">
        <v>0</v>
      </c>
      <c r="G108" s="112">
        <v>0</v>
      </c>
      <c r="I108" s="108">
        <f t="shared" si="4"/>
        <v>0</v>
      </c>
      <c r="J108" s="108">
        <f t="shared" si="4"/>
        <v>0</v>
      </c>
      <c r="K108" s="108">
        <f t="shared" si="4"/>
        <v>0</v>
      </c>
      <c r="L108" s="108">
        <f t="shared" si="4"/>
        <v>0</v>
      </c>
      <c r="M108" s="108">
        <f t="shared" si="4"/>
        <v>0</v>
      </c>
      <c r="N108" s="108">
        <f t="shared" si="4"/>
        <v>0</v>
      </c>
    </row>
    <row r="109" spans="1:14" x14ac:dyDescent="0.35">
      <c r="A109" s="1" t="s">
        <v>34</v>
      </c>
      <c r="B109" s="112">
        <v>0</v>
      </c>
      <c r="C109" s="112">
        <v>0</v>
      </c>
      <c r="D109" s="112">
        <v>0</v>
      </c>
      <c r="E109" s="112">
        <v>0</v>
      </c>
      <c r="F109" s="112">
        <v>0</v>
      </c>
      <c r="G109" s="112">
        <v>0</v>
      </c>
      <c r="I109" s="108">
        <f t="shared" si="4"/>
        <v>0</v>
      </c>
      <c r="J109" s="108">
        <f t="shared" si="4"/>
        <v>0</v>
      </c>
      <c r="K109" s="108">
        <f t="shared" si="4"/>
        <v>0</v>
      </c>
      <c r="L109" s="108">
        <f t="shared" si="4"/>
        <v>0</v>
      </c>
      <c r="M109" s="108">
        <f t="shared" si="4"/>
        <v>0</v>
      </c>
      <c r="N109" s="108">
        <f t="shared" si="4"/>
        <v>0</v>
      </c>
    </row>
    <row r="110" spans="1:14" x14ac:dyDescent="0.35">
      <c r="A110" s="1" t="s">
        <v>35</v>
      </c>
      <c r="B110" s="112">
        <v>0</v>
      </c>
      <c r="C110" s="112">
        <v>0</v>
      </c>
      <c r="D110" s="112">
        <v>0</v>
      </c>
      <c r="E110" s="112">
        <v>0</v>
      </c>
      <c r="F110" s="112">
        <v>0</v>
      </c>
      <c r="G110" s="112">
        <v>0</v>
      </c>
      <c r="I110" s="108">
        <f t="shared" si="4"/>
        <v>0</v>
      </c>
      <c r="J110" s="108">
        <f t="shared" si="4"/>
        <v>0</v>
      </c>
      <c r="K110" s="108">
        <f t="shared" si="4"/>
        <v>0</v>
      </c>
      <c r="L110" s="108">
        <f t="shared" si="4"/>
        <v>0</v>
      </c>
      <c r="M110" s="108">
        <f t="shared" si="4"/>
        <v>0</v>
      </c>
      <c r="N110" s="108">
        <f t="shared" si="4"/>
        <v>0</v>
      </c>
    </row>
    <row r="111" spans="1:14" x14ac:dyDescent="0.35">
      <c r="A111" s="1" t="s">
        <v>36</v>
      </c>
      <c r="B111" s="112">
        <v>0</v>
      </c>
      <c r="C111" s="112">
        <v>0</v>
      </c>
      <c r="D111" s="112">
        <v>0</v>
      </c>
      <c r="E111" s="112">
        <v>0</v>
      </c>
      <c r="F111" s="112">
        <v>0</v>
      </c>
      <c r="G111" s="112">
        <v>0</v>
      </c>
      <c r="I111" s="108">
        <f t="shared" si="4"/>
        <v>0</v>
      </c>
      <c r="J111" s="108">
        <f t="shared" si="4"/>
        <v>0</v>
      </c>
      <c r="K111" s="108">
        <f t="shared" si="4"/>
        <v>0</v>
      </c>
      <c r="L111" s="108">
        <f t="shared" si="4"/>
        <v>0</v>
      </c>
      <c r="M111" s="108">
        <f t="shared" si="4"/>
        <v>0</v>
      </c>
      <c r="N111" s="108">
        <f t="shared" si="4"/>
        <v>0</v>
      </c>
    </row>
    <row r="112" spans="1:14" x14ac:dyDescent="0.35">
      <c r="A112" s="1" t="s">
        <v>37</v>
      </c>
      <c r="B112" s="112">
        <v>0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I112" s="108">
        <f t="shared" si="4"/>
        <v>0</v>
      </c>
      <c r="J112" s="108">
        <f t="shared" si="4"/>
        <v>0</v>
      </c>
      <c r="K112" s="108">
        <f t="shared" si="4"/>
        <v>0</v>
      </c>
      <c r="L112" s="108">
        <f t="shared" si="4"/>
        <v>0</v>
      </c>
      <c r="M112" s="108">
        <f t="shared" si="4"/>
        <v>0</v>
      </c>
      <c r="N112" s="108">
        <f t="shared" si="4"/>
        <v>0</v>
      </c>
    </row>
    <row r="113" spans="1:14" x14ac:dyDescent="0.35">
      <c r="A113" s="1" t="s">
        <v>55</v>
      </c>
      <c r="B113" s="112">
        <v>0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I113" s="108">
        <f t="shared" si="4"/>
        <v>0</v>
      </c>
      <c r="J113" s="108">
        <f t="shared" si="4"/>
        <v>0</v>
      </c>
      <c r="K113" s="108">
        <f t="shared" si="4"/>
        <v>0</v>
      </c>
      <c r="L113" s="108">
        <f t="shared" si="4"/>
        <v>0</v>
      </c>
      <c r="M113" s="108">
        <f t="shared" si="4"/>
        <v>0</v>
      </c>
      <c r="N113" s="108">
        <f t="shared" si="4"/>
        <v>0</v>
      </c>
    </row>
    <row r="114" spans="1:14" x14ac:dyDescent="0.35">
      <c r="A114" s="1" t="s">
        <v>38</v>
      </c>
      <c r="B114" s="112">
        <v>0</v>
      </c>
      <c r="C114" s="112">
        <v>0</v>
      </c>
      <c r="D114" s="112">
        <v>0</v>
      </c>
      <c r="E114" s="112">
        <v>0</v>
      </c>
      <c r="F114" s="112">
        <v>0</v>
      </c>
      <c r="G114" s="112">
        <v>0</v>
      </c>
      <c r="I114" s="108">
        <f t="shared" si="4"/>
        <v>0</v>
      </c>
      <c r="J114" s="108">
        <f t="shared" si="4"/>
        <v>0</v>
      </c>
      <c r="K114" s="108">
        <f t="shared" si="4"/>
        <v>0</v>
      </c>
      <c r="L114" s="108">
        <f t="shared" si="4"/>
        <v>0</v>
      </c>
      <c r="M114" s="108">
        <f t="shared" si="4"/>
        <v>0</v>
      </c>
      <c r="N114" s="108">
        <f t="shared" si="4"/>
        <v>0</v>
      </c>
    </row>
    <row r="115" spans="1:14" x14ac:dyDescent="0.35">
      <c r="A115" s="1" t="s">
        <v>39</v>
      </c>
      <c r="B115" s="112">
        <v>0</v>
      </c>
      <c r="C115" s="112">
        <v>0</v>
      </c>
      <c r="D115" s="112">
        <v>0</v>
      </c>
      <c r="E115" s="112">
        <v>0</v>
      </c>
      <c r="F115" s="112">
        <v>0</v>
      </c>
      <c r="G115" s="112">
        <v>0</v>
      </c>
      <c r="I115" s="108">
        <f t="shared" si="4"/>
        <v>0</v>
      </c>
      <c r="J115" s="108">
        <f t="shared" si="4"/>
        <v>0</v>
      </c>
      <c r="K115" s="108">
        <f t="shared" si="4"/>
        <v>0</v>
      </c>
      <c r="L115" s="108">
        <f t="shared" si="4"/>
        <v>0</v>
      </c>
      <c r="M115" s="108">
        <f t="shared" si="4"/>
        <v>0</v>
      </c>
      <c r="N115" s="108">
        <f t="shared" si="4"/>
        <v>0</v>
      </c>
    </row>
    <row r="116" spans="1:14" x14ac:dyDescent="0.35">
      <c r="A116" s="1" t="s">
        <v>40</v>
      </c>
      <c r="B116" s="112">
        <v>0</v>
      </c>
      <c r="C116" s="112">
        <v>0</v>
      </c>
      <c r="D116" s="112">
        <v>0</v>
      </c>
      <c r="E116" s="112">
        <v>0</v>
      </c>
      <c r="F116" s="112">
        <v>0</v>
      </c>
      <c r="G116" s="112">
        <v>0</v>
      </c>
      <c r="I116" s="108">
        <f t="shared" si="4"/>
        <v>0</v>
      </c>
      <c r="J116" s="108">
        <f t="shared" si="4"/>
        <v>0</v>
      </c>
      <c r="K116" s="108">
        <f t="shared" si="4"/>
        <v>0</v>
      </c>
      <c r="L116" s="108">
        <f t="shared" si="4"/>
        <v>0</v>
      </c>
      <c r="M116" s="108">
        <f t="shared" si="4"/>
        <v>0</v>
      </c>
      <c r="N116" s="108">
        <f t="shared" si="4"/>
        <v>0</v>
      </c>
    </row>
    <row r="117" spans="1:14" x14ac:dyDescent="0.35">
      <c r="A117" s="1" t="s">
        <v>41</v>
      </c>
      <c r="B117" s="112">
        <v>0</v>
      </c>
      <c r="C117" s="112">
        <v>0</v>
      </c>
      <c r="D117" s="112">
        <v>0</v>
      </c>
      <c r="E117" s="112">
        <v>0</v>
      </c>
      <c r="F117" s="112">
        <v>0</v>
      </c>
      <c r="G117" s="112">
        <v>0</v>
      </c>
      <c r="I117" s="108">
        <f t="shared" si="4"/>
        <v>0</v>
      </c>
      <c r="J117" s="108">
        <f t="shared" si="4"/>
        <v>0</v>
      </c>
      <c r="K117" s="108">
        <f t="shared" si="4"/>
        <v>0</v>
      </c>
      <c r="L117" s="108">
        <f t="shared" si="4"/>
        <v>0</v>
      </c>
      <c r="M117" s="108">
        <f t="shared" si="4"/>
        <v>0</v>
      </c>
      <c r="N117" s="108">
        <f t="shared" si="4"/>
        <v>0</v>
      </c>
    </row>
    <row r="118" spans="1:14" x14ac:dyDescent="0.35">
      <c r="A118" s="1" t="s">
        <v>42</v>
      </c>
      <c r="B118" s="112">
        <v>0</v>
      </c>
      <c r="C118" s="112">
        <v>0</v>
      </c>
      <c r="D118" s="112">
        <v>0</v>
      </c>
      <c r="E118" s="112">
        <v>0</v>
      </c>
      <c r="F118" s="112">
        <v>0</v>
      </c>
      <c r="G118" s="112">
        <v>0</v>
      </c>
      <c r="I118" s="108">
        <f t="shared" si="4"/>
        <v>0</v>
      </c>
      <c r="J118" s="108">
        <f t="shared" si="4"/>
        <v>0</v>
      </c>
      <c r="K118" s="108">
        <f t="shared" si="4"/>
        <v>0</v>
      </c>
      <c r="L118" s="108">
        <f t="shared" si="4"/>
        <v>0</v>
      </c>
      <c r="M118" s="108">
        <f t="shared" si="4"/>
        <v>0</v>
      </c>
      <c r="N118" s="108">
        <f t="shared" si="4"/>
        <v>0</v>
      </c>
    </row>
    <row r="119" spans="1:14" x14ac:dyDescent="0.35">
      <c r="A119" s="1" t="s">
        <v>43</v>
      </c>
      <c r="B119" s="112">
        <v>0</v>
      </c>
      <c r="C119" s="112">
        <v>0</v>
      </c>
      <c r="D119" s="112">
        <v>0</v>
      </c>
      <c r="E119" s="112">
        <v>0</v>
      </c>
      <c r="F119" s="112">
        <v>0</v>
      </c>
      <c r="G119" s="112">
        <v>0</v>
      </c>
      <c r="I119" s="108">
        <f t="shared" si="4"/>
        <v>0</v>
      </c>
      <c r="J119" s="108">
        <f t="shared" si="4"/>
        <v>0</v>
      </c>
      <c r="K119" s="108">
        <f t="shared" si="4"/>
        <v>0</v>
      </c>
      <c r="L119" s="108">
        <f t="shared" si="4"/>
        <v>0</v>
      </c>
      <c r="M119" s="108">
        <f t="shared" si="4"/>
        <v>0</v>
      </c>
      <c r="N119" s="108">
        <f t="shared" si="4"/>
        <v>0</v>
      </c>
    </row>
    <row r="120" spans="1:14" x14ac:dyDescent="0.35">
      <c r="A120" s="1" t="s">
        <v>44</v>
      </c>
      <c r="B120" s="112">
        <v>0</v>
      </c>
      <c r="C120" s="112">
        <v>0</v>
      </c>
      <c r="D120" s="112">
        <v>0</v>
      </c>
      <c r="E120" s="112">
        <v>0</v>
      </c>
      <c r="F120" s="112">
        <v>0</v>
      </c>
      <c r="G120" s="112">
        <v>0</v>
      </c>
      <c r="I120" s="108">
        <f t="shared" si="4"/>
        <v>0</v>
      </c>
      <c r="J120" s="108">
        <f t="shared" si="4"/>
        <v>0</v>
      </c>
      <c r="K120" s="108">
        <f t="shared" si="4"/>
        <v>0</v>
      </c>
      <c r="L120" s="108">
        <f t="shared" si="4"/>
        <v>0</v>
      </c>
      <c r="M120" s="108">
        <f t="shared" si="4"/>
        <v>0</v>
      </c>
      <c r="N120" s="108">
        <f t="shared" si="4"/>
        <v>0</v>
      </c>
    </row>
    <row r="121" spans="1:14" x14ac:dyDescent="0.35">
      <c r="A121" s="1" t="s">
        <v>45</v>
      </c>
      <c r="B121" s="112">
        <v>0</v>
      </c>
      <c r="C121" s="112">
        <v>0</v>
      </c>
      <c r="D121" s="112">
        <v>0</v>
      </c>
      <c r="E121" s="112">
        <v>0</v>
      </c>
      <c r="F121" s="112">
        <v>0</v>
      </c>
      <c r="G121" s="112">
        <v>0</v>
      </c>
      <c r="I121" s="108">
        <f t="shared" si="4"/>
        <v>0</v>
      </c>
      <c r="J121" s="108">
        <f t="shared" si="4"/>
        <v>0</v>
      </c>
      <c r="K121" s="108">
        <f t="shared" si="4"/>
        <v>0</v>
      </c>
      <c r="L121" s="108">
        <f t="shared" si="4"/>
        <v>0</v>
      </c>
      <c r="M121" s="108">
        <f t="shared" si="4"/>
        <v>0</v>
      </c>
      <c r="N121" s="108">
        <f t="shared" si="4"/>
        <v>0</v>
      </c>
    </row>
    <row r="122" spans="1:14" x14ac:dyDescent="0.35">
      <c r="A122" s="1" t="s">
        <v>46</v>
      </c>
      <c r="B122" s="112">
        <v>0</v>
      </c>
      <c r="C122" s="112">
        <v>0</v>
      </c>
      <c r="D122" s="112">
        <v>0</v>
      </c>
      <c r="E122" s="112">
        <v>0</v>
      </c>
      <c r="F122" s="112">
        <v>0</v>
      </c>
      <c r="G122" s="112">
        <v>0</v>
      </c>
      <c r="I122" s="108">
        <f t="shared" si="4"/>
        <v>0</v>
      </c>
      <c r="J122" s="108">
        <f t="shared" si="4"/>
        <v>0</v>
      </c>
      <c r="K122" s="108">
        <f t="shared" si="4"/>
        <v>0</v>
      </c>
      <c r="L122" s="108">
        <f t="shared" si="4"/>
        <v>0</v>
      </c>
      <c r="M122" s="108">
        <f t="shared" si="4"/>
        <v>0</v>
      </c>
      <c r="N122" s="108">
        <f t="shared" si="4"/>
        <v>0</v>
      </c>
    </row>
    <row r="123" spans="1:14" x14ac:dyDescent="0.35">
      <c r="A123" s="1" t="s">
        <v>47</v>
      </c>
      <c r="B123" s="112">
        <v>0</v>
      </c>
      <c r="C123" s="112">
        <v>0</v>
      </c>
      <c r="D123" s="112">
        <v>0</v>
      </c>
      <c r="E123" s="112">
        <v>0</v>
      </c>
      <c r="F123" s="112">
        <v>0</v>
      </c>
      <c r="G123" s="112">
        <v>0</v>
      </c>
      <c r="I123" s="108">
        <f t="shared" si="4"/>
        <v>0</v>
      </c>
      <c r="J123" s="108">
        <f t="shared" si="4"/>
        <v>0</v>
      </c>
      <c r="K123" s="108">
        <f t="shared" si="4"/>
        <v>0</v>
      </c>
      <c r="L123" s="108">
        <f t="shared" si="4"/>
        <v>0</v>
      </c>
      <c r="M123" s="108">
        <f t="shared" si="4"/>
        <v>0</v>
      </c>
      <c r="N123" s="108">
        <f t="shared" si="4"/>
        <v>0</v>
      </c>
    </row>
    <row r="124" spans="1:14" x14ac:dyDescent="0.35">
      <c r="A124" s="1" t="s">
        <v>48</v>
      </c>
      <c r="B124" s="112">
        <v>0</v>
      </c>
      <c r="C124" s="112">
        <v>0</v>
      </c>
      <c r="D124" s="112">
        <v>0</v>
      </c>
      <c r="E124" s="112">
        <v>0</v>
      </c>
      <c r="F124" s="112">
        <v>0</v>
      </c>
      <c r="G124" s="112">
        <v>0</v>
      </c>
      <c r="I124" s="108">
        <f t="shared" ref="I124:N125" si="5">B124*1.1</f>
        <v>0</v>
      </c>
      <c r="J124" s="108">
        <f t="shared" si="5"/>
        <v>0</v>
      </c>
      <c r="K124" s="108">
        <f t="shared" si="5"/>
        <v>0</v>
      </c>
      <c r="L124" s="108">
        <f t="shared" si="5"/>
        <v>0</v>
      </c>
      <c r="M124" s="108">
        <f t="shared" si="5"/>
        <v>0</v>
      </c>
      <c r="N124" s="108">
        <f t="shared" si="5"/>
        <v>0</v>
      </c>
    </row>
    <row r="125" spans="1:14" x14ac:dyDescent="0.35">
      <c r="A125" s="1" t="s">
        <v>49</v>
      </c>
      <c r="B125" s="112">
        <v>0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I125" s="108">
        <f t="shared" si="5"/>
        <v>0</v>
      </c>
      <c r="J125" s="108">
        <f t="shared" si="5"/>
        <v>0</v>
      </c>
      <c r="K125" s="108">
        <f t="shared" si="5"/>
        <v>0</v>
      </c>
      <c r="L125" s="108">
        <f t="shared" si="5"/>
        <v>0</v>
      </c>
      <c r="M125" s="108">
        <f t="shared" si="5"/>
        <v>0</v>
      </c>
      <c r="N125" s="108">
        <f t="shared" si="5"/>
        <v>0</v>
      </c>
    </row>
    <row r="126" spans="1:14" ht="16.5" customHeight="1" x14ac:dyDescent="0.35">
      <c r="A126" s="38" t="s">
        <v>104</v>
      </c>
      <c r="B126" s="36">
        <f>AVERAGE(B68:G125)</f>
        <v>0</v>
      </c>
    </row>
    <row r="130" spans="1:18" x14ac:dyDescent="0.35">
      <c r="B130" s="111" t="s">
        <v>187</v>
      </c>
      <c r="D130" s="111" t="s">
        <v>188</v>
      </c>
    </row>
    <row r="131" spans="1:18" x14ac:dyDescent="0.35">
      <c r="A131" s="35"/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</row>
    <row r="132" spans="1:18" x14ac:dyDescent="0.35">
      <c r="A132" s="32" t="s">
        <v>82</v>
      </c>
      <c r="B132" s="33" t="s">
        <v>105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4"/>
    </row>
    <row r="133" spans="1:18" x14ac:dyDescent="0.35">
      <c r="A133" s="2" t="s">
        <v>82</v>
      </c>
      <c r="B133" s="112">
        <v>0</v>
      </c>
      <c r="C133" s="18"/>
      <c r="D133" s="108">
        <f>B133*1.1</f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5">
      <c r="A134" s="21"/>
      <c r="B134" s="22"/>
      <c r="C134" s="23"/>
      <c r="D134" s="22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5"/>
    </row>
    <row r="135" spans="1:18" x14ac:dyDescent="0.35">
      <c r="A135" s="21"/>
      <c r="B135" s="22"/>
      <c r="C135" s="23"/>
      <c r="D135" s="22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5"/>
    </row>
    <row r="136" spans="1:18" x14ac:dyDescent="0.35">
      <c r="A136" s="32" t="s">
        <v>83</v>
      </c>
      <c r="B136" s="33" t="s">
        <v>106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4"/>
    </row>
    <row r="137" spans="1:18" x14ac:dyDescent="0.35">
      <c r="A137" s="2" t="s">
        <v>206</v>
      </c>
      <c r="B137" s="112">
        <v>0</v>
      </c>
      <c r="C137" s="18"/>
      <c r="D137" s="108">
        <f>B137*1.1</f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5">
      <c r="A138" s="2" t="s">
        <v>249</v>
      </c>
      <c r="B138" s="112">
        <v>0</v>
      </c>
      <c r="C138" s="18"/>
      <c r="D138" s="108">
        <f>B138*1.1</f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5">
      <c r="A139" s="2" t="s">
        <v>250</v>
      </c>
      <c r="B139" s="112">
        <v>0</v>
      </c>
      <c r="C139" s="18"/>
      <c r="D139" s="108">
        <f t="shared" ref="D139:D141" si="6">B139*1.1</f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5">
      <c r="A140" s="2" t="s">
        <v>251</v>
      </c>
      <c r="B140" s="112">
        <v>0</v>
      </c>
      <c r="C140" s="23"/>
      <c r="D140" s="108">
        <f t="shared" si="6"/>
        <v>0</v>
      </c>
      <c r="E140" s="24"/>
      <c r="F140" s="2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5">
      <c r="A141" s="21" t="s">
        <v>252</v>
      </c>
      <c r="B141" s="112">
        <v>0</v>
      </c>
      <c r="C141" s="23"/>
      <c r="D141" s="108">
        <f t="shared" si="6"/>
        <v>0</v>
      </c>
      <c r="E141" s="24"/>
      <c r="F141" s="2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5">
      <c r="A142" s="39" t="s">
        <v>98</v>
      </c>
      <c r="B142" s="6">
        <f>AVERAGE(B137:B141)</f>
        <v>0</v>
      </c>
      <c r="C142" s="6"/>
      <c r="D142" s="6"/>
      <c r="E142" s="6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5">
      <c r="A143" s="7"/>
      <c r="B143" s="6"/>
      <c r="C143" s="6"/>
      <c r="D143" s="6"/>
      <c r="E143" s="6"/>
      <c r="F143" s="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5"/>
    </row>
    <row r="144" spans="1:18" x14ac:dyDescent="0.35">
      <c r="A144" s="32" t="s">
        <v>154</v>
      </c>
      <c r="B144" s="33" t="s">
        <v>106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4"/>
    </row>
    <row r="145" spans="1:18" x14ac:dyDescent="0.35">
      <c r="A145" s="2" t="s">
        <v>207</v>
      </c>
      <c r="B145" s="112">
        <v>0</v>
      </c>
      <c r="C145" s="18"/>
      <c r="D145" s="108">
        <f>B145*1.1</f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5">
      <c r="A146" s="2" t="s">
        <v>253</v>
      </c>
      <c r="B146" s="112">
        <v>0</v>
      </c>
      <c r="C146" s="18"/>
      <c r="D146" s="108">
        <f t="shared" ref="D146:D149" si="7">B146*1.1</f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5">
      <c r="A147" s="2" t="s">
        <v>254</v>
      </c>
      <c r="B147" s="112">
        <v>0</v>
      </c>
      <c r="C147" s="18"/>
      <c r="D147" s="108">
        <f t="shared" si="7"/>
        <v>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5">
      <c r="A148" s="2" t="s">
        <v>255</v>
      </c>
      <c r="B148" s="112">
        <v>0</v>
      </c>
      <c r="C148" s="23"/>
      <c r="D148" s="108">
        <f t="shared" si="7"/>
        <v>0</v>
      </c>
      <c r="E148" s="24"/>
      <c r="F148" s="2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5">
      <c r="A149" s="2" t="s">
        <v>256</v>
      </c>
      <c r="B149" s="112">
        <v>0</v>
      </c>
      <c r="C149" s="23"/>
      <c r="D149" s="108">
        <f t="shared" si="7"/>
        <v>0</v>
      </c>
      <c r="E149" s="24"/>
      <c r="F149" s="2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5">
      <c r="A150" s="39" t="s">
        <v>98</v>
      </c>
      <c r="B150" s="4">
        <f ca="1">AVERAGE(B145:B150)</f>
        <v>0</v>
      </c>
      <c r="C150" s="23"/>
      <c r="D150" s="40"/>
      <c r="E150" s="24"/>
      <c r="F150" s="2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5">
      <c r="A151" s="7"/>
      <c r="B151" s="6"/>
      <c r="C151" s="6"/>
      <c r="D151" s="6"/>
      <c r="E151" s="6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5">
      <c r="A152" s="32" t="s">
        <v>84</v>
      </c>
      <c r="B152" s="33" t="s">
        <v>106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4"/>
    </row>
    <row r="153" spans="1:18" x14ac:dyDescent="0.35">
      <c r="A153" s="2" t="s">
        <v>208</v>
      </c>
      <c r="B153" s="112">
        <v>0</v>
      </c>
      <c r="C153" s="18"/>
      <c r="D153" s="108">
        <f>B153*1.1</f>
        <v>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5">
      <c r="A154" s="2" t="s">
        <v>257</v>
      </c>
      <c r="B154" s="112">
        <v>0</v>
      </c>
      <c r="C154" s="18"/>
      <c r="D154" s="108">
        <f t="shared" ref="D154:D157" si="8">B154*1.1</f>
        <v>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5">
      <c r="A155" s="2" t="s">
        <v>258</v>
      </c>
      <c r="B155" s="112">
        <v>0</v>
      </c>
      <c r="C155" s="18"/>
      <c r="D155" s="108">
        <f t="shared" si="8"/>
        <v>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5">
      <c r="A156" s="2" t="s">
        <v>259</v>
      </c>
      <c r="B156" s="112">
        <v>0</v>
      </c>
      <c r="C156" s="23"/>
      <c r="D156" s="108">
        <f t="shared" si="8"/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5"/>
    </row>
    <row r="157" spans="1:18" x14ac:dyDescent="0.35">
      <c r="A157" s="2" t="s">
        <v>260</v>
      </c>
      <c r="B157" s="112">
        <v>0</v>
      </c>
      <c r="C157" s="23"/>
      <c r="D157" s="108">
        <f t="shared" si="8"/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5"/>
    </row>
    <row r="158" spans="1:18" x14ac:dyDescent="0.35">
      <c r="A158" s="39" t="s">
        <v>98</v>
      </c>
      <c r="B158" s="4">
        <f>AVERAGE(B153:B157)</f>
        <v>0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2"/>
    </row>
    <row r="159" spans="1:18" x14ac:dyDescent="0.35">
      <c r="A159" s="39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2"/>
    </row>
    <row r="160" spans="1:18" x14ac:dyDescent="0.35">
      <c r="A160" s="29" t="s">
        <v>281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</row>
    <row r="161" spans="1:18" x14ac:dyDescent="0.35">
      <c r="A161" s="31" t="s">
        <v>85</v>
      </c>
      <c r="B161" s="114"/>
      <c r="C161" s="114"/>
      <c r="D161" s="1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x14ac:dyDescent="0.35">
      <c r="A162" s="31"/>
      <c r="B162" s="115"/>
      <c r="C162" s="115"/>
      <c r="D162" s="11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43.5" x14ac:dyDescent="0.35">
      <c r="A163" s="30" t="s">
        <v>282</v>
      </c>
      <c r="B163" s="115"/>
      <c r="C163" s="115"/>
      <c r="D163" s="115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</row>
    <row r="164" spans="1:18" x14ac:dyDescent="0.35">
      <c r="A164" s="31" t="s">
        <v>86</v>
      </c>
      <c r="B164" s="114"/>
      <c r="C164" s="114"/>
      <c r="D164" s="1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x14ac:dyDescent="0.35">
      <c r="A165" s="31" t="s">
        <v>87</v>
      </c>
      <c r="B165" s="114"/>
      <c r="C165" s="114"/>
      <c r="D165" s="1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x14ac:dyDescent="0.35">
      <c r="A166" s="31" t="s">
        <v>88</v>
      </c>
      <c r="B166" s="114"/>
      <c r="C166" s="114"/>
      <c r="D166" s="1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x14ac:dyDescent="0.35">
      <c r="A167" s="31" t="s">
        <v>89</v>
      </c>
      <c r="B167" s="114"/>
      <c r="C167" s="114"/>
      <c r="D167" s="1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</sheetData>
  <sheetProtection sheet="1" objects="1" scenarios="1"/>
  <mergeCells count="7">
    <mergeCell ref="I3:N3"/>
    <mergeCell ref="B66:G66"/>
    <mergeCell ref="I66:N66"/>
    <mergeCell ref="A1:G1"/>
    <mergeCell ref="A65:G65"/>
    <mergeCell ref="A2:G2"/>
    <mergeCell ref="B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670A-AC13-43DB-94C7-3A3401569493}">
  <dimension ref="A1:T167"/>
  <sheetViews>
    <sheetView topLeftCell="A66" workbookViewId="0">
      <selection activeCell="A70" sqref="A70"/>
    </sheetView>
  </sheetViews>
  <sheetFormatPr defaultRowHeight="14.5" x14ac:dyDescent="0.35"/>
  <cols>
    <col min="1" max="1" width="79.54296875" customWidth="1"/>
    <col min="2" max="3" width="16" customWidth="1"/>
    <col min="4" max="4" width="21.7265625" bestFit="1" customWidth="1"/>
    <col min="5" max="5" width="12.7265625" customWidth="1"/>
    <col min="6" max="6" width="14.81640625" customWidth="1"/>
    <col min="7" max="7" width="13.26953125" bestFit="1" customWidth="1"/>
    <col min="8" max="8" width="13" customWidth="1"/>
    <col min="9" max="9" width="13.1796875" bestFit="1" customWidth="1"/>
    <col min="10" max="10" width="8.453125" customWidth="1"/>
    <col min="11" max="11" width="13.1796875" customWidth="1"/>
    <col min="12" max="12" width="14" customWidth="1"/>
    <col min="13" max="13" width="9.453125" customWidth="1"/>
    <col min="14" max="14" width="14.81640625" bestFit="1" customWidth="1"/>
    <col min="15" max="17" width="12.7265625" customWidth="1"/>
    <col min="18" max="18" width="21.453125" customWidth="1"/>
    <col min="19" max="19" width="8.26953125" customWidth="1"/>
    <col min="20" max="20" width="11.81640625" customWidth="1"/>
    <col min="21" max="21" width="11.453125" bestFit="1" customWidth="1"/>
    <col min="22" max="23" width="9.81640625" customWidth="1"/>
    <col min="27" max="27" width="11.81640625" customWidth="1"/>
  </cols>
  <sheetData>
    <row r="1" spans="1:20" ht="27.75" customHeight="1" x14ac:dyDescent="0.35">
      <c r="A1" s="119" t="s">
        <v>57</v>
      </c>
      <c r="B1" s="119"/>
      <c r="C1" s="119"/>
      <c r="D1" s="119"/>
      <c r="E1" s="119"/>
      <c r="F1" s="119"/>
      <c r="G1" s="119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0"/>
      <c r="T1" s="10"/>
    </row>
    <row r="2" spans="1:20" ht="30" customHeight="1" x14ac:dyDescent="0.35">
      <c r="A2" s="121" t="s">
        <v>155</v>
      </c>
      <c r="B2" s="121"/>
      <c r="C2" s="121"/>
      <c r="D2" s="121"/>
      <c r="E2" s="121"/>
      <c r="F2" s="121"/>
      <c r="G2" s="12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7.75" customHeight="1" x14ac:dyDescent="0.35">
      <c r="A3" s="109"/>
      <c r="B3" s="118" t="s">
        <v>187</v>
      </c>
      <c r="C3" s="118"/>
      <c r="D3" s="118"/>
      <c r="E3" s="118"/>
      <c r="F3" s="118"/>
      <c r="G3" s="118"/>
      <c r="H3" s="10"/>
      <c r="I3" s="118" t="s">
        <v>188</v>
      </c>
      <c r="J3" s="118"/>
      <c r="K3" s="118"/>
      <c r="L3" s="118"/>
      <c r="M3" s="118"/>
      <c r="N3" s="118"/>
      <c r="O3" s="10"/>
      <c r="P3" s="10"/>
      <c r="Q3" s="10"/>
      <c r="R3" s="10"/>
      <c r="S3" s="10"/>
      <c r="T3" s="10"/>
    </row>
    <row r="4" spans="1:20" ht="43" x14ac:dyDescent="0.35">
      <c r="A4" s="81" t="s">
        <v>51</v>
      </c>
      <c r="B4" s="17" t="s">
        <v>99</v>
      </c>
      <c r="C4" s="17" t="s">
        <v>100</v>
      </c>
      <c r="D4" s="17" t="s">
        <v>101</v>
      </c>
      <c r="E4" s="17" t="s">
        <v>102</v>
      </c>
      <c r="F4" s="17" t="s">
        <v>103</v>
      </c>
      <c r="G4" s="17" t="s">
        <v>149</v>
      </c>
      <c r="I4" s="17" t="s">
        <v>99</v>
      </c>
      <c r="J4" s="17" t="s">
        <v>100</v>
      </c>
      <c r="K4" s="17" t="s">
        <v>101</v>
      </c>
      <c r="L4" s="17" t="s">
        <v>102</v>
      </c>
      <c r="M4" s="17" t="s">
        <v>103</v>
      </c>
      <c r="N4" s="17" t="s">
        <v>149</v>
      </c>
    </row>
    <row r="5" spans="1:20" x14ac:dyDescent="0.35">
      <c r="A5" s="117" t="s">
        <v>286</v>
      </c>
      <c r="B5" s="112">
        <v>0</v>
      </c>
      <c r="C5" s="112">
        <v>0</v>
      </c>
      <c r="D5" s="112">
        <v>0</v>
      </c>
      <c r="E5" s="112">
        <v>0</v>
      </c>
      <c r="F5" s="112">
        <v>0</v>
      </c>
      <c r="G5" s="112">
        <v>0</v>
      </c>
      <c r="I5" s="108">
        <f>B5*1.1</f>
        <v>0</v>
      </c>
      <c r="J5" s="108">
        <f t="shared" ref="J5:N20" si="0">C5*1.1</f>
        <v>0</v>
      </c>
      <c r="K5" s="108">
        <f t="shared" si="0"/>
        <v>0</v>
      </c>
      <c r="L5" s="108">
        <f t="shared" si="0"/>
        <v>0</v>
      </c>
      <c r="M5" s="108">
        <f t="shared" si="0"/>
        <v>0</v>
      </c>
      <c r="N5" s="108">
        <f t="shared" si="0"/>
        <v>0</v>
      </c>
    </row>
    <row r="6" spans="1:20" x14ac:dyDescent="0.35">
      <c r="A6" s="117" t="s">
        <v>287</v>
      </c>
      <c r="B6" s="112">
        <v>0</v>
      </c>
      <c r="C6" s="112">
        <v>0</v>
      </c>
      <c r="D6" s="112">
        <v>0</v>
      </c>
      <c r="E6" s="112">
        <v>0</v>
      </c>
      <c r="F6" s="112">
        <v>0</v>
      </c>
      <c r="G6" s="112">
        <v>0</v>
      </c>
      <c r="I6" s="108">
        <f t="shared" ref="I6:N62" si="1">B6*1.1</f>
        <v>0</v>
      </c>
      <c r="J6" s="108">
        <f t="shared" si="0"/>
        <v>0</v>
      </c>
      <c r="K6" s="108">
        <f t="shared" si="0"/>
        <v>0</v>
      </c>
      <c r="L6" s="108">
        <f t="shared" si="0"/>
        <v>0</v>
      </c>
      <c r="M6" s="108">
        <f t="shared" si="0"/>
        <v>0</v>
      </c>
      <c r="N6" s="108">
        <f t="shared" si="0"/>
        <v>0</v>
      </c>
    </row>
    <row r="7" spans="1:20" x14ac:dyDescent="0.35">
      <c r="A7" s="117" t="s">
        <v>285</v>
      </c>
      <c r="B7" s="112">
        <v>0</v>
      </c>
      <c r="C7" s="112">
        <v>0</v>
      </c>
      <c r="D7" s="112">
        <v>0</v>
      </c>
      <c r="E7" s="112">
        <v>0</v>
      </c>
      <c r="F7" s="112">
        <v>0</v>
      </c>
      <c r="G7" s="112">
        <v>0</v>
      </c>
      <c r="I7" s="108">
        <f t="shared" si="1"/>
        <v>0</v>
      </c>
      <c r="J7" s="108">
        <f t="shared" si="0"/>
        <v>0</v>
      </c>
      <c r="K7" s="108">
        <f t="shared" si="0"/>
        <v>0</v>
      </c>
      <c r="L7" s="108">
        <f t="shared" si="0"/>
        <v>0</v>
      </c>
      <c r="M7" s="108">
        <f t="shared" si="0"/>
        <v>0</v>
      </c>
      <c r="N7" s="108">
        <f t="shared" si="0"/>
        <v>0</v>
      </c>
    </row>
    <row r="8" spans="1:20" x14ac:dyDescent="0.35">
      <c r="A8" s="1" t="s">
        <v>53</v>
      </c>
      <c r="B8" s="112">
        <v>0</v>
      </c>
      <c r="C8" s="112">
        <v>0</v>
      </c>
      <c r="D8" s="112">
        <v>0</v>
      </c>
      <c r="E8" s="112">
        <v>0</v>
      </c>
      <c r="F8" s="112">
        <v>0</v>
      </c>
      <c r="G8" s="112">
        <v>0</v>
      </c>
      <c r="I8" s="108">
        <f t="shared" si="1"/>
        <v>0</v>
      </c>
      <c r="J8" s="108">
        <f t="shared" si="0"/>
        <v>0</v>
      </c>
      <c r="K8" s="108">
        <f t="shared" si="0"/>
        <v>0</v>
      </c>
      <c r="L8" s="108">
        <f t="shared" si="0"/>
        <v>0</v>
      </c>
      <c r="M8" s="108">
        <f t="shared" si="0"/>
        <v>0</v>
      </c>
      <c r="N8" s="108">
        <f t="shared" si="0"/>
        <v>0</v>
      </c>
    </row>
    <row r="9" spans="1:20" x14ac:dyDescent="0.35">
      <c r="A9" s="1" t="s">
        <v>52</v>
      </c>
      <c r="B9" s="112">
        <v>0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I9" s="108">
        <f t="shared" si="1"/>
        <v>0</v>
      </c>
      <c r="J9" s="108">
        <f t="shared" si="0"/>
        <v>0</v>
      </c>
      <c r="K9" s="108">
        <f t="shared" si="0"/>
        <v>0</v>
      </c>
      <c r="L9" s="108">
        <f t="shared" si="0"/>
        <v>0</v>
      </c>
      <c r="M9" s="108">
        <f t="shared" si="0"/>
        <v>0</v>
      </c>
      <c r="N9" s="108">
        <f t="shared" si="0"/>
        <v>0</v>
      </c>
    </row>
    <row r="10" spans="1:20" x14ac:dyDescent="0.35">
      <c r="A10" s="1" t="s">
        <v>54</v>
      </c>
      <c r="B10" s="112">
        <v>0</v>
      </c>
      <c r="C10" s="112">
        <v>0</v>
      </c>
      <c r="D10" s="112">
        <v>0</v>
      </c>
      <c r="E10" s="112">
        <v>0</v>
      </c>
      <c r="F10" s="112">
        <v>0</v>
      </c>
      <c r="G10" s="112">
        <v>0</v>
      </c>
      <c r="I10" s="108">
        <f t="shared" si="1"/>
        <v>0</v>
      </c>
      <c r="J10" s="108">
        <f t="shared" si="0"/>
        <v>0</v>
      </c>
      <c r="K10" s="108">
        <f t="shared" si="0"/>
        <v>0</v>
      </c>
      <c r="L10" s="108">
        <f t="shared" si="0"/>
        <v>0</v>
      </c>
      <c r="M10" s="108">
        <f t="shared" si="0"/>
        <v>0</v>
      </c>
      <c r="N10" s="108">
        <f t="shared" si="0"/>
        <v>0</v>
      </c>
    </row>
    <row r="11" spans="1:20" x14ac:dyDescent="0.35">
      <c r="A11" s="1" t="s">
        <v>0</v>
      </c>
      <c r="B11" s="112">
        <v>0</v>
      </c>
      <c r="C11" s="112">
        <v>0</v>
      </c>
      <c r="D11" s="112">
        <v>0</v>
      </c>
      <c r="E11" s="112">
        <v>0</v>
      </c>
      <c r="F11" s="112">
        <v>0</v>
      </c>
      <c r="G11" s="112">
        <v>0</v>
      </c>
      <c r="I11" s="108">
        <f t="shared" si="1"/>
        <v>0</v>
      </c>
      <c r="J11" s="108">
        <f t="shared" si="0"/>
        <v>0</v>
      </c>
      <c r="K11" s="108">
        <f t="shared" si="0"/>
        <v>0</v>
      </c>
      <c r="L11" s="108">
        <f t="shared" si="0"/>
        <v>0</v>
      </c>
      <c r="M11" s="108">
        <f t="shared" si="0"/>
        <v>0</v>
      </c>
      <c r="N11" s="108">
        <f t="shared" si="0"/>
        <v>0</v>
      </c>
    </row>
    <row r="12" spans="1:20" x14ac:dyDescent="0.35">
      <c r="A12" s="1" t="s">
        <v>1</v>
      </c>
      <c r="B12" s="112">
        <v>0</v>
      </c>
      <c r="C12" s="112">
        <v>0</v>
      </c>
      <c r="D12" s="112">
        <v>0</v>
      </c>
      <c r="E12" s="112">
        <v>0</v>
      </c>
      <c r="F12" s="112">
        <v>0</v>
      </c>
      <c r="G12" s="112">
        <v>0</v>
      </c>
      <c r="I12" s="108">
        <f t="shared" si="1"/>
        <v>0</v>
      </c>
      <c r="J12" s="108">
        <f t="shared" si="0"/>
        <v>0</v>
      </c>
      <c r="K12" s="108">
        <f t="shared" si="0"/>
        <v>0</v>
      </c>
      <c r="L12" s="108">
        <f t="shared" si="0"/>
        <v>0</v>
      </c>
      <c r="M12" s="108">
        <f t="shared" si="0"/>
        <v>0</v>
      </c>
      <c r="N12" s="108">
        <f t="shared" si="0"/>
        <v>0</v>
      </c>
    </row>
    <row r="13" spans="1:20" x14ac:dyDescent="0.35">
      <c r="A13" s="1" t="s">
        <v>2</v>
      </c>
      <c r="B13" s="112">
        <v>0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I13" s="108">
        <f t="shared" si="1"/>
        <v>0</v>
      </c>
      <c r="J13" s="108">
        <f t="shared" si="0"/>
        <v>0</v>
      </c>
      <c r="K13" s="108">
        <f t="shared" si="0"/>
        <v>0</v>
      </c>
      <c r="L13" s="108">
        <f t="shared" si="0"/>
        <v>0</v>
      </c>
      <c r="M13" s="108">
        <f t="shared" si="0"/>
        <v>0</v>
      </c>
      <c r="N13" s="108">
        <f t="shared" si="0"/>
        <v>0</v>
      </c>
    </row>
    <row r="14" spans="1:20" x14ac:dyDescent="0.35">
      <c r="A14" s="1" t="s">
        <v>3</v>
      </c>
      <c r="B14" s="112">
        <v>0</v>
      </c>
      <c r="C14" s="112">
        <v>0</v>
      </c>
      <c r="D14" s="112">
        <v>0</v>
      </c>
      <c r="E14" s="112">
        <v>0</v>
      </c>
      <c r="F14" s="112">
        <v>0</v>
      </c>
      <c r="G14" s="112">
        <v>0</v>
      </c>
      <c r="I14" s="108">
        <f t="shared" si="1"/>
        <v>0</v>
      </c>
      <c r="J14" s="108">
        <f t="shared" si="0"/>
        <v>0</v>
      </c>
      <c r="K14" s="108">
        <f t="shared" si="0"/>
        <v>0</v>
      </c>
      <c r="L14" s="108">
        <f t="shared" si="0"/>
        <v>0</v>
      </c>
      <c r="M14" s="108">
        <f t="shared" si="0"/>
        <v>0</v>
      </c>
      <c r="N14" s="108">
        <f t="shared" si="0"/>
        <v>0</v>
      </c>
    </row>
    <row r="15" spans="1:20" x14ac:dyDescent="0.35">
      <c r="A15" s="1" t="s">
        <v>4</v>
      </c>
      <c r="B15" s="112">
        <v>0</v>
      </c>
      <c r="C15" s="112">
        <v>0</v>
      </c>
      <c r="D15" s="112">
        <v>0</v>
      </c>
      <c r="E15" s="112">
        <v>0</v>
      </c>
      <c r="F15" s="112">
        <v>0</v>
      </c>
      <c r="G15" s="112">
        <v>0</v>
      </c>
      <c r="I15" s="108">
        <f t="shared" si="1"/>
        <v>0</v>
      </c>
      <c r="J15" s="108">
        <f t="shared" si="0"/>
        <v>0</v>
      </c>
      <c r="K15" s="108">
        <f t="shared" si="0"/>
        <v>0</v>
      </c>
      <c r="L15" s="108">
        <f t="shared" si="0"/>
        <v>0</v>
      </c>
      <c r="M15" s="108">
        <f t="shared" si="0"/>
        <v>0</v>
      </c>
      <c r="N15" s="108">
        <f t="shared" si="0"/>
        <v>0</v>
      </c>
    </row>
    <row r="16" spans="1:20" x14ac:dyDescent="0.35">
      <c r="A16" s="1" t="s">
        <v>5</v>
      </c>
      <c r="B16" s="112">
        <v>0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I16" s="108">
        <f t="shared" si="1"/>
        <v>0</v>
      </c>
      <c r="J16" s="108">
        <f t="shared" si="0"/>
        <v>0</v>
      </c>
      <c r="K16" s="108">
        <f t="shared" si="0"/>
        <v>0</v>
      </c>
      <c r="L16" s="108">
        <f t="shared" si="0"/>
        <v>0</v>
      </c>
      <c r="M16" s="108">
        <f t="shared" si="0"/>
        <v>0</v>
      </c>
      <c r="N16" s="108">
        <f t="shared" si="0"/>
        <v>0</v>
      </c>
    </row>
    <row r="17" spans="1:14" x14ac:dyDescent="0.35">
      <c r="A17" s="1" t="s">
        <v>6</v>
      </c>
      <c r="B17" s="112">
        <v>0</v>
      </c>
      <c r="C17" s="112">
        <v>0</v>
      </c>
      <c r="D17" s="112">
        <v>0</v>
      </c>
      <c r="E17" s="112">
        <v>0</v>
      </c>
      <c r="F17" s="112">
        <v>0</v>
      </c>
      <c r="G17" s="112">
        <v>0</v>
      </c>
      <c r="I17" s="108">
        <f t="shared" si="1"/>
        <v>0</v>
      </c>
      <c r="J17" s="108">
        <f t="shared" si="0"/>
        <v>0</v>
      </c>
      <c r="K17" s="108">
        <f t="shared" si="0"/>
        <v>0</v>
      </c>
      <c r="L17" s="108">
        <f t="shared" si="0"/>
        <v>0</v>
      </c>
      <c r="M17" s="108">
        <f t="shared" si="0"/>
        <v>0</v>
      </c>
      <c r="N17" s="108">
        <f t="shared" si="0"/>
        <v>0</v>
      </c>
    </row>
    <row r="18" spans="1:14" x14ac:dyDescent="0.35">
      <c r="A18" s="1" t="s">
        <v>7</v>
      </c>
      <c r="B18" s="112">
        <v>0</v>
      </c>
      <c r="C18" s="112">
        <v>0</v>
      </c>
      <c r="D18" s="112">
        <v>0</v>
      </c>
      <c r="E18" s="112">
        <v>0</v>
      </c>
      <c r="F18" s="112">
        <v>0</v>
      </c>
      <c r="G18" s="112">
        <v>0</v>
      </c>
      <c r="I18" s="108">
        <f t="shared" si="1"/>
        <v>0</v>
      </c>
      <c r="J18" s="108">
        <f t="shared" si="0"/>
        <v>0</v>
      </c>
      <c r="K18" s="108">
        <f t="shared" si="0"/>
        <v>0</v>
      </c>
      <c r="L18" s="108">
        <f t="shared" si="0"/>
        <v>0</v>
      </c>
      <c r="M18" s="108">
        <f t="shared" si="0"/>
        <v>0</v>
      </c>
      <c r="N18" s="108">
        <f t="shared" si="0"/>
        <v>0</v>
      </c>
    </row>
    <row r="19" spans="1:14" x14ac:dyDescent="0.35">
      <c r="A19" s="1" t="s">
        <v>8</v>
      </c>
      <c r="B19" s="112">
        <v>0</v>
      </c>
      <c r="C19" s="112">
        <v>0</v>
      </c>
      <c r="D19" s="112">
        <v>0</v>
      </c>
      <c r="E19" s="112">
        <v>0</v>
      </c>
      <c r="F19" s="112">
        <v>0</v>
      </c>
      <c r="G19" s="112">
        <v>0</v>
      </c>
      <c r="I19" s="108">
        <f t="shared" si="1"/>
        <v>0</v>
      </c>
      <c r="J19" s="108">
        <f t="shared" si="0"/>
        <v>0</v>
      </c>
      <c r="K19" s="108">
        <f t="shared" si="0"/>
        <v>0</v>
      </c>
      <c r="L19" s="108">
        <f t="shared" si="0"/>
        <v>0</v>
      </c>
      <c r="M19" s="108">
        <f t="shared" si="0"/>
        <v>0</v>
      </c>
      <c r="N19" s="108">
        <f t="shared" si="0"/>
        <v>0</v>
      </c>
    </row>
    <row r="20" spans="1:14" x14ac:dyDescent="0.35">
      <c r="A20" s="1" t="s">
        <v>9</v>
      </c>
      <c r="B20" s="112">
        <v>0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I20" s="108">
        <f t="shared" si="1"/>
        <v>0</v>
      </c>
      <c r="J20" s="108">
        <f t="shared" si="0"/>
        <v>0</v>
      </c>
      <c r="K20" s="108">
        <f t="shared" si="0"/>
        <v>0</v>
      </c>
      <c r="L20" s="108">
        <f t="shared" si="0"/>
        <v>0</v>
      </c>
      <c r="M20" s="108">
        <f t="shared" si="0"/>
        <v>0</v>
      </c>
      <c r="N20" s="108">
        <f t="shared" si="0"/>
        <v>0</v>
      </c>
    </row>
    <row r="21" spans="1:14" x14ac:dyDescent="0.35">
      <c r="A21" s="1" t="s">
        <v>10</v>
      </c>
      <c r="B21" s="112">
        <v>0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I21" s="108">
        <f t="shared" si="1"/>
        <v>0</v>
      </c>
      <c r="J21" s="108">
        <f t="shared" si="1"/>
        <v>0</v>
      </c>
      <c r="K21" s="108">
        <f t="shared" si="1"/>
        <v>0</v>
      </c>
      <c r="L21" s="108">
        <f t="shared" si="1"/>
        <v>0</v>
      </c>
      <c r="M21" s="108">
        <f t="shared" si="1"/>
        <v>0</v>
      </c>
      <c r="N21" s="108">
        <f t="shared" si="1"/>
        <v>0</v>
      </c>
    </row>
    <row r="22" spans="1:14" x14ac:dyDescent="0.35">
      <c r="A22" s="1" t="s">
        <v>11</v>
      </c>
      <c r="B22" s="112">
        <v>0</v>
      </c>
      <c r="C22" s="112">
        <v>0</v>
      </c>
      <c r="D22" s="112">
        <v>0</v>
      </c>
      <c r="E22" s="112">
        <v>0</v>
      </c>
      <c r="F22" s="112">
        <v>0</v>
      </c>
      <c r="G22" s="112">
        <v>0</v>
      </c>
      <c r="I22" s="108">
        <f t="shared" si="1"/>
        <v>0</v>
      </c>
      <c r="J22" s="108">
        <f t="shared" si="1"/>
        <v>0</v>
      </c>
      <c r="K22" s="108">
        <f t="shared" si="1"/>
        <v>0</v>
      </c>
      <c r="L22" s="108">
        <f t="shared" si="1"/>
        <v>0</v>
      </c>
      <c r="M22" s="108">
        <f t="shared" si="1"/>
        <v>0</v>
      </c>
      <c r="N22" s="108">
        <f t="shared" si="1"/>
        <v>0</v>
      </c>
    </row>
    <row r="23" spans="1:14" x14ac:dyDescent="0.35">
      <c r="A23" s="1" t="s">
        <v>12</v>
      </c>
      <c r="B23" s="112">
        <v>0</v>
      </c>
      <c r="C23" s="112">
        <v>0</v>
      </c>
      <c r="D23" s="112">
        <v>0</v>
      </c>
      <c r="E23" s="112">
        <v>0</v>
      </c>
      <c r="F23" s="112">
        <v>0</v>
      </c>
      <c r="G23" s="112">
        <v>0</v>
      </c>
      <c r="I23" s="108">
        <f t="shared" si="1"/>
        <v>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f t="shared" si="1"/>
        <v>0</v>
      </c>
      <c r="N23" s="108">
        <f t="shared" si="1"/>
        <v>0</v>
      </c>
    </row>
    <row r="24" spans="1:14" x14ac:dyDescent="0.35">
      <c r="A24" s="1" t="s">
        <v>13</v>
      </c>
      <c r="B24" s="112">
        <v>0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I24" s="108">
        <f t="shared" si="1"/>
        <v>0</v>
      </c>
      <c r="J24" s="108">
        <f t="shared" si="1"/>
        <v>0</v>
      </c>
      <c r="K24" s="108">
        <f t="shared" si="1"/>
        <v>0</v>
      </c>
      <c r="L24" s="108">
        <f t="shared" si="1"/>
        <v>0</v>
      </c>
      <c r="M24" s="108">
        <f t="shared" si="1"/>
        <v>0</v>
      </c>
      <c r="N24" s="108">
        <f t="shared" si="1"/>
        <v>0</v>
      </c>
    </row>
    <row r="25" spans="1:14" x14ac:dyDescent="0.35">
      <c r="A25" s="1" t="s">
        <v>14</v>
      </c>
      <c r="B25" s="112">
        <v>0</v>
      </c>
      <c r="C25" s="112">
        <v>0</v>
      </c>
      <c r="D25" s="112">
        <v>0</v>
      </c>
      <c r="E25" s="112">
        <v>0</v>
      </c>
      <c r="F25" s="112">
        <v>0</v>
      </c>
      <c r="G25" s="112">
        <v>0</v>
      </c>
      <c r="I25" s="108">
        <f t="shared" si="1"/>
        <v>0</v>
      </c>
      <c r="J25" s="108">
        <f t="shared" si="1"/>
        <v>0</v>
      </c>
      <c r="K25" s="108">
        <f t="shared" si="1"/>
        <v>0</v>
      </c>
      <c r="L25" s="108">
        <f t="shared" si="1"/>
        <v>0</v>
      </c>
      <c r="M25" s="108">
        <f t="shared" si="1"/>
        <v>0</v>
      </c>
      <c r="N25" s="108">
        <f t="shared" si="1"/>
        <v>0</v>
      </c>
    </row>
    <row r="26" spans="1:14" x14ac:dyDescent="0.35">
      <c r="A26" s="1" t="s">
        <v>15</v>
      </c>
      <c r="B26" s="112">
        <v>0</v>
      </c>
      <c r="C26" s="112">
        <v>0</v>
      </c>
      <c r="D26" s="112">
        <v>0</v>
      </c>
      <c r="E26" s="112">
        <v>0</v>
      </c>
      <c r="F26" s="112">
        <v>0</v>
      </c>
      <c r="G26" s="112">
        <v>0</v>
      </c>
      <c r="I26" s="108">
        <f t="shared" si="1"/>
        <v>0</v>
      </c>
      <c r="J26" s="108">
        <f t="shared" si="1"/>
        <v>0</v>
      </c>
      <c r="K26" s="108">
        <f t="shared" si="1"/>
        <v>0</v>
      </c>
      <c r="L26" s="108">
        <f t="shared" si="1"/>
        <v>0</v>
      </c>
      <c r="M26" s="108">
        <f t="shared" si="1"/>
        <v>0</v>
      </c>
      <c r="N26" s="108">
        <f t="shared" si="1"/>
        <v>0</v>
      </c>
    </row>
    <row r="27" spans="1:14" x14ac:dyDescent="0.35">
      <c r="A27" s="1" t="s">
        <v>16</v>
      </c>
      <c r="B27" s="112">
        <v>0</v>
      </c>
      <c r="C27" s="112">
        <v>0</v>
      </c>
      <c r="D27" s="112">
        <v>0</v>
      </c>
      <c r="E27" s="112">
        <v>0</v>
      </c>
      <c r="F27" s="112">
        <v>0</v>
      </c>
      <c r="G27" s="112">
        <v>0</v>
      </c>
      <c r="I27" s="108">
        <f t="shared" si="1"/>
        <v>0</v>
      </c>
      <c r="J27" s="108">
        <f t="shared" si="1"/>
        <v>0</v>
      </c>
      <c r="K27" s="108">
        <f t="shared" si="1"/>
        <v>0</v>
      </c>
      <c r="L27" s="108">
        <f t="shared" si="1"/>
        <v>0</v>
      </c>
      <c r="M27" s="108">
        <f t="shared" si="1"/>
        <v>0</v>
      </c>
      <c r="N27" s="108">
        <f t="shared" si="1"/>
        <v>0</v>
      </c>
    </row>
    <row r="28" spans="1:14" x14ac:dyDescent="0.35">
      <c r="A28" s="1" t="s">
        <v>17</v>
      </c>
      <c r="B28" s="112">
        <v>0</v>
      </c>
      <c r="C28" s="112">
        <v>0</v>
      </c>
      <c r="D28" s="112">
        <v>0</v>
      </c>
      <c r="E28" s="112">
        <v>0</v>
      </c>
      <c r="F28" s="112">
        <v>0</v>
      </c>
      <c r="G28" s="112">
        <v>0</v>
      </c>
      <c r="I28" s="108">
        <f t="shared" si="1"/>
        <v>0</v>
      </c>
      <c r="J28" s="108">
        <f t="shared" si="1"/>
        <v>0</v>
      </c>
      <c r="K28" s="108">
        <f t="shared" si="1"/>
        <v>0</v>
      </c>
      <c r="L28" s="108">
        <f t="shared" si="1"/>
        <v>0</v>
      </c>
      <c r="M28" s="108">
        <f t="shared" si="1"/>
        <v>0</v>
      </c>
      <c r="N28" s="108">
        <f t="shared" si="1"/>
        <v>0</v>
      </c>
    </row>
    <row r="29" spans="1:14" x14ac:dyDescent="0.35">
      <c r="A29" s="1" t="s">
        <v>18</v>
      </c>
      <c r="B29" s="112">
        <v>0</v>
      </c>
      <c r="C29" s="112">
        <v>0</v>
      </c>
      <c r="D29" s="112">
        <v>0</v>
      </c>
      <c r="E29" s="112">
        <v>0</v>
      </c>
      <c r="F29" s="112">
        <v>0</v>
      </c>
      <c r="G29" s="112">
        <v>0</v>
      </c>
      <c r="I29" s="108">
        <f t="shared" si="1"/>
        <v>0</v>
      </c>
      <c r="J29" s="108">
        <f t="shared" si="1"/>
        <v>0</v>
      </c>
      <c r="K29" s="108">
        <f t="shared" si="1"/>
        <v>0</v>
      </c>
      <c r="L29" s="108">
        <f t="shared" si="1"/>
        <v>0</v>
      </c>
      <c r="M29" s="108">
        <f t="shared" si="1"/>
        <v>0</v>
      </c>
      <c r="N29" s="108">
        <f t="shared" si="1"/>
        <v>0</v>
      </c>
    </row>
    <row r="30" spans="1:14" x14ac:dyDescent="0.35">
      <c r="A30" s="1" t="s">
        <v>19</v>
      </c>
      <c r="B30" s="112">
        <v>0</v>
      </c>
      <c r="C30" s="112">
        <v>0</v>
      </c>
      <c r="D30" s="112">
        <v>0</v>
      </c>
      <c r="E30" s="112">
        <v>0</v>
      </c>
      <c r="F30" s="112">
        <v>0</v>
      </c>
      <c r="G30" s="112">
        <v>0</v>
      </c>
      <c r="I30" s="108">
        <f t="shared" si="1"/>
        <v>0</v>
      </c>
      <c r="J30" s="108">
        <f t="shared" si="1"/>
        <v>0</v>
      </c>
      <c r="K30" s="108">
        <f t="shared" si="1"/>
        <v>0</v>
      </c>
      <c r="L30" s="108">
        <f t="shared" si="1"/>
        <v>0</v>
      </c>
      <c r="M30" s="108">
        <f t="shared" si="1"/>
        <v>0</v>
      </c>
      <c r="N30" s="108">
        <f t="shared" si="1"/>
        <v>0</v>
      </c>
    </row>
    <row r="31" spans="1:14" x14ac:dyDescent="0.35">
      <c r="A31" s="1" t="s">
        <v>20</v>
      </c>
      <c r="B31" s="112">
        <v>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I31" s="108">
        <f t="shared" si="1"/>
        <v>0</v>
      </c>
      <c r="J31" s="108">
        <f t="shared" si="1"/>
        <v>0</v>
      </c>
      <c r="K31" s="108">
        <f t="shared" si="1"/>
        <v>0</v>
      </c>
      <c r="L31" s="108">
        <f t="shared" si="1"/>
        <v>0</v>
      </c>
      <c r="M31" s="108">
        <f t="shared" si="1"/>
        <v>0</v>
      </c>
      <c r="N31" s="108">
        <f t="shared" si="1"/>
        <v>0</v>
      </c>
    </row>
    <row r="32" spans="1:14" x14ac:dyDescent="0.35">
      <c r="A32" s="1" t="s">
        <v>21</v>
      </c>
      <c r="B32" s="112">
        <v>0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I32" s="108">
        <f t="shared" si="1"/>
        <v>0</v>
      </c>
      <c r="J32" s="108">
        <f t="shared" si="1"/>
        <v>0</v>
      </c>
      <c r="K32" s="108">
        <f t="shared" si="1"/>
        <v>0</v>
      </c>
      <c r="L32" s="108">
        <f t="shared" si="1"/>
        <v>0</v>
      </c>
      <c r="M32" s="108">
        <f t="shared" si="1"/>
        <v>0</v>
      </c>
      <c r="N32" s="108">
        <f t="shared" si="1"/>
        <v>0</v>
      </c>
    </row>
    <row r="33" spans="1:14" x14ac:dyDescent="0.35">
      <c r="A33" s="1" t="s">
        <v>22</v>
      </c>
      <c r="B33" s="112">
        <v>0</v>
      </c>
      <c r="C33" s="112">
        <v>0</v>
      </c>
      <c r="D33" s="112">
        <v>0</v>
      </c>
      <c r="E33" s="112">
        <v>0</v>
      </c>
      <c r="F33" s="112">
        <v>0</v>
      </c>
      <c r="G33" s="112">
        <v>0</v>
      </c>
      <c r="I33" s="108">
        <f t="shared" si="1"/>
        <v>0</v>
      </c>
      <c r="J33" s="108">
        <f t="shared" si="1"/>
        <v>0</v>
      </c>
      <c r="K33" s="108">
        <f t="shared" si="1"/>
        <v>0</v>
      </c>
      <c r="L33" s="108">
        <f t="shared" si="1"/>
        <v>0</v>
      </c>
      <c r="M33" s="108">
        <f t="shared" si="1"/>
        <v>0</v>
      </c>
      <c r="N33" s="108">
        <f t="shared" si="1"/>
        <v>0</v>
      </c>
    </row>
    <row r="34" spans="1:14" x14ac:dyDescent="0.35">
      <c r="A34" s="1" t="s">
        <v>23</v>
      </c>
      <c r="B34" s="112">
        <v>0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I34" s="108">
        <f t="shared" si="1"/>
        <v>0</v>
      </c>
      <c r="J34" s="108">
        <f t="shared" si="1"/>
        <v>0</v>
      </c>
      <c r="K34" s="108">
        <f t="shared" si="1"/>
        <v>0</v>
      </c>
      <c r="L34" s="108">
        <f t="shared" si="1"/>
        <v>0</v>
      </c>
      <c r="M34" s="108">
        <f t="shared" si="1"/>
        <v>0</v>
      </c>
      <c r="N34" s="108">
        <f t="shared" si="1"/>
        <v>0</v>
      </c>
    </row>
    <row r="35" spans="1:14" x14ac:dyDescent="0.35">
      <c r="A35" s="1" t="s">
        <v>50</v>
      </c>
      <c r="B35" s="112">
        <v>0</v>
      </c>
      <c r="C35" s="112">
        <v>0</v>
      </c>
      <c r="D35" s="112">
        <v>0</v>
      </c>
      <c r="E35" s="112">
        <v>0</v>
      </c>
      <c r="F35" s="112">
        <v>0</v>
      </c>
      <c r="G35" s="112">
        <v>0</v>
      </c>
      <c r="I35" s="108">
        <f t="shared" si="1"/>
        <v>0</v>
      </c>
      <c r="J35" s="108">
        <f t="shared" si="1"/>
        <v>0</v>
      </c>
      <c r="K35" s="108">
        <f t="shared" si="1"/>
        <v>0</v>
      </c>
      <c r="L35" s="108">
        <f t="shared" si="1"/>
        <v>0</v>
      </c>
      <c r="M35" s="108">
        <f t="shared" si="1"/>
        <v>0</v>
      </c>
      <c r="N35" s="108">
        <f t="shared" si="1"/>
        <v>0</v>
      </c>
    </row>
    <row r="36" spans="1:14" x14ac:dyDescent="0.35">
      <c r="A36" s="1" t="s">
        <v>24</v>
      </c>
      <c r="B36" s="112">
        <v>0</v>
      </c>
      <c r="C36" s="112">
        <v>0</v>
      </c>
      <c r="D36" s="112">
        <v>0</v>
      </c>
      <c r="E36" s="112">
        <v>0</v>
      </c>
      <c r="F36" s="112">
        <v>0</v>
      </c>
      <c r="G36" s="112">
        <v>0</v>
      </c>
      <c r="I36" s="108">
        <f t="shared" si="1"/>
        <v>0</v>
      </c>
      <c r="J36" s="108">
        <f t="shared" si="1"/>
        <v>0</v>
      </c>
      <c r="K36" s="108">
        <f t="shared" si="1"/>
        <v>0</v>
      </c>
      <c r="L36" s="108">
        <f t="shared" si="1"/>
        <v>0</v>
      </c>
      <c r="M36" s="108">
        <f t="shared" si="1"/>
        <v>0</v>
      </c>
      <c r="N36" s="108">
        <f t="shared" si="1"/>
        <v>0</v>
      </c>
    </row>
    <row r="37" spans="1:14" x14ac:dyDescent="0.35">
      <c r="A37" s="1" t="s">
        <v>25</v>
      </c>
      <c r="B37" s="112">
        <v>0</v>
      </c>
      <c r="C37" s="112">
        <v>0</v>
      </c>
      <c r="D37" s="112">
        <v>0</v>
      </c>
      <c r="E37" s="112">
        <v>0</v>
      </c>
      <c r="F37" s="112">
        <v>0</v>
      </c>
      <c r="G37" s="112">
        <v>0</v>
      </c>
      <c r="I37" s="108">
        <f t="shared" si="1"/>
        <v>0</v>
      </c>
      <c r="J37" s="108">
        <f t="shared" si="1"/>
        <v>0</v>
      </c>
      <c r="K37" s="108">
        <f t="shared" si="1"/>
        <v>0</v>
      </c>
      <c r="L37" s="108">
        <f t="shared" si="1"/>
        <v>0</v>
      </c>
      <c r="M37" s="108">
        <f t="shared" si="1"/>
        <v>0</v>
      </c>
      <c r="N37" s="108">
        <f t="shared" si="1"/>
        <v>0</v>
      </c>
    </row>
    <row r="38" spans="1:14" x14ac:dyDescent="0.35">
      <c r="A38" s="1" t="s">
        <v>26</v>
      </c>
      <c r="B38" s="112">
        <v>0</v>
      </c>
      <c r="C38" s="112">
        <v>0</v>
      </c>
      <c r="D38" s="112">
        <v>0</v>
      </c>
      <c r="E38" s="112">
        <v>0</v>
      </c>
      <c r="F38" s="112">
        <v>0</v>
      </c>
      <c r="G38" s="112">
        <v>0</v>
      </c>
      <c r="I38" s="108">
        <f t="shared" si="1"/>
        <v>0</v>
      </c>
      <c r="J38" s="108">
        <f t="shared" si="1"/>
        <v>0</v>
      </c>
      <c r="K38" s="108">
        <f t="shared" si="1"/>
        <v>0</v>
      </c>
      <c r="L38" s="108">
        <f t="shared" si="1"/>
        <v>0</v>
      </c>
      <c r="M38" s="108">
        <f t="shared" si="1"/>
        <v>0</v>
      </c>
      <c r="N38" s="108">
        <f t="shared" si="1"/>
        <v>0</v>
      </c>
    </row>
    <row r="39" spans="1:14" x14ac:dyDescent="0.35">
      <c r="A39" s="1" t="s">
        <v>27</v>
      </c>
      <c r="B39" s="112">
        <v>0</v>
      </c>
      <c r="C39" s="112">
        <v>0</v>
      </c>
      <c r="D39" s="112">
        <v>0</v>
      </c>
      <c r="E39" s="112">
        <v>0</v>
      </c>
      <c r="F39" s="112">
        <v>0</v>
      </c>
      <c r="G39" s="112">
        <v>0</v>
      </c>
      <c r="I39" s="108">
        <f t="shared" si="1"/>
        <v>0</v>
      </c>
      <c r="J39" s="108">
        <f t="shared" si="1"/>
        <v>0</v>
      </c>
      <c r="K39" s="108">
        <f t="shared" si="1"/>
        <v>0</v>
      </c>
      <c r="L39" s="108">
        <f t="shared" si="1"/>
        <v>0</v>
      </c>
      <c r="M39" s="108">
        <f t="shared" si="1"/>
        <v>0</v>
      </c>
      <c r="N39" s="108">
        <f t="shared" si="1"/>
        <v>0</v>
      </c>
    </row>
    <row r="40" spans="1:14" x14ac:dyDescent="0.35">
      <c r="A40" s="1" t="s">
        <v>28</v>
      </c>
      <c r="B40" s="112">
        <v>0</v>
      </c>
      <c r="C40" s="112">
        <v>0</v>
      </c>
      <c r="D40" s="112">
        <v>0</v>
      </c>
      <c r="E40" s="112">
        <v>0</v>
      </c>
      <c r="F40" s="112">
        <v>0</v>
      </c>
      <c r="G40" s="112">
        <v>0</v>
      </c>
      <c r="I40" s="108">
        <f t="shared" si="1"/>
        <v>0</v>
      </c>
      <c r="J40" s="108">
        <f t="shared" si="1"/>
        <v>0</v>
      </c>
      <c r="K40" s="108">
        <f t="shared" si="1"/>
        <v>0</v>
      </c>
      <c r="L40" s="108">
        <f t="shared" si="1"/>
        <v>0</v>
      </c>
      <c r="M40" s="108">
        <f t="shared" si="1"/>
        <v>0</v>
      </c>
      <c r="N40" s="108">
        <f t="shared" si="1"/>
        <v>0</v>
      </c>
    </row>
    <row r="41" spans="1:14" x14ac:dyDescent="0.35">
      <c r="A41" s="1" t="s">
        <v>29</v>
      </c>
      <c r="B41" s="112">
        <v>0</v>
      </c>
      <c r="C41" s="112">
        <v>0</v>
      </c>
      <c r="D41" s="112">
        <v>0</v>
      </c>
      <c r="E41" s="112">
        <v>0</v>
      </c>
      <c r="F41" s="112">
        <v>0</v>
      </c>
      <c r="G41" s="112">
        <v>0</v>
      </c>
      <c r="I41" s="108">
        <f t="shared" si="1"/>
        <v>0</v>
      </c>
      <c r="J41" s="108">
        <f t="shared" si="1"/>
        <v>0</v>
      </c>
      <c r="K41" s="108">
        <f t="shared" si="1"/>
        <v>0</v>
      </c>
      <c r="L41" s="108">
        <f t="shared" si="1"/>
        <v>0</v>
      </c>
      <c r="M41" s="108">
        <f t="shared" si="1"/>
        <v>0</v>
      </c>
      <c r="N41" s="108">
        <f t="shared" si="1"/>
        <v>0</v>
      </c>
    </row>
    <row r="42" spans="1:14" x14ac:dyDescent="0.35">
      <c r="A42" s="1" t="s">
        <v>30</v>
      </c>
      <c r="B42" s="112">
        <v>0</v>
      </c>
      <c r="C42" s="112">
        <v>0</v>
      </c>
      <c r="D42" s="112">
        <v>0</v>
      </c>
      <c r="E42" s="112">
        <v>0</v>
      </c>
      <c r="F42" s="112">
        <v>0</v>
      </c>
      <c r="G42" s="112">
        <v>0</v>
      </c>
      <c r="I42" s="108">
        <f t="shared" si="1"/>
        <v>0</v>
      </c>
      <c r="J42" s="108">
        <f t="shared" si="1"/>
        <v>0</v>
      </c>
      <c r="K42" s="108">
        <f t="shared" si="1"/>
        <v>0</v>
      </c>
      <c r="L42" s="108">
        <f t="shared" si="1"/>
        <v>0</v>
      </c>
      <c r="M42" s="108">
        <f t="shared" si="1"/>
        <v>0</v>
      </c>
      <c r="N42" s="108">
        <f t="shared" si="1"/>
        <v>0</v>
      </c>
    </row>
    <row r="43" spans="1:14" x14ac:dyDescent="0.35">
      <c r="A43" s="1" t="s">
        <v>31</v>
      </c>
      <c r="B43" s="112">
        <v>0</v>
      </c>
      <c r="C43" s="112">
        <v>0</v>
      </c>
      <c r="D43" s="112">
        <v>0</v>
      </c>
      <c r="E43" s="112">
        <v>0</v>
      </c>
      <c r="F43" s="112">
        <v>0</v>
      </c>
      <c r="G43" s="112">
        <v>0</v>
      </c>
      <c r="I43" s="108">
        <f t="shared" si="1"/>
        <v>0</v>
      </c>
      <c r="J43" s="108">
        <f t="shared" si="1"/>
        <v>0</v>
      </c>
      <c r="K43" s="108">
        <f t="shared" si="1"/>
        <v>0</v>
      </c>
      <c r="L43" s="108">
        <f t="shared" si="1"/>
        <v>0</v>
      </c>
      <c r="M43" s="108">
        <f t="shared" si="1"/>
        <v>0</v>
      </c>
      <c r="N43" s="108">
        <f t="shared" si="1"/>
        <v>0</v>
      </c>
    </row>
    <row r="44" spans="1:14" x14ac:dyDescent="0.35">
      <c r="A44" s="1" t="s">
        <v>33</v>
      </c>
      <c r="B44" s="112">
        <v>0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I44" s="108">
        <f t="shared" si="1"/>
        <v>0</v>
      </c>
      <c r="J44" s="108">
        <f t="shared" si="1"/>
        <v>0</v>
      </c>
      <c r="K44" s="108">
        <f t="shared" si="1"/>
        <v>0</v>
      </c>
      <c r="L44" s="108">
        <f t="shared" si="1"/>
        <v>0</v>
      </c>
      <c r="M44" s="108">
        <f t="shared" si="1"/>
        <v>0</v>
      </c>
      <c r="N44" s="108">
        <f t="shared" si="1"/>
        <v>0</v>
      </c>
    </row>
    <row r="45" spans="1:14" x14ac:dyDescent="0.35">
      <c r="A45" s="1" t="s">
        <v>32</v>
      </c>
      <c r="B45" s="112">
        <v>0</v>
      </c>
      <c r="C45" s="112">
        <v>0</v>
      </c>
      <c r="D45" s="112">
        <v>0</v>
      </c>
      <c r="E45" s="112">
        <v>0</v>
      </c>
      <c r="F45" s="112">
        <v>0</v>
      </c>
      <c r="G45" s="112">
        <v>0</v>
      </c>
      <c r="I45" s="108">
        <f t="shared" si="1"/>
        <v>0</v>
      </c>
      <c r="J45" s="108">
        <f t="shared" si="1"/>
        <v>0</v>
      </c>
      <c r="K45" s="108">
        <f t="shared" si="1"/>
        <v>0</v>
      </c>
      <c r="L45" s="108">
        <f t="shared" si="1"/>
        <v>0</v>
      </c>
      <c r="M45" s="108">
        <f t="shared" si="1"/>
        <v>0</v>
      </c>
      <c r="N45" s="108">
        <f t="shared" si="1"/>
        <v>0</v>
      </c>
    </row>
    <row r="46" spans="1:14" x14ac:dyDescent="0.35">
      <c r="A46" s="1" t="s">
        <v>34</v>
      </c>
      <c r="B46" s="112">
        <v>0</v>
      </c>
      <c r="C46" s="112">
        <v>0</v>
      </c>
      <c r="D46" s="112">
        <v>0</v>
      </c>
      <c r="E46" s="112">
        <v>0</v>
      </c>
      <c r="F46" s="112">
        <v>0</v>
      </c>
      <c r="G46" s="112">
        <v>0</v>
      </c>
      <c r="I46" s="108">
        <f t="shared" si="1"/>
        <v>0</v>
      </c>
      <c r="J46" s="108">
        <f t="shared" si="1"/>
        <v>0</v>
      </c>
      <c r="K46" s="108">
        <f t="shared" si="1"/>
        <v>0</v>
      </c>
      <c r="L46" s="108">
        <f t="shared" si="1"/>
        <v>0</v>
      </c>
      <c r="M46" s="108">
        <f t="shared" si="1"/>
        <v>0</v>
      </c>
      <c r="N46" s="108">
        <f t="shared" si="1"/>
        <v>0</v>
      </c>
    </row>
    <row r="47" spans="1:14" x14ac:dyDescent="0.35">
      <c r="A47" s="1" t="s">
        <v>35</v>
      </c>
      <c r="B47" s="112">
        <v>0</v>
      </c>
      <c r="C47" s="112">
        <v>0</v>
      </c>
      <c r="D47" s="112">
        <v>0</v>
      </c>
      <c r="E47" s="112">
        <v>0</v>
      </c>
      <c r="F47" s="112">
        <v>0</v>
      </c>
      <c r="G47" s="112">
        <v>0</v>
      </c>
      <c r="I47" s="108">
        <f t="shared" si="1"/>
        <v>0</v>
      </c>
      <c r="J47" s="108">
        <f t="shared" si="1"/>
        <v>0</v>
      </c>
      <c r="K47" s="108">
        <f t="shared" si="1"/>
        <v>0</v>
      </c>
      <c r="L47" s="108">
        <f t="shared" si="1"/>
        <v>0</v>
      </c>
      <c r="M47" s="108">
        <f t="shared" si="1"/>
        <v>0</v>
      </c>
      <c r="N47" s="108">
        <f t="shared" si="1"/>
        <v>0</v>
      </c>
    </row>
    <row r="48" spans="1:14" x14ac:dyDescent="0.35">
      <c r="A48" s="1" t="s">
        <v>36</v>
      </c>
      <c r="B48" s="112">
        <v>0</v>
      </c>
      <c r="C48" s="112">
        <v>0</v>
      </c>
      <c r="D48" s="112">
        <v>0</v>
      </c>
      <c r="E48" s="112">
        <v>0</v>
      </c>
      <c r="F48" s="112">
        <v>0</v>
      </c>
      <c r="G48" s="112">
        <v>0</v>
      </c>
      <c r="I48" s="108">
        <f t="shared" si="1"/>
        <v>0</v>
      </c>
      <c r="J48" s="108">
        <f t="shared" si="1"/>
        <v>0</v>
      </c>
      <c r="K48" s="108">
        <f t="shared" si="1"/>
        <v>0</v>
      </c>
      <c r="L48" s="108">
        <f t="shared" si="1"/>
        <v>0</v>
      </c>
      <c r="M48" s="108">
        <f t="shared" si="1"/>
        <v>0</v>
      </c>
      <c r="N48" s="108">
        <f t="shared" si="1"/>
        <v>0</v>
      </c>
    </row>
    <row r="49" spans="1:20" x14ac:dyDescent="0.35">
      <c r="A49" s="1" t="s">
        <v>37</v>
      </c>
      <c r="B49" s="112">
        <v>0</v>
      </c>
      <c r="C49" s="112">
        <v>0</v>
      </c>
      <c r="D49" s="112">
        <v>0</v>
      </c>
      <c r="E49" s="112">
        <v>0</v>
      </c>
      <c r="F49" s="112">
        <v>0</v>
      </c>
      <c r="G49" s="112">
        <v>0</v>
      </c>
      <c r="I49" s="108">
        <f t="shared" si="1"/>
        <v>0</v>
      </c>
      <c r="J49" s="108">
        <f t="shared" si="1"/>
        <v>0</v>
      </c>
      <c r="K49" s="108">
        <f t="shared" si="1"/>
        <v>0</v>
      </c>
      <c r="L49" s="108">
        <f t="shared" si="1"/>
        <v>0</v>
      </c>
      <c r="M49" s="108">
        <f t="shared" si="1"/>
        <v>0</v>
      </c>
      <c r="N49" s="108">
        <f t="shared" si="1"/>
        <v>0</v>
      </c>
    </row>
    <row r="50" spans="1:20" x14ac:dyDescent="0.35">
      <c r="A50" s="1" t="s">
        <v>55</v>
      </c>
      <c r="B50" s="112">
        <v>0</v>
      </c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I50" s="108">
        <f t="shared" si="1"/>
        <v>0</v>
      </c>
      <c r="J50" s="108">
        <f t="shared" si="1"/>
        <v>0</v>
      </c>
      <c r="K50" s="108">
        <f t="shared" si="1"/>
        <v>0</v>
      </c>
      <c r="L50" s="108">
        <f t="shared" si="1"/>
        <v>0</v>
      </c>
      <c r="M50" s="108">
        <f t="shared" si="1"/>
        <v>0</v>
      </c>
      <c r="N50" s="108">
        <f t="shared" si="1"/>
        <v>0</v>
      </c>
    </row>
    <row r="51" spans="1:20" x14ac:dyDescent="0.35">
      <c r="A51" s="1" t="s">
        <v>38</v>
      </c>
      <c r="B51" s="112">
        <v>0</v>
      </c>
      <c r="C51" s="112">
        <v>0</v>
      </c>
      <c r="D51" s="112">
        <v>0</v>
      </c>
      <c r="E51" s="112">
        <v>0</v>
      </c>
      <c r="F51" s="112">
        <v>0</v>
      </c>
      <c r="G51" s="112">
        <v>0</v>
      </c>
      <c r="I51" s="108">
        <f t="shared" si="1"/>
        <v>0</v>
      </c>
      <c r="J51" s="108">
        <f t="shared" si="1"/>
        <v>0</v>
      </c>
      <c r="K51" s="108">
        <f t="shared" si="1"/>
        <v>0</v>
      </c>
      <c r="L51" s="108">
        <f t="shared" si="1"/>
        <v>0</v>
      </c>
      <c r="M51" s="108">
        <f t="shared" si="1"/>
        <v>0</v>
      </c>
      <c r="N51" s="108">
        <f t="shared" ref="N51:N62" si="2">G51*1.1</f>
        <v>0</v>
      </c>
    </row>
    <row r="52" spans="1:20" x14ac:dyDescent="0.35">
      <c r="A52" s="1" t="s">
        <v>39</v>
      </c>
      <c r="B52" s="112">
        <v>0</v>
      </c>
      <c r="C52" s="112">
        <v>0</v>
      </c>
      <c r="D52" s="112">
        <v>0</v>
      </c>
      <c r="E52" s="112">
        <v>0</v>
      </c>
      <c r="F52" s="112">
        <v>0</v>
      </c>
      <c r="G52" s="112">
        <v>0</v>
      </c>
      <c r="I52" s="108">
        <f t="shared" si="1"/>
        <v>0</v>
      </c>
      <c r="J52" s="108">
        <f t="shared" si="1"/>
        <v>0</v>
      </c>
      <c r="K52" s="108">
        <f t="shared" si="1"/>
        <v>0</v>
      </c>
      <c r="L52" s="108">
        <f t="shared" si="1"/>
        <v>0</v>
      </c>
      <c r="M52" s="108">
        <f t="shared" si="1"/>
        <v>0</v>
      </c>
      <c r="N52" s="108">
        <f t="shared" si="2"/>
        <v>0</v>
      </c>
    </row>
    <row r="53" spans="1:20" x14ac:dyDescent="0.35">
      <c r="A53" s="1" t="s">
        <v>40</v>
      </c>
      <c r="B53" s="112">
        <v>0</v>
      </c>
      <c r="C53" s="112">
        <v>0</v>
      </c>
      <c r="D53" s="112">
        <v>0</v>
      </c>
      <c r="E53" s="112">
        <v>0</v>
      </c>
      <c r="F53" s="112">
        <v>0</v>
      </c>
      <c r="G53" s="112">
        <v>0</v>
      </c>
      <c r="I53" s="108">
        <f t="shared" si="1"/>
        <v>0</v>
      </c>
      <c r="J53" s="108">
        <f t="shared" si="1"/>
        <v>0</v>
      </c>
      <c r="K53" s="108">
        <f t="shared" si="1"/>
        <v>0</v>
      </c>
      <c r="L53" s="108">
        <f t="shared" si="1"/>
        <v>0</v>
      </c>
      <c r="M53" s="108">
        <f t="shared" si="1"/>
        <v>0</v>
      </c>
      <c r="N53" s="108">
        <f t="shared" si="2"/>
        <v>0</v>
      </c>
    </row>
    <row r="54" spans="1:20" x14ac:dyDescent="0.35">
      <c r="A54" s="1" t="s">
        <v>41</v>
      </c>
      <c r="B54" s="112">
        <v>0</v>
      </c>
      <c r="C54" s="112">
        <v>0</v>
      </c>
      <c r="D54" s="112">
        <v>0</v>
      </c>
      <c r="E54" s="112">
        <v>0</v>
      </c>
      <c r="F54" s="112">
        <v>0</v>
      </c>
      <c r="G54" s="112">
        <v>0</v>
      </c>
      <c r="I54" s="108">
        <f t="shared" si="1"/>
        <v>0</v>
      </c>
      <c r="J54" s="108">
        <f t="shared" si="1"/>
        <v>0</v>
      </c>
      <c r="K54" s="108">
        <f t="shared" si="1"/>
        <v>0</v>
      </c>
      <c r="L54" s="108">
        <f t="shared" si="1"/>
        <v>0</v>
      </c>
      <c r="M54" s="108">
        <f t="shared" si="1"/>
        <v>0</v>
      </c>
      <c r="N54" s="108">
        <f t="shared" si="2"/>
        <v>0</v>
      </c>
    </row>
    <row r="55" spans="1:20" x14ac:dyDescent="0.35">
      <c r="A55" s="1" t="s">
        <v>42</v>
      </c>
      <c r="B55" s="112">
        <v>0</v>
      </c>
      <c r="C55" s="112">
        <v>0</v>
      </c>
      <c r="D55" s="112">
        <v>0</v>
      </c>
      <c r="E55" s="112">
        <v>0</v>
      </c>
      <c r="F55" s="112">
        <v>0</v>
      </c>
      <c r="G55" s="112">
        <v>0</v>
      </c>
      <c r="I55" s="108">
        <f t="shared" si="1"/>
        <v>0</v>
      </c>
      <c r="J55" s="108">
        <f t="shared" si="1"/>
        <v>0</v>
      </c>
      <c r="K55" s="108">
        <f t="shared" si="1"/>
        <v>0</v>
      </c>
      <c r="L55" s="108">
        <f t="shared" si="1"/>
        <v>0</v>
      </c>
      <c r="M55" s="108">
        <f t="shared" si="1"/>
        <v>0</v>
      </c>
      <c r="N55" s="108">
        <f t="shared" si="2"/>
        <v>0</v>
      </c>
    </row>
    <row r="56" spans="1:20" x14ac:dyDescent="0.35">
      <c r="A56" s="1" t="s">
        <v>43</v>
      </c>
      <c r="B56" s="112">
        <v>0</v>
      </c>
      <c r="C56" s="112">
        <v>0</v>
      </c>
      <c r="D56" s="112">
        <v>0</v>
      </c>
      <c r="E56" s="112">
        <v>0</v>
      </c>
      <c r="F56" s="112">
        <v>0</v>
      </c>
      <c r="G56" s="112">
        <v>0</v>
      </c>
      <c r="I56" s="108">
        <f t="shared" si="1"/>
        <v>0</v>
      </c>
      <c r="J56" s="108">
        <f t="shared" si="1"/>
        <v>0</v>
      </c>
      <c r="K56" s="108">
        <f t="shared" si="1"/>
        <v>0</v>
      </c>
      <c r="L56" s="108">
        <f t="shared" si="1"/>
        <v>0</v>
      </c>
      <c r="M56" s="108">
        <f t="shared" si="1"/>
        <v>0</v>
      </c>
      <c r="N56" s="108">
        <f t="shared" si="2"/>
        <v>0</v>
      </c>
    </row>
    <row r="57" spans="1:20" x14ac:dyDescent="0.35">
      <c r="A57" s="1" t="s">
        <v>44</v>
      </c>
      <c r="B57" s="112">
        <v>0</v>
      </c>
      <c r="C57" s="112">
        <v>0</v>
      </c>
      <c r="D57" s="112">
        <v>0</v>
      </c>
      <c r="E57" s="112">
        <v>0</v>
      </c>
      <c r="F57" s="112">
        <v>0</v>
      </c>
      <c r="G57" s="112">
        <v>0</v>
      </c>
      <c r="I57" s="108">
        <f t="shared" si="1"/>
        <v>0</v>
      </c>
      <c r="J57" s="108">
        <f t="shared" si="1"/>
        <v>0</v>
      </c>
      <c r="K57" s="108">
        <f t="shared" si="1"/>
        <v>0</v>
      </c>
      <c r="L57" s="108">
        <f t="shared" si="1"/>
        <v>0</v>
      </c>
      <c r="M57" s="108">
        <f t="shared" si="1"/>
        <v>0</v>
      </c>
      <c r="N57" s="108">
        <f t="shared" si="2"/>
        <v>0</v>
      </c>
    </row>
    <row r="58" spans="1:20" x14ac:dyDescent="0.35">
      <c r="A58" s="1" t="s">
        <v>45</v>
      </c>
      <c r="B58" s="112">
        <v>0</v>
      </c>
      <c r="C58" s="112">
        <v>0</v>
      </c>
      <c r="D58" s="112">
        <v>0</v>
      </c>
      <c r="E58" s="112">
        <v>0</v>
      </c>
      <c r="F58" s="112">
        <v>0</v>
      </c>
      <c r="G58" s="112">
        <v>0</v>
      </c>
      <c r="I58" s="108">
        <f t="shared" si="1"/>
        <v>0</v>
      </c>
      <c r="J58" s="108">
        <f t="shared" si="1"/>
        <v>0</v>
      </c>
      <c r="K58" s="108">
        <f t="shared" si="1"/>
        <v>0</v>
      </c>
      <c r="L58" s="108">
        <f t="shared" si="1"/>
        <v>0</v>
      </c>
      <c r="M58" s="108">
        <f t="shared" si="1"/>
        <v>0</v>
      </c>
      <c r="N58" s="108">
        <f t="shared" si="2"/>
        <v>0</v>
      </c>
    </row>
    <row r="59" spans="1:20" x14ac:dyDescent="0.35">
      <c r="A59" s="1" t="s">
        <v>46</v>
      </c>
      <c r="B59" s="112">
        <v>0</v>
      </c>
      <c r="C59" s="112">
        <v>0</v>
      </c>
      <c r="D59" s="112">
        <v>0</v>
      </c>
      <c r="E59" s="112">
        <v>0</v>
      </c>
      <c r="F59" s="112">
        <v>0</v>
      </c>
      <c r="G59" s="112">
        <v>0</v>
      </c>
      <c r="I59" s="108">
        <f t="shared" si="1"/>
        <v>0</v>
      </c>
      <c r="J59" s="108">
        <f t="shared" si="1"/>
        <v>0</v>
      </c>
      <c r="K59" s="108">
        <f t="shared" si="1"/>
        <v>0</v>
      </c>
      <c r="L59" s="108">
        <f t="shared" si="1"/>
        <v>0</v>
      </c>
      <c r="M59" s="108">
        <f t="shared" si="1"/>
        <v>0</v>
      </c>
      <c r="N59" s="108">
        <f t="shared" si="2"/>
        <v>0</v>
      </c>
    </row>
    <row r="60" spans="1:20" x14ac:dyDescent="0.35">
      <c r="A60" s="1" t="s">
        <v>47</v>
      </c>
      <c r="B60" s="112">
        <v>0</v>
      </c>
      <c r="C60" s="112">
        <v>0</v>
      </c>
      <c r="D60" s="112">
        <v>0</v>
      </c>
      <c r="E60" s="112">
        <v>0</v>
      </c>
      <c r="F60" s="112">
        <v>0</v>
      </c>
      <c r="G60" s="112">
        <v>0</v>
      </c>
      <c r="I60" s="108">
        <f t="shared" si="1"/>
        <v>0</v>
      </c>
      <c r="J60" s="108">
        <f t="shared" si="1"/>
        <v>0</v>
      </c>
      <c r="K60" s="108">
        <f t="shared" si="1"/>
        <v>0</v>
      </c>
      <c r="L60" s="108">
        <f t="shared" si="1"/>
        <v>0</v>
      </c>
      <c r="M60" s="108">
        <f t="shared" si="1"/>
        <v>0</v>
      </c>
      <c r="N60" s="108">
        <f t="shared" si="2"/>
        <v>0</v>
      </c>
    </row>
    <row r="61" spans="1:20" x14ac:dyDescent="0.35">
      <c r="A61" s="1" t="s">
        <v>48</v>
      </c>
      <c r="B61" s="112">
        <v>0</v>
      </c>
      <c r="C61" s="112">
        <v>0</v>
      </c>
      <c r="D61" s="112">
        <v>0</v>
      </c>
      <c r="E61" s="112">
        <v>0</v>
      </c>
      <c r="F61" s="112">
        <v>0</v>
      </c>
      <c r="G61" s="112">
        <v>0</v>
      </c>
      <c r="I61" s="108">
        <f t="shared" si="1"/>
        <v>0</v>
      </c>
      <c r="J61" s="108">
        <f t="shared" si="1"/>
        <v>0</v>
      </c>
      <c r="K61" s="108">
        <f t="shared" si="1"/>
        <v>0</v>
      </c>
      <c r="L61" s="108">
        <f t="shared" si="1"/>
        <v>0</v>
      </c>
      <c r="M61" s="108">
        <f t="shared" si="1"/>
        <v>0</v>
      </c>
      <c r="N61" s="108">
        <f t="shared" si="2"/>
        <v>0</v>
      </c>
    </row>
    <row r="62" spans="1:20" x14ac:dyDescent="0.35">
      <c r="A62" s="1" t="s">
        <v>49</v>
      </c>
      <c r="B62" s="112">
        <v>0</v>
      </c>
      <c r="C62" s="112">
        <v>0</v>
      </c>
      <c r="D62" s="112">
        <v>0</v>
      </c>
      <c r="E62" s="112">
        <v>0</v>
      </c>
      <c r="F62" s="112">
        <v>0</v>
      </c>
      <c r="G62" s="112">
        <v>0</v>
      </c>
      <c r="I62" s="108">
        <f t="shared" si="1"/>
        <v>0</v>
      </c>
      <c r="J62" s="108">
        <f t="shared" si="1"/>
        <v>0</v>
      </c>
      <c r="K62" s="108">
        <f t="shared" si="1"/>
        <v>0</v>
      </c>
      <c r="L62" s="108">
        <f t="shared" si="1"/>
        <v>0</v>
      </c>
      <c r="M62" s="108">
        <f t="shared" si="1"/>
        <v>0</v>
      </c>
      <c r="N62" s="108">
        <f t="shared" si="2"/>
        <v>0</v>
      </c>
    </row>
    <row r="63" spans="1:20" x14ac:dyDescent="0.35">
      <c r="A63" s="37" t="s">
        <v>104</v>
      </c>
      <c r="B63" s="36">
        <f>AVERAGE(B5:G62)</f>
        <v>0</v>
      </c>
      <c r="S63" s="11"/>
      <c r="T63" s="11"/>
    </row>
    <row r="64" spans="1:20" x14ac:dyDescent="0.35">
      <c r="S64" s="11"/>
      <c r="T64" s="11"/>
    </row>
    <row r="65" spans="1:20" ht="15.5" x14ac:dyDescent="0.35">
      <c r="A65" s="120" t="s">
        <v>135</v>
      </c>
      <c r="B65" s="120"/>
      <c r="C65" s="120"/>
      <c r="D65" s="120"/>
      <c r="E65" s="120"/>
      <c r="F65" s="120"/>
      <c r="G65" s="120"/>
      <c r="S65" s="11"/>
      <c r="T65" s="11"/>
    </row>
    <row r="66" spans="1:20" ht="47.25" customHeight="1" x14ac:dyDescent="0.35">
      <c r="A66" s="110"/>
      <c r="B66" s="118" t="s">
        <v>187</v>
      </c>
      <c r="C66" s="118"/>
      <c r="D66" s="118"/>
      <c r="E66" s="118"/>
      <c r="F66" s="118"/>
      <c r="G66" s="118"/>
      <c r="I66" s="118" t="s">
        <v>188</v>
      </c>
      <c r="J66" s="118"/>
      <c r="K66" s="118"/>
      <c r="L66" s="118"/>
      <c r="M66" s="118"/>
      <c r="N66" s="118"/>
      <c r="S66" s="8"/>
      <c r="T66" s="8"/>
    </row>
    <row r="67" spans="1:20" ht="43" x14ac:dyDescent="0.35">
      <c r="A67" s="81" t="s">
        <v>51</v>
      </c>
      <c r="B67" s="17" t="s">
        <v>99</v>
      </c>
      <c r="C67" s="17" t="s">
        <v>100</v>
      </c>
      <c r="D67" s="17" t="s">
        <v>101</v>
      </c>
      <c r="E67" s="17" t="s">
        <v>102</v>
      </c>
      <c r="F67" s="17" t="s">
        <v>103</v>
      </c>
      <c r="G67" s="17" t="s">
        <v>149</v>
      </c>
      <c r="I67" s="17" t="s">
        <v>99</v>
      </c>
      <c r="J67" s="17" t="s">
        <v>100</v>
      </c>
      <c r="K67" s="17" t="s">
        <v>101</v>
      </c>
      <c r="L67" s="17" t="s">
        <v>102</v>
      </c>
      <c r="M67" s="17" t="s">
        <v>103</v>
      </c>
      <c r="N67" s="17" t="s">
        <v>149</v>
      </c>
      <c r="S67" s="8"/>
      <c r="T67" s="8"/>
    </row>
    <row r="68" spans="1:20" x14ac:dyDescent="0.35">
      <c r="A68" s="117" t="s">
        <v>286</v>
      </c>
      <c r="B68" s="112">
        <v>0</v>
      </c>
      <c r="C68" s="112">
        <v>0</v>
      </c>
      <c r="D68" s="112">
        <v>0</v>
      </c>
      <c r="E68" s="112">
        <v>0</v>
      </c>
      <c r="F68" s="112">
        <v>0</v>
      </c>
      <c r="G68" s="112">
        <v>0</v>
      </c>
      <c r="I68" s="108">
        <f>B68*1.1</f>
        <v>0</v>
      </c>
      <c r="J68" s="108">
        <f t="shared" ref="J68:N83" si="3">C68*1.1</f>
        <v>0</v>
      </c>
      <c r="K68" s="108">
        <f t="shared" si="3"/>
        <v>0</v>
      </c>
      <c r="L68" s="108">
        <f t="shared" si="3"/>
        <v>0</v>
      </c>
      <c r="M68" s="108">
        <f t="shared" si="3"/>
        <v>0</v>
      </c>
      <c r="N68" s="108">
        <f t="shared" si="3"/>
        <v>0</v>
      </c>
      <c r="S68" s="12"/>
      <c r="T68" s="12"/>
    </row>
    <row r="69" spans="1:20" x14ac:dyDescent="0.35">
      <c r="A69" s="117" t="s">
        <v>287</v>
      </c>
      <c r="B69" s="112">
        <v>0</v>
      </c>
      <c r="C69" s="112">
        <v>0</v>
      </c>
      <c r="D69" s="112">
        <v>0</v>
      </c>
      <c r="E69" s="112">
        <v>0</v>
      </c>
      <c r="F69" s="112">
        <v>0</v>
      </c>
      <c r="G69" s="112">
        <v>0</v>
      </c>
      <c r="I69" s="108">
        <f t="shared" ref="I69:N125" si="4">B69*1.1</f>
        <v>0</v>
      </c>
      <c r="J69" s="108">
        <f t="shared" si="3"/>
        <v>0</v>
      </c>
      <c r="K69" s="108">
        <f t="shared" si="3"/>
        <v>0</v>
      </c>
      <c r="L69" s="108">
        <f t="shared" si="3"/>
        <v>0</v>
      </c>
      <c r="M69" s="108">
        <f t="shared" si="3"/>
        <v>0</v>
      </c>
      <c r="N69" s="108">
        <f t="shared" si="3"/>
        <v>0</v>
      </c>
      <c r="S69" s="8"/>
      <c r="T69" s="8"/>
    </row>
    <row r="70" spans="1:20" x14ac:dyDescent="0.35">
      <c r="A70" s="117" t="s">
        <v>285</v>
      </c>
      <c r="B70" s="112">
        <v>0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I70" s="108">
        <f t="shared" si="4"/>
        <v>0</v>
      </c>
      <c r="J70" s="108">
        <f t="shared" si="3"/>
        <v>0</v>
      </c>
      <c r="K70" s="108">
        <f t="shared" si="3"/>
        <v>0</v>
      </c>
      <c r="L70" s="108">
        <f t="shared" si="3"/>
        <v>0</v>
      </c>
      <c r="M70" s="108">
        <f t="shared" si="3"/>
        <v>0</v>
      </c>
      <c r="N70" s="108">
        <f t="shared" si="3"/>
        <v>0</v>
      </c>
      <c r="S70" s="8"/>
      <c r="T70" s="8"/>
    </row>
    <row r="71" spans="1:20" x14ac:dyDescent="0.35">
      <c r="A71" s="1" t="s">
        <v>53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I71" s="108">
        <f t="shared" si="4"/>
        <v>0</v>
      </c>
      <c r="J71" s="108">
        <f t="shared" si="3"/>
        <v>0</v>
      </c>
      <c r="K71" s="108">
        <f t="shared" si="3"/>
        <v>0</v>
      </c>
      <c r="L71" s="108">
        <f t="shared" si="3"/>
        <v>0</v>
      </c>
      <c r="M71" s="108">
        <f t="shared" si="3"/>
        <v>0</v>
      </c>
      <c r="N71" s="108">
        <f t="shared" si="3"/>
        <v>0</v>
      </c>
      <c r="S71" s="8"/>
      <c r="T71" s="8"/>
    </row>
    <row r="72" spans="1:20" x14ac:dyDescent="0.35">
      <c r="A72" s="1" t="s">
        <v>52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I72" s="108">
        <f t="shared" si="4"/>
        <v>0</v>
      </c>
      <c r="J72" s="108">
        <f t="shared" si="3"/>
        <v>0</v>
      </c>
      <c r="K72" s="108">
        <f t="shared" si="3"/>
        <v>0</v>
      </c>
      <c r="L72" s="108">
        <f t="shared" si="3"/>
        <v>0</v>
      </c>
      <c r="M72" s="108">
        <f t="shared" si="3"/>
        <v>0</v>
      </c>
      <c r="N72" s="108">
        <f t="shared" si="3"/>
        <v>0</v>
      </c>
      <c r="S72" s="8"/>
      <c r="T72" s="8"/>
    </row>
    <row r="73" spans="1:20" x14ac:dyDescent="0.35">
      <c r="A73" s="1" t="s">
        <v>54</v>
      </c>
      <c r="B73" s="112">
        <v>0</v>
      </c>
      <c r="C73" s="112">
        <v>0</v>
      </c>
      <c r="D73" s="112">
        <v>0</v>
      </c>
      <c r="E73" s="112">
        <v>0</v>
      </c>
      <c r="F73" s="112">
        <v>0</v>
      </c>
      <c r="G73" s="112">
        <v>0</v>
      </c>
      <c r="I73" s="108">
        <f t="shared" si="4"/>
        <v>0</v>
      </c>
      <c r="J73" s="108">
        <f t="shared" si="3"/>
        <v>0</v>
      </c>
      <c r="K73" s="108">
        <f t="shared" si="3"/>
        <v>0</v>
      </c>
      <c r="L73" s="108">
        <f t="shared" si="3"/>
        <v>0</v>
      </c>
      <c r="M73" s="108">
        <f t="shared" si="3"/>
        <v>0</v>
      </c>
      <c r="N73" s="108">
        <f t="shared" si="3"/>
        <v>0</v>
      </c>
      <c r="S73" s="8"/>
      <c r="T73" s="8"/>
    </row>
    <row r="74" spans="1:20" x14ac:dyDescent="0.35">
      <c r="A74" s="1" t="s">
        <v>0</v>
      </c>
      <c r="B74" s="112">
        <v>0</v>
      </c>
      <c r="C74" s="112">
        <v>0</v>
      </c>
      <c r="D74" s="112">
        <v>0</v>
      </c>
      <c r="E74" s="112">
        <v>0</v>
      </c>
      <c r="F74" s="112">
        <v>0</v>
      </c>
      <c r="G74" s="112">
        <v>0</v>
      </c>
      <c r="I74" s="108">
        <f t="shared" si="4"/>
        <v>0</v>
      </c>
      <c r="J74" s="108">
        <f t="shared" si="3"/>
        <v>0</v>
      </c>
      <c r="K74" s="108">
        <f t="shared" si="3"/>
        <v>0</v>
      </c>
      <c r="L74" s="108">
        <f t="shared" si="3"/>
        <v>0</v>
      </c>
      <c r="M74" s="108">
        <f t="shared" si="3"/>
        <v>0</v>
      </c>
      <c r="N74" s="108">
        <f t="shared" si="3"/>
        <v>0</v>
      </c>
      <c r="S74" s="8"/>
      <c r="T74" s="8"/>
    </row>
    <row r="75" spans="1:20" x14ac:dyDescent="0.35">
      <c r="A75" s="1" t="s">
        <v>1</v>
      </c>
      <c r="B75" s="112">
        <v>0</v>
      </c>
      <c r="C75" s="112">
        <v>0</v>
      </c>
      <c r="D75" s="112">
        <v>0</v>
      </c>
      <c r="E75" s="112">
        <v>0</v>
      </c>
      <c r="F75" s="112">
        <v>0</v>
      </c>
      <c r="G75" s="112">
        <v>0</v>
      </c>
      <c r="I75" s="108">
        <f t="shared" si="4"/>
        <v>0</v>
      </c>
      <c r="J75" s="108">
        <f t="shared" si="3"/>
        <v>0</v>
      </c>
      <c r="K75" s="108">
        <f t="shared" si="3"/>
        <v>0</v>
      </c>
      <c r="L75" s="108">
        <f t="shared" si="3"/>
        <v>0</v>
      </c>
      <c r="M75" s="108">
        <f t="shared" si="3"/>
        <v>0</v>
      </c>
      <c r="N75" s="108">
        <f t="shared" si="3"/>
        <v>0</v>
      </c>
      <c r="S75" s="8"/>
      <c r="T75" s="8"/>
    </row>
    <row r="76" spans="1:20" x14ac:dyDescent="0.35">
      <c r="A76" s="1" t="s">
        <v>2</v>
      </c>
      <c r="B76" s="112">
        <v>0</v>
      </c>
      <c r="C76" s="112">
        <v>0</v>
      </c>
      <c r="D76" s="112">
        <v>0</v>
      </c>
      <c r="E76" s="112">
        <v>0</v>
      </c>
      <c r="F76" s="112">
        <v>0</v>
      </c>
      <c r="G76" s="112">
        <v>0</v>
      </c>
      <c r="I76" s="108">
        <f t="shared" si="4"/>
        <v>0</v>
      </c>
      <c r="J76" s="108">
        <f t="shared" si="3"/>
        <v>0</v>
      </c>
      <c r="K76" s="108">
        <f t="shared" si="3"/>
        <v>0</v>
      </c>
      <c r="L76" s="108">
        <f t="shared" si="3"/>
        <v>0</v>
      </c>
      <c r="M76" s="108">
        <f t="shared" si="3"/>
        <v>0</v>
      </c>
      <c r="N76" s="108">
        <f t="shared" si="3"/>
        <v>0</v>
      </c>
      <c r="S76" s="8"/>
      <c r="T76" s="8"/>
    </row>
    <row r="77" spans="1:20" x14ac:dyDescent="0.35">
      <c r="A77" s="1" t="s">
        <v>3</v>
      </c>
      <c r="B77" s="112">
        <v>0</v>
      </c>
      <c r="C77" s="112">
        <v>0</v>
      </c>
      <c r="D77" s="112">
        <v>0</v>
      </c>
      <c r="E77" s="112">
        <v>0</v>
      </c>
      <c r="F77" s="112">
        <v>0</v>
      </c>
      <c r="G77" s="112">
        <v>0</v>
      </c>
      <c r="I77" s="108">
        <f t="shared" si="4"/>
        <v>0</v>
      </c>
      <c r="J77" s="108">
        <f t="shared" si="3"/>
        <v>0</v>
      </c>
      <c r="K77" s="108">
        <f t="shared" si="3"/>
        <v>0</v>
      </c>
      <c r="L77" s="108">
        <f t="shared" si="3"/>
        <v>0</v>
      </c>
      <c r="M77" s="108">
        <f t="shared" si="3"/>
        <v>0</v>
      </c>
      <c r="N77" s="108">
        <f t="shared" si="3"/>
        <v>0</v>
      </c>
      <c r="S77" s="8"/>
      <c r="T77" s="8"/>
    </row>
    <row r="78" spans="1:20" x14ac:dyDescent="0.35">
      <c r="A78" s="1" t="s">
        <v>4</v>
      </c>
      <c r="B78" s="112">
        <v>0</v>
      </c>
      <c r="C78" s="112">
        <v>0</v>
      </c>
      <c r="D78" s="112">
        <v>0</v>
      </c>
      <c r="E78" s="112">
        <v>0</v>
      </c>
      <c r="F78" s="112">
        <v>0</v>
      </c>
      <c r="G78" s="112">
        <v>0</v>
      </c>
      <c r="I78" s="108">
        <f t="shared" si="4"/>
        <v>0</v>
      </c>
      <c r="J78" s="108">
        <f t="shared" si="3"/>
        <v>0</v>
      </c>
      <c r="K78" s="108">
        <f t="shared" si="3"/>
        <v>0</v>
      </c>
      <c r="L78" s="108">
        <f t="shared" si="3"/>
        <v>0</v>
      </c>
      <c r="M78" s="108">
        <f t="shared" si="3"/>
        <v>0</v>
      </c>
      <c r="N78" s="108">
        <f t="shared" si="3"/>
        <v>0</v>
      </c>
      <c r="S78" s="8"/>
      <c r="T78" s="8"/>
    </row>
    <row r="79" spans="1:20" x14ac:dyDescent="0.35">
      <c r="A79" s="1" t="s">
        <v>5</v>
      </c>
      <c r="B79" s="112">
        <v>0</v>
      </c>
      <c r="C79" s="112">
        <v>0</v>
      </c>
      <c r="D79" s="112">
        <v>0</v>
      </c>
      <c r="E79" s="112">
        <v>0</v>
      </c>
      <c r="F79" s="112">
        <v>0</v>
      </c>
      <c r="G79" s="112">
        <v>0</v>
      </c>
      <c r="I79" s="108">
        <f t="shared" si="4"/>
        <v>0</v>
      </c>
      <c r="J79" s="108">
        <f t="shared" si="3"/>
        <v>0</v>
      </c>
      <c r="K79" s="108">
        <f t="shared" si="3"/>
        <v>0</v>
      </c>
      <c r="L79" s="108">
        <f t="shared" si="3"/>
        <v>0</v>
      </c>
      <c r="M79" s="108">
        <f t="shared" si="3"/>
        <v>0</v>
      </c>
      <c r="N79" s="108">
        <f t="shared" si="3"/>
        <v>0</v>
      </c>
      <c r="S79" s="8"/>
      <c r="T79" s="8"/>
    </row>
    <row r="80" spans="1:20" x14ac:dyDescent="0.35">
      <c r="A80" s="1" t="s">
        <v>6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I80" s="108">
        <f t="shared" si="4"/>
        <v>0</v>
      </c>
      <c r="J80" s="108">
        <f t="shared" si="3"/>
        <v>0</v>
      </c>
      <c r="K80" s="108">
        <f t="shared" si="3"/>
        <v>0</v>
      </c>
      <c r="L80" s="108">
        <f t="shared" si="3"/>
        <v>0</v>
      </c>
      <c r="M80" s="108">
        <f t="shared" si="3"/>
        <v>0</v>
      </c>
      <c r="N80" s="108">
        <f t="shared" si="3"/>
        <v>0</v>
      </c>
      <c r="S80" s="8"/>
      <c r="T80" s="8"/>
    </row>
    <row r="81" spans="1:20" x14ac:dyDescent="0.35">
      <c r="A81" s="1" t="s">
        <v>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I81" s="108">
        <f t="shared" si="4"/>
        <v>0</v>
      </c>
      <c r="J81" s="108">
        <f t="shared" si="3"/>
        <v>0</v>
      </c>
      <c r="K81" s="108">
        <f t="shared" si="3"/>
        <v>0</v>
      </c>
      <c r="L81" s="108">
        <f t="shared" si="3"/>
        <v>0</v>
      </c>
      <c r="M81" s="108">
        <f t="shared" si="3"/>
        <v>0</v>
      </c>
      <c r="N81" s="108">
        <f t="shared" si="3"/>
        <v>0</v>
      </c>
      <c r="S81" s="8"/>
      <c r="T81" s="8"/>
    </row>
    <row r="82" spans="1:20" x14ac:dyDescent="0.35">
      <c r="A82" s="1" t="s">
        <v>8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I82" s="108">
        <f t="shared" si="4"/>
        <v>0</v>
      </c>
      <c r="J82" s="108">
        <f t="shared" si="3"/>
        <v>0</v>
      </c>
      <c r="K82" s="108">
        <f t="shared" si="3"/>
        <v>0</v>
      </c>
      <c r="L82" s="108">
        <f t="shared" si="3"/>
        <v>0</v>
      </c>
      <c r="M82" s="108">
        <f t="shared" si="3"/>
        <v>0</v>
      </c>
      <c r="N82" s="108">
        <f t="shared" si="3"/>
        <v>0</v>
      </c>
      <c r="S82" s="13"/>
      <c r="T82" s="13"/>
    </row>
    <row r="83" spans="1:20" x14ac:dyDescent="0.35">
      <c r="A83" s="1" t="s">
        <v>9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I83" s="108">
        <f t="shared" si="4"/>
        <v>0</v>
      </c>
      <c r="J83" s="108">
        <f t="shared" si="3"/>
        <v>0</v>
      </c>
      <c r="K83" s="108">
        <f t="shared" si="3"/>
        <v>0</v>
      </c>
      <c r="L83" s="108">
        <f t="shared" si="3"/>
        <v>0</v>
      </c>
      <c r="M83" s="108">
        <f t="shared" si="3"/>
        <v>0</v>
      </c>
      <c r="N83" s="108">
        <f t="shared" si="3"/>
        <v>0</v>
      </c>
      <c r="S83" s="13"/>
      <c r="T83" s="13"/>
    </row>
    <row r="84" spans="1:20" x14ac:dyDescent="0.35">
      <c r="A84" s="1" t="s">
        <v>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I84" s="108">
        <f t="shared" si="4"/>
        <v>0</v>
      </c>
      <c r="J84" s="108">
        <f t="shared" si="4"/>
        <v>0</v>
      </c>
      <c r="K84" s="108">
        <f t="shared" si="4"/>
        <v>0</v>
      </c>
      <c r="L84" s="108">
        <f t="shared" si="4"/>
        <v>0</v>
      </c>
      <c r="M84" s="108">
        <f t="shared" si="4"/>
        <v>0</v>
      </c>
      <c r="N84" s="108">
        <f t="shared" si="4"/>
        <v>0</v>
      </c>
      <c r="S84" s="14"/>
      <c r="T84" s="14"/>
    </row>
    <row r="85" spans="1:20" x14ac:dyDescent="0.35">
      <c r="A85" s="1" t="s">
        <v>11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I85" s="108">
        <f t="shared" si="4"/>
        <v>0</v>
      </c>
      <c r="J85" s="108">
        <f t="shared" si="4"/>
        <v>0</v>
      </c>
      <c r="K85" s="108">
        <f t="shared" si="4"/>
        <v>0</v>
      </c>
      <c r="L85" s="108">
        <f t="shared" si="4"/>
        <v>0</v>
      </c>
      <c r="M85" s="108">
        <f t="shared" si="4"/>
        <v>0</v>
      </c>
      <c r="N85" s="108">
        <f t="shared" si="4"/>
        <v>0</v>
      </c>
      <c r="S85" s="14"/>
      <c r="T85" s="14"/>
    </row>
    <row r="86" spans="1:20" s="28" customFormat="1" x14ac:dyDescent="0.35">
      <c r="A86" s="1" t="s">
        <v>12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I86" s="108">
        <f t="shared" si="4"/>
        <v>0</v>
      </c>
      <c r="J86" s="108">
        <f t="shared" si="4"/>
        <v>0</v>
      </c>
      <c r="K86" s="108">
        <f t="shared" si="4"/>
        <v>0</v>
      </c>
      <c r="L86" s="108">
        <f t="shared" si="4"/>
        <v>0</v>
      </c>
      <c r="M86" s="108">
        <f t="shared" si="4"/>
        <v>0</v>
      </c>
      <c r="N86" s="108">
        <f t="shared" si="4"/>
        <v>0</v>
      </c>
      <c r="S86" s="27"/>
      <c r="T86" s="27"/>
    </row>
    <row r="87" spans="1:20" x14ac:dyDescent="0.35">
      <c r="A87" s="1" t="s">
        <v>13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I87" s="108">
        <f t="shared" si="4"/>
        <v>0</v>
      </c>
      <c r="J87" s="108">
        <f t="shared" si="4"/>
        <v>0</v>
      </c>
      <c r="K87" s="108">
        <f t="shared" si="4"/>
        <v>0</v>
      </c>
      <c r="L87" s="108">
        <f t="shared" si="4"/>
        <v>0</v>
      </c>
      <c r="M87" s="108">
        <f t="shared" si="4"/>
        <v>0</v>
      </c>
      <c r="N87" s="108">
        <f t="shared" si="4"/>
        <v>0</v>
      </c>
      <c r="S87" s="14"/>
      <c r="T87" s="14"/>
    </row>
    <row r="88" spans="1:20" x14ac:dyDescent="0.35">
      <c r="A88" s="1" t="s">
        <v>14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I88" s="108">
        <f t="shared" si="4"/>
        <v>0</v>
      </c>
      <c r="J88" s="108">
        <f t="shared" si="4"/>
        <v>0</v>
      </c>
      <c r="K88" s="108">
        <f t="shared" si="4"/>
        <v>0</v>
      </c>
      <c r="L88" s="108">
        <f t="shared" si="4"/>
        <v>0</v>
      </c>
      <c r="M88" s="108">
        <f t="shared" si="4"/>
        <v>0</v>
      </c>
      <c r="N88" s="108">
        <f t="shared" si="4"/>
        <v>0</v>
      </c>
      <c r="S88" s="14"/>
      <c r="T88" s="14"/>
    </row>
    <row r="89" spans="1:20" x14ac:dyDescent="0.35">
      <c r="A89" s="1" t="s">
        <v>15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I89" s="108">
        <f t="shared" si="4"/>
        <v>0</v>
      </c>
      <c r="J89" s="108">
        <f t="shared" si="4"/>
        <v>0</v>
      </c>
      <c r="K89" s="108">
        <f t="shared" si="4"/>
        <v>0</v>
      </c>
      <c r="L89" s="108">
        <f t="shared" si="4"/>
        <v>0</v>
      </c>
      <c r="M89" s="108">
        <f t="shared" si="4"/>
        <v>0</v>
      </c>
      <c r="N89" s="108">
        <f t="shared" si="4"/>
        <v>0</v>
      </c>
      <c r="S89" s="14"/>
      <c r="T89" s="14"/>
    </row>
    <row r="90" spans="1:20" x14ac:dyDescent="0.35">
      <c r="A90" s="1" t="s">
        <v>16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I90" s="108">
        <f t="shared" si="4"/>
        <v>0</v>
      </c>
      <c r="J90" s="108">
        <f t="shared" si="4"/>
        <v>0</v>
      </c>
      <c r="K90" s="108">
        <f t="shared" si="4"/>
        <v>0</v>
      </c>
      <c r="L90" s="108">
        <f t="shared" si="4"/>
        <v>0</v>
      </c>
      <c r="M90" s="108">
        <f t="shared" si="4"/>
        <v>0</v>
      </c>
      <c r="N90" s="108">
        <f t="shared" si="4"/>
        <v>0</v>
      </c>
      <c r="S90" s="14"/>
      <c r="T90" s="14"/>
    </row>
    <row r="91" spans="1:20" x14ac:dyDescent="0.35">
      <c r="A91" s="1" t="s">
        <v>17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I91" s="108">
        <f t="shared" si="4"/>
        <v>0</v>
      </c>
      <c r="J91" s="108">
        <f t="shared" si="4"/>
        <v>0</v>
      </c>
      <c r="K91" s="108">
        <f t="shared" si="4"/>
        <v>0</v>
      </c>
      <c r="L91" s="108">
        <f t="shared" si="4"/>
        <v>0</v>
      </c>
      <c r="M91" s="108">
        <f t="shared" si="4"/>
        <v>0</v>
      </c>
      <c r="N91" s="108">
        <f t="shared" si="4"/>
        <v>0</v>
      </c>
    </row>
    <row r="92" spans="1:20" x14ac:dyDescent="0.35">
      <c r="A92" s="1" t="s">
        <v>18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I92" s="108">
        <f t="shared" si="4"/>
        <v>0</v>
      </c>
      <c r="J92" s="108">
        <f t="shared" si="4"/>
        <v>0</v>
      </c>
      <c r="K92" s="108">
        <f t="shared" si="4"/>
        <v>0</v>
      </c>
      <c r="L92" s="108">
        <f t="shared" si="4"/>
        <v>0</v>
      </c>
      <c r="M92" s="108">
        <f t="shared" si="4"/>
        <v>0</v>
      </c>
      <c r="N92" s="108">
        <f t="shared" si="4"/>
        <v>0</v>
      </c>
    </row>
    <row r="93" spans="1:20" x14ac:dyDescent="0.35">
      <c r="A93" s="1" t="s">
        <v>19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I93" s="108">
        <f t="shared" si="4"/>
        <v>0</v>
      </c>
      <c r="J93" s="108">
        <f t="shared" si="4"/>
        <v>0</v>
      </c>
      <c r="K93" s="108">
        <f t="shared" si="4"/>
        <v>0</v>
      </c>
      <c r="L93" s="108">
        <f t="shared" si="4"/>
        <v>0</v>
      </c>
      <c r="M93" s="108">
        <f t="shared" si="4"/>
        <v>0</v>
      </c>
      <c r="N93" s="108">
        <f t="shared" si="4"/>
        <v>0</v>
      </c>
    </row>
    <row r="94" spans="1:20" x14ac:dyDescent="0.35">
      <c r="A94" s="1" t="s">
        <v>20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I94" s="108">
        <f t="shared" si="4"/>
        <v>0</v>
      </c>
      <c r="J94" s="108">
        <f t="shared" si="4"/>
        <v>0</v>
      </c>
      <c r="K94" s="108">
        <f t="shared" si="4"/>
        <v>0</v>
      </c>
      <c r="L94" s="108">
        <f t="shared" si="4"/>
        <v>0</v>
      </c>
      <c r="M94" s="108">
        <f t="shared" si="4"/>
        <v>0</v>
      </c>
      <c r="N94" s="108">
        <f t="shared" si="4"/>
        <v>0</v>
      </c>
    </row>
    <row r="95" spans="1:20" x14ac:dyDescent="0.35">
      <c r="A95" s="1" t="s">
        <v>21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I95" s="108">
        <f t="shared" si="4"/>
        <v>0</v>
      </c>
      <c r="J95" s="108">
        <f t="shared" si="4"/>
        <v>0</v>
      </c>
      <c r="K95" s="108">
        <f t="shared" si="4"/>
        <v>0</v>
      </c>
      <c r="L95" s="108">
        <f t="shared" si="4"/>
        <v>0</v>
      </c>
      <c r="M95" s="108">
        <f t="shared" si="4"/>
        <v>0</v>
      </c>
      <c r="N95" s="108">
        <f t="shared" si="4"/>
        <v>0</v>
      </c>
    </row>
    <row r="96" spans="1:20" x14ac:dyDescent="0.35">
      <c r="A96" s="1" t="s">
        <v>22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I96" s="108">
        <f t="shared" si="4"/>
        <v>0</v>
      </c>
      <c r="J96" s="108">
        <f t="shared" si="4"/>
        <v>0</v>
      </c>
      <c r="K96" s="108">
        <f t="shared" si="4"/>
        <v>0</v>
      </c>
      <c r="L96" s="108">
        <f t="shared" si="4"/>
        <v>0</v>
      </c>
      <c r="M96" s="108">
        <f t="shared" si="4"/>
        <v>0</v>
      </c>
      <c r="N96" s="108">
        <f t="shared" si="4"/>
        <v>0</v>
      </c>
    </row>
    <row r="97" spans="1:14" x14ac:dyDescent="0.35">
      <c r="A97" s="1" t="s">
        <v>23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I97" s="108">
        <f t="shared" si="4"/>
        <v>0</v>
      </c>
      <c r="J97" s="108">
        <f t="shared" si="4"/>
        <v>0</v>
      </c>
      <c r="K97" s="108">
        <f t="shared" si="4"/>
        <v>0</v>
      </c>
      <c r="L97" s="108">
        <f t="shared" si="4"/>
        <v>0</v>
      </c>
      <c r="M97" s="108">
        <f t="shared" si="4"/>
        <v>0</v>
      </c>
      <c r="N97" s="108">
        <f t="shared" si="4"/>
        <v>0</v>
      </c>
    </row>
    <row r="98" spans="1:14" x14ac:dyDescent="0.35">
      <c r="A98" s="1" t="s">
        <v>50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I98" s="108">
        <f t="shared" si="4"/>
        <v>0</v>
      </c>
      <c r="J98" s="108">
        <f t="shared" si="4"/>
        <v>0</v>
      </c>
      <c r="K98" s="108">
        <f t="shared" si="4"/>
        <v>0</v>
      </c>
      <c r="L98" s="108">
        <f t="shared" si="4"/>
        <v>0</v>
      </c>
      <c r="M98" s="108">
        <f t="shared" si="4"/>
        <v>0</v>
      </c>
      <c r="N98" s="108">
        <f t="shared" si="4"/>
        <v>0</v>
      </c>
    </row>
    <row r="99" spans="1:14" x14ac:dyDescent="0.35">
      <c r="A99" s="1" t="s">
        <v>24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I99" s="108">
        <f t="shared" si="4"/>
        <v>0</v>
      </c>
      <c r="J99" s="108">
        <f t="shared" si="4"/>
        <v>0</v>
      </c>
      <c r="K99" s="108">
        <f t="shared" si="4"/>
        <v>0</v>
      </c>
      <c r="L99" s="108">
        <f t="shared" si="4"/>
        <v>0</v>
      </c>
      <c r="M99" s="108">
        <f t="shared" si="4"/>
        <v>0</v>
      </c>
      <c r="N99" s="108">
        <f t="shared" si="4"/>
        <v>0</v>
      </c>
    </row>
    <row r="100" spans="1:14" x14ac:dyDescent="0.35">
      <c r="A100" s="1" t="s">
        <v>25</v>
      </c>
      <c r="B100" s="112">
        <v>0</v>
      </c>
      <c r="C100" s="112">
        <v>0</v>
      </c>
      <c r="D100" s="112">
        <v>0</v>
      </c>
      <c r="E100" s="112">
        <v>0</v>
      </c>
      <c r="F100" s="112">
        <v>0</v>
      </c>
      <c r="G100" s="112">
        <v>0</v>
      </c>
      <c r="I100" s="108">
        <f t="shared" si="4"/>
        <v>0</v>
      </c>
      <c r="J100" s="108">
        <f t="shared" si="4"/>
        <v>0</v>
      </c>
      <c r="K100" s="108">
        <f t="shared" si="4"/>
        <v>0</v>
      </c>
      <c r="L100" s="108">
        <f t="shared" si="4"/>
        <v>0</v>
      </c>
      <c r="M100" s="108">
        <f t="shared" si="4"/>
        <v>0</v>
      </c>
      <c r="N100" s="108">
        <f t="shared" si="4"/>
        <v>0</v>
      </c>
    </row>
    <row r="101" spans="1:14" x14ac:dyDescent="0.35">
      <c r="A101" s="1" t="s">
        <v>26</v>
      </c>
      <c r="B101" s="112">
        <v>0</v>
      </c>
      <c r="C101" s="112">
        <v>0</v>
      </c>
      <c r="D101" s="112">
        <v>0</v>
      </c>
      <c r="E101" s="112">
        <v>0</v>
      </c>
      <c r="F101" s="112">
        <v>0</v>
      </c>
      <c r="G101" s="112">
        <v>0</v>
      </c>
      <c r="I101" s="108">
        <f t="shared" si="4"/>
        <v>0</v>
      </c>
      <c r="J101" s="108">
        <f t="shared" si="4"/>
        <v>0</v>
      </c>
      <c r="K101" s="108">
        <f t="shared" si="4"/>
        <v>0</v>
      </c>
      <c r="L101" s="108">
        <f t="shared" si="4"/>
        <v>0</v>
      </c>
      <c r="M101" s="108">
        <f t="shared" si="4"/>
        <v>0</v>
      </c>
      <c r="N101" s="108">
        <f t="shared" si="4"/>
        <v>0</v>
      </c>
    </row>
    <row r="102" spans="1:14" x14ac:dyDescent="0.35">
      <c r="A102" s="1" t="s">
        <v>27</v>
      </c>
      <c r="B102" s="112">
        <v>0</v>
      </c>
      <c r="C102" s="112">
        <v>0</v>
      </c>
      <c r="D102" s="112">
        <v>0</v>
      </c>
      <c r="E102" s="112">
        <v>0</v>
      </c>
      <c r="F102" s="112">
        <v>0</v>
      </c>
      <c r="G102" s="112">
        <v>0</v>
      </c>
      <c r="I102" s="108">
        <f t="shared" si="4"/>
        <v>0</v>
      </c>
      <c r="J102" s="108">
        <f t="shared" si="4"/>
        <v>0</v>
      </c>
      <c r="K102" s="108">
        <f t="shared" si="4"/>
        <v>0</v>
      </c>
      <c r="L102" s="108">
        <f t="shared" si="4"/>
        <v>0</v>
      </c>
      <c r="M102" s="108">
        <f t="shared" si="4"/>
        <v>0</v>
      </c>
      <c r="N102" s="108">
        <f t="shared" si="4"/>
        <v>0</v>
      </c>
    </row>
    <row r="103" spans="1:14" x14ac:dyDescent="0.35">
      <c r="A103" s="1" t="s">
        <v>28</v>
      </c>
      <c r="B103" s="112">
        <v>0</v>
      </c>
      <c r="C103" s="112">
        <v>0</v>
      </c>
      <c r="D103" s="112">
        <v>0</v>
      </c>
      <c r="E103" s="112">
        <v>0</v>
      </c>
      <c r="F103" s="112">
        <v>0</v>
      </c>
      <c r="G103" s="112">
        <v>0</v>
      </c>
      <c r="I103" s="108">
        <f t="shared" si="4"/>
        <v>0</v>
      </c>
      <c r="J103" s="108">
        <f t="shared" si="4"/>
        <v>0</v>
      </c>
      <c r="K103" s="108">
        <f t="shared" si="4"/>
        <v>0</v>
      </c>
      <c r="L103" s="108">
        <f t="shared" si="4"/>
        <v>0</v>
      </c>
      <c r="M103" s="108">
        <f t="shared" si="4"/>
        <v>0</v>
      </c>
      <c r="N103" s="108">
        <f t="shared" si="4"/>
        <v>0</v>
      </c>
    </row>
    <row r="104" spans="1:14" x14ac:dyDescent="0.35">
      <c r="A104" s="1" t="s">
        <v>29</v>
      </c>
      <c r="B104" s="112">
        <v>0</v>
      </c>
      <c r="C104" s="112">
        <v>0</v>
      </c>
      <c r="D104" s="112">
        <v>0</v>
      </c>
      <c r="E104" s="112">
        <v>0</v>
      </c>
      <c r="F104" s="112">
        <v>0</v>
      </c>
      <c r="G104" s="112">
        <v>0</v>
      </c>
      <c r="I104" s="108">
        <f t="shared" si="4"/>
        <v>0</v>
      </c>
      <c r="J104" s="108">
        <f t="shared" si="4"/>
        <v>0</v>
      </c>
      <c r="K104" s="108">
        <f t="shared" si="4"/>
        <v>0</v>
      </c>
      <c r="L104" s="108">
        <f t="shared" si="4"/>
        <v>0</v>
      </c>
      <c r="M104" s="108">
        <f t="shared" si="4"/>
        <v>0</v>
      </c>
      <c r="N104" s="108">
        <f t="shared" si="4"/>
        <v>0</v>
      </c>
    </row>
    <row r="105" spans="1:14" x14ac:dyDescent="0.35">
      <c r="A105" s="1" t="s">
        <v>30</v>
      </c>
      <c r="B105" s="112">
        <v>0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I105" s="108">
        <f t="shared" si="4"/>
        <v>0</v>
      </c>
      <c r="J105" s="108">
        <f t="shared" si="4"/>
        <v>0</v>
      </c>
      <c r="K105" s="108">
        <f t="shared" si="4"/>
        <v>0</v>
      </c>
      <c r="L105" s="108">
        <f t="shared" si="4"/>
        <v>0</v>
      </c>
      <c r="M105" s="108">
        <f t="shared" si="4"/>
        <v>0</v>
      </c>
      <c r="N105" s="108">
        <f t="shared" si="4"/>
        <v>0</v>
      </c>
    </row>
    <row r="106" spans="1:14" x14ac:dyDescent="0.35">
      <c r="A106" s="1" t="s">
        <v>31</v>
      </c>
      <c r="B106" s="112">
        <v>0</v>
      </c>
      <c r="C106" s="112">
        <v>0</v>
      </c>
      <c r="D106" s="112">
        <v>0</v>
      </c>
      <c r="E106" s="112">
        <v>0</v>
      </c>
      <c r="F106" s="112">
        <v>0</v>
      </c>
      <c r="G106" s="112">
        <v>0</v>
      </c>
      <c r="I106" s="108">
        <f t="shared" si="4"/>
        <v>0</v>
      </c>
      <c r="J106" s="108">
        <f t="shared" si="4"/>
        <v>0</v>
      </c>
      <c r="K106" s="108">
        <f t="shared" si="4"/>
        <v>0</v>
      </c>
      <c r="L106" s="108">
        <f t="shared" si="4"/>
        <v>0</v>
      </c>
      <c r="M106" s="108">
        <f t="shared" si="4"/>
        <v>0</v>
      </c>
      <c r="N106" s="108">
        <f t="shared" si="4"/>
        <v>0</v>
      </c>
    </row>
    <row r="107" spans="1:14" x14ac:dyDescent="0.35">
      <c r="A107" s="1" t="s">
        <v>33</v>
      </c>
      <c r="B107" s="112">
        <v>0</v>
      </c>
      <c r="C107" s="112">
        <v>0</v>
      </c>
      <c r="D107" s="112">
        <v>0</v>
      </c>
      <c r="E107" s="112">
        <v>0</v>
      </c>
      <c r="F107" s="112">
        <v>0</v>
      </c>
      <c r="G107" s="112">
        <v>0</v>
      </c>
      <c r="I107" s="108">
        <f t="shared" si="4"/>
        <v>0</v>
      </c>
      <c r="J107" s="108">
        <f t="shared" si="4"/>
        <v>0</v>
      </c>
      <c r="K107" s="108">
        <f t="shared" si="4"/>
        <v>0</v>
      </c>
      <c r="L107" s="108">
        <f t="shared" si="4"/>
        <v>0</v>
      </c>
      <c r="M107" s="108">
        <f t="shared" si="4"/>
        <v>0</v>
      </c>
      <c r="N107" s="108">
        <f t="shared" si="4"/>
        <v>0</v>
      </c>
    </row>
    <row r="108" spans="1:14" x14ac:dyDescent="0.35">
      <c r="A108" s="1" t="s">
        <v>32</v>
      </c>
      <c r="B108" s="112">
        <v>0</v>
      </c>
      <c r="C108" s="112">
        <v>0</v>
      </c>
      <c r="D108" s="112">
        <v>0</v>
      </c>
      <c r="E108" s="112">
        <v>0</v>
      </c>
      <c r="F108" s="112">
        <v>0</v>
      </c>
      <c r="G108" s="112">
        <v>0</v>
      </c>
      <c r="I108" s="108">
        <f t="shared" si="4"/>
        <v>0</v>
      </c>
      <c r="J108" s="108">
        <f t="shared" si="4"/>
        <v>0</v>
      </c>
      <c r="K108" s="108">
        <f t="shared" si="4"/>
        <v>0</v>
      </c>
      <c r="L108" s="108">
        <f t="shared" si="4"/>
        <v>0</v>
      </c>
      <c r="M108" s="108">
        <f t="shared" si="4"/>
        <v>0</v>
      </c>
      <c r="N108" s="108">
        <f t="shared" si="4"/>
        <v>0</v>
      </c>
    </row>
    <row r="109" spans="1:14" x14ac:dyDescent="0.35">
      <c r="A109" s="1" t="s">
        <v>34</v>
      </c>
      <c r="B109" s="112">
        <v>0</v>
      </c>
      <c r="C109" s="112">
        <v>0</v>
      </c>
      <c r="D109" s="112">
        <v>0</v>
      </c>
      <c r="E109" s="112">
        <v>0</v>
      </c>
      <c r="F109" s="112">
        <v>0</v>
      </c>
      <c r="G109" s="112">
        <v>0</v>
      </c>
      <c r="I109" s="108">
        <f t="shared" si="4"/>
        <v>0</v>
      </c>
      <c r="J109" s="108">
        <f t="shared" si="4"/>
        <v>0</v>
      </c>
      <c r="K109" s="108">
        <f t="shared" si="4"/>
        <v>0</v>
      </c>
      <c r="L109" s="108">
        <f t="shared" si="4"/>
        <v>0</v>
      </c>
      <c r="M109" s="108">
        <f t="shared" si="4"/>
        <v>0</v>
      </c>
      <c r="N109" s="108">
        <f t="shared" si="4"/>
        <v>0</v>
      </c>
    </row>
    <row r="110" spans="1:14" x14ac:dyDescent="0.35">
      <c r="A110" s="1" t="s">
        <v>35</v>
      </c>
      <c r="B110" s="112">
        <v>0</v>
      </c>
      <c r="C110" s="112">
        <v>0</v>
      </c>
      <c r="D110" s="112">
        <v>0</v>
      </c>
      <c r="E110" s="112">
        <v>0</v>
      </c>
      <c r="F110" s="112">
        <v>0</v>
      </c>
      <c r="G110" s="112">
        <v>0</v>
      </c>
      <c r="I110" s="108">
        <f t="shared" si="4"/>
        <v>0</v>
      </c>
      <c r="J110" s="108">
        <f t="shared" si="4"/>
        <v>0</v>
      </c>
      <c r="K110" s="108">
        <f t="shared" si="4"/>
        <v>0</v>
      </c>
      <c r="L110" s="108">
        <f t="shared" si="4"/>
        <v>0</v>
      </c>
      <c r="M110" s="108">
        <f t="shared" si="4"/>
        <v>0</v>
      </c>
      <c r="N110" s="108">
        <f t="shared" si="4"/>
        <v>0</v>
      </c>
    </row>
    <row r="111" spans="1:14" x14ac:dyDescent="0.35">
      <c r="A111" s="1" t="s">
        <v>36</v>
      </c>
      <c r="B111" s="112">
        <v>0</v>
      </c>
      <c r="C111" s="112">
        <v>0</v>
      </c>
      <c r="D111" s="112">
        <v>0</v>
      </c>
      <c r="E111" s="112">
        <v>0</v>
      </c>
      <c r="F111" s="112">
        <v>0</v>
      </c>
      <c r="G111" s="112">
        <v>0</v>
      </c>
      <c r="I111" s="108">
        <f t="shared" si="4"/>
        <v>0</v>
      </c>
      <c r="J111" s="108">
        <f t="shared" si="4"/>
        <v>0</v>
      </c>
      <c r="K111" s="108">
        <f t="shared" si="4"/>
        <v>0</v>
      </c>
      <c r="L111" s="108">
        <f t="shared" si="4"/>
        <v>0</v>
      </c>
      <c r="M111" s="108">
        <f t="shared" si="4"/>
        <v>0</v>
      </c>
      <c r="N111" s="108">
        <f t="shared" si="4"/>
        <v>0</v>
      </c>
    </row>
    <row r="112" spans="1:14" x14ac:dyDescent="0.35">
      <c r="A112" s="1" t="s">
        <v>37</v>
      </c>
      <c r="B112" s="112">
        <v>0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I112" s="108">
        <f t="shared" si="4"/>
        <v>0</v>
      </c>
      <c r="J112" s="108">
        <f t="shared" si="4"/>
        <v>0</v>
      </c>
      <c r="K112" s="108">
        <f t="shared" si="4"/>
        <v>0</v>
      </c>
      <c r="L112" s="108">
        <f t="shared" si="4"/>
        <v>0</v>
      </c>
      <c r="M112" s="108">
        <f t="shared" si="4"/>
        <v>0</v>
      </c>
      <c r="N112" s="108">
        <f t="shared" si="4"/>
        <v>0</v>
      </c>
    </row>
    <row r="113" spans="1:14" x14ac:dyDescent="0.35">
      <c r="A113" s="1" t="s">
        <v>55</v>
      </c>
      <c r="B113" s="112">
        <v>0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I113" s="108">
        <f t="shared" si="4"/>
        <v>0</v>
      </c>
      <c r="J113" s="108">
        <f t="shared" si="4"/>
        <v>0</v>
      </c>
      <c r="K113" s="108">
        <f t="shared" si="4"/>
        <v>0</v>
      </c>
      <c r="L113" s="108">
        <f t="shared" si="4"/>
        <v>0</v>
      </c>
      <c r="M113" s="108">
        <f t="shared" si="4"/>
        <v>0</v>
      </c>
      <c r="N113" s="108">
        <f t="shared" si="4"/>
        <v>0</v>
      </c>
    </row>
    <row r="114" spans="1:14" x14ac:dyDescent="0.35">
      <c r="A114" s="1" t="s">
        <v>38</v>
      </c>
      <c r="B114" s="112">
        <v>0</v>
      </c>
      <c r="C114" s="112">
        <v>0</v>
      </c>
      <c r="D114" s="112">
        <v>0</v>
      </c>
      <c r="E114" s="112">
        <v>0</v>
      </c>
      <c r="F114" s="112">
        <v>0</v>
      </c>
      <c r="G114" s="112">
        <v>0</v>
      </c>
      <c r="I114" s="108">
        <f t="shared" si="4"/>
        <v>0</v>
      </c>
      <c r="J114" s="108">
        <f t="shared" si="4"/>
        <v>0</v>
      </c>
      <c r="K114" s="108">
        <f t="shared" si="4"/>
        <v>0</v>
      </c>
      <c r="L114" s="108">
        <f t="shared" si="4"/>
        <v>0</v>
      </c>
      <c r="M114" s="108">
        <f t="shared" si="4"/>
        <v>0</v>
      </c>
      <c r="N114" s="108">
        <f t="shared" ref="N114:N125" si="5">G114*1.1</f>
        <v>0</v>
      </c>
    </row>
    <row r="115" spans="1:14" x14ac:dyDescent="0.35">
      <c r="A115" s="1" t="s">
        <v>39</v>
      </c>
      <c r="B115" s="112">
        <v>0</v>
      </c>
      <c r="C115" s="112">
        <v>0</v>
      </c>
      <c r="D115" s="112">
        <v>0</v>
      </c>
      <c r="E115" s="112">
        <v>0</v>
      </c>
      <c r="F115" s="112">
        <v>0</v>
      </c>
      <c r="G115" s="112">
        <v>0</v>
      </c>
      <c r="I115" s="108">
        <f t="shared" si="4"/>
        <v>0</v>
      </c>
      <c r="J115" s="108">
        <f t="shared" si="4"/>
        <v>0</v>
      </c>
      <c r="K115" s="108">
        <f t="shared" si="4"/>
        <v>0</v>
      </c>
      <c r="L115" s="108">
        <f t="shared" si="4"/>
        <v>0</v>
      </c>
      <c r="M115" s="108">
        <f t="shared" si="4"/>
        <v>0</v>
      </c>
      <c r="N115" s="108">
        <f t="shared" si="5"/>
        <v>0</v>
      </c>
    </row>
    <row r="116" spans="1:14" x14ac:dyDescent="0.35">
      <c r="A116" s="1" t="s">
        <v>40</v>
      </c>
      <c r="B116" s="112">
        <v>0</v>
      </c>
      <c r="C116" s="112">
        <v>0</v>
      </c>
      <c r="D116" s="112">
        <v>0</v>
      </c>
      <c r="E116" s="112">
        <v>0</v>
      </c>
      <c r="F116" s="112">
        <v>0</v>
      </c>
      <c r="G116" s="112">
        <v>0</v>
      </c>
      <c r="I116" s="108">
        <f t="shared" si="4"/>
        <v>0</v>
      </c>
      <c r="J116" s="108">
        <f t="shared" si="4"/>
        <v>0</v>
      </c>
      <c r="K116" s="108">
        <f t="shared" si="4"/>
        <v>0</v>
      </c>
      <c r="L116" s="108">
        <f t="shared" si="4"/>
        <v>0</v>
      </c>
      <c r="M116" s="108">
        <f t="shared" si="4"/>
        <v>0</v>
      </c>
      <c r="N116" s="108">
        <f t="shared" si="5"/>
        <v>0</v>
      </c>
    </row>
    <row r="117" spans="1:14" x14ac:dyDescent="0.35">
      <c r="A117" s="1" t="s">
        <v>41</v>
      </c>
      <c r="B117" s="112">
        <v>0</v>
      </c>
      <c r="C117" s="112">
        <v>0</v>
      </c>
      <c r="D117" s="112">
        <v>0</v>
      </c>
      <c r="E117" s="112">
        <v>0</v>
      </c>
      <c r="F117" s="112">
        <v>0</v>
      </c>
      <c r="G117" s="112">
        <v>0</v>
      </c>
      <c r="I117" s="108">
        <f t="shared" si="4"/>
        <v>0</v>
      </c>
      <c r="J117" s="108">
        <f t="shared" si="4"/>
        <v>0</v>
      </c>
      <c r="K117" s="108">
        <f t="shared" si="4"/>
        <v>0</v>
      </c>
      <c r="L117" s="108">
        <f t="shared" si="4"/>
        <v>0</v>
      </c>
      <c r="M117" s="108">
        <f t="shared" si="4"/>
        <v>0</v>
      </c>
      <c r="N117" s="108">
        <f t="shared" si="5"/>
        <v>0</v>
      </c>
    </row>
    <row r="118" spans="1:14" x14ac:dyDescent="0.35">
      <c r="A118" s="1" t="s">
        <v>42</v>
      </c>
      <c r="B118" s="112">
        <v>0</v>
      </c>
      <c r="C118" s="112">
        <v>0</v>
      </c>
      <c r="D118" s="112">
        <v>0</v>
      </c>
      <c r="E118" s="112">
        <v>0</v>
      </c>
      <c r="F118" s="112">
        <v>0</v>
      </c>
      <c r="G118" s="112">
        <v>0</v>
      </c>
      <c r="I118" s="108">
        <f t="shared" si="4"/>
        <v>0</v>
      </c>
      <c r="J118" s="108">
        <f t="shared" si="4"/>
        <v>0</v>
      </c>
      <c r="K118" s="108">
        <f t="shared" si="4"/>
        <v>0</v>
      </c>
      <c r="L118" s="108">
        <f t="shared" si="4"/>
        <v>0</v>
      </c>
      <c r="M118" s="108">
        <f t="shared" si="4"/>
        <v>0</v>
      </c>
      <c r="N118" s="108">
        <f t="shared" si="5"/>
        <v>0</v>
      </c>
    </row>
    <row r="119" spans="1:14" x14ac:dyDescent="0.35">
      <c r="A119" s="1" t="s">
        <v>43</v>
      </c>
      <c r="B119" s="112">
        <v>0</v>
      </c>
      <c r="C119" s="112">
        <v>0</v>
      </c>
      <c r="D119" s="112">
        <v>0</v>
      </c>
      <c r="E119" s="112">
        <v>0</v>
      </c>
      <c r="F119" s="112">
        <v>0</v>
      </c>
      <c r="G119" s="112">
        <v>0</v>
      </c>
      <c r="I119" s="108">
        <f t="shared" si="4"/>
        <v>0</v>
      </c>
      <c r="J119" s="108">
        <f t="shared" si="4"/>
        <v>0</v>
      </c>
      <c r="K119" s="108">
        <f t="shared" si="4"/>
        <v>0</v>
      </c>
      <c r="L119" s="108">
        <f t="shared" si="4"/>
        <v>0</v>
      </c>
      <c r="M119" s="108">
        <f t="shared" si="4"/>
        <v>0</v>
      </c>
      <c r="N119" s="108">
        <f t="shared" si="5"/>
        <v>0</v>
      </c>
    </row>
    <row r="120" spans="1:14" x14ac:dyDescent="0.35">
      <c r="A120" s="1" t="s">
        <v>44</v>
      </c>
      <c r="B120" s="112">
        <v>0</v>
      </c>
      <c r="C120" s="112">
        <v>0</v>
      </c>
      <c r="D120" s="112">
        <v>0</v>
      </c>
      <c r="E120" s="112">
        <v>0</v>
      </c>
      <c r="F120" s="112">
        <v>0</v>
      </c>
      <c r="G120" s="112">
        <v>0</v>
      </c>
      <c r="I120" s="108">
        <f t="shared" si="4"/>
        <v>0</v>
      </c>
      <c r="J120" s="108">
        <f t="shared" si="4"/>
        <v>0</v>
      </c>
      <c r="K120" s="108">
        <f t="shared" si="4"/>
        <v>0</v>
      </c>
      <c r="L120" s="108">
        <f t="shared" si="4"/>
        <v>0</v>
      </c>
      <c r="M120" s="108">
        <f t="shared" si="4"/>
        <v>0</v>
      </c>
      <c r="N120" s="108">
        <f t="shared" si="5"/>
        <v>0</v>
      </c>
    </row>
    <row r="121" spans="1:14" x14ac:dyDescent="0.35">
      <c r="A121" s="1" t="s">
        <v>45</v>
      </c>
      <c r="B121" s="112">
        <v>0</v>
      </c>
      <c r="C121" s="112">
        <v>0</v>
      </c>
      <c r="D121" s="112">
        <v>0</v>
      </c>
      <c r="E121" s="112">
        <v>0</v>
      </c>
      <c r="F121" s="112">
        <v>0</v>
      </c>
      <c r="G121" s="112">
        <v>0</v>
      </c>
      <c r="I121" s="108">
        <f t="shared" si="4"/>
        <v>0</v>
      </c>
      <c r="J121" s="108">
        <f t="shared" si="4"/>
        <v>0</v>
      </c>
      <c r="K121" s="108">
        <f t="shared" si="4"/>
        <v>0</v>
      </c>
      <c r="L121" s="108">
        <f t="shared" si="4"/>
        <v>0</v>
      </c>
      <c r="M121" s="108">
        <f t="shared" si="4"/>
        <v>0</v>
      </c>
      <c r="N121" s="108">
        <f t="shared" si="5"/>
        <v>0</v>
      </c>
    </row>
    <row r="122" spans="1:14" x14ac:dyDescent="0.35">
      <c r="A122" s="1" t="s">
        <v>46</v>
      </c>
      <c r="B122" s="112">
        <v>0</v>
      </c>
      <c r="C122" s="112">
        <v>0</v>
      </c>
      <c r="D122" s="112">
        <v>0</v>
      </c>
      <c r="E122" s="112">
        <v>0</v>
      </c>
      <c r="F122" s="112">
        <v>0</v>
      </c>
      <c r="G122" s="112">
        <v>0</v>
      </c>
      <c r="I122" s="108">
        <f t="shared" si="4"/>
        <v>0</v>
      </c>
      <c r="J122" s="108">
        <f t="shared" si="4"/>
        <v>0</v>
      </c>
      <c r="K122" s="108">
        <f t="shared" si="4"/>
        <v>0</v>
      </c>
      <c r="L122" s="108">
        <f t="shared" si="4"/>
        <v>0</v>
      </c>
      <c r="M122" s="108">
        <f t="shared" si="4"/>
        <v>0</v>
      </c>
      <c r="N122" s="108">
        <f t="shared" si="5"/>
        <v>0</v>
      </c>
    </row>
    <row r="123" spans="1:14" x14ac:dyDescent="0.35">
      <c r="A123" s="1" t="s">
        <v>47</v>
      </c>
      <c r="B123" s="112">
        <v>0</v>
      </c>
      <c r="C123" s="112">
        <v>0</v>
      </c>
      <c r="D123" s="112">
        <v>0</v>
      </c>
      <c r="E123" s="112">
        <v>0</v>
      </c>
      <c r="F123" s="112">
        <v>0</v>
      </c>
      <c r="G123" s="112">
        <v>0</v>
      </c>
      <c r="I123" s="108">
        <f t="shared" si="4"/>
        <v>0</v>
      </c>
      <c r="J123" s="108">
        <f t="shared" si="4"/>
        <v>0</v>
      </c>
      <c r="K123" s="108">
        <f t="shared" si="4"/>
        <v>0</v>
      </c>
      <c r="L123" s="108">
        <f t="shared" si="4"/>
        <v>0</v>
      </c>
      <c r="M123" s="108">
        <f t="shared" si="4"/>
        <v>0</v>
      </c>
      <c r="N123" s="108">
        <f t="shared" si="5"/>
        <v>0</v>
      </c>
    </row>
    <row r="124" spans="1:14" x14ac:dyDescent="0.35">
      <c r="A124" s="1" t="s">
        <v>48</v>
      </c>
      <c r="B124" s="112">
        <v>0</v>
      </c>
      <c r="C124" s="112">
        <v>0</v>
      </c>
      <c r="D124" s="112">
        <v>0</v>
      </c>
      <c r="E124" s="112">
        <v>0</v>
      </c>
      <c r="F124" s="112">
        <v>0</v>
      </c>
      <c r="G124" s="112">
        <v>0</v>
      </c>
      <c r="I124" s="108">
        <f t="shared" si="4"/>
        <v>0</v>
      </c>
      <c r="J124" s="108">
        <f t="shared" si="4"/>
        <v>0</v>
      </c>
      <c r="K124" s="108">
        <f t="shared" si="4"/>
        <v>0</v>
      </c>
      <c r="L124" s="108">
        <f t="shared" si="4"/>
        <v>0</v>
      </c>
      <c r="M124" s="108">
        <f t="shared" si="4"/>
        <v>0</v>
      </c>
      <c r="N124" s="108">
        <f t="shared" si="5"/>
        <v>0</v>
      </c>
    </row>
    <row r="125" spans="1:14" x14ac:dyDescent="0.35">
      <c r="A125" s="1" t="s">
        <v>49</v>
      </c>
      <c r="B125" s="112">
        <v>0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I125" s="108">
        <f t="shared" si="4"/>
        <v>0</v>
      </c>
      <c r="J125" s="108">
        <f t="shared" si="4"/>
        <v>0</v>
      </c>
      <c r="K125" s="108">
        <f t="shared" si="4"/>
        <v>0</v>
      </c>
      <c r="L125" s="108">
        <f t="shared" si="4"/>
        <v>0</v>
      </c>
      <c r="M125" s="108">
        <f t="shared" si="4"/>
        <v>0</v>
      </c>
      <c r="N125" s="108">
        <f t="shared" si="5"/>
        <v>0</v>
      </c>
    </row>
    <row r="126" spans="1:14" ht="16.5" customHeight="1" x14ac:dyDescent="0.35">
      <c r="A126" s="38" t="s">
        <v>104</v>
      </c>
      <c r="B126" s="36">
        <f>AVERAGE(B68:G125)</f>
        <v>0</v>
      </c>
    </row>
    <row r="130" spans="1:18" x14ac:dyDescent="0.35">
      <c r="B130" s="111" t="s">
        <v>187</v>
      </c>
      <c r="D130" s="111" t="s">
        <v>188</v>
      </c>
    </row>
    <row r="131" spans="1:18" x14ac:dyDescent="0.35">
      <c r="A131" s="35"/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</row>
    <row r="132" spans="1:18" x14ac:dyDescent="0.35">
      <c r="A132" s="32" t="s">
        <v>90</v>
      </c>
      <c r="B132" s="33" t="s">
        <v>105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4"/>
    </row>
    <row r="133" spans="1:18" x14ac:dyDescent="0.35">
      <c r="A133" s="2" t="s">
        <v>90</v>
      </c>
      <c r="B133" s="112">
        <v>0</v>
      </c>
      <c r="C133" s="18"/>
      <c r="D133" s="108">
        <f>B133*1.1</f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5">
      <c r="A134" s="21"/>
      <c r="B134" s="22"/>
      <c r="C134" s="23"/>
      <c r="D134" s="22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5"/>
    </row>
    <row r="135" spans="1:18" x14ac:dyDescent="0.35">
      <c r="A135" s="21"/>
      <c r="B135" s="22"/>
      <c r="C135" s="23"/>
      <c r="D135" s="22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5"/>
    </row>
    <row r="136" spans="1:18" x14ac:dyDescent="0.35">
      <c r="A136" s="32" t="s">
        <v>91</v>
      </c>
      <c r="B136" s="33" t="s">
        <v>106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4"/>
    </row>
    <row r="137" spans="1:18" x14ac:dyDescent="0.35">
      <c r="A137" s="2" t="s">
        <v>211</v>
      </c>
      <c r="B137" s="112">
        <v>0</v>
      </c>
      <c r="C137" s="18"/>
      <c r="D137" s="108">
        <f>B137*1.1</f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5">
      <c r="A138" s="2" t="s">
        <v>269</v>
      </c>
      <c r="B138" s="112">
        <v>0</v>
      </c>
      <c r="C138" s="18"/>
      <c r="D138" s="108">
        <f>B138*1.1</f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5">
      <c r="A139" s="2" t="s">
        <v>270</v>
      </c>
      <c r="B139" s="112">
        <v>0</v>
      </c>
      <c r="C139" s="18"/>
      <c r="D139" s="108">
        <f t="shared" ref="D139:D141" si="6">B139*1.1</f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5">
      <c r="A140" s="2" t="s">
        <v>271</v>
      </c>
      <c r="B140" s="112">
        <v>0</v>
      </c>
      <c r="C140" s="23"/>
      <c r="D140" s="108">
        <f t="shared" si="6"/>
        <v>0</v>
      </c>
      <c r="E140" s="24"/>
      <c r="F140" s="2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5">
      <c r="A141" s="21" t="s">
        <v>272</v>
      </c>
      <c r="B141" s="112">
        <v>0</v>
      </c>
      <c r="C141" s="23"/>
      <c r="D141" s="108">
        <f t="shared" si="6"/>
        <v>0</v>
      </c>
      <c r="E141" s="24"/>
      <c r="F141" s="2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5">
      <c r="A142" s="39" t="s">
        <v>98</v>
      </c>
      <c r="B142" s="6">
        <f>AVERAGE(B137:B141)</f>
        <v>0</v>
      </c>
      <c r="C142" s="6"/>
      <c r="D142" s="6"/>
      <c r="E142" s="6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5">
      <c r="A143" s="7"/>
      <c r="B143" s="6"/>
      <c r="C143" s="6"/>
      <c r="D143" s="6"/>
      <c r="E143" s="6"/>
      <c r="F143" s="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5"/>
    </row>
    <row r="144" spans="1:18" x14ac:dyDescent="0.35">
      <c r="A144" s="32" t="s">
        <v>156</v>
      </c>
      <c r="B144" s="33" t="s">
        <v>106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4"/>
    </row>
    <row r="145" spans="1:18" x14ac:dyDescent="0.35">
      <c r="A145" s="2" t="s">
        <v>210</v>
      </c>
      <c r="B145" s="112">
        <v>0</v>
      </c>
      <c r="C145" s="18"/>
      <c r="D145" s="108">
        <f>B145*1.1</f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5">
      <c r="A146" s="2" t="s">
        <v>265</v>
      </c>
      <c r="B146" s="112">
        <v>0</v>
      </c>
      <c r="C146" s="18"/>
      <c r="D146" s="108">
        <f t="shared" ref="D146:D149" si="7">B146*1.1</f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5">
      <c r="A147" s="2" t="s">
        <v>266</v>
      </c>
      <c r="B147" s="112">
        <v>0</v>
      </c>
      <c r="C147" s="18"/>
      <c r="D147" s="108">
        <f t="shared" si="7"/>
        <v>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5">
      <c r="A148" s="2" t="s">
        <v>267</v>
      </c>
      <c r="B148" s="112">
        <v>0</v>
      </c>
      <c r="C148" s="23"/>
      <c r="D148" s="108">
        <f t="shared" si="7"/>
        <v>0</v>
      </c>
      <c r="E148" s="24"/>
      <c r="F148" s="2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5">
      <c r="A149" s="2" t="s">
        <v>268</v>
      </c>
      <c r="B149" s="112">
        <v>0</v>
      </c>
      <c r="C149" s="23"/>
      <c r="D149" s="108">
        <f t="shared" si="7"/>
        <v>0</v>
      </c>
      <c r="E149" s="24"/>
      <c r="F149" s="2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5">
      <c r="A150" s="39" t="s">
        <v>98</v>
      </c>
      <c r="B150" s="4">
        <f>AVERAGE(B145:B149)</f>
        <v>0</v>
      </c>
      <c r="C150" s="23"/>
      <c r="D150" s="40"/>
      <c r="E150" s="24"/>
      <c r="F150" s="2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5">
      <c r="A151" s="7"/>
      <c r="B151" s="6"/>
      <c r="C151" s="6"/>
      <c r="D151" s="6"/>
      <c r="E151" s="6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5">
      <c r="A152" s="32" t="s">
        <v>92</v>
      </c>
      <c r="B152" s="33" t="s">
        <v>106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4"/>
    </row>
    <row r="153" spans="1:18" x14ac:dyDescent="0.35">
      <c r="A153" s="2" t="s">
        <v>209</v>
      </c>
      <c r="B153" s="112">
        <v>0</v>
      </c>
      <c r="C153" s="18"/>
      <c r="D153" s="108">
        <f>B153*1.1</f>
        <v>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5">
      <c r="A154" s="2" t="s">
        <v>261</v>
      </c>
      <c r="B154" s="112">
        <v>0</v>
      </c>
      <c r="C154" s="18"/>
      <c r="D154" s="108">
        <f t="shared" ref="D154:D157" si="8">B154*1.1</f>
        <v>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5">
      <c r="A155" s="2" t="s">
        <v>262</v>
      </c>
      <c r="B155" s="112">
        <v>0</v>
      </c>
      <c r="C155" s="18"/>
      <c r="D155" s="108">
        <f t="shared" si="8"/>
        <v>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5">
      <c r="A156" s="2" t="s">
        <v>263</v>
      </c>
      <c r="B156" s="112">
        <v>0</v>
      </c>
      <c r="C156" s="23"/>
      <c r="D156" s="108">
        <f t="shared" si="8"/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5"/>
    </row>
    <row r="157" spans="1:18" x14ac:dyDescent="0.35">
      <c r="A157" s="2" t="s">
        <v>264</v>
      </c>
      <c r="B157" s="112">
        <v>0</v>
      </c>
      <c r="C157" s="23"/>
      <c r="D157" s="108">
        <f t="shared" si="8"/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5"/>
    </row>
    <row r="158" spans="1:18" x14ac:dyDescent="0.35">
      <c r="A158" s="39" t="s">
        <v>98</v>
      </c>
      <c r="B158" s="4">
        <f>AVERAGE(B153:B157)</f>
        <v>0</v>
      </c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2"/>
    </row>
    <row r="159" spans="1:18" x14ac:dyDescent="0.35">
      <c r="A159" s="39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2"/>
    </row>
    <row r="160" spans="1:18" x14ac:dyDescent="0.35">
      <c r="A160" s="29" t="s">
        <v>283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</row>
    <row r="161" spans="1:18" x14ac:dyDescent="0.35">
      <c r="A161" s="31" t="s">
        <v>93</v>
      </c>
      <c r="B161" s="114"/>
      <c r="C161" s="114"/>
      <c r="D161" s="11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x14ac:dyDescent="0.35">
      <c r="A162" s="31"/>
      <c r="B162" s="115"/>
      <c r="C162" s="115"/>
      <c r="D162" s="115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43.5" x14ac:dyDescent="0.35">
      <c r="A163" s="30" t="s">
        <v>284</v>
      </c>
      <c r="B163" s="115"/>
      <c r="C163" s="115"/>
      <c r="D163" s="115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</row>
    <row r="164" spans="1:18" x14ac:dyDescent="0.35">
      <c r="A164" s="31" t="s">
        <v>94</v>
      </c>
      <c r="B164" s="114"/>
      <c r="C164" s="114"/>
      <c r="D164" s="11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x14ac:dyDescent="0.35">
      <c r="A165" s="31" t="s">
        <v>95</v>
      </c>
      <c r="B165" s="114"/>
      <c r="C165" s="114"/>
      <c r="D165" s="11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x14ac:dyDescent="0.35">
      <c r="A166" s="31" t="s">
        <v>96</v>
      </c>
      <c r="B166" s="114"/>
      <c r="C166" s="114"/>
      <c r="D166" s="114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x14ac:dyDescent="0.35">
      <c r="A167" s="31" t="s">
        <v>97</v>
      </c>
      <c r="B167" s="114"/>
      <c r="C167" s="114"/>
      <c r="D167" s="11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</sheetData>
  <sheetProtection sheet="1" objects="1" scenarios="1"/>
  <mergeCells count="7">
    <mergeCell ref="I3:N3"/>
    <mergeCell ref="A65:G65"/>
    <mergeCell ref="B66:G66"/>
    <mergeCell ref="I66:N66"/>
    <mergeCell ref="A1:G1"/>
    <mergeCell ref="A2:G2"/>
    <mergeCell ref="B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0420-E279-47D9-9E36-1BC61446DD28}">
  <dimension ref="A1:I86"/>
  <sheetViews>
    <sheetView workbookViewId="0">
      <selection activeCell="F11" sqref="F11"/>
    </sheetView>
  </sheetViews>
  <sheetFormatPr defaultColWidth="8.7265625" defaultRowHeight="15.5" x14ac:dyDescent="0.35"/>
  <cols>
    <col min="1" max="1" width="8.7265625" style="44"/>
    <col min="2" max="2" width="47.453125" style="44" customWidth="1"/>
    <col min="3" max="3" width="22.453125" style="44" customWidth="1"/>
    <col min="4" max="4" width="14.54296875" style="47" customWidth="1"/>
    <col min="5" max="5" width="19.1796875" style="44" customWidth="1"/>
    <col min="6" max="6" width="22.54296875" style="49" customWidth="1"/>
    <col min="7" max="7" width="18.453125" style="44" customWidth="1"/>
    <col min="8" max="16384" width="8.7265625" style="44"/>
  </cols>
  <sheetData>
    <row r="1" spans="1:9" x14ac:dyDescent="0.35">
      <c r="B1" s="43" t="s">
        <v>57</v>
      </c>
      <c r="C1" s="43"/>
      <c r="D1" s="43"/>
      <c r="E1" s="43"/>
      <c r="F1" s="43"/>
      <c r="G1" s="43"/>
      <c r="H1" s="43"/>
      <c r="I1" s="43"/>
    </row>
    <row r="2" spans="1:9" x14ac:dyDescent="0.35">
      <c r="B2" s="45" t="s">
        <v>212</v>
      </c>
      <c r="C2" s="46"/>
      <c r="E2" s="48"/>
    </row>
    <row r="3" spans="1:9" x14ac:dyDescent="0.35">
      <c r="C3" s="46"/>
      <c r="E3" s="48"/>
    </row>
    <row r="4" spans="1:9" x14ac:dyDescent="0.35">
      <c r="B4" s="135" t="s">
        <v>107</v>
      </c>
      <c r="C4" s="136"/>
      <c r="D4" s="136"/>
      <c r="E4" s="136"/>
      <c r="F4" s="136"/>
    </row>
    <row r="5" spans="1:9" s="47" customFormat="1" ht="31" x14ac:dyDescent="0.35">
      <c r="B5" s="50" t="s">
        <v>108</v>
      </c>
      <c r="C5" s="51" t="s">
        <v>109</v>
      </c>
      <c r="D5" s="50" t="s">
        <v>110</v>
      </c>
      <c r="E5" s="82" t="s">
        <v>157</v>
      </c>
      <c r="F5" s="52" t="s">
        <v>111</v>
      </c>
    </row>
    <row r="6" spans="1:9" ht="5.15" customHeight="1" x14ac:dyDescent="0.35">
      <c r="B6" s="131"/>
      <c r="C6" s="132"/>
      <c r="D6" s="132"/>
      <c r="E6" s="132"/>
      <c r="F6" s="132"/>
    </row>
    <row r="7" spans="1:9" x14ac:dyDescent="0.35">
      <c r="A7" s="80" t="s">
        <v>140</v>
      </c>
      <c r="B7" s="53" t="s">
        <v>112</v>
      </c>
      <c r="C7" s="113">
        <v>16560</v>
      </c>
      <c r="D7" s="54" t="s">
        <v>113</v>
      </c>
      <c r="E7" s="59">
        <f>'Base Period'!B63</f>
        <v>0</v>
      </c>
      <c r="F7" s="85">
        <f t="shared" ref="F7:F13" si="0">SUM(C7*E7)</f>
        <v>0</v>
      </c>
    </row>
    <row r="8" spans="1:9" x14ac:dyDescent="0.35">
      <c r="A8" s="80" t="s">
        <v>141</v>
      </c>
      <c r="B8" s="53" t="s">
        <v>114</v>
      </c>
      <c r="C8" s="113">
        <v>1162</v>
      </c>
      <c r="D8" s="54" t="s">
        <v>113</v>
      </c>
      <c r="E8" s="59">
        <f>'Base Period'!B126</f>
        <v>0</v>
      </c>
      <c r="F8" s="85">
        <f>SUM(C8*E8)</f>
        <v>0</v>
      </c>
    </row>
    <row r="9" spans="1:9" x14ac:dyDescent="0.35">
      <c r="A9" s="80" t="s">
        <v>142</v>
      </c>
      <c r="B9" s="53" t="s">
        <v>115</v>
      </c>
      <c r="C9" s="113">
        <v>2315</v>
      </c>
      <c r="D9" s="54" t="s">
        <v>113</v>
      </c>
      <c r="E9" s="59">
        <f>'Base Period'!B63</f>
        <v>0</v>
      </c>
      <c r="F9" s="85">
        <f>E9*C9</f>
        <v>0</v>
      </c>
    </row>
    <row r="10" spans="1:9" x14ac:dyDescent="0.35">
      <c r="A10" s="80" t="s">
        <v>143</v>
      </c>
      <c r="B10" s="53" t="s">
        <v>116</v>
      </c>
      <c r="C10" s="113">
        <v>1500</v>
      </c>
      <c r="D10" s="54" t="s">
        <v>117</v>
      </c>
      <c r="E10" s="59">
        <f>'Base Period'!B133</f>
        <v>0</v>
      </c>
      <c r="F10" s="85">
        <f t="shared" si="0"/>
        <v>0</v>
      </c>
    </row>
    <row r="11" spans="1:9" x14ac:dyDescent="0.35">
      <c r="A11" s="80" t="s">
        <v>144</v>
      </c>
      <c r="B11" s="53" t="s">
        <v>118</v>
      </c>
      <c r="C11" s="113">
        <v>7004</v>
      </c>
      <c r="D11" s="54" t="s">
        <v>117</v>
      </c>
      <c r="E11" s="59">
        <f>'Base Period'!B142</f>
        <v>0</v>
      </c>
      <c r="F11" s="85">
        <f t="shared" si="0"/>
        <v>0</v>
      </c>
    </row>
    <row r="12" spans="1:9" x14ac:dyDescent="0.35">
      <c r="A12" s="80" t="s">
        <v>145</v>
      </c>
      <c r="B12" s="53" t="s">
        <v>119</v>
      </c>
      <c r="C12" s="113">
        <v>10102</v>
      </c>
      <c r="D12" s="54" t="s">
        <v>113</v>
      </c>
      <c r="E12" s="59">
        <f>'Base Period'!B150</f>
        <v>0</v>
      </c>
      <c r="F12" s="85">
        <f t="shared" si="0"/>
        <v>0</v>
      </c>
    </row>
    <row r="13" spans="1:9" x14ac:dyDescent="0.35">
      <c r="A13" s="80" t="s">
        <v>146</v>
      </c>
      <c r="B13" s="53" t="s">
        <v>120</v>
      </c>
      <c r="C13" s="113">
        <v>1236</v>
      </c>
      <c r="D13" s="54" t="s">
        <v>121</v>
      </c>
      <c r="E13" s="59">
        <f>'Base Period'!B158</f>
        <v>0</v>
      </c>
      <c r="F13" s="85">
        <f t="shared" si="0"/>
        <v>0</v>
      </c>
    </row>
    <row r="14" spans="1:9" ht="45" customHeight="1" x14ac:dyDescent="0.35">
      <c r="A14" s="80" t="s">
        <v>147</v>
      </c>
      <c r="B14" s="53" t="s">
        <v>273</v>
      </c>
      <c r="C14" s="55">
        <v>1</v>
      </c>
      <c r="D14" s="54" t="s">
        <v>122</v>
      </c>
      <c r="E14" s="86" t="s">
        <v>174</v>
      </c>
      <c r="F14" s="59">
        <v>379940</v>
      </c>
      <c r="G14" s="56"/>
    </row>
    <row r="15" spans="1:9" ht="62" x14ac:dyDescent="0.35">
      <c r="A15" s="80" t="s">
        <v>148</v>
      </c>
      <c r="B15" s="53" t="s">
        <v>274</v>
      </c>
      <c r="C15" s="55">
        <v>1</v>
      </c>
      <c r="D15" s="54" t="s">
        <v>122</v>
      </c>
      <c r="E15" s="86" t="s">
        <v>56</v>
      </c>
      <c r="F15" s="59">
        <v>3000000</v>
      </c>
      <c r="G15" s="56"/>
    </row>
    <row r="16" spans="1:9" x14ac:dyDescent="0.35">
      <c r="B16" s="53"/>
      <c r="C16" s="57"/>
      <c r="D16" s="58"/>
      <c r="E16" s="59"/>
      <c r="F16" s="60"/>
      <c r="G16" s="56"/>
    </row>
    <row r="17" spans="1:7" x14ac:dyDescent="0.35">
      <c r="B17" s="61"/>
      <c r="C17" s="137" t="s">
        <v>123</v>
      </c>
      <c r="D17" s="138"/>
      <c r="E17" s="59"/>
      <c r="F17" s="62">
        <f>SUM(F7:F15)</f>
        <v>3379940</v>
      </c>
      <c r="G17" s="63"/>
    </row>
    <row r="18" spans="1:7" x14ac:dyDescent="0.35">
      <c r="B18" s="64"/>
      <c r="C18" s="65"/>
      <c r="D18" s="66"/>
      <c r="E18" s="67"/>
      <c r="F18" s="68"/>
      <c r="G18" s="63"/>
    </row>
    <row r="19" spans="1:7" ht="17.149999999999999" customHeight="1" x14ac:dyDescent="0.35">
      <c r="B19" s="128" t="s">
        <v>124</v>
      </c>
      <c r="C19" s="129"/>
      <c r="D19" s="129"/>
      <c r="E19" s="129"/>
      <c r="F19" s="130"/>
    </row>
    <row r="20" spans="1:7" ht="39" customHeight="1" x14ac:dyDescent="0.35">
      <c r="B20" s="69" t="s">
        <v>108</v>
      </c>
      <c r="C20" s="51" t="s">
        <v>109</v>
      </c>
      <c r="D20" s="50" t="s">
        <v>110</v>
      </c>
      <c r="E20" s="82" t="s">
        <v>157</v>
      </c>
      <c r="F20" s="52" t="s">
        <v>111</v>
      </c>
    </row>
    <row r="21" spans="1:7" ht="15" customHeight="1" x14ac:dyDescent="0.35">
      <c r="B21" s="131"/>
      <c r="C21" s="132"/>
      <c r="D21" s="132"/>
      <c r="E21" s="132"/>
      <c r="F21" s="132"/>
    </row>
    <row r="22" spans="1:7" ht="15.65" customHeight="1" x14ac:dyDescent="0.35">
      <c r="A22" s="44">
        <v>1001</v>
      </c>
      <c r="B22" s="53" t="s">
        <v>112</v>
      </c>
      <c r="C22" s="113">
        <v>16560</v>
      </c>
      <c r="D22" s="54" t="s">
        <v>113</v>
      </c>
      <c r="E22" s="59">
        <f>'Option Period 1'!B63</f>
        <v>0</v>
      </c>
      <c r="F22" s="85">
        <f>SUM(C22*E22)</f>
        <v>0</v>
      </c>
    </row>
    <row r="23" spans="1:7" x14ac:dyDescent="0.35">
      <c r="A23" s="44">
        <v>1002</v>
      </c>
      <c r="B23" s="53" t="s">
        <v>114</v>
      </c>
      <c r="C23" s="113">
        <v>1162</v>
      </c>
      <c r="D23" s="54" t="s">
        <v>113</v>
      </c>
      <c r="E23" s="59">
        <f>'Option Period 1'!B126</f>
        <v>0</v>
      </c>
      <c r="F23" s="85">
        <f t="shared" ref="F23:F28" si="1">SUM(C23*E23)</f>
        <v>0</v>
      </c>
    </row>
    <row r="24" spans="1:7" x14ac:dyDescent="0.35">
      <c r="A24" s="44">
        <v>1003</v>
      </c>
      <c r="B24" s="53" t="s">
        <v>115</v>
      </c>
      <c r="C24" s="113">
        <v>2315</v>
      </c>
      <c r="D24" s="54" t="s">
        <v>113</v>
      </c>
      <c r="E24" s="59">
        <f>'Option Period 1'!B63</f>
        <v>0</v>
      </c>
      <c r="F24" s="85">
        <f t="shared" si="1"/>
        <v>0</v>
      </c>
    </row>
    <row r="25" spans="1:7" x14ac:dyDescent="0.35">
      <c r="A25" s="44">
        <v>1004</v>
      </c>
      <c r="B25" s="53" t="s">
        <v>116</v>
      </c>
      <c r="C25" s="113">
        <v>1500</v>
      </c>
      <c r="D25" s="54" t="s">
        <v>117</v>
      </c>
      <c r="E25" s="59">
        <f>'Option Period 1'!B133</f>
        <v>0</v>
      </c>
      <c r="F25" s="85">
        <f t="shared" si="1"/>
        <v>0</v>
      </c>
    </row>
    <row r="26" spans="1:7" x14ac:dyDescent="0.35">
      <c r="A26" s="44">
        <v>1005</v>
      </c>
      <c r="B26" s="53" t="s">
        <v>118</v>
      </c>
      <c r="C26" s="113">
        <v>7004</v>
      </c>
      <c r="D26" s="54" t="s">
        <v>117</v>
      </c>
      <c r="E26" s="59">
        <f>'Option Period 1'!B142</f>
        <v>0</v>
      </c>
      <c r="F26" s="85">
        <f t="shared" si="1"/>
        <v>0</v>
      </c>
    </row>
    <row r="27" spans="1:7" x14ac:dyDescent="0.35">
      <c r="A27" s="44">
        <v>1006</v>
      </c>
      <c r="B27" s="53" t="s">
        <v>119</v>
      </c>
      <c r="C27" s="113">
        <v>10102</v>
      </c>
      <c r="D27" s="54" t="s">
        <v>113</v>
      </c>
      <c r="E27" s="59">
        <f>'Option Period 1'!B150</f>
        <v>0</v>
      </c>
      <c r="F27" s="85">
        <f t="shared" si="1"/>
        <v>0</v>
      </c>
    </row>
    <row r="28" spans="1:7" x14ac:dyDescent="0.35">
      <c r="A28" s="44">
        <v>1007</v>
      </c>
      <c r="B28" s="53" t="s">
        <v>120</v>
      </c>
      <c r="C28" s="113">
        <v>1236</v>
      </c>
      <c r="D28" s="54" t="s">
        <v>121</v>
      </c>
      <c r="E28" s="59">
        <f>'Option Period 1'!B158</f>
        <v>0</v>
      </c>
      <c r="F28" s="85">
        <f t="shared" si="1"/>
        <v>0</v>
      </c>
    </row>
    <row r="29" spans="1:7" ht="62" x14ac:dyDescent="0.35">
      <c r="A29" s="44">
        <v>1008</v>
      </c>
      <c r="B29" s="53" t="s">
        <v>273</v>
      </c>
      <c r="C29" s="55">
        <v>1</v>
      </c>
      <c r="D29" s="54" t="s">
        <v>122</v>
      </c>
      <c r="E29" s="86" t="s">
        <v>174</v>
      </c>
      <c r="F29" s="84">
        <v>379940</v>
      </c>
    </row>
    <row r="30" spans="1:7" ht="62" x14ac:dyDescent="0.35">
      <c r="A30" s="44">
        <v>1009</v>
      </c>
      <c r="B30" s="53" t="s">
        <v>274</v>
      </c>
      <c r="C30" s="55">
        <v>1</v>
      </c>
      <c r="D30" s="54" t="s">
        <v>122</v>
      </c>
      <c r="E30" s="86" t="str">
        <f>E15</f>
        <v>Billed/Paid at the fixed rate of $200 Per OWCP CPT Code</v>
      </c>
      <c r="F30" s="84">
        <v>3000000</v>
      </c>
    </row>
    <row r="31" spans="1:7" x14ac:dyDescent="0.35">
      <c r="B31" s="53"/>
      <c r="C31" s="72"/>
      <c r="D31" s="73"/>
      <c r="E31" s="59"/>
      <c r="F31" s="71"/>
    </row>
    <row r="32" spans="1:7" ht="17.5" customHeight="1" x14ac:dyDescent="0.35">
      <c r="B32" s="61"/>
      <c r="C32" s="133" t="s">
        <v>125</v>
      </c>
      <c r="D32" s="134"/>
      <c r="E32" s="59"/>
      <c r="F32" s="74">
        <f>SUM(F22:F30)</f>
        <v>3379940</v>
      </c>
    </row>
    <row r="33" spans="1:6" x14ac:dyDescent="0.35">
      <c r="B33" s="75"/>
    </row>
    <row r="34" spans="1:6" x14ac:dyDescent="0.35">
      <c r="B34" s="128" t="s">
        <v>126</v>
      </c>
      <c r="C34" s="129"/>
      <c r="D34" s="129"/>
      <c r="E34" s="129"/>
      <c r="F34" s="130"/>
    </row>
    <row r="35" spans="1:6" ht="33.75" customHeight="1" x14ac:dyDescent="0.35">
      <c r="B35" s="69" t="s">
        <v>108</v>
      </c>
      <c r="C35" s="51" t="s">
        <v>109</v>
      </c>
      <c r="D35" s="50" t="s">
        <v>110</v>
      </c>
      <c r="E35" s="82" t="s">
        <v>157</v>
      </c>
      <c r="F35" s="52" t="s">
        <v>111</v>
      </c>
    </row>
    <row r="36" spans="1:6" ht="16.5" customHeight="1" x14ac:dyDescent="0.35">
      <c r="B36" s="131"/>
      <c r="C36" s="132"/>
      <c r="D36" s="132"/>
      <c r="E36" s="132"/>
      <c r="F36" s="132"/>
    </row>
    <row r="37" spans="1:6" x14ac:dyDescent="0.35">
      <c r="A37" s="44">
        <v>2001</v>
      </c>
      <c r="B37" s="53" t="s">
        <v>112</v>
      </c>
      <c r="C37" s="113">
        <v>16560</v>
      </c>
      <c r="D37" s="54" t="s">
        <v>113</v>
      </c>
      <c r="E37" s="59">
        <f>'Option Period 2'!B63</f>
        <v>0</v>
      </c>
      <c r="F37" s="85">
        <f>E37*C37</f>
        <v>0</v>
      </c>
    </row>
    <row r="38" spans="1:6" x14ac:dyDescent="0.35">
      <c r="A38" s="44">
        <v>2002</v>
      </c>
      <c r="B38" s="53" t="s">
        <v>114</v>
      </c>
      <c r="C38" s="113">
        <v>1162</v>
      </c>
      <c r="D38" s="54" t="s">
        <v>113</v>
      </c>
      <c r="E38" s="59">
        <f>'Option Period 2'!B126</f>
        <v>0</v>
      </c>
      <c r="F38" s="85">
        <f t="shared" ref="F38:F43" si="2">E38*C38</f>
        <v>0</v>
      </c>
    </row>
    <row r="39" spans="1:6" x14ac:dyDescent="0.35">
      <c r="A39" s="44">
        <v>2003</v>
      </c>
      <c r="B39" s="53" t="s">
        <v>115</v>
      </c>
      <c r="C39" s="113">
        <v>2315</v>
      </c>
      <c r="D39" s="54" t="s">
        <v>113</v>
      </c>
      <c r="E39" s="59">
        <f>'Option Period 2'!B63</f>
        <v>0</v>
      </c>
      <c r="F39" s="85">
        <f t="shared" si="2"/>
        <v>0</v>
      </c>
    </row>
    <row r="40" spans="1:6" x14ac:dyDescent="0.35">
      <c r="A40" s="44">
        <v>2004</v>
      </c>
      <c r="B40" s="53" t="s">
        <v>116</v>
      </c>
      <c r="C40" s="113">
        <v>1500</v>
      </c>
      <c r="D40" s="54" t="s">
        <v>117</v>
      </c>
      <c r="E40" s="59">
        <f>'Option Period 2'!B133</f>
        <v>0</v>
      </c>
      <c r="F40" s="85">
        <f t="shared" si="2"/>
        <v>0</v>
      </c>
    </row>
    <row r="41" spans="1:6" x14ac:dyDescent="0.35">
      <c r="A41" s="44">
        <v>2005</v>
      </c>
      <c r="B41" s="53" t="s">
        <v>118</v>
      </c>
      <c r="C41" s="113">
        <v>7004</v>
      </c>
      <c r="D41" s="54" t="s">
        <v>117</v>
      </c>
      <c r="E41" s="59">
        <f>'Option Period 2'!B142</f>
        <v>0</v>
      </c>
      <c r="F41" s="85">
        <f t="shared" si="2"/>
        <v>0</v>
      </c>
    </row>
    <row r="42" spans="1:6" x14ac:dyDescent="0.35">
      <c r="A42" s="44">
        <v>2006</v>
      </c>
      <c r="B42" s="53" t="s">
        <v>119</v>
      </c>
      <c r="C42" s="113">
        <v>10102</v>
      </c>
      <c r="D42" s="54" t="s">
        <v>113</v>
      </c>
      <c r="E42" s="59">
        <f>'Option Period 2'!B150</f>
        <v>0</v>
      </c>
      <c r="F42" s="85">
        <f t="shared" si="2"/>
        <v>0</v>
      </c>
    </row>
    <row r="43" spans="1:6" ht="31" customHeight="1" x14ac:dyDescent="0.35">
      <c r="A43" s="44">
        <v>2007</v>
      </c>
      <c r="B43" s="53" t="s">
        <v>120</v>
      </c>
      <c r="C43" s="113">
        <v>1236</v>
      </c>
      <c r="D43" s="54" t="s">
        <v>121</v>
      </c>
      <c r="E43" s="59">
        <f>'Option Period 2'!B158</f>
        <v>0</v>
      </c>
      <c r="F43" s="85">
        <f t="shared" si="2"/>
        <v>0</v>
      </c>
    </row>
    <row r="44" spans="1:6" ht="62" x14ac:dyDescent="0.35">
      <c r="A44" s="44">
        <v>2008</v>
      </c>
      <c r="B44" s="53" t="s">
        <v>273</v>
      </c>
      <c r="C44" s="55">
        <v>1</v>
      </c>
      <c r="D44" s="54" t="s">
        <v>122</v>
      </c>
      <c r="E44" s="86" t="s">
        <v>174</v>
      </c>
      <c r="F44" s="59">
        <v>379940</v>
      </c>
    </row>
    <row r="45" spans="1:6" ht="62" x14ac:dyDescent="0.35">
      <c r="A45" s="44">
        <v>2009</v>
      </c>
      <c r="B45" s="53" t="s">
        <v>274</v>
      </c>
      <c r="C45" s="55">
        <v>1</v>
      </c>
      <c r="D45" s="54" t="s">
        <v>122</v>
      </c>
      <c r="E45" s="86" t="str">
        <f>E30</f>
        <v>Billed/Paid at the fixed rate of $200 Per OWCP CPT Code</v>
      </c>
      <c r="F45" s="59">
        <v>3000000</v>
      </c>
    </row>
    <row r="46" spans="1:6" x14ac:dyDescent="0.35">
      <c r="B46" s="53"/>
      <c r="C46" s="55"/>
      <c r="D46" s="54"/>
      <c r="E46" s="70"/>
      <c r="F46" s="71"/>
    </row>
    <row r="47" spans="1:6" x14ac:dyDescent="0.35">
      <c r="B47" s="61"/>
      <c r="C47" s="72" t="s">
        <v>127</v>
      </c>
      <c r="D47" s="73"/>
      <c r="E47" s="70"/>
      <c r="F47" s="74">
        <f>SUM(F37:F46)</f>
        <v>3379940</v>
      </c>
    </row>
    <row r="49" spans="1:6" x14ac:dyDescent="0.35">
      <c r="B49" s="128" t="s">
        <v>128</v>
      </c>
      <c r="C49" s="129"/>
      <c r="D49" s="129"/>
      <c r="E49" s="129"/>
      <c r="F49" s="130"/>
    </row>
    <row r="50" spans="1:6" ht="35.25" customHeight="1" x14ac:dyDescent="0.35">
      <c r="B50" s="69" t="s">
        <v>108</v>
      </c>
      <c r="C50" s="51" t="s">
        <v>109</v>
      </c>
      <c r="D50" s="50" t="s">
        <v>110</v>
      </c>
      <c r="E50" s="82" t="s">
        <v>157</v>
      </c>
      <c r="F50" s="52" t="s">
        <v>111</v>
      </c>
    </row>
    <row r="51" spans="1:6" ht="13.5" customHeight="1" x14ac:dyDescent="0.35">
      <c r="B51" s="131"/>
      <c r="C51" s="132"/>
      <c r="D51" s="132"/>
      <c r="E51" s="132"/>
      <c r="F51" s="132"/>
    </row>
    <row r="52" spans="1:6" x14ac:dyDescent="0.35">
      <c r="A52" s="44">
        <v>3001</v>
      </c>
      <c r="B52" s="53" t="s">
        <v>112</v>
      </c>
      <c r="C52" s="113">
        <v>16560</v>
      </c>
      <c r="D52" s="54" t="s">
        <v>113</v>
      </c>
      <c r="E52" s="59">
        <f>'Option Period 3'!B63</f>
        <v>0</v>
      </c>
      <c r="F52" s="85">
        <f>E52*C52</f>
        <v>0</v>
      </c>
    </row>
    <row r="53" spans="1:6" x14ac:dyDescent="0.35">
      <c r="A53" s="44">
        <v>3002</v>
      </c>
      <c r="B53" s="53" t="s">
        <v>114</v>
      </c>
      <c r="C53" s="113">
        <v>1162</v>
      </c>
      <c r="D53" s="54" t="s">
        <v>113</v>
      </c>
      <c r="E53" s="59">
        <f>'Option Period 3'!B126</f>
        <v>0</v>
      </c>
      <c r="F53" s="85">
        <f t="shared" ref="F53:F58" si="3">E53*C53</f>
        <v>0</v>
      </c>
    </row>
    <row r="54" spans="1:6" x14ac:dyDescent="0.35">
      <c r="A54" s="44">
        <v>3003</v>
      </c>
      <c r="B54" s="53" t="s">
        <v>115</v>
      </c>
      <c r="C54" s="113">
        <v>2315</v>
      </c>
      <c r="D54" s="54" t="s">
        <v>113</v>
      </c>
      <c r="E54" s="59">
        <f>'Option Period 3'!B63</f>
        <v>0</v>
      </c>
      <c r="F54" s="85">
        <f t="shared" si="3"/>
        <v>0</v>
      </c>
    </row>
    <row r="55" spans="1:6" x14ac:dyDescent="0.35">
      <c r="A55" s="44">
        <v>3004</v>
      </c>
      <c r="B55" s="53" t="s">
        <v>116</v>
      </c>
      <c r="C55" s="113">
        <v>1500</v>
      </c>
      <c r="D55" s="54" t="s">
        <v>117</v>
      </c>
      <c r="E55" s="59">
        <f>'Option Period 3'!B133</f>
        <v>0</v>
      </c>
      <c r="F55" s="85">
        <f t="shared" si="3"/>
        <v>0</v>
      </c>
    </row>
    <row r="56" spans="1:6" x14ac:dyDescent="0.35">
      <c r="A56" s="44">
        <v>3005</v>
      </c>
      <c r="B56" s="53" t="s">
        <v>118</v>
      </c>
      <c r="C56" s="113">
        <v>7004</v>
      </c>
      <c r="D56" s="54" t="s">
        <v>117</v>
      </c>
      <c r="E56" s="59">
        <f>'Option Period 3'!B142</f>
        <v>0</v>
      </c>
      <c r="F56" s="85">
        <f t="shared" si="3"/>
        <v>0</v>
      </c>
    </row>
    <row r="57" spans="1:6" x14ac:dyDescent="0.35">
      <c r="A57" s="44">
        <v>3006</v>
      </c>
      <c r="B57" s="53" t="s">
        <v>119</v>
      </c>
      <c r="C57" s="113">
        <v>10102</v>
      </c>
      <c r="D57" s="54" t="s">
        <v>113</v>
      </c>
      <c r="E57" s="59">
        <f ca="1">'Option Period 3'!B150</f>
        <v>0</v>
      </c>
      <c r="F57" s="85">
        <f t="shared" ca="1" si="3"/>
        <v>0</v>
      </c>
    </row>
    <row r="58" spans="1:6" x14ac:dyDescent="0.35">
      <c r="A58" s="44">
        <v>3007</v>
      </c>
      <c r="B58" s="53" t="s">
        <v>120</v>
      </c>
      <c r="C58" s="113">
        <v>1236</v>
      </c>
      <c r="D58" s="54" t="s">
        <v>121</v>
      </c>
      <c r="E58" s="59">
        <f>'Option Period 3'!B158</f>
        <v>0</v>
      </c>
      <c r="F58" s="85">
        <f t="shared" si="3"/>
        <v>0</v>
      </c>
    </row>
    <row r="59" spans="1:6" ht="62" x14ac:dyDescent="0.35">
      <c r="A59" s="44">
        <v>3008</v>
      </c>
      <c r="B59" s="53" t="s">
        <v>273</v>
      </c>
      <c r="C59" s="55">
        <v>1</v>
      </c>
      <c r="D59" s="54" t="s">
        <v>122</v>
      </c>
      <c r="E59" s="86" t="s">
        <v>174</v>
      </c>
      <c r="F59" s="59">
        <v>379940</v>
      </c>
    </row>
    <row r="60" spans="1:6" ht="62" x14ac:dyDescent="0.35">
      <c r="A60" s="44">
        <v>3009</v>
      </c>
      <c r="B60" s="53" t="s">
        <v>274</v>
      </c>
      <c r="C60" s="55">
        <v>1</v>
      </c>
      <c r="D60" s="54" t="s">
        <v>122</v>
      </c>
      <c r="E60" s="86" t="str">
        <f>E45</f>
        <v>Billed/Paid at the fixed rate of $200 Per OWCP CPT Code</v>
      </c>
      <c r="F60" s="59">
        <v>3000000</v>
      </c>
    </row>
    <row r="61" spans="1:6" x14ac:dyDescent="0.35">
      <c r="B61" s="61"/>
      <c r="C61" s="57"/>
      <c r="D61" s="58"/>
      <c r="E61" s="70"/>
      <c r="F61" s="71"/>
    </row>
    <row r="62" spans="1:6" x14ac:dyDescent="0.35">
      <c r="B62" s="61"/>
      <c r="C62" s="72" t="s">
        <v>129</v>
      </c>
      <c r="D62" s="73"/>
      <c r="E62" s="70"/>
      <c r="F62" s="74">
        <f ca="1">SUM(F52:F61)</f>
        <v>3379940</v>
      </c>
    </row>
    <row r="64" spans="1:6" x14ac:dyDescent="0.35">
      <c r="B64" s="128" t="s">
        <v>130</v>
      </c>
      <c r="C64" s="129"/>
      <c r="D64" s="129"/>
      <c r="E64" s="129"/>
      <c r="F64" s="130"/>
    </row>
    <row r="65" spans="1:6" ht="42" customHeight="1" x14ac:dyDescent="0.35">
      <c r="B65" s="69" t="s">
        <v>108</v>
      </c>
      <c r="C65" s="51" t="s">
        <v>109</v>
      </c>
      <c r="D65" s="50" t="s">
        <v>110</v>
      </c>
      <c r="E65" s="82" t="s">
        <v>157</v>
      </c>
      <c r="F65" s="52" t="s">
        <v>111</v>
      </c>
    </row>
    <row r="66" spans="1:6" ht="18" customHeight="1" x14ac:dyDescent="0.35">
      <c r="B66" s="131"/>
      <c r="C66" s="132"/>
      <c r="D66" s="132"/>
      <c r="E66" s="132"/>
      <c r="F66" s="132"/>
    </row>
    <row r="67" spans="1:6" ht="18" customHeight="1" x14ac:dyDescent="0.35">
      <c r="A67" s="44">
        <v>4001</v>
      </c>
      <c r="B67" s="53" t="s">
        <v>112</v>
      </c>
      <c r="C67" s="113">
        <v>16560</v>
      </c>
      <c r="D67" s="54" t="s">
        <v>113</v>
      </c>
      <c r="E67" s="59">
        <f>'Option Period 4'!B63</f>
        <v>0</v>
      </c>
      <c r="F67" s="85">
        <f>E67*C67</f>
        <v>0</v>
      </c>
    </row>
    <row r="68" spans="1:6" x14ac:dyDescent="0.35">
      <c r="A68" s="44">
        <v>4002</v>
      </c>
      <c r="B68" s="53" t="s">
        <v>114</v>
      </c>
      <c r="C68" s="113">
        <v>1162</v>
      </c>
      <c r="D68" s="54" t="s">
        <v>113</v>
      </c>
      <c r="E68" s="59">
        <f>'Option Period 4'!B126</f>
        <v>0</v>
      </c>
      <c r="F68" s="85">
        <f t="shared" ref="F68:F73" si="4">E68*C68</f>
        <v>0</v>
      </c>
    </row>
    <row r="69" spans="1:6" x14ac:dyDescent="0.35">
      <c r="A69" s="44">
        <v>4003</v>
      </c>
      <c r="B69" s="53" t="s">
        <v>115</v>
      </c>
      <c r="C69" s="113">
        <v>2315</v>
      </c>
      <c r="D69" s="54" t="s">
        <v>113</v>
      </c>
      <c r="E69" s="59">
        <f>'Option Period 4'!B63</f>
        <v>0</v>
      </c>
      <c r="F69" s="85">
        <f t="shared" si="4"/>
        <v>0</v>
      </c>
    </row>
    <row r="70" spans="1:6" x14ac:dyDescent="0.35">
      <c r="A70" s="44">
        <v>4004</v>
      </c>
      <c r="B70" s="53" t="s">
        <v>116</v>
      </c>
      <c r="C70" s="113">
        <v>1500</v>
      </c>
      <c r="D70" s="54" t="s">
        <v>117</v>
      </c>
      <c r="E70" s="59">
        <f>'Option Period 4'!B133</f>
        <v>0</v>
      </c>
      <c r="F70" s="85">
        <f t="shared" si="4"/>
        <v>0</v>
      </c>
    </row>
    <row r="71" spans="1:6" x14ac:dyDescent="0.35">
      <c r="A71" s="44">
        <v>4005</v>
      </c>
      <c r="B71" s="53" t="s">
        <v>118</v>
      </c>
      <c r="C71" s="113">
        <v>7004</v>
      </c>
      <c r="D71" s="54" t="s">
        <v>117</v>
      </c>
      <c r="E71" s="59">
        <f>'Option Period 4'!B142</f>
        <v>0</v>
      </c>
      <c r="F71" s="85">
        <f t="shared" si="4"/>
        <v>0</v>
      </c>
    </row>
    <row r="72" spans="1:6" x14ac:dyDescent="0.35">
      <c r="A72" s="44">
        <v>4006</v>
      </c>
      <c r="B72" s="53" t="s">
        <v>119</v>
      </c>
      <c r="C72" s="113">
        <v>10102</v>
      </c>
      <c r="D72" s="54" t="s">
        <v>113</v>
      </c>
      <c r="E72" s="59">
        <f>'Option Period 4'!B150</f>
        <v>0</v>
      </c>
      <c r="F72" s="85">
        <f t="shared" si="4"/>
        <v>0</v>
      </c>
    </row>
    <row r="73" spans="1:6" x14ac:dyDescent="0.35">
      <c r="A73" s="44">
        <v>4007</v>
      </c>
      <c r="B73" s="53" t="s">
        <v>120</v>
      </c>
      <c r="C73" s="113">
        <v>1236</v>
      </c>
      <c r="D73" s="54" t="s">
        <v>121</v>
      </c>
      <c r="E73" s="59">
        <f>'Option Period 4'!B158</f>
        <v>0</v>
      </c>
      <c r="F73" s="85">
        <f t="shared" si="4"/>
        <v>0</v>
      </c>
    </row>
    <row r="74" spans="1:6" ht="44.25" customHeight="1" x14ac:dyDescent="0.35">
      <c r="A74" s="44">
        <v>4008</v>
      </c>
      <c r="B74" s="53" t="s">
        <v>273</v>
      </c>
      <c r="C74" s="55">
        <v>1</v>
      </c>
      <c r="D74" s="54" t="s">
        <v>122</v>
      </c>
      <c r="E74" s="86" t="str">
        <f t="shared" ref="E74:E75" si="5">E59</f>
        <v>Pay Per FTR mileage reimbursement rates</v>
      </c>
      <c r="F74" s="59">
        <v>379940</v>
      </c>
    </row>
    <row r="75" spans="1:6" ht="62" x14ac:dyDescent="0.35">
      <c r="A75" s="44">
        <v>4009</v>
      </c>
      <c r="B75" s="53" t="s">
        <v>274</v>
      </c>
      <c r="C75" s="55">
        <v>1</v>
      </c>
      <c r="D75" s="54" t="s">
        <v>122</v>
      </c>
      <c r="E75" s="86" t="str">
        <f t="shared" si="5"/>
        <v>Billed/Paid at the fixed rate of $200 Per OWCP CPT Code</v>
      </c>
      <c r="F75" s="59">
        <v>3000000</v>
      </c>
    </row>
    <row r="76" spans="1:6" x14ac:dyDescent="0.35">
      <c r="B76" s="61"/>
      <c r="C76" s="76"/>
      <c r="D76" s="73"/>
      <c r="E76" s="70"/>
      <c r="F76" s="71"/>
    </row>
    <row r="77" spans="1:6" x14ac:dyDescent="0.35">
      <c r="B77" s="61"/>
      <c r="C77" s="72" t="s">
        <v>131</v>
      </c>
      <c r="D77" s="73"/>
      <c r="E77" s="70"/>
      <c r="F77" s="74">
        <f>SUM(F67:F76)</f>
        <v>3379940</v>
      </c>
    </row>
    <row r="78" spans="1:6" x14ac:dyDescent="0.35">
      <c r="B78" s="122" t="s">
        <v>132</v>
      </c>
      <c r="C78" s="123"/>
      <c r="D78" s="124">
        <f ca="1">F77+F62+F47+F32+F17</f>
        <v>16899700</v>
      </c>
      <c r="E78" s="125"/>
      <c r="F78" s="126"/>
    </row>
    <row r="79" spans="1:6" x14ac:dyDescent="0.35">
      <c r="D79" s="44"/>
    </row>
    <row r="80" spans="1:6" ht="21" customHeight="1" x14ac:dyDescent="0.35">
      <c r="B80" s="77" t="s">
        <v>133</v>
      </c>
      <c r="C80" s="77"/>
      <c r="D80" s="78"/>
      <c r="E80" s="79"/>
      <c r="F80" s="79"/>
    </row>
    <row r="81" spans="2:6" ht="28" customHeight="1" x14ac:dyDescent="0.35">
      <c r="B81" s="127" t="s">
        <v>134</v>
      </c>
      <c r="C81" s="127"/>
      <c r="D81" s="78"/>
      <c r="E81" s="79"/>
      <c r="F81" s="79"/>
    </row>
    <row r="82" spans="2:6" ht="12.65" customHeight="1" x14ac:dyDescent="0.35">
      <c r="B82" s="79"/>
      <c r="C82" s="79"/>
      <c r="D82" s="78"/>
      <c r="E82" s="79"/>
      <c r="F82" s="79"/>
    </row>
    <row r="83" spans="2:6" ht="12.65" customHeight="1" x14ac:dyDescent="0.35">
      <c r="B83" s="79"/>
      <c r="C83" s="79"/>
      <c r="D83" s="78"/>
      <c r="E83" s="79"/>
      <c r="F83" s="79"/>
    </row>
    <row r="84" spans="2:6" ht="12.65" customHeight="1" x14ac:dyDescent="0.35">
      <c r="B84" s="79"/>
      <c r="C84" s="79"/>
      <c r="D84" s="78"/>
      <c r="E84" s="79"/>
      <c r="F84" s="79"/>
    </row>
    <row r="85" spans="2:6" ht="12.65" customHeight="1" x14ac:dyDescent="0.35">
      <c r="B85" s="79"/>
      <c r="C85" s="79"/>
      <c r="D85" s="78"/>
      <c r="E85" s="79"/>
      <c r="F85" s="79"/>
    </row>
    <row r="86" spans="2:6" x14ac:dyDescent="0.35">
      <c r="E86" s="79"/>
      <c r="F86" s="79"/>
    </row>
  </sheetData>
  <sheetProtection sheet="1" objects="1" scenarios="1"/>
  <mergeCells count="15">
    <mergeCell ref="C32:D32"/>
    <mergeCell ref="B4:F4"/>
    <mergeCell ref="B6:F6"/>
    <mergeCell ref="C17:D17"/>
    <mergeCell ref="B19:F19"/>
    <mergeCell ref="B21:F21"/>
    <mergeCell ref="B78:C78"/>
    <mergeCell ref="D78:F78"/>
    <mergeCell ref="B81:C81"/>
    <mergeCell ref="B34:F34"/>
    <mergeCell ref="B36:F36"/>
    <mergeCell ref="B49:F49"/>
    <mergeCell ref="B51:F51"/>
    <mergeCell ref="B64:F64"/>
    <mergeCell ref="B66:F66"/>
  </mergeCells>
  <pageMargins left="0.7" right="0.7" top="0.75" bottom="0.75" header="0.3" footer="0.3"/>
  <ignoredErrors>
    <ignoredError sqref="F9 E8 E38 E23 E53 E6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 </vt:lpstr>
      <vt:lpstr>Base Period</vt:lpstr>
      <vt:lpstr>Option Period 1</vt:lpstr>
      <vt:lpstr>Option Period 2</vt:lpstr>
      <vt:lpstr>Option Period 3</vt:lpstr>
      <vt:lpstr>Option Period 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Grad, Jason M - OWCP</dc:creator>
  <cp:lastModifiedBy>Bear, Emily E - OASAM OSPE</cp:lastModifiedBy>
  <dcterms:created xsi:type="dcterms:W3CDTF">2024-05-01T15:06:04Z</dcterms:created>
  <dcterms:modified xsi:type="dcterms:W3CDTF">2026-01-25T01:50:24Z</dcterms:modified>
</cp:coreProperties>
</file>