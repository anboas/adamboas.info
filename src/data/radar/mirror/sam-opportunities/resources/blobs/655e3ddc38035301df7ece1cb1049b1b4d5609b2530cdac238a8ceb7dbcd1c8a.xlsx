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ssandra.Contar.IT\OneDrive - US Navy-flankspeed\Desktop\"/>
    </mc:Choice>
  </mc:AlternateContent>
  <bookViews>
    <workbookView xWindow="22935" yWindow="480" windowWidth="23250" windowHeight="12405"/>
  </bookViews>
  <sheets>
    <sheet name="ISWM Historical Data" sheetId="1" r:id="rId1"/>
  </sheets>
  <definedNames>
    <definedName name="_xlnm.Print_Area" localSheetId="0">'ISWM Historical Data'!$A$1:$I$21</definedName>
    <definedName name="_xlnm.Print_Titles" localSheetId="0">'ISWM Historical Data'!$1:$3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5" i="1"/>
</calcChain>
</file>

<file path=xl/sharedStrings.xml><?xml version="1.0" encoding="utf-8"?>
<sst xmlns="http://schemas.openxmlformats.org/spreadsheetml/2006/main" count="31" uniqueCount="31">
  <si>
    <t>Attachment J-1503030-05</t>
  </si>
  <si>
    <t>SOLID WASTE DISPOSAL HISTORICAL DATA</t>
  </si>
  <si>
    <t>WASTE TYPE</t>
  </si>
  <si>
    <t>WASTE CODE</t>
  </si>
  <si>
    <t>Non-Recyclable Solid Waste</t>
  </si>
  <si>
    <t>Spoiled Food/Expired Drinks
Organic waste</t>
  </si>
  <si>
    <t>160306/200302</t>
  </si>
  <si>
    <t>Oily Water (from OWC)</t>
  </si>
  <si>
    <t>Oil and grease from grease traps</t>
  </si>
  <si>
    <t>Cooking Oil</t>
  </si>
  <si>
    <t>Drying Bed Sludge</t>
  </si>
  <si>
    <t>Septic Tank Sludge</t>
  </si>
  <si>
    <t>Packaging Paper &amp; Cardboard</t>
  </si>
  <si>
    <t>Packaging Plastic</t>
  </si>
  <si>
    <t>Wood Packaging</t>
  </si>
  <si>
    <t>150103/200138</t>
  </si>
  <si>
    <t>Mixed Materials Packaging</t>
  </si>
  <si>
    <t>Glass</t>
  </si>
  <si>
    <t>Metals</t>
  </si>
  <si>
    <t>170405/200140</t>
  </si>
  <si>
    <t>Biodegradable Waste (grass cuttings)</t>
  </si>
  <si>
    <t>Bulky Waste (desks, closets, mattresses, chairs, sofas, bicycles, etc)</t>
  </si>
  <si>
    <t>Electrical and electronic waste</t>
  </si>
  <si>
    <t>Hard Plastic</t>
  </si>
  <si>
    <t>200139/170203</t>
  </si>
  <si>
    <t xml:space="preserve">QUANTITY FOR
Jan 2020 - Dec 2020
(Kg)  </t>
  </si>
  <si>
    <t xml:space="preserve">QUANTITY FOR
Jan 2021 - Dec 2021
(Kg)  </t>
  </si>
  <si>
    <t xml:space="preserve">QUANTITY FOR
Jan 2022 - Dec 2022
(Kg)  </t>
  </si>
  <si>
    <t xml:space="preserve">QUANTITY FOR
Jan 2023 - Dec 2023
(Kg)  </t>
  </si>
  <si>
    <t xml:space="preserve">QUANTITY FOR
Jan 2024 - Dec 2024
(Kg)  </t>
  </si>
  <si>
    <t xml:space="preserve">QUANTITY FOR
2020-2024
Annual Average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</si>
</sst>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u/>
      <sz val="10"/>
      <color theme="1"/>
      <name val="Times New Roman"/>
      <family val="1"/>
    </font>
    <font>
      <sz val="10"/>
      <color theme="1"/>
      <name val="Courier Ne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3" fontId="1" fillId="0" borderId="2" xfId="0" applyNumberFormat="1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/>
    <xf numFmtId="0" fontId="1" fillId="3" borderId="0" xfId="0" applyFont="1" applyFill="1" applyAlignment="1">
      <alignment horizontal="left" vertical="center"/>
    </xf>
    <xf numFmtId="3" fontId="1" fillId="3" borderId="2" xfId="0" applyNumberFormat="1" applyFont="1" applyFill="1" applyBorder="1" applyAlignment="1">
      <alignment horizontal="center" vertical="center" wrapText="1"/>
    </xf>
    <xf numFmtId="3" fontId="1" fillId="3" borderId="2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L21"/>
  <sheetViews>
    <sheetView tabSelected="1" topLeftCell="A7" zoomScaleNormal="100" workbookViewId="0">
      <selection activeCell="I5" sqref="I5:I21"/>
    </sheetView>
  </sheetViews>
  <sheetFormatPr defaultColWidth="8.85546875" defaultRowHeight="12.75" x14ac:dyDescent="0.2"/>
  <cols>
    <col min="1" max="1" width="31.42578125" style="1" customWidth="1"/>
    <col min="2" max="2" width="23.5703125" style="1" customWidth="1"/>
    <col min="3" max="7" width="18.42578125" style="1" customWidth="1"/>
    <col min="8" max="8" width="4.42578125" style="1" customWidth="1"/>
    <col min="9" max="9" width="18.42578125" style="1" customWidth="1"/>
    <col min="10" max="16384" width="8.85546875" style="1"/>
  </cols>
  <sheetData>
    <row r="1" spans="1:12" x14ac:dyDescent="0.2">
      <c r="A1" s="19" t="s">
        <v>0</v>
      </c>
      <c r="B1" s="19"/>
      <c r="C1" s="19"/>
      <c r="D1" s="19"/>
      <c r="E1" s="19"/>
      <c r="F1" s="19"/>
      <c r="G1" s="19"/>
      <c r="H1" s="19"/>
      <c r="I1" s="19"/>
    </row>
    <row r="2" spans="1:12" x14ac:dyDescent="0.2">
      <c r="A2" s="18" t="s">
        <v>1</v>
      </c>
      <c r="B2" s="18"/>
      <c r="C2" s="18"/>
      <c r="D2" s="18"/>
      <c r="E2" s="18"/>
      <c r="F2" s="18"/>
      <c r="G2" s="18"/>
      <c r="H2" s="18"/>
      <c r="I2" s="18"/>
    </row>
    <row r="3" spans="1:12" x14ac:dyDescent="0.2">
      <c r="A3" s="17"/>
      <c r="B3" s="17"/>
      <c r="C3" s="17"/>
      <c r="D3" s="17"/>
      <c r="E3" s="17"/>
      <c r="F3" s="17"/>
      <c r="G3" s="17"/>
      <c r="H3" s="17"/>
      <c r="I3" s="17"/>
    </row>
    <row r="4" spans="1:12" ht="38.25" x14ac:dyDescent="0.2">
      <c r="A4" s="13" t="s">
        <v>2</v>
      </c>
      <c r="B4" s="13" t="s">
        <v>3</v>
      </c>
      <c r="C4" s="13" t="s">
        <v>25</v>
      </c>
      <c r="D4" s="13" t="s">
        <v>26</v>
      </c>
      <c r="E4" s="13" t="s">
        <v>27</v>
      </c>
      <c r="F4" s="13" t="s">
        <v>28</v>
      </c>
      <c r="G4" s="13" t="s">
        <v>29</v>
      </c>
      <c r="I4" s="13" t="s">
        <v>30</v>
      </c>
    </row>
    <row r="5" spans="1:12" ht="26.45" customHeight="1" x14ac:dyDescent="0.2">
      <c r="A5" s="15" t="s">
        <v>4</v>
      </c>
      <c r="B5" s="16">
        <v>200301</v>
      </c>
      <c r="C5" s="5">
        <v>1463400</v>
      </c>
      <c r="D5" s="4">
        <v>1394644</v>
      </c>
      <c r="E5" s="4">
        <v>1333495</v>
      </c>
      <c r="F5" s="4">
        <v>1399300</v>
      </c>
      <c r="G5" s="4">
        <v>1343460</v>
      </c>
      <c r="I5" s="4">
        <f>SUM(C5:G5)/5</f>
        <v>1386859.8</v>
      </c>
    </row>
    <row r="6" spans="1:12" ht="26.45" customHeight="1" x14ac:dyDescent="0.2">
      <c r="A6" s="3" t="s">
        <v>5</v>
      </c>
      <c r="B6" s="3" t="s">
        <v>6</v>
      </c>
      <c r="C6" s="5">
        <v>90705</v>
      </c>
      <c r="D6" s="4">
        <v>81100</v>
      </c>
      <c r="E6" s="4">
        <v>45340</v>
      </c>
      <c r="F6" s="4">
        <v>63040</v>
      </c>
      <c r="G6" s="7">
        <v>73320</v>
      </c>
      <c r="I6" s="4">
        <f t="shared" ref="I6:I21" si="0">SUM(C6:G6)/5</f>
        <v>70701</v>
      </c>
    </row>
    <row r="7" spans="1:12" ht="26.45" customHeight="1" x14ac:dyDescent="0.2">
      <c r="A7" s="2" t="s">
        <v>7</v>
      </c>
      <c r="B7" s="3">
        <v>161002</v>
      </c>
      <c r="C7" s="11">
        <v>87300</v>
      </c>
      <c r="D7" s="12">
        <v>50650</v>
      </c>
      <c r="E7" s="12">
        <v>140</v>
      </c>
      <c r="F7" s="12">
        <v>0</v>
      </c>
      <c r="G7" s="14">
        <v>108480</v>
      </c>
      <c r="H7" s="9"/>
      <c r="I7" s="4">
        <f t="shared" si="0"/>
        <v>49314</v>
      </c>
      <c r="K7" s="10"/>
      <c r="L7" s="9"/>
    </row>
    <row r="8" spans="1:12" ht="26.45" customHeight="1" x14ac:dyDescent="0.2">
      <c r="A8" s="2" t="s">
        <v>8</v>
      </c>
      <c r="B8" s="3">
        <v>190809</v>
      </c>
      <c r="C8" s="6">
        <v>18490</v>
      </c>
      <c r="D8" s="7">
        <v>23690</v>
      </c>
      <c r="E8" s="7">
        <v>25644</v>
      </c>
      <c r="F8" s="7">
        <v>23480</v>
      </c>
      <c r="G8" s="7">
        <v>26120</v>
      </c>
      <c r="I8" s="4">
        <f t="shared" si="0"/>
        <v>23484.799999999999</v>
      </c>
    </row>
    <row r="9" spans="1:12" ht="26.45" customHeight="1" x14ac:dyDescent="0.2">
      <c r="A9" s="2" t="s">
        <v>9</v>
      </c>
      <c r="B9" s="3">
        <v>200125</v>
      </c>
      <c r="C9" s="5">
        <v>7570</v>
      </c>
      <c r="D9" s="4">
        <v>8340</v>
      </c>
      <c r="E9" s="4">
        <v>8340</v>
      </c>
      <c r="F9" s="4">
        <v>9240</v>
      </c>
      <c r="G9" s="7">
        <v>11300</v>
      </c>
      <c r="I9" s="4">
        <f t="shared" si="0"/>
        <v>8958</v>
      </c>
    </row>
    <row r="10" spans="1:12" ht="26.45" customHeight="1" x14ac:dyDescent="0.2">
      <c r="A10" s="2" t="s">
        <v>10</v>
      </c>
      <c r="B10" s="3">
        <v>190805</v>
      </c>
      <c r="C10" s="5">
        <v>21660</v>
      </c>
      <c r="D10" s="4">
        <v>53120</v>
      </c>
      <c r="E10" s="4">
        <v>8680</v>
      </c>
      <c r="F10" s="4">
        <v>8800</v>
      </c>
      <c r="G10" s="7">
        <v>22240</v>
      </c>
      <c r="I10" s="4">
        <f t="shared" si="0"/>
        <v>22900</v>
      </c>
    </row>
    <row r="11" spans="1:12" ht="26.45" customHeight="1" x14ac:dyDescent="0.2">
      <c r="A11" s="8" t="s">
        <v>11</v>
      </c>
      <c r="B11" s="3">
        <v>200304</v>
      </c>
      <c r="C11" s="5">
        <v>81290</v>
      </c>
      <c r="D11" s="4">
        <v>47920</v>
      </c>
      <c r="E11" s="4">
        <v>17310</v>
      </c>
      <c r="F11" s="4">
        <v>0</v>
      </c>
      <c r="G11" s="7">
        <v>0</v>
      </c>
      <c r="I11" s="4">
        <f t="shared" si="0"/>
        <v>29304</v>
      </c>
    </row>
    <row r="12" spans="1:12" ht="26.45" customHeight="1" x14ac:dyDescent="0.2">
      <c r="A12" s="2" t="s">
        <v>12</v>
      </c>
      <c r="B12" s="3">
        <v>150101</v>
      </c>
      <c r="C12" s="5">
        <v>255470</v>
      </c>
      <c r="D12" s="4">
        <v>239400</v>
      </c>
      <c r="E12" s="4">
        <v>252140</v>
      </c>
      <c r="F12" s="4">
        <v>246200</v>
      </c>
      <c r="G12" s="7">
        <v>279320</v>
      </c>
      <c r="I12" s="4">
        <f t="shared" si="0"/>
        <v>254506</v>
      </c>
    </row>
    <row r="13" spans="1:12" ht="26.45" customHeight="1" x14ac:dyDescent="0.2">
      <c r="A13" s="2" t="s">
        <v>13</v>
      </c>
      <c r="B13" s="3">
        <v>150102</v>
      </c>
      <c r="C13" s="5">
        <v>28580</v>
      </c>
      <c r="D13" s="4">
        <v>30620</v>
      </c>
      <c r="E13" s="4">
        <v>50980</v>
      </c>
      <c r="F13" s="4">
        <v>32620</v>
      </c>
      <c r="G13" s="7">
        <v>33440</v>
      </c>
      <c r="I13" s="4">
        <f t="shared" si="0"/>
        <v>35248</v>
      </c>
    </row>
    <row r="14" spans="1:12" ht="26.45" customHeight="1" x14ac:dyDescent="0.2">
      <c r="A14" s="2" t="s">
        <v>14</v>
      </c>
      <c r="B14" s="3" t="s">
        <v>15</v>
      </c>
      <c r="C14" s="5">
        <v>123160</v>
      </c>
      <c r="D14" s="4">
        <v>94220</v>
      </c>
      <c r="E14" s="4">
        <v>125500</v>
      </c>
      <c r="F14" s="4">
        <v>106480</v>
      </c>
      <c r="G14" s="7">
        <v>133170</v>
      </c>
      <c r="I14" s="4">
        <f t="shared" si="0"/>
        <v>116506</v>
      </c>
    </row>
    <row r="15" spans="1:12" ht="26.45" customHeight="1" x14ac:dyDescent="0.2">
      <c r="A15" s="2" t="s">
        <v>16</v>
      </c>
      <c r="B15" s="3">
        <v>150106</v>
      </c>
      <c r="C15" s="4">
        <v>0</v>
      </c>
      <c r="D15" s="4">
        <v>0</v>
      </c>
      <c r="E15" s="4">
        <v>0</v>
      </c>
      <c r="F15" s="4">
        <v>0</v>
      </c>
      <c r="G15" s="7">
        <v>5380</v>
      </c>
      <c r="I15" s="4">
        <f t="shared" si="0"/>
        <v>1076</v>
      </c>
    </row>
    <row r="16" spans="1:12" ht="26.45" customHeight="1" x14ac:dyDescent="0.2">
      <c r="A16" s="2" t="s">
        <v>17</v>
      </c>
      <c r="B16" s="3">
        <v>150107</v>
      </c>
      <c r="C16" s="5">
        <v>6400</v>
      </c>
      <c r="D16" s="4">
        <v>10840</v>
      </c>
      <c r="E16" s="4">
        <v>11900</v>
      </c>
      <c r="F16" s="4">
        <v>9760</v>
      </c>
      <c r="G16" s="7">
        <v>10560</v>
      </c>
      <c r="I16" s="4">
        <f t="shared" si="0"/>
        <v>9892</v>
      </c>
    </row>
    <row r="17" spans="1:9" ht="26.45" customHeight="1" x14ac:dyDescent="0.2">
      <c r="A17" s="2" t="s">
        <v>18</v>
      </c>
      <c r="B17" s="3" t="s">
        <v>19</v>
      </c>
      <c r="C17" s="5">
        <v>29640</v>
      </c>
      <c r="D17" s="4">
        <v>30100</v>
      </c>
      <c r="E17" s="4">
        <v>24550</v>
      </c>
      <c r="F17" s="4">
        <v>29090</v>
      </c>
      <c r="G17" s="7">
        <v>24960</v>
      </c>
      <c r="I17" s="4">
        <f t="shared" si="0"/>
        <v>27668</v>
      </c>
    </row>
    <row r="18" spans="1:9" ht="26.45" customHeight="1" x14ac:dyDescent="0.2">
      <c r="A18" s="3" t="s">
        <v>20</v>
      </c>
      <c r="B18" s="3">
        <v>200201</v>
      </c>
      <c r="C18" s="5">
        <v>17380</v>
      </c>
      <c r="D18" s="4">
        <v>489000</v>
      </c>
      <c r="E18" s="4">
        <v>22060</v>
      </c>
      <c r="F18" s="4">
        <v>9920</v>
      </c>
      <c r="G18" s="7">
        <v>4040</v>
      </c>
      <c r="I18" s="4">
        <f t="shared" si="0"/>
        <v>108480</v>
      </c>
    </row>
    <row r="19" spans="1:9" ht="26.45" customHeight="1" x14ac:dyDescent="0.2">
      <c r="A19" s="3" t="s">
        <v>21</v>
      </c>
      <c r="B19" s="3">
        <v>200307</v>
      </c>
      <c r="C19" s="4">
        <v>131460</v>
      </c>
      <c r="D19" s="4">
        <v>69900</v>
      </c>
      <c r="E19" s="4">
        <v>4680</v>
      </c>
      <c r="F19" s="4">
        <v>5140</v>
      </c>
      <c r="G19" s="7">
        <v>6620</v>
      </c>
      <c r="I19" s="4">
        <f t="shared" si="0"/>
        <v>43560</v>
      </c>
    </row>
    <row r="20" spans="1:9" ht="27" customHeight="1" x14ac:dyDescent="0.2">
      <c r="A20" s="3" t="s">
        <v>22</v>
      </c>
      <c r="B20" s="3">
        <v>160214</v>
      </c>
      <c r="C20" s="4">
        <v>9520</v>
      </c>
      <c r="D20" s="4">
        <v>240000</v>
      </c>
      <c r="E20" s="4">
        <v>960</v>
      </c>
      <c r="F20" s="4">
        <v>1720</v>
      </c>
      <c r="G20" s="7">
        <v>1520</v>
      </c>
      <c r="I20" s="4">
        <f t="shared" si="0"/>
        <v>50744</v>
      </c>
    </row>
    <row r="21" spans="1:9" ht="24.75" customHeight="1" x14ac:dyDescent="0.2">
      <c r="A21" s="3" t="s">
        <v>23</v>
      </c>
      <c r="B21" s="3" t="s">
        <v>24</v>
      </c>
      <c r="C21" s="4">
        <v>1220</v>
      </c>
      <c r="D21" s="4">
        <v>0</v>
      </c>
      <c r="E21" s="4">
        <v>1680</v>
      </c>
      <c r="F21" s="4">
        <v>0</v>
      </c>
      <c r="G21" s="7">
        <v>6080</v>
      </c>
      <c r="I21" s="4">
        <f t="shared" si="0"/>
        <v>1796</v>
      </c>
    </row>
  </sheetData>
  <mergeCells count="3">
    <mergeCell ref="A3:I3"/>
    <mergeCell ref="A2:I2"/>
    <mergeCell ref="A1:I1"/>
  </mergeCells>
  <printOptions horizontalCentered="1"/>
  <pageMargins left="0.4" right="0.38" top="0.75" bottom="0.75" header="0.3" footer="0.3"/>
  <pageSetup scale="85" orientation="landscape" r:id="rId1"/>
  <headerFooter>
    <oddFooter>&amp;C&amp;"Times New Roman,Regular"&amp;10Page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B5A48783261F40A941FB0DE21D8405" ma:contentTypeVersion="4" ma:contentTypeDescription="Create a new document." ma:contentTypeScope="" ma:versionID="32226138d76b8695d3472ba4252aa9c7">
  <xsd:schema xmlns:xsd="http://www.w3.org/2001/XMLSchema" xmlns:xs="http://www.w3.org/2001/XMLSchema" xmlns:p="http://schemas.microsoft.com/office/2006/metadata/properties" xmlns:ns2="37b65082-bd75-48bb-93fb-73eb666f822a" targetNamespace="http://schemas.microsoft.com/office/2006/metadata/properties" ma:root="true" ma:fieldsID="921c38219af6c91e392733847a7b1e21" ns2:_="">
    <xsd:import namespace="37b65082-bd75-48bb-93fb-73eb666f82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b65082-bd75-48bb-93fb-73eb666f82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C2C505-8C7B-4D08-B27D-F289CE8F04FA}">
  <ds:schemaRefs>
    <ds:schemaRef ds:uri="37b65082-bd75-48bb-93fb-73eb666f822a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58B0947-835F-4D3B-B45F-2D41267D91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b65082-bd75-48bb-93fb-73eb666f82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A08F86-5A46-4135-B15C-67F096A91A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ISWM Historical Data</vt:lpstr>
      <vt:lpstr>'ISWM Historical Data'!Print_Area</vt:lpstr>
      <vt:lpstr>'ISWM Historical Data'!Print_Titles</vt:lpstr>
    </vt:vector>
  </TitlesOfParts>
  <Manager/>
  <Company>NMCI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Bellinger, Emma C CIV NAVFAC LANT, PW</dc:creator>
  <cp:keywords/>
  <dc:description/>
  <cp:lastModifiedBy>Alessandra.Contar.IT</cp:lastModifiedBy>
  <cp:revision/>
  <dcterms:created xsi:type="dcterms:W3CDTF">2017-09-21T12:44:06Z</dcterms:created>
  <dcterms:modified xsi:type="dcterms:W3CDTF">2025-07-30T09:03:11Z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0x01010072B5A48783261F40A941FB0DE21D8405</vt:lpwstr>
  </property>
</Properties>
</file>