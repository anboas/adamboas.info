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MSC_N104D/Shared Documents/Contract_Files/FY26/P_PO/26Q0031_JS_KAISER_Fairlead_Roller/B_SOL/B5_SOL/"/>
    </mc:Choice>
  </mc:AlternateContent>
  <xr:revisionPtr revIDLastSave="97" documentId="8_{ABAC46F7-ED50-4867-8FD7-495DE6EAF04E}" xr6:coauthVersionLast="47" xr6:coauthVersionMax="47" xr10:uidLastSave="{FF5D70DC-7ABD-4550-A507-DA08069D2525}"/>
  <bookViews>
    <workbookView xWindow="28680" yWindow="90" windowWidth="29040" windowHeight="15510" xr2:uid="{759BD421-A429-4B26-AA05-EB975247535D}"/>
  </bookViews>
  <sheets>
    <sheet name="Clauses and Provi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A46" i="1"/>
</calcChain>
</file>

<file path=xl/sharedStrings.xml><?xml version="1.0" encoding="utf-8"?>
<sst xmlns="http://schemas.openxmlformats.org/spreadsheetml/2006/main" count="90" uniqueCount="90">
  <si>
    <t>MSC SPECIFIC WAWF</t>
  </si>
  <si>
    <t>MSC SHIP TO</t>
  </si>
  <si>
    <t>MSC Norfolk</t>
  </si>
  <si>
    <t>252.203-7000</t>
  </si>
  <si>
    <t>252.203-7002</t>
  </si>
  <si>
    <t>252.204-7003</t>
  </si>
  <si>
    <t>252.204-7008</t>
  </si>
  <si>
    <t>252.204-7012</t>
  </si>
  <si>
    <t>252.204-7017</t>
  </si>
  <si>
    <t>252.211-7003</t>
  </si>
  <si>
    <t>252.211-7008</t>
  </si>
  <si>
    <t>252.223-7008</t>
  </si>
  <si>
    <t>252.225-7048</t>
  </si>
  <si>
    <t>252.232-7003</t>
  </si>
  <si>
    <t>252.232-7006</t>
  </si>
  <si>
    <t>252.232-7010</t>
  </si>
  <si>
    <t>252.247-7023</t>
  </si>
  <si>
    <t>52.203-18</t>
  </si>
  <si>
    <t>52.204-13</t>
  </si>
  <si>
    <t>52.204-16</t>
  </si>
  <si>
    <t>52.204-18</t>
  </si>
  <si>
    <t>52.204-24</t>
  </si>
  <si>
    <t>52.204-7</t>
  </si>
  <si>
    <t>52.222-19</t>
  </si>
  <si>
    <t>52.225-18</t>
  </si>
  <si>
    <t>52.243-1</t>
  </si>
  <si>
    <t>52.246-1</t>
  </si>
  <si>
    <t>52.252-5</t>
  </si>
  <si>
    <t>52.252-6</t>
  </si>
  <si>
    <t>Definitions</t>
  </si>
  <si>
    <t>Material Requirements</t>
  </si>
  <si>
    <t>Order of Precedence – Uniform Contract Format</t>
  </si>
  <si>
    <t>Contractor Inspection Requirements</t>
  </si>
  <si>
    <t>Default (Fixed-Price Supply/Service)</t>
  </si>
  <si>
    <t>Buy American and Balance of Payments</t>
  </si>
  <si>
    <t>Pricing of Contract Modifications</t>
  </si>
  <si>
    <t>MSC SPECIFIC WAWF Instructions (Aug 2012)</t>
  </si>
  <si>
    <t>MSC DELIVERY INSTRUCTIONS</t>
  </si>
  <si>
    <t>WOOD PACKAGING MATERIAL-Additional Inst (May 2010)</t>
  </si>
  <si>
    <t>Requirements Relating to Compensation of Former DOD Officials</t>
  </si>
  <si>
    <t xml:space="preserve">Requirement to Inform Employees of Whistleblower Rights </t>
  </si>
  <si>
    <t xml:space="preserve">Control of Government Personnel Work Product </t>
  </si>
  <si>
    <t>Compliance with Safeguarding Covered Defense Information Controls</t>
  </si>
  <si>
    <t>Safeguarding Covered Defense Information and Cyber Incident Reporting</t>
  </si>
  <si>
    <t xml:space="preserve">Prohibition on the Acquisition of Covered Defense Telecommunications Equipment or Services—Representation </t>
  </si>
  <si>
    <t>Item Unique Identification and Valuation</t>
  </si>
  <si>
    <t>Use of Government-Assigned Serial Numbers</t>
  </si>
  <si>
    <t xml:space="preserve">Prohibition of Hexavalent Chromium </t>
  </si>
  <si>
    <t xml:space="preserve">Export Controlled Items </t>
  </si>
  <si>
    <t xml:space="preserve">Electronic Submission of Payment Requests and Receiving Reports </t>
  </si>
  <si>
    <t xml:space="preserve">WIDE AREA WORKFLOW PAYMENT INSTRUCTIONS </t>
  </si>
  <si>
    <t xml:space="preserve">LEVIES ON CONTRACT PAYMENTS </t>
  </si>
  <si>
    <t>Transportation of Supplies by Sea--Basic</t>
  </si>
  <si>
    <t>Prohibition on Contracting with Entities that Require Certain Internal Confidentiality Agreements or Statements-Representation</t>
  </si>
  <si>
    <t xml:space="preserve">System for Award Management Maintenance </t>
  </si>
  <si>
    <t>Commercial and Government Entity Code Reporting</t>
  </si>
  <si>
    <t>Commercial and Government Entity Code Maintenance</t>
  </si>
  <si>
    <t>Representation Regarding Certain Telecommunications and Video Surveillance Services or Equipment</t>
  </si>
  <si>
    <t>System for Award Management</t>
  </si>
  <si>
    <t xml:space="preserve">Place of Manufacture </t>
  </si>
  <si>
    <t>Changes—Fixed-Price (AUG 1987)</t>
  </si>
  <si>
    <t xml:space="preserve">Authorized Deviations In Provisions </t>
  </si>
  <si>
    <t xml:space="preserve">Authorized Deviations in Clauses </t>
  </si>
  <si>
    <t>Clause Number</t>
  </si>
  <si>
    <t>Clause Title</t>
  </si>
  <si>
    <t>52.249-8</t>
  </si>
  <si>
    <t>52.215-8</t>
  </si>
  <si>
    <t>52.211-5</t>
  </si>
  <si>
    <t>52.202-1</t>
  </si>
  <si>
    <t>252.243-7001</t>
  </si>
  <si>
    <t>252.225-7001</t>
  </si>
  <si>
    <t>52.204-8</t>
  </si>
  <si>
    <t>Annual Representations and Certifications</t>
  </si>
  <si>
    <t>52.204-19</t>
  </si>
  <si>
    <t>52.204-29</t>
  </si>
  <si>
    <t>52.225-25</t>
  </si>
  <si>
    <t>52.226-8</t>
  </si>
  <si>
    <t>52.240-1</t>
  </si>
  <si>
    <t>Incorporation by Reference of Representations and Certifications.</t>
  </si>
  <si>
    <t>Federal Acquisition Supply Chain Security Act Ordersâ€”Representation and Disclosures.</t>
  </si>
  <si>
    <t>Prohibition on Contracting With Entities Engaging in Certain Activities or Transactions Relating to Iranâ€”Representation and Certifications.</t>
  </si>
  <si>
    <t>Encouraging Contractor Policies to Ban Text Messaging While Driving.</t>
  </si>
  <si>
    <t>Prohibition on Unmanned Aircraft Systems Manufactured or Assembled by American Security Drone Act-Covered Foreign Entities.</t>
  </si>
  <si>
    <t>52.252-2</t>
  </si>
  <si>
    <t>Clauses Incorporated by Reference</t>
  </si>
  <si>
    <t>52.209-10</t>
  </si>
  <si>
    <t>Prohibition on Contracting with Inverted Domestic Corporations</t>
  </si>
  <si>
    <t>52.213-4</t>
  </si>
  <si>
    <t>Terms and Conditions—Simplified Acquisitions (Other Than Commercial Products and Commercial Services).</t>
  </si>
  <si>
    <t xml:space="preserve">Child Labor – Cooperation with Authorities and Remedies (JAN 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</si>
</sst>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Aptos"/>
      <family val="2"/>
    </font>
    <font>
      <sz val="11"/>
      <color theme="0"/>
      <name val="Apto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FAEE00B5-D283-4E98-96DE-C1A966884081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useIndex" displayName="ClauseIndex" ref="A1:B46" totalsRowCount="1" headerRowDxfId="10" dataDxfId="9" totalsRowDxfId="8">
  <autoFilter ref="A1:B45" xr:uid="{00000000-000C-0000-FFFF-FFFF00000000}"/>
  <sortState xmlns:xlrd2="http://schemas.microsoft.com/office/spreadsheetml/2017/richdata2" ref="A2:B45">
    <sortCondition sortBy="cellColor" ref="A1:A45" dxfId="6"/>
  </sortState>
  <tableColumns count="2">
    <tableColumn id="1" xr3:uid="{00000000-0010-0000-0000-000001000000}" name="Clause Number" totalsRowFunction="count" dataDxfId="1" totalsRowDxfId="0"/>
    <tableColumn id="2" xr3:uid="{00000000-0010-0000-0000-000002000000}" name="Clause Title" totalsRowFunction="count" dataDxfId="2" totalsRow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46"/>
  <sheetViews>
    <sheetView tabSelected="1" zoomScaleNormal="100" workbookViewId="0">
      <selection activeCell="A2" sqref="A2"/>
    </sheetView>
  </sheetViews>
  <sheetFormatPr defaultColWidth="8.85546875" defaultRowHeight="14.25"/>
  <cols>
    <col min="1" max="1" width="21.85546875" style="5" bestFit="1" customWidth="1"/>
    <col min="2" max="2" width="30.7109375" style="2" customWidth="1"/>
    <col min="3" max="16384" width="8.85546875" style="2"/>
  </cols>
  <sheetData>
    <row r="1" spans="1:2" s="3" customFormat="1" ht="15">
      <c r="A1" s="4" t="s">
        <v>63</v>
      </c>
      <c r="B1" s="3" t="s">
        <v>64</v>
      </c>
    </row>
    <row r="2" spans="1:2" ht="28.5">
      <c r="A2" s="5" t="s">
        <v>0</v>
      </c>
      <c r="B2" s="2" t="s">
        <v>36</v>
      </c>
    </row>
    <row r="3" spans="1:2" ht="28.5">
      <c r="A3" s="5" t="s">
        <v>1</v>
      </c>
      <c r="B3" s="2" t="s">
        <v>37</v>
      </c>
    </row>
    <row r="4" spans="1:2" ht="42.75">
      <c r="A4" s="5" t="s">
        <v>2</v>
      </c>
      <c r="B4" s="2" t="s">
        <v>38</v>
      </c>
    </row>
    <row r="5" spans="1:2" ht="28.5">
      <c r="A5" s="5" t="s">
        <v>28</v>
      </c>
      <c r="B5" s="2" t="s">
        <v>62</v>
      </c>
    </row>
    <row r="6" spans="1:2" ht="28.5">
      <c r="A6" s="5" t="s">
        <v>27</v>
      </c>
      <c r="B6" s="2" t="s">
        <v>61</v>
      </c>
    </row>
    <row r="7" spans="1:2" ht="28.5">
      <c r="A7" s="6" t="s">
        <v>83</v>
      </c>
      <c r="B7" s="2" t="s">
        <v>84</v>
      </c>
    </row>
    <row r="8" spans="1:2" ht="28.5">
      <c r="A8" s="5" t="s">
        <v>65</v>
      </c>
      <c r="B8" s="2" t="s">
        <v>33</v>
      </c>
    </row>
    <row r="9" spans="1:2" ht="28.5">
      <c r="A9" s="5" t="s">
        <v>26</v>
      </c>
      <c r="B9" s="2" t="s">
        <v>32</v>
      </c>
    </row>
    <row r="10" spans="1:2" ht="28.5">
      <c r="A10" s="5" t="s">
        <v>25</v>
      </c>
      <c r="B10" s="2" t="s">
        <v>60</v>
      </c>
    </row>
    <row r="11" spans="1:2" ht="71.25">
      <c r="A11" s="5" t="s">
        <v>77</v>
      </c>
      <c r="B11" s="2" t="s">
        <v>82</v>
      </c>
    </row>
    <row r="12" spans="1:2" ht="42.75">
      <c r="A12" s="5" t="s">
        <v>76</v>
      </c>
      <c r="B12" s="2" t="s">
        <v>81</v>
      </c>
    </row>
    <row r="13" spans="1:2" ht="85.5">
      <c r="A13" s="5" t="s">
        <v>75</v>
      </c>
      <c r="B13" s="2" t="s">
        <v>80</v>
      </c>
    </row>
    <row r="14" spans="1:2">
      <c r="A14" s="5" t="s">
        <v>24</v>
      </c>
      <c r="B14" s="2" t="s">
        <v>59</v>
      </c>
    </row>
    <row r="15" spans="1:2" ht="42.75">
      <c r="A15" s="5" t="s">
        <v>23</v>
      </c>
      <c r="B15" s="2" t="s">
        <v>89</v>
      </c>
    </row>
    <row r="16" spans="1:2" ht="28.5">
      <c r="A16" s="5" t="s">
        <v>66</v>
      </c>
      <c r="B16" s="2" t="s">
        <v>31</v>
      </c>
    </row>
    <row r="17" spans="1:2" ht="71.25">
      <c r="A17" s="5" t="s">
        <v>87</v>
      </c>
      <c r="B17" s="2" t="s">
        <v>88</v>
      </c>
    </row>
    <row r="18" spans="1:2">
      <c r="A18" s="5" t="s">
        <v>67</v>
      </c>
      <c r="B18" s="2" t="s">
        <v>30</v>
      </c>
    </row>
    <row r="19" spans="1:2" ht="42.75">
      <c r="A19" s="5" t="s">
        <v>85</v>
      </c>
      <c r="B19" s="2" t="s">
        <v>86</v>
      </c>
    </row>
    <row r="20" spans="1:2" ht="28.5">
      <c r="A20" s="5" t="s">
        <v>71</v>
      </c>
      <c r="B20" s="2" t="s">
        <v>72</v>
      </c>
    </row>
    <row r="21" spans="1:2" ht="28.5">
      <c r="A21" s="5" t="s">
        <v>22</v>
      </c>
      <c r="B21" s="2" t="s">
        <v>58</v>
      </c>
    </row>
    <row r="22" spans="1:2" ht="57">
      <c r="A22" s="5" t="s">
        <v>74</v>
      </c>
      <c r="B22" s="2" t="s">
        <v>79</v>
      </c>
    </row>
    <row r="23" spans="1:2" ht="57">
      <c r="A23" s="5" t="s">
        <v>21</v>
      </c>
      <c r="B23" s="2" t="s">
        <v>57</v>
      </c>
    </row>
    <row r="24" spans="1:2" ht="42.75">
      <c r="A24" s="5" t="s">
        <v>73</v>
      </c>
      <c r="B24" s="2" t="s">
        <v>78</v>
      </c>
    </row>
    <row r="25" spans="1:2" ht="28.5">
      <c r="A25" s="5" t="s">
        <v>20</v>
      </c>
      <c r="B25" s="2" t="s">
        <v>56</v>
      </c>
    </row>
    <row r="26" spans="1:2" ht="28.5">
      <c r="A26" s="5" t="s">
        <v>19</v>
      </c>
      <c r="B26" s="2" t="s">
        <v>55</v>
      </c>
    </row>
    <row r="27" spans="1:2" ht="28.5">
      <c r="A27" s="5" t="s">
        <v>18</v>
      </c>
      <c r="B27" s="2" t="s">
        <v>54</v>
      </c>
    </row>
    <row r="28" spans="1:2" ht="71.25">
      <c r="A28" s="5" t="s">
        <v>17</v>
      </c>
      <c r="B28" s="2" t="s">
        <v>53</v>
      </c>
    </row>
    <row r="29" spans="1:2">
      <c r="A29" s="5" t="s">
        <v>68</v>
      </c>
      <c r="B29" s="2" t="s">
        <v>29</v>
      </c>
    </row>
    <row r="30" spans="1:2" ht="28.5">
      <c r="A30" s="5" t="s">
        <v>16</v>
      </c>
      <c r="B30" s="2" t="s">
        <v>52</v>
      </c>
    </row>
    <row r="31" spans="1:2" ht="28.5">
      <c r="A31" s="5" t="s">
        <v>69</v>
      </c>
      <c r="B31" s="2" t="s">
        <v>35</v>
      </c>
    </row>
    <row r="32" spans="1:2" ht="28.5">
      <c r="A32" s="5" t="s">
        <v>15</v>
      </c>
      <c r="B32" s="2" t="s">
        <v>51</v>
      </c>
    </row>
    <row r="33" spans="1:2" ht="28.5">
      <c r="A33" s="5" t="s">
        <v>14</v>
      </c>
      <c r="B33" s="2" t="s">
        <v>50</v>
      </c>
    </row>
    <row r="34" spans="1:2" ht="42.75">
      <c r="A34" s="5" t="s">
        <v>13</v>
      </c>
      <c r="B34" s="2" t="s">
        <v>49</v>
      </c>
    </row>
    <row r="35" spans="1:2">
      <c r="A35" s="5" t="s">
        <v>12</v>
      </c>
      <c r="B35" s="2" t="s">
        <v>48</v>
      </c>
    </row>
    <row r="36" spans="1:2" ht="28.5">
      <c r="A36" s="5" t="s">
        <v>70</v>
      </c>
      <c r="B36" s="2" t="s">
        <v>34</v>
      </c>
    </row>
    <row r="37" spans="1:2" ht="28.5">
      <c r="A37" s="5" t="s">
        <v>11</v>
      </c>
      <c r="B37" s="2" t="s">
        <v>47</v>
      </c>
    </row>
    <row r="38" spans="1:2" ht="28.5">
      <c r="A38" s="5" t="s">
        <v>10</v>
      </c>
      <c r="B38" s="2" t="s">
        <v>46</v>
      </c>
    </row>
    <row r="39" spans="1:2" ht="28.5">
      <c r="A39" s="5" t="s">
        <v>9</v>
      </c>
      <c r="B39" s="2" t="s">
        <v>45</v>
      </c>
    </row>
    <row r="40" spans="1:2" ht="71.25">
      <c r="A40" s="5" t="s">
        <v>8</v>
      </c>
      <c r="B40" s="2" t="s">
        <v>44</v>
      </c>
    </row>
    <row r="41" spans="1:2" ht="42.75">
      <c r="A41" s="5" t="s">
        <v>7</v>
      </c>
      <c r="B41" s="2" t="s">
        <v>43</v>
      </c>
    </row>
    <row r="42" spans="1:2" ht="42.75">
      <c r="A42" s="5" t="s">
        <v>6</v>
      </c>
      <c r="B42" s="2" t="s">
        <v>42</v>
      </c>
    </row>
    <row r="43" spans="1:2" ht="28.5">
      <c r="A43" s="5" t="s">
        <v>5</v>
      </c>
      <c r="B43" s="2" t="s">
        <v>41</v>
      </c>
    </row>
    <row r="44" spans="1:2" ht="42.75">
      <c r="A44" s="5" t="s">
        <v>4</v>
      </c>
      <c r="B44" s="2" t="s">
        <v>40</v>
      </c>
    </row>
    <row r="45" spans="1:2" ht="42.75">
      <c r="A45" s="5" t="s">
        <v>3</v>
      </c>
      <c r="B45" s="2" t="s">
        <v>39</v>
      </c>
    </row>
    <row r="46" spans="1:2" ht="15">
      <c r="A46" s="7">
        <f>SUBTOTAL(103,ClauseIndex[Clause Number])</f>
        <v>44</v>
      </c>
      <c r="B46" s="1">
        <f>SUBTOTAL(103,ClauseIndex[Clause Title])</f>
        <v>44</v>
      </c>
    </row>
  </sheetData>
  <pageMargins left="0.7" right="0.7" top="0.75" bottom="0.75" header="0.3" footer="0.3"/>
  <pageSetup scale="35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05751A91772439B162B424D94F8B7" ma:contentTypeVersion="14" ma:contentTypeDescription="Create a new document." ma:contentTypeScope="" ma:versionID="9e015239f07c308b4fb2ca624ae53d7c">
  <xsd:schema xmlns:xsd="http://www.w3.org/2001/XMLSchema" xmlns:xs="http://www.w3.org/2001/XMLSchema" xmlns:p="http://schemas.microsoft.com/office/2006/metadata/properties" xmlns:ns1="http://schemas.microsoft.com/sharepoint/v3" xmlns:ns2="de32fc5a-007f-497f-813c-4d271f5ebb61" xmlns:ns3="ec57a883-29ce-4fb3-9948-9bcc92c2963f" targetNamespace="http://schemas.microsoft.com/office/2006/metadata/properties" ma:root="true" ma:fieldsID="648ce283adb247dd4c96e1bdeda85c00" ns1:_="" ns2:_="" ns3:_="">
    <xsd:import namespace="http://schemas.microsoft.com/sharepoint/v3"/>
    <xsd:import namespace="de32fc5a-007f-497f-813c-4d271f5ebb61"/>
    <xsd:import namespace="ec57a883-29ce-4fb3-9948-9bcc92c29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2fc5a-007f-497f-813c-4d271f5eb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7a883-29ce-4fb3-9948-9bcc92c296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7a3b53-912e-47b1-ac91-2f17229fd9d9}" ma:internalName="TaxCatchAll" ma:showField="CatchAllData" ma:web="ec57a883-29ce-4fb3-9948-9bcc92c29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7a883-29ce-4fb3-9948-9bcc92c2963f" xsi:nil="true"/>
    <lcf76f155ced4ddcb4097134ff3c332f xmlns="de32fc5a-007f-497f-813c-4d271f5ebb6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958CA5-74E2-4965-BA0D-52E5EE1C2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32fc5a-007f-497f-813c-4d271f5ebb61"/>
    <ds:schemaRef ds:uri="ec57a883-29ce-4fb3-9948-9bcc92c29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1EB15E-3056-48D1-A547-BC4D686ADC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43FED8-DB26-4DBE-A94E-3B8F842BC09C}">
  <ds:schemaRefs>
    <ds:schemaRef ds:uri="http://schemas.microsoft.com/office/2006/metadata/properties"/>
    <ds:schemaRef ds:uri="http://schemas.microsoft.com/office/infopath/2007/PartnerControls"/>
    <ds:schemaRef ds:uri="ec57a883-29ce-4fb3-9948-9bcc92c2963f"/>
    <ds:schemaRef ds:uri="de32fc5a-007f-497f-813c-4d271f5ebb61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Clauses and Provisions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Soto, Jorge A CIV (USA)</dc:creator>
  <cp:lastModifiedBy>Soto, Jorge A CIV (USA)</cp:lastModifiedBy>
  <cp:lastPrinted>2025-04-02T00:14:22Z</cp:lastPrinted>
  <dcterms:created xsi:type="dcterms:W3CDTF">2025-04-01T23:22:56Z</dcterms:created>
  <dcterms:modified xsi:type="dcterms:W3CDTF">2026-05-07T20:58:10Z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0x0101000D105751A91772439B162B424D94F8B7</vt:lpwstr>
  </property>
  <property fmtid="{D5CDD505-2E9C-101B-9397-08002B2CF9AE}" pid="3" name="Order">
    <vt:r8>23980000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