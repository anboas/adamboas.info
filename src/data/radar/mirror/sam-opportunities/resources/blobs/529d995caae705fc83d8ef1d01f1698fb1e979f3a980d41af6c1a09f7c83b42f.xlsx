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ristopher_d_brake5_civ_us_navy_mil/Documents/Desktop/WL 05-30-25/H-53/N68335-26-RFPREQ-APM261-0171/"/>
    </mc:Choice>
  </mc:AlternateContent>
  <xr:revisionPtr revIDLastSave="234" documentId="8_{6FEB5C73-3DC3-40C0-A036-8CB77FD2372D}" xr6:coauthVersionLast="47" xr6:coauthVersionMax="47" xr10:uidLastSave="{26C67B8C-87EC-426A-BD79-FC3E14C9E4D5}"/>
  <bookViews>
    <workbookView xWindow="-28920" yWindow="-105" windowWidth="29040" windowHeight="15720" activeTab="2" xr2:uid="{00000000-000D-0000-FFFF-FFFF00000000}"/>
  </bookViews>
  <sheets>
    <sheet name="Instructions-" sheetId="4" r:id="rId1"/>
    <sheet name="1. Company Info" sheetId="2" r:id="rId2"/>
    <sheet name="2. Pricing - Offeror Complete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4" l="1"/>
  <c r="H59" i="1"/>
  <c r="H62" i="4"/>
  <c r="H63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31" i="1"/>
  <c r="H30" i="1"/>
  <c r="H29" i="1"/>
  <c r="H28" i="1"/>
  <c r="H27" i="1"/>
  <c r="H26" i="1"/>
  <c r="H5" i="1"/>
  <c r="H4" i="1"/>
  <c r="H3" i="1"/>
  <c r="H2" i="1"/>
</calcChain>
</file>

<file path=xl/sharedStrings.xml><?xml version="1.0" encoding="utf-8"?>
<sst xmlns="http://schemas.openxmlformats.org/spreadsheetml/2006/main" count="539" uniqueCount="128">
  <si>
    <r>
      <rPr>
        <b/>
        <sz val="16"/>
        <color theme="1"/>
        <rFont val="Calibri"/>
        <family val="2"/>
        <scheme val="minor"/>
      </rPr>
      <t>1. COMPANY INFORMATION TAB: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Offerors shall complete all the green colored cells on the Company Information Tab</t>
    </r>
  </si>
  <si>
    <t>Figure 1:</t>
  </si>
  <si>
    <t>Figure 2:</t>
  </si>
  <si>
    <t>See Table Below</t>
  </si>
  <si>
    <t>CLIN Number</t>
  </si>
  <si>
    <t>ITEM</t>
  </si>
  <si>
    <t>PART NO</t>
  </si>
  <si>
    <t>OPTION</t>
  </si>
  <si>
    <t xml:space="preserve">QUANTITY </t>
  </si>
  <si>
    <t>UNIT PRICE</t>
  </si>
  <si>
    <t>AMOUNT</t>
  </si>
  <si>
    <t>TOTAL EVALUATED PRICE</t>
  </si>
  <si>
    <t>0001</t>
  </si>
  <si>
    <t>DOMESTIC</t>
  </si>
  <si>
    <t>0002</t>
  </si>
  <si>
    <t>FMS ISRAEL</t>
  </si>
  <si>
    <t>0003</t>
  </si>
  <si>
    <t>YES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</si>
  <si>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</si>
  <si>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</si>
  <si>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</si>
  <si>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</si>
  <si>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</si>
  <si>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</si>
  <si>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</si>
  <si>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</si>
  <si>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</si>
  <si>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</si>
  <si>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</si>
  <si>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</si>
  <si>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</si>
  <si>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</si>
  <si>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</si>
  <si>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</si>
  <si>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</si>
  <si>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</si>
  <si>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</si>
  <si>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</si>
  <si>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</si>
  <si>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</si>
  <si>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</si>
  <si>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</si>
  <si>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</si>
  <si>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</si>
  <si>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</si>
  <si>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</si>
  <si>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</si>
  <si>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</si>
  <si>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</si>
  <si>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</si>
  <si>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</si>
  <si>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</si>
  <si>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</si>
  <si>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</si>
  <si>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</si>
  <si>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</si>
  <si>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</si>
  <si>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</si>
  <si>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</si>
  <si>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</si>
  <si>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</si>
  <si>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</si>
  <si>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</si>
  <si>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</si>
  <si>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</si>
  <si>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</si>
  <si>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</si>
  <si>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</si>
  <si>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</si>
  <si>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</si>
  <si>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</si>
  <si>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</si>
  <si>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Offeror Company Information</t>
  </si>
  <si>
    <t>Offeror Name:</t>
  </si>
  <si>
    <t>Offeror Street Address:</t>
  </si>
  <si>
    <t>Offeror City:</t>
  </si>
  <si>
    <t>Offeror State:</t>
  </si>
  <si>
    <t>Offeror Zip Code:</t>
  </si>
  <si>
    <t>Offeror Primary Contact Name:</t>
  </si>
  <si>
    <t>Offeror Primary Contact Email:</t>
  </si>
  <si>
    <t>Offeror Primary Contact Phone Number:</t>
  </si>
  <si>
    <t>Offeror DUNS:</t>
  </si>
  <si>
    <t>Offeror CAGE Code:</t>
  </si>
  <si>
    <t>Offeror Secondary Contact Name:</t>
  </si>
  <si>
    <t>Offeror Secondary Contact Email:</t>
  </si>
  <si>
    <t>Offeror Secondary Contact Phone Number:</t>
  </si>
  <si>
    <t>CDRL FOR ALL DOMESTIC BASE CLINS</t>
  </si>
  <si>
    <t>CDRL FOR ALL FMS BASE CLINS</t>
  </si>
  <si>
    <t>CDRL FOR ALL DOMESTIC OPTION CLINS</t>
  </si>
  <si>
    <t>N/A</t>
  </si>
  <si>
    <t>NSP</t>
  </si>
  <si>
    <t>FOLD ANGLE LOCATOR, #1 BLADE</t>
  </si>
  <si>
    <t>4158AS0965-1</t>
  </si>
  <si>
    <t>4158AS0190-1</t>
  </si>
  <si>
    <t>WRENCH ADAPTER, OFFSET, MAIN ROTOR SLEEVE TO PILOT BOLTS</t>
  </si>
  <si>
    <t>4158AS0191-1</t>
  </si>
  <si>
    <t>WRENCH ADAPTER, ROTATING SCISSORS</t>
  </si>
  <si>
    <t>4158AS0196-1</t>
  </si>
  <si>
    <t>WRENCH, RECEIVER ASSEMBLY, MAIN ROTOR BLADE</t>
  </si>
  <si>
    <t>WRENCH, UNDERWATER LOCATOR BEACON BATTERY</t>
  </si>
  <si>
    <t>4158AS0113-1</t>
  </si>
  <si>
    <t>ALIGNMENT SET, MAIN GEARBOX</t>
  </si>
  <si>
    <t>4158AS0351-1</t>
  </si>
  <si>
    <t>ALIGNMENT SET, MAIN ROTOR HEAD</t>
  </si>
  <si>
    <t>4158AS0198-1</t>
  </si>
  <si>
    <t>Assy, Axle Pin, Aircraft Lifting, CH-53K</t>
  </si>
  <si>
    <t>1366AS1221-1</t>
  </si>
  <si>
    <t>INSTALLATION SET, Z-BRACKET, FUEL CELL</t>
  </si>
  <si>
    <t>4158AS0207-1</t>
  </si>
  <si>
    <t>INSTALLATION/REMOVAL SET, SEAL, ACC MODULE, MAIN GEARBOX</t>
  </si>
  <si>
    <t>4158AS1055-1</t>
  </si>
  <si>
    <t>INSTALLATION/REMOVAL SET, SEAL, INTERMEDIATE GEARBOX</t>
  </si>
  <si>
    <t>4158AS0955-1</t>
  </si>
  <si>
    <t>INSTALLATION/REMOVAL SET, SEAL, MAIN GEARBOX</t>
  </si>
  <si>
    <t>4158AS0370-1</t>
  </si>
  <si>
    <t>INSTALLATION/REMOVAL SET, SEAL, NOSE GEARBOX</t>
  </si>
  <si>
    <t>4158AS0970-1</t>
  </si>
  <si>
    <t>INSTALLATION/REMOVAL SET, SEAL, TAIL GEARBOX</t>
  </si>
  <si>
    <t>4158AS0900-1</t>
  </si>
  <si>
    <t>MAT, INSTALLATION, FUEL CELL</t>
  </si>
  <si>
    <t>4158AS0194-1</t>
  </si>
  <si>
    <t>LIFT TOOL DROOP STOP, MAIN ROTOR BLADE</t>
  </si>
  <si>
    <t>4158AS1445-1</t>
  </si>
  <si>
    <t>Adapter, IGB</t>
  </si>
  <si>
    <t>4158AS1520-1</t>
  </si>
  <si>
    <t>Adapter, TGB</t>
  </si>
  <si>
    <t>4158AS1525-1</t>
  </si>
  <si>
    <r>
      <rPr>
        <b/>
        <sz val="16"/>
        <rFont val="Calibri"/>
        <family val="2"/>
        <scheme val="minor"/>
      </rPr>
      <t>2. PRICING  TAB</t>
    </r>
    <r>
      <rPr>
        <sz val="16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>Offerors shall propose Fixed-Price unit prices in the green colored cells in column D for each Contract Line Item as applicable.  All cells that are filled in with the color as that of Figure 1 below shall have a unit priced inserted. All Firm-Fixed-Price unit prices proposed in the Pricing tab, if awarded, shall be the contractual amounts. The amount in cell H64 of Figure 2 (H56 of the Pricing tab) is derived from the sum of the blue cells above them for each respective CLIN. Figure 2 below provides an example of what a populated pricing tab shall look like.*DO NOT PRICE CDRLs; CDRLs are NOT SEPERATELY PRICED (NSP)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</si>
</sst>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000"/>
    <numFmt numFmtId="165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mbri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0" fontId="1" fillId="4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4" borderId="0" xfId="0" applyFont="1" applyFill="1" applyAlignment="1" applyProtection="1">
      <alignment horizontal="lef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Protection="1">
      <protection locked="0"/>
    </xf>
    <xf numFmtId="165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10" fillId="2" borderId="1" xfId="0" applyFont="1" applyFill="1" applyBorder="1"/>
    <xf numFmtId="0" fontId="9" fillId="2" borderId="1" xfId="0" applyFont="1" applyFill="1" applyBorder="1"/>
    <xf numFmtId="0" fontId="8" fillId="0" borderId="1" xfId="0" applyFont="1" applyBorder="1"/>
    <xf numFmtId="0" fontId="8" fillId="5" borderId="1" xfId="0" applyFont="1" applyFill="1" applyBorder="1" applyAlignment="1" applyProtection="1">
      <alignment horizontal="left"/>
      <protection locked="0"/>
    </xf>
    <xf numFmtId="8" fontId="0" fillId="5" borderId="0" xfId="0" applyNumberFormat="1" applyFill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1" fillId="5" borderId="1" xfId="0" applyNumberFormat="1" applyFont="1" applyFill="1" applyBorder="1" applyAlignment="1" applyProtection="1">
      <alignment vertical="center"/>
      <protection locked="0"/>
    </xf>
    <xf numFmtId="165" fontId="1" fillId="6" borderId="1" xfId="0" applyNumberFormat="1" applyFont="1" applyFill="1" applyBorder="1" applyAlignment="1">
      <alignment vertical="center"/>
    </xf>
    <xf numFmtId="164" fontId="4" fillId="4" borderId="0" xfId="0" applyNumberFormat="1" applyFont="1" applyFill="1" applyAlignment="1" applyProtection="1">
      <alignment vertical="center" wrapText="1"/>
      <protection locked="0" hidden="1"/>
    </xf>
    <xf numFmtId="0" fontId="0" fillId="0" borderId="0" xfId="0" applyProtection="1">
      <protection locked="0"/>
    </xf>
    <xf numFmtId="0" fontId="0" fillId="0" borderId="1" xfId="0" applyBorder="1"/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164" fontId="12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64" fontId="12" fillId="3" borderId="4" xfId="0" applyNumberFormat="1" applyFont="1" applyFill="1" applyBorder="1" applyAlignment="1" applyProtection="1">
      <alignment horizontal="center" vertical="center" wrapText="1"/>
      <protection locked="0" hidden="1"/>
    </xf>
    <xf numFmtId="0" fontId="14" fillId="0" borderId="1" xfId="0" applyFont="1" applyBorder="1" applyAlignment="1">
      <alignment vertical="center"/>
    </xf>
    <xf numFmtId="0" fontId="6" fillId="4" borderId="1" xfId="0" applyFont="1" applyFill="1" applyBorder="1"/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5" fontId="8" fillId="6" borderId="1" xfId="0" applyNumberFormat="1" applyFont="1" applyFill="1" applyBorder="1" applyAlignment="1">
      <alignment horizontal="right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/>
    </xf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527C-F0F3-49A0-B520-D3972DC00463}">
  <dimension ref="A1:R996"/>
  <sheetViews>
    <sheetView topLeftCell="A24" zoomScale="85" zoomScaleNormal="85" workbookViewId="0">
      <selection activeCell="E62" sqref="E62"/>
    </sheetView>
  </sheetViews>
  <sheetFormatPr defaultColWidth="9.109375" defaultRowHeight="14.4" x14ac:dyDescent="0.3"/>
  <cols>
    <col min="1" max="1" width="19.33203125" customWidth="1"/>
    <col min="2" max="2" width="75.33203125" customWidth="1"/>
    <col min="3" max="3" width="13.44140625" bestFit="1" customWidth="1"/>
    <col min="4" max="4" width="14.5546875" bestFit="1" customWidth="1"/>
    <col min="5" max="5" width="13.5546875" customWidth="1"/>
    <col min="6" max="6" width="16.5546875" bestFit="1" customWidth="1"/>
    <col min="7" max="7" width="15.6640625" customWidth="1"/>
    <col min="8" max="8" width="17.6640625" customWidth="1"/>
    <col min="9" max="9" width="19.6640625" customWidth="1"/>
    <col min="10" max="10" width="16.44140625" style="4" bestFit="1" customWidth="1"/>
    <col min="11" max="11" width="13.5546875" style="4" bestFit="1" customWidth="1"/>
    <col min="12" max="16384" width="9.109375" style="4"/>
  </cols>
  <sheetData>
    <row r="1" spans="1:18" ht="58.2" customHeight="1" x14ac:dyDescent="0.4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18" ht="100.2" customHeight="1" x14ac:dyDescent="0.3">
      <c r="A2" s="33" t="s">
        <v>127</v>
      </c>
      <c r="B2" s="33"/>
      <c r="C2" s="33"/>
      <c r="D2" s="33"/>
      <c r="E2" s="33"/>
      <c r="F2" s="33"/>
    </row>
    <row r="3" spans="1:18" ht="30" customHeight="1" x14ac:dyDescent="0.35">
      <c r="A3" s="30" t="s">
        <v>1</v>
      </c>
      <c r="B3" s="15">
        <v>191270</v>
      </c>
    </row>
    <row r="5" spans="1:18" ht="31.95" customHeight="1" x14ac:dyDescent="0.35">
      <c r="A5" s="31" t="s">
        <v>2</v>
      </c>
      <c r="B5" t="s">
        <v>3</v>
      </c>
    </row>
    <row r="9" spans="1:18" s="2" customFormat="1" ht="28.2" customHeight="1" x14ac:dyDescent="0.3">
      <c r="A9" s="24" t="s">
        <v>4</v>
      </c>
      <c r="B9" s="25" t="s">
        <v>5</v>
      </c>
      <c r="C9" s="25"/>
      <c r="D9" s="25" t="s">
        <v>6</v>
      </c>
      <c r="E9" s="25" t="s">
        <v>7</v>
      </c>
      <c r="F9" s="26" t="s">
        <v>8</v>
      </c>
      <c r="G9" s="26" t="s">
        <v>9</v>
      </c>
      <c r="H9" s="26" t="s">
        <v>10</v>
      </c>
      <c r="I9" s="27" t="s">
        <v>11</v>
      </c>
      <c r="J9" s="1"/>
      <c r="K9" s="1"/>
      <c r="L9" s="1"/>
      <c r="M9" s="1"/>
      <c r="N9" s="1"/>
      <c r="O9" s="1"/>
      <c r="P9" s="21"/>
      <c r="Q9" s="1"/>
      <c r="R9" s="1"/>
    </row>
    <row r="10" spans="1:18" x14ac:dyDescent="0.3">
      <c r="A10" s="16" t="s">
        <v>12</v>
      </c>
      <c r="B10" s="28" t="s">
        <v>91</v>
      </c>
      <c r="C10" s="28" t="s">
        <v>13</v>
      </c>
      <c r="D10" s="29" t="s">
        <v>92</v>
      </c>
      <c r="E10" s="28"/>
      <c r="F10" s="18">
        <v>2</v>
      </c>
      <c r="G10" s="19">
        <v>1234</v>
      </c>
      <c r="H10" s="20">
        <f t="shared" ref="H10:H63" si="0">G10*F10</f>
        <v>2468</v>
      </c>
      <c r="I10" s="23"/>
    </row>
    <row r="11" spans="1:18" x14ac:dyDescent="0.3">
      <c r="A11" s="16" t="s">
        <v>14</v>
      </c>
      <c r="B11" s="28" t="s">
        <v>91</v>
      </c>
      <c r="C11" s="28" t="s">
        <v>15</v>
      </c>
      <c r="D11" s="29" t="s">
        <v>92</v>
      </c>
      <c r="E11" s="28"/>
      <c r="F11" s="18">
        <v>2</v>
      </c>
      <c r="G11" s="19">
        <v>1234</v>
      </c>
      <c r="H11" s="20">
        <f t="shared" si="0"/>
        <v>2468</v>
      </c>
      <c r="I11" s="23"/>
    </row>
    <row r="12" spans="1:18" x14ac:dyDescent="0.3">
      <c r="A12" s="16" t="s">
        <v>16</v>
      </c>
      <c r="B12" s="28" t="s">
        <v>91</v>
      </c>
      <c r="C12" s="28" t="s">
        <v>13</v>
      </c>
      <c r="D12" s="29" t="s">
        <v>92</v>
      </c>
      <c r="E12" s="28" t="s">
        <v>17</v>
      </c>
      <c r="F12" s="18">
        <v>2</v>
      </c>
      <c r="G12" s="19">
        <v>1234</v>
      </c>
      <c r="H12" s="20">
        <f t="shared" si="0"/>
        <v>2468</v>
      </c>
      <c r="I12" s="23"/>
    </row>
    <row r="13" spans="1:18" x14ac:dyDescent="0.3">
      <c r="A13" s="16" t="s">
        <v>18</v>
      </c>
      <c r="B13" s="28" t="s">
        <v>94</v>
      </c>
      <c r="C13" s="28" t="s">
        <v>13</v>
      </c>
      <c r="D13" s="28" t="s">
        <v>93</v>
      </c>
      <c r="E13" s="28"/>
      <c r="F13" s="18">
        <v>2</v>
      </c>
      <c r="G13" s="19">
        <v>1234</v>
      </c>
      <c r="H13" s="20">
        <f t="shared" si="0"/>
        <v>2468</v>
      </c>
      <c r="I13" s="23"/>
    </row>
    <row r="14" spans="1:18" x14ac:dyDescent="0.3">
      <c r="A14" s="16" t="s">
        <v>19</v>
      </c>
      <c r="B14" s="28" t="s">
        <v>94</v>
      </c>
      <c r="C14" s="28" t="s">
        <v>15</v>
      </c>
      <c r="D14" s="28" t="s">
        <v>93</v>
      </c>
      <c r="E14" s="17"/>
      <c r="F14" s="18">
        <v>2</v>
      </c>
      <c r="G14" s="19">
        <v>1234</v>
      </c>
      <c r="H14" s="20">
        <f t="shared" si="0"/>
        <v>2468</v>
      </c>
      <c r="I14" s="23"/>
    </row>
    <row r="15" spans="1:18" x14ac:dyDescent="0.3">
      <c r="A15" s="16" t="s">
        <v>20</v>
      </c>
      <c r="B15" s="28" t="s">
        <v>94</v>
      </c>
      <c r="C15" s="28" t="s">
        <v>13</v>
      </c>
      <c r="D15" s="28" t="s">
        <v>93</v>
      </c>
      <c r="E15" s="28" t="s">
        <v>17</v>
      </c>
      <c r="F15" s="18">
        <v>2</v>
      </c>
      <c r="G15" s="19">
        <v>1234</v>
      </c>
      <c r="H15" s="20">
        <f t="shared" si="0"/>
        <v>2468</v>
      </c>
      <c r="I15" s="23"/>
    </row>
    <row r="16" spans="1:18" x14ac:dyDescent="0.3">
      <c r="A16" s="16" t="s">
        <v>21</v>
      </c>
      <c r="B16" s="17" t="s">
        <v>96</v>
      </c>
      <c r="C16" s="28" t="s">
        <v>13</v>
      </c>
      <c r="D16" s="17" t="s">
        <v>95</v>
      </c>
      <c r="E16" s="17"/>
      <c r="F16" s="18">
        <v>2</v>
      </c>
      <c r="G16" s="19">
        <v>1234</v>
      </c>
      <c r="H16" s="20">
        <f t="shared" si="0"/>
        <v>2468</v>
      </c>
      <c r="I16" s="23"/>
    </row>
    <row r="17" spans="1:9" x14ac:dyDescent="0.3">
      <c r="A17" s="16" t="s">
        <v>22</v>
      </c>
      <c r="B17" s="17" t="s">
        <v>96</v>
      </c>
      <c r="C17" s="28" t="s">
        <v>15</v>
      </c>
      <c r="D17" s="17" t="s">
        <v>95</v>
      </c>
      <c r="E17" s="17"/>
      <c r="F17" s="18">
        <v>2</v>
      </c>
      <c r="G17" s="19">
        <v>1234</v>
      </c>
      <c r="H17" s="20">
        <f t="shared" si="0"/>
        <v>2468</v>
      </c>
      <c r="I17" s="23"/>
    </row>
    <row r="18" spans="1:9" x14ac:dyDescent="0.3">
      <c r="A18" s="16" t="s">
        <v>23</v>
      </c>
      <c r="B18" s="17" t="s">
        <v>96</v>
      </c>
      <c r="C18" s="28" t="s">
        <v>13</v>
      </c>
      <c r="D18" s="17" t="s">
        <v>95</v>
      </c>
      <c r="E18" s="28" t="s">
        <v>17</v>
      </c>
      <c r="F18" s="18">
        <v>2</v>
      </c>
      <c r="G18" s="19">
        <v>1234</v>
      </c>
      <c r="H18" s="20">
        <f t="shared" si="0"/>
        <v>2468</v>
      </c>
      <c r="I18" s="23"/>
    </row>
    <row r="19" spans="1:9" x14ac:dyDescent="0.3">
      <c r="A19" s="16" t="s">
        <v>24</v>
      </c>
      <c r="B19" s="17" t="s">
        <v>98</v>
      </c>
      <c r="C19" s="28" t="s">
        <v>13</v>
      </c>
      <c r="D19" s="17" t="s">
        <v>97</v>
      </c>
      <c r="E19" s="17"/>
      <c r="F19" s="18">
        <v>4</v>
      </c>
      <c r="G19" s="19">
        <v>1234</v>
      </c>
      <c r="H19" s="20">
        <f t="shared" si="0"/>
        <v>4936</v>
      </c>
      <c r="I19" s="23"/>
    </row>
    <row r="20" spans="1:9" x14ac:dyDescent="0.3">
      <c r="A20" s="16" t="s">
        <v>25</v>
      </c>
      <c r="B20" s="17" t="s">
        <v>98</v>
      </c>
      <c r="C20" s="28" t="s">
        <v>15</v>
      </c>
      <c r="D20" s="17" t="s">
        <v>97</v>
      </c>
      <c r="E20" s="17"/>
      <c r="F20" s="18">
        <v>2</v>
      </c>
      <c r="G20" s="19">
        <v>1234</v>
      </c>
      <c r="H20" s="20">
        <f t="shared" si="0"/>
        <v>2468</v>
      </c>
      <c r="I20" s="23"/>
    </row>
    <row r="21" spans="1:9" x14ac:dyDescent="0.3">
      <c r="A21" s="16" t="s">
        <v>26</v>
      </c>
      <c r="B21" s="17" t="s">
        <v>98</v>
      </c>
      <c r="C21" s="28" t="s">
        <v>13</v>
      </c>
      <c r="D21" s="17" t="s">
        <v>97</v>
      </c>
      <c r="E21" s="28" t="s">
        <v>17</v>
      </c>
      <c r="F21" s="18">
        <v>4</v>
      </c>
      <c r="G21" s="19">
        <v>1234</v>
      </c>
      <c r="H21" s="20">
        <f t="shared" si="0"/>
        <v>4936</v>
      </c>
      <c r="I21" s="23"/>
    </row>
    <row r="22" spans="1:9" x14ac:dyDescent="0.3">
      <c r="A22" s="16" t="s">
        <v>27</v>
      </c>
      <c r="B22" s="17" t="s">
        <v>99</v>
      </c>
      <c r="C22" s="28" t="s">
        <v>13</v>
      </c>
      <c r="D22" s="17" t="s">
        <v>100</v>
      </c>
      <c r="E22" s="5"/>
      <c r="F22" s="18">
        <v>6</v>
      </c>
      <c r="G22" s="19">
        <v>1234</v>
      </c>
      <c r="H22" s="20">
        <f t="shared" si="0"/>
        <v>7404</v>
      </c>
      <c r="I22" s="23"/>
    </row>
    <row r="23" spans="1:9" x14ac:dyDescent="0.3">
      <c r="A23" s="16" t="s">
        <v>28</v>
      </c>
      <c r="B23" s="17" t="s">
        <v>99</v>
      </c>
      <c r="C23" s="5" t="s">
        <v>15</v>
      </c>
      <c r="D23" s="17" t="s">
        <v>100</v>
      </c>
      <c r="E23" s="17"/>
      <c r="F23" s="18">
        <v>3</v>
      </c>
      <c r="G23" s="19">
        <v>1234</v>
      </c>
      <c r="H23" s="20">
        <f t="shared" si="0"/>
        <v>3702</v>
      </c>
      <c r="I23" s="23"/>
    </row>
    <row r="24" spans="1:9" x14ac:dyDescent="0.3">
      <c r="A24" s="16" t="s">
        <v>29</v>
      </c>
      <c r="B24" s="17" t="s">
        <v>99</v>
      </c>
      <c r="C24" s="28" t="s">
        <v>13</v>
      </c>
      <c r="D24" s="17" t="s">
        <v>100</v>
      </c>
      <c r="E24" s="28" t="s">
        <v>17</v>
      </c>
      <c r="F24" s="18">
        <v>6</v>
      </c>
      <c r="G24" s="19">
        <v>1234</v>
      </c>
      <c r="H24" s="20">
        <f t="shared" si="0"/>
        <v>7404</v>
      </c>
      <c r="I24" s="23"/>
    </row>
    <row r="25" spans="1:9" x14ac:dyDescent="0.3">
      <c r="A25" s="16" t="s">
        <v>30</v>
      </c>
      <c r="B25" s="17" t="s">
        <v>101</v>
      </c>
      <c r="C25" s="28" t="s">
        <v>13</v>
      </c>
      <c r="D25" s="17" t="s">
        <v>102</v>
      </c>
      <c r="E25" s="17"/>
      <c r="F25" s="18">
        <v>2</v>
      </c>
      <c r="G25" s="19">
        <v>1234</v>
      </c>
      <c r="H25" s="20">
        <f t="shared" si="0"/>
        <v>2468</v>
      </c>
      <c r="I25" s="23"/>
    </row>
    <row r="26" spans="1:9" x14ac:dyDescent="0.3">
      <c r="A26" s="16" t="s">
        <v>31</v>
      </c>
      <c r="B26" s="17" t="s">
        <v>101</v>
      </c>
      <c r="C26" s="28" t="s">
        <v>15</v>
      </c>
      <c r="D26" s="17" t="s">
        <v>102</v>
      </c>
      <c r="E26" s="17"/>
      <c r="F26" s="18">
        <v>2</v>
      </c>
      <c r="G26" s="19">
        <v>1234</v>
      </c>
      <c r="H26" s="20">
        <f t="shared" si="0"/>
        <v>2468</v>
      </c>
      <c r="I26" s="23"/>
    </row>
    <row r="27" spans="1:9" x14ac:dyDescent="0.3">
      <c r="A27" s="16" t="s">
        <v>32</v>
      </c>
      <c r="B27" s="17" t="s">
        <v>101</v>
      </c>
      <c r="C27" s="28" t="s">
        <v>13</v>
      </c>
      <c r="D27" s="17" t="s">
        <v>102</v>
      </c>
      <c r="E27" s="28" t="s">
        <v>17</v>
      </c>
      <c r="F27" s="18">
        <v>2</v>
      </c>
      <c r="G27" s="19">
        <v>1234</v>
      </c>
      <c r="H27" s="20">
        <f t="shared" si="0"/>
        <v>2468</v>
      </c>
      <c r="I27" s="23"/>
    </row>
    <row r="28" spans="1:9" x14ac:dyDescent="0.3">
      <c r="A28" s="16" t="s">
        <v>33</v>
      </c>
      <c r="B28" s="17" t="s">
        <v>103</v>
      </c>
      <c r="C28" s="28" t="s">
        <v>13</v>
      </c>
      <c r="D28" s="17" t="s">
        <v>104</v>
      </c>
      <c r="E28" s="17"/>
      <c r="F28" s="18">
        <v>2</v>
      </c>
      <c r="G28" s="19">
        <v>1234</v>
      </c>
      <c r="H28" s="20">
        <f t="shared" si="0"/>
        <v>2468</v>
      </c>
      <c r="I28" s="23"/>
    </row>
    <row r="29" spans="1:9" x14ac:dyDescent="0.3">
      <c r="A29" s="16" t="s">
        <v>34</v>
      </c>
      <c r="B29" s="17" t="s">
        <v>103</v>
      </c>
      <c r="C29" s="28" t="s">
        <v>15</v>
      </c>
      <c r="D29" s="17" t="s">
        <v>104</v>
      </c>
      <c r="E29" s="17"/>
      <c r="F29" s="18">
        <v>2</v>
      </c>
      <c r="G29" s="19">
        <v>1234</v>
      </c>
      <c r="H29" s="20">
        <f t="shared" si="0"/>
        <v>2468</v>
      </c>
      <c r="I29" s="23"/>
    </row>
    <row r="30" spans="1:9" x14ac:dyDescent="0.3">
      <c r="A30" s="16" t="s">
        <v>35</v>
      </c>
      <c r="B30" s="17" t="s">
        <v>103</v>
      </c>
      <c r="C30" s="28" t="s">
        <v>13</v>
      </c>
      <c r="D30" s="17" t="s">
        <v>104</v>
      </c>
      <c r="E30" s="28" t="s">
        <v>17</v>
      </c>
      <c r="F30" s="18">
        <v>2</v>
      </c>
      <c r="G30" s="19">
        <v>1234</v>
      </c>
      <c r="H30" s="20">
        <f t="shared" si="0"/>
        <v>2468</v>
      </c>
      <c r="I30" s="23"/>
    </row>
    <row r="31" spans="1:9" x14ac:dyDescent="0.3">
      <c r="A31" s="16" t="s">
        <v>36</v>
      </c>
      <c r="B31" s="17" t="s">
        <v>105</v>
      </c>
      <c r="C31" s="28" t="s">
        <v>13</v>
      </c>
      <c r="D31" s="17" t="s">
        <v>106</v>
      </c>
      <c r="E31" s="17"/>
      <c r="F31" s="18">
        <v>12</v>
      </c>
      <c r="G31" s="19">
        <v>1234</v>
      </c>
      <c r="H31" s="20">
        <f t="shared" si="0"/>
        <v>14808</v>
      </c>
      <c r="I31" s="23"/>
    </row>
    <row r="32" spans="1:9" x14ac:dyDescent="0.3">
      <c r="A32" s="16" t="s">
        <v>37</v>
      </c>
      <c r="B32" s="17" t="s">
        <v>105</v>
      </c>
      <c r="C32" s="28" t="s">
        <v>15</v>
      </c>
      <c r="D32" s="17" t="s">
        <v>106</v>
      </c>
      <c r="E32" s="17"/>
      <c r="F32" s="18">
        <v>2</v>
      </c>
      <c r="G32" s="19">
        <v>1234</v>
      </c>
      <c r="H32" s="20">
        <f t="shared" si="0"/>
        <v>2468</v>
      </c>
      <c r="I32" s="23"/>
    </row>
    <row r="33" spans="1:11" x14ac:dyDescent="0.3">
      <c r="A33" s="16" t="s">
        <v>38</v>
      </c>
      <c r="B33" s="17" t="s">
        <v>105</v>
      </c>
      <c r="C33" s="28" t="s">
        <v>13</v>
      </c>
      <c r="D33" s="17" t="s">
        <v>106</v>
      </c>
      <c r="E33" s="28" t="s">
        <v>17</v>
      </c>
      <c r="F33" s="18">
        <v>12</v>
      </c>
      <c r="G33" s="19">
        <v>1234</v>
      </c>
      <c r="H33" s="20">
        <f t="shared" si="0"/>
        <v>14808</v>
      </c>
      <c r="I33" s="23"/>
    </row>
    <row r="34" spans="1:11" x14ac:dyDescent="0.3">
      <c r="A34" s="16" t="s">
        <v>39</v>
      </c>
      <c r="B34" s="17" t="s">
        <v>107</v>
      </c>
      <c r="C34" s="28" t="s">
        <v>13</v>
      </c>
      <c r="D34" s="17" t="s">
        <v>108</v>
      </c>
      <c r="E34" s="17"/>
      <c r="F34" s="18">
        <v>2</v>
      </c>
      <c r="G34" s="19">
        <v>1234</v>
      </c>
      <c r="H34" s="20">
        <f t="shared" si="0"/>
        <v>2468</v>
      </c>
      <c r="I34" s="23"/>
    </row>
    <row r="35" spans="1:11" x14ac:dyDescent="0.3">
      <c r="A35" s="16" t="s">
        <v>40</v>
      </c>
      <c r="B35" s="17" t="s">
        <v>107</v>
      </c>
      <c r="C35" s="28" t="s">
        <v>15</v>
      </c>
      <c r="D35" s="17" t="s">
        <v>108</v>
      </c>
      <c r="E35" s="17"/>
      <c r="F35" s="18">
        <v>2</v>
      </c>
      <c r="G35" s="19">
        <v>1234</v>
      </c>
      <c r="H35" s="20">
        <f t="shared" si="0"/>
        <v>2468</v>
      </c>
      <c r="I35" s="23"/>
    </row>
    <row r="36" spans="1:11" x14ac:dyDescent="0.3">
      <c r="A36" s="16" t="s">
        <v>41</v>
      </c>
      <c r="B36" s="17" t="s">
        <v>107</v>
      </c>
      <c r="C36" s="28" t="s">
        <v>13</v>
      </c>
      <c r="D36" s="17" t="s">
        <v>108</v>
      </c>
      <c r="E36" s="28" t="s">
        <v>17</v>
      </c>
      <c r="F36" s="18">
        <v>2</v>
      </c>
      <c r="G36" s="19">
        <v>1234</v>
      </c>
      <c r="H36" s="20">
        <f t="shared" si="0"/>
        <v>2468</v>
      </c>
      <c r="I36" s="23"/>
    </row>
    <row r="37" spans="1:11" s="3" customFormat="1" x14ac:dyDescent="0.3">
      <c r="A37" s="16" t="s">
        <v>42</v>
      </c>
      <c r="B37" s="17" t="s">
        <v>109</v>
      </c>
      <c r="C37" s="28" t="s">
        <v>13</v>
      </c>
      <c r="D37" s="17" t="s">
        <v>110</v>
      </c>
      <c r="E37" s="17"/>
      <c r="F37" s="18">
        <v>2</v>
      </c>
      <c r="G37" s="19">
        <v>1234</v>
      </c>
      <c r="H37" s="20">
        <f t="shared" si="0"/>
        <v>2468</v>
      </c>
      <c r="I37" s="23"/>
      <c r="J37" s="6"/>
      <c r="K37" s="7"/>
    </row>
    <row r="38" spans="1:11" s="3" customFormat="1" x14ac:dyDescent="0.3">
      <c r="A38" s="16" t="s">
        <v>43</v>
      </c>
      <c r="B38" s="17" t="s">
        <v>109</v>
      </c>
      <c r="C38" s="28" t="s">
        <v>15</v>
      </c>
      <c r="D38" s="17" t="s">
        <v>110</v>
      </c>
      <c r="E38" s="17"/>
      <c r="F38" s="18">
        <v>2</v>
      </c>
      <c r="G38" s="19">
        <v>1234</v>
      </c>
      <c r="H38" s="20">
        <f t="shared" si="0"/>
        <v>2468</v>
      </c>
      <c r="I38" s="23"/>
      <c r="J38" s="6"/>
      <c r="K38" s="7"/>
    </row>
    <row r="39" spans="1:11" s="3" customFormat="1" x14ac:dyDescent="0.3">
      <c r="A39" s="16" t="s">
        <v>44</v>
      </c>
      <c r="B39" s="17" t="s">
        <v>109</v>
      </c>
      <c r="C39" s="28" t="s">
        <v>13</v>
      </c>
      <c r="D39" s="17" t="s">
        <v>110</v>
      </c>
      <c r="E39" s="28" t="s">
        <v>17</v>
      </c>
      <c r="F39" s="18">
        <v>2</v>
      </c>
      <c r="G39" s="19">
        <v>1234</v>
      </c>
      <c r="H39" s="20">
        <f t="shared" si="0"/>
        <v>2468</v>
      </c>
      <c r="I39" s="23"/>
      <c r="J39" s="6"/>
      <c r="K39" s="7"/>
    </row>
    <row r="40" spans="1:11" s="3" customFormat="1" x14ac:dyDescent="0.3">
      <c r="A40" s="16" t="s">
        <v>45</v>
      </c>
      <c r="B40" s="17" t="s">
        <v>111</v>
      </c>
      <c r="C40" s="28" t="s">
        <v>13</v>
      </c>
      <c r="D40" s="17" t="s">
        <v>112</v>
      </c>
      <c r="E40" s="28"/>
      <c r="F40" s="18">
        <v>2</v>
      </c>
      <c r="G40" s="19">
        <v>1234</v>
      </c>
      <c r="H40" s="20">
        <f t="shared" si="0"/>
        <v>2468</v>
      </c>
      <c r="I40" s="23"/>
      <c r="J40" s="6"/>
      <c r="K40" s="7"/>
    </row>
    <row r="41" spans="1:11" s="3" customFormat="1" x14ac:dyDescent="0.3">
      <c r="A41" s="16" t="s">
        <v>46</v>
      </c>
      <c r="B41" s="17" t="s">
        <v>111</v>
      </c>
      <c r="C41" s="28" t="s">
        <v>15</v>
      </c>
      <c r="D41" s="17" t="s">
        <v>112</v>
      </c>
      <c r="E41" s="17"/>
      <c r="F41" s="18">
        <v>2</v>
      </c>
      <c r="G41" s="19">
        <v>1234</v>
      </c>
      <c r="H41" s="20">
        <f t="shared" si="0"/>
        <v>2468</v>
      </c>
      <c r="I41" s="23"/>
      <c r="J41" s="6"/>
      <c r="K41" s="7"/>
    </row>
    <row r="42" spans="1:11" s="3" customFormat="1" x14ac:dyDescent="0.3">
      <c r="A42" s="16" t="s">
        <v>47</v>
      </c>
      <c r="B42" s="17" t="s">
        <v>111</v>
      </c>
      <c r="C42" s="28" t="s">
        <v>13</v>
      </c>
      <c r="D42" s="17" t="s">
        <v>112</v>
      </c>
      <c r="E42" s="17" t="s">
        <v>17</v>
      </c>
      <c r="F42" s="18">
        <v>2</v>
      </c>
      <c r="G42" s="19">
        <v>1234</v>
      </c>
      <c r="H42" s="20">
        <f t="shared" si="0"/>
        <v>2468</v>
      </c>
      <c r="I42" s="23"/>
      <c r="J42" s="6"/>
      <c r="K42" s="7"/>
    </row>
    <row r="43" spans="1:11" s="3" customFormat="1" x14ac:dyDescent="0.3">
      <c r="A43" s="16" t="s">
        <v>48</v>
      </c>
      <c r="B43" s="17" t="s">
        <v>113</v>
      </c>
      <c r="C43" s="28" t="s">
        <v>13</v>
      </c>
      <c r="D43" s="17" t="s">
        <v>114</v>
      </c>
      <c r="E43" s="28"/>
      <c r="F43" s="18">
        <v>2</v>
      </c>
      <c r="G43" s="19">
        <v>1234</v>
      </c>
      <c r="H43" s="20">
        <f t="shared" si="0"/>
        <v>2468</v>
      </c>
      <c r="I43" s="23"/>
      <c r="J43" s="6"/>
      <c r="K43" s="7"/>
    </row>
    <row r="44" spans="1:11" s="3" customFormat="1" x14ac:dyDescent="0.3">
      <c r="A44" s="16" t="s">
        <v>49</v>
      </c>
      <c r="B44" s="17" t="s">
        <v>113</v>
      </c>
      <c r="C44" s="28" t="s">
        <v>15</v>
      </c>
      <c r="D44" s="17" t="s">
        <v>114</v>
      </c>
      <c r="E44" s="17"/>
      <c r="F44" s="18">
        <v>2</v>
      </c>
      <c r="G44" s="19">
        <v>1234</v>
      </c>
      <c r="H44" s="20">
        <f t="shared" si="0"/>
        <v>2468</v>
      </c>
      <c r="I44" s="23"/>
      <c r="J44" s="6"/>
      <c r="K44" s="7"/>
    </row>
    <row r="45" spans="1:11" s="3" customFormat="1" x14ac:dyDescent="0.3">
      <c r="A45" s="16" t="s">
        <v>50</v>
      </c>
      <c r="B45" s="17" t="s">
        <v>113</v>
      </c>
      <c r="C45" s="28" t="s">
        <v>13</v>
      </c>
      <c r="D45" s="17" t="s">
        <v>114</v>
      </c>
      <c r="E45" s="17" t="s">
        <v>17</v>
      </c>
      <c r="F45" s="18">
        <v>2</v>
      </c>
      <c r="G45" s="19">
        <v>1234</v>
      </c>
      <c r="H45" s="20">
        <f t="shared" si="0"/>
        <v>2468</v>
      </c>
      <c r="I45" s="23"/>
      <c r="J45" s="6"/>
      <c r="K45" s="7"/>
    </row>
    <row r="46" spans="1:11" s="3" customFormat="1" x14ac:dyDescent="0.3">
      <c r="A46" s="16" t="s">
        <v>51</v>
      </c>
      <c r="B46" s="17" t="s">
        <v>115</v>
      </c>
      <c r="C46" s="28" t="s">
        <v>13</v>
      </c>
      <c r="D46" s="17" t="s">
        <v>116</v>
      </c>
      <c r="E46" s="28"/>
      <c r="F46" s="18">
        <v>2</v>
      </c>
      <c r="G46" s="19">
        <v>1234</v>
      </c>
      <c r="H46" s="20">
        <f t="shared" si="0"/>
        <v>2468</v>
      </c>
      <c r="I46" s="23"/>
      <c r="J46" s="6"/>
      <c r="K46" s="7"/>
    </row>
    <row r="47" spans="1:11" s="3" customFormat="1" x14ac:dyDescent="0.3">
      <c r="A47" s="16" t="s">
        <v>52</v>
      </c>
      <c r="B47" s="17" t="s">
        <v>115</v>
      </c>
      <c r="C47" s="28" t="s">
        <v>15</v>
      </c>
      <c r="D47" s="17" t="s">
        <v>116</v>
      </c>
      <c r="E47" s="28"/>
      <c r="F47" s="18">
        <v>2</v>
      </c>
      <c r="G47" s="19">
        <v>1234</v>
      </c>
      <c r="H47" s="20">
        <f t="shared" si="0"/>
        <v>2468</v>
      </c>
      <c r="I47" s="23"/>
      <c r="J47" s="6"/>
      <c r="K47" s="7"/>
    </row>
    <row r="48" spans="1:11" s="3" customFormat="1" x14ac:dyDescent="0.3">
      <c r="A48" s="16" t="s">
        <v>53</v>
      </c>
      <c r="B48" s="17" t="s">
        <v>115</v>
      </c>
      <c r="C48" s="28" t="s">
        <v>13</v>
      </c>
      <c r="D48" s="17" t="s">
        <v>116</v>
      </c>
      <c r="E48" s="17" t="s">
        <v>17</v>
      </c>
      <c r="F48" s="18">
        <v>2</v>
      </c>
      <c r="G48" s="19">
        <v>1234</v>
      </c>
      <c r="H48" s="20">
        <f t="shared" si="0"/>
        <v>2468</v>
      </c>
      <c r="I48" s="23"/>
      <c r="J48" s="6"/>
      <c r="K48" s="7"/>
    </row>
    <row r="49" spans="1:11" s="3" customFormat="1" x14ac:dyDescent="0.3">
      <c r="A49" s="16" t="s">
        <v>54</v>
      </c>
      <c r="B49" s="17" t="s">
        <v>117</v>
      </c>
      <c r="C49" s="28" t="s">
        <v>13</v>
      </c>
      <c r="D49" s="17" t="s">
        <v>118</v>
      </c>
      <c r="E49" s="17"/>
      <c r="F49" s="18">
        <v>2</v>
      </c>
      <c r="G49" s="19">
        <v>1234</v>
      </c>
      <c r="H49" s="20">
        <f t="shared" si="0"/>
        <v>2468</v>
      </c>
      <c r="I49" s="23"/>
      <c r="J49" s="6"/>
      <c r="K49" s="7"/>
    </row>
    <row r="50" spans="1:11" s="3" customFormat="1" x14ac:dyDescent="0.3">
      <c r="A50" s="16" t="s">
        <v>55</v>
      </c>
      <c r="B50" s="17" t="s">
        <v>117</v>
      </c>
      <c r="C50" s="28" t="s">
        <v>15</v>
      </c>
      <c r="D50" s="17" t="s">
        <v>118</v>
      </c>
      <c r="E50" s="28"/>
      <c r="F50" s="18">
        <v>2</v>
      </c>
      <c r="G50" s="19">
        <v>1234</v>
      </c>
      <c r="H50" s="20">
        <f t="shared" si="0"/>
        <v>2468</v>
      </c>
      <c r="I50" s="23"/>
      <c r="J50" s="6"/>
      <c r="K50" s="7"/>
    </row>
    <row r="51" spans="1:11" s="3" customFormat="1" x14ac:dyDescent="0.3">
      <c r="A51" s="16" t="s">
        <v>56</v>
      </c>
      <c r="B51" s="17" t="s">
        <v>117</v>
      </c>
      <c r="C51" s="28" t="s">
        <v>13</v>
      </c>
      <c r="D51" s="17" t="s">
        <v>118</v>
      </c>
      <c r="E51" s="17" t="s">
        <v>17</v>
      </c>
      <c r="F51" s="18">
        <v>2</v>
      </c>
      <c r="G51" s="19">
        <v>1234</v>
      </c>
      <c r="H51" s="20">
        <f t="shared" si="0"/>
        <v>2468</v>
      </c>
      <c r="I51" s="23"/>
      <c r="J51" s="6"/>
      <c r="K51" s="7"/>
    </row>
    <row r="52" spans="1:11" s="3" customFormat="1" x14ac:dyDescent="0.3">
      <c r="A52" s="16" t="s">
        <v>57</v>
      </c>
      <c r="B52" s="17" t="s">
        <v>119</v>
      </c>
      <c r="C52" s="28" t="s">
        <v>13</v>
      </c>
      <c r="D52" s="17" t="s">
        <v>120</v>
      </c>
      <c r="E52" s="17"/>
      <c r="F52" s="18">
        <v>2</v>
      </c>
      <c r="G52" s="19">
        <v>1234</v>
      </c>
      <c r="H52" s="20">
        <f t="shared" si="0"/>
        <v>2468</v>
      </c>
      <c r="I52" s="23"/>
      <c r="J52" s="6"/>
      <c r="K52" s="7"/>
    </row>
    <row r="53" spans="1:11" s="3" customFormat="1" x14ac:dyDescent="0.3">
      <c r="A53" s="16" t="s">
        <v>58</v>
      </c>
      <c r="B53" s="17" t="s">
        <v>119</v>
      </c>
      <c r="C53" s="28" t="s">
        <v>15</v>
      </c>
      <c r="D53" s="17" t="s">
        <v>120</v>
      </c>
      <c r="E53" s="28"/>
      <c r="F53" s="18">
        <v>2</v>
      </c>
      <c r="G53" s="19">
        <v>1234</v>
      </c>
      <c r="H53" s="20">
        <f t="shared" si="0"/>
        <v>2468</v>
      </c>
      <c r="I53" s="23"/>
      <c r="J53" s="6"/>
      <c r="K53" s="7"/>
    </row>
    <row r="54" spans="1:11" s="3" customFormat="1" x14ac:dyDescent="0.3">
      <c r="A54" s="16" t="s">
        <v>59</v>
      </c>
      <c r="B54" s="17" t="s">
        <v>119</v>
      </c>
      <c r="C54" s="28" t="s">
        <v>13</v>
      </c>
      <c r="D54" s="17" t="s">
        <v>120</v>
      </c>
      <c r="E54" s="28" t="s">
        <v>17</v>
      </c>
      <c r="F54" s="18">
        <v>2</v>
      </c>
      <c r="G54" s="19">
        <v>1234</v>
      </c>
      <c r="H54" s="20">
        <f t="shared" si="0"/>
        <v>2468</v>
      </c>
      <c r="I54" s="23"/>
      <c r="J54" s="6"/>
      <c r="K54" s="7"/>
    </row>
    <row r="55" spans="1:11" s="3" customFormat="1" x14ac:dyDescent="0.3">
      <c r="A55" s="16" t="s">
        <v>60</v>
      </c>
      <c r="B55" s="17" t="s">
        <v>121</v>
      </c>
      <c r="C55" s="28" t="s">
        <v>13</v>
      </c>
      <c r="D55" s="17" t="s">
        <v>122</v>
      </c>
      <c r="E55" s="17"/>
      <c r="F55" s="18">
        <v>2</v>
      </c>
      <c r="G55" s="19">
        <v>1234</v>
      </c>
      <c r="H55" s="20">
        <f t="shared" si="0"/>
        <v>2468</v>
      </c>
      <c r="I55" s="23"/>
      <c r="J55" s="6"/>
      <c r="K55" s="7"/>
    </row>
    <row r="56" spans="1:11" s="3" customFormat="1" x14ac:dyDescent="0.3">
      <c r="A56" s="16" t="s">
        <v>61</v>
      </c>
      <c r="B56" s="17" t="s">
        <v>121</v>
      </c>
      <c r="C56" s="28" t="s">
        <v>15</v>
      </c>
      <c r="D56" s="17" t="s">
        <v>122</v>
      </c>
      <c r="E56" s="17"/>
      <c r="F56" s="18">
        <v>2</v>
      </c>
      <c r="G56" s="19">
        <v>1234</v>
      </c>
      <c r="H56" s="20">
        <f t="shared" si="0"/>
        <v>2468</v>
      </c>
      <c r="I56" s="23"/>
      <c r="J56" s="6"/>
      <c r="K56" s="7"/>
    </row>
    <row r="57" spans="1:11" s="3" customFormat="1" x14ac:dyDescent="0.3">
      <c r="A57" s="16" t="s">
        <v>62</v>
      </c>
      <c r="B57" s="17" t="s">
        <v>121</v>
      </c>
      <c r="C57" s="28" t="s">
        <v>13</v>
      </c>
      <c r="D57" s="17" t="s">
        <v>122</v>
      </c>
      <c r="E57" s="28" t="s">
        <v>17</v>
      </c>
      <c r="F57" s="18">
        <v>2</v>
      </c>
      <c r="G57" s="19">
        <v>1234</v>
      </c>
      <c r="H57" s="20">
        <f t="shared" si="0"/>
        <v>2468</v>
      </c>
      <c r="I57" s="23"/>
      <c r="J57" s="6"/>
      <c r="K57" s="7"/>
    </row>
    <row r="58" spans="1:11" s="3" customFormat="1" x14ac:dyDescent="0.3">
      <c r="A58" s="16" t="s">
        <v>63</v>
      </c>
      <c r="B58" s="17" t="s">
        <v>123</v>
      </c>
      <c r="C58" s="28" t="s">
        <v>13</v>
      </c>
      <c r="D58" s="17" t="s">
        <v>124</v>
      </c>
      <c r="E58" s="17"/>
      <c r="F58" s="18">
        <v>10</v>
      </c>
      <c r="G58" s="19">
        <v>1234</v>
      </c>
      <c r="H58" s="20">
        <f t="shared" si="0"/>
        <v>12340</v>
      </c>
      <c r="I58" s="23"/>
      <c r="J58" s="6"/>
      <c r="K58" s="7"/>
    </row>
    <row r="59" spans="1:11" s="3" customFormat="1" x14ac:dyDescent="0.3">
      <c r="A59" s="16" t="s">
        <v>64</v>
      </c>
      <c r="B59" s="17" t="s">
        <v>123</v>
      </c>
      <c r="C59" s="28" t="s">
        <v>15</v>
      </c>
      <c r="D59" s="17" t="s">
        <v>124</v>
      </c>
      <c r="E59" s="17" t="s">
        <v>17</v>
      </c>
      <c r="F59" s="18">
        <v>1</v>
      </c>
      <c r="G59" s="19">
        <v>1234</v>
      </c>
      <c r="H59" s="20">
        <f t="shared" si="0"/>
        <v>1234</v>
      </c>
      <c r="I59" s="23"/>
      <c r="J59" s="6"/>
      <c r="K59" s="7"/>
    </row>
    <row r="60" spans="1:11" s="3" customFormat="1" x14ac:dyDescent="0.3">
      <c r="A60" s="16" t="s">
        <v>65</v>
      </c>
      <c r="B60" s="17" t="s">
        <v>123</v>
      </c>
      <c r="C60" s="28" t="s">
        <v>13</v>
      </c>
      <c r="D60" s="17" t="s">
        <v>124</v>
      </c>
      <c r="E60" s="28" t="s">
        <v>17</v>
      </c>
      <c r="F60" s="18">
        <v>2</v>
      </c>
      <c r="G60" s="19">
        <v>1234</v>
      </c>
      <c r="H60" s="20">
        <f t="shared" si="0"/>
        <v>2468</v>
      </c>
      <c r="I60" s="23"/>
      <c r="J60" s="6"/>
      <c r="K60" s="7"/>
    </row>
    <row r="61" spans="1:11" s="3" customFormat="1" x14ac:dyDescent="0.3">
      <c r="A61" s="16" t="s">
        <v>66</v>
      </c>
      <c r="B61" s="17" t="s">
        <v>125</v>
      </c>
      <c r="C61" s="28" t="s">
        <v>13</v>
      </c>
      <c r="D61" s="17" t="s">
        <v>126</v>
      </c>
      <c r="E61" s="28"/>
      <c r="F61" s="18">
        <v>10</v>
      </c>
      <c r="G61" s="19">
        <v>1234</v>
      </c>
      <c r="H61" s="20">
        <f t="shared" si="0"/>
        <v>12340</v>
      </c>
      <c r="I61" s="23"/>
      <c r="J61" s="6"/>
      <c r="K61" s="7"/>
    </row>
    <row r="62" spans="1:11" s="3" customFormat="1" x14ac:dyDescent="0.3">
      <c r="A62" s="16" t="s">
        <v>67</v>
      </c>
      <c r="B62" s="17" t="s">
        <v>125</v>
      </c>
      <c r="C62" s="28" t="s">
        <v>15</v>
      </c>
      <c r="D62" s="17" t="s">
        <v>126</v>
      </c>
      <c r="E62" s="17" t="s">
        <v>17</v>
      </c>
      <c r="F62" s="18">
        <v>1</v>
      </c>
      <c r="G62" s="19">
        <v>1234</v>
      </c>
      <c r="H62" s="20">
        <f t="shared" si="0"/>
        <v>1234</v>
      </c>
      <c r="I62" s="23"/>
      <c r="J62" s="6"/>
      <c r="K62" s="7"/>
    </row>
    <row r="63" spans="1:11" s="3" customFormat="1" x14ac:dyDescent="0.3">
      <c r="A63" s="16" t="s">
        <v>68</v>
      </c>
      <c r="B63" s="17" t="s">
        <v>125</v>
      </c>
      <c r="C63" s="28" t="s">
        <v>13</v>
      </c>
      <c r="D63" s="17" t="s">
        <v>126</v>
      </c>
      <c r="E63" s="17" t="s">
        <v>17</v>
      </c>
      <c r="F63" s="18">
        <v>2</v>
      </c>
      <c r="G63" s="19">
        <v>1234</v>
      </c>
      <c r="H63" s="20">
        <f t="shared" si="0"/>
        <v>2468</v>
      </c>
      <c r="I63" s="23"/>
      <c r="J63" s="6"/>
      <c r="K63" s="7"/>
    </row>
    <row r="64" spans="1:11" s="3" customFormat="1" x14ac:dyDescent="0.3">
      <c r="A64" s="16" t="s">
        <v>69</v>
      </c>
      <c r="B64" s="17" t="s">
        <v>86</v>
      </c>
      <c r="C64" s="28" t="s">
        <v>13</v>
      </c>
      <c r="D64" s="17" t="s">
        <v>89</v>
      </c>
      <c r="E64" s="23"/>
      <c r="F64" s="23"/>
      <c r="G64" s="23" t="s">
        <v>90</v>
      </c>
      <c r="H64" s="32"/>
      <c r="I64" s="23"/>
      <c r="J64" s="6"/>
      <c r="K64" s="7"/>
    </row>
    <row r="65" spans="1:11" s="3" customFormat="1" x14ac:dyDescent="0.3">
      <c r="A65" s="16" t="s">
        <v>70</v>
      </c>
      <c r="B65" s="17" t="s">
        <v>87</v>
      </c>
      <c r="C65" s="28" t="s">
        <v>15</v>
      </c>
      <c r="D65" s="17" t="s">
        <v>89</v>
      </c>
      <c r="E65" s="23"/>
      <c r="F65" s="23"/>
      <c r="G65" s="23" t="s">
        <v>90</v>
      </c>
      <c r="H65" s="32"/>
      <c r="I65" s="23"/>
      <c r="J65" s="6"/>
      <c r="K65" s="7"/>
    </row>
    <row r="66" spans="1:11" s="3" customFormat="1" x14ac:dyDescent="0.3">
      <c r="A66" s="16" t="s">
        <v>71</v>
      </c>
      <c r="B66" s="17" t="s">
        <v>88</v>
      </c>
      <c r="C66" s="28" t="s">
        <v>13</v>
      </c>
      <c r="D66" s="17" t="s">
        <v>89</v>
      </c>
      <c r="E66" s="23" t="s">
        <v>17</v>
      </c>
      <c r="F66" s="23"/>
      <c r="G66" s="23" t="s">
        <v>90</v>
      </c>
      <c r="H66" s="32"/>
      <c r="I66" s="23"/>
      <c r="J66" s="6"/>
      <c r="K66" s="7"/>
    </row>
    <row r="67" spans="1:11" x14ac:dyDescent="0.3">
      <c r="H67" s="32">
        <f>SUM(H10:H63)</f>
        <v>191270</v>
      </c>
    </row>
    <row r="69" spans="1:11" s="3" customFormat="1" x14ac:dyDescent="0.3">
      <c r="A69"/>
      <c r="B69"/>
      <c r="C69"/>
      <c r="D69"/>
      <c r="E69"/>
      <c r="F69"/>
      <c r="G69"/>
      <c r="H69"/>
      <c r="I69"/>
      <c r="J69" s="6"/>
    </row>
    <row r="70" spans="1:11" x14ac:dyDescent="0.3">
      <c r="J70" s="6"/>
    </row>
    <row r="117" spans="1:10" s="3" customFormat="1" x14ac:dyDescent="0.3">
      <c r="A117"/>
      <c r="B117"/>
      <c r="C117"/>
      <c r="D117"/>
      <c r="E117"/>
      <c r="F117"/>
      <c r="G117"/>
      <c r="H117"/>
      <c r="I117"/>
      <c r="J117" s="6"/>
    </row>
    <row r="118" spans="1:10" x14ac:dyDescent="0.3">
      <c r="J118" s="6"/>
    </row>
    <row r="165" spans="1:10" s="3" customFormat="1" x14ac:dyDescent="0.3">
      <c r="A165"/>
      <c r="B165"/>
      <c r="C165"/>
      <c r="D165"/>
      <c r="E165"/>
      <c r="F165"/>
      <c r="G165"/>
      <c r="H165"/>
      <c r="I165"/>
      <c r="J165" s="6"/>
    </row>
    <row r="166" spans="1:10" x14ac:dyDescent="0.3">
      <c r="J166" s="6"/>
    </row>
    <row r="213" spans="1:10" s="3" customFormat="1" x14ac:dyDescent="0.3">
      <c r="A213"/>
      <c r="B213"/>
      <c r="C213"/>
      <c r="D213"/>
      <c r="E213"/>
      <c r="F213"/>
      <c r="G213"/>
      <c r="H213"/>
      <c r="I213"/>
      <c r="J213" s="6"/>
    </row>
    <row r="214" spans="1:10" x14ac:dyDescent="0.3">
      <c r="J214" s="6"/>
    </row>
    <row r="261" spans="1:10" s="3" customFormat="1" x14ac:dyDescent="0.3">
      <c r="A261"/>
      <c r="B261"/>
      <c r="C261"/>
      <c r="D261"/>
      <c r="E261"/>
      <c r="F261"/>
      <c r="G261"/>
      <c r="H261"/>
      <c r="I261"/>
      <c r="J261" s="6"/>
    </row>
    <row r="262" spans="1:10" x14ac:dyDescent="0.3">
      <c r="J262" s="6"/>
    </row>
    <row r="309" spans="1:10" s="3" customFormat="1" x14ac:dyDescent="0.3">
      <c r="A309"/>
      <c r="B309"/>
      <c r="C309"/>
      <c r="D309"/>
      <c r="E309"/>
      <c r="F309"/>
      <c r="G309"/>
      <c r="H309"/>
      <c r="I309"/>
      <c r="J309" s="6"/>
    </row>
    <row r="310" spans="1:10" x14ac:dyDescent="0.3">
      <c r="J310" s="6"/>
    </row>
    <row r="357" spans="1:10" s="3" customFormat="1" x14ac:dyDescent="0.3">
      <c r="A357"/>
      <c r="B357"/>
      <c r="C357"/>
      <c r="D357"/>
      <c r="E357"/>
      <c r="F357"/>
      <c r="G357"/>
      <c r="H357"/>
      <c r="I357"/>
      <c r="J357" s="6"/>
    </row>
    <row r="358" spans="1:10" x14ac:dyDescent="0.3">
      <c r="J358" s="6"/>
    </row>
    <row r="405" spans="1:10" s="3" customFormat="1" x14ac:dyDescent="0.3">
      <c r="A405"/>
      <c r="B405"/>
      <c r="C405"/>
      <c r="D405"/>
      <c r="E405"/>
      <c r="F405"/>
      <c r="G405"/>
      <c r="H405"/>
      <c r="I405"/>
      <c r="J405" s="6"/>
    </row>
    <row r="406" spans="1:10" x14ac:dyDescent="0.3">
      <c r="J406" s="6"/>
    </row>
    <row r="453" spans="1:10" s="3" customFormat="1" x14ac:dyDescent="0.3">
      <c r="A453"/>
      <c r="B453"/>
      <c r="C453"/>
      <c r="D453"/>
      <c r="E453"/>
      <c r="F453"/>
      <c r="G453"/>
      <c r="H453"/>
      <c r="I453"/>
      <c r="J453" s="6"/>
    </row>
    <row r="454" spans="1:10" x14ac:dyDescent="0.3">
      <c r="J454" s="6"/>
    </row>
    <row r="485" spans="10:10" x14ac:dyDescent="0.3">
      <c r="J485" s="8"/>
    </row>
    <row r="501" spans="10:10" x14ac:dyDescent="0.3">
      <c r="J501" s="9"/>
    </row>
    <row r="507" spans="10:10" x14ac:dyDescent="0.3">
      <c r="J507" s="9"/>
    </row>
    <row r="510" spans="10:10" x14ac:dyDescent="0.3">
      <c r="J510" s="10"/>
    </row>
    <row r="557" spans="10:11" x14ac:dyDescent="0.3">
      <c r="J557" s="9"/>
      <c r="K557" s="8"/>
    </row>
    <row r="604" spans="10:11" x14ac:dyDescent="0.3">
      <c r="J604" s="9"/>
    </row>
    <row r="605" spans="10:11" x14ac:dyDescent="0.3">
      <c r="J605" s="9"/>
      <c r="K605" s="8"/>
    </row>
    <row r="608" spans="10:11" x14ac:dyDescent="0.3">
      <c r="J608" s="9"/>
    </row>
    <row r="612" spans="1:10" s="22" customFormat="1" x14ac:dyDescent="0.3">
      <c r="A612"/>
      <c r="B612"/>
      <c r="C612"/>
      <c r="D612"/>
      <c r="E612"/>
      <c r="F612"/>
      <c r="G612"/>
      <c r="H612"/>
      <c r="I612"/>
      <c r="J612" s="9"/>
    </row>
    <row r="613" spans="1:10" s="22" customFormat="1" x14ac:dyDescent="0.3">
      <c r="A613"/>
      <c r="B613"/>
      <c r="C613"/>
      <c r="D613"/>
      <c r="E613"/>
      <c r="F613"/>
      <c r="G613"/>
      <c r="H613"/>
      <c r="I613"/>
    </row>
    <row r="616" spans="1:10" x14ac:dyDescent="0.3">
      <c r="J616" s="9"/>
    </row>
    <row r="620" spans="1:10" x14ac:dyDescent="0.3">
      <c r="J620" s="9"/>
    </row>
    <row r="624" spans="1:10" x14ac:dyDescent="0.3">
      <c r="J624" s="9"/>
    </row>
    <row r="628" spans="10:10" x14ac:dyDescent="0.3">
      <c r="J628" s="9"/>
    </row>
    <row r="632" spans="10:10" x14ac:dyDescent="0.3">
      <c r="J632" s="9"/>
    </row>
    <row r="637" spans="10:10" x14ac:dyDescent="0.3">
      <c r="J637" s="9"/>
    </row>
    <row r="644" spans="10:10" x14ac:dyDescent="0.3">
      <c r="J644" s="9"/>
    </row>
    <row r="645" spans="10:10" x14ac:dyDescent="0.3">
      <c r="J645" s="9"/>
    </row>
    <row r="648" spans="10:10" x14ac:dyDescent="0.3">
      <c r="J648" s="9"/>
    </row>
    <row r="649" spans="10:10" x14ac:dyDescent="0.3">
      <c r="J649" s="9"/>
    </row>
    <row r="652" spans="10:10" x14ac:dyDescent="0.3">
      <c r="J652" s="9"/>
    </row>
    <row r="653" spans="10:10" x14ac:dyDescent="0.3">
      <c r="J653" s="9"/>
    </row>
    <row r="656" spans="10:10" x14ac:dyDescent="0.3">
      <c r="J656" s="9"/>
    </row>
    <row r="657" spans="10:10" x14ac:dyDescent="0.3">
      <c r="J657" s="9"/>
    </row>
    <row r="660" spans="10:10" x14ac:dyDescent="0.3">
      <c r="J660" s="9"/>
    </row>
    <row r="682" spans="1:10" x14ac:dyDescent="0.3">
      <c r="J682" s="10"/>
    </row>
    <row r="685" spans="1:10" s="3" customFormat="1" x14ac:dyDescent="0.3">
      <c r="A685"/>
      <c r="B685"/>
      <c r="C685"/>
      <c r="D685"/>
      <c r="E685"/>
      <c r="F685"/>
      <c r="G685"/>
      <c r="H685"/>
      <c r="I685"/>
    </row>
    <row r="687" spans="1:10" x14ac:dyDescent="0.3">
      <c r="J687" s="9"/>
    </row>
    <row r="690" spans="1:10" s="3" customFormat="1" x14ac:dyDescent="0.3">
      <c r="A690"/>
      <c r="B690"/>
      <c r="C690"/>
      <c r="D690"/>
      <c r="E690"/>
      <c r="F690"/>
      <c r="G690"/>
      <c r="H690"/>
      <c r="I690"/>
    </row>
    <row r="699" spans="1:10" x14ac:dyDescent="0.3">
      <c r="J699" s="9"/>
    </row>
    <row r="704" spans="1:10" s="3" customFormat="1" x14ac:dyDescent="0.3">
      <c r="A704"/>
      <c r="B704"/>
      <c r="C704"/>
      <c r="D704"/>
      <c r="E704"/>
      <c r="F704"/>
      <c r="G704"/>
      <c r="H704"/>
      <c r="I704"/>
    </row>
    <row r="728" spans="1:10" x14ac:dyDescent="0.3">
      <c r="J728" s="9"/>
    </row>
    <row r="731" spans="1:10" s="3" customFormat="1" x14ac:dyDescent="0.3">
      <c r="A731"/>
      <c r="B731"/>
      <c r="C731"/>
      <c r="D731"/>
      <c r="E731"/>
      <c r="F731"/>
      <c r="G731"/>
      <c r="H731"/>
      <c r="I731"/>
    </row>
    <row r="772" spans="1:10" s="3" customFormat="1" x14ac:dyDescent="0.3">
      <c r="A772"/>
      <c r="B772"/>
      <c r="C772"/>
      <c r="D772"/>
      <c r="E772"/>
      <c r="F772"/>
      <c r="G772"/>
      <c r="H772"/>
      <c r="I772"/>
    </row>
    <row r="775" spans="1:10" x14ac:dyDescent="0.3">
      <c r="J775" s="9"/>
    </row>
    <row r="778" spans="1:10" s="3" customFormat="1" x14ac:dyDescent="0.3">
      <c r="A778"/>
      <c r="B778"/>
      <c r="C778"/>
      <c r="D778"/>
      <c r="E778"/>
      <c r="F778"/>
      <c r="G778"/>
      <c r="H778"/>
      <c r="I778"/>
    </row>
    <row r="781" spans="1:10" x14ac:dyDescent="0.3">
      <c r="J781" s="9"/>
    </row>
    <row r="784" spans="1:10" s="3" customFormat="1" x14ac:dyDescent="0.3">
      <c r="A784"/>
      <c r="B784"/>
      <c r="C784"/>
      <c r="D784"/>
      <c r="E784"/>
      <c r="F784"/>
      <c r="G784"/>
      <c r="H784"/>
      <c r="I784"/>
    </row>
    <row r="787" spans="1:10" x14ac:dyDescent="0.3">
      <c r="J787" s="9"/>
    </row>
    <row r="790" spans="1:10" s="3" customFormat="1" x14ac:dyDescent="0.3">
      <c r="A790"/>
      <c r="B790"/>
      <c r="C790"/>
      <c r="D790"/>
      <c r="E790"/>
      <c r="F790"/>
      <c r="G790"/>
      <c r="H790"/>
      <c r="I790"/>
    </row>
    <row r="793" spans="1:10" x14ac:dyDescent="0.3">
      <c r="J793" s="9"/>
    </row>
    <row r="796" spans="1:10" s="3" customFormat="1" x14ac:dyDescent="0.3">
      <c r="A796"/>
      <c r="B796"/>
      <c r="C796"/>
      <c r="D796"/>
      <c r="E796"/>
      <c r="F796"/>
      <c r="G796"/>
      <c r="H796"/>
      <c r="I796"/>
    </row>
    <row r="799" spans="1:10" x14ac:dyDescent="0.3">
      <c r="J799" s="9"/>
    </row>
    <row r="802" spans="1:10" s="3" customFormat="1" x14ac:dyDescent="0.3">
      <c r="A802"/>
      <c r="B802"/>
      <c r="C802"/>
      <c r="D802"/>
      <c r="E802"/>
      <c r="F802"/>
      <c r="G802"/>
      <c r="H802"/>
      <c r="I802"/>
    </row>
    <row r="805" spans="1:10" x14ac:dyDescent="0.3">
      <c r="J805" s="9"/>
    </row>
    <row r="808" spans="1:10" s="3" customFormat="1" x14ac:dyDescent="0.3">
      <c r="A808"/>
      <c r="B808"/>
      <c r="C808"/>
      <c r="D808"/>
      <c r="E808"/>
      <c r="F808"/>
      <c r="G808"/>
      <c r="H808"/>
      <c r="I808"/>
    </row>
    <row r="811" spans="1:10" x14ac:dyDescent="0.3">
      <c r="J811" s="9"/>
    </row>
    <row r="814" spans="1:10" s="3" customFormat="1" x14ac:dyDescent="0.3">
      <c r="A814"/>
      <c r="B814"/>
      <c r="C814"/>
      <c r="D814"/>
      <c r="E814"/>
      <c r="F814"/>
      <c r="G814"/>
      <c r="H814"/>
      <c r="I814"/>
    </row>
    <row r="817" spans="1:10" x14ac:dyDescent="0.3">
      <c r="J817" s="9"/>
    </row>
    <row r="820" spans="1:10" s="3" customFormat="1" x14ac:dyDescent="0.3">
      <c r="A820"/>
      <c r="B820"/>
      <c r="C820"/>
      <c r="D820"/>
      <c r="E820"/>
      <c r="F820"/>
      <c r="G820"/>
      <c r="H820"/>
      <c r="I820"/>
    </row>
    <row r="823" spans="1:10" x14ac:dyDescent="0.3">
      <c r="J823" s="9"/>
    </row>
    <row r="826" spans="1:10" s="3" customFormat="1" x14ac:dyDescent="0.3">
      <c r="A826"/>
      <c r="B826"/>
      <c r="C826"/>
      <c r="D826"/>
      <c r="E826"/>
      <c r="F826"/>
      <c r="G826"/>
      <c r="H826"/>
      <c r="I826"/>
    </row>
    <row r="829" spans="1:10" x14ac:dyDescent="0.3">
      <c r="J829" s="9"/>
    </row>
    <row r="832" spans="1:10" s="3" customFormat="1" x14ac:dyDescent="0.3">
      <c r="A832"/>
      <c r="B832"/>
      <c r="C832"/>
      <c r="D832"/>
      <c r="E832"/>
      <c r="F832"/>
      <c r="G832"/>
      <c r="H832"/>
      <c r="I832"/>
    </row>
    <row r="835" spans="1:10" x14ac:dyDescent="0.3">
      <c r="J835" s="9"/>
    </row>
    <row r="838" spans="1:10" s="3" customFormat="1" x14ac:dyDescent="0.3">
      <c r="A838"/>
      <c r="B838"/>
      <c r="C838"/>
      <c r="D838"/>
      <c r="E838"/>
      <c r="F838"/>
      <c r="G838"/>
      <c r="H838"/>
      <c r="I838"/>
    </row>
    <row r="841" spans="1:10" x14ac:dyDescent="0.3">
      <c r="J841" s="9"/>
    </row>
    <row r="844" spans="1:10" s="3" customFormat="1" x14ac:dyDescent="0.3">
      <c r="A844"/>
      <c r="B844"/>
      <c r="C844"/>
      <c r="D844"/>
      <c r="E844"/>
      <c r="F844"/>
      <c r="G844"/>
      <c r="H844"/>
      <c r="I844"/>
    </row>
    <row r="847" spans="1:10" x14ac:dyDescent="0.3">
      <c r="J847" s="9"/>
    </row>
    <row r="850" spans="1:10" s="3" customFormat="1" x14ac:dyDescent="0.3">
      <c r="A850"/>
      <c r="B850"/>
      <c r="C850"/>
      <c r="D850"/>
      <c r="E850"/>
      <c r="F850"/>
      <c r="G850"/>
      <c r="H850"/>
      <c r="I850"/>
    </row>
    <row r="853" spans="1:10" x14ac:dyDescent="0.3">
      <c r="J853" s="9"/>
    </row>
    <row r="856" spans="1:10" s="3" customFormat="1" x14ac:dyDescent="0.3">
      <c r="A856"/>
      <c r="B856"/>
      <c r="C856"/>
      <c r="D856"/>
      <c r="E856"/>
      <c r="F856"/>
      <c r="G856"/>
      <c r="H856"/>
      <c r="I856"/>
    </row>
    <row r="859" spans="1:10" x14ac:dyDescent="0.3">
      <c r="J859" s="9"/>
    </row>
    <row r="865" spans="10:10" x14ac:dyDescent="0.3">
      <c r="J865" s="9"/>
    </row>
    <row r="868" spans="10:10" x14ac:dyDescent="0.3">
      <c r="J868" s="3"/>
    </row>
    <row r="871" spans="10:10" x14ac:dyDescent="0.3">
      <c r="J871" s="9"/>
    </row>
    <row r="874" spans="10:10" x14ac:dyDescent="0.3">
      <c r="J874" s="3"/>
    </row>
    <row r="877" spans="10:10" x14ac:dyDescent="0.3">
      <c r="J877" s="9"/>
    </row>
    <row r="883" spans="10:10" x14ac:dyDescent="0.3">
      <c r="J883" s="9"/>
    </row>
    <row r="889" spans="10:10" x14ac:dyDescent="0.3">
      <c r="J889" s="9"/>
    </row>
    <row r="895" spans="10:10" x14ac:dyDescent="0.3">
      <c r="J895" s="9"/>
    </row>
    <row r="901" spans="10:10" x14ac:dyDescent="0.3">
      <c r="J901" s="9"/>
    </row>
    <row r="907" spans="10:10" x14ac:dyDescent="0.3">
      <c r="J907" s="9"/>
    </row>
    <row r="910" spans="10:10" x14ac:dyDescent="0.3">
      <c r="J910" s="3"/>
    </row>
    <row r="913" spans="10:10" x14ac:dyDescent="0.3">
      <c r="J913" s="9"/>
    </row>
    <row r="919" spans="10:10" x14ac:dyDescent="0.3">
      <c r="J919" s="9"/>
    </row>
    <row r="925" spans="10:10" x14ac:dyDescent="0.3">
      <c r="J925" s="9"/>
    </row>
    <row r="931" spans="10:10" x14ac:dyDescent="0.3">
      <c r="J931" s="9"/>
    </row>
    <row r="937" spans="10:10" x14ac:dyDescent="0.3">
      <c r="J937" s="9"/>
    </row>
    <row r="943" spans="10:10" x14ac:dyDescent="0.3">
      <c r="J943" s="9"/>
    </row>
    <row r="949" spans="10:10" x14ac:dyDescent="0.3">
      <c r="J949" s="9"/>
    </row>
    <row r="954" spans="10:10" x14ac:dyDescent="0.3">
      <c r="J954" s="9"/>
    </row>
    <row r="960" spans="10:10" x14ac:dyDescent="0.3">
      <c r="J960" s="9"/>
    </row>
    <row r="966" spans="10:10" x14ac:dyDescent="0.3">
      <c r="J966" s="9"/>
    </row>
    <row r="972" spans="10:10" x14ac:dyDescent="0.3">
      <c r="J972" s="9"/>
    </row>
    <row r="978" spans="10:10" x14ac:dyDescent="0.3">
      <c r="J978" s="9"/>
    </row>
    <row r="984" spans="10:10" x14ac:dyDescent="0.3">
      <c r="J984" s="9"/>
    </row>
    <row r="990" spans="10:10" x14ac:dyDescent="0.3">
      <c r="J990" s="9"/>
    </row>
    <row r="996" spans="10:10" x14ac:dyDescent="0.3">
      <c r="J996" s="9"/>
    </row>
  </sheetData>
  <mergeCells count="2">
    <mergeCell ref="A2:F2"/>
    <mergeCell ref="A1:I1"/>
  </mergeCells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cols>
    <col min="1" max="1" width="39.6640625" bestFit="1" customWidth="1"/>
    <col min="2" max="2" width="60.6640625" customWidth="1"/>
  </cols>
  <sheetData>
    <row r="1" spans="1:2" ht="18" x14ac:dyDescent="0.35">
      <c r="A1" s="11" t="s">
        <v>72</v>
      </c>
      <c r="B1" s="12"/>
    </row>
    <row r="2" spans="1:2" x14ac:dyDescent="0.3">
      <c r="A2" s="13" t="s">
        <v>73</v>
      </c>
      <c r="B2" s="14"/>
    </row>
    <row r="3" spans="1:2" x14ac:dyDescent="0.3">
      <c r="A3" s="13" t="s">
        <v>74</v>
      </c>
      <c r="B3" s="14"/>
    </row>
    <row r="4" spans="1:2" x14ac:dyDescent="0.3">
      <c r="A4" s="13" t="s">
        <v>75</v>
      </c>
      <c r="B4" s="14"/>
    </row>
    <row r="5" spans="1:2" x14ac:dyDescent="0.3">
      <c r="A5" s="13" t="s">
        <v>76</v>
      </c>
      <c r="B5" s="14"/>
    </row>
    <row r="6" spans="1:2" x14ac:dyDescent="0.3">
      <c r="A6" s="13" t="s">
        <v>77</v>
      </c>
      <c r="B6" s="14"/>
    </row>
    <row r="7" spans="1:2" x14ac:dyDescent="0.3">
      <c r="A7" s="13" t="s">
        <v>78</v>
      </c>
      <c r="B7" s="14"/>
    </row>
    <row r="8" spans="1:2" x14ac:dyDescent="0.3">
      <c r="A8" s="13" t="s">
        <v>79</v>
      </c>
      <c r="B8" s="14"/>
    </row>
    <row r="9" spans="1:2" x14ac:dyDescent="0.3">
      <c r="A9" s="13" t="s">
        <v>80</v>
      </c>
      <c r="B9" s="14"/>
    </row>
    <row r="10" spans="1:2" x14ac:dyDescent="0.3">
      <c r="A10" s="13" t="s">
        <v>81</v>
      </c>
      <c r="B10" s="14"/>
    </row>
    <row r="11" spans="1:2" x14ac:dyDescent="0.3">
      <c r="A11" s="13" t="s">
        <v>82</v>
      </c>
      <c r="B11" s="14"/>
    </row>
    <row r="12" spans="1:2" x14ac:dyDescent="0.3">
      <c r="A12" s="13" t="s">
        <v>83</v>
      </c>
      <c r="B12" s="14"/>
    </row>
    <row r="13" spans="1:2" x14ac:dyDescent="0.3">
      <c r="A13" s="13" t="s">
        <v>84</v>
      </c>
      <c r="B13" s="14"/>
    </row>
    <row r="14" spans="1:2" x14ac:dyDescent="0.3">
      <c r="A14" s="13" t="s">
        <v>85</v>
      </c>
      <c r="B14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94"/>
  <sheetViews>
    <sheetView tabSelected="1" topLeftCell="A15" zoomScale="85" zoomScaleNormal="85" workbookViewId="0">
      <selection activeCell="A51" sqref="A51:XFD51"/>
    </sheetView>
  </sheetViews>
  <sheetFormatPr defaultColWidth="9.109375" defaultRowHeight="14.4" x14ac:dyDescent="0.3"/>
  <cols>
    <col min="1" max="1" width="12.6640625" bestFit="1" customWidth="1"/>
    <col min="2" max="2" width="75.33203125" customWidth="1"/>
    <col min="3" max="3" width="13.44140625" bestFit="1" customWidth="1"/>
    <col min="4" max="4" width="14.5546875" bestFit="1" customWidth="1"/>
    <col min="5" max="5" width="13.5546875" customWidth="1"/>
    <col min="6" max="6" width="16.5546875" bestFit="1" customWidth="1"/>
    <col min="7" max="7" width="15.6640625" customWidth="1"/>
    <col min="8" max="8" width="17.6640625" customWidth="1"/>
    <col min="9" max="9" width="19.6640625" customWidth="1"/>
    <col min="10" max="10" width="16.44140625" style="4" bestFit="1" customWidth="1"/>
    <col min="11" max="11" width="13.5546875" style="4" bestFit="1" customWidth="1"/>
    <col min="12" max="16384" width="9.109375" style="4"/>
  </cols>
  <sheetData>
    <row r="1" spans="1:18" s="2" customFormat="1" ht="28.2" customHeight="1" x14ac:dyDescent="0.3">
      <c r="A1" s="24" t="s">
        <v>4</v>
      </c>
      <c r="B1" s="25" t="s">
        <v>5</v>
      </c>
      <c r="C1" s="25"/>
      <c r="D1" s="25" t="s">
        <v>6</v>
      </c>
      <c r="E1" s="25" t="s">
        <v>7</v>
      </c>
      <c r="F1" s="26" t="s">
        <v>8</v>
      </c>
      <c r="G1" s="26" t="s">
        <v>9</v>
      </c>
      <c r="H1" s="26" t="s">
        <v>10</v>
      </c>
      <c r="I1" s="27" t="s">
        <v>11</v>
      </c>
      <c r="J1" s="1"/>
      <c r="K1" s="1"/>
      <c r="L1" s="1"/>
      <c r="M1" s="1"/>
      <c r="N1" s="1"/>
      <c r="O1" s="1"/>
      <c r="P1" s="21"/>
      <c r="Q1" s="1"/>
      <c r="R1" s="1"/>
    </row>
    <row r="2" spans="1:18" x14ac:dyDescent="0.3">
      <c r="A2" s="16" t="s">
        <v>12</v>
      </c>
      <c r="B2" s="28" t="s">
        <v>91</v>
      </c>
      <c r="C2" s="28" t="s">
        <v>13</v>
      </c>
      <c r="D2" s="29" t="s">
        <v>92</v>
      </c>
      <c r="E2" s="28"/>
      <c r="F2" s="18">
        <v>2</v>
      </c>
      <c r="G2" s="19"/>
      <c r="H2" s="20">
        <f t="shared" ref="H2" si="0">G2*F2</f>
        <v>0</v>
      </c>
      <c r="I2" s="23"/>
    </row>
    <row r="3" spans="1:18" x14ac:dyDescent="0.3">
      <c r="A3" s="16" t="s">
        <v>14</v>
      </c>
      <c r="B3" s="28" t="s">
        <v>91</v>
      </c>
      <c r="C3" s="28" t="s">
        <v>15</v>
      </c>
      <c r="D3" s="29" t="s">
        <v>92</v>
      </c>
      <c r="E3" s="28"/>
      <c r="F3" s="18">
        <v>2</v>
      </c>
      <c r="G3" s="19"/>
      <c r="H3" s="20">
        <f t="shared" ref="H3:H25" si="1">G3*F3</f>
        <v>0</v>
      </c>
      <c r="I3" s="23"/>
    </row>
    <row r="4" spans="1:18" x14ac:dyDescent="0.3">
      <c r="A4" s="16" t="s">
        <v>16</v>
      </c>
      <c r="B4" s="28" t="s">
        <v>91</v>
      </c>
      <c r="C4" s="28" t="s">
        <v>13</v>
      </c>
      <c r="D4" s="29" t="s">
        <v>92</v>
      </c>
      <c r="E4" s="28" t="s">
        <v>17</v>
      </c>
      <c r="F4" s="18">
        <v>2</v>
      </c>
      <c r="G4" s="19"/>
      <c r="H4" s="20">
        <f t="shared" si="1"/>
        <v>0</v>
      </c>
      <c r="I4" s="23"/>
    </row>
    <row r="5" spans="1:18" x14ac:dyDescent="0.3">
      <c r="A5" s="16" t="s">
        <v>18</v>
      </c>
      <c r="B5" s="28" t="s">
        <v>94</v>
      </c>
      <c r="C5" s="28" t="s">
        <v>13</v>
      </c>
      <c r="D5" s="28" t="s">
        <v>93</v>
      </c>
      <c r="E5" s="28"/>
      <c r="F5" s="18">
        <v>2</v>
      </c>
      <c r="G5" s="19"/>
      <c r="H5" s="20">
        <f t="shared" si="1"/>
        <v>0</v>
      </c>
      <c r="I5" s="23"/>
    </row>
    <row r="6" spans="1:18" x14ac:dyDescent="0.3">
      <c r="A6" s="16" t="s">
        <v>19</v>
      </c>
      <c r="B6" s="28" t="s">
        <v>94</v>
      </c>
      <c r="C6" s="28" t="s">
        <v>15</v>
      </c>
      <c r="D6" s="28" t="s">
        <v>93</v>
      </c>
      <c r="E6" s="17"/>
      <c r="F6" s="18">
        <v>2</v>
      </c>
      <c r="G6" s="19"/>
      <c r="H6" s="20">
        <f t="shared" si="1"/>
        <v>0</v>
      </c>
      <c r="I6" s="23"/>
    </row>
    <row r="7" spans="1:18" x14ac:dyDescent="0.3">
      <c r="A7" s="16" t="s">
        <v>20</v>
      </c>
      <c r="B7" s="28" t="s">
        <v>94</v>
      </c>
      <c r="C7" s="28" t="s">
        <v>13</v>
      </c>
      <c r="D7" s="28" t="s">
        <v>93</v>
      </c>
      <c r="E7" s="28" t="s">
        <v>17</v>
      </c>
      <c r="F7" s="18">
        <v>2</v>
      </c>
      <c r="G7" s="19"/>
      <c r="H7" s="20">
        <f t="shared" si="1"/>
        <v>0</v>
      </c>
      <c r="I7" s="23"/>
    </row>
    <row r="8" spans="1:18" x14ac:dyDescent="0.3">
      <c r="A8" s="16" t="s">
        <v>21</v>
      </c>
      <c r="B8" s="17" t="s">
        <v>96</v>
      </c>
      <c r="C8" s="28" t="s">
        <v>13</v>
      </c>
      <c r="D8" s="17" t="s">
        <v>95</v>
      </c>
      <c r="E8" s="17"/>
      <c r="F8" s="18">
        <v>2</v>
      </c>
      <c r="G8" s="19"/>
      <c r="H8" s="20">
        <f t="shared" si="1"/>
        <v>0</v>
      </c>
      <c r="I8" s="23"/>
    </row>
    <row r="9" spans="1:18" x14ac:dyDescent="0.3">
      <c r="A9" s="16" t="s">
        <v>22</v>
      </c>
      <c r="B9" s="17" t="s">
        <v>96</v>
      </c>
      <c r="C9" s="28" t="s">
        <v>15</v>
      </c>
      <c r="D9" s="17" t="s">
        <v>95</v>
      </c>
      <c r="E9" s="17"/>
      <c r="F9" s="18">
        <v>2</v>
      </c>
      <c r="G9" s="19"/>
      <c r="H9" s="20">
        <f t="shared" si="1"/>
        <v>0</v>
      </c>
      <c r="I9" s="23"/>
    </row>
    <row r="10" spans="1:18" x14ac:dyDescent="0.3">
      <c r="A10" s="16" t="s">
        <v>23</v>
      </c>
      <c r="B10" s="17" t="s">
        <v>96</v>
      </c>
      <c r="C10" s="28" t="s">
        <v>13</v>
      </c>
      <c r="D10" s="17" t="s">
        <v>95</v>
      </c>
      <c r="E10" s="28" t="s">
        <v>17</v>
      </c>
      <c r="F10" s="18">
        <v>2</v>
      </c>
      <c r="G10" s="19"/>
      <c r="H10" s="20">
        <f t="shared" si="1"/>
        <v>0</v>
      </c>
      <c r="I10" s="23"/>
    </row>
    <row r="11" spans="1:18" x14ac:dyDescent="0.3">
      <c r="A11" s="16" t="s">
        <v>24</v>
      </c>
      <c r="B11" s="17" t="s">
        <v>98</v>
      </c>
      <c r="C11" s="28" t="s">
        <v>13</v>
      </c>
      <c r="D11" s="17" t="s">
        <v>97</v>
      </c>
      <c r="E11" s="17"/>
      <c r="F11" s="18">
        <v>4</v>
      </c>
      <c r="G11" s="19"/>
      <c r="H11" s="20">
        <f t="shared" si="1"/>
        <v>0</v>
      </c>
      <c r="I11" s="23"/>
    </row>
    <row r="12" spans="1:18" x14ac:dyDescent="0.3">
      <c r="A12" s="16" t="s">
        <v>25</v>
      </c>
      <c r="B12" s="17" t="s">
        <v>98</v>
      </c>
      <c r="C12" s="28" t="s">
        <v>15</v>
      </c>
      <c r="D12" s="17" t="s">
        <v>97</v>
      </c>
      <c r="E12" s="17"/>
      <c r="F12" s="18">
        <v>2</v>
      </c>
      <c r="G12" s="19"/>
      <c r="H12" s="20">
        <f t="shared" si="1"/>
        <v>0</v>
      </c>
      <c r="I12" s="23"/>
    </row>
    <row r="13" spans="1:18" x14ac:dyDescent="0.3">
      <c r="A13" s="16" t="s">
        <v>26</v>
      </c>
      <c r="B13" s="17" t="s">
        <v>98</v>
      </c>
      <c r="C13" s="28" t="s">
        <v>13</v>
      </c>
      <c r="D13" s="17" t="s">
        <v>97</v>
      </c>
      <c r="E13" s="28" t="s">
        <v>17</v>
      </c>
      <c r="F13" s="18">
        <v>4</v>
      </c>
      <c r="G13" s="19"/>
      <c r="H13" s="20">
        <f t="shared" si="1"/>
        <v>0</v>
      </c>
      <c r="I13" s="23"/>
    </row>
    <row r="14" spans="1:18" x14ac:dyDescent="0.3">
      <c r="A14" s="16" t="s">
        <v>27</v>
      </c>
      <c r="B14" s="17" t="s">
        <v>99</v>
      </c>
      <c r="C14" s="28" t="s">
        <v>13</v>
      </c>
      <c r="D14" s="17" t="s">
        <v>100</v>
      </c>
      <c r="E14" s="5"/>
      <c r="F14" s="18">
        <v>6</v>
      </c>
      <c r="G14" s="19"/>
      <c r="H14" s="20">
        <f t="shared" si="1"/>
        <v>0</v>
      </c>
      <c r="I14" s="23"/>
    </row>
    <row r="15" spans="1:18" x14ac:dyDescent="0.3">
      <c r="A15" s="16" t="s">
        <v>28</v>
      </c>
      <c r="B15" s="17" t="s">
        <v>99</v>
      </c>
      <c r="C15" s="5" t="s">
        <v>15</v>
      </c>
      <c r="D15" s="17" t="s">
        <v>100</v>
      </c>
      <c r="E15" s="17"/>
      <c r="F15" s="18">
        <v>3</v>
      </c>
      <c r="G15" s="19"/>
      <c r="H15" s="20">
        <f t="shared" si="1"/>
        <v>0</v>
      </c>
      <c r="I15" s="23"/>
    </row>
    <row r="16" spans="1:18" x14ac:dyDescent="0.3">
      <c r="A16" s="16" t="s">
        <v>29</v>
      </c>
      <c r="B16" s="17" t="s">
        <v>99</v>
      </c>
      <c r="C16" s="28" t="s">
        <v>13</v>
      </c>
      <c r="D16" s="17" t="s">
        <v>100</v>
      </c>
      <c r="E16" s="28" t="s">
        <v>17</v>
      </c>
      <c r="F16" s="18">
        <v>6</v>
      </c>
      <c r="G16" s="19"/>
      <c r="H16" s="20">
        <f t="shared" si="1"/>
        <v>0</v>
      </c>
      <c r="I16" s="23"/>
    </row>
    <row r="17" spans="1:19" x14ac:dyDescent="0.3">
      <c r="A17" s="16" t="s">
        <v>30</v>
      </c>
      <c r="B17" s="17" t="s">
        <v>101</v>
      </c>
      <c r="C17" s="28" t="s">
        <v>13</v>
      </c>
      <c r="D17" s="17" t="s">
        <v>102</v>
      </c>
      <c r="E17" s="17"/>
      <c r="F17" s="18">
        <v>2</v>
      </c>
      <c r="G17" s="19"/>
      <c r="H17" s="20">
        <f t="shared" si="1"/>
        <v>0</v>
      </c>
      <c r="I17" s="23"/>
    </row>
    <row r="18" spans="1:19" x14ac:dyDescent="0.3">
      <c r="A18" s="16" t="s">
        <v>31</v>
      </c>
      <c r="B18" s="17" t="s">
        <v>101</v>
      </c>
      <c r="C18" s="28" t="s">
        <v>15</v>
      </c>
      <c r="D18" s="17" t="s">
        <v>102</v>
      </c>
      <c r="E18" s="17"/>
      <c r="F18" s="18">
        <v>2</v>
      </c>
      <c r="G18" s="19"/>
      <c r="H18" s="20">
        <f t="shared" si="1"/>
        <v>0</v>
      </c>
      <c r="I18" s="23"/>
    </row>
    <row r="19" spans="1:19" x14ac:dyDescent="0.3">
      <c r="A19" s="16" t="s">
        <v>32</v>
      </c>
      <c r="B19" s="17" t="s">
        <v>101</v>
      </c>
      <c r="C19" s="28" t="s">
        <v>13</v>
      </c>
      <c r="D19" s="17" t="s">
        <v>102</v>
      </c>
      <c r="E19" s="28" t="s">
        <v>17</v>
      </c>
      <c r="F19" s="18">
        <v>2</v>
      </c>
      <c r="G19" s="19"/>
      <c r="H19" s="20">
        <f t="shared" si="1"/>
        <v>0</v>
      </c>
      <c r="I19" s="23"/>
    </row>
    <row r="20" spans="1:19" x14ac:dyDescent="0.3">
      <c r="A20" s="16" t="s">
        <v>33</v>
      </c>
      <c r="B20" s="17" t="s">
        <v>103</v>
      </c>
      <c r="C20" s="28" t="s">
        <v>13</v>
      </c>
      <c r="D20" s="17" t="s">
        <v>104</v>
      </c>
      <c r="E20" s="17"/>
      <c r="F20" s="18">
        <v>2</v>
      </c>
      <c r="G20" s="19"/>
      <c r="H20" s="20">
        <f t="shared" si="1"/>
        <v>0</v>
      </c>
      <c r="I20" s="23"/>
    </row>
    <row r="21" spans="1:19" x14ac:dyDescent="0.3">
      <c r="A21" s="16" t="s">
        <v>34</v>
      </c>
      <c r="B21" s="17" t="s">
        <v>103</v>
      </c>
      <c r="C21" s="28" t="s">
        <v>15</v>
      </c>
      <c r="D21" s="17" t="s">
        <v>104</v>
      </c>
      <c r="E21" s="17"/>
      <c r="F21" s="18">
        <v>2</v>
      </c>
      <c r="G21" s="19"/>
      <c r="H21" s="20">
        <f t="shared" si="1"/>
        <v>0</v>
      </c>
      <c r="I21" s="23"/>
    </row>
    <row r="22" spans="1:19" x14ac:dyDescent="0.3">
      <c r="A22" s="16" t="s">
        <v>35</v>
      </c>
      <c r="B22" s="17" t="s">
        <v>103</v>
      </c>
      <c r="C22" s="28" t="s">
        <v>13</v>
      </c>
      <c r="D22" s="17" t="s">
        <v>104</v>
      </c>
      <c r="E22" s="28" t="s">
        <v>17</v>
      </c>
      <c r="F22" s="18">
        <v>2</v>
      </c>
      <c r="G22" s="19"/>
      <c r="H22" s="20">
        <f t="shared" si="1"/>
        <v>0</v>
      </c>
      <c r="I22" s="23"/>
    </row>
    <row r="23" spans="1:19" x14ac:dyDescent="0.3">
      <c r="A23" s="16" t="s">
        <v>36</v>
      </c>
      <c r="B23" s="17" t="s">
        <v>105</v>
      </c>
      <c r="C23" s="28" t="s">
        <v>13</v>
      </c>
      <c r="D23" s="17" t="s">
        <v>106</v>
      </c>
      <c r="E23" s="17"/>
      <c r="F23" s="18">
        <v>12</v>
      </c>
      <c r="G23" s="19"/>
      <c r="H23" s="20">
        <f t="shared" si="1"/>
        <v>0</v>
      </c>
      <c r="I23" s="23"/>
    </row>
    <row r="24" spans="1:19" x14ac:dyDescent="0.3">
      <c r="A24" s="16" t="s">
        <v>37</v>
      </c>
      <c r="B24" s="17" t="s">
        <v>105</v>
      </c>
      <c r="C24" s="28" t="s">
        <v>15</v>
      </c>
      <c r="D24" s="17" t="s">
        <v>106</v>
      </c>
      <c r="E24" s="17"/>
      <c r="F24" s="18">
        <v>2</v>
      </c>
      <c r="G24" s="19"/>
      <c r="H24" s="20">
        <f t="shared" si="1"/>
        <v>0</v>
      </c>
      <c r="I24" s="23"/>
    </row>
    <row r="25" spans="1:19" x14ac:dyDescent="0.3">
      <c r="A25" s="16" t="s">
        <v>38</v>
      </c>
      <c r="B25" s="17" t="s">
        <v>105</v>
      </c>
      <c r="C25" s="28" t="s">
        <v>13</v>
      </c>
      <c r="D25" s="17" t="s">
        <v>106</v>
      </c>
      <c r="E25" s="28" t="s">
        <v>17</v>
      </c>
      <c r="F25" s="18">
        <v>12</v>
      </c>
      <c r="G25" s="19"/>
      <c r="H25" s="20">
        <f t="shared" si="1"/>
        <v>0</v>
      </c>
      <c r="I25" s="23"/>
    </row>
    <row r="26" spans="1:19" x14ac:dyDescent="0.3">
      <c r="A26" s="16" t="s">
        <v>39</v>
      </c>
      <c r="B26" s="17" t="s">
        <v>107</v>
      </c>
      <c r="C26" s="28" t="s">
        <v>13</v>
      </c>
      <c r="D26" s="17" t="s">
        <v>108</v>
      </c>
      <c r="E26" s="17"/>
      <c r="F26" s="18">
        <v>2</v>
      </c>
      <c r="G26" s="19"/>
      <c r="H26" s="20">
        <f t="shared" ref="H26:H28" si="2">G26*F26</f>
        <v>0</v>
      </c>
      <c r="I26" s="23"/>
    </row>
    <row r="27" spans="1:19" x14ac:dyDescent="0.3">
      <c r="A27" s="16" t="s">
        <v>40</v>
      </c>
      <c r="B27" s="17" t="s">
        <v>107</v>
      </c>
      <c r="C27" s="28" t="s">
        <v>15</v>
      </c>
      <c r="D27" s="17" t="s">
        <v>108</v>
      </c>
      <c r="E27" s="17"/>
      <c r="F27" s="18">
        <v>2</v>
      </c>
      <c r="G27" s="19"/>
      <c r="H27" s="20">
        <f t="shared" si="2"/>
        <v>0</v>
      </c>
      <c r="I27" s="23"/>
    </row>
    <row r="28" spans="1:19" x14ac:dyDescent="0.3">
      <c r="A28" s="16" t="s">
        <v>41</v>
      </c>
      <c r="B28" s="17" t="s">
        <v>107</v>
      </c>
      <c r="C28" s="28" t="s">
        <v>13</v>
      </c>
      <c r="D28" s="17" t="s">
        <v>108</v>
      </c>
      <c r="E28" s="28" t="s">
        <v>17</v>
      </c>
      <c r="F28" s="18">
        <v>2</v>
      </c>
      <c r="G28" s="19"/>
      <c r="H28" s="20">
        <f t="shared" si="2"/>
        <v>0</v>
      </c>
      <c r="I28" s="23"/>
      <c r="K28" s="16"/>
      <c r="L28" s="17"/>
      <c r="M28" s="28"/>
      <c r="N28" s="17"/>
      <c r="O28" s="28"/>
      <c r="P28" s="18"/>
      <c r="Q28" s="19"/>
      <c r="R28" s="20"/>
      <c r="S28" s="23"/>
    </row>
    <row r="29" spans="1:19" x14ac:dyDescent="0.3">
      <c r="A29" s="16" t="s">
        <v>42</v>
      </c>
      <c r="B29" s="17" t="s">
        <v>109</v>
      </c>
      <c r="C29" s="28" t="s">
        <v>13</v>
      </c>
      <c r="D29" s="17" t="s">
        <v>110</v>
      </c>
      <c r="E29" s="17"/>
      <c r="F29" s="18">
        <v>2</v>
      </c>
      <c r="G29" s="19"/>
      <c r="H29" s="20">
        <f t="shared" ref="H29:H55" si="3">G29*F29</f>
        <v>0</v>
      </c>
      <c r="I29" s="23"/>
    </row>
    <row r="30" spans="1:19" x14ac:dyDescent="0.3">
      <c r="A30" s="16" t="s">
        <v>43</v>
      </c>
      <c r="B30" s="17" t="s">
        <v>109</v>
      </c>
      <c r="C30" s="28" t="s">
        <v>15</v>
      </c>
      <c r="D30" s="17" t="s">
        <v>110</v>
      </c>
      <c r="E30" s="17"/>
      <c r="F30" s="18">
        <v>2</v>
      </c>
      <c r="G30" s="19"/>
      <c r="H30" s="20">
        <f t="shared" si="3"/>
        <v>0</v>
      </c>
      <c r="I30" s="23"/>
    </row>
    <row r="31" spans="1:19" s="3" customFormat="1" x14ac:dyDescent="0.3">
      <c r="A31" s="16" t="s">
        <v>44</v>
      </c>
      <c r="B31" s="17" t="s">
        <v>109</v>
      </c>
      <c r="C31" s="28" t="s">
        <v>13</v>
      </c>
      <c r="D31" s="17" t="s">
        <v>110</v>
      </c>
      <c r="E31" s="28" t="s">
        <v>17</v>
      </c>
      <c r="F31" s="18">
        <v>2</v>
      </c>
      <c r="G31" s="19"/>
      <c r="H31" s="20">
        <f t="shared" si="3"/>
        <v>0</v>
      </c>
      <c r="I31" s="23"/>
      <c r="J31" s="6"/>
      <c r="K31" s="7"/>
    </row>
    <row r="32" spans="1:19" s="3" customFormat="1" x14ac:dyDescent="0.3">
      <c r="A32" s="16" t="s">
        <v>45</v>
      </c>
      <c r="B32" s="17" t="s">
        <v>111</v>
      </c>
      <c r="C32" s="28" t="s">
        <v>13</v>
      </c>
      <c r="D32" s="17" t="s">
        <v>112</v>
      </c>
      <c r="E32" s="28"/>
      <c r="F32" s="18">
        <v>2</v>
      </c>
      <c r="G32" s="19"/>
      <c r="H32" s="20">
        <f t="shared" si="3"/>
        <v>0</v>
      </c>
      <c r="I32" s="23"/>
      <c r="J32" s="6"/>
      <c r="K32" s="7"/>
    </row>
    <row r="33" spans="1:19" s="3" customFormat="1" x14ac:dyDescent="0.3">
      <c r="A33" s="16" t="s">
        <v>46</v>
      </c>
      <c r="B33" s="17" t="s">
        <v>111</v>
      </c>
      <c r="C33" s="28" t="s">
        <v>15</v>
      </c>
      <c r="D33" s="17" t="s">
        <v>112</v>
      </c>
      <c r="E33" s="17"/>
      <c r="F33" s="18">
        <v>2</v>
      </c>
      <c r="G33" s="19"/>
      <c r="H33" s="20">
        <f t="shared" si="3"/>
        <v>0</v>
      </c>
      <c r="I33" s="23"/>
      <c r="J33" s="6"/>
      <c r="K33" s="7"/>
    </row>
    <row r="34" spans="1:19" s="3" customFormat="1" x14ac:dyDescent="0.3">
      <c r="A34" s="16" t="s">
        <v>47</v>
      </c>
      <c r="B34" s="17" t="s">
        <v>111</v>
      </c>
      <c r="C34" s="28" t="s">
        <v>13</v>
      </c>
      <c r="D34" s="17" t="s">
        <v>112</v>
      </c>
      <c r="E34" s="17" t="s">
        <v>17</v>
      </c>
      <c r="F34" s="18">
        <v>2</v>
      </c>
      <c r="G34" s="19"/>
      <c r="H34" s="20">
        <f t="shared" si="3"/>
        <v>0</v>
      </c>
      <c r="I34" s="23"/>
      <c r="J34" s="6"/>
      <c r="K34" s="7"/>
    </row>
    <row r="35" spans="1:19" s="3" customFormat="1" x14ac:dyDescent="0.3">
      <c r="A35" s="16" t="s">
        <v>48</v>
      </c>
      <c r="B35" s="17" t="s">
        <v>113</v>
      </c>
      <c r="C35" s="28" t="s">
        <v>13</v>
      </c>
      <c r="D35" s="17" t="s">
        <v>114</v>
      </c>
      <c r="E35" s="28"/>
      <c r="F35" s="18">
        <v>2</v>
      </c>
      <c r="G35" s="19"/>
      <c r="H35" s="20">
        <f t="shared" si="3"/>
        <v>0</v>
      </c>
      <c r="I35" s="23"/>
      <c r="J35" s="6"/>
      <c r="K35" s="7"/>
    </row>
    <row r="36" spans="1:19" s="3" customFormat="1" x14ac:dyDescent="0.3">
      <c r="A36" s="16" t="s">
        <v>49</v>
      </c>
      <c r="B36" s="17" t="s">
        <v>113</v>
      </c>
      <c r="C36" s="28" t="s">
        <v>15</v>
      </c>
      <c r="D36" s="17" t="s">
        <v>114</v>
      </c>
      <c r="E36" s="17"/>
      <c r="F36" s="18">
        <v>2</v>
      </c>
      <c r="G36" s="19"/>
      <c r="H36" s="20">
        <f t="shared" si="3"/>
        <v>0</v>
      </c>
      <c r="I36" s="23"/>
      <c r="J36" s="6"/>
      <c r="K36" s="7"/>
    </row>
    <row r="37" spans="1:19" s="3" customFormat="1" x14ac:dyDescent="0.3">
      <c r="A37" s="16" t="s">
        <v>50</v>
      </c>
      <c r="B37" s="17" t="s">
        <v>113</v>
      </c>
      <c r="C37" s="28" t="s">
        <v>13</v>
      </c>
      <c r="D37" s="17" t="s">
        <v>114</v>
      </c>
      <c r="E37" s="17" t="s">
        <v>17</v>
      </c>
      <c r="F37" s="18">
        <v>2</v>
      </c>
      <c r="G37" s="19"/>
      <c r="H37" s="20">
        <f t="shared" si="3"/>
        <v>0</v>
      </c>
      <c r="I37" s="23"/>
      <c r="J37" s="6"/>
      <c r="K37" s="7"/>
    </row>
    <row r="38" spans="1:19" s="3" customFormat="1" x14ac:dyDescent="0.3">
      <c r="A38" s="16" t="s">
        <v>51</v>
      </c>
      <c r="B38" s="17" t="s">
        <v>115</v>
      </c>
      <c r="C38" s="28" t="s">
        <v>13</v>
      </c>
      <c r="D38" s="17" t="s">
        <v>116</v>
      </c>
      <c r="E38" s="28"/>
      <c r="F38" s="18">
        <v>2</v>
      </c>
      <c r="G38" s="19"/>
      <c r="H38" s="20">
        <f t="shared" si="3"/>
        <v>0</v>
      </c>
      <c r="I38" s="23"/>
      <c r="J38" s="6"/>
      <c r="K38" s="7"/>
    </row>
    <row r="39" spans="1:19" s="3" customFormat="1" x14ac:dyDescent="0.3">
      <c r="A39" s="16" t="s">
        <v>52</v>
      </c>
      <c r="B39" s="17" t="s">
        <v>115</v>
      </c>
      <c r="C39" s="28" t="s">
        <v>15</v>
      </c>
      <c r="D39" s="17" t="s">
        <v>116</v>
      </c>
      <c r="E39" s="28"/>
      <c r="F39" s="18">
        <v>2</v>
      </c>
      <c r="G39" s="19"/>
      <c r="H39" s="20">
        <f t="shared" si="3"/>
        <v>0</v>
      </c>
      <c r="I39" s="23"/>
      <c r="J39" s="6"/>
      <c r="K39" s="7"/>
    </row>
    <row r="40" spans="1:19" s="3" customFormat="1" x14ac:dyDescent="0.3">
      <c r="A40" s="16" t="s">
        <v>53</v>
      </c>
      <c r="B40" s="17" t="s">
        <v>115</v>
      </c>
      <c r="C40" s="28" t="s">
        <v>13</v>
      </c>
      <c r="D40" s="17" t="s">
        <v>116</v>
      </c>
      <c r="E40" s="17" t="s">
        <v>17</v>
      </c>
      <c r="F40" s="18">
        <v>2</v>
      </c>
      <c r="G40" s="19"/>
      <c r="H40" s="20">
        <f t="shared" si="3"/>
        <v>0</v>
      </c>
      <c r="I40" s="23"/>
      <c r="J40" s="6"/>
      <c r="K40" s="7"/>
    </row>
    <row r="41" spans="1:19" s="3" customFormat="1" x14ac:dyDescent="0.3">
      <c r="A41" s="16" t="s">
        <v>54</v>
      </c>
      <c r="B41" s="17" t="s">
        <v>117</v>
      </c>
      <c r="C41" s="28" t="s">
        <v>13</v>
      </c>
      <c r="D41" s="17" t="s">
        <v>118</v>
      </c>
      <c r="E41" s="17"/>
      <c r="F41" s="18">
        <v>2</v>
      </c>
      <c r="G41" s="19"/>
      <c r="H41" s="20">
        <f t="shared" si="3"/>
        <v>0</v>
      </c>
      <c r="I41" s="23"/>
      <c r="J41" s="6"/>
      <c r="K41" s="7"/>
    </row>
    <row r="42" spans="1:19" s="3" customFormat="1" x14ac:dyDescent="0.3">
      <c r="A42" s="16" t="s">
        <v>55</v>
      </c>
      <c r="B42" s="17" t="s">
        <v>117</v>
      </c>
      <c r="C42" s="28" t="s">
        <v>15</v>
      </c>
      <c r="D42" s="17" t="s">
        <v>118</v>
      </c>
      <c r="E42" s="28"/>
      <c r="F42" s="18">
        <v>2</v>
      </c>
      <c r="G42" s="19"/>
      <c r="H42" s="20">
        <f t="shared" si="3"/>
        <v>0</v>
      </c>
      <c r="I42" s="23"/>
      <c r="J42" s="6"/>
      <c r="K42" s="7"/>
    </row>
    <row r="43" spans="1:19" s="3" customFormat="1" x14ac:dyDescent="0.3">
      <c r="A43" s="16" t="s">
        <v>56</v>
      </c>
      <c r="B43" s="17" t="s">
        <v>117</v>
      </c>
      <c r="C43" s="28" t="s">
        <v>13</v>
      </c>
      <c r="D43" s="17" t="s">
        <v>118</v>
      </c>
      <c r="E43" s="17" t="s">
        <v>17</v>
      </c>
      <c r="F43" s="18">
        <v>2</v>
      </c>
      <c r="G43" s="19"/>
      <c r="H43" s="20">
        <f t="shared" si="3"/>
        <v>0</v>
      </c>
      <c r="I43" s="23"/>
      <c r="J43" s="6"/>
      <c r="K43" s="7"/>
    </row>
    <row r="44" spans="1:19" s="3" customFormat="1" x14ac:dyDescent="0.3">
      <c r="A44" s="16" t="s">
        <v>57</v>
      </c>
      <c r="B44" s="17" t="s">
        <v>119</v>
      </c>
      <c r="C44" s="28" t="s">
        <v>13</v>
      </c>
      <c r="D44" s="17" t="s">
        <v>120</v>
      </c>
      <c r="E44" s="17"/>
      <c r="F44" s="18">
        <v>2</v>
      </c>
      <c r="G44" s="19"/>
      <c r="H44" s="20">
        <f t="shared" si="3"/>
        <v>0</v>
      </c>
      <c r="I44" s="23"/>
      <c r="J44" s="6"/>
      <c r="K44" s="16"/>
      <c r="L44" s="17"/>
      <c r="M44" s="28"/>
      <c r="N44" s="17"/>
      <c r="O44" s="28"/>
      <c r="P44" s="18"/>
      <c r="Q44" s="19"/>
      <c r="R44" s="20"/>
      <c r="S44" s="23"/>
    </row>
    <row r="45" spans="1:19" s="3" customFormat="1" x14ac:dyDescent="0.3">
      <c r="A45" s="16" t="s">
        <v>58</v>
      </c>
      <c r="B45" s="17" t="s">
        <v>119</v>
      </c>
      <c r="C45" s="28" t="s">
        <v>15</v>
      </c>
      <c r="D45" s="17" t="s">
        <v>120</v>
      </c>
      <c r="E45" s="28"/>
      <c r="F45" s="18">
        <v>2</v>
      </c>
      <c r="G45" s="19"/>
      <c r="H45" s="20">
        <f t="shared" si="3"/>
        <v>0</v>
      </c>
      <c r="I45" s="23"/>
      <c r="J45" s="6"/>
      <c r="K45" s="7"/>
    </row>
    <row r="46" spans="1:19" s="3" customFormat="1" x14ac:dyDescent="0.3">
      <c r="A46" s="16" t="s">
        <v>59</v>
      </c>
      <c r="B46" s="17" t="s">
        <v>119</v>
      </c>
      <c r="C46" s="28" t="s">
        <v>13</v>
      </c>
      <c r="D46" s="17" t="s">
        <v>120</v>
      </c>
      <c r="E46" s="28" t="s">
        <v>17</v>
      </c>
      <c r="F46" s="18">
        <v>2</v>
      </c>
      <c r="G46" s="19"/>
      <c r="H46" s="20">
        <f t="shared" si="3"/>
        <v>0</v>
      </c>
      <c r="I46" s="23"/>
      <c r="J46" s="6"/>
      <c r="K46" s="7"/>
    </row>
    <row r="47" spans="1:19" s="3" customFormat="1" x14ac:dyDescent="0.3">
      <c r="A47" s="16" t="s">
        <v>60</v>
      </c>
      <c r="B47" s="17" t="s">
        <v>121</v>
      </c>
      <c r="C47" s="28" t="s">
        <v>13</v>
      </c>
      <c r="D47" s="17" t="s">
        <v>122</v>
      </c>
      <c r="E47" s="17"/>
      <c r="F47" s="18">
        <v>2</v>
      </c>
      <c r="G47" s="19"/>
      <c r="H47" s="20">
        <f t="shared" si="3"/>
        <v>0</v>
      </c>
      <c r="I47" s="23"/>
      <c r="J47" s="6"/>
      <c r="K47" s="7"/>
    </row>
    <row r="48" spans="1:19" s="3" customFormat="1" x14ac:dyDescent="0.3">
      <c r="A48" s="16" t="s">
        <v>61</v>
      </c>
      <c r="B48" s="17" t="s">
        <v>121</v>
      </c>
      <c r="C48" s="28" t="s">
        <v>15</v>
      </c>
      <c r="D48" s="17" t="s">
        <v>122</v>
      </c>
      <c r="E48" s="17"/>
      <c r="F48" s="18">
        <v>2</v>
      </c>
      <c r="G48" s="19"/>
      <c r="H48" s="20">
        <f t="shared" si="3"/>
        <v>0</v>
      </c>
      <c r="I48" s="23"/>
      <c r="J48" s="6"/>
      <c r="K48" s="7"/>
    </row>
    <row r="49" spans="1:11" s="3" customFormat="1" x14ac:dyDescent="0.3">
      <c r="A49" s="16" t="s">
        <v>62</v>
      </c>
      <c r="B49" s="17" t="s">
        <v>121</v>
      </c>
      <c r="C49" s="28" t="s">
        <v>13</v>
      </c>
      <c r="D49" s="17" t="s">
        <v>122</v>
      </c>
      <c r="E49" s="28" t="s">
        <v>17</v>
      </c>
      <c r="F49" s="18">
        <v>2</v>
      </c>
      <c r="G49" s="19"/>
      <c r="H49" s="20">
        <f t="shared" si="3"/>
        <v>0</v>
      </c>
      <c r="I49" s="23"/>
      <c r="J49" s="6"/>
      <c r="K49" s="7"/>
    </row>
    <row r="50" spans="1:11" s="3" customFormat="1" x14ac:dyDescent="0.3">
      <c r="A50" s="16" t="s">
        <v>63</v>
      </c>
      <c r="B50" s="17" t="s">
        <v>123</v>
      </c>
      <c r="C50" s="28" t="s">
        <v>13</v>
      </c>
      <c r="D50" s="17" t="s">
        <v>124</v>
      </c>
      <c r="E50" s="17"/>
      <c r="F50" s="18">
        <v>10</v>
      </c>
      <c r="G50" s="19"/>
      <c r="H50" s="20">
        <f t="shared" si="3"/>
        <v>0</v>
      </c>
      <c r="I50" s="23"/>
      <c r="J50" s="6"/>
      <c r="K50" s="7"/>
    </row>
    <row r="51" spans="1:11" s="3" customFormat="1" x14ac:dyDescent="0.3">
      <c r="A51" s="16" t="s">
        <v>64</v>
      </c>
      <c r="B51" s="17" t="s">
        <v>123</v>
      </c>
      <c r="C51" s="28" t="s">
        <v>15</v>
      </c>
      <c r="D51" s="17" t="s">
        <v>124</v>
      </c>
      <c r="E51" s="17" t="s">
        <v>17</v>
      </c>
      <c r="F51" s="18">
        <v>1</v>
      </c>
      <c r="G51" s="19"/>
      <c r="H51" s="20">
        <f t="shared" si="3"/>
        <v>0</v>
      </c>
      <c r="I51" s="23"/>
      <c r="J51" s="6"/>
      <c r="K51" s="7"/>
    </row>
    <row r="52" spans="1:11" s="3" customFormat="1" x14ac:dyDescent="0.3">
      <c r="A52" s="16" t="s">
        <v>65</v>
      </c>
      <c r="B52" s="17" t="s">
        <v>123</v>
      </c>
      <c r="C52" s="28" t="s">
        <v>13</v>
      </c>
      <c r="D52" s="17" t="s">
        <v>124</v>
      </c>
      <c r="E52" s="28" t="s">
        <v>17</v>
      </c>
      <c r="F52" s="18">
        <v>2</v>
      </c>
      <c r="G52" s="19"/>
      <c r="H52" s="20">
        <f t="shared" si="3"/>
        <v>0</v>
      </c>
      <c r="I52" s="23"/>
      <c r="J52" s="6"/>
      <c r="K52" s="7"/>
    </row>
    <row r="53" spans="1:11" s="3" customFormat="1" x14ac:dyDescent="0.3">
      <c r="A53" s="16" t="s">
        <v>66</v>
      </c>
      <c r="B53" s="17" t="s">
        <v>125</v>
      </c>
      <c r="C53" s="28" t="s">
        <v>13</v>
      </c>
      <c r="D53" s="17" t="s">
        <v>126</v>
      </c>
      <c r="E53" s="28"/>
      <c r="F53" s="18">
        <v>10</v>
      </c>
      <c r="G53" s="19"/>
      <c r="H53" s="20">
        <f t="shared" si="3"/>
        <v>0</v>
      </c>
      <c r="I53" s="23"/>
      <c r="J53" s="6"/>
      <c r="K53" s="7"/>
    </row>
    <row r="54" spans="1:11" s="3" customFormat="1" x14ac:dyDescent="0.3">
      <c r="A54" s="16" t="s">
        <v>67</v>
      </c>
      <c r="B54" s="17" t="s">
        <v>125</v>
      </c>
      <c r="C54" s="28" t="s">
        <v>15</v>
      </c>
      <c r="D54" s="17" t="s">
        <v>126</v>
      </c>
      <c r="E54" s="17" t="s">
        <v>17</v>
      </c>
      <c r="F54" s="18">
        <v>1</v>
      </c>
      <c r="G54" s="19"/>
      <c r="H54" s="20">
        <f t="shared" si="3"/>
        <v>0</v>
      </c>
      <c r="I54" s="23"/>
      <c r="J54" s="6"/>
      <c r="K54" s="7"/>
    </row>
    <row r="55" spans="1:11" s="3" customFormat="1" x14ac:dyDescent="0.3">
      <c r="A55" s="16" t="s">
        <v>68</v>
      </c>
      <c r="B55" s="17" t="s">
        <v>125</v>
      </c>
      <c r="C55" s="28" t="s">
        <v>13</v>
      </c>
      <c r="D55" s="17" t="s">
        <v>126</v>
      </c>
      <c r="E55" s="17" t="s">
        <v>17</v>
      </c>
      <c r="F55" s="18">
        <v>2</v>
      </c>
      <c r="G55" s="19"/>
      <c r="H55" s="20">
        <f t="shared" si="3"/>
        <v>0</v>
      </c>
      <c r="I55" s="23"/>
      <c r="J55" s="6"/>
      <c r="K55" s="7"/>
    </row>
    <row r="56" spans="1:11" x14ac:dyDescent="0.3">
      <c r="A56" s="16" t="s">
        <v>69</v>
      </c>
      <c r="B56" s="17" t="s">
        <v>86</v>
      </c>
      <c r="C56" s="28" t="s">
        <v>13</v>
      </c>
      <c r="D56" s="17" t="s">
        <v>89</v>
      </c>
      <c r="E56" s="23"/>
      <c r="F56" s="23"/>
      <c r="G56" s="23" t="s">
        <v>90</v>
      </c>
      <c r="H56" s="32"/>
      <c r="I56" s="23"/>
    </row>
    <row r="57" spans="1:11" x14ac:dyDescent="0.3">
      <c r="A57" s="16" t="s">
        <v>70</v>
      </c>
      <c r="B57" s="17" t="s">
        <v>87</v>
      </c>
      <c r="C57" s="28" t="s">
        <v>15</v>
      </c>
      <c r="D57" s="17" t="s">
        <v>89</v>
      </c>
      <c r="E57" s="23"/>
      <c r="F57" s="23"/>
      <c r="G57" s="23" t="s">
        <v>90</v>
      </c>
      <c r="H57" s="32"/>
      <c r="I57" s="23"/>
    </row>
    <row r="58" spans="1:11" x14ac:dyDescent="0.3">
      <c r="A58" s="16" t="s">
        <v>71</v>
      </c>
      <c r="B58" s="17" t="s">
        <v>88</v>
      </c>
      <c r="C58" s="28" t="s">
        <v>13</v>
      </c>
      <c r="D58" s="17" t="s">
        <v>89</v>
      </c>
      <c r="E58" s="23" t="s">
        <v>17</v>
      </c>
      <c r="F58" s="23"/>
      <c r="G58" s="23" t="s">
        <v>90</v>
      </c>
      <c r="H58" s="32"/>
      <c r="I58" s="23"/>
    </row>
    <row r="59" spans="1:11" x14ac:dyDescent="0.3">
      <c r="H59" s="32">
        <f>SUM(H2:H55)</f>
        <v>0</v>
      </c>
    </row>
    <row r="67" spans="1:10" s="3" customFormat="1" x14ac:dyDescent="0.3">
      <c r="A67"/>
      <c r="B67"/>
      <c r="C67"/>
      <c r="D67"/>
      <c r="E67"/>
      <c r="F67"/>
      <c r="G67"/>
      <c r="H67"/>
      <c r="I67"/>
      <c r="J67" s="6"/>
    </row>
    <row r="68" spans="1:10" x14ac:dyDescent="0.3">
      <c r="J68" s="6"/>
    </row>
    <row r="115" spans="1:10" s="3" customFormat="1" x14ac:dyDescent="0.3">
      <c r="A115"/>
      <c r="B115"/>
      <c r="C115"/>
      <c r="D115"/>
      <c r="E115"/>
      <c r="F115"/>
      <c r="G115"/>
      <c r="H115"/>
      <c r="I115"/>
      <c r="J115" s="6"/>
    </row>
    <row r="116" spans="1:10" x14ac:dyDescent="0.3">
      <c r="J116" s="6"/>
    </row>
    <row r="163" spans="1:10" s="3" customFormat="1" x14ac:dyDescent="0.3">
      <c r="A163"/>
      <c r="B163"/>
      <c r="C163"/>
      <c r="D163"/>
      <c r="E163"/>
      <c r="F163"/>
      <c r="G163"/>
      <c r="H163"/>
      <c r="I163"/>
      <c r="J163" s="6"/>
    </row>
    <row r="164" spans="1:10" x14ac:dyDescent="0.3">
      <c r="J164" s="6"/>
    </row>
    <row r="211" spans="1:10" s="3" customFormat="1" x14ac:dyDescent="0.3">
      <c r="A211"/>
      <c r="B211"/>
      <c r="C211"/>
      <c r="D211"/>
      <c r="E211"/>
      <c r="F211"/>
      <c r="G211"/>
      <c r="H211"/>
      <c r="I211"/>
      <c r="J211" s="6"/>
    </row>
    <row r="212" spans="1:10" x14ac:dyDescent="0.3">
      <c r="J212" s="6"/>
    </row>
    <row r="259" spans="1:10" s="3" customFormat="1" x14ac:dyDescent="0.3">
      <c r="A259"/>
      <c r="B259"/>
      <c r="C259"/>
      <c r="D259"/>
      <c r="E259"/>
      <c r="F259"/>
      <c r="G259"/>
      <c r="H259"/>
      <c r="I259"/>
      <c r="J259" s="6"/>
    </row>
    <row r="260" spans="1:10" x14ac:dyDescent="0.3">
      <c r="J260" s="6"/>
    </row>
    <row r="307" spans="1:10" s="3" customFormat="1" x14ac:dyDescent="0.3">
      <c r="A307"/>
      <c r="B307"/>
      <c r="C307"/>
      <c r="D307"/>
      <c r="E307"/>
      <c r="F307"/>
      <c r="G307"/>
      <c r="H307"/>
      <c r="I307"/>
      <c r="J307" s="6"/>
    </row>
    <row r="308" spans="1:10" x14ac:dyDescent="0.3">
      <c r="J308" s="6"/>
    </row>
    <row r="355" spans="1:10" s="3" customFormat="1" x14ac:dyDescent="0.3">
      <c r="A355"/>
      <c r="B355"/>
      <c r="C355"/>
      <c r="D355"/>
      <c r="E355"/>
      <c r="F355"/>
      <c r="G355"/>
      <c r="H355"/>
      <c r="I355"/>
      <c r="J355" s="6"/>
    </row>
    <row r="356" spans="1:10" x14ac:dyDescent="0.3">
      <c r="J356" s="6"/>
    </row>
    <row r="403" spans="1:10" s="3" customFormat="1" x14ac:dyDescent="0.3">
      <c r="A403"/>
      <c r="B403"/>
      <c r="C403"/>
      <c r="D403"/>
      <c r="E403"/>
      <c r="F403"/>
      <c r="G403"/>
      <c r="H403"/>
      <c r="I403"/>
      <c r="J403" s="6"/>
    </row>
    <row r="404" spans="1:10" x14ac:dyDescent="0.3">
      <c r="J404" s="6"/>
    </row>
    <row r="451" spans="1:10" s="3" customFormat="1" x14ac:dyDescent="0.3">
      <c r="A451"/>
      <c r="B451"/>
      <c r="C451"/>
      <c r="D451"/>
      <c r="E451"/>
      <c r="F451"/>
      <c r="G451"/>
      <c r="H451"/>
      <c r="I451"/>
      <c r="J451" s="6"/>
    </row>
    <row r="452" spans="1:10" x14ac:dyDescent="0.3">
      <c r="J452" s="6"/>
    </row>
    <row r="483" spans="10:10" x14ac:dyDescent="0.3">
      <c r="J483" s="8"/>
    </row>
    <row r="499" spans="10:10" x14ac:dyDescent="0.3">
      <c r="J499" s="9"/>
    </row>
    <row r="505" spans="10:10" x14ac:dyDescent="0.3">
      <c r="J505" s="9"/>
    </row>
    <row r="508" spans="10:10" x14ac:dyDescent="0.3">
      <c r="J508" s="10"/>
    </row>
    <row r="555" spans="10:11" x14ac:dyDescent="0.3">
      <c r="J555" s="9"/>
      <c r="K555" s="8"/>
    </row>
    <row r="602" spans="10:11" x14ac:dyDescent="0.3">
      <c r="J602" s="9"/>
    </row>
    <row r="603" spans="10:11" x14ac:dyDescent="0.3">
      <c r="J603" s="9"/>
      <c r="K603" s="8"/>
    </row>
    <row r="606" spans="10:11" x14ac:dyDescent="0.3">
      <c r="J606" s="9"/>
    </row>
    <row r="610" spans="1:10" s="22" customFormat="1" x14ac:dyDescent="0.3">
      <c r="A610"/>
      <c r="B610"/>
      <c r="C610"/>
      <c r="D610"/>
      <c r="E610"/>
      <c r="F610"/>
      <c r="G610"/>
      <c r="H610"/>
      <c r="I610"/>
      <c r="J610" s="9"/>
    </row>
    <row r="611" spans="1:10" s="22" customFormat="1" x14ac:dyDescent="0.3">
      <c r="A611"/>
      <c r="B611"/>
      <c r="C611"/>
      <c r="D611"/>
      <c r="E611"/>
      <c r="F611"/>
      <c r="G611"/>
      <c r="H611"/>
      <c r="I611"/>
    </row>
    <row r="614" spans="1:10" x14ac:dyDescent="0.3">
      <c r="J614" s="9"/>
    </row>
    <row r="618" spans="1:10" x14ac:dyDescent="0.3">
      <c r="J618" s="9"/>
    </row>
    <row r="622" spans="1:10" x14ac:dyDescent="0.3">
      <c r="J622" s="9"/>
    </row>
    <row r="626" spans="10:10" x14ac:dyDescent="0.3">
      <c r="J626" s="9"/>
    </row>
    <row r="630" spans="10:10" x14ac:dyDescent="0.3">
      <c r="J630" s="9"/>
    </row>
    <row r="635" spans="10:10" x14ac:dyDescent="0.3">
      <c r="J635" s="9"/>
    </row>
    <row r="642" spans="10:10" x14ac:dyDescent="0.3">
      <c r="J642" s="9"/>
    </row>
    <row r="643" spans="10:10" x14ac:dyDescent="0.3">
      <c r="J643" s="9"/>
    </row>
    <row r="646" spans="10:10" x14ac:dyDescent="0.3">
      <c r="J646" s="9"/>
    </row>
    <row r="647" spans="10:10" x14ac:dyDescent="0.3">
      <c r="J647" s="9"/>
    </row>
    <row r="650" spans="10:10" x14ac:dyDescent="0.3">
      <c r="J650" s="9"/>
    </row>
    <row r="651" spans="10:10" x14ac:dyDescent="0.3">
      <c r="J651" s="9"/>
    </row>
    <row r="654" spans="10:10" x14ac:dyDescent="0.3">
      <c r="J654" s="9"/>
    </row>
    <row r="655" spans="10:10" x14ac:dyDescent="0.3">
      <c r="J655" s="9"/>
    </row>
    <row r="658" spans="10:10" x14ac:dyDescent="0.3">
      <c r="J658" s="9"/>
    </row>
    <row r="680" spans="1:10" x14ac:dyDescent="0.3">
      <c r="J680" s="10"/>
    </row>
    <row r="683" spans="1:10" s="3" customFormat="1" x14ac:dyDescent="0.3">
      <c r="A683"/>
      <c r="B683"/>
      <c r="C683"/>
      <c r="D683"/>
      <c r="E683"/>
      <c r="F683"/>
      <c r="G683"/>
      <c r="H683"/>
      <c r="I683"/>
    </row>
    <row r="685" spans="1:10" x14ac:dyDescent="0.3">
      <c r="J685" s="9"/>
    </row>
    <row r="688" spans="1:10" s="3" customFormat="1" x14ac:dyDescent="0.3">
      <c r="A688"/>
      <c r="B688"/>
      <c r="C688"/>
      <c r="D688"/>
      <c r="E688"/>
      <c r="F688"/>
      <c r="G688"/>
      <c r="H688"/>
      <c r="I688"/>
    </row>
    <row r="697" spans="1:10" x14ac:dyDescent="0.3">
      <c r="J697" s="9"/>
    </row>
    <row r="702" spans="1:10" s="3" customFormat="1" x14ac:dyDescent="0.3">
      <c r="A702"/>
      <c r="B702"/>
      <c r="C702"/>
      <c r="D702"/>
      <c r="E702"/>
      <c r="F702"/>
      <c r="G702"/>
      <c r="H702"/>
      <c r="I702"/>
    </row>
    <row r="726" spans="1:10" x14ac:dyDescent="0.3">
      <c r="J726" s="9"/>
    </row>
    <row r="729" spans="1:10" s="3" customFormat="1" x14ac:dyDescent="0.3">
      <c r="A729"/>
      <c r="B729"/>
      <c r="C729"/>
      <c r="D729"/>
      <c r="E729"/>
      <c r="F729"/>
      <c r="G729"/>
      <c r="H729"/>
      <c r="I729"/>
    </row>
    <row r="770" spans="1:10" s="3" customFormat="1" x14ac:dyDescent="0.3">
      <c r="A770"/>
      <c r="B770"/>
      <c r="C770"/>
      <c r="D770"/>
      <c r="E770"/>
      <c r="F770"/>
      <c r="G770"/>
      <c r="H770"/>
      <c r="I770"/>
    </row>
    <row r="773" spans="1:10" x14ac:dyDescent="0.3">
      <c r="J773" s="9"/>
    </row>
    <row r="776" spans="1:10" s="3" customFormat="1" x14ac:dyDescent="0.3">
      <c r="A776"/>
      <c r="B776"/>
      <c r="C776"/>
      <c r="D776"/>
      <c r="E776"/>
      <c r="F776"/>
      <c r="G776"/>
      <c r="H776"/>
      <c r="I776"/>
    </row>
    <row r="779" spans="1:10" x14ac:dyDescent="0.3">
      <c r="J779" s="9"/>
    </row>
    <row r="782" spans="1:10" s="3" customFormat="1" x14ac:dyDescent="0.3">
      <c r="A782"/>
      <c r="B782"/>
      <c r="C782"/>
      <c r="D782"/>
      <c r="E782"/>
      <c r="F782"/>
      <c r="G782"/>
      <c r="H782"/>
      <c r="I782"/>
    </row>
    <row r="785" spans="1:10" x14ac:dyDescent="0.3">
      <c r="J785" s="9"/>
    </row>
    <row r="788" spans="1:10" s="3" customFormat="1" x14ac:dyDescent="0.3">
      <c r="A788"/>
      <c r="B788"/>
      <c r="C788"/>
      <c r="D788"/>
      <c r="E788"/>
      <c r="F788"/>
      <c r="G788"/>
      <c r="H788"/>
      <c r="I788"/>
    </row>
    <row r="791" spans="1:10" x14ac:dyDescent="0.3">
      <c r="J791" s="9"/>
    </row>
    <row r="794" spans="1:10" s="3" customFormat="1" x14ac:dyDescent="0.3">
      <c r="A794"/>
      <c r="B794"/>
      <c r="C794"/>
      <c r="D794"/>
      <c r="E794"/>
      <c r="F794"/>
      <c r="G794"/>
      <c r="H794"/>
      <c r="I794"/>
    </row>
    <row r="797" spans="1:10" x14ac:dyDescent="0.3">
      <c r="J797" s="9"/>
    </row>
    <row r="800" spans="1:10" s="3" customFormat="1" x14ac:dyDescent="0.3">
      <c r="A800"/>
      <c r="B800"/>
      <c r="C800"/>
      <c r="D800"/>
      <c r="E800"/>
      <c r="F800"/>
      <c r="G800"/>
      <c r="H800"/>
      <c r="I800"/>
    </row>
    <row r="803" spans="1:10" x14ac:dyDescent="0.3">
      <c r="J803" s="9"/>
    </row>
    <row r="806" spans="1:10" s="3" customFormat="1" x14ac:dyDescent="0.3">
      <c r="A806"/>
      <c r="B806"/>
      <c r="C806"/>
      <c r="D806"/>
      <c r="E806"/>
      <c r="F806"/>
      <c r="G806"/>
      <c r="H806"/>
      <c r="I806"/>
    </row>
    <row r="809" spans="1:10" x14ac:dyDescent="0.3">
      <c r="J809" s="9"/>
    </row>
    <row r="812" spans="1:10" s="3" customFormat="1" x14ac:dyDescent="0.3">
      <c r="A812"/>
      <c r="B812"/>
      <c r="C812"/>
      <c r="D812"/>
      <c r="E812"/>
      <c r="F812"/>
      <c r="G812"/>
      <c r="H812"/>
      <c r="I812"/>
    </row>
    <row r="815" spans="1:10" x14ac:dyDescent="0.3">
      <c r="J815" s="9"/>
    </row>
    <row r="818" spans="1:10" s="3" customFormat="1" x14ac:dyDescent="0.3">
      <c r="A818"/>
      <c r="B818"/>
      <c r="C818"/>
      <c r="D818"/>
      <c r="E818"/>
      <c r="F818"/>
      <c r="G818"/>
      <c r="H818"/>
      <c r="I818"/>
    </row>
    <row r="821" spans="1:10" x14ac:dyDescent="0.3">
      <c r="J821" s="9"/>
    </row>
    <row r="824" spans="1:10" s="3" customFormat="1" x14ac:dyDescent="0.3">
      <c r="A824"/>
      <c r="B824"/>
      <c r="C824"/>
      <c r="D824"/>
      <c r="E824"/>
      <c r="F824"/>
      <c r="G824"/>
      <c r="H824"/>
      <c r="I824"/>
    </row>
    <row r="827" spans="1:10" x14ac:dyDescent="0.3">
      <c r="J827" s="9"/>
    </row>
    <row r="830" spans="1:10" s="3" customFormat="1" x14ac:dyDescent="0.3">
      <c r="A830"/>
      <c r="B830"/>
      <c r="C830"/>
      <c r="D830"/>
      <c r="E830"/>
      <c r="F830"/>
      <c r="G830"/>
      <c r="H830"/>
      <c r="I830"/>
    </row>
    <row r="833" spans="1:10" x14ac:dyDescent="0.3">
      <c r="J833" s="9"/>
    </row>
    <row r="836" spans="1:10" s="3" customFormat="1" x14ac:dyDescent="0.3">
      <c r="A836"/>
      <c r="B836"/>
      <c r="C836"/>
      <c r="D836"/>
      <c r="E836"/>
      <c r="F836"/>
      <c r="G836"/>
      <c r="H836"/>
      <c r="I836"/>
    </row>
    <row r="839" spans="1:10" x14ac:dyDescent="0.3">
      <c r="J839" s="9"/>
    </row>
    <row r="842" spans="1:10" s="3" customFormat="1" x14ac:dyDescent="0.3">
      <c r="A842"/>
      <c r="B842"/>
      <c r="C842"/>
      <c r="D842"/>
      <c r="E842"/>
      <c r="F842"/>
      <c r="G842"/>
      <c r="H842"/>
      <c r="I842"/>
    </row>
    <row r="845" spans="1:10" x14ac:dyDescent="0.3">
      <c r="J845" s="9"/>
    </row>
    <row r="848" spans="1:10" s="3" customFormat="1" x14ac:dyDescent="0.3">
      <c r="A848"/>
      <c r="B848"/>
      <c r="C848"/>
      <c r="D848"/>
      <c r="E848"/>
      <c r="F848"/>
      <c r="G848"/>
      <c r="H848"/>
      <c r="I848"/>
    </row>
    <row r="851" spans="1:10" x14ac:dyDescent="0.3">
      <c r="J851" s="9"/>
    </row>
    <row r="854" spans="1:10" s="3" customFormat="1" x14ac:dyDescent="0.3">
      <c r="A854"/>
      <c r="B854"/>
      <c r="C854"/>
      <c r="D854"/>
      <c r="E854"/>
      <c r="F854"/>
      <c r="G854"/>
      <c r="H854"/>
      <c r="I854"/>
    </row>
    <row r="857" spans="1:10" x14ac:dyDescent="0.3">
      <c r="J857" s="9"/>
    </row>
    <row r="863" spans="1:10" x14ac:dyDescent="0.3">
      <c r="J863" s="9"/>
    </row>
    <row r="866" spans="10:10" x14ac:dyDescent="0.3">
      <c r="J866" s="3"/>
    </row>
    <row r="869" spans="10:10" x14ac:dyDescent="0.3">
      <c r="J869" s="9"/>
    </row>
    <row r="872" spans="10:10" x14ac:dyDescent="0.3">
      <c r="J872" s="3"/>
    </row>
    <row r="875" spans="10:10" x14ac:dyDescent="0.3">
      <c r="J875" s="9"/>
    </row>
    <row r="881" spans="10:10" x14ac:dyDescent="0.3">
      <c r="J881" s="9"/>
    </row>
    <row r="887" spans="10:10" x14ac:dyDescent="0.3">
      <c r="J887" s="9"/>
    </row>
    <row r="893" spans="10:10" x14ac:dyDescent="0.3">
      <c r="J893" s="9"/>
    </row>
    <row r="899" spans="10:10" x14ac:dyDescent="0.3">
      <c r="J899" s="9"/>
    </row>
    <row r="905" spans="10:10" x14ac:dyDescent="0.3">
      <c r="J905" s="9"/>
    </row>
    <row r="908" spans="10:10" x14ac:dyDescent="0.3">
      <c r="J908" s="3"/>
    </row>
    <row r="911" spans="10:10" x14ac:dyDescent="0.3">
      <c r="J911" s="9"/>
    </row>
    <row r="917" spans="10:10" x14ac:dyDescent="0.3">
      <c r="J917" s="9"/>
    </row>
    <row r="923" spans="10:10" x14ac:dyDescent="0.3">
      <c r="J923" s="9"/>
    </row>
    <row r="929" spans="10:10" x14ac:dyDescent="0.3">
      <c r="J929" s="9"/>
    </row>
    <row r="935" spans="10:10" x14ac:dyDescent="0.3">
      <c r="J935" s="9"/>
    </row>
    <row r="941" spans="10:10" x14ac:dyDescent="0.3">
      <c r="J941" s="9"/>
    </row>
    <row r="947" spans="10:10" x14ac:dyDescent="0.3">
      <c r="J947" s="9"/>
    </row>
    <row r="952" spans="10:10" x14ac:dyDescent="0.3">
      <c r="J952" s="9"/>
    </row>
    <row r="958" spans="10:10" x14ac:dyDescent="0.3">
      <c r="J958" s="9"/>
    </row>
    <row r="964" spans="10:10" x14ac:dyDescent="0.3">
      <c r="J964" s="9"/>
    </row>
    <row r="970" spans="10:10" x14ac:dyDescent="0.3">
      <c r="J970" s="9"/>
    </row>
    <row r="976" spans="10:10" x14ac:dyDescent="0.3">
      <c r="J976" s="9"/>
    </row>
    <row r="982" spans="10:10" x14ac:dyDescent="0.3">
      <c r="J982" s="9"/>
    </row>
    <row r="988" spans="10:10" x14ac:dyDescent="0.3">
      <c r="J988" s="9"/>
    </row>
    <row r="994" spans="10:10" x14ac:dyDescent="0.3">
      <c r="J994" s="9"/>
    </row>
  </sheetData>
  <phoneticPr fontId="13" type="noConversion"/>
  <pageMargins left="0.7" right="0.7" top="0.75" bottom="0.75" header="0.3" footer="0.3"/>
  <pageSetup orientation="portrait" r:id="rId1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C35099E5D03439D1DA3F6309014BE" ma:contentTypeVersion="12" ma:contentTypeDescription="Create a new document." ma:contentTypeScope="" ma:versionID="a02954a3ce2d1a969e5e30456ed70cd1">
  <xsd:schema xmlns:xsd="http://www.w3.org/2001/XMLSchema" xmlns:xs="http://www.w3.org/2001/XMLSchema" xmlns:p="http://schemas.microsoft.com/office/2006/metadata/properties" xmlns:ns2="cd6b6d9b-0f01-4d2d-b851-df7a1e79837d" xmlns:ns3="cffde6b5-7fbf-4e94-9a47-d471db5be0ee" targetNamespace="http://schemas.microsoft.com/office/2006/metadata/properties" ma:root="true" ma:fieldsID="89d32c58df60458ee1db4b61634728c8" ns2:_="" ns3:_="">
    <xsd:import namespace="cd6b6d9b-0f01-4d2d-b851-df7a1e79837d"/>
    <xsd:import namespace="cffde6b5-7fbf-4e94-9a47-d471db5be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6d9b-0f01-4d2d-b851-df7a1e7983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de6b5-7fbf-4e94-9a47-d471db5be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878650-B9B4-41E5-BDCA-5DBB3FC793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BC23AE-9CE4-408B-BB8A-EAE5A3B33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b6d9b-0f01-4d2d-b851-df7a1e79837d"/>
    <ds:schemaRef ds:uri="cffde6b5-7fbf-4e94-9a47-d471db5be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8C52FA-7444-41E2-87DB-A81CD44389DC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Instructions-</vt:lpstr>
      <vt:lpstr>1. Company Info</vt:lpstr>
      <vt:lpstr>2. Pricing - Offeror Completes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Hemhauser, William T CIV USN (USA)</dc:creator>
  <cp:keywords/>
  <dc:description/>
  <cp:lastModifiedBy>Brake, Christopher D CIV (USA)</cp:lastModifiedBy>
  <cp:revision/>
  <dcterms:created xsi:type="dcterms:W3CDTF">2022-01-11T19:59:58Z</dcterms:created>
  <dcterms:modified xsi:type="dcterms:W3CDTF">2026-04-09T14:13:53Z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0x01010075FC35099E5D03439D1DA3F6309014BE</vt:lpwstr>
  </property>
</Properties>
</file>